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cfemex-my.sharepoint.com/personal/antonio_seanez_cfe_mx/Documents/Implementaciones y Proyectos 2026/TEIT Telescuelas Fase II/"/>
    </mc:Choice>
  </mc:AlternateContent>
  <xr:revisionPtr revIDLastSave="7" documentId="109_{80480ED0-5C61-BB4E-9613-F336B7FDBD27}" xr6:coauthVersionLast="47" xr6:coauthVersionMax="47" xr10:uidLastSave="{92B19490-320F-C44A-94A7-7191F391B448}"/>
  <bookViews>
    <workbookView xWindow="34560" yWindow="600" windowWidth="38400" windowHeight="21000" tabRatio="500" firstSheet="12" activeTab="12" xr2:uid="{00000000-000D-0000-FFFF-FFFF00000000}"/>
  </bookViews>
  <sheets>
    <sheet name="LEYENDA" sheetId="1" r:id="rId1"/>
    <sheet name="DASHBOARD" sheetId="2" state="hidden" r:id="rId2"/>
    <sheet name="RESUMEN_EJECUTIVO" sheetId="3" r:id="rId3"/>
    <sheet name="REPORTE_JEFE" sheetId="4" r:id="rId4"/>
    <sheet name="BD_CONTROL" sheetId="6" r:id="rId5"/>
    <sheet name="GEOREFERENCIAS" sheetId="19" r:id="rId6"/>
    <sheet name="CONSOLIDADO" sheetId="10" r:id="rId7"/>
    <sheet name="AVANCE_SEMANAL" sheetId="7" r:id="rId8"/>
    <sheet name="AVANCE_DIARIO" sheetId="8" r:id="rId9"/>
    <sheet name="ENTREGA_ALMACÉN" sheetId="9" r:id="rId10"/>
    <sheet name="GRT Baja California" sheetId="11" r:id="rId11"/>
    <sheet name="GRT Oriente" sheetId="12" r:id="rId12"/>
    <sheet name="GRT Noreste" sheetId="13" r:id="rId13"/>
    <sheet name="GRT Norte" sheetId="14" r:id="rId14"/>
    <sheet name="GRT Noroeste" sheetId="15" r:id="rId15"/>
    <sheet name="GRT Occidente" sheetId="16" r:id="rId16"/>
    <sheet name="GRT Valle de México" sheetId="17" r:id="rId17"/>
    <sheet name="GRT Central" sheetId="18" r:id="rId18"/>
  </sheets>
  <definedNames>
    <definedName name="_xlnm._FilterDatabase" localSheetId="10" hidden="1">'GRT Baja California'!$A$5:$M$5</definedName>
    <definedName name="_xlnm._FilterDatabase" localSheetId="17" hidden="1">'GRT Central'!$A$5:$M$1135</definedName>
    <definedName name="_xlnm._FilterDatabase" localSheetId="12" hidden="1">'GRT Noreste'!$A$5:$M$262</definedName>
    <definedName name="_xlnm._FilterDatabase" localSheetId="14" hidden="1">'GRT Noroeste'!$A$5:$M$372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2" i="9" l="1" a="1"/>
  <c r="C42" i="9"/>
  <c r="K36" i="18"/>
  <c r="K1112" i="18"/>
  <c r="M19" i="9"/>
  <c r="N19" i="9"/>
  <c r="M20" i="9"/>
  <c r="N20" i="9"/>
  <c r="M21" i="9"/>
  <c r="N21" i="9"/>
  <c r="M22" i="9"/>
  <c r="N22" i="9"/>
  <c r="M23" i="9"/>
  <c r="N23" i="9"/>
  <c r="M24" i="9"/>
  <c r="N24" i="9"/>
  <c r="M25" i="9"/>
  <c r="N25" i="9"/>
  <c r="M26" i="9"/>
  <c r="N26" i="9"/>
  <c r="M27" i="9"/>
  <c r="N27" i="9"/>
  <c r="M28" i="9"/>
  <c r="N28" i="9"/>
  <c r="M29" i="9"/>
  <c r="N29" i="9"/>
  <c r="M30" i="9"/>
  <c r="N30" i="9"/>
  <c r="M31" i="9"/>
  <c r="N31" i="9"/>
  <c r="M32" i="9"/>
  <c r="N32" i="9"/>
  <c r="M1135" i="18"/>
  <c r="L1135" i="18"/>
  <c r="K1135" i="18"/>
  <c r="M1134" i="18"/>
  <c r="L1134" i="18"/>
  <c r="K1134" i="18"/>
  <c r="M1133" i="18"/>
  <c r="L1133" i="18"/>
  <c r="K1133" i="18"/>
  <c r="M1132" i="18"/>
  <c r="L1132" i="18"/>
  <c r="K1132" i="18"/>
  <c r="M1131" i="18"/>
  <c r="L1131" i="18"/>
  <c r="K1131" i="18"/>
  <c r="M1130" i="18"/>
  <c r="L1130" i="18"/>
  <c r="K1130" i="18"/>
  <c r="M1129" i="18"/>
  <c r="L1129" i="18"/>
  <c r="K1129" i="18"/>
  <c r="M1128" i="18"/>
  <c r="L1128" i="18"/>
  <c r="K1128" i="18"/>
  <c r="M1127" i="18"/>
  <c r="L1127" i="18"/>
  <c r="K1127" i="18"/>
  <c r="M1126" i="18"/>
  <c r="L1126" i="18"/>
  <c r="K1126" i="18"/>
  <c r="M1125" i="18"/>
  <c r="L1125" i="18"/>
  <c r="K1125" i="18"/>
  <c r="M1124" i="18"/>
  <c r="L1124" i="18"/>
  <c r="K1124" i="18"/>
  <c r="M1123" i="18"/>
  <c r="L1123" i="18"/>
  <c r="K1123" i="18"/>
  <c r="M1122" i="18"/>
  <c r="L1122" i="18"/>
  <c r="K1122" i="18"/>
  <c r="M1121" i="18"/>
  <c r="L1121" i="18"/>
  <c r="K1121" i="18"/>
  <c r="M1120" i="18"/>
  <c r="L1120" i="18"/>
  <c r="K1120" i="18"/>
  <c r="M1119" i="18"/>
  <c r="L1119" i="18"/>
  <c r="K1119" i="18"/>
  <c r="M1118" i="18"/>
  <c r="L1118" i="18"/>
  <c r="K1118" i="18"/>
  <c r="M1117" i="18"/>
  <c r="L1117" i="18"/>
  <c r="K1117" i="18"/>
  <c r="M1116" i="18"/>
  <c r="L1116" i="18"/>
  <c r="K1116" i="18"/>
  <c r="M1115" i="18"/>
  <c r="L1115" i="18"/>
  <c r="K1115" i="18"/>
  <c r="M1114" i="18"/>
  <c r="L1114" i="18"/>
  <c r="K1114" i="18"/>
  <c r="M1113" i="18"/>
  <c r="L1113" i="18"/>
  <c r="K1113" i="18"/>
  <c r="M1112" i="18"/>
  <c r="L1112" i="18"/>
  <c r="M1111" i="18"/>
  <c r="L1111" i="18"/>
  <c r="K1111" i="18"/>
  <c r="M1110" i="18"/>
  <c r="L1110" i="18"/>
  <c r="K1110" i="18"/>
  <c r="M1109" i="18"/>
  <c r="L1109" i="18"/>
  <c r="K1109" i="18"/>
  <c r="M1108" i="18"/>
  <c r="L1108" i="18"/>
  <c r="K1108" i="18"/>
  <c r="M1107" i="18"/>
  <c r="L1107" i="18"/>
  <c r="K1107" i="18"/>
  <c r="M1106" i="18"/>
  <c r="L1106" i="18"/>
  <c r="K1106" i="18"/>
  <c r="M1105" i="18"/>
  <c r="L1105" i="18"/>
  <c r="K1105" i="18"/>
  <c r="M1104" i="18"/>
  <c r="L1104" i="18"/>
  <c r="K1104" i="18"/>
  <c r="M1103" i="18"/>
  <c r="L1103" i="18"/>
  <c r="K1103" i="18"/>
  <c r="M1102" i="18"/>
  <c r="L1102" i="18"/>
  <c r="K1102" i="18"/>
  <c r="M1101" i="18"/>
  <c r="L1101" i="18"/>
  <c r="K1101" i="18"/>
  <c r="M1100" i="18"/>
  <c r="L1100" i="18"/>
  <c r="K1100" i="18"/>
  <c r="M1099" i="18"/>
  <c r="L1099" i="18"/>
  <c r="K1099" i="18"/>
  <c r="M1098" i="18"/>
  <c r="L1098" i="18"/>
  <c r="K1098" i="18"/>
  <c r="M1097" i="18"/>
  <c r="L1097" i="18"/>
  <c r="K1097" i="18"/>
  <c r="M1096" i="18"/>
  <c r="L1096" i="18"/>
  <c r="K1096" i="18"/>
  <c r="M1095" i="18"/>
  <c r="L1095" i="18"/>
  <c r="K1095" i="18"/>
  <c r="M1094" i="18"/>
  <c r="L1094" i="18"/>
  <c r="K1094" i="18"/>
  <c r="M1093" i="18"/>
  <c r="L1093" i="18"/>
  <c r="K1093" i="18"/>
  <c r="M1092" i="18"/>
  <c r="L1092" i="18"/>
  <c r="K1092" i="18"/>
  <c r="M1091" i="18"/>
  <c r="L1091" i="18"/>
  <c r="K1091" i="18"/>
  <c r="M1090" i="18"/>
  <c r="L1090" i="18"/>
  <c r="K1090" i="18"/>
  <c r="M1089" i="18"/>
  <c r="L1089" i="18"/>
  <c r="K1089" i="18"/>
  <c r="M1088" i="18"/>
  <c r="L1088" i="18"/>
  <c r="K1088" i="18"/>
  <c r="M1087" i="18"/>
  <c r="L1087" i="18"/>
  <c r="K1087" i="18"/>
  <c r="M1086" i="18"/>
  <c r="L1086" i="18"/>
  <c r="K1086" i="18"/>
  <c r="M1085" i="18"/>
  <c r="L1085" i="18"/>
  <c r="K1085" i="18"/>
  <c r="M1084" i="18"/>
  <c r="L1084" i="18"/>
  <c r="K1084" i="18"/>
  <c r="M1083" i="18"/>
  <c r="L1083" i="18"/>
  <c r="K1083" i="18"/>
  <c r="M1082" i="18"/>
  <c r="L1082" i="18"/>
  <c r="K1082" i="18"/>
  <c r="M1081" i="18"/>
  <c r="L1081" i="18"/>
  <c r="K1081" i="18"/>
  <c r="M1080" i="18"/>
  <c r="L1080" i="18"/>
  <c r="K1080" i="18"/>
  <c r="M1079" i="18"/>
  <c r="L1079" i="18"/>
  <c r="K1079" i="18"/>
  <c r="M1078" i="18"/>
  <c r="L1078" i="18"/>
  <c r="K1078" i="18"/>
  <c r="M1077" i="18"/>
  <c r="L1077" i="18"/>
  <c r="K1077" i="18"/>
  <c r="M1076" i="18"/>
  <c r="L1076" i="18"/>
  <c r="K1076" i="18"/>
  <c r="M1075" i="18"/>
  <c r="L1075" i="18"/>
  <c r="K1075" i="18"/>
  <c r="M1074" i="18"/>
  <c r="L1074" i="18"/>
  <c r="K1074" i="18"/>
  <c r="M1073" i="18"/>
  <c r="L1073" i="18"/>
  <c r="K1073" i="18"/>
  <c r="M1072" i="18"/>
  <c r="L1072" i="18"/>
  <c r="K1072" i="18"/>
  <c r="M1071" i="18"/>
  <c r="L1071" i="18"/>
  <c r="K1071" i="18"/>
  <c r="M1070" i="18"/>
  <c r="L1070" i="18"/>
  <c r="K1070" i="18"/>
  <c r="M1069" i="18"/>
  <c r="L1069" i="18"/>
  <c r="K1069" i="18"/>
  <c r="M1068" i="18"/>
  <c r="L1068" i="18"/>
  <c r="K1068" i="18"/>
  <c r="M1067" i="18"/>
  <c r="L1067" i="18"/>
  <c r="K1067" i="18"/>
  <c r="M1066" i="18"/>
  <c r="L1066" i="18"/>
  <c r="K1066" i="18"/>
  <c r="M1065" i="18"/>
  <c r="L1065" i="18"/>
  <c r="K1065" i="18"/>
  <c r="M1064" i="18"/>
  <c r="L1064" i="18"/>
  <c r="K1064" i="18"/>
  <c r="M1063" i="18"/>
  <c r="L1063" i="18"/>
  <c r="K1063" i="18"/>
  <c r="M1062" i="18"/>
  <c r="L1062" i="18"/>
  <c r="K1062" i="18"/>
  <c r="M1061" i="18"/>
  <c r="L1061" i="18"/>
  <c r="K1061" i="18"/>
  <c r="M1060" i="18"/>
  <c r="L1060" i="18"/>
  <c r="K1060" i="18"/>
  <c r="M1059" i="18"/>
  <c r="L1059" i="18"/>
  <c r="K1059" i="18"/>
  <c r="M1058" i="18"/>
  <c r="L1058" i="18"/>
  <c r="K1058" i="18"/>
  <c r="M1057" i="18"/>
  <c r="L1057" i="18"/>
  <c r="K1057" i="18"/>
  <c r="M1056" i="18"/>
  <c r="L1056" i="18"/>
  <c r="K1056" i="18"/>
  <c r="M1055" i="18"/>
  <c r="L1055" i="18"/>
  <c r="K1055" i="18"/>
  <c r="M1054" i="18"/>
  <c r="L1054" i="18"/>
  <c r="K1054" i="18"/>
  <c r="M1053" i="18"/>
  <c r="L1053" i="18"/>
  <c r="K1053" i="18"/>
  <c r="M1052" i="18"/>
  <c r="L1052" i="18"/>
  <c r="K1052" i="18"/>
  <c r="M1051" i="18"/>
  <c r="L1051" i="18"/>
  <c r="K1051" i="18"/>
  <c r="M1050" i="18"/>
  <c r="L1050" i="18"/>
  <c r="K1050" i="18"/>
  <c r="M1049" i="18"/>
  <c r="L1049" i="18"/>
  <c r="K1049" i="18"/>
  <c r="M1048" i="18"/>
  <c r="L1048" i="18"/>
  <c r="K1048" i="18"/>
  <c r="M1047" i="18"/>
  <c r="L1047" i="18"/>
  <c r="K1047" i="18"/>
  <c r="M1046" i="18"/>
  <c r="L1046" i="18"/>
  <c r="K1046" i="18"/>
  <c r="M1045" i="18"/>
  <c r="L1045" i="18"/>
  <c r="K1045" i="18"/>
  <c r="M1044" i="18"/>
  <c r="L1044" i="18"/>
  <c r="K1044" i="18"/>
  <c r="M1043" i="18"/>
  <c r="L1043" i="18"/>
  <c r="K1043" i="18"/>
  <c r="M1042" i="18"/>
  <c r="L1042" i="18"/>
  <c r="K1042" i="18"/>
  <c r="M1041" i="18"/>
  <c r="L1041" i="18"/>
  <c r="K1041" i="18"/>
  <c r="M1040" i="18"/>
  <c r="L1040" i="18"/>
  <c r="K1040" i="18"/>
  <c r="M1039" i="18"/>
  <c r="L1039" i="18"/>
  <c r="K1039" i="18"/>
  <c r="M1038" i="18"/>
  <c r="L1038" i="18"/>
  <c r="K1038" i="18"/>
  <c r="M1037" i="18"/>
  <c r="L1037" i="18"/>
  <c r="K1037" i="18"/>
  <c r="M1036" i="18"/>
  <c r="L1036" i="18"/>
  <c r="K1036" i="18"/>
  <c r="M1035" i="18"/>
  <c r="L1035" i="18"/>
  <c r="K1035" i="18"/>
  <c r="M1034" i="18"/>
  <c r="L1034" i="18"/>
  <c r="K1034" i="18"/>
  <c r="M1033" i="18"/>
  <c r="L1033" i="18"/>
  <c r="K1033" i="18"/>
  <c r="M1032" i="18"/>
  <c r="L1032" i="18"/>
  <c r="K1032" i="18"/>
  <c r="M1031" i="18"/>
  <c r="L1031" i="18"/>
  <c r="K1031" i="18"/>
  <c r="M1030" i="18"/>
  <c r="L1030" i="18"/>
  <c r="K1030" i="18"/>
  <c r="M1029" i="18"/>
  <c r="L1029" i="18"/>
  <c r="K1029" i="18"/>
  <c r="M1028" i="18"/>
  <c r="L1028" i="18"/>
  <c r="K1028" i="18"/>
  <c r="M1027" i="18"/>
  <c r="L1027" i="18"/>
  <c r="K1027" i="18"/>
  <c r="M1026" i="18"/>
  <c r="L1026" i="18"/>
  <c r="K1026" i="18"/>
  <c r="M1025" i="18"/>
  <c r="L1025" i="18"/>
  <c r="K1025" i="18"/>
  <c r="M1024" i="18"/>
  <c r="L1024" i="18"/>
  <c r="K1024" i="18"/>
  <c r="M1023" i="18"/>
  <c r="L1023" i="18"/>
  <c r="K1023" i="18"/>
  <c r="M1022" i="18"/>
  <c r="L1022" i="18"/>
  <c r="K1022" i="18"/>
  <c r="M1021" i="18"/>
  <c r="L1021" i="18"/>
  <c r="K1021" i="18"/>
  <c r="M1020" i="18"/>
  <c r="L1020" i="18"/>
  <c r="K1020" i="18"/>
  <c r="M1019" i="18"/>
  <c r="L1019" i="18"/>
  <c r="K1019" i="18"/>
  <c r="M1018" i="18"/>
  <c r="L1018" i="18"/>
  <c r="K1018" i="18"/>
  <c r="M1017" i="18"/>
  <c r="L1017" i="18"/>
  <c r="K1017" i="18"/>
  <c r="M1016" i="18"/>
  <c r="L1016" i="18"/>
  <c r="K1016" i="18"/>
  <c r="M1015" i="18"/>
  <c r="L1015" i="18"/>
  <c r="K1015" i="18"/>
  <c r="M1014" i="18"/>
  <c r="L1014" i="18"/>
  <c r="K1014" i="18"/>
  <c r="M1013" i="18"/>
  <c r="L1013" i="18"/>
  <c r="K1013" i="18"/>
  <c r="M1012" i="18"/>
  <c r="L1012" i="18"/>
  <c r="K1012" i="18"/>
  <c r="M1011" i="18"/>
  <c r="L1011" i="18"/>
  <c r="K1011" i="18"/>
  <c r="M1010" i="18"/>
  <c r="L1010" i="18"/>
  <c r="K1010" i="18"/>
  <c r="M1009" i="18"/>
  <c r="L1009" i="18"/>
  <c r="K1009" i="18"/>
  <c r="M1008" i="18"/>
  <c r="L1008" i="18"/>
  <c r="K1008" i="18"/>
  <c r="M1007" i="18"/>
  <c r="L1007" i="18"/>
  <c r="K1007" i="18"/>
  <c r="M1006" i="18"/>
  <c r="L1006" i="18"/>
  <c r="K1006" i="18"/>
  <c r="M1005" i="18"/>
  <c r="L1005" i="18"/>
  <c r="K1005" i="18"/>
  <c r="M1004" i="18"/>
  <c r="L1004" i="18"/>
  <c r="K1004" i="18"/>
  <c r="M1003" i="18"/>
  <c r="L1003" i="18"/>
  <c r="K1003" i="18"/>
  <c r="M1002" i="18"/>
  <c r="L1002" i="18"/>
  <c r="K1002" i="18"/>
  <c r="M1001" i="18"/>
  <c r="L1001" i="18"/>
  <c r="K1001" i="18"/>
  <c r="M1000" i="18"/>
  <c r="L1000" i="18"/>
  <c r="K1000" i="18"/>
  <c r="M999" i="18"/>
  <c r="L999" i="18"/>
  <c r="K999" i="18"/>
  <c r="M998" i="18"/>
  <c r="L998" i="18"/>
  <c r="K998" i="18"/>
  <c r="M997" i="18"/>
  <c r="L997" i="18"/>
  <c r="K997" i="18"/>
  <c r="M996" i="18"/>
  <c r="L996" i="18"/>
  <c r="K996" i="18"/>
  <c r="M995" i="18"/>
  <c r="L995" i="18"/>
  <c r="K995" i="18"/>
  <c r="M994" i="18"/>
  <c r="L994" i="18"/>
  <c r="K994" i="18"/>
  <c r="M993" i="18"/>
  <c r="L993" i="18"/>
  <c r="K993" i="18"/>
  <c r="M992" i="18"/>
  <c r="L992" i="18"/>
  <c r="K992" i="18"/>
  <c r="M991" i="18"/>
  <c r="L991" i="18"/>
  <c r="K991" i="18"/>
  <c r="M990" i="18"/>
  <c r="L990" i="18"/>
  <c r="K990" i="18"/>
  <c r="M989" i="18"/>
  <c r="L989" i="18"/>
  <c r="K989" i="18"/>
  <c r="M988" i="18"/>
  <c r="L988" i="18"/>
  <c r="K988" i="18"/>
  <c r="M987" i="18"/>
  <c r="L987" i="18"/>
  <c r="K987" i="18"/>
  <c r="M986" i="18"/>
  <c r="L986" i="18"/>
  <c r="K986" i="18"/>
  <c r="M985" i="18"/>
  <c r="L985" i="18"/>
  <c r="K985" i="18"/>
  <c r="M984" i="18"/>
  <c r="L984" i="18"/>
  <c r="K984" i="18"/>
  <c r="M983" i="18"/>
  <c r="L983" i="18"/>
  <c r="K983" i="18"/>
  <c r="M982" i="18"/>
  <c r="L982" i="18"/>
  <c r="K982" i="18"/>
  <c r="M981" i="18"/>
  <c r="L981" i="18"/>
  <c r="K981" i="18"/>
  <c r="M980" i="18"/>
  <c r="L980" i="18"/>
  <c r="K980" i="18"/>
  <c r="M979" i="18"/>
  <c r="L979" i="18"/>
  <c r="K979" i="18"/>
  <c r="M978" i="18"/>
  <c r="L978" i="18"/>
  <c r="K978" i="18"/>
  <c r="M977" i="18"/>
  <c r="L977" i="18"/>
  <c r="K977" i="18"/>
  <c r="M976" i="18"/>
  <c r="L976" i="18"/>
  <c r="K976" i="18"/>
  <c r="M975" i="18"/>
  <c r="L975" i="18"/>
  <c r="K975" i="18"/>
  <c r="M974" i="18"/>
  <c r="L974" i="18"/>
  <c r="K974" i="18"/>
  <c r="M973" i="18"/>
  <c r="L973" i="18"/>
  <c r="K973" i="18"/>
  <c r="M972" i="18"/>
  <c r="L972" i="18"/>
  <c r="K972" i="18"/>
  <c r="M971" i="18"/>
  <c r="L971" i="18"/>
  <c r="K971" i="18"/>
  <c r="M970" i="18"/>
  <c r="L970" i="18"/>
  <c r="K970" i="18"/>
  <c r="M969" i="18"/>
  <c r="L969" i="18"/>
  <c r="K969" i="18"/>
  <c r="M968" i="18"/>
  <c r="L968" i="18"/>
  <c r="K968" i="18"/>
  <c r="M967" i="18"/>
  <c r="L967" i="18"/>
  <c r="K967" i="18"/>
  <c r="M966" i="18"/>
  <c r="L966" i="18"/>
  <c r="K966" i="18"/>
  <c r="M965" i="18"/>
  <c r="L965" i="18"/>
  <c r="K965" i="18"/>
  <c r="M964" i="18"/>
  <c r="L964" i="18"/>
  <c r="K964" i="18"/>
  <c r="M963" i="18"/>
  <c r="L963" i="18"/>
  <c r="K963" i="18"/>
  <c r="M962" i="18"/>
  <c r="L962" i="18"/>
  <c r="K962" i="18"/>
  <c r="M961" i="18"/>
  <c r="L961" i="18"/>
  <c r="K961" i="18"/>
  <c r="M960" i="18"/>
  <c r="L960" i="18"/>
  <c r="K960" i="18"/>
  <c r="M959" i="18"/>
  <c r="L959" i="18"/>
  <c r="K959" i="18"/>
  <c r="M958" i="18"/>
  <c r="L958" i="18"/>
  <c r="K958" i="18"/>
  <c r="M957" i="18"/>
  <c r="L957" i="18"/>
  <c r="K957" i="18"/>
  <c r="M956" i="18"/>
  <c r="L956" i="18"/>
  <c r="K956" i="18"/>
  <c r="M955" i="18"/>
  <c r="L955" i="18"/>
  <c r="K955" i="18"/>
  <c r="M954" i="18"/>
  <c r="L954" i="18"/>
  <c r="K954" i="18"/>
  <c r="M953" i="18"/>
  <c r="L953" i="18"/>
  <c r="K953" i="18"/>
  <c r="M952" i="18"/>
  <c r="L952" i="18"/>
  <c r="K952" i="18"/>
  <c r="M951" i="18"/>
  <c r="L951" i="18"/>
  <c r="K951" i="18"/>
  <c r="M950" i="18"/>
  <c r="L950" i="18"/>
  <c r="K950" i="18"/>
  <c r="M949" i="18"/>
  <c r="L949" i="18"/>
  <c r="K949" i="18"/>
  <c r="M948" i="18"/>
  <c r="L948" i="18"/>
  <c r="K948" i="18"/>
  <c r="M947" i="18"/>
  <c r="L947" i="18"/>
  <c r="K947" i="18"/>
  <c r="M946" i="18"/>
  <c r="L946" i="18"/>
  <c r="K946" i="18"/>
  <c r="M945" i="18"/>
  <c r="L945" i="18"/>
  <c r="K945" i="18"/>
  <c r="M944" i="18"/>
  <c r="L944" i="18"/>
  <c r="K944" i="18"/>
  <c r="M943" i="18"/>
  <c r="L943" i="18"/>
  <c r="K943" i="18"/>
  <c r="M942" i="18"/>
  <c r="L942" i="18"/>
  <c r="K942" i="18"/>
  <c r="M941" i="18"/>
  <c r="L941" i="18"/>
  <c r="K941" i="18"/>
  <c r="M940" i="18"/>
  <c r="L940" i="18"/>
  <c r="K940" i="18"/>
  <c r="M939" i="18"/>
  <c r="L939" i="18"/>
  <c r="K939" i="18"/>
  <c r="M938" i="18"/>
  <c r="L938" i="18"/>
  <c r="K938" i="18"/>
  <c r="M937" i="18"/>
  <c r="L937" i="18"/>
  <c r="K937" i="18"/>
  <c r="M936" i="18"/>
  <c r="L936" i="18"/>
  <c r="K936" i="18"/>
  <c r="M935" i="18"/>
  <c r="L935" i="18"/>
  <c r="K935" i="18"/>
  <c r="M934" i="18"/>
  <c r="L934" i="18"/>
  <c r="K934" i="18"/>
  <c r="M933" i="18"/>
  <c r="L933" i="18"/>
  <c r="K933" i="18"/>
  <c r="M932" i="18"/>
  <c r="L932" i="18"/>
  <c r="K932" i="18"/>
  <c r="M931" i="18"/>
  <c r="L931" i="18"/>
  <c r="K931" i="18"/>
  <c r="M930" i="18"/>
  <c r="L930" i="18"/>
  <c r="K930" i="18"/>
  <c r="M929" i="18"/>
  <c r="L929" i="18"/>
  <c r="K929" i="18"/>
  <c r="M928" i="18"/>
  <c r="L928" i="18"/>
  <c r="K928" i="18"/>
  <c r="M927" i="18"/>
  <c r="L927" i="18"/>
  <c r="K927" i="18"/>
  <c r="M926" i="18"/>
  <c r="L926" i="18"/>
  <c r="K926" i="18"/>
  <c r="M925" i="18"/>
  <c r="L925" i="18"/>
  <c r="K925" i="18"/>
  <c r="M924" i="18"/>
  <c r="L924" i="18"/>
  <c r="K924" i="18"/>
  <c r="M923" i="18"/>
  <c r="L923" i="18"/>
  <c r="K923" i="18"/>
  <c r="M922" i="18"/>
  <c r="L922" i="18"/>
  <c r="K922" i="18"/>
  <c r="M921" i="18"/>
  <c r="L921" i="18"/>
  <c r="K921" i="18"/>
  <c r="M920" i="18"/>
  <c r="L920" i="18"/>
  <c r="K920" i="18"/>
  <c r="M919" i="18"/>
  <c r="L919" i="18"/>
  <c r="K919" i="18"/>
  <c r="M918" i="18"/>
  <c r="L918" i="18"/>
  <c r="K918" i="18"/>
  <c r="M917" i="18"/>
  <c r="L917" i="18"/>
  <c r="K917" i="18"/>
  <c r="M916" i="18"/>
  <c r="L916" i="18"/>
  <c r="K916" i="18"/>
  <c r="M915" i="18"/>
  <c r="L915" i="18"/>
  <c r="K915" i="18"/>
  <c r="M914" i="18"/>
  <c r="L914" i="18"/>
  <c r="K914" i="18"/>
  <c r="M913" i="18"/>
  <c r="L913" i="18"/>
  <c r="K913" i="18"/>
  <c r="M912" i="18"/>
  <c r="L912" i="18"/>
  <c r="K912" i="18"/>
  <c r="M911" i="18"/>
  <c r="L911" i="18"/>
  <c r="K911" i="18"/>
  <c r="M910" i="18"/>
  <c r="L910" i="18"/>
  <c r="K910" i="18"/>
  <c r="M909" i="18"/>
  <c r="L909" i="18"/>
  <c r="K909" i="18"/>
  <c r="M908" i="18"/>
  <c r="L908" i="18"/>
  <c r="K908" i="18"/>
  <c r="M907" i="18"/>
  <c r="L907" i="18"/>
  <c r="K907" i="18"/>
  <c r="M906" i="18"/>
  <c r="L906" i="18"/>
  <c r="K906" i="18"/>
  <c r="M905" i="18"/>
  <c r="L905" i="18"/>
  <c r="K905" i="18"/>
  <c r="M904" i="18"/>
  <c r="L904" i="18"/>
  <c r="K904" i="18"/>
  <c r="M903" i="18"/>
  <c r="L903" i="18"/>
  <c r="K903" i="18"/>
  <c r="M902" i="18"/>
  <c r="L902" i="18"/>
  <c r="K902" i="18"/>
  <c r="M901" i="18"/>
  <c r="L901" i="18"/>
  <c r="K901" i="18"/>
  <c r="M900" i="18"/>
  <c r="L900" i="18"/>
  <c r="K900" i="18"/>
  <c r="M899" i="18"/>
  <c r="L899" i="18"/>
  <c r="K899" i="18"/>
  <c r="M898" i="18"/>
  <c r="L898" i="18"/>
  <c r="K898" i="18"/>
  <c r="M897" i="18"/>
  <c r="L897" i="18"/>
  <c r="K897" i="18"/>
  <c r="M896" i="18"/>
  <c r="L896" i="18"/>
  <c r="K896" i="18"/>
  <c r="M895" i="18"/>
  <c r="L895" i="18"/>
  <c r="K895" i="18"/>
  <c r="M894" i="18"/>
  <c r="L894" i="18"/>
  <c r="K894" i="18"/>
  <c r="M893" i="18"/>
  <c r="L893" i="18"/>
  <c r="K893" i="18"/>
  <c r="M892" i="18"/>
  <c r="L892" i="18"/>
  <c r="K892" i="18"/>
  <c r="M891" i="18"/>
  <c r="L891" i="18"/>
  <c r="K891" i="18"/>
  <c r="M890" i="18"/>
  <c r="L890" i="18"/>
  <c r="K890" i="18"/>
  <c r="M889" i="18"/>
  <c r="L889" i="18"/>
  <c r="K889" i="18"/>
  <c r="M888" i="18"/>
  <c r="L888" i="18"/>
  <c r="K888" i="18"/>
  <c r="M887" i="18"/>
  <c r="L887" i="18"/>
  <c r="K887" i="18"/>
  <c r="M886" i="18"/>
  <c r="L886" i="18"/>
  <c r="K886" i="18"/>
  <c r="M885" i="18"/>
  <c r="L885" i="18"/>
  <c r="K885" i="18"/>
  <c r="M884" i="18"/>
  <c r="L884" i="18"/>
  <c r="K884" i="18"/>
  <c r="M883" i="18"/>
  <c r="L883" i="18"/>
  <c r="K883" i="18"/>
  <c r="M882" i="18"/>
  <c r="L882" i="18"/>
  <c r="K882" i="18"/>
  <c r="M881" i="18"/>
  <c r="L881" i="18"/>
  <c r="K881" i="18"/>
  <c r="M880" i="18"/>
  <c r="L880" i="18"/>
  <c r="K880" i="18"/>
  <c r="M879" i="18"/>
  <c r="L879" i="18"/>
  <c r="K879" i="18"/>
  <c r="M878" i="18"/>
  <c r="L878" i="18"/>
  <c r="K878" i="18"/>
  <c r="M877" i="18"/>
  <c r="L877" i="18"/>
  <c r="K877" i="18"/>
  <c r="M876" i="18"/>
  <c r="L876" i="18"/>
  <c r="K876" i="18"/>
  <c r="M875" i="18"/>
  <c r="L875" i="18"/>
  <c r="K875" i="18"/>
  <c r="M874" i="18"/>
  <c r="L874" i="18"/>
  <c r="K874" i="18"/>
  <c r="M873" i="18"/>
  <c r="L873" i="18"/>
  <c r="K873" i="18"/>
  <c r="M872" i="18"/>
  <c r="L872" i="18"/>
  <c r="K872" i="18"/>
  <c r="M871" i="18"/>
  <c r="L871" i="18"/>
  <c r="K871" i="18"/>
  <c r="M870" i="18"/>
  <c r="L870" i="18"/>
  <c r="K870" i="18"/>
  <c r="M869" i="18"/>
  <c r="L869" i="18"/>
  <c r="K869" i="18"/>
  <c r="M868" i="18"/>
  <c r="L868" i="18"/>
  <c r="K868" i="18"/>
  <c r="M867" i="18"/>
  <c r="L867" i="18"/>
  <c r="K867" i="18"/>
  <c r="M866" i="18"/>
  <c r="L866" i="18"/>
  <c r="K866" i="18"/>
  <c r="M865" i="18"/>
  <c r="L865" i="18"/>
  <c r="K865" i="18"/>
  <c r="M864" i="18"/>
  <c r="L864" i="18"/>
  <c r="K864" i="18"/>
  <c r="M863" i="18"/>
  <c r="L863" i="18"/>
  <c r="K863" i="18"/>
  <c r="M862" i="18"/>
  <c r="L862" i="18"/>
  <c r="K862" i="18"/>
  <c r="M861" i="18"/>
  <c r="L861" i="18"/>
  <c r="K861" i="18"/>
  <c r="M860" i="18"/>
  <c r="L860" i="18"/>
  <c r="K860" i="18"/>
  <c r="M859" i="18"/>
  <c r="L859" i="18"/>
  <c r="K859" i="18"/>
  <c r="M858" i="18"/>
  <c r="L858" i="18"/>
  <c r="K858" i="18"/>
  <c r="M857" i="18"/>
  <c r="L857" i="18"/>
  <c r="K857" i="18"/>
  <c r="M856" i="18"/>
  <c r="L856" i="18"/>
  <c r="K856" i="18"/>
  <c r="M855" i="18"/>
  <c r="L855" i="18"/>
  <c r="K855" i="18"/>
  <c r="M854" i="18"/>
  <c r="L854" i="18"/>
  <c r="K854" i="18"/>
  <c r="M853" i="18"/>
  <c r="L853" i="18"/>
  <c r="K853" i="18"/>
  <c r="M852" i="18"/>
  <c r="L852" i="18"/>
  <c r="K852" i="18"/>
  <c r="M851" i="18"/>
  <c r="L851" i="18"/>
  <c r="K851" i="18"/>
  <c r="M850" i="18"/>
  <c r="L850" i="18"/>
  <c r="K850" i="18"/>
  <c r="M849" i="18"/>
  <c r="L849" i="18"/>
  <c r="K849" i="18"/>
  <c r="M848" i="18"/>
  <c r="L848" i="18"/>
  <c r="K848" i="18"/>
  <c r="M847" i="18"/>
  <c r="L847" i="18"/>
  <c r="K847" i="18"/>
  <c r="M846" i="18"/>
  <c r="L846" i="18"/>
  <c r="K846" i="18"/>
  <c r="M845" i="18"/>
  <c r="L845" i="18"/>
  <c r="K845" i="18"/>
  <c r="M844" i="18"/>
  <c r="L844" i="18"/>
  <c r="K844" i="18"/>
  <c r="M843" i="18"/>
  <c r="L843" i="18"/>
  <c r="K843" i="18"/>
  <c r="M842" i="18"/>
  <c r="L842" i="18"/>
  <c r="K842" i="18"/>
  <c r="M841" i="18"/>
  <c r="L841" i="18"/>
  <c r="K841" i="18"/>
  <c r="M840" i="18"/>
  <c r="L840" i="18"/>
  <c r="K840" i="18"/>
  <c r="M839" i="18"/>
  <c r="L839" i="18"/>
  <c r="K839" i="18"/>
  <c r="M838" i="18"/>
  <c r="L838" i="18"/>
  <c r="K838" i="18"/>
  <c r="M837" i="18"/>
  <c r="L837" i="18"/>
  <c r="K837" i="18"/>
  <c r="M836" i="18"/>
  <c r="L836" i="18"/>
  <c r="K836" i="18"/>
  <c r="M835" i="18"/>
  <c r="L835" i="18"/>
  <c r="K835" i="18"/>
  <c r="M834" i="18"/>
  <c r="L834" i="18"/>
  <c r="K834" i="18"/>
  <c r="M833" i="18"/>
  <c r="L833" i="18"/>
  <c r="K833" i="18"/>
  <c r="M832" i="18"/>
  <c r="L832" i="18"/>
  <c r="K832" i="18"/>
  <c r="M831" i="18"/>
  <c r="L831" i="18"/>
  <c r="K831" i="18"/>
  <c r="M830" i="18"/>
  <c r="L830" i="18"/>
  <c r="K830" i="18"/>
  <c r="M829" i="18"/>
  <c r="L829" i="18"/>
  <c r="K829" i="18"/>
  <c r="M828" i="18"/>
  <c r="L828" i="18"/>
  <c r="K828" i="18"/>
  <c r="M827" i="18"/>
  <c r="L827" i="18"/>
  <c r="K827" i="18"/>
  <c r="M826" i="18"/>
  <c r="L826" i="18"/>
  <c r="K826" i="18"/>
  <c r="M825" i="18"/>
  <c r="L825" i="18"/>
  <c r="K825" i="18"/>
  <c r="M824" i="18"/>
  <c r="L824" i="18"/>
  <c r="K824" i="18"/>
  <c r="M823" i="18"/>
  <c r="L823" i="18"/>
  <c r="K823" i="18"/>
  <c r="M822" i="18"/>
  <c r="L822" i="18"/>
  <c r="K822" i="18"/>
  <c r="M821" i="18"/>
  <c r="L821" i="18"/>
  <c r="K821" i="18"/>
  <c r="M820" i="18"/>
  <c r="L820" i="18"/>
  <c r="K820" i="18"/>
  <c r="M819" i="18"/>
  <c r="L819" i="18"/>
  <c r="K819" i="18"/>
  <c r="M818" i="18"/>
  <c r="L818" i="18"/>
  <c r="K818" i="18"/>
  <c r="M817" i="18"/>
  <c r="L817" i="18"/>
  <c r="K817" i="18"/>
  <c r="M816" i="18"/>
  <c r="L816" i="18"/>
  <c r="K816" i="18"/>
  <c r="M815" i="18"/>
  <c r="L815" i="18"/>
  <c r="K815" i="18"/>
  <c r="M814" i="18"/>
  <c r="L814" i="18"/>
  <c r="K814" i="18"/>
  <c r="M813" i="18"/>
  <c r="L813" i="18"/>
  <c r="K813" i="18"/>
  <c r="M812" i="18"/>
  <c r="L812" i="18"/>
  <c r="K812" i="18"/>
  <c r="M811" i="18"/>
  <c r="L811" i="18"/>
  <c r="K811" i="18"/>
  <c r="M810" i="18"/>
  <c r="L810" i="18"/>
  <c r="K810" i="18"/>
  <c r="M809" i="18"/>
  <c r="L809" i="18"/>
  <c r="K809" i="18"/>
  <c r="M808" i="18"/>
  <c r="L808" i="18"/>
  <c r="K808" i="18"/>
  <c r="M807" i="18"/>
  <c r="L807" i="18"/>
  <c r="K807" i="18"/>
  <c r="M806" i="18"/>
  <c r="L806" i="18"/>
  <c r="K806" i="18"/>
  <c r="M805" i="18"/>
  <c r="L805" i="18"/>
  <c r="K805" i="18"/>
  <c r="M804" i="18"/>
  <c r="L804" i="18"/>
  <c r="K804" i="18"/>
  <c r="M803" i="18"/>
  <c r="L803" i="18"/>
  <c r="K803" i="18"/>
  <c r="M802" i="18"/>
  <c r="L802" i="18"/>
  <c r="K802" i="18"/>
  <c r="M801" i="18"/>
  <c r="L801" i="18"/>
  <c r="K801" i="18"/>
  <c r="M800" i="18"/>
  <c r="L800" i="18"/>
  <c r="K800" i="18"/>
  <c r="M799" i="18"/>
  <c r="L799" i="18"/>
  <c r="K799" i="18"/>
  <c r="M798" i="18"/>
  <c r="L798" i="18"/>
  <c r="K798" i="18"/>
  <c r="M797" i="18"/>
  <c r="L797" i="18"/>
  <c r="K797" i="18"/>
  <c r="M796" i="18"/>
  <c r="L796" i="18"/>
  <c r="K796" i="18"/>
  <c r="M795" i="18"/>
  <c r="L795" i="18"/>
  <c r="K795" i="18"/>
  <c r="M794" i="18"/>
  <c r="L794" i="18"/>
  <c r="K794" i="18"/>
  <c r="M793" i="18"/>
  <c r="L793" i="18"/>
  <c r="K793" i="18"/>
  <c r="M792" i="18"/>
  <c r="L792" i="18"/>
  <c r="K792" i="18"/>
  <c r="M791" i="18"/>
  <c r="L791" i="18"/>
  <c r="K791" i="18"/>
  <c r="M790" i="18"/>
  <c r="L790" i="18"/>
  <c r="K790" i="18"/>
  <c r="M789" i="18"/>
  <c r="L789" i="18"/>
  <c r="K789" i="18"/>
  <c r="M788" i="18"/>
  <c r="L788" i="18"/>
  <c r="K788" i="18"/>
  <c r="M787" i="18"/>
  <c r="L787" i="18"/>
  <c r="K787" i="18"/>
  <c r="M786" i="18"/>
  <c r="L786" i="18"/>
  <c r="K786" i="18"/>
  <c r="M785" i="18"/>
  <c r="L785" i="18"/>
  <c r="K785" i="18"/>
  <c r="M784" i="18"/>
  <c r="L784" i="18"/>
  <c r="K784" i="18"/>
  <c r="M783" i="18"/>
  <c r="L783" i="18"/>
  <c r="K783" i="18"/>
  <c r="M782" i="18"/>
  <c r="L782" i="18"/>
  <c r="K782" i="18"/>
  <c r="M781" i="18"/>
  <c r="L781" i="18"/>
  <c r="K781" i="18"/>
  <c r="M780" i="18"/>
  <c r="L780" i="18"/>
  <c r="K780" i="18"/>
  <c r="M779" i="18"/>
  <c r="L779" i="18"/>
  <c r="K779" i="18"/>
  <c r="M778" i="18"/>
  <c r="L778" i="18"/>
  <c r="K778" i="18"/>
  <c r="M777" i="18"/>
  <c r="L777" i="18"/>
  <c r="K777" i="18"/>
  <c r="M776" i="18"/>
  <c r="L776" i="18"/>
  <c r="K776" i="18"/>
  <c r="M775" i="18"/>
  <c r="L775" i="18"/>
  <c r="K775" i="18"/>
  <c r="M774" i="18"/>
  <c r="L774" i="18"/>
  <c r="K774" i="18"/>
  <c r="M773" i="18"/>
  <c r="L773" i="18"/>
  <c r="K773" i="18"/>
  <c r="M772" i="18"/>
  <c r="L772" i="18"/>
  <c r="K772" i="18"/>
  <c r="M771" i="18"/>
  <c r="L771" i="18"/>
  <c r="K771" i="18"/>
  <c r="M770" i="18"/>
  <c r="L770" i="18"/>
  <c r="K770" i="18"/>
  <c r="M769" i="18"/>
  <c r="L769" i="18"/>
  <c r="K769" i="18"/>
  <c r="M768" i="18"/>
  <c r="L768" i="18"/>
  <c r="K768" i="18"/>
  <c r="M767" i="18"/>
  <c r="L767" i="18"/>
  <c r="K767" i="18"/>
  <c r="M766" i="18"/>
  <c r="L766" i="18"/>
  <c r="K766" i="18"/>
  <c r="M765" i="18"/>
  <c r="L765" i="18"/>
  <c r="K765" i="18"/>
  <c r="M764" i="18"/>
  <c r="L764" i="18"/>
  <c r="K764" i="18"/>
  <c r="M763" i="18"/>
  <c r="L763" i="18"/>
  <c r="K763" i="18"/>
  <c r="M762" i="18"/>
  <c r="L762" i="18"/>
  <c r="K762" i="18"/>
  <c r="M761" i="18"/>
  <c r="L761" i="18"/>
  <c r="K761" i="18"/>
  <c r="M760" i="18"/>
  <c r="L760" i="18"/>
  <c r="K760" i="18"/>
  <c r="M759" i="18"/>
  <c r="L759" i="18"/>
  <c r="K759" i="18"/>
  <c r="M758" i="18"/>
  <c r="L758" i="18"/>
  <c r="K758" i="18"/>
  <c r="M757" i="18"/>
  <c r="L757" i="18"/>
  <c r="K757" i="18"/>
  <c r="M756" i="18"/>
  <c r="L756" i="18"/>
  <c r="K756" i="18"/>
  <c r="M755" i="18"/>
  <c r="L755" i="18"/>
  <c r="K755" i="18"/>
  <c r="M754" i="18"/>
  <c r="L754" i="18"/>
  <c r="K754" i="18"/>
  <c r="M753" i="18"/>
  <c r="L753" i="18"/>
  <c r="K753" i="18"/>
  <c r="M752" i="18"/>
  <c r="L752" i="18"/>
  <c r="K752" i="18"/>
  <c r="M751" i="18"/>
  <c r="L751" i="18"/>
  <c r="K751" i="18"/>
  <c r="M750" i="18"/>
  <c r="L750" i="18"/>
  <c r="K750" i="18"/>
  <c r="M749" i="18"/>
  <c r="L749" i="18"/>
  <c r="K749" i="18"/>
  <c r="M748" i="18"/>
  <c r="L748" i="18"/>
  <c r="K748" i="18"/>
  <c r="M747" i="18"/>
  <c r="L747" i="18"/>
  <c r="K747" i="18"/>
  <c r="M746" i="18"/>
  <c r="L746" i="18"/>
  <c r="K746" i="18"/>
  <c r="M745" i="18"/>
  <c r="L745" i="18"/>
  <c r="K745" i="18"/>
  <c r="M744" i="18"/>
  <c r="L744" i="18"/>
  <c r="K744" i="18"/>
  <c r="M743" i="18"/>
  <c r="L743" i="18"/>
  <c r="K743" i="18"/>
  <c r="M742" i="18"/>
  <c r="L742" i="18"/>
  <c r="K742" i="18"/>
  <c r="M741" i="18"/>
  <c r="L741" i="18"/>
  <c r="K741" i="18"/>
  <c r="M740" i="18"/>
  <c r="L740" i="18"/>
  <c r="K740" i="18"/>
  <c r="M739" i="18"/>
  <c r="L739" i="18"/>
  <c r="K739" i="18"/>
  <c r="M738" i="18"/>
  <c r="L738" i="18"/>
  <c r="K738" i="18"/>
  <c r="M737" i="18"/>
  <c r="L737" i="18"/>
  <c r="K737" i="18"/>
  <c r="M736" i="18"/>
  <c r="L736" i="18"/>
  <c r="K736" i="18"/>
  <c r="M735" i="18"/>
  <c r="L735" i="18"/>
  <c r="K735" i="18"/>
  <c r="M734" i="18"/>
  <c r="L734" i="18"/>
  <c r="K734" i="18"/>
  <c r="M733" i="18"/>
  <c r="L733" i="18"/>
  <c r="K733" i="18"/>
  <c r="M732" i="18"/>
  <c r="L732" i="18"/>
  <c r="K732" i="18"/>
  <c r="M731" i="18"/>
  <c r="L731" i="18"/>
  <c r="K731" i="18"/>
  <c r="M730" i="18"/>
  <c r="L730" i="18"/>
  <c r="K730" i="18"/>
  <c r="M729" i="18"/>
  <c r="L729" i="18"/>
  <c r="K729" i="18"/>
  <c r="M728" i="18"/>
  <c r="L728" i="18"/>
  <c r="K728" i="18"/>
  <c r="M727" i="18"/>
  <c r="L727" i="18"/>
  <c r="K727" i="18"/>
  <c r="M726" i="18"/>
  <c r="L726" i="18"/>
  <c r="K726" i="18"/>
  <c r="M725" i="18"/>
  <c r="L725" i="18"/>
  <c r="K725" i="18"/>
  <c r="M724" i="18"/>
  <c r="L724" i="18"/>
  <c r="K724" i="18"/>
  <c r="M723" i="18"/>
  <c r="L723" i="18"/>
  <c r="K723" i="18"/>
  <c r="M722" i="18"/>
  <c r="L722" i="18"/>
  <c r="K722" i="18"/>
  <c r="M721" i="18"/>
  <c r="L721" i="18"/>
  <c r="K721" i="18"/>
  <c r="M720" i="18"/>
  <c r="L720" i="18"/>
  <c r="K720" i="18"/>
  <c r="M719" i="18"/>
  <c r="L719" i="18"/>
  <c r="K719" i="18"/>
  <c r="M718" i="18"/>
  <c r="L718" i="18"/>
  <c r="K718" i="18"/>
  <c r="M717" i="18"/>
  <c r="L717" i="18"/>
  <c r="K717" i="18"/>
  <c r="M716" i="18"/>
  <c r="L716" i="18"/>
  <c r="K716" i="18"/>
  <c r="M715" i="18"/>
  <c r="L715" i="18"/>
  <c r="K715" i="18"/>
  <c r="M714" i="18"/>
  <c r="L714" i="18"/>
  <c r="K714" i="18"/>
  <c r="M713" i="18"/>
  <c r="L713" i="18"/>
  <c r="K713" i="18"/>
  <c r="M712" i="18"/>
  <c r="L712" i="18"/>
  <c r="K712" i="18"/>
  <c r="M711" i="18"/>
  <c r="L711" i="18"/>
  <c r="K711" i="18"/>
  <c r="M710" i="18"/>
  <c r="L710" i="18"/>
  <c r="K710" i="18"/>
  <c r="M709" i="18"/>
  <c r="L709" i="18"/>
  <c r="K709" i="18"/>
  <c r="M708" i="18"/>
  <c r="L708" i="18"/>
  <c r="K708" i="18"/>
  <c r="M707" i="18"/>
  <c r="L707" i="18"/>
  <c r="K707" i="18"/>
  <c r="M706" i="18"/>
  <c r="L706" i="18"/>
  <c r="K706" i="18"/>
  <c r="M705" i="18"/>
  <c r="L705" i="18"/>
  <c r="K705" i="18"/>
  <c r="M704" i="18"/>
  <c r="L704" i="18"/>
  <c r="K704" i="18"/>
  <c r="M703" i="18"/>
  <c r="L703" i="18"/>
  <c r="K703" i="18"/>
  <c r="M702" i="18"/>
  <c r="L702" i="18"/>
  <c r="K702" i="18"/>
  <c r="M701" i="18"/>
  <c r="L701" i="18"/>
  <c r="K701" i="18"/>
  <c r="M700" i="18"/>
  <c r="L700" i="18"/>
  <c r="K700" i="18"/>
  <c r="M699" i="18"/>
  <c r="L699" i="18"/>
  <c r="K699" i="18"/>
  <c r="M698" i="18"/>
  <c r="L698" i="18"/>
  <c r="K698" i="18"/>
  <c r="M697" i="18"/>
  <c r="L697" i="18"/>
  <c r="K697" i="18"/>
  <c r="M696" i="18"/>
  <c r="L696" i="18"/>
  <c r="K696" i="18"/>
  <c r="M695" i="18"/>
  <c r="L695" i="18"/>
  <c r="K695" i="18"/>
  <c r="M694" i="18"/>
  <c r="L694" i="18"/>
  <c r="K694" i="18"/>
  <c r="M693" i="18"/>
  <c r="L693" i="18"/>
  <c r="K693" i="18"/>
  <c r="M692" i="18"/>
  <c r="L692" i="18"/>
  <c r="K692" i="18"/>
  <c r="M691" i="18"/>
  <c r="L691" i="18"/>
  <c r="K691" i="18"/>
  <c r="M690" i="18"/>
  <c r="L690" i="18"/>
  <c r="K690" i="18"/>
  <c r="M689" i="18"/>
  <c r="L689" i="18"/>
  <c r="K689" i="18"/>
  <c r="M688" i="18"/>
  <c r="L688" i="18"/>
  <c r="K688" i="18"/>
  <c r="M687" i="18"/>
  <c r="L687" i="18"/>
  <c r="K687" i="18"/>
  <c r="M686" i="18"/>
  <c r="L686" i="18"/>
  <c r="K686" i="18"/>
  <c r="M685" i="18"/>
  <c r="L685" i="18"/>
  <c r="K685" i="18"/>
  <c r="M684" i="18"/>
  <c r="L684" i="18"/>
  <c r="K684" i="18"/>
  <c r="M683" i="18"/>
  <c r="L683" i="18"/>
  <c r="K683" i="18"/>
  <c r="M682" i="18"/>
  <c r="L682" i="18"/>
  <c r="K682" i="18"/>
  <c r="M681" i="18"/>
  <c r="L681" i="18"/>
  <c r="K681" i="18"/>
  <c r="M680" i="18"/>
  <c r="L680" i="18"/>
  <c r="K680" i="18"/>
  <c r="M679" i="18"/>
  <c r="L679" i="18"/>
  <c r="K679" i="18"/>
  <c r="M678" i="18"/>
  <c r="L678" i="18"/>
  <c r="K678" i="18"/>
  <c r="M677" i="18"/>
  <c r="L677" i="18"/>
  <c r="K677" i="18"/>
  <c r="M676" i="18"/>
  <c r="L676" i="18"/>
  <c r="K676" i="18"/>
  <c r="M675" i="18"/>
  <c r="L675" i="18"/>
  <c r="K675" i="18"/>
  <c r="M674" i="18"/>
  <c r="L674" i="18"/>
  <c r="K674" i="18"/>
  <c r="M673" i="18"/>
  <c r="L673" i="18"/>
  <c r="K673" i="18"/>
  <c r="M672" i="18"/>
  <c r="L672" i="18"/>
  <c r="K672" i="18"/>
  <c r="M671" i="18"/>
  <c r="L671" i="18"/>
  <c r="K671" i="18"/>
  <c r="M670" i="18"/>
  <c r="L670" i="18"/>
  <c r="K670" i="18"/>
  <c r="M669" i="18"/>
  <c r="L669" i="18"/>
  <c r="K669" i="18"/>
  <c r="M668" i="18"/>
  <c r="L668" i="18"/>
  <c r="K668" i="18"/>
  <c r="M667" i="18"/>
  <c r="L667" i="18"/>
  <c r="K667" i="18"/>
  <c r="M666" i="18"/>
  <c r="L666" i="18"/>
  <c r="K666" i="18"/>
  <c r="M665" i="18"/>
  <c r="L665" i="18"/>
  <c r="K665" i="18"/>
  <c r="M664" i="18"/>
  <c r="L664" i="18"/>
  <c r="K664" i="18"/>
  <c r="M663" i="18"/>
  <c r="L663" i="18"/>
  <c r="K663" i="18"/>
  <c r="M662" i="18"/>
  <c r="L662" i="18"/>
  <c r="K662" i="18"/>
  <c r="M661" i="18"/>
  <c r="L661" i="18"/>
  <c r="K661" i="18"/>
  <c r="M660" i="18"/>
  <c r="L660" i="18"/>
  <c r="K660" i="18"/>
  <c r="M659" i="18"/>
  <c r="L659" i="18"/>
  <c r="K659" i="18"/>
  <c r="M658" i="18"/>
  <c r="L658" i="18"/>
  <c r="K658" i="18"/>
  <c r="M657" i="18"/>
  <c r="L657" i="18"/>
  <c r="K657" i="18"/>
  <c r="M656" i="18"/>
  <c r="L656" i="18"/>
  <c r="K656" i="18"/>
  <c r="M655" i="18"/>
  <c r="L655" i="18"/>
  <c r="K655" i="18"/>
  <c r="M654" i="18"/>
  <c r="L654" i="18"/>
  <c r="K654" i="18"/>
  <c r="M653" i="18"/>
  <c r="L653" i="18"/>
  <c r="K653" i="18"/>
  <c r="M652" i="18"/>
  <c r="L652" i="18"/>
  <c r="K652" i="18"/>
  <c r="M651" i="18"/>
  <c r="L651" i="18"/>
  <c r="K651" i="18"/>
  <c r="M650" i="18"/>
  <c r="L650" i="18"/>
  <c r="K650" i="18"/>
  <c r="M649" i="18"/>
  <c r="L649" i="18"/>
  <c r="K649" i="18"/>
  <c r="M648" i="18"/>
  <c r="L648" i="18"/>
  <c r="K648" i="18"/>
  <c r="M647" i="18"/>
  <c r="L647" i="18"/>
  <c r="K647" i="18"/>
  <c r="M646" i="18"/>
  <c r="L646" i="18"/>
  <c r="K646" i="18"/>
  <c r="M645" i="18"/>
  <c r="L645" i="18"/>
  <c r="K645" i="18"/>
  <c r="M644" i="18"/>
  <c r="L644" i="18"/>
  <c r="K644" i="18"/>
  <c r="M643" i="18"/>
  <c r="L643" i="18"/>
  <c r="K643" i="18"/>
  <c r="M642" i="18"/>
  <c r="L642" i="18"/>
  <c r="K642" i="18"/>
  <c r="M641" i="18"/>
  <c r="L641" i="18"/>
  <c r="K641" i="18"/>
  <c r="M640" i="18"/>
  <c r="L640" i="18"/>
  <c r="K640" i="18"/>
  <c r="M639" i="18"/>
  <c r="L639" i="18"/>
  <c r="K639" i="18"/>
  <c r="M638" i="18"/>
  <c r="L638" i="18"/>
  <c r="K638" i="18"/>
  <c r="M637" i="18"/>
  <c r="L637" i="18"/>
  <c r="K637" i="18"/>
  <c r="M636" i="18"/>
  <c r="L636" i="18"/>
  <c r="K636" i="18"/>
  <c r="M635" i="18"/>
  <c r="L635" i="18"/>
  <c r="K635" i="18"/>
  <c r="M634" i="18"/>
  <c r="L634" i="18"/>
  <c r="K634" i="18"/>
  <c r="M633" i="18"/>
  <c r="L633" i="18"/>
  <c r="K633" i="18"/>
  <c r="M632" i="18"/>
  <c r="L632" i="18"/>
  <c r="K632" i="18"/>
  <c r="M631" i="18"/>
  <c r="L631" i="18"/>
  <c r="K631" i="18"/>
  <c r="M630" i="18"/>
  <c r="L630" i="18"/>
  <c r="K630" i="18"/>
  <c r="M629" i="18"/>
  <c r="L629" i="18"/>
  <c r="K629" i="18"/>
  <c r="M628" i="18"/>
  <c r="L628" i="18"/>
  <c r="K628" i="18"/>
  <c r="M627" i="18"/>
  <c r="L627" i="18"/>
  <c r="K627" i="18"/>
  <c r="M626" i="18"/>
  <c r="L626" i="18"/>
  <c r="K626" i="18"/>
  <c r="M625" i="18"/>
  <c r="L625" i="18"/>
  <c r="K625" i="18"/>
  <c r="M624" i="18"/>
  <c r="L624" i="18"/>
  <c r="K624" i="18"/>
  <c r="M623" i="18"/>
  <c r="L623" i="18"/>
  <c r="K623" i="18"/>
  <c r="M622" i="18"/>
  <c r="L622" i="18"/>
  <c r="K622" i="18"/>
  <c r="M621" i="18"/>
  <c r="L621" i="18"/>
  <c r="K621" i="18"/>
  <c r="M620" i="18"/>
  <c r="L620" i="18"/>
  <c r="K620" i="18"/>
  <c r="M619" i="18"/>
  <c r="L619" i="18"/>
  <c r="K619" i="18"/>
  <c r="M618" i="18"/>
  <c r="L618" i="18"/>
  <c r="K618" i="18"/>
  <c r="M617" i="18"/>
  <c r="L617" i="18"/>
  <c r="K617" i="18"/>
  <c r="M616" i="18"/>
  <c r="L616" i="18"/>
  <c r="K616" i="18"/>
  <c r="M615" i="18"/>
  <c r="L615" i="18"/>
  <c r="K615" i="18"/>
  <c r="M614" i="18"/>
  <c r="L614" i="18"/>
  <c r="K614" i="18"/>
  <c r="M613" i="18"/>
  <c r="L613" i="18"/>
  <c r="K613" i="18"/>
  <c r="M612" i="18"/>
  <c r="L612" i="18"/>
  <c r="K612" i="18"/>
  <c r="M611" i="18"/>
  <c r="L611" i="18"/>
  <c r="K611" i="18"/>
  <c r="M610" i="18"/>
  <c r="L610" i="18"/>
  <c r="K610" i="18"/>
  <c r="M609" i="18"/>
  <c r="L609" i="18"/>
  <c r="K609" i="18"/>
  <c r="M608" i="18"/>
  <c r="L608" i="18"/>
  <c r="K608" i="18"/>
  <c r="M607" i="18"/>
  <c r="L607" i="18"/>
  <c r="K607" i="18"/>
  <c r="M606" i="18"/>
  <c r="L606" i="18"/>
  <c r="K606" i="18"/>
  <c r="M605" i="18"/>
  <c r="L605" i="18"/>
  <c r="K605" i="18"/>
  <c r="M604" i="18"/>
  <c r="L604" i="18"/>
  <c r="K604" i="18"/>
  <c r="M603" i="18"/>
  <c r="L603" i="18"/>
  <c r="K603" i="18"/>
  <c r="M602" i="18"/>
  <c r="L602" i="18"/>
  <c r="K602" i="18"/>
  <c r="M601" i="18"/>
  <c r="L601" i="18"/>
  <c r="K601" i="18"/>
  <c r="M600" i="18"/>
  <c r="L600" i="18"/>
  <c r="K600" i="18"/>
  <c r="M599" i="18"/>
  <c r="L599" i="18"/>
  <c r="K599" i="18"/>
  <c r="M598" i="18"/>
  <c r="L598" i="18"/>
  <c r="K598" i="18"/>
  <c r="M597" i="18"/>
  <c r="L597" i="18"/>
  <c r="K597" i="18"/>
  <c r="M596" i="18"/>
  <c r="L596" i="18"/>
  <c r="K596" i="18"/>
  <c r="M595" i="18"/>
  <c r="L595" i="18"/>
  <c r="K595" i="18"/>
  <c r="M594" i="18"/>
  <c r="L594" i="18"/>
  <c r="K594" i="18"/>
  <c r="M593" i="18"/>
  <c r="L593" i="18"/>
  <c r="K593" i="18"/>
  <c r="M592" i="18"/>
  <c r="L592" i="18"/>
  <c r="K592" i="18"/>
  <c r="M591" i="18"/>
  <c r="L591" i="18"/>
  <c r="K591" i="18"/>
  <c r="M590" i="18"/>
  <c r="L590" i="18"/>
  <c r="K590" i="18"/>
  <c r="M589" i="18"/>
  <c r="L589" i="18"/>
  <c r="K589" i="18"/>
  <c r="M588" i="18"/>
  <c r="L588" i="18"/>
  <c r="K588" i="18"/>
  <c r="M587" i="18"/>
  <c r="L587" i="18"/>
  <c r="K587" i="18"/>
  <c r="M586" i="18"/>
  <c r="L586" i="18"/>
  <c r="K586" i="18"/>
  <c r="M585" i="18"/>
  <c r="L585" i="18"/>
  <c r="K585" i="18"/>
  <c r="M584" i="18"/>
  <c r="L584" i="18"/>
  <c r="K584" i="18"/>
  <c r="M583" i="18"/>
  <c r="L583" i="18"/>
  <c r="K583" i="18"/>
  <c r="M582" i="18"/>
  <c r="L582" i="18"/>
  <c r="K582" i="18"/>
  <c r="M581" i="18"/>
  <c r="L581" i="18"/>
  <c r="K581" i="18"/>
  <c r="M580" i="18"/>
  <c r="L580" i="18"/>
  <c r="K580" i="18"/>
  <c r="M579" i="18"/>
  <c r="L579" i="18"/>
  <c r="K579" i="18"/>
  <c r="M578" i="18"/>
  <c r="L578" i="18"/>
  <c r="K578" i="18"/>
  <c r="M577" i="18"/>
  <c r="L577" i="18"/>
  <c r="K577" i="18"/>
  <c r="M576" i="18"/>
  <c r="L576" i="18"/>
  <c r="K576" i="18"/>
  <c r="M575" i="18"/>
  <c r="L575" i="18"/>
  <c r="K575" i="18"/>
  <c r="M574" i="18"/>
  <c r="L574" i="18"/>
  <c r="K574" i="18"/>
  <c r="M573" i="18"/>
  <c r="L573" i="18"/>
  <c r="K573" i="18"/>
  <c r="M572" i="18"/>
  <c r="L572" i="18"/>
  <c r="K572" i="18"/>
  <c r="M571" i="18"/>
  <c r="L571" i="18"/>
  <c r="K571" i="18"/>
  <c r="M570" i="18"/>
  <c r="L570" i="18"/>
  <c r="K570" i="18"/>
  <c r="M569" i="18"/>
  <c r="L569" i="18"/>
  <c r="K569" i="18"/>
  <c r="M568" i="18"/>
  <c r="L568" i="18"/>
  <c r="K568" i="18"/>
  <c r="M567" i="18"/>
  <c r="L567" i="18"/>
  <c r="K567" i="18"/>
  <c r="M566" i="18"/>
  <c r="L566" i="18"/>
  <c r="K566" i="18"/>
  <c r="M565" i="18"/>
  <c r="L565" i="18"/>
  <c r="K565" i="18"/>
  <c r="M564" i="18"/>
  <c r="L564" i="18"/>
  <c r="K564" i="18"/>
  <c r="M563" i="18"/>
  <c r="L563" i="18"/>
  <c r="K563" i="18"/>
  <c r="M562" i="18"/>
  <c r="L562" i="18"/>
  <c r="K562" i="18"/>
  <c r="M561" i="18"/>
  <c r="L561" i="18"/>
  <c r="K561" i="18"/>
  <c r="M560" i="18"/>
  <c r="L560" i="18"/>
  <c r="K560" i="18"/>
  <c r="M559" i="18"/>
  <c r="L559" i="18"/>
  <c r="K559" i="18"/>
  <c r="M558" i="18"/>
  <c r="L558" i="18"/>
  <c r="K558" i="18"/>
  <c r="M557" i="18"/>
  <c r="L557" i="18"/>
  <c r="K557" i="18"/>
  <c r="M556" i="18"/>
  <c r="L556" i="18"/>
  <c r="K556" i="18"/>
  <c r="M555" i="18"/>
  <c r="L555" i="18"/>
  <c r="K555" i="18"/>
  <c r="M554" i="18"/>
  <c r="L554" i="18"/>
  <c r="K554" i="18"/>
  <c r="M553" i="18"/>
  <c r="L553" i="18"/>
  <c r="K553" i="18"/>
  <c r="M552" i="18"/>
  <c r="L552" i="18"/>
  <c r="K552" i="18"/>
  <c r="M551" i="18"/>
  <c r="L551" i="18"/>
  <c r="K551" i="18"/>
  <c r="M550" i="18"/>
  <c r="L550" i="18"/>
  <c r="K550" i="18"/>
  <c r="M549" i="18"/>
  <c r="L549" i="18"/>
  <c r="K549" i="18"/>
  <c r="M548" i="18"/>
  <c r="L548" i="18"/>
  <c r="K548" i="18"/>
  <c r="M547" i="18"/>
  <c r="L547" i="18"/>
  <c r="K547" i="18"/>
  <c r="M546" i="18"/>
  <c r="L546" i="18"/>
  <c r="K546" i="18"/>
  <c r="M545" i="18"/>
  <c r="L545" i="18"/>
  <c r="K545" i="18"/>
  <c r="M544" i="18"/>
  <c r="L544" i="18"/>
  <c r="K544" i="18"/>
  <c r="M543" i="18"/>
  <c r="L543" i="18"/>
  <c r="K543" i="18"/>
  <c r="M542" i="18"/>
  <c r="L542" i="18"/>
  <c r="K542" i="18"/>
  <c r="M541" i="18"/>
  <c r="L541" i="18"/>
  <c r="K541" i="18"/>
  <c r="M540" i="18"/>
  <c r="L540" i="18"/>
  <c r="K540" i="18"/>
  <c r="M539" i="18"/>
  <c r="L539" i="18"/>
  <c r="K539" i="18"/>
  <c r="M538" i="18"/>
  <c r="L538" i="18"/>
  <c r="K538" i="18"/>
  <c r="M537" i="18"/>
  <c r="L537" i="18"/>
  <c r="K537" i="18"/>
  <c r="M536" i="18"/>
  <c r="L536" i="18"/>
  <c r="K536" i="18"/>
  <c r="M535" i="18"/>
  <c r="L535" i="18"/>
  <c r="K535" i="18"/>
  <c r="M534" i="18"/>
  <c r="L534" i="18"/>
  <c r="K534" i="18"/>
  <c r="M533" i="18"/>
  <c r="L533" i="18"/>
  <c r="K533" i="18"/>
  <c r="M532" i="18"/>
  <c r="L532" i="18"/>
  <c r="K532" i="18"/>
  <c r="M531" i="18"/>
  <c r="L531" i="18"/>
  <c r="K531" i="18"/>
  <c r="M530" i="18"/>
  <c r="L530" i="18"/>
  <c r="K530" i="18"/>
  <c r="M529" i="18"/>
  <c r="L529" i="18"/>
  <c r="K529" i="18"/>
  <c r="M528" i="18"/>
  <c r="L528" i="18"/>
  <c r="K528" i="18"/>
  <c r="M527" i="18"/>
  <c r="L527" i="18"/>
  <c r="K527" i="18"/>
  <c r="M526" i="18"/>
  <c r="L526" i="18"/>
  <c r="K526" i="18"/>
  <c r="M525" i="18"/>
  <c r="L525" i="18"/>
  <c r="K525" i="18"/>
  <c r="M524" i="18"/>
  <c r="L524" i="18"/>
  <c r="K524" i="18"/>
  <c r="M523" i="18"/>
  <c r="L523" i="18"/>
  <c r="K523" i="18"/>
  <c r="M522" i="18"/>
  <c r="L522" i="18"/>
  <c r="K522" i="18"/>
  <c r="M521" i="18"/>
  <c r="L521" i="18"/>
  <c r="K521" i="18"/>
  <c r="M520" i="18"/>
  <c r="L520" i="18"/>
  <c r="K520" i="18"/>
  <c r="M519" i="18"/>
  <c r="L519" i="18"/>
  <c r="K519" i="18"/>
  <c r="M518" i="18"/>
  <c r="L518" i="18"/>
  <c r="K518" i="18"/>
  <c r="M517" i="18"/>
  <c r="L517" i="18"/>
  <c r="K517" i="18"/>
  <c r="M516" i="18"/>
  <c r="L516" i="18"/>
  <c r="K516" i="18"/>
  <c r="M515" i="18"/>
  <c r="L515" i="18"/>
  <c r="K515" i="18"/>
  <c r="M514" i="18"/>
  <c r="L514" i="18"/>
  <c r="K514" i="18"/>
  <c r="M513" i="18"/>
  <c r="L513" i="18"/>
  <c r="K513" i="18"/>
  <c r="M512" i="18"/>
  <c r="L512" i="18"/>
  <c r="K512" i="18"/>
  <c r="M511" i="18"/>
  <c r="L511" i="18"/>
  <c r="K511" i="18"/>
  <c r="M510" i="18"/>
  <c r="L510" i="18"/>
  <c r="K510" i="18"/>
  <c r="M509" i="18"/>
  <c r="L509" i="18"/>
  <c r="K509" i="18"/>
  <c r="M508" i="18"/>
  <c r="L508" i="18"/>
  <c r="K508" i="18"/>
  <c r="M507" i="18"/>
  <c r="L507" i="18"/>
  <c r="K507" i="18"/>
  <c r="M506" i="18"/>
  <c r="L506" i="18"/>
  <c r="K506" i="18"/>
  <c r="M505" i="18"/>
  <c r="L505" i="18"/>
  <c r="K505" i="18"/>
  <c r="M504" i="18"/>
  <c r="L504" i="18"/>
  <c r="K504" i="18"/>
  <c r="M503" i="18"/>
  <c r="L503" i="18"/>
  <c r="K503" i="18"/>
  <c r="M502" i="18"/>
  <c r="L502" i="18"/>
  <c r="K502" i="18"/>
  <c r="M501" i="18"/>
  <c r="L501" i="18"/>
  <c r="K501" i="18"/>
  <c r="M500" i="18"/>
  <c r="L500" i="18"/>
  <c r="K500" i="18"/>
  <c r="M499" i="18"/>
  <c r="L499" i="18"/>
  <c r="K499" i="18"/>
  <c r="M498" i="18"/>
  <c r="L498" i="18"/>
  <c r="K498" i="18"/>
  <c r="M497" i="18"/>
  <c r="L497" i="18"/>
  <c r="K497" i="18"/>
  <c r="M496" i="18"/>
  <c r="L496" i="18"/>
  <c r="K496" i="18"/>
  <c r="M495" i="18"/>
  <c r="L495" i="18"/>
  <c r="K495" i="18"/>
  <c r="M494" i="18"/>
  <c r="L494" i="18"/>
  <c r="K494" i="18"/>
  <c r="M493" i="18"/>
  <c r="L493" i="18"/>
  <c r="K493" i="18"/>
  <c r="M492" i="18"/>
  <c r="L492" i="18"/>
  <c r="K492" i="18"/>
  <c r="M491" i="18"/>
  <c r="L491" i="18"/>
  <c r="K491" i="18"/>
  <c r="M490" i="18"/>
  <c r="L490" i="18"/>
  <c r="K490" i="18"/>
  <c r="M489" i="18"/>
  <c r="L489" i="18"/>
  <c r="K489" i="18"/>
  <c r="M488" i="18"/>
  <c r="L488" i="18"/>
  <c r="K488" i="18"/>
  <c r="M487" i="18"/>
  <c r="L487" i="18"/>
  <c r="K487" i="18"/>
  <c r="M486" i="18"/>
  <c r="L486" i="18"/>
  <c r="K486" i="18"/>
  <c r="M485" i="18"/>
  <c r="L485" i="18"/>
  <c r="K485" i="18"/>
  <c r="M484" i="18"/>
  <c r="L484" i="18"/>
  <c r="K484" i="18"/>
  <c r="M483" i="18"/>
  <c r="L483" i="18"/>
  <c r="K483" i="18"/>
  <c r="M482" i="18"/>
  <c r="L482" i="18"/>
  <c r="K482" i="18"/>
  <c r="M481" i="18"/>
  <c r="L481" i="18"/>
  <c r="K481" i="18"/>
  <c r="M480" i="18"/>
  <c r="L480" i="18"/>
  <c r="K480" i="18"/>
  <c r="M479" i="18"/>
  <c r="L479" i="18"/>
  <c r="K479" i="18"/>
  <c r="M478" i="18"/>
  <c r="L478" i="18"/>
  <c r="K478" i="18"/>
  <c r="M477" i="18"/>
  <c r="L477" i="18"/>
  <c r="K477" i="18"/>
  <c r="M476" i="18"/>
  <c r="L476" i="18"/>
  <c r="K476" i="18"/>
  <c r="M475" i="18"/>
  <c r="L475" i="18"/>
  <c r="K475" i="18"/>
  <c r="M474" i="18"/>
  <c r="L474" i="18"/>
  <c r="K474" i="18"/>
  <c r="M473" i="18"/>
  <c r="L473" i="18"/>
  <c r="K473" i="18"/>
  <c r="M472" i="18"/>
  <c r="L472" i="18"/>
  <c r="K472" i="18"/>
  <c r="M471" i="18"/>
  <c r="L471" i="18"/>
  <c r="K471" i="18"/>
  <c r="M470" i="18"/>
  <c r="L470" i="18"/>
  <c r="K470" i="18"/>
  <c r="M469" i="18"/>
  <c r="L469" i="18"/>
  <c r="K469" i="18"/>
  <c r="M468" i="18"/>
  <c r="L468" i="18"/>
  <c r="K468" i="18"/>
  <c r="M467" i="18"/>
  <c r="L467" i="18"/>
  <c r="K467" i="18"/>
  <c r="M466" i="18"/>
  <c r="L466" i="18"/>
  <c r="K466" i="18"/>
  <c r="M465" i="18"/>
  <c r="L465" i="18"/>
  <c r="K465" i="18"/>
  <c r="M464" i="18"/>
  <c r="L464" i="18"/>
  <c r="K464" i="18"/>
  <c r="M463" i="18"/>
  <c r="L463" i="18"/>
  <c r="K463" i="18"/>
  <c r="M462" i="18"/>
  <c r="L462" i="18"/>
  <c r="K462" i="18"/>
  <c r="M461" i="18"/>
  <c r="L461" i="18"/>
  <c r="K461" i="18"/>
  <c r="M460" i="18"/>
  <c r="L460" i="18"/>
  <c r="K460" i="18"/>
  <c r="M459" i="18"/>
  <c r="L459" i="18"/>
  <c r="K459" i="18"/>
  <c r="M458" i="18"/>
  <c r="L458" i="18"/>
  <c r="K458" i="18"/>
  <c r="M457" i="18"/>
  <c r="L457" i="18"/>
  <c r="K457" i="18"/>
  <c r="M456" i="18"/>
  <c r="L456" i="18"/>
  <c r="K456" i="18"/>
  <c r="M455" i="18"/>
  <c r="L455" i="18"/>
  <c r="K455" i="18"/>
  <c r="M454" i="18"/>
  <c r="L454" i="18"/>
  <c r="K454" i="18"/>
  <c r="M453" i="18"/>
  <c r="L453" i="18"/>
  <c r="K453" i="18"/>
  <c r="M452" i="18"/>
  <c r="L452" i="18"/>
  <c r="K452" i="18"/>
  <c r="M451" i="18"/>
  <c r="L451" i="18"/>
  <c r="K451" i="18"/>
  <c r="M450" i="18"/>
  <c r="L450" i="18"/>
  <c r="K450" i="18"/>
  <c r="M449" i="18"/>
  <c r="L449" i="18"/>
  <c r="K449" i="18"/>
  <c r="M448" i="18"/>
  <c r="L448" i="18"/>
  <c r="K448" i="18"/>
  <c r="M447" i="18"/>
  <c r="L447" i="18"/>
  <c r="K447" i="18"/>
  <c r="M446" i="18"/>
  <c r="L446" i="18"/>
  <c r="K446" i="18"/>
  <c r="M445" i="18"/>
  <c r="L445" i="18"/>
  <c r="K445" i="18"/>
  <c r="M444" i="18"/>
  <c r="L444" i="18"/>
  <c r="K444" i="18"/>
  <c r="M443" i="18"/>
  <c r="L443" i="18"/>
  <c r="K443" i="18"/>
  <c r="M442" i="18"/>
  <c r="L442" i="18"/>
  <c r="K442" i="18"/>
  <c r="M441" i="18"/>
  <c r="L441" i="18"/>
  <c r="K441" i="18"/>
  <c r="M440" i="18"/>
  <c r="L440" i="18"/>
  <c r="K440" i="18"/>
  <c r="M439" i="18"/>
  <c r="L439" i="18"/>
  <c r="K439" i="18"/>
  <c r="M438" i="18"/>
  <c r="L438" i="18"/>
  <c r="K438" i="18"/>
  <c r="M437" i="18"/>
  <c r="L437" i="18"/>
  <c r="K437" i="18"/>
  <c r="M436" i="18"/>
  <c r="L436" i="18"/>
  <c r="K436" i="18"/>
  <c r="M435" i="18"/>
  <c r="L435" i="18"/>
  <c r="K435" i="18"/>
  <c r="M434" i="18"/>
  <c r="L434" i="18"/>
  <c r="K434" i="18"/>
  <c r="M433" i="18"/>
  <c r="L433" i="18"/>
  <c r="K433" i="18"/>
  <c r="M432" i="18"/>
  <c r="L432" i="18"/>
  <c r="K432" i="18"/>
  <c r="M431" i="18"/>
  <c r="L431" i="18"/>
  <c r="K431" i="18"/>
  <c r="M430" i="18"/>
  <c r="L430" i="18"/>
  <c r="K430" i="18"/>
  <c r="M429" i="18"/>
  <c r="L429" i="18"/>
  <c r="K429" i="18"/>
  <c r="M428" i="18"/>
  <c r="L428" i="18"/>
  <c r="K428" i="18"/>
  <c r="M427" i="18"/>
  <c r="L427" i="18"/>
  <c r="K427" i="18"/>
  <c r="M426" i="18"/>
  <c r="L426" i="18"/>
  <c r="K426" i="18"/>
  <c r="M425" i="18"/>
  <c r="L425" i="18"/>
  <c r="K425" i="18"/>
  <c r="M424" i="18"/>
  <c r="L424" i="18"/>
  <c r="K424" i="18"/>
  <c r="M423" i="18"/>
  <c r="L423" i="18"/>
  <c r="K423" i="18"/>
  <c r="M422" i="18"/>
  <c r="L422" i="18"/>
  <c r="K422" i="18"/>
  <c r="M421" i="18"/>
  <c r="L421" i="18"/>
  <c r="K421" i="18"/>
  <c r="M420" i="18"/>
  <c r="L420" i="18"/>
  <c r="K420" i="18"/>
  <c r="M419" i="18"/>
  <c r="L419" i="18"/>
  <c r="K419" i="18"/>
  <c r="M418" i="18"/>
  <c r="L418" i="18"/>
  <c r="K418" i="18"/>
  <c r="M417" i="18"/>
  <c r="L417" i="18"/>
  <c r="K417" i="18"/>
  <c r="M416" i="18"/>
  <c r="L416" i="18"/>
  <c r="K416" i="18"/>
  <c r="M415" i="18"/>
  <c r="L415" i="18"/>
  <c r="K415" i="18"/>
  <c r="M414" i="18"/>
  <c r="L414" i="18"/>
  <c r="K414" i="18"/>
  <c r="M413" i="18"/>
  <c r="L413" i="18"/>
  <c r="K413" i="18"/>
  <c r="M412" i="18"/>
  <c r="L412" i="18"/>
  <c r="K412" i="18"/>
  <c r="M411" i="18"/>
  <c r="L411" i="18"/>
  <c r="K411" i="18"/>
  <c r="M410" i="18"/>
  <c r="L410" i="18"/>
  <c r="K410" i="18"/>
  <c r="M409" i="18"/>
  <c r="L409" i="18"/>
  <c r="K409" i="18"/>
  <c r="M408" i="18"/>
  <c r="L408" i="18"/>
  <c r="K408" i="18"/>
  <c r="M407" i="18"/>
  <c r="L407" i="18"/>
  <c r="K407" i="18"/>
  <c r="M406" i="18"/>
  <c r="L406" i="18"/>
  <c r="K406" i="18"/>
  <c r="M405" i="18"/>
  <c r="L405" i="18"/>
  <c r="K405" i="18"/>
  <c r="M404" i="18"/>
  <c r="L404" i="18"/>
  <c r="K404" i="18"/>
  <c r="M403" i="18"/>
  <c r="L403" i="18"/>
  <c r="K403" i="18"/>
  <c r="M402" i="18"/>
  <c r="L402" i="18"/>
  <c r="K402" i="18"/>
  <c r="M401" i="18"/>
  <c r="L401" i="18"/>
  <c r="K401" i="18"/>
  <c r="M400" i="18"/>
  <c r="L400" i="18"/>
  <c r="K400" i="18"/>
  <c r="M399" i="18"/>
  <c r="L399" i="18"/>
  <c r="K399" i="18"/>
  <c r="M398" i="18"/>
  <c r="L398" i="18"/>
  <c r="K398" i="18"/>
  <c r="M397" i="18"/>
  <c r="L397" i="18"/>
  <c r="K397" i="18"/>
  <c r="M396" i="18"/>
  <c r="L396" i="18"/>
  <c r="K396" i="18"/>
  <c r="M395" i="18"/>
  <c r="L395" i="18"/>
  <c r="K395" i="18"/>
  <c r="M394" i="18"/>
  <c r="L394" i="18"/>
  <c r="K394" i="18"/>
  <c r="M393" i="18"/>
  <c r="L393" i="18"/>
  <c r="K393" i="18"/>
  <c r="M392" i="18"/>
  <c r="L392" i="18"/>
  <c r="K392" i="18"/>
  <c r="M391" i="18"/>
  <c r="L391" i="18"/>
  <c r="K391" i="18"/>
  <c r="M390" i="18"/>
  <c r="L390" i="18"/>
  <c r="K390" i="18"/>
  <c r="M389" i="18"/>
  <c r="L389" i="18"/>
  <c r="K389" i="18"/>
  <c r="M388" i="18"/>
  <c r="L388" i="18"/>
  <c r="K388" i="18"/>
  <c r="M387" i="18"/>
  <c r="L387" i="18"/>
  <c r="K387" i="18"/>
  <c r="M386" i="18"/>
  <c r="L386" i="18"/>
  <c r="K386" i="18"/>
  <c r="M385" i="18"/>
  <c r="L385" i="18"/>
  <c r="K385" i="18"/>
  <c r="M384" i="18"/>
  <c r="L384" i="18"/>
  <c r="K384" i="18"/>
  <c r="M383" i="18"/>
  <c r="L383" i="18"/>
  <c r="K383" i="18"/>
  <c r="M382" i="18"/>
  <c r="L382" i="18"/>
  <c r="K382" i="18"/>
  <c r="M381" i="18"/>
  <c r="L381" i="18"/>
  <c r="K381" i="18"/>
  <c r="M380" i="18"/>
  <c r="L380" i="18"/>
  <c r="K380" i="18"/>
  <c r="M379" i="18"/>
  <c r="L379" i="18"/>
  <c r="K379" i="18"/>
  <c r="M378" i="18"/>
  <c r="L378" i="18"/>
  <c r="K378" i="18"/>
  <c r="M377" i="18"/>
  <c r="L377" i="18"/>
  <c r="K377" i="18"/>
  <c r="M376" i="18"/>
  <c r="L376" i="18"/>
  <c r="K376" i="18"/>
  <c r="M375" i="18"/>
  <c r="L375" i="18"/>
  <c r="K375" i="18"/>
  <c r="M374" i="18"/>
  <c r="L374" i="18"/>
  <c r="K374" i="18"/>
  <c r="M373" i="18"/>
  <c r="L373" i="18"/>
  <c r="K373" i="18"/>
  <c r="M372" i="18"/>
  <c r="L372" i="18"/>
  <c r="K372" i="18"/>
  <c r="M371" i="18"/>
  <c r="L371" i="18"/>
  <c r="K371" i="18"/>
  <c r="M370" i="18"/>
  <c r="L370" i="18"/>
  <c r="K370" i="18"/>
  <c r="M369" i="18"/>
  <c r="L369" i="18"/>
  <c r="K369" i="18"/>
  <c r="M368" i="18"/>
  <c r="L368" i="18"/>
  <c r="K368" i="18"/>
  <c r="M367" i="18"/>
  <c r="L367" i="18"/>
  <c r="K367" i="18"/>
  <c r="M366" i="18"/>
  <c r="L366" i="18"/>
  <c r="K366" i="18"/>
  <c r="M365" i="18"/>
  <c r="L365" i="18"/>
  <c r="K365" i="18"/>
  <c r="M364" i="18"/>
  <c r="L364" i="18"/>
  <c r="K364" i="18"/>
  <c r="M363" i="18"/>
  <c r="L363" i="18"/>
  <c r="K363" i="18"/>
  <c r="M362" i="18"/>
  <c r="L362" i="18"/>
  <c r="K362" i="18"/>
  <c r="M361" i="18"/>
  <c r="L361" i="18"/>
  <c r="K361" i="18"/>
  <c r="M360" i="18"/>
  <c r="L360" i="18"/>
  <c r="K360" i="18"/>
  <c r="M359" i="18"/>
  <c r="L359" i="18"/>
  <c r="K359" i="18"/>
  <c r="M358" i="18"/>
  <c r="L358" i="18"/>
  <c r="K358" i="18"/>
  <c r="M357" i="18"/>
  <c r="L357" i="18"/>
  <c r="K357" i="18"/>
  <c r="M356" i="18"/>
  <c r="L356" i="18"/>
  <c r="K356" i="18"/>
  <c r="M355" i="18"/>
  <c r="L355" i="18"/>
  <c r="K355" i="18"/>
  <c r="M354" i="18"/>
  <c r="L354" i="18"/>
  <c r="K354" i="18"/>
  <c r="M353" i="18"/>
  <c r="L353" i="18"/>
  <c r="K353" i="18"/>
  <c r="M352" i="18"/>
  <c r="L352" i="18"/>
  <c r="K352" i="18"/>
  <c r="M351" i="18"/>
  <c r="L351" i="18"/>
  <c r="K351" i="18"/>
  <c r="M350" i="18"/>
  <c r="L350" i="18"/>
  <c r="K350" i="18"/>
  <c r="M349" i="18"/>
  <c r="L349" i="18"/>
  <c r="K349" i="18"/>
  <c r="M348" i="18"/>
  <c r="L348" i="18"/>
  <c r="K348" i="18"/>
  <c r="M347" i="18"/>
  <c r="L347" i="18"/>
  <c r="K347" i="18"/>
  <c r="M346" i="18"/>
  <c r="L346" i="18"/>
  <c r="K346" i="18"/>
  <c r="M345" i="18"/>
  <c r="L345" i="18"/>
  <c r="K345" i="18"/>
  <c r="M344" i="18"/>
  <c r="L344" i="18"/>
  <c r="K344" i="18"/>
  <c r="M343" i="18"/>
  <c r="L343" i="18"/>
  <c r="K343" i="18"/>
  <c r="M342" i="18"/>
  <c r="L342" i="18"/>
  <c r="K342" i="18"/>
  <c r="M341" i="18"/>
  <c r="L341" i="18"/>
  <c r="K341" i="18"/>
  <c r="M340" i="18"/>
  <c r="L340" i="18"/>
  <c r="K340" i="18"/>
  <c r="M339" i="18"/>
  <c r="L339" i="18"/>
  <c r="K339" i="18"/>
  <c r="M338" i="18"/>
  <c r="L338" i="18"/>
  <c r="K338" i="18"/>
  <c r="M337" i="18"/>
  <c r="L337" i="18"/>
  <c r="K337" i="18"/>
  <c r="M336" i="18"/>
  <c r="L336" i="18"/>
  <c r="K336" i="18"/>
  <c r="M335" i="18"/>
  <c r="L335" i="18"/>
  <c r="K335" i="18"/>
  <c r="M334" i="18"/>
  <c r="L334" i="18"/>
  <c r="K334" i="18"/>
  <c r="M333" i="18"/>
  <c r="L333" i="18"/>
  <c r="K333" i="18"/>
  <c r="M332" i="18"/>
  <c r="L332" i="18"/>
  <c r="K332" i="18"/>
  <c r="M331" i="18"/>
  <c r="L331" i="18"/>
  <c r="K331" i="18"/>
  <c r="M330" i="18"/>
  <c r="L330" i="18"/>
  <c r="K330" i="18"/>
  <c r="M329" i="18"/>
  <c r="L329" i="18"/>
  <c r="K329" i="18"/>
  <c r="M328" i="18"/>
  <c r="L328" i="18"/>
  <c r="K328" i="18"/>
  <c r="M327" i="18"/>
  <c r="L327" i="18"/>
  <c r="K327" i="18"/>
  <c r="M326" i="18"/>
  <c r="L326" i="18"/>
  <c r="K326" i="18"/>
  <c r="M325" i="18"/>
  <c r="L325" i="18"/>
  <c r="K325" i="18"/>
  <c r="M324" i="18"/>
  <c r="L324" i="18"/>
  <c r="K324" i="18"/>
  <c r="M323" i="18"/>
  <c r="L323" i="18"/>
  <c r="K323" i="18"/>
  <c r="M322" i="18"/>
  <c r="L322" i="18"/>
  <c r="K322" i="18"/>
  <c r="M321" i="18"/>
  <c r="L321" i="18"/>
  <c r="K321" i="18"/>
  <c r="M320" i="18"/>
  <c r="L320" i="18"/>
  <c r="K320" i="18"/>
  <c r="M319" i="18"/>
  <c r="L319" i="18"/>
  <c r="K319" i="18"/>
  <c r="M318" i="18"/>
  <c r="L318" i="18"/>
  <c r="K318" i="18"/>
  <c r="M317" i="18"/>
  <c r="L317" i="18"/>
  <c r="K317" i="18"/>
  <c r="M316" i="18"/>
  <c r="L316" i="18"/>
  <c r="K316" i="18"/>
  <c r="M315" i="18"/>
  <c r="L315" i="18"/>
  <c r="K315" i="18"/>
  <c r="M314" i="18"/>
  <c r="L314" i="18"/>
  <c r="K314" i="18"/>
  <c r="M313" i="18"/>
  <c r="L313" i="18"/>
  <c r="K313" i="18"/>
  <c r="M312" i="18"/>
  <c r="L312" i="18"/>
  <c r="K312" i="18"/>
  <c r="M311" i="18"/>
  <c r="L311" i="18"/>
  <c r="K311" i="18"/>
  <c r="M310" i="18"/>
  <c r="L310" i="18"/>
  <c r="K310" i="18"/>
  <c r="M309" i="18"/>
  <c r="L309" i="18"/>
  <c r="K309" i="18"/>
  <c r="M308" i="18"/>
  <c r="L308" i="18"/>
  <c r="K308" i="18"/>
  <c r="M307" i="18"/>
  <c r="L307" i="18"/>
  <c r="K307" i="18"/>
  <c r="M306" i="18"/>
  <c r="L306" i="18"/>
  <c r="K306" i="18"/>
  <c r="M305" i="18"/>
  <c r="L305" i="18"/>
  <c r="K305" i="18"/>
  <c r="M304" i="18"/>
  <c r="L304" i="18"/>
  <c r="K304" i="18"/>
  <c r="M303" i="18"/>
  <c r="L303" i="18"/>
  <c r="K303" i="18"/>
  <c r="M302" i="18"/>
  <c r="L302" i="18"/>
  <c r="K302" i="18"/>
  <c r="M301" i="18"/>
  <c r="L301" i="18"/>
  <c r="K301" i="18"/>
  <c r="M300" i="18"/>
  <c r="L300" i="18"/>
  <c r="K300" i="18"/>
  <c r="M299" i="18"/>
  <c r="L299" i="18"/>
  <c r="K299" i="18"/>
  <c r="M298" i="18"/>
  <c r="L298" i="18"/>
  <c r="K298" i="18"/>
  <c r="M297" i="18"/>
  <c r="L297" i="18"/>
  <c r="K297" i="18"/>
  <c r="M296" i="18"/>
  <c r="L296" i="18"/>
  <c r="K296" i="18"/>
  <c r="M295" i="18"/>
  <c r="L295" i="18"/>
  <c r="K295" i="18"/>
  <c r="M294" i="18"/>
  <c r="L294" i="18"/>
  <c r="K294" i="18"/>
  <c r="M293" i="18"/>
  <c r="L293" i="18"/>
  <c r="K293" i="18"/>
  <c r="M292" i="18"/>
  <c r="L292" i="18"/>
  <c r="K292" i="18"/>
  <c r="M291" i="18"/>
  <c r="L291" i="18"/>
  <c r="K291" i="18"/>
  <c r="M290" i="18"/>
  <c r="L290" i="18"/>
  <c r="K290" i="18"/>
  <c r="M289" i="18"/>
  <c r="L289" i="18"/>
  <c r="K289" i="18"/>
  <c r="M288" i="18"/>
  <c r="L288" i="18"/>
  <c r="K288" i="18"/>
  <c r="M287" i="18"/>
  <c r="L287" i="18"/>
  <c r="K287" i="18"/>
  <c r="M286" i="18"/>
  <c r="L286" i="18"/>
  <c r="K286" i="18"/>
  <c r="M285" i="18"/>
  <c r="L285" i="18"/>
  <c r="K285" i="18"/>
  <c r="M284" i="18"/>
  <c r="L284" i="18"/>
  <c r="K284" i="18"/>
  <c r="M283" i="18"/>
  <c r="L283" i="18"/>
  <c r="K283" i="18"/>
  <c r="M282" i="18"/>
  <c r="L282" i="18"/>
  <c r="K282" i="18"/>
  <c r="M281" i="18"/>
  <c r="L281" i="18"/>
  <c r="K281" i="18"/>
  <c r="M280" i="18"/>
  <c r="L280" i="18"/>
  <c r="K280" i="18"/>
  <c r="M279" i="18"/>
  <c r="L279" i="18"/>
  <c r="K279" i="18"/>
  <c r="M278" i="18"/>
  <c r="L278" i="18"/>
  <c r="K278" i="18"/>
  <c r="M277" i="18"/>
  <c r="L277" i="18"/>
  <c r="K277" i="18"/>
  <c r="M276" i="18"/>
  <c r="L276" i="18"/>
  <c r="K276" i="18"/>
  <c r="M275" i="18"/>
  <c r="L275" i="18"/>
  <c r="K275" i="18"/>
  <c r="M274" i="18"/>
  <c r="L274" i="18"/>
  <c r="K274" i="18"/>
  <c r="M273" i="18"/>
  <c r="L273" i="18"/>
  <c r="K273" i="18"/>
  <c r="M272" i="18"/>
  <c r="L272" i="18"/>
  <c r="K272" i="18"/>
  <c r="M271" i="18"/>
  <c r="L271" i="18"/>
  <c r="K271" i="18"/>
  <c r="M270" i="18"/>
  <c r="L270" i="18"/>
  <c r="K270" i="18"/>
  <c r="M269" i="18"/>
  <c r="L269" i="18"/>
  <c r="K269" i="18"/>
  <c r="M268" i="18"/>
  <c r="L268" i="18"/>
  <c r="K268" i="18"/>
  <c r="M267" i="18"/>
  <c r="L267" i="18"/>
  <c r="K267" i="18"/>
  <c r="M266" i="18"/>
  <c r="L266" i="18"/>
  <c r="K266" i="18"/>
  <c r="M265" i="18"/>
  <c r="L265" i="18"/>
  <c r="K265" i="18"/>
  <c r="M264" i="18"/>
  <c r="L264" i="18"/>
  <c r="K264" i="18"/>
  <c r="M263" i="18"/>
  <c r="L263" i="18"/>
  <c r="K263" i="18"/>
  <c r="M262" i="18"/>
  <c r="L262" i="18"/>
  <c r="K262" i="18"/>
  <c r="M261" i="18"/>
  <c r="L261" i="18"/>
  <c r="K261" i="18"/>
  <c r="M260" i="18"/>
  <c r="L260" i="18"/>
  <c r="K260" i="18"/>
  <c r="M259" i="18"/>
  <c r="L259" i="18"/>
  <c r="K259" i="18"/>
  <c r="M258" i="18"/>
  <c r="L258" i="18"/>
  <c r="K258" i="18"/>
  <c r="M257" i="18"/>
  <c r="L257" i="18"/>
  <c r="K257" i="18"/>
  <c r="M256" i="18"/>
  <c r="L256" i="18"/>
  <c r="K256" i="18"/>
  <c r="M255" i="18"/>
  <c r="L255" i="18"/>
  <c r="K255" i="18"/>
  <c r="M254" i="18"/>
  <c r="L254" i="18"/>
  <c r="K254" i="18"/>
  <c r="M253" i="18"/>
  <c r="L253" i="18"/>
  <c r="K253" i="18"/>
  <c r="M252" i="18"/>
  <c r="L252" i="18"/>
  <c r="K252" i="18"/>
  <c r="M251" i="18"/>
  <c r="L251" i="18"/>
  <c r="K251" i="18"/>
  <c r="M250" i="18"/>
  <c r="L250" i="18"/>
  <c r="K250" i="18"/>
  <c r="M249" i="18"/>
  <c r="L249" i="18"/>
  <c r="K249" i="18"/>
  <c r="M248" i="18"/>
  <c r="L248" i="18"/>
  <c r="K248" i="18"/>
  <c r="M247" i="18"/>
  <c r="L247" i="18"/>
  <c r="K247" i="18"/>
  <c r="M246" i="18"/>
  <c r="L246" i="18"/>
  <c r="K246" i="18"/>
  <c r="M245" i="18"/>
  <c r="L245" i="18"/>
  <c r="K245" i="18"/>
  <c r="M244" i="18"/>
  <c r="L244" i="18"/>
  <c r="K244" i="18"/>
  <c r="M243" i="18"/>
  <c r="L243" i="18"/>
  <c r="K243" i="18"/>
  <c r="M242" i="18"/>
  <c r="L242" i="18"/>
  <c r="K242" i="18"/>
  <c r="M241" i="18"/>
  <c r="L241" i="18"/>
  <c r="K241" i="18"/>
  <c r="M240" i="18"/>
  <c r="L240" i="18"/>
  <c r="K240" i="18"/>
  <c r="M239" i="18"/>
  <c r="L239" i="18"/>
  <c r="K239" i="18"/>
  <c r="M238" i="18"/>
  <c r="L238" i="18"/>
  <c r="K238" i="18"/>
  <c r="M237" i="18"/>
  <c r="L237" i="18"/>
  <c r="K237" i="18"/>
  <c r="M236" i="18"/>
  <c r="L236" i="18"/>
  <c r="K236" i="18"/>
  <c r="M235" i="18"/>
  <c r="L235" i="18"/>
  <c r="K235" i="18"/>
  <c r="M234" i="18"/>
  <c r="L234" i="18"/>
  <c r="K234" i="18"/>
  <c r="M233" i="18"/>
  <c r="L233" i="18"/>
  <c r="K233" i="18"/>
  <c r="M232" i="18"/>
  <c r="L232" i="18"/>
  <c r="K232" i="18"/>
  <c r="M231" i="18"/>
  <c r="L231" i="18"/>
  <c r="K231" i="18"/>
  <c r="M230" i="18"/>
  <c r="L230" i="18"/>
  <c r="K230" i="18"/>
  <c r="M229" i="18"/>
  <c r="L229" i="18"/>
  <c r="K229" i="18"/>
  <c r="M228" i="18"/>
  <c r="L228" i="18"/>
  <c r="K228" i="18"/>
  <c r="M227" i="18"/>
  <c r="L227" i="18"/>
  <c r="K227" i="18"/>
  <c r="M226" i="18"/>
  <c r="L226" i="18"/>
  <c r="K226" i="18"/>
  <c r="M225" i="18"/>
  <c r="L225" i="18"/>
  <c r="K225" i="18"/>
  <c r="M224" i="18"/>
  <c r="L224" i="18"/>
  <c r="K224" i="18"/>
  <c r="M223" i="18"/>
  <c r="L223" i="18"/>
  <c r="K223" i="18"/>
  <c r="M222" i="18"/>
  <c r="L222" i="18"/>
  <c r="K222" i="18"/>
  <c r="M221" i="18"/>
  <c r="L221" i="18"/>
  <c r="K221" i="18"/>
  <c r="M220" i="18"/>
  <c r="L220" i="18"/>
  <c r="K220" i="18"/>
  <c r="M219" i="18"/>
  <c r="L219" i="18"/>
  <c r="K219" i="18"/>
  <c r="M218" i="18"/>
  <c r="L218" i="18"/>
  <c r="K218" i="18"/>
  <c r="M217" i="18"/>
  <c r="L217" i="18"/>
  <c r="K217" i="18"/>
  <c r="M216" i="18"/>
  <c r="L216" i="18"/>
  <c r="K216" i="18"/>
  <c r="M215" i="18"/>
  <c r="L215" i="18"/>
  <c r="K215" i="18"/>
  <c r="M214" i="18"/>
  <c r="L214" i="18"/>
  <c r="K214" i="18"/>
  <c r="M213" i="18"/>
  <c r="L213" i="18"/>
  <c r="K213" i="18"/>
  <c r="M212" i="18"/>
  <c r="L212" i="18"/>
  <c r="K212" i="18"/>
  <c r="M211" i="18"/>
  <c r="L211" i="18"/>
  <c r="K211" i="18"/>
  <c r="M210" i="18"/>
  <c r="L210" i="18"/>
  <c r="K210" i="18"/>
  <c r="M209" i="18"/>
  <c r="L209" i="18"/>
  <c r="K209" i="18"/>
  <c r="M208" i="18"/>
  <c r="L208" i="18"/>
  <c r="K208" i="18"/>
  <c r="M207" i="18"/>
  <c r="L207" i="18"/>
  <c r="K207" i="18"/>
  <c r="M206" i="18"/>
  <c r="L206" i="18"/>
  <c r="K206" i="18"/>
  <c r="M205" i="18"/>
  <c r="L205" i="18"/>
  <c r="K205" i="18"/>
  <c r="M204" i="18"/>
  <c r="L204" i="18"/>
  <c r="K204" i="18"/>
  <c r="M203" i="18"/>
  <c r="L203" i="18"/>
  <c r="K203" i="18"/>
  <c r="M202" i="18"/>
  <c r="L202" i="18"/>
  <c r="K202" i="18"/>
  <c r="M201" i="18"/>
  <c r="L201" i="18"/>
  <c r="K201" i="18"/>
  <c r="M200" i="18"/>
  <c r="L200" i="18"/>
  <c r="K200" i="18"/>
  <c r="M199" i="18"/>
  <c r="L199" i="18"/>
  <c r="K199" i="18"/>
  <c r="M198" i="18"/>
  <c r="L198" i="18"/>
  <c r="K198" i="18"/>
  <c r="M197" i="18"/>
  <c r="L197" i="18"/>
  <c r="K197" i="18"/>
  <c r="M196" i="18"/>
  <c r="L196" i="18"/>
  <c r="K196" i="18"/>
  <c r="M195" i="18"/>
  <c r="L195" i="18"/>
  <c r="K195" i="18"/>
  <c r="M194" i="18"/>
  <c r="L194" i="18"/>
  <c r="K194" i="18"/>
  <c r="M193" i="18"/>
  <c r="L193" i="18"/>
  <c r="K193" i="18"/>
  <c r="M192" i="18"/>
  <c r="L192" i="18"/>
  <c r="K192" i="18"/>
  <c r="M191" i="18"/>
  <c r="L191" i="18"/>
  <c r="K191" i="18"/>
  <c r="M190" i="18"/>
  <c r="L190" i="18"/>
  <c r="K190" i="18"/>
  <c r="M189" i="18"/>
  <c r="L189" i="18"/>
  <c r="K189" i="18"/>
  <c r="M188" i="18"/>
  <c r="L188" i="18"/>
  <c r="K188" i="18"/>
  <c r="M187" i="18"/>
  <c r="L187" i="18"/>
  <c r="K187" i="18"/>
  <c r="M186" i="18"/>
  <c r="L186" i="18"/>
  <c r="K186" i="18"/>
  <c r="M185" i="18"/>
  <c r="L185" i="18"/>
  <c r="K185" i="18"/>
  <c r="M184" i="18"/>
  <c r="L184" i="18"/>
  <c r="K184" i="18"/>
  <c r="M183" i="18"/>
  <c r="L183" i="18"/>
  <c r="K183" i="18"/>
  <c r="M182" i="18"/>
  <c r="L182" i="18"/>
  <c r="K182" i="18"/>
  <c r="M181" i="18"/>
  <c r="L181" i="18"/>
  <c r="K181" i="18"/>
  <c r="M180" i="18"/>
  <c r="L180" i="18"/>
  <c r="K180" i="18"/>
  <c r="M179" i="18"/>
  <c r="L179" i="18"/>
  <c r="K179" i="18"/>
  <c r="M178" i="18"/>
  <c r="L178" i="18"/>
  <c r="K178" i="18"/>
  <c r="M177" i="18"/>
  <c r="L177" i="18"/>
  <c r="K177" i="18"/>
  <c r="M176" i="18"/>
  <c r="L176" i="18"/>
  <c r="K176" i="18"/>
  <c r="M175" i="18"/>
  <c r="L175" i="18"/>
  <c r="K175" i="18"/>
  <c r="M174" i="18"/>
  <c r="L174" i="18"/>
  <c r="K174" i="18"/>
  <c r="M173" i="18"/>
  <c r="L173" i="18"/>
  <c r="K173" i="18"/>
  <c r="M172" i="18"/>
  <c r="L172" i="18"/>
  <c r="K172" i="18"/>
  <c r="M171" i="18"/>
  <c r="L171" i="18"/>
  <c r="K171" i="18"/>
  <c r="M170" i="18"/>
  <c r="L170" i="18"/>
  <c r="K170" i="18"/>
  <c r="M169" i="18"/>
  <c r="L169" i="18"/>
  <c r="K169" i="18"/>
  <c r="M168" i="18"/>
  <c r="L168" i="18"/>
  <c r="K168" i="18"/>
  <c r="M167" i="18"/>
  <c r="L167" i="18"/>
  <c r="K167" i="18"/>
  <c r="M166" i="18"/>
  <c r="L166" i="18"/>
  <c r="K166" i="18"/>
  <c r="M165" i="18"/>
  <c r="L165" i="18"/>
  <c r="K165" i="18"/>
  <c r="M164" i="18"/>
  <c r="L164" i="18"/>
  <c r="K164" i="18"/>
  <c r="M163" i="18"/>
  <c r="L163" i="18"/>
  <c r="K163" i="18"/>
  <c r="M162" i="18"/>
  <c r="L162" i="18"/>
  <c r="K162" i="18"/>
  <c r="M161" i="18"/>
  <c r="L161" i="18"/>
  <c r="K161" i="18"/>
  <c r="M160" i="18"/>
  <c r="L160" i="18"/>
  <c r="K160" i="18"/>
  <c r="M159" i="18"/>
  <c r="L159" i="18"/>
  <c r="K159" i="18"/>
  <c r="M158" i="18"/>
  <c r="L158" i="18"/>
  <c r="K158" i="18"/>
  <c r="M157" i="18"/>
  <c r="L157" i="18"/>
  <c r="K157" i="18"/>
  <c r="M156" i="18"/>
  <c r="L156" i="18"/>
  <c r="K156" i="18"/>
  <c r="M155" i="18"/>
  <c r="L155" i="18"/>
  <c r="K155" i="18"/>
  <c r="M154" i="18"/>
  <c r="L154" i="18"/>
  <c r="K154" i="18"/>
  <c r="M153" i="18"/>
  <c r="L153" i="18"/>
  <c r="K153" i="18"/>
  <c r="M152" i="18"/>
  <c r="L152" i="18"/>
  <c r="K152" i="18"/>
  <c r="M151" i="18"/>
  <c r="L151" i="18"/>
  <c r="K151" i="18"/>
  <c r="M150" i="18"/>
  <c r="L150" i="18"/>
  <c r="K150" i="18"/>
  <c r="M149" i="18"/>
  <c r="L149" i="18"/>
  <c r="K149" i="18"/>
  <c r="M148" i="18"/>
  <c r="L148" i="18"/>
  <c r="K148" i="18"/>
  <c r="M147" i="18"/>
  <c r="L147" i="18"/>
  <c r="K147" i="18"/>
  <c r="M146" i="18"/>
  <c r="L146" i="18"/>
  <c r="K146" i="18"/>
  <c r="M145" i="18"/>
  <c r="L145" i="18"/>
  <c r="K145" i="18"/>
  <c r="M144" i="18"/>
  <c r="L144" i="18"/>
  <c r="K144" i="18"/>
  <c r="M143" i="18"/>
  <c r="L143" i="18"/>
  <c r="K143" i="18"/>
  <c r="M142" i="18"/>
  <c r="L142" i="18"/>
  <c r="K142" i="18"/>
  <c r="M141" i="18"/>
  <c r="L141" i="18"/>
  <c r="K141" i="18"/>
  <c r="M140" i="18"/>
  <c r="L140" i="18"/>
  <c r="K140" i="18"/>
  <c r="M139" i="18"/>
  <c r="L139" i="18"/>
  <c r="K139" i="18"/>
  <c r="M138" i="18"/>
  <c r="L138" i="18"/>
  <c r="K138" i="18"/>
  <c r="M137" i="18"/>
  <c r="L137" i="18"/>
  <c r="K137" i="18"/>
  <c r="M136" i="18"/>
  <c r="L136" i="18"/>
  <c r="K136" i="18"/>
  <c r="M135" i="18"/>
  <c r="L135" i="18"/>
  <c r="K135" i="18"/>
  <c r="M134" i="18"/>
  <c r="L134" i="18"/>
  <c r="K134" i="18"/>
  <c r="M133" i="18"/>
  <c r="L133" i="18"/>
  <c r="K133" i="18"/>
  <c r="M132" i="18"/>
  <c r="L132" i="18"/>
  <c r="K132" i="18"/>
  <c r="M131" i="18"/>
  <c r="L131" i="18"/>
  <c r="K131" i="18"/>
  <c r="M130" i="18"/>
  <c r="L130" i="18"/>
  <c r="K130" i="18"/>
  <c r="M129" i="18"/>
  <c r="L129" i="18"/>
  <c r="K129" i="18"/>
  <c r="M128" i="18"/>
  <c r="L128" i="18"/>
  <c r="K128" i="18"/>
  <c r="M127" i="18"/>
  <c r="L127" i="18"/>
  <c r="K127" i="18"/>
  <c r="M126" i="18"/>
  <c r="L126" i="18"/>
  <c r="K126" i="18"/>
  <c r="M125" i="18"/>
  <c r="L125" i="18"/>
  <c r="K125" i="18"/>
  <c r="M124" i="18"/>
  <c r="L124" i="18"/>
  <c r="K124" i="18"/>
  <c r="M123" i="18"/>
  <c r="L123" i="18"/>
  <c r="K123" i="18"/>
  <c r="M122" i="18"/>
  <c r="L122" i="18"/>
  <c r="K122" i="18"/>
  <c r="M121" i="18"/>
  <c r="L121" i="18"/>
  <c r="K121" i="18"/>
  <c r="M120" i="18"/>
  <c r="L120" i="18"/>
  <c r="K120" i="18"/>
  <c r="M119" i="18"/>
  <c r="L119" i="18"/>
  <c r="K119" i="18"/>
  <c r="M118" i="18"/>
  <c r="L118" i="18"/>
  <c r="K118" i="18"/>
  <c r="M117" i="18"/>
  <c r="L117" i="18"/>
  <c r="K117" i="18"/>
  <c r="M116" i="18"/>
  <c r="L116" i="18"/>
  <c r="K116" i="18"/>
  <c r="M115" i="18"/>
  <c r="L115" i="18"/>
  <c r="K115" i="18"/>
  <c r="M114" i="18"/>
  <c r="L114" i="18"/>
  <c r="K114" i="18"/>
  <c r="M113" i="18"/>
  <c r="L113" i="18"/>
  <c r="K113" i="18"/>
  <c r="M112" i="18"/>
  <c r="L112" i="18"/>
  <c r="K112" i="18"/>
  <c r="M111" i="18"/>
  <c r="L111" i="18"/>
  <c r="K111" i="18"/>
  <c r="M110" i="18"/>
  <c r="L110" i="18"/>
  <c r="K110" i="18"/>
  <c r="M109" i="18"/>
  <c r="L109" i="18"/>
  <c r="K109" i="18"/>
  <c r="M108" i="18"/>
  <c r="L108" i="18"/>
  <c r="K108" i="18"/>
  <c r="M107" i="18"/>
  <c r="L107" i="18"/>
  <c r="K107" i="18"/>
  <c r="M106" i="18"/>
  <c r="L106" i="18"/>
  <c r="K106" i="18"/>
  <c r="M105" i="18"/>
  <c r="L105" i="18"/>
  <c r="K105" i="18"/>
  <c r="M104" i="18"/>
  <c r="L104" i="18"/>
  <c r="K104" i="18"/>
  <c r="M103" i="18"/>
  <c r="L103" i="18"/>
  <c r="K103" i="18"/>
  <c r="M102" i="18"/>
  <c r="L102" i="18"/>
  <c r="K102" i="18"/>
  <c r="M101" i="18"/>
  <c r="L101" i="18"/>
  <c r="K101" i="18"/>
  <c r="M100" i="18"/>
  <c r="L100" i="18"/>
  <c r="K100" i="18"/>
  <c r="M99" i="18"/>
  <c r="L99" i="18"/>
  <c r="K99" i="18"/>
  <c r="M98" i="18"/>
  <c r="L98" i="18"/>
  <c r="K98" i="18"/>
  <c r="M97" i="18"/>
  <c r="L97" i="18"/>
  <c r="K97" i="18"/>
  <c r="M96" i="18"/>
  <c r="L96" i="18"/>
  <c r="K96" i="18"/>
  <c r="M95" i="18"/>
  <c r="L95" i="18"/>
  <c r="K95" i="18"/>
  <c r="M94" i="18"/>
  <c r="L94" i="18"/>
  <c r="K94" i="18"/>
  <c r="M93" i="18"/>
  <c r="L93" i="18"/>
  <c r="K93" i="18"/>
  <c r="M92" i="18"/>
  <c r="L92" i="18"/>
  <c r="K92" i="18"/>
  <c r="M91" i="18"/>
  <c r="L91" i="18"/>
  <c r="K91" i="18"/>
  <c r="M90" i="18"/>
  <c r="L90" i="18"/>
  <c r="K90" i="18"/>
  <c r="M89" i="18"/>
  <c r="L89" i="18"/>
  <c r="K89" i="18"/>
  <c r="M88" i="18"/>
  <c r="L88" i="18"/>
  <c r="K88" i="18"/>
  <c r="M87" i="18"/>
  <c r="L87" i="18"/>
  <c r="K87" i="18"/>
  <c r="M86" i="18"/>
  <c r="L86" i="18"/>
  <c r="K86" i="18"/>
  <c r="M85" i="18"/>
  <c r="L85" i="18"/>
  <c r="K85" i="18"/>
  <c r="M84" i="18"/>
  <c r="L84" i="18"/>
  <c r="K84" i="18"/>
  <c r="M83" i="18"/>
  <c r="L83" i="18"/>
  <c r="K83" i="18"/>
  <c r="M82" i="18"/>
  <c r="L82" i="18"/>
  <c r="K82" i="18"/>
  <c r="M81" i="18"/>
  <c r="L81" i="18"/>
  <c r="K81" i="18"/>
  <c r="M80" i="18"/>
  <c r="L80" i="18"/>
  <c r="K80" i="18"/>
  <c r="M79" i="18"/>
  <c r="L79" i="18"/>
  <c r="K79" i="18"/>
  <c r="M78" i="18"/>
  <c r="L78" i="18"/>
  <c r="K78" i="18"/>
  <c r="M77" i="18"/>
  <c r="L77" i="18"/>
  <c r="K77" i="18"/>
  <c r="M76" i="18"/>
  <c r="L76" i="18"/>
  <c r="K76" i="18"/>
  <c r="M75" i="18"/>
  <c r="L75" i="18"/>
  <c r="K75" i="18"/>
  <c r="M74" i="18"/>
  <c r="L74" i="18"/>
  <c r="K74" i="18"/>
  <c r="M73" i="18"/>
  <c r="L73" i="18"/>
  <c r="K73" i="18"/>
  <c r="M72" i="18"/>
  <c r="L72" i="18"/>
  <c r="K72" i="18"/>
  <c r="M71" i="18"/>
  <c r="L71" i="18"/>
  <c r="K71" i="18"/>
  <c r="M70" i="18"/>
  <c r="L70" i="18"/>
  <c r="K70" i="18"/>
  <c r="M69" i="18"/>
  <c r="L69" i="18"/>
  <c r="K69" i="18"/>
  <c r="M68" i="18"/>
  <c r="L68" i="18"/>
  <c r="K68" i="18"/>
  <c r="M67" i="18"/>
  <c r="L67" i="18"/>
  <c r="K67" i="18"/>
  <c r="M66" i="18"/>
  <c r="L66" i="18"/>
  <c r="K66" i="18"/>
  <c r="M65" i="18"/>
  <c r="L65" i="18"/>
  <c r="K65" i="18"/>
  <c r="M64" i="18"/>
  <c r="L64" i="18"/>
  <c r="K64" i="18"/>
  <c r="M63" i="18"/>
  <c r="L63" i="18"/>
  <c r="K63" i="18"/>
  <c r="M62" i="18"/>
  <c r="L62" i="18"/>
  <c r="K62" i="18"/>
  <c r="M61" i="18"/>
  <c r="L61" i="18"/>
  <c r="K61" i="18"/>
  <c r="M60" i="18"/>
  <c r="L60" i="18"/>
  <c r="K60" i="18"/>
  <c r="M59" i="18"/>
  <c r="L59" i="18"/>
  <c r="K59" i="18"/>
  <c r="M58" i="18"/>
  <c r="L58" i="18"/>
  <c r="K58" i="18"/>
  <c r="M57" i="18"/>
  <c r="L57" i="18"/>
  <c r="K57" i="18"/>
  <c r="M56" i="18"/>
  <c r="L56" i="18"/>
  <c r="K56" i="18"/>
  <c r="M55" i="18"/>
  <c r="L55" i="18"/>
  <c r="K55" i="18"/>
  <c r="M54" i="18"/>
  <c r="L54" i="18"/>
  <c r="K54" i="18"/>
  <c r="M53" i="18"/>
  <c r="L53" i="18"/>
  <c r="K53" i="18"/>
  <c r="M52" i="18"/>
  <c r="L52" i="18"/>
  <c r="K52" i="18"/>
  <c r="M51" i="18"/>
  <c r="L51" i="18"/>
  <c r="K51" i="18"/>
  <c r="M50" i="18"/>
  <c r="L50" i="18"/>
  <c r="K50" i="18"/>
  <c r="M49" i="18"/>
  <c r="L49" i="18"/>
  <c r="K49" i="18"/>
  <c r="M48" i="18"/>
  <c r="L48" i="18"/>
  <c r="K48" i="18"/>
  <c r="M47" i="18"/>
  <c r="L47" i="18"/>
  <c r="K47" i="18"/>
  <c r="M46" i="18"/>
  <c r="L46" i="18"/>
  <c r="K46" i="18"/>
  <c r="M45" i="18"/>
  <c r="L45" i="18"/>
  <c r="K45" i="18"/>
  <c r="M44" i="18"/>
  <c r="L44" i="18"/>
  <c r="K44" i="18"/>
  <c r="M43" i="18"/>
  <c r="L43" i="18"/>
  <c r="K43" i="18"/>
  <c r="M42" i="18"/>
  <c r="L42" i="18"/>
  <c r="K42" i="18"/>
  <c r="M41" i="18"/>
  <c r="L41" i="18"/>
  <c r="K41" i="18"/>
  <c r="M40" i="18"/>
  <c r="L40" i="18"/>
  <c r="K40" i="18"/>
  <c r="M39" i="18"/>
  <c r="L39" i="18"/>
  <c r="K39" i="18"/>
  <c r="M38" i="18"/>
  <c r="L38" i="18"/>
  <c r="K38" i="18"/>
  <c r="M37" i="18"/>
  <c r="L37" i="18"/>
  <c r="K37" i="18"/>
  <c r="M36" i="18"/>
  <c r="L36" i="18"/>
  <c r="M35" i="18"/>
  <c r="L35" i="18"/>
  <c r="K35" i="18"/>
  <c r="M34" i="18"/>
  <c r="L34" i="18"/>
  <c r="K34" i="18"/>
  <c r="M33" i="18"/>
  <c r="L33" i="18"/>
  <c r="K33" i="18"/>
  <c r="M32" i="18"/>
  <c r="L32" i="18"/>
  <c r="K32" i="18"/>
  <c r="M31" i="18"/>
  <c r="L31" i="18"/>
  <c r="K31" i="18"/>
  <c r="M30" i="18"/>
  <c r="L30" i="18"/>
  <c r="K30" i="18"/>
  <c r="M29" i="18"/>
  <c r="L29" i="18"/>
  <c r="K29" i="18"/>
  <c r="M28" i="18"/>
  <c r="L28" i="18"/>
  <c r="K28" i="18"/>
  <c r="M27" i="18"/>
  <c r="L27" i="18"/>
  <c r="K27" i="18"/>
  <c r="M26" i="18"/>
  <c r="L26" i="18"/>
  <c r="K26" i="18"/>
  <c r="M25" i="18"/>
  <c r="L25" i="18"/>
  <c r="K25" i="18"/>
  <c r="M24" i="18"/>
  <c r="L24" i="18"/>
  <c r="K24" i="18"/>
  <c r="M23" i="18"/>
  <c r="L23" i="18"/>
  <c r="K23" i="18"/>
  <c r="M22" i="18"/>
  <c r="L22" i="18"/>
  <c r="K22" i="18"/>
  <c r="M21" i="18"/>
  <c r="L21" i="18"/>
  <c r="K21" i="18"/>
  <c r="M20" i="18"/>
  <c r="L20" i="18"/>
  <c r="K20" i="18"/>
  <c r="M19" i="18"/>
  <c r="L19" i="18"/>
  <c r="K19" i="18"/>
  <c r="M18" i="18"/>
  <c r="L18" i="18"/>
  <c r="K18" i="18"/>
  <c r="M17" i="18"/>
  <c r="L17" i="18"/>
  <c r="K17" i="18"/>
  <c r="M16" i="18"/>
  <c r="L16" i="18"/>
  <c r="K16" i="18"/>
  <c r="M15" i="18"/>
  <c r="L15" i="18"/>
  <c r="K15" i="18"/>
  <c r="M14" i="18"/>
  <c r="L14" i="18"/>
  <c r="K14" i="18"/>
  <c r="M13" i="18"/>
  <c r="L13" i="18"/>
  <c r="K13" i="18"/>
  <c r="M12" i="18"/>
  <c r="L12" i="18"/>
  <c r="K12" i="18"/>
  <c r="M11" i="18"/>
  <c r="L11" i="18"/>
  <c r="K11" i="18"/>
  <c r="M10" i="18"/>
  <c r="L10" i="18"/>
  <c r="K10" i="18"/>
  <c r="M9" i="18"/>
  <c r="L9" i="18"/>
  <c r="K9" i="18"/>
  <c r="M8" i="18"/>
  <c r="L8" i="18"/>
  <c r="K8" i="18"/>
  <c r="M7" i="18"/>
  <c r="L7" i="18"/>
  <c r="B199" i="8" s="1"/>
  <c r="K7" i="18"/>
  <c r="M6" i="18"/>
  <c r="L6" i="18"/>
  <c r="K6" i="18"/>
  <c r="M740" i="17"/>
  <c r="L740" i="17"/>
  <c r="K740" i="17"/>
  <c r="M739" i="17"/>
  <c r="L739" i="17"/>
  <c r="K739" i="17"/>
  <c r="M738" i="17"/>
  <c r="L738" i="17"/>
  <c r="K738" i="17"/>
  <c r="M737" i="17"/>
  <c r="L737" i="17"/>
  <c r="K737" i="17"/>
  <c r="M736" i="17"/>
  <c r="L736" i="17"/>
  <c r="K736" i="17"/>
  <c r="M735" i="17"/>
  <c r="L735" i="17"/>
  <c r="K735" i="17"/>
  <c r="M734" i="17"/>
  <c r="L734" i="17"/>
  <c r="K734" i="17"/>
  <c r="M733" i="17"/>
  <c r="L733" i="17"/>
  <c r="K733" i="17"/>
  <c r="M732" i="17"/>
  <c r="L732" i="17"/>
  <c r="K732" i="17"/>
  <c r="M731" i="17"/>
  <c r="L731" i="17"/>
  <c r="K731" i="17"/>
  <c r="M730" i="17"/>
  <c r="L730" i="17"/>
  <c r="K730" i="17"/>
  <c r="M729" i="17"/>
  <c r="L729" i="17"/>
  <c r="K729" i="17"/>
  <c r="M728" i="17"/>
  <c r="L728" i="17"/>
  <c r="K728" i="17"/>
  <c r="M727" i="17"/>
  <c r="L727" i="17"/>
  <c r="K727" i="17"/>
  <c r="M726" i="17"/>
  <c r="L726" i="17"/>
  <c r="K726" i="17"/>
  <c r="M725" i="17"/>
  <c r="L725" i="17"/>
  <c r="K725" i="17"/>
  <c r="M724" i="17"/>
  <c r="L724" i="17"/>
  <c r="K724" i="17"/>
  <c r="M723" i="17"/>
  <c r="L723" i="17"/>
  <c r="K723" i="17"/>
  <c r="M722" i="17"/>
  <c r="L722" i="17"/>
  <c r="K722" i="17"/>
  <c r="M721" i="17"/>
  <c r="L721" i="17"/>
  <c r="K721" i="17"/>
  <c r="M720" i="17"/>
  <c r="L720" i="17"/>
  <c r="K720" i="17"/>
  <c r="M719" i="17"/>
  <c r="L719" i="17"/>
  <c r="K719" i="17"/>
  <c r="M718" i="17"/>
  <c r="L718" i="17"/>
  <c r="K718" i="17"/>
  <c r="M717" i="17"/>
  <c r="L717" i="17"/>
  <c r="K717" i="17"/>
  <c r="M716" i="17"/>
  <c r="L716" i="17"/>
  <c r="K716" i="17"/>
  <c r="M715" i="17"/>
  <c r="L715" i="17"/>
  <c r="K715" i="17"/>
  <c r="M714" i="17"/>
  <c r="L714" i="17"/>
  <c r="K714" i="17"/>
  <c r="M713" i="17"/>
  <c r="L713" i="17"/>
  <c r="K713" i="17"/>
  <c r="M712" i="17"/>
  <c r="L712" i="17"/>
  <c r="K712" i="17"/>
  <c r="M711" i="17"/>
  <c r="L711" i="17"/>
  <c r="K711" i="17"/>
  <c r="M710" i="17"/>
  <c r="L710" i="17"/>
  <c r="K710" i="17"/>
  <c r="M709" i="17"/>
  <c r="L709" i="17"/>
  <c r="K709" i="17"/>
  <c r="M708" i="17"/>
  <c r="L708" i="17"/>
  <c r="K708" i="17"/>
  <c r="M707" i="17"/>
  <c r="L707" i="17"/>
  <c r="K707" i="17"/>
  <c r="M706" i="17"/>
  <c r="L706" i="17"/>
  <c r="K706" i="17"/>
  <c r="M705" i="17"/>
  <c r="L705" i="17"/>
  <c r="K705" i="17"/>
  <c r="M704" i="17"/>
  <c r="L704" i="17"/>
  <c r="K704" i="17"/>
  <c r="M703" i="17"/>
  <c r="L703" i="17"/>
  <c r="K703" i="17"/>
  <c r="M702" i="17"/>
  <c r="L702" i="17"/>
  <c r="K702" i="17"/>
  <c r="M701" i="17"/>
  <c r="L701" i="17"/>
  <c r="K701" i="17"/>
  <c r="M700" i="17"/>
  <c r="L700" i="17"/>
  <c r="K700" i="17"/>
  <c r="M699" i="17"/>
  <c r="L699" i="17"/>
  <c r="K699" i="17"/>
  <c r="M698" i="17"/>
  <c r="L698" i="17"/>
  <c r="K698" i="17"/>
  <c r="M697" i="17"/>
  <c r="L697" i="17"/>
  <c r="K697" i="17"/>
  <c r="M696" i="17"/>
  <c r="L696" i="17"/>
  <c r="K696" i="17"/>
  <c r="M695" i="17"/>
  <c r="L695" i="17"/>
  <c r="K695" i="17"/>
  <c r="M694" i="17"/>
  <c r="L694" i="17"/>
  <c r="K694" i="17"/>
  <c r="M693" i="17"/>
  <c r="L693" i="17"/>
  <c r="K693" i="17"/>
  <c r="M692" i="17"/>
  <c r="L692" i="17"/>
  <c r="K692" i="17"/>
  <c r="M691" i="17"/>
  <c r="L691" i="17"/>
  <c r="K691" i="17"/>
  <c r="M690" i="17"/>
  <c r="L690" i="17"/>
  <c r="K690" i="17"/>
  <c r="M689" i="17"/>
  <c r="L689" i="17"/>
  <c r="K689" i="17"/>
  <c r="M688" i="17"/>
  <c r="L688" i="17"/>
  <c r="K688" i="17"/>
  <c r="M687" i="17"/>
  <c r="L687" i="17"/>
  <c r="K687" i="17"/>
  <c r="M686" i="17"/>
  <c r="L686" i="17"/>
  <c r="K686" i="17"/>
  <c r="M685" i="17"/>
  <c r="L685" i="17"/>
  <c r="K685" i="17"/>
  <c r="M684" i="17"/>
  <c r="L684" i="17"/>
  <c r="K684" i="17"/>
  <c r="M683" i="17"/>
  <c r="L683" i="17"/>
  <c r="K683" i="17"/>
  <c r="M682" i="17"/>
  <c r="L682" i="17"/>
  <c r="K682" i="17"/>
  <c r="M681" i="17"/>
  <c r="L681" i="17"/>
  <c r="K681" i="17"/>
  <c r="M680" i="17"/>
  <c r="L680" i="17"/>
  <c r="K680" i="17"/>
  <c r="M679" i="17"/>
  <c r="L679" i="17"/>
  <c r="K679" i="17"/>
  <c r="M678" i="17"/>
  <c r="L678" i="17"/>
  <c r="K678" i="17"/>
  <c r="M677" i="17"/>
  <c r="L677" i="17"/>
  <c r="K677" i="17"/>
  <c r="M676" i="17"/>
  <c r="L676" i="17"/>
  <c r="K676" i="17"/>
  <c r="M675" i="17"/>
  <c r="L675" i="17"/>
  <c r="K675" i="17"/>
  <c r="M674" i="17"/>
  <c r="L674" i="17"/>
  <c r="K674" i="17"/>
  <c r="M673" i="17"/>
  <c r="L673" i="17"/>
  <c r="K673" i="17"/>
  <c r="M672" i="17"/>
  <c r="L672" i="17"/>
  <c r="K672" i="17"/>
  <c r="M671" i="17"/>
  <c r="L671" i="17"/>
  <c r="K671" i="17"/>
  <c r="M670" i="17"/>
  <c r="L670" i="17"/>
  <c r="K670" i="17"/>
  <c r="M669" i="17"/>
  <c r="L669" i="17"/>
  <c r="K669" i="17"/>
  <c r="M668" i="17"/>
  <c r="L668" i="17"/>
  <c r="K668" i="17"/>
  <c r="M667" i="17"/>
  <c r="L667" i="17"/>
  <c r="K667" i="17"/>
  <c r="M666" i="17"/>
  <c r="L666" i="17"/>
  <c r="K666" i="17"/>
  <c r="M665" i="17"/>
  <c r="L665" i="17"/>
  <c r="K665" i="17"/>
  <c r="M664" i="17"/>
  <c r="L664" i="17"/>
  <c r="K664" i="17"/>
  <c r="M663" i="17"/>
  <c r="L663" i="17"/>
  <c r="K663" i="17"/>
  <c r="M662" i="17"/>
  <c r="L662" i="17"/>
  <c r="K662" i="17"/>
  <c r="M661" i="17"/>
  <c r="L661" i="17"/>
  <c r="K661" i="17"/>
  <c r="M660" i="17"/>
  <c r="L660" i="17"/>
  <c r="K660" i="17"/>
  <c r="M659" i="17"/>
  <c r="L659" i="17"/>
  <c r="K659" i="17"/>
  <c r="M658" i="17"/>
  <c r="L658" i="17"/>
  <c r="K658" i="17"/>
  <c r="M657" i="17"/>
  <c r="L657" i="17"/>
  <c r="K657" i="17"/>
  <c r="M656" i="17"/>
  <c r="L656" i="17"/>
  <c r="K656" i="17"/>
  <c r="M655" i="17"/>
  <c r="L655" i="17"/>
  <c r="K655" i="17"/>
  <c r="M654" i="17"/>
  <c r="L654" i="17"/>
  <c r="K654" i="17"/>
  <c r="M653" i="17"/>
  <c r="L653" i="17"/>
  <c r="K653" i="17"/>
  <c r="M652" i="17"/>
  <c r="L652" i="17"/>
  <c r="K652" i="17"/>
  <c r="M651" i="17"/>
  <c r="L651" i="17"/>
  <c r="K651" i="17"/>
  <c r="M650" i="17"/>
  <c r="L650" i="17"/>
  <c r="K650" i="17"/>
  <c r="M649" i="17"/>
  <c r="L649" i="17"/>
  <c r="K649" i="17"/>
  <c r="M648" i="17"/>
  <c r="L648" i="17"/>
  <c r="K648" i="17"/>
  <c r="M647" i="17"/>
  <c r="L647" i="17"/>
  <c r="K647" i="17"/>
  <c r="M646" i="17"/>
  <c r="L646" i="17"/>
  <c r="K646" i="17"/>
  <c r="M645" i="17"/>
  <c r="L645" i="17"/>
  <c r="K645" i="17"/>
  <c r="M644" i="17"/>
  <c r="L644" i="17"/>
  <c r="K644" i="17"/>
  <c r="M643" i="17"/>
  <c r="L643" i="17"/>
  <c r="K643" i="17"/>
  <c r="M642" i="17"/>
  <c r="L642" i="17"/>
  <c r="K642" i="17"/>
  <c r="M641" i="17"/>
  <c r="L641" i="17"/>
  <c r="K641" i="17"/>
  <c r="M640" i="17"/>
  <c r="L640" i="17"/>
  <c r="K640" i="17"/>
  <c r="M639" i="17"/>
  <c r="L639" i="17"/>
  <c r="K639" i="17"/>
  <c r="M638" i="17"/>
  <c r="L638" i="17"/>
  <c r="K638" i="17"/>
  <c r="M637" i="17"/>
  <c r="L637" i="17"/>
  <c r="K637" i="17"/>
  <c r="M636" i="17"/>
  <c r="L636" i="17"/>
  <c r="K636" i="17"/>
  <c r="M635" i="17"/>
  <c r="L635" i="17"/>
  <c r="K635" i="17"/>
  <c r="M634" i="17"/>
  <c r="L634" i="17"/>
  <c r="K634" i="17"/>
  <c r="M633" i="17"/>
  <c r="L633" i="17"/>
  <c r="K633" i="17"/>
  <c r="M632" i="17"/>
  <c r="L632" i="17"/>
  <c r="K632" i="17"/>
  <c r="M631" i="17"/>
  <c r="L631" i="17"/>
  <c r="K631" i="17"/>
  <c r="M630" i="17"/>
  <c r="L630" i="17"/>
  <c r="K630" i="17"/>
  <c r="M629" i="17"/>
  <c r="L629" i="17"/>
  <c r="K629" i="17"/>
  <c r="M628" i="17"/>
  <c r="L628" i="17"/>
  <c r="K628" i="17"/>
  <c r="M627" i="17"/>
  <c r="L627" i="17"/>
  <c r="K627" i="17"/>
  <c r="M626" i="17"/>
  <c r="L626" i="17"/>
  <c r="K626" i="17"/>
  <c r="M625" i="17"/>
  <c r="L625" i="17"/>
  <c r="K625" i="17"/>
  <c r="M624" i="17"/>
  <c r="L624" i="17"/>
  <c r="K624" i="17"/>
  <c r="M623" i="17"/>
  <c r="L623" i="17"/>
  <c r="K623" i="17"/>
  <c r="M622" i="17"/>
  <c r="L622" i="17"/>
  <c r="K622" i="17"/>
  <c r="M621" i="17"/>
  <c r="L621" i="17"/>
  <c r="K621" i="17"/>
  <c r="M620" i="17"/>
  <c r="L620" i="17"/>
  <c r="K620" i="17"/>
  <c r="M619" i="17"/>
  <c r="L619" i="17"/>
  <c r="K619" i="17"/>
  <c r="M618" i="17"/>
  <c r="L618" i="17"/>
  <c r="K618" i="17"/>
  <c r="M617" i="17"/>
  <c r="L617" i="17"/>
  <c r="K617" i="17"/>
  <c r="M616" i="17"/>
  <c r="L616" i="17"/>
  <c r="K616" i="17"/>
  <c r="M615" i="17"/>
  <c r="L615" i="17"/>
  <c r="K615" i="17"/>
  <c r="M614" i="17"/>
  <c r="L614" i="17"/>
  <c r="K614" i="17"/>
  <c r="M613" i="17"/>
  <c r="L613" i="17"/>
  <c r="K613" i="17"/>
  <c r="M612" i="17"/>
  <c r="L612" i="17"/>
  <c r="K612" i="17"/>
  <c r="M611" i="17"/>
  <c r="L611" i="17"/>
  <c r="K611" i="17"/>
  <c r="M610" i="17"/>
  <c r="L610" i="17"/>
  <c r="K610" i="17"/>
  <c r="M609" i="17"/>
  <c r="L609" i="17"/>
  <c r="K609" i="17"/>
  <c r="M608" i="17"/>
  <c r="L608" i="17"/>
  <c r="K608" i="17"/>
  <c r="M607" i="17"/>
  <c r="L607" i="17"/>
  <c r="K607" i="17"/>
  <c r="M606" i="17"/>
  <c r="L606" i="17"/>
  <c r="K606" i="17"/>
  <c r="M605" i="17"/>
  <c r="L605" i="17"/>
  <c r="K605" i="17"/>
  <c r="M604" i="17"/>
  <c r="L604" i="17"/>
  <c r="K604" i="17"/>
  <c r="M603" i="17"/>
  <c r="L603" i="17"/>
  <c r="K603" i="17"/>
  <c r="M602" i="17"/>
  <c r="L602" i="17"/>
  <c r="K602" i="17"/>
  <c r="M601" i="17"/>
  <c r="L601" i="17"/>
  <c r="K601" i="17"/>
  <c r="M600" i="17"/>
  <c r="L600" i="17"/>
  <c r="K600" i="17"/>
  <c r="M599" i="17"/>
  <c r="L599" i="17"/>
  <c r="K599" i="17"/>
  <c r="M598" i="17"/>
  <c r="L598" i="17"/>
  <c r="K598" i="17"/>
  <c r="M597" i="17"/>
  <c r="L597" i="17"/>
  <c r="K597" i="17"/>
  <c r="M596" i="17"/>
  <c r="L596" i="17"/>
  <c r="K596" i="17"/>
  <c r="M595" i="17"/>
  <c r="L595" i="17"/>
  <c r="K595" i="17"/>
  <c r="M594" i="17"/>
  <c r="L594" i="17"/>
  <c r="K594" i="17"/>
  <c r="M593" i="17"/>
  <c r="L593" i="17"/>
  <c r="K593" i="17"/>
  <c r="M592" i="17"/>
  <c r="L592" i="17"/>
  <c r="K592" i="17"/>
  <c r="M591" i="17"/>
  <c r="L591" i="17"/>
  <c r="K591" i="17"/>
  <c r="M590" i="17"/>
  <c r="L590" i="17"/>
  <c r="K590" i="17"/>
  <c r="M589" i="17"/>
  <c r="L589" i="17"/>
  <c r="K589" i="17"/>
  <c r="M588" i="17"/>
  <c r="L588" i="17"/>
  <c r="K588" i="17"/>
  <c r="M587" i="17"/>
  <c r="L587" i="17"/>
  <c r="K587" i="17"/>
  <c r="M586" i="17"/>
  <c r="L586" i="17"/>
  <c r="K586" i="17"/>
  <c r="M585" i="17"/>
  <c r="L585" i="17"/>
  <c r="K585" i="17"/>
  <c r="M584" i="17"/>
  <c r="L584" i="17"/>
  <c r="K584" i="17"/>
  <c r="M583" i="17"/>
  <c r="L583" i="17"/>
  <c r="K583" i="17"/>
  <c r="M582" i="17"/>
  <c r="L582" i="17"/>
  <c r="K582" i="17"/>
  <c r="M581" i="17"/>
  <c r="L581" i="17"/>
  <c r="K581" i="17"/>
  <c r="M580" i="17"/>
  <c r="L580" i="17"/>
  <c r="K580" i="17"/>
  <c r="M579" i="17"/>
  <c r="L579" i="17"/>
  <c r="K579" i="17"/>
  <c r="M578" i="17"/>
  <c r="L578" i="17"/>
  <c r="K578" i="17"/>
  <c r="M577" i="17"/>
  <c r="L577" i="17"/>
  <c r="K577" i="17"/>
  <c r="M576" i="17"/>
  <c r="L576" i="17"/>
  <c r="K576" i="17"/>
  <c r="M575" i="17"/>
  <c r="L575" i="17"/>
  <c r="K575" i="17"/>
  <c r="M574" i="17"/>
  <c r="L574" i="17"/>
  <c r="K574" i="17"/>
  <c r="M573" i="17"/>
  <c r="L573" i="17"/>
  <c r="K573" i="17"/>
  <c r="M572" i="17"/>
  <c r="L572" i="17"/>
  <c r="K572" i="17"/>
  <c r="M571" i="17"/>
  <c r="L571" i="17"/>
  <c r="K571" i="17"/>
  <c r="M570" i="17"/>
  <c r="L570" i="17"/>
  <c r="K570" i="17"/>
  <c r="M569" i="17"/>
  <c r="L569" i="17"/>
  <c r="K569" i="17"/>
  <c r="M568" i="17"/>
  <c r="L568" i="17"/>
  <c r="K568" i="17"/>
  <c r="M567" i="17"/>
  <c r="L567" i="17"/>
  <c r="K567" i="17"/>
  <c r="M566" i="17"/>
  <c r="L566" i="17"/>
  <c r="K566" i="17"/>
  <c r="M565" i="17"/>
  <c r="L565" i="17"/>
  <c r="K565" i="17"/>
  <c r="M564" i="17"/>
  <c r="L564" i="17"/>
  <c r="K564" i="17"/>
  <c r="M563" i="17"/>
  <c r="L563" i="17"/>
  <c r="K563" i="17"/>
  <c r="M562" i="17"/>
  <c r="L562" i="17"/>
  <c r="K562" i="17"/>
  <c r="M561" i="17"/>
  <c r="L561" i="17"/>
  <c r="K561" i="17"/>
  <c r="M560" i="17"/>
  <c r="L560" i="17"/>
  <c r="K560" i="17"/>
  <c r="M559" i="17"/>
  <c r="L559" i="17"/>
  <c r="K559" i="17"/>
  <c r="M558" i="17"/>
  <c r="L558" i="17"/>
  <c r="K558" i="17"/>
  <c r="M557" i="17"/>
  <c r="L557" i="17"/>
  <c r="K557" i="17"/>
  <c r="M556" i="17"/>
  <c r="L556" i="17"/>
  <c r="K556" i="17"/>
  <c r="M555" i="17"/>
  <c r="L555" i="17"/>
  <c r="K555" i="17"/>
  <c r="M554" i="17"/>
  <c r="L554" i="17"/>
  <c r="K554" i="17"/>
  <c r="M553" i="17"/>
  <c r="L553" i="17"/>
  <c r="K553" i="17"/>
  <c r="M552" i="17"/>
  <c r="L552" i="17"/>
  <c r="K552" i="17"/>
  <c r="M551" i="17"/>
  <c r="L551" i="17"/>
  <c r="K551" i="17"/>
  <c r="M550" i="17"/>
  <c r="L550" i="17"/>
  <c r="K550" i="17"/>
  <c r="M549" i="17"/>
  <c r="L549" i="17"/>
  <c r="K549" i="17"/>
  <c r="M548" i="17"/>
  <c r="L548" i="17"/>
  <c r="K548" i="17"/>
  <c r="M547" i="17"/>
  <c r="L547" i="17"/>
  <c r="K547" i="17"/>
  <c r="M546" i="17"/>
  <c r="L546" i="17"/>
  <c r="K546" i="17"/>
  <c r="M545" i="17"/>
  <c r="L545" i="17"/>
  <c r="K545" i="17"/>
  <c r="M544" i="17"/>
  <c r="L544" i="17"/>
  <c r="K544" i="17"/>
  <c r="M543" i="17"/>
  <c r="L543" i="17"/>
  <c r="K543" i="17"/>
  <c r="M542" i="17"/>
  <c r="L542" i="17"/>
  <c r="K542" i="17"/>
  <c r="M541" i="17"/>
  <c r="L541" i="17"/>
  <c r="K541" i="17"/>
  <c r="M540" i="17"/>
  <c r="L540" i="17"/>
  <c r="K540" i="17"/>
  <c r="M539" i="17"/>
  <c r="L539" i="17"/>
  <c r="K539" i="17"/>
  <c r="M538" i="17"/>
  <c r="L538" i="17"/>
  <c r="K538" i="17"/>
  <c r="M537" i="17"/>
  <c r="L537" i="17"/>
  <c r="K537" i="17"/>
  <c r="M536" i="17"/>
  <c r="L536" i="17"/>
  <c r="K536" i="17"/>
  <c r="M535" i="17"/>
  <c r="L535" i="17"/>
  <c r="K535" i="17"/>
  <c r="M534" i="17"/>
  <c r="L534" i="17"/>
  <c r="K534" i="17"/>
  <c r="M533" i="17"/>
  <c r="L533" i="17"/>
  <c r="K533" i="17"/>
  <c r="M532" i="17"/>
  <c r="L532" i="17"/>
  <c r="K532" i="17"/>
  <c r="M531" i="17"/>
  <c r="L531" i="17"/>
  <c r="K531" i="17"/>
  <c r="M530" i="17"/>
  <c r="L530" i="17"/>
  <c r="K530" i="17"/>
  <c r="M529" i="17"/>
  <c r="L529" i="17"/>
  <c r="K529" i="17"/>
  <c r="M528" i="17"/>
  <c r="L528" i="17"/>
  <c r="K528" i="17"/>
  <c r="M527" i="17"/>
  <c r="L527" i="17"/>
  <c r="K527" i="17"/>
  <c r="M526" i="17"/>
  <c r="L526" i="17"/>
  <c r="K526" i="17"/>
  <c r="M525" i="17"/>
  <c r="L525" i="17"/>
  <c r="K525" i="17"/>
  <c r="M524" i="17"/>
  <c r="L524" i="17"/>
  <c r="K524" i="17"/>
  <c r="M523" i="17"/>
  <c r="L523" i="17"/>
  <c r="K523" i="17"/>
  <c r="M522" i="17"/>
  <c r="L522" i="17"/>
  <c r="K522" i="17"/>
  <c r="M521" i="17"/>
  <c r="L521" i="17"/>
  <c r="K521" i="17"/>
  <c r="M520" i="17"/>
  <c r="L520" i="17"/>
  <c r="K520" i="17"/>
  <c r="M519" i="17"/>
  <c r="L519" i="17"/>
  <c r="K519" i="17"/>
  <c r="M518" i="17"/>
  <c r="L518" i="17"/>
  <c r="K518" i="17"/>
  <c r="M517" i="17"/>
  <c r="L517" i="17"/>
  <c r="K517" i="17"/>
  <c r="M516" i="17"/>
  <c r="L516" i="17"/>
  <c r="K516" i="17"/>
  <c r="M515" i="17"/>
  <c r="L515" i="17"/>
  <c r="K515" i="17"/>
  <c r="M514" i="17"/>
  <c r="L514" i="17"/>
  <c r="K514" i="17"/>
  <c r="M513" i="17"/>
  <c r="L513" i="17"/>
  <c r="K513" i="17"/>
  <c r="M512" i="17"/>
  <c r="L512" i="17"/>
  <c r="K512" i="17"/>
  <c r="M511" i="17"/>
  <c r="L511" i="17"/>
  <c r="K511" i="17"/>
  <c r="M510" i="17"/>
  <c r="L510" i="17"/>
  <c r="K510" i="17"/>
  <c r="M509" i="17"/>
  <c r="L509" i="17"/>
  <c r="K509" i="17"/>
  <c r="M508" i="17"/>
  <c r="L508" i="17"/>
  <c r="K508" i="17"/>
  <c r="M507" i="17"/>
  <c r="L507" i="17"/>
  <c r="K507" i="17"/>
  <c r="M506" i="17"/>
  <c r="L506" i="17"/>
  <c r="K506" i="17"/>
  <c r="M505" i="17"/>
  <c r="L505" i="17"/>
  <c r="K505" i="17"/>
  <c r="M504" i="17"/>
  <c r="L504" i="17"/>
  <c r="K504" i="17"/>
  <c r="M503" i="17"/>
  <c r="L503" i="17"/>
  <c r="K503" i="17"/>
  <c r="M502" i="17"/>
  <c r="L502" i="17"/>
  <c r="K502" i="17"/>
  <c r="M501" i="17"/>
  <c r="L501" i="17"/>
  <c r="K501" i="17"/>
  <c r="M500" i="17"/>
  <c r="L500" i="17"/>
  <c r="K500" i="17"/>
  <c r="M499" i="17"/>
  <c r="L499" i="17"/>
  <c r="K499" i="17"/>
  <c r="M498" i="17"/>
  <c r="L498" i="17"/>
  <c r="K498" i="17"/>
  <c r="M497" i="17"/>
  <c r="L497" i="17"/>
  <c r="K497" i="17"/>
  <c r="M496" i="17"/>
  <c r="L496" i="17"/>
  <c r="K496" i="17"/>
  <c r="M495" i="17"/>
  <c r="L495" i="17"/>
  <c r="K495" i="17"/>
  <c r="M494" i="17"/>
  <c r="L494" i="17"/>
  <c r="K494" i="17"/>
  <c r="M493" i="17"/>
  <c r="L493" i="17"/>
  <c r="K493" i="17"/>
  <c r="M492" i="17"/>
  <c r="L492" i="17"/>
  <c r="K492" i="17"/>
  <c r="M491" i="17"/>
  <c r="L491" i="17"/>
  <c r="K491" i="17"/>
  <c r="M490" i="17"/>
  <c r="L490" i="17"/>
  <c r="K490" i="17"/>
  <c r="M489" i="17"/>
  <c r="L489" i="17"/>
  <c r="K489" i="17"/>
  <c r="M488" i="17"/>
  <c r="L488" i="17"/>
  <c r="K488" i="17"/>
  <c r="M487" i="17"/>
  <c r="L487" i="17"/>
  <c r="K487" i="17"/>
  <c r="M486" i="17"/>
  <c r="L486" i="17"/>
  <c r="K486" i="17"/>
  <c r="M485" i="17"/>
  <c r="L485" i="17"/>
  <c r="K485" i="17"/>
  <c r="M484" i="17"/>
  <c r="L484" i="17"/>
  <c r="K484" i="17"/>
  <c r="M483" i="17"/>
  <c r="L483" i="17"/>
  <c r="K483" i="17"/>
  <c r="M482" i="17"/>
  <c r="L482" i="17"/>
  <c r="K482" i="17"/>
  <c r="M481" i="17"/>
  <c r="L481" i="17"/>
  <c r="K481" i="17"/>
  <c r="M480" i="17"/>
  <c r="L480" i="17"/>
  <c r="K480" i="17"/>
  <c r="M479" i="17"/>
  <c r="L479" i="17"/>
  <c r="K479" i="17"/>
  <c r="M478" i="17"/>
  <c r="L478" i="17"/>
  <c r="K478" i="17"/>
  <c r="M477" i="17"/>
  <c r="L477" i="17"/>
  <c r="K477" i="17"/>
  <c r="M476" i="17"/>
  <c r="L476" i="17"/>
  <c r="K476" i="17"/>
  <c r="M475" i="17"/>
  <c r="L475" i="17"/>
  <c r="K475" i="17"/>
  <c r="M474" i="17"/>
  <c r="L474" i="17"/>
  <c r="K474" i="17"/>
  <c r="M473" i="17"/>
  <c r="L473" i="17"/>
  <c r="K473" i="17"/>
  <c r="M472" i="17"/>
  <c r="L472" i="17"/>
  <c r="K472" i="17"/>
  <c r="M471" i="17"/>
  <c r="L471" i="17"/>
  <c r="K471" i="17"/>
  <c r="M470" i="17"/>
  <c r="L470" i="17"/>
  <c r="K470" i="17"/>
  <c r="M469" i="17"/>
  <c r="L469" i="17"/>
  <c r="K469" i="17"/>
  <c r="M468" i="17"/>
  <c r="L468" i="17"/>
  <c r="K468" i="17"/>
  <c r="M467" i="17"/>
  <c r="L467" i="17"/>
  <c r="K467" i="17"/>
  <c r="M466" i="17"/>
  <c r="L466" i="17"/>
  <c r="K466" i="17"/>
  <c r="M465" i="17"/>
  <c r="L465" i="17"/>
  <c r="K465" i="17"/>
  <c r="M464" i="17"/>
  <c r="L464" i="17"/>
  <c r="K464" i="17"/>
  <c r="M463" i="17"/>
  <c r="L463" i="17"/>
  <c r="K463" i="17"/>
  <c r="M462" i="17"/>
  <c r="L462" i="17"/>
  <c r="K462" i="17"/>
  <c r="M461" i="17"/>
  <c r="L461" i="17"/>
  <c r="K461" i="17"/>
  <c r="M460" i="17"/>
  <c r="L460" i="17"/>
  <c r="K460" i="17"/>
  <c r="M459" i="17"/>
  <c r="L459" i="17"/>
  <c r="K459" i="17"/>
  <c r="M458" i="17"/>
  <c r="L458" i="17"/>
  <c r="K458" i="17"/>
  <c r="M457" i="17"/>
  <c r="L457" i="17"/>
  <c r="K457" i="17"/>
  <c r="M456" i="17"/>
  <c r="L456" i="17"/>
  <c r="K456" i="17"/>
  <c r="M455" i="17"/>
  <c r="L455" i="17"/>
  <c r="K455" i="17"/>
  <c r="M454" i="17"/>
  <c r="L454" i="17"/>
  <c r="K454" i="17"/>
  <c r="M453" i="17"/>
  <c r="L453" i="17"/>
  <c r="K453" i="17"/>
  <c r="M452" i="17"/>
  <c r="L452" i="17"/>
  <c r="K452" i="17"/>
  <c r="M451" i="17"/>
  <c r="L451" i="17"/>
  <c r="K451" i="17"/>
  <c r="M450" i="17"/>
  <c r="L450" i="17"/>
  <c r="K450" i="17"/>
  <c r="M449" i="17"/>
  <c r="L449" i="17"/>
  <c r="K449" i="17"/>
  <c r="M448" i="17"/>
  <c r="L448" i="17"/>
  <c r="K448" i="17"/>
  <c r="M447" i="17"/>
  <c r="L447" i="17"/>
  <c r="K447" i="17"/>
  <c r="M446" i="17"/>
  <c r="L446" i="17"/>
  <c r="K446" i="17"/>
  <c r="M445" i="17"/>
  <c r="L445" i="17"/>
  <c r="K445" i="17"/>
  <c r="M444" i="17"/>
  <c r="L444" i="17"/>
  <c r="K444" i="17"/>
  <c r="M443" i="17"/>
  <c r="L443" i="17"/>
  <c r="K443" i="17"/>
  <c r="M442" i="17"/>
  <c r="L442" i="17"/>
  <c r="K442" i="17"/>
  <c r="M441" i="17"/>
  <c r="L441" i="17"/>
  <c r="K441" i="17"/>
  <c r="M440" i="17"/>
  <c r="L440" i="17"/>
  <c r="K440" i="17"/>
  <c r="M439" i="17"/>
  <c r="L439" i="17"/>
  <c r="K439" i="17"/>
  <c r="M438" i="17"/>
  <c r="L438" i="17"/>
  <c r="K438" i="17"/>
  <c r="M437" i="17"/>
  <c r="L437" i="17"/>
  <c r="K437" i="17"/>
  <c r="M436" i="17"/>
  <c r="L436" i="17"/>
  <c r="K436" i="17"/>
  <c r="M435" i="17"/>
  <c r="L435" i="17"/>
  <c r="K435" i="17"/>
  <c r="M434" i="17"/>
  <c r="L434" i="17"/>
  <c r="K434" i="17"/>
  <c r="M433" i="17"/>
  <c r="L433" i="17"/>
  <c r="K433" i="17"/>
  <c r="M432" i="17"/>
  <c r="L432" i="17"/>
  <c r="K432" i="17"/>
  <c r="M431" i="17"/>
  <c r="L431" i="17"/>
  <c r="K431" i="17"/>
  <c r="M430" i="17"/>
  <c r="L430" i="17"/>
  <c r="K430" i="17"/>
  <c r="M429" i="17"/>
  <c r="L429" i="17"/>
  <c r="K429" i="17"/>
  <c r="M428" i="17"/>
  <c r="L428" i="17"/>
  <c r="K428" i="17"/>
  <c r="M427" i="17"/>
  <c r="L427" i="17"/>
  <c r="K427" i="17"/>
  <c r="M426" i="17"/>
  <c r="L426" i="17"/>
  <c r="K426" i="17"/>
  <c r="M425" i="17"/>
  <c r="L425" i="17"/>
  <c r="K425" i="17"/>
  <c r="M424" i="17"/>
  <c r="L424" i="17"/>
  <c r="K424" i="17"/>
  <c r="M423" i="17"/>
  <c r="L423" i="17"/>
  <c r="K423" i="17"/>
  <c r="M422" i="17"/>
  <c r="L422" i="17"/>
  <c r="K422" i="17"/>
  <c r="M421" i="17"/>
  <c r="L421" i="17"/>
  <c r="K421" i="17"/>
  <c r="M420" i="17"/>
  <c r="L420" i="17"/>
  <c r="K420" i="17"/>
  <c r="M419" i="17"/>
  <c r="L419" i="17"/>
  <c r="K419" i="17"/>
  <c r="M418" i="17"/>
  <c r="L418" i="17"/>
  <c r="K418" i="17"/>
  <c r="M417" i="17"/>
  <c r="L417" i="17"/>
  <c r="K417" i="17"/>
  <c r="M416" i="17"/>
  <c r="L416" i="17"/>
  <c r="K416" i="17"/>
  <c r="M415" i="17"/>
  <c r="L415" i="17"/>
  <c r="K415" i="17"/>
  <c r="M414" i="17"/>
  <c r="L414" i="17"/>
  <c r="K414" i="17"/>
  <c r="M413" i="17"/>
  <c r="L413" i="17"/>
  <c r="K413" i="17"/>
  <c r="M412" i="17"/>
  <c r="L412" i="17"/>
  <c r="K412" i="17"/>
  <c r="M411" i="17"/>
  <c r="L411" i="17"/>
  <c r="K411" i="17"/>
  <c r="M410" i="17"/>
  <c r="L410" i="17"/>
  <c r="K410" i="17"/>
  <c r="M409" i="17"/>
  <c r="L409" i="17"/>
  <c r="K409" i="17"/>
  <c r="M408" i="17"/>
  <c r="L408" i="17"/>
  <c r="K408" i="17"/>
  <c r="M407" i="17"/>
  <c r="L407" i="17"/>
  <c r="K407" i="17"/>
  <c r="M406" i="17"/>
  <c r="L406" i="17"/>
  <c r="K406" i="17"/>
  <c r="M405" i="17"/>
  <c r="L405" i="17"/>
  <c r="K405" i="17"/>
  <c r="M404" i="17"/>
  <c r="L404" i="17"/>
  <c r="K404" i="17"/>
  <c r="M403" i="17"/>
  <c r="L403" i="17"/>
  <c r="K403" i="17"/>
  <c r="M402" i="17"/>
  <c r="L402" i="17"/>
  <c r="K402" i="17"/>
  <c r="M401" i="17"/>
  <c r="L401" i="17"/>
  <c r="K401" i="17"/>
  <c r="M400" i="17"/>
  <c r="L400" i="17"/>
  <c r="K400" i="17"/>
  <c r="M399" i="17"/>
  <c r="L399" i="17"/>
  <c r="K399" i="17"/>
  <c r="M398" i="17"/>
  <c r="L398" i="17"/>
  <c r="K398" i="17"/>
  <c r="M397" i="17"/>
  <c r="L397" i="17"/>
  <c r="K397" i="17"/>
  <c r="M396" i="17"/>
  <c r="L396" i="17"/>
  <c r="K396" i="17"/>
  <c r="M395" i="17"/>
  <c r="L395" i="17"/>
  <c r="K395" i="17"/>
  <c r="M394" i="17"/>
  <c r="L394" i="17"/>
  <c r="K394" i="17"/>
  <c r="M393" i="17"/>
  <c r="L393" i="17"/>
  <c r="K393" i="17"/>
  <c r="M392" i="17"/>
  <c r="L392" i="17"/>
  <c r="K392" i="17"/>
  <c r="M391" i="17"/>
  <c r="L391" i="17"/>
  <c r="K391" i="17"/>
  <c r="M390" i="17"/>
  <c r="L390" i="17"/>
  <c r="K390" i="17"/>
  <c r="M389" i="17"/>
  <c r="L389" i="17"/>
  <c r="K389" i="17"/>
  <c r="M388" i="17"/>
  <c r="L388" i="17"/>
  <c r="K388" i="17"/>
  <c r="M387" i="17"/>
  <c r="L387" i="17"/>
  <c r="K387" i="17"/>
  <c r="M386" i="17"/>
  <c r="L386" i="17"/>
  <c r="K386" i="17"/>
  <c r="M385" i="17"/>
  <c r="L385" i="17"/>
  <c r="K385" i="17"/>
  <c r="M384" i="17"/>
  <c r="L384" i="17"/>
  <c r="K384" i="17"/>
  <c r="M383" i="17"/>
  <c r="L383" i="17"/>
  <c r="K383" i="17"/>
  <c r="M382" i="17"/>
  <c r="L382" i="17"/>
  <c r="K382" i="17"/>
  <c r="M381" i="17"/>
  <c r="L381" i="17"/>
  <c r="K381" i="17"/>
  <c r="M380" i="17"/>
  <c r="L380" i="17"/>
  <c r="K380" i="17"/>
  <c r="M379" i="17"/>
  <c r="L379" i="17"/>
  <c r="K379" i="17"/>
  <c r="M378" i="17"/>
  <c r="L378" i="17"/>
  <c r="K378" i="17"/>
  <c r="M377" i="17"/>
  <c r="L377" i="17"/>
  <c r="K377" i="17"/>
  <c r="M376" i="17"/>
  <c r="L376" i="17"/>
  <c r="K376" i="17"/>
  <c r="M375" i="17"/>
  <c r="L375" i="17"/>
  <c r="K375" i="17"/>
  <c r="M374" i="17"/>
  <c r="L374" i="17"/>
  <c r="K374" i="17"/>
  <c r="M373" i="17"/>
  <c r="L373" i="17"/>
  <c r="K373" i="17"/>
  <c r="M372" i="17"/>
  <c r="L372" i="17"/>
  <c r="K372" i="17"/>
  <c r="M371" i="17"/>
  <c r="L371" i="17"/>
  <c r="K371" i="17"/>
  <c r="M370" i="17"/>
  <c r="L370" i="17"/>
  <c r="K370" i="17"/>
  <c r="M369" i="17"/>
  <c r="L369" i="17"/>
  <c r="K369" i="17"/>
  <c r="M368" i="17"/>
  <c r="L368" i="17"/>
  <c r="K368" i="17"/>
  <c r="M367" i="17"/>
  <c r="L367" i="17"/>
  <c r="K367" i="17"/>
  <c r="M366" i="17"/>
  <c r="L366" i="17"/>
  <c r="K366" i="17"/>
  <c r="M365" i="17"/>
  <c r="L365" i="17"/>
  <c r="K365" i="17"/>
  <c r="M364" i="17"/>
  <c r="L364" i="17"/>
  <c r="K364" i="17"/>
  <c r="M363" i="17"/>
  <c r="L363" i="17"/>
  <c r="K363" i="17"/>
  <c r="M362" i="17"/>
  <c r="L362" i="17"/>
  <c r="K362" i="17"/>
  <c r="M361" i="17"/>
  <c r="L361" i="17"/>
  <c r="K361" i="17"/>
  <c r="M360" i="17"/>
  <c r="L360" i="17"/>
  <c r="K360" i="17"/>
  <c r="M359" i="17"/>
  <c r="L359" i="17"/>
  <c r="K359" i="17"/>
  <c r="M358" i="17"/>
  <c r="L358" i="17"/>
  <c r="K358" i="17"/>
  <c r="M357" i="17"/>
  <c r="L357" i="17"/>
  <c r="K357" i="17"/>
  <c r="M356" i="17"/>
  <c r="L356" i="17"/>
  <c r="K356" i="17"/>
  <c r="M355" i="17"/>
  <c r="L355" i="17"/>
  <c r="K355" i="17"/>
  <c r="M354" i="17"/>
  <c r="L354" i="17"/>
  <c r="K354" i="17"/>
  <c r="M353" i="17"/>
  <c r="L353" i="17"/>
  <c r="K353" i="17"/>
  <c r="M352" i="17"/>
  <c r="L352" i="17"/>
  <c r="K352" i="17"/>
  <c r="M351" i="17"/>
  <c r="L351" i="17"/>
  <c r="K351" i="17"/>
  <c r="M350" i="17"/>
  <c r="L350" i="17"/>
  <c r="K350" i="17"/>
  <c r="M349" i="17"/>
  <c r="L349" i="17"/>
  <c r="K349" i="17"/>
  <c r="M348" i="17"/>
  <c r="L348" i="17"/>
  <c r="K348" i="17"/>
  <c r="M347" i="17"/>
  <c r="L347" i="17"/>
  <c r="K347" i="17"/>
  <c r="M346" i="17"/>
  <c r="L346" i="17"/>
  <c r="K346" i="17"/>
  <c r="M345" i="17"/>
  <c r="L345" i="17"/>
  <c r="K345" i="17"/>
  <c r="M344" i="17"/>
  <c r="L344" i="17"/>
  <c r="K344" i="17"/>
  <c r="M343" i="17"/>
  <c r="L343" i="17"/>
  <c r="K343" i="17"/>
  <c r="M342" i="17"/>
  <c r="L342" i="17"/>
  <c r="K342" i="17"/>
  <c r="M341" i="17"/>
  <c r="L341" i="17"/>
  <c r="K341" i="17"/>
  <c r="M340" i="17"/>
  <c r="L340" i="17"/>
  <c r="K340" i="17"/>
  <c r="M339" i="17"/>
  <c r="L339" i="17"/>
  <c r="K339" i="17"/>
  <c r="M338" i="17"/>
  <c r="L338" i="17"/>
  <c r="K338" i="17"/>
  <c r="M337" i="17"/>
  <c r="L337" i="17"/>
  <c r="K337" i="17"/>
  <c r="M336" i="17"/>
  <c r="L336" i="17"/>
  <c r="K336" i="17"/>
  <c r="M335" i="17"/>
  <c r="L335" i="17"/>
  <c r="K335" i="17"/>
  <c r="M334" i="17"/>
  <c r="L334" i="17"/>
  <c r="K334" i="17"/>
  <c r="M333" i="17"/>
  <c r="L333" i="17"/>
  <c r="K333" i="17"/>
  <c r="M332" i="17"/>
  <c r="L332" i="17"/>
  <c r="K332" i="17"/>
  <c r="M331" i="17"/>
  <c r="L331" i="17"/>
  <c r="K331" i="17"/>
  <c r="M330" i="17"/>
  <c r="L330" i="17"/>
  <c r="K330" i="17"/>
  <c r="M329" i="17"/>
  <c r="L329" i="17"/>
  <c r="K329" i="17"/>
  <c r="M328" i="17"/>
  <c r="L328" i="17"/>
  <c r="K328" i="17"/>
  <c r="M327" i="17"/>
  <c r="L327" i="17"/>
  <c r="K327" i="17"/>
  <c r="M326" i="17"/>
  <c r="L326" i="17"/>
  <c r="K326" i="17"/>
  <c r="M325" i="17"/>
  <c r="L325" i="17"/>
  <c r="K325" i="17"/>
  <c r="M324" i="17"/>
  <c r="L324" i="17"/>
  <c r="K324" i="17"/>
  <c r="M323" i="17"/>
  <c r="L323" i="17"/>
  <c r="K323" i="17"/>
  <c r="M322" i="17"/>
  <c r="L322" i="17"/>
  <c r="K322" i="17"/>
  <c r="M321" i="17"/>
  <c r="L321" i="17"/>
  <c r="K321" i="17"/>
  <c r="M320" i="17"/>
  <c r="L320" i="17"/>
  <c r="K320" i="17"/>
  <c r="M319" i="17"/>
  <c r="L319" i="17"/>
  <c r="K319" i="17"/>
  <c r="M318" i="17"/>
  <c r="L318" i="17"/>
  <c r="K318" i="17"/>
  <c r="M317" i="17"/>
  <c r="L317" i="17"/>
  <c r="K317" i="17"/>
  <c r="M316" i="17"/>
  <c r="L316" i="17"/>
  <c r="K316" i="17"/>
  <c r="M315" i="17"/>
  <c r="L315" i="17"/>
  <c r="K315" i="17"/>
  <c r="M314" i="17"/>
  <c r="L314" i="17"/>
  <c r="K314" i="17"/>
  <c r="M313" i="17"/>
  <c r="L313" i="17"/>
  <c r="K313" i="17"/>
  <c r="M312" i="17"/>
  <c r="L312" i="17"/>
  <c r="K312" i="17"/>
  <c r="M311" i="17"/>
  <c r="L311" i="17"/>
  <c r="K311" i="17"/>
  <c r="M310" i="17"/>
  <c r="L310" i="17"/>
  <c r="K310" i="17"/>
  <c r="M309" i="17"/>
  <c r="L309" i="17"/>
  <c r="K309" i="17"/>
  <c r="M308" i="17"/>
  <c r="L308" i="17"/>
  <c r="K308" i="17"/>
  <c r="M307" i="17"/>
  <c r="L307" i="17"/>
  <c r="K307" i="17"/>
  <c r="M306" i="17"/>
  <c r="L306" i="17"/>
  <c r="K306" i="17"/>
  <c r="M305" i="17"/>
  <c r="L305" i="17"/>
  <c r="K305" i="17"/>
  <c r="M304" i="17"/>
  <c r="L304" i="17"/>
  <c r="K304" i="17"/>
  <c r="M303" i="17"/>
  <c r="L303" i="17"/>
  <c r="K303" i="17"/>
  <c r="M302" i="17"/>
  <c r="L302" i="17"/>
  <c r="K302" i="17"/>
  <c r="M301" i="17"/>
  <c r="L301" i="17"/>
  <c r="K301" i="17"/>
  <c r="M300" i="17"/>
  <c r="L300" i="17"/>
  <c r="K300" i="17"/>
  <c r="M299" i="17"/>
  <c r="L299" i="17"/>
  <c r="K299" i="17"/>
  <c r="M298" i="17"/>
  <c r="L298" i="17"/>
  <c r="K298" i="17"/>
  <c r="M297" i="17"/>
  <c r="L297" i="17"/>
  <c r="K297" i="17"/>
  <c r="M296" i="17"/>
  <c r="L296" i="17"/>
  <c r="K296" i="17"/>
  <c r="M295" i="17"/>
  <c r="L295" i="17"/>
  <c r="K295" i="17"/>
  <c r="M294" i="17"/>
  <c r="L294" i="17"/>
  <c r="K294" i="17"/>
  <c r="M293" i="17"/>
  <c r="L293" i="17"/>
  <c r="K293" i="17"/>
  <c r="M292" i="17"/>
  <c r="L292" i="17"/>
  <c r="K292" i="17"/>
  <c r="M291" i="17"/>
  <c r="L291" i="17"/>
  <c r="K291" i="17"/>
  <c r="M290" i="17"/>
  <c r="L290" i="17"/>
  <c r="K290" i="17"/>
  <c r="M289" i="17"/>
  <c r="L289" i="17"/>
  <c r="K289" i="17"/>
  <c r="M288" i="17"/>
  <c r="L288" i="17"/>
  <c r="K288" i="17"/>
  <c r="M287" i="17"/>
  <c r="L287" i="17"/>
  <c r="K287" i="17"/>
  <c r="M286" i="17"/>
  <c r="L286" i="17"/>
  <c r="K286" i="17"/>
  <c r="M285" i="17"/>
  <c r="L285" i="17"/>
  <c r="K285" i="17"/>
  <c r="M284" i="17"/>
  <c r="L284" i="17"/>
  <c r="K284" i="17"/>
  <c r="M283" i="17"/>
  <c r="L283" i="17"/>
  <c r="K283" i="17"/>
  <c r="M282" i="17"/>
  <c r="L282" i="17"/>
  <c r="K282" i="17"/>
  <c r="M281" i="17"/>
  <c r="L281" i="17"/>
  <c r="K281" i="17"/>
  <c r="M280" i="17"/>
  <c r="L280" i="17"/>
  <c r="K280" i="17"/>
  <c r="M279" i="17"/>
  <c r="L279" i="17"/>
  <c r="K279" i="17"/>
  <c r="M278" i="17"/>
  <c r="L278" i="17"/>
  <c r="K278" i="17"/>
  <c r="M277" i="17"/>
  <c r="L277" i="17"/>
  <c r="K277" i="17"/>
  <c r="M276" i="17"/>
  <c r="L276" i="17"/>
  <c r="K276" i="17"/>
  <c r="M275" i="17"/>
  <c r="L275" i="17"/>
  <c r="K275" i="17"/>
  <c r="M274" i="17"/>
  <c r="L274" i="17"/>
  <c r="K274" i="17"/>
  <c r="M273" i="17"/>
  <c r="L273" i="17"/>
  <c r="K273" i="17"/>
  <c r="M272" i="17"/>
  <c r="L272" i="17"/>
  <c r="K272" i="17"/>
  <c r="M271" i="17"/>
  <c r="L271" i="17"/>
  <c r="K271" i="17"/>
  <c r="M270" i="17"/>
  <c r="L270" i="17"/>
  <c r="K270" i="17"/>
  <c r="M269" i="17"/>
  <c r="L269" i="17"/>
  <c r="K269" i="17"/>
  <c r="M268" i="17"/>
  <c r="L268" i="17"/>
  <c r="K268" i="17"/>
  <c r="M267" i="17"/>
  <c r="L267" i="17"/>
  <c r="K267" i="17"/>
  <c r="M266" i="17"/>
  <c r="L266" i="17"/>
  <c r="K266" i="17"/>
  <c r="M265" i="17"/>
  <c r="L265" i="17"/>
  <c r="K265" i="17"/>
  <c r="M264" i="17"/>
  <c r="L264" i="17"/>
  <c r="K264" i="17"/>
  <c r="M263" i="17"/>
  <c r="L263" i="17"/>
  <c r="K263" i="17"/>
  <c r="M262" i="17"/>
  <c r="L262" i="17"/>
  <c r="K262" i="17"/>
  <c r="M261" i="17"/>
  <c r="L261" i="17"/>
  <c r="K261" i="17"/>
  <c r="M260" i="17"/>
  <c r="L260" i="17"/>
  <c r="K260" i="17"/>
  <c r="M259" i="17"/>
  <c r="L259" i="17"/>
  <c r="K259" i="17"/>
  <c r="M258" i="17"/>
  <c r="L258" i="17"/>
  <c r="K258" i="17"/>
  <c r="M257" i="17"/>
  <c r="L257" i="17"/>
  <c r="K257" i="17"/>
  <c r="M256" i="17"/>
  <c r="L256" i="17"/>
  <c r="K256" i="17"/>
  <c r="M255" i="17"/>
  <c r="L255" i="17"/>
  <c r="K255" i="17"/>
  <c r="M254" i="17"/>
  <c r="L254" i="17"/>
  <c r="K254" i="17"/>
  <c r="M253" i="17"/>
  <c r="L253" i="17"/>
  <c r="K253" i="17"/>
  <c r="M252" i="17"/>
  <c r="L252" i="17"/>
  <c r="K252" i="17"/>
  <c r="M251" i="17"/>
  <c r="L251" i="17"/>
  <c r="K251" i="17"/>
  <c r="M250" i="17"/>
  <c r="L250" i="17"/>
  <c r="K250" i="17"/>
  <c r="M249" i="17"/>
  <c r="L249" i="17"/>
  <c r="K249" i="17"/>
  <c r="M248" i="17"/>
  <c r="L248" i="17"/>
  <c r="K248" i="17"/>
  <c r="M247" i="17"/>
  <c r="L247" i="17"/>
  <c r="K247" i="17"/>
  <c r="M246" i="17"/>
  <c r="L246" i="17"/>
  <c r="K246" i="17"/>
  <c r="M245" i="17"/>
  <c r="L245" i="17"/>
  <c r="K245" i="17"/>
  <c r="M244" i="17"/>
  <c r="L244" i="17"/>
  <c r="K244" i="17"/>
  <c r="M243" i="17"/>
  <c r="L243" i="17"/>
  <c r="K243" i="17"/>
  <c r="M242" i="17"/>
  <c r="L242" i="17"/>
  <c r="K242" i="17"/>
  <c r="M241" i="17"/>
  <c r="L241" i="17"/>
  <c r="K241" i="17"/>
  <c r="M240" i="17"/>
  <c r="L240" i="17"/>
  <c r="K240" i="17"/>
  <c r="M239" i="17"/>
  <c r="L239" i="17"/>
  <c r="K239" i="17"/>
  <c r="M238" i="17"/>
  <c r="L238" i="17"/>
  <c r="K238" i="17"/>
  <c r="M237" i="17"/>
  <c r="L237" i="17"/>
  <c r="K237" i="17"/>
  <c r="M236" i="17"/>
  <c r="L236" i="17"/>
  <c r="K236" i="17"/>
  <c r="M235" i="17"/>
  <c r="L235" i="17"/>
  <c r="K235" i="17"/>
  <c r="M234" i="17"/>
  <c r="L234" i="17"/>
  <c r="K234" i="17"/>
  <c r="M233" i="17"/>
  <c r="L233" i="17"/>
  <c r="K233" i="17"/>
  <c r="M232" i="17"/>
  <c r="L232" i="17"/>
  <c r="K232" i="17"/>
  <c r="M231" i="17"/>
  <c r="L231" i="17"/>
  <c r="K231" i="17"/>
  <c r="M230" i="17"/>
  <c r="L230" i="17"/>
  <c r="K230" i="17"/>
  <c r="M229" i="17"/>
  <c r="L229" i="17"/>
  <c r="K229" i="17"/>
  <c r="M228" i="17"/>
  <c r="L228" i="17"/>
  <c r="K228" i="17"/>
  <c r="M227" i="17"/>
  <c r="L227" i="17"/>
  <c r="K227" i="17"/>
  <c r="M226" i="17"/>
  <c r="L226" i="17"/>
  <c r="K226" i="17"/>
  <c r="M225" i="17"/>
  <c r="L225" i="17"/>
  <c r="K225" i="17"/>
  <c r="M224" i="17"/>
  <c r="L224" i="17"/>
  <c r="K224" i="17"/>
  <c r="M223" i="17"/>
  <c r="L223" i="17"/>
  <c r="K223" i="17"/>
  <c r="M222" i="17"/>
  <c r="L222" i="17"/>
  <c r="K222" i="17"/>
  <c r="M221" i="17"/>
  <c r="L221" i="17"/>
  <c r="K221" i="17"/>
  <c r="M220" i="17"/>
  <c r="L220" i="17"/>
  <c r="K220" i="17"/>
  <c r="M219" i="17"/>
  <c r="L219" i="17"/>
  <c r="K219" i="17"/>
  <c r="M218" i="17"/>
  <c r="L218" i="17"/>
  <c r="K218" i="17"/>
  <c r="M217" i="17"/>
  <c r="L217" i="17"/>
  <c r="K217" i="17"/>
  <c r="M216" i="17"/>
  <c r="L216" i="17"/>
  <c r="K216" i="17"/>
  <c r="M215" i="17"/>
  <c r="L215" i="17"/>
  <c r="K215" i="17"/>
  <c r="M214" i="17"/>
  <c r="L214" i="17"/>
  <c r="K214" i="17"/>
  <c r="M213" i="17"/>
  <c r="L213" i="17"/>
  <c r="K213" i="17"/>
  <c r="M212" i="17"/>
  <c r="L212" i="17"/>
  <c r="K212" i="17"/>
  <c r="M211" i="17"/>
  <c r="L211" i="17"/>
  <c r="K211" i="17"/>
  <c r="M210" i="17"/>
  <c r="L210" i="17"/>
  <c r="K210" i="17"/>
  <c r="M209" i="17"/>
  <c r="L209" i="17"/>
  <c r="K209" i="17"/>
  <c r="M208" i="17"/>
  <c r="L208" i="17"/>
  <c r="K208" i="17"/>
  <c r="M207" i="17"/>
  <c r="L207" i="17"/>
  <c r="K207" i="17"/>
  <c r="M206" i="17"/>
  <c r="L206" i="17"/>
  <c r="K206" i="17"/>
  <c r="M205" i="17"/>
  <c r="L205" i="17"/>
  <c r="K205" i="17"/>
  <c r="M204" i="17"/>
  <c r="L204" i="17"/>
  <c r="K204" i="17"/>
  <c r="M203" i="17"/>
  <c r="L203" i="17"/>
  <c r="K203" i="17"/>
  <c r="M202" i="17"/>
  <c r="L202" i="17"/>
  <c r="K202" i="17"/>
  <c r="M201" i="17"/>
  <c r="L201" i="17"/>
  <c r="K201" i="17"/>
  <c r="M200" i="17"/>
  <c r="L200" i="17"/>
  <c r="K200" i="17"/>
  <c r="M199" i="17"/>
  <c r="L199" i="17"/>
  <c r="K199" i="17"/>
  <c r="M198" i="17"/>
  <c r="L198" i="17"/>
  <c r="K198" i="17"/>
  <c r="M197" i="17"/>
  <c r="L197" i="17"/>
  <c r="K197" i="17"/>
  <c r="M196" i="17"/>
  <c r="L196" i="17"/>
  <c r="K196" i="17"/>
  <c r="M195" i="17"/>
  <c r="L195" i="17"/>
  <c r="K195" i="17"/>
  <c r="M194" i="17"/>
  <c r="L194" i="17"/>
  <c r="K194" i="17"/>
  <c r="M193" i="17"/>
  <c r="L193" i="17"/>
  <c r="K193" i="17"/>
  <c r="M192" i="17"/>
  <c r="L192" i="17"/>
  <c r="K192" i="17"/>
  <c r="M191" i="17"/>
  <c r="L191" i="17"/>
  <c r="K191" i="17"/>
  <c r="M190" i="17"/>
  <c r="L190" i="17"/>
  <c r="K190" i="17"/>
  <c r="M189" i="17"/>
  <c r="L189" i="17"/>
  <c r="K189" i="17"/>
  <c r="M188" i="17"/>
  <c r="L188" i="17"/>
  <c r="K188" i="17"/>
  <c r="M187" i="17"/>
  <c r="L187" i="17"/>
  <c r="K187" i="17"/>
  <c r="M186" i="17"/>
  <c r="L186" i="17"/>
  <c r="K186" i="17"/>
  <c r="M185" i="17"/>
  <c r="L185" i="17"/>
  <c r="K185" i="17"/>
  <c r="M184" i="17"/>
  <c r="L184" i="17"/>
  <c r="K184" i="17"/>
  <c r="M183" i="17"/>
  <c r="L183" i="17"/>
  <c r="K183" i="17"/>
  <c r="M182" i="17"/>
  <c r="L182" i="17"/>
  <c r="K182" i="17"/>
  <c r="M181" i="17"/>
  <c r="L181" i="17"/>
  <c r="K181" i="17"/>
  <c r="M180" i="17"/>
  <c r="L180" i="17"/>
  <c r="K180" i="17"/>
  <c r="M179" i="17"/>
  <c r="L179" i="17"/>
  <c r="K179" i="17"/>
  <c r="M178" i="17"/>
  <c r="L178" i="17"/>
  <c r="K178" i="17"/>
  <c r="M177" i="17"/>
  <c r="L177" i="17"/>
  <c r="K177" i="17"/>
  <c r="M176" i="17"/>
  <c r="L176" i="17"/>
  <c r="K176" i="17"/>
  <c r="M175" i="17"/>
  <c r="L175" i="17"/>
  <c r="K175" i="17"/>
  <c r="M174" i="17"/>
  <c r="L174" i="17"/>
  <c r="K174" i="17"/>
  <c r="M173" i="17"/>
  <c r="L173" i="17"/>
  <c r="K173" i="17"/>
  <c r="M172" i="17"/>
  <c r="L172" i="17"/>
  <c r="K172" i="17"/>
  <c r="M171" i="17"/>
  <c r="L171" i="17"/>
  <c r="K171" i="17"/>
  <c r="M170" i="17"/>
  <c r="L170" i="17"/>
  <c r="K170" i="17"/>
  <c r="M169" i="17"/>
  <c r="L169" i="17"/>
  <c r="K169" i="17"/>
  <c r="M168" i="17"/>
  <c r="L168" i="17"/>
  <c r="K168" i="17"/>
  <c r="M167" i="17"/>
  <c r="L167" i="17"/>
  <c r="K167" i="17"/>
  <c r="M166" i="17"/>
  <c r="L166" i="17"/>
  <c r="K166" i="17"/>
  <c r="M165" i="17"/>
  <c r="L165" i="17"/>
  <c r="K165" i="17"/>
  <c r="M164" i="17"/>
  <c r="L164" i="17"/>
  <c r="K164" i="17"/>
  <c r="M163" i="17"/>
  <c r="L163" i="17"/>
  <c r="K163" i="17"/>
  <c r="M162" i="17"/>
  <c r="L162" i="17"/>
  <c r="K162" i="17"/>
  <c r="M161" i="17"/>
  <c r="L161" i="17"/>
  <c r="K161" i="17"/>
  <c r="M160" i="17"/>
  <c r="L160" i="17"/>
  <c r="K160" i="17"/>
  <c r="M159" i="17"/>
  <c r="L159" i="17"/>
  <c r="K159" i="17"/>
  <c r="M158" i="17"/>
  <c r="L158" i="17"/>
  <c r="K158" i="17"/>
  <c r="M157" i="17"/>
  <c r="L157" i="17"/>
  <c r="K157" i="17"/>
  <c r="M156" i="17"/>
  <c r="L156" i="17"/>
  <c r="K156" i="17"/>
  <c r="M155" i="17"/>
  <c r="L155" i="17"/>
  <c r="K155" i="17"/>
  <c r="M154" i="17"/>
  <c r="L154" i="17"/>
  <c r="K154" i="17"/>
  <c r="M153" i="17"/>
  <c r="L153" i="17"/>
  <c r="K153" i="17"/>
  <c r="M152" i="17"/>
  <c r="L152" i="17"/>
  <c r="K152" i="17"/>
  <c r="M151" i="17"/>
  <c r="L151" i="17"/>
  <c r="K151" i="17"/>
  <c r="M150" i="17"/>
  <c r="L150" i="17"/>
  <c r="K150" i="17"/>
  <c r="M149" i="17"/>
  <c r="L149" i="17"/>
  <c r="K149" i="17"/>
  <c r="M148" i="17"/>
  <c r="L148" i="17"/>
  <c r="K148" i="17"/>
  <c r="M147" i="17"/>
  <c r="L147" i="17"/>
  <c r="K147" i="17"/>
  <c r="M146" i="17"/>
  <c r="L146" i="17"/>
  <c r="K146" i="17"/>
  <c r="M145" i="17"/>
  <c r="L145" i="17"/>
  <c r="K145" i="17"/>
  <c r="M144" i="17"/>
  <c r="L144" i="17"/>
  <c r="K144" i="17"/>
  <c r="M143" i="17"/>
  <c r="L143" i="17"/>
  <c r="K143" i="17"/>
  <c r="M142" i="17"/>
  <c r="L142" i="17"/>
  <c r="K142" i="17"/>
  <c r="M141" i="17"/>
  <c r="L141" i="17"/>
  <c r="K141" i="17"/>
  <c r="M140" i="17"/>
  <c r="L140" i="17"/>
  <c r="K140" i="17"/>
  <c r="M139" i="17"/>
  <c r="L139" i="17"/>
  <c r="K139" i="17"/>
  <c r="M138" i="17"/>
  <c r="L138" i="17"/>
  <c r="K138" i="17"/>
  <c r="M137" i="17"/>
  <c r="L137" i="17"/>
  <c r="K137" i="17"/>
  <c r="M136" i="17"/>
  <c r="L136" i="17"/>
  <c r="K136" i="17"/>
  <c r="M135" i="17"/>
  <c r="L135" i="17"/>
  <c r="K135" i="17"/>
  <c r="M134" i="17"/>
  <c r="L134" i="17"/>
  <c r="K134" i="17"/>
  <c r="M133" i="17"/>
  <c r="L133" i="17"/>
  <c r="K133" i="17"/>
  <c r="M132" i="17"/>
  <c r="L132" i="17"/>
  <c r="K132" i="17"/>
  <c r="M131" i="17"/>
  <c r="L131" i="17"/>
  <c r="K131" i="17"/>
  <c r="M130" i="17"/>
  <c r="L130" i="17"/>
  <c r="K130" i="17"/>
  <c r="M129" i="17"/>
  <c r="L129" i="17"/>
  <c r="K129" i="17"/>
  <c r="M128" i="17"/>
  <c r="L128" i="17"/>
  <c r="K128" i="17"/>
  <c r="M127" i="17"/>
  <c r="L127" i="17"/>
  <c r="K127" i="17"/>
  <c r="M126" i="17"/>
  <c r="L126" i="17"/>
  <c r="K126" i="17"/>
  <c r="M125" i="17"/>
  <c r="L125" i="17"/>
  <c r="K125" i="17"/>
  <c r="M124" i="17"/>
  <c r="L124" i="17"/>
  <c r="K124" i="17"/>
  <c r="M123" i="17"/>
  <c r="L123" i="17"/>
  <c r="K123" i="17"/>
  <c r="M122" i="17"/>
  <c r="L122" i="17"/>
  <c r="K122" i="17"/>
  <c r="M121" i="17"/>
  <c r="L121" i="17"/>
  <c r="K121" i="17"/>
  <c r="M120" i="17"/>
  <c r="L120" i="17"/>
  <c r="K120" i="17"/>
  <c r="M119" i="17"/>
  <c r="L119" i="17"/>
  <c r="K119" i="17"/>
  <c r="M118" i="17"/>
  <c r="L118" i="17"/>
  <c r="K118" i="17"/>
  <c r="M117" i="17"/>
  <c r="L117" i="17"/>
  <c r="K117" i="17"/>
  <c r="M116" i="17"/>
  <c r="L116" i="17"/>
  <c r="K116" i="17"/>
  <c r="M115" i="17"/>
  <c r="L115" i="17"/>
  <c r="K115" i="17"/>
  <c r="M114" i="17"/>
  <c r="L114" i="17"/>
  <c r="K114" i="17"/>
  <c r="M113" i="17"/>
  <c r="L113" i="17"/>
  <c r="K113" i="17"/>
  <c r="M112" i="17"/>
  <c r="L112" i="17"/>
  <c r="K112" i="17"/>
  <c r="M111" i="17"/>
  <c r="L111" i="17"/>
  <c r="K111" i="17"/>
  <c r="M110" i="17"/>
  <c r="L110" i="17"/>
  <c r="K110" i="17"/>
  <c r="M109" i="17"/>
  <c r="L109" i="17"/>
  <c r="K109" i="17"/>
  <c r="M108" i="17"/>
  <c r="L108" i="17"/>
  <c r="K108" i="17"/>
  <c r="M107" i="17"/>
  <c r="L107" i="17"/>
  <c r="K107" i="17"/>
  <c r="M106" i="17"/>
  <c r="L106" i="17"/>
  <c r="K106" i="17"/>
  <c r="M105" i="17"/>
  <c r="L105" i="17"/>
  <c r="K105" i="17"/>
  <c r="M104" i="17"/>
  <c r="L104" i="17"/>
  <c r="K104" i="17"/>
  <c r="M103" i="17"/>
  <c r="L103" i="17"/>
  <c r="K103" i="17"/>
  <c r="M102" i="17"/>
  <c r="L102" i="17"/>
  <c r="K102" i="17"/>
  <c r="M101" i="17"/>
  <c r="L101" i="17"/>
  <c r="K101" i="17"/>
  <c r="M100" i="17"/>
  <c r="L100" i="17"/>
  <c r="K100" i="17"/>
  <c r="M99" i="17"/>
  <c r="L99" i="17"/>
  <c r="K99" i="17"/>
  <c r="M98" i="17"/>
  <c r="L98" i="17"/>
  <c r="K98" i="17"/>
  <c r="M97" i="17"/>
  <c r="L97" i="17"/>
  <c r="K97" i="17"/>
  <c r="M96" i="17"/>
  <c r="L96" i="17"/>
  <c r="K96" i="17"/>
  <c r="M95" i="17"/>
  <c r="L95" i="17"/>
  <c r="K95" i="17"/>
  <c r="M94" i="17"/>
  <c r="L94" i="17"/>
  <c r="K94" i="17"/>
  <c r="M93" i="17"/>
  <c r="L93" i="17"/>
  <c r="K93" i="17"/>
  <c r="M92" i="17"/>
  <c r="L92" i="17"/>
  <c r="K92" i="17"/>
  <c r="M91" i="17"/>
  <c r="L91" i="17"/>
  <c r="K91" i="17"/>
  <c r="M90" i="17"/>
  <c r="L90" i="17"/>
  <c r="K90" i="17"/>
  <c r="M89" i="17"/>
  <c r="L89" i="17"/>
  <c r="K89" i="17"/>
  <c r="M88" i="17"/>
  <c r="L88" i="17"/>
  <c r="K88" i="17"/>
  <c r="M87" i="17"/>
  <c r="L87" i="17"/>
  <c r="K87" i="17"/>
  <c r="M86" i="17"/>
  <c r="L86" i="17"/>
  <c r="K86" i="17"/>
  <c r="M85" i="17"/>
  <c r="L85" i="17"/>
  <c r="K85" i="17"/>
  <c r="M84" i="17"/>
  <c r="L84" i="17"/>
  <c r="K84" i="17"/>
  <c r="M83" i="17"/>
  <c r="L83" i="17"/>
  <c r="K83" i="17"/>
  <c r="M82" i="17"/>
  <c r="L82" i="17"/>
  <c r="K82" i="17"/>
  <c r="M81" i="17"/>
  <c r="L81" i="17"/>
  <c r="K81" i="17"/>
  <c r="M80" i="17"/>
  <c r="L80" i="17"/>
  <c r="K80" i="17"/>
  <c r="M79" i="17"/>
  <c r="L79" i="17"/>
  <c r="K79" i="17"/>
  <c r="M78" i="17"/>
  <c r="L78" i="17"/>
  <c r="K78" i="17"/>
  <c r="M77" i="17"/>
  <c r="L77" i="17"/>
  <c r="K77" i="17"/>
  <c r="M76" i="17"/>
  <c r="L76" i="17"/>
  <c r="K76" i="17"/>
  <c r="M75" i="17"/>
  <c r="L75" i="17"/>
  <c r="K75" i="17"/>
  <c r="M74" i="17"/>
  <c r="L74" i="17"/>
  <c r="K74" i="17"/>
  <c r="M73" i="17"/>
  <c r="L73" i="17"/>
  <c r="K73" i="17"/>
  <c r="M72" i="17"/>
  <c r="L72" i="17"/>
  <c r="K72" i="17"/>
  <c r="M71" i="17"/>
  <c r="L71" i="17"/>
  <c r="K71" i="17"/>
  <c r="M70" i="17"/>
  <c r="L70" i="17"/>
  <c r="K70" i="17"/>
  <c r="M69" i="17"/>
  <c r="L69" i="17"/>
  <c r="K69" i="17"/>
  <c r="M68" i="17"/>
  <c r="L68" i="17"/>
  <c r="K68" i="17"/>
  <c r="M67" i="17"/>
  <c r="L67" i="17"/>
  <c r="K67" i="17"/>
  <c r="M66" i="17"/>
  <c r="L66" i="17"/>
  <c r="K66" i="17"/>
  <c r="M65" i="17"/>
  <c r="L65" i="17"/>
  <c r="K65" i="17"/>
  <c r="M64" i="17"/>
  <c r="L64" i="17"/>
  <c r="K64" i="17"/>
  <c r="M63" i="17"/>
  <c r="L63" i="17"/>
  <c r="K63" i="17"/>
  <c r="M62" i="17"/>
  <c r="L62" i="17"/>
  <c r="K62" i="17"/>
  <c r="M61" i="17"/>
  <c r="L61" i="17"/>
  <c r="K61" i="17"/>
  <c r="M60" i="17"/>
  <c r="L60" i="17"/>
  <c r="K60" i="17"/>
  <c r="M59" i="17"/>
  <c r="L59" i="17"/>
  <c r="K59" i="17"/>
  <c r="M58" i="17"/>
  <c r="L58" i="17"/>
  <c r="K58" i="17"/>
  <c r="M57" i="17"/>
  <c r="L57" i="17"/>
  <c r="K57" i="17"/>
  <c r="M56" i="17"/>
  <c r="L56" i="17"/>
  <c r="K56" i="17"/>
  <c r="M55" i="17"/>
  <c r="L55" i="17"/>
  <c r="K55" i="17"/>
  <c r="M54" i="17"/>
  <c r="L54" i="17"/>
  <c r="K54" i="17"/>
  <c r="M53" i="17"/>
  <c r="L53" i="17"/>
  <c r="K53" i="17"/>
  <c r="M52" i="17"/>
  <c r="L52" i="17"/>
  <c r="K52" i="17"/>
  <c r="M51" i="17"/>
  <c r="L51" i="17"/>
  <c r="K51" i="17"/>
  <c r="M50" i="17"/>
  <c r="L50" i="17"/>
  <c r="K50" i="17"/>
  <c r="M49" i="17"/>
  <c r="L49" i="17"/>
  <c r="K49" i="17"/>
  <c r="M48" i="17"/>
  <c r="L48" i="17"/>
  <c r="K48" i="17"/>
  <c r="M47" i="17"/>
  <c r="L47" i="17"/>
  <c r="K47" i="17"/>
  <c r="M46" i="17"/>
  <c r="L46" i="17"/>
  <c r="K46" i="17"/>
  <c r="M45" i="17"/>
  <c r="L45" i="17"/>
  <c r="K45" i="17"/>
  <c r="M44" i="17"/>
  <c r="L44" i="17"/>
  <c r="K44" i="17"/>
  <c r="M43" i="17"/>
  <c r="L43" i="17"/>
  <c r="K43" i="17"/>
  <c r="M42" i="17"/>
  <c r="L42" i="17"/>
  <c r="K42" i="17"/>
  <c r="M41" i="17"/>
  <c r="L41" i="17"/>
  <c r="K41" i="17"/>
  <c r="M40" i="17"/>
  <c r="L40" i="17"/>
  <c r="K40" i="17"/>
  <c r="M39" i="17"/>
  <c r="L39" i="17"/>
  <c r="K39" i="17"/>
  <c r="M38" i="17"/>
  <c r="L38" i="17"/>
  <c r="K38" i="17"/>
  <c r="M37" i="17"/>
  <c r="L37" i="17"/>
  <c r="K37" i="17"/>
  <c r="M36" i="17"/>
  <c r="L36" i="17"/>
  <c r="K36" i="17"/>
  <c r="M35" i="17"/>
  <c r="L35" i="17"/>
  <c r="K35" i="17"/>
  <c r="M34" i="17"/>
  <c r="L34" i="17"/>
  <c r="K34" i="17"/>
  <c r="M33" i="17"/>
  <c r="L33" i="17"/>
  <c r="K33" i="17"/>
  <c r="M32" i="17"/>
  <c r="L32" i="17"/>
  <c r="K32" i="17"/>
  <c r="M31" i="17"/>
  <c r="L31" i="17"/>
  <c r="K31" i="17"/>
  <c r="M30" i="17"/>
  <c r="L30" i="17"/>
  <c r="K30" i="17"/>
  <c r="M29" i="17"/>
  <c r="L29" i="17"/>
  <c r="K29" i="17"/>
  <c r="M28" i="17"/>
  <c r="L28" i="17"/>
  <c r="K28" i="17"/>
  <c r="M27" i="17"/>
  <c r="L27" i="17"/>
  <c r="K27" i="17"/>
  <c r="M26" i="17"/>
  <c r="L26" i="17"/>
  <c r="K26" i="17"/>
  <c r="M25" i="17"/>
  <c r="L25" i="17"/>
  <c r="K25" i="17"/>
  <c r="M24" i="17"/>
  <c r="L24" i="17"/>
  <c r="K24" i="17"/>
  <c r="M23" i="17"/>
  <c r="L23" i="17"/>
  <c r="K23" i="17"/>
  <c r="M22" i="17"/>
  <c r="L22" i="17"/>
  <c r="K22" i="17"/>
  <c r="M21" i="17"/>
  <c r="L21" i="17"/>
  <c r="K21" i="17"/>
  <c r="M20" i="17"/>
  <c r="L20" i="17"/>
  <c r="K20" i="17"/>
  <c r="M19" i="17"/>
  <c r="L19" i="17"/>
  <c r="K19" i="17"/>
  <c r="M18" i="17"/>
  <c r="L18" i="17"/>
  <c r="K18" i="17"/>
  <c r="M17" i="17"/>
  <c r="L17" i="17"/>
  <c r="K17" i="17"/>
  <c r="M16" i="17"/>
  <c r="L16" i="17"/>
  <c r="K16" i="17"/>
  <c r="M15" i="17"/>
  <c r="L15" i="17"/>
  <c r="K15" i="17"/>
  <c r="M14" i="17"/>
  <c r="L14" i="17"/>
  <c r="E196" i="8" s="1"/>
  <c r="K14" i="17"/>
  <c r="M13" i="17"/>
  <c r="L13" i="17"/>
  <c r="K13" i="17"/>
  <c r="M12" i="17"/>
  <c r="L12" i="17"/>
  <c r="K12" i="17"/>
  <c r="M11" i="17"/>
  <c r="L11" i="17"/>
  <c r="K11" i="17"/>
  <c r="M10" i="17"/>
  <c r="L10" i="17"/>
  <c r="K10" i="17"/>
  <c r="M9" i="17"/>
  <c r="L9" i="17"/>
  <c r="K9" i="17"/>
  <c r="M8" i="17"/>
  <c r="L8" i="17"/>
  <c r="K8" i="17"/>
  <c r="M7" i="17"/>
  <c r="L7" i="17"/>
  <c r="K7" i="17"/>
  <c r="M6" i="17"/>
  <c r="L6" i="17"/>
  <c r="K6" i="17"/>
  <c r="F8" i="10" s="1"/>
  <c r="M784" i="16"/>
  <c r="L784" i="16"/>
  <c r="K784" i="16"/>
  <c r="M783" i="16"/>
  <c r="L783" i="16"/>
  <c r="K783" i="16"/>
  <c r="M782" i="16"/>
  <c r="L782" i="16"/>
  <c r="K782" i="16"/>
  <c r="M781" i="16"/>
  <c r="L781" i="16"/>
  <c r="K781" i="16"/>
  <c r="M780" i="16"/>
  <c r="L780" i="16"/>
  <c r="K780" i="16"/>
  <c r="M779" i="16"/>
  <c r="L779" i="16"/>
  <c r="K779" i="16"/>
  <c r="M778" i="16"/>
  <c r="L778" i="16"/>
  <c r="K778" i="16"/>
  <c r="M777" i="16"/>
  <c r="L777" i="16"/>
  <c r="K777" i="16"/>
  <c r="M776" i="16"/>
  <c r="L776" i="16"/>
  <c r="K776" i="16"/>
  <c r="M775" i="16"/>
  <c r="L775" i="16"/>
  <c r="K775" i="16"/>
  <c r="M774" i="16"/>
  <c r="L774" i="16"/>
  <c r="K774" i="16"/>
  <c r="M773" i="16"/>
  <c r="L773" i="16"/>
  <c r="K773" i="16"/>
  <c r="M772" i="16"/>
  <c r="L772" i="16"/>
  <c r="K772" i="16"/>
  <c r="M771" i="16"/>
  <c r="L771" i="16"/>
  <c r="K771" i="16"/>
  <c r="M770" i="16"/>
  <c r="L770" i="16"/>
  <c r="K770" i="16"/>
  <c r="M769" i="16"/>
  <c r="L769" i="16"/>
  <c r="K769" i="16"/>
  <c r="M768" i="16"/>
  <c r="L768" i="16"/>
  <c r="K768" i="16"/>
  <c r="M767" i="16"/>
  <c r="L767" i="16"/>
  <c r="K767" i="16"/>
  <c r="M766" i="16"/>
  <c r="L766" i="16"/>
  <c r="K766" i="16"/>
  <c r="M765" i="16"/>
  <c r="L765" i="16"/>
  <c r="K765" i="16"/>
  <c r="M764" i="16"/>
  <c r="L764" i="16"/>
  <c r="K764" i="16"/>
  <c r="M763" i="16"/>
  <c r="L763" i="16"/>
  <c r="K763" i="16"/>
  <c r="M762" i="16"/>
  <c r="L762" i="16"/>
  <c r="K762" i="16"/>
  <c r="M761" i="16"/>
  <c r="L761" i="16"/>
  <c r="K761" i="16"/>
  <c r="M760" i="16"/>
  <c r="L760" i="16"/>
  <c r="K760" i="16"/>
  <c r="M759" i="16"/>
  <c r="L759" i="16"/>
  <c r="K759" i="16"/>
  <c r="M758" i="16"/>
  <c r="L758" i="16"/>
  <c r="K758" i="16"/>
  <c r="M757" i="16"/>
  <c r="L757" i="16"/>
  <c r="K757" i="16"/>
  <c r="M756" i="16"/>
  <c r="L756" i="16"/>
  <c r="K756" i="16"/>
  <c r="M755" i="16"/>
  <c r="L755" i="16"/>
  <c r="K755" i="16"/>
  <c r="M754" i="16"/>
  <c r="L754" i="16"/>
  <c r="K754" i="16"/>
  <c r="M753" i="16"/>
  <c r="L753" i="16"/>
  <c r="K753" i="16"/>
  <c r="M752" i="16"/>
  <c r="L752" i="16"/>
  <c r="K752" i="16"/>
  <c r="M751" i="16"/>
  <c r="L751" i="16"/>
  <c r="K751" i="16"/>
  <c r="M750" i="16"/>
  <c r="L750" i="16"/>
  <c r="K750" i="16"/>
  <c r="M749" i="16"/>
  <c r="L749" i="16"/>
  <c r="K749" i="16"/>
  <c r="M748" i="16"/>
  <c r="L748" i="16"/>
  <c r="K748" i="16"/>
  <c r="M747" i="16"/>
  <c r="L747" i="16"/>
  <c r="K747" i="16"/>
  <c r="M746" i="16"/>
  <c r="L746" i="16"/>
  <c r="K746" i="16"/>
  <c r="M745" i="16"/>
  <c r="L745" i="16"/>
  <c r="K745" i="16"/>
  <c r="M744" i="16"/>
  <c r="L744" i="16"/>
  <c r="K744" i="16"/>
  <c r="M743" i="16"/>
  <c r="L743" i="16"/>
  <c r="K743" i="16"/>
  <c r="M742" i="16"/>
  <c r="L742" i="16"/>
  <c r="K742" i="16"/>
  <c r="M741" i="16"/>
  <c r="L741" i="16"/>
  <c r="K741" i="16"/>
  <c r="M740" i="16"/>
  <c r="L740" i="16"/>
  <c r="K740" i="16"/>
  <c r="M739" i="16"/>
  <c r="L739" i="16"/>
  <c r="K739" i="16"/>
  <c r="M738" i="16"/>
  <c r="L738" i="16"/>
  <c r="K738" i="16"/>
  <c r="M737" i="16"/>
  <c r="L737" i="16"/>
  <c r="K737" i="16"/>
  <c r="M736" i="16"/>
  <c r="L736" i="16"/>
  <c r="K736" i="16"/>
  <c r="M735" i="16"/>
  <c r="L735" i="16"/>
  <c r="K735" i="16"/>
  <c r="M734" i="16"/>
  <c r="L734" i="16"/>
  <c r="K734" i="16"/>
  <c r="M733" i="16"/>
  <c r="L733" i="16"/>
  <c r="K733" i="16"/>
  <c r="M732" i="16"/>
  <c r="L732" i="16"/>
  <c r="K732" i="16"/>
  <c r="M731" i="16"/>
  <c r="L731" i="16"/>
  <c r="K731" i="16"/>
  <c r="M730" i="16"/>
  <c r="L730" i="16"/>
  <c r="K730" i="16"/>
  <c r="M729" i="16"/>
  <c r="L729" i="16"/>
  <c r="K729" i="16"/>
  <c r="M728" i="16"/>
  <c r="L728" i="16"/>
  <c r="K728" i="16"/>
  <c r="M727" i="16"/>
  <c r="L727" i="16"/>
  <c r="K727" i="16"/>
  <c r="M726" i="16"/>
  <c r="L726" i="16"/>
  <c r="K726" i="16"/>
  <c r="M725" i="16"/>
  <c r="L725" i="16"/>
  <c r="K725" i="16"/>
  <c r="M724" i="16"/>
  <c r="L724" i="16"/>
  <c r="K724" i="16"/>
  <c r="M723" i="16"/>
  <c r="L723" i="16"/>
  <c r="K723" i="16"/>
  <c r="M722" i="16"/>
  <c r="L722" i="16"/>
  <c r="K722" i="16"/>
  <c r="M721" i="16"/>
  <c r="L721" i="16"/>
  <c r="K721" i="16"/>
  <c r="M720" i="16"/>
  <c r="L720" i="16"/>
  <c r="K720" i="16"/>
  <c r="M719" i="16"/>
  <c r="L719" i="16"/>
  <c r="K719" i="16"/>
  <c r="M718" i="16"/>
  <c r="L718" i="16"/>
  <c r="K718" i="16"/>
  <c r="M717" i="16"/>
  <c r="L717" i="16"/>
  <c r="K717" i="16"/>
  <c r="M716" i="16"/>
  <c r="L716" i="16"/>
  <c r="K716" i="16"/>
  <c r="M715" i="16"/>
  <c r="L715" i="16"/>
  <c r="K715" i="16"/>
  <c r="M714" i="16"/>
  <c r="L714" i="16"/>
  <c r="K714" i="16"/>
  <c r="M713" i="16"/>
  <c r="L713" i="16"/>
  <c r="K713" i="16"/>
  <c r="M712" i="16"/>
  <c r="L712" i="16"/>
  <c r="K712" i="16"/>
  <c r="M711" i="16"/>
  <c r="L711" i="16"/>
  <c r="K711" i="16"/>
  <c r="M710" i="16"/>
  <c r="L710" i="16"/>
  <c r="K710" i="16"/>
  <c r="M709" i="16"/>
  <c r="L709" i="16"/>
  <c r="K709" i="16"/>
  <c r="M708" i="16"/>
  <c r="L708" i="16"/>
  <c r="K708" i="16"/>
  <c r="M707" i="16"/>
  <c r="L707" i="16"/>
  <c r="K707" i="16"/>
  <c r="M706" i="16"/>
  <c r="L706" i="16"/>
  <c r="K706" i="16"/>
  <c r="M705" i="16"/>
  <c r="L705" i="16"/>
  <c r="K705" i="16"/>
  <c r="M704" i="16"/>
  <c r="L704" i="16"/>
  <c r="K704" i="16"/>
  <c r="M703" i="16"/>
  <c r="L703" i="16"/>
  <c r="K703" i="16"/>
  <c r="M702" i="16"/>
  <c r="L702" i="16"/>
  <c r="K702" i="16"/>
  <c r="M701" i="16"/>
  <c r="L701" i="16"/>
  <c r="K701" i="16"/>
  <c r="M700" i="16"/>
  <c r="L700" i="16"/>
  <c r="K700" i="16"/>
  <c r="M699" i="16"/>
  <c r="L699" i="16"/>
  <c r="K699" i="16"/>
  <c r="M698" i="16"/>
  <c r="L698" i="16"/>
  <c r="K698" i="16"/>
  <c r="M697" i="16"/>
  <c r="L697" i="16"/>
  <c r="K697" i="16"/>
  <c r="M696" i="16"/>
  <c r="L696" i="16"/>
  <c r="K696" i="16"/>
  <c r="M695" i="16"/>
  <c r="L695" i="16"/>
  <c r="K695" i="16"/>
  <c r="M694" i="16"/>
  <c r="L694" i="16"/>
  <c r="K694" i="16"/>
  <c r="M693" i="16"/>
  <c r="L693" i="16"/>
  <c r="K693" i="16"/>
  <c r="M692" i="16"/>
  <c r="L692" i="16"/>
  <c r="K692" i="16"/>
  <c r="M691" i="16"/>
  <c r="L691" i="16"/>
  <c r="K691" i="16"/>
  <c r="M690" i="16"/>
  <c r="L690" i="16"/>
  <c r="K690" i="16"/>
  <c r="M689" i="16"/>
  <c r="L689" i="16"/>
  <c r="K689" i="16"/>
  <c r="M688" i="16"/>
  <c r="L688" i="16"/>
  <c r="K688" i="16"/>
  <c r="M687" i="16"/>
  <c r="L687" i="16"/>
  <c r="K687" i="16"/>
  <c r="M686" i="16"/>
  <c r="L686" i="16"/>
  <c r="K686" i="16"/>
  <c r="M685" i="16"/>
  <c r="L685" i="16"/>
  <c r="K685" i="16"/>
  <c r="M684" i="16"/>
  <c r="L684" i="16"/>
  <c r="K684" i="16"/>
  <c r="M683" i="16"/>
  <c r="L683" i="16"/>
  <c r="K683" i="16"/>
  <c r="M682" i="16"/>
  <c r="L682" i="16"/>
  <c r="K682" i="16"/>
  <c r="M681" i="16"/>
  <c r="L681" i="16"/>
  <c r="K681" i="16"/>
  <c r="M680" i="16"/>
  <c r="L680" i="16"/>
  <c r="K680" i="16"/>
  <c r="M679" i="16"/>
  <c r="L679" i="16"/>
  <c r="K679" i="16"/>
  <c r="M678" i="16"/>
  <c r="L678" i="16"/>
  <c r="K678" i="16"/>
  <c r="M677" i="16"/>
  <c r="L677" i="16"/>
  <c r="K677" i="16"/>
  <c r="M676" i="16"/>
  <c r="L676" i="16"/>
  <c r="K676" i="16"/>
  <c r="M675" i="16"/>
  <c r="L675" i="16"/>
  <c r="K675" i="16"/>
  <c r="M674" i="16"/>
  <c r="L674" i="16"/>
  <c r="K674" i="16"/>
  <c r="M673" i="16"/>
  <c r="L673" i="16"/>
  <c r="K673" i="16"/>
  <c r="M672" i="16"/>
  <c r="L672" i="16"/>
  <c r="K672" i="16"/>
  <c r="M671" i="16"/>
  <c r="L671" i="16"/>
  <c r="K671" i="16"/>
  <c r="M670" i="16"/>
  <c r="L670" i="16"/>
  <c r="K670" i="16"/>
  <c r="M669" i="16"/>
  <c r="L669" i="16"/>
  <c r="K669" i="16"/>
  <c r="M668" i="16"/>
  <c r="L668" i="16"/>
  <c r="K668" i="16"/>
  <c r="M667" i="16"/>
  <c r="L667" i="16"/>
  <c r="K667" i="16"/>
  <c r="M666" i="16"/>
  <c r="L666" i="16"/>
  <c r="K666" i="16"/>
  <c r="M665" i="16"/>
  <c r="L665" i="16"/>
  <c r="K665" i="16"/>
  <c r="M664" i="16"/>
  <c r="L664" i="16"/>
  <c r="K664" i="16"/>
  <c r="M663" i="16"/>
  <c r="L663" i="16"/>
  <c r="K663" i="16"/>
  <c r="M662" i="16"/>
  <c r="L662" i="16"/>
  <c r="K662" i="16"/>
  <c r="M661" i="16"/>
  <c r="L661" i="16"/>
  <c r="K661" i="16"/>
  <c r="M660" i="16"/>
  <c r="L660" i="16"/>
  <c r="K660" i="16"/>
  <c r="M659" i="16"/>
  <c r="L659" i="16"/>
  <c r="K659" i="16"/>
  <c r="M658" i="16"/>
  <c r="L658" i="16"/>
  <c r="K658" i="16"/>
  <c r="M657" i="16"/>
  <c r="L657" i="16"/>
  <c r="K657" i="16"/>
  <c r="M656" i="16"/>
  <c r="L656" i="16"/>
  <c r="K656" i="16"/>
  <c r="M655" i="16"/>
  <c r="L655" i="16"/>
  <c r="K655" i="16"/>
  <c r="M654" i="16"/>
  <c r="L654" i="16"/>
  <c r="K654" i="16"/>
  <c r="M653" i="16"/>
  <c r="L653" i="16"/>
  <c r="K653" i="16"/>
  <c r="M652" i="16"/>
  <c r="L652" i="16"/>
  <c r="K652" i="16"/>
  <c r="M651" i="16"/>
  <c r="L651" i="16"/>
  <c r="K651" i="16"/>
  <c r="M650" i="16"/>
  <c r="L650" i="16"/>
  <c r="K650" i="16"/>
  <c r="M649" i="16"/>
  <c r="L649" i="16"/>
  <c r="K649" i="16"/>
  <c r="M648" i="16"/>
  <c r="L648" i="16"/>
  <c r="K648" i="16"/>
  <c r="M647" i="16"/>
  <c r="L647" i="16"/>
  <c r="K647" i="16"/>
  <c r="M646" i="16"/>
  <c r="L646" i="16"/>
  <c r="K646" i="16"/>
  <c r="M645" i="16"/>
  <c r="L645" i="16"/>
  <c r="K645" i="16"/>
  <c r="M644" i="16"/>
  <c r="L644" i="16"/>
  <c r="K644" i="16"/>
  <c r="M643" i="16"/>
  <c r="L643" i="16"/>
  <c r="K643" i="16"/>
  <c r="M642" i="16"/>
  <c r="L642" i="16"/>
  <c r="K642" i="16"/>
  <c r="M641" i="16"/>
  <c r="L641" i="16"/>
  <c r="K641" i="16"/>
  <c r="M640" i="16"/>
  <c r="L640" i="16"/>
  <c r="K640" i="16"/>
  <c r="M639" i="16"/>
  <c r="L639" i="16"/>
  <c r="K639" i="16"/>
  <c r="M638" i="16"/>
  <c r="L638" i="16"/>
  <c r="K638" i="16"/>
  <c r="M637" i="16"/>
  <c r="L637" i="16"/>
  <c r="K637" i="16"/>
  <c r="M636" i="16"/>
  <c r="L636" i="16"/>
  <c r="K636" i="16"/>
  <c r="M635" i="16"/>
  <c r="L635" i="16"/>
  <c r="K635" i="16"/>
  <c r="M634" i="16"/>
  <c r="L634" i="16"/>
  <c r="K634" i="16"/>
  <c r="M633" i="16"/>
  <c r="L633" i="16"/>
  <c r="K633" i="16"/>
  <c r="M632" i="16"/>
  <c r="L632" i="16"/>
  <c r="K632" i="16"/>
  <c r="M631" i="16"/>
  <c r="L631" i="16"/>
  <c r="K631" i="16"/>
  <c r="M630" i="16"/>
  <c r="L630" i="16"/>
  <c r="K630" i="16"/>
  <c r="M629" i="16"/>
  <c r="L629" i="16"/>
  <c r="K629" i="16"/>
  <c r="M628" i="16"/>
  <c r="L628" i="16"/>
  <c r="K628" i="16"/>
  <c r="M627" i="16"/>
  <c r="L627" i="16"/>
  <c r="K627" i="16"/>
  <c r="M626" i="16"/>
  <c r="L626" i="16"/>
  <c r="K626" i="16"/>
  <c r="M625" i="16"/>
  <c r="L625" i="16"/>
  <c r="K625" i="16"/>
  <c r="M624" i="16"/>
  <c r="L624" i="16"/>
  <c r="K624" i="16"/>
  <c r="M623" i="16"/>
  <c r="L623" i="16"/>
  <c r="K623" i="16"/>
  <c r="M622" i="16"/>
  <c r="L622" i="16"/>
  <c r="K622" i="16"/>
  <c r="M621" i="16"/>
  <c r="L621" i="16"/>
  <c r="K621" i="16"/>
  <c r="M620" i="16"/>
  <c r="L620" i="16"/>
  <c r="K620" i="16"/>
  <c r="M619" i="16"/>
  <c r="L619" i="16"/>
  <c r="K619" i="16"/>
  <c r="M618" i="16"/>
  <c r="L618" i="16"/>
  <c r="K618" i="16"/>
  <c r="M617" i="16"/>
  <c r="L617" i="16"/>
  <c r="K617" i="16"/>
  <c r="M616" i="16"/>
  <c r="L616" i="16"/>
  <c r="K616" i="16"/>
  <c r="M615" i="16"/>
  <c r="L615" i="16"/>
  <c r="K615" i="16"/>
  <c r="M614" i="16"/>
  <c r="L614" i="16"/>
  <c r="K614" i="16"/>
  <c r="M613" i="16"/>
  <c r="L613" i="16"/>
  <c r="K613" i="16"/>
  <c r="M612" i="16"/>
  <c r="L612" i="16"/>
  <c r="K612" i="16"/>
  <c r="M611" i="16"/>
  <c r="L611" i="16"/>
  <c r="K611" i="16"/>
  <c r="M610" i="16"/>
  <c r="L610" i="16"/>
  <c r="K610" i="16"/>
  <c r="M609" i="16"/>
  <c r="L609" i="16"/>
  <c r="K609" i="16"/>
  <c r="M608" i="16"/>
  <c r="L608" i="16"/>
  <c r="K608" i="16"/>
  <c r="M607" i="16"/>
  <c r="L607" i="16"/>
  <c r="K607" i="16"/>
  <c r="M606" i="16"/>
  <c r="L606" i="16"/>
  <c r="K606" i="16"/>
  <c r="M605" i="16"/>
  <c r="L605" i="16"/>
  <c r="K605" i="16"/>
  <c r="M604" i="16"/>
  <c r="L604" i="16"/>
  <c r="K604" i="16"/>
  <c r="M603" i="16"/>
  <c r="L603" i="16"/>
  <c r="K603" i="16"/>
  <c r="M602" i="16"/>
  <c r="L602" i="16"/>
  <c r="K602" i="16"/>
  <c r="M601" i="16"/>
  <c r="L601" i="16"/>
  <c r="K601" i="16"/>
  <c r="M600" i="16"/>
  <c r="L600" i="16"/>
  <c r="K600" i="16"/>
  <c r="M599" i="16"/>
  <c r="L599" i="16"/>
  <c r="K599" i="16"/>
  <c r="M598" i="16"/>
  <c r="L598" i="16"/>
  <c r="K598" i="16"/>
  <c r="M597" i="16"/>
  <c r="L597" i="16"/>
  <c r="K597" i="16"/>
  <c r="M596" i="16"/>
  <c r="L596" i="16"/>
  <c r="K596" i="16"/>
  <c r="M595" i="16"/>
  <c r="L595" i="16"/>
  <c r="K595" i="16"/>
  <c r="M594" i="16"/>
  <c r="L594" i="16"/>
  <c r="K594" i="16"/>
  <c r="M593" i="16"/>
  <c r="L593" i="16"/>
  <c r="K593" i="16"/>
  <c r="M592" i="16"/>
  <c r="L592" i="16"/>
  <c r="K592" i="16"/>
  <c r="M591" i="16"/>
  <c r="L591" i="16"/>
  <c r="K591" i="16"/>
  <c r="M590" i="16"/>
  <c r="L590" i="16"/>
  <c r="K590" i="16"/>
  <c r="M589" i="16"/>
  <c r="L589" i="16"/>
  <c r="K589" i="16"/>
  <c r="M588" i="16"/>
  <c r="L588" i="16"/>
  <c r="K588" i="16"/>
  <c r="M587" i="16"/>
  <c r="L587" i="16"/>
  <c r="K587" i="16"/>
  <c r="M586" i="16"/>
  <c r="L586" i="16"/>
  <c r="K586" i="16"/>
  <c r="M585" i="16"/>
  <c r="L585" i="16"/>
  <c r="K585" i="16"/>
  <c r="M584" i="16"/>
  <c r="L584" i="16"/>
  <c r="K584" i="16"/>
  <c r="M583" i="16"/>
  <c r="L583" i="16"/>
  <c r="K583" i="16"/>
  <c r="M582" i="16"/>
  <c r="L582" i="16"/>
  <c r="K582" i="16"/>
  <c r="M581" i="16"/>
  <c r="L581" i="16"/>
  <c r="K581" i="16"/>
  <c r="M580" i="16"/>
  <c r="L580" i="16"/>
  <c r="K580" i="16"/>
  <c r="M579" i="16"/>
  <c r="L579" i="16"/>
  <c r="K579" i="16"/>
  <c r="M578" i="16"/>
  <c r="L578" i="16"/>
  <c r="K578" i="16"/>
  <c r="M577" i="16"/>
  <c r="L577" i="16"/>
  <c r="K577" i="16"/>
  <c r="M576" i="16"/>
  <c r="L576" i="16"/>
  <c r="K576" i="16"/>
  <c r="M575" i="16"/>
  <c r="L575" i="16"/>
  <c r="K575" i="16"/>
  <c r="M574" i="16"/>
  <c r="L574" i="16"/>
  <c r="K574" i="16"/>
  <c r="M573" i="16"/>
  <c r="L573" i="16"/>
  <c r="K573" i="16"/>
  <c r="M572" i="16"/>
  <c r="L572" i="16"/>
  <c r="K572" i="16"/>
  <c r="M571" i="16"/>
  <c r="L571" i="16"/>
  <c r="K571" i="16"/>
  <c r="M570" i="16"/>
  <c r="L570" i="16"/>
  <c r="K570" i="16"/>
  <c r="M569" i="16"/>
  <c r="L569" i="16"/>
  <c r="K569" i="16"/>
  <c r="M568" i="16"/>
  <c r="L568" i="16"/>
  <c r="K568" i="16"/>
  <c r="M567" i="16"/>
  <c r="L567" i="16"/>
  <c r="K567" i="16"/>
  <c r="M566" i="16"/>
  <c r="L566" i="16"/>
  <c r="K566" i="16"/>
  <c r="M565" i="16"/>
  <c r="L565" i="16"/>
  <c r="K565" i="16"/>
  <c r="M564" i="16"/>
  <c r="L564" i="16"/>
  <c r="K564" i="16"/>
  <c r="M563" i="16"/>
  <c r="L563" i="16"/>
  <c r="K563" i="16"/>
  <c r="M562" i="16"/>
  <c r="L562" i="16"/>
  <c r="K562" i="16"/>
  <c r="M561" i="16"/>
  <c r="L561" i="16"/>
  <c r="K561" i="16"/>
  <c r="M560" i="16"/>
  <c r="L560" i="16"/>
  <c r="K560" i="16"/>
  <c r="M559" i="16"/>
  <c r="L559" i="16"/>
  <c r="K559" i="16"/>
  <c r="M558" i="16"/>
  <c r="L558" i="16"/>
  <c r="K558" i="16"/>
  <c r="M557" i="16"/>
  <c r="L557" i="16"/>
  <c r="K557" i="16"/>
  <c r="M556" i="16"/>
  <c r="L556" i="16"/>
  <c r="K556" i="16"/>
  <c r="M555" i="16"/>
  <c r="L555" i="16"/>
  <c r="K555" i="16"/>
  <c r="M554" i="16"/>
  <c r="L554" i="16"/>
  <c r="K554" i="16"/>
  <c r="M553" i="16"/>
  <c r="L553" i="16"/>
  <c r="K553" i="16"/>
  <c r="M552" i="16"/>
  <c r="L552" i="16"/>
  <c r="K552" i="16"/>
  <c r="M551" i="16"/>
  <c r="L551" i="16"/>
  <c r="K551" i="16"/>
  <c r="M550" i="16"/>
  <c r="L550" i="16"/>
  <c r="K550" i="16"/>
  <c r="M549" i="16"/>
  <c r="L549" i="16"/>
  <c r="K549" i="16"/>
  <c r="M548" i="16"/>
  <c r="L548" i="16"/>
  <c r="K548" i="16"/>
  <c r="M547" i="16"/>
  <c r="L547" i="16"/>
  <c r="K547" i="16"/>
  <c r="M546" i="16"/>
  <c r="L546" i="16"/>
  <c r="K546" i="16"/>
  <c r="M545" i="16"/>
  <c r="L545" i="16"/>
  <c r="K545" i="16"/>
  <c r="M544" i="16"/>
  <c r="L544" i="16"/>
  <c r="K544" i="16"/>
  <c r="M543" i="16"/>
  <c r="L543" i="16"/>
  <c r="K543" i="16"/>
  <c r="M542" i="16"/>
  <c r="L542" i="16"/>
  <c r="K542" i="16"/>
  <c r="M541" i="16"/>
  <c r="L541" i="16"/>
  <c r="K541" i="16"/>
  <c r="M540" i="16"/>
  <c r="L540" i="16"/>
  <c r="K540" i="16"/>
  <c r="M539" i="16"/>
  <c r="L539" i="16"/>
  <c r="K539" i="16"/>
  <c r="M538" i="16"/>
  <c r="L538" i="16"/>
  <c r="K538" i="16"/>
  <c r="M537" i="16"/>
  <c r="L537" i="16"/>
  <c r="K537" i="16"/>
  <c r="M536" i="16"/>
  <c r="L536" i="16"/>
  <c r="K536" i="16"/>
  <c r="M535" i="16"/>
  <c r="L535" i="16"/>
  <c r="K535" i="16"/>
  <c r="M534" i="16"/>
  <c r="L534" i="16"/>
  <c r="K534" i="16"/>
  <c r="M533" i="16"/>
  <c r="L533" i="16"/>
  <c r="K533" i="16"/>
  <c r="M532" i="16"/>
  <c r="L532" i="16"/>
  <c r="K532" i="16"/>
  <c r="M531" i="16"/>
  <c r="L531" i="16"/>
  <c r="K531" i="16"/>
  <c r="M530" i="16"/>
  <c r="L530" i="16"/>
  <c r="K530" i="16"/>
  <c r="M529" i="16"/>
  <c r="L529" i="16"/>
  <c r="K529" i="16"/>
  <c r="M528" i="16"/>
  <c r="L528" i="16"/>
  <c r="K528" i="16"/>
  <c r="M527" i="16"/>
  <c r="L527" i="16"/>
  <c r="K527" i="16"/>
  <c r="M526" i="16"/>
  <c r="L526" i="16"/>
  <c r="K526" i="16"/>
  <c r="M525" i="16"/>
  <c r="L525" i="16"/>
  <c r="K525" i="16"/>
  <c r="M524" i="16"/>
  <c r="L524" i="16"/>
  <c r="K524" i="16"/>
  <c r="M523" i="16"/>
  <c r="L523" i="16"/>
  <c r="K523" i="16"/>
  <c r="M522" i="16"/>
  <c r="L522" i="16"/>
  <c r="K522" i="16"/>
  <c r="M521" i="16"/>
  <c r="L521" i="16"/>
  <c r="K521" i="16"/>
  <c r="M520" i="16"/>
  <c r="L520" i="16"/>
  <c r="K520" i="16"/>
  <c r="M519" i="16"/>
  <c r="L519" i="16"/>
  <c r="K519" i="16"/>
  <c r="M518" i="16"/>
  <c r="L518" i="16"/>
  <c r="K518" i="16"/>
  <c r="M517" i="16"/>
  <c r="L517" i="16"/>
  <c r="K517" i="16"/>
  <c r="M516" i="16"/>
  <c r="L516" i="16"/>
  <c r="K516" i="16"/>
  <c r="M515" i="16"/>
  <c r="L515" i="16"/>
  <c r="K515" i="16"/>
  <c r="M514" i="16"/>
  <c r="L514" i="16"/>
  <c r="K514" i="16"/>
  <c r="M513" i="16"/>
  <c r="L513" i="16"/>
  <c r="K513" i="16"/>
  <c r="M512" i="16"/>
  <c r="L512" i="16"/>
  <c r="K512" i="16"/>
  <c r="M511" i="16"/>
  <c r="L511" i="16"/>
  <c r="K511" i="16"/>
  <c r="M510" i="16"/>
  <c r="L510" i="16"/>
  <c r="K510" i="16"/>
  <c r="M509" i="16"/>
  <c r="L509" i="16"/>
  <c r="K509" i="16"/>
  <c r="M508" i="16"/>
  <c r="L508" i="16"/>
  <c r="K508" i="16"/>
  <c r="M507" i="16"/>
  <c r="L507" i="16"/>
  <c r="K507" i="16"/>
  <c r="M506" i="16"/>
  <c r="L506" i="16"/>
  <c r="K506" i="16"/>
  <c r="M505" i="16"/>
  <c r="L505" i="16"/>
  <c r="K505" i="16"/>
  <c r="M504" i="16"/>
  <c r="L504" i="16"/>
  <c r="K504" i="16"/>
  <c r="M503" i="16"/>
  <c r="L503" i="16"/>
  <c r="K503" i="16"/>
  <c r="M502" i="16"/>
  <c r="L502" i="16"/>
  <c r="K502" i="16"/>
  <c r="M501" i="16"/>
  <c r="L501" i="16"/>
  <c r="K501" i="16"/>
  <c r="M500" i="16"/>
  <c r="L500" i="16"/>
  <c r="K500" i="16"/>
  <c r="M499" i="16"/>
  <c r="L499" i="16"/>
  <c r="K499" i="16"/>
  <c r="M498" i="16"/>
  <c r="L498" i="16"/>
  <c r="K498" i="16"/>
  <c r="M497" i="16"/>
  <c r="L497" i="16"/>
  <c r="K497" i="16"/>
  <c r="M496" i="16"/>
  <c r="L496" i="16"/>
  <c r="K496" i="16"/>
  <c r="M495" i="16"/>
  <c r="L495" i="16"/>
  <c r="K495" i="16"/>
  <c r="M494" i="16"/>
  <c r="L494" i="16"/>
  <c r="K494" i="16"/>
  <c r="M493" i="16"/>
  <c r="L493" i="16"/>
  <c r="K493" i="16"/>
  <c r="M492" i="16"/>
  <c r="L492" i="16"/>
  <c r="K492" i="16"/>
  <c r="M491" i="16"/>
  <c r="L491" i="16"/>
  <c r="K491" i="16"/>
  <c r="M490" i="16"/>
  <c r="L490" i="16"/>
  <c r="K490" i="16"/>
  <c r="M489" i="16"/>
  <c r="L489" i="16"/>
  <c r="K489" i="16"/>
  <c r="M488" i="16"/>
  <c r="L488" i="16"/>
  <c r="K488" i="16"/>
  <c r="M487" i="16"/>
  <c r="L487" i="16"/>
  <c r="K487" i="16"/>
  <c r="M486" i="16"/>
  <c r="L486" i="16"/>
  <c r="K486" i="16"/>
  <c r="M485" i="16"/>
  <c r="L485" i="16"/>
  <c r="K485" i="16"/>
  <c r="M484" i="16"/>
  <c r="L484" i="16"/>
  <c r="K484" i="16"/>
  <c r="M483" i="16"/>
  <c r="L483" i="16"/>
  <c r="K483" i="16"/>
  <c r="M482" i="16"/>
  <c r="L482" i="16"/>
  <c r="K482" i="16"/>
  <c r="M481" i="16"/>
  <c r="L481" i="16"/>
  <c r="K481" i="16"/>
  <c r="M480" i="16"/>
  <c r="L480" i="16"/>
  <c r="K480" i="16"/>
  <c r="M479" i="16"/>
  <c r="L479" i="16"/>
  <c r="K479" i="16"/>
  <c r="M478" i="16"/>
  <c r="L478" i="16"/>
  <c r="K478" i="16"/>
  <c r="M477" i="16"/>
  <c r="L477" i="16"/>
  <c r="K477" i="16"/>
  <c r="M476" i="16"/>
  <c r="L476" i="16"/>
  <c r="K476" i="16"/>
  <c r="M475" i="16"/>
  <c r="L475" i="16"/>
  <c r="K475" i="16"/>
  <c r="M474" i="16"/>
  <c r="L474" i="16"/>
  <c r="K474" i="16"/>
  <c r="M473" i="16"/>
  <c r="L473" i="16"/>
  <c r="K473" i="16"/>
  <c r="M472" i="16"/>
  <c r="L472" i="16"/>
  <c r="K472" i="16"/>
  <c r="M471" i="16"/>
  <c r="L471" i="16"/>
  <c r="K471" i="16"/>
  <c r="M470" i="16"/>
  <c r="L470" i="16"/>
  <c r="K470" i="16"/>
  <c r="M469" i="16"/>
  <c r="L469" i="16"/>
  <c r="K469" i="16"/>
  <c r="M468" i="16"/>
  <c r="L468" i="16"/>
  <c r="K468" i="16"/>
  <c r="M467" i="16"/>
  <c r="L467" i="16"/>
  <c r="K467" i="16"/>
  <c r="M466" i="16"/>
  <c r="L466" i="16"/>
  <c r="K466" i="16"/>
  <c r="M465" i="16"/>
  <c r="L465" i="16"/>
  <c r="K465" i="16"/>
  <c r="M464" i="16"/>
  <c r="L464" i="16"/>
  <c r="K464" i="16"/>
  <c r="M463" i="16"/>
  <c r="L463" i="16"/>
  <c r="K463" i="16"/>
  <c r="M462" i="16"/>
  <c r="L462" i="16"/>
  <c r="K462" i="16"/>
  <c r="M461" i="16"/>
  <c r="L461" i="16"/>
  <c r="K461" i="16"/>
  <c r="M460" i="16"/>
  <c r="L460" i="16"/>
  <c r="K460" i="16"/>
  <c r="M459" i="16"/>
  <c r="L459" i="16"/>
  <c r="K459" i="16"/>
  <c r="M458" i="16"/>
  <c r="L458" i="16"/>
  <c r="K458" i="16"/>
  <c r="M457" i="16"/>
  <c r="L457" i="16"/>
  <c r="K457" i="16"/>
  <c r="M456" i="16"/>
  <c r="L456" i="16"/>
  <c r="K456" i="16"/>
  <c r="M455" i="16"/>
  <c r="L455" i="16"/>
  <c r="K455" i="16"/>
  <c r="M454" i="16"/>
  <c r="L454" i="16"/>
  <c r="K454" i="16"/>
  <c r="M453" i="16"/>
  <c r="L453" i="16"/>
  <c r="K453" i="16"/>
  <c r="M452" i="16"/>
  <c r="L452" i="16"/>
  <c r="K452" i="16"/>
  <c r="M451" i="16"/>
  <c r="L451" i="16"/>
  <c r="K451" i="16"/>
  <c r="M450" i="16"/>
  <c r="L450" i="16"/>
  <c r="K450" i="16"/>
  <c r="M449" i="16"/>
  <c r="L449" i="16"/>
  <c r="K449" i="16"/>
  <c r="M448" i="16"/>
  <c r="L448" i="16"/>
  <c r="K448" i="16"/>
  <c r="M447" i="16"/>
  <c r="L447" i="16"/>
  <c r="K447" i="16"/>
  <c r="M446" i="16"/>
  <c r="L446" i="16"/>
  <c r="K446" i="16"/>
  <c r="M445" i="16"/>
  <c r="L445" i="16"/>
  <c r="K445" i="16"/>
  <c r="M444" i="16"/>
  <c r="L444" i="16"/>
  <c r="K444" i="16"/>
  <c r="M443" i="16"/>
  <c r="L443" i="16"/>
  <c r="K443" i="16"/>
  <c r="M442" i="16"/>
  <c r="L442" i="16"/>
  <c r="K442" i="16"/>
  <c r="M441" i="16"/>
  <c r="L441" i="16"/>
  <c r="K441" i="16"/>
  <c r="M440" i="16"/>
  <c r="L440" i="16"/>
  <c r="K440" i="16"/>
  <c r="M439" i="16"/>
  <c r="L439" i="16"/>
  <c r="K439" i="16"/>
  <c r="M438" i="16"/>
  <c r="L438" i="16"/>
  <c r="K438" i="16"/>
  <c r="M437" i="16"/>
  <c r="L437" i="16"/>
  <c r="K437" i="16"/>
  <c r="M436" i="16"/>
  <c r="L436" i="16"/>
  <c r="K436" i="16"/>
  <c r="M435" i="16"/>
  <c r="L435" i="16"/>
  <c r="K435" i="16"/>
  <c r="M434" i="16"/>
  <c r="L434" i="16"/>
  <c r="K434" i="16"/>
  <c r="M433" i="16"/>
  <c r="L433" i="16"/>
  <c r="K433" i="16"/>
  <c r="M432" i="16"/>
  <c r="L432" i="16"/>
  <c r="K432" i="16"/>
  <c r="M431" i="16"/>
  <c r="L431" i="16"/>
  <c r="K431" i="16"/>
  <c r="M430" i="16"/>
  <c r="L430" i="16"/>
  <c r="K430" i="16"/>
  <c r="M429" i="16"/>
  <c r="L429" i="16"/>
  <c r="K429" i="16"/>
  <c r="M428" i="16"/>
  <c r="L428" i="16"/>
  <c r="K428" i="16"/>
  <c r="M427" i="16"/>
  <c r="L427" i="16"/>
  <c r="K427" i="16"/>
  <c r="M426" i="16"/>
  <c r="L426" i="16"/>
  <c r="K426" i="16"/>
  <c r="M425" i="16"/>
  <c r="L425" i="16"/>
  <c r="K425" i="16"/>
  <c r="M424" i="16"/>
  <c r="L424" i="16"/>
  <c r="K424" i="16"/>
  <c r="M423" i="16"/>
  <c r="L423" i="16"/>
  <c r="K423" i="16"/>
  <c r="M422" i="16"/>
  <c r="L422" i="16"/>
  <c r="K422" i="16"/>
  <c r="M421" i="16"/>
  <c r="L421" i="16"/>
  <c r="K421" i="16"/>
  <c r="M420" i="16"/>
  <c r="L420" i="16"/>
  <c r="K420" i="16"/>
  <c r="M419" i="16"/>
  <c r="L419" i="16"/>
  <c r="K419" i="16"/>
  <c r="M418" i="16"/>
  <c r="L418" i="16"/>
  <c r="K418" i="16"/>
  <c r="M417" i="16"/>
  <c r="L417" i="16"/>
  <c r="K417" i="16"/>
  <c r="M416" i="16"/>
  <c r="L416" i="16"/>
  <c r="K416" i="16"/>
  <c r="M415" i="16"/>
  <c r="L415" i="16"/>
  <c r="K415" i="16"/>
  <c r="M414" i="16"/>
  <c r="L414" i="16"/>
  <c r="K414" i="16"/>
  <c r="M413" i="16"/>
  <c r="L413" i="16"/>
  <c r="K413" i="16"/>
  <c r="M412" i="16"/>
  <c r="L412" i="16"/>
  <c r="K412" i="16"/>
  <c r="M411" i="16"/>
  <c r="L411" i="16"/>
  <c r="K411" i="16"/>
  <c r="M410" i="16"/>
  <c r="L410" i="16"/>
  <c r="K410" i="16"/>
  <c r="M409" i="16"/>
  <c r="L409" i="16"/>
  <c r="K409" i="16"/>
  <c r="M408" i="16"/>
  <c r="L408" i="16"/>
  <c r="K408" i="16"/>
  <c r="M407" i="16"/>
  <c r="L407" i="16"/>
  <c r="K407" i="16"/>
  <c r="M406" i="16"/>
  <c r="L406" i="16"/>
  <c r="K406" i="16"/>
  <c r="M405" i="16"/>
  <c r="L405" i="16"/>
  <c r="K405" i="16"/>
  <c r="M404" i="16"/>
  <c r="L404" i="16"/>
  <c r="K404" i="16"/>
  <c r="M403" i="16"/>
  <c r="L403" i="16"/>
  <c r="K403" i="16"/>
  <c r="M402" i="16"/>
  <c r="L402" i="16"/>
  <c r="K402" i="16"/>
  <c r="M401" i="16"/>
  <c r="L401" i="16"/>
  <c r="K401" i="16"/>
  <c r="M400" i="16"/>
  <c r="L400" i="16"/>
  <c r="K400" i="16"/>
  <c r="M399" i="16"/>
  <c r="L399" i="16"/>
  <c r="K399" i="16"/>
  <c r="M398" i="16"/>
  <c r="L398" i="16"/>
  <c r="K398" i="16"/>
  <c r="M397" i="16"/>
  <c r="L397" i="16"/>
  <c r="K397" i="16"/>
  <c r="M396" i="16"/>
  <c r="L396" i="16"/>
  <c r="K396" i="16"/>
  <c r="M395" i="16"/>
  <c r="L395" i="16"/>
  <c r="K395" i="16"/>
  <c r="M394" i="16"/>
  <c r="L394" i="16"/>
  <c r="K394" i="16"/>
  <c r="M393" i="16"/>
  <c r="L393" i="16"/>
  <c r="K393" i="16"/>
  <c r="M392" i="16"/>
  <c r="L392" i="16"/>
  <c r="K392" i="16"/>
  <c r="M391" i="16"/>
  <c r="L391" i="16"/>
  <c r="K391" i="16"/>
  <c r="M390" i="16"/>
  <c r="L390" i="16"/>
  <c r="K390" i="16"/>
  <c r="M389" i="16"/>
  <c r="L389" i="16"/>
  <c r="K389" i="16"/>
  <c r="M388" i="16"/>
  <c r="L388" i="16"/>
  <c r="K388" i="16"/>
  <c r="M387" i="16"/>
  <c r="L387" i="16"/>
  <c r="K387" i="16"/>
  <c r="M386" i="16"/>
  <c r="L386" i="16"/>
  <c r="K386" i="16"/>
  <c r="M385" i="16"/>
  <c r="L385" i="16"/>
  <c r="K385" i="16"/>
  <c r="M384" i="16"/>
  <c r="L384" i="16"/>
  <c r="K384" i="16"/>
  <c r="M383" i="16"/>
  <c r="L383" i="16"/>
  <c r="K383" i="16"/>
  <c r="M382" i="16"/>
  <c r="L382" i="16"/>
  <c r="K382" i="16"/>
  <c r="M381" i="16"/>
  <c r="L381" i="16"/>
  <c r="K381" i="16"/>
  <c r="M380" i="16"/>
  <c r="L380" i="16"/>
  <c r="K380" i="16"/>
  <c r="M379" i="16"/>
  <c r="L379" i="16"/>
  <c r="K379" i="16"/>
  <c r="M378" i="16"/>
  <c r="L378" i="16"/>
  <c r="K378" i="16"/>
  <c r="M377" i="16"/>
  <c r="L377" i="16"/>
  <c r="K377" i="16"/>
  <c r="M376" i="16"/>
  <c r="L376" i="16"/>
  <c r="K376" i="16"/>
  <c r="M375" i="16"/>
  <c r="L375" i="16"/>
  <c r="K375" i="16"/>
  <c r="M374" i="16"/>
  <c r="L374" i="16"/>
  <c r="K374" i="16"/>
  <c r="M373" i="16"/>
  <c r="L373" i="16"/>
  <c r="K373" i="16"/>
  <c r="M372" i="16"/>
  <c r="L372" i="16"/>
  <c r="K372" i="16"/>
  <c r="M371" i="16"/>
  <c r="L371" i="16"/>
  <c r="K371" i="16"/>
  <c r="M370" i="16"/>
  <c r="L370" i="16"/>
  <c r="K370" i="16"/>
  <c r="M369" i="16"/>
  <c r="L369" i="16"/>
  <c r="K369" i="16"/>
  <c r="M368" i="16"/>
  <c r="L368" i="16"/>
  <c r="K368" i="16"/>
  <c r="M367" i="16"/>
  <c r="L367" i="16"/>
  <c r="K367" i="16"/>
  <c r="M366" i="16"/>
  <c r="L366" i="16"/>
  <c r="K366" i="16"/>
  <c r="M365" i="16"/>
  <c r="L365" i="16"/>
  <c r="K365" i="16"/>
  <c r="M364" i="16"/>
  <c r="L364" i="16"/>
  <c r="K364" i="16"/>
  <c r="M363" i="16"/>
  <c r="L363" i="16"/>
  <c r="K363" i="16"/>
  <c r="M362" i="16"/>
  <c r="L362" i="16"/>
  <c r="K362" i="16"/>
  <c r="M361" i="16"/>
  <c r="L361" i="16"/>
  <c r="K361" i="16"/>
  <c r="M360" i="16"/>
  <c r="L360" i="16"/>
  <c r="K360" i="16"/>
  <c r="M359" i="16"/>
  <c r="L359" i="16"/>
  <c r="K359" i="16"/>
  <c r="M358" i="16"/>
  <c r="L358" i="16"/>
  <c r="K358" i="16"/>
  <c r="M357" i="16"/>
  <c r="L357" i="16"/>
  <c r="K357" i="16"/>
  <c r="M356" i="16"/>
  <c r="L356" i="16"/>
  <c r="K356" i="16"/>
  <c r="M355" i="16"/>
  <c r="L355" i="16"/>
  <c r="K355" i="16"/>
  <c r="M354" i="16"/>
  <c r="L354" i="16"/>
  <c r="K354" i="16"/>
  <c r="M353" i="16"/>
  <c r="L353" i="16"/>
  <c r="K353" i="16"/>
  <c r="M352" i="16"/>
  <c r="L352" i="16"/>
  <c r="K352" i="16"/>
  <c r="M351" i="16"/>
  <c r="L351" i="16"/>
  <c r="K351" i="16"/>
  <c r="M350" i="16"/>
  <c r="L350" i="16"/>
  <c r="K350" i="16"/>
  <c r="M349" i="16"/>
  <c r="L349" i="16"/>
  <c r="K349" i="16"/>
  <c r="M348" i="16"/>
  <c r="L348" i="16"/>
  <c r="K348" i="16"/>
  <c r="M347" i="16"/>
  <c r="L347" i="16"/>
  <c r="K347" i="16"/>
  <c r="M346" i="16"/>
  <c r="L346" i="16"/>
  <c r="K346" i="16"/>
  <c r="M345" i="16"/>
  <c r="L345" i="16"/>
  <c r="K345" i="16"/>
  <c r="M344" i="16"/>
  <c r="L344" i="16"/>
  <c r="K344" i="16"/>
  <c r="M343" i="16"/>
  <c r="L343" i="16"/>
  <c r="K343" i="16"/>
  <c r="M342" i="16"/>
  <c r="L342" i="16"/>
  <c r="K342" i="16"/>
  <c r="M341" i="16"/>
  <c r="L341" i="16"/>
  <c r="K341" i="16"/>
  <c r="M340" i="16"/>
  <c r="L340" i="16"/>
  <c r="K340" i="16"/>
  <c r="M339" i="16"/>
  <c r="L339" i="16"/>
  <c r="K339" i="16"/>
  <c r="M338" i="16"/>
  <c r="L338" i="16"/>
  <c r="K338" i="16"/>
  <c r="M337" i="16"/>
  <c r="L337" i="16"/>
  <c r="K337" i="16"/>
  <c r="M336" i="16"/>
  <c r="L336" i="16"/>
  <c r="K336" i="16"/>
  <c r="M335" i="16"/>
  <c r="L335" i="16"/>
  <c r="K335" i="16"/>
  <c r="M334" i="16"/>
  <c r="L334" i="16"/>
  <c r="K334" i="16"/>
  <c r="M333" i="16"/>
  <c r="L333" i="16"/>
  <c r="K333" i="16"/>
  <c r="M332" i="16"/>
  <c r="L332" i="16"/>
  <c r="K332" i="16"/>
  <c r="M331" i="16"/>
  <c r="L331" i="16"/>
  <c r="K331" i="16"/>
  <c r="M330" i="16"/>
  <c r="L330" i="16"/>
  <c r="K330" i="16"/>
  <c r="M329" i="16"/>
  <c r="L329" i="16"/>
  <c r="K329" i="16"/>
  <c r="M328" i="16"/>
  <c r="L328" i="16"/>
  <c r="K328" i="16"/>
  <c r="M327" i="16"/>
  <c r="L327" i="16"/>
  <c r="K327" i="16"/>
  <c r="M326" i="16"/>
  <c r="L326" i="16"/>
  <c r="K326" i="16"/>
  <c r="M325" i="16"/>
  <c r="L325" i="16"/>
  <c r="K325" i="16"/>
  <c r="M324" i="16"/>
  <c r="L324" i="16"/>
  <c r="K324" i="16"/>
  <c r="M323" i="16"/>
  <c r="L323" i="16"/>
  <c r="K323" i="16"/>
  <c r="M322" i="16"/>
  <c r="L322" i="16"/>
  <c r="K322" i="16"/>
  <c r="M321" i="16"/>
  <c r="L321" i="16"/>
  <c r="K321" i="16"/>
  <c r="M320" i="16"/>
  <c r="L320" i="16"/>
  <c r="K320" i="16"/>
  <c r="M319" i="16"/>
  <c r="L319" i="16"/>
  <c r="K319" i="16"/>
  <c r="M318" i="16"/>
  <c r="L318" i="16"/>
  <c r="K318" i="16"/>
  <c r="M317" i="16"/>
  <c r="L317" i="16"/>
  <c r="K317" i="16"/>
  <c r="M316" i="16"/>
  <c r="L316" i="16"/>
  <c r="K316" i="16"/>
  <c r="M315" i="16"/>
  <c r="L315" i="16"/>
  <c r="K315" i="16"/>
  <c r="M314" i="16"/>
  <c r="L314" i="16"/>
  <c r="K314" i="16"/>
  <c r="M313" i="16"/>
  <c r="L313" i="16"/>
  <c r="K313" i="16"/>
  <c r="M312" i="16"/>
  <c r="L312" i="16"/>
  <c r="K312" i="16"/>
  <c r="M311" i="16"/>
  <c r="L311" i="16"/>
  <c r="K311" i="16"/>
  <c r="M310" i="16"/>
  <c r="L310" i="16"/>
  <c r="K310" i="16"/>
  <c r="M309" i="16"/>
  <c r="L309" i="16"/>
  <c r="K309" i="16"/>
  <c r="M308" i="16"/>
  <c r="L308" i="16"/>
  <c r="K308" i="16"/>
  <c r="M307" i="16"/>
  <c r="L307" i="16"/>
  <c r="K307" i="16"/>
  <c r="M306" i="16"/>
  <c r="L306" i="16"/>
  <c r="K306" i="16"/>
  <c r="M305" i="16"/>
  <c r="L305" i="16"/>
  <c r="K305" i="16"/>
  <c r="M304" i="16"/>
  <c r="L304" i="16"/>
  <c r="K304" i="16"/>
  <c r="M303" i="16"/>
  <c r="L303" i="16"/>
  <c r="K303" i="16"/>
  <c r="M302" i="16"/>
  <c r="L302" i="16"/>
  <c r="K302" i="16"/>
  <c r="M301" i="16"/>
  <c r="L301" i="16"/>
  <c r="K301" i="16"/>
  <c r="M300" i="16"/>
  <c r="L300" i="16"/>
  <c r="K300" i="16"/>
  <c r="M299" i="16"/>
  <c r="L299" i="16"/>
  <c r="K299" i="16"/>
  <c r="M298" i="16"/>
  <c r="L298" i="16"/>
  <c r="K298" i="16"/>
  <c r="M297" i="16"/>
  <c r="L297" i="16"/>
  <c r="K297" i="16"/>
  <c r="M296" i="16"/>
  <c r="L296" i="16"/>
  <c r="K296" i="16"/>
  <c r="M295" i="16"/>
  <c r="L295" i="16"/>
  <c r="K295" i="16"/>
  <c r="M294" i="16"/>
  <c r="L294" i="16"/>
  <c r="K294" i="16"/>
  <c r="M293" i="16"/>
  <c r="L293" i="16"/>
  <c r="K293" i="16"/>
  <c r="M292" i="16"/>
  <c r="L292" i="16"/>
  <c r="K292" i="16"/>
  <c r="M291" i="16"/>
  <c r="L291" i="16"/>
  <c r="K291" i="16"/>
  <c r="M290" i="16"/>
  <c r="L290" i="16"/>
  <c r="K290" i="16"/>
  <c r="M289" i="16"/>
  <c r="L289" i="16"/>
  <c r="K289" i="16"/>
  <c r="M288" i="16"/>
  <c r="L288" i="16"/>
  <c r="K288" i="16"/>
  <c r="M287" i="16"/>
  <c r="L287" i="16"/>
  <c r="K287" i="16"/>
  <c r="M286" i="16"/>
  <c r="L286" i="16"/>
  <c r="K286" i="16"/>
  <c r="M285" i="16"/>
  <c r="L285" i="16"/>
  <c r="K285" i="16"/>
  <c r="M284" i="16"/>
  <c r="L284" i="16"/>
  <c r="K284" i="16"/>
  <c r="M283" i="16"/>
  <c r="L283" i="16"/>
  <c r="K283" i="16"/>
  <c r="M282" i="16"/>
  <c r="L282" i="16"/>
  <c r="K282" i="16"/>
  <c r="M281" i="16"/>
  <c r="L281" i="16"/>
  <c r="K281" i="16"/>
  <c r="M280" i="16"/>
  <c r="L280" i="16"/>
  <c r="K280" i="16"/>
  <c r="M279" i="16"/>
  <c r="L279" i="16"/>
  <c r="K279" i="16"/>
  <c r="M278" i="16"/>
  <c r="L278" i="16"/>
  <c r="K278" i="16"/>
  <c r="M277" i="16"/>
  <c r="L277" i="16"/>
  <c r="K277" i="16"/>
  <c r="M276" i="16"/>
  <c r="L276" i="16"/>
  <c r="K276" i="16"/>
  <c r="M275" i="16"/>
  <c r="L275" i="16"/>
  <c r="K275" i="16"/>
  <c r="M274" i="16"/>
  <c r="L274" i="16"/>
  <c r="K274" i="16"/>
  <c r="M273" i="16"/>
  <c r="L273" i="16"/>
  <c r="K273" i="16"/>
  <c r="M272" i="16"/>
  <c r="L272" i="16"/>
  <c r="K272" i="16"/>
  <c r="M271" i="16"/>
  <c r="L271" i="16"/>
  <c r="K271" i="16"/>
  <c r="M270" i="16"/>
  <c r="L270" i="16"/>
  <c r="K270" i="16"/>
  <c r="M269" i="16"/>
  <c r="L269" i="16"/>
  <c r="K269" i="16"/>
  <c r="M268" i="16"/>
  <c r="L268" i="16"/>
  <c r="K268" i="16"/>
  <c r="M267" i="16"/>
  <c r="L267" i="16"/>
  <c r="K267" i="16"/>
  <c r="M266" i="16"/>
  <c r="L266" i="16"/>
  <c r="K266" i="16"/>
  <c r="M265" i="16"/>
  <c r="L265" i="16"/>
  <c r="K265" i="16"/>
  <c r="M264" i="16"/>
  <c r="L264" i="16"/>
  <c r="K264" i="16"/>
  <c r="M263" i="16"/>
  <c r="L263" i="16"/>
  <c r="K263" i="16"/>
  <c r="M262" i="16"/>
  <c r="L262" i="16"/>
  <c r="K262" i="16"/>
  <c r="M261" i="16"/>
  <c r="L261" i="16"/>
  <c r="K261" i="16"/>
  <c r="M260" i="16"/>
  <c r="L260" i="16"/>
  <c r="K260" i="16"/>
  <c r="M259" i="16"/>
  <c r="L259" i="16"/>
  <c r="K259" i="16"/>
  <c r="M258" i="16"/>
  <c r="L258" i="16"/>
  <c r="K258" i="16"/>
  <c r="M257" i="16"/>
  <c r="L257" i="16"/>
  <c r="K257" i="16"/>
  <c r="M256" i="16"/>
  <c r="L256" i="16"/>
  <c r="K256" i="16"/>
  <c r="M255" i="16"/>
  <c r="L255" i="16"/>
  <c r="K255" i="16"/>
  <c r="M254" i="16"/>
  <c r="L254" i="16"/>
  <c r="K254" i="16"/>
  <c r="M253" i="16"/>
  <c r="L253" i="16"/>
  <c r="K253" i="16"/>
  <c r="M252" i="16"/>
  <c r="L252" i="16"/>
  <c r="K252" i="16"/>
  <c r="M251" i="16"/>
  <c r="L251" i="16"/>
  <c r="K251" i="16"/>
  <c r="M250" i="16"/>
  <c r="L250" i="16"/>
  <c r="K250" i="16"/>
  <c r="M249" i="16"/>
  <c r="L249" i="16"/>
  <c r="K249" i="16"/>
  <c r="M248" i="16"/>
  <c r="L248" i="16"/>
  <c r="K248" i="16"/>
  <c r="M247" i="16"/>
  <c r="L247" i="16"/>
  <c r="K247" i="16"/>
  <c r="M246" i="16"/>
  <c r="L246" i="16"/>
  <c r="K246" i="16"/>
  <c r="M245" i="16"/>
  <c r="L245" i="16"/>
  <c r="K245" i="16"/>
  <c r="M244" i="16"/>
  <c r="L244" i="16"/>
  <c r="K244" i="16"/>
  <c r="M243" i="16"/>
  <c r="L243" i="16"/>
  <c r="K243" i="16"/>
  <c r="M242" i="16"/>
  <c r="L242" i="16"/>
  <c r="K242" i="16"/>
  <c r="M241" i="16"/>
  <c r="L241" i="16"/>
  <c r="K241" i="16"/>
  <c r="M240" i="16"/>
  <c r="L240" i="16"/>
  <c r="K240" i="16"/>
  <c r="M239" i="16"/>
  <c r="L239" i="16"/>
  <c r="K239" i="16"/>
  <c r="M238" i="16"/>
  <c r="L238" i="16"/>
  <c r="K238" i="16"/>
  <c r="M237" i="16"/>
  <c r="L237" i="16"/>
  <c r="K237" i="16"/>
  <c r="M236" i="16"/>
  <c r="L236" i="16"/>
  <c r="K236" i="16"/>
  <c r="M235" i="16"/>
  <c r="L235" i="16"/>
  <c r="K235" i="16"/>
  <c r="M234" i="16"/>
  <c r="L234" i="16"/>
  <c r="K234" i="16"/>
  <c r="M233" i="16"/>
  <c r="L233" i="16"/>
  <c r="K233" i="16"/>
  <c r="M232" i="16"/>
  <c r="L232" i="16"/>
  <c r="K232" i="16"/>
  <c r="M231" i="16"/>
  <c r="L231" i="16"/>
  <c r="K231" i="16"/>
  <c r="M230" i="16"/>
  <c r="L230" i="16"/>
  <c r="K230" i="16"/>
  <c r="M229" i="16"/>
  <c r="L229" i="16"/>
  <c r="K229" i="16"/>
  <c r="M228" i="16"/>
  <c r="L228" i="16"/>
  <c r="K228" i="16"/>
  <c r="M227" i="16"/>
  <c r="L227" i="16"/>
  <c r="K227" i="16"/>
  <c r="M226" i="16"/>
  <c r="L226" i="16"/>
  <c r="K226" i="16"/>
  <c r="M225" i="16"/>
  <c r="L225" i="16"/>
  <c r="K225" i="16"/>
  <c r="M224" i="16"/>
  <c r="L224" i="16"/>
  <c r="K224" i="16"/>
  <c r="M223" i="16"/>
  <c r="L223" i="16"/>
  <c r="K223" i="16"/>
  <c r="M222" i="16"/>
  <c r="L222" i="16"/>
  <c r="K222" i="16"/>
  <c r="M221" i="16"/>
  <c r="L221" i="16"/>
  <c r="K221" i="16"/>
  <c r="M220" i="16"/>
  <c r="L220" i="16"/>
  <c r="K220" i="16"/>
  <c r="M219" i="16"/>
  <c r="L219" i="16"/>
  <c r="K219" i="16"/>
  <c r="M218" i="16"/>
  <c r="L218" i="16"/>
  <c r="K218" i="16"/>
  <c r="M217" i="16"/>
  <c r="L217" i="16"/>
  <c r="K217" i="16"/>
  <c r="M216" i="16"/>
  <c r="L216" i="16"/>
  <c r="K216" i="16"/>
  <c r="M215" i="16"/>
  <c r="L215" i="16"/>
  <c r="K215" i="16"/>
  <c r="M214" i="16"/>
  <c r="L214" i="16"/>
  <c r="K214" i="16"/>
  <c r="M213" i="16"/>
  <c r="L213" i="16"/>
  <c r="K213" i="16"/>
  <c r="M212" i="16"/>
  <c r="L212" i="16"/>
  <c r="K212" i="16"/>
  <c r="M211" i="16"/>
  <c r="L211" i="16"/>
  <c r="K211" i="16"/>
  <c r="M210" i="16"/>
  <c r="L210" i="16"/>
  <c r="K210" i="16"/>
  <c r="M209" i="16"/>
  <c r="L209" i="16"/>
  <c r="K209" i="16"/>
  <c r="M208" i="16"/>
  <c r="L208" i="16"/>
  <c r="K208" i="16"/>
  <c r="M207" i="16"/>
  <c r="L207" i="16"/>
  <c r="K207" i="16"/>
  <c r="M206" i="16"/>
  <c r="L206" i="16"/>
  <c r="K206" i="16"/>
  <c r="M205" i="16"/>
  <c r="L205" i="16"/>
  <c r="K205" i="16"/>
  <c r="M204" i="16"/>
  <c r="L204" i="16"/>
  <c r="K204" i="16"/>
  <c r="M203" i="16"/>
  <c r="L203" i="16"/>
  <c r="K203" i="16"/>
  <c r="M202" i="16"/>
  <c r="L202" i="16"/>
  <c r="K202" i="16"/>
  <c r="M201" i="16"/>
  <c r="L201" i="16"/>
  <c r="K201" i="16"/>
  <c r="M200" i="16"/>
  <c r="L200" i="16"/>
  <c r="K200" i="16"/>
  <c r="M199" i="16"/>
  <c r="L199" i="16"/>
  <c r="K199" i="16"/>
  <c r="M198" i="16"/>
  <c r="L198" i="16"/>
  <c r="K198" i="16"/>
  <c r="M197" i="16"/>
  <c r="L197" i="16"/>
  <c r="K197" i="16"/>
  <c r="M196" i="16"/>
  <c r="L196" i="16"/>
  <c r="K196" i="16"/>
  <c r="M195" i="16"/>
  <c r="L195" i="16"/>
  <c r="K195" i="16"/>
  <c r="M194" i="16"/>
  <c r="L194" i="16"/>
  <c r="K194" i="16"/>
  <c r="M193" i="16"/>
  <c r="L193" i="16"/>
  <c r="K193" i="16"/>
  <c r="M192" i="16"/>
  <c r="L192" i="16"/>
  <c r="K192" i="16"/>
  <c r="M191" i="16"/>
  <c r="L191" i="16"/>
  <c r="K191" i="16"/>
  <c r="M190" i="16"/>
  <c r="L190" i="16"/>
  <c r="K190" i="16"/>
  <c r="M189" i="16"/>
  <c r="L189" i="16"/>
  <c r="K189" i="16"/>
  <c r="M188" i="16"/>
  <c r="L188" i="16"/>
  <c r="K188" i="16"/>
  <c r="M187" i="16"/>
  <c r="L187" i="16"/>
  <c r="K187" i="16"/>
  <c r="M186" i="16"/>
  <c r="L186" i="16"/>
  <c r="K186" i="16"/>
  <c r="M185" i="16"/>
  <c r="L185" i="16"/>
  <c r="K185" i="16"/>
  <c r="M184" i="16"/>
  <c r="L184" i="16"/>
  <c r="K184" i="16"/>
  <c r="M183" i="16"/>
  <c r="L183" i="16"/>
  <c r="K183" i="16"/>
  <c r="M182" i="16"/>
  <c r="L182" i="16"/>
  <c r="K182" i="16"/>
  <c r="M181" i="16"/>
  <c r="L181" i="16"/>
  <c r="K181" i="16"/>
  <c r="M180" i="16"/>
  <c r="L180" i="16"/>
  <c r="K180" i="16"/>
  <c r="M179" i="16"/>
  <c r="L179" i="16"/>
  <c r="K179" i="16"/>
  <c r="M178" i="16"/>
  <c r="L178" i="16"/>
  <c r="K178" i="16"/>
  <c r="M177" i="16"/>
  <c r="L177" i="16"/>
  <c r="K177" i="16"/>
  <c r="M176" i="16"/>
  <c r="L176" i="16"/>
  <c r="K176" i="16"/>
  <c r="M175" i="16"/>
  <c r="L175" i="16"/>
  <c r="K175" i="16"/>
  <c r="M174" i="16"/>
  <c r="L174" i="16"/>
  <c r="K174" i="16"/>
  <c r="M173" i="16"/>
  <c r="L173" i="16"/>
  <c r="K173" i="16"/>
  <c r="M172" i="16"/>
  <c r="L172" i="16"/>
  <c r="K172" i="16"/>
  <c r="M171" i="16"/>
  <c r="L171" i="16"/>
  <c r="K171" i="16"/>
  <c r="M170" i="16"/>
  <c r="L170" i="16"/>
  <c r="K170" i="16"/>
  <c r="M169" i="16"/>
  <c r="L169" i="16"/>
  <c r="K169" i="16"/>
  <c r="M168" i="16"/>
  <c r="L168" i="16"/>
  <c r="K168" i="16"/>
  <c r="M167" i="16"/>
  <c r="L167" i="16"/>
  <c r="K167" i="16"/>
  <c r="M166" i="16"/>
  <c r="L166" i="16"/>
  <c r="K166" i="16"/>
  <c r="M165" i="16"/>
  <c r="L165" i="16"/>
  <c r="K165" i="16"/>
  <c r="M164" i="16"/>
  <c r="L164" i="16"/>
  <c r="K164" i="16"/>
  <c r="M163" i="16"/>
  <c r="L163" i="16"/>
  <c r="K163" i="16"/>
  <c r="M162" i="16"/>
  <c r="L162" i="16"/>
  <c r="K162" i="16"/>
  <c r="M161" i="16"/>
  <c r="L161" i="16"/>
  <c r="K161" i="16"/>
  <c r="M160" i="16"/>
  <c r="L160" i="16"/>
  <c r="K160" i="16"/>
  <c r="M159" i="16"/>
  <c r="L159" i="16"/>
  <c r="K159" i="16"/>
  <c r="M158" i="16"/>
  <c r="L158" i="16"/>
  <c r="K158" i="16"/>
  <c r="M157" i="16"/>
  <c r="L157" i="16"/>
  <c r="K157" i="16"/>
  <c r="M156" i="16"/>
  <c r="L156" i="16"/>
  <c r="K156" i="16"/>
  <c r="M155" i="16"/>
  <c r="L155" i="16"/>
  <c r="K155" i="16"/>
  <c r="M154" i="16"/>
  <c r="L154" i="16"/>
  <c r="K154" i="16"/>
  <c r="M153" i="16"/>
  <c r="L153" i="16"/>
  <c r="K153" i="16"/>
  <c r="M152" i="16"/>
  <c r="L152" i="16"/>
  <c r="K152" i="16"/>
  <c r="M151" i="16"/>
  <c r="L151" i="16"/>
  <c r="K151" i="16"/>
  <c r="M150" i="16"/>
  <c r="L150" i="16"/>
  <c r="K150" i="16"/>
  <c r="M149" i="16"/>
  <c r="L149" i="16"/>
  <c r="K149" i="16"/>
  <c r="M148" i="16"/>
  <c r="L148" i="16"/>
  <c r="K148" i="16"/>
  <c r="M147" i="16"/>
  <c r="L147" i="16"/>
  <c r="K147" i="16"/>
  <c r="M146" i="16"/>
  <c r="L146" i="16"/>
  <c r="K146" i="16"/>
  <c r="M145" i="16"/>
  <c r="L145" i="16"/>
  <c r="K145" i="16"/>
  <c r="M144" i="16"/>
  <c r="L144" i="16"/>
  <c r="K144" i="16"/>
  <c r="M143" i="16"/>
  <c r="L143" i="16"/>
  <c r="K143" i="16"/>
  <c r="M142" i="16"/>
  <c r="L142" i="16"/>
  <c r="K142" i="16"/>
  <c r="M141" i="16"/>
  <c r="L141" i="16"/>
  <c r="K141" i="16"/>
  <c r="M140" i="16"/>
  <c r="L140" i="16"/>
  <c r="K140" i="16"/>
  <c r="M139" i="16"/>
  <c r="L139" i="16"/>
  <c r="K139" i="16"/>
  <c r="M138" i="16"/>
  <c r="L138" i="16"/>
  <c r="K138" i="16"/>
  <c r="M137" i="16"/>
  <c r="L137" i="16"/>
  <c r="K137" i="16"/>
  <c r="M136" i="16"/>
  <c r="L136" i="16"/>
  <c r="K136" i="16"/>
  <c r="M135" i="16"/>
  <c r="L135" i="16"/>
  <c r="K135" i="16"/>
  <c r="M134" i="16"/>
  <c r="L134" i="16"/>
  <c r="K134" i="16"/>
  <c r="M133" i="16"/>
  <c r="L133" i="16"/>
  <c r="K133" i="16"/>
  <c r="M132" i="16"/>
  <c r="L132" i="16"/>
  <c r="K132" i="16"/>
  <c r="M131" i="16"/>
  <c r="L131" i="16"/>
  <c r="K131" i="16"/>
  <c r="M130" i="16"/>
  <c r="L130" i="16"/>
  <c r="K130" i="16"/>
  <c r="M129" i="16"/>
  <c r="L129" i="16"/>
  <c r="K129" i="16"/>
  <c r="M128" i="16"/>
  <c r="L128" i="16"/>
  <c r="K128" i="16"/>
  <c r="M127" i="16"/>
  <c r="L127" i="16"/>
  <c r="K127" i="16"/>
  <c r="M126" i="16"/>
  <c r="L126" i="16"/>
  <c r="K126" i="16"/>
  <c r="M125" i="16"/>
  <c r="L125" i="16"/>
  <c r="K125" i="16"/>
  <c r="M124" i="16"/>
  <c r="L124" i="16"/>
  <c r="K124" i="16"/>
  <c r="M123" i="16"/>
  <c r="L123" i="16"/>
  <c r="K123" i="16"/>
  <c r="M122" i="16"/>
  <c r="L122" i="16"/>
  <c r="K122" i="16"/>
  <c r="M121" i="16"/>
  <c r="L121" i="16"/>
  <c r="K121" i="16"/>
  <c r="M120" i="16"/>
  <c r="L120" i="16"/>
  <c r="K120" i="16"/>
  <c r="M119" i="16"/>
  <c r="L119" i="16"/>
  <c r="K119" i="16"/>
  <c r="M118" i="16"/>
  <c r="L118" i="16"/>
  <c r="K118" i="16"/>
  <c r="M117" i="16"/>
  <c r="L117" i="16"/>
  <c r="K117" i="16"/>
  <c r="M116" i="16"/>
  <c r="L116" i="16"/>
  <c r="K116" i="16"/>
  <c r="M115" i="16"/>
  <c r="L115" i="16"/>
  <c r="K115" i="16"/>
  <c r="M114" i="16"/>
  <c r="L114" i="16"/>
  <c r="K114" i="16"/>
  <c r="M113" i="16"/>
  <c r="L113" i="16"/>
  <c r="K113" i="16"/>
  <c r="M112" i="16"/>
  <c r="L112" i="16"/>
  <c r="K112" i="16"/>
  <c r="M111" i="16"/>
  <c r="L111" i="16"/>
  <c r="K111" i="16"/>
  <c r="M110" i="16"/>
  <c r="L110" i="16"/>
  <c r="K110" i="16"/>
  <c r="M109" i="16"/>
  <c r="L109" i="16"/>
  <c r="K109" i="16"/>
  <c r="M108" i="16"/>
  <c r="L108" i="16"/>
  <c r="K108" i="16"/>
  <c r="M107" i="16"/>
  <c r="L107" i="16"/>
  <c r="K107" i="16"/>
  <c r="M106" i="16"/>
  <c r="L106" i="16"/>
  <c r="K106" i="16"/>
  <c r="M105" i="16"/>
  <c r="L105" i="16"/>
  <c r="K105" i="16"/>
  <c r="M104" i="16"/>
  <c r="L104" i="16"/>
  <c r="K104" i="16"/>
  <c r="M103" i="16"/>
  <c r="L103" i="16"/>
  <c r="K103" i="16"/>
  <c r="M102" i="16"/>
  <c r="L102" i="16"/>
  <c r="K102" i="16"/>
  <c r="M101" i="16"/>
  <c r="L101" i="16"/>
  <c r="K101" i="16"/>
  <c r="M100" i="16"/>
  <c r="L100" i="16"/>
  <c r="K100" i="16"/>
  <c r="M99" i="16"/>
  <c r="L99" i="16"/>
  <c r="K99" i="16"/>
  <c r="M98" i="16"/>
  <c r="L98" i="16"/>
  <c r="K98" i="16"/>
  <c r="M97" i="16"/>
  <c r="L97" i="16"/>
  <c r="K97" i="16"/>
  <c r="M96" i="16"/>
  <c r="L96" i="16"/>
  <c r="K96" i="16"/>
  <c r="M95" i="16"/>
  <c r="L95" i="16"/>
  <c r="K95" i="16"/>
  <c r="M94" i="16"/>
  <c r="L94" i="16"/>
  <c r="K94" i="16"/>
  <c r="M93" i="16"/>
  <c r="L93" i="16"/>
  <c r="K93" i="16"/>
  <c r="M92" i="16"/>
  <c r="L92" i="16"/>
  <c r="K92" i="16"/>
  <c r="M91" i="16"/>
  <c r="L91" i="16"/>
  <c r="K91" i="16"/>
  <c r="M90" i="16"/>
  <c r="L90" i="16"/>
  <c r="K90" i="16"/>
  <c r="M89" i="16"/>
  <c r="L89" i="16"/>
  <c r="K89" i="16"/>
  <c r="M88" i="16"/>
  <c r="L88" i="16"/>
  <c r="K88" i="16"/>
  <c r="M87" i="16"/>
  <c r="L87" i="16"/>
  <c r="K87" i="16"/>
  <c r="M86" i="16"/>
  <c r="L86" i="16"/>
  <c r="K86" i="16"/>
  <c r="M85" i="16"/>
  <c r="L85" i="16"/>
  <c r="K85" i="16"/>
  <c r="M84" i="16"/>
  <c r="L84" i="16"/>
  <c r="K84" i="16"/>
  <c r="M83" i="16"/>
  <c r="L83" i="16"/>
  <c r="K83" i="16"/>
  <c r="M82" i="16"/>
  <c r="L82" i="16"/>
  <c r="K82" i="16"/>
  <c r="M81" i="16"/>
  <c r="L81" i="16"/>
  <c r="K81" i="16"/>
  <c r="M80" i="16"/>
  <c r="L80" i="16"/>
  <c r="K80" i="16"/>
  <c r="M79" i="16"/>
  <c r="L79" i="16"/>
  <c r="K79" i="16"/>
  <c r="M78" i="16"/>
  <c r="L78" i="16"/>
  <c r="K78" i="16"/>
  <c r="M77" i="16"/>
  <c r="L77" i="16"/>
  <c r="K77" i="16"/>
  <c r="M76" i="16"/>
  <c r="L76" i="16"/>
  <c r="K76" i="16"/>
  <c r="M75" i="16"/>
  <c r="L75" i="16"/>
  <c r="K75" i="16"/>
  <c r="M74" i="16"/>
  <c r="L74" i="16"/>
  <c r="K74" i="16"/>
  <c r="M73" i="16"/>
  <c r="L73" i="16"/>
  <c r="K73" i="16"/>
  <c r="M72" i="16"/>
  <c r="L72" i="16"/>
  <c r="K72" i="16"/>
  <c r="M71" i="16"/>
  <c r="L71" i="16"/>
  <c r="K71" i="16"/>
  <c r="M70" i="16"/>
  <c r="L70" i="16"/>
  <c r="K70" i="16"/>
  <c r="M69" i="16"/>
  <c r="L69" i="16"/>
  <c r="K69" i="16"/>
  <c r="M68" i="16"/>
  <c r="L68" i="16"/>
  <c r="K68" i="16"/>
  <c r="M67" i="16"/>
  <c r="L67" i="16"/>
  <c r="K67" i="16"/>
  <c r="M66" i="16"/>
  <c r="L66" i="16"/>
  <c r="K66" i="16"/>
  <c r="M65" i="16"/>
  <c r="L65" i="16"/>
  <c r="K65" i="16"/>
  <c r="M64" i="16"/>
  <c r="L64" i="16"/>
  <c r="K64" i="16"/>
  <c r="M63" i="16"/>
  <c r="L63" i="16"/>
  <c r="K63" i="16"/>
  <c r="M62" i="16"/>
  <c r="L62" i="16"/>
  <c r="K62" i="16"/>
  <c r="M61" i="16"/>
  <c r="L61" i="16"/>
  <c r="K61" i="16"/>
  <c r="M60" i="16"/>
  <c r="L60" i="16"/>
  <c r="K60" i="16"/>
  <c r="M59" i="16"/>
  <c r="L59" i="16"/>
  <c r="K59" i="16"/>
  <c r="M58" i="16"/>
  <c r="L58" i="16"/>
  <c r="K58" i="16"/>
  <c r="M57" i="16"/>
  <c r="L57" i="16"/>
  <c r="K57" i="16"/>
  <c r="M56" i="16"/>
  <c r="L56" i="16"/>
  <c r="K56" i="16"/>
  <c r="M55" i="16"/>
  <c r="L55" i="16"/>
  <c r="K55" i="16"/>
  <c r="M54" i="16"/>
  <c r="L54" i="16"/>
  <c r="K54" i="16"/>
  <c r="M53" i="16"/>
  <c r="L53" i="16"/>
  <c r="K53" i="16"/>
  <c r="M52" i="16"/>
  <c r="L52" i="16"/>
  <c r="K52" i="16"/>
  <c r="M51" i="16"/>
  <c r="L51" i="16"/>
  <c r="K51" i="16"/>
  <c r="M50" i="16"/>
  <c r="L50" i="16"/>
  <c r="K50" i="16"/>
  <c r="M49" i="16"/>
  <c r="L49" i="16"/>
  <c r="K49" i="16"/>
  <c r="M48" i="16"/>
  <c r="L48" i="16"/>
  <c r="K48" i="16"/>
  <c r="M47" i="16"/>
  <c r="L47" i="16"/>
  <c r="K47" i="16"/>
  <c r="M46" i="16"/>
  <c r="L46" i="16"/>
  <c r="K46" i="16"/>
  <c r="M45" i="16"/>
  <c r="L45" i="16"/>
  <c r="K45" i="16"/>
  <c r="M44" i="16"/>
  <c r="L44" i="16"/>
  <c r="K44" i="16"/>
  <c r="M43" i="16"/>
  <c r="L43" i="16"/>
  <c r="K43" i="16"/>
  <c r="M42" i="16"/>
  <c r="L42" i="16"/>
  <c r="K42" i="16"/>
  <c r="M41" i="16"/>
  <c r="L41" i="16"/>
  <c r="K41" i="16"/>
  <c r="M40" i="16"/>
  <c r="L40" i="16"/>
  <c r="K40" i="16"/>
  <c r="M39" i="16"/>
  <c r="L39" i="16"/>
  <c r="K39" i="16"/>
  <c r="M38" i="16"/>
  <c r="L38" i="16"/>
  <c r="K38" i="16"/>
  <c r="M37" i="16"/>
  <c r="L37" i="16"/>
  <c r="K37" i="16"/>
  <c r="M36" i="16"/>
  <c r="L36" i="16"/>
  <c r="K36" i="16"/>
  <c r="M35" i="16"/>
  <c r="L35" i="16"/>
  <c r="K35" i="16"/>
  <c r="M34" i="16"/>
  <c r="L34" i="16"/>
  <c r="K34" i="16"/>
  <c r="M33" i="16"/>
  <c r="L33" i="16"/>
  <c r="K33" i="16"/>
  <c r="M32" i="16"/>
  <c r="L32" i="16"/>
  <c r="K32" i="16"/>
  <c r="M31" i="16"/>
  <c r="L31" i="16"/>
  <c r="K31" i="16"/>
  <c r="M30" i="16"/>
  <c r="L30" i="16"/>
  <c r="K30" i="16"/>
  <c r="M29" i="16"/>
  <c r="L29" i="16"/>
  <c r="K29" i="16"/>
  <c r="M28" i="16"/>
  <c r="L28" i="16"/>
  <c r="K28" i="16"/>
  <c r="M27" i="16"/>
  <c r="L27" i="16"/>
  <c r="K27" i="16"/>
  <c r="M26" i="16"/>
  <c r="L26" i="16"/>
  <c r="K26" i="16"/>
  <c r="M25" i="16"/>
  <c r="L25" i="16"/>
  <c r="K25" i="16"/>
  <c r="M24" i="16"/>
  <c r="L24" i="16"/>
  <c r="K24" i="16"/>
  <c r="M23" i="16"/>
  <c r="L23" i="16"/>
  <c r="K23" i="16"/>
  <c r="M22" i="16"/>
  <c r="L22" i="16"/>
  <c r="K22" i="16"/>
  <c r="M21" i="16"/>
  <c r="L21" i="16"/>
  <c r="K21" i="16"/>
  <c r="M20" i="16"/>
  <c r="L20" i="16"/>
  <c r="K20" i="16"/>
  <c r="M19" i="16"/>
  <c r="L19" i="16"/>
  <c r="K19" i="16"/>
  <c r="M18" i="16"/>
  <c r="L18" i="16"/>
  <c r="K18" i="16"/>
  <c r="M17" i="16"/>
  <c r="L17" i="16"/>
  <c r="K17" i="16"/>
  <c r="M16" i="16"/>
  <c r="L16" i="16"/>
  <c r="K16" i="16"/>
  <c r="M15" i="16"/>
  <c r="L15" i="16"/>
  <c r="K15" i="16"/>
  <c r="M14" i="16"/>
  <c r="L14" i="16"/>
  <c r="K14" i="16"/>
  <c r="H6" i="10" s="1"/>
  <c r="H12" i="2" s="1"/>
  <c r="M13" i="16"/>
  <c r="L13" i="16"/>
  <c r="K13" i="16"/>
  <c r="M12" i="16"/>
  <c r="L12" i="16"/>
  <c r="K12" i="16"/>
  <c r="M11" i="16"/>
  <c r="L11" i="16"/>
  <c r="K11" i="16"/>
  <c r="M10" i="16"/>
  <c r="L10" i="16"/>
  <c r="K10" i="16"/>
  <c r="O6" i="10" s="1"/>
  <c r="D12" i="3" s="1"/>
  <c r="M9" i="16"/>
  <c r="L9" i="16"/>
  <c r="C202" i="8" s="1"/>
  <c r="K9" i="16"/>
  <c r="M8" i="16"/>
  <c r="L8" i="16"/>
  <c r="K8" i="16"/>
  <c r="M7" i="16"/>
  <c r="L7" i="16"/>
  <c r="K7" i="16"/>
  <c r="M6" i="16"/>
  <c r="L6" i="16"/>
  <c r="K6" i="16"/>
  <c r="M372" i="15"/>
  <c r="L372" i="15"/>
  <c r="K372" i="15"/>
  <c r="M371" i="15"/>
  <c r="L371" i="15"/>
  <c r="K371" i="15"/>
  <c r="M370" i="15"/>
  <c r="L370" i="15"/>
  <c r="K370" i="15"/>
  <c r="M369" i="15"/>
  <c r="L369" i="15"/>
  <c r="K369" i="15"/>
  <c r="M368" i="15"/>
  <c r="L368" i="15"/>
  <c r="K368" i="15"/>
  <c r="M367" i="15"/>
  <c r="L367" i="15"/>
  <c r="K367" i="15"/>
  <c r="M366" i="15"/>
  <c r="L366" i="15"/>
  <c r="K366" i="15"/>
  <c r="M365" i="15"/>
  <c r="L365" i="15"/>
  <c r="K365" i="15"/>
  <c r="M364" i="15"/>
  <c r="L364" i="15"/>
  <c r="K364" i="15"/>
  <c r="M363" i="15"/>
  <c r="L363" i="15"/>
  <c r="K363" i="15"/>
  <c r="M362" i="15"/>
  <c r="L362" i="15"/>
  <c r="K362" i="15"/>
  <c r="M361" i="15"/>
  <c r="L361" i="15"/>
  <c r="K361" i="15"/>
  <c r="M360" i="15"/>
  <c r="L360" i="15"/>
  <c r="K360" i="15"/>
  <c r="M359" i="15"/>
  <c r="L359" i="15"/>
  <c r="K359" i="15"/>
  <c r="M358" i="15"/>
  <c r="L358" i="15"/>
  <c r="K358" i="15"/>
  <c r="M357" i="15"/>
  <c r="L357" i="15"/>
  <c r="K357" i="15"/>
  <c r="M356" i="15"/>
  <c r="L356" i="15"/>
  <c r="K356" i="15"/>
  <c r="M355" i="15"/>
  <c r="L355" i="15"/>
  <c r="K355" i="15"/>
  <c r="M354" i="15"/>
  <c r="L354" i="15"/>
  <c r="K354" i="15"/>
  <c r="M353" i="15"/>
  <c r="L353" i="15"/>
  <c r="K353" i="15"/>
  <c r="M352" i="15"/>
  <c r="L352" i="15"/>
  <c r="K352" i="15"/>
  <c r="M351" i="15"/>
  <c r="L351" i="15"/>
  <c r="K351" i="15"/>
  <c r="M350" i="15"/>
  <c r="L350" i="15"/>
  <c r="K350" i="15"/>
  <c r="M349" i="15"/>
  <c r="L349" i="15"/>
  <c r="K349" i="15"/>
  <c r="M348" i="15"/>
  <c r="L348" i="15"/>
  <c r="K348" i="15"/>
  <c r="M347" i="15"/>
  <c r="L347" i="15"/>
  <c r="K347" i="15"/>
  <c r="M346" i="15"/>
  <c r="L346" i="15"/>
  <c r="K346" i="15"/>
  <c r="M345" i="15"/>
  <c r="L345" i="15"/>
  <c r="K345" i="15"/>
  <c r="M344" i="15"/>
  <c r="L344" i="15"/>
  <c r="K344" i="15"/>
  <c r="M343" i="15"/>
  <c r="L343" i="15"/>
  <c r="K343" i="15"/>
  <c r="M342" i="15"/>
  <c r="L342" i="15"/>
  <c r="K342" i="15"/>
  <c r="M341" i="15"/>
  <c r="L341" i="15"/>
  <c r="K341" i="15"/>
  <c r="M340" i="15"/>
  <c r="L340" i="15"/>
  <c r="K340" i="15"/>
  <c r="M339" i="15"/>
  <c r="L339" i="15"/>
  <c r="K339" i="15"/>
  <c r="M338" i="15"/>
  <c r="L338" i="15"/>
  <c r="K338" i="15"/>
  <c r="M337" i="15"/>
  <c r="L337" i="15"/>
  <c r="K337" i="15"/>
  <c r="M336" i="15"/>
  <c r="L336" i="15"/>
  <c r="K336" i="15"/>
  <c r="M335" i="15"/>
  <c r="L335" i="15"/>
  <c r="K335" i="15"/>
  <c r="M334" i="15"/>
  <c r="L334" i="15"/>
  <c r="K334" i="15"/>
  <c r="M333" i="15"/>
  <c r="L333" i="15"/>
  <c r="K333" i="15"/>
  <c r="M332" i="15"/>
  <c r="L332" i="15"/>
  <c r="K332" i="15"/>
  <c r="M331" i="15"/>
  <c r="L331" i="15"/>
  <c r="K331" i="15"/>
  <c r="M330" i="15"/>
  <c r="L330" i="15"/>
  <c r="K330" i="15"/>
  <c r="M329" i="15"/>
  <c r="L329" i="15"/>
  <c r="K329" i="15"/>
  <c r="M328" i="15"/>
  <c r="L328" i="15"/>
  <c r="K328" i="15"/>
  <c r="M327" i="15"/>
  <c r="L327" i="15"/>
  <c r="K327" i="15"/>
  <c r="M326" i="15"/>
  <c r="L326" i="15"/>
  <c r="K326" i="15"/>
  <c r="M325" i="15"/>
  <c r="L325" i="15"/>
  <c r="K325" i="15"/>
  <c r="M324" i="15"/>
  <c r="L324" i="15"/>
  <c r="K324" i="15"/>
  <c r="M323" i="15"/>
  <c r="L323" i="15"/>
  <c r="K323" i="15"/>
  <c r="M322" i="15"/>
  <c r="L322" i="15"/>
  <c r="K322" i="15"/>
  <c r="M321" i="15"/>
  <c r="L321" i="15"/>
  <c r="K321" i="15"/>
  <c r="M320" i="15"/>
  <c r="L320" i="15"/>
  <c r="K320" i="15"/>
  <c r="M319" i="15"/>
  <c r="L319" i="15"/>
  <c r="K319" i="15"/>
  <c r="M318" i="15"/>
  <c r="L318" i="15"/>
  <c r="K318" i="15"/>
  <c r="M317" i="15"/>
  <c r="L317" i="15"/>
  <c r="K317" i="15"/>
  <c r="M316" i="15"/>
  <c r="L316" i="15"/>
  <c r="K316" i="15"/>
  <c r="M315" i="15"/>
  <c r="L315" i="15"/>
  <c r="K315" i="15"/>
  <c r="M314" i="15"/>
  <c r="L314" i="15"/>
  <c r="K314" i="15"/>
  <c r="M313" i="15"/>
  <c r="L313" i="15"/>
  <c r="K313" i="15"/>
  <c r="M312" i="15"/>
  <c r="L312" i="15"/>
  <c r="K312" i="15"/>
  <c r="M311" i="15"/>
  <c r="L311" i="15"/>
  <c r="K311" i="15"/>
  <c r="M310" i="15"/>
  <c r="L310" i="15"/>
  <c r="K310" i="15"/>
  <c r="M309" i="15"/>
  <c r="L309" i="15"/>
  <c r="K309" i="15"/>
  <c r="M308" i="15"/>
  <c r="L308" i="15"/>
  <c r="K308" i="15"/>
  <c r="M307" i="15"/>
  <c r="L307" i="15"/>
  <c r="K307" i="15"/>
  <c r="M306" i="15"/>
  <c r="L306" i="15"/>
  <c r="K306" i="15"/>
  <c r="M305" i="15"/>
  <c r="L305" i="15"/>
  <c r="K305" i="15"/>
  <c r="M304" i="15"/>
  <c r="L304" i="15"/>
  <c r="K304" i="15"/>
  <c r="M303" i="15"/>
  <c r="L303" i="15"/>
  <c r="K303" i="15"/>
  <c r="M302" i="15"/>
  <c r="L302" i="15"/>
  <c r="K302" i="15"/>
  <c r="M301" i="15"/>
  <c r="L301" i="15"/>
  <c r="K301" i="15"/>
  <c r="M300" i="15"/>
  <c r="L300" i="15"/>
  <c r="K300" i="15"/>
  <c r="M299" i="15"/>
  <c r="L299" i="15"/>
  <c r="K299" i="15"/>
  <c r="M298" i="15"/>
  <c r="L298" i="15"/>
  <c r="K298" i="15"/>
  <c r="M297" i="15"/>
  <c r="L297" i="15"/>
  <c r="K297" i="15"/>
  <c r="M296" i="15"/>
  <c r="L296" i="15"/>
  <c r="K296" i="15"/>
  <c r="M295" i="15"/>
  <c r="L295" i="15"/>
  <c r="K295" i="15"/>
  <c r="M294" i="15"/>
  <c r="L294" i="15"/>
  <c r="K294" i="15"/>
  <c r="M293" i="15"/>
  <c r="L293" i="15"/>
  <c r="K293" i="15"/>
  <c r="M292" i="15"/>
  <c r="L292" i="15"/>
  <c r="K292" i="15"/>
  <c r="M291" i="15"/>
  <c r="L291" i="15"/>
  <c r="K291" i="15"/>
  <c r="M290" i="15"/>
  <c r="L290" i="15"/>
  <c r="K290" i="15"/>
  <c r="M289" i="15"/>
  <c r="L289" i="15"/>
  <c r="K289" i="15"/>
  <c r="M288" i="15"/>
  <c r="L288" i="15"/>
  <c r="K288" i="15"/>
  <c r="M287" i="15"/>
  <c r="L287" i="15"/>
  <c r="K287" i="15"/>
  <c r="M286" i="15"/>
  <c r="L286" i="15"/>
  <c r="K286" i="15"/>
  <c r="M285" i="15"/>
  <c r="L285" i="15"/>
  <c r="K285" i="15"/>
  <c r="M284" i="15"/>
  <c r="L284" i="15"/>
  <c r="K284" i="15"/>
  <c r="M283" i="15"/>
  <c r="L283" i="15"/>
  <c r="K283" i="15"/>
  <c r="M282" i="15"/>
  <c r="L282" i="15"/>
  <c r="K282" i="15"/>
  <c r="M281" i="15"/>
  <c r="L281" i="15"/>
  <c r="K281" i="15"/>
  <c r="M280" i="15"/>
  <c r="L280" i="15"/>
  <c r="K280" i="15"/>
  <c r="M279" i="15"/>
  <c r="L279" i="15"/>
  <c r="K279" i="15"/>
  <c r="M278" i="15"/>
  <c r="L278" i="15"/>
  <c r="K278" i="15"/>
  <c r="M277" i="15"/>
  <c r="L277" i="15"/>
  <c r="K277" i="15"/>
  <c r="M276" i="15"/>
  <c r="L276" i="15"/>
  <c r="K276" i="15"/>
  <c r="M275" i="15"/>
  <c r="L275" i="15"/>
  <c r="K275" i="15"/>
  <c r="M274" i="15"/>
  <c r="L274" i="15"/>
  <c r="K274" i="15"/>
  <c r="M273" i="15"/>
  <c r="L273" i="15"/>
  <c r="K273" i="15"/>
  <c r="M272" i="15"/>
  <c r="L272" i="15"/>
  <c r="K272" i="15"/>
  <c r="M271" i="15"/>
  <c r="L271" i="15"/>
  <c r="K271" i="15"/>
  <c r="M270" i="15"/>
  <c r="L270" i="15"/>
  <c r="K270" i="15"/>
  <c r="M269" i="15"/>
  <c r="L269" i="15"/>
  <c r="K269" i="15"/>
  <c r="M268" i="15"/>
  <c r="L268" i="15"/>
  <c r="K268" i="15"/>
  <c r="M267" i="15"/>
  <c r="L267" i="15"/>
  <c r="K267" i="15"/>
  <c r="M266" i="15"/>
  <c r="L266" i="15"/>
  <c r="K266" i="15"/>
  <c r="M265" i="15"/>
  <c r="L265" i="15"/>
  <c r="K265" i="15"/>
  <c r="M264" i="15"/>
  <c r="L264" i="15"/>
  <c r="K264" i="15"/>
  <c r="M263" i="15"/>
  <c r="L263" i="15"/>
  <c r="K263" i="15"/>
  <c r="M262" i="15"/>
  <c r="L262" i="15"/>
  <c r="K262" i="15"/>
  <c r="M261" i="15"/>
  <c r="L261" i="15"/>
  <c r="K261" i="15"/>
  <c r="M260" i="15"/>
  <c r="L260" i="15"/>
  <c r="K260" i="15"/>
  <c r="M259" i="15"/>
  <c r="L259" i="15"/>
  <c r="K259" i="15"/>
  <c r="M258" i="15"/>
  <c r="L258" i="15"/>
  <c r="K258" i="15"/>
  <c r="M257" i="15"/>
  <c r="L257" i="15"/>
  <c r="K257" i="15"/>
  <c r="M256" i="15"/>
  <c r="L256" i="15"/>
  <c r="K256" i="15"/>
  <c r="M255" i="15"/>
  <c r="L255" i="15"/>
  <c r="K255" i="15"/>
  <c r="M254" i="15"/>
  <c r="L254" i="15"/>
  <c r="K254" i="15"/>
  <c r="M253" i="15"/>
  <c r="L253" i="15"/>
  <c r="K253" i="15"/>
  <c r="M252" i="15"/>
  <c r="L252" i="15"/>
  <c r="K252" i="15"/>
  <c r="M251" i="15"/>
  <c r="L251" i="15"/>
  <c r="K251" i="15"/>
  <c r="M250" i="15"/>
  <c r="L250" i="15"/>
  <c r="K250" i="15"/>
  <c r="M249" i="15"/>
  <c r="L249" i="15"/>
  <c r="K249" i="15"/>
  <c r="M248" i="15"/>
  <c r="L248" i="15"/>
  <c r="K248" i="15"/>
  <c r="M247" i="15"/>
  <c r="L247" i="15"/>
  <c r="K247" i="15"/>
  <c r="M246" i="15"/>
  <c r="L246" i="15"/>
  <c r="K246" i="15"/>
  <c r="M245" i="15"/>
  <c r="L245" i="15"/>
  <c r="K245" i="15"/>
  <c r="M244" i="15"/>
  <c r="L244" i="15"/>
  <c r="K244" i="15"/>
  <c r="M243" i="15"/>
  <c r="L243" i="15"/>
  <c r="K243" i="15"/>
  <c r="M242" i="15"/>
  <c r="L242" i="15"/>
  <c r="K242" i="15"/>
  <c r="M241" i="15"/>
  <c r="L241" i="15"/>
  <c r="K241" i="15"/>
  <c r="M240" i="15"/>
  <c r="L240" i="15"/>
  <c r="K240" i="15"/>
  <c r="M239" i="15"/>
  <c r="L239" i="15"/>
  <c r="K239" i="15"/>
  <c r="M238" i="15"/>
  <c r="L238" i="15"/>
  <c r="K238" i="15"/>
  <c r="M237" i="15"/>
  <c r="L237" i="15"/>
  <c r="K237" i="15"/>
  <c r="M236" i="15"/>
  <c r="L236" i="15"/>
  <c r="K236" i="15"/>
  <c r="M235" i="15"/>
  <c r="L235" i="15"/>
  <c r="K235" i="15"/>
  <c r="M234" i="15"/>
  <c r="L234" i="15"/>
  <c r="K234" i="15"/>
  <c r="M233" i="15"/>
  <c r="L233" i="15"/>
  <c r="K233" i="15"/>
  <c r="M232" i="15"/>
  <c r="L232" i="15"/>
  <c r="K232" i="15"/>
  <c r="M231" i="15"/>
  <c r="L231" i="15"/>
  <c r="K231" i="15"/>
  <c r="M230" i="15"/>
  <c r="L230" i="15"/>
  <c r="K230" i="15"/>
  <c r="M229" i="15"/>
  <c r="L229" i="15"/>
  <c r="K229" i="15"/>
  <c r="M228" i="15"/>
  <c r="L228" i="15"/>
  <c r="K228" i="15"/>
  <c r="M227" i="15"/>
  <c r="L227" i="15"/>
  <c r="K227" i="15"/>
  <c r="M226" i="15"/>
  <c r="L226" i="15"/>
  <c r="K226" i="15"/>
  <c r="M225" i="15"/>
  <c r="L225" i="15"/>
  <c r="K225" i="15"/>
  <c r="M224" i="15"/>
  <c r="L224" i="15"/>
  <c r="K224" i="15"/>
  <c r="M223" i="15"/>
  <c r="L223" i="15"/>
  <c r="K223" i="15"/>
  <c r="M222" i="15"/>
  <c r="L222" i="15"/>
  <c r="K222" i="15"/>
  <c r="M221" i="15"/>
  <c r="L221" i="15"/>
  <c r="K221" i="15"/>
  <c r="M220" i="15"/>
  <c r="L220" i="15"/>
  <c r="K220" i="15"/>
  <c r="M219" i="15"/>
  <c r="L219" i="15"/>
  <c r="K219" i="15"/>
  <c r="M218" i="15"/>
  <c r="L218" i="15"/>
  <c r="K218" i="15"/>
  <c r="M217" i="15"/>
  <c r="L217" i="15"/>
  <c r="K217" i="15"/>
  <c r="M216" i="15"/>
  <c r="L216" i="15"/>
  <c r="K216" i="15"/>
  <c r="M215" i="15"/>
  <c r="L215" i="15"/>
  <c r="K215" i="15"/>
  <c r="M214" i="15"/>
  <c r="L214" i="15"/>
  <c r="K214" i="15"/>
  <c r="M213" i="15"/>
  <c r="L213" i="15"/>
  <c r="K213" i="15"/>
  <c r="M212" i="15"/>
  <c r="L212" i="15"/>
  <c r="K212" i="15"/>
  <c r="M211" i="15"/>
  <c r="L211" i="15"/>
  <c r="K211" i="15"/>
  <c r="M210" i="15"/>
  <c r="L210" i="15"/>
  <c r="K210" i="15"/>
  <c r="M209" i="15"/>
  <c r="L209" i="15"/>
  <c r="K209" i="15"/>
  <c r="M208" i="15"/>
  <c r="L208" i="15"/>
  <c r="K208" i="15"/>
  <c r="M207" i="15"/>
  <c r="L207" i="15"/>
  <c r="K207" i="15"/>
  <c r="M206" i="15"/>
  <c r="L206" i="15"/>
  <c r="K206" i="15"/>
  <c r="M205" i="15"/>
  <c r="L205" i="15"/>
  <c r="K205" i="15"/>
  <c r="M204" i="15"/>
  <c r="L204" i="15"/>
  <c r="K204" i="15"/>
  <c r="M203" i="15"/>
  <c r="L203" i="15"/>
  <c r="K203" i="15"/>
  <c r="M202" i="15"/>
  <c r="L202" i="15"/>
  <c r="K202" i="15"/>
  <c r="M201" i="15"/>
  <c r="L201" i="15"/>
  <c r="K201" i="15"/>
  <c r="M200" i="15"/>
  <c r="L200" i="15"/>
  <c r="K200" i="15"/>
  <c r="M199" i="15"/>
  <c r="L199" i="15"/>
  <c r="K199" i="15"/>
  <c r="M198" i="15"/>
  <c r="L198" i="15"/>
  <c r="K198" i="15"/>
  <c r="M197" i="15"/>
  <c r="L197" i="15"/>
  <c r="K197" i="15"/>
  <c r="M196" i="15"/>
  <c r="L196" i="15"/>
  <c r="K196" i="15"/>
  <c r="M195" i="15"/>
  <c r="L195" i="15"/>
  <c r="K195" i="15"/>
  <c r="M194" i="15"/>
  <c r="L194" i="15"/>
  <c r="K194" i="15"/>
  <c r="M193" i="15"/>
  <c r="L193" i="15"/>
  <c r="K193" i="15"/>
  <c r="M192" i="15"/>
  <c r="L192" i="15"/>
  <c r="K192" i="15"/>
  <c r="M191" i="15"/>
  <c r="L191" i="15"/>
  <c r="K191" i="15"/>
  <c r="M190" i="15"/>
  <c r="L190" i="15"/>
  <c r="K190" i="15"/>
  <c r="M189" i="15"/>
  <c r="L189" i="15"/>
  <c r="K189" i="15"/>
  <c r="M188" i="15"/>
  <c r="L188" i="15"/>
  <c r="K188" i="15"/>
  <c r="M187" i="15"/>
  <c r="L187" i="15"/>
  <c r="K187" i="15"/>
  <c r="M186" i="15"/>
  <c r="L186" i="15"/>
  <c r="K186" i="15"/>
  <c r="M185" i="15"/>
  <c r="L185" i="15"/>
  <c r="K185" i="15"/>
  <c r="M184" i="15"/>
  <c r="L184" i="15"/>
  <c r="K184" i="15"/>
  <c r="M183" i="15"/>
  <c r="L183" i="15"/>
  <c r="K183" i="15"/>
  <c r="M182" i="15"/>
  <c r="L182" i="15"/>
  <c r="K182" i="15"/>
  <c r="M181" i="15"/>
  <c r="L181" i="15"/>
  <c r="K181" i="15"/>
  <c r="M180" i="15"/>
  <c r="L180" i="15"/>
  <c r="K180" i="15"/>
  <c r="M179" i="15"/>
  <c r="L179" i="15"/>
  <c r="K179" i="15"/>
  <c r="M178" i="15"/>
  <c r="L178" i="15"/>
  <c r="K178" i="15"/>
  <c r="M177" i="15"/>
  <c r="L177" i="15"/>
  <c r="K177" i="15"/>
  <c r="M176" i="15"/>
  <c r="L176" i="15"/>
  <c r="K176" i="15"/>
  <c r="M175" i="15"/>
  <c r="L175" i="15"/>
  <c r="K175" i="15"/>
  <c r="M174" i="15"/>
  <c r="L174" i="15"/>
  <c r="K174" i="15"/>
  <c r="M173" i="15"/>
  <c r="L173" i="15"/>
  <c r="K173" i="15"/>
  <c r="M172" i="15"/>
  <c r="L172" i="15"/>
  <c r="K172" i="15"/>
  <c r="M171" i="15"/>
  <c r="L171" i="15"/>
  <c r="K171" i="15"/>
  <c r="M170" i="15"/>
  <c r="L170" i="15"/>
  <c r="K170" i="15"/>
  <c r="M169" i="15"/>
  <c r="L169" i="15"/>
  <c r="K169" i="15"/>
  <c r="M168" i="15"/>
  <c r="L168" i="15"/>
  <c r="K168" i="15"/>
  <c r="M167" i="15"/>
  <c r="L167" i="15"/>
  <c r="K167" i="15"/>
  <c r="M166" i="15"/>
  <c r="L166" i="15"/>
  <c r="K166" i="15"/>
  <c r="M165" i="15"/>
  <c r="L165" i="15"/>
  <c r="K165" i="15"/>
  <c r="M164" i="15"/>
  <c r="L164" i="15"/>
  <c r="K164" i="15"/>
  <c r="M163" i="15"/>
  <c r="L163" i="15"/>
  <c r="K163" i="15"/>
  <c r="M162" i="15"/>
  <c r="L162" i="15"/>
  <c r="K162" i="15"/>
  <c r="M161" i="15"/>
  <c r="L161" i="15"/>
  <c r="K161" i="15"/>
  <c r="M160" i="15"/>
  <c r="L160" i="15"/>
  <c r="K160" i="15"/>
  <c r="M159" i="15"/>
  <c r="L159" i="15"/>
  <c r="K159" i="15"/>
  <c r="M158" i="15"/>
  <c r="L158" i="15"/>
  <c r="K158" i="15"/>
  <c r="M157" i="15"/>
  <c r="L157" i="15"/>
  <c r="K157" i="15"/>
  <c r="M156" i="15"/>
  <c r="L156" i="15"/>
  <c r="K156" i="15"/>
  <c r="M155" i="15"/>
  <c r="L155" i="15"/>
  <c r="K155" i="15"/>
  <c r="M154" i="15"/>
  <c r="L154" i="15"/>
  <c r="K154" i="15"/>
  <c r="M153" i="15"/>
  <c r="L153" i="15"/>
  <c r="K153" i="15"/>
  <c r="M152" i="15"/>
  <c r="L152" i="15"/>
  <c r="K152" i="15"/>
  <c r="M151" i="15"/>
  <c r="L151" i="15"/>
  <c r="K151" i="15"/>
  <c r="M150" i="15"/>
  <c r="L150" i="15"/>
  <c r="K150" i="15"/>
  <c r="M149" i="15"/>
  <c r="L149" i="15"/>
  <c r="K149" i="15"/>
  <c r="M148" i="15"/>
  <c r="L148" i="15"/>
  <c r="K148" i="15"/>
  <c r="M147" i="15"/>
  <c r="L147" i="15"/>
  <c r="K147" i="15"/>
  <c r="M146" i="15"/>
  <c r="L146" i="15"/>
  <c r="K146" i="15"/>
  <c r="M145" i="15"/>
  <c r="L145" i="15"/>
  <c r="K145" i="15"/>
  <c r="M144" i="15"/>
  <c r="L144" i="15"/>
  <c r="K144" i="15"/>
  <c r="M143" i="15"/>
  <c r="L143" i="15"/>
  <c r="K143" i="15"/>
  <c r="M142" i="15"/>
  <c r="L142" i="15"/>
  <c r="K142" i="15"/>
  <c r="M141" i="15"/>
  <c r="L141" i="15"/>
  <c r="K141" i="15"/>
  <c r="M140" i="15"/>
  <c r="L140" i="15"/>
  <c r="K140" i="15"/>
  <c r="M139" i="15"/>
  <c r="L139" i="15"/>
  <c r="K139" i="15"/>
  <c r="M138" i="15"/>
  <c r="L138" i="15"/>
  <c r="K138" i="15"/>
  <c r="M137" i="15"/>
  <c r="L137" i="15"/>
  <c r="K137" i="15"/>
  <c r="M136" i="15"/>
  <c r="L136" i="15"/>
  <c r="K136" i="15"/>
  <c r="M135" i="15"/>
  <c r="L135" i="15"/>
  <c r="K135" i="15"/>
  <c r="M134" i="15"/>
  <c r="L134" i="15"/>
  <c r="K134" i="15"/>
  <c r="M133" i="15"/>
  <c r="L133" i="15"/>
  <c r="K133" i="15"/>
  <c r="M132" i="15"/>
  <c r="L132" i="15"/>
  <c r="K132" i="15"/>
  <c r="M131" i="15"/>
  <c r="L131" i="15"/>
  <c r="K131" i="15"/>
  <c r="M130" i="15"/>
  <c r="L130" i="15"/>
  <c r="K130" i="15"/>
  <c r="M129" i="15"/>
  <c r="L129" i="15"/>
  <c r="K129" i="15"/>
  <c r="M128" i="15"/>
  <c r="L128" i="15"/>
  <c r="K128" i="15"/>
  <c r="M127" i="15"/>
  <c r="L127" i="15"/>
  <c r="K127" i="15"/>
  <c r="M126" i="15"/>
  <c r="L126" i="15"/>
  <c r="K126" i="15"/>
  <c r="M125" i="15"/>
  <c r="L125" i="15"/>
  <c r="K125" i="15"/>
  <c r="M124" i="15"/>
  <c r="L124" i="15"/>
  <c r="K124" i="15"/>
  <c r="M123" i="15"/>
  <c r="L123" i="15"/>
  <c r="K123" i="15"/>
  <c r="M122" i="15"/>
  <c r="L122" i="15"/>
  <c r="K122" i="15"/>
  <c r="M121" i="15"/>
  <c r="L121" i="15"/>
  <c r="K121" i="15"/>
  <c r="M120" i="15"/>
  <c r="L120" i="15"/>
  <c r="K120" i="15"/>
  <c r="M119" i="15"/>
  <c r="L119" i="15"/>
  <c r="K119" i="15"/>
  <c r="M118" i="15"/>
  <c r="L118" i="15"/>
  <c r="K118" i="15"/>
  <c r="M117" i="15"/>
  <c r="L117" i="15"/>
  <c r="K117" i="15"/>
  <c r="M116" i="15"/>
  <c r="L116" i="15"/>
  <c r="K116" i="15"/>
  <c r="M115" i="15"/>
  <c r="L115" i="15"/>
  <c r="K115" i="15"/>
  <c r="M114" i="15"/>
  <c r="L114" i="15"/>
  <c r="K114" i="15"/>
  <c r="M113" i="15"/>
  <c r="L113" i="15"/>
  <c r="K113" i="15"/>
  <c r="M112" i="15"/>
  <c r="L112" i="15"/>
  <c r="K112" i="15"/>
  <c r="M111" i="15"/>
  <c r="L111" i="15"/>
  <c r="K111" i="15"/>
  <c r="M110" i="15"/>
  <c r="L110" i="15"/>
  <c r="K110" i="15"/>
  <c r="M109" i="15"/>
  <c r="L109" i="15"/>
  <c r="K109" i="15"/>
  <c r="M108" i="15"/>
  <c r="L108" i="15"/>
  <c r="K108" i="15"/>
  <c r="M107" i="15"/>
  <c r="L107" i="15"/>
  <c r="K107" i="15"/>
  <c r="M106" i="15"/>
  <c r="L106" i="15"/>
  <c r="K106" i="15"/>
  <c r="M105" i="15"/>
  <c r="L105" i="15"/>
  <c r="K105" i="15"/>
  <c r="M104" i="15"/>
  <c r="L104" i="15"/>
  <c r="K104" i="15"/>
  <c r="M103" i="15"/>
  <c r="L103" i="15"/>
  <c r="K103" i="15"/>
  <c r="M102" i="15"/>
  <c r="L102" i="15"/>
  <c r="K102" i="15"/>
  <c r="M101" i="15"/>
  <c r="L101" i="15"/>
  <c r="K101" i="15"/>
  <c r="M100" i="15"/>
  <c r="L100" i="15"/>
  <c r="K100" i="15"/>
  <c r="M99" i="15"/>
  <c r="L99" i="15"/>
  <c r="K99" i="15"/>
  <c r="M98" i="15"/>
  <c r="L98" i="15"/>
  <c r="K98" i="15"/>
  <c r="M97" i="15"/>
  <c r="L97" i="15"/>
  <c r="K97" i="15"/>
  <c r="M96" i="15"/>
  <c r="L96" i="15"/>
  <c r="K96" i="15"/>
  <c r="M95" i="15"/>
  <c r="L95" i="15"/>
  <c r="K95" i="15"/>
  <c r="M94" i="15"/>
  <c r="L94" i="15"/>
  <c r="K94" i="15"/>
  <c r="M93" i="15"/>
  <c r="L93" i="15"/>
  <c r="K93" i="15"/>
  <c r="M92" i="15"/>
  <c r="L92" i="15"/>
  <c r="K92" i="15"/>
  <c r="M91" i="15"/>
  <c r="L91" i="15"/>
  <c r="K91" i="15"/>
  <c r="M90" i="15"/>
  <c r="L90" i="15"/>
  <c r="K90" i="15"/>
  <c r="M89" i="15"/>
  <c r="L89" i="15"/>
  <c r="K89" i="15"/>
  <c r="M88" i="15"/>
  <c r="L88" i="15"/>
  <c r="K88" i="15"/>
  <c r="M87" i="15"/>
  <c r="L87" i="15"/>
  <c r="K87" i="15"/>
  <c r="M86" i="15"/>
  <c r="L86" i="15"/>
  <c r="K86" i="15"/>
  <c r="M85" i="15"/>
  <c r="L85" i="15"/>
  <c r="K85" i="15"/>
  <c r="M84" i="15"/>
  <c r="L84" i="15"/>
  <c r="K84" i="15"/>
  <c r="M83" i="15"/>
  <c r="L83" i="15"/>
  <c r="K83" i="15"/>
  <c r="M82" i="15"/>
  <c r="L82" i="15"/>
  <c r="K82" i="15"/>
  <c r="M81" i="15"/>
  <c r="L81" i="15"/>
  <c r="K81" i="15"/>
  <c r="M80" i="15"/>
  <c r="L80" i="15"/>
  <c r="K80" i="15"/>
  <c r="M79" i="15"/>
  <c r="L79" i="15"/>
  <c r="K79" i="15"/>
  <c r="M78" i="15"/>
  <c r="L78" i="15"/>
  <c r="K78" i="15"/>
  <c r="M77" i="15"/>
  <c r="L77" i="15"/>
  <c r="K77" i="15"/>
  <c r="M76" i="15"/>
  <c r="L76" i="15"/>
  <c r="K76" i="15"/>
  <c r="M75" i="15"/>
  <c r="L75" i="15"/>
  <c r="K75" i="15"/>
  <c r="M74" i="15"/>
  <c r="L74" i="15"/>
  <c r="K74" i="15"/>
  <c r="M73" i="15"/>
  <c r="L73" i="15"/>
  <c r="K73" i="15"/>
  <c r="M72" i="15"/>
  <c r="L72" i="15"/>
  <c r="K72" i="15"/>
  <c r="M71" i="15"/>
  <c r="L71" i="15"/>
  <c r="K71" i="15"/>
  <c r="M70" i="15"/>
  <c r="L70" i="15"/>
  <c r="K70" i="15"/>
  <c r="M69" i="15"/>
  <c r="L69" i="15"/>
  <c r="K69" i="15"/>
  <c r="M68" i="15"/>
  <c r="L68" i="15"/>
  <c r="K68" i="15"/>
  <c r="M67" i="15"/>
  <c r="L67" i="15"/>
  <c r="K67" i="15"/>
  <c r="M66" i="15"/>
  <c r="L66" i="15"/>
  <c r="K66" i="15"/>
  <c r="M65" i="15"/>
  <c r="L65" i="15"/>
  <c r="K65" i="15"/>
  <c r="M64" i="15"/>
  <c r="L64" i="15"/>
  <c r="K64" i="15"/>
  <c r="M63" i="15"/>
  <c r="L63" i="15"/>
  <c r="K63" i="15"/>
  <c r="M62" i="15"/>
  <c r="L62" i="15"/>
  <c r="K62" i="15"/>
  <c r="M61" i="15"/>
  <c r="L61" i="15"/>
  <c r="K61" i="15"/>
  <c r="M60" i="15"/>
  <c r="L60" i="15"/>
  <c r="K60" i="15"/>
  <c r="M59" i="15"/>
  <c r="L59" i="15"/>
  <c r="K59" i="15"/>
  <c r="M58" i="15"/>
  <c r="L58" i="15"/>
  <c r="K58" i="15"/>
  <c r="M57" i="15"/>
  <c r="L57" i="15"/>
  <c r="K57" i="15"/>
  <c r="M56" i="15"/>
  <c r="L56" i="15"/>
  <c r="K56" i="15"/>
  <c r="M55" i="15"/>
  <c r="L55" i="15"/>
  <c r="K55" i="15"/>
  <c r="M54" i="15"/>
  <c r="L54" i="15"/>
  <c r="K54" i="15"/>
  <c r="M53" i="15"/>
  <c r="L53" i="15"/>
  <c r="K53" i="15"/>
  <c r="M52" i="15"/>
  <c r="L52" i="15"/>
  <c r="K52" i="15"/>
  <c r="M51" i="15"/>
  <c r="L51" i="15"/>
  <c r="K51" i="15"/>
  <c r="M50" i="15"/>
  <c r="L50" i="15"/>
  <c r="K50" i="15"/>
  <c r="M49" i="15"/>
  <c r="L49" i="15"/>
  <c r="K49" i="15"/>
  <c r="M48" i="15"/>
  <c r="L48" i="15"/>
  <c r="K48" i="15"/>
  <c r="M47" i="15"/>
  <c r="L47" i="15"/>
  <c r="K47" i="15"/>
  <c r="M46" i="15"/>
  <c r="L46" i="15"/>
  <c r="K46" i="15"/>
  <c r="M45" i="15"/>
  <c r="L45" i="15"/>
  <c r="K45" i="15"/>
  <c r="M44" i="15"/>
  <c r="L44" i="15"/>
  <c r="K44" i="15"/>
  <c r="M43" i="15"/>
  <c r="L43" i="15"/>
  <c r="K43" i="15"/>
  <c r="M42" i="15"/>
  <c r="L42" i="15"/>
  <c r="K42" i="15"/>
  <c r="M41" i="15"/>
  <c r="L41" i="15"/>
  <c r="K41" i="15"/>
  <c r="M40" i="15"/>
  <c r="L40" i="15"/>
  <c r="K40" i="15"/>
  <c r="M39" i="15"/>
  <c r="L39" i="15"/>
  <c r="K39" i="15"/>
  <c r="M38" i="15"/>
  <c r="L38" i="15"/>
  <c r="K38" i="15"/>
  <c r="M37" i="15"/>
  <c r="L37" i="15"/>
  <c r="K37" i="15"/>
  <c r="M36" i="15"/>
  <c r="L36" i="15"/>
  <c r="K36" i="15"/>
  <c r="M35" i="15"/>
  <c r="L35" i="15"/>
  <c r="K35" i="15"/>
  <c r="M34" i="15"/>
  <c r="L34" i="15"/>
  <c r="K34" i="15"/>
  <c r="M33" i="15"/>
  <c r="L33" i="15"/>
  <c r="K33" i="15"/>
  <c r="M32" i="15"/>
  <c r="L32" i="15"/>
  <c r="K32" i="15"/>
  <c r="M31" i="15"/>
  <c r="L31" i="15"/>
  <c r="K31" i="15"/>
  <c r="M30" i="15"/>
  <c r="L30" i="15"/>
  <c r="K30" i="15"/>
  <c r="M29" i="15"/>
  <c r="L29" i="15"/>
  <c r="K29" i="15"/>
  <c r="M28" i="15"/>
  <c r="L28" i="15"/>
  <c r="K28" i="15"/>
  <c r="M27" i="15"/>
  <c r="L27" i="15"/>
  <c r="K27" i="15"/>
  <c r="M26" i="15"/>
  <c r="L26" i="15"/>
  <c r="K26" i="15"/>
  <c r="M25" i="15"/>
  <c r="L25" i="15"/>
  <c r="K25" i="15"/>
  <c r="M24" i="15"/>
  <c r="L24" i="15"/>
  <c r="K24" i="15"/>
  <c r="M23" i="15"/>
  <c r="L23" i="15"/>
  <c r="K23" i="15"/>
  <c r="M22" i="15"/>
  <c r="L22" i="15"/>
  <c r="K22" i="15"/>
  <c r="M21" i="15"/>
  <c r="L21" i="15"/>
  <c r="K21" i="15"/>
  <c r="M20" i="15"/>
  <c r="L20" i="15"/>
  <c r="K20" i="15"/>
  <c r="M19" i="15"/>
  <c r="L19" i="15"/>
  <c r="K19" i="15"/>
  <c r="M18" i="15"/>
  <c r="L18" i="15"/>
  <c r="K18" i="15"/>
  <c r="M17" i="15"/>
  <c r="L17" i="15"/>
  <c r="K17" i="15"/>
  <c r="O9" i="10" s="1"/>
  <c r="D15" i="3" s="1"/>
  <c r="M16" i="15"/>
  <c r="L16" i="15"/>
  <c r="K16" i="15"/>
  <c r="M15" i="15"/>
  <c r="L15" i="15"/>
  <c r="K15" i="15"/>
  <c r="M14" i="15"/>
  <c r="L14" i="15"/>
  <c r="K14" i="15"/>
  <c r="M13" i="15"/>
  <c r="L13" i="15"/>
  <c r="K13" i="15"/>
  <c r="M12" i="15"/>
  <c r="L12" i="15"/>
  <c r="F204" i="8" s="1"/>
  <c r="K12" i="15"/>
  <c r="M11" i="15"/>
  <c r="L11" i="15"/>
  <c r="K11" i="15"/>
  <c r="M10" i="15"/>
  <c r="L10" i="15"/>
  <c r="K10" i="15"/>
  <c r="M9" i="15"/>
  <c r="L9" i="15"/>
  <c r="K9" i="15"/>
  <c r="M8" i="15"/>
  <c r="L8" i="15"/>
  <c r="F179" i="8" s="1"/>
  <c r="K8" i="15"/>
  <c r="M7" i="15"/>
  <c r="L7" i="15"/>
  <c r="K7" i="15"/>
  <c r="M6" i="15"/>
  <c r="L6" i="15"/>
  <c r="K6" i="15"/>
  <c r="M296" i="14"/>
  <c r="L296" i="14"/>
  <c r="K296" i="14"/>
  <c r="M295" i="14"/>
  <c r="L295" i="14"/>
  <c r="K295" i="14"/>
  <c r="M294" i="14"/>
  <c r="L294" i="14"/>
  <c r="K294" i="14"/>
  <c r="M293" i="14"/>
  <c r="L293" i="14"/>
  <c r="K293" i="14"/>
  <c r="M292" i="14"/>
  <c r="L292" i="14"/>
  <c r="K292" i="14"/>
  <c r="M291" i="14"/>
  <c r="L291" i="14"/>
  <c r="K291" i="14"/>
  <c r="M290" i="14"/>
  <c r="L290" i="14"/>
  <c r="K290" i="14"/>
  <c r="M289" i="14"/>
  <c r="L289" i="14"/>
  <c r="K289" i="14"/>
  <c r="M288" i="14"/>
  <c r="L288" i="14"/>
  <c r="K288" i="14"/>
  <c r="M287" i="14"/>
  <c r="L287" i="14"/>
  <c r="K287" i="14"/>
  <c r="M286" i="14"/>
  <c r="L286" i="14"/>
  <c r="K286" i="14"/>
  <c r="M285" i="14"/>
  <c r="L285" i="14"/>
  <c r="K285" i="14"/>
  <c r="M284" i="14"/>
  <c r="L284" i="14"/>
  <c r="K284" i="14"/>
  <c r="M283" i="14"/>
  <c r="L283" i="14"/>
  <c r="K283" i="14"/>
  <c r="M282" i="14"/>
  <c r="L282" i="14"/>
  <c r="K282" i="14"/>
  <c r="M281" i="14"/>
  <c r="L281" i="14"/>
  <c r="K281" i="14"/>
  <c r="M280" i="14"/>
  <c r="L280" i="14"/>
  <c r="K280" i="14"/>
  <c r="M279" i="14"/>
  <c r="L279" i="14"/>
  <c r="K279" i="14"/>
  <c r="M278" i="14"/>
  <c r="L278" i="14"/>
  <c r="K278" i="14"/>
  <c r="M277" i="14"/>
  <c r="L277" i="14"/>
  <c r="K277" i="14"/>
  <c r="M276" i="14"/>
  <c r="L276" i="14"/>
  <c r="K276" i="14"/>
  <c r="M275" i="14"/>
  <c r="L275" i="14"/>
  <c r="K275" i="14"/>
  <c r="M274" i="14"/>
  <c r="L274" i="14"/>
  <c r="K274" i="14"/>
  <c r="M273" i="14"/>
  <c r="L273" i="14"/>
  <c r="K273" i="14"/>
  <c r="M272" i="14"/>
  <c r="L272" i="14"/>
  <c r="K272" i="14"/>
  <c r="M271" i="14"/>
  <c r="L271" i="14"/>
  <c r="K271" i="14"/>
  <c r="M270" i="14"/>
  <c r="L270" i="14"/>
  <c r="K270" i="14"/>
  <c r="M269" i="14"/>
  <c r="L269" i="14"/>
  <c r="K269" i="14"/>
  <c r="M268" i="14"/>
  <c r="L268" i="14"/>
  <c r="K268" i="14"/>
  <c r="M267" i="14"/>
  <c r="L267" i="14"/>
  <c r="K267" i="14"/>
  <c r="M266" i="14"/>
  <c r="L266" i="14"/>
  <c r="K266" i="14"/>
  <c r="M265" i="14"/>
  <c r="L265" i="14"/>
  <c r="K265" i="14"/>
  <c r="M264" i="14"/>
  <c r="L264" i="14"/>
  <c r="K264" i="14"/>
  <c r="M263" i="14"/>
  <c r="L263" i="14"/>
  <c r="K263" i="14"/>
  <c r="M262" i="14"/>
  <c r="L262" i="14"/>
  <c r="K262" i="14"/>
  <c r="M261" i="14"/>
  <c r="L261" i="14"/>
  <c r="K261" i="14"/>
  <c r="M260" i="14"/>
  <c r="L260" i="14"/>
  <c r="K260" i="14"/>
  <c r="M259" i="14"/>
  <c r="L259" i="14"/>
  <c r="K259" i="14"/>
  <c r="M258" i="14"/>
  <c r="L258" i="14"/>
  <c r="K258" i="14"/>
  <c r="M257" i="14"/>
  <c r="L257" i="14"/>
  <c r="K257" i="14"/>
  <c r="M256" i="14"/>
  <c r="L256" i="14"/>
  <c r="K256" i="14"/>
  <c r="M255" i="14"/>
  <c r="L255" i="14"/>
  <c r="K255" i="14"/>
  <c r="M254" i="14"/>
  <c r="L254" i="14"/>
  <c r="K254" i="14"/>
  <c r="M253" i="14"/>
  <c r="L253" i="14"/>
  <c r="K253" i="14"/>
  <c r="M252" i="14"/>
  <c r="L252" i="14"/>
  <c r="K252" i="14"/>
  <c r="M251" i="14"/>
  <c r="L251" i="14"/>
  <c r="K251" i="14"/>
  <c r="M250" i="14"/>
  <c r="L250" i="14"/>
  <c r="K250" i="14"/>
  <c r="M249" i="14"/>
  <c r="L249" i="14"/>
  <c r="K249" i="14"/>
  <c r="M248" i="14"/>
  <c r="L248" i="14"/>
  <c r="K248" i="14"/>
  <c r="M247" i="14"/>
  <c r="L247" i="14"/>
  <c r="K247" i="14"/>
  <c r="M246" i="14"/>
  <c r="L246" i="14"/>
  <c r="K246" i="14"/>
  <c r="M245" i="14"/>
  <c r="L245" i="14"/>
  <c r="K245" i="14"/>
  <c r="M244" i="14"/>
  <c r="L244" i="14"/>
  <c r="K244" i="14"/>
  <c r="M243" i="14"/>
  <c r="L243" i="14"/>
  <c r="K243" i="14"/>
  <c r="M242" i="14"/>
  <c r="L242" i="14"/>
  <c r="K242" i="14"/>
  <c r="M241" i="14"/>
  <c r="L241" i="14"/>
  <c r="K241" i="14"/>
  <c r="M240" i="14"/>
  <c r="L240" i="14"/>
  <c r="K240" i="14"/>
  <c r="M239" i="14"/>
  <c r="L239" i="14"/>
  <c r="K239" i="14"/>
  <c r="M238" i="14"/>
  <c r="L238" i="14"/>
  <c r="K238" i="14"/>
  <c r="M237" i="14"/>
  <c r="L237" i="14"/>
  <c r="K237" i="14"/>
  <c r="M236" i="14"/>
  <c r="L236" i="14"/>
  <c r="K236" i="14"/>
  <c r="M235" i="14"/>
  <c r="L235" i="14"/>
  <c r="K235" i="14"/>
  <c r="M234" i="14"/>
  <c r="L234" i="14"/>
  <c r="K234" i="14"/>
  <c r="M233" i="14"/>
  <c r="L233" i="14"/>
  <c r="K233" i="14"/>
  <c r="M232" i="14"/>
  <c r="L232" i="14"/>
  <c r="K232" i="14"/>
  <c r="M231" i="14"/>
  <c r="L231" i="14"/>
  <c r="K231" i="14"/>
  <c r="M230" i="14"/>
  <c r="L230" i="14"/>
  <c r="K230" i="14"/>
  <c r="M229" i="14"/>
  <c r="L229" i="14"/>
  <c r="K229" i="14"/>
  <c r="M228" i="14"/>
  <c r="L228" i="14"/>
  <c r="K228" i="14"/>
  <c r="M227" i="14"/>
  <c r="L227" i="14"/>
  <c r="K227" i="14"/>
  <c r="M226" i="14"/>
  <c r="L226" i="14"/>
  <c r="K226" i="14"/>
  <c r="M225" i="14"/>
  <c r="L225" i="14"/>
  <c r="K225" i="14"/>
  <c r="M224" i="14"/>
  <c r="L224" i="14"/>
  <c r="K224" i="14"/>
  <c r="M223" i="14"/>
  <c r="L223" i="14"/>
  <c r="K223" i="14"/>
  <c r="M222" i="14"/>
  <c r="L222" i="14"/>
  <c r="K222" i="14"/>
  <c r="M221" i="14"/>
  <c r="L221" i="14"/>
  <c r="K221" i="14"/>
  <c r="M220" i="14"/>
  <c r="L220" i="14"/>
  <c r="K220" i="14"/>
  <c r="M219" i="14"/>
  <c r="L219" i="14"/>
  <c r="K219" i="14"/>
  <c r="M218" i="14"/>
  <c r="L218" i="14"/>
  <c r="K218" i="14"/>
  <c r="M217" i="14"/>
  <c r="L217" i="14"/>
  <c r="K217" i="14"/>
  <c r="M216" i="14"/>
  <c r="L216" i="14"/>
  <c r="K216" i="14"/>
  <c r="M215" i="14"/>
  <c r="L215" i="14"/>
  <c r="K215" i="14"/>
  <c r="M214" i="14"/>
  <c r="L214" i="14"/>
  <c r="K214" i="14"/>
  <c r="M213" i="14"/>
  <c r="L213" i="14"/>
  <c r="K213" i="14"/>
  <c r="M212" i="14"/>
  <c r="L212" i="14"/>
  <c r="K212" i="14"/>
  <c r="M211" i="14"/>
  <c r="L211" i="14"/>
  <c r="K211" i="14"/>
  <c r="M210" i="14"/>
  <c r="L210" i="14"/>
  <c r="K210" i="14"/>
  <c r="M209" i="14"/>
  <c r="L209" i="14"/>
  <c r="K209" i="14"/>
  <c r="M208" i="14"/>
  <c r="L208" i="14"/>
  <c r="K208" i="14"/>
  <c r="M207" i="14"/>
  <c r="L207" i="14"/>
  <c r="K207" i="14"/>
  <c r="M206" i="14"/>
  <c r="L206" i="14"/>
  <c r="K206" i="14"/>
  <c r="M205" i="14"/>
  <c r="L205" i="14"/>
  <c r="K205" i="14"/>
  <c r="M204" i="14"/>
  <c r="L204" i="14"/>
  <c r="K204" i="14"/>
  <c r="M203" i="14"/>
  <c r="L203" i="14"/>
  <c r="K203" i="14"/>
  <c r="M202" i="14"/>
  <c r="L202" i="14"/>
  <c r="K202" i="14"/>
  <c r="M201" i="14"/>
  <c r="L201" i="14"/>
  <c r="K201" i="14"/>
  <c r="M200" i="14"/>
  <c r="L200" i="14"/>
  <c r="K200" i="14"/>
  <c r="M199" i="14"/>
  <c r="L199" i="14"/>
  <c r="K199" i="14"/>
  <c r="M198" i="14"/>
  <c r="L198" i="14"/>
  <c r="K198" i="14"/>
  <c r="M197" i="14"/>
  <c r="L197" i="14"/>
  <c r="K197" i="14"/>
  <c r="M196" i="14"/>
  <c r="L196" i="14"/>
  <c r="K196" i="14"/>
  <c r="M195" i="14"/>
  <c r="L195" i="14"/>
  <c r="K195" i="14"/>
  <c r="M194" i="14"/>
  <c r="L194" i="14"/>
  <c r="K194" i="14"/>
  <c r="M193" i="14"/>
  <c r="L193" i="14"/>
  <c r="K193" i="14"/>
  <c r="M192" i="14"/>
  <c r="L192" i="14"/>
  <c r="K192" i="14"/>
  <c r="M191" i="14"/>
  <c r="L191" i="14"/>
  <c r="K191" i="14"/>
  <c r="M190" i="14"/>
  <c r="L190" i="14"/>
  <c r="K190" i="14"/>
  <c r="M189" i="14"/>
  <c r="L189" i="14"/>
  <c r="K189" i="14"/>
  <c r="M188" i="14"/>
  <c r="L188" i="14"/>
  <c r="K188" i="14"/>
  <c r="M187" i="14"/>
  <c r="L187" i="14"/>
  <c r="K187" i="14"/>
  <c r="M186" i="14"/>
  <c r="L186" i="14"/>
  <c r="K186" i="14"/>
  <c r="M185" i="14"/>
  <c r="L185" i="14"/>
  <c r="K185" i="14"/>
  <c r="M184" i="14"/>
  <c r="L184" i="14"/>
  <c r="K184" i="14"/>
  <c r="M183" i="14"/>
  <c r="L183" i="14"/>
  <c r="K183" i="14"/>
  <c r="M182" i="14"/>
  <c r="L182" i="14"/>
  <c r="K182" i="14"/>
  <c r="M181" i="14"/>
  <c r="L181" i="14"/>
  <c r="K181" i="14"/>
  <c r="M180" i="14"/>
  <c r="L180" i="14"/>
  <c r="K180" i="14"/>
  <c r="M179" i="14"/>
  <c r="L179" i="14"/>
  <c r="K179" i="14"/>
  <c r="M178" i="14"/>
  <c r="L178" i="14"/>
  <c r="K178" i="14"/>
  <c r="M177" i="14"/>
  <c r="L177" i="14"/>
  <c r="K177" i="14"/>
  <c r="M176" i="14"/>
  <c r="L176" i="14"/>
  <c r="K176" i="14"/>
  <c r="M175" i="14"/>
  <c r="L175" i="14"/>
  <c r="K175" i="14"/>
  <c r="M174" i="14"/>
  <c r="L174" i="14"/>
  <c r="K174" i="14"/>
  <c r="M173" i="14"/>
  <c r="L173" i="14"/>
  <c r="K173" i="14"/>
  <c r="M172" i="14"/>
  <c r="L172" i="14"/>
  <c r="K172" i="14"/>
  <c r="M171" i="14"/>
  <c r="L171" i="14"/>
  <c r="K171" i="14"/>
  <c r="M170" i="14"/>
  <c r="L170" i="14"/>
  <c r="K170" i="14"/>
  <c r="M169" i="14"/>
  <c r="L169" i="14"/>
  <c r="K169" i="14"/>
  <c r="M168" i="14"/>
  <c r="L168" i="14"/>
  <c r="K168" i="14"/>
  <c r="M167" i="14"/>
  <c r="L167" i="14"/>
  <c r="K167" i="14"/>
  <c r="M166" i="14"/>
  <c r="L166" i="14"/>
  <c r="K166" i="14"/>
  <c r="M165" i="14"/>
  <c r="L165" i="14"/>
  <c r="K165" i="14"/>
  <c r="M164" i="14"/>
  <c r="L164" i="14"/>
  <c r="K164" i="14"/>
  <c r="M163" i="14"/>
  <c r="L163" i="14"/>
  <c r="K163" i="14"/>
  <c r="M162" i="14"/>
  <c r="L162" i="14"/>
  <c r="K162" i="14"/>
  <c r="M161" i="14"/>
  <c r="L161" i="14"/>
  <c r="K161" i="14"/>
  <c r="M160" i="14"/>
  <c r="L160" i="14"/>
  <c r="K160" i="14"/>
  <c r="M159" i="14"/>
  <c r="L159" i="14"/>
  <c r="K159" i="14"/>
  <c r="M158" i="14"/>
  <c r="L158" i="14"/>
  <c r="K158" i="14"/>
  <c r="M157" i="14"/>
  <c r="L157" i="14"/>
  <c r="K157" i="14"/>
  <c r="M156" i="14"/>
  <c r="L156" i="14"/>
  <c r="K156" i="14"/>
  <c r="M155" i="14"/>
  <c r="L155" i="14"/>
  <c r="K155" i="14"/>
  <c r="M154" i="14"/>
  <c r="L154" i="14"/>
  <c r="K154" i="14"/>
  <c r="M153" i="14"/>
  <c r="L153" i="14"/>
  <c r="K153" i="14"/>
  <c r="M152" i="14"/>
  <c r="L152" i="14"/>
  <c r="K152" i="14"/>
  <c r="M151" i="14"/>
  <c r="L151" i="14"/>
  <c r="K151" i="14"/>
  <c r="M150" i="14"/>
  <c r="L150" i="14"/>
  <c r="K150" i="14"/>
  <c r="M149" i="14"/>
  <c r="L149" i="14"/>
  <c r="K149" i="14"/>
  <c r="M148" i="14"/>
  <c r="L148" i="14"/>
  <c r="K148" i="14"/>
  <c r="M147" i="14"/>
  <c r="L147" i="14"/>
  <c r="K147" i="14"/>
  <c r="M146" i="14"/>
  <c r="L146" i="14"/>
  <c r="K146" i="14"/>
  <c r="M145" i="14"/>
  <c r="L145" i="14"/>
  <c r="K145" i="14"/>
  <c r="M144" i="14"/>
  <c r="L144" i="14"/>
  <c r="K144" i="14"/>
  <c r="M143" i="14"/>
  <c r="L143" i="14"/>
  <c r="K143" i="14"/>
  <c r="M142" i="14"/>
  <c r="L142" i="14"/>
  <c r="K142" i="14"/>
  <c r="M141" i="14"/>
  <c r="L141" i="14"/>
  <c r="K141" i="14"/>
  <c r="M140" i="14"/>
  <c r="L140" i="14"/>
  <c r="K140" i="14"/>
  <c r="M139" i="14"/>
  <c r="L139" i="14"/>
  <c r="K139" i="14"/>
  <c r="M138" i="14"/>
  <c r="L138" i="14"/>
  <c r="K138" i="14"/>
  <c r="M137" i="14"/>
  <c r="L137" i="14"/>
  <c r="K137" i="14"/>
  <c r="M136" i="14"/>
  <c r="L136" i="14"/>
  <c r="K136" i="14"/>
  <c r="M135" i="14"/>
  <c r="L135" i="14"/>
  <c r="K135" i="14"/>
  <c r="M134" i="14"/>
  <c r="L134" i="14"/>
  <c r="K134" i="14"/>
  <c r="M133" i="14"/>
  <c r="L133" i="14"/>
  <c r="K133" i="14"/>
  <c r="M132" i="14"/>
  <c r="L132" i="14"/>
  <c r="K132" i="14"/>
  <c r="M131" i="14"/>
  <c r="L131" i="14"/>
  <c r="K131" i="14"/>
  <c r="M130" i="14"/>
  <c r="L130" i="14"/>
  <c r="K130" i="14"/>
  <c r="M129" i="14"/>
  <c r="L129" i="14"/>
  <c r="K129" i="14"/>
  <c r="M128" i="14"/>
  <c r="L128" i="14"/>
  <c r="K128" i="14"/>
  <c r="M127" i="14"/>
  <c r="L127" i="14"/>
  <c r="K127" i="14"/>
  <c r="M126" i="14"/>
  <c r="L126" i="14"/>
  <c r="K126" i="14"/>
  <c r="M125" i="14"/>
  <c r="L125" i="14"/>
  <c r="K125" i="14"/>
  <c r="M124" i="14"/>
  <c r="L124" i="14"/>
  <c r="K124" i="14"/>
  <c r="M123" i="14"/>
  <c r="L123" i="14"/>
  <c r="K123" i="14"/>
  <c r="M122" i="14"/>
  <c r="L122" i="14"/>
  <c r="K122" i="14"/>
  <c r="M121" i="14"/>
  <c r="L121" i="14"/>
  <c r="K121" i="14"/>
  <c r="M120" i="14"/>
  <c r="L120" i="14"/>
  <c r="K120" i="14"/>
  <c r="M119" i="14"/>
  <c r="L119" i="14"/>
  <c r="K119" i="14"/>
  <c r="M118" i="14"/>
  <c r="L118" i="14"/>
  <c r="K118" i="14"/>
  <c r="M117" i="14"/>
  <c r="L117" i="14"/>
  <c r="K117" i="14"/>
  <c r="M116" i="14"/>
  <c r="L116" i="14"/>
  <c r="K116" i="14"/>
  <c r="M115" i="14"/>
  <c r="L115" i="14"/>
  <c r="K115" i="14"/>
  <c r="M114" i="14"/>
  <c r="L114" i="14"/>
  <c r="K114" i="14"/>
  <c r="M113" i="14"/>
  <c r="L113" i="14"/>
  <c r="K113" i="14"/>
  <c r="M112" i="14"/>
  <c r="L112" i="14"/>
  <c r="K112" i="14"/>
  <c r="M111" i="14"/>
  <c r="L111" i="14"/>
  <c r="K111" i="14"/>
  <c r="M110" i="14"/>
  <c r="L110" i="14"/>
  <c r="K110" i="14"/>
  <c r="M109" i="14"/>
  <c r="L109" i="14"/>
  <c r="K109" i="14"/>
  <c r="M108" i="14"/>
  <c r="L108" i="14"/>
  <c r="K108" i="14"/>
  <c r="M107" i="14"/>
  <c r="L107" i="14"/>
  <c r="K107" i="14"/>
  <c r="M106" i="14"/>
  <c r="L106" i="14"/>
  <c r="K106" i="14"/>
  <c r="M105" i="14"/>
  <c r="L105" i="14"/>
  <c r="K105" i="14"/>
  <c r="M104" i="14"/>
  <c r="L104" i="14"/>
  <c r="K104" i="14"/>
  <c r="M103" i="14"/>
  <c r="L103" i="14"/>
  <c r="K103" i="14"/>
  <c r="M102" i="14"/>
  <c r="L102" i="14"/>
  <c r="K102" i="14"/>
  <c r="M101" i="14"/>
  <c r="L101" i="14"/>
  <c r="K101" i="14"/>
  <c r="M100" i="14"/>
  <c r="L100" i="14"/>
  <c r="K100" i="14"/>
  <c r="M99" i="14"/>
  <c r="L99" i="14"/>
  <c r="K99" i="14"/>
  <c r="M98" i="14"/>
  <c r="L98" i="14"/>
  <c r="K98" i="14"/>
  <c r="M97" i="14"/>
  <c r="L97" i="14"/>
  <c r="K97" i="14"/>
  <c r="M96" i="14"/>
  <c r="L96" i="14"/>
  <c r="K96" i="14"/>
  <c r="M95" i="14"/>
  <c r="L95" i="14"/>
  <c r="K95" i="14"/>
  <c r="M94" i="14"/>
  <c r="L94" i="14"/>
  <c r="K94" i="14"/>
  <c r="M93" i="14"/>
  <c r="L93" i="14"/>
  <c r="K93" i="14"/>
  <c r="M92" i="14"/>
  <c r="L92" i="14"/>
  <c r="K92" i="14"/>
  <c r="M91" i="14"/>
  <c r="L91" i="14"/>
  <c r="K91" i="14"/>
  <c r="M90" i="14"/>
  <c r="L90" i="14"/>
  <c r="K90" i="14"/>
  <c r="M89" i="14"/>
  <c r="L89" i="14"/>
  <c r="K89" i="14"/>
  <c r="M88" i="14"/>
  <c r="L88" i="14"/>
  <c r="K88" i="14"/>
  <c r="M87" i="14"/>
  <c r="L87" i="14"/>
  <c r="K87" i="14"/>
  <c r="M86" i="14"/>
  <c r="L86" i="14"/>
  <c r="K86" i="14"/>
  <c r="M85" i="14"/>
  <c r="L85" i="14"/>
  <c r="K85" i="14"/>
  <c r="M84" i="14"/>
  <c r="L84" i="14"/>
  <c r="K84" i="14"/>
  <c r="M83" i="14"/>
  <c r="L83" i="14"/>
  <c r="K83" i="14"/>
  <c r="M82" i="14"/>
  <c r="L82" i="14"/>
  <c r="K82" i="14"/>
  <c r="M81" i="14"/>
  <c r="L81" i="14"/>
  <c r="K81" i="14"/>
  <c r="M80" i="14"/>
  <c r="L80" i="14"/>
  <c r="K80" i="14"/>
  <c r="M79" i="14"/>
  <c r="L79" i="14"/>
  <c r="K79" i="14"/>
  <c r="M78" i="14"/>
  <c r="L78" i="14"/>
  <c r="K78" i="14"/>
  <c r="M77" i="14"/>
  <c r="L77" i="14"/>
  <c r="K77" i="14"/>
  <c r="M76" i="14"/>
  <c r="L76" i="14"/>
  <c r="K76" i="14"/>
  <c r="M75" i="14"/>
  <c r="L75" i="14"/>
  <c r="K75" i="14"/>
  <c r="M74" i="14"/>
  <c r="L74" i="14"/>
  <c r="K74" i="14"/>
  <c r="M73" i="14"/>
  <c r="L73" i="14"/>
  <c r="K73" i="14"/>
  <c r="M72" i="14"/>
  <c r="L72" i="14"/>
  <c r="K72" i="14"/>
  <c r="M71" i="14"/>
  <c r="L71" i="14"/>
  <c r="K71" i="14"/>
  <c r="M70" i="14"/>
  <c r="L70" i="14"/>
  <c r="K70" i="14"/>
  <c r="M69" i="14"/>
  <c r="L69" i="14"/>
  <c r="K69" i="14"/>
  <c r="M68" i="14"/>
  <c r="L68" i="14"/>
  <c r="K68" i="14"/>
  <c r="M67" i="14"/>
  <c r="L67" i="14"/>
  <c r="K67" i="14"/>
  <c r="M66" i="14"/>
  <c r="L66" i="14"/>
  <c r="K66" i="14"/>
  <c r="M65" i="14"/>
  <c r="L65" i="14"/>
  <c r="K65" i="14"/>
  <c r="M64" i="14"/>
  <c r="L64" i="14"/>
  <c r="K64" i="14"/>
  <c r="M63" i="14"/>
  <c r="L63" i="14"/>
  <c r="K63" i="14"/>
  <c r="M62" i="14"/>
  <c r="L62" i="14"/>
  <c r="K62" i="14"/>
  <c r="M61" i="14"/>
  <c r="L61" i="14"/>
  <c r="K61" i="14"/>
  <c r="M60" i="14"/>
  <c r="L60" i="14"/>
  <c r="K60" i="14"/>
  <c r="M59" i="14"/>
  <c r="L59" i="14"/>
  <c r="K59" i="14"/>
  <c r="M58" i="14"/>
  <c r="L58" i="14"/>
  <c r="K58" i="14"/>
  <c r="M57" i="14"/>
  <c r="L57" i="14"/>
  <c r="K57" i="14"/>
  <c r="M56" i="14"/>
  <c r="L56" i="14"/>
  <c r="K56" i="14"/>
  <c r="M55" i="14"/>
  <c r="L55" i="14"/>
  <c r="K55" i="14"/>
  <c r="M54" i="14"/>
  <c r="L54" i="14"/>
  <c r="K54" i="14"/>
  <c r="M53" i="14"/>
  <c r="L53" i="14"/>
  <c r="K53" i="14"/>
  <c r="M52" i="14"/>
  <c r="L52" i="14"/>
  <c r="K52" i="14"/>
  <c r="M51" i="14"/>
  <c r="L51" i="14"/>
  <c r="K51" i="14"/>
  <c r="M50" i="14"/>
  <c r="L50" i="14"/>
  <c r="K50" i="14"/>
  <c r="M49" i="14"/>
  <c r="L49" i="14"/>
  <c r="K49" i="14"/>
  <c r="M48" i="14"/>
  <c r="L48" i="14"/>
  <c r="K48" i="14"/>
  <c r="M47" i="14"/>
  <c r="L47" i="14"/>
  <c r="K47" i="14"/>
  <c r="M46" i="14"/>
  <c r="L46" i="14"/>
  <c r="K46" i="14"/>
  <c r="M45" i="14"/>
  <c r="L45" i="14"/>
  <c r="K45" i="14"/>
  <c r="M44" i="14"/>
  <c r="L44" i="14"/>
  <c r="K44" i="14"/>
  <c r="M43" i="14"/>
  <c r="L43" i="14"/>
  <c r="K43" i="14"/>
  <c r="M42" i="14"/>
  <c r="L42" i="14"/>
  <c r="K42" i="14"/>
  <c r="M41" i="14"/>
  <c r="L41" i="14"/>
  <c r="K41" i="14"/>
  <c r="M40" i="14"/>
  <c r="L40" i="14"/>
  <c r="K40" i="14"/>
  <c r="M39" i="14"/>
  <c r="L39" i="14"/>
  <c r="K39" i="14"/>
  <c r="M38" i="14"/>
  <c r="L38" i="14"/>
  <c r="K38" i="14"/>
  <c r="M37" i="14"/>
  <c r="L37" i="14"/>
  <c r="K37" i="14"/>
  <c r="M36" i="14"/>
  <c r="L36" i="14"/>
  <c r="K36" i="14"/>
  <c r="M35" i="14"/>
  <c r="L35" i="14"/>
  <c r="K35" i="14"/>
  <c r="M34" i="14"/>
  <c r="L34" i="14"/>
  <c r="K34" i="14"/>
  <c r="M33" i="14"/>
  <c r="L33" i="14"/>
  <c r="K33" i="14"/>
  <c r="M32" i="14"/>
  <c r="L32" i="14"/>
  <c r="K32" i="14"/>
  <c r="M31" i="14"/>
  <c r="L31" i="14"/>
  <c r="K31" i="14"/>
  <c r="M30" i="14"/>
  <c r="L30" i="14"/>
  <c r="K30" i="14"/>
  <c r="M29" i="14"/>
  <c r="L29" i="14"/>
  <c r="K29" i="14"/>
  <c r="M28" i="14"/>
  <c r="L28" i="14"/>
  <c r="K28" i="14"/>
  <c r="M27" i="14"/>
  <c r="L27" i="14"/>
  <c r="K27" i="14"/>
  <c r="M26" i="14"/>
  <c r="L26" i="14"/>
  <c r="K26" i="14"/>
  <c r="M25" i="14"/>
  <c r="L25" i="14"/>
  <c r="K25" i="14"/>
  <c r="M24" i="14"/>
  <c r="L24" i="14"/>
  <c r="K24" i="14"/>
  <c r="M23" i="14"/>
  <c r="L23" i="14"/>
  <c r="K23" i="14"/>
  <c r="M22" i="14"/>
  <c r="L22" i="14"/>
  <c r="K22" i="14"/>
  <c r="M21" i="14"/>
  <c r="L21" i="14"/>
  <c r="K21" i="14"/>
  <c r="M20" i="14"/>
  <c r="L20" i="14"/>
  <c r="K20" i="14"/>
  <c r="M19" i="14"/>
  <c r="L19" i="14"/>
  <c r="K19" i="14"/>
  <c r="M18" i="14"/>
  <c r="L18" i="14"/>
  <c r="K18" i="14"/>
  <c r="M17" i="14"/>
  <c r="L17" i="14"/>
  <c r="K17" i="14"/>
  <c r="M16" i="14"/>
  <c r="L16" i="14"/>
  <c r="K16" i="14"/>
  <c r="M15" i="14"/>
  <c r="L15" i="14"/>
  <c r="K15" i="14"/>
  <c r="M14" i="14"/>
  <c r="L14" i="14"/>
  <c r="K14" i="14"/>
  <c r="O10" i="10" s="1"/>
  <c r="D16" i="3" s="1"/>
  <c r="M13" i="14"/>
  <c r="L13" i="14"/>
  <c r="K13" i="14"/>
  <c r="M12" i="14"/>
  <c r="L12" i="14"/>
  <c r="K12" i="14"/>
  <c r="M11" i="14"/>
  <c r="L11" i="14"/>
  <c r="K11" i="14"/>
  <c r="M10" i="14"/>
  <c r="L10" i="14"/>
  <c r="K10" i="14"/>
  <c r="M9" i="14"/>
  <c r="L9" i="14"/>
  <c r="G196" i="8" s="1"/>
  <c r="K9" i="14"/>
  <c r="M8" i="14"/>
  <c r="L8" i="14"/>
  <c r="K8" i="14"/>
  <c r="M7" i="14"/>
  <c r="L7" i="14"/>
  <c r="K7" i="14"/>
  <c r="M6" i="14"/>
  <c r="L6" i="14"/>
  <c r="G200" i="8" s="1"/>
  <c r="K6" i="14"/>
  <c r="M262" i="13"/>
  <c r="L262" i="13"/>
  <c r="K262" i="13"/>
  <c r="M261" i="13"/>
  <c r="L261" i="13"/>
  <c r="K261" i="13"/>
  <c r="M260" i="13"/>
  <c r="L260" i="13"/>
  <c r="K260" i="13"/>
  <c r="M259" i="13"/>
  <c r="L259" i="13"/>
  <c r="K259" i="13"/>
  <c r="M258" i="13"/>
  <c r="L258" i="13"/>
  <c r="K258" i="13"/>
  <c r="M257" i="13"/>
  <c r="L257" i="13"/>
  <c r="K257" i="13"/>
  <c r="M256" i="13"/>
  <c r="L256" i="13"/>
  <c r="K256" i="13"/>
  <c r="M255" i="13"/>
  <c r="L255" i="13"/>
  <c r="K255" i="13"/>
  <c r="M254" i="13"/>
  <c r="L254" i="13"/>
  <c r="K254" i="13"/>
  <c r="M253" i="13"/>
  <c r="L253" i="13"/>
  <c r="K253" i="13"/>
  <c r="M252" i="13"/>
  <c r="L252" i="13"/>
  <c r="K252" i="13"/>
  <c r="M251" i="13"/>
  <c r="L251" i="13"/>
  <c r="K251" i="13"/>
  <c r="M250" i="13"/>
  <c r="L250" i="13"/>
  <c r="K250" i="13"/>
  <c r="M249" i="13"/>
  <c r="L249" i="13"/>
  <c r="K249" i="13"/>
  <c r="M248" i="13"/>
  <c r="L248" i="13"/>
  <c r="K248" i="13"/>
  <c r="M247" i="13"/>
  <c r="L247" i="13"/>
  <c r="K247" i="13"/>
  <c r="M246" i="13"/>
  <c r="L246" i="13"/>
  <c r="K246" i="13"/>
  <c r="M245" i="13"/>
  <c r="L245" i="13"/>
  <c r="K245" i="13"/>
  <c r="M244" i="13"/>
  <c r="L244" i="13"/>
  <c r="K244" i="13"/>
  <c r="M243" i="13"/>
  <c r="L243" i="13"/>
  <c r="K243" i="13"/>
  <c r="M242" i="13"/>
  <c r="L242" i="13"/>
  <c r="K242" i="13"/>
  <c r="M241" i="13"/>
  <c r="L241" i="13"/>
  <c r="K241" i="13"/>
  <c r="M240" i="13"/>
  <c r="L240" i="13"/>
  <c r="K240" i="13"/>
  <c r="M239" i="13"/>
  <c r="L239" i="13"/>
  <c r="K239" i="13"/>
  <c r="M238" i="13"/>
  <c r="L238" i="13"/>
  <c r="K238" i="13"/>
  <c r="M237" i="13"/>
  <c r="L237" i="13"/>
  <c r="K237" i="13"/>
  <c r="M236" i="13"/>
  <c r="L236" i="13"/>
  <c r="K236" i="13"/>
  <c r="M235" i="13"/>
  <c r="L235" i="13"/>
  <c r="K235" i="13"/>
  <c r="M234" i="13"/>
  <c r="L234" i="13"/>
  <c r="K234" i="13"/>
  <c r="M233" i="13"/>
  <c r="L233" i="13"/>
  <c r="K233" i="13"/>
  <c r="M232" i="13"/>
  <c r="L232" i="13"/>
  <c r="K232" i="13"/>
  <c r="M231" i="13"/>
  <c r="L231" i="13"/>
  <c r="K231" i="13"/>
  <c r="M230" i="13"/>
  <c r="L230" i="13"/>
  <c r="K230" i="13"/>
  <c r="M229" i="13"/>
  <c r="L229" i="13"/>
  <c r="K229" i="13"/>
  <c r="M228" i="13"/>
  <c r="L228" i="13"/>
  <c r="K228" i="13"/>
  <c r="M227" i="13"/>
  <c r="L227" i="13"/>
  <c r="K227" i="13"/>
  <c r="M226" i="13"/>
  <c r="L226" i="13"/>
  <c r="K226" i="13"/>
  <c r="M225" i="13"/>
  <c r="L225" i="13"/>
  <c r="K225" i="13"/>
  <c r="M224" i="13"/>
  <c r="L224" i="13"/>
  <c r="K224" i="13"/>
  <c r="M223" i="13"/>
  <c r="L223" i="13"/>
  <c r="K223" i="13"/>
  <c r="M222" i="13"/>
  <c r="L222" i="13"/>
  <c r="K222" i="13"/>
  <c r="M221" i="13"/>
  <c r="L221" i="13"/>
  <c r="K221" i="13"/>
  <c r="M220" i="13"/>
  <c r="L220" i="13"/>
  <c r="K220" i="13"/>
  <c r="M219" i="13"/>
  <c r="L219" i="13"/>
  <c r="K219" i="13"/>
  <c r="M218" i="13"/>
  <c r="L218" i="13"/>
  <c r="K218" i="13"/>
  <c r="M217" i="13"/>
  <c r="L217" i="13"/>
  <c r="K217" i="13"/>
  <c r="M216" i="13"/>
  <c r="L216" i="13"/>
  <c r="K216" i="13"/>
  <c r="M215" i="13"/>
  <c r="L215" i="13"/>
  <c r="K215" i="13"/>
  <c r="M214" i="13"/>
  <c r="L214" i="13"/>
  <c r="K214" i="13"/>
  <c r="M213" i="13"/>
  <c r="L213" i="13"/>
  <c r="K213" i="13"/>
  <c r="M212" i="13"/>
  <c r="L212" i="13"/>
  <c r="K212" i="13"/>
  <c r="M211" i="13"/>
  <c r="L211" i="13"/>
  <c r="K211" i="13"/>
  <c r="M210" i="13"/>
  <c r="L210" i="13"/>
  <c r="K210" i="13"/>
  <c r="M209" i="13"/>
  <c r="L209" i="13"/>
  <c r="K209" i="13"/>
  <c r="M208" i="13"/>
  <c r="L208" i="13"/>
  <c r="K208" i="13"/>
  <c r="M207" i="13"/>
  <c r="L207" i="13"/>
  <c r="K207" i="13"/>
  <c r="M206" i="13"/>
  <c r="L206" i="13"/>
  <c r="K206" i="13"/>
  <c r="M205" i="13"/>
  <c r="L205" i="13"/>
  <c r="K205" i="13"/>
  <c r="M204" i="13"/>
  <c r="L204" i="13"/>
  <c r="K204" i="13"/>
  <c r="M203" i="13"/>
  <c r="L203" i="13"/>
  <c r="K203" i="13"/>
  <c r="M202" i="13"/>
  <c r="L202" i="13"/>
  <c r="K202" i="13"/>
  <c r="M201" i="13"/>
  <c r="L201" i="13"/>
  <c r="K201" i="13"/>
  <c r="M200" i="13"/>
  <c r="L200" i="13"/>
  <c r="K200" i="13"/>
  <c r="M199" i="13"/>
  <c r="L199" i="13"/>
  <c r="K199" i="13"/>
  <c r="M198" i="13"/>
  <c r="L198" i="13"/>
  <c r="K198" i="13"/>
  <c r="M197" i="13"/>
  <c r="L197" i="13"/>
  <c r="K197" i="13"/>
  <c r="M196" i="13"/>
  <c r="L196" i="13"/>
  <c r="K196" i="13"/>
  <c r="M195" i="13"/>
  <c r="L195" i="13"/>
  <c r="K195" i="13"/>
  <c r="M194" i="13"/>
  <c r="L194" i="13"/>
  <c r="K194" i="13"/>
  <c r="M193" i="13"/>
  <c r="L193" i="13"/>
  <c r="K193" i="13"/>
  <c r="M192" i="13"/>
  <c r="L192" i="13"/>
  <c r="K192" i="13"/>
  <c r="M191" i="13"/>
  <c r="L191" i="13"/>
  <c r="K191" i="13"/>
  <c r="M190" i="13"/>
  <c r="L190" i="13"/>
  <c r="K190" i="13"/>
  <c r="M189" i="13"/>
  <c r="L189" i="13"/>
  <c r="K189" i="13"/>
  <c r="M188" i="13"/>
  <c r="L188" i="13"/>
  <c r="K188" i="13"/>
  <c r="M187" i="13"/>
  <c r="L187" i="13"/>
  <c r="K187" i="13"/>
  <c r="M186" i="13"/>
  <c r="L186" i="13"/>
  <c r="K186" i="13"/>
  <c r="M185" i="13"/>
  <c r="L185" i="13"/>
  <c r="K185" i="13"/>
  <c r="M184" i="13"/>
  <c r="L184" i="13"/>
  <c r="K184" i="13"/>
  <c r="M183" i="13"/>
  <c r="L183" i="13"/>
  <c r="K183" i="13"/>
  <c r="M182" i="13"/>
  <c r="L182" i="13"/>
  <c r="K182" i="13"/>
  <c r="M181" i="13"/>
  <c r="L181" i="13"/>
  <c r="K181" i="13"/>
  <c r="M180" i="13"/>
  <c r="L180" i="13"/>
  <c r="K180" i="13"/>
  <c r="M179" i="13"/>
  <c r="L179" i="13"/>
  <c r="K179" i="13"/>
  <c r="M178" i="13"/>
  <c r="L178" i="13"/>
  <c r="K178" i="13"/>
  <c r="M177" i="13"/>
  <c r="L177" i="13"/>
  <c r="K177" i="13"/>
  <c r="M176" i="13"/>
  <c r="L176" i="13"/>
  <c r="K176" i="13"/>
  <c r="M175" i="13"/>
  <c r="L175" i="13"/>
  <c r="K175" i="13"/>
  <c r="M174" i="13"/>
  <c r="L174" i="13"/>
  <c r="K174" i="13"/>
  <c r="M173" i="13"/>
  <c r="L173" i="13"/>
  <c r="K173" i="13"/>
  <c r="M172" i="13"/>
  <c r="L172" i="13"/>
  <c r="K172" i="13"/>
  <c r="M171" i="13"/>
  <c r="L171" i="13"/>
  <c r="K171" i="13"/>
  <c r="M170" i="13"/>
  <c r="L170" i="13"/>
  <c r="K170" i="13"/>
  <c r="M169" i="13"/>
  <c r="L169" i="13"/>
  <c r="K169" i="13"/>
  <c r="M168" i="13"/>
  <c r="L168" i="13"/>
  <c r="K168" i="13"/>
  <c r="M167" i="13"/>
  <c r="L167" i="13"/>
  <c r="K167" i="13"/>
  <c r="M166" i="13"/>
  <c r="L166" i="13"/>
  <c r="K166" i="13"/>
  <c r="M165" i="13"/>
  <c r="L165" i="13"/>
  <c r="K165" i="13"/>
  <c r="M164" i="13"/>
  <c r="L164" i="13"/>
  <c r="K164" i="13"/>
  <c r="M163" i="13"/>
  <c r="L163" i="13"/>
  <c r="K163" i="13"/>
  <c r="M162" i="13"/>
  <c r="L162" i="13"/>
  <c r="K162" i="13"/>
  <c r="M161" i="13"/>
  <c r="L161" i="13"/>
  <c r="K161" i="13"/>
  <c r="M160" i="13"/>
  <c r="L160" i="13"/>
  <c r="K160" i="13"/>
  <c r="M159" i="13"/>
  <c r="L159" i="13"/>
  <c r="K159" i="13"/>
  <c r="M158" i="13"/>
  <c r="L158" i="13"/>
  <c r="K158" i="13"/>
  <c r="M157" i="13"/>
  <c r="L157" i="13"/>
  <c r="K157" i="13"/>
  <c r="M156" i="13"/>
  <c r="L156" i="13"/>
  <c r="K156" i="13"/>
  <c r="M155" i="13"/>
  <c r="L155" i="13"/>
  <c r="K155" i="13"/>
  <c r="M154" i="13"/>
  <c r="L154" i="13"/>
  <c r="K154" i="13"/>
  <c r="M153" i="13"/>
  <c r="L153" i="13"/>
  <c r="K153" i="13"/>
  <c r="M152" i="13"/>
  <c r="L152" i="13"/>
  <c r="K152" i="13"/>
  <c r="M151" i="13"/>
  <c r="L151" i="13"/>
  <c r="K151" i="13"/>
  <c r="M150" i="13"/>
  <c r="L150" i="13"/>
  <c r="K150" i="13"/>
  <c r="M149" i="13"/>
  <c r="L149" i="13"/>
  <c r="K149" i="13"/>
  <c r="M148" i="13"/>
  <c r="L148" i="13"/>
  <c r="K148" i="13"/>
  <c r="M147" i="13"/>
  <c r="L147" i="13"/>
  <c r="K147" i="13"/>
  <c r="M146" i="13"/>
  <c r="L146" i="13"/>
  <c r="K146" i="13"/>
  <c r="M145" i="13"/>
  <c r="L145" i="13"/>
  <c r="K145" i="13"/>
  <c r="M144" i="13"/>
  <c r="L144" i="13"/>
  <c r="K144" i="13"/>
  <c r="M143" i="13"/>
  <c r="L143" i="13"/>
  <c r="K143" i="13"/>
  <c r="M142" i="13"/>
  <c r="L142" i="13"/>
  <c r="K142" i="13"/>
  <c r="M141" i="13"/>
  <c r="L141" i="13"/>
  <c r="K141" i="13"/>
  <c r="M140" i="13"/>
  <c r="L140" i="13"/>
  <c r="K140" i="13"/>
  <c r="M139" i="13"/>
  <c r="L139" i="13"/>
  <c r="K139" i="13"/>
  <c r="M138" i="13"/>
  <c r="L138" i="13"/>
  <c r="K138" i="13"/>
  <c r="M137" i="13"/>
  <c r="L137" i="13"/>
  <c r="K137" i="13"/>
  <c r="M136" i="13"/>
  <c r="L136" i="13"/>
  <c r="K136" i="13"/>
  <c r="M135" i="13"/>
  <c r="L135" i="13"/>
  <c r="K135" i="13"/>
  <c r="M134" i="13"/>
  <c r="L134" i="13"/>
  <c r="K134" i="13"/>
  <c r="M133" i="13"/>
  <c r="L133" i="13"/>
  <c r="K133" i="13"/>
  <c r="M132" i="13"/>
  <c r="L132" i="13"/>
  <c r="K132" i="13"/>
  <c r="M131" i="13"/>
  <c r="L131" i="13"/>
  <c r="K131" i="13"/>
  <c r="M130" i="13"/>
  <c r="L130" i="13"/>
  <c r="K130" i="13"/>
  <c r="M129" i="13"/>
  <c r="L129" i="13"/>
  <c r="K129" i="13"/>
  <c r="M128" i="13"/>
  <c r="L128" i="13"/>
  <c r="K128" i="13"/>
  <c r="M127" i="13"/>
  <c r="L127" i="13"/>
  <c r="K127" i="13"/>
  <c r="M126" i="13"/>
  <c r="L126" i="13"/>
  <c r="K126" i="13"/>
  <c r="M125" i="13"/>
  <c r="L125" i="13"/>
  <c r="K125" i="13"/>
  <c r="M124" i="13"/>
  <c r="L124" i="13"/>
  <c r="K124" i="13"/>
  <c r="M123" i="13"/>
  <c r="L123" i="13"/>
  <c r="K123" i="13"/>
  <c r="M122" i="13"/>
  <c r="L122" i="13"/>
  <c r="K122" i="13"/>
  <c r="M121" i="13"/>
  <c r="L121" i="13"/>
  <c r="K121" i="13"/>
  <c r="M120" i="13"/>
  <c r="L120" i="13"/>
  <c r="K120" i="13"/>
  <c r="M119" i="13"/>
  <c r="L119" i="13"/>
  <c r="K119" i="13"/>
  <c r="M118" i="13"/>
  <c r="L118" i="13"/>
  <c r="K118" i="13"/>
  <c r="M117" i="13"/>
  <c r="L117" i="13"/>
  <c r="K117" i="13"/>
  <c r="M116" i="13"/>
  <c r="L116" i="13"/>
  <c r="K116" i="13"/>
  <c r="M115" i="13"/>
  <c r="L115" i="13"/>
  <c r="K115" i="13"/>
  <c r="M114" i="13"/>
  <c r="L114" i="13"/>
  <c r="K114" i="13"/>
  <c r="M113" i="13"/>
  <c r="L113" i="13"/>
  <c r="K113" i="13"/>
  <c r="M112" i="13"/>
  <c r="L112" i="13"/>
  <c r="K112" i="13"/>
  <c r="M111" i="13"/>
  <c r="L111" i="13"/>
  <c r="K111" i="13"/>
  <c r="M110" i="13"/>
  <c r="L110" i="13"/>
  <c r="K110" i="13"/>
  <c r="M109" i="13"/>
  <c r="L109" i="13"/>
  <c r="K109" i="13"/>
  <c r="M108" i="13"/>
  <c r="L108" i="13"/>
  <c r="K108" i="13"/>
  <c r="M107" i="13"/>
  <c r="L107" i="13"/>
  <c r="K107" i="13"/>
  <c r="M106" i="13"/>
  <c r="L106" i="13"/>
  <c r="K106" i="13"/>
  <c r="M105" i="13"/>
  <c r="L105" i="13"/>
  <c r="K105" i="13"/>
  <c r="M104" i="13"/>
  <c r="L104" i="13"/>
  <c r="K104" i="13"/>
  <c r="M103" i="13"/>
  <c r="L103" i="13"/>
  <c r="K103" i="13"/>
  <c r="M102" i="13"/>
  <c r="L102" i="13"/>
  <c r="K102" i="13"/>
  <c r="M101" i="13"/>
  <c r="L101" i="13"/>
  <c r="K101" i="13"/>
  <c r="M100" i="13"/>
  <c r="L100" i="13"/>
  <c r="K100" i="13"/>
  <c r="M99" i="13"/>
  <c r="L99" i="13"/>
  <c r="K99" i="13"/>
  <c r="M98" i="13"/>
  <c r="L98" i="13"/>
  <c r="K98" i="13"/>
  <c r="M97" i="13"/>
  <c r="L97" i="13"/>
  <c r="K97" i="13"/>
  <c r="M96" i="13"/>
  <c r="L96" i="13"/>
  <c r="K96" i="13"/>
  <c r="M95" i="13"/>
  <c r="L95" i="13"/>
  <c r="K95" i="13"/>
  <c r="M94" i="13"/>
  <c r="L94" i="13"/>
  <c r="K94" i="13"/>
  <c r="M93" i="13"/>
  <c r="L93" i="13"/>
  <c r="K93" i="13"/>
  <c r="M92" i="13"/>
  <c r="L92" i="13"/>
  <c r="K92" i="13"/>
  <c r="M91" i="13"/>
  <c r="L91" i="13"/>
  <c r="K91" i="13"/>
  <c r="M90" i="13"/>
  <c r="L90" i="13"/>
  <c r="K90" i="13"/>
  <c r="M89" i="13"/>
  <c r="L89" i="13"/>
  <c r="K89" i="13"/>
  <c r="M88" i="13"/>
  <c r="L88" i="13"/>
  <c r="K88" i="13"/>
  <c r="M87" i="13"/>
  <c r="L87" i="13"/>
  <c r="K87" i="13"/>
  <c r="M86" i="13"/>
  <c r="L86" i="13"/>
  <c r="K86" i="13"/>
  <c r="M85" i="13"/>
  <c r="L85" i="13"/>
  <c r="K85" i="13"/>
  <c r="M84" i="13"/>
  <c r="L84" i="13"/>
  <c r="K84" i="13"/>
  <c r="M83" i="13"/>
  <c r="L83" i="13"/>
  <c r="K83" i="13"/>
  <c r="M82" i="13"/>
  <c r="L82" i="13"/>
  <c r="K82" i="13"/>
  <c r="M81" i="13"/>
  <c r="L81" i="13"/>
  <c r="K81" i="13"/>
  <c r="M80" i="13"/>
  <c r="L80" i="13"/>
  <c r="K80" i="13"/>
  <c r="M79" i="13"/>
  <c r="L79" i="13"/>
  <c r="K79" i="13"/>
  <c r="M78" i="13"/>
  <c r="L78" i="13"/>
  <c r="K78" i="13"/>
  <c r="M77" i="13"/>
  <c r="L77" i="13"/>
  <c r="K77" i="13"/>
  <c r="M76" i="13"/>
  <c r="L76" i="13"/>
  <c r="K76" i="13"/>
  <c r="M75" i="13"/>
  <c r="L75" i="13"/>
  <c r="K75" i="13"/>
  <c r="M74" i="13"/>
  <c r="L74" i="13"/>
  <c r="K74" i="13"/>
  <c r="M73" i="13"/>
  <c r="L73" i="13"/>
  <c r="K73" i="13"/>
  <c r="M72" i="13"/>
  <c r="L72" i="13"/>
  <c r="K72" i="13"/>
  <c r="M71" i="13"/>
  <c r="L71" i="13"/>
  <c r="K71" i="13"/>
  <c r="M70" i="13"/>
  <c r="L70" i="13"/>
  <c r="K70" i="13"/>
  <c r="M69" i="13"/>
  <c r="L69" i="13"/>
  <c r="K69" i="13"/>
  <c r="M68" i="13"/>
  <c r="L68" i="13"/>
  <c r="K68" i="13"/>
  <c r="M67" i="13"/>
  <c r="L67" i="13"/>
  <c r="K67" i="13"/>
  <c r="M66" i="13"/>
  <c r="L66" i="13"/>
  <c r="K66" i="13"/>
  <c r="M65" i="13"/>
  <c r="L65" i="13"/>
  <c r="K65" i="13"/>
  <c r="M64" i="13"/>
  <c r="L64" i="13"/>
  <c r="K64" i="13"/>
  <c r="M63" i="13"/>
  <c r="L63" i="13"/>
  <c r="K63" i="13"/>
  <c r="M62" i="13"/>
  <c r="L62" i="13"/>
  <c r="K62" i="13"/>
  <c r="M61" i="13"/>
  <c r="L61" i="13"/>
  <c r="K61" i="13"/>
  <c r="M60" i="13"/>
  <c r="L60" i="13"/>
  <c r="K60" i="13"/>
  <c r="M59" i="13"/>
  <c r="L59" i="13"/>
  <c r="K59" i="13"/>
  <c r="M58" i="13"/>
  <c r="L58" i="13"/>
  <c r="K58" i="13"/>
  <c r="M57" i="13"/>
  <c r="L57" i="13"/>
  <c r="K57" i="13"/>
  <c r="M56" i="13"/>
  <c r="L56" i="13"/>
  <c r="K56" i="13"/>
  <c r="M55" i="13"/>
  <c r="L55" i="13"/>
  <c r="K55" i="13"/>
  <c r="M54" i="13"/>
  <c r="L54" i="13"/>
  <c r="K54" i="13"/>
  <c r="M53" i="13"/>
  <c r="L53" i="13"/>
  <c r="K53" i="13"/>
  <c r="M52" i="13"/>
  <c r="L52" i="13"/>
  <c r="K52" i="13"/>
  <c r="M51" i="13"/>
  <c r="L51" i="13"/>
  <c r="K51" i="13"/>
  <c r="M50" i="13"/>
  <c r="L50" i="13"/>
  <c r="K50" i="13"/>
  <c r="M49" i="13"/>
  <c r="L49" i="13"/>
  <c r="K49" i="13"/>
  <c r="M48" i="13"/>
  <c r="L48" i="13"/>
  <c r="K48" i="13"/>
  <c r="M47" i="13"/>
  <c r="L47" i="13"/>
  <c r="K47" i="13"/>
  <c r="M46" i="13"/>
  <c r="L46" i="13"/>
  <c r="K46" i="13"/>
  <c r="M45" i="13"/>
  <c r="L45" i="13"/>
  <c r="K45" i="13"/>
  <c r="M44" i="13"/>
  <c r="L44" i="13"/>
  <c r="K44" i="13"/>
  <c r="M43" i="13"/>
  <c r="L43" i="13"/>
  <c r="K43" i="13"/>
  <c r="M42" i="13"/>
  <c r="L42" i="13"/>
  <c r="K42" i="13"/>
  <c r="M41" i="13"/>
  <c r="L41" i="13"/>
  <c r="K41" i="13"/>
  <c r="M40" i="13"/>
  <c r="L40" i="13"/>
  <c r="K40" i="13"/>
  <c r="M39" i="13"/>
  <c r="L39" i="13"/>
  <c r="K39" i="13"/>
  <c r="M38" i="13"/>
  <c r="L38" i="13"/>
  <c r="K38" i="13"/>
  <c r="M37" i="13"/>
  <c r="L37" i="13"/>
  <c r="K37" i="13"/>
  <c r="M36" i="13"/>
  <c r="L36" i="13"/>
  <c r="K36" i="13"/>
  <c r="M35" i="13"/>
  <c r="L35" i="13"/>
  <c r="K35" i="13"/>
  <c r="M34" i="13"/>
  <c r="L34" i="13"/>
  <c r="K34" i="13"/>
  <c r="M33" i="13"/>
  <c r="L33" i="13"/>
  <c r="K33" i="13"/>
  <c r="M32" i="13"/>
  <c r="L32" i="13"/>
  <c r="K32" i="13"/>
  <c r="M31" i="13"/>
  <c r="L31" i="13"/>
  <c r="K31" i="13"/>
  <c r="M30" i="13"/>
  <c r="L30" i="13"/>
  <c r="K30" i="13"/>
  <c r="M29" i="13"/>
  <c r="L29" i="13"/>
  <c r="K29" i="13"/>
  <c r="M28" i="13"/>
  <c r="L28" i="13"/>
  <c r="K28" i="13"/>
  <c r="M27" i="13"/>
  <c r="L27" i="13"/>
  <c r="K27" i="13"/>
  <c r="M26" i="13"/>
  <c r="L26" i="13"/>
  <c r="K26" i="13"/>
  <c r="M25" i="13"/>
  <c r="L25" i="13"/>
  <c r="K25" i="13"/>
  <c r="M24" i="13"/>
  <c r="L24" i="13"/>
  <c r="K24" i="13"/>
  <c r="M23" i="13"/>
  <c r="L23" i="13"/>
  <c r="K23" i="13"/>
  <c r="M22" i="13"/>
  <c r="L22" i="13"/>
  <c r="K22" i="13"/>
  <c r="M21" i="13"/>
  <c r="L21" i="13"/>
  <c r="K21" i="13"/>
  <c r="M20" i="13"/>
  <c r="L20" i="13"/>
  <c r="K20" i="13"/>
  <c r="M19" i="13"/>
  <c r="L19" i="13"/>
  <c r="K19" i="13"/>
  <c r="M18" i="13"/>
  <c r="L18" i="13"/>
  <c r="K18" i="13"/>
  <c r="M17" i="13"/>
  <c r="L17" i="13"/>
  <c r="K17" i="13"/>
  <c r="M16" i="13"/>
  <c r="L16" i="13"/>
  <c r="K16" i="13"/>
  <c r="M15" i="13"/>
  <c r="L15" i="13"/>
  <c r="K15" i="13"/>
  <c r="M14" i="13"/>
  <c r="L14" i="13"/>
  <c r="K14" i="13"/>
  <c r="M13" i="13"/>
  <c r="L13" i="13"/>
  <c r="K13" i="13"/>
  <c r="M12" i="13"/>
  <c r="L12" i="13"/>
  <c r="K12" i="13"/>
  <c r="M11" i="13"/>
  <c r="L11" i="13"/>
  <c r="K11" i="13"/>
  <c r="M10" i="13"/>
  <c r="L10" i="13"/>
  <c r="K10" i="13"/>
  <c r="M9" i="13"/>
  <c r="L9" i="13"/>
  <c r="K9" i="13"/>
  <c r="M8" i="13"/>
  <c r="L8" i="13"/>
  <c r="K8" i="13"/>
  <c r="M7" i="13"/>
  <c r="L7" i="13"/>
  <c r="K7" i="13"/>
  <c r="M6" i="13"/>
  <c r="L6" i="13"/>
  <c r="K6" i="13"/>
  <c r="M400" i="12"/>
  <c r="L400" i="12"/>
  <c r="K400" i="12"/>
  <c r="M399" i="12"/>
  <c r="L399" i="12"/>
  <c r="K399" i="12"/>
  <c r="M398" i="12"/>
  <c r="L398" i="12"/>
  <c r="K398" i="12"/>
  <c r="M397" i="12"/>
  <c r="L397" i="12"/>
  <c r="K397" i="12"/>
  <c r="M396" i="12"/>
  <c r="L396" i="12"/>
  <c r="K396" i="12"/>
  <c r="M395" i="12"/>
  <c r="L395" i="12"/>
  <c r="K395" i="12"/>
  <c r="M394" i="12"/>
  <c r="L394" i="12"/>
  <c r="K394" i="12"/>
  <c r="M393" i="12"/>
  <c r="L393" i="12"/>
  <c r="K393" i="12"/>
  <c r="M392" i="12"/>
  <c r="L392" i="12"/>
  <c r="K392" i="12"/>
  <c r="M391" i="12"/>
  <c r="L391" i="12"/>
  <c r="K391" i="12"/>
  <c r="M390" i="12"/>
  <c r="L390" i="12"/>
  <c r="K390" i="12"/>
  <c r="M389" i="12"/>
  <c r="L389" i="12"/>
  <c r="K389" i="12"/>
  <c r="M388" i="12"/>
  <c r="L388" i="12"/>
  <c r="K388" i="12"/>
  <c r="M387" i="12"/>
  <c r="L387" i="12"/>
  <c r="K387" i="12"/>
  <c r="M386" i="12"/>
  <c r="L386" i="12"/>
  <c r="K386" i="12"/>
  <c r="M385" i="12"/>
  <c r="L385" i="12"/>
  <c r="K385" i="12"/>
  <c r="M384" i="12"/>
  <c r="L384" i="12"/>
  <c r="K384" i="12"/>
  <c r="M383" i="12"/>
  <c r="L383" i="12"/>
  <c r="K383" i="12"/>
  <c r="M382" i="12"/>
  <c r="L382" i="12"/>
  <c r="K382" i="12"/>
  <c r="M381" i="12"/>
  <c r="L381" i="12"/>
  <c r="K381" i="12"/>
  <c r="M380" i="12"/>
  <c r="L380" i="12"/>
  <c r="K380" i="12"/>
  <c r="M379" i="12"/>
  <c r="L379" i="12"/>
  <c r="K379" i="12"/>
  <c r="M378" i="12"/>
  <c r="L378" i="12"/>
  <c r="K378" i="12"/>
  <c r="M377" i="12"/>
  <c r="L377" i="12"/>
  <c r="K377" i="12"/>
  <c r="M376" i="12"/>
  <c r="L376" i="12"/>
  <c r="K376" i="12"/>
  <c r="M375" i="12"/>
  <c r="L375" i="12"/>
  <c r="K375" i="12"/>
  <c r="M374" i="12"/>
  <c r="L374" i="12"/>
  <c r="K374" i="12"/>
  <c r="M373" i="12"/>
  <c r="L373" i="12"/>
  <c r="K373" i="12"/>
  <c r="M372" i="12"/>
  <c r="L372" i="12"/>
  <c r="K372" i="12"/>
  <c r="M371" i="12"/>
  <c r="L371" i="12"/>
  <c r="K371" i="12"/>
  <c r="M370" i="12"/>
  <c r="L370" i="12"/>
  <c r="K370" i="12"/>
  <c r="M369" i="12"/>
  <c r="L369" i="12"/>
  <c r="K369" i="12"/>
  <c r="M368" i="12"/>
  <c r="L368" i="12"/>
  <c r="K368" i="12"/>
  <c r="M367" i="12"/>
  <c r="L367" i="12"/>
  <c r="K367" i="12"/>
  <c r="M366" i="12"/>
  <c r="L366" i="12"/>
  <c r="K366" i="12"/>
  <c r="M365" i="12"/>
  <c r="L365" i="12"/>
  <c r="K365" i="12"/>
  <c r="M364" i="12"/>
  <c r="L364" i="12"/>
  <c r="K364" i="12"/>
  <c r="M363" i="12"/>
  <c r="L363" i="12"/>
  <c r="K363" i="12"/>
  <c r="M362" i="12"/>
  <c r="L362" i="12"/>
  <c r="K362" i="12"/>
  <c r="M361" i="12"/>
  <c r="L361" i="12"/>
  <c r="K361" i="12"/>
  <c r="M360" i="12"/>
  <c r="L360" i="12"/>
  <c r="K360" i="12"/>
  <c r="M359" i="12"/>
  <c r="L359" i="12"/>
  <c r="K359" i="12"/>
  <c r="M358" i="12"/>
  <c r="L358" i="12"/>
  <c r="K358" i="12"/>
  <c r="M357" i="12"/>
  <c r="L357" i="12"/>
  <c r="K357" i="12"/>
  <c r="M356" i="12"/>
  <c r="L356" i="12"/>
  <c r="K356" i="12"/>
  <c r="M355" i="12"/>
  <c r="L355" i="12"/>
  <c r="K355" i="12"/>
  <c r="M354" i="12"/>
  <c r="L354" i="12"/>
  <c r="K354" i="12"/>
  <c r="M353" i="12"/>
  <c r="L353" i="12"/>
  <c r="K353" i="12"/>
  <c r="M352" i="12"/>
  <c r="L352" i="12"/>
  <c r="K352" i="12"/>
  <c r="M351" i="12"/>
  <c r="L351" i="12"/>
  <c r="K351" i="12"/>
  <c r="M350" i="12"/>
  <c r="L350" i="12"/>
  <c r="K350" i="12"/>
  <c r="M349" i="12"/>
  <c r="L349" i="12"/>
  <c r="K349" i="12"/>
  <c r="M348" i="12"/>
  <c r="L348" i="12"/>
  <c r="K348" i="12"/>
  <c r="M347" i="12"/>
  <c r="L347" i="12"/>
  <c r="K347" i="12"/>
  <c r="M346" i="12"/>
  <c r="L346" i="12"/>
  <c r="K346" i="12"/>
  <c r="M345" i="12"/>
  <c r="L345" i="12"/>
  <c r="K345" i="12"/>
  <c r="M344" i="12"/>
  <c r="L344" i="12"/>
  <c r="K344" i="12"/>
  <c r="M343" i="12"/>
  <c r="L343" i="12"/>
  <c r="K343" i="12"/>
  <c r="M342" i="12"/>
  <c r="L342" i="12"/>
  <c r="K342" i="12"/>
  <c r="M341" i="12"/>
  <c r="L341" i="12"/>
  <c r="K341" i="12"/>
  <c r="M340" i="12"/>
  <c r="L340" i="12"/>
  <c r="K340" i="12"/>
  <c r="M339" i="12"/>
  <c r="L339" i="12"/>
  <c r="K339" i="12"/>
  <c r="M338" i="12"/>
  <c r="L338" i="12"/>
  <c r="K338" i="12"/>
  <c r="M337" i="12"/>
  <c r="L337" i="12"/>
  <c r="K337" i="12"/>
  <c r="M336" i="12"/>
  <c r="L336" i="12"/>
  <c r="K336" i="12"/>
  <c r="M335" i="12"/>
  <c r="L335" i="12"/>
  <c r="K335" i="12"/>
  <c r="M334" i="12"/>
  <c r="L334" i="12"/>
  <c r="K334" i="12"/>
  <c r="M333" i="12"/>
  <c r="L333" i="12"/>
  <c r="K333" i="12"/>
  <c r="M332" i="12"/>
  <c r="L332" i="12"/>
  <c r="K332" i="12"/>
  <c r="M331" i="12"/>
  <c r="L331" i="12"/>
  <c r="K331" i="12"/>
  <c r="M330" i="12"/>
  <c r="L330" i="12"/>
  <c r="K330" i="12"/>
  <c r="M329" i="12"/>
  <c r="L329" i="12"/>
  <c r="K329" i="12"/>
  <c r="M328" i="12"/>
  <c r="L328" i="12"/>
  <c r="K328" i="12"/>
  <c r="M327" i="12"/>
  <c r="L327" i="12"/>
  <c r="K327" i="12"/>
  <c r="M326" i="12"/>
  <c r="L326" i="12"/>
  <c r="K326" i="12"/>
  <c r="M325" i="12"/>
  <c r="L325" i="12"/>
  <c r="K325" i="12"/>
  <c r="M324" i="12"/>
  <c r="L324" i="12"/>
  <c r="K324" i="12"/>
  <c r="M323" i="12"/>
  <c r="L323" i="12"/>
  <c r="K323" i="12"/>
  <c r="M322" i="12"/>
  <c r="L322" i="12"/>
  <c r="K322" i="12"/>
  <c r="M321" i="12"/>
  <c r="L321" i="12"/>
  <c r="K321" i="12"/>
  <c r="M320" i="12"/>
  <c r="L320" i="12"/>
  <c r="K320" i="12"/>
  <c r="M319" i="12"/>
  <c r="L319" i="12"/>
  <c r="K319" i="12"/>
  <c r="M318" i="12"/>
  <c r="L318" i="12"/>
  <c r="K318" i="12"/>
  <c r="M317" i="12"/>
  <c r="L317" i="12"/>
  <c r="K317" i="12"/>
  <c r="M316" i="12"/>
  <c r="L316" i="12"/>
  <c r="K316" i="12"/>
  <c r="M315" i="12"/>
  <c r="L315" i="12"/>
  <c r="K315" i="12"/>
  <c r="M314" i="12"/>
  <c r="L314" i="12"/>
  <c r="K314" i="12"/>
  <c r="M313" i="12"/>
  <c r="L313" i="12"/>
  <c r="K313" i="12"/>
  <c r="M312" i="12"/>
  <c r="L312" i="12"/>
  <c r="K312" i="12"/>
  <c r="M311" i="12"/>
  <c r="L311" i="12"/>
  <c r="K311" i="12"/>
  <c r="M310" i="12"/>
  <c r="L310" i="12"/>
  <c r="K310" i="12"/>
  <c r="M309" i="12"/>
  <c r="L309" i="12"/>
  <c r="K309" i="12"/>
  <c r="M308" i="12"/>
  <c r="L308" i="12"/>
  <c r="K308" i="12"/>
  <c r="M307" i="12"/>
  <c r="L307" i="12"/>
  <c r="K307" i="12"/>
  <c r="M306" i="12"/>
  <c r="L306" i="12"/>
  <c r="K306" i="12"/>
  <c r="M305" i="12"/>
  <c r="L305" i="12"/>
  <c r="K305" i="12"/>
  <c r="M304" i="12"/>
  <c r="L304" i="12"/>
  <c r="K304" i="12"/>
  <c r="M303" i="12"/>
  <c r="L303" i="12"/>
  <c r="K303" i="12"/>
  <c r="M302" i="12"/>
  <c r="L302" i="12"/>
  <c r="K302" i="12"/>
  <c r="M301" i="12"/>
  <c r="L301" i="12"/>
  <c r="K301" i="12"/>
  <c r="M300" i="12"/>
  <c r="L300" i="12"/>
  <c r="K300" i="12"/>
  <c r="M299" i="12"/>
  <c r="L299" i="12"/>
  <c r="K299" i="12"/>
  <c r="M298" i="12"/>
  <c r="L298" i="12"/>
  <c r="K298" i="12"/>
  <c r="M297" i="12"/>
  <c r="L297" i="12"/>
  <c r="K297" i="12"/>
  <c r="M296" i="12"/>
  <c r="L296" i="12"/>
  <c r="K296" i="12"/>
  <c r="M295" i="12"/>
  <c r="L295" i="12"/>
  <c r="K295" i="12"/>
  <c r="M294" i="12"/>
  <c r="L294" i="12"/>
  <c r="K294" i="12"/>
  <c r="M293" i="12"/>
  <c r="L293" i="12"/>
  <c r="K293" i="12"/>
  <c r="M292" i="12"/>
  <c r="L292" i="12"/>
  <c r="K292" i="12"/>
  <c r="M291" i="12"/>
  <c r="L291" i="12"/>
  <c r="K291" i="12"/>
  <c r="M290" i="12"/>
  <c r="L290" i="12"/>
  <c r="K290" i="12"/>
  <c r="M289" i="12"/>
  <c r="L289" i="12"/>
  <c r="K289" i="12"/>
  <c r="M288" i="12"/>
  <c r="L288" i="12"/>
  <c r="K288" i="12"/>
  <c r="M287" i="12"/>
  <c r="L287" i="12"/>
  <c r="K287" i="12"/>
  <c r="M286" i="12"/>
  <c r="L286" i="12"/>
  <c r="K286" i="12"/>
  <c r="M285" i="12"/>
  <c r="L285" i="12"/>
  <c r="K285" i="12"/>
  <c r="M284" i="12"/>
  <c r="L284" i="12"/>
  <c r="K284" i="12"/>
  <c r="M283" i="12"/>
  <c r="L283" i="12"/>
  <c r="K283" i="12"/>
  <c r="M282" i="12"/>
  <c r="L282" i="12"/>
  <c r="K282" i="12"/>
  <c r="M281" i="12"/>
  <c r="L281" i="12"/>
  <c r="K281" i="12"/>
  <c r="M280" i="12"/>
  <c r="L280" i="12"/>
  <c r="K280" i="12"/>
  <c r="M279" i="12"/>
  <c r="L279" i="12"/>
  <c r="K279" i="12"/>
  <c r="M278" i="12"/>
  <c r="L278" i="12"/>
  <c r="K278" i="12"/>
  <c r="M277" i="12"/>
  <c r="L277" i="12"/>
  <c r="K277" i="12"/>
  <c r="M276" i="12"/>
  <c r="L276" i="12"/>
  <c r="K276" i="12"/>
  <c r="M275" i="12"/>
  <c r="L275" i="12"/>
  <c r="K275" i="12"/>
  <c r="M274" i="12"/>
  <c r="L274" i="12"/>
  <c r="K274" i="12"/>
  <c r="M273" i="12"/>
  <c r="L273" i="12"/>
  <c r="K273" i="12"/>
  <c r="M272" i="12"/>
  <c r="L272" i="12"/>
  <c r="K272" i="12"/>
  <c r="M271" i="12"/>
  <c r="L271" i="12"/>
  <c r="K271" i="12"/>
  <c r="M270" i="12"/>
  <c r="L270" i="12"/>
  <c r="K270" i="12"/>
  <c r="M269" i="12"/>
  <c r="L269" i="12"/>
  <c r="K269" i="12"/>
  <c r="M268" i="12"/>
  <c r="L268" i="12"/>
  <c r="K268" i="12"/>
  <c r="M267" i="12"/>
  <c r="L267" i="12"/>
  <c r="K267" i="12"/>
  <c r="M266" i="12"/>
  <c r="L266" i="12"/>
  <c r="K266" i="12"/>
  <c r="M265" i="12"/>
  <c r="L265" i="12"/>
  <c r="K265" i="12"/>
  <c r="M264" i="12"/>
  <c r="L264" i="12"/>
  <c r="K264" i="12"/>
  <c r="M263" i="12"/>
  <c r="L263" i="12"/>
  <c r="K263" i="12"/>
  <c r="M262" i="12"/>
  <c r="L262" i="12"/>
  <c r="K262" i="12"/>
  <c r="M261" i="12"/>
  <c r="L261" i="12"/>
  <c r="K261" i="12"/>
  <c r="M260" i="12"/>
  <c r="L260" i="12"/>
  <c r="K260" i="12"/>
  <c r="M259" i="12"/>
  <c r="L259" i="12"/>
  <c r="K259" i="12"/>
  <c r="M258" i="12"/>
  <c r="L258" i="12"/>
  <c r="K258" i="12"/>
  <c r="M257" i="12"/>
  <c r="L257" i="12"/>
  <c r="K257" i="12"/>
  <c r="M256" i="12"/>
  <c r="L256" i="12"/>
  <c r="K256" i="12"/>
  <c r="M255" i="12"/>
  <c r="L255" i="12"/>
  <c r="K255" i="12"/>
  <c r="M254" i="12"/>
  <c r="L254" i="12"/>
  <c r="K254" i="12"/>
  <c r="M253" i="12"/>
  <c r="L253" i="12"/>
  <c r="K253" i="12"/>
  <c r="M252" i="12"/>
  <c r="L252" i="12"/>
  <c r="K252" i="12"/>
  <c r="M251" i="12"/>
  <c r="L251" i="12"/>
  <c r="K251" i="12"/>
  <c r="M250" i="12"/>
  <c r="L250" i="12"/>
  <c r="K250" i="12"/>
  <c r="M249" i="12"/>
  <c r="L249" i="12"/>
  <c r="K249" i="12"/>
  <c r="M248" i="12"/>
  <c r="L248" i="12"/>
  <c r="K248" i="12"/>
  <c r="M247" i="12"/>
  <c r="L247" i="12"/>
  <c r="K247" i="12"/>
  <c r="M246" i="12"/>
  <c r="L246" i="12"/>
  <c r="K246" i="12"/>
  <c r="M245" i="12"/>
  <c r="L245" i="12"/>
  <c r="K245" i="12"/>
  <c r="M244" i="12"/>
  <c r="L244" i="12"/>
  <c r="K244" i="12"/>
  <c r="M243" i="12"/>
  <c r="L243" i="12"/>
  <c r="K243" i="12"/>
  <c r="M242" i="12"/>
  <c r="L242" i="12"/>
  <c r="K242" i="12"/>
  <c r="M241" i="12"/>
  <c r="L241" i="12"/>
  <c r="K241" i="12"/>
  <c r="M240" i="12"/>
  <c r="L240" i="12"/>
  <c r="K240" i="12"/>
  <c r="M239" i="12"/>
  <c r="L239" i="12"/>
  <c r="K239" i="12"/>
  <c r="M238" i="12"/>
  <c r="L238" i="12"/>
  <c r="K238" i="12"/>
  <c r="M237" i="12"/>
  <c r="L237" i="12"/>
  <c r="K237" i="12"/>
  <c r="M236" i="12"/>
  <c r="L236" i="12"/>
  <c r="K236" i="12"/>
  <c r="M235" i="12"/>
  <c r="L235" i="12"/>
  <c r="K235" i="12"/>
  <c r="M234" i="12"/>
  <c r="L234" i="12"/>
  <c r="K234" i="12"/>
  <c r="M233" i="12"/>
  <c r="L233" i="12"/>
  <c r="K233" i="12"/>
  <c r="M232" i="12"/>
  <c r="L232" i="12"/>
  <c r="K232" i="12"/>
  <c r="M231" i="12"/>
  <c r="L231" i="12"/>
  <c r="K231" i="12"/>
  <c r="M230" i="12"/>
  <c r="L230" i="12"/>
  <c r="K230" i="12"/>
  <c r="M229" i="12"/>
  <c r="L229" i="12"/>
  <c r="K229" i="12"/>
  <c r="M228" i="12"/>
  <c r="L228" i="12"/>
  <c r="K228" i="12"/>
  <c r="M227" i="12"/>
  <c r="L227" i="12"/>
  <c r="K227" i="12"/>
  <c r="M226" i="12"/>
  <c r="L226" i="12"/>
  <c r="K226" i="12"/>
  <c r="M225" i="12"/>
  <c r="L225" i="12"/>
  <c r="K225" i="12"/>
  <c r="M224" i="12"/>
  <c r="L224" i="12"/>
  <c r="K224" i="12"/>
  <c r="M223" i="12"/>
  <c r="L223" i="12"/>
  <c r="K223" i="12"/>
  <c r="M222" i="12"/>
  <c r="L222" i="12"/>
  <c r="K222" i="12"/>
  <c r="M221" i="12"/>
  <c r="L221" i="12"/>
  <c r="K221" i="12"/>
  <c r="M220" i="12"/>
  <c r="L220" i="12"/>
  <c r="K220" i="12"/>
  <c r="M219" i="12"/>
  <c r="L219" i="12"/>
  <c r="K219" i="12"/>
  <c r="M218" i="12"/>
  <c r="L218" i="12"/>
  <c r="K218" i="12"/>
  <c r="M217" i="12"/>
  <c r="L217" i="12"/>
  <c r="K217" i="12"/>
  <c r="M216" i="12"/>
  <c r="L216" i="12"/>
  <c r="K216" i="12"/>
  <c r="M215" i="12"/>
  <c r="L215" i="12"/>
  <c r="K215" i="12"/>
  <c r="M214" i="12"/>
  <c r="L214" i="12"/>
  <c r="K214" i="12"/>
  <c r="M213" i="12"/>
  <c r="L213" i="12"/>
  <c r="K213" i="12"/>
  <c r="M212" i="12"/>
  <c r="L212" i="12"/>
  <c r="K212" i="12"/>
  <c r="M211" i="12"/>
  <c r="L211" i="12"/>
  <c r="K211" i="12"/>
  <c r="M210" i="12"/>
  <c r="L210" i="12"/>
  <c r="K210" i="12"/>
  <c r="M209" i="12"/>
  <c r="L209" i="12"/>
  <c r="K209" i="12"/>
  <c r="M208" i="12"/>
  <c r="L208" i="12"/>
  <c r="K208" i="12"/>
  <c r="M207" i="12"/>
  <c r="L207" i="12"/>
  <c r="K207" i="12"/>
  <c r="M206" i="12"/>
  <c r="L206" i="12"/>
  <c r="K206" i="12"/>
  <c r="M205" i="12"/>
  <c r="L205" i="12"/>
  <c r="K205" i="12"/>
  <c r="M204" i="12"/>
  <c r="L204" i="12"/>
  <c r="K204" i="12"/>
  <c r="M203" i="12"/>
  <c r="L203" i="12"/>
  <c r="K203" i="12"/>
  <c r="M202" i="12"/>
  <c r="L202" i="12"/>
  <c r="K202" i="12"/>
  <c r="M201" i="12"/>
  <c r="L201" i="12"/>
  <c r="K201" i="12"/>
  <c r="M200" i="12"/>
  <c r="L200" i="12"/>
  <c r="K200" i="12"/>
  <c r="M199" i="12"/>
  <c r="L199" i="12"/>
  <c r="K199" i="12"/>
  <c r="M198" i="12"/>
  <c r="L198" i="12"/>
  <c r="K198" i="12"/>
  <c r="M197" i="12"/>
  <c r="L197" i="12"/>
  <c r="K197" i="12"/>
  <c r="M196" i="12"/>
  <c r="L196" i="12"/>
  <c r="K196" i="12"/>
  <c r="M195" i="12"/>
  <c r="L195" i="12"/>
  <c r="K195" i="12"/>
  <c r="M194" i="12"/>
  <c r="L194" i="12"/>
  <c r="K194" i="12"/>
  <c r="M193" i="12"/>
  <c r="L193" i="12"/>
  <c r="K193" i="12"/>
  <c r="M192" i="12"/>
  <c r="L192" i="12"/>
  <c r="K192" i="12"/>
  <c r="M191" i="12"/>
  <c r="L191" i="12"/>
  <c r="K191" i="12"/>
  <c r="M190" i="12"/>
  <c r="L190" i="12"/>
  <c r="K190" i="12"/>
  <c r="M189" i="12"/>
  <c r="L189" i="12"/>
  <c r="K189" i="12"/>
  <c r="M188" i="12"/>
  <c r="L188" i="12"/>
  <c r="K188" i="12"/>
  <c r="M187" i="12"/>
  <c r="L187" i="12"/>
  <c r="K187" i="12"/>
  <c r="M186" i="12"/>
  <c r="L186" i="12"/>
  <c r="K186" i="12"/>
  <c r="M185" i="12"/>
  <c r="L185" i="12"/>
  <c r="K185" i="12"/>
  <c r="M184" i="12"/>
  <c r="L184" i="12"/>
  <c r="K184" i="12"/>
  <c r="M183" i="12"/>
  <c r="L183" i="12"/>
  <c r="K183" i="12"/>
  <c r="M182" i="12"/>
  <c r="L182" i="12"/>
  <c r="K182" i="12"/>
  <c r="M181" i="12"/>
  <c r="L181" i="12"/>
  <c r="K181" i="12"/>
  <c r="M180" i="12"/>
  <c r="L180" i="12"/>
  <c r="K180" i="12"/>
  <c r="M179" i="12"/>
  <c r="L179" i="12"/>
  <c r="K179" i="12"/>
  <c r="M178" i="12"/>
  <c r="L178" i="12"/>
  <c r="K178" i="12"/>
  <c r="M177" i="12"/>
  <c r="L177" i="12"/>
  <c r="K177" i="12"/>
  <c r="M176" i="12"/>
  <c r="L176" i="12"/>
  <c r="K176" i="12"/>
  <c r="M175" i="12"/>
  <c r="L175" i="12"/>
  <c r="K175" i="12"/>
  <c r="M174" i="12"/>
  <c r="L174" i="12"/>
  <c r="K174" i="12"/>
  <c r="M173" i="12"/>
  <c r="L173" i="12"/>
  <c r="K173" i="12"/>
  <c r="M172" i="12"/>
  <c r="L172" i="12"/>
  <c r="K172" i="12"/>
  <c r="M171" i="12"/>
  <c r="L171" i="12"/>
  <c r="K171" i="12"/>
  <c r="M170" i="12"/>
  <c r="L170" i="12"/>
  <c r="K170" i="12"/>
  <c r="M169" i="12"/>
  <c r="L169" i="12"/>
  <c r="K169" i="12"/>
  <c r="M168" i="12"/>
  <c r="L168" i="12"/>
  <c r="K168" i="12"/>
  <c r="M167" i="12"/>
  <c r="L167" i="12"/>
  <c r="K167" i="12"/>
  <c r="M166" i="12"/>
  <c r="L166" i="12"/>
  <c r="K166" i="12"/>
  <c r="M165" i="12"/>
  <c r="L165" i="12"/>
  <c r="K165" i="12"/>
  <c r="M164" i="12"/>
  <c r="L164" i="12"/>
  <c r="K164" i="12"/>
  <c r="M163" i="12"/>
  <c r="L163" i="12"/>
  <c r="K163" i="12"/>
  <c r="M162" i="12"/>
  <c r="L162" i="12"/>
  <c r="K162" i="12"/>
  <c r="M161" i="12"/>
  <c r="L161" i="12"/>
  <c r="K161" i="12"/>
  <c r="M160" i="12"/>
  <c r="L160" i="12"/>
  <c r="K160" i="12"/>
  <c r="M159" i="12"/>
  <c r="L159" i="12"/>
  <c r="K159" i="12"/>
  <c r="M158" i="12"/>
  <c r="L158" i="12"/>
  <c r="K158" i="12"/>
  <c r="M157" i="12"/>
  <c r="L157" i="12"/>
  <c r="K157" i="12"/>
  <c r="M156" i="12"/>
  <c r="L156" i="12"/>
  <c r="K156" i="12"/>
  <c r="M155" i="12"/>
  <c r="L155" i="12"/>
  <c r="K155" i="12"/>
  <c r="M154" i="12"/>
  <c r="L154" i="12"/>
  <c r="K154" i="12"/>
  <c r="M153" i="12"/>
  <c r="L153" i="12"/>
  <c r="K153" i="12"/>
  <c r="M152" i="12"/>
  <c r="L152" i="12"/>
  <c r="K152" i="12"/>
  <c r="M151" i="12"/>
  <c r="L151" i="12"/>
  <c r="K151" i="12"/>
  <c r="M150" i="12"/>
  <c r="L150" i="12"/>
  <c r="K150" i="12"/>
  <c r="M149" i="12"/>
  <c r="L149" i="12"/>
  <c r="K149" i="12"/>
  <c r="M148" i="12"/>
  <c r="L148" i="12"/>
  <c r="K148" i="12"/>
  <c r="M147" i="12"/>
  <c r="L147" i="12"/>
  <c r="K147" i="12"/>
  <c r="M146" i="12"/>
  <c r="L146" i="12"/>
  <c r="K146" i="12"/>
  <c r="M145" i="12"/>
  <c r="L145" i="12"/>
  <c r="K145" i="12"/>
  <c r="M144" i="12"/>
  <c r="L144" i="12"/>
  <c r="K144" i="12"/>
  <c r="M143" i="12"/>
  <c r="L143" i="12"/>
  <c r="K143" i="12"/>
  <c r="M142" i="12"/>
  <c r="L142" i="12"/>
  <c r="K142" i="12"/>
  <c r="M141" i="12"/>
  <c r="L141" i="12"/>
  <c r="K141" i="12"/>
  <c r="M140" i="12"/>
  <c r="L140" i="12"/>
  <c r="K140" i="12"/>
  <c r="M139" i="12"/>
  <c r="L139" i="12"/>
  <c r="K139" i="12"/>
  <c r="M138" i="12"/>
  <c r="L138" i="12"/>
  <c r="K138" i="12"/>
  <c r="M137" i="12"/>
  <c r="L137" i="12"/>
  <c r="K137" i="12"/>
  <c r="M136" i="12"/>
  <c r="L136" i="12"/>
  <c r="K136" i="12"/>
  <c r="M135" i="12"/>
  <c r="L135" i="12"/>
  <c r="K135" i="12"/>
  <c r="M134" i="12"/>
  <c r="L134" i="12"/>
  <c r="K134" i="12"/>
  <c r="M133" i="12"/>
  <c r="L133" i="12"/>
  <c r="K133" i="12"/>
  <c r="M132" i="12"/>
  <c r="L132" i="12"/>
  <c r="K132" i="12"/>
  <c r="M131" i="12"/>
  <c r="L131" i="12"/>
  <c r="K131" i="12"/>
  <c r="M130" i="12"/>
  <c r="L130" i="12"/>
  <c r="K130" i="12"/>
  <c r="M129" i="12"/>
  <c r="L129" i="12"/>
  <c r="K129" i="12"/>
  <c r="M128" i="12"/>
  <c r="L128" i="12"/>
  <c r="K128" i="12"/>
  <c r="M127" i="12"/>
  <c r="L127" i="12"/>
  <c r="K127" i="12"/>
  <c r="M126" i="12"/>
  <c r="L126" i="12"/>
  <c r="K126" i="12"/>
  <c r="M125" i="12"/>
  <c r="L125" i="12"/>
  <c r="K125" i="12"/>
  <c r="M124" i="12"/>
  <c r="L124" i="12"/>
  <c r="K124" i="12"/>
  <c r="M123" i="12"/>
  <c r="L123" i="12"/>
  <c r="K123" i="12"/>
  <c r="M122" i="12"/>
  <c r="L122" i="12"/>
  <c r="K122" i="12"/>
  <c r="M121" i="12"/>
  <c r="L121" i="12"/>
  <c r="K121" i="12"/>
  <c r="M120" i="12"/>
  <c r="L120" i="12"/>
  <c r="K120" i="12"/>
  <c r="M119" i="12"/>
  <c r="L119" i="12"/>
  <c r="K119" i="12"/>
  <c r="M118" i="12"/>
  <c r="L118" i="12"/>
  <c r="K118" i="12"/>
  <c r="M117" i="12"/>
  <c r="L117" i="12"/>
  <c r="K117" i="12"/>
  <c r="M116" i="12"/>
  <c r="L116" i="12"/>
  <c r="K116" i="12"/>
  <c r="M115" i="12"/>
  <c r="L115" i="12"/>
  <c r="K115" i="12"/>
  <c r="M114" i="12"/>
  <c r="L114" i="12"/>
  <c r="K114" i="12"/>
  <c r="M113" i="12"/>
  <c r="L113" i="12"/>
  <c r="K113" i="12"/>
  <c r="M112" i="12"/>
  <c r="L112" i="12"/>
  <c r="K112" i="12"/>
  <c r="M111" i="12"/>
  <c r="L111" i="12"/>
  <c r="K111" i="12"/>
  <c r="M110" i="12"/>
  <c r="L110" i="12"/>
  <c r="K110" i="12"/>
  <c r="M109" i="12"/>
  <c r="L109" i="12"/>
  <c r="K109" i="12"/>
  <c r="M108" i="12"/>
  <c r="L108" i="12"/>
  <c r="K108" i="12"/>
  <c r="M107" i="12"/>
  <c r="L107" i="12"/>
  <c r="K107" i="12"/>
  <c r="M106" i="12"/>
  <c r="L106" i="12"/>
  <c r="K106" i="12"/>
  <c r="M105" i="12"/>
  <c r="L105" i="12"/>
  <c r="K105" i="12"/>
  <c r="M104" i="12"/>
  <c r="L104" i="12"/>
  <c r="K104" i="12"/>
  <c r="M103" i="12"/>
  <c r="L103" i="12"/>
  <c r="K103" i="12"/>
  <c r="M102" i="12"/>
  <c r="L102" i="12"/>
  <c r="K102" i="12"/>
  <c r="M101" i="12"/>
  <c r="L101" i="12"/>
  <c r="K101" i="12"/>
  <c r="M100" i="12"/>
  <c r="L100" i="12"/>
  <c r="K100" i="12"/>
  <c r="M99" i="12"/>
  <c r="L99" i="12"/>
  <c r="K99" i="12"/>
  <c r="M98" i="12"/>
  <c r="L98" i="12"/>
  <c r="K98" i="12"/>
  <c r="M97" i="12"/>
  <c r="L97" i="12"/>
  <c r="K97" i="12"/>
  <c r="M96" i="12"/>
  <c r="L96" i="12"/>
  <c r="K96" i="12"/>
  <c r="M95" i="12"/>
  <c r="L95" i="12"/>
  <c r="K95" i="12"/>
  <c r="M94" i="12"/>
  <c r="L94" i="12"/>
  <c r="K94" i="12"/>
  <c r="M93" i="12"/>
  <c r="L93" i="12"/>
  <c r="K93" i="12"/>
  <c r="M92" i="12"/>
  <c r="L92" i="12"/>
  <c r="K92" i="12"/>
  <c r="M91" i="12"/>
  <c r="L91" i="12"/>
  <c r="K91" i="12"/>
  <c r="M90" i="12"/>
  <c r="L90" i="12"/>
  <c r="K90" i="12"/>
  <c r="M89" i="12"/>
  <c r="L89" i="12"/>
  <c r="K89" i="12"/>
  <c r="M88" i="12"/>
  <c r="L88" i="12"/>
  <c r="K88" i="12"/>
  <c r="M87" i="12"/>
  <c r="L87" i="12"/>
  <c r="K87" i="12"/>
  <c r="M86" i="12"/>
  <c r="L86" i="12"/>
  <c r="K86" i="12"/>
  <c r="M85" i="12"/>
  <c r="L85" i="12"/>
  <c r="K85" i="12"/>
  <c r="M84" i="12"/>
  <c r="L84" i="12"/>
  <c r="K84" i="12"/>
  <c r="M83" i="12"/>
  <c r="L83" i="12"/>
  <c r="K83" i="12"/>
  <c r="M82" i="12"/>
  <c r="L82" i="12"/>
  <c r="K82" i="12"/>
  <c r="M81" i="12"/>
  <c r="L81" i="12"/>
  <c r="K81" i="12"/>
  <c r="M80" i="12"/>
  <c r="L80" i="12"/>
  <c r="K80" i="12"/>
  <c r="M79" i="12"/>
  <c r="L79" i="12"/>
  <c r="K79" i="12"/>
  <c r="M78" i="12"/>
  <c r="L78" i="12"/>
  <c r="K78" i="12"/>
  <c r="M77" i="12"/>
  <c r="L77" i="12"/>
  <c r="K77" i="12"/>
  <c r="M76" i="12"/>
  <c r="L76" i="12"/>
  <c r="K76" i="12"/>
  <c r="M75" i="12"/>
  <c r="L75" i="12"/>
  <c r="K75" i="12"/>
  <c r="M74" i="12"/>
  <c r="L74" i="12"/>
  <c r="K74" i="12"/>
  <c r="M73" i="12"/>
  <c r="L73" i="12"/>
  <c r="K73" i="12"/>
  <c r="M72" i="12"/>
  <c r="L72" i="12"/>
  <c r="K72" i="12"/>
  <c r="M71" i="12"/>
  <c r="L71" i="12"/>
  <c r="K71" i="12"/>
  <c r="M70" i="12"/>
  <c r="L70" i="12"/>
  <c r="K70" i="12"/>
  <c r="M69" i="12"/>
  <c r="L69" i="12"/>
  <c r="K69" i="12"/>
  <c r="M68" i="12"/>
  <c r="L68" i="12"/>
  <c r="K68" i="12"/>
  <c r="M67" i="12"/>
  <c r="L67" i="12"/>
  <c r="K67" i="12"/>
  <c r="M66" i="12"/>
  <c r="L66" i="12"/>
  <c r="K66" i="12"/>
  <c r="M65" i="12"/>
  <c r="L65" i="12"/>
  <c r="K65" i="12"/>
  <c r="M64" i="12"/>
  <c r="L64" i="12"/>
  <c r="K64" i="12"/>
  <c r="M63" i="12"/>
  <c r="L63" i="12"/>
  <c r="K63" i="12"/>
  <c r="M62" i="12"/>
  <c r="L62" i="12"/>
  <c r="K62" i="12"/>
  <c r="M61" i="12"/>
  <c r="L61" i="12"/>
  <c r="K61" i="12"/>
  <c r="M60" i="12"/>
  <c r="L60" i="12"/>
  <c r="K60" i="12"/>
  <c r="M59" i="12"/>
  <c r="L59" i="12"/>
  <c r="K59" i="12"/>
  <c r="M58" i="12"/>
  <c r="L58" i="12"/>
  <c r="K58" i="12"/>
  <c r="M57" i="12"/>
  <c r="L57" i="12"/>
  <c r="K57" i="12"/>
  <c r="M56" i="12"/>
  <c r="L56" i="12"/>
  <c r="K56" i="12"/>
  <c r="M55" i="12"/>
  <c r="L55" i="12"/>
  <c r="K55" i="12"/>
  <c r="M54" i="12"/>
  <c r="L54" i="12"/>
  <c r="K54" i="12"/>
  <c r="M53" i="12"/>
  <c r="L53" i="12"/>
  <c r="K53" i="12"/>
  <c r="M52" i="12"/>
  <c r="L52" i="12"/>
  <c r="K52" i="12"/>
  <c r="M51" i="12"/>
  <c r="L51" i="12"/>
  <c r="K51" i="12"/>
  <c r="M50" i="12"/>
  <c r="L50" i="12"/>
  <c r="K50" i="12"/>
  <c r="M49" i="12"/>
  <c r="L49" i="12"/>
  <c r="K49" i="12"/>
  <c r="M48" i="12"/>
  <c r="L48" i="12"/>
  <c r="K48" i="12"/>
  <c r="M47" i="12"/>
  <c r="L47" i="12"/>
  <c r="K47" i="12"/>
  <c r="M46" i="12"/>
  <c r="L46" i="12"/>
  <c r="K46" i="12"/>
  <c r="M45" i="12"/>
  <c r="L45" i="12"/>
  <c r="K45" i="12"/>
  <c r="M44" i="12"/>
  <c r="L44" i="12"/>
  <c r="K44" i="12"/>
  <c r="M43" i="12"/>
  <c r="L43" i="12"/>
  <c r="K43" i="12"/>
  <c r="M42" i="12"/>
  <c r="L42" i="12"/>
  <c r="K42" i="12"/>
  <c r="M41" i="12"/>
  <c r="L41" i="12"/>
  <c r="K41" i="12"/>
  <c r="M40" i="12"/>
  <c r="L40" i="12"/>
  <c r="K40" i="12"/>
  <c r="M39" i="12"/>
  <c r="L39" i="12"/>
  <c r="K39" i="12"/>
  <c r="M38" i="12"/>
  <c r="L38" i="12"/>
  <c r="K38" i="12"/>
  <c r="M37" i="12"/>
  <c r="L37" i="12"/>
  <c r="K37" i="12"/>
  <c r="M36" i="12"/>
  <c r="L36" i="12"/>
  <c r="K36" i="12"/>
  <c r="M35" i="12"/>
  <c r="L35" i="12"/>
  <c r="K35" i="12"/>
  <c r="M34" i="12"/>
  <c r="L34" i="12"/>
  <c r="K34" i="12"/>
  <c r="M33" i="12"/>
  <c r="L33" i="12"/>
  <c r="K33" i="12"/>
  <c r="M32" i="12"/>
  <c r="L32" i="12"/>
  <c r="K32" i="12"/>
  <c r="M31" i="12"/>
  <c r="L31" i="12"/>
  <c r="K31" i="12"/>
  <c r="M30" i="12"/>
  <c r="L30" i="12"/>
  <c r="K30" i="12"/>
  <c r="M29" i="12"/>
  <c r="L29" i="12"/>
  <c r="K29" i="12"/>
  <c r="M28" i="12"/>
  <c r="L28" i="12"/>
  <c r="K28" i="12"/>
  <c r="M27" i="12"/>
  <c r="L27" i="12"/>
  <c r="K27" i="12"/>
  <c r="M26" i="12"/>
  <c r="L26" i="12"/>
  <c r="K26" i="12"/>
  <c r="M25" i="12"/>
  <c r="L25" i="12"/>
  <c r="K25" i="12"/>
  <c r="M24" i="12"/>
  <c r="L24" i="12"/>
  <c r="K24" i="12"/>
  <c r="M23" i="12"/>
  <c r="L23" i="12"/>
  <c r="K23" i="12"/>
  <c r="M22" i="12"/>
  <c r="L22" i="12"/>
  <c r="K22" i="12"/>
  <c r="M21" i="12"/>
  <c r="L21" i="12"/>
  <c r="K21" i="12"/>
  <c r="M20" i="12"/>
  <c r="L20" i="12"/>
  <c r="K20" i="12"/>
  <c r="M19" i="12"/>
  <c r="L19" i="12"/>
  <c r="K19" i="12"/>
  <c r="M18" i="12"/>
  <c r="L18" i="12"/>
  <c r="K18" i="12"/>
  <c r="M17" i="12"/>
  <c r="L17" i="12"/>
  <c r="K17" i="12"/>
  <c r="M16" i="12"/>
  <c r="L16" i="12"/>
  <c r="K16" i="12"/>
  <c r="M15" i="12"/>
  <c r="L15" i="12"/>
  <c r="K15" i="12"/>
  <c r="M14" i="12"/>
  <c r="L14" i="12"/>
  <c r="K14" i="12"/>
  <c r="M13" i="12"/>
  <c r="L13" i="12"/>
  <c r="K13" i="12"/>
  <c r="M12" i="12"/>
  <c r="L12" i="12"/>
  <c r="K12" i="12"/>
  <c r="M11" i="12"/>
  <c r="L11" i="12"/>
  <c r="K11" i="12"/>
  <c r="M10" i="12"/>
  <c r="L10" i="12"/>
  <c r="K10" i="12"/>
  <c r="M9" i="12"/>
  <c r="L9" i="12"/>
  <c r="K9" i="12"/>
  <c r="M8" i="12"/>
  <c r="L8" i="12"/>
  <c r="K8" i="12"/>
  <c r="D108" i="8" s="1"/>
  <c r="M7" i="12"/>
  <c r="L7" i="12"/>
  <c r="K7" i="12"/>
  <c r="M6" i="12"/>
  <c r="L6" i="12"/>
  <c r="K6" i="12"/>
  <c r="M281" i="11"/>
  <c r="L281" i="11"/>
  <c r="K281" i="11"/>
  <c r="M280" i="11"/>
  <c r="L280" i="11"/>
  <c r="K280" i="11"/>
  <c r="M279" i="11"/>
  <c r="L279" i="11"/>
  <c r="K279" i="11"/>
  <c r="M278" i="11"/>
  <c r="L278" i="11"/>
  <c r="K278" i="11"/>
  <c r="M277" i="11"/>
  <c r="L277" i="11"/>
  <c r="K277" i="11"/>
  <c r="M276" i="11"/>
  <c r="L276" i="11"/>
  <c r="K276" i="11"/>
  <c r="M275" i="11"/>
  <c r="L275" i="11"/>
  <c r="K275" i="11"/>
  <c r="M274" i="11"/>
  <c r="L274" i="11"/>
  <c r="K274" i="11"/>
  <c r="M273" i="11"/>
  <c r="L273" i="11"/>
  <c r="K273" i="11"/>
  <c r="M272" i="11"/>
  <c r="L272" i="11"/>
  <c r="K272" i="11"/>
  <c r="M271" i="11"/>
  <c r="L271" i="11"/>
  <c r="K271" i="11"/>
  <c r="M270" i="11"/>
  <c r="L270" i="11"/>
  <c r="K270" i="11"/>
  <c r="M269" i="11"/>
  <c r="L269" i="11"/>
  <c r="K269" i="11"/>
  <c r="M268" i="11"/>
  <c r="L268" i="11"/>
  <c r="K268" i="11"/>
  <c r="M267" i="11"/>
  <c r="L267" i="11"/>
  <c r="K267" i="11"/>
  <c r="M266" i="11"/>
  <c r="L266" i="11"/>
  <c r="K266" i="11"/>
  <c r="M265" i="11"/>
  <c r="L265" i="11"/>
  <c r="K265" i="11"/>
  <c r="M264" i="11"/>
  <c r="L264" i="11"/>
  <c r="K264" i="11"/>
  <c r="M263" i="11"/>
  <c r="L263" i="11"/>
  <c r="K263" i="11"/>
  <c r="M262" i="11"/>
  <c r="L262" i="11"/>
  <c r="K262" i="11"/>
  <c r="M261" i="11"/>
  <c r="L261" i="11"/>
  <c r="K261" i="11"/>
  <c r="M260" i="11"/>
  <c r="L260" i="11"/>
  <c r="K260" i="11"/>
  <c r="M259" i="11"/>
  <c r="L259" i="11"/>
  <c r="K259" i="11"/>
  <c r="M258" i="11"/>
  <c r="L258" i="11"/>
  <c r="K258" i="11"/>
  <c r="M257" i="11"/>
  <c r="L257" i="11"/>
  <c r="K257" i="11"/>
  <c r="M256" i="11"/>
  <c r="L256" i="11"/>
  <c r="K256" i="11"/>
  <c r="M255" i="11"/>
  <c r="L255" i="11"/>
  <c r="K255" i="11"/>
  <c r="M254" i="11"/>
  <c r="L254" i="11"/>
  <c r="K254" i="11"/>
  <c r="M253" i="11"/>
  <c r="L253" i="11"/>
  <c r="K253" i="11"/>
  <c r="M252" i="11"/>
  <c r="L252" i="11"/>
  <c r="K252" i="11"/>
  <c r="M251" i="11"/>
  <c r="L251" i="11"/>
  <c r="K251" i="11"/>
  <c r="M250" i="11"/>
  <c r="L250" i="11"/>
  <c r="K250" i="11"/>
  <c r="M249" i="11"/>
  <c r="L249" i="11"/>
  <c r="K249" i="11"/>
  <c r="M248" i="11"/>
  <c r="L248" i="11"/>
  <c r="K248" i="11"/>
  <c r="M247" i="11"/>
  <c r="L247" i="11"/>
  <c r="K247" i="11"/>
  <c r="M246" i="11"/>
  <c r="L246" i="11"/>
  <c r="K246" i="11"/>
  <c r="M245" i="11"/>
  <c r="L245" i="11"/>
  <c r="K245" i="11"/>
  <c r="M244" i="11"/>
  <c r="L244" i="11"/>
  <c r="K244" i="11"/>
  <c r="M243" i="11"/>
  <c r="L243" i="11"/>
  <c r="K243" i="11"/>
  <c r="M242" i="11"/>
  <c r="L242" i="11"/>
  <c r="K242" i="11"/>
  <c r="M241" i="11"/>
  <c r="L241" i="11"/>
  <c r="K241" i="11"/>
  <c r="M240" i="11"/>
  <c r="L240" i="11"/>
  <c r="K240" i="11"/>
  <c r="M239" i="11"/>
  <c r="L239" i="11"/>
  <c r="K239" i="11"/>
  <c r="M238" i="11"/>
  <c r="L238" i="11"/>
  <c r="K238" i="11"/>
  <c r="M237" i="11"/>
  <c r="L237" i="11"/>
  <c r="K237" i="11"/>
  <c r="M236" i="11"/>
  <c r="L236" i="11"/>
  <c r="K236" i="11"/>
  <c r="M235" i="11"/>
  <c r="L235" i="11"/>
  <c r="K235" i="11"/>
  <c r="M234" i="11"/>
  <c r="L234" i="11"/>
  <c r="K234" i="11"/>
  <c r="M233" i="11"/>
  <c r="L233" i="11"/>
  <c r="K233" i="11"/>
  <c r="M232" i="11"/>
  <c r="L232" i="11"/>
  <c r="K232" i="11"/>
  <c r="M231" i="11"/>
  <c r="L231" i="11"/>
  <c r="K231" i="11"/>
  <c r="M230" i="11"/>
  <c r="L230" i="11"/>
  <c r="K230" i="11"/>
  <c r="M229" i="11"/>
  <c r="L229" i="11"/>
  <c r="K229" i="11"/>
  <c r="M228" i="11"/>
  <c r="L228" i="11"/>
  <c r="K228" i="11"/>
  <c r="M227" i="11"/>
  <c r="L227" i="11"/>
  <c r="K227" i="11"/>
  <c r="M226" i="11"/>
  <c r="L226" i="11"/>
  <c r="K226" i="11"/>
  <c r="M225" i="11"/>
  <c r="L225" i="11"/>
  <c r="K225" i="11"/>
  <c r="M224" i="11"/>
  <c r="L224" i="11"/>
  <c r="K224" i="11"/>
  <c r="M223" i="11"/>
  <c r="L223" i="11"/>
  <c r="K223" i="11"/>
  <c r="M222" i="11"/>
  <c r="L222" i="11"/>
  <c r="K222" i="11"/>
  <c r="M221" i="11"/>
  <c r="L221" i="11"/>
  <c r="K221" i="11"/>
  <c r="M220" i="11"/>
  <c r="L220" i="11"/>
  <c r="K220" i="11"/>
  <c r="M219" i="11"/>
  <c r="L219" i="11"/>
  <c r="K219" i="11"/>
  <c r="M218" i="11"/>
  <c r="L218" i="11"/>
  <c r="K218" i="11"/>
  <c r="M217" i="11"/>
  <c r="L217" i="11"/>
  <c r="K217" i="11"/>
  <c r="M216" i="11"/>
  <c r="L216" i="11"/>
  <c r="K216" i="11"/>
  <c r="M215" i="11"/>
  <c r="L215" i="11"/>
  <c r="K215" i="11"/>
  <c r="M214" i="11"/>
  <c r="L214" i="11"/>
  <c r="K214" i="11"/>
  <c r="M213" i="11"/>
  <c r="L213" i="11"/>
  <c r="K213" i="11"/>
  <c r="M212" i="11"/>
  <c r="L212" i="11"/>
  <c r="K212" i="11"/>
  <c r="M211" i="11"/>
  <c r="L211" i="11"/>
  <c r="K211" i="11"/>
  <c r="M210" i="11"/>
  <c r="L210" i="11"/>
  <c r="K210" i="11"/>
  <c r="M209" i="11"/>
  <c r="L209" i="11"/>
  <c r="K209" i="11"/>
  <c r="M208" i="11"/>
  <c r="L208" i="11"/>
  <c r="K208" i="11"/>
  <c r="M207" i="11"/>
  <c r="L207" i="11"/>
  <c r="K207" i="11"/>
  <c r="M206" i="11"/>
  <c r="L206" i="11"/>
  <c r="K206" i="11"/>
  <c r="M205" i="11"/>
  <c r="L205" i="11"/>
  <c r="K205" i="11"/>
  <c r="M204" i="11"/>
  <c r="L204" i="11"/>
  <c r="K204" i="11"/>
  <c r="M203" i="11"/>
  <c r="L203" i="11"/>
  <c r="K203" i="11"/>
  <c r="M202" i="11"/>
  <c r="L202" i="11"/>
  <c r="K202" i="11"/>
  <c r="M201" i="11"/>
  <c r="L201" i="11"/>
  <c r="K201" i="11"/>
  <c r="M200" i="11"/>
  <c r="L200" i="11"/>
  <c r="K200" i="11"/>
  <c r="M199" i="11"/>
  <c r="L199" i="11"/>
  <c r="K199" i="11"/>
  <c r="M198" i="11"/>
  <c r="L198" i="11"/>
  <c r="K198" i="11"/>
  <c r="M197" i="11"/>
  <c r="L197" i="11"/>
  <c r="K197" i="11"/>
  <c r="M196" i="11"/>
  <c r="L196" i="11"/>
  <c r="K196" i="11"/>
  <c r="M195" i="11"/>
  <c r="L195" i="11"/>
  <c r="K195" i="11"/>
  <c r="M194" i="11"/>
  <c r="L194" i="11"/>
  <c r="K194" i="11"/>
  <c r="M193" i="11"/>
  <c r="L193" i="11"/>
  <c r="K193" i="11"/>
  <c r="M192" i="11"/>
  <c r="L192" i="11"/>
  <c r="K192" i="11"/>
  <c r="M191" i="11"/>
  <c r="L191" i="11"/>
  <c r="K191" i="11"/>
  <c r="M190" i="11"/>
  <c r="L190" i="11"/>
  <c r="K190" i="11"/>
  <c r="M189" i="11"/>
  <c r="L189" i="11"/>
  <c r="K189" i="11"/>
  <c r="M188" i="11"/>
  <c r="L188" i="11"/>
  <c r="K188" i="11"/>
  <c r="M187" i="11"/>
  <c r="L187" i="11"/>
  <c r="K187" i="11"/>
  <c r="M186" i="11"/>
  <c r="L186" i="11"/>
  <c r="K186" i="11"/>
  <c r="M185" i="11"/>
  <c r="L185" i="11"/>
  <c r="K185" i="11"/>
  <c r="M184" i="11"/>
  <c r="L184" i="11"/>
  <c r="K184" i="11"/>
  <c r="M183" i="11"/>
  <c r="L183" i="11"/>
  <c r="K183" i="11"/>
  <c r="M182" i="11"/>
  <c r="L182" i="11"/>
  <c r="K182" i="11"/>
  <c r="M181" i="11"/>
  <c r="L181" i="11"/>
  <c r="K181" i="11"/>
  <c r="M180" i="11"/>
  <c r="L180" i="11"/>
  <c r="K180" i="11"/>
  <c r="M179" i="11"/>
  <c r="L179" i="11"/>
  <c r="K179" i="11"/>
  <c r="M178" i="11"/>
  <c r="L178" i="11"/>
  <c r="K178" i="11"/>
  <c r="M177" i="11"/>
  <c r="L177" i="11"/>
  <c r="K177" i="11"/>
  <c r="M176" i="11"/>
  <c r="L176" i="11"/>
  <c r="K176" i="11"/>
  <c r="M175" i="11"/>
  <c r="L175" i="11"/>
  <c r="K175" i="11"/>
  <c r="M174" i="11"/>
  <c r="L174" i="11"/>
  <c r="K174" i="11"/>
  <c r="M173" i="11"/>
  <c r="L173" i="11"/>
  <c r="K173" i="11"/>
  <c r="M172" i="11"/>
  <c r="L172" i="11"/>
  <c r="K172" i="11"/>
  <c r="M171" i="11"/>
  <c r="L171" i="11"/>
  <c r="K171" i="11"/>
  <c r="M170" i="11"/>
  <c r="L170" i="11"/>
  <c r="K170" i="11"/>
  <c r="M169" i="11"/>
  <c r="L169" i="11"/>
  <c r="K169" i="11"/>
  <c r="M168" i="11"/>
  <c r="L168" i="11"/>
  <c r="K168" i="11"/>
  <c r="M167" i="11"/>
  <c r="L167" i="11"/>
  <c r="K167" i="11"/>
  <c r="M166" i="11"/>
  <c r="L166" i="11"/>
  <c r="K166" i="11"/>
  <c r="M165" i="11"/>
  <c r="L165" i="11"/>
  <c r="K165" i="11"/>
  <c r="M164" i="11"/>
  <c r="L164" i="11"/>
  <c r="K164" i="11"/>
  <c r="M163" i="11"/>
  <c r="L163" i="11"/>
  <c r="K163" i="11"/>
  <c r="M162" i="11"/>
  <c r="L162" i="11"/>
  <c r="K162" i="11"/>
  <c r="M161" i="11"/>
  <c r="L161" i="11"/>
  <c r="K161" i="11"/>
  <c r="M160" i="11"/>
  <c r="L160" i="11"/>
  <c r="K160" i="11"/>
  <c r="M159" i="11"/>
  <c r="L159" i="11"/>
  <c r="K159" i="11"/>
  <c r="M158" i="11"/>
  <c r="L158" i="11"/>
  <c r="K158" i="11"/>
  <c r="M157" i="11"/>
  <c r="L157" i="11"/>
  <c r="K157" i="11"/>
  <c r="M156" i="11"/>
  <c r="L156" i="11"/>
  <c r="K156" i="11"/>
  <c r="M155" i="11"/>
  <c r="L155" i="11"/>
  <c r="K155" i="11"/>
  <c r="M154" i="11"/>
  <c r="L154" i="11"/>
  <c r="K154" i="11"/>
  <c r="M153" i="11"/>
  <c r="L153" i="11"/>
  <c r="K153" i="11"/>
  <c r="M152" i="11"/>
  <c r="L152" i="11"/>
  <c r="K152" i="11"/>
  <c r="M151" i="11"/>
  <c r="L151" i="11"/>
  <c r="K151" i="11"/>
  <c r="M150" i="11"/>
  <c r="L150" i="11"/>
  <c r="K150" i="11"/>
  <c r="M149" i="11"/>
  <c r="L149" i="11"/>
  <c r="K149" i="11"/>
  <c r="M148" i="11"/>
  <c r="L148" i="11"/>
  <c r="K148" i="11"/>
  <c r="M147" i="11"/>
  <c r="L147" i="11"/>
  <c r="K147" i="11"/>
  <c r="M146" i="11"/>
  <c r="L146" i="11"/>
  <c r="K146" i="11"/>
  <c r="M145" i="11"/>
  <c r="L145" i="11"/>
  <c r="K145" i="11"/>
  <c r="M144" i="11"/>
  <c r="L144" i="11"/>
  <c r="K144" i="11"/>
  <c r="M143" i="11"/>
  <c r="L143" i="11"/>
  <c r="K143" i="11"/>
  <c r="M142" i="11"/>
  <c r="L142" i="11"/>
  <c r="K142" i="11"/>
  <c r="M141" i="11"/>
  <c r="L141" i="11"/>
  <c r="K141" i="11"/>
  <c r="M140" i="11"/>
  <c r="L140" i="11"/>
  <c r="K140" i="11"/>
  <c r="M139" i="11"/>
  <c r="L139" i="11"/>
  <c r="K139" i="11"/>
  <c r="M138" i="11"/>
  <c r="L138" i="11"/>
  <c r="K138" i="11"/>
  <c r="M137" i="11"/>
  <c r="L137" i="11"/>
  <c r="K137" i="11"/>
  <c r="M136" i="11"/>
  <c r="L136" i="11"/>
  <c r="K136" i="11"/>
  <c r="M135" i="11"/>
  <c r="L135" i="11"/>
  <c r="K135" i="11"/>
  <c r="M134" i="11"/>
  <c r="L134" i="11"/>
  <c r="K134" i="11"/>
  <c r="M133" i="11"/>
  <c r="L133" i="11"/>
  <c r="K133" i="11"/>
  <c r="M132" i="11"/>
  <c r="L132" i="11"/>
  <c r="K132" i="11"/>
  <c r="M131" i="11"/>
  <c r="L131" i="11"/>
  <c r="K131" i="11"/>
  <c r="M130" i="11"/>
  <c r="L130" i="11"/>
  <c r="K130" i="11"/>
  <c r="M129" i="11"/>
  <c r="L129" i="11"/>
  <c r="K129" i="11"/>
  <c r="M128" i="11"/>
  <c r="L128" i="11"/>
  <c r="K128" i="11"/>
  <c r="M127" i="11"/>
  <c r="L127" i="11"/>
  <c r="K127" i="11"/>
  <c r="M126" i="11"/>
  <c r="L126" i="11"/>
  <c r="K126" i="11"/>
  <c r="M125" i="11"/>
  <c r="L125" i="11"/>
  <c r="K125" i="11"/>
  <c r="M124" i="11"/>
  <c r="L124" i="11"/>
  <c r="K124" i="11"/>
  <c r="M123" i="11"/>
  <c r="L123" i="11"/>
  <c r="K123" i="11"/>
  <c r="M122" i="11"/>
  <c r="L122" i="11"/>
  <c r="K122" i="11"/>
  <c r="M121" i="11"/>
  <c r="L121" i="11"/>
  <c r="K121" i="11"/>
  <c r="M120" i="11"/>
  <c r="L120" i="11"/>
  <c r="K120" i="11"/>
  <c r="M119" i="11"/>
  <c r="L119" i="11"/>
  <c r="K119" i="11"/>
  <c r="M118" i="11"/>
  <c r="L118" i="11"/>
  <c r="K118" i="11"/>
  <c r="M117" i="11"/>
  <c r="L117" i="11"/>
  <c r="K117" i="11"/>
  <c r="M116" i="11"/>
  <c r="L116" i="11"/>
  <c r="K116" i="11"/>
  <c r="M115" i="11"/>
  <c r="L115" i="11"/>
  <c r="K115" i="11"/>
  <c r="M114" i="11"/>
  <c r="L114" i="11"/>
  <c r="K114" i="11"/>
  <c r="M113" i="11"/>
  <c r="L113" i="11"/>
  <c r="K113" i="11"/>
  <c r="M112" i="11"/>
  <c r="L112" i="11"/>
  <c r="K112" i="11"/>
  <c r="M111" i="11"/>
  <c r="L111" i="11"/>
  <c r="K111" i="11"/>
  <c r="M110" i="11"/>
  <c r="L110" i="11"/>
  <c r="K110" i="11"/>
  <c r="M109" i="11"/>
  <c r="L109" i="11"/>
  <c r="K109" i="11"/>
  <c r="M108" i="11"/>
  <c r="L108" i="11"/>
  <c r="K108" i="11"/>
  <c r="M107" i="11"/>
  <c r="L107" i="11"/>
  <c r="K107" i="11"/>
  <c r="M106" i="11"/>
  <c r="L106" i="11"/>
  <c r="K106" i="11"/>
  <c r="M105" i="11"/>
  <c r="L105" i="11"/>
  <c r="K105" i="11"/>
  <c r="M104" i="11"/>
  <c r="L104" i="11"/>
  <c r="K104" i="11"/>
  <c r="M103" i="11"/>
  <c r="L103" i="11"/>
  <c r="K103" i="11"/>
  <c r="M102" i="11"/>
  <c r="L102" i="11"/>
  <c r="K102" i="11"/>
  <c r="M101" i="11"/>
  <c r="L101" i="11"/>
  <c r="K101" i="11"/>
  <c r="M100" i="11"/>
  <c r="L100" i="11"/>
  <c r="K100" i="11"/>
  <c r="M99" i="11"/>
  <c r="L99" i="11"/>
  <c r="K99" i="11"/>
  <c r="M98" i="11"/>
  <c r="L98" i="11"/>
  <c r="K98" i="11"/>
  <c r="M97" i="11"/>
  <c r="L97" i="11"/>
  <c r="K97" i="11"/>
  <c r="M96" i="11"/>
  <c r="L96" i="11"/>
  <c r="K96" i="11"/>
  <c r="M95" i="11"/>
  <c r="L95" i="11"/>
  <c r="K95" i="11"/>
  <c r="M94" i="11"/>
  <c r="L94" i="11"/>
  <c r="K94" i="11"/>
  <c r="M93" i="11"/>
  <c r="L93" i="11"/>
  <c r="K93" i="11"/>
  <c r="M92" i="11"/>
  <c r="L92" i="11"/>
  <c r="K92" i="11"/>
  <c r="M91" i="11"/>
  <c r="L91" i="11"/>
  <c r="K91" i="11"/>
  <c r="M90" i="11"/>
  <c r="L90" i="11"/>
  <c r="K90" i="11"/>
  <c r="M89" i="11"/>
  <c r="L89" i="11"/>
  <c r="K89" i="11"/>
  <c r="M88" i="11"/>
  <c r="L88" i="11"/>
  <c r="K88" i="11"/>
  <c r="M87" i="11"/>
  <c r="L87" i="11"/>
  <c r="K87" i="11"/>
  <c r="M86" i="11"/>
  <c r="L86" i="11"/>
  <c r="K86" i="11"/>
  <c r="M85" i="11"/>
  <c r="L85" i="11"/>
  <c r="K85" i="11"/>
  <c r="M84" i="11"/>
  <c r="L84" i="11"/>
  <c r="K84" i="11"/>
  <c r="M83" i="11"/>
  <c r="L83" i="11"/>
  <c r="K83" i="11"/>
  <c r="M82" i="11"/>
  <c r="L82" i="11"/>
  <c r="K82" i="11"/>
  <c r="M81" i="11"/>
  <c r="L81" i="11"/>
  <c r="K81" i="11"/>
  <c r="M80" i="11"/>
  <c r="L80" i="11"/>
  <c r="K80" i="11"/>
  <c r="M79" i="11"/>
  <c r="L79" i="11"/>
  <c r="K79" i="11"/>
  <c r="M78" i="11"/>
  <c r="L78" i="11"/>
  <c r="K78" i="11"/>
  <c r="M77" i="11"/>
  <c r="L77" i="11"/>
  <c r="K77" i="11"/>
  <c r="M76" i="11"/>
  <c r="L76" i="11"/>
  <c r="K76" i="11"/>
  <c r="M75" i="11"/>
  <c r="L75" i="11"/>
  <c r="K75" i="11"/>
  <c r="M74" i="11"/>
  <c r="L74" i="11"/>
  <c r="K74" i="11"/>
  <c r="M73" i="11"/>
  <c r="L73" i="11"/>
  <c r="K73" i="11"/>
  <c r="M72" i="11"/>
  <c r="L72" i="11"/>
  <c r="K72" i="11"/>
  <c r="M71" i="11"/>
  <c r="L71" i="11"/>
  <c r="K71" i="11"/>
  <c r="M70" i="11"/>
  <c r="L70" i="11"/>
  <c r="K70" i="11"/>
  <c r="M69" i="11"/>
  <c r="L69" i="11"/>
  <c r="K69" i="11"/>
  <c r="M68" i="11"/>
  <c r="L68" i="11"/>
  <c r="K68" i="11"/>
  <c r="M67" i="11"/>
  <c r="L67" i="11"/>
  <c r="K67" i="11"/>
  <c r="M66" i="11"/>
  <c r="L66" i="11"/>
  <c r="K66" i="11"/>
  <c r="M65" i="11"/>
  <c r="L65" i="11"/>
  <c r="K65" i="11"/>
  <c r="M64" i="11"/>
  <c r="L64" i="11"/>
  <c r="K64" i="11"/>
  <c r="M63" i="11"/>
  <c r="L63" i="11"/>
  <c r="K63" i="11"/>
  <c r="M62" i="11"/>
  <c r="L62" i="11"/>
  <c r="K62" i="11"/>
  <c r="M61" i="11"/>
  <c r="L61" i="11"/>
  <c r="K61" i="11"/>
  <c r="M60" i="11"/>
  <c r="L60" i="11"/>
  <c r="K60" i="11"/>
  <c r="M59" i="11"/>
  <c r="L59" i="11"/>
  <c r="K59" i="11"/>
  <c r="M58" i="11"/>
  <c r="L58" i="11"/>
  <c r="K58" i="11"/>
  <c r="M57" i="11"/>
  <c r="L57" i="11"/>
  <c r="K57" i="11"/>
  <c r="M56" i="11"/>
  <c r="L56" i="11"/>
  <c r="K56" i="11"/>
  <c r="M55" i="11"/>
  <c r="L55" i="11"/>
  <c r="K55" i="11"/>
  <c r="M54" i="11"/>
  <c r="L54" i="11"/>
  <c r="K54" i="11"/>
  <c r="M53" i="11"/>
  <c r="L53" i="11"/>
  <c r="K53" i="11"/>
  <c r="M52" i="11"/>
  <c r="L52" i="11"/>
  <c r="K52" i="11"/>
  <c r="M51" i="11"/>
  <c r="L51" i="11"/>
  <c r="K51" i="11"/>
  <c r="M50" i="11"/>
  <c r="L50" i="11"/>
  <c r="K50" i="11"/>
  <c r="M49" i="11"/>
  <c r="L49" i="11"/>
  <c r="K49" i="11"/>
  <c r="M48" i="11"/>
  <c r="L48" i="11"/>
  <c r="K48" i="11"/>
  <c r="M47" i="11"/>
  <c r="L47" i="11"/>
  <c r="K47" i="11"/>
  <c r="M46" i="11"/>
  <c r="L46" i="11"/>
  <c r="K46" i="11"/>
  <c r="M45" i="11"/>
  <c r="L45" i="11"/>
  <c r="K45" i="11"/>
  <c r="M44" i="11"/>
  <c r="L44" i="11"/>
  <c r="K44" i="11"/>
  <c r="M43" i="11"/>
  <c r="L43" i="11"/>
  <c r="K43" i="11"/>
  <c r="M42" i="11"/>
  <c r="L42" i="11"/>
  <c r="K42" i="11"/>
  <c r="M41" i="11"/>
  <c r="L41" i="11"/>
  <c r="K41" i="11"/>
  <c r="M40" i="11"/>
  <c r="L40" i="11"/>
  <c r="K40" i="11"/>
  <c r="M39" i="11"/>
  <c r="L39" i="11"/>
  <c r="K39" i="11"/>
  <c r="M38" i="11"/>
  <c r="L38" i="11"/>
  <c r="K38" i="11"/>
  <c r="M37" i="11"/>
  <c r="L37" i="11"/>
  <c r="K37" i="11"/>
  <c r="M36" i="11"/>
  <c r="L36" i="11"/>
  <c r="K36" i="11"/>
  <c r="M35" i="11"/>
  <c r="L35" i="11"/>
  <c r="K35" i="11"/>
  <c r="M34" i="11"/>
  <c r="L34" i="11"/>
  <c r="K34" i="11"/>
  <c r="M33" i="11"/>
  <c r="L33" i="11"/>
  <c r="K33" i="11"/>
  <c r="M32" i="11"/>
  <c r="L32" i="11"/>
  <c r="K32" i="11"/>
  <c r="M31" i="11"/>
  <c r="L31" i="11"/>
  <c r="K31" i="11"/>
  <c r="M30" i="11"/>
  <c r="L30" i="11"/>
  <c r="K30" i="11"/>
  <c r="M29" i="11"/>
  <c r="L29" i="11"/>
  <c r="K29" i="11"/>
  <c r="M28" i="11"/>
  <c r="L28" i="11"/>
  <c r="K28" i="11"/>
  <c r="M27" i="11"/>
  <c r="L27" i="11"/>
  <c r="K27" i="11"/>
  <c r="M26" i="11"/>
  <c r="L26" i="11"/>
  <c r="K26" i="11"/>
  <c r="M25" i="11"/>
  <c r="L25" i="11"/>
  <c r="K25" i="11"/>
  <c r="M24" i="11"/>
  <c r="L24" i="11"/>
  <c r="K24" i="11"/>
  <c r="M23" i="11"/>
  <c r="L23" i="11"/>
  <c r="K23" i="11"/>
  <c r="M22" i="11"/>
  <c r="L22" i="11"/>
  <c r="K22" i="11"/>
  <c r="M21" i="11"/>
  <c r="L21" i="11"/>
  <c r="K21" i="11"/>
  <c r="M20" i="11"/>
  <c r="L20" i="11"/>
  <c r="K20" i="11"/>
  <c r="M19" i="11"/>
  <c r="L19" i="11"/>
  <c r="K19" i="11"/>
  <c r="M18" i="11"/>
  <c r="L18" i="11"/>
  <c r="K18" i="11"/>
  <c r="M17" i="11"/>
  <c r="L17" i="11"/>
  <c r="K17" i="11"/>
  <c r="M16" i="11"/>
  <c r="L16" i="11"/>
  <c r="K16" i="11"/>
  <c r="M15" i="11"/>
  <c r="L15" i="11"/>
  <c r="K15" i="11"/>
  <c r="M14" i="11"/>
  <c r="L14" i="11"/>
  <c r="K14" i="11"/>
  <c r="M13" i="11"/>
  <c r="L13" i="11"/>
  <c r="I169" i="8" s="1"/>
  <c r="K13" i="11"/>
  <c r="M12" i="11"/>
  <c r="L12" i="11"/>
  <c r="K12" i="11"/>
  <c r="M11" i="11"/>
  <c r="L11" i="11"/>
  <c r="K11" i="11"/>
  <c r="M10" i="11"/>
  <c r="L10" i="11"/>
  <c r="K10" i="11"/>
  <c r="M9" i="11"/>
  <c r="L9" i="11"/>
  <c r="K9" i="11"/>
  <c r="M8" i="11"/>
  <c r="L8" i="11"/>
  <c r="K8" i="11"/>
  <c r="M7" i="11"/>
  <c r="L7" i="11"/>
  <c r="K7" i="11"/>
  <c r="M6" i="11"/>
  <c r="L6" i="11"/>
  <c r="K6" i="11"/>
  <c r="I156" i="8" s="1"/>
  <c r="B13" i="10"/>
  <c r="C10" i="10"/>
  <c r="H9" i="10"/>
  <c r="O8" i="10"/>
  <c r="H8" i="10"/>
  <c r="G8" i="10"/>
  <c r="D6" i="10"/>
  <c r="O5" i="10"/>
  <c r="H5" i="10"/>
  <c r="G5" i="10"/>
  <c r="F5" i="10"/>
  <c r="D5" i="10"/>
  <c r="C5" i="10"/>
  <c r="F44" i="9"/>
  <c r="C44" i="9"/>
  <c r="M12" i="10"/>
  <c r="B44" i="9"/>
  <c r="D44" i="9"/>
  <c r="F43" i="9"/>
  <c r="C43" i="9"/>
  <c r="B43" i="9"/>
  <c r="E43" i="9"/>
  <c r="F42" i="9"/>
  <c r="M10" i="10"/>
  <c r="B42" i="9"/>
  <c r="F41" i="9"/>
  <c r="C41" i="9"/>
  <c r="M9" i="10"/>
  <c r="B41" i="9"/>
  <c r="F40" i="9"/>
  <c r="C40" i="9"/>
  <c r="M8" i="10"/>
  <c r="B40" i="9"/>
  <c r="E40" i="9"/>
  <c r="F39" i="9"/>
  <c r="C39" i="9"/>
  <c r="M7" i="10"/>
  <c r="B39" i="9"/>
  <c r="F38" i="9"/>
  <c r="C38" i="9"/>
  <c r="M6" i="10"/>
  <c r="B38" i="9"/>
  <c r="F37" i="9"/>
  <c r="F45" i="9"/>
  <c r="C37" i="9"/>
  <c r="B37" i="9"/>
  <c r="E37" i="9"/>
  <c r="F33" i="9"/>
  <c r="E33" i="9"/>
  <c r="N18" i="9"/>
  <c r="M18" i="9"/>
  <c r="N17" i="9"/>
  <c r="M17" i="9"/>
  <c r="N16" i="9"/>
  <c r="M16" i="9"/>
  <c r="N15" i="9"/>
  <c r="M15" i="9"/>
  <c r="N14" i="9"/>
  <c r="M14" i="9"/>
  <c r="N13" i="9"/>
  <c r="M13" i="9"/>
  <c r="N12" i="9"/>
  <c r="M12" i="9"/>
  <c r="N11" i="9"/>
  <c r="M11" i="9"/>
  <c r="N10" i="9"/>
  <c r="M10" i="9"/>
  <c r="N9" i="9"/>
  <c r="M9" i="9"/>
  <c r="N8" i="9"/>
  <c r="M8" i="9"/>
  <c r="N7" i="9"/>
  <c r="M7" i="9"/>
  <c r="E203" i="8"/>
  <c r="C203" i="8"/>
  <c r="B203" i="8"/>
  <c r="F202" i="8"/>
  <c r="E202" i="8"/>
  <c r="B202" i="8"/>
  <c r="F201" i="8"/>
  <c r="E201" i="8"/>
  <c r="C201" i="8"/>
  <c r="B200" i="8"/>
  <c r="G199" i="8"/>
  <c r="E199" i="8"/>
  <c r="C199" i="8"/>
  <c r="G198" i="8"/>
  <c r="E198" i="8"/>
  <c r="C198" i="8"/>
  <c r="B198" i="8"/>
  <c r="C196" i="8"/>
  <c r="B196" i="8"/>
  <c r="F195" i="8"/>
  <c r="E195" i="8"/>
  <c r="C195" i="8"/>
  <c r="B195" i="8"/>
  <c r="G194" i="8"/>
  <c r="E193" i="8"/>
  <c r="C193" i="8"/>
  <c r="B193" i="8"/>
  <c r="F192" i="8"/>
  <c r="E192" i="8"/>
  <c r="C192" i="8"/>
  <c r="B192" i="8"/>
  <c r="G191" i="8"/>
  <c r="E190" i="8"/>
  <c r="C190" i="8"/>
  <c r="B190" i="8"/>
  <c r="F189" i="8"/>
  <c r="E189" i="8"/>
  <c r="C189" i="8"/>
  <c r="B189" i="8"/>
  <c r="G188" i="8"/>
  <c r="F187" i="8"/>
  <c r="E187" i="8"/>
  <c r="C187" i="8"/>
  <c r="B187" i="8"/>
  <c r="F186" i="8"/>
  <c r="E186" i="8"/>
  <c r="C186" i="8"/>
  <c r="B186" i="8"/>
  <c r="G185" i="8"/>
  <c r="F184" i="8"/>
  <c r="E184" i="8"/>
  <c r="C184" i="8"/>
  <c r="B184" i="8"/>
  <c r="G183" i="8"/>
  <c r="F183" i="8"/>
  <c r="E183" i="8"/>
  <c r="C183" i="8"/>
  <c r="B183" i="8"/>
  <c r="B182" i="8"/>
  <c r="G181" i="8"/>
  <c r="F181" i="8"/>
  <c r="E181" i="8"/>
  <c r="C181" i="8"/>
  <c r="B181" i="8"/>
  <c r="G180" i="8"/>
  <c r="F180" i="8"/>
  <c r="E180" i="8"/>
  <c r="C180" i="8"/>
  <c r="B180" i="8"/>
  <c r="B179" i="8"/>
  <c r="G178" i="8"/>
  <c r="F178" i="8"/>
  <c r="E178" i="8"/>
  <c r="C178" i="8"/>
  <c r="B178" i="8"/>
  <c r="G177" i="8"/>
  <c r="F177" i="8"/>
  <c r="E177" i="8"/>
  <c r="C177" i="8"/>
  <c r="B177" i="8"/>
  <c r="E176" i="8"/>
  <c r="C176" i="8"/>
  <c r="B176" i="8"/>
  <c r="G175" i="8"/>
  <c r="F175" i="8"/>
  <c r="E175" i="8"/>
  <c r="C175" i="8"/>
  <c r="B175" i="8"/>
  <c r="G174" i="8"/>
  <c r="F174" i="8"/>
  <c r="E174" i="8"/>
  <c r="B174" i="8"/>
  <c r="G173" i="8"/>
  <c r="F173" i="8"/>
  <c r="E173" i="8"/>
  <c r="C173" i="8"/>
  <c r="B173" i="8"/>
  <c r="G172" i="8"/>
  <c r="F172" i="8"/>
  <c r="E172" i="8"/>
  <c r="C172" i="8"/>
  <c r="B172" i="8"/>
  <c r="E171" i="8"/>
  <c r="C171" i="8"/>
  <c r="B171" i="8"/>
  <c r="G170" i="8"/>
  <c r="F170" i="8"/>
  <c r="E170" i="8"/>
  <c r="C170" i="8"/>
  <c r="B170" i="8"/>
  <c r="G169" i="8"/>
  <c r="F169" i="8"/>
  <c r="E169" i="8"/>
  <c r="C169" i="8"/>
  <c r="B169" i="8"/>
  <c r="E168" i="8"/>
  <c r="C168" i="8"/>
  <c r="B168" i="8"/>
  <c r="G167" i="8"/>
  <c r="F167" i="8"/>
  <c r="E167" i="8"/>
  <c r="C167" i="8"/>
  <c r="B167" i="8"/>
  <c r="G166" i="8"/>
  <c r="F166" i="8"/>
  <c r="E166" i="8"/>
  <c r="B166" i="8"/>
  <c r="G165" i="8"/>
  <c r="F165" i="8"/>
  <c r="E165" i="8"/>
  <c r="C165" i="8"/>
  <c r="B165" i="8"/>
  <c r="I164" i="8"/>
  <c r="G164" i="8"/>
  <c r="F164" i="8"/>
  <c r="E164" i="8"/>
  <c r="C164" i="8"/>
  <c r="B164" i="8"/>
  <c r="E163" i="8"/>
  <c r="C163" i="8"/>
  <c r="B163" i="8"/>
  <c r="G162" i="8"/>
  <c r="F162" i="8"/>
  <c r="E162" i="8"/>
  <c r="C162" i="8"/>
  <c r="B162" i="8"/>
  <c r="G161" i="8"/>
  <c r="E161" i="8"/>
  <c r="C161" i="8"/>
  <c r="B161" i="8"/>
  <c r="I160" i="8"/>
  <c r="G160" i="8"/>
  <c r="F160" i="8"/>
  <c r="E160" i="8"/>
  <c r="C160" i="8"/>
  <c r="B160" i="8"/>
  <c r="G159" i="8"/>
  <c r="F159" i="8"/>
  <c r="E159" i="8"/>
  <c r="C159" i="8"/>
  <c r="B159" i="8"/>
  <c r="G158" i="8"/>
  <c r="F158" i="8"/>
  <c r="E158" i="8"/>
  <c r="C158" i="8"/>
  <c r="B158" i="8"/>
  <c r="I157" i="8"/>
  <c r="G157" i="8"/>
  <c r="F157" i="8"/>
  <c r="E157" i="8"/>
  <c r="C157" i="8"/>
  <c r="B157" i="8"/>
  <c r="F156" i="8"/>
  <c r="E156" i="8"/>
  <c r="C156" i="8"/>
  <c r="B156" i="8"/>
  <c r="I155" i="8"/>
  <c r="G155" i="8"/>
  <c r="F155" i="8"/>
  <c r="E155" i="8"/>
  <c r="C155" i="8"/>
  <c r="B155" i="8"/>
  <c r="I154" i="8"/>
  <c r="G154" i="8"/>
  <c r="F154" i="8"/>
  <c r="E154" i="8"/>
  <c r="C154" i="8"/>
  <c r="B154" i="8"/>
  <c r="I153" i="8"/>
  <c r="G153" i="8"/>
  <c r="F153" i="8"/>
  <c r="E153" i="8"/>
  <c r="C153" i="8"/>
  <c r="B153" i="8"/>
  <c r="I152" i="8"/>
  <c r="G152" i="8"/>
  <c r="F152" i="8"/>
  <c r="E152" i="8"/>
  <c r="C152" i="8"/>
  <c r="B152" i="8"/>
  <c r="G151" i="8"/>
  <c r="F151" i="8"/>
  <c r="E151" i="8"/>
  <c r="C151" i="8"/>
  <c r="B151" i="8"/>
  <c r="I150" i="8"/>
  <c r="G150" i="8"/>
  <c r="F150" i="8"/>
  <c r="E150" i="8"/>
  <c r="C150" i="8"/>
  <c r="B150" i="8"/>
  <c r="G149" i="8"/>
  <c r="F149" i="8"/>
  <c r="E149" i="8"/>
  <c r="C149" i="8"/>
  <c r="B149" i="8"/>
  <c r="I148" i="8"/>
  <c r="G148" i="8"/>
  <c r="F148" i="8"/>
  <c r="E148" i="8"/>
  <c r="C148" i="8"/>
  <c r="B148" i="8"/>
  <c r="I147" i="8"/>
  <c r="F147" i="8"/>
  <c r="E147" i="8"/>
  <c r="C147" i="8"/>
  <c r="B147" i="8"/>
  <c r="I146" i="8"/>
  <c r="G146" i="8"/>
  <c r="F146" i="8"/>
  <c r="E146" i="8"/>
  <c r="C146" i="8"/>
  <c r="B146" i="8"/>
  <c r="I145" i="8"/>
  <c r="G145" i="8"/>
  <c r="E145" i="8"/>
  <c r="C145" i="8"/>
  <c r="B145" i="8"/>
  <c r="I144" i="8"/>
  <c r="G144" i="8"/>
  <c r="F144" i="8"/>
  <c r="E144" i="8"/>
  <c r="C144" i="8"/>
  <c r="B144" i="8"/>
  <c r="I143" i="8"/>
  <c r="G143" i="8"/>
  <c r="F143" i="8"/>
  <c r="E143" i="8"/>
  <c r="C143" i="8"/>
  <c r="B143" i="8"/>
  <c r="I142" i="8"/>
  <c r="G142" i="8"/>
  <c r="F142" i="8"/>
  <c r="E142" i="8"/>
  <c r="D142" i="8"/>
  <c r="C142" i="8"/>
  <c r="B142" i="8"/>
  <c r="I141" i="8"/>
  <c r="G141" i="8"/>
  <c r="F141" i="8"/>
  <c r="E141" i="8"/>
  <c r="C141" i="8"/>
  <c r="B141" i="8"/>
  <c r="I140" i="8"/>
  <c r="G140" i="8"/>
  <c r="F140" i="8"/>
  <c r="E140" i="8"/>
  <c r="D140" i="8"/>
  <c r="C140" i="8"/>
  <c r="B140" i="8"/>
  <c r="I139" i="8"/>
  <c r="G139" i="8"/>
  <c r="F139" i="8"/>
  <c r="E139" i="8"/>
  <c r="C139" i="8"/>
  <c r="B139" i="8"/>
  <c r="I138" i="8"/>
  <c r="G138" i="8"/>
  <c r="F138" i="8"/>
  <c r="E138" i="8"/>
  <c r="D138" i="8"/>
  <c r="C138" i="8"/>
  <c r="B138" i="8"/>
  <c r="I137" i="8"/>
  <c r="G137" i="8"/>
  <c r="F137" i="8"/>
  <c r="E137" i="8"/>
  <c r="C137" i="8"/>
  <c r="B137" i="8"/>
  <c r="I136" i="8"/>
  <c r="G136" i="8"/>
  <c r="F136" i="8"/>
  <c r="E136" i="8"/>
  <c r="D136" i="8"/>
  <c r="C136" i="8"/>
  <c r="B136" i="8"/>
  <c r="I135" i="8"/>
  <c r="G135" i="8"/>
  <c r="F135" i="8"/>
  <c r="E135" i="8"/>
  <c r="C135" i="8"/>
  <c r="B135" i="8"/>
  <c r="I134" i="8"/>
  <c r="G134" i="8"/>
  <c r="F134" i="8"/>
  <c r="E134" i="8"/>
  <c r="D134" i="8"/>
  <c r="C134" i="8"/>
  <c r="B134" i="8"/>
  <c r="I133" i="8"/>
  <c r="G133" i="8"/>
  <c r="F133" i="8"/>
  <c r="E133" i="8"/>
  <c r="C133" i="8"/>
  <c r="B133" i="8"/>
  <c r="I132" i="8"/>
  <c r="G132" i="8"/>
  <c r="F132" i="8"/>
  <c r="E132" i="8"/>
  <c r="D132" i="8"/>
  <c r="C132" i="8"/>
  <c r="B132" i="8"/>
  <c r="I131" i="8"/>
  <c r="G131" i="8"/>
  <c r="F131" i="8"/>
  <c r="E131" i="8"/>
  <c r="C131" i="8"/>
  <c r="B131" i="8"/>
  <c r="I130" i="8"/>
  <c r="G130" i="8"/>
  <c r="F130" i="8"/>
  <c r="E130" i="8"/>
  <c r="D130" i="8"/>
  <c r="C130" i="8"/>
  <c r="B130" i="8"/>
  <c r="I129" i="8"/>
  <c r="G129" i="8"/>
  <c r="F129" i="8"/>
  <c r="E129" i="8"/>
  <c r="D129" i="8"/>
  <c r="C129" i="8"/>
  <c r="B129" i="8"/>
  <c r="I128" i="8"/>
  <c r="G128" i="8"/>
  <c r="F128" i="8"/>
  <c r="E128" i="8"/>
  <c r="D128" i="8"/>
  <c r="C128" i="8"/>
  <c r="B128" i="8"/>
  <c r="G127" i="8"/>
  <c r="F127" i="8"/>
  <c r="E127" i="8"/>
  <c r="D127" i="8"/>
  <c r="C127" i="8"/>
  <c r="B127" i="8"/>
  <c r="I126" i="8"/>
  <c r="G126" i="8"/>
  <c r="F126" i="8"/>
  <c r="E126" i="8"/>
  <c r="D126" i="8"/>
  <c r="C126" i="8"/>
  <c r="B126" i="8"/>
  <c r="G125" i="8"/>
  <c r="F125" i="8"/>
  <c r="E125" i="8"/>
  <c r="D125" i="8"/>
  <c r="C125" i="8"/>
  <c r="B125" i="8"/>
  <c r="I124" i="8"/>
  <c r="G124" i="8"/>
  <c r="F124" i="8"/>
  <c r="E124" i="8"/>
  <c r="D124" i="8"/>
  <c r="C124" i="8"/>
  <c r="B124" i="8"/>
  <c r="G123" i="8"/>
  <c r="F123" i="8"/>
  <c r="E123" i="8"/>
  <c r="D123" i="8"/>
  <c r="C123" i="8"/>
  <c r="B123" i="8"/>
  <c r="I122" i="8"/>
  <c r="G122" i="8"/>
  <c r="F122" i="8"/>
  <c r="E122" i="8"/>
  <c r="D122" i="8"/>
  <c r="C122" i="8"/>
  <c r="B122" i="8"/>
  <c r="G121" i="8"/>
  <c r="F121" i="8"/>
  <c r="E121" i="8"/>
  <c r="D121" i="8"/>
  <c r="C121" i="8"/>
  <c r="B121" i="8"/>
  <c r="I120" i="8"/>
  <c r="G120" i="8"/>
  <c r="F120" i="8"/>
  <c r="E120" i="8"/>
  <c r="D120" i="8"/>
  <c r="C120" i="8"/>
  <c r="B120" i="8"/>
  <c r="G119" i="8"/>
  <c r="F119" i="8"/>
  <c r="E119" i="8"/>
  <c r="D119" i="8"/>
  <c r="C119" i="8"/>
  <c r="B119" i="8"/>
  <c r="I118" i="8"/>
  <c r="G118" i="8"/>
  <c r="F118" i="8"/>
  <c r="E118" i="8"/>
  <c r="D118" i="8"/>
  <c r="C118" i="8"/>
  <c r="B118" i="8"/>
  <c r="G117" i="8"/>
  <c r="F117" i="8"/>
  <c r="E117" i="8"/>
  <c r="D117" i="8"/>
  <c r="C117" i="8"/>
  <c r="B117" i="8"/>
  <c r="I116" i="8"/>
  <c r="G116" i="8"/>
  <c r="F116" i="8"/>
  <c r="E116" i="8"/>
  <c r="D116" i="8"/>
  <c r="C116" i="8"/>
  <c r="B116" i="8"/>
  <c r="G115" i="8"/>
  <c r="F115" i="8"/>
  <c r="E115" i="8"/>
  <c r="D115" i="8"/>
  <c r="C115" i="8"/>
  <c r="B115" i="8"/>
  <c r="I114" i="8"/>
  <c r="G114" i="8"/>
  <c r="F114" i="8"/>
  <c r="E114" i="8"/>
  <c r="D114" i="8"/>
  <c r="C114" i="8"/>
  <c r="B114" i="8"/>
  <c r="I113" i="8"/>
  <c r="G113" i="8"/>
  <c r="F113" i="8"/>
  <c r="E113" i="8"/>
  <c r="D113" i="8"/>
  <c r="C113" i="8"/>
  <c r="B113" i="8"/>
  <c r="I112" i="8"/>
  <c r="G112" i="8"/>
  <c r="F112" i="8"/>
  <c r="E112" i="8"/>
  <c r="D112" i="8"/>
  <c r="C112" i="8"/>
  <c r="B112" i="8"/>
  <c r="I111" i="8"/>
  <c r="G111" i="8"/>
  <c r="F111" i="8"/>
  <c r="E111" i="8"/>
  <c r="D111" i="8"/>
  <c r="C111" i="8"/>
  <c r="B111" i="8"/>
  <c r="I110" i="8"/>
  <c r="G110" i="8"/>
  <c r="F110" i="8"/>
  <c r="E110" i="8"/>
  <c r="D110" i="8"/>
  <c r="C110" i="8"/>
  <c r="B110" i="8"/>
  <c r="I109" i="8"/>
  <c r="G109" i="8"/>
  <c r="F109" i="8"/>
  <c r="E109" i="8"/>
  <c r="D109" i="8"/>
  <c r="C109" i="8"/>
  <c r="B109" i="8"/>
  <c r="I108" i="8"/>
  <c r="G108" i="8"/>
  <c r="F108" i="8"/>
  <c r="E108" i="8"/>
  <c r="C108" i="8"/>
  <c r="B108" i="8"/>
  <c r="I107" i="8"/>
  <c r="G107" i="8"/>
  <c r="F107" i="8"/>
  <c r="E107" i="8"/>
  <c r="D107" i="8"/>
  <c r="C107" i="8"/>
  <c r="B107" i="8"/>
  <c r="I106" i="8"/>
  <c r="G106" i="8"/>
  <c r="F106" i="8"/>
  <c r="E106" i="8"/>
  <c r="D106" i="8"/>
  <c r="C106" i="8"/>
  <c r="B106" i="8"/>
  <c r="I105" i="8"/>
  <c r="G105" i="8"/>
  <c r="F105" i="8"/>
  <c r="E105" i="8"/>
  <c r="D105" i="8"/>
  <c r="C105" i="8"/>
  <c r="B105" i="8"/>
  <c r="I104" i="8"/>
  <c r="G104" i="8"/>
  <c r="F104" i="8"/>
  <c r="E104" i="8"/>
  <c r="D104" i="8"/>
  <c r="C104" i="8"/>
  <c r="B104" i="8"/>
  <c r="I103" i="8"/>
  <c r="G103" i="8"/>
  <c r="F103" i="8"/>
  <c r="E103" i="8"/>
  <c r="D103" i="8"/>
  <c r="C103" i="8"/>
  <c r="B103" i="8"/>
  <c r="I102" i="8"/>
  <c r="G102" i="8"/>
  <c r="F102" i="8"/>
  <c r="E102" i="8"/>
  <c r="D102" i="8"/>
  <c r="C102" i="8"/>
  <c r="B102" i="8"/>
  <c r="I101" i="8"/>
  <c r="G101" i="8"/>
  <c r="F101" i="8"/>
  <c r="E101" i="8"/>
  <c r="D101" i="8"/>
  <c r="C101" i="8"/>
  <c r="B101" i="8"/>
  <c r="I100" i="8"/>
  <c r="G100" i="8"/>
  <c r="F100" i="8"/>
  <c r="E100" i="8"/>
  <c r="D100" i="8"/>
  <c r="C100" i="8"/>
  <c r="B100" i="8"/>
  <c r="I99" i="8"/>
  <c r="G99" i="8"/>
  <c r="F99" i="8"/>
  <c r="E99" i="8"/>
  <c r="D99" i="8"/>
  <c r="C99" i="8"/>
  <c r="B99" i="8"/>
  <c r="I98" i="8"/>
  <c r="G98" i="8"/>
  <c r="F98" i="8"/>
  <c r="E98" i="8"/>
  <c r="D98" i="8"/>
  <c r="C98" i="8"/>
  <c r="B98" i="8"/>
  <c r="I97" i="8"/>
  <c r="G97" i="8"/>
  <c r="F97" i="8"/>
  <c r="E97" i="8"/>
  <c r="D97" i="8"/>
  <c r="C97" i="8"/>
  <c r="B97" i="8"/>
  <c r="I96" i="8"/>
  <c r="G96" i="8"/>
  <c r="F96" i="8"/>
  <c r="E96" i="8"/>
  <c r="D96" i="8"/>
  <c r="C96" i="8"/>
  <c r="B96" i="8"/>
  <c r="I95" i="8"/>
  <c r="G95" i="8"/>
  <c r="F95" i="8"/>
  <c r="E95" i="8"/>
  <c r="D95" i="8"/>
  <c r="C95" i="8"/>
  <c r="B95" i="8"/>
  <c r="I94" i="8"/>
  <c r="G94" i="8"/>
  <c r="F94" i="8"/>
  <c r="E94" i="8"/>
  <c r="D94" i="8"/>
  <c r="C94" i="8"/>
  <c r="B94" i="8"/>
  <c r="I93" i="8"/>
  <c r="G93" i="8"/>
  <c r="F93" i="8"/>
  <c r="E93" i="8"/>
  <c r="D93" i="8"/>
  <c r="C93" i="8"/>
  <c r="B93" i="8"/>
  <c r="I92" i="8"/>
  <c r="G92" i="8"/>
  <c r="F92" i="8"/>
  <c r="E92" i="8"/>
  <c r="D92" i="8"/>
  <c r="C92" i="8"/>
  <c r="B92" i="8"/>
  <c r="I91" i="8"/>
  <c r="G91" i="8"/>
  <c r="F91" i="8"/>
  <c r="E91" i="8"/>
  <c r="D91" i="8"/>
  <c r="C91" i="8"/>
  <c r="B91" i="8"/>
  <c r="I90" i="8"/>
  <c r="G90" i="8"/>
  <c r="F90" i="8"/>
  <c r="E90" i="8"/>
  <c r="D90" i="8"/>
  <c r="C90" i="8"/>
  <c r="B90" i="8"/>
  <c r="I89" i="8"/>
  <c r="G89" i="8"/>
  <c r="F89" i="8"/>
  <c r="E89" i="8"/>
  <c r="D89" i="8"/>
  <c r="C89" i="8"/>
  <c r="B89" i="8"/>
  <c r="I88" i="8"/>
  <c r="G88" i="8"/>
  <c r="F88" i="8"/>
  <c r="E88" i="8"/>
  <c r="D88" i="8"/>
  <c r="C88" i="8"/>
  <c r="B88" i="8"/>
  <c r="I87" i="8"/>
  <c r="G87" i="8"/>
  <c r="F87" i="8"/>
  <c r="E87" i="8"/>
  <c r="D87" i="8"/>
  <c r="C87" i="8"/>
  <c r="B87" i="8"/>
  <c r="I86" i="8"/>
  <c r="G86" i="8"/>
  <c r="F86" i="8"/>
  <c r="E86" i="8"/>
  <c r="D86" i="8"/>
  <c r="C86" i="8"/>
  <c r="B86" i="8"/>
  <c r="I85" i="8"/>
  <c r="G85" i="8"/>
  <c r="F85" i="8"/>
  <c r="E85" i="8"/>
  <c r="D85" i="8"/>
  <c r="C85" i="8"/>
  <c r="B85" i="8"/>
  <c r="I84" i="8"/>
  <c r="G84" i="8"/>
  <c r="F84" i="8"/>
  <c r="E84" i="8"/>
  <c r="D84" i="8"/>
  <c r="C84" i="8"/>
  <c r="B84" i="8"/>
  <c r="I83" i="8"/>
  <c r="G83" i="8"/>
  <c r="F83" i="8"/>
  <c r="E83" i="8"/>
  <c r="D83" i="8"/>
  <c r="C83" i="8"/>
  <c r="B83" i="8"/>
  <c r="I82" i="8"/>
  <c r="G82" i="8"/>
  <c r="F82" i="8"/>
  <c r="E82" i="8"/>
  <c r="D82" i="8"/>
  <c r="C82" i="8"/>
  <c r="B82" i="8"/>
  <c r="I81" i="8"/>
  <c r="G81" i="8"/>
  <c r="F81" i="8"/>
  <c r="E81" i="8"/>
  <c r="D81" i="8"/>
  <c r="C81" i="8"/>
  <c r="B81" i="8"/>
  <c r="I80" i="8"/>
  <c r="G80" i="8"/>
  <c r="F80" i="8"/>
  <c r="E80" i="8"/>
  <c r="D80" i="8"/>
  <c r="C80" i="8"/>
  <c r="B80" i="8"/>
  <c r="I79" i="8"/>
  <c r="G79" i="8"/>
  <c r="F79" i="8"/>
  <c r="E79" i="8"/>
  <c r="D79" i="8"/>
  <c r="C79" i="8"/>
  <c r="B79" i="8"/>
  <c r="I78" i="8"/>
  <c r="G78" i="8"/>
  <c r="F78" i="8"/>
  <c r="E78" i="8"/>
  <c r="D78" i="8"/>
  <c r="C78" i="8"/>
  <c r="B78" i="8"/>
  <c r="I77" i="8"/>
  <c r="G77" i="8"/>
  <c r="F77" i="8"/>
  <c r="E77" i="8"/>
  <c r="D77" i="8"/>
  <c r="C77" i="8"/>
  <c r="B77" i="8"/>
  <c r="I76" i="8"/>
  <c r="G76" i="8"/>
  <c r="F76" i="8"/>
  <c r="E76" i="8"/>
  <c r="D76" i="8"/>
  <c r="C76" i="8"/>
  <c r="B76" i="8"/>
  <c r="I75" i="8"/>
  <c r="G75" i="8"/>
  <c r="F75" i="8"/>
  <c r="E75" i="8"/>
  <c r="D75" i="8"/>
  <c r="C75" i="8"/>
  <c r="B75" i="8"/>
  <c r="I74" i="8"/>
  <c r="G74" i="8"/>
  <c r="F74" i="8"/>
  <c r="E74" i="8"/>
  <c r="D74" i="8"/>
  <c r="C74" i="8"/>
  <c r="B74" i="8"/>
  <c r="I73" i="8"/>
  <c r="G73" i="8"/>
  <c r="F73" i="8"/>
  <c r="E73" i="8"/>
  <c r="D73" i="8"/>
  <c r="C73" i="8"/>
  <c r="B73" i="8"/>
  <c r="I72" i="8"/>
  <c r="G72" i="8"/>
  <c r="F72" i="8"/>
  <c r="E72" i="8"/>
  <c r="D72" i="8"/>
  <c r="C72" i="8"/>
  <c r="B72" i="8"/>
  <c r="I71" i="8"/>
  <c r="G71" i="8"/>
  <c r="F71" i="8"/>
  <c r="E71" i="8"/>
  <c r="D71" i="8"/>
  <c r="C71" i="8"/>
  <c r="B71" i="8"/>
  <c r="I70" i="8"/>
  <c r="G70" i="8"/>
  <c r="F70" i="8"/>
  <c r="E70" i="8"/>
  <c r="D70" i="8"/>
  <c r="C70" i="8"/>
  <c r="B70" i="8"/>
  <c r="I69" i="8"/>
  <c r="G69" i="8"/>
  <c r="F69" i="8"/>
  <c r="E69" i="8"/>
  <c r="D69" i="8"/>
  <c r="C69" i="8"/>
  <c r="B69" i="8"/>
  <c r="I68" i="8"/>
  <c r="G68" i="8"/>
  <c r="F68" i="8"/>
  <c r="E68" i="8"/>
  <c r="D68" i="8"/>
  <c r="C68" i="8"/>
  <c r="B68" i="8"/>
  <c r="I67" i="8"/>
  <c r="G67" i="8"/>
  <c r="F67" i="8"/>
  <c r="E67" i="8"/>
  <c r="D67" i="8"/>
  <c r="C67" i="8"/>
  <c r="B67" i="8"/>
  <c r="I66" i="8"/>
  <c r="G66" i="8"/>
  <c r="F66" i="8"/>
  <c r="E66" i="8"/>
  <c r="D66" i="8"/>
  <c r="C66" i="8"/>
  <c r="B66" i="8"/>
  <c r="I65" i="8"/>
  <c r="G65" i="8"/>
  <c r="F65" i="8"/>
  <c r="E65" i="8"/>
  <c r="D65" i="8"/>
  <c r="C65" i="8"/>
  <c r="B65" i="8"/>
  <c r="I64" i="8"/>
  <c r="G64" i="8"/>
  <c r="F64" i="8"/>
  <c r="E64" i="8"/>
  <c r="D64" i="8"/>
  <c r="C64" i="8"/>
  <c r="B64" i="8"/>
  <c r="I63" i="8"/>
  <c r="G63" i="8"/>
  <c r="F63" i="8"/>
  <c r="E63" i="8"/>
  <c r="D63" i="8"/>
  <c r="C63" i="8"/>
  <c r="B63" i="8"/>
  <c r="I62" i="8"/>
  <c r="G62" i="8"/>
  <c r="F62" i="8"/>
  <c r="E62" i="8"/>
  <c r="D62" i="8"/>
  <c r="C62" i="8"/>
  <c r="B62" i="8"/>
  <c r="I61" i="8"/>
  <c r="G61" i="8"/>
  <c r="F61" i="8"/>
  <c r="E61" i="8"/>
  <c r="D61" i="8"/>
  <c r="C61" i="8"/>
  <c r="B61" i="8"/>
  <c r="I60" i="8"/>
  <c r="G60" i="8"/>
  <c r="F60" i="8"/>
  <c r="E60" i="8"/>
  <c r="D60" i="8"/>
  <c r="C60" i="8"/>
  <c r="B60" i="8"/>
  <c r="I59" i="8"/>
  <c r="G59" i="8"/>
  <c r="F59" i="8"/>
  <c r="E59" i="8"/>
  <c r="D59" i="8"/>
  <c r="C59" i="8"/>
  <c r="B59" i="8"/>
  <c r="I58" i="8"/>
  <c r="G58" i="8"/>
  <c r="F58" i="8"/>
  <c r="E58" i="8"/>
  <c r="D58" i="8"/>
  <c r="C58" i="8"/>
  <c r="B58" i="8"/>
  <c r="I57" i="8"/>
  <c r="G57" i="8"/>
  <c r="F57" i="8"/>
  <c r="E57" i="8"/>
  <c r="D57" i="8"/>
  <c r="C57" i="8"/>
  <c r="B57" i="8"/>
  <c r="I56" i="8"/>
  <c r="G56" i="8"/>
  <c r="F56" i="8"/>
  <c r="E56" i="8"/>
  <c r="D56" i="8"/>
  <c r="C56" i="8"/>
  <c r="B56" i="8"/>
  <c r="I55" i="8"/>
  <c r="G55" i="8"/>
  <c r="F55" i="8"/>
  <c r="E55" i="8"/>
  <c r="D55" i="8"/>
  <c r="C55" i="8"/>
  <c r="B55" i="8"/>
  <c r="I54" i="8"/>
  <c r="G54" i="8"/>
  <c r="F54" i="8"/>
  <c r="E54" i="8"/>
  <c r="D54" i="8"/>
  <c r="C54" i="8"/>
  <c r="B54" i="8"/>
  <c r="I53" i="8"/>
  <c r="G53" i="8"/>
  <c r="F53" i="8"/>
  <c r="E53" i="8"/>
  <c r="D53" i="8"/>
  <c r="C53" i="8"/>
  <c r="B53" i="8"/>
  <c r="I52" i="8"/>
  <c r="G52" i="8"/>
  <c r="F52" i="8"/>
  <c r="E52" i="8"/>
  <c r="D52" i="8"/>
  <c r="C52" i="8"/>
  <c r="B52" i="8"/>
  <c r="I51" i="8"/>
  <c r="G51" i="8"/>
  <c r="F51" i="8"/>
  <c r="E51" i="8"/>
  <c r="D51" i="8"/>
  <c r="C51" i="8"/>
  <c r="B51" i="8"/>
  <c r="I50" i="8"/>
  <c r="G50" i="8"/>
  <c r="F50" i="8"/>
  <c r="E50" i="8"/>
  <c r="D50" i="8"/>
  <c r="C50" i="8"/>
  <c r="B50" i="8"/>
  <c r="I49" i="8"/>
  <c r="G49" i="8"/>
  <c r="F49" i="8"/>
  <c r="E49" i="8"/>
  <c r="D49" i="8"/>
  <c r="C49" i="8"/>
  <c r="B49" i="8"/>
  <c r="I48" i="8"/>
  <c r="G48" i="8"/>
  <c r="F48" i="8"/>
  <c r="E48" i="8"/>
  <c r="D48" i="8"/>
  <c r="C48" i="8"/>
  <c r="B48" i="8"/>
  <c r="I47" i="8"/>
  <c r="G47" i="8"/>
  <c r="F47" i="8"/>
  <c r="E47" i="8"/>
  <c r="D47" i="8"/>
  <c r="C47" i="8"/>
  <c r="B47" i="8"/>
  <c r="I46" i="8"/>
  <c r="G46" i="8"/>
  <c r="F46" i="8"/>
  <c r="E46" i="8"/>
  <c r="D46" i="8"/>
  <c r="C46" i="8"/>
  <c r="B46" i="8"/>
  <c r="I45" i="8"/>
  <c r="G45" i="8"/>
  <c r="F45" i="8"/>
  <c r="E45" i="8"/>
  <c r="D45" i="8"/>
  <c r="C45" i="8"/>
  <c r="B45" i="8"/>
  <c r="I44" i="8"/>
  <c r="G44" i="8"/>
  <c r="F44" i="8"/>
  <c r="E44" i="8"/>
  <c r="D44" i="8"/>
  <c r="C44" i="8"/>
  <c r="B44" i="8"/>
  <c r="I43" i="8"/>
  <c r="G43" i="8"/>
  <c r="F43" i="8"/>
  <c r="E43" i="8"/>
  <c r="D43" i="8"/>
  <c r="C43" i="8"/>
  <c r="B43" i="8"/>
  <c r="I42" i="8"/>
  <c r="G42" i="8"/>
  <c r="F42" i="8"/>
  <c r="E42" i="8"/>
  <c r="D42" i="8"/>
  <c r="C42" i="8"/>
  <c r="B42" i="8"/>
  <c r="I41" i="8"/>
  <c r="G41" i="8"/>
  <c r="F41" i="8"/>
  <c r="E41" i="8"/>
  <c r="D41" i="8"/>
  <c r="C41" i="8"/>
  <c r="B41" i="8"/>
  <c r="I40" i="8"/>
  <c r="G40" i="8"/>
  <c r="F40" i="8"/>
  <c r="E40" i="8"/>
  <c r="D40" i="8"/>
  <c r="C40" i="8"/>
  <c r="B40" i="8"/>
  <c r="I39" i="8"/>
  <c r="G39" i="8"/>
  <c r="F39" i="8"/>
  <c r="E39" i="8"/>
  <c r="D39" i="8"/>
  <c r="C39" i="8"/>
  <c r="B39" i="8"/>
  <c r="I38" i="8"/>
  <c r="G38" i="8"/>
  <c r="F38" i="8"/>
  <c r="E38" i="8"/>
  <c r="D38" i="8"/>
  <c r="C38" i="8"/>
  <c r="B38" i="8"/>
  <c r="I37" i="8"/>
  <c r="G37" i="8"/>
  <c r="F37" i="8"/>
  <c r="E37" i="8"/>
  <c r="D37" i="8"/>
  <c r="C37" i="8"/>
  <c r="B37" i="8"/>
  <c r="I36" i="8"/>
  <c r="G36" i="8"/>
  <c r="F36" i="8"/>
  <c r="E36" i="8"/>
  <c r="D36" i="8"/>
  <c r="C36" i="8"/>
  <c r="B36" i="8"/>
  <c r="I35" i="8"/>
  <c r="G35" i="8"/>
  <c r="F35" i="8"/>
  <c r="E35" i="8"/>
  <c r="D35" i="8"/>
  <c r="C35" i="8"/>
  <c r="B35" i="8"/>
  <c r="I34" i="8"/>
  <c r="G34" i="8"/>
  <c r="F34" i="8"/>
  <c r="E34" i="8"/>
  <c r="D34" i="8"/>
  <c r="C34" i="8"/>
  <c r="B34" i="8"/>
  <c r="I33" i="8"/>
  <c r="G33" i="8"/>
  <c r="F33" i="8"/>
  <c r="E33" i="8"/>
  <c r="D33" i="8"/>
  <c r="C33" i="8"/>
  <c r="B33" i="8"/>
  <c r="I32" i="8"/>
  <c r="G32" i="8"/>
  <c r="F32" i="8"/>
  <c r="E32" i="8"/>
  <c r="D32" i="8"/>
  <c r="C32" i="8"/>
  <c r="B32" i="8"/>
  <c r="I31" i="8"/>
  <c r="G31" i="8"/>
  <c r="F31" i="8"/>
  <c r="E31" i="8"/>
  <c r="D31" i="8"/>
  <c r="C31" i="8"/>
  <c r="B31" i="8"/>
  <c r="I30" i="8"/>
  <c r="G30" i="8"/>
  <c r="F30" i="8"/>
  <c r="E30" i="8"/>
  <c r="D30" i="8"/>
  <c r="C30" i="8"/>
  <c r="B30" i="8"/>
  <c r="I29" i="8"/>
  <c r="G29" i="8"/>
  <c r="F29" i="8"/>
  <c r="E29" i="8"/>
  <c r="D29" i="8"/>
  <c r="C29" i="8"/>
  <c r="B29" i="8"/>
  <c r="I28" i="8"/>
  <c r="G28" i="8"/>
  <c r="F28" i="8"/>
  <c r="E28" i="8"/>
  <c r="D28" i="8"/>
  <c r="C28" i="8"/>
  <c r="B28" i="8"/>
  <c r="I27" i="8"/>
  <c r="G27" i="8"/>
  <c r="F27" i="8"/>
  <c r="E27" i="8"/>
  <c r="D27" i="8"/>
  <c r="C27" i="8"/>
  <c r="B27" i="8"/>
  <c r="I26" i="8"/>
  <c r="G26" i="8"/>
  <c r="F26" i="8"/>
  <c r="E26" i="8"/>
  <c r="D26" i="8"/>
  <c r="C26" i="8"/>
  <c r="B26" i="8"/>
  <c r="I25" i="8"/>
  <c r="G25" i="8"/>
  <c r="F25" i="8"/>
  <c r="E25" i="8"/>
  <c r="D25" i="8"/>
  <c r="C25" i="8"/>
  <c r="B25" i="8"/>
  <c r="I24" i="8"/>
  <c r="G24" i="8"/>
  <c r="F24" i="8"/>
  <c r="E24" i="8"/>
  <c r="D24" i="8"/>
  <c r="C24" i="8"/>
  <c r="B24" i="8"/>
  <c r="I23" i="8"/>
  <c r="G23" i="8"/>
  <c r="F23" i="8"/>
  <c r="E23" i="8"/>
  <c r="D23" i="8"/>
  <c r="C23" i="8"/>
  <c r="B23" i="8"/>
  <c r="I22" i="8"/>
  <c r="G22" i="8"/>
  <c r="F22" i="8"/>
  <c r="E22" i="8"/>
  <c r="D22" i="8"/>
  <c r="C22" i="8"/>
  <c r="B22" i="8"/>
  <c r="I21" i="8"/>
  <c r="G21" i="8"/>
  <c r="F21" i="8"/>
  <c r="E21" i="8"/>
  <c r="D21" i="8"/>
  <c r="C21" i="8"/>
  <c r="B21" i="8"/>
  <c r="I20" i="8"/>
  <c r="G20" i="8"/>
  <c r="F20" i="8"/>
  <c r="E20" i="8"/>
  <c r="D20" i="8"/>
  <c r="C20" i="8"/>
  <c r="B20" i="8"/>
  <c r="I19" i="8"/>
  <c r="G19" i="8"/>
  <c r="F19" i="8"/>
  <c r="E19" i="8"/>
  <c r="D19" i="8"/>
  <c r="C19" i="8"/>
  <c r="B19" i="8"/>
  <c r="I18" i="8"/>
  <c r="G18" i="8"/>
  <c r="F18" i="8"/>
  <c r="E18" i="8"/>
  <c r="D18" i="8"/>
  <c r="C18" i="8"/>
  <c r="B18" i="8"/>
  <c r="I17" i="8"/>
  <c r="G17" i="8"/>
  <c r="F17" i="8"/>
  <c r="E17" i="8"/>
  <c r="D17" i="8"/>
  <c r="C17" i="8"/>
  <c r="B17" i="8"/>
  <c r="I16" i="8"/>
  <c r="G16" i="8"/>
  <c r="F16" i="8"/>
  <c r="E16" i="8"/>
  <c r="D16" i="8"/>
  <c r="C16" i="8"/>
  <c r="B16" i="8"/>
  <c r="I15" i="8"/>
  <c r="G15" i="8"/>
  <c r="F15" i="8"/>
  <c r="E15" i="8"/>
  <c r="D15" i="8"/>
  <c r="C15" i="8"/>
  <c r="B15" i="8"/>
  <c r="I14" i="8"/>
  <c r="G14" i="8"/>
  <c r="F14" i="8"/>
  <c r="E14" i="8"/>
  <c r="D14" i="8"/>
  <c r="C14" i="8"/>
  <c r="B14" i="8"/>
  <c r="I13" i="8"/>
  <c r="G13" i="8"/>
  <c r="F13" i="8"/>
  <c r="E13" i="8"/>
  <c r="D13" i="8"/>
  <c r="C13" i="8"/>
  <c r="B13" i="8"/>
  <c r="I12" i="8"/>
  <c r="G12" i="8"/>
  <c r="F12" i="8"/>
  <c r="E12" i="8"/>
  <c r="D12" i="8"/>
  <c r="C12" i="8"/>
  <c r="B12" i="8"/>
  <c r="I11" i="8"/>
  <c r="G11" i="8"/>
  <c r="F11" i="8"/>
  <c r="E11" i="8"/>
  <c r="D11" i="8"/>
  <c r="C11" i="8"/>
  <c r="B11" i="8"/>
  <c r="I10" i="8"/>
  <c r="G10" i="8"/>
  <c r="F10" i="8"/>
  <c r="E10" i="8"/>
  <c r="D10" i="8"/>
  <c r="C10" i="8"/>
  <c r="B10" i="8"/>
  <c r="I9" i="8"/>
  <c r="G9" i="8"/>
  <c r="F9" i="8"/>
  <c r="E9" i="8"/>
  <c r="D9" i="8"/>
  <c r="C9" i="8"/>
  <c r="B9" i="8"/>
  <c r="I8" i="8"/>
  <c r="G8" i="8"/>
  <c r="F8" i="8"/>
  <c r="E8" i="8"/>
  <c r="D8" i="8"/>
  <c r="C8" i="8"/>
  <c r="B8" i="8"/>
  <c r="I7" i="8"/>
  <c r="G7" i="8"/>
  <c r="F7" i="8"/>
  <c r="E7" i="8"/>
  <c r="D7" i="8"/>
  <c r="C7" i="8"/>
  <c r="B7" i="8"/>
  <c r="I6" i="8"/>
  <c r="G6" i="8"/>
  <c r="F6" i="8"/>
  <c r="E6" i="8"/>
  <c r="D6" i="8"/>
  <c r="C6" i="8"/>
  <c r="B6" i="8"/>
  <c r="K36" i="7"/>
  <c r="I36" i="7"/>
  <c r="H36" i="7"/>
  <c r="G36" i="7"/>
  <c r="F36" i="7"/>
  <c r="E36" i="7"/>
  <c r="D36" i="7"/>
  <c r="K35" i="7"/>
  <c r="I35" i="7"/>
  <c r="H35" i="7"/>
  <c r="G35" i="7"/>
  <c r="F35" i="7"/>
  <c r="E35" i="7"/>
  <c r="D35" i="7"/>
  <c r="K34" i="7"/>
  <c r="I34" i="7"/>
  <c r="H34" i="7"/>
  <c r="G34" i="7"/>
  <c r="F34" i="7"/>
  <c r="E34" i="7"/>
  <c r="D34" i="7"/>
  <c r="K33" i="7"/>
  <c r="I33" i="7"/>
  <c r="H33" i="7"/>
  <c r="G33" i="7"/>
  <c r="F33" i="7"/>
  <c r="E33" i="7"/>
  <c r="D33" i="7"/>
  <c r="K32" i="7"/>
  <c r="I32" i="7"/>
  <c r="H32" i="7"/>
  <c r="G32" i="7"/>
  <c r="F32" i="7"/>
  <c r="E32" i="7"/>
  <c r="D32" i="7"/>
  <c r="K31" i="7"/>
  <c r="I31" i="7"/>
  <c r="H31" i="7"/>
  <c r="G31" i="7"/>
  <c r="F31" i="7"/>
  <c r="E31" i="7"/>
  <c r="D31" i="7"/>
  <c r="K30" i="7"/>
  <c r="I30" i="7"/>
  <c r="H30" i="7"/>
  <c r="G30" i="7"/>
  <c r="F30" i="7"/>
  <c r="E30" i="7"/>
  <c r="D30" i="7"/>
  <c r="K29" i="7"/>
  <c r="I29" i="7"/>
  <c r="H29" i="7"/>
  <c r="G29" i="7"/>
  <c r="F29" i="7"/>
  <c r="E29" i="7"/>
  <c r="D29" i="7"/>
  <c r="K28" i="7"/>
  <c r="I28" i="7"/>
  <c r="H28" i="7"/>
  <c r="G28" i="7"/>
  <c r="F28" i="7"/>
  <c r="E28" i="7"/>
  <c r="D28" i="7"/>
  <c r="K27" i="7"/>
  <c r="I27" i="7"/>
  <c r="H27" i="7"/>
  <c r="G27" i="7"/>
  <c r="F27" i="7"/>
  <c r="E27" i="7"/>
  <c r="D27" i="7"/>
  <c r="K26" i="7"/>
  <c r="I26" i="7"/>
  <c r="H26" i="7"/>
  <c r="G26" i="7"/>
  <c r="F26" i="7"/>
  <c r="E26" i="7"/>
  <c r="D26" i="7"/>
  <c r="K25" i="7"/>
  <c r="I25" i="7"/>
  <c r="H25" i="7"/>
  <c r="G25" i="7"/>
  <c r="F25" i="7"/>
  <c r="E25" i="7"/>
  <c r="D25" i="7"/>
  <c r="K24" i="7"/>
  <c r="I24" i="7"/>
  <c r="H24" i="7"/>
  <c r="G24" i="7"/>
  <c r="F24" i="7"/>
  <c r="E24" i="7"/>
  <c r="D24" i="7"/>
  <c r="K23" i="7"/>
  <c r="I23" i="7"/>
  <c r="H23" i="7"/>
  <c r="G23" i="7"/>
  <c r="F23" i="7"/>
  <c r="E23" i="7"/>
  <c r="D23" i="7"/>
  <c r="K22" i="7"/>
  <c r="I22" i="7"/>
  <c r="H22" i="7"/>
  <c r="G22" i="7"/>
  <c r="F22" i="7"/>
  <c r="E22" i="7"/>
  <c r="D22" i="7"/>
  <c r="K21" i="7"/>
  <c r="I21" i="7"/>
  <c r="H21" i="7"/>
  <c r="G21" i="7"/>
  <c r="F21" i="7"/>
  <c r="E21" i="7"/>
  <c r="D21" i="7"/>
  <c r="K20" i="7"/>
  <c r="I20" i="7"/>
  <c r="H20" i="7"/>
  <c r="G20" i="7"/>
  <c r="F20" i="7"/>
  <c r="E20" i="7"/>
  <c r="D20" i="7"/>
  <c r="K19" i="7"/>
  <c r="I19" i="7"/>
  <c r="H19" i="7"/>
  <c r="G19" i="7"/>
  <c r="F19" i="7"/>
  <c r="E19" i="7"/>
  <c r="D19" i="7"/>
  <c r="K18" i="7"/>
  <c r="I18" i="7"/>
  <c r="H18" i="7"/>
  <c r="G18" i="7"/>
  <c r="F18" i="7"/>
  <c r="E18" i="7"/>
  <c r="D18" i="7"/>
  <c r="K17" i="7"/>
  <c r="I17" i="7"/>
  <c r="H17" i="7"/>
  <c r="G17" i="7"/>
  <c r="F17" i="7"/>
  <c r="E17" i="7"/>
  <c r="D17" i="7"/>
  <c r="K16" i="7"/>
  <c r="I16" i="7"/>
  <c r="H16" i="7"/>
  <c r="G16" i="7"/>
  <c r="F16" i="7"/>
  <c r="E16" i="7"/>
  <c r="D16" i="7"/>
  <c r="K15" i="7"/>
  <c r="I15" i="7"/>
  <c r="H15" i="7"/>
  <c r="G15" i="7"/>
  <c r="F15" i="7"/>
  <c r="E15" i="7"/>
  <c r="D15" i="7"/>
  <c r="K14" i="7"/>
  <c r="I14" i="7"/>
  <c r="H14" i="7"/>
  <c r="G14" i="7"/>
  <c r="F14" i="7"/>
  <c r="E14" i="7"/>
  <c r="D14" i="7"/>
  <c r="K13" i="7"/>
  <c r="I13" i="7"/>
  <c r="H13" i="7"/>
  <c r="G13" i="7"/>
  <c r="F13" i="7"/>
  <c r="E13" i="7"/>
  <c r="D13" i="7"/>
  <c r="K12" i="7"/>
  <c r="I12" i="7"/>
  <c r="H12" i="7"/>
  <c r="G12" i="7"/>
  <c r="F12" i="7"/>
  <c r="E12" i="7"/>
  <c r="D12" i="7"/>
  <c r="K11" i="7"/>
  <c r="I11" i="7"/>
  <c r="H11" i="7"/>
  <c r="G11" i="7"/>
  <c r="F11" i="7"/>
  <c r="E11" i="7"/>
  <c r="D11" i="7"/>
  <c r="K10" i="7"/>
  <c r="I10" i="7"/>
  <c r="H10" i="7"/>
  <c r="G10" i="7"/>
  <c r="F10" i="7"/>
  <c r="E10" i="7"/>
  <c r="D10" i="7"/>
  <c r="K9" i="7"/>
  <c r="I9" i="7"/>
  <c r="H9" i="7"/>
  <c r="G9" i="7"/>
  <c r="F9" i="7"/>
  <c r="E9" i="7"/>
  <c r="D9" i="7"/>
  <c r="K8" i="7"/>
  <c r="I8" i="7"/>
  <c r="H8" i="7"/>
  <c r="G8" i="7"/>
  <c r="F8" i="7"/>
  <c r="E8" i="7"/>
  <c r="D8" i="7"/>
  <c r="K7" i="7"/>
  <c r="I7" i="7"/>
  <c r="H7" i="7"/>
  <c r="G7" i="7"/>
  <c r="F7" i="7"/>
  <c r="E7" i="7"/>
  <c r="D7" i="7"/>
  <c r="K6" i="7"/>
  <c r="I6" i="7"/>
  <c r="H6" i="7"/>
  <c r="G6" i="7"/>
  <c r="F6" i="7"/>
  <c r="E6" i="7"/>
  <c r="D6" i="7"/>
  <c r="F19" i="4"/>
  <c r="E19" i="4"/>
  <c r="D19" i="4"/>
  <c r="C19" i="4"/>
  <c r="F18" i="4"/>
  <c r="E18" i="4"/>
  <c r="D18" i="4"/>
  <c r="C18" i="4"/>
  <c r="B18" i="4"/>
  <c r="F17" i="4"/>
  <c r="E17" i="4"/>
  <c r="D17" i="4"/>
  <c r="C17" i="4"/>
  <c r="B17" i="4"/>
  <c r="F16" i="4"/>
  <c r="E16" i="4"/>
  <c r="D16" i="4"/>
  <c r="C16" i="4"/>
  <c r="B16" i="4"/>
  <c r="F15" i="4"/>
  <c r="E15" i="4"/>
  <c r="D15" i="4"/>
  <c r="C15" i="4"/>
  <c r="B15" i="4"/>
  <c r="F14" i="4"/>
  <c r="E14" i="4"/>
  <c r="D14" i="4"/>
  <c r="C14" i="4"/>
  <c r="B14" i="4"/>
  <c r="F13" i="4"/>
  <c r="E13" i="4"/>
  <c r="D13" i="4"/>
  <c r="C13" i="4"/>
  <c r="B13" i="4"/>
  <c r="F12" i="4"/>
  <c r="E12" i="4"/>
  <c r="D12" i="4"/>
  <c r="C12" i="4"/>
  <c r="B12" i="4"/>
  <c r="I11" i="4"/>
  <c r="H11" i="4"/>
  <c r="G11" i="4"/>
  <c r="F11" i="4"/>
  <c r="E11" i="4"/>
  <c r="D11" i="4"/>
  <c r="C11" i="4"/>
  <c r="B11" i="4"/>
  <c r="E8" i="4"/>
  <c r="D8" i="4"/>
  <c r="C8" i="4"/>
  <c r="B8" i="4"/>
  <c r="B3" i="4"/>
  <c r="H19" i="3"/>
  <c r="G19" i="3"/>
  <c r="C19" i="3"/>
  <c r="H18" i="3"/>
  <c r="G18" i="3"/>
  <c r="C18" i="3"/>
  <c r="B18" i="3"/>
  <c r="H17" i="3"/>
  <c r="G17" i="3"/>
  <c r="C17" i="3"/>
  <c r="B17" i="3"/>
  <c r="H16" i="3"/>
  <c r="G16" i="3"/>
  <c r="C16" i="3"/>
  <c r="B16" i="3"/>
  <c r="H15" i="3"/>
  <c r="G15" i="3"/>
  <c r="C15" i="3"/>
  <c r="B15" i="3"/>
  <c r="H14" i="3"/>
  <c r="G14" i="3"/>
  <c r="D14" i="3"/>
  <c r="C14" i="3"/>
  <c r="B14" i="3"/>
  <c r="H13" i="3"/>
  <c r="G13" i="3"/>
  <c r="C13" i="3"/>
  <c r="B13" i="3"/>
  <c r="H12" i="3"/>
  <c r="G12" i="3"/>
  <c r="C12" i="3"/>
  <c r="B12" i="3"/>
  <c r="J11" i="3"/>
  <c r="I11" i="3"/>
  <c r="H11" i="3"/>
  <c r="G11" i="3"/>
  <c r="F11" i="3"/>
  <c r="E11" i="3"/>
  <c r="D11" i="3"/>
  <c r="C11" i="3"/>
  <c r="B11" i="3"/>
  <c r="D7" i="3"/>
  <c r="D6" i="3"/>
  <c r="B6" i="3"/>
  <c r="B3" i="3"/>
  <c r="H15" i="2"/>
  <c r="H14" i="2"/>
  <c r="G14" i="2"/>
  <c r="F12" i="2"/>
  <c r="H11" i="2"/>
  <c r="G11" i="2"/>
  <c r="F11" i="2"/>
  <c r="E11" i="2"/>
  <c r="D11" i="2"/>
  <c r="I183" i="8"/>
  <c r="D190" i="8"/>
  <c r="M33" i="9"/>
  <c r="N33" i="9"/>
  <c r="C45" i="9"/>
  <c r="M5" i="10"/>
  <c r="E38" i="9"/>
  <c r="D38" i="9"/>
  <c r="E39" i="9"/>
  <c r="D39" i="9"/>
  <c r="D41" i="9"/>
  <c r="E41" i="9"/>
  <c r="D42" i="9"/>
  <c r="E42" i="9"/>
  <c r="D43" i="9"/>
  <c r="E5" i="10"/>
  <c r="I11" i="2" s="1"/>
  <c r="I168" i="8"/>
  <c r="I176" i="8"/>
  <c r="I175" i="8"/>
  <c r="I174" i="8"/>
  <c r="I189" i="8"/>
  <c r="I184" i="8"/>
  <c r="D191" i="8"/>
  <c r="I172" i="8"/>
  <c r="I196" i="8"/>
  <c r="D198" i="8"/>
  <c r="I177" i="8"/>
  <c r="D186" i="8"/>
  <c r="D187" i="8"/>
  <c r="D188" i="8"/>
  <c r="D196" i="8"/>
  <c r="I204" i="8"/>
  <c r="O12" i="10"/>
  <c r="D18" i="3" s="1"/>
  <c r="H7" i="10"/>
  <c r="H13" i="2" s="1"/>
  <c r="D185" i="8"/>
  <c r="D195" i="8"/>
  <c r="D200"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I192" i="8"/>
  <c r="I199" i="8"/>
  <c r="I191" i="8"/>
  <c r="I197" i="8"/>
  <c r="I186" i="8"/>
  <c r="I187" i="8"/>
  <c r="I188" i="8"/>
  <c r="D204" i="8"/>
  <c r="I201" i="8"/>
  <c r="C12" i="10"/>
  <c r="I179" i="8"/>
  <c r="I180" i="8"/>
  <c r="I181" i="8"/>
  <c r="I182" i="8"/>
  <c r="J5" i="10"/>
  <c r="C7" i="10"/>
  <c r="F12" i="10"/>
  <c r="M11" i="10"/>
  <c r="M13" i="10"/>
  <c r="H12" i="10"/>
  <c r="D193" i="8"/>
  <c r="I194" i="8"/>
  <c r="D201" i="8"/>
  <c r="I202" i="8"/>
  <c r="E44" i="9"/>
  <c r="D199" i="8"/>
  <c r="I200" i="8"/>
  <c r="B45" i="9"/>
  <c r="E45" i="9"/>
  <c r="D7" i="10"/>
  <c r="F13" i="2" s="1"/>
  <c r="D194" i="8"/>
  <c r="I195" i="8"/>
  <c r="D202" i="8"/>
  <c r="I203" i="8"/>
  <c r="D40" i="9"/>
  <c r="D12" i="10"/>
  <c r="D189" i="8"/>
  <c r="I190" i="8"/>
  <c r="D197" i="8"/>
  <c r="I198" i="8"/>
  <c r="D37" i="9"/>
  <c r="F7" i="10"/>
  <c r="D184" i="8"/>
  <c r="I185" i="8"/>
  <c r="D192" i="8"/>
  <c r="I193" i="8"/>
  <c r="G7" i="10"/>
  <c r="G13" i="2" s="1"/>
  <c r="O7" i="10"/>
  <c r="D203" i="8"/>
  <c r="G12" i="10"/>
  <c r="D45" i="9"/>
  <c r="H94" i="8" l="1"/>
  <c r="H101" i="8"/>
  <c r="O11" i="10"/>
  <c r="D17" i="3" s="1"/>
  <c r="C11" i="10"/>
  <c r="J17" i="7"/>
  <c r="J19" i="7"/>
  <c r="H66" i="8"/>
  <c r="J66" i="8" s="1"/>
  <c r="J26" i="7"/>
  <c r="L26" i="7" s="1"/>
  <c r="H100" i="8"/>
  <c r="H45" i="8"/>
  <c r="H19" i="8"/>
  <c r="J34" i="7"/>
  <c r="H93" i="8"/>
  <c r="H42" i="8"/>
  <c r="J20" i="7"/>
  <c r="H65" i="8"/>
  <c r="J65" i="8" s="1"/>
  <c r="H149" i="8"/>
  <c r="J6" i="7"/>
  <c r="J13" i="7"/>
  <c r="J22" i="7"/>
  <c r="J31" i="7"/>
  <c r="H20" i="8"/>
  <c r="J20" i="8" s="1"/>
  <c r="H35" i="8"/>
  <c r="J35" i="8" s="1"/>
  <c r="H86" i="8"/>
  <c r="J86" i="8" s="1"/>
  <c r="H145" i="8"/>
  <c r="J10" i="7"/>
  <c r="H17" i="8"/>
  <c r="J30" i="7"/>
  <c r="J16" i="7"/>
  <c r="H72" i="8"/>
  <c r="J36" i="7"/>
  <c r="J18" i="7"/>
  <c r="H44" i="8"/>
  <c r="H31" i="8"/>
  <c r="H107" i="8"/>
  <c r="D11" i="10"/>
  <c r="F17" i="2" s="1"/>
  <c r="J15" i="7"/>
  <c r="J33" i="7"/>
  <c r="H37" i="8"/>
  <c r="H52" i="8"/>
  <c r="J52" i="8" s="1"/>
  <c r="H115" i="8"/>
  <c r="H136" i="8"/>
  <c r="H147" i="8"/>
  <c r="H24" i="8"/>
  <c r="H6" i="8"/>
  <c r="H79" i="8"/>
  <c r="J79" i="8" s="1"/>
  <c r="H49" i="8"/>
  <c r="H204" i="8"/>
  <c r="H23" i="8"/>
  <c r="J9" i="7"/>
  <c r="L9" i="7" s="1"/>
  <c r="H129" i="8"/>
  <c r="J129" i="8" s="1"/>
  <c r="H16" i="8"/>
  <c r="H9" i="8"/>
  <c r="H80" i="8"/>
  <c r="J80" i="8" s="1"/>
  <c r="G11" i="10"/>
  <c r="G17" i="2" s="1"/>
  <c r="J8" i="7"/>
  <c r="J24" i="7"/>
  <c r="H13" i="8"/>
  <c r="H56" i="8"/>
  <c r="H175" i="8"/>
  <c r="H196" i="8"/>
  <c r="H73" i="8"/>
  <c r="J73" i="8" s="1"/>
  <c r="H77" i="8"/>
  <c r="J77" i="8" s="1"/>
  <c r="H143" i="8"/>
  <c r="H51" i="8"/>
  <c r="J51" i="8" s="1"/>
  <c r="H58" i="8"/>
  <c r="J58" i="8" s="1"/>
  <c r="H198" i="8"/>
  <c r="H122" i="8"/>
  <c r="J122" i="8" s="1"/>
  <c r="H108" i="8"/>
  <c r="H10" i="8"/>
  <c r="J49" i="8"/>
  <c r="H114" i="8"/>
  <c r="H191" i="8"/>
  <c r="H11" i="10"/>
  <c r="H17" i="2" s="1"/>
  <c r="H203" i="8"/>
  <c r="J7" i="7"/>
  <c r="J23" i="7"/>
  <c r="H12" i="8"/>
  <c r="J12" i="8" s="1"/>
  <c r="H21" i="8"/>
  <c r="H70" i="8"/>
  <c r="J70" i="8" s="1"/>
  <c r="H87" i="8"/>
  <c r="J87" i="8" s="1"/>
  <c r="H28" i="8"/>
  <c r="J28" i="8" s="1"/>
  <c r="H30" i="8"/>
  <c r="J12" i="7"/>
  <c r="H202" i="8"/>
  <c r="F11" i="10"/>
  <c r="H38" i="8"/>
  <c r="H199" i="8"/>
  <c r="J199" i="8" s="1"/>
  <c r="H14" i="8"/>
  <c r="J27" i="7"/>
  <c r="H59" i="8"/>
  <c r="J59" i="8" s="1"/>
  <c r="J11" i="7"/>
  <c r="J29" i="7"/>
  <c r="H7" i="8"/>
  <c r="H63" i="8"/>
  <c r="J63" i="8" s="1"/>
  <c r="C9" i="10"/>
  <c r="G9" i="10"/>
  <c r="G15" i="2" s="1"/>
  <c r="I162" i="8"/>
  <c r="G189" i="8"/>
  <c r="G192" i="8"/>
  <c r="G195" i="8"/>
  <c r="D10" i="10"/>
  <c r="I167" i="8"/>
  <c r="F199" i="8"/>
  <c r="J107" i="8"/>
  <c r="F196" i="8"/>
  <c r="F203" i="8"/>
  <c r="G6" i="10"/>
  <c r="G12" i="2" s="1"/>
  <c r="I170" i="8"/>
  <c r="D131" i="8"/>
  <c r="D133" i="8"/>
  <c r="D135" i="8"/>
  <c r="F163" i="8"/>
  <c r="I165" i="8"/>
  <c r="I173" i="8"/>
  <c r="C179" i="8"/>
  <c r="G184" i="8"/>
  <c r="G187" i="8"/>
  <c r="F190" i="8"/>
  <c r="G193" i="8"/>
  <c r="C200" i="8"/>
  <c r="B204" i="8"/>
  <c r="D137" i="8"/>
  <c r="D139" i="8"/>
  <c r="D141" i="8"/>
  <c r="D143" i="8"/>
  <c r="I151" i="8"/>
  <c r="I158" i="8"/>
  <c r="G163" i="8"/>
  <c r="F168" i="8"/>
  <c r="F176" i="8"/>
  <c r="E179" i="8"/>
  <c r="C182" i="8"/>
  <c r="B185" i="8"/>
  <c r="B188" i="8"/>
  <c r="B191" i="8"/>
  <c r="B194" i="8"/>
  <c r="B197" i="8"/>
  <c r="E200" i="8"/>
  <c r="E204" i="8"/>
  <c r="C8" i="10"/>
  <c r="I115" i="8"/>
  <c r="I117" i="8"/>
  <c r="I119" i="8"/>
  <c r="I121" i="8"/>
  <c r="F145" i="8"/>
  <c r="J145" i="8" s="1"/>
  <c r="G147" i="8"/>
  <c r="G156" i="8"/>
  <c r="F161" i="8"/>
  <c r="I163" i="8"/>
  <c r="C166" i="8"/>
  <c r="G168" i="8"/>
  <c r="F171" i="8"/>
  <c r="C174" i="8"/>
  <c r="G176" i="8"/>
  <c r="E182" i="8"/>
  <c r="C185" i="8"/>
  <c r="C188" i="8"/>
  <c r="C191" i="8"/>
  <c r="C194" i="8"/>
  <c r="C197" i="8"/>
  <c r="D8" i="10"/>
  <c r="F14" i="2" s="1"/>
  <c r="I123" i="8"/>
  <c r="I125" i="8"/>
  <c r="I127" i="8"/>
  <c r="I149" i="8"/>
  <c r="J149" i="8" s="1"/>
  <c r="G171" i="8"/>
  <c r="G179" i="8"/>
  <c r="F182" i="8"/>
  <c r="E185" i="8"/>
  <c r="E188" i="8"/>
  <c r="E191" i="8"/>
  <c r="E194" i="8"/>
  <c r="E197" i="8"/>
  <c r="B201" i="8"/>
  <c r="I161" i="8"/>
  <c r="G182" i="8"/>
  <c r="F185" i="8"/>
  <c r="F188" i="8"/>
  <c r="F191" i="8"/>
  <c r="F194" i="8"/>
  <c r="F197" i="8"/>
  <c r="G202" i="8"/>
  <c r="F10" i="10"/>
  <c r="J37" i="8"/>
  <c r="G10" i="10"/>
  <c r="G13" i="10" s="1"/>
  <c r="G19" i="2" s="1"/>
  <c r="J56" i="8"/>
  <c r="J115" i="8"/>
  <c r="H10" i="10"/>
  <c r="H16" i="2" s="1"/>
  <c r="H118" i="8"/>
  <c r="J118" i="8" s="1"/>
  <c r="J94" i="8"/>
  <c r="G186" i="8"/>
  <c r="G197" i="8"/>
  <c r="F200" i="8"/>
  <c r="H184" i="8"/>
  <c r="J100" i="8"/>
  <c r="J45" i="8"/>
  <c r="I178" i="8"/>
  <c r="G203" i="8"/>
  <c r="J143" i="8"/>
  <c r="J108" i="8"/>
  <c r="F198" i="8"/>
  <c r="C204" i="8"/>
  <c r="C6" i="10"/>
  <c r="D9" i="10"/>
  <c r="J114" i="8"/>
  <c r="I159" i="8"/>
  <c r="I166" i="8"/>
  <c r="F9" i="10"/>
  <c r="J38" i="8"/>
  <c r="J72" i="8"/>
  <c r="J93" i="8"/>
  <c r="I171" i="8"/>
  <c r="G190" i="8"/>
  <c r="F193" i="8"/>
  <c r="G201" i="8"/>
  <c r="F6" i="10"/>
  <c r="J42" i="8"/>
  <c r="G204" i="8"/>
  <c r="J44" i="8"/>
  <c r="J101" i="8"/>
  <c r="J136" i="8"/>
  <c r="H55" i="8"/>
  <c r="J55" i="8" s="1"/>
  <c r="J25" i="7"/>
  <c r="L25" i="7" s="1"/>
  <c r="J32" i="7"/>
  <c r="H8" i="8"/>
  <c r="H15" i="8"/>
  <c r="H22" i="8"/>
  <c r="H29" i="8"/>
  <c r="J29" i="8" s="1"/>
  <c r="H36" i="8"/>
  <c r="H43" i="8"/>
  <c r="J43" i="8" s="1"/>
  <c r="H50" i="8"/>
  <c r="J50" i="8" s="1"/>
  <c r="H57" i="8"/>
  <c r="J57" i="8" s="1"/>
  <c r="H64" i="8"/>
  <c r="J64" i="8" s="1"/>
  <c r="H71" i="8"/>
  <c r="J71" i="8" s="1"/>
  <c r="H78" i="8"/>
  <c r="J78" i="8" s="1"/>
  <c r="H85" i="8"/>
  <c r="J85" i="8" s="1"/>
  <c r="H92" i="8"/>
  <c r="J92" i="8" s="1"/>
  <c r="H99" i="8"/>
  <c r="J99" i="8" s="1"/>
  <c r="H106" i="8"/>
  <c r="J106" i="8" s="1"/>
  <c r="H113" i="8"/>
  <c r="J113" i="8" s="1"/>
  <c r="H120" i="8"/>
  <c r="J120" i="8" s="1"/>
  <c r="H127" i="8"/>
  <c r="H134" i="8"/>
  <c r="J134" i="8" s="1"/>
  <c r="H141" i="8"/>
  <c r="J141" i="8" s="1"/>
  <c r="H173" i="8"/>
  <c r="J173" i="8" s="1"/>
  <c r="H182" i="8"/>
  <c r="H189" i="8"/>
  <c r="J189" i="8" s="1"/>
  <c r="H169" i="8"/>
  <c r="J169" i="8" s="1"/>
  <c r="H171" i="8"/>
  <c r="H194" i="8"/>
  <c r="H151" i="8"/>
  <c r="J151" i="8" s="1"/>
  <c r="H153" i="8"/>
  <c r="J153" i="8" s="1"/>
  <c r="H155" i="8"/>
  <c r="J155" i="8" s="1"/>
  <c r="H157" i="8"/>
  <c r="H159" i="8"/>
  <c r="J159" i="8" s="1"/>
  <c r="H161" i="8"/>
  <c r="H163" i="8"/>
  <c r="H165" i="8"/>
  <c r="J165" i="8" s="1"/>
  <c r="H167" i="8"/>
  <c r="J167" i="8" s="1"/>
  <c r="H180" i="8"/>
  <c r="H187" i="8"/>
  <c r="J187" i="8" s="1"/>
  <c r="H200" i="8"/>
  <c r="H178" i="8"/>
  <c r="J178" i="8" s="1"/>
  <c r="H192" i="8"/>
  <c r="J192" i="8" s="1"/>
  <c r="H26" i="8"/>
  <c r="J26" i="8" s="1"/>
  <c r="H40" i="8"/>
  <c r="J40" i="8" s="1"/>
  <c r="H54" i="8"/>
  <c r="J54" i="8" s="1"/>
  <c r="H68" i="8"/>
  <c r="J68" i="8" s="1"/>
  <c r="H82" i="8"/>
  <c r="J82" i="8" s="1"/>
  <c r="H96" i="8"/>
  <c r="J96" i="8" s="1"/>
  <c r="H110" i="8"/>
  <c r="J110" i="8" s="1"/>
  <c r="H124" i="8"/>
  <c r="J124" i="8" s="1"/>
  <c r="H138" i="8"/>
  <c r="J138" i="8" s="1"/>
  <c r="H33" i="8"/>
  <c r="H47" i="8"/>
  <c r="J47" i="8" s="1"/>
  <c r="H61" i="8"/>
  <c r="J61" i="8" s="1"/>
  <c r="H75" i="8"/>
  <c r="J75" i="8" s="1"/>
  <c r="H89" i="8"/>
  <c r="J89" i="8" s="1"/>
  <c r="H103" i="8"/>
  <c r="J103" i="8" s="1"/>
  <c r="H117" i="8"/>
  <c r="J117" i="8" s="1"/>
  <c r="H131" i="8"/>
  <c r="J131" i="8" s="1"/>
  <c r="H185" i="8"/>
  <c r="H176" i="8"/>
  <c r="J176" i="8" s="1"/>
  <c r="H91" i="8"/>
  <c r="J91" i="8" s="1"/>
  <c r="H105" i="8"/>
  <c r="J105" i="8" s="1"/>
  <c r="H119" i="8"/>
  <c r="J119" i="8" s="1"/>
  <c r="H133" i="8"/>
  <c r="J133" i="8" s="1"/>
  <c r="H84" i="8"/>
  <c r="J84" i="8" s="1"/>
  <c r="H98" i="8"/>
  <c r="J98" i="8" s="1"/>
  <c r="H112" i="8"/>
  <c r="J112" i="8" s="1"/>
  <c r="H126" i="8"/>
  <c r="J126" i="8" s="1"/>
  <c r="H140" i="8"/>
  <c r="J140" i="8" s="1"/>
  <c r="H183" i="8"/>
  <c r="J183" i="8" s="1"/>
  <c r="H190" i="8"/>
  <c r="J190" i="8" s="1"/>
  <c r="H197" i="8"/>
  <c r="H174" i="8"/>
  <c r="J174" i="8" s="1"/>
  <c r="H195" i="8"/>
  <c r="J195" i="8" s="1"/>
  <c r="H128" i="8"/>
  <c r="J128" i="8" s="1"/>
  <c r="H142" i="8"/>
  <c r="J142" i="8" s="1"/>
  <c r="H170" i="8"/>
  <c r="J170" i="8" s="1"/>
  <c r="H172" i="8"/>
  <c r="J172" i="8" s="1"/>
  <c r="H181" i="8"/>
  <c r="J181" i="8" s="1"/>
  <c r="H188" i="8"/>
  <c r="H121" i="8"/>
  <c r="J121" i="8" s="1"/>
  <c r="H135" i="8"/>
  <c r="J135" i="8" s="1"/>
  <c r="J182" i="8"/>
  <c r="H201" i="8"/>
  <c r="H144" i="8"/>
  <c r="J144" i="8" s="1"/>
  <c r="H146" i="8"/>
  <c r="J146" i="8" s="1"/>
  <c r="H148" i="8"/>
  <c r="J148" i="8" s="1"/>
  <c r="H150" i="8"/>
  <c r="J150" i="8" s="1"/>
  <c r="H152" i="8"/>
  <c r="J152" i="8" s="1"/>
  <c r="H154" i="8"/>
  <c r="J154" i="8" s="1"/>
  <c r="H156" i="8"/>
  <c r="H158" i="8"/>
  <c r="J158" i="8" s="1"/>
  <c r="H160" i="8"/>
  <c r="J160" i="8" s="1"/>
  <c r="H162" i="8"/>
  <c r="J162" i="8" s="1"/>
  <c r="H164" i="8"/>
  <c r="J164" i="8" s="1"/>
  <c r="H166" i="8"/>
  <c r="J166" i="8" s="1"/>
  <c r="H168" i="8"/>
  <c r="J168" i="8" s="1"/>
  <c r="H193" i="8"/>
  <c r="J171" i="8"/>
  <c r="J157" i="8"/>
  <c r="J14" i="7"/>
  <c r="L14" i="7" s="1"/>
  <c r="J21" i="7"/>
  <c r="L21" i="7" s="1"/>
  <c r="J28" i="7"/>
  <c r="L28" i="7" s="1"/>
  <c r="J35" i="7"/>
  <c r="L35" i="7" s="1"/>
  <c r="H11" i="8"/>
  <c r="J11" i="8" s="1"/>
  <c r="H18" i="8"/>
  <c r="J18" i="8" s="1"/>
  <c r="H25" i="8"/>
  <c r="J25" i="8" s="1"/>
  <c r="H32" i="8"/>
  <c r="J32" i="8" s="1"/>
  <c r="H39" i="8"/>
  <c r="J39" i="8" s="1"/>
  <c r="H46" i="8"/>
  <c r="J46" i="8" s="1"/>
  <c r="H53" i="8"/>
  <c r="J53" i="8" s="1"/>
  <c r="H60" i="8"/>
  <c r="J60" i="8" s="1"/>
  <c r="H67" i="8"/>
  <c r="J67" i="8" s="1"/>
  <c r="H74" i="8"/>
  <c r="J74" i="8" s="1"/>
  <c r="H81" i="8"/>
  <c r="J81" i="8" s="1"/>
  <c r="H88" i="8"/>
  <c r="J88" i="8" s="1"/>
  <c r="H95" i="8"/>
  <c r="J95" i="8" s="1"/>
  <c r="H102" i="8"/>
  <c r="J102" i="8" s="1"/>
  <c r="H109" i="8"/>
  <c r="J109" i="8" s="1"/>
  <c r="H116" i="8"/>
  <c r="J116" i="8" s="1"/>
  <c r="H123" i="8"/>
  <c r="J123" i="8" s="1"/>
  <c r="H130" i="8"/>
  <c r="J130" i="8" s="1"/>
  <c r="H137" i="8"/>
  <c r="J137" i="8" s="1"/>
  <c r="H179" i="8"/>
  <c r="J179" i="8" s="1"/>
  <c r="H186" i="8"/>
  <c r="J186" i="8" s="1"/>
  <c r="H177" i="8"/>
  <c r="J177" i="8" s="1"/>
  <c r="H27" i="8"/>
  <c r="J27" i="8" s="1"/>
  <c r="H34" i="8"/>
  <c r="J34" i="8" s="1"/>
  <c r="H41" i="8"/>
  <c r="J41" i="8" s="1"/>
  <c r="H48" i="8"/>
  <c r="J48" i="8" s="1"/>
  <c r="H62" i="8"/>
  <c r="J62" i="8" s="1"/>
  <c r="H69" i="8"/>
  <c r="J69" i="8" s="1"/>
  <c r="H76" i="8"/>
  <c r="J76" i="8" s="1"/>
  <c r="H83" i="8"/>
  <c r="J83" i="8" s="1"/>
  <c r="H90" i="8"/>
  <c r="J90" i="8" s="1"/>
  <c r="H97" i="8"/>
  <c r="J97" i="8" s="1"/>
  <c r="H104" i="8"/>
  <c r="J104" i="8" s="1"/>
  <c r="H111" i="8"/>
  <c r="J111" i="8" s="1"/>
  <c r="H125" i="8"/>
  <c r="J125" i="8" s="1"/>
  <c r="H132" i="8"/>
  <c r="J132" i="8" s="1"/>
  <c r="H139" i="8"/>
  <c r="J139" i="8" s="1"/>
  <c r="J163" i="8"/>
  <c r="J31" i="8"/>
  <c r="J36" i="8"/>
  <c r="J24" i="8"/>
  <c r="J30" i="8"/>
  <c r="J23" i="8"/>
  <c r="J33" i="8"/>
  <c r="I18" i="4"/>
  <c r="J12" i="10"/>
  <c r="J22" i="8"/>
  <c r="L33" i="7"/>
  <c r="J17" i="8"/>
  <c r="J13" i="8"/>
  <c r="J9" i="8"/>
  <c r="J6" i="8"/>
  <c r="K6" i="8" s="1"/>
  <c r="L6" i="8" s="1"/>
  <c r="J7" i="8"/>
  <c r="J8" i="8"/>
  <c r="J14" i="8"/>
  <c r="J15" i="8"/>
  <c r="J16" i="8"/>
  <c r="L31" i="7"/>
  <c r="J10" i="8"/>
  <c r="J19" i="8"/>
  <c r="J21" i="8"/>
  <c r="L32" i="7"/>
  <c r="L36" i="7"/>
  <c r="L27" i="7"/>
  <c r="L22" i="7"/>
  <c r="L30" i="7"/>
  <c r="L34" i="7"/>
  <c r="L29" i="7"/>
  <c r="L19" i="7"/>
  <c r="J196" i="8"/>
  <c r="J204" i="8"/>
  <c r="J175" i="8"/>
  <c r="J180" i="8"/>
  <c r="J11" i="10"/>
  <c r="E11" i="10"/>
  <c r="N11" i="10" s="1"/>
  <c r="L17" i="7"/>
  <c r="I17" i="3"/>
  <c r="J184" i="8"/>
  <c r="J198" i="8"/>
  <c r="N5" i="10"/>
  <c r="L8" i="7"/>
  <c r="L11" i="7"/>
  <c r="L20" i="7"/>
  <c r="E18" i="2"/>
  <c r="L10" i="7"/>
  <c r="L13" i="7"/>
  <c r="L12" i="7"/>
  <c r="L18" i="7"/>
  <c r="G13" i="4"/>
  <c r="O13" i="10"/>
  <c r="D19" i="3" s="1"/>
  <c r="L6" i="7"/>
  <c r="M6" i="7" s="1"/>
  <c r="N6" i="7" s="1"/>
  <c r="L15" i="7"/>
  <c r="L23" i="7"/>
  <c r="L24" i="7"/>
  <c r="J191" i="8"/>
  <c r="K11" i="2"/>
  <c r="L16" i="7"/>
  <c r="I18" i="3"/>
  <c r="L7" i="7"/>
  <c r="E7" i="10"/>
  <c r="I13" i="2" s="1"/>
  <c r="D13" i="2"/>
  <c r="D13" i="3"/>
  <c r="J7" i="10"/>
  <c r="E13" i="2"/>
  <c r="D18" i="2"/>
  <c r="E12" i="10"/>
  <c r="K18" i="2" s="1"/>
  <c r="J11" i="2"/>
  <c r="I5" i="10"/>
  <c r="L5" i="10" s="1"/>
  <c r="J202" i="8"/>
  <c r="J13" i="3"/>
  <c r="H13" i="4"/>
  <c r="I13" i="3"/>
  <c r="H18" i="2"/>
  <c r="E18" i="3"/>
  <c r="G18" i="2"/>
  <c r="J18" i="3"/>
  <c r="F18" i="3"/>
  <c r="I13" i="4"/>
  <c r="F13" i="3"/>
  <c r="E13" i="3"/>
  <c r="C13" i="10"/>
  <c r="E17" i="2"/>
  <c r="J200" i="8"/>
  <c r="F18" i="2"/>
  <c r="H18" i="4"/>
  <c r="G18" i="4"/>
  <c r="J156" i="8" l="1"/>
  <c r="J203" i="8"/>
  <c r="D17" i="2"/>
  <c r="D13" i="10"/>
  <c r="F19" i="2" s="1"/>
  <c r="G17" i="4"/>
  <c r="H17" i="4"/>
  <c r="J188" i="8"/>
  <c r="J197" i="8"/>
  <c r="J147" i="8"/>
  <c r="E17" i="3"/>
  <c r="F17" i="3"/>
  <c r="J17" i="3"/>
  <c r="I17" i="4"/>
  <c r="J194" i="8"/>
  <c r="F16" i="2"/>
  <c r="E16" i="2"/>
  <c r="J10" i="10"/>
  <c r="D16" i="2"/>
  <c r="E10" i="10"/>
  <c r="D14" i="2"/>
  <c r="J8" i="10"/>
  <c r="J14" i="3"/>
  <c r="I14" i="3"/>
  <c r="E8" i="10"/>
  <c r="I14" i="4"/>
  <c r="F14" i="3"/>
  <c r="E14" i="3"/>
  <c r="H14" i="4"/>
  <c r="G14" i="4"/>
  <c r="E14" i="2"/>
  <c r="J161" i="8"/>
  <c r="J127" i="8"/>
  <c r="F13" i="10"/>
  <c r="J193" i="8"/>
  <c r="J185" i="8"/>
  <c r="J201" i="8"/>
  <c r="G15" i="4"/>
  <c r="E15" i="2"/>
  <c r="D15" i="2"/>
  <c r="E9" i="10"/>
  <c r="J15" i="3"/>
  <c r="I15" i="3"/>
  <c r="H15" i="4"/>
  <c r="F15" i="2"/>
  <c r="F15" i="3"/>
  <c r="E15" i="3"/>
  <c r="I15" i="4"/>
  <c r="J6" i="10"/>
  <c r="F12" i="3"/>
  <c r="E12" i="3"/>
  <c r="I12" i="4"/>
  <c r="H12" i="4"/>
  <c r="G12" i="4"/>
  <c r="I12" i="3"/>
  <c r="D12" i="2"/>
  <c r="E12" i="2"/>
  <c r="E6" i="10"/>
  <c r="J12" i="3"/>
  <c r="E16" i="3"/>
  <c r="I16" i="4"/>
  <c r="H16" i="4"/>
  <c r="G16" i="4"/>
  <c r="G16" i="2"/>
  <c r="F16" i="3"/>
  <c r="J16" i="3"/>
  <c r="I16" i="3"/>
  <c r="H13" i="10"/>
  <c r="H19" i="2" s="1"/>
  <c r="J9" i="10"/>
  <c r="I17" i="2"/>
  <c r="J17" i="2"/>
  <c r="K7" i="8"/>
  <c r="L7" i="8" s="1"/>
  <c r="J7" i="3"/>
  <c r="J6" i="3"/>
  <c r="J6" i="2"/>
  <c r="K17" i="2"/>
  <c r="J7" i="2"/>
  <c r="I11" i="10"/>
  <c r="K5" i="10"/>
  <c r="I7" i="10"/>
  <c r="K7" i="10" s="1"/>
  <c r="K13" i="2"/>
  <c r="M7" i="7"/>
  <c r="N7" i="7" s="1"/>
  <c r="I18" i="2"/>
  <c r="N12" i="10"/>
  <c r="J13" i="2"/>
  <c r="I12" i="10"/>
  <c r="N7" i="10"/>
  <c r="J18" i="2"/>
  <c r="H8" i="4"/>
  <c r="H7" i="3"/>
  <c r="D6" i="2"/>
  <c r="G6" i="2"/>
  <c r="F19" i="3"/>
  <c r="G8" i="4"/>
  <c r="I19" i="4"/>
  <c r="D7" i="2"/>
  <c r="J19" i="3"/>
  <c r="I19" i="3"/>
  <c r="J13" i="10"/>
  <c r="F7" i="3"/>
  <c r="H6" i="3" l="1"/>
  <c r="D19" i="2"/>
  <c r="E19" i="2" s="1"/>
  <c r="F6" i="3"/>
  <c r="E19" i="3"/>
  <c r="G19" i="4"/>
  <c r="H19" i="4"/>
  <c r="G7" i="2"/>
  <c r="F8" i="4"/>
  <c r="J14" i="2"/>
  <c r="N8" i="10"/>
  <c r="I14" i="2"/>
  <c r="K14" i="2"/>
  <c r="N10" i="10"/>
  <c r="I10" i="10"/>
  <c r="I16" i="2"/>
  <c r="J16" i="2"/>
  <c r="K16" i="2"/>
  <c r="I8" i="10"/>
  <c r="K12" i="2"/>
  <c r="N6" i="10"/>
  <c r="I12" i="2"/>
  <c r="I6" i="10"/>
  <c r="J12" i="2"/>
  <c r="E13" i="10"/>
  <c r="I19" i="2" s="1"/>
  <c r="I9" i="10"/>
  <c r="N9" i="10"/>
  <c r="K15" i="2"/>
  <c r="I15" i="2"/>
  <c r="J15" i="2"/>
  <c r="K8" i="8"/>
  <c r="K9" i="8" s="1"/>
  <c r="L9" i="8" s="1"/>
  <c r="L7" i="10"/>
  <c r="M8" i="7"/>
  <c r="M9" i="7" s="1"/>
  <c r="L11" i="10"/>
  <c r="K11" i="10"/>
  <c r="L12" i="10"/>
  <c r="K12" i="10"/>
  <c r="L10" i="10" l="1"/>
  <c r="K10" i="10"/>
  <c r="K10" i="8"/>
  <c r="L10" i="8" s="1"/>
  <c r="L8" i="10"/>
  <c r="K8" i="10"/>
  <c r="L8" i="8"/>
  <c r="L6" i="10"/>
  <c r="L13" i="10" s="1"/>
  <c r="K6" i="10"/>
  <c r="N13" i="10"/>
  <c r="J19" i="2"/>
  <c r="K19" i="2" s="1"/>
  <c r="L9" i="10"/>
  <c r="K9" i="10"/>
  <c r="I13" i="10"/>
  <c r="K13" i="10" s="1"/>
  <c r="N8" i="7"/>
  <c r="N9" i="7"/>
  <c r="M10" i="7"/>
  <c r="K11" i="8" l="1"/>
  <c r="K12" i="8" s="1"/>
  <c r="L11" i="8"/>
  <c r="M11" i="7"/>
  <c r="N10" i="7"/>
  <c r="L12" i="8"/>
  <c r="K13" i="8"/>
  <c r="M12" i="7" l="1"/>
  <c r="N11" i="7"/>
  <c r="K14" i="8"/>
  <c r="L13" i="8"/>
  <c r="N12" i="7" l="1"/>
  <c r="M13" i="7"/>
  <c r="K15" i="8"/>
  <c r="L14" i="8"/>
  <c r="M14" i="7" l="1"/>
  <c r="N13" i="7"/>
  <c r="L15" i="8"/>
  <c r="K16" i="8"/>
  <c r="N14" i="7" l="1"/>
  <c r="M15" i="7"/>
  <c r="K17" i="8"/>
  <c r="L16" i="8"/>
  <c r="M16" i="7" l="1"/>
  <c r="N15" i="7"/>
  <c r="L17" i="8"/>
  <c r="K18" i="8"/>
  <c r="N16" i="7" l="1"/>
  <c r="M17" i="7"/>
  <c r="K19" i="8"/>
  <c r="L18" i="8"/>
  <c r="M18" i="7" l="1"/>
  <c r="N17" i="7"/>
  <c r="L19" i="8"/>
  <c r="K20" i="8"/>
  <c r="N18" i="7" l="1"/>
  <c r="M19" i="7"/>
  <c r="L20" i="8"/>
  <c r="K21" i="8"/>
  <c r="N19" i="7" l="1"/>
  <c r="M20" i="7"/>
  <c r="L21" i="8"/>
  <c r="K22" i="8"/>
  <c r="M21" i="7" l="1"/>
  <c r="N20" i="7"/>
  <c r="K23" i="8"/>
  <c r="L22" i="8"/>
  <c r="M22" i="7" l="1"/>
  <c r="N21" i="7"/>
  <c r="L23" i="8"/>
  <c r="K24" i="8"/>
  <c r="M23" i="7" l="1"/>
  <c r="N22" i="7"/>
  <c r="K25" i="8"/>
  <c r="L24" i="8"/>
  <c r="N23" i="7" l="1"/>
  <c r="M24" i="7"/>
  <c r="L25" i="8"/>
  <c r="K26" i="8"/>
  <c r="M25" i="7" l="1"/>
  <c r="N24" i="7"/>
  <c r="K27" i="8"/>
  <c r="L26" i="8"/>
  <c r="M26" i="7" l="1"/>
  <c r="N25" i="7"/>
  <c r="L27" i="8"/>
  <c r="K28" i="8"/>
  <c r="M27" i="7" l="1"/>
  <c r="N26" i="7"/>
  <c r="L28" i="8"/>
  <c r="K29" i="8"/>
  <c r="M28" i="7" l="1"/>
  <c r="N27" i="7"/>
  <c r="L29" i="8"/>
  <c r="K30" i="8"/>
  <c r="M29" i="7" l="1"/>
  <c r="N28" i="7"/>
  <c r="K31" i="8"/>
  <c r="L30" i="8"/>
  <c r="M30" i="7" l="1"/>
  <c r="N29" i="7"/>
  <c r="K32" i="8"/>
  <c r="L31" i="8"/>
  <c r="N30" i="7" l="1"/>
  <c r="M31" i="7"/>
  <c r="L32" i="8"/>
  <c r="K33" i="8"/>
  <c r="N31" i="7" l="1"/>
  <c r="M32" i="7"/>
  <c r="K34" i="8"/>
  <c r="L33" i="8"/>
  <c r="N32" i="7" l="1"/>
  <c r="M33" i="7"/>
  <c r="L34" i="8"/>
  <c r="K35" i="8"/>
  <c r="M34" i="7" l="1"/>
  <c r="N33" i="7"/>
  <c r="K36" i="8"/>
  <c r="L35" i="8"/>
  <c r="M35" i="7" l="1"/>
  <c r="N34" i="7"/>
  <c r="L36" i="8"/>
  <c r="K37" i="8"/>
  <c r="N35" i="7" l="1"/>
  <c r="M36" i="7"/>
  <c r="N36" i="7" s="1"/>
  <c r="K38" i="8"/>
  <c r="L37" i="8"/>
  <c r="K39" i="8" l="1"/>
  <c r="L38" i="8"/>
  <c r="K40" i="8" l="1"/>
  <c r="L39" i="8"/>
  <c r="L40" i="8" l="1"/>
  <c r="K41" i="8"/>
  <c r="K42" i="8" l="1"/>
  <c r="L41" i="8"/>
  <c r="K43" i="8" l="1"/>
  <c r="L42" i="8"/>
  <c r="L43" i="8" l="1"/>
  <c r="K44" i="8"/>
  <c r="K45" i="8" l="1"/>
  <c r="L44" i="8"/>
  <c r="L45" i="8" l="1"/>
  <c r="K46" i="8"/>
  <c r="L46" i="8" l="1"/>
  <c r="K47" i="8"/>
  <c r="L47" i="8" l="1"/>
  <c r="K48" i="8"/>
  <c r="L48" i="8" l="1"/>
  <c r="K49" i="8"/>
  <c r="K50" i="8" l="1"/>
  <c r="L49" i="8"/>
  <c r="L50" i="8" l="1"/>
  <c r="K51" i="8"/>
  <c r="K52" i="8" l="1"/>
  <c r="L51" i="8"/>
  <c r="K53" i="8" l="1"/>
  <c r="L52" i="8"/>
  <c r="L53" i="8" l="1"/>
  <c r="K54" i="8"/>
  <c r="L54" i="8" l="1"/>
  <c r="K55" i="8"/>
  <c r="L55" i="8" l="1"/>
  <c r="K56" i="8"/>
  <c r="K57" i="8" l="1"/>
  <c r="L56" i="8"/>
  <c r="L57" i="8" l="1"/>
  <c r="K58" i="8"/>
  <c r="L58" i="8" l="1"/>
  <c r="K59" i="8"/>
  <c r="L59" i="8" l="1"/>
  <c r="K60" i="8"/>
  <c r="L60" i="8" l="1"/>
  <c r="K61" i="8"/>
  <c r="K62" i="8" l="1"/>
  <c r="L61" i="8"/>
  <c r="K63" i="8" l="1"/>
  <c r="L62" i="8"/>
  <c r="K64" i="8" l="1"/>
  <c r="L63" i="8"/>
  <c r="K65" i="8" l="1"/>
  <c r="L64" i="8"/>
  <c r="K66" i="8" l="1"/>
  <c r="L65" i="8"/>
  <c r="K67" i="8" l="1"/>
  <c r="L66" i="8"/>
  <c r="K68" i="8" l="1"/>
  <c r="L67" i="8"/>
  <c r="K69" i="8" l="1"/>
  <c r="L68" i="8"/>
  <c r="K70" i="8" l="1"/>
  <c r="L69" i="8"/>
  <c r="L70" i="8" l="1"/>
  <c r="K71" i="8"/>
  <c r="K72" i="8" l="1"/>
  <c r="L71" i="8"/>
  <c r="L72" i="8" l="1"/>
  <c r="K73" i="8"/>
  <c r="L73" i="8" l="1"/>
  <c r="K74" i="8"/>
  <c r="L74" i="8" l="1"/>
  <c r="K75" i="8"/>
  <c r="L75" i="8" l="1"/>
  <c r="K76" i="8"/>
  <c r="L76" i="8" l="1"/>
  <c r="K77" i="8"/>
  <c r="L77" i="8" l="1"/>
  <c r="K78" i="8"/>
  <c r="K79" i="8" l="1"/>
  <c r="L78" i="8"/>
  <c r="L79" i="8" l="1"/>
  <c r="K80" i="8"/>
  <c r="L80" i="8" l="1"/>
  <c r="K81" i="8"/>
  <c r="K82" i="8" l="1"/>
  <c r="L81" i="8"/>
  <c r="L82" i="8" l="1"/>
  <c r="K83" i="8"/>
  <c r="K84" i="8" l="1"/>
  <c r="L83" i="8"/>
  <c r="K85" i="8" l="1"/>
  <c r="L84" i="8"/>
  <c r="L85" i="8" l="1"/>
  <c r="K86" i="8"/>
  <c r="L86" i="8" l="1"/>
  <c r="K87" i="8"/>
  <c r="K88" i="8" l="1"/>
  <c r="L87" i="8"/>
  <c r="K89" i="8" l="1"/>
  <c r="L88" i="8"/>
  <c r="K90" i="8" l="1"/>
  <c r="L89" i="8"/>
  <c r="L90" i="8" l="1"/>
  <c r="K91" i="8"/>
  <c r="L91" i="8" l="1"/>
  <c r="K92" i="8"/>
  <c r="K93" i="8" l="1"/>
  <c r="L92" i="8"/>
  <c r="L93" i="8" l="1"/>
  <c r="K94" i="8"/>
  <c r="L94" i="8" l="1"/>
  <c r="K95" i="8"/>
  <c r="K96" i="8" l="1"/>
  <c r="L95" i="8"/>
  <c r="K97" i="8" l="1"/>
  <c r="L96" i="8"/>
  <c r="L97" i="8" l="1"/>
  <c r="K98" i="8"/>
  <c r="K99" i="8" l="1"/>
  <c r="L98" i="8"/>
  <c r="K100" i="8" l="1"/>
  <c r="L99" i="8"/>
  <c r="K101" i="8" l="1"/>
  <c r="L100" i="8"/>
  <c r="K102" i="8" l="1"/>
  <c r="L101" i="8"/>
  <c r="L102" i="8" l="1"/>
  <c r="K103" i="8"/>
  <c r="L103" i="8" l="1"/>
  <c r="K104" i="8"/>
  <c r="L104" i="8" l="1"/>
  <c r="K105" i="8"/>
  <c r="L105" i="8" l="1"/>
  <c r="K106" i="8"/>
  <c r="L106" i="8" l="1"/>
  <c r="K107" i="8"/>
  <c r="L107" i="8" l="1"/>
  <c r="K108" i="8"/>
  <c r="L108" i="8" l="1"/>
  <c r="K109" i="8"/>
  <c r="K110" i="8" l="1"/>
  <c r="L109" i="8"/>
  <c r="K111" i="8" l="1"/>
  <c r="L110" i="8"/>
  <c r="L111" i="8" l="1"/>
  <c r="K112" i="8"/>
  <c r="L112" i="8" l="1"/>
  <c r="K113" i="8"/>
  <c r="K114" i="8" l="1"/>
  <c r="L113" i="8"/>
  <c r="L114" i="8" l="1"/>
  <c r="K115" i="8"/>
  <c r="K116" i="8" l="1"/>
  <c r="L115" i="8"/>
  <c r="K117" i="8" l="1"/>
  <c r="L116" i="8"/>
  <c r="L117" i="8" l="1"/>
  <c r="K118" i="8"/>
  <c r="K119" i="8" l="1"/>
  <c r="L118" i="8"/>
  <c r="K120" i="8" l="1"/>
  <c r="L119" i="8"/>
  <c r="K121" i="8" l="1"/>
  <c r="L120" i="8"/>
  <c r="K122" i="8" l="1"/>
  <c r="L121" i="8"/>
  <c r="K123" i="8" l="1"/>
  <c r="L122" i="8"/>
  <c r="K124" i="8" l="1"/>
  <c r="L123" i="8"/>
  <c r="L124" i="8" l="1"/>
  <c r="K125" i="8"/>
  <c r="K126" i="8" l="1"/>
  <c r="L125" i="8"/>
  <c r="L126" i="8" l="1"/>
  <c r="K127" i="8"/>
  <c r="K128" i="8" l="1"/>
  <c r="L127" i="8"/>
  <c r="L128" i="8" l="1"/>
  <c r="K129" i="8"/>
  <c r="L129" i="8" l="1"/>
  <c r="K130" i="8"/>
  <c r="K131" i="8" l="1"/>
  <c r="L130" i="8"/>
  <c r="L131" i="8" l="1"/>
  <c r="K132" i="8"/>
  <c r="L132" i="8" l="1"/>
  <c r="K133" i="8"/>
  <c r="L133" i="8" l="1"/>
  <c r="K134" i="8"/>
  <c r="K135" i="8" l="1"/>
  <c r="L134" i="8"/>
  <c r="L135" i="8" l="1"/>
  <c r="K136" i="8"/>
  <c r="L136" i="8" l="1"/>
  <c r="K137" i="8"/>
  <c r="K138" i="8" l="1"/>
  <c r="L137" i="8"/>
  <c r="K139" i="8" l="1"/>
  <c r="L138" i="8"/>
  <c r="K140" i="8" l="1"/>
  <c r="L139" i="8"/>
  <c r="L140" i="8" l="1"/>
  <c r="K141" i="8"/>
  <c r="K142" i="8" l="1"/>
  <c r="L141" i="8"/>
  <c r="L142" i="8" l="1"/>
  <c r="K143" i="8"/>
  <c r="L143" i="8" l="1"/>
  <c r="K144" i="8"/>
  <c r="L144" i="8" l="1"/>
  <c r="K145" i="8"/>
  <c r="L145" i="8" l="1"/>
  <c r="K146" i="8"/>
  <c r="L146" i="8" l="1"/>
  <c r="K147" i="8"/>
  <c r="L147" i="8" l="1"/>
  <c r="K148" i="8"/>
  <c r="L148" i="8" l="1"/>
  <c r="K149" i="8"/>
  <c r="L149" i="8" l="1"/>
  <c r="K150" i="8"/>
  <c r="K151" i="8" l="1"/>
  <c r="L150" i="8"/>
  <c r="L151" i="8" l="1"/>
  <c r="K152" i="8"/>
  <c r="K153" i="8" l="1"/>
  <c r="L152" i="8"/>
  <c r="K154" i="8" l="1"/>
  <c r="L153" i="8"/>
  <c r="L154" i="8" l="1"/>
  <c r="K155" i="8"/>
  <c r="K156" i="8" l="1"/>
  <c r="L155" i="8"/>
  <c r="K157" i="8" l="1"/>
  <c r="L156" i="8"/>
  <c r="L157" i="8" l="1"/>
  <c r="K158" i="8"/>
  <c r="L158" i="8" l="1"/>
  <c r="K159" i="8"/>
  <c r="K160" i="8" l="1"/>
  <c r="L159" i="8"/>
  <c r="K161" i="8" l="1"/>
  <c r="L160" i="8"/>
  <c r="L161" i="8" l="1"/>
  <c r="K162" i="8"/>
  <c r="K163" i="8" l="1"/>
  <c r="L162" i="8"/>
  <c r="K164" i="8" l="1"/>
  <c r="L163" i="8"/>
  <c r="L164" i="8" l="1"/>
  <c r="K165" i="8"/>
  <c r="K166" i="8" l="1"/>
  <c r="L165" i="8"/>
  <c r="L166" i="8" l="1"/>
  <c r="K167" i="8"/>
  <c r="L167" i="8" l="1"/>
  <c r="K168" i="8"/>
  <c r="L168" i="8" l="1"/>
  <c r="K169" i="8"/>
  <c r="L169" i="8" l="1"/>
  <c r="K170" i="8"/>
  <c r="L170" i="8" l="1"/>
  <c r="K171" i="8"/>
  <c r="L171" i="8" l="1"/>
  <c r="K172" i="8"/>
  <c r="L172" i="8" l="1"/>
  <c r="K173" i="8"/>
  <c r="L173" i="8" l="1"/>
  <c r="K174" i="8"/>
  <c r="K175" i="8" l="1"/>
  <c r="L174" i="8"/>
  <c r="L175" i="8" l="1"/>
  <c r="K176" i="8"/>
  <c r="K177" i="8" l="1"/>
  <c r="L176" i="8"/>
  <c r="K178" i="8" l="1"/>
  <c r="L177" i="8"/>
  <c r="L178" i="8" l="1"/>
  <c r="K179" i="8"/>
  <c r="K180" i="8" l="1"/>
  <c r="L179" i="8"/>
  <c r="K181" i="8" l="1"/>
  <c r="L180" i="8"/>
  <c r="L181" i="8" l="1"/>
  <c r="K182" i="8"/>
  <c r="L182" i="8" l="1"/>
  <c r="K183" i="8"/>
  <c r="K184" i="8" l="1"/>
  <c r="L183" i="8"/>
  <c r="K185" i="8" l="1"/>
  <c r="L184" i="8"/>
  <c r="L185" i="8" l="1"/>
  <c r="K186" i="8"/>
  <c r="K187" i="8" l="1"/>
  <c r="L186" i="8"/>
  <c r="K188" i="8" l="1"/>
  <c r="L187" i="8"/>
  <c r="L188" i="8" l="1"/>
  <c r="K189" i="8"/>
  <c r="K190" i="8" l="1"/>
  <c r="L189" i="8"/>
  <c r="L190" i="8" l="1"/>
  <c r="K191" i="8"/>
  <c r="K192" i="8" l="1"/>
  <c r="L191" i="8"/>
  <c r="L192" i="8" l="1"/>
  <c r="K193" i="8"/>
  <c r="L193" i="8" l="1"/>
  <c r="K194" i="8"/>
  <c r="K195" i="8" l="1"/>
  <c r="L194" i="8"/>
  <c r="L195" i="8" l="1"/>
  <c r="K196" i="8"/>
  <c r="L196" i="8" l="1"/>
  <c r="K197" i="8"/>
  <c r="K198" i="8" l="1"/>
  <c r="L197" i="8"/>
  <c r="K199" i="8" l="1"/>
  <c r="L198" i="8"/>
  <c r="L199" i="8" l="1"/>
  <c r="K200" i="8"/>
  <c r="L200" i="8" l="1"/>
  <c r="K201" i="8"/>
  <c r="K202" i="8" l="1"/>
  <c r="L201" i="8"/>
  <c r="L202" i="8" l="1"/>
  <c r="K203" i="8"/>
  <c r="L203" i="8" l="1"/>
  <c r="K204" i="8"/>
  <c r="L204"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<sst xmlns="http://schemas.openxmlformats.org/spreadsheetml/2006/main" count="78431" uniqueCount="9841">
  <si>
    <t>📋  LEYENDA DE ESTATUS — PROYECTO PAIG FASE II</t>
  </si>
  <si>
    <t>ESTATUS</t>
  </si>
  <si>
    <t>COLOR</t>
  </si>
  <si>
    <t>DESCRIPCIÓN</t>
  </si>
  <si>
    <t>ACCIÓN REQUERIDA</t>
  </si>
  <si>
    <t>INSTALADO - OPERANDO</t>
  </si>
  <si>
    <t>●</t>
  </si>
  <si>
    <t>Instalación confirmada y equipo con señal activa.</t>
  </si>
  <si>
    <t>Ninguna — sitio completado.</t>
  </si>
  <si>
    <t>INSTALADO - SIN SEÑAL</t>
  </si>
  <si>
    <t>Equipo instalado pero sin señal. Ticket Mesa de Ayuda pendiente.</t>
  </si>
  <si>
    <t>Abrir/dar seguimiento a ticket MDA.</t>
  </si>
  <si>
    <t>EQUIPO EN ALMACÉN</t>
  </si>
  <si>
    <t>Equipo entregado al almacén, pendiente de instalación.</t>
  </si>
  <si>
    <t>Programar visita de instalación.</t>
  </si>
  <si>
    <t>PROGRAMADO</t>
  </si>
  <si>
    <t>Visita de instalación agendada.</t>
  </si>
  <si>
    <t>Confirmar fecha y asistir.</t>
  </si>
  <si>
    <t>VISITADO</t>
  </si>
  <si>
    <t>Se realizó visita pero no se pudo concluir la instalación.</t>
  </si>
  <si>
    <t>Registrar causa e reagendar.</t>
  </si>
  <si>
    <t>SIN INMUEBLE</t>
  </si>
  <si>
    <t>No existe instalación física en el sitio.</t>
  </si>
  <si>
    <t>Escalar para resolución con autoridades.</t>
  </si>
  <si>
    <t>📌  INSTRUCCIONES DE USO</t>
  </si>
  <si>
    <t>1. Cada responsable de GRT accede a su pestaña (ej. GRT Central).</t>
  </si>
  <si>
    <t>2. Localiza el sitio correspondiente y selecciona el ESTATUS en la columna K usando la lista desplegable.</t>
  </si>
  <si>
    <t>3. Registra la FECHA DE ACTUALIZACIÓN en la columna L (formato DD/MM/AAAA).</t>
  </si>
  <si>
    <t>4. Agrega un COMENTARIO breve en la columna M si es necesario.</t>
  </si>
  <si>
    <t>5. El DASHBOARD EJECUTIVO se actualiza automáticamente al guardar.</t>
  </si>
  <si>
    <t>6. NO modificar columnas A-J (datos de identificación del sitio).</t>
  </si>
  <si>
    <t>7. Compartir el archivo en SharePoint/Teams y activar co-autoría para edición simultánea.</t>
  </si>
  <si>
    <t>daniel</t>
  </si>
  <si>
    <t>TABLERO EJECUTIVO  —  PROYECTO PAIG FASE II</t>
  </si>
  <si>
    <t>Última actualización: 27/04/2026  |  CFE Transmisión  |  4,230 Sitios</t>
  </si>
  <si>
    <t>META TOTAL</t>
  </si>
  <si>
    <t>INSTALADOS OPERANDO</t>
  </si>
  <si>
    <t>EQ. EN ALMACÉN</t>
  </si>
  <si>
    <t>SITIOS CANCELADOS</t>
  </si>
  <si>
    <t>sitios a instalar</t>
  </si>
  <si>
    <t>AVANCE POR GERENCIA REGIONAL DE TRANSMISIÓN</t>
  </si>
  <si>
    <t>GERENCIA</t>
  </si>
  <si>
    <t>TOTAL
SITIOS</t>
  </si>
  <si>
    <t>% INST.</t>
  </si>
  <si>
    <t>INSTALADO
SIN SEÑAL</t>
  </si>
  <si>
    <t>VISITA FALLIDA</t>
  </si>
  <si>
    <t>SIN
INMUEBLE</t>
  </si>
  <si>
    <t>EQ. EN
ALMACÉN</t>
  </si>
  <si>
    <t>TOTAL
ENTREGADO</t>
  </si>
  <si>
    <t>% EQ.
ENTREG.</t>
  </si>
  <si>
    <t>GRT Central</t>
  </si>
  <si>
    <t>GRT Occidente</t>
  </si>
  <si>
    <t>GRT Oriente</t>
  </si>
  <si>
    <t>GRT Valle de México</t>
  </si>
  <si>
    <t>GRT Noroeste</t>
  </si>
  <si>
    <t>GRT Norte</t>
  </si>
  <si>
    <t>GRT Noreste</t>
  </si>
  <si>
    <t>GRT Baja California</t>
  </si>
  <si>
    <t>TOTAL</t>
  </si>
  <si>
    <t>CFE Transmisión  |  PAIG Fase II  |  Meta: 4,230 sitios  |  Límite GRT: 15 Jun 2026  |  Cierre: 30 Jun 2026</t>
  </si>
  <si>
    <t>EQUIPOS
ASIGNADOS</t>
  </si>
  <si>
    <t>EQUIPOS
ENTREGADOS</t>
  </si>
  <si>
    <t>INSTALADOS
(Op+SS+Vis)</t>
  </si>
  <si>
    <t>EQ. EN ALMACÉN
(Entr. - Inst.)</t>
  </si>
  <si>
    <t>CANCELADOS</t>
  </si>
  <si>
    <t>"100%  —  meta total"</t>
  </si>
  <si>
    <t>% INST.
/ASIGNADO</t>
  </si>
  <si>
    <t>% ENTR.
/ASIGNADO</t>
  </si>
  <si>
    <t>% ALM.
/ENTREGADO</t>
  </si>
  <si>
    <t>TOTAL GENERAL</t>
  </si>
  <si>
    <t>REPORTE EJECUTIVO — PROYECTO PAIG FASE II</t>
  </si>
  <si>
    <t>EQUIPOS
PENDIENTES
DE ENTREGA</t>
  </si>
  <si>
    <t>% EQUIPOS
ENTREGADOS</t>
  </si>
  <si>
    <t>INSTALADOS</t>
  </si>
  <si>
    <t>% INSTALADOS</t>
  </si>
  <si>
    <t>ASIGNADOS</t>
  </si>
  <si>
    <t>ENTREGADOS</t>
  </si>
  <si>
    <t>DESGLOSE POR GERENCIA REGIONAL DE TRANSMISIÓN</t>
  </si>
  <si>
    <t>GERENCIA
REGIONAL</t>
  </si>
  <si>
    <t>EQUIPOS
PENDIENTES</t>
  </si>
  <si>
    <t>% INST.
ASIGNADOS</t>
  </si>
  <si>
    <t>% INST.
ENTREGADOS</t>
  </si>
  <si>
    <t>BASE DE DATOS CONTROL — PROYECTO PAIG FASE II  |  Instalación de Internet en 4,230 Sitios</t>
  </si>
  <si>
    <t>⚠  NO modificar columnas A–J  |  Solo actualizar: K (Estatus) · L (Fecha) · M (Comentarios)</t>
  </si>
  <si>
    <t>CLAVE</t>
  </si>
  <si>
    <t>ID PUNTO</t>
  </si>
  <si>
    <t>NOMBRE DEL SITIO</t>
  </si>
  <si>
    <t>ESTADO</t>
  </si>
  <si>
    <t>MUNICIPIO</t>
  </si>
  <si>
    <t>LOCALIDAD</t>
  </si>
  <si>
    <t>ÁMBITO</t>
  </si>
  <si>
    <t>GERENCIA (GRT)</t>
  </si>
  <si>
    <t>ALMACÉN</t>
  </si>
  <si>
    <t>INSTITUCIÓN</t>
  </si>
  <si>
    <t>▼ ESTATUS</t>
  </si>
  <si>
    <t>FECHA ACTUALIZACIÓN</t>
  </si>
  <si>
    <t>COMENTARIOS</t>
  </si>
  <si>
    <t>02DTV0005P</t>
  </si>
  <si>
    <t>TELESECUNDARIA 101 INDE CAR TIJUANA</t>
  </si>
  <si>
    <t>BAJA CALIFORNIA</t>
  </si>
  <si>
    <t>TIJUANA</t>
  </si>
  <si>
    <t>MESA DE OTAY</t>
  </si>
  <si>
    <t>URBANO</t>
  </si>
  <si>
    <t>ALMACEN ZT VALLE</t>
  </si>
  <si>
    <t>TELEESCUELA</t>
  </si>
  <si>
    <t>02DTV0006O</t>
  </si>
  <si>
    <t>TELESECUNDARIA 102</t>
  </si>
  <si>
    <t>ENSENADA</t>
  </si>
  <si>
    <t>ZARAHEMLA</t>
  </si>
  <si>
    <t>RURAL</t>
  </si>
  <si>
    <t>02DTV0009L</t>
  </si>
  <si>
    <t>TELESECUNDARIA 105</t>
  </si>
  <si>
    <t>MANEADERO</t>
  </si>
  <si>
    <t>02DTV0011Z</t>
  </si>
  <si>
    <t>TELESECUNDARIA 107</t>
  </si>
  <si>
    <t>EL ROSARIO DE ABAJO</t>
  </si>
  <si>
    <t>02DTV0012Z</t>
  </si>
  <si>
    <t>TELESECUNDARIA 108</t>
  </si>
  <si>
    <t>EJIDO VENUSTIANO CARRANZA</t>
  </si>
  <si>
    <t>02DTV0013Y</t>
  </si>
  <si>
    <t>TELESECUNDARIA 109</t>
  </si>
  <si>
    <t>Instalado - Operando</t>
  </si>
  <si>
    <t>02DTV0014X</t>
  </si>
  <si>
    <t>TELESECUNDARIA FEDERAL 110</t>
  </si>
  <si>
    <t>TECATE</t>
  </si>
  <si>
    <t>02DTV0015W</t>
  </si>
  <si>
    <t>TELESECUNDARIA 111</t>
  </si>
  <si>
    <t>SAN CARLOS</t>
  </si>
  <si>
    <t>02DTV0016V</t>
  </si>
  <si>
    <t>TELESECUNDARIA 112</t>
  </si>
  <si>
    <t>EJIDO RODOLFO SANCHEZ TABOADA</t>
  </si>
  <si>
    <t>02DTV0017U</t>
  </si>
  <si>
    <t>TELESECUNDARIA 113</t>
  </si>
  <si>
    <t>EJIDO BENITO JUAREZ</t>
  </si>
  <si>
    <t>02DTV0019S</t>
  </si>
  <si>
    <t>TETELESECUNDARIA 115</t>
  </si>
  <si>
    <t>02DTV0021G</t>
  </si>
  <si>
    <t>ESCUELA TELESECUNDARIA 117</t>
  </si>
  <si>
    <t>VALLE IMPERIAL</t>
  </si>
  <si>
    <t>02DTV0022F</t>
  </si>
  <si>
    <t>TELESECUNDARIA 118</t>
  </si>
  <si>
    <t>EJIDO LAZARO CARDENAS</t>
  </si>
  <si>
    <t>02DTV0023E</t>
  </si>
  <si>
    <t>TELESECUNDARIA 119</t>
  </si>
  <si>
    <t>PLAYAS DE ROSARITO</t>
  </si>
  <si>
    <t>02ETK0001M</t>
  </si>
  <si>
    <t>TELEBACHILLERATO COMUNITARIO VILLA ZAPATA</t>
  </si>
  <si>
    <t>MEXICALI</t>
  </si>
  <si>
    <t>VILLA ZAPATA MESA ARENOSA DE ANDRADE</t>
  </si>
  <si>
    <t>02ETK0003K</t>
  </si>
  <si>
    <t>TELEBACHILLERATO COMUNITARIO DE LAS CRUCES  3</t>
  </si>
  <si>
    <t>02ETK0004J</t>
  </si>
  <si>
    <t>TELEBACHILLERATO COMUNITARIO GOMEZ MORIN</t>
  </si>
  <si>
    <t>02ETK0006H</t>
  </si>
  <si>
    <t>TELEBACHILLERATO COMUNITARIO CORONITAS</t>
  </si>
  <si>
    <t>EJIDO HERIBERTO JARA</t>
  </si>
  <si>
    <t>02ETK0007G</t>
  </si>
  <si>
    <t>TELEBACHILLERATO COMUNITARIO CHIAPAS</t>
  </si>
  <si>
    <t>EJIDO CHIAPAS 2 LAS CACHORAS</t>
  </si>
  <si>
    <t>02ETK0008F</t>
  </si>
  <si>
    <t>TBC GONZALEZ ORTEGA</t>
  </si>
  <si>
    <t>GONZALEZ ORTEGA 01</t>
  </si>
  <si>
    <t>Instalado - Sin Señal</t>
  </si>
  <si>
    <t>02ETK0009E</t>
  </si>
  <si>
    <t>ENCINAL 09</t>
  </si>
  <si>
    <t>ENCINAL</t>
  </si>
  <si>
    <t>02ETK0010U</t>
  </si>
  <si>
    <t>TELEBACHILLERATO COMUNITARIO LAS CUMBRES</t>
  </si>
  <si>
    <t>LAS CUMBRES</t>
  </si>
  <si>
    <t>02ETK0011T</t>
  </si>
  <si>
    <t>TBC VISTA ENCANTADA</t>
  </si>
  <si>
    <t>02ETK0012S</t>
  </si>
  <si>
    <t>GENARO VAZQUEZ</t>
  </si>
  <si>
    <t>02ETK0014Q</t>
  </si>
  <si>
    <t>CAMINO VERDE</t>
  </si>
  <si>
    <t>02ETK0015P</t>
  </si>
  <si>
    <t>TELEBACHILLERATO COMUNITARIO AJUSCO</t>
  </si>
  <si>
    <t>EJIDO EL AJUSCO</t>
  </si>
  <si>
    <t>02ETK0016O</t>
  </si>
  <si>
    <t>TELEBACHILLERATO ARTICULO 115 NUMERO 16</t>
  </si>
  <si>
    <t>02ETV0003Q</t>
  </si>
  <si>
    <t>TELESECUNDARIA NO 3 LIBERTADORES</t>
  </si>
  <si>
    <t>NUEVA COLONIA HINDU</t>
  </si>
  <si>
    <t>02ETV0004P</t>
  </si>
  <si>
    <t>TELESECUNDARIA  4</t>
  </si>
  <si>
    <t>EJIDO LA MISION</t>
  </si>
  <si>
    <t>02ETV0006N</t>
  </si>
  <si>
    <t>TELESECUNDARIA 6</t>
  </si>
  <si>
    <t>02ETV0007M</t>
  </si>
  <si>
    <t>TELESECUNDARIA 44</t>
  </si>
  <si>
    <t>PUERTA TRAMPA</t>
  </si>
  <si>
    <t>02ETV0008L</t>
  </si>
  <si>
    <t>TELESECUNDARIA 8</t>
  </si>
  <si>
    <t>EJIDO HEROES DE LA INDEPENDENCIA</t>
  </si>
  <si>
    <t>02ETV0009K</t>
  </si>
  <si>
    <t>TELESECUNDARIA  9</t>
  </si>
  <si>
    <t>EJ. CHIAPAS 2</t>
  </si>
  <si>
    <t>02ETV0012Y</t>
  </si>
  <si>
    <t>TELESECUNDARIA   12 SALVADOR DALI</t>
  </si>
  <si>
    <t>TIJUNA</t>
  </si>
  <si>
    <t>02ETV0014W</t>
  </si>
  <si>
    <t>TELESECUNDARIA 45</t>
  </si>
  <si>
    <t>EJ. GUSTAVO DIAZ ORDAZ</t>
  </si>
  <si>
    <t>02ETV0016U</t>
  </si>
  <si>
    <t>TELESECUNDARIA 46</t>
  </si>
  <si>
    <t>EJIDO ALFREDO V. BONFIL</t>
  </si>
  <si>
    <t>02ETV0018S</t>
  </si>
  <si>
    <t xml:space="preserve">TELESECUNDARIA   18  WA-KUATAY </t>
  </si>
  <si>
    <t>COL. MORELOS</t>
  </si>
  <si>
    <t>02ETV0019R</t>
  </si>
  <si>
    <t>TELESECUNDARIA NO 27 BENITO JUAREZ</t>
  </si>
  <si>
    <t>02ETV0020G</t>
  </si>
  <si>
    <t>TELESECUNDARIA 20</t>
  </si>
  <si>
    <t>02ETV0021F</t>
  </si>
  <si>
    <t>TELESECUNDARIA 19</t>
  </si>
  <si>
    <t>02ETV0022E</t>
  </si>
  <si>
    <t>TELESECUNDARIA  21</t>
  </si>
  <si>
    <t>SAN ANTONIO DE LAS MINAS</t>
  </si>
  <si>
    <t>02ETV0024C</t>
  </si>
  <si>
    <t>TELESECUNDARIA 23 PABLO PICASSO</t>
  </si>
  <si>
    <t>JARDINES DE LAS CRUCES</t>
  </si>
  <si>
    <t>02ETV0025B</t>
  </si>
  <si>
    <t>TELESECUNDARIA  25 DAVID VALADEZ GARCIA</t>
  </si>
  <si>
    <t>PLAYAS DE TIJUANA</t>
  </si>
  <si>
    <t>02ETV0026A</t>
  </si>
  <si>
    <t>TELESECUNDARIA 24 PABLO CASALS</t>
  </si>
  <si>
    <t>02ETV0028Z</t>
  </si>
  <si>
    <t>TELESECUNDARIA 28  JUAN ERNESTO GAMALIEL ESPINOSA</t>
  </si>
  <si>
    <t>02ETV0029Y</t>
  </si>
  <si>
    <t>TELE SECUNDARIA NO 29</t>
  </si>
  <si>
    <t>SAN QUINTIN</t>
  </si>
  <si>
    <t>02ETV0030N</t>
  </si>
  <si>
    <t>TELESECUNDARIA 30 VALENTIN GOMEZ FARIAS</t>
  </si>
  <si>
    <t>SANTA ROSALIITA</t>
  </si>
  <si>
    <t>02ETV0032L</t>
  </si>
  <si>
    <t>TELE SECUNDARIA 32</t>
  </si>
  <si>
    <t>02ETV0033K</t>
  </si>
  <si>
    <t>TELESECUNDARIA  33</t>
  </si>
  <si>
    <t>VALLE DE LA TRINIDAD</t>
  </si>
  <si>
    <t>02ETV0037G</t>
  </si>
  <si>
    <t>TELESECUNDARIA 37 SALVADOR NOVO</t>
  </si>
  <si>
    <t>02ETV0038F</t>
  </si>
  <si>
    <t>TELESECUNDARIA 38 RAMON LOPEZ VELARDE</t>
  </si>
  <si>
    <t>EJIDO JACUME TECATE B C</t>
  </si>
  <si>
    <t>02ETV0039E</t>
  </si>
  <si>
    <t>TELESECUNDARIA 39</t>
  </si>
  <si>
    <t>02ETV0041T</t>
  </si>
  <si>
    <t>TELESECUNDARIA 41</t>
  </si>
  <si>
    <t>VILLA ZAPATA</t>
  </si>
  <si>
    <t>02ETV0042S</t>
  </si>
  <si>
    <t>TELESECUNDARIA 42</t>
  </si>
  <si>
    <t>EJIDO HERIBERTO JARA EXTENSION CORONITAS</t>
  </si>
  <si>
    <t>02ETV0046O</t>
  </si>
  <si>
    <t>TELESECUNDARIA 51</t>
  </si>
  <si>
    <t>VICENTE GUERRERO</t>
  </si>
  <si>
    <t>02ETV0050A</t>
  </si>
  <si>
    <t xml:space="preserve">TELESECUNDARIA 55  MANUEL M. PONCE </t>
  </si>
  <si>
    <t>HEROES DE INDEPENDENCIA</t>
  </si>
  <si>
    <t>02ETV0052Z</t>
  </si>
  <si>
    <t>TELESECUNDARIA   57 FEDERICO GARCIA LORCA</t>
  </si>
  <si>
    <t>02ETV0053Y</t>
  </si>
  <si>
    <t>JOSE GOROSTIZA</t>
  </si>
  <si>
    <t>SUB DELAGACION DE LA VILLA</t>
  </si>
  <si>
    <t>02ETV0056V</t>
  </si>
  <si>
    <t>TELESECUNDARIA NUMERO 59</t>
  </si>
  <si>
    <t>LA CHORERA</t>
  </si>
  <si>
    <t>02ETV0062F</t>
  </si>
  <si>
    <t>TELESECUNDARIA  65</t>
  </si>
  <si>
    <t>EJIDO CORONEL ESTEBAN CANTU</t>
  </si>
  <si>
    <t>02ETV0066B</t>
  </si>
  <si>
    <t>MARIANO ABASOLO</t>
  </si>
  <si>
    <t>COLONIA MARIANO ABASOLO</t>
  </si>
  <si>
    <t>02ETV0067A</t>
  </si>
  <si>
    <t>TELESECUNDARIA HEBERTO CASTILLO</t>
  </si>
  <si>
    <t>CUCAPA EL MAYOR</t>
  </si>
  <si>
    <t>02ETV0068Z</t>
  </si>
  <si>
    <t>TELESECUNDARIA 71 HECTOR TERAN TERAN</t>
  </si>
  <si>
    <t>GONZALEZ ORTEGA 1</t>
  </si>
  <si>
    <t>Queda pendiente validación por parte de Mesa de Servicio</t>
  </si>
  <si>
    <t>02ETV0069Z</t>
  </si>
  <si>
    <t>TELESECUNDARIA 72</t>
  </si>
  <si>
    <t>EJIDO ENCINAL</t>
  </si>
  <si>
    <t>02ETV0072M</t>
  </si>
  <si>
    <t>TELESECUNDARIA  76</t>
  </si>
  <si>
    <t>02ETV0076I</t>
  </si>
  <si>
    <t>TELESECUNDARIA 7</t>
  </si>
  <si>
    <t>EJIDO FRANCISCO VILLA</t>
  </si>
  <si>
    <t>02ETV0077H</t>
  </si>
  <si>
    <t>TELESECUNDARIA  14</t>
  </si>
  <si>
    <t>02ETV0079F</t>
  </si>
  <si>
    <t>TELESECUNDARIA  17 JAIME SABINES</t>
  </si>
  <si>
    <t>TIJUANNA</t>
  </si>
  <si>
    <t>02ETV0080V</t>
  </si>
  <si>
    <t>TELESECUNDARIA  35 JUAN JOSE ARREOLA</t>
  </si>
  <si>
    <t>02ETV0081U</t>
  </si>
  <si>
    <t>02ETV0082T</t>
  </si>
  <si>
    <t>TELESECUNDARIA 84 REYNA CALAFIA</t>
  </si>
  <si>
    <t>02ETV0083S</t>
  </si>
  <si>
    <t>TELESECUNDARIA 85</t>
  </si>
  <si>
    <t>GRANJA ORIENTACION</t>
  </si>
  <si>
    <t>02ETV0086P</t>
  </si>
  <si>
    <t>TELESECUNDARIA   93</t>
  </si>
  <si>
    <t>COLONIA . ART.115</t>
  </si>
  <si>
    <t>02ETV0087O</t>
  </si>
  <si>
    <t>CENTRO EDUCATIVO INTEGRAL AUGUSTO HERNANDEZ BERMUD</t>
  </si>
  <si>
    <t>02ETV0088N</t>
  </si>
  <si>
    <t>TELESECUNDARIA 95</t>
  </si>
  <si>
    <t>AJUSCO</t>
  </si>
  <si>
    <t>02ETV0089M</t>
  </si>
  <si>
    <t>CENTRO EDUCATIVO INTEGRAL ALBERGUE DIF TIJUANA N96</t>
  </si>
  <si>
    <t>02ETV0091A</t>
  </si>
  <si>
    <t>TELESECUNDARIA 121</t>
  </si>
  <si>
    <t>02ETV0092Z</t>
  </si>
  <si>
    <t>TELESECUNDARIA NO 122</t>
  </si>
  <si>
    <t>EJ. EMILIANO ZAPATA</t>
  </si>
  <si>
    <t>02ETV0093Z</t>
  </si>
  <si>
    <t>TELESECUNDARIA  123</t>
  </si>
  <si>
    <t>RANCHO NUEVO</t>
  </si>
  <si>
    <t>02ETV0096W</t>
  </si>
  <si>
    <t>TELESECUNDARIA 126</t>
  </si>
  <si>
    <t>SAN FELIPE</t>
  </si>
  <si>
    <t>03DTV0002R</t>
  </si>
  <si>
    <t>TELESECUNDARIA 2 SIGLO XXI</t>
  </si>
  <si>
    <t>BAJA CALIFORNIA SUR</t>
  </si>
  <si>
    <t>LA PAZ</t>
  </si>
  <si>
    <t>EL PESCADERO B. C. SUR</t>
  </si>
  <si>
    <t>03DTV0008L</t>
  </si>
  <si>
    <t>TELESECUNDARIA 8 OCTAVIO PAZ</t>
  </si>
  <si>
    <t>SAN PEDRO</t>
  </si>
  <si>
    <t>03DTV0011Z</t>
  </si>
  <si>
    <t>TELESECUNDARIA 11 MELCHOR OCAMPO</t>
  </si>
  <si>
    <t>COMONDU</t>
  </si>
  <si>
    <t>SAN LUIS GONZAGA</t>
  </si>
  <si>
    <t>03DTV0018S</t>
  </si>
  <si>
    <t>TELESECUNDARIA 18 ,13 DE OCTUBRE DE 1994</t>
  </si>
  <si>
    <t>LEY FEDERAL DE AGUAS N0. 1</t>
  </si>
  <si>
    <t>03DTV0021F</t>
  </si>
  <si>
    <t>TELESECUNDARIA 21 FRANCISCO GONZALEZ BOCANEGRA</t>
  </si>
  <si>
    <t>MULEGE</t>
  </si>
  <si>
    <t>SAN BRUNO</t>
  </si>
  <si>
    <t>03DTV0026A</t>
  </si>
  <si>
    <t>REYES CASTRO COTA</t>
  </si>
  <si>
    <t>EL CARDONAL B.C.S.</t>
  </si>
  <si>
    <t>03DTV0029Y</t>
  </si>
  <si>
    <t>ETV 29 CARMEN FISHER COTA</t>
  </si>
  <si>
    <t>LOS CABOS</t>
  </si>
  <si>
    <t>CABO SAN LUCAS</t>
  </si>
  <si>
    <t>03DTV0034J</t>
  </si>
  <si>
    <t>LAZARO CARDENAS DEL RIO</t>
  </si>
  <si>
    <t>SAN JOSE DEL CABO</t>
  </si>
  <si>
    <t>03DTV0038F</t>
  </si>
  <si>
    <t>TELESECUNDARIA 38 FRANCISCO KING RONDERO</t>
  </si>
  <si>
    <t>CHAMETLA</t>
  </si>
  <si>
    <t>03DTV0040U</t>
  </si>
  <si>
    <t>TELESECUNDARIA 40 ELVIRA CASTILLO MARRON</t>
  </si>
  <si>
    <t>03DTV0042S</t>
  </si>
  <si>
    <t>TELESECUNDARIA 42 BRAULIO MALDONADO SANDEZ</t>
  </si>
  <si>
    <t>03DTV0049L</t>
  </si>
  <si>
    <t>TELESECUNDARIA 49 JOSE EVODIO BALDERAS GONZALEZ</t>
  </si>
  <si>
    <t>03DTV0050A</t>
  </si>
  <si>
    <t xml:space="preserve">TELESECUNDARIA 50  GABRIEL GARCIA MARQUEZ </t>
  </si>
  <si>
    <t>03DTV0052Z</t>
  </si>
  <si>
    <t>TELESECUNDARIA 52</t>
  </si>
  <si>
    <t>LA BOCANA</t>
  </si>
  <si>
    <t>Quedan pendiente alta en mesa de servicio</t>
  </si>
  <si>
    <t>03DTV0053Y</t>
  </si>
  <si>
    <t>JOSE EMILIO PACHECO</t>
  </si>
  <si>
    <t>OLAS ALTAS</t>
  </si>
  <si>
    <t>03DTV0057U</t>
  </si>
  <si>
    <t>MARIA CONCEPCION OLACHEA MONTEJANO</t>
  </si>
  <si>
    <t>03DTV0058T</t>
  </si>
  <si>
    <t>TELESECUNDARIA 58 LEONARDO DAVINCI</t>
  </si>
  <si>
    <t>03DTV0066B</t>
  </si>
  <si>
    <t>TELESECUNDARIA 66 TURNOS MATUTINO Y VESPERTINO</t>
  </si>
  <si>
    <t>03ETK0004I</t>
  </si>
  <si>
    <t>TELEBACHILLERATO COMUNITARIO 4</t>
  </si>
  <si>
    <t>LORETO</t>
  </si>
  <si>
    <t>LIGUI</t>
  </si>
  <si>
    <t>03ETK0005H</t>
  </si>
  <si>
    <t>TELEBACHILLERATO COMUNITARIO 5</t>
  </si>
  <si>
    <t>03ETK0007F</t>
  </si>
  <si>
    <t>TELEBACHILLERATO COMUNITARIO 7</t>
  </si>
  <si>
    <t>03ETK0032E</t>
  </si>
  <si>
    <t>AGUA ESCONDIDA</t>
  </si>
  <si>
    <t>03ETK0033D</t>
  </si>
  <si>
    <t>TELEBACHILLERATO COMUNITARIO 33</t>
  </si>
  <si>
    <t>03ETK0034C</t>
  </si>
  <si>
    <t>TELEBACHILLERATO COMUNITARIO 34 CALAFIA</t>
  </si>
  <si>
    <t>COLONIA CALAFIA</t>
  </si>
  <si>
    <t>03ETK0035B</t>
  </si>
  <si>
    <t>TELEBACHILLERATO COMUNITARIO</t>
  </si>
  <si>
    <t>LA PASION</t>
  </si>
  <si>
    <t>03ETK0036A</t>
  </si>
  <si>
    <t>TELEBACHILLERATO 36</t>
  </si>
  <si>
    <t>03ETK0037Z</t>
  </si>
  <si>
    <t>TELEBACHILLERATO COMUNITARIO 37</t>
  </si>
  <si>
    <t>03ETK0038Z</t>
  </si>
  <si>
    <t>TELEBACHILLERATO COMUNITARIO 38</t>
  </si>
  <si>
    <t>LAS PALMAS</t>
  </si>
  <si>
    <t>03ETK0039Y</t>
  </si>
  <si>
    <t>TELEBACHILLERATO COMUNITARIO 39</t>
  </si>
  <si>
    <t>03ETK0040N</t>
  </si>
  <si>
    <t>TELEBACHILLERATO COMUNITARIO 40</t>
  </si>
  <si>
    <t>SANTA ANITA</t>
  </si>
  <si>
    <t>03ETK0042L</t>
  </si>
  <si>
    <t>TELEBACHILLERATO42</t>
  </si>
  <si>
    <t>LA PLAYA</t>
  </si>
  <si>
    <t>03ETK0044J</t>
  </si>
  <si>
    <t>TELEBACHILLERATO COMUNITARIO 44</t>
  </si>
  <si>
    <t>PUNTA ABREOJOS</t>
  </si>
  <si>
    <t>03ETK0045I</t>
  </si>
  <si>
    <t>TELEBACHILLERATO COMUNITARIO 45</t>
  </si>
  <si>
    <t>MEZQUITITO</t>
  </si>
  <si>
    <t>03ETK0046H</t>
  </si>
  <si>
    <t>TELEBACHILLERATO COMUNITARIO 46</t>
  </si>
  <si>
    <t>03ETK0047G</t>
  </si>
  <si>
    <t>TELEBACHILLERATO COMUNITARIO 47</t>
  </si>
  <si>
    <t>03ETK0049E</t>
  </si>
  <si>
    <t>TELEBACHILLERATO COMUNITARIO 49</t>
  </si>
  <si>
    <t>03ETK0050U</t>
  </si>
  <si>
    <t>TELEBACHILLERATO COMUNITARIO CARIBE BAJO</t>
  </si>
  <si>
    <t>SAN LUCAS</t>
  </si>
  <si>
    <t>03ETK0052S</t>
  </si>
  <si>
    <t>VISTA HERMOSA</t>
  </si>
  <si>
    <t>03ETK0053R</t>
  </si>
  <si>
    <t>TELEBACHILLERATO COMUNITARIO 53</t>
  </si>
  <si>
    <t>03ETK0054Q</t>
  </si>
  <si>
    <t>TELEBACHILLERATO COMUNITARIO 54</t>
  </si>
  <si>
    <t>03ETK0055P</t>
  </si>
  <si>
    <t>45207</t>
  </si>
  <si>
    <t>05DTV0015T</t>
  </si>
  <si>
    <t>IGNACIO CEPEDA DAVILA</t>
  </si>
  <si>
    <t>COAHUILA</t>
  </si>
  <si>
    <t>PARRAS</t>
  </si>
  <si>
    <t>HUARICHE</t>
  </si>
  <si>
    <t>ALMACEN ZT LAGUNA</t>
  </si>
  <si>
    <t>05DTV0031K</t>
  </si>
  <si>
    <t>SOR JUANA INES DE LA CRUZ</t>
  </si>
  <si>
    <t>ZARAGOZA</t>
  </si>
  <si>
    <t>EL REMOLINO</t>
  </si>
  <si>
    <t>ALMACEN VILLA DE GARCIA</t>
  </si>
  <si>
    <t>05DTV0048K</t>
  </si>
  <si>
    <t>CIDTAVS</t>
  </si>
  <si>
    <t>SALTILLO</t>
  </si>
  <si>
    <t>05DTV0049J</t>
  </si>
  <si>
    <t>CHAPULTEPEC</t>
  </si>
  <si>
    <t>05DTV0060F</t>
  </si>
  <si>
    <t>ESPERANZA CASTRO RODRIGUEZ</t>
  </si>
  <si>
    <t>MUZQUIZ</t>
  </si>
  <si>
    <t>MINERAL DE RANCHERIAS</t>
  </si>
  <si>
    <t>05DTV0072K</t>
  </si>
  <si>
    <t>EULALIO GUTIERREZ</t>
  </si>
  <si>
    <t>RAMOS ARIZPE</t>
  </si>
  <si>
    <t>CANADA ANCHA</t>
  </si>
  <si>
    <t>05DTV0078E</t>
  </si>
  <si>
    <t>45051</t>
  </si>
  <si>
    <t>ALLENDE</t>
  </si>
  <si>
    <t>RIO BRAVO</t>
  </si>
  <si>
    <t>05DTV0085O</t>
  </si>
  <si>
    <t>TIERRA Y LIBERTAD</t>
  </si>
  <si>
    <t>PIEDRAS NEGRAS</t>
  </si>
  <si>
    <t>EL MORAL</t>
  </si>
  <si>
    <t>05DTV0086N</t>
  </si>
  <si>
    <t>ESTELA VICTORIA BARRAGAN DE LA FUENTE</t>
  </si>
  <si>
    <t>05DTV0087M</t>
  </si>
  <si>
    <t>ADOLFO TREVIÑO GONZALEZ</t>
  </si>
  <si>
    <t>ACUÑA</t>
  </si>
  <si>
    <t>EJ. CALLES</t>
  </si>
  <si>
    <t>05DTV0089K</t>
  </si>
  <si>
    <t>LEYES DE REFORMA</t>
  </si>
  <si>
    <t>FRANCISCO I. MADERO</t>
  </si>
  <si>
    <t>EJ. BENITO JUAREZ</t>
  </si>
  <si>
    <t>05DTV0091Z</t>
  </si>
  <si>
    <t>VALENTIN GOMEZ FARIAS</t>
  </si>
  <si>
    <t>EJIDO LA VEGA</t>
  </si>
  <si>
    <t>05DTV0092Y</t>
  </si>
  <si>
    <t>05DTV0097T</t>
  </si>
  <si>
    <t>EUGENIO OLAEZ ANDA</t>
  </si>
  <si>
    <t>TORREON</t>
  </si>
  <si>
    <t>05DTV0102O</t>
  </si>
  <si>
    <t>LUCIA AGUIRRE DE FERNANDEZ</t>
  </si>
  <si>
    <t>CIUDAD DE LOS NIÑOS</t>
  </si>
  <si>
    <t>05DTV0107J</t>
  </si>
  <si>
    <t>ALVARO GALVEZ Y FUENTES</t>
  </si>
  <si>
    <t>AMPLIACION RINCON DE LOS PASTORES</t>
  </si>
  <si>
    <t>05DTV0109H</t>
  </si>
  <si>
    <t>JOSE MARTI</t>
  </si>
  <si>
    <t>SOFIA DE ABAJO</t>
  </si>
  <si>
    <t>05ETK0001J</t>
  </si>
  <si>
    <t>05ETK0004G</t>
  </si>
  <si>
    <t>TELEBACHILLERATO COMUNITARIO RANCHERIAS</t>
  </si>
  <si>
    <t>RANCHERÍAS</t>
  </si>
  <si>
    <t>05ETK0020Y</t>
  </si>
  <si>
    <t>TELEBACHILLERATO COMUNITARIO CALLES</t>
  </si>
  <si>
    <t>Calles</t>
  </si>
  <si>
    <t>05ETK0023V</t>
  </si>
  <si>
    <t>ESTAION MADERO</t>
  </si>
  <si>
    <t>05ETK0024U</t>
  </si>
  <si>
    <t>PRESA DE SAN PEDRO</t>
  </si>
  <si>
    <t>05ETK0028Q</t>
  </si>
  <si>
    <t>TELEBACHILLERATO COMUNITARIO EL MORAL</t>
  </si>
  <si>
    <t>05ETK0030E</t>
  </si>
  <si>
    <t>TELEBACHILLERATO COMUNITARIO PALMIRA (VICTORIA)</t>
  </si>
  <si>
    <t>JIMENEZ</t>
  </si>
  <si>
    <t>Palmira (Victoria)</t>
  </si>
  <si>
    <t>05ETK0040L</t>
  </si>
  <si>
    <t>TELEBACHILLERATO COMUNITARIO EL REMOLINO</t>
  </si>
  <si>
    <t xml:space="preserve">CONGREGACIÓN EL REMOLINO </t>
  </si>
  <si>
    <t>05ETK0049C</t>
  </si>
  <si>
    <t>TELEBACHILLERATO COMUNITARIO SANTA MONICA</t>
  </si>
  <si>
    <t>GUERRERO</t>
  </si>
  <si>
    <t>SANTA MONICA</t>
  </si>
  <si>
    <t>05ETK0055N</t>
  </si>
  <si>
    <t>LAS FLORES</t>
  </si>
  <si>
    <t>NADADORES</t>
  </si>
  <si>
    <t>05ETK0057L</t>
  </si>
  <si>
    <t>TELEBACHILLERATO COMUNITARIO OCHO DE ENERO</t>
  </si>
  <si>
    <t>FRONTERA</t>
  </si>
  <si>
    <t>44934</t>
  </si>
  <si>
    <t>05ETK0060Z</t>
  </si>
  <si>
    <t>EJIDO LA LUZ</t>
  </si>
  <si>
    <t>MATAMOROS</t>
  </si>
  <si>
    <t>05ETK0062X</t>
  </si>
  <si>
    <t>LA ROSA</t>
  </si>
  <si>
    <t>GENERAL CEPEDA</t>
  </si>
  <si>
    <t>05ETK0067S</t>
  </si>
  <si>
    <t>TELEBACHILLERATO COMUNITARIO SAN MIGUEL</t>
  </si>
  <si>
    <t>SAN MIGUEL</t>
  </si>
  <si>
    <t>05ETK0073C</t>
  </si>
  <si>
    <t>RINCON DE LOS PASTORES</t>
  </si>
  <si>
    <t>05ETK0077Z</t>
  </si>
  <si>
    <t>TELEBACHILLERATO COMUNITARIO EL MIMBRE</t>
  </si>
  <si>
    <t>EL MIMBRE</t>
  </si>
  <si>
    <t>05ETK0080M</t>
  </si>
  <si>
    <t>TELEBACHILLERATO COMUNITARIO INTERNADO CD. NIÑOS</t>
  </si>
  <si>
    <t>CIUDAD DE LOS NIÑOS (EL PERU)</t>
  </si>
  <si>
    <t>05ETK0085H</t>
  </si>
  <si>
    <t>TELEBACHILLERATO COMUNITARIO EL PORVENIR (EL PORVENIR DE ARRIBA)</t>
  </si>
  <si>
    <t xml:space="preserve">EL PORVENIR (EL PORVENIR DE ARRIBA) </t>
  </si>
  <si>
    <t>05ETK0095O</t>
  </si>
  <si>
    <t>CASTAÑOS</t>
  </si>
  <si>
    <t>05ETK0096N</t>
  </si>
  <si>
    <t>ESTANQUE DE PALOMAS</t>
  </si>
  <si>
    <t>MONCLOVA</t>
  </si>
  <si>
    <t>05ETK0099K</t>
  </si>
  <si>
    <t>TELEBACHILLARATO COMUNITARIO CHARCOS DE RISA</t>
  </si>
  <si>
    <t>CHARCOS DE RISA</t>
  </si>
  <si>
    <t>05ETK0100J</t>
  </si>
  <si>
    <t>FELIPE ANGELES</t>
  </si>
  <si>
    <t>05ETK0102H</t>
  </si>
  <si>
    <t>PORVENIR DE TACUBAYA</t>
  </si>
  <si>
    <t>05ETK0104F</t>
  </si>
  <si>
    <t>TELEBACHILLERATO COMUNITARIO HIDALGO</t>
  </si>
  <si>
    <t>HIDALGO</t>
  </si>
  <si>
    <t>05ETK0105E</t>
  </si>
  <si>
    <t>SAN FELIPE FELIPE</t>
  </si>
  <si>
    <t>SAN FELIPE AGUANAVAL</t>
  </si>
  <si>
    <t>05ETK0115L</t>
  </si>
  <si>
    <t>TELEBACHILLERATO COMUNITARIO BUENA VISTA</t>
  </si>
  <si>
    <t>05ETK0116K</t>
  </si>
  <si>
    <t>TELEBACHILLERATO COMUNITARIO PIEDRAS NEGRAS</t>
  </si>
  <si>
    <t>05ETK0118I</t>
  </si>
  <si>
    <t>TBC LANDEROS</t>
  </si>
  <si>
    <t>OCAMPO</t>
  </si>
  <si>
    <t>05ETK0119H</t>
  </si>
  <si>
    <t>TELEBACHILLERATO COMUNITARIO REATA (GENERAL COSS)</t>
  </si>
  <si>
    <t>05ETK0120X</t>
  </si>
  <si>
    <t>TELEBACHILLERATO COMUNITARIO CLOETE</t>
  </si>
  <si>
    <t>SABINAS</t>
  </si>
  <si>
    <t>CLOETE</t>
  </si>
  <si>
    <t>05ETK0121W</t>
  </si>
  <si>
    <t>TELEBACHILLERATO COMUNITARIO SABINAS</t>
  </si>
  <si>
    <t>05ETK0123U</t>
  </si>
  <si>
    <t>TELEBACHILLERATO COMUNITARIO OMEGA</t>
  </si>
  <si>
    <t>05ETK0124T</t>
  </si>
  <si>
    <t>LOMAS DEL REFUGIO</t>
  </si>
  <si>
    <t>Sin Inmueble</t>
  </si>
  <si>
    <t>05ETK0126R</t>
  </si>
  <si>
    <t>TELEBACHILLERATO CHAPULTEPEC</t>
  </si>
  <si>
    <t>05ETK0127Q</t>
  </si>
  <si>
    <t>05ETK0128P</t>
  </si>
  <si>
    <t>TELEBACHILLERATO COMUNITARIO LA VEGA</t>
  </si>
  <si>
    <t>05ETK0135Z</t>
  </si>
  <si>
    <t>LAS ROSAS</t>
  </si>
  <si>
    <t>05ETK0137X</t>
  </si>
  <si>
    <t>TELEBACHILLERATO COMUNITARIO VALPARAISO</t>
  </si>
  <si>
    <t>05ETK0142I</t>
  </si>
  <si>
    <t>TELEBACHILLERATO COMUNITARIO LA CONCHITA ROJA</t>
  </si>
  <si>
    <t>TorreÑn</t>
  </si>
  <si>
    <t>LA CONCHITA ROJA</t>
  </si>
  <si>
    <t>05ETK0143H</t>
  </si>
  <si>
    <t>LA NUEVA COLONIA PERALTA</t>
  </si>
  <si>
    <t>EJIDO LA NUEVA COLONIA PERALTA</t>
  </si>
  <si>
    <t>05ETK0144G</t>
  </si>
  <si>
    <t>TELEBACHILLERATO COMUNITARIO TORREON I</t>
  </si>
  <si>
    <t>TORREÓN</t>
  </si>
  <si>
    <t>TORREÓN I</t>
  </si>
  <si>
    <t>05ETK0145F</t>
  </si>
  <si>
    <t>TELEBACHILLERATO COMUNITARIO TORREON II</t>
  </si>
  <si>
    <t>TORREON II</t>
  </si>
  <si>
    <t>05ETK0146E</t>
  </si>
  <si>
    <t>TELEBACHILLERATO TIERRA Y LIBERTAD</t>
  </si>
  <si>
    <t>05ETK0147D</t>
  </si>
  <si>
    <t>TELEBACHILLERATO COMUNITARIO LA PERLA</t>
  </si>
  <si>
    <t>05ETK0148C</t>
  </si>
  <si>
    <t>TELEBACHILLERATO COMUNITARIO TORREON ORIENTE</t>
  </si>
  <si>
    <t>05ETK0149B</t>
  </si>
  <si>
    <t>TELEBACHILLERATO COMUNITARIO BRAULIO FERNANDEZ</t>
  </si>
  <si>
    <t>05ETK0150R</t>
  </si>
  <si>
    <t>TELEBACHILLERATO COMUNITARIO TORREON VI</t>
  </si>
  <si>
    <t>TORREON VI</t>
  </si>
  <si>
    <t>05ETK0151Q</t>
  </si>
  <si>
    <t>TELEBACHILLERATO COMUNITARIO LAS MARGARITAS</t>
  </si>
  <si>
    <t>05ETK0152P</t>
  </si>
  <si>
    <t>TELEBACHILLERATO COMUNITARIO TORREON VIII</t>
  </si>
  <si>
    <t>TORREON VIII</t>
  </si>
  <si>
    <t>05ETK0153O</t>
  </si>
  <si>
    <t>TELEBACHILLERATO COMUNITARIO LAZARO CARDENAS</t>
  </si>
  <si>
    <t>05ETK0155M</t>
  </si>
  <si>
    <t>TELEBACHILLERATO COMUNITARIO ACUNA</t>
  </si>
  <si>
    <t>ACUNA</t>
  </si>
  <si>
    <t>05ETK0156L</t>
  </si>
  <si>
    <t>TELEBACHILLERATO COMUNITARIO VILLA DE SAN JUAN</t>
  </si>
  <si>
    <t>SAN JUAN DE SABINAS</t>
  </si>
  <si>
    <t>VILLA DE SAN JUAN DE SABINAS</t>
  </si>
  <si>
    <t>05ETK0157K</t>
  </si>
  <si>
    <t>TELEBACHILLERATO COMUNITARIO SAN CARLOS</t>
  </si>
  <si>
    <t>San Carlos</t>
  </si>
  <si>
    <t>05ETK0160Y</t>
  </si>
  <si>
    <t>TBC FIDEL VELAZQUEZ</t>
  </si>
  <si>
    <t>05ETK0163V</t>
  </si>
  <si>
    <t>TELEBACHILLERATO COMUNITARIO LAS VEGAS</t>
  </si>
  <si>
    <t>LAS VEGAS</t>
  </si>
  <si>
    <t>05ETK0164U</t>
  </si>
  <si>
    <t>LA UNION</t>
  </si>
  <si>
    <t>05ETK0165T</t>
  </si>
  <si>
    <t>MIGUEL DE LA MADRID</t>
  </si>
  <si>
    <t>05ETK0166S</t>
  </si>
  <si>
    <t>TELEBACHILLERATO COMUNITARIO RESIDENCIAL DEL NORTE</t>
  </si>
  <si>
    <t>05ETK0167R</t>
  </si>
  <si>
    <t xml:space="preserve">TELEBACHILLERATO COMUNITARIO  1 DE MAYO </t>
  </si>
  <si>
    <t>05ETK0168Q</t>
  </si>
  <si>
    <t>TBC EL ROBLE II</t>
  </si>
  <si>
    <t>05ETK0169P</t>
  </si>
  <si>
    <t>TELE BACHILLERATO COMUNITARIO LA FLORIDA</t>
  </si>
  <si>
    <t>LA FLORIDA</t>
  </si>
  <si>
    <t>05ETK0170E</t>
  </si>
  <si>
    <t>TELEBACHILLERATO COMUNITARIO EJIDO NOGALITOS</t>
  </si>
  <si>
    <t>Nogalitos</t>
  </si>
  <si>
    <t>05ETK0171D</t>
  </si>
  <si>
    <t>TELEBACHILLERATO COMUNITARIO ROVIROSA</t>
  </si>
  <si>
    <t>NUEVA ROSITA</t>
  </si>
  <si>
    <t>05ETK0173B</t>
  </si>
  <si>
    <t>TELEBACHILLERATO COMUNITARIO MINA 7</t>
  </si>
  <si>
    <t>05ETK0175Z</t>
  </si>
  <si>
    <t>GOBERNADORES</t>
  </si>
  <si>
    <t>05ETK0176Z</t>
  </si>
  <si>
    <t>TELEBACHILLERATO COMUNITARIO EJIDO MORELOS</t>
  </si>
  <si>
    <t>MORELOS</t>
  </si>
  <si>
    <t>Morelos</t>
  </si>
  <si>
    <t>05ETK0177Y</t>
  </si>
  <si>
    <t>05ETK0178X</t>
  </si>
  <si>
    <t>TELEBACHILLERATO COMUNITARIO MELCHOR MUZQUIZ</t>
  </si>
  <si>
    <t>MELCHOR MUZQUIZ</t>
  </si>
  <si>
    <t>05ETK0179W</t>
  </si>
  <si>
    <t>TELE BACHILLERATO COMUNITARIO NUEVA ROSITA</t>
  </si>
  <si>
    <t>05ETK0180L</t>
  </si>
  <si>
    <t>TELEBACHILLERATO COMUNITARIO AGUJITA</t>
  </si>
  <si>
    <t>AGUJITA</t>
  </si>
  <si>
    <t>05ETK0181K</t>
  </si>
  <si>
    <t>TELEBACHILLERATO SABINAS (CHAPULTEPEC)</t>
  </si>
  <si>
    <t>Sabinas</t>
  </si>
  <si>
    <t>SABINAS (CHAPULTEPEC)</t>
  </si>
  <si>
    <t>05ETK0182J</t>
  </si>
  <si>
    <t>TELEBACHILLERATO COMUNITARIO LAS CUEVAS</t>
  </si>
  <si>
    <t>LAS CUEVAS</t>
  </si>
  <si>
    <t>05ETK0183I</t>
  </si>
  <si>
    <t>CONCORDIA</t>
  </si>
  <si>
    <t>CONCORDIA (LA ROSITA)</t>
  </si>
  <si>
    <t>05ETK0184H</t>
  </si>
  <si>
    <t>TBC ALAMEDAS</t>
  </si>
  <si>
    <t>05ETK0186F</t>
  </si>
  <si>
    <t>TELEBACHILLERATO COMUNITARIO VENUSTIANO CARRANZA</t>
  </si>
  <si>
    <t>NAVA</t>
  </si>
  <si>
    <t>05ETK0187E</t>
  </si>
  <si>
    <t>TBC VILLA UNION</t>
  </si>
  <si>
    <t>VILLA UNION</t>
  </si>
  <si>
    <t>08DTV0010V</t>
  </si>
  <si>
    <t>CHIHUAHUA</t>
  </si>
  <si>
    <t>JESUS LUGO</t>
  </si>
  <si>
    <t>08DTV0032G</t>
  </si>
  <si>
    <t>MIGUEL QUIÑONES PEDROZA</t>
  </si>
  <si>
    <t>ARISIACHI</t>
  </si>
  <si>
    <t>08DTV0034E</t>
  </si>
  <si>
    <t>DIEGO RIVERA</t>
  </si>
  <si>
    <t>BALLEZA</t>
  </si>
  <si>
    <t>BAQUIRIACHI</t>
  </si>
  <si>
    <t>08DTV0037B</t>
  </si>
  <si>
    <t>ANA FRANK</t>
  </si>
  <si>
    <t>EL CHARCO</t>
  </si>
  <si>
    <t>08DTV0087J</t>
  </si>
  <si>
    <t>LUIS URIAS BELDERRAIN</t>
  </si>
  <si>
    <t>AHUMADA</t>
  </si>
  <si>
    <t>EJIDO SAN LORENCITO</t>
  </si>
  <si>
    <t>08DTV0091W</t>
  </si>
  <si>
    <t>INDEPENDENCIA</t>
  </si>
  <si>
    <t>JUAREZ</t>
  </si>
  <si>
    <t>08DTV0096R</t>
  </si>
  <si>
    <t>VALLE DE ZARAGOZA</t>
  </si>
  <si>
    <t>08DTV0107G</t>
  </si>
  <si>
    <t>TELESECUNDARIA FEDERALIZADA</t>
  </si>
  <si>
    <t>GUACHOCHI</t>
  </si>
  <si>
    <t>CHOGUITA</t>
  </si>
  <si>
    <t>08DTV0110U</t>
  </si>
  <si>
    <t>TELESECUNDARIA FEDERALIZADA MONTERDE</t>
  </si>
  <si>
    <t>GUAZAPARES</t>
  </si>
  <si>
    <t>MONTERDE</t>
  </si>
  <si>
    <t>08DTV0116O</t>
  </si>
  <si>
    <t>45054</t>
  </si>
  <si>
    <t>08DTV0120A</t>
  </si>
  <si>
    <t>LUIS DONALDO COLISION MURRIETA</t>
  </si>
  <si>
    <t>CHINIPAS</t>
  </si>
  <si>
    <t>LOS LLANITOS</t>
  </si>
  <si>
    <t>08DTV0138Z</t>
  </si>
  <si>
    <t>ROBERTO FIERRO</t>
  </si>
  <si>
    <t>CUAUHTEMOC</t>
  </si>
  <si>
    <t>CASA COLORADA</t>
  </si>
  <si>
    <t>08DTV0144K</t>
  </si>
  <si>
    <t>SAN JUAN DE LOS ITURRALDE</t>
  </si>
  <si>
    <t>08DTV0147H</t>
  </si>
  <si>
    <t>RAMON LOPEZ PEREZ</t>
  </si>
  <si>
    <t>BATOPILAS</t>
  </si>
  <si>
    <t>MESA DE YERBABUENA</t>
  </si>
  <si>
    <t>08DTV0156P</t>
  </si>
  <si>
    <t>TELESECUNDARIA HUELEYVO</t>
  </si>
  <si>
    <t>HUELEYVO</t>
  </si>
  <si>
    <t>08DTV0184L</t>
  </si>
  <si>
    <t>TELESECUNDARIA FEDERALIZADA DE BAGUEACHI</t>
  </si>
  <si>
    <t>BAGUEACHI</t>
  </si>
  <si>
    <t>08DTV0189G</t>
  </si>
  <si>
    <t>GUADALUPE Y CALVO</t>
  </si>
  <si>
    <t>CEBOLLAS</t>
  </si>
  <si>
    <t>08DTV0191V</t>
  </si>
  <si>
    <t>TELESECUNDARIA TARAHUMARA</t>
  </si>
  <si>
    <t>08DTV0194S</t>
  </si>
  <si>
    <t>MIGUEL HIDALGO</t>
  </si>
  <si>
    <t>SAN JUAN DE DIOS</t>
  </si>
  <si>
    <t>08DTV0195R</t>
  </si>
  <si>
    <t>MESA DE LOS HONGOS</t>
  </si>
  <si>
    <t>08DTV0217M</t>
  </si>
  <si>
    <t>CIENEGUITA DE ARISIACHI</t>
  </si>
  <si>
    <t>08DTV0219K</t>
  </si>
  <si>
    <t>RAFAEL RAMIREZ</t>
  </si>
  <si>
    <t>AGRICOLA FRANCISCO VILLA</t>
  </si>
  <si>
    <t>08DTV0223X</t>
  </si>
  <si>
    <t>EL PERIQUITO</t>
  </si>
  <si>
    <t>08DTV0224W</t>
  </si>
  <si>
    <t>CARICHI</t>
  </si>
  <si>
    <t>BACABUREACHI</t>
  </si>
  <si>
    <t>08DTV0244J</t>
  </si>
  <si>
    <t>GALILEO GALILEI</t>
  </si>
  <si>
    <t>08DTV0246H</t>
  </si>
  <si>
    <t>08DTV0247G</t>
  </si>
  <si>
    <t>ABRAHAM LINCOLN</t>
  </si>
  <si>
    <t>COL. ANAHUAC</t>
  </si>
  <si>
    <t>08DTV0248F</t>
  </si>
  <si>
    <t>TELESECUNDARIA FEDERAL</t>
  </si>
  <si>
    <t>SAUCILLO</t>
  </si>
  <si>
    <t>08ETH0013Y</t>
  </si>
  <si>
    <t>TELEBACHILLERATO 86119</t>
  </si>
  <si>
    <t>DELICIAS</t>
  </si>
  <si>
    <t>COL. LA CAMPESINA</t>
  </si>
  <si>
    <t>08ETH0018T</t>
  </si>
  <si>
    <t xml:space="preserve">TELEBACHILLERATO 8606  JOSE VASCONCELOS </t>
  </si>
  <si>
    <t>HUAJUMAR</t>
  </si>
  <si>
    <t>08ETH0020H</t>
  </si>
  <si>
    <t xml:space="preserve">TELEBACHILLERATO 8609  JUAN ESCUTIA </t>
  </si>
  <si>
    <t>PACHERA</t>
  </si>
  <si>
    <t>08ETH0022F</t>
  </si>
  <si>
    <t xml:space="preserve">TELEBACHILLERATO 8613  TEOFILO BORUNDA ORTIZ </t>
  </si>
  <si>
    <t>NUEVAS DELICIAS</t>
  </si>
  <si>
    <t>08ETH0025C</t>
  </si>
  <si>
    <t xml:space="preserve">TELEBACHILLERATO 8621  MIGUEL HIDALGO Y COSTILLA </t>
  </si>
  <si>
    <t>NOROGACHI</t>
  </si>
  <si>
    <t>08ETH0028Z</t>
  </si>
  <si>
    <t xml:space="preserve">TELEBACHILLERATO 8627  AGUSTIN MELGAR </t>
  </si>
  <si>
    <t>MAGUARICHI</t>
  </si>
  <si>
    <t>08ETH0029Z</t>
  </si>
  <si>
    <t>TELEBACHILLERATO 8629</t>
  </si>
  <si>
    <t>LA CRUZ</t>
  </si>
  <si>
    <t>08ETH0030O</t>
  </si>
  <si>
    <t>TELEBACHILLERATO 8630</t>
  </si>
  <si>
    <t>SAN FCO DE CONCHOS</t>
  </si>
  <si>
    <t>08ETH0031N</t>
  </si>
  <si>
    <t>TELEBACHILLERATO 8631</t>
  </si>
  <si>
    <t>JULIMES</t>
  </si>
  <si>
    <t>08ETH0041U</t>
  </si>
  <si>
    <t>TELEBACHILLERATO 8646 JAIME TORRES BODET</t>
  </si>
  <si>
    <t>MARIANO MATAMOROS</t>
  </si>
  <si>
    <t>08ETH0046P</t>
  </si>
  <si>
    <t xml:space="preserve">TELEBACHILLERATO 8651  LEON BARRI PAREDES </t>
  </si>
  <si>
    <t>08ETH0047O</t>
  </si>
  <si>
    <t xml:space="preserve">TELEBACHILLERATO 8652  LAZARO CARDENAS DEL RIO </t>
  </si>
  <si>
    <t>08ETH0048N</t>
  </si>
  <si>
    <t>TELEBACHILLERATO 8653</t>
  </si>
  <si>
    <t>MANUEL BENAVIDES</t>
  </si>
  <si>
    <t>08ETH0059T</t>
  </si>
  <si>
    <t xml:space="preserve">TELEBACHILLERATO 8666  KINA SIMI WENEMA </t>
  </si>
  <si>
    <t>08ETH0061H</t>
  </si>
  <si>
    <t xml:space="preserve">TELEBACHILLERATO 8668  SAVARACHI </t>
  </si>
  <si>
    <t>DR. BELISARIO DOMINGUEZ</t>
  </si>
  <si>
    <t>SANTA MARIA DE CUEVAS</t>
  </si>
  <si>
    <t>08ETH0062G</t>
  </si>
  <si>
    <t xml:space="preserve">TELEBACHILLERATO 8669  TORIBIO ORTEGA </t>
  </si>
  <si>
    <t>COYAME DEL SOTOL</t>
  </si>
  <si>
    <t>COYAME</t>
  </si>
  <si>
    <t>08ETH0064E</t>
  </si>
  <si>
    <t>TELEBACHILLERATO 8672</t>
  </si>
  <si>
    <t>HUEJOTITAN</t>
  </si>
  <si>
    <t>08ETH0065D</t>
  </si>
  <si>
    <t>TELEBACHILLERATO 8673</t>
  </si>
  <si>
    <t>SAMALAYUCA</t>
  </si>
  <si>
    <t>08ETH0068A</t>
  </si>
  <si>
    <t xml:space="preserve">TELEBACHILLERATO 8676  FRANCISCO VILLA </t>
  </si>
  <si>
    <t>TEMOSACHIC</t>
  </si>
  <si>
    <t>YEPACHI</t>
  </si>
  <si>
    <t>08ETH0070P</t>
  </si>
  <si>
    <t>TELEBACHILLERATO 8678 JOSE ESTEBAN CORONADO</t>
  </si>
  <si>
    <t>CORONADO</t>
  </si>
  <si>
    <t>08ETH0073M</t>
  </si>
  <si>
    <t xml:space="preserve">TELEBACHILLERATO 8681  PLUTARCO ELIAS CALLES </t>
  </si>
  <si>
    <t>08ETH0077I</t>
  </si>
  <si>
    <t>TELEBACHILLERATO 8685</t>
  </si>
  <si>
    <t>ROSALES</t>
  </si>
  <si>
    <t>KM. 99</t>
  </si>
  <si>
    <t>08ETH0078H</t>
  </si>
  <si>
    <t xml:space="preserve">TELEBACHILLERATO 8688  VICTOR HUGO RASCON BANDA </t>
  </si>
  <si>
    <t>08ETH0080W</t>
  </si>
  <si>
    <t>TELEBACHILLERATO 8689 INSURGENTES TM</t>
  </si>
  <si>
    <t>08ETH0092A</t>
  </si>
  <si>
    <t>TELEBACHILLERATO 86102</t>
  </si>
  <si>
    <t>MEOQUI</t>
  </si>
  <si>
    <t>EL CONSUELO</t>
  </si>
  <si>
    <t>08ETH0094Z</t>
  </si>
  <si>
    <t xml:space="preserve">TELEBACHILLERATO 86104  GRAL. MARTIN LOPEZ </t>
  </si>
  <si>
    <t>08ETH0097W</t>
  </si>
  <si>
    <t>TELEBACHILLERATO 86107</t>
  </si>
  <si>
    <t>SALON DE ACTOS</t>
  </si>
  <si>
    <t>08ETH0098V</t>
  </si>
  <si>
    <t>TELEBACHILLERATO 86108</t>
  </si>
  <si>
    <t>COL. MIGUEL HIDALGO</t>
  </si>
  <si>
    <t>08ETH0106N</t>
  </si>
  <si>
    <t xml:space="preserve">TELEBACHILLERATO 86132  MACLOVIO HERRERA </t>
  </si>
  <si>
    <t>ALDAMA</t>
  </si>
  <si>
    <t>FALOMIR</t>
  </si>
  <si>
    <t>08ETH0119R</t>
  </si>
  <si>
    <t>TELEBACHILLERATO 86146</t>
  </si>
  <si>
    <t>08ETH0121F</t>
  </si>
  <si>
    <t>TELEBACHILLERATO 86148</t>
  </si>
  <si>
    <t>08ETH0122E</t>
  </si>
  <si>
    <t>TELEBACHILLERATO 86149</t>
  </si>
  <si>
    <t>CD. CUAHUTEMOC</t>
  </si>
  <si>
    <t>08ETK0003E</t>
  </si>
  <si>
    <t>TELEBACHILLERATO COMUNITARIO 8050 DE COLONIA JUARE</t>
  </si>
  <si>
    <t>CASAS GRANDES</t>
  </si>
  <si>
    <t>COLONIA JUAREZ</t>
  </si>
  <si>
    <t>08ETK0006B</t>
  </si>
  <si>
    <t>TELEBACHILLERATO COMUNITARIO 8053</t>
  </si>
  <si>
    <t>BUENAVENTURA</t>
  </si>
  <si>
    <t>LA CONSTITUCION</t>
  </si>
  <si>
    <t>08ETK0013L</t>
  </si>
  <si>
    <t>TELEBACHILLERATO COMUNITARIO 8032 LA NORTEÑA</t>
  </si>
  <si>
    <t>MADERA</t>
  </si>
  <si>
    <t>LA NORTEÑA</t>
  </si>
  <si>
    <t>08ETK0017H</t>
  </si>
  <si>
    <t>TELEBACHILLERATO COMUNITARIO  8003</t>
  </si>
  <si>
    <t>BOCOYNA</t>
  </si>
  <si>
    <t>PANALACHI</t>
  </si>
  <si>
    <t>08ETK0031A</t>
  </si>
  <si>
    <t>TBC 8018</t>
  </si>
  <si>
    <t>LLANO GRANDE</t>
  </si>
  <si>
    <t>08ETK0035X</t>
  </si>
  <si>
    <t>TELEBACHILLERATO COMUNITARIO 8022</t>
  </si>
  <si>
    <t>08ETK0042G</t>
  </si>
  <si>
    <t>TELEBACHILLERATO COMUNITARIO 8029</t>
  </si>
  <si>
    <t>SANTA ROSA DE ARISIACHI</t>
  </si>
  <si>
    <t>08ETK0047B</t>
  </si>
  <si>
    <t>TBC8038</t>
  </si>
  <si>
    <t>HUEVACHI</t>
  </si>
  <si>
    <t>08ETK0053M</t>
  </si>
  <si>
    <t>TELEBACHILLERATO COMUNITARIO 8044</t>
  </si>
  <si>
    <t>URUACHI</t>
  </si>
  <si>
    <t>ARECHUYVO</t>
  </si>
  <si>
    <t>08ETK0057I</t>
  </si>
  <si>
    <t>TELEBACHILLERATO COMUNITARIO 8058</t>
  </si>
  <si>
    <t>08ETK0059G</t>
  </si>
  <si>
    <t>TELEBACHILLERATO COMUNITARIO 8060</t>
  </si>
  <si>
    <t>CAMPESINA</t>
  </si>
  <si>
    <t>08ETK0071B</t>
  </si>
  <si>
    <t>TELEBACHILLERATO COMUNITARIO 8072</t>
  </si>
  <si>
    <t>MESA DE LA YERBABUENA</t>
  </si>
  <si>
    <t>08ETK0073Z</t>
  </si>
  <si>
    <t>TBC8074</t>
  </si>
  <si>
    <t>GONOGOCHI</t>
  </si>
  <si>
    <t>08ETK0078V</t>
  </si>
  <si>
    <t>TELEBACHILLERATO COMUNITARIO 8079</t>
  </si>
  <si>
    <t>CAMARGO</t>
  </si>
  <si>
    <t>ALTA VISTA</t>
  </si>
  <si>
    <t>08ETK0080J</t>
  </si>
  <si>
    <t>TELEBACHILLERATO COMUNITARIO 8081</t>
  </si>
  <si>
    <t>SECCION ENRIQUEZ</t>
  </si>
  <si>
    <t>08ETK0081I</t>
  </si>
  <si>
    <t>TELEBACHILLERATO COMUNITARIO 8082</t>
  </si>
  <si>
    <t>AGRICOLA FCO VILLA</t>
  </si>
  <si>
    <t>08ETK0089A</t>
  </si>
  <si>
    <t>TELEBACHILLERATO COMUNITARIO 8090</t>
  </si>
  <si>
    <t>COLONIA EL ALAMITO</t>
  </si>
  <si>
    <t>08ETK0090Q</t>
  </si>
  <si>
    <t>TELEBACHILLERATO COMUNITARIO 8091</t>
  </si>
  <si>
    <t>KM82</t>
  </si>
  <si>
    <t>08ETK0091P</t>
  </si>
  <si>
    <t>TELEBACHILLERATO COMUNITARIO 8092</t>
  </si>
  <si>
    <t>COL ARMENDARIZ</t>
  </si>
  <si>
    <t>08ETK0101F</t>
  </si>
  <si>
    <t>TELEBACHILLERATO COMUNITARIO 80102</t>
  </si>
  <si>
    <t>08ETK0110N</t>
  </si>
  <si>
    <t>TELEBACHILLERATO COMUNITARIO 80111</t>
  </si>
  <si>
    <t>08ETK0112L</t>
  </si>
  <si>
    <t>TELEBACHILLERATO COMUNITARIO 80113</t>
  </si>
  <si>
    <t>AGUACALIENTE</t>
  </si>
  <si>
    <t>08ETK0120U</t>
  </si>
  <si>
    <t>TELEBACHILLERATO COMUNITARIO 80121</t>
  </si>
  <si>
    <t>08ETK0122S</t>
  </si>
  <si>
    <t>TBC 80123</t>
  </si>
  <si>
    <t>LOPEZ</t>
  </si>
  <si>
    <t>SALAICES</t>
  </si>
  <si>
    <t>08ETK0128M</t>
  </si>
  <si>
    <t>TELEBACHILLERATO COMUNITARIO  80129</t>
  </si>
  <si>
    <t>08ETK0133Y</t>
  </si>
  <si>
    <t>TELEBACHILLERATO COMUNITARIO 80134</t>
  </si>
  <si>
    <t>NAMIQUIPA</t>
  </si>
  <si>
    <t>08ETK0135W</t>
  </si>
  <si>
    <t>TELEBACHILLERATO COMUNITARIO 80136</t>
  </si>
  <si>
    <t>NUEVO CASAS GRANDES</t>
  </si>
  <si>
    <t>SECCION HIDALGO</t>
  </si>
  <si>
    <t>08ETK0141G</t>
  </si>
  <si>
    <t>TBC 80142</t>
  </si>
  <si>
    <t>ROSARIO</t>
  </si>
  <si>
    <t>JUAN MENDOZA</t>
  </si>
  <si>
    <t>08ETK0143E</t>
  </si>
  <si>
    <t>TELEBACHILLERATO COMUNITARIO 80144</t>
  </si>
  <si>
    <t>08ETK0144D</t>
  </si>
  <si>
    <t>TELEBACHILLERATO COMUNITARIO 80145</t>
  </si>
  <si>
    <t>LAS VARAS</t>
  </si>
  <si>
    <t>08ETK0145C</t>
  </si>
  <si>
    <t>TELE BACHILLERATO 80146</t>
  </si>
  <si>
    <t>ESTACION CONCHOS</t>
  </si>
  <si>
    <t>08ETK0152M</t>
  </si>
  <si>
    <t>TELEBACHILLERATO COMUNITARIO 80153</t>
  </si>
  <si>
    <t>08ETK0154K</t>
  </si>
  <si>
    <t>08ETV0002L</t>
  </si>
  <si>
    <t>TELESECUNDARIA NO 6020</t>
  </si>
  <si>
    <t>SANTA ROSALIA</t>
  </si>
  <si>
    <t>08ETV0005I</t>
  </si>
  <si>
    <t>TELESECUNDARIA 6018</t>
  </si>
  <si>
    <t>ESTACION CONSUELO</t>
  </si>
  <si>
    <t>08ETV0006H</t>
  </si>
  <si>
    <t>TELESECUNDARIA 6017</t>
  </si>
  <si>
    <t>08ETV0007G</t>
  </si>
  <si>
    <t>TELESECUNDARIA 6016</t>
  </si>
  <si>
    <t>EL ORRANTEÑO</t>
  </si>
  <si>
    <t>08ETV0010U</t>
  </si>
  <si>
    <t>TELESECUNDARIA 6013</t>
  </si>
  <si>
    <t>BUFALO</t>
  </si>
  <si>
    <t>08ETV0020A</t>
  </si>
  <si>
    <t>TELESECUDARIA 6014</t>
  </si>
  <si>
    <t>08ETV0022Z</t>
  </si>
  <si>
    <t>TELESECUNDARIA 6023</t>
  </si>
  <si>
    <t>08ETV0023Y</t>
  </si>
  <si>
    <t>TELESECUNDARIA 6024</t>
  </si>
  <si>
    <t>08ETV0028T</t>
  </si>
  <si>
    <t>TELESECUNDARIA 6029</t>
  </si>
  <si>
    <t>CIENEGA DE OJOS AZULES</t>
  </si>
  <si>
    <t>08ETV0031G</t>
  </si>
  <si>
    <t>TELESECUNDARIA 6032</t>
  </si>
  <si>
    <t>EL TULE</t>
  </si>
  <si>
    <t>08ETV0042M</t>
  </si>
  <si>
    <t>TELESECUNDARIA 6042</t>
  </si>
  <si>
    <t>PARQUE LA ESPERANZA</t>
  </si>
  <si>
    <t>08ETV0043L</t>
  </si>
  <si>
    <t>6043</t>
  </si>
  <si>
    <t>08ETV0047H</t>
  </si>
  <si>
    <t>TELESECUNDARIA 6047</t>
  </si>
  <si>
    <t>08ETV0048G</t>
  </si>
  <si>
    <t>TELESECUNDARIA   6048</t>
  </si>
  <si>
    <t>COLONIA ABRAHAM GONZALEZ JUAN GILBERTO HERMOSILLO</t>
  </si>
  <si>
    <t>08ETV0049F</t>
  </si>
  <si>
    <t>6049 REBECSA SABATA</t>
  </si>
  <si>
    <t>GALEANA</t>
  </si>
  <si>
    <t>C. ABDENAGO C. GARCIA</t>
  </si>
  <si>
    <t>08ETV0064Y</t>
  </si>
  <si>
    <t>TELESECUNDARIA 6064</t>
  </si>
  <si>
    <t>IGNACIO ZARAGOZA</t>
  </si>
  <si>
    <t>FRANCISCO I. MADERO (SAN MIGUEL)</t>
  </si>
  <si>
    <t>08ETV0072G</t>
  </si>
  <si>
    <t>TELESECUNDARIA 6072</t>
  </si>
  <si>
    <t>MATACHI</t>
  </si>
  <si>
    <t>TEJOLOCACHI</t>
  </si>
  <si>
    <t>08ETV0074E</t>
  </si>
  <si>
    <t>TELESECUNDARIA 6074</t>
  </si>
  <si>
    <t>LA REGINA</t>
  </si>
  <si>
    <t>08ETV0075D</t>
  </si>
  <si>
    <t>ESCUELA TELESECUNDARIA ESTATAL 6075</t>
  </si>
  <si>
    <t>08ETV0077B</t>
  </si>
  <si>
    <t>TELESECUNDARIA 6077</t>
  </si>
  <si>
    <t>SAN FRANCISCO DE CONCHOS</t>
  </si>
  <si>
    <t>08ETV0086J</t>
  </si>
  <si>
    <t>TELESECUNDARIA 6086</t>
  </si>
  <si>
    <t>ORTEGUENO</t>
  </si>
  <si>
    <t>08ETV0091V</t>
  </si>
  <si>
    <t>TELESECUNDARIA 6091</t>
  </si>
  <si>
    <t>RANCHOS DE SANTIAGO</t>
  </si>
  <si>
    <t>08ETV0102K</t>
  </si>
  <si>
    <t>TELESECUNDARIA 6102</t>
  </si>
  <si>
    <t>HACIENDA DE SANTA GERTRUDIS</t>
  </si>
  <si>
    <t>08ETV0109D</t>
  </si>
  <si>
    <t>TELESECUNDARIA 6109</t>
  </si>
  <si>
    <t>VAQUETEROS</t>
  </si>
  <si>
    <t>08ETV0114P</t>
  </si>
  <si>
    <t>TELESECUNDARIA 6114</t>
  </si>
  <si>
    <t>SAN PEDRO DE CHINATU</t>
  </si>
  <si>
    <t>08ETV0115O</t>
  </si>
  <si>
    <t>TELESECUNDARIA 6115</t>
  </si>
  <si>
    <t>SANTA ISABEL</t>
  </si>
  <si>
    <t>SAN MIGUEL DE LOS ANCHONDO</t>
  </si>
  <si>
    <t>08ETV0116N</t>
  </si>
  <si>
    <t>TELESECUNDARIA 6116</t>
  </si>
  <si>
    <t>08ETV0117M</t>
  </si>
  <si>
    <t>TELESECUNDARIA 6117</t>
  </si>
  <si>
    <t>08ETV0124W</t>
  </si>
  <si>
    <t>TELESECUNDARIA 6122</t>
  </si>
  <si>
    <t>08ETV0126U</t>
  </si>
  <si>
    <t>TELESECUNDARIA 6120</t>
  </si>
  <si>
    <t>COL. JUAREZ</t>
  </si>
  <si>
    <t>08ETV0130G</t>
  </si>
  <si>
    <t>TELESECUNDARIA 6129</t>
  </si>
  <si>
    <t>VALLE DE ROSARIO</t>
  </si>
  <si>
    <t>08ETV0134C</t>
  </si>
  <si>
    <t>TELESECUNDARIA 6131</t>
  </si>
  <si>
    <t>08ETV0141M</t>
  </si>
  <si>
    <t>TELESECUNDARIA 6144</t>
  </si>
  <si>
    <t>SAN FRANCISCO DEL ORO</t>
  </si>
  <si>
    <t>SAN JOSE DE LOS BAYLON</t>
  </si>
  <si>
    <t>08ETV0151T</t>
  </si>
  <si>
    <t>TELESECUNDARIA 6158</t>
  </si>
  <si>
    <t>COLONIA REVOLUCION</t>
  </si>
  <si>
    <t>08ETV0152S</t>
  </si>
  <si>
    <t>TELESECUNDARIA</t>
  </si>
  <si>
    <t>LEBARON</t>
  </si>
  <si>
    <t>08ETV0153R</t>
  </si>
  <si>
    <t>EL MULATO</t>
  </si>
  <si>
    <t>OJINAGA</t>
  </si>
  <si>
    <t>08ETV0154Q</t>
  </si>
  <si>
    <t>TELESECUNDARIA 6155</t>
  </si>
  <si>
    <t>COL. ESPERANZA</t>
  </si>
  <si>
    <t>08ETV0155P</t>
  </si>
  <si>
    <t>TELESECUNDARIA 6150</t>
  </si>
  <si>
    <t>EJIDO GUADALUPE VICTORIA</t>
  </si>
  <si>
    <t>08ETV0157N</t>
  </si>
  <si>
    <t>NAHUM LUJAN MORA</t>
  </si>
  <si>
    <t>JANOS</t>
  </si>
  <si>
    <t>PANCHO VILLA</t>
  </si>
  <si>
    <t>08ETV0158M</t>
  </si>
  <si>
    <t>TELESECUNDARIA 6157</t>
  </si>
  <si>
    <t>COLONIA FERNANDEZ LEAL</t>
  </si>
  <si>
    <t>08ETV0168T</t>
  </si>
  <si>
    <t>TELESECUNDARIA  6166</t>
  </si>
  <si>
    <t>08ETV0170H</t>
  </si>
  <si>
    <t>TELESECUNDARIA 6168</t>
  </si>
  <si>
    <t>ASCENSION</t>
  </si>
  <si>
    <t>EJIDO LEY 6 DE ENERO DE 1915</t>
  </si>
  <si>
    <t>08ETV0171G</t>
  </si>
  <si>
    <t>TELESECUNDARIA 6169</t>
  </si>
  <si>
    <t>EJIDO OCAMPO</t>
  </si>
  <si>
    <t>08ETV0182M</t>
  </si>
  <si>
    <t>TELESECUNDARIA 6184</t>
  </si>
  <si>
    <t>LAZARO CARDENAS</t>
  </si>
  <si>
    <t>08ETV0192T</t>
  </si>
  <si>
    <t>TELESECUNDARIA 6199</t>
  </si>
  <si>
    <t>RANCHERIA CIENEGA PRIETA</t>
  </si>
  <si>
    <t>08ETV0200L</t>
  </si>
  <si>
    <t>TELESECUNDARIA NO 6222</t>
  </si>
  <si>
    <t>GRAN MORELOS</t>
  </si>
  <si>
    <t>EJIDO LA CUADRILLA</t>
  </si>
  <si>
    <t>08ETV0203I</t>
  </si>
  <si>
    <t>TELESECUNDARIA 6225</t>
  </si>
  <si>
    <t>PEDERNALES</t>
  </si>
  <si>
    <t>08ETV0205G</t>
  </si>
  <si>
    <t>TELESECUNDARIA 6227</t>
  </si>
  <si>
    <t>08ETV0206F</t>
  </si>
  <si>
    <t>TELESECUNDARIA 6228</t>
  </si>
  <si>
    <t>08ETV0207E</t>
  </si>
  <si>
    <t>TELESECUNDARIA 6229</t>
  </si>
  <si>
    <t>08ETV0210S</t>
  </si>
  <si>
    <t>TELESECUNDARIA   6232</t>
  </si>
  <si>
    <t>09DTV0011T</t>
  </si>
  <si>
    <t>TELESECUNDARIA 11</t>
  </si>
  <si>
    <t>CIUDAD DE MEXICO</t>
  </si>
  <si>
    <t>GUSTAVO A. MADERO</t>
  </si>
  <si>
    <t>AMPLIACION CTM ARAGON</t>
  </si>
  <si>
    <t>ALMACEN ZT VALLE DE MÉXICO SUR</t>
  </si>
  <si>
    <t>09DTV0017N</t>
  </si>
  <si>
    <t>LORENZO BOTURINI</t>
  </si>
  <si>
    <t>VENUSTIANO CARRANZA</t>
  </si>
  <si>
    <t>JARDIN BALBUENA</t>
  </si>
  <si>
    <t>09DTV0021Z</t>
  </si>
  <si>
    <t>TELESECUNDARIA 21</t>
  </si>
  <si>
    <t>09DTV0027U</t>
  </si>
  <si>
    <t>TELESECUNDARIA 27</t>
  </si>
  <si>
    <t>COYOACAN</t>
  </si>
  <si>
    <t>SANTO DOMINGO</t>
  </si>
  <si>
    <t>09DTV0032F</t>
  </si>
  <si>
    <t>TELESECUNARIA 32</t>
  </si>
  <si>
    <t>BENITO JUAREZ</t>
  </si>
  <si>
    <t>09DTV0033E</t>
  </si>
  <si>
    <t>ÑPROF. GUILLERMO SOLIS VELARDEÑ</t>
  </si>
  <si>
    <t>AJUSCO MONSERRAT</t>
  </si>
  <si>
    <t>09DTV0039Z</t>
  </si>
  <si>
    <t>PRADERA</t>
  </si>
  <si>
    <t>09DTV0043L</t>
  </si>
  <si>
    <t>TELESECUNDARIA 43L ACAMAPICHTLI</t>
  </si>
  <si>
    <t>IZTAPALAPA</t>
  </si>
  <si>
    <t>09DTV0046I</t>
  </si>
  <si>
    <t>GUSTAVO A MADERO</t>
  </si>
  <si>
    <t>09DTV0052T</t>
  </si>
  <si>
    <t>CDMX</t>
  </si>
  <si>
    <t>09DTV0053S</t>
  </si>
  <si>
    <t>JOSE JOAQUIN IZQUIERDO RAUDON</t>
  </si>
  <si>
    <t>09DTV0060B</t>
  </si>
  <si>
    <t>TELESECUNDARIA 60</t>
  </si>
  <si>
    <t>09DTV0061A</t>
  </si>
  <si>
    <t>TELESECUNDARIA 61</t>
  </si>
  <si>
    <t>IZTACALCO</t>
  </si>
  <si>
    <t>09DTV0063Z</t>
  </si>
  <si>
    <t>TELESECUNDARIA 63</t>
  </si>
  <si>
    <t>09DTV0071H</t>
  </si>
  <si>
    <t>TELESECUNDARIA 71</t>
  </si>
  <si>
    <t>AZCAPOTZALCO</t>
  </si>
  <si>
    <t>NUEVA TEZOZOMOC</t>
  </si>
  <si>
    <t>09DTV0075D</t>
  </si>
  <si>
    <t>TELESECUNDARIA 75</t>
  </si>
  <si>
    <t>09DTV0080P</t>
  </si>
  <si>
    <t>TELESECUNDARIA 80</t>
  </si>
  <si>
    <t>NUEVA VALLEJO</t>
  </si>
  <si>
    <t>09DTV0081O</t>
  </si>
  <si>
    <t>TELESECUNDARIA 81</t>
  </si>
  <si>
    <t>LA MAGDALENA CONTRERAS</t>
  </si>
  <si>
    <t>HEROES DE PADIERNA</t>
  </si>
  <si>
    <t>09DTV0089G</t>
  </si>
  <si>
    <t>TELESECUNDARIA 89</t>
  </si>
  <si>
    <t>09DTV0094S</t>
  </si>
  <si>
    <t>TELESECUNDARIA 94</t>
  </si>
  <si>
    <t>SAN PEDRO ZACATENCO</t>
  </si>
  <si>
    <t>09DTV0101L</t>
  </si>
  <si>
    <t>TELESECUNDARIA 101</t>
  </si>
  <si>
    <t>TLALPAN</t>
  </si>
  <si>
    <t>09DTV0106G</t>
  </si>
  <si>
    <t>TELESECUNDARIA 106G</t>
  </si>
  <si>
    <t>09DTV0111S</t>
  </si>
  <si>
    <t>09DTV0116N</t>
  </si>
  <si>
    <t>TELESECUNDARIA 116</t>
  </si>
  <si>
    <t>09DTV0121Z</t>
  </si>
  <si>
    <t>XOCHIMILCO</t>
  </si>
  <si>
    <t>TULYEHUALCO</t>
  </si>
  <si>
    <t>09DTV0122Y</t>
  </si>
  <si>
    <t>TELESECUNDARIA 122</t>
  </si>
  <si>
    <t>09DTV0123X</t>
  </si>
  <si>
    <t>LUCAS ALAMAN</t>
  </si>
  <si>
    <t>09DTV0127T</t>
  </si>
  <si>
    <t>TELESECUNDARIA 127</t>
  </si>
  <si>
    <t>AMPLIACION CASAS ALEMAN</t>
  </si>
  <si>
    <t>09DTV0129R</t>
  </si>
  <si>
    <t>TELESECUNDARIA 129</t>
  </si>
  <si>
    <t>SANTA ISABEL TOLA</t>
  </si>
  <si>
    <t>ALMACEN ZT VALLE DE MÉXICO NORTE</t>
  </si>
  <si>
    <t>09DTV0130G</t>
  </si>
  <si>
    <t>TELESECUNDARIA 130</t>
  </si>
  <si>
    <t>CD. MEXICO</t>
  </si>
  <si>
    <t>09DTV0137Z</t>
  </si>
  <si>
    <t>TELESECUNDARIA 137</t>
  </si>
  <si>
    <t>MILPA ALTA</t>
  </si>
  <si>
    <t>SAN BARTOLOME XICOMULCO</t>
  </si>
  <si>
    <t>09DTV0139Y</t>
  </si>
  <si>
    <t>TELESECUNDARIA 139</t>
  </si>
  <si>
    <t>CUAJIMALPA DE MORELOS</t>
  </si>
  <si>
    <t>09DTV0143K</t>
  </si>
  <si>
    <t>TELESECUNDARIA 143K</t>
  </si>
  <si>
    <t>TLAHUAC</t>
  </si>
  <si>
    <t>10DTV0018A</t>
  </si>
  <si>
    <t>TELESECUNDARIA   18</t>
  </si>
  <si>
    <t>DURANGO</t>
  </si>
  <si>
    <t>EL NAYAR</t>
  </si>
  <si>
    <t>10DTV0021O</t>
  </si>
  <si>
    <t>GILBERTO ROSAS SIMBECK</t>
  </si>
  <si>
    <t>JOSE MARIA MORELOS Y PAVON</t>
  </si>
  <si>
    <t>10DTV0022N</t>
  </si>
  <si>
    <t>TELESECUNDARIA   22 J. REFUGIO SALCIDO</t>
  </si>
  <si>
    <t>J. REFUGIO SALCIDO</t>
  </si>
  <si>
    <t>10DTV0023M</t>
  </si>
  <si>
    <t>ESCUELA TELESECUNDARIA  23</t>
  </si>
  <si>
    <t>10DTV0029G</t>
  </si>
  <si>
    <t>TELESECUNDARIA 29</t>
  </si>
  <si>
    <t>SEBASTIAN LERDO DE TEJADA</t>
  </si>
  <si>
    <t>10DTV0032U</t>
  </si>
  <si>
    <t>MIGUEL ANGEL GALLARDO</t>
  </si>
  <si>
    <t>GUADALUPE VICTORIA</t>
  </si>
  <si>
    <t>J. GPE. RODRIGUEZ</t>
  </si>
  <si>
    <t>10DTV0034S</t>
  </si>
  <si>
    <t>TELESECUNDARIA 34 NELLIE CAMPOBELLO</t>
  </si>
  <si>
    <t>FELIPE CARRILLO PUERTO</t>
  </si>
  <si>
    <t>10DTV0048V</t>
  </si>
  <si>
    <t>TELESECUNDARIA  48</t>
  </si>
  <si>
    <t>GRASEROS</t>
  </si>
  <si>
    <t>10DTV0049U</t>
  </si>
  <si>
    <t>GUADALUPE ARRIAGA LOZOYA</t>
  </si>
  <si>
    <t>SAN ISIDRO DE MURILLOS</t>
  </si>
  <si>
    <t>10DTV0050J</t>
  </si>
  <si>
    <t>TELESECUNDARIA N0 50</t>
  </si>
  <si>
    <t>NUEVO IDEAL</t>
  </si>
  <si>
    <t>TEJAMEN</t>
  </si>
  <si>
    <t>10DTV0062O</t>
  </si>
  <si>
    <t>LEOPOLDO MOLINA</t>
  </si>
  <si>
    <t>PUEBLO NUEVO</t>
  </si>
  <si>
    <t>LOS BANCOS</t>
  </si>
  <si>
    <t>10DTV0065L</t>
  </si>
  <si>
    <t>TELESECUNDARIA   65</t>
  </si>
  <si>
    <t>10DTV0067J</t>
  </si>
  <si>
    <t>TELESECUNDARIA  67</t>
  </si>
  <si>
    <t>SAN JERONIMO</t>
  </si>
  <si>
    <t>10DTV0069H</t>
  </si>
  <si>
    <t>TELESECUNDARIA NO 69</t>
  </si>
  <si>
    <t>CANATLAN</t>
  </si>
  <si>
    <t>ARNULFO R. GOMEZ</t>
  </si>
  <si>
    <t>10DTV0078P</t>
  </si>
  <si>
    <t>NICOLAS ROMERO</t>
  </si>
  <si>
    <t>10DTV0089V</t>
  </si>
  <si>
    <t>TELESECUNDARIA 89.</t>
  </si>
  <si>
    <t>POANAS</t>
  </si>
  <si>
    <t>ORIZABA</t>
  </si>
  <si>
    <t>10DTV0098C</t>
  </si>
  <si>
    <t>TELESECUNDARIA 98</t>
  </si>
  <si>
    <t>SAN JUAN DEL RIO</t>
  </si>
  <si>
    <t>JOSE MARIA PATONI</t>
  </si>
  <si>
    <t>10DTV0099B</t>
  </si>
  <si>
    <t>ESCUELA TELESECUNDARIA 99</t>
  </si>
  <si>
    <t>FRANCISCO PRIMO DE VERDAD</t>
  </si>
  <si>
    <t>10DTV0101Z</t>
  </si>
  <si>
    <t>TELESECUNDARIA  101</t>
  </si>
  <si>
    <t>SANTA CLARA</t>
  </si>
  <si>
    <t>DIEZ DE ABRIL</t>
  </si>
  <si>
    <t>10DTV0103Y</t>
  </si>
  <si>
    <t>TELESECUNDARIA   103</t>
  </si>
  <si>
    <t>SAN FRANCISCO JAVIER</t>
  </si>
  <si>
    <t>10DTV0109S</t>
  </si>
  <si>
    <t>ESCUELA TELESECUNDARIA   109</t>
  </si>
  <si>
    <t>SAN DIEGO DE ALCALA</t>
  </si>
  <si>
    <t>10DTV0115C</t>
  </si>
  <si>
    <t>TELESECUNDARIA   115</t>
  </si>
  <si>
    <t>HEROE DE NACOZARI</t>
  </si>
  <si>
    <t>10DTV0118Z</t>
  </si>
  <si>
    <t>TELESECUNDARIA   118</t>
  </si>
  <si>
    <t>EL SALTITO</t>
  </si>
  <si>
    <t>10DTV0126I</t>
  </si>
  <si>
    <t>TELESECUNDARIA 126 JOHN REED</t>
  </si>
  <si>
    <t>CANUTILLO</t>
  </si>
  <si>
    <t>10DTV0129F</t>
  </si>
  <si>
    <t>ORESTES PEREYRA</t>
  </si>
  <si>
    <t>10DTV0131U</t>
  </si>
  <si>
    <t>TELESECUNDARIA 131</t>
  </si>
  <si>
    <t>TORREÓN DE CAÑAS</t>
  </si>
  <si>
    <t>10DTV0137O</t>
  </si>
  <si>
    <t>TELESECUNDARIA  137</t>
  </si>
  <si>
    <t>RODEO</t>
  </si>
  <si>
    <t>SAN SALVADOR DE HORTA</t>
  </si>
  <si>
    <t>10DTV0143Z</t>
  </si>
  <si>
    <t>TELESECUNDARIA 143</t>
  </si>
  <si>
    <t>SIMON BOLIVAR</t>
  </si>
  <si>
    <t>10DTV0146W</t>
  </si>
  <si>
    <t>TELESECUNDARIA 146</t>
  </si>
  <si>
    <t>SAN JOSE DE ZARAGOZA</t>
  </si>
  <si>
    <t>10DTV0162N</t>
  </si>
  <si>
    <t>TELESECUNDARIA 162</t>
  </si>
  <si>
    <t>SAN ISIDRO</t>
  </si>
  <si>
    <t>10DTV0166J</t>
  </si>
  <si>
    <t xml:space="preserve">8 DE NOVIEMBRE </t>
  </si>
  <si>
    <t>RICARDO FLORES MAGON</t>
  </si>
  <si>
    <t>10DTV0169G</t>
  </si>
  <si>
    <t>TELESECUNDARIA 169</t>
  </si>
  <si>
    <t>EL PUEBLITO</t>
  </si>
  <si>
    <t>10DTV0183Z</t>
  </si>
  <si>
    <t>TELESECUNDARIA 183</t>
  </si>
  <si>
    <t>LA FERRERIA</t>
  </si>
  <si>
    <t>10DTV0186X</t>
  </si>
  <si>
    <t>TELESECUNDARIA   186</t>
  </si>
  <si>
    <t>GOMEZ PALACIO</t>
  </si>
  <si>
    <t>EJ. LAS HUERTAS</t>
  </si>
  <si>
    <t>10DTV0188V</t>
  </si>
  <si>
    <t>TELESECUNDARIA   188</t>
  </si>
  <si>
    <t>EL VERGEL</t>
  </si>
  <si>
    <t>10DTV0197C</t>
  </si>
  <si>
    <t>PEÑON BLANCO</t>
  </si>
  <si>
    <t>10DTV0198B</t>
  </si>
  <si>
    <t>TELESECUNDARIA   198</t>
  </si>
  <si>
    <t>NARCISO MENDOZA</t>
  </si>
  <si>
    <t>10DTV0207T</t>
  </si>
  <si>
    <t>TELESECUNDARIA   207</t>
  </si>
  <si>
    <t>SAN PEDRO DEL GALLO</t>
  </si>
  <si>
    <t>10DTV0213D</t>
  </si>
  <si>
    <t>PANFILO DE NARVAEZ</t>
  </si>
  <si>
    <t>TOPIA</t>
  </si>
  <si>
    <t>10DTV0223K</t>
  </si>
  <si>
    <t>TELESECUNDARIA   223</t>
  </si>
  <si>
    <t>MAPIMI</t>
  </si>
  <si>
    <t>EMILIANO ZAPATA</t>
  </si>
  <si>
    <t>10DTV0225I</t>
  </si>
  <si>
    <t>ESCUELA TELESECUNDARIA 225</t>
  </si>
  <si>
    <t>PANUCO DE CORONADO</t>
  </si>
  <si>
    <t>GRAL. LAZARO CARDENAS</t>
  </si>
  <si>
    <t>10DTV0233R</t>
  </si>
  <si>
    <t>TELESECUNDARIA 233</t>
  </si>
  <si>
    <t>MAYMORA</t>
  </si>
  <si>
    <t>10DTV0243Y</t>
  </si>
  <si>
    <t>TELESECUNDARIA   243</t>
  </si>
  <si>
    <t>CINCO DE MAYO</t>
  </si>
  <si>
    <t>10DTV0244X</t>
  </si>
  <si>
    <t>TELESECUNDARIA   244</t>
  </si>
  <si>
    <t>10DTV0249S</t>
  </si>
  <si>
    <t>JUSTO SIERRA</t>
  </si>
  <si>
    <t>EL ORO</t>
  </si>
  <si>
    <t>SANTA CRUZ DE TEPEHUANES</t>
  </si>
  <si>
    <t>10DTV0253E</t>
  </si>
  <si>
    <t>TELESECUNDARIA   253</t>
  </si>
  <si>
    <t>EJIDO EL CARINO</t>
  </si>
  <si>
    <t>10DTV0272T</t>
  </si>
  <si>
    <t>TELESECUNDARIA 272</t>
  </si>
  <si>
    <t>EJIDO MARTHA</t>
  </si>
  <si>
    <t>10DTV0278N</t>
  </si>
  <si>
    <t>TELESECUNDARIA 278</t>
  </si>
  <si>
    <t>NIÑOS HEROES</t>
  </si>
  <si>
    <t>10DTV0279M</t>
  </si>
  <si>
    <t>TELESECUNDARIA NO 279</t>
  </si>
  <si>
    <t>EL NOGALITO</t>
  </si>
  <si>
    <t>10DTV0285X</t>
  </si>
  <si>
    <t>TELESECUNDARIA 285</t>
  </si>
  <si>
    <t>OTILIO MONTAÑO</t>
  </si>
  <si>
    <t>10DTV0295D</t>
  </si>
  <si>
    <t>ANTONIO MIER Y CANALES</t>
  </si>
  <si>
    <t>SUCHIL</t>
  </si>
  <si>
    <t>ALEJANDRO</t>
  </si>
  <si>
    <t>10DTV0301Y</t>
  </si>
  <si>
    <t>TELESECUNDARIA   301</t>
  </si>
  <si>
    <t>TLAHUALILO</t>
  </si>
  <si>
    <t>PAMPLONA</t>
  </si>
  <si>
    <t>10DTV0307S</t>
  </si>
  <si>
    <t>TELESECUNDARIA   307</t>
  </si>
  <si>
    <t>LERDO</t>
  </si>
  <si>
    <t>RIO NAZAS</t>
  </si>
  <si>
    <t>10DTV0311E</t>
  </si>
  <si>
    <t>TELESECUNDARIA   311</t>
  </si>
  <si>
    <t>JUAN B. CEBALLOS</t>
  </si>
  <si>
    <t>10DTV0319X</t>
  </si>
  <si>
    <t>TELESECUNDARIA   319</t>
  </si>
  <si>
    <t>VENECIA</t>
  </si>
  <si>
    <t>10DTV0321L</t>
  </si>
  <si>
    <t>OCTAVIO PAZ</t>
  </si>
  <si>
    <t>JUAN ALDAMA</t>
  </si>
  <si>
    <t>10DTV0322K</t>
  </si>
  <si>
    <t>TELESECUNDARIA 322</t>
  </si>
  <si>
    <t>NAZAS</t>
  </si>
  <si>
    <t>DOLORES HIDALGO</t>
  </si>
  <si>
    <t>10DTV0324I</t>
  </si>
  <si>
    <t>TELESECUNDARIA   324</t>
  </si>
  <si>
    <t>MANILA</t>
  </si>
  <si>
    <t>10DTV0331S</t>
  </si>
  <si>
    <t>TELESECUNDARIA   331</t>
  </si>
  <si>
    <t>SAN JUAN DE MICHIS</t>
  </si>
  <si>
    <t>10DTV0348S</t>
  </si>
  <si>
    <t>ESTV 348 ANGELA NEVAREZ DE MERAZ</t>
  </si>
  <si>
    <t>SANTIAGO PAPASQUIARO</t>
  </si>
  <si>
    <t>SAN MIGUEL DE PAPASQUIARO</t>
  </si>
  <si>
    <t>10DTV0354C</t>
  </si>
  <si>
    <t>TELESECUNDARIA 354</t>
  </si>
  <si>
    <t>SAN FRANCISCO DE LAJAS</t>
  </si>
  <si>
    <t>10DTV0361M</t>
  </si>
  <si>
    <t>TELESECUNDARIA   361</t>
  </si>
  <si>
    <t>EL JABONOSO</t>
  </si>
  <si>
    <t>10DTV0362L</t>
  </si>
  <si>
    <t>TELESECUNDARIA   362</t>
  </si>
  <si>
    <t>LA POPULAR</t>
  </si>
  <si>
    <t>10DTV0364J</t>
  </si>
  <si>
    <t>TELESECUNDARIA  364</t>
  </si>
  <si>
    <t>IGNACIO VALENCIA</t>
  </si>
  <si>
    <t>10DTV0366H</t>
  </si>
  <si>
    <t>TELESECUNDARIA   366</t>
  </si>
  <si>
    <t>MEZQUITAL</t>
  </si>
  <si>
    <t>10DTV0374Q</t>
  </si>
  <si>
    <t>TELESECUNDARIA   374</t>
  </si>
  <si>
    <t>VICTORIA DE DURANGO</t>
  </si>
  <si>
    <t>10DTV0384X</t>
  </si>
  <si>
    <t>ESCUELA TELESECUNDARIA   384</t>
  </si>
  <si>
    <t>SAN DIEGO DE TENZAENZ</t>
  </si>
  <si>
    <t>10DTV0396B</t>
  </si>
  <si>
    <t>GERMAN LITS ARSUBIDS.</t>
  </si>
  <si>
    <t>OJOS AZULES, DGO.</t>
  </si>
  <si>
    <t>10DTV0442X</t>
  </si>
  <si>
    <t>TELESECUNDARIA 442</t>
  </si>
  <si>
    <t>EL ENCINAL</t>
  </si>
  <si>
    <t>10DTV0451E</t>
  </si>
  <si>
    <t xml:space="preserve">TELESECUNDARIA 451  LA RAZA DE BRONCE </t>
  </si>
  <si>
    <t>EJIDO CRISTOBAL COLON</t>
  </si>
  <si>
    <t>10DTV0452D</t>
  </si>
  <si>
    <t>ESCUELA TELESECUNDARIA 452</t>
  </si>
  <si>
    <t>EL DURAZNO</t>
  </si>
  <si>
    <t>10DTV0496A</t>
  </si>
  <si>
    <t>TELESECUNDARIA  496</t>
  </si>
  <si>
    <t>GONZALES ORTEGA</t>
  </si>
  <si>
    <t>10DTV0500X</t>
  </si>
  <si>
    <t>JOSE PEDRO PALENCIA CONTRERAS</t>
  </si>
  <si>
    <t>LA SOLEDAD</t>
  </si>
  <si>
    <t>10DTV0501W</t>
  </si>
  <si>
    <t>TELESECUNDARIA 501</t>
  </si>
  <si>
    <t>JESUS GONZALEZ ORTEGA</t>
  </si>
  <si>
    <t>10DTV0531Q</t>
  </si>
  <si>
    <t>TELESECUNDARIA 531</t>
  </si>
  <si>
    <t>GABINO SANTILLAN</t>
  </si>
  <si>
    <t>10DTV0533O</t>
  </si>
  <si>
    <t>TELESECUNDARIA 533</t>
  </si>
  <si>
    <t>SAN JOSE DE ANIMAS</t>
  </si>
  <si>
    <t>10DTV0542W</t>
  </si>
  <si>
    <t>TELESECUNDARIA 542</t>
  </si>
  <si>
    <t>SANTA BARBARA</t>
  </si>
  <si>
    <t>10DTV0545T</t>
  </si>
  <si>
    <t>TELESECUNDARIA 545</t>
  </si>
  <si>
    <t>CANOAS</t>
  </si>
  <si>
    <t>10DTV0554A</t>
  </si>
  <si>
    <t>FRANCISCO ZARCO</t>
  </si>
  <si>
    <t>45003</t>
  </si>
  <si>
    <t>10DTV0580Z</t>
  </si>
  <si>
    <t>ESTV 580</t>
  </si>
  <si>
    <t>LA GUACAMAYITA AA SI</t>
  </si>
  <si>
    <t>10DTV0582X</t>
  </si>
  <si>
    <t>TELESECUNDARIA 582</t>
  </si>
  <si>
    <t>SANTIAGO TENERACA</t>
  </si>
  <si>
    <t>10DTV0589Q</t>
  </si>
  <si>
    <t>TELESECUNDARIA 589</t>
  </si>
  <si>
    <t>LA LUZ</t>
  </si>
  <si>
    <t>10DTV0598Y</t>
  </si>
  <si>
    <t>TELESECUNDARIA 598</t>
  </si>
  <si>
    <t>10DTV0604S</t>
  </si>
  <si>
    <t>TELESECUNDARIA   604</t>
  </si>
  <si>
    <t>BRITTINGHAM</t>
  </si>
  <si>
    <t>10DTV0607P</t>
  </si>
  <si>
    <t>ESCUELA TELESECUNDARIA  607</t>
  </si>
  <si>
    <t>SAN ANTONIO DE ZARAGOZA</t>
  </si>
  <si>
    <t>10DTV0642V</t>
  </si>
  <si>
    <t>TELESECUNDARIA 642</t>
  </si>
  <si>
    <t>SAN JUAN DE GUADALUPE</t>
  </si>
  <si>
    <t>SALITRILLO</t>
  </si>
  <si>
    <t>10DTV0643U</t>
  </si>
  <si>
    <t>TELESECUNDARIA 643</t>
  </si>
  <si>
    <t>45214</t>
  </si>
  <si>
    <t>10ETK0005R</t>
  </si>
  <si>
    <t>TBC RICARDO FLORES MAGON</t>
  </si>
  <si>
    <t>10ETK0006Q</t>
  </si>
  <si>
    <t>TELEBACHILLERATO COMUNITARIO LA POPULAR</t>
  </si>
  <si>
    <t>10ETK0009N</t>
  </si>
  <si>
    <t>TELEBACHILLERATO COMUNITARIO LLANO GRANDE</t>
  </si>
  <si>
    <t>10ETK0010C</t>
  </si>
  <si>
    <t>TELEBACHILLERATO COMUNITARIO SANTA MARIA DE OCOTAN</t>
  </si>
  <si>
    <t>SANTA MARIA DE OCOTAN</t>
  </si>
  <si>
    <t>10ETK0012A</t>
  </si>
  <si>
    <t>TELEBACHILLERATO COMUNITARIO 22 DE MAYO</t>
  </si>
  <si>
    <t>45068</t>
  </si>
  <si>
    <t>10ETK0018V</t>
  </si>
  <si>
    <t>TELEBACHILLERATO COMUNITARIO NICOLAS ROMERO</t>
  </si>
  <si>
    <t>10ETK0021I</t>
  </si>
  <si>
    <t>TBC IGNACIO ZARAGOZA</t>
  </si>
  <si>
    <t>10ETK0022H</t>
  </si>
  <si>
    <t>TBC ORIENTE AGUANAVAL</t>
  </si>
  <si>
    <t>ORIENTE AGUANAVAL</t>
  </si>
  <si>
    <t>10ETK0023G</t>
  </si>
  <si>
    <t>TBC FELIPE CARRILLO PUERTO</t>
  </si>
  <si>
    <t>10ETK0028B</t>
  </si>
  <si>
    <t>TELEBACHILLERATO COMUNITARIO 22 DE FEBRERO</t>
  </si>
  <si>
    <t>44979</t>
  </si>
  <si>
    <t>10ETK0044T</t>
  </si>
  <si>
    <t>TELEBACHILLERATO COMUNITARIO IGNACIO ZARAGOZA</t>
  </si>
  <si>
    <t>10ETK0050D</t>
  </si>
  <si>
    <t>TELEBACHILLERATO COMUNITARIO VICENTE GUERRERO</t>
  </si>
  <si>
    <t>10ETK0055Z</t>
  </si>
  <si>
    <t>TBC SAN ISIDRO DE MURILLOS</t>
  </si>
  <si>
    <t>10ETK0062I</t>
  </si>
  <si>
    <t>TELEBACHILLERATO COMUNITARIO JOE REFUGIO SALCIDO</t>
  </si>
  <si>
    <t>JOSE REFUGIO SALCIDO</t>
  </si>
  <si>
    <t>10ETK0063H</t>
  </si>
  <si>
    <t>TELEBACHILLERATO COMUNITARIO PILAR DE ZARAGOZA</t>
  </si>
  <si>
    <t>PILAR DE ZARAGOZA</t>
  </si>
  <si>
    <t>10ETK0064G</t>
  </si>
  <si>
    <t>TBC SEBASTIAN LERDO DE TEJADA</t>
  </si>
  <si>
    <t>10ETK0067D</t>
  </si>
  <si>
    <t>TELEBACHILLERATO COMUNITARIO LAS HUERTAS</t>
  </si>
  <si>
    <t>LAS HUERTAS</t>
  </si>
  <si>
    <t>10ETK0068C</t>
  </si>
  <si>
    <t>TELEBACHILLERATO COMUNITARIO SAN JOSE DE VINEDO</t>
  </si>
  <si>
    <t>SAN JOSE DE VINEDO</t>
  </si>
  <si>
    <t>10ETK0070R</t>
  </si>
  <si>
    <t>TBC JOSE GUADALUPE RODRIGUEZ</t>
  </si>
  <si>
    <t>JOSE GUADALUPE RODRIGUEZ</t>
  </si>
  <si>
    <t>10ETK0087R</t>
  </si>
  <si>
    <t>TELEBACHILLERATO COMUNITARIO VENCEDORES</t>
  </si>
  <si>
    <t>SAN DIMAS</t>
  </si>
  <si>
    <t>VENCEDORES</t>
  </si>
  <si>
    <t>10ETK0090E</t>
  </si>
  <si>
    <t>TELEBACHILLERATO COMUNITARIO LOS HERRERA</t>
  </si>
  <si>
    <t>LOS HERRERA</t>
  </si>
  <si>
    <t>10ETK0104R</t>
  </si>
  <si>
    <t>TBC CRISTOBAL COLON</t>
  </si>
  <si>
    <t>CRISTOBAL COLON</t>
  </si>
  <si>
    <t>11DTV0001A</t>
  </si>
  <si>
    <t>TELESECUNDARIA FEDRAL 1</t>
  </si>
  <si>
    <t>GUANAJUATO</t>
  </si>
  <si>
    <t>CELAYA</t>
  </si>
  <si>
    <t>ALMACÉN Z.T. BAJIO CENTRAL</t>
  </si>
  <si>
    <t>11DTV0003Z</t>
  </si>
  <si>
    <t>TELESECUNDARIA FEDERAL   3</t>
  </si>
  <si>
    <t>11DTV0009T</t>
  </si>
  <si>
    <t>TELESECUNDARIA FEDERAL NO 9</t>
  </si>
  <si>
    <t>IRAPUATO</t>
  </si>
  <si>
    <t>PROVIDENCIA DE PEREZ</t>
  </si>
  <si>
    <t>ALMACÉN Z.T. BAJÍO</t>
  </si>
  <si>
    <t>11DTV0011H</t>
  </si>
  <si>
    <t>TELESECUNDARIA FEDERAL 11</t>
  </si>
  <si>
    <t>SILAO DE LA VICTORIA</t>
  </si>
  <si>
    <t>COECILLO</t>
  </si>
  <si>
    <t>11DTV0012G</t>
  </si>
  <si>
    <t>TELESECUNDARIA FEDERAL 12</t>
  </si>
  <si>
    <t>LEON</t>
  </si>
  <si>
    <t>11DTV0016C</t>
  </si>
  <si>
    <t>TELESECUNDARIA FEDERAL 16</t>
  </si>
  <si>
    <t>SALAMANCA</t>
  </si>
  <si>
    <t>CERRO GORDO SAN RAFAEL</t>
  </si>
  <si>
    <t>11DTV0017B</t>
  </si>
  <si>
    <t>TELESECUNDARIA FEDERAL 17</t>
  </si>
  <si>
    <t>11DTV0019Z</t>
  </si>
  <si>
    <t>TELESECUNDARIA FEDERAL  19</t>
  </si>
  <si>
    <t>RIVERA DE LA PRESA</t>
  </si>
  <si>
    <t>11DTV0020P</t>
  </si>
  <si>
    <t>TELESECUNDARIA FEDERAL 20</t>
  </si>
  <si>
    <t>ABASOLO</t>
  </si>
  <si>
    <t>11DTV0022N</t>
  </si>
  <si>
    <t>TELESECUNDARIA FEDERAL   22</t>
  </si>
  <si>
    <t>11DTV0024L</t>
  </si>
  <si>
    <t>TELESECUNDARIA FEDERAL 24</t>
  </si>
  <si>
    <t>11DTV0025K</t>
  </si>
  <si>
    <t>TELESECUNDARIA FEDERAL 25</t>
  </si>
  <si>
    <t>SAN PABLO</t>
  </si>
  <si>
    <t>11DTV0026J</t>
  </si>
  <si>
    <t>TELESECUNDARIA FEDERAL 26</t>
  </si>
  <si>
    <t>DUARTE</t>
  </si>
  <si>
    <t>11DTV0039N</t>
  </si>
  <si>
    <t>ESCUELA DE EDUCACION SECUNDARIA</t>
  </si>
  <si>
    <t>PURISIMA DEL PROGRESO</t>
  </si>
  <si>
    <t>11DTV0041B</t>
  </si>
  <si>
    <t>TELESECUNDARIA FEDERAL 41</t>
  </si>
  <si>
    <t>11DTV0042A</t>
  </si>
  <si>
    <t>SANTA MARIA DEL REFUGIO</t>
  </si>
  <si>
    <t>11ETK0001U</t>
  </si>
  <si>
    <t>TELEBACHILLERATO COMUNITARIO JERECUARO</t>
  </si>
  <si>
    <t>JERECUARO</t>
  </si>
  <si>
    <t>EL TEPOZAN</t>
  </si>
  <si>
    <t>11ETK0002T</t>
  </si>
  <si>
    <t>CALZADA DE LA MERCED</t>
  </si>
  <si>
    <t>MANUEL DOBLADO</t>
  </si>
  <si>
    <t>LA CALZADA DE LA MERCED</t>
  </si>
  <si>
    <t>11ETK0003S</t>
  </si>
  <si>
    <t>TBC PENJAMO CUEVAS DE MORALES</t>
  </si>
  <si>
    <t>PENJAMO</t>
  </si>
  <si>
    <t>CUEVAS DE MORALES</t>
  </si>
  <si>
    <t>11ETK0004R</t>
  </si>
  <si>
    <t>TBC PUEBLO NUEVO - PROGRESO DE LA UNION</t>
  </si>
  <si>
    <t>PROGRESO DE LA UNION</t>
  </si>
  <si>
    <t>11ETK0006P</t>
  </si>
  <si>
    <t>SAN FELIPE - LA SAUCEDA DE LA LUZ</t>
  </si>
  <si>
    <t>LA SAUCEDA DE LA LUZ</t>
  </si>
  <si>
    <t>11ETK0007O</t>
  </si>
  <si>
    <t>TELEBACHILLERATO COMUNITARIO SAN JOSE ITURBIDE</t>
  </si>
  <si>
    <t>SAN JOSE ITURBIDE</t>
  </si>
  <si>
    <t>LA ESCONDIDA</t>
  </si>
  <si>
    <t>11ETK0010B</t>
  </si>
  <si>
    <t>TELEBACHILLERATO COMUNITARIO VICTORIA MALINTO</t>
  </si>
  <si>
    <t>VICTORIA</t>
  </si>
  <si>
    <t>SAN JUAN MALINTO</t>
  </si>
  <si>
    <t>11ETK0011A</t>
  </si>
  <si>
    <t>TBC ABASOLO-EL VARAL</t>
  </si>
  <si>
    <t>EL VARAL</t>
  </si>
  <si>
    <t>11ETK0014Y</t>
  </si>
  <si>
    <t>APASEO EL ALTO EL DURAZNO</t>
  </si>
  <si>
    <t>APASEO EL ALTO</t>
  </si>
  <si>
    <t>11ETK0016W</t>
  </si>
  <si>
    <t>TELEBACHILLERATO COMUNITARIO GUADALUPE DE RIVERA</t>
  </si>
  <si>
    <t>GUADALUPE DE RIVERA</t>
  </si>
  <si>
    <t>11ETK0017V</t>
  </si>
  <si>
    <t>TBC SANTA ROSA TEMASCATIO</t>
  </si>
  <si>
    <t>SANTA ROSA TEMASCATIO</t>
  </si>
  <si>
    <t>11ETK0019T</t>
  </si>
  <si>
    <t>TELEBACHILLERATO COMUNITARIO LEON NUEVO LINDERO</t>
  </si>
  <si>
    <t>NUEVO LINDERO</t>
  </si>
  <si>
    <t>11ETK0020I</t>
  </si>
  <si>
    <t>LEON RAMILLETE</t>
  </si>
  <si>
    <t>EL RAMILLETE</t>
  </si>
  <si>
    <t>11ETK0021H</t>
  </si>
  <si>
    <t>TELEBACHILLERATO RANCHO NUEVO DE ATOTONILQUILLO</t>
  </si>
  <si>
    <t>RANCHO NUEVO DE ATOTONILQUILLO</t>
  </si>
  <si>
    <t>11ETK0029Z</t>
  </si>
  <si>
    <t>TELEBACHILLERATO COMUNITARIO SILAO MEDRANOS</t>
  </si>
  <si>
    <t>MEDRANOS</t>
  </si>
  <si>
    <t>11ETK0030P</t>
  </si>
  <si>
    <t>TELEBACHILLERATO COMUNIARIO SAN ANDRES ENGUARO</t>
  </si>
  <si>
    <t>YURIRIA</t>
  </si>
  <si>
    <t>SAN ANDRES ENGUARO</t>
  </si>
  <si>
    <t>11ETK0031O</t>
  </si>
  <si>
    <t>TELEBACHILLERATO COMUNITARIO SAN ISIDRO</t>
  </si>
  <si>
    <t>11ETK0032N</t>
  </si>
  <si>
    <t>TELEBACHILLERATO LUZ DE QUITANA</t>
  </si>
  <si>
    <t>LUZ DE QUITANA</t>
  </si>
  <si>
    <t>11ETK0035K</t>
  </si>
  <si>
    <t>CONGREGACION DE LA CRUZ LA CUEVA</t>
  </si>
  <si>
    <t>11ETK0036J</t>
  </si>
  <si>
    <t>APASEO EL GRANDE - IXTLA (SAN MIGUEL DE IXTLA)</t>
  </si>
  <si>
    <t>APASEO EL GRANDE</t>
  </si>
  <si>
    <t>IXTLA</t>
  </si>
  <si>
    <t>11ETK0040W</t>
  </si>
  <si>
    <t>CORTAZAR ARREGUIN DE ARRIBA</t>
  </si>
  <si>
    <t>ARREGIN DE ARRIBA</t>
  </si>
  <si>
    <t>11ETK0041V</t>
  </si>
  <si>
    <t>CUERAMARO CERRITO DE AGUA CALIENTE</t>
  </si>
  <si>
    <t>CUERAMARO</t>
  </si>
  <si>
    <t>CERRITO DE AGUA CALIENTE</t>
  </si>
  <si>
    <t>11ETK0043T</t>
  </si>
  <si>
    <t>DOCTOR MORA</t>
  </si>
  <si>
    <t>PENA RODADA</t>
  </si>
  <si>
    <t>11ETK0044S</t>
  </si>
  <si>
    <t>TELEBACHILLERATO COMUNITARIO PALMITAS DOLORES HIDA</t>
  </si>
  <si>
    <t>DOLORES HIDALGO CUNA DE LA INDEPENDENCIA NACIONAL</t>
  </si>
  <si>
    <t>PALMITAS</t>
  </si>
  <si>
    <t>11ETK0045R</t>
  </si>
  <si>
    <t>TELEBACHILLERATO COMUNITARIO LAS YERBAS</t>
  </si>
  <si>
    <t>LAS YERBAS</t>
  </si>
  <si>
    <t>11ETK0052A</t>
  </si>
  <si>
    <t>TBC HUANIMARO RANCHO DE GUADALUPE</t>
  </si>
  <si>
    <t>HUANIMARO</t>
  </si>
  <si>
    <t>RANCHO DE GUADALUPE</t>
  </si>
  <si>
    <t>11ETK0054Z</t>
  </si>
  <si>
    <t>JERECUARO-SAN LORENZO</t>
  </si>
  <si>
    <t>SAN LORENZO</t>
  </si>
  <si>
    <t>11ETK0055Y</t>
  </si>
  <si>
    <t>TELEBACHILLERATO COMUNITARIO SALTO DE PENA</t>
  </si>
  <si>
    <t>SALTO</t>
  </si>
  <si>
    <t>11ETK0060J</t>
  </si>
  <si>
    <t>JERECUARO-CANOAS</t>
  </si>
  <si>
    <t>LAS CANOAS</t>
  </si>
  <si>
    <t>11ETK0065E</t>
  </si>
  <si>
    <t>PENJAMO PALO ALTO DE ABAJO</t>
  </si>
  <si>
    <t>PALO ALTO DE ABAJO</t>
  </si>
  <si>
    <t>11ETK0068B</t>
  </si>
  <si>
    <t>TEPETATE DEL GALLO</t>
  </si>
  <si>
    <t>PURISIMA DEL RINCON</t>
  </si>
  <si>
    <t>EL TEPETATE DEL GALLO</t>
  </si>
  <si>
    <t>11ETK0070Q</t>
  </si>
  <si>
    <t>SALAMANCA DOÑA ROSA (EL CHICOTE)</t>
  </si>
  <si>
    <t>DOÑA ROSA (EL CHICOTE)</t>
  </si>
  <si>
    <t>11ETK0071P</t>
  </si>
  <si>
    <t>TELEBACHILLERATO COMUNITARIO SALVATIERRA ESTANCIA</t>
  </si>
  <si>
    <t>SALVATIERRA</t>
  </si>
  <si>
    <t>ESTANCIA DEL CARMEN DE MARAVATIO</t>
  </si>
  <si>
    <t>11ETK0074M</t>
  </si>
  <si>
    <t>EX HACIENDA LA JAULA</t>
  </si>
  <si>
    <t>SAN DIEGO DE LA UNION</t>
  </si>
  <si>
    <t>11ETK0076K</t>
  </si>
  <si>
    <t>TELEBACHILLERATO COMUNITARIO BARRANCA DE CANO</t>
  </si>
  <si>
    <t>BARRANCA DE CANO</t>
  </si>
  <si>
    <t>11ETK0077J</t>
  </si>
  <si>
    <t>SAN JOSE DEL TANQUE</t>
  </si>
  <si>
    <t>11ETK0078I</t>
  </si>
  <si>
    <t>TELEBACHILLERATO COMUNITARIO MOLINO DE SAN JOSE</t>
  </si>
  <si>
    <t>MOLINO DE SAN JOSE</t>
  </si>
  <si>
    <t>11ETK0079H</t>
  </si>
  <si>
    <t>TBC SAN FELIPE - MASTRANTO DEL REFUGIO</t>
  </si>
  <si>
    <t>MASTRANTO DEL REFUGIO</t>
  </si>
  <si>
    <t>11ETK0086R</t>
  </si>
  <si>
    <t>TBC LA FRAGUA SAN JOSE ITURBIDE</t>
  </si>
  <si>
    <t>LA FRAGUA</t>
  </si>
  <si>
    <t>11ETK0087Q</t>
  </si>
  <si>
    <t>SAN JOSE ITURBIDE CERRITO DEL ARENAL</t>
  </si>
  <si>
    <t>CERRITO DEL ARENAL</t>
  </si>
  <si>
    <t>11ETK0088P</t>
  </si>
  <si>
    <t>TELEBACHILLERATO COMUNITARIO VISTA HERMOSA</t>
  </si>
  <si>
    <t>SAN LUIS DE LA PAZ</t>
  </si>
  <si>
    <t>11ETK0094Z</t>
  </si>
  <si>
    <t>TELEBACHILLERATO COMUNITARIO LA HUERTA</t>
  </si>
  <si>
    <t>SAN MIGUEL DE ALLENDE</t>
  </si>
  <si>
    <t>LA HUERTA</t>
  </si>
  <si>
    <t>11ETK0096Y</t>
  </si>
  <si>
    <t>SANTA CATARINA-ORTEGA</t>
  </si>
  <si>
    <t>SANTA CATARINA</t>
  </si>
  <si>
    <t>ORTEGA</t>
  </si>
  <si>
    <t xml:space="preserve">Instalado, no operando, con reporte a mesa de ayuda
</t>
  </si>
  <si>
    <t>11ETK0097X</t>
  </si>
  <si>
    <t>SAN JULIAN DE TIERRA BLANCA</t>
  </si>
  <si>
    <t>SANTA CRUZ DE JUVENTINO ROSAS</t>
  </si>
  <si>
    <t>EL GARAMBULLO</t>
  </si>
  <si>
    <t>11ETK0098W</t>
  </si>
  <si>
    <t>SANTA CRUZ DE JUVENTINO ROSAS MESAS DE ACOSTA</t>
  </si>
  <si>
    <t>MESAS DE ACOSTA</t>
  </si>
  <si>
    <t>11ETK0100U</t>
  </si>
  <si>
    <t>NAPOLES</t>
  </si>
  <si>
    <t>11ETK0101T</t>
  </si>
  <si>
    <t>TELEBACHILLERATO COMUNITARIO LOMA DE YERBABUENA</t>
  </si>
  <si>
    <t>LOMA DE YERBABUENA</t>
  </si>
  <si>
    <t>11ETK0103R</t>
  </si>
  <si>
    <t>EL DERRAMADERO</t>
  </si>
  <si>
    <t>URIANGATO</t>
  </si>
  <si>
    <t>11ETK0104Q</t>
  </si>
  <si>
    <t>VALLE DE SANTIAGO SAN CRISTOBAL</t>
  </si>
  <si>
    <t>VALLE DE SANTIAGO</t>
  </si>
  <si>
    <t>SAN CRISTOBAL</t>
  </si>
  <si>
    <t>INSTALADO= Instalado, no operando, con reporte a mesa de ayuda</t>
  </si>
  <si>
    <t>11ETK0106O</t>
  </si>
  <si>
    <t>TELEBACHILLERATO COMUNITARIO LOS MARTINEZ</t>
  </si>
  <si>
    <t>LOS MARTINEZ</t>
  </si>
  <si>
    <t>Instalado, no operando, con reporte a mesa de ayuda</t>
  </si>
  <si>
    <t>11ETK0107N</t>
  </si>
  <si>
    <t>TBC VALLE DE SANTIAGO EL TAMBOR</t>
  </si>
  <si>
    <t>EL TAMBOR</t>
  </si>
  <si>
    <t>11ETK0108M</t>
  </si>
  <si>
    <t>TELEBACHILLERATO COMUNITARIO MISION DE ARNEDO</t>
  </si>
  <si>
    <t>MISION DE ARNEDO</t>
  </si>
  <si>
    <t>11ETK0109L</t>
  </si>
  <si>
    <t>TELEBACHILLERATO COMUNITARIO XICHU-EL AGUACATE</t>
  </si>
  <si>
    <t>XICHU</t>
  </si>
  <si>
    <t>EL AGUACATE</t>
  </si>
  <si>
    <t>11ETK0113Y</t>
  </si>
  <si>
    <t>TELEBACHILLERATO COMUNITARIO EL BORREGO VALLE DE S</t>
  </si>
  <si>
    <t>EL BORREGO</t>
  </si>
  <si>
    <t>11ETK0114X</t>
  </si>
  <si>
    <t>TELEBACHILLERATO COMUNITARIO ACAMBARO LA ORTIGA</t>
  </si>
  <si>
    <t>ACAMBARO</t>
  </si>
  <si>
    <t>LA ORTIGA</t>
  </si>
  <si>
    <t>11ETK0115W</t>
  </si>
  <si>
    <t>SAN JUAN DEL LLANITO</t>
  </si>
  <si>
    <t>11ETK0116V</t>
  </si>
  <si>
    <t>TBC EL TUNA LOS OLIVOS APASEO EL GRANDE</t>
  </si>
  <si>
    <t>EL TUNAL</t>
  </si>
  <si>
    <t>11ETK0125C</t>
  </si>
  <si>
    <t>VALLE DE SANTIGO - ZAPOTILLO DE MOGOTES</t>
  </si>
  <si>
    <t>ZAPOTILLO DE MOGOTES</t>
  </si>
  <si>
    <t>11ETK0130O</t>
  </si>
  <si>
    <t>PURISIMA DEL RINCON DOLORES</t>
  </si>
  <si>
    <t>DOLORES</t>
  </si>
  <si>
    <t>11ETK0137H</t>
  </si>
  <si>
    <t>EL RECUERDO DE ANCON</t>
  </si>
  <si>
    <t>RECUERDO DE ANCON</t>
  </si>
  <si>
    <t>11ETK0138G</t>
  </si>
  <si>
    <t>TELEBACHILLERATO COMUNITARIO LA SAUCEDA S.D.U</t>
  </si>
  <si>
    <t>LA SAUCEDAA</t>
  </si>
  <si>
    <t>11ETK0139F</t>
  </si>
  <si>
    <t>TELEBACHILLERATO COMUNITARIO SAN FELIPE GUADALUPE</t>
  </si>
  <si>
    <t>POBLADO DE GUADALUPE</t>
  </si>
  <si>
    <t>11ETK0140V</t>
  </si>
  <si>
    <t>EL CARRETON</t>
  </si>
  <si>
    <t>11ETK0143S</t>
  </si>
  <si>
    <t>SAN AGUSTIN DE LAS FLORES</t>
  </si>
  <si>
    <t>11ETK0144R</t>
  </si>
  <si>
    <t>TELEBACHILLERATO COMUNITARIO VICTORIA PU DE PALMAS</t>
  </si>
  <si>
    <t>PUERTO DE PALMAS</t>
  </si>
  <si>
    <t>11ETK0147O</t>
  </si>
  <si>
    <t>TELEBACHILLERATO COMUNITARIO LA ORDENA SALAMANCA</t>
  </si>
  <si>
    <t>LA ORDENA</t>
  </si>
  <si>
    <t>11ETK0148N</t>
  </si>
  <si>
    <t>TELEBACHILLERATO SAN ANTONIO</t>
  </si>
  <si>
    <t>SAN ANTONIO</t>
  </si>
  <si>
    <t>11ETK0149M</t>
  </si>
  <si>
    <t>TBC SILAO COMANJILLA</t>
  </si>
  <si>
    <t>COMANJILLA</t>
  </si>
  <si>
    <t>11ETK0151A</t>
  </si>
  <si>
    <t>TELEBACHILLERATO COMUNITARIO CALDERON</t>
  </si>
  <si>
    <t>CALDERON</t>
  </si>
  <si>
    <t>11ETK0152Z</t>
  </si>
  <si>
    <t>TELEBACHILLERATO COMUNITARIO ABASOLO LA CARROZA</t>
  </si>
  <si>
    <t>LA CARROZA</t>
  </si>
  <si>
    <t>11ETK0153Z</t>
  </si>
  <si>
    <t>LAS MASAS</t>
  </si>
  <si>
    <t>11ETK0156W</t>
  </si>
  <si>
    <t>TELEBACHILLERATO COMUNITARIO GUANAJUATO ARPEROS</t>
  </si>
  <si>
    <t>ARPEROS</t>
  </si>
  <si>
    <t>11ETK0161H</t>
  </si>
  <si>
    <t>TBC HUANIMARO SAN CRISTOBAL DE AYALA</t>
  </si>
  <si>
    <t>SAN CRISTOBAL DE AYALA</t>
  </si>
  <si>
    <t>11ETK0162G</t>
  </si>
  <si>
    <t>TBC HUANIMARO SAN JUAN GRANDE</t>
  </si>
  <si>
    <t>SAN JUAN GRANDE</t>
  </si>
  <si>
    <t>11ETK0163F</t>
  </si>
  <si>
    <t>LA CAJA</t>
  </si>
  <si>
    <t>11ETK0164E</t>
  </si>
  <si>
    <t>MUNGUIA</t>
  </si>
  <si>
    <t>11ETK0168A</t>
  </si>
  <si>
    <t>TINAJA DE BERNALES</t>
  </si>
  <si>
    <t>11ETK0170P</t>
  </si>
  <si>
    <t>JARAL DEL PROGRESO SAN JOSE DEL CERRITO DE CAMARGO</t>
  </si>
  <si>
    <t>JARAL DEL PROGRESO</t>
  </si>
  <si>
    <t>SAN JOSE DEL CERRITO DE CAMARGO</t>
  </si>
  <si>
    <t>11ETK0171O</t>
  </si>
  <si>
    <t>PRIMAVERAL</t>
  </si>
  <si>
    <t>11ETK0172N</t>
  </si>
  <si>
    <t>TELEBACHILLERATO COMUNITARIO LAS TERESAS</t>
  </si>
  <si>
    <t>LAS TERESAS</t>
  </si>
  <si>
    <t>11ETK0179G</t>
  </si>
  <si>
    <t>PARRAL</t>
  </si>
  <si>
    <t>CORTAZAR</t>
  </si>
  <si>
    <t>11ETK0180W</t>
  </si>
  <si>
    <t>TELEBACHILLERATO COMUNITARIO CORTAZAR-EL HUIZACHE</t>
  </si>
  <si>
    <t>EL HUIZACHE</t>
  </si>
  <si>
    <t>11ETK0181V</t>
  </si>
  <si>
    <t>TELEBACHILLERATO COMUNITARIO CORTAZAR LA MOCHA</t>
  </si>
  <si>
    <t>LA MOCHA</t>
  </si>
  <si>
    <t>11ETK0182U</t>
  </si>
  <si>
    <t>EL SAUCILLO</t>
  </si>
  <si>
    <t>11ETK0184S</t>
  </si>
  <si>
    <t>TELEBACHILLERATO COMUNITARIO DOCTOR MORA FLORENCIA</t>
  </si>
  <si>
    <t>FLORENCIA</t>
  </si>
  <si>
    <t>11ETK0185R</t>
  </si>
  <si>
    <t xml:space="preserve">TELEBACHILLERATO COMUNITARIO  OBRAJITOS DE ABAJO </t>
  </si>
  <si>
    <t>OBRAJITOS DE ABAJO</t>
  </si>
  <si>
    <t>11ETK0190C</t>
  </si>
  <si>
    <t>TBC COMUNITARIO DOLORES HGO C.I.  SOLEDAD NUEVA</t>
  </si>
  <si>
    <t>SOLEDAD NUEVA</t>
  </si>
  <si>
    <t>11ETK0192A</t>
  </si>
  <si>
    <t>ANDOCUTIN</t>
  </si>
  <si>
    <t>11ETK0194Z</t>
  </si>
  <si>
    <t>EL ESPEJO EX HACIENDA DE ESPEJO</t>
  </si>
  <si>
    <t>11ETK0195Y</t>
  </si>
  <si>
    <t>TELEBACHILLERATO COMUNITARIO TERRERO, DE PAREDONES</t>
  </si>
  <si>
    <t>EL TERRERO</t>
  </si>
  <si>
    <t>11ETK0196X</t>
  </si>
  <si>
    <t>APASEO EL ALTO SAN ANTONIO CALICHAR</t>
  </si>
  <si>
    <t>SAN ANTONIO CALICHAR</t>
  </si>
  <si>
    <t>11ETK0197W</t>
  </si>
  <si>
    <t>APASEO EL GRANDE EL PENON SAN ISIDRO DEL PENON</t>
  </si>
  <si>
    <t>SAN ISIDRO DEL PENON</t>
  </si>
  <si>
    <t>11ETK0200T</t>
  </si>
  <si>
    <t>TBC SAUZ DE VILLASENOR CELAYA</t>
  </si>
  <si>
    <t>EL SAUZ DE VILLASENOR</t>
  </si>
  <si>
    <t>11ETK0202R</t>
  </si>
  <si>
    <t>TELEBACHILLERATO COMUNITARIO CELAYA LOS GALVANES</t>
  </si>
  <si>
    <t>GALVANES</t>
  </si>
  <si>
    <t>11ETK0203Q</t>
  </si>
  <si>
    <t>TELEBACHILLERATO COMUNITARIO CELAYA PRESA BLANCA</t>
  </si>
  <si>
    <t>PRESA BLANCA</t>
  </si>
  <si>
    <t>11ETK0204P</t>
  </si>
  <si>
    <t>TELEBACHILLERATO DON DIEGO</t>
  </si>
  <si>
    <t>COMONFORT</t>
  </si>
  <si>
    <t>DON DIEGO</t>
  </si>
  <si>
    <t>11ETK0207M</t>
  </si>
  <si>
    <t>JERECUARO LAS PILAS DE PURUAGUA</t>
  </si>
  <si>
    <t>LAS PILAS DE PURUAGUA</t>
  </si>
  <si>
    <t>11ETK0209K</t>
  </si>
  <si>
    <t>TELEBACHILLERATO SAN PEDRO DE LOS AGUSTINOS</t>
  </si>
  <si>
    <t>SAN PEDRO DE LOS AGUSTINOS</t>
  </si>
  <si>
    <t>11ETK0210Z</t>
  </si>
  <si>
    <t>TELEBACHILLERATO COMUNITARIO LEON ALBARRADONES</t>
  </si>
  <si>
    <t>ALBARRADONES</t>
  </si>
  <si>
    <t>11ETK0212Y</t>
  </si>
  <si>
    <t>TELEBACHILLERATO COMUNITARIO LEON CAPELLANIA DE LO</t>
  </si>
  <si>
    <t>CAPELLANIA DE LOERA</t>
  </si>
  <si>
    <t>11ETK0213X</t>
  </si>
  <si>
    <t>PENJAMO LA ATARJEA</t>
  </si>
  <si>
    <t>ATARJEA</t>
  </si>
  <si>
    <t>11ETK0214W</t>
  </si>
  <si>
    <t>TELEBACHILLERATO COMUNITARIO PENJAMO LIEBRES DE SU</t>
  </si>
  <si>
    <t>LIEBRES DE SUAREZ</t>
  </si>
  <si>
    <t>11ETK0218S</t>
  </si>
  <si>
    <t>PLAN DE AYALA SANTA ROSA</t>
  </si>
  <si>
    <t>11ETK0221F</t>
  </si>
  <si>
    <t>TBC YOSTIRO DE SAN ANTONIO PUEBLO NUEVO</t>
  </si>
  <si>
    <t>YOSTIRO DE SAN ANTONIO</t>
  </si>
  <si>
    <t>11ETK0222E</t>
  </si>
  <si>
    <t>SAN JUDAS</t>
  </si>
  <si>
    <t>11ETK0224C</t>
  </si>
  <si>
    <t>TBC SANTA ANA DEL CONDE</t>
  </si>
  <si>
    <t>SANTA ANA DEL CONDE</t>
  </si>
  <si>
    <t>11ETK0226A</t>
  </si>
  <si>
    <t>TELEBACHILLERATO COMUNITARIO VALLE DORADO LEON</t>
  </si>
  <si>
    <t>11ETK0228Z</t>
  </si>
  <si>
    <t>MANUEL DOBLADO PIEDRAS NEGRAS</t>
  </si>
  <si>
    <t>11ETK0230N</t>
  </si>
  <si>
    <t>TELEBACHILLERATO COMUNITARIO MANUEL DOBLADO</t>
  </si>
  <si>
    <t>PUERTA DE LLAVE</t>
  </si>
  <si>
    <t>11ETK0232L</t>
  </si>
  <si>
    <t>AMOLES MOROLEON</t>
  </si>
  <si>
    <t>MOROLEON</t>
  </si>
  <si>
    <t>AMOLES</t>
  </si>
  <si>
    <t>11ETK0235I</t>
  </si>
  <si>
    <t>LOMA PELADA</t>
  </si>
  <si>
    <t>11ETK0237G</t>
  </si>
  <si>
    <t>LOS LOBOS</t>
  </si>
  <si>
    <t>11ETK0238F</t>
  </si>
  <si>
    <t>TELEBACHILLERATO COMUNITARIO EX HACIENDA DE JESUS</t>
  </si>
  <si>
    <t>EX HACIENDA DE JESUS</t>
  </si>
  <si>
    <t>11ETK0243R</t>
  </si>
  <si>
    <t>SAN FELIPE FUERTE VIEJO</t>
  </si>
  <si>
    <t>FUERTE VIEJO</t>
  </si>
  <si>
    <t>11ETK0244Q</t>
  </si>
  <si>
    <t>SAN FELIPE - LA QUEMADA</t>
  </si>
  <si>
    <t>LA QUEMADA</t>
  </si>
  <si>
    <t>11ETK0245P</t>
  </si>
  <si>
    <t>TELEBACHILLERATO COMUNITAR SAN FELIPE-LOS MARTINEZ</t>
  </si>
  <si>
    <t>11ETK0253Y</t>
  </si>
  <si>
    <t>LAS ADJUNTAS</t>
  </si>
  <si>
    <t>11ETK0259S</t>
  </si>
  <si>
    <t xml:space="preserve">TELEBACHILLERATO COMUNITARIO  LA CRUZ DE GUERRERO </t>
  </si>
  <si>
    <t>LA CRUZ DE GUERRERO</t>
  </si>
  <si>
    <t>11ETK0261G</t>
  </si>
  <si>
    <t>TELEBACHILLERATO COMUNITARIO CARBONERA</t>
  </si>
  <si>
    <t>CARBONERA</t>
  </si>
  <si>
    <t>11ETK0264D</t>
  </si>
  <si>
    <t>TELEBACHILLERATO COMUNITARIO LA SEMITA</t>
  </si>
  <si>
    <t>LA SEMITA</t>
  </si>
  <si>
    <t>11ETK0269Z</t>
  </si>
  <si>
    <t>IGNACIO RAMIREZ</t>
  </si>
  <si>
    <t>11ETK0270O</t>
  </si>
  <si>
    <t>TELEBACHILLERATO COMUNITARIO LA CAMPANA</t>
  </si>
  <si>
    <t>LA CAMPANA</t>
  </si>
  <si>
    <t>11ETK0273L</t>
  </si>
  <si>
    <t>TELEBACHILLERATO COMUNITARIO SAN JOSE DE ALLENDE</t>
  </si>
  <si>
    <t>SAN JOSE DE ALLENDE</t>
  </si>
  <si>
    <t>11ETK0275J</t>
  </si>
  <si>
    <t>SAN JOSE DE LAS PILAS</t>
  </si>
  <si>
    <t>11ETK0276I</t>
  </si>
  <si>
    <t>SANTIAGO MARAVATIO OJO DE AGUA DE LA YERBABUENA</t>
  </si>
  <si>
    <t>SANTIAGO MARAVATIO</t>
  </si>
  <si>
    <t>EJIDO OJO DE AGUA DE LA YERBABUENA</t>
  </si>
  <si>
    <t>11ETK0277H</t>
  </si>
  <si>
    <t>TELEBACHILLERATO COMUNITARIO SILAO COECILLO</t>
  </si>
  <si>
    <t>11ETK0279F</t>
  </si>
  <si>
    <t>TELEBACHILLERATO COMUNITARIO SALAMANCA SAN VICENTE</t>
  </si>
  <si>
    <t>SAN VICENTE DE FLORESS</t>
  </si>
  <si>
    <t>11ETK0280V</t>
  </si>
  <si>
    <t>TELEBACHILLERATO COMUNITARIO SALVATIERRA LA VIRGEN</t>
  </si>
  <si>
    <t>11ETK0283S</t>
  </si>
  <si>
    <t>TBC SALVATIERRA SAN PABLO PEJO</t>
  </si>
  <si>
    <t>SAN PABLO PEJO</t>
  </si>
  <si>
    <t>11ETK0286P</t>
  </si>
  <si>
    <t>SAN ANTONIO TARANDACUAO</t>
  </si>
  <si>
    <t>TARANDACUAO</t>
  </si>
  <si>
    <t>11ETK0287O</t>
  </si>
  <si>
    <t>TELEBACHILLERATO COMUNITARIO TARIMORO LOS FIERROS</t>
  </si>
  <si>
    <t>TARIMORO</t>
  </si>
  <si>
    <t>LOS FIERROS</t>
  </si>
  <si>
    <t>11ETK0290B</t>
  </si>
  <si>
    <t>URIANGATO SAN JOSE CUARACURIO</t>
  </si>
  <si>
    <t>SAN JOSE CUARACURIO</t>
  </si>
  <si>
    <t>11ETK0293Z</t>
  </si>
  <si>
    <t>SAN DIEGO QUIRICEO - VALLE DE SANTIAGO</t>
  </si>
  <si>
    <t>SAN DIEGO QUIRICEO</t>
  </si>
  <si>
    <t>11ETK0295X</t>
  </si>
  <si>
    <t>VICTORIA DERRAMADEROS</t>
  </si>
  <si>
    <t>DERRAMADEROS</t>
  </si>
  <si>
    <t>11ETK0296W</t>
  </si>
  <si>
    <t>TELEBACHILLERATO COMUNITARIO VILLAGRAN EL CHINACO</t>
  </si>
  <si>
    <t>VILLAGRAN</t>
  </si>
  <si>
    <t>EL CHINACO</t>
  </si>
  <si>
    <t>11ETK0297V</t>
  </si>
  <si>
    <t>TELEBACHILLERATO COMUNITARIO XICHU LA ZABILA</t>
  </si>
  <si>
    <t>LA ZABILA</t>
  </si>
  <si>
    <t>11ETK0299T</t>
  </si>
  <si>
    <t>TELEBACHILLERATO COMUNITARIO YURIRIA-JUAN LUCAS</t>
  </si>
  <si>
    <t>JUAN LUCAS</t>
  </si>
  <si>
    <t>11ETK0302Q</t>
  </si>
  <si>
    <t>TBC SANTA MONICA OZUMBILLA</t>
  </si>
  <si>
    <t>SANTA MONICA OZUMBILLA</t>
  </si>
  <si>
    <t>11ETK0303P</t>
  </si>
  <si>
    <t>TELEBACHILLERATO COMUNITARIO LA PAZ</t>
  </si>
  <si>
    <t>11ETK0305N</t>
  </si>
  <si>
    <t>DELGADO DE ARRIBA</t>
  </si>
  <si>
    <t>11ETK0309J</t>
  </si>
  <si>
    <t>PUERTO DE VALLE</t>
  </si>
  <si>
    <t>11ETK0312X</t>
  </si>
  <si>
    <t>PAXTLE</t>
  </si>
  <si>
    <t>11ETK0314V</t>
  </si>
  <si>
    <t>SAN JERONIMO DE ARACEO</t>
  </si>
  <si>
    <t>11ETK0315U</t>
  </si>
  <si>
    <t>VILLAGRAN LOS ANGELES</t>
  </si>
  <si>
    <t>LOS ANGELES</t>
  </si>
  <si>
    <t>11ETK0316T</t>
  </si>
  <si>
    <t>TBC YURIRIA EL MORAL</t>
  </si>
  <si>
    <t>11ETK0317S</t>
  </si>
  <si>
    <t>SILAO</t>
  </si>
  <si>
    <t>11ETK0319Q</t>
  </si>
  <si>
    <t>TELEBACHILLERATO COMUNITARIO LINDAVISTA</t>
  </si>
  <si>
    <t>11ETK0320F</t>
  </si>
  <si>
    <t>SANTA CATARINA DE CUEVAS EL TINACO</t>
  </si>
  <si>
    <t>11ETK0321E</t>
  </si>
  <si>
    <t>TELEBACHILLERATO COMUNITARIO SANTA TERESA</t>
  </si>
  <si>
    <t>SANTA TERESA</t>
  </si>
  <si>
    <t>11ETK0322D</t>
  </si>
  <si>
    <t>TELEBACHILLERATO COMUNITARIO VALENCIANA</t>
  </si>
  <si>
    <t>VALENCIANA</t>
  </si>
  <si>
    <t>11ETK0323C</t>
  </si>
  <si>
    <t>TELEBACHILLERATO COMUNITARIO IRAPUATO CUCHICUATO</t>
  </si>
  <si>
    <t>CUCHICUATO</t>
  </si>
  <si>
    <t>11ETK0324B</t>
  </si>
  <si>
    <t>TBC IRAPUATO SAN NICOLAS TEMASCATIO</t>
  </si>
  <si>
    <t>SAN NICOLAS TEMASCATIO</t>
  </si>
  <si>
    <t>11ETK0328Y</t>
  </si>
  <si>
    <t>SAN JOSE DE LA VARILLA</t>
  </si>
  <si>
    <t>11ETK0329X</t>
  </si>
  <si>
    <t>SAN FRANCISCO DEL RINCON LA MURALLA DEL CADILLAL</t>
  </si>
  <si>
    <t>SAN FRANCISCO DEL RINCON</t>
  </si>
  <si>
    <t>LA MURALLA DEL CADILLAL</t>
  </si>
  <si>
    <t>11ETK0331L</t>
  </si>
  <si>
    <t>TBC SAN MIGUEL DE ALLENDE-LAGUNA ESCONDIDA</t>
  </si>
  <si>
    <t>LAGUNA_ESCONDIDA</t>
  </si>
  <si>
    <t>11ETK0334I</t>
  </si>
  <si>
    <t>TELEBACHILLETATO COMUNITARIO POZO DE BALDERAS</t>
  </si>
  <si>
    <t>POZO DE BALDERAS</t>
  </si>
  <si>
    <t>11ETK0335H</t>
  </si>
  <si>
    <t>SANTA CRUZ DE JUVENTINO ROSAS POZOS</t>
  </si>
  <si>
    <t>POZOS</t>
  </si>
  <si>
    <t>11ETK0336G</t>
  </si>
  <si>
    <t>TELEBACHILLERATO COMUNITARIO IRAPUATO SAN ROQUE</t>
  </si>
  <si>
    <t>SAN ROQUE</t>
  </si>
  <si>
    <t>11ETK0337F</t>
  </si>
  <si>
    <t>TBC VALENCIANITA</t>
  </si>
  <si>
    <t>VALENCIANITA</t>
  </si>
  <si>
    <t>11ETK0338E</t>
  </si>
  <si>
    <t>TELEBACHILLERATO COMUNITARIO VICTORIA - VICTORIA</t>
  </si>
  <si>
    <t>11ETK0340T</t>
  </si>
  <si>
    <t>SAN JOSE AGUA AZUL</t>
  </si>
  <si>
    <t>11ETK0343Q</t>
  </si>
  <si>
    <t>TBC COLONIA LATINOAMERICANA LEON</t>
  </si>
  <si>
    <t>COLONIA LATINOAMERICANA</t>
  </si>
  <si>
    <t>11ETK0344P</t>
  </si>
  <si>
    <t>EL RESPLANDOR</t>
  </si>
  <si>
    <t>EL RESPLANDOR EL CHORRO</t>
  </si>
  <si>
    <t>11ETK0345O</t>
  </si>
  <si>
    <t>TELEBACHILLETARO COMUNITARIO LEON, LA LABORCITA</t>
  </si>
  <si>
    <t>LA LABORCITA</t>
  </si>
  <si>
    <t>11ETK0346N</t>
  </si>
  <si>
    <t>SAN FRANCISCO DE DURAN</t>
  </si>
  <si>
    <t>11ETK0348L</t>
  </si>
  <si>
    <t>TELEBACHILLERATO COMUNITARIO CALZADA DEL TEZON</t>
  </si>
  <si>
    <t>CALZADA DEL TEPOZAN</t>
  </si>
  <si>
    <t>11ETK0350Z</t>
  </si>
  <si>
    <t>TELEBACHILLERATO COMUNITARIO SALAMANCA LOS PRIETOS</t>
  </si>
  <si>
    <t>36876</t>
  </si>
  <si>
    <t>11ETK0351Z</t>
  </si>
  <si>
    <t>TELEBACHILLERATO COMUNITARIO SAN MIGUEL DE ALLENDE</t>
  </si>
  <si>
    <t>11ETK0352Y</t>
  </si>
  <si>
    <t>URIANGATO LA PRESA PRESA DE HUAHUEMBA</t>
  </si>
  <si>
    <t>LA PRESA DE HUAHUEMBA</t>
  </si>
  <si>
    <t>11ETK0353X</t>
  </si>
  <si>
    <t>EL CUITZILLO</t>
  </si>
  <si>
    <t>11ETK0354W</t>
  </si>
  <si>
    <t>TELEBACHILLERATO COMUNITARIO GERVASIO MENDOZA</t>
  </si>
  <si>
    <t>GERVASIO MENDOZA</t>
  </si>
  <si>
    <t>11ETK0355V</t>
  </si>
  <si>
    <t>VALLE DE SANTIAGO-LA COMPAÑIA</t>
  </si>
  <si>
    <t>LA COMPANIA</t>
  </si>
  <si>
    <t>11ETK0356U</t>
  </si>
  <si>
    <t>TELEBACHILLERATO COMUNITARIO LAS JICAMAS</t>
  </si>
  <si>
    <t>LAS JICAMAS</t>
  </si>
  <si>
    <t>11ETK0359R</t>
  </si>
  <si>
    <t>VALLE DE SANTIAGO SANTA ANA</t>
  </si>
  <si>
    <t>SANTA ANA</t>
  </si>
  <si>
    <t>11ETK0360G</t>
  </si>
  <si>
    <t>SALAMANCA LA LUZ</t>
  </si>
  <si>
    <t>11ETK0361F</t>
  </si>
  <si>
    <t>TELEBACHILLERATO SAN JOSE DE GRACIA</t>
  </si>
  <si>
    <t>SAN JOSÉ DE GARCIA</t>
  </si>
  <si>
    <t>11ETV0002Z</t>
  </si>
  <si>
    <t>11ETV0003Y</t>
  </si>
  <si>
    <t>TELESECUNDARIA NÑ20</t>
  </si>
  <si>
    <t>11ETV0005W</t>
  </si>
  <si>
    <t>TELESECUNDARIA 22</t>
  </si>
  <si>
    <t>LABOR DE VALTIERRA</t>
  </si>
  <si>
    <t>11ETV0006V</t>
  </si>
  <si>
    <t>TELESECUNDARIA   23</t>
  </si>
  <si>
    <t>VALTIERRILLA</t>
  </si>
  <si>
    <t>11ETV0007U</t>
  </si>
  <si>
    <t>TELESECUNDARIA 24</t>
  </si>
  <si>
    <t>CONGREGACION DE CARDENAS</t>
  </si>
  <si>
    <t>11ETV0008T</t>
  </si>
  <si>
    <t>TELESECUNDARIA 25</t>
  </si>
  <si>
    <t>CERRO GORDO</t>
  </si>
  <si>
    <t>11ETV0009S</t>
  </si>
  <si>
    <t>TELESECUNDARIA 26</t>
  </si>
  <si>
    <t>LA CAPILLA</t>
  </si>
  <si>
    <t>11ETV0010H</t>
  </si>
  <si>
    <t>TELESECUNDARIA   27</t>
  </si>
  <si>
    <t>PRIMERA FRACCION DE CRESPO</t>
  </si>
  <si>
    <t>11ETV0011G</t>
  </si>
  <si>
    <t>TELESECUNDARIA 28</t>
  </si>
  <si>
    <t>RINCON DE TAMAYO</t>
  </si>
  <si>
    <t>11ETV0012F</t>
  </si>
  <si>
    <t>TELESECUNDARIA 30</t>
  </si>
  <si>
    <t>JUAN MARTIN</t>
  </si>
  <si>
    <t>11ETV0013E</t>
  </si>
  <si>
    <t>TELESECUANDARIA 31</t>
  </si>
  <si>
    <t>SAN JUAN DE LA VEGA</t>
  </si>
  <si>
    <t>11ETV0015C</t>
  </si>
  <si>
    <t>TELESECUNDARIA 33</t>
  </si>
  <si>
    <t>JAUREGUI</t>
  </si>
  <si>
    <t>11ETV0020O</t>
  </si>
  <si>
    <t>TELESECUNDARIA 38</t>
  </si>
  <si>
    <t>11ETV0022M</t>
  </si>
  <si>
    <t>TELESECUNDARIA 55</t>
  </si>
  <si>
    <t>ZAPOTE DE PERALTA</t>
  </si>
  <si>
    <t>11ETV0023L</t>
  </si>
  <si>
    <t>TELESECUNDARIA 304</t>
  </si>
  <si>
    <t>11ETV0025J</t>
  </si>
  <si>
    <t>SANTA CATARINA DE CUEVAS</t>
  </si>
  <si>
    <t>11ETV0028G</t>
  </si>
  <si>
    <t>SAN ROQUE DE MONTES</t>
  </si>
  <si>
    <t>11ETV0030V</t>
  </si>
  <si>
    <t>LEON DE LOS ALDAMA</t>
  </si>
  <si>
    <t>11ETV0031U</t>
  </si>
  <si>
    <t xml:space="preserve">TELESECUNDARIA  2  LA CARMONA </t>
  </si>
  <si>
    <t>11ETV0032T</t>
  </si>
  <si>
    <t>TELESECUNDARIA   3</t>
  </si>
  <si>
    <t>11ETV0033S</t>
  </si>
  <si>
    <t>TELESECUNDARIA   4</t>
  </si>
  <si>
    <t>11ETV0034R</t>
  </si>
  <si>
    <t>TELESECUNDARIA  5</t>
  </si>
  <si>
    <t>11ETV0035Q</t>
  </si>
  <si>
    <t>11ETV0036P</t>
  </si>
  <si>
    <t>TELESECUNDARIA 7 SANTA FE</t>
  </si>
  <si>
    <t>11ETV0037O</t>
  </si>
  <si>
    <t xml:space="preserve">TELESECUNDARIA 8  SAN FELIPE DE JESUS </t>
  </si>
  <si>
    <t>11ETV0038N</t>
  </si>
  <si>
    <t>TELESECUNDARIA 9</t>
  </si>
  <si>
    <t>11ETV0040B</t>
  </si>
  <si>
    <t>TELESECUNDARIA 11 MA ESTHER GARCIA APOLINAR</t>
  </si>
  <si>
    <t>11ETV0042Z</t>
  </si>
  <si>
    <t>TELESECUNDARIA  13</t>
  </si>
  <si>
    <t>11ETV0043Z</t>
  </si>
  <si>
    <t>TELESECUNDARIA 14</t>
  </si>
  <si>
    <t>11ETV0045X</t>
  </si>
  <si>
    <t>TELESECUNDARIA 17</t>
  </si>
  <si>
    <t>11ETV0046W</t>
  </si>
  <si>
    <t>TELESECUNDARIA 57</t>
  </si>
  <si>
    <t>LA JOYA DE CALVILLO</t>
  </si>
  <si>
    <t>11ETV0047V</t>
  </si>
  <si>
    <t>TELESECUNDARIA 53</t>
  </si>
  <si>
    <t>RANCHO NUEVO DE LA CRUZ</t>
  </si>
  <si>
    <t>11ETV0049T</t>
  </si>
  <si>
    <t>TELESECUNDARIA 56</t>
  </si>
  <si>
    <t>11ETV0050I</t>
  </si>
  <si>
    <t>CHAMACUARO</t>
  </si>
  <si>
    <t>11ETV0062N</t>
  </si>
  <si>
    <t>TELESECUNDARIA 70</t>
  </si>
  <si>
    <t>11ETV0063M</t>
  </si>
  <si>
    <t>EL PUESTO</t>
  </si>
  <si>
    <t>11ETV0065K</t>
  </si>
  <si>
    <t>TELESECUNDARIA 74</t>
  </si>
  <si>
    <t>SAN JOSE DE GUANAJUATO</t>
  </si>
  <si>
    <t>11ETV0077P</t>
  </si>
  <si>
    <t>TELESECUNDARIA  82</t>
  </si>
  <si>
    <t>TIERRA FRIA</t>
  </si>
  <si>
    <t>11ETV0083Z</t>
  </si>
  <si>
    <t>TELESECUNDARIA 87</t>
  </si>
  <si>
    <t>RIO LAJA</t>
  </si>
  <si>
    <t>11ETV0088V</t>
  </si>
  <si>
    <t>TELESECUNDARIA  91 RAMON LOPEZ VELARDE</t>
  </si>
  <si>
    <t>PUENTECILLAS</t>
  </si>
  <si>
    <t>11ETV0091I</t>
  </si>
  <si>
    <t>MIGUEL DE CERVANTES SAAVEDRA</t>
  </si>
  <si>
    <t>11ETV0093G</t>
  </si>
  <si>
    <t>TELESECUNDARIA 93 VALENCIANA</t>
  </si>
  <si>
    <t>11ETV0095E</t>
  </si>
  <si>
    <t>LOS OTATES</t>
  </si>
  <si>
    <t>11ETV0096D</t>
  </si>
  <si>
    <t>ARANDAS</t>
  </si>
  <si>
    <t>11ETV0097C</t>
  </si>
  <si>
    <t>TELESECUNDARIA 114</t>
  </si>
  <si>
    <t>LA CALERA</t>
  </si>
  <si>
    <t>11ETV0098B</t>
  </si>
  <si>
    <t>TELESECUNDARIA 115</t>
  </si>
  <si>
    <t>EX HACIENDA EL COPAL</t>
  </si>
  <si>
    <t>11ETV0099A</t>
  </si>
  <si>
    <t>TELESECUNDARIA  106</t>
  </si>
  <si>
    <t>CUARTA BRIGADA</t>
  </si>
  <si>
    <t>11ETV0100Z</t>
  </si>
  <si>
    <t>TELESECUNDARIA  118</t>
  </si>
  <si>
    <t>11ETV0101Z</t>
  </si>
  <si>
    <t>11ETV0102Y</t>
  </si>
  <si>
    <t>LAGUNA LARGA</t>
  </si>
  <si>
    <t>11ETV0103X</t>
  </si>
  <si>
    <t>TELESECUNDARIA 49 LUIS CHAVEZ OROZCO</t>
  </si>
  <si>
    <t>LO DE JUAREZ</t>
  </si>
  <si>
    <t>11ETV0104W</t>
  </si>
  <si>
    <t>EJIDO DE MALVAS (LA ARGOLLA)</t>
  </si>
  <si>
    <t>11ETV0112E</t>
  </si>
  <si>
    <t>TELESECUNDARIA 117</t>
  </si>
  <si>
    <t>11ETV0113D</t>
  </si>
  <si>
    <t>TELESECUNDARIA 102 JESUS LOPEZ LIRA</t>
  </si>
  <si>
    <t>PURUAGUA</t>
  </si>
  <si>
    <t>11ETV0114C</t>
  </si>
  <si>
    <t>TELESECUNDARIA   122</t>
  </si>
  <si>
    <t>11ETV0115B</t>
  </si>
  <si>
    <t>11ETV0116A</t>
  </si>
  <si>
    <t>TELESECUNDARIA 124</t>
  </si>
  <si>
    <t>LOZA DE LOS PADRES</t>
  </si>
  <si>
    <t>11ETV0117Z</t>
  </si>
  <si>
    <t>11ETV0119Y</t>
  </si>
  <si>
    <t>ESTV 125</t>
  </si>
  <si>
    <t>11ETV0120N</t>
  </si>
  <si>
    <t xml:space="preserve">TELESECUNDARIA 130  LOS RAMIREZ </t>
  </si>
  <si>
    <t>LOS RAMIREZ</t>
  </si>
  <si>
    <t>11ETV0122L</t>
  </si>
  <si>
    <t>TELESECUNDARIA  51</t>
  </si>
  <si>
    <t>11ETV0124J</t>
  </si>
  <si>
    <t>TELESECUNDARIA 123</t>
  </si>
  <si>
    <t>LOS SAUCES</t>
  </si>
  <si>
    <t>11ETV0125I</t>
  </si>
  <si>
    <t>TELESECUNDARIA 199</t>
  </si>
  <si>
    <t>OJO DE AGUA DE ENMEDIO</t>
  </si>
  <si>
    <t>11ETV0128F</t>
  </si>
  <si>
    <t>TELESECUNDARIA 136</t>
  </si>
  <si>
    <t>LA CALLE</t>
  </si>
  <si>
    <t>11ETV0129E</t>
  </si>
  <si>
    <t>TELESECUNDARIA 140</t>
  </si>
  <si>
    <t>CERRITOS BLANCOS</t>
  </si>
  <si>
    <t>11ETV0130U</t>
  </si>
  <si>
    <t>TELESECUNDARIA 134</t>
  </si>
  <si>
    <t>CORRALEJO DE HIDALGO</t>
  </si>
  <si>
    <t>11ETV0131T</t>
  </si>
  <si>
    <t>TELESECUNDARIA 135</t>
  </si>
  <si>
    <t>CUEVA DE MORALES</t>
  </si>
  <si>
    <t>11ETV0132S</t>
  </si>
  <si>
    <t>TELESECUNDARIA 138</t>
  </si>
  <si>
    <t>EL MARMOL</t>
  </si>
  <si>
    <t>11ETV0133R</t>
  </si>
  <si>
    <t>ORDENITA DE BARAJAS</t>
  </si>
  <si>
    <t>11ETV0134Q</t>
  </si>
  <si>
    <t>TACUBAYA</t>
  </si>
  <si>
    <t>11ETV0137N</t>
  </si>
  <si>
    <t>JOSE VASCONCELOS</t>
  </si>
  <si>
    <t>SAN BERNARDO</t>
  </si>
  <si>
    <t>11ETV0142Z</t>
  </si>
  <si>
    <t>TELESECUNDARIA  150</t>
  </si>
  <si>
    <t>LOMA DE FLORES</t>
  </si>
  <si>
    <t>11ETV0143Y</t>
  </si>
  <si>
    <t>TELESECUNDARIA 149</t>
  </si>
  <si>
    <t>URUETARO</t>
  </si>
  <si>
    <t>11ETV0157A</t>
  </si>
  <si>
    <t>JUAN ESCUTIA</t>
  </si>
  <si>
    <t>EL NACIMIENTO</t>
  </si>
  <si>
    <t>11ETV0159Z</t>
  </si>
  <si>
    <t>SAN ROQUE DE TORRES</t>
  </si>
  <si>
    <t>11ETV0160O</t>
  </si>
  <si>
    <t>TELESECUNDARIA  165</t>
  </si>
  <si>
    <t>EL CAPULIN</t>
  </si>
  <si>
    <t>11ETV0162M</t>
  </si>
  <si>
    <t>TELESECUNDARIA 166</t>
  </si>
  <si>
    <t>OJO DE AGUA DELREFUGIO</t>
  </si>
  <si>
    <t>11ETV0164K</t>
  </si>
  <si>
    <t>ESTV167</t>
  </si>
  <si>
    <t>11ETV0165J</t>
  </si>
  <si>
    <t>TELESECUNDARIA 170</t>
  </si>
  <si>
    <t>SAN PEDRO DE LOS POZOS, MINERAL DE POZOS</t>
  </si>
  <si>
    <t>11ETV0166I</t>
  </si>
  <si>
    <t>TELESECUNDARIA 20 DE NOVIEMBRE</t>
  </si>
  <si>
    <t>SAN ANTONIO DE MORALES</t>
  </si>
  <si>
    <t>11ETV0170V</t>
  </si>
  <si>
    <t>ESTV 200 JOSE EMILIO PACHECO</t>
  </si>
  <si>
    <t>COLONIAS NUEVO MEXICO</t>
  </si>
  <si>
    <t>11ETV0172T</t>
  </si>
  <si>
    <t>BEATRIZ RAMIREZ DE LA FUENTE</t>
  </si>
  <si>
    <t>CHICHIMEQUILLAS</t>
  </si>
  <si>
    <t>11ETV0175Q</t>
  </si>
  <si>
    <t>TELESECUNDARIA 178</t>
  </si>
  <si>
    <t>EL ACEBUCHE</t>
  </si>
  <si>
    <t>11ETV0177O</t>
  </si>
  <si>
    <t>ESCUELA TELESECUNDARIA 177</t>
  </si>
  <si>
    <t>11ETV0179M</t>
  </si>
  <si>
    <t>TELESECUNDARIA 180</t>
  </si>
  <si>
    <t>11ETV0180B</t>
  </si>
  <si>
    <t>TELESECUANDARIA 181</t>
  </si>
  <si>
    <t>COPALES</t>
  </si>
  <si>
    <t>11ETV0181A</t>
  </si>
  <si>
    <t>TELESECUNDARIA 185</t>
  </si>
  <si>
    <t>NORIA DE MOSQUEDA</t>
  </si>
  <si>
    <t>11ETV0183Z</t>
  </si>
  <si>
    <t>TELESECUNDARIA 182</t>
  </si>
  <si>
    <t>PRESA DE SAN ANDRES</t>
  </si>
  <si>
    <t>11ETV0185X</t>
  </si>
  <si>
    <t>TELESECUNDARIA 188</t>
  </si>
  <si>
    <t>SAN ANTONIO DE MOGOTES</t>
  </si>
  <si>
    <t>11ETV0186W</t>
  </si>
  <si>
    <t>TELESECUNDARIA 189</t>
  </si>
  <si>
    <t>SAN CRISTOBAL CHIHUINDO</t>
  </si>
  <si>
    <t>11ETV0187V</t>
  </si>
  <si>
    <t>TELESECUNDARIA 190</t>
  </si>
  <si>
    <t>11ETV0188U</t>
  </si>
  <si>
    <t>ESTV 183</t>
  </si>
  <si>
    <t>SAN VICENTE DE GARMA</t>
  </si>
  <si>
    <t>11ETV0189T</t>
  </si>
  <si>
    <t>TELESECUNDARIA 191</t>
  </si>
  <si>
    <t>MOGOTES</t>
  </si>
  <si>
    <t>11ETV0191H</t>
  </si>
  <si>
    <t>TELESECUNDARIA  192</t>
  </si>
  <si>
    <t>MEXICANOS</t>
  </si>
  <si>
    <t>11ETV0192G</t>
  </si>
  <si>
    <t>TELESECUNDARIA 193</t>
  </si>
  <si>
    <t>SARABIA</t>
  </si>
  <si>
    <t>11ETV0195D</t>
  </si>
  <si>
    <t>TELESECUNDARIA 195</t>
  </si>
  <si>
    <t>11ETV0200Z</t>
  </si>
  <si>
    <t>TELESECUNDARIA 208</t>
  </si>
  <si>
    <t>11ETV0203W</t>
  </si>
  <si>
    <t>TELESECUNDARIA 211</t>
  </si>
  <si>
    <t>OJO DE AGUA DE LA TRINIDAD</t>
  </si>
  <si>
    <t>11ETV0205U</t>
  </si>
  <si>
    <t>TELESECUNDARIA 213</t>
  </si>
  <si>
    <t>11ETV0206T</t>
  </si>
  <si>
    <t>TELESECUNDARIA   206</t>
  </si>
  <si>
    <t>CONGREGACION DE CANOAS</t>
  </si>
  <si>
    <t>11ETV0208R</t>
  </si>
  <si>
    <t>TELESECUNDARIA 215</t>
  </si>
  <si>
    <t>11ETV0210F</t>
  </si>
  <si>
    <t>TELESECUNDARIA 217</t>
  </si>
  <si>
    <t>CORONEO</t>
  </si>
  <si>
    <t>PIEDRA LARGA</t>
  </si>
  <si>
    <t>11ETV0212D</t>
  </si>
  <si>
    <t>TELESECUNDARIA 219</t>
  </si>
  <si>
    <t>LA VENTA</t>
  </si>
  <si>
    <t>11ETV0214B</t>
  </si>
  <si>
    <t>TELESECUNDARIA 221</t>
  </si>
  <si>
    <t>LA QUEMADITA</t>
  </si>
  <si>
    <t>11ETV0223J</t>
  </si>
  <si>
    <t>TELESECUNDARIA 231</t>
  </si>
  <si>
    <t>11ETV0225H</t>
  </si>
  <si>
    <t>POTRERILLOS DEL RIO</t>
  </si>
  <si>
    <t>11ETV0226G</t>
  </si>
  <si>
    <t>TELESECUNDARIA JOSE MARIA LUIS MORA</t>
  </si>
  <si>
    <t>ROMITA</t>
  </si>
  <si>
    <t>LA SARDINA</t>
  </si>
  <si>
    <t>11ETV0229D</t>
  </si>
  <si>
    <t>TELESECUANDARIA 237</t>
  </si>
  <si>
    <t>VALTIERRA</t>
  </si>
  <si>
    <t>11ETV0234P</t>
  </si>
  <si>
    <t>TELESECUNDARIA 242</t>
  </si>
  <si>
    <t>SAN ANDRES DEL CUBO</t>
  </si>
  <si>
    <t>11ETV0235O</t>
  </si>
  <si>
    <t>TELESECUNDARIA 243</t>
  </si>
  <si>
    <t>LA ALDEA</t>
  </si>
  <si>
    <t>11ETV0238L</t>
  </si>
  <si>
    <t>SALVADOR ELIZONDO</t>
  </si>
  <si>
    <t>EL SALITRILLO</t>
  </si>
  <si>
    <t>11ETV0239K</t>
  </si>
  <si>
    <t>TELESECUNDARIA  247</t>
  </si>
  <si>
    <t>BAJIO DE BONILLAS</t>
  </si>
  <si>
    <t>11ETV0240Z</t>
  </si>
  <si>
    <t>TELESECUNDARIA 248</t>
  </si>
  <si>
    <t>SAN NICOLAS DE LA CONDESA</t>
  </si>
  <si>
    <t>11ETV0241Z</t>
  </si>
  <si>
    <t>TELESECUNDARIA 249</t>
  </si>
  <si>
    <t>HUAPANGO</t>
  </si>
  <si>
    <t>11ETV0243X</t>
  </si>
  <si>
    <t>TELESECUNDARIA 251</t>
  </si>
  <si>
    <t>11ETV0244W</t>
  </si>
  <si>
    <t>TELESECUNDARIA 252</t>
  </si>
  <si>
    <t>11ETV0252E</t>
  </si>
  <si>
    <t>SAN PEDRO TENANGO</t>
  </si>
  <si>
    <t>11ETV0255B</t>
  </si>
  <si>
    <t>TELESECUNDARIA  267</t>
  </si>
  <si>
    <t>ZAPOTE DE ADJUNTAS</t>
  </si>
  <si>
    <t>11ETV0258Z</t>
  </si>
  <si>
    <t>TELESECUNDARIA 264</t>
  </si>
  <si>
    <t>PARRA</t>
  </si>
  <si>
    <t>11ETV0261M</t>
  </si>
  <si>
    <t>11ETV0264J</t>
  </si>
  <si>
    <t>TELESECUNDARIA EULALIA GUZMAN</t>
  </si>
  <si>
    <t>11ETV0270U</t>
  </si>
  <si>
    <t>PALO VERDE</t>
  </si>
  <si>
    <t>11ETV0272S</t>
  </si>
  <si>
    <t>TELESECUNDARIA 275</t>
  </si>
  <si>
    <t>11ETV0284X</t>
  </si>
  <si>
    <t>TELESECUNDARIA 288</t>
  </si>
  <si>
    <t>LA ESCONDIDITA</t>
  </si>
  <si>
    <t>11ETV0288T</t>
  </si>
  <si>
    <t>TELESECUNDARIA   257</t>
  </si>
  <si>
    <t>CERRO PRIETO DEL CARMEN</t>
  </si>
  <si>
    <t>11ETV0289S</t>
  </si>
  <si>
    <t>TELESECUNDARIA 297</t>
  </si>
  <si>
    <t>11ETV0294D</t>
  </si>
  <si>
    <t>TELESECUNDARIA 300</t>
  </si>
  <si>
    <t>11ETV0298Z</t>
  </si>
  <si>
    <t>TELESECUNDARIA 298</t>
  </si>
  <si>
    <t>11ETV0302W</t>
  </si>
  <si>
    <t>ESCUELA TELESECUNDARIA 308</t>
  </si>
  <si>
    <t>SAN ANTONIO DE HORTA</t>
  </si>
  <si>
    <t>11ETV0304U</t>
  </si>
  <si>
    <t>TELESECUNDARIA 310</t>
  </si>
  <si>
    <t>PERALTA</t>
  </si>
  <si>
    <t>11ETV0305T</t>
  </si>
  <si>
    <t>TELESECUNDARIA 306</t>
  </si>
  <si>
    <t>11ETV0307R</t>
  </si>
  <si>
    <t>TELESECUNDARI 305</t>
  </si>
  <si>
    <t>11ETV0309P</t>
  </si>
  <si>
    <t>TELESECUNDARIA   317</t>
  </si>
  <si>
    <t>11ETV0313B</t>
  </si>
  <si>
    <t>TELESECUANDARIA 318</t>
  </si>
  <si>
    <t>APASEO EL GRNADE</t>
  </si>
  <si>
    <t>11ETV0314A</t>
  </si>
  <si>
    <t>TELESECUNDARIA 319</t>
  </si>
  <si>
    <t>11ETV0315Z</t>
  </si>
  <si>
    <t>SAN JUAN VIEJO</t>
  </si>
  <si>
    <t>11ETV0319W</t>
  </si>
  <si>
    <t>TELESECUNDARIA 325</t>
  </si>
  <si>
    <t>11ETV0324H</t>
  </si>
  <si>
    <t>TELESECUNDARIA 329</t>
  </si>
  <si>
    <t>11ETV0329C</t>
  </si>
  <si>
    <t>TELESECUNDARIA 334</t>
  </si>
  <si>
    <t>PALO ALTO</t>
  </si>
  <si>
    <t>11ETV0330S</t>
  </si>
  <si>
    <t>TELESECUNDARIA 335</t>
  </si>
  <si>
    <t>QUESERA DE CORTES</t>
  </si>
  <si>
    <t>11ETV0333P</t>
  </si>
  <si>
    <t>ESTV 545</t>
  </si>
  <si>
    <t>INCHAMACUARO</t>
  </si>
  <si>
    <t>11ETV0336M</t>
  </si>
  <si>
    <t>TELESECUNDARIA EUFRASIA SIERRA CABRERA</t>
  </si>
  <si>
    <t>SAN ANDRES DE JALPA</t>
  </si>
  <si>
    <t>11ETV0338K</t>
  </si>
  <si>
    <t>TELESECUNDARIA  345</t>
  </si>
  <si>
    <t>11ETV0339J</t>
  </si>
  <si>
    <t>TELESECUNDARIA 348</t>
  </si>
  <si>
    <t>11ETV0341Y</t>
  </si>
  <si>
    <t>ESTV 347</t>
  </si>
  <si>
    <t>11ETV0343W</t>
  </si>
  <si>
    <t>TELESECUNDARIA  349 LA SAUCEDA</t>
  </si>
  <si>
    <t>LA SAUCEDAD</t>
  </si>
  <si>
    <t>11ETV0354B</t>
  </si>
  <si>
    <t>11ETV0361L</t>
  </si>
  <si>
    <t>TELESECUNDARIA 43</t>
  </si>
  <si>
    <t>SAN JOSE DE MENDOZA</t>
  </si>
  <si>
    <t>11ETV0362K</t>
  </si>
  <si>
    <t>11ETV0370T</t>
  </si>
  <si>
    <t>TELESECUNDARIA 369</t>
  </si>
  <si>
    <t>CALERAS DE AMECHE</t>
  </si>
  <si>
    <t>11ETV0371S</t>
  </si>
  <si>
    <t>TELESECUNDARIA 370</t>
  </si>
  <si>
    <t>EL CASTILLO</t>
  </si>
  <si>
    <t>11ETV0372R</t>
  </si>
  <si>
    <t>TELESECUNDARIA 371</t>
  </si>
  <si>
    <t>LA NORITA</t>
  </si>
  <si>
    <t>11ETV0378L</t>
  </si>
  <si>
    <t>TELESECUNDARIA 379</t>
  </si>
  <si>
    <t>EX HACIENDA DE MARQUEZ</t>
  </si>
  <si>
    <t>11ETV0379K</t>
  </si>
  <si>
    <t>TELESECUNDARIA 382</t>
  </si>
  <si>
    <t>ESTACION DE LOURDES</t>
  </si>
  <si>
    <t>11ETV0385V</t>
  </si>
  <si>
    <t>TELESECUNDARIA 548</t>
  </si>
  <si>
    <t>11ETV0391F</t>
  </si>
  <si>
    <t>TELESECUNDARIA 394</t>
  </si>
  <si>
    <t>EL MASTRANTO DEL REFUGIO</t>
  </si>
  <si>
    <t>11ETV0392E</t>
  </si>
  <si>
    <t>ESCUELA TELESECUNDARIA 381</t>
  </si>
  <si>
    <t>11ETV0393D</t>
  </si>
  <si>
    <t>ESTV 380</t>
  </si>
  <si>
    <t>SAN JUAN DE RAZOS</t>
  </si>
  <si>
    <t>11ETV0394C</t>
  </si>
  <si>
    <t>TELESECUCNDARIA 373</t>
  </si>
  <si>
    <t>SAN JOSE DEL POTRERO</t>
  </si>
  <si>
    <t>11ETV0395B</t>
  </si>
  <si>
    <t>TELESECUNDADRIA 372</t>
  </si>
  <si>
    <t>11ETV0399Y</t>
  </si>
  <si>
    <t>MANUEL TOUSSAINT</t>
  </si>
  <si>
    <t>SOPENA</t>
  </si>
  <si>
    <t>11ETV0400X</t>
  </si>
  <si>
    <t>11ETV0401W</t>
  </si>
  <si>
    <t>TELESECUNDARIA 16</t>
  </si>
  <si>
    <t>LA FORTALEZA</t>
  </si>
  <si>
    <t>11ETV0403U</t>
  </si>
  <si>
    <t>TELESECUNDARIA 320</t>
  </si>
  <si>
    <t>11ETV0404T</t>
  </si>
  <si>
    <t>TELESECUNDARIA 283</t>
  </si>
  <si>
    <t>11ETV0407Q</t>
  </si>
  <si>
    <t>TELESECUNDARIA 313</t>
  </si>
  <si>
    <t>11ETV0409O</t>
  </si>
  <si>
    <t>TELESECUNDARIA   385 GUILLERMO GONZALEZ CAMARENA</t>
  </si>
  <si>
    <t>11ETV0411C</t>
  </si>
  <si>
    <t>TELESECUNDARIA 398</t>
  </si>
  <si>
    <t>11ETV0412B</t>
  </si>
  <si>
    <t>TELESECUNDARIA 416</t>
  </si>
  <si>
    <t>11ETV0420K</t>
  </si>
  <si>
    <t>TELESECUNDARIA 403</t>
  </si>
  <si>
    <t>11ETV0427D</t>
  </si>
  <si>
    <t>TELESECUNDARIA 412</t>
  </si>
  <si>
    <t>MENORES</t>
  </si>
  <si>
    <t>11ETV0432P</t>
  </si>
  <si>
    <t>TELESECUNDARIA 422</t>
  </si>
  <si>
    <t>ROQUE</t>
  </si>
  <si>
    <t>11ETV0433O</t>
  </si>
  <si>
    <t>TELESECUNDARIA 423 TIERRA Y LIBERTAD</t>
  </si>
  <si>
    <t>11ETV0439I</t>
  </si>
  <si>
    <t>TELESECUANDARIA 437</t>
  </si>
  <si>
    <t>LA BOLSA</t>
  </si>
  <si>
    <t>11ETV0442W</t>
  </si>
  <si>
    <t>TELESECUNDARIA   442</t>
  </si>
  <si>
    <t>ESTACION PENJAMO</t>
  </si>
  <si>
    <t>11ETV0448Q</t>
  </si>
  <si>
    <t>TELESECUNDARIA 443</t>
  </si>
  <si>
    <t>11ETV0450E</t>
  </si>
  <si>
    <t>TELESECUNDARIA 432</t>
  </si>
  <si>
    <t>LOMA TENDIDDA</t>
  </si>
  <si>
    <t>11ETV0453B</t>
  </si>
  <si>
    <t>TELESECUNDARIA   435</t>
  </si>
  <si>
    <t>11ETV0454A</t>
  </si>
  <si>
    <t>TELESECUNDARIA 436</t>
  </si>
  <si>
    <t>11ETV0457Y</t>
  </si>
  <si>
    <t>TELESECUNDARIA 419</t>
  </si>
  <si>
    <t>GUADALUPE DEL MONTE</t>
  </si>
  <si>
    <t>11ETV0467E</t>
  </si>
  <si>
    <t>TELESECUNDARIA 307</t>
  </si>
  <si>
    <t>11ETV0468D</t>
  </si>
  <si>
    <t>TELESECUNDARIA 445</t>
  </si>
  <si>
    <t>LA PALMA</t>
  </si>
  <si>
    <t>11ETV0474O</t>
  </si>
  <si>
    <t>TELESECUNDARIA 462</t>
  </si>
  <si>
    <t>11ETV0477L</t>
  </si>
  <si>
    <t>SAN JOSE DE LA PRESA</t>
  </si>
  <si>
    <t>11ETV0481Y</t>
  </si>
  <si>
    <t>TELESECUNDARIA 472</t>
  </si>
  <si>
    <t>11ETV0482X</t>
  </si>
  <si>
    <t>TELESECUNDARIA 468</t>
  </si>
  <si>
    <t>11ETV0483W</t>
  </si>
  <si>
    <t>TELESECUNDARIA 466 LA SOLEDAD</t>
  </si>
  <si>
    <t>11ETV0497Z</t>
  </si>
  <si>
    <t>TELESECUNDARIA 484</t>
  </si>
  <si>
    <t>SAN MIGUEL DE IXTLA</t>
  </si>
  <si>
    <t>11ETV0500W</t>
  </si>
  <si>
    <t>AMADO NERVO</t>
  </si>
  <si>
    <t>EL PICACHO</t>
  </si>
  <si>
    <t>11ETV0510C</t>
  </si>
  <si>
    <t>TELESECUNDARIA 491</t>
  </si>
  <si>
    <t>11ETV0513Z</t>
  </si>
  <si>
    <t>TELESECUNDARIA NO 485</t>
  </si>
  <si>
    <t>SAN JUAN JARIPEO</t>
  </si>
  <si>
    <t>11ETV0514Z</t>
  </si>
  <si>
    <t>TELESECUNDARIA 511</t>
  </si>
  <si>
    <t>SAN MIGUEL ALLENDE</t>
  </si>
  <si>
    <t>11ETV0518V</t>
  </si>
  <si>
    <t>TELESECUANDARIA 503</t>
  </si>
  <si>
    <t>11ETV0521I</t>
  </si>
  <si>
    <t>TELESECUNDARIA 507</t>
  </si>
  <si>
    <t>CERRO BLANCO DE MANCERA</t>
  </si>
  <si>
    <t>11ETV0523G</t>
  </si>
  <si>
    <t xml:space="preserve">TELESECUNDARIA 506  IGNACIO MANUEL ALTAMIRANO </t>
  </si>
  <si>
    <t>JUVENTINO ROSAS</t>
  </si>
  <si>
    <t>11ETV0524F</t>
  </si>
  <si>
    <t>SAN ANTONIO DE ROMERILLO</t>
  </si>
  <si>
    <t>11ETV0527C</t>
  </si>
  <si>
    <t>TELESECUNDARIA 504</t>
  </si>
  <si>
    <t>11ETV0529A</t>
  </si>
  <si>
    <t>TELESECUNDARIA 516</t>
  </si>
  <si>
    <t>11ETV0531P</t>
  </si>
  <si>
    <t>TELESECUNADARIA 523</t>
  </si>
  <si>
    <t>MANDUJANO ATEPEHUACAN</t>
  </si>
  <si>
    <t>11ETV0537J</t>
  </si>
  <si>
    <t>TELESECUNDARIA 526</t>
  </si>
  <si>
    <t>11ETV0539H</t>
  </si>
  <si>
    <t>TELESECUNDARIA 528</t>
  </si>
  <si>
    <t>SAN PEDRO DEL MONTE</t>
  </si>
  <si>
    <t>11ETV0540X</t>
  </si>
  <si>
    <t>TELESECUNDARIA 529</t>
  </si>
  <si>
    <t>11ETV0541W</t>
  </si>
  <si>
    <t>TELESECUNDARIA 538</t>
  </si>
  <si>
    <t>PARRITAS</t>
  </si>
  <si>
    <t>11ETV0546R</t>
  </si>
  <si>
    <t>TELESECUNDARIA   531</t>
  </si>
  <si>
    <t>QUIRICEO</t>
  </si>
  <si>
    <t>11ETV0547Q</t>
  </si>
  <si>
    <t>TELESECUNDARIA 532</t>
  </si>
  <si>
    <t>SABINO DE SANTA ROSA</t>
  </si>
  <si>
    <t>11ETV0548P</t>
  </si>
  <si>
    <t>TELESECUNDARIA 535</t>
  </si>
  <si>
    <t>SAN SALVADOR TORRECILLAS</t>
  </si>
  <si>
    <t>11ETV0555Z</t>
  </si>
  <si>
    <t>TELESECUNDARIA  552</t>
  </si>
  <si>
    <t>LA LUISIADA</t>
  </si>
  <si>
    <t>11ETV0556Y</t>
  </si>
  <si>
    <t>TELESECUNDARIA 557</t>
  </si>
  <si>
    <t>LA LABOR</t>
  </si>
  <si>
    <t>11ETV0557X</t>
  </si>
  <si>
    <t>TELESECUNDARIA 556</t>
  </si>
  <si>
    <t>EL VICARIO</t>
  </si>
  <si>
    <t>11ETV0566E</t>
  </si>
  <si>
    <t>TELESECUNDARIA 565</t>
  </si>
  <si>
    <t>11ETV0572P</t>
  </si>
  <si>
    <t>TELESECUNDARIA 568</t>
  </si>
  <si>
    <t>LA TRINIDAD</t>
  </si>
  <si>
    <t>11ETV0573O</t>
  </si>
  <si>
    <t>TELESECUNDARIA 570</t>
  </si>
  <si>
    <t>EJIDO DE JESUS MARIA</t>
  </si>
  <si>
    <t>11ETV0575M</t>
  </si>
  <si>
    <t>LEONARDO DA VINCI</t>
  </si>
  <si>
    <t>YERBABUENA</t>
  </si>
  <si>
    <t>11ETV0576L</t>
  </si>
  <si>
    <t>GABRIELA MISTRAL</t>
  </si>
  <si>
    <t>SAN VICENTE</t>
  </si>
  <si>
    <t>11ETV0584U</t>
  </si>
  <si>
    <t>TELESECUNDARIA 584</t>
  </si>
  <si>
    <t>11ETV0594A</t>
  </si>
  <si>
    <t>TELESECUNDARIA 594</t>
  </si>
  <si>
    <t>VALENCIA DE CERRO GORDO</t>
  </si>
  <si>
    <t>11ETV0611A</t>
  </si>
  <si>
    <t>AGUSTIN YAÑEZ</t>
  </si>
  <si>
    <t>FRANCISCO JAVIER MINA</t>
  </si>
  <si>
    <t>11ETV0612Z</t>
  </si>
  <si>
    <t>TELESECUNDARIA 611</t>
  </si>
  <si>
    <t>11ETV0618U</t>
  </si>
  <si>
    <t>TELESECUNDARIA NO 618</t>
  </si>
  <si>
    <t>EL HUAMUCHIL</t>
  </si>
  <si>
    <t>11ETV0619T</t>
  </si>
  <si>
    <t>TELESECUNDARIA 619</t>
  </si>
  <si>
    <t>11ETV0621H</t>
  </si>
  <si>
    <t>TELESECUNDARIA 622</t>
  </si>
  <si>
    <t>LAGUNA PRIETA</t>
  </si>
  <si>
    <t>11ETV0642U</t>
  </si>
  <si>
    <t>TELESECUNDARIA 663</t>
  </si>
  <si>
    <t>11ETV0656X</t>
  </si>
  <si>
    <t>TELESECUNDARIA 632</t>
  </si>
  <si>
    <t>GUAYABO DE SANTA RITA</t>
  </si>
  <si>
    <t>11ETV0662H</t>
  </si>
  <si>
    <t>TELESECUNDARIA 624</t>
  </si>
  <si>
    <t>CERRITO ALTO NUEVO</t>
  </si>
  <si>
    <t>11ETV0663G</t>
  </si>
  <si>
    <t>TELESECUNDARIA 644</t>
  </si>
  <si>
    <t>LA GARRIDA</t>
  </si>
  <si>
    <t>11ETV0671P</t>
  </si>
  <si>
    <t>TELESECUNDARIA 652</t>
  </si>
  <si>
    <t>LOS PRIETOS</t>
  </si>
  <si>
    <t>11ETV0672O</t>
  </si>
  <si>
    <t>TELESECUNDARIA 653</t>
  </si>
  <si>
    <t>LOMA DE SAN ANTONIO/LOMA PELADA</t>
  </si>
  <si>
    <t>11ETV0675L</t>
  </si>
  <si>
    <t>TELESECUNDARIA   668</t>
  </si>
  <si>
    <t>GUARAPO</t>
  </si>
  <si>
    <t>11ETV0678I</t>
  </si>
  <si>
    <t>TELESECUNDARIA 694</t>
  </si>
  <si>
    <t>11ETV0685S</t>
  </si>
  <si>
    <t>TELESECUNDARIA 731</t>
  </si>
  <si>
    <t>HACIENDA DE ARRIBA</t>
  </si>
  <si>
    <t>11ETV0688P</t>
  </si>
  <si>
    <t>SAN NICOLAS DEL PALENQUE</t>
  </si>
  <si>
    <t>11ETV0689O</t>
  </si>
  <si>
    <t>SAN ANGEL</t>
  </si>
  <si>
    <t>11ETV0705P</t>
  </si>
  <si>
    <t>TELESECUNDARIA 687</t>
  </si>
  <si>
    <t>EL PENON</t>
  </si>
  <si>
    <t>11ETV0706O</t>
  </si>
  <si>
    <t>TELESECUNDARIA 688</t>
  </si>
  <si>
    <t>SAN RAMON</t>
  </si>
  <si>
    <t>11ETV0710A</t>
  </si>
  <si>
    <t>TELESECUNDARIA 631</t>
  </si>
  <si>
    <t>11ETV0715W</t>
  </si>
  <si>
    <t>TELESECUNDARIA 714</t>
  </si>
  <si>
    <t>EL FRESNO</t>
  </si>
  <si>
    <t>11ETV0722F</t>
  </si>
  <si>
    <t>JAIME TORRES BODET</t>
  </si>
  <si>
    <t>SAN JULIAN TIERRA BLANCA</t>
  </si>
  <si>
    <t>11ETV0726B</t>
  </si>
  <si>
    <t>TELESECUNDARIA 703</t>
  </si>
  <si>
    <t>SUCHITLAN</t>
  </si>
  <si>
    <t>11ETV0740V</t>
  </si>
  <si>
    <t>TELESECUNDARIA 744</t>
  </si>
  <si>
    <t>11ETV0747O</t>
  </si>
  <si>
    <t>TELESECUNDARIA 751</t>
  </si>
  <si>
    <t>ARANJUEZ</t>
  </si>
  <si>
    <t>11ETV0748N</t>
  </si>
  <si>
    <t>TELESECUNDARIA 752</t>
  </si>
  <si>
    <t>11ETV0750B</t>
  </si>
  <si>
    <t>TELESECUNDARIA 754</t>
  </si>
  <si>
    <t>SAN FRANCISCO PUERTAGRANDE</t>
  </si>
  <si>
    <t>11ETV0753Z</t>
  </si>
  <si>
    <t>TELESECUNDARIA  757</t>
  </si>
  <si>
    <t>OJO DE AGUA DE IXTLA</t>
  </si>
  <si>
    <t>11ETV0755X</t>
  </si>
  <si>
    <t>TELESECUNDARIA 759</t>
  </si>
  <si>
    <t>11ETV0759T</t>
  </si>
  <si>
    <t>TELESECUNDARIA 740</t>
  </si>
  <si>
    <t>SALTO DE LEON</t>
  </si>
  <si>
    <t>11ETV0763F</t>
  </si>
  <si>
    <t>ESCUELA TELESECUNDARIA 762</t>
  </si>
  <si>
    <t>11ETV0766C</t>
  </si>
  <si>
    <t>TELESECUNDARIA 765</t>
  </si>
  <si>
    <t>11ETV0770P</t>
  </si>
  <si>
    <t>TELESECUNDARIA 770</t>
  </si>
  <si>
    <t>11ETV0771O</t>
  </si>
  <si>
    <t>TELESECUNDARIA 771</t>
  </si>
  <si>
    <t>11ETV0772N</t>
  </si>
  <si>
    <t>TELESECUNDARIA 772</t>
  </si>
  <si>
    <t>OJO DE AGUA DE HUANUMO</t>
  </si>
  <si>
    <t>11ETV0776J</t>
  </si>
  <si>
    <t>TELESECUNDARIA 776</t>
  </si>
  <si>
    <t>EL CHARCON</t>
  </si>
  <si>
    <t>11ETV0777I</t>
  </si>
  <si>
    <t>TELESECUNDARIA 777</t>
  </si>
  <si>
    <t>MARAVILLAS</t>
  </si>
  <si>
    <t>11ETV0779G</t>
  </si>
  <si>
    <t>TELESECUNDARIA 779</t>
  </si>
  <si>
    <t>MONTE BLANCO</t>
  </si>
  <si>
    <t>11ETV0781V</t>
  </si>
  <si>
    <t>FRIDA KAHLO</t>
  </si>
  <si>
    <t>TARETAN</t>
  </si>
  <si>
    <t>11ETV0785R</t>
  </si>
  <si>
    <t>TELESECUNDARIA BENITO JUAREZ GARCIA</t>
  </si>
  <si>
    <t>CHURIPITZEO</t>
  </si>
  <si>
    <t>11ETV0786Q</t>
  </si>
  <si>
    <t>TELESECUNDARIA 786</t>
  </si>
  <si>
    <t>SAN JOSE DE LOS SABINOS</t>
  </si>
  <si>
    <t>11ETV0788O</t>
  </si>
  <si>
    <t>TELESECUNDARIA 788</t>
  </si>
  <si>
    <t>BARRON</t>
  </si>
  <si>
    <t>11ETV0789N</t>
  </si>
  <si>
    <t>TELESECUNDARIA 789</t>
  </si>
  <si>
    <t>RECUERDO DE ANCON. XOCONOSTLE DE ARRIBA</t>
  </si>
  <si>
    <t>11ETV0790C</t>
  </si>
  <si>
    <t>TELESECUNDARIO 790</t>
  </si>
  <si>
    <t>11ETV0791B</t>
  </si>
  <si>
    <t>TELESECUNDARIA 791</t>
  </si>
  <si>
    <t>SOTELO</t>
  </si>
  <si>
    <t>11ETV0793Z</t>
  </si>
  <si>
    <t>TELESECUNDARIA 793</t>
  </si>
  <si>
    <t>ALFARO</t>
  </si>
  <si>
    <t>11ETV0794Z</t>
  </si>
  <si>
    <t>TELESECUNDARIA 794</t>
  </si>
  <si>
    <t>11ETV0797W</t>
  </si>
  <si>
    <t>PROFESOR ANTONIO RODRIGUEZ VAZQUEZ</t>
  </si>
  <si>
    <t>11ETV0798V</t>
  </si>
  <si>
    <t>TELESECUNDARIA 798 RIVERA DE LA PRESA</t>
  </si>
  <si>
    <t>11ETV0800T</t>
  </si>
  <si>
    <t>ANTONIO BECERRA</t>
  </si>
  <si>
    <t>BUENAVISTA</t>
  </si>
  <si>
    <t>11ETV0803Q</t>
  </si>
  <si>
    <t>ESCUELA DE EDUCACION SECUNDARIUA</t>
  </si>
  <si>
    <t>MARROQUIN DE ABAJO</t>
  </si>
  <si>
    <t>11ETV0819R</t>
  </si>
  <si>
    <t>TELESECUNDARIA 819</t>
  </si>
  <si>
    <t>LAS TROJES</t>
  </si>
  <si>
    <t>11ETV0830N</t>
  </si>
  <si>
    <t>TELESECUNDARIA 830</t>
  </si>
  <si>
    <t>11ETV0836H</t>
  </si>
  <si>
    <t>TELESECUNDARIA 836</t>
  </si>
  <si>
    <t>11ETV0849L</t>
  </si>
  <si>
    <t>TELESECUNDARIA   849</t>
  </si>
  <si>
    <t>11ETV0852Z</t>
  </si>
  <si>
    <t>TELESECUNDARIA   852</t>
  </si>
  <si>
    <t>11ETV0853Y</t>
  </si>
  <si>
    <t>TELESECUNDARIA 853</t>
  </si>
  <si>
    <t>LOS CAPULINES</t>
  </si>
  <si>
    <t>11ETV0854X</t>
  </si>
  <si>
    <t>ESTV 854 RAFAEL RAMIREZ CASTANEDA</t>
  </si>
  <si>
    <t>CANADA DE AGUA</t>
  </si>
  <si>
    <t>11ETV0856V</t>
  </si>
  <si>
    <t>TELESECUNDARIA 856</t>
  </si>
  <si>
    <t>ARREGUIN DE ARRIBA</t>
  </si>
  <si>
    <t>11ETV0857U</t>
  </si>
  <si>
    <t>TELESECUNDARIA 857</t>
  </si>
  <si>
    <t>EL MOLINITO</t>
  </si>
  <si>
    <t>11ETV0865C</t>
  </si>
  <si>
    <t>TELESECUNDARIA 865</t>
  </si>
  <si>
    <t>SAN JOSE DE CERVERA</t>
  </si>
  <si>
    <t>11ETV0873L</t>
  </si>
  <si>
    <t>ADOLFO LOPEZ MATEOS</t>
  </si>
  <si>
    <t>LA ANGOSTURA</t>
  </si>
  <si>
    <t>11ETV0879F</t>
  </si>
  <si>
    <t>JOSE CLEMENTE OROZCO</t>
  </si>
  <si>
    <t>11ETV0881U</t>
  </si>
  <si>
    <t>TELESECUNDARIA 881</t>
  </si>
  <si>
    <t>11ETV0883S</t>
  </si>
  <si>
    <t xml:space="preserve">TELESECUNDARIA 883  FRIDA KAHLO </t>
  </si>
  <si>
    <t>11ETV0889M</t>
  </si>
  <si>
    <t>TELESECUNDARIA   889</t>
  </si>
  <si>
    <t>LOS GALVANES</t>
  </si>
  <si>
    <t>11ETV0903P</t>
  </si>
  <si>
    <t>TELESECUNDARIA 903</t>
  </si>
  <si>
    <t>ESTACION CORRALEJO</t>
  </si>
  <si>
    <t>11ETV0904O</t>
  </si>
  <si>
    <t>TELESECUNDARIA 904 JOSE MARIA BELAUNZARAN</t>
  </si>
  <si>
    <t>EJIDO DE DOLORES</t>
  </si>
  <si>
    <t>11ETV0915U</t>
  </si>
  <si>
    <t>TELESECUNDARIA 915</t>
  </si>
  <si>
    <t>11ETV0921E</t>
  </si>
  <si>
    <t>TELESECUNDARIA 921</t>
  </si>
  <si>
    <t>11ETV0927Z</t>
  </si>
  <si>
    <t>TELESECUNDARIA 927</t>
  </si>
  <si>
    <t>COLONIA 4 DE ALTAMIRA</t>
  </si>
  <si>
    <t>11ETV0928Y</t>
  </si>
  <si>
    <t>TELESECUNDARIA 928</t>
  </si>
  <si>
    <t>PALO BLANCO</t>
  </si>
  <si>
    <t>11ETV0929X</t>
  </si>
  <si>
    <t>TELESECUNDARIA   929</t>
  </si>
  <si>
    <t>SANTA ROSA</t>
  </si>
  <si>
    <t>11ETV0937F</t>
  </si>
  <si>
    <t>TELESECUNDARIA 937</t>
  </si>
  <si>
    <t>11ETV0939D</t>
  </si>
  <si>
    <t>TELESECUNDARIA 939</t>
  </si>
  <si>
    <t>11ETV0944P</t>
  </si>
  <si>
    <t>CENTENARIO DE LA CONSTITUCION DE 1917</t>
  </si>
  <si>
    <t>LOS GONZALEZ</t>
  </si>
  <si>
    <t>11ETV0955V</t>
  </si>
  <si>
    <t>FERNANDO LIZARDI</t>
  </si>
  <si>
    <t>PASO DE PIRULES</t>
  </si>
  <si>
    <t>11ETV0975I</t>
  </si>
  <si>
    <t>TELESECUNDARIA 975</t>
  </si>
  <si>
    <t>11ETV0991Z</t>
  </si>
  <si>
    <t>TELESECUNDARIA 991</t>
  </si>
  <si>
    <t>11ETV1006B</t>
  </si>
  <si>
    <t>TELESECUNDARIA 1006</t>
  </si>
  <si>
    <t>EL POTRERO</t>
  </si>
  <si>
    <t>11ETV1011N</t>
  </si>
  <si>
    <t>TELESECUNDARIA 1011</t>
  </si>
  <si>
    <t>11ETV1017H</t>
  </si>
  <si>
    <t>11ETV1025Q</t>
  </si>
  <si>
    <t>TELESECUNDARIA 1025</t>
  </si>
  <si>
    <t>LA SOLEDAD DEL MONTE</t>
  </si>
  <si>
    <t>11ETV1027O</t>
  </si>
  <si>
    <t>TELESECUNDARIA 1027 SOLEDAD NUEVA</t>
  </si>
  <si>
    <t>11ETV1034Y</t>
  </si>
  <si>
    <t>TELESECUNDARIA 1034</t>
  </si>
  <si>
    <t>11ETV1037V</t>
  </si>
  <si>
    <t>TELESECUNDARIA 1037</t>
  </si>
  <si>
    <t>11ETV1044E</t>
  </si>
  <si>
    <t>TELESECUNDARIA 1044</t>
  </si>
  <si>
    <t>RANCHO NUEVO DE SAN JOSE DE BADILLO</t>
  </si>
  <si>
    <t>11ETV1050P</t>
  </si>
  <si>
    <t>TELESECUNDARIA 1050</t>
  </si>
  <si>
    <t>11ETV1058H</t>
  </si>
  <si>
    <t>TELESECUNDARIA 1058</t>
  </si>
  <si>
    <t>11ETV1066Q</t>
  </si>
  <si>
    <t>RUFINO TAMAYO</t>
  </si>
  <si>
    <t>11ETV1069N</t>
  </si>
  <si>
    <t>TELESECUNDARIA 1069 OJO DE AGUA DE LOS REYES</t>
  </si>
  <si>
    <t>OJO DE AGUA DE LOS REYES</t>
  </si>
  <si>
    <t>11ETV1070C</t>
  </si>
  <si>
    <t>TELESECUNDARIA 1070</t>
  </si>
  <si>
    <t>LA JOYA</t>
  </si>
  <si>
    <t>11ETV1077W</t>
  </si>
  <si>
    <t>TELESECUNDARIA 1077</t>
  </si>
  <si>
    <t>11ETV1079U</t>
  </si>
  <si>
    <t>TELESECUNDARIA 1079</t>
  </si>
  <si>
    <t>SAN JUAN DE OTATES</t>
  </si>
  <si>
    <t>11ETV1080J</t>
  </si>
  <si>
    <t>TELESECUNDARIA 1080</t>
  </si>
  <si>
    <t>11ETV1082H</t>
  </si>
  <si>
    <t>TELESECUNDARIA 1082</t>
  </si>
  <si>
    <t>SAN FRANCISCO JAVIER DE LA BARRANCA</t>
  </si>
  <si>
    <t>11ETV1084F</t>
  </si>
  <si>
    <t>TELESECUNDARIA 1084</t>
  </si>
  <si>
    <t>11ETV1086D</t>
  </si>
  <si>
    <t>TELESECUNDARIA 1086</t>
  </si>
  <si>
    <t>EL POCITO</t>
  </si>
  <si>
    <t>11ETV1087C</t>
  </si>
  <si>
    <t>11ETV1094M</t>
  </si>
  <si>
    <t>TELESECUNDARIA 1094</t>
  </si>
  <si>
    <t>SAN NICOLAS DE LOS GONZALEZ</t>
  </si>
  <si>
    <t>11ETV1095L</t>
  </si>
  <si>
    <t>TELESECUNDARIA 1095</t>
  </si>
  <si>
    <t>11ETV1099H</t>
  </si>
  <si>
    <t>TELESECUNDARIA 1099</t>
  </si>
  <si>
    <t>11ETV1104C</t>
  </si>
  <si>
    <t>TELESECUNDARIA 1104</t>
  </si>
  <si>
    <t>SAN BARTOLO DE BERRIOS</t>
  </si>
  <si>
    <t>11ETV1107Z</t>
  </si>
  <si>
    <t>TELESECUNDARIA 1107</t>
  </si>
  <si>
    <t>11ETV1108Z</t>
  </si>
  <si>
    <t>TELESECUNDARIA 1108</t>
  </si>
  <si>
    <t>11ETV1111M</t>
  </si>
  <si>
    <t>ESCUELA TELESECUNDARIA 1111 CONSTITUCION DE 1917</t>
  </si>
  <si>
    <t>11ETV1112L</t>
  </si>
  <si>
    <t>TELESECUNDARIA 1112</t>
  </si>
  <si>
    <t>LOS REMEDIOS</t>
  </si>
  <si>
    <t>11ETV1113K</t>
  </si>
  <si>
    <t>TELESECUNDARIA 1113</t>
  </si>
  <si>
    <t>COLORADO DE SAAVEDRA</t>
  </si>
  <si>
    <t>11ETV1115I</t>
  </si>
  <si>
    <t>TELESECUNDARIA 1115</t>
  </si>
  <si>
    <t>11ETV1116H</t>
  </si>
  <si>
    <t>TELESECUNDARIA 1116</t>
  </si>
  <si>
    <t>LADRILLERAS DE REFUGIO</t>
  </si>
  <si>
    <t>11ETV1117G</t>
  </si>
  <si>
    <t>TELESECUNDARIA 1117</t>
  </si>
  <si>
    <t>11ETV1123R</t>
  </si>
  <si>
    <t>TELESECUNDARIA 1123</t>
  </si>
  <si>
    <t>11ETV1126O</t>
  </si>
  <si>
    <t>TELESECUNDARIA 1126</t>
  </si>
  <si>
    <t>SAN JUAN DE LOS DURAN</t>
  </si>
  <si>
    <t>11ETV1129L</t>
  </si>
  <si>
    <t>TELESECUNDARIA 1129</t>
  </si>
  <si>
    <t>SAN JOSE DE LOS SAPOS</t>
  </si>
  <si>
    <t>11ETV1133Y</t>
  </si>
  <si>
    <t>TELESECUANDARIA 1133 GILBERTO M NAVARRO</t>
  </si>
  <si>
    <t>EL LLANITO</t>
  </si>
  <si>
    <t>11ETV1159F</t>
  </si>
  <si>
    <t>ESCUELA SECUNDARIA</t>
  </si>
  <si>
    <t>UCOPI</t>
  </si>
  <si>
    <t>13DTV0008S</t>
  </si>
  <si>
    <t>TELESECUNDARIA 08</t>
  </si>
  <si>
    <t>AJACUBA</t>
  </si>
  <si>
    <t>SANTIAGO TEZONTLALE</t>
  </si>
  <si>
    <t>13DTV0010G</t>
  </si>
  <si>
    <t>TELESECUINDARIA  10</t>
  </si>
  <si>
    <t>TLANCHINOL</t>
  </si>
  <si>
    <t>ALMACEN ZT TAMPICO</t>
  </si>
  <si>
    <t>13DTV0019Y</t>
  </si>
  <si>
    <t xml:space="preserve">TELESECUNDARIA 19  PROFR. FRANCISCO NOBLE </t>
  </si>
  <si>
    <t>EPAZOYUCAN</t>
  </si>
  <si>
    <t>13DTV0021M</t>
  </si>
  <si>
    <t>TELESECUNDARIA NO 280</t>
  </si>
  <si>
    <t>HUAZALINGO</t>
  </si>
  <si>
    <t>TLATZONCO</t>
  </si>
  <si>
    <t>13DTV0024J</t>
  </si>
  <si>
    <t>TEZONTEPEC DE ALDAMA</t>
  </si>
  <si>
    <t>ATENGO</t>
  </si>
  <si>
    <t>13DTV0026H</t>
  </si>
  <si>
    <t>ESCUELA TELESECUNDARIA 26</t>
  </si>
  <si>
    <t>CHAPULHUACAN</t>
  </si>
  <si>
    <t>SANTA ANA DE ALLENDE</t>
  </si>
  <si>
    <t>13DTV0032S</t>
  </si>
  <si>
    <t>TELESECUNDARIA 32</t>
  </si>
  <si>
    <t>ACAXOCHITLAN</t>
  </si>
  <si>
    <t>13DTV0038M</t>
  </si>
  <si>
    <t>TELESECUNDARIA  38</t>
  </si>
  <si>
    <t>CUAUTEPEC DE HINOJOSA</t>
  </si>
  <si>
    <t>CUAUTEPEC</t>
  </si>
  <si>
    <t>13DTV0042Z</t>
  </si>
  <si>
    <t>TELESECUNDARIA  42</t>
  </si>
  <si>
    <t>ZAPOTLAN DE JUAREZ</t>
  </si>
  <si>
    <t>ACAYUCA</t>
  </si>
  <si>
    <t>13DTV0043Y</t>
  </si>
  <si>
    <t>TENANGO DE DORIA</t>
  </si>
  <si>
    <t>13DTV0049S</t>
  </si>
  <si>
    <t>TELESECUNDARIA 49</t>
  </si>
  <si>
    <t>PANUAYA</t>
  </si>
  <si>
    <t>13DTV0054D</t>
  </si>
  <si>
    <t>TELESECUNDARIA 54</t>
  </si>
  <si>
    <t>TEPEAPULCO</t>
  </si>
  <si>
    <t>13DTV0056B</t>
  </si>
  <si>
    <t>SAN AGUSTIN METZQUITITLAN</t>
  </si>
  <si>
    <t>13DTV0065J</t>
  </si>
  <si>
    <t>TELESECUNDARIA 292</t>
  </si>
  <si>
    <t>ZACUALTIPAN DE ANGELES</t>
  </si>
  <si>
    <t>ZACUALTIPAN</t>
  </si>
  <si>
    <t>13DTV0068G</t>
  </si>
  <si>
    <t>TELESECUNDARIA 68</t>
  </si>
  <si>
    <t>TLAHUELOMPA SAN FRANCISCO</t>
  </si>
  <si>
    <t>13DTV0074R</t>
  </si>
  <si>
    <t>CALNALI</t>
  </si>
  <si>
    <t>ATEMPA</t>
  </si>
  <si>
    <t>13DTV0080B</t>
  </si>
  <si>
    <t>SANTA MARIA BATHA</t>
  </si>
  <si>
    <t>13DTV0090I</t>
  </si>
  <si>
    <t>TELESECUNDARIA NO 90</t>
  </si>
  <si>
    <t>CHAPANTONGO</t>
  </si>
  <si>
    <t>SAN BARTOLO OZOCALPAN HGO</t>
  </si>
  <si>
    <t>13DTV0093F</t>
  </si>
  <si>
    <t>SAN PABLO EL GRANDE</t>
  </si>
  <si>
    <t>13DTV0102X</t>
  </si>
  <si>
    <t>NOPALA DE VILLAGRAN</t>
  </si>
  <si>
    <t>13DTV0106T</t>
  </si>
  <si>
    <t>APAPAXTLA (ALTAMIRA)</t>
  </si>
  <si>
    <t>13DTV0113C</t>
  </si>
  <si>
    <t>MANGAS</t>
  </si>
  <si>
    <t>13DTV0118Y</t>
  </si>
  <si>
    <t>SINGUILUCAN</t>
  </si>
  <si>
    <t>MATIAS RODRIGUEZ</t>
  </si>
  <si>
    <t>13DTV0120M</t>
  </si>
  <si>
    <t>TELESECUNDARIA 120</t>
  </si>
  <si>
    <t>ATOTONILCO EL GRANDE</t>
  </si>
  <si>
    <t>CERRO COLORADO</t>
  </si>
  <si>
    <t>13DTV0125H</t>
  </si>
  <si>
    <t>TELESECUNDARIA  125</t>
  </si>
  <si>
    <t>MIXQUIAHUALA DE JUAREZ</t>
  </si>
  <si>
    <t>TEPEITIC</t>
  </si>
  <si>
    <t>13DTV0139K</t>
  </si>
  <si>
    <t xml:space="preserve">TELESECUNDARIA 324  GRAL. FELIPE ANGELES </t>
  </si>
  <si>
    <t>TOLCAYUCA</t>
  </si>
  <si>
    <t>GENERAL FELIPE ANGELES</t>
  </si>
  <si>
    <t>13DTV0140Z</t>
  </si>
  <si>
    <t>TELESECUNDARIA 5</t>
  </si>
  <si>
    <t>MINERAL DEL MONTE</t>
  </si>
  <si>
    <t>13DTV0141Z</t>
  </si>
  <si>
    <t>TELESECUNDARIA 3</t>
  </si>
  <si>
    <t>OMITLAN DE JUAREZ</t>
  </si>
  <si>
    <t>13DTV0143X</t>
  </si>
  <si>
    <t>TELESECUNDARIA 133</t>
  </si>
  <si>
    <t>IXMIQUILPAN</t>
  </si>
  <si>
    <t>EL ALBERTO</t>
  </si>
  <si>
    <t>13DTV0147T</t>
  </si>
  <si>
    <t>TELESECUNDARIA 651</t>
  </si>
  <si>
    <t>EL ASERRADERO</t>
  </si>
  <si>
    <t>Se levanta ticket 265818 por baja velocidad</t>
  </si>
  <si>
    <t>13DTV0151F</t>
  </si>
  <si>
    <t>TELESECUNDARIA 212</t>
  </si>
  <si>
    <t>ACATLAN</t>
  </si>
  <si>
    <t>ALCHOLOYA</t>
  </si>
  <si>
    <t>13DTV0152E</t>
  </si>
  <si>
    <t>LA BOVEDA</t>
  </si>
  <si>
    <t>13DTV0159Y</t>
  </si>
  <si>
    <t>AHUACATLAN</t>
  </si>
  <si>
    <t>13DTV0161M</t>
  </si>
  <si>
    <t>APAN</t>
  </si>
  <si>
    <t>13DTV0163K</t>
  </si>
  <si>
    <t>TELESECUNDARIA 330</t>
  </si>
  <si>
    <t>TEPEJI DEL RIO DE OCAMPO</t>
  </si>
  <si>
    <t>SANTIAGO TLAPANALOYA</t>
  </si>
  <si>
    <t>13DTV0165I</t>
  </si>
  <si>
    <t>TELESECUNDARIA 184</t>
  </si>
  <si>
    <t>ALMOLOYA</t>
  </si>
  <si>
    <t>13DTV0170U</t>
  </si>
  <si>
    <t>JOSE MARIA MORELOS</t>
  </si>
  <si>
    <t>13DTV0174Q</t>
  </si>
  <si>
    <t>TELESECUNDARIA 337</t>
  </si>
  <si>
    <t>LOS CIDES</t>
  </si>
  <si>
    <t>13DTV0183Y</t>
  </si>
  <si>
    <t>TELESECUNDARIA 341</t>
  </si>
  <si>
    <t>TIANGUISTENGO</t>
  </si>
  <si>
    <t>ATECOXCO</t>
  </si>
  <si>
    <t>13DTV0192F</t>
  </si>
  <si>
    <t>TELESECUNDARIA 338</t>
  </si>
  <si>
    <t>PACULA</t>
  </si>
  <si>
    <t>JILIAPAN</t>
  </si>
  <si>
    <t>13DTV0193E</t>
  </si>
  <si>
    <t>TELESECUNDARIA 235</t>
  </si>
  <si>
    <t>JACALA DE LEDEZMA</t>
  </si>
  <si>
    <t>SAN NICOLAS</t>
  </si>
  <si>
    <t>13DTV0194D</t>
  </si>
  <si>
    <t>TELESECUNDARIA 141</t>
  </si>
  <si>
    <t>LOLOTLA</t>
  </si>
  <si>
    <t>CHICONCOAC</t>
  </si>
  <si>
    <t>13DTV0197A</t>
  </si>
  <si>
    <t>TELESECUNDARIA 144</t>
  </si>
  <si>
    <t>METZTITLAN</t>
  </si>
  <si>
    <t>ZOQUIZOQUIPAN</t>
  </si>
  <si>
    <t>13DTV0198Z</t>
  </si>
  <si>
    <t>TELESECUNDARIA 194</t>
  </si>
  <si>
    <t>MINERAL DEL CHICO</t>
  </si>
  <si>
    <t>CARBONERAS</t>
  </si>
  <si>
    <t>13DTV0212C</t>
  </si>
  <si>
    <t>TELESECUNDARIA 192</t>
  </si>
  <si>
    <t>PACHUCA DE SOTO</t>
  </si>
  <si>
    <t>SANTIAGO TLAPACOYA</t>
  </si>
  <si>
    <t>13DTV0213B</t>
  </si>
  <si>
    <t>13DTV0219W</t>
  </si>
  <si>
    <t>TELESECUNDARIA  189</t>
  </si>
  <si>
    <t>TIZAYUCA</t>
  </si>
  <si>
    <t>TEPOJACO</t>
  </si>
  <si>
    <t>13DTV0225G</t>
  </si>
  <si>
    <t>TELESECUNDARIA 345</t>
  </si>
  <si>
    <t>HUITEPEC</t>
  </si>
  <si>
    <t>13DTV0229C</t>
  </si>
  <si>
    <t>TELESECUNDARIA 244</t>
  </si>
  <si>
    <t>COLONIA MORELOS</t>
  </si>
  <si>
    <t>13DTV0230S</t>
  </si>
  <si>
    <t>TELESECUNDARIA 176</t>
  </si>
  <si>
    <t>PROGRESO DE OBREGON</t>
  </si>
  <si>
    <t>XOCHITLAN</t>
  </si>
  <si>
    <t>13DTV0235N</t>
  </si>
  <si>
    <t>TELESECUNDARIA 346</t>
  </si>
  <si>
    <t>JUAREZ HIDALGO</t>
  </si>
  <si>
    <t>SANTA MARIA</t>
  </si>
  <si>
    <t>13DTV0243W</t>
  </si>
  <si>
    <t>TELESECUNDARIA 151</t>
  </si>
  <si>
    <t>PILCUATLA</t>
  </si>
  <si>
    <t>13DTV0245U</t>
  </si>
  <si>
    <t>TELESECUNDARIA 153</t>
  </si>
  <si>
    <t>13DTV0247S</t>
  </si>
  <si>
    <t>TELESECUNDARIA 155</t>
  </si>
  <si>
    <t>HUEYAPA</t>
  </si>
  <si>
    <t>13DTV0256Z</t>
  </si>
  <si>
    <t>TELESECUNDARIA 201</t>
  </si>
  <si>
    <t>13DTV0262K</t>
  </si>
  <si>
    <t>TELESECUNDARIA 250</t>
  </si>
  <si>
    <t>SAN SALVADOR</t>
  </si>
  <si>
    <t>SAN MIGUEL ACAMBAY</t>
  </si>
  <si>
    <t>13DTV0270T</t>
  </si>
  <si>
    <t>TELESECUNDARIA 255</t>
  </si>
  <si>
    <t>SAN ILDEFONSO</t>
  </si>
  <si>
    <t>13DTV0274P</t>
  </si>
  <si>
    <t>TELESECUNDARIA 259</t>
  </si>
  <si>
    <t>TULA DE ALLENDE</t>
  </si>
  <si>
    <t>EL LLANO 1RA SECCION</t>
  </si>
  <si>
    <t>13DTV0296A</t>
  </si>
  <si>
    <t>CARDONAL</t>
  </si>
  <si>
    <t>13DTV0297Z</t>
  </si>
  <si>
    <t>TELESECUNDARIAS 355</t>
  </si>
  <si>
    <t>13DTV0302V</t>
  </si>
  <si>
    <t>TELESECUNDARIA 360</t>
  </si>
  <si>
    <t>XUCHITLAN</t>
  </si>
  <si>
    <t>13DTV0305S</t>
  </si>
  <si>
    <t>TELESECUNDARIA 363</t>
  </si>
  <si>
    <t>TETEPANGO</t>
  </si>
  <si>
    <t>ULAPA DE MELCHOR OCAMPO</t>
  </si>
  <si>
    <t>13DTV0314Z</t>
  </si>
  <si>
    <t>TELESECUNDARIA 656</t>
  </si>
  <si>
    <t>ATOTONILCO DE TULA</t>
  </si>
  <si>
    <t>PRADERAS DEL POTRERO</t>
  </si>
  <si>
    <t>13DTV0315Z</t>
  </si>
  <si>
    <t>TELESECUNDARIA 645</t>
  </si>
  <si>
    <t>ARBOL GRANDE</t>
  </si>
  <si>
    <t>13DTV0319V</t>
  </si>
  <si>
    <t>TELESECUNDARIA 377</t>
  </si>
  <si>
    <t>MINERAL DE LA REFORMA</t>
  </si>
  <si>
    <t>PACHUQUILLA</t>
  </si>
  <si>
    <t>13DTV0326E</t>
  </si>
  <si>
    <t>TELESECUNDARIA 384</t>
  </si>
  <si>
    <t>SAN FELIPE ORIZATLAN</t>
  </si>
  <si>
    <t>TULTITLAN</t>
  </si>
  <si>
    <t>13DTV0332P</t>
  </si>
  <si>
    <t>TELESECUNDARIA 390</t>
  </si>
  <si>
    <t>TULANCINGO DE BRAVO</t>
  </si>
  <si>
    <t>13DTV0338J</t>
  </si>
  <si>
    <t>TELESECUNDARIA 399</t>
  </si>
  <si>
    <t>ALUMBRES</t>
  </si>
  <si>
    <t>13DTV0339I</t>
  </si>
  <si>
    <t>TELESECUNDARIA 396</t>
  </si>
  <si>
    <t>EL NITH</t>
  </si>
  <si>
    <t>13DTV0344U</t>
  </si>
  <si>
    <t>LOS ARCOS</t>
  </si>
  <si>
    <t>13DTV0357Y</t>
  </si>
  <si>
    <t>TELESECUNDARIA 646</t>
  </si>
  <si>
    <t>AGUA HEDEONDA</t>
  </si>
  <si>
    <t>13DTV0359W</t>
  </si>
  <si>
    <t>TELESECUNDARIA 417</t>
  </si>
  <si>
    <t>SAN GABRIEL</t>
  </si>
  <si>
    <t>13DTV0360L</t>
  </si>
  <si>
    <t>TELESECUNDARIA 418</t>
  </si>
  <si>
    <t>COL. 28 DE MAYO</t>
  </si>
  <si>
    <t>13DTV0371R</t>
  </si>
  <si>
    <t>TELESECUNDARIA 429</t>
  </si>
  <si>
    <t>TEPEHUACAN DE GUERRERO</t>
  </si>
  <si>
    <t>ACOYOTLA</t>
  </si>
  <si>
    <t>13DTV0386T</t>
  </si>
  <si>
    <t>ACOPINALCO</t>
  </si>
  <si>
    <t>13DTV0401V</t>
  </si>
  <si>
    <t>TELESECUNDARIA 40</t>
  </si>
  <si>
    <t>JALAPA</t>
  </si>
  <si>
    <t>13DTV0402U</t>
  </si>
  <si>
    <t>TELESECUNDARIA 041 CERRO AZUL</t>
  </si>
  <si>
    <t>ALFAJAYUCAN</t>
  </si>
  <si>
    <t>CERRO AZUL</t>
  </si>
  <si>
    <t>13DTV0405R</t>
  </si>
  <si>
    <t>TELESECUNDARIA 47</t>
  </si>
  <si>
    <t>LA ESTANCIA</t>
  </si>
  <si>
    <t>Se levanta ticket 265768 por problemas para entrar a la red</t>
  </si>
  <si>
    <t>13DTV0416X</t>
  </si>
  <si>
    <t>TLAUNILOLPAN</t>
  </si>
  <si>
    <t>13DTV0427C</t>
  </si>
  <si>
    <t>ESCUELA TELESECUNDARIA 77</t>
  </si>
  <si>
    <t>PISAFLORES</t>
  </si>
  <si>
    <t>EL RAYO</t>
  </si>
  <si>
    <t>13DTV0431P</t>
  </si>
  <si>
    <t>TELESECUNDARIA 93</t>
  </si>
  <si>
    <t>EL PINALITO</t>
  </si>
  <si>
    <t>13DTV0443U</t>
  </si>
  <si>
    <t>TELESECUNDARIA 179</t>
  </si>
  <si>
    <t>IROLO</t>
  </si>
  <si>
    <t>13DTV0445S</t>
  </si>
  <si>
    <t>SAN JUAN ACHICHILCO</t>
  </si>
  <si>
    <t>13DTV0447Q</t>
  </si>
  <si>
    <t>13DTV0450D</t>
  </si>
  <si>
    <t>TELESECUNDARIA 218</t>
  </si>
  <si>
    <t>SANTA CRUZ</t>
  </si>
  <si>
    <t>13DTV0454Z</t>
  </si>
  <si>
    <t>TELESECUNDARIA 229</t>
  </si>
  <si>
    <t>CUATOLOL</t>
  </si>
  <si>
    <t>13DTV0460K</t>
  </si>
  <si>
    <t>TELESECUNDARIA 444</t>
  </si>
  <si>
    <t>TAMALA</t>
  </si>
  <si>
    <t>13DTV0477K</t>
  </si>
  <si>
    <t>TELESECUNDARIA 461</t>
  </si>
  <si>
    <t>XOCHICOATLAN</t>
  </si>
  <si>
    <t>TEXCACO</t>
  </si>
  <si>
    <t>13DTV0478J</t>
  </si>
  <si>
    <t>TIZAPAN</t>
  </si>
  <si>
    <t>13DTV0493B</t>
  </si>
  <si>
    <t>TELESECUNDARIA 477</t>
  </si>
  <si>
    <t>ALCANTARILLAS</t>
  </si>
  <si>
    <t>13DTV0505Q</t>
  </si>
  <si>
    <t>TELESECUNDARIA 523</t>
  </si>
  <si>
    <t>JUCHITLAN</t>
  </si>
  <si>
    <t>13DTV0509M</t>
  </si>
  <si>
    <t>TELESECUNDARIA 495</t>
  </si>
  <si>
    <t>IGLESIA VIEJA</t>
  </si>
  <si>
    <t>13DTV0525D</t>
  </si>
  <si>
    <t>TELESECUNDARIA 483</t>
  </si>
  <si>
    <t>TLALTEPINGO</t>
  </si>
  <si>
    <t>13DTV0539G</t>
  </si>
  <si>
    <t>TELESECUNDARIA 525</t>
  </si>
  <si>
    <t>EL JAGUEY</t>
  </si>
  <si>
    <t>13DTV0559U</t>
  </si>
  <si>
    <t>TELESECUNDARIA 506</t>
  </si>
  <si>
    <t>SAN FRANCISCO LA LAGUNA</t>
  </si>
  <si>
    <t>13DTV0560J</t>
  </si>
  <si>
    <t>SAN JOSE DEL VALLE</t>
  </si>
  <si>
    <t>13DTV0561I</t>
  </si>
  <si>
    <t>ESCUELA TELESECUNDARIA  479</t>
  </si>
  <si>
    <t>TEPALPA</t>
  </si>
  <si>
    <t>13DTV0565E</t>
  </si>
  <si>
    <t>TLAHUILTEPA</t>
  </si>
  <si>
    <t>PALO PERDIDO</t>
  </si>
  <si>
    <t>13DTV0573N</t>
  </si>
  <si>
    <t>TELESECUNDARIA 515</t>
  </si>
  <si>
    <t>XOCHIATIPAN</t>
  </si>
  <si>
    <t>CHIAPA</t>
  </si>
  <si>
    <t>13DTV0576K</t>
  </si>
  <si>
    <t>TZINCOATLAN</t>
  </si>
  <si>
    <t>13DTV0581W</t>
  </si>
  <si>
    <t>PEÑA BLANCA</t>
  </si>
  <si>
    <t>13DTV0599V</t>
  </si>
  <si>
    <t>TELESECUNDARIA 566</t>
  </si>
  <si>
    <t>13DTV0611Z</t>
  </si>
  <si>
    <t>TELESECUNDARIA 580</t>
  </si>
  <si>
    <t>HUATEPANGO</t>
  </si>
  <si>
    <t>13DTV0626B</t>
  </si>
  <si>
    <t>TELESECUNDARIA 610</t>
  </si>
  <si>
    <t>BARRIO CUAUNEPANTLA</t>
  </si>
  <si>
    <t>13DTV0634K</t>
  </si>
  <si>
    <t>TELESECUNDARIA 620</t>
  </si>
  <si>
    <t>HUEHUETLA</t>
  </si>
  <si>
    <t>ACUAUTLA</t>
  </si>
  <si>
    <t>13DTV0641U</t>
  </si>
  <si>
    <t>TELESECUNDARIA 625</t>
  </si>
  <si>
    <t>EL HIGUERON</t>
  </si>
  <si>
    <t>13DTV0651A</t>
  </si>
  <si>
    <t>TELESECUNDARIA 635</t>
  </si>
  <si>
    <t>SANTA MARIA ILUCAN</t>
  </si>
  <si>
    <t>13DTV0666C</t>
  </si>
  <si>
    <t>TELESECUNDARIA 666</t>
  </si>
  <si>
    <t>13DTV0672N</t>
  </si>
  <si>
    <t>TELESECUNDARIA 672</t>
  </si>
  <si>
    <t>EL LLANO</t>
  </si>
  <si>
    <t>13DTV0681V</t>
  </si>
  <si>
    <t>TV - 681</t>
  </si>
  <si>
    <t>13DTV0684S</t>
  </si>
  <si>
    <t>TELESECUNFARIA 684</t>
  </si>
  <si>
    <t>TULA</t>
  </si>
  <si>
    <t>13DTV0689N</t>
  </si>
  <si>
    <t>TELESECUNDARIA 689</t>
  </si>
  <si>
    <t>SAN ANDRES</t>
  </si>
  <si>
    <t>13DTV0696X</t>
  </si>
  <si>
    <t>TELESECUNDARIA 696</t>
  </si>
  <si>
    <t>EL TEJOCOTAL</t>
  </si>
  <si>
    <t>13DTV0701S</t>
  </si>
  <si>
    <t>TELESECUNDARIA 701</t>
  </si>
  <si>
    <t>PACHUCA</t>
  </si>
  <si>
    <t>13DTV0709K</t>
  </si>
  <si>
    <t>TELESECUNDARIA 709</t>
  </si>
  <si>
    <t>TENANGO</t>
  </si>
  <si>
    <t>13DTV0712Y</t>
  </si>
  <si>
    <t>TELESECUNDARIA 712</t>
  </si>
  <si>
    <t>13DTV0728Z</t>
  </si>
  <si>
    <t>TELESECUNDARIA 728</t>
  </si>
  <si>
    <t>CHIQUITLA</t>
  </si>
  <si>
    <t>13DTV0736H</t>
  </si>
  <si>
    <t>TELESECUNDARIA 736</t>
  </si>
  <si>
    <t>SAN RAFAEL</t>
  </si>
  <si>
    <t>13DTV0741T</t>
  </si>
  <si>
    <t>TELESECUNDARIA 741</t>
  </si>
  <si>
    <t>CERRO CHIQUITO</t>
  </si>
  <si>
    <t>13DTV0750A</t>
  </si>
  <si>
    <t>TELESECUNDARIA 750</t>
  </si>
  <si>
    <t>13DTV0766B</t>
  </si>
  <si>
    <t>TELESECUNDARIA 766</t>
  </si>
  <si>
    <t>TLAMIMILOLPA</t>
  </si>
  <si>
    <t>13DTV0771N</t>
  </si>
  <si>
    <t>APANTLAZOL</t>
  </si>
  <si>
    <t>13DTV0777H</t>
  </si>
  <si>
    <t>TELESECUDARIA 777</t>
  </si>
  <si>
    <t>EL SABINO LA BARRANCA</t>
  </si>
  <si>
    <t>13ETK0004P</t>
  </si>
  <si>
    <t>TELEBACHILLERATO COMUNITARIO TLAHUILTEPA</t>
  </si>
  <si>
    <t>13ETK0011Z</t>
  </si>
  <si>
    <t>TELEBACHILLERATO COMUNITARIO ALCHOLOYA</t>
  </si>
  <si>
    <t>13ETK0012Y</t>
  </si>
  <si>
    <t>SAN DIONISIO</t>
  </si>
  <si>
    <t>13ETK0015V</t>
  </si>
  <si>
    <t>TELEBACHILLERATO COMUNITARIO LA BOVEDA</t>
  </si>
  <si>
    <t>13ETK0018S</t>
  </si>
  <si>
    <t>SAN NICOLAS TECOMATLAN</t>
  </si>
  <si>
    <t>13ETK0019R</t>
  </si>
  <si>
    <t>SAN ANTONIO TEZOQUIPAN</t>
  </si>
  <si>
    <t>SAN ANTONINO TEZOQUIPAN</t>
  </si>
  <si>
    <t>13ETK0022E</t>
  </si>
  <si>
    <t>ALMOLOIYA</t>
  </si>
  <si>
    <t>13ETK0023D</t>
  </si>
  <si>
    <t>TELEBACHILLERATO COMUNITARIO ACOPINALCO</t>
  </si>
  <si>
    <t>13ETK0025B</t>
  </si>
  <si>
    <t>TBC SAN JOSE JIQUILPAN</t>
  </si>
  <si>
    <t>SAN JOSE JIQUILPAN</t>
  </si>
  <si>
    <t>13ETK0029Y</t>
  </si>
  <si>
    <t>SAN PEDRO VAQUERIAS</t>
  </si>
  <si>
    <t>13ETK0035I</t>
  </si>
  <si>
    <t>TELEBACHILLERATO COMUNITARIO SAN RAFAEL</t>
  </si>
  <si>
    <t>13ETK0039E</t>
  </si>
  <si>
    <t>ELOXOCHITLAN HGO</t>
  </si>
  <si>
    <t>ELOXOCHITLAN</t>
  </si>
  <si>
    <t>13ETK0049L</t>
  </si>
  <si>
    <t>DANTZIBOJAY</t>
  </si>
  <si>
    <t>HUICHAPAN</t>
  </si>
  <si>
    <t>13ETK0052Z</t>
  </si>
  <si>
    <t>TELEBACHILLERATO SANTA MARIA</t>
  </si>
  <si>
    <t>13ETK0053Y</t>
  </si>
  <si>
    <t>CERRO PRIETO</t>
  </si>
  <si>
    <t>LA MISION</t>
  </si>
  <si>
    <t>13ETK0069Z</t>
  </si>
  <si>
    <t>TELEBACHILLERATO COMUNITARIO MARAVILLAS</t>
  </si>
  <si>
    <t>13ETK0070O</t>
  </si>
  <si>
    <t>SAN ANTONIO EL PASO</t>
  </si>
  <si>
    <t>13ETK0083S</t>
  </si>
  <si>
    <t>TELEBACHILLERATO COMUNITARIO BAJHI</t>
  </si>
  <si>
    <t>TECOZAUTLA</t>
  </si>
  <si>
    <t>BAJHI</t>
  </si>
  <si>
    <t>13ETK0085Q</t>
  </si>
  <si>
    <t>TZIDEJHE</t>
  </si>
  <si>
    <t>13ETK0088N</t>
  </si>
  <si>
    <t>TELEBACHILLERATO COMUNITARIO XILITLA</t>
  </si>
  <si>
    <t>XILITLA</t>
  </si>
  <si>
    <t>13ETK0097V</t>
  </si>
  <si>
    <t>TELEBACHILLERATO COMUNITARIO OLONTECO</t>
  </si>
  <si>
    <t>OLONTECO</t>
  </si>
  <si>
    <t>13ETK0105N</t>
  </si>
  <si>
    <t>SANTA ANA ATZCAPOTZALTONGO</t>
  </si>
  <si>
    <t>13ETK0114V</t>
  </si>
  <si>
    <t>COAMAPIL</t>
  </si>
  <si>
    <t>13ETK0121E</t>
  </si>
  <si>
    <t>TELEBACHILLERATO COMUNITARIO JUNTAS CHICAS</t>
  </si>
  <si>
    <t>JUNTAS CHICAS</t>
  </si>
  <si>
    <t>13ETK0122D</t>
  </si>
  <si>
    <t>TELEBACHILLERATO COMUNITARIO TALOL</t>
  </si>
  <si>
    <t>TALOL</t>
  </si>
  <si>
    <t>13ETK0125A</t>
  </si>
  <si>
    <t>TELEBACHILLERATO COMUNITARIO CHOQUINTLA</t>
  </si>
  <si>
    <t>CHOQUINTLA</t>
  </si>
  <si>
    <t>13ETK0128Y</t>
  </si>
  <si>
    <t>TELEBACHILLERATO COMUNITARIO PLANTEL XOXOLPA</t>
  </si>
  <si>
    <t>YAHUALICA</t>
  </si>
  <si>
    <t>XOXOLPA</t>
  </si>
  <si>
    <t>13ETK0132K</t>
  </si>
  <si>
    <t>13ETK0133J</t>
  </si>
  <si>
    <t>TELEBACHILLERATO COMUNITARIO SAN JERONIMO</t>
  </si>
  <si>
    <t>SAN BARTOLO TUTOTEPEC</t>
  </si>
  <si>
    <t>13ETK0135H</t>
  </si>
  <si>
    <t>TELEBACHILLERATO COMUNITARIO SAN NICOLAS JACALA</t>
  </si>
  <si>
    <t>15DTV0004U</t>
  </si>
  <si>
    <t>JUAN RULFO</t>
  </si>
  <si>
    <t>MEXICO</t>
  </si>
  <si>
    <t>LERMA</t>
  </si>
  <si>
    <t>SALAZAR</t>
  </si>
  <si>
    <t>15DTV0006S</t>
  </si>
  <si>
    <t>TELESECUNDARIA SOR JUANA INES DE LA CRUZ</t>
  </si>
  <si>
    <t>TLALNEPANTLA DE BAZ</t>
  </si>
  <si>
    <t>TLALNEPANTLA</t>
  </si>
  <si>
    <t>15DTV0009P</t>
  </si>
  <si>
    <t>LIC. BENITO JUAREZ GARCIA</t>
  </si>
  <si>
    <t>NAUCALPAN DE JUAREZ</t>
  </si>
  <si>
    <t>15DTV0011D</t>
  </si>
  <si>
    <t>LIC. ALVARO GALVEZ Y FUENTES</t>
  </si>
  <si>
    <t>CUAUTITLAN IZCALLI</t>
  </si>
  <si>
    <t>15DTV0013B</t>
  </si>
  <si>
    <t>NEZAHUALCOYOTL</t>
  </si>
  <si>
    <t>ECATEPEC DE MORELOS</t>
  </si>
  <si>
    <t>CIUDAD AZTECA II SECCION</t>
  </si>
  <si>
    <t>15DTV0014A</t>
  </si>
  <si>
    <t>JOSE MIRLO</t>
  </si>
  <si>
    <t>ZINACANTEPEC</t>
  </si>
  <si>
    <t>CONTADERO DE MATAMOROS SAN JOSE</t>
  </si>
  <si>
    <t>ALMACÉN Z.T. ESTADO DE MÉXICO</t>
  </si>
  <si>
    <t>Cargado desde DB instalación 23/04/2026</t>
  </si>
  <si>
    <t>15DTV0015Z</t>
  </si>
  <si>
    <t>JUSTO SIERRA MENDEZ</t>
  </si>
  <si>
    <t>CHICOLOAPAN</t>
  </si>
  <si>
    <t>15DTV0016Z</t>
  </si>
  <si>
    <t>TELESECUNDARIA GREGORIO TORRES QUINTERO</t>
  </si>
  <si>
    <t>TEPOTZOTLAN</t>
  </si>
  <si>
    <t>SANTIAGO CUAUTLALPAN</t>
  </si>
  <si>
    <t>15DTV0017Y</t>
  </si>
  <si>
    <t>CUAUHTEMOC XALOSTOC</t>
  </si>
  <si>
    <t>15DTV0019W</t>
  </si>
  <si>
    <t>AZTLAN</t>
  </si>
  <si>
    <t>CHIMALHUACAN</t>
  </si>
  <si>
    <t>15DTV0022J</t>
  </si>
  <si>
    <t>HOGARES MEXICANOS</t>
  </si>
  <si>
    <t>15DTV0023I</t>
  </si>
  <si>
    <t>TENANGO DEL VALLE</t>
  </si>
  <si>
    <t>SANTIAGUITO COAXUXTENCO</t>
  </si>
  <si>
    <t>15DTV0024H</t>
  </si>
  <si>
    <t>ESCUELA TELESECUNDARIA AGUSTIN YANEZ</t>
  </si>
  <si>
    <t>CAPULHUAC</t>
  </si>
  <si>
    <t>SAN MIGUEL ALMAYA</t>
  </si>
  <si>
    <t>15DTV0025G</t>
  </si>
  <si>
    <t>LIC. ADOLFO LOPEZ MATEOS</t>
  </si>
  <si>
    <t>TOLUCA</t>
  </si>
  <si>
    <t>50280</t>
  </si>
  <si>
    <t>15DTV0026F</t>
  </si>
  <si>
    <t>GRAL. JOSE MARIA MORELOS Y PAVON</t>
  </si>
  <si>
    <t>ESTADO DE MEXICO</t>
  </si>
  <si>
    <t>Este equipo no se encuentra cargado en la aplicación</t>
  </si>
  <si>
    <t>15DTV0030S</t>
  </si>
  <si>
    <t xml:space="preserve">2LIC. ADOLFO LOPEZ MATEOS </t>
  </si>
  <si>
    <t>ECATEPEC</t>
  </si>
  <si>
    <t>15DTV0031R</t>
  </si>
  <si>
    <t>MOISES SAENZ</t>
  </si>
  <si>
    <t>15DTV0032Q</t>
  </si>
  <si>
    <t>TECAMAC</t>
  </si>
  <si>
    <t>SANTA MARIA OZUMBILLA</t>
  </si>
  <si>
    <t>El equipo no se encuentra cargado en la aplicación</t>
  </si>
  <si>
    <t>15DTV0033P</t>
  </si>
  <si>
    <t>SANTA MARIA AJOLOAPAN</t>
  </si>
  <si>
    <t>15DTV0035N</t>
  </si>
  <si>
    <t>NEFTALI RICARDO REYES</t>
  </si>
  <si>
    <t>CIUDAD NEZAHUALCOYOTL</t>
  </si>
  <si>
    <t>15DTV0036M</t>
  </si>
  <si>
    <t>IGNACIO MANUEL ALTAMIRANO</t>
  </si>
  <si>
    <t>CACALOMACAN</t>
  </si>
  <si>
    <t>15DTV0037L</t>
  </si>
  <si>
    <t>JOSE ANTONIO ALZATE</t>
  </si>
  <si>
    <t>EVOLUCION</t>
  </si>
  <si>
    <t>15DTV0040Z</t>
  </si>
  <si>
    <t>FRANCISCO VILLA</t>
  </si>
  <si>
    <t>TLALMANALCO</t>
  </si>
  <si>
    <t>TLALMANALCO DE VELAZQUEZ</t>
  </si>
  <si>
    <t>15DTV0044V</t>
  </si>
  <si>
    <t>ACOLMAN</t>
  </si>
  <si>
    <t>TEPEXPAN</t>
  </si>
  <si>
    <t>ALMACÉN Z.T. PUEBLA</t>
  </si>
  <si>
    <t>15DTV0045U</t>
  </si>
  <si>
    <t>ALMOLOYA DE JUAREZ</t>
  </si>
  <si>
    <t>SAN FRANCISCO TLALCILALCALPAN</t>
  </si>
  <si>
    <t>15DTV0048R</t>
  </si>
  <si>
    <t>MIGUEL HIDALGO Y COSTILLA</t>
  </si>
  <si>
    <t>OTUMBA</t>
  </si>
  <si>
    <t>CUAUTLACINGO</t>
  </si>
  <si>
    <t>15DTV0049Q</t>
  </si>
  <si>
    <t>LOMAS DE SAN JUAN IXHUATEPEC</t>
  </si>
  <si>
    <t>15DTV0050F</t>
  </si>
  <si>
    <t>TENANCINGO</t>
  </si>
  <si>
    <t>TEPETZINGO</t>
  </si>
  <si>
    <t>15DTV0051E</t>
  </si>
  <si>
    <t>ACATZINGO</t>
  </si>
  <si>
    <t>15DTV0053C</t>
  </si>
  <si>
    <t>CALIMAYA</t>
  </si>
  <si>
    <t>SAN LORENZO CUAUHTENCO</t>
  </si>
  <si>
    <t>15DTV0054B</t>
  </si>
  <si>
    <t>QUETZALCOATL</t>
  </si>
  <si>
    <t>15DTV0056Z</t>
  </si>
  <si>
    <t>NETZAHUALCOYOTL</t>
  </si>
  <si>
    <t>TEOTIHUACAN</t>
  </si>
  <si>
    <t>SANTA MARIA COATLAN</t>
  </si>
  <si>
    <t>Este equipo no se encuentra cargado en la Aplicación</t>
  </si>
  <si>
    <t>15DTV0057Z</t>
  </si>
  <si>
    <t xml:space="preserve">LIC. ALVARO GALVEZ Y FUENTES  </t>
  </si>
  <si>
    <t>15DTV0060M</t>
  </si>
  <si>
    <t>ESCUELA TELESECUNDARIA VASCO DE QUIROGA</t>
  </si>
  <si>
    <t>PIRULES</t>
  </si>
  <si>
    <t>15DTV0061L</t>
  </si>
  <si>
    <t>CONSTITUCION DE 1917</t>
  </si>
  <si>
    <t>VALLE DE CHALCO SOLIDARIDAD</t>
  </si>
  <si>
    <t>XICO</t>
  </si>
  <si>
    <t>15DTV0069D</t>
  </si>
  <si>
    <t>SANTIAGO TLACOTEPEC</t>
  </si>
  <si>
    <t>15DTV0070T</t>
  </si>
  <si>
    <t>SAN LORENZO HUITZIZILAPAN</t>
  </si>
  <si>
    <t>15DTV0074P</t>
  </si>
  <si>
    <t>NARCISO BASSOLS</t>
  </si>
  <si>
    <t>15DTV0076N</t>
  </si>
  <si>
    <t>XONACATLAN</t>
  </si>
  <si>
    <t>SANTA MARIA ZOLOTEPEC</t>
  </si>
  <si>
    <t>15DTV0079K</t>
  </si>
  <si>
    <t>ECATZINGO</t>
  </si>
  <si>
    <t>BARRIO SAN JOSE</t>
  </si>
  <si>
    <t>15DTV0081Z</t>
  </si>
  <si>
    <t>SANTA MARIA TLALMIMILOLPAN</t>
  </si>
  <si>
    <t>15DTV0083X</t>
  </si>
  <si>
    <t>LOS REYES ACOZAC</t>
  </si>
  <si>
    <t>15DTV0088S</t>
  </si>
  <si>
    <t>JOSEFA ORTIZ DE DOMINGUEZ</t>
  </si>
  <si>
    <t>15DTV0094C</t>
  </si>
  <si>
    <t>EL TENAYO SUR</t>
  </si>
  <si>
    <t>15DTV0096A</t>
  </si>
  <si>
    <t>FERNANDO DE ALVA IXTLIXOCHITL</t>
  </si>
  <si>
    <t>TEXCOCO</t>
  </si>
  <si>
    <t>SAN BERNARDINO</t>
  </si>
  <si>
    <t>15DTV0097Z</t>
  </si>
  <si>
    <t>MOTOLINIA</t>
  </si>
  <si>
    <t>TULANTONGO</t>
  </si>
  <si>
    <t>15DTV0098Z</t>
  </si>
  <si>
    <t>IXTLILXOCHITL</t>
  </si>
  <si>
    <t>SAN PABLO IXAYOC</t>
  </si>
  <si>
    <t>15DTV0099Y</t>
  </si>
  <si>
    <t>TEPOCHCALLI</t>
  </si>
  <si>
    <t>SANTIAGO TEPALCAPA</t>
  </si>
  <si>
    <t>15DTV0100X</t>
  </si>
  <si>
    <t>OCOYOACAC</t>
  </si>
  <si>
    <t>SAN PEDRO ATLAPULCO</t>
  </si>
  <si>
    <t>15DTV0102V</t>
  </si>
  <si>
    <t>BARRIO DE SANTIGUITO</t>
  </si>
  <si>
    <t>15DTV0103U</t>
  </si>
  <si>
    <t>EMMA GODOY LOVATO</t>
  </si>
  <si>
    <t>15DTV0104T</t>
  </si>
  <si>
    <t>LIC. LUIS DONALDO COLOSIO MURRIETA</t>
  </si>
  <si>
    <t>STA. MARIA TULPETLAC</t>
  </si>
  <si>
    <t>15DTV0105S</t>
  </si>
  <si>
    <t>CALMECAC</t>
  </si>
  <si>
    <t>SAN BARTOLO</t>
  </si>
  <si>
    <t>15DTV0107Q</t>
  </si>
  <si>
    <t>TENANCINGO DE DEGOLLADO</t>
  </si>
  <si>
    <t>15DTV0108P</t>
  </si>
  <si>
    <t>SAN JOAQUIN COAPANGO</t>
  </si>
  <si>
    <t>15DTV0109O</t>
  </si>
  <si>
    <t>VALLE CEYLAN</t>
  </si>
  <si>
    <t>15DTV0110D</t>
  </si>
  <si>
    <t>EL MIRADOR</t>
  </si>
  <si>
    <t>15DTV0111C</t>
  </si>
  <si>
    <t>TEQUEXQUINAHUAC</t>
  </si>
  <si>
    <t>15DTV0113A</t>
  </si>
  <si>
    <t>45211</t>
  </si>
  <si>
    <t>AZOTLAN</t>
  </si>
  <si>
    <t>15DTV0114Z</t>
  </si>
  <si>
    <t>15DTV0118W</t>
  </si>
  <si>
    <t>MANUEL MUÑOZ LAZARO</t>
  </si>
  <si>
    <t>OLIVO 2</t>
  </si>
  <si>
    <t>15DTV0119V</t>
  </si>
  <si>
    <t>SAN MATEO ATENCO</t>
  </si>
  <si>
    <t>BARRIO DE GUADALUPE</t>
  </si>
  <si>
    <t>15DTV0122I</t>
  </si>
  <si>
    <t>15DTV0123H</t>
  </si>
  <si>
    <t>COACALCO DE BERRIOZABAL</t>
  </si>
  <si>
    <t>SAN LORENZO TETLIXTAC</t>
  </si>
  <si>
    <t>15DTV0127D</t>
  </si>
  <si>
    <t>MIGUEL NEGRETE</t>
  </si>
  <si>
    <t>SAN JOSE EL VIDRIO</t>
  </si>
  <si>
    <t>15DTV0129B</t>
  </si>
  <si>
    <t>TLATOANI</t>
  </si>
  <si>
    <t>ATIZAPAN DE ZARAGOZA</t>
  </si>
  <si>
    <t>LOPEZ MATEOS</t>
  </si>
  <si>
    <t>15DTV0130R</t>
  </si>
  <si>
    <t>IXTAPALUCA</t>
  </si>
  <si>
    <t>AYOTLA</t>
  </si>
  <si>
    <t>15DTV0131Q</t>
  </si>
  <si>
    <t>JOSE JOAQUIN FERNANDEZ DE LIZARDI</t>
  </si>
  <si>
    <t>SAN BARTOLOME ATLATLAHUCA</t>
  </si>
  <si>
    <t>15DTV0133O</t>
  </si>
  <si>
    <t>FRANCISCO I . MADERO</t>
  </si>
  <si>
    <t>SAN MATEO ATARASQUILLO</t>
  </si>
  <si>
    <t>15DTV0135M</t>
  </si>
  <si>
    <t>LIC. BENITO JUAREZ</t>
  </si>
  <si>
    <t>TEZOYUCA</t>
  </si>
  <si>
    <t>BARRIO LA RESURRECCION</t>
  </si>
  <si>
    <t>15DTV0140Y</t>
  </si>
  <si>
    <t>SAN MIGUEL XOMETLA</t>
  </si>
  <si>
    <t>15DTV0142W</t>
  </si>
  <si>
    <t>JOQUICINGO</t>
  </si>
  <si>
    <t>TECHUCHULCO DE ALLENDE</t>
  </si>
  <si>
    <t>15DTV0150E</t>
  </si>
  <si>
    <t>VICENTE RIVA PALACIO</t>
  </si>
  <si>
    <t>15DTV0155Z</t>
  </si>
  <si>
    <t>JUANA DE ASBAJE</t>
  </si>
  <si>
    <t>AXAPUSCO</t>
  </si>
  <si>
    <t>XALA</t>
  </si>
  <si>
    <t>15DTV0157Y</t>
  </si>
  <si>
    <t>EL CARMEN</t>
  </si>
  <si>
    <t>15DTV0162J</t>
  </si>
  <si>
    <t>ATLAUTLA</t>
  </si>
  <si>
    <t>SAN JUAN TEHUIXTLAN</t>
  </si>
  <si>
    <t>15DTV0163I</t>
  </si>
  <si>
    <t xml:space="preserve">TELESECUNDARIA  ISIDRO FABELA </t>
  </si>
  <si>
    <t>CIUDAD NICOLAS ROMERO</t>
  </si>
  <si>
    <t>15DTV0164H</t>
  </si>
  <si>
    <t>15DTV0165G</t>
  </si>
  <si>
    <t>45185</t>
  </si>
  <si>
    <t>SAN MIGUEL CAÑADAS</t>
  </si>
  <si>
    <t>15DTV0171R</t>
  </si>
  <si>
    <t>IGNACIO LOPEZ RAYON</t>
  </si>
  <si>
    <t>TIANGUISTENCO</t>
  </si>
  <si>
    <t>SAN NICOLAS COATEPEC</t>
  </si>
  <si>
    <t>15DTV0174O</t>
  </si>
  <si>
    <t>FRANCISCO JAVIER CLAVIJERO</t>
  </si>
  <si>
    <t>ECATEPEC DE MORELOS, ESTADO DE MEXICO.</t>
  </si>
  <si>
    <t>15DTV0179J</t>
  </si>
  <si>
    <t>JUAN NEPOMUCENO PEREZ RULFO</t>
  </si>
  <si>
    <t>SANTIAGO TEPATLAXCO</t>
  </si>
  <si>
    <t>15DTV0182X</t>
  </si>
  <si>
    <t>MALINTZIN (MALINCHE)</t>
  </si>
  <si>
    <t>SAN JERONIMO XONACAHUACAN</t>
  </si>
  <si>
    <t>15DTV0183W</t>
  </si>
  <si>
    <t>SAN JOSE XALOSTOC</t>
  </si>
  <si>
    <t>15DTV0184V</t>
  </si>
  <si>
    <t>REPUBLICA DE CUBA</t>
  </si>
  <si>
    <t>IMPULSORA</t>
  </si>
  <si>
    <t>15DTV0185U</t>
  </si>
  <si>
    <t>OTZOLOTEPEC</t>
  </si>
  <si>
    <t>SANTA ANA JILOTZINGO</t>
  </si>
  <si>
    <t>15DTV0187S</t>
  </si>
  <si>
    <t>SAN PABLO DE LAS SALINAS</t>
  </si>
  <si>
    <t>15DTV0188R</t>
  </si>
  <si>
    <t>ZACAMULPA TLALMIMILOLPAN</t>
  </si>
  <si>
    <t>15DTV0190F</t>
  </si>
  <si>
    <t>VERGEL DE GUADALUPE</t>
  </si>
  <si>
    <t>15DTV0192D</t>
  </si>
  <si>
    <t>ERMILO ABREU GOMEZ</t>
  </si>
  <si>
    <t>SANTA MARIA JAJALPA</t>
  </si>
  <si>
    <t>15DTV0193C</t>
  </si>
  <si>
    <t>TAMAULIPAS VIRGENCITAS</t>
  </si>
  <si>
    <t>15DTV0198Y</t>
  </si>
  <si>
    <t xml:space="preserve">LIC. JOSE VASCONCELOS </t>
  </si>
  <si>
    <t>15DTV0199X</t>
  </si>
  <si>
    <t>SAN MIGUEL XALOSTOC</t>
  </si>
  <si>
    <t>15DTV0203T</t>
  </si>
  <si>
    <t>SAN ANTONIO ACAHUALCO ZINACANTEPEC</t>
  </si>
  <si>
    <t>15DTV0207P</t>
  </si>
  <si>
    <t>ZEPAYAUTLA</t>
  </si>
  <si>
    <t>15DTV0208O</t>
  </si>
  <si>
    <t>DANIEL DELGADILLO</t>
  </si>
  <si>
    <t>LOMAS LINDAS 1</t>
  </si>
  <si>
    <t>15DTV0209N</t>
  </si>
  <si>
    <t>ANDRES MOLINA ENRIQUEZ</t>
  </si>
  <si>
    <t>LOS REYES ACAQUILPAN</t>
  </si>
  <si>
    <t>15DTV0212A</t>
  </si>
  <si>
    <t>REVOLUCION MEXICANA</t>
  </si>
  <si>
    <t>HUIXQUILUCAN</t>
  </si>
  <si>
    <t>COATEPEC</t>
  </si>
  <si>
    <t>15DTV0213Z</t>
  </si>
  <si>
    <t>PILAR LABORDE DE PEREZ</t>
  </si>
  <si>
    <t>SAN FRANCISCO COACALCO</t>
  </si>
  <si>
    <t>15DTV0216X</t>
  </si>
  <si>
    <t>CUITLAHUAC</t>
  </si>
  <si>
    <t>METEPEC</t>
  </si>
  <si>
    <t>15DTV0217W</t>
  </si>
  <si>
    <t xml:space="preserve">ESCUELA TELESECUNDARIA  SILVESTRE REVUELTAS </t>
  </si>
  <si>
    <t>15DTV0219U</t>
  </si>
  <si>
    <t>OJO DE AGUA</t>
  </si>
  <si>
    <t>15DTV0220J</t>
  </si>
  <si>
    <t>IDENTIDAD NACIONAL</t>
  </si>
  <si>
    <t>JALTENCO</t>
  </si>
  <si>
    <t>ALBORADA</t>
  </si>
  <si>
    <t>15DTV0221I</t>
  </si>
  <si>
    <t>FELIPE VILLANUEVA</t>
  </si>
  <si>
    <t>AMPLIACION TULPETLAC</t>
  </si>
  <si>
    <t>15DTV0228B</t>
  </si>
  <si>
    <t>ACAMBAY DE RUIZ CASTAÑEDA</t>
  </si>
  <si>
    <t>15DTV0231P</t>
  </si>
  <si>
    <t>MONTECILLO</t>
  </si>
  <si>
    <t>15DTV0234M</t>
  </si>
  <si>
    <t>GRAL. LAZARO CARDENAS DEL RIO</t>
  </si>
  <si>
    <t>SAN JOSE CHALMITA</t>
  </si>
  <si>
    <t>15DTV0237J</t>
  </si>
  <si>
    <t>ZUMPAHUACAN</t>
  </si>
  <si>
    <t>SAN ANTONIO GUADALUPE</t>
  </si>
  <si>
    <t>15DTV0238I</t>
  </si>
  <si>
    <t>AXAYACATL</t>
  </si>
  <si>
    <t>15DTV0241W</t>
  </si>
  <si>
    <t>GUILLERMO GONZALEZ CAMARENA</t>
  </si>
  <si>
    <t>GRANJAS GUADALUPE</t>
  </si>
  <si>
    <t>15DTV0243U</t>
  </si>
  <si>
    <t>15DTV0246R</t>
  </si>
  <si>
    <t>NADEZHDA KRUPSKAYA</t>
  </si>
  <si>
    <t>15DTV0253A</t>
  </si>
  <si>
    <t>OCOYOTEPEC CENTRO</t>
  </si>
  <si>
    <t>15DTV0257X</t>
  </si>
  <si>
    <t>LIC BENITO JUAREZ GARCIA</t>
  </si>
  <si>
    <t>TULTEPEC</t>
  </si>
  <si>
    <t>SANTIAGO TEYAHUALCO</t>
  </si>
  <si>
    <t>15DTV0258W</t>
  </si>
  <si>
    <t>TEPOXTEPEC</t>
  </si>
  <si>
    <t>15DTV0270R</t>
  </si>
  <si>
    <t>SAN JUAN TLIHUACA</t>
  </si>
  <si>
    <t>15DTV0271Q</t>
  </si>
  <si>
    <t xml:space="preserve">MARGARITA MAZA DE JUAREZ </t>
  </si>
  <si>
    <t>NUEVO PASEO DE SAN AGUSTIN 3RA SECCION</t>
  </si>
  <si>
    <t>15DTV0273O</t>
  </si>
  <si>
    <t>ADOLFO RUIZ CORTINES</t>
  </si>
  <si>
    <t>IXTLAHUACA</t>
  </si>
  <si>
    <t>SAN FRANCISCO DE GUZMAN IXTLAHUACA</t>
  </si>
  <si>
    <t>15DTV0281X</t>
  </si>
  <si>
    <t>TEXCALTITLAN</t>
  </si>
  <si>
    <t>GAVIA CHICA</t>
  </si>
  <si>
    <t>15DTV0287R</t>
  </si>
  <si>
    <t>GUSTAVO BAZ PRADA</t>
  </si>
  <si>
    <t>OCUILAN</t>
  </si>
  <si>
    <t>LA LAGUNITA</t>
  </si>
  <si>
    <t>15DTV0290E</t>
  </si>
  <si>
    <t>CASA DEL PUEBLO</t>
  </si>
  <si>
    <t>MALINALCO</t>
  </si>
  <si>
    <t>JALMOLONGA</t>
  </si>
  <si>
    <t>15DTV0293B</t>
  </si>
  <si>
    <t>15DTV0295Z</t>
  </si>
  <si>
    <t>CHIQUIUNTEPEC</t>
  </si>
  <si>
    <t>15DTV0302T</t>
  </si>
  <si>
    <t xml:space="preserve">JUANA DE ASBAJE </t>
  </si>
  <si>
    <t>CHALCO</t>
  </si>
  <si>
    <t>SAN MATEO TEZOQUIPAN,MIRAFLORES</t>
  </si>
  <si>
    <t>15DTV0318U</t>
  </si>
  <si>
    <t>DR. GUSTAVO BAZ PRADA</t>
  </si>
  <si>
    <t>SULTEPEC</t>
  </si>
  <si>
    <t>CAPULA</t>
  </si>
  <si>
    <t>15DTV0326C</t>
  </si>
  <si>
    <t>XOLOTL</t>
  </si>
  <si>
    <t>SAN LUCAS XOLOX</t>
  </si>
  <si>
    <t>15DTV0327B</t>
  </si>
  <si>
    <t>TEQUIXQUIAC</t>
  </si>
  <si>
    <t>15DTV0333M</t>
  </si>
  <si>
    <t>15DTV0334L</t>
  </si>
  <si>
    <t>15DTV0337I</t>
  </si>
  <si>
    <t>OZUMBA</t>
  </si>
  <si>
    <t>SAN MATEO TECALCO</t>
  </si>
  <si>
    <t>15DTV0342U</t>
  </si>
  <si>
    <t>CHALCO DE DIAZ COVARRUBIAS</t>
  </si>
  <si>
    <t>15DTV0343T</t>
  </si>
  <si>
    <t>15DTV0347P</t>
  </si>
  <si>
    <t>TELESECUNDARIA FRIDA KAHLO</t>
  </si>
  <si>
    <t>ALMOLOYA DE ALQUISIRAS</t>
  </si>
  <si>
    <t>TOTOLTOPEC DE LA PAZ</t>
  </si>
  <si>
    <t>15DTV0348O</t>
  </si>
  <si>
    <t>JUAN FRANCISCO ESCUTIA</t>
  </si>
  <si>
    <t>15DTV0352A</t>
  </si>
  <si>
    <t>TELESECUNDARIA OTILIO MONTAÑO</t>
  </si>
  <si>
    <t>CIUDAD ADOLFO LOPEZ MATEOS</t>
  </si>
  <si>
    <t>15DTV0353Z</t>
  </si>
  <si>
    <t>HERIBERTO ENRIQUEZ</t>
  </si>
  <si>
    <t>15DTV0354Z</t>
  </si>
  <si>
    <t>MANUEL GAMIO MARTINEZ</t>
  </si>
  <si>
    <t>TEMASCALAPA</t>
  </si>
  <si>
    <t>LAS PINTAS</t>
  </si>
  <si>
    <t>15DTV0360J</t>
  </si>
  <si>
    <t>HUEYPOXTLA</t>
  </si>
  <si>
    <t>SAN FRANCISCO ZACACALCO</t>
  </si>
  <si>
    <t>15DTV0366D</t>
  </si>
  <si>
    <t>ALFONSO REYES</t>
  </si>
  <si>
    <t>COATEPEC HARINAS</t>
  </si>
  <si>
    <t>PRIMERA DE ANALCO</t>
  </si>
  <si>
    <t>15DTV0369A</t>
  </si>
  <si>
    <t>TENANGO DEL AIRE</t>
  </si>
  <si>
    <t>15DTV0372O</t>
  </si>
  <si>
    <t>15DTV0374M</t>
  </si>
  <si>
    <t>IZTACCIHUATL</t>
  </si>
  <si>
    <t>POPO PARK</t>
  </si>
  <si>
    <t>15DTV0383U</t>
  </si>
  <si>
    <t>NEXTLALPAN</t>
  </si>
  <si>
    <t>PRADOS SAN FRANCISCO</t>
  </si>
  <si>
    <t>15DTV0384T</t>
  </si>
  <si>
    <t>LA ESPERANZA</t>
  </si>
  <si>
    <t>15DTV0386R</t>
  </si>
  <si>
    <t>JAIME SABINES GUTIERREZ</t>
  </si>
  <si>
    <t>JALTEPEC</t>
  </si>
  <si>
    <t>15DTV0389O</t>
  </si>
  <si>
    <t>ZUMPANGO</t>
  </si>
  <si>
    <t>SANTA MARIA CUEVAS</t>
  </si>
  <si>
    <t>15DTV0392B</t>
  </si>
  <si>
    <t>LAURA MENDEZ DE CUENCA</t>
  </si>
  <si>
    <t>AYAPANGO</t>
  </si>
  <si>
    <t>POXTLA</t>
  </si>
  <si>
    <t>15ETK0004N</t>
  </si>
  <si>
    <t>TBC 04 BODO JIQUIPILCO</t>
  </si>
  <si>
    <t>JIQUIPILCO</t>
  </si>
  <si>
    <t>MANZANA TERCERA BODO</t>
  </si>
  <si>
    <t>15ETK0006L</t>
  </si>
  <si>
    <t>TELEBACHILLERATO COMUNITARIO 06</t>
  </si>
  <si>
    <t>PIEDRA GRANDE</t>
  </si>
  <si>
    <t>15ETK0008J</t>
  </si>
  <si>
    <t>TELEBACHILLERATO COMUNITARIO   08 HUEREJE</t>
  </si>
  <si>
    <t>HUEREJE</t>
  </si>
  <si>
    <t>15ETK0013V</t>
  </si>
  <si>
    <t>TELEBACHILLERATO COMUNITARIO 13 DETINA ACAMBAY</t>
  </si>
  <si>
    <t>DETINA</t>
  </si>
  <si>
    <t>15ETK0014U</t>
  </si>
  <si>
    <t>TELEBACHILLERATO COMUNITARIO   14 SAN JUNICO 2</t>
  </si>
  <si>
    <t>SAN JUANICO SECTOR DOS</t>
  </si>
  <si>
    <t>15ETK0015T</t>
  </si>
  <si>
    <t>15 SAN MARCOS NEPANTLA ACOLMAN</t>
  </si>
  <si>
    <t>SAN MARCOS NEPANTLA</t>
  </si>
  <si>
    <t>15ETK0018Q</t>
  </si>
  <si>
    <t>TELEBACHILLERATO COMUNITARIO  18, SANTA ANA MAT</t>
  </si>
  <si>
    <t>ACULCO</t>
  </si>
  <si>
    <t>SANTA ANA MATLAVAT</t>
  </si>
  <si>
    <t>15ETK0021D</t>
  </si>
  <si>
    <t>TBCNUM21 SAN ANDRES TEPETITLAN ALMOLOYA DE ALQUISI</t>
  </si>
  <si>
    <t>SAN ANDRES TEPETITLAN</t>
  </si>
  <si>
    <t>15ETK0022C</t>
  </si>
  <si>
    <t>TELEBACHILLERATO   22 LA UNION RIVA PALACIO</t>
  </si>
  <si>
    <t>LA UNION RIVA PALACIO</t>
  </si>
  <si>
    <t>15ETK0025Z</t>
  </si>
  <si>
    <t>TBC 25 SAN JOSE TIZATES ALMOLOYA DE ALQUISIRAS</t>
  </si>
  <si>
    <t>SAN JOSE TIZATES</t>
  </si>
  <si>
    <t>15ETK0028X</t>
  </si>
  <si>
    <t>TELEBACHILLERATO COMUNITARIO 28 TABERNILLAS</t>
  </si>
  <si>
    <t>SANTA CATARINA TABERNILLAS</t>
  </si>
  <si>
    <t>15ETK0029W</t>
  </si>
  <si>
    <t>TELEBACHILLERATO COMUNITARIO   29 SANTA JUANA</t>
  </si>
  <si>
    <t>SANTA JUANA PRIMERA SECCION</t>
  </si>
  <si>
    <t>15ETK0035G</t>
  </si>
  <si>
    <t>TELEBACHILLERATO COMUNITARIO   35</t>
  </si>
  <si>
    <t>EJIDO SAN PEDRO</t>
  </si>
  <si>
    <t>15ETK0036F</t>
  </si>
  <si>
    <t>TELEBACHILLERATO COMUNITARIO 36 SAN AGUSTIN</t>
  </si>
  <si>
    <t>SAN AGUSTIN CITLALI</t>
  </si>
  <si>
    <t>15ETK0039C</t>
  </si>
  <si>
    <t>TBC 39 SAN BARTOLO AMANALCO</t>
  </si>
  <si>
    <t>AMANALCO</t>
  </si>
  <si>
    <t>15ETK0040S</t>
  </si>
  <si>
    <t>TBC 40 AGUA BENDITA AMANALCO</t>
  </si>
  <si>
    <t>AGUA BENDITA</t>
  </si>
  <si>
    <t>15ETK0043P</t>
  </si>
  <si>
    <t>TBC 43 CAPILLA VIEJA AMANALCO</t>
  </si>
  <si>
    <t>CAPILLA VIEJA</t>
  </si>
  <si>
    <t>15ETK0044O</t>
  </si>
  <si>
    <t>15ETK0049J</t>
  </si>
  <si>
    <t>SAN FRANCISCO LOS PINZANES AMATEPEC.</t>
  </si>
  <si>
    <t>AMATEPEC</t>
  </si>
  <si>
    <t>SAN FRANCISCO LOS PINZANES</t>
  </si>
  <si>
    <t>15ETK0051Y</t>
  </si>
  <si>
    <t>TELEBACHILLERATO COMUNITARIO   51, EL CONEJO, A</t>
  </si>
  <si>
    <t>EL CONEJO</t>
  </si>
  <si>
    <t>15ETK0052X</t>
  </si>
  <si>
    <t>TELEBACHILLERATO COMUNITARIO   52, PUETE VIEJO</t>
  </si>
  <si>
    <t>PUENTE VIEJO</t>
  </si>
  <si>
    <t>15ETK0054V</t>
  </si>
  <si>
    <t>TELEBACHILLERATO COMUNITARIO 54 SAN FRANCISCO</t>
  </si>
  <si>
    <t>AMECAMECA</t>
  </si>
  <si>
    <t>SAN FRANCISCO ZENTLALPAN</t>
  </si>
  <si>
    <t>15ETK0055U</t>
  </si>
  <si>
    <t>TELEBACHILLERATO COMUNITARIO  55 SAN ANTONIO Z</t>
  </si>
  <si>
    <t>SAN ANTONIO ZOYATZINGO</t>
  </si>
  <si>
    <t>15ETK0058R</t>
  </si>
  <si>
    <t>TBC 58 SAN CRISTOBAL NEXQUIPAYAC ATENCO</t>
  </si>
  <si>
    <t>ATENCO</t>
  </si>
  <si>
    <t>NEXQUIPAYAC</t>
  </si>
  <si>
    <t>15ETK0059Q</t>
  </si>
  <si>
    <t>TELEBACHILLERATO 59 LOMAS LINDAS</t>
  </si>
  <si>
    <t>LOMAS LINDAS</t>
  </si>
  <si>
    <t>15ETK0060F</t>
  </si>
  <si>
    <t>TELEBACHILLERATO COMUNITARIO   60 SAN JERONIMO</t>
  </si>
  <si>
    <t>ATLACOMULCO</t>
  </si>
  <si>
    <t>SAN JERONIMO DE LOS JARROS</t>
  </si>
  <si>
    <t>15ETK0062D</t>
  </si>
  <si>
    <t>TELEBACHILLERATO COMUNITARIO   62 GUADALUPE RE</t>
  </si>
  <si>
    <t>GUADALUPE RELINAS</t>
  </si>
  <si>
    <t>15ETK0063C</t>
  </si>
  <si>
    <t>TELEBACHILLERATO COMUNITARIO 63 SAN FELIPE ZAC</t>
  </si>
  <si>
    <t>SAN FELIPE ZACATEPEC</t>
  </si>
  <si>
    <t>15ETK0065A</t>
  </si>
  <si>
    <t>TELEBACHILLERATO COMUNITARIO 65 SAN ANTONIO OM</t>
  </si>
  <si>
    <t>SAN ANTONIO OMETUSCO</t>
  </si>
  <si>
    <t>15ETK0066Z</t>
  </si>
  <si>
    <t>TELEBACHILLERATO COMUNITARIO 66 SAN BARTOLITO</t>
  </si>
  <si>
    <t>SAN BARTOLITO TLALTEL0LCO</t>
  </si>
  <si>
    <t>15ETK0073J</t>
  </si>
  <si>
    <t>73 SAN AGUSTIN CHIMALHUACAN</t>
  </si>
  <si>
    <t>SAN AGUSTIN</t>
  </si>
  <si>
    <t>15ETK0074I</t>
  </si>
  <si>
    <t>TELEBACHILLERATO COMUNITARIO 74</t>
  </si>
  <si>
    <t>SAN FRANCISCO</t>
  </si>
  <si>
    <t>15ETK0075H</t>
  </si>
  <si>
    <t>TELEBACHILLERATO COMUNITARIO   75 LLANO GRANDE</t>
  </si>
  <si>
    <t>15ETK0076G</t>
  </si>
  <si>
    <t>TELEBACHILLERATO COMUNITARIO   76 ACUITLAPILCO</t>
  </si>
  <si>
    <t>ACUITLAPILCO</t>
  </si>
  <si>
    <t>15ETK0081S</t>
  </si>
  <si>
    <t>TELEBACHILLERATO COMUNITARIO  81,TEOCOTITLA,COA</t>
  </si>
  <si>
    <t>TEOCOTITLA</t>
  </si>
  <si>
    <t>15ETK0082R</t>
  </si>
  <si>
    <t>TELEBACHILLERATO COMUNITARIO 82 EL TELAR COAT</t>
  </si>
  <si>
    <t>EL TELAR</t>
  </si>
  <si>
    <t>15ETK0086N</t>
  </si>
  <si>
    <t>TELEBACHILLERATO COMUNITARIO   86 SAN JUN XOCON</t>
  </si>
  <si>
    <t>DONATO GUERRA</t>
  </si>
  <si>
    <t>SAN JUAN XOCONUSCO</t>
  </si>
  <si>
    <t>15ETK0088L</t>
  </si>
  <si>
    <t>TELEBACHILLERATO COMUNITARIO   88 SAN MARTIN</t>
  </si>
  <si>
    <t>RANCHERIA DE SAN MARTIN OBISPO</t>
  </si>
  <si>
    <t>15ETK0094W</t>
  </si>
  <si>
    <t>TELEBACHILLERATO COMUNITARIO   94 CORONEL JOSE</t>
  </si>
  <si>
    <t>15ETK0095V</t>
  </si>
  <si>
    <t>SAGITARIO V</t>
  </si>
  <si>
    <t>15ETK0100Q</t>
  </si>
  <si>
    <t>TELEBACHILLERATO COMUNITARIO   100 SAN BARTOLO</t>
  </si>
  <si>
    <t>HUEHUETOCA</t>
  </si>
  <si>
    <t>15ETK0102O</t>
  </si>
  <si>
    <t>TBC 102 GUADALUPE NOPALA HUEYPOXTLA</t>
  </si>
  <si>
    <t>GUADALUPE NOPALA</t>
  </si>
  <si>
    <t>15ETK0103N</t>
  </si>
  <si>
    <t>TELEBACHILLERATO COMUNITARIO   103 EL OLIVO</t>
  </si>
  <si>
    <t>EL OLIVO</t>
  </si>
  <si>
    <t>15ETK0107J</t>
  </si>
  <si>
    <t>TELEBACHILLERATO COMUNITARIO 107 VALLE VERDE</t>
  </si>
  <si>
    <t>CERRO DEL TEJOLOTE</t>
  </si>
  <si>
    <t>15ETK0110X</t>
  </si>
  <si>
    <t>TELEBACHILLERATO COMUNITARIO 110 EL MOLINO IXT</t>
  </si>
  <si>
    <t>EL MOLINO</t>
  </si>
  <si>
    <t>15ETK0112V</t>
  </si>
  <si>
    <t>TELEBACHILLERATO COMUNITARIO   112 GUADALUPE C</t>
  </si>
  <si>
    <t>GUADALUPE CACHI</t>
  </si>
  <si>
    <t>15ETK0113U</t>
  </si>
  <si>
    <t>TELEBACHILLERATO COMUNITARIO   113</t>
  </si>
  <si>
    <t>SAN ANTONIO BONIXI</t>
  </si>
  <si>
    <t>15ETK0117Q</t>
  </si>
  <si>
    <t>TBC 117 EL RINCON JILOTEPEC</t>
  </si>
  <si>
    <t>JILOTEPEC</t>
  </si>
  <si>
    <t>EL RINCON</t>
  </si>
  <si>
    <t>15ETK0121C</t>
  </si>
  <si>
    <t>TELEBACHILLERATO COMUNITARIO 121 ALDAMA</t>
  </si>
  <si>
    <t>15ETK0123A</t>
  </si>
  <si>
    <t>TELEBACHILLERATO COMUNITARIO 123 ESPIRITU SANTO</t>
  </si>
  <si>
    <t>JILOTZINGO</t>
  </si>
  <si>
    <t>ESPIRITU SANTO</t>
  </si>
  <si>
    <t>15ETK0128W</t>
  </si>
  <si>
    <t>TELEBACHILLERATO COMUNITARIO 128</t>
  </si>
  <si>
    <t>LAS RAJAS HUITZIZILAPAN</t>
  </si>
  <si>
    <t>15ETK0138C</t>
  </si>
  <si>
    <t>TBC   138, IGLESIA VIEJA, LUVIANOS</t>
  </si>
  <si>
    <t>LUVIANOS</t>
  </si>
  <si>
    <t>15ETK0139B</t>
  </si>
  <si>
    <t>TBC   139 LA ESTANCIA DE NANCHITITLA LUVIANOS</t>
  </si>
  <si>
    <t>LA ESTANCIA DE NANCHITITLA</t>
  </si>
  <si>
    <t>15ETK0141Q</t>
  </si>
  <si>
    <t>TELEBACHILLERATO COMUNITARIO   141, LA PALMA, L</t>
  </si>
  <si>
    <t>15ETK0144N</t>
  </si>
  <si>
    <t>TELEBACHILLERATO COMUNITARIO 144</t>
  </si>
  <si>
    <t>COLINAS DE SAN MATEO</t>
  </si>
  <si>
    <t>15ETK0145M</t>
  </si>
  <si>
    <t>TELEBACHILLERATO COMUNITARIO  145,LAS HUERTAS,</t>
  </si>
  <si>
    <t>NAUCALPAN</t>
  </si>
  <si>
    <t>15ETK0146L</t>
  </si>
  <si>
    <t>TELEBACHILLERATO COMUNITARIO 146 TRANSFIGURACI</t>
  </si>
  <si>
    <t>TRANSFIGURACION</t>
  </si>
  <si>
    <t>15ETK0151X</t>
  </si>
  <si>
    <t>TELEBACHILLERATO COMUNITARIO   151, SAN FRANCIS</t>
  </si>
  <si>
    <t>SAN FRANCISCO TLALTICA</t>
  </si>
  <si>
    <t>15ETK0152W</t>
  </si>
  <si>
    <t>TELEBACHILLERATO COMUNITARIO   152 BELEM OTUMBA</t>
  </si>
  <si>
    <t>BELEM</t>
  </si>
  <si>
    <t>15ETK0153V</t>
  </si>
  <si>
    <t>TELEBACHILLERATO COMUNITARIO   153</t>
  </si>
  <si>
    <t>SAN MARTIN AHUATEPEC</t>
  </si>
  <si>
    <t>15ETK0155T</t>
  </si>
  <si>
    <t>TELEBACHILLERATO COMUNITARIO   155 PINAL DEL M</t>
  </si>
  <si>
    <t>OTZOLOAPAN</t>
  </si>
  <si>
    <t>PINAL DEL MARQUESADO</t>
  </si>
  <si>
    <t>15ETK0157R</t>
  </si>
  <si>
    <t>TBC 157 PUENTE SAN PEDRO OTZOLOTEPEC</t>
  </si>
  <si>
    <t>PUENTE SAN PEDRO</t>
  </si>
  <si>
    <t>15ETK0161D</t>
  </si>
  <si>
    <t>TELEBACHILLERATO COMUNITARIO   161</t>
  </si>
  <si>
    <t>RAYON</t>
  </si>
  <si>
    <t>SAN JUAN LA ISLA</t>
  </si>
  <si>
    <t>15ETK0163B</t>
  </si>
  <si>
    <t>TELEBACHILLERATO COMUNITARIO   163 CHOTEJE</t>
  </si>
  <si>
    <t>SAN FELIPE DEL PROGRESO</t>
  </si>
  <si>
    <t>CHOTEJE</t>
  </si>
  <si>
    <t>15ETK0166Z</t>
  </si>
  <si>
    <t>TELABACHILLERATO COMUNITARIO  166</t>
  </si>
  <si>
    <t>ROSA DEL CALVARIO</t>
  </si>
  <si>
    <t>15ETK0172J</t>
  </si>
  <si>
    <t>TELEBACHILLERATO COMUNITARIO   172</t>
  </si>
  <si>
    <t>SAN MARTIN DE LAS PIRAMIDES</t>
  </si>
  <si>
    <t>SAN PABLO IXQUITLAN</t>
  </si>
  <si>
    <t>15ETK0179C</t>
  </si>
  <si>
    <t>TBC 179 PUENTECILLAS SULTEPEC</t>
  </si>
  <si>
    <t>15ETK0185N</t>
  </si>
  <si>
    <t>TELEBACHILLERATO COMUNITARIO   185 EL NARANJO</t>
  </si>
  <si>
    <t>EL NARANJO</t>
  </si>
  <si>
    <t>15ETK0187L</t>
  </si>
  <si>
    <t>TELE BACHILLERATO COMUNITARIO 187 SANTO DOMINGO</t>
  </si>
  <si>
    <t>SANTO DOMINGO AJOLOAPAN</t>
  </si>
  <si>
    <t>15ETK0189J</t>
  </si>
  <si>
    <t>TELEBACHILLERATO COMUNITARIO  189, EL SAUZ DE</t>
  </si>
  <si>
    <t>TEJUPILCO</t>
  </si>
  <si>
    <t>EL SAUZ DE SAN LUCAS</t>
  </si>
  <si>
    <t>15ETK0196T</t>
  </si>
  <si>
    <t>TBC 196 SAN LUCAS DEL MAIZ</t>
  </si>
  <si>
    <t>SAN LUCAS DEL MAIZ</t>
  </si>
  <si>
    <t>15ETK0198R</t>
  </si>
  <si>
    <t>TELEBACHILLERATO COMUNITARIO  198 LLANO GRANDE</t>
  </si>
  <si>
    <t>15ETK0209G</t>
  </si>
  <si>
    <t>TELEBACHILLERATO COMUNITARIO   209, SAN BARTOLO</t>
  </si>
  <si>
    <t>SAN BARTOLOME ACTOPAN</t>
  </si>
  <si>
    <t>15ETK0229U</t>
  </si>
  <si>
    <t>TELEBACHILLERATO COMUNITARIO   229 SAN MARTIN C</t>
  </si>
  <si>
    <t>SAN MARTIN COAPAXTONGO</t>
  </si>
  <si>
    <t>15ETK0230J</t>
  </si>
  <si>
    <t>TBC 230 SANTIAGO TEPOPULA TENANGO DEL AIRE</t>
  </si>
  <si>
    <t>SANTIAGO TEPOPULA</t>
  </si>
  <si>
    <t>15ETK0231I</t>
  </si>
  <si>
    <t>TELEBACHILLERATO COMUNITARIO   231 SAN MATEO TE</t>
  </si>
  <si>
    <t>SAN MATEO TEPOPULA</t>
  </si>
  <si>
    <t>15ETK0233G</t>
  </si>
  <si>
    <t>TELEBACHILLERATO COMUNITARIO   233</t>
  </si>
  <si>
    <t>TEOLOYUCAN</t>
  </si>
  <si>
    <t>15ETK0234F</t>
  </si>
  <si>
    <t>TBC   234 SANTIAGO ZAC</t>
  </si>
  <si>
    <t>SANTIAGO ZACUALUCA</t>
  </si>
  <si>
    <t>15ETK0235E</t>
  </si>
  <si>
    <t>TBC   235 SAN JUAN TOTOLAPAN TEPETLAOXTOC</t>
  </si>
  <si>
    <t>TEPETLAOXTOC</t>
  </si>
  <si>
    <t>SAN JUAN TOTOLAPAN</t>
  </si>
  <si>
    <t>15ETK0238B</t>
  </si>
  <si>
    <t>TBC 238 VENTA MORALES</t>
  </si>
  <si>
    <t>VENTA MORALES EL PEDREGAL</t>
  </si>
  <si>
    <t>15ETK0241P</t>
  </si>
  <si>
    <t>TELEBACHILLERATO COMUNITARIO NO 241</t>
  </si>
  <si>
    <t>GUADALUPE AMANALCO</t>
  </si>
  <si>
    <t>15ETK0242O</t>
  </si>
  <si>
    <t>TBC 242 SAN DIEGUITO XOCHIMANCA TEXCOCO</t>
  </si>
  <si>
    <t>SAN DIEGUITO XOCHIMANCA</t>
  </si>
  <si>
    <t>15ETK0244M</t>
  </si>
  <si>
    <t>TELEBACHILLERATO COMUNITARIO   244 COAMILPA DE</t>
  </si>
  <si>
    <t>COAMILPA DE JUAREZ</t>
  </si>
  <si>
    <t>15ETK0248I</t>
  </si>
  <si>
    <t>TELEBACHILLERATO COMUNITARIO 248 EL PALMITO TI</t>
  </si>
  <si>
    <t>TIMILPAN</t>
  </si>
  <si>
    <t>EL PALMITO</t>
  </si>
  <si>
    <t>15ETK0249H</t>
  </si>
  <si>
    <t>TBC 249 SAN LORENZO TLALMIMILOLPAN TLALMANALCO</t>
  </si>
  <si>
    <t>SAN LORENZO TLALMIMILOLPAN</t>
  </si>
  <si>
    <t>15ETK0257Q</t>
  </si>
  <si>
    <t>TELEBACHILLERATO COMUNITARIO   MOCTEZUMA</t>
  </si>
  <si>
    <t>TLATLAYA</t>
  </si>
  <si>
    <t>MOCTEZUMA</t>
  </si>
  <si>
    <t>15ETK0263A</t>
  </si>
  <si>
    <t>TBC 263 LAS ESMERALDAS TLATLAYA</t>
  </si>
  <si>
    <t>LAS ESMERALDAS</t>
  </si>
  <si>
    <t>15ETK0264Z</t>
  </si>
  <si>
    <t>TELEBACHILLERATO COMUNITARIO 264 SANTIAGO MILT</t>
  </si>
  <si>
    <t>SANTIAGO MILTEPEC</t>
  </si>
  <si>
    <t>15ETK0268W</t>
  </si>
  <si>
    <t>TBC.   268 SAN MATEO ACATITLAN, VALLE DE BRAVO</t>
  </si>
  <si>
    <t>VALLE DE BRAVO</t>
  </si>
  <si>
    <t>SAN MATEO ACATITLAN</t>
  </si>
  <si>
    <t>15ETK0270K</t>
  </si>
  <si>
    <t>TBC   270, LAS JOYAS, VALLE DE BRAVO</t>
  </si>
  <si>
    <t>LAS JOYAS</t>
  </si>
  <si>
    <t>15ETK0279B</t>
  </si>
  <si>
    <t>TELEBACHILLERATO COMUNITARIO 279 SAN LUIS TAXH</t>
  </si>
  <si>
    <t>VILLA DEL CARBON</t>
  </si>
  <si>
    <t>SAN LUIS TAXHIMAY</t>
  </si>
  <si>
    <t>15ETK0282P</t>
  </si>
  <si>
    <t>TBC 282 LA CANADA VILLA DEL CARBON</t>
  </si>
  <si>
    <t>LA CANADA</t>
  </si>
  <si>
    <t>15ETK0286L</t>
  </si>
  <si>
    <t>TBC 286 SAN BARTOLOME VILLA GUERRERO</t>
  </si>
  <si>
    <t>VILLA GUERRERO</t>
  </si>
  <si>
    <t>SAN BARTOLOME</t>
  </si>
  <si>
    <t>15ETK0287K</t>
  </si>
  <si>
    <t>TELEBACHILLERATO COMUNITARIO 287</t>
  </si>
  <si>
    <t>EJIDO DE LA FINCA</t>
  </si>
  <si>
    <t>15ETK0292W</t>
  </si>
  <si>
    <t>TELEBACHILLERATO COMUNITARIO   EL CAPULIN XALAT</t>
  </si>
  <si>
    <t>XALATLACO</t>
  </si>
  <si>
    <t>15ETK0300O</t>
  </si>
  <si>
    <t>TELEBACHILLERATO COMUNITARIO   300, RIO FLORIDO</t>
  </si>
  <si>
    <t>ZACUALPAN</t>
  </si>
  <si>
    <t>RIO FLORIDO SEGUNDA SECCION</t>
  </si>
  <si>
    <t>15ETK0304K</t>
  </si>
  <si>
    <t>TELEBACHILLERATO COMUNITARIO 304</t>
  </si>
  <si>
    <t>15ETK0308G</t>
  </si>
  <si>
    <t>TELEBACHILLERATO COMUNITARIO  308</t>
  </si>
  <si>
    <t>15ETK0309F</t>
  </si>
  <si>
    <t>TELEBACHILLERATO COMUNITARIO 309</t>
  </si>
  <si>
    <t>15ETK0312T</t>
  </si>
  <si>
    <t>312 DOXTEJE ACAMBAY</t>
  </si>
  <si>
    <t>DOXTEJE BARRIO 1</t>
  </si>
  <si>
    <t>15ETK0314R</t>
  </si>
  <si>
    <t>TBC 314 TIXMADEJE CHIQUITO</t>
  </si>
  <si>
    <t>TIXMADEJE CHIQUITO</t>
  </si>
  <si>
    <t>15ETK0319M</t>
  </si>
  <si>
    <t>TELEBACHILLERATO COMUNITARIO  319 SAN JOAQUIN</t>
  </si>
  <si>
    <t>SAN JOAQUIN COSCOMATEPEC</t>
  </si>
  <si>
    <t>15ETK0332G</t>
  </si>
  <si>
    <t>TELEBACHILLERATO COMUNITARIO 332 LAS JOYAS AMA</t>
  </si>
  <si>
    <t>15ETK0338A</t>
  </si>
  <si>
    <t>TELEBACHILLERATO COMUNITARIO   338 SAN JUAN TUX</t>
  </si>
  <si>
    <t>CHAPA DE MOTA</t>
  </si>
  <si>
    <t>SAN JUAN TUXTEPEC</t>
  </si>
  <si>
    <t>15ETK0341O</t>
  </si>
  <si>
    <t>TBC 341 OCOPULCO CHIAUTLA</t>
  </si>
  <si>
    <t>CHIAUTLA</t>
  </si>
  <si>
    <t>OCOPULCO</t>
  </si>
  <si>
    <t>15ETK0342N</t>
  </si>
  <si>
    <t>TELEBACHILLERATO COMUNITARIO  342</t>
  </si>
  <si>
    <t>SAN SEBASTIAN</t>
  </si>
  <si>
    <t>15ETK0343M</t>
  </si>
  <si>
    <t>TELEBACHILLERATO COMUNITARIO 343 CHIMALHUACAN</t>
  </si>
  <si>
    <t>XOCHIACA</t>
  </si>
  <si>
    <t>15ETK0346J</t>
  </si>
  <si>
    <t>TELEBACHILLERATO COMUNITARIO   346 COCHISQUILA</t>
  </si>
  <si>
    <t>COCHISQUILA</t>
  </si>
  <si>
    <t>15ETK0347I</t>
  </si>
  <si>
    <t>TELEBACHILLERATO COMUNITARIO  347 ZACATONES COA</t>
  </si>
  <si>
    <t>ZACATONES</t>
  </si>
  <si>
    <t>15ETK0348H</t>
  </si>
  <si>
    <t>TELEBACHILLERATO COMUNITARIO 348</t>
  </si>
  <si>
    <t>COCOTITLAN</t>
  </si>
  <si>
    <t>SAN ANDRES METLA</t>
  </si>
  <si>
    <t>15ETK0349G</t>
  </si>
  <si>
    <t>TELEBACHILLERATO COMUNITARIO 349 PUEBLO NUEVO</t>
  </si>
  <si>
    <t>COYOTEPEC</t>
  </si>
  <si>
    <t>15ETK0350W</t>
  </si>
  <si>
    <t>TELEBACHILLERATO COMUNITARIO   350 SANTA MARIA</t>
  </si>
  <si>
    <t>15ETK0357P</t>
  </si>
  <si>
    <t>TBC 357 LOS LAURELES</t>
  </si>
  <si>
    <t>ISIDRO FABELA</t>
  </si>
  <si>
    <t>LOS LAURELES</t>
  </si>
  <si>
    <t>15ETK0365Y</t>
  </si>
  <si>
    <t>TELEBACHILLERATO COMUNITARIO   365 SANTIAGO OXT</t>
  </si>
  <si>
    <t>SANTIAGO OXTHOC</t>
  </si>
  <si>
    <t>15ETK0366X</t>
  </si>
  <si>
    <t>TELEBACHILLERATO COMUNITARIO 366 RANCHO BLANCO</t>
  </si>
  <si>
    <t>RANCHO BLANCO</t>
  </si>
  <si>
    <t>15ETK0368V</t>
  </si>
  <si>
    <t>TBC 368</t>
  </si>
  <si>
    <t>JOCOTITLAN</t>
  </si>
  <si>
    <t>HUEMETLA</t>
  </si>
  <si>
    <t>15ETK0369U</t>
  </si>
  <si>
    <t>TBC 369 MAXTLECA DE GALEANA JOQUICINGO</t>
  </si>
  <si>
    <t>MAXTLECA DE GALEANA</t>
  </si>
  <si>
    <t>15ETK0378B</t>
  </si>
  <si>
    <t>TELEBACHILLERATO CUNITARIO 378 VALLECITOS</t>
  </si>
  <si>
    <t>VALLECITOS</t>
  </si>
  <si>
    <t>15ETK0381P</t>
  </si>
  <si>
    <t>TELEBACHILLERATO COMUNITARIO 381 SANTIAGO TEPA</t>
  </si>
  <si>
    <t>15ETK0382O</t>
  </si>
  <si>
    <t>TELEBACHILLERATO COMUNITARIO   382 PUENTECILLAS</t>
  </si>
  <si>
    <t>CAHUACAN</t>
  </si>
  <si>
    <t>15ETK0383N</t>
  </si>
  <si>
    <t>TELEBACHILLERATO COMUNITARIO 383 BARRON NICOLA</t>
  </si>
  <si>
    <t>15ETK0384M</t>
  </si>
  <si>
    <t>TELEBACHILLERATO COMUNITARIO 384</t>
  </si>
  <si>
    <t>15ETK0385L</t>
  </si>
  <si>
    <t>TELEBACHILLERATO COMUNITARIO 385 JORGE JIMENEZ</t>
  </si>
  <si>
    <t>15ETK0386K</t>
  </si>
  <si>
    <t>TELEBACHILLERATO COMUNITARIO 386 SAN FRANCISCO</t>
  </si>
  <si>
    <t>SAN FRANCISCO MAGU</t>
  </si>
  <si>
    <t>15ETK0387J</t>
  </si>
  <si>
    <t>TELEBACHILLERATO 387 BENITO JUAREZ OCOYOACAC</t>
  </si>
  <si>
    <t>15ETK0388I</t>
  </si>
  <si>
    <t>TELEBACHILLERATO COMUNITARIO   388 SAN ANTONIO</t>
  </si>
  <si>
    <t>SAN ANTONIO EL LLANITO</t>
  </si>
  <si>
    <t>15ETK0409E</t>
  </si>
  <si>
    <t>TELEBACHILLERATO COMUNITARIO   409</t>
  </si>
  <si>
    <t>SAN JOSE DEL RINCON</t>
  </si>
  <si>
    <t>RAMEJE EJIDO EL DEPOSITO</t>
  </si>
  <si>
    <t>15ETK0417N</t>
  </si>
  <si>
    <t>TELEBACHILLERATO COMUNITARIO   417</t>
  </si>
  <si>
    <t>BARRIO CANOAS GUARDA LA LAGUNITA</t>
  </si>
  <si>
    <t>15ETK0422Z</t>
  </si>
  <si>
    <t>TELEBACHILLERATO COMUNITARIO   422</t>
  </si>
  <si>
    <t>15ETK0423Y</t>
  </si>
  <si>
    <t>TBC   423 REFORMA SAN MATEO ATENCO</t>
  </si>
  <si>
    <t>REFORMA</t>
  </si>
  <si>
    <t>15ETK0427U</t>
  </si>
  <si>
    <t>TELEBACHILLERATO COMUNITARIO 427 SANTA CRUZ TE</t>
  </si>
  <si>
    <t>15ETK0431G</t>
  </si>
  <si>
    <t>TBC. 431 SANTO TOMAS DE LAS FLORES SULTEPEC</t>
  </si>
  <si>
    <t>SANTO TOMAS DE LAS FLORES</t>
  </si>
  <si>
    <t>15ETK0432F</t>
  </si>
  <si>
    <t>TELEBACHILLERATO COMUNITARIO 432 SULTEPEC</t>
  </si>
  <si>
    <t>15ETK0438Z</t>
  </si>
  <si>
    <t>TELEBACHILLERATO COMUNITARIO   438</t>
  </si>
  <si>
    <t>RINCON DE LOPEZ TEJUPILCO MEXICO</t>
  </si>
  <si>
    <t>15ETK0442M</t>
  </si>
  <si>
    <t>TBC 442 SAN ANTONIO SOLIS TEMASCALCINGO</t>
  </si>
  <si>
    <t>TEMASCALCINGO</t>
  </si>
  <si>
    <t>SAN ANTONIO SOLIS</t>
  </si>
  <si>
    <t>15ETK0443L</t>
  </si>
  <si>
    <t>TELEBACHILLERATO COMUNITARIO 443 PUEBLO NUEVO</t>
  </si>
  <si>
    <t>PUEBLO NUEVO SOLIS</t>
  </si>
  <si>
    <t>15ETK0444K</t>
  </si>
  <si>
    <t>TBC   444 LA MAGDALENA CRUZ BLANCA</t>
  </si>
  <si>
    <t>LA MAGDALENA CRUZ BLANCA</t>
  </si>
  <si>
    <t>15ETK0450V</t>
  </si>
  <si>
    <t>TBC 450</t>
  </si>
  <si>
    <t>TEMASCALTEPEC</t>
  </si>
  <si>
    <t>SAN SEBASTIAN CARBONERAS</t>
  </si>
  <si>
    <t>15ETK0453S</t>
  </si>
  <si>
    <t>TELEBACHILLERATO COMUNITARIO   453 LA LAGUNILLA</t>
  </si>
  <si>
    <t>LA LAGUNILLA</t>
  </si>
  <si>
    <t>15ETK0454R</t>
  </si>
  <si>
    <t>TELEBACHILLERATO COMUNITARIO 454 OJO DE AGUA,</t>
  </si>
  <si>
    <t>TENANGO DE ARISTA</t>
  </si>
  <si>
    <t>15ETK0455Q</t>
  </si>
  <si>
    <t>TELEBACHILLERATO COMUNITARIO   455, SAN ISIDRO</t>
  </si>
  <si>
    <t>15ETK0456P</t>
  </si>
  <si>
    <t>TBC 456</t>
  </si>
  <si>
    <t>SAN FRANCISCO PUTLA</t>
  </si>
  <si>
    <t>15ETK0458N</t>
  </si>
  <si>
    <t>TBC 458 SAN PEDRO CHIAUTZINGO TEPETLAOXTOC</t>
  </si>
  <si>
    <t>SAN PEDRO CHIAUTZINGO</t>
  </si>
  <si>
    <t>15ETK0460B</t>
  </si>
  <si>
    <t>TBC   460</t>
  </si>
  <si>
    <t>15ETK0462Z</t>
  </si>
  <si>
    <t>TELEBACHILLERATO COMUNITARIO 462 EL CHAPANEAL</t>
  </si>
  <si>
    <t>EL CHAPANEAL</t>
  </si>
  <si>
    <t>15ETK0463Z</t>
  </si>
  <si>
    <t>TELEBACHILLERATO COMUNITARIO   463 SANTA MARIA</t>
  </si>
  <si>
    <t>SANTA MARIA PARTE ALTA</t>
  </si>
  <si>
    <t>15ETK0465X</t>
  </si>
  <si>
    <t>TBC 465, SAN FRANCISCO, TEXCALTITLAN</t>
  </si>
  <si>
    <t>15ETK0469T</t>
  </si>
  <si>
    <t>TELEBACHILLERATO COMUNITARIO 469 HOGAR OBRERO</t>
  </si>
  <si>
    <t>HOGAR OBRERO</t>
  </si>
  <si>
    <t>15ETK0470I</t>
  </si>
  <si>
    <t>TELEBACHILLERATO COMUNITARIO   470, LA LAGUNILL</t>
  </si>
  <si>
    <t>15ETK0476C</t>
  </si>
  <si>
    <t>TELEBACHILLERATO COMUNITARIO   476, CACALOMACAN</t>
  </si>
  <si>
    <t>15ETK0477B</t>
  </si>
  <si>
    <t>TELE BACHILLERATO COMUNITARIO 477 DEL PARQUE T</t>
  </si>
  <si>
    <t>DEL PARQUE</t>
  </si>
  <si>
    <t>15ETK0478A</t>
  </si>
  <si>
    <t>TELEBACHILLERATO COMUNITARIO   478 CAPULTITLAN</t>
  </si>
  <si>
    <t>15ETK0479Z</t>
  </si>
  <si>
    <t>TBC 479</t>
  </si>
  <si>
    <t>SANTA ANA TLAPALTITLAN</t>
  </si>
  <si>
    <t>15ETK0498O</t>
  </si>
  <si>
    <t>TELEBACHILLERATO COMUNITARIO 498</t>
  </si>
  <si>
    <t>VILLA VICTORIA</t>
  </si>
  <si>
    <t>SAN AGUSTIN CANOHILLAS PRIMERA SECCION</t>
  </si>
  <si>
    <t>15ETK0503J</t>
  </si>
  <si>
    <t>TELEBACHILLERATO COMUNITARIO 503 SAN LUCAS.</t>
  </si>
  <si>
    <t>15ETK0504I</t>
  </si>
  <si>
    <t>TBC  504 SAN DIEGO, VILLA GUERRERO.</t>
  </si>
  <si>
    <t>SAN DIEGO</t>
  </si>
  <si>
    <t>15ETK0506G</t>
  </si>
  <si>
    <t>TBC 506 SAN JUAN TOMASQUILLO XALATLACO</t>
  </si>
  <si>
    <t>SAN JUAN TOMASQUILLO</t>
  </si>
  <si>
    <t>15ETK0507F</t>
  </si>
  <si>
    <t>TELEBACHILLERATO COMUNITARIO 507 SANTA MARIA</t>
  </si>
  <si>
    <t>15ETK0508E</t>
  </si>
  <si>
    <t>TELEBACHILLERATO COMUNITARIO 508</t>
  </si>
  <si>
    <t>15ETK0511S</t>
  </si>
  <si>
    <t>TELEBACHILLERATO COMUNITARIO   359 LA COLMENA</t>
  </si>
  <si>
    <t>LA COLMENA</t>
  </si>
  <si>
    <t>15ETK0512R</t>
  </si>
  <si>
    <t>CALIXTLAHUACA</t>
  </si>
  <si>
    <t>15ETK0513Q</t>
  </si>
  <si>
    <t>TELEBACHILLERATO COMUNITARIO   511 MINA MEXICO</t>
  </si>
  <si>
    <t>MINA MEXICO</t>
  </si>
  <si>
    <t>15ETK0514P</t>
  </si>
  <si>
    <t>TBC 512 JALTEPEC AXAPUSCO</t>
  </si>
  <si>
    <t>15ETK0516N</t>
  </si>
  <si>
    <t>TELABACHILLERATO COMUNITARIO  514 MAVORO, JOCO</t>
  </si>
  <si>
    <t>15ETK0519K</t>
  </si>
  <si>
    <t>TELEBACHILLERATO COMUNITARIO   517</t>
  </si>
  <si>
    <t>15ETK0520Z</t>
  </si>
  <si>
    <t>TELEBACHILLERATO COMUNITARIO   518</t>
  </si>
  <si>
    <t>15ETK0521Z</t>
  </si>
  <si>
    <t>TELEBACHILLERATO COMUNITARIO 519 BENITO JUAREZ</t>
  </si>
  <si>
    <t>GUSTAVO A MADERA</t>
  </si>
  <si>
    <t>15ETK0522Y</t>
  </si>
  <si>
    <t>TELEBACHILLERATO COMUNITARIO   520 LOMA BONITA</t>
  </si>
  <si>
    <t>15ETK0526U</t>
  </si>
  <si>
    <t>TELEBACHILLERATO COMUNITARIO 272</t>
  </si>
  <si>
    <t>SAN SIMON EL ALTO</t>
  </si>
  <si>
    <t>15ETV0001W</t>
  </si>
  <si>
    <t xml:space="preserve">OFTV  001  ING. GUILLERMO GONZALEZ CAMARENA </t>
  </si>
  <si>
    <t>15ETV0002V</t>
  </si>
  <si>
    <t xml:space="preserve">OFTV.  0002  LEON GUZMAN </t>
  </si>
  <si>
    <t>15ETV0003U</t>
  </si>
  <si>
    <t>OFTV NO 0003 HEROES DE LA INDEPENDENCIA</t>
  </si>
  <si>
    <t>GUADALUPE HIDALGO</t>
  </si>
  <si>
    <t>15ETV0004T</t>
  </si>
  <si>
    <t>OFTV  0004 HEROES DE CHAPULTEPEC</t>
  </si>
  <si>
    <t>15ETV0006R</t>
  </si>
  <si>
    <t>OFTV  0006  GRAL. EMILIANO ZAPATA  MATUTINO</t>
  </si>
  <si>
    <t>SAN NICOLAS TOLENTINO</t>
  </si>
  <si>
    <t>15ETV0008P</t>
  </si>
  <si>
    <t xml:space="preserve">OFTV NO 0008  GENERALISIMO MORELOS </t>
  </si>
  <si>
    <t>SAN DIEGO HUEHUECALCO</t>
  </si>
  <si>
    <t>15ETV0011C</t>
  </si>
  <si>
    <t>OFTV NO 0011 AMADO NERVO</t>
  </si>
  <si>
    <t>SAN JUAN ATZACUALOYA</t>
  </si>
  <si>
    <t>15ETV0019V</t>
  </si>
  <si>
    <t>OFTV  5 DE FEBRERO</t>
  </si>
  <si>
    <t>15ETV0024G</t>
  </si>
  <si>
    <t>OFTV 0024 VICENTE GUERRERO</t>
  </si>
  <si>
    <t>PUEBLO NUEVO DE LOS ANGELES</t>
  </si>
  <si>
    <t>15ETV0037K</t>
  </si>
  <si>
    <t>OFTV.  0037LIC. JUAN FERNANDEZ ALBARRAN</t>
  </si>
  <si>
    <t>15ETV0038J</t>
  </si>
  <si>
    <t>OFTV NO 0038 JOAQUIN ARCADIO PAGAZA</t>
  </si>
  <si>
    <t>15ETV0046S</t>
  </si>
  <si>
    <t xml:space="preserve">OFTV  0046  XOCHITL </t>
  </si>
  <si>
    <t>SAN MATEO TEOPANCALA</t>
  </si>
  <si>
    <t>15ETV0047R</t>
  </si>
  <si>
    <t xml:space="preserve">OFTV  0047  LIC. JOSE ZUBIETA </t>
  </si>
  <si>
    <t>SAN BARTOLME ACTOPAN</t>
  </si>
  <si>
    <t>15ETV0050E</t>
  </si>
  <si>
    <t>OFTV  0050 TLALOC</t>
  </si>
  <si>
    <t>15ETV0052C</t>
  </si>
  <si>
    <t xml:space="preserve">OFTV NO 0052  PROFR.CARLOS HANK GONZALEZ </t>
  </si>
  <si>
    <t>15ETV0056Z</t>
  </si>
  <si>
    <t xml:space="preserve">OFTV  0057  JAIME TORRES BODET </t>
  </si>
  <si>
    <t>15ETV0074O</t>
  </si>
  <si>
    <t xml:space="preserve">OFTTV 060  JUSTO SIERRA </t>
  </si>
  <si>
    <t>EL SOL</t>
  </si>
  <si>
    <t>15ETV0078K</t>
  </si>
  <si>
    <t xml:space="preserve">OFTV NO 0080  JUSTO SIERRA </t>
  </si>
  <si>
    <t>15ETV0079J</t>
  </si>
  <si>
    <t>OFTV NO 0081 LIC. JOSE VASCONCELOS</t>
  </si>
  <si>
    <t>15ETV0082X</t>
  </si>
  <si>
    <t xml:space="preserve">OFTV NO 0084  CARMEN MAZA DE DEL MAZO </t>
  </si>
  <si>
    <t>15ETV0085U</t>
  </si>
  <si>
    <t>OFTV 0087 ALBERT EINSTEIN</t>
  </si>
  <si>
    <t>15ETV0093C</t>
  </si>
  <si>
    <t xml:space="preserve">OFTV  0096  SIMON BOLIVAR </t>
  </si>
  <si>
    <t>15ETV0103T</t>
  </si>
  <si>
    <t xml:space="preserve">OFTV  0106  AGUSTIN FRANCO FLORES </t>
  </si>
  <si>
    <t>SANTA MARIA HUEXOCULCO</t>
  </si>
  <si>
    <t>15ETV0105R</t>
  </si>
  <si>
    <t>OFTV NO 0108 GRAL IGNACIO ZARAGOZA</t>
  </si>
  <si>
    <t>15ETV0110C</t>
  </si>
  <si>
    <t>OFTV 0113 CONSTITUCION DE 1917</t>
  </si>
  <si>
    <t>SANTIAGO MAMALHUAZUCA</t>
  </si>
  <si>
    <t>15ETV0111B</t>
  </si>
  <si>
    <t>OFTV NO 0114 JOSEFA ORTIZ DE DOMINGUEZ</t>
  </si>
  <si>
    <t>15ETV0114Z</t>
  </si>
  <si>
    <t xml:space="preserve">OFTV NO 0117  AZTLAN </t>
  </si>
  <si>
    <t>15ETV0118V</t>
  </si>
  <si>
    <t>OFTV NO 0121 FRANCISCO GONZALEZ BOCANEGRA</t>
  </si>
  <si>
    <t>SAN ANTONIO TLALTECAHUACAN</t>
  </si>
  <si>
    <t>15ETV0119U</t>
  </si>
  <si>
    <t xml:space="preserve">OFTV  0122  JUAN ESCUTIA </t>
  </si>
  <si>
    <t>15ETV0122H</t>
  </si>
  <si>
    <t xml:space="preserve">OFTV NO 0125  ESTADO DE MEXICO </t>
  </si>
  <si>
    <t>15ETV0123G</t>
  </si>
  <si>
    <t xml:space="preserve">OFTV  0126  FRANCISCO I. MADERO </t>
  </si>
  <si>
    <t>15ETV0126D</t>
  </si>
  <si>
    <t>15ETV0127C</t>
  </si>
  <si>
    <t>OFTV NO 0130 MELCHOR OCAMPO</t>
  </si>
  <si>
    <t>15ETV0140X</t>
  </si>
  <si>
    <t>OFTV NO 0143 CUAUHTEMOC</t>
  </si>
  <si>
    <t>SAN MATEO CAPULHUAC</t>
  </si>
  <si>
    <t>15ETV0141W</t>
  </si>
  <si>
    <t>OFTV. N0. 0144 ESTADO DE MEXICO</t>
  </si>
  <si>
    <t>COLONIA ALVARO OBREGON</t>
  </si>
  <si>
    <t>15ETV0142V</t>
  </si>
  <si>
    <t>OFTV NO 0145 JOAQUIN ARCADIO PAGAZA</t>
  </si>
  <si>
    <t>PUEBLO NUEVO TLALMIMILOLPAN</t>
  </si>
  <si>
    <t>15ETV0154Z</t>
  </si>
  <si>
    <t>OFTV 0157 SOR JUANA I DE LA CRUZ</t>
  </si>
  <si>
    <t>15ETV0156Y</t>
  </si>
  <si>
    <t xml:space="preserve">OFTV  0159  LAZARO CARDENAS </t>
  </si>
  <si>
    <t>CAÑADAS DE NANCHITITLA</t>
  </si>
  <si>
    <t>15ETV0160K</t>
  </si>
  <si>
    <t xml:space="preserve">OFTV.  0163  MARIANO RIVA PALACIO </t>
  </si>
  <si>
    <t>15ETV0169B</t>
  </si>
  <si>
    <t xml:space="preserve">OFTV NO 0103  JUAN ALDAMA </t>
  </si>
  <si>
    <t>15ETV0173O</t>
  </si>
  <si>
    <t>OFTV NO 0266 JOAQUIN ARCADIO PAGAZA</t>
  </si>
  <si>
    <t>GANZDA</t>
  </si>
  <si>
    <t>15ETV0190E</t>
  </si>
  <si>
    <t xml:space="preserve">OFTV NO 0212  FRANCISCO GONZALEZ BOCANEGRA </t>
  </si>
  <si>
    <t>APAXCO</t>
  </si>
  <si>
    <t>APAXCO DE OCAMPO</t>
  </si>
  <si>
    <t>15ETV0194A</t>
  </si>
  <si>
    <t xml:space="preserve">OFTV  0290  FRANCISCO MONTES DE OCA </t>
  </si>
  <si>
    <t>MANTO DEL RIO</t>
  </si>
  <si>
    <t>15ETV0198X</t>
  </si>
  <si>
    <t>OFTV NO 0189 RAFAEL AYALA AYALA</t>
  </si>
  <si>
    <t>15ETV0201U</t>
  </si>
  <si>
    <t xml:space="preserve">OFTV NO 0316  FRANCISCO GONZALEZ BOCANEGRA </t>
  </si>
  <si>
    <t>SAN LUIS</t>
  </si>
  <si>
    <t>15ETV0203S</t>
  </si>
  <si>
    <t xml:space="preserve">OFTV NO 0244  DR. MELCHOR MUZQUIZ </t>
  </si>
  <si>
    <t>LA QUEBRADA</t>
  </si>
  <si>
    <t>15ETV0207O</t>
  </si>
  <si>
    <t>OFTV  0207 FERNANDO MONTES DE OCA</t>
  </si>
  <si>
    <t>15ETV0208N</t>
  </si>
  <si>
    <t>OFTV NO 0208  JUAN DE LA BARRERA  MATUTINO</t>
  </si>
  <si>
    <t>15ETV0209M</t>
  </si>
  <si>
    <t xml:space="preserve">OFTV 0286 SOR JUANA INES DE LA CRUZ </t>
  </si>
  <si>
    <t>COVARRUBIAS</t>
  </si>
  <si>
    <t>15ETV0214Y</t>
  </si>
  <si>
    <t>JUAN ALVAREZ</t>
  </si>
  <si>
    <t>SANTA LUCIA</t>
  </si>
  <si>
    <t>15ETV0216W</t>
  </si>
  <si>
    <t xml:space="preserve">OFTV NO 0215  NARCISO BASSOLS </t>
  </si>
  <si>
    <t>15ETV0219T</t>
  </si>
  <si>
    <t>OFTV 0199 HORACIO ZUÑIGA</t>
  </si>
  <si>
    <t>TLAPACOYA</t>
  </si>
  <si>
    <t>15ETV0227B</t>
  </si>
  <si>
    <t xml:space="preserve">OFTV 0249  JOSE MARTI </t>
  </si>
  <si>
    <t>15ETV0231O</t>
  </si>
  <si>
    <t xml:space="preserve">OFTV NO 0309  JOSEFA ORTIZ DE DOMINGUEZ </t>
  </si>
  <si>
    <t>15ETV0234L</t>
  </si>
  <si>
    <t>OFTV NO 0172 JAIME NUNO</t>
  </si>
  <si>
    <t>15ETV0238H</t>
  </si>
  <si>
    <t xml:space="preserve">OFTV 0240  5 DE FEBRERO </t>
  </si>
  <si>
    <t>15ETV0250C</t>
  </si>
  <si>
    <t xml:space="preserve">OFTV  0270  GRAL. ALVARO OBREGON </t>
  </si>
  <si>
    <t>RAMEJE</t>
  </si>
  <si>
    <t>15ETV0260J</t>
  </si>
  <si>
    <t xml:space="preserve">OFTV  0175  LIC. BENITO JUAREZ </t>
  </si>
  <si>
    <t>15ETV0269A</t>
  </si>
  <si>
    <t>OFTV NO 0308 SALVADOR DIAZ MIRON</t>
  </si>
  <si>
    <t>RANCHO VIEJO</t>
  </si>
  <si>
    <t>15ETV0271P</t>
  </si>
  <si>
    <t>OFTV NO 0179 IGNACIO LOPEZ RAYON</t>
  </si>
  <si>
    <t>15ETV0282V</t>
  </si>
  <si>
    <t xml:space="preserve">OFTV 0191  MANUEL BERNAL </t>
  </si>
  <si>
    <t>15ETV0285S</t>
  </si>
  <si>
    <t xml:space="preserve">OFTV  210  GUADALUPE VICTORIA </t>
  </si>
  <si>
    <t>15ETV0287Q</t>
  </si>
  <si>
    <t xml:space="preserve">OFTV  0221  HERMENEGILDO GALEANA </t>
  </si>
  <si>
    <t>15ETV0289O</t>
  </si>
  <si>
    <t>OFTV  0234 AGUSTIN MELGAR</t>
  </si>
  <si>
    <t>15ETV0295Z</t>
  </si>
  <si>
    <t xml:space="preserve">OFTV 0211 PEDRO MORENO </t>
  </si>
  <si>
    <t>15ETV0296Y</t>
  </si>
  <si>
    <t xml:space="preserve">OFTV  0245  SILVESTRE REVUELTAS </t>
  </si>
  <si>
    <t>15ETV0304Q</t>
  </si>
  <si>
    <t>OFTV. 0238  ANGEL MA. GARIBAY KINTANA .</t>
  </si>
  <si>
    <t>EJIDOS DE SANTIAGO MILTEPEC</t>
  </si>
  <si>
    <t>15ETV0307N</t>
  </si>
  <si>
    <t>OFTV N0 0228 FORJADORES DE LA PATRIA</t>
  </si>
  <si>
    <t>15ETV0315W</t>
  </si>
  <si>
    <t>OFTV NO 0289 JOSE MARIA PINO SUAREZ</t>
  </si>
  <si>
    <t>LA CAÑADA</t>
  </si>
  <si>
    <t>15ETV0322F</t>
  </si>
  <si>
    <t>OFTV 0213 RICARDO FLORES MAGON</t>
  </si>
  <si>
    <t>CUIDAD LOPEZ MATEOS</t>
  </si>
  <si>
    <t>15ETV0323E</t>
  </si>
  <si>
    <t xml:space="preserve">OFTV.  0231  PROFR. CARLOS HANK GONZALEZ </t>
  </si>
  <si>
    <t>SAN CRISTOBAL TECOLIT</t>
  </si>
  <si>
    <t>15ETV0329Z</t>
  </si>
  <si>
    <t xml:space="preserve">OFTV 0325  CUAUHTEMOC </t>
  </si>
  <si>
    <t>15ETV0331N</t>
  </si>
  <si>
    <t xml:space="preserve">OFTV  0327  PLUTARCO ELIAS CALLES </t>
  </si>
  <si>
    <t>EJIDO DE SAN PEDRO</t>
  </si>
  <si>
    <t>15ETV0333L</t>
  </si>
  <si>
    <t xml:space="preserve">OFTV N0 0329  GUADALUPE VICTORIA </t>
  </si>
  <si>
    <t>CAPULHUAC DE MIRAFUENTES</t>
  </si>
  <si>
    <t>15ETV0341U</t>
  </si>
  <si>
    <t xml:space="preserve">OFTV NO 0337  GRAL. AGUSTIN MILLAN </t>
  </si>
  <si>
    <t>VENTA MORALES</t>
  </si>
  <si>
    <t>15ETV0350B</t>
  </si>
  <si>
    <t>ESC OFTV NO 0354 HORACIO ZUÑIGA</t>
  </si>
  <si>
    <t>15ETV0354Y</t>
  </si>
  <si>
    <t>OFTV  0371 JUAN RUIZ DE ALARCON</t>
  </si>
  <si>
    <t>SAN LUCAS AMALINALCO</t>
  </si>
  <si>
    <t>15ETV0358U</t>
  </si>
  <si>
    <t xml:space="preserve">OFTV NO 0369  CUAUHTEMOC </t>
  </si>
  <si>
    <t>BARRIO FUNDIDORES</t>
  </si>
  <si>
    <t>15ETV0359T</t>
  </si>
  <si>
    <t>OFTV NO 0368 FERNANDO MONTES DE OCA</t>
  </si>
  <si>
    <t>15ETV0360I</t>
  </si>
  <si>
    <t>15ETV0361H</t>
  </si>
  <si>
    <t>OFTV NÑ 0359 FRANCISCO JAVIER MINA</t>
  </si>
  <si>
    <t>15ETV0362G</t>
  </si>
  <si>
    <t xml:space="preserve">OFTV  0358  LEONA VICARIO </t>
  </si>
  <si>
    <t>15ETV0366C</t>
  </si>
  <si>
    <t>OFTV 0362 GABRIELA MISTRAL</t>
  </si>
  <si>
    <t>SAN MARTIN AZCATEPEC</t>
  </si>
  <si>
    <t>15ETV0368A</t>
  </si>
  <si>
    <t>OFTV 0363 HERIBERTO ENRIQUEZ</t>
  </si>
  <si>
    <t>SAN MIGUEL ATLAMAJAC</t>
  </si>
  <si>
    <t>15ETV0372N</t>
  </si>
  <si>
    <t xml:space="preserve">OFTV  0360  JUAN ESCUTIA </t>
  </si>
  <si>
    <t>BO. DE ESPAÑA</t>
  </si>
  <si>
    <t>15ETV0382U</t>
  </si>
  <si>
    <t>OFTV.  0394 FRANCISCO VILLA</t>
  </si>
  <si>
    <t>15ETV0383T</t>
  </si>
  <si>
    <t xml:space="preserve">OFTV  0393  BENITO JUAREZ </t>
  </si>
  <si>
    <t>15ETV0390C</t>
  </si>
  <si>
    <t>OFTV NO 0387 IGNACIO ZARAGOZA</t>
  </si>
  <si>
    <t>15ETV0395Y</t>
  </si>
  <si>
    <t xml:space="preserve">OFTV NO 0381  ROSARIO CASTELLANOS </t>
  </si>
  <si>
    <t>15ETV0396X</t>
  </si>
  <si>
    <t xml:space="preserve">OFTV- NÑ 0382   MELCHOR OCAMPO </t>
  </si>
  <si>
    <t>BO. LA PLANADA</t>
  </si>
  <si>
    <t>15ETV0399U</t>
  </si>
  <si>
    <t xml:space="preserve">OFTV NO 0385  FRANCISCO LOPEZ RAYON </t>
  </si>
  <si>
    <t>ATOCAN</t>
  </si>
  <si>
    <t>15ETV0402R</t>
  </si>
  <si>
    <t>OFTV 0397 JOSE VASCONCELOS</t>
  </si>
  <si>
    <t>SAN BARTOLITO TLALTELOLCO</t>
  </si>
  <si>
    <t>15ETV0404P</t>
  </si>
  <si>
    <t>LIC. ALFREDO DEL MAZO V</t>
  </si>
  <si>
    <t>15ETV0406N</t>
  </si>
  <si>
    <t>OFTV.0401 JOSE VICENTE VILLADA</t>
  </si>
  <si>
    <t>JESUS DEL MONTE</t>
  </si>
  <si>
    <t>15ETV0409K</t>
  </si>
  <si>
    <t xml:space="preserve">OFTV 0404  VENUSTIANO CARRANZA </t>
  </si>
  <si>
    <t>LOMA COLORADA</t>
  </si>
  <si>
    <t>15ETV0410Z</t>
  </si>
  <si>
    <t xml:space="preserve">OFTV  0405  CUITLAHUAC </t>
  </si>
  <si>
    <t>15ETV0411Z</t>
  </si>
  <si>
    <t>OFTV 0407 LIC BENITO JUAREZ</t>
  </si>
  <si>
    <t>TOLUCA DE LERDO</t>
  </si>
  <si>
    <t>15ETV0422E</t>
  </si>
  <si>
    <t>OFTV NO 0417 NICOLAS BRAVO</t>
  </si>
  <si>
    <t>PUEBLO NUEVO DE MORELOS</t>
  </si>
  <si>
    <t>15ETV0425B</t>
  </si>
  <si>
    <t xml:space="preserve">OFTVNO 0419  VICENTE GUERRERO </t>
  </si>
  <si>
    <t>BARRIO SAN MIGUEL</t>
  </si>
  <si>
    <t>15ETV0427Z</t>
  </si>
  <si>
    <t xml:space="preserve">OFTV NO 0428  JUAN ESCUTIA </t>
  </si>
  <si>
    <t>TULTECA TEOPAN</t>
  </si>
  <si>
    <t>15ETV0433K</t>
  </si>
  <si>
    <t xml:space="preserve">OFTV 0430  DR. GUSTAVO BAZ PRADA </t>
  </si>
  <si>
    <t>15ETV0434J</t>
  </si>
  <si>
    <t>PROFR. AGRIPIN GARCIA ESTRADA</t>
  </si>
  <si>
    <t>15ETV0445P</t>
  </si>
  <si>
    <t xml:space="preserve">OF.TV.NÑ 0442  HEROES DE LA INDEPENDENCIA </t>
  </si>
  <si>
    <t>15ETV0446O</t>
  </si>
  <si>
    <t>OFTV NO 0441 HERMENEGILDO GALEANA</t>
  </si>
  <si>
    <t>15ETV0447N</t>
  </si>
  <si>
    <t>SAN LUCAS TEPANGO</t>
  </si>
  <si>
    <t>15ETV0464D</t>
  </si>
  <si>
    <t xml:space="preserve">OFTV  0462  LIC. BENITO JUAREZ GARCIA </t>
  </si>
  <si>
    <t>JUAREZ BARRON</t>
  </si>
  <si>
    <t>15ETV0489M</t>
  </si>
  <si>
    <t xml:space="preserve">OFTV  0486  PROFR. IGNACIO TORRES OLASCOAGA </t>
  </si>
  <si>
    <t>EL RINCON DEL CRISTO</t>
  </si>
  <si>
    <t>15ETV0495X</t>
  </si>
  <si>
    <t>OFTV NO 0492 JUANA DE ASBAJE</t>
  </si>
  <si>
    <t>15ETV0496W</t>
  </si>
  <si>
    <t>CARLOS GOMEZ HERNANDEZ</t>
  </si>
  <si>
    <t>QUIMICHATENCO</t>
  </si>
  <si>
    <t>15ETV0503P</t>
  </si>
  <si>
    <t xml:space="preserve">OFTV 0500  SOR JUANA INES DE LA CRUZ </t>
  </si>
  <si>
    <t>15ETV0508K</t>
  </si>
  <si>
    <t>OFTV.  0520 MIGUEL HIDALGO</t>
  </si>
  <si>
    <t>15ETV0521E</t>
  </si>
  <si>
    <t xml:space="preserve">OFTV  0507  LIC. ADOLFO LOPEZ MATEOS </t>
  </si>
  <si>
    <t>15ETV0533J</t>
  </si>
  <si>
    <t xml:space="preserve">OFTV NO 0528  2 DE OCTUBRE </t>
  </si>
  <si>
    <t>SAN AGUSTIN ATLAPULCO</t>
  </si>
  <si>
    <t>15ETV0536G</t>
  </si>
  <si>
    <t>OFTV NO 0532 PROFR. AGRIPIN GARCIA ESTRADA</t>
  </si>
  <si>
    <t>15ETV0551Z</t>
  </si>
  <si>
    <t xml:space="preserve">OFTV NO 0541  LIC. IGNACIO GARCIA TELLEZ </t>
  </si>
  <si>
    <t>LA CONCEPCION PUEBLO</t>
  </si>
  <si>
    <t>15ETV0552Y</t>
  </si>
  <si>
    <t>OFTV 0542 SOR JUANA INES DE LA CRUZ</t>
  </si>
  <si>
    <t>15ETV0561F</t>
  </si>
  <si>
    <t>OFTV  0549 JOSE MA. VELASCO</t>
  </si>
  <si>
    <t>BOSHESDA</t>
  </si>
  <si>
    <t>15ETV0562E</t>
  </si>
  <si>
    <t xml:space="preserve">OFTV.  0550  ISIDRO FABELA ALFARO </t>
  </si>
  <si>
    <t>CUENDO</t>
  </si>
  <si>
    <t>15ETV0566A</t>
  </si>
  <si>
    <t>OFTV NO 0554 MARIO COLIN SANCHEZ</t>
  </si>
  <si>
    <t>CHOSTO DE LOS JARROS</t>
  </si>
  <si>
    <t>15ETV0567Z</t>
  </si>
  <si>
    <t>LIC BENITO JUAREZ</t>
  </si>
  <si>
    <t>15ETV0571M</t>
  </si>
  <si>
    <t xml:space="preserve">OFTV NO 0050  TLALOC </t>
  </si>
  <si>
    <t>15ETV0578F</t>
  </si>
  <si>
    <t>OFTVNO 0563  MAXIMO GORKI</t>
  </si>
  <si>
    <t>15ETV0582S</t>
  </si>
  <si>
    <t xml:space="preserve">OFTV  0567  RAFAEL RAMIREZ </t>
  </si>
  <si>
    <t>15ETV0587N</t>
  </si>
  <si>
    <t xml:space="preserve">OFTV.NO 0572  BENITO JUAREZ </t>
  </si>
  <si>
    <t>15ETV0588M</t>
  </si>
  <si>
    <t xml:space="preserve">OFTV  0573  JOSE MA. MORELOS Y PAVON </t>
  </si>
  <si>
    <t>DOXTEJE BARRIO PRIMERO</t>
  </si>
  <si>
    <t>15ETV0592Z</t>
  </si>
  <si>
    <t xml:space="preserve">OFTV.  0576  JAIME TORRES BODET </t>
  </si>
  <si>
    <t>MANZANA TERCERA</t>
  </si>
  <si>
    <t>15ETV0594X</t>
  </si>
  <si>
    <t>OFTV NO 0579 XILONEN</t>
  </si>
  <si>
    <t>LA MAGDALENA DE LOS REYES</t>
  </si>
  <si>
    <t>15ETV0596V</t>
  </si>
  <si>
    <t>OFTV NO 0581   20 DE NOVIEMBRE  MATUTINO</t>
  </si>
  <si>
    <t>15ETV0604N</t>
  </si>
  <si>
    <t>OFTV  0589 OCTAVIO PAZ</t>
  </si>
  <si>
    <t>TEHUASTEPEC</t>
  </si>
  <si>
    <t>15ETV0609I</t>
  </si>
  <si>
    <t>OFTV.  0594 VENUSTIANO CARRANZA</t>
  </si>
  <si>
    <t>15ETV0619P</t>
  </si>
  <si>
    <t>OFTV.  0603 MARIANO AZUELA</t>
  </si>
  <si>
    <t>CASAS VIEJAS</t>
  </si>
  <si>
    <t>15ETV0626Z</t>
  </si>
  <si>
    <t xml:space="preserve">OFTV NO 0610  LIC. LUIS DONALDO COLOSIO </t>
  </si>
  <si>
    <t>15ETV0628X</t>
  </si>
  <si>
    <t>OFTV NO 0612   20 DE NOVIEMBRE  VESPERTINO</t>
  </si>
  <si>
    <t>15ETV0633I</t>
  </si>
  <si>
    <t xml:space="preserve">OFTV NO 0617  PROFR. PEDRO FUENTES GARCIA </t>
  </si>
  <si>
    <t>GUARDA SAN ANTONIO</t>
  </si>
  <si>
    <t>15ETV0639C</t>
  </si>
  <si>
    <t>OFTV 0623 EMILIANO ZAPATA</t>
  </si>
  <si>
    <t>15ETV0640S</t>
  </si>
  <si>
    <t>OFTV NO 0624 PEDRO MORENO</t>
  </si>
  <si>
    <t>LAS CANTERAS</t>
  </si>
  <si>
    <t>15ETV0644O</t>
  </si>
  <si>
    <t>OFTV NO 0638 RAFAEL RAMIREZ</t>
  </si>
  <si>
    <t>15ETV0654V</t>
  </si>
  <si>
    <t xml:space="preserve">OFTV .  0385  FRANCISCO LOPEZ RAYON </t>
  </si>
  <si>
    <t>SANTIAGO ATOCAN</t>
  </si>
  <si>
    <t>15ETV0655U</t>
  </si>
  <si>
    <t>TELESECUNDARIA 405 CUITLAHUAC</t>
  </si>
  <si>
    <t>RECURSOS HIDRAULICOS</t>
  </si>
  <si>
    <t>15ETV0656T</t>
  </si>
  <si>
    <t xml:space="preserve">OFTV NO 0637  LIC. LUIS DONALDO COLOSIO MURRIETA </t>
  </si>
  <si>
    <t>15ETV0658R</t>
  </si>
  <si>
    <t xml:space="preserve">OFTV.  0143  CUAUHTEMOC </t>
  </si>
  <si>
    <t>15ETV0659Q</t>
  </si>
  <si>
    <t xml:space="preserve">OFTV. 0638  LIBERTAD </t>
  </si>
  <si>
    <t>15ETV0662D</t>
  </si>
  <si>
    <t>OFTV NO 0641. LUIS DONALDO COLOSIO</t>
  </si>
  <si>
    <t>15ETV0663C</t>
  </si>
  <si>
    <t xml:space="preserve">OFTV. N0 0642  GRAL. GUADALUPE VICTORIA </t>
  </si>
  <si>
    <t>15ETV0666Z</t>
  </si>
  <si>
    <t>OFTV N0. 0656 ISIDRO FABELA</t>
  </si>
  <si>
    <t>15ETV0670M</t>
  </si>
  <si>
    <t>OFTV NO 0649 ALVARO OBREGON</t>
  </si>
  <si>
    <t>15ETV0675H</t>
  </si>
  <si>
    <t>OFTV NO 0652 RICARDO FLORES MAGON</t>
  </si>
  <si>
    <t>BUENOS AIRES</t>
  </si>
  <si>
    <t>15ETV0677F</t>
  </si>
  <si>
    <t xml:space="preserve">OFTV  0653  JOSEFA ORTIZ DE DOMINGUEZ  </t>
  </si>
  <si>
    <t>PALO AMARILLO</t>
  </si>
  <si>
    <t>15ETV0682R</t>
  </si>
  <si>
    <t xml:space="preserve">OFTV  0659  NEZAHUALCOYOTL </t>
  </si>
  <si>
    <t>15ETV0686N</t>
  </si>
  <si>
    <t>15ETV0698S</t>
  </si>
  <si>
    <t>OFTV 0674  JOSE MA. LUIS MORA</t>
  </si>
  <si>
    <t>MESAS ALTAS DE XOCONUSCO</t>
  </si>
  <si>
    <t>15ETV0719O</t>
  </si>
  <si>
    <t>15ETV0721C</t>
  </si>
  <si>
    <t>OFTV  0566 VICENTE GUERRERO</t>
  </si>
  <si>
    <t>15ETV0737D</t>
  </si>
  <si>
    <t xml:space="preserve">OFTV.  0718  OCTAVIO PAZ </t>
  </si>
  <si>
    <t>LA CIENEGA</t>
  </si>
  <si>
    <t>15ETV0739B</t>
  </si>
  <si>
    <t xml:space="preserve">OFTV NO 0709  PROFR. CARLOS HANK GONZALEZ </t>
  </si>
  <si>
    <t>15ETV0751X</t>
  </si>
  <si>
    <t>OFTV NO 0717 JORGE ABEL MORALES CORTES</t>
  </si>
  <si>
    <t>LLANO DE LOS BAEZ</t>
  </si>
  <si>
    <t>15ETV0753V</t>
  </si>
  <si>
    <t>OFTV NO 0720 MIGUEL HIDALGO</t>
  </si>
  <si>
    <t>15ETV0757R</t>
  </si>
  <si>
    <t xml:space="preserve">OFTV NO 0724  JOSE VASCONCELOS </t>
  </si>
  <si>
    <t>SAN MIGUEL DE OCAMPO</t>
  </si>
  <si>
    <t>15ETV0763B</t>
  </si>
  <si>
    <t>OFTV NO 0729 CUAUHTEMOC</t>
  </si>
  <si>
    <t>15ETV0764A</t>
  </si>
  <si>
    <t xml:space="preserve">OFTV  0732  ADOLFO LOPEZ MATEOS </t>
  </si>
  <si>
    <t>ALFREDO DEL MAZO</t>
  </si>
  <si>
    <t>15ETV0770L</t>
  </si>
  <si>
    <t xml:space="preserve">OFTV NO 0736  BENITO JUAREZ </t>
  </si>
  <si>
    <t>SAN VICENTE CHICOLOAPAN</t>
  </si>
  <si>
    <t>15ETV0776F</t>
  </si>
  <si>
    <t>ESCUELA SECUNDARIA OFTV NO 743 NUEVA CREACION</t>
  </si>
  <si>
    <t>PORTEZUELOS</t>
  </si>
  <si>
    <t>15ETV0779C</t>
  </si>
  <si>
    <t xml:space="preserve">ESC. OFTV. 0745  GRAL. FELIPE ANGELES </t>
  </si>
  <si>
    <t>15ETV0783P</t>
  </si>
  <si>
    <t>OFTV  0006  GRAL. EMILIANO ZAPATA  VESPERTINO</t>
  </si>
  <si>
    <t>SAN MATEO OTZACATIPAN</t>
  </si>
  <si>
    <t>15ETV0792X</t>
  </si>
  <si>
    <t>OF TV  0754 NIÑOS HEROES</t>
  </si>
  <si>
    <t>SAN JOSE DEL PROGRESO</t>
  </si>
  <si>
    <t>15ETV0794V</t>
  </si>
  <si>
    <t>OF TV 0756 JAIME TORRES BODET</t>
  </si>
  <si>
    <t>15ETV0799Q</t>
  </si>
  <si>
    <t>DR.BELISARIO DOMINGUEZ</t>
  </si>
  <si>
    <t>LOMAS DE SAN SEBASTIAN</t>
  </si>
  <si>
    <t>15ETV0801O</t>
  </si>
  <si>
    <t>OFTV  0762 MIGUEL HIDALGO Y COSTILLA</t>
  </si>
  <si>
    <t>SAN MIGUEL IXTAPAN</t>
  </si>
  <si>
    <t>15ETV0804L</t>
  </si>
  <si>
    <t xml:space="preserve">OFTV NO 0765  INDEPENDENCIA </t>
  </si>
  <si>
    <t>CHICOLOAPAN DE JUAREZ</t>
  </si>
  <si>
    <t>16ETH0007W</t>
  </si>
  <si>
    <t>TELEBACHILLERATO 007 LA MINA</t>
  </si>
  <si>
    <t>MICHOACAN</t>
  </si>
  <si>
    <t>ALVARO OBREGON</t>
  </si>
  <si>
    <t>LA MINA</t>
  </si>
  <si>
    <t>ALMACÉN Z.T. MICHOACÁN</t>
  </si>
  <si>
    <t>16ETH0008V</t>
  </si>
  <si>
    <t>TELEBACHILLERATO 008 SAN DIEGO BUENAVISTA</t>
  </si>
  <si>
    <t>ANGAMACUTIRO</t>
  </si>
  <si>
    <t>SAN DIEGO BUENAVISTA</t>
  </si>
  <si>
    <t>16ETH0014F</t>
  </si>
  <si>
    <t>TELEBACHILLERATO 014 SAN PEDRO NARANJESTL</t>
  </si>
  <si>
    <t>AQUILA</t>
  </si>
  <si>
    <t>SAN PEDRO NARANJESTL</t>
  </si>
  <si>
    <t>16ETH0033U</t>
  </si>
  <si>
    <t>TELEBACHILLERATO 033 SALITRE DE ESTOPILA</t>
  </si>
  <si>
    <t>CHINICUILA</t>
  </si>
  <si>
    <t>SALITRE DE ESTOPILA</t>
  </si>
  <si>
    <t>16ETH0047X</t>
  </si>
  <si>
    <t>TELEBACHILLERATO 047 BELLAS FUENTES</t>
  </si>
  <si>
    <t>COENEO</t>
  </si>
  <si>
    <t>BELLAS FUENTES</t>
  </si>
  <si>
    <t>16ETH0049V</t>
  </si>
  <si>
    <t>TELEBACHILLERATO 049 ZARAGOZA</t>
  </si>
  <si>
    <t>CONTEPEC</t>
  </si>
  <si>
    <t>16ETH0051J</t>
  </si>
  <si>
    <t>TELEBACHILLERATO 51</t>
  </si>
  <si>
    <t>CUITZEO</t>
  </si>
  <si>
    <t>CUARACURIO</t>
  </si>
  <si>
    <t>16ETH0053H</t>
  </si>
  <si>
    <t>TELEBACHILLERATO 053 MARIANO ESCOBEDO</t>
  </si>
  <si>
    <t>MARIANO ESCOBEDO</t>
  </si>
  <si>
    <t>16ETH0060R</t>
  </si>
  <si>
    <t>TELEBACHILLERATO 060 CHARAPENDO</t>
  </si>
  <si>
    <t>GABRIEL ZAMORA</t>
  </si>
  <si>
    <t>CHARAPENDO</t>
  </si>
  <si>
    <t>16ETH0061Q</t>
  </si>
  <si>
    <t>TELEBACHILLERATO 061 SANTA CASILDA</t>
  </si>
  <si>
    <t>SANTA CASILDA</t>
  </si>
  <si>
    <t>16ETH0064N</t>
  </si>
  <si>
    <t>TELEBACHILLERATO 064 SAN MIGUEL SILAHUA</t>
  </si>
  <si>
    <t>LA HUACANA</t>
  </si>
  <si>
    <t>SAN MIGUEL SILAHUA</t>
  </si>
  <si>
    <t>16ETH0068J</t>
  </si>
  <si>
    <t>TELEBACHILLERATO 068 MATA DE PLATANO</t>
  </si>
  <si>
    <t>MATA DE PLATANO</t>
  </si>
  <si>
    <t>16ETH0081D</t>
  </si>
  <si>
    <t>TELEBACHILLERATO 081 ABADIANO EL ALTO</t>
  </si>
  <si>
    <t>JIQUILPAN</t>
  </si>
  <si>
    <t>ABADIANO EL ALTO</t>
  </si>
  <si>
    <t>16ETH0082C</t>
  </si>
  <si>
    <t>TELEBACHILLERATO 082 SAN JOSE HUIPANA</t>
  </si>
  <si>
    <t>JOSE SIXTO VERDUZCO</t>
  </si>
  <si>
    <t>SAN JOSE HUIPANA</t>
  </si>
  <si>
    <t>16ETH0106W</t>
  </si>
  <si>
    <t>TELEBACHILLERATO 106 SAN NICOLAS OBISPO</t>
  </si>
  <si>
    <t>MORELIA</t>
  </si>
  <si>
    <t>SAN NICOLAS OBISPO</t>
  </si>
  <si>
    <t>16ETH0107V</t>
  </si>
  <si>
    <t>TELEBACHILLERATO 107 LA LUZ</t>
  </si>
  <si>
    <t>16ETH0110I</t>
  </si>
  <si>
    <t>TELEBACHILLERATO 110 MELCHOR OCAMPO</t>
  </si>
  <si>
    <t>NOCUPETARO</t>
  </si>
  <si>
    <t>MELCHOR OCAMPO</t>
  </si>
  <si>
    <t>16ETH0123M</t>
  </si>
  <si>
    <t>TELEBACHILLERATO 123 VEINTE DE NOVIEMBRE</t>
  </si>
  <si>
    <t>PARACUARO</t>
  </si>
  <si>
    <t>VEINTE DE NOVIEMBRE</t>
  </si>
  <si>
    <t>16ETH0126J</t>
  </si>
  <si>
    <t>TELEBACHILLERATO 126</t>
  </si>
  <si>
    <t>PENJAMILLO</t>
  </si>
  <si>
    <t>GUANDARO</t>
  </si>
  <si>
    <t>16ETH0128H</t>
  </si>
  <si>
    <t>TELEBACHILLERATO 128 LOS GUAJES</t>
  </si>
  <si>
    <t>LA PIEDAD</t>
  </si>
  <si>
    <t>LOS GUAJES</t>
  </si>
  <si>
    <t>16ETH0132U</t>
  </si>
  <si>
    <t>TELEBACHILLERATO 132 LOS REYES</t>
  </si>
  <si>
    <t>PURUANDIRO</t>
  </si>
  <si>
    <t>LOS REYES</t>
  </si>
  <si>
    <t>16ETH0137P</t>
  </si>
  <si>
    <t>TELEBACHILLERATO 137 PUEBLO VIEJO</t>
  </si>
  <si>
    <t>QUERENDARO</t>
  </si>
  <si>
    <t>PUEBLO VIEJO</t>
  </si>
  <si>
    <t>16ETH0138O</t>
  </si>
  <si>
    <t>TELEBACHILLERATO 138 SAN ISIDRO</t>
  </si>
  <si>
    <t>16ETH0139N</t>
  </si>
  <si>
    <t>TELEBACHILLERATO 139 LA PALMA</t>
  </si>
  <si>
    <t>16ETH0145Y</t>
  </si>
  <si>
    <t>TELEBACHILLERATO 145 SAN RAFAEL DEL CARRIZAL</t>
  </si>
  <si>
    <t>SANTA ANA MAYA</t>
  </si>
  <si>
    <t>SAN RAFAEL DEL CARRIZAL</t>
  </si>
  <si>
    <t>16ETH0148V</t>
  </si>
  <si>
    <t>TELEBACHILLERATO 148 COPANDARO</t>
  </si>
  <si>
    <t>SUSUPUATO</t>
  </si>
  <si>
    <t>SANTIAGO COPANDARO</t>
  </si>
  <si>
    <t>16ETH0152H</t>
  </si>
  <si>
    <t>TELEBACHILLERATO 152 AGUA ZARCA</t>
  </si>
  <si>
    <t>TANCITARO</t>
  </si>
  <si>
    <t>AGUA ZARCA</t>
  </si>
  <si>
    <t>16ETH0154F</t>
  </si>
  <si>
    <t>TELEBACHILLERATO 154 PAREO</t>
  </si>
  <si>
    <t>PAREO</t>
  </si>
  <si>
    <t>16ETH0158B</t>
  </si>
  <si>
    <t>TELEBACHILLERATO 158 TEJARO DE LOS IZQUIERDO</t>
  </si>
  <si>
    <t>TARIMBARO</t>
  </si>
  <si>
    <t>TEJARO DE LOS IZQUIERDO</t>
  </si>
  <si>
    <t>16ETH0161P</t>
  </si>
  <si>
    <t>TELEBACHILLERATO 161 HUAHUASCO</t>
  </si>
  <si>
    <t>TIQUICHEO DE NICOLAS ROMERO</t>
  </si>
  <si>
    <t>HUAHUASCO</t>
  </si>
  <si>
    <t>16ETH0166K</t>
  </si>
  <si>
    <t>TELEBACHILLERATO 166 LA PUERTA DEL NARANJO</t>
  </si>
  <si>
    <t>TURICATO</t>
  </si>
  <si>
    <t>LA PUERTA DEL NARANJO</t>
  </si>
  <si>
    <t>16ETH0169H</t>
  </si>
  <si>
    <t>TELEBACHILLERATO 169 EL OLIVO</t>
  </si>
  <si>
    <t>TUZANTLA</t>
  </si>
  <si>
    <t>16ETH0174T</t>
  </si>
  <si>
    <t>TELEBACHILLERATO 174 DEVANADOR DE RIVERA</t>
  </si>
  <si>
    <t>TZITZIO</t>
  </si>
  <si>
    <t>DEVANADOR DE RIVERA</t>
  </si>
  <si>
    <t>16ETH0178P</t>
  </si>
  <si>
    <t>TELEBACHILLERATO 178 EL SABINO</t>
  </si>
  <si>
    <t>URUAPAN</t>
  </si>
  <si>
    <t>EL SABINO</t>
  </si>
  <si>
    <t>16ETH0181C</t>
  </si>
  <si>
    <t>TELEBACHILLERATO 181 SAN ANTONIO GUARACHA</t>
  </si>
  <si>
    <t>VILLAMAR</t>
  </si>
  <si>
    <t>SAN ANTONIO GUARACHA</t>
  </si>
  <si>
    <t>16ETH0182B</t>
  </si>
  <si>
    <t>TELEBACHILLERATO 182 EL CAMICHE</t>
  </si>
  <si>
    <t>YURECUARO</t>
  </si>
  <si>
    <t>EL CAMICHE</t>
  </si>
  <si>
    <t>16ETH0185Z</t>
  </si>
  <si>
    <t>TELEBACHILLERATO 185 LA SAUCEDA</t>
  </si>
  <si>
    <t>ZAMORA</t>
  </si>
  <si>
    <t>LA SAUCEDA</t>
  </si>
  <si>
    <t>16ETH0191J</t>
  </si>
  <si>
    <t>TELEBACHILLERATO 191 SAN MIGUEL CHICHIMEQUILLAS</t>
  </si>
  <si>
    <t>ZITACUARO</t>
  </si>
  <si>
    <t>SAN MIGUEL CHICHIMEQUILLAS</t>
  </si>
  <si>
    <t>16ETH0198C</t>
  </si>
  <si>
    <t>TELEBACHILLERATO 198 TENENCIA LAZARO CARDENAS</t>
  </si>
  <si>
    <t>ERONGARICUARO</t>
  </si>
  <si>
    <t>TENENCIA LAZARO CARDENAS</t>
  </si>
  <si>
    <t>16ETH0199B</t>
  </si>
  <si>
    <t>TELEBACHILLERATO 199 MANCERA</t>
  </si>
  <si>
    <t>MANCERA</t>
  </si>
  <si>
    <t>16ETH0200A</t>
  </si>
  <si>
    <t>TELEBACHILLERATO 200 TENENCIA MORELOS</t>
  </si>
  <si>
    <t>16ETH0201Z</t>
  </si>
  <si>
    <t>TELEBACHILLERATO 201 LAS PILAS</t>
  </si>
  <si>
    <t>LAS PILAS</t>
  </si>
  <si>
    <t>16ETH0203Y</t>
  </si>
  <si>
    <t>TELEBACHILLERATO 203 LA ESPERANZA</t>
  </si>
  <si>
    <t>CHAVINDA</t>
  </si>
  <si>
    <t>16ETH0204X</t>
  </si>
  <si>
    <t>TELEBACHILLERATO 204 TANAQUILLO</t>
  </si>
  <si>
    <t>CHILCHOTA</t>
  </si>
  <si>
    <t>TANAQUILLO</t>
  </si>
  <si>
    <t>16ETH0207U</t>
  </si>
  <si>
    <t>TELEBACHILLERATO 207 PURUNGUEO</t>
  </si>
  <si>
    <t>PURUNGUEO</t>
  </si>
  <si>
    <t>16ETH0212F</t>
  </si>
  <si>
    <t>TELEBACHILLERATO 212 LOS NOGALES</t>
  </si>
  <si>
    <t>LOS NOGALES</t>
  </si>
  <si>
    <t>16ETK0011W</t>
  </si>
  <si>
    <t>SAN JUAN DE LOS PLATANOS</t>
  </si>
  <si>
    <t>APATZINGAN</t>
  </si>
  <si>
    <t>16ETK0017Q</t>
  </si>
  <si>
    <t>TBC SAN ANDRES ZIRONDARO</t>
  </si>
  <si>
    <t>QUIROGA</t>
  </si>
  <si>
    <t>SAN ANDRES ZIRONDARO</t>
  </si>
  <si>
    <t>16ETK0026Y</t>
  </si>
  <si>
    <t>CHERAN ATZICURIN</t>
  </si>
  <si>
    <t>PARACHO</t>
  </si>
  <si>
    <t>CHERAN ATZICURIN CHERANASTICO</t>
  </si>
  <si>
    <t>16ETK0027X</t>
  </si>
  <si>
    <t>TELEBACHILLERATO COMUNITARIO COLONIA ERENDIRA</t>
  </si>
  <si>
    <t>ZACAPU</t>
  </si>
  <si>
    <t>COLONIA ERENDIRA</t>
  </si>
  <si>
    <t>16ETK0029V</t>
  </si>
  <si>
    <t>TBC EL CENIDOR</t>
  </si>
  <si>
    <t>MUGICA</t>
  </si>
  <si>
    <t>EL CENIDOR</t>
  </si>
  <si>
    <t>16ETK0032I</t>
  </si>
  <si>
    <t>TELEBACHILLERATO COMUNITARIO LA CUESTITA</t>
  </si>
  <si>
    <t>LA CUESTITA</t>
  </si>
  <si>
    <t>16ETK0035F</t>
  </si>
  <si>
    <t>TELEBACHILLERATO COMUNITARIO LA IBERICA</t>
  </si>
  <si>
    <t>NUEVO URECHO</t>
  </si>
  <si>
    <t>LA IBERICA</t>
  </si>
  <si>
    <t>16ETK0040R</t>
  </si>
  <si>
    <t>TBC VALLE DE GPE</t>
  </si>
  <si>
    <t>TANGANCICUARO</t>
  </si>
  <si>
    <t>VALLE DE GPE</t>
  </si>
  <si>
    <t>16ETK0041Q</t>
  </si>
  <si>
    <t>TELEBACHILLERATO CONUNITARIO CENOBIO MORENO</t>
  </si>
  <si>
    <t>CENOBIO MORENO</t>
  </si>
  <si>
    <t>16ETV0002U</t>
  </si>
  <si>
    <t>TANGAXOAN II</t>
  </si>
  <si>
    <t>SANTIAGO CONGURIPO</t>
  </si>
  <si>
    <t>16ETV0012A</t>
  </si>
  <si>
    <t>CONOCIDO</t>
  </si>
  <si>
    <t>16ETV0020J</t>
  </si>
  <si>
    <t>ESCUELA TELESECUNDARIA ESTV16 020</t>
  </si>
  <si>
    <t>ABADIANO ALTO</t>
  </si>
  <si>
    <t>16ETV0026D</t>
  </si>
  <si>
    <t xml:space="preserve">TELESEC. ESTV16 026  JOSE MARIA MORELOS Y PAVON </t>
  </si>
  <si>
    <t>NUMARAN</t>
  </si>
  <si>
    <t>LA TEPUZA</t>
  </si>
  <si>
    <t>16ETV0028B</t>
  </si>
  <si>
    <t>GERTRUDIZ BOCANEGRA DEL LAZO DE LA VEGA</t>
  </si>
  <si>
    <t>PATZCUARO</t>
  </si>
  <si>
    <t>16ETV0030Q</t>
  </si>
  <si>
    <t>SAN JUAN DEL FUERTE</t>
  </si>
  <si>
    <t>16ETV0031P</t>
  </si>
  <si>
    <t xml:space="preserve">EL SIERVO DE LA NACION </t>
  </si>
  <si>
    <t>SAN ANDRES TZIRONDARO</t>
  </si>
  <si>
    <t>16ETV0034M</t>
  </si>
  <si>
    <t>16ETV0057X</t>
  </si>
  <si>
    <t>ESCUELA TELESECUNDARIA ESTV16 057</t>
  </si>
  <si>
    <t>16ETV0058W</t>
  </si>
  <si>
    <t>TELESECUNDARIA ESTV16 058</t>
  </si>
  <si>
    <t>16ETV0059V</t>
  </si>
  <si>
    <t>ESCUELA TELESECUNDARIA ESTV16 059</t>
  </si>
  <si>
    <t>16ETV0061J</t>
  </si>
  <si>
    <t>ESCUELA TELESECUNDARIA ESTV16 061</t>
  </si>
  <si>
    <t>ECUANDUREO</t>
  </si>
  <si>
    <t>16ETV0062I</t>
  </si>
  <si>
    <t>16ETV0066E</t>
  </si>
  <si>
    <t>ESCUELA TELSECUNDARIA ESTV16 066</t>
  </si>
  <si>
    <t>HUETAMO</t>
  </si>
  <si>
    <t>16ETV0073O</t>
  </si>
  <si>
    <t>J. JESUS ESCALERA ROMERO</t>
  </si>
  <si>
    <t>SANTIAGO UNDAMEO</t>
  </si>
  <si>
    <t>16ETV0077K</t>
  </si>
  <si>
    <t>ESCUELA TELESECUNDARIA ESTV16077</t>
  </si>
  <si>
    <t>IBERICA</t>
  </si>
  <si>
    <t>16ETV0078J</t>
  </si>
  <si>
    <t>ESTV16 078 20 DE NOVIEMBRE</t>
  </si>
  <si>
    <t>CANADA DE RAMIREZ</t>
  </si>
  <si>
    <t>16ETV0083V</t>
  </si>
  <si>
    <t>ESCUELA TELESECUNDARIA ESTV16 83</t>
  </si>
  <si>
    <t>ANCIHUACUARO</t>
  </si>
  <si>
    <t>16ETV0084U</t>
  </si>
  <si>
    <t>ESCUELA TELESECUNDARIA ESTV160084</t>
  </si>
  <si>
    <t>16ETV0085T</t>
  </si>
  <si>
    <t>ESCUELA TELESECUNDARIA ESTV16085</t>
  </si>
  <si>
    <t>PATAMBARILLO</t>
  </si>
  <si>
    <t>16ETV0087R</t>
  </si>
  <si>
    <t>TELESECUNDARIA IGNACIO ZARAGOZA</t>
  </si>
  <si>
    <t>SANTA FE DEL RIO</t>
  </si>
  <si>
    <t>16ETV0097Y</t>
  </si>
  <si>
    <t>ESCUELA TELESECUNDARIA ESTV16 097</t>
  </si>
  <si>
    <t>SALVADOR ESCALANTE</t>
  </si>
  <si>
    <t>ZIRAHUEN</t>
  </si>
  <si>
    <t>16ETV0102T</t>
  </si>
  <si>
    <t>ESCUELA TELESECUNDARIA</t>
  </si>
  <si>
    <t>UREN</t>
  </si>
  <si>
    <t>16ETV0104R</t>
  </si>
  <si>
    <t>ESTV16104</t>
  </si>
  <si>
    <t>16ETV0105Q</t>
  </si>
  <si>
    <t>TELESECUNDARIA 106Q</t>
  </si>
  <si>
    <t>GOMEZ FARIAS</t>
  </si>
  <si>
    <t>16ETV0106P</t>
  </si>
  <si>
    <t>ESCUELA TELESECUNDARIA 106P ICHAN</t>
  </si>
  <si>
    <t>ACUITZIO</t>
  </si>
  <si>
    <t>ICHAN</t>
  </si>
  <si>
    <t>16ETV0107O</t>
  </si>
  <si>
    <t>ESCUELA TELESECUNDARIA 16ETV0107O</t>
  </si>
  <si>
    <t>16ETV0114Y</t>
  </si>
  <si>
    <t>ESTV 16 114</t>
  </si>
  <si>
    <t>ANGAHUAN</t>
  </si>
  <si>
    <t>16ETV0115X</t>
  </si>
  <si>
    <t>ESCUELA TELESECUNDARIA ESTV16 115</t>
  </si>
  <si>
    <t>16ETV0123F</t>
  </si>
  <si>
    <t xml:space="preserve">SIERVO DE LA NACION </t>
  </si>
  <si>
    <t>ZINAPECUARO</t>
  </si>
  <si>
    <t>16ETV0125D</t>
  </si>
  <si>
    <t>HEROES DE CHAPULTEPEC</t>
  </si>
  <si>
    <t>16ETV0126C</t>
  </si>
  <si>
    <t>EUGENIO CERVANTES ANDRADE</t>
  </si>
  <si>
    <t>JOSE MARIA TAFOLLA</t>
  </si>
  <si>
    <t>16ETV0127B</t>
  </si>
  <si>
    <t>BENITO CANALES</t>
  </si>
  <si>
    <t>TRES MEZQUITES</t>
  </si>
  <si>
    <t>16ETV0129Z</t>
  </si>
  <si>
    <t>LEONA VICARIO</t>
  </si>
  <si>
    <t>ZINCIRO</t>
  </si>
  <si>
    <t>16ETV0130P</t>
  </si>
  <si>
    <t>ESCUELA TELESECUNDARIA ESTV130</t>
  </si>
  <si>
    <t>16ETV0131O</t>
  </si>
  <si>
    <t>ESCUELA TELESECUNDARIA ESTV16 131</t>
  </si>
  <si>
    <t>16ETV0133M</t>
  </si>
  <si>
    <t>ESCUELA TELESECUNDARIA 16ETV0133M</t>
  </si>
  <si>
    <t>16ETV0136J</t>
  </si>
  <si>
    <t>ESTV16 136</t>
  </si>
  <si>
    <t>EL ALCALDE</t>
  </si>
  <si>
    <t>16ETV0139G</t>
  </si>
  <si>
    <t>ESCUELA TELESECUNDARIA ESTV16139</t>
  </si>
  <si>
    <t>EL RECREO</t>
  </si>
  <si>
    <t>16ETV0147P</t>
  </si>
  <si>
    <t>45182</t>
  </si>
  <si>
    <t>COALCOMAN DE VAZQUEZ PALLARES</t>
  </si>
  <si>
    <t>TROJES</t>
  </si>
  <si>
    <t>16ETV0149N</t>
  </si>
  <si>
    <t>TELESECUNDARIA ESTV16149</t>
  </si>
  <si>
    <t>16ETV0152A</t>
  </si>
  <si>
    <t>ESCUELA TELESECUNDARIA ESTV16 152</t>
  </si>
  <si>
    <t xml:space="preserve">INSTALADO= Instalado, no operando, con reporte a mesa de ayuda
</t>
  </si>
  <si>
    <t>16ETV0154Z</t>
  </si>
  <si>
    <t>LUIS DONALDO COLOSIO MURRIETA</t>
  </si>
  <si>
    <t>16ETV0155Y</t>
  </si>
  <si>
    <t>ESTV16 155</t>
  </si>
  <si>
    <t>CUAMIO</t>
  </si>
  <si>
    <t>16ETV0160J</t>
  </si>
  <si>
    <t>45250</t>
  </si>
  <si>
    <t>HUIRAMBA</t>
  </si>
  <si>
    <t>TUPATARO</t>
  </si>
  <si>
    <t>16ETV0161I</t>
  </si>
  <si>
    <t>SAN MIGUEL NOCUTZEPO</t>
  </si>
  <si>
    <t>16ETV0167C</t>
  </si>
  <si>
    <t>ESCUELA TELESECUNDARIA ESTV16 167</t>
  </si>
  <si>
    <t>HUANIQUEO</t>
  </si>
  <si>
    <t>PUERTA DE JARIPITIRO</t>
  </si>
  <si>
    <t>16ETV0170Q</t>
  </si>
  <si>
    <t>INDAPARAPEO</t>
  </si>
  <si>
    <t>PLAN DE LAS PALMAS</t>
  </si>
  <si>
    <t>16ETV0178I</t>
  </si>
  <si>
    <t>ESTV16 178</t>
  </si>
  <si>
    <t>16ETV0179H</t>
  </si>
  <si>
    <t>CARLOS FUENTES</t>
  </si>
  <si>
    <t>LA CONCEPCION</t>
  </si>
  <si>
    <t>16ETV0180X</t>
  </si>
  <si>
    <t>16ETV0180</t>
  </si>
  <si>
    <t>16ETV0182V</t>
  </si>
  <si>
    <t>ESTV16 182</t>
  </si>
  <si>
    <t>EL RESUMIDEROS</t>
  </si>
  <si>
    <t>16ETV0183U</t>
  </si>
  <si>
    <t>ASTRONOMO MANUEL PEIMBERT SIERRA</t>
  </si>
  <si>
    <t>SAN JUANITO ITZICUARO</t>
  </si>
  <si>
    <t>16ETV0184T</t>
  </si>
  <si>
    <t>ESCUELA TELESECUNDARIA 184T</t>
  </si>
  <si>
    <t>TANHUATO</t>
  </si>
  <si>
    <t>LAS CIENEGUITAS</t>
  </si>
  <si>
    <t>16ETV0185S</t>
  </si>
  <si>
    <t>ESCUELA TELESECUNDARIA 185</t>
  </si>
  <si>
    <t>SAN NICOLAS DE OBISPO</t>
  </si>
  <si>
    <t>16ETV0187Q</t>
  </si>
  <si>
    <t>TOMAS RICO CANO</t>
  </si>
  <si>
    <t>16ETV0188P</t>
  </si>
  <si>
    <t>ESTV16 188</t>
  </si>
  <si>
    <t>16ETV0189O</t>
  </si>
  <si>
    <t>NUEVO CAPIRIO</t>
  </si>
  <si>
    <t>16ETV0190D</t>
  </si>
  <si>
    <t>ESTV16-190</t>
  </si>
  <si>
    <t>NAHUATZEN</t>
  </si>
  <si>
    <t>COMACHUEN</t>
  </si>
  <si>
    <t>16ETV0202S</t>
  </si>
  <si>
    <t>16ETV0204Q</t>
  </si>
  <si>
    <t>16ETV0207N</t>
  </si>
  <si>
    <t>VASCO DE QUIROGA</t>
  </si>
  <si>
    <t>16ETV0210A</t>
  </si>
  <si>
    <t>ESTV16210</t>
  </si>
  <si>
    <t>HUACAO</t>
  </si>
  <si>
    <t>16ETV0211Z</t>
  </si>
  <si>
    <t>ESCUELA TELESECUNDARIA ESTV16 211</t>
  </si>
  <si>
    <t>16ETV0212Z</t>
  </si>
  <si>
    <t>ESTV16212</t>
  </si>
  <si>
    <t>EL TORONJO</t>
  </si>
  <si>
    <t>16ETV0219S</t>
  </si>
  <si>
    <t>ESTV16219</t>
  </si>
  <si>
    <t>CONDEMBARO</t>
  </si>
  <si>
    <t>16ETV0222F</t>
  </si>
  <si>
    <t>JESUS ROMERO FLORES</t>
  </si>
  <si>
    <t>SAN PEDRO DE LOS SAUCES</t>
  </si>
  <si>
    <t>16ETV0225C</t>
  </si>
  <si>
    <t>RIO DE PARRAS OTZUMATLAN</t>
  </si>
  <si>
    <t>16ETV0230O</t>
  </si>
  <si>
    <t>CEIBAS DE TRUJILLO</t>
  </si>
  <si>
    <t>16ETV0235J</t>
  </si>
  <si>
    <t>ESC. TELESEC. IGNACIO ZARAGOZA</t>
  </si>
  <si>
    <t>16ETV0236I</t>
  </si>
  <si>
    <t>ESTV16-236</t>
  </si>
  <si>
    <t>CUTZATO</t>
  </si>
  <si>
    <t>16ETV0239F</t>
  </si>
  <si>
    <t>ESCUELA TELESECUNDARIA ESTV16 239</t>
  </si>
  <si>
    <t>ROMERO DE TORRES</t>
  </si>
  <si>
    <t>16ETV0240V</t>
  </si>
  <si>
    <t>ESCUELA TELESECUNDARIA ESTV16 240</t>
  </si>
  <si>
    <t>BAZTAN DEL COBRE</t>
  </si>
  <si>
    <t>16ETV0241U</t>
  </si>
  <si>
    <t>SAN BARTOLOME CORO</t>
  </si>
  <si>
    <t>16ETV0244R</t>
  </si>
  <si>
    <t>GIL BIRRETE VILLAFUERTE</t>
  </si>
  <si>
    <t>SAN MIGUEL TAIMEO</t>
  </si>
  <si>
    <t>16ETV0248N</t>
  </si>
  <si>
    <t>ESCUELA TELESECUNDARIA ESTV16 248</t>
  </si>
  <si>
    <t>TANGAMANDAPIO</t>
  </si>
  <si>
    <t>16ETV0249M</t>
  </si>
  <si>
    <t>ESTV16 249</t>
  </si>
  <si>
    <t>MESAS DE ENANDIO</t>
  </si>
  <si>
    <t>16ETV0252Z</t>
  </si>
  <si>
    <t>CORTIJO NUEVO</t>
  </si>
  <si>
    <t>16ETV0256W</t>
  </si>
  <si>
    <t>ESCUELA TELESECUNDARIA ESTV16256</t>
  </si>
  <si>
    <t>LOS OLIVOS</t>
  </si>
  <si>
    <t>16ETV0264E</t>
  </si>
  <si>
    <t>IRIMBO</t>
  </si>
  <si>
    <t>SAN LORENZO QUERENDARO</t>
  </si>
  <si>
    <t>16ETV0266C</t>
  </si>
  <si>
    <t>TLALPUJAHUA</t>
  </si>
  <si>
    <t>SAN JOSE DE GUADALUPE</t>
  </si>
  <si>
    <t>16ETV0269Z</t>
  </si>
  <si>
    <t>ESCUELA TELESECUNDARIA ESTV16 269</t>
  </si>
  <si>
    <t>16ETV0274L</t>
  </si>
  <si>
    <t>CUPARATARO</t>
  </si>
  <si>
    <t>16ETV0275K</t>
  </si>
  <si>
    <t>ESTV160275</t>
  </si>
  <si>
    <t>16ETV0278H</t>
  </si>
  <si>
    <t>ESTV16278</t>
  </si>
  <si>
    <t>ARIO</t>
  </si>
  <si>
    <t>LAS PUENTES</t>
  </si>
  <si>
    <t>16ETV0282U</t>
  </si>
  <si>
    <t>MARTIRES DE LA REFORMA</t>
  </si>
  <si>
    <t>TZINTZUNTZAN</t>
  </si>
  <si>
    <t>ISLA DE LAPACANDA</t>
  </si>
  <si>
    <t>16ETV0284S</t>
  </si>
  <si>
    <t>ESCUELA TELESECUNDARIA ESTV16284</t>
  </si>
  <si>
    <t>16ETV0287P</t>
  </si>
  <si>
    <t>ESCUELA TELESECUNDARIA 287P</t>
  </si>
  <si>
    <t>RIO GRANDE</t>
  </si>
  <si>
    <t>16ETV0295Y</t>
  </si>
  <si>
    <t>ESTV16295</t>
  </si>
  <si>
    <t>CHARAPAN</t>
  </si>
  <si>
    <t>OCUMICHO</t>
  </si>
  <si>
    <t>16ETV0298V</t>
  </si>
  <si>
    <t>TELESECUNDARIA ESTV16298</t>
  </si>
  <si>
    <t>QUINCEO</t>
  </si>
  <si>
    <t>16ETV0300T</t>
  </si>
  <si>
    <t>ESCUELA TELESECUNDARIA ESTV16 300</t>
  </si>
  <si>
    <t>CALZONTZIN</t>
  </si>
  <si>
    <t>16ETV0301S</t>
  </si>
  <si>
    <t>LAZARO CARDENAS  301</t>
  </si>
  <si>
    <t>ZIRACUARETIRO</t>
  </si>
  <si>
    <t>ZIRIMICUARO</t>
  </si>
  <si>
    <t>16ETV0304P</t>
  </si>
  <si>
    <t>ESTV16 304</t>
  </si>
  <si>
    <t>JUCUTACATO</t>
  </si>
  <si>
    <t>16ETV0305O</t>
  </si>
  <si>
    <t>ESTV16305</t>
  </si>
  <si>
    <t>JARDINES DE SAN RAFAEL</t>
  </si>
  <si>
    <t>16ETV0309K</t>
  </si>
  <si>
    <t>ZIPIMEO</t>
  </si>
  <si>
    <t>16ETV0311Z</t>
  </si>
  <si>
    <t>ESCUELA TELESECUNDARIA ESTV16311</t>
  </si>
  <si>
    <t>16ETV0321F</t>
  </si>
  <si>
    <t>MANZANILLOS</t>
  </si>
  <si>
    <t>16ETV0329Y</t>
  </si>
  <si>
    <t>PAREDONES</t>
  </si>
  <si>
    <t>16ETV0330N</t>
  </si>
  <si>
    <t>ESTV16330</t>
  </si>
  <si>
    <t>JUNGAPEO</t>
  </si>
  <si>
    <t>16ETV0334J</t>
  </si>
  <si>
    <t>ESCUELA TELESECUNDARIA ESTV16 334</t>
  </si>
  <si>
    <t>SAN ANTONIO CARUPO</t>
  </si>
  <si>
    <t>16ETV0336H</t>
  </si>
  <si>
    <t>ASTRONOMA SILVIA TORRES CASTILLEJA</t>
  </si>
  <si>
    <t>16ETV0340U</t>
  </si>
  <si>
    <t>ESCUELA TELESECUNDARIA ESTV16340</t>
  </si>
  <si>
    <t>SAHUAYO</t>
  </si>
  <si>
    <t>RINCON DE SAN ANDRES</t>
  </si>
  <si>
    <t>16ETV0346O</t>
  </si>
  <si>
    <t>TUXPAN</t>
  </si>
  <si>
    <t>PROVIDENCIA</t>
  </si>
  <si>
    <t>16ETV0349L</t>
  </si>
  <si>
    <t>16ETV0350A</t>
  </si>
  <si>
    <t>ESTV16350</t>
  </si>
  <si>
    <t>16ETV0352Z</t>
  </si>
  <si>
    <t>EL TROJE</t>
  </si>
  <si>
    <t>16ETV0361G</t>
  </si>
  <si>
    <t>ATOTONILCO</t>
  </si>
  <si>
    <t>16ETV0368Z</t>
  </si>
  <si>
    <t>ESC.TELESECUNDARIA 16ETV0 368</t>
  </si>
  <si>
    <t>ZOPOCO</t>
  </si>
  <si>
    <t>16ETV0373L</t>
  </si>
  <si>
    <t>EPITACIO HUERTA</t>
  </si>
  <si>
    <t>EL ASTILLERO (EL CARMEN ASTILLERO)</t>
  </si>
  <si>
    <t>16ETV0380V</t>
  </si>
  <si>
    <t>LOS COPALES</t>
  </si>
  <si>
    <t>16ETV0383S</t>
  </si>
  <si>
    <t>ESCUELA TELESECUNDARIA ESTV16383</t>
  </si>
  <si>
    <t>LOS POCITOS</t>
  </si>
  <si>
    <t>16ETV0388N</t>
  </si>
  <si>
    <t>ESC.TELESECUNDARIA ESTV16 388</t>
  </si>
  <si>
    <t>16ETV0390B</t>
  </si>
  <si>
    <t>16ETV0391A</t>
  </si>
  <si>
    <t>ESCUELA TELESECUNDARIA ESTV16 391</t>
  </si>
  <si>
    <t>MARCOS CASTELLANOS</t>
  </si>
  <si>
    <t>16ETV0393Z</t>
  </si>
  <si>
    <t>ESC. TELESECUNDARIA ESTV 393</t>
  </si>
  <si>
    <t>16ETV0396W</t>
  </si>
  <si>
    <t>DOMINGO GUZMAN GONZALEZ</t>
  </si>
  <si>
    <t>SAN NICOLAS TUMBASTATIRO</t>
  </si>
  <si>
    <t>16ETV0401R</t>
  </si>
  <si>
    <t>EL CEÑIDOR</t>
  </si>
  <si>
    <t>16ETV0404O</t>
  </si>
  <si>
    <t>LOS POZOS</t>
  </si>
  <si>
    <t>16ETV0405N</t>
  </si>
  <si>
    <t>SANTA JUANA</t>
  </si>
  <si>
    <t>16ETV0406M</t>
  </si>
  <si>
    <t>ESCUELA TELESECUNDARIA ESTV16 406</t>
  </si>
  <si>
    <t>CHAMACUERO</t>
  </si>
  <si>
    <t>16ETV0413W</t>
  </si>
  <si>
    <t>LOS HUCUARES</t>
  </si>
  <si>
    <t>16ETV0414V</t>
  </si>
  <si>
    <t>ING. PASCUAL ORTIZ RUBIO</t>
  </si>
  <si>
    <t>TACAMBARO</t>
  </si>
  <si>
    <t>COPITERO</t>
  </si>
  <si>
    <t>16ETV0416T</t>
  </si>
  <si>
    <t>ESTV0416</t>
  </si>
  <si>
    <t>OJO DE AGUA DE CHUPIO</t>
  </si>
  <si>
    <t>16ETV0423C</t>
  </si>
  <si>
    <t>ESCUELA TELESECUNDARIA ESTV16 423</t>
  </si>
  <si>
    <t>TEPALCATEPEC</t>
  </si>
  <si>
    <t>LOS AVILLOS</t>
  </si>
  <si>
    <t>16ETV0424B</t>
  </si>
  <si>
    <t>ESCUELA TELESECUNDARIA ESTV16 424</t>
  </si>
  <si>
    <t>SAN ISIDRO TECUILUCA</t>
  </si>
  <si>
    <t>16ETV0434I</t>
  </si>
  <si>
    <t>ESCUELA TELESECUNDARIA ESTV16 434</t>
  </si>
  <si>
    <t>16ETV0450Z</t>
  </si>
  <si>
    <t>ESCUELA TELESECUNDARIA ESTV16 450</t>
  </si>
  <si>
    <t>COLOLA</t>
  </si>
  <si>
    <t>16ETV0455V</t>
  </si>
  <si>
    <t>TELESECUNDARIA ESTV16 455</t>
  </si>
  <si>
    <t>COIRE</t>
  </si>
  <si>
    <t>16ETV0462E</t>
  </si>
  <si>
    <t>ESCUELA TELESECUNDARIA ESTV16 462</t>
  </si>
  <si>
    <t>CHUCUTITAN</t>
  </si>
  <si>
    <t>16ETV0468Z</t>
  </si>
  <si>
    <t>ESCUELA TELESECUNDARIA ESTV16 468</t>
  </si>
  <si>
    <t>TZIRITZICUARO</t>
  </si>
  <si>
    <t>16ETV0485P</t>
  </si>
  <si>
    <t>MAESTRO JUSTO SIERRA</t>
  </si>
  <si>
    <t>BELISARIO DOMINGUEZ</t>
  </si>
  <si>
    <t>16ETV0487N</t>
  </si>
  <si>
    <t>SANTIAGO ACAHUATO</t>
  </si>
  <si>
    <t>16ETV0489L</t>
  </si>
  <si>
    <t xml:space="preserve">LIC. ENRIQUE RAMIRZ MIGUEL </t>
  </si>
  <si>
    <t>PUERTO DE BUENAVISTA</t>
  </si>
  <si>
    <t>16ETV0490A</t>
  </si>
  <si>
    <t>ESC TELESECUNDARIA ESTV16 490</t>
  </si>
  <si>
    <t>CHARO</t>
  </si>
  <si>
    <t>LA ESCALERA</t>
  </si>
  <si>
    <t>16ETV0493Y</t>
  </si>
  <si>
    <t>16 ESTV 493</t>
  </si>
  <si>
    <t>TZURUMUTARO</t>
  </si>
  <si>
    <t>16ETV0496V</t>
  </si>
  <si>
    <t>JOSE MARIA LUIS MORA</t>
  </si>
  <si>
    <t>CORTIJO VIEJO</t>
  </si>
  <si>
    <t>16ETV0499S</t>
  </si>
  <si>
    <t>ESTV16 499</t>
  </si>
  <si>
    <t>16ETV0504N</t>
  </si>
  <si>
    <t>ESCUELA TELESECUNDARIA ESTV16 504</t>
  </si>
  <si>
    <t>JICALAN</t>
  </si>
  <si>
    <t>16ETV0516S</t>
  </si>
  <si>
    <t>16ETV-0516</t>
  </si>
  <si>
    <t>JOYITAS</t>
  </si>
  <si>
    <t>16ETV0517R</t>
  </si>
  <si>
    <t>HEROES DE LA INDEPENDENCIA</t>
  </si>
  <si>
    <t>LOMAS DEL DURAZNO</t>
  </si>
  <si>
    <t>16ETV0518Q</t>
  </si>
  <si>
    <t>16ETV0523B</t>
  </si>
  <si>
    <t>SANTA FE DE LA LAGUNA</t>
  </si>
  <si>
    <t>16ETV0530L</t>
  </si>
  <si>
    <t>ESTV16-0530</t>
  </si>
  <si>
    <t>EL CALVARIO</t>
  </si>
  <si>
    <t>16ETV0539C</t>
  </si>
  <si>
    <t>ESCUELA TELESECUNDARIA ESTV16 539</t>
  </si>
  <si>
    <t>LA PAROTA</t>
  </si>
  <si>
    <t>16ETV0543P</t>
  </si>
  <si>
    <t>ESCUELA TELESECUNDARIA 16ETV0534P</t>
  </si>
  <si>
    <t>EXHACIENDA DE GUADALUPE</t>
  </si>
  <si>
    <t>16ETV0545N</t>
  </si>
  <si>
    <t>16ETV0551Y</t>
  </si>
  <si>
    <t>PINAL GRANDE</t>
  </si>
  <si>
    <t>16ETV0553W</t>
  </si>
  <si>
    <t>AGUA VERDE</t>
  </si>
  <si>
    <t>16ETV0555U</t>
  </si>
  <si>
    <t>ESTV16555</t>
  </si>
  <si>
    <t>CHUCANDIRO</t>
  </si>
  <si>
    <t>EL SALITRE</t>
  </si>
  <si>
    <t>16ETV0558R</t>
  </si>
  <si>
    <t>CUAUTEMOC CARDENAS SOLORZANO</t>
  </si>
  <si>
    <t>60746 CUAUHTEMOC CARDENAS</t>
  </si>
  <si>
    <t>16ETV0560F</t>
  </si>
  <si>
    <t>ESTV16 560</t>
  </si>
  <si>
    <t>SAN JOSE DE CHUEN</t>
  </si>
  <si>
    <t>16ETV0572K</t>
  </si>
  <si>
    <t>JOSE RUBEN ROMERO</t>
  </si>
  <si>
    <t>SAN LUCAS PIO</t>
  </si>
  <si>
    <t>16ETV0573J</t>
  </si>
  <si>
    <t>FONTEZUELAS</t>
  </si>
  <si>
    <t>LAGUNILLAS</t>
  </si>
  <si>
    <t>16ETV0577F</t>
  </si>
  <si>
    <t>ESCUELA TELESECUNDARIA ESTV16 577</t>
  </si>
  <si>
    <t>PAJACUARAN</t>
  </si>
  <si>
    <t>EL PARACHO</t>
  </si>
  <si>
    <t>16ETV0578E</t>
  </si>
  <si>
    <t>CANACUCHO</t>
  </si>
  <si>
    <t>16ETV0592Y</t>
  </si>
  <si>
    <t>ESCUELA TELESECUNDARIA 592Y</t>
  </si>
  <si>
    <t>EL REFUGIO</t>
  </si>
  <si>
    <t>16ETV0595V</t>
  </si>
  <si>
    <t>ESTV16 595</t>
  </si>
  <si>
    <t>16ETV0597T</t>
  </si>
  <si>
    <t>TELESECUNDARIA ESTV16 597</t>
  </si>
  <si>
    <t>COLINAS DEL SUR</t>
  </si>
  <si>
    <t>16ETV0598S</t>
  </si>
  <si>
    <t>GERTRUDIS BOCANEGRA</t>
  </si>
  <si>
    <t>SAN FRANCISCO URICHO</t>
  </si>
  <si>
    <t>16ETV0607J</t>
  </si>
  <si>
    <t>ESTV16607 GERTRUDIS G. SANCHEZ</t>
  </si>
  <si>
    <t>16ETV0614T</t>
  </si>
  <si>
    <t>ESCUELA TELESECUNDARIA ESTV160614T</t>
  </si>
  <si>
    <t>APARICUARO</t>
  </si>
  <si>
    <t>16ETV0618P</t>
  </si>
  <si>
    <t>ESCUELA TELESECUNDARIA ESTV16618P</t>
  </si>
  <si>
    <t>16ETV0619O</t>
  </si>
  <si>
    <t>TELESECUNDARIA ESTV16 619</t>
  </si>
  <si>
    <t>16ETV0620D</t>
  </si>
  <si>
    <t>CARLOS MONSIVAIS</t>
  </si>
  <si>
    <t>LAS COLONIAS</t>
  </si>
  <si>
    <t>16ETV0627X</t>
  </si>
  <si>
    <t>ESCUELA TELESECUNDARIA ESTV16 627</t>
  </si>
  <si>
    <t>MIL CUMBRES</t>
  </si>
  <si>
    <t>16ETV0628W</t>
  </si>
  <si>
    <t>ESCUELA TELESECUNDARIA 20 DE NOVIEMBRE</t>
  </si>
  <si>
    <t>16ETV0634G</t>
  </si>
  <si>
    <t>ESCUELA TELESECUNDARIA ESTV16634</t>
  </si>
  <si>
    <t>EL MALACATE</t>
  </si>
  <si>
    <t>16ETV0635F</t>
  </si>
  <si>
    <t>SAN MIGUEL TAMACUARO</t>
  </si>
  <si>
    <t>16ETV0642P</t>
  </si>
  <si>
    <t>ESCUELA TELESECUNDARIA ESTV16 642</t>
  </si>
  <si>
    <t>HUANCITO</t>
  </si>
  <si>
    <t>16ETV0646L</t>
  </si>
  <si>
    <t>MARAVATIO</t>
  </si>
  <si>
    <t>EL GIGANTE</t>
  </si>
  <si>
    <t>16ETV0647K</t>
  </si>
  <si>
    <t>ESTV16 647</t>
  </si>
  <si>
    <t>CHAPA</t>
  </si>
  <si>
    <t>16ETV0653V</t>
  </si>
  <si>
    <t>ESTV16653V</t>
  </si>
  <si>
    <t>16ETV0656S</t>
  </si>
  <si>
    <t>16ETV0658Q</t>
  </si>
  <si>
    <t>JUAN JOSE CODALLOS</t>
  </si>
  <si>
    <t>SAN RAFAEL LEJIA</t>
  </si>
  <si>
    <t>16ETV0675G</t>
  </si>
  <si>
    <t>16ETV0678D</t>
  </si>
  <si>
    <t>16ETV0681R</t>
  </si>
  <si>
    <t>SAN GREGORIO</t>
  </si>
  <si>
    <t>16ETV0683P</t>
  </si>
  <si>
    <t>PINZANANGAPIO</t>
  </si>
  <si>
    <t>16ETV0697S</t>
  </si>
  <si>
    <t>ESCUELA TELESECUNDARIA ESTV16 697</t>
  </si>
  <si>
    <t>16ETV0698R</t>
  </si>
  <si>
    <t>ESTV16-0698</t>
  </si>
  <si>
    <t>EL LETRERO</t>
  </si>
  <si>
    <t>16ETV0701O</t>
  </si>
  <si>
    <t>LOS ALAMOS</t>
  </si>
  <si>
    <t>16ETV0707I</t>
  </si>
  <si>
    <t xml:space="preserve">ESC. TELE.  ESTV16 707 </t>
  </si>
  <si>
    <t>SANTA ANA DEL ARCO</t>
  </si>
  <si>
    <t>16ETV0718O</t>
  </si>
  <si>
    <t>ESCUELA TELESECUNDARIA ESTV16 718</t>
  </si>
  <si>
    <t>LA GOLETA</t>
  </si>
  <si>
    <t>16ETV0725Y</t>
  </si>
  <si>
    <t>ESCUELA TELESECUNDARIA ESTV16 725</t>
  </si>
  <si>
    <t>16ETV0731I</t>
  </si>
  <si>
    <t>TELESECUNDARIA ESTV16 731</t>
  </si>
  <si>
    <t>POMARO</t>
  </si>
  <si>
    <t>16ETV0732H</t>
  </si>
  <si>
    <t>44981</t>
  </si>
  <si>
    <t>EL FARO DE BUCERIAS</t>
  </si>
  <si>
    <t>16ETV0735E</t>
  </si>
  <si>
    <t>16ETV0738B</t>
  </si>
  <si>
    <t>NIÑOS HÑROES</t>
  </si>
  <si>
    <t>MADERO</t>
  </si>
  <si>
    <t>PLATANALILLO</t>
  </si>
  <si>
    <t>16ETV0747J</t>
  </si>
  <si>
    <t>16ETV0747</t>
  </si>
  <si>
    <t>CORO GRANDE</t>
  </si>
  <si>
    <t>16ETV0755S</t>
  </si>
  <si>
    <t>ESCUELA TELESECUNDARIA ESTV16755</t>
  </si>
  <si>
    <t>16ETV0766Y</t>
  </si>
  <si>
    <t>TELESECUNDARIA ESTV16 766</t>
  </si>
  <si>
    <t>SANTA MARIA URAPICHO</t>
  </si>
  <si>
    <t>16ETV0768W</t>
  </si>
  <si>
    <t>ESTV16-0768</t>
  </si>
  <si>
    <t>COPANDARO</t>
  </si>
  <si>
    <t>ARUMBARO</t>
  </si>
  <si>
    <t>16ETV0770K</t>
  </si>
  <si>
    <t>TACICUARO</t>
  </si>
  <si>
    <t>16ETV0771J</t>
  </si>
  <si>
    <t>EL ZAPOTE</t>
  </si>
  <si>
    <t>16ETV0772I</t>
  </si>
  <si>
    <t>TELESECUNDARIA 772 SOR JUANA INES DE LA CRUZ</t>
  </si>
  <si>
    <t>16ETV0776E</t>
  </si>
  <si>
    <t>ESCUELA TELESECUNDARIA ESTV16 776</t>
  </si>
  <si>
    <t>SAN BENITO</t>
  </si>
  <si>
    <t>16ETV0778C</t>
  </si>
  <si>
    <t>ESCUELA TELESECUNDARIA ESTV16 778</t>
  </si>
  <si>
    <t>SAN JOSE COAPA</t>
  </si>
  <si>
    <t>16ETV0782P</t>
  </si>
  <si>
    <t>ESTV16782</t>
  </si>
  <si>
    <t>LA COFRADIA</t>
  </si>
  <si>
    <t>16ETV0789I</t>
  </si>
  <si>
    <t>COINTZIO</t>
  </si>
  <si>
    <t>16ETV0790Y</t>
  </si>
  <si>
    <t>FRANCISCO J. MUGICA</t>
  </si>
  <si>
    <t>EL PORVENIR DE JESUS</t>
  </si>
  <si>
    <t>16ETV0792W</t>
  </si>
  <si>
    <t>ESCUELA TELESECUNDARIA ESTV16 792</t>
  </si>
  <si>
    <t>TINGAMBATO</t>
  </si>
  <si>
    <t>16ETV0802M</t>
  </si>
  <si>
    <t>LOS LLANOS</t>
  </si>
  <si>
    <t>16ETV0813S</t>
  </si>
  <si>
    <t>RIGOBERTA MENCHU TUM</t>
  </si>
  <si>
    <t>SAN JOSE NUEVO</t>
  </si>
  <si>
    <t>16ETV0836C</t>
  </si>
  <si>
    <t>ESCUELA TELESECUNDARIA ESTV16 836</t>
  </si>
  <si>
    <t>EL ARROYO COLORADO</t>
  </si>
  <si>
    <t>16ETV0839Z</t>
  </si>
  <si>
    <t>ESTV16839</t>
  </si>
  <si>
    <t>LAS MAJADAS</t>
  </si>
  <si>
    <t>16ETV0840P</t>
  </si>
  <si>
    <t>ESCUELA TELESECUNDARIA ESTV16 840</t>
  </si>
  <si>
    <t>BARRANCA SECA</t>
  </si>
  <si>
    <t>16ETV0842N</t>
  </si>
  <si>
    <t>ESTV16 842</t>
  </si>
  <si>
    <t>16ETV0858O</t>
  </si>
  <si>
    <t>ESCUELA TELESECUNDARIA 16ETV0858O</t>
  </si>
  <si>
    <t>ZACANDARO</t>
  </si>
  <si>
    <t>16ETV0861B</t>
  </si>
  <si>
    <t>ESCUELA TELESECUNDARIA 861B</t>
  </si>
  <si>
    <t>SAN ANTONIO TIERRAS BLANCAS</t>
  </si>
  <si>
    <t>16ETV0870J</t>
  </si>
  <si>
    <t>ESCUELA TELESECUNDARIA ESTV16870J</t>
  </si>
  <si>
    <t>LOS AILES</t>
  </si>
  <si>
    <t>16ETV0874F</t>
  </si>
  <si>
    <t>TELESECUNDARIA EXPERIMENTAL</t>
  </si>
  <si>
    <t>ARTEAGA</t>
  </si>
  <si>
    <t>16ETV0887J</t>
  </si>
  <si>
    <t>TELESECUNDARIA ESTV 16887</t>
  </si>
  <si>
    <t>RINCON DE NICOLAS ROMERO.</t>
  </si>
  <si>
    <t>16ETV0905I</t>
  </si>
  <si>
    <t>ESTV16905</t>
  </si>
  <si>
    <t>16ETV0908F</t>
  </si>
  <si>
    <t>ESCUELA TELESECUNDARIA ESTV16 908</t>
  </si>
  <si>
    <t>PINZANDARAN</t>
  </si>
  <si>
    <t>16ETV0912S</t>
  </si>
  <si>
    <t>ESTV16 912</t>
  </si>
  <si>
    <t>16ETV0916O</t>
  </si>
  <si>
    <t>ESC TELESECUNDARIA ESTV16 916</t>
  </si>
  <si>
    <t>JARIPEO</t>
  </si>
  <si>
    <t>16ETV0917N</t>
  </si>
  <si>
    <t>ESCUELA TELESECUNDARIA ESTV16 917</t>
  </si>
  <si>
    <t>FELIPE ZITZUN</t>
  </si>
  <si>
    <t>16ETV0929S</t>
  </si>
  <si>
    <t>ESCUELA TELESECUNDARIA ESTV16 929</t>
  </si>
  <si>
    <t>SANTO TOMAS</t>
  </si>
  <si>
    <t>16ETV0930H</t>
  </si>
  <si>
    <t>ESCUELA TELESECUNDARIA ESTV16930</t>
  </si>
  <si>
    <t>CIUDAD HIDALGO</t>
  </si>
  <si>
    <t>16ETV0932F</t>
  </si>
  <si>
    <t>ESTV0932</t>
  </si>
  <si>
    <t>HACIENDA DE GUADALUPE</t>
  </si>
  <si>
    <t>16ETV0940O</t>
  </si>
  <si>
    <t>ESCUELA TELESECUNDARIA EXPERIMENTAL MAESTRO JOSE V</t>
  </si>
  <si>
    <t>16ETV0943L</t>
  </si>
  <si>
    <t>ESTV16943</t>
  </si>
  <si>
    <t>DIVISION DEL NORTE</t>
  </si>
  <si>
    <t>16ETV0945J</t>
  </si>
  <si>
    <t>ESCUELA TELESECUNDARIA ESTV 945</t>
  </si>
  <si>
    <t>VALLE REAL</t>
  </si>
  <si>
    <t>16ETV0949F</t>
  </si>
  <si>
    <t>ESCUELA TELESECUNDARIA ESTV16 949</t>
  </si>
  <si>
    <t>MEZQUITE GORDO</t>
  </si>
  <si>
    <t>16ETV0950V</t>
  </si>
  <si>
    <t>ESTV16 950</t>
  </si>
  <si>
    <t>TEMENDAO</t>
  </si>
  <si>
    <t>16ETV0954R</t>
  </si>
  <si>
    <t>ESTV16954</t>
  </si>
  <si>
    <t>CHERATO</t>
  </si>
  <si>
    <t>16ETV0957O</t>
  </si>
  <si>
    <t>ESCUELA TELESECUNDARIA ESTV16 957</t>
  </si>
  <si>
    <t>LA SOLEDAD DE SANTA ANA</t>
  </si>
  <si>
    <t>16ETV0963Z</t>
  </si>
  <si>
    <t>ESCUELA TELESECUNDARIA 16ETV0963Z</t>
  </si>
  <si>
    <t>COLONIA SAN JAVIER XANAMORO</t>
  </si>
  <si>
    <t>16ETV0967V</t>
  </si>
  <si>
    <t>ESCUELA TELESECUNDARIA 967V</t>
  </si>
  <si>
    <t>16ETV0968U</t>
  </si>
  <si>
    <t>CORREGIDORA</t>
  </si>
  <si>
    <t>SAN JOSE DEL RODEO</t>
  </si>
  <si>
    <t>16ETV0972G</t>
  </si>
  <si>
    <t>CASA HOGAR VIVAN LOS NIÑOS</t>
  </si>
  <si>
    <t>FRACCIONAMIENTO ERANDENI</t>
  </si>
  <si>
    <t>16ETV0975D</t>
  </si>
  <si>
    <t>ESCUELA TELESECUNDARIA ESTV16 975</t>
  </si>
  <si>
    <t>FRAC. LOS ANGELES</t>
  </si>
  <si>
    <t>16ETV0976C</t>
  </si>
  <si>
    <t>ESCUELA TELESECUNDARIA ESTV16 976</t>
  </si>
  <si>
    <t>LA NUEVA ALDEA</t>
  </si>
  <si>
    <t>16ETV0978A</t>
  </si>
  <si>
    <t>ESCUELA TELESECUNDARIA ESTV16 978</t>
  </si>
  <si>
    <t>SAN BLAS</t>
  </si>
  <si>
    <t>la escuela no tiene servicio de energía, sin embargo se suministró de manera provisional para poder configurar y realizar el reporte, se mantendrá apagado hasta que conecten la energía.</t>
  </si>
  <si>
    <t>16ETV0981O</t>
  </si>
  <si>
    <t>ESCUELA TELESECUNDARIA ESTV16 981 GENERAL LAZARO C</t>
  </si>
  <si>
    <t>EL PARAISO</t>
  </si>
  <si>
    <t>16ETV0982N</t>
  </si>
  <si>
    <t>ESCUELA TELESECUNDARIA ESTV16 982</t>
  </si>
  <si>
    <t>19DTV0006O</t>
  </si>
  <si>
    <t>TELESECUNDARIA 6 PADRE MIER</t>
  </si>
  <si>
    <t>NUEVO LEON</t>
  </si>
  <si>
    <t>MIER Y NORIEGA</t>
  </si>
  <si>
    <t>CERROS BLANCOS</t>
  </si>
  <si>
    <t>19DTV0013Y</t>
  </si>
  <si>
    <t>HIMNO NACIONAL MEXICANO</t>
  </si>
  <si>
    <t>DR. ARROYO</t>
  </si>
  <si>
    <t>LA YERBA</t>
  </si>
  <si>
    <t>19DTV0015W</t>
  </si>
  <si>
    <t>DR.H.C. ABELARDO A LEAL LEAL</t>
  </si>
  <si>
    <t>CADEREYTA JIMENEZ</t>
  </si>
  <si>
    <t>SAN JUAN DE LOS GARZA</t>
  </si>
  <si>
    <t>19DTV0025C</t>
  </si>
  <si>
    <t>TELE SECUNDARIA RUFINO TAMAYO</t>
  </si>
  <si>
    <t>GRAL. ZARAGOZA</t>
  </si>
  <si>
    <t>19DTV0028Z</t>
  </si>
  <si>
    <t>LIC SALVADOR GARZA SALINAS</t>
  </si>
  <si>
    <t>ARBOLEDAS DE SAN ROQUE</t>
  </si>
  <si>
    <t>19DTV0030O</t>
  </si>
  <si>
    <t>PROFRA. PETRA GONZALEZ AVALOS</t>
  </si>
  <si>
    <t>PESQUERIA</t>
  </si>
  <si>
    <t>DULCES NOMBRES</t>
  </si>
  <si>
    <t>19DTV0031N</t>
  </si>
  <si>
    <t>TOMAS RANGEL RODRIGUEZ</t>
  </si>
  <si>
    <t>BOSQUES DE LA SILLA</t>
  </si>
  <si>
    <t>19DTV0033L</t>
  </si>
  <si>
    <t>TELESECUNDARIA 33 FRANCISCO MARQUEZ</t>
  </si>
  <si>
    <t>GUADALUPE</t>
  </si>
  <si>
    <t>19DTV0039F</t>
  </si>
  <si>
    <t>PROFESOR JESUS TREVIÑO GOMEZ</t>
  </si>
  <si>
    <t>LINARES</t>
  </si>
  <si>
    <t>EJIDO. HACIENDA DE GUADALUPE</t>
  </si>
  <si>
    <t>19DTV0043S</t>
  </si>
  <si>
    <t>MOISES SAENZ GARZA</t>
  </si>
  <si>
    <t>GARCIA</t>
  </si>
  <si>
    <t>HACIENDA SAN JOSE</t>
  </si>
  <si>
    <t>19DTV0044R</t>
  </si>
  <si>
    <t xml:space="preserve">PROFRA. CELIA RAMIREZ PUENTE </t>
  </si>
  <si>
    <t>VALLECILLO</t>
  </si>
  <si>
    <t>AQUILES SERDAN</t>
  </si>
  <si>
    <t>19DTV0050B</t>
  </si>
  <si>
    <t>GENARO SALINAS QUIROGA</t>
  </si>
  <si>
    <t>HACIENDA LOS GUZMAN</t>
  </si>
  <si>
    <t>19DTV0069Z</t>
  </si>
  <si>
    <t>JUVENTINO GONZALEZ BENAVIDES</t>
  </si>
  <si>
    <t>SAN JUAN DEL PRADO</t>
  </si>
  <si>
    <t>19DTV0078H</t>
  </si>
  <si>
    <t>TELESECUNDARIA CESAR ELPIDIO CANALES</t>
  </si>
  <si>
    <t>LOS RAMONES</t>
  </si>
  <si>
    <t>REPUEBLO DE ORIENTE</t>
  </si>
  <si>
    <t>19DTV0090C</t>
  </si>
  <si>
    <t>SILVESTRES REVUELTAS SANCHEZ</t>
  </si>
  <si>
    <t>MONTEMORELOS</t>
  </si>
  <si>
    <t>LAS RAICES</t>
  </si>
  <si>
    <t>19DTV0093Z</t>
  </si>
  <si>
    <t>PROFR. SANTOS ROGELIO VELAZQUEZ DE LEON</t>
  </si>
  <si>
    <t>ITURBIDE</t>
  </si>
  <si>
    <t>LOC. CUEVAS</t>
  </si>
  <si>
    <t>19DTV0096X</t>
  </si>
  <si>
    <t>FELIX COSME LAZCANO ELIZONDO</t>
  </si>
  <si>
    <t>PALMA GORDA</t>
  </si>
  <si>
    <t>19ETK0001M</t>
  </si>
  <si>
    <t>TELEBACHILLERATO COMUNITARIO DR COSS</t>
  </si>
  <si>
    <t>DR. COSS</t>
  </si>
  <si>
    <t>DOCTOR COSS</t>
  </si>
  <si>
    <t>19ETK0002L</t>
  </si>
  <si>
    <t>TBC LOS HERRERAS N L</t>
  </si>
  <si>
    <t>LOS HERRERAS</t>
  </si>
  <si>
    <t>19ETK0003K</t>
  </si>
  <si>
    <t>TELEBACHILLERATO COMUNITARIO REFUGIO DE CERROS BLA</t>
  </si>
  <si>
    <t>REFUGIO DE CERROS BLANCOS</t>
  </si>
  <si>
    <t>19ETK0006H</t>
  </si>
  <si>
    <t>SANTA MARIA DE RAMOS, GALEANA</t>
  </si>
  <si>
    <t>SANTA MARIA DE RAMOS</t>
  </si>
  <si>
    <t>19ETK0014Q</t>
  </si>
  <si>
    <t>TELEBACHILLERATO COMUNITARIO DE CERROS BLANCOS</t>
  </si>
  <si>
    <t>19ETK0015P</t>
  </si>
  <si>
    <t>TELEBACHILLERATO COMUNITARIO LAS PALOMAS</t>
  </si>
  <si>
    <t>LAS PALOMAS</t>
  </si>
  <si>
    <t>19ETK0025W</t>
  </si>
  <si>
    <t>TELEBACHILLERATO COMUNITARIO LA YERBA</t>
  </si>
  <si>
    <t>19ETK0031G</t>
  </si>
  <si>
    <t>SAN ISIDRO DE FERNANDEZ</t>
  </si>
  <si>
    <t>19ETK0041N</t>
  </si>
  <si>
    <t>19ETK0042M</t>
  </si>
  <si>
    <t>LOS ADOBES</t>
  </si>
  <si>
    <t>19ETK0043L</t>
  </si>
  <si>
    <t>TELEBACHILLERATO COMUNITARIO PABLILLO</t>
  </si>
  <si>
    <t>PABLILLO</t>
  </si>
  <si>
    <t>19ETK0048G</t>
  </si>
  <si>
    <t>SAN RAFAEL DE LOS MARTINEZ</t>
  </si>
  <si>
    <t>19ETK0049F</t>
  </si>
  <si>
    <t>CONGREGACION CALLES</t>
  </si>
  <si>
    <t>19ETK0050V</t>
  </si>
  <si>
    <t>LA CASCARA</t>
  </si>
  <si>
    <t>19ETK0053S</t>
  </si>
  <si>
    <t>LOS GUZMAN</t>
  </si>
  <si>
    <t>Visitado</t>
  </si>
  <si>
    <t>PENDIENTE LA INSTALACION DE ESTE EQUIPO YA QUE EN EL SITIO YA NO SE ENCUENTRA EL TELEBACHILLERATO.</t>
  </si>
  <si>
    <t>19ETK0055Q</t>
  </si>
  <si>
    <t>ARAMBERRI</t>
  </si>
  <si>
    <t>19ETK0056P</t>
  </si>
  <si>
    <t>SAN JUAN</t>
  </si>
  <si>
    <t>19ETK0059M</t>
  </si>
  <si>
    <t>TELEBACHILLERATO COMUNITARIO ALBERCONES</t>
  </si>
  <si>
    <t>ALBERCONES</t>
  </si>
  <si>
    <t>19ETK0060B</t>
  </si>
  <si>
    <t>PANALES DE ARRIBA</t>
  </si>
  <si>
    <t>19ETK0065X</t>
  </si>
  <si>
    <t>TELEBACHILLERATO COMUNITARIO GENERAL TREVINO</t>
  </si>
  <si>
    <t>GRAL. TREVIÑO</t>
  </si>
  <si>
    <t>GENERAL TREVINO</t>
  </si>
  <si>
    <t>19ETK0066W</t>
  </si>
  <si>
    <t>TELEBACHILLERATO COMUNITARIO HIGUERAS</t>
  </si>
  <si>
    <t>HIGUERAS</t>
  </si>
  <si>
    <t>19ETK0070I</t>
  </si>
  <si>
    <t>TELEBACHILLERATO MELCHOR OCAMPO NÑ70</t>
  </si>
  <si>
    <t>19ETK0072G</t>
  </si>
  <si>
    <t>TELEBACHILLERATO COMUNUTARIO DULCES NOMBRES</t>
  </si>
  <si>
    <t>19ETK0073F</t>
  </si>
  <si>
    <t>SANTA MARIA LA FLOREÑA</t>
  </si>
  <si>
    <t>19ETK0075D</t>
  </si>
  <si>
    <t>LOS COLORADOS DE ABAJO</t>
  </si>
  <si>
    <t>21DTV0002G</t>
  </si>
  <si>
    <t>PUEBLA</t>
  </si>
  <si>
    <t>HUEHUETLAN EL CHICO</t>
  </si>
  <si>
    <t>21DTV0003F</t>
  </si>
  <si>
    <t>SAN MATIAS TLALANCALECA</t>
  </si>
  <si>
    <t>TLALANCALECA</t>
  </si>
  <si>
    <t>21DTV0004E</t>
  </si>
  <si>
    <t>TELESECUNDARIA VICENTE SUAREZ</t>
  </si>
  <si>
    <t>HEROICA PUEBLA DE ZARAGOZA</t>
  </si>
  <si>
    <t>21DTV0005D</t>
  </si>
  <si>
    <t>TEPEYAHUALCO</t>
  </si>
  <si>
    <t>ALCHICHICA</t>
  </si>
  <si>
    <t>21DTV0008A</t>
  </si>
  <si>
    <t>SAN PABLO XOCHIMEHUACAN</t>
  </si>
  <si>
    <t>21DTV0011O</t>
  </si>
  <si>
    <t>SAN SALVADOR EL VERDE</t>
  </si>
  <si>
    <t>SAN LUCAS EL GRANDE</t>
  </si>
  <si>
    <t>21DTV0013M</t>
  </si>
  <si>
    <t>NICOLAS BRAVO</t>
  </si>
  <si>
    <t>PALMAR DE BRAVO</t>
  </si>
  <si>
    <t>21DTV0015K</t>
  </si>
  <si>
    <t>TELESECUNDARIA DIEGO RIVERA</t>
  </si>
  <si>
    <t>SAN MARTIN TEXMELUCAN</t>
  </si>
  <si>
    <t>SAN JUAN TUXCO</t>
  </si>
  <si>
    <t>21DTV0017I</t>
  </si>
  <si>
    <t>21DTV0026Q</t>
  </si>
  <si>
    <t>SAN MIGUEL XOXTLA</t>
  </si>
  <si>
    <t>21DTV0027P</t>
  </si>
  <si>
    <t>EMPERADOR CUAUHTEMOC</t>
  </si>
  <si>
    <t>CHIAUTZINGO</t>
  </si>
  <si>
    <t>21DTV0029N</t>
  </si>
  <si>
    <t>JUAN GOMEZ CAMACHO</t>
  </si>
  <si>
    <t>ZACAPALA</t>
  </si>
  <si>
    <t>21DTV0031B</t>
  </si>
  <si>
    <t>TLACHICHUCA</t>
  </si>
  <si>
    <t>21DTV0036X</t>
  </si>
  <si>
    <t>LICENCIADO SALVADOR ZAMUDIO</t>
  </si>
  <si>
    <t>21DTV0038V</t>
  </si>
  <si>
    <t>SANTO TOMAS CHAUTLA</t>
  </si>
  <si>
    <t>21DTV0043G</t>
  </si>
  <si>
    <t>RURAL 1970</t>
  </si>
  <si>
    <t>TLALTENANGO</t>
  </si>
  <si>
    <t>21DTV0045E</t>
  </si>
  <si>
    <t>TELESECUNDARIA DE NUEVA CREACION</t>
  </si>
  <si>
    <t>AMOZOC</t>
  </si>
  <si>
    <t>SAN JACINTO</t>
  </si>
  <si>
    <t>21DTV0046D</t>
  </si>
  <si>
    <t>SIN NOMBRE</t>
  </si>
  <si>
    <t>TEHUACAN</t>
  </si>
  <si>
    <t>SAN NICOLAS TETITZINTLA</t>
  </si>
  <si>
    <t>21DTV0050Q</t>
  </si>
  <si>
    <t>NIÑOS HEROES DE CHAPULTEPEC</t>
  </si>
  <si>
    <t>CHIETLA</t>
  </si>
  <si>
    <t>21DTV0053N</t>
  </si>
  <si>
    <t>LIC. GUSTAVO DIAZ ORDAZ</t>
  </si>
  <si>
    <t>SOLTEPEC</t>
  </si>
  <si>
    <t>SAN ANTONIO XICOTENCO</t>
  </si>
  <si>
    <t>21DTV0054M</t>
  </si>
  <si>
    <t>MARCO DE GANTE</t>
  </si>
  <si>
    <t>SAN PEDRO CHOLULA</t>
  </si>
  <si>
    <t>21DTV0056K</t>
  </si>
  <si>
    <t>CALPAN</t>
  </si>
  <si>
    <t>SAN ANDRES CALPAN</t>
  </si>
  <si>
    <t>21DTV0057J</t>
  </si>
  <si>
    <t>MAZAPILTEPEC DE JUAREZ</t>
  </si>
  <si>
    <t>21DTV0058I</t>
  </si>
  <si>
    <t>JUAN BLANCA ESPINOSA</t>
  </si>
  <si>
    <t>GRAL RAFAEL AVILA CAMACHO</t>
  </si>
  <si>
    <t>21DTV0062V</t>
  </si>
  <si>
    <t>ESCAPE DE LAGUNILLAS</t>
  </si>
  <si>
    <t>21DTV0065S</t>
  </si>
  <si>
    <t>IZUCAR DE MATAMOROS</t>
  </si>
  <si>
    <t>MATZACO</t>
  </si>
  <si>
    <t>21DTV0070D</t>
  </si>
  <si>
    <t>NOPALUCAN</t>
  </si>
  <si>
    <t>NOPALUCAN DE LA GRANJA</t>
  </si>
  <si>
    <t>21DTV0073A</t>
  </si>
  <si>
    <t>VICTOR HUGO</t>
  </si>
  <si>
    <t>SAN ANDRES CHOLULA</t>
  </si>
  <si>
    <t>21DTV0075Z</t>
  </si>
  <si>
    <t>CHAPULCO</t>
  </si>
  <si>
    <t>21DTV0082I</t>
  </si>
  <si>
    <t>TELESECUNDARIA 82</t>
  </si>
  <si>
    <t>21DTV0086E</t>
  </si>
  <si>
    <t>CORONANGO</t>
  </si>
  <si>
    <t>SAN ANTONIO MIHUACAN</t>
  </si>
  <si>
    <t>21DTV0102F</t>
  </si>
  <si>
    <t>SAN BALTAZAR TETELA</t>
  </si>
  <si>
    <t>21DTV0107A</t>
  </si>
  <si>
    <t>RODOLFO NERI VELA</t>
  </si>
  <si>
    <t>LIBRES</t>
  </si>
  <si>
    <t>21DTV0113L</t>
  </si>
  <si>
    <t>TEPEACA</t>
  </si>
  <si>
    <t>SAN BARTOLOME, HUEYAPAN</t>
  </si>
  <si>
    <t>21DTV0115J</t>
  </si>
  <si>
    <t>AGUSTIN MELGAR</t>
  </si>
  <si>
    <t>LOS REYES DE JUAREZ</t>
  </si>
  <si>
    <t>21DTV0118G</t>
  </si>
  <si>
    <t>3975</t>
  </si>
  <si>
    <t>LA MAGDALENA TLATLAUQUITEPEC</t>
  </si>
  <si>
    <t>21DTV0119F</t>
  </si>
  <si>
    <t>LA GALARZA</t>
  </si>
  <si>
    <t>21DTV0127O</t>
  </si>
  <si>
    <t>SAN JERONIMO XAYACATLAN</t>
  </si>
  <si>
    <t>21DTV0131A</t>
  </si>
  <si>
    <t>SAN FELIPE AYUTLA</t>
  </si>
  <si>
    <t>21DTV0133Z</t>
  </si>
  <si>
    <t>SANTA ISABEL CHOLULA</t>
  </si>
  <si>
    <t>SAN PABLO AHUATEMPAN</t>
  </si>
  <si>
    <t>21DTV0141H</t>
  </si>
  <si>
    <t>SAN MATIAS COCOYOTLA</t>
  </si>
  <si>
    <t>21DTV0149Z</t>
  </si>
  <si>
    <t>GABINO BARREDA</t>
  </si>
  <si>
    <t>21DTV0150P</t>
  </si>
  <si>
    <t>BARTOLO GARCIA AQUINO</t>
  </si>
  <si>
    <t>PIAXTLA</t>
  </si>
  <si>
    <t>SAN JOSE TETLA</t>
  </si>
  <si>
    <t>21DTV0152N</t>
  </si>
  <si>
    <t>HUAQUECHULA</t>
  </si>
  <si>
    <t>SAN DIEGO EL ORGANAL</t>
  </si>
  <si>
    <t>21DTV0153M</t>
  </si>
  <si>
    <t>EVARISTO VARGAS PEDRAZA</t>
  </si>
  <si>
    <t>EPATLAN</t>
  </si>
  <si>
    <t>SANTA ANA NECOXTLA</t>
  </si>
  <si>
    <t>21DTV0157I</t>
  </si>
  <si>
    <t>SAN PEDRO YELOIXTLAHUACA</t>
  </si>
  <si>
    <t>SAN JUAN LLAO GRANDE</t>
  </si>
  <si>
    <t>21DTV0163T</t>
  </si>
  <si>
    <t>21DTV0167P</t>
  </si>
  <si>
    <t>SAN ANTONIO CHILTEPEC</t>
  </si>
  <si>
    <t>21DTV0177W</t>
  </si>
  <si>
    <t>IXTACAMAXTITLAN</t>
  </si>
  <si>
    <t>CRUZ DE LEON</t>
  </si>
  <si>
    <t>21DTV0187C</t>
  </si>
  <si>
    <t>CHIGNAHUAPAN</t>
  </si>
  <si>
    <t>ACOLIHUIA</t>
  </si>
  <si>
    <t>21DTV0193N</t>
  </si>
  <si>
    <t>21DTV0200G</t>
  </si>
  <si>
    <t>JOSE MARIA BOCANEGRA</t>
  </si>
  <si>
    <t>EL LIMON</t>
  </si>
  <si>
    <t>21DTV0206A</t>
  </si>
  <si>
    <t>ANALCO DE PONCIANO ARRIAGA</t>
  </si>
  <si>
    <t>21DTV0207Z</t>
  </si>
  <si>
    <t>LA PURISIMA</t>
  </si>
  <si>
    <t>21DTV0219E</t>
  </si>
  <si>
    <t>21DTV0227N</t>
  </si>
  <si>
    <t>TELE SECUNDARIA NIÑOS HEROES</t>
  </si>
  <si>
    <t>TIANGUISMANALCO</t>
  </si>
  <si>
    <t>SAN FRANCISCO BUENAVISTA</t>
  </si>
  <si>
    <t>21DTV0236V</t>
  </si>
  <si>
    <t>EL ORGANAL</t>
  </si>
  <si>
    <t>21DTV0239S</t>
  </si>
  <si>
    <t>TEHUATZINGO</t>
  </si>
  <si>
    <t>21DTV0253L</t>
  </si>
  <si>
    <t>GRAL. EMILIANO ZAPATA</t>
  </si>
  <si>
    <t>SAN FELIPE TENEXTEPEC</t>
  </si>
  <si>
    <t>21DTV0256I</t>
  </si>
  <si>
    <t>ATEXCAL</t>
  </si>
  <si>
    <t>SAN LUCAS TETELETITLAN</t>
  </si>
  <si>
    <t>21DTV0269M</t>
  </si>
  <si>
    <t>SAN ANTONIO CAÑADA</t>
  </si>
  <si>
    <t>21DTV0280I</t>
  </si>
  <si>
    <t>ATENCINGO</t>
  </si>
  <si>
    <t>21DTV0287B</t>
  </si>
  <si>
    <t>AJALPAN</t>
  </si>
  <si>
    <t>CHICHICAPA</t>
  </si>
  <si>
    <t>21DTV0289Z</t>
  </si>
  <si>
    <t>SAN JOSE CUAUTOTOLAPAN</t>
  </si>
  <si>
    <t>21DTV0292N</t>
  </si>
  <si>
    <t>COLONIA FRANCISCO I. MADERO</t>
  </si>
  <si>
    <t>21DTV0302D</t>
  </si>
  <si>
    <t>21DTV0363R</t>
  </si>
  <si>
    <t>CAÑADA MORELOS</t>
  </si>
  <si>
    <t>TEZUAPAN</t>
  </si>
  <si>
    <t>21DTV0365P</t>
  </si>
  <si>
    <t>ATLIXCO</t>
  </si>
  <si>
    <t>21DTV0386B</t>
  </si>
  <si>
    <t>QUECHOLAC</t>
  </si>
  <si>
    <t>SAN JOSE TUZUAPAN</t>
  </si>
  <si>
    <t>21DTV0391N</t>
  </si>
  <si>
    <t>SAN JUAN HUILUCO</t>
  </si>
  <si>
    <t>21DTV0392M</t>
  </si>
  <si>
    <t>21DTV0413I</t>
  </si>
  <si>
    <t>ILAMACINGO</t>
  </si>
  <si>
    <t>21DTV0414H</t>
  </si>
  <si>
    <t>TULCINGO</t>
  </si>
  <si>
    <t>ZARAGOZA DE LA LUZ</t>
  </si>
  <si>
    <t>21DTV0416F</t>
  </si>
  <si>
    <t>COYOMEAPAN</t>
  </si>
  <si>
    <t>SAN JUAN CUAUTLA</t>
  </si>
  <si>
    <t>21DTV0427L</t>
  </si>
  <si>
    <t>CARMEN SERDAN</t>
  </si>
  <si>
    <t>JUAN UVERA</t>
  </si>
  <si>
    <t>21DTV0454I</t>
  </si>
  <si>
    <t>RICARDO REYES NIETO</t>
  </si>
  <si>
    <t>LAS NIEVES</t>
  </si>
  <si>
    <t>21DTV0455H</t>
  </si>
  <si>
    <t>TELESECUNDARIA POPOCATEPETL</t>
  </si>
  <si>
    <t>SAN GREGORIO AZTOTOACAN</t>
  </si>
  <si>
    <t>21DTV0456G</t>
  </si>
  <si>
    <t>SAN JOSE CORRAL BLANCO</t>
  </si>
  <si>
    <t>21DTV0465O</t>
  </si>
  <si>
    <t>COXCATLAN</t>
  </si>
  <si>
    <t>CHICHILTEPEC</t>
  </si>
  <si>
    <t>21DTV0473X</t>
  </si>
  <si>
    <t>MORELOS MATLALA</t>
  </si>
  <si>
    <t>21DTV0479R</t>
  </si>
  <si>
    <t>FUTURO DE MEXICO</t>
  </si>
  <si>
    <t>PETLALCINGO</t>
  </si>
  <si>
    <t>TEXCALAPA DE JUAREZ</t>
  </si>
  <si>
    <t>21DTV0480G</t>
  </si>
  <si>
    <t>MIGUEL ALEMAN</t>
  </si>
  <si>
    <t>MEXCALTOCHINTLA</t>
  </si>
  <si>
    <t>21DTV0485B</t>
  </si>
  <si>
    <t>TLACOTEPEC DE BENITO JUAREZ</t>
  </si>
  <si>
    <t>SAN JOSE BUENAVISTA</t>
  </si>
  <si>
    <t>21DTV0487Z</t>
  </si>
  <si>
    <t>PAZOLTEPEC</t>
  </si>
  <si>
    <t>21DTV0504Z</t>
  </si>
  <si>
    <t>IZCOATL</t>
  </si>
  <si>
    <t>TEPEYOLOC</t>
  </si>
  <si>
    <t>21DTV0518C</t>
  </si>
  <si>
    <t>JUAN C. BONILLA</t>
  </si>
  <si>
    <t>OMETOXTLA</t>
  </si>
  <si>
    <t>21DTV0527K</t>
  </si>
  <si>
    <t>SALVADOR DIAZ MIRON</t>
  </si>
  <si>
    <t>SAN JUAN OCOTEPEC</t>
  </si>
  <si>
    <t>21DTV0563P</t>
  </si>
  <si>
    <t>ANAWAK</t>
  </si>
  <si>
    <t>SANTIAGO MIAHUATLAN</t>
  </si>
  <si>
    <t>SAN ISIDRO VISTA HERMOSA</t>
  </si>
  <si>
    <t>21ETK0001A</t>
  </si>
  <si>
    <t>TELEBACHILLERATO COMUNITARIO   1</t>
  </si>
  <si>
    <t>SAN ANTONIO SOLEDAD</t>
  </si>
  <si>
    <t>Sin suministro eléctrico</t>
  </si>
  <si>
    <t>21ETK0002Z</t>
  </si>
  <si>
    <t>TELEBACHILLETARO COMUNITARIO 2</t>
  </si>
  <si>
    <t>SANTA CRUZ DEL BOSQUE</t>
  </si>
  <si>
    <t>21ETK0005X</t>
  </si>
  <si>
    <t>TELEBACHILLERATO COMUNITARIO   5</t>
  </si>
  <si>
    <t>21ETK0009T</t>
  </si>
  <si>
    <t>TELEBACHILLERATO COMUNITARIO  9</t>
  </si>
  <si>
    <t>SAN JUAN LA SABANA</t>
  </si>
  <si>
    <t>21ETK0010I</t>
  </si>
  <si>
    <t>TELEBACHILLERATO COMUNITARIO 10</t>
  </si>
  <si>
    <t>ATZITZINTLA</t>
  </si>
  <si>
    <t>GUADALUPE XOCHILOMA</t>
  </si>
  <si>
    <t>21ETK0012G</t>
  </si>
  <si>
    <t>TBC12</t>
  </si>
  <si>
    <t>CHALCHICOMULA DE SESMA</t>
  </si>
  <si>
    <t>SAN ISIDRO CANOAS ALTAS</t>
  </si>
  <si>
    <t>21ETK0024L</t>
  </si>
  <si>
    <t>TELEBACHILLERATO COMUNITARIO   24</t>
  </si>
  <si>
    <t>IXCAMILPA DE GUERRERO</t>
  </si>
  <si>
    <t>BUENAVISTA DE ZAPATA</t>
  </si>
  <si>
    <t>21ETK0030W</t>
  </si>
  <si>
    <t>TELEBACHILLERATO COMUNITARIO  30</t>
  </si>
  <si>
    <t>21ETK0034S</t>
  </si>
  <si>
    <t>TELEBACHILLERATO COMUNITARIO   34</t>
  </si>
  <si>
    <t>21ETK0035R</t>
  </si>
  <si>
    <t>TELEBACHILLERATO COMUNITARIO 35</t>
  </si>
  <si>
    <t>21ETK0040C</t>
  </si>
  <si>
    <t>TELEBACHILLERATO COMUNITARIO   40</t>
  </si>
  <si>
    <t>SAN GREGORIO ZACAPECHPAN</t>
  </si>
  <si>
    <t>21ETK0041B</t>
  </si>
  <si>
    <t>TELEBACHILLERATO COMUNITARIO   41</t>
  </si>
  <si>
    <t>SAN JUAN LLANO GRANDE</t>
  </si>
  <si>
    <t>21ETK0042A</t>
  </si>
  <si>
    <t>TELEBACHILLERATO COMUNITARIO  42</t>
  </si>
  <si>
    <t>SAN SALVADOR EL SECO</t>
  </si>
  <si>
    <t>PASO PUENTE SANTA ANA</t>
  </si>
  <si>
    <t>21ETK0045Y</t>
  </si>
  <si>
    <t>TELEBACHILLERATO COMUNITARIO NO 45</t>
  </si>
  <si>
    <t>SANTA MARIA COAPAN</t>
  </si>
  <si>
    <t>21ETK0047W</t>
  </si>
  <si>
    <t>TELEBACHILLERATO COMUNITARIO  47</t>
  </si>
  <si>
    <t>SAN JOSE LLANO GRANDE</t>
  </si>
  <si>
    <t>21ETK0048V</t>
  </si>
  <si>
    <t>TELEBACHILLERATO COMUNITARIO 48</t>
  </si>
  <si>
    <t>SAN MARCOS TLACOYALCO</t>
  </si>
  <si>
    <t>21ETK0051I</t>
  </si>
  <si>
    <t>TELEBACHILLERATO COMUNITARIO   51</t>
  </si>
  <si>
    <t>Tulcingo</t>
  </si>
  <si>
    <t>Guadalupe Victoria</t>
  </si>
  <si>
    <t>21ETK0062O</t>
  </si>
  <si>
    <t>TELEBACHILLERATO COMUNITARIO 62</t>
  </si>
  <si>
    <t>MONTE CHIQUITO</t>
  </si>
  <si>
    <t>21ETK0063N</t>
  </si>
  <si>
    <t>TELEBACHILLERATO COMUNITARIO 63</t>
  </si>
  <si>
    <t>SANTO DOMINGO ATOYATEMPAN</t>
  </si>
  <si>
    <t>21ETK0066K</t>
  </si>
  <si>
    <t>TELEBACHILLERATO COMUNITARIO  66</t>
  </si>
  <si>
    <t>21ETK0070X</t>
  </si>
  <si>
    <t>TELEBACHILLERATO COMUNITARIO NO 70</t>
  </si>
  <si>
    <t>SAN MIGUEL OCOTENCO</t>
  </si>
  <si>
    <t>21ETK0072V</t>
  </si>
  <si>
    <t>TELEBACHILLERATO COMUNITARIO 72</t>
  </si>
  <si>
    <t>21ETK0080D</t>
  </si>
  <si>
    <t>TELEBACHILLERATO COMUNITARIO   80</t>
  </si>
  <si>
    <t>OCOYUCAN</t>
  </si>
  <si>
    <t>SANTA MARTHA HIDALGO</t>
  </si>
  <si>
    <t>21ETK0081C</t>
  </si>
  <si>
    <t>TELEBACHILLERATO COMUNITARIO   81</t>
  </si>
  <si>
    <t>21ETK0085Z</t>
  </si>
  <si>
    <t>TELEBACHILLERATO COMUNITARIO 85</t>
  </si>
  <si>
    <t>ACAJETE</t>
  </si>
  <si>
    <t>21ETK0089V</t>
  </si>
  <si>
    <t>TELEBACHILLERATO COMUNITARIO 89</t>
  </si>
  <si>
    <t>SAN AGUSTIN CALVARIO</t>
  </si>
  <si>
    <t>21ETK0096E</t>
  </si>
  <si>
    <t>TELEBACHILLERATO COMUNITARIO NUMERO 96</t>
  </si>
  <si>
    <t>SANTA CRUZ TEGUIXPANGO</t>
  </si>
  <si>
    <t>21ETV0020V</t>
  </si>
  <si>
    <t>ADELA MARQUEZ DE MARTINEZ</t>
  </si>
  <si>
    <t>ACOCULCO</t>
  </si>
  <si>
    <t>21ETV0021U</t>
  </si>
  <si>
    <t>ROBERTO BOYLE</t>
  </si>
  <si>
    <t>CUAUTELOLULCO</t>
  </si>
  <si>
    <t>21ETV0035X</t>
  </si>
  <si>
    <t xml:space="preserve">TSE.  MIGUEL A. QUINTANA </t>
  </si>
  <si>
    <t>RINCONADA</t>
  </si>
  <si>
    <t>21ETV0048A</t>
  </si>
  <si>
    <t>MIGUEL RAMOS ARIZPE</t>
  </si>
  <si>
    <t>TEPANGO DE RODRIGUEZ</t>
  </si>
  <si>
    <t>21ETV0058H</t>
  </si>
  <si>
    <t>RAFAEL MORENO VALLE</t>
  </si>
  <si>
    <t>LA MAGDALENA</t>
  </si>
  <si>
    <t>21ETV0060W</t>
  </si>
  <si>
    <t>HERMENEGILDO GALEANA</t>
  </si>
  <si>
    <t>ATEXQUILLA CUAPAZOLA</t>
  </si>
  <si>
    <t>21ETV0065R</t>
  </si>
  <si>
    <t>PLUTARCO ELIAS CALLES</t>
  </si>
  <si>
    <t>LA SABANA</t>
  </si>
  <si>
    <t>21ETV0077W</t>
  </si>
  <si>
    <t>JOSE LUIS RODRIGUEZ ALCONEDO</t>
  </si>
  <si>
    <t>SAN JERONIMO COYULA</t>
  </si>
  <si>
    <t>21ETV0079U</t>
  </si>
  <si>
    <t>IGNACIO ALLENDE</t>
  </si>
  <si>
    <t>SAN PEDRO BENITO JUAREZ</t>
  </si>
  <si>
    <t>21ETV0087C</t>
  </si>
  <si>
    <t>JOAQUIN HARO TAMARIZ</t>
  </si>
  <si>
    <t>SAN LUCAS ATZALA</t>
  </si>
  <si>
    <t>21ETV0090Q</t>
  </si>
  <si>
    <t>FRANCISCO PAZ</t>
  </si>
  <si>
    <t>SAN MARTIN ZOQUIAPAN</t>
  </si>
  <si>
    <t>21ETV0092O</t>
  </si>
  <si>
    <t>TELESECUNDARIA FRANCISCO ALATORRE</t>
  </si>
  <si>
    <t>CUAUTLANCINGO</t>
  </si>
  <si>
    <t>SANCTORUM</t>
  </si>
  <si>
    <t>21ETV0094M</t>
  </si>
  <si>
    <t>CARMEN SERDAN ALATRISTE</t>
  </si>
  <si>
    <t>SAN LORENZO ALMECATLA</t>
  </si>
  <si>
    <t>21ETV0097J</t>
  </si>
  <si>
    <t>TELESECUNDARIA ESTATAL LEONARDO VARGAS MACHADO</t>
  </si>
  <si>
    <t>21ETV0104C</t>
  </si>
  <si>
    <t>DOMINGO ARENAS</t>
  </si>
  <si>
    <t>21ETV0110N</t>
  </si>
  <si>
    <t>JOHN DALTON</t>
  </si>
  <si>
    <t>HUEJOTZINGO</t>
  </si>
  <si>
    <t>SAN MIGUEL TIANGUIZOLCO</t>
  </si>
  <si>
    <t>21ETV0113K</t>
  </si>
  <si>
    <t>DONATO BRAVO IZQUIERDO</t>
  </si>
  <si>
    <t>SAN MATEO CUANALA</t>
  </si>
  <si>
    <t>21ETV0117G</t>
  </si>
  <si>
    <t>JUAN N NAVARRO</t>
  </si>
  <si>
    <t>SANTA CLARA OCOYUCAN</t>
  </si>
  <si>
    <t>21ETV0119E</t>
  </si>
  <si>
    <t>JOSE MIJARES PALENCIA</t>
  </si>
  <si>
    <t>SANTA MARIA MALACATEPEC</t>
  </si>
  <si>
    <t>21ETV0121T</t>
  </si>
  <si>
    <t>RAFAEL AVILA CAMACHO</t>
  </si>
  <si>
    <t>SAN BERNABE TEMOXTITLA</t>
  </si>
  <si>
    <t>21ETV0122S</t>
  </si>
  <si>
    <t>GUILLERMO JIMENEZ MORALES</t>
  </si>
  <si>
    <t>21ETV0123R</t>
  </si>
  <si>
    <t>AQUILES SERDAN ALATRISTE</t>
  </si>
  <si>
    <t>SAN SEBASTIAN DE APARICIO</t>
  </si>
  <si>
    <t>21ETV0125P</t>
  </si>
  <si>
    <t>JOAQUIN RUANOVA</t>
  </si>
  <si>
    <t>SAN JERONIMO CALERAS</t>
  </si>
  <si>
    <t>21ETV0127N</t>
  </si>
  <si>
    <t>MARINO ARISTA</t>
  </si>
  <si>
    <t>SAN MIGUEL ESPEJO</t>
  </si>
  <si>
    <t>21ETV0129L</t>
  </si>
  <si>
    <t>JOSE MARIA PINO SUAREZ</t>
  </si>
  <si>
    <t>POPULAR EMILIANO ZAPATA</t>
  </si>
  <si>
    <t>21ETV0131Z</t>
  </si>
  <si>
    <t>TOMAS ALVA EDISON</t>
  </si>
  <si>
    <t>SAN FRANCISCO ACATEPEC</t>
  </si>
  <si>
    <t>21ETV0133Y</t>
  </si>
  <si>
    <t>SAN ANTONIO CACALOTEPEC</t>
  </si>
  <si>
    <t>21ETV0136V</t>
  </si>
  <si>
    <t>MAXIMO SERDAN ALATRISTE</t>
  </si>
  <si>
    <t>SAN RAFAEL COMAC</t>
  </si>
  <si>
    <t>21ETV0141G</t>
  </si>
  <si>
    <t>GUILLERMO PRIETO</t>
  </si>
  <si>
    <t>SAN GREGORIO ATZOMPA</t>
  </si>
  <si>
    <t>21ETV0143E</t>
  </si>
  <si>
    <t>MANUEL M. FLORES</t>
  </si>
  <si>
    <t>SAN CRISTOBAL TEPATLAXCO</t>
  </si>
  <si>
    <t>21ETV0150O</t>
  </si>
  <si>
    <t>MANUEL TOLSA</t>
  </si>
  <si>
    <t>SAN MARTIN ATEXCAL</t>
  </si>
  <si>
    <t>21ETV0151N</t>
  </si>
  <si>
    <t>LUIS G. URBINA</t>
  </si>
  <si>
    <t>SAN COSME TEXINTLA</t>
  </si>
  <si>
    <t>21ETV0153L</t>
  </si>
  <si>
    <t>JUAN DE DIOS ARIAS</t>
  </si>
  <si>
    <t>SANTA CATARINA TEHUIXTLA</t>
  </si>
  <si>
    <t>21ETV0154K</t>
  </si>
  <si>
    <t>TELESECUNDARIA PROFESOR JESUS LEONARDO GARCIA</t>
  </si>
  <si>
    <t>SAN JUAN TLAUTLA</t>
  </si>
  <si>
    <t>21ETV0156I</t>
  </si>
  <si>
    <t>ALFREDO TOXQUI FERNANDEZ DE LARA</t>
  </si>
  <si>
    <t>21ETV0157H</t>
  </si>
  <si>
    <t>JUAN GUTEMBERG</t>
  </si>
  <si>
    <t>CALTEPEC</t>
  </si>
  <si>
    <t>21ETV0160V</t>
  </si>
  <si>
    <t>ABRAHAM GONZALEZ</t>
  </si>
  <si>
    <t>ACATEPEC</t>
  </si>
  <si>
    <t>21ETV0162T</t>
  </si>
  <si>
    <t>JOSE CASIMIRO LICEAGA</t>
  </si>
  <si>
    <t>SAN LUIS ATOLOTITLAN</t>
  </si>
  <si>
    <t>21ETV0178U</t>
  </si>
  <si>
    <t>SENECA</t>
  </si>
  <si>
    <t>SANTO TOMAS HUEYOTLIPAN</t>
  </si>
  <si>
    <t>21ETV0182G</t>
  </si>
  <si>
    <t>TELESECUNDARIA JOSE MARIAMICHELENA</t>
  </si>
  <si>
    <t>TECAMACHALCO</t>
  </si>
  <si>
    <t>SAN ANTONIO LA PORTILLA</t>
  </si>
  <si>
    <t>21ETV0183F</t>
  </si>
  <si>
    <t>PEDRO MARIA ANAYA</t>
  </si>
  <si>
    <t>BARRIO DE SAN JUAN BAUTISTA</t>
  </si>
  <si>
    <t>21ETV0184E</t>
  </si>
  <si>
    <t>JEAN PIAGET</t>
  </si>
  <si>
    <t>SAN MATEO TLAIXPAN</t>
  </si>
  <si>
    <t>21ETV0186C</t>
  </si>
  <si>
    <t>SALVADOR ALLENDE</t>
  </si>
  <si>
    <t>21ETV0187B</t>
  </si>
  <si>
    <t>SANTAGO ALSESECA</t>
  </si>
  <si>
    <t>21ETV0192N</t>
  </si>
  <si>
    <t>LOPE DE VEGA</t>
  </si>
  <si>
    <t>21ETV0198H</t>
  </si>
  <si>
    <t>JUAN DE PALAFOX Y MENDOZA</t>
  </si>
  <si>
    <t>21ETV0200F</t>
  </si>
  <si>
    <t>CUESTA BLANCA</t>
  </si>
  <si>
    <t>21ETV0202D</t>
  </si>
  <si>
    <t>ENRIQUE CORDERO Y TORRES</t>
  </si>
  <si>
    <t>SAN MIGUEL XALTEPEC</t>
  </si>
  <si>
    <t>21ETV0209X</t>
  </si>
  <si>
    <t>JOSE SEVILLA SERDAN</t>
  </si>
  <si>
    <t>LA VILLITA</t>
  </si>
  <si>
    <t>21ETV0210M</t>
  </si>
  <si>
    <t>CADETE FRANCISCO MARQUEZ</t>
  </si>
  <si>
    <t>21ETV0211L</t>
  </si>
  <si>
    <t>ISAAC OCHOTERENA</t>
  </si>
  <si>
    <t>21ETV0215H</t>
  </si>
  <si>
    <t>JULIO VERNE</t>
  </si>
  <si>
    <t>SAN DIEGO CHALMA</t>
  </si>
  <si>
    <t>21ETV0216G</t>
  </si>
  <si>
    <t>GILBERTO VALENZUELA VERA</t>
  </si>
  <si>
    <t>21ETV0217F</t>
  </si>
  <si>
    <t>JUAN SEBASTIAN BACH</t>
  </si>
  <si>
    <t>TEHUCAN</t>
  </si>
  <si>
    <t>21ETV0218E</t>
  </si>
  <si>
    <t>PITAGORAS</t>
  </si>
  <si>
    <t>SANTA ANA TELOXTOC</t>
  </si>
  <si>
    <t>21ETV0220T</t>
  </si>
  <si>
    <t>ANTONIO LEON Y GAMA</t>
  </si>
  <si>
    <t>SANTA CRUZ ACAPA</t>
  </si>
  <si>
    <t>21ETV0221S</t>
  </si>
  <si>
    <t>MANUEL DE MIER Y TERAN</t>
  </si>
  <si>
    <t>21ETV0222R</t>
  </si>
  <si>
    <t>CHARLES DE GAULLE</t>
  </si>
  <si>
    <t>SAN LORENZO TEOTIPILCO</t>
  </si>
  <si>
    <t>21ETV0223Q</t>
  </si>
  <si>
    <t>FRANCISCO JAVIER DE GOYA</t>
  </si>
  <si>
    <t>TEPANCO DE LOPEZ</t>
  </si>
  <si>
    <t>FRANCISCO I.MADERO</t>
  </si>
  <si>
    <t>21ETV0224P</t>
  </si>
  <si>
    <t>VIDAL ALCOCER</t>
  </si>
  <si>
    <t>SAN ANDRES CACALOAPAN</t>
  </si>
  <si>
    <t>21ETV0225O</t>
  </si>
  <si>
    <t>PEDRO PACHECO ZARATE</t>
  </si>
  <si>
    <t>SAN BARTOLO TEONTEPEC</t>
  </si>
  <si>
    <t>21ETV0235V</t>
  </si>
  <si>
    <t>CUAUTINCHAN</t>
  </si>
  <si>
    <t>SAN PEDRO ALPATLAHUAC</t>
  </si>
  <si>
    <t>21ETV0239R</t>
  </si>
  <si>
    <t>MARIA MONTESSORI</t>
  </si>
  <si>
    <t>SANTA MARIA LA ALTA</t>
  </si>
  <si>
    <t>21ETV0242E</t>
  </si>
  <si>
    <t>JUAN DE DIOS PEZA</t>
  </si>
  <si>
    <t>TOCHTEPEC</t>
  </si>
  <si>
    <t>SAN LORENZO OMETEPEC</t>
  </si>
  <si>
    <t>21ETV0243D</t>
  </si>
  <si>
    <t>TELESECUNDARIA JOSEFA ORTIZ DE DOMINGUEZ</t>
  </si>
  <si>
    <t>SAN MARTIN CALTENCO</t>
  </si>
  <si>
    <t>21ETV0246A</t>
  </si>
  <si>
    <t>EMILIO VON BEHRING</t>
  </si>
  <si>
    <t>YEHUALTEPEC</t>
  </si>
  <si>
    <t>YAHUALTEPEC</t>
  </si>
  <si>
    <t>21ETV0247Z</t>
  </si>
  <si>
    <t>ANTONIO JOSE DE SUCRE</t>
  </si>
  <si>
    <t>SAN GABRIEL TETZOYOCAN</t>
  </si>
  <si>
    <t>21ETV0253K</t>
  </si>
  <si>
    <t>MANUEL C. TELLO</t>
  </si>
  <si>
    <t>ZAPOTITLAN</t>
  </si>
  <si>
    <t>SAN PEDRO ATZUMBA</t>
  </si>
  <si>
    <t>21ETV0256H</t>
  </si>
  <si>
    <t>JOAQUIN AMARO</t>
  </si>
  <si>
    <t>SAN AGUSTN TLAXCO</t>
  </si>
  <si>
    <t>21ETV0263R</t>
  </si>
  <si>
    <t>RODOLFO SANCHEZ TABOADA</t>
  </si>
  <si>
    <t>SAN SEBASTIAN VILLANUEVA</t>
  </si>
  <si>
    <t>21ETV0267N</t>
  </si>
  <si>
    <t>MARGARITA LOPEZ PORTILLO</t>
  </si>
  <si>
    <t>BARRIO DE CAPULAC</t>
  </si>
  <si>
    <t>21ETV0271Z</t>
  </si>
  <si>
    <t>JOSE LOPEZ PORTILLO WEBER</t>
  </si>
  <si>
    <t>CUAPIAXTLA DE MADERO</t>
  </si>
  <si>
    <t>21ETV0272Z</t>
  </si>
  <si>
    <t>21ETV0273Y</t>
  </si>
  <si>
    <t>GUSTAVO ADOLFO BECQUER</t>
  </si>
  <si>
    <t>21ETV0282F</t>
  </si>
  <si>
    <t>MIGUEL ANGEL BOUNARROTI</t>
  </si>
  <si>
    <t>LOS RICARDOS</t>
  </si>
  <si>
    <t>21ETV0283E</t>
  </si>
  <si>
    <t>DIMITRI MENDELEEV</t>
  </si>
  <si>
    <t>SAN FRANCISCO CUAUTLANCINGO</t>
  </si>
  <si>
    <t>21ETV0284D</t>
  </si>
  <si>
    <t>CARLOS A.CARRILLO</t>
  </si>
  <si>
    <t>21ETV0285C</t>
  </si>
  <si>
    <t>SANTA MARIA TECHACHALCO</t>
  </si>
  <si>
    <t>21ETV0297H</t>
  </si>
  <si>
    <t>JOAQUIN GARCIA ICAZBALCETA</t>
  </si>
  <si>
    <t>SANTA URSULA CHICONQUIAC</t>
  </si>
  <si>
    <t>21ETV0309W</t>
  </si>
  <si>
    <t>MIGUEL DE UNAMUNO</t>
  </si>
  <si>
    <t>EL PROGRESO</t>
  </si>
  <si>
    <t>21ETV0314H</t>
  </si>
  <si>
    <t xml:space="preserve">CARLOS PELLICER  </t>
  </si>
  <si>
    <t>ORIENTAL</t>
  </si>
  <si>
    <t>21ETV0316F</t>
  </si>
  <si>
    <t>IGNACIO ROMERO VARGAS</t>
  </si>
  <si>
    <t>21ETV0320S</t>
  </si>
  <si>
    <t>RAFAEL LARA GRAJALES</t>
  </si>
  <si>
    <t>MAXIMO SERDAN</t>
  </si>
  <si>
    <t>21ETV0321R</t>
  </si>
  <si>
    <t>JOSE MARIA IGLESIAS</t>
  </si>
  <si>
    <t>21ETV0322Q</t>
  </si>
  <si>
    <t>CARLOS A MADRAZO</t>
  </si>
  <si>
    <t>BUENAVISTA DE JUAREZ</t>
  </si>
  <si>
    <t>21ETV0329J</t>
  </si>
  <si>
    <t>EMILIO PORTES GIL</t>
  </si>
  <si>
    <t>SAN NICOLAS BUENOS AIRES</t>
  </si>
  <si>
    <t>21ETV0331Y</t>
  </si>
  <si>
    <t>MIGUEL SERVET</t>
  </si>
  <si>
    <t>21ETV0349X</t>
  </si>
  <si>
    <t>SANTIAGO ACATLAN</t>
  </si>
  <si>
    <t>21ETV0355H</t>
  </si>
  <si>
    <t>EL FUERTE LA UNION</t>
  </si>
  <si>
    <t>21ETV0362R</t>
  </si>
  <si>
    <t>UNIDAD DEPORTIVA</t>
  </si>
  <si>
    <t>21ETV0363Q</t>
  </si>
  <si>
    <t>JOSE ORTEGA Y GASSET</t>
  </si>
  <si>
    <t>COHETZALA</t>
  </si>
  <si>
    <t>SANTA MARIA COHETZALA</t>
  </si>
  <si>
    <t>21ETV0366N</t>
  </si>
  <si>
    <t>FILIBERTO QUIROZ</t>
  </si>
  <si>
    <t>21ETV0370Z</t>
  </si>
  <si>
    <t>NEIL ARMSTRONG</t>
  </si>
  <si>
    <t>21ETV0378S</t>
  </si>
  <si>
    <t>ALBERTO GARCIA GRANADOS</t>
  </si>
  <si>
    <t>PILCAYA</t>
  </si>
  <si>
    <t>21ETV0381F</t>
  </si>
  <si>
    <t>FEDOR DOSTOIEVSKI</t>
  </si>
  <si>
    <t>SAN MIGUEL EJIDO</t>
  </si>
  <si>
    <t>21ETV0384C</t>
  </si>
  <si>
    <t>21ETV0385B</t>
  </si>
  <si>
    <t>GONZALO BAUTISTA CASTILLO</t>
  </si>
  <si>
    <t>TLANCUALPICAN</t>
  </si>
  <si>
    <t>21ETV0386A</t>
  </si>
  <si>
    <t>MARIANO AZUETA</t>
  </si>
  <si>
    <t>BUENAVISTA DE BENITO JUAREZ</t>
  </si>
  <si>
    <t>21ETV0387Z</t>
  </si>
  <si>
    <t>ARQUIMEDES</t>
  </si>
  <si>
    <t>21ETV0390N</t>
  </si>
  <si>
    <t>MIGUEL CASTULO DE ALATRISTE</t>
  </si>
  <si>
    <t>SAN MIGUEL LAS MINAS</t>
  </si>
  <si>
    <t>21ETV0392L</t>
  </si>
  <si>
    <t>JUANA INES DE LA CRUZ</t>
  </si>
  <si>
    <t>PUCTLA</t>
  </si>
  <si>
    <t>21ETV0397G</t>
  </si>
  <si>
    <t>FRANCISCO IBARRA RAMOS</t>
  </si>
  <si>
    <t>CHILA</t>
  </si>
  <si>
    <t>21ETV0399E</t>
  </si>
  <si>
    <t>CHILA DE LA SAL</t>
  </si>
  <si>
    <t>21ETV0400D</t>
  </si>
  <si>
    <t>TEODORO HERNANDEZ</t>
  </si>
  <si>
    <t>SAN PEDRO OCOTLAN</t>
  </si>
  <si>
    <t>21ETV0402B</t>
  </si>
  <si>
    <t>ABRAHAM CASTELLANOS</t>
  </si>
  <si>
    <t>CHINANTLA</t>
  </si>
  <si>
    <t>21ETV0405Z</t>
  </si>
  <si>
    <t>ALASIO PEREZ</t>
  </si>
  <si>
    <t>TLAXCUAPAN</t>
  </si>
  <si>
    <t>21ETV0409V</t>
  </si>
  <si>
    <t>HIPOCRATES</t>
  </si>
  <si>
    <t>SAN JUAN ATZOMPA</t>
  </si>
  <si>
    <t>21ETV0414G</t>
  </si>
  <si>
    <t>SAN MIGUEL IXITLAN</t>
  </si>
  <si>
    <t>21ETV0423O</t>
  </si>
  <si>
    <t>TELESECUNDARIA 953</t>
  </si>
  <si>
    <t>21ETV0425M</t>
  </si>
  <si>
    <t>ALFONSO PRUNEDA</t>
  </si>
  <si>
    <t>HUEHUETLAN EL GRANDE</t>
  </si>
  <si>
    <t>SANTO DOMINGO HUEHUETLAN</t>
  </si>
  <si>
    <t>21ETV0434U</t>
  </si>
  <si>
    <t>ESTELA MORALES DE JIMENEZ</t>
  </si>
  <si>
    <t>TECALI DE HERRERA</t>
  </si>
  <si>
    <t>AHUATEPEC</t>
  </si>
  <si>
    <t>21ETV0451K</t>
  </si>
  <si>
    <t>FELIPE XICOTENCATL</t>
  </si>
  <si>
    <t>TEHUITZINGO</t>
  </si>
  <si>
    <t>LA NORIA HIDALGO</t>
  </si>
  <si>
    <t>21ETV0476T</t>
  </si>
  <si>
    <t>TEPEXCO</t>
  </si>
  <si>
    <t>CALMECA</t>
  </si>
  <si>
    <t>21ETV0478R</t>
  </si>
  <si>
    <t>ROSARIO CASTELLANOS</t>
  </si>
  <si>
    <t>TILAPA</t>
  </si>
  <si>
    <t>21ETV0480F</t>
  </si>
  <si>
    <t>FRANCISCO RUIZ DE LEON</t>
  </si>
  <si>
    <t>CASA BLANCA</t>
  </si>
  <si>
    <t>21ETV0482D</t>
  </si>
  <si>
    <t>DEFENSORES DE PUEBLA</t>
  </si>
  <si>
    <t>RIJO</t>
  </si>
  <si>
    <t>21ETV0487Z</t>
  </si>
  <si>
    <t>DAVID ALFARO SIQUEIROS</t>
  </si>
  <si>
    <t>TLAPANALA</t>
  </si>
  <si>
    <t>21ETV0491L</t>
  </si>
  <si>
    <t>ROGER BACON</t>
  </si>
  <si>
    <t>TEPAPAYECA</t>
  </si>
  <si>
    <t>21ETV0493J</t>
  </si>
  <si>
    <t>ALFONSO CRAVIOTO</t>
  </si>
  <si>
    <t>SAN MIGUEL TLALTEPEXI</t>
  </si>
  <si>
    <t>21ETV0495H</t>
  </si>
  <si>
    <t>XICOTLAN</t>
  </si>
  <si>
    <t>21ETV0497F</t>
  </si>
  <si>
    <t>COACALCO</t>
  </si>
  <si>
    <t>21ETV0525L</t>
  </si>
  <si>
    <t>ANA MARIA GALLAGA</t>
  </si>
  <si>
    <t>TZICATLAN</t>
  </si>
  <si>
    <t>21ETV0526K</t>
  </si>
  <si>
    <t>JOSE MARIA LICEAGA</t>
  </si>
  <si>
    <t>IXCAMILPA</t>
  </si>
  <si>
    <t>21ETV0528I</t>
  </si>
  <si>
    <t>ABELARDO L RODRIGUEZ</t>
  </si>
  <si>
    <t>TOLTECAMILA</t>
  </si>
  <si>
    <t>21ETV0532V</t>
  </si>
  <si>
    <t>SAN ANDRES HUEYACATITLA</t>
  </si>
  <si>
    <t>21ETV0533U</t>
  </si>
  <si>
    <t>AMADO CAMACHO</t>
  </si>
  <si>
    <t>SAN BERNARDINO CHALCHIHUAPAN</t>
  </si>
  <si>
    <t>21ETV0537Q</t>
  </si>
  <si>
    <t>XICOHTENCATL</t>
  </si>
  <si>
    <t>21ETV0538P</t>
  </si>
  <si>
    <t>ALBINO ZERTUCHE</t>
  </si>
  <si>
    <t>ACAXTLAHUACAN</t>
  </si>
  <si>
    <t>21ETV0548W</t>
  </si>
  <si>
    <t>JORGE MURAQD MACLUF</t>
  </si>
  <si>
    <t>21ETV0557D</t>
  </si>
  <si>
    <t>JESUS REYES HEROLES</t>
  </si>
  <si>
    <t>21ETV0566L</t>
  </si>
  <si>
    <t>PASTOR ROUAIX</t>
  </si>
  <si>
    <t>DON ROQUE</t>
  </si>
  <si>
    <t>21ETV0571X</t>
  </si>
  <si>
    <t>TZICATLACOYAN</t>
  </si>
  <si>
    <t>SAN BERNARDINO TEPENENE</t>
  </si>
  <si>
    <t>21ETV0582C</t>
  </si>
  <si>
    <t>JOSE IGNACIO MORALES CRUZ</t>
  </si>
  <si>
    <t>CALAPA</t>
  </si>
  <si>
    <t>21ETV0586Z</t>
  </si>
  <si>
    <t>MIGUEL ALEMAN VALDEZ</t>
  </si>
  <si>
    <t>CRUZ VERDE</t>
  </si>
  <si>
    <t>21ETV0610I</t>
  </si>
  <si>
    <t>SAN MATEO MENDIZABAL</t>
  </si>
  <si>
    <t>21ETV0614E</t>
  </si>
  <si>
    <t>GENERAL JOSE ORTEGA BARROSO</t>
  </si>
  <si>
    <t>21ETV0624L</t>
  </si>
  <si>
    <t>DANIEL BOBET</t>
  </si>
  <si>
    <t>OYAMECALCO EL CAJON</t>
  </si>
  <si>
    <t>21ETV0626J</t>
  </si>
  <si>
    <t>SANTA ANA COATEPEC</t>
  </si>
  <si>
    <t>21ETV0629G</t>
  </si>
  <si>
    <t>BARTOLOME DE LAS CASAS</t>
  </si>
  <si>
    <t>21ETV0635R</t>
  </si>
  <si>
    <t>DELFINO REYES ARROYO</t>
  </si>
  <si>
    <t>CRUZ COLORADA</t>
  </si>
  <si>
    <t>21ETV0639N</t>
  </si>
  <si>
    <t>ARTURO BRIZUELA JIMENEZ</t>
  </si>
  <si>
    <t>TLAHUAPAN</t>
  </si>
  <si>
    <t>GUADALUPITO LAS DALIAS</t>
  </si>
  <si>
    <t>21ETV0640C</t>
  </si>
  <si>
    <t>VICENTE SUAREZ</t>
  </si>
  <si>
    <t>SAN JERONIMO TIANGUISMANALCO</t>
  </si>
  <si>
    <t>21ETV0641B</t>
  </si>
  <si>
    <t>COL. EMILIANO ZAPATA</t>
  </si>
  <si>
    <t>21ETV0643Z</t>
  </si>
  <si>
    <t>ZOLONQUIAPA</t>
  </si>
  <si>
    <t>21ETV0646X</t>
  </si>
  <si>
    <t>TEPEXOXUCA</t>
  </si>
  <si>
    <t>21ETV0650J</t>
  </si>
  <si>
    <t>GUADALUPE XONACATEPEC</t>
  </si>
  <si>
    <t>21ETV0651I</t>
  </si>
  <si>
    <t>TEOPANTLAN</t>
  </si>
  <si>
    <t>SAN FRANCISCO JALAPEXCO</t>
  </si>
  <si>
    <t>21ETV0652H</t>
  </si>
  <si>
    <t>PROFESOR MARCOS MARTINEZ</t>
  </si>
  <si>
    <t>CUAYUCA DE ANDRADE</t>
  </si>
  <si>
    <t>SAN PEDRO CUAYUCA</t>
  </si>
  <si>
    <t>21ETV0654F</t>
  </si>
  <si>
    <t>21ETV0655E</t>
  </si>
  <si>
    <t>21ETV0665L</t>
  </si>
  <si>
    <t>ROMULO CARRASCO TELLEZ</t>
  </si>
  <si>
    <t>SAN FRANCISCO, TERRERILLOS</t>
  </si>
  <si>
    <t>21ETV0670X</t>
  </si>
  <si>
    <t>CHIAUTLA DE TAPIA</t>
  </si>
  <si>
    <t>21ETV0674T</t>
  </si>
  <si>
    <t>TEPAZOLCO</t>
  </si>
  <si>
    <t>21ETV0677Q</t>
  </si>
  <si>
    <t>AJOLOTLA</t>
  </si>
  <si>
    <t>21ETV0683A</t>
  </si>
  <si>
    <t>SANTO DOMINGO AYOTLICHA</t>
  </si>
  <si>
    <t>21ETV0689V</t>
  </si>
  <si>
    <t>JULIAN BLANCO</t>
  </si>
  <si>
    <t>TEPEXI DE RODRIGUEZ</t>
  </si>
  <si>
    <t>LOMAS SAN FRANCISCO</t>
  </si>
  <si>
    <t>21ETV0694G</t>
  </si>
  <si>
    <t>GENERAL IGNACIO ZARAGOZA</t>
  </si>
  <si>
    <t>COLONIA EL CRISTO</t>
  </si>
  <si>
    <t>21ETV0695F</t>
  </si>
  <si>
    <t>MANUEL RIVERA ANAYA</t>
  </si>
  <si>
    <t>21ETV0697D</t>
  </si>
  <si>
    <t>LEANDRO VALLE</t>
  </si>
  <si>
    <t>SAN JUAN PANCOAC</t>
  </si>
  <si>
    <t>21ETV0707U</t>
  </si>
  <si>
    <t>AHUEHUETZINGO</t>
  </si>
  <si>
    <t>21ETV0709S</t>
  </si>
  <si>
    <t>SIMBOLOS PATRIOS</t>
  </si>
  <si>
    <t>SAN JOSE PUEBLO NUEVO</t>
  </si>
  <si>
    <t>21ETV0710H</t>
  </si>
  <si>
    <t>SAN FRANCISCO TEPEYECAC</t>
  </si>
  <si>
    <t>21ETV0713E</t>
  </si>
  <si>
    <t>CLARA CORDOVA MORAN</t>
  </si>
  <si>
    <t>21ETV0727H</t>
  </si>
  <si>
    <t>MARTIRES DE PUEBLA</t>
  </si>
  <si>
    <t>SAN CRISTOBAL TULCINGO CALERAS</t>
  </si>
  <si>
    <t>21ETV0730V</t>
  </si>
  <si>
    <t>JUAN BAUTISTA DE LA SALLE</t>
  </si>
  <si>
    <t>TLACUELA</t>
  </si>
  <si>
    <t>21ETV0732T</t>
  </si>
  <si>
    <t>SAN CRISTOBAL TEPONTLA</t>
  </si>
  <si>
    <t>21ETV0734R</t>
  </si>
  <si>
    <t>21ETV0740B</t>
  </si>
  <si>
    <t>TEPEMAXALCO</t>
  </si>
  <si>
    <t>SAN FELIPE TEPEMAXALCO</t>
  </si>
  <si>
    <t>21ETV0755D</t>
  </si>
  <si>
    <t>DERRAMADERO</t>
  </si>
  <si>
    <t>21ETV0758A</t>
  </si>
  <si>
    <t>21ETV0765K</t>
  </si>
  <si>
    <t>SAN MATEO CAPULTITLAN</t>
  </si>
  <si>
    <t>21ETV0778O</t>
  </si>
  <si>
    <t>LLANO VERDE</t>
  </si>
  <si>
    <t>21ETV0781B</t>
  </si>
  <si>
    <t>SIGLO XXI</t>
  </si>
  <si>
    <t>21ETV0799A</t>
  </si>
  <si>
    <t>TECOLUTLA</t>
  </si>
  <si>
    <t>21ETV0803X</t>
  </si>
  <si>
    <t>LORENZO RIVERA GALINDO</t>
  </si>
  <si>
    <t>JONUCO PEDERNALES</t>
  </si>
  <si>
    <t>21ETV0805V</t>
  </si>
  <si>
    <t>LUCIO CABANAS BARRIENTOS</t>
  </si>
  <si>
    <t>SAN LUCAS ATOYATENCO</t>
  </si>
  <si>
    <t>21ETV0815B</t>
  </si>
  <si>
    <t>21ETV0821M</t>
  </si>
  <si>
    <t>SAN FRANCISCO TLALOC</t>
  </si>
  <si>
    <t>21ETV0831T</t>
  </si>
  <si>
    <t>21ETV0846V</t>
  </si>
  <si>
    <t>BRUNO HERNANDEZ</t>
  </si>
  <si>
    <t>TRES CABEZAS</t>
  </si>
  <si>
    <t>21ETV0854D</t>
  </si>
  <si>
    <t>21ETV0857A</t>
  </si>
  <si>
    <t>IGNACIO COMONFORT</t>
  </si>
  <si>
    <t>CONCEPCION CAPULAC</t>
  </si>
  <si>
    <t>21ETV0875Q</t>
  </si>
  <si>
    <t>SANTA MARIA TIANGUISTENCO</t>
  </si>
  <si>
    <t>21ETV0894E</t>
  </si>
  <si>
    <t>JUAN DE LA BARRERA</t>
  </si>
  <si>
    <t>21ETV0911E</t>
  </si>
  <si>
    <t>SAN ISIDRO CASTILLOTLA</t>
  </si>
  <si>
    <t>21ETV0934P</t>
  </si>
  <si>
    <t>SAN JOSE LA LAGUNA</t>
  </si>
  <si>
    <t>21ETV0943X</t>
  </si>
  <si>
    <t>SAN BALTAZAR TORIJA</t>
  </si>
  <si>
    <t>21ETV0944W</t>
  </si>
  <si>
    <t>21ETV0946U</t>
  </si>
  <si>
    <t>MARGARITA MAZA</t>
  </si>
  <si>
    <t>21ETV0950G</t>
  </si>
  <si>
    <t>MANUEL AVILA CAMACHO</t>
  </si>
  <si>
    <t>SANTO NOMBRE</t>
  </si>
  <si>
    <t>21ETV0955B</t>
  </si>
  <si>
    <t>SANTA MARIA EL ASERRADERO PEONES ACASILLADOS</t>
  </si>
  <si>
    <t>21ETV0959Y</t>
  </si>
  <si>
    <t>XICOTENCATL</t>
  </si>
  <si>
    <t>LA LAGUNA</t>
  </si>
  <si>
    <t>24DTV0068M</t>
  </si>
  <si>
    <t>PLAN DE SAN LUIS</t>
  </si>
  <si>
    <t>SAN LUIS POTOSI</t>
  </si>
  <si>
    <t>LAS JARRILLAS</t>
  </si>
  <si>
    <t>24DTV0096I</t>
  </si>
  <si>
    <t>MIGUEL BARRAGAN</t>
  </si>
  <si>
    <t>VILLA DE REYES</t>
  </si>
  <si>
    <t>CARRANCO</t>
  </si>
  <si>
    <t>24DTV0097H</t>
  </si>
  <si>
    <t>LA VENTILLA</t>
  </si>
  <si>
    <t>24DTV0098G</t>
  </si>
  <si>
    <t>HEROINAS MEXICANAS</t>
  </si>
  <si>
    <t>GUADIANA</t>
  </si>
  <si>
    <t>24DTV0102C</t>
  </si>
  <si>
    <t>JULIAN CARRILLO</t>
  </si>
  <si>
    <t>BLEDOSS</t>
  </si>
  <si>
    <t>24DTV0123P</t>
  </si>
  <si>
    <t>MANUEL JOSE OTHON</t>
  </si>
  <si>
    <t>VILLA DE ARISTA</t>
  </si>
  <si>
    <t>SALITRILLOS</t>
  </si>
  <si>
    <t>24DTV0182E</t>
  </si>
  <si>
    <t>VILLA HIDALGO</t>
  </si>
  <si>
    <t>LA REDONDA</t>
  </si>
  <si>
    <t>24DTV0185B</t>
  </si>
  <si>
    <t>VALLE DE SAN JUAN</t>
  </si>
  <si>
    <t>24DTV0188Z</t>
  </si>
  <si>
    <t>MESA DE LOS CONEJOS</t>
  </si>
  <si>
    <t>24DTV0194J</t>
  </si>
  <si>
    <t>BENITO JURAEZ</t>
  </si>
  <si>
    <t>VILLA DE RAMOS</t>
  </si>
  <si>
    <t>24DTV0196H</t>
  </si>
  <si>
    <t>CARLOS JONGUITUD BARRIOS</t>
  </si>
  <si>
    <t>YOLIATL</t>
  </si>
  <si>
    <t>24DTV0200D</t>
  </si>
  <si>
    <t>GRAL.LAZARO CARDENAS</t>
  </si>
  <si>
    <t>CIUDAD FERNANDEZ</t>
  </si>
  <si>
    <t>24DTV0208W</t>
  </si>
  <si>
    <t>LIC. JOSE LOPEZ PORTILLO</t>
  </si>
  <si>
    <t>COLONIA AGRICOLA VEINTE DE NOVIEMBRE</t>
  </si>
  <si>
    <t>24DTV0209V</t>
  </si>
  <si>
    <t>REVOLUCION CAMPESINA</t>
  </si>
  <si>
    <t>EL SERMON SANTA ANA</t>
  </si>
  <si>
    <t>24DTV0211J</t>
  </si>
  <si>
    <t>24DTV0212I</t>
  </si>
  <si>
    <t>JUVENTUD CON ESPERANZA</t>
  </si>
  <si>
    <t>24DTV0214G</t>
  </si>
  <si>
    <t>FRANCISCO GONZALEZ BOCANEGRA</t>
  </si>
  <si>
    <t>CHARCAS</t>
  </si>
  <si>
    <t>CANADA VERDE</t>
  </si>
  <si>
    <t>24DTV0218C</t>
  </si>
  <si>
    <t>EL CEDAZO</t>
  </si>
  <si>
    <t>24DTV0222P</t>
  </si>
  <si>
    <t>24DTV0223O</t>
  </si>
  <si>
    <t>EJIDO POCITOS</t>
  </si>
  <si>
    <t>24DTV0227K</t>
  </si>
  <si>
    <t>EL ZANCARRON</t>
  </si>
  <si>
    <t>24DTV0245Z</t>
  </si>
  <si>
    <t>VENADO</t>
  </si>
  <si>
    <t>24DTV0247Y</t>
  </si>
  <si>
    <t>MIGUEL ALVAREZ ACOSTA</t>
  </si>
  <si>
    <t>MEXQUITIC DE CARMONA</t>
  </si>
  <si>
    <t>RINCON DEL PORVENIR</t>
  </si>
  <si>
    <t>24DTV0249W</t>
  </si>
  <si>
    <t>SAN MARCOS CARMONA</t>
  </si>
  <si>
    <t>24DTV0258D</t>
  </si>
  <si>
    <t>JOSE LOPEZ PORTILLO</t>
  </si>
  <si>
    <t>PAISANOS</t>
  </si>
  <si>
    <t>24DTV0263P</t>
  </si>
  <si>
    <t>VALLE UMBROSO</t>
  </si>
  <si>
    <t>24DTV0271Y</t>
  </si>
  <si>
    <t>PALMAR PRIMERO</t>
  </si>
  <si>
    <t>24DTV0279Q</t>
  </si>
  <si>
    <t>ARMADILLO DE LOS INFANTE</t>
  </si>
  <si>
    <t>LA CONCORDIA</t>
  </si>
  <si>
    <t>24DTV0280F</t>
  </si>
  <si>
    <t>POZO DEL CARMEN</t>
  </si>
  <si>
    <t>24DTV0281E</t>
  </si>
  <si>
    <t>ESCUELA TELESECUNDARIA GENERAL LAZARO CARDENAS</t>
  </si>
  <si>
    <t>SALINAS</t>
  </si>
  <si>
    <t>EL POTRO</t>
  </si>
  <si>
    <t>24DTV0284B</t>
  </si>
  <si>
    <t>SAN ISIDRO PENON BLANCO</t>
  </si>
  <si>
    <t>24DTV0286Z</t>
  </si>
  <si>
    <t>AZOGUEROS</t>
  </si>
  <si>
    <t>24DTV0287Z</t>
  </si>
  <si>
    <t>PALMA PEGADA</t>
  </si>
  <si>
    <t>24DTV0289X</t>
  </si>
  <si>
    <t>GUADALCAZAR</t>
  </si>
  <si>
    <t>LOS AMOLES</t>
  </si>
  <si>
    <t>24DTV0290M</t>
  </si>
  <si>
    <t>LA VENTANA</t>
  </si>
  <si>
    <t>24DTV0298E</t>
  </si>
  <si>
    <t>LA POLVORA</t>
  </si>
  <si>
    <t>24DTV0321P</t>
  </si>
  <si>
    <t>AHUALULCO</t>
  </si>
  <si>
    <t>24DTV0322O</t>
  </si>
  <si>
    <t>SAN JUAN DE COYOTILLOS</t>
  </si>
  <si>
    <t>24DTV0334T</t>
  </si>
  <si>
    <t>SAN ANTONIO OJO DE AGUA</t>
  </si>
  <si>
    <t>24DTV0344Z</t>
  </si>
  <si>
    <t>CATORCE</t>
  </si>
  <si>
    <t>SAN ANTONIO DE CORONADOS</t>
  </si>
  <si>
    <t>24DTV0352I</t>
  </si>
  <si>
    <t>PROF. JESUS M. ISAIS</t>
  </si>
  <si>
    <t>24DTV0354G</t>
  </si>
  <si>
    <t>JAIME NUNO</t>
  </si>
  <si>
    <t>24DTV0372W</t>
  </si>
  <si>
    <t>VILLA DE GUADALUPE</t>
  </si>
  <si>
    <t>LLANO DE JESUS MARIA</t>
  </si>
  <si>
    <t>24DTV0376S</t>
  </si>
  <si>
    <t>SANTA ROSA LA MASITA</t>
  </si>
  <si>
    <t>24DTV0381D</t>
  </si>
  <si>
    <t>MATEHUALA</t>
  </si>
  <si>
    <t>SACRAMENTO</t>
  </si>
  <si>
    <t>24DTV0398D</t>
  </si>
  <si>
    <t>IGNACIO M ALTAMIRANO</t>
  </si>
  <si>
    <t>24DTV0445Y</t>
  </si>
  <si>
    <t>EL PANALILLO</t>
  </si>
  <si>
    <t>24DTV0458B</t>
  </si>
  <si>
    <t>TEPOZUAPA</t>
  </si>
  <si>
    <t>24DTV0460Q</t>
  </si>
  <si>
    <t>AMAXAC</t>
  </si>
  <si>
    <t>24DTV0481C</t>
  </si>
  <si>
    <t>SAN MARTIN DE ABAJO</t>
  </si>
  <si>
    <t>24DTV0485Z</t>
  </si>
  <si>
    <t>JUAN SARABIA</t>
  </si>
  <si>
    <t>SOLEDAD DE GRACIANO SANCHEZ</t>
  </si>
  <si>
    <t>PALMA DE LA CRUZ</t>
  </si>
  <si>
    <t>24DTV0486Y</t>
  </si>
  <si>
    <t>FRACCION RIVERA</t>
  </si>
  <si>
    <t>24DTV0495F</t>
  </si>
  <si>
    <t>LA MANTEQUILLA</t>
  </si>
  <si>
    <t>24DTV0496E</t>
  </si>
  <si>
    <t>HOMBRES DEL MAÑANA</t>
  </si>
  <si>
    <t>ARROYOS</t>
  </si>
  <si>
    <t>24DTV0497D</t>
  </si>
  <si>
    <t>LOS GOMEZ</t>
  </si>
  <si>
    <t>24DTV0502Z</t>
  </si>
  <si>
    <t>TERRERO SUR</t>
  </si>
  <si>
    <t>24DTV0503Y</t>
  </si>
  <si>
    <t>LA LIBERTAD</t>
  </si>
  <si>
    <t>24DTV0504X</t>
  </si>
  <si>
    <t>FRACCION EL AGUAJE</t>
  </si>
  <si>
    <t>24DTV0505W</t>
  </si>
  <si>
    <t>SAN NICOLAS DE JASSOS</t>
  </si>
  <si>
    <t>24DTV0570W</t>
  </si>
  <si>
    <t xml:space="preserve">ESCUELA TELESECUNDARIA  FRANCISCO I. MADERO </t>
  </si>
  <si>
    <t>TIERRA BLANCA</t>
  </si>
  <si>
    <t>24DTV0576Q</t>
  </si>
  <si>
    <t>SANTA MARIA DEL RIO</t>
  </si>
  <si>
    <t>EL FUERTE</t>
  </si>
  <si>
    <t>24DTV0582A</t>
  </si>
  <si>
    <t>FRACCION SANCHEZ</t>
  </si>
  <si>
    <t>24DTV0601Z</t>
  </si>
  <si>
    <t>PARADA DEL ZARCIDO</t>
  </si>
  <si>
    <t>24DTV0607T</t>
  </si>
  <si>
    <t>NORIA DEL GATO</t>
  </si>
  <si>
    <t>24DTV0613D</t>
  </si>
  <si>
    <t>CEDRAL</t>
  </si>
  <si>
    <t>EL BLANCO</t>
  </si>
  <si>
    <t>24DTV0629E</t>
  </si>
  <si>
    <t>RANCHERIA DE GUADALUPE</t>
  </si>
  <si>
    <t>24DTV0646V</t>
  </si>
  <si>
    <t>LA YERBABUENA</t>
  </si>
  <si>
    <t>24DTV0654D</t>
  </si>
  <si>
    <t>24DTV0671U</t>
  </si>
  <si>
    <t>VANEGAS</t>
  </si>
  <si>
    <t>HUERTECILLAS</t>
  </si>
  <si>
    <t>24DTV0685X</t>
  </si>
  <si>
    <t>FRANCISCO SARABIA</t>
  </si>
  <si>
    <t>TANQUE DE LUNA</t>
  </si>
  <si>
    <t>24DTV0694E</t>
  </si>
  <si>
    <t>CERRITOS LA PILA</t>
  </si>
  <si>
    <t>24DTV0707S</t>
  </si>
  <si>
    <t>GENOVEVO RIVAS GUILLEN</t>
  </si>
  <si>
    <t>EL MEZQUITE</t>
  </si>
  <si>
    <t>24DTV0731S</t>
  </si>
  <si>
    <t>CONEJILLO</t>
  </si>
  <si>
    <t>24DTV0759Y</t>
  </si>
  <si>
    <t>VILLA DE ARRIAGA</t>
  </si>
  <si>
    <t>24DTV0761M</t>
  </si>
  <si>
    <t>PROF. PEDRO VALLEJO</t>
  </si>
  <si>
    <t>24DTV0767G</t>
  </si>
  <si>
    <t>AURELIO MANRIQUE</t>
  </si>
  <si>
    <t>MACARENOS</t>
  </si>
  <si>
    <t>24DTV0773R</t>
  </si>
  <si>
    <t>24DTV0781Z</t>
  </si>
  <si>
    <t>GONZALEZ</t>
  </si>
  <si>
    <t>24DTV0783Y</t>
  </si>
  <si>
    <t>LA MELADA</t>
  </si>
  <si>
    <t>24DTV0812C</t>
  </si>
  <si>
    <t>EL VENADITO</t>
  </si>
  <si>
    <t>24DTV0816Z</t>
  </si>
  <si>
    <t>PEDRO VALLEJO</t>
  </si>
  <si>
    <t>POZOS DE MATANZA</t>
  </si>
  <si>
    <t>24DTV0818X</t>
  </si>
  <si>
    <t>BARRIO DE GUADALIPE DOS</t>
  </si>
  <si>
    <t>24DTV0828D</t>
  </si>
  <si>
    <t>24DTV0833P</t>
  </si>
  <si>
    <t>DR. JAIME TORRES BODET</t>
  </si>
  <si>
    <t>EL AGUILA</t>
  </si>
  <si>
    <t>24DTV0848R</t>
  </si>
  <si>
    <t>COLONIA DE LA CRUZ</t>
  </si>
  <si>
    <t>24DTV0850F</t>
  </si>
  <si>
    <t>PONCIANO ARRIAGA</t>
  </si>
  <si>
    <t>TINAJA</t>
  </si>
  <si>
    <t>24DTV0854B</t>
  </si>
  <si>
    <t>SUCHIACO</t>
  </si>
  <si>
    <t>24DTV0887T</t>
  </si>
  <si>
    <t>24DTV0889R</t>
  </si>
  <si>
    <t>RAFAEL NIETO</t>
  </si>
  <si>
    <t>24DTV0894C</t>
  </si>
  <si>
    <t>JOSE MA. MORELOS</t>
  </si>
  <si>
    <t>ANCON</t>
  </si>
  <si>
    <t>24DTV0896A</t>
  </si>
  <si>
    <t>24DTV0898Z</t>
  </si>
  <si>
    <t>LIBRADO RIVERA</t>
  </si>
  <si>
    <t>24DTV0916Y</t>
  </si>
  <si>
    <t xml:space="preserve">ESCUELA TELESECUNDARIA  OBRERO MUNDIAL </t>
  </si>
  <si>
    <t>24DTV0925F</t>
  </si>
  <si>
    <t>EL REBALIN</t>
  </si>
  <si>
    <t>24DTV0929B</t>
  </si>
  <si>
    <t>CARLOS DIEZ GUTIERREZ</t>
  </si>
  <si>
    <t>24DTV0943V</t>
  </si>
  <si>
    <t>ESTANZUELA</t>
  </si>
  <si>
    <t>24DTV0949P</t>
  </si>
  <si>
    <t>DAMIAN CARMONA</t>
  </si>
  <si>
    <t>24DTV0950E</t>
  </si>
  <si>
    <t>24DTV0972Q</t>
  </si>
  <si>
    <t>LAS MANGUITAS</t>
  </si>
  <si>
    <t>24DTV0973P</t>
  </si>
  <si>
    <t>PROF. GREGORIO TORRES QUINTERO</t>
  </si>
  <si>
    <t>EL JARALITO</t>
  </si>
  <si>
    <t>24DTV1000M</t>
  </si>
  <si>
    <t>JESUS SILVA HERZOG</t>
  </si>
  <si>
    <t>CAPULINES</t>
  </si>
  <si>
    <t>24DTV1001L</t>
  </si>
  <si>
    <t>MARIANO ARISTA</t>
  </si>
  <si>
    <t>LA PRESITA</t>
  </si>
  <si>
    <t>24DTV1002K</t>
  </si>
  <si>
    <t>LAS HIGUERAS</t>
  </si>
  <si>
    <t>24DTV1003J</t>
  </si>
  <si>
    <t>24DTV1019K</t>
  </si>
  <si>
    <t>ENRIQUE ALMAZAN NIETO</t>
  </si>
  <si>
    <t>24DTV1023X</t>
  </si>
  <si>
    <t>MIGUEL CALDERA</t>
  </si>
  <si>
    <t>EL POZO</t>
  </si>
  <si>
    <t>24DTV1057N</t>
  </si>
  <si>
    <t>24DTV1128R</t>
  </si>
  <si>
    <t>BAJIO DEL CIRIACO</t>
  </si>
  <si>
    <t>24DTV1138Y</t>
  </si>
  <si>
    <t>CAMILO ARRIAGA</t>
  </si>
  <si>
    <t>24DTV1167T</t>
  </si>
  <si>
    <t>24DTV1169R</t>
  </si>
  <si>
    <t>CERRO DE SAN PEDRO</t>
  </si>
  <si>
    <t>PLANTA DEL CARMEN EL OCHO</t>
  </si>
  <si>
    <t>24ETK0002X</t>
  </si>
  <si>
    <t>TELEBACHILLERATO COMUNITARIO SANTA CRUZ</t>
  </si>
  <si>
    <t>24ETK0003W</t>
  </si>
  <si>
    <t>45192</t>
  </si>
  <si>
    <t>24ETK0005U</t>
  </si>
  <si>
    <t>SOCAVON</t>
  </si>
  <si>
    <t>24ETK0006T</t>
  </si>
  <si>
    <t>TELEBACHILLERATO JAIME SABINES</t>
  </si>
  <si>
    <t>24ETK0013C</t>
  </si>
  <si>
    <t>TANQUE COLORADO</t>
  </si>
  <si>
    <t>24ETK0018Y</t>
  </si>
  <si>
    <t>42263</t>
  </si>
  <si>
    <t>PASO BONITO</t>
  </si>
  <si>
    <t>24ETK0022K</t>
  </si>
  <si>
    <t>JOSE ESPINOZA ESPARZA</t>
  </si>
  <si>
    <t>24ETK0024I</t>
  </si>
  <si>
    <t>INDEPENDENCIA NACIONAL</t>
  </si>
  <si>
    <t>GUADALUPITO</t>
  </si>
  <si>
    <t>24ETK0025H</t>
  </si>
  <si>
    <t>24ETK0035O</t>
  </si>
  <si>
    <t>24ETK0038L</t>
  </si>
  <si>
    <t>3977</t>
  </si>
  <si>
    <t>SLIMB000200</t>
  </si>
  <si>
    <t>IMSSB</t>
  </si>
  <si>
    <t>SINALOA</t>
  </si>
  <si>
    <t>ANGOSTURA</t>
  </si>
  <si>
    <t>AGUSTINA RAMIREZ</t>
  </si>
  <si>
    <t>SI</t>
  </si>
  <si>
    <t>ALMACEN ZT CULIACAN</t>
  </si>
  <si>
    <t>IMSS BIENESTAR</t>
  </si>
  <si>
    <t>SLIMB000253</t>
  </si>
  <si>
    <t>BADIRAGUATO</t>
  </si>
  <si>
    <t>25DTV0020S</t>
  </si>
  <si>
    <t>TELESECUNDARIA NÑ020S</t>
  </si>
  <si>
    <t>EL RINCON DE LOS MONTES</t>
  </si>
  <si>
    <t>25DTV0236R</t>
  </si>
  <si>
    <t>TELESECUNDARIA FEDERALIZADA 236R</t>
  </si>
  <si>
    <t>OTATILLOS</t>
  </si>
  <si>
    <t>25DTV0070Z</t>
  </si>
  <si>
    <t>TELESECUNDARIA FEDERALIZADA 70</t>
  </si>
  <si>
    <t>SAN JAVIER DE ABAJO</t>
  </si>
  <si>
    <t>25DTV0217C</t>
  </si>
  <si>
    <t>TELESECUNDARIA FEDERALIZADO 217C</t>
  </si>
  <si>
    <t>SAN JOSE DE LA PUERTA</t>
  </si>
  <si>
    <t>25DTV0243A</t>
  </si>
  <si>
    <t>TELESECUNDARIA FEDERALIZADA 243A</t>
  </si>
  <si>
    <t>25DTV0315D</t>
  </si>
  <si>
    <t>TELESECUNDARIA FEDERALIZADA   315</t>
  </si>
  <si>
    <t>SURUTATO</t>
  </si>
  <si>
    <t>25DTV0013I</t>
  </si>
  <si>
    <t>TELESECUNDARIA FEDERALIZADA 13</t>
  </si>
  <si>
    <t>COSALA</t>
  </si>
  <si>
    <t>LA ILAMA</t>
  </si>
  <si>
    <t>25DTV0174V</t>
  </si>
  <si>
    <t>TELESECUNDARIA 174V</t>
  </si>
  <si>
    <t>LA TASAJERA</t>
  </si>
  <si>
    <t>25DTV0021R</t>
  </si>
  <si>
    <t>TELESECUNDARIA 21R</t>
  </si>
  <si>
    <t>SAN MIGUEL DE LAS MESAS</t>
  </si>
  <si>
    <t>SLIMB000550</t>
  </si>
  <si>
    <t>25ETK0025G</t>
  </si>
  <si>
    <t>AGUA CALIENTE DE LOS MONZON</t>
  </si>
  <si>
    <t>CULIACAN</t>
  </si>
  <si>
    <t>25DTV0333T</t>
  </si>
  <si>
    <t>ESCUELA TELESECUNDARIA FEDERALIZADA 333</t>
  </si>
  <si>
    <t>BACHIGUALATITO</t>
  </si>
  <si>
    <t>25ETK0069D</t>
  </si>
  <si>
    <t>COLONIA EMANCIPACION</t>
  </si>
  <si>
    <t>25ETK0071S</t>
  </si>
  <si>
    <t>EL LIMON DE TELLAECHE</t>
  </si>
  <si>
    <t>SLIMB000026</t>
  </si>
  <si>
    <t>CULIACAN ROSALES</t>
  </si>
  <si>
    <t>Hospital General de Culiacán Bernardo J. Gastélum ya no está en operación, está como campamento Militar</t>
  </si>
  <si>
    <t>SLIMB000615</t>
  </si>
  <si>
    <t>SLIMB000632</t>
  </si>
  <si>
    <t>SLIMB000644</t>
  </si>
  <si>
    <t>SLIMB000656</t>
  </si>
  <si>
    <t>SLIMB000661</t>
  </si>
  <si>
    <t>SLIMB000690</t>
  </si>
  <si>
    <t>SLIMB002266</t>
  </si>
  <si>
    <t>SLIMB002324</t>
  </si>
  <si>
    <t>SLIMB002341</t>
  </si>
  <si>
    <t>SLIMB002370</t>
  </si>
  <si>
    <t>SLIMB002406</t>
  </si>
  <si>
    <t>SLIMB002423</t>
  </si>
  <si>
    <t>SLIMB002493</t>
  </si>
  <si>
    <t>SLIMB002616</t>
  </si>
  <si>
    <t>SLIMB002645</t>
  </si>
  <si>
    <t>SLIMB000743</t>
  </si>
  <si>
    <t>CULIACANCITO</t>
  </si>
  <si>
    <t>25DTV0155G</t>
  </si>
  <si>
    <t>TELESECUNDARIA FEDERALIZADA NUMERO 155G</t>
  </si>
  <si>
    <t>EJIDO CANAN</t>
  </si>
  <si>
    <t>25DTV0180F</t>
  </si>
  <si>
    <t>EJIDO LOS HUIZACHES</t>
  </si>
  <si>
    <t>25DTV0277R</t>
  </si>
  <si>
    <t>TELESECUNDARIA 277</t>
  </si>
  <si>
    <t>EL CEDRITO</t>
  </si>
  <si>
    <t>SLIMB000866</t>
  </si>
  <si>
    <t>EL DIEZ</t>
  </si>
  <si>
    <t>25ETK0026F</t>
  </si>
  <si>
    <t>HUINACAXTLE</t>
  </si>
  <si>
    <t>EL HUINACAXLTE</t>
  </si>
  <si>
    <t>25DTV0177S</t>
  </si>
  <si>
    <t>TELESECUNDARIA 177S</t>
  </si>
  <si>
    <t>25ETK0072R</t>
  </si>
  <si>
    <t xml:space="preserve">TELEBACHILLERATO COMUNITARIO  EL POZO </t>
  </si>
  <si>
    <t>SLIMB000772</t>
  </si>
  <si>
    <t>JESUS MARIA</t>
  </si>
  <si>
    <t>25DTV0079R</t>
  </si>
  <si>
    <t>TELESECUNDARIA FEDERALIZADA   79R</t>
  </si>
  <si>
    <t>LA HIGUERA DEL SALADO</t>
  </si>
  <si>
    <t>SLIMB002901</t>
  </si>
  <si>
    <t>LA PALMITA Y ANEXOS (LA PRESITA)</t>
  </si>
  <si>
    <t>SLIMB000854</t>
  </si>
  <si>
    <t>PUEBLOS UNIDOS</t>
  </si>
  <si>
    <t>SLIMB002476</t>
  </si>
  <si>
    <t>25DTV0339N</t>
  </si>
  <si>
    <t>TELESECUNDARIA FEDERALIZADA 339N</t>
  </si>
  <si>
    <t>MOCORITO</t>
  </si>
  <si>
    <t>LA COFRADIA DE SOTO</t>
  </si>
  <si>
    <t>25DTV0029J</t>
  </si>
  <si>
    <t>TELESECUNDARIA 29J</t>
  </si>
  <si>
    <t>LA VAINILLA</t>
  </si>
  <si>
    <t>SLIMB002160</t>
  </si>
  <si>
    <t>NAVOLATO</t>
  </si>
  <si>
    <t>BACHIMETO</t>
  </si>
  <si>
    <t>25DTV0345Y</t>
  </si>
  <si>
    <t>TELESECUNDARIA FEDERALIZADA   345</t>
  </si>
  <si>
    <t>CAMPO BALBUENA</t>
  </si>
  <si>
    <t>25ETK0045U</t>
  </si>
  <si>
    <t xml:space="preserve">EL TELEBACHILLERATO COMUNITARIO AUN NO ESTA CONSTRUIDO
</t>
  </si>
  <si>
    <t>25DTV0324L</t>
  </si>
  <si>
    <t>TELESECUNDARIA FEDERALIZADA NUMERO 324</t>
  </si>
  <si>
    <t>CASA BLANCA ANGELES II</t>
  </si>
  <si>
    <t>25DTV0330W</t>
  </si>
  <si>
    <t>TELESECUNDARIA  330</t>
  </si>
  <si>
    <t>COL. MICHOACANA</t>
  </si>
  <si>
    <t>25ETK0087T</t>
  </si>
  <si>
    <t>TELEBACHILLERATO COMUNITARIO DAUTILLOS</t>
  </si>
  <si>
    <t>DAUTILLOS</t>
  </si>
  <si>
    <t>no transmite  Internet, nos apoyamos de la meza de ayuda para el seguimiento con melisa schilling, mañana 08 de mayo se visitara el sitio  en caso que el encargado del sitio no puede  habilitarlo con la mesa de ayuda</t>
  </si>
  <si>
    <t>25DTV0329G</t>
  </si>
  <si>
    <t>TELESECUNDARIA FEDERALIZADA 329</t>
  </si>
  <si>
    <t>EJIDO CONVENCION DE AGUASCALIENTES</t>
  </si>
  <si>
    <t>SLIMB002131</t>
  </si>
  <si>
    <t>LICENCIADO BENITO JUAREZ (CAMPO GOBIERNO)</t>
  </si>
  <si>
    <t>SLIMB003205</t>
  </si>
  <si>
    <t>25DTV0314E</t>
  </si>
  <si>
    <t>TELESECUNDARIA FEDERALIZADA 314</t>
  </si>
  <si>
    <t>LO DE JESUS</t>
  </si>
  <si>
    <t>SLIMB002563</t>
  </si>
  <si>
    <t>25DTV0331V</t>
  </si>
  <si>
    <t>YEBAVITO</t>
  </si>
  <si>
    <t>25DTV0255F</t>
  </si>
  <si>
    <t>TELESECUNDARIA FEDERALIZADA   255</t>
  </si>
  <si>
    <t>SALVADOR ALVARADO</t>
  </si>
  <si>
    <t>45184</t>
  </si>
  <si>
    <t>SLIMB001822</t>
  </si>
  <si>
    <t>25ETK0095B</t>
  </si>
  <si>
    <t>TELEBACHILLERATO COMUNITARIO CAITIME</t>
  </si>
  <si>
    <t>CAITIME</t>
  </si>
  <si>
    <t>25DTV0204Z</t>
  </si>
  <si>
    <t>TELESECUNDARIA FEDERALIZADA 204Z</t>
  </si>
  <si>
    <t>CIENEGA DE CASAL</t>
  </si>
  <si>
    <t>25ETK0048R</t>
  </si>
  <si>
    <t>SLIMB001805</t>
  </si>
  <si>
    <t>25ETK0047S</t>
  </si>
  <si>
    <t>EL TABALLAL</t>
  </si>
  <si>
    <t>SLIMB002930</t>
  </si>
  <si>
    <t>GUAMUCHIL</t>
  </si>
  <si>
    <t>SLIMB002954</t>
  </si>
  <si>
    <t>SLIMB002966</t>
  </si>
  <si>
    <t>SLIMB003234</t>
  </si>
  <si>
    <t>25DTV0039Q</t>
  </si>
  <si>
    <t>TELESECUNDARIA FEDERALIZADA 039</t>
  </si>
  <si>
    <t>LAS CABEZAS</t>
  </si>
  <si>
    <t>25ETK0096A</t>
  </si>
  <si>
    <t>TELEBACHILLERATO COMUNITARIO LAS CABEZAS</t>
  </si>
  <si>
    <t>26ETV0092J</t>
  </si>
  <si>
    <t>TELESECUNDARIA 92</t>
  </si>
  <si>
    <t>SONORA</t>
  </si>
  <si>
    <t>ACONCHI</t>
  </si>
  <si>
    <t>ALMACEN ZT HERMOSILLO</t>
  </si>
  <si>
    <t>SRIMB000284</t>
  </si>
  <si>
    <t>BACADEHUACHI</t>
  </si>
  <si>
    <t>26ETV0208T</t>
  </si>
  <si>
    <t>BACANORA</t>
  </si>
  <si>
    <t>SRIMB000296</t>
  </si>
  <si>
    <t>26ETK0013A</t>
  </si>
  <si>
    <t>TELEBACHILLERATO COMUNITARIO DE BACOACHI</t>
  </si>
  <si>
    <t>BACOACHI</t>
  </si>
  <si>
    <t>26ETV0086Z</t>
  </si>
  <si>
    <t>TELESECUNDARIA 86</t>
  </si>
  <si>
    <t>SRIMB000634</t>
  </si>
  <si>
    <t>CUMPAS</t>
  </si>
  <si>
    <t>SRIMB000651</t>
  </si>
  <si>
    <t>JECORI</t>
  </si>
  <si>
    <t>26ETV0163N</t>
  </si>
  <si>
    <t>TELESECUNDARIA 163</t>
  </si>
  <si>
    <t>TEONADEPA</t>
  </si>
  <si>
    <t>26ETV0076S</t>
  </si>
  <si>
    <t>TELESECUNDARIA 76</t>
  </si>
  <si>
    <t>DIVISADEROS</t>
  </si>
  <si>
    <t>SRIMB001066</t>
  </si>
  <si>
    <t>HERMOSILLO</t>
  </si>
  <si>
    <t>BAHIA DE KINO</t>
  </si>
  <si>
    <t>26ETV0303X</t>
  </si>
  <si>
    <t>TELESECUNDARIA 303</t>
  </si>
  <si>
    <t>EJIDO MANUEL AVILA CAMACHO. COSTA DE HERMOSILLO</t>
  </si>
  <si>
    <t>SRIMB002145</t>
  </si>
  <si>
    <t>EL CHOYUDO (LOS JAPONESES)</t>
  </si>
  <si>
    <t>SRIMB002133</t>
  </si>
  <si>
    <t>EL TAZAJAL</t>
  </si>
  <si>
    <t>26ETV0232T</t>
  </si>
  <si>
    <t>MINERVA IBARRA JACOBO</t>
  </si>
  <si>
    <t>ESTACION ZAMORA</t>
  </si>
  <si>
    <t>26ETV0074U</t>
  </si>
  <si>
    <t>PROFR. FRANCISCO GALAVIZ GOMEZ</t>
  </si>
  <si>
    <t>26ETV0213E</t>
  </si>
  <si>
    <t>SRIMB000890</t>
  </si>
  <si>
    <t>SRIMB000914</t>
  </si>
  <si>
    <t>26ETK0022I</t>
  </si>
  <si>
    <t>TELEBACHILLERATO COMUNITARIO EJIDO LAGUNITAS</t>
  </si>
  <si>
    <t>SAN LUIS RIO COLORADO</t>
  </si>
  <si>
    <t>EJIDO LAGUNITAS</t>
  </si>
  <si>
    <t>SRIMB000926</t>
  </si>
  <si>
    <t>SRIMB000931</t>
  </si>
  <si>
    <t>SRIMB000943</t>
  </si>
  <si>
    <t>SRIMB000955</t>
  </si>
  <si>
    <t>SRIMB000960</t>
  </si>
  <si>
    <t>SRIMB000972</t>
  </si>
  <si>
    <t>SRIMB000984</t>
  </si>
  <si>
    <t>SRIMB000996</t>
  </si>
  <si>
    <t>SRIMB001001</t>
  </si>
  <si>
    <t>SRIMB001013</t>
  </si>
  <si>
    <t>SRIMB001025</t>
  </si>
  <si>
    <t>SRIMB001030</t>
  </si>
  <si>
    <t>SRIMB001042</t>
  </si>
  <si>
    <t>SRIMB002261</t>
  </si>
  <si>
    <t>SRIMB002326</t>
  </si>
  <si>
    <t>SRIMB002466</t>
  </si>
  <si>
    <t>SRIMB002471</t>
  </si>
  <si>
    <t>SRIMB002565</t>
  </si>
  <si>
    <t>SRIMB002606</t>
  </si>
  <si>
    <t>SRIMB002611</t>
  </si>
  <si>
    <t>SRIMB002676</t>
  </si>
  <si>
    <t>SRIMB002734</t>
  </si>
  <si>
    <t>26ETK0023H</t>
  </si>
  <si>
    <t>HUMBERTO GUTIERREZ</t>
  </si>
  <si>
    <t>26ETK0024G</t>
  </si>
  <si>
    <t>TELEBACHILLERATO COMUNITARIO LA VICTORIA</t>
  </si>
  <si>
    <t>LA VICTORIA</t>
  </si>
  <si>
    <t>26ETV0072W</t>
  </si>
  <si>
    <t>TELESECUNDARIA 72 MARIA TERESA HINOJOSA</t>
  </si>
  <si>
    <t>26ETV0071X</t>
  </si>
  <si>
    <t>PROF. ALBERTO GUTIERREZ</t>
  </si>
  <si>
    <t>MESA DEL SERI</t>
  </si>
  <si>
    <t>26ETV0346V</t>
  </si>
  <si>
    <t>MINEROS DE PILARES</t>
  </si>
  <si>
    <t>26ETK0025F</t>
  </si>
  <si>
    <t>TELEBACHILLERATO COMUNITARIO MOLINO DE CAMOU</t>
  </si>
  <si>
    <t>MOLINO DE CAMOU</t>
  </si>
  <si>
    <t>26ETK0027D</t>
  </si>
  <si>
    <t>TELEBACHILLERATO COMUNITARIO PUNTA CHUECA</t>
  </si>
  <si>
    <t>PUNTA CHUECA</t>
  </si>
  <si>
    <t>26ETV0260P</t>
  </si>
  <si>
    <t>TELESECUNDARIA 260</t>
  </si>
  <si>
    <t>SRIMB001054</t>
  </si>
  <si>
    <t>26ETV0186Y</t>
  </si>
  <si>
    <t>TELESECUNDARIA 186</t>
  </si>
  <si>
    <t>SAN PEDRO EL SAUCITO</t>
  </si>
  <si>
    <t>SRIMB001095</t>
  </si>
  <si>
    <t>SAN PEDRO O EL SAUCITO (SAN PEDRO EL SAUCITO)</t>
  </si>
  <si>
    <t>26ETV0167J</t>
  </si>
  <si>
    <t>TELESECUNDARIA 167J</t>
  </si>
  <si>
    <t>HUACHINERA</t>
  </si>
  <si>
    <t>SRIMB001351</t>
  </si>
  <si>
    <t>26ETV0170X</t>
  </si>
  <si>
    <t>NACORI CHICO</t>
  </si>
  <si>
    <t>EL SAUZ</t>
  </si>
  <si>
    <t>SRIMB001392</t>
  </si>
  <si>
    <t>NACOZARI DE GARCIA</t>
  </si>
  <si>
    <t>26ETK0007Q</t>
  </si>
  <si>
    <t>TELEBACHILLERATO COMUNITARIO ONAVAS</t>
  </si>
  <si>
    <t>ONAVAS</t>
  </si>
  <si>
    <t>26ETV0189V</t>
  </si>
  <si>
    <t>26ETV0310G</t>
  </si>
  <si>
    <t>SAN FELIPE DE JESUS</t>
  </si>
  <si>
    <t>26ETV0060R</t>
  </si>
  <si>
    <t>SAN MIGUEL DE HORCASITAS</t>
  </si>
  <si>
    <t>SRIMB001795</t>
  </si>
  <si>
    <t>26ETV0333R</t>
  </si>
  <si>
    <t>TELESECUNDARIA 333R</t>
  </si>
  <si>
    <t>TEPACHE</t>
  </si>
  <si>
    <t>26ETV0354D</t>
  </si>
  <si>
    <t>URES</t>
  </si>
  <si>
    <t>PUEBLO DE ALAMOS</t>
  </si>
  <si>
    <t>SLIMB000043</t>
  </si>
  <si>
    <t>AHOME</t>
  </si>
  <si>
    <t>SLIMB000142</t>
  </si>
  <si>
    <t>BOLSA DE TOSALIBAMPO UNO</t>
  </si>
  <si>
    <t>SLIMB002662</t>
  </si>
  <si>
    <t>EJIDO 9 DE DICIEMBRE</t>
  </si>
  <si>
    <t>25ETK0012C</t>
  </si>
  <si>
    <t>TELEBACHILLERATO COMUNITARIO OHUIRA</t>
  </si>
  <si>
    <t>EJIDO OHUIRA</t>
  </si>
  <si>
    <t>25ETK0014A</t>
  </si>
  <si>
    <t>TELEBACHILLERATO COMUNITARIO VALLEJO</t>
  </si>
  <si>
    <t>EJIDO PORVENIR VALLEJO</t>
  </si>
  <si>
    <t>SLIMB002242</t>
  </si>
  <si>
    <t>GUSTAVO DIAZ ORDAZ (EL CARRIZO)</t>
  </si>
  <si>
    <t>25ETK0052D</t>
  </si>
  <si>
    <t>LAS LAJITAS</t>
  </si>
  <si>
    <t>SLIMB000031</t>
  </si>
  <si>
    <t>LOS MOCHIS</t>
  </si>
  <si>
    <t>SLIMB002435</t>
  </si>
  <si>
    <t>SLIMB002522</t>
  </si>
  <si>
    <t>SLIMB002633</t>
  </si>
  <si>
    <t>SLIMB003012</t>
  </si>
  <si>
    <t>25DTV0083D</t>
  </si>
  <si>
    <t>TELESECUNDARIA FEDERALIZADA  83</t>
  </si>
  <si>
    <t>OHUIRA</t>
  </si>
  <si>
    <t>25ETK0013B</t>
  </si>
  <si>
    <t>25DTV0041E</t>
  </si>
  <si>
    <t>TELESECUNDARIA FEDERALIZADA NUMERO 41E</t>
  </si>
  <si>
    <t>CHOIX</t>
  </si>
  <si>
    <t>25ETK0060M</t>
  </si>
  <si>
    <t>SLIMB000953</t>
  </si>
  <si>
    <t>LOS PICACHOS</t>
  </si>
  <si>
    <t>25ETK0062K</t>
  </si>
  <si>
    <t>TASAJERAS</t>
  </si>
  <si>
    <t>25DTV0343Z</t>
  </si>
  <si>
    <t>ESCUELA TELESECUNDARIA FEDERALIZADA NO 343</t>
  </si>
  <si>
    <t>BAROTEN</t>
  </si>
  <si>
    <t>SLIMB001093</t>
  </si>
  <si>
    <t>CONSTANCIA</t>
  </si>
  <si>
    <t>SLIMB002814</t>
  </si>
  <si>
    <t>EL CARRICITO</t>
  </si>
  <si>
    <t>25DTV0258C</t>
  </si>
  <si>
    <t>TELESECUNDARIA FEDERALIZADA   258</t>
  </si>
  <si>
    <t>KILOMETRO 19</t>
  </si>
  <si>
    <t>25DTV0102B</t>
  </si>
  <si>
    <t>TELESECUNDARIA  102</t>
  </si>
  <si>
    <t>LA ARROCERA</t>
  </si>
  <si>
    <t>25ETK0029C</t>
  </si>
  <si>
    <t>TELEBACHILLERATO COMUNITARIO LA ARROCERA</t>
  </si>
  <si>
    <t>25DTV0321O</t>
  </si>
  <si>
    <t>TELESECUNDARIA FEDERALIZADA   321</t>
  </si>
  <si>
    <t>LAZARO CARDENAS(ESPERANZA)</t>
  </si>
  <si>
    <t>SLIMB002802</t>
  </si>
  <si>
    <t>LOS CAPOMOS</t>
  </si>
  <si>
    <t>25DTV0240D</t>
  </si>
  <si>
    <t>TELESECUNDARIA  240D</t>
  </si>
  <si>
    <t>RINCON DE ALISO</t>
  </si>
  <si>
    <t>25DTV0193J</t>
  </si>
  <si>
    <t>TELESECUNDARIA FEDERALIZADA 193J</t>
  </si>
  <si>
    <t>SIBAJAHUI</t>
  </si>
  <si>
    <t>SLIMB001175</t>
  </si>
  <si>
    <t>GUASAVE</t>
  </si>
  <si>
    <t>BAMOA</t>
  </si>
  <si>
    <t>25DTV0108W</t>
  </si>
  <si>
    <t>EJIDO CALLEJON DE TAMAZULA</t>
  </si>
  <si>
    <t>25ETK0081Z</t>
  </si>
  <si>
    <t>TELEBACHILLERATO COMUNITARIO EJIDO CAMPO 38</t>
  </si>
  <si>
    <t>EJIDO CAMPO 38</t>
  </si>
  <si>
    <t>SLIMB001192</t>
  </si>
  <si>
    <t>EL BURRION</t>
  </si>
  <si>
    <t>25DTV0251J</t>
  </si>
  <si>
    <t>TELESECUNDARIA NUMERO 251</t>
  </si>
  <si>
    <t>EL CARACOL</t>
  </si>
  <si>
    <t>SLIMB002855</t>
  </si>
  <si>
    <t>SLIMB001233</t>
  </si>
  <si>
    <t>EL CUBILETE (EL CUBILETE NUMERO UNO)</t>
  </si>
  <si>
    <t>SLIMB001250</t>
  </si>
  <si>
    <t>GABRIEL LEYVA SOLANO (BENITO JUAREZ)</t>
  </si>
  <si>
    <t>SLIMB001134</t>
  </si>
  <si>
    <t>26ETV0282A</t>
  </si>
  <si>
    <t>TELESECUNDARIA 282A</t>
  </si>
  <si>
    <t>EJ. MONUMENTOS</t>
  </si>
  <si>
    <t>SLIMB001274</t>
  </si>
  <si>
    <t>JUAN JOSE RIOS</t>
  </si>
  <si>
    <t>25ETK0036M</t>
  </si>
  <si>
    <t>LA CHUPARROSA</t>
  </si>
  <si>
    <t>25DTV0245Z</t>
  </si>
  <si>
    <t>TELESECUNDARIA 245</t>
  </si>
  <si>
    <t>LAS COLONIAS EJIDO ANGEL FLORES</t>
  </si>
  <si>
    <t>25ETK0083X</t>
  </si>
  <si>
    <t>TELEBACHILLERATO COMUNITARIO LAS FLORES</t>
  </si>
  <si>
    <t>SLIMB001291</t>
  </si>
  <si>
    <t>LEON FONSECA (ESTACION VERDURA)</t>
  </si>
  <si>
    <t>Queda intermitente ambar con folio 265904</t>
  </si>
  <si>
    <t>25DTV0195H</t>
  </si>
  <si>
    <t>TELESECUNDARIA FEDERALIZADA   195H</t>
  </si>
  <si>
    <t>SAN JOSE DE GUAYPARIME</t>
  </si>
  <si>
    <t>SLIMB001315</t>
  </si>
  <si>
    <t>SAN JOSE DE PALOS BLANCOS (PALOS BLANCOS)</t>
  </si>
  <si>
    <t>25DTV0365L</t>
  </si>
  <si>
    <t>TELESECUNDARIA 365</t>
  </si>
  <si>
    <t>LA TUNA</t>
  </si>
  <si>
    <t>25DTV0114G</t>
  </si>
  <si>
    <t>TELESECUNDARIA FED.   114</t>
  </si>
  <si>
    <t>POROHUI</t>
  </si>
  <si>
    <t>25ETK0003V</t>
  </si>
  <si>
    <t>TELEBACHILLERATO COMUNITARIO POROHUI</t>
  </si>
  <si>
    <t>25DTV0047Z</t>
  </si>
  <si>
    <t>TELESECUNDARIA FEDERALISADA 47</t>
  </si>
  <si>
    <t>SAN JOSE DE GRACIA</t>
  </si>
  <si>
    <t>25DTV0115F</t>
  </si>
  <si>
    <t>TELESECUNDARIA FEDERAL 115F</t>
  </si>
  <si>
    <t>SLIMB002925</t>
  </si>
  <si>
    <t>CHIRIMOYOS</t>
  </si>
  <si>
    <t>SLIMB000446</t>
  </si>
  <si>
    <t>HEROICA CIUDAD CONCORDIA</t>
  </si>
  <si>
    <t>SLIMB003193</t>
  </si>
  <si>
    <t>25ETK0063J</t>
  </si>
  <si>
    <t>TELEBACHILLERATO COMUNITARIO LA PETACA</t>
  </si>
  <si>
    <t>LA PETACA</t>
  </si>
  <si>
    <t>SLIMB000516</t>
  </si>
  <si>
    <t>25DTV0081F</t>
  </si>
  <si>
    <t>LA PETACA CONCORDIA</t>
  </si>
  <si>
    <t>25ETK0101W</t>
  </si>
  <si>
    <t>TELEBACHILLETO COMUNITARIO MALPICA</t>
  </si>
  <si>
    <t>MALPICA</t>
  </si>
  <si>
    <t>25ETK0022J</t>
  </si>
  <si>
    <t>TBC SANTA CATARINA</t>
  </si>
  <si>
    <t>25ETK0023I</t>
  </si>
  <si>
    <t>ZAVALA</t>
  </si>
  <si>
    <t>28DTV0003Z</t>
  </si>
  <si>
    <t>PROF. JOSE ABAD PUGA LOREDO</t>
  </si>
  <si>
    <t>TAMAULIPAS</t>
  </si>
  <si>
    <t>REYNOSA</t>
  </si>
  <si>
    <t>28DTV0005X</t>
  </si>
  <si>
    <t>LUCIO BLANCO</t>
  </si>
  <si>
    <t>EJIDO EL GUERREÑO</t>
  </si>
  <si>
    <t>28DTV0006W</t>
  </si>
  <si>
    <t>EJ. LOS CAVAZOS</t>
  </si>
  <si>
    <t>28DTV0007V</t>
  </si>
  <si>
    <t>PALMILLAS</t>
  </si>
  <si>
    <t>28DTV0011H</t>
  </si>
  <si>
    <t>28DTV0013F</t>
  </si>
  <si>
    <t>TELESECUNDARIA JOSE VASCONCELOS</t>
  </si>
  <si>
    <t>EJIDO SANTA ANA DE NAHOLA</t>
  </si>
  <si>
    <t>28DTV0021O</t>
  </si>
  <si>
    <t>DOROTEO ARANGO</t>
  </si>
  <si>
    <t>EL MANTE</t>
  </si>
  <si>
    <t>NUEVO CENTRO DE POBLACION LAZARO CARDENAS DOS</t>
  </si>
  <si>
    <t>28DTV0023M</t>
  </si>
  <si>
    <t>28DTV0037P</t>
  </si>
  <si>
    <t xml:space="preserve">TIERRA Y LIBERTAD </t>
  </si>
  <si>
    <t>LAGUNA HONDA</t>
  </si>
  <si>
    <t>28DTV0053G</t>
  </si>
  <si>
    <t>RAFAEL TEJEDA PUENTE</t>
  </si>
  <si>
    <t>BURGOS</t>
  </si>
  <si>
    <t>EJ. CANDIDO AGUILAR</t>
  </si>
  <si>
    <t>28DTV0061P</t>
  </si>
  <si>
    <t>POBLADO JARITA</t>
  </si>
  <si>
    <t>28DTV0068I</t>
  </si>
  <si>
    <t>TANQUE BLANCO</t>
  </si>
  <si>
    <t>28DTV0069H</t>
  </si>
  <si>
    <t>JAUMAVE</t>
  </si>
  <si>
    <t>MAGDALENO AGUILAR</t>
  </si>
  <si>
    <t>28DTV0086Y</t>
  </si>
  <si>
    <t>EJIDO EL OLIVO</t>
  </si>
  <si>
    <t>28DTV0115C</t>
  </si>
  <si>
    <t>BUSTAMANTE</t>
  </si>
  <si>
    <t>SAN ANTONIO DE PADUA</t>
  </si>
  <si>
    <t>28DTV0127H</t>
  </si>
  <si>
    <t>ING. EDUARDO CHAVEZ</t>
  </si>
  <si>
    <t>EJ. EL SOLISENO</t>
  </si>
  <si>
    <t>28DTV0129F</t>
  </si>
  <si>
    <t>VICENTE GUERRERO VAZQUEZ</t>
  </si>
  <si>
    <t>EJ. PRAXEDIS G. GUERRERO</t>
  </si>
  <si>
    <t>28DTV0133S</t>
  </si>
  <si>
    <t>TV OTILIO MONTAÑO</t>
  </si>
  <si>
    <t>MIQUIHUANA</t>
  </si>
  <si>
    <t>28DTV0150I</t>
  </si>
  <si>
    <t>MANUEL CAVAZOS LERMA</t>
  </si>
  <si>
    <t>ANTIGUO MORELOS</t>
  </si>
  <si>
    <t>EJIDO PRAXEDIS GUERRERO</t>
  </si>
  <si>
    <t>28DTV0158A</t>
  </si>
  <si>
    <t>ESCUELA TELESECUNDARIA PROFR. ABEL RAMIREZ RAMIREZ</t>
  </si>
  <si>
    <t>28DTV0182A</t>
  </si>
  <si>
    <t>MANUEL GOMEZ PEDRAZA</t>
  </si>
  <si>
    <t>LA GAVIA</t>
  </si>
  <si>
    <t>28DTV0188V</t>
  </si>
  <si>
    <t xml:space="preserve">PROFR. ISAAC LOPEZ LUNA </t>
  </si>
  <si>
    <t>RANCHERIAS</t>
  </si>
  <si>
    <t>28DTV0202Y</t>
  </si>
  <si>
    <t>PROFESORA OFELIA GUTIERREZ DE SALAZAR CEBALLOS</t>
  </si>
  <si>
    <t>28DTV0209R</t>
  </si>
  <si>
    <t>LUIS GONZAGA HERNANDEZ PESINA</t>
  </si>
  <si>
    <t>EJ. ALFONSO TERRONES BENITEZ</t>
  </si>
  <si>
    <t>28DTV0210G</t>
  </si>
  <si>
    <t>MANUEL VILLASANA ORTIZ</t>
  </si>
  <si>
    <t>28DTV0211F</t>
  </si>
  <si>
    <t>PROFESOR PROCORO SALAZAR HERNANDEZ</t>
  </si>
  <si>
    <t>LABORCITAS</t>
  </si>
  <si>
    <t>28DTV0212E</t>
  </si>
  <si>
    <t>LUIS PUEBLA Y CUADRA</t>
  </si>
  <si>
    <t>EJ. LOMA ALTA</t>
  </si>
  <si>
    <t>28DTV0218Z</t>
  </si>
  <si>
    <t>PROF. RICARDO SALDIVAR SALINAS</t>
  </si>
  <si>
    <t>EJIDO VENUSTIANO CARRANZA DOS</t>
  </si>
  <si>
    <t>28DTV0224J</t>
  </si>
  <si>
    <t>PROFA. ALICIA ARGÑELLES CISNEROS</t>
  </si>
  <si>
    <t>POBLADO LOS ALTOS</t>
  </si>
  <si>
    <t>28DTV0229E</t>
  </si>
  <si>
    <t>FERMIN TRISTAN MENDOZA</t>
  </si>
  <si>
    <t>CIUDAD MANTE</t>
  </si>
  <si>
    <t>28DTV0241Z</t>
  </si>
  <si>
    <t>LIC. MANUEL CAVAZOS LERMA</t>
  </si>
  <si>
    <t>SOTO LA MARINA</t>
  </si>
  <si>
    <t>EJIDO LA PIEDRA</t>
  </si>
  <si>
    <t>28DTV0242Z</t>
  </si>
  <si>
    <t>PROFR. OSCAR GONZALEZ BLACKALLER</t>
  </si>
  <si>
    <t>EJIDO AMPLIACION RIO BRAVO</t>
  </si>
  <si>
    <t>28DTV0243Y</t>
  </si>
  <si>
    <t>MARIA GUADALUPE DE LA FUENTE ZERTUCHEE</t>
  </si>
  <si>
    <t>NUEVO LAREDO</t>
  </si>
  <si>
    <t>28DTV0245W</t>
  </si>
  <si>
    <t>TELESECUNDARIA PROFR. MANUEL GARCIA COSTILLA</t>
  </si>
  <si>
    <t>EJ. LONGOREÑO</t>
  </si>
  <si>
    <t>28DTV0253E</t>
  </si>
  <si>
    <t>PROFA. PORFIRIA ENRIQUETA LARA CANO</t>
  </si>
  <si>
    <t>EJ. SANTA CLARA NO. 2</t>
  </si>
  <si>
    <t>28DTV0291H</t>
  </si>
  <si>
    <t>LAZARO PICASSO TOVAR</t>
  </si>
  <si>
    <t>JOSE ASCENSION RODRIGUEZ</t>
  </si>
  <si>
    <t>28DTV0292G</t>
  </si>
  <si>
    <t>CARLOS TREVINO RODRIGUEZ</t>
  </si>
  <si>
    <t>28DTV0295D</t>
  </si>
  <si>
    <t>AGAPITO GONZALEZ CAVAZOS</t>
  </si>
  <si>
    <t>EJIDO GALANEÑO</t>
  </si>
  <si>
    <t>28DTV0297B</t>
  </si>
  <si>
    <t>MARIA GUADALUPE LOPEZ MARQUEZ</t>
  </si>
  <si>
    <t>PADILLA</t>
  </si>
  <si>
    <t>SAN PATRICIO</t>
  </si>
  <si>
    <t>28DTV0299Z</t>
  </si>
  <si>
    <t>BERTHA ELIA GONZALEZ FLORES</t>
  </si>
  <si>
    <t>CIUDAD RIO BRAVO</t>
  </si>
  <si>
    <t>28DTV0307S</t>
  </si>
  <si>
    <t>28DTV0308R</t>
  </si>
  <si>
    <t>RAMIRO IGLESIAS LEAL</t>
  </si>
  <si>
    <t>VAMOS TAMAULIPAS</t>
  </si>
  <si>
    <t>28DTV0313C</t>
  </si>
  <si>
    <t>JOSE EMILIO PACHECO BERNY</t>
  </si>
  <si>
    <t>HEROICA MATAMOROS</t>
  </si>
  <si>
    <t>28ETH0017H</t>
  </si>
  <si>
    <t>TELEBACHILLERATO  17 ALFREDO V BONFIL</t>
  </si>
  <si>
    <t>SAN FERNANDO</t>
  </si>
  <si>
    <t>28ETH0036W</t>
  </si>
  <si>
    <t>TELEBACHILLERATO  36 JUAN RINCON</t>
  </si>
  <si>
    <t>EJIDO JUAN RINCON</t>
  </si>
  <si>
    <t>28ETK0001U</t>
  </si>
  <si>
    <t>TELEBACHILLERATO COMUNITARIO 001 LOS CAVAZOS</t>
  </si>
  <si>
    <t>28ETK0002T</t>
  </si>
  <si>
    <t>TELEBACHILLERATO COMUNITARIO 002</t>
  </si>
  <si>
    <t>EJ. EL LONGOREÑO</t>
  </si>
  <si>
    <t>28ETK0008N</t>
  </si>
  <si>
    <t>TELEBACHILLERATO COMUNITARIO 008</t>
  </si>
  <si>
    <t>VILLA PALMILLAS</t>
  </si>
  <si>
    <t>28ETK0009M</t>
  </si>
  <si>
    <t>TELEBACHILLERATO COMUNITARIO 009</t>
  </si>
  <si>
    <t>EJ. EL AGUACATE</t>
  </si>
  <si>
    <t>28ETK0012Z</t>
  </si>
  <si>
    <t>TELEBACHILLERATO COMUNITARIO 012</t>
  </si>
  <si>
    <t>NICOLÁS BRAVO (PALO ALTO)</t>
  </si>
  <si>
    <t>28ETK0021H</t>
  </si>
  <si>
    <t>TELEBACHILLERATO COMUNITARIO 021</t>
  </si>
  <si>
    <t>AMPLIACIÓN RÍO BRAVO</t>
  </si>
  <si>
    <t>28ETK0022G</t>
  </si>
  <si>
    <t>TELEBACHILLERATO COMUNITARIO 022</t>
  </si>
  <si>
    <t>La Soledad</t>
  </si>
  <si>
    <t>28ETK0023F</t>
  </si>
  <si>
    <t>TELEBACHILLERATO COMUNITARIO 023</t>
  </si>
  <si>
    <t>Magueyes</t>
  </si>
  <si>
    <t>28ETK0024E</t>
  </si>
  <si>
    <t>TELEBACHILLERATO COMUNITARIO 024</t>
  </si>
  <si>
    <t>El Saucillo</t>
  </si>
  <si>
    <t>28ETK0028A</t>
  </si>
  <si>
    <t>TELEBACHILLERATO COMUNITARIO 028</t>
  </si>
  <si>
    <t>El Olivo</t>
  </si>
  <si>
    <t>28ETK0029Z</t>
  </si>
  <si>
    <t>TELEBACHILLERATO COMUNITARIO 029</t>
  </si>
  <si>
    <t>Santa Librada</t>
  </si>
  <si>
    <t>28ETK0036J</t>
  </si>
  <si>
    <t>TELEBACHILLERATO COMUNITARIO 036</t>
  </si>
  <si>
    <t>28ETK0037I</t>
  </si>
  <si>
    <t>TELEBACHILLERATO COMUNITARIO 037</t>
  </si>
  <si>
    <t>Nuevo Progreso</t>
  </si>
  <si>
    <t>28ETV0005W</t>
  </si>
  <si>
    <t>EJ. AVILA Y URBINA</t>
  </si>
  <si>
    <t>28ETV0010H</t>
  </si>
  <si>
    <t>HERMANOS VAZQUEZ GOMEZ</t>
  </si>
  <si>
    <t>MAGDALENO CEDILLO</t>
  </si>
  <si>
    <t>BCIMB000022</t>
  </si>
  <si>
    <t>BCIMB000034</t>
  </si>
  <si>
    <t>BCIMB000046</t>
  </si>
  <si>
    <t>BCIMB000051</t>
  </si>
  <si>
    <t>BCIMB000075</t>
  </si>
  <si>
    <t>BCIMB000080</t>
  </si>
  <si>
    <t>Queda pendiente activación con Mesa de Servicio</t>
  </si>
  <si>
    <t>BCIMB000092</t>
  </si>
  <si>
    <t>BCIMB000116</t>
  </si>
  <si>
    <t>BCIMB000121</t>
  </si>
  <si>
    <t>BCIMB000174</t>
  </si>
  <si>
    <t>RODOLFO SANCHEZ TABOADA (MANEADERO)</t>
  </si>
  <si>
    <t>BCIMB000203</t>
  </si>
  <si>
    <t>EL ROSARIO DE ARRIBA</t>
  </si>
  <si>
    <t>BCIMB000285</t>
  </si>
  <si>
    <t>VILLA DE JUAREZ (SAN ANTONIO DE LAS MINAS)</t>
  </si>
  <si>
    <t>BCIMB000326</t>
  </si>
  <si>
    <t>BCIMB000331</t>
  </si>
  <si>
    <t>RANCHO CAÑ‘ON BUENA VISTA (EL ZORRILLO)</t>
  </si>
  <si>
    <t>BCIMB000360</t>
  </si>
  <si>
    <t>BCIMB000396</t>
  </si>
  <si>
    <t>BCIMB000401</t>
  </si>
  <si>
    <t>BCIMB000413</t>
  </si>
  <si>
    <t>BCIMB000425</t>
  </si>
  <si>
    <t>BCIMB000430</t>
  </si>
  <si>
    <t>BCIMB000442</t>
  </si>
  <si>
    <t>BCIMB000466</t>
  </si>
  <si>
    <t>BCIMB000471</t>
  </si>
  <si>
    <t>BCIMB000483</t>
  </si>
  <si>
    <t>BCIMB000495</t>
  </si>
  <si>
    <t>BCIMB000512</t>
  </si>
  <si>
    <t>VICENTE GUERRERO (ALGODONES)</t>
  </si>
  <si>
    <t>BCIMB000524</t>
  </si>
  <si>
    <t>DELTA (ESTACION DELTA)</t>
  </si>
  <si>
    <t>BCIMB000541</t>
  </si>
  <si>
    <t>CIUDAD GUADALUPE VICTORIA (KILOMETRO CUARENTA Y TRES)</t>
  </si>
  <si>
    <t>BCIMB000553</t>
  </si>
  <si>
    <t>EJIDO HERMOSILLO</t>
  </si>
  <si>
    <t>BCIMB000570</t>
  </si>
  <si>
    <t>BCIMB000594</t>
  </si>
  <si>
    <t>Queda pendiente validación por Mesa de Servicio</t>
  </si>
  <si>
    <t>BCIMB000606</t>
  </si>
  <si>
    <t>BCIMB000623</t>
  </si>
  <si>
    <t>BCIMB000635</t>
  </si>
  <si>
    <t>BCIMB000681</t>
  </si>
  <si>
    <t>BCIMB000705</t>
  </si>
  <si>
    <t>VALLE DE LAS PALMAS</t>
  </si>
  <si>
    <t>BCIMB000746</t>
  </si>
  <si>
    <t>BCIMB000751</t>
  </si>
  <si>
    <t>BCIMB000763</t>
  </si>
  <si>
    <t>BCIMB000775</t>
  </si>
  <si>
    <t>BCIMB000780</t>
  </si>
  <si>
    <t>BCIMB000792</t>
  </si>
  <si>
    <t>BCIMB000804</t>
  </si>
  <si>
    <t>BCIMB000816</t>
  </si>
  <si>
    <t>BCIMB000821</t>
  </si>
  <si>
    <t>BCIMB000833</t>
  </si>
  <si>
    <t>BCIMB000845</t>
  </si>
  <si>
    <t>BCIMB000850</t>
  </si>
  <si>
    <t>CENTRO DE SALUD LAZARO CARDENAS</t>
  </si>
  <si>
    <t>BCIMB000874</t>
  </si>
  <si>
    <t>BCIMB000886</t>
  </si>
  <si>
    <t>BCIMB000891</t>
  </si>
  <si>
    <t>BCIMB000915</t>
  </si>
  <si>
    <t>BCIMB000944</t>
  </si>
  <si>
    <t>EL NIÑO</t>
  </si>
  <si>
    <t>BCIMB000956</t>
  </si>
  <si>
    <t>BCIMB000961</t>
  </si>
  <si>
    <t>BCIMB000973</t>
  </si>
  <si>
    <t>BCIMB000985</t>
  </si>
  <si>
    <t>BCIMB001002</t>
  </si>
  <si>
    <t>BCIMB001014</t>
  </si>
  <si>
    <t>BCIMB001026</t>
  </si>
  <si>
    <t>BCIMB001031</t>
  </si>
  <si>
    <t>BCIMB001055</t>
  </si>
  <si>
    <t>S/I</t>
  </si>
  <si>
    <t>BCIMB001060</t>
  </si>
  <si>
    <t>BCIMB001084</t>
  </si>
  <si>
    <t>BCIMB001096</t>
  </si>
  <si>
    <t>BCIMB001101</t>
  </si>
  <si>
    <t>PRIMO TAPIA</t>
  </si>
  <si>
    <t>BCIMB001113</t>
  </si>
  <si>
    <t>BCIMB001125</t>
  </si>
  <si>
    <t>BCIMB001130</t>
  </si>
  <si>
    <t>BCIMB001142</t>
  </si>
  <si>
    <t>BCIMB001154</t>
  </si>
  <si>
    <t>BCIMB001166</t>
  </si>
  <si>
    <t>BCIMB001171</t>
  </si>
  <si>
    <t>BCIMB001183</t>
  </si>
  <si>
    <t>BCIMB001195</t>
  </si>
  <si>
    <t>BCIMB001200</t>
  </si>
  <si>
    <t>BCIMB001212</t>
  </si>
  <si>
    <t>BCIMB001224</t>
  </si>
  <si>
    <t>BCIMB001236</t>
  </si>
  <si>
    <t>BCIMB001241</t>
  </si>
  <si>
    <t>BCIMB001253</t>
  </si>
  <si>
    <t>BCIMB001282</t>
  </si>
  <si>
    <t>BCIMB001294</t>
  </si>
  <si>
    <t>BCIMB001311</t>
  </si>
  <si>
    <t>BCIMB001323</t>
  </si>
  <si>
    <t>BCIMB001335</t>
  </si>
  <si>
    <t>BCIMB001340</t>
  </si>
  <si>
    <t>BCIMB001352</t>
  </si>
  <si>
    <t>BCIMB001364</t>
  </si>
  <si>
    <t>BCIMB001376</t>
  </si>
  <si>
    <t>BCIMB001381</t>
  </si>
  <si>
    <t>BCIMB001393</t>
  </si>
  <si>
    <t>BCIMB001405</t>
  </si>
  <si>
    <t>BCIMB001410</t>
  </si>
  <si>
    <t>BCIMB001422</t>
  </si>
  <si>
    <t>BCIMB001434</t>
  </si>
  <si>
    <t>EL SAUZAL DE RODRIGUEZ</t>
  </si>
  <si>
    <t>BCIMB001446</t>
  </si>
  <si>
    <t>BCIMB001451</t>
  </si>
  <si>
    <t>BCIMB001492</t>
  </si>
  <si>
    <t>BCIMB001504</t>
  </si>
  <si>
    <t>BCIMB001533</t>
  </si>
  <si>
    <t>BCIMB001545</t>
  </si>
  <si>
    <t>BCIMB001586</t>
  </si>
  <si>
    <t>BCIMB001591</t>
  </si>
  <si>
    <t>BCIMB001615</t>
  </si>
  <si>
    <t>BCIMB001620</t>
  </si>
  <si>
    <t>BCIMB001632</t>
  </si>
  <si>
    <t>BCIMB001673</t>
  </si>
  <si>
    <t>BCIMB001685</t>
  </si>
  <si>
    <t>BCIMB001731</t>
  </si>
  <si>
    <t>CENTRO DE SALUD TIJUANA</t>
  </si>
  <si>
    <t>BCIMB001755</t>
  </si>
  <si>
    <t>BCIMB001760</t>
  </si>
  <si>
    <t>BCIMB001772</t>
  </si>
  <si>
    <t>BCIMB001796</t>
  </si>
  <si>
    <t>BSIMB000124</t>
  </si>
  <si>
    <t>BSIMB000194</t>
  </si>
  <si>
    <t>BSIMB000206</t>
  </si>
  <si>
    <t>BSIMB000211</t>
  </si>
  <si>
    <t>BSIMB000223</t>
  </si>
  <si>
    <t>BSIMB000235</t>
  </si>
  <si>
    <t>BSIMB000240</t>
  </si>
  <si>
    <t>EL CENTENARIO</t>
  </si>
  <si>
    <t>BSIMB000252</t>
  </si>
  <si>
    <t>BSIMB000334</t>
  </si>
  <si>
    <t>BSIMB000346</t>
  </si>
  <si>
    <t>BSIMB000351</t>
  </si>
  <si>
    <t>Queda pendiente activación por parte de Mesa de Servicio</t>
  </si>
  <si>
    <t>BSIMB000375</t>
  </si>
  <si>
    <t>BSIMB000392</t>
  </si>
  <si>
    <t>BSIMB000404</t>
  </si>
  <si>
    <t>BSIMB000416</t>
  </si>
  <si>
    <t>BSIMB000450</t>
  </si>
  <si>
    <t>BSIMB000486</t>
  </si>
  <si>
    <t>BSIMB000491</t>
  </si>
  <si>
    <t>BSIMB000503</t>
  </si>
  <si>
    <t>BSIMB000515</t>
  </si>
  <si>
    <t>BSIMB000590</t>
  </si>
  <si>
    <t>BSIMB000614</t>
  </si>
  <si>
    <t>BSIMB000631</t>
  </si>
  <si>
    <t>BSIMB000643</t>
  </si>
  <si>
    <t>BSIMB000655</t>
  </si>
  <si>
    <t>BSIMB000660</t>
  </si>
  <si>
    <t>BSIMB000696</t>
  </si>
  <si>
    <t>BSIMB000701</t>
  </si>
  <si>
    <t>BSIMB000713</t>
  </si>
  <si>
    <t>BSIMB000725</t>
  </si>
  <si>
    <t>BSIMB000730</t>
  </si>
  <si>
    <t>BSIMB000742</t>
  </si>
  <si>
    <t>BSIMB000795</t>
  </si>
  <si>
    <t>DFIMB000043</t>
  </si>
  <si>
    <t>DFIMB000055</t>
  </si>
  <si>
    <t>DFIMB000072</t>
  </si>
  <si>
    <t>DFIMB000101</t>
  </si>
  <si>
    <t>DFIMB000195</t>
  </si>
  <si>
    <t>DFIMB000212</t>
  </si>
  <si>
    <t>DFIMB000265</t>
  </si>
  <si>
    <t>DFIMB000294</t>
  </si>
  <si>
    <t>DFIMB000311</t>
  </si>
  <si>
    <t>DFIMB000323</t>
  </si>
  <si>
    <t>DFIMB000335</t>
  </si>
  <si>
    <t>DFIMB000376</t>
  </si>
  <si>
    <t>DFIMB000393</t>
  </si>
  <si>
    <t>DFIMB000405</t>
  </si>
  <si>
    <t>DFIMB000463</t>
  </si>
  <si>
    <t>DFIMB000492</t>
  </si>
  <si>
    <t>DFIMB000504</t>
  </si>
  <si>
    <t>DFIMB000521</t>
  </si>
  <si>
    <t>DFIMB000562</t>
  </si>
  <si>
    <t>DFIMB000591</t>
  </si>
  <si>
    <t>DFIMB000673</t>
  </si>
  <si>
    <t>DFIMB000702</t>
  </si>
  <si>
    <t>DFIMB000784</t>
  </si>
  <si>
    <t>DFIMB000801</t>
  </si>
  <si>
    <t>DFIMB000830</t>
  </si>
  <si>
    <t>DFIMB000871</t>
  </si>
  <si>
    <t>DFIMB001011</t>
  </si>
  <si>
    <t>DFIMB001093</t>
  </si>
  <si>
    <t>DFIMB001122</t>
  </si>
  <si>
    <t>DFIMB001146</t>
  </si>
  <si>
    <t>DFIMB001175</t>
  </si>
  <si>
    <t>SAN FRANCISCO TECOXPA</t>
  </si>
  <si>
    <t>DFIMB001192</t>
  </si>
  <si>
    <t>DFIMB001262</t>
  </si>
  <si>
    <t>DFIMB001291</t>
  </si>
  <si>
    <t>DFIMB001303</t>
  </si>
  <si>
    <t>DFIMB001320</t>
  </si>
  <si>
    <t>DFIMB001402</t>
  </si>
  <si>
    <t>DFIMB001426</t>
  </si>
  <si>
    <t>DFIMB001431</t>
  </si>
  <si>
    <t>SAN ANDRES MIXQUIC</t>
  </si>
  <si>
    <t>DFIMB001455</t>
  </si>
  <si>
    <t>DFIMB001501</t>
  </si>
  <si>
    <t>DFIMB001525</t>
  </si>
  <si>
    <t>DFIMB001542</t>
  </si>
  <si>
    <t>DFIMB001554</t>
  </si>
  <si>
    <t>DFIMB001600</t>
  </si>
  <si>
    <t>DFIMB001641</t>
  </si>
  <si>
    <t>SAN MIGUEL AJUSCO</t>
  </si>
  <si>
    <t>DFIMB001653</t>
  </si>
  <si>
    <t>SAN MIGUEL TOPILEJO</t>
  </si>
  <si>
    <t>DFIMB001665</t>
  </si>
  <si>
    <t>DFIMB001711</t>
  </si>
  <si>
    <t>DFIMB001735</t>
  </si>
  <si>
    <t>DFIMB001776</t>
  </si>
  <si>
    <t>DFIMB001781</t>
  </si>
  <si>
    <t>DFIMB001805</t>
  </si>
  <si>
    <t>DFIMB001810</t>
  </si>
  <si>
    <t>DFIMB001904</t>
  </si>
  <si>
    <t>DFIMB001986</t>
  </si>
  <si>
    <t>DFIMB002020</t>
  </si>
  <si>
    <t>DFIMB002090</t>
  </si>
  <si>
    <t>DFIMB002126</t>
  </si>
  <si>
    <t>DFIMB002143</t>
  </si>
  <si>
    <t>DFIMB002155</t>
  </si>
  <si>
    <t>DFIMB002242</t>
  </si>
  <si>
    <t>DFIMB002254</t>
  </si>
  <si>
    <t>DFIMB002271</t>
  </si>
  <si>
    <t>DFIMB002324</t>
  </si>
  <si>
    <t>DFIMB002353</t>
  </si>
  <si>
    <t>DFIMB002370</t>
  </si>
  <si>
    <t>DFIMB002481</t>
  </si>
  <si>
    <t>DFIMB002493</t>
  </si>
  <si>
    <t>DFIMB002551</t>
  </si>
  <si>
    <t>DFIMB002592</t>
  </si>
  <si>
    <t>DFIMB002604</t>
  </si>
  <si>
    <t>DFIMB002616</t>
  </si>
  <si>
    <t>DFIMB002633</t>
  </si>
  <si>
    <t>DFIMB002645</t>
  </si>
  <si>
    <t>DFIMB002686</t>
  </si>
  <si>
    <t>DFIMB002691</t>
  </si>
  <si>
    <t>DFIMB002703</t>
  </si>
  <si>
    <t>SAN LORENZO ACOPILCO</t>
  </si>
  <si>
    <t>DFIMB002715</t>
  </si>
  <si>
    <t>DFIMB002720</t>
  </si>
  <si>
    <t>DFIMB002826</t>
  </si>
  <si>
    <t>DFIMB002860</t>
  </si>
  <si>
    <t>DFIMB002925</t>
  </si>
  <si>
    <t>DFIMB002930</t>
  </si>
  <si>
    <t>DFIMB003024</t>
  </si>
  <si>
    <t>DFIMB003041</t>
  </si>
  <si>
    <t>DFIMB003070</t>
  </si>
  <si>
    <t>DFIMB003111</t>
  </si>
  <si>
    <t>DFIMB003176</t>
  </si>
  <si>
    <t>SAN NICOLAS TETELCO</t>
  </si>
  <si>
    <t>DFIMB003181</t>
  </si>
  <si>
    <t>GTIMB000015</t>
  </si>
  <si>
    <t>HGIMB000262</t>
  </si>
  <si>
    <t>AGUA BLANCA DE ITURBIDE</t>
  </si>
  <si>
    <t>HGIMB000706</t>
  </si>
  <si>
    <t>HGIMB000776</t>
  </si>
  <si>
    <t>HGIMB000805</t>
  </si>
  <si>
    <t>HGIMB000916</t>
  </si>
  <si>
    <t>HGIMB001044</t>
  </si>
  <si>
    <t>HGIMB001056</t>
  </si>
  <si>
    <t>HGIMB001744</t>
  </si>
  <si>
    <t>HGIMB001913</t>
  </si>
  <si>
    <t>HGIMB002140</t>
  </si>
  <si>
    <t>EL JAGÑœEY</t>
  </si>
  <si>
    <t>HGIMB002304</t>
  </si>
  <si>
    <t>HGIMB002316</t>
  </si>
  <si>
    <t>HGIMB002321</t>
  </si>
  <si>
    <t>HGIMB002333</t>
  </si>
  <si>
    <t>HGIMB002345</t>
  </si>
  <si>
    <t>HGIMB002350</t>
  </si>
  <si>
    <t>HGIMB002362</t>
  </si>
  <si>
    <t>HGIMB002374</t>
  </si>
  <si>
    <t>HGIMB002403</t>
  </si>
  <si>
    <t>HGIMB002420</t>
  </si>
  <si>
    <t>HGIMB002432</t>
  </si>
  <si>
    <t>HGIMB002794</t>
  </si>
  <si>
    <t>SANTIAGO TULANTEPEC DE LUGO GUERRERO</t>
  </si>
  <si>
    <t>SANTIAGO TULANTEPEC</t>
  </si>
  <si>
    <t>HGIMB002806</t>
  </si>
  <si>
    <t>EL PEDREGAL DE SAN JOSE</t>
  </si>
  <si>
    <t>HGIMB002835</t>
  </si>
  <si>
    <t>HGIMB002852</t>
  </si>
  <si>
    <t>TASQUILLO</t>
  </si>
  <si>
    <t>CANDELARIA</t>
  </si>
  <si>
    <t>HGIMB003004</t>
  </si>
  <si>
    <t>HGIMB003016</t>
  </si>
  <si>
    <t>HGIMB003021</t>
  </si>
  <si>
    <t>TULTENGO</t>
  </si>
  <si>
    <t>HGIMB003033</t>
  </si>
  <si>
    <t>HGIMB003086</t>
  </si>
  <si>
    <t>CUAZAHUATL</t>
  </si>
  <si>
    <t>HGIMB003156</t>
  </si>
  <si>
    <t>HGIMB003190</t>
  </si>
  <si>
    <t>SANTA MARIA QUELITES</t>
  </si>
  <si>
    <t>HGIMB003202</t>
  </si>
  <si>
    <t>HGIMB003284</t>
  </si>
  <si>
    <t>VILLA DE TEZONTEPEC</t>
  </si>
  <si>
    <t>HGIMB003436</t>
  </si>
  <si>
    <t>LAS PLAZAS</t>
  </si>
  <si>
    <t>HGIMB003523</t>
  </si>
  <si>
    <t>TLANALAPA</t>
  </si>
  <si>
    <t>HGIMB003535</t>
  </si>
  <si>
    <t>CHICONCUAC</t>
  </si>
  <si>
    <t>HGIMB003605</t>
  </si>
  <si>
    <t>BARRIO NUEVO</t>
  </si>
  <si>
    <t>HGIMB003885</t>
  </si>
  <si>
    <t>JAVIER ROJO GOMEZ</t>
  </si>
  <si>
    <t>HGIMB003890</t>
  </si>
  <si>
    <t>TULANCINGO</t>
  </si>
  <si>
    <t>HGIMB004281</t>
  </si>
  <si>
    <t>HGIMB004445</t>
  </si>
  <si>
    <t>HGIMB004474</t>
  </si>
  <si>
    <t>HGIMB004573</t>
  </si>
  <si>
    <t>HGIMB004585</t>
  </si>
  <si>
    <t>SANTA MARIA LA CALERA</t>
  </si>
  <si>
    <t>HGIMB004660</t>
  </si>
  <si>
    <t>PUERTO DE NARANJOS</t>
  </si>
  <si>
    <t>HGIMB004754</t>
  </si>
  <si>
    <t>HGIMB005022</t>
  </si>
  <si>
    <t>HGIMB005080</t>
  </si>
  <si>
    <t>HGIMB005186</t>
  </si>
  <si>
    <t>HGIMB005203</t>
  </si>
  <si>
    <t>HGIMB005215</t>
  </si>
  <si>
    <t>HGIMB005220</t>
  </si>
  <si>
    <t>HGIMB005232</t>
  </si>
  <si>
    <t>HGIMB005256</t>
  </si>
  <si>
    <t>HGIMB005261</t>
  </si>
  <si>
    <t>HGIMB005290</t>
  </si>
  <si>
    <t>HGIMB005314</t>
  </si>
  <si>
    <t>HGIMB005326</t>
  </si>
  <si>
    <t>HGIMB005360</t>
  </si>
  <si>
    <t>HGIMB005372</t>
  </si>
  <si>
    <t>HGIMB005430</t>
  </si>
  <si>
    <t>HGIMB005483</t>
  </si>
  <si>
    <t>MCIMB000086</t>
  </si>
  <si>
    <t>LOS PILARES</t>
  </si>
  <si>
    <t>MCIMB000132</t>
  </si>
  <si>
    <t>MCIMB000190</t>
  </si>
  <si>
    <t>ACOLMAN DE NEZAHUALCOYOTL</t>
  </si>
  <si>
    <t>MCIMB000202</t>
  </si>
  <si>
    <t>NO CONCRETADO ***= YA CUENTA CON ANTENA INSTALADA Y SE GENERA TICKET DE MESA DE AYUDA</t>
  </si>
  <si>
    <t>MCIMB000255</t>
  </si>
  <si>
    <t>MCIMB000284</t>
  </si>
  <si>
    <t>MCIMB000366</t>
  </si>
  <si>
    <t>MCIMB000383</t>
  </si>
  <si>
    <t>VILLA DE ALMOLOYA DE JUAREZ</t>
  </si>
  <si>
    <t>MCIMB000523</t>
  </si>
  <si>
    <t>BARRIO SAN PEDRO (LA CONCEPCION SAN PEDRO)</t>
  </si>
  <si>
    <t>MCIMB000540</t>
  </si>
  <si>
    <t>TABERNILLAS (SANTA CATARINA)</t>
  </si>
  <si>
    <t>MCIMB000552</t>
  </si>
  <si>
    <t>MCIMB000675</t>
  </si>
  <si>
    <t>PALMAR CHICO</t>
  </si>
  <si>
    <t>MCIMB000750</t>
  </si>
  <si>
    <t>SAN SIMON (SAN SIMON ZOZOCOLTEPEC)</t>
  </si>
  <si>
    <t>MCIMB000774</t>
  </si>
  <si>
    <t>MCIMB000815</t>
  </si>
  <si>
    <t>SAN PEDRO NEXAPA</t>
  </si>
  <si>
    <t>MCIMB000873</t>
  </si>
  <si>
    <t>SANTA ISABEL IXTAPAN</t>
  </si>
  <si>
    <t>MCIMB000902</t>
  </si>
  <si>
    <t>CIUDAD LOPEZ MATEOS</t>
  </si>
  <si>
    <t>MCIMB000914</t>
  </si>
  <si>
    <t>MCIMB000955</t>
  </si>
  <si>
    <t>MCIMB000960</t>
  </si>
  <si>
    <t>MCIMB000984</t>
  </si>
  <si>
    <t>MCIMB001001</t>
  </si>
  <si>
    <t>MCIMB001025</t>
  </si>
  <si>
    <t>ATLACOMULCO DE FABELA</t>
  </si>
  <si>
    <t>MCIMB001223</t>
  </si>
  <si>
    <t>MCIMB001235</t>
  </si>
  <si>
    <t>AYAPANGO DE GABRIEL RAMOS M.</t>
  </si>
  <si>
    <t>MCIMB001252</t>
  </si>
  <si>
    <t>CALIMAYA DE DIAZ GONZALEZ</t>
  </si>
  <si>
    <t>MCIMB001264</t>
  </si>
  <si>
    <t>LA CONCEPCION COATIPAC (LA CONCHITA)</t>
  </si>
  <si>
    <t>MCIMB001276</t>
  </si>
  <si>
    <t>MCIMB001281</t>
  </si>
  <si>
    <t>SANTA MARIA NATIVITAS</t>
  </si>
  <si>
    <t>MCIMB001293</t>
  </si>
  <si>
    <t>ZARAGOZA DE GUADALUPE</t>
  </si>
  <si>
    <t>MCIMB001310</t>
  </si>
  <si>
    <t>MCIMB001322</t>
  </si>
  <si>
    <t>SAN NICOLAS TLAZALA</t>
  </si>
  <si>
    <t>MCIMB001334</t>
  </si>
  <si>
    <t>MCIMB001363</t>
  </si>
  <si>
    <t>MCIMB001433</t>
  </si>
  <si>
    <t>SAN LUIS (COLONIA HIDALGO)</t>
  </si>
  <si>
    <t>MCIMB001561</t>
  </si>
  <si>
    <t>MCIMB001590</t>
  </si>
  <si>
    <t>SAN MATEO HUITZILZINGO</t>
  </si>
  <si>
    <t>MCIMB001602</t>
  </si>
  <si>
    <t>SAN MATEO TEZOQUIPAN MIRAFLORES</t>
  </si>
  <si>
    <t>MCIMB001614</t>
  </si>
  <si>
    <t>SANTA CATARINA AYOTZINGO</t>
  </si>
  <si>
    <t>MCIMB001742</t>
  </si>
  <si>
    <t>SANTIAGO CHIMALPA (CHIMALPA)</t>
  </si>
  <si>
    <t>MCIMB001766</t>
  </si>
  <si>
    <t>MCIMB001812</t>
  </si>
  <si>
    <t>MCIMB001824</t>
  </si>
  <si>
    <t>MCIMB001836</t>
  </si>
  <si>
    <t>CHICONCUAC DE JUAREZ</t>
  </si>
  <si>
    <t>MCIMB001865</t>
  </si>
  <si>
    <t>MCIMB001870</t>
  </si>
  <si>
    <t>MCIMB002010</t>
  </si>
  <si>
    <t>MCIMB002034</t>
  </si>
  <si>
    <t>MCIMB002046</t>
  </si>
  <si>
    <t>MCIMB002063</t>
  </si>
  <si>
    <t>MCIMB002092</t>
  </si>
  <si>
    <t>MCIMB002121</t>
  </si>
  <si>
    <t>MCIMB002191</t>
  </si>
  <si>
    <t>MCIMB002215</t>
  </si>
  <si>
    <t>ECATZINGO DE HIDALGO</t>
  </si>
  <si>
    <t>MCIMB002256</t>
  </si>
  <si>
    <t>MCIMB002290</t>
  </si>
  <si>
    <t>MCIMB002314</t>
  </si>
  <si>
    <t>MCIMB002343</t>
  </si>
  <si>
    <t>MCIMB002355</t>
  </si>
  <si>
    <t>MCIMB002384</t>
  </si>
  <si>
    <t>SAN CRISTOBAL TEXCALUCAN</t>
  </si>
  <si>
    <t>MCIMB002413</t>
  </si>
  <si>
    <t>SANTIAGO YANCUITLALPAN</t>
  </si>
  <si>
    <t>MCIMB002425</t>
  </si>
  <si>
    <t>TLAZALA DE FABELA</t>
  </si>
  <si>
    <t>MCIMB002466</t>
  </si>
  <si>
    <t>MCIMB002471</t>
  </si>
  <si>
    <t>MCIMB002500</t>
  </si>
  <si>
    <t>MCIMB002512</t>
  </si>
  <si>
    <t>MCIMB002541</t>
  </si>
  <si>
    <t>RIO FRIO DE JUAREZ</t>
  </si>
  <si>
    <t>MCIMB002763</t>
  </si>
  <si>
    <t>SAN PABLO DE LOS REMEDIOS</t>
  </si>
  <si>
    <t>MCIMB002780</t>
  </si>
  <si>
    <t>SAN PEDRO DE LOS BAÑ‘OS</t>
  </si>
  <si>
    <t>MCIMB002792</t>
  </si>
  <si>
    <t>MCIMB002915</t>
  </si>
  <si>
    <t>TONANITLA</t>
  </si>
  <si>
    <t>SANTA MARIA TONANITLA</t>
  </si>
  <si>
    <t>MCIMB003096</t>
  </si>
  <si>
    <t>MCIMB003282</t>
  </si>
  <si>
    <t>LA PROVIDENCIA</t>
  </si>
  <si>
    <t>MCIMB003323</t>
  </si>
  <si>
    <t>SANTA MARIA ENDARE</t>
  </si>
  <si>
    <t>MCIMB003335</t>
  </si>
  <si>
    <t>SANTIAGO CASANDEJE</t>
  </si>
  <si>
    <t>MCIMB003364</t>
  </si>
  <si>
    <t>MCIMB003376</t>
  </si>
  <si>
    <t>JOQUICINGO DE LEON GUZMAN</t>
  </si>
  <si>
    <t>MCIMB003405</t>
  </si>
  <si>
    <t>JUCHITEPEC</t>
  </si>
  <si>
    <t>SAN MATIAS CUIJINGO</t>
  </si>
  <si>
    <t>MCIMB003434</t>
  </si>
  <si>
    <t>ZACAMULPA HUITZIZILAPAN</t>
  </si>
  <si>
    <t>MCIMB003463</t>
  </si>
  <si>
    <t>SAN MIGUEL AMEYALCO</t>
  </si>
  <si>
    <t>MCIMB003516</t>
  </si>
  <si>
    <t>LA REFORMA TLALMIMILOLPAN</t>
  </si>
  <si>
    <t>MCIMB003586</t>
  </si>
  <si>
    <t>MCIMB003591</t>
  </si>
  <si>
    <t>SAN BARTOLOME TLALTELULCO</t>
  </si>
  <si>
    <t>MCIMB003620</t>
  </si>
  <si>
    <t>MEXICALTZINGO</t>
  </si>
  <si>
    <t>SAN MATEO MEXICALTZINGO</t>
  </si>
  <si>
    <t>MCIMB003743</t>
  </si>
  <si>
    <t>MCIMB003755</t>
  </si>
  <si>
    <t>MCIMB003825</t>
  </si>
  <si>
    <t>MCIMB003866</t>
  </si>
  <si>
    <t>SAN FRANCISCO CHIMALPA</t>
  </si>
  <si>
    <t>MCIMB003871</t>
  </si>
  <si>
    <t>BARRIO DE RANCHO VIEJO</t>
  </si>
  <si>
    <t>MCIMB003924</t>
  </si>
  <si>
    <t>MCIMB003965</t>
  </si>
  <si>
    <t>MCIMB003994</t>
  </si>
  <si>
    <t>MCIMB004006</t>
  </si>
  <si>
    <t>Reporte mesa de ayuda, no se encontró en APP</t>
  </si>
  <si>
    <t>MCIMB004011</t>
  </si>
  <si>
    <t>MCIMB004023</t>
  </si>
  <si>
    <t>MCIMB004035</t>
  </si>
  <si>
    <t>*Este equipo no se encuentra cargado en la Aplicación</t>
  </si>
  <si>
    <t>MCIMB004040</t>
  </si>
  <si>
    <t>MCIMB004052</t>
  </si>
  <si>
    <t>MCIMB004093</t>
  </si>
  <si>
    <t>MCIMB004105</t>
  </si>
  <si>
    <t>MCIMB004110</t>
  </si>
  <si>
    <t>MCIMB004122</t>
  </si>
  <si>
    <t>MCIMB004151</t>
  </si>
  <si>
    <t>MCIMB004163</t>
  </si>
  <si>
    <t>MCIMB004180</t>
  </si>
  <si>
    <t>MCIMB004262</t>
  </si>
  <si>
    <t>MCIMB004274</t>
  </si>
  <si>
    <t>OCUILAN DE ARTEAGA</t>
  </si>
  <si>
    <t>MCIMB004455</t>
  </si>
  <si>
    <t>OTUMBA DE GOMEZ FARIAS</t>
  </si>
  <si>
    <t>MCIMB004460</t>
  </si>
  <si>
    <t>MCIMB004496</t>
  </si>
  <si>
    <t>COLONIA GUADALUPE VICTORIA</t>
  </si>
  <si>
    <t>MCIMB004501</t>
  </si>
  <si>
    <t>FABRICA MARIA (PILAR MARIA)</t>
  </si>
  <si>
    <t>MCIMB004530</t>
  </si>
  <si>
    <t>MCIMB004566</t>
  </si>
  <si>
    <t>PAPALOTLA</t>
  </si>
  <si>
    <t>MCIMB004571</t>
  </si>
  <si>
    <t>EL PINO</t>
  </si>
  <si>
    <t>MCIMB004595</t>
  </si>
  <si>
    <t>MCIMB004612</t>
  </si>
  <si>
    <t>LA MAGDALENA ATLICPAC</t>
  </si>
  <si>
    <t>MCIMB004682</t>
  </si>
  <si>
    <t>MCIMB004880</t>
  </si>
  <si>
    <t>SAN PEDRO EL ALTO</t>
  </si>
  <si>
    <t>MCIMB004962</t>
  </si>
  <si>
    <t>MCIMB004974</t>
  </si>
  <si>
    <t>MCIMB005044</t>
  </si>
  <si>
    <t>RINCON CHICO</t>
  </si>
  <si>
    <t>MCIMB005056</t>
  </si>
  <si>
    <t>SOYANIQUILPAN DE JUAREZ</t>
  </si>
  <si>
    <t>SAN FRANCISCO SOYANIQUILPAN</t>
  </si>
  <si>
    <t>MCIMB005102</t>
  </si>
  <si>
    <t>SULTEPEC DE PEDRO ASCENCIO DE ALQUISIRAS</t>
  </si>
  <si>
    <t>MCIMB005201</t>
  </si>
  <si>
    <t>MCIMB005382</t>
  </si>
  <si>
    <t>TEMAMATLA</t>
  </si>
  <si>
    <t>MCIMB005435</t>
  </si>
  <si>
    <t>SAN LUIS TECUAUTITLAN</t>
  </si>
  <si>
    <t>MCIMB005493</t>
  </si>
  <si>
    <t>SAN FRANCISCO TEPEOLULCO</t>
  </si>
  <si>
    <t>MCIMB005604</t>
  </si>
  <si>
    <t>REAL DE ARRIBA</t>
  </si>
  <si>
    <t>MCIMB005756</t>
  </si>
  <si>
    <t>TEMOAYA</t>
  </si>
  <si>
    <t>SAN JOSE BUENAVISTA EL GRANDE</t>
  </si>
  <si>
    <t>MCIMB005785</t>
  </si>
  <si>
    <t>SAN JOSE PATHE</t>
  </si>
  <si>
    <t>MCIMB005860</t>
  </si>
  <si>
    <t>MCIMB005901</t>
  </si>
  <si>
    <t>SAN JUAN XOCHIACA</t>
  </si>
  <si>
    <t>MCIMB005913</t>
  </si>
  <si>
    <t>SAN GABRIEL ZEPAYAUTLA</t>
  </si>
  <si>
    <t>MCIMB005925</t>
  </si>
  <si>
    <t>MCIMB005930</t>
  </si>
  <si>
    <t>SAN JUAN COXTOCAN</t>
  </si>
  <si>
    <t>MCIMB005954</t>
  </si>
  <si>
    <t>MCIMB005966</t>
  </si>
  <si>
    <t>SAN FRANCISCO TEPEXOXUCA</t>
  </si>
  <si>
    <t>MCIMB005995</t>
  </si>
  <si>
    <t>LA AZTECA</t>
  </si>
  <si>
    <t>MCIMB006036</t>
  </si>
  <si>
    <t>MCIMB006041</t>
  </si>
  <si>
    <t>MCIMB006070</t>
  </si>
  <si>
    <t>TEOTIHUACAN DE ARISTA</t>
  </si>
  <si>
    <t>MCIMB006082</t>
  </si>
  <si>
    <t>ATLATONGO</t>
  </si>
  <si>
    <t>MCIMB006106</t>
  </si>
  <si>
    <t>SAN FRANCISCO MAZAPA</t>
  </si>
  <si>
    <t>MCIMB006111</t>
  </si>
  <si>
    <t>MCIMB006135</t>
  </si>
  <si>
    <t>TEPETLAOXTOC DE HIDALGO</t>
  </si>
  <si>
    <t>MCIMB006140</t>
  </si>
  <si>
    <t>CONCEPCION JOLALPAN</t>
  </si>
  <si>
    <t>MCIMB006152</t>
  </si>
  <si>
    <t>SAN BERNARDO TLALMIMILOLPAN</t>
  </si>
  <si>
    <t>MCIMB006176</t>
  </si>
  <si>
    <t>SANTO TOMAS APIPILHUASCO (SANTO TOMAS)</t>
  </si>
  <si>
    <t>MCIMB006181</t>
  </si>
  <si>
    <t>TEPETLIXPA</t>
  </si>
  <si>
    <t>MCIMB006246</t>
  </si>
  <si>
    <t>MCIMB006263</t>
  </si>
  <si>
    <t>TLAPANALOYA</t>
  </si>
  <si>
    <t>MCIMB006275</t>
  </si>
  <si>
    <t>MCIMB006304</t>
  </si>
  <si>
    <t>MCIMB006345</t>
  </si>
  <si>
    <t>MCIMB006350</t>
  </si>
  <si>
    <t>SAN JERONIMO AMANALCO</t>
  </si>
  <si>
    <t>MCIMB006362</t>
  </si>
  <si>
    <t>SAN MIGUEL COATLINCHAN</t>
  </si>
  <si>
    <t>MCIMB006374</t>
  </si>
  <si>
    <t>SAN MIGUEL TLAIXPAN</t>
  </si>
  <si>
    <t>MCIMB006391</t>
  </si>
  <si>
    <t>SANTA CATARINA DEL MONTE</t>
  </si>
  <si>
    <t>MCIMB006415</t>
  </si>
  <si>
    <t>MCIMB006420</t>
  </si>
  <si>
    <t>SANTA MARIA TULANTONGO</t>
  </si>
  <si>
    <t>MCIMB006490</t>
  </si>
  <si>
    <t>SAN PEDRO TLALTIZAPAN</t>
  </si>
  <si>
    <t>MCIMB006601</t>
  </si>
  <si>
    <t>MCIMB006700</t>
  </si>
  <si>
    <t>MCIMB006736</t>
  </si>
  <si>
    <t>MCIMB006741</t>
  </si>
  <si>
    <t>MCIMB006765</t>
  </si>
  <si>
    <t>MCIMB006980</t>
  </si>
  <si>
    <t>MCIMB007050</t>
  </si>
  <si>
    <t>SAN JUAN TILAPA</t>
  </si>
  <si>
    <t>MCIMB007091</t>
  </si>
  <si>
    <t>MCIMB007115</t>
  </si>
  <si>
    <t>TLACHALOYA SEGUNDA SECCION</t>
  </si>
  <si>
    <t>MCIMB007132</t>
  </si>
  <si>
    <t>SAN PABLO AUTOPAN</t>
  </si>
  <si>
    <t>MCIMB007226</t>
  </si>
  <si>
    <t>MCIMB007231</t>
  </si>
  <si>
    <t>MCIMB007395</t>
  </si>
  <si>
    <t>MCIMB007470</t>
  </si>
  <si>
    <t>PORFIRIO DIAZ</t>
  </si>
  <si>
    <t>MCIMB007721</t>
  </si>
  <si>
    <t>MCIMB007791</t>
  </si>
  <si>
    <t>SAN MIGUEL ZINACANTEPEC</t>
  </si>
  <si>
    <t>MCIMB007844</t>
  </si>
  <si>
    <t>SANTA MARIA DEL MONTE</t>
  </si>
  <si>
    <t>MCIMB007856</t>
  </si>
  <si>
    <t>SAN BARTOLO EL VIEJO</t>
  </si>
  <si>
    <t>MCIMB007890</t>
  </si>
  <si>
    <t>MCIMB007955</t>
  </si>
  <si>
    <t>SAN BARTOLO CUAUTLALPAN</t>
  </si>
  <si>
    <t>MCIMB007972</t>
  </si>
  <si>
    <t>MCIMB008013</t>
  </si>
  <si>
    <t>SANTA MARIA TIANGUISTENGO</t>
  </si>
  <si>
    <t>MCIMB008025</t>
  </si>
  <si>
    <t>MCIMB008054</t>
  </si>
  <si>
    <t>Equipo no se encuentra cargado en la aplicación</t>
  </si>
  <si>
    <t>MCIMB008071</t>
  </si>
  <si>
    <t>MCIMB008124</t>
  </si>
  <si>
    <t>EL SALTO LA VENTA</t>
  </si>
  <si>
    <t>MCIMB008136</t>
  </si>
  <si>
    <t>GUARDA LA LAGUNITA EL PUEBLITO</t>
  </si>
  <si>
    <t>MCIMB008165</t>
  </si>
  <si>
    <t>MCIMB008281</t>
  </si>
  <si>
    <t>MCIMB008322</t>
  </si>
  <si>
    <t>GUADALUPE YANCUICTLALPAN (GUALUPITA)</t>
  </si>
  <si>
    <t>MCIMB008346</t>
  </si>
  <si>
    <t>CAPULTITLAN</t>
  </si>
  <si>
    <t>MCIMB008351</t>
  </si>
  <si>
    <t>MCIMB008380</t>
  </si>
  <si>
    <t>SAN LORENZO TEPALTITLAN</t>
  </si>
  <si>
    <t>MCIMB008421</t>
  </si>
  <si>
    <t>SANTA CRUZ ATZCAPOTZALTONGO</t>
  </si>
  <si>
    <t>MCIMB008462</t>
  </si>
  <si>
    <t>SANTA MARIA ATARASQUILLO</t>
  </si>
  <si>
    <t>MCIMB008532</t>
  </si>
  <si>
    <t>HERMILTEPEC (PEÑ‘A BLANCA)</t>
  </si>
  <si>
    <t>MCIMB008660</t>
  </si>
  <si>
    <t>MCIMB008672</t>
  </si>
  <si>
    <t>MCIMB008684</t>
  </si>
  <si>
    <t>MCIMB008701</t>
  </si>
  <si>
    <t>MCIMB008713</t>
  </si>
  <si>
    <t>MCIMB008742</t>
  </si>
  <si>
    <t>SANTIAGO TLALTEPOXCO</t>
  </si>
  <si>
    <t>MCIMB008766</t>
  </si>
  <si>
    <t>MCIMB008771</t>
  </si>
  <si>
    <t>MCIMB008812</t>
  </si>
  <si>
    <t>MCIMB008836</t>
  </si>
  <si>
    <t>MCIMB008853</t>
  </si>
  <si>
    <t>ZUMPANGO DE OCAMPO</t>
  </si>
  <si>
    <t>MCIMB008935</t>
  </si>
  <si>
    <t>MCIMB008964</t>
  </si>
  <si>
    <t>SAN JUAN TEZONTLA</t>
  </si>
  <si>
    <t>MCIMB008981</t>
  </si>
  <si>
    <t>MCIMB008993</t>
  </si>
  <si>
    <t>SAN MIGUEL TOCUILA</t>
  </si>
  <si>
    <t>MCIMB009005</t>
  </si>
  <si>
    <t>COLONIA LEYES DE REFORMA</t>
  </si>
  <si>
    <t>MCIMB009051</t>
  </si>
  <si>
    <t>EL MEDRANO</t>
  </si>
  <si>
    <t>MCIMB009145</t>
  </si>
  <si>
    <t>MCIMB009232</t>
  </si>
  <si>
    <t>MCIMB009343</t>
  </si>
  <si>
    <t>MCIMB009355</t>
  </si>
  <si>
    <t>MCIMB009384</t>
  </si>
  <si>
    <t>SANTA MARIA TIXMADEJE (TIXMADEJE GRANDE)</t>
  </si>
  <si>
    <t>MCIMB009425</t>
  </si>
  <si>
    <t>MCIMB009676</t>
  </si>
  <si>
    <t>MCIMB009681</t>
  </si>
  <si>
    <t>MCIMB009710</t>
  </si>
  <si>
    <t>FRACCIONAMIENTO SOCIAL PROGRESIVO SANTO TOMAS CHICONAUTLA</t>
  </si>
  <si>
    <t>MCIMB009734</t>
  </si>
  <si>
    <t>MCIMB009792</t>
  </si>
  <si>
    <t>SAN LORENZO CHIMALPA</t>
  </si>
  <si>
    <t>MCIMB009816</t>
  </si>
  <si>
    <t>IXTAPAN DE LA SAL</t>
  </si>
  <si>
    <t>MCIMB009862</t>
  </si>
  <si>
    <t>SANTA ISABEL CHALMA</t>
  </si>
  <si>
    <t>MCIMB009932</t>
  </si>
  <si>
    <t>CUAUTITLAN</t>
  </si>
  <si>
    <t>FRACCIONAMIENTO PARQUE SAN MATEO (HACIENDA SAN MATEO)</t>
  </si>
  <si>
    <t>MCIMB009944</t>
  </si>
  <si>
    <t>MCIMB009956</t>
  </si>
  <si>
    <t>MCIMB010002</t>
  </si>
  <si>
    <t>MCIMB010031</t>
  </si>
  <si>
    <t>EJIDO SAN PABLITO (PARAJE SAN PABLITO)</t>
  </si>
  <si>
    <t>MCIMB010096</t>
  </si>
  <si>
    <t>MCIMB010142</t>
  </si>
  <si>
    <t>MCIMB010200</t>
  </si>
  <si>
    <t>MCIMB010212</t>
  </si>
  <si>
    <t>MCIMB010253</t>
  </si>
  <si>
    <t>MCIMB010364</t>
  </si>
  <si>
    <t>HUEYATENCO</t>
  </si>
  <si>
    <t>MCIMB010405</t>
  </si>
  <si>
    <t>SAN BARTOLO DEL LLANO (SAN ISIDRO)</t>
  </si>
  <si>
    <t>MCIMB010463</t>
  </si>
  <si>
    <t>MCIMB010480</t>
  </si>
  <si>
    <t>MCIMB010492</t>
  </si>
  <si>
    <t>MCIMB010504</t>
  </si>
  <si>
    <t>MCIMB010516</t>
  </si>
  <si>
    <t>MCIMB010521</t>
  </si>
  <si>
    <t>MCIMB010533</t>
  </si>
  <si>
    <t>MCIMB010545</t>
  </si>
  <si>
    <t>MCIMB010550</t>
  </si>
  <si>
    <t>MCIMB010574</t>
  </si>
  <si>
    <t>MCIMB010586</t>
  </si>
  <si>
    <t>MCIMB010632</t>
  </si>
  <si>
    <t>MCIMB010661</t>
  </si>
  <si>
    <t>MCIMB010760</t>
  </si>
  <si>
    <t>COLONIA LLANO GRANDE (EL SALITRE)</t>
  </si>
  <si>
    <t>MCIMB010772</t>
  </si>
  <si>
    <t>MCIMB010784</t>
  </si>
  <si>
    <t>MCIMB010813</t>
  </si>
  <si>
    <t>MCIMB010866</t>
  </si>
  <si>
    <t>SAN FRANCISCO DE GUZMAN</t>
  </si>
  <si>
    <t>MCIMB010883</t>
  </si>
  <si>
    <t>JALPA DE DOLORES</t>
  </si>
  <si>
    <t>MCIMB010953</t>
  </si>
  <si>
    <t>MCIMB010965</t>
  </si>
  <si>
    <t>MCIMB010970</t>
  </si>
  <si>
    <t>MCIMB010994</t>
  </si>
  <si>
    <t>MCIMB011151</t>
  </si>
  <si>
    <t>SAN LUCAS TERCER CUARTEL</t>
  </si>
  <si>
    <t>MCIMB011180</t>
  </si>
  <si>
    <t>SANTA MARIA RAYON</t>
  </si>
  <si>
    <t>MCIMB011216</t>
  </si>
  <si>
    <t>SANTA CRUZ BOMBATEVI</t>
  </si>
  <si>
    <t>MCIMB011245</t>
  </si>
  <si>
    <t>MCIMB011286</t>
  </si>
  <si>
    <t>MCIMB011315</t>
  </si>
  <si>
    <t>MCIMB011332</t>
  </si>
  <si>
    <t>MCIMB011344</t>
  </si>
  <si>
    <t>MCIMB011373</t>
  </si>
  <si>
    <t>MCIMB011385</t>
  </si>
  <si>
    <t>MCIMB011455</t>
  </si>
  <si>
    <t>MCIMB011484</t>
  </si>
  <si>
    <t>MCIMB011525</t>
  </si>
  <si>
    <t>MCIMB011554</t>
  </si>
  <si>
    <t>MCIMB011600</t>
  </si>
  <si>
    <t>MCIMB011612</t>
  </si>
  <si>
    <t>MCIMB011624</t>
  </si>
  <si>
    <t>MCIMB011636</t>
  </si>
  <si>
    <t>MCIMB011641</t>
  </si>
  <si>
    <t>MCIMB011653</t>
  </si>
  <si>
    <t>MCIMB011665</t>
  </si>
  <si>
    <t>MCIMB011682</t>
  </si>
  <si>
    <t>MCIMB011711</t>
  </si>
  <si>
    <t>MCIMB011723</t>
  </si>
  <si>
    <t>MCIMB011735</t>
  </si>
  <si>
    <t>MCIMB011740</t>
  </si>
  <si>
    <t>MCIMB011752</t>
  </si>
  <si>
    <t>MCIMB011776</t>
  </si>
  <si>
    <t>MCIMB011805</t>
  </si>
  <si>
    <t>MCIMB011846</t>
  </si>
  <si>
    <t>BOBASHI DE GUADALUPE</t>
  </si>
  <si>
    <t>MCIMB011863</t>
  </si>
  <si>
    <t>MCIMB011875</t>
  </si>
  <si>
    <t>BOMBATEVI EJIDO (EJIDO SANTA CRUZ BOMBATEVI)</t>
  </si>
  <si>
    <t>MCIMB011880</t>
  </si>
  <si>
    <t>MCIMB011921</t>
  </si>
  <si>
    <t>MCIMB011945</t>
  </si>
  <si>
    <t>TEXCOCO DE MORA</t>
  </si>
  <si>
    <t>MCIMB011950</t>
  </si>
  <si>
    <t>MCIMB011986</t>
  </si>
  <si>
    <t>MCIMB012003</t>
  </si>
  <si>
    <t>MCIMB012020</t>
  </si>
  <si>
    <t>MCIMB012143</t>
  </si>
  <si>
    <t>MCIMB012196</t>
  </si>
  <si>
    <t>BOSQUES DE SAN NICOLAS</t>
  </si>
  <si>
    <t>MCIMB012213</t>
  </si>
  <si>
    <t>SANTA MARIA MAZATLA</t>
  </si>
  <si>
    <t>MCIMB012225</t>
  </si>
  <si>
    <t>MCIMB012230</t>
  </si>
  <si>
    <t>MCIMB012324</t>
  </si>
  <si>
    <t>MCIMB012341</t>
  </si>
  <si>
    <t>MCIMB012353</t>
  </si>
  <si>
    <t>MCIMB012406</t>
  </si>
  <si>
    <t>MCIMB012411</t>
  </si>
  <si>
    <t>MCIMB012440</t>
  </si>
  <si>
    <t>MCIMB012452</t>
  </si>
  <si>
    <t>MCIMB012464</t>
  </si>
  <si>
    <t>MNIMB000015</t>
  </si>
  <si>
    <t>ACUITZIO DEL CANJE</t>
  </si>
  <si>
    <t>MNIMB000044</t>
  </si>
  <si>
    <t>MNIMB000056</t>
  </si>
  <si>
    <t>MNIMB000102</t>
  </si>
  <si>
    <t>ANGAMACUTIRO DE LA UNION</t>
  </si>
  <si>
    <t>MNIMB000114</t>
  </si>
  <si>
    <t>EL MALUCO</t>
  </si>
  <si>
    <t>MNIMB000201</t>
  </si>
  <si>
    <t>ARIO DE ROSALES</t>
  </si>
  <si>
    <t>MNIMB000230</t>
  </si>
  <si>
    <t>MNIMB000242</t>
  </si>
  <si>
    <t>MNIMB000254</t>
  </si>
  <si>
    <t>MNIMB000266</t>
  </si>
  <si>
    <t>INFIERNILLO (MORELOS DE INFIERNILLO)</t>
  </si>
  <si>
    <t>MNIMB000300</t>
  </si>
  <si>
    <t>FELIPE CARRILLO PUERTO (LA RUANA)</t>
  </si>
  <si>
    <t>MNIMB000324</t>
  </si>
  <si>
    <t>CARACUARO</t>
  </si>
  <si>
    <t>CARACUARO DE MORELOS</t>
  </si>
  <si>
    <t>MNIMB000336</t>
  </si>
  <si>
    <t>MNIMB000435</t>
  </si>
  <si>
    <t>MNIMB000452</t>
  </si>
  <si>
    <t>MNIMB000580</t>
  </si>
  <si>
    <t>SAN AGUSTIN DEL PULQUE</t>
  </si>
  <si>
    <t>MNIMB000633</t>
  </si>
  <si>
    <t>MNIMB000715</t>
  </si>
  <si>
    <t>MNIMB000744</t>
  </si>
  <si>
    <t>MNIMB000826</t>
  </si>
  <si>
    <t>MNIMB001000</t>
  </si>
  <si>
    <t>MNIMB001070</t>
  </si>
  <si>
    <t>JACONA</t>
  </si>
  <si>
    <t>JACONA DE PLANCARTE</t>
  </si>
  <si>
    <t>MNIMB001094</t>
  </si>
  <si>
    <t>VILLA JIMENEZ</t>
  </si>
  <si>
    <t>MNIMB001123</t>
  </si>
  <si>
    <t>JUNGAPEO DE JUAREZ</t>
  </si>
  <si>
    <t>MNIMB001152</t>
  </si>
  <si>
    <t>MNIMB001164</t>
  </si>
  <si>
    <t>VILLA MADERO</t>
  </si>
  <si>
    <t>MNIMB001176</t>
  </si>
  <si>
    <t>MNIMB001181</t>
  </si>
  <si>
    <t>MNIMB001193</t>
  </si>
  <si>
    <t>MNIMB001304</t>
  </si>
  <si>
    <t>CIUDAD LAZARO CARDENAS</t>
  </si>
  <si>
    <t>MNIMB001403</t>
  </si>
  <si>
    <t>MNIMB001415</t>
  </si>
  <si>
    <t>MNIMB001420</t>
  </si>
  <si>
    <t>MNIMB001432</t>
  </si>
  <si>
    <t>MNIMB001444</t>
  </si>
  <si>
    <t>MNIMB001456</t>
  </si>
  <si>
    <t>MNIMB001461</t>
  </si>
  <si>
    <t>MNIMB001473</t>
  </si>
  <si>
    <t>MNIMB001490</t>
  </si>
  <si>
    <t>MNIMB001502</t>
  </si>
  <si>
    <t>MNIMB001514</t>
  </si>
  <si>
    <t>MNIMB001531</t>
  </si>
  <si>
    <t>MNIMB001671</t>
  </si>
  <si>
    <t>NOCUPETARO DE MORELOS</t>
  </si>
  <si>
    <t>MNIMB001683</t>
  </si>
  <si>
    <t>MNIMB001700</t>
  </si>
  <si>
    <t>MNIMB001741</t>
  </si>
  <si>
    <t>MNIMB001876</t>
  </si>
  <si>
    <t>PENJAMILLO DE DEGOLLADO</t>
  </si>
  <si>
    <t>MNIMB002074</t>
  </si>
  <si>
    <t>COJUMATLAN DE REGULES</t>
  </si>
  <si>
    <t>MNIMB002156</t>
  </si>
  <si>
    <t>SANTA CLARA DEL COBRE</t>
  </si>
  <si>
    <t>MNIMB002161</t>
  </si>
  <si>
    <t>SENGUIO</t>
  </si>
  <si>
    <t>MNIMB002255</t>
  </si>
  <si>
    <t>SANTIAGO TANGAMANDAPIO</t>
  </si>
  <si>
    <t>MNIMB002330</t>
  </si>
  <si>
    <t>MNIMB002400</t>
  </si>
  <si>
    <t>MNIMB002412</t>
  </si>
  <si>
    <t>MNIMB002470</t>
  </si>
  <si>
    <t>TIQUICHEO</t>
  </si>
  <si>
    <t>MNIMB002610</t>
  </si>
  <si>
    <t>TUMBISCATIO</t>
  </si>
  <si>
    <t>TUMBISCATIO DE RUIZ</t>
  </si>
  <si>
    <t>MNIMB002622</t>
  </si>
  <si>
    <t>MNIMB002762</t>
  </si>
  <si>
    <t>TAFETAN</t>
  </si>
  <si>
    <t>MNIMB002774</t>
  </si>
  <si>
    <t>MNIMB002786</t>
  </si>
  <si>
    <t>MNIMB002803</t>
  </si>
  <si>
    <t>CALTZONTZIN</t>
  </si>
  <si>
    <t>MNIMB002856</t>
  </si>
  <si>
    <t>MNIMB002861</t>
  </si>
  <si>
    <t>VISTA HERMOSA DE NEGRETE</t>
  </si>
  <si>
    <t>MNIMB002890</t>
  </si>
  <si>
    <t>MNIMB002902</t>
  </si>
  <si>
    <t>MNIMB002931</t>
  </si>
  <si>
    <t>ZAMORA DE HIDALGO</t>
  </si>
  <si>
    <t>MNIMB002943</t>
  </si>
  <si>
    <t>MNIMB002955</t>
  </si>
  <si>
    <t>ARIO DE RAYON (ARIO SANTA MONICA)</t>
  </si>
  <si>
    <t>MNIMB002960</t>
  </si>
  <si>
    <t>MNIMB002972</t>
  </si>
  <si>
    <t>ZINAPARO</t>
  </si>
  <si>
    <t>MNIMB002984</t>
  </si>
  <si>
    <t>ZINAPECUARO DE FIGUEROA</t>
  </si>
  <si>
    <t>MNIMB003013</t>
  </si>
  <si>
    <t>HEROICA ZITACUARO</t>
  </si>
  <si>
    <t>MNIMB003025</t>
  </si>
  <si>
    <t>MNIMB003030</t>
  </si>
  <si>
    <t>PASTOR ORTIZ</t>
  </si>
  <si>
    <t>MNIMB003042</t>
  </si>
  <si>
    <t>HEROES DE CHAPULTEPEC (RODEO DE SAN ANTONIO)</t>
  </si>
  <si>
    <t>MNIMB003054</t>
  </si>
  <si>
    <t>MNIMB003071</t>
  </si>
  <si>
    <t>MNIMB003112</t>
  </si>
  <si>
    <t>TELONZO</t>
  </si>
  <si>
    <t>MNIMB003252</t>
  </si>
  <si>
    <t>CUTZATO (CUISATO)</t>
  </si>
  <si>
    <t>MNIMB003293</t>
  </si>
  <si>
    <t>MNIMB003392</t>
  </si>
  <si>
    <t>CHURINTZIO</t>
  </si>
  <si>
    <t>MNIMB003590</t>
  </si>
  <si>
    <t>ATAPANEO</t>
  </si>
  <si>
    <t>MNIMB003602</t>
  </si>
  <si>
    <t>MNIMB003614</t>
  </si>
  <si>
    <t>HUETAMO DE NUÑ‘EZ</t>
  </si>
  <si>
    <t>MNIMB003626</t>
  </si>
  <si>
    <t>MNIMB003631</t>
  </si>
  <si>
    <t>MNIMB003660</t>
  </si>
  <si>
    <t>MNIMB003725</t>
  </si>
  <si>
    <t>MNIMB003730</t>
  </si>
  <si>
    <t>MNIMB003742</t>
  </si>
  <si>
    <t>SAHUAYO DE MORELOS</t>
  </si>
  <si>
    <t>MNIMB003754</t>
  </si>
  <si>
    <t>MNIMB003836</t>
  </si>
  <si>
    <t>LA MANZA</t>
  </si>
  <si>
    <t>MNIMB003865</t>
  </si>
  <si>
    <t>MNIMB003882</t>
  </si>
  <si>
    <t>MNIMB004010</t>
  </si>
  <si>
    <t>MNIMB004063</t>
  </si>
  <si>
    <t>MNIMB004075</t>
  </si>
  <si>
    <t>ZICUIRAN</t>
  </si>
  <si>
    <t>MNIMB004121</t>
  </si>
  <si>
    <t>MONTELEON</t>
  </si>
  <si>
    <t>MNIMB004150</t>
  </si>
  <si>
    <t>JIQUILPAN DE JUAREZ</t>
  </si>
  <si>
    <t>MNIMB004186</t>
  </si>
  <si>
    <t>MNIMB004215</t>
  </si>
  <si>
    <t>SUSUPUATO DE GUERRERO</t>
  </si>
  <si>
    <t>MNIMB004244</t>
  </si>
  <si>
    <t>MNIMB004285</t>
  </si>
  <si>
    <t>MNIMB004302</t>
  </si>
  <si>
    <t>MNIMB004326</t>
  </si>
  <si>
    <t>MNIMB004331</t>
  </si>
  <si>
    <t>MNIMB004343</t>
  </si>
  <si>
    <t>MNIMB004355</t>
  </si>
  <si>
    <t>MNIMB004401</t>
  </si>
  <si>
    <t>APATZINGAN DE LA CONSTITUCION</t>
  </si>
  <si>
    <t>MNIMB004413</t>
  </si>
  <si>
    <t>BUENAVISTA TOMATLAN</t>
  </si>
  <si>
    <t>MNIMB004425</t>
  </si>
  <si>
    <t>NUEVA ITALIA DE RUIZ</t>
  </si>
  <si>
    <t>MNIMB004442</t>
  </si>
  <si>
    <t>MNIMB004454</t>
  </si>
  <si>
    <t>MNIMB004483</t>
  </si>
  <si>
    <t>MNIMB004495</t>
  </si>
  <si>
    <t>MNIMB004500</t>
  </si>
  <si>
    <t>MNIMB004512</t>
  </si>
  <si>
    <t>MNIMB004524</t>
  </si>
  <si>
    <t>MNIMB004536</t>
  </si>
  <si>
    <t>PERIBAN</t>
  </si>
  <si>
    <t>PERIBAN DE RAMOS</t>
  </si>
  <si>
    <t>MNIMB004541</t>
  </si>
  <si>
    <t>MNIMB004553</t>
  </si>
  <si>
    <t>MNIMB004570</t>
  </si>
  <si>
    <t>MNIMB004594</t>
  </si>
  <si>
    <t>MNIMB004611</t>
  </si>
  <si>
    <t>MNIMB004623</t>
  </si>
  <si>
    <t>VILLA MORELOS</t>
  </si>
  <si>
    <t>MNIMB004635</t>
  </si>
  <si>
    <t>MNIMB004640</t>
  </si>
  <si>
    <t>MNIMB004664</t>
  </si>
  <si>
    <t>LA PIEDAD DE CABADAS</t>
  </si>
  <si>
    <t>MNIMB004705</t>
  </si>
  <si>
    <t>PLIMB000013</t>
  </si>
  <si>
    <t>SANTA MARIA NENETZINTLA</t>
  </si>
  <si>
    <t>PLIMB000223</t>
  </si>
  <si>
    <t>ALTEPEXI</t>
  </si>
  <si>
    <t>PLIMB000626</t>
  </si>
  <si>
    <t>CIUDAD SERDAN</t>
  </si>
  <si>
    <t>PLIMB000655</t>
  </si>
  <si>
    <t>PILCAYA (SAN JUAN PILCAYA)</t>
  </si>
  <si>
    <t>PLIMB000771</t>
  </si>
  <si>
    <t>PLIMB000795</t>
  </si>
  <si>
    <t>PLIMB000964</t>
  </si>
  <si>
    <t>PLIMB001360</t>
  </si>
  <si>
    <t>AYUTLA (SAN FELIPE AYUTLA)</t>
  </si>
  <si>
    <t>PLIMB001372</t>
  </si>
  <si>
    <t>SAN JUAN COLON</t>
  </si>
  <si>
    <t>PLIMB001384</t>
  </si>
  <si>
    <t>SAN LUCAS COLUCAN</t>
  </si>
  <si>
    <t>PLIMB001396</t>
  </si>
  <si>
    <t>PLIMB001500</t>
  </si>
  <si>
    <t>SANTA MARIA ZACATEPEC</t>
  </si>
  <si>
    <t>PLIMB001536</t>
  </si>
  <si>
    <t>CIUDAD DE LIBRES</t>
  </si>
  <si>
    <t>PLIMB001664</t>
  </si>
  <si>
    <t>PLIMB001710</t>
  </si>
  <si>
    <t>CUACNOPALAN</t>
  </si>
  <si>
    <t>PLIMB001780</t>
  </si>
  <si>
    <t>PLIMB001792</t>
  </si>
  <si>
    <t>PLIMB001821</t>
  </si>
  <si>
    <t>PLIMB001833</t>
  </si>
  <si>
    <t>PLIMB001845</t>
  </si>
  <si>
    <t>PLIMB001850</t>
  </si>
  <si>
    <t>PLIMB001862</t>
  </si>
  <si>
    <t>PLIMB001874</t>
  </si>
  <si>
    <t>PLIMB001886</t>
  </si>
  <si>
    <t>PLIMB001891</t>
  </si>
  <si>
    <t>PLIMB001903</t>
  </si>
  <si>
    <t>PLIMB001956</t>
  </si>
  <si>
    <t>PLIMB001961</t>
  </si>
  <si>
    <t>SAN PEDRO ZACACHIMALPA</t>
  </si>
  <si>
    <t>PLIMB002026</t>
  </si>
  <si>
    <t>CIUDAD DE RAFAEL LARA GRAJALES</t>
  </si>
  <si>
    <t>PLIMB002031</t>
  </si>
  <si>
    <t>PLIMB002043</t>
  </si>
  <si>
    <t>PLIMB002055</t>
  </si>
  <si>
    <t>PLIMB002060</t>
  </si>
  <si>
    <t>PLIMB002154</t>
  </si>
  <si>
    <t>SAN MARTIN TEXMELUCAN DE LABASTIDA</t>
  </si>
  <si>
    <t>PLIMB002166</t>
  </si>
  <si>
    <t>PLIMB002183</t>
  </si>
  <si>
    <t>SAN RAFAEL TLANALAPAN</t>
  </si>
  <si>
    <t>PLIMB002253</t>
  </si>
  <si>
    <t>SANTA MARIA COATEPEC</t>
  </si>
  <si>
    <t>PLIMB002294</t>
  </si>
  <si>
    <t>PLIMB002422</t>
  </si>
  <si>
    <t>PLIMB002463</t>
  </si>
  <si>
    <t>SANTIAGO ALSESECA</t>
  </si>
  <si>
    <t>PLIMB002545</t>
  </si>
  <si>
    <t>TEOTLALCO</t>
  </si>
  <si>
    <t>PLIMB002586</t>
  </si>
  <si>
    <t>SAN NICOLAS ZOYAPETLAYOCA</t>
  </si>
  <si>
    <t>PLIMB002690</t>
  </si>
  <si>
    <t>HUEJONAPAN (SAN ANTONIO)</t>
  </si>
  <si>
    <t>PLIMB002726</t>
  </si>
  <si>
    <t>TEPEYAHUALCO DE CUAUHTEMOC</t>
  </si>
  <si>
    <t>PLIMB002796</t>
  </si>
  <si>
    <t>PLIMB002941</t>
  </si>
  <si>
    <t>SAN MIGUEL TIANGUISTENCO</t>
  </si>
  <si>
    <t>PLIMB002953</t>
  </si>
  <si>
    <t>SAN RAFAEL IXTAPALUCAN</t>
  </si>
  <si>
    <t>PLIMB003776</t>
  </si>
  <si>
    <t>PLIMB003781</t>
  </si>
  <si>
    <t>PLIMB003810</t>
  </si>
  <si>
    <t>AMOZOC DE MOTA</t>
  </si>
  <si>
    <t>PLIMB003834</t>
  </si>
  <si>
    <t>SAN JOSE CARPINTEROS</t>
  </si>
  <si>
    <t>PLIMB003880</t>
  </si>
  <si>
    <t>PLIMB003892</t>
  </si>
  <si>
    <t>PLIMB003921</t>
  </si>
  <si>
    <t>CANDELARIA PORTEZUELO</t>
  </si>
  <si>
    <t>PLIMB003950</t>
  </si>
  <si>
    <t>PLIMB003986</t>
  </si>
  <si>
    <t>TOCHIMILCO</t>
  </si>
  <si>
    <t>LA MAGDALENA YANCUITLALPAN</t>
  </si>
  <si>
    <t>PLIMB004126</t>
  </si>
  <si>
    <t>PLIMB004160</t>
  </si>
  <si>
    <t>PLIMB004172</t>
  </si>
  <si>
    <t>PLIMB004196</t>
  </si>
  <si>
    <t>PLIMB004230</t>
  </si>
  <si>
    <t>PLIMB004254</t>
  </si>
  <si>
    <t>PLIMB004266</t>
  </si>
  <si>
    <t>ACATLAN DE OSORIO</t>
  </si>
  <si>
    <t>PLIMB004312</t>
  </si>
  <si>
    <t>PLIMB004341</t>
  </si>
  <si>
    <t>PLIMB004382</t>
  </si>
  <si>
    <t>PLIMB004394</t>
  </si>
  <si>
    <t>PLIMB004411</t>
  </si>
  <si>
    <t>SAN BERNARDINO TLAXCALANCINGO</t>
  </si>
  <si>
    <t>PLIMB004476</t>
  </si>
  <si>
    <t>SAN JUAN EPATLAN</t>
  </si>
  <si>
    <t>PLIMB004505</t>
  </si>
  <si>
    <t>PLIMB004510</t>
  </si>
  <si>
    <t>PLIMB004551</t>
  </si>
  <si>
    <t>PLIMB004563</t>
  </si>
  <si>
    <t>PLIMB004580</t>
  </si>
  <si>
    <t>SANTA ANA ACOZAUTLA</t>
  </si>
  <si>
    <t>PLIMB004645</t>
  </si>
  <si>
    <t>PLIMB004773</t>
  </si>
  <si>
    <t>SAN MARTIN RINCONADA</t>
  </si>
  <si>
    <t>PLIMB004860</t>
  </si>
  <si>
    <t>PLIMB004884</t>
  </si>
  <si>
    <t>PLIMB004896</t>
  </si>
  <si>
    <t>PLIMB004942</t>
  </si>
  <si>
    <t>PLIMB004971</t>
  </si>
  <si>
    <t>PLIMB005094</t>
  </si>
  <si>
    <t>PLIMB005140</t>
  </si>
  <si>
    <t>SAN PABLO TEPETZINGO</t>
  </si>
  <si>
    <t>PLIMB005164</t>
  </si>
  <si>
    <t>PLIMB005176</t>
  </si>
  <si>
    <t>CHOLULA DE RIVADAVIA</t>
  </si>
  <si>
    <t>PLIMB005205</t>
  </si>
  <si>
    <t>PLIMB005234</t>
  </si>
  <si>
    <t>PLIMB005251</t>
  </si>
  <si>
    <t>PLIMB005280</t>
  </si>
  <si>
    <t>PLIMB005321</t>
  </si>
  <si>
    <t>SAN JOSE TLAUTLA</t>
  </si>
  <si>
    <t>PLIMB005333</t>
  </si>
  <si>
    <t>CIUDAD DE CHIAUTLA DE TAPIA</t>
  </si>
  <si>
    <t>PLIMB005345</t>
  </si>
  <si>
    <t>PLIMB005362</t>
  </si>
  <si>
    <t>SAN JERONIMO OCOTITLAN</t>
  </si>
  <si>
    <t>PLIMB005374</t>
  </si>
  <si>
    <t>PLIMB005490</t>
  </si>
  <si>
    <t>PLIMB005531</t>
  </si>
  <si>
    <t>PLIMB005543</t>
  </si>
  <si>
    <t>PLIMB005560</t>
  </si>
  <si>
    <t>PLIMB005666</t>
  </si>
  <si>
    <t>PLIMB005695</t>
  </si>
  <si>
    <t>PLIMB005700</t>
  </si>
  <si>
    <t>PLIMB005823</t>
  </si>
  <si>
    <t>PLIMB005840</t>
  </si>
  <si>
    <t>PLIMB005852</t>
  </si>
  <si>
    <t>SANTIAGO MOMOXPAN</t>
  </si>
  <si>
    <t>PLIMB005864</t>
  </si>
  <si>
    <t>PLIMB005910</t>
  </si>
  <si>
    <t>PLIMB005963</t>
  </si>
  <si>
    <t>PLIMB005975</t>
  </si>
  <si>
    <t>PLIMB006016</t>
  </si>
  <si>
    <t>PLIMB006086</t>
  </si>
  <si>
    <t>PLIMB006161</t>
  </si>
  <si>
    <t>LA MAGDALENA TETELA MORELOS</t>
  </si>
  <si>
    <t>PLIMB006330</t>
  </si>
  <si>
    <t>PLIMB006366</t>
  </si>
  <si>
    <t xml:space="preserve">Instalado, no operando, con reporte a mesa de ayuda
</t>
  </si>
  <si>
    <t>PLIMB006465</t>
  </si>
  <si>
    <t>PLIMB006482</t>
  </si>
  <si>
    <t>PLIMB006506</t>
  </si>
  <si>
    <t>PLIMB006511</t>
  </si>
  <si>
    <t>PLIMB006523</t>
  </si>
  <si>
    <t>PLIMB006535</t>
  </si>
  <si>
    <t>PLIMB006540</t>
  </si>
  <si>
    <t>PLIMB006552</t>
  </si>
  <si>
    <t>PLIMB006576</t>
  </si>
  <si>
    <t>PLIMB006581</t>
  </si>
  <si>
    <t>PLIMB006593</t>
  </si>
  <si>
    <t>PLIMB006651</t>
  </si>
  <si>
    <t>NO SE LOCALIZA UNIDAD MOVIL</t>
  </si>
  <si>
    <t>PLIMB006663</t>
  </si>
  <si>
    <t>PLIMB006692</t>
  </si>
  <si>
    <t>PLIMB006716</t>
  </si>
  <si>
    <t>PLIMB006721</t>
  </si>
  <si>
    <t>PLIMB006733</t>
  </si>
  <si>
    <t>PLIMB006745</t>
  </si>
  <si>
    <t>PLIMB006750</t>
  </si>
  <si>
    <t>PLIMB006762</t>
  </si>
  <si>
    <t>PLIMB006774</t>
  </si>
  <si>
    <t>PLIMB006786</t>
  </si>
  <si>
    <t>PLIMB006791</t>
  </si>
  <si>
    <t>PLIMB006803</t>
  </si>
  <si>
    <t>PLIMB006815</t>
  </si>
  <si>
    <t>PLIMB006820</t>
  </si>
  <si>
    <t>PLIMB006832</t>
  </si>
  <si>
    <t>PLIMB006844</t>
  </si>
  <si>
    <t>PLIMB006856</t>
  </si>
  <si>
    <t>PLIMB006902</t>
  </si>
  <si>
    <t>PLIMB006943</t>
  </si>
  <si>
    <t>PLIMB007153</t>
  </si>
  <si>
    <t>PLIMB007170</t>
  </si>
  <si>
    <t>PLIMB007322</t>
  </si>
  <si>
    <t>SAN AGUSTIN TLAXCO</t>
  </si>
  <si>
    <t>PLIMB007346</t>
  </si>
  <si>
    <t>PLIMB007351</t>
  </si>
  <si>
    <t>PLIMB007363</t>
  </si>
  <si>
    <t>PLIMB007392</t>
  </si>
  <si>
    <t>PLIMB007404</t>
  </si>
  <si>
    <t>25DTV0238P</t>
  </si>
  <si>
    <t>TELESECUNDARIA FEDERALIZADA   238</t>
  </si>
  <si>
    <t>ELOTA</t>
  </si>
  <si>
    <t>EL CARRIZO LA VENTANA</t>
  </si>
  <si>
    <t>SLIMB001006</t>
  </si>
  <si>
    <t>25ETK0033P</t>
  </si>
  <si>
    <t>TBC TANQUES</t>
  </si>
  <si>
    <t>TANQUES</t>
  </si>
  <si>
    <t>25ETK0107Q</t>
  </si>
  <si>
    <t>VIDA CAMPESINA</t>
  </si>
  <si>
    <t>SLIMB001040</t>
  </si>
  <si>
    <t>ESCUINAPA</t>
  </si>
  <si>
    <t>ESCUINAPA DE HIDALGO</t>
  </si>
  <si>
    <t>SLIMB003053</t>
  </si>
  <si>
    <t>25DTV0334S</t>
  </si>
  <si>
    <t>TELESECUNDARIA FEDERALIZADA   334-S</t>
  </si>
  <si>
    <t>MAZATLAN</t>
  </si>
  <si>
    <t>COFRADIA</t>
  </si>
  <si>
    <t>25DTV0248W</t>
  </si>
  <si>
    <t>TELESECUNDARIA FEDERALIZADA 248</t>
  </si>
  <si>
    <t>EL VAINILLO</t>
  </si>
  <si>
    <t>25ETK0110D</t>
  </si>
  <si>
    <t>TBC EL VAINILLO</t>
  </si>
  <si>
    <t>SLIMB001460</t>
  </si>
  <si>
    <t>ESCAMILLAS</t>
  </si>
  <si>
    <t>SLIMB001402</t>
  </si>
  <si>
    <t>SLIMB001414</t>
  </si>
  <si>
    <t>SLIMB001426</t>
  </si>
  <si>
    <t>SLIMB001443</t>
  </si>
  <si>
    <t>SLIMB002201</t>
  </si>
  <si>
    <t>SLIMB002353</t>
  </si>
  <si>
    <t>SLIMB002505</t>
  </si>
  <si>
    <t>SLIMB002546</t>
  </si>
  <si>
    <t>SLIMB002686</t>
  </si>
  <si>
    <t>SLIMB002785</t>
  </si>
  <si>
    <t>SLIMB003070</t>
  </si>
  <si>
    <t>25ETK0041Y</t>
  </si>
  <si>
    <t>TELEBACHILLERATO COMUNITARIO SIQUEROS</t>
  </si>
  <si>
    <t>SIQUEROS</t>
  </si>
  <si>
    <t>SLIMB001542</t>
  </si>
  <si>
    <t>25ETK0031R</t>
  </si>
  <si>
    <t>CAJON VERDE</t>
  </si>
  <si>
    <t>26ETV0096F</t>
  </si>
  <si>
    <t>TELESECUNDARIA 96</t>
  </si>
  <si>
    <t>CEDROS</t>
  </si>
  <si>
    <t>SLIMB001764</t>
  </si>
  <si>
    <t>25ETK0032Q</t>
  </si>
  <si>
    <t>EJIDO EL TABLON NO 1</t>
  </si>
  <si>
    <t>EJIDO EL TABLON NO. 1</t>
  </si>
  <si>
    <t>SLIMB001711</t>
  </si>
  <si>
    <t>EL ROSARIO</t>
  </si>
  <si>
    <t>SLIMB003000</t>
  </si>
  <si>
    <t>25DTV0097G</t>
  </si>
  <si>
    <t>TELESECUNDARIA   97</t>
  </si>
  <si>
    <t>EL TABLON NUM. 1</t>
  </si>
  <si>
    <t>25ETK0097Z</t>
  </si>
  <si>
    <t>DURANGUITO</t>
  </si>
  <si>
    <t>SAN IGNACIO</t>
  </si>
  <si>
    <t>25ETK0103U</t>
  </si>
  <si>
    <t>TELEBACHILLERATO COMUNITARIO SAN JAVIER</t>
  </si>
  <si>
    <t>SAN JAVIER</t>
  </si>
  <si>
    <t>SRIMB002652</t>
  </si>
  <si>
    <t>AGUA PRIETA</t>
  </si>
  <si>
    <t>SRIMB002710</t>
  </si>
  <si>
    <t>26ETV0324J</t>
  </si>
  <si>
    <t>TELESECUNDARIA 324</t>
  </si>
  <si>
    <t>EL RUSBAYO</t>
  </si>
  <si>
    <t>26ETV0279N</t>
  </si>
  <si>
    <t>TELESECUNDARIA 279</t>
  </si>
  <si>
    <t>ALTAR</t>
  </si>
  <si>
    <t>SRIMB000202</t>
  </si>
  <si>
    <t>26ETV0088X</t>
  </si>
  <si>
    <t>TELESECUNDARIA 88</t>
  </si>
  <si>
    <t>ATIL</t>
  </si>
  <si>
    <t>26ETV0238N</t>
  </si>
  <si>
    <t>TELESECUNDARIA 238</t>
  </si>
  <si>
    <t>BANAMICHI</t>
  </si>
  <si>
    <t>SRIMB000424</t>
  </si>
  <si>
    <t>BENJAMIN HILL</t>
  </si>
  <si>
    <t>26ETV0340A</t>
  </si>
  <si>
    <t>TELESECUNDARIA 340</t>
  </si>
  <si>
    <t>CABORCA</t>
  </si>
  <si>
    <t>EJIDO JESUS GARCIA</t>
  </si>
  <si>
    <t>26ETV0361N</t>
  </si>
  <si>
    <t>TELESECUNDARIA 361</t>
  </si>
  <si>
    <t>EJIDO ULTIMO ESFUERZO</t>
  </si>
  <si>
    <t>SRIMB002425</t>
  </si>
  <si>
    <t>HEROICA CABORCA</t>
  </si>
  <si>
    <t>SRIMB002524</t>
  </si>
  <si>
    <t>SRIMB002635</t>
  </si>
  <si>
    <t>SRIMB002693</t>
  </si>
  <si>
    <t>26ETV0290J</t>
  </si>
  <si>
    <t>TELESECUNDARIA 290</t>
  </si>
  <si>
    <t>ORIBE DE ALBA</t>
  </si>
  <si>
    <t>SRIMB002116</t>
  </si>
  <si>
    <t>PLUTARCO ELIAS CALLES (LA Y GRIEGA)</t>
  </si>
  <si>
    <t>26ETV0204X</t>
  </si>
  <si>
    <t>TELESECUNDARIA 204</t>
  </si>
  <si>
    <t>POBLADO LA ALMITA</t>
  </si>
  <si>
    <t>26ETV0343Y</t>
  </si>
  <si>
    <t>TELESECUNDARIA 343</t>
  </si>
  <si>
    <t>SIEMPRE VIVA</t>
  </si>
  <si>
    <t>26ETV0081D</t>
  </si>
  <si>
    <t>CUCURPE</t>
  </si>
  <si>
    <t>SRIMB000622</t>
  </si>
  <si>
    <t>26ETV0366I</t>
  </si>
  <si>
    <t>TELESECUNDARIA 366</t>
  </si>
  <si>
    <t>IMURIS</t>
  </si>
  <si>
    <t>EL CURCERO</t>
  </si>
  <si>
    <t>26ETV0239M</t>
  </si>
  <si>
    <t>TELESECUNDARIA 239</t>
  </si>
  <si>
    <t>MAGDALENA</t>
  </si>
  <si>
    <t>SRIMB002191</t>
  </si>
  <si>
    <t>MAGDALENA DE KINO</t>
  </si>
  <si>
    <t>SRIMB001334</t>
  </si>
  <si>
    <t>26ETV0357A</t>
  </si>
  <si>
    <t>TELESECUNDARIA 357</t>
  </si>
  <si>
    <t>NACO</t>
  </si>
  <si>
    <t>EJIDO CUAHUTEMOC</t>
  </si>
  <si>
    <t>26ETK0032P</t>
  </si>
  <si>
    <t>TBC CUAUHTEMOC</t>
  </si>
  <si>
    <t>EJIDO CUAUHTEMOC</t>
  </si>
  <si>
    <t>SRIMB001556</t>
  </si>
  <si>
    <t>NOGALES</t>
  </si>
  <si>
    <t>HEROICA NOGALES</t>
  </si>
  <si>
    <t>SRIMB001561</t>
  </si>
  <si>
    <t>SRIMB002401</t>
  </si>
  <si>
    <t>SRIMB002553</t>
  </si>
  <si>
    <t>SRIMB002681</t>
  </si>
  <si>
    <t>SRIMB002722</t>
  </si>
  <si>
    <t>26ETV0219Z</t>
  </si>
  <si>
    <t>OPODEPE</t>
  </si>
  <si>
    <t>26ETK0034N</t>
  </si>
  <si>
    <t>TELEBACHILLERATO COMUNITARIO DESEMBOQUE</t>
  </si>
  <si>
    <t>PITIQUITO</t>
  </si>
  <si>
    <t>DESEMBOQUE DE LOS SERIS</t>
  </si>
  <si>
    <t>SRIMB001626</t>
  </si>
  <si>
    <t>SRIMB002355</t>
  </si>
  <si>
    <t>PUERTO PEÑASCO</t>
  </si>
  <si>
    <t>26ETK0002V</t>
  </si>
  <si>
    <t>26ETV0055F</t>
  </si>
  <si>
    <t xml:space="preserve">ESCUELA TELESECUNDARIA 55, PROF. RAUL RIVERA COTA </t>
  </si>
  <si>
    <t>26ETV0053H</t>
  </si>
  <si>
    <t>SARIC</t>
  </si>
  <si>
    <t>26ETK0035M</t>
  </si>
  <si>
    <t>PLANTEL SASABE</t>
  </si>
  <si>
    <t>SASABE</t>
  </si>
  <si>
    <t>26ETV0054G</t>
  </si>
  <si>
    <t>SRIMB001870</t>
  </si>
  <si>
    <t>26ETV0263M</t>
  </si>
  <si>
    <t>TELESECUNDARIA 263M</t>
  </si>
  <si>
    <t>TRINCHERAS</t>
  </si>
  <si>
    <t>EL OCUCA</t>
  </si>
  <si>
    <t>26ETK0001W</t>
  </si>
  <si>
    <t>TELEBACHILLERATO COMUNITARIO TRINCHERAS</t>
  </si>
  <si>
    <t>26ETV0191J</t>
  </si>
  <si>
    <t>26ETV0005Y</t>
  </si>
  <si>
    <t>ALAMOS</t>
  </si>
  <si>
    <t>LOS TANQUES</t>
  </si>
  <si>
    <t>SRIMB000156</t>
  </si>
  <si>
    <t>26ETV0026K</t>
  </si>
  <si>
    <t>MOCUZARI</t>
  </si>
  <si>
    <t>SPIMB000375</t>
  </si>
  <si>
    <t>SPIMB000556</t>
  </si>
  <si>
    <t>CONTRERAS</t>
  </si>
  <si>
    <t>SPIMB000684</t>
  </si>
  <si>
    <t>SPIMB001471</t>
  </si>
  <si>
    <t>COLONIA EMILIANO ZAPATA</t>
  </si>
  <si>
    <t>SPIMB001594</t>
  </si>
  <si>
    <t>SPIMB001792</t>
  </si>
  <si>
    <t>LA PARADA DEL ZARCIDO</t>
  </si>
  <si>
    <t>SPIMB001816</t>
  </si>
  <si>
    <t>SPIMB002113</t>
  </si>
  <si>
    <t>SPIMB002475</t>
  </si>
  <si>
    <t>SPIMB002545</t>
  </si>
  <si>
    <t>SPIMB002550</t>
  </si>
  <si>
    <t>SPIMB002562</t>
  </si>
  <si>
    <t>SPIMB002586</t>
  </si>
  <si>
    <t>SPIMB002866</t>
  </si>
  <si>
    <t>SPIMB003122</t>
  </si>
  <si>
    <t>26ETK0004T</t>
  </si>
  <si>
    <t>TELABACHILLERATO COMUNITARIO MOCUZARIT</t>
  </si>
  <si>
    <t>MOCUZARIT</t>
  </si>
  <si>
    <t>SRIMB000161</t>
  </si>
  <si>
    <t>TAPIZUELAS</t>
  </si>
  <si>
    <t>SRIMB000330</t>
  </si>
  <si>
    <t>BACUM</t>
  </si>
  <si>
    <t>26ETV0013G</t>
  </si>
  <si>
    <t>TELESECUNDARIA 13</t>
  </si>
  <si>
    <t>EJ. PRIMERO DE MAYO</t>
  </si>
  <si>
    <t>SRIMB000342</t>
  </si>
  <si>
    <t>FRANCISCO JAVIER MINA (CAMPO 60)</t>
  </si>
  <si>
    <t>26ETV0146X</t>
  </si>
  <si>
    <t>LOMA DE BACUM</t>
  </si>
  <si>
    <t>SRIMB000354</t>
  </si>
  <si>
    <t>PRIMERO DE MAYO (CAMPO 77)</t>
  </si>
  <si>
    <t>26ETV0135R</t>
  </si>
  <si>
    <t>AGUA BLANCA</t>
  </si>
  <si>
    <t>SRIMB000564</t>
  </si>
  <si>
    <t>CAJEME</t>
  </si>
  <si>
    <t>31 DE OCTUBRE</t>
  </si>
  <si>
    <t>26ETV0259Z</t>
  </si>
  <si>
    <t>ANTONIO ROSALES</t>
  </si>
  <si>
    <t>SRIMB000465</t>
  </si>
  <si>
    <t>CIUDAD OBREGON</t>
  </si>
  <si>
    <t>No se pudo cargar en la aplicación</t>
  </si>
  <si>
    <t>SRIMB000470</t>
  </si>
  <si>
    <t>SRIMB002273</t>
  </si>
  <si>
    <t>SRIMB002290</t>
  </si>
  <si>
    <t>SRIMB002302</t>
  </si>
  <si>
    <t>SRIMB002343</t>
  </si>
  <si>
    <t xml:space="preserve">Falta cargar en sistema de instalación sitios
</t>
  </si>
  <si>
    <t>SRIMB002384</t>
  </si>
  <si>
    <t>SRIMB002454</t>
  </si>
  <si>
    <t>SRIMB002495</t>
  </si>
  <si>
    <t>SRIMB002623</t>
  </si>
  <si>
    <t>SRIMB000506</t>
  </si>
  <si>
    <t>CUAUHTEMOC (CAMPO CINCO)</t>
  </si>
  <si>
    <t>26ETV0015E</t>
  </si>
  <si>
    <t>TELESECUNDARIA 15</t>
  </si>
  <si>
    <t>EJ VICENTE GUERRERO</t>
  </si>
  <si>
    <t>26ETK0036L</t>
  </si>
  <si>
    <t>TELEBACHILLERATO EJIDO CUAUHTEMOC CAMPO 5</t>
  </si>
  <si>
    <t>EJIDO CUAUHTEMOC CAMPO 5</t>
  </si>
  <si>
    <t>26ETV0019A</t>
  </si>
  <si>
    <t>EJIDO CUAUHTEMOC, CAMPO 5</t>
  </si>
  <si>
    <t>26ETK0016Y</t>
  </si>
  <si>
    <t>FRANCCISCO VILLA</t>
  </si>
  <si>
    <t>26ETV0145Y</t>
  </si>
  <si>
    <t>TELESECUNDARIA 145</t>
  </si>
  <si>
    <t>26ETV0288V</t>
  </si>
  <si>
    <t>26ETV0018B</t>
  </si>
  <si>
    <t>TELESECUNDARIA 18</t>
  </si>
  <si>
    <t>EJIDO MORA VILLALOBOS</t>
  </si>
  <si>
    <t>26ETV0314C</t>
  </si>
  <si>
    <t>TELESECUNDARIA 314</t>
  </si>
  <si>
    <t>EL OLVIDO</t>
  </si>
  <si>
    <t>SRIMB000511</t>
  </si>
  <si>
    <t>ESPERANZA</t>
  </si>
  <si>
    <t>No se logro cargar en la aplicacion</t>
  </si>
  <si>
    <t>26ETK0015Z</t>
  </si>
  <si>
    <t>ESTACION CORRAL</t>
  </si>
  <si>
    <t>26ETV0041C</t>
  </si>
  <si>
    <t>SRIMB000523</t>
  </si>
  <si>
    <t>FRANCISCO I. MADERO (CAMPO 30)</t>
  </si>
  <si>
    <t>26ETV0014F</t>
  </si>
  <si>
    <t>LA TINAJERA</t>
  </si>
  <si>
    <t>Por registrar en portal de sitios de instalacion</t>
  </si>
  <si>
    <t>26ETV0141B</t>
  </si>
  <si>
    <t xml:space="preserve">TELESECUNDARIA 141  SIGIFREDO VALENZUELA PORTILLO </t>
  </si>
  <si>
    <t>LOMA DE GUAMUCHIL</t>
  </si>
  <si>
    <t>SRIMB002763</t>
  </si>
  <si>
    <t>26ETK0017X</t>
  </si>
  <si>
    <t>LOS HORNOS</t>
  </si>
  <si>
    <t>SRIMB000535</t>
  </si>
  <si>
    <t>MARTE R. GOMEZ (TOBARITO)</t>
  </si>
  <si>
    <t>SRIMB000540</t>
  </si>
  <si>
    <t>MORELOS UNO</t>
  </si>
  <si>
    <t>SRIMB000576</t>
  </si>
  <si>
    <t>PUEBLO YAQUI</t>
  </si>
  <si>
    <t>26ETV0278O</t>
  </si>
  <si>
    <t>PUENTE DE PICOS</t>
  </si>
  <si>
    <t>26ETV0039O</t>
  </si>
  <si>
    <t>YUCURIBAMPO</t>
  </si>
  <si>
    <t>26ETV0281B</t>
  </si>
  <si>
    <t>TLS 281 JOAQUIN ALEJANDRO VILLANUEVA LOBIO</t>
  </si>
  <si>
    <t>EMPALME</t>
  </si>
  <si>
    <t>SRIMB002215</t>
  </si>
  <si>
    <t>26ETV0183A</t>
  </si>
  <si>
    <t>26ETV0270W</t>
  </si>
  <si>
    <t>TELESECUNDARIA 270</t>
  </si>
  <si>
    <t>ETCHOJOA</t>
  </si>
  <si>
    <t>BACAJAQUIA</t>
  </si>
  <si>
    <t>26ETV0130W</t>
  </si>
  <si>
    <t>BUAYSIACOBE</t>
  </si>
  <si>
    <t>26ETV0127I</t>
  </si>
  <si>
    <t>CAMPO LEON</t>
  </si>
  <si>
    <t>SRIMB000750</t>
  </si>
  <si>
    <t>CHUCARIT</t>
  </si>
  <si>
    <t>SRIMB001660</t>
  </si>
  <si>
    <t>26ETV0184Z</t>
  </si>
  <si>
    <t>EL BAYNORILLO</t>
  </si>
  <si>
    <t>SRIMB001783</t>
  </si>
  <si>
    <t>INGENIERO LUIS B. SANCHEZ</t>
  </si>
  <si>
    <t>26ETV0342Z</t>
  </si>
  <si>
    <t>TELESECUNDARIA 342</t>
  </si>
  <si>
    <t>GUAYTANA</t>
  </si>
  <si>
    <t>26ETV0368G</t>
  </si>
  <si>
    <t>TELESECUNDARIA 368</t>
  </si>
  <si>
    <t>GUYPARIN</t>
  </si>
  <si>
    <t>26ETV0129G</t>
  </si>
  <si>
    <t>JITONHUECA</t>
  </si>
  <si>
    <t>26ETV0134S</t>
  </si>
  <si>
    <t>26ETV0230V</t>
  </si>
  <si>
    <t>TELESECUNDARIA 230</t>
  </si>
  <si>
    <t>LA VASCONIA</t>
  </si>
  <si>
    <t>26ETV0250I</t>
  </si>
  <si>
    <t>LAS PLAYITAS</t>
  </si>
  <si>
    <t>26ETV0249T</t>
  </si>
  <si>
    <t>26ETV0132U</t>
  </si>
  <si>
    <t>TELESECUNDARIA 132</t>
  </si>
  <si>
    <t>SEBAMPO</t>
  </si>
  <si>
    <t>SRIMB000844</t>
  </si>
  <si>
    <t>GUAYMAS</t>
  </si>
  <si>
    <t>HEROICA GUAYMAS</t>
  </si>
  <si>
    <t>Falta cargar en sistema de instalación sitios</t>
  </si>
  <si>
    <t>SRIMB002500</t>
  </si>
  <si>
    <t xml:space="preserve">Falta cargar en sistema de instalacion sitios
</t>
  </si>
  <si>
    <t>SRIMB002570</t>
  </si>
  <si>
    <t>26ETV0002A</t>
  </si>
  <si>
    <t>TELESECUNDARIA 2</t>
  </si>
  <si>
    <t>LA MISA</t>
  </si>
  <si>
    <t>26ETV0300Z</t>
  </si>
  <si>
    <t>26ETK0009O</t>
  </si>
  <si>
    <t>TELEBACHILLERATO COMUNITARIO SAN JOSE</t>
  </si>
  <si>
    <t>SAN JOSE</t>
  </si>
  <si>
    <t>26ETV0124L</t>
  </si>
  <si>
    <t>SAN JOSE DE GUAYMAS</t>
  </si>
  <si>
    <t>26ETV0287W</t>
  </si>
  <si>
    <t>TELESECUNDARIA 287</t>
  </si>
  <si>
    <t>TORIM</t>
  </si>
  <si>
    <t>26ETV0331T</t>
  </si>
  <si>
    <t>TELESECUNDARIA 331</t>
  </si>
  <si>
    <t>VICAM PUEBLO</t>
  </si>
  <si>
    <t>26ETV0273T</t>
  </si>
  <si>
    <t>TELESECUNDARIA 273</t>
  </si>
  <si>
    <t>HUATABAMPO</t>
  </si>
  <si>
    <t>ALVARO OBREGON TAPIA</t>
  </si>
  <si>
    <t>26ETV0304W</t>
  </si>
  <si>
    <t>SRIMB002372</t>
  </si>
  <si>
    <t>26ETV0010J</t>
  </si>
  <si>
    <t>TELESECUNDARIA 10</t>
  </si>
  <si>
    <t>26ETV0038P</t>
  </si>
  <si>
    <t>MORONCARIT</t>
  </si>
  <si>
    <t>SRIMB002430</t>
  </si>
  <si>
    <t>SRIMB001235</t>
  </si>
  <si>
    <t>26ETV0271V</t>
  </si>
  <si>
    <t>TELESECUNDARIA 271</t>
  </si>
  <si>
    <t>SIREBAMPO</t>
  </si>
  <si>
    <t>26ETV0168I</t>
  </si>
  <si>
    <t>TELESECUNDARIA 168</t>
  </si>
  <si>
    <t>TOTOLIBOQUI</t>
  </si>
  <si>
    <t>26ETV0262N</t>
  </si>
  <si>
    <t>TELESECUNDARIA 262</t>
  </si>
  <si>
    <t>NAVOJOA</t>
  </si>
  <si>
    <t>CHINOTAHUECA</t>
  </si>
  <si>
    <t>26ETV0269G</t>
  </si>
  <si>
    <t>TELESECUNDARIA 269</t>
  </si>
  <si>
    <t>EJIDO 5 DE JUNIO</t>
  </si>
  <si>
    <t>26ETV0367H</t>
  </si>
  <si>
    <t>TELESECUNDARIA 367</t>
  </si>
  <si>
    <t>EL RECODO</t>
  </si>
  <si>
    <t>26ETV0001B</t>
  </si>
  <si>
    <t>TELESECUNDARIA 1</t>
  </si>
  <si>
    <t>FUNDICION</t>
  </si>
  <si>
    <t>SRIMB002536</t>
  </si>
  <si>
    <t>SRIMB002541</t>
  </si>
  <si>
    <t>26ETV0025L</t>
  </si>
  <si>
    <t>GUADALUPE DE JUAREZ</t>
  </si>
  <si>
    <t>SRIMB001544</t>
  </si>
  <si>
    <t xml:space="preserve">Se tiene problemas con la red, no se muestra el SSID
</t>
  </si>
  <si>
    <t>SRIMB002244</t>
  </si>
  <si>
    <t>SRIMB002256</t>
  </si>
  <si>
    <t>SRIMB002285</t>
  </si>
  <si>
    <t>SRIMB002314</t>
  </si>
  <si>
    <t>SRIMB002512</t>
  </si>
  <si>
    <t>no se logro cargar en la aplicacion</t>
  </si>
  <si>
    <t>26ETV0110I</t>
  </si>
  <si>
    <t>TELESECUNDARIA 110</t>
  </si>
  <si>
    <t>PUEBLO MAYO</t>
  </si>
  <si>
    <t>26ETK0003U</t>
  </si>
  <si>
    <t>26ETV0003Z</t>
  </si>
  <si>
    <t>QUIRIEGO</t>
  </si>
  <si>
    <t>SRIMB001672</t>
  </si>
  <si>
    <t>SRIMB002705</t>
  </si>
  <si>
    <t>26ETV0280C</t>
  </si>
  <si>
    <t>TELESECUNDARIA 280</t>
  </si>
  <si>
    <t>SAN IGNACIO RIO MUERTO</t>
  </si>
  <si>
    <t>BATEVE</t>
  </si>
  <si>
    <t>26ETV0217A</t>
  </si>
  <si>
    <t>EJIDO DEMOCRACIA</t>
  </si>
  <si>
    <t>26ETV0228G</t>
  </si>
  <si>
    <t>TELESECUNDARIA 228</t>
  </si>
  <si>
    <t>EJIDO SAN ISIDRO</t>
  </si>
  <si>
    <t>26ETV0122N</t>
  </si>
  <si>
    <t>SINGAPUR</t>
  </si>
  <si>
    <t>TSIMB000012</t>
  </si>
  <si>
    <t>TSIMB000070</t>
  </si>
  <si>
    <t>TSIMB000304</t>
  </si>
  <si>
    <t>CASAS</t>
  </si>
  <si>
    <t>TSIMB000420</t>
  </si>
  <si>
    <t>GUSTAVO DIAZ ORDAZ</t>
  </si>
  <si>
    <t>CIUDAD GUSTAVO DIAZ ORDAZ</t>
  </si>
  <si>
    <t>TSIMB000473</t>
  </si>
  <si>
    <t>TSIMB000666</t>
  </si>
  <si>
    <t>TSIMB000770</t>
  </si>
  <si>
    <t>TSIMB000782</t>
  </si>
  <si>
    <t>TSIMB000806</t>
  </si>
  <si>
    <t>TSIMB000823</t>
  </si>
  <si>
    <t>TSIMB000835</t>
  </si>
  <si>
    <t>TSIMB000840</t>
  </si>
  <si>
    <t>TSIMB000852</t>
  </si>
  <si>
    <t>TSIMB000864</t>
  </si>
  <si>
    <t>TSIMB000881</t>
  </si>
  <si>
    <t>TSIMB000893</t>
  </si>
  <si>
    <t>TSIMB000905</t>
  </si>
  <si>
    <t>LAS BLANCAS</t>
  </si>
  <si>
    <t>TSIMB000910</t>
  </si>
  <si>
    <t>EL CONTROL</t>
  </si>
  <si>
    <t>TSIMB000922</t>
  </si>
  <si>
    <t>EL GALANEÑ‘O</t>
  </si>
  <si>
    <t>TSIMB000963</t>
  </si>
  <si>
    <t>RAMIREZ</t>
  </si>
  <si>
    <t>TSIMB001091</t>
  </si>
  <si>
    <t>TSIMB001103</t>
  </si>
  <si>
    <t>TSIMB001120</t>
  </si>
  <si>
    <t>TSIMB001132</t>
  </si>
  <si>
    <t>TSIMB001144</t>
  </si>
  <si>
    <t>TSIMB001156</t>
  </si>
  <si>
    <t>TSIMB001161</t>
  </si>
  <si>
    <t>TSIMB001185</t>
  </si>
  <si>
    <t>TSIMB001190</t>
  </si>
  <si>
    <t>TSIMB001284</t>
  </si>
  <si>
    <t>TSIMB001296</t>
  </si>
  <si>
    <t>TSIMB001301</t>
  </si>
  <si>
    <t>TSIMB001325</t>
  </si>
  <si>
    <t>TSIMB001330</t>
  </si>
  <si>
    <t>TSIMB001354</t>
  </si>
  <si>
    <t>TSIMB001366</t>
  </si>
  <si>
    <t>TSIMB001465</t>
  </si>
  <si>
    <t>NUEVO PROGRESO</t>
  </si>
  <si>
    <t>TSIMB001535</t>
  </si>
  <si>
    <t>TSIMB001540</t>
  </si>
  <si>
    <t>TSIMB001552</t>
  </si>
  <si>
    <t>TSIMB001564</t>
  </si>
  <si>
    <t>TSIMB001576</t>
  </si>
  <si>
    <t>TSIMB001581</t>
  </si>
  <si>
    <t>TSIMB001931</t>
  </si>
  <si>
    <t>CIUDAD VICTORIA</t>
  </si>
  <si>
    <t>TSIMB001943</t>
  </si>
  <si>
    <t>TSIMB001955</t>
  </si>
  <si>
    <t>TSIMB001960</t>
  </si>
  <si>
    <t>TSIMB001984</t>
  </si>
  <si>
    <t>TSIMB001996</t>
  </si>
  <si>
    <t>TSIMB002001</t>
  </si>
  <si>
    <t>TSIMB002013</t>
  </si>
  <si>
    <t>TSIMB002025</t>
  </si>
  <si>
    <t>TSIMB002030</t>
  </si>
  <si>
    <t>TSIMB002042</t>
  </si>
  <si>
    <t>TSIMB002165</t>
  </si>
  <si>
    <t>TSIMB002182</t>
  </si>
  <si>
    <t>TSIMB002211</t>
  </si>
  <si>
    <t>TSIMB002276</t>
  </si>
  <si>
    <t>TSIMB002281</t>
  </si>
  <si>
    <t>TSIMB002322</t>
  </si>
  <si>
    <t>TSIMB002346</t>
  </si>
  <si>
    <t>TSIMB002392</t>
  </si>
  <si>
    <t>TSIMB002445</t>
  </si>
  <si>
    <t>CIUDAD TULA</t>
  </si>
  <si>
    <t>TSIMB002450</t>
  </si>
  <si>
    <t>TSIMB002474</t>
  </si>
  <si>
    <t>TSIMB002556</t>
  </si>
  <si>
    <t>TSIMB002631</t>
  </si>
  <si>
    <t>TSIMB002643</t>
  </si>
  <si>
    <t>TSIMB002655</t>
  </si>
  <si>
    <t>TSIMB002660</t>
  </si>
  <si>
    <t>TSIMB002672</t>
  </si>
  <si>
    <t>TSIMB002684</t>
  </si>
  <si>
    <t>TSIMB002696</t>
  </si>
  <si>
    <t>TSIMB002701</t>
  </si>
  <si>
    <t>TSIMB002730</t>
  </si>
  <si>
    <t>TSIMB002742</t>
  </si>
  <si>
    <t>TSIMB002766</t>
  </si>
  <si>
    <t>TSIMB002783</t>
  </si>
  <si>
    <t>TSIMB002795</t>
  </si>
  <si>
    <t>TSIMB002824</t>
  </si>
  <si>
    <t>TSIMB002870</t>
  </si>
  <si>
    <t>TSIMB002940</t>
  </si>
  <si>
    <t>TSIMB003010</t>
  </si>
  <si>
    <t>TSIMB003022</t>
  </si>
  <si>
    <t>TSIMB003034</t>
  </si>
  <si>
    <t>TSIMB003046</t>
  </si>
  <si>
    <t>TSIMB003051</t>
  </si>
  <si>
    <t>TSIMB003063</t>
  </si>
  <si>
    <t>TSIMB003075</t>
  </si>
  <si>
    <t>TSIMB003203</t>
  </si>
  <si>
    <t>TSIMB003232</t>
  </si>
  <si>
    <t>TSIMB003326</t>
  </si>
  <si>
    <t>TSIMB003384</t>
  </si>
  <si>
    <t>TSIMB003500</t>
  </si>
  <si>
    <t>NUEVA CIUDAD GUERRERO</t>
  </si>
  <si>
    <t>TSIMB003512</t>
  </si>
  <si>
    <t>TSIMB003524</t>
  </si>
  <si>
    <t>TSIMB003565</t>
  </si>
  <si>
    <t>TSIMB003570</t>
  </si>
  <si>
    <t>TSIMB003582</t>
  </si>
  <si>
    <t>TSIMB003722</t>
  </si>
  <si>
    <t>TSIMB003746</t>
  </si>
  <si>
    <t>TSIMB003751</t>
  </si>
  <si>
    <t>24DTV0175V</t>
  </si>
  <si>
    <t>5DE MAYO</t>
  </si>
  <si>
    <t>ALAQUINES</t>
  </si>
  <si>
    <t>EJIDO MARTINEZ</t>
  </si>
  <si>
    <t>21DTV0495I</t>
  </si>
  <si>
    <t>ABEL SALGADO AGUILAR</t>
  </si>
  <si>
    <t>TLATLAUQUITEPEC</t>
  </si>
  <si>
    <t>EL CERRITO</t>
  </si>
  <si>
    <t>ALMACEN GRTOR</t>
  </si>
  <si>
    <t>21DTV0309X</t>
  </si>
  <si>
    <t>TLAOLA</t>
  </si>
  <si>
    <t>CHICAHUAXTLA</t>
  </si>
  <si>
    <t>24DTV0598B</t>
  </si>
  <si>
    <t>HUEHUETLAN</t>
  </si>
  <si>
    <t>TANDZUMADZ</t>
  </si>
  <si>
    <t>21DTV0182H</t>
  </si>
  <si>
    <t>HUAUCHINANGO</t>
  </si>
  <si>
    <t>OCPACO</t>
  </si>
  <si>
    <t>21DTV0243E</t>
  </si>
  <si>
    <t>ALFONSO CASO</t>
  </si>
  <si>
    <t>TOCHIMPA</t>
  </si>
  <si>
    <t>21ETV0023S</t>
  </si>
  <si>
    <t>ALFREDO ADLER</t>
  </si>
  <si>
    <t>NAUPAN</t>
  </si>
  <si>
    <t>TLAXPANALOYA</t>
  </si>
  <si>
    <t>21DTV0432X</t>
  </si>
  <si>
    <t>21ETV0494I</t>
  </si>
  <si>
    <t>XOCHITLAN DE VICENTE SUAREZ</t>
  </si>
  <si>
    <t>HUAHUAXTLA</t>
  </si>
  <si>
    <t>21DTV0142G</t>
  </si>
  <si>
    <t>ZACAPOAXTLA</t>
  </si>
  <si>
    <t>NEXTICAPAN</t>
  </si>
  <si>
    <t>21DTV0089B</t>
  </si>
  <si>
    <t>21ETV0072A</t>
  </si>
  <si>
    <t>ANGELA PERALTA</t>
  </si>
  <si>
    <t>TETELA DE OCAMPO</t>
  </si>
  <si>
    <t>XALTATEMPA DE LUCAS</t>
  </si>
  <si>
    <t>24DTV1062Z</t>
  </si>
  <si>
    <t>ANTONIO DIAZ SOTO Y GAMA</t>
  </si>
  <si>
    <t>AQUISMON</t>
  </si>
  <si>
    <t>SAN RAFAEL TAMPAXAL</t>
  </si>
  <si>
    <t>21DTV0103E</t>
  </si>
  <si>
    <t>ANTONIO JULIAN ZAPATA</t>
  </si>
  <si>
    <t>XIUTETELCO</t>
  </si>
  <si>
    <t>XALTIPAN</t>
  </si>
  <si>
    <t>21ETV0691J</t>
  </si>
  <si>
    <t>ZACATLAN</t>
  </si>
  <si>
    <t>TEPOXCUAUTLA</t>
  </si>
  <si>
    <t>21DTV0158H</t>
  </si>
  <si>
    <t>SAN AGUSTIN CHAGCHALTZIN</t>
  </si>
  <si>
    <t>24DTV0831R</t>
  </si>
  <si>
    <t>PUERTO DE BELEM</t>
  </si>
  <si>
    <t>24DTV0642Z</t>
  </si>
  <si>
    <t>SAN MARTIN CHALCHICUAUTLA</t>
  </si>
  <si>
    <t>LA MESA DEL TORO</t>
  </si>
  <si>
    <t>21ETV0801Z</t>
  </si>
  <si>
    <t>XICOTEPEC</t>
  </si>
  <si>
    <t>ATEQUEXQUITLA</t>
  </si>
  <si>
    <t>21DTV0333X</t>
  </si>
  <si>
    <t>TEPETZINTLA</t>
  </si>
  <si>
    <t>TONALIXCO</t>
  </si>
  <si>
    <t>24DTV0054J</t>
  </si>
  <si>
    <t>CIUDAD VALLES</t>
  </si>
  <si>
    <t>24DTV0595E</t>
  </si>
  <si>
    <t>TAMUIN</t>
  </si>
  <si>
    <t>ESTACION TAMUIN</t>
  </si>
  <si>
    <t>24DTV0056H</t>
  </si>
  <si>
    <t>LAS CRUCITAS</t>
  </si>
  <si>
    <t>24DTV0140F</t>
  </si>
  <si>
    <t>24DTV0035V</t>
  </si>
  <si>
    <t>TAMPACAN</t>
  </si>
  <si>
    <t>EL HULERO</t>
  </si>
  <si>
    <t>24DTV0014I</t>
  </si>
  <si>
    <t>TAMAZUNCHALE</t>
  </si>
  <si>
    <t>24DTV0162R</t>
  </si>
  <si>
    <t>BENITO JUREZ</t>
  </si>
  <si>
    <t>SAN RAEL</t>
  </si>
  <si>
    <t>28DTV0225I</t>
  </si>
  <si>
    <t>BENITO PABLO JUAREZ GARCIA</t>
  </si>
  <si>
    <t>TAMPICO</t>
  </si>
  <si>
    <t>28DTV0185Y</t>
  </si>
  <si>
    <t>BENJAMIN S. PENA RODRIGUEZ</t>
  </si>
  <si>
    <t>ALTAMIRA</t>
  </si>
  <si>
    <t>LA PEDRERA</t>
  </si>
  <si>
    <t>21ETV0112L</t>
  </si>
  <si>
    <t>BERNARDO O HIGGINS</t>
  </si>
  <si>
    <t>CAMOTEPEC</t>
  </si>
  <si>
    <t>21DTV0554H</t>
  </si>
  <si>
    <t>BICENTENARIO</t>
  </si>
  <si>
    <t>TEZIUTLAN</t>
  </si>
  <si>
    <t>24DTV0706T</t>
  </si>
  <si>
    <t>BLAS ESCONTRIA</t>
  </si>
  <si>
    <t>NUEVO MIRAMAR</t>
  </si>
  <si>
    <t>24DTV0755B</t>
  </si>
  <si>
    <t>LA PUERTA</t>
  </si>
  <si>
    <t>24DTV0805T</t>
  </si>
  <si>
    <t>MATLAPA</t>
  </si>
  <si>
    <t>LA PEÑITA</t>
  </si>
  <si>
    <t>21ETV0135W</t>
  </si>
  <si>
    <t>CADETE JUAN DE LA BARRERA</t>
  </si>
  <si>
    <t>ZIHUATEUTLA</t>
  </si>
  <si>
    <t>21DTV0124R</t>
  </si>
  <si>
    <t>CADETE VICENTE SUAREZ</t>
  </si>
  <si>
    <t>PANTEPEC</t>
  </si>
  <si>
    <t>24DTV1172E</t>
  </si>
  <si>
    <t>TEXQUITOTE II</t>
  </si>
  <si>
    <t>24DTV0565K</t>
  </si>
  <si>
    <t>CANDIDO NAVARRO</t>
  </si>
  <si>
    <t>EL LIMONAL</t>
  </si>
  <si>
    <t>21ETV0922K</t>
  </si>
  <si>
    <t>CANTONA</t>
  </si>
  <si>
    <t>HACIENDA NUEVA TERUEL</t>
  </si>
  <si>
    <t>21ETV0175X</t>
  </si>
  <si>
    <t>CARLOS DE LINNEO</t>
  </si>
  <si>
    <t>SAN SEBASTIAN TLACOTEPEC</t>
  </si>
  <si>
    <t>VILLA DEL RIO</t>
  </si>
  <si>
    <t>21ETV0464O</t>
  </si>
  <si>
    <t>CARLOS I BETANCOURT</t>
  </si>
  <si>
    <t>IXTICPAN</t>
  </si>
  <si>
    <t>24DTV0562N</t>
  </si>
  <si>
    <t>CIUDAD DEL MAIZ</t>
  </si>
  <si>
    <t>EJIDO MONTEBELLO</t>
  </si>
  <si>
    <t>24DTV0148Y</t>
  </si>
  <si>
    <t>AXTLA DE TERRAZAS</t>
  </si>
  <si>
    <t>TEMALACACO</t>
  </si>
  <si>
    <t>21ETV0621O</t>
  </si>
  <si>
    <t>CARLOS SALINAS DE GORTARI</t>
  </si>
  <si>
    <t>COYAY</t>
  </si>
  <si>
    <t>21DTV0553I</t>
  </si>
  <si>
    <t>TLACUILOTEPEC</t>
  </si>
  <si>
    <t>EL JERICO</t>
  </si>
  <si>
    <t>21DTV0145D</t>
  </si>
  <si>
    <t>CERRO VERDE</t>
  </si>
  <si>
    <t>21ETV0872T</t>
  </si>
  <si>
    <t>21DTV0041I</t>
  </si>
  <si>
    <t>CLUB DE LEONES</t>
  </si>
  <si>
    <t>24DTV0985U</t>
  </si>
  <si>
    <t>EJIDO LAS FLORES</t>
  </si>
  <si>
    <t>24DTV0871S</t>
  </si>
  <si>
    <t>21ETV0100G</t>
  </si>
  <si>
    <t>VILLA LAZARO CARDENAS</t>
  </si>
  <si>
    <t>21ETV0053M</t>
  </si>
  <si>
    <t>DANIEL COSSIO VILLEGAS</t>
  </si>
  <si>
    <t>TLACOMULCO</t>
  </si>
  <si>
    <t>21ETV0506X</t>
  </si>
  <si>
    <t>DESIDERIO XOCHITIOTZIN</t>
  </si>
  <si>
    <t>TATOXCAC</t>
  </si>
  <si>
    <t>21DTV0272Z</t>
  </si>
  <si>
    <t>DIANA LAURA RIOJAS DE COLOSIO</t>
  </si>
  <si>
    <t>24DTV0746U</t>
  </si>
  <si>
    <t>DR. GABRIEL MARTINEZ</t>
  </si>
  <si>
    <t>RIOVERDE</t>
  </si>
  <si>
    <t>24DTV0174W</t>
  </si>
  <si>
    <t>21DTV0345B</t>
  </si>
  <si>
    <t>DR. SANTIAGO LEVY ALGAZI</t>
  </si>
  <si>
    <t>21ETV0592J</t>
  </si>
  <si>
    <t>EDGAR ALLAN POE</t>
  </si>
  <si>
    <t>13ETK0056V</t>
  </si>
  <si>
    <t>EL BARCO LOLOTLA HGO</t>
  </si>
  <si>
    <t>21ETV0426L</t>
  </si>
  <si>
    <t>ELENA KELLER</t>
  </si>
  <si>
    <t>HUEYAPAN</t>
  </si>
  <si>
    <t>21DTV0094N</t>
  </si>
  <si>
    <t>ELVIRA CABAÑEZ DE FLORES</t>
  </si>
  <si>
    <t>EQUIPAMIENTO INSTALADO . PENDIENTE LA ACTIVACIÓN.</t>
  </si>
  <si>
    <t>24DTV0563M</t>
  </si>
  <si>
    <t>EL MECO</t>
  </si>
  <si>
    <t>24DTV0668G</t>
  </si>
  <si>
    <t>TANLAJAS</t>
  </si>
  <si>
    <t>EL BARRANCON</t>
  </si>
  <si>
    <t>24DTV0414E</t>
  </si>
  <si>
    <t>LA ARGENTINA</t>
  </si>
  <si>
    <t>13DTV0568B</t>
  </si>
  <si>
    <t>ESCUELA TELESECUNDARIA  564</t>
  </si>
  <si>
    <t>PAHUAYO</t>
  </si>
  <si>
    <t>28DTV0079O</t>
  </si>
  <si>
    <t>ESCUELA TELESECUNDARIA JOSE MA. PINO SUAREZ</t>
  </si>
  <si>
    <t>MIRAMAR</t>
  </si>
  <si>
    <t>24DTV0908P</t>
  </si>
  <si>
    <t>FERNANDO MONTES DE OCA</t>
  </si>
  <si>
    <t>CRUZ BLANCA</t>
  </si>
  <si>
    <t>24DTV0045B</t>
  </si>
  <si>
    <t>FRANCISCO GONZALEZ BOANEGRA</t>
  </si>
  <si>
    <t>TAMASOPO</t>
  </si>
  <si>
    <t>SANTA MARIA TAMPALATIN</t>
  </si>
  <si>
    <t>24DTV0881Z</t>
  </si>
  <si>
    <t>LOS ALAMOS DE ABAJO</t>
  </si>
  <si>
    <t>24DTV0700Z</t>
  </si>
  <si>
    <t>TAMPAMOLON CORONA</t>
  </si>
  <si>
    <t>COMUNIDAD EL NARANJO</t>
  </si>
  <si>
    <t>24DTV0434S</t>
  </si>
  <si>
    <t>LA PIMIENTA</t>
  </si>
  <si>
    <t>24DTV0466K</t>
  </si>
  <si>
    <t>EL HUAYAL</t>
  </si>
  <si>
    <t>21DTV0335V</t>
  </si>
  <si>
    <t>TOTOTZINAPAN</t>
  </si>
  <si>
    <t>21DTV0186D</t>
  </si>
  <si>
    <t>FRANCISCO Z. MENA</t>
  </si>
  <si>
    <t>LOS PLANES</t>
  </si>
  <si>
    <t>24DTV0624J</t>
  </si>
  <si>
    <t>PAPATLACO</t>
  </si>
  <si>
    <t>21ETV0101F</t>
  </si>
  <si>
    <t>FRAY LUIS DE LEON</t>
  </si>
  <si>
    <t>21ETV0914B</t>
  </si>
  <si>
    <t>RANCHO NUEVO 1</t>
  </si>
  <si>
    <t>21DTV0372Z</t>
  </si>
  <si>
    <t>AHUAZOTEPEC</t>
  </si>
  <si>
    <t>TENEJAQUE</t>
  </si>
  <si>
    <t>21ETV0107Z</t>
  </si>
  <si>
    <t>TLAXCALANTONGO</t>
  </si>
  <si>
    <t>21ETV0458D</t>
  </si>
  <si>
    <t>GABRIEL AVILA CAMACHO</t>
  </si>
  <si>
    <t>XOLOATENO</t>
  </si>
  <si>
    <t>24DTV0618Z</t>
  </si>
  <si>
    <t>GENERAL LAZARO CARDENAS</t>
  </si>
  <si>
    <t>MINAS VIEJAS</t>
  </si>
  <si>
    <t>28DTV0106V</t>
  </si>
  <si>
    <t>GERARDO TOMAS GOMEZ CASTILLLO</t>
  </si>
  <si>
    <t>24DTV0844V</t>
  </si>
  <si>
    <t>GRACIANO SANCHEZ</t>
  </si>
  <si>
    <t>LA AGUALOJA</t>
  </si>
  <si>
    <t>24DTV0964H</t>
  </si>
  <si>
    <t>24DTV0550I</t>
  </si>
  <si>
    <t>GRAL MIGUEL BARRAGAN</t>
  </si>
  <si>
    <t>ESTACION LAS TABLAS</t>
  </si>
  <si>
    <t>24DTV0716Z</t>
  </si>
  <si>
    <t>GRAL. ALBERTO CARRERA TORRES</t>
  </si>
  <si>
    <t>KILOMETRO 42</t>
  </si>
  <si>
    <t>24ETK0014B</t>
  </si>
  <si>
    <t>GRAL. MIGUEL BARRAGAN</t>
  </si>
  <si>
    <t>ZAMACHIHUE</t>
  </si>
  <si>
    <t>24DTV0008Y</t>
  </si>
  <si>
    <t>EL TEPETATE</t>
  </si>
  <si>
    <t>21ETV0298G</t>
  </si>
  <si>
    <t>21ETV0869F</t>
  </si>
  <si>
    <t>NEXPAN</t>
  </si>
  <si>
    <t>21DTV0476U</t>
  </si>
  <si>
    <t>XICOTEPEC DE JUAREZ</t>
  </si>
  <si>
    <t>24DTV0709Q</t>
  </si>
  <si>
    <t>21DTV0033Z</t>
  </si>
  <si>
    <t>HERMILO AMADOR</t>
  </si>
  <si>
    <t>CORONEL TITO HERNANDEZ</t>
  </si>
  <si>
    <t>21DTV0406Z</t>
  </si>
  <si>
    <t>HEROES DEL 5 DE MAYO</t>
  </si>
  <si>
    <t>CUYOACO</t>
  </si>
  <si>
    <t>21DTV0144E</t>
  </si>
  <si>
    <t>ALHUACA</t>
  </si>
  <si>
    <t>21ETV0687X</t>
  </si>
  <si>
    <t>21DTV0267O</t>
  </si>
  <si>
    <t>IGNACIO C. DOMINGUEZ</t>
  </si>
  <si>
    <t>YAONAHUAC</t>
  </si>
  <si>
    <t>MAZATONAL</t>
  </si>
  <si>
    <t>21ETV0045D</t>
  </si>
  <si>
    <t>HUITZILAC</t>
  </si>
  <si>
    <t>21DTV0407Y</t>
  </si>
  <si>
    <t>QUIMIXTLAN</t>
  </si>
  <si>
    <t>TLAMOLOAXTLA</t>
  </si>
  <si>
    <t>21ETV0883Z</t>
  </si>
  <si>
    <t>EL TABLON</t>
  </si>
  <si>
    <t>HGIMB004556</t>
  </si>
  <si>
    <t>HUEJUTLA DE REYES</t>
  </si>
  <si>
    <t>HGIMB005121</t>
  </si>
  <si>
    <t>HGIMB005302</t>
  </si>
  <si>
    <t>BARRIO SANTA CECILIA</t>
  </si>
  <si>
    <t>HGIMB005454</t>
  </si>
  <si>
    <t>TLALCHIYAHUALICA</t>
  </si>
  <si>
    <t>HGIMB003972</t>
  </si>
  <si>
    <t>HGIMB004001</t>
  </si>
  <si>
    <t>ATLALCO</t>
  </si>
  <si>
    <t>HGIMB005285</t>
  </si>
  <si>
    <t>HGIMB005384</t>
  </si>
  <si>
    <t>JALTOCAN</t>
  </si>
  <si>
    <t>PLIMB006400</t>
  </si>
  <si>
    <t>ZACATEPEC DE BRAVO</t>
  </si>
  <si>
    <t>PLIMB007112</t>
  </si>
  <si>
    <t>CUETZALAN DEL PROGRESO</t>
  </si>
  <si>
    <t>PAHPATAPAN</t>
  </si>
  <si>
    <t>PLIMB006610</t>
  </si>
  <si>
    <t>PLIMB006622</t>
  </si>
  <si>
    <t>PLIMB004715</t>
  </si>
  <si>
    <t>PLIMB005601</t>
  </si>
  <si>
    <t>PLIMB006272</t>
  </si>
  <si>
    <t>CHICONCUAUTLA</t>
  </si>
  <si>
    <t>PLIMB005292</t>
  </si>
  <si>
    <t>PLIMB003431</t>
  </si>
  <si>
    <t>PLIMB006103</t>
  </si>
  <si>
    <t>PLIMB006564</t>
  </si>
  <si>
    <t>PLIMB003146</t>
  </si>
  <si>
    <t>CIUDAD DE LAZARO CARDENAS</t>
  </si>
  <si>
    <t>PLIMB004855</t>
  </si>
  <si>
    <t>PLIMB003414</t>
  </si>
  <si>
    <t>XALACAPAN</t>
  </si>
  <si>
    <t>PLIMB004732</t>
  </si>
  <si>
    <t>PLIMB007042</t>
  </si>
  <si>
    <t>ZAUTLA</t>
  </si>
  <si>
    <t>SANTIAGO ZAUTLA</t>
  </si>
  <si>
    <t>PLIMB000730</t>
  </si>
  <si>
    <t>ZEMPOALA</t>
  </si>
  <si>
    <t>PLIMB006214</t>
  </si>
  <si>
    <t>PLIMB006441</t>
  </si>
  <si>
    <t>PLIMB004785</t>
  </si>
  <si>
    <t>PLIMB006296</t>
  </si>
  <si>
    <t>PLIMB006395</t>
  </si>
  <si>
    <t>ZOQUITLAN</t>
  </si>
  <si>
    <t>PLIMB000882</t>
  </si>
  <si>
    <t>CHIGNAUTLA</t>
  </si>
  <si>
    <t>SOSA</t>
  </si>
  <si>
    <t>PLIMB006301</t>
  </si>
  <si>
    <t>PLIMB003134</t>
  </si>
  <si>
    <t>PLIMB003011</t>
  </si>
  <si>
    <t>TLAMAYA GRANDE</t>
  </si>
  <si>
    <t>PLIMB002994</t>
  </si>
  <si>
    <t>PLIMB006313</t>
  </si>
  <si>
    <t>CHICHIQUILA</t>
  </si>
  <si>
    <t>PLIMB003291</t>
  </si>
  <si>
    <t>XOCHIAPULCO</t>
  </si>
  <si>
    <t>CUAUXIMALOYAN</t>
  </si>
  <si>
    <t>PLIMB003670</t>
  </si>
  <si>
    <t>SANABU</t>
  </si>
  <si>
    <t>PLIMB003735</t>
  </si>
  <si>
    <t>PLIMB001693</t>
  </si>
  <si>
    <t>OLINTLA</t>
  </si>
  <si>
    <t>LACAPAN CAMALLAGNE</t>
  </si>
  <si>
    <t>PLIMB006045</t>
  </si>
  <si>
    <t>PLIMB001121</t>
  </si>
  <si>
    <t>PLIMB003933</t>
  </si>
  <si>
    <t>TEPETLAMPA</t>
  </si>
  <si>
    <t>PLIMB006436</t>
  </si>
  <si>
    <t>PLIMB006354</t>
  </si>
  <si>
    <t>CHILCHOTLA</t>
  </si>
  <si>
    <t>RAFAEL J. GARCIA</t>
  </si>
  <si>
    <t>PLIMB006021</t>
  </si>
  <si>
    <t>SPIMB001734</t>
  </si>
  <si>
    <t>SPIMB000812</t>
  </si>
  <si>
    <t>EL SACRIFICIO</t>
  </si>
  <si>
    <t>SPIMB001244</t>
  </si>
  <si>
    <t>RANCHO AGUA FRIA</t>
  </si>
  <si>
    <t>SPIMB001961</t>
  </si>
  <si>
    <t>SPIMB002340</t>
  </si>
  <si>
    <t>SPIMB001862</t>
  </si>
  <si>
    <t>AHUEHUEYO PRIMERO CENTRO</t>
  </si>
  <si>
    <t>SPIMB001623</t>
  </si>
  <si>
    <t>SPIMB001845</t>
  </si>
  <si>
    <t>CHALCHOCOYO</t>
  </si>
  <si>
    <t>SPIMB001640</t>
  </si>
  <si>
    <t>NUEVO AYOTOXCO</t>
  </si>
  <si>
    <t>SPIMB002026</t>
  </si>
  <si>
    <t>EBANO</t>
  </si>
  <si>
    <t>ESTACION VELAZCO</t>
  </si>
  <si>
    <t>SPIMB001775</t>
  </si>
  <si>
    <t>UXTUAPAN</t>
  </si>
  <si>
    <t>SPIMB001746</t>
  </si>
  <si>
    <t>BARRIO SAN PEDRO</t>
  </si>
  <si>
    <t>SPIMB002615</t>
  </si>
  <si>
    <t>MONTEBELLO</t>
  </si>
  <si>
    <t>SPIMB000030</t>
  </si>
  <si>
    <t>MARTINEZ</t>
  </si>
  <si>
    <t>SPIMB001780</t>
  </si>
  <si>
    <t>SPIMB002743</t>
  </si>
  <si>
    <t>EL SABINITO</t>
  </si>
  <si>
    <t>SPIMB001932</t>
  </si>
  <si>
    <t>SAN VICENTE TANCUAYALAB</t>
  </si>
  <si>
    <t>SAN JUAN DE LAS VEGAS</t>
  </si>
  <si>
    <t>SPIMB003076</t>
  </si>
  <si>
    <t>SPIMB001606</t>
  </si>
  <si>
    <t>AHUACATITLA</t>
  </si>
  <si>
    <t>SPIMB002784</t>
  </si>
  <si>
    <t>NUEVO CUEYTZEN</t>
  </si>
  <si>
    <t>TSIMB001791</t>
  </si>
  <si>
    <t>TSIMB000316</t>
  </si>
  <si>
    <t>CIUDAD MADERO</t>
  </si>
  <si>
    <t>TSIMB000321</t>
  </si>
  <si>
    <t>TSIMB002433</t>
  </si>
  <si>
    <t>TSIMB001786</t>
  </si>
  <si>
    <t>TSIMB000181</t>
  </si>
  <si>
    <t>TSIMB000123</t>
  </si>
  <si>
    <t>TSIMB002911</t>
  </si>
  <si>
    <t>TSIMB001721</t>
  </si>
  <si>
    <t>TSIMB001716</t>
  </si>
  <si>
    <t>TSIMB002906</t>
  </si>
  <si>
    <t>TSIMB001745</t>
  </si>
  <si>
    <t>TSIMB002894</t>
  </si>
  <si>
    <t>TSIMB001762</t>
  </si>
  <si>
    <t>TSIMB002264</t>
  </si>
  <si>
    <t>TSIMB003145</t>
  </si>
  <si>
    <t>TSIMB001774</t>
  </si>
  <si>
    <t>TSIMB001750</t>
  </si>
  <si>
    <t>TSIMB002421</t>
  </si>
  <si>
    <t>TSIMB002334</t>
  </si>
  <si>
    <t>TSIMB002223</t>
  </si>
  <si>
    <t>TSIMB002503</t>
  </si>
  <si>
    <t>TSIMB000176</t>
  </si>
  <si>
    <t>LOMAS DEL REAL</t>
  </si>
  <si>
    <t>TSIMB002602</t>
  </si>
  <si>
    <t>21ETV0796D</t>
  </si>
  <si>
    <t>ISAAC NEWTON</t>
  </si>
  <si>
    <t>LA REFORMA</t>
  </si>
  <si>
    <t>21ETV0076X</t>
  </si>
  <si>
    <t>ITZCOATL</t>
  </si>
  <si>
    <t>ITZATLAN</t>
  </si>
  <si>
    <t>21ETV0427K</t>
  </si>
  <si>
    <t>IVAN PAVLOV</t>
  </si>
  <si>
    <t>TANAMACOYAN</t>
  </si>
  <si>
    <t>24DTV0083E</t>
  </si>
  <si>
    <t>TAMCUIME</t>
  </si>
  <si>
    <t>21ETV0772U</t>
  </si>
  <si>
    <t>CALATEPEC</t>
  </si>
  <si>
    <t>21DTV0232Z</t>
  </si>
  <si>
    <t>JESUS MARIA COMALAPA</t>
  </si>
  <si>
    <t>24DTV0659Z</t>
  </si>
  <si>
    <t>AMATITLA SANTIAGO</t>
  </si>
  <si>
    <t>21ETV0593I</t>
  </si>
  <si>
    <t>JESUS MORALES FLORES</t>
  </si>
  <si>
    <t>24DTV0990F</t>
  </si>
  <si>
    <t>NCPE LOS HUASTECOS</t>
  </si>
  <si>
    <t>21ETV0279S</t>
  </si>
  <si>
    <t>JORGE LUIS BORGES</t>
  </si>
  <si>
    <t>TEXCAL</t>
  </si>
  <si>
    <t>21ETV0568J</t>
  </si>
  <si>
    <t>JORGE MURAD MACLUF</t>
  </si>
  <si>
    <t>21ETV0620P</t>
  </si>
  <si>
    <t>JOSE BAUDELIO CANDANEDO</t>
  </si>
  <si>
    <t>21DTV0096L</t>
  </si>
  <si>
    <t>SANTIAGO XONACATLAN</t>
  </si>
  <si>
    <t>21ETV0096K</t>
  </si>
  <si>
    <t>JOSE JOAQUIN PESADO</t>
  </si>
  <si>
    <t>EQUIPAMIENTO INSTALADO PERO NO OPERATIVO POR FALTA DE TIEMPO. EL PERSONAL DE LA ESCUELA SOLICITO QUE EL PERSONAL DE CFE SE RETIRARA.SE CONTINUA MAÑANA</t>
  </si>
  <si>
    <t>21ETV0050P</t>
  </si>
  <si>
    <t>JOSE MANUEL HERRERA</t>
  </si>
  <si>
    <t>21ETV0684Z</t>
  </si>
  <si>
    <t>JOSE MARIA LAFRAGUA</t>
  </si>
  <si>
    <t>CAMOCUAUTLA</t>
  </si>
  <si>
    <t>21ETV0074Z</t>
  </si>
  <si>
    <t>21ETV0245B</t>
  </si>
  <si>
    <t>JOSE MARIA MATA</t>
  </si>
  <si>
    <t>SAN BERNARDINO LAGUNAS</t>
  </si>
  <si>
    <t>24DTV0877M</t>
  </si>
  <si>
    <t>CRUZTITLA</t>
  </si>
  <si>
    <t>21ETV0291N</t>
  </si>
  <si>
    <t>JOSE MARIA MORRELOS Y PAVON</t>
  </si>
  <si>
    <t>21ETV0005C</t>
  </si>
  <si>
    <t>JOSE MARIANO ELIZAGA</t>
  </si>
  <si>
    <t>JALPAN</t>
  </si>
  <si>
    <t>APAPANTILLA</t>
  </si>
  <si>
    <t>24DTV1013Q</t>
  </si>
  <si>
    <t>JOSE MARIANO JIMENEZ</t>
  </si>
  <si>
    <t>MUEVO AQUISMON</t>
  </si>
  <si>
    <t>28DTV0090K</t>
  </si>
  <si>
    <t>JOSE MARIANO MICHELENA</t>
  </si>
  <si>
    <t>21ETV0126O</t>
  </si>
  <si>
    <t>JOSE MONTESINOS</t>
  </si>
  <si>
    <t>TEPEIXCO</t>
  </si>
  <si>
    <t>21ETV0302C</t>
  </si>
  <si>
    <t>JOSE SANTOS CHOCANO</t>
  </si>
  <si>
    <t>SAN LUIS ATEXCAC</t>
  </si>
  <si>
    <t>21ETV0751H</t>
  </si>
  <si>
    <t>TUMBADERO ESCOBAL 2</t>
  </si>
  <si>
    <t>21DTV0277V</t>
  </si>
  <si>
    <t>TLALTEPANGO</t>
  </si>
  <si>
    <t>24DTV0859X</t>
  </si>
  <si>
    <t>TEPEMICHE</t>
  </si>
  <si>
    <t>21DTV0188B</t>
  </si>
  <si>
    <t>CUAMILA</t>
  </si>
  <si>
    <t>21DTV0318E</t>
  </si>
  <si>
    <t>SANTIAGO TLAXCO</t>
  </si>
  <si>
    <t>24DTV0636O</t>
  </si>
  <si>
    <t>SANTA RITA</t>
  </si>
  <si>
    <t>24DTV0753D</t>
  </si>
  <si>
    <t>21ETV0704X</t>
  </si>
  <si>
    <t>JUAN   MENDEZ</t>
  </si>
  <si>
    <t>21DTV0334W</t>
  </si>
  <si>
    <t>XOCHITLAXCO</t>
  </si>
  <si>
    <t>24DTV1032E</t>
  </si>
  <si>
    <t>JUAN BARRAGAN RODRIGUEZ</t>
  </si>
  <si>
    <t>TANQUIAN DE ESCOBEDO</t>
  </si>
  <si>
    <t>TAQUIAN DE ESCOBEDO</t>
  </si>
  <si>
    <t>21ETV0061V</t>
  </si>
  <si>
    <t>JUAN CRISOSTOMO BONILA</t>
  </si>
  <si>
    <t>28DTV0268G</t>
  </si>
  <si>
    <t>JUAN DE VILLATORO</t>
  </si>
  <si>
    <t>CARRILLO PUERTO</t>
  </si>
  <si>
    <t>21ETV0826H</t>
  </si>
  <si>
    <t>NACTANCA EJIDO</t>
  </si>
  <si>
    <t>24DTV0535Q</t>
  </si>
  <si>
    <t>JUAN RODRIGUEZ SERVIN</t>
  </si>
  <si>
    <t>EL BARRIO DE LOS ANGELES</t>
  </si>
  <si>
    <t>21ETV0457E</t>
  </si>
  <si>
    <t>JUAN RUIZ DE ALARCON</t>
  </si>
  <si>
    <t>ATOLUCA</t>
  </si>
  <si>
    <t>21DTV0538Q</t>
  </si>
  <si>
    <t>21ETV0724K</t>
  </si>
  <si>
    <t>AGUA FRIA</t>
  </si>
  <si>
    <t>21ETV0500C</t>
  </si>
  <si>
    <t>COMALTEPEC</t>
  </si>
  <si>
    <t>24DTV0667H</t>
  </si>
  <si>
    <t>24DTV0989Q</t>
  </si>
  <si>
    <t>24DTV0544Y</t>
  </si>
  <si>
    <t>EJ. PAPAGAYOS</t>
  </si>
  <si>
    <t>24DTV0439N</t>
  </si>
  <si>
    <t>SAN JOSE DE LIMON</t>
  </si>
  <si>
    <t>24DTV0061T</t>
  </si>
  <si>
    <t>JUVENTUD Y PATRIOTISMO</t>
  </si>
  <si>
    <t>EJIDO IGNACIO ZARAGOZA</t>
  </si>
  <si>
    <t>21ETV0714D</t>
  </si>
  <si>
    <t>KATUSUNIN</t>
  </si>
  <si>
    <t>LIPUNTAHUACA</t>
  </si>
  <si>
    <t>21DTV0364Q</t>
  </si>
  <si>
    <t>24DTV0078T</t>
  </si>
  <si>
    <t>EL DESENGANO II</t>
  </si>
  <si>
    <t>21DTV0099I</t>
  </si>
  <si>
    <t>24DTV0156G</t>
  </si>
  <si>
    <t>FULGENCIO M.SANTOS</t>
  </si>
  <si>
    <t>24DTV0039R</t>
  </si>
  <si>
    <t>LAS MESAS</t>
  </si>
  <si>
    <t>21ETV0605X</t>
  </si>
  <si>
    <t>MAZACOATLAN</t>
  </si>
  <si>
    <t>21ETV0559B</t>
  </si>
  <si>
    <t>TONALAPA</t>
  </si>
  <si>
    <t>21ETV0767I</t>
  </si>
  <si>
    <t>LEONIDES ANDREU ALMAZAN</t>
  </si>
  <si>
    <t>EJIDO RANCHO NUEVO</t>
  </si>
  <si>
    <t>24DTV0172Y</t>
  </si>
  <si>
    <t>RANCHO DE PRO</t>
  </si>
  <si>
    <t>24DTV0448V</t>
  </si>
  <si>
    <t>SAN FRANCISCO CUAYALAB</t>
  </si>
  <si>
    <t>21DTV0021V</t>
  </si>
  <si>
    <t>LOS CRISTALES</t>
  </si>
  <si>
    <t>24DTV0163Q</t>
  </si>
  <si>
    <t>LAS NORIAS</t>
  </si>
  <si>
    <t>24DTV0433T</t>
  </si>
  <si>
    <t>CHUNUNTZEN 2</t>
  </si>
  <si>
    <t>24DTV0446X</t>
  </si>
  <si>
    <t>LIC. LUIS ECHEVERRIA</t>
  </si>
  <si>
    <t>TAZAJERAS</t>
  </si>
  <si>
    <t>24DTV0419Z</t>
  </si>
  <si>
    <t>LIC.ADOLFO RUIZ CORTINEZ</t>
  </si>
  <si>
    <t>SANTA ELENA</t>
  </si>
  <si>
    <t>21DTV0215I</t>
  </si>
  <si>
    <t>LOS NIÑOS HEROES</t>
  </si>
  <si>
    <t>TENAMPULCO</t>
  </si>
  <si>
    <t>21ETV0027O</t>
  </si>
  <si>
    <t>LUIS CHAVEZ OROZCO</t>
  </si>
  <si>
    <t>PAHUATLAN</t>
  </si>
  <si>
    <t>SAN PABLITO</t>
  </si>
  <si>
    <t>21ETV0793G</t>
  </si>
  <si>
    <t>TETELOLOYA</t>
  </si>
  <si>
    <t>21ETV0472X</t>
  </si>
  <si>
    <t>MANUEL ACUNA</t>
  </si>
  <si>
    <t>PLAN DE GUADALUPE</t>
  </si>
  <si>
    <t>21DTV0338S</t>
  </si>
  <si>
    <t>MARGARITA CARDOSO RAMIREZ</t>
  </si>
  <si>
    <t>SECCION 23</t>
  </si>
  <si>
    <t>21ETV0089A</t>
  </si>
  <si>
    <t>MARIANO ALDAMA</t>
  </si>
  <si>
    <t>24DTV1027T</t>
  </si>
  <si>
    <t>21DTV0434V</t>
  </si>
  <si>
    <t>MARINO LOPEZ JURADO</t>
  </si>
  <si>
    <t>21ETV0456F</t>
  </si>
  <si>
    <t>MARTIN CORTES</t>
  </si>
  <si>
    <t>24DTV0567I</t>
  </si>
  <si>
    <t>MARTIRES DE LA REVOLUCION</t>
  </si>
  <si>
    <t>COLONIA AGRICOLA MAGDALENO CEDILLO</t>
  </si>
  <si>
    <t>24DTV0443Z</t>
  </si>
  <si>
    <t>MATIAS DE CORDOVA</t>
  </si>
  <si>
    <t>EL PALMAR</t>
  </si>
  <si>
    <t>24DTV0441B</t>
  </si>
  <si>
    <t>NUEVA PRIMAVERA</t>
  </si>
  <si>
    <t>24DTV0432U</t>
  </si>
  <si>
    <t>SAGRADA FAMILIA</t>
  </si>
  <si>
    <t>21DTV0357G</t>
  </si>
  <si>
    <t>21ETV0634S</t>
  </si>
  <si>
    <t>CUAUTEMPAN</t>
  </si>
  <si>
    <t>IXTOLCO DE MORELOS</t>
  </si>
  <si>
    <t>24DTV0153J</t>
  </si>
  <si>
    <t>EJIDO 20 DE NOVIEMBRE</t>
  </si>
  <si>
    <t>24DTV0519Z</t>
  </si>
  <si>
    <t>COFRADIA GRANDE</t>
  </si>
  <si>
    <t>21DTV0399F</t>
  </si>
  <si>
    <t>TEMAXCALAPA</t>
  </si>
  <si>
    <t>21DTV0192O</t>
  </si>
  <si>
    <t>21DTV0348Z</t>
  </si>
  <si>
    <t>21ETV0013L</t>
  </si>
  <si>
    <t>HUEYTENTAN</t>
  </si>
  <si>
    <t>21DTV0537R</t>
  </si>
  <si>
    <t>METLALTOYUCA</t>
  </si>
  <si>
    <t>21ETV0199G</t>
  </si>
  <si>
    <t>21ETV0657C</t>
  </si>
  <si>
    <t>SAN CRISTOBAL XOCHIMILPA</t>
  </si>
  <si>
    <t>21DTV0393L</t>
  </si>
  <si>
    <t>SANTA CRUZ HUITZMALOC</t>
  </si>
  <si>
    <t>24DTV0566J</t>
  </si>
  <si>
    <t>LA MEMELA</t>
  </si>
  <si>
    <t>24DTV0426J</t>
  </si>
  <si>
    <t>PETATILLO</t>
  </si>
  <si>
    <t>21ETV0560R</t>
  </si>
  <si>
    <t>NUEVA CREACION</t>
  </si>
  <si>
    <t>CALTUCHOCO</t>
  </si>
  <si>
    <t>21DTV0042H</t>
  </si>
  <si>
    <t>ALTO LUCERO</t>
  </si>
  <si>
    <t>21ETV0843Y</t>
  </si>
  <si>
    <t>CUAHUEYATLA</t>
  </si>
  <si>
    <t>21ETV0835P</t>
  </si>
  <si>
    <t>SAN FELIPE TEPATLAN</t>
  </si>
  <si>
    <t>SAN MARTIN DEL PROGRESO</t>
  </si>
  <si>
    <t>21DTV0425N</t>
  </si>
  <si>
    <t>CONTLA</t>
  </si>
  <si>
    <t>13ETK0129X</t>
  </si>
  <si>
    <t>OHUATIPA</t>
  </si>
  <si>
    <t>21DTV0356H</t>
  </si>
  <si>
    <t>PABLO NERUDA</t>
  </si>
  <si>
    <t>JALAPILLA</t>
  </si>
  <si>
    <t>24DTV0621M</t>
  </si>
  <si>
    <t>PEDRO ANTONIO DE LOS SANTOS</t>
  </si>
  <si>
    <t>LA MARINA</t>
  </si>
  <si>
    <t>24DTV1133C</t>
  </si>
  <si>
    <t>PEDRO ROSA ACUÑA</t>
  </si>
  <si>
    <t>24DTV0797A</t>
  </si>
  <si>
    <t>24DTV0705U</t>
  </si>
  <si>
    <t>PLAN DE AYALA</t>
  </si>
  <si>
    <t>ISLAS DE SAN PABLO</t>
  </si>
  <si>
    <t>28DTV0239L</t>
  </si>
  <si>
    <t>PROF. MANUEL CASTELLANOS LARA</t>
  </si>
  <si>
    <t>28DTV0186X</t>
  </si>
  <si>
    <t>PROFE.JESUS RAMIRES PALACIOS</t>
  </si>
  <si>
    <t>FRANCISCO MEDRANO</t>
  </si>
  <si>
    <t>24DTV0538N</t>
  </si>
  <si>
    <t>PROFR. Y LIC. CARLOS JONGUITUD BARRIOS</t>
  </si>
  <si>
    <t>SAN JOSE DE LAS FLORES</t>
  </si>
  <si>
    <t>21ETV0892G</t>
  </si>
  <si>
    <t>RAFAEL RAMIREZ CASTAÑEDA</t>
  </si>
  <si>
    <t>MACUILCUAUTITLA</t>
  </si>
  <si>
    <t>21ETV0467L</t>
  </si>
  <si>
    <t>RAMON DE CAMPOAMOR</t>
  </si>
  <si>
    <t>XOLOCO</t>
  </si>
  <si>
    <t>21DTV0278U</t>
  </si>
  <si>
    <t>REVOLUCION MEXICANA 20 DE NOVIEMBRE</t>
  </si>
  <si>
    <t>21DTV0146C</t>
  </si>
  <si>
    <t>LOMA BONITA</t>
  </si>
  <si>
    <t>21DTV0199H</t>
  </si>
  <si>
    <t>TOXTLA</t>
  </si>
  <si>
    <t>24DTV0444Z</t>
  </si>
  <si>
    <t>TAMPACOY</t>
  </si>
  <si>
    <t>21ETV0941Z</t>
  </si>
  <si>
    <t>HUAXTLA</t>
  </si>
  <si>
    <t>21ETV0038U</t>
  </si>
  <si>
    <t>SAN MIGUEL TENANGO</t>
  </si>
  <si>
    <t>24DTV1092T</t>
  </si>
  <si>
    <t>SALVADOR NAVA MARTINEZ</t>
  </si>
  <si>
    <t>24ETK0028E</t>
  </si>
  <si>
    <t>21ETV0067P</t>
  </si>
  <si>
    <t>SERAPIO RENDON</t>
  </si>
  <si>
    <t>OMETEPETL</t>
  </si>
  <si>
    <t>21ETV0753F</t>
  </si>
  <si>
    <t>AHUACATLAYA</t>
  </si>
  <si>
    <t>21DTV0095M</t>
  </si>
  <si>
    <t>SOR JUANA INESDE LA CRUZ</t>
  </si>
  <si>
    <t>21ETK0067J</t>
  </si>
  <si>
    <t>TELEBACHILLERATO COMINUTARIO COATECZIN</t>
  </si>
  <si>
    <t>Coatectzin Centro</t>
  </si>
  <si>
    <t>21ETK0018A</t>
  </si>
  <si>
    <t>TELEBACHILLERATO COMUNITARIO   18</t>
  </si>
  <si>
    <t>HACIENDA NUEVA (SAN PEDRO EL AGUILA)</t>
  </si>
  <si>
    <t>21ETK0050J</t>
  </si>
  <si>
    <t>TELEBACHILLERATO COMUNITARIO   50</t>
  </si>
  <si>
    <t>Atioyan</t>
  </si>
  <si>
    <t>21ETK0057C</t>
  </si>
  <si>
    <t>TELEBACHILLERATO COMUNITARIO   57</t>
  </si>
  <si>
    <t>21ETK0071W</t>
  </si>
  <si>
    <t>TELEBACHILLERATO COMUNITARIO   71</t>
  </si>
  <si>
    <t>TLALHUAPAN</t>
  </si>
  <si>
    <t>21ETK0028H</t>
  </si>
  <si>
    <t>TELEBACHILLERATO COMUNITARIO  28</t>
  </si>
  <si>
    <t>LAFRAGUA</t>
  </si>
  <si>
    <t>TLANALAPAN</t>
  </si>
  <si>
    <t>21ETK0064M</t>
  </si>
  <si>
    <t>TELEBACHILLERATO COMUNITARIO  64</t>
  </si>
  <si>
    <t>NECTEPEC</t>
  </si>
  <si>
    <t>21ETK0087X</t>
  </si>
  <si>
    <t>TELEBACHILLERATO COMUNITARIO  87</t>
  </si>
  <si>
    <t>28ETK0014Y</t>
  </si>
  <si>
    <t>TELEBACHILLERATO COMUNITARIO 014</t>
  </si>
  <si>
    <t>RICARDO FLORES MAGÓN</t>
  </si>
  <si>
    <t>21ETK0060Q</t>
  </si>
  <si>
    <t>TELEBACHILLERATO COMUNITARIO 60</t>
  </si>
  <si>
    <t>ATACPAN</t>
  </si>
  <si>
    <t>21ETK0074T</t>
  </si>
  <si>
    <t>21ETK0084Z</t>
  </si>
  <si>
    <t>TELEBACHILLERATO COMUNITARIO 84</t>
  </si>
  <si>
    <t>JALCOMULCO</t>
  </si>
  <si>
    <t>13ETK0078G</t>
  </si>
  <si>
    <t>TELEBACHILLERATO COMUNITARIO MONTE GRANDE</t>
  </si>
  <si>
    <t>MONTE GRANDE</t>
  </si>
  <si>
    <t>21ETK0079O</t>
  </si>
  <si>
    <t>TELEBACHILLERATO COMUNITARIO NUMERO 79</t>
  </si>
  <si>
    <t>EL MUÑECO (CRISTO REY)</t>
  </si>
  <si>
    <t>13DTV0574M</t>
  </si>
  <si>
    <t>TELESECUNDARI 516</t>
  </si>
  <si>
    <t>IXTACZOQUICO</t>
  </si>
  <si>
    <t>13DTV0112D</t>
  </si>
  <si>
    <t>HUAUTLA</t>
  </si>
  <si>
    <t>EL IXTLE</t>
  </si>
  <si>
    <t>13DTV0117Z</t>
  </si>
  <si>
    <t>ACATIPA</t>
  </si>
  <si>
    <t>13DTV0145V</t>
  </si>
  <si>
    <t>TEXOLOC</t>
  </si>
  <si>
    <t>13DTV0440X</t>
  </si>
  <si>
    <t>PIEDRA HINCADA</t>
  </si>
  <si>
    <t>13DTV0251E</t>
  </si>
  <si>
    <t>TELESECUNDARIA 167</t>
  </si>
  <si>
    <t>OXELOCO</t>
  </si>
  <si>
    <t>13DTV0395A</t>
  </si>
  <si>
    <t>ATLAPEXCO</t>
  </si>
  <si>
    <t>ACHIQUIHUIXTLA</t>
  </si>
  <si>
    <t>13DTV0055C</t>
  </si>
  <si>
    <t>TELESECUNDARIA 282</t>
  </si>
  <si>
    <t>PALMA SOLA</t>
  </si>
  <si>
    <t>13DTV0387S</t>
  </si>
  <si>
    <t>TELESECUNDARIA 441</t>
  </si>
  <si>
    <t>COCHISCUATITLA</t>
  </si>
  <si>
    <t>13DTV0575L</t>
  </si>
  <si>
    <t>TELESECUNDARIA 487</t>
  </si>
  <si>
    <t>CHIATITLA</t>
  </si>
  <si>
    <t>13DTV0494A</t>
  </si>
  <si>
    <t>TELESECUNDARIA 488</t>
  </si>
  <si>
    <t>TENEXCO I</t>
  </si>
  <si>
    <t>13DTV0543T</t>
  </si>
  <si>
    <t>TELESECUNDARIA 563</t>
  </si>
  <si>
    <t>13DTV0638G</t>
  </si>
  <si>
    <t>IXTACUATLA</t>
  </si>
  <si>
    <t>13DTV0735I</t>
  </si>
  <si>
    <t>TELESECUNDARIA 735</t>
  </si>
  <si>
    <t>LOS ALTOS DE SAN PEDRO</t>
  </si>
  <si>
    <t>13DTV0794Y</t>
  </si>
  <si>
    <t>13DTV0083Z</t>
  </si>
  <si>
    <t>TELESECUNDARIA 83</t>
  </si>
  <si>
    <t>21DTV0037W</t>
  </si>
  <si>
    <t>TELESECUNDARIA NUEVA CREACION</t>
  </si>
  <si>
    <t>TEPEPAN</t>
  </si>
  <si>
    <t>24DTV0655C</t>
  </si>
  <si>
    <t>21DTV0513H</t>
  </si>
  <si>
    <t>TLAMANIC</t>
  </si>
  <si>
    <t>COYOLAPA</t>
  </si>
  <si>
    <t>21ETV0905U</t>
  </si>
  <si>
    <t>VALERIO TRUJANO</t>
  </si>
  <si>
    <t>21ETV0483C</t>
  </si>
  <si>
    <t>VASCOS NUÑEZ DE BALBOA</t>
  </si>
  <si>
    <t>TUZAMAPAN DE GALEANA</t>
  </si>
  <si>
    <t>TUZAMAPAN</t>
  </si>
  <si>
    <t>21DTV0226O</t>
  </si>
  <si>
    <t>VENTA GRANDE</t>
  </si>
  <si>
    <t>24DTV0560P</t>
  </si>
  <si>
    <t>EJIDO ZAMACHIHUE</t>
  </si>
  <si>
    <t>28DTV0036Q</t>
  </si>
  <si>
    <t>21DTV0457F</t>
  </si>
  <si>
    <t>EL MUÑECO CRISTO REY</t>
  </si>
  <si>
    <t>21DTV0155K</t>
  </si>
  <si>
    <t>GILBERTO CAMACHO</t>
  </si>
  <si>
    <t>21ETV0790J</t>
  </si>
  <si>
    <t>PINAHUISTA</t>
  </si>
  <si>
    <t>21DTV0496H</t>
  </si>
  <si>
    <t>XILITA</t>
  </si>
  <si>
    <t>24DTV0713C</t>
  </si>
  <si>
    <t>LA CUCHILLA</t>
  </si>
  <si>
    <t>21DTV0431Y</t>
  </si>
  <si>
    <t>21DTV0360U</t>
  </si>
  <si>
    <t>VICENTE LOMBARDO TOLEDANO</t>
  </si>
  <si>
    <t>21DTV0296J</t>
  </si>
  <si>
    <t>YOLANDA VELEZ REYES</t>
  </si>
  <si>
    <t>LOS HUMEROS</t>
  </si>
  <si>
    <t>21DTV0202E</t>
  </si>
  <si>
    <t>GREGORIO TORRES QUINTERO</t>
  </si>
  <si>
    <t>XOCHICUAUTLA</t>
  </si>
  <si>
    <t>24DTV0124O</t>
  </si>
  <si>
    <t>TANLU</t>
  </si>
  <si>
    <t>24DTV0869D</t>
  </si>
  <si>
    <t>PROF. Y LIC. CARLOS JONGUITUD BARRIOS</t>
  </si>
  <si>
    <t>24DTV0749R</t>
  </si>
  <si>
    <t>SAN ANTONIO DE LOS GUAYABOS</t>
  </si>
  <si>
    <t>LATITUD</t>
  </si>
  <si>
    <t>LONGITUD</t>
  </si>
  <si>
    <t>📊  CONSOLIDADO TOTAL — PROYECTO PAIG FASE II</t>
  </si>
  <si>
    <t>INST.
OPERANDO</t>
  </si>
  <si>
    <t>INST.
SIN SEÑAL</t>
  </si>
  <si>
    <t>TOTAL
ACTUALIZADO</t>
  </si>
  <si>
    <t>% AVANCE
INST.</t>
  </si>
  <si>
    <t>% AVANCE
GENERAL</t>
  </si>
  <si>
    <t>PENDIENTE
SIN ESTATUS</t>
  </si>
  <si>
    <t>KITS LOG.
ALMACÉN</t>
  </si>
  <si>
    <t>DIFERENCIA
VS INSTALADOS</t>
  </si>
  <si>
    <t>📅  AVANCE SEMANAL AUTOMÁTICO — PROYECTO PAIG FASE II  |  Semana: Domingo → Sábado</t>
  </si>
  <si>
    <t>✅ Los totales por GRT se calculan automáticamente según la FECHA ACTUALIZACIÓN registrada en cada pestaña GRT. Solo actualiza las columnas A (Fecha inicio domingo) — el resto es automático.</t>
  </si>
  <si>
    <t>SEM.</t>
  </si>
  <si>
    <t>INICIO
(DOM)</t>
  </si>
  <si>
    <t>FIN
(SÁB)</t>
  </si>
  <si>
    <t>GRT V. México</t>
  </si>
  <si>
    <t>GRT Baja Cal.</t>
  </si>
  <si>
    <t>TOTAL
SEMANA</t>
  </si>
  <si>
    <t>ACUMULADO
INST.</t>
  </si>
  <si>
    <t>% AVANCE
ACUM.</t>
  </si>
  <si>
    <t>NOTAS</t>
  </si>
  <si>
    <t>📆  AVANCE DIARIO AUTOMÁTICO — PROYECTO PAIG FASE II</t>
  </si>
  <si>
    <t>✅ Los instalados por día se obtienen automáticamente de la FECHA ACTUALIZACIÓN en cada pestaña GRT. Solo ingresa la fecha en col A para agregar un nuevo día.</t>
  </si>
  <si>
    <t>FECHA</t>
  </si>
  <si>
    <t>TOTAL
DÍA</t>
  </si>
  <si>
    <t>ACUMULADO</t>
  </si>
  <si>
    <t>% AVANCE</t>
  </si>
  <si>
    <t>📦  LOGÍSTICA DE ENTREGA A ALMACENES — PROYECTO PAIG FASE II</t>
  </si>
  <si>
    <t>⚠  Edita: KITS ENTREGADOS (col F) y ESTATUS (col I). El resto de los totales y el Dashboard se actualizan automáticamente.</t>
  </si>
  <si>
    <t>ℹ  Solo los embarques con ESTATUS = ENTREGADO suman en los totales de Equipo en Almacén.</t>
  </si>
  <si>
    <t>No.</t>
  </si>
  <si>
    <t>EMBARQUE</t>
  </si>
  <si>
    <t>ALMACÉN DESTINO</t>
  </si>
  <si>
    <t>KITS
PROGRAMADOS</t>
  </si>
  <si>
    <t>KITS
ENTREGADOS</t>
  </si>
  <si>
    <t>FECHA
DE CARGA</t>
  </si>
  <si>
    <t>FECHA
DE ENTREGA</t>
  </si>
  <si>
    <t>FECHA REAL
DE ENTREGA</t>
  </si>
  <si>
    <t>REP.
FOTO</t>
  </si>
  <si>
    <t>PDF
FIRMADO</t>
  </si>
  <si>
    <t>KITS
PENDIENTES</t>
  </si>
  <si>
    <t>% CUMPLIMIENTO</t>
  </si>
  <si>
    <t>1</t>
  </si>
  <si>
    <t>EDOMEX COLORINES</t>
  </si>
  <si>
    <t>ENTREGADO</t>
  </si>
  <si>
    <t>✅</t>
  </si>
  <si>
    <t>2</t>
  </si>
  <si>
    <t>Batch 4</t>
  </si>
  <si>
    <t>Batch 6</t>
  </si>
  <si>
    <t>Batch 8</t>
  </si>
  <si>
    <t>Batch 9</t>
  </si>
  <si>
    <t>—</t>
  </si>
  <si>
    <t>Batch 5</t>
  </si>
  <si>
    <t>Batch 15A</t>
  </si>
  <si>
    <t>22/04/2026</t>
  </si>
  <si>
    <t>Batch 10A</t>
  </si>
  <si>
    <t>14/04/2026</t>
  </si>
  <si>
    <t>Batch 10</t>
  </si>
  <si>
    <t>27/04/2026</t>
  </si>
  <si>
    <t>Batch 14</t>
  </si>
  <si>
    <t>28/04/2026</t>
  </si>
  <si>
    <t>30/04/2026</t>
  </si>
  <si>
    <t>Batch 11</t>
  </si>
  <si>
    <t>Batch 12</t>
  </si>
  <si>
    <t>Batch 13a</t>
  </si>
  <si>
    <t>Batch 13b</t>
  </si>
  <si>
    <t>29/04/2026</t>
  </si>
  <si>
    <t>NO INICIADO</t>
  </si>
  <si>
    <t xml:space="preserve">                                                                                                                                                                                                                                                                                                                                                                                                                                                                                                                                                                                                                                                                                                                                                                                                                                                                                                                                                                                                                                                                                                                                                                                                                                                                                   </t>
  </si>
  <si>
    <t>-</t>
  </si>
  <si>
    <t>Batch 15</t>
  </si>
  <si>
    <t> </t>
  </si>
  <si>
    <t>RESUMEN POR GERENCIA — KITS EN ALMACÉN (solo ENTREGADO)</t>
  </si>
  <si>
    <t>KITS PROG.</t>
  </si>
  <si>
    <t>KITS ENTREGADOS
(ENTREGADO)</t>
  </si>
  <si>
    <t>PENDIENTES</t>
  </si>
  <si>
    <t>% CUMPL.</t>
  </si>
  <si>
    <t>EMBARQUES</t>
  </si>
  <si>
    <t>📡  GRT BAJA CALIFORNIA  —  CONTROL DE INSTALACIONES  |  276 sitios asignados</t>
  </si>
  <si>
    <t>✏  Actualiza las columnas K · L · M  |  El Dashboard se recalcula automáticamente al guardar</t>
  </si>
  <si>
    <t>FECHA PROG.</t>
  </si>
  <si>
    <t>📡  GRT ORIENTE  —  CONTROL DE INSTALACIONES  |  395 sitios asignados</t>
  </si>
  <si>
    <t>📡  GRT NORESTE  —  CONTROL DE INSTALACIONES  |  257 sitios asignados</t>
  </si>
  <si>
    <t>📡  GRT NORTE  —  CONTROL DE INSTALACIONES  |  291 sitios asignados</t>
  </si>
  <si>
    <t>📡  GRT NOROESTE  —  CONTROL DE INSTALACIONES  |  367 sitios asignados</t>
  </si>
  <si>
    <t>📡  GRT OCCIDENTE  —  CONTROL DE INSTALACIONES  |  779 sitios asignados</t>
  </si>
  <si>
    <t>📡  GRT VALLE DE MÉXICO  —  CONTROL DE INSTALACIONES  |  735 sitios asignados</t>
  </si>
  <si>
    <t>📡  GRT CENTRAL  —  CONTROL DE INSTALACIONES  |  1130 sitios asignados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</si>
</sst>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5">
    <font>
      <sz val="11"/>
      <color theme="1"/>
      <name val="Calibri"/>
      <family val="2"/>
      <charset val="1"/>
    </font>
    <font>
      <b/>
      <sz val="13"/>
      <color rgb="FFFFFFFF"/>
      <name val="Arial"/>
      <family val="2"/>
    </font>
    <font>
      <b/>
      <sz val="10"/>
      <color rgb="FFFFFFFF"/>
      <name val="Arial"/>
      <family val="2"/>
    </font>
    <font>
      <b/>
      <sz val="10"/>
      <color rgb="FF27AE60"/>
      <name val="Arial"/>
      <family val="2"/>
    </font>
    <font>
      <sz val="10"/>
      <color rgb="FF000000"/>
      <name val="Arial"/>
      <family val="2"/>
    </font>
    <font>
      <b/>
      <sz val="10"/>
      <color rgb="FFF39C12"/>
      <name val="Arial"/>
      <family val="2"/>
    </font>
    <font>
      <b/>
      <sz val="10"/>
      <color rgb="FF2E86C1"/>
      <name val="Arial"/>
      <family val="2"/>
    </font>
    <font>
      <b/>
      <sz val="10"/>
      <color rgb="FF8E44AD"/>
      <name val="Arial"/>
      <family val="2"/>
    </font>
    <font>
      <b/>
      <sz val="10"/>
      <color rgb="FF1ABC9C"/>
      <name val="Arial"/>
      <family val="2"/>
    </font>
    <font>
      <b/>
      <sz val="10"/>
      <color rgb="FFC0392B"/>
      <name val="Arial"/>
      <family val="2"/>
    </font>
    <font>
      <b/>
      <sz val="11"/>
      <color rgb="FF000000"/>
      <name val="Arial"/>
      <family val="2"/>
    </font>
    <font>
      <sz val="10"/>
      <name val="Arial"/>
      <family val="2"/>
    </font>
    <font>
      <b/>
      <sz val="14"/>
      <color rgb="FFFFFFFF"/>
      <name val="Arial"/>
      <family val="2"/>
    </font>
    <font>
      <sz val="9"/>
      <color rgb="FFFFFFFF"/>
      <name val="Arial"/>
      <family val="2"/>
    </font>
    <font>
      <b/>
      <sz val="9"/>
      <color rgb="FFFFFFFF"/>
      <name val="Arial"/>
      <family val="2"/>
    </font>
    <font>
      <b/>
      <sz val="26"/>
      <color rgb="FF263238"/>
      <name val="Arial"/>
      <family val="2"/>
    </font>
    <font>
      <b/>
      <sz val="26"/>
      <color rgb="FF1B5E20"/>
      <name val="Arial"/>
      <family val="2"/>
    </font>
    <font>
      <b/>
      <sz val="26"/>
      <color rgb="FF0D47A1"/>
      <name val="Arial"/>
      <family val="2"/>
    </font>
    <font>
      <b/>
      <sz val="20"/>
      <color rgb="FF7B241C"/>
      <name val="Calibri"/>
      <family val="2"/>
    </font>
    <font>
      <sz val="9"/>
      <color rgb="FF263238"/>
      <name val="Arial"/>
      <family val="2"/>
    </font>
    <font>
      <sz val="9"/>
      <color rgb="FF1B5E20"/>
      <name val="Arial"/>
      <family val="2"/>
    </font>
    <font>
      <sz val="9"/>
      <color rgb="FF0D47A1"/>
      <name val="Arial"/>
      <family val="2"/>
    </font>
    <font>
      <sz val="9"/>
      <color rgb="FF7B241C"/>
      <name val="Calibri"/>
      <family val="2"/>
    </font>
    <font>
      <b/>
      <sz val="11"/>
      <color rgb="FFFFFFFF"/>
      <name val="Arial"/>
      <family val="2"/>
    </font>
    <font>
      <b/>
      <sz val="9"/>
      <color rgb="FF263238"/>
      <name val="Arial"/>
      <family val="2"/>
    </font>
    <font>
      <sz val="9"/>
      <color rgb="FF37474F"/>
      <name val="Arial"/>
      <family val="2"/>
    </font>
    <font>
      <sz val="9"/>
      <color rgb="FF2E7D32"/>
      <name val="Arial"/>
      <family val="2"/>
    </font>
    <font>
      <i/>
      <sz val="8"/>
      <color rgb="FF9E9E9E"/>
      <name val="Arial"/>
      <family val="2"/>
    </font>
    <font>
      <b/>
      <sz val="16"/>
      <color rgb="FFFFFFFF"/>
      <name val="Calibri"/>
      <family val="2"/>
    </font>
    <font>
      <sz val="10"/>
      <color rgb="FFA9DFBF"/>
      <name val="Calibri"/>
      <family val="2"/>
    </font>
    <font>
      <sz val="9"/>
      <color rgb="FF2C3E50"/>
      <name val="Calibri"/>
      <family val="2"/>
    </font>
    <font>
      <sz val="9"/>
      <color rgb="FF0D47A1"/>
      <name val="Calibri"/>
      <family val="2"/>
    </font>
    <font>
      <sz val="9"/>
      <color rgb="FF1B5E20"/>
      <name val="Calibri"/>
      <family val="2"/>
    </font>
    <font>
      <sz val="9"/>
      <color rgb="FF784212"/>
      <name val="Calibri"/>
      <family val="2"/>
    </font>
    <font>
      <b/>
      <sz val="26"/>
      <color rgb="FF2C3E50"/>
      <name val="Calibri"/>
      <family val="2"/>
    </font>
    <font>
      <b/>
      <sz val="26"/>
      <color rgb="FF0D47A1"/>
      <name val="Calibri"/>
      <family val="2"/>
    </font>
    <font>
      <b/>
      <sz val="26"/>
      <color rgb="FF1B5E20"/>
      <name val="Calibri"/>
      <family val="2"/>
    </font>
    <font>
      <b/>
      <sz val="26"/>
      <color rgb="FF784212"/>
      <name val="Calibri"/>
      <family val="2"/>
    </font>
    <font>
      <b/>
      <sz val="26"/>
      <color rgb="FF7B241C"/>
      <name val="Calibri"/>
      <family val="2"/>
    </font>
    <font>
      <sz val="9"/>
      <color rgb="FF7F8C8D"/>
      <name val="Calibri"/>
      <family val="2"/>
    </font>
    <font>
      <sz val="9"/>
      <color rgb="FF2E7D32"/>
      <name val="Calibri"/>
      <family val="2"/>
    </font>
    <font>
      <sz val="9"/>
      <color rgb="FFE67E22"/>
      <name val="Calibri"/>
      <family val="2"/>
    </font>
    <font>
      <b/>
      <sz val="11"/>
      <color rgb="FFFFFFFF"/>
      <name val="Calibri"/>
      <family val="2"/>
    </font>
    <font>
      <b/>
      <sz val="9"/>
      <color rgb="FFFFFFFF"/>
      <name val="Calibri"/>
      <family val="2"/>
    </font>
    <font>
      <b/>
      <sz val="9"/>
      <color rgb="FF7B241C"/>
      <name val="Calibri"/>
      <family val="2"/>
    </font>
    <font>
      <b/>
      <sz val="9"/>
      <color rgb="FF1B5E20"/>
      <name val="Calibri"/>
      <family val="2"/>
    </font>
    <font>
      <b/>
      <sz val="9"/>
      <color rgb="FF0D47A1"/>
      <name val="Calibri"/>
      <family val="2"/>
    </font>
    <font>
      <b/>
      <sz val="9"/>
      <color rgb="FF784212"/>
      <name val="Calibri"/>
      <family val="2"/>
    </font>
    <font>
      <i/>
      <sz val="8"/>
      <color rgb="FFA9DFBF"/>
      <name val="Calibri"/>
      <family val="2"/>
    </font>
    <font>
      <sz val="9"/>
      <color rgb="FF7D6608"/>
      <name val="Arial"/>
      <family val="2"/>
    </font>
    <font>
      <sz val="9"/>
      <color rgb="FF000000"/>
      <name val="Arial"/>
      <family val="2"/>
    </font>
    <font>
      <sz val="9"/>
      <color rgb="FF1A5276"/>
      <name val="Arial"/>
      <family val="2"/>
    </font>
    <font>
      <sz val="9"/>
      <color rgb="FF7F8C8D"/>
      <name val="Arial"/>
      <family val="2"/>
    </font>
    <font>
      <sz val="9"/>
      <color rgb="FF6C3483"/>
      <name val="Arial"/>
      <family val="2"/>
    </font>
    <font>
      <b/>
      <sz val="9"/>
      <color rgb="FF000000"/>
      <name val="Arial"/>
      <family val="2"/>
    </font>
    <font>
      <b/>
      <sz val="9"/>
      <color rgb="FF6C3483"/>
      <name val="Arial"/>
      <family val="2"/>
    </font>
    <font>
      <sz val="9"/>
      <color rgb="FF148F77"/>
      <name val="Arial"/>
      <family val="2"/>
    </font>
    <font>
      <b/>
      <sz val="9"/>
      <color rgb="FF148F77"/>
      <name val="Arial"/>
      <family val="2"/>
    </font>
    <font>
      <b/>
      <sz val="9"/>
      <color rgb="FF1A5276"/>
      <name val="Arial"/>
      <family val="2"/>
    </font>
    <font>
      <sz val="9"/>
      <color rgb="FF27AE60"/>
      <name val="Arial"/>
      <family val="2"/>
    </font>
    <font>
      <i/>
      <sz val="9"/>
      <color rgb="FF7F8C8D"/>
      <name val="Arial"/>
      <family val="2"/>
    </font>
    <font>
      <sz val="9"/>
      <color rgb="FFC0392B"/>
      <name val="Arial"/>
      <family val="2"/>
    </font>
    <font>
      <b/>
      <sz val="9"/>
      <color rgb="FFF1948A"/>
      <name val="Arial"/>
      <family val="2"/>
    </font>
    <font>
      <b/>
      <sz val="9"/>
      <color rgb="FF1E8449"/>
      <name val="Arial"/>
      <family val="2"/>
    </font>
    <font>
      <b/>
      <sz val="10"/>
      <color rgb="FF000000"/>
      <name val="Arial"/>
      <family val="2"/>
    </font>
    <font>
      <b/>
      <sz val="12"/>
      <color rgb="FFFFFFFF"/>
      <name val="Arial"/>
      <family val="2"/>
    </font>
    <font>
      <sz val="9"/>
      <name val="Arial"/>
      <family val="2"/>
    </font>
    <font>
      <b/>
      <sz val="14"/>
      <color rgb="FFFFFFFF"/>
      <name val="Calibri"/>
      <family val="2"/>
    </font>
    <font>
      <sz val="9"/>
      <color rgb="FFA9DFBF"/>
      <name val="Calibri"/>
      <family val="2"/>
    </font>
    <font>
      <b/>
      <sz val="8"/>
      <color rgb="FFFFFFFF"/>
      <name val="Calibri"/>
      <family val="2"/>
    </font>
    <font>
      <b/>
      <sz val="16"/>
      <color rgb="FF2C3E50"/>
      <name val="Calibri"/>
      <family val="2"/>
    </font>
    <font>
      <b/>
      <sz val="16"/>
      <color rgb="FF0D47A1"/>
      <name val="Calibri"/>
      <family val="2"/>
    </font>
    <font>
      <b/>
      <sz val="16"/>
      <color rgb="FF784212"/>
      <name val="Calibri"/>
      <family val="2"/>
    </font>
    <font>
      <sz val="16"/>
      <color rgb="FF0D47A1"/>
      <name val="Calibri"/>
      <family val="2"/>
    </font>
    <font>
      <b/>
      <sz val="16"/>
      <color rgb="FF1B5E20"/>
      <name val="Calibri"/>
      <family val="2"/>
    </font>
    <font>
      <sz val="16"/>
      <color rgb="FF2E7D32"/>
      <name val="Calibri"/>
      <family val="2"/>
    </font>
    <font>
      <b/>
      <sz val="10"/>
      <color rgb="FFFFFFFF"/>
      <name val="Calibri"/>
      <family val="2"/>
    </font>
    <font>
      <b/>
      <sz val="9"/>
      <color rgb="FF2C3E50"/>
      <name val="Calibri"/>
      <family val="2"/>
    </font>
    <font>
      <sz val="9"/>
      <color rgb="FFFF0000"/>
      <name val="Arial"/>
      <family val="2"/>
    </font>
    <font>
      <sz val="11"/>
      <color rgb="FFFFFFFF"/>
      <name val="Aptos Narrow"/>
      <family val="2"/>
    </font>
    <font>
      <sz val="11"/>
      <color rgb="FF000000"/>
      <name val="Aptos Narrow"/>
      <family val="2"/>
    </font>
    <font>
      <sz val="11"/>
      <name val="Aptos Narrow"/>
      <family val="2"/>
    </font>
    <font>
      <sz val="11"/>
      <color rgb="FFFF0000"/>
      <name val="Aptos Narrow"/>
      <family val="2"/>
    </font>
    <font>
      <sz val="10"/>
      <color rgb="FFFFFFFF"/>
      <name val="Noto Sans"/>
      <family val="2"/>
    </font>
    <font>
      <sz val="10"/>
      <color rgb="FF000000"/>
      <name val="Noto Sans"/>
      <family val="2"/>
    </font>
  </fonts>
  <fills count="62">
    <fill>
      <patternFill patternType="none"/>
    </fill>
    <fill>
      <patternFill patternType="gray125"/>
    </fill>
    <fill>
      <patternFill patternType="solid">
        <fgColor rgb="FF1A5276"/>
        <bgColor rgb="FF0D47A1"/>
      </patternFill>
    </fill>
    <fill>
      <patternFill patternType="darkGray">
        <fgColor rgb="FF18262B"/>
        <bgColor rgb="FF263238"/>
      </patternFill>
    </fill>
    <fill>
      <patternFill patternType="solid">
        <fgColor rgb="FF28AD5F"/>
        <bgColor rgb="FF16A085"/>
      </patternFill>
    </fill>
    <fill>
      <patternFill patternType="solid">
        <fgColor rgb="FFF39C12"/>
        <bgColor rgb="FFEA831E"/>
      </patternFill>
    </fill>
    <fill>
      <patternFill patternType="solid">
        <fgColor rgb="FF2E86C1"/>
        <bgColor rgb="FF2980B9"/>
      </patternFill>
    </fill>
    <fill>
      <patternFill patternType="solid">
        <fgColor rgb="FF8E44AD"/>
        <bgColor rgb="FF884EA0"/>
      </patternFill>
    </fill>
    <fill>
      <patternFill patternType="solid">
        <fgColor rgb="FF1ABC9C"/>
        <bgColor rgb="FF16A085"/>
      </patternFill>
    </fill>
    <fill>
      <patternFill patternType="solid">
        <fgColor rgb="FFC0392B"/>
        <bgColor rgb="FF922B21"/>
      </patternFill>
    </fill>
    <fill>
      <patternFill patternType="solid">
        <fgColor rgb="FFD5D8DC"/>
        <bgColor rgb="FFE0E0E0"/>
      </patternFill>
    </fill>
    <fill>
      <patternFill patternType="solid">
        <fgColor rgb="FF1B5E20"/>
        <bgColor rgb="FF00623B"/>
      </patternFill>
    </fill>
    <fill>
      <patternFill patternType="solid">
        <fgColor rgb="FF2F7F33"/>
        <bgColor rgb="FF1F783E"/>
      </patternFill>
    </fill>
    <fill>
      <patternFill patternType="darkGray">
        <fgColor rgb="FFA7DDB5"/>
        <bgColor rgb="FFBDBDBD"/>
      </patternFill>
    </fill>
    <fill>
      <patternFill patternType="solid">
        <fgColor rgb="FF263238"/>
        <bgColor rgb="FF2C3E50"/>
      </patternFill>
    </fill>
    <fill>
      <patternFill patternType="solid">
        <fgColor rgb="FF0D47A1"/>
        <bgColor rgb="FF1A5276"/>
      </patternFill>
    </fill>
    <fill>
      <patternFill patternType="solid">
        <fgColor rgb="FFFADBD8"/>
        <bgColor rgb="FFE0E0E0"/>
      </patternFill>
    </fill>
    <fill>
      <patternFill patternType="solid">
        <fgColor rgb="FFECEFF1"/>
        <bgColor rgb="FFF3F2F4"/>
      </patternFill>
    </fill>
    <fill>
      <patternFill patternType="solid">
        <fgColor rgb="FFE8F5E9"/>
        <bgColor rgb="FFECEFF1"/>
      </patternFill>
    </fill>
    <fill>
      <patternFill patternType="solid">
        <fgColor rgb="FFE3F2FD"/>
        <bgColor rgb="FFEBF7FA"/>
      </patternFill>
    </fill>
    <fill>
      <patternFill patternType="solid">
        <fgColor rgb="FFFFFFFF"/>
        <bgColor rgb="FFF9F9F9"/>
      </patternFill>
    </fill>
    <fill>
      <patternFill patternType="solid">
        <fgColor rgb="FFF4F6F4"/>
        <bgColor rgb="FFF2F3F4"/>
      </patternFill>
    </fill>
    <fill>
      <patternFill patternType="mediumGray">
        <fgColor rgb="FF18262B"/>
        <bgColor rgb="FF000000"/>
      </patternFill>
    </fill>
    <fill>
      <patternFill patternType="solid">
        <fgColor rgb="FFF2F3F4"/>
        <bgColor rgb="FFF3F2F4"/>
      </patternFill>
    </fill>
    <fill>
      <patternFill patternType="solid">
        <fgColor rgb="FFBBDEFB"/>
        <bgColor rgb="FFD6EAF8"/>
      </patternFill>
    </fill>
    <fill>
      <patternFill patternType="solid">
        <fgColor rgb="FFC8E6C9"/>
        <bgColor rgb="FFD5D8DC"/>
      </patternFill>
    </fill>
    <fill>
      <patternFill patternType="solid">
        <fgColor rgb="FFFAD7A0"/>
        <bgColor rgb="FFFADBD8"/>
      </patternFill>
    </fill>
    <fill>
      <patternFill patternType="solid">
        <fgColor rgb="FFF9F9F9"/>
        <bgColor rgb="FFF4F6F4"/>
      </patternFill>
    </fill>
    <fill>
      <patternFill patternType="solid">
        <fgColor rgb="FFFEF9E7"/>
        <bgColor rgb="FFF9F9F9"/>
      </patternFill>
    </fill>
    <fill>
      <patternFill patternType="solid">
        <fgColor rgb="FF6C3483"/>
        <bgColor rgb="FF7030A0"/>
      </patternFill>
    </fill>
    <fill>
      <patternFill patternType="darkGray">
        <fgColor rgb="FFF3F2F4"/>
        <bgColor rgb="FFECEFF1"/>
      </patternFill>
    </fill>
    <fill>
      <patternFill patternType="solid">
        <fgColor rgb="FF7030A0"/>
        <bgColor rgb="FF6C3483"/>
      </patternFill>
    </fill>
    <fill>
      <patternFill patternType="darkGray">
        <fgColor rgb="FF098E78"/>
        <bgColor rgb="FF16A085"/>
      </patternFill>
    </fill>
    <fill>
      <patternFill patternType="darkGray">
        <fgColor rgb="FFEBF7FA"/>
        <bgColor rgb="FFE8F5E9"/>
      </patternFill>
    </fill>
    <fill>
      <patternFill patternType="darkGray">
        <fgColor rgb="FFEBF7FA"/>
        <bgColor rgb="FFF2F3F4"/>
      </patternFill>
    </fill>
    <fill>
      <patternFill patternType="solid">
        <fgColor rgb="FFD6EAF8"/>
        <bgColor rgb="FFE3F2FD"/>
      </patternFill>
    </fill>
    <fill>
      <patternFill patternType="solid">
        <fgColor rgb="FF1E8449"/>
        <bgColor rgb="FF1F783E"/>
      </patternFill>
    </fill>
    <fill>
      <patternFill patternType="solid">
        <fgColor rgb="FF2980B9"/>
        <bgColor rgb="FF2E86C1"/>
      </patternFill>
    </fill>
    <fill>
      <patternFill patternType="solid">
        <fgColor rgb="FFEA831E"/>
        <bgColor rgb="FFF39C12"/>
      </patternFill>
    </fill>
    <fill>
      <patternFill patternType="solid">
        <fgColor rgb="FF1768B3"/>
        <bgColor rgb="FF2980B9"/>
      </patternFill>
    </fill>
    <fill>
      <patternFill patternType="solid">
        <fgColor rgb="FF922B21"/>
        <bgColor rgb="FF7B241C"/>
      </patternFill>
    </fill>
    <fill>
      <patternFill patternType="solid">
        <fgColor rgb="FF884EA0"/>
        <bgColor rgb="FF8E44AD"/>
      </patternFill>
    </fill>
    <fill>
      <patternFill patternType="solid">
        <fgColor rgb="FF16A085"/>
        <bgColor rgb="FF098E78"/>
      </patternFill>
    </fill>
    <fill>
      <patternFill patternType="solid">
        <fgColor rgb="FFD4AC0D"/>
        <bgColor rgb="FFF39C12"/>
      </patternFill>
    </fill>
    <fill>
      <patternFill patternType="mediumGray">
        <fgColor rgb="FF2C3E50"/>
        <bgColor rgb="FF38474F"/>
      </patternFill>
    </fill>
    <fill>
      <patternFill patternType="solid">
        <fgColor rgb="FFD5F5E3"/>
        <bgColor rgb="FFE8F5E9"/>
      </patternFill>
    </fill>
    <fill>
      <patternFill patternType="solid">
        <fgColor rgb="FF1B5E20"/>
      </patternFill>
    </fill>
    <fill>
      <patternFill patternType="solid">
        <fgColor rgb="FF2E7D32"/>
      </patternFill>
    </fill>
    <fill>
      <patternFill patternType="solid">
        <fgColor rgb="FFF2F3F4"/>
      </patternFill>
    </fill>
    <fill>
      <patternFill patternType="solid">
        <fgColor rgb="FFBBDEFB"/>
      </patternFill>
    </fill>
    <fill>
      <patternFill patternType="solid">
        <fgColor rgb="FFFAD7A0"/>
      </patternFill>
    </fill>
    <fill>
      <patternFill patternType="solid">
        <fgColor rgb="FFC8E6C9"/>
      </patternFill>
    </fill>
    <fill>
      <patternFill patternType="solid">
        <fgColor rgb="FFF8F9F9"/>
      </patternFill>
    </fill>
    <fill>
      <patternFill patternType="solid">
        <fgColor rgb="FFFFFFFF"/>
      </patternFill>
    </fill>
    <fill>
      <patternFill patternType="solid">
        <fgColor rgb="FF27AE60"/>
        <bgColor rgb="FF16A085"/>
      </patternFill>
    </fill>
    <fill>
      <patternFill patternType="solid">
        <fgColor rgb="FFFEF9E7"/>
        <bgColor rgb="FFFAFAFA"/>
      </patternFill>
    </fill>
    <fill>
      <patternFill patternType="solid">
        <fgColor rgb="FF1C2833"/>
        <bgColor rgb="FF263238"/>
      </patternFill>
    </fill>
    <fill>
      <patternFill patternType="solid">
        <fgColor rgb="FFF2F3F4"/>
        <bgColor rgb="FFF4F6F4"/>
      </patternFill>
    </fill>
    <fill>
      <patternFill patternType="solid">
        <fgColor rgb="FFFFFFFF"/>
        <bgColor rgb="FFFAFAFA"/>
      </patternFill>
    </fill>
    <fill>
      <patternFill patternType="solid">
        <fgColor rgb="FFF39C12"/>
        <bgColor rgb="FFD4AC0D"/>
      </patternFill>
    </fill>
    <fill>
      <patternFill patternType="solid">
        <fgColor rgb="FF4EA72E"/>
        <bgColor rgb="FF000000"/>
      </patternFill>
    </fill>
    <fill>
      <patternFill patternType="solid">
        <fgColor rgb="FFFFFF00"/>
        <bgColor indexed="64"/>
      </patternFill>
    </fill>
  </fills>
  <borders count="44">
    <border>
      <left/>
      <right/>
      <top/>
      <bottom/>
      <diagonal/>
    </border>
    <border>
      <left style="thin">
        <color rgb="FFBDBDBD"/>
      </left>
      <right style="thin">
        <color rgb="FFBDBDBD"/>
      </right>
      <top style="thin">
        <color rgb="FFBDBDBD"/>
      </top>
      <bottom style="thin">
        <color rgb="FFBDBDBD"/>
      </bottom>
      <diagonal/>
    </border>
    <border>
      <left style="medium">
        <color rgb="FF263238"/>
      </left>
      <right style="medium">
        <color rgb="FF263238"/>
      </right>
      <top style="medium">
        <color rgb="FF263238"/>
      </top>
      <bottom style="thin">
        <color rgb="FF263238"/>
      </bottom>
      <diagonal/>
    </border>
    <border>
      <left style="medium">
        <color rgb="FF1B5E20"/>
      </left>
      <right/>
      <top style="medium">
        <color rgb="FF1B5E20"/>
      </top>
      <bottom style="thin">
        <color rgb="FF1B5E20"/>
      </bottom>
      <diagonal/>
    </border>
    <border>
      <left style="medium">
        <color rgb="FF0D47A1"/>
      </left>
      <right style="medium">
        <color rgb="FF0D47A1"/>
      </right>
      <top style="medium">
        <color rgb="FF0D47A1"/>
      </top>
      <bottom style="thin">
        <color rgb="FF0D47A1"/>
      </bottom>
      <diagonal/>
    </border>
    <border>
      <left style="medium">
        <color rgb="FF888989"/>
      </left>
      <right/>
      <top style="medium">
        <color rgb="FF888989"/>
      </top>
      <bottom style="medium">
        <color rgb="FF888989"/>
      </bottom>
      <diagonal/>
    </border>
    <border>
      <left style="medium">
        <color rgb="FF263238"/>
      </left>
      <right style="medium">
        <color rgb="FF263238"/>
      </right>
      <top style="thin">
        <color rgb="FF263238"/>
      </top>
      <bottom style="thin">
        <color rgb="FF263238"/>
      </bottom>
      <diagonal/>
    </border>
    <border>
      <left style="medium">
        <color rgb="FF1B5E20"/>
      </left>
      <right/>
      <top style="thin">
        <color rgb="FF1B5E20"/>
      </top>
      <bottom style="thin">
        <color rgb="FF1B5E20"/>
      </bottom>
      <diagonal/>
    </border>
    <border>
      <left style="medium">
        <color rgb="FF0D47A1"/>
      </left>
      <right style="medium">
        <color rgb="FF0D47A1"/>
      </right>
      <top style="thin">
        <color rgb="FF0D47A1"/>
      </top>
      <bottom style="thin">
        <color rgb="FF0D47A1"/>
      </bottom>
      <diagonal/>
    </border>
    <border>
      <left style="medium">
        <color rgb="FF263238"/>
      </left>
      <right style="medium">
        <color rgb="FF263238"/>
      </right>
      <top style="thin">
        <color rgb="FF263238"/>
      </top>
      <bottom style="medium">
        <color rgb="FF263238"/>
      </bottom>
      <diagonal/>
    </border>
    <border>
      <left style="medium">
        <color rgb="FF1B5E20"/>
      </left>
      <right/>
      <top style="thin">
        <color rgb="FF1B5E20"/>
      </top>
      <bottom style="medium">
        <color rgb="FF1B5E20"/>
      </bottom>
      <diagonal/>
    </border>
    <border>
      <left style="medium">
        <color rgb="FF0D47A1"/>
      </left>
      <right style="medium">
        <color rgb="FF0D47A1"/>
      </right>
      <top style="thin">
        <color rgb="FF0D47A1"/>
      </top>
      <bottom style="medium">
        <color rgb="FF0D47A1"/>
      </bottom>
      <diagonal/>
    </border>
    <border>
      <left/>
      <right/>
      <top/>
      <bottom style="medium">
        <color rgb="FF1B5E20"/>
      </bottom>
      <diagonal/>
    </border>
    <border>
      <left style="thin">
        <color rgb="FF1B5E20"/>
      </left>
      <right style="thin">
        <color rgb="FF1B5E20"/>
      </right>
      <top style="medium">
        <color rgb="FF1B5E20"/>
      </top>
      <bottom style="medium">
        <color rgb="FF1B5E20"/>
      </bottom>
      <diagonal/>
    </border>
    <border>
      <left style="thin">
        <color rgb="FFE0E0E0"/>
      </left>
      <right style="thin">
        <color rgb="FFE0E0E0"/>
      </right>
      <top style="thin">
        <color rgb="FFE0E0E0"/>
      </top>
      <bottom style="thin">
        <color rgb="FFE0E0E0"/>
      </bottom>
      <diagonal/>
    </border>
    <border>
      <left style="medium">
        <color rgb="FF263238"/>
      </left>
      <right style="medium">
        <color rgb="FF263238"/>
      </right>
      <top style="medium">
        <color rgb="FF263238"/>
      </top>
      <bottom style="medium">
        <color rgb="FF263238"/>
      </bottom>
      <diagonal/>
    </border>
    <border>
      <left style="medium">
        <color rgb="FF888989"/>
      </left>
      <right style="medium">
        <color rgb="FF888989"/>
      </right>
      <top style="medium">
        <color rgb="FF888989"/>
      </top>
      <bottom style="medium">
        <color rgb="FF888989"/>
      </bottom>
      <diagonal/>
    </border>
    <border>
      <left style="thin">
        <color rgb="FF888989"/>
      </left>
      <right style="thin">
        <color rgb="FF888989"/>
      </right>
      <top style="thin">
        <color rgb="FF888989"/>
      </top>
      <bottom style="thin">
        <color rgb="FF888989"/>
      </bottom>
      <diagonal/>
    </border>
    <border>
      <left style="medium">
        <color auto="1"/>
      </left>
      <right style="medium">
        <color auto="1"/>
      </right>
      <top/>
      <bottom style="medium">
        <color auto="1"/>
      </bottom>
      <diagonal/>
    </border>
    <border>
      <left style="thin">
        <color rgb="FFBDBDBD"/>
      </left>
      <right style="thin">
        <color rgb="FFBDBDBD"/>
      </right>
      <top style="thin">
        <color rgb="FFBDBDBD"/>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rgb="FF263238"/>
      </right>
      <top style="medium">
        <color rgb="FF263238"/>
      </top>
      <bottom style="thin">
        <color rgb="FF263238"/>
      </bottom>
      <diagonal/>
    </border>
    <border>
      <left/>
      <right/>
      <top style="medium">
        <color rgb="FF1B5E20"/>
      </top>
      <bottom style="thin">
        <color rgb="FF1B5E20"/>
      </bottom>
      <diagonal/>
    </border>
    <border>
      <left/>
      <right style="medium">
        <color rgb="FF0D47A1"/>
      </right>
      <top style="medium">
        <color rgb="FF0D47A1"/>
      </top>
      <bottom style="thin">
        <color rgb="FF0D47A1"/>
      </bottom>
      <diagonal/>
    </border>
    <border>
      <left/>
      <right/>
      <top style="medium">
        <color rgb="FF888989"/>
      </top>
      <bottom style="medium">
        <color rgb="FF888989"/>
      </bottom>
      <diagonal/>
    </border>
    <border>
      <left/>
      <right style="medium">
        <color rgb="FF263238"/>
      </right>
      <top style="thin">
        <color rgb="FF263238"/>
      </top>
      <bottom style="thin">
        <color rgb="FF263238"/>
      </bottom>
      <diagonal/>
    </border>
    <border>
      <left/>
      <right/>
      <top style="thin">
        <color rgb="FF1B5E20"/>
      </top>
      <bottom style="thin">
        <color rgb="FF1B5E20"/>
      </bottom>
      <diagonal/>
    </border>
    <border>
      <left/>
      <right style="medium">
        <color rgb="FF0D47A1"/>
      </right>
      <top style="thin">
        <color rgb="FF0D47A1"/>
      </top>
      <bottom style="thin">
        <color rgb="FF0D47A1"/>
      </bottom>
      <diagonal/>
    </border>
    <border>
      <left/>
      <right style="medium">
        <color rgb="FF263238"/>
      </right>
      <top style="thin">
        <color rgb="FF263238"/>
      </top>
      <bottom style="medium">
        <color rgb="FF263238"/>
      </bottom>
      <diagonal/>
    </border>
    <border>
      <left/>
      <right/>
      <top style="thin">
        <color rgb="FF1B5E20"/>
      </top>
      <bottom style="medium">
        <color rgb="FF1B5E20"/>
      </bottom>
      <diagonal/>
    </border>
    <border>
      <left/>
      <right style="medium">
        <color rgb="FF0D47A1"/>
      </right>
      <top style="thin">
        <color rgb="FF0D47A1"/>
      </top>
      <bottom style="medium">
        <color rgb="FF0D47A1"/>
      </bottom>
      <diagonal/>
    </border>
    <border>
      <left style="thin">
        <color rgb="FF888888"/>
      </left>
      <right style="thin">
        <color rgb="FF888888"/>
      </right>
      <top style="thin">
        <color rgb="FF888888"/>
      </top>
      <bottom style="thin">
        <color rgb="FF888888"/>
      </bottom>
      <diagonal/>
    </border>
    <border>
      <left style="thin">
        <color rgb="FF888888"/>
      </left>
      <right style="thin">
        <color rgb="FF888888"/>
      </right>
      <top/>
      <bottom style="thin">
        <color rgb="FF888888"/>
      </bottom>
      <diagonal/>
    </border>
    <border>
      <left style="medium">
        <color rgb="FF888888"/>
      </left>
      <right style="medium">
        <color rgb="FF888888"/>
      </right>
      <top style="medium">
        <color rgb="FF888888"/>
      </top>
      <bottom style="medium">
        <color rgb="FF888888"/>
      </bottom>
      <diagonal/>
    </border>
    <border>
      <left style="thin">
        <color rgb="FFCCCCCC"/>
      </left>
      <right style="thin">
        <color rgb="FFCCCCCC"/>
      </right>
      <top style="thin">
        <color rgb="FFCCCCCC"/>
      </top>
      <bottom style="thin">
        <color rgb="FFCCCCCC"/>
      </bottom>
      <diagonal/>
    </border>
    <border>
      <left/>
      <right/>
      <top style="thin">
        <color rgb="FF888888"/>
      </top>
      <bottom style="medium">
        <color rgb="FF888888"/>
      </bottom>
      <diagonal/>
    </border>
    <border>
      <left style="thin">
        <color rgb="FFBDBDBD"/>
      </left>
      <right style="thin">
        <color rgb="FFBDBDBD"/>
      </right>
      <top/>
      <bottom style="thin">
        <color rgb="FFBDBDBD"/>
      </bottom>
      <diagonal/>
    </border>
    <border>
      <left style="hair">
        <color rgb="FF8ED973"/>
      </left>
      <right style="hair">
        <color rgb="FF8ED973"/>
      </right>
      <top style="hair">
        <color rgb="FF8ED973"/>
      </top>
      <bottom style="hair">
        <color rgb="FF8ED973"/>
      </bottom>
      <diagonal/>
    </border>
    <border>
      <left/>
      <right style="hair">
        <color rgb="FF8ED973"/>
      </right>
      <top style="hair">
        <color rgb="FF8ED973"/>
      </top>
      <bottom style="hair">
        <color rgb="FF8ED973"/>
      </bottom>
      <diagonal/>
    </border>
    <border>
      <left style="hair">
        <color rgb="FF8ED973"/>
      </left>
      <right style="hair">
        <color rgb="FF8ED973"/>
      </right>
      <top/>
      <bottom style="hair">
        <color rgb="FF8ED973"/>
      </bottom>
      <diagonal/>
    </border>
    <border>
      <left/>
      <right style="hair">
        <color rgb="FF8ED973"/>
      </right>
      <top/>
      <bottom style="hair">
        <color rgb="FF8ED973"/>
      </bottom>
      <diagonal/>
    </border>
  </borders>
  <cellStyleXfs count="1">
    <xf numFmtId="0" fontId="0" fillId="0" borderId="0"/>
  </cellStyleXfs>
  <cellXfs count="291">
    <xf numFmtId="0" fontId="0" fillId="0" borderId="0" xfId="0"/>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left" vertical="center" wrapText="1"/>
    </xf>
    <xf numFmtId="0" fontId="2" fillId="5" borderId="1" xfId="0" applyFont="1" applyFill="1" applyBorder="1" applyAlignment="1">
      <alignment horizontal="center" vertical="center"/>
    </xf>
    <xf numFmtId="0" fontId="5" fillId="0" borderId="1" xfId="0" applyFont="1" applyBorder="1" applyAlignment="1">
      <alignment horizontal="center" vertical="center"/>
    </xf>
    <xf numFmtId="0" fontId="2" fillId="6" borderId="1" xfId="0" applyFont="1" applyFill="1" applyBorder="1" applyAlignment="1">
      <alignment horizontal="center" vertical="center"/>
    </xf>
    <xf numFmtId="0" fontId="6" fillId="0" borderId="1" xfId="0" applyFont="1" applyBorder="1" applyAlignment="1">
      <alignment horizontal="center" vertical="center"/>
    </xf>
    <xf numFmtId="0" fontId="2" fillId="7" borderId="1" xfId="0" applyFont="1" applyFill="1" applyBorder="1" applyAlignment="1">
      <alignment horizontal="center" vertical="center"/>
    </xf>
    <xf numFmtId="0" fontId="7" fillId="0" borderId="1" xfId="0" applyFont="1" applyBorder="1" applyAlignment="1">
      <alignment horizontal="center" vertical="center"/>
    </xf>
    <xf numFmtId="0" fontId="2" fillId="8" borderId="1" xfId="0" applyFont="1" applyFill="1" applyBorder="1" applyAlignment="1">
      <alignment horizontal="center" vertical="center"/>
    </xf>
    <xf numFmtId="0" fontId="8" fillId="0" borderId="1" xfId="0" applyFont="1" applyBorder="1" applyAlignment="1">
      <alignment horizontal="center" vertical="center"/>
    </xf>
    <xf numFmtId="0" fontId="2" fillId="9" borderId="1" xfId="0" applyFont="1" applyFill="1" applyBorder="1" applyAlignment="1">
      <alignment horizontal="center" vertical="center"/>
    </xf>
    <xf numFmtId="0" fontId="9" fillId="0" borderId="1" xfId="0" applyFont="1" applyBorder="1" applyAlignment="1">
      <alignment horizontal="center" vertical="center"/>
    </xf>
    <xf numFmtId="0" fontId="11" fillId="0" borderId="0" xfId="0" applyFont="1" applyAlignment="1">
      <alignment wrapText="1"/>
    </xf>
    <xf numFmtId="0" fontId="11" fillId="0" borderId="0" xfId="0" applyFont="1"/>
    <xf numFmtId="0" fontId="11" fillId="13" borderId="0" xfId="0" applyFont="1" applyFill="1"/>
    <xf numFmtId="0" fontId="11" fillId="20" borderId="0" xfId="0" applyFont="1" applyFill="1"/>
    <xf numFmtId="0" fontId="14" fillId="12" borderId="13" xfId="0" applyFont="1" applyFill="1" applyBorder="1" applyAlignment="1">
      <alignment horizontal="center" vertical="center" wrapText="1"/>
    </xf>
    <xf numFmtId="0" fontId="24" fillId="21" borderId="14" xfId="0" applyFont="1" applyFill="1" applyBorder="1" applyAlignment="1">
      <alignment horizontal="left" vertical="center"/>
    </xf>
    <xf numFmtId="3" fontId="25" fillId="21" borderId="14" xfId="0" applyNumberFormat="1" applyFont="1" applyFill="1" applyBorder="1" applyAlignment="1">
      <alignment horizontal="center" vertical="center"/>
    </xf>
    <xf numFmtId="3" fontId="26" fillId="21" borderId="14" xfId="0" applyNumberFormat="1" applyFont="1" applyFill="1" applyBorder="1" applyAlignment="1">
      <alignment horizontal="center" vertical="center"/>
    </xf>
    <xf numFmtId="0" fontId="26" fillId="21" borderId="14" xfId="0" applyFont="1" applyFill="1" applyBorder="1" applyAlignment="1">
      <alignment horizontal="center" vertical="center"/>
    </xf>
    <xf numFmtId="0" fontId="25" fillId="21" borderId="14" xfId="0" applyFont="1" applyFill="1" applyBorder="1" applyAlignment="1">
      <alignment horizontal="center" vertical="center"/>
    </xf>
    <xf numFmtId="0" fontId="24" fillId="20" borderId="14" xfId="0" applyFont="1" applyFill="1" applyBorder="1" applyAlignment="1">
      <alignment horizontal="left" vertical="center"/>
    </xf>
    <xf numFmtId="3" fontId="25" fillId="20" borderId="14" xfId="0" applyNumberFormat="1" applyFont="1" applyFill="1" applyBorder="1" applyAlignment="1">
      <alignment horizontal="center" vertical="center"/>
    </xf>
    <xf numFmtId="0" fontId="2" fillId="14" borderId="15" xfId="0" applyFont="1" applyFill="1" applyBorder="1" applyAlignment="1">
      <alignment horizontal="center" vertical="center"/>
    </xf>
    <xf numFmtId="3" fontId="2" fillId="14" borderId="15" xfId="0" applyNumberFormat="1" applyFont="1" applyFill="1" applyBorder="1" applyAlignment="1">
      <alignment horizontal="center" vertical="center"/>
    </xf>
    <xf numFmtId="0" fontId="0" fillId="22" borderId="0" xfId="0" applyFill="1"/>
    <xf numFmtId="0" fontId="0" fillId="3" borderId="0" xfId="0" applyFill="1"/>
    <xf numFmtId="0" fontId="22" fillId="16" borderId="16" xfId="0" applyFont="1" applyFill="1" applyBorder="1" applyAlignment="1">
      <alignment horizontal="center" vertical="center" wrapText="1"/>
    </xf>
    <xf numFmtId="3" fontId="38" fillId="16" borderId="16" xfId="0" applyNumberFormat="1" applyFont="1" applyFill="1" applyBorder="1" applyAlignment="1">
      <alignment horizontal="center" vertical="center"/>
    </xf>
    <xf numFmtId="0" fontId="22" fillId="16" borderId="16" xfId="0" applyFont="1" applyFill="1" applyBorder="1" applyAlignment="1">
      <alignment horizontal="center" vertical="center"/>
    </xf>
    <xf numFmtId="0" fontId="43" fillId="11" borderId="17" xfId="0" applyFont="1" applyFill="1" applyBorder="1" applyAlignment="1">
      <alignment horizontal="left" vertical="center" wrapText="1"/>
    </xf>
    <xf numFmtId="0" fontId="43" fillId="11" borderId="17" xfId="0" applyFont="1" applyFill="1" applyBorder="1" applyAlignment="1">
      <alignment horizontal="center" vertical="center" wrapText="1"/>
    </xf>
    <xf numFmtId="0" fontId="45" fillId="25" borderId="16" xfId="0" applyFont="1" applyFill="1" applyBorder="1" applyAlignment="1">
      <alignment horizontal="left" vertical="center"/>
    </xf>
    <xf numFmtId="3" fontId="45" fillId="25" borderId="16" xfId="0" applyNumberFormat="1" applyFont="1" applyFill="1" applyBorder="1" applyAlignment="1">
      <alignment horizontal="center" vertical="center"/>
    </xf>
    <xf numFmtId="10" fontId="45" fillId="25" borderId="16" xfId="0" applyNumberFormat="1" applyFont="1" applyFill="1" applyBorder="1" applyAlignment="1">
      <alignment horizontal="center" vertical="center"/>
    </xf>
    <xf numFmtId="0" fontId="50" fillId="23" borderId="1" xfId="0" applyFont="1" applyFill="1" applyBorder="1" applyAlignment="1">
      <alignment horizontal="center" vertical="center"/>
    </xf>
    <xf numFmtId="0" fontId="50" fillId="23" borderId="1" xfId="0" applyFont="1" applyFill="1" applyBorder="1" applyAlignment="1">
      <alignment horizontal="left" vertical="center"/>
    </xf>
    <xf numFmtId="0" fontId="51" fillId="23" borderId="1" xfId="0" applyFont="1" applyFill="1" applyBorder="1" applyAlignment="1">
      <alignment horizontal="center" vertical="center"/>
    </xf>
    <xf numFmtId="0" fontId="50" fillId="20" borderId="1" xfId="0" applyFont="1" applyFill="1" applyBorder="1" applyAlignment="1">
      <alignment horizontal="center" vertical="center"/>
    </xf>
    <xf numFmtId="0" fontId="50" fillId="20" borderId="1" xfId="0" applyFont="1" applyFill="1" applyBorder="1" applyAlignment="1">
      <alignment horizontal="left" vertical="center"/>
    </xf>
    <xf numFmtId="0" fontId="51" fillId="20" borderId="1" xfId="0" applyFont="1" applyFill="1" applyBorder="1" applyAlignment="1">
      <alignment horizontal="center" vertical="center"/>
    </xf>
    <xf numFmtId="0" fontId="52" fillId="20" borderId="1" xfId="0" applyFont="1" applyFill="1" applyBorder="1" applyAlignment="1">
      <alignment horizontal="center" vertical="center"/>
    </xf>
    <xf numFmtId="0" fontId="52" fillId="23" borderId="1" xfId="0" applyFont="1" applyFill="1" applyBorder="1" applyAlignment="1">
      <alignment horizontal="center" vertical="center"/>
    </xf>
    <xf numFmtId="0" fontId="14" fillId="8" borderId="1" xfId="0" applyFont="1" applyFill="1" applyBorder="1" applyAlignment="1">
      <alignment horizontal="center" vertical="center"/>
    </xf>
    <xf numFmtId="0" fontId="14" fillId="29" borderId="20" xfId="0" applyFont="1" applyFill="1" applyBorder="1" applyAlignment="1">
      <alignment horizontal="center" vertical="center" wrapText="1"/>
    </xf>
    <xf numFmtId="0" fontId="54" fillId="23" borderId="1" xfId="0" applyFont="1" applyFill="1" applyBorder="1" applyAlignment="1">
      <alignment horizontal="center" vertical="center"/>
    </xf>
    <xf numFmtId="14" fontId="50" fillId="23" borderId="1" xfId="0" applyNumberFormat="1" applyFont="1" applyFill="1" applyBorder="1" applyAlignment="1">
      <alignment horizontal="center" vertical="center"/>
    </xf>
    <xf numFmtId="0" fontId="55" fillId="23" borderId="1" xfId="0" applyFont="1" applyFill="1" applyBorder="1" applyAlignment="1">
      <alignment horizontal="center" vertical="center"/>
    </xf>
    <xf numFmtId="164" fontId="50" fillId="23" borderId="1" xfId="0" applyNumberFormat="1" applyFont="1" applyFill="1" applyBorder="1" applyAlignment="1">
      <alignment horizontal="center" vertical="center"/>
    </xf>
    <xf numFmtId="0" fontId="52" fillId="23" borderId="1" xfId="0" applyFont="1" applyFill="1" applyBorder="1"/>
    <xf numFmtId="0" fontId="54" fillId="20" borderId="1" xfId="0" applyFont="1" applyFill="1" applyBorder="1" applyAlignment="1">
      <alignment horizontal="center" vertical="center"/>
    </xf>
    <xf numFmtId="14" fontId="50" fillId="20" borderId="1" xfId="0" applyNumberFormat="1" applyFont="1" applyFill="1" applyBorder="1" applyAlignment="1">
      <alignment horizontal="center" vertical="center"/>
    </xf>
    <xf numFmtId="0" fontId="55" fillId="20" borderId="1" xfId="0" applyFont="1" applyFill="1" applyBorder="1" applyAlignment="1">
      <alignment horizontal="center" vertical="center"/>
    </xf>
    <xf numFmtId="164" fontId="50" fillId="20" borderId="1" xfId="0" applyNumberFormat="1" applyFont="1" applyFill="1" applyBorder="1" applyAlignment="1">
      <alignment horizontal="center" vertical="center"/>
    </xf>
    <xf numFmtId="0" fontId="52" fillId="20" borderId="1" xfId="0" applyFont="1" applyFill="1" applyBorder="1"/>
    <xf numFmtId="0" fontId="14" fillId="29" borderId="20" xfId="0" applyFont="1" applyFill="1" applyBorder="1" applyAlignment="1">
      <alignment horizontal="center" vertical="center"/>
    </xf>
    <xf numFmtId="0" fontId="0" fillId="31" borderId="21" xfId="0" applyFill="1" applyBorder="1"/>
    <xf numFmtId="0" fontId="0" fillId="31" borderId="22" xfId="0" applyFill="1" applyBorder="1"/>
    <xf numFmtId="164" fontId="14" fillId="29" borderId="20" xfId="0" applyNumberFormat="1" applyFont="1" applyFill="1" applyBorder="1" applyAlignment="1">
      <alignment horizontal="center" vertical="center"/>
    </xf>
    <xf numFmtId="0" fontId="14" fillId="32" borderId="20" xfId="0" applyFont="1" applyFill="1" applyBorder="1" applyAlignment="1">
      <alignment horizontal="center" vertical="center" wrapText="1"/>
    </xf>
    <xf numFmtId="0" fontId="57" fillId="20" borderId="1" xfId="0" applyFont="1" applyFill="1" applyBorder="1" applyAlignment="1">
      <alignment horizontal="center" vertical="center"/>
    </xf>
    <xf numFmtId="0" fontId="57" fillId="23" borderId="1" xfId="0" applyFont="1" applyFill="1" applyBorder="1" applyAlignment="1">
      <alignment horizontal="center" vertical="center"/>
    </xf>
    <xf numFmtId="0" fontId="14" fillId="3" borderId="20" xfId="0" applyFont="1" applyFill="1" applyBorder="1" applyAlignment="1">
      <alignment horizontal="center" vertical="center" wrapText="1"/>
    </xf>
    <xf numFmtId="0" fontId="14" fillId="9" borderId="1" xfId="0" applyFont="1" applyFill="1" applyBorder="1" applyAlignment="1">
      <alignment horizontal="left" vertical="center"/>
    </xf>
    <xf numFmtId="0" fontId="54" fillId="10" borderId="1" xfId="0" applyFont="1" applyFill="1" applyBorder="1" applyAlignment="1">
      <alignment horizontal="center" vertical="center"/>
    </xf>
    <xf numFmtId="0" fontId="58" fillId="35" borderId="1" xfId="0" applyFont="1" applyFill="1" applyBorder="1" applyAlignment="1">
      <alignment horizontal="center" vertical="center"/>
    </xf>
    <xf numFmtId="0" fontId="14" fillId="36" borderId="1" xfId="0" applyFont="1" applyFill="1" applyBorder="1" applyAlignment="1">
      <alignment horizontal="center" vertical="center"/>
    </xf>
    <xf numFmtId="0" fontId="59" fillId="20" borderId="1" xfId="0" applyFont="1" applyFill="1" applyBorder="1" applyAlignment="1">
      <alignment horizontal="center" vertical="center"/>
    </xf>
    <xf numFmtId="9" fontId="50" fillId="20" borderId="1" xfId="0" applyNumberFormat="1" applyFont="1" applyFill="1" applyBorder="1" applyAlignment="1">
      <alignment horizontal="center" vertical="center"/>
    </xf>
    <xf numFmtId="0" fontId="60" fillId="35" borderId="1" xfId="0" applyFont="1" applyFill="1" applyBorder="1"/>
    <xf numFmtId="0" fontId="59" fillId="23" borderId="1" xfId="0" applyFont="1" applyFill="1" applyBorder="1" applyAlignment="1">
      <alignment horizontal="center" vertical="center"/>
    </xf>
    <xf numFmtId="9" fontId="50" fillId="23" borderId="1" xfId="0" applyNumberFormat="1" applyFont="1" applyFill="1" applyBorder="1" applyAlignment="1">
      <alignment horizontal="center" vertical="center"/>
    </xf>
    <xf numFmtId="0" fontId="14" fillId="7" borderId="1" xfId="0" applyFont="1" applyFill="1" applyBorder="1" applyAlignment="1">
      <alignment horizontal="left" vertical="center"/>
    </xf>
    <xf numFmtId="0" fontId="14" fillId="37" borderId="1" xfId="0" applyFont="1" applyFill="1" applyBorder="1" applyAlignment="1">
      <alignment horizontal="left" vertical="center"/>
    </xf>
    <xf numFmtId="0" fontId="14" fillId="4" borderId="1" xfId="0" applyFont="1" applyFill="1" applyBorder="1" applyAlignment="1">
      <alignment horizontal="left" vertical="center"/>
    </xf>
    <xf numFmtId="0" fontId="14" fillId="38" borderId="1" xfId="0" applyFont="1" applyFill="1" applyBorder="1" applyAlignment="1">
      <alignment horizontal="left" vertical="center"/>
    </xf>
    <xf numFmtId="0" fontId="14" fillId="39" borderId="1" xfId="0" applyFont="1" applyFill="1" applyBorder="1" applyAlignment="1">
      <alignment horizontal="center" vertical="center"/>
    </xf>
    <xf numFmtId="0" fontId="61" fillId="20" borderId="1" xfId="0" applyFont="1" applyFill="1" applyBorder="1" applyAlignment="1">
      <alignment horizontal="center" vertical="center"/>
    </xf>
    <xf numFmtId="0" fontId="14" fillId="40" borderId="1" xfId="0" applyFont="1" applyFill="1" applyBorder="1" applyAlignment="1">
      <alignment horizontal="center" vertical="center"/>
    </xf>
    <xf numFmtId="0" fontId="61" fillId="23" borderId="1" xfId="0" applyFont="1" applyFill="1" applyBorder="1" applyAlignment="1">
      <alignment horizontal="center" vertical="center"/>
    </xf>
    <xf numFmtId="0" fontId="14" fillId="41" borderId="1" xfId="0" applyFont="1" applyFill="1" applyBorder="1" applyAlignment="1">
      <alignment horizontal="left" vertical="center"/>
    </xf>
    <xf numFmtId="0" fontId="14" fillId="42" borderId="1" xfId="0" applyFont="1" applyFill="1" applyBorder="1" applyAlignment="1">
      <alignment horizontal="left" vertical="center"/>
    </xf>
    <xf numFmtId="0" fontId="14" fillId="43" borderId="1" xfId="0" applyFont="1" applyFill="1" applyBorder="1" applyAlignment="1">
      <alignment horizontal="left" vertical="center"/>
    </xf>
    <xf numFmtId="0" fontId="14" fillId="3" borderId="20" xfId="0" applyFont="1" applyFill="1" applyBorder="1" applyAlignment="1">
      <alignment horizontal="center" vertical="center"/>
    </xf>
    <xf numFmtId="0" fontId="14" fillId="36" borderId="20" xfId="0" applyFont="1" applyFill="1" applyBorder="1" applyAlignment="1">
      <alignment horizontal="center" vertical="center"/>
    </xf>
    <xf numFmtId="0" fontId="13" fillId="3" borderId="20" xfId="0" applyFont="1" applyFill="1" applyBorder="1" applyAlignment="1">
      <alignment horizontal="center" vertical="center"/>
    </xf>
    <xf numFmtId="0" fontId="62" fillId="3" borderId="20" xfId="0" applyFont="1" applyFill="1" applyBorder="1" applyAlignment="1">
      <alignment horizontal="center" vertical="center"/>
    </xf>
    <xf numFmtId="9" fontId="14" fillId="3" borderId="20" xfId="0" applyNumberFormat="1" applyFont="1" applyFill="1" applyBorder="1" applyAlignment="1">
      <alignment horizontal="center" vertical="center"/>
    </xf>
    <xf numFmtId="0" fontId="50" fillId="3" borderId="20" xfId="0" applyFont="1" applyFill="1" applyBorder="1" applyAlignment="1">
      <alignment horizontal="center" vertical="center"/>
    </xf>
    <xf numFmtId="0" fontId="14" fillId="44" borderId="20" xfId="0" applyFont="1" applyFill="1" applyBorder="1" applyAlignment="1">
      <alignment horizontal="center" vertical="center" wrapText="1"/>
    </xf>
    <xf numFmtId="0" fontId="63" fillId="45" borderId="1" xfId="0" applyFont="1" applyFill="1" applyBorder="1" applyAlignment="1">
      <alignment horizontal="center" vertical="center"/>
    </xf>
    <xf numFmtId="0" fontId="2" fillId="9" borderId="1" xfId="0" applyFont="1" applyFill="1" applyBorder="1" applyAlignment="1">
      <alignment horizontal="left" vertical="center"/>
    </xf>
    <xf numFmtId="0" fontId="64" fillId="20" borderId="1" xfId="0" applyFont="1" applyFill="1" applyBorder="1" applyAlignment="1">
      <alignment horizontal="center" vertical="center"/>
    </xf>
    <xf numFmtId="0" fontId="4" fillId="20" borderId="1" xfId="0" applyFont="1" applyFill="1" applyBorder="1" applyAlignment="1">
      <alignment horizontal="center" vertical="center"/>
    </xf>
    <xf numFmtId="164" fontId="4" fillId="20" borderId="1" xfId="0" applyNumberFormat="1" applyFont="1" applyFill="1" applyBorder="1" applyAlignment="1">
      <alignment horizontal="center" vertical="center"/>
    </xf>
    <xf numFmtId="3" fontId="4" fillId="20" borderId="1" xfId="0" applyNumberFormat="1" applyFont="1" applyFill="1" applyBorder="1" applyAlignment="1">
      <alignment horizontal="center" vertical="center"/>
    </xf>
    <xf numFmtId="0" fontId="2" fillId="4" borderId="1" xfId="0" applyFont="1" applyFill="1" applyBorder="1" applyAlignment="1">
      <alignment horizontal="left" vertical="center"/>
    </xf>
    <xf numFmtId="0" fontId="64" fillId="23" borderId="1" xfId="0" applyFont="1" applyFill="1" applyBorder="1" applyAlignment="1">
      <alignment horizontal="center" vertical="center"/>
    </xf>
    <xf numFmtId="0" fontId="4" fillId="23" borderId="1" xfId="0" applyFont="1" applyFill="1" applyBorder="1" applyAlignment="1">
      <alignment horizontal="center" vertical="center"/>
    </xf>
    <xf numFmtId="164" fontId="4" fillId="23" borderId="1" xfId="0" applyNumberFormat="1" applyFont="1" applyFill="1" applyBorder="1" applyAlignment="1">
      <alignment horizontal="center" vertical="center"/>
    </xf>
    <xf numFmtId="3" fontId="4" fillId="23" borderId="1" xfId="0" applyNumberFormat="1" applyFont="1" applyFill="1" applyBorder="1" applyAlignment="1">
      <alignment horizontal="center" vertical="center"/>
    </xf>
    <xf numFmtId="0" fontId="2" fillId="37" borderId="1" xfId="0" applyFont="1" applyFill="1" applyBorder="1" applyAlignment="1">
      <alignment horizontal="left" vertical="center"/>
    </xf>
    <xf numFmtId="0" fontId="2" fillId="7" borderId="1" xfId="0" applyFont="1" applyFill="1" applyBorder="1" applyAlignment="1">
      <alignment horizontal="left" vertical="center"/>
    </xf>
    <xf numFmtId="0" fontId="2" fillId="38" borderId="1" xfId="0" applyFont="1" applyFill="1" applyBorder="1" applyAlignment="1">
      <alignment horizontal="left" vertical="center"/>
    </xf>
    <xf numFmtId="0" fontId="2" fillId="42" borderId="1" xfId="0" applyFont="1" applyFill="1" applyBorder="1" applyAlignment="1">
      <alignment horizontal="left" vertical="center"/>
    </xf>
    <xf numFmtId="0" fontId="2" fillId="43" borderId="1" xfId="0" applyFont="1" applyFill="1" applyBorder="1" applyAlignment="1">
      <alignment horizontal="left" vertical="center"/>
    </xf>
    <xf numFmtId="0" fontId="2" fillId="41" borderId="1" xfId="0" applyFont="1" applyFill="1" applyBorder="1" applyAlignment="1">
      <alignment horizontal="left" vertical="center"/>
    </xf>
    <xf numFmtId="0" fontId="2" fillId="2" borderId="20" xfId="0" applyFont="1" applyFill="1" applyBorder="1" applyAlignment="1">
      <alignment horizontal="center" vertical="center"/>
    </xf>
    <xf numFmtId="164" fontId="2" fillId="2" borderId="20" xfId="0" applyNumberFormat="1" applyFont="1" applyFill="1" applyBorder="1" applyAlignment="1">
      <alignment horizontal="center" vertical="center"/>
    </xf>
    <xf numFmtId="0" fontId="14" fillId="2" borderId="20" xfId="0" applyFont="1" applyFill="1" applyBorder="1" applyAlignment="1">
      <alignment horizontal="center" vertical="center"/>
    </xf>
    <xf numFmtId="3" fontId="2" fillId="2" borderId="20" xfId="0" applyNumberFormat="1" applyFont="1" applyFill="1" applyBorder="1" applyAlignment="1">
      <alignment horizontal="center" vertical="center"/>
    </xf>
    <xf numFmtId="0" fontId="2" fillId="41" borderId="20" xfId="0" applyFont="1" applyFill="1" applyBorder="1" applyAlignment="1">
      <alignment horizontal="center" vertical="center"/>
    </xf>
    <xf numFmtId="0" fontId="66" fillId="23" borderId="1" xfId="0" applyFont="1" applyFill="1" applyBorder="1" applyAlignment="1">
      <alignment horizontal="center" vertical="center"/>
    </xf>
    <xf numFmtId="14" fontId="66" fillId="23" borderId="1" xfId="0" applyNumberFormat="1" applyFont="1" applyFill="1" applyBorder="1" applyAlignment="1">
      <alignment horizontal="center" vertical="center"/>
    </xf>
    <xf numFmtId="0" fontId="66" fillId="23" borderId="1" xfId="0" applyFont="1" applyFill="1" applyBorder="1" applyAlignment="1">
      <alignment horizontal="left" vertical="center" wrapText="1"/>
    </xf>
    <xf numFmtId="0" fontId="66" fillId="20" borderId="1" xfId="0" applyFont="1" applyFill="1" applyBorder="1" applyAlignment="1">
      <alignment horizontal="center" vertical="center"/>
    </xf>
    <xf numFmtId="14" fontId="66" fillId="20" borderId="1" xfId="0" applyNumberFormat="1" applyFont="1" applyFill="1" applyBorder="1" applyAlignment="1">
      <alignment horizontal="center" vertical="center"/>
    </xf>
    <xf numFmtId="0" fontId="66" fillId="20" borderId="1" xfId="0" applyFont="1" applyFill="1" applyBorder="1" applyAlignment="1">
      <alignment horizontal="left" vertical="center" wrapText="1"/>
    </xf>
    <xf numFmtId="0" fontId="2" fillId="37" borderId="20" xfId="0" applyFont="1" applyFill="1" applyBorder="1" applyAlignment="1">
      <alignment horizontal="center" vertical="center"/>
    </xf>
    <xf numFmtId="0" fontId="2" fillId="43" borderId="20" xfId="0" applyFont="1" applyFill="1" applyBorder="1" applyAlignment="1">
      <alignment horizontal="center" vertical="center"/>
    </xf>
    <xf numFmtId="0" fontId="2" fillId="42" borderId="20" xfId="0" applyFont="1" applyFill="1" applyBorder="1" applyAlignment="1">
      <alignment horizontal="center" vertical="center"/>
    </xf>
    <xf numFmtId="0" fontId="2" fillId="38" borderId="20" xfId="0" applyFont="1" applyFill="1" applyBorder="1" applyAlignment="1">
      <alignment horizontal="center" vertical="center"/>
    </xf>
    <xf numFmtId="0" fontId="2" fillId="4" borderId="20" xfId="0" applyFont="1" applyFill="1" applyBorder="1" applyAlignment="1">
      <alignment horizontal="center" vertical="center"/>
    </xf>
    <xf numFmtId="0" fontId="2" fillId="7" borderId="20" xfId="0" applyFont="1" applyFill="1" applyBorder="1" applyAlignment="1">
      <alignment horizontal="center" vertical="center"/>
    </xf>
    <xf numFmtId="0" fontId="2" fillId="9" borderId="20" xfId="0" applyFont="1" applyFill="1" applyBorder="1" applyAlignment="1">
      <alignment horizontal="center" vertical="center"/>
    </xf>
    <xf numFmtId="0" fontId="66" fillId="4" borderId="1" xfId="0" applyFont="1" applyFill="1" applyBorder="1" applyAlignment="1">
      <alignment horizontal="center" vertical="center"/>
    </xf>
    <xf numFmtId="0" fontId="66" fillId="5" borderId="1" xfId="0" applyFont="1" applyFill="1" applyBorder="1" applyAlignment="1">
      <alignment horizontal="center" vertical="center"/>
    </xf>
    <xf numFmtId="0" fontId="66" fillId="8" borderId="1" xfId="0" applyFont="1" applyFill="1" applyBorder="1" applyAlignment="1">
      <alignment horizontal="center" vertical="center"/>
    </xf>
    <xf numFmtId="0" fontId="69" fillId="47" borderId="34" xfId="0" applyFont="1" applyFill="1" applyBorder="1" applyAlignment="1">
      <alignment horizontal="center" vertical="center"/>
    </xf>
    <xf numFmtId="3" fontId="70" fillId="48" borderId="36" xfId="0" applyNumberFormat="1" applyFont="1" applyFill="1" applyBorder="1" applyAlignment="1">
      <alignment horizontal="center" vertical="center"/>
    </xf>
    <xf numFmtId="3" fontId="71" fillId="49" borderId="36" xfId="0" applyNumberFormat="1" applyFont="1" applyFill="1" applyBorder="1" applyAlignment="1">
      <alignment horizontal="center" vertical="center"/>
    </xf>
    <xf numFmtId="3" fontId="72" fillId="50" borderId="36" xfId="0" applyNumberFormat="1" applyFont="1" applyFill="1" applyBorder="1" applyAlignment="1">
      <alignment horizontal="center" vertical="center"/>
    </xf>
    <xf numFmtId="49" fontId="73" fillId="49" borderId="36" xfId="0" applyNumberFormat="1" applyFont="1" applyFill="1" applyBorder="1" applyAlignment="1">
      <alignment horizontal="center" vertical="center"/>
    </xf>
    <xf numFmtId="3" fontId="74" fillId="51" borderId="36" xfId="0" applyNumberFormat="1" applyFont="1" applyFill="1" applyBorder="1" applyAlignment="1">
      <alignment horizontal="center" vertical="center"/>
    </xf>
    <xf numFmtId="49" fontId="75" fillId="51" borderId="36" xfId="0" applyNumberFormat="1" applyFont="1" applyFill="1" applyBorder="1" applyAlignment="1">
      <alignment horizontal="center" vertical="center"/>
    </xf>
    <xf numFmtId="0" fontId="77" fillId="52" borderId="37" xfId="0" applyFont="1" applyFill="1" applyBorder="1" applyAlignment="1">
      <alignment horizontal="left" vertical="center"/>
    </xf>
    <xf numFmtId="0" fontId="77" fillId="53" borderId="37" xfId="0" applyFont="1" applyFill="1" applyBorder="1" applyAlignment="1">
      <alignment horizontal="left" vertical="center"/>
    </xf>
    <xf numFmtId="0" fontId="2" fillId="56" borderId="18" xfId="0" applyFont="1" applyFill="1" applyBorder="1" applyAlignment="1">
      <alignment horizontal="center" vertical="center"/>
    </xf>
    <xf numFmtId="0" fontId="50" fillId="57" borderId="1" xfId="0" applyFont="1" applyFill="1" applyBorder="1" applyAlignment="1">
      <alignment horizontal="center" vertical="center"/>
    </xf>
    <xf numFmtId="0" fontId="50" fillId="57" borderId="1" xfId="0" applyFont="1" applyFill="1" applyBorder="1" applyAlignment="1">
      <alignment horizontal="left" vertical="center"/>
    </xf>
    <xf numFmtId="0" fontId="51" fillId="57" borderId="1" xfId="0" applyFont="1" applyFill="1" applyBorder="1" applyAlignment="1">
      <alignment horizontal="center" vertical="center"/>
    </xf>
    <xf numFmtId="14" fontId="51" fillId="57" borderId="1" xfId="0" applyNumberFormat="1" applyFont="1" applyFill="1" applyBorder="1" applyAlignment="1">
      <alignment horizontal="center" vertical="center"/>
    </xf>
    <xf numFmtId="0" fontId="50" fillId="58" borderId="1" xfId="0" applyFont="1" applyFill="1" applyBorder="1" applyAlignment="1">
      <alignment horizontal="center" vertical="center"/>
    </xf>
    <xf numFmtId="0" fontId="50" fillId="58" borderId="1" xfId="0" applyFont="1" applyFill="1" applyBorder="1" applyAlignment="1">
      <alignment horizontal="left" vertical="center"/>
    </xf>
    <xf numFmtId="0" fontId="51" fillId="58" borderId="1" xfId="0" applyFont="1" applyFill="1" applyBorder="1" applyAlignment="1">
      <alignment horizontal="center" vertical="center"/>
    </xf>
    <xf numFmtId="14" fontId="51" fillId="58" borderId="1" xfId="0" applyNumberFormat="1" applyFont="1" applyFill="1" applyBorder="1" applyAlignment="1">
      <alignment horizontal="center" vertical="center"/>
    </xf>
    <xf numFmtId="0" fontId="14" fillId="54" borderId="1" xfId="0" applyFont="1" applyFill="1" applyBorder="1" applyAlignment="1">
      <alignment horizontal="center" vertical="center"/>
    </xf>
    <xf numFmtId="0" fontId="52" fillId="58" borderId="1" xfId="0" applyFont="1" applyFill="1" applyBorder="1" applyAlignment="1">
      <alignment horizontal="center" vertical="center"/>
    </xf>
    <xf numFmtId="0" fontId="52" fillId="57" borderId="1" xfId="0" applyFont="1" applyFill="1" applyBorder="1" applyAlignment="1">
      <alignment horizontal="center" vertical="center"/>
    </xf>
    <xf numFmtId="0" fontId="14" fillId="59" borderId="1" xfId="0" applyFont="1" applyFill="1" applyBorder="1" applyAlignment="1">
      <alignment horizontal="center" vertical="center"/>
    </xf>
    <xf numFmtId="0" fontId="51" fillId="58" borderId="1" xfId="0" applyFont="1" applyFill="1" applyBorder="1" applyAlignment="1">
      <alignment horizontal="center" vertical="center" wrapText="1"/>
    </xf>
    <xf numFmtId="0" fontId="50" fillId="58" borderId="19" xfId="0" applyFont="1" applyFill="1" applyBorder="1" applyAlignment="1">
      <alignment horizontal="center" vertical="center"/>
    </xf>
    <xf numFmtId="0" fontId="50" fillId="58" borderId="19" xfId="0" applyFont="1" applyFill="1" applyBorder="1" applyAlignment="1">
      <alignment horizontal="left" vertical="center"/>
    </xf>
    <xf numFmtId="0" fontId="51" fillId="58" borderId="19" xfId="0" applyFont="1" applyFill="1" applyBorder="1" applyAlignment="1">
      <alignment horizontal="center" vertical="center"/>
    </xf>
    <xf numFmtId="14" fontId="51" fillId="58" borderId="19" xfId="0" applyNumberFormat="1" applyFont="1" applyFill="1" applyBorder="1" applyAlignment="1">
      <alignment horizontal="center" vertical="center"/>
    </xf>
    <xf numFmtId="0" fontId="58" fillId="35" borderId="1" xfId="0" applyFont="1" applyFill="1" applyBorder="1" applyAlignment="1">
      <alignment horizontal="center"/>
    </xf>
    <xf numFmtId="0" fontId="58" fillId="35" borderId="39" xfId="0" applyFont="1" applyFill="1" applyBorder="1" applyAlignment="1">
      <alignment horizontal="center"/>
    </xf>
    <xf numFmtId="0" fontId="50" fillId="58" borderId="1" xfId="0" applyFont="1" applyFill="1" applyBorder="1" applyAlignment="1">
      <alignment horizontal="center"/>
    </xf>
    <xf numFmtId="0" fontId="50" fillId="57" borderId="39" xfId="0" applyFont="1" applyFill="1" applyBorder="1" applyAlignment="1">
      <alignment horizontal="center"/>
    </xf>
    <xf numFmtId="0" fontId="50" fillId="58" borderId="39" xfId="0" applyFont="1" applyFill="1" applyBorder="1" applyAlignment="1">
      <alignment horizontal="center"/>
    </xf>
    <xf numFmtId="0" fontId="30" fillId="27" borderId="37" xfId="0" applyFont="1" applyFill="1" applyBorder="1" applyAlignment="1">
      <alignment horizontal="left" vertical="center"/>
    </xf>
    <xf numFmtId="3" fontId="30" fillId="27" borderId="37" xfId="0" applyNumberFormat="1" applyFont="1" applyFill="1" applyBorder="1" applyAlignment="1">
      <alignment horizontal="center" vertical="center"/>
    </xf>
    <xf numFmtId="3" fontId="44" fillId="16" borderId="37" xfId="0" applyNumberFormat="1" applyFont="1" applyFill="1" applyBorder="1" applyAlignment="1">
      <alignment horizontal="center" vertical="center"/>
    </xf>
    <xf numFmtId="3" fontId="45" fillId="25" borderId="37" xfId="0" applyNumberFormat="1" applyFont="1" applyFill="1" applyBorder="1" applyAlignment="1">
      <alignment horizontal="center" vertical="center"/>
    </xf>
    <xf numFmtId="10" fontId="40" fillId="27" borderId="37" xfId="0" applyNumberFormat="1" applyFont="1" applyFill="1" applyBorder="1" applyAlignment="1">
      <alignment horizontal="center" vertical="center"/>
    </xf>
    <xf numFmtId="3" fontId="46" fillId="24" borderId="37" xfId="0" applyNumberFormat="1" applyFont="1" applyFill="1" applyBorder="1" applyAlignment="1">
      <alignment horizontal="center" vertical="center"/>
    </xf>
    <xf numFmtId="10" fontId="31" fillId="27" borderId="37" xfId="0" applyNumberFormat="1" applyFont="1" applyFill="1" applyBorder="1" applyAlignment="1">
      <alignment horizontal="center" vertical="center"/>
    </xf>
    <xf numFmtId="3" fontId="47" fillId="26" borderId="37" xfId="0" applyNumberFormat="1" applyFont="1" applyFill="1" applyBorder="1" applyAlignment="1">
      <alignment horizontal="center" vertical="center"/>
    </xf>
    <xf numFmtId="10" fontId="33" fillId="27" borderId="37" xfId="0" applyNumberFormat="1" applyFont="1" applyFill="1" applyBorder="1" applyAlignment="1">
      <alignment horizontal="center" vertical="center"/>
    </xf>
    <xf numFmtId="0" fontId="30" fillId="20" borderId="37" xfId="0" applyFont="1" applyFill="1" applyBorder="1" applyAlignment="1">
      <alignment horizontal="left" vertical="center"/>
    </xf>
    <xf numFmtId="3" fontId="30" fillId="20" borderId="37" xfId="0" applyNumberFormat="1" applyFont="1" applyFill="1" applyBorder="1" applyAlignment="1">
      <alignment horizontal="center" vertical="center"/>
    </xf>
    <xf numFmtId="10" fontId="40" fillId="20" borderId="37" xfId="0" applyNumberFormat="1" applyFont="1" applyFill="1" applyBorder="1" applyAlignment="1">
      <alignment horizontal="center" vertical="center"/>
    </xf>
    <xf numFmtId="10" fontId="31" fillId="20" borderId="37" xfId="0" applyNumberFormat="1" applyFont="1" applyFill="1" applyBorder="1" applyAlignment="1">
      <alignment horizontal="center" vertical="center"/>
    </xf>
    <xf numFmtId="10" fontId="33" fillId="20" borderId="37" xfId="0" applyNumberFormat="1" applyFont="1" applyFill="1" applyBorder="1" applyAlignment="1">
      <alignment horizontal="center" vertical="center"/>
    </xf>
    <xf numFmtId="0" fontId="50" fillId="58" borderId="39" xfId="0" applyFont="1" applyFill="1" applyBorder="1" applyAlignment="1">
      <alignment horizontal="center" wrapText="1"/>
    </xf>
    <xf numFmtId="14" fontId="78" fillId="23" borderId="1" xfId="0" applyNumberFormat="1" applyFont="1" applyFill="1" applyBorder="1" applyAlignment="1">
      <alignment horizontal="center" vertical="center"/>
    </xf>
    <xf numFmtId="14" fontId="78" fillId="20" borderId="1" xfId="0" applyNumberFormat="1" applyFont="1" applyFill="1" applyBorder="1" applyAlignment="1">
      <alignment horizontal="center" vertical="center"/>
    </xf>
    <xf numFmtId="0" fontId="51" fillId="57" borderId="1" xfId="0" applyFont="1" applyFill="1" applyBorder="1" applyAlignment="1">
      <alignment horizontal="center" vertical="center" wrapText="1"/>
    </xf>
    <xf numFmtId="20" fontId="0" fillId="0" borderId="0" xfId="0" applyNumberFormat="1"/>
    <xf numFmtId="0" fontId="79" fillId="60" borderId="0" xfId="0" applyFont="1" applyFill="1"/>
    <xf numFmtId="0" fontId="80" fillId="0" borderId="0" xfId="0" applyFont="1"/>
    <xf numFmtId="0" fontId="81" fillId="0" borderId="0" xfId="0" applyFont="1"/>
    <xf numFmtId="0" fontId="80" fillId="61" borderId="0" xfId="0" applyFont="1" applyFill="1"/>
    <xf numFmtId="0" fontId="82" fillId="0" borderId="0" xfId="0" applyFont="1"/>
    <xf numFmtId="0" fontId="83" fillId="0" borderId="40" xfId="0" applyFont="1" applyBorder="1"/>
    <xf numFmtId="0" fontId="84" fillId="0" borderId="41" xfId="0" applyFont="1" applyBorder="1"/>
    <xf numFmtId="0" fontId="83" fillId="0" borderId="42" xfId="0" applyFont="1" applyBorder="1"/>
    <xf numFmtId="0" fontId="84" fillId="0" borderId="43" xfId="0" applyFont="1" applyBorder="1"/>
    <xf numFmtId="0" fontId="65" fillId="43" borderId="0" xfId="0" applyFont="1" applyFill="1" applyAlignment="1">
      <alignment horizontal="center" vertical="center"/>
    </xf>
    <xf numFmtId="0" fontId="51" fillId="34" borderId="0" xfId="0" applyFont="1" applyFill="1" applyAlignment="1">
      <alignment horizontal="center" vertical="center"/>
    </xf>
    <xf numFmtId="0" fontId="4" fillId="43" borderId="0" xfId="0" applyFont="1" applyFill="1" applyAlignment="1">
      <alignment horizontal="center" vertical="center"/>
    </xf>
    <xf numFmtId="0" fontId="1" fillId="2" borderId="0" xfId="0" applyFont="1" applyFill="1" applyAlignment="1">
      <alignment horizontal="center" vertical="center"/>
    </xf>
    <xf numFmtId="0" fontId="4" fillId="0" borderId="0" xfId="0" applyFont="1" applyAlignment="1">
      <alignment horizontal="left" vertical="center"/>
    </xf>
    <xf numFmtId="0" fontId="10" fillId="10" borderId="0" xfId="0" applyFont="1" applyFill="1" applyAlignment="1">
      <alignment horizontal="left" vertical="center"/>
    </xf>
    <xf numFmtId="3" fontId="23" fillId="14" borderId="12" xfId="0" applyNumberFormat="1" applyFont="1" applyFill="1" applyBorder="1" applyAlignment="1">
      <alignment horizontal="center" vertical="center"/>
    </xf>
    <xf numFmtId="0" fontId="22" fillId="16" borderId="5" xfId="0" applyFont="1" applyFill="1" applyBorder="1" applyAlignment="1">
      <alignment horizontal="center" vertical="center"/>
    </xf>
    <xf numFmtId="0" fontId="27" fillId="27" borderId="0" xfId="0" applyFont="1" applyFill="1" applyAlignment="1">
      <alignment horizontal="center" vertical="center"/>
    </xf>
    <xf numFmtId="0" fontId="14" fillId="15" borderId="4" xfId="0" applyFont="1" applyFill="1" applyBorder="1" applyAlignment="1">
      <alignment horizontal="center" vertical="center"/>
    </xf>
    <xf numFmtId="0" fontId="12" fillId="11" borderId="0" xfId="0" applyFont="1" applyFill="1" applyAlignment="1">
      <alignment horizontal="center" vertical="center"/>
    </xf>
    <xf numFmtId="3" fontId="17" fillId="19" borderId="8" xfId="0" applyNumberFormat="1" applyFont="1" applyFill="1" applyBorder="1" applyAlignment="1">
      <alignment horizontal="center" vertical="center"/>
    </xf>
    <xf numFmtId="0" fontId="20" fillId="18" borderId="10" xfId="0" applyFont="1" applyFill="1" applyBorder="1" applyAlignment="1">
      <alignment horizontal="center" vertical="center"/>
    </xf>
    <xf numFmtId="0" fontId="13" fillId="12" borderId="0" xfId="0" applyFont="1" applyFill="1" applyAlignment="1">
      <alignment horizontal="center" vertical="center"/>
    </xf>
    <xf numFmtId="3" fontId="16" fillId="18" borderId="7" xfId="0" applyNumberFormat="1" applyFont="1" applyFill="1" applyBorder="1" applyAlignment="1">
      <alignment horizontal="center" vertical="center"/>
    </xf>
    <xf numFmtId="3" fontId="15" fillId="17" borderId="6" xfId="0" applyNumberFormat="1" applyFont="1" applyFill="1" applyBorder="1" applyAlignment="1">
      <alignment horizontal="center" vertical="center"/>
    </xf>
    <xf numFmtId="0" fontId="19" fillId="17" borderId="9" xfId="0" applyFont="1" applyFill="1" applyBorder="1" applyAlignment="1">
      <alignment horizontal="center" vertical="center"/>
    </xf>
    <xf numFmtId="0" fontId="14" fillId="16" borderId="5" xfId="0" applyFont="1" applyFill="1" applyBorder="1" applyAlignment="1">
      <alignment horizontal="center" vertical="center"/>
    </xf>
    <xf numFmtId="3" fontId="18" fillId="16" borderId="5" xfId="0" applyNumberFormat="1" applyFont="1" applyFill="1" applyBorder="1" applyAlignment="1">
      <alignment horizontal="center" vertical="center"/>
    </xf>
    <xf numFmtId="0" fontId="14" fillId="11" borderId="3" xfId="0" applyFont="1" applyFill="1" applyBorder="1" applyAlignment="1">
      <alignment horizontal="center" vertical="center"/>
    </xf>
    <xf numFmtId="0" fontId="14" fillId="14" borderId="2" xfId="0" applyFont="1" applyFill="1" applyBorder="1" applyAlignment="1">
      <alignment horizontal="center" vertical="center"/>
    </xf>
    <xf numFmtId="0" fontId="21" fillId="19" borderId="11" xfId="0" applyFont="1" applyFill="1" applyBorder="1" applyAlignment="1">
      <alignment horizontal="center" vertical="center"/>
    </xf>
    <xf numFmtId="0" fontId="28" fillId="11" borderId="0" xfId="0" applyFont="1" applyFill="1" applyAlignment="1">
      <alignment horizontal="center" vertical="center"/>
    </xf>
    <xf numFmtId="3" fontId="35" fillId="24" borderId="5" xfId="0" applyNumberFormat="1" applyFont="1" applyFill="1" applyBorder="1" applyAlignment="1">
      <alignment horizontal="center" vertical="center"/>
    </xf>
    <xf numFmtId="3" fontId="34" fillId="23" borderId="5" xfId="0" applyNumberFormat="1" applyFont="1" applyFill="1" applyBorder="1" applyAlignment="1">
      <alignment horizontal="center" vertical="center"/>
    </xf>
    <xf numFmtId="0" fontId="29" fillId="11" borderId="0" xfId="0" applyFont="1" applyFill="1" applyAlignment="1">
      <alignment horizontal="center" vertical="center"/>
    </xf>
    <xf numFmtId="3" fontId="37" fillId="26" borderId="5" xfId="0" applyNumberFormat="1" applyFont="1" applyFill="1" applyBorder="1" applyAlignment="1">
      <alignment horizontal="center" vertical="center"/>
    </xf>
    <xf numFmtId="0" fontId="30" fillId="23" borderId="5" xfId="0" applyFont="1" applyFill="1" applyBorder="1" applyAlignment="1">
      <alignment horizontal="center" vertical="center" wrapText="1"/>
    </xf>
    <xf numFmtId="0" fontId="32" fillId="25" borderId="5" xfId="0" applyFont="1" applyFill="1" applyBorder="1" applyAlignment="1">
      <alignment horizontal="center" vertical="center" wrapText="1"/>
    </xf>
    <xf numFmtId="0" fontId="31" fillId="24" borderId="5" xfId="0" applyFont="1" applyFill="1" applyBorder="1" applyAlignment="1">
      <alignment horizontal="center" vertical="center" wrapText="1"/>
    </xf>
    <xf numFmtId="0" fontId="48" fillId="11" borderId="0" xfId="0" applyFont="1" applyFill="1" applyAlignment="1">
      <alignment horizontal="center" vertical="center"/>
    </xf>
    <xf numFmtId="0" fontId="40" fillId="25" borderId="5" xfId="0" applyFont="1" applyFill="1" applyBorder="1" applyAlignment="1">
      <alignment horizontal="center" vertical="center"/>
    </xf>
    <xf numFmtId="0" fontId="42" fillId="12" borderId="0" xfId="0" applyFont="1" applyFill="1" applyAlignment="1">
      <alignment horizontal="center" vertical="center"/>
    </xf>
    <xf numFmtId="0" fontId="33" fillId="26" borderId="5" xfId="0" applyFont="1" applyFill="1" applyBorder="1" applyAlignment="1">
      <alignment horizontal="center" vertical="center" wrapText="1"/>
    </xf>
    <xf numFmtId="3" fontId="36" fillId="25" borderId="5" xfId="0" applyNumberFormat="1" applyFont="1" applyFill="1" applyBorder="1" applyAlignment="1">
      <alignment horizontal="center" vertical="center"/>
    </xf>
    <xf numFmtId="0" fontId="39" fillId="23" borderId="5" xfId="0" applyFont="1" applyFill="1" applyBorder="1" applyAlignment="1">
      <alignment horizontal="center" vertical="center"/>
    </xf>
    <xf numFmtId="0" fontId="31" fillId="24" borderId="5" xfId="0" applyFont="1" applyFill="1" applyBorder="1" applyAlignment="1">
      <alignment horizontal="center" vertical="center"/>
    </xf>
    <xf numFmtId="0" fontId="41" fillId="26" borderId="5" xfId="0" applyFont="1" applyFill="1" applyBorder="1" applyAlignment="1">
      <alignment horizontal="center" vertical="center"/>
    </xf>
    <xf numFmtId="0" fontId="67" fillId="46" borderId="0" xfId="0" applyFont="1" applyFill="1" applyAlignment="1">
      <alignment horizontal="center" vertical="center"/>
    </xf>
    <xf numFmtId="0" fontId="68" fillId="46" borderId="0" xfId="0" applyFont="1" applyFill="1" applyAlignment="1">
      <alignment horizontal="center" vertical="center"/>
    </xf>
    <xf numFmtId="0" fontId="0" fillId="46" borderId="38" xfId="0" applyFill="1" applyBorder="1" applyAlignment="1">
      <alignment horizontal="center"/>
    </xf>
    <xf numFmtId="0" fontId="76" fillId="47" borderId="0" xfId="0" applyFont="1" applyFill="1" applyAlignment="1">
      <alignment horizontal="center" vertical="center"/>
    </xf>
    <xf numFmtId="0" fontId="49" fillId="55" borderId="0" xfId="0" applyFont="1" applyFill="1" applyAlignment="1">
      <alignment horizontal="center" vertical="center"/>
    </xf>
    <xf numFmtId="0" fontId="4" fillId="2" borderId="0" xfId="0" applyFont="1" applyFill="1" applyAlignment="1">
      <alignment horizontal="center" vertical="center"/>
    </xf>
    <xf numFmtId="0" fontId="12" fillId="2" borderId="0" xfId="0" applyFont="1" applyFill="1" applyAlignment="1">
      <alignment horizontal="center" vertical="center"/>
    </xf>
    <xf numFmtId="0" fontId="1" fillId="29" borderId="0" xfId="0" applyFont="1" applyFill="1" applyAlignment="1">
      <alignment horizontal="center" vertical="center"/>
    </xf>
    <xf numFmtId="0" fontId="53" fillId="30" borderId="0" xfId="0" applyFont="1" applyFill="1" applyAlignment="1">
      <alignment horizontal="left" vertical="center"/>
    </xf>
    <xf numFmtId="0" fontId="1" fillId="32" borderId="0" xfId="0" applyFont="1" applyFill="1" applyAlignment="1">
      <alignment horizontal="center" vertical="center"/>
    </xf>
    <xf numFmtId="0" fontId="56" fillId="33" borderId="0" xfId="0" applyFont="1" applyFill="1" applyAlignment="1">
      <alignment horizontal="left" vertical="center"/>
    </xf>
    <xf numFmtId="0" fontId="2" fillId="44" borderId="0" xfId="0" applyFont="1" applyFill="1" applyAlignment="1">
      <alignment horizontal="center" vertical="center"/>
    </xf>
    <xf numFmtId="0" fontId="12" fillId="3" borderId="0" xfId="0" applyFont="1" applyFill="1" applyAlignment="1">
      <alignment horizontal="center" vertical="center"/>
    </xf>
    <xf numFmtId="0" fontId="2" fillId="3" borderId="23" xfId="0" applyFont="1" applyFill="1" applyBorder="1" applyAlignment="1">
      <alignment horizontal="center" vertical="center"/>
    </xf>
    <xf numFmtId="0" fontId="51" fillId="34" borderId="0" xfId="0" applyFont="1" applyFill="1" applyAlignment="1">
      <alignment horizontal="left" vertical="center"/>
    </xf>
    <xf numFmtId="0" fontId="49" fillId="28" borderId="0" xfId="0" applyFont="1" applyFill="1" applyAlignment="1">
      <alignment horizontal="left" vertical="center"/>
    </xf>
    <xf numFmtId="0" fontId="65" fillId="41" borderId="0" xfId="0" applyFont="1" applyFill="1" applyAlignment="1">
      <alignment horizontal="center" vertical="center"/>
    </xf>
    <xf numFmtId="0" fontId="4" fillId="41" borderId="0" xfId="0" applyFont="1" applyFill="1" applyAlignment="1">
      <alignment horizontal="center" vertical="center"/>
    </xf>
    <xf numFmtId="0" fontId="65" fillId="37" borderId="0" xfId="0" applyFont="1" applyFill="1" applyAlignment="1">
      <alignment horizontal="center" vertical="center"/>
    </xf>
    <xf numFmtId="0" fontId="4" fillId="37" borderId="0" xfId="0" applyFont="1" applyFill="1" applyAlignment="1">
      <alignment horizontal="center" vertical="center"/>
    </xf>
    <xf numFmtId="0" fontId="65" fillId="42" borderId="0" xfId="0" applyFont="1" applyFill="1" applyAlignment="1">
      <alignment horizontal="center" vertical="center"/>
    </xf>
    <xf numFmtId="0" fontId="4" fillId="42" borderId="0" xfId="0" applyFont="1" applyFill="1" applyAlignment="1">
      <alignment horizontal="center" vertical="center"/>
    </xf>
    <xf numFmtId="0" fontId="65" fillId="38" borderId="0" xfId="0" applyFont="1" applyFill="1" applyAlignment="1">
      <alignment horizontal="center" vertical="center"/>
    </xf>
    <xf numFmtId="0" fontId="4" fillId="38" borderId="0" xfId="0" applyFont="1" applyFill="1" applyAlignment="1">
      <alignment horizontal="center" vertical="center"/>
    </xf>
    <xf numFmtId="0" fontId="65" fillId="4" borderId="0" xfId="0" applyFont="1" applyFill="1" applyAlignment="1">
      <alignment horizontal="center" vertical="center"/>
    </xf>
    <xf numFmtId="0" fontId="4" fillId="4" borderId="0" xfId="0" applyFont="1" applyFill="1" applyAlignment="1">
      <alignment horizontal="center" vertical="center"/>
    </xf>
    <xf numFmtId="0" fontId="65" fillId="7" borderId="0" xfId="0" applyFont="1" applyFill="1" applyAlignment="1">
      <alignment horizontal="center" vertical="center"/>
    </xf>
    <xf numFmtId="0" fontId="4" fillId="7" borderId="0" xfId="0" applyFont="1" applyFill="1" applyAlignment="1">
      <alignment horizontal="center" vertical="center"/>
    </xf>
    <xf numFmtId="0" fontId="65" fillId="9" borderId="0" xfId="0" applyFont="1" applyFill="1" applyAlignment="1">
      <alignment horizontal="center" vertical="center"/>
    </xf>
    <xf numFmtId="0" fontId="4" fillId="9" borderId="0" xfId="0" applyFont="1" applyFill="1" applyAlignment="1">
      <alignment horizontal="center" vertical="center"/>
    </xf>
    <xf numFmtId="0" fontId="0" fillId="0" borderId="0" xfId="0" applyAlignment="1"/>
    <xf numFmtId="0" fontId="0" fillId="0" borderId="24" xfId="0" applyBorder="1" applyAlignment="1"/>
    <xf numFmtId="0" fontId="0" fillId="0" borderId="25" xfId="0" applyBorder="1" applyAlignment="1"/>
    <xf numFmtId="0" fontId="0" fillId="0" borderId="26" xfId="0" applyBorder="1" applyAlignment="1"/>
    <xf numFmtId="0" fontId="0" fillId="0" borderId="27" xfId="0" applyBorder="1" applyAlignment="1"/>
    <xf numFmtId="0" fontId="0" fillId="0" borderId="28" xfId="0" applyBorder="1" applyAlignment="1"/>
    <xf numFmtId="0" fontId="0" fillId="0" borderId="29" xfId="0" applyBorder="1" applyAlignment="1"/>
    <xf numFmtId="0" fontId="0" fillId="0" borderId="30" xfId="0" applyBorder="1" applyAlignment="1"/>
    <xf numFmtId="0" fontId="0" fillId="0" borderId="31" xfId="0" applyBorder="1" applyAlignment="1"/>
    <xf numFmtId="0" fontId="0" fillId="0" borderId="32" xfId="0" applyBorder="1" applyAlignment="1"/>
    <xf numFmtId="0" fontId="0" fillId="0" borderId="33" xfId="0" applyBorder="1" applyAlignment="1"/>
    <xf numFmtId="0" fontId="0" fillId="0" borderId="12" xfId="0" applyBorder="1" applyAlignment="1"/>
    <xf numFmtId="0" fontId="0" fillId="11" borderId="0" xfId="0" applyFill="1" applyAlignment="1"/>
    <xf numFmtId="0" fontId="43" fillId="46" borderId="34" xfId="0" applyFont="1" applyFill="1" applyBorder="1" applyAlignment="1">
      <alignment horizontal="center" vertical="center" wrapText="1"/>
    </xf>
    <xf numFmtId="0" fontId="43" fillId="47" borderId="34" xfId="0" applyFont="1" applyFill="1" applyBorder="1" applyAlignment="1">
      <alignment horizontal="center" vertical="center" wrapText="1"/>
    </xf>
    <xf numFmtId="0" fontId="0" fillId="0" borderId="35" xfId="0" applyBorder="1" applyAlignment="1"/>
    <xf numFmtId="0" fontId="43" fillId="46" borderId="34" xfId="0" applyFont="1" applyFill="1" applyBorder="1" applyAlignment="1">
      <alignment horizontal="center" vertical="center" wrapText="1"/>
    </xf>
    <xf numFmtId="3" fontId="30" fillId="52" borderId="37" xfId="0" applyNumberFormat="1" applyFont="1" applyFill="1" applyBorder="1" applyAlignment="1">
      <alignment horizontal="center" vertical="center"/>
    </xf>
    <xf numFmtId="3" fontId="46" fillId="49" borderId="37" xfId="0" applyNumberFormat="1" applyFont="1" applyFill="1" applyBorder="1" applyAlignment="1">
      <alignment horizontal="center" vertical="center"/>
    </xf>
    <xf numFmtId="3" fontId="33" fillId="50" borderId="37" xfId="0" applyNumberFormat="1" applyFont="1" applyFill="1" applyBorder="1" applyAlignment="1">
      <alignment horizontal="center" vertical="center"/>
    </xf>
    <xf numFmtId="10" fontId="31" fillId="52" borderId="37" xfId="0" applyNumberFormat="1" applyFont="1" applyFill="1" applyBorder="1" applyAlignment="1">
      <alignment horizontal="center" vertical="center"/>
    </xf>
    <xf numFmtId="3" fontId="45" fillId="51" borderId="37" xfId="0" applyNumberFormat="1" applyFont="1" applyFill="1" applyBorder="1" applyAlignment="1">
      <alignment horizontal="center" vertical="center"/>
    </xf>
    <xf numFmtId="10" fontId="40" fillId="52" borderId="37" xfId="0" applyNumberFormat="1" applyFont="1" applyFill="1" applyBorder="1" applyAlignment="1">
      <alignment horizontal="center" vertical="center"/>
    </xf>
    <xf numFmtId="3" fontId="30" fillId="53" borderId="37" xfId="0" applyNumberFormat="1" applyFont="1" applyFill="1" applyBorder="1" applyAlignment="1">
      <alignment horizontal="center" vertical="center"/>
    </xf>
    <xf numFmtId="10" fontId="31" fillId="53" borderId="37" xfId="0" applyNumberFormat="1" applyFont="1" applyFill="1" applyBorder="1" applyAlignment="1">
      <alignment horizontal="center" vertical="center"/>
    </xf>
    <xf numFmtId="10" fontId="40" fillId="53" borderId="37" xfId="0" applyNumberFormat="1" applyFont="1" applyFill="1" applyBorder="1" applyAlignment="1">
      <alignment horizontal="center" vertical="center"/>
    </xf>
    <xf numFmtId="0" fontId="45" fillId="51" borderId="36" xfId="0" applyFont="1" applyFill="1" applyBorder="1" applyAlignment="1">
      <alignment horizontal="left" vertical="center"/>
    </xf>
    <xf numFmtId="3" fontId="45" fillId="51" borderId="36" xfId="0" applyNumberFormat="1" applyFont="1" applyFill="1" applyBorder="1" applyAlignment="1">
      <alignment horizontal="center" vertical="center"/>
    </xf>
    <xf numFmtId="10" fontId="45" fillId="51" borderId="36" xfId="0" applyNumberFormat="1" applyFont="1" applyFill="1" applyBorder="1" applyAlignment="1">
      <alignment horizontal="center" vertical="center"/>
    </xf>
    <xf numFmtId="0" fontId="48" fillId="46" borderId="0" xfId="0" applyFont="1" applyFill="1" applyAlignment="1">
      <alignment horizontal="center" vertical="center"/>
    </xf>
    <xf numFmtId="0" fontId="0" fillId="0" borderId="21" xfId="0" applyBorder="1" applyAlignment="1"/>
  </cellXfs>
  <cellStyles count="1">
    <cellStyle name="Normal" xfId="0" builtinId="0"/>
  </cellStyles>
  <dxfs count="60">
    <dxf>
      <font>
        <b/>
        <sz val="9"/>
        <color rgb="FFFFFFFF"/>
        <name val="Arial"/>
        <charset val="1"/>
      </font>
      <fill>
        <patternFill>
          <bgColor rgb="FFC0392B"/>
        </patternFill>
      </fill>
    </dxf>
    <dxf>
      <font>
        <b/>
        <sz val="9"/>
        <color rgb="FFFFFFFF"/>
        <name val="Arial"/>
        <charset val="1"/>
      </font>
      <fill>
        <patternFill>
          <bgColor rgb="FF1ABC9C"/>
        </patternFill>
      </fill>
    </dxf>
    <dxf>
      <font>
        <b/>
        <sz val="9"/>
        <color rgb="FFFFFFFF"/>
        <name val="Arial"/>
        <charset val="1"/>
      </font>
      <fill>
        <patternFill>
          <bgColor rgb="FF8E44AD"/>
        </patternFill>
      </fill>
    </dxf>
    <dxf>
      <font>
        <b/>
        <sz val="9"/>
        <color rgb="FFFFFFFF"/>
        <name val="Arial"/>
        <charset val="1"/>
      </font>
      <fill>
        <patternFill>
          <bgColor rgb="FF2E86C1"/>
        </patternFill>
      </fill>
    </dxf>
    <dxf>
      <font>
        <b/>
        <sz val="9"/>
        <color rgb="FFFFFFFF"/>
        <name val="Arial"/>
        <charset val="1"/>
      </font>
      <fill>
        <patternFill>
          <bgColor rgb="FFF39C12"/>
        </patternFill>
      </fill>
    </dxf>
    <dxf>
      <font>
        <b/>
        <sz val="9"/>
        <color rgb="FFFFFFFF"/>
        <name val="Arial"/>
        <charset val="1"/>
      </font>
      <fill>
        <patternFill>
          <bgColor rgb="FF27AE60"/>
        </patternFill>
      </fill>
    </dxf>
    <dxf>
      <font>
        <b/>
        <sz val="9"/>
        <color rgb="FFFFFFFF"/>
        <name val="Arial"/>
        <charset val="1"/>
      </font>
      <fill>
        <patternFill>
          <bgColor rgb="FFC0392B"/>
        </patternFill>
      </fill>
    </dxf>
    <dxf>
      <font>
        <b/>
        <sz val="9"/>
        <color rgb="FFFFFFFF"/>
        <name val="Arial"/>
        <charset val="1"/>
      </font>
      <fill>
        <patternFill>
          <bgColor rgb="FF1ABC9C"/>
        </patternFill>
      </fill>
    </dxf>
    <dxf>
      <font>
        <b/>
        <sz val="9"/>
        <color rgb="FFFFFFFF"/>
        <name val="Arial"/>
        <charset val="1"/>
      </font>
      <fill>
        <patternFill>
          <bgColor rgb="FF8E44AD"/>
        </patternFill>
      </fill>
    </dxf>
    <dxf>
      <font>
        <b/>
        <sz val="9"/>
        <color rgb="FFFFFFFF"/>
        <name val="Arial"/>
        <charset val="1"/>
      </font>
      <fill>
        <patternFill>
          <bgColor rgb="FF2E86C1"/>
        </patternFill>
      </fill>
    </dxf>
    <dxf>
      <font>
        <b/>
        <sz val="9"/>
        <color rgb="FFFFFFFF"/>
        <name val="Arial"/>
        <charset val="1"/>
      </font>
      <fill>
        <patternFill>
          <bgColor rgb="FFF39C12"/>
        </patternFill>
      </fill>
    </dxf>
    <dxf>
      <font>
        <b/>
        <sz val="9"/>
        <color rgb="FFFFFFFF"/>
        <name val="Arial"/>
        <charset val="1"/>
      </font>
      <fill>
        <patternFill>
          <bgColor rgb="FF27AE60"/>
        </patternFill>
      </fill>
    </dxf>
    <dxf>
      <font>
        <b/>
        <sz val="9"/>
        <color rgb="FFFFFFFF"/>
        <name val="Arial"/>
        <charset val="1"/>
      </font>
      <fill>
        <patternFill>
          <bgColor rgb="FFC0392B"/>
        </patternFill>
      </fill>
    </dxf>
    <dxf>
      <font>
        <b/>
        <sz val="9"/>
        <color rgb="FFFFFFFF"/>
        <name val="Arial"/>
        <charset val="1"/>
      </font>
      <fill>
        <patternFill>
          <bgColor rgb="FF1ABC9C"/>
        </patternFill>
      </fill>
    </dxf>
    <dxf>
      <font>
        <b/>
        <sz val="9"/>
        <color rgb="FFFFFFFF"/>
        <name val="Arial"/>
        <charset val="1"/>
      </font>
      <fill>
        <patternFill>
          <bgColor rgb="FF8E44AD"/>
        </patternFill>
      </fill>
    </dxf>
    <dxf>
      <font>
        <b/>
        <sz val="9"/>
        <color rgb="FFFFFFFF"/>
        <name val="Arial"/>
        <charset val="1"/>
      </font>
      <fill>
        <patternFill>
          <bgColor rgb="FF2E86C1"/>
        </patternFill>
      </fill>
    </dxf>
    <dxf>
      <font>
        <b/>
        <sz val="9"/>
        <color rgb="FFFFFFFF"/>
        <name val="Arial"/>
        <charset val="1"/>
      </font>
      <fill>
        <patternFill>
          <bgColor rgb="FFF39C12"/>
        </patternFill>
      </fill>
    </dxf>
    <dxf>
      <font>
        <b/>
        <sz val="9"/>
        <color rgb="FFFFFFFF"/>
        <name val="Arial"/>
        <charset val="1"/>
      </font>
      <fill>
        <patternFill>
          <bgColor rgb="FF27AE60"/>
        </patternFill>
      </fill>
    </dxf>
    <dxf>
      <font>
        <b/>
        <sz val="9"/>
        <color rgb="FFFFFFFF"/>
        <name val="Arial"/>
        <charset val="1"/>
      </font>
      <fill>
        <patternFill>
          <bgColor rgb="FFC0392B"/>
        </patternFill>
      </fill>
    </dxf>
    <dxf>
      <font>
        <b/>
        <sz val="9"/>
        <color rgb="FFFFFFFF"/>
        <name val="Arial"/>
        <charset val="1"/>
      </font>
      <fill>
        <patternFill>
          <bgColor rgb="FF1ABC9C"/>
        </patternFill>
      </fill>
    </dxf>
    <dxf>
      <font>
        <b/>
        <sz val="9"/>
        <color rgb="FFFFFFFF"/>
        <name val="Arial"/>
        <charset val="1"/>
      </font>
      <fill>
        <patternFill>
          <bgColor rgb="FF8E44AD"/>
        </patternFill>
      </fill>
    </dxf>
    <dxf>
      <font>
        <b/>
        <sz val="9"/>
        <color rgb="FFFFFFFF"/>
        <name val="Arial"/>
        <charset val="1"/>
      </font>
      <fill>
        <patternFill>
          <bgColor rgb="FF2E86C1"/>
        </patternFill>
      </fill>
    </dxf>
    <dxf>
      <font>
        <b/>
        <sz val="9"/>
        <color rgb="FFFFFFFF"/>
        <name val="Arial"/>
        <charset val="1"/>
      </font>
      <fill>
        <patternFill>
          <bgColor rgb="FFF39C12"/>
        </patternFill>
      </fill>
    </dxf>
    <dxf>
      <font>
        <b/>
        <sz val="9"/>
        <color rgb="FFFFFFFF"/>
        <name val="Arial"/>
        <charset val="1"/>
      </font>
      <fill>
        <patternFill>
          <bgColor rgb="FF27AE60"/>
        </patternFill>
      </fill>
    </dxf>
    <dxf>
      <font>
        <b/>
        <sz val="9"/>
        <color rgb="FFFFFFFF"/>
        <name val="Arial"/>
        <charset val="1"/>
      </font>
      <fill>
        <patternFill>
          <bgColor rgb="FFC0392B"/>
        </patternFill>
      </fill>
    </dxf>
    <dxf>
      <font>
        <b/>
        <sz val="9"/>
        <color rgb="FFFFFFFF"/>
        <name val="Arial"/>
        <charset val="1"/>
      </font>
      <fill>
        <patternFill>
          <bgColor rgb="FF1ABC9C"/>
        </patternFill>
      </fill>
    </dxf>
    <dxf>
      <font>
        <b/>
        <sz val="9"/>
        <color rgb="FFFFFFFF"/>
        <name val="Arial"/>
        <charset val="1"/>
      </font>
      <fill>
        <patternFill>
          <bgColor rgb="FF8E44AD"/>
        </patternFill>
      </fill>
    </dxf>
    <dxf>
      <font>
        <b/>
        <sz val="9"/>
        <color rgb="FFFFFFFF"/>
        <name val="Arial"/>
        <charset val="1"/>
      </font>
      <fill>
        <patternFill>
          <bgColor rgb="FF2E86C1"/>
        </patternFill>
      </fill>
    </dxf>
    <dxf>
      <font>
        <b/>
        <sz val="9"/>
        <color rgb="FFFFFFFF"/>
        <name val="Arial"/>
        <charset val="1"/>
      </font>
      <fill>
        <patternFill>
          <bgColor rgb="FFF39C12"/>
        </patternFill>
      </fill>
    </dxf>
    <dxf>
      <font>
        <b/>
        <sz val="9"/>
        <color rgb="FFFFFFFF"/>
        <name val="Arial"/>
        <charset val="1"/>
      </font>
      <fill>
        <patternFill>
          <bgColor rgb="FF27AE60"/>
        </patternFill>
      </fill>
    </dxf>
    <dxf>
      <font>
        <b/>
        <sz val="9"/>
        <color rgb="FFFFFFFF"/>
        <name val="Arial"/>
        <charset val="1"/>
      </font>
      <fill>
        <patternFill>
          <bgColor rgb="FFC0392B"/>
        </patternFill>
      </fill>
    </dxf>
    <dxf>
      <font>
        <b/>
        <sz val="9"/>
        <color rgb="FFFFFFFF"/>
        <name val="Arial"/>
        <charset val="1"/>
      </font>
      <fill>
        <patternFill>
          <bgColor rgb="FF1ABC9C"/>
        </patternFill>
      </fill>
    </dxf>
    <dxf>
      <font>
        <b/>
        <sz val="9"/>
        <color rgb="FFFFFFFF"/>
        <name val="Arial"/>
        <charset val="1"/>
      </font>
      <fill>
        <patternFill>
          <bgColor rgb="FF8E44AD"/>
        </patternFill>
      </fill>
    </dxf>
    <dxf>
      <font>
        <b/>
        <sz val="9"/>
        <color rgb="FFFFFFFF"/>
        <name val="Arial"/>
        <charset val="1"/>
      </font>
      <fill>
        <patternFill>
          <bgColor rgb="FF2E86C1"/>
        </patternFill>
      </fill>
    </dxf>
    <dxf>
      <font>
        <b/>
        <sz val="9"/>
        <color rgb="FFFFFFFF"/>
        <name val="Arial"/>
        <charset val="1"/>
      </font>
      <fill>
        <patternFill>
          <bgColor rgb="FFF39C12"/>
        </patternFill>
      </fill>
    </dxf>
    <dxf>
      <font>
        <b/>
        <sz val="9"/>
        <color rgb="FFFFFFFF"/>
        <name val="Arial"/>
        <charset val="1"/>
      </font>
      <fill>
        <patternFill>
          <bgColor rgb="FF27AE60"/>
        </patternFill>
      </fill>
    </dxf>
    <dxf>
      <font>
        <b/>
        <sz val="9"/>
        <color rgb="FFFFFFFF"/>
        <name val="Arial"/>
        <charset val="1"/>
      </font>
      <fill>
        <patternFill>
          <bgColor rgb="FFC0392B"/>
        </patternFill>
      </fill>
    </dxf>
    <dxf>
      <font>
        <b/>
        <sz val="9"/>
        <color rgb="FFFFFFFF"/>
        <name val="Arial"/>
        <charset val="1"/>
      </font>
      <fill>
        <patternFill>
          <bgColor rgb="FF1ABC9C"/>
        </patternFill>
      </fill>
    </dxf>
    <dxf>
      <font>
        <b/>
        <sz val="9"/>
        <color rgb="FFFFFFFF"/>
        <name val="Arial"/>
        <charset val="1"/>
      </font>
      <fill>
        <patternFill>
          <bgColor rgb="FF8E44AD"/>
        </patternFill>
      </fill>
    </dxf>
    <dxf>
      <font>
        <b/>
        <sz val="9"/>
        <color rgb="FFFFFFFF"/>
        <name val="Arial"/>
        <charset val="1"/>
      </font>
      <fill>
        <patternFill>
          <bgColor rgb="FF2E86C1"/>
        </patternFill>
      </fill>
    </dxf>
    <dxf>
      <font>
        <b/>
        <sz val="9"/>
        <color rgb="FFFFFFFF"/>
        <name val="Arial"/>
        <charset val="1"/>
      </font>
      <fill>
        <patternFill>
          <bgColor rgb="FFF39C12"/>
        </patternFill>
      </fill>
    </dxf>
    <dxf>
      <font>
        <b/>
        <sz val="9"/>
        <color rgb="FFFFFFFF"/>
        <name val="Arial"/>
        <charset val="1"/>
      </font>
      <fill>
        <patternFill>
          <bgColor rgb="FF27AE60"/>
        </patternFill>
      </fill>
    </dxf>
    <dxf>
      <font>
        <b/>
        <sz val="9"/>
        <color rgb="FFFFFFFF"/>
        <name val="Arial"/>
        <charset val="1"/>
      </font>
      <fill>
        <patternFill>
          <bgColor rgb="FFC0392B"/>
        </patternFill>
      </fill>
    </dxf>
    <dxf>
      <font>
        <b/>
        <sz val="9"/>
        <color rgb="FFFFFFFF"/>
        <name val="Arial"/>
        <charset val="1"/>
      </font>
      <fill>
        <patternFill>
          <bgColor rgb="FF1ABC9C"/>
        </patternFill>
      </fill>
    </dxf>
    <dxf>
      <font>
        <b/>
        <sz val="9"/>
        <color rgb="FFFFFFFF"/>
        <name val="Arial"/>
        <charset val="1"/>
      </font>
      <fill>
        <patternFill>
          <bgColor rgb="FF8E44AD"/>
        </patternFill>
      </fill>
    </dxf>
    <dxf>
      <font>
        <b/>
        <sz val="9"/>
        <color rgb="FFFFFFFF"/>
        <name val="Arial"/>
        <charset val="1"/>
      </font>
      <fill>
        <patternFill>
          <bgColor rgb="FF2E86C1"/>
        </patternFill>
      </fill>
    </dxf>
    <dxf>
      <font>
        <b/>
        <sz val="9"/>
        <color rgb="FFFFFFFF"/>
        <name val="Arial"/>
        <charset val="1"/>
      </font>
      <fill>
        <patternFill>
          <bgColor rgb="FFF39C12"/>
        </patternFill>
      </fill>
    </dxf>
    <dxf>
      <font>
        <b/>
        <sz val="9"/>
        <color rgb="FFFFFFFF"/>
        <name val="Arial"/>
        <charset val="1"/>
      </font>
      <fill>
        <patternFill>
          <bgColor rgb="FF27AE60"/>
        </patternFill>
      </fill>
    </dxf>
    <dxf>
      <font>
        <b/>
        <sz val="9"/>
        <color rgb="FFC0392B"/>
        <name val="Arial"/>
        <charset val="1"/>
      </font>
      <fill>
        <patternFill>
          <bgColor rgb="FFFADBD8"/>
        </patternFill>
      </fill>
    </dxf>
    <dxf>
      <font>
        <b/>
        <sz val="9"/>
        <color rgb="FFFFFFFF"/>
        <name val="Arial"/>
        <charset val="1"/>
      </font>
      <fill>
        <patternFill>
          <bgColor rgb="FFD68910"/>
        </patternFill>
      </fill>
    </dxf>
    <dxf>
      <font>
        <b/>
        <sz val="9"/>
        <color rgb="FFFFFFFF"/>
        <name val="Arial"/>
        <charset val="1"/>
      </font>
      <fill>
        <patternFill>
          <bgColor rgb="FF922B21"/>
        </patternFill>
      </fill>
    </dxf>
    <dxf>
      <font>
        <b/>
        <sz val="9"/>
        <color rgb="FFFFFFFF"/>
        <name val="Arial"/>
        <charset val="1"/>
      </font>
      <fill>
        <patternFill>
          <bgColor rgb="FF1A6AA6"/>
        </patternFill>
      </fill>
    </dxf>
    <dxf>
      <font>
        <b/>
        <sz val="9"/>
        <color rgb="FFFFFFFF"/>
        <name val="Arial"/>
        <charset val="1"/>
      </font>
      <fill>
        <patternFill>
          <bgColor rgb="FF1E8449"/>
        </patternFill>
      </fill>
    </dxf>
    <dxf>
      <font>
        <color rgb="FF9C0006"/>
      </font>
      <fill>
        <patternFill>
          <bgColor rgb="FFFFC7CE"/>
        </patternFill>
      </fill>
    </dxf>
    <dxf>
      <font>
        <b/>
        <sz val="9"/>
        <color rgb="FFFFFFFF"/>
        <name val="Arial"/>
        <charset val="1"/>
      </font>
      <fill>
        <patternFill>
          <bgColor rgb="FFC0392B"/>
        </patternFill>
      </fill>
    </dxf>
    <dxf>
      <font>
        <b/>
        <sz val="9"/>
        <color rgb="FFFFFFFF"/>
        <name val="Arial"/>
        <charset val="1"/>
      </font>
      <fill>
        <patternFill>
          <bgColor rgb="FF1ABC9C"/>
        </patternFill>
      </fill>
    </dxf>
    <dxf>
      <font>
        <b/>
        <sz val="9"/>
        <color rgb="FFFFFFFF"/>
        <name val="Arial"/>
        <charset val="1"/>
      </font>
      <fill>
        <patternFill>
          <bgColor rgb="FF8E44AD"/>
        </patternFill>
      </fill>
    </dxf>
    <dxf>
      <font>
        <b/>
        <sz val="9"/>
        <color rgb="FFFFFFFF"/>
        <name val="Arial"/>
        <charset val="1"/>
      </font>
      <fill>
        <patternFill>
          <bgColor rgb="FF2E86C1"/>
        </patternFill>
      </fill>
    </dxf>
    <dxf>
      <font>
        <b/>
        <sz val="9"/>
        <color rgb="FFFFFFFF"/>
        <name val="Arial"/>
        <charset val="1"/>
      </font>
      <fill>
        <patternFill>
          <bgColor rgb="FFF39C12"/>
        </patternFill>
      </fill>
    </dxf>
    <dxf>
      <font>
        <b/>
        <sz val="9"/>
        <color rgb="FFFFFFFF"/>
        <name val="Arial"/>
        <charset val="1"/>
      </font>
      <fill>
        <patternFill>
          <bgColor rgb="FF27AE60"/>
        </patternFill>
      </fill>
    </dxf>
  </dxfs>
  <tableStyles count="0" defaultTableStyle="TableStyleMedium2" defaultPivotStyle="PivotStyleLight16"/>
  <colors>
    <indexedColors>
      <rgbColor rgb="FF000000"/>
      <rgbColor rgb="FFFFFFFF"/>
      <rgbColor rgb="FFFF0000"/>
      <rgbColor rgb="FF1E8449"/>
      <rgbColor rgb="FF0000FF"/>
      <rgbColor rgb="FFE8F5E9"/>
      <rgbColor rgb="FFF3F2F4"/>
      <rgbColor rgb="FFEBF7FA"/>
      <rgbColor rgb="FF7B241C"/>
      <rgbColor rgb="FF1F783E"/>
      <rgbColor rgb="FF1A5276"/>
      <rgbColor rgb="FF79490D"/>
      <rgbColor rgb="FF7030A0"/>
      <rgbColor rgb="FF00796B"/>
      <rgbColor rgb="FFBDBDBD"/>
      <rgbColor rgb="FF888989"/>
      <rgbColor rgb="FF2E86C1"/>
      <rgbColor rgb="FF6C3483"/>
      <rgbColor rgb="FFFFFFCC"/>
      <rgbColor rgb="FFE3F2FD"/>
      <rgbColor rgb="FF1B5E20"/>
      <rgbColor rgb="FFECEFF1"/>
      <rgbColor rgb="FF1768B3"/>
      <rgbColor rgb="FFD5D8DC"/>
      <rgbColor rgb="FF00623B"/>
      <rgbColor rgb="FFF4F6F4"/>
      <rgbColor rgb="FFE0E0E0"/>
      <rgbColor rgb="FFF2F3F4"/>
      <rgbColor rgb="FF2F7F33"/>
      <rgbColor rgb="FFC0392B"/>
      <rgbColor rgb="FF098E78"/>
      <rgbColor rgb="FFF9F9F9"/>
      <rgbColor rgb="FF16A085"/>
      <rgbColor rgb="FFD6EAF8"/>
      <rgbColor rgb="FFD5F5E3"/>
      <rgbColor rgb="FFFEF9E7"/>
      <rgbColor rgb="FFBBDEFB"/>
      <rgbColor rgb="FFFADBD8"/>
      <rgbColor rgb="FFCCCCCC"/>
      <rgbColor rgb="FFFAD7A0"/>
      <rgbColor rgb="FF2980B9"/>
      <rgbColor rgb="FF1ABC9C"/>
      <rgbColor rgb="FFC8E6C9"/>
      <rgbColor rgb="FFD4AC0D"/>
      <rgbColor rgb="FFF39C12"/>
      <rgbColor rgb="FFEA831E"/>
      <rgbColor rgb="FF884EA0"/>
      <rgbColor rgb="FFA7DDB5"/>
      <rgbColor rgb="FF0D47A1"/>
      <rgbColor rgb="FF28AD5F"/>
      <rgbColor rgb="FF18262B"/>
      <rgbColor rgb="FF38474F"/>
      <rgbColor rgb="FF922B21"/>
      <rgbColor rgb="FF8E44AD"/>
      <rgbColor rgb="FF2C3E50"/>
      <rgbColor rgb="FF26323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5CD304-8215-4E28-A86B-6BD848C3A9B0}" name="TB_CONTROL" displayName="TB_CONTROL" ref="A5:M4235" totalsRowShown="0">
  <autoFilter ref="A5:M4235" xr:uid="{9E5CD304-8215-4E28-A86B-6BD848C3A9B0}"/>
  <tableColumns count="13">
    <tableColumn id="1" xr3:uid="{84113567-F8DE-4323-9719-1FC1339D58A8}" name="CLAVE"/>
    <tableColumn id="2" xr3:uid="{F72ACB05-1F8B-426F-9E19-D727C19B31D2}" name="ID PUNTO"/>
    <tableColumn id="3" xr3:uid="{018BC695-DEAA-46EA-A274-6968EC9C7994}" name="NOMBRE DEL SITIO"/>
    <tableColumn id="4" xr3:uid="{F30E59D7-279F-41B1-A457-F7C990352FF8}" name="ESTADO"/>
    <tableColumn id="5" xr3:uid="{FFA8F8A5-DCAF-4F87-8177-36513F811000}" name="MUNICIPIO"/>
    <tableColumn id="6" xr3:uid="{7CA54A8F-434F-4D82-BB56-5E5CF893AE70}" name="LOCALIDAD"/>
    <tableColumn id="7" xr3:uid="{A43B2511-B064-446E-AB50-A9016B0A6BB5}" name="ÁMBITO"/>
    <tableColumn id="8" xr3:uid="{5536E20F-3973-459F-8BE1-8470850C057C}" name="GERENCIA (GRT)"/>
    <tableColumn id="9" xr3:uid="{6486F90E-E0E0-4AC7-9A74-DC2EB5A9E4C6}" name="ALMACÉN"/>
    <tableColumn id="10" xr3:uid="{B7B15211-E5C2-4F40-A519-483DC1454BB0}" name="INSTITUCIÓN"/>
    <tableColumn id="11" xr3:uid="{A4EAC337-2840-4C74-98EF-17470AD061E0}" name="▼ ESTATUS"/>
    <tableColumn id="12" xr3:uid="{26A1F73B-A601-43CB-B2AF-B5736183BCDC}" name="FECHA ACTUALIZACIÓN"/>
    <tableColumn id="13" xr3:uid="{F4210EB8-B345-47C3-AC88-62DA2AF038DC}" name="COMENTARIO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A4A4A"/>
  </sheetPr>
  <dimension ref="A1:F18"/>
  <sheetViews>
    <sheetView showGridLines="0" zoomScaleNormal="100" workbookViewId="0">
      <selection activeCell="A12" sqref="A12"/>
    </sheetView>
  </sheetViews>
  <sheetFormatPr defaultColWidth="8.7109375" defaultRowHeight="15"/>
  <cols>
    <col min="1" max="1" width="28" customWidth="1"/>
    <col min="2" max="2" width="8" customWidth="1"/>
    <col min="3" max="3" width="55" customWidth="1"/>
    <col min="4" max="4" width="45" customWidth="1"/>
  </cols>
  <sheetData>
    <row r="1" spans="1:6" ht="30" customHeight="1">
      <c r="A1" s="195" t="s">
        <v>0</v>
      </c>
      <c r="B1" s="260"/>
      <c r="C1" s="260"/>
      <c r="D1" s="260"/>
      <c r="E1" s="260"/>
      <c r="F1" s="260"/>
    </row>
    <row r="3" spans="1:6" ht="15" customHeight="1">
      <c r="A3" s="1" t="s">
        <v>1</v>
      </c>
      <c r="B3" s="1" t="s">
        <v>2</v>
      </c>
      <c r="C3" s="1" t="s">
        <v>3</v>
      </c>
      <c r="D3" s="1" t="s">
        <v>4</v>
      </c>
    </row>
    <row r="4" spans="1:6" ht="27.75" customHeight="1">
      <c r="A4" s="2" t="s">
        <v>5</v>
      </c>
      <c r="B4" s="3" t="s">
        <v>6</v>
      </c>
      <c r="C4" s="4" t="s">
        <v>7</v>
      </c>
      <c r="D4" s="4" t="s">
        <v>8</v>
      </c>
    </row>
    <row r="5" spans="1:6" ht="27.75" customHeight="1">
      <c r="A5" s="5" t="s">
        <v>9</v>
      </c>
      <c r="B5" s="6" t="s">
        <v>6</v>
      </c>
      <c r="C5" s="4" t="s">
        <v>10</v>
      </c>
      <c r="D5" s="4" t="s">
        <v>11</v>
      </c>
    </row>
    <row r="6" spans="1:6" ht="27.75" customHeight="1">
      <c r="A6" s="7" t="s">
        <v>12</v>
      </c>
      <c r="B6" s="8" t="s">
        <v>6</v>
      </c>
      <c r="C6" s="4" t="s">
        <v>13</v>
      </c>
      <c r="D6" s="4" t="s">
        <v>14</v>
      </c>
    </row>
    <row r="7" spans="1:6" ht="27.75" customHeight="1">
      <c r="A7" s="9" t="s">
        <v>15</v>
      </c>
      <c r="B7" s="10" t="s">
        <v>6</v>
      </c>
      <c r="C7" s="4" t="s">
        <v>16</v>
      </c>
      <c r="D7" s="4" t="s">
        <v>17</v>
      </c>
    </row>
    <row r="8" spans="1:6" ht="27.75" customHeight="1">
      <c r="A8" s="11" t="s">
        <v>18</v>
      </c>
      <c r="B8" s="12" t="s">
        <v>6</v>
      </c>
      <c r="C8" s="4" t="s">
        <v>19</v>
      </c>
      <c r="D8" s="4" t="s">
        <v>20</v>
      </c>
    </row>
    <row r="9" spans="1:6" ht="27.75" customHeight="1">
      <c r="A9" s="13" t="s">
        <v>21</v>
      </c>
      <c r="B9" s="14" t="s">
        <v>6</v>
      </c>
      <c r="C9" s="4" t="s">
        <v>22</v>
      </c>
      <c r="D9" s="4" t="s">
        <v>23</v>
      </c>
    </row>
    <row r="11" spans="1:6" ht="15" customHeight="1">
      <c r="A11" s="197" t="s">
        <v>24</v>
      </c>
      <c r="B11" s="260"/>
      <c r="C11" s="260"/>
      <c r="D11" s="260"/>
      <c r="E11" s="260"/>
      <c r="F11" s="260"/>
    </row>
    <row r="12" spans="1:6" ht="18" customHeight="1">
      <c r="A12" s="196" t="s">
        <v>25</v>
      </c>
      <c r="B12" s="260"/>
      <c r="C12" s="260"/>
      <c r="D12" s="260"/>
      <c r="E12" s="260"/>
      <c r="F12" s="260"/>
    </row>
    <row r="13" spans="1:6" ht="18" customHeight="1">
      <c r="A13" s="196" t="s">
        <v>26</v>
      </c>
      <c r="B13" s="260"/>
      <c r="C13" s="260"/>
      <c r="D13" s="260"/>
      <c r="E13" s="260"/>
      <c r="F13" s="260"/>
    </row>
    <row r="14" spans="1:6" ht="18" customHeight="1">
      <c r="A14" s="196" t="s">
        <v>27</v>
      </c>
      <c r="B14" s="260"/>
      <c r="C14" s="260"/>
      <c r="D14" s="260"/>
      <c r="E14" s="260"/>
      <c r="F14" s="260"/>
    </row>
    <row r="15" spans="1:6" ht="18" customHeight="1">
      <c r="A15" s="196" t="s">
        <v>28</v>
      </c>
      <c r="B15" s="260"/>
      <c r="C15" s="260"/>
      <c r="D15" s="260"/>
      <c r="E15" s="260"/>
      <c r="F15" s="260"/>
    </row>
    <row r="16" spans="1:6" ht="18" customHeight="1">
      <c r="A16" s="196" t="s">
        <v>29</v>
      </c>
      <c r="B16" s="260"/>
      <c r="C16" s="260"/>
      <c r="D16" s="260"/>
      <c r="E16" s="260"/>
      <c r="F16" s="260"/>
    </row>
    <row r="17" spans="1:6" ht="18" customHeight="1">
      <c r="A17" s="196" t="s">
        <v>30</v>
      </c>
      <c r="B17" s="260"/>
      <c r="C17" s="260"/>
      <c r="D17" s="260"/>
      <c r="E17" s="260"/>
      <c r="F17" s="260"/>
    </row>
    <row r="18" spans="1:6" ht="18" customHeight="1">
      <c r="A18" s="196" t="s">
        <v>31</v>
      </c>
      <c r="B18" s="260"/>
      <c r="C18" s="260"/>
      <c r="D18" s="260"/>
      <c r="E18" s="260"/>
      <c r="F18" s="260"/>
    </row>
  </sheetData>
  <mergeCells count="9">
    <mergeCell ref="A1:F1"/>
    <mergeCell ref="A17:F17"/>
    <mergeCell ref="A12:F12"/>
    <mergeCell ref="A18:F18"/>
    <mergeCell ref="A15:F15"/>
    <mergeCell ref="A16:F16"/>
    <mergeCell ref="A11:F11"/>
    <mergeCell ref="A13:F13"/>
    <mergeCell ref="A14:F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847"/>
  </sheetPr>
  <dimension ref="A1:L32"/>
  <sheetViews>
    <sheetView showGridLines="0" zoomScaleNormal="100" workbookViewId="0">
      <selection activeCell="Q14" sqref="Q14"/>
    </sheetView>
  </sheetViews>
  <sheetFormatPr defaultColWidth="8.7109375" defaultRowHeight="15"/>
  <cols>
    <col min="1" max="1" width="2" customWidth="1"/>
    <col min="2" max="2" width="22" customWidth="1"/>
    <col min="3" max="3" width="10" customWidth="1"/>
    <col min="4" max="4" width="12.7109375" customWidth="1"/>
    <col min="5" max="5" width="9" customWidth="1"/>
    <col min="6" max="6" width="11" customWidth="1"/>
    <col min="7" max="7" width="10" customWidth="1"/>
    <col min="8" max="8" width="13.28515625" customWidth="1"/>
    <col min="9" max="9" width="11" customWidth="1"/>
    <col min="10" max="11" width="14" customWidth="1"/>
    <col min="12" max="12" width="5" customWidth="1"/>
  </cols>
  <sheetData>
    <row r="1" spans="1:12" ht="4.5" customHeight="1">
      <c r="A1" s="15" t="s">
        <v>32</v>
      </c>
      <c r="B1" s="16"/>
      <c r="C1" s="16"/>
      <c r="D1" s="16"/>
      <c r="E1" s="16"/>
      <c r="I1" s="16"/>
      <c r="J1" s="16"/>
      <c r="K1" s="16"/>
      <c r="L1" s="16"/>
    </row>
    <row r="2" spans="1:12" ht="31.5" customHeight="1">
      <c r="A2" s="16"/>
      <c r="B2" s="202" t="s">
        <v>33</v>
      </c>
      <c r="C2" s="260"/>
      <c r="D2" s="260"/>
      <c r="E2" s="260"/>
      <c r="F2" s="260"/>
      <c r="G2" s="260"/>
      <c r="H2" s="260"/>
      <c r="L2" s="16"/>
    </row>
    <row r="3" spans="1:12" ht="15.75" customHeight="1">
      <c r="A3" s="16"/>
      <c r="B3" s="205" t="s">
        <v>34</v>
      </c>
      <c r="C3" s="260"/>
      <c r="D3" s="260"/>
      <c r="E3" s="260"/>
      <c r="F3" s="260"/>
      <c r="G3" s="260"/>
      <c r="H3" s="260"/>
      <c r="L3" s="16"/>
    </row>
    <row r="4" spans="1:12" ht="7.5" customHeight="1">
      <c r="A4" s="16"/>
      <c r="B4" s="17"/>
      <c r="C4" s="17"/>
      <c r="D4" s="17"/>
      <c r="E4" s="17"/>
      <c r="F4" s="17"/>
      <c r="G4" s="17"/>
      <c r="H4" s="17"/>
      <c r="L4" s="16"/>
    </row>
    <row r="5" spans="1:12" ht="19.5" customHeight="1">
      <c r="A5" s="16"/>
      <c r="B5" s="212" t="s">
        <v>35</v>
      </c>
      <c r="C5" s="261"/>
      <c r="D5" s="211" t="s">
        <v>36</v>
      </c>
      <c r="E5" s="262"/>
      <c r="F5" s="262"/>
      <c r="G5" s="201" t="s">
        <v>37</v>
      </c>
      <c r="H5" s="263"/>
      <c r="I5" s="16"/>
      <c r="J5" s="209" t="s">
        <v>38</v>
      </c>
      <c r="K5" s="264"/>
    </row>
    <row r="6" spans="1:12" ht="39.75" customHeight="1">
      <c r="A6" s="16"/>
      <c r="B6" s="207">
        <v>4230</v>
      </c>
      <c r="C6" s="265"/>
      <c r="D6" s="206">
        <f>CONSOLIDADO!C13+CONSOLIDADO!D13</f>
        <v>1289</v>
      </c>
      <c r="E6" s="266"/>
      <c r="F6" s="266"/>
      <c r="G6" s="203">
        <f>ENTREGA_ALMACÉN!F33-(CONSOLIDADO!C13+CONSOLIDADO!D13)</f>
        <v>2571</v>
      </c>
      <c r="H6" s="267"/>
      <c r="I6" s="16"/>
      <c r="J6" s="210">
        <f>CONSOLIDADO!O13</f>
        <v>0</v>
      </c>
      <c r="K6" s="264"/>
    </row>
    <row r="7" spans="1:12" ht="15.75" customHeight="1">
      <c r="A7" s="16"/>
      <c r="B7" s="208" t="s">
        <v>39</v>
      </c>
      <c r="C7" s="268"/>
      <c r="D7" s="204" t="str">
        <f>TEXT((CONSOLIDADO!C13+CONSOLIDADO!D13)/4230,"0.0%")&amp;" — del total"</f>
        <v>30.5% — del total</v>
      </c>
      <c r="E7" s="269"/>
      <c r="F7" s="269"/>
      <c r="G7" s="213" t="str">
        <f>TEXT((ENTREGA_ALMACÉN!F33-(CONSOLIDADO!C13+CONSOLIDADO!D13))/4230,"0.0%")&amp;" — pend."</f>
        <v>60.8% — pend.</v>
      </c>
      <c r="H7" s="270"/>
      <c r="I7" s="16"/>
      <c r="J7" s="199" t="str">
        <f>TEXT(CONSOLIDADO!O13/4230,"0.0%")&amp;" — del total"</f>
        <v>0.0% — del total</v>
      </c>
      <c r="K7" s="264"/>
    </row>
    <row r="8" spans="1:12" ht="9.75" customHeight="1">
      <c r="A8" s="16"/>
      <c r="B8" s="18"/>
      <c r="C8" s="18"/>
      <c r="D8" s="18"/>
      <c r="E8" s="18"/>
      <c r="I8" s="18"/>
      <c r="J8" s="18"/>
      <c r="K8" s="18"/>
      <c r="L8" s="16"/>
    </row>
    <row r="9" spans="1:12" ht="18" customHeight="1">
      <c r="A9" s="16"/>
      <c r="B9" s="198" t="s">
        <v>40</v>
      </c>
      <c r="C9" s="271"/>
      <c r="D9" s="271"/>
      <c r="E9" s="271"/>
      <c r="F9" s="271"/>
      <c r="G9" s="271"/>
      <c r="H9" s="271"/>
      <c r="I9" s="271"/>
      <c r="J9" s="271"/>
      <c r="K9" s="271"/>
      <c r="L9" s="16"/>
    </row>
    <row r="10" spans="1:12" ht="31.5" customHeight="1">
      <c r="A10" s="16"/>
      <c r="B10" s="19" t="s">
        <v>41</v>
      </c>
      <c r="C10" s="19" t="s">
        <v>42</v>
      </c>
      <c r="D10" s="19" t="s">
        <v>36</v>
      </c>
      <c r="E10" s="19" t="s">
        <v>43</v>
      </c>
      <c r="F10" s="19" t="s">
        <v>44</v>
      </c>
      <c r="G10" s="19" t="s">
        <v>45</v>
      </c>
      <c r="H10" s="19" t="s">
        <v>46</v>
      </c>
      <c r="I10" s="19" t="s">
        <v>47</v>
      </c>
      <c r="J10" s="19" t="s">
        <v>48</v>
      </c>
      <c r="K10" s="19" t="s">
        <v>49</v>
      </c>
      <c r="L10" s="16"/>
    </row>
    <row r="11" spans="1:12" ht="19.5" customHeight="1">
      <c r="A11" s="16"/>
      <c r="B11" s="20" t="s">
        <v>50</v>
      </c>
      <c r="C11" s="21">
        <v>1130</v>
      </c>
      <c r="D11" s="22">
        <f>IF(CONSOLIDADO!C5+CONSOLIDADO!D5=0,"—",CONSOLIDADO!C5+CONSOLIDADO!D5)</f>
        <v>858</v>
      </c>
      <c r="E11" s="23" t="str">
        <f>IF(C11=0,"—",TEXT((CONSOLIDADO!C5+CONSOLIDADO!D5)/C11,"0.0%"))</f>
        <v>75.9%</v>
      </c>
      <c r="F11" s="23">
        <f>IF(CONSOLIDADO!D5=0,"—",CONSOLIDADO!D5)</f>
        <v>89</v>
      </c>
      <c r="G11" s="23">
        <f>IF(CONSOLIDADO!G5=0,"—",CONSOLIDADO!G5)</f>
        <v>20</v>
      </c>
      <c r="H11" s="23" t="str">
        <f>IF(CONSOLIDADO!H5=0,"—",CONSOLIDADO!H5)</f>
        <v>—</v>
      </c>
      <c r="I11" s="21">
        <f>IF(CONSOLIDADO!E5=0,"—",CONSOLIDADO!E5)</f>
        <v>265</v>
      </c>
      <c r="J11" s="21">
        <f>IF(CONSOLIDADO!C5+CONSOLIDADO!D5+CONSOLIDADO!E5=0,"—",CONSOLIDADO!C5+CONSOLIDADO!D5+CONSOLIDADO!E5)</f>
        <v>1123</v>
      </c>
      <c r="K11" s="24" t="str">
        <f>IF(C11=0,"—",TEXT((CONSOLIDADO!C5+CONSOLIDADO!D5+CONSOLIDADO!E5)/C11,"0.0%"))</f>
        <v>99.4%</v>
      </c>
      <c r="L11" s="16"/>
    </row>
    <row r="12" spans="1:12" ht="19.5" customHeight="1">
      <c r="A12" s="16"/>
      <c r="B12" s="25" t="s">
        <v>51</v>
      </c>
      <c r="C12" s="26">
        <v>779</v>
      </c>
      <c r="D12" s="23">
        <f>IF(CONSOLIDADO!C6+CONSOLIDADO!D6=0,"—",CONSOLIDADO!C6+CONSOLIDADO!D6)</f>
        <v>100</v>
      </c>
      <c r="E12" s="23" t="str">
        <f>IF(C12=0,"—",TEXT((CONSOLIDADO!C6+CONSOLIDADO!D6)/C12,"0.0%"))</f>
        <v>12.8%</v>
      </c>
      <c r="F12" s="23">
        <f>IF(CONSOLIDADO!D6=0,"—",CONSOLIDADO!D6)</f>
        <v>20</v>
      </c>
      <c r="G12" s="23" t="str">
        <f>IF(CONSOLIDADO!G6=0,"—",CONSOLIDADO!G6)</f>
        <v>—</v>
      </c>
      <c r="H12" s="23" t="str">
        <f>IF(CONSOLIDADO!H6=0,"—",CONSOLIDADO!H6)</f>
        <v>—</v>
      </c>
      <c r="I12" s="21">
        <f>IF(CONSOLIDADO!E6=0,"—",CONSOLIDADO!E6)</f>
        <v>631</v>
      </c>
      <c r="J12" s="21">
        <f>IF(CONSOLIDADO!C6+CONSOLIDADO!D6+CONSOLIDADO!E6=0,"—",CONSOLIDADO!C6+CONSOLIDADO!D6+CONSOLIDADO!E6)</f>
        <v>731</v>
      </c>
      <c r="K12" s="24" t="str">
        <f>IF(C12=0,"—",TEXT((CONSOLIDADO!C6+CONSOLIDADO!D6+CONSOLIDADO!E6)/C12,"0.0%"))</f>
        <v>93.8%</v>
      </c>
      <c r="L12" s="16"/>
    </row>
    <row r="13" spans="1:12" ht="19.5" customHeight="1">
      <c r="A13" s="16"/>
      <c r="B13" s="20" t="s">
        <v>52</v>
      </c>
      <c r="C13" s="21">
        <v>395</v>
      </c>
      <c r="D13" s="23">
        <f>IF(CONSOLIDADO!C7+CONSOLIDADO!D7=0,"—",CONSOLIDADO!C7+CONSOLIDADO!D7)</f>
        <v>84</v>
      </c>
      <c r="E13" s="23" t="str">
        <f>IF(C13=0,"—",TEXT((CONSOLIDADO!C7+CONSOLIDADO!D7)/C13,"0.0%"))</f>
        <v>21.3%</v>
      </c>
      <c r="F13" s="23">
        <f>IF(CONSOLIDADO!D7=0,"—",CONSOLIDADO!D7)</f>
        <v>12</v>
      </c>
      <c r="G13" s="23" t="str">
        <f>IF(CONSOLIDADO!G7=0,"—",CONSOLIDADO!G7)</f>
        <v>—</v>
      </c>
      <c r="H13" s="23" t="str">
        <f>IF(CONSOLIDADO!H7=0,"—",CONSOLIDADO!H7)</f>
        <v>—</v>
      </c>
      <c r="I13" s="21">
        <f>IF(CONSOLIDADO!E7=0,"—",CONSOLIDADO!E7)</f>
        <v>275</v>
      </c>
      <c r="J13" s="21">
        <f>IF(CONSOLIDADO!C7+CONSOLIDADO!D7+CONSOLIDADO!E7=0,"—",CONSOLIDADO!C7+CONSOLIDADO!D7+CONSOLIDADO!E7)</f>
        <v>359</v>
      </c>
      <c r="K13" s="24" t="str">
        <f>IF(C13=0,"—",TEXT((CONSOLIDADO!C7+CONSOLIDADO!D7+CONSOLIDADO!E7)/C13,"0.0%"))</f>
        <v>90.9%</v>
      </c>
      <c r="L13" s="16"/>
    </row>
    <row r="14" spans="1:12" ht="19.5" customHeight="1">
      <c r="A14" s="16"/>
      <c r="B14" s="25" t="s">
        <v>53</v>
      </c>
      <c r="C14" s="26">
        <v>735</v>
      </c>
      <c r="D14" s="23">
        <f>IF(CONSOLIDADO!C8+CONSOLIDADO!D8=0,"—",CONSOLIDADO!C8+CONSOLIDADO!D8)</f>
        <v>77</v>
      </c>
      <c r="E14" s="23" t="str">
        <f>IF(C14=0,"—",TEXT((CONSOLIDADO!C8+CONSOLIDADO!D8)/C14,"0.0%"))</f>
        <v>10.5%</v>
      </c>
      <c r="F14" s="23">
        <f>IF(CONSOLIDADO!D8=0,"—",CONSOLIDADO!D8)</f>
        <v>3</v>
      </c>
      <c r="G14" s="23" t="str">
        <f>IF(CONSOLIDADO!G8=0,"—",CONSOLIDADO!G8)</f>
        <v>—</v>
      </c>
      <c r="H14" s="23" t="str">
        <f>IF(CONSOLIDADO!H8=0,"—",CONSOLIDADO!H8)</f>
        <v>—</v>
      </c>
      <c r="I14" s="21">
        <f>IF(CONSOLIDADO!E8=0,"—",CONSOLIDADO!E8)</f>
        <v>460</v>
      </c>
      <c r="J14" s="21">
        <f>IF(CONSOLIDADO!C8+CONSOLIDADO!D8+CONSOLIDADO!E8=0,"—",CONSOLIDADO!C8+CONSOLIDADO!D8+CONSOLIDADO!E8)</f>
        <v>537</v>
      </c>
      <c r="K14" s="24" t="str">
        <f>IF(C14=0,"—",TEXT((CONSOLIDADO!C8+CONSOLIDADO!D8+CONSOLIDADO!E8)/C14,"0.0%"))</f>
        <v>73.1%</v>
      </c>
      <c r="L14" s="16"/>
    </row>
    <row r="15" spans="1:12" ht="19.5" customHeight="1">
      <c r="A15" s="16"/>
      <c r="B15" s="20" t="s">
        <v>54</v>
      </c>
      <c r="C15" s="21">
        <v>367</v>
      </c>
      <c r="D15" s="23">
        <f>IF(CONSOLIDADO!C9+CONSOLIDADO!D9=0,"—",CONSOLIDADO!C9+CONSOLIDADO!D9)</f>
        <v>63</v>
      </c>
      <c r="E15" s="23" t="str">
        <f>IF(C15=0,"—",TEXT((CONSOLIDADO!C9+CONSOLIDADO!D9)/C15,"0.0%"))</f>
        <v>17.2%</v>
      </c>
      <c r="F15" s="23">
        <f>IF(CONSOLIDADO!D9=0,"—",CONSOLIDADO!D9)</f>
        <v>3</v>
      </c>
      <c r="G15" s="23" t="str">
        <f>IF(CONSOLIDADO!G9=0,"—",CONSOLIDADO!G9)</f>
        <v>—</v>
      </c>
      <c r="H15" s="23">
        <f>IF(CONSOLIDADO!H9=0,"—",CONSOLIDADO!H9)</f>
        <v>2</v>
      </c>
      <c r="I15" s="24">
        <f>IF(CONSOLIDADO!E9=0,"—",CONSOLIDADO!E9)</f>
        <v>284</v>
      </c>
      <c r="J15" s="24">
        <f>IF(CONSOLIDADO!C9+CONSOLIDADO!D9+CONSOLIDADO!E9=0,"—",CONSOLIDADO!C9+CONSOLIDADO!D9+CONSOLIDADO!E9)</f>
        <v>347</v>
      </c>
      <c r="K15" s="24" t="str">
        <f>IF(C15=0,"—",TEXT((CONSOLIDADO!C9+CONSOLIDADO!D9+CONSOLIDADO!E9)/C15,"0.0%"))</f>
        <v>94.6%</v>
      </c>
      <c r="L15" s="16"/>
    </row>
    <row r="16" spans="1:12" ht="19.5" customHeight="1">
      <c r="A16" s="16"/>
      <c r="B16" s="25" t="s">
        <v>55</v>
      </c>
      <c r="C16" s="26">
        <v>291</v>
      </c>
      <c r="D16" s="23">
        <f>IF(CONSOLIDADO!C10+CONSOLIDADO!D10=0,"—",CONSOLIDADO!C10+CONSOLIDADO!D10)</f>
        <v>22</v>
      </c>
      <c r="E16" s="23" t="str">
        <f>IF(C16=0,"—",TEXT((CONSOLIDADO!C10+CONSOLIDADO!D10)/C16,"0.0%"))</f>
        <v>7.6%</v>
      </c>
      <c r="F16" s="23">
        <f>IF(CONSOLIDADO!D10=0,"—",CONSOLIDADO!D10)</f>
        <v>3</v>
      </c>
      <c r="G16" s="23" t="str">
        <f>IF(CONSOLIDADO!G10=0,"—",CONSOLIDADO!G10)</f>
        <v>—</v>
      </c>
      <c r="H16" s="23" t="str">
        <f>IF(CONSOLIDADO!H10=0,"—",CONSOLIDADO!H10)</f>
        <v>—</v>
      </c>
      <c r="I16" s="24">
        <f>IF(CONSOLIDADO!E10=0,"—",CONSOLIDADO!E10)</f>
        <v>269</v>
      </c>
      <c r="J16" s="24">
        <f>IF(CONSOLIDADO!C10+CONSOLIDADO!D10+CONSOLIDADO!E10=0,"—",CONSOLIDADO!C10+CONSOLIDADO!D10+CONSOLIDADO!E10)</f>
        <v>291</v>
      </c>
      <c r="K16" s="24" t="str">
        <f>IF(C16=0,"—",TEXT((CONSOLIDADO!C10+CONSOLIDADO!D10+CONSOLIDADO!E10)/C16,"0.0%"))</f>
        <v>100.0%</v>
      </c>
      <c r="L16" s="16"/>
    </row>
    <row r="17" spans="1:12" ht="19.5" customHeight="1">
      <c r="A17" s="16"/>
      <c r="B17" s="20" t="s">
        <v>56</v>
      </c>
      <c r="C17" s="21">
        <v>257</v>
      </c>
      <c r="D17" s="23">
        <f>IF(CONSOLIDADO!C11+CONSOLIDADO!D11=0,"—",CONSOLIDADO!C11+CONSOLIDADO!D11)</f>
        <v>42</v>
      </c>
      <c r="E17" s="23" t="str">
        <f>IF(C17=0,"—",TEXT((CONSOLIDADO!C11+CONSOLIDADO!D11)/C17,"0.0%"))</f>
        <v>16.3%</v>
      </c>
      <c r="F17" s="23" t="str">
        <f>IF(CONSOLIDADO!D11=0,"—",CONSOLIDADO!D11)</f>
        <v>—</v>
      </c>
      <c r="G17" s="23">
        <f>IF(CONSOLIDADO!G11=0,"—",CONSOLIDADO!G11)</f>
        <v>1</v>
      </c>
      <c r="H17" s="23">
        <f>IF(CONSOLIDADO!H11=0,"—",CONSOLIDADO!H11)</f>
        <v>1</v>
      </c>
      <c r="I17" s="24">
        <f>IF(CONSOLIDADO!E11=0,"—",CONSOLIDADO!E11)</f>
        <v>203</v>
      </c>
      <c r="J17" s="24">
        <f>IF(CONSOLIDADO!C11+CONSOLIDADO!D11+CONSOLIDADO!E11=0,"—",CONSOLIDADO!C11+CONSOLIDADO!D11+CONSOLIDADO!E11)</f>
        <v>245</v>
      </c>
      <c r="K17" s="24" t="str">
        <f>IF(C17=0,"—",TEXT((CONSOLIDADO!C11+CONSOLIDADO!D11+CONSOLIDADO!E11)/C17,"0.0%"))</f>
        <v>95.3%</v>
      </c>
      <c r="L17" s="16"/>
    </row>
    <row r="18" spans="1:12" ht="19.5" customHeight="1">
      <c r="A18" s="16"/>
      <c r="B18" s="25" t="s">
        <v>57</v>
      </c>
      <c r="C18" s="26">
        <v>276</v>
      </c>
      <c r="D18" s="23">
        <f>IF(CONSOLIDADO!C12+CONSOLIDADO!D12=0,"—",CONSOLIDADO!C12+CONSOLIDADO!D12)</f>
        <v>43</v>
      </c>
      <c r="E18" s="23" t="str">
        <f>IF(C18=0,"—",TEXT((CONSOLIDADO!C12+CONSOLIDADO!D12)/C18,"0.0%"))</f>
        <v>15.6%</v>
      </c>
      <c r="F18" s="23">
        <f>IF(CONSOLIDADO!D12=0,"—",CONSOLIDADO!D12)</f>
        <v>14</v>
      </c>
      <c r="G18" s="23" t="str">
        <f>IF(CONSOLIDADO!G12=0,"—",CONSOLIDADO!G12)</f>
        <v>—</v>
      </c>
      <c r="H18" s="23" t="str">
        <f>IF(CONSOLIDADO!H12=0,"—",CONSOLIDADO!H12)</f>
        <v>—</v>
      </c>
      <c r="I18" s="24">
        <f>IF(CONSOLIDADO!E12=0,"—",CONSOLIDADO!E12)</f>
        <v>184</v>
      </c>
      <c r="J18" s="24">
        <f>IF(CONSOLIDADO!C12+CONSOLIDADO!D12+CONSOLIDADO!E12=0,"—",CONSOLIDADO!C12+CONSOLIDADO!D12+CONSOLIDADO!E12)</f>
        <v>227</v>
      </c>
      <c r="K18" s="24" t="str">
        <f>IF(C18=0,"—",TEXT((CONSOLIDADO!C12+CONSOLIDADO!D12+CONSOLIDADO!E12)/C18,"0.0%"))</f>
        <v>82.2%</v>
      </c>
      <c r="L18" s="16"/>
    </row>
    <row r="19" spans="1:12" ht="21.75" customHeight="1">
      <c r="A19" s="16"/>
      <c r="B19" s="27" t="s">
        <v>58</v>
      </c>
      <c r="C19" s="28">
        <v>4230</v>
      </c>
      <c r="D19" s="28">
        <f>CONSOLIDADO!C13+CONSOLIDADO!D13</f>
        <v>1289</v>
      </c>
      <c r="E19" s="27" t="str">
        <f>TEXT(D19/C19,"0.0%")</f>
        <v>30.5%</v>
      </c>
      <c r="F19" s="27">
        <f>IF(CONSOLIDADO!D13=0,"—",CONSOLIDADO!D13)</f>
        <v>144</v>
      </c>
      <c r="G19" s="27">
        <f>IF(CONSOLIDADO!G13=0,"—",CONSOLIDADO!G13)</f>
        <v>21</v>
      </c>
      <c r="H19" s="27">
        <f>IF(CONSOLIDADO!H13=0,"—",CONSOLIDADO!H13)</f>
        <v>3</v>
      </c>
      <c r="I19" s="28">
        <f>CONSOLIDADO!E13</f>
        <v>2571</v>
      </c>
      <c r="J19" s="28">
        <f>CONSOLIDADO!C13+CONSOLIDADO!D13+CONSOLIDADO!E13</f>
        <v>3860</v>
      </c>
      <c r="K19" s="27" t="str">
        <f>TEXT(J19/C19,"0.0%")</f>
        <v>91.3%</v>
      </c>
      <c r="L19" s="16"/>
    </row>
    <row r="20" spans="1:12" ht="7.5" customHeight="1">
      <c r="A20" s="16"/>
      <c r="B20" s="18"/>
      <c r="C20" s="18"/>
      <c r="D20" s="18"/>
      <c r="E20" s="18"/>
      <c r="I20" s="18"/>
      <c r="J20" s="18"/>
      <c r="K20" s="18"/>
      <c r="L20" s="16"/>
    </row>
    <row r="21" spans="1:12" ht="15" customHeight="1">
      <c r="A21" s="16"/>
      <c r="B21" s="200" t="s">
        <v>59</v>
      </c>
      <c r="C21" s="260"/>
      <c r="D21" s="260"/>
      <c r="E21" s="260"/>
      <c r="F21" s="260"/>
      <c r="G21" s="260"/>
      <c r="H21" s="260"/>
      <c r="L21" s="16"/>
    </row>
    <row r="22" spans="1:12" ht="21.75" customHeight="1">
      <c r="A22" s="16"/>
      <c r="B22" s="16"/>
      <c r="C22" s="16"/>
      <c r="D22" s="16"/>
      <c r="E22" s="16"/>
      <c r="I22" s="16"/>
      <c r="J22" s="16"/>
      <c r="K22" s="16"/>
      <c r="L22" s="16"/>
    </row>
    <row r="23" spans="1:12" ht="18" customHeight="1">
      <c r="A23" s="16"/>
      <c r="B23" s="16"/>
      <c r="C23" s="16"/>
      <c r="D23" s="16"/>
      <c r="E23" s="16"/>
      <c r="I23" s="16"/>
      <c r="J23" s="16"/>
      <c r="K23" s="16"/>
      <c r="L23" s="16"/>
    </row>
    <row r="24" spans="1:12" ht="18" customHeight="1">
      <c r="A24" s="16"/>
      <c r="B24" s="16"/>
      <c r="C24" s="16"/>
      <c r="D24" s="16"/>
      <c r="E24" s="16"/>
      <c r="I24" s="16"/>
      <c r="J24" s="16"/>
      <c r="K24" s="16"/>
      <c r="L24" s="16"/>
    </row>
    <row r="25" spans="1:12" ht="18" customHeight="1">
      <c r="A25" s="16"/>
      <c r="B25" s="16"/>
      <c r="C25" s="16"/>
      <c r="D25" s="16"/>
      <c r="E25" s="16"/>
      <c r="I25" s="16"/>
      <c r="J25" s="16"/>
      <c r="K25" s="16"/>
      <c r="L25" s="16"/>
    </row>
    <row r="26" spans="1:12" ht="18" customHeight="1">
      <c r="A26" s="16"/>
      <c r="B26" s="16"/>
      <c r="C26" s="16"/>
      <c r="D26" s="16"/>
      <c r="E26" s="16"/>
      <c r="I26" s="16"/>
      <c r="J26" s="16"/>
      <c r="K26" s="16"/>
      <c r="L26" s="16"/>
    </row>
    <row r="27" spans="1:12" ht="18" customHeight="1">
      <c r="A27" s="16"/>
      <c r="B27" s="16"/>
      <c r="C27" s="16"/>
      <c r="D27" s="16"/>
      <c r="E27" s="16"/>
      <c r="I27" s="16"/>
      <c r="J27" s="16"/>
      <c r="K27" s="16"/>
      <c r="L27" s="16"/>
    </row>
    <row r="28" spans="1:12" ht="15" customHeight="1">
      <c r="A28" s="16"/>
      <c r="B28" s="16"/>
      <c r="C28" s="16"/>
      <c r="D28" s="16"/>
      <c r="E28" s="16"/>
      <c r="I28" s="16"/>
      <c r="J28" s="16"/>
      <c r="K28" s="16"/>
      <c r="L28" s="16"/>
    </row>
    <row r="29" spans="1:12" ht="15" customHeight="1">
      <c r="A29" s="29"/>
      <c r="B29" s="29"/>
      <c r="C29" s="29"/>
      <c r="D29" s="29"/>
      <c r="E29" s="29"/>
      <c r="F29" s="29"/>
      <c r="G29" s="29"/>
      <c r="H29" s="29"/>
      <c r="I29" s="29"/>
      <c r="J29" s="29"/>
      <c r="K29" s="29"/>
      <c r="L29" s="29"/>
    </row>
    <row r="30" spans="1:12" ht="15" customHeight="1">
      <c r="A30" s="30"/>
      <c r="B30" s="30"/>
      <c r="C30" s="30"/>
      <c r="D30" s="30"/>
      <c r="E30" s="30"/>
      <c r="F30" s="30"/>
      <c r="G30" s="30"/>
      <c r="H30" s="30"/>
      <c r="I30" s="30"/>
      <c r="J30" s="30"/>
      <c r="K30" s="30"/>
      <c r="L30" s="30"/>
    </row>
    <row r="31" spans="1:12" ht="15" customHeight="1">
      <c r="A31" s="30"/>
      <c r="B31" s="30"/>
      <c r="C31" s="30"/>
      <c r="D31" s="30"/>
      <c r="E31" s="30"/>
      <c r="F31" s="30"/>
      <c r="G31" s="30"/>
      <c r="H31" s="30"/>
      <c r="I31" s="30"/>
      <c r="J31" s="30"/>
      <c r="K31" s="30"/>
      <c r="L31" s="30"/>
    </row>
    <row r="32" spans="1:12" ht="15" customHeight="1">
      <c r="A32" s="30"/>
      <c r="B32" s="30"/>
      <c r="C32" s="30"/>
      <c r="D32" s="30"/>
      <c r="E32" s="30"/>
      <c r="F32" s="30"/>
      <c r="G32" s="30"/>
      <c r="H32" s="30"/>
      <c r="I32" s="30"/>
      <c r="J32" s="30"/>
      <c r="K32" s="30"/>
      <c r="L32" s="30"/>
    </row>
  </sheetData>
  <mergeCells count="16">
    <mergeCell ref="B9:K9"/>
    <mergeCell ref="J7:K7"/>
    <mergeCell ref="B21:H21"/>
    <mergeCell ref="G5:H5"/>
    <mergeCell ref="B2:H2"/>
    <mergeCell ref="G6:H6"/>
    <mergeCell ref="D7:F7"/>
    <mergeCell ref="B3:H3"/>
    <mergeCell ref="D6:F6"/>
    <mergeCell ref="B6:C6"/>
    <mergeCell ref="B7:C7"/>
    <mergeCell ref="J5:K5"/>
    <mergeCell ref="J6:K6"/>
    <mergeCell ref="D5:F5"/>
    <mergeCell ref="B5:C5"/>
    <mergeCell ref="G7:H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U21"/>
  <sheetViews>
    <sheetView topLeftCell="A9" zoomScaleNormal="100" workbookViewId="0">
      <selection activeCell="E17" sqref="E17"/>
    </sheetView>
  </sheetViews>
  <sheetFormatPr defaultColWidth="8.7109375" defaultRowHeight="15"/>
  <cols>
    <col min="1" max="1" width="1.42578125" customWidth="1"/>
    <col min="2" max="2" width="22" customWidth="1"/>
    <col min="3" max="3" width="10" customWidth="1"/>
    <col min="4" max="4" width="11.28515625" customWidth="1"/>
    <col min="5" max="5" width="12" customWidth="1"/>
    <col min="6" max="6" width="11.7109375" customWidth="1"/>
    <col min="7" max="7" width="12" customWidth="1"/>
    <col min="8" max="8" width="9" customWidth="1"/>
    <col min="9" max="9" width="12" customWidth="1"/>
    <col min="10" max="10" width="21.85546875" customWidth="1"/>
    <col min="11" max="11" width="2" customWidth="1"/>
  </cols>
  <sheetData>
    <row r="1" spans="2:21" ht="6" customHeight="1"/>
    <row r="2" spans="2:21" ht="30" customHeight="1">
      <c r="B2" s="214" t="s">
        <v>33</v>
      </c>
      <c r="C2" s="260"/>
      <c r="D2" s="260"/>
      <c r="E2" s="260"/>
      <c r="F2" s="260"/>
      <c r="G2" s="260"/>
      <c r="H2" s="260"/>
      <c r="I2" s="260"/>
      <c r="J2" s="260"/>
    </row>
    <row r="3" spans="2:21" ht="13.5" customHeight="1">
      <c r="B3" s="217" t="str">
        <f ca="1">TEXT(TODAY(),"DD/MM/YYYY")&amp;"  |  CFE Transmisión  |  4,230 Sitios"</f>
        <v>12/05/2026  |  CFE Transmisión  |  4,230 Sitios</v>
      </c>
      <c r="C3" s="260"/>
      <c r="D3" s="260"/>
      <c r="E3" s="260"/>
      <c r="F3" s="260"/>
      <c r="G3" s="260"/>
      <c r="H3" s="260"/>
      <c r="I3" s="260"/>
      <c r="J3" s="260"/>
    </row>
    <row r="4" spans="2:21" ht="7.5" customHeight="1"/>
    <row r="5" spans="2:21" ht="25.5" customHeight="1">
      <c r="B5" s="219" t="s">
        <v>60</v>
      </c>
      <c r="C5" s="264"/>
      <c r="D5" s="221" t="s">
        <v>61</v>
      </c>
      <c r="E5" s="264"/>
      <c r="F5" s="220" t="s">
        <v>62</v>
      </c>
      <c r="G5" s="264"/>
      <c r="H5" s="225" t="s">
        <v>63</v>
      </c>
      <c r="I5" s="264"/>
      <c r="J5" s="31" t="s">
        <v>64</v>
      </c>
    </row>
    <row r="6" spans="2:21" ht="43.5" customHeight="1">
      <c r="B6" s="216">
        <f>CONSOLIDADO!B13</f>
        <v>4230</v>
      </c>
      <c r="C6" s="264"/>
      <c r="D6" s="215">
        <f>ENTREGA_ALMACÉN!F33</f>
        <v>3860</v>
      </c>
      <c r="E6" s="264"/>
      <c r="F6" s="226">
        <f>CONSOLIDADO!C13+CONSOLIDADO!D13+CONSOLIDADO!G13</f>
        <v>1310</v>
      </c>
      <c r="G6" s="264"/>
      <c r="H6" s="218">
        <f>ENTREGA_ALMACÉN!F33-(CONSOLIDADO!C13+CONSOLIDADO!D13+CONSOLIDADO!G13)</f>
        <v>2550</v>
      </c>
      <c r="I6" s="264"/>
      <c r="J6" s="32">
        <f>CONSOLIDADO!O13</f>
        <v>0</v>
      </c>
    </row>
    <row r="7" spans="2:21" ht="18" customHeight="1">
      <c r="B7" s="227" t="s">
        <v>65</v>
      </c>
      <c r="C7" s="264"/>
      <c r="D7" s="228" t="str">
        <f>TEXT(ENTREGA_ALMACÉN!F33/CONSOLIDADO!B13,"0.00%")&amp;"  —  del asignado"</f>
        <v>91.25%  —  del asignado</v>
      </c>
      <c r="E7" s="264"/>
      <c r="F7" s="223" t="str">
        <f>TEXT((CONSOLIDADO!C13+CONSOLIDADO!D13+CONSOLIDADO!G13)/CONSOLIDADO!B13,"0.00%")&amp;"  —  del asignado"</f>
        <v>30.97%  —  del asignado</v>
      </c>
      <c r="G7" s="264"/>
      <c r="H7" s="229" t="str">
        <f>TEXT((ENTREGA_ALMACÉN!F33-(CONSOLIDADO!C13+CONSOLIDADO!D13+CONSOLIDADO!G13))/ENTREGA_ALMACÉN!F33,"0.00%")&amp;"  —  del entregado"</f>
        <v>66.06%  —  del entregado</v>
      </c>
      <c r="I7" s="264"/>
      <c r="J7" s="33" t="str">
        <f>TEXT(CONSOLIDADO!O13/CONSOLIDADO!B13,"0.00%")&amp;"  —  del asignado"</f>
        <v>0.00%  —  del asignado</v>
      </c>
    </row>
    <row r="8" spans="2:21" ht="9.75" customHeight="1">
      <c r="B8" s="272"/>
      <c r="C8" s="260"/>
      <c r="D8" s="260"/>
      <c r="E8" s="260"/>
      <c r="F8" s="260"/>
      <c r="G8" s="260"/>
      <c r="H8" s="260"/>
      <c r="I8" s="260"/>
      <c r="J8" s="260"/>
    </row>
    <row r="9" spans="2:21" ht="21.75" customHeight="1">
      <c r="B9" s="224" t="s">
        <v>40</v>
      </c>
      <c r="C9" s="260"/>
      <c r="D9" s="260"/>
      <c r="E9" s="260"/>
      <c r="F9" s="260"/>
      <c r="G9" s="260"/>
      <c r="H9" s="260"/>
      <c r="I9" s="260"/>
      <c r="J9" s="260"/>
    </row>
    <row r="10" spans="2:21" ht="30" customHeight="1">
      <c r="B10" s="34" t="s">
        <v>41</v>
      </c>
      <c r="C10" s="35" t="s">
        <v>42</v>
      </c>
      <c r="D10" s="35" t="s">
        <v>64</v>
      </c>
      <c r="E10" s="35" t="s">
        <v>62</v>
      </c>
      <c r="F10" s="35" t="s">
        <v>66</v>
      </c>
      <c r="G10" s="35" t="s">
        <v>48</v>
      </c>
      <c r="H10" s="35" t="s">
        <v>67</v>
      </c>
      <c r="I10" s="35" t="s">
        <v>47</v>
      </c>
      <c r="J10" s="35" t="s">
        <v>68</v>
      </c>
    </row>
    <row r="11" spans="2:21" ht="18" customHeight="1">
      <c r="B11" s="164" t="str">
        <f>CONSOLIDADO!A5</f>
        <v>GRT Central</v>
      </c>
      <c r="C11" s="165">
        <f>CONSOLIDADO!B5</f>
        <v>1130</v>
      </c>
      <c r="D11" s="166">
        <f>CONSOLIDADO!O5</f>
        <v>0</v>
      </c>
      <c r="E11" s="167">
        <f>CONSOLIDADO!C5+CONSOLIDADO!D5+CONSOLIDADO!G5</f>
        <v>878</v>
      </c>
      <c r="F11" s="168">
        <f>IF(CONSOLIDADO!B5=0,0,(CONSOLIDADO!C5+CONSOLIDADO!D5+CONSOLIDADO!G5)/CONSOLIDADO!B5)</f>
        <v>0.77699115044247791</v>
      </c>
      <c r="G11" s="169">
        <f>ENTREGA_ALMACÉN!C37</f>
        <v>1123</v>
      </c>
      <c r="H11" s="170">
        <f>IF(CONSOLIDADO!B5=0,0,ENTREGA_ALMACÉN!C37/CONSOLIDADO!B5)</f>
        <v>0.99380530973451331</v>
      </c>
      <c r="I11" s="171">
        <f>MAX(0,ENTREGA_ALMACÉN!C37-(CONSOLIDADO!C5+CONSOLIDADO!D5+CONSOLIDADO!G5))</f>
        <v>245</v>
      </c>
      <c r="J11" s="172">
        <f>IF(ENTREGA_ALMACÉN!C37=0,0,MAX(0,ENTREGA_ALMACÉN!C37-(CONSOLIDADO!C5+CONSOLIDADO!D5+CONSOLIDADO!G5))/ENTREGA_ALMACÉN!C37)</f>
        <v>0.21816562778272486</v>
      </c>
    </row>
    <row r="12" spans="2:21" ht="18" customHeight="1">
      <c r="B12" s="173" t="str">
        <f>CONSOLIDADO!A6</f>
        <v>GRT Occidente</v>
      </c>
      <c r="C12" s="174">
        <f>CONSOLIDADO!B6</f>
        <v>779</v>
      </c>
      <c r="D12" s="166">
        <f>CONSOLIDADO!O6</f>
        <v>0</v>
      </c>
      <c r="E12" s="167">
        <f>CONSOLIDADO!C6+CONSOLIDADO!D6+CONSOLIDADO!G6</f>
        <v>100</v>
      </c>
      <c r="F12" s="175">
        <f>IF(CONSOLIDADO!B6=0,0,(CONSOLIDADO!C6+CONSOLIDADO!D6+CONSOLIDADO!G6)/CONSOLIDADO!B6)</f>
        <v>0.12836970474967907</v>
      </c>
      <c r="G12" s="169">
        <f>ENTREGA_ALMACÉN!C38</f>
        <v>731</v>
      </c>
      <c r="H12" s="176">
        <f>IF(CONSOLIDADO!B6=0,0,ENTREGA_ALMACÉN!C38/CONSOLIDADO!B6)</f>
        <v>0.93838254172015401</v>
      </c>
      <c r="I12" s="171">
        <f>MAX(0,ENTREGA_ALMACÉN!C38-(CONSOLIDADO!C6+CONSOLIDADO!D6+CONSOLIDADO!G6))</f>
        <v>631</v>
      </c>
      <c r="J12" s="177">
        <f>IF(ENTREGA_ALMACÉN!C38=0,0,MAX(0,ENTREGA_ALMACÉN!C38-(CONSOLIDADO!C6+CONSOLIDADO!D6+CONSOLIDADO!G6))/ENTREGA_ALMACÉN!C38)</f>
        <v>0.86320109439124482</v>
      </c>
      <c r="T12" s="182"/>
      <c r="U12" s="182"/>
    </row>
    <row r="13" spans="2:21" ht="18" customHeight="1">
      <c r="B13" s="164" t="str">
        <f>CONSOLIDADO!A7</f>
        <v>GRT Oriente</v>
      </c>
      <c r="C13" s="165">
        <f>CONSOLIDADO!B7</f>
        <v>395</v>
      </c>
      <c r="D13" s="166">
        <f>CONSOLIDADO!O7</f>
        <v>0</v>
      </c>
      <c r="E13" s="167">
        <f>CONSOLIDADO!C7+CONSOLIDADO!D7+CONSOLIDADO!G7</f>
        <v>84</v>
      </c>
      <c r="F13" s="168">
        <f>IF(CONSOLIDADO!B7=0,0,(CONSOLIDADO!C7+CONSOLIDADO!D7+CONSOLIDADO!G7)/CONSOLIDADO!B7)</f>
        <v>0.21265822784810126</v>
      </c>
      <c r="G13" s="169">
        <f>ENTREGA_ALMACÉN!C39</f>
        <v>359</v>
      </c>
      <c r="H13" s="170">
        <f>IF(CONSOLIDADO!B7=0,0,ENTREGA_ALMACÉN!C39/CONSOLIDADO!B7)</f>
        <v>0.90886075949367084</v>
      </c>
      <c r="I13" s="171">
        <f>MAX(0,ENTREGA_ALMACÉN!C39-(CONSOLIDADO!C7+CONSOLIDADO!D7+CONSOLIDADO!G7))</f>
        <v>275</v>
      </c>
      <c r="J13" s="172">
        <f>IF(ENTREGA_ALMACÉN!C39=0,0,MAX(0,ENTREGA_ALMACÉN!C39-(CONSOLIDADO!C7+CONSOLIDADO!D7+CONSOLIDADO!G7))/ENTREGA_ALMACÉN!C39)</f>
        <v>0.76601671309192199</v>
      </c>
      <c r="U13" s="182"/>
    </row>
    <row r="14" spans="2:21" ht="18" customHeight="1">
      <c r="B14" s="173" t="str">
        <f>CONSOLIDADO!A8</f>
        <v>GRT Valle de México</v>
      </c>
      <c r="C14" s="174">
        <f>CONSOLIDADO!B8</f>
        <v>735</v>
      </c>
      <c r="D14" s="166">
        <f>CONSOLIDADO!O8</f>
        <v>0</v>
      </c>
      <c r="E14" s="167">
        <f>CONSOLIDADO!C8+CONSOLIDADO!D8+CONSOLIDADO!G8</f>
        <v>77</v>
      </c>
      <c r="F14" s="175">
        <f>IF(CONSOLIDADO!B8=0,0,(CONSOLIDADO!C8+CONSOLIDADO!D8+CONSOLIDADO!G8)/CONSOLIDADO!B8)</f>
        <v>0.10476190476190476</v>
      </c>
      <c r="G14" s="169">
        <f>ENTREGA_ALMACÉN!C40</f>
        <v>537</v>
      </c>
      <c r="H14" s="176">
        <f>IF(CONSOLIDADO!B8=0,0,ENTREGA_ALMACÉN!C40/CONSOLIDADO!B8)</f>
        <v>0.73061224489795917</v>
      </c>
      <c r="I14" s="171">
        <f>MAX(0,ENTREGA_ALMACÉN!C40-(CONSOLIDADO!C8+CONSOLIDADO!D8+CONSOLIDADO!G8))</f>
        <v>460</v>
      </c>
      <c r="J14" s="177">
        <f>IF(ENTREGA_ALMACÉN!C40=0,0,MAX(0,ENTREGA_ALMACÉN!C40-(CONSOLIDADO!C8+CONSOLIDADO!D8+CONSOLIDADO!G8))/ENTREGA_ALMACÉN!C40)</f>
        <v>0.85661080074487894</v>
      </c>
    </row>
    <row r="15" spans="2:21" ht="18" customHeight="1">
      <c r="B15" s="164" t="str">
        <f>CONSOLIDADO!A9</f>
        <v>GRT Noroeste</v>
      </c>
      <c r="C15" s="165">
        <f>CONSOLIDADO!B9</f>
        <v>367</v>
      </c>
      <c r="D15" s="166">
        <f>CONSOLIDADO!O9</f>
        <v>0</v>
      </c>
      <c r="E15" s="167">
        <f>CONSOLIDADO!C9+CONSOLIDADO!D9+CONSOLIDADO!G9</f>
        <v>63</v>
      </c>
      <c r="F15" s="168">
        <f>IF(CONSOLIDADO!B9=0,0,(CONSOLIDADO!C9+CONSOLIDADO!D9+CONSOLIDADO!G9)/CONSOLIDADO!B9)</f>
        <v>0.17166212534059946</v>
      </c>
      <c r="G15" s="169">
        <f>ENTREGA_ALMACÉN!C41</f>
        <v>347</v>
      </c>
      <c r="H15" s="170">
        <f>IF(CONSOLIDADO!B9=0,0,ENTREGA_ALMACÉN!C41/CONSOLIDADO!B9)</f>
        <v>0.94550408719346046</v>
      </c>
      <c r="I15" s="171">
        <f>MAX(0,ENTREGA_ALMACÉN!C41-(CONSOLIDADO!C9+CONSOLIDADO!D9+CONSOLIDADO!G9))</f>
        <v>284</v>
      </c>
      <c r="J15" s="172">
        <f>IF(ENTREGA_ALMACÉN!C41=0,0,MAX(0,ENTREGA_ALMACÉN!C41-(CONSOLIDADO!C9+CONSOLIDADO!D9+CONSOLIDADO!G9))/ENTREGA_ALMACÉN!C41)</f>
        <v>0.81844380403458217</v>
      </c>
    </row>
    <row r="16" spans="2:21" ht="18" customHeight="1">
      <c r="B16" s="173" t="str">
        <f>CONSOLIDADO!A10</f>
        <v>GRT Norte</v>
      </c>
      <c r="C16" s="174">
        <f>CONSOLIDADO!B10</f>
        <v>291</v>
      </c>
      <c r="D16" s="166">
        <f>CONSOLIDADO!O10</f>
        <v>0</v>
      </c>
      <c r="E16" s="167">
        <f>CONSOLIDADO!C10+CONSOLIDADO!D10+CONSOLIDADO!G10</f>
        <v>22</v>
      </c>
      <c r="F16" s="175">
        <f>IF(CONSOLIDADO!B10=0,0,(CONSOLIDADO!C10+CONSOLIDADO!D10+CONSOLIDADO!G10)/CONSOLIDADO!B10)</f>
        <v>7.560137457044673E-2</v>
      </c>
      <c r="G16" s="169">
        <f>ENTREGA_ALMACÉN!C42</f>
        <v>291</v>
      </c>
      <c r="H16" s="176">
        <f>IF(CONSOLIDADO!B10=0,0,ENTREGA_ALMACÉN!C42/CONSOLIDADO!B10)</f>
        <v>1</v>
      </c>
      <c r="I16" s="171">
        <f>MAX(0,ENTREGA_ALMACÉN!C42-(CONSOLIDADO!C10+CONSOLIDADO!D10+CONSOLIDADO!G10))</f>
        <v>269</v>
      </c>
      <c r="J16" s="177">
        <f>IF(ENTREGA_ALMACÉN!C42=0,0,MAX(0,ENTREGA_ALMACÉN!C42-(CONSOLIDADO!C10+CONSOLIDADO!D10+CONSOLIDADO!G10))/ENTREGA_ALMACÉN!C42)</f>
        <v>0.92439862542955331</v>
      </c>
    </row>
    <row r="17" spans="2:10" ht="18" customHeight="1">
      <c r="B17" s="164" t="str">
        <f>CONSOLIDADO!A11</f>
        <v>GRT Noreste</v>
      </c>
      <c r="C17" s="165">
        <f>CONSOLIDADO!B11</f>
        <v>257</v>
      </c>
      <c r="D17" s="166">
        <f>CONSOLIDADO!O11</f>
        <v>0</v>
      </c>
      <c r="E17" s="167">
        <f>CONSOLIDADO!C11+CONSOLIDADO!D11+CONSOLIDADO!G11</f>
        <v>43</v>
      </c>
      <c r="F17" s="168">
        <f>IF(CONSOLIDADO!B11=0,0,(CONSOLIDADO!C11+CONSOLIDADO!D11+CONSOLIDADO!G11)/CONSOLIDADO!B11)</f>
        <v>0.16731517509727625</v>
      </c>
      <c r="G17" s="169">
        <f>ENTREGA_ALMACÉN!C43</f>
        <v>245</v>
      </c>
      <c r="H17" s="170">
        <f>IF(CONSOLIDADO!B11=0,0,ENTREGA_ALMACÉN!C43/CONSOLIDADO!B11)</f>
        <v>0.953307392996109</v>
      </c>
      <c r="I17" s="171">
        <f>MAX(0,ENTREGA_ALMACÉN!C43-(CONSOLIDADO!C11+CONSOLIDADO!D11+CONSOLIDADO!G11))</f>
        <v>202</v>
      </c>
      <c r="J17" s="172">
        <f>IF(ENTREGA_ALMACÉN!C43=0,0,MAX(0,ENTREGA_ALMACÉN!C43-(CONSOLIDADO!C11+CONSOLIDADO!D11+CONSOLIDADO!G11))/ENTREGA_ALMACÉN!C43)</f>
        <v>0.82448979591836735</v>
      </c>
    </row>
    <row r="18" spans="2:10" ht="18" customHeight="1">
      <c r="B18" s="173" t="str">
        <f>CONSOLIDADO!A12</f>
        <v>GRT Baja California</v>
      </c>
      <c r="C18" s="174">
        <f>CONSOLIDADO!B12</f>
        <v>276</v>
      </c>
      <c r="D18" s="166">
        <f>CONSOLIDADO!O12</f>
        <v>0</v>
      </c>
      <c r="E18" s="167">
        <f>CONSOLIDADO!C12+CONSOLIDADO!D12+CONSOLIDADO!G12</f>
        <v>43</v>
      </c>
      <c r="F18" s="175">
        <f>IF(CONSOLIDADO!B12=0,0,(CONSOLIDADO!C12+CONSOLIDADO!D12+CONSOLIDADO!G12)/CONSOLIDADO!B12)</f>
        <v>0.15579710144927536</v>
      </c>
      <c r="G18" s="169">
        <f>ENTREGA_ALMACÉN!C44</f>
        <v>227</v>
      </c>
      <c r="H18" s="176">
        <f>IF(CONSOLIDADO!B12=0,0,ENTREGA_ALMACÉN!C44/CONSOLIDADO!B12)</f>
        <v>0.82246376811594202</v>
      </c>
      <c r="I18" s="171">
        <f>MAX(0,ENTREGA_ALMACÉN!C44-(CONSOLIDADO!C12+CONSOLIDADO!D12+CONSOLIDADO!G12))</f>
        <v>184</v>
      </c>
      <c r="J18" s="177">
        <f>IF(ENTREGA_ALMACÉN!C44=0,0,MAX(0,ENTREGA_ALMACÉN!C44-(CONSOLIDADO!C12+CONSOLIDADO!D12+CONSOLIDADO!G12))/ENTREGA_ALMACÉN!C44)</f>
        <v>0.81057268722466957</v>
      </c>
    </row>
    <row r="19" spans="2:10" ht="19.5" customHeight="1">
      <c r="B19" s="36" t="s">
        <v>69</v>
      </c>
      <c r="C19" s="37">
        <f>CONSOLIDADO!B13</f>
        <v>4230</v>
      </c>
      <c r="D19" s="37">
        <f>CONSOLIDADO!O13</f>
        <v>0</v>
      </c>
      <c r="E19" s="37">
        <f>CONSOLIDADO!C13+CONSOLIDADO!D13+CONSOLIDADO!G13</f>
        <v>1310</v>
      </c>
      <c r="F19" s="38">
        <f>IF(CONSOLIDADO!B13=0,0,(CONSOLIDADO!C13+CONSOLIDADO!D13+CONSOLIDADO!G13)/CONSOLIDADO!B13)</f>
        <v>0.30969267139479906</v>
      </c>
      <c r="G19" s="37">
        <f>ENTREGA_ALMACÉN!F33</f>
        <v>3860</v>
      </c>
      <c r="H19" s="38">
        <f>IF(CONSOLIDADO!B13=0,0,ENTREGA_ALMACÉN!F33/CONSOLIDADO!B13)</f>
        <v>0.91252955082742315</v>
      </c>
      <c r="I19" s="37">
        <f>MAX(0,ENTREGA_ALMACÉN!F33-(CONSOLIDADO!C13+CONSOLIDADO!D13+CONSOLIDADO!G13))</f>
        <v>2550</v>
      </c>
      <c r="J19" s="38">
        <f>IF(ENTREGA_ALMACÉN!F33=0,0,MAX(0,ENTREGA_ALMACÉN!F33-(CONSOLIDADO!C13+CONSOLIDADO!D13+CONSOLIDADO!G13))/ENTREGA_ALMACÉN!F33)</f>
        <v>0.6606217616580311</v>
      </c>
    </row>
    <row r="20" spans="2:10" ht="18" customHeight="1"/>
    <row r="21" spans="2:10" ht="13.5" customHeight="1">
      <c r="B21" s="222" t="s">
        <v>59</v>
      </c>
      <c r="C21" s="260"/>
      <c r="D21" s="260"/>
      <c r="E21" s="260"/>
      <c r="F21" s="260"/>
      <c r="G21" s="260"/>
      <c r="H21" s="260"/>
      <c r="I21" s="260"/>
      <c r="J21" s="260"/>
    </row>
  </sheetData>
  <mergeCells count="17">
    <mergeCell ref="B21:J21"/>
    <mergeCell ref="F7:G7"/>
    <mergeCell ref="B9:J9"/>
    <mergeCell ref="H5:I5"/>
    <mergeCell ref="F6:G6"/>
    <mergeCell ref="B8:J8"/>
    <mergeCell ref="B7:C7"/>
    <mergeCell ref="D7:E7"/>
    <mergeCell ref="H7:I7"/>
    <mergeCell ref="B2:J2"/>
    <mergeCell ref="D6:E6"/>
    <mergeCell ref="B6:C6"/>
    <mergeCell ref="B3:J3"/>
    <mergeCell ref="H6:I6"/>
    <mergeCell ref="B5:C5"/>
    <mergeCell ref="F5:G5"/>
    <mergeCell ref="D5:E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2"/>
  <sheetViews>
    <sheetView topLeftCell="A8" workbookViewId="0">
      <selection activeCell="D18" sqref="D18"/>
    </sheetView>
  </sheetViews>
  <sheetFormatPr defaultColWidth="8.85546875" defaultRowHeight="15"/>
  <cols>
    <col min="1" max="1" width="1.42578125" customWidth="1"/>
    <col min="2" max="2" width="22" customWidth="1"/>
    <col min="3" max="5" width="13" customWidth="1"/>
    <col min="6" max="7" width="12" customWidth="1"/>
    <col min="8" max="9" width="11" customWidth="1"/>
    <col min="10" max="10" width="1.42578125" customWidth="1"/>
  </cols>
  <sheetData>
    <row r="1" spans="2:9" ht="6" customHeight="1"/>
    <row r="2" spans="2:9" ht="27.95" customHeight="1">
      <c r="B2" s="230" t="s">
        <v>70</v>
      </c>
      <c r="C2" s="260"/>
      <c r="D2" s="260"/>
      <c r="E2" s="260"/>
      <c r="F2" s="260"/>
      <c r="G2" s="260"/>
      <c r="H2" s="260"/>
      <c r="I2" s="260"/>
    </row>
    <row r="3" spans="2:9" ht="12" customHeight="1">
      <c r="B3" s="231" t="str">
        <f ca="1">TEXT(TODAY(),"DD/MM/YYYY")&amp;"  |  CFE Transmisión  |  4,230 Sitios"</f>
        <v>12/05/2026  |  CFE Transmisión  |  4,230 Sitios</v>
      </c>
      <c r="C3" s="260"/>
      <c r="D3" s="260"/>
      <c r="E3" s="260"/>
      <c r="F3" s="260"/>
      <c r="G3" s="260"/>
      <c r="H3" s="260"/>
      <c r="I3" s="260"/>
    </row>
    <row r="4" spans="2:9" ht="8.1" customHeight="1"/>
    <row r="5" spans="2:9" ht="30" customHeight="1">
      <c r="B5" s="273" t="s">
        <v>60</v>
      </c>
      <c r="C5" s="273" t="s">
        <v>61</v>
      </c>
      <c r="D5" s="273" t="s">
        <v>71</v>
      </c>
      <c r="E5" s="273" t="s">
        <v>72</v>
      </c>
      <c r="F5" s="273" t="s">
        <v>73</v>
      </c>
      <c r="G5" s="274" t="s">
        <v>74</v>
      </c>
      <c r="H5" s="260"/>
    </row>
    <row r="6" spans="2:9" ht="30" customHeight="1">
      <c r="B6" s="275"/>
      <c r="C6" s="275"/>
      <c r="D6" s="275"/>
      <c r="E6" s="275"/>
      <c r="F6" s="275"/>
      <c r="G6" s="132" t="s">
        <v>75</v>
      </c>
      <c r="H6" s="132" t="s">
        <v>76</v>
      </c>
    </row>
    <row r="7" spans="2:9" ht="8.1" customHeight="1">
      <c r="B7" s="232"/>
      <c r="C7" s="232"/>
      <c r="D7" s="232"/>
      <c r="E7" s="232"/>
      <c r="F7" s="232"/>
      <c r="G7" s="232"/>
      <c r="H7" s="232"/>
    </row>
    <row r="8" spans="2:9" ht="27.95" customHeight="1">
      <c r="B8" s="133">
        <f>CONSOLIDADO!B13</f>
        <v>4230</v>
      </c>
      <c r="C8" s="134">
        <f>ENTREGA_ALMACÉN!F33</f>
        <v>3860</v>
      </c>
      <c r="D8" s="135">
        <f>CONSOLIDADO!B13-ENTREGA_ALMACÉN!F33</f>
        <v>370</v>
      </c>
      <c r="E8" s="136" t="str">
        <f>TEXT(ENTREGA_ALMACÉN!F33/CONSOLIDADO!B13,"0.00%")</f>
        <v>91.25%</v>
      </c>
      <c r="F8" s="137">
        <f>CONSOLIDADO!C13+CONSOLIDADO!D13+CONSOLIDADO!G13</f>
        <v>1310</v>
      </c>
      <c r="G8" s="138" t="str">
        <f>TEXT((CONSOLIDADO!C13+CONSOLIDADO!D13+CONSOLIDADO!G13)/CONSOLIDADO!B13,"0.00%")</f>
        <v>30.97%</v>
      </c>
      <c r="H8" s="138" t="str">
        <f>TEXT((CONSOLIDADO!C13+CONSOLIDADO!D13+CONSOLIDADO!G13)/ENTREGA_ALMACÉN!F33,"0.00%")</f>
        <v>33.94%</v>
      </c>
    </row>
    <row r="9" spans="2:9" ht="27.95" customHeight="1">
      <c r="B9" s="233" t="s">
        <v>77</v>
      </c>
      <c r="C9" s="260"/>
      <c r="D9" s="260"/>
      <c r="E9" s="260"/>
      <c r="F9" s="260"/>
      <c r="G9" s="260"/>
      <c r="H9" s="260"/>
      <c r="I9" s="260"/>
    </row>
    <row r="10" spans="2:9" ht="28.5" customHeight="1">
      <c r="B10" s="273" t="s">
        <v>78</v>
      </c>
      <c r="C10" s="276" t="s">
        <v>60</v>
      </c>
      <c r="D10" s="276" t="s">
        <v>61</v>
      </c>
      <c r="E10" s="276" t="s">
        <v>79</v>
      </c>
      <c r="F10" s="276" t="s">
        <v>72</v>
      </c>
      <c r="G10" s="276" t="s">
        <v>73</v>
      </c>
      <c r="H10" s="276" t="s">
        <v>80</v>
      </c>
      <c r="I10" s="276" t="s">
        <v>81</v>
      </c>
    </row>
    <row r="11" spans="2:9" ht="18" customHeight="1">
      <c r="B11" s="139" t="str">
        <f>CONSOLIDADO!A5</f>
        <v>GRT Central</v>
      </c>
      <c r="C11" s="277">
        <f>CONSOLIDADO!B5</f>
        <v>1130</v>
      </c>
      <c r="D11" s="278">
        <f>ENTREGA_ALMACÉN!C37</f>
        <v>1123</v>
      </c>
      <c r="E11" s="279">
        <f>CONSOLIDADO!B5-ENTREGA_ALMACÉN!C37</f>
        <v>7</v>
      </c>
      <c r="F11" s="280">
        <f>IF(CONSOLIDADO!B5=0,0,ENTREGA_ALMACÉN!C37/CONSOLIDADO!B5)</f>
        <v>0.99380530973451331</v>
      </c>
      <c r="G11" s="281">
        <f>CONSOLIDADO!C5+CONSOLIDADO!D5+CONSOLIDADO!G5</f>
        <v>878</v>
      </c>
      <c r="H11" s="282">
        <f>IF(CONSOLIDADO!B5=0,0,(CONSOLIDADO!C5+CONSOLIDADO!D5+CONSOLIDADO!G5)/CONSOLIDADO!B5)</f>
        <v>0.77699115044247791</v>
      </c>
      <c r="I11" s="282">
        <f>IF(ENTREGA_ALMACÉN!C37=0,0,(CONSOLIDADO!C5+CONSOLIDADO!D5+CONSOLIDADO!G5)/ENTREGA_ALMACÉN!C37)</f>
        <v>0.78183437221727514</v>
      </c>
    </row>
    <row r="12" spans="2:9" ht="18" customHeight="1">
      <c r="B12" s="140" t="str">
        <f>CONSOLIDADO!A6</f>
        <v>GRT Occidente</v>
      </c>
      <c r="C12" s="283">
        <f>CONSOLIDADO!B6</f>
        <v>779</v>
      </c>
      <c r="D12" s="278">
        <f>ENTREGA_ALMACÉN!C38</f>
        <v>731</v>
      </c>
      <c r="E12" s="279">
        <f>CONSOLIDADO!B6-ENTREGA_ALMACÉN!C38</f>
        <v>48</v>
      </c>
      <c r="F12" s="284">
        <f>IF(CONSOLIDADO!B6=0,0,ENTREGA_ALMACÉN!C38/CONSOLIDADO!B6)</f>
        <v>0.93838254172015401</v>
      </c>
      <c r="G12" s="281">
        <f>CONSOLIDADO!C6+CONSOLIDADO!D6+CONSOLIDADO!G6</f>
        <v>100</v>
      </c>
      <c r="H12" s="285">
        <f>IF(CONSOLIDADO!B6=0,0,(CONSOLIDADO!C6+CONSOLIDADO!D6+CONSOLIDADO!G6)/CONSOLIDADO!B6)</f>
        <v>0.12836970474967907</v>
      </c>
      <c r="I12" s="285">
        <f>IF(ENTREGA_ALMACÉN!C38=0,0,(CONSOLIDADO!C6+CONSOLIDADO!D6+CONSOLIDADO!G6)/ENTREGA_ALMACÉN!C38)</f>
        <v>0.13679890560875513</v>
      </c>
    </row>
    <row r="13" spans="2:9" ht="18" customHeight="1">
      <c r="B13" s="139" t="str">
        <f>CONSOLIDADO!A7</f>
        <v>GRT Oriente</v>
      </c>
      <c r="C13" s="277">
        <f>CONSOLIDADO!B7</f>
        <v>395</v>
      </c>
      <c r="D13" s="278">
        <f>ENTREGA_ALMACÉN!C39</f>
        <v>359</v>
      </c>
      <c r="E13" s="279">
        <f>CONSOLIDADO!B7-ENTREGA_ALMACÉN!C39</f>
        <v>36</v>
      </c>
      <c r="F13" s="280">
        <f>IF(CONSOLIDADO!B7=0,0,ENTREGA_ALMACÉN!C39/CONSOLIDADO!B7)</f>
        <v>0.90886075949367084</v>
      </c>
      <c r="G13" s="281">
        <f>CONSOLIDADO!C7+CONSOLIDADO!D7+CONSOLIDADO!G7</f>
        <v>84</v>
      </c>
      <c r="H13" s="282">
        <f>IF(CONSOLIDADO!B7=0,0,(CONSOLIDADO!C7+CONSOLIDADO!D7+CONSOLIDADO!G7)/CONSOLIDADO!B7)</f>
        <v>0.21265822784810126</v>
      </c>
      <c r="I13" s="282">
        <f>IF(ENTREGA_ALMACÉN!C39=0,0,(CONSOLIDADO!C7+CONSOLIDADO!D7+CONSOLIDADO!G7)/ENTREGA_ALMACÉN!C39)</f>
        <v>0.23398328690807799</v>
      </c>
    </row>
    <row r="14" spans="2:9" ht="18" customHeight="1">
      <c r="B14" s="140" t="str">
        <f>CONSOLIDADO!A8</f>
        <v>GRT Valle de México</v>
      </c>
      <c r="C14" s="283">
        <f>CONSOLIDADO!B8</f>
        <v>735</v>
      </c>
      <c r="D14" s="278">
        <f>ENTREGA_ALMACÉN!C40</f>
        <v>537</v>
      </c>
      <c r="E14" s="279">
        <f>CONSOLIDADO!B8-ENTREGA_ALMACÉN!C40</f>
        <v>198</v>
      </c>
      <c r="F14" s="284">
        <f>IF(CONSOLIDADO!B8=0,0,ENTREGA_ALMACÉN!C40/CONSOLIDADO!B8)</f>
        <v>0.73061224489795917</v>
      </c>
      <c r="G14" s="281">
        <f>CONSOLIDADO!C8+CONSOLIDADO!D8+CONSOLIDADO!G8</f>
        <v>77</v>
      </c>
      <c r="H14" s="285">
        <f>IF(CONSOLIDADO!B8=0,0,(CONSOLIDADO!C8+CONSOLIDADO!D8+CONSOLIDADO!G8)/CONSOLIDADO!B8)</f>
        <v>0.10476190476190476</v>
      </c>
      <c r="I14" s="285">
        <f>IF(ENTREGA_ALMACÉN!C40=0,0,(CONSOLIDADO!C8+CONSOLIDADO!D8+CONSOLIDADO!G8)/ENTREGA_ALMACÉN!C40)</f>
        <v>0.14338919925512103</v>
      </c>
    </row>
    <row r="15" spans="2:9" ht="18" customHeight="1">
      <c r="B15" s="139" t="str">
        <f>CONSOLIDADO!A9</f>
        <v>GRT Noroeste</v>
      </c>
      <c r="C15" s="277">
        <f>CONSOLIDADO!B9</f>
        <v>367</v>
      </c>
      <c r="D15" s="278">
        <f>ENTREGA_ALMACÉN!C41</f>
        <v>347</v>
      </c>
      <c r="E15" s="279">
        <f>CONSOLIDADO!B9-ENTREGA_ALMACÉN!C41</f>
        <v>20</v>
      </c>
      <c r="F15" s="280">
        <f>IF(CONSOLIDADO!B9=0,0,ENTREGA_ALMACÉN!C41/CONSOLIDADO!B9)</f>
        <v>0.94550408719346046</v>
      </c>
      <c r="G15" s="281">
        <f>CONSOLIDADO!C9+CONSOLIDADO!D9+CONSOLIDADO!G9</f>
        <v>63</v>
      </c>
      <c r="H15" s="282">
        <f>IF(CONSOLIDADO!B9=0,0,(CONSOLIDADO!C9+CONSOLIDADO!D9+CONSOLIDADO!G9)/CONSOLIDADO!B9)</f>
        <v>0.17166212534059946</v>
      </c>
      <c r="I15" s="282">
        <f>IF(ENTREGA_ALMACÉN!C41=0,0,(CONSOLIDADO!C9+CONSOLIDADO!D9+CONSOLIDADO!G9)/ENTREGA_ALMACÉN!C41)</f>
        <v>0.18155619596541786</v>
      </c>
    </row>
    <row r="16" spans="2:9" ht="18" customHeight="1">
      <c r="B16" s="140" t="str">
        <f>CONSOLIDADO!A10</f>
        <v>GRT Norte</v>
      </c>
      <c r="C16" s="283">
        <f>CONSOLIDADO!B10</f>
        <v>291</v>
      </c>
      <c r="D16" s="278">
        <f>ENTREGA_ALMACÉN!C42</f>
        <v>291</v>
      </c>
      <c r="E16" s="279">
        <f>CONSOLIDADO!B10-ENTREGA_ALMACÉN!C42</f>
        <v>0</v>
      </c>
      <c r="F16" s="284">
        <f>IF(CONSOLIDADO!B10=0,0,ENTREGA_ALMACÉN!C42/CONSOLIDADO!B10)</f>
        <v>1</v>
      </c>
      <c r="G16" s="281">
        <f>CONSOLIDADO!C10+CONSOLIDADO!D10+CONSOLIDADO!G10</f>
        <v>22</v>
      </c>
      <c r="H16" s="285">
        <f>IF(CONSOLIDADO!B10=0,0,(CONSOLIDADO!C10+CONSOLIDADO!D10+CONSOLIDADO!G10)/CONSOLIDADO!B10)</f>
        <v>7.560137457044673E-2</v>
      </c>
      <c r="I16" s="285">
        <f>IF(ENTREGA_ALMACÉN!C42=0,0,(CONSOLIDADO!C10+CONSOLIDADO!D10+CONSOLIDADO!G10)/ENTREGA_ALMACÉN!C42)</f>
        <v>7.560137457044673E-2</v>
      </c>
    </row>
    <row r="17" spans="2:9" ht="18" customHeight="1">
      <c r="B17" s="139" t="str">
        <f>CONSOLIDADO!A11</f>
        <v>GRT Noreste</v>
      </c>
      <c r="C17" s="277">
        <f>CONSOLIDADO!B11</f>
        <v>257</v>
      </c>
      <c r="D17" s="278">
        <f>ENTREGA_ALMACÉN!C43</f>
        <v>245</v>
      </c>
      <c r="E17" s="279">
        <f>CONSOLIDADO!B11-ENTREGA_ALMACÉN!C43</f>
        <v>12</v>
      </c>
      <c r="F17" s="280">
        <f>IF(CONSOLIDADO!B11=0,0,ENTREGA_ALMACÉN!C43/CONSOLIDADO!B11)</f>
        <v>0.953307392996109</v>
      </c>
      <c r="G17" s="281">
        <f>CONSOLIDADO!C11+CONSOLIDADO!D11+CONSOLIDADO!G11</f>
        <v>43</v>
      </c>
      <c r="H17" s="282">
        <f>IF(CONSOLIDADO!B11=0,0,(CONSOLIDADO!C11+CONSOLIDADO!D11+CONSOLIDADO!G11)/CONSOLIDADO!B11)</f>
        <v>0.16731517509727625</v>
      </c>
      <c r="I17" s="282">
        <f>IF(ENTREGA_ALMACÉN!C43=0,0,(CONSOLIDADO!C11+CONSOLIDADO!D11+CONSOLIDADO!G11)/ENTREGA_ALMACÉN!C43)</f>
        <v>0.17551020408163265</v>
      </c>
    </row>
    <row r="18" spans="2:9" ht="18" customHeight="1">
      <c r="B18" s="140" t="str">
        <f>CONSOLIDADO!A12</f>
        <v>GRT Baja California</v>
      </c>
      <c r="C18" s="283">
        <f>CONSOLIDADO!B12</f>
        <v>276</v>
      </c>
      <c r="D18" s="278">
        <f>ENTREGA_ALMACÉN!C44</f>
        <v>227</v>
      </c>
      <c r="E18" s="279">
        <f>CONSOLIDADO!B12-ENTREGA_ALMACÉN!C44</f>
        <v>49</v>
      </c>
      <c r="F18" s="284">
        <f>IF(CONSOLIDADO!B12=0,0,ENTREGA_ALMACÉN!C44/CONSOLIDADO!B12)</f>
        <v>0.82246376811594202</v>
      </c>
      <c r="G18" s="281">
        <f>CONSOLIDADO!C12+CONSOLIDADO!D12+CONSOLIDADO!G12</f>
        <v>43</v>
      </c>
      <c r="H18" s="285">
        <f>IF(CONSOLIDADO!B12=0,0,(CONSOLIDADO!C12+CONSOLIDADO!D12+CONSOLIDADO!G12)/CONSOLIDADO!B12)</f>
        <v>0.15579710144927536</v>
      </c>
      <c r="I18" s="285">
        <f>IF(ENTREGA_ALMACÉN!C44=0,0,(CONSOLIDADO!C12+CONSOLIDADO!D12+CONSOLIDADO!G12)/ENTREGA_ALMACÉN!C44)</f>
        <v>0.1894273127753304</v>
      </c>
    </row>
    <row r="19" spans="2:9" ht="20.100000000000001" customHeight="1">
      <c r="B19" s="286" t="s">
        <v>69</v>
      </c>
      <c r="C19" s="287">
        <f>CONSOLIDADO!B13</f>
        <v>4230</v>
      </c>
      <c r="D19" s="287">
        <f>ENTREGA_ALMACÉN!F33</f>
        <v>3860</v>
      </c>
      <c r="E19" s="287">
        <f>CONSOLIDADO!B13-ENTREGA_ALMACÉN!F33</f>
        <v>370</v>
      </c>
      <c r="F19" s="288">
        <f>IF(CONSOLIDADO!B13=0,0,ENTREGA_ALMACÉN!F33/CONSOLIDADO!B13)</f>
        <v>0.91252955082742315</v>
      </c>
      <c r="G19" s="287">
        <f>CONSOLIDADO!C13+CONSOLIDADO!D13+CONSOLIDADO!G13</f>
        <v>1310</v>
      </c>
      <c r="H19" s="288">
        <f>IF(CONSOLIDADO!B13=0,0,(CONSOLIDADO!C13+CONSOLIDADO!D13+CONSOLIDADO!G13)/CONSOLIDADO!B13)</f>
        <v>0.30969267139479906</v>
      </c>
      <c r="I19" s="288">
        <f>IF(ENTREGA_ALMACÉN!F33=0,0,(CONSOLIDADO!C13+CONSOLIDADO!D13+CONSOLIDADO!G13)/ENTREGA_ALMACÉN!F33)</f>
        <v>0.3393782383419689</v>
      </c>
    </row>
    <row r="20" spans="2:9" ht="18" customHeight="1"/>
    <row r="21" spans="2:9" ht="8.1" customHeight="1"/>
    <row r="22" spans="2:9" ht="14.1" customHeight="1">
      <c r="B22" s="289" t="s">
        <v>59</v>
      </c>
      <c r="C22" s="260"/>
      <c r="D22" s="260"/>
      <c r="E22" s="260"/>
      <c r="F22" s="260"/>
      <c r="G22" s="260"/>
      <c r="H22" s="260"/>
      <c r="I22" s="260"/>
    </row>
  </sheetData>
  <mergeCells count="12">
    <mergeCell ref="B10"/>
    <mergeCell ref="F5:F6"/>
    <mergeCell ref="B22:I22"/>
    <mergeCell ref="B5:B6"/>
    <mergeCell ref="D5:D6"/>
    <mergeCell ref="B9:I9"/>
    <mergeCell ref="E5:E6"/>
    <mergeCell ref="B2:I2"/>
    <mergeCell ref="G5:H5"/>
    <mergeCell ref="B3:I3"/>
    <mergeCell ref="C5:C6"/>
    <mergeCell ref="B7:H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565C0"/>
  </sheetPr>
  <dimension ref="A1:M4235"/>
  <sheetViews>
    <sheetView showGridLines="0" zoomScaleNormal="100" workbookViewId="0">
      <pane ySplit="5" topLeftCell="A1273" activePane="bottomLeft" state="frozen"/>
      <selection pane="bottomLeft" activeCell="K4245" sqref="K4245"/>
    </sheetView>
  </sheetViews>
  <sheetFormatPr defaultColWidth="8.7109375" defaultRowHeight="15"/>
  <cols>
    <col min="1" max="1" width="14" customWidth="1"/>
    <col min="2" max="2" width="12" customWidth="1"/>
    <col min="3" max="3" width="36" customWidth="1"/>
    <col min="4" max="4" width="20" customWidth="1"/>
    <col min="5" max="6" width="30.7109375" customWidth="1"/>
    <col min="7" max="7" width="10.28515625" customWidth="1"/>
    <col min="8" max="8" width="22" customWidth="1"/>
    <col min="9" max="9" width="30.7109375" customWidth="1"/>
    <col min="10" max="10" width="15" customWidth="1"/>
    <col min="11" max="11" width="26" customWidth="1"/>
    <col min="12" max="12" width="25.140625" customWidth="1"/>
    <col min="13" max="13" width="30.7109375" customWidth="1"/>
  </cols>
  <sheetData>
    <row r="1" spans="1:13" ht="31.5" customHeight="1">
      <c r="A1" s="195" t="s">
        <v>82</v>
      </c>
      <c r="B1" s="195"/>
      <c r="C1" s="195"/>
      <c r="D1" s="195"/>
      <c r="E1" s="195"/>
      <c r="F1" s="195"/>
      <c r="G1" s="195"/>
      <c r="H1" s="195"/>
      <c r="I1" s="195"/>
      <c r="J1" s="195"/>
      <c r="K1" s="195"/>
      <c r="L1" s="195"/>
      <c r="M1" s="195"/>
    </row>
    <row r="2" spans="1:13" ht="9.75" customHeight="1">
      <c r="A2" s="195"/>
      <c r="B2" s="195"/>
      <c r="C2" s="195"/>
      <c r="D2" s="195"/>
      <c r="E2" s="195"/>
      <c r="F2" s="195"/>
      <c r="G2" s="195"/>
      <c r="H2" s="195"/>
      <c r="I2" s="195"/>
      <c r="J2" s="195"/>
      <c r="K2" s="195"/>
      <c r="L2" s="195"/>
      <c r="M2" s="195"/>
    </row>
    <row r="3" spans="1:13" ht="18" customHeight="1">
      <c r="A3" s="234" t="s">
        <v>83</v>
      </c>
      <c r="B3" s="234"/>
      <c r="C3" s="234"/>
      <c r="D3" s="234"/>
      <c r="E3" s="234"/>
      <c r="F3" s="234"/>
      <c r="G3" s="234"/>
      <c r="H3" s="234"/>
      <c r="I3" s="234"/>
      <c r="J3" s="234"/>
      <c r="K3" s="234"/>
      <c r="L3" s="234"/>
      <c r="M3" s="234"/>
    </row>
    <row r="4" spans="1:13" ht="3.75" customHeight="1">
      <c r="A4" s="235"/>
      <c r="B4" s="235"/>
      <c r="C4" s="235"/>
      <c r="D4" s="235"/>
      <c r="E4" s="235"/>
      <c r="F4" s="235"/>
      <c r="G4" s="235"/>
      <c r="H4" s="235"/>
      <c r="I4" s="235"/>
      <c r="J4" s="235"/>
      <c r="K4" s="235"/>
      <c r="L4" s="235"/>
      <c r="M4" s="235"/>
    </row>
    <row r="5" spans="1:13" ht="21.75" customHeight="1">
      <c r="A5" s="141" t="s">
        <v>84</v>
      </c>
      <c r="B5" s="141" t="s">
        <v>85</v>
      </c>
      <c r="C5" s="141" t="s">
        <v>86</v>
      </c>
      <c r="D5" s="141" t="s">
        <v>87</v>
      </c>
      <c r="E5" s="141" t="s">
        <v>88</v>
      </c>
      <c r="F5" s="141" t="s">
        <v>89</v>
      </c>
      <c r="G5" s="141" t="s">
        <v>90</v>
      </c>
      <c r="H5" s="141" t="s">
        <v>91</v>
      </c>
      <c r="I5" s="141" t="s">
        <v>92</v>
      </c>
      <c r="J5" s="141" t="s">
        <v>93</v>
      </c>
      <c r="K5" s="141" t="s">
        <v>94</v>
      </c>
      <c r="L5" s="141" t="s">
        <v>95</v>
      </c>
      <c r="M5" s="141" t="s">
        <v>96</v>
      </c>
    </row>
    <row r="6" spans="1:13" ht="15" customHeight="1">
      <c r="A6" s="142" t="s">
        <v>97</v>
      </c>
      <c r="B6" s="142">
        <v>513069</v>
      </c>
      <c r="C6" s="143" t="s">
        <v>98</v>
      </c>
      <c r="D6" s="142" t="s">
        <v>99</v>
      </c>
      <c r="E6" s="143" t="s">
        <v>100</v>
      </c>
      <c r="F6" s="143" t="s">
        <v>101</v>
      </c>
      <c r="G6" s="142" t="s">
        <v>102</v>
      </c>
      <c r="H6" s="142" t="s">
        <v>57</v>
      </c>
      <c r="I6" s="143" t="s">
        <v>103</v>
      </c>
      <c r="J6" s="143" t="s">
        <v>104</v>
      </c>
      <c r="K6" s="144"/>
      <c r="L6" s="145"/>
      <c r="M6" s="144"/>
    </row>
    <row r="7" spans="1:13" ht="15" customHeight="1">
      <c r="A7" s="146" t="s">
        <v>105</v>
      </c>
      <c r="B7" s="146">
        <v>513511</v>
      </c>
      <c r="C7" s="147" t="s">
        <v>106</v>
      </c>
      <c r="D7" s="146" t="s">
        <v>99</v>
      </c>
      <c r="E7" s="147" t="s">
        <v>107</v>
      </c>
      <c r="F7" s="147" t="s">
        <v>108</v>
      </c>
      <c r="G7" s="146" t="s">
        <v>109</v>
      </c>
      <c r="H7" s="146" t="s">
        <v>57</v>
      </c>
      <c r="I7" s="147" t="s">
        <v>103</v>
      </c>
      <c r="J7" s="147" t="s">
        <v>104</v>
      </c>
      <c r="K7" s="148"/>
      <c r="L7" s="149"/>
      <c r="M7" s="148"/>
    </row>
    <row r="8" spans="1:13" ht="15" customHeight="1">
      <c r="A8" s="142" t="s">
        <v>110</v>
      </c>
      <c r="B8" s="142">
        <v>513470</v>
      </c>
      <c r="C8" s="143" t="s">
        <v>111</v>
      </c>
      <c r="D8" s="142" t="s">
        <v>99</v>
      </c>
      <c r="E8" s="143" t="s">
        <v>107</v>
      </c>
      <c r="F8" s="143" t="s">
        <v>112</v>
      </c>
      <c r="G8" s="142" t="s">
        <v>109</v>
      </c>
      <c r="H8" s="142" t="s">
        <v>57</v>
      </c>
      <c r="I8" s="143" t="s">
        <v>103</v>
      </c>
      <c r="J8" s="143" t="s">
        <v>104</v>
      </c>
      <c r="K8" s="144"/>
      <c r="L8" s="145"/>
      <c r="M8" s="144"/>
    </row>
    <row r="9" spans="1:13" ht="15" customHeight="1">
      <c r="A9" s="146" t="s">
        <v>113</v>
      </c>
      <c r="B9" s="146">
        <v>513507</v>
      </c>
      <c r="C9" s="147" t="s">
        <v>114</v>
      </c>
      <c r="D9" s="146" t="s">
        <v>99</v>
      </c>
      <c r="E9" s="147" t="s">
        <v>107</v>
      </c>
      <c r="F9" s="147" t="s">
        <v>115</v>
      </c>
      <c r="G9" s="146" t="s">
        <v>109</v>
      </c>
      <c r="H9" s="146" t="s">
        <v>57</v>
      </c>
      <c r="I9" s="147" t="s">
        <v>103</v>
      </c>
      <c r="J9" s="147" t="s">
        <v>104</v>
      </c>
      <c r="K9" s="148"/>
      <c r="L9" s="149"/>
      <c r="M9" s="148"/>
    </row>
    <row r="10" spans="1:13" ht="15" customHeight="1">
      <c r="A10" s="142" t="s">
        <v>116</v>
      </c>
      <c r="B10" s="142">
        <v>513515</v>
      </c>
      <c r="C10" s="143" t="s">
        <v>117</v>
      </c>
      <c r="D10" s="142" t="s">
        <v>99</v>
      </c>
      <c r="E10" s="143" t="s">
        <v>107</v>
      </c>
      <c r="F10" s="143" t="s">
        <v>118</v>
      </c>
      <c r="G10" s="142" t="s">
        <v>109</v>
      </c>
      <c r="H10" s="142" t="s">
        <v>57</v>
      </c>
      <c r="I10" s="143" t="s">
        <v>103</v>
      </c>
      <c r="J10" s="143" t="s">
        <v>104</v>
      </c>
      <c r="K10" s="144"/>
      <c r="L10" s="145"/>
      <c r="M10" s="144"/>
    </row>
    <row r="11" spans="1:13" ht="15" customHeight="1">
      <c r="A11" s="146" t="s">
        <v>119</v>
      </c>
      <c r="B11" s="146">
        <v>513004</v>
      </c>
      <c r="C11" s="147" t="s">
        <v>120</v>
      </c>
      <c r="D11" s="146" t="s">
        <v>99</v>
      </c>
      <c r="E11" s="147" t="s">
        <v>100</v>
      </c>
      <c r="F11" s="147" t="s">
        <v>100</v>
      </c>
      <c r="G11" s="146" t="s">
        <v>109</v>
      </c>
      <c r="H11" s="146" t="s">
        <v>57</v>
      </c>
      <c r="I11" s="147" t="s">
        <v>103</v>
      </c>
      <c r="J11" s="147" t="s">
        <v>104</v>
      </c>
      <c r="K11" s="148" t="s">
        <v>121</v>
      </c>
      <c r="L11" s="149">
        <v>46150</v>
      </c>
      <c r="M11" s="148"/>
    </row>
    <row r="12" spans="1:13" ht="15" customHeight="1">
      <c r="A12" s="142" t="s">
        <v>122</v>
      </c>
      <c r="B12" s="142">
        <v>513501</v>
      </c>
      <c r="C12" s="143" t="s">
        <v>123</v>
      </c>
      <c r="D12" s="142" t="s">
        <v>99</v>
      </c>
      <c r="E12" s="143" t="s">
        <v>124</v>
      </c>
      <c r="F12" s="143" t="s">
        <v>124</v>
      </c>
      <c r="G12" s="142" t="s">
        <v>102</v>
      </c>
      <c r="H12" s="142" t="s">
        <v>57</v>
      </c>
      <c r="I12" s="143" t="s">
        <v>103</v>
      </c>
      <c r="J12" s="143" t="s">
        <v>104</v>
      </c>
      <c r="K12" s="144"/>
      <c r="L12" s="145"/>
      <c r="M12" s="144"/>
    </row>
    <row r="13" spans="1:13" ht="15" customHeight="1">
      <c r="A13" s="146" t="s">
        <v>125</v>
      </c>
      <c r="B13" s="146">
        <v>513478</v>
      </c>
      <c r="C13" s="147" t="s">
        <v>126</v>
      </c>
      <c r="D13" s="146" t="s">
        <v>99</v>
      </c>
      <c r="E13" s="147" t="s">
        <v>107</v>
      </c>
      <c r="F13" s="147" t="s">
        <v>127</v>
      </c>
      <c r="G13" s="146" t="s">
        <v>109</v>
      </c>
      <c r="H13" s="146" t="s">
        <v>57</v>
      </c>
      <c r="I13" s="147" t="s">
        <v>103</v>
      </c>
      <c r="J13" s="147" t="s">
        <v>104</v>
      </c>
      <c r="K13" s="148"/>
      <c r="L13" s="149"/>
      <c r="M13" s="148"/>
    </row>
    <row r="14" spans="1:13" ht="15" customHeight="1">
      <c r="A14" s="142" t="s">
        <v>128</v>
      </c>
      <c r="B14" s="142">
        <v>513509</v>
      </c>
      <c r="C14" s="143" t="s">
        <v>129</v>
      </c>
      <c r="D14" s="142" t="s">
        <v>99</v>
      </c>
      <c r="E14" s="143" t="s">
        <v>107</v>
      </c>
      <c r="F14" s="143" t="s">
        <v>130</v>
      </c>
      <c r="G14" s="142" t="s">
        <v>109</v>
      </c>
      <c r="H14" s="142" t="s">
        <v>57</v>
      </c>
      <c r="I14" s="143" t="s">
        <v>103</v>
      </c>
      <c r="J14" s="143" t="s">
        <v>104</v>
      </c>
      <c r="K14" s="144"/>
      <c r="L14" s="145"/>
      <c r="M14" s="144"/>
    </row>
    <row r="15" spans="1:13" ht="15" customHeight="1">
      <c r="A15" s="146" t="s">
        <v>131</v>
      </c>
      <c r="B15" s="146">
        <v>513466</v>
      </c>
      <c r="C15" s="147" t="s">
        <v>132</v>
      </c>
      <c r="D15" s="146" t="s">
        <v>99</v>
      </c>
      <c r="E15" s="147" t="s">
        <v>107</v>
      </c>
      <c r="F15" s="147" t="s">
        <v>133</v>
      </c>
      <c r="G15" s="146" t="s">
        <v>109</v>
      </c>
      <c r="H15" s="146" t="s">
        <v>57</v>
      </c>
      <c r="I15" s="147" t="s">
        <v>103</v>
      </c>
      <c r="J15" s="147" t="s">
        <v>104</v>
      </c>
      <c r="K15" s="148"/>
      <c r="L15" s="149"/>
      <c r="M15" s="148"/>
    </row>
    <row r="16" spans="1:13" ht="15" customHeight="1">
      <c r="A16" s="142" t="s">
        <v>134</v>
      </c>
      <c r="B16" s="142">
        <v>513428</v>
      </c>
      <c r="C16" s="143" t="s">
        <v>135</v>
      </c>
      <c r="D16" s="142" t="s">
        <v>99</v>
      </c>
      <c r="E16" s="143" t="s">
        <v>100</v>
      </c>
      <c r="F16" s="143" t="s">
        <v>100</v>
      </c>
      <c r="G16" s="142" t="s">
        <v>109</v>
      </c>
      <c r="H16" s="142" t="s">
        <v>57</v>
      </c>
      <c r="I16" s="143" t="s">
        <v>103</v>
      </c>
      <c r="J16" s="143" t="s">
        <v>104</v>
      </c>
      <c r="K16" s="144"/>
      <c r="L16" s="145"/>
      <c r="M16" s="144"/>
    </row>
    <row r="17" spans="1:13" ht="15" customHeight="1">
      <c r="A17" s="146" t="s">
        <v>136</v>
      </c>
      <c r="B17" s="146">
        <v>513535</v>
      </c>
      <c r="C17" s="147" t="s">
        <v>137</v>
      </c>
      <c r="D17" s="146" t="s">
        <v>99</v>
      </c>
      <c r="E17" s="147" t="s">
        <v>100</v>
      </c>
      <c r="F17" s="147" t="s">
        <v>138</v>
      </c>
      <c r="G17" s="146" t="s">
        <v>109</v>
      </c>
      <c r="H17" s="146" t="s">
        <v>57</v>
      </c>
      <c r="I17" s="147" t="s">
        <v>103</v>
      </c>
      <c r="J17" s="147" t="s">
        <v>104</v>
      </c>
      <c r="K17" s="148"/>
      <c r="L17" s="149"/>
      <c r="M17" s="148"/>
    </row>
    <row r="18" spans="1:13" ht="15" customHeight="1">
      <c r="A18" s="142" t="s">
        <v>139</v>
      </c>
      <c r="B18" s="142">
        <v>513014</v>
      </c>
      <c r="C18" s="143" t="s">
        <v>140</v>
      </c>
      <c r="D18" s="142" t="s">
        <v>99</v>
      </c>
      <c r="E18" s="143" t="s">
        <v>100</v>
      </c>
      <c r="F18" s="143" t="s">
        <v>141</v>
      </c>
      <c r="G18" s="142" t="s">
        <v>109</v>
      </c>
      <c r="H18" s="142" t="s">
        <v>57</v>
      </c>
      <c r="I18" s="143" t="s">
        <v>103</v>
      </c>
      <c r="J18" s="143" t="s">
        <v>104</v>
      </c>
      <c r="K18" s="144"/>
      <c r="L18" s="145"/>
      <c r="M18" s="144"/>
    </row>
    <row r="19" spans="1:13" ht="15" customHeight="1">
      <c r="A19" s="146" t="s">
        <v>142</v>
      </c>
      <c r="B19" s="146">
        <v>513493</v>
      </c>
      <c r="C19" s="147" t="s">
        <v>143</v>
      </c>
      <c r="D19" s="146" t="s">
        <v>99</v>
      </c>
      <c r="E19" s="147" t="s">
        <v>144</v>
      </c>
      <c r="F19" s="147" t="s">
        <v>144</v>
      </c>
      <c r="G19" s="146" t="s">
        <v>109</v>
      </c>
      <c r="H19" s="146" t="s">
        <v>57</v>
      </c>
      <c r="I19" s="147" t="s">
        <v>103</v>
      </c>
      <c r="J19" s="147" t="s">
        <v>104</v>
      </c>
      <c r="K19" s="148"/>
      <c r="L19" s="149"/>
      <c r="M19" s="148"/>
    </row>
    <row r="20" spans="1:13" ht="15" customHeight="1">
      <c r="A20" s="142" t="s">
        <v>145</v>
      </c>
      <c r="B20" s="142">
        <v>513438</v>
      </c>
      <c r="C20" s="143" t="s">
        <v>146</v>
      </c>
      <c r="D20" s="142" t="s">
        <v>99</v>
      </c>
      <c r="E20" s="143" t="s">
        <v>147</v>
      </c>
      <c r="F20" s="143" t="s">
        <v>148</v>
      </c>
      <c r="G20" s="142" t="s">
        <v>109</v>
      </c>
      <c r="H20" s="142" t="s">
        <v>57</v>
      </c>
      <c r="I20" s="143" t="s">
        <v>103</v>
      </c>
      <c r="J20" s="143" t="s">
        <v>104</v>
      </c>
      <c r="K20" s="144"/>
      <c r="L20" s="145"/>
      <c r="M20" s="144"/>
    </row>
    <row r="21" spans="1:13" ht="15" customHeight="1">
      <c r="A21" s="146" t="s">
        <v>149</v>
      </c>
      <c r="B21" s="146">
        <v>513421</v>
      </c>
      <c r="C21" s="147" t="s">
        <v>150</v>
      </c>
      <c r="D21" s="146" t="s">
        <v>99</v>
      </c>
      <c r="E21" s="147" t="s">
        <v>100</v>
      </c>
      <c r="F21" s="147" t="s">
        <v>100</v>
      </c>
      <c r="G21" s="146" t="s">
        <v>102</v>
      </c>
      <c r="H21" s="146" t="s">
        <v>57</v>
      </c>
      <c r="I21" s="147" t="s">
        <v>103</v>
      </c>
      <c r="J21" s="147" t="s">
        <v>104</v>
      </c>
      <c r="K21" s="148"/>
      <c r="L21" s="149"/>
      <c r="M21" s="148"/>
    </row>
    <row r="22" spans="1:13" ht="15" customHeight="1">
      <c r="A22" s="142" t="s">
        <v>151</v>
      </c>
      <c r="B22" s="142">
        <v>513474</v>
      </c>
      <c r="C22" s="143" t="s">
        <v>152</v>
      </c>
      <c r="D22" s="142" t="s">
        <v>99</v>
      </c>
      <c r="E22" s="143" t="s">
        <v>107</v>
      </c>
      <c r="F22" s="143" t="s">
        <v>107</v>
      </c>
      <c r="G22" s="142" t="s">
        <v>109</v>
      </c>
      <c r="H22" s="142" t="s">
        <v>57</v>
      </c>
      <c r="I22" s="143" t="s">
        <v>103</v>
      </c>
      <c r="J22" s="143" t="s">
        <v>104</v>
      </c>
      <c r="K22" s="144"/>
      <c r="L22" s="145"/>
      <c r="M22" s="144"/>
    </row>
    <row r="23" spans="1:13" ht="15" customHeight="1">
      <c r="A23" s="146" t="s">
        <v>153</v>
      </c>
      <c r="B23" s="146">
        <v>513445</v>
      </c>
      <c r="C23" s="147" t="s">
        <v>154</v>
      </c>
      <c r="D23" s="146" t="s">
        <v>99</v>
      </c>
      <c r="E23" s="147" t="s">
        <v>147</v>
      </c>
      <c r="F23" s="147" t="s">
        <v>155</v>
      </c>
      <c r="G23" s="146" t="s">
        <v>109</v>
      </c>
      <c r="H23" s="146" t="s">
        <v>57</v>
      </c>
      <c r="I23" s="147" t="s">
        <v>103</v>
      </c>
      <c r="J23" s="147" t="s">
        <v>104</v>
      </c>
      <c r="K23" s="148" t="s">
        <v>121</v>
      </c>
      <c r="L23" s="149">
        <v>46150</v>
      </c>
      <c r="M23" s="148"/>
    </row>
    <row r="24" spans="1:13" ht="15" customHeight="1">
      <c r="A24" s="142" t="s">
        <v>156</v>
      </c>
      <c r="B24" s="142">
        <v>513463</v>
      </c>
      <c r="C24" s="143" t="s">
        <v>157</v>
      </c>
      <c r="D24" s="142" t="s">
        <v>99</v>
      </c>
      <c r="E24" s="143" t="s">
        <v>147</v>
      </c>
      <c r="F24" s="143" t="s">
        <v>158</v>
      </c>
      <c r="G24" s="142" t="s">
        <v>109</v>
      </c>
      <c r="H24" s="142" t="s">
        <v>57</v>
      </c>
      <c r="I24" s="143" t="s">
        <v>103</v>
      </c>
      <c r="J24" s="143" t="s">
        <v>104</v>
      </c>
      <c r="K24" s="144"/>
      <c r="L24" s="145"/>
      <c r="M24" s="144"/>
    </row>
    <row r="25" spans="1:13" ht="15" customHeight="1">
      <c r="A25" s="146" t="s">
        <v>159</v>
      </c>
      <c r="B25" s="146">
        <v>513523</v>
      </c>
      <c r="C25" s="147" t="s">
        <v>160</v>
      </c>
      <c r="D25" s="146" t="s">
        <v>99</v>
      </c>
      <c r="E25" s="147" t="s">
        <v>147</v>
      </c>
      <c r="F25" s="147" t="s">
        <v>161</v>
      </c>
      <c r="G25" s="146" t="s">
        <v>109</v>
      </c>
      <c r="H25" s="146" t="s">
        <v>57</v>
      </c>
      <c r="I25" s="147" t="s">
        <v>103</v>
      </c>
      <c r="J25" s="147" t="s">
        <v>104</v>
      </c>
      <c r="K25" s="148" t="s">
        <v>162</v>
      </c>
      <c r="L25" s="149">
        <v>46148</v>
      </c>
      <c r="M25" s="148"/>
    </row>
    <row r="26" spans="1:13" ht="15" customHeight="1">
      <c r="A26" s="142" t="s">
        <v>163</v>
      </c>
      <c r="B26" s="142">
        <v>513498</v>
      </c>
      <c r="C26" s="143" t="s">
        <v>164</v>
      </c>
      <c r="D26" s="142" t="s">
        <v>99</v>
      </c>
      <c r="E26" s="143" t="s">
        <v>124</v>
      </c>
      <c r="F26" s="143" t="s">
        <v>165</v>
      </c>
      <c r="G26" s="142" t="s">
        <v>109</v>
      </c>
      <c r="H26" s="142" t="s">
        <v>57</v>
      </c>
      <c r="I26" s="143" t="s">
        <v>103</v>
      </c>
      <c r="J26" s="143" t="s">
        <v>104</v>
      </c>
      <c r="K26" s="144"/>
      <c r="L26" s="145"/>
      <c r="M26" s="144"/>
    </row>
    <row r="27" spans="1:13" ht="15" customHeight="1">
      <c r="A27" s="146" t="s">
        <v>166</v>
      </c>
      <c r="B27" s="146">
        <v>512955</v>
      </c>
      <c r="C27" s="147" t="s">
        <v>167</v>
      </c>
      <c r="D27" s="146" t="s">
        <v>99</v>
      </c>
      <c r="E27" s="147" t="s">
        <v>100</v>
      </c>
      <c r="F27" s="147" t="s">
        <v>168</v>
      </c>
      <c r="G27" s="146" t="s">
        <v>102</v>
      </c>
      <c r="H27" s="146" t="s">
        <v>57</v>
      </c>
      <c r="I27" s="147" t="s">
        <v>103</v>
      </c>
      <c r="J27" s="147" t="s">
        <v>104</v>
      </c>
      <c r="K27" s="148"/>
      <c r="L27" s="149"/>
      <c r="M27" s="148"/>
    </row>
    <row r="28" spans="1:13" ht="15" customHeight="1">
      <c r="A28" s="142" t="s">
        <v>169</v>
      </c>
      <c r="B28" s="142">
        <v>513393</v>
      </c>
      <c r="C28" s="143" t="s">
        <v>170</v>
      </c>
      <c r="D28" s="142" t="s">
        <v>99</v>
      </c>
      <c r="E28" s="143" t="s">
        <v>100</v>
      </c>
      <c r="F28" s="143" t="s">
        <v>100</v>
      </c>
      <c r="G28" s="142" t="s">
        <v>109</v>
      </c>
      <c r="H28" s="142" t="s">
        <v>57</v>
      </c>
      <c r="I28" s="143" t="s">
        <v>103</v>
      </c>
      <c r="J28" s="143" t="s">
        <v>104</v>
      </c>
      <c r="K28" s="144"/>
      <c r="L28" s="145"/>
      <c r="M28" s="144"/>
    </row>
    <row r="29" spans="1:13" ht="15" customHeight="1">
      <c r="A29" s="146" t="s">
        <v>171</v>
      </c>
      <c r="B29" s="146">
        <v>513383</v>
      </c>
      <c r="C29" s="147" t="s">
        <v>172</v>
      </c>
      <c r="D29" s="146" t="s">
        <v>99</v>
      </c>
      <c r="E29" s="147" t="s">
        <v>100</v>
      </c>
      <c r="F29" s="147" t="s">
        <v>100</v>
      </c>
      <c r="G29" s="146" t="s">
        <v>109</v>
      </c>
      <c r="H29" s="146" t="s">
        <v>57</v>
      </c>
      <c r="I29" s="147" t="s">
        <v>103</v>
      </c>
      <c r="J29" s="147" t="s">
        <v>104</v>
      </c>
      <c r="K29" s="148"/>
      <c r="L29" s="149"/>
      <c r="M29" s="148"/>
    </row>
    <row r="30" spans="1:13" ht="15" customHeight="1">
      <c r="A30" s="142" t="s">
        <v>173</v>
      </c>
      <c r="B30" s="142">
        <v>513376</v>
      </c>
      <c r="C30" s="143" t="s">
        <v>174</v>
      </c>
      <c r="D30" s="142" t="s">
        <v>99</v>
      </c>
      <c r="E30" s="143" t="s">
        <v>100</v>
      </c>
      <c r="F30" s="143" t="s">
        <v>100</v>
      </c>
      <c r="G30" s="142" t="s">
        <v>102</v>
      </c>
      <c r="H30" s="142" t="s">
        <v>57</v>
      </c>
      <c r="I30" s="143" t="s">
        <v>103</v>
      </c>
      <c r="J30" s="143" t="s">
        <v>104</v>
      </c>
      <c r="K30" s="144"/>
      <c r="L30" s="145"/>
      <c r="M30" s="144"/>
    </row>
    <row r="31" spans="1:13" ht="15" customHeight="1">
      <c r="A31" s="146" t="s">
        <v>175</v>
      </c>
      <c r="B31" s="146">
        <v>513504</v>
      </c>
      <c r="C31" s="147" t="s">
        <v>176</v>
      </c>
      <c r="D31" s="146" t="s">
        <v>99</v>
      </c>
      <c r="E31" s="147" t="s">
        <v>107</v>
      </c>
      <c r="F31" s="147" t="s">
        <v>177</v>
      </c>
      <c r="G31" s="146" t="s">
        <v>109</v>
      </c>
      <c r="H31" s="146" t="s">
        <v>57</v>
      </c>
      <c r="I31" s="147" t="s">
        <v>103</v>
      </c>
      <c r="J31" s="147" t="s">
        <v>104</v>
      </c>
      <c r="K31" s="148"/>
      <c r="L31" s="149"/>
      <c r="M31" s="148"/>
    </row>
    <row r="32" spans="1:13" ht="15" customHeight="1">
      <c r="A32" s="142" t="s">
        <v>178</v>
      </c>
      <c r="B32" s="142">
        <v>513506</v>
      </c>
      <c r="C32" s="143" t="s">
        <v>179</v>
      </c>
      <c r="D32" s="142" t="s">
        <v>99</v>
      </c>
      <c r="E32" s="143" t="s">
        <v>107</v>
      </c>
      <c r="F32" s="143" t="s">
        <v>107</v>
      </c>
      <c r="G32" s="142" t="s">
        <v>109</v>
      </c>
      <c r="H32" s="142" t="s">
        <v>57</v>
      </c>
      <c r="I32" s="143" t="s">
        <v>103</v>
      </c>
      <c r="J32" s="143" t="s">
        <v>104</v>
      </c>
      <c r="K32" s="144"/>
      <c r="L32" s="145"/>
      <c r="M32" s="144"/>
    </row>
    <row r="33" spans="1:13" ht="15" customHeight="1">
      <c r="A33" s="146" t="s">
        <v>180</v>
      </c>
      <c r="B33" s="146">
        <v>513492</v>
      </c>
      <c r="C33" s="147" t="s">
        <v>181</v>
      </c>
      <c r="D33" s="146" t="s">
        <v>99</v>
      </c>
      <c r="E33" s="147" t="s">
        <v>124</v>
      </c>
      <c r="F33" s="147" t="s">
        <v>182</v>
      </c>
      <c r="G33" s="146" t="s">
        <v>109</v>
      </c>
      <c r="H33" s="146" t="s">
        <v>57</v>
      </c>
      <c r="I33" s="147" t="s">
        <v>103</v>
      </c>
      <c r="J33" s="147" t="s">
        <v>104</v>
      </c>
      <c r="K33" s="148"/>
      <c r="L33" s="149"/>
      <c r="M33" s="148"/>
    </row>
    <row r="34" spans="1:13" ht="15" customHeight="1">
      <c r="A34" s="142" t="s">
        <v>183</v>
      </c>
      <c r="B34" s="142">
        <v>513467</v>
      </c>
      <c r="C34" s="143" t="s">
        <v>184</v>
      </c>
      <c r="D34" s="142" t="s">
        <v>99</v>
      </c>
      <c r="E34" s="143" t="s">
        <v>107</v>
      </c>
      <c r="F34" s="143" t="s">
        <v>185</v>
      </c>
      <c r="G34" s="142" t="s">
        <v>109</v>
      </c>
      <c r="H34" s="142" t="s">
        <v>57</v>
      </c>
      <c r="I34" s="143" t="s">
        <v>103</v>
      </c>
      <c r="J34" s="143" t="s">
        <v>104</v>
      </c>
      <c r="K34" s="144"/>
      <c r="L34" s="145"/>
      <c r="M34" s="144"/>
    </row>
    <row r="35" spans="1:13" ht="15" customHeight="1">
      <c r="A35" s="146" t="s">
        <v>186</v>
      </c>
      <c r="B35" s="146">
        <v>513426</v>
      </c>
      <c r="C35" s="147" t="s">
        <v>187</v>
      </c>
      <c r="D35" s="146" t="s">
        <v>99</v>
      </c>
      <c r="E35" s="147" t="s">
        <v>100</v>
      </c>
      <c r="F35" s="147" t="s">
        <v>100</v>
      </c>
      <c r="G35" s="146" t="s">
        <v>102</v>
      </c>
      <c r="H35" s="146" t="s">
        <v>57</v>
      </c>
      <c r="I35" s="147" t="s">
        <v>103</v>
      </c>
      <c r="J35" s="147" t="s">
        <v>104</v>
      </c>
      <c r="K35" s="148"/>
      <c r="L35" s="149"/>
      <c r="M35" s="148"/>
    </row>
    <row r="36" spans="1:13" ht="15" customHeight="1">
      <c r="A36" s="142" t="s">
        <v>188</v>
      </c>
      <c r="B36" s="142">
        <v>513503</v>
      </c>
      <c r="C36" s="143" t="s">
        <v>189</v>
      </c>
      <c r="D36" s="142" t="s">
        <v>99</v>
      </c>
      <c r="E36" s="143" t="s">
        <v>107</v>
      </c>
      <c r="F36" s="143" t="s">
        <v>190</v>
      </c>
      <c r="G36" s="142" t="s">
        <v>109</v>
      </c>
      <c r="H36" s="142" t="s">
        <v>57</v>
      </c>
      <c r="I36" s="143" t="s">
        <v>103</v>
      </c>
      <c r="J36" s="143" t="s">
        <v>104</v>
      </c>
      <c r="K36" s="144"/>
      <c r="L36" s="145"/>
      <c r="M36" s="144"/>
    </row>
    <row r="37" spans="1:13" ht="15" customHeight="1">
      <c r="A37" s="146" t="s">
        <v>191</v>
      </c>
      <c r="B37" s="146">
        <v>513482</v>
      </c>
      <c r="C37" s="147" t="s">
        <v>192</v>
      </c>
      <c r="D37" s="146" t="s">
        <v>99</v>
      </c>
      <c r="E37" s="147" t="s">
        <v>107</v>
      </c>
      <c r="F37" s="147" t="s">
        <v>193</v>
      </c>
      <c r="G37" s="146" t="s">
        <v>109</v>
      </c>
      <c r="H37" s="146" t="s">
        <v>57</v>
      </c>
      <c r="I37" s="147" t="s">
        <v>103</v>
      </c>
      <c r="J37" s="147" t="s">
        <v>104</v>
      </c>
      <c r="K37" s="148"/>
      <c r="L37" s="149"/>
      <c r="M37" s="148"/>
    </row>
    <row r="38" spans="1:13" ht="15" customHeight="1">
      <c r="A38" s="142" t="s">
        <v>194</v>
      </c>
      <c r="B38" s="142">
        <v>513441</v>
      </c>
      <c r="C38" s="143" t="s">
        <v>195</v>
      </c>
      <c r="D38" s="142" t="s">
        <v>99</v>
      </c>
      <c r="E38" s="143" t="s">
        <v>147</v>
      </c>
      <c r="F38" s="143" t="s">
        <v>196</v>
      </c>
      <c r="G38" s="142" t="s">
        <v>109</v>
      </c>
      <c r="H38" s="142" t="s">
        <v>57</v>
      </c>
      <c r="I38" s="143" t="s">
        <v>103</v>
      </c>
      <c r="J38" s="143" t="s">
        <v>104</v>
      </c>
      <c r="K38" s="144"/>
      <c r="L38" s="145"/>
      <c r="M38" s="144"/>
    </row>
    <row r="39" spans="1:13" ht="15" customHeight="1">
      <c r="A39" s="146" t="s">
        <v>197</v>
      </c>
      <c r="B39" s="146">
        <v>513434</v>
      </c>
      <c r="C39" s="147" t="s">
        <v>198</v>
      </c>
      <c r="D39" s="146" t="s">
        <v>99</v>
      </c>
      <c r="E39" s="147" t="s">
        <v>100</v>
      </c>
      <c r="F39" s="147" t="s">
        <v>199</v>
      </c>
      <c r="G39" s="146" t="s">
        <v>109</v>
      </c>
      <c r="H39" s="146" t="s">
        <v>57</v>
      </c>
      <c r="I39" s="147" t="s">
        <v>103</v>
      </c>
      <c r="J39" s="147" t="s">
        <v>104</v>
      </c>
      <c r="K39" s="148"/>
      <c r="L39" s="149"/>
      <c r="M39" s="148"/>
    </row>
    <row r="40" spans="1:13" ht="15" customHeight="1">
      <c r="A40" s="142" t="s">
        <v>200</v>
      </c>
      <c r="B40" s="142">
        <v>514210</v>
      </c>
      <c r="C40" s="143" t="s">
        <v>201</v>
      </c>
      <c r="D40" s="142" t="s">
        <v>99</v>
      </c>
      <c r="E40" s="143" t="s">
        <v>107</v>
      </c>
      <c r="F40" s="143" t="s">
        <v>202</v>
      </c>
      <c r="G40" s="142" t="s">
        <v>109</v>
      </c>
      <c r="H40" s="142" t="s">
        <v>57</v>
      </c>
      <c r="I40" s="143" t="s">
        <v>103</v>
      </c>
      <c r="J40" s="143" t="s">
        <v>104</v>
      </c>
      <c r="K40" s="144"/>
      <c r="L40" s="145"/>
      <c r="M40" s="144"/>
    </row>
    <row r="41" spans="1:13" ht="15" customHeight="1">
      <c r="A41" s="146" t="s">
        <v>203</v>
      </c>
      <c r="B41" s="146">
        <v>513469</v>
      </c>
      <c r="C41" s="147" t="s">
        <v>204</v>
      </c>
      <c r="D41" s="146" t="s">
        <v>99</v>
      </c>
      <c r="E41" s="147" t="s">
        <v>107</v>
      </c>
      <c r="F41" s="147" t="s">
        <v>205</v>
      </c>
      <c r="G41" s="146" t="s">
        <v>109</v>
      </c>
      <c r="H41" s="146" t="s">
        <v>57</v>
      </c>
      <c r="I41" s="147" t="s">
        <v>103</v>
      </c>
      <c r="J41" s="147" t="s">
        <v>104</v>
      </c>
      <c r="K41" s="148"/>
      <c r="L41" s="149"/>
      <c r="M41" s="148"/>
    </row>
    <row r="42" spans="1:13" ht="15" customHeight="1">
      <c r="A42" s="142" t="s">
        <v>206</v>
      </c>
      <c r="B42" s="142">
        <v>513338</v>
      </c>
      <c r="C42" s="143" t="s">
        <v>207</v>
      </c>
      <c r="D42" s="142" t="s">
        <v>99</v>
      </c>
      <c r="E42" s="143" t="s">
        <v>144</v>
      </c>
      <c r="F42" s="143" t="s">
        <v>208</v>
      </c>
      <c r="G42" s="142" t="s">
        <v>102</v>
      </c>
      <c r="H42" s="142" t="s">
        <v>57</v>
      </c>
      <c r="I42" s="143" t="s">
        <v>103</v>
      </c>
      <c r="J42" s="143" t="s">
        <v>104</v>
      </c>
      <c r="K42" s="144"/>
      <c r="L42" s="145"/>
      <c r="M42" s="144"/>
    </row>
    <row r="43" spans="1:13" ht="15" customHeight="1">
      <c r="A43" s="146" t="s">
        <v>209</v>
      </c>
      <c r="B43" s="146">
        <v>513377</v>
      </c>
      <c r="C43" s="147" t="s">
        <v>210</v>
      </c>
      <c r="D43" s="146" t="s">
        <v>99</v>
      </c>
      <c r="E43" s="147" t="s">
        <v>100</v>
      </c>
      <c r="F43" s="147" t="s">
        <v>100</v>
      </c>
      <c r="G43" s="146" t="s">
        <v>102</v>
      </c>
      <c r="H43" s="146" t="s">
        <v>57</v>
      </c>
      <c r="I43" s="147" t="s">
        <v>103</v>
      </c>
      <c r="J43" s="147" t="s">
        <v>104</v>
      </c>
      <c r="K43" s="148"/>
      <c r="L43" s="149"/>
      <c r="M43" s="148"/>
    </row>
    <row r="44" spans="1:13" ht="15" customHeight="1">
      <c r="A44" s="142" t="s">
        <v>211</v>
      </c>
      <c r="B44" s="142">
        <v>513477</v>
      </c>
      <c r="C44" s="143" t="s">
        <v>212</v>
      </c>
      <c r="D44" s="142" t="s">
        <v>99</v>
      </c>
      <c r="E44" s="143" t="s">
        <v>107</v>
      </c>
      <c r="F44" s="143" t="s">
        <v>107</v>
      </c>
      <c r="G44" s="142" t="s">
        <v>109</v>
      </c>
      <c r="H44" s="142" t="s">
        <v>57</v>
      </c>
      <c r="I44" s="143" t="s">
        <v>103</v>
      </c>
      <c r="J44" s="143" t="s">
        <v>104</v>
      </c>
      <c r="K44" s="144" t="s">
        <v>121</v>
      </c>
      <c r="L44" s="145">
        <v>46150</v>
      </c>
      <c r="M44" s="144"/>
    </row>
    <row r="45" spans="1:13" ht="15" customHeight="1">
      <c r="A45" s="146" t="s">
        <v>213</v>
      </c>
      <c r="B45" s="146">
        <v>513479</v>
      </c>
      <c r="C45" s="147" t="s">
        <v>214</v>
      </c>
      <c r="D45" s="146" t="s">
        <v>99</v>
      </c>
      <c r="E45" s="147" t="s">
        <v>107</v>
      </c>
      <c r="F45" s="147" t="s">
        <v>107</v>
      </c>
      <c r="G45" s="146" t="s">
        <v>102</v>
      </c>
      <c r="H45" s="146" t="s">
        <v>57</v>
      </c>
      <c r="I45" s="147" t="s">
        <v>103</v>
      </c>
      <c r="J45" s="147" t="s">
        <v>104</v>
      </c>
      <c r="K45" s="148"/>
      <c r="L45" s="149"/>
      <c r="M45" s="148"/>
    </row>
    <row r="46" spans="1:13" ht="15" customHeight="1">
      <c r="A46" s="142" t="s">
        <v>215</v>
      </c>
      <c r="B46" s="142">
        <v>513505</v>
      </c>
      <c r="C46" s="143" t="s">
        <v>216</v>
      </c>
      <c r="D46" s="142" t="s">
        <v>99</v>
      </c>
      <c r="E46" s="143" t="s">
        <v>107</v>
      </c>
      <c r="F46" s="143" t="s">
        <v>217</v>
      </c>
      <c r="G46" s="142" t="s">
        <v>109</v>
      </c>
      <c r="H46" s="142" t="s">
        <v>57</v>
      </c>
      <c r="I46" s="143" t="s">
        <v>103</v>
      </c>
      <c r="J46" s="143" t="s">
        <v>104</v>
      </c>
      <c r="K46" s="144"/>
      <c r="L46" s="145"/>
      <c r="M46" s="144"/>
    </row>
    <row r="47" spans="1:13" ht="15" customHeight="1">
      <c r="A47" s="146" t="s">
        <v>218</v>
      </c>
      <c r="B47" s="146">
        <v>513017</v>
      </c>
      <c r="C47" s="147" t="s">
        <v>219</v>
      </c>
      <c r="D47" s="146" t="s">
        <v>99</v>
      </c>
      <c r="E47" s="147" t="s">
        <v>100</v>
      </c>
      <c r="F47" s="147" t="s">
        <v>220</v>
      </c>
      <c r="G47" s="146" t="s">
        <v>102</v>
      </c>
      <c r="H47" s="146" t="s">
        <v>57</v>
      </c>
      <c r="I47" s="147" t="s">
        <v>103</v>
      </c>
      <c r="J47" s="147" t="s">
        <v>104</v>
      </c>
      <c r="K47" s="148"/>
      <c r="L47" s="149"/>
      <c r="M47" s="148"/>
    </row>
    <row r="48" spans="1:13" ht="15" customHeight="1">
      <c r="A48" s="142" t="s">
        <v>221</v>
      </c>
      <c r="B48" s="142">
        <v>512895</v>
      </c>
      <c r="C48" s="143" t="s">
        <v>222</v>
      </c>
      <c r="D48" s="142" t="s">
        <v>99</v>
      </c>
      <c r="E48" s="143" t="s">
        <v>100</v>
      </c>
      <c r="F48" s="143" t="s">
        <v>223</v>
      </c>
      <c r="G48" s="142" t="s">
        <v>102</v>
      </c>
      <c r="H48" s="142" t="s">
        <v>57</v>
      </c>
      <c r="I48" s="143" t="s">
        <v>103</v>
      </c>
      <c r="J48" s="143" t="s">
        <v>104</v>
      </c>
      <c r="K48" s="144"/>
      <c r="L48" s="145"/>
      <c r="M48" s="144"/>
    </row>
    <row r="49" spans="1:13" ht="15" customHeight="1">
      <c r="A49" s="146" t="s">
        <v>224</v>
      </c>
      <c r="B49" s="146">
        <v>513419</v>
      </c>
      <c r="C49" s="147" t="s">
        <v>225</v>
      </c>
      <c r="D49" s="146" t="s">
        <v>99</v>
      </c>
      <c r="E49" s="147" t="s">
        <v>100</v>
      </c>
      <c r="F49" s="147" t="s">
        <v>172</v>
      </c>
      <c r="G49" s="146" t="s">
        <v>102</v>
      </c>
      <c r="H49" s="146" t="s">
        <v>57</v>
      </c>
      <c r="I49" s="147" t="s">
        <v>103</v>
      </c>
      <c r="J49" s="147" t="s">
        <v>104</v>
      </c>
      <c r="K49" s="148"/>
      <c r="L49" s="149"/>
      <c r="M49" s="148"/>
    </row>
    <row r="50" spans="1:13" ht="15" customHeight="1">
      <c r="A50" s="142" t="s">
        <v>226</v>
      </c>
      <c r="B50" s="142">
        <v>513378</v>
      </c>
      <c r="C50" s="143" t="s">
        <v>227</v>
      </c>
      <c r="D50" s="142" t="s">
        <v>99</v>
      </c>
      <c r="E50" s="143" t="s">
        <v>100</v>
      </c>
      <c r="F50" s="143" t="s">
        <v>100</v>
      </c>
      <c r="G50" s="142" t="s">
        <v>102</v>
      </c>
      <c r="H50" s="142" t="s">
        <v>57</v>
      </c>
      <c r="I50" s="143" t="s">
        <v>103</v>
      </c>
      <c r="J50" s="143" t="s">
        <v>104</v>
      </c>
      <c r="K50" s="144"/>
      <c r="L50" s="145"/>
      <c r="M50" s="144"/>
    </row>
    <row r="51" spans="1:13" ht="15" customHeight="1">
      <c r="A51" s="146" t="s">
        <v>228</v>
      </c>
      <c r="B51" s="146">
        <v>514270</v>
      </c>
      <c r="C51" s="147" t="s">
        <v>229</v>
      </c>
      <c r="D51" s="146" t="s">
        <v>99</v>
      </c>
      <c r="E51" s="147" t="s">
        <v>107</v>
      </c>
      <c r="F51" s="147" t="s">
        <v>230</v>
      </c>
      <c r="G51" s="146" t="s">
        <v>109</v>
      </c>
      <c r="H51" s="146" t="s">
        <v>57</v>
      </c>
      <c r="I51" s="147" t="s">
        <v>103</v>
      </c>
      <c r="J51" s="147" t="s">
        <v>104</v>
      </c>
      <c r="K51" s="148"/>
      <c r="L51" s="149"/>
      <c r="M51" s="148"/>
    </row>
    <row r="52" spans="1:13" ht="15" customHeight="1">
      <c r="A52" s="142" t="s">
        <v>231</v>
      </c>
      <c r="B52" s="142">
        <v>513538</v>
      </c>
      <c r="C52" s="143" t="s">
        <v>232</v>
      </c>
      <c r="D52" s="142" t="s">
        <v>99</v>
      </c>
      <c r="E52" s="143" t="s">
        <v>107</v>
      </c>
      <c r="F52" s="143" t="s">
        <v>233</v>
      </c>
      <c r="G52" s="142" t="s">
        <v>109</v>
      </c>
      <c r="H52" s="142" t="s">
        <v>57</v>
      </c>
      <c r="I52" s="143" t="s">
        <v>103</v>
      </c>
      <c r="J52" s="143" t="s">
        <v>104</v>
      </c>
      <c r="K52" s="144"/>
      <c r="L52" s="145"/>
      <c r="M52" s="144"/>
    </row>
    <row r="53" spans="1:13" ht="15" customHeight="1">
      <c r="A53" s="146" t="s">
        <v>234</v>
      </c>
      <c r="B53" s="146">
        <v>513512</v>
      </c>
      <c r="C53" s="147" t="s">
        <v>235</v>
      </c>
      <c r="D53" s="146" t="s">
        <v>99</v>
      </c>
      <c r="E53" s="147" t="s">
        <v>107</v>
      </c>
      <c r="F53" s="147" t="s">
        <v>230</v>
      </c>
      <c r="G53" s="146" t="s">
        <v>109</v>
      </c>
      <c r="H53" s="146" t="s">
        <v>57</v>
      </c>
      <c r="I53" s="147" t="s">
        <v>103</v>
      </c>
      <c r="J53" s="147" t="s">
        <v>104</v>
      </c>
      <c r="K53" s="148"/>
      <c r="L53" s="149"/>
      <c r="M53" s="148"/>
    </row>
    <row r="54" spans="1:13" ht="15" customHeight="1">
      <c r="A54" s="142" t="s">
        <v>236</v>
      </c>
      <c r="B54" s="142">
        <v>513527</v>
      </c>
      <c r="C54" s="143" t="s">
        <v>237</v>
      </c>
      <c r="D54" s="142" t="s">
        <v>99</v>
      </c>
      <c r="E54" s="143" t="s">
        <v>107</v>
      </c>
      <c r="F54" s="143" t="s">
        <v>238</v>
      </c>
      <c r="G54" s="142" t="s">
        <v>109</v>
      </c>
      <c r="H54" s="142" t="s">
        <v>57</v>
      </c>
      <c r="I54" s="143" t="s">
        <v>103</v>
      </c>
      <c r="J54" s="143" t="s">
        <v>104</v>
      </c>
      <c r="K54" s="144"/>
      <c r="L54" s="145"/>
      <c r="M54" s="144"/>
    </row>
    <row r="55" spans="1:13" ht="15" customHeight="1">
      <c r="A55" s="146" t="s">
        <v>239</v>
      </c>
      <c r="B55" s="146">
        <v>513011</v>
      </c>
      <c r="C55" s="147" t="s">
        <v>240</v>
      </c>
      <c r="D55" s="146" t="s">
        <v>99</v>
      </c>
      <c r="E55" s="147" t="s">
        <v>100</v>
      </c>
      <c r="F55" s="147" t="s">
        <v>100</v>
      </c>
      <c r="G55" s="146" t="s">
        <v>102</v>
      </c>
      <c r="H55" s="146" t="s">
        <v>57</v>
      </c>
      <c r="I55" s="147" t="s">
        <v>103</v>
      </c>
      <c r="J55" s="147" t="s">
        <v>104</v>
      </c>
      <c r="K55" s="148"/>
      <c r="L55" s="149"/>
      <c r="M55" s="148"/>
    </row>
    <row r="56" spans="1:13" ht="15" customHeight="1">
      <c r="A56" s="142" t="s">
        <v>241</v>
      </c>
      <c r="B56" s="142">
        <v>513539</v>
      </c>
      <c r="C56" s="143" t="s">
        <v>242</v>
      </c>
      <c r="D56" s="142" t="s">
        <v>99</v>
      </c>
      <c r="E56" s="143" t="s">
        <v>124</v>
      </c>
      <c r="F56" s="143" t="s">
        <v>243</v>
      </c>
      <c r="G56" s="142" t="s">
        <v>109</v>
      </c>
      <c r="H56" s="142" t="s">
        <v>57</v>
      </c>
      <c r="I56" s="143" t="s">
        <v>103</v>
      </c>
      <c r="J56" s="143" t="s">
        <v>104</v>
      </c>
      <c r="K56" s="144"/>
      <c r="L56" s="145"/>
      <c r="M56" s="144"/>
    </row>
    <row r="57" spans="1:13" ht="15" customHeight="1">
      <c r="A57" s="146" t="s">
        <v>244</v>
      </c>
      <c r="B57" s="146">
        <v>513038</v>
      </c>
      <c r="C57" s="147" t="s">
        <v>245</v>
      </c>
      <c r="D57" s="146" t="s">
        <v>99</v>
      </c>
      <c r="E57" s="147" t="s">
        <v>100</v>
      </c>
      <c r="F57" s="147" t="s">
        <v>100</v>
      </c>
      <c r="G57" s="146" t="s">
        <v>102</v>
      </c>
      <c r="H57" s="146" t="s">
        <v>57</v>
      </c>
      <c r="I57" s="147" t="s">
        <v>103</v>
      </c>
      <c r="J57" s="147" t="s">
        <v>104</v>
      </c>
      <c r="K57" s="148" t="s">
        <v>121</v>
      </c>
      <c r="L57" s="149">
        <v>46148</v>
      </c>
      <c r="M57" s="148"/>
    </row>
    <row r="58" spans="1:13" ht="15" customHeight="1">
      <c r="A58" s="142" t="s">
        <v>246</v>
      </c>
      <c r="B58" s="142">
        <v>513446</v>
      </c>
      <c r="C58" s="143" t="s">
        <v>247</v>
      </c>
      <c r="D58" s="142" t="s">
        <v>99</v>
      </c>
      <c r="E58" s="143" t="s">
        <v>147</v>
      </c>
      <c r="F58" s="143" t="s">
        <v>248</v>
      </c>
      <c r="G58" s="142" t="s">
        <v>109</v>
      </c>
      <c r="H58" s="142" t="s">
        <v>57</v>
      </c>
      <c r="I58" s="143" t="s">
        <v>103</v>
      </c>
      <c r="J58" s="143" t="s">
        <v>104</v>
      </c>
      <c r="K58" s="144"/>
      <c r="L58" s="145"/>
      <c r="M58" s="144"/>
    </row>
    <row r="59" spans="1:13" ht="15" customHeight="1">
      <c r="A59" s="146" t="s">
        <v>249</v>
      </c>
      <c r="B59" s="146">
        <v>513447</v>
      </c>
      <c r="C59" s="147" t="s">
        <v>250</v>
      </c>
      <c r="D59" s="146" t="s">
        <v>99</v>
      </c>
      <c r="E59" s="147" t="s">
        <v>147</v>
      </c>
      <c r="F59" s="147" t="s">
        <v>251</v>
      </c>
      <c r="G59" s="146" t="s">
        <v>109</v>
      </c>
      <c r="H59" s="146" t="s">
        <v>57</v>
      </c>
      <c r="I59" s="147" t="s">
        <v>103</v>
      </c>
      <c r="J59" s="147" t="s">
        <v>104</v>
      </c>
      <c r="K59" s="148" t="s">
        <v>121</v>
      </c>
      <c r="L59" s="149">
        <v>46150</v>
      </c>
      <c r="M59" s="148"/>
    </row>
    <row r="60" spans="1:13" ht="15" customHeight="1">
      <c r="A60" s="142" t="s">
        <v>252</v>
      </c>
      <c r="B60" s="142">
        <v>513510</v>
      </c>
      <c r="C60" s="143" t="s">
        <v>253</v>
      </c>
      <c r="D60" s="142" t="s">
        <v>99</v>
      </c>
      <c r="E60" s="143" t="s">
        <v>107</v>
      </c>
      <c r="F60" s="143" t="s">
        <v>254</v>
      </c>
      <c r="G60" s="142" t="s">
        <v>109</v>
      </c>
      <c r="H60" s="142" t="s">
        <v>57</v>
      </c>
      <c r="I60" s="143" t="s">
        <v>103</v>
      </c>
      <c r="J60" s="143" t="s">
        <v>104</v>
      </c>
      <c r="K60" s="144"/>
      <c r="L60" s="145"/>
      <c r="M60" s="144"/>
    </row>
    <row r="61" spans="1:13" ht="15" customHeight="1">
      <c r="A61" s="146" t="s">
        <v>255</v>
      </c>
      <c r="B61" s="146">
        <v>513423</v>
      </c>
      <c r="C61" s="147" t="s">
        <v>256</v>
      </c>
      <c r="D61" s="146" t="s">
        <v>99</v>
      </c>
      <c r="E61" s="147" t="s">
        <v>100</v>
      </c>
      <c r="F61" s="147" t="s">
        <v>257</v>
      </c>
      <c r="G61" s="146" t="s">
        <v>102</v>
      </c>
      <c r="H61" s="146" t="s">
        <v>57</v>
      </c>
      <c r="I61" s="147" t="s">
        <v>103</v>
      </c>
      <c r="J61" s="147" t="s">
        <v>104</v>
      </c>
      <c r="K61" s="148"/>
      <c r="L61" s="149"/>
      <c r="M61" s="148"/>
    </row>
    <row r="62" spans="1:13" ht="15" customHeight="1">
      <c r="A62" s="142" t="s">
        <v>258</v>
      </c>
      <c r="B62" s="142">
        <v>512956</v>
      </c>
      <c r="C62" s="143" t="s">
        <v>259</v>
      </c>
      <c r="D62" s="142" t="s">
        <v>99</v>
      </c>
      <c r="E62" s="143" t="s">
        <v>100</v>
      </c>
      <c r="F62" s="143" t="s">
        <v>100</v>
      </c>
      <c r="G62" s="142" t="s">
        <v>102</v>
      </c>
      <c r="H62" s="142" t="s">
        <v>57</v>
      </c>
      <c r="I62" s="143" t="s">
        <v>103</v>
      </c>
      <c r="J62" s="143" t="s">
        <v>104</v>
      </c>
      <c r="K62" s="144"/>
      <c r="L62" s="145"/>
      <c r="M62" s="144"/>
    </row>
    <row r="63" spans="1:13" ht="15" customHeight="1">
      <c r="A63" s="146" t="s">
        <v>260</v>
      </c>
      <c r="B63" s="146">
        <v>513417</v>
      </c>
      <c r="C63" s="147" t="s">
        <v>261</v>
      </c>
      <c r="D63" s="146" t="s">
        <v>99</v>
      </c>
      <c r="E63" s="147" t="s">
        <v>100</v>
      </c>
      <c r="F63" s="147" t="s">
        <v>262</v>
      </c>
      <c r="G63" s="146" t="s">
        <v>102</v>
      </c>
      <c r="H63" s="146" t="s">
        <v>57</v>
      </c>
      <c r="I63" s="147" t="s">
        <v>103</v>
      </c>
      <c r="J63" s="147" t="s">
        <v>104</v>
      </c>
      <c r="K63" s="148"/>
      <c r="L63" s="149"/>
      <c r="M63" s="148"/>
    </row>
    <row r="64" spans="1:13" ht="15" customHeight="1">
      <c r="A64" s="142" t="s">
        <v>263</v>
      </c>
      <c r="B64" s="142">
        <v>513517</v>
      </c>
      <c r="C64" s="143" t="s">
        <v>264</v>
      </c>
      <c r="D64" s="142" t="s">
        <v>99</v>
      </c>
      <c r="E64" s="143" t="s">
        <v>107</v>
      </c>
      <c r="F64" s="143" t="s">
        <v>265</v>
      </c>
      <c r="G64" s="142" t="s">
        <v>109</v>
      </c>
      <c r="H64" s="142" t="s">
        <v>57</v>
      </c>
      <c r="I64" s="143" t="s">
        <v>103</v>
      </c>
      <c r="J64" s="143" t="s">
        <v>104</v>
      </c>
      <c r="K64" s="144"/>
      <c r="L64" s="145"/>
      <c r="M64" s="144"/>
    </row>
    <row r="65" spans="1:13" ht="15" customHeight="1">
      <c r="A65" s="146" t="s">
        <v>266</v>
      </c>
      <c r="B65" s="146">
        <v>513472</v>
      </c>
      <c r="C65" s="147" t="s">
        <v>267</v>
      </c>
      <c r="D65" s="146" t="s">
        <v>99</v>
      </c>
      <c r="E65" s="147" t="s">
        <v>107</v>
      </c>
      <c r="F65" s="147" t="s">
        <v>268</v>
      </c>
      <c r="G65" s="146" t="s">
        <v>109</v>
      </c>
      <c r="H65" s="146" t="s">
        <v>57</v>
      </c>
      <c r="I65" s="147" t="s">
        <v>103</v>
      </c>
      <c r="J65" s="147" t="s">
        <v>104</v>
      </c>
      <c r="K65" s="148"/>
      <c r="L65" s="149"/>
      <c r="M65" s="148"/>
    </row>
    <row r="66" spans="1:13" ht="15" customHeight="1">
      <c r="A66" s="142" t="s">
        <v>269</v>
      </c>
      <c r="B66" s="142">
        <v>513453</v>
      </c>
      <c r="C66" s="143" t="s">
        <v>270</v>
      </c>
      <c r="D66" s="142" t="s">
        <v>99</v>
      </c>
      <c r="E66" s="143" t="s">
        <v>147</v>
      </c>
      <c r="F66" s="143" t="s">
        <v>271</v>
      </c>
      <c r="G66" s="142" t="s">
        <v>109</v>
      </c>
      <c r="H66" s="142" t="s">
        <v>57</v>
      </c>
      <c r="I66" s="143" t="s">
        <v>103</v>
      </c>
      <c r="J66" s="143" t="s">
        <v>104</v>
      </c>
      <c r="K66" s="144"/>
      <c r="L66" s="145"/>
      <c r="M66" s="144"/>
    </row>
    <row r="67" spans="1:13" ht="15" customHeight="1">
      <c r="A67" s="146" t="s">
        <v>272</v>
      </c>
      <c r="B67" s="146">
        <v>513452</v>
      </c>
      <c r="C67" s="147" t="s">
        <v>273</v>
      </c>
      <c r="D67" s="146" t="s">
        <v>99</v>
      </c>
      <c r="E67" s="147" t="s">
        <v>147</v>
      </c>
      <c r="F67" s="147" t="s">
        <v>274</v>
      </c>
      <c r="G67" s="146" t="s">
        <v>109</v>
      </c>
      <c r="H67" s="146" t="s">
        <v>57</v>
      </c>
      <c r="I67" s="147" t="s">
        <v>103</v>
      </c>
      <c r="J67" s="147" t="s">
        <v>104</v>
      </c>
      <c r="K67" s="148"/>
      <c r="L67" s="149"/>
      <c r="M67" s="148"/>
    </row>
    <row r="68" spans="1:13" ht="15" customHeight="1">
      <c r="A68" s="142" t="s">
        <v>275</v>
      </c>
      <c r="B68" s="142">
        <v>513524</v>
      </c>
      <c r="C68" s="143" t="s">
        <v>276</v>
      </c>
      <c r="D68" s="142" t="s">
        <v>99</v>
      </c>
      <c r="E68" s="143" t="s">
        <v>147</v>
      </c>
      <c r="F68" s="143" t="s">
        <v>277</v>
      </c>
      <c r="G68" s="142" t="s">
        <v>109</v>
      </c>
      <c r="H68" s="142" t="s">
        <v>57</v>
      </c>
      <c r="I68" s="143" t="s">
        <v>103</v>
      </c>
      <c r="J68" s="143" t="s">
        <v>104</v>
      </c>
      <c r="K68" s="144" t="s">
        <v>162</v>
      </c>
      <c r="L68" s="145">
        <v>46147</v>
      </c>
      <c r="M68" s="144" t="s">
        <v>278</v>
      </c>
    </row>
    <row r="69" spans="1:13" ht="15" customHeight="1">
      <c r="A69" s="146" t="s">
        <v>279</v>
      </c>
      <c r="B69" s="146">
        <v>513499</v>
      </c>
      <c r="C69" s="147" t="s">
        <v>280</v>
      </c>
      <c r="D69" s="146" t="s">
        <v>99</v>
      </c>
      <c r="E69" s="147" t="s">
        <v>124</v>
      </c>
      <c r="F69" s="147" t="s">
        <v>281</v>
      </c>
      <c r="G69" s="146" t="s">
        <v>109</v>
      </c>
      <c r="H69" s="146" t="s">
        <v>57</v>
      </c>
      <c r="I69" s="147" t="s">
        <v>103</v>
      </c>
      <c r="J69" s="147" t="s">
        <v>104</v>
      </c>
      <c r="K69" s="148"/>
      <c r="L69" s="149"/>
      <c r="M69" s="148"/>
    </row>
    <row r="70" spans="1:13" ht="15" customHeight="1">
      <c r="A70" s="142" t="s">
        <v>282</v>
      </c>
      <c r="B70" s="142">
        <v>513513</v>
      </c>
      <c r="C70" s="143" t="s">
        <v>283</v>
      </c>
      <c r="D70" s="142" t="s">
        <v>99</v>
      </c>
      <c r="E70" s="143" t="s">
        <v>107</v>
      </c>
      <c r="F70" s="143" t="s">
        <v>230</v>
      </c>
      <c r="G70" s="142" t="s">
        <v>109</v>
      </c>
      <c r="H70" s="142" t="s">
        <v>57</v>
      </c>
      <c r="I70" s="143" t="s">
        <v>103</v>
      </c>
      <c r="J70" s="143" t="s">
        <v>104</v>
      </c>
      <c r="K70" s="144"/>
      <c r="L70" s="145"/>
      <c r="M70" s="144"/>
    </row>
    <row r="71" spans="1:13" ht="15" customHeight="1">
      <c r="A71" s="146" t="s">
        <v>284</v>
      </c>
      <c r="B71" s="146">
        <v>513514</v>
      </c>
      <c r="C71" s="147" t="s">
        <v>285</v>
      </c>
      <c r="D71" s="146" t="s">
        <v>99</v>
      </c>
      <c r="E71" s="147" t="s">
        <v>107</v>
      </c>
      <c r="F71" s="147" t="s">
        <v>286</v>
      </c>
      <c r="G71" s="146" t="s">
        <v>109</v>
      </c>
      <c r="H71" s="146" t="s">
        <v>57</v>
      </c>
      <c r="I71" s="147" t="s">
        <v>103</v>
      </c>
      <c r="J71" s="147" t="s">
        <v>104</v>
      </c>
      <c r="K71" s="148"/>
      <c r="L71" s="149"/>
      <c r="M71" s="148"/>
    </row>
    <row r="72" spans="1:13" ht="15" customHeight="1">
      <c r="A72" s="142" t="s">
        <v>287</v>
      </c>
      <c r="B72" s="142">
        <v>514211</v>
      </c>
      <c r="C72" s="143" t="s">
        <v>288</v>
      </c>
      <c r="D72" s="142" t="s">
        <v>99</v>
      </c>
      <c r="E72" s="143" t="s">
        <v>107</v>
      </c>
      <c r="F72" s="143" t="s">
        <v>107</v>
      </c>
      <c r="G72" s="142" t="s">
        <v>102</v>
      </c>
      <c r="H72" s="142" t="s">
        <v>57</v>
      </c>
      <c r="I72" s="143" t="s">
        <v>103</v>
      </c>
      <c r="J72" s="143" t="s">
        <v>104</v>
      </c>
      <c r="K72" s="144" t="s">
        <v>121</v>
      </c>
      <c r="L72" s="145">
        <v>46150</v>
      </c>
      <c r="M72" s="144"/>
    </row>
    <row r="73" spans="1:13" ht="15" customHeight="1">
      <c r="A73" s="146" t="s">
        <v>289</v>
      </c>
      <c r="B73" s="146">
        <v>513418</v>
      </c>
      <c r="C73" s="147" t="s">
        <v>290</v>
      </c>
      <c r="D73" s="146" t="s">
        <v>99</v>
      </c>
      <c r="E73" s="147" t="s">
        <v>100</v>
      </c>
      <c r="F73" s="147" t="s">
        <v>291</v>
      </c>
      <c r="G73" s="146" t="s">
        <v>109</v>
      </c>
      <c r="H73" s="146" t="s">
        <v>57</v>
      </c>
      <c r="I73" s="147" t="s">
        <v>103</v>
      </c>
      <c r="J73" s="147" t="s">
        <v>104</v>
      </c>
      <c r="K73" s="148"/>
      <c r="L73" s="149"/>
      <c r="M73" s="148"/>
    </row>
    <row r="74" spans="1:13" ht="15" customHeight="1">
      <c r="A74" s="142" t="s">
        <v>292</v>
      </c>
      <c r="B74" s="142">
        <v>513431</v>
      </c>
      <c r="C74" s="143" t="s">
        <v>293</v>
      </c>
      <c r="D74" s="142" t="s">
        <v>99</v>
      </c>
      <c r="E74" s="143" t="s">
        <v>100</v>
      </c>
      <c r="F74" s="143" t="s">
        <v>100</v>
      </c>
      <c r="G74" s="142" t="s">
        <v>102</v>
      </c>
      <c r="H74" s="142" t="s">
        <v>57</v>
      </c>
      <c r="I74" s="143" t="s">
        <v>103</v>
      </c>
      <c r="J74" s="143" t="s">
        <v>104</v>
      </c>
      <c r="K74" s="144"/>
      <c r="L74" s="145"/>
      <c r="M74" s="144"/>
    </row>
    <row r="75" spans="1:13" ht="15" customHeight="1">
      <c r="A75" s="146" t="s">
        <v>294</v>
      </c>
      <c r="B75" s="146">
        <v>513475</v>
      </c>
      <c r="C75" s="147" t="s">
        <v>294</v>
      </c>
      <c r="D75" s="146" t="s">
        <v>99</v>
      </c>
      <c r="E75" s="147" t="s">
        <v>107</v>
      </c>
      <c r="F75" s="147" t="s">
        <v>107</v>
      </c>
      <c r="G75" s="146" t="s">
        <v>102</v>
      </c>
      <c r="H75" s="146" t="s">
        <v>57</v>
      </c>
      <c r="I75" s="147" t="s">
        <v>103</v>
      </c>
      <c r="J75" s="147" t="s">
        <v>104</v>
      </c>
      <c r="K75" s="148"/>
      <c r="L75" s="149"/>
      <c r="M75" s="148"/>
    </row>
    <row r="76" spans="1:13" ht="15" customHeight="1">
      <c r="A76" s="142" t="s">
        <v>295</v>
      </c>
      <c r="B76" s="142">
        <v>513432</v>
      </c>
      <c r="C76" s="143" t="s">
        <v>296</v>
      </c>
      <c r="D76" s="142" t="s">
        <v>99</v>
      </c>
      <c r="E76" s="143" t="s">
        <v>100</v>
      </c>
      <c r="F76" s="143" t="s">
        <v>100</v>
      </c>
      <c r="G76" s="142" t="s">
        <v>109</v>
      </c>
      <c r="H76" s="142" t="s">
        <v>57</v>
      </c>
      <c r="I76" s="143" t="s">
        <v>103</v>
      </c>
      <c r="J76" s="143" t="s">
        <v>104</v>
      </c>
      <c r="K76" s="144" t="s">
        <v>121</v>
      </c>
      <c r="L76" s="145">
        <v>46149</v>
      </c>
      <c r="M76" s="144"/>
    </row>
    <row r="77" spans="1:13" ht="15" customHeight="1">
      <c r="A77" s="146" t="s">
        <v>297</v>
      </c>
      <c r="B77" s="146">
        <v>513440</v>
      </c>
      <c r="C77" s="147" t="s">
        <v>298</v>
      </c>
      <c r="D77" s="146" t="s">
        <v>99</v>
      </c>
      <c r="E77" s="147" t="s">
        <v>147</v>
      </c>
      <c r="F77" s="147" t="s">
        <v>299</v>
      </c>
      <c r="G77" s="146" t="s">
        <v>102</v>
      </c>
      <c r="H77" s="146" t="s">
        <v>57</v>
      </c>
      <c r="I77" s="147" t="s">
        <v>103</v>
      </c>
      <c r="J77" s="147" t="s">
        <v>104</v>
      </c>
      <c r="K77" s="148"/>
      <c r="L77" s="149"/>
      <c r="M77" s="148"/>
    </row>
    <row r="78" spans="1:13" ht="15" customHeight="1">
      <c r="A78" s="142" t="s">
        <v>300</v>
      </c>
      <c r="B78" s="142">
        <v>513502</v>
      </c>
      <c r="C78" s="143" t="s">
        <v>301</v>
      </c>
      <c r="D78" s="142" t="s">
        <v>99</v>
      </c>
      <c r="E78" s="143" t="s">
        <v>107</v>
      </c>
      <c r="F78" s="143" t="s">
        <v>302</v>
      </c>
      <c r="G78" s="142" t="s">
        <v>109</v>
      </c>
      <c r="H78" s="142" t="s">
        <v>57</v>
      </c>
      <c r="I78" s="143" t="s">
        <v>103</v>
      </c>
      <c r="J78" s="143" t="s">
        <v>104</v>
      </c>
      <c r="K78" s="144"/>
      <c r="L78" s="145"/>
      <c r="M78" s="144"/>
    </row>
    <row r="79" spans="1:13" ht="15" customHeight="1">
      <c r="A79" s="146" t="s">
        <v>303</v>
      </c>
      <c r="B79" s="146">
        <v>513520</v>
      </c>
      <c r="C79" s="147" t="s">
        <v>304</v>
      </c>
      <c r="D79" s="146" t="s">
        <v>99</v>
      </c>
      <c r="E79" s="147" t="s">
        <v>147</v>
      </c>
      <c r="F79" s="147" t="s">
        <v>147</v>
      </c>
      <c r="G79" s="146" t="s">
        <v>102</v>
      </c>
      <c r="H79" s="146" t="s">
        <v>57</v>
      </c>
      <c r="I79" s="147" t="s">
        <v>103</v>
      </c>
      <c r="J79" s="147" t="s">
        <v>104</v>
      </c>
      <c r="K79" s="148"/>
      <c r="L79" s="149"/>
      <c r="M79" s="148"/>
    </row>
    <row r="80" spans="1:13" ht="15" customHeight="1">
      <c r="A80" s="142" t="s">
        <v>305</v>
      </c>
      <c r="B80" s="142">
        <v>513473</v>
      </c>
      <c r="C80" s="143" t="s">
        <v>306</v>
      </c>
      <c r="D80" s="142" t="s">
        <v>99</v>
      </c>
      <c r="E80" s="143" t="s">
        <v>107</v>
      </c>
      <c r="F80" s="143" t="s">
        <v>307</v>
      </c>
      <c r="G80" s="142" t="s">
        <v>109</v>
      </c>
      <c r="H80" s="142" t="s">
        <v>57</v>
      </c>
      <c r="I80" s="143" t="s">
        <v>103</v>
      </c>
      <c r="J80" s="143" t="s">
        <v>104</v>
      </c>
      <c r="K80" s="144"/>
      <c r="L80" s="145"/>
      <c r="M80" s="144"/>
    </row>
    <row r="81" spans="1:13" ht="15" customHeight="1">
      <c r="A81" s="146" t="s">
        <v>308</v>
      </c>
      <c r="B81" s="146">
        <v>512972</v>
      </c>
      <c r="C81" s="147" t="s">
        <v>309</v>
      </c>
      <c r="D81" s="146" t="s">
        <v>99</v>
      </c>
      <c r="E81" s="147" t="s">
        <v>100</v>
      </c>
      <c r="F81" s="147" t="s">
        <v>100</v>
      </c>
      <c r="G81" s="146" t="s">
        <v>109</v>
      </c>
      <c r="H81" s="146" t="s">
        <v>57</v>
      </c>
      <c r="I81" s="147" t="s">
        <v>103</v>
      </c>
      <c r="J81" s="147" t="s">
        <v>104</v>
      </c>
      <c r="K81" s="148"/>
      <c r="L81" s="149"/>
      <c r="M81" s="148"/>
    </row>
    <row r="82" spans="1:13" ht="15" customHeight="1">
      <c r="A82" s="142" t="s">
        <v>310</v>
      </c>
      <c r="B82" s="142">
        <v>514271</v>
      </c>
      <c r="C82" s="143" t="s">
        <v>311</v>
      </c>
      <c r="D82" s="142" t="s">
        <v>99</v>
      </c>
      <c r="E82" s="143" t="s">
        <v>107</v>
      </c>
      <c r="F82" s="143" t="s">
        <v>230</v>
      </c>
      <c r="G82" s="142" t="s">
        <v>109</v>
      </c>
      <c r="H82" s="142" t="s">
        <v>57</v>
      </c>
      <c r="I82" s="143" t="s">
        <v>103</v>
      </c>
      <c r="J82" s="143" t="s">
        <v>104</v>
      </c>
      <c r="K82" s="144"/>
      <c r="L82" s="145"/>
      <c r="M82" s="144"/>
    </row>
    <row r="83" spans="1:13" ht="15" customHeight="1">
      <c r="A83" s="146" t="s">
        <v>312</v>
      </c>
      <c r="B83" s="146">
        <v>513528</v>
      </c>
      <c r="C83" s="147" t="s">
        <v>313</v>
      </c>
      <c r="D83" s="146" t="s">
        <v>99</v>
      </c>
      <c r="E83" s="147" t="s">
        <v>107</v>
      </c>
      <c r="F83" s="147" t="s">
        <v>314</v>
      </c>
      <c r="G83" s="146" t="s">
        <v>109</v>
      </c>
      <c r="H83" s="146" t="s">
        <v>57</v>
      </c>
      <c r="I83" s="147" t="s">
        <v>103</v>
      </c>
      <c r="J83" s="147" t="s">
        <v>104</v>
      </c>
      <c r="K83" s="148"/>
      <c r="L83" s="149"/>
      <c r="M83" s="148"/>
    </row>
    <row r="84" spans="1:13" ht="15" customHeight="1">
      <c r="A84" s="142" t="s">
        <v>315</v>
      </c>
      <c r="B84" s="142">
        <v>513518</v>
      </c>
      <c r="C84" s="143" t="s">
        <v>316</v>
      </c>
      <c r="D84" s="142" t="s">
        <v>99</v>
      </c>
      <c r="E84" s="143" t="s">
        <v>107</v>
      </c>
      <c r="F84" s="143" t="s">
        <v>317</v>
      </c>
      <c r="G84" s="142" t="s">
        <v>109</v>
      </c>
      <c r="H84" s="142" t="s">
        <v>57</v>
      </c>
      <c r="I84" s="143" t="s">
        <v>103</v>
      </c>
      <c r="J84" s="143" t="s">
        <v>104</v>
      </c>
      <c r="K84" s="144"/>
      <c r="L84" s="145"/>
      <c r="M84" s="144"/>
    </row>
    <row r="85" spans="1:13" ht="15" customHeight="1">
      <c r="A85" s="146" t="s">
        <v>318</v>
      </c>
      <c r="B85" s="146">
        <v>513496</v>
      </c>
      <c r="C85" s="147" t="s">
        <v>319</v>
      </c>
      <c r="D85" s="146" t="s">
        <v>99</v>
      </c>
      <c r="E85" s="147" t="s">
        <v>147</v>
      </c>
      <c r="F85" s="147" t="s">
        <v>320</v>
      </c>
      <c r="G85" s="146" t="s">
        <v>109</v>
      </c>
      <c r="H85" s="146" t="s">
        <v>57</v>
      </c>
      <c r="I85" s="147" t="s">
        <v>103</v>
      </c>
      <c r="J85" s="147" t="s">
        <v>104</v>
      </c>
      <c r="K85" s="148"/>
      <c r="L85" s="149"/>
      <c r="M85" s="148"/>
    </row>
    <row r="86" spans="1:13" ht="15" customHeight="1">
      <c r="A86" s="142" t="s">
        <v>321</v>
      </c>
      <c r="B86" s="142">
        <v>517499</v>
      </c>
      <c r="C86" s="143" t="s">
        <v>322</v>
      </c>
      <c r="D86" s="142" t="s">
        <v>323</v>
      </c>
      <c r="E86" s="143" t="s">
        <v>324</v>
      </c>
      <c r="F86" s="143" t="s">
        <v>325</v>
      </c>
      <c r="G86" s="142" t="s">
        <v>109</v>
      </c>
      <c r="H86" s="142" t="s">
        <v>57</v>
      </c>
      <c r="I86" s="143" t="s">
        <v>103</v>
      </c>
      <c r="J86" s="143" t="s">
        <v>104</v>
      </c>
      <c r="K86" s="144"/>
      <c r="L86" s="145"/>
      <c r="M86" s="144"/>
    </row>
    <row r="87" spans="1:13" ht="15" customHeight="1">
      <c r="A87" s="146" t="s">
        <v>326</v>
      </c>
      <c r="B87" s="146">
        <v>516962</v>
      </c>
      <c r="C87" s="147" t="s">
        <v>327</v>
      </c>
      <c r="D87" s="146" t="s">
        <v>323</v>
      </c>
      <c r="E87" s="147" t="s">
        <v>324</v>
      </c>
      <c r="F87" s="147" t="s">
        <v>328</v>
      </c>
      <c r="G87" s="146" t="s">
        <v>109</v>
      </c>
      <c r="H87" s="146" t="s">
        <v>57</v>
      </c>
      <c r="I87" s="147" t="s">
        <v>103</v>
      </c>
      <c r="J87" s="147" t="s">
        <v>104</v>
      </c>
      <c r="K87" s="148"/>
      <c r="L87" s="149"/>
      <c r="M87" s="148"/>
    </row>
    <row r="88" spans="1:13" ht="15" customHeight="1">
      <c r="A88" s="142" t="s">
        <v>329</v>
      </c>
      <c r="B88" s="142">
        <v>516826</v>
      </c>
      <c r="C88" s="143" t="s">
        <v>330</v>
      </c>
      <c r="D88" s="142" t="s">
        <v>323</v>
      </c>
      <c r="E88" s="143" t="s">
        <v>331</v>
      </c>
      <c r="F88" s="143" t="s">
        <v>332</v>
      </c>
      <c r="G88" s="142" t="s">
        <v>109</v>
      </c>
      <c r="H88" s="142" t="s">
        <v>57</v>
      </c>
      <c r="I88" s="143" t="s">
        <v>103</v>
      </c>
      <c r="J88" s="143" t="s">
        <v>104</v>
      </c>
      <c r="K88" s="144"/>
      <c r="L88" s="145"/>
      <c r="M88" s="144"/>
    </row>
    <row r="89" spans="1:13" ht="15" customHeight="1">
      <c r="A89" s="146" t="s">
        <v>333</v>
      </c>
      <c r="B89" s="146">
        <v>517377</v>
      </c>
      <c r="C89" s="147" t="s">
        <v>334</v>
      </c>
      <c r="D89" s="146" t="s">
        <v>323</v>
      </c>
      <c r="E89" s="147" t="s">
        <v>331</v>
      </c>
      <c r="F89" s="147" t="s">
        <v>335</v>
      </c>
      <c r="G89" s="146" t="s">
        <v>109</v>
      </c>
      <c r="H89" s="146" t="s">
        <v>57</v>
      </c>
      <c r="I89" s="147" t="s">
        <v>103</v>
      </c>
      <c r="J89" s="147" t="s">
        <v>104</v>
      </c>
      <c r="K89" s="148"/>
      <c r="L89" s="149"/>
      <c r="M89" s="148"/>
    </row>
    <row r="90" spans="1:13" ht="15" customHeight="1">
      <c r="A90" s="142" t="s">
        <v>336</v>
      </c>
      <c r="B90" s="142">
        <v>517388</v>
      </c>
      <c r="C90" s="143" t="s">
        <v>337</v>
      </c>
      <c r="D90" s="142" t="s">
        <v>323</v>
      </c>
      <c r="E90" s="143" t="s">
        <v>338</v>
      </c>
      <c r="F90" s="143" t="s">
        <v>339</v>
      </c>
      <c r="G90" s="142" t="s">
        <v>109</v>
      </c>
      <c r="H90" s="142" t="s">
        <v>57</v>
      </c>
      <c r="I90" s="143" t="s">
        <v>103</v>
      </c>
      <c r="J90" s="143" t="s">
        <v>104</v>
      </c>
      <c r="K90" s="144" t="s">
        <v>121</v>
      </c>
      <c r="L90" s="145">
        <v>46147</v>
      </c>
      <c r="M90" s="144"/>
    </row>
    <row r="91" spans="1:13" ht="15" customHeight="1">
      <c r="A91" s="146" t="s">
        <v>340</v>
      </c>
      <c r="B91" s="146">
        <v>517485</v>
      </c>
      <c r="C91" s="147" t="s">
        <v>341</v>
      </c>
      <c r="D91" s="146" t="s">
        <v>323</v>
      </c>
      <c r="E91" s="147" t="s">
        <v>324</v>
      </c>
      <c r="F91" s="147" t="s">
        <v>342</v>
      </c>
      <c r="G91" s="146" t="s">
        <v>109</v>
      </c>
      <c r="H91" s="146" t="s">
        <v>57</v>
      </c>
      <c r="I91" s="147" t="s">
        <v>103</v>
      </c>
      <c r="J91" s="147" t="s">
        <v>104</v>
      </c>
      <c r="K91" s="148"/>
      <c r="L91" s="149"/>
      <c r="M91" s="148"/>
    </row>
    <row r="92" spans="1:13" ht="15" customHeight="1">
      <c r="A92" s="142" t="s">
        <v>343</v>
      </c>
      <c r="B92" s="142">
        <v>517199</v>
      </c>
      <c r="C92" s="143" t="s">
        <v>344</v>
      </c>
      <c r="D92" s="142" t="s">
        <v>323</v>
      </c>
      <c r="E92" s="143" t="s">
        <v>345</v>
      </c>
      <c r="F92" s="143" t="s">
        <v>346</v>
      </c>
      <c r="G92" s="142" t="s">
        <v>102</v>
      </c>
      <c r="H92" s="142" t="s">
        <v>57</v>
      </c>
      <c r="I92" s="143" t="s">
        <v>103</v>
      </c>
      <c r="J92" s="143" t="s">
        <v>104</v>
      </c>
      <c r="K92" s="144"/>
      <c r="L92" s="145"/>
      <c r="M92" s="144"/>
    </row>
    <row r="93" spans="1:13" ht="15" customHeight="1">
      <c r="A93" s="146" t="s">
        <v>347</v>
      </c>
      <c r="B93" s="146">
        <v>517035</v>
      </c>
      <c r="C93" s="147" t="s">
        <v>348</v>
      </c>
      <c r="D93" s="146" t="s">
        <v>323</v>
      </c>
      <c r="E93" s="147" t="s">
        <v>345</v>
      </c>
      <c r="F93" s="147" t="s">
        <v>349</v>
      </c>
      <c r="G93" s="146" t="s">
        <v>102</v>
      </c>
      <c r="H93" s="146" t="s">
        <v>57</v>
      </c>
      <c r="I93" s="147" t="s">
        <v>103</v>
      </c>
      <c r="J93" s="147" t="s">
        <v>104</v>
      </c>
      <c r="K93" s="148"/>
      <c r="L93" s="149"/>
      <c r="M93" s="148"/>
    </row>
    <row r="94" spans="1:13" ht="15" customHeight="1">
      <c r="A94" s="142" t="s">
        <v>350</v>
      </c>
      <c r="B94" s="142">
        <v>516793</v>
      </c>
      <c r="C94" s="143" t="s">
        <v>351</v>
      </c>
      <c r="D94" s="142" t="s">
        <v>323</v>
      </c>
      <c r="E94" s="143" t="s">
        <v>324</v>
      </c>
      <c r="F94" s="143" t="s">
        <v>352</v>
      </c>
      <c r="G94" s="142" t="s">
        <v>109</v>
      </c>
      <c r="H94" s="142" t="s">
        <v>57</v>
      </c>
      <c r="I94" s="143" t="s">
        <v>103</v>
      </c>
      <c r="J94" s="143" t="s">
        <v>104</v>
      </c>
      <c r="K94" s="144"/>
      <c r="L94" s="145"/>
      <c r="M94" s="144"/>
    </row>
    <row r="95" spans="1:13" ht="15" customHeight="1">
      <c r="A95" s="146" t="s">
        <v>353</v>
      </c>
      <c r="B95" s="146">
        <v>517544</v>
      </c>
      <c r="C95" s="147" t="s">
        <v>354</v>
      </c>
      <c r="D95" s="146" t="s">
        <v>323</v>
      </c>
      <c r="E95" s="147" t="s">
        <v>324</v>
      </c>
      <c r="F95" s="147" t="s">
        <v>324</v>
      </c>
      <c r="G95" s="146" t="s">
        <v>102</v>
      </c>
      <c r="H95" s="146" t="s">
        <v>57</v>
      </c>
      <c r="I95" s="147" t="s">
        <v>103</v>
      </c>
      <c r="J95" s="147" t="s">
        <v>104</v>
      </c>
      <c r="K95" s="148"/>
      <c r="L95" s="149"/>
      <c r="M95" s="148"/>
    </row>
    <row r="96" spans="1:13" ht="15" customHeight="1">
      <c r="A96" s="142" t="s">
        <v>355</v>
      </c>
      <c r="B96" s="142">
        <v>517759</v>
      </c>
      <c r="C96" s="143" t="s">
        <v>356</v>
      </c>
      <c r="D96" s="142" t="s">
        <v>323</v>
      </c>
      <c r="E96" s="143" t="s">
        <v>345</v>
      </c>
      <c r="F96" s="143" t="s">
        <v>349</v>
      </c>
      <c r="G96" s="142" t="s">
        <v>102</v>
      </c>
      <c r="H96" s="142" t="s">
        <v>57</v>
      </c>
      <c r="I96" s="143" t="s">
        <v>103</v>
      </c>
      <c r="J96" s="143" t="s">
        <v>104</v>
      </c>
      <c r="K96" s="144" t="s">
        <v>162</v>
      </c>
      <c r="L96" s="145">
        <v>46149</v>
      </c>
      <c r="M96" s="144"/>
    </row>
    <row r="97" spans="1:13" ht="15" customHeight="1">
      <c r="A97" s="146" t="s">
        <v>357</v>
      </c>
      <c r="B97" s="146">
        <v>516817</v>
      </c>
      <c r="C97" s="147" t="s">
        <v>358</v>
      </c>
      <c r="D97" s="146" t="s">
        <v>323</v>
      </c>
      <c r="E97" s="147" t="s">
        <v>324</v>
      </c>
      <c r="F97" s="147" t="s">
        <v>324</v>
      </c>
      <c r="G97" s="146" t="s">
        <v>102</v>
      </c>
      <c r="H97" s="146" t="s">
        <v>57</v>
      </c>
      <c r="I97" s="147" t="s">
        <v>103</v>
      </c>
      <c r="J97" s="147" t="s">
        <v>104</v>
      </c>
      <c r="K97" s="148"/>
      <c r="L97" s="149"/>
      <c r="M97" s="148"/>
    </row>
    <row r="98" spans="1:13" ht="15" customHeight="1">
      <c r="A98" s="142" t="s">
        <v>359</v>
      </c>
      <c r="B98" s="142">
        <v>516930</v>
      </c>
      <c r="C98" s="143" t="s">
        <v>360</v>
      </c>
      <c r="D98" s="142" t="s">
        <v>323</v>
      </c>
      <c r="E98" s="143" t="s">
        <v>324</v>
      </c>
      <c r="F98" s="143" t="s">
        <v>324</v>
      </c>
      <c r="G98" s="142" t="s">
        <v>102</v>
      </c>
      <c r="H98" s="142" t="s">
        <v>57</v>
      </c>
      <c r="I98" s="143" t="s">
        <v>103</v>
      </c>
      <c r="J98" s="143" t="s">
        <v>104</v>
      </c>
      <c r="K98" s="144"/>
      <c r="L98" s="145"/>
      <c r="M98" s="144"/>
    </row>
    <row r="99" spans="1:13" ht="15" customHeight="1">
      <c r="A99" s="146" t="s">
        <v>361</v>
      </c>
      <c r="B99" s="146">
        <v>517389</v>
      </c>
      <c r="C99" s="147" t="s">
        <v>362</v>
      </c>
      <c r="D99" s="146" t="s">
        <v>323</v>
      </c>
      <c r="E99" s="147" t="s">
        <v>338</v>
      </c>
      <c r="F99" s="147" t="s">
        <v>363</v>
      </c>
      <c r="G99" s="146" t="s">
        <v>109</v>
      </c>
      <c r="H99" s="146" t="s">
        <v>57</v>
      </c>
      <c r="I99" s="147" t="s">
        <v>103</v>
      </c>
      <c r="J99" s="147" t="s">
        <v>104</v>
      </c>
      <c r="K99" s="148" t="s">
        <v>162</v>
      </c>
      <c r="L99" s="149">
        <v>46151</v>
      </c>
      <c r="M99" s="148" t="s">
        <v>364</v>
      </c>
    </row>
    <row r="100" spans="1:13" ht="15" customHeight="1">
      <c r="A100" s="142" t="s">
        <v>365</v>
      </c>
      <c r="B100" s="142">
        <v>516975</v>
      </c>
      <c r="C100" s="143" t="s">
        <v>366</v>
      </c>
      <c r="D100" s="142" t="s">
        <v>323</v>
      </c>
      <c r="E100" s="143" t="s">
        <v>324</v>
      </c>
      <c r="F100" s="143" t="s">
        <v>367</v>
      </c>
      <c r="G100" s="142" t="s">
        <v>102</v>
      </c>
      <c r="H100" s="142" t="s">
        <v>57</v>
      </c>
      <c r="I100" s="143" t="s">
        <v>103</v>
      </c>
      <c r="J100" s="143" t="s">
        <v>104</v>
      </c>
      <c r="K100" s="144"/>
      <c r="L100" s="145"/>
      <c r="M100" s="144"/>
    </row>
    <row r="101" spans="1:13" ht="15" customHeight="1">
      <c r="A101" s="146" t="s">
        <v>368</v>
      </c>
      <c r="B101" s="146">
        <v>517368</v>
      </c>
      <c r="C101" s="147" t="s">
        <v>369</v>
      </c>
      <c r="D101" s="146" t="s">
        <v>323</v>
      </c>
      <c r="E101" s="147" t="s">
        <v>345</v>
      </c>
      <c r="F101" s="147" t="s">
        <v>349</v>
      </c>
      <c r="G101" s="146" t="s">
        <v>109</v>
      </c>
      <c r="H101" s="146" t="s">
        <v>57</v>
      </c>
      <c r="I101" s="147" t="s">
        <v>103</v>
      </c>
      <c r="J101" s="147" t="s">
        <v>104</v>
      </c>
      <c r="K101" s="148"/>
      <c r="L101" s="149"/>
      <c r="M101" s="148"/>
    </row>
    <row r="102" spans="1:13" ht="15" customHeight="1">
      <c r="A102" s="142" t="s">
        <v>370</v>
      </c>
      <c r="B102" s="142">
        <v>517545</v>
      </c>
      <c r="C102" s="143" t="s">
        <v>371</v>
      </c>
      <c r="D102" s="142" t="s">
        <v>323</v>
      </c>
      <c r="E102" s="143" t="s">
        <v>324</v>
      </c>
      <c r="F102" s="143" t="s">
        <v>324</v>
      </c>
      <c r="G102" s="142" t="s">
        <v>109</v>
      </c>
      <c r="H102" s="142" t="s">
        <v>57</v>
      </c>
      <c r="I102" s="143" t="s">
        <v>103</v>
      </c>
      <c r="J102" s="143" t="s">
        <v>104</v>
      </c>
      <c r="K102" s="144"/>
      <c r="L102" s="145"/>
      <c r="M102" s="144"/>
    </row>
    <row r="103" spans="1:13" ht="15" customHeight="1">
      <c r="A103" s="146" t="s">
        <v>372</v>
      </c>
      <c r="B103" s="146">
        <v>517066</v>
      </c>
      <c r="C103" s="147" t="s">
        <v>373</v>
      </c>
      <c r="D103" s="146" t="s">
        <v>323</v>
      </c>
      <c r="E103" s="147" t="s">
        <v>345</v>
      </c>
      <c r="F103" s="147" t="s">
        <v>346</v>
      </c>
      <c r="G103" s="146" t="s">
        <v>109</v>
      </c>
      <c r="H103" s="146" t="s">
        <v>57</v>
      </c>
      <c r="I103" s="147" t="s">
        <v>103</v>
      </c>
      <c r="J103" s="147" t="s">
        <v>104</v>
      </c>
      <c r="K103" s="148"/>
      <c r="L103" s="149"/>
      <c r="M103" s="148"/>
    </row>
    <row r="104" spans="1:13" ht="15" customHeight="1">
      <c r="A104" s="142" t="s">
        <v>374</v>
      </c>
      <c r="B104" s="142">
        <v>516974</v>
      </c>
      <c r="C104" s="143" t="s">
        <v>375</v>
      </c>
      <c r="D104" s="142" t="s">
        <v>323</v>
      </c>
      <c r="E104" s="143" t="s">
        <v>376</v>
      </c>
      <c r="F104" s="143" t="s">
        <v>377</v>
      </c>
      <c r="G104" s="142" t="s">
        <v>109</v>
      </c>
      <c r="H104" s="142" t="s">
        <v>57</v>
      </c>
      <c r="I104" s="143" t="s">
        <v>103</v>
      </c>
      <c r="J104" s="143" t="s">
        <v>104</v>
      </c>
      <c r="K104" s="144" t="s">
        <v>162</v>
      </c>
      <c r="L104" s="145">
        <v>46147</v>
      </c>
      <c r="M104" s="144"/>
    </row>
    <row r="105" spans="1:13" ht="15" customHeight="1">
      <c r="A105" s="146" t="s">
        <v>378</v>
      </c>
      <c r="B105" s="146">
        <v>517461</v>
      </c>
      <c r="C105" s="147" t="s">
        <v>379</v>
      </c>
      <c r="D105" s="146" t="s">
        <v>323</v>
      </c>
      <c r="E105" s="147" t="s">
        <v>338</v>
      </c>
      <c r="F105" s="147" t="s">
        <v>339</v>
      </c>
      <c r="G105" s="146" t="s">
        <v>109</v>
      </c>
      <c r="H105" s="146" t="s">
        <v>57</v>
      </c>
      <c r="I105" s="147" t="s">
        <v>103</v>
      </c>
      <c r="J105" s="147" t="s">
        <v>104</v>
      </c>
      <c r="K105" s="148" t="s">
        <v>121</v>
      </c>
      <c r="L105" s="149">
        <v>46148</v>
      </c>
      <c r="M105" s="148"/>
    </row>
    <row r="106" spans="1:13" ht="15" customHeight="1">
      <c r="A106" s="142" t="s">
        <v>380</v>
      </c>
      <c r="B106" s="142">
        <v>516963</v>
      </c>
      <c r="C106" s="143" t="s">
        <v>381</v>
      </c>
      <c r="D106" s="142" t="s">
        <v>323</v>
      </c>
      <c r="E106" s="143" t="s">
        <v>324</v>
      </c>
      <c r="F106" s="143" t="s">
        <v>328</v>
      </c>
      <c r="G106" s="142" t="s">
        <v>109</v>
      </c>
      <c r="H106" s="142" t="s">
        <v>57</v>
      </c>
      <c r="I106" s="143" t="s">
        <v>103</v>
      </c>
      <c r="J106" s="143" t="s">
        <v>104</v>
      </c>
      <c r="K106" s="144"/>
      <c r="L106" s="145"/>
      <c r="M106" s="144"/>
    </row>
    <row r="107" spans="1:13" ht="15" customHeight="1">
      <c r="A107" s="146" t="s">
        <v>382</v>
      </c>
      <c r="B107" s="146">
        <v>516818</v>
      </c>
      <c r="C107" s="147" t="s">
        <v>383</v>
      </c>
      <c r="D107" s="146" t="s">
        <v>323</v>
      </c>
      <c r="E107" s="147" t="s">
        <v>324</v>
      </c>
      <c r="F107" s="147" t="s">
        <v>383</v>
      </c>
      <c r="G107" s="146" t="s">
        <v>109</v>
      </c>
      <c r="H107" s="146" t="s">
        <v>57</v>
      </c>
      <c r="I107" s="147" t="s">
        <v>103</v>
      </c>
      <c r="J107" s="147" t="s">
        <v>104</v>
      </c>
      <c r="K107" s="148"/>
      <c r="L107" s="149"/>
      <c r="M107" s="148"/>
    </row>
    <row r="108" spans="1:13" ht="15" customHeight="1">
      <c r="A108" s="142" t="s">
        <v>384</v>
      </c>
      <c r="B108" s="142">
        <v>516794</v>
      </c>
      <c r="C108" s="143" t="s">
        <v>385</v>
      </c>
      <c r="D108" s="142" t="s">
        <v>323</v>
      </c>
      <c r="E108" s="143" t="s">
        <v>324</v>
      </c>
      <c r="F108" s="143" t="s">
        <v>324</v>
      </c>
      <c r="G108" s="142" t="s">
        <v>109</v>
      </c>
      <c r="H108" s="142" t="s">
        <v>57</v>
      </c>
      <c r="I108" s="143" t="s">
        <v>103</v>
      </c>
      <c r="J108" s="143" t="s">
        <v>104</v>
      </c>
      <c r="K108" s="144"/>
      <c r="L108" s="145"/>
      <c r="M108" s="144"/>
    </row>
    <row r="109" spans="1:13" ht="15" customHeight="1">
      <c r="A109" s="146" t="s">
        <v>386</v>
      </c>
      <c r="B109" s="146">
        <v>517546</v>
      </c>
      <c r="C109" s="147" t="s">
        <v>387</v>
      </c>
      <c r="D109" s="146" t="s">
        <v>323</v>
      </c>
      <c r="E109" s="147" t="s">
        <v>324</v>
      </c>
      <c r="F109" s="147" t="s">
        <v>388</v>
      </c>
      <c r="G109" s="146" t="s">
        <v>109</v>
      </c>
      <c r="H109" s="146" t="s">
        <v>57</v>
      </c>
      <c r="I109" s="147" t="s">
        <v>103</v>
      </c>
      <c r="J109" s="147" t="s">
        <v>104</v>
      </c>
      <c r="K109" s="148"/>
      <c r="L109" s="149"/>
      <c r="M109" s="148"/>
    </row>
    <row r="110" spans="1:13" ht="15" customHeight="1">
      <c r="A110" s="142" t="s">
        <v>389</v>
      </c>
      <c r="B110" s="142">
        <v>517397</v>
      </c>
      <c r="C110" s="143" t="s">
        <v>390</v>
      </c>
      <c r="D110" s="142" t="s">
        <v>323</v>
      </c>
      <c r="E110" s="143" t="s">
        <v>324</v>
      </c>
      <c r="F110" s="143" t="s">
        <v>391</v>
      </c>
      <c r="G110" s="142" t="s">
        <v>109</v>
      </c>
      <c r="H110" s="142" t="s">
        <v>57</v>
      </c>
      <c r="I110" s="143" t="s">
        <v>103</v>
      </c>
      <c r="J110" s="143" t="s">
        <v>104</v>
      </c>
      <c r="K110" s="144"/>
      <c r="L110" s="145"/>
      <c r="M110" s="144"/>
    </row>
    <row r="111" spans="1:13" ht="15" customHeight="1">
      <c r="A111" s="146" t="s">
        <v>392</v>
      </c>
      <c r="B111" s="146">
        <v>516976</v>
      </c>
      <c r="C111" s="147" t="s">
        <v>393</v>
      </c>
      <c r="D111" s="146" t="s">
        <v>323</v>
      </c>
      <c r="E111" s="147" t="s">
        <v>324</v>
      </c>
      <c r="F111" s="147" t="s">
        <v>324</v>
      </c>
      <c r="G111" s="146" t="s">
        <v>109</v>
      </c>
      <c r="H111" s="146" t="s">
        <v>57</v>
      </c>
      <c r="I111" s="147" t="s">
        <v>103</v>
      </c>
      <c r="J111" s="147" t="s">
        <v>104</v>
      </c>
      <c r="K111" s="148"/>
      <c r="L111" s="149"/>
      <c r="M111" s="148"/>
    </row>
    <row r="112" spans="1:13" ht="15" customHeight="1">
      <c r="A112" s="142" t="s">
        <v>394</v>
      </c>
      <c r="B112" s="142">
        <v>516802</v>
      </c>
      <c r="C112" s="143" t="s">
        <v>395</v>
      </c>
      <c r="D112" s="142" t="s">
        <v>323</v>
      </c>
      <c r="E112" s="143" t="s">
        <v>345</v>
      </c>
      <c r="F112" s="143" t="s">
        <v>346</v>
      </c>
      <c r="G112" s="142" t="s">
        <v>102</v>
      </c>
      <c r="H112" s="142" t="s">
        <v>57</v>
      </c>
      <c r="I112" s="143" t="s">
        <v>103</v>
      </c>
      <c r="J112" s="143" t="s">
        <v>104</v>
      </c>
      <c r="K112" s="144"/>
      <c r="L112" s="145"/>
      <c r="M112" s="144"/>
    </row>
    <row r="113" spans="1:13" ht="15" customHeight="1">
      <c r="A113" s="146" t="s">
        <v>396</v>
      </c>
      <c r="B113" s="146">
        <v>516800</v>
      </c>
      <c r="C113" s="147" t="s">
        <v>397</v>
      </c>
      <c r="D113" s="146" t="s">
        <v>323</v>
      </c>
      <c r="E113" s="147" t="s">
        <v>345</v>
      </c>
      <c r="F113" s="147" t="s">
        <v>398</v>
      </c>
      <c r="G113" s="146" t="s">
        <v>102</v>
      </c>
      <c r="H113" s="146" t="s">
        <v>57</v>
      </c>
      <c r="I113" s="147" t="s">
        <v>103</v>
      </c>
      <c r="J113" s="147" t="s">
        <v>104</v>
      </c>
      <c r="K113" s="148"/>
      <c r="L113" s="149"/>
      <c r="M113" s="148"/>
    </row>
    <row r="114" spans="1:13" ht="15" customHeight="1">
      <c r="A114" s="142" t="s">
        <v>399</v>
      </c>
      <c r="B114" s="142">
        <v>516796</v>
      </c>
      <c r="C114" s="143" t="s">
        <v>400</v>
      </c>
      <c r="D114" s="142" t="s">
        <v>323</v>
      </c>
      <c r="E114" s="143" t="s">
        <v>345</v>
      </c>
      <c r="F114" s="143" t="s">
        <v>346</v>
      </c>
      <c r="G114" s="142" t="s">
        <v>109</v>
      </c>
      <c r="H114" s="142" t="s">
        <v>57</v>
      </c>
      <c r="I114" s="143" t="s">
        <v>103</v>
      </c>
      <c r="J114" s="143" t="s">
        <v>104</v>
      </c>
      <c r="K114" s="144"/>
      <c r="L114" s="145"/>
      <c r="M114" s="144"/>
    </row>
    <row r="115" spans="1:13" ht="15" customHeight="1">
      <c r="A115" s="146" t="s">
        <v>401</v>
      </c>
      <c r="B115" s="146">
        <v>517036</v>
      </c>
      <c r="C115" s="147" t="s">
        <v>402</v>
      </c>
      <c r="D115" s="146" t="s">
        <v>323</v>
      </c>
      <c r="E115" s="147" t="s">
        <v>345</v>
      </c>
      <c r="F115" s="147" t="s">
        <v>403</v>
      </c>
      <c r="G115" s="146" t="s">
        <v>109</v>
      </c>
      <c r="H115" s="146" t="s">
        <v>57</v>
      </c>
      <c r="I115" s="147" t="s">
        <v>103</v>
      </c>
      <c r="J115" s="147" t="s">
        <v>104</v>
      </c>
      <c r="K115" s="148"/>
      <c r="L115" s="149"/>
      <c r="M115" s="148"/>
    </row>
    <row r="116" spans="1:13" ht="15" customHeight="1">
      <c r="A116" s="142" t="s">
        <v>404</v>
      </c>
      <c r="B116" s="142">
        <v>517190</v>
      </c>
      <c r="C116" s="143" t="s">
        <v>405</v>
      </c>
      <c r="D116" s="142" t="s">
        <v>323</v>
      </c>
      <c r="E116" s="143" t="s">
        <v>345</v>
      </c>
      <c r="F116" s="143" t="s">
        <v>406</v>
      </c>
      <c r="G116" s="142" t="s">
        <v>109</v>
      </c>
      <c r="H116" s="142" t="s">
        <v>57</v>
      </c>
      <c r="I116" s="143" t="s">
        <v>103</v>
      </c>
      <c r="J116" s="143" t="s">
        <v>104</v>
      </c>
      <c r="K116" s="144" t="s">
        <v>121</v>
      </c>
      <c r="L116" s="145">
        <v>46150</v>
      </c>
      <c r="M116" s="144"/>
    </row>
    <row r="117" spans="1:13" ht="15" customHeight="1">
      <c r="A117" s="146" t="s">
        <v>407</v>
      </c>
      <c r="B117" s="146">
        <v>517385</v>
      </c>
      <c r="C117" s="147" t="s">
        <v>408</v>
      </c>
      <c r="D117" s="146" t="s">
        <v>323</v>
      </c>
      <c r="E117" s="147" t="s">
        <v>338</v>
      </c>
      <c r="F117" s="147" t="s">
        <v>409</v>
      </c>
      <c r="G117" s="146" t="s">
        <v>109</v>
      </c>
      <c r="H117" s="146" t="s">
        <v>57</v>
      </c>
      <c r="I117" s="147" t="s">
        <v>103</v>
      </c>
      <c r="J117" s="147" t="s">
        <v>104</v>
      </c>
      <c r="K117" s="148" t="s">
        <v>121</v>
      </c>
      <c r="L117" s="149">
        <v>46150</v>
      </c>
      <c r="M117" s="148"/>
    </row>
    <row r="118" spans="1:13" ht="15" customHeight="1">
      <c r="A118" s="142" t="s">
        <v>410</v>
      </c>
      <c r="B118" s="142">
        <v>517398</v>
      </c>
      <c r="C118" s="143" t="s">
        <v>411</v>
      </c>
      <c r="D118" s="142" t="s">
        <v>323</v>
      </c>
      <c r="E118" s="143" t="s">
        <v>324</v>
      </c>
      <c r="F118" s="143" t="s">
        <v>412</v>
      </c>
      <c r="G118" s="142" t="s">
        <v>102</v>
      </c>
      <c r="H118" s="142" t="s">
        <v>57</v>
      </c>
      <c r="I118" s="143" t="s">
        <v>103</v>
      </c>
      <c r="J118" s="143" t="s">
        <v>104</v>
      </c>
      <c r="K118" s="144"/>
      <c r="L118" s="145"/>
      <c r="M118" s="144"/>
    </row>
    <row r="119" spans="1:13" ht="15" customHeight="1">
      <c r="A119" s="146" t="s">
        <v>413</v>
      </c>
      <c r="B119" s="146">
        <v>516977</v>
      </c>
      <c r="C119" s="147" t="s">
        <v>414</v>
      </c>
      <c r="D119" s="146" t="s">
        <v>323</v>
      </c>
      <c r="E119" s="147" t="s">
        <v>324</v>
      </c>
      <c r="F119" s="147" t="s">
        <v>324</v>
      </c>
      <c r="G119" s="146" t="s">
        <v>102</v>
      </c>
      <c r="H119" s="146" t="s">
        <v>57</v>
      </c>
      <c r="I119" s="147" t="s">
        <v>103</v>
      </c>
      <c r="J119" s="147" t="s">
        <v>104</v>
      </c>
      <c r="K119" s="148"/>
      <c r="L119" s="149"/>
      <c r="M119" s="148"/>
    </row>
    <row r="120" spans="1:13" ht="15" customHeight="1">
      <c r="A120" s="142" t="s">
        <v>415</v>
      </c>
      <c r="B120" s="142">
        <v>516901</v>
      </c>
      <c r="C120" s="143" t="s">
        <v>416</v>
      </c>
      <c r="D120" s="142" t="s">
        <v>323</v>
      </c>
      <c r="E120" s="143" t="s">
        <v>324</v>
      </c>
      <c r="F120" s="143" t="s">
        <v>324</v>
      </c>
      <c r="G120" s="142" t="s">
        <v>109</v>
      </c>
      <c r="H120" s="142" t="s">
        <v>57</v>
      </c>
      <c r="I120" s="143" t="s">
        <v>103</v>
      </c>
      <c r="J120" s="143" t="s">
        <v>104</v>
      </c>
      <c r="K120" s="144"/>
      <c r="L120" s="145"/>
      <c r="M120" s="144"/>
    </row>
    <row r="121" spans="1:13" ht="15" customHeight="1">
      <c r="A121" s="146" t="s">
        <v>417</v>
      </c>
      <c r="B121" s="146">
        <v>516798</v>
      </c>
      <c r="C121" s="147" t="s">
        <v>418</v>
      </c>
      <c r="D121" s="146" t="s">
        <v>323</v>
      </c>
      <c r="E121" s="147" t="s">
        <v>345</v>
      </c>
      <c r="F121" s="147" t="s">
        <v>346</v>
      </c>
      <c r="G121" s="146" t="s">
        <v>102</v>
      </c>
      <c r="H121" s="146" t="s">
        <v>57</v>
      </c>
      <c r="I121" s="147" t="s">
        <v>103</v>
      </c>
      <c r="J121" s="147" t="s">
        <v>104</v>
      </c>
      <c r="K121" s="148"/>
      <c r="L121" s="149"/>
      <c r="M121" s="148"/>
    </row>
    <row r="122" spans="1:13" ht="15" customHeight="1">
      <c r="A122" s="142" t="s">
        <v>419</v>
      </c>
      <c r="B122" s="142">
        <v>517200</v>
      </c>
      <c r="C122" s="143" t="s">
        <v>420</v>
      </c>
      <c r="D122" s="142" t="s">
        <v>323</v>
      </c>
      <c r="E122" s="143" t="s">
        <v>345</v>
      </c>
      <c r="F122" s="143" t="s">
        <v>421</v>
      </c>
      <c r="G122" s="142" t="s">
        <v>102</v>
      </c>
      <c r="H122" s="142" t="s">
        <v>57</v>
      </c>
      <c r="I122" s="143" t="s">
        <v>103</v>
      </c>
      <c r="J122" s="143" t="s">
        <v>104</v>
      </c>
      <c r="K122" s="144"/>
      <c r="L122" s="145"/>
      <c r="M122" s="144"/>
    </row>
    <row r="123" spans="1:13" ht="15" customHeight="1">
      <c r="A123" s="146" t="s">
        <v>422</v>
      </c>
      <c r="B123" s="146">
        <v>517369</v>
      </c>
      <c r="C123" s="147" t="s">
        <v>423</v>
      </c>
      <c r="D123" s="146" t="s">
        <v>323</v>
      </c>
      <c r="E123" s="147" t="s">
        <v>345</v>
      </c>
      <c r="F123" s="147" t="s">
        <v>423</v>
      </c>
      <c r="G123" s="146" t="s">
        <v>102</v>
      </c>
      <c r="H123" s="146" t="s">
        <v>57</v>
      </c>
      <c r="I123" s="147" t="s">
        <v>103</v>
      </c>
      <c r="J123" s="147" t="s">
        <v>104</v>
      </c>
      <c r="K123" s="148"/>
      <c r="L123" s="149"/>
      <c r="M123" s="148"/>
    </row>
    <row r="124" spans="1:13" ht="15" customHeight="1">
      <c r="A124" s="142" t="s">
        <v>424</v>
      </c>
      <c r="B124" s="142">
        <v>517150</v>
      </c>
      <c r="C124" s="143" t="s">
        <v>425</v>
      </c>
      <c r="D124" s="142" t="s">
        <v>323</v>
      </c>
      <c r="E124" s="143" t="s">
        <v>345</v>
      </c>
      <c r="F124" s="143" t="s">
        <v>349</v>
      </c>
      <c r="G124" s="142" t="s">
        <v>109</v>
      </c>
      <c r="H124" s="142" t="s">
        <v>57</v>
      </c>
      <c r="I124" s="143" t="s">
        <v>103</v>
      </c>
      <c r="J124" s="143" t="s">
        <v>104</v>
      </c>
      <c r="K124" s="144"/>
      <c r="L124" s="145"/>
      <c r="M124" s="144"/>
    </row>
    <row r="125" spans="1:13" ht="15" customHeight="1">
      <c r="A125" s="146" t="s">
        <v>426</v>
      </c>
      <c r="B125" s="146">
        <v>517760</v>
      </c>
      <c r="C125" s="147" t="s">
        <v>427</v>
      </c>
      <c r="D125" s="146" t="s">
        <v>323</v>
      </c>
      <c r="E125" s="147" t="s">
        <v>345</v>
      </c>
      <c r="F125" s="147" t="s">
        <v>349</v>
      </c>
      <c r="G125" s="146" t="s">
        <v>102</v>
      </c>
      <c r="H125" s="146" t="s">
        <v>57</v>
      </c>
      <c r="I125" s="147" t="s">
        <v>103</v>
      </c>
      <c r="J125" s="147" t="s">
        <v>104</v>
      </c>
      <c r="K125" s="148"/>
      <c r="L125" s="149"/>
      <c r="M125" s="148"/>
    </row>
    <row r="126" spans="1:13" ht="15" customHeight="1">
      <c r="A126" s="142" t="s">
        <v>428</v>
      </c>
      <c r="B126" s="142">
        <v>517724</v>
      </c>
      <c r="C126" s="143" t="s">
        <v>429</v>
      </c>
      <c r="D126" s="142" t="s">
        <v>323</v>
      </c>
      <c r="E126" s="143" t="s">
        <v>345</v>
      </c>
      <c r="F126" s="143" t="s">
        <v>349</v>
      </c>
      <c r="G126" s="142" t="s">
        <v>102</v>
      </c>
      <c r="H126" s="142" t="s">
        <v>57</v>
      </c>
      <c r="I126" s="143" t="s">
        <v>103</v>
      </c>
      <c r="J126" s="143" t="s">
        <v>104</v>
      </c>
      <c r="K126" s="144" t="s">
        <v>121</v>
      </c>
      <c r="L126" s="145">
        <v>46147</v>
      </c>
      <c r="M126" s="144"/>
    </row>
    <row r="127" spans="1:13" ht="15" customHeight="1">
      <c r="A127" s="146" t="s">
        <v>430</v>
      </c>
      <c r="B127" s="146">
        <v>520784</v>
      </c>
      <c r="C127" s="147" t="s">
        <v>431</v>
      </c>
      <c r="D127" s="146" t="s">
        <v>432</v>
      </c>
      <c r="E127" s="147" t="s">
        <v>433</v>
      </c>
      <c r="F127" s="147" t="s">
        <v>434</v>
      </c>
      <c r="G127" s="146" t="s">
        <v>109</v>
      </c>
      <c r="H127" s="146" t="s">
        <v>55</v>
      </c>
      <c r="I127" s="147" t="s">
        <v>435</v>
      </c>
      <c r="J127" s="147" t="s">
        <v>104</v>
      </c>
      <c r="K127" s="148"/>
      <c r="L127" s="149"/>
      <c r="M127" s="148"/>
    </row>
    <row r="128" spans="1:13" ht="15" customHeight="1">
      <c r="A128" s="142" t="s">
        <v>436</v>
      </c>
      <c r="B128" s="142">
        <v>520769</v>
      </c>
      <c r="C128" s="143" t="s">
        <v>437</v>
      </c>
      <c r="D128" s="142" t="s">
        <v>432</v>
      </c>
      <c r="E128" s="143" t="s">
        <v>438</v>
      </c>
      <c r="F128" s="143" t="s">
        <v>439</v>
      </c>
      <c r="G128" s="142" t="s">
        <v>109</v>
      </c>
      <c r="H128" s="142" t="s">
        <v>56</v>
      </c>
      <c r="I128" s="143" t="s">
        <v>440</v>
      </c>
      <c r="J128" s="143" t="s">
        <v>104</v>
      </c>
      <c r="K128" s="144"/>
      <c r="L128" s="145"/>
      <c r="M128" s="144"/>
    </row>
    <row r="129" spans="1:13" ht="15" customHeight="1">
      <c r="A129" s="146" t="s">
        <v>441</v>
      </c>
      <c r="B129" s="146">
        <v>520731</v>
      </c>
      <c r="C129" s="147" t="s">
        <v>442</v>
      </c>
      <c r="D129" s="146" t="s">
        <v>432</v>
      </c>
      <c r="E129" s="147" t="s">
        <v>443</v>
      </c>
      <c r="F129" s="147" t="s">
        <v>443</v>
      </c>
      <c r="G129" s="146" t="s">
        <v>102</v>
      </c>
      <c r="H129" s="146" t="s">
        <v>56</v>
      </c>
      <c r="I129" s="147" t="s">
        <v>440</v>
      </c>
      <c r="J129" s="147" t="s">
        <v>104</v>
      </c>
      <c r="K129" s="148"/>
      <c r="L129" s="149"/>
      <c r="M129" s="148"/>
    </row>
    <row r="130" spans="1:13" ht="15" customHeight="1">
      <c r="A130" s="142" t="s">
        <v>444</v>
      </c>
      <c r="B130" s="142">
        <v>520732</v>
      </c>
      <c r="C130" s="143" t="s">
        <v>445</v>
      </c>
      <c r="D130" s="142" t="s">
        <v>432</v>
      </c>
      <c r="E130" s="143" t="s">
        <v>443</v>
      </c>
      <c r="F130" s="143" t="s">
        <v>443</v>
      </c>
      <c r="G130" s="142" t="s">
        <v>102</v>
      </c>
      <c r="H130" s="142" t="s">
        <v>56</v>
      </c>
      <c r="I130" s="143" t="s">
        <v>440</v>
      </c>
      <c r="J130" s="143" t="s">
        <v>104</v>
      </c>
      <c r="K130" s="144" t="s">
        <v>121</v>
      </c>
      <c r="L130" s="145">
        <v>46153</v>
      </c>
      <c r="M130" s="144"/>
    </row>
    <row r="131" spans="1:13" ht="15" customHeight="1">
      <c r="A131" s="146" t="s">
        <v>446</v>
      </c>
      <c r="B131" s="146">
        <v>520786</v>
      </c>
      <c r="C131" s="147" t="s">
        <v>447</v>
      </c>
      <c r="D131" s="146" t="s">
        <v>432</v>
      </c>
      <c r="E131" s="147" t="s">
        <v>448</v>
      </c>
      <c r="F131" s="147" t="s">
        <v>449</v>
      </c>
      <c r="G131" s="146" t="s">
        <v>109</v>
      </c>
      <c r="H131" s="146" t="s">
        <v>56</v>
      </c>
      <c r="I131" s="147" t="s">
        <v>440</v>
      </c>
      <c r="J131" s="147" t="s">
        <v>104</v>
      </c>
      <c r="K131" s="148"/>
      <c r="L131" s="149"/>
      <c r="M131" s="148"/>
    </row>
    <row r="132" spans="1:13" ht="15" customHeight="1">
      <c r="A132" s="142" t="s">
        <v>450</v>
      </c>
      <c r="B132" s="142">
        <v>520737</v>
      </c>
      <c r="C132" s="143" t="s">
        <v>451</v>
      </c>
      <c r="D132" s="142" t="s">
        <v>432</v>
      </c>
      <c r="E132" s="143" t="s">
        <v>452</v>
      </c>
      <c r="F132" s="143" t="s">
        <v>453</v>
      </c>
      <c r="G132" s="142" t="s">
        <v>109</v>
      </c>
      <c r="H132" s="142" t="s">
        <v>56</v>
      </c>
      <c r="I132" s="143" t="s">
        <v>440</v>
      </c>
      <c r="J132" s="143" t="s">
        <v>104</v>
      </c>
      <c r="K132" s="144"/>
      <c r="L132" s="145"/>
      <c r="M132" s="144"/>
    </row>
    <row r="133" spans="1:13" ht="15" customHeight="1">
      <c r="A133" s="146" t="s">
        <v>454</v>
      </c>
      <c r="B133" s="146">
        <v>520740</v>
      </c>
      <c r="C133" s="147" t="s">
        <v>455</v>
      </c>
      <c r="D133" s="146" t="s">
        <v>432</v>
      </c>
      <c r="E133" s="147" t="s">
        <v>456</v>
      </c>
      <c r="F133" s="147" t="s">
        <v>457</v>
      </c>
      <c r="G133" s="146" t="s">
        <v>109</v>
      </c>
      <c r="H133" s="146" t="s">
        <v>56</v>
      </c>
      <c r="I133" s="147" t="s">
        <v>440</v>
      </c>
      <c r="J133" s="147" t="s">
        <v>104</v>
      </c>
      <c r="K133" s="148"/>
      <c r="L133" s="149"/>
      <c r="M133" s="148"/>
    </row>
    <row r="134" spans="1:13" ht="15" customHeight="1">
      <c r="A134" s="142" t="s">
        <v>458</v>
      </c>
      <c r="B134" s="142">
        <v>520775</v>
      </c>
      <c r="C134" s="143" t="s">
        <v>459</v>
      </c>
      <c r="D134" s="142" t="s">
        <v>432</v>
      </c>
      <c r="E134" s="143" t="s">
        <v>460</v>
      </c>
      <c r="F134" s="143" t="s">
        <v>461</v>
      </c>
      <c r="G134" s="142" t="s">
        <v>109</v>
      </c>
      <c r="H134" s="142" t="s">
        <v>56</v>
      </c>
      <c r="I134" s="143" t="s">
        <v>440</v>
      </c>
      <c r="J134" s="143" t="s">
        <v>104</v>
      </c>
      <c r="K134" s="144"/>
      <c r="L134" s="145"/>
      <c r="M134" s="144"/>
    </row>
    <row r="135" spans="1:13" ht="15" customHeight="1">
      <c r="A135" s="146" t="s">
        <v>462</v>
      </c>
      <c r="B135" s="146">
        <v>520779</v>
      </c>
      <c r="C135" s="147" t="s">
        <v>463</v>
      </c>
      <c r="D135" s="146" t="s">
        <v>432</v>
      </c>
      <c r="E135" s="147" t="s">
        <v>443</v>
      </c>
      <c r="F135" s="147" t="s">
        <v>443</v>
      </c>
      <c r="G135" s="146" t="s">
        <v>102</v>
      </c>
      <c r="H135" s="146" t="s">
        <v>56</v>
      </c>
      <c r="I135" s="147" t="s">
        <v>440</v>
      </c>
      <c r="J135" s="147" t="s">
        <v>104</v>
      </c>
      <c r="K135" s="148"/>
      <c r="L135" s="149"/>
      <c r="M135" s="148"/>
    </row>
    <row r="136" spans="1:13" ht="15" customHeight="1">
      <c r="A136" s="142" t="s">
        <v>464</v>
      </c>
      <c r="B136" s="142">
        <v>520776</v>
      </c>
      <c r="C136" s="143" t="s">
        <v>465</v>
      </c>
      <c r="D136" s="142" t="s">
        <v>432</v>
      </c>
      <c r="E136" s="143" t="s">
        <v>466</v>
      </c>
      <c r="F136" s="143" t="s">
        <v>467</v>
      </c>
      <c r="G136" s="142" t="s">
        <v>102</v>
      </c>
      <c r="H136" s="142" t="s">
        <v>56</v>
      </c>
      <c r="I136" s="143" t="s">
        <v>440</v>
      </c>
      <c r="J136" s="143" t="s">
        <v>104</v>
      </c>
      <c r="K136" s="144"/>
      <c r="L136" s="145"/>
      <c r="M136" s="144"/>
    </row>
    <row r="137" spans="1:13" ht="15" customHeight="1">
      <c r="A137" s="146" t="s">
        <v>468</v>
      </c>
      <c r="B137" s="146">
        <v>520711</v>
      </c>
      <c r="C137" s="147" t="s">
        <v>469</v>
      </c>
      <c r="D137" s="146" t="s">
        <v>432</v>
      </c>
      <c r="E137" s="147" t="s">
        <v>470</v>
      </c>
      <c r="F137" s="147" t="s">
        <v>471</v>
      </c>
      <c r="G137" s="146" t="s">
        <v>109</v>
      </c>
      <c r="H137" s="146" t="s">
        <v>55</v>
      </c>
      <c r="I137" s="147" t="s">
        <v>435</v>
      </c>
      <c r="J137" s="147" t="s">
        <v>104</v>
      </c>
      <c r="K137" s="148"/>
      <c r="L137" s="149"/>
      <c r="M137" s="148"/>
    </row>
    <row r="138" spans="1:13" ht="15" customHeight="1">
      <c r="A138" s="142" t="s">
        <v>472</v>
      </c>
      <c r="B138" s="142">
        <v>520729</v>
      </c>
      <c r="C138" s="143" t="s">
        <v>473</v>
      </c>
      <c r="D138" s="142" t="s">
        <v>432</v>
      </c>
      <c r="E138" s="143" t="s">
        <v>443</v>
      </c>
      <c r="F138" s="143" t="s">
        <v>474</v>
      </c>
      <c r="G138" s="142" t="s">
        <v>109</v>
      </c>
      <c r="H138" s="142" t="s">
        <v>56</v>
      </c>
      <c r="I138" s="143" t="s">
        <v>440</v>
      </c>
      <c r="J138" s="143" t="s">
        <v>104</v>
      </c>
      <c r="K138" s="144"/>
      <c r="L138" s="145"/>
      <c r="M138" s="144"/>
    </row>
    <row r="139" spans="1:13" ht="15" customHeight="1">
      <c r="A139" s="146" t="s">
        <v>475</v>
      </c>
      <c r="B139" s="146">
        <v>520764</v>
      </c>
      <c r="C139" s="147" t="s">
        <v>437</v>
      </c>
      <c r="D139" s="146" t="s">
        <v>432</v>
      </c>
      <c r="E139" s="147" t="s">
        <v>328</v>
      </c>
      <c r="F139" s="147" t="s">
        <v>328</v>
      </c>
      <c r="G139" s="146" t="s">
        <v>102</v>
      </c>
      <c r="H139" s="146" t="s">
        <v>55</v>
      </c>
      <c r="I139" s="147" t="s">
        <v>435</v>
      </c>
      <c r="J139" s="147" t="s">
        <v>104</v>
      </c>
      <c r="K139" s="148"/>
      <c r="L139" s="149"/>
      <c r="M139" s="148"/>
    </row>
    <row r="140" spans="1:13" ht="15" customHeight="1">
      <c r="A140" s="142" t="s">
        <v>476</v>
      </c>
      <c r="B140" s="142">
        <v>520714</v>
      </c>
      <c r="C140" s="143" t="s">
        <v>477</v>
      </c>
      <c r="D140" s="142" t="s">
        <v>432</v>
      </c>
      <c r="E140" s="143" t="s">
        <v>478</v>
      </c>
      <c r="F140" s="143" t="s">
        <v>478</v>
      </c>
      <c r="G140" s="142" t="s">
        <v>102</v>
      </c>
      <c r="H140" s="142" t="s">
        <v>55</v>
      </c>
      <c r="I140" s="143" t="s">
        <v>435</v>
      </c>
      <c r="J140" s="143" t="s">
        <v>104</v>
      </c>
      <c r="K140" s="144"/>
      <c r="L140" s="145"/>
      <c r="M140" s="144"/>
    </row>
    <row r="141" spans="1:13" ht="15" customHeight="1">
      <c r="A141" s="146" t="s">
        <v>479</v>
      </c>
      <c r="B141" s="146">
        <v>520717</v>
      </c>
      <c r="C141" s="147" t="s">
        <v>480</v>
      </c>
      <c r="D141" s="146" t="s">
        <v>432</v>
      </c>
      <c r="E141" s="147" t="s">
        <v>478</v>
      </c>
      <c r="F141" s="147" t="s">
        <v>481</v>
      </c>
      <c r="G141" s="146" t="s">
        <v>109</v>
      </c>
      <c r="H141" s="146" t="s">
        <v>55</v>
      </c>
      <c r="I141" s="147" t="s">
        <v>435</v>
      </c>
      <c r="J141" s="147" t="s">
        <v>104</v>
      </c>
      <c r="K141" s="148" t="s">
        <v>121</v>
      </c>
      <c r="L141" s="149">
        <v>46150</v>
      </c>
      <c r="M141" s="148"/>
    </row>
    <row r="142" spans="1:13" ht="15" customHeight="1">
      <c r="A142" s="142" t="s">
        <v>482</v>
      </c>
      <c r="B142" s="142">
        <v>520735</v>
      </c>
      <c r="C142" s="143" t="s">
        <v>483</v>
      </c>
      <c r="D142" s="142" t="s">
        <v>432</v>
      </c>
      <c r="E142" s="143" t="s">
        <v>443</v>
      </c>
      <c r="F142" s="143" t="s">
        <v>484</v>
      </c>
      <c r="G142" s="142" t="s">
        <v>109</v>
      </c>
      <c r="H142" s="142" t="s">
        <v>56</v>
      </c>
      <c r="I142" s="143" t="s">
        <v>440</v>
      </c>
      <c r="J142" s="143" t="s">
        <v>104</v>
      </c>
      <c r="K142" s="144"/>
      <c r="L142" s="145"/>
      <c r="M142" s="144"/>
    </row>
    <row r="143" spans="1:13" ht="15" customHeight="1">
      <c r="A143" s="146" t="s">
        <v>485</v>
      </c>
      <c r="B143" s="146">
        <v>520788</v>
      </c>
      <c r="C143" s="147" t="s">
        <v>486</v>
      </c>
      <c r="D143" s="146" t="s">
        <v>432</v>
      </c>
      <c r="E143" s="147" t="s">
        <v>328</v>
      </c>
      <c r="F143" s="147" t="s">
        <v>487</v>
      </c>
      <c r="G143" s="146" t="s">
        <v>109</v>
      </c>
      <c r="H143" s="146" t="s">
        <v>55</v>
      </c>
      <c r="I143" s="147" t="s">
        <v>435</v>
      </c>
      <c r="J143" s="147" t="s">
        <v>104</v>
      </c>
      <c r="K143" s="148"/>
      <c r="L143" s="149"/>
      <c r="M143" s="148"/>
    </row>
    <row r="144" spans="1:13" ht="15" customHeight="1">
      <c r="A144" s="142" t="s">
        <v>488</v>
      </c>
      <c r="B144" s="142">
        <v>520774</v>
      </c>
      <c r="C144" s="143" t="s">
        <v>457</v>
      </c>
      <c r="D144" s="142" t="s">
        <v>432</v>
      </c>
      <c r="E144" s="143" t="s">
        <v>456</v>
      </c>
      <c r="F144" s="143" t="s">
        <v>457</v>
      </c>
      <c r="G144" s="142" t="s">
        <v>109</v>
      </c>
      <c r="H144" s="142" t="s">
        <v>56</v>
      </c>
      <c r="I144" s="143" t="s">
        <v>440</v>
      </c>
      <c r="J144" s="143" t="s">
        <v>104</v>
      </c>
      <c r="K144" s="144"/>
      <c r="L144" s="145"/>
      <c r="M144" s="144"/>
    </row>
    <row r="145" spans="1:13" ht="15" customHeight="1">
      <c r="A145" s="146" t="s">
        <v>489</v>
      </c>
      <c r="B145" s="146">
        <v>520787</v>
      </c>
      <c r="C145" s="147" t="s">
        <v>490</v>
      </c>
      <c r="D145" s="146" t="s">
        <v>432</v>
      </c>
      <c r="E145" s="147" t="s">
        <v>448</v>
      </c>
      <c r="F145" s="147" t="s">
        <v>491</v>
      </c>
      <c r="G145" s="146" t="s">
        <v>109</v>
      </c>
      <c r="H145" s="146" t="s">
        <v>56</v>
      </c>
      <c r="I145" s="147" t="s">
        <v>440</v>
      </c>
      <c r="J145" s="147" t="s">
        <v>104</v>
      </c>
      <c r="K145" s="148"/>
      <c r="L145" s="149"/>
      <c r="M145" s="148"/>
    </row>
    <row r="146" spans="1:13" ht="15" customHeight="1">
      <c r="A146" s="142" t="s">
        <v>492</v>
      </c>
      <c r="B146" s="142">
        <v>520777</v>
      </c>
      <c r="C146" s="143" t="s">
        <v>493</v>
      </c>
      <c r="D146" s="142" t="s">
        <v>432</v>
      </c>
      <c r="E146" s="143" t="s">
        <v>466</v>
      </c>
      <c r="F146" s="143" t="s">
        <v>494</v>
      </c>
      <c r="G146" s="142" t="s">
        <v>109</v>
      </c>
      <c r="H146" s="142" t="s">
        <v>56</v>
      </c>
      <c r="I146" s="143" t="s">
        <v>440</v>
      </c>
      <c r="J146" s="143" t="s">
        <v>104</v>
      </c>
      <c r="K146" s="144"/>
      <c r="L146" s="145"/>
      <c r="M146" s="144"/>
    </row>
    <row r="147" spans="1:13" ht="15" customHeight="1">
      <c r="A147" s="146" t="s">
        <v>495</v>
      </c>
      <c r="B147" s="146">
        <v>520727</v>
      </c>
      <c r="C147" s="147" t="s">
        <v>496</v>
      </c>
      <c r="D147" s="146" t="s">
        <v>432</v>
      </c>
      <c r="E147" s="147" t="s">
        <v>433</v>
      </c>
      <c r="F147" s="147" t="s">
        <v>433</v>
      </c>
      <c r="G147" s="146" t="s">
        <v>109</v>
      </c>
      <c r="H147" s="146" t="s">
        <v>55</v>
      </c>
      <c r="I147" s="147" t="s">
        <v>435</v>
      </c>
      <c r="J147" s="147" t="s">
        <v>104</v>
      </c>
      <c r="K147" s="148"/>
      <c r="L147" s="149"/>
      <c r="M147" s="148"/>
    </row>
    <row r="148" spans="1:13" ht="15" customHeight="1">
      <c r="A148" s="142" t="s">
        <v>497</v>
      </c>
      <c r="B148" s="142">
        <v>520739</v>
      </c>
      <c r="C148" s="143" t="s">
        <v>498</v>
      </c>
      <c r="D148" s="142" t="s">
        <v>432</v>
      </c>
      <c r="E148" s="143" t="s">
        <v>443</v>
      </c>
      <c r="F148" s="143" t="s">
        <v>443</v>
      </c>
      <c r="G148" s="142" t="s">
        <v>102</v>
      </c>
      <c r="H148" s="142" t="s">
        <v>56</v>
      </c>
      <c r="I148" s="143" t="s">
        <v>440</v>
      </c>
      <c r="J148" s="143" t="s">
        <v>104</v>
      </c>
      <c r="K148" s="144"/>
      <c r="L148" s="145"/>
      <c r="M148" s="144"/>
    </row>
    <row r="149" spans="1:13" ht="15" customHeight="1">
      <c r="A149" s="146" t="s">
        <v>499</v>
      </c>
      <c r="B149" s="146">
        <v>520758</v>
      </c>
      <c r="C149" s="147" t="s">
        <v>500</v>
      </c>
      <c r="D149" s="146" t="s">
        <v>432</v>
      </c>
      <c r="E149" s="147" t="s">
        <v>460</v>
      </c>
      <c r="F149" s="147" t="s">
        <v>460</v>
      </c>
      <c r="G149" s="146" t="s">
        <v>102</v>
      </c>
      <c r="H149" s="146" t="s">
        <v>56</v>
      </c>
      <c r="I149" s="147" t="s">
        <v>440</v>
      </c>
      <c r="J149" s="147" t="s">
        <v>104</v>
      </c>
      <c r="K149" s="148"/>
      <c r="L149" s="149"/>
      <c r="M149" s="148"/>
    </row>
    <row r="150" spans="1:13" ht="15" customHeight="1">
      <c r="A150" s="142" t="s">
        <v>501</v>
      </c>
      <c r="B150" s="142">
        <v>520771</v>
      </c>
      <c r="C150" s="143" t="s">
        <v>502</v>
      </c>
      <c r="D150" s="142" t="s">
        <v>432</v>
      </c>
      <c r="E150" s="143" t="s">
        <v>503</v>
      </c>
      <c r="F150" s="143" t="s">
        <v>504</v>
      </c>
      <c r="G150" s="142" t="s">
        <v>109</v>
      </c>
      <c r="H150" s="142" t="s">
        <v>56</v>
      </c>
      <c r="I150" s="143" t="s">
        <v>440</v>
      </c>
      <c r="J150" s="143" t="s">
        <v>104</v>
      </c>
      <c r="K150" s="144"/>
      <c r="L150" s="145"/>
      <c r="M150" s="144"/>
    </row>
    <row r="151" spans="1:13" ht="15" customHeight="1">
      <c r="A151" s="146" t="s">
        <v>505</v>
      </c>
      <c r="B151" s="146">
        <v>520770</v>
      </c>
      <c r="C151" s="147" t="s">
        <v>506</v>
      </c>
      <c r="D151" s="146" t="s">
        <v>432</v>
      </c>
      <c r="E151" s="147" t="s">
        <v>438</v>
      </c>
      <c r="F151" s="147" t="s">
        <v>507</v>
      </c>
      <c r="G151" s="146" t="s">
        <v>109</v>
      </c>
      <c r="H151" s="146" t="s">
        <v>56</v>
      </c>
      <c r="I151" s="147" t="s">
        <v>440</v>
      </c>
      <c r="J151" s="147" t="s">
        <v>104</v>
      </c>
      <c r="K151" s="148"/>
      <c r="L151" s="149"/>
      <c r="M151" s="148"/>
    </row>
    <row r="152" spans="1:13" ht="15" customHeight="1">
      <c r="A152" s="142" t="s">
        <v>508</v>
      </c>
      <c r="B152" s="142">
        <v>516082</v>
      </c>
      <c r="C152" s="143" t="s">
        <v>509</v>
      </c>
      <c r="D152" s="142" t="s">
        <v>432</v>
      </c>
      <c r="E152" s="143" t="s">
        <v>510</v>
      </c>
      <c r="F152" s="143" t="s">
        <v>511</v>
      </c>
      <c r="G152" s="142" t="s">
        <v>109</v>
      </c>
      <c r="H152" s="142" t="s">
        <v>56</v>
      </c>
      <c r="I152" s="143" t="s">
        <v>440</v>
      </c>
      <c r="J152" s="143" t="s">
        <v>104</v>
      </c>
      <c r="K152" s="144"/>
      <c r="L152" s="145"/>
      <c r="M152" s="144"/>
    </row>
    <row r="153" spans="1:13" ht="15" customHeight="1">
      <c r="A153" s="146" t="s">
        <v>512</v>
      </c>
      <c r="B153" s="146">
        <v>520783</v>
      </c>
      <c r="C153" s="147" t="s">
        <v>513</v>
      </c>
      <c r="D153" s="146" t="s">
        <v>432</v>
      </c>
      <c r="E153" s="147" t="s">
        <v>514</v>
      </c>
      <c r="F153" s="147" t="s">
        <v>514</v>
      </c>
      <c r="G153" s="146" t="s">
        <v>102</v>
      </c>
      <c r="H153" s="146" t="s">
        <v>56</v>
      </c>
      <c r="I153" s="147" t="s">
        <v>440</v>
      </c>
      <c r="J153" s="147" t="s">
        <v>104</v>
      </c>
      <c r="K153" s="148"/>
      <c r="L153" s="149"/>
      <c r="M153" s="148"/>
    </row>
    <row r="154" spans="1:13" ht="15" customHeight="1">
      <c r="A154" s="142" t="s">
        <v>515</v>
      </c>
      <c r="B154" s="142">
        <v>520752</v>
      </c>
      <c r="C154" s="143" t="s">
        <v>516</v>
      </c>
      <c r="D154" s="142" t="s">
        <v>432</v>
      </c>
      <c r="E154" s="143" t="s">
        <v>517</v>
      </c>
      <c r="F154" s="143" t="s">
        <v>518</v>
      </c>
      <c r="G154" s="142" t="s">
        <v>109</v>
      </c>
      <c r="H154" s="142" t="s">
        <v>56</v>
      </c>
      <c r="I154" s="143" t="s">
        <v>440</v>
      </c>
      <c r="J154" s="143" t="s">
        <v>104</v>
      </c>
      <c r="K154" s="144"/>
      <c r="L154" s="145"/>
      <c r="M154" s="144"/>
    </row>
    <row r="155" spans="1:13" ht="15" customHeight="1">
      <c r="A155" s="146" t="s">
        <v>519</v>
      </c>
      <c r="B155" s="146">
        <v>520763</v>
      </c>
      <c r="C155" s="147" t="s">
        <v>520</v>
      </c>
      <c r="D155" s="146" t="s">
        <v>432</v>
      </c>
      <c r="E155" s="147" t="s">
        <v>521</v>
      </c>
      <c r="F155" s="147" t="s">
        <v>520</v>
      </c>
      <c r="G155" s="146" t="s">
        <v>109</v>
      </c>
      <c r="H155" s="146" t="s">
        <v>55</v>
      </c>
      <c r="I155" s="147" t="s">
        <v>435</v>
      </c>
      <c r="J155" s="147" t="s">
        <v>104</v>
      </c>
      <c r="K155" s="148"/>
      <c r="L155" s="149"/>
      <c r="M155" s="148"/>
    </row>
    <row r="156" spans="1:13" ht="15" customHeight="1">
      <c r="A156" s="142" t="s">
        <v>522</v>
      </c>
      <c r="B156" s="142">
        <v>520738</v>
      </c>
      <c r="C156" s="143" t="s">
        <v>523</v>
      </c>
      <c r="D156" s="142" t="s">
        <v>432</v>
      </c>
      <c r="E156" s="143" t="s">
        <v>524</v>
      </c>
      <c r="F156" s="143" t="s">
        <v>523</v>
      </c>
      <c r="G156" s="142" t="s">
        <v>109</v>
      </c>
      <c r="H156" s="142" t="s">
        <v>56</v>
      </c>
      <c r="I156" s="143" t="s">
        <v>440</v>
      </c>
      <c r="J156" s="143" t="s">
        <v>104</v>
      </c>
      <c r="K156" s="144"/>
      <c r="L156" s="145"/>
      <c r="M156" s="144"/>
    </row>
    <row r="157" spans="1:13" ht="15" customHeight="1">
      <c r="A157" s="146" t="s">
        <v>525</v>
      </c>
      <c r="B157" s="146">
        <v>520716</v>
      </c>
      <c r="C157" s="147" t="s">
        <v>526</v>
      </c>
      <c r="D157" s="146" t="s">
        <v>432</v>
      </c>
      <c r="E157" s="147" t="s">
        <v>521</v>
      </c>
      <c r="F157" s="147" t="s">
        <v>527</v>
      </c>
      <c r="G157" s="146" t="s">
        <v>109</v>
      </c>
      <c r="H157" s="146" t="s">
        <v>55</v>
      </c>
      <c r="I157" s="147" t="s">
        <v>435</v>
      </c>
      <c r="J157" s="147" t="s">
        <v>104</v>
      </c>
      <c r="K157" s="148"/>
      <c r="L157" s="149"/>
      <c r="M157" s="148"/>
    </row>
    <row r="158" spans="1:13" ht="15" customHeight="1">
      <c r="A158" s="142" t="s">
        <v>528</v>
      </c>
      <c r="B158" s="142">
        <v>520726</v>
      </c>
      <c r="C158" s="143" t="s">
        <v>529</v>
      </c>
      <c r="D158" s="142" t="s">
        <v>432</v>
      </c>
      <c r="E158" s="143" t="s">
        <v>443</v>
      </c>
      <c r="F158" s="143" t="s">
        <v>529</v>
      </c>
      <c r="G158" s="142" t="s">
        <v>109</v>
      </c>
      <c r="H158" s="142" t="s">
        <v>56</v>
      </c>
      <c r="I158" s="143" t="s">
        <v>440</v>
      </c>
      <c r="J158" s="143" t="s">
        <v>104</v>
      </c>
      <c r="K158" s="144" t="s">
        <v>121</v>
      </c>
      <c r="L158" s="145">
        <v>46153</v>
      </c>
      <c r="M158" s="144"/>
    </row>
    <row r="159" spans="1:13" ht="15" customHeight="1">
      <c r="A159" s="146" t="s">
        <v>530</v>
      </c>
      <c r="B159" s="146">
        <v>520768</v>
      </c>
      <c r="C159" s="147" t="s">
        <v>531</v>
      </c>
      <c r="D159" s="146" t="s">
        <v>432</v>
      </c>
      <c r="E159" s="147" t="s">
        <v>433</v>
      </c>
      <c r="F159" s="147" t="s">
        <v>532</v>
      </c>
      <c r="G159" s="146" t="s">
        <v>109</v>
      </c>
      <c r="H159" s="146" t="s">
        <v>55</v>
      </c>
      <c r="I159" s="147" t="s">
        <v>435</v>
      </c>
      <c r="J159" s="147" t="s">
        <v>104</v>
      </c>
      <c r="K159" s="148"/>
      <c r="L159" s="149"/>
      <c r="M159" s="148"/>
    </row>
    <row r="160" spans="1:13" ht="15" customHeight="1">
      <c r="A160" s="142" t="s">
        <v>533</v>
      </c>
      <c r="B160" s="142">
        <v>520780</v>
      </c>
      <c r="C160" s="143" t="s">
        <v>534</v>
      </c>
      <c r="D160" s="142" t="s">
        <v>432</v>
      </c>
      <c r="E160" s="143" t="s">
        <v>478</v>
      </c>
      <c r="F160" s="143" t="s">
        <v>535</v>
      </c>
      <c r="G160" s="142" t="s">
        <v>109</v>
      </c>
      <c r="H160" s="142" t="s">
        <v>55</v>
      </c>
      <c r="I160" s="143" t="s">
        <v>435</v>
      </c>
      <c r="J160" s="143" t="s">
        <v>104</v>
      </c>
      <c r="K160" s="144" t="s">
        <v>121</v>
      </c>
      <c r="L160" s="145">
        <v>46151</v>
      </c>
      <c r="M160" s="144"/>
    </row>
    <row r="161" spans="1:13" ht="15" customHeight="1">
      <c r="A161" s="146" t="s">
        <v>536</v>
      </c>
      <c r="B161" s="146">
        <v>521744</v>
      </c>
      <c r="C161" s="147" t="s">
        <v>537</v>
      </c>
      <c r="D161" s="146" t="s">
        <v>432</v>
      </c>
      <c r="E161" s="147" t="s">
        <v>470</v>
      </c>
      <c r="F161" s="147" t="s">
        <v>538</v>
      </c>
      <c r="G161" s="146" t="s">
        <v>109</v>
      </c>
      <c r="H161" s="146" t="s">
        <v>55</v>
      </c>
      <c r="I161" s="147" t="s">
        <v>435</v>
      </c>
      <c r="J161" s="147" t="s">
        <v>104</v>
      </c>
      <c r="K161" s="148" t="s">
        <v>121</v>
      </c>
      <c r="L161" s="149">
        <v>46151</v>
      </c>
      <c r="M161" s="148"/>
    </row>
    <row r="162" spans="1:13" ht="15" customHeight="1">
      <c r="A162" s="142" t="s">
        <v>539</v>
      </c>
      <c r="B162" s="142">
        <v>520743</v>
      </c>
      <c r="C162" s="143" t="s">
        <v>540</v>
      </c>
      <c r="D162" s="142" t="s">
        <v>432</v>
      </c>
      <c r="E162" s="143" t="s">
        <v>540</v>
      </c>
      <c r="F162" s="143" t="s">
        <v>540</v>
      </c>
      <c r="G162" s="142" t="s">
        <v>102</v>
      </c>
      <c r="H162" s="142" t="s">
        <v>56</v>
      </c>
      <c r="I162" s="143" t="s">
        <v>440</v>
      </c>
      <c r="J162" s="143" t="s">
        <v>104</v>
      </c>
      <c r="K162" s="144"/>
      <c r="L162" s="145"/>
      <c r="M162" s="144"/>
    </row>
    <row r="163" spans="1:13" ht="15" customHeight="1">
      <c r="A163" s="146" t="s">
        <v>541</v>
      </c>
      <c r="B163" s="146">
        <v>520751</v>
      </c>
      <c r="C163" s="147" t="s">
        <v>542</v>
      </c>
      <c r="D163" s="146" t="s">
        <v>432</v>
      </c>
      <c r="E163" s="147" t="s">
        <v>543</v>
      </c>
      <c r="F163" s="147" t="s">
        <v>543</v>
      </c>
      <c r="G163" s="146" t="s">
        <v>102</v>
      </c>
      <c r="H163" s="146" t="s">
        <v>56</v>
      </c>
      <c r="I163" s="147" t="s">
        <v>440</v>
      </c>
      <c r="J163" s="147" t="s">
        <v>104</v>
      </c>
      <c r="K163" s="148"/>
      <c r="L163" s="149"/>
      <c r="M163" s="148"/>
    </row>
    <row r="164" spans="1:13" ht="15" customHeight="1">
      <c r="A164" s="142" t="s">
        <v>544</v>
      </c>
      <c r="B164" s="142">
        <v>520709</v>
      </c>
      <c r="C164" s="143" t="s">
        <v>545</v>
      </c>
      <c r="D164" s="142" t="s">
        <v>432</v>
      </c>
      <c r="E164" s="143" t="s">
        <v>470</v>
      </c>
      <c r="F164" s="143" t="s">
        <v>546</v>
      </c>
      <c r="G164" s="142" t="s">
        <v>109</v>
      </c>
      <c r="H164" s="142" t="s">
        <v>55</v>
      </c>
      <c r="I164" s="143" t="s">
        <v>435</v>
      </c>
      <c r="J164" s="143" t="s">
        <v>104</v>
      </c>
      <c r="K164" s="144"/>
      <c r="L164" s="145"/>
      <c r="M164" s="144"/>
    </row>
    <row r="165" spans="1:13" ht="15" customHeight="1">
      <c r="A165" s="146" t="s">
        <v>547</v>
      </c>
      <c r="B165" s="146">
        <v>520778</v>
      </c>
      <c r="C165" s="147" t="s">
        <v>548</v>
      </c>
      <c r="D165" s="146" t="s">
        <v>432</v>
      </c>
      <c r="E165" s="147" t="s">
        <v>470</v>
      </c>
      <c r="F165" s="147" t="s">
        <v>548</v>
      </c>
      <c r="G165" s="146" t="s">
        <v>109</v>
      </c>
      <c r="H165" s="146" t="s">
        <v>55</v>
      </c>
      <c r="I165" s="147" t="s">
        <v>435</v>
      </c>
      <c r="J165" s="147" t="s">
        <v>104</v>
      </c>
      <c r="K165" s="148"/>
      <c r="L165" s="149"/>
      <c r="M165" s="148"/>
    </row>
    <row r="166" spans="1:13" ht="15" customHeight="1">
      <c r="A166" s="142" t="s">
        <v>549</v>
      </c>
      <c r="B166" s="142">
        <v>520507</v>
      </c>
      <c r="C166" s="143" t="s">
        <v>550</v>
      </c>
      <c r="D166" s="142" t="s">
        <v>432</v>
      </c>
      <c r="E166" s="143" t="s">
        <v>524</v>
      </c>
      <c r="F166" s="143" t="s">
        <v>550</v>
      </c>
      <c r="G166" s="142" t="s">
        <v>109</v>
      </c>
      <c r="H166" s="142" t="s">
        <v>56</v>
      </c>
      <c r="I166" s="143" t="s">
        <v>440</v>
      </c>
      <c r="J166" s="143" t="s">
        <v>104</v>
      </c>
      <c r="K166" s="144"/>
      <c r="L166" s="145"/>
      <c r="M166" s="144"/>
    </row>
    <row r="167" spans="1:13" ht="15" customHeight="1">
      <c r="A167" s="146" t="s">
        <v>551</v>
      </c>
      <c r="B167" s="146">
        <v>520722</v>
      </c>
      <c r="C167" s="147" t="s">
        <v>552</v>
      </c>
      <c r="D167" s="146" t="s">
        <v>432</v>
      </c>
      <c r="E167" s="147" t="s">
        <v>521</v>
      </c>
      <c r="F167" s="147" t="s">
        <v>553</v>
      </c>
      <c r="G167" s="146" t="s">
        <v>109</v>
      </c>
      <c r="H167" s="146" t="s">
        <v>55</v>
      </c>
      <c r="I167" s="147" t="s">
        <v>435</v>
      </c>
      <c r="J167" s="147" t="s">
        <v>104</v>
      </c>
      <c r="K167" s="148"/>
      <c r="L167" s="149"/>
      <c r="M167" s="148"/>
    </row>
    <row r="168" spans="1:13" ht="15" customHeight="1">
      <c r="A168" s="142" t="s">
        <v>554</v>
      </c>
      <c r="B168" s="142">
        <v>520715</v>
      </c>
      <c r="C168" s="143" t="s">
        <v>555</v>
      </c>
      <c r="D168" s="142" t="s">
        <v>432</v>
      </c>
      <c r="E168" s="143" t="s">
        <v>521</v>
      </c>
      <c r="F168" s="143" t="s">
        <v>556</v>
      </c>
      <c r="G168" s="142" t="s">
        <v>109</v>
      </c>
      <c r="H168" s="142" t="s">
        <v>55</v>
      </c>
      <c r="I168" s="143" t="s">
        <v>435</v>
      </c>
      <c r="J168" s="143" t="s">
        <v>104</v>
      </c>
      <c r="K168" s="144"/>
      <c r="L168" s="145"/>
      <c r="M168" s="144"/>
    </row>
    <row r="169" spans="1:13" ht="15" customHeight="1">
      <c r="A169" s="146" t="s">
        <v>557</v>
      </c>
      <c r="B169" s="146">
        <v>520759</v>
      </c>
      <c r="C169" s="147" t="s">
        <v>558</v>
      </c>
      <c r="D169" s="146" t="s">
        <v>432</v>
      </c>
      <c r="E169" s="147" t="s">
        <v>460</v>
      </c>
      <c r="F169" s="147" t="s">
        <v>460</v>
      </c>
      <c r="G169" s="146" t="s">
        <v>102</v>
      </c>
      <c r="H169" s="146" t="s">
        <v>56</v>
      </c>
      <c r="I169" s="147" t="s">
        <v>440</v>
      </c>
      <c r="J169" s="147" t="s">
        <v>104</v>
      </c>
      <c r="K169" s="148"/>
      <c r="L169" s="149"/>
      <c r="M169" s="148"/>
    </row>
    <row r="170" spans="1:13" ht="15" customHeight="1">
      <c r="A170" s="142" t="s">
        <v>559</v>
      </c>
      <c r="B170" s="142">
        <v>520757</v>
      </c>
      <c r="C170" s="143" t="s">
        <v>560</v>
      </c>
      <c r="D170" s="142" t="s">
        <v>432</v>
      </c>
      <c r="E170" s="143" t="s">
        <v>460</v>
      </c>
      <c r="F170" s="143" t="s">
        <v>460</v>
      </c>
      <c r="G170" s="142" t="s">
        <v>109</v>
      </c>
      <c r="H170" s="142" t="s">
        <v>56</v>
      </c>
      <c r="I170" s="143" t="s">
        <v>440</v>
      </c>
      <c r="J170" s="143" t="s">
        <v>104</v>
      </c>
      <c r="K170" s="144"/>
      <c r="L170" s="145"/>
      <c r="M170" s="144"/>
    </row>
    <row r="171" spans="1:13" ht="15" customHeight="1">
      <c r="A171" s="146" t="s">
        <v>561</v>
      </c>
      <c r="B171" s="146">
        <v>520773</v>
      </c>
      <c r="C171" s="147" t="s">
        <v>562</v>
      </c>
      <c r="D171" s="146" t="s">
        <v>432</v>
      </c>
      <c r="E171" s="147" t="s">
        <v>563</v>
      </c>
      <c r="F171" s="147" t="s">
        <v>563</v>
      </c>
      <c r="G171" s="146" t="s">
        <v>102</v>
      </c>
      <c r="H171" s="146" t="s">
        <v>56</v>
      </c>
      <c r="I171" s="147" t="s">
        <v>440</v>
      </c>
      <c r="J171" s="147" t="s">
        <v>104</v>
      </c>
      <c r="K171" s="148"/>
      <c r="L171" s="149"/>
      <c r="M171" s="148"/>
    </row>
    <row r="172" spans="1:13" ht="15" customHeight="1">
      <c r="A172" s="142" t="s">
        <v>564</v>
      </c>
      <c r="B172" s="142">
        <v>520744</v>
      </c>
      <c r="C172" s="143" t="s">
        <v>565</v>
      </c>
      <c r="D172" s="142" t="s">
        <v>432</v>
      </c>
      <c r="E172" s="143" t="s">
        <v>540</v>
      </c>
      <c r="F172" s="143" t="s">
        <v>540</v>
      </c>
      <c r="G172" s="142" t="s">
        <v>102</v>
      </c>
      <c r="H172" s="142" t="s">
        <v>56</v>
      </c>
      <c r="I172" s="143" t="s">
        <v>440</v>
      </c>
      <c r="J172" s="143" t="s">
        <v>104</v>
      </c>
      <c r="K172" s="144"/>
      <c r="L172" s="145"/>
      <c r="M172" s="144"/>
    </row>
    <row r="173" spans="1:13" ht="15" customHeight="1">
      <c r="A173" s="146" t="s">
        <v>566</v>
      </c>
      <c r="B173" s="146">
        <v>520753</v>
      </c>
      <c r="C173" s="147" t="s">
        <v>567</v>
      </c>
      <c r="D173" s="146" t="s">
        <v>432</v>
      </c>
      <c r="E173" s="147" t="s">
        <v>568</v>
      </c>
      <c r="F173" s="147" t="s">
        <v>569</v>
      </c>
      <c r="G173" s="146" t="s">
        <v>109</v>
      </c>
      <c r="H173" s="146" t="s">
        <v>56</v>
      </c>
      <c r="I173" s="147" t="s">
        <v>440</v>
      </c>
      <c r="J173" s="147" t="s">
        <v>104</v>
      </c>
      <c r="K173" s="148" t="s">
        <v>121</v>
      </c>
      <c r="L173" s="149">
        <v>46153</v>
      </c>
      <c r="M173" s="148"/>
    </row>
    <row r="174" spans="1:13" ht="15" customHeight="1">
      <c r="A174" s="142" t="s">
        <v>570</v>
      </c>
      <c r="B174" s="142">
        <v>520741</v>
      </c>
      <c r="C174" s="143" t="s">
        <v>571</v>
      </c>
      <c r="D174" s="142" t="s">
        <v>432</v>
      </c>
      <c r="E174" s="143" t="s">
        <v>568</v>
      </c>
      <c r="F174" s="143" t="s">
        <v>568</v>
      </c>
      <c r="G174" s="142" t="s">
        <v>102</v>
      </c>
      <c r="H174" s="142" t="s">
        <v>56</v>
      </c>
      <c r="I174" s="143" t="s">
        <v>440</v>
      </c>
      <c r="J174" s="143" t="s">
        <v>104</v>
      </c>
      <c r="K174" s="144"/>
      <c r="L174" s="145"/>
      <c r="M174" s="144"/>
    </row>
    <row r="175" spans="1:13" ht="15" customHeight="1">
      <c r="A175" s="146" t="s">
        <v>572</v>
      </c>
      <c r="B175" s="146">
        <v>520734</v>
      </c>
      <c r="C175" s="147" t="s">
        <v>573</v>
      </c>
      <c r="D175" s="146" t="s">
        <v>432</v>
      </c>
      <c r="E175" s="147" t="s">
        <v>443</v>
      </c>
      <c r="F175" s="147" t="s">
        <v>443</v>
      </c>
      <c r="G175" s="146" t="s">
        <v>109</v>
      </c>
      <c r="H175" s="146" t="s">
        <v>56</v>
      </c>
      <c r="I175" s="147" t="s">
        <v>440</v>
      </c>
      <c r="J175" s="147" t="s">
        <v>104</v>
      </c>
      <c r="K175" s="148"/>
      <c r="L175" s="149"/>
      <c r="M175" s="148"/>
    </row>
    <row r="176" spans="1:13" ht="15" customHeight="1">
      <c r="A176" s="142" t="s">
        <v>574</v>
      </c>
      <c r="B176" s="142">
        <v>520736</v>
      </c>
      <c r="C176" s="143" t="s">
        <v>575</v>
      </c>
      <c r="D176" s="142" t="s">
        <v>432</v>
      </c>
      <c r="E176" s="143" t="s">
        <v>443</v>
      </c>
      <c r="F176" s="143" t="s">
        <v>443</v>
      </c>
      <c r="G176" s="142" t="s">
        <v>102</v>
      </c>
      <c r="H176" s="142" t="s">
        <v>56</v>
      </c>
      <c r="I176" s="143" t="s">
        <v>440</v>
      </c>
      <c r="J176" s="143" t="s">
        <v>104</v>
      </c>
      <c r="K176" s="144" t="s">
        <v>576</v>
      </c>
      <c r="L176" s="145">
        <v>46153</v>
      </c>
      <c r="M176" s="144"/>
    </row>
    <row r="177" spans="1:13" ht="15" customHeight="1">
      <c r="A177" s="146" t="s">
        <v>577</v>
      </c>
      <c r="B177" s="146">
        <v>520733</v>
      </c>
      <c r="C177" s="147" t="s">
        <v>578</v>
      </c>
      <c r="D177" s="146" t="s">
        <v>432</v>
      </c>
      <c r="E177" s="147" t="s">
        <v>443</v>
      </c>
      <c r="F177" s="147" t="s">
        <v>443</v>
      </c>
      <c r="G177" s="146" t="s">
        <v>102</v>
      </c>
      <c r="H177" s="146" t="s">
        <v>56</v>
      </c>
      <c r="I177" s="147" t="s">
        <v>440</v>
      </c>
      <c r="J177" s="147" t="s">
        <v>104</v>
      </c>
      <c r="K177" s="148"/>
      <c r="L177" s="149"/>
      <c r="M177" s="148"/>
    </row>
    <row r="178" spans="1:13" ht="15" customHeight="1">
      <c r="A178" s="142" t="s">
        <v>579</v>
      </c>
      <c r="B178" s="142">
        <v>520725</v>
      </c>
      <c r="C178" s="143" t="s">
        <v>443</v>
      </c>
      <c r="D178" s="142" t="s">
        <v>432</v>
      </c>
      <c r="E178" s="143" t="s">
        <v>443</v>
      </c>
      <c r="F178" s="143" t="s">
        <v>443</v>
      </c>
      <c r="G178" s="142" t="s">
        <v>102</v>
      </c>
      <c r="H178" s="142" t="s">
        <v>56</v>
      </c>
      <c r="I178" s="143" t="s">
        <v>440</v>
      </c>
      <c r="J178" s="143" t="s">
        <v>104</v>
      </c>
      <c r="K178" s="144"/>
      <c r="L178" s="145"/>
      <c r="M178" s="144"/>
    </row>
    <row r="179" spans="1:13" ht="15" customHeight="1">
      <c r="A179" s="146" t="s">
        <v>580</v>
      </c>
      <c r="B179" s="146">
        <v>520730</v>
      </c>
      <c r="C179" s="147" t="s">
        <v>581</v>
      </c>
      <c r="D179" s="146" t="s">
        <v>432</v>
      </c>
      <c r="E179" s="147" t="s">
        <v>443</v>
      </c>
      <c r="F179" s="147" t="s">
        <v>443</v>
      </c>
      <c r="G179" s="146" t="s">
        <v>109</v>
      </c>
      <c r="H179" s="146" t="s">
        <v>56</v>
      </c>
      <c r="I179" s="147" t="s">
        <v>440</v>
      </c>
      <c r="J179" s="147" t="s">
        <v>104</v>
      </c>
      <c r="K179" s="148"/>
      <c r="L179" s="149"/>
      <c r="M179" s="148"/>
    </row>
    <row r="180" spans="1:13" ht="15" customHeight="1">
      <c r="A180" s="142" t="s">
        <v>582</v>
      </c>
      <c r="B180" s="142">
        <v>520765</v>
      </c>
      <c r="C180" s="143" t="s">
        <v>583</v>
      </c>
      <c r="D180" s="142" t="s">
        <v>432</v>
      </c>
      <c r="E180" s="143" t="s">
        <v>328</v>
      </c>
      <c r="F180" s="143" t="s">
        <v>328</v>
      </c>
      <c r="G180" s="142" t="s">
        <v>109</v>
      </c>
      <c r="H180" s="142" t="s">
        <v>55</v>
      </c>
      <c r="I180" s="143" t="s">
        <v>435</v>
      </c>
      <c r="J180" s="143" t="s">
        <v>104</v>
      </c>
      <c r="K180" s="144"/>
      <c r="L180" s="145"/>
      <c r="M180" s="144"/>
    </row>
    <row r="181" spans="1:13" ht="15" customHeight="1">
      <c r="A181" s="146" t="s">
        <v>584</v>
      </c>
      <c r="B181" s="146">
        <v>520762</v>
      </c>
      <c r="C181" s="147" t="s">
        <v>585</v>
      </c>
      <c r="D181" s="146" t="s">
        <v>432</v>
      </c>
      <c r="E181" s="147" t="s">
        <v>328</v>
      </c>
      <c r="F181" s="147" t="s">
        <v>328</v>
      </c>
      <c r="G181" s="146" t="s">
        <v>109</v>
      </c>
      <c r="H181" s="146" t="s">
        <v>55</v>
      </c>
      <c r="I181" s="147" t="s">
        <v>435</v>
      </c>
      <c r="J181" s="147" t="s">
        <v>104</v>
      </c>
      <c r="K181" s="148"/>
      <c r="L181" s="149"/>
      <c r="M181" s="148"/>
    </row>
    <row r="182" spans="1:13" ht="15" customHeight="1">
      <c r="A182" s="142" t="s">
        <v>586</v>
      </c>
      <c r="B182" s="142">
        <v>521747</v>
      </c>
      <c r="C182" s="143" t="s">
        <v>587</v>
      </c>
      <c r="D182" s="142" t="s">
        <v>432</v>
      </c>
      <c r="E182" s="143" t="s">
        <v>588</v>
      </c>
      <c r="F182" s="143" t="s">
        <v>589</v>
      </c>
      <c r="G182" s="142" t="s">
        <v>109</v>
      </c>
      <c r="H182" s="142" t="s">
        <v>55</v>
      </c>
      <c r="I182" s="143" t="s">
        <v>435</v>
      </c>
      <c r="J182" s="143" t="s">
        <v>104</v>
      </c>
      <c r="K182" s="144" t="s">
        <v>121</v>
      </c>
      <c r="L182" s="145">
        <v>46153</v>
      </c>
      <c r="M182" s="144"/>
    </row>
    <row r="183" spans="1:13" ht="15" customHeight="1">
      <c r="A183" s="146" t="s">
        <v>590</v>
      </c>
      <c r="B183" s="146">
        <v>520720</v>
      </c>
      <c r="C183" s="147" t="s">
        <v>591</v>
      </c>
      <c r="D183" s="146" t="s">
        <v>432</v>
      </c>
      <c r="E183" s="147" t="s">
        <v>478</v>
      </c>
      <c r="F183" s="147" t="s">
        <v>592</v>
      </c>
      <c r="G183" s="146" t="s">
        <v>109</v>
      </c>
      <c r="H183" s="146" t="s">
        <v>55</v>
      </c>
      <c r="I183" s="147" t="s">
        <v>435</v>
      </c>
      <c r="J183" s="147" t="s">
        <v>104</v>
      </c>
      <c r="K183" s="148"/>
      <c r="L183" s="149"/>
      <c r="M183" s="148"/>
    </row>
    <row r="184" spans="1:13" ht="15" customHeight="1">
      <c r="A184" s="142" t="s">
        <v>593</v>
      </c>
      <c r="B184" s="142">
        <v>520789</v>
      </c>
      <c r="C184" s="143" t="s">
        <v>594</v>
      </c>
      <c r="D184" s="142" t="s">
        <v>432</v>
      </c>
      <c r="E184" s="143" t="s">
        <v>595</v>
      </c>
      <c r="F184" s="143" t="s">
        <v>596</v>
      </c>
      <c r="G184" s="142" t="s">
        <v>109</v>
      </c>
      <c r="H184" s="142" t="s">
        <v>55</v>
      </c>
      <c r="I184" s="143" t="s">
        <v>435</v>
      </c>
      <c r="J184" s="143" t="s">
        <v>104</v>
      </c>
      <c r="K184" s="144"/>
      <c r="L184" s="145"/>
      <c r="M184" s="144"/>
    </row>
    <row r="185" spans="1:13" ht="15" customHeight="1">
      <c r="A185" s="146" t="s">
        <v>597</v>
      </c>
      <c r="B185" s="146">
        <v>520718</v>
      </c>
      <c r="C185" s="147" t="s">
        <v>598</v>
      </c>
      <c r="D185" s="146" t="s">
        <v>432</v>
      </c>
      <c r="E185" s="147" t="s">
        <v>588</v>
      </c>
      <c r="F185" s="147" t="s">
        <v>599</v>
      </c>
      <c r="G185" s="146" t="s">
        <v>109</v>
      </c>
      <c r="H185" s="146" t="s">
        <v>55</v>
      </c>
      <c r="I185" s="147" t="s">
        <v>435</v>
      </c>
      <c r="J185" s="147" t="s">
        <v>104</v>
      </c>
      <c r="K185" s="148"/>
      <c r="L185" s="149"/>
      <c r="M185" s="148"/>
    </row>
    <row r="186" spans="1:13" ht="15" customHeight="1">
      <c r="A186" s="142" t="s">
        <v>600</v>
      </c>
      <c r="B186" s="142">
        <v>520713</v>
      </c>
      <c r="C186" s="143" t="s">
        <v>601</v>
      </c>
      <c r="D186" s="142" t="s">
        <v>432</v>
      </c>
      <c r="E186" s="143" t="s">
        <v>478</v>
      </c>
      <c r="F186" s="143" t="s">
        <v>459</v>
      </c>
      <c r="G186" s="142" t="s">
        <v>102</v>
      </c>
      <c r="H186" s="142" t="s">
        <v>55</v>
      </c>
      <c r="I186" s="143" t="s">
        <v>435</v>
      </c>
      <c r="J186" s="143" t="s">
        <v>104</v>
      </c>
      <c r="K186" s="144"/>
      <c r="L186" s="145"/>
      <c r="M186" s="144"/>
    </row>
    <row r="187" spans="1:13" ht="15" customHeight="1">
      <c r="A187" s="146" t="s">
        <v>602</v>
      </c>
      <c r="B187" s="146">
        <v>520724</v>
      </c>
      <c r="C187" s="147" t="s">
        <v>603</v>
      </c>
      <c r="D187" s="146" t="s">
        <v>432</v>
      </c>
      <c r="E187" s="147" t="s">
        <v>478</v>
      </c>
      <c r="F187" s="147" t="s">
        <v>478</v>
      </c>
      <c r="G187" s="146" t="s">
        <v>109</v>
      </c>
      <c r="H187" s="146" t="s">
        <v>55</v>
      </c>
      <c r="I187" s="147" t="s">
        <v>435</v>
      </c>
      <c r="J187" s="147" t="s">
        <v>104</v>
      </c>
      <c r="K187" s="148"/>
      <c r="L187" s="149"/>
      <c r="M187" s="148"/>
    </row>
    <row r="188" spans="1:13" ht="15" customHeight="1">
      <c r="A188" s="142" t="s">
        <v>604</v>
      </c>
      <c r="B188" s="142">
        <v>520708</v>
      </c>
      <c r="C188" s="143" t="s">
        <v>605</v>
      </c>
      <c r="D188" s="142" t="s">
        <v>432</v>
      </c>
      <c r="E188" s="143" t="s">
        <v>478</v>
      </c>
      <c r="F188" s="143" t="s">
        <v>478</v>
      </c>
      <c r="G188" s="142" t="s">
        <v>102</v>
      </c>
      <c r="H188" s="142" t="s">
        <v>55</v>
      </c>
      <c r="I188" s="143" t="s">
        <v>435</v>
      </c>
      <c r="J188" s="143" t="s">
        <v>104</v>
      </c>
      <c r="K188" s="144"/>
      <c r="L188" s="145"/>
      <c r="M188" s="144"/>
    </row>
    <row r="189" spans="1:13" ht="15" customHeight="1">
      <c r="A189" s="146" t="s">
        <v>606</v>
      </c>
      <c r="B189" s="146">
        <v>520712</v>
      </c>
      <c r="C189" s="147" t="s">
        <v>607</v>
      </c>
      <c r="D189" s="146" t="s">
        <v>432</v>
      </c>
      <c r="E189" s="147" t="s">
        <v>478</v>
      </c>
      <c r="F189" s="147" t="s">
        <v>478</v>
      </c>
      <c r="G189" s="146" t="s">
        <v>109</v>
      </c>
      <c r="H189" s="146" t="s">
        <v>55</v>
      </c>
      <c r="I189" s="147" t="s">
        <v>435</v>
      </c>
      <c r="J189" s="147" t="s">
        <v>104</v>
      </c>
      <c r="K189" s="148"/>
      <c r="L189" s="149"/>
      <c r="M189" s="148"/>
    </row>
    <row r="190" spans="1:13" ht="15" customHeight="1">
      <c r="A190" s="142" t="s">
        <v>608</v>
      </c>
      <c r="B190" s="142">
        <v>520790</v>
      </c>
      <c r="C190" s="143" t="s">
        <v>609</v>
      </c>
      <c r="D190" s="142" t="s">
        <v>432</v>
      </c>
      <c r="E190" s="143" t="s">
        <v>595</v>
      </c>
      <c r="F190" s="143" t="s">
        <v>610</v>
      </c>
      <c r="G190" s="142" t="s">
        <v>109</v>
      </c>
      <c r="H190" s="142" t="s">
        <v>55</v>
      </c>
      <c r="I190" s="143" t="s">
        <v>435</v>
      </c>
      <c r="J190" s="143" t="s">
        <v>104</v>
      </c>
      <c r="K190" s="144"/>
      <c r="L190" s="145"/>
      <c r="M190" s="144"/>
    </row>
    <row r="191" spans="1:13" ht="15" customHeight="1">
      <c r="A191" s="146" t="s">
        <v>611</v>
      </c>
      <c r="B191" s="146">
        <v>520707</v>
      </c>
      <c r="C191" s="147" t="s">
        <v>612</v>
      </c>
      <c r="D191" s="146" t="s">
        <v>432</v>
      </c>
      <c r="E191" s="147" t="s">
        <v>478</v>
      </c>
      <c r="F191" s="147" t="s">
        <v>478</v>
      </c>
      <c r="G191" s="146" t="s">
        <v>102</v>
      </c>
      <c r="H191" s="146" t="s">
        <v>55</v>
      </c>
      <c r="I191" s="147" t="s">
        <v>435</v>
      </c>
      <c r="J191" s="147" t="s">
        <v>104</v>
      </c>
      <c r="K191" s="148"/>
      <c r="L191" s="149"/>
      <c r="M191" s="148"/>
    </row>
    <row r="192" spans="1:13" ht="15" customHeight="1">
      <c r="A192" s="142" t="s">
        <v>613</v>
      </c>
      <c r="B192" s="142">
        <v>520704</v>
      </c>
      <c r="C192" s="143" t="s">
        <v>614</v>
      </c>
      <c r="D192" s="142" t="s">
        <v>432</v>
      </c>
      <c r="E192" s="143" t="s">
        <v>588</v>
      </c>
      <c r="F192" s="143" t="s">
        <v>615</v>
      </c>
      <c r="G192" s="142" t="s">
        <v>109</v>
      </c>
      <c r="H192" s="142" t="s">
        <v>55</v>
      </c>
      <c r="I192" s="143" t="s">
        <v>435</v>
      </c>
      <c r="J192" s="143" t="s">
        <v>104</v>
      </c>
      <c r="K192" s="144"/>
      <c r="L192" s="145"/>
      <c r="M192" s="144"/>
    </row>
    <row r="193" spans="1:13" ht="15" customHeight="1">
      <c r="A193" s="146" t="s">
        <v>616</v>
      </c>
      <c r="B193" s="146">
        <v>520781</v>
      </c>
      <c r="C193" s="147" t="s">
        <v>617</v>
      </c>
      <c r="D193" s="146" t="s">
        <v>432</v>
      </c>
      <c r="E193" s="147" t="s">
        <v>478</v>
      </c>
      <c r="F193" s="147" t="s">
        <v>478</v>
      </c>
      <c r="G193" s="146" t="s">
        <v>102</v>
      </c>
      <c r="H193" s="146" t="s">
        <v>55</v>
      </c>
      <c r="I193" s="147" t="s">
        <v>435</v>
      </c>
      <c r="J193" s="147" t="s">
        <v>104</v>
      </c>
      <c r="K193" s="148"/>
      <c r="L193" s="149"/>
      <c r="M193" s="148"/>
    </row>
    <row r="194" spans="1:13" ht="15" customHeight="1">
      <c r="A194" s="142" t="s">
        <v>618</v>
      </c>
      <c r="B194" s="142">
        <v>520746</v>
      </c>
      <c r="C194" s="143" t="s">
        <v>619</v>
      </c>
      <c r="D194" s="142" t="s">
        <v>432</v>
      </c>
      <c r="E194" s="143" t="s">
        <v>466</v>
      </c>
      <c r="F194" s="143" t="s">
        <v>620</v>
      </c>
      <c r="G194" s="142" t="s">
        <v>102</v>
      </c>
      <c r="H194" s="142" t="s">
        <v>56</v>
      </c>
      <c r="I194" s="143" t="s">
        <v>440</v>
      </c>
      <c r="J194" s="143" t="s">
        <v>104</v>
      </c>
      <c r="K194" s="144"/>
      <c r="L194" s="145"/>
      <c r="M194" s="144"/>
    </row>
    <row r="195" spans="1:13" ht="15" customHeight="1">
      <c r="A195" s="146" t="s">
        <v>621</v>
      </c>
      <c r="B195" s="146">
        <v>520761</v>
      </c>
      <c r="C195" s="147" t="s">
        <v>622</v>
      </c>
      <c r="D195" s="146" t="s">
        <v>432</v>
      </c>
      <c r="E195" s="147" t="s">
        <v>623</v>
      </c>
      <c r="F195" s="147" t="s">
        <v>624</v>
      </c>
      <c r="G195" s="146" t="s">
        <v>109</v>
      </c>
      <c r="H195" s="146" t="s">
        <v>56</v>
      </c>
      <c r="I195" s="147" t="s">
        <v>440</v>
      </c>
      <c r="J195" s="147" t="s">
        <v>104</v>
      </c>
      <c r="K195" s="148" t="s">
        <v>121</v>
      </c>
      <c r="L195" s="149">
        <v>46153</v>
      </c>
      <c r="M195" s="148"/>
    </row>
    <row r="196" spans="1:13" ht="15" customHeight="1">
      <c r="A196" s="142" t="s">
        <v>625</v>
      </c>
      <c r="B196" s="142">
        <v>520782</v>
      </c>
      <c r="C196" s="143" t="s">
        <v>626</v>
      </c>
      <c r="D196" s="142" t="s">
        <v>432</v>
      </c>
      <c r="E196" s="143" t="s">
        <v>503</v>
      </c>
      <c r="F196" s="143" t="s">
        <v>627</v>
      </c>
      <c r="G196" s="142" t="s">
        <v>109</v>
      </c>
      <c r="H196" s="142" t="s">
        <v>56</v>
      </c>
      <c r="I196" s="143" t="s">
        <v>440</v>
      </c>
      <c r="J196" s="143" t="s">
        <v>104</v>
      </c>
      <c r="K196" s="144"/>
      <c r="L196" s="145"/>
      <c r="M196" s="144"/>
    </row>
    <row r="197" spans="1:13" ht="15" customHeight="1">
      <c r="A197" s="146" t="s">
        <v>628</v>
      </c>
      <c r="B197" s="146">
        <v>520728</v>
      </c>
      <c r="C197" s="147" t="s">
        <v>629</v>
      </c>
      <c r="D197" s="146" t="s">
        <v>432</v>
      </c>
      <c r="E197" s="147" t="s">
        <v>452</v>
      </c>
      <c r="F197" s="147" t="s">
        <v>452</v>
      </c>
      <c r="G197" s="146" t="s">
        <v>102</v>
      </c>
      <c r="H197" s="146" t="s">
        <v>56</v>
      </c>
      <c r="I197" s="147" t="s">
        <v>440</v>
      </c>
      <c r="J197" s="147" t="s">
        <v>104</v>
      </c>
      <c r="K197" s="148"/>
      <c r="L197" s="149"/>
      <c r="M197" s="148"/>
    </row>
    <row r="198" spans="1:13" ht="15" customHeight="1">
      <c r="A198" s="142" t="s">
        <v>630</v>
      </c>
      <c r="B198" s="142">
        <v>520710</v>
      </c>
      <c r="C198" s="143" t="s">
        <v>631</v>
      </c>
      <c r="D198" s="142" t="s">
        <v>432</v>
      </c>
      <c r="E198" s="143" t="s">
        <v>470</v>
      </c>
      <c r="F198" s="143" t="s">
        <v>632</v>
      </c>
      <c r="G198" s="142" t="s">
        <v>109</v>
      </c>
      <c r="H198" s="142" t="s">
        <v>55</v>
      </c>
      <c r="I198" s="143" t="s">
        <v>435</v>
      </c>
      <c r="J198" s="143" t="s">
        <v>104</v>
      </c>
      <c r="K198" s="144" t="s">
        <v>121</v>
      </c>
      <c r="L198" s="145">
        <v>46151</v>
      </c>
      <c r="M198" s="144"/>
    </row>
    <row r="199" spans="1:13" ht="15" customHeight="1">
      <c r="A199" s="146" t="s">
        <v>633</v>
      </c>
      <c r="B199" s="146">
        <v>521740</v>
      </c>
      <c r="C199" s="147" t="s">
        <v>634</v>
      </c>
      <c r="D199" s="146" t="s">
        <v>432</v>
      </c>
      <c r="E199" s="147" t="s">
        <v>478</v>
      </c>
      <c r="F199" s="147" t="s">
        <v>634</v>
      </c>
      <c r="G199" s="146" t="s">
        <v>109</v>
      </c>
      <c r="H199" s="146" t="s">
        <v>55</v>
      </c>
      <c r="I199" s="147" t="s">
        <v>435</v>
      </c>
      <c r="J199" s="147" t="s">
        <v>104</v>
      </c>
      <c r="K199" s="148"/>
      <c r="L199" s="149"/>
      <c r="M199" s="148"/>
    </row>
    <row r="200" spans="1:13" ht="15" customHeight="1">
      <c r="A200" s="142" t="s">
        <v>635</v>
      </c>
      <c r="B200" s="142">
        <v>520719</v>
      </c>
      <c r="C200" s="143" t="s">
        <v>636</v>
      </c>
      <c r="D200" s="142" t="s">
        <v>432</v>
      </c>
      <c r="E200" s="143" t="s">
        <v>478</v>
      </c>
      <c r="F200" s="143" t="s">
        <v>478</v>
      </c>
      <c r="G200" s="142" t="s">
        <v>102</v>
      </c>
      <c r="H200" s="142" t="s">
        <v>55</v>
      </c>
      <c r="I200" s="143" t="s">
        <v>435</v>
      </c>
      <c r="J200" s="143" t="s">
        <v>104</v>
      </c>
      <c r="K200" s="144"/>
      <c r="L200" s="145"/>
      <c r="M200" s="144"/>
    </row>
    <row r="201" spans="1:13" ht="15" customHeight="1">
      <c r="A201" s="146" t="s">
        <v>637</v>
      </c>
      <c r="B201" s="146">
        <v>520723</v>
      </c>
      <c r="C201" s="147" t="s">
        <v>638</v>
      </c>
      <c r="D201" s="146" t="s">
        <v>432</v>
      </c>
      <c r="E201" s="147" t="s">
        <v>478</v>
      </c>
      <c r="F201" s="147" t="s">
        <v>478</v>
      </c>
      <c r="G201" s="146" t="s">
        <v>109</v>
      </c>
      <c r="H201" s="146" t="s">
        <v>55</v>
      </c>
      <c r="I201" s="147" t="s">
        <v>435</v>
      </c>
      <c r="J201" s="147" t="s">
        <v>104</v>
      </c>
      <c r="K201" s="148"/>
      <c r="L201" s="149"/>
      <c r="M201" s="148"/>
    </row>
    <row r="202" spans="1:13" ht="15" customHeight="1">
      <c r="A202" s="142" t="s">
        <v>639</v>
      </c>
      <c r="B202" s="142">
        <v>520706</v>
      </c>
      <c r="C202" s="143" t="s">
        <v>640</v>
      </c>
      <c r="D202" s="142" t="s">
        <v>432</v>
      </c>
      <c r="E202" s="143" t="s">
        <v>478</v>
      </c>
      <c r="F202" s="143" t="s">
        <v>478</v>
      </c>
      <c r="G202" s="142" t="s">
        <v>102</v>
      </c>
      <c r="H202" s="142" t="s">
        <v>55</v>
      </c>
      <c r="I202" s="143" t="s">
        <v>435</v>
      </c>
      <c r="J202" s="143" t="s">
        <v>104</v>
      </c>
      <c r="K202" s="144"/>
      <c r="L202" s="145"/>
      <c r="M202" s="144"/>
    </row>
    <row r="203" spans="1:13" ht="15" customHeight="1">
      <c r="A203" s="146" t="s">
        <v>641</v>
      </c>
      <c r="B203" s="146">
        <v>520705</v>
      </c>
      <c r="C203" s="147" t="s">
        <v>642</v>
      </c>
      <c r="D203" s="146" t="s">
        <v>432</v>
      </c>
      <c r="E203" s="147" t="s">
        <v>478</v>
      </c>
      <c r="F203" s="147" t="s">
        <v>478</v>
      </c>
      <c r="G203" s="146" t="s">
        <v>102</v>
      </c>
      <c r="H203" s="146" t="s">
        <v>55</v>
      </c>
      <c r="I203" s="147" t="s">
        <v>435</v>
      </c>
      <c r="J203" s="147" t="s">
        <v>104</v>
      </c>
      <c r="K203" s="148"/>
      <c r="L203" s="149"/>
      <c r="M203" s="148"/>
    </row>
    <row r="204" spans="1:13" ht="15" customHeight="1">
      <c r="A204" s="142" t="s">
        <v>643</v>
      </c>
      <c r="B204" s="142">
        <v>520750</v>
      </c>
      <c r="C204" s="143" t="s">
        <v>644</v>
      </c>
      <c r="D204" s="142" t="s">
        <v>432</v>
      </c>
      <c r="E204" s="143" t="s">
        <v>448</v>
      </c>
      <c r="F204" s="143" t="s">
        <v>645</v>
      </c>
      <c r="G204" s="142" t="s">
        <v>109</v>
      </c>
      <c r="H204" s="142" t="s">
        <v>56</v>
      </c>
      <c r="I204" s="143" t="s">
        <v>440</v>
      </c>
      <c r="J204" s="143" t="s">
        <v>104</v>
      </c>
      <c r="K204" s="144"/>
      <c r="L204" s="145"/>
      <c r="M204" s="144"/>
    </row>
    <row r="205" spans="1:13" ht="15" customHeight="1">
      <c r="A205" s="146" t="s">
        <v>646</v>
      </c>
      <c r="B205" s="146">
        <v>520747</v>
      </c>
      <c r="C205" s="147" t="s">
        <v>647</v>
      </c>
      <c r="D205" s="146" t="s">
        <v>432</v>
      </c>
      <c r="E205" s="147" t="s">
        <v>448</v>
      </c>
      <c r="F205" s="147" t="s">
        <v>648</v>
      </c>
      <c r="G205" s="146" t="s">
        <v>109</v>
      </c>
      <c r="H205" s="146" t="s">
        <v>56</v>
      </c>
      <c r="I205" s="147" t="s">
        <v>440</v>
      </c>
      <c r="J205" s="147" t="s">
        <v>104</v>
      </c>
      <c r="K205" s="148"/>
      <c r="L205" s="149"/>
      <c r="M205" s="148"/>
    </row>
    <row r="206" spans="1:13" ht="15" customHeight="1">
      <c r="A206" s="142" t="s">
        <v>649</v>
      </c>
      <c r="B206" s="142">
        <v>520760</v>
      </c>
      <c r="C206" s="143" t="s">
        <v>650</v>
      </c>
      <c r="D206" s="142" t="s">
        <v>432</v>
      </c>
      <c r="E206" s="143" t="s">
        <v>623</v>
      </c>
      <c r="F206" s="143" t="s">
        <v>651</v>
      </c>
      <c r="G206" s="142" t="s">
        <v>102</v>
      </c>
      <c r="H206" s="142" t="s">
        <v>56</v>
      </c>
      <c r="I206" s="143" t="s">
        <v>440</v>
      </c>
      <c r="J206" s="143" t="s">
        <v>104</v>
      </c>
      <c r="K206" s="144"/>
      <c r="L206" s="145"/>
      <c r="M206" s="144"/>
    </row>
    <row r="207" spans="1:13" ht="15" customHeight="1">
      <c r="A207" s="146" t="s">
        <v>652</v>
      </c>
      <c r="B207" s="146">
        <v>520756</v>
      </c>
      <c r="C207" s="147" t="s">
        <v>653</v>
      </c>
      <c r="D207" s="146" t="s">
        <v>432</v>
      </c>
      <c r="E207" s="147" t="s">
        <v>623</v>
      </c>
      <c r="F207" s="147" t="s">
        <v>651</v>
      </c>
      <c r="G207" s="146" t="s">
        <v>102</v>
      </c>
      <c r="H207" s="146" t="s">
        <v>56</v>
      </c>
      <c r="I207" s="147" t="s">
        <v>440</v>
      </c>
      <c r="J207" s="147" t="s">
        <v>104</v>
      </c>
      <c r="K207" s="148"/>
      <c r="L207" s="149"/>
      <c r="M207" s="148"/>
    </row>
    <row r="208" spans="1:13" ht="15" customHeight="1">
      <c r="A208" s="142" t="s">
        <v>654</v>
      </c>
      <c r="B208" s="142">
        <v>520785</v>
      </c>
      <c r="C208" s="143" t="s">
        <v>655</v>
      </c>
      <c r="D208" s="142" t="s">
        <v>432</v>
      </c>
      <c r="E208" s="143" t="s">
        <v>568</v>
      </c>
      <c r="F208" s="143" t="s">
        <v>568</v>
      </c>
      <c r="G208" s="142" t="s">
        <v>102</v>
      </c>
      <c r="H208" s="142" t="s">
        <v>56</v>
      </c>
      <c r="I208" s="143" t="s">
        <v>440</v>
      </c>
      <c r="J208" s="143" t="s">
        <v>104</v>
      </c>
      <c r="K208" s="144" t="s">
        <v>121</v>
      </c>
      <c r="L208" s="145">
        <v>46150</v>
      </c>
      <c r="M208" s="144"/>
    </row>
    <row r="209" spans="1:13" ht="15" customHeight="1">
      <c r="A209" s="146" t="s">
        <v>656</v>
      </c>
      <c r="B209" s="146">
        <v>517147</v>
      </c>
      <c r="C209" s="147" t="s">
        <v>657</v>
      </c>
      <c r="D209" s="146" t="s">
        <v>432</v>
      </c>
      <c r="E209" s="147" t="s">
        <v>658</v>
      </c>
      <c r="F209" s="147" t="s">
        <v>659</v>
      </c>
      <c r="G209" s="146" t="s">
        <v>109</v>
      </c>
      <c r="H209" s="146" t="s">
        <v>56</v>
      </c>
      <c r="I209" s="147" t="s">
        <v>440</v>
      </c>
      <c r="J209" s="147" t="s">
        <v>104</v>
      </c>
      <c r="K209" s="148"/>
      <c r="L209" s="149"/>
      <c r="M209" s="148"/>
    </row>
    <row r="210" spans="1:13" ht="15" customHeight="1">
      <c r="A210" s="142" t="s">
        <v>660</v>
      </c>
      <c r="B210" s="142">
        <v>520772</v>
      </c>
      <c r="C210" s="143" t="s">
        <v>503</v>
      </c>
      <c r="D210" s="142" t="s">
        <v>432</v>
      </c>
      <c r="E210" s="143" t="s">
        <v>503</v>
      </c>
      <c r="F210" s="143" t="s">
        <v>503</v>
      </c>
      <c r="G210" s="142" t="s">
        <v>102</v>
      </c>
      <c r="H210" s="142" t="s">
        <v>56</v>
      </c>
      <c r="I210" s="143" t="s">
        <v>440</v>
      </c>
      <c r="J210" s="143" t="s">
        <v>104</v>
      </c>
      <c r="K210" s="144"/>
      <c r="L210" s="145"/>
      <c r="M210" s="144"/>
    </row>
    <row r="211" spans="1:13" ht="15" customHeight="1">
      <c r="A211" s="146" t="s">
        <v>661</v>
      </c>
      <c r="B211" s="146">
        <v>520748</v>
      </c>
      <c r="C211" s="147" t="s">
        <v>662</v>
      </c>
      <c r="D211" s="146" t="s">
        <v>432</v>
      </c>
      <c r="E211" s="147" t="s">
        <v>448</v>
      </c>
      <c r="F211" s="147" t="s">
        <v>663</v>
      </c>
      <c r="G211" s="146" t="s">
        <v>102</v>
      </c>
      <c r="H211" s="146" t="s">
        <v>56</v>
      </c>
      <c r="I211" s="147" t="s">
        <v>440</v>
      </c>
      <c r="J211" s="147" t="s">
        <v>104</v>
      </c>
      <c r="K211" s="148"/>
      <c r="L211" s="149"/>
      <c r="M211" s="148"/>
    </row>
    <row r="212" spans="1:13" ht="15" customHeight="1">
      <c r="A212" s="142" t="s">
        <v>664</v>
      </c>
      <c r="B212" s="142">
        <v>520754</v>
      </c>
      <c r="C212" s="143" t="s">
        <v>665</v>
      </c>
      <c r="D212" s="142" t="s">
        <v>432</v>
      </c>
      <c r="E212" s="143" t="s">
        <v>623</v>
      </c>
      <c r="F212" s="143" t="s">
        <v>651</v>
      </c>
      <c r="G212" s="142" t="s">
        <v>102</v>
      </c>
      <c r="H212" s="142" t="s">
        <v>56</v>
      </c>
      <c r="I212" s="143" t="s">
        <v>440</v>
      </c>
      <c r="J212" s="143" t="s">
        <v>104</v>
      </c>
      <c r="K212" s="144" t="s">
        <v>121</v>
      </c>
      <c r="L212" s="145">
        <v>46150</v>
      </c>
      <c r="M212" s="144"/>
    </row>
    <row r="213" spans="1:13" ht="15" customHeight="1">
      <c r="A213" s="146" t="s">
        <v>666</v>
      </c>
      <c r="B213" s="146">
        <v>520755</v>
      </c>
      <c r="C213" s="147" t="s">
        <v>667</v>
      </c>
      <c r="D213" s="146" t="s">
        <v>432</v>
      </c>
      <c r="E213" s="147" t="s">
        <v>568</v>
      </c>
      <c r="F213" s="147" t="s">
        <v>668</v>
      </c>
      <c r="G213" s="146" t="s">
        <v>109</v>
      </c>
      <c r="H213" s="146" t="s">
        <v>56</v>
      </c>
      <c r="I213" s="147" t="s">
        <v>440</v>
      </c>
      <c r="J213" s="147" t="s">
        <v>104</v>
      </c>
      <c r="K213" s="148" t="s">
        <v>121</v>
      </c>
      <c r="L213" s="149">
        <v>46153</v>
      </c>
      <c r="M213" s="148"/>
    </row>
    <row r="214" spans="1:13" ht="15" customHeight="1">
      <c r="A214" s="142" t="s">
        <v>669</v>
      </c>
      <c r="B214" s="142">
        <v>520742</v>
      </c>
      <c r="C214" s="143" t="s">
        <v>670</v>
      </c>
      <c r="D214" s="142" t="s">
        <v>432</v>
      </c>
      <c r="E214" s="143" t="s">
        <v>671</v>
      </c>
      <c r="F214" s="143" t="s">
        <v>672</v>
      </c>
      <c r="G214" s="142" t="s">
        <v>109</v>
      </c>
      <c r="H214" s="142" t="s">
        <v>56</v>
      </c>
      <c r="I214" s="143" t="s">
        <v>440</v>
      </c>
      <c r="J214" s="143" t="s">
        <v>104</v>
      </c>
      <c r="K214" s="144"/>
      <c r="L214" s="145"/>
      <c r="M214" s="144"/>
    </row>
    <row r="215" spans="1:13" ht="15" customHeight="1">
      <c r="A215" s="146" t="s">
        <v>673</v>
      </c>
      <c r="B215" s="146">
        <v>520767</v>
      </c>
      <c r="C215" s="147" t="s">
        <v>674</v>
      </c>
      <c r="D215" s="146" t="s">
        <v>432</v>
      </c>
      <c r="E215" s="147" t="s">
        <v>466</v>
      </c>
      <c r="F215" s="147" t="s">
        <v>675</v>
      </c>
      <c r="G215" s="146" t="s">
        <v>109</v>
      </c>
      <c r="H215" s="146" t="s">
        <v>56</v>
      </c>
      <c r="I215" s="147" t="s">
        <v>440</v>
      </c>
      <c r="J215" s="147" t="s">
        <v>104</v>
      </c>
      <c r="K215" s="148"/>
      <c r="L215" s="149"/>
      <c r="M215" s="148"/>
    </row>
    <row r="216" spans="1:13" ht="15" customHeight="1">
      <c r="A216" s="142" t="s">
        <v>676</v>
      </c>
      <c r="B216" s="142">
        <v>520791</v>
      </c>
      <c r="C216" s="143" t="s">
        <v>677</v>
      </c>
      <c r="D216" s="142" t="s">
        <v>432</v>
      </c>
      <c r="E216" s="143" t="s">
        <v>328</v>
      </c>
      <c r="F216" s="143" t="s">
        <v>678</v>
      </c>
      <c r="G216" s="142" t="s">
        <v>109</v>
      </c>
      <c r="H216" s="142" t="s">
        <v>55</v>
      </c>
      <c r="I216" s="143" t="s">
        <v>435</v>
      </c>
      <c r="J216" s="143" t="s">
        <v>104</v>
      </c>
      <c r="K216" s="144"/>
      <c r="L216" s="145"/>
      <c r="M216" s="144"/>
    </row>
    <row r="217" spans="1:13" ht="15" customHeight="1">
      <c r="A217" s="146" t="s">
        <v>679</v>
      </c>
      <c r="B217" s="146">
        <v>520721</v>
      </c>
      <c r="C217" s="147" t="s">
        <v>680</v>
      </c>
      <c r="D217" s="146" t="s">
        <v>432</v>
      </c>
      <c r="E217" s="147" t="s">
        <v>478</v>
      </c>
      <c r="F217" s="147" t="s">
        <v>478</v>
      </c>
      <c r="G217" s="146" t="s">
        <v>102</v>
      </c>
      <c r="H217" s="146" t="s">
        <v>55</v>
      </c>
      <c r="I217" s="147" t="s">
        <v>435</v>
      </c>
      <c r="J217" s="147" t="s">
        <v>104</v>
      </c>
      <c r="K217" s="148"/>
      <c r="L217" s="149"/>
      <c r="M217" s="148"/>
    </row>
    <row r="218" spans="1:13" ht="15" customHeight="1">
      <c r="A218" s="142" t="s">
        <v>681</v>
      </c>
      <c r="B218" s="142">
        <v>520749</v>
      </c>
      <c r="C218" s="143" t="s">
        <v>682</v>
      </c>
      <c r="D218" s="142" t="s">
        <v>432</v>
      </c>
      <c r="E218" s="143" t="s">
        <v>683</v>
      </c>
      <c r="F218" s="143" t="s">
        <v>683</v>
      </c>
      <c r="G218" s="142" t="s">
        <v>109</v>
      </c>
      <c r="H218" s="142" t="s">
        <v>56</v>
      </c>
      <c r="I218" s="143" t="s">
        <v>440</v>
      </c>
      <c r="J218" s="143" t="s">
        <v>104</v>
      </c>
      <c r="K218" s="144"/>
      <c r="L218" s="145"/>
      <c r="M218" s="144"/>
    </row>
    <row r="219" spans="1:13" ht="15" customHeight="1">
      <c r="A219" s="146" t="s">
        <v>684</v>
      </c>
      <c r="B219" s="146">
        <v>520766</v>
      </c>
      <c r="C219" s="147" t="s">
        <v>685</v>
      </c>
      <c r="D219" s="146" t="s">
        <v>432</v>
      </c>
      <c r="E219" s="147" t="s">
        <v>686</v>
      </c>
      <c r="F219" s="147" t="s">
        <v>686</v>
      </c>
      <c r="G219" s="146" t="s">
        <v>109</v>
      </c>
      <c r="H219" s="146" t="s">
        <v>56</v>
      </c>
      <c r="I219" s="147" t="s">
        <v>440</v>
      </c>
      <c r="J219" s="147" t="s">
        <v>104</v>
      </c>
      <c r="K219" s="148"/>
      <c r="L219" s="149"/>
      <c r="M219" s="148"/>
    </row>
    <row r="220" spans="1:13" ht="15" customHeight="1">
      <c r="A220" s="142" t="s">
        <v>687</v>
      </c>
      <c r="B220" s="142">
        <v>521496</v>
      </c>
      <c r="C220" s="143" t="s">
        <v>254</v>
      </c>
      <c r="D220" s="142" t="s">
        <v>688</v>
      </c>
      <c r="E220" s="143" t="s">
        <v>510</v>
      </c>
      <c r="F220" s="143" t="s">
        <v>689</v>
      </c>
      <c r="G220" s="142" t="s">
        <v>109</v>
      </c>
      <c r="H220" s="142" t="s">
        <v>55</v>
      </c>
      <c r="I220" s="143" t="s">
        <v>435</v>
      </c>
      <c r="J220" s="143" t="s">
        <v>104</v>
      </c>
      <c r="K220" s="144"/>
      <c r="L220" s="145"/>
      <c r="M220" s="144"/>
    </row>
    <row r="221" spans="1:13" ht="15" customHeight="1">
      <c r="A221" s="146" t="s">
        <v>690</v>
      </c>
      <c r="B221" s="146">
        <v>521539</v>
      </c>
      <c r="C221" s="147" t="s">
        <v>691</v>
      </c>
      <c r="D221" s="146" t="s">
        <v>688</v>
      </c>
      <c r="E221" s="147" t="s">
        <v>510</v>
      </c>
      <c r="F221" s="147" t="s">
        <v>692</v>
      </c>
      <c r="G221" s="146" t="s">
        <v>109</v>
      </c>
      <c r="H221" s="146" t="s">
        <v>55</v>
      </c>
      <c r="I221" s="147" t="s">
        <v>435</v>
      </c>
      <c r="J221" s="147" t="s">
        <v>104</v>
      </c>
      <c r="K221" s="148"/>
      <c r="L221" s="149"/>
      <c r="M221" s="148"/>
    </row>
    <row r="222" spans="1:13" ht="15" customHeight="1">
      <c r="A222" s="142" t="s">
        <v>693</v>
      </c>
      <c r="B222" s="142">
        <v>521531</v>
      </c>
      <c r="C222" s="143" t="s">
        <v>694</v>
      </c>
      <c r="D222" s="142" t="s">
        <v>688</v>
      </c>
      <c r="E222" s="143" t="s">
        <v>695</v>
      </c>
      <c r="F222" s="143" t="s">
        <v>696</v>
      </c>
      <c r="G222" s="142" t="s">
        <v>109</v>
      </c>
      <c r="H222" s="142" t="s">
        <v>55</v>
      </c>
      <c r="I222" s="143" t="s">
        <v>435</v>
      </c>
      <c r="J222" s="143" t="s">
        <v>104</v>
      </c>
      <c r="K222" s="144"/>
      <c r="L222" s="145"/>
      <c r="M222" s="144"/>
    </row>
    <row r="223" spans="1:13" ht="15" customHeight="1">
      <c r="A223" s="146" t="s">
        <v>697</v>
      </c>
      <c r="B223" s="146">
        <v>521521</v>
      </c>
      <c r="C223" s="147" t="s">
        <v>698</v>
      </c>
      <c r="D223" s="146" t="s">
        <v>688</v>
      </c>
      <c r="E223" s="147" t="s">
        <v>688</v>
      </c>
      <c r="F223" s="147" t="s">
        <v>699</v>
      </c>
      <c r="G223" s="146" t="s">
        <v>109</v>
      </c>
      <c r="H223" s="146" t="s">
        <v>55</v>
      </c>
      <c r="I223" s="147" t="s">
        <v>435</v>
      </c>
      <c r="J223" s="147" t="s">
        <v>104</v>
      </c>
      <c r="K223" s="148"/>
      <c r="L223" s="149"/>
      <c r="M223" s="148"/>
    </row>
    <row r="224" spans="1:13" ht="15" customHeight="1">
      <c r="A224" s="142" t="s">
        <v>700</v>
      </c>
      <c r="B224" s="142">
        <v>521489</v>
      </c>
      <c r="C224" s="143" t="s">
        <v>701</v>
      </c>
      <c r="D224" s="142" t="s">
        <v>688</v>
      </c>
      <c r="E224" s="143" t="s">
        <v>702</v>
      </c>
      <c r="F224" s="143" t="s">
        <v>703</v>
      </c>
      <c r="G224" s="142" t="s">
        <v>109</v>
      </c>
      <c r="H224" s="142" t="s">
        <v>55</v>
      </c>
      <c r="I224" s="143" t="s">
        <v>435</v>
      </c>
      <c r="J224" s="143" t="s">
        <v>104</v>
      </c>
      <c r="K224" s="144"/>
      <c r="L224" s="145"/>
      <c r="M224" s="144"/>
    </row>
    <row r="225" spans="1:13" ht="15" customHeight="1">
      <c r="A225" s="146" t="s">
        <v>704</v>
      </c>
      <c r="B225" s="146">
        <v>521424</v>
      </c>
      <c r="C225" s="147" t="s">
        <v>705</v>
      </c>
      <c r="D225" s="146" t="s">
        <v>688</v>
      </c>
      <c r="E225" s="147" t="s">
        <v>706</v>
      </c>
      <c r="F225" s="147" t="s">
        <v>706</v>
      </c>
      <c r="G225" s="146" t="s">
        <v>102</v>
      </c>
      <c r="H225" s="146" t="s">
        <v>55</v>
      </c>
      <c r="I225" s="147" t="s">
        <v>435</v>
      </c>
      <c r="J225" s="147" t="s">
        <v>104</v>
      </c>
      <c r="K225" s="148"/>
      <c r="L225" s="149"/>
      <c r="M225" s="148"/>
    </row>
    <row r="226" spans="1:13" ht="15" customHeight="1">
      <c r="A226" s="142" t="s">
        <v>707</v>
      </c>
      <c r="B226" s="142">
        <v>521494</v>
      </c>
      <c r="C226" s="143" t="s">
        <v>548</v>
      </c>
      <c r="D226" s="142" t="s">
        <v>688</v>
      </c>
      <c r="E226" s="143" t="s">
        <v>708</v>
      </c>
      <c r="F226" s="143" t="s">
        <v>320</v>
      </c>
      <c r="G226" s="142" t="s">
        <v>109</v>
      </c>
      <c r="H226" s="142" t="s">
        <v>55</v>
      </c>
      <c r="I226" s="143" t="s">
        <v>435</v>
      </c>
      <c r="J226" s="143" t="s">
        <v>104</v>
      </c>
      <c r="K226" s="144"/>
      <c r="L226" s="145"/>
      <c r="M226" s="144"/>
    </row>
    <row r="227" spans="1:13" ht="15" customHeight="1">
      <c r="A227" s="146" t="s">
        <v>709</v>
      </c>
      <c r="B227" s="146">
        <v>521446</v>
      </c>
      <c r="C227" s="147" t="s">
        <v>710</v>
      </c>
      <c r="D227" s="146" t="s">
        <v>688</v>
      </c>
      <c r="E227" s="147" t="s">
        <v>711</v>
      </c>
      <c r="F227" s="147" t="s">
        <v>712</v>
      </c>
      <c r="G227" s="146" t="s">
        <v>109</v>
      </c>
      <c r="H227" s="146" t="s">
        <v>55</v>
      </c>
      <c r="I227" s="147" t="s">
        <v>435</v>
      </c>
      <c r="J227" s="147" t="s">
        <v>104</v>
      </c>
      <c r="K227" s="148"/>
      <c r="L227" s="149"/>
      <c r="M227" s="148"/>
    </row>
    <row r="228" spans="1:13" ht="15" customHeight="1">
      <c r="A228" s="142" t="s">
        <v>713</v>
      </c>
      <c r="B228" s="142">
        <v>521477</v>
      </c>
      <c r="C228" s="143" t="s">
        <v>714</v>
      </c>
      <c r="D228" s="142" t="s">
        <v>688</v>
      </c>
      <c r="E228" s="143" t="s">
        <v>715</v>
      </c>
      <c r="F228" s="143" t="s">
        <v>716</v>
      </c>
      <c r="G228" s="142" t="s">
        <v>109</v>
      </c>
      <c r="H228" s="142" t="s">
        <v>55</v>
      </c>
      <c r="I228" s="143" t="s">
        <v>435</v>
      </c>
      <c r="J228" s="143" t="s">
        <v>104</v>
      </c>
      <c r="K228" s="144"/>
      <c r="L228" s="145"/>
      <c r="M228" s="144"/>
    </row>
    <row r="229" spans="1:13" ht="15" customHeight="1">
      <c r="A229" s="146" t="s">
        <v>717</v>
      </c>
      <c r="B229" s="146">
        <v>521490</v>
      </c>
      <c r="C229" s="147" t="s">
        <v>718</v>
      </c>
      <c r="D229" s="146" t="s">
        <v>688</v>
      </c>
      <c r="E229" s="147" t="s">
        <v>702</v>
      </c>
      <c r="F229" s="147" t="s">
        <v>702</v>
      </c>
      <c r="G229" s="146" t="s">
        <v>102</v>
      </c>
      <c r="H229" s="146" t="s">
        <v>55</v>
      </c>
      <c r="I229" s="147" t="s">
        <v>435</v>
      </c>
      <c r="J229" s="147" t="s">
        <v>104</v>
      </c>
      <c r="K229" s="148"/>
      <c r="L229" s="149"/>
      <c r="M229" s="148"/>
    </row>
    <row r="230" spans="1:13" ht="15" customHeight="1">
      <c r="A230" s="142" t="s">
        <v>719</v>
      </c>
      <c r="B230" s="142">
        <v>521537</v>
      </c>
      <c r="C230" s="143" t="s">
        <v>720</v>
      </c>
      <c r="D230" s="142" t="s">
        <v>688</v>
      </c>
      <c r="E230" s="143" t="s">
        <v>721</v>
      </c>
      <c r="F230" s="143" t="s">
        <v>722</v>
      </c>
      <c r="G230" s="142" t="s">
        <v>109</v>
      </c>
      <c r="H230" s="142" t="s">
        <v>55</v>
      </c>
      <c r="I230" s="143" t="s">
        <v>435</v>
      </c>
      <c r="J230" s="143" t="s">
        <v>104</v>
      </c>
      <c r="K230" s="144"/>
      <c r="L230" s="145"/>
      <c r="M230" s="144"/>
    </row>
    <row r="231" spans="1:13" ht="15" customHeight="1">
      <c r="A231" s="146" t="s">
        <v>723</v>
      </c>
      <c r="B231" s="146">
        <v>521526</v>
      </c>
      <c r="C231" s="147" t="s">
        <v>724</v>
      </c>
      <c r="D231" s="146" t="s">
        <v>688</v>
      </c>
      <c r="E231" s="147" t="s">
        <v>725</v>
      </c>
      <c r="F231" s="147" t="s">
        <v>726</v>
      </c>
      <c r="G231" s="146" t="s">
        <v>109</v>
      </c>
      <c r="H231" s="146" t="s">
        <v>55</v>
      </c>
      <c r="I231" s="147" t="s">
        <v>435</v>
      </c>
      <c r="J231" s="147" t="s">
        <v>104</v>
      </c>
      <c r="K231" s="148"/>
      <c r="L231" s="149"/>
      <c r="M231" s="148"/>
    </row>
    <row r="232" spans="1:13" ht="15" customHeight="1">
      <c r="A232" s="142" t="s">
        <v>727</v>
      </c>
      <c r="B232" s="142">
        <v>521458</v>
      </c>
      <c r="C232" s="143" t="s">
        <v>710</v>
      </c>
      <c r="D232" s="142" t="s">
        <v>688</v>
      </c>
      <c r="E232" s="143" t="s">
        <v>695</v>
      </c>
      <c r="F232" s="143" t="s">
        <v>728</v>
      </c>
      <c r="G232" s="142" t="s">
        <v>109</v>
      </c>
      <c r="H232" s="142" t="s">
        <v>55</v>
      </c>
      <c r="I232" s="143" t="s">
        <v>435</v>
      </c>
      <c r="J232" s="143" t="s">
        <v>104</v>
      </c>
      <c r="K232" s="144"/>
      <c r="L232" s="145"/>
      <c r="M232" s="144"/>
    </row>
    <row r="233" spans="1:13" ht="15" customHeight="1">
      <c r="A233" s="146" t="s">
        <v>729</v>
      </c>
      <c r="B233" s="146">
        <v>521505</v>
      </c>
      <c r="C233" s="147" t="s">
        <v>730</v>
      </c>
      <c r="D233" s="146" t="s">
        <v>688</v>
      </c>
      <c r="E233" s="147" t="s">
        <v>731</v>
      </c>
      <c r="F233" s="147" t="s">
        <v>732</v>
      </c>
      <c r="G233" s="146" t="s">
        <v>109</v>
      </c>
      <c r="H233" s="146" t="s">
        <v>55</v>
      </c>
      <c r="I233" s="147" t="s">
        <v>435</v>
      </c>
      <c r="J233" s="147" t="s">
        <v>104</v>
      </c>
      <c r="K233" s="148"/>
      <c r="L233" s="149"/>
      <c r="M233" s="148"/>
    </row>
    <row r="234" spans="1:13" ht="15" customHeight="1">
      <c r="A234" s="142" t="s">
        <v>733</v>
      </c>
      <c r="B234" s="142">
        <v>521464</v>
      </c>
      <c r="C234" s="143" t="s">
        <v>734</v>
      </c>
      <c r="D234" s="142" t="s">
        <v>688</v>
      </c>
      <c r="E234" s="143" t="s">
        <v>711</v>
      </c>
      <c r="F234" s="143" t="s">
        <v>735</v>
      </c>
      <c r="G234" s="142" t="s">
        <v>109</v>
      </c>
      <c r="H234" s="142" t="s">
        <v>55</v>
      </c>
      <c r="I234" s="143" t="s">
        <v>435</v>
      </c>
      <c r="J234" s="143" t="s">
        <v>104</v>
      </c>
      <c r="K234" s="144"/>
      <c r="L234" s="145"/>
      <c r="M234" s="144"/>
    </row>
    <row r="235" spans="1:13" ht="15" customHeight="1">
      <c r="A235" s="146" t="s">
        <v>736</v>
      </c>
      <c r="B235" s="146">
        <v>521437</v>
      </c>
      <c r="C235" s="147" t="s">
        <v>737</v>
      </c>
      <c r="D235" s="146" t="s">
        <v>688</v>
      </c>
      <c r="E235" s="147" t="s">
        <v>695</v>
      </c>
      <c r="F235" s="147" t="s">
        <v>738</v>
      </c>
      <c r="G235" s="146" t="s">
        <v>109</v>
      </c>
      <c r="H235" s="146" t="s">
        <v>55</v>
      </c>
      <c r="I235" s="147" t="s">
        <v>435</v>
      </c>
      <c r="J235" s="147" t="s">
        <v>104</v>
      </c>
      <c r="K235" s="148"/>
      <c r="L235" s="149"/>
      <c r="M235" s="148"/>
    </row>
    <row r="236" spans="1:13" ht="15" customHeight="1">
      <c r="A236" s="142" t="s">
        <v>739</v>
      </c>
      <c r="B236" s="142">
        <v>521495</v>
      </c>
      <c r="C236" s="143" t="s">
        <v>710</v>
      </c>
      <c r="D236" s="142" t="s">
        <v>688</v>
      </c>
      <c r="E236" s="143" t="s">
        <v>740</v>
      </c>
      <c r="F236" s="143" t="s">
        <v>741</v>
      </c>
      <c r="G236" s="142" t="s">
        <v>109</v>
      </c>
      <c r="H236" s="142" t="s">
        <v>55</v>
      </c>
      <c r="I236" s="143" t="s">
        <v>435</v>
      </c>
      <c r="J236" s="143" t="s">
        <v>104</v>
      </c>
      <c r="K236" s="144"/>
      <c r="L236" s="145"/>
      <c r="M236" s="144"/>
    </row>
    <row r="237" spans="1:13" ht="15" customHeight="1">
      <c r="A237" s="146" t="s">
        <v>742</v>
      </c>
      <c r="B237" s="146">
        <v>521435</v>
      </c>
      <c r="C237" s="147" t="s">
        <v>743</v>
      </c>
      <c r="D237" s="146" t="s">
        <v>688</v>
      </c>
      <c r="E237" s="147" t="s">
        <v>706</v>
      </c>
      <c r="F237" s="147" t="s">
        <v>706</v>
      </c>
      <c r="G237" s="146" t="s">
        <v>102</v>
      </c>
      <c r="H237" s="146" t="s">
        <v>55</v>
      </c>
      <c r="I237" s="147" t="s">
        <v>435</v>
      </c>
      <c r="J237" s="147" t="s">
        <v>104</v>
      </c>
      <c r="K237" s="148"/>
      <c r="L237" s="149"/>
      <c r="M237" s="148"/>
    </row>
    <row r="238" spans="1:13" ht="15" customHeight="1">
      <c r="A238" s="142" t="s">
        <v>744</v>
      </c>
      <c r="B238" s="142">
        <v>521443</v>
      </c>
      <c r="C238" s="143" t="s">
        <v>745</v>
      </c>
      <c r="D238" s="142" t="s">
        <v>688</v>
      </c>
      <c r="E238" s="143" t="s">
        <v>731</v>
      </c>
      <c r="F238" s="143" t="s">
        <v>746</v>
      </c>
      <c r="G238" s="142" t="s">
        <v>109</v>
      </c>
      <c r="H238" s="142" t="s">
        <v>55</v>
      </c>
      <c r="I238" s="143" t="s">
        <v>435</v>
      </c>
      <c r="J238" s="143" t="s">
        <v>104</v>
      </c>
      <c r="K238" s="144"/>
      <c r="L238" s="145"/>
      <c r="M238" s="144"/>
    </row>
    <row r="239" spans="1:13" ht="15" customHeight="1">
      <c r="A239" s="146" t="s">
        <v>747</v>
      </c>
      <c r="B239" s="146">
        <v>521456</v>
      </c>
      <c r="C239" s="147" t="s">
        <v>710</v>
      </c>
      <c r="D239" s="146" t="s">
        <v>688</v>
      </c>
      <c r="E239" s="147" t="s">
        <v>740</v>
      </c>
      <c r="F239" s="147" t="s">
        <v>748</v>
      </c>
      <c r="G239" s="146" t="s">
        <v>109</v>
      </c>
      <c r="H239" s="146" t="s">
        <v>55</v>
      </c>
      <c r="I239" s="147" t="s">
        <v>435</v>
      </c>
      <c r="J239" s="147" t="s">
        <v>104</v>
      </c>
      <c r="K239" s="148"/>
      <c r="L239" s="149"/>
      <c r="M239" s="148"/>
    </row>
    <row r="240" spans="1:13" ht="15" customHeight="1">
      <c r="A240" s="142" t="s">
        <v>749</v>
      </c>
      <c r="B240" s="142">
        <v>521461</v>
      </c>
      <c r="C240" s="143" t="s">
        <v>710</v>
      </c>
      <c r="D240" s="142" t="s">
        <v>688</v>
      </c>
      <c r="E240" s="143" t="s">
        <v>510</v>
      </c>
      <c r="F240" s="143" t="s">
        <v>750</v>
      </c>
      <c r="G240" s="142" t="s">
        <v>109</v>
      </c>
      <c r="H240" s="142" t="s">
        <v>55</v>
      </c>
      <c r="I240" s="143" t="s">
        <v>435</v>
      </c>
      <c r="J240" s="143" t="s">
        <v>104</v>
      </c>
      <c r="K240" s="144"/>
      <c r="L240" s="145"/>
      <c r="M240" s="144"/>
    </row>
    <row r="241" spans="1:13" ht="15" customHeight="1">
      <c r="A241" s="146" t="s">
        <v>751</v>
      </c>
      <c r="B241" s="146">
        <v>521529</v>
      </c>
      <c r="C241" s="147" t="s">
        <v>752</v>
      </c>
      <c r="D241" s="146" t="s">
        <v>688</v>
      </c>
      <c r="E241" s="147" t="s">
        <v>688</v>
      </c>
      <c r="F241" s="147" t="s">
        <v>753</v>
      </c>
      <c r="G241" s="146" t="s">
        <v>109</v>
      </c>
      <c r="H241" s="146" t="s">
        <v>55</v>
      </c>
      <c r="I241" s="147" t="s">
        <v>435</v>
      </c>
      <c r="J241" s="147" t="s">
        <v>104</v>
      </c>
      <c r="K241" s="148"/>
      <c r="L241" s="149"/>
      <c r="M241" s="148"/>
    </row>
    <row r="242" spans="1:13" ht="15" customHeight="1">
      <c r="A242" s="142" t="s">
        <v>754</v>
      </c>
      <c r="B242" s="142">
        <v>521413</v>
      </c>
      <c r="C242" s="143" t="s">
        <v>745</v>
      </c>
      <c r="D242" s="142" t="s">
        <v>688</v>
      </c>
      <c r="E242" s="143" t="s">
        <v>563</v>
      </c>
      <c r="F242" s="143" t="s">
        <v>755</v>
      </c>
      <c r="G242" s="142" t="s">
        <v>109</v>
      </c>
      <c r="H242" s="142" t="s">
        <v>55</v>
      </c>
      <c r="I242" s="143" t="s">
        <v>435</v>
      </c>
      <c r="J242" s="143" t="s">
        <v>104</v>
      </c>
      <c r="K242" s="144"/>
      <c r="L242" s="145"/>
      <c r="M242" s="144"/>
    </row>
    <row r="243" spans="1:13" ht="15" customHeight="1">
      <c r="A243" s="146" t="s">
        <v>756</v>
      </c>
      <c r="B243" s="146">
        <v>521499</v>
      </c>
      <c r="C243" s="147" t="s">
        <v>548</v>
      </c>
      <c r="D243" s="146" t="s">
        <v>688</v>
      </c>
      <c r="E243" s="147" t="s">
        <v>757</v>
      </c>
      <c r="F243" s="147" t="s">
        <v>758</v>
      </c>
      <c r="G243" s="146" t="s">
        <v>109</v>
      </c>
      <c r="H243" s="146" t="s">
        <v>55</v>
      </c>
      <c r="I243" s="147" t="s">
        <v>435</v>
      </c>
      <c r="J243" s="147" t="s">
        <v>104</v>
      </c>
      <c r="K243" s="148"/>
      <c r="L243" s="149"/>
      <c r="M243" s="148"/>
    </row>
    <row r="244" spans="1:13" ht="15" customHeight="1">
      <c r="A244" s="142" t="s">
        <v>759</v>
      </c>
      <c r="B244" s="142">
        <v>521444</v>
      </c>
      <c r="C244" s="143" t="s">
        <v>760</v>
      </c>
      <c r="D244" s="142" t="s">
        <v>688</v>
      </c>
      <c r="E244" s="143" t="s">
        <v>725</v>
      </c>
      <c r="F244" s="143" t="s">
        <v>725</v>
      </c>
      <c r="G244" s="142" t="s">
        <v>102</v>
      </c>
      <c r="H244" s="142" t="s">
        <v>55</v>
      </c>
      <c r="I244" s="143" t="s">
        <v>435</v>
      </c>
      <c r="J244" s="143" t="s">
        <v>104</v>
      </c>
      <c r="K244" s="144"/>
      <c r="L244" s="145"/>
      <c r="M244" s="144"/>
    </row>
    <row r="245" spans="1:13" ht="15" customHeight="1">
      <c r="A245" s="146" t="s">
        <v>761</v>
      </c>
      <c r="B245" s="146">
        <v>521528</v>
      </c>
      <c r="C245" s="147" t="s">
        <v>688</v>
      </c>
      <c r="D245" s="146" t="s">
        <v>688</v>
      </c>
      <c r="E245" s="147" t="s">
        <v>688</v>
      </c>
      <c r="F245" s="147" t="s">
        <v>688</v>
      </c>
      <c r="G245" s="146" t="s">
        <v>102</v>
      </c>
      <c r="H245" s="146" t="s">
        <v>55</v>
      </c>
      <c r="I245" s="147" t="s">
        <v>435</v>
      </c>
      <c r="J245" s="147" t="s">
        <v>104</v>
      </c>
      <c r="K245" s="148"/>
      <c r="L245" s="149"/>
      <c r="M245" s="148"/>
    </row>
    <row r="246" spans="1:13" ht="15" customHeight="1">
      <c r="A246" s="142" t="s">
        <v>762</v>
      </c>
      <c r="B246" s="142">
        <v>521447</v>
      </c>
      <c r="C246" s="143" t="s">
        <v>763</v>
      </c>
      <c r="D246" s="142" t="s">
        <v>688</v>
      </c>
      <c r="E246" s="143" t="s">
        <v>725</v>
      </c>
      <c r="F246" s="143" t="s">
        <v>764</v>
      </c>
      <c r="G246" s="142" t="s">
        <v>109</v>
      </c>
      <c r="H246" s="142" t="s">
        <v>55</v>
      </c>
      <c r="I246" s="143" t="s">
        <v>435</v>
      </c>
      <c r="J246" s="143" t="s">
        <v>104</v>
      </c>
      <c r="K246" s="144"/>
      <c r="L246" s="145"/>
      <c r="M246" s="144"/>
    </row>
    <row r="247" spans="1:13" ht="15" customHeight="1">
      <c r="A247" s="146" t="s">
        <v>765</v>
      </c>
      <c r="B247" s="146">
        <v>521500</v>
      </c>
      <c r="C247" s="147" t="s">
        <v>766</v>
      </c>
      <c r="D247" s="146" t="s">
        <v>688</v>
      </c>
      <c r="E247" s="147" t="s">
        <v>767</v>
      </c>
      <c r="F247" s="147" t="s">
        <v>767</v>
      </c>
      <c r="G247" s="146" t="s">
        <v>102</v>
      </c>
      <c r="H247" s="146" t="s">
        <v>55</v>
      </c>
      <c r="I247" s="147" t="s">
        <v>435</v>
      </c>
      <c r="J247" s="147" t="s">
        <v>104</v>
      </c>
      <c r="K247" s="148"/>
      <c r="L247" s="149"/>
      <c r="M247" s="148"/>
    </row>
    <row r="248" spans="1:13" ht="15" customHeight="1">
      <c r="A248" s="142" t="s">
        <v>768</v>
      </c>
      <c r="B248" s="142">
        <v>521441</v>
      </c>
      <c r="C248" s="143" t="s">
        <v>769</v>
      </c>
      <c r="D248" s="142" t="s">
        <v>688</v>
      </c>
      <c r="E248" s="143" t="s">
        <v>770</v>
      </c>
      <c r="F248" s="143" t="s">
        <v>771</v>
      </c>
      <c r="G248" s="142" t="s">
        <v>109</v>
      </c>
      <c r="H248" s="142" t="s">
        <v>55</v>
      </c>
      <c r="I248" s="143" t="s">
        <v>435</v>
      </c>
      <c r="J248" s="143" t="s">
        <v>104</v>
      </c>
      <c r="K248" s="144"/>
      <c r="L248" s="145"/>
      <c r="M248" s="144"/>
    </row>
    <row r="249" spans="1:13" ht="15" customHeight="1">
      <c r="A249" s="146" t="s">
        <v>772</v>
      </c>
      <c r="B249" s="146">
        <v>521542</v>
      </c>
      <c r="C249" s="147" t="s">
        <v>773</v>
      </c>
      <c r="D249" s="146" t="s">
        <v>688</v>
      </c>
      <c r="E249" s="147" t="s">
        <v>563</v>
      </c>
      <c r="F249" s="147" t="s">
        <v>774</v>
      </c>
      <c r="G249" s="146" t="s">
        <v>109</v>
      </c>
      <c r="H249" s="146" t="s">
        <v>55</v>
      </c>
      <c r="I249" s="147" t="s">
        <v>435</v>
      </c>
      <c r="J249" s="147" t="s">
        <v>104</v>
      </c>
      <c r="K249" s="148"/>
      <c r="L249" s="149"/>
      <c r="M249" s="148"/>
    </row>
    <row r="250" spans="1:13" ht="15" customHeight="1">
      <c r="A250" s="142" t="s">
        <v>775</v>
      </c>
      <c r="B250" s="142">
        <v>521503</v>
      </c>
      <c r="C250" s="143" t="s">
        <v>776</v>
      </c>
      <c r="D250" s="142" t="s">
        <v>688</v>
      </c>
      <c r="E250" s="143" t="s">
        <v>510</v>
      </c>
      <c r="F250" s="143" t="s">
        <v>777</v>
      </c>
      <c r="G250" s="142" t="s">
        <v>109</v>
      </c>
      <c r="H250" s="142" t="s">
        <v>55</v>
      </c>
      <c r="I250" s="143" t="s">
        <v>435</v>
      </c>
      <c r="J250" s="143" t="s">
        <v>104</v>
      </c>
      <c r="K250" s="144"/>
      <c r="L250" s="145"/>
      <c r="M250" s="144"/>
    </row>
    <row r="251" spans="1:13" ht="15" customHeight="1">
      <c r="A251" s="146" t="s">
        <v>778</v>
      </c>
      <c r="B251" s="146">
        <v>521514</v>
      </c>
      <c r="C251" s="147" t="s">
        <v>779</v>
      </c>
      <c r="D251" s="146" t="s">
        <v>688</v>
      </c>
      <c r="E251" s="147" t="s">
        <v>688</v>
      </c>
      <c r="F251" s="147" t="s">
        <v>780</v>
      </c>
      <c r="G251" s="146" t="s">
        <v>109</v>
      </c>
      <c r="H251" s="146" t="s">
        <v>55</v>
      </c>
      <c r="I251" s="147" t="s">
        <v>435</v>
      </c>
      <c r="J251" s="147" t="s">
        <v>104</v>
      </c>
      <c r="K251" s="148"/>
      <c r="L251" s="149"/>
      <c r="M251" s="148"/>
    </row>
    <row r="252" spans="1:13" ht="15" customHeight="1">
      <c r="A252" s="142" t="s">
        <v>781</v>
      </c>
      <c r="B252" s="142">
        <v>521550</v>
      </c>
      <c r="C252" s="143" t="s">
        <v>782</v>
      </c>
      <c r="D252" s="142" t="s">
        <v>688</v>
      </c>
      <c r="E252" s="143" t="s">
        <v>711</v>
      </c>
      <c r="F252" s="143" t="s">
        <v>783</v>
      </c>
      <c r="G252" s="142" t="s">
        <v>109</v>
      </c>
      <c r="H252" s="142" t="s">
        <v>55</v>
      </c>
      <c r="I252" s="143" t="s">
        <v>435</v>
      </c>
      <c r="J252" s="143" t="s">
        <v>104</v>
      </c>
      <c r="K252" s="144"/>
      <c r="L252" s="145"/>
      <c r="M252" s="144"/>
    </row>
    <row r="253" spans="1:13" ht="15" customHeight="1">
      <c r="A253" s="146" t="s">
        <v>784</v>
      </c>
      <c r="B253" s="146">
        <v>521544</v>
      </c>
      <c r="C253" s="147" t="s">
        <v>785</v>
      </c>
      <c r="D253" s="146" t="s">
        <v>688</v>
      </c>
      <c r="E253" s="147" t="s">
        <v>786</v>
      </c>
      <c r="F253" s="147" t="s">
        <v>786</v>
      </c>
      <c r="G253" s="146" t="s">
        <v>109</v>
      </c>
      <c r="H253" s="146" t="s">
        <v>55</v>
      </c>
      <c r="I253" s="147" t="s">
        <v>435</v>
      </c>
      <c r="J253" s="147" t="s">
        <v>104</v>
      </c>
      <c r="K253" s="148"/>
      <c r="L253" s="149"/>
      <c r="M253" s="148"/>
    </row>
    <row r="254" spans="1:13" ht="15" customHeight="1">
      <c r="A254" s="142" t="s">
        <v>787</v>
      </c>
      <c r="B254" s="142">
        <v>521459</v>
      </c>
      <c r="C254" s="143" t="s">
        <v>788</v>
      </c>
      <c r="D254" s="142" t="s">
        <v>688</v>
      </c>
      <c r="E254" s="143" t="s">
        <v>789</v>
      </c>
      <c r="F254" s="143" t="s">
        <v>789</v>
      </c>
      <c r="G254" s="142" t="s">
        <v>102</v>
      </c>
      <c r="H254" s="142" t="s">
        <v>55</v>
      </c>
      <c r="I254" s="143" t="s">
        <v>435</v>
      </c>
      <c r="J254" s="143" t="s">
        <v>104</v>
      </c>
      <c r="K254" s="144"/>
      <c r="L254" s="145"/>
      <c r="M254" s="144"/>
    </row>
    <row r="255" spans="1:13" ht="15" customHeight="1">
      <c r="A255" s="146" t="s">
        <v>790</v>
      </c>
      <c r="B255" s="146">
        <v>521501</v>
      </c>
      <c r="C255" s="147" t="s">
        <v>791</v>
      </c>
      <c r="D255" s="146" t="s">
        <v>688</v>
      </c>
      <c r="E255" s="147" t="s">
        <v>792</v>
      </c>
      <c r="F255" s="147" t="s">
        <v>792</v>
      </c>
      <c r="G255" s="146" t="s">
        <v>102</v>
      </c>
      <c r="H255" s="146" t="s">
        <v>55</v>
      </c>
      <c r="I255" s="147" t="s">
        <v>435</v>
      </c>
      <c r="J255" s="147" t="s">
        <v>104</v>
      </c>
      <c r="K255" s="148" t="s">
        <v>121</v>
      </c>
      <c r="L255" s="149">
        <v>46150</v>
      </c>
      <c r="M255" s="148"/>
    </row>
    <row r="256" spans="1:13" ht="15" customHeight="1">
      <c r="A256" s="142" t="s">
        <v>793</v>
      </c>
      <c r="B256" s="142">
        <v>521512</v>
      </c>
      <c r="C256" s="143" t="s">
        <v>794</v>
      </c>
      <c r="D256" s="142" t="s">
        <v>688</v>
      </c>
      <c r="E256" s="143" t="s">
        <v>795</v>
      </c>
      <c r="F256" s="143" t="s">
        <v>795</v>
      </c>
      <c r="G256" s="142" t="s">
        <v>102</v>
      </c>
      <c r="H256" s="142" t="s">
        <v>55</v>
      </c>
      <c r="I256" s="143" t="s">
        <v>435</v>
      </c>
      <c r="J256" s="143" t="s">
        <v>104</v>
      </c>
      <c r="K256" s="144"/>
      <c r="L256" s="145"/>
      <c r="M256" s="144"/>
    </row>
    <row r="257" spans="1:13" ht="15" customHeight="1">
      <c r="A257" s="146" t="s">
        <v>796</v>
      </c>
      <c r="B257" s="146">
        <v>521478</v>
      </c>
      <c r="C257" s="147" t="s">
        <v>797</v>
      </c>
      <c r="D257" s="146" t="s">
        <v>688</v>
      </c>
      <c r="E257" s="147" t="s">
        <v>798</v>
      </c>
      <c r="F257" s="147" t="s">
        <v>798</v>
      </c>
      <c r="G257" s="146" t="s">
        <v>109</v>
      </c>
      <c r="H257" s="146" t="s">
        <v>55</v>
      </c>
      <c r="I257" s="147" t="s">
        <v>435</v>
      </c>
      <c r="J257" s="147" t="s">
        <v>104</v>
      </c>
      <c r="K257" s="148"/>
      <c r="L257" s="149"/>
      <c r="M257" s="148"/>
    </row>
    <row r="258" spans="1:13" ht="15" customHeight="1">
      <c r="A258" s="142" t="s">
        <v>799</v>
      </c>
      <c r="B258" s="142">
        <v>521412</v>
      </c>
      <c r="C258" s="143" t="s">
        <v>800</v>
      </c>
      <c r="D258" s="142" t="s">
        <v>688</v>
      </c>
      <c r="E258" s="143" t="s">
        <v>688</v>
      </c>
      <c r="F258" s="143" t="s">
        <v>688</v>
      </c>
      <c r="G258" s="142" t="s">
        <v>102</v>
      </c>
      <c r="H258" s="142" t="s">
        <v>55</v>
      </c>
      <c r="I258" s="143" t="s">
        <v>435</v>
      </c>
      <c r="J258" s="143" t="s">
        <v>104</v>
      </c>
      <c r="K258" s="144"/>
      <c r="L258" s="145"/>
      <c r="M258" s="144"/>
    </row>
    <row r="259" spans="1:13" ht="15" customHeight="1">
      <c r="A259" s="146" t="s">
        <v>801</v>
      </c>
      <c r="B259" s="146">
        <v>521411</v>
      </c>
      <c r="C259" s="147" t="s">
        <v>802</v>
      </c>
      <c r="D259" s="146" t="s">
        <v>688</v>
      </c>
      <c r="E259" s="147" t="s">
        <v>688</v>
      </c>
      <c r="F259" s="147" t="s">
        <v>688</v>
      </c>
      <c r="G259" s="146" t="s">
        <v>102</v>
      </c>
      <c r="H259" s="146" t="s">
        <v>55</v>
      </c>
      <c r="I259" s="147" t="s">
        <v>435</v>
      </c>
      <c r="J259" s="147" t="s">
        <v>104</v>
      </c>
      <c r="K259" s="148"/>
      <c r="L259" s="149"/>
      <c r="M259" s="148"/>
    </row>
    <row r="260" spans="1:13" ht="15" customHeight="1">
      <c r="A260" s="142" t="s">
        <v>803</v>
      </c>
      <c r="B260" s="142">
        <v>521480</v>
      </c>
      <c r="C260" s="143" t="s">
        <v>804</v>
      </c>
      <c r="D260" s="142" t="s">
        <v>688</v>
      </c>
      <c r="E260" s="143" t="s">
        <v>805</v>
      </c>
      <c r="F260" s="143" t="s">
        <v>805</v>
      </c>
      <c r="G260" s="142" t="s">
        <v>109</v>
      </c>
      <c r="H260" s="142" t="s">
        <v>55</v>
      </c>
      <c r="I260" s="143" t="s">
        <v>435</v>
      </c>
      <c r="J260" s="143" t="s">
        <v>104</v>
      </c>
      <c r="K260" s="144" t="s">
        <v>162</v>
      </c>
      <c r="L260" s="145">
        <v>46153</v>
      </c>
      <c r="M260" s="144"/>
    </row>
    <row r="261" spans="1:13" ht="15" customHeight="1">
      <c r="A261" s="146" t="s">
        <v>806</v>
      </c>
      <c r="B261" s="146">
        <v>521532</v>
      </c>
      <c r="C261" s="147" t="s">
        <v>807</v>
      </c>
      <c r="D261" s="146" t="s">
        <v>688</v>
      </c>
      <c r="E261" s="147" t="s">
        <v>695</v>
      </c>
      <c r="F261" s="147" t="s">
        <v>696</v>
      </c>
      <c r="G261" s="146" t="s">
        <v>109</v>
      </c>
      <c r="H261" s="146" t="s">
        <v>55</v>
      </c>
      <c r="I261" s="147" t="s">
        <v>435</v>
      </c>
      <c r="J261" s="147" t="s">
        <v>104</v>
      </c>
      <c r="K261" s="148"/>
      <c r="L261" s="149"/>
      <c r="M261" s="148"/>
    </row>
    <row r="262" spans="1:13" ht="15" customHeight="1">
      <c r="A262" s="142" t="s">
        <v>808</v>
      </c>
      <c r="B262" s="142">
        <v>521547</v>
      </c>
      <c r="C262" s="143" t="s">
        <v>809</v>
      </c>
      <c r="D262" s="142" t="s">
        <v>688</v>
      </c>
      <c r="E262" s="143" t="s">
        <v>810</v>
      </c>
      <c r="F262" s="143" t="s">
        <v>811</v>
      </c>
      <c r="G262" s="142" t="s">
        <v>109</v>
      </c>
      <c r="H262" s="142" t="s">
        <v>55</v>
      </c>
      <c r="I262" s="143" t="s">
        <v>435</v>
      </c>
      <c r="J262" s="143" t="s">
        <v>104</v>
      </c>
      <c r="K262" s="144"/>
      <c r="L262" s="145"/>
      <c r="M262" s="144"/>
    </row>
    <row r="263" spans="1:13" ht="15" customHeight="1">
      <c r="A263" s="146" t="s">
        <v>812</v>
      </c>
      <c r="B263" s="146">
        <v>521535</v>
      </c>
      <c r="C263" s="147" t="s">
        <v>813</v>
      </c>
      <c r="D263" s="146" t="s">
        <v>688</v>
      </c>
      <c r="E263" s="147" t="s">
        <v>814</v>
      </c>
      <c r="F263" s="147" t="s">
        <v>815</v>
      </c>
      <c r="G263" s="146" t="s">
        <v>109</v>
      </c>
      <c r="H263" s="146" t="s">
        <v>55</v>
      </c>
      <c r="I263" s="147" t="s">
        <v>435</v>
      </c>
      <c r="J263" s="147" t="s">
        <v>104</v>
      </c>
      <c r="K263" s="148"/>
      <c r="L263" s="149"/>
      <c r="M263" s="148"/>
    </row>
    <row r="264" spans="1:13" ht="15" customHeight="1">
      <c r="A264" s="142" t="s">
        <v>816</v>
      </c>
      <c r="B264" s="142">
        <v>521541</v>
      </c>
      <c r="C264" s="143" t="s">
        <v>817</v>
      </c>
      <c r="D264" s="142" t="s">
        <v>688</v>
      </c>
      <c r="E264" s="143" t="s">
        <v>818</v>
      </c>
      <c r="F264" s="143" t="s">
        <v>818</v>
      </c>
      <c r="G264" s="142" t="s">
        <v>109</v>
      </c>
      <c r="H264" s="142" t="s">
        <v>55</v>
      </c>
      <c r="I264" s="143" t="s">
        <v>435</v>
      </c>
      <c r="J264" s="143" t="s">
        <v>104</v>
      </c>
      <c r="K264" s="144"/>
      <c r="L264" s="145"/>
      <c r="M264" s="144"/>
    </row>
    <row r="265" spans="1:13" ht="15" customHeight="1">
      <c r="A265" s="146" t="s">
        <v>819</v>
      </c>
      <c r="B265" s="146">
        <v>521436</v>
      </c>
      <c r="C265" s="147" t="s">
        <v>820</v>
      </c>
      <c r="D265" s="146" t="s">
        <v>688</v>
      </c>
      <c r="E265" s="147" t="s">
        <v>706</v>
      </c>
      <c r="F265" s="147" t="s">
        <v>821</v>
      </c>
      <c r="G265" s="146" t="s">
        <v>109</v>
      </c>
      <c r="H265" s="146" t="s">
        <v>55</v>
      </c>
      <c r="I265" s="147" t="s">
        <v>435</v>
      </c>
      <c r="J265" s="147" t="s">
        <v>104</v>
      </c>
      <c r="K265" s="148"/>
      <c r="L265" s="149"/>
      <c r="M265" s="148"/>
    </row>
    <row r="266" spans="1:13" ht="15" customHeight="1">
      <c r="A266" s="142" t="s">
        <v>822</v>
      </c>
      <c r="B266" s="142">
        <v>521534</v>
      </c>
      <c r="C266" s="143" t="s">
        <v>823</v>
      </c>
      <c r="D266" s="142" t="s">
        <v>688</v>
      </c>
      <c r="E266" s="143" t="s">
        <v>824</v>
      </c>
      <c r="F266" s="143" t="s">
        <v>825</v>
      </c>
      <c r="G266" s="142" t="s">
        <v>109</v>
      </c>
      <c r="H266" s="142" t="s">
        <v>55</v>
      </c>
      <c r="I266" s="143" t="s">
        <v>435</v>
      </c>
      <c r="J266" s="143" t="s">
        <v>104</v>
      </c>
      <c r="K266" s="144"/>
      <c r="L266" s="145"/>
      <c r="M266" s="144"/>
    </row>
    <row r="267" spans="1:13" ht="15" customHeight="1">
      <c r="A267" s="146" t="s">
        <v>826</v>
      </c>
      <c r="B267" s="146">
        <v>521483</v>
      </c>
      <c r="C267" s="147" t="s">
        <v>827</v>
      </c>
      <c r="D267" s="146" t="s">
        <v>688</v>
      </c>
      <c r="E267" s="147" t="s">
        <v>828</v>
      </c>
      <c r="F267" s="147" t="s">
        <v>828</v>
      </c>
      <c r="G267" s="146" t="s">
        <v>109</v>
      </c>
      <c r="H267" s="146" t="s">
        <v>55</v>
      </c>
      <c r="I267" s="147" t="s">
        <v>435</v>
      </c>
      <c r="J267" s="147" t="s">
        <v>104</v>
      </c>
      <c r="K267" s="148"/>
      <c r="L267" s="149"/>
      <c r="M267" s="148"/>
    </row>
    <row r="268" spans="1:13" ht="15" customHeight="1">
      <c r="A268" s="142" t="s">
        <v>829</v>
      </c>
      <c r="B268" s="142">
        <v>521515</v>
      </c>
      <c r="C268" s="143" t="s">
        <v>830</v>
      </c>
      <c r="D268" s="142" t="s">
        <v>688</v>
      </c>
      <c r="E268" s="143" t="s">
        <v>688</v>
      </c>
      <c r="F268" s="143" t="s">
        <v>563</v>
      </c>
      <c r="G268" s="142" t="s">
        <v>109</v>
      </c>
      <c r="H268" s="142" t="s">
        <v>55</v>
      </c>
      <c r="I268" s="143" t="s">
        <v>435</v>
      </c>
      <c r="J268" s="143" t="s">
        <v>104</v>
      </c>
      <c r="K268" s="144"/>
      <c r="L268" s="145"/>
      <c r="M268" s="144"/>
    </row>
    <row r="269" spans="1:13" ht="15" customHeight="1">
      <c r="A269" s="146" t="s">
        <v>831</v>
      </c>
      <c r="B269" s="146">
        <v>521798</v>
      </c>
      <c r="C269" s="147" t="s">
        <v>832</v>
      </c>
      <c r="D269" s="146" t="s">
        <v>688</v>
      </c>
      <c r="E269" s="147" t="s">
        <v>833</v>
      </c>
      <c r="F269" s="147" t="s">
        <v>834</v>
      </c>
      <c r="G269" s="146" t="s">
        <v>109</v>
      </c>
      <c r="H269" s="146" t="s">
        <v>55</v>
      </c>
      <c r="I269" s="147" t="s">
        <v>435</v>
      </c>
      <c r="J269" s="147" t="s">
        <v>104</v>
      </c>
      <c r="K269" s="148"/>
      <c r="L269" s="149"/>
      <c r="M269" s="148"/>
    </row>
    <row r="270" spans="1:13" ht="15" customHeight="1">
      <c r="A270" s="142" t="s">
        <v>835</v>
      </c>
      <c r="B270" s="142">
        <v>521425</v>
      </c>
      <c r="C270" s="143" t="s">
        <v>836</v>
      </c>
      <c r="D270" s="142" t="s">
        <v>688</v>
      </c>
      <c r="E270" s="143" t="s">
        <v>706</v>
      </c>
      <c r="F270" s="143" t="s">
        <v>706</v>
      </c>
      <c r="G270" s="142" t="s">
        <v>102</v>
      </c>
      <c r="H270" s="142" t="s">
        <v>55</v>
      </c>
      <c r="I270" s="143" t="s">
        <v>435</v>
      </c>
      <c r="J270" s="143" t="s">
        <v>104</v>
      </c>
      <c r="K270" s="144"/>
      <c r="L270" s="145"/>
      <c r="M270" s="144"/>
    </row>
    <row r="271" spans="1:13" ht="15" customHeight="1">
      <c r="A271" s="146" t="s">
        <v>837</v>
      </c>
      <c r="B271" s="146">
        <v>521433</v>
      </c>
      <c r="C271" s="147" t="s">
        <v>838</v>
      </c>
      <c r="D271" s="146" t="s">
        <v>688</v>
      </c>
      <c r="E271" s="147" t="s">
        <v>706</v>
      </c>
      <c r="F271" s="147" t="s">
        <v>706</v>
      </c>
      <c r="G271" s="146" t="s">
        <v>102</v>
      </c>
      <c r="H271" s="146" t="s">
        <v>55</v>
      </c>
      <c r="I271" s="147" t="s">
        <v>435</v>
      </c>
      <c r="J271" s="147" t="s">
        <v>104</v>
      </c>
      <c r="K271" s="148"/>
      <c r="L271" s="149"/>
      <c r="M271" s="148"/>
    </row>
    <row r="272" spans="1:13" ht="15" customHeight="1">
      <c r="A272" s="142" t="s">
        <v>839</v>
      </c>
      <c r="B272" s="142">
        <v>521485</v>
      </c>
      <c r="C272" s="143" t="s">
        <v>840</v>
      </c>
      <c r="D272" s="142" t="s">
        <v>688</v>
      </c>
      <c r="E272" s="143" t="s">
        <v>841</v>
      </c>
      <c r="F272" s="143" t="s">
        <v>842</v>
      </c>
      <c r="G272" s="142" t="s">
        <v>109</v>
      </c>
      <c r="H272" s="142" t="s">
        <v>55</v>
      </c>
      <c r="I272" s="143" t="s">
        <v>435</v>
      </c>
      <c r="J272" s="143" t="s">
        <v>104</v>
      </c>
      <c r="K272" s="144"/>
      <c r="L272" s="145"/>
      <c r="M272" s="144"/>
    </row>
    <row r="273" spans="1:13" ht="15" customHeight="1">
      <c r="A273" s="146" t="s">
        <v>843</v>
      </c>
      <c r="B273" s="146">
        <v>521522</v>
      </c>
      <c r="C273" s="147" t="s">
        <v>844</v>
      </c>
      <c r="D273" s="146" t="s">
        <v>688</v>
      </c>
      <c r="E273" s="147" t="s">
        <v>688</v>
      </c>
      <c r="F273" s="147" t="s">
        <v>699</v>
      </c>
      <c r="G273" s="146" t="s">
        <v>109</v>
      </c>
      <c r="H273" s="146" t="s">
        <v>55</v>
      </c>
      <c r="I273" s="147" t="s">
        <v>435</v>
      </c>
      <c r="J273" s="147" t="s">
        <v>104</v>
      </c>
      <c r="K273" s="148"/>
      <c r="L273" s="149"/>
      <c r="M273" s="148"/>
    </row>
    <row r="274" spans="1:13" ht="15" customHeight="1">
      <c r="A274" s="142" t="s">
        <v>845</v>
      </c>
      <c r="B274" s="142">
        <v>521497</v>
      </c>
      <c r="C274" s="143" t="s">
        <v>846</v>
      </c>
      <c r="D274" s="142" t="s">
        <v>688</v>
      </c>
      <c r="E274" s="143" t="s">
        <v>833</v>
      </c>
      <c r="F274" s="143" t="s">
        <v>847</v>
      </c>
      <c r="G274" s="142" t="s">
        <v>109</v>
      </c>
      <c r="H274" s="142" t="s">
        <v>55</v>
      </c>
      <c r="I274" s="143" t="s">
        <v>435</v>
      </c>
      <c r="J274" s="143" t="s">
        <v>104</v>
      </c>
      <c r="K274" s="144"/>
      <c r="L274" s="145"/>
      <c r="M274" s="144"/>
    </row>
    <row r="275" spans="1:13" ht="15" customHeight="1">
      <c r="A275" s="146" t="s">
        <v>848</v>
      </c>
      <c r="B275" s="146">
        <v>521454</v>
      </c>
      <c r="C275" s="147" t="s">
        <v>849</v>
      </c>
      <c r="D275" s="146" t="s">
        <v>688</v>
      </c>
      <c r="E275" s="147" t="s">
        <v>770</v>
      </c>
      <c r="F275" s="147" t="s">
        <v>850</v>
      </c>
      <c r="G275" s="146" t="s">
        <v>109</v>
      </c>
      <c r="H275" s="146" t="s">
        <v>55</v>
      </c>
      <c r="I275" s="147" t="s">
        <v>435</v>
      </c>
      <c r="J275" s="147" t="s">
        <v>104</v>
      </c>
      <c r="K275" s="148"/>
      <c r="L275" s="149"/>
      <c r="M275" s="148"/>
    </row>
    <row r="276" spans="1:13" ht="15" customHeight="1">
      <c r="A276" s="142" t="s">
        <v>851</v>
      </c>
      <c r="B276" s="142">
        <v>521551</v>
      </c>
      <c r="C276" s="143" t="s">
        <v>852</v>
      </c>
      <c r="D276" s="142" t="s">
        <v>688</v>
      </c>
      <c r="E276" s="143" t="s">
        <v>853</v>
      </c>
      <c r="F276" s="143" t="s">
        <v>854</v>
      </c>
      <c r="G276" s="142" t="s">
        <v>109</v>
      </c>
      <c r="H276" s="142" t="s">
        <v>55</v>
      </c>
      <c r="I276" s="143" t="s">
        <v>435</v>
      </c>
      <c r="J276" s="143" t="s">
        <v>104</v>
      </c>
      <c r="K276" s="144"/>
      <c r="L276" s="145"/>
      <c r="M276" s="144"/>
    </row>
    <row r="277" spans="1:13" ht="15" customHeight="1">
      <c r="A277" s="146" t="s">
        <v>855</v>
      </c>
      <c r="B277" s="146">
        <v>521799</v>
      </c>
      <c r="C277" s="147" t="s">
        <v>856</v>
      </c>
      <c r="D277" s="146" t="s">
        <v>688</v>
      </c>
      <c r="E277" s="147" t="s">
        <v>833</v>
      </c>
      <c r="F277" s="147" t="s">
        <v>833</v>
      </c>
      <c r="G277" s="146" t="s">
        <v>102</v>
      </c>
      <c r="H277" s="146" t="s">
        <v>55</v>
      </c>
      <c r="I277" s="147" t="s">
        <v>435</v>
      </c>
      <c r="J277" s="147" t="s">
        <v>104</v>
      </c>
      <c r="K277" s="148"/>
      <c r="L277" s="149"/>
      <c r="M277" s="148"/>
    </row>
    <row r="278" spans="1:13" ht="15" customHeight="1">
      <c r="A278" s="142" t="s">
        <v>857</v>
      </c>
      <c r="B278" s="142">
        <v>521429</v>
      </c>
      <c r="C278" s="143" t="s">
        <v>858</v>
      </c>
      <c r="D278" s="142" t="s">
        <v>688</v>
      </c>
      <c r="E278" s="143" t="s">
        <v>706</v>
      </c>
      <c r="F278" s="143" t="s">
        <v>706</v>
      </c>
      <c r="G278" s="142" t="s">
        <v>102</v>
      </c>
      <c r="H278" s="142" t="s">
        <v>55</v>
      </c>
      <c r="I278" s="143" t="s">
        <v>435</v>
      </c>
      <c r="J278" s="143" t="s">
        <v>104</v>
      </c>
      <c r="K278" s="144"/>
      <c r="L278" s="145"/>
      <c r="M278" s="144"/>
    </row>
    <row r="279" spans="1:13" ht="15" customHeight="1">
      <c r="A279" s="146" t="s">
        <v>859</v>
      </c>
      <c r="B279" s="146">
        <v>521448</v>
      </c>
      <c r="C279" s="147" t="s">
        <v>860</v>
      </c>
      <c r="D279" s="146" t="s">
        <v>688</v>
      </c>
      <c r="E279" s="147" t="s">
        <v>725</v>
      </c>
      <c r="F279" s="147" t="s">
        <v>861</v>
      </c>
      <c r="G279" s="146" t="s">
        <v>102</v>
      </c>
      <c r="H279" s="146" t="s">
        <v>55</v>
      </c>
      <c r="I279" s="147" t="s">
        <v>435</v>
      </c>
      <c r="J279" s="147" t="s">
        <v>104</v>
      </c>
      <c r="K279" s="148"/>
      <c r="L279" s="149"/>
      <c r="M279" s="148"/>
    </row>
    <row r="280" spans="1:13" ht="15" customHeight="1">
      <c r="A280" s="142" t="s">
        <v>862</v>
      </c>
      <c r="B280" s="142">
        <v>521481</v>
      </c>
      <c r="C280" s="143" t="s">
        <v>863</v>
      </c>
      <c r="D280" s="142" t="s">
        <v>688</v>
      </c>
      <c r="E280" s="143" t="s">
        <v>864</v>
      </c>
      <c r="F280" s="143" t="s">
        <v>865</v>
      </c>
      <c r="G280" s="142" t="s">
        <v>102</v>
      </c>
      <c r="H280" s="142" t="s">
        <v>55</v>
      </c>
      <c r="I280" s="143" t="s">
        <v>435</v>
      </c>
      <c r="J280" s="143" t="s">
        <v>104</v>
      </c>
      <c r="K280" s="144"/>
      <c r="L280" s="145"/>
      <c r="M280" s="144"/>
    </row>
    <row r="281" spans="1:13" ht="15" customHeight="1">
      <c r="A281" s="146" t="s">
        <v>866</v>
      </c>
      <c r="B281" s="146">
        <v>521484</v>
      </c>
      <c r="C281" s="147" t="s">
        <v>867</v>
      </c>
      <c r="D281" s="146" t="s">
        <v>688</v>
      </c>
      <c r="E281" s="147" t="s">
        <v>868</v>
      </c>
      <c r="F281" s="147" t="s">
        <v>869</v>
      </c>
      <c r="G281" s="146" t="s">
        <v>109</v>
      </c>
      <c r="H281" s="146" t="s">
        <v>55</v>
      </c>
      <c r="I281" s="147" t="s">
        <v>435</v>
      </c>
      <c r="J281" s="147" t="s">
        <v>104</v>
      </c>
      <c r="K281" s="148"/>
      <c r="L281" s="149"/>
      <c r="M281" s="148"/>
    </row>
    <row r="282" spans="1:13" ht="15" customHeight="1">
      <c r="A282" s="142" t="s">
        <v>870</v>
      </c>
      <c r="B282" s="142">
        <v>521474</v>
      </c>
      <c r="C282" s="143" t="s">
        <v>871</v>
      </c>
      <c r="D282" s="142" t="s">
        <v>688</v>
      </c>
      <c r="E282" s="143" t="s">
        <v>872</v>
      </c>
      <c r="F282" s="143" t="s">
        <v>873</v>
      </c>
      <c r="G282" s="142" t="s">
        <v>109</v>
      </c>
      <c r="H282" s="142" t="s">
        <v>55</v>
      </c>
      <c r="I282" s="143" t="s">
        <v>435</v>
      </c>
      <c r="J282" s="143" t="s">
        <v>104</v>
      </c>
      <c r="K282" s="144"/>
      <c r="L282" s="145"/>
      <c r="M282" s="144"/>
    </row>
    <row r="283" spans="1:13" ht="15" customHeight="1">
      <c r="A283" s="146" t="s">
        <v>874</v>
      </c>
      <c r="B283" s="146">
        <v>521465</v>
      </c>
      <c r="C283" s="147" t="s">
        <v>875</v>
      </c>
      <c r="D283" s="146" t="s">
        <v>688</v>
      </c>
      <c r="E283" s="147" t="s">
        <v>876</v>
      </c>
      <c r="F283" s="147" t="s">
        <v>877</v>
      </c>
      <c r="G283" s="146" t="s">
        <v>109</v>
      </c>
      <c r="H283" s="146" t="s">
        <v>55</v>
      </c>
      <c r="I283" s="147" t="s">
        <v>435</v>
      </c>
      <c r="J283" s="147" t="s">
        <v>104</v>
      </c>
      <c r="K283" s="148"/>
      <c r="L283" s="149"/>
      <c r="M283" s="148"/>
    </row>
    <row r="284" spans="1:13" ht="15" customHeight="1">
      <c r="A284" s="142" t="s">
        <v>878</v>
      </c>
      <c r="B284" s="142">
        <v>513013</v>
      </c>
      <c r="C284" s="143" t="s">
        <v>879</v>
      </c>
      <c r="D284" s="142" t="s">
        <v>688</v>
      </c>
      <c r="E284" s="143" t="s">
        <v>740</v>
      </c>
      <c r="F284" s="143" t="s">
        <v>880</v>
      </c>
      <c r="G284" s="142" t="s">
        <v>109</v>
      </c>
      <c r="H284" s="142" t="s">
        <v>55</v>
      </c>
      <c r="I284" s="143" t="s">
        <v>435</v>
      </c>
      <c r="J284" s="143" t="s">
        <v>104</v>
      </c>
      <c r="K284" s="144"/>
      <c r="L284" s="145"/>
      <c r="M284" s="144"/>
    </row>
    <row r="285" spans="1:13" ht="15" customHeight="1">
      <c r="A285" s="146" t="s">
        <v>881</v>
      </c>
      <c r="B285" s="146">
        <v>521543</v>
      </c>
      <c r="C285" s="147" t="s">
        <v>882</v>
      </c>
      <c r="D285" s="146" t="s">
        <v>688</v>
      </c>
      <c r="E285" s="147" t="s">
        <v>740</v>
      </c>
      <c r="F285" s="147" t="s">
        <v>740</v>
      </c>
      <c r="G285" s="146" t="s">
        <v>109</v>
      </c>
      <c r="H285" s="146" t="s">
        <v>55</v>
      </c>
      <c r="I285" s="147" t="s">
        <v>435</v>
      </c>
      <c r="J285" s="147" t="s">
        <v>104</v>
      </c>
      <c r="K285" s="148"/>
      <c r="L285" s="149"/>
      <c r="M285" s="148"/>
    </row>
    <row r="286" spans="1:13" ht="15" customHeight="1">
      <c r="A286" s="142" t="s">
        <v>883</v>
      </c>
      <c r="B286" s="142">
        <v>521540</v>
      </c>
      <c r="C286" s="143" t="s">
        <v>884</v>
      </c>
      <c r="D286" s="142" t="s">
        <v>688</v>
      </c>
      <c r="E286" s="143" t="s">
        <v>510</v>
      </c>
      <c r="F286" s="143" t="s">
        <v>885</v>
      </c>
      <c r="G286" s="142" t="s">
        <v>109</v>
      </c>
      <c r="H286" s="142" t="s">
        <v>55</v>
      </c>
      <c r="I286" s="143" t="s">
        <v>435</v>
      </c>
      <c r="J286" s="143" t="s">
        <v>104</v>
      </c>
      <c r="K286" s="144"/>
      <c r="L286" s="145"/>
      <c r="M286" s="144"/>
    </row>
    <row r="287" spans="1:13" ht="15" customHeight="1">
      <c r="A287" s="146" t="s">
        <v>886</v>
      </c>
      <c r="B287" s="146">
        <v>521466</v>
      </c>
      <c r="C287" s="147" t="s">
        <v>887</v>
      </c>
      <c r="D287" s="146" t="s">
        <v>688</v>
      </c>
      <c r="E287" s="147" t="s">
        <v>563</v>
      </c>
      <c r="F287" s="147" t="s">
        <v>888</v>
      </c>
      <c r="G287" s="146" t="s">
        <v>109</v>
      </c>
      <c r="H287" s="146" t="s">
        <v>55</v>
      </c>
      <c r="I287" s="147" t="s">
        <v>435</v>
      </c>
      <c r="J287" s="147" t="s">
        <v>104</v>
      </c>
      <c r="K287" s="148"/>
      <c r="L287" s="149"/>
      <c r="M287" s="148"/>
    </row>
    <row r="288" spans="1:13" ht="15" customHeight="1">
      <c r="A288" s="142" t="s">
        <v>889</v>
      </c>
      <c r="B288" s="142">
        <v>521498</v>
      </c>
      <c r="C288" s="143" t="s">
        <v>890</v>
      </c>
      <c r="D288" s="142" t="s">
        <v>688</v>
      </c>
      <c r="E288" s="143" t="s">
        <v>891</v>
      </c>
      <c r="F288" s="143" t="s">
        <v>892</v>
      </c>
      <c r="G288" s="142" t="s">
        <v>109</v>
      </c>
      <c r="H288" s="142" t="s">
        <v>55</v>
      </c>
      <c r="I288" s="143" t="s">
        <v>435</v>
      </c>
      <c r="J288" s="143" t="s">
        <v>104</v>
      </c>
      <c r="K288" s="144"/>
      <c r="L288" s="145"/>
      <c r="M288" s="144"/>
    </row>
    <row r="289" spans="1:13" ht="15" customHeight="1">
      <c r="A289" s="146" t="s">
        <v>893</v>
      </c>
      <c r="B289" s="146">
        <v>521431</v>
      </c>
      <c r="C289" s="147" t="s">
        <v>894</v>
      </c>
      <c r="D289" s="146" t="s">
        <v>688</v>
      </c>
      <c r="E289" s="147" t="s">
        <v>706</v>
      </c>
      <c r="F289" s="147" t="s">
        <v>706</v>
      </c>
      <c r="G289" s="146" t="s">
        <v>102</v>
      </c>
      <c r="H289" s="146" t="s">
        <v>55</v>
      </c>
      <c r="I289" s="147" t="s">
        <v>435</v>
      </c>
      <c r="J289" s="147" t="s">
        <v>104</v>
      </c>
      <c r="K289" s="148"/>
      <c r="L289" s="149"/>
      <c r="M289" s="148"/>
    </row>
    <row r="290" spans="1:13" ht="15" customHeight="1">
      <c r="A290" s="142" t="s">
        <v>895</v>
      </c>
      <c r="B290" s="142">
        <v>521493</v>
      </c>
      <c r="C290" s="143" t="s">
        <v>896</v>
      </c>
      <c r="D290" s="142" t="s">
        <v>688</v>
      </c>
      <c r="E290" s="143" t="s">
        <v>456</v>
      </c>
      <c r="F290" s="143" t="s">
        <v>897</v>
      </c>
      <c r="G290" s="142" t="s">
        <v>109</v>
      </c>
      <c r="H290" s="142" t="s">
        <v>55</v>
      </c>
      <c r="I290" s="143" t="s">
        <v>435</v>
      </c>
      <c r="J290" s="143" t="s">
        <v>104</v>
      </c>
      <c r="K290" s="144"/>
      <c r="L290" s="145"/>
      <c r="M290" s="144"/>
    </row>
    <row r="291" spans="1:13" ht="15" customHeight="1">
      <c r="A291" s="146" t="s">
        <v>898</v>
      </c>
      <c r="B291" s="146">
        <v>521533</v>
      </c>
      <c r="C291" s="147" t="s">
        <v>899</v>
      </c>
      <c r="D291" s="146" t="s">
        <v>688</v>
      </c>
      <c r="E291" s="147" t="s">
        <v>731</v>
      </c>
      <c r="F291" s="147" t="s">
        <v>900</v>
      </c>
      <c r="G291" s="146" t="s">
        <v>109</v>
      </c>
      <c r="H291" s="146" t="s">
        <v>55</v>
      </c>
      <c r="I291" s="147" t="s">
        <v>435</v>
      </c>
      <c r="J291" s="147" t="s">
        <v>104</v>
      </c>
      <c r="K291" s="148"/>
      <c r="L291" s="149"/>
      <c r="M291" s="148"/>
    </row>
    <row r="292" spans="1:13" ht="15" customHeight="1">
      <c r="A292" s="142" t="s">
        <v>901</v>
      </c>
      <c r="B292" s="142">
        <v>521467</v>
      </c>
      <c r="C292" s="143" t="s">
        <v>902</v>
      </c>
      <c r="D292" s="142" t="s">
        <v>688</v>
      </c>
      <c r="E292" s="143" t="s">
        <v>876</v>
      </c>
      <c r="F292" s="143" t="s">
        <v>903</v>
      </c>
      <c r="G292" s="142" t="s">
        <v>109</v>
      </c>
      <c r="H292" s="142" t="s">
        <v>55</v>
      </c>
      <c r="I292" s="143" t="s">
        <v>435</v>
      </c>
      <c r="J292" s="143" t="s">
        <v>104</v>
      </c>
      <c r="K292" s="144"/>
      <c r="L292" s="145"/>
      <c r="M292" s="144"/>
    </row>
    <row r="293" spans="1:13" ht="15" customHeight="1">
      <c r="A293" s="146" t="s">
        <v>904</v>
      </c>
      <c r="B293" s="146">
        <v>521520</v>
      </c>
      <c r="C293" s="147" t="s">
        <v>905</v>
      </c>
      <c r="D293" s="146" t="s">
        <v>688</v>
      </c>
      <c r="E293" s="147" t="s">
        <v>906</v>
      </c>
      <c r="F293" s="147" t="s">
        <v>907</v>
      </c>
      <c r="G293" s="146" t="s">
        <v>109</v>
      </c>
      <c r="H293" s="146" t="s">
        <v>55</v>
      </c>
      <c r="I293" s="147" t="s">
        <v>435</v>
      </c>
      <c r="J293" s="147" t="s">
        <v>104</v>
      </c>
      <c r="K293" s="148"/>
      <c r="L293" s="149"/>
      <c r="M293" s="148"/>
    </row>
    <row r="294" spans="1:13" ht="15" customHeight="1">
      <c r="A294" s="142" t="s">
        <v>908</v>
      </c>
      <c r="B294" s="142">
        <v>521688</v>
      </c>
      <c r="C294" s="143" t="s">
        <v>909</v>
      </c>
      <c r="D294" s="142" t="s">
        <v>688</v>
      </c>
      <c r="E294" s="143" t="s">
        <v>864</v>
      </c>
      <c r="F294" s="143" t="s">
        <v>910</v>
      </c>
      <c r="G294" s="142" t="s">
        <v>109</v>
      </c>
      <c r="H294" s="142" t="s">
        <v>55</v>
      </c>
      <c r="I294" s="143" t="s">
        <v>435</v>
      </c>
      <c r="J294" s="143" t="s">
        <v>104</v>
      </c>
      <c r="K294" s="144"/>
      <c r="L294" s="145"/>
      <c r="M294" s="144"/>
    </row>
    <row r="295" spans="1:13" ht="15" customHeight="1">
      <c r="A295" s="146" t="s">
        <v>911</v>
      </c>
      <c r="B295" s="146">
        <v>521421</v>
      </c>
      <c r="C295" s="147" t="s">
        <v>912</v>
      </c>
      <c r="D295" s="146" t="s">
        <v>688</v>
      </c>
      <c r="E295" s="147" t="s">
        <v>688</v>
      </c>
      <c r="F295" s="147" t="s">
        <v>913</v>
      </c>
      <c r="G295" s="146" t="s">
        <v>109</v>
      </c>
      <c r="H295" s="146" t="s">
        <v>55</v>
      </c>
      <c r="I295" s="147" t="s">
        <v>435</v>
      </c>
      <c r="J295" s="147" t="s">
        <v>104</v>
      </c>
      <c r="K295" s="148"/>
      <c r="L295" s="149"/>
      <c r="M295" s="148"/>
    </row>
    <row r="296" spans="1:13" ht="15" customHeight="1">
      <c r="A296" s="142" t="s">
        <v>914</v>
      </c>
      <c r="B296" s="142">
        <v>521524</v>
      </c>
      <c r="C296" s="143" t="s">
        <v>915</v>
      </c>
      <c r="D296" s="142" t="s">
        <v>688</v>
      </c>
      <c r="E296" s="143" t="s">
        <v>770</v>
      </c>
      <c r="F296" s="143" t="s">
        <v>916</v>
      </c>
      <c r="G296" s="142" t="s">
        <v>109</v>
      </c>
      <c r="H296" s="142" t="s">
        <v>55</v>
      </c>
      <c r="I296" s="143" t="s">
        <v>435</v>
      </c>
      <c r="J296" s="143" t="s">
        <v>104</v>
      </c>
      <c r="K296" s="144"/>
      <c r="L296" s="145"/>
      <c r="M296" s="144"/>
    </row>
    <row r="297" spans="1:13" ht="15" customHeight="1">
      <c r="A297" s="146" t="s">
        <v>917</v>
      </c>
      <c r="B297" s="146">
        <v>521452</v>
      </c>
      <c r="C297" s="147" t="s">
        <v>918</v>
      </c>
      <c r="D297" s="146" t="s">
        <v>688</v>
      </c>
      <c r="E297" s="147" t="s">
        <v>770</v>
      </c>
      <c r="F297" s="147" t="s">
        <v>919</v>
      </c>
      <c r="G297" s="146" t="s">
        <v>109</v>
      </c>
      <c r="H297" s="146" t="s">
        <v>55</v>
      </c>
      <c r="I297" s="147" t="s">
        <v>435</v>
      </c>
      <c r="J297" s="147" t="s">
        <v>104</v>
      </c>
      <c r="K297" s="148"/>
      <c r="L297" s="149"/>
      <c r="M297" s="148"/>
    </row>
    <row r="298" spans="1:13" ht="15" customHeight="1">
      <c r="A298" s="142" t="s">
        <v>920</v>
      </c>
      <c r="B298" s="142">
        <v>521523</v>
      </c>
      <c r="C298" s="143" t="s">
        <v>921</v>
      </c>
      <c r="D298" s="142" t="s">
        <v>688</v>
      </c>
      <c r="E298" s="143" t="s">
        <v>702</v>
      </c>
      <c r="F298" s="143" t="s">
        <v>922</v>
      </c>
      <c r="G298" s="142" t="s">
        <v>109</v>
      </c>
      <c r="H298" s="142" t="s">
        <v>55</v>
      </c>
      <c r="I298" s="143" t="s">
        <v>435</v>
      </c>
      <c r="J298" s="143" t="s">
        <v>104</v>
      </c>
      <c r="K298" s="144"/>
      <c r="L298" s="145"/>
      <c r="M298" s="144"/>
    </row>
    <row r="299" spans="1:13" ht="15" customHeight="1">
      <c r="A299" s="146" t="s">
        <v>923</v>
      </c>
      <c r="B299" s="146">
        <v>521427</v>
      </c>
      <c r="C299" s="147" t="s">
        <v>924</v>
      </c>
      <c r="D299" s="146" t="s">
        <v>688</v>
      </c>
      <c r="E299" s="147" t="s">
        <v>706</v>
      </c>
      <c r="F299" s="147" t="s">
        <v>706</v>
      </c>
      <c r="G299" s="146" t="s">
        <v>102</v>
      </c>
      <c r="H299" s="146" t="s">
        <v>55</v>
      </c>
      <c r="I299" s="147" t="s">
        <v>435</v>
      </c>
      <c r="J299" s="147" t="s">
        <v>104</v>
      </c>
      <c r="K299" s="148"/>
      <c r="L299" s="149"/>
      <c r="M299" s="148"/>
    </row>
    <row r="300" spans="1:13" ht="15" customHeight="1">
      <c r="A300" s="142" t="s">
        <v>925</v>
      </c>
      <c r="B300" s="142">
        <v>521476</v>
      </c>
      <c r="C300" s="143" t="s">
        <v>926</v>
      </c>
      <c r="D300" s="142" t="s">
        <v>688</v>
      </c>
      <c r="E300" s="143" t="s">
        <v>715</v>
      </c>
      <c r="F300" s="143" t="s">
        <v>716</v>
      </c>
      <c r="G300" s="142" t="s">
        <v>109</v>
      </c>
      <c r="H300" s="142" t="s">
        <v>55</v>
      </c>
      <c r="I300" s="143" t="s">
        <v>435</v>
      </c>
      <c r="J300" s="143" t="s">
        <v>104</v>
      </c>
      <c r="K300" s="144"/>
      <c r="L300" s="145"/>
      <c r="M300" s="144"/>
    </row>
    <row r="301" spans="1:13" ht="15" customHeight="1">
      <c r="A301" s="146" t="s">
        <v>927</v>
      </c>
      <c r="B301" s="146">
        <v>521548</v>
      </c>
      <c r="C301" s="147" t="s">
        <v>928</v>
      </c>
      <c r="D301" s="146" t="s">
        <v>688</v>
      </c>
      <c r="E301" s="147" t="s">
        <v>510</v>
      </c>
      <c r="F301" s="147" t="s">
        <v>929</v>
      </c>
      <c r="G301" s="146" t="s">
        <v>109</v>
      </c>
      <c r="H301" s="146" t="s">
        <v>55</v>
      </c>
      <c r="I301" s="147" t="s">
        <v>435</v>
      </c>
      <c r="J301" s="147" t="s">
        <v>104</v>
      </c>
      <c r="K301" s="148"/>
      <c r="L301" s="149"/>
      <c r="M301" s="148"/>
    </row>
    <row r="302" spans="1:13" ht="15" customHeight="1">
      <c r="A302" s="142" t="s">
        <v>930</v>
      </c>
      <c r="B302" s="142">
        <v>521432</v>
      </c>
      <c r="C302" s="143" t="s">
        <v>931</v>
      </c>
      <c r="D302" s="142" t="s">
        <v>688</v>
      </c>
      <c r="E302" s="143" t="s">
        <v>706</v>
      </c>
      <c r="F302" s="143" t="s">
        <v>706</v>
      </c>
      <c r="G302" s="142" t="s">
        <v>102</v>
      </c>
      <c r="H302" s="142" t="s">
        <v>55</v>
      </c>
      <c r="I302" s="143" t="s">
        <v>435</v>
      </c>
      <c r="J302" s="143" t="s">
        <v>104</v>
      </c>
      <c r="K302" s="144"/>
      <c r="L302" s="145"/>
      <c r="M302" s="144"/>
    </row>
    <row r="303" spans="1:13" ht="15" customHeight="1">
      <c r="A303" s="146" t="s">
        <v>932</v>
      </c>
      <c r="B303" s="146">
        <v>521508</v>
      </c>
      <c r="C303" s="147" t="s">
        <v>933</v>
      </c>
      <c r="D303" s="146" t="s">
        <v>688</v>
      </c>
      <c r="E303" s="147" t="s">
        <v>934</v>
      </c>
      <c r="F303" s="147" t="s">
        <v>935</v>
      </c>
      <c r="G303" s="146" t="s">
        <v>109</v>
      </c>
      <c r="H303" s="146" t="s">
        <v>55</v>
      </c>
      <c r="I303" s="147" t="s">
        <v>435</v>
      </c>
      <c r="J303" s="147" t="s">
        <v>104</v>
      </c>
      <c r="K303" s="148"/>
      <c r="L303" s="149"/>
      <c r="M303" s="148"/>
    </row>
    <row r="304" spans="1:13" ht="15" customHeight="1">
      <c r="A304" s="142" t="s">
        <v>936</v>
      </c>
      <c r="B304" s="142">
        <v>521470</v>
      </c>
      <c r="C304" s="143" t="s">
        <v>937</v>
      </c>
      <c r="D304" s="142" t="s">
        <v>688</v>
      </c>
      <c r="E304" s="143" t="s">
        <v>841</v>
      </c>
      <c r="F304" s="143" t="s">
        <v>548</v>
      </c>
      <c r="G304" s="142" t="s">
        <v>109</v>
      </c>
      <c r="H304" s="142" t="s">
        <v>55</v>
      </c>
      <c r="I304" s="143" t="s">
        <v>435</v>
      </c>
      <c r="J304" s="143" t="s">
        <v>104</v>
      </c>
      <c r="K304" s="144"/>
      <c r="L304" s="145"/>
      <c r="M304" s="144"/>
    </row>
    <row r="305" spans="1:13" ht="15" customHeight="1">
      <c r="A305" s="146" t="s">
        <v>938</v>
      </c>
      <c r="B305" s="146">
        <v>521479</v>
      </c>
      <c r="C305" s="147" t="s">
        <v>939</v>
      </c>
      <c r="D305" s="146" t="s">
        <v>688</v>
      </c>
      <c r="E305" s="147" t="s">
        <v>940</v>
      </c>
      <c r="F305" s="147" t="s">
        <v>940</v>
      </c>
      <c r="G305" s="146" t="s">
        <v>109</v>
      </c>
      <c r="H305" s="146" t="s">
        <v>55</v>
      </c>
      <c r="I305" s="147" t="s">
        <v>435</v>
      </c>
      <c r="J305" s="147" t="s">
        <v>104</v>
      </c>
      <c r="K305" s="148"/>
      <c r="L305" s="149"/>
      <c r="M305" s="148"/>
    </row>
    <row r="306" spans="1:13" ht="15" customHeight="1">
      <c r="A306" s="142" t="s">
        <v>941</v>
      </c>
      <c r="B306" s="142">
        <v>521506</v>
      </c>
      <c r="C306" s="143" t="s">
        <v>942</v>
      </c>
      <c r="D306" s="142" t="s">
        <v>688</v>
      </c>
      <c r="E306" s="143" t="s">
        <v>943</v>
      </c>
      <c r="F306" s="143" t="s">
        <v>944</v>
      </c>
      <c r="G306" s="142" t="s">
        <v>109</v>
      </c>
      <c r="H306" s="142" t="s">
        <v>55</v>
      </c>
      <c r="I306" s="143" t="s">
        <v>435</v>
      </c>
      <c r="J306" s="143" t="s">
        <v>104</v>
      </c>
      <c r="K306" s="144"/>
      <c r="L306" s="145"/>
      <c r="M306" s="144"/>
    </row>
    <row r="307" spans="1:13" ht="15" customHeight="1">
      <c r="A307" s="146" t="s">
        <v>945</v>
      </c>
      <c r="B307" s="146">
        <v>521491</v>
      </c>
      <c r="C307" s="147" t="s">
        <v>946</v>
      </c>
      <c r="D307" s="146" t="s">
        <v>688</v>
      </c>
      <c r="E307" s="147" t="s">
        <v>947</v>
      </c>
      <c r="F307" s="147" t="s">
        <v>948</v>
      </c>
      <c r="G307" s="146" t="s">
        <v>109</v>
      </c>
      <c r="H307" s="146" t="s">
        <v>55</v>
      </c>
      <c r="I307" s="147" t="s">
        <v>435</v>
      </c>
      <c r="J307" s="147" t="s">
        <v>104</v>
      </c>
      <c r="K307" s="148"/>
      <c r="L307" s="149"/>
      <c r="M307" s="148"/>
    </row>
    <row r="308" spans="1:13" ht="15" customHeight="1">
      <c r="A308" s="142" t="s">
        <v>949</v>
      </c>
      <c r="B308" s="142">
        <v>521517</v>
      </c>
      <c r="C308" s="143" t="s">
        <v>950</v>
      </c>
      <c r="D308" s="142" t="s">
        <v>688</v>
      </c>
      <c r="E308" s="143" t="s">
        <v>767</v>
      </c>
      <c r="F308" s="143" t="s">
        <v>688</v>
      </c>
      <c r="G308" s="142" t="s">
        <v>109</v>
      </c>
      <c r="H308" s="142" t="s">
        <v>55</v>
      </c>
      <c r="I308" s="143" t="s">
        <v>435</v>
      </c>
      <c r="J308" s="143" t="s">
        <v>104</v>
      </c>
      <c r="K308" s="144"/>
      <c r="L308" s="145"/>
      <c r="M308" s="144"/>
    </row>
    <row r="309" spans="1:13" ht="15" customHeight="1">
      <c r="A309" s="146" t="s">
        <v>951</v>
      </c>
      <c r="B309" s="146">
        <v>521511</v>
      </c>
      <c r="C309" s="147" t="s">
        <v>952</v>
      </c>
      <c r="D309" s="146" t="s">
        <v>688</v>
      </c>
      <c r="E309" s="147" t="s">
        <v>767</v>
      </c>
      <c r="F309" s="147" t="s">
        <v>953</v>
      </c>
      <c r="G309" s="146" t="s">
        <v>109</v>
      </c>
      <c r="H309" s="146" t="s">
        <v>55</v>
      </c>
      <c r="I309" s="147" t="s">
        <v>435</v>
      </c>
      <c r="J309" s="147" t="s">
        <v>104</v>
      </c>
      <c r="K309" s="148" t="s">
        <v>162</v>
      </c>
      <c r="L309" s="149">
        <v>46151</v>
      </c>
      <c r="M309" s="148"/>
    </row>
    <row r="310" spans="1:13" ht="15" customHeight="1">
      <c r="A310" s="142" t="s">
        <v>954</v>
      </c>
      <c r="B310" s="142">
        <v>521518</v>
      </c>
      <c r="C310" s="143" t="s">
        <v>955</v>
      </c>
      <c r="D310" s="142" t="s">
        <v>688</v>
      </c>
      <c r="E310" s="143" t="s">
        <v>767</v>
      </c>
      <c r="F310" s="143" t="s">
        <v>956</v>
      </c>
      <c r="G310" s="142" t="s">
        <v>109</v>
      </c>
      <c r="H310" s="142" t="s">
        <v>55</v>
      </c>
      <c r="I310" s="143" t="s">
        <v>435</v>
      </c>
      <c r="J310" s="143" t="s">
        <v>104</v>
      </c>
      <c r="K310" s="144" t="s">
        <v>162</v>
      </c>
      <c r="L310" s="145">
        <v>46151</v>
      </c>
      <c r="M310" s="144"/>
    </row>
    <row r="311" spans="1:13" ht="15" customHeight="1">
      <c r="A311" s="146" t="s">
        <v>957</v>
      </c>
      <c r="B311" s="146">
        <v>521449</v>
      </c>
      <c r="C311" s="147" t="s">
        <v>958</v>
      </c>
      <c r="D311" s="146" t="s">
        <v>688</v>
      </c>
      <c r="E311" s="147" t="s">
        <v>725</v>
      </c>
      <c r="F311" s="147" t="s">
        <v>725</v>
      </c>
      <c r="G311" s="146" t="s">
        <v>102</v>
      </c>
      <c r="H311" s="146" t="s">
        <v>55</v>
      </c>
      <c r="I311" s="147" t="s">
        <v>435</v>
      </c>
      <c r="J311" s="147" t="s">
        <v>104</v>
      </c>
      <c r="K311" s="148"/>
      <c r="L311" s="149"/>
      <c r="M311" s="148"/>
    </row>
    <row r="312" spans="1:13" ht="15" customHeight="1">
      <c r="A312" s="142" t="s">
        <v>959</v>
      </c>
      <c r="B312" s="142">
        <v>521428</v>
      </c>
      <c r="C312" s="143" t="s">
        <v>390</v>
      </c>
      <c r="D312" s="142" t="s">
        <v>688</v>
      </c>
      <c r="E312" s="143" t="s">
        <v>706</v>
      </c>
      <c r="F312" s="143" t="s">
        <v>706</v>
      </c>
      <c r="G312" s="142" t="s">
        <v>102</v>
      </c>
      <c r="H312" s="142" t="s">
        <v>55</v>
      </c>
      <c r="I312" s="143" t="s">
        <v>435</v>
      </c>
      <c r="J312" s="143" t="s">
        <v>104</v>
      </c>
      <c r="K312" s="144"/>
      <c r="L312" s="145"/>
      <c r="M312" s="144"/>
    </row>
    <row r="313" spans="1:13" ht="15" customHeight="1">
      <c r="A313" s="146" t="s">
        <v>960</v>
      </c>
      <c r="B313" s="146">
        <v>521453</v>
      </c>
      <c r="C313" s="147" t="s">
        <v>961</v>
      </c>
      <c r="D313" s="146" t="s">
        <v>688</v>
      </c>
      <c r="E313" s="147" t="s">
        <v>702</v>
      </c>
      <c r="F313" s="147" t="s">
        <v>962</v>
      </c>
      <c r="G313" s="146" t="s">
        <v>109</v>
      </c>
      <c r="H313" s="146" t="s">
        <v>55</v>
      </c>
      <c r="I313" s="147" t="s">
        <v>435</v>
      </c>
      <c r="J313" s="147" t="s">
        <v>104</v>
      </c>
      <c r="K313" s="148" t="s">
        <v>121</v>
      </c>
      <c r="L313" s="149">
        <v>46153</v>
      </c>
      <c r="M313" s="148"/>
    </row>
    <row r="314" spans="1:13" ht="15" customHeight="1">
      <c r="A314" s="142" t="s">
        <v>963</v>
      </c>
      <c r="B314" s="142">
        <v>521486</v>
      </c>
      <c r="C314" s="143" t="s">
        <v>964</v>
      </c>
      <c r="D314" s="142" t="s">
        <v>688</v>
      </c>
      <c r="E314" s="143" t="s">
        <v>841</v>
      </c>
      <c r="F314" s="143" t="s">
        <v>965</v>
      </c>
      <c r="G314" s="142" t="s">
        <v>109</v>
      </c>
      <c r="H314" s="142" t="s">
        <v>55</v>
      </c>
      <c r="I314" s="143" t="s">
        <v>435</v>
      </c>
      <c r="J314" s="143" t="s">
        <v>104</v>
      </c>
      <c r="K314" s="144"/>
      <c r="L314" s="145"/>
      <c r="M314" s="144"/>
    </row>
    <row r="315" spans="1:13" ht="15" customHeight="1">
      <c r="A315" s="146" t="s">
        <v>966</v>
      </c>
      <c r="B315" s="146">
        <v>521471</v>
      </c>
      <c r="C315" s="147" t="s">
        <v>967</v>
      </c>
      <c r="D315" s="146" t="s">
        <v>688</v>
      </c>
      <c r="E315" s="147" t="s">
        <v>770</v>
      </c>
      <c r="F315" s="147" t="s">
        <v>770</v>
      </c>
      <c r="G315" s="146" t="s">
        <v>109</v>
      </c>
      <c r="H315" s="146" t="s">
        <v>55</v>
      </c>
      <c r="I315" s="147" t="s">
        <v>435</v>
      </c>
      <c r="J315" s="147" t="s">
        <v>104</v>
      </c>
      <c r="K315" s="148"/>
      <c r="L315" s="149"/>
      <c r="M315" s="148"/>
    </row>
    <row r="316" spans="1:13" ht="15" customHeight="1">
      <c r="A316" s="142" t="s">
        <v>968</v>
      </c>
      <c r="B316" s="142">
        <v>521510</v>
      </c>
      <c r="C316" s="143" t="s">
        <v>969</v>
      </c>
      <c r="D316" s="142" t="s">
        <v>688</v>
      </c>
      <c r="E316" s="143" t="s">
        <v>767</v>
      </c>
      <c r="F316" s="143" t="s">
        <v>970</v>
      </c>
      <c r="G316" s="142" t="s">
        <v>109</v>
      </c>
      <c r="H316" s="142" t="s">
        <v>55</v>
      </c>
      <c r="I316" s="143" t="s">
        <v>435</v>
      </c>
      <c r="J316" s="143" t="s">
        <v>104</v>
      </c>
      <c r="K316" s="144" t="s">
        <v>121</v>
      </c>
      <c r="L316" s="145">
        <v>46150</v>
      </c>
      <c r="M316" s="144"/>
    </row>
    <row r="317" spans="1:13" ht="15" customHeight="1">
      <c r="A317" s="146" t="s">
        <v>971</v>
      </c>
      <c r="B317" s="146">
        <v>521426</v>
      </c>
      <c r="C317" s="147" t="s">
        <v>972</v>
      </c>
      <c r="D317" s="146" t="s">
        <v>688</v>
      </c>
      <c r="E317" s="147" t="s">
        <v>456</v>
      </c>
      <c r="F317" s="147" t="s">
        <v>973</v>
      </c>
      <c r="G317" s="146" t="s">
        <v>109</v>
      </c>
      <c r="H317" s="146" t="s">
        <v>55</v>
      </c>
      <c r="I317" s="147" t="s">
        <v>435</v>
      </c>
      <c r="J317" s="147" t="s">
        <v>104</v>
      </c>
      <c r="K317" s="148" t="s">
        <v>121</v>
      </c>
      <c r="L317" s="149">
        <v>46153</v>
      </c>
      <c r="M317" s="148"/>
    </row>
    <row r="318" spans="1:13" ht="15" customHeight="1">
      <c r="A318" s="142" t="s">
        <v>974</v>
      </c>
      <c r="B318" s="142">
        <v>521536</v>
      </c>
      <c r="C318" s="143" t="s">
        <v>975</v>
      </c>
      <c r="D318" s="142" t="s">
        <v>688</v>
      </c>
      <c r="E318" s="143" t="s">
        <v>814</v>
      </c>
      <c r="F318" s="143" t="s">
        <v>815</v>
      </c>
      <c r="G318" s="142" t="s">
        <v>109</v>
      </c>
      <c r="H318" s="142" t="s">
        <v>55</v>
      </c>
      <c r="I318" s="143" t="s">
        <v>435</v>
      </c>
      <c r="J318" s="143" t="s">
        <v>104</v>
      </c>
      <c r="K318" s="144"/>
      <c r="L318" s="145"/>
      <c r="M318" s="144"/>
    </row>
    <row r="319" spans="1:13" ht="15" customHeight="1">
      <c r="A319" s="146" t="s">
        <v>976</v>
      </c>
      <c r="B319" s="146">
        <v>521418</v>
      </c>
      <c r="C319" s="147" t="s">
        <v>977</v>
      </c>
      <c r="D319" s="146" t="s">
        <v>688</v>
      </c>
      <c r="E319" s="147" t="s">
        <v>853</v>
      </c>
      <c r="F319" s="147" t="s">
        <v>688</v>
      </c>
      <c r="G319" s="146" t="s">
        <v>109</v>
      </c>
      <c r="H319" s="146" t="s">
        <v>55</v>
      </c>
      <c r="I319" s="147" t="s">
        <v>435</v>
      </c>
      <c r="J319" s="147" t="s">
        <v>104</v>
      </c>
      <c r="K319" s="148"/>
      <c r="L319" s="149"/>
      <c r="M319" s="148"/>
    </row>
    <row r="320" spans="1:13" ht="15" customHeight="1">
      <c r="A320" s="142" t="s">
        <v>978</v>
      </c>
      <c r="B320" s="142">
        <v>521504</v>
      </c>
      <c r="C320" s="143" t="s">
        <v>979</v>
      </c>
      <c r="D320" s="142" t="s">
        <v>688</v>
      </c>
      <c r="E320" s="143" t="s">
        <v>510</v>
      </c>
      <c r="F320" s="143" t="s">
        <v>777</v>
      </c>
      <c r="G320" s="142" t="s">
        <v>109</v>
      </c>
      <c r="H320" s="142" t="s">
        <v>55</v>
      </c>
      <c r="I320" s="143" t="s">
        <v>435</v>
      </c>
      <c r="J320" s="143" t="s">
        <v>104</v>
      </c>
      <c r="K320" s="144"/>
      <c r="L320" s="145"/>
      <c r="M320" s="144"/>
    </row>
    <row r="321" spans="1:13" ht="15" customHeight="1">
      <c r="A321" s="146" t="s">
        <v>980</v>
      </c>
      <c r="B321" s="146">
        <v>521527</v>
      </c>
      <c r="C321" s="147" t="s">
        <v>981</v>
      </c>
      <c r="D321" s="146" t="s">
        <v>688</v>
      </c>
      <c r="E321" s="147" t="s">
        <v>757</v>
      </c>
      <c r="F321" s="147" t="s">
        <v>982</v>
      </c>
      <c r="G321" s="146" t="s">
        <v>109</v>
      </c>
      <c r="H321" s="146" t="s">
        <v>55</v>
      </c>
      <c r="I321" s="147" t="s">
        <v>435</v>
      </c>
      <c r="J321" s="147" t="s">
        <v>104</v>
      </c>
      <c r="K321" s="148"/>
      <c r="L321" s="149"/>
      <c r="M321" s="148"/>
    </row>
    <row r="322" spans="1:13" ht="15" customHeight="1">
      <c r="A322" s="142" t="s">
        <v>983</v>
      </c>
      <c r="B322" s="142">
        <v>521455</v>
      </c>
      <c r="C322" s="143" t="s">
        <v>984</v>
      </c>
      <c r="D322" s="142" t="s">
        <v>688</v>
      </c>
      <c r="E322" s="143" t="s">
        <v>985</v>
      </c>
      <c r="F322" s="143" t="s">
        <v>985</v>
      </c>
      <c r="G322" s="142" t="s">
        <v>109</v>
      </c>
      <c r="H322" s="142" t="s">
        <v>55</v>
      </c>
      <c r="I322" s="143" t="s">
        <v>435</v>
      </c>
      <c r="J322" s="143" t="s">
        <v>104</v>
      </c>
      <c r="K322" s="144"/>
      <c r="L322" s="145"/>
      <c r="M322" s="144"/>
    </row>
    <row r="323" spans="1:13" ht="15" customHeight="1">
      <c r="A323" s="146" t="s">
        <v>986</v>
      </c>
      <c r="B323" s="146">
        <v>521450</v>
      </c>
      <c r="C323" s="147" t="s">
        <v>987</v>
      </c>
      <c r="D323" s="146" t="s">
        <v>688</v>
      </c>
      <c r="E323" s="147" t="s">
        <v>725</v>
      </c>
      <c r="F323" s="147" t="s">
        <v>988</v>
      </c>
      <c r="G323" s="146" t="s">
        <v>102</v>
      </c>
      <c r="H323" s="146" t="s">
        <v>55</v>
      </c>
      <c r="I323" s="147" t="s">
        <v>435</v>
      </c>
      <c r="J323" s="147" t="s">
        <v>104</v>
      </c>
      <c r="K323" s="148"/>
      <c r="L323" s="149"/>
      <c r="M323" s="148"/>
    </row>
    <row r="324" spans="1:13" ht="15" customHeight="1">
      <c r="A324" s="142" t="s">
        <v>989</v>
      </c>
      <c r="B324" s="142">
        <v>521420</v>
      </c>
      <c r="C324" s="143" t="s">
        <v>990</v>
      </c>
      <c r="D324" s="142" t="s">
        <v>688</v>
      </c>
      <c r="E324" s="143" t="s">
        <v>725</v>
      </c>
      <c r="F324" s="143" t="s">
        <v>725</v>
      </c>
      <c r="G324" s="142" t="s">
        <v>109</v>
      </c>
      <c r="H324" s="142" t="s">
        <v>55</v>
      </c>
      <c r="I324" s="143" t="s">
        <v>435</v>
      </c>
      <c r="J324" s="143" t="s">
        <v>104</v>
      </c>
      <c r="K324" s="144"/>
      <c r="L324" s="145"/>
      <c r="M324" s="144"/>
    </row>
    <row r="325" spans="1:13" ht="15" customHeight="1">
      <c r="A325" s="146" t="s">
        <v>991</v>
      </c>
      <c r="B325" s="146">
        <v>521439</v>
      </c>
      <c r="C325" s="147" t="s">
        <v>992</v>
      </c>
      <c r="D325" s="146" t="s">
        <v>688</v>
      </c>
      <c r="E325" s="147" t="s">
        <v>770</v>
      </c>
      <c r="F325" s="147" t="s">
        <v>770</v>
      </c>
      <c r="G325" s="146" t="s">
        <v>109</v>
      </c>
      <c r="H325" s="146" t="s">
        <v>55</v>
      </c>
      <c r="I325" s="147" t="s">
        <v>435</v>
      </c>
      <c r="J325" s="147" t="s">
        <v>104</v>
      </c>
      <c r="K325" s="148"/>
      <c r="L325" s="149"/>
      <c r="M325" s="148"/>
    </row>
    <row r="326" spans="1:13" ht="15" customHeight="1">
      <c r="A326" s="142" t="s">
        <v>993</v>
      </c>
      <c r="B326" s="142">
        <v>521525</v>
      </c>
      <c r="C326" s="143" t="s">
        <v>994</v>
      </c>
      <c r="D326" s="142" t="s">
        <v>688</v>
      </c>
      <c r="E326" s="143" t="s">
        <v>770</v>
      </c>
      <c r="F326" s="143" t="s">
        <v>995</v>
      </c>
      <c r="G326" s="142" t="s">
        <v>109</v>
      </c>
      <c r="H326" s="142" t="s">
        <v>55</v>
      </c>
      <c r="I326" s="143" t="s">
        <v>435</v>
      </c>
      <c r="J326" s="143" t="s">
        <v>104</v>
      </c>
      <c r="K326" s="144"/>
      <c r="L326" s="145"/>
      <c r="M326" s="144"/>
    </row>
    <row r="327" spans="1:13" ht="15" customHeight="1">
      <c r="A327" s="146" t="s">
        <v>996</v>
      </c>
      <c r="B327" s="146">
        <v>521468</v>
      </c>
      <c r="C327" s="147" t="s">
        <v>997</v>
      </c>
      <c r="D327" s="146" t="s">
        <v>688</v>
      </c>
      <c r="E327" s="147" t="s">
        <v>998</v>
      </c>
      <c r="F327" s="147" t="s">
        <v>999</v>
      </c>
      <c r="G327" s="146" t="s">
        <v>109</v>
      </c>
      <c r="H327" s="146" t="s">
        <v>55</v>
      </c>
      <c r="I327" s="147" t="s">
        <v>435</v>
      </c>
      <c r="J327" s="147" t="s">
        <v>104</v>
      </c>
      <c r="K327" s="148"/>
      <c r="L327" s="149"/>
      <c r="M327" s="148"/>
    </row>
    <row r="328" spans="1:13" ht="15" customHeight="1">
      <c r="A328" s="142" t="s">
        <v>1000</v>
      </c>
      <c r="B328" s="142">
        <v>521487</v>
      </c>
      <c r="C328" s="143" t="s">
        <v>1001</v>
      </c>
      <c r="D328" s="142" t="s">
        <v>688</v>
      </c>
      <c r="E328" s="143" t="s">
        <v>1002</v>
      </c>
      <c r="F328" s="143" t="s">
        <v>1003</v>
      </c>
      <c r="G328" s="142" t="s">
        <v>109</v>
      </c>
      <c r="H328" s="142" t="s">
        <v>55</v>
      </c>
      <c r="I328" s="143" t="s">
        <v>435</v>
      </c>
      <c r="J328" s="143" t="s">
        <v>104</v>
      </c>
      <c r="K328" s="144"/>
      <c r="L328" s="145"/>
      <c r="M328" s="144"/>
    </row>
    <row r="329" spans="1:13" ht="15" customHeight="1">
      <c r="A329" s="146" t="s">
        <v>1004</v>
      </c>
      <c r="B329" s="146">
        <v>521549</v>
      </c>
      <c r="C329" s="147" t="s">
        <v>1005</v>
      </c>
      <c r="D329" s="146" t="s">
        <v>688</v>
      </c>
      <c r="E329" s="147" t="s">
        <v>1006</v>
      </c>
      <c r="F329" s="147" t="s">
        <v>1007</v>
      </c>
      <c r="G329" s="146" t="s">
        <v>109</v>
      </c>
      <c r="H329" s="146" t="s">
        <v>55</v>
      </c>
      <c r="I329" s="147" t="s">
        <v>435</v>
      </c>
      <c r="J329" s="147" t="s">
        <v>104</v>
      </c>
      <c r="K329" s="148"/>
      <c r="L329" s="149"/>
      <c r="M329" s="148"/>
    </row>
    <row r="330" spans="1:13" ht="15" customHeight="1">
      <c r="A330" s="142" t="s">
        <v>1008</v>
      </c>
      <c r="B330" s="142">
        <v>521513</v>
      </c>
      <c r="C330" s="143" t="s">
        <v>1009</v>
      </c>
      <c r="D330" s="142" t="s">
        <v>688</v>
      </c>
      <c r="E330" s="143" t="s">
        <v>795</v>
      </c>
      <c r="F330" s="143" t="s">
        <v>1010</v>
      </c>
      <c r="G330" s="142" t="s">
        <v>109</v>
      </c>
      <c r="H330" s="142" t="s">
        <v>55</v>
      </c>
      <c r="I330" s="143" t="s">
        <v>435</v>
      </c>
      <c r="J330" s="143" t="s">
        <v>104</v>
      </c>
      <c r="K330" s="144"/>
      <c r="L330" s="145"/>
      <c r="M330" s="144"/>
    </row>
    <row r="331" spans="1:13" ht="15" customHeight="1">
      <c r="A331" s="146" t="s">
        <v>1011</v>
      </c>
      <c r="B331" s="146">
        <v>521507</v>
      </c>
      <c r="C331" s="147" t="s">
        <v>1012</v>
      </c>
      <c r="D331" s="146" t="s">
        <v>688</v>
      </c>
      <c r="E331" s="147" t="s">
        <v>940</v>
      </c>
      <c r="F331" s="147" t="s">
        <v>705</v>
      </c>
      <c r="G331" s="146" t="s">
        <v>109</v>
      </c>
      <c r="H331" s="146" t="s">
        <v>55</v>
      </c>
      <c r="I331" s="147" t="s">
        <v>435</v>
      </c>
      <c r="J331" s="147" t="s">
        <v>104</v>
      </c>
      <c r="K331" s="148"/>
      <c r="L331" s="149"/>
      <c r="M331" s="148"/>
    </row>
    <row r="332" spans="1:13" ht="15" customHeight="1">
      <c r="A332" s="142" t="s">
        <v>1013</v>
      </c>
      <c r="B332" s="142">
        <v>521502</v>
      </c>
      <c r="C332" s="143" t="s">
        <v>1014</v>
      </c>
      <c r="D332" s="142" t="s">
        <v>688</v>
      </c>
      <c r="E332" s="143" t="s">
        <v>1015</v>
      </c>
      <c r="F332" s="143" t="s">
        <v>1015</v>
      </c>
      <c r="G332" s="142" t="s">
        <v>109</v>
      </c>
      <c r="H332" s="142" t="s">
        <v>55</v>
      </c>
      <c r="I332" s="143" t="s">
        <v>435</v>
      </c>
      <c r="J332" s="143" t="s">
        <v>104</v>
      </c>
      <c r="K332" s="144"/>
      <c r="L332" s="145"/>
      <c r="M332" s="144"/>
    </row>
    <row r="333" spans="1:13" ht="15" customHeight="1">
      <c r="A333" s="146" t="s">
        <v>1016</v>
      </c>
      <c r="B333" s="146">
        <v>521519</v>
      </c>
      <c r="C333" s="147" t="s">
        <v>1017</v>
      </c>
      <c r="D333" s="146" t="s">
        <v>688</v>
      </c>
      <c r="E333" s="147" t="s">
        <v>906</v>
      </c>
      <c r="F333" s="147" t="s">
        <v>1018</v>
      </c>
      <c r="G333" s="146" t="s">
        <v>109</v>
      </c>
      <c r="H333" s="146" t="s">
        <v>55</v>
      </c>
      <c r="I333" s="147" t="s">
        <v>435</v>
      </c>
      <c r="J333" s="147" t="s">
        <v>104</v>
      </c>
      <c r="K333" s="148"/>
      <c r="L333" s="149"/>
      <c r="M333" s="148"/>
    </row>
    <row r="334" spans="1:13" ht="15" customHeight="1">
      <c r="A334" s="142" t="s">
        <v>1019</v>
      </c>
      <c r="B334" s="142">
        <v>521423</v>
      </c>
      <c r="C334" s="143" t="s">
        <v>1020</v>
      </c>
      <c r="D334" s="142" t="s">
        <v>688</v>
      </c>
      <c r="E334" s="143" t="s">
        <v>510</v>
      </c>
      <c r="F334" s="143" t="s">
        <v>1021</v>
      </c>
      <c r="G334" s="142" t="s">
        <v>109</v>
      </c>
      <c r="H334" s="142" t="s">
        <v>55</v>
      </c>
      <c r="I334" s="143" t="s">
        <v>435</v>
      </c>
      <c r="J334" s="143" t="s">
        <v>104</v>
      </c>
      <c r="K334" s="144"/>
      <c r="L334" s="145"/>
      <c r="M334" s="144"/>
    </row>
    <row r="335" spans="1:13" ht="15" customHeight="1">
      <c r="A335" s="146" t="s">
        <v>1022</v>
      </c>
      <c r="B335" s="146">
        <v>521546</v>
      </c>
      <c r="C335" s="147" t="s">
        <v>1023</v>
      </c>
      <c r="D335" s="146" t="s">
        <v>688</v>
      </c>
      <c r="E335" s="147" t="s">
        <v>767</v>
      </c>
      <c r="F335" s="147" t="s">
        <v>1024</v>
      </c>
      <c r="G335" s="146" t="s">
        <v>109</v>
      </c>
      <c r="H335" s="146" t="s">
        <v>55</v>
      </c>
      <c r="I335" s="147" t="s">
        <v>435</v>
      </c>
      <c r="J335" s="147" t="s">
        <v>104</v>
      </c>
      <c r="K335" s="148" t="s">
        <v>121</v>
      </c>
      <c r="L335" s="149">
        <v>46150</v>
      </c>
      <c r="M335" s="148"/>
    </row>
    <row r="336" spans="1:13" ht="15" customHeight="1">
      <c r="A336" s="142" t="s">
        <v>1025</v>
      </c>
      <c r="B336" s="142">
        <v>521492</v>
      </c>
      <c r="C336" s="143" t="s">
        <v>1026</v>
      </c>
      <c r="D336" s="142" t="s">
        <v>688</v>
      </c>
      <c r="E336" s="143" t="s">
        <v>985</v>
      </c>
      <c r="F336" s="143" t="s">
        <v>1027</v>
      </c>
      <c r="G336" s="142" t="s">
        <v>109</v>
      </c>
      <c r="H336" s="142" t="s">
        <v>55</v>
      </c>
      <c r="I336" s="143" t="s">
        <v>435</v>
      </c>
      <c r="J336" s="143" t="s">
        <v>104</v>
      </c>
      <c r="K336" s="144"/>
      <c r="L336" s="145"/>
      <c r="M336" s="144"/>
    </row>
    <row r="337" spans="1:13" ht="15" customHeight="1">
      <c r="A337" s="146" t="s">
        <v>1028</v>
      </c>
      <c r="B337" s="146">
        <v>521552</v>
      </c>
      <c r="C337" s="147" t="s">
        <v>1029</v>
      </c>
      <c r="D337" s="146" t="s">
        <v>688</v>
      </c>
      <c r="E337" s="147" t="s">
        <v>740</v>
      </c>
      <c r="F337" s="147" t="s">
        <v>1030</v>
      </c>
      <c r="G337" s="146" t="s">
        <v>109</v>
      </c>
      <c r="H337" s="146" t="s">
        <v>55</v>
      </c>
      <c r="I337" s="147" t="s">
        <v>435</v>
      </c>
      <c r="J337" s="147" t="s">
        <v>104</v>
      </c>
      <c r="K337" s="148"/>
      <c r="L337" s="149"/>
      <c r="M337" s="148"/>
    </row>
    <row r="338" spans="1:13" ht="15" customHeight="1">
      <c r="A338" s="142" t="s">
        <v>1031</v>
      </c>
      <c r="B338" s="142">
        <v>521419</v>
      </c>
      <c r="C338" s="143" t="s">
        <v>1032</v>
      </c>
      <c r="D338" s="142" t="s">
        <v>688</v>
      </c>
      <c r="E338" s="143" t="s">
        <v>1033</v>
      </c>
      <c r="F338" s="143" t="s">
        <v>1034</v>
      </c>
      <c r="G338" s="142" t="s">
        <v>109</v>
      </c>
      <c r="H338" s="142" t="s">
        <v>55</v>
      </c>
      <c r="I338" s="143" t="s">
        <v>435</v>
      </c>
      <c r="J338" s="143" t="s">
        <v>104</v>
      </c>
      <c r="K338" s="144"/>
      <c r="L338" s="145"/>
      <c r="M338" s="144"/>
    </row>
    <row r="339" spans="1:13" ht="15" customHeight="1">
      <c r="A339" s="146" t="s">
        <v>1035</v>
      </c>
      <c r="B339" s="146">
        <v>521416</v>
      </c>
      <c r="C339" s="147" t="s">
        <v>1036</v>
      </c>
      <c r="D339" s="146" t="s">
        <v>688</v>
      </c>
      <c r="E339" s="147" t="s">
        <v>688</v>
      </c>
      <c r="F339" s="147" t="s">
        <v>688</v>
      </c>
      <c r="G339" s="146" t="s">
        <v>102</v>
      </c>
      <c r="H339" s="146" t="s">
        <v>55</v>
      </c>
      <c r="I339" s="147" t="s">
        <v>435</v>
      </c>
      <c r="J339" s="147" t="s">
        <v>104</v>
      </c>
      <c r="K339" s="148"/>
      <c r="L339" s="149"/>
      <c r="M339" s="148"/>
    </row>
    <row r="340" spans="1:13" ht="15" customHeight="1">
      <c r="A340" s="142" t="s">
        <v>1037</v>
      </c>
      <c r="B340" s="142">
        <v>521414</v>
      </c>
      <c r="C340" s="143" t="s">
        <v>1038</v>
      </c>
      <c r="D340" s="142" t="s">
        <v>688</v>
      </c>
      <c r="E340" s="143" t="s">
        <v>688</v>
      </c>
      <c r="F340" s="143" t="s">
        <v>688</v>
      </c>
      <c r="G340" s="142" t="s">
        <v>102</v>
      </c>
      <c r="H340" s="142" t="s">
        <v>55</v>
      </c>
      <c r="I340" s="143" t="s">
        <v>435</v>
      </c>
      <c r="J340" s="143" t="s">
        <v>104</v>
      </c>
      <c r="K340" s="144"/>
      <c r="L340" s="145"/>
      <c r="M340" s="144"/>
    </row>
    <row r="341" spans="1:13" ht="15" customHeight="1">
      <c r="A341" s="146" t="s">
        <v>1039</v>
      </c>
      <c r="B341" s="146">
        <v>521438</v>
      </c>
      <c r="C341" s="147" t="s">
        <v>1040</v>
      </c>
      <c r="D341" s="146" t="s">
        <v>688</v>
      </c>
      <c r="E341" s="147" t="s">
        <v>770</v>
      </c>
      <c r="F341" s="147" t="s">
        <v>770</v>
      </c>
      <c r="G341" s="146" t="s">
        <v>109</v>
      </c>
      <c r="H341" s="146" t="s">
        <v>55</v>
      </c>
      <c r="I341" s="147" t="s">
        <v>435</v>
      </c>
      <c r="J341" s="147" t="s">
        <v>104</v>
      </c>
      <c r="K341" s="148"/>
      <c r="L341" s="149"/>
      <c r="M341" s="148"/>
    </row>
    <row r="342" spans="1:13" ht="15" customHeight="1">
      <c r="A342" s="142" t="s">
        <v>1041</v>
      </c>
      <c r="B342" s="142">
        <v>521482</v>
      </c>
      <c r="C342" s="143" t="s">
        <v>1042</v>
      </c>
      <c r="D342" s="142" t="s">
        <v>688</v>
      </c>
      <c r="E342" s="143" t="s">
        <v>864</v>
      </c>
      <c r="F342" s="143" t="s">
        <v>1043</v>
      </c>
      <c r="G342" s="142" t="s">
        <v>109</v>
      </c>
      <c r="H342" s="142" t="s">
        <v>55</v>
      </c>
      <c r="I342" s="143" t="s">
        <v>435</v>
      </c>
      <c r="J342" s="143" t="s">
        <v>104</v>
      </c>
      <c r="K342" s="144"/>
      <c r="L342" s="145"/>
      <c r="M342" s="144"/>
    </row>
    <row r="343" spans="1:13" ht="15" customHeight="1">
      <c r="A343" s="146" t="s">
        <v>1044</v>
      </c>
      <c r="B343" s="146">
        <v>521457</v>
      </c>
      <c r="C343" s="147" t="s">
        <v>1045</v>
      </c>
      <c r="D343" s="146" t="s">
        <v>688</v>
      </c>
      <c r="E343" s="147" t="s">
        <v>947</v>
      </c>
      <c r="F343" s="147" t="s">
        <v>1046</v>
      </c>
      <c r="G343" s="146" t="s">
        <v>109</v>
      </c>
      <c r="H343" s="146" t="s">
        <v>55</v>
      </c>
      <c r="I343" s="147" t="s">
        <v>435</v>
      </c>
      <c r="J343" s="147" t="s">
        <v>104</v>
      </c>
      <c r="K343" s="148"/>
      <c r="L343" s="149"/>
      <c r="M343" s="148"/>
    </row>
    <row r="344" spans="1:13" ht="15" customHeight="1">
      <c r="A344" s="142" t="s">
        <v>1047</v>
      </c>
      <c r="B344" s="142">
        <v>521417</v>
      </c>
      <c r="C344" s="143" t="s">
        <v>1048</v>
      </c>
      <c r="D344" s="142" t="s">
        <v>688</v>
      </c>
      <c r="E344" s="143" t="s">
        <v>688</v>
      </c>
      <c r="F344" s="143" t="s">
        <v>688</v>
      </c>
      <c r="G344" s="142" t="s">
        <v>102</v>
      </c>
      <c r="H344" s="142" t="s">
        <v>55</v>
      </c>
      <c r="I344" s="143" t="s">
        <v>435</v>
      </c>
      <c r="J344" s="143" t="s">
        <v>104</v>
      </c>
      <c r="K344" s="144"/>
      <c r="L344" s="145"/>
      <c r="M344" s="144"/>
    </row>
    <row r="345" spans="1:13" ht="15" customHeight="1">
      <c r="A345" s="146" t="s">
        <v>1049</v>
      </c>
      <c r="B345" s="146">
        <v>521434</v>
      </c>
      <c r="C345" s="147" t="s">
        <v>1050</v>
      </c>
      <c r="D345" s="146" t="s">
        <v>688</v>
      </c>
      <c r="E345" s="147" t="s">
        <v>1051</v>
      </c>
      <c r="F345" s="147" t="s">
        <v>1052</v>
      </c>
      <c r="G345" s="146" t="s">
        <v>109</v>
      </c>
      <c r="H345" s="146" t="s">
        <v>55</v>
      </c>
      <c r="I345" s="147" t="s">
        <v>435</v>
      </c>
      <c r="J345" s="147" t="s">
        <v>104</v>
      </c>
      <c r="K345" s="148"/>
      <c r="L345" s="149"/>
      <c r="M345" s="148"/>
    </row>
    <row r="346" spans="1:13" ht="15" customHeight="1">
      <c r="A346" s="142" t="s">
        <v>1053</v>
      </c>
      <c r="B346" s="142">
        <v>521442</v>
      </c>
      <c r="C346" s="143" t="s">
        <v>1054</v>
      </c>
      <c r="D346" s="142" t="s">
        <v>688</v>
      </c>
      <c r="E346" s="143" t="s">
        <v>770</v>
      </c>
      <c r="F346" s="143" t="s">
        <v>1055</v>
      </c>
      <c r="G346" s="142" t="s">
        <v>109</v>
      </c>
      <c r="H346" s="142" t="s">
        <v>55</v>
      </c>
      <c r="I346" s="143" t="s">
        <v>435</v>
      </c>
      <c r="J346" s="143" t="s">
        <v>104</v>
      </c>
      <c r="K346" s="144"/>
      <c r="L346" s="145"/>
      <c r="M346" s="144"/>
    </row>
    <row r="347" spans="1:13" ht="15" customHeight="1">
      <c r="A347" s="146" t="s">
        <v>1056</v>
      </c>
      <c r="B347" s="146">
        <v>521469</v>
      </c>
      <c r="C347" s="147" t="s">
        <v>1057</v>
      </c>
      <c r="D347" s="146" t="s">
        <v>688</v>
      </c>
      <c r="E347" s="147" t="s">
        <v>998</v>
      </c>
      <c r="F347" s="147" t="s">
        <v>1058</v>
      </c>
      <c r="G347" s="146" t="s">
        <v>109</v>
      </c>
      <c r="H347" s="146" t="s">
        <v>55</v>
      </c>
      <c r="I347" s="147" t="s">
        <v>435</v>
      </c>
      <c r="J347" s="147" t="s">
        <v>104</v>
      </c>
      <c r="K347" s="148"/>
      <c r="L347" s="149"/>
      <c r="M347" s="148"/>
    </row>
    <row r="348" spans="1:13" ht="15" customHeight="1">
      <c r="A348" s="142" t="s">
        <v>1059</v>
      </c>
      <c r="B348" s="142">
        <v>521545</v>
      </c>
      <c r="C348" s="143" t="s">
        <v>1060</v>
      </c>
      <c r="D348" s="142" t="s">
        <v>688</v>
      </c>
      <c r="E348" s="143" t="s">
        <v>1061</v>
      </c>
      <c r="F348" s="143" t="s">
        <v>1061</v>
      </c>
      <c r="G348" s="142" t="s">
        <v>109</v>
      </c>
      <c r="H348" s="142" t="s">
        <v>55</v>
      </c>
      <c r="I348" s="143" t="s">
        <v>435</v>
      </c>
      <c r="J348" s="143" t="s">
        <v>104</v>
      </c>
      <c r="K348" s="144"/>
      <c r="L348" s="145"/>
      <c r="M348" s="144"/>
    </row>
    <row r="349" spans="1:13" ht="15" customHeight="1">
      <c r="A349" s="146" t="s">
        <v>1062</v>
      </c>
      <c r="B349" s="146">
        <v>521410</v>
      </c>
      <c r="C349" s="147" t="s">
        <v>1063</v>
      </c>
      <c r="D349" s="146" t="s">
        <v>688</v>
      </c>
      <c r="E349" s="147" t="s">
        <v>688</v>
      </c>
      <c r="F349" s="147" t="s">
        <v>1064</v>
      </c>
      <c r="G349" s="146" t="s">
        <v>102</v>
      </c>
      <c r="H349" s="146" t="s">
        <v>55</v>
      </c>
      <c r="I349" s="147" t="s">
        <v>435</v>
      </c>
      <c r="J349" s="147" t="s">
        <v>104</v>
      </c>
      <c r="K349" s="148"/>
      <c r="L349" s="149"/>
      <c r="M349" s="148"/>
    </row>
    <row r="350" spans="1:13" ht="15" customHeight="1">
      <c r="A350" s="142" t="s">
        <v>1065</v>
      </c>
      <c r="B350" s="142">
        <v>521460</v>
      </c>
      <c r="C350" s="143" t="s">
        <v>1066</v>
      </c>
      <c r="D350" s="142" t="s">
        <v>688</v>
      </c>
      <c r="E350" s="143" t="s">
        <v>864</v>
      </c>
      <c r="F350" s="143" t="s">
        <v>1067</v>
      </c>
      <c r="G350" s="142" t="s">
        <v>109</v>
      </c>
      <c r="H350" s="142" t="s">
        <v>55</v>
      </c>
      <c r="I350" s="143" t="s">
        <v>435</v>
      </c>
      <c r="J350" s="143" t="s">
        <v>104</v>
      </c>
      <c r="K350" s="144"/>
      <c r="L350" s="145"/>
      <c r="M350" s="144"/>
    </row>
    <row r="351" spans="1:13" ht="15" customHeight="1">
      <c r="A351" s="146" t="s">
        <v>1068</v>
      </c>
      <c r="B351" s="146">
        <v>521440</v>
      </c>
      <c r="C351" s="147" t="s">
        <v>1069</v>
      </c>
      <c r="D351" s="146" t="s">
        <v>688</v>
      </c>
      <c r="E351" s="147" t="s">
        <v>1070</v>
      </c>
      <c r="F351" s="147" t="s">
        <v>1071</v>
      </c>
      <c r="G351" s="146" t="s">
        <v>109</v>
      </c>
      <c r="H351" s="146" t="s">
        <v>55</v>
      </c>
      <c r="I351" s="147" t="s">
        <v>435</v>
      </c>
      <c r="J351" s="147" t="s">
        <v>104</v>
      </c>
      <c r="K351" s="148"/>
      <c r="L351" s="149"/>
      <c r="M351" s="148"/>
    </row>
    <row r="352" spans="1:13" ht="15" customHeight="1">
      <c r="A352" s="142" t="s">
        <v>1072</v>
      </c>
      <c r="B352" s="142">
        <v>521475</v>
      </c>
      <c r="C352" s="143" t="s">
        <v>1073</v>
      </c>
      <c r="D352" s="142" t="s">
        <v>688</v>
      </c>
      <c r="E352" s="143" t="s">
        <v>1070</v>
      </c>
      <c r="F352" s="143" t="s">
        <v>1074</v>
      </c>
      <c r="G352" s="142" t="s">
        <v>109</v>
      </c>
      <c r="H352" s="142" t="s">
        <v>55</v>
      </c>
      <c r="I352" s="143" t="s">
        <v>435</v>
      </c>
      <c r="J352" s="143" t="s">
        <v>104</v>
      </c>
      <c r="K352" s="144"/>
      <c r="L352" s="145"/>
      <c r="M352" s="144"/>
    </row>
    <row r="353" spans="1:13" ht="15" customHeight="1">
      <c r="A353" s="146" t="s">
        <v>1075</v>
      </c>
      <c r="B353" s="146">
        <v>521422</v>
      </c>
      <c r="C353" s="147" t="s">
        <v>1076</v>
      </c>
      <c r="D353" s="146" t="s">
        <v>688</v>
      </c>
      <c r="E353" s="147" t="s">
        <v>688</v>
      </c>
      <c r="F353" s="147" t="s">
        <v>688</v>
      </c>
      <c r="G353" s="146" t="s">
        <v>102</v>
      </c>
      <c r="H353" s="146" t="s">
        <v>55</v>
      </c>
      <c r="I353" s="147" t="s">
        <v>435</v>
      </c>
      <c r="J353" s="147" t="s">
        <v>104</v>
      </c>
      <c r="K353" s="148"/>
      <c r="L353" s="149"/>
      <c r="M353" s="148"/>
    </row>
    <row r="354" spans="1:13" ht="15" customHeight="1">
      <c r="A354" s="142" t="s">
        <v>1077</v>
      </c>
      <c r="B354" s="142">
        <v>521509</v>
      </c>
      <c r="C354" s="143" t="s">
        <v>1078</v>
      </c>
      <c r="D354" s="142" t="s">
        <v>688</v>
      </c>
      <c r="E354" s="143" t="s">
        <v>1079</v>
      </c>
      <c r="F354" s="143" t="s">
        <v>1080</v>
      </c>
      <c r="G354" s="142" t="s">
        <v>109</v>
      </c>
      <c r="H354" s="142" t="s">
        <v>55</v>
      </c>
      <c r="I354" s="143" t="s">
        <v>435</v>
      </c>
      <c r="J354" s="143" t="s">
        <v>104</v>
      </c>
      <c r="K354" s="144"/>
      <c r="L354" s="145"/>
      <c r="M354" s="144"/>
    </row>
    <row r="355" spans="1:13" ht="15" customHeight="1">
      <c r="A355" s="146" t="s">
        <v>1081</v>
      </c>
      <c r="B355" s="146">
        <v>521516</v>
      </c>
      <c r="C355" s="147" t="s">
        <v>1082</v>
      </c>
      <c r="D355" s="146" t="s">
        <v>688</v>
      </c>
      <c r="E355" s="147" t="s">
        <v>688</v>
      </c>
      <c r="F355" s="147" t="s">
        <v>1083</v>
      </c>
      <c r="G355" s="146" t="s">
        <v>109</v>
      </c>
      <c r="H355" s="146" t="s">
        <v>55</v>
      </c>
      <c r="I355" s="147" t="s">
        <v>435</v>
      </c>
      <c r="J355" s="147" t="s">
        <v>104</v>
      </c>
      <c r="K355" s="148"/>
      <c r="L355" s="149"/>
      <c r="M355" s="148"/>
    </row>
    <row r="356" spans="1:13" ht="15" customHeight="1">
      <c r="A356" s="142" t="s">
        <v>1084</v>
      </c>
      <c r="B356" s="142">
        <v>521488</v>
      </c>
      <c r="C356" s="143" t="s">
        <v>1085</v>
      </c>
      <c r="D356" s="142" t="s">
        <v>688</v>
      </c>
      <c r="E356" s="143" t="s">
        <v>725</v>
      </c>
      <c r="F356" s="143" t="s">
        <v>1086</v>
      </c>
      <c r="G356" s="142" t="s">
        <v>109</v>
      </c>
      <c r="H356" s="142" t="s">
        <v>55</v>
      </c>
      <c r="I356" s="143" t="s">
        <v>435</v>
      </c>
      <c r="J356" s="143" t="s">
        <v>104</v>
      </c>
      <c r="K356" s="144"/>
      <c r="L356" s="145"/>
      <c r="M356" s="144"/>
    </row>
    <row r="357" spans="1:13" ht="15" customHeight="1">
      <c r="A357" s="146" t="s">
        <v>1087</v>
      </c>
      <c r="B357" s="146">
        <v>521472</v>
      </c>
      <c r="C357" s="147" t="s">
        <v>1088</v>
      </c>
      <c r="D357" s="146" t="s">
        <v>688</v>
      </c>
      <c r="E357" s="147" t="s">
        <v>711</v>
      </c>
      <c r="F357" s="147" t="s">
        <v>1089</v>
      </c>
      <c r="G357" s="146" t="s">
        <v>109</v>
      </c>
      <c r="H357" s="146" t="s">
        <v>55</v>
      </c>
      <c r="I357" s="147" t="s">
        <v>435</v>
      </c>
      <c r="J357" s="147" t="s">
        <v>104</v>
      </c>
      <c r="K357" s="148"/>
      <c r="L357" s="149"/>
      <c r="M357" s="148"/>
    </row>
    <row r="358" spans="1:13" ht="15" customHeight="1">
      <c r="A358" s="142" t="s">
        <v>1090</v>
      </c>
      <c r="B358" s="142">
        <v>521409</v>
      </c>
      <c r="C358" s="143" t="s">
        <v>1091</v>
      </c>
      <c r="D358" s="142" t="s">
        <v>688</v>
      </c>
      <c r="E358" s="143" t="s">
        <v>1092</v>
      </c>
      <c r="F358" s="143" t="s">
        <v>1093</v>
      </c>
      <c r="G358" s="142" t="s">
        <v>109</v>
      </c>
      <c r="H358" s="142" t="s">
        <v>55</v>
      </c>
      <c r="I358" s="143" t="s">
        <v>435</v>
      </c>
      <c r="J358" s="143" t="s">
        <v>104</v>
      </c>
      <c r="K358" s="144"/>
      <c r="L358" s="145"/>
      <c r="M358" s="144"/>
    </row>
    <row r="359" spans="1:13" ht="15" customHeight="1">
      <c r="A359" s="146" t="s">
        <v>1094</v>
      </c>
      <c r="B359" s="146">
        <v>521445</v>
      </c>
      <c r="C359" s="147" t="s">
        <v>1095</v>
      </c>
      <c r="D359" s="146" t="s">
        <v>688</v>
      </c>
      <c r="E359" s="147" t="s">
        <v>510</v>
      </c>
      <c r="F359" s="147" t="s">
        <v>1096</v>
      </c>
      <c r="G359" s="146" t="s">
        <v>109</v>
      </c>
      <c r="H359" s="146" t="s">
        <v>55</v>
      </c>
      <c r="I359" s="147" t="s">
        <v>435</v>
      </c>
      <c r="J359" s="147" t="s">
        <v>104</v>
      </c>
      <c r="K359" s="148"/>
      <c r="L359" s="149"/>
      <c r="M359" s="148"/>
    </row>
    <row r="360" spans="1:13" ht="15" customHeight="1">
      <c r="A360" s="142" t="s">
        <v>1097</v>
      </c>
      <c r="B360" s="142">
        <v>521415</v>
      </c>
      <c r="C360" s="143" t="s">
        <v>1098</v>
      </c>
      <c r="D360" s="142" t="s">
        <v>688</v>
      </c>
      <c r="E360" s="143" t="s">
        <v>688</v>
      </c>
      <c r="F360" s="143" t="s">
        <v>688</v>
      </c>
      <c r="G360" s="142" t="s">
        <v>102</v>
      </c>
      <c r="H360" s="142" t="s">
        <v>55</v>
      </c>
      <c r="I360" s="143" t="s">
        <v>435</v>
      </c>
      <c r="J360" s="143" t="s">
        <v>104</v>
      </c>
      <c r="K360" s="144"/>
      <c r="L360" s="145"/>
      <c r="M360" s="144"/>
    </row>
    <row r="361" spans="1:13" ht="15" customHeight="1">
      <c r="A361" s="146" t="s">
        <v>1099</v>
      </c>
      <c r="B361" s="146">
        <v>521430</v>
      </c>
      <c r="C361" s="147" t="s">
        <v>1100</v>
      </c>
      <c r="D361" s="146" t="s">
        <v>688</v>
      </c>
      <c r="E361" s="147" t="s">
        <v>706</v>
      </c>
      <c r="F361" s="147" t="s">
        <v>706</v>
      </c>
      <c r="G361" s="146" t="s">
        <v>102</v>
      </c>
      <c r="H361" s="146" t="s">
        <v>55</v>
      </c>
      <c r="I361" s="147" t="s">
        <v>435</v>
      </c>
      <c r="J361" s="147" t="s">
        <v>104</v>
      </c>
      <c r="K361" s="148"/>
      <c r="L361" s="149"/>
      <c r="M361" s="148"/>
    </row>
    <row r="362" spans="1:13" ht="15" customHeight="1">
      <c r="A362" s="142" t="s">
        <v>1101</v>
      </c>
      <c r="B362" s="142">
        <v>521538</v>
      </c>
      <c r="C362" s="143" t="s">
        <v>1102</v>
      </c>
      <c r="D362" s="142" t="s">
        <v>688</v>
      </c>
      <c r="E362" s="143" t="s">
        <v>721</v>
      </c>
      <c r="F362" s="143" t="s">
        <v>721</v>
      </c>
      <c r="G362" s="142" t="s">
        <v>109</v>
      </c>
      <c r="H362" s="142" t="s">
        <v>55</v>
      </c>
      <c r="I362" s="143" t="s">
        <v>435</v>
      </c>
      <c r="J362" s="143" t="s">
        <v>104</v>
      </c>
      <c r="K362" s="144"/>
      <c r="L362" s="145"/>
      <c r="M362" s="144"/>
    </row>
    <row r="363" spans="1:13" ht="15" customHeight="1">
      <c r="A363" s="146" t="s">
        <v>1103</v>
      </c>
      <c r="B363" s="146">
        <v>521451</v>
      </c>
      <c r="C363" s="147" t="s">
        <v>1104</v>
      </c>
      <c r="D363" s="146" t="s">
        <v>688</v>
      </c>
      <c r="E363" s="147" t="s">
        <v>725</v>
      </c>
      <c r="F363" s="147" t="s">
        <v>725</v>
      </c>
      <c r="G363" s="146" t="s">
        <v>102</v>
      </c>
      <c r="H363" s="146" t="s">
        <v>55</v>
      </c>
      <c r="I363" s="147" t="s">
        <v>435</v>
      </c>
      <c r="J363" s="147" t="s">
        <v>104</v>
      </c>
      <c r="K363" s="148"/>
      <c r="L363" s="149"/>
      <c r="M363" s="148"/>
    </row>
    <row r="364" spans="1:13" ht="15" customHeight="1">
      <c r="A364" s="142" t="s">
        <v>1105</v>
      </c>
      <c r="B364" s="142">
        <v>515044</v>
      </c>
      <c r="C364" s="143" t="s">
        <v>1106</v>
      </c>
      <c r="D364" s="142" t="s">
        <v>1107</v>
      </c>
      <c r="E364" s="143" t="s">
        <v>1108</v>
      </c>
      <c r="F364" s="143" t="s">
        <v>1109</v>
      </c>
      <c r="G364" s="142" t="s">
        <v>102</v>
      </c>
      <c r="H364" s="142" t="s">
        <v>53</v>
      </c>
      <c r="I364" s="143" t="s">
        <v>1110</v>
      </c>
      <c r="J364" s="143" t="s">
        <v>104</v>
      </c>
      <c r="K364" s="144"/>
      <c r="L364" s="145"/>
      <c r="M364" s="144"/>
    </row>
    <row r="365" spans="1:13" ht="15" customHeight="1">
      <c r="A365" s="146" t="s">
        <v>1111</v>
      </c>
      <c r="B365" s="146">
        <v>521556</v>
      </c>
      <c r="C365" s="147" t="s">
        <v>1112</v>
      </c>
      <c r="D365" s="146" t="s">
        <v>1107</v>
      </c>
      <c r="E365" s="147" t="s">
        <v>1113</v>
      </c>
      <c r="F365" s="147" t="s">
        <v>1114</v>
      </c>
      <c r="G365" s="146" t="s">
        <v>102</v>
      </c>
      <c r="H365" s="146" t="s">
        <v>53</v>
      </c>
      <c r="I365" s="147" t="s">
        <v>1110</v>
      </c>
      <c r="J365" s="147" t="s">
        <v>104</v>
      </c>
      <c r="K365" s="148"/>
      <c r="L365" s="149"/>
      <c r="M365" s="148"/>
    </row>
    <row r="366" spans="1:13" ht="15" customHeight="1">
      <c r="A366" s="142" t="s">
        <v>1115</v>
      </c>
      <c r="B366" s="142">
        <v>521647</v>
      </c>
      <c r="C366" s="143" t="s">
        <v>1116</v>
      </c>
      <c r="D366" s="142" t="s">
        <v>1107</v>
      </c>
      <c r="E366" s="143" t="s">
        <v>1108</v>
      </c>
      <c r="F366" s="143" t="s">
        <v>1107</v>
      </c>
      <c r="G366" s="142" t="s">
        <v>102</v>
      </c>
      <c r="H366" s="142" t="s">
        <v>53</v>
      </c>
      <c r="I366" s="143" t="s">
        <v>1110</v>
      </c>
      <c r="J366" s="143" t="s">
        <v>104</v>
      </c>
      <c r="K366" s="144"/>
      <c r="L366" s="145"/>
      <c r="M366" s="144"/>
    </row>
    <row r="367" spans="1:13" ht="15" customHeight="1">
      <c r="A367" s="146" t="s">
        <v>1117</v>
      </c>
      <c r="B367" s="146">
        <v>521615</v>
      </c>
      <c r="C367" s="147" t="s">
        <v>1118</v>
      </c>
      <c r="D367" s="146" t="s">
        <v>1107</v>
      </c>
      <c r="E367" s="147" t="s">
        <v>1119</v>
      </c>
      <c r="F367" s="147" t="s">
        <v>1120</v>
      </c>
      <c r="G367" s="146" t="s">
        <v>102</v>
      </c>
      <c r="H367" s="146" t="s">
        <v>53</v>
      </c>
      <c r="I367" s="147" t="s">
        <v>1110</v>
      </c>
      <c r="J367" s="147" t="s">
        <v>104</v>
      </c>
      <c r="K367" s="148"/>
      <c r="L367" s="149"/>
      <c r="M367" s="148"/>
    </row>
    <row r="368" spans="1:13" ht="15" customHeight="1">
      <c r="A368" s="142" t="s">
        <v>1121</v>
      </c>
      <c r="B368" s="142">
        <v>521566</v>
      </c>
      <c r="C368" s="143" t="s">
        <v>1122</v>
      </c>
      <c r="D368" s="142" t="s">
        <v>1107</v>
      </c>
      <c r="E368" s="143" t="s">
        <v>1123</v>
      </c>
      <c r="F368" s="143" t="s">
        <v>1123</v>
      </c>
      <c r="G368" s="142" t="s">
        <v>102</v>
      </c>
      <c r="H368" s="142" t="s">
        <v>53</v>
      </c>
      <c r="I368" s="143" t="s">
        <v>1110</v>
      </c>
      <c r="J368" s="143" t="s">
        <v>104</v>
      </c>
      <c r="K368" s="144"/>
      <c r="L368" s="145"/>
      <c r="M368" s="144"/>
    </row>
    <row r="369" spans="1:13" ht="15" customHeight="1">
      <c r="A369" s="146" t="s">
        <v>1124</v>
      </c>
      <c r="B369" s="146">
        <v>521641</v>
      </c>
      <c r="C369" s="147" t="s">
        <v>1125</v>
      </c>
      <c r="D369" s="146" t="s">
        <v>1107</v>
      </c>
      <c r="E369" s="147" t="s">
        <v>1119</v>
      </c>
      <c r="F369" s="147" t="s">
        <v>1126</v>
      </c>
      <c r="G369" s="146" t="s">
        <v>102</v>
      </c>
      <c r="H369" s="146" t="s">
        <v>53</v>
      </c>
      <c r="I369" s="147" t="s">
        <v>1110</v>
      </c>
      <c r="J369" s="147" t="s">
        <v>104</v>
      </c>
      <c r="K369" s="148"/>
      <c r="L369" s="149"/>
      <c r="M369" s="148"/>
    </row>
    <row r="370" spans="1:13" ht="15" customHeight="1">
      <c r="A370" s="142" t="s">
        <v>1127</v>
      </c>
      <c r="B370" s="142">
        <v>521621</v>
      </c>
      <c r="C370" s="143" t="s">
        <v>245</v>
      </c>
      <c r="D370" s="142" t="s">
        <v>1107</v>
      </c>
      <c r="E370" s="143" t="s">
        <v>1108</v>
      </c>
      <c r="F370" s="143" t="s">
        <v>1128</v>
      </c>
      <c r="G370" s="142" t="s">
        <v>102</v>
      </c>
      <c r="H370" s="142" t="s">
        <v>53</v>
      </c>
      <c r="I370" s="143" t="s">
        <v>1110</v>
      </c>
      <c r="J370" s="143" t="s">
        <v>104</v>
      </c>
      <c r="K370" s="144"/>
      <c r="L370" s="145"/>
      <c r="M370" s="144"/>
    </row>
    <row r="371" spans="1:13" ht="15" customHeight="1">
      <c r="A371" s="146" t="s">
        <v>1129</v>
      </c>
      <c r="B371" s="146">
        <v>521701</v>
      </c>
      <c r="C371" s="147" t="s">
        <v>1130</v>
      </c>
      <c r="D371" s="146" t="s">
        <v>1107</v>
      </c>
      <c r="E371" s="147" t="s">
        <v>1131</v>
      </c>
      <c r="F371" s="147" t="s">
        <v>1131</v>
      </c>
      <c r="G371" s="146" t="s">
        <v>102</v>
      </c>
      <c r="H371" s="146" t="s">
        <v>53</v>
      </c>
      <c r="I371" s="147" t="s">
        <v>1110</v>
      </c>
      <c r="J371" s="147" t="s">
        <v>104</v>
      </c>
      <c r="K371" s="148"/>
      <c r="L371" s="149"/>
      <c r="M371" s="148"/>
    </row>
    <row r="372" spans="1:13" ht="15" customHeight="1">
      <c r="A372" s="142" t="s">
        <v>1132</v>
      </c>
      <c r="B372" s="142">
        <v>521620</v>
      </c>
      <c r="C372" s="143" t="s">
        <v>204</v>
      </c>
      <c r="D372" s="142" t="s">
        <v>1107</v>
      </c>
      <c r="E372" s="143" t="s">
        <v>1108</v>
      </c>
      <c r="F372" s="143" t="s">
        <v>1133</v>
      </c>
      <c r="G372" s="142" t="s">
        <v>102</v>
      </c>
      <c r="H372" s="142" t="s">
        <v>53</v>
      </c>
      <c r="I372" s="143" t="s">
        <v>1110</v>
      </c>
      <c r="J372" s="143" t="s">
        <v>104</v>
      </c>
      <c r="K372" s="144"/>
      <c r="L372" s="145"/>
      <c r="M372" s="144"/>
    </row>
    <row r="373" spans="1:13" ht="15" customHeight="1">
      <c r="A373" s="146" t="s">
        <v>1134</v>
      </c>
      <c r="B373" s="146">
        <v>521558</v>
      </c>
      <c r="C373" s="147" t="s">
        <v>362</v>
      </c>
      <c r="D373" s="146" t="s">
        <v>1107</v>
      </c>
      <c r="E373" s="147" t="s">
        <v>1131</v>
      </c>
      <c r="F373" s="147" t="s">
        <v>1135</v>
      </c>
      <c r="G373" s="146" t="s">
        <v>102</v>
      </c>
      <c r="H373" s="146" t="s">
        <v>53</v>
      </c>
      <c r="I373" s="147" t="s">
        <v>1110</v>
      </c>
      <c r="J373" s="147" t="s">
        <v>104</v>
      </c>
      <c r="K373" s="148"/>
      <c r="L373" s="149"/>
      <c r="M373" s="148"/>
    </row>
    <row r="374" spans="1:13" ht="15" customHeight="1">
      <c r="A374" s="142" t="s">
        <v>1136</v>
      </c>
      <c r="B374" s="142">
        <v>521715</v>
      </c>
      <c r="C374" s="143" t="s">
        <v>1137</v>
      </c>
      <c r="D374" s="142" t="s">
        <v>1107</v>
      </c>
      <c r="E374" s="143" t="s">
        <v>1131</v>
      </c>
      <c r="F374" s="143" t="s">
        <v>1131</v>
      </c>
      <c r="G374" s="142" t="s">
        <v>102</v>
      </c>
      <c r="H374" s="142" t="s">
        <v>53</v>
      </c>
      <c r="I374" s="143" t="s">
        <v>1110</v>
      </c>
      <c r="J374" s="143" t="s">
        <v>104</v>
      </c>
      <c r="K374" s="144"/>
      <c r="L374" s="145"/>
      <c r="M374" s="144"/>
    </row>
    <row r="375" spans="1:13" ht="15" customHeight="1">
      <c r="A375" s="146" t="s">
        <v>1138</v>
      </c>
      <c r="B375" s="146">
        <v>521722</v>
      </c>
      <c r="C375" s="147" t="s">
        <v>1139</v>
      </c>
      <c r="D375" s="146" t="s">
        <v>1107</v>
      </c>
      <c r="E375" s="147" t="s">
        <v>1113</v>
      </c>
      <c r="F375" s="147" t="s">
        <v>1113</v>
      </c>
      <c r="G375" s="146" t="s">
        <v>102</v>
      </c>
      <c r="H375" s="146" t="s">
        <v>53</v>
      </c>
      <c r="I375" s="147" t="s">
        <v>1110</v>
      </c>
      <c r="J375" s="147" t="s">
        <v>104</v>
      </c>
      <c r="K375" s="148"/>
      <c r="L375" s="149"/>
      <c r="M375" s="148"/>
    </row>
    <row r="376" spans="1:13" ht="15" customHeight="1">
      <c r="A376" s="142" t="s">
        <v>1140</v>
      </c>
      <c r="B376" s="142">
        <v>521561</v>
      </c>
      <c r="C376" s="143" t="s">
        <v>1141</v>
      </c>
      <c r="D376" s="142" t="s">
        <v>1107</v>
      </c>
      <c r="E376" s="143" t="s">
        <v>1142</v>
      </c>
      <c r="F376" s="143" t="s">
        <v>1142</v>
      </c>
      <c r="G376" s="142" t="s">
        <v>102</v>
      </c>
      <c r="H376" s="142" t="s">
        <v>53</v>
      </c>
      <c r="I376" s="143" t="s">
        <v>1110</v>
      </c>
      <c r="J376" s="143" t="s">
        <v>104</v>
      </c>
      <c r="K376" s="144"/>
      <c r="L376" s="145"/>
      <c r="M376" s="144"/>
    </row>
    <row r="377" spans="1:13" ht="15" customHeight="1">
      <c r="A377" s="146" t="s">
        <v>1143</v>
      </c>
      <c r="B377" s="146">
        <v>521616</v>
      </c>
      <c r="C377" s="147" t="s">
        <v>1144</v>
      </c>
      <c r="D377" s="146" t="s">
        <v>1107</v>
      </c>
      <c r="E377" s="147" t="s">
        <v>1131</v>
      </c>
      <c r="F377" s="147" t="s">
        <v>1131</v>
      </c>
      <c r="G377" s="146" t="s">
        <v>102</v>
      </c>
      <c r="H377" s="146" t="s">
        <v>53</v>
      </c>
      <c r="I377" s="147" t="s">
        <v>1110</v>
      </c>
      <c r="J377" s="147" t="s">
        <v>104</v>
      </c>
      <c r="K377" s="148"/>
      <c r="L377" s="149"/>
      <c r="M377" s="148"/>
    </row>
    <row r="378" spans="1:13" ht="15" customHeight="1">
      <c r="A378" s="142" t="s">
        <v>1145</v>
      </c>
      <c r="B378" s="142">
        <v>521677</v>
      </c>
      <c r="C378" s="143" t="s">
        <v>1146</v>
      </c>
      <c r="D378" s="142" t="s">
        <v>1107</v>
      </c>
      <c r="E378" s="143" t="s">
        <v>1147</v>
      </c>
      <c r="F378" s="143" t="s">
        <v>1148</v>
      </c>
      <c r="G378" s="142" t="s">
        <v>102</v>
      </c>
      <c r="H378" s="142" t="s">
        <v>53</v>
      </c>
      <c r="I378" s="143" t="s">
        <v>1110</v>
      </c>
      <c r="J378" s="143" t="s">
        <v>104</v>
      </c>
      <c r="K378" s="144"/>
      <c r="L378" s="145"/>
      <c r="M378" s="144"/>
    </row>
    <row r="379" spans="1:13" ht="15" customHeight="1">
      <c r="A379" s="146" t="s">
        <v>1149</v>
      </c>
      <c r="B379" s="146">
        <v>521716</v>
      </c>
      <c r="C379" s="147" t="s">
        <v>1150</v>
      </c>
      <c r="D379" s="146" t="s">
        <v>1107</v>
      </c>
      <c r="E379" s="147" t="s">
        <v>1119</v>
      </c>
      <c r="F379" s="147" t="s">
        <v>307</v>
      </c>
      <c r="G379" s="146" t="s">
        <v>102</v>
      </c>
      <c r="H379" s="146" t="s">
        <v>53</v>
      </c>
      <c r="I379" s="147" t="s">
        <v>1110</v>
      </c>
      <c r="J379" s="147" t="s">
        <v>104</v>
      </c>
      <c r="K379" s="148"/>
      <c r="L379" s="149"/>
      <c r="M379" s="148"/>
    </row>
    <row r="380" spans="1:13" ht="15" customHeight="1">
      <c r="A380" s="142" t="s">
        <v>1151</v>
      </c>
      <c r="B380" s="142">
        <v>521667</v>
      </c>
      <c r="C380" s="143" t="s">
        <v>1152</v>
      </c>
      <c r="D380" s="142" t="s">
        <v>1107</v>
      </c>
      <c r="E380" s="143" t="s">
        <v>1108</v>
      </c>
      <c r="F380" s="143" t="s">
        <v>1153</v>
      </c>
      <c r="G380" s="142" t="s">
        <v>102</v>
      </c>
      <c r="H380" s="142" t="s">
        <v>53</v>
      </c>
      <c r="I380" s="143" t="s">
        <v>1110</v>
      </c>
      <c r="J380" s="143" t="s">
        <v>104</v>
      </c>
      <c r="K380" s="144"/>
      <c r="L380" s="145"/>
      <c r="M380" s="144"/>
    </row>
    <row r="381" spans="1:13" ht="15" customHeight="1">
      <c r="A381" s="146" t="s">
        <v>1154</v>
      </c>
      <c r="B381" s="146">
        <v>521560</v>
      </c>
      <c r="C381" s="147" t="s">
        <v>1155</v>
      </c>
      <c r="D381" s="146" t="s">
        <v>1107</v>
      </c>
      <c r="E381" s="147" t="s">
        <v>1156</v>
      </c>
      <c r="F381" s="147" t="s">
        <v>1157</v>
      </c>
      <c r="G381" s="146" t="s">
        <v>102</v>
      </c>
      <c r="H381" s="146" t="s">
        <v>53</v>
      </c>
      <c r="I381" s="147" t="s">
        <v>1110</v>
      </c>
      <c r="J381" s="147" t="s">
        <v>104</v>
      </c>
      <c r="K381" s="148"/>
      <c r="L381" s="149"/>
      <c r="M381" s="148"/>
    </row>
    <row r="382" spans="1:13" ht="15" customHeight="1">
      <c r="A382" s="142" t="s">
        <v>1158</v>
      </c>
      <c r="B382" s="142">
        <v>521564</v>
      </c>
      <c r="C382" s="143" t="s">
        <v>1159</v>
      </c>
      <c r="D382" s="142" t="s">
        <v>1107</v>
      </c>
      <c r="E382" s="143" t="s">
        <v>1142</v>
      </c>
      <c r="F382" s="143" t="s">
        <v>1142</v>
      </c>
      <c r="G382" s="142" t="s">
        <v>102</v>
      </c>
      <c r="H382" s="142" t="s">
        <v>53</v>
      </c>
      <c r="I382" s="143" t="s">
        <v>1110</v>
      </c>
      <c r="J382" s="143" t="s">
        <v>104</v>
      </c>
      <c r="K382" s="144"/>
      <c r="L382" s="145"/>
      <c r="M382" s="144"/>
    </row>
    <row r="383" spans="1:13" ht="15" customHeight="1">
      <c r="A383" s="146" t="s">
        <v>1160</v>
      </c>
      <c r="B383" s="146">
        <v>521680</v>
      </c>
      <c r="C383" s="147" t="s">
        <v>1161</v>
      </c>
      <c r="D383" s="146" t="s">
        <v>1107</v>
      </c>
      <c r="E383" s="147" t="s">
        <v>1108</v>
      </c>
      <c r="F383" s="147" t="s">
        <v>1162</v>
      </c>
      <c r="G383" s="146" t="s">
        <v>102</v>
      </c>
      <c r="H383" s="146" t="s">
        <v>53</v>
      </c>
      <c r="I383" s="147" t="s">
        <v>1110</v>
      </c>
      <c r="J383" s="147" t="s">
        <v>104</v>
      </c>
      <c r="K383" s="148"/>
      <c r="L383" s="149"/>
      <c r="M383" s="148"/>
    </row>
    <row r="384" spans="1:13" ht="15" customHeight="1">
      <c r="A384" s="142" t="s">
        <v>1163</v>
      </c>
      <c r="B384" s="142">
        <v>521559</v>
      </c>
      <c r="C384" s="143" t="s">
        <v>1164</v>
      </c>
      <c r="D384" s="142" t="s">
        <v>1107</v>
      </c>
      <c r="E384" s="143" t="s">
        <v>1165</v>
      </c>
      <c r="F384" s="143" t="s">
        <v>1107</v>
      </c>
      <c r="G384" s="142" t="s">
        <v>102</v>
      </c>
      <c r="H384" s="142" t="s">
        <v>53</v>
      </c>
      <c r="I384" s="143" t="s">
        <v>1110</v>
      </c>
      <c r="J384" s="143" t="s">
        <v>104</v>
      </c>
      <c r="K384" s="144"/>
      <c r="L384" s="145"/>
      <c r="M384" s="144"/>
    </row>
    <row r="385" spans="1:13" ht="15" customHeight="1">
      <c r="A385" s="146" t="s">
        <v>1166</v>
      </c>
      <c r="B385" s="146">
        <v>521602</v>
      </c>
      <c r="C385" s="147" t="s">
        <v>1167</v>
      </c>
      <c r="D385" s="146" t="s">
        <v>1107</v>
      </c>
      <c r="E385" s="147" t="s">
        <v>1131</v>
      </c>
      <c r="F385" s="147" t="s">
        <v>1131</v>
      </c>
      <c r="G385" s="146" t="s">
        <v>102</v>
      </c>
      <c r="H385" s="146" t="s">
        <v>53</v>
      </c>
      <c r="I385" s="147" t="s">
        <v>1110</v>
      </c>
      <c r="J385" s="147" t="s">
        <v>104</v>
      </c>
      <c r="K385" s="148"/>
      <c r="L385" s="149"/>
      <c r="M385" s="148"/>
    </row>
    <row r="386" spans="1:13" ht="15" customHeight="1">
      <c r="A386" s="142" t="s">
        <v>1168</v>
      </c>
      <c r="B386" s="142">
        <v>521707</v>
      </c>
      <c r="C386" s="143" t="s">
        <v>126</v>
      </c>
      <c r="D386" s="142" t="s">
        <v>1107</v>
      </c>
      <c r="E386" s="143" t="s">
        <v>725</v>
      </c>
      <c r="F386" s="143" t="s">
        <v>1107</v>
      </c>
      <c r="G386" s="142" t="s">
        <v>102</v>
      </c>
      <c r="H386" s="142" t="s">
        <v>53</v>
      </c>
      <c r="I386" s="143" t="s">
        <v>1110</v>
      </c>
      <c r="J386" s="143" t="s">
        <v>104</v>
      </c>
      <c r="K386" s="144"/>
      <c r="L386" s="145"/>
      <c r="M386" s="144"/>
    </row>
    <row r="387" spans="1:13" ht="15" customHeight="1">
      <c r="A387" s="146" t="s">
        <v>1169</v>
      </c>
      <c r="B387" s="146">
        <v>521637</v>
      </c>
      <c r="C387" s="147" t="s">
        <v>1170</v>
      </c>
      <c r="D387" s="146" t="s">
        <v>1107</v>
      </c>
      <c r="E387" s="147" t="s">
        <v>1123</v>
      </c>
      <c r="F387" s="147" t="s">
        <v>1123</v>
      </c>
      <c r="G387" s="146" t="s">
        <v>102</v>
      </c>
      <c r="H387" s="146" t="s">
        <v>53</v>
      </c>
      <c r="I387" s="147" t="s">
        <v>1110</v>
      </c>
      <c r="J387" s="147" t="s">
        <v>104</v>
      </c>
      <c r="K387" s="148"/>
      <c r="L387" s="149"/>
      <c r="M387" s="148"/>
    </row>
    <row r="388" spans="1:13" ht="15" customHeight="1">
      <c r="A388" s="142" t="s">
        <v>1171</v>
      </c>
      <c r="B388" s="142">
        <v>521608</v>
      </c>
      <c r="C388" s="143" t="s">
        <v>311</v>
      </c>
      <c r="D388" s="142" t="s">
        <v>1107</v>
      </c>
      <c r="E388" s="143" t="s">
        <v>1172</v>
      </c>
      <c r="F388" s="143" t="s">
        <v>1173</v>
      </c>
      <c r="G388" s="142" t="s">
        <v>102</v>
      </c>
      <c r="H388" s="142" t="s">
        <v>53</v>
      </c>
      <c r="I388" s="143" t="s">
        <v>1110</v>
      </c>
      <c r="J388" s="143" t="s">
        <v>104</v>
      </c>
      <c r="K388" s="144"/>
      <c r="L388" s="145"/>
      <c r="M388" s="144"/>
    </row>
    <row r="389" spans="1:13" ht="15" customHeight="1">
      <c r="A389" s="146" t="s">
        <v>1174</v>
      </c>
      <c r="B389" s="146">
        <v>521705</v>
      </c>
      <c r="C389" s="147" t="s">
        <v>1175</v>
      </c>
      <c r="D389" s="146" t="s">
        <v>1107</v>
      </c>
      <c r="E389" s="147" t="s">
        <v>1123</v>
      </c>
      <c r="F389" s="147" t="s">
        <v>1123</v>
      </c>
      <c r="G389" s="146" t="s">
        <v>102</v>
      </c>
      <c r="H389" s="146" t="s">
        <v>53</v>
      </c>
      <c r="I389" s="147" t="s">
        <v>1110</v>
      </c>
      <c r="J389" s="147" t="s">
        <v>104</v>
      </c>
      <c r="K389" s="148"/>
      <c r="L389" s="149"/>
      <c r="M389" s="148"/>
    </row>
    <row r="390" spans="1:13" ht="15" customHeight="1">
      <c r="A390" s="142" t="s">
        <v>1176</v>
      </c>
      <c r="B390" s="142">
        <v>521618</v>
      </c>
      <c r="C390" s="143" t="s">
        <v>1177</v>
      </c>
      <c r="D390" s="142" t="s">
        <v>1107</v>
      </c>
      <c r="E390" s="143" t="s">
        <v>1131</v>
      </c>
      <c r="F390" s="143" t="s">
        <v>1131</v>
      </c>
      <c r="G390" s="142" t="s">
        <v>102</v>
      </c>
      <c r="H390" s="142" t="s">
        <v>53</v>
      </c>
      <c r="I390" s="143" t="s">
        <v>1110</v>
      </c>
      <c r="J390" s="143" t="s">
        <v>104</v>
      </c>
      <c r="K390" s="144"/>
      <c r="L390" s="145"/>
      <c r="M390" s="144"/>
    </row>
    <row r="391" spans="1:13" ht="15" customHeight="1">
      <c r="A391" s="146" t="s">
        <v>1178</v>
      </c>
      <c r="B391" s="146">
        <v>521617</v>
      </c>
      <c r="C391" s="147" t="s">
        <v>1179</v>
      </c>
      <c r="D391" s="146" t="s">
        <v>1107</v>
      </c>
      <c r="E391" s="147" t="s">
        <v>1108</v>
      </c>
      <c r="F391" s="147" t="s">
        <v>1180</v>
      </c>
      <c r="G391" s="146" t="s">
        <v>102</v>
      </c>
      <c r="H391" s="146" t="s">
        <v>53</v>
      </c>
      <c r="I391" s="147" t="s">
        <v>1110</v>
      </c>
      <c r="J391" s="147" t="s">
        <v>104</v>
      </c>
      <c r="K391" s="148"/>
      <c r="L391" s="149"/>
      <c r="M391" s="148"/>
    </row>
    <row r="392" spans="1:13" ht="15" customHeight="1">
      <c r="A392" s="142" t="s">
        <v>1181</v>
      </c>
      <c r="B392" s="142">
        <v>521555</v>
      </c>
      <c r="C392" s="143" t="s">
        <v>1182</v>
      </c>
      <c r="D392" s="142" t="s">
        <v>1107</v>
      </c>
      <c r="E392" s="143" t="s">
        <v>1108</v>
      </c>
      <c r="F392" s="143" t="s">
        <v>1183</v>
      </c>
      <c r="G392" s="142" t="s">
        <v>102</v>
      </c>
      <c r="H392" s="142" t="s">
        <v>53</v>
      </c>
      <c r="I392" s="143" t="s">
        <v>1184</v>
      </c>
      <c r="J392" s="143" t="s">
        <v>104</v>
      </c>
      <c r="K392" s="144"/>
      <c r="L392" s="145"/>
      <c r="M392" s="144"/>
    </row>
    <row r="393" spans="1:13" ht="15" customHeight="1">
      <c r="A393" s="146" t="s">
        <v>1185</v>
      </c>
      <c r="B393" s="146">
        <v>521693</v>
      </c>
      <c r="C393" s="147" t="s">
        <v>1186</v>
      </c>
      <c r="D393" s="146" t="s">
        <v>1107</v>
      </c>
      <c r="E393" s="147" t="s">
        <v>1108</v>
      </c>
      <c r="F393" s="147" t="s">
        <v>1187</v>
      </c>
      <c r="G393" s="146" t="s">
        <v>102</v>
      </c>
      <c r="H393" s="146" t="s">
        <v>53</v>
      </c>
      <c r="I393" s="147" t="s">
        <v>1184</v>
      </c>
      <c r="J393" s="147" t="s">
        <v>104</v>
      </c>
      <c r="K393" s="148"/>
      <c r="L393" s="149"/>
      <c r="M393" s="148"/>
    </row>
    <row r="394" spans="1:13" ht="15" customHeight="1">
      <c r="A394" s="142" t="s">
        <v>1188</v>
      </c>
      <c r="B394" s="142">
        <v>521656</v>
      </c>
      <c r="C394" s="143" t="s">
        <v>1189</v>
      </c>
      <c r="D394" s="142" t="s">
        <v>1107</v>
      </c>
      <c r="E394" s="143" t="s">
        <v>1190</v>
      </c>
      <c r="F394" s="143" t="s">
        <v>1191</v>
      </c>
      <c r="G394" s="142" t="s">
        <v>102</v>
      </c>
      <c r="H394" s="142" t="s">
        <v>53</v>
      </c>
      <c r="I394" s="143" t="s">
        <v>1110</v>
      </c>
      <c r="J394" s="143" t="s">
        <v>104</v>
      </c>
      <c r="K394" s="144"/>
      <c r="L394" s="145"/>
      <c r="M394" s="144"/>
    </row>
    <row r="395" spans="1:13" ht="15" customHeight="1">
      <c r="A395" s="146" t="s">
        <v>1192</v>
      </c>
      <c r="B395" s="146">
        <v>521673</v>
      </c>
      <c r="C395" s="147" t="s">
        <v>1193</v>
      </c>
      <c r="D395" s="146" t="s">
        <v>1107</v>
      </c>
      <c r="E395" s="147" t="s">
        <v>1194</v>
      </c>
      <c r="F395" s="147" t="s">
        <v>1135</v>
      </c>
      <c r="G395" s="146" t="s">
        <v>102</v>
      </c>
      <c r="H395" s="146" t="s">
        <v>53</v>
      </c>
      <c r="I395" s="147" t="s">
        <v>1110</v>
      </c>
      <c r="J395" s="147" t="s">
        <v>104</v>
      </c>
      <c r="K395" s="148"/>
      <c r="L395" s="149"/>
      <c r="M395" s="148"/>
    </row>
    <row r="396" spans="1:13" ht="15" customHeight="1">
      <c r="A396" s="142" t="s">
        <v>1195</v>
      </c>
      <c r="B396" s="142">
        <v>521662</v>
      </c>
      <c r="C396" s="143" t="s">
        <v>1196</v>
      </c>
      <c r="D396" s="142" t="s">
        <v>1107</v>
      </c>
      <c r="E396" s="143" t="s">
        <v>1197</v>
      </c>
      <c r="F396" s="143" t="s">
        <v>1107</v>
      </c>
      <c r="G396" s="142" t="s">
        <v>102</v>
      </c>
      <c r="H396" s="142" t="s">
        <v>53</v>
      </c>
      <c r="I396" s="143" t="s">
        <v>1110</v>
      </c>
      <c r="J396" s="143" t="s">
        <v>104</v>
      </c>
      <c r="K396" s="144"/>
      <c r="L396" s="145"/>
      <c r="M396" s="144"/>
    </row>
    <row r="397" spans="1:13" ht="15" customHeight="1">
      <c r="A397" s="146" t="s">
        <v>1198</v>
      </c>
      <c r="B397" s="146">
        <v>521753</v>
      </c>
      <c r="C397" s="147" t="s">
        <v>1199</v>
      </c>
      <c r="D397" s="146" t="s">
        <v>1200</v>
      </c>
      <c r="E397" s="147" t="s">
        <v>1200</v>
      </c>
      <c r="F397" s="147" t="s">
        <v>1201</v>
      </c>
      <c r="G397" s="146" t="s">
        <v>109</v>
      </c>
      <c r="H397" s="146" t="s">
        <v>55</v>
      </c>
      <c r="I397" s="147" t="s">
        <v>435</v>
      </c>
      <c r="J397" s="147" t="s">
        <v>104</v>
      </c>
      <c r="K397" s="148"/>
      <c r="L397" s="149"/>
      <c r="M397" s="148"/>
    </row>
    <row r="398" spans="1:13" ht="15" customHeight="1">
      <c r="A398" s="142" t="s">
        <v>1202</v>
      </c>
      <c r="B398" s="142">
        <v>521756</v>
      </c>
      <c r="C398" s="143" t="s">
        <v>1203</v>
      </c>
      <c r="D398" s="142" t="s">
        <v>1200</v>
      </c>
      <c r="E398" s="143" t="s">
        <v>1200</v>
      </c>
      <c r="F398" s="143" t="s">
        <v>1204</v>
      </c>
      <c r="G398" s="142" t="s">
        <v>109</v>
      </c>
      <c r="H398" s="142" t="s">
        <v>55</v>
      </c>
      <c r="I398" s="143" t="s">
        <v>435</v>
      </c>
      <c r="J398" s="143" t="s">
        <v>104</v>
      </c>
      <c r="K398" s="144"/>
      <c r="L398" s="145"/>
      <c r="M398" s="144"/>
    </row>
    <row r="399" spans="1:13" ht="15" customHeight="1">
      <c r="A399" s="146" t="s">
        <v>1205</v>
      </c>
      <c r="B399" s="146">
        <v>521796</v>
      </c>
      <c r="C399" s="147" t="s">
        <v>1206</v>
      </c>
      <c r="D399" s="146" t="s">
        <v>1200</v>
      </c>
      <c r="E399" s="147" t="s">
        <v>1200</v>
      </c>
      <c r="F399" s="147" t="s">
        <v>1207</v>
      </c>
      <c r="G399" s="146" t="s">
        <v>109</v>
      </c>
      <c r="H399" s="146" t="s">
        <v>55</v>
      </c>
      <c r="I399" s="147" t="s">
        <v>435</v>
      </c>
      <c r="J399" s="147" t="s">
        <v>104</v>
      </c>
      <c r="K399" s="148"/>
      <c r="L399" s="149"/>
      <c r="M399" s="148"/>
    </row>
    <row r="400" spans="1:13" ht="15" customHeight="1">
      <c r="A400" s="142" t="s">
        <v>1208</v>
      </c>
      <c r="B400" s="142">
        <v>521828</v>
      </c>
      <c r="C400" s="143" t="s">
        <v>1209</v>
      </c>
      <c r="D400" s="142" t="s">
        <v>1200</v>
      </c>
      <c r="E400" s="143" t="s">
        <v>1200</v>
      </c>
      <c r="F400" s="143" t="s">
        <v>880</v>
      </c>
      <c r="G400" s="142" t="s">
        <v>109</v>
      </c>
      <c r="H400" s="142" t="s">
        <v>55</v>
      </c>
      <c r="I400" s="143" t="s">
        <v>435</v>
      </c>
      <c r="J400" s="143" t="s">
        <v>104</v>
      </c>
      <c r="K400" s="144"/>
      <c r="L400" s="145"/>
      <c r="M400" s="144"/>
    </row>
    <row r="401" spans="1:13" ht="15" customHeight="1">
      <c r="A401" s="146" t="s">
        <v>1210</v>
      </c>
      <c r="B401" s="146">
        <v>521764</v>
      </c>
      <c r="C401" s="147" t="s">
        <v>1211</v>
      </c>
      <c r="D401" s="146" t="s">
        <v>1200</v>
      </c>
      <c r="E401" s="147" t="s">
        <v>1200</v>
      </c>
      <c r="F401" s="147" t="s">
        <v>1212</v>
      </c>
      <c r="G401" s="146" t="s">
        <v>109</v>
      </c>
      <c r="H401" s="146" t="s">
        <v>55</v>
      </c>
      <c r="I401" s="147" t="s">
        <v>435</v>
      </c>
      <c r="J401" s="147" t="s">
        <v>104</v>
      </c>
      <c r="K401" s="148"/>
      <c r="L401" s="149"/>
      <c r="M401" s="148"/>
    </row>
    <row r="402" spans="1:13" ht="15" customHeight="1">
      <c r="A402" s="142" t="s">
        <v>1213</v>
      </c>
      <c r="B402" s="142">
        <v>521783</v>
      </c>
      <c r="C402" s="143" t="s">
        <v>1214</v>
      </c>
      <c r="D402" s="142" t="s">
        <v>1200</v>
      </c>
      <c r="E402" s="143" t="s">
        <v>1215</v>
      </c>
      <c r="F402" s="143" t="s">
        <v>1216</v>
      </c>
      <c r="G402" s="142" t="s">
        <v>109</v>
      </c>
      <c r="H402" s="142" t="s">
        <v>55</v>
      </c>
      <c r="I402" s="143" t="s">
        <v>435</v>
      </c>
      <c r="J402" s="143" t="s">
        <v>104</v>
      </c>
      <c r="K402" s="144"/>
      <c r="L402" s="145"/>
      <c r="M402" s="144"/>
    </row>
    <row r="403" spans="1:13" ht="15" customHeight="1">
      <c r="A403" s="146" t="s">
        <v>1217</v>
      </c>
      <c r="B403" s="146">
        <v>521788</v>
      </c>
      <c r="C403" s="147" t="s">
        <v>1218</v>
      </c>
      <c r="D403" s="146" t="s">
        <v>1200</v>
      </c>
      <c r="E403" s="147" t="s">
        <v>1215</v>
      </c>
      <c r="F403" s="147" t="s">
        <v>1219</v>
      </c>
      <c r="G403" s="146" t="s">
        <v>109</v>
      </c>
      <c r="H403" s="146" t="s">
        <v>55</v>
      </c>
      <c r="I403" s="147" t="s">
        <v>435</v>
      </c>
      <c r="J403" s="147" t="s">
        <v>104</v>
      </c>
      <c r="K403" s="148"/>
      <c r="L403" s="149"/>
      <c r="M403" s="148"/>
    </row>
    <row r="404" spans="1:13" ht="15" customHeight="1">
      <c r="A404" s="142" t="s">
        <v>1220</v>
      </c>
      <c r="B404" s="142">
        <v>521761</v>
      </c>
      <c r="C404" s="143" t="s">
        <v>1221</v>
      </c>
      <c r="D404" s="142" t="s">
        <v>1200</v>
      </c>
      <c r="E404" s="143" t="s">
        <v>254</v>
      </c>
      <c r="F404" s="143" t="s">
        <v>1222</v>
      </c>
      <c r="G404" s="142" t="s">
        <v>109</v>
      </c>
      <c r="H404" s="142" t="s">
        <v>55</v>
      </c>
      <c r="I404" s="143" t="s">
        <v>435</v>
      </c>
      <c r="J404" s="143" t="s">
        <v>104</v>
      </c>
      <c r="K404" s="144"/>
      <c r="L404" s="145"/>
      <c r="M404" s="144"/>
    </row>
    <row r="405" spans="1:13" ht="15" customHeight="1">
      <c r="A405" s="146" t="s">
        <v>1223</v>
      </c>
      <c r="B405" s="146">
        <v>521801</v>
      </c>
      <c r="C405" s="147" t="s">
        <v>1224</v>
      </c>
      <c r="D405" s="146" t="s">
        <v>1200</v>
      </c>
      <c r="E405" s="147" t="s">
        <v>254</v>
      </c>
      <c r="F405" s="147" t="s">
        <v>1225</v>
      </c>
      <c r="G405" s="146" t="s">
        <v>109</v>
      </c>
      <c r="H405" s="146" t="s">
        <v>55</v>
      </c>
      <c r="I405" s="147" t="s">
        <v>435</v>
      </c>
      <c r="J405" s="147" t="s">
        <v>104</v>
      </c>
      <c r="K405" s="148"/>
      <c r="L405" s="149"/>
      <c r="M405" s="148"/>
    </row>
    <row r="406" spans="1:13" ht="15" customHeight="1">
      <c r="A406" s="142" t="s">
        <v>1226</v>
      </c>
      <c r="B406" s="142">
        <v>521760</v>
      </c>
      <c r="C406" s="143" t="s">
        <v>1227</v>
      </c>
      <c r="D406" s="142" t="s">
        <v>1200</v>
      </c>
      <c r="E406" s="143" t="s">
        <v>1228</v>
      </c>
      <c r="F406" s="143" t="s">
        <v>1229</v>
      </c>
      <c r="G406" s="142" t="s">
        <v>109</v>
      </c>
      <c r="H406" s="142" t="s">
        <v>55</v>
      </c>
      <c r="I406" s="143" t="s">
        <v>435</v>
      </c>
      <c r="J406" s="143" t="s">
        <v>104</v>
      </c>
      <c r="K406" s="144"/>
      <c r="L406" s="145"/>
      <c r="M406" s="144"/>
    </row>
    <row r="407" spans="1:13" ht="15" customHeight="1">
      <c r="A407" s="146" t="s">
        <v>1230</v>
      </c>
      <c r="B407" s="146">
        <v>521822</v>
      </c>
      <c r="C407" s="147" t="s">
        <v>1231</v>
      </c>
      <c r="D407" s="146" t="s">
        <v>1200</v>
      </c>
      <c r="E407" s="147" t="s">
        <v>1232</v>
      </c>
      <c r="F407" s="147" t="s">
        <v>1233</v>
      </c>
      <c r="G407" s="146" t="s">
        <v>109</v>
      </c>
      <c r="H407" s="146" t="s">
        <v>55</v>
      </c>
      <c r="I407" s="147" t="s">
        <v>435</v>
      </c>
      <c r="J407" s="147" t="s">
        <v>104</v>
      </c>
      <c r="K407" s="148"/>
      <c r="L407" s="149"/>
      <c r="M407" s="148"/>
    </row>
    <row r="408" spans="1:13" ht="15" customHeight="1">
      <c r="A408" s="142" t="s">
        <v>1234</v>
      </c>
      <c r="B408" s="142">
        <v>521819</v>
      </c>
      <c r="C408" s="143" t="s">
        <v>1235</v>
      </c>
      <c r="D408" s="142" t="s">
        <v>1200</v>
      </c>
      <c r="E408" s="143" t="s">
        <v>1232</v>
      </c>
      <c r="F408" s="143" t="s">
        <v>1232</v>
      </c>
      <c r="G408" s="142" t="s">
        <v>109</v>
      </c>
      <c r="H408" s="142" t="s">
        <v>55</v>
      </c>
      <c r="I408" s="143" t="s">
        <v>435</v>
      </c>
      <c r="J408" s="143" t="s">
        <v>104</v>
      </c>
      <c r="K408" s="144"/>
      <c r="L408" s="145"/>
      <c r="M408" s="144"/>
    </row>
    <row r="409" spans="1:13" ht="15" customHeight="1">
      <c r="A409" s="146" t="s">
        <v>1236</v>
      </c>
      <c r="B409" s="146">
        <v>521843</v>
      </c>
      <c r="C409" s="147" t="s">
        <v>1237</v>
      </c>
      <c r="D409" s="146" t="s">
        <v>1200</v>
      </c>
      <c r="E409" s="147" t="s">
        <v>1232</v>
      </c>
      <c r="F409" s="147" t="s">
        <v>1238</v>
      </c>
      <c r="G409" s="146" t="s">
        <v>109</v>
      </c>
      <c r="H409" s="146" t="s">
        <v>55</v>
      </c>
      <c r="I409" s="147" t="s">
        <v>435</v>
      </c>
      <c r="J409" s="147" t="s">
        <v>104</v>
      </c>
      <c r="K409" s="148"/>
      <c r="L409" s="149"/>
      <c r="M409" s="148"/>
    </row>
    <row r="410" spans="1:13" ht="15" customHeight="1">
      <c r="A410" s="142" t="s">
        <v>1239</v>
      </c>
      <c r="B410" s="142">
        <v>521759</v>
      </c>
      <c r="C410" s="143" t="s">
        <v>1240</v>
      </c>
      <c r="D410" s="142" t="s">
        <v>1200</v>
      </c>
      <c r="E410" s="143" t="s">
        <v>1241</v>
      </c>
      <c r="F410" s="143" t="s">
        <v>1242</v>
      </c>
      <c r="G410" s="142" t="s">
        <v>109</v>
      </c>
      <c r="H410" s="142" t="s">
        <v>55</v>
      </c>
      <c r="I410" s="143" t="s">
        <v>435</v>
      </c>
      <c r="J410" s="143" t="s">
        <v>104</v>
      </c>
      <c r="K410" s="144"/>
      <c r="L410" s="145"/>
      <c r="M410" s="144"/>
    </row>
    <row r="411" spans="1:13" ht="15" customHeight="1">
      <c r="A411" s="146" t="s">
        <v>1243</v>
      </c>
      <c r="B411" s="146">
        <v>521824</v>
      </c>
      <c r="C411" s="147" t="s">
        <v>1244</v>
      </c>
      <c r="D411" s="146" t="s">
        <v>1200</v>
      </c>
      <c r="E411" s="147" t="s">
        <v>1200</v>
      </c>
      <c r="F411" s="147" t="s">
        <v>1244</v>
      </c>
      <c r="G411" s="146" t="s">
        <v>109</v>
      </c>
      <c r="H411" s="146" t="s">
        <v>55</v>
      </c>
      <c r="I411" s="147" t="s">
        <v>435</v>
      </c>
      <c r="J411" s="147" t="s">
        <v>104</v>
      </c>
      <c r="K411" s="148"/>
      <c r="L411" s="149"/>
      <c r="M411" s="148"/>
    </row>
    <row r="412" spans="1:13" ht="15" customHeight="1">
      <c r="A412" s="142" t="s">
        <v>1245</v>
      </c>
      <c r="B412" s="142">
        <v>521842</v>
      </c>
      <c r="C412" s="143" t="s">
        <v>1246</v>
      </c>
      <c r="D412" s="142" t="s">
        <v>1200</v>
      </c>
      <c r="E412" s="143" t="s">
        <v>1247</v>
      </c>
      <c r="F412" s="143" t="s">
        <v>1248</v>
      </c>
      <c r="G412" s="142" t="s">
        <v>109</v>
      </c>
      <c r="H412" s="142" t="s">
        <v>55</v>
      </c>
      <c r="I412" s="143" t="s">
        <v>435</v>
      </c>
      <c r="J412" s="143" t="s">
        <v>104</v>
      </c>
      <c r="K412" s="144"/>
      <c r="L412" s="145"/>
      <c r="M412" s="144"/>
    </row>
    <row r="413" spans="1:13" ht="15" customHeight="1">
      <c r="A413" s="146" t="s">
        <v>1249</v>
      </c>
      <c r="B413" s="146">
        <v>521806</v>
      </c>
      <c r="C413" s="147" t="s">
        <v>1250</v>
      </c>
      <c r="D413" s="146" t="s">
        <v>1200</v>
      </c>
      <c r="E413" s="147" t="s">
        <v>1251</v>
      </c>
      <c r="F413" s="147" t="s">
        <v>1252</v>
      </c>
      <c r="G413" s="146" t="s">
        <v>109</v>
      </c>
      <c r="H413" s="146" t="s">
        <v>55</v>
      </c>
      <c r="I413" s="147" t="s">
        <v>435</v>
      </c>
      <c r="J413" s="147" t="s">
        <v>104</v>
      </c>
      <c r="K413" s="148"/>
      <c r="L413" s="149"/>
      <c r="M413" s="148"/>
    </row>
    <row r="414" spans="1:13" ht="15" customHeight="1">
      <c r="A414" s="142" t="s">
        <v>1253</v>
      </c>
      <c r="B414" s="142">
        <v>521804</v>
      </c>
      <c r="C414" s="143" t="s">
        <v>1254</v>
      </c>
      <c r="D414" s="142" t="s">
        <v>1200</v>
      </c>
      <c r="E414" s="143" t="s">
        <v>1251</v>
      </c>
      <c r="F414" s="143" t="s">
        <v>1255</v>
      </c>
      <c r="G414" s="142" t="s">
        <v>109</v>
      </c>
      <c r="H414" s="142" t="s">
        <v>55</v>
      </c>
      <c r="I414" s="143" t="s">
        <v>435</v>
      </c>
      <c r="J414" s="143" t="s">
        <v>104</v>
      </c>
      <c r="K414" s="144"/>
      <c r="L414" s="145"/>
      <c r="M414" s="144"/>
    </row>
    <row r="415" spans="1:13" ht="15" customHeight="1">
      <c r="A415" s="146" t="s">
        <v>1256</v>
      </c>
      <c r="B415" s="146">
        <v>521786</v>
      </c>
      <c r="C415" s="147" t="s">
        <v>1257</v>
      </c>
      <c r="D415" s="146" t="s">
        <v>1200</v>
      </c>
      <c r="E415" s="147" t="s">
        <v>1258</v>
      </c>
      <c r="F415" s="147" t="s">
        <v>1259</v>
      </c>
      <c r="G415" s="146" t="s">
        <v>109</v>
      </c>
      <c r="H415" s="146" t="s">
        <v>55</v>
      </c>
      <c r="I415" s="147" t="s">
        <v>435</v>
      </c>
      <c r="J415" s="147" t="s">
        <v>104</v>
      </c>
      <c r="K415" s="148"/>
      <c r="L415" s="149"/>
      <c r="M415" s="148"/>
    </row>
    <row r="416" spans="1:13" ht="15" customHeight="1">
      <c r="A416" s="142" t="s">
        <v>1260</v>
      </c>
      <c r="B416" s="142">
        <v>521762</v>
      </c>
      <c r="C416" s="143" t="s">
        <v>1261</v>
      </c>
      <c r="D416" s="142" t="s">
        <v>1200</v>
      </c>
      <c r="E416" s="143" t="s">
        <v>254</v>
      </c>
      <c r="F416" s="143" t="s">
        <v>1262</v>
      </c>
      <c r="G416" s="142" t="s">
        <v>109</v>
      </c>
      <c r="H416" s="142" t="s">
        <v>55</v>
      </c>
      <c r="I416" s="143" t="s">
        <v>435</v>
      </c>
      <c r="J416" s="143" t="s">
        <v>104</v>
      </c>
      <c r="K416" s="144"/>
      <c r="L416" s="145"/>
      <c r="M416" s="144"/>
    </row>
    <row r="417" spans="1:13" ht="15" customHeight="1">
      <c r="A417" s="146" t="s">
        <v>1263</v>
      </c>
      <c r="B417" s="146">
        <v>521770</v>
      </c>
      <c r="C417" s="147" t="s">
        <v>1264</v>
      </c>
      <c r="D417" s="146" t="s">
        <v>1200</v>
      </c>
      <c r="E417" s="147" t="s">
        <v>1241</v>
      </c>
      <c r="F417" s="147" t="s">
        <v>1265</v>
      </c>
      <c r="G417" s="146" t="s">
        <v>109</v>
      </c>
      <c r="H417" s="146" t="s">
        <v>55</v>
      </c>
      <c r="I417" s="147" t="s">
        <v>435</v>
      </c>
      <c r="J417" s="147" t="s">
        <v>104</v>
      </c>
      <c r="K417" s="148"/>
      <c r="L417" s="149"/>
      <c r="M417" s="148"/>
    </row>
    <row r="418" spans="1:13" ht="15" customHeight="1">
      <c r="A418" s="142" t="s">
        <v>1266</v>
      </c>
      <c r="B418" s="142">
        <v>521769</v>
      </c>
      <c r="C418" s="143" t="s">
        <v>1267</v>
      </c>
      <c r="D418" s="142" t="s">
        <v>1200</v>
      </c>
      <c r="E418" s="143" t="s">
        <v>1200</v>
      </c>
      <c r="F418" s="143" t="s">
        <v>1268</v>
      </c>
      <c r="G418" s="142" t="s">
        <v>109</v>
      </c>
      <c r="H418" s="142" t="s">
        <v>55</v>
      </c>
      <c r="I418" s="143" t="s">
        <v>435</v>
      </c>
      <c r="J418" s="143" t="s">
        <v>104</v>
      </c>
      <c r="K418" s="144"/>
      <c r="L418" s="145"/>
      <c r="M418" s="144"/>
    </row>
    <row r="419" spans="1:13" ht="15" customHeight="1">
      <c r="A419" s="146" t="s">
        <v>1269</v>
      </c>
      <c r="B419" s="146">
        <v>521766</v>
      </c>
      <c r="C419" s="147" t="s">
        <v>1270</v>
      </c>
      <c r="D419" s="146" t="s">
        <v>1200</v>
      </c>
      <c r="E419" s="147" t="s">
        <v>1200</v>
      </c>
      <c r="F419" s="147" t="s">
        <v>1271</v>
      </c>
      <c r="G419" s="146" t="s">
        <v>102</v>
      </c>
      <c r="H419" s="146" t="s">
        <v>55</v>
      </c>
      <c r="I419" s="147" t="s">
        <v>435</v>
      </c>
      <c r="J419" s="147" t="s">
        <v>104</v>
      </c>
      <c r="K419" s="148"/>
      <c r="L419" s="149"/>
      <c r="M419" s="148"/>
    </row>
    <row r="420" spans="1:13" ht="15" customHeight="1">
      <c r="A420" s="142" t="s">
        <v>1272</v>
      </c>
      <c r="B420" s="142">
        <v>521793</v>
      </c>
      <c r="C420" s="143" t="s">
        <v>1273</v>
      </c>
      <c r="D420" s="142" t="s">
        <v>1200</v>
      </c>
      <c r="E420" s="143" t="s">
        <v>563</v>
      </c>
      <c r="F420" s="143" t="s">
        <v>1274</v>
      </c>
      <c r="G420" s="142" t="s">
        <v>109</v>
      </c>
      <c r="H420" s="142" t="s">
        <v>55</v>
      </c>
      <c r="I420" s="143" t="s">
        <v>435</v>
      </c>
      <c r="J420" s="143" t="s">
        <v>104</v>
      </c>
      <c r="K420" s="144"/>
      <c r="L420" s="145"/>
      <c r="M420" s="144"/>
    </row>
    <row r="421" spans="1:13" ht="15" customHeight="1">
      <c r="A421" s="146" t="s">
        <v>1275</v>
      </c>
      <c r="B421" s="146">
        <v>521777</v>
      </c>
      <c r="C421" s="147" t="s">
        <v>1182</v>
      </c>
      <c r="D421" s="146" t="s">
        <v>1200</v>
      </c>
      <c r="E421" s="147" t="s">
        <v>563</v>
      </c>
      <c r="F421" s="147" t="s">
        <v>1276</v>
      </c>
      <c r="G421" s="146" t="s">
        <v>109</v>
      </c>
      <c r="H421" s="146" t="s">
        <v>55</v>
      </c>
      <c r="I421" s="147" t="s">
        <v>435</v>
      </c>
      <c r="J421" s="147" t="s">
        <v>104</v>
      </c>
      <c r="K421" s="148"/>
      <c r="L421" s="149"/>
      <c r="M421" s="148"/>
    </row>
    <row r="422" spans="1:13" ht="15" customHeight="1">
      <c r="A422" s="142" t="s">
        <v>1277</v>
      </c>
      <c r="B422" s="142">
        <v>521834</v>
      </c>
      <c r="C422" s="143" t="s">
        <v>1278</v>
      </c>
      <c r="D422" s="142" t="s">
        <v>1200</v>
      </c>
      <c r="E422" s="143" t="s">
        <v>563</v>
      </c>
      <c r="F422" s="143" t="s">
        <v>1279</v>
      </c>
      <c r="G422" s="142" t="s">
        <v>109</v>
      </c>
      <c r="H422" s="142" t="s">
        <v>55</v>
      </c>
      <c r="I422" s="143" t="s">
        <v>435</v>
      </c>
      <c r="J422" s="143" t="s">
        <v>104</v>
      </c>
      <c r="K422" s="144"/>
      <c r="L422" s="145"/>
      <c r="M422" s="144"/>
    </row>
    <row r="423" spans="1:13" ht="15" customHeight="1">
      <c r="A423" s="146" t="s">
        <v>1280</v>
      </c>
      <c r="B423" s="146">
        <v>521790</v>
      </c>
      <c r="C423" s="147" t="s">
        <v>1281</v>
      </c>
      <c r="D423" s="146" t="s">
        <v>1200</v>
      </c>
      <c r="E423" s="147" t="s">
        <v>1282</v>
      </c>
      <c r="F423" s="147" t="s">
        <v>1283</v>
      </c>
      <c r="G423" s="146" t="s">
        <v>109</v>
      </c>
      <c r="H423" s="146" t="s">
        <v>55</v>
      </c>
      <c r="I423" s="147" t="s">
        <v>435</v>
      </c>
      <c r="J423" s="147" t="s">
        <v>104</v>
      </c>
      <c r="K423" s="148"/>
      <c r="L423" s="149"/>
      <c r="M423" s="148"/>
    </row>
    <row r="424" spans="1:13" ht="15" customHeight="1">
      <c r="A424" s="142" t="s">
        <v>1284</v>
      </c>
      <c r="B424" s="142">
        <v>521836</v>
      </c>
      <c r="C424" s="143" t="s">
        <v>1285</v>
      </c>
      <c r="D424" s="142" t="s">
        <v>1200</v>
      </c>
      <c r="E424" s="143" t="s">
        <v>1286</v>
      </c>
      <c r="F424" s="143" t="s">
        <v>1002</v>
      </c>
      <c r="G424" s="142" t="s">
        <v>109</v>
      </c>
      <c r="H424" s="142" t="s">
        <v>55</v>
      </c>
      <c r="I424" s="143" t="s">
        <v>435</v>
      </c>
      <c r="J424" s="143" t="s">
        <v>104</v>
      </c>
      <c r="K424" s="144"/>
      <c r="L424" s="145"/>
      <c r="M424" s="144"/>
    </row>
    <row r="425" spans="1:13" ht="15" customHeight="1">
      <c r="A425" s="146" t="s">
        <v>1287</v>
      </c>
      <c r="B425" s="146">
        <v>521837</v>
      </c>
      <c r="C425" s="147" t="s">
        <v>1288</v>
      </c>
      <c r="D425" s="146" t="s">
        <v>1200</v>
      </c>
      <c r="E425" s="147" t="s">
        <v>1286</v>
      </c>
      <c r="F425" s="147" t="s">
        <v>1289</v>
      </c>
      <c r="G425" s="146" t="s">
        <v>109</v>
      </c>
      <c r="H425" s="146" t="s">
        <v>55</v>
      </c>
      <c r="I425" s="147" t="s">
        <v>435</v>
      </c>
      <c r="J425" s="147" t="s">
        <v>104</v>
      </c>
      <c r="K425" s="148"/>
      <c r="L425" s="149"/>
      <c r="M425" s="148"/>
    </row>
    <row r="426" spans="1:13" ht="15" customHeight="1">
      <c r="A426" s="142" t="s">
        <v>1290</v>
      </c>
      <c r="B426" s="142">
        <v>521833</v>
      </c>
      <c r="C426" s="143" t="s">
        <v>1291</v>
      </c>
      <c r="D426" s="142" t="s">
        <v>1200</v>
      </c>
      <c r="E426" s="143" t="s">
        <v>1200</v>
      </c>
      <c r="F426" s="143" t="s">
        <v>1292</v>
      </c>
      <c r="G426" s="142" t="s">
        <v>109</v>
      </c>
      <c r="H426" s="142" t="s">
        <v>55</v>
      </c>
      <c r="I426" s="143" t="s">
        <v>435</v>
      </c>
      <c r="J426" s="143" t="s">
        <v>104</v>
      </c>
      <c r="K426" s="144"/>
      <c r="L426" s="145"/>
      <c r="M426" s="144"/>
    </row>
    <row r="427" spans="1:13" ht="15" customHeight="1">
      <c r="A427" s="146" t="s">
        <v>1293</v>
      </c>
      <c r="B427" s="146">
        <v>521778</v>
      </c>
      <c r="C427" s="147" t="s">
        <v>1294</v>
      </c>
      <c r="D427" s="146" t="s">
        <v>1200</v>
      </c>
      <c r="E427" s="147" t="s">
        <v>1241</v>
      </c>
      <c r="F427" s="147" t="s">
        <v>1295</v>
      </c>
      <c r="G427" s="146" t="s">
        <v>109</v>
      </c>
      <c r="H427" s="146" t="s">
        <v>55</v>
      </c>
      <c r="I427" s="147" t="s">
        <v>435</v>
      </c>
      <c r="J427" s="147" t="s">
        <v>104</v>
      </c>
      <c r="K427" s="148"/>
      <c r="L427" s="149"/>
      <c r="M427" s="148"/>
    </row>
    <row r="428" spans="1:13" ht="15" customHeight="1">
      <c r="A428" s="142" t="s">
        <v>1296</v>
      </c>
      <c r="B428" s="142">
        <v>521754</v>
      </c>
      <c r="C428" s="143" t="s">
        <v>1297</v>
      </c>
      <c r="D428" s="142" t="s">
        <v>1200</v>
      </c>
      <c r="E428" s="143" t="s">
        <v>1200</v>
      </c>
      <c r="F428" s="143" t="s">
        <v>1298</v>
      </c>
      <c r="G428" s="142" t="s">
        <v>109</v>
      </c>
      <c r="H428" s="142" t="s">
        <v>55</v>
      </c>
      <c r="I428" s="143" t="s">
        <v>435</v>
      </c>
      <c r="J428" s="143" t="s">
        <v>104</v>
      </c>
      <c r="K428" s="144"/>
      <c r="L428" s="145"/>
      <c r="M428" s="144"/>
    </row>
    <row r="429" spans="1:13" ht="15" customHeight="1">
      <c r="A429" s="146" t="s">
        <v>1299</v>
      </c>
      <c r="B429" s="146">
        <v>521840</v>
      </c>
      <c r="C429" s="147" t="s">
        <v>1300</v>
      </c>
      <c r="D429" s="146" t="s">
        <v>1200</v>
      </c>
      <c r="E429" s="147" t="s">
        <v>1200</v>
      </c>
      <c r="F429" s="147" t="s">
        <v>1301</v>
      </c>
      <c r="G429" s="146" t="s">
        <v>109</v>
      </c>
      <c r="H429" s="146" t="s">
        <v>55</v>
      </c>
      <c r="I429" s="147" t="s">
        <v>435</v>
      </c>
      <c r="J429" s="147" t="s">
        <v>104</v>
      </c>
      <c r="K429" s="148"/>
      <c r="L429" s="149"/>
      <c r="M429" s="148"/>
    </row>
    <row r="430" spans="1:13" ht="15" customHeight="1">
      <c r="A430" s="142" t="s">
        <v>1302</v>
      </c>
      <c r="B430" s="142">
        <v>521750</v>
      </c>
      <c r="C430" s="143" t="s">
        <v>1303</v>
      </c>
      <c r="D430" s="142" t="s">
        <v>1200</v>
      </c>
      <c r="E430" s="143" t="s">
        <v>1304</v>
      </c>
      <c r="F430" s="143" t="s">
        <v>1305</v>
      </c>
      <c r="G430" s="142" t="s">
        <v>109</v>
      </c>
      <c r="H430" s="142" t="s">
        <v>55</v>
      </c>
      <c r="I430" s="143" t="s">
        <v>435</v>
      </c>
      <c r="J430" s="143" t="s">
        <v>104</v>
      </c>
      <c r="K430" s="144"/>
      <c r="L430" s="145"/>
      <c r="M430" s="144"/>
    </row>
    <row r="431" spans="1:13" ht="15" customHeight="1">
      <c r="A431" s="146" t="s">
        <v>1306</v>
      </c>
      <c r="B431" s="146">
        <v>521813</v>
      </c>
      <c r="C431" s="147" t="s">
        <v>1307</v>
      </c>
      <c r="D431" s="146" t="s">
        <v>1200</v>
      </c>
      <c r="E431" s="147" t="s">
        <v>1304</v>
      </c>
      <c r="F431" s="147" t="s">
        <v>1308</v>
      </c>
      <c r="G431" s="146" t="s">
        <v>109</v>
      </c>
      <c r="H431" s="146" t="s">
        <v>55</v>
      </c>
      <c r="I431" s="147" t="s">
        <v>435</v>
      </c>
      <c r="J431" s="147" t="s">
        <v>104</v>
      </c>
      <c r="K431" s="148" t="s">
        <v>121</v>
      </c>
      <c r="L431" s="149">
        <v>46151</v>
      </c>
      <c r="M431" s="148"/>
    </row>
    <row r="432" spans="1:13" ht="15" customHeight="1">
      <c r="A432" s="142" t="s">
        <v>1309</v>
      </c>
      <c r="B432" s="142">
        <v>521817</v>
      </c>
      <c r="C432" s="143" t="s">
        <v>1002</v>
      </c>
      <c r="D432" s="142" t="s">
        <v>1200</v>
      </c>
      <c r="E432" s="143" t="s">
        <v>1310</v>
      </c>
      <c r="F432" s="143" t="s">
        <v>1002</v>
      </c>
      <c r="G432" s="142" t="s">
        <v>109</v>
      </c>
      <c r="H432" s="142" t="s">
        <v>55</v>
      </c>
      <c r="I432" s="143" t="s">
        <v>435</v>
      </c>
      <c r="J432" s="143" t="s">
        <v>104</v>
      </c>
      <c r="K432" s="144"/>
      <c r="L432" s="145"/>
      <c r="M432" s="144"/>
    </row>
    <row r="433" spans="1:13" ht="15" customHeight="1">
      <c r="A433" s="146" t="s">
        <v>1311</v>
      </c>
      <c r="B433" s="146">
        <v>521823</v>
      </c>
      <c r="C433" s="147" t="s">
        <v>1312</v>
      </c>
      <c r="D433" s="146" t="s">
        <v>1200</v>
      </c>
      <c r="E433" s="147" t="s">
        <v>1247</v>
      </c>
      <c r="F433" s="147" t="s">
        <v>1313</v>
      </c>
      <c r="G433" s="146" t="s">
        <v>109</v>
      </c>
      <c r="H433" s="146" t="s">
        <v>55</v>
      </c>
      <c r="I433" s="147" t="s">
        <v>435</v>
      </c>
      <c r="J433" s="147" t="s">
        <v>104</v>
      </c>
      <c r="K433" s="148"/>
      <c r="L433" s="149"/>
      <c r="M433" s="148"/>
    </row>
    <row r="434" spans="1:13" ht="15" customHeight="1">
      <c r="A434" s="142" t="s">
        <v>1314</v>
      </c>
      <c r="B434" s="142">
        <v>521814</v>
      </c>
      <c r="C434" s="143" t="s">
        <v>1315</v>
      </c>
      <c r="D434" s="142" t="s">
        <v>1200</v>
      </c>
      <c r="E434" s="143" t="s">
        <v>1316</v>
      </c>
      <c r="F434" s="143" t="s">
        <v>1316</v>
      </c>
      <c r="G434" s="142" t="s">
        <v>109</v>
      </c>
      <c r="H434" s="142" t="s">
        <v>55</v>
      </c>
      <c r="I434" s="143" t="s">
        <v>435</v>
      </c>
      <c r="J434" s="143" t="s">
        <v>104</v>
      </c>
      <c r="K434" s="144"/>
      <c r="L434" s="145"/>
      <c r="M434" s="144"/>
    </row>
    <row r="435" spans="1:13" ht="15" customHeight="1">
      <c r="A435" s="146" t="s">
        <v>1317</v>
      </c>
      <c r="B435" s="146">
        <v>521782</v>
      </c>
      <c r="C435" s="147" t="s">
        <v>1318</v>
      </c>
      <c r="D435" s="146" t="s">
        <v>1200</v>
      </c>
      <c r="E435" s="147" t="s">
        <v>1319</v>
      </c>
      <c r="F435" s="147" t="s">
        <v>1319</v>
      </c>
      <c r="G435" s="146" t="s">
        <v>109</v>
      </c>
      <c r="H435" s="146" t="s">
        <v>55</v>
      </c>
      <c r="I435" s="147" t="s">
        <v>435</v>
      </c>
      <c r="J435" s="147" t="s">
        <v>104</v>
      </c>
      <c r="K435" s="148"/>
      <c r="L435" s="149"/>
      <c r="M435" s="148"/>
    </row>
    <row r="436" spans="1:13" ht="15" customHeight="1">
      <c r="A436" s="142" t="s">
        <v>1320</v>
      </c>
      <c r="B436" s="142">
        <v>521821</v>
      </c>
      <c r="C436" s="143" t="s">
        <v>1321</v>
      </c>
      <c r="D436" s="142" t="s">
        <v>1200</v>
      </c>
      <c r="E436" s="143" t="s">
        <v>1322</v>
      </c>
      <c r="F436" s="143" t="s">
        <v>1323</v>
      </c>
      <c r="G436" s="142" t="s">
        <v>109</v>
      </c>
      <c r="H436" s="142" t="s">
        <v>55</v>
      </c>
      <c r="I436" s="143" t="s">
        <v>435</v>
      </c>
      <c r="J436" s="143" t="s">
        <v>104</v>
      </c>
      <c r="K436" s="144"/>
      <c r="L436" s="145"/>
      <c r="M436" s="144"/>
    </row>
    <row r="437" spans="1:13" ht="15" customHeight="1">
      <c r="A437" s="146" t="s">
        <v>1324</v>
      </c>
      <c r="B437" s="146">
        <v>521835</v>
      </c>
      <c r="C437" s="147" t="s">
        <v>1325</v>
      </c>
      <c r="D437" s="146" t="s">
        <v>1200</v>
      </c>
      <c r="E437" s="147" t="s">
        <v>1326</v>
      </c>
      <c r="F437" s="147" t="s">
        <v>1327</v>
      </c>
      <c r="G437" s="146" t="s">
        <v>109</v>
      </c>
      <c r="H437" s="146" t="s">
        <v>55</v>
      </c>
      <c r="I437" s="147" t="s">
        <v>435</v>
      </c>
      <c r="J437" s="147" t="s">
        <v>104</v>
      </c>
      <c r="K437" s="148"/>
      <c r="L437" s="149"/>
      <c r="M437" s="148"/>
    </row>
    <row r="438" spans="1:13" ht="15" customHeight="1">
      <c r="A438" s="142" t="s">
        <v>1328</v>
      </c>
      <c r="B438" s="142">
        <v>521845</v>
      </c>
      <c r="C438" s="143" t="s">
        <v>1329</v>
      </c>
      <c r="D438" s="142" t="s">
        <v>1200</v>
      </c>
      <c r="E438" s="143" t="s">
        <v>1241</v>
      </c>
      <c r="F438" s="143" t="s">
        <v>1330</v>
      </c>
      <c r="G438" s="142" t="s">
        <v>109</v>
      </c>
      <c r="H438" s="142" t="s">
        <v>55</v>
      </c>
      <c r="I438" s="143" t="s">
        <v>435</v>
      </c>
      <c r="J438" s="143" t="s">
        <v>104</v>
      </c>
      <c r="K438" s="144"/>
      <c r="L438" s="145"/>
      <c r="M438" s="144"/>
    </row>
    <row r="439" spans="1:13" ht="15" customHeight="1">
      <c r="A439" s="146" t="s">
        <v>1331</v>
      </c>
      <c r="B439" s="146">
        <v>521763</v>
      </c>
      <c r="C439" s="147" t="s">
        <v>1332</v>
      </c>
      <c r="D439" s="146" t="s">
        <v>1200</v>
      </c>
      <c r="E439" s="147" t="s">
        <v>1200</v>
      </c>
      <c r="F439" s="147" t="s">
        <v>1333</v>
      </c>
      <c r="G439" s="146" t="s">
        <v>109</v>
      </c>
      <c r="H439" s="146" t="s">
        <v>55</v>
      </c>
      <c r="I439" s="147" t="s">
        <v>435</v>
      </c>
      <c r="J439" s="147" t="s">
        <v>104</v>
      </c>
      <c r="K439" s="148"/>
      <c r="L439" s="149"/>
      <c r="M439" s="148"/>
    </row>
    <row r="440" spans="1:13" ht="15" customHeight="1">
      <c r="A440" s="142" t="s">
        <v>1334</v>
      </c>
      <c r="B440" s="142">
        <v>521841</v>
      </c>
      <c r="C440" s="143" t="s">
        <v>1335</v>
      </c>
      <c r="D440" s="142" t="s">
        <v>1200</v>
      </c>
      <c r="E440" s="143" t="s">
        <v>1200</v>
      </c>
      <c r="F440" s="143" t="s">
        <v>1200</v>
      </c>
      <c r="G440" s="142" t="s">
        <v>109</v>
      </c>
      <c r="H440" s="142" t="s">
        <v>55</v>
      </c>
      <c r="I440" s="143" t="s">
        <v>435</v>
      </c>
      <c r="J440" s="143" t="s">
        <v>104</v>
      </c>
      <c r="K440" s="144"/>
      <c r="L440" s="145"/>
      <c r="M440" s="144"/>
    </row>
    <row r="441" spans="1:13" ht="15" customHeight="1">
      <c r="A441" s="146" t="s">
        <v>1336</v>
      </c>
      <c r="B441" s="146">
        <v>521839</v>
      </c>
      <c r="C441" s="147" t="s">
        <v>1337</v>
      </c>
      <c r="D441" s="146" t="s">
        <v>1200</v>
      </c>
      <c r="E441" s="147" t="s">
        <v>1338</v>
      </c>
      <c r="F441" s="147" t="s">
        <v>1339</v>
      </c>
      <c r="G441" s="146" t="s">
        <v>109</v>
      </c>
      <c r="H441" s="146" t="s">
        <v>55</v>
      </c>
      <c r="I441" s="147" t="s">
        <v>435</v>
      </c>
      <c r="J441" s="147" t="s">
        <v>104</v>
      </c>
      <c r="K441" s="148"/>
      <c r="L441" s="149"/>
      <c r="M441" s="148"/>
    </row>
    <row r="442" spans="1:13" ht="15" customHeight="1">
      <c r="A442" s="142" t="s">
        <v>1340</v>
      </c>
      <c r="B442" s="142">
        <v>521746</v>
      </c>
      <c r="C442" s="143" t="s">
        <v>1341</v>
      </c>
      <c r="D442" s="142" t="s">
        <v>1200</v>
      </c>
      <c r="E442" s="143" t="s">
        <v>1304</v>
      </c>
      <c r="F442" s="143" t="s">
        <v>1342</v>
      </c>
      <c r="G442" s="142" t="s">
        <v>109</v>
      </c>
      <c r="H442" s="142" t="s">
        <v>55</v>
      </c>
      <c r="I442" s="143" t="s">
        <v>435</v>
      </c>
      <c r="J442" s="143" t="s">
        <v>104</v>
      </c>
      <c r="K442" s="144" t="s">
        <v>121</v>
      </c>
      <c r="L442" s="145">
        <v>46150</v>
      </c>
      <c r="M442" s="144"/>
    </row>
    <row r="443" spans="1:13" ht="15" customHeight="1">
      <c r="A443" s="146" t="s">
        <v>1343</v>
      </c>
      <c r="B443" s="146">
        <v>521737</v>
      </c>
      <c r="C443" s="147" t="s">
        <v>1344</v>
      </c>
      <c r="D443" s="146" t="s">
        <v>1200</v>
      </c>
      <c r="E443" s="147" t="s">
        <v>1322</v>
      </c>
      <c r="F443" s="147" t="s">
        <v>1345</v>
      </c>
      <c r="G443" s="146" t="s">
        <v>109</v>
      </c>
      <c r="H443" s="146" t="s">
        <v>55</v>
      </c>
      <c r="I443" s="147" t="s">
        <v>435</v>
      </c>
      <c r="J443" s="147" t="s">
        <v>104</v>
      </c>
      <c r="K443" s="148"/>
      <c r="L443" s="149"/>
      <c r="M443" s="148"/>
    </row>
    <row r="444" spans="1:13" ht="15" customHeight="1">
      <c r="A444" s="142" t="s">
        <v>1346</v>
      </c>
      <c r="B444" s="142">
        <v>521791</v>
      </c>
      <c r="C444" s="143" t="s">
        <v>1347</v>
      </c>
      <c r="D444" s="142" t="s">
        <v>1200</v>
      </c>
      <c r="E444" s="143" t="s">
        <v>1282</v>
      </c>
      <c r="F444" s="143" t="s">
        <v>1348</v>
      </c>
      <c r="G444" s="142" t="s">
        <v>109</v>
      </c>
      <c r="H444" s="142" t="s">
        <v>55</v>
      </c>
      <c r="I444" s="143" t="s">
        <v>435</v>
      </c>
      <c r="J444" s="143" t="s">
        <v>104</v>
      </c>
      <c r="K444" s="144"/>
      <c r="L444" s="145"/>
      <c r="M444" s="144"/>
    </row>
    <row r="445" spans="1:13" ht="15" customHeight="1">
      <c r="A445" s="146" t="s">
        <v>1349</v>
      </c>
      <c r="B445" s="146">
        <v>521785</v>
      </c>
      <c r="C445" s="147" t="s">
        <v>1350</v>
      </c>
      <c r="D445" s="146" t="s">
        <v>1200</v>
      </c>
      <c r="E445" s="147" t="s">
        <v>1258</v>
      </c>
      <c r="F445" s="147" t="s">
        <v>1351</v>
      </c>
      <c r="G445" s="146" t="s">
        <v>109</v>
      </c>
      <c r="H445" s="146" t="s">
        <v>55</v>
      </c>
      <c r="I445" s="147" t="s">
        <v>435</v>
      </c>
      <c r="J445" s="147" t="s">
        <v>104</v>
      </c>
      <c r="K445" s="148"/>
      <c r="L445" s="149"/>
      <c r="M445" s="148"/>
    </row>
    <row r="446" spans="1:13" ht="15" customHeight="1">
      <c r="A446" s="142" t="s">
        <v>1352</v>
      </c>
      <c r="B446" s="142">
        <v>521787</v>
      </c>
      <c r="C446" s="143" t="s">
        <v>1353</v>
      </c>
      <c r="D446" s="142" t="s">
        <v>1200</v>
      </c>
      <c r="E446" s="143" t="s">
        <v>1251</v>
      </c>
      <c r="F446" s="143" t="s">
        <v>1354</v>
      </c>
      <c r="G446" s="142" t="s">
        <v>109</v>
      </c>
      <c r="H446" s="142" t="s">
        <v>55</v>
      </c>
      <c r="I446" s="143" t="s">
        <v>435</v>
      </c>
      <c r="J446" s="143" t="s">
        <v>104</v>
      </c>
      <c r="K446" s="144"/>
      <c r="L446" s="145"/>
      <c r="M446" s="144"/>
    </row>
    <row r="447" spans="1:13" ht="15" customHeight="1">
      <c r="A447" s="146" t="s">
        <v>1355</v>
      </c>
      <c r="B447" s="146">
        <v>521809</v>
      </c>
      <c r="C447" s="147" t="s">
        <v>1356</v>
      </c>
      <c r="D447" s="146" t="s">
        <v>1200</v>
      </c>
      <c r="E447" s="147" t="s">
        <v>1357</v>
      </c>
      <c r="F447" s="147" t="s">
        <v>1358</v>
      </c>
      <c r="G447" s="146" t="s">
        <v>109</v>
      </c>
      <c r="H447" s="146" t="s">
        <v>55</v>
      </c>
      <c r="I447" s="147" t="s">
        <v>435</v>
      </c>
      <c r="J447" s="147" t="s">
        <v>104</v>
      </c>
      <c r="K447" s="148"/>
      <c r="L447" s="149"/>
      <c r="M447" s="148"/>
    </row>
    <row r="448" spans="1:13" ht="15" customHeight="1">
      <c r="A448" s="142" t="s">
        <v>1359</v>
      </c>
      <c r="B448" s="142">
        <v>521794</v>
      </c>
      <c r="C448" s="143" t="s">
        <v>1360</v>
      </c>
      <c r="D448" s="142" t="s">
        <v>1200</v>
      </c>
      <c r="E448" s="143" t="s">
        <v>1361</v>
      </c>
      <c r="F448" s="143" t="s">
        <v>1362</v>
      </c>
      <c r="G448" s="142" t="s">
        <v>109</v>
      </c>
      <c r="H448" s="142" t="s">
        <v>55</v>
      </c>
      <c r="I448" s="143" t="s">
        <v>435</v>
      </c>
      <c r="J448" s="143" t="s">
        <v>104</v>
      </c>
      <c r="K448" s="144"/>
      <c r="L448" s="145"/>
      <c r="M448" s="144"/>
    </row>
    <row r="449" spans="1:13" ht="15" customHeight="1">
      <c r="A449" s="146" t="s">
        <v>1363</v>
      </c>
      <c r="B449" s="146">
        <v>521749</v>
      </c>
      <c r="C449" s="147" t="s">
        <v>1364</v>
      </c>
      <c r="D449" s="146" t="s">
        <v>1200</v>
      </c>
      <c r="E449" s="147" t="s">
        <v>1365</v>
      </c>
      <c r="F449" s="147" t="s">
        <v>1366</v>
      </c>
      <c r="G449" s="146" t="s">
        <v>109</v>
      </c>
      <c r="H449" s="146" t="s">
        <v>55</v>
      </c>
      <c r="I449" s="147" t="s">
        <v>435</v>
      </c>
      <c r="J449" s="147" t="s">
        <v>104</v>
      </c>
      <c r="K449" s="148"/>
      <c r="L449" s="149"/>
      <c r="M449" s="148"/>
    </row>
    <row r="450" spans="1:13" ht="15" customHeight="1">
      <c r="A450" s="142" t="s">
        <v>1367</v>
      </c>
      <c r="B450" s="142">
        <v>521752</v>
      </c>
      <c r="C450" s="143" t="s">
        <v>1368</v>
      </c>
      <c r="D450" s="142" t="s">
        <v>1200</v>
      </c>
      <c r="E450" s="143" t="s">
        <v>1200</v>
      </c>
      <c r="F450" s="143" t="s">
        <v>1369</v>
      </c>
      <c r="G450" s="142" t="s">
        <v>109</v>
      </c>
      <c r="H450" s="142" t="s">
        <v>55</v>
      </c>
      <c r="I450" s="143" t="s">
        <v>435</v>
      </c>
      <c r="J450" s="143" t="s">
        <v>104</v>
      </c>
      <c r="K450" s="144"/>
      <c r="L450" s="145"/>
      <c r="M450" s="144"/>
    </row>
    <row r="451" spans="1:13" ht="15" customHeight="1">
      <c r="A451" s="146" t="s">
        <v>1370</v>
      </c>
      <c r="B451" s="146">
        <v>521745</v>
      </c>
      <c r="C451" s="147" t="s">
        <v>1371</v>
      </c>
      <c r="D451" s="146" t="s">
        <v>1200</v>
      </c>
      <c r="E451" s="147" t="s">
        <v>1304</v>
      </c>
      <c r="F451" s="147" t="s">
        <v>1372</v>
      </c>
      <c r="G451" s="146" t="s">
        <v>109</v>
      </c>
      <c r="H451" s="146" t="s">
        <v>55</v>
      </c>
      <c r="I451" s="147" t="s">
        <v>435</v>
      </c>
      <c r="J451" s="147" t="s">
        <v>104</v>
      </c>
      <c r="K451" s="148" t="s">
        <v>121</v>
      </c>
      <c r="L451" s="149">
        <v>46153</v>
      </c>
      <c r="M451" s="148"/>
    </row>
    <row r="452" spans="1:13" ht="15" customHeight="1">
      <c r="A452" s="142" t="s">
        <v>1373</v>
      </c>
      <c r="B452" s="142">
        <v>521758</v>
      </c>
      <c r="C452" s="143" t="s">
        <v>1374</v>
      </c>
      <c r="D452" s="142" t="s">
        <v>1200</v>
      </c>
      <c r="E452" s="143" t="s">
        <v>1215</v>
      </c>
      <c r="F452" s="143" t="s">
        <v>1375</v>
      </c>
      <c r="G452" s="142" t="s">
        <v>109</v>
      </c>
      <c r="H452" s="142" t="s">
        <v>55</v>
      </c>
      <c r="I452" s="143" t="s">
        <v>435</v>
      </c>
      <c r="J452" s="143" t="s">
        <v>104</v>
      </c>
      <c r="K452" s="144"/>
      <c r="L452" s="145"/>
      <c r="M452" s="144"/>
    </row>
    <row r="453" spans="1:13" ht="15" customHeight="1">
      <c r="A453" s="146" t="s">
        <v>1376</v>
      </c>
      <c r="B453" s="146">
        <v>521807</v>
      </c>
      <c r="C453" s="147" t="s">
        <v>1377</v>
      </c>
      <c r="D453" s="146" t="s">
        <v>1200</v>
      </c>
      <c r="E453" s="147" t="s">
        <v>1378</v>
      </c>
      <c r="F453" s="147" t="s">
        <v>1379</v>
      </c>
      <c r="G453" s="146" t="s">
        <v>109</v>
      </c>
      <c r="H453" s="146" t="s">
        <v>55</v>
      </c>
      <c r="I453" s="147" t="s">
        <v>435</v>
      </c>
      <c r="J453" s="147" t="s">
        <v>104</v>
      </c>
      <c r="K453" s="148"/>
      <c r="L453" s="149"/>
      <c r="M453" s="148"/>
    </row>
    <row r="454" spans="1:13" ht="15" customHeight="1">
      <c r="A454" s="142" t="s">
        <v>1380</v>
      </c>
      <c r="B454" s="142">
        <v>521743</v>
      </c>
      <c r="C454" s="143" t="s">
        <v>1381</v>
      </c>
      <c r="D454" s="142" t="s">
        <v>1200</v>
      </c>
      <c r="E454" s="143" t="s">
        <v>1304</v>
      </c>
      <c r="F454" s="143" t="s">
        <v>1382</v>
      </c>
      <c r="G454" s="142" t="s">
        <v>109</v>
      </c>
      <c r="H454" s="142" t="s">
        <v>55</v>
      </c>
      <c r="I454" s="143" t="s">
        <v>435</v>
      </c>
      <c r="J454" s="143" t="s">
        <v>104</v>
      </c>
      <c r="K454" s="144" t="s">
        <v>121</v>
      </c>
      <c r="L454" s="145">
        <v>46150</v>
      </c>
      <c r="M454" s="144"/>
    </row>
    <row r="455" spans="1:13" ht="15" customHeight="1">
      <c r="A455" s="146" t="s">
        <v>1383</v>
      </c>
      <c r="B455" s="146">
        <v>521776</v>
      </c>
      <c r="C455" s="147" t="s">
        <v>1384</v>
      </c>
      <c r="D455" s="146" t="s">
        <v>1200</v>
      </c>
      <c r="E455" s="147" t="s">
        <v>1357</v>
      </c>
      <c r="F455" s="147" t="s">
        <v>1385</v>
      </c>
      <c r="G455" s="146" t="s">
        <v>109</v>
      </c>
      <c r="H455" s="146" t="s">
        <v>55</v>
      </c>
      <c r="I455" s="147" t="s">
        <v>435</v>
      </c>
      <c r="J455" s="147" t="s">
        <v>104</v>
      </c>
      <c r="K455" s="148"/>
      <c r="L455" s="149"/>
      <c r="M455" s="148"/>
    </row>
    <row r="456" spans="1:13" ht="15" customHeight="1">
      <c r="A456" s="142" t="s">
        <v>1386</v>
      </c>
      <c r="B456" s="142">
        <v>521816</v>
      </c>
      <c r="C456" s="143" t="s">
        <v>1387</v>
      </c>
      <c r="D456" s="142" t="s">
        <v>1200</v>
      </c>
      <c r="E456" s="143" t="s">
        <v>1388</v>
      </c>
      <c r="F456" s="143" t="s">
        <v>1389</v>
      </c>
      <c r="G456" s="142" t="s">
        <v>109</v>
      </c>
      <c r="H456" s="142" t="s">
        <v>55</v>
      </c>
      <c r="I456" s="143" t="s">
        <v>435</v>
      </c>
      <c r="J456" s="143" t="s">
        <v>104</v>
      </c>
      <c r="K456" s="144"/>
      <c r="L456" s="145"/>
      <c r="M456" s="144"/>
    </row>
    <row r="457" spans="1:13" ht="15" customHeight="1">
      <c r="A457" s="146" t="s">
        <v>1390</v>
      </c>
      <c r="B457" s="146">
        <v>521832</v>
      </c>
      <c r="C457" s="147" t="s">
        <v>1391</v>
      </c>
      <c r="D457" s="146" t="s">
        <v>1200</v>
      </c>
      <c r="E457" s="147" t="s">
        <v>1232</v>
      </c>
      <c r="F457" s="147" t="s">
        <v>1392</v>
      </c>
      <c r="G457" s="146" t="s">
        <v>109</v>
      </c>
      <c r="H457" s="146" t="s">
        <v>55</v>
      </c>
      <c r="I457" s="147" t="s">
        <v>435</v>
      </c>
      <c r="J457" s="147" t="s">
        <v>104</v>
      </c>
      <c r="K457" s="148"/>
      <c r="L457" s="149"/>
      <c r="M457" s="148"/>
    </row>
    <row r="458" spans="1:13" ht="15" customHeight="1">
      <c r="A458" s="142" t="s">
        <v>1393</v>
      </c>
      <c r="B458" s="142">
        <v>521738</v>
      </c>
      <c r="C458" s="143" t="s">
        <v>1394</v>
      </c>
      <c r="D458" s="142" t="s">
        <v>1200</v>
      </c>
      <c r="E458" s="143" t="s">
        <v>1304</v>
      </c>
      <c r="F458" s="143" t="s">
        <v>1395</v>
      </c>
      <c r="G458" s="142" t="s">
        <v>102</v>
      </c>
      <c r="H458" s="142" t="s">
        <v>55</v>
      </c>
      <c r="I458" s="143" t="s">
        <v>435</v>
      </c>
      <c r="J458" s="143" t="s">
        <v>104</v>
      </c>
      <c r="K458" s="144" t="s">
        <v>121</v>
      </c>
      <c r="L458" s="145">
        <v>46150</v>
      </c>
      <c r="M458" s="144"/>
    </row>
    <row r="459" spans="1:13" ht="15" customHeight="1">
      <c r="A459" s="146" t="s">
        <v>1396</v>
      </c>
      <c r="B459" s="146">
        <v>521741</v>
      </c>
      <c r="C459" s="147" t="s">
        <v>1397</v>
      </c>
      <c r="D459" s="146" t="s">
        <v>1200</v>
      </c>
      <c r="E459" s="147" t="s">
        <v>1304</v>
      </c>
      <c r="F459" s="147" t="s">
        <v>1398</v>
      </c>
      <c r="G459" s="146" t="s">
        <v>109</v>
      </c>
      <c r="H459" s="146" t="s">
        <v>55</v>
      </c>
      <c r="I459" s="147" t="s">
        <v>435</v>
      </c>
      <c r="J459" s="147" t="s">
        <v>104</v>
      </c>
      <c r="K459" s="148" t="s">
        <v>121</v>
      </c>
      <c r="L459" s="149">
        <v>46151</v>
      </c>
      <c r="M459" s="148"/>
    </row>
    <row r="460" spans="1:13" ht="15" customHeight="1">
      <c r="A460" s="142" t="s">
        <v>1399</v>
      </c>
      <c r="B460" s="142">
        <v>521815</v>
      </c>
      <c r="C460" s="143" t="s">
        <v>1400</v>
      </c>
      <c r="D460" s="142" t="s">
        <v>1200</v>
      </c>
      <c r="E460" s="143" t="s">
        <v>553</v>
      </c>
      <c r="F460" s="143" t="s">
        <v>1401</v>
      </c>
      <c r="G460" s="142" t="s">
        <v>109</v>
      </c>
      <c r="H460" s="142" t="s">
        <v>55</v>
      </c>
      <c r="I460" s="143" t="s">
        <v>435</v>
      </c>
      <c r="J460" s="143" t="s">
        <v>104</v>
      </c>
      <c r="K460" s="144"/>
      <c r="L460" s="145"/>
      <c r="M460" s="144"/>
    </row>
    <row r="461" spans="1:13" ht="15" customHeight="1">
      <c r="A461" s="146" t="s">
        <v>1402</v>
      </c>
      <c r="B461" s="146">
        <v>521829</v>
      </c>
      <c r="C461" s="147" t="s">
        <v>1403</v>
      </c>
      <c r="D461" s="146" t="s">
        <v>1200</v>
      </c>
      <c r="E461" s="147" t="s">
        <v>1404</v>
      </c>
      <c r="F461" s="147" t="s">
        <v>880</v>
      </c>
      <c r="G461" s="146" t="s">
        <v>109</v>
      </c>
      <c r="H461" s="146" t="s">
        <v>55</v>
      </c>
      <c r="I461" s="147" t="s">
        <v>435</v>
      </c>
      <c r="J461" s="147" t="s">
        <v>104</v>
      </c>
      <c r="K461" s="148"/>
      <c r="L461" s="149"/>
      <c r="M461" s="148"/>
    </row>
    <row r="462" spans="1:13" ht="15" customHeight="1">
      <c r="A462" s="142" t="s">
        <v>1405</v>
      </c>
      <c r="B462" s="142">
        <v>521771</v>
      </c>
      <c r="C462" s="143" t="s">
        <v>1406</v>
      </c>
      <c r="D462" s="142" t="s">
        <v>1200</v>
      </c>
      <c r="E462" s="143" t="s">
        <v>1200</v>
      </c>
      <c r="F462" s="143" t="s">
        <v>1407</v>
      </c>
      <c r="G462" s="142" t="s">
        <v>102</v>
      </c>
      <c r="H462" s="142" t="s">
        <v>55</v>
      </c>
      <c r="I462" s="143" t="s">
        <v>435</v>
      </c>
      <c r="J462" s="143" t="s">
        <v>104</v>
      </c>
      <c r="K462" s="144"/>
      <c r="L462" s="145"/>
      <c r="M462" s="144"/>
    </row>
    <row r="463" spans="1:13" ht="15" customHeight="1">
      <c r="A463" s="146" t="s">
        <v>1408</v>
      </c>
      <c r="B463" s="146">
        <v>513661</v>
      </c>
      <c r="C463" s="147" t="s">
        <v>1409</v>
      </c>
      <c r="D463" s="146" t="s">
        <v>1200</v>
      </c>
      <c r="E463" s="147" t="s">
        <v>1388</v>
      </c>
      <c r="F463" s="147" t="s">
        <v>1410</v>
      </c>
      <c r="G463" s="146" t="s">
        <v>109</v>
      </c>
      <c r="H463" s="146" t="s">
        <v>55</v>
      </c>
      <c r="I463" s="147" t="s">
        <v>435</v>
      </c>
      <c r="J463" s="147" t="s">
        <v>104</v>
      </c>
      <c r="K463" s="148"/>
      <c r="L463" s="149"/>
      <c r="M463" s="148"/>
    </row>
    <row r="464" spans="1:13" ht="15" customHeight="1">
      <c r="A464" s="142" t="s">
        <v>1411</v>
      </c>
      <c r="B464" s="142">
        <v>521781</v>
      </c>
      <c r="C464" s="143" t="s">
        <v>1412</v>
      </c>
      <c r="D464" s="142" t="s">
        <v>1200</v>
      </c>
      <c r="E464" s="143" t="s">
        <v>563</v>
      </c>
      <c r="F464" s="143" t="s">
        <v>1413</v>
      </c>
      <c r="G464" s="142" t="s">
        <v>109</v>
      </c>
      <c r="H464" s="142" t="s">
        <v>55</v>
      </c>
      <c r="I464" s="143" t="s">
        <v>435</v>
      </c>
      <c r="J464" s="143" t="s">
        <v>104</v>
      </c>
      <c r="K464" s="144"/>
      <c r="L464" s="145"/>
      <c r="M464" s="144"/>
    </row>
    <row r="465" spans="1:13" ht="15" customHeight="1">
      <c r="A465" s="146" t="s">
        <v>1414</v>
      </c>
      <c r="B465" s="146">
        <v>521846</v>
      </c>
      <c r="C465" s="147" t="s">
        <v>1415</v>
      </c>
      <c r="D465" s="146" t="s">
        <v>1200</v>
      </c>
      <c r="E465" s="147" t="s">
        <v>1200</v>
      </c>
      <c r="F465" s="147" t="s">
        <v>1416</v>
      </c>
      <c r="G465" s="146" t="s">
        <v>109</v>
      </c>
      <c r="H465" s="146" t="s">
        <v>55</v>
      </c>
      <c r="I465" s="147" t="s">
        <v>435</v>
      </c>
      <c r="J465" s="147" t="s">
        <v>104</v>
      </c>
      <c r="K465" s="148"/>
      <c r="L465" s="149"/>
      <c r="M465" s="148"/>
    </row>
    <row r="466" spans="1:13" ht="15" customHeight="1">
      <c r="A466" s="142" t="s">
        <v>1417</v>
      </c>
      <c r="B466" s="142">
        <v>521812</v>
      </c>
      <c r="C466" s="143" t="s">
        <v>1418</v>
      </c>
      <c r="D466" s="142" t="s">
        <v>1200</v>
      </c>
      <c r="E466" s="143" t="s">
        <v>1200</v>
      </c>
      <c r="F466" s="143" t="s">
        <v>1419</v>
      </c>
      <c r="G466" s="142" t="s">
        <v>109</v>
      </c>
      <c r="H466" s="142" t="s">
        <v>55</v>
      </c>
      <c r="I466" s="143" t="s">
        <v>435</v>
      </c>
      <c r="J466" s="143" t="s">
        <v>104</v>
      </c>
      <c r="K466" s="144"/>
      <c r="L466" s="145"/>
      <c r="M466" s="144"/>
    </row>
    <row r="467" spans="1:13" ht="15" customHeight="1">
      <c r="A467" s="146" t="s">
        <v>1420</v>
      </c>
      <c r="B467" s="146">
        <v>521755</v>
      </c>
      <c r="C467" s="147" t="s">
        <v>1421</v>
      </c>
      <c r="D467" s="146" t="s">
        <v>1200</v>
      </c>
      <c r="E467" s="147" t="s">
        <v>1200</v>
      </c>
      <c r="F467" s="147" t="s">
        <v>1422</v>
      </c>
      <c r="G467" s="146" t="s">
        <v>109</v>
      </c>
      <c r="H467" s="146" t="s">
        <v>55</v>
      </c>
      <c r="I467" s="147" t="s">
        <v>435</v>
      </c>
      <c r="J467" s="147" t="s">
        <v>104</v>
      </c>
      <c r="K467" s="148"/>
      <c r="L467" s="149"/>
      <c r="M467" s="148"/>
    </row>
    <row r="468" spans="1:13" ht="15" customHeight="1">
      <c r="A468" s="142" t="s">
        <v>1423</v>
      </c>
      <c r="B468" s="142">
        <v>521805</v>
      </c>
      <c r="C468" s="143" t="s">
        <v>1424</v>
      </c>
      <c r="D468" s="142" t="s">
        <v>1200</v>
      </c>
      <c r="E468" s="143" t="s">
        <v>1251</v>
      </c>
      <c r="F468" s="143" t="s">
        <v>1425</v>
      </c>
      <c r="G468" s="142" t="s">
        <v>109</v>
      </c>
      <c r="H468" s="142" t="s">
        <v>55</v>
      </c>
      <c r="I468" s="143" t="s">
        <v>435</v>
      </c>
      <c r="J468" s="143" t="s">
        <v>104</v>
      </c>
      <c r="K468" s="144"/>
      <c r="L468" s="145"/>
      <c r="M468" s="144"/>
    </row>
    <row r="469" spans="1:13" ht="15" customHeight="1">
      <c r="A469" s="146" t="s">
        <v>1426</v>
      </c>
      <c r="B469" s="146">
        <v>521803</v>
      </c>
      <c r="C469" s="147" t="s">
        <v>1427</v>
      </c>
      <c r="D469" s="146" t="s">
        <v>1200</v>
      </c>
      <c r="E469" s="147" t="s">
        <v>1357</v>
      </c>
      <c r="F469" s="147" t="s">
        <v>1428</v>
      </c>
      <c r="G469" s="146" t="s">
        <v>109</v>
      </c>
      <c r="H469" s="146" t="s">
        <v>55</v>
      </c>
      <c r="I469" s="147" t="s">
        <v>435</v>
      </c>
      <c r="J469" s="147" t="s">
        <v>104</v>
      </c>
      <c r="K469" s="148"/>
      <c r="L469" s="149"/>
      <c r="M469" s="148"/>
    </row>
    <row r="470" spans="1:13" ht="15" customHeight="1">
      <c r="A470" s="142" t="s">
        <v>1429</v>
      </c>
      <c r="B470" s="142">
        <v>521774</v>
      </c>
      <c r="C470" s="143" t="s">
        <v>1430</v>
      </c>
      <c r="D470" s="142" t="s">
        <v>1200</v>
      </c>
      <c r="E470" s="143" t="s">
        <v>1200</v>
      </c>
      <c r="F470" s="143" t="s">
        <v>1431</v>
      </c>
      <c r="G470" s="142" t="s">
        <v>109</v>
      </c>
      <c r="H470" s="142" t="s">
        <v>55</v>
      </c>
      <c r="I470" s="143" t="s">
        <v>435</v>
      </c>
      <c r="J470" s="143" t="s">
        <v>104</v>
      </c>
      <c r="K470" s="144"/>
      <c r="L470" s="145"/>
      <c r="M470" s="144"/>
    </row>
    <row r="471" spans="1:13" ht="15" customHeight="1">
      <c r="A471" s="146" t="s">
        <v>1432</v>
      </c>
      <c r="B471" s="146">
        <v>521772</v>
      </c>
      <c r="C471" s="147" t="s">
        <v>1433</v>
      </c>
      <c r="D471" s="146" t="s">
        <v>1200</v>
      </c>
      <c r="E471" s="147" t="s">
        <v>1200</v>
      </c>
      <c r="F471" s="147" t="s">
        <v>1434</v>
      </c>
      <c r="G471" s="146" t="s">
        <v>109</v>
      </c>
      <c r="H471" s="146" t="s">
        <v>55</v>
      </c>
      <c r="I471" s="147" t="s">
        <v>435</v>
      </c>
      <c r="J471" s="147" t="s">
        <v>104</v>
      </c>
      <c r="K471" s="148"/>
      <c r="L471" s="149"/>
      <c r="M471" s="148"/>
    </row>
    <row r="472" spans="1:13" ht="15" customHeight="1">
      <c r="A472" s="142" t="s">
        <v>1435</v>
      </c>
      <c r="B472" s="142">
        <v>521768</v>
      </c>
      <c r="C472" s="143" t="s">
        <v>1436</v>
      </c>
      <c r="D472" s="142" t="s">
        <v>1200</v>
      </c>
      <c r="E472" s="143" t="s">
        <v>1200</v>
      </c>
      <c r="F472" s="143" t="s">
        <v>1437</v>
      </c>
      <c r="G472" s="142" t="s">
        <v>109</v>
      </c>
      <c r="H472" s="142" t="s">
        <v>55</v>
      </c>
      <c r="I472" s="143" t="s">
        <v>435</v>
      </c>
      <c r="J472" s="143" t="s">
        <v>104</v>
      </c>
      <c r="K472" s="144"/>
      <c r="L472" s="145"/>
      <c r="M472" s="144"/>
    </row>
    <row r="473" spans="1:13" ht="15" customHeight="1">
      <c r="A473" s="146" t="s">
        <v>1438</v>
      </c>
      <c r="B473" s="146">
        <v>521808</v>
      </c>
      <c r="C473" s="147" t="s">
        <v>1439</v>
      </c>
      <c r="D473" s="146" t="s">
        <v>1200</v>
      </c>
      <c r="E473" s="147" t="s">
        <v>1378</v>
      </c>
      <c r="F473" s="147" t="s">
        <v>1440</v>
      </c>
      <c r="G473" s="146" t="s">
        <v>109</v>
      </c>
      <c r="H473" s="146" t="s">
        <v>55</v>
      </c>
      <c r="I473" s="147" t="s">
        <v>435</v>
      </c>
      <c r="J473" s="147" t="s">
        <v>104</v>
      </c>
      <c r="K473" s="148"/>
      <c r="L473" s="149"/>
      <c r="M473" s="148"/>
    </row>
    <row r="474" spans="1:13" ht="15" customHeight="1">
      <c r="A474" s="142" t="s">
        <v>1441</v>
      </c>
      <c r="B474" s="142">
        <v>521831</v>
      </c>
      <c r="C474" s="143" t="s">
        <v>1442</v>
      </c>
      <c r="D474" s="142" t="s">
        <v>1200</v>
      </c>
      <c r="E474" s="143" t="s">
        <v>1404</v>
      </c>
      <c r="F474" s="143" t="s">
        <v>1443</v>
      </c>
      <c r="G474" s="142" t="s">
        <v>109</v>
      </c>
      <c r="H474" s="142" t="s">
        <v>55</v>
      </c>
      <c r="I474" s="143" t="s">
        <v>435</v>
      </c>
      <c r="J474" s="143" t="s">
        <v>104</v>
      </c>
      <c r="K474" s="144"/>
      <c r="L474" s="145"/>
      <c r="M474" s="144"/>
    </row>
    <row r="475" spans="1:13" ht="15" customHeight="1">
      <c r="A475" s="146" t="s">
        <v>1444</v>
      </c>
      <c r="B475" s="146">
        <v>521767</v>
      </c>
      <c r="C475" s="147" t="s">
        <v>1445</v>
      </c>
      <c r="D475" s="146" t="s">
        <v>1200</v>
      </c>
      <c r="E475" s="147" t="s">
        <v>1200</v>
      </c>
      <c r="F475" s="147" t="s">
        <v>1446</v>
      </c>
      <c r="G475" s="146" t="s">
        <v>109</v>
      </c>
      <c r="H475" s="146" t="s">
        <v>55</v>
      </c>
      <c r="I475" s="147" t="s">
        <v>435</v>
      </c>
      <c r="J475" s="147" t="s">
        <v>104</v>
      </c>
      <c r="K475" s="148"/>
      <c r="L475" s="149"/>
      <c r="M475" s="148"/>
    </row>
    <row r="476" spans="1:13" ht="15" customHeight="1">
      <c r="A476" s="142" t="s">
        <v>1447</v>
      </c>
      <c r="B476" s="142">
        <v>520594</v>
      </c>
      <c r="C476" s="143" t="s">
        <v>1448</v>
      </c>
      <c r="D476" s="142" t="s">
        <v>1200</v>
      </c>
      <c r="E476" s="143" t="s">
        <v>1404</v>
      </c>
      <c r="F476" s="143" t="s">
        <v>1449</v>
      </c>
      <c r="G476" s="142" t="s">
        <v>109</v>
      </c>
      <c r="H476" s="142" t="s">
        <v>55</v>
      </c>
      <c r="I476" s="143" t="s">
        <v>435</v>
      </c>
      <c r="J476" s="143" t="s">
        <v>104</v>
      </c>
      <c r="K476" s="144"/>
      <c r="L476" s="145"/>
      <c r="M476" s="144"/>
    </row>
    <row r="477" spans="1:13" ht="15" customHeight="1">
      <c r="A477" s="146" t="s">
        <v>1450</v>
      </c>
      <c r="B477" s="146">
        <v>521775</v>
      </c>
      <c r="C477" s="147" t="s">
        <v>1451</v>
      </c>
      <c r="D477" s="146" t="s">
        <v>1200</v>
      </c>
      <c r="E477" s="147" t="s">
        <v>1404</v>
      </c>
      <c r="F477" s="147" t="s">
        <v>1452</v>
      </c>
      <c r="G477" s="146" t="s">
        <v>109</v>
      </c>
      <c r="H477" s="146" t="s">
        <v>55</v>
      </c>
      <c r="I477" s="147" t="s">
        <v>435</v>
      </c>
      <c r="J477" s="147" t="s">
        <v>104</v>
      </c>
      <c r="K477" s="148"/>
      <c r="L477" s="149"/>
      <c r="M477" s="148"/>
    </row>
    <row r="478" spans="1:13" ht="15" customHeight="1">
      <c r="A478" s="142" t="s">
        <v>1453</v>
      </c>
      <c r="B478" s="142">
        <v>521826</v>
      </c>
      <c r="C478" s="143" t="s">
        <v>1454</v>
      </c>
      <c r="D478" s="142" t="s">
        <v>1200</v>
      </c>
      <c r="E478" s="143" t="s">
        <v>1200</v>
      </c>
      <c r="F478" s="143" t="s">
        <v>1455</v>
      </c>
      <c r="G478" s="142" t="s">
        <v>109</v>
      </c>
      <c r="H478" s="142" t="s">
        <v>55</v>
      </c>
      <c r="I478" s="143" t="s">
        <v>435</v>
      </c>
      <c r="J478" s="143" t="s">
        <v>104</v>
      </c>
      <c r="K478" s="144"/>
      <c r="L478" s="145"/>
      <c r="M478" s="144"/>
    </row>
    <row r="479" spans="1:13" ht="15" customHeight="1">
      <c r="A479" s="146" t="s">
        <v>1456</v>
      </c>
      <c r="B479" s="146">
        <v>521757</v>
      </c>
      <c r="C479" s="147" t="s">
        <v>1457</v>
      </c>
      <c r="D479" s="146" t="s">
        <v>1200</v>
      </c>
      <c r="E479" s="147" t="s">
        <v>1200</v>
      </c>
      <c r="F479" s="147" t="s">
        <v>1200</v>
      </c>
      <c r="G479" s="146" t="s">
        <v>109</v>
      </c>
      <c r="H479" s="146" t="s">
        <v>55</v>
      </c>
      <c r="I479" s="147" t="s">
        <v>435</v>
      </c>
      <c r="J479" s="147" t="s">
        <v>104</v>
      </c>
      <c r="K479" s="148"/>
      <c r="L479" s="149"/>
      <c r="M479" s="148"/>
    </row>
    <row r="480" spans="1:13" ht="15" customHeight="1">
      <c r="A480" s="142" t="s">
        <v>1458</v>
      </c>
      <c r="B480" s="142">
        <v>521735</v>
      </c>
      <c r="C480" s="143" t="s">
        <v>1459</v>
      </c>
      <c r="D480" s="142" t="s">
        <v>1200</v>
      </c>
      <c r="E480" s="143" t="s">
        <v>1304</v>
      </c>
      <c r="F480" s="143" t="s">
        <v>1460</v>
      </c>
      <c r="G480" s="142" t="s">
        <v>109</v>
      </c>
      <c r="H480" s="142" t="s">
        <v>55</v>
      </c>
      <c r="I480" s="143" t="s">
        <v>435</v>
      </c>
      <c r="J480" s="143" t="s">
        <v>104</v>
      </c>
      <c r="K480" s="144"/>
      <c r="L480" s="145"/>
      <c r="M480" s="144"/>
    </row>
    <row r="481" spans="1:13" ht="15" customHeight="1">
      <c r="A481" s="146" t="s">
        <v>1461</v>
      </c>
      <c r="B481" s="146">
        <v>521739</v>
      </c>
      <c r="C481" s="147" t="s">
        <v>1462</v>
      </c>
      <c r="D481" s="146" t="s">
        <v>1200</v>
      </c>
      <c r="E481" s="147" t="s">
        <v>1286</v>
      </c>
      <c r="F481" s="147" t="s">
        <v>1463</v>
      </c>
      <c r="G481" s="146" t="s">
        <v>109</v>
      </c>
      <c r="H481" s="146" t="s">
        <v>55</v>
      </c>
      <c r="I481" s="147" t="s">
        <v>435</v>
      </c>
      <c r="J481" s="147" t="s">
        <v>104</v>
      </c>
      <c r="K481" s="148"/>
      <c r="L481" s="149"/>
      <c r="M481" s="148"/>
    </row>
    <row r="482" spans="1:13" ht="15" customHeight="1">
      <c r="A482" s="142" t="s">
        <v>1464</v>
      </c>
      <c r="B482" s="142">
        <v>521800</v>
      </c>
      <c r="C482" s="143" t="s">
        <v>1465</v>
      </c>
      <c r="D482" s="142" t="s">
        <v>1200</v>
      </c>
      <c r="E482" s="143" t="s">
        <v>1466</v>
      </c>
      <c r="F482" s="143" t="s">
        <v>1467</v>
      </c>
      <c r="G482" s="142" t="s">
        <v>109</v>
      </c>
      <c r="H482" s="142" t="s">
        <v>55</v>
      </c>
      <c r="I482" s="143" t="s">
        <v>435</v>
      </c>
      <c r="J482" s="143" t="s">
        <v>104</v>
      </c>
      <c r="K482" s="144"/>
      <c r="L482" s="145"/>
      <c r="M482" s="144"/>
    </row>
    <row r="483" spans="1:13" ht="15" customHeight="1">
      <c r="A483" s="146" t="s">
        <v>1468</v>
      </c>
      <c r="B483" s="146">
        <v>521811</v>
      </c>
      <c r="C483" s="147" t="s">
        <v>1469</v>
      </c>
      <c r="D483" s="146" t="s">
        <v>1200</v>
      </c>
      <c r="E483" s="147" t="s">
        <v>1200</v>
      </c>
      <c r="F483" s="147" t="s">
        <v>1470</v>
      </c>
      <c r="G483" s="146" t="s">
        <v>109</v>
      </c>
      <c r="H483" s="146" t="s">
        <v>55</v>
      </c>
      <c r="I483" s="147" t="s">
        <v>435</v>
      </c>
      <c r="J483" s="147" t="s">
        <v>104</v>
      </c>
      <c r="K483" s="148"/>
      <c r="L483" s="149"/>
      <c r="M483" s="148"/>
    </row>
    <row r="484" spans="1:13" ht="15" customHeight="1">
      <c r="A484" s="142" t="s">
        <v>1471</v>
      </c>
      <c r="B484" s="142">
        <v>521779</v>
      </c>
      <c r="C484" s="143" t="s">
        <v>1472</v>
      </c>
      <c r="D484" s="142" t="s">
        <v>1200</v>
      </c>
      <c r="E484" s="143" t="s">
        <v>1241</v>
      </c>
      <c r="F484" s="143" t="s">
        <v>1295</v>
      </c>
      <c r="G484" s="142" t="s">
        <v>109</v>
      </c>
      <c r="H484" s="142" t="s">
        <v>55</v>
      </c>
      <c r="I484" s="143" t="s">
        <v>435</v>
      </c>
      <c r="J484" s="143" t="s">
        <v>104</v>
      </c>
      <c r="K484" s="144"/>
      <c r="L484" s="145"/>
      <c r="M484" s="144"/>
    </row>
    <row r="485" spans="1:13" ht="15" customHeight="1">
      <c r="A485" s="146" t="s">
        <v>1473</v>
      </c>
      <c r="B485" s="146">
        <v>521742</v>
      </c>
      <c r="C485" s="147" t="s">
        <v>1474</v>
      </c>
      <c r="D485" s="146" t="s">
        <v>1200</v>
      </c>
      <c r="E485" s="147" t="s">
        <v>1304</v>
      </c>
      <c r="F485" s="147" t="s">
        <v>1398</v>
      </c>
      <c r="G485" s="146" t="s">
        <v>109</v>
      </c>
      <c r="H485" s="146" t="s">
        <v>55</v>
      </c>
      <c r="I485" s="147" t="s">
        <v>435</v>
      </c>
      <c r="J485" s="147" t="s">
        <v>104</v>
      </c>
      <c r="K485" s="148" t="s">
        <v>121</v>
      </c>
      <c r="L485" s="149">
        <v>46151</v>
      </c>
      <c r="M485" s="148"/>
    </row>
    <row r="486" spans="1:13" ht="15" customHeight="1">
      <c r="A486" s="142" t="s">
        <v>1475</v>
      </c>
      <c r="B486" s="142">
        <v>521830</v>
      </c>
      <c r="C486" s="143" t="s">
        <v>1476</v>
      </c>
      <c r="D486" s="142" t="s">
        <v>1200</v>
      </c>
      <c r="E486" s="143" t="s">
        <v>1404</v>
      </c>
      <c r="F486" s="143" t="s">
        <v>880</v>
      </c>
      <c r="G486" s="142" t="s">
        <v>109</v>
      </c>
      <c r="H486" s="142" t="s">
        <v>55</v>
      </c>
      <c r="I486" s="143" t="s">
        <v>435</v>
      </c>
      <c r="J486" s="143" t="s">
        <v>104</v>
      </c>
      <c r="K486" s="144"/>
      <c r="L486" s="145"/>
      <c r="M486" s="144"/>
    </row>
    <row r="487" spans="1:13" ht="15" customHeight="1">
      <c r="A487" s="146" t="s">
        <v>1477</v>
      </c>
      <c r="B487" s="146">
        <v>521820</v>
      </c>
      <c r="C487" s="147" t="s">
        <v>1478</v>
      </c>
      <c r="D487" s="146" t="s">
        <v>1200</v>
      </c>
      <c r="E487" s="147" t="s">
        <v>1404</v>
      </c>
      <c r="F487" s="147" t="s">
        <v>1479</v>
      </c>
      <c r="G487" s="146" t="s">
        <v>109</v>
      </c>
      <c r="H487" s="146" t="s">
        <v>55</v>
      </c>
      <c r="I487" s="147" t="s">
        <v>435</v>
      </c>
      <c r="J487" s="147" t="s">
        <v>104</v>
      </c>
      <c r="K487" s="148"/>
      <c r="L487" s="149"/>
      <c r="M487" s="148"/>
    </row>
    <row r="488" spans="1:13" ht="15" customHeight="1">
      <c r="A488" s="142" t="s">
        <v>1480</v>
      </c>
      <c r="B488" s="142">
        <v>521795</v>
      </c>
      <c r="C488" s="143" t="s">
        <v>1481</v>
      </c>
      <c r="D488" s="142" t="s">
        <v>1200</v>
      </c>
      <c r="E488" s="143" t="s">
        <v>1241</v>
      </c>
      <c r="F488" s="143" t="s">
        <v>1482</v>
      </c>
      <c r="G488" s="142" t="s">
        <v>109</v>
      </c>
      <c r="H488" s="142" t="s">
        <v>55</v>
      </c>
      <c r="I488" s="143" t="s">
        <v>435</v>
      </c>
      <c r="J488" s="143" t="s">
        <v>104</v>
      </c>
      <c r="K488" s="144"/>
      <c r="L488" s="145"/>
      <c r="M488" s="144"/>
    </row>
    <row r="489" spans="1:13" ht="15" customHeight="1">
      <c r="A489" s="146" t="s">
        <v>1483</v>
      </c>
      <c r="B489" s="146">
        <v>521825</v>
      </c>
      <c r="C489" s="147" t="s">
        <v>1484</v>
      </c>
      <c r="D489" s="146" t="s">
        <v>1200</v>
      </c>
      <c r="E489" s="147" t="s">
        <v>1200</v>
      </c>
      <c r="F489" s="147" t="s">
        <v>1244</v>
      </c>
      <c r="G489" s="146" t="s">
        <v>109</v>
      </c>
      <c r="H489" s="146" t="s">
        <v>55</v>
      </c>
      <c r="I489" s="147" t="s">
        <v>435</v>
      </c>
      <c r="J489" s="147" t="s">
        <v>104</v>
      </c>
      <c r="K489" s="148"/>
      <c r="L489" s="149"/>
      <c r="M489" s="148"/>
    </row>
    <row r="490" spans="1:13" ht="15" customHeight="1">
      <c r="A490" s="142" t="s">
        <v>1485</v>
      </c>
      <c r="B490" s="142">
        <v>521838</v>
      </c>
      <c r="C490" s="143" t="s">
        <v>1486</v>
      </c>
      <c r="D490" s="142" t="s">
        <v>1200</v>
      </c>
      <c r="E490" s="143" t="s">
        <v>1286</v>
      </c>
      <c r="F490" s="143" t="s">
        <v>1002</v>
      </c>
      <c r="G490" s="142" t="s">
        <v>109</v>
      </c>
      <c r="H490" s="142" t="s">
        <v>55</v>
      </c>
      <c r="I490" s="143" t="s">
        <v>435</v>
      </c>
      <c r="J490" s="143" t="s">
        <v>104</v>
      </c>
      <c r="K490" s="144"/>
      <c r="L490" s="145"/>
      <c r="M490" s="144"/>
    </row>
    <row r="491" spans="1:13" ht="15" customHeight="1">
      <c r="A491" s="146" t="s">
        <v>1487</v>
      </c>
      <c r="B491" s="146">
        <v>521827</v>
      </c>
      <c r="C491" s="147" t="s">
        <v>1488</v>
      </c>
      <c r="D491" s="146" t="s">
        <v>1200</v>
      </c>
      <c r="E491" s="147" t="s">
        <v>1286</v>
      </c>
      <c r="F491" s="147" t="s">
        <v>1489</v>
      </c>
      <c r="G491" s="146" t="s">
        <v>109</v>
      </c>
      <c r="H491" s="146" t="s">
        <v>55</v>
      </c>
      <c r="I491" s="147" t="s">
        <v>435</v>
      </c>
      <c r="J491" s="147" t="s">
        <v>104</v>
      </c>
      <c r="K491" s="148"/>
      <c r="L491" s="149"/>
      <c r="M491" s="148"/>
    </row>
    <row r="492" spans="1:13" ht="15" customHeight="1">
      <c r="A492" s="142" t="s">
        <v>1490</v>
      </c>
      <c r="B492" s="142">
        <v>521789</v>
      </c>
      <c r="C492" s="143" t="s">
        <v>1491</v>
      </c>
      <c r="D492" s="142" t="s">
        <v>1200</v>
      </c>
      <c r="E492" s="143" t="s">
        <v>1215</v>
      </c>
      <c r="F492" s="143" t="s">
        <v>1219</v>
      </c>
      <c r="G492" s="142" t="s">
        <v>109</v>
      </c>
      <c r="H492" s="142" t="s">
        <v>55</v>
      </c>
      <c r="I492" s="143" t="s">
        <v>435</v>
      </c>
      <c r="J492" s="143" t="s">
        <v>104</v>
      </c>
      <c r="K492" s="144"/>
      <c r="L492" s="145"/>
      <c r="M492" s="144"/>
    </row>
    <row r="493" spans="1:13" ht="15" customHeight="1">
      <c r="A493" s="146" t="s">
        <v>1492</v>
      </c>
      <c r="B493" s="146">
        <v>521736</v>
      </c>
      <c r="C493" s="147" t="s">
        <v>1493</v>
      </c>
      <c r="D493" s="146" t="s">
        <v>1200</v>
      </c>
      <c r="E493" s="147" t="s">
        <v>1322</v>
      </c>
      <c r="F493" s="147" t="s">
        <v>1494</v>
      </c>
      <c r="G493" s="146" t="s">
        <v>109</v>
      </c>
      <c r="H493" s="146" t="s">
        <v>55</v>
      </c>
      <c r="I493" s="147" t="s">
        <v>435</v>
      </c>
      <c r="J493" s="147" t="s">
        <v>104</v>
      </c>
      <c r="K493" s="148"/>
      <c r="L493" s="149"/>
      <c r="M493" s="148"/>
    </row>
    <row r="494" spans="1:13" ht="15" customHeight="1">
      <c r="A494" s="142" t="s">
        <v>1495</v>
      </c>
      <c r="B494" s="142">
        <v>521818</v>
      </c>
      <c r="C494" s="143" t="s">
        <v>1496</v>
      </c>
      <c r="D494" s="142" t="s">
        <v>1200</v>
      </c>
      <c r="E494" s="143" t="s">
        <v>1310</v>
      </c>
      <c r="F494" s="143" t="s">
        <v>1002</v>
      </c>
      <c r="G494" s="142" t="s">
        <v>109</v>
      </c>
      <c r="H494" s="142" t="s">
        <v>55</v>
      </c>
      <c r="I494" s="143" t="s">
        <v>435</v>
      </c>
      <c r="J494" s="143" t="s">
        <v>104</v>
      </c>
      <c r="K494" s="144"/>
      <c r="L494" s="145"/>
      <c r="M494" s="144"/>
    </row>
    <row r="495" spans="1:13" ht="15" customHeight="1">
      <c r="A495" s="146" t="s">
        <v>1497</v>
      </c>
      <c r="B495" s="146">
        <v>521844</v>
      </c>
      <c r="C495" s="147" t="s">
        <v>1498</v>
      </c>
      <c r="D495" s="146" t="s">
        <v>1200</v>
      </c>
      <c r="E495" s="147" t="s">
        <v>1466</v>
      </c>
      <c r="F495" s="147" t="s">
        <v>254</v>
      </c>
      <c r="G495" s="146" t="s">
        <v>109</v>
      </c>
      <c r="H495" s="146" t="s">
        <v>55</v>
      </c>
      <c r="I495" s="147" t="s">
        <v>435</v>
      </c>
      <c r="J495" s="147" t="s">
        <v>104</v>
      </c>
      <c r="K495" s="148"/>
      <c r="L495" s="149"/>
      <c r="M495" s="148"/>
    </row>
    <row r="496" spans="1:13" ht="15" customHeight="1">
      <c r="A496" s="142" t="s">
        <v>1499</v>
      </c>
      <c r="B496" s="142">
        <v>521802</v>
      </c>
      <c r="C496" s="143" t="s">
        <v>1500</v>
      </c>
      <c r="D496" s="142" t="s">
        <v>1200</v>
      </c>
      <c r="E496" s="143" t="s">
        <v>254</v>
      </c>
      <c r="F496" s="143" t="s">
        <v>1225</v>
      </c>
      <c r="G496" s="142" t="s">
        <v>109</v>
      </c>
      <c r="H496" s="142" t="s">
        <v>55</v>
      </c>
      <c r="I496" s="143" t="s">
        <v>435</v>
      </c>
      <c r="J496" s="143" t="s">
        <v>104</v>
      </c>
      <c r="K496" s="144"/>
      <c r="L496" s="145"/>
      <c r="M496" s="144"/>
    </row>
    <row r="497" spans="1:13" ht="15" customHeight="1">
      <c r="A497" s="146" t="s">
        <v>1501</v>
      </c>
      <c r="B497" s="146">
        <v>521797</v>
      </c>
      <c r="C497" s="147" t="s">
        <v>1502</v>
      </c>
      <c r="D497" s="146" t="s">
        <v>1200</v>
      </c>
      <c r="E497" s="147" t="s">
        <v>1200</v>
      </c>
      <c r="F497" s="147" t="s">
        <v>1503</v>
      </c>
      <c r="G497" s="146" t="s">
        <v>109</v>
      </c>
      <c r="H497" s="146" t="s">
        <v>55</v>
      </c>
      <c r="I497" s="147" t="s">
        <v>435</v>
      </c>
      <c r="J497" s="147" t="s">
        <v>104</v>
      </c>
      <c r="K497" s="148"/>
      <c r="L497" s="149"/>
      <c r="M497" s="148"/>
    </row>
    <row r="498" spans="1:13" ht="15" customHeight="1">
      <c r="A498" s="142" t="s">
        <v>1504</v>
      </c>
      <c r="B498" s="142">
        <v>521810</v>
      </c>
      <c r="C498" s="143" t="s">
        <v>1505</v>
      </c>
      <c r="D498" s="142" t="s">
        <v>1200</v>
      </c>
      <c r="E498" s="143" t="s">
        <v>1200</v>
      </c>
      <c r="F498" s="143" t="s">
        <v>1506</v>
      </c>
      <c r="G498" s="142" t="s">
        <v>109</v>
      </c>
      <c r="H498" s="142" t="s">
        <v>55</v>
      </c>
      <c r="I498" s="143" t="s">
        <v>435</v>
      </c>
      <c r="J498" s="143" t="s">
        <v>104</v>
      </c>
      <c r="K498" s="144"/>
      <c r="L498" s="145"/>
      <c r="M498" s="144"/>
    </row>
    <row r="499" spans="1:13" ht="15" customHeight="1">
      <c r="A499" s="146" t="s">
        <v>1507</v>
      </c>
      <c r="B499" s="146">
        <v>521765</v>
      </c>
      <c r="C499" s="147" t="s">
        <v>1508</v>
      </c>
      <c r="D499" s="146" t="s">
        <v>1200</v>
      </c>
      <c r="E499" s="147" t="s">
        <v>1200</v>
      </c>
      <c r="F499" s="147" t="s">
        <v>1212</v>
      </c>
      <c r="G499" s="146" t="s">
        <v>109</v>
      </c>
      <c r="H499" s="146" t="s">
        <v>55</v>
      </c>
      <c r="I499" s="147" t="s">
        <v>435</v>
      </c>
      <c r="J499" s="147" t="s">
        <v>104</v>
      </c>
      <c r="K499" s="148"/>
      <c r="L499" s="149"/>
      <c r="M499" s="148"/>
    </row>
    <row r="500" spans="1:13" ht="15" customHeight="1">
      <c r="A500" s="142" t="s">
        <v>1509</v>
      </c>
      <c r="B500" s="142">
        <v>521751</v>
      </c>
      <c r="C500" s="143" t="s">
        <v>1510</v>
      </c>
      <c r="D500" s="142" t="s">
        <v>1200</v>
      </c>
      <c r="E500" s="143" t="s">
        <v>1304</v>
      </c>
      <c r="F500" s="143" t="s">
        <v>1511</v>
      </c>
      <c r="G500" s="142" t="s">
        <v>109</v>
      </c>
      <c r="H500" s="142" t="s">
        <v>55</v>
      </c>
      <c r="I500" s="143" t="s">
        <v>435</v>
      </c>
      <c r="J500" s="143" t="s">
        <v>104</v>
      </c>
      <c r="K500" s="144" t="s">
        <v>121</v>
      </c>
      <c r="L500" s="145">
        <v>46149</v>
      </c>
      <c r="M500" s="144"/>
    </row>
    <row r="501" spans="1:13" ht="15" customHeight="1">
      <c r="A501" s="146" t="s">
        <v>1512</v>
      </c>
      <c r="B501" s="146">
        <v>521748</v>
      </c>
      <c r="C501" s="147" t="s">
        <v>1513</v>
      </c>
      <c r="D501" s="146" t="s">
        <v>1200</v>
      </c>
      <c r="E501" s="147" t="s">
        <v>1304</v>
      </c>
      <c r="F501" s="147" t="s">
        <v>1514</v>
      </c>
      <c r="G501" s="146" t="s">
        <v>109</v>
      </c>
      <c r="H501" s="146" t="s">
        <v>55</v>
      </c>
      <c r="I501" s="147" t="s">
        <v>435</v>
      </c>
      <c r="J501" s="147" t="s">
        <v>104</v>
      </c>
      <c r="K501" s="148" t="s">
        <v>121</v>
      </c>
      <c r="L501" s="149">
        <v>46149</v>
      </c>
      <c r="M501" s="148"/>
    </row>
    <row r="502" spans="1:13" ht="15" customHeight="1">
      <c r="A502" s="142" t="s">
        <v>1515</v>
      </c>
      <c r="B502" s="142">
        <v>521784</v>
      </c>
      <c r="C502" s="143" t="s">
        <v>1516</v>
      </c>
      <c r="D502" s="142" t="s">
        <v>1200</v>
      </c>
      <c r="E502" s="143" t="s">
        <v>1215</v>
      </c>
      <c r="F502" s="143" t="s">
        <v>1517</v>
      </c>
      <c r="G502" s="142" t="s">
        <v>109</v>
      </c>
      <c r="H502" s="142" t="s">
        <v>55</v>
      </c>
      <c r="I502" s="143" t="s">
        <v>435</v>
      </c>
      <c r="J502" s="143" t="s">
        <v>104</v>
      </c>
      <c r="K502" s="144"/>
      <c r="L502" s="145"/>
      <c r="M502" s="144"/>
    </row>
    <row r="503" spans="1:13" ht="15" customHeight="1">
      <c r="A503" s="146" t="s">
        <v>1518</v>
      </c>
      <c r="B503" s="146">
        <v>521780</v>
      </c>
      <c r="C503" s="147" t="s">
        <v>1519</v>
      </c>
      <c r="D503" s="146" t="s">
        <v>1200</v>
      </c>
      <c r="E503" s="147" t="s">
        <v>1520</v>
      </c>
      <c r="F503" s="147" t="s">
        <v>1521</v>
      </c>
      <c r="G503" s="146" t="s">
        <v>109</v>
      </c>
      <c r="H503" s="146" t="s">
        <v>55</v>
      </c>
      <c r="I503" s="147" t="s">
        <v>435</v>
      </c>
      <c r="J503" s="147" t="s">
        <v>104</v>
      </c>
      <c r="K503" s="148"/>
      <c r="L503" s="149"/>
      <c r="M503" s="148"/>
    </row>
    <row r="504" spans="1:13" ht="15" customHeight="1">
      <c r="A504" s="142" t="s">
        <v>1522</v>
      </c>
      <c r="B504" s="142">
        <v>521792</v>
      </c>
      <c r="C504" s="143" t="s">
        <v>1523</v>
      </c>
      <c r="D504" s="142" t="s">
        <v>1200</v>
      </c>
      <c r="E504" s="143" t="s">
        <v>1388</v>
      </c>
      <c r="F504" s="143" t="s">
        <v>1524</v>
      </c>
      <c r="G504" s="142" t="s">
        <v>109</v>
      </c>
      <c r="H504" s="142" t="s">
        <v>55</v>
      </c>
      <c r="I504" s="143" t="s">
        <v>435</v>
      </c>
      <c r="J504" s="143" t="s">
        <v>104</v>
      </c>
      <c r="K504" s="144"/>
      <c r="L504" s="145"/>
      <c r="M504" s="144"/>
    </row>
    <row r="505" spans="1:13" ht="15" customHeight="1">
      <c r="A505" s="146" t="s">
        <v>1525</v>
      </c>
      <c r="B505" s="146">
        <v>521773</v>
      </c>
      <c r="C505" s="147" t="s">
        <v>1526</v>
      </c>
      <c r="D505" s="146" t="s">
        <v>1200</v>
      </c>
      <c r="E505" s="147" t="s">
        <v>1200</v>
      </c>
      <c r="F505" s="147" t="s">
        <v>1527</v>
      </c>
      <c r="G505" s="146" t="s">
        <v>109</v>
      </c>
      <c r="H505" s="146" t="s">
        <v>55</v>
      </c>
      <c r="I505" s="147" t="s">
        <v>435</v>
      </c>
      <c r="J505" s="147" t="s">
        <v>104</v>
      </c>
      <c r="K505" s="148"/>
      <c r="L505" s="149"/>
      <c r="M505" s="148"/>
    </row>
    <row r="506" spans="1:13" ht="15" customHeight="1">
      <c r="A506" s="142" t="s">
        <v>1528</v>
      </c>
      <c r="B506" s="142">
        <v>512872</v>
      </c>
      <c r="C506" s="143" t="s">
        <v>1529</v>
      </c>
      <c r="D506" s="142" t="s">
        <v>1530</v>
      </c>
      <c r="E506" s="143" t="s">
        <v>1531</v>
      </c>
      <c r="F506" s="143" t="s">
        <v>1531</v>
      </c>
      <c r="G506" s="142" t="s">
        <v>102</v>
      </c>
      <c r="H506" s="142" t="s">
        <v>50</v>
      </c>
      <c r="I506" s="143" t="s">
        <v>1532</v>
      </c>
      <c r="J506" s="143" t="s">
        <v>104</v>
      </c>
      <c r="K506" s="144"/>
      <c r="L506" s="145"/>
      <c r="M506" s="144"/>
    </row>
    <row r="507" spans="1:13" ht="15" customHeight="1">
      <c r="A507" s="146" t="s">
        <v>1533</v>
      </c>
      <c r="B507" s="146">
        <v>512877</v>
      </c>
      <c r="C507" s="147" t="s">
        <v>1534</v>
      </c>
      <c r="D507" s="146" t="s">
        <v>1530</v>
      </c>
      <c r="E507" s="147" t="s">
        <v>1531</v>
      </c>
      <c r="F507" s="147" t="s">
        <v>1531</v>
      </c>
      <c r="G507" s="146" t="s">
        <v>102</v>
      </c>
      <c r="H507" s="146" t="s">
        <v>50</v>
      </c>
      <c r="I507" s="147" t="s">
        <v>1532</v>
      </c>
      <c r="J507" s="147" t="s">
        <v>104</v>
      </c>
      <c r="K507" s="148"/>
      <c r="L507" s="149"/>
      <c r="M507" s="148"/>
    </row>
    <row r="508" spans="1:13" ht="15" customHeight="1">
      <c r="A508" s="142" t="s">
        <v>1535</v>
      </c>
      <c r="B508" s="142">
        <v>512978</v>
      </c>
      <c r="C508" s="143" t="s">
        <v>1536</v>
      </c>
      <c r="D508" s="142" t="s">
        <v>1530</v>
      </c>
      <c r="E508" s="143" t="s">
        <v>1537</v>
      </c>
      <c r="F508" s="143" t="s">
        <v>1538</v>
      </c>
      <c r="G508" s="142" t="s">
        <v>109</v>
      </c>
      <c r="H508" s="142" t="s">
        <v>51</v>
      </c>
      <c r="I508" s="143" t="s">
        <v>1539</v>
      </c>
      <c r="J508" s="143" t="s">
        <v>104</v>
      </c>
      <c r="K508" s="144"/>
      <c r="L508" s="145"/>
      <c r="M508" s="144"/>
    </row>
    <row r="509" spans="1:13" ht="15" customHeight="1">
      <c r="A509" s="146" t="s">
        <v>1540</v>
      </c>
      <c r="B509" s="146">
        <v>513403</v>
      </c>
      <c r="C509" s="147" t="s">
        <v>1541</v>
      </c>
      <c r="D509" s="146" t="s">
        <v>1530</v>
      </c>
      <c r="E509" s="147" t="s">
        <v>1542</v>
      </c>
      <c r="F509" s="147" t="s">
        <v>1543</v>
      </c>
      <c r="G509" s="146" t="s">
        <v>109</v>
      </c>
      <c r="H509" s="146" t="s">
        <v>51</v>
      </c>
      <c r="I509" s="147" t="s">
        <v>1539</v>
      </c>
      <c r="J509" s="147" t="s">
        <v>104</v>
      </c>
      <c r="K509" s="148"/>
      <c r="L509" s="149"/>
      <c r="M509" s="148"/>
    </row>
    <row r="510" spans="1:13" ht="15" customHeight="1">
      <c r="A510" s="142" t="s">
        <v>1544</v>
      </c>
      <c r="B510" s="142">
        <v>512973</v>
      </c>
      <c r="C510" s="143" t="s">
        <v>1545</v>
      </c>
      <c r="D510" s="142" t="s">
        <v>1530</v>
      </c>
      <c r="E510" s="143" t="s">
        <v>1546</v>
      </c>
      <c r="F510" s="143" t="s">
        <v>1546</v>
      </c>
      <c r="G510" s="142" t="s">
        <v>102</v>
      </c>
      <c r="H510" s="142" t="s">
        <v>51</v>
      </c>
      <c r="I510" s="143" t="s">
        <v>1539</v>
      </c>
      <c r="J510" s="143" t="s">
        <v>104</v>
      </c>
      <c r="K510" s="144" t="s">
        <v>162</v>
      </c>
      <c r="L510" s="145">
        <v>46149</v>
      </c>
      <c r="M510" s="144"/>
    </row>
    <row r="511" spans="1:13" ht="15" customHeight="1">
      <c r="A511" s="146" t="s">
        <v>1547</v>
      </c>
      <c r="B511" s="146">
        <v>513106</v>
      </c>
      <c r="C511" s="147" t="s">
        <v>1548</v>
      </c>
      <c r="D511" s="146" t="s">
        <v>1530</v>
      </c>
      <c r="E511" s="147" t="s">
        <v>1549</v>
      </c>
      <c r="F511" s="147" t="s">
        <v>1550</v>
      </c>
      <c r="G511" s="146" t="s">
        <v>109</v>
      </c>
      <c r="H511" s="146" t="s">
        <v>50</v>
      </c>
      <c r="I511" s="147" t="s">
        <v>1532</v>
      </c>
      <c r="J511" s="147" t="s">
        <v>104</v>
      </c>
      <c r="K511" s="148"/>
      <c r="L511" s="149"/>
      <c r="M511" s="148"/>
    </row>
    <row r="512" spans="1:13" ht="15" customHeight="1">
      <c r="A512" s="142" t="s">
        <v>1551</v>
      </c>
      <c r="B512" s="142">
        <v>512906</v>
      </c>
      <c r="C512" s="143" t="s">
        <v>1552</v>
      </c>
      <c r="D512" s="142" t="s">
        <v>1530</v>
      </c>
      <c r="E512" s="143" t="s">
        <v>1546</v>
      </c>
      <c r="F512" s="143" t="s">
        <v>1546</v>
      </c>
      <c r="G512" s="142" t="s">
        <v>102</v>
      </c>
      <c r="H512" s="142" t="s">
        <v>51</v>
      </c>
      <c r="I512" s="143" t="s">
        <v>1539</v>
      </c>
      <c r="J512" s="143" t="s">
        <v>104</v>
      </c>
      <c r="K512" s="144"/>
      <c r="L512" s="145"/>
      <c r="M512" s="144"/>
    </row>
    <row r="513" spans="1:13" ht="15" customHeight="1">
      <c r="A513" s="146" t="s">
        <v>1553</v>
      </c>
      <c r="B513" s="146">
        <v>512960</v>
      </c>
      <c r="C513" s="147" t="s">
        <v>1554</v>
      </c>
      <c r="D513" s="146" t="s">
        <v>1530</v>
      </c>
      <c r="E513" s="147" t="s">
        <v>1546</v>
      </c>
      <c r="F513" s="147" t="s">
        <v>1555</v>
      </c>
      <c r="G513" s="146" t="s">
        <v>102</v>
      </c>
      <c r="H513" s="146" t="s">
        <v>51</v>
      </c>
      <c r="I513" s="147" t="s">
        <v>1539</v>
      </c>
      <c r="J513" s="147" t="s">
        <v>104</v>
      </c>
      <c r="K513" s="148"/>
      <c r="L513" s="149"/>
      <c r="M513" s="148"/>
    </row>
    <row r="514" spans="1:13" ht="15" customHeight="1">
      <c r="A514" s="142" t="s">
        <v>1556</v>
      </c>
      <c r="B514" s="142">
        <v>512916</v>
      </c>
      <c r="C514" s="143" t="s">
        <v>1557</v>
      </c>
      <c r="D514" s="142" t="s">
        <v>1530</v>
      </c>
      <c r="E514" s="143" t="s">
        <v>1558</v>
      </c>
      <c r="F514" s="143" t="s">
        <v>1546</v>
      </c>
      <c r="G514" s="142" t="s">
        <v>102</v>
      </c>
      <c r="H514" s="142" t="s">
        <v>51</v>
      </c>
      <c r="I514" s="143" t="s">
        <v>1539</v>
      </c>
      <c r="J514" s="143" t="s">
        <v>104</v>
      </c>
      <c r="K514" s="144"/>
      <c r="L514" s="145"/>
      <c r="M514" s="144"/>
    </row>
    <row r="515" spans="1:13" ht="15" customHeight="1">
      <c r="A515" s="146" t="s">
        <v>1559</v>
      </c>
      <c r="B515" s="146">
        <v>512888</v>
      </c>
      <c r="C515" s="147" t="s">
        <v>1560</v>
      </c>
      <c r="D515" s="146" t="s">
        <v>1530</v>
      </c>
      <c r="E515" s="147" t="s">
        <v>1546</v>
      </c>
      <c r="F515" s="147" t="s">
        <v>1546</v>
      </c>
      <c r="G515" s="146" t="s">
        <v>102</v>
      </c>
      <c r="H515" s="146" t="s">
        <v>51</v>
      </c>
      <c r="I515" s="147" t="s">
        <v>1539</v>
      </c>
      <c r="J515" s="147" t="s">
        <v>104</v>
      </c>
      <c r="K515" s="148" t="s">
        <v>121</v>
      </c>
      <c r="L515" s="149">
        <v>46149</v>
      </c>
      <c r="M515" s="148"/>
    </row>
    <row r="516" spans="1:13" ht="15" customHeight="1">
      <c r="A516" s="142" t="s">
        <v>1561</v>
      </c>
      <c r="B516" s="142">
        <v>512898</v>
      </c>
      <c r="C516" s="143" t="s">
        <v>1562</v>
      </c>
      <c r="D516" s="142" t="s">
        <v>1530</v>
      </c>
      <c r="E516" s="143" t="s">
        <v>1546</v>
      </c>
      <c r="F516" s="143" t="s">
        <v>1546</v>
      </c>
      <c r="G516" s="142" t="s">
        <v>109</v>
      </c>
      <c r="H516" s="142" t="s">
        <v>51</v>
      </c>
      <c r="I516" s="143" t="s">
        <v>1539</v>
      </c>
      <c r="J516" s="143" t="s">
        <v>104</v>
      </c>
      <c r="K516" s="144"/>
      <c r="L516" s="145"/>
      <c r="M516" s="144"/>
    </row>
    <row r="517" spans="1:13" ht="15" customHeight="1">
      <c r="A517" s="146" t="s">
        <v>1563</v>
      </c>
      <c r="B517" s="146">
        <v>512948</v>
      </c>
      <c r="C517" s="147" t="s">
        <v>1564</v>
      </c>
      <c r="D517" s="146" t="s">
        <v>1530</v>
      </c>
      <c r="E517" s="147" t="s">
        <v>1546</v>
      </c>
      <c r="F517" s="147" t="s">
        <v>1565</v>
      </c>
      <c r="G517" s="146" t="s">
        <v>102</v>
      </c>
      <c r="H517" s="146" t="s">
        <v>51</v>
      </c>
      <c r="I517" s="147" t="s">
        <v>1539</v>
      </c>
      <c r="J517" s="147" t="s">
        <v>104</v>
      </c>
      <c r="K517" s="148"/>
      <c r="L517" s="149"/>
      <c r="M517" s="148"/>
    </row>
    <row r="518" spans="1:13" ht="15" customHeight="1">
      <c r="A518" s="142" t="s">
        <v>1566</v>
      </c>
      <c r="B518" s="142">
        <v>512996</v>
      </c>
      <c r="C518" s="143" t="s">
        <v>1567</v>
      </c>
      <c r="D518" s="142" t="s">
        <v>1530</v>
      </c>
      <c r="E518" s="143" t="s">
        <v>1546</v>
      </c>
      <c r="F518" s="143" t="s">
        <v>1568</v>
      </c>
      <c r="G518" s="142" t="s">
        <v>109</v>
      </c>
      <c r="H518" s="142" t="s">
        <v>51</v>
      </c>
      <c r="I518" s="143" t="s">
        <v>1539</v>
      </c>
      <c r="J518" s="143" t="s">
        <v>104</v>
      </c>
      <c r="K518" s="144"/>
      <c r="L518" s="145"/>
      <c r="M518" s="144"/>
    </row>
    <row r="519" spans="1:13" ht="15" customHeight="1">
      <c r="A519" s="146" t="s">
        <v>1569</v>
      </c>
      <c r="B519" s="146">
        <v>513177</v>
      </c>
      <c r="C519" s="147" t="s">
        <v>1570</v>
      </c>
      <c r="D519" s="146" t="s">
        <v>1530</v>
      </c>
      <c r="E519" s="147" t="s">
        <v>1537</v>
      </c>
      <c r="F519" s="147" t="s">
        <v>1571</v>
      </c>
      <c r="G519" s="146" t="s">
        <v>109</v>
      </c>
      <c r="H519" s="146" t="s">
        <v>51</v>
      </c>
      <c r="I519" s="147" t="s">
        <v>1539</v>
      </c>
      <c r="J519" s="147" t="s">
        <v>104</v>
      </c>
      <c r="K519" s="148"/>
      <c r="L519" s="149"/>
      <c r="M519" s="148"/>
    </row>
    <row r="520" spans="1:13" ht="15" customHeight="1">
      <c r="A520" s="142" t="s">
        <v>1572</v>
      </c>
      <c r="B520" s="142">
        <v>513116</v>
      </c>
      <c r="C520" s="143" t="s">
        <v>1573</v>
      </c>
      <c r="D520" s="142" t="s">
        <v>1530</v>
      </c>
      <c r="E520" s="143" t="s">
        <v>1537</v>
      </c>
      <c r="F520" s="143" t="s">
        <v>1537</v>
      </c>
      <c r="G520" s="142" t="s">
        <v>102</v>
      </c>
      <c r="H520" s="142" t="s">
        <v>51</v>
      </c>
      <c r="I520" s="143" t="s">
        <v>1539</v>
      </c>
      <c r="J520" s="143" t="s">
        <v>104</v>
      </c>
      <c r="K520" s="144"/>
      <c r="L520" s="145"/>
      <c r="M520" s="144"/>
    </row>
    <row r="521" spans="1:13" ht="15" customHeight="1">
      <c r="A521" s="146" t="s">
        <v>1574</v>
      </c>
      <c r="B521" s="146">
        <v>513991</v>
      </c>
      <c r="C521" s="147" t="s">
        <v>1570</v>
      </c>
      <c r="D521" s="146" t="s">
        <v>1530</v>
      </c>
      <c r="E521" s="147" t="s">
        <v>1531</v>
      </c>
      <c r="F521" s="147" t="s">
        <v>1575</v>
      </c>
      <c r="G521" s="146" t="s">
        <v>109</v>
      </c>
      <c r="H521" s="146" t="s">
        <v>50</v>
      </c>
      <c r="I521" s="147" t="s">
        <v>1532</v>
      </c>
      <c r="J521" s="147" t="s">
        <v>104</v>
      </c>
      <c r="K521" s="148"/>
      <c r="L521" s="149"/>
      <c r="M521" s="148"/>
    </row>
    <row r="522" spans="1:13" ht="15" customHeight="1">
      <c r="A522" s="142" t="s">
        <v>1576</v>
      </c>
      <c r="B522" s="142">
        <v>513247</v>
      </c>
      <c r="C522" s="143" t="s">
        <v>1577</v>
      </c>
      <c r="D522" s="142" t="s">
        <v>1530</v>
      </c>
      <c r="E522" s="143" t="s">
        <v>1578</v>
      </c>
      <c r="F522" s="143" t="s">
        <v>1579</v>
      </c>
      <c r="G522" s="142" t="s">
        <v>109</v>
      </c>
      <c r="H522" s="142" t="s">
        <v>50</v>
      </c>
      <c r="I522" s="143" t="s">
        <v>1532</v>
      </c>
      <c r="J522" s="143" t="s">
        <v>104</v>
      </c>
      <c r="K522" s="144"/>
      <c r="L522" s="145"/>
      <c r="M522" s="144"/>
    </row>
    <row r="523" spans="1:13" ht="15" customHeight="1">
      <c r="A523" s="146" t="s">
        <v>1580</v>
      </c>
      <c r="B523" s="146">
        <v>512965</v>
      </c>
      <c r="C523" s="147" t="s">
        <v>1581</v>
      </c>
      <c r="D523" s="146" t="s">
        <v>1530</v>
      </c>
      <c r="E523" s="147" t="s">
        <v>1582</v>
      </c>
      <c r="F523" s="147" t="s">
        <v>1583</v>
      </c>
      <c r="G523" s="146" t="s">
        <v>109</v>
      </c>
      <c r="H523" s="146" t="s">
        <v>51</v>
      </c>
      <c r="I523" s="147" t="s">
        <v>1539</v>
      </c>
      <c r="J523" s="147" t="s">
        <v>104</v>
      </c>
      <c r="K523" s="148"/>
      <c r="L523" s="149"/>
      <c r="M523" s="148"/>
    </row>
    <row r="524" spans="1:13" ht="15" customHeight="1">
      <c r="A524" s="142" t="s">
        <v>1584</v>
      </c>
      <c r="B524" s="142">
        <v>513367</v>
      </c>
      <c r="C524" s="143" t="s">
        <v>1585</v>
      </c>
      <c r="D524" s="142" t="s">
        <v>1530</v>
      </c>
      <c r="E524" s="143" t="s">
        <v>1586</v>
      </c>
      <c r="F524" s="143" t="s">
        <v>1587</v>
      </c>
      <c r="G524" s="142" t="s">
        <v>109</v>
      </c>
      <c r="H524" s="142" t="s">
        <v>51</v>
      </c>
      <c r="I524" s="143" t="s">
        <v>1539</v>
      </c>
      <c r="J524" s="143" t="s">
        <v>104</v>
      </c>
      <c r="K524" s="144"/>
      <c r="L524" s="145"/>
      <c r="M524" s="144"/>
    </row>
    <row r="525" spans="1:13" ht="15" customHeight="1">
      <c r="A525" s="146" t="s">
        <v>1588</v>
      </c>
      <c r="B525" s="146">
        <v>513062</v>
      </c>
      <c r="C525" s="147" t="s">
        <v>1589</v>
      </c>
      <c r="D525" s="146" t="s">
        <v>1530</v>
      </c>
      <c r="E525" s="147" t="s">
        <v>1232</v>
      </c>
      <c r="F525" s="147" t="s">
        <v>1590</v>
      </c>
      <c r="G525" s="146" t="s">
        <v>109</v>
      </c>
      <c r="H525" s="146" t="s">
        <v>51</v>
      </c>
      <c r="I525" s="147" t="s">
        <v>1539</v>
      </c>
      <c r="J525" s="147" t="s">
        <v>104</v>
      </c>
      <c r="K525" s="148"/>
      <c r="L525" s="149"/>
      <c r="M525" s="148"/>
    </row>
    <row r="526" spans="1:13" ht="15" customHeight="1">
      <c r="A526" s="142" t="s">
        <v>1591</v>
      </c>
      <c r="B526" s="142">
        <v>513381</v>
      </c>
      <c r="C526" s="143" t="s">
        <v>1592</v>
      </c>
      <c r="D526" s="142" t="s">
        <v>1530</v>
      </c>
      <c r="E526" s="143" t="s">
        <v>320</v>
      </c>
      <c r="F526" s="143" t="s">
        <v>1593</v>
      </c>
      <c r="G526" s="142" t="s">
        <v>109</v>
      </c>
      <c r="H526" s="142" t="s">
        <v>51</v>
      </c>
      <c r="I526" s="143" t="s">
        <v>1539</v>
      </c>
      <c r="J526" s="143" t="s">
        <v>104</v>
      </c>
      <c r="K526" s="144"/>
      <c r="L526" s="145"/>
      <c r="M526" s="144"/>
    </row>
    <row r="527" spans="1:13" ht="15" customHeight="1">
      <c r="A527" s="146" t="s">
        <v>1594</v>
      </c>
      <c r="B527" s="146">
        <v>513185</v>
      </c>
      <c r="C527" s="147" t="s">
        <v>1595</v>
      </c>
      <c r="D527" s="146" t="s">
        <v>1530</v>
      </c>
      <c r="E527" s="147" t="s">
        <v>1596</v>
      </c>
      <c r="F527" s="147" t="s">
        <v>1597</v>
      </c>
      <c r="G527" s="146" t="s">
        <v>109</v>
      </c>
      <c r="H527" s="146" t="s">
        <v>50</v>
      </c>
      <c r="I527" s="147" t="s">
        <v>1532</v>
      </c>
      <c r="J527" s="147" t="s">
        <v>104</v>
      </c>
      <c r="K527" s="148"/>
      <c r="L527" s="149"/>
      <c r="M527" s="148"/>
    </row>
    <row r="528" spans="1:13" ht="15" customHeight="1">
      <c r="A528" s="142" t="s">
        <v>1598</v>
      </c>
      <c r="B528" s="142">
        <v>512985</v>
      </c>
      <c r="C528" s="143" t="s">
        <v>1599</v>
      </c>
      <c r="D528" s="142" t="s">
        <v>1530</v>
      </c>
      <c r="E528" s="143" t="s">
        <v>1600</v>
      </c>
      <c r="F528" s="143" t="s">
        <v>1601</v>
      </c>
      <c r="G528" s="142" t="s">
        <v>109</v>
      </c>
      <c r="H528" s="142" t="s">
        <v>50</v>
      </c>
      <c r="I528" s="143" t="s">
        <v>1532</v>
      </c>
      <c r="J528" s="143" t="s">
        <v>104</v>
      </c>
      <c r="K528" s="144" t="s">
        <v>121</v>
      </c>
      <c r="L528" s="145">
        <v>46150</v>
      </c>
      <c r="M528" s="144"/>
    </row>
    <row r="529" spans="1:13" ht="15" customHeight="1">
      <c r="A529" s="146" t="s">
        <v>1602</v>
      </c>
      <c r="B529" s="146">
        <v>513221</v>
      </c>
      <c r="C529" s="147" t="s">
        <v>1603</v>
      </c>
      <c r="D529" s="146" t="s">
        <v>1530</v>
      </c>
      <c r="E529" s="147" t="s">
        <v>1558</v>
      </c>
      <c r="F529" s="147" t="s">
        <v>1604</v>
      </c>
      <c r="G529" s="146" t="s">
        <v>109</v>
      </c>
      <c r="H529" s="146" t="s">
        <v>51</v>
      </c>
      <c r="I529" s="147" t="s">
        <v>1539</v>
      </c>
      <c r="J529" s="147" t="s">
        <v>104</v>
      </c>
      <c r="K529" s="148"/>
      <c r="L529" s="149"/>
      <c r="M529" s="148"/>
    </row>
    <row r="530" spans="1:13" ht="15" customHeight="1">
      <c r="A530" s="142" t="s">
        <v>1605</v>
      </c>
      <c r="B530" s="142">
        <v>512970</v>
      </c>
      <c r="C530" s="143" t="s">
        <v>1606</v>
      </c>
      <c r="D530" s="142" t="s">
        <v>1530</v>
      </c>
      <c r="E530" s="143" t="s">
        <v>1607</v>
      </c>
      <c r="F530" s="143" t="s">
        <v>1422</v>
      </c>
      <c r="G530" s="142" t="s">
        <v>109</v>
      </c>
      <c r="H530" s="142" t="s">
        <v>50</v>
      </c>
      <c r="I530" s="143" t="s">
        <v>1532</v>
      </c>
      <c r="J530" s="143" t="s">
        <v>104</v>
      </c>
      <c r="K530" s="144" t="s">
        <v>121</v>
      </c>
      <c r="L530" s="145">
        <v>46150</v>
      </c>
      <c r="M530" s="144"/>
    </row>
    <row r="531" spans="1:13" ht="15" customHeight="1">
      <c r="A531" s="146" t="s">
        <v>1608</v>
      </c>
      <c r="B531" s="146">
        <v>513065</v>
      </c>
      <c r="C531" s="147" t="s">
        <v>1609</v>
      </c>
      <c r="D531" s="146" t="s">
        <v>1530</v>
      </c>
      <c r="E531" s="147" t="s">
        <v>1537</v>
      </c>
      <c r="F531" s="147" t="s">
        <v>1610</v>
      </c>
      <c r="G531" s="146" t="s">
        <v>109</v>
      </c>
      <c r="H531" s="146" t="s">
        <v>51</v>
      </c>
      <c r="I531" s="147" t="s">
        <v>1539</v>
      </c>
      <c r="J531" s="147" t="s">
        <v>104</v>
      </c>
      <c r="K531" s="148"/>
      <c r="L531" s="149"/>
      <c r="M531" s="148"/>
    </row>
    <row r="532" spans="1:13" ht="15" customHeight="1">
      <c r="A532" s="142" t="s">
        <v>1611</v>
      </c>
      <c r="B532" s="142">
        <v>513085</v>
      </c>
      <c r="C532" s="143" t="s">
        <v>1612</v>
      </c>
      <c r="D532" s="142" t="s">
        <v>1530</v>
      </c>
      <c r="E532" s="143" t="s">
        <v>1537</v>
      </c>
      <c r="F532" s="143" t="s">
        <v>1613</v>
      </c>
      <c r="G532" s="142" t="s">
        <v>109</v>
      </c>
      <c r="H532" s="142" t="s">
        <v>51</v>
      </c>
      <c r="I532" s="143" t="s">
        <v>1539</v>
      </c>
      <c r="J532" s="143" t="s">
        <v>104</v>
      </c>
      <c r="K532" s="144"/>
      <c r="L532" s="145"/>
      <c r="M532" s="144"/>
    </row>
    <row r="533" spans="1:13" ht="15" customHeight="1">
      <c r="A533" s="146" t="s">
        <v>1614</v>
      </c>
      <c r="B533" s="146">
        <v>512999</v>
      </c>
      <c r="C533" s="147" t="s">
        <v>1615</v>
      </c>
      <c r="D533" s="146" t="s">
        <v>1530</v>
      </c>
      <c r="E533" s="147" t="s">
        <v>1546</v>
      </c>
      <c r="F533" s="147" t="s">
        <v>1616</v>
      </c>
      <c r="G533" s="146" t="s">
        <v>109</v>
      </c>
      <c r="H533" s="146" t="s">
        <v>51</v>
      </c>
      <c r="I533" s="147" t="s">
        <v>1539</v>
      </c>
      <c r="J533" s="147" t="s">
        <v>104</v>
      </c>
      <c r="K533" s="148"/>
      <c r="L533" s="149"/>
      <c r="M533" s="148"/>
    </row>
    <row r="534" spans="1:13" ht="15" customHeight="1">
      <c r="A534" s="142" t="s">
        <v>1617</v>
      </c>
      <c r="B534" s="142">
        <v>512944</v>
      </c>
      <c r="C534" s="143" t="s">
        <v>1618</v>
      </c>
      <c r="D534" s="142" t="s">
        <v>1530</v>
      </c>
      <c r="E534" s="143" t="s">
        <v>1546</v>
      </c>
      <c r="F534" s="143" t="s">
        <v>1619</v>
      </c>
      <c r="G534" s="142" t="s">
        <v>109</v>
      </c>
      <c r="H534" s="142" t="s">
        <v>51</v>
      </c>
      <c r="I534" s="143" t="s">
        <v>1539</v>
      </c>
      <c r="J534" s="143" t="s">
        <v>104</v>
      </c>
      <c r="K534" s="144"/>
      <c r="L534" s="145"/>
      <c r="M534" s="144"/>
    </row>
    <row r="535" spans="1:13" ht="15" customHeight="1">
      <c r="A535" s="146" t="s">
        <v>1620</v>
      </c>
      <c r="B535" s="146">
        <v>513300</v>
      </c>
      <c r="C535" s="147" t="s">
        <v>1621</v>
      </c>
      <c r="D535" s="146" t="s">
        <v>1530</v>
      </c>
      <c r="E535" s="147" t="s">
        <v>1582</v>
      </c>
      <c r="F535" s="147" t="s">
        <v>1622</v>
      </c>
      <c r="G535" s="146" t="s">
        <v>109</v>
      </c>
      <c r="H535" s="146" t="s">
        <v>51</v>
      </c>
      <c r="I535" s="147" t="s">
        <v>1539</v>
      </c>
      <c r="J535" s="147" t="s">
        <v>104</v>
      </c>
      <c r="K535" s="148" t="s">
        <v>121</v>
      </c>
      <c r="L535" s="149">
        <v>46149</v>
      </c>
      <c r="M535" s="148"/>
    </row>
    <row r="536" spans="1:13" ht="15" customHeight="1">
      <c r="A536" s="142" t="s">
        <v>1623</v>
      </c>
      <c r="B536" s="142">
        <v>515972</v>
      </c>
      <c r="C536" s="143" t="s">
        <v>1624</v>
      </c>
      <c r="D536" s="142" t="s">
        <v>1530</v>
      </c>
      <c r="E536" s="143" t="s">
        <v>1542</v>
      </c>
      <c r="F536" s="143" t="s">
        <v>1625</v>
      </c>
      <c r="G536" s="142" t="s">
        <v>109</v>
      </c>
      <c r="H536" s="142" t="s">
        <v>51</v>
      </c>
      <c r="I536" s="143" t="s">
        <v>1539</v>
      </c>
      <c r="J536" s="143" t="s">
        <v>104</v>
      </c>
      <c r="K536" s="144"/>
      <c r="L536" s="145"/>
      <c r="M536" s="144"/>
    </row>
    <row r="537" spans="1:13" ht="15" customHeight="1">
      <c r="A537" s="146" t="s">
        <v>1626</v>
      </c>
      <c r="B537" s="146">
        <v>513029</v>
      </c>
      <c r="C537" s="147" t="s">
        <v>1627</v>
      </c>
      <c r="D537" s="146" t="s">
        <v>1530</v>
      </c>
      <c r="E537" s="147" t="s">
        <v>1628</v>
      </c>
      <c r="F537" s="147" t="s">
        <v>1629</v>
      </c>
      <c r="G537" s="146" t="s">
        <v>109</v>
      </c>
      <c r="H537" s="146" t="s">
        <v>50</v>
      </c>
      <c r="I537" s="147" t="s">
        <v>1532</v>
      </c>
      <c r="J537" s="147" t="s">
        <v>104</v>
      </c>
      <c r="K537" s="148" t="s">
        <v>121</v>
      </c>
      <c r="L537" s="149">
        <v>46141</v>
      </c>
      <c r="M537" s="148"/>
    </row>
    <row r="538" spans="1:13" ht="15" customHeight="1">
      <c r="A538" s="142" t="s">
        <v>1630</v>
      </c>
      <c r="B538" s="142">
        <v>513128</v>
      </c>
      <c r="C538" s="143" t="s">
        <v>1631</v>
      </c>
      <c r="D538" s="142" t="s">
        <v>1530</v>
      </c>
      <c r="E538" s="143" t="s">
        <v>1558</v>
      </c>
      <c r="F538" s="143" t="s">
        <v>1292</v>
      </c>
      <c r="G538" s="142" t="s">
        <v>109</v>
      </c>
      <c r="H538" s="142" t="s">
        <v>51</v>
      </c>
      <c r="I538" s="143" t="s">
        <v>1539</v>
      </c>
      <c r="J538" s="143" t="s">
        <v>104</v>
      </c>
      <c r="K538" s="144"/>
      <c r="L538" s="145"/>
      <c r="M538" s="144"/>
    </row>
    <row r="539" spans="1:13" ht="15" customHeight="1">
      <c r="A539" s="146" t="s">
        <v>1632</v>
      </c>
      <c r="B539" s="146">
        <v>513129</v>
      </c>
      <c r="C539" s="147" t="s">
        <v>1633</v>
      </c>
      <c r="D539" s="146" t="s">
        <v>1530</v>
      </c>
      <c r="E539" s="147" t="s">
        <v>1558</v>
      </c>
      <c r="F539" s="147" t="s">
        <v>1634</v>
      </c>
      <c r="G539" s="146" t="s">
        <v>109</v>
      </c>
      <c r="H539" s="146" t="s">
        <v>51</v>
      </c>
      <c r="I539" s="147" t="s">
        <v>1539</v>
      </c>
      <c r="J539" s="147" t="s">
        <v>104</v>
      </c>
      <c r="K539" s="148"/>
      <c r="L539" s="149"/>
      <c r="M539" s="148"/>
    </row>
    <row r="540" spans="1:13" ht="15" customHeight="1">
      <c r="A540" s="142" t="s">
        <v>1635</v>
      </c>
      <c r="B540" s="142">
        <v>512871</v>
      </c>
      <c r="C540" s="143" t="s">
        <v>1636</v>
      </c>
      <c r="D540" s="142" t="s">
        <v>1530</v>
      </c>
      <c r="E540" s="143" t="s">
        <v>1607</v>
      </c>
      <c r="F540" s="143" t="s">
        <v>1636</v>
      </c>
      <c r="G540" s="142" t="s">
        <v>109</v>
      </c>
      <c r="H540" s="142" t="s">
        <v>50</v>
      </c>
      <c r="I540" s="143" t="s">
        <v>1532</v>
      </c>
      <c r="J540" s="143" t="s">
        <v>104</v>
      </c>
      <c r="K540" s="144"/>
      <c r="L540" s="145"/>
      <c r="M540" s="144"/>
    </row>
    <row r="541" spans="1:13" ht="15" customHeight="1">
      <c r="A541" s="146" t="s">
        <v>1637</v>
      </c>
      <c r="B541" s="146">
        <v>513360</v>
      </c>
      <c r="C541" s="147" t="s">
        <v>1638</v>
      </c>
      <c r="D541" s="146" t="s">
        <v>1530</v>
      </c>
      <c r="E541" s="147" t="s">
        <v>1639</v>
      </c>
      <c r="F541" s="147" t="s">
        <v>1640</v>
      </c>
      <c r="G541" s="146" t="s">
        <v>109</v>
      </c>
      <c r="H541" s="146" t="s">
        <v>50</v>
      </c>
      <c r="I541" s="147" t="s">
        <v>1532</v>
      </c>
      <c r="J541" s="147" t="s">
        <v>104</v>
      </c>
      <c r="K541" s="148"/>
      <c r="L541" s="149"/>
      <c r="M541" s="148"/>
    </row>
    <row r="542" spans="1:13" ht="15" customHeight="1">
      <c r="A542" s="142" t="s">
        <v>1641</v>
      </c>
      <c r="B542" s="142">
        <v>512983</v>
      </c>
      <c r="C542" s="143" t="s">
        <v>1642</v>
      </c>
      <c r="D542" s="142" t="s">
        <v>1530</v>
      </c>
      <c r="E542" s="143" t="s">
        <v>1530</v>
      </c>
      <c r="F542" s="143" t="s">
        <v>1643</v>
      </c>
      <c r="G542" s="142" t="s">
        <v>109</v>
      </c>
      <c r="H542" s="142" t="s">
        <v>51</v>
      </c>
      <c r="I542" s="143" t="s">
        <v>1539</v>
      </c>
      <c r="J542" s="143" t="s">
        <v>104</v>
      </c>
      <c r="K542" s="144"/>
      <c r="L542" s="145"/>
      <c r="M542" s="144"/>
    </row>
    <row r="543" spans="1:13" ht="15" customHeight="1">
      <c r="A543" s="146" t="s">
        <v>1644</v>
      </c>
      <c r="B543" s="146">
        <v>513088</v>
      </c>
      <c r="C543" s="147" t="s">
        <v>1645</v>
      </c>
      <c r="D543" s="146" t="s">
        <v>1530</v>
      </c>
      <c r="E543" s="147" t="s">
        <v>1646</v>
      </c>
      <c r="F543" s="147" t="s">
        <v>1647</v>
      </c>
      <c r="G543" s="146" t="s">
        <v>109</v>
      </c>
      <c r="H543" s="146" t="s">
        <v>51</v>
      </c>
      <c r="I543" s="147" t="s">
        <v>1539</v>
      </c>
      <c r="J543" s="147" t="s">
        <v>104</v>
      </c>
      <c r="K543" s="148"/>
      <c r="L543" s="149"/>
      <c r="M543" s="148"/>
    </row>
    <row r="544" spans="1:13" ht="15" customHeight="1">
      <c r="A544" s="142" t="s">
        <v>1648</v>
      </c>
      <c r="B544" s="142">
        <v>514167</v>
      </c>
      <c r="C544" s="143" t="s">
        <v>1648</v>
      </c>
      <c r="D544" s="142" t="s">
        <v>1530</v>
      </c>
      <c r="E544" s="143" t="s">
        <v>1649</v>
      </c>
      <c r="F544" s="143" t="s">
        <v>1650</v>
      </c>
      <c r="G544" s="142" t="s">
        <v>109</v>
      </c>
      <c r="H544" s="142" t="s">
        <v>50</v>
      </c>
      <c r="I544" s="143" t="s">
        <v>1532</v>
      </c>
      <c r="J544" s="143" t="s">
        <v>104</v>
      </c>
      <c r="K544" s="144"/>
      <c r="L544" s="145"/>
      <c r="M544" s="144"/>
    </row>
    <row r="545" spans="1:13" ht="15" customHeight="1">
      <c r="A545" s="146" t="s">
        <v>1651</v>
      </c>
      <c r="B545" s="146">
        <v>513068</v>
      </c>
      <c r="C545" s="147" t="s">
        <v>1652</v>
      </c>
      <c r="D545" s="146" t="s">
        <v>1530</v>
      </c>
      <c r="E545" s="147" t="s">
        <v>1653</v>
      </c>
      <c r="F545" s="147" t="s">
        <v>1654</v>
      </c>
      <c r="G545" s="146" t="s">
        <v>109</v>
      </c>
      <c r="H545" s="146" t="s">
        <v>50</v>
      </c>
      <c r="I545" s="147" t="s">
        <v>1532</v>
      </c>
      <c r="J545" s="147" t="s">
        <v>104</v>
      </c>
      <c r="K545" s="148" t="s">
        <v>121</v>
      </c>
      <c r="L545" s="149">
        <v>46150</v>
      </c>
      <c r="M545" s="148"/>
    </row>
    <row r="546" spans="1:13" ht="15" customHeight="1">
      <c r="A546" s="142" t="s">
        <v>1655</v>
      </c>
      <c r="B546" s="142">
        <v>513020</v>
      </c>
      <c r="C546" s="143" t="s">
        <v>1656</v>
      </c>
      <c r="D546" s="142" t="s">
        <v>1530</v>
      </c>
      <c r="E546" s="143" t="s">
        <v>1653</v>
      </c>
      <c r="F546" s="143" t="s">
        <v>1657</v>
      </c>
      <c r="G546" s="142" t="s">
        <v>109</v>
      </c>
      <c r="H546" s="142" t="s">
        <v>50</v>
      </c>
      <c r="I546" s="143" t="s">
        <v>1532</v>
      </c>
      <c r="J546" s="143" t="s">
        <v>104</v>
      </c>
      <c r="K546" s="144" t="s">
        <v>162</v>
      </c>
      <c r="L546" s="145">
        <v>46139</v>
      </c>
      <c r="M546" s="144"/>
    </row>
    <row r="547" spans="1:13" ht="15" customHeight="1">
      <c r="A547" s="146" t="s">
        <v>1658</v>
      </c>
      <c r="B547" s="146">
        <v>513218</v>
      </c>
      <c r="C547" s="147" t="s">
        <v>1659</v>
      </c>
      <c r="D547" s="146" t="s">
        <v>1530</v>
      </c>
      <c r="E547" s="147" t="s">
        <v>1660</v>
      </c>
      <c r="F547" s="147" t="s">
        <v>1661</v>
      </c>
      <c r="G547" s="146" t="s">
        <v>109</v>
      </c>
      <c r="H547" s="146" t="s">
        <v>51</v>
      </c>
      <c r="I547" s="147" t="s">
        <v>1539</v>
      </c>
      <c r="J547" s="147" t="s">
        <v>104</v>
      </c>
      <c r="K547" s="148"/>
      <c r="L547" s="149"/>
      <c r="M547" s="148"/>
    </row>
    <row r="548" spans="1:13" ht="15" customHeight="1">
      <c r="A548" s="142" t="s">
        <v>1662</v>
      </c>
      <c r="B548" s="142">
        <v>514190</v>
      </c>
      <c r="C548" s="143" t="s">
        <v>1663</v>
      </c>
      <c r="D548" s="142" t="s">
        <v>1530</v>
      </c>
      <c r="E548" s="143" t="s">
        <v>1578</v>
      </c>
      <c r="F548" s="143" t="s">
        <v>1664</v>
      </c>
      <c r="G548" s="142" t="s">
        <v>109</v>
      </c>
      <c r="H548" s="142" t="s">
        <v>50</v>
      </c>
      <c r="I548" s="143" t="s">
        <v>1532</v>
      </c>
      <c r="J548" s="143" t="s">
        <v>104</v>
      </c>
      <c r="K548" s="144" t="s">
        <v>121</v>
      </c>
      <c r="L548" s="145">
        <v>46147</v>
      </c>
      <c r="M548" s="144"/>
    </row>
    <row r="549" spans="1:13" ht="15" customHeight="1">
      <c r="A549" s="146" t="s">
        <v>1665</v>
      </c>
      <c r="B549" s="146">
        <v>513248</v>
      </c>
      <c r="C549" s="147" t="s">
        <v>1666</v>
      </c>
      <c r="D549" s="146" t="s">
        <v>1530</v>
      </c>
      <c r="E549" s="147" t="s">
        <v>1578</v>
      </c>
      <c r="F549" s="147" t="s">
        <v>1667</v>
      </c>
      <c r="G549" s="146" t="s">
        <v>109</v>
      </c>
      <c r="H549" s="146" t="s">
        <v>50</v>
      </c>
      <c r="I549" s="147" t="s">
        <v>1532</v>
      </c>
      <c r="J549" s="147" t="s">
        <v>104</v>
      </c>
      <c r="K549" s="148"/>
      <c r="L549" s="149"/>
      <c r="M549" s="148"/>
    </row>
    <row r="550" spans="1:13" ht="15" customHeight="1">
      <c r="A550" s="142" t="s">
        <v>1668</v>
      </c>
      <c r="B550" s="142">
        <v>513355</v>
      </c>
      <c r="C550" s="143" t="s">
        <v>1669</v>
      </c>
      <c r="D550" s="142" t="s">
        <v>1530</v>
      </c>
      <c r="E550" s="143" t="s">
        <v>1578</v>
      </c>
      <c r="F550" s="143" t="s">
        <v>1670</v>
      </c>
      <c r="G550" s="142" t="s">
        <v>109</v>
      </c>
      <c r="H550" s="142" t="s">
        <v>50</v>
      </c>
      <c r="I550" s="143" t="s">
        <v>1532</v>
      </c>
      <c r="J550" s="143" t="s">
        <v>104</v>
      </c>
      <c r="K550" s="144" t="s">
        <v>121</v>
      </c>
      <c r="L550" s="145">
        <v>46140</v>
      </c>
      <c r="M550" s="144"/>
    </row>
    <row r="551" spans="1:13" ht="15" customHeight="1">
      <c r="A551" s="146" t="s">
        <v>1671</v>
      </c>
      <c r="B551" s="146">
        <v>513943</v>
      </c>
      <c r="C551" s="147" t="s">
        <v>1672</v>
      </c>
      <c r="D551" s="146" t="s">
        <v>1530</v>
      </c>
      <c r="E551" s="147" t="s">
        <v>1586</v>
      </c>
      <c r="F551" s="147" t="s">
        <v>1673</v>
      </c>
      <c r="G551" s="146" t="s">
        <v>109</v>
      </c>
      <c r="H551" s="146" t="s">
        <v>51</v>
      </c>
      <c r="I551" s="147" t="s">
        <v>1539</v>
      </c>
      <c r="J551" s="147" t="s">
        <v>104</v>
      </c>
      <c r="K551" s="148"/>
      <c r="L551" s="149"/>
      <c r="M551" s="148"/>
    </row>
    <row r="552" spans="1:13" ht="15" customHeight="1">
      <c r="A552" s="142" t="s">
        <v>1674</v>
      </c>
      <c r="B552" s="142">
        <v>512966</v>
      </c>
      <c r="C552" s="143" t="s">
        <v>1675</v>
      </c>
      <c r="D552" s="142" t="s">
        <v>1530</v>
      </c>
      <c r="E552" s="143" t="s">
        <v>1676</v>
      </c>
      <c r="F552" s="143" t="s">
        <v>1677</v>
      </c>
      <c r="G552" s="142" t="s">
        <v>109</v>
      </c>
      <c r="H552" s="142" t="s">
        <v>51</v>
      </c>
      <c r="I552" s="143" t="s">
        <v>1539</v>
      </c>
      <c r="J552" s="143" t="s">
        <v>104</v>
      </c>
      <c r="K552" s="144"/>
      <c r="L552" s="145"/>
      <c r="M552" s="144"/>
    </row>
    <row r="553" spans="1:13" ht="15" customHeight="1">
      <c r="A553" s="146" t="s">
        <v>1678</v>
      </c>
      <c r="B553" s="146">
        <v>513215</v>
      </c>
      <c r="C553" s="147" t="s">
        <v>1679</v>
      </c>
      <c r="D553" s="146" t="s">
        <v>1530</v>
      </c>
      <c r="E553" s="147" t="s">
        <v>1549</v>
      </c>
      <c r="F553" s="147" t="s">
        <v>1680</v>
      </c>
      <c r="G553" s="146" t="s">
        <v>109</v>
      </c>
      <c r="H553" s="146" t="s">
        <v>50</v>
      </c>
      <c r="I553" s="147" t="s">
        <v>1532</v>
      </c>
      <c r="J553" s="147" t="s">
        <v>104</v>
      </c>
      <c r="K553" s="148"/>
      <c r="L553" s="149"/>
      <c r="M553" s="148"/>
    </row>
    <row r="554" spans="1:13" ht="15" customHeight="1">
      <c r="A554" s="142" t="s">
        <v>1681</v>
      </c>
      <c r="B554" s="142">
        <v>513007</v>
      </c>
      <c r="C554" s="143" t="s">
        <v>1682</v>
      </c>
      <c r="D554" s="142" t="s">
        <v>1530</v>
      </c>
      <c r="E554" s="143" t="s">
        <v>1683</v>
      </c>
      <c r="F554" s="143" t="s">
        <v>1684</v>
      </c>
      <c r="G554" s="142" t="s">
        <v>109</v>
      </c>
      <c r="H554" s="142" t="s">
        <v>50</v>
      </c>
      <c r="I554" s="143" t="s">
        <v>1532</v>
      </c>
      <c r="J554" s="143" t="s">
        <v>104</v>
      </c>
      <c r="K554" s="144" t="s">
        <v>162</v>
      </c>
      <c r="L554" s="145">
        <v>46139</v>
      </c>
      <c r="M554" s="144"/>
    </row>
    <row r="555" spans="1:13" ht="15" customHeight="1">
      <c r="A555" s="146" t="s">
        <v>1685</v>
      </c>
      <c r="B555" s="146">
        <v>513370</v>
      </c>
      <c r="C555" s="147" t="s">
        <v>1686</v>
      </c>
      <c r="D555" s="146" t="s">
        <v>1530</v>
      </c>
      <c r="E555" s="147" t="s">
        <v>1687</v>
      </c>
      <c r="F555" s="147" t="s">
        <v>1686</v>
      </c>
      <c r="G555" s="146" t="s">
        <v>109</v>
      </c>
      <c r="H555" s="146" t="s">
        <v>50</v>
      </c>
      <c r="I555" s="147" t="s">
        <v>1532</v>
      </c>
      <c r="J555" s="147" t="s">
        <v>104</v>
      </c>
      <c r="K555" s="148" t="s">
        <v>121</v>
      </c>
      <c r="L555" s="149">
        <v>46141</v>
      </c>
      <c r="M555" s="148"/>
    </row>
    <row r="556" spans="1:13" ht="15" customHeight="1">
      <c r="A556" s="142" t="s">
        <v>1688</v>
      </c>
      <c r="B556" s="142">
        <v>513188</v>
      </c>
      <c r="C556" s="143" t="s">
        <v>1689</v>
      </c>
      <c r="D556" s="142" t="s">
        <v>1530</v>
      </c>
      <c r="E556" s="143" t="s">
        <v>1687</v>
      </c>
      <c r="F556" s="143" t="s">
        <v>1690</v>
      </c>
      <c r="G556" s="142" t="s">
        <v>109</v>
      </c>
      <c r="H556" s="142" t="s">
        <v>50</v>
      </c>
      <c r="I556" s="143" t="s">
        <v>1532</v>
      </c>
      <c r="J556" s="143" t="s">
        <v>104</v>
      </c>
      <c r="K556" s="144" t="s">
        <v>121</v>
      </c>
      <c r="L556" s="145">
        <v>46140</v>
      </c>
      <c r="M556" s="144"/>
    </row>
    <row r="557" spans="1:13" ht="15" customHeight="1">
      <c r="A557" s="146" t="s">
        <v>1691</v>
      </c>
      <c r="B557" s="146">
        <v>513256</v>
      </c>
      <c r="C557" s="147" t="s">
        <v>1692</v>
      </c>
      <c r="D557" s="146" t="s">
        <v>1530</v>
      </c>
      <c r="E557" s="147" t="s">
        <v>320</v>
      </c>
      <c r="F557" s="147" t="s">
        <v>1692</v>
      </c>
      <c r="G557" s="146" t="s">
        <v>109</v>
      </c>
      <c r="H557" s="146" t="s">
        <v>51</v>
      </c>
      <c r="I557" s="147" t="s">
        <v>1539</v>
      </c>
      <c r="J557" s="147" t="s">
        <v>104</v>
      </c>
      <c r="K557" s="148"/>
      <c r="L557" s="149"/>
      <c r="M557" s="148"/>
    </row>
    <row r="558" spans="1:13" ht="15" customHeight="1">
      <c r="A558" s="142" t="s">
        <v>1693</v>
      </c>
      <c r="B558" s="142">
        <v>513396</v>
      </c>
      <c r="C558" s="143" t="s">
        <v>1694</v>
      </c>
      <c r="D558" s="142" t="s">
        <v>1530</v>
      </c>
      <c r="E558" s="143" t="s">
        <v>320</v>
      </c>
      <c r="F558" s="143" t="s">
        <v>1695</v>
      </c>
      <c r="G558" s="142" t="s">
        <v>109</v>
      </c>
      <c r="H558" s="142" t="s">
        <v>51</v>
      </c>
      <c r="I558" s="143" t="s">
        <v>1539</v>
      </c>
      <c r="J558" s="143" t="s">
        <v>104</v>
      </c>
      <c r="K558" s="144"/>
      <c r="L558" s="145"/>
      <c r="M558" s="144"/>
    </row>
    <row r="559" spans="1:13" ht="15" customHeight="1">
      <c r="A559" s="146" t="s">
        <v>1696</v>
      </c>
      <c r="B559" s="146">
        <v>513386</v>
      </c>
      <c r="C559" s="147" t="s">
        <v>1697</v>
      </c>
      <c r="D559" s="146" t="s">
        <v>1530</v>
      </c>
      <c r="E559" s="147" t="s">
        <v>320</v>
      </c>
      <c r="F559" s="147" t="s">
        <v>1698</v>
      </c>
      <c r="G559" s="146" t="s">
        <v>109</v>
      </c>
      <c r="H559" s="146" t="s">
        <v>51</v>
      </c>
      <c r="I559" s="147" t="s">
        <v>1539</v>
      </c>
      <c r="J559" s="147" t="s">
        <v>104</v>
      </c>
      <c r="K559" s="148"/>
      <c r="L559" s="149"/>
      <c r="M559" s="148"/>
    </row>
    <row r="560" spans="1:13" ht="15" customHeight="1">
      <c r="A560" s="142" t="s">
        <v>1699</v>
      </c>
      <c r="B560" s="142">
        <v>513164</v>
      </c>
      <c r="C560" s="143" t="s">
        <v>1700</v>
      </c>
      <c r="D560" s="142" t="s">
        <v>1530</v>
      </c>
      <c r="E560" s="143" t="s">
        <v>1596</v>
      </c>
      <c r="F560" s="143" t="s">
        <v>1701</v>
      </c>
      <c r="G560" s="142" t="s">
        <v>109</v>
      </c>
      <c r="H560" s="142" t="s">
        <v>50</v>
      </c>
      <c r="I560" s="143" t="s">
        <v>1532</v>
      </c>
      <c r="J560" s="143" t="s">
        <v>104</v>
      </c>
      <c r="K560" s="144"/>
      <c r="L560" s="145"/>
      <c r="M560" s="144"/>
    </row>
    <row r="561" spans="1:13" ht="15" customHeight="1">
      <c r="A561" s="146" t="s">
        <v>1702</v>
      </c>
      <c r="B561" s="146">
        <v>521706</v>
      </c>
      <c r="C561" s="147" t="s">
        <v>1703</v>
      </c>
      <c r="D561" s="146" t="s">
        <v>1530</v>
      </c>
      <c r="E561" s="147" t="s">
        <v>1596</v>
      </c>
      <c r="F561" s="147" t="s">
        <v>1704</v>
      </c>
      <c r="G561" s="146" t="s">
        <v>109</v>
      </c>
      <c r="H561" s="146" t="s">
        <v>50</v>
      </c>
      <c r="I561" s="147" t="s">
        <v>1532</v>
      </c>
      <c r="J561" s="147" t="s">
        <v>104</v>
      </c>
      <c r="K561" s="148"/>
      <c r="L561" s="149"/>
      <c r="M561" s="148"/>
    </row>
    <row r="562" spans="1:13" ht="15" customHeight="1">
      <c r="A562" s="142" t="s">
        <v>1705</v>
      </c>
      <c r="B562" s="142">
        <v>513167</v>
      </c>
      <c r="C562" s="143" t="s">
        <v>1706</v>
      </c>
      <c r="D562" s="142" t="s">
        <v>1530</v>
      </c>
      <c r="E562" s="143" t="s">
        <v>1707</v>
      </c>
      <c r="F562" s="143" t="s">
        <v>423</v>
      </c>
      <c r="G562" s="142" t="s">
        <v>109</v>
      </c>
      <c r="H562" s="142" t="s">
        <v>50</v>
      </c>
      <c r="I562" s="143" t="s">
        <v>1532</v>
      </c>
      <c r="J562" s="143" t="s">
        <v>104</v>
      </c>
      <c r="K562" s="144"/>
      <c r="L562" s="145"/>
      <c r="M562" s="144"/>
    </row>
    <row r="563" spans="1:13" ht="15" customHeight="1">
      <c r="A563" s="146" t="s">
        <v>1708</v>
      </c>
      <c r="B563" s="146">
        <v>513005</v>
      </c>
      <c r="C563" s="147" t="s">
        <v>1709</v>
      </c>
      <c r="D563" s="146" t="s">
        <v>1530</v>
      </c>
      <c r="E563" s="147" t="s">
        <v>1710</v>
      </c>
      <c r="F563" s="147" t="s">
        <v>1711</v>
      </c>
      <c r="G563" s="146" t="s">
        <v>109</v>
      </c>
      <c r="H563" s="146" t="s">
        <v>50</v>
      </c>
      <c r="I563" s="147" t="s">
        <v>1532</v>
      </c>
      <c r="J563" s="147" t="s">
        <v>104</v>
      </c>
      <c r="K563" s="148"/>
      <c r="L563" s="149"/>
      <c r="M563" s="148"/>
    </row>
    <row r="564" spans="1:13" ht="15" customHeight="1">
      <c r="A564" s="142" t="s">
        <v>1712</v>
      </c>
      <c r="B564" s="142">
        <v>513251</v>
      </c>
      <c r="C564" s="143" t="s">
        <v>1713</v>
      </c>
      <c r="D564" s="142" t="s">
        <v>1530</v>
      </c>
      <c r="E564" s="143" t="s">
        <v>1714</v>
      </c>
      <c r="F564" s="143" t="s">
        <v>1715</v>
      </c>
      <c r="G564" s="142" t="s">
        <v>109</v>
      </c>
      <c r="H564" s="142" t="s">
        <v>50</v>
      </c>
      <c r="I564" s="143" t="s">
        <v>1532</v>
      </c>
      <c r="J564" s="143" t="s">
        <v>104</v>
      </c>
      <c r="K564" s="144" t="s">
        <v>162</v>
      </c>
      <c r="L564" s="145">
        <v>46148</v>
      </c>
      <c r="M564" s="181" t="s">
        <v>1716</v>
      </c>
    </row>
    <row r="565" spans="1:13" ht="15" customHeight="1">
      <c r="A565" s="146" t="s">
        <v>1717</v>
      </c>
      <c r="B565" s="146">
        <v>513196</v>
      </c>
      <c r="C565" s="147" t="s">
        <v>1718</v>
      </c>
      <c r="D565" s="146" t="s">
        <v>1530</v>
      </c>
      <c r="E565" s="147" t="s">
        <v>1719</v>
      </c>
      <c r="F565" s="147" t="s">
        <v>1720</v>
      </c>
      <c r="G565" s="146" t="s">
        <v>109</v>
      </c>
      <c r="H565" s="146" t="s">
        <v>50</v>
      </c>
      <c r="I565" s="147" t="s">
        <v>1532</v>
      </c>
      <c r="J565" s="147" t="s">
        <v>104</v>
      </c>
      <c r="K565" s="148"/>
      <c r="L565" s="149"/>
      <c r="M565" s="148"/>
    </row>
    <row r="566" spans="1:13" ht="15" customHeight="1">
      <c r="A566" s="142" t="s">
        <v>1721</v>
      </c>
      <c r="B566" s="142">
        <v>512981</v>
      </c>
      <c r="C566" s="143" t="s">
        <v>1722</v>
      </c>
      <c r="D566" s="142" t="s">
        <v>1530</v>
      </c>
      <c r="E566" s="143" t="s">
        <v>1719</v>
      </c>
      <c r="F566" s="143" t="s">
        <v>1723</v>
      </c>
      <c r="G566" s="142" t="s">
        <v>109</v>
      </c>
      <c r="H566" s="142" t="s">
        <v>50</v>
      </c>
      <c r="I566" s="143" t="s">
        <v>1532</v>
      </c>
      <c r="J566" s="143" t="s">
        <v>104</v>
      </c>
      <c r="K566" s="144"/>
      <c r="L566" s="145"/>
      <c r="M566" s="144"/>
    </row>
    <row r="567" spans="1:13" ht="15" customHeight="1">
      <c r="A567" s="146" t="s">
        <v>1724</v>
      </c>
      <c r="B567" s="146">
        <v>513173</v>
      </c>
      <c r="C567" s="147" t="s">
        <v>1725</v>
      </c>
      <c r="D567" s="146" t="s">
        <v>1530</v>
      </c>
      <c r="E567" s="147" t="s">
        <v>1542</v>
      </c>
      <c r="F567" s="147" t="s">
        <v>1725</v>
      </c>
      <c r="G567" s="146" t="s">
        <v>109</v>
      </c>
      <c r="H567" s="146" t="s">
        <v>51</v>
      </c>
      <c r="I567" s="147" t="s">
        <v>1539</v>
      </c>
      <c r="J567" s="147" t="s">
        <v>104</v>
      </c>
      <c r="K567" s="148"/>
      <c r="L567" s="149"/>
      <c r="M567" s="148"/>
    </row>
    <row r="568" spans="1:13" ht="15" customHeight="1">
      <c r="A568" s="142" t="s">
        <v>1726</v>
      </c>
      <c r="B568" s="142">
        <v>512925</v>
      </c>
      <c r="C568" s="143" t="s">
        <v>1727</v>
      </c>
      <c r="D568" s="142" t="s">
        <v>1530</v>
      </c>
      <c r="E568" s="143" t="s">
        <v>1542</v>
      </c>
      <c r="F568" s="143" t="s">
        <v>1728</v>
      </c>
      <c r="G568" s="142" t="s">
        <v>109</v>
      </c>
      <c r="H568" s="142" t="s">
        <v>51</v>
      </c>
      <c r="I568" s="143" t="s">
        <v>1539</v>
      </c>
      <c r="J568" s="143" t="s">
        <v>104</v>
      </c>
      <c r="K568" s="144"/>
      <c r="L568" s="145"/>
      <c r="M568" s="144"/>
    </row>
    <row r="569" spans="1:13" ht="15" customHeight="1">
      <c r="A569" s="146" t="s">
        <v>1729</v>
      </c>
      <c r="B569" s="146">
        <v>515586</v>
      </c>
      <c r="C569" s="147" t="s">
        <v>1730</v>
      </c>
      <c r="D569" s="146" t="s">
        <v>1530</v>
      </c>
      <c r="E569" s="147" t="s">
        <v>1731</v>
      </c>
      <c r="F569" s="147" t="s">
        <v>1730</v>
      </c>
      <c r="G569" s="146" t="s">
        <v>109</v>
      </c>
      <c r="H569" s="146" t="s">
        <v>50</v>
      </c>
      <c r="I569" s="147" t="s">
        <v>1532</v>
      </c>
      <c r="J569" s="147" t="s">
        <v>104</v>
      </c>
      <c r="K569" s="148" t="s">
        <v>121</v>
      </c>
      <c r="L569" s="149">
        <v>46140</v>
      </c>
      <c r="M569" s="148"/>
    </row>
    <row r="570" spans="1:13" ht="15" customHeight="1">
      <c r="A570" s="142" t="s">
        <v>1732</v>
      </c>
      <c r="B570" s="142">
        <v>513074</v>
      </c>
      <c r="C570" s="143" t="s">
        <v>1733</v>
      </c>
      <c r="D570" s="142" t="s">
        <v>1530</v>
      </c>
      <c r="E570" s="143" t="s">
        <v>1734</v>
      </c>
      <c r="F570" s="143" t="s">
        <v>1735</v>
      </c>
      <c r="G570" s="142" t="s">
        <v>109</v>
      </c>
      <c r="H570" s="142" t="s">
        <v>50</v>
      </c>
      <c r="I570" s="143" t="s">
        <v>1532</v>
      </c>
      <c r="J570" s="143" t="s">
        <v>104</v>
      </c>
      <c r="K570" s="144" t="s">
        <v>162</v>
      </c>
      <c r="L570" s="145">
        <v>46140</v>
      </c>
      <c r="M570" s="144" t="s">
        <v>1736</v>
      </c>
    </row>
    <row r="571" spans="1:13" ht="15" customHeight="1">
      <c r="A571" s="146" t="s">
        <v>1737</v>
      </c>
      <c r="B571" s="146">
        <v>513388</v>
      </c>
      <c r="C571" s="147" t="s">
        <v>1738</v>
      </c>
      <c r="D571" s="146" t="s">
        <v>1530</v>
      </c>
      <c r="E571" s="147" t="s">
        <v>1734</v>
      </c>
      <c r="F571" s="147" t="s">
        <v>1739</v>
      </c>
      <c r="G571" s="146" t="s">
        <v>109</v>
      </c>
      <c r="H571" s="146" t="s">
        <v>50</v>
      </c>
      <c r="I571" s="147" t="s">
        <v>1532</v>
      </c>
      <c r="J571" s="147" t="s">
        <v>104</v>
      </c>
      <c r="K571" s="144" t="s">
        <v>162</v>
      </c>
      <c r="L571" s="149">
        <v>46141</v>
      </c>
      <c r="M571" s="148" t="s">
        <v>1740</v>
      </c>
    </row>
    <row r="572" spans="1:13" ht="15" customHeight="1">
      <c r="A572" s="142" t="s">
        <v>1741</v>
      </c>
      <c r="B572" s="142">
        <v>513261</v>
      </c>
      <c r="C572" s="143" t="s">
        <v>1742</v>
      </c>
      <c r="D572" s="142" t="s">
        <v>1530</v>
      </c>
      <c r="E572" s="143" t="s">
        <v>1734</v>
      </c>
      <c r="F572" s="143" t="s">
        <v>1743</v>
      </c>
      <c r="G572" s="142" t="s">
        <v>109</v>
      </c>
      <c r="H572" s="142" t="s">
        <v>50</v>
      </c>
      <c r="I572" s="143" t="s">
        <v>1532</v>
      </c>
      <c r="J572" s="143" t="s">
        <v>104</v>
      </c>
      <c r="K572" s="144"/>
      <c r="L572" s="145"/>
      <c r="M572" s="144"/>
    </row>
    <row r="573" spans="1:13" ht="15" customHeight="1">
      <c r="A573" s="146" t="s">
        <v>1744</v>
      </c>
      <c r="B573" s="146">
        <v>513387</v>
      </c>
      <c r="C573" s="147" t="s">
        <v>1745</v>
      </c>
      <c r="D573" s="146" t="s">
        <v>1530</v>
      </c>
      <c r="E573" s="147" t="s">
        <v>1600</v>
      </c>
      <c r="F573" s="147" t="s">
        <v>1746</v>
      </c>
      <c r="G573" s="146" t="s">
        <v>109</v>
      </c>
      <c r="H573" s="146" t="s">
        <v>50</v>
      </c>
      <c r="I573" s="147" t="s">
        <v>1532</v>
      </c>
      <c r="J573" s="147" t="s">
        <v>104</v>
      </c>
      <c r="K573" s="148" t="s">
        <v>162</v>
      </c>
      <c r="L573" s="149">
        <v>46140</v>
      </c>
      <c r="M573" s="148" t="s">
        <v>1736</v>
      </c>
    </row>
    <row r="574" spans="1:13" ht="15" customHeight="1">
      <c r="A574" s="142" t="s">
        <v>1747</v>
      </c>
      <c r="B574" s="142">
        <v>513306</v>
      </c>
      <c r="C574" s="143" t="s">
        <v>1748</v>
      </c>
      <c r="D574" s="142" t="s">
        <v>1530</v>
      </c>
      <c r="E574" s="143" t="s">
        <v>1749</v>
      </c>
      <c r="F574" s="143" t="s">
        <v>1750</v>
      </c>
      <c r="G574" s="142" t="s">
        <v>109</v>
      </c>
      <c r="H574" s="142" t="s">
        <v>50</v>
      </c>
      <c r="I574" s="143" t="s">
        <v>1532</v>
      </c>
      <c r="J574" s="143" t="s">
        <v>104</v>
      </c>
      <c r="K574" s="144" t="s">
        <v>162</v>
      </c>
      <c r="L574" s="145">
        <v>46139</v>
      </c>
      <c r="M574" s="144"/>
    </row>
    <row r="575" spans="1:13" ht="15" customHeight="1">
      <c r="A575" s="146" t="s">
        <v>1751</v>
      </c>
      <c r="B575" s="146">
        <v>513327</v>
      </c>
      <c r="C575" s="147" t="s">
        <v>1752</v>
      </c>
      <c r="D575" s="146" t="s">
        <v>1530</v>
      </c>
      <c r="E575" s="147" t="s">
        <v>1734</v>
      </c>
      <c r="F575" s="147" t="s">
        <v>1753</v>
      </c>
      <c r="G575" s="146" t="s">
        <v>109</v>
      </c>
      <c r="H575" s="146" t="s">
        <v>50</v>
      </c>
      <c r="I575" s="147" t="s">
        <v>1532</v>
      </c>
      <c r="J575" s="147" t="s">
        <v>104</v>
      </c>
      <c r="K575" s="148" t="s">
        <v>121</v>
      </c>
      <c r="L575" s="149">
        <v>46139</v>
      </c>
      <c r="M575" s="148"/>
    </row>
    <row r="576" spans="1:13" ht="15" customHeight="1">
      <c r="A576" s="142" t="s">
        <v>1754</v>
      </c>
      <c r="B576" s="142">
        <v>515574</v>
      </c>
      <c r="C576" s="143" t="s">
        <v>1755</v>
      </c>
      <c r="D576" s="142" t="s">
        <v>1530</v>
      </c>
      <c r="E576" s="143" t="s">
        <v>1756</v>
      </c>
      <c r="F576" s="143" t="s">
        <v>1757</v>
      </c>
      <c r="G576" s="142" t="s">
        <v>109</v>
      </c>
      <c r="H576" s="142" t="s">
        <v>50</v>
      </c>
      <c r="I576" s="143" t="s">
        <v>1532</v>
      </c>
      <c r="J576" s="143" t="s">
        <v>104</v>
      </c>
      <c r="K576" s="144"/>
      <c r="L576" s="145"/>
      <c r="M576" s="144"/>
    </row>
    <row r="577" spans="1:13" ht="15" customHeight="1">
      <c r="A577" s="146" t="s">
        <v>1758</v>
      </c>
      <c r="B577" s="146">
        <v>514713</v>
      </c>
      <c r="C577" s="147" t="s">
        <v>1759</v>
      </c>
      <c r="D577" s="146" t="s">
        <v>1530</v>
      </c>
      <c r="E577" s="147" t="s">
        <v>1607</v>
      </c>
      <c r="F577" s="147" t="s">
        <v>1759</v>
      </c>
      <c r="G577" s="146" t="s">
        <v>102</v>
      </c>
      <c r="H577" s="146" t="s">
        <v>50</v>
      </c>
      <c r="I577" s="147" t="s">
        <v>1532</v>
      </c>
      <c r="J577" s="147" t="s">
        <v>104</v>
      </c>
      <c r="K577" s="148"/>
      <c r="L577" s="149"/>
      <c r="M577" s="148"/>
    </row>
    <row r="578" spans="1:13" ht="15" customHeight="1">
      <c r="A578" s="142" t="s">
        <v>1760</v>
      </c>
      <c r="B578" s="142">
        <v>514096</v>
      </c>
      <c r="C578" s="143" t="s">
        <v>1761</v>
      </c>
      <c r="D578" s="142" t="s">
        <v>1530</v>
      </c>
      <c r="E578" s="143" t="s">
        <v>1639</v>
      </c>
      <c r="F578" s="143" t="s">
        <v>1762</v>
      </c>
      <c r="G578" s="142" t="s">
        <v>109</v>
      </c>
      <c r="H578" s="142" t="s">
        <v>50</v>
      </c>
      <c r="I578" s="143" t="s">
        <v>1532</v>
      </c>
      <c r="J578" s="143" t="s">
        <v>104</v>
      </c>
      <c r="K578" s="144"/>
      <c r="L578" s="145"/>
      <c r="M578" s="144"/>
    </row>
    <row r="579" spans="1:13" ht="15" customHeight="1">
      <c r="A579" s="146" t="s">
        <v>1763</v>
      </c>
      <c r="B579" s="146">
        <v>513402</v>
      </c>
      <c r="C579" s="147" t="s">
        <v>1764</v>
      </c>
      <c r="D579" s="146" t="s">
        <v>1530</v>
      </c>
      <c r="E579" s="147" t="s">
        <v>1734</v>
      </c>
      <c r="F579" s="147" t="s">
        <v>1765</v>
      </c>
      <c r="G579" s="146" t="s">
        <v>109</v>
      </c>
      <c r="H579" s="146" t="s">
        <v>50</v>
      </c>
      <c r="I579" s="147" t="s">
        <v>1532</v>
      </c>
      <c r="J579" s="147" t="s">
        <v>104</v>
      </c>
      <c r="K579" s="148" t="s">
        <v>162</v>
      </c>
      <c r="L579" s="149">
        <v>46142</v>
      </c>
      <c r="M579" s="148"/>
    </row>
    <row r="580" spans="1:13" ht="15" customHeight="1">
      <c r="A580" s="142" t="s">
        <v>1766</v>
      </c>
      <c r="B580" s="142">
        <v>512889</v>
      </c>
      <c r="C580" s="143" t="s">
        <v>1767</v>
      </c>
      <c r="D580" s="142" t="s">
        <v>1530</v>
      </c>
      <c r="E580" s="143" t="s">
        <v>1676</v>
      </c>
      <c r="F580" s="143" t="s">
        <v>1768</v>
      </c>
      <c r="G580" s="142" t="s">
        <v>109</v>
      </c>
      <c r="H580" s="142" t="s">
        <v>51</v>
      </c>
      <c r="I580" s="143" t="s">
        <v>1539</v>
      </c>
      <c r="J580" s="143" t="s">
        <v>104</v>
      </c>
      <c r="K580" s="144"/>
      <c r="L580" s="145"/>
      <c r="M580" s="144"/>
    </row>
    <row r="581" spans="1:13" ht="15" customHeight="1">
      <c r="A581" s="146" t="s">
        <v>1769</v>
      </c>
      <c r="B581" s="146">
        <v>513213</v>
      </c>
      <c r="C581" s="147" t="s">
        <v>1770</v>
      </c>
      <c r="D581" s="146" t="s">
        <v>1530</v>
      </c>
      <c r="E581" s="147" t="s">
        <v>1549</v>
      </c>
      <c r="F581" s="147" t="s">
        <v>1771</v>
      </c>
      <c r="G581" s="146" t="s">
        <v>109</v>
      </c>
      <c r="H581" s="146" t="s">
        <v>50</v>
      </c>
      <c r="I581" s="147" t="s">
        <v>1532</v>
      </c>
      <c r="J581" s="147" t="s">
        <v>104</v>
      </c>
      <c r="K581" s="148"/>
      <c r="L581" s="149"/>
      <c r="M581" s="148"/>
    </row>
    <row r="582" spans="1:13" ht="15" customHeight="1">
      <c r="A582" s="142" t="s">
        <v>1772</v>
      </c>
      <c r="B582" s="142">
        <v>513071</v>
      </c>
      <c r="C582" s="143" t="s">
        <v>1773</v>
      </c>
      <c r="D582" s="142" t="s">
        <v>1530</v>
      </c>
      <c r="E582" s="143" t="s">
        <v>1687</v>
      </c>
      <c r="F582" s="143" t="s">
        <v>1774</v>
      </c>
      <c r="G582" s="142" t="s">
        <v>109</v>
      </c>
      <c r="H582" s="142" t="s">
        <v>50</v>
      </c>
      <c r="I582" s="143" t="s">
        <v>1532</v>
      </c>
      <c r="J582" s="143" t="s">
        <v>104</v>
      </c>
      <c r="K582" s="144" t="s">
        <v>162</v>
      </c>
      <c r="L582" s="145">
        <v>46141</v>
      </c>
      <c r="M582" s="144" t="s">
        <v>1740</v>
      </c>
    </row>
    <row r="583" spans="1:13" ht="15" customHeight="1">
      <c r="A583" s="146" t="s">
        <v>1775</v>
      </c>
      <c r="B583" s="146">
        <v>517788</v>
      </c>
      <c r="C583" s="147" t="s">
        <v>1776</v>
      </c>
      <c r="D583" s="146" t="s">
        <v>1530</v>
      </c>
      <c r="E583" s="147" t="s">
        <v>320</v>
      </c>
      <c r="F583" s="147" t="s">
        <v>1777</v>
      </c>
      <c r="G583" s="146" t="s">
        <v>109</v>
      </c>
      <c r="H583" s="146" t="s">
        <v>51</v>
      </c>
      <c r="I583" s="147" t="s">
        <v>1539</v>
      </c>
      <c r="J583" s="147" t="s">
        <v>104</v>
      </c>
      <c r="K583" s="148"/>
      <c r="L583" s="149"/>
      <c r="M583" s="148"/>
    </row>
    <row r="584" spans="1:13" ht="15" customHeight="1">
      <c r="A584" s="142" t="s">
        <v>1778</v>
      </c>
      <c r="B584" s="142">
        <v>513093</v>
      </c>
      <c r="C584" s="143" t="s">
        <v>1779</v>
      </c>
      <c r="D584" s="142" t="s">
        <v>1530</v>
      </c>
      <c r="E584" s="143" t="s">
        <v>320</v>
      </c>
      <c r="F584" s="143" t="s">
        <v>1779</v>
      </c>
      <c r="G584" s="142" t="s">
        <v>109</v>
      </c>
      <c r="H584" s="142" t="s">
        <v>51</v>
      </c>
      <c r="I584" s="143" t="s">
        <v>1539</v>
      </c>
      <c r="J584" s="143" t="s">
        <v>104</v>
      </c>
      <c r="K584" s="144"/>
      <c r="L584" s="145"/>
      <c r="M584" s="144"/>
    </row>
    <row r="585" spans="1:13" ht="15" customHeight="1">
      <c r="A585" s="146" t="s">
        <v>1780</v>
      </c>
      <c r="B585" s="146">
        <v>513002</v>
      </c>
      <c r="C585" s="147" t="s">
        <v>1781</v>
      </c>
      <c r="D585" s="146" t="s">
        <v>1530</v>
      </c>
      <c r="E585" s="147" t="s">
        <v>1542</v>
      </c>
      <c r="F585" s="147" t="s">
        <v>1781</v>
      </c>
      <c r="G585" s="146" t="s">
        <v>109</v>
      </c>
      <c r="H585" s="146" t="s">
        <v>51</v>
      </c>
      <c r="I585" s="147" t="s">
        <v>1539</v>
      </c>
      <c r="J585" s="147" t="s">
        <v>104</v>
      </c>
      <c r="K585" s="148"/>
      <c r="L585" s="149"/>
      <c r="M585" s="148"/>
    </row>
    <row r="586" spans="1:13" ht="15" customHeight="1">
      <c r="A586" s="142" t="s">
        <v>1782</v>
      </c>
      <c r="B586" s="142">
        <v>513371</v>
      </c>
      <c r="C586" s="143" t="s">
        <v>1783</v>
      </c>
      <c r="D586" s="142" t="s">
        <v>1530</v>
      </c>
      <c r="E586" s="143" t="s">
        <v>1600</v>
      </c>
      <c r="F586" s="143" t="s">
        <v>1784</v>
      </c>
      <c r="G586" s="142" t="s">
        <v>109</v>
      </c>
      <c r="H586" s="142" t="s">
        <v>50</v>
      </c>
      <c r="I586" s="143" t="s">
        <v>1532</v>
      </c>
      <c r="J586" s="143" t="s">
        <v>104</v>
      </c>
      <c r="K586" s="144" t="s">
        <v>121</v>
      </c>
      <c r="L586" s="145">
        <v>46149</v>
      </c>
      <c r="M586" s="144"/>
    </row>
    <row r="587" spans="1:13" ht="15" customHeight="1">
      <c r="A587" s="146" t="s">
        <v>1785</v>
      </c>
      <c r="B587" s="146">
        <v>514334</v>
      </c>
      <c r="C587" s="147" t="s">
        <v>1786</v>
      </c>
      <c r="D587" s="146" t="s">
        <v>1530</v>
      </c>
      <c r="E587" s="147" t="s">
        <v>1549</v>
      </c>
      <c r="F587" s="147" t="s">
        <v>1787</v>
      </c>
      <c r="G587" s="146" t="s">
        <v>109</v>
      </c>
      <c r="H587" s="146" t="s">
        <v>50</v>
      </c>
      <c r="I587" s="147" t="s">
        <v>1532</v>
      </c>
      <c r="J587" s="147" t="s">
        <v>104</v>
      </c>
      <c r="K587" s="148"/>
      <c r="L587" s="149"/>
      <c r="M587" s="148"/>
    </row>
    <row r="588" spans="1:13" ht="15" customHeight="1">
      <c r="A588" s="142" t="s">
        <v>1788</v>
      </c>
      <c r="B588" s="142">
        <v>513253</v>
      </c>
      <c r="C588" s="143" t="s">
        <v>1789</v>
      </c>
      <c r="D588" s="142" t="s">
        <v>1530</v>
      </c>
      <c r="E588" s="143" t="s">
        <v>1687</v>
      </c>
      <c r="F588" s="143" t="s">
        <v>1790</v>
      </c>
      <c r="G588" s="142" t="s">
        <v>109</v>
      </c>
      <c r="H588" s="142" t="s">
        <v>50</v>
      </c>
      <c r="I588" s="143" t="s">
        <v>1532</v>
      </c>
      <c r="J588" s="143" t="s">
        <v>104</v>
      </c>
      <c r="K588" s="144" t="s">
        <v>121</v>
      </c>
      <c r="L588" s="145">
        <v>46140</v>
      </c>
      <c r="M588" s="144"/>
    </row>
    <row r="589" spans="1:13" ht="15" customHeight="1">
      <c r="A589" s="146" t="s">
        <v>1791</v>
      </c>
      <c r="B589" s="146">
        <v>512926</v>
      </c>
      <c r="C589" s="147" t="s">
        <v>1792</v>
      </c>
      <c r="D589" s="146" t="s">
        <v>1530</v>
      </c>
      <c r="E589" s="147" t="s">
        <v>1542</v>
      </c>
      <c r="F589" s="147" t="s">
        <v>1793</v>
      </c>
      <c r="G589" s="146" t="s">
        <v>109</v>
      </c>
      <c r="H589" s="146" t="s">
        <v>51</v>
      </c>
      <c r="I589" s="147" t="s">
        <v>1539</v>
      </c>
      <c r="J589" s="147" t="s">
        <v>104</v>
      </c>
      <c r="K589" s="148"/>
      <c r="L589" s="149"/>
      <c r="M589" s="148"/>
    </row>
    <row r="590" spans="1:13" ht="15" customHeight="1">
      <c r="A590" s="142" t="s">
        <v>1794</v>
      </c>
      <c r="B590" s="142">
        <v>513373</v>
      </c>
      <c r="C590" s="143" t="s">
        <v>1795</v>
      </c>
      <c r="D590" s="142" t="s">
        <v>1530</v>
      </c>
      <c r="E590" s="143" t="s">
        <v>1710</v>
      </c>
      <c r="F590" s="143" t="s">
        <v>1796</v>
      </c>
      <c r="G590" s="142" t="s">
        <v>109</v>
      </c>
      <c r="H590" s="142" t="s">
        <v>50</v>
      </c>
      <c r="I590" s="143" t="s">
        <v>1532</v>
      </c>
      <c r="J590" s="143" t="s">
        <v>104</v>
      </c>
      <c r="K590" s="144"/>
      <c r="L590" s="145"/>
      <c r="M590" s="144"/>
    </row>
    <row r="591" spans="1:13" ht="15" customHeight="1">
      <c r="A591" s="146" t="s">
        <v>1797</v>
      </c>
      <c r="B591" s="146">
        <v>513895</v>
      </c>
      <c r="C591" s="147" t="s">
        <v>1798</v>
      </c>
      <c r="D591" s="146" t="s">
        <v>1530</v>
      </c>
      <c r="E591" s="147" t="s">
        <v>1558</v>
      </c>
      <c r="F591" s="147" t="s">
        <v>1799</v>
      </c>
      <c r="G591" s="146" t="s">
        <v>109</v>
      </c>
      <c r="H591" s="146" t="s">
        <v>51</v>
      </c>
      <c r="I591" s="147" t="s">
        <v>1539</v>
      </c>
      <c r="J591" s="147" t="s">
        <v>104</v>
      </c>
      <c r="K591" s="148"/>
      <c r="L591" s="149"/>
      <c r="M591" s="148"/>
    </row>
    <row r="592" spans="1:13" ht="15" customHeight="1">
      <c r="A592" s="142" t="s">
        <v>1800</v>
      </c>
      <c r="B592" s="142">
        <v>513896</v>
      </c>
      <c r="C592" s="143" t="s">
        <v>1801</v>
      </c>
      <c r="D592" s="142" t="s">
        <v>1530</v>
      </c>
      <c r="E592" s="143" t="s">
        <v>1558</v>
      </c>
      <c r="F592" s="143" t="s">
        <v>1801</v>
      </c>
      <c r="G592" s="142" t="s">
        <v>109</v>
      </c>
      <c r="H592" s="142" t="s">
        <v>51</v>
      </c>
      <c r="I592" s="143" t="s">
        <v>1539</v>
      </c>
      <c r="J592" s="143" t="s">
        <v>104</v>
      </c>
      <c r="K592" s="144"/>
      <c r="L592" s="145"/>
      <c r="M592" s="144"/>
    </row>
    <row r="593" spans="1:13" ht="15" customHeight="1">
      <c r="A593" s="146" t="s">
        <v>1802</v>
      </c>
      <c r="B593" s="146">
        <v>513154</v>
      </c>
      <c r="C593" s="147" t="s">
        <v>1803</v>
      </c>
      <c r="D593" s="146" t="s">
        <v>1530</v>
      </c>
      <c r="E593" s="147" t="s">
        <v>1530</v>
      </c>
      <c r="F593" s="147" t="s">
        <v>1804</v>
      </c>
      <c r="G593" s="146" t="s">
        <v>109</v>
      </c>
      <c r="H593" s="146" t="s">
        <v>51</v>
      </c>
      <c r="I593" s="147" t="s">
        <v>1539</v>
      </c>
      <c r="J593" s="147" t="s">
        <v>104</v>
      </c>
      <c r="K593" s="148"/>
      <c r="L593" s="149"/>
      <c r="M593" s="148"/>
    </row>
    <row r="594" spans="1:13" ht="15" customHeight="1">
      <c r="A594" s="142" t="s">
        <v>1805</v>
      </c>
      <c r="B594" s="142">
        <v>513199</v>
      </c>
      <c r="C594" s="143" t="s">
        <v>1806</v>
      </c>
      <c r="D594" s="142" t="s">
        <v>1530</v>
      </c>
      <c r="E594" s="143" t="s">
        <v>1660</v>
      </c>
      <c r="F594" s="143" t="s">
        <v>1807</v>
      </c>
      <c r="G594" s="142" t="s">
        <v>109</v>
      </c>
      <c r="H594" s="142" t="s">
        <v>51</v>
      </c>
      <c r="I594" s="143" t="s">
        <v>1539</v>
      </c>
      <c r="J594" s="143" t="s">
        <v>104</v>
      </c>
      <c r="K594" s="144"/>
      <c r="L594" s="145"/>
      <c r="M594" s="144"/>
    </row>
    <row r="595" spans="1:13" ht="15" customHeight="1">
      <c r="A595" s="146" t="s">
        <v>1808</v>
      </c>
      <c r="B595" s="146">
        <v>513219</v>
      </c>
      <c r="C595" s="147" t="s">
        <v>1809</v>
      </c>
      <c r="D595" s="146" t="s">
        <v>1530</v>
      </c>
      <c r="E595" s="147" t="s">
        <v>1660</v>
      </c>
      <c r="F595" s="147" t="s">
        <v>1810</v>
      </c>
      <c r="G595" s="146" t="s">
        <v>109</v>
      </c>
      <c r="H595" s="146" t="s">
        <v>51</v>
      </c>
      <c r="I595" s="147" t="s">
        <v>1539</v>
      </c>
      <c r="J595" s="147" t="s">
        <v>104</v>
      </c>
      <c r="K595" s="148"/>
      <c r="L595" s="149"/>
      <c r="M595" s="148"/>
    </row>
    <row r="596" spans="1:13" ht="15" customHeight="1">
      <c r="A596" s="142" t="s">
        <v>1811</v>
      </c>
      <c r="B596" s="142">
        <v>513239</v>
      </c>
      <c r="C596" s="143" t="s">
        <v>1812</v>
      </c>
      <c r="D596" s="142" t="s">
        <v>1530</v>
      </c>
      <c r="E596" s="143" t="s">
        <v>1537</v>
      </c>
      <c r="F596" s="143" t="s">
        <v>1812</v>
      </c>
      <c r="G596" s="142" t="s">
        <v>109</v>
      </c>
      <c r="H596" s="142" t="s">
        <v>51</v>
      </c>
      <c r="I596" s="143" t="s">
        <v>1539</v>
      </c>
      <c r="J596" s="143" t="s">
        <v>104</v>
      </c>
      <c r="K596" s="144"/>
      <c r="L596" s="145"/>
      <c r="M596" s="144"/>
    </row>
    <row r="597" spans="1:13" ht="15" customHeight="1">
      <c r="A597" s="146" t="s">
        <v>1813</v>
      </c>
      <c r="B597" s="146">
        <v>513130</v>
      </c>
      <c r="C597" s="147" t="s">
        <v>1814</v>
      </c>
      <c r="D597" s="146" t="s">
        <v>1530</v>
      </c>
      <c r="E597" s="147" t="s">
        <v>1537</v>
      </c>
      <c r="F597" s="147" t="s">
        <v>1814</v>
      </c>
      <c r="G597" s="146" t="s">
        <v>109</v>
      </c>
      <c r="H597" s="146" t="s">
        <v>51</v>
      </c>
      <c r="I597" s="147" t="s">
        <v>1539</v>
      </c>
      <c r="J597" s="147" t="s">
        <v>104</v>
      </c>
      <c r="K597" s="148"/>
      <c r="L597" s="149"/>
      <c r="M597" s="148"/>
    </row>
    <row r="598" spans="1:13" ht="15" customHeight="1">
      <c r="A598" s="142" t="s">
        <v>1815</v>
      </c>
      <c r="B598" s="142">
        <v>513872</v>
      </c>
      <c r="C598" s="143" t="s">
        <v>1816</v>
      </c>
      <c r="D598" s="142" t="s">
        <v>1530</v>
      </c>
      <c r="E598" s="143" t="s">
        <v>1558</v>
      </c>
      <c r="F598" s="143" t="s">
        <v>1816</v>
      </c>
      <c r="G598" s="142" t="s">
        <v>109</v>
      </c>
      <c r="H598" s="142" t="s">
        <v>51</v>
      </c>
      <c r="I598" s="143" t="s">
        <v>1539</v>
      </c>
      <c r="J598" s="143" t="s">
        <v>104</v>
      </c>
      <c r="K598" s="144"/>
      <c r="L598" s="145"/>
      <c r="M598" s="144"/>
    </row>
    <row r="599" spans="1:13" ht="15" customHeight="1">
      <c r="A599" s="146" t="s">
        <v>1817</v>
      </c>
      <c r="B599" s="146">
        <v>513084</v>
      </c>
      <c r="C599" s="147" t="s">
        <v>1818</v>
      </c>
      <c r="D599" s="146" t="s">
        <v>1530</v>
      </c>
      <c r="E599" s="147" t="s">
        <v>1819</v>
      </c>
      <c r="F599" s="147" t="s">
        <v>1820</v>
      </c>
      <c r="G599" s="146" t="s">
        <v>109</v>
      </c>
      <c r="H599" s="146" t="s">
        <v>50</v>
      </c>
      <c r="I599" s="147" t="s">
        <v>1532</v>
      </c>
      <c r="J599" s="147" t="s">
        <v>104</v>
      </c>
      <c r="K599" s="148" t="s">
        <v>121</v>
      </c>
      <c r="L599" s="149">
        <v>46148</v>
      </c>
      <c r="M599" s="148"/>
    </row>
    <row r="600" spans="1:13" ht="15" customHeight="1">
      <c r="A600" s="142" t="s">
        <v>1821</v>
      </c>
      <c r="B600" s="142">
        <v>513115</v>
      </c>
      <c r="C600" s="143" t="s">
        <v>1822</v>
      </c>
      <c r="D600" s="142" t="s">
        <v>1530</v>
      </c>
      <c r="E600" s="143" t="s">
        <v>1537</v>
      </c>
      <c r="F600" s="143" t="s">
        <v>1822</v>
      </c>
      <c r="G600" s="142" t="s">
        <v>109</v>
      </c>
      <c r="H600" s="142" t="s">
        <v>51</v>
      </c>
      <c r="I600" s="143" t="s">
        <v>1539</v>
      </c>
      <c r="J600" s="143" t="s">
        <v>104</v>
      </c>
      <c r="K600" s="144"/>
      <c r="L600" s="145"/>
      <c r="M600" s="144"/>
    </row>
    <row r="601" spans="1:13" ht="15" customHeight="1">
      <c r="A601" s="146" t="s">
        <v>1823</v>
      </c>
      <c r="B601" s="146">
        <v>513139</v>
      </c>
      <c r="C601" s="147" t="s">
        <v>1824</v>
      </c>
      <c r="D601" s="146" t="s">
        <v>1530</v>
      </c>
      <c r="E601" s="147" t="s">
        <v>1530</v>
      </c>
      <c r="F601" s="147" t="s">
        <v>1825</v>
      </c>
      <c r="G601" s="146" t="s">
        <v>102</v>
      </c>
      <c r="H601" s="146" t="s">
        <v>51</v>
      </c>
      <c r="I601" s="147" t="s">
        <v>1539</v>
      </c>
      <c r="J601" s="147" t="s">
        <v>104</v>
      </c>
      <c r="K601" s="148"/>
      <c r="L601" s="149"/>
      <c r="M601" s="148"/>
    </row>
    <row r="602" spans="1:13" ht="15" customHeight="1">
      <c r="A602" s="142" t="s">
        <v>1826</v>
      </c>
      <c r="B602" s="142">
        <v>513346</v>
      </c>
      <c r="C602" s="143" t="s">
        <v>1827</v>
      </c>
      <c r="D602" s="142" t="s">
        <v>1530</v>
      </c>
      <c r="E602" s="143" t="s">
        <v>1828</v>
      </c>
      <c r="F602" s="143" t="s">
        <v>1827</v>
      </c>
      <c r="G602" s="142" t="s">
        <v>109</v>
      </c>
      <c r="H602" s="142" t="s">
        <v>50</v>
      </c>
      <c r="I602" s="143" t="s">
        <v>1532</v>
      </c>
      <c r="J602" s="143" t="s">
        <v>104</v>
      </c>
      <c r="K602" s="144" t="s">
        <v>121</v>
      </c>
      <c r="L602" s="145">
        <v>46148</v>
      </c>
      <c r="M602" s="144"/>
    </row>
    <row r="603" spans="1:13" ht="15" customHeight="1">
      <c r="A603" s="146" t="s">
        <v>1829</v>
      </c>
      <c r="B603" s="146">
        <v>513345</v>
      </c>
      <c r="C603" s="147" t="s">
        <v>1830</v>
      </c>
      <c r="D603" s="146" t="s">
        <v>1530</v>
      </c>
      <c r="E603" s="147" t="s">
        <v>1828</v>
      </c>
      <c r="F603" s="147" t="s">
        <v>1831</v>
      </c>
      <c r="G603" s="146" t="s">
        <v>109</v>
      </c>
      <c r="H603" s="146" t="s">
        <v>50</v>
      </c>
      <c r="I603" s="147" t="s">
        <v>1532</v>
      </c>
      <c r="J603" s="147" t="s">
        <v>104</v>
      </c>
      <c r="K603" s="148" t="s">
        <v>121</v>
      </c>
      <c r="L603" s="149">
        <v>46150</v>
      </c>
      <c r="M603" s="148"/>
    </row>
    <row r="604" spans="1:13" ht="15" customHeight="1">
      <c r="A604" s="142" t="s">
        <v>1832</v>
      </c>
      <c r="B604" s="142">
        <v>512869</v>
      </c>
      <c r="C604" s="143" t="s">
        <v>1833</v>
      </c>
      <c r="D604" s="142" t="s">
        <v>1530</v>
      </c>
      <c r="E604" s="143" t="s">
        <v>1828</v>
      </c>
      <c r="F604" s="143" t="s">
        <v>1834</v>
      </c>
      <c r="G604" s="142" t="s">
        <v>109</v>
      </c>
      <c r="H604" s="142" t="s">
        <v>50</v>
      </c>
      <c r="I604" s="143" t="s">
        <v>1532</v>
      </c>
      <c r="J604" s="143" t="s">
        <v>104</v>
      </c>
      <c r="K604" s="144" t="s">
        <v>121</v>
      </c>
      <c r="L604" s="145">
        <v>46150</v>
      </c>
      <c r="M604" s="144"/>
    </row>
    <row r="605" spans="1:13" ht="15" customHeight="1">
      <c r="A605" s="146" t="s">
        <v>1835</v>
      </c>
      <c r="B605" s="146">
        <v>513310</v>
      </c>
      <c r="C605" s="147" t="s">
        <v>1836</v>
      </c>
      <c r="D605" s="146" t="s">
        <v>1530</v>
      </c>
      <c r="E605" s="147" t="s">
        <v>1646</v>
      </c>
      <c r="F605" s="147" t="s">
        <v>1836</v>
      </c>
      <c r="G605" s="146" t="s">
        <v>109</v>
      </c>
      <c r="H605" s="146" t="s">
        <v>51</v>
      </c>
      <c r="I605" s="147" t="s">
        <v>1539</v>
      </c>
      <c r="J605" s="147" t="s">
        <v>104</v>
      </c>
      <c r="K605" s="148"/>
      <c r="L605" s="149"/>
      <c r="M605" s="148"/>
    </row>
    <row r="606" spans="1:13" ht="15" customHeight="1">
      <c r="A606" s="142" t="s">
        <v>1837</v>
      </c>
      <c r="B606" s="142">
        <v>513299</v>
      </c>
      <c r="C606" s="143" t="s">
        <v>1838</v>
      </c>
      <c r="D606" s="142" t="s">
        <v>1530</v>
      </c>
      <c r="E606" s="143" t="s">
        <v>1649</v>
      </c>
      <c r="F606" s="143" t="s">
        <v>1839</v>
      </c>
      <c r="G606" s="142" t="s">
        <v>109</v>
      </c>
      <c r="H606" s="142" t="s">
        <v>50</v>
      </c>
      <c r="I606" s="143" t="s">
        <v>1532</v>
      </c>
      <c r="J606" s="143" t="s">
        <v>104</v>
      </c>
      <c r="K606" s="144"/>
      <c r="L606" s="145"/>
      <c r="M606" s="144"/>
    </row>
    <row r="607" spans="1:13" ht="15" customHeight="1">
      <c r="A607" s="146" t="s">
        <v>1840</v>
      </c>
      <c r="B607" s="146">
        <v>517553</v>
      </c>
      <c r="C607" s="147" t="s">
        <v>1841</v>
      </c>
      <c r="D607" s="146" t="s">
        <v>1530</v>
      </c>
      <c r="E607" s="147" t="s">
        <v>1649</v>
      </c>
      <c r="F607" s="147" t="s">
        <v>1842</v>
      </c>
      <c r="G607" s="146" t="s">
        <v>109</v>
      </c>
      <c r="H607" s="146" t="s">
        <v>50</v>
      </c>
      <c r="I607" s="147" t="s">
        <v>1532</v>
      </c>
      <c r="J607" s="147" t="s">
        <v>104</v>
      </c>
      <c r="K607" s="148"/>
      <c r="L607" s="149"/>
      <c r="M607" s="148"/>
    </row>
    <row r="608" spans="1:13" ht="15" customHeight="1">
      <c r="A608" s="142" t="s">
        <v>1843</v>
      </c>
      <c r="B608" s="142">
        <v>514110</v>
      </c>
      <c r="C608" s="143" t="s">
        <v>1844</v>
      </c>
      <c r="D608" s="142" t="s">
        <v>1530</v>
      </c>
      <c r="E608" s="143" t="s">
        <v>1653</v>
      </c>
      <c r="F608" s="143" t="s">
        <v>1845</v>
      </c>
      <c r="G608" s="142" t="s">
        <v>109</v>
      </c>
      <c r="H608" s="142" t="s">
        <v>50</v>
      </c>
      <c r="I608" s="143" t="s">
        <v>1532</v>
      </c>
      <c r="J608" s="143" t="s">
        <v>104</v>
      </c>
      <c r="K608" s="144" t="s">
        <v>162</v>
      </c>
      <c r="L608" s="145">
        <v>46150</v>
      </c>
      <c r="M608" s="144" t="s">
        <v>1740</v>
      </c>
    </row>
    <row r="609" spans="1:13" ht="15" customHeight="1">
      <c r="A609" s="146" t="s">
        <v>1846</v>
      </c>
      <c r="B609" s="146">
        <v>515540</v>
      </c>
      <c r="C609" s="147" t="s">
        <v>1847</v>
      </c>
      <c r="D609" s="146" t="s">
        <v>1530</v>
      </c>
      <c r="E609" s="147" t="s">
        <v>1756</v>
      </c>
      <c r="F609" s="147" t="s">
        <v>1847</v>
      </c>
      <c r="G609" s="146" t="s">
        <v>109</v>
      </c>
      <c r="H609" s="146" t="s">
        <v>50</v>
      </c>
      <c r="I609" s="147" t="s">
        <v>1532</v>
      </c>
      <c r="J609" s="147" t="s">
        <v>104</v>
      </c>
      <c r="K609" s="148"/>
      <c r="L609" s="149"/>
      <c r="M609" s="148"/>
    </row>
    <row r="610" spans="1:13" ht="15" customHeight="1">
      <c r="A610" s="142" t="s">
        <v>1848</v>
      </c>
      <c r="B610" s="142">
        <v>514172</v>
      </c>
      <c r="C610" s="143" t="s">
        <v>1849</v>
      </c>
      <c r="D610" s="142" t="s">
        <v>1530</v>
      </c>
      <c r="E610" s="143" t="s">
        <v>1607</v>
      </c>
      <c r="F610" s="143" t="s">
        <v>1849</v>
      </c>
      <c r="G610" s="142" t="s">
        <v>109</v>
      </c>
      <c r="H610" s="142" t="s">
        <v>50</v>
      </c>
      <c r="I610" s="143" t="s">
        <v>1532</v>
      </c>
      <c r="J610" s="143" t="s">
        <v>104</v>
      </c>
      <c r="K610" s="144"/>
      <c r="L610" s="145"/>
      <c r="M610" s="144"/>
    </row>
    <row r="611" spans="1:13" ht="15" customHeight="1">
      <c r="A611" s="146" t="s">
        <v>1850</v>
      </c>
      <c r="B611" s="146">
        <v>513249</v>
      </c>
      <c r="C611" s="147" t="s">
        <v>1851</v>
      </c>
      <c r="D611" s="146" t="s">
        <v>1530</v>
      </c>
      <c r="E611" s="147" t="s">
        <v>1607</v>
      </c>
      <c r="F611" s="147" t="s">
        <v>1852</v>
      </c>
      <c r="G611" s="146" t="s">
        <v>109</v>
      </c>
      <c r="H611" s="146" t="s">
        <v>50</v>
      </c>
      <c r="I611" s="147" t="s">
        <v>1532</v>
      </c>
      <c r="J611" s="147" t="s">
        <v>104</v>
      </c>
      <c r="K611" s="148" t="s">
        <v>121</v>
      </c>
      <c r="L611" s="149">
        <v>46150</v>
      </c>
      <c r="M611" s="148"/>
    </row>
    <row r="612" spans="1:13" ht="15" customHeight="1">
      <c r="A612" s="142" t="s">
        <v>1853</v>
      </c>
      <c r="B612" s="142">
        <v>514916</v>
      </c>
      <c r="C612" s="143" t="s">
        <v>1854</v>
      </c>
      <c r="D612" s="142" t="s">
        <v>1530</v>
      </c>
      <c r="E612" s="143" t="s">
        <v>1607</v>
      </c>
      <c r="F612" s="143" t="s">
        <v>1855</v>
      </c>
      <c r="G612" s="142" t="s">
        <v>109</v>
      </c>
      <c r="H612" s="142" t="s">
        <v>50</v>
      </c>
      <c r="I612" s="143" t="s">
        <v>1532</v>
      </c>
      <c r="J612" s="143" t="s">
        <v>104</v>
      </c>
      <c r="K612" s="144"/>
      <c r="L612" s="145"/>
      <c r="M612" s="144"/>
    </row>
    <row r="613" spans="1:13" ht="15" customHeight="1">
      <c r="A613" s="146" t="s">
        <v>1856</v>
      </c>
      <c r="B613" s="146">
        <v>513391</v>
      </c>
      <c r="C613" s="147" t="s">
        <v>1857</v>
      </c>
      <c r="D613" s="146" t="s">
        <v>1530</v>
      </c>
      <c r="E613" s="147" t="s">
        <v>1639</v>
      </c>
      <c r="F613" s="147" t="s">
        <v>1858</v>
      </c>
      <c r="G613" s="146" t="s">
        <v>109</v>
      </c>
      <c r="H613" s="146" t="s">
        <v>50</v>
      </c>
      <c r="I613" s="147" t="s">
        <v>1532</v>
      </c>
      <c r="J613" s="147" t="s">
        <v>104</v>
      </c>
      <c r="K613" s="148"/>
      <c r="L613" s="149"/>
      <c r="M613" s="148"/>
    </row>
    <row r="614" spans="1:13" ht="15" customHeight="1">
      <c r="A614" s="142" t="s">
        <v>1859</v>
      </c>
      <c r="B614" s="142">
        <v>513992</v>
      </c>
      <c r="C614" s="143" t="s">
        <v>1860</v>
      </c>
      <c r="D614" s="142" t="s">
        <v>1530</v>
      </c>
      <c r="E614" s="143" t="s">
        <v>1531</v>
      </c>
      <c r="F614" s="143" t="s">
        <v>1861</v>
      </c>
      <c r="G614" s="142" t="s">
        <v>109</v>
      </c>
      <c r="H614" s="142" t="s">
        <v>50</v>
      </c>
      <c r="I614" s="143" t="s">
        <v>1532</v>
      </c>
      <c r="J614" s="143" t="s">
        <v>104</v>
      </c>
      <c r="K614" s="144" t="s">
        <v>162</v>
      </c>
      <c r="L614" s="145">
        <v>46142</v>
      </c>
      <c r="M614" s="144"/>
    </row>
    <row r="615" spans="1:13" ht="15" customHeight="1">
      <c r="A615" s="146" t="s">
        <v>1862</v>
      </c>
      <c r="B615" s="146">
        <v>513380</v>
      </c>
      <c r="C615" s="147" t="s">
        <v>1863</v>
      </c>
      <c r="D615" s="146" t="s">
        <v>1530</v>
      </c>
      <c r="E615" s="147" t="s">
        <v>1531</v>
      </c>
      <c r="F615" s="147" t="s">
        <v>1864</v>
      </c>
      <c r="G615" s="146" t="s">
        <v>109</v>
      </c>
      <c r="H615" s="146" t="s">
        <v>50</v>
      </c>
      <c r="I615" s="147" t="s">
        <v>1532</v>
      </c>
      <c r="J615" s="147" t="s">
        <v>104</v>
      </c>
      <c r="K615" s="148" t="s">
        <v>121</v>
      </c>
      <c r="L615" s="149">
        <v>46149</v>
      </c>
      <c r="M615" s="148"/>
    </row>
    <row r="616" spans="1:13" ht="15" customHeight="1">
      <c r="A616" s="142" t="s">
        <v>1865</v>
      </c>
      <c r="B616" s="142">
        <v>512874</v>
      </c>
      <c r="C616" s="143" t="s">
        <v>1866</v>
      </c>
      <c r="D616" s="142" t="s">
        <v>1530</v>
      </c>
      <c r="E616" s="143" t="s">
        <v>1531</v>
      </c>
      <c r="F616" s="143" t="s">
        <v>1867</v>
      </c>
      <c r="G616" s="142" t="s">
        <v>109</v>
      </c>
      <c r="H616" s="142" t="s">
        <v>50</v>
      </c>
      <c r="I616" s="143" t="s">
        <v>1532</v>
      </c>
      <c r="J616" s="143" t="s">
        <v>104</v>
      </c>
      <c r="K616" s="144"/>
      <c r="L616" s="145"/>
      <c r="M616" s="144"/>
    </row>
    <row r="617" spans="1:13" ht="15" customHeight="1">
      <c r="A617" s="146" t="s">
        <v>1868</v>
      </c>
      <c r="B617" s="146">
        <v>513315</v>
      </c>
      <c r="C617" s="147" t="s">
        <v>1869</v>
      </c>
      <c r="D617" s="146" t="s">
        <v>1530</v>
      </c>
      <c r="E617" s="147" t="s">
        <v>1870</v>
      </c>
      <c r="F617" s="147" t="s">
        <v>1871</v>
      </c>
      <c r="G617" s="146" t="s">
        <v>109</v>
      </c>
      <c r="H617" s="146" t="s">
        <v>50</v>
      </c>
      <c r="I617" s="147" t="s">
        <v>1532</v>
      </c>
      <c r="J617" s="147" t="s">
        <v>104</v>
      </c>
      <c r="K617" s="148"/>
      <c r="L617" s="149"/>
      <c r="M617" s="148"/>
    </row>
    <row r="618" spans="1:13" ht="15" customHeight="1">
      <c r="A618" s="142" t="s">
        <v>1872</v>
      </c>
      <c r="B618" s="142">
        <v>513354</v>
      </c>
      <c r="C618" s="143" t="s">
        <v>1873</v>
      </c>
      <c r="D618" s="142" t="s">
        <v>1530</v>
      </c>
      <c r="E618" s="143" t="s">
        <v>1578</v>
      </c>
      <c r="F618" s="143" t="s">
        <v>1874</v>
      </c>
      <c r="G618" s="142" t="s">
        <v>109</v>
      </c>
      <c r="H618" s="142" t="s">
        <v>50</v>
      </c>
      <c r="I618" s="143" t="s">
        <v>1532</v>
      </c>
      <c r="J618" s="143" t="s">
        <v>104</v>
      </c>
      <c r="K618" s="144" t="s">
        <v>121</v>
      </c>
      <c r="L618" s="145">
        <v>46140</v>
      </c>
      <c r="M618" s="144"/>
    </row>
    <row r="619" spans="1:13" ht="15" customHeight="1">
      <c r="A619" s="146" t="s">
        <v>1875</v>
      </c>
      <c r="B619" s="146">
        <v>513237</v>
      </c>
      <c r="C619" s="147" t="s">
        <v>1876</v>
      </c>
      <c r="D619" s="146" t="s">
        <v>1530</v>
      </c>
      <c r="E619" s="147" t="s">
        <v>1578</v>
      </c>
      <c r="F619" s="147" t="s">
        <v>1877</v>
      </c>
      <c r="G619" s="146" t="s">
        <v>109</v>
      </c>
      <c r="H619" s="146" t="s">
        <v>50</v>
      </c>
      <c r="I619" s="147" t="s">
        <v>1532</v>
      </c>
      <c r="J619" s="147" t="s">
        <v>104</v>
      </c>
      <c r="K619" s="148" t="s">
        <v>121</v>
      </c>
      <c r="L619" s="149">
        <v>46148</v>
      </c>
      <c r="M619" s="148"/>
    </row>
    <row r="620" spans="1:13" ht="15" customHeight="1">
      <c r="A620" s="142" t="s">
        <v>1878</v>
      </c>
      <c r="B620" s="142">
        <v>512953</v>
      </c>
      <c r="C620" s="143" t="s">
        <v>1879</v>
      </c>
      <c r="D620" s="142" t="s">
        <v>1530</v>
      </c>
      <c r="E620" s="143" t="s">
        <v>1546</v>
      </c>
      <c r="F620" s="143" t="s">
        <v>1880</v>
      </c>
      <c r="G620" s="142" t="s">
        <v>109</v>
      </c>
      <c r="H620" s="142" t="s">
        <v>51</v>
      </c>
      <c r="I620" s="143" t="s">
        <v>1539</v>
      </c>
      <c r="J620" s="143" t="s">
        <v>104</v>
      </c>
      <c r="K620" s="144"/>
      <c r="L620" s="145"/>
      <c r="M620" s="144"/>
    </row>
    <row r="621" spans="1:13" ht="15" customHeight="1">
      <c r="A621" s="146" t="s">
        <v>1881</v>
      </c>
      <c r="B621" s="146">
        <v>512900</v>
      </c>
      <c r="C621" s="147" t="s">
        <v>1882</v>
      </c>
      <c r="D621" s="146" t="s">
        <v>1530</v>
      </c>
      <c r="E621" s="147" t="s">
        <v>1546</v>
      </c>
      <c r="F621" s="147" t="s">
        <v>1883</v>
      </c>
      <c r="G621" s="146" t="s">
        <v>109</v>
      </c>
      <c r="H621" s="146" t="s">
        <v>51</v>
      </c>
      <c r="I621" s="147" t="s">
        <v>1539</v>
      </c>
      <c r="J621" s="147" t="s">
        <v>104</v>
      </c>
      <c r="K621" s="148"/>
      <c r="L621" s="149"/>
      <c r="M621" s="148"/>
    </row>
    <row r="622" spans="1:13" ht="15" customHeight="1">
      <c r="A622" s="142" t="s">
        <v>1884</v>
      </c>
      <c r="B622" s="142">
        <v>513222</v>
      </c>
      <c r="C622" s="143" t="s">
        <v>1885</v>
      </c>
      <c r="D622" s="142" t="s">
        <v>1530</v>
      </c>
      <c r="E622" s="143" t="s">
        <v>1586</v>
      </c>
      <c r="F622" s="143" t="s">
        <v>1886</v>
      </c>
      <c r="G622" s="142" t="s">
        <v>109</v>
      </c>
      <c r="H622" s="142" t="s">
        <v>51</v>
      </c>
      <c r="I622" s="143" t="s">
        <v>1539</v>
      </c>
      <c r="J622" s="143" t="s">
        <v>104</v>
      </c>
      <c r="K622" s="144" t="s">
        <v>121</v>
      </c>
      <c r="L622" s="145">
        <v>46149</v>
      </c>
      <c r="M622" s="144"/>
    </row>
    <row r="623" spans="1:13" ht="15" customHeight="1">
      <c r="A623" s="146" t="s">
        <v>1887</v>
      </c>
      <c r="B623" s="146">
        <v>521607</v>
      </c>
      <c r="C623" s="147" t="s">
        <v>1888</v>
      </c>
      <c r="D623" s="146" t="s">
        <v>1530</v>
      </c>
      <c r="E623" s="147" t="s">
        <v>1586</v>
      </c>
      <c r="F623" s="147" t="s">
        <v>1889</v>
      </c>
      <c r="G623" s="146" t="s">
        <v>109</v>
      </c>
      <c r="H623" s="146" t="s">
        <v>51</v>
      </c>
      <c r="I623" s="147" t="s">
        <v>1539</v>
      </c>
      <c r="J623" s="147" t="s">
        <v>104</v>
      </c>
      <c r="K623" s="148" t="s">
        <v>162</v>
      </c>
      <c r="L623" s="149">
        <v>46147</v>
      </c>
      <c r="M623" s="148"/>
    </row>
    <row r="624" spans="1:13" ht="15" customHeight="1">
      <c r="A624" s="142" t="s">
        <v>1890</v>
      </c>
      <c r="B624" s="142">
        <v>512951</v>
      </c>
      <c r="C624" s="143" t="s">
        <v>1891</v>
      </c>
      <c r="D624" s="142" t="s">
        <v>1530</v>
      </c>
      <c r="E624" s="143" t="s">
        <v>1546</v>
      </c>
      <c r="F624" s="143" t="s">
        <v>1891</v>
      </c>
      <c r="G624" s="142" t="s">
        <v>109</v>
      </c>
      <c r="H624" s="142" t="s">
        <v>51</v>
      </c>
      <c r="I624" s="143" t="s">
        <v>1539</v>
      </c>
      <c r="J624" s="143" t="s">
        <v>104</v>
      </c>
      <c r="K624" s="144"/>
      <c r="L624" s="145"/>
      <c r="M624" s="144"/>
    </row>
    <row r="625" spans="1:13" ht="15" customHeight="1">
      <c r="A625" s="146" t="s">
        <v>1892</v>
      </c>
      <c r="B625" s="146">
        <v>513873</v>
      </c>
      <c r="C625" s="147" t="s">
        <v>1893</v>
      </c>
      <c r="D625" s="146" t="s">
        <v>1530</v>
      </c>
      <c r="E625" s="147" t="s">
        <v>1232</v>
      </c>
      <c r="F625" s="147" t="s">
        <v>1894</v>
      </c>
      <c r="G625" s="146" t="s">
        <v>109</v>
      </c>
      <c r="H625" s="146" t="s">
        <v>51</v>
      </c>
      <c r="I625" s="147" t="s">
        <v>1539</v>
      </c>
      <c r="J625" s="147" t="s">
        <v>104</v>
      </c>
      <c r="K625" s="148"/>
      <c r="L625" s="149"/>
      <c r="M625" s="148"/>
    </row>
    <row r="626" spans="1:13" ht="15" customHeight="1">
      <c r="A626" s="142" t="s">
        <v>1895</v>
      </c>
      <c r="B626" s="142">
        <v>512901</v>
      </c>
      <c r="C626" s="143" t="s">
        <v>1896</v>
      </c>
      <c r="D626" s="142" t="s">
        <v>1530</v>
      </c>
      <c r="E626" s="143" t="s">
        <v>1546</v>
      </c>
      <c r="F626" s="143" t="s">
        <v>1896</v>
      </c>
      <c r="G626" s="142" t="s">
        <v>109</v>
      </c>
      <c r="H626" s="142" t="s">
        <v>51</v>
      </c>
      <c r="I626" s="143" t="s">
        <v>1539</v>
      </c>
      <c r="J626" s="143" t="s">
        <v>104</v>
      </c>
      <c r="K626" s="144"/>
      <c r="L626" s="145"/>
      <c r="M626" s="144"/>
    </row>
    <row r="627" spans="1:13" ht="15" customHeight="1">
      <c r="A627" s="146" t="s">
        <v>1897</v>
      </c>
      <c r="B627" s="146">
        <v>512935</v>
      </c>
      <c r="C627" s="147" t="s">
        <v>1898</v>
      </c>
      <c r="D627" s="146" t="s">
        <v>1530</v>
      </c>
      <c r="E627" s="147" t="s">
        <v>1546</v>
      </c>
      <c r="F627" s="147" t="s">
        <v>1899</v>
      </c>
      <c r="G627" s="146" t="s">
        <v>109</v>
      </c>
      <c r="H627" s="146" t="s">
        <v>51</v>
      </c>
      <c r="I627" s="147" t="s">
        <v>1539</v>
      </c>
      <c r="J627" s="147" t="s">
        <v>104</v>
      </c>
      <c r="K627" s="148"/>
      <c r="L627" s="149"/>
      <c r="M627" s="148"/>
    </row>
    <row r="628" spans="1:13" ht="15" customHeight="1">
      <c r="A628" s="142" t="s">
        <v>1900</v>
      </c>
      <c r="B628" s="142">
        <v>513003</v>
      </c>
      <c r="C628" s="143" t="s">
        <v>1901</v>
      </c>
      <c r="D628" s="142" t="s">
        <v>1530</v>
      </c>
      <c r="E628" s="143" t="s">
        <v>1546</v>
      </c>
      <c r="F628" s="143" t="s">
        <v>1546</v>
      </c>
      <c r="G628" s="142" t="s">
        <v>102</v>
      </c>
      <c r="H628" s="142" t="s">
        <v>51</v>
      </c>
      <c r="I628" s="143" t="s">
        <v>1539</v>
      </c>
      <c r="J628" s="143" t="s">
        <v>104</v>
      </c>
      <c r="K628" s="144"/>
      <c r="L628" s="145"/>
      <c r="M628" s="144"/>
    </row>
    <row r="629" spans="1:13" ht="15" customHeight="1">
      <c r="A629" s="146" t="s">
        <v>1902</v>
      </c>
      <c r="B629" s="146">
        <v>512946</v>
      </c>
      <c r="C629" s="147" t="s">
        <v>1903</v>
      </c>
      <c r="D629" s="146" t="s">
        <v>1530</v>
      </c>
      <c r="E629" s="147" t="s">
        <v>1582</v>
      </c>
      <c r="F629" s="147" t="s">
        <v>460</v>
      </c>
      <c r="G629" s="146" t="s">
        <v>109</v>
      </c>
      <c r="H629" s="146" t="s">
        <v>51</v>
      </c>
      <c r="I629" s="147" t="s">
        <v>1539</v>
      </c>
      <c r="J629" s="147" t="s">
        <v>104</v>
      </c>
      <c r="K629" s="148"/>
      <c r="L629" s="149"/>
      <c r="M629" s="148"/>
    </row>
    <row r="630" spans="1:13" ht="15" customHeight="1">
      <c r="A630" s="142" t="s">
        <v>1904</v>
      </c>
      <c r="B630" s="142">
        <v>521612</v>
      </c>
      <c r="C630" s="143" t="s">
        <v>1905</v>
      </c>
      <c r="D630" s="142" t="s">
        <v>1530</v>
      </c>
      <c r="E630" s="143" t="s">
        <v>1582</v>
      </c>
      <c r="F630" s="143" t="s">
        <v>1906</v>
      </c>
      <c r="G630" s="142" t="s">
        <v>109</v>
      </c>
      <c r="H630" s="142" t="s">
        <v>51</v>
      </c>
      <c r="I630" s="143" t="s">
        <v>1539</v>
      </c>
      <c r="J630" s="143" t="s">
        <v>104</v>
      </c>
      <c r="K630" s="144" t="s">
        <v>121</v>
      </c>
      <c r="L630" s="145">
        <v>46148</v>
      </c>
      <c r="M630" s="144"/>
    </row>
    <row r="631" spans="1:13" ht="15" customHeight="1">
      <c r="A631" s="146" t="s">
        <v>1907</v>
      </c>
      <c r="B631" s="146">
        <v>513137</v>
      </c>
      <c r="C631" s="147" t="s">
        <v>1908</v>
      </c>
      <c r="D631" s="146" t="s">
        <v>1530</v>
      </c>
      <c r="E631" s="147" t="s">
        <v>1909</v>
      </c>
      <c r="F631" s="147" t="s">
        <v>1910</v>
      </c>
      <c r="G631" s="146" t="s">
        <v>109</v>
      </c>
      <c r="H631" s="146" t="s">
        <v>51</v>
      </c>
      <c r="I631" s="147" t="s">
        <v>1539</v>
      </c>
      <c r="J631" s="147" t="s">
        <v>104</v>
      </c>
      <c r="K631" s="148"/>
      <c r="L631" s="149"/>
      <c r="M631" s="148"/>
    </row>
    <row r="632" spans="1:13" ht="15" customHeight="1">
      <c r="A632" s="142" t="s">
        <v>1911</v>
      </c>
      <c r="B632" s="142">
        <v>514135</v>
      </c>
      <c r="C632" s="143" t="s">
        <v>1912</v>
      </c>
      <c r="D632" s="142" t="s">
        <v>1530</v>
      </c>
      <c r="E632" s="143" t="s">
        <v>1549</v>
      </c>
      <c r="F632" s="143" t="s">
        <v>1912</v>
      </c>
      <c r="G632" s="142" t="s">
        <v>109</v>
      </c>
      <c r="H632" s="142" t="s">
        <v>50</v>
      </c>
      <c r="I632" s="143" t="s">
        <v>1532</v>
      </c>
      <c r="J632" s="143" t="s">
        <v>104</v>
      </c>
      <c r="K632" s="144"/>
      <c r="L632" s="145"/>
      <c r="M632" s="144"/>
    </row>
    <row r="633" spans="1:13" ht="15" customHeight="1">
      <c r="A633" s="146" t="s">
        <v>1913</v>
      </c>
      <c r="B633" s="146">
        <v>513122</v>
      </c>
      <c r="C633" s="147" t="s">
        <v>1914</v>
      </c>
      <c r="D633" s="146" t="s">
        <v>1530</v>
      </c>
      <c r="E633" s="147" t="s">
        <v>1549</v>
      </c>
      <c r="F633" s="147" t="s">
        <v>1914</v>
      </c>
      <c r="G633" s="146" t="s">
        <v>109</v>
      </c>
      <c r="H633" s="146" t="s">
        <v>50</v>
      </c>
      <c r="I633" s="147" t="s">
        <v>1532</v>
      </c>
      <c r="J633" s="147" t="s">
        <v>104</v>
      </c>
      <c r="K633" s="148" t="s">
        <v>121</v>
      </c>
      <c r="L633" s="149">
        <v>46148</v>
      </c>
      <c r="M633" s="148"/>
    </row>
    <row r="634" spans="1:13" ht="15" customHeight="1">
      <c r="A634" s="142" t="s">
        <v>1915</v>
      </c>
      <c r="B634" s="142">
        <v>513353</v>
      </c>
      <c r="C634" s="143" t="s">
        <v>1916</v>
      </c>
      <c r="D634" s="142" t="s">
        <v>1530</v>
      </c>
      <c r="E634" s="143" t="s">
        <v>1687</v>
      </c>
      <c r="F634" s="143" t="s">
        <v>1917</v>
      </c>
      <c r="G634" s="142" t="s">
        <v>109</v>
      </c>
      <c r="H634" s="142" t="s">
        <v>50</v>
      </c>
      <c r="I634" s="143" t="s">
        <v>1532</v>
      </c>
      <c r="J634" s="143" t="s">
        <v>104</v>
      </c>
      <c r="K634" s="144" t="s">
        <v>121</v>
      </c>
      <c r="L634" s="145">
        <v>46142</v>
      </c>
      <c r="M634" s="144"/>
    </row>
    <row r="635" spans="1:13" ht="15" customHeight="1">
      <c r="A635" s="146" t="s">
        <v>1918</v>
      </c>
      <c r="B635" s="146">
        <v>513235</v>
      </c>
      <c r="C635" s="147" t="s">
        <v>1919</v>
      </c>
      <c r="D635" s="146" t="s">
        <v>1530</v>
      </c>
      <c r="E635" s="147" t="s">
        <v>320</v>
      </c>
      <c r="F635" s="147" t="s">
        <v>1920</v>
      </c>
      <c r="G635" s="146" t="s">
        <v>109</v>
      </c>
      <c r="H635" s="146" t="s">
        <v>51</v>
      </c>
      <c r="I635" s="147" t="s">
        <v>1539</v>
      </c>
      <c r="J635" s="147" t="s">
        <v>104</v>
      </c>
      <c r="K635" s="148"/>
      <c r="L635" s="149"/>
      <c r="M635" s="148"/>
    </row>
    <row r="636" spans="1:13" ht="15" customHeight="1">
      <c r="A636" s="142" t="s">
        <v>1921</v>
      </c>
      <c r="B636" s="142">
        <v>513255</v>
      </c>
      <c r="C636" s="143" t="s">
        <v>1922</v>
      </c>
      <c r="D636" s="142" t="s">
        <v>1530</v>
      </c>
      <c r="E636" s="143" t="s">
        <v>320</v>
      </c>
      <c r="F636" s="143" t="s">
        <v>1923</v>
      </c>
      <c r="G636" s="142" t="s">
        <v>109</v>
      </c>
      <c r="H636" s="142" t="s">
        <v>51</v>
      </c>
      <c r="I636" s="143" t="s">
        <v>1539</v>
      </c>
      <c r="J636" s="143" t="s">
        <v>104</v>
      </c>
      <c r="K636" s="144"/>
      <c r="L636" s="145"/>
      <c r="M636" s="144"/>
    </row>
    <row r="637" spans="1:13" ht="15" customHeight="1">
      <c r="A637" s="146" t="s">
        <v>1924</v>
      </c>
      <c r="B637" s="146">
        <v>513165</v>
      </c>
      <c r="C637" s="147" t="s">
        <v>1925</v>
      </c>
      <c r="D637" s="146" t="s">
        <v>1530</v>
      </c>
      <c r="E637" s="147" t="s">
        <v>320</v>
      </c>
      <c r="F637" s="147" t="s">
        <v>1739</v>
      </c>
      <c r="G637" s="146" t="s">
        <v>109</v>
      </c>
      <c r="H637" s="146" t="s">
        <v>51</v>
      </c>
      <c r="I637" s="147" t="s">
        <v>1539</v>
      </c>
      <c r="J637" s="147" t="s">
        <v>104</v>
      </c>
      <c r="K637" s="148"/>
      <c r="L637" s="149"/>
      <c r="M637" s="148"/>
    </row>
    <row r="638" spans="1:13" ht="15" customHeight="1">
      <c r="A638" s="142" t="s">
        <v>1926</v>
      </c>
      <c r="B638" s="142">
        <v>513243</v>
      </c>
      <c r="C638" s="143" t="s">
        <v>1927</v>
      </c>
      <c r="D638" s="142" t="s">
        <v>1530</v>
      </c>
      <c r="E638" s="143" t="s">
        <v>1530</v>
      </c>
      <c r="F638" s="143" t="s">
        <v>1927</v>
      </c>
      <c r="G638" s="142" t="s">
        <v>109</v>
      </c>
      <c r="H638" s="142" t="s">
        <v>51</v>
      </c>
      <c r="I638" s="143" t="s">
        <v>1539</v>
      </c>
      <c r="J638" s="143" t="s">
        <v>104</v>
      </c>
      <c r="K638" s="144"/>
      <c r="L638" s="145"/>
      <c r="M638" s="144"/>
    </row>
    <row r="639" spans="1:13" ht="15" customHeight="1">
      <c r="A639" s="146" t="s">
        <v>1928</v>
      </c>
      <c r="B639" s="146">
        <v>514126</v>
      </c>
      <c r="C639" s="147" t="s">
        <v>1929</v>
      </c>
      <c r="D639" s="146" t="s">
        <v>1530</v>
      </c>
      <c r="E639" s="147" t="s">
        <v>1707</v>
      </c>
      <c r="F639" s="147" t="s">
        <v>1930</v>
      </c>
      <c r="G639" s="146" t="s">
        <v>109</v>
      </c>
      <c r="H639" s="146" t="s">
        <v>50</v>
      </c>
      <c r="I639" s="147" t="s">
        <v>1532</v>
      </c>
      <c r="J639" s="147" t="s">
        <v>104</v>
      </c>
      <c r="K639" s="148"/>
      <c r="L639" s="149"/>
      <c r="M639" s="148"/>
    </row>
    <row r="640" spans="1:13" ht="15" customHeight="1">
      <c r="A640" s="142" t="s">
        <v>1931</v>
      </c>
      <c r="B640" s="142">
        <v>513259</v>
      </c>
      <c r="C640" s="143" t="s">
        <v>1932</v>
      </c>
      <c r="D640" s="142" t="s">
        <v>1530</v>
      </c>
      <c r="E640" s="143" t="s">
        <v>1687</v>
      </c>
      <c r="F640" s="143" t="s">
        <v>1933</v>
      </c>
      <c r="G640" s="142" t="s">
        <v>109</v>
      </c>
      <c r="H640" s="142" t="s">
        <v>50</v>
      </c>
      <c r="I640" s="143" t="s">
        <v>1532</v>
      </c>
      <c r="J640" s="143" t="s">
        <v>104</v>
      </c>
      <c r="K640" s="144" t="s">
        <v>121</v>
      </c>
      <c r="L640" s="145">
        <v>46139</v>
      </c>
      <c r="M640" s="144"/>
    </row>
    <row r="641" spans="1:13" ht="15" customHeight="1">
      <c r="A641" s="146" t="s">
        <v>1934</v>
      </c>
      <c r="B641" s="146">
        <v>512982</v>
      </c>
      <c r="C641" s="147" t="s">
        <v>1935</v>
      </c>
      <c r="D641" s="146" t="s">
        <v>1530</v>
      </c>
      <c r="E641" s="147" t="s">
        <v>1707</v>
      </c>
      <c r="F641" s="147" t="s">
        <v>1936</v>
      </c>
      <c r="G641" s="146" t="s">
        <v>109</v>
      </c>
      <c r="H641" s="146" t="s">
        <v>50</v>
      </c>
      <c r="I641" s="147" t="s">
        <v>1532</v>
      </c>
      <c r="J641" s="147" t="s">
        <v>104</v>
      </c>
      <c r="K641" s="148"/>
      <c r="L641" s="149"/>
      <c r="M641" s="148"/>
    </row>
    <row r="642" spans="1:13" ht="15" customHeight="1">
      <c r="A642" s="142" t="s">
        <v>1937</v>
      </c>
      <c r="B642" s="142">
        <v>513156</v>
      </c>
      <c r="C642" s="143" t="s">
        <v>1938</v>
      </c>
      <c r="D642" s="142" t="s">
        <v>1530</v>
      </c>
      <c r="E642" s="143" t="s">
        <v>1710</v>
      </c>
      <c r="F642" s="143" t="s">
        <v>1710</v>
      </c>
      <c r="G642" s="142" t="s">
        <v>102</v>
      </c>
      <c r="H642" s="142" t="s">
        <v>50</v>
      </c>
      <c r="I642" s="143" t="s">
        <v>1532</v>
      </c>
      <c r="J642" s="143" t="s">
        <v>104</v>
      </c>
      <c r="K642" s="144"/>
      <c r="L642" s="145"/>
      <c r="M642" s="144"/>
    </row>
    <row r="643" spans="1:13" ht="15" customHeight="1">
      <c r="A643" s="146" t="s">
        <v>1939</v>
      </c>
      <c r="B643" s="146">
        <v>513155</v>
      </c>
      <c r="C643" s="147" t="s">
        <v>1940</v>
      </c>
      <c r="D643" s="146" t="s">
        <v>1530</v>
      </c>
      <c r="E643" s="147" t="s">
        <v>1710</v>
      </c>
      <c r="F643" s="147" t="s">
        <v>1941</v>
      </c>
      <c r="G643" s="146" t="s">
        <v>109</v>
      </c>
      <c r="H643" s="146" t="s">
        <v>50</v>
      </c>
      <c r="I643" s="147" t="s">
        <v>1532</v>
      </c>
      <c r="J643" s="147" t="s">
        <v>104</v>
      </c>
      <c r="K643" s="148"/>
      <c r="L643" s="149"/>
      <c r="M643" s="148"/>
    </row>
    <row r="644" spans="1:13" ht="15" customHeight="1">
      <c r="A644" s="142" t="s">
        <v>1942</v>
      </c>
      <c r="B644" s="142">
        <v>521708</v>
      </c>
      <c r="C644" s="143" t="s">
        <v>1943</v>
      </c>
      <c r="D644" s="142" t="s">
        <v>1530</v>
      </c>
      <c r="E644" s="143" t="s">
        <v>1710</v>
      </c>
      <c r="F644" s="143" t="s">
        <v>1944</v>
      </c>
      <c r="G644" s="142" t="s">
        <v>109</v>
      </c>
      <c r="H644" s="142" t="s">
        <v>50</v>
      </c>
      <c r="I644" s="143" t="s">
        <v>1532</v>
      </c>
      <c r="J644" s="143" t="s">
        <v>104</v>
      </c>
      <c r="K644" s="144"/>
      <c r="L644" s="145"/>
      <c r="M644" s="144"/>
    </row>
    <row r="645" spans="1:13" ht="15" customHeight="1">
      <c r="A645" s="146" t="s">
        <v>1945</v>
      </c>
      <c r="B645" s="146">
        <v>513158</v>
      </c>
      <c r="C645" s="147" t="s">
        <v>1946</v>
      </c>
      <c r="D645" s="146" t="s">
        <v>1530</v>
      </c>
      <c r="E645" s="147" t="s">
        <v>1719</v>
      </c>
      <c r="F645" s="147" t="s">
        <v>1946</v>
      </c>
      <c r="G645" s="146" t="s">
        <v>109</v>
      </c>
      <c r="H645" s="146" t="s">
        <v>50</v>
      </c>
      <c r="I645" s="147" t="s">
        <v>1532</v>
      </c>
      <c r="J645" s="147" t="s">
        <v>104</v>
      </c>
      <c r="K645" s="148"/>
      <c r="L645" s="149"/>
      <c r="M645" s="148"/>
    </row>
    <row r="646" spans="1:13" ht="15" customHeight="1">
      <c r="A646" s="142" t="s">
        <v>1947</v>
      </c>
      <c r="B646" s="142">
        <v>513180</v>
      </c>
      <c r="C646" s="143" t="s">
        <v>1948</v>
      </c>
      <c r="D646" s="142" t="s">
        <v>1530</v>
      </c>
      <c r="E646" s="143" t="s">
        <v>1949</v>
      </c>
      <c r="F646" s="143" t="s">
        <v>1950</v>
      </c>
      <c r="G646" s="142" t="s">
        <v>109</v>
      </c>
      <c r="H646" s="142" t="s">
        <v>50</v>
      </c>
      <c r="I646" s="143" t="s">
        <v>1532</v>
      </c>
      <c r="J646" s="143" t="s">
        <v>104</v>
      </c>
      <c r="K646" s="144" t="s">
        <v>121</v>
      </c>
      <c r="L646" s="145">
        <v>46140</v>
      </c>
      <c r="M646" s="144"/>
    </row>
    <row r="647" spans="1:13" ht="15" customHeight="1">
      <c r="A647" s="146" t="s">
        <v>1951</v>
      </c>
      <c r="B647" s="146">
        <v>513404</v>
      </c>
      <c r="C647" s="147" t="s">
        <v>1952</v>
      </c>
      <c r="D647" s="146" t="s">
        <v>1530</v>
      </c>
      <c r="E647" s="147" t="s">
        <v>1542</v>
      </c>
      <c r="F647" s="147" t="s">
        <v>1543</v>
      </c>
      <c r="G647" s="146" t="s">
        <v>109</v>
      </c>
      <c r="H647" s="146" t="s">
        <v>51</v>
      </c>
      <c r="I647" s="147" t="s">
        <v>1539</v>
      </c>
      <c r="J647" s="147" t="s">
        <v>104</v>
      </c>
      <c r="K647" s="148"/>
      <c r="L647" s="149"/>
      <c r="M647" s="148"/>
    </row>
    <row r="648" spans="1:13" ht="15" customHeight="1">
      <c r="A648" s="142" t="s">
        <v>1953</v>
      </c>
      <c r="B648" s="142">
        <v>513171</v>
      </c>
      <c r="C648" s="143" t="s">
        <v>1954</v>
      </c>
      <c r="D648" s="142" t="s">
        <v>1530</v>
      </c>
      <c r="E648" s="143" t="s">
        <v>1549</v>
      </c>
      <c r="F648" s="143" t="s">
        <v>1955</v>
      </c>
      <c r="G648" s="142" t="s">
        <v>109</v>
      </c>
      <c r="H648" s="142" t="s">
        <v>50</v>
      </c>
      <c r="I648" s="143" t="s">
        <v>1532</v>
      </c>
      <c r="J648" s="143" t="s">
        <v>104</v>
      </c>
      <c r="K648" s="144"/>
      <c r="L648" s="145"/>
      <c r="M648" s="144"/>
    </row>
    <row r="649" spans="1:13" ht="15" customHeight="1">
      <c r="A649" s="146" t="s">
        <v>1956</v>
      </c>
      <c r="B649" s="146">
        <v>513365</v>
      </c>
      <c r="C649" s="147" t="s">
        <v>1957</v>
      </c>
      <c r="D649" s="146" t="s">
        <v>1530</v>
      </c>
      <c r="E649" s="147" t="s">
        <v>1683</v>
      </c>
      <c r="F649" s="147" t="s">
        <v>1683</v>
      </c>
      <c r="G649" s="146" t="s">
        <v>109</v>
      </c>
      <c r="H649" s="146" t="s">
        <v>50</v>
      </c>
      <c r="I649" s="147" t="s">
        <v>1532</v>
      </c>
      <c r="J649" s="147" t="s">
        <v>104</v>
      </c>
      <c r="K649" s="148" t="s">
        <v>121</v>
      </c>
      <c r="L649" s="149">
        <v>46139</v>
      </c>
      <c r="M649" s="148"/>
    </row>
    <row r="650" spans="1:13" ht="15" customHeight="1">
      <c r="A650" s="142" t="s">
        <v>1958</v>
      </c>
      <c r="B650" s="142">
        <v>513229</v>
      </c>
      <c r="C650" s="143" t="s">
        <v>1959</v>
      </c>
      <c r="D650" s="142" t="s">
        <v>1530</v>
      </c>
      <c r="E650" s="143" t="s">
        <v>1683</v>
      </c>
      <c r="F650" s="143" t="s">
        <v>1960</v>
      </c>
      <c r="G650" s="142" t="s">
        <v>109</v>
      </c>
      <c r="H650" s="142" t="s">
        <v>50</v>
      </c>
      <c r="I650" s="143" t="s">
        <v>1532</v>
      </c>
      <c r="J650" s="143" t="s">
        <v>104</v>
      </c>
      <c r="K650" s="144"/>
      <c r="L650" s="145"/>
      <c r="M650" s="144"/>
    </row>
    <row r="651" spans="1:13" ht="15" customHeight="1">
      <c r="A651" s="146" t="s">
        <v>1961</v>
      </c>
      <c r="B651" s="146">
        <v>515546</v>
      </c>
      <c r="C651" s="147" t="s">
        <v>1962</v>
      </c>
      <c r="D651" s="146" t="s">
        <v>1530</v>
      </c>
      <c r="E651" s="147" t="s">
        <v>1963</v>
      </c>
      <c r="F651" s="147" t="s">
        <v>1790</v>
      </c>
      <c r="G651" s="146" t="s">
        <v>109</v>
      </c>
      <c r="H651" s="146" t="s">
        <v>50</v>
      </c>
      <c r="I651" s="147" t="s">
        <v>1532</v>
      </c>
      <c r="J651" s="147" t="s">
        <v>104</v>
      </c>
      <c r="K651" s="148" t="s">
        <v>121</v>
      </c>
      <c r="L651" s="149">
        <v>46148</v>
      </c>
      <c r="M651" s="148"/>
    </row>
    <row r="652" spans="1:13" ht="15" customHeight="1">
      <c r="A652" s="142" t="s">
        <v>1964</v>
      </c>
      <c r="B652" s="142">
        <v>513363</v>
      </c>
      <c r="C652" s="143" t="s">
        <v>1965</v>
      </c>
      <c r="D652" s="142" t="s">
        <v>1530</v>
      </c>
      <c r="E652" s="143" t="s">
        <v>1966</v>
      </c>
      <c r="F652" s="143" t="s">
        <v>1967</v>
      </c>
      <c r="G652" s="142" t="s">
        <v>109</v>
      </c>
      <c r="H652" s="142" t="s">
        <v>50</v>
      </c>
      <c r="I652" s="143" t="s">
        <v>1532</v>
      </c>
      <c r="J652" s="143" t="s">
        <v>104</v>
      </c>
      <c r="K652" s="144" t="s">
        <v>162</v>
      </c>
      <c r="L652" s="145">
        <v>46140</v>
      </c>
      <c r="M652" s="144" t="s">
        <v>1736</v>
      </c>
    </row>
    <row r="653" spans="1:13" ht="15" customHeight="1">
      <c r="A653" s="146" t="s">
        <v>1968</v>
      </c>
      <c r="B653" s="146">
        <v>515587</v>
      </c>
      <c r="C653" s="147" t="s">
        <v>1969</v>
      </c>
      <c r="D653" s="146" t="s">
        <v>1530</v>
      </c>
      <c r="E653" s="147" t="s">
        <v>1731</v>
      </c>
      <c r="F653" s="147" t="s">
        <v>1970</v>
      </c>
      <c r="G653" s="146" t="s">
        <v>109</v>
      </c>
      <c r="H653" s="146" t="s">
        <v>50</v>
      </c>
      <c r="I653" s="147" t="s">
        <v>1532</v>
      </c>
      <c r="J653" s="147" t="s">
        <v>104</v>
      </c>
      <c r="K653" s="148" t="s">
        <v>121</v>
      </c>
      <c r="L653" s="149">
        <v>46141</v>
      </c>
      <c r="M653" s="148"/>
    </row>
    <row r="654" spans="1:13" ht="15" customHeight="1">
      <c r="A654" s="142" t="s">
        <v>1971</v>
      </c>
      <c r="B654" s="142">
        <v>513041</v>
      </c>
      <c r="C654" s="143" t="s">
        <v>1972</v>
      </c>
      <c r="D654" s="142" t="s">
        <v>1530</v>
      </c>
      <c r="E654" s="143" t="s">
        <v>1734</v>
      </c>
      <c r="F654" s="143" t="s">
        <v>1973</v>
      </c>
      <c r="G654" s="142" t="s">
        <v>109</v>
      </c>
      <c r="H654" s="142" t="s">
        <v>50</v>
      </c>
      <c r="I654" s="143" t="s">
        <v>1532</v>
      </c>
      <c r="J654" s="143" t="s">
        <v>104</v>
      </c>
      <c r="K654" s="144" t="s">
        <v>121</v>
      </c>
      <c r="L654" s="145">
        <v>46148</v>
      </c>
      <c r="M654" s="144"/>
    </row>
    <row r="655" spans="1:13" ht="15" customHeight="1">
      <c r="A655" s="146" t="s">
        <v>1974</v>
      </c>
      <c r="B655" s="146">
        <v>513372</v>
      </c>
      <c r="C655" s="147" t="s">
        <v>1975</v>
      </c>
      <c r="D655" s="146" t="s">
        <v>1530</v>
      </c>
      <c r="E655" s="147" t="s">
        <v>1600</v>
      </c>
      <c r="F655" s="147" t="s">
        <v>1976</v>
      </c>
      <c r="G655" s="146" t="s">
        <v>109</v>
      </c>
      <c r="H655" s="146" t="s">
        <v>50</v>
      </c>
      <c r="I655" s="147" t="s">
        <v>1532</v>
      </c>
      <c r="J655" s="147" t="s">
        <v>104</v>
      </c>
      <c r="K655" s="148" t="s">
        <v>121</v>
      </c>
      <c r="L655" s="149">
        <v>46149</v>
      </c>
      <c r="M655" s="148"/>
    </row>
    <row r="656" spans="1:13" ht="15" customHeight="1">
      <c r="A656" s="142" t="s">
        <v>1977</v>
      </c>
      <c r="B656" s="142">
        <v>513348</v>
      </c>
      <c r="C656" s="143" t="s">
        <v>1978</v>
      </c>
      <c r="D656" s="142" t="s">
        <v>1530</v>
      </c>
      <c r="E656" s="143" t="s">
        <v>1979</v>
      </c>
      <c r="F656" s="143" t="s">
        <v>1980</v>
      </c>
      <c r="G656" s="142" t="s">
        <v>109</v>
      </c>
      <c r="H656" s="142" t="s">
        <v>50</v>
      </c>
      <c r="I656" s="143" t="s">
        <v>1532</v>
      </c>
      <c r="J656" s="143" t="s">
        <v>104</v>
      </c>
      <c r="K656" s="144" t="s">
        <v>121</v>
      </c>
      <c r="L656" s="145">
        <v>46147</v>
      </c>
      <c r="M656" s="144"/>
    </row>
    <row r="657" spans="1:13" ht="15" customHeight="1">
      <c r="A657" s="146" t="s">
        <v>1981</v>
      </c>
      <c r="B657" s="146">
        <v>513308</v>
      </c>
      <c r="C657" s="147" t="s">
        <v>1982</v>
      </c>
      <c r="D657" s="146" t="s">
        <v>1530</v>
      </c>
      <c r="E657" s="147" t="s">
        <v>1749</v>
      </c>
      <c r="F657" s="147" t="s">
        <v>1983</v>
      </c>
      <c r="G657" s="146" t="s">
        <v>109</v>
      </c>
      <c r="H657" s="146" t="s">
        <v>50</v>
      </c>
      <c r="I657" s="147" t="s">
        <v>1532</v>
      </c>
      <c r="J657" s="147" t="s">
        <v>104</v>
      </c>
      <c r="K657" s="148" t="s">
        <v>162</v>
      </c>
      <c r="L657" s="149">
        <v>46148</v>
      </c>
      <c r="M657" s="148" t="s">
        <v>1740</v>
      </c>
    </row>
    <row r="658" spans="1:13" ht="15" customHeight="1">
      <c r="A658" s="142" t="s">
        <v>1984</v>
      </c>
      <c r="B658" s="142">
        <v>513323</v>
      </c>
      <c r="C658" s="143" t="s">
        <v>1985</v>
      </c>
      <c r="D658" s="142" t="s">
        <v>1530</v>
      </c>
      <c r="E658" s="143" t="s">
        <v>1628</v>
      </c>
      <c r="F658" s="143" t="s">
        <v>1986</v>
      </c>
      <c r="G658" s="142" t="s">
        <v>109</v>
      </c>
      <c r="H658" s="142" t="s">
        <v>50</v>
      </c>
      <c r="I658" s="143" t="s">
        <v>1532</v>
      </c>
      <c r="J658" s="143" t="s">
        <v>104</v>
      </c>
      <c r="K658" s="144" t="s">
        <v>121</v>
      </c>
      <c r="L658" s="145">
        <v>46140</v>
      </c>
      <c r="M658" s="144"/>
    </row>
    <row r="659" spans="1:13" ht="15" customHeight="1">
      <c r="A659" s="146" t="s">
        <v>1987</v>
      </c>
      <c r="B659" s="146">
        <v>513311</v>
      </c>
      <c r="C659" s="147" t="s">
        <v>1988</v>
      </c>
      <c r="D659" s="146" t="s">
        <v>1530</v>
      </c>
      <c r="E659" s="147" t="s">
        <v>1628</v>
      </c>
      <c r="F659" s="147" t="s">
        <v>1989</v>
      </c>
      <c r="G659" s="146" t="s">
        <v>109</v>
      </c>
      <c r="H659" s="146" t="s">
        <v>50</v>
      </c>
      <c r="I659" s="147" t="s">
        <v>1532</v>
      </c>
      <c r="J659" s="147" t="s">
        <v>104</v>
      </c>
      <c r="K659" s="148" t="s">
        <v>121</v>
      </c>
      <c r="L659" s="149">
        <v>46141</v>
      </c>
      <c r="M659" s="148"/>
    </row>
    <row r="660" spans="1:13" ht="15" customHeight="1">
      <c r="A660" s="142" t="s">
        <v>1990</v>
      </c>
      <c r="B660" s="142">
        <v>515749</v>
      </c>
      <c r="C660" s="143" t="s">
        <v>1991</v>
      </c>
      <c r="D660" s="142" t="s">
        <v>1530</v>
      </c>
      <c r="E660" s="143" t="s">
        <v>1586</v>
      </c>
      <c r="F660" s="143" t="s">
        <v>324</v>
      </c>
      <c r="G660" s="142" t="s">
        <v>109</v>
      </c>
      <c r="H660" s="142" t="s">
        <v>51</v>
      </c>
      <c r="I660" s="143" t="s">
        <v>1539</v>
      </c>
      <c r="J660" s="143" t="s">
        <v>104</v>
      </c>
      <c r="K660" s="144" t="s">
        <v>121</v>
      </c>
      <c r="L660" s="145">
        <v>46149</v>
      </c>
      <c r="M660" s="144"/>
    </row>
    <row r="661" spans="1:13" ht="15" customHeight="1">
      <c r="A661" s="146" t="s">
        <v>1992</v>
      </c>
      <c r="B661" s="146">
        <v>513316</v>
      </c>
      <c r="C661" s="147" t="s">
        <v>1993</v>
      </c>
      <c r="D661" s="146" t="s">
        <v>1530</v>
      </c>
      <c r="E661" s="147" t="s">
        <v>1870</v>
      </c>
      <c r="F661" s="147" t="s">
        <v>1993</v>
      </c>
      <c r="G661" s="146" t="s">
        <v>109</v>
      </c>
      <c r="H661" s="146" t="s">
        <v>50</v>
      </c>
      <c r="I661" s="147" t="s">
        <v>1532</v>
      </c>
      <c r="J661" s="147" t="s">
        <v>104</v>
      </c>
      <c r="K661" s="148"/>
      <c r="L661" s="149"/>
      <c r="M661" s="148"/>
    </row>
    <row r="662" spans="1:13" ht="15" customHeight="1">
      <c r="A662" s="142" t="s">
        <v>1994</v>
      </c>
      <c r="B662" s="142">
        <v>513225</v>
      </c>
      <c r="C662" s="143" t="s">
        <v>1995</v>
      </c>
      <c r="D662" s="142" t="s">
        <v>1530</v>
      </c>
      <c r="E662" s="143" t="s">
        <v>1549</v>
      </c>
      <c r="F662" s="143" t="s">
        <v>1995</v>
      </c>
      <c r="G662" s="142" t="s">
        <v>109</v>
      </c>
      <c r="H662" s="142" t="s">
        <v>50</v>
      </c>
      <c r="I662" s="143" t="s">
        <v>1532</v>
      </c>
      <c r="J662" s="143" t="s">
        <v>104</v>
      </c>
      <c r="K662" s="144" t="s">
        <v>121</v>
      </c>
      <c r="L662" s="145">
        <v>46149</v>
      </c>
      <c r="M662" s="144"/>
    </row>
    <row r="663" spans="1:13" ht="15" customHeight="1">
      <c r="A663" s="146" t="s">
        <v>1996</v>
      </c>
      <c r="B663" s="146">
        <v>512971</v>
      </c>
      <c r="C663" s="147" t="s">
        <v>1997</v>
      </c>
      <c r="D663" s="146" t="s">
        <v>1530</v>
      </c>
      <c r="E663" s="147" t="s">
        <v>1542</v>
      </c>
      <c r="F663" s="147" t="s">
        <v>1997</v>
      </c>
      <c r="G663" s="146" t="s">
        <v>109</v>
      </c>
      <c r="H663" s="146" t="s">
        <v>51</v>
      </c>
      <c r="I663" s="147" t="s">
        <v>1539</v>
      </c>
      <c r="J663" s="147" t="s">
        <v>104</v>
      </c>
      <c r="K663" s="148"/>
      <c r="L663" s="149"/>
      <c r="M663" s="148"/>
    </row>
    <row r="664" spans="1:13" ht="15" customHeight="1">
      <c r="A664" s="142" t="s">
        <v>1998</v>
      </c>
      <c r="B664" s="142">
        <v>513095</v>
      </c>
      <c r="C664" s="143" t="s">
        <v>1999</v>
      </c>
      <c r="D664" s="142" t="s">
        <v>1530</v>
      </c>
      <c r="E664" s="143" t="s">
        <v>1734</v>
      </c>
      <c r="F664" s="143" t="s">
        <v>1238</v>
      </c>
      <c r="G664" s="142" t="s">
        <v>109</v>
      </c>
      <c r="H664" s="142" t="s">
        <v>50</v>
      </c>
      <c r="I664" s="143" t="s">
        <v>1532</v>
      </c>
      <c r="J664" s="143" t="s">
        <v>104</v>
      </c>
      <c r="K664" s="144" t="s">
        <v>121</v>
      </c>
      <c r="L664" s="145">
        <v>46149</v>
      </c>
      <c r="M664" s="144"/>
    </row>
    <row r="665" spans="1:13" ht="15" customHeight="1">
      <c r="A665" s="146" t="s">
        <v>2000</v>
      </c>
      <c r="B665" s="146">
        <v>514184</v>
      </c>
      <c r="C665" s="147" t="s">
        <v>2001</v>
      </c>
      <c r="D665" s="146" t="s">
        <v>1530</v>
      </c>
      <c r="E665" s="147" t="s">
        <v>1979</v>
      </c>
      <c r="F665" s="147" t="s">
        <v>2002</v>
      </c>
      <c r="G665" s="146" t="s">
        <v>109</v>
      </c>
      <c r="H665" s="146" t="s">
        <v>50</v>
      </c>
      <c r="I665" s="147" t="s">
        <v>1532</v>
      </c>
      <c r="J665" s="147" t="s">
        <v>104</v>
      </c>
      <c r="K665" s="148" t="s">
        <v>121</v>
      </c>
      <c r="L665" s="149">
        <v>46148</v>
      </c>
      <c r="M665" s="148"/>
    </row>
    <row r="666" spans="1:13" ht="15" customHeight="1">
      <c r="A666" s="142" t="s">
        <v>2003</v>
      </c>
      <c r="B666" s="142">
        <v>513313</v>
      </c>
      <c r="C666" s="143" t="s">
        <v>2004</v>
      </c>
      <c r="D666" s="142" t="s">
        <v>1530</v>
      </c>
      <c r="E666" s="143" t="s">
        <v>1628</v>
      </c>
      <c r="F666" s="143" t="s">
        <v>461</v>
      </c>
      <c r="G666" s="142" t="s">
        <v>109</v>
      </c>
      <c r="H666" s="142" t="s">
        <v>50</v>
      </c>
      <c r="I666" s="143" t="s">
        <v>1532</v>
      </c>
      <c r="J666" s="143" t="s">
        <v>104</v>
      </c>
      <c r="K666" s="144" t="s">
        <v>121</v>
      </c>
      <c r="L666" s="145">
        <v>46140</v>
      </c>
      <c r="M666" s="144"/>
    </row>
    <row r="667" spans="1:13" ht="15" customHeight="1">
      <c r="A667" s="146" t="s">
        <v>2005</v>
      </c>
      <c r="B667" s="146">
        <v>512947</v>
      </c>
      <c r="C667" s="147" t="s">
        <v>1542</v>
      </c>
      <c r="D667" s="146" t="s">
        <v>1530</v>
      </c>
      <c r="E667" s="147" t="s">
        <v>1542</v>
      </c>
      <c r="F667" s="147" t="s">
        <v>2006</v>
      </c>
      <c r="G667" s="146" t="s">
        <v>102</v>
      </c>
      <c r="H667" s="146" t="s">
        <v>51</v>
      </c>
      <c r="I667" s="147" t="s">
        <v>1539</v>
      </c>
      <c r="J667" s="147" t="s">
        <v>104</v>
      </c>
      <c r="K667" s="148"/>
      <c r="L667" s="149"/>
      <c r="M667" s="148"/>
    </row>
    <row r="668" spans="1:13" ht="15" customHeight="1">
      <c r="A668" s="142" t="s">
        <v>2007</v>
      </c>
      <c r="B668" s="142">
        <v>513022</v>
      </c>
      <c r="C668" s="143" t="s">
        <v>2008</v>
      </c>
      <c r="D668" s="142" t="s">
        <v>1530</v>
      </c>
      <c r="E668" s="143" t="s">
        <v>1653</v>
      </c>
      <c r="F668" s="143" t="s">
        <v>1379</v>
      </c>
      <c r="G668" s="142" t="s">
        <v>102</v>
      </c>
      <c r="H668" s="142" t="s">
        <v>50</v>
      </c>
      <c r="I668" s="143" t="s">
        <v>1532</v>
      </c>
      <c r="J668" s="143" t="s">
        <v>104</v>
      </c>
      <c r="K668" s="144" t="s">
        <v>121</v>
      </c>
      <c r="L668" s="145">
        <v>46148</v>
      </c>
      <c r="M668" s="144"/>
    </row>
    <row r="669" spans="1:13" ht="15" customHeight="1">
      <c r="A669" s="146" t="s">
        <v>2009</v>
      </c>
      <c r="B669" s="146">
        <v>513090</v>
      </c>
      <c r="C669" s="147" t="s">
        <v>2010</v>
      </c>
      <c r="D669" s="146" t="s">
        <v>1530</v>
      </c>
      <c r="E669" s="147" t="s">
        <v>1530</v>
      </c>
      <c r="F669" s="147" t="s">
        <v>2010</v>
      </c>
      <c r="G669" s="146" t="s">
        <v>109</v>
      </c>
      <c r="H669" s="146" t="s">
        <v>51</v>
      </c>
      <c r="I669" s="147" t="s">
        <v>1539</v>
      </c>
      <c r="J669" s="147" t="s">
        <v>104</v>
      </c>
      <c r="K669" s="148"/>
      <c r="L669" s="149"/>
      <c r="M669" s="148"/>
    </row>
    <row r="670" spans="1:13" ht="15" customHeight="1">
      <c r="A670" s="142" t="s">
        <v>2011</v>
      </c>
      <c r="B670" s="142">
        <v>513175</v>
      </c>
      <c r="C670" s="143" t="s">
        <v>2012</v>
      </c>
      <c r="D670" s="142" t="s">
        <v>1530</v>
      </c>
      <c r="E670" s="143" t="s">
        <v>1530</v>
      </c>
      <c r="F670" s="143" t="s">
        <v>2013</v>
      </c>
      <c r="G670" s="142" t="s">
        <v>109</v>
      </c>
      <c r="H670" s="142" t="s">
        <v>51</v>
      </c>
      <c r="I670" s="143" t="s">
        <v>1539</v>
      </c>
      <c r="J670" s="143" t="s">
        <v>104</v>
      </c>
      <c r="K670" s="144"/>
      <c r="L670" s="145"/>
      <c r="M670" s="144"/>
    </row>
    <row r="671" spans="1:13" ht="15" customHeight="1">
      <c r="A671" s="146" t="s">
        <v>2014</v>
      </c>
      <c r="B671" s="146">
        <v>513151</v>
      </c>
      <c r="C671" s="147" t="s">
        <v>2015</v>
      </c>
      <c r="D671" s="146" t="s">
        <v>1530</v>
      </c>
      <c r="E671" s="147" t="s">
        <v>1530</v>
      </c>
      <c r="F671" s="147" t="s">
        <v>2016</v>
      </c>
      <c r="G671" s="146" t="s">
        <v>109</v>
      </c>
      <c r="H671" s="146" t="s">
        <v>51</v>
      </c>
      <c r="I671" s="147" t="s">
        <v>1539</v>
      </c>
      <c r="J671" s="147" t="s">
        <v>104</v>
      </c>
      <c r="K671" s="148"/>
      <c r="L671" s="149"/>
      <c r="M671" s="148"/>
    </row>
    <row r="672" spans="1:13" ht="15" customHeight="1">
      <c r="A672" s="142" t="s">
        <v>2017</v>
      </c>
      <c r="B672" s="142">
        <v>513060</v>
      </c>
      <c r="C672" s="143" t="s">
        <v>2018</v>
      </c>
      <c r="D672" s="142" t="s">
        <v>1530</v>
      </c>
      <c r="E672" s="143" t="s">
        <v>1537</v>
      </c>
      <c r="F672" s="143" t="s">
        <v>2019</v>
      </c>
      <c r="G672" s="142" t="s">
        <v>109</v>
      </c>
      <c r="H672" s="142" t="s">
        <v>51</v>
      </c>
      <c r="I672" s="143" t="s">
        <v>1539</v>
      </c>
      <c r="J672" s="143" t="s">
        <v>104</v>
      </c>
      <c r="K672" s="144"/>
      <c r="L672" s="145"/>
      <c r="M672" s="144"/>
    </row>
    <row r="673" spans="1:13" ht="15" customHeight="1">
      <c r="A673" s="146" t="s">
        <v>2020</v>
      </c>
      <c r="B673" s="146">
        <v>513046</v>
      </c>
      <c r="C673" s="147" t="s">
        <v>2021</v>
      </c>
      <c r="D673" s="146" t="s">
        <v>1530</v>
      </c>
      <c r="E673" s="147" t="s">
        <v>1537</v>
      </c>
      <c r="F673" s="147" t="s">
        <v>2022</v>
      </c>
      <c r="G673" s="146" t="s">
        <v>109</v>
      </c>
      <c r="H673" s="146" t="s">
        <v>51</v>
      </c>
      <c r="I673" s="147" t="s">
        <v>1539</v>
      </c>
      <c r="J673" s="147" t="s">
        <v>104</v>
      </c>
      <c r="K673" s="148"/>
      <c r="L673" s="149"/>
      <c r="M673" s="148"/>
    </row>
    <row r="674" spans="1:13" ht="15" customHeight="1">
      <c r="A674" s="142" t="s">
        <v>2023</v>
      </c>
      <c r="B674" s="142">
        <v>513092</v>
      </c>
      <c r="C674" s="143" t="s">
        <v>2024</v>
      </c>
      <c r="D674" s="142" t="s">
        <v>1530</v>
      </c>
      <c r="E674" s="143" t="s">
        <v>320</v>
      </c>
      <c r="F674" s="143" t="s">
        <v>2024</v>
      </c>
      <c r="G674" s="142" t="s">
        <v>109</v>
      </c>
      <c r="H674" s="142" t="s">
        <v>51</v>
      </c>
      <c r="I674" s="143" t="s">
        <v>1539</v>
      </c>
      <c r="J674" s="143" t="s">
        <v>104</v>
      </c>
      <c r="K674" s="144"/>
      <c r="L674" s="145"/>
      <c r="M674" s="144"/>
    </row>
    <row r="675" spans="1:13" ht="15" customHeight="1">
      <c r="A675" s="146" t="s">
        <v>2025</v>
      </c>
      <c r="B675" s="146">
        <v>513245</v>
      </c>
      <c r="C675" s="147" t="s">
        <v>2026</v>
      </c>
      <c r="D675" s="146" t="s">
        <v>1530</v>
      </c>
      <c r="E675" s="147" t="s">
        <v>2027</v>
      </c>
      <c r="F675" s="147" t="s">
        <v>2028</v>
      </c>
      <c r="G675" s="146" t="s">
        <v>109</v>
      </c>
      <c r="H675" s="146" t="s">
        <v>51</v>
      </c>
      <c r="I675" s="147" t="s">
        <v>1539</v>
      </c>
      <c r="J675" s="147" t="s">
        <v>104</v>
      </c>
      <c r="K675" s="148" t="s">
        <v>121</v>
      </c>
      <c r="L675" s="149">
        <v>46150</v>
      </c>
      <c r="M675" s="148"/>
    </row>
    <row r="676" spans="1:13" ht="15" customHeight="1">
      <c r="A676" s="142" t="s">
        <v>2029</v>
      </c>
      <c r="B676" s="142">
        <v>513149</v>
      </c>
      <c r="C676" s="143" t="s">
        <v>2030</v>
      </c>
      <c r="D676" s="142" t="s">
        <v>1530</v>
      </c>
      <c r="E676" s="143" t="s">
        <v>1710</v>
      </c>
      <c r="F676" s="143" t="s">
        <v>2031</v>
      </c>
      <c r="G676" s="142" t="s">
        <v>109</v>
      </c>
      <c r="H676" s="142" t="s">
        <v>50</v>
      </c>
      <c r="I676" s="143" t="s">
        <v>1532</v>
      </c>
      <c r="J676" s="143" t="s">
        <v>104</v>
      </c>
      <c r="K676" s="144"/>
      <c r="L676" s="145"/>
      <c r="M676" s="144"/>
    </row>
    <row r="677" spans="1:13" ht="15" customHeight="1">
      <c r="A677" s="146" t="s">
        <v>2032</v>
      </c>
      <c r="B677" s="146">
        <v>513232</v>
      </c>
      <c r="C677" s="147" t="s">
        <v>2033</v>
      </c>
      <c r="D677" s="146" t="s">
        <v>1530</v>
      </c>
      <c r="E677" s="147" t="s">
        <v>1710</v>
      </c>
      <c r="F677" s="147" t="s">
        <v>2034</v>
      </c>
      <c r="G677" s="146" t="s">
        <v>109</v>
      </c>
      <c r="H677" s="146" t="s">
        <v>50</v>
      </c>
      <c r="I677" s="147" t="s">
        <v>1532</v>
      </c>
      <c r="J677" s="147" t="s">
        <v>104</v>
      </c>
      <c r="K677" s="148"/>
      <c r="L677" s="149"/>
      <c r="M677" s="148"/>
    </row>
    <row r="678" spans="1:13" ht="15" customHeight="1">
      <c r="A678" s="142" t="s">
        <v>2035</v>
      </c>
      <c r="B678" s="142">
        <v>513217</v>
      </c>
      <c r="C678" s="143" t="s">
        <v>2036</v>
      </c>
      <c r="D678" s="142" t="s">
        <v>1530</v>
      </c>
      <c r="E678" s="143" t="s">
        <v>1719</v>
      </c>
      <c r="F678" s="143" t="s">
        <v>2037</v>
      </c>
      <c r="G678" s="142" t="s">
        <v>109</v>
      </c>
      <c r="H678" s="142" t="s">
        <v>50</v>
      </c>
      <c r="I678" s="143" t="s">
        <v>1532</v>
      </c>
      <c r="J678" s="143" t="s">
        <v>104</v>
      </c>
      <c r="K678" s="144"/>
      <c r="L678" s="145"/>
      <c r="M678" s="144"/>
    </row>
    <row r="679" spans="1:13" ht="15" customHeight="1">
      <c r="A679" s="146" t="s">
        <v>2038</v>
      </c>
      <c r="B679" s="146">
        <v>513082</v>
      </c>
      <c r="C679" s="147" t="s">
        <v>2039</v>
      </c>
      <c r="D679" s="146" t="s">
        <v>1530</v>
      </c>
      <c r="E679" s="147" t="s">
        <v>1537</v>
      </c>
      <c r="F679" s="147" t="s">
        <v>2040</v>
      </c>
      <c r="G679" s="146" t="s">
        <v>109</v>
      </c>
      <c r="H679" s="146" t="s">
        <v>51</v>
      </c>
      <c r="I679" s="147" t="s">
        <v>1539</v>
      </c>
      <c r="J679" s="147" t="s">
        <v>104</v>
      </c>
      <c r="K679" s="148"/>
      <c r="L679" s="149"/>
      <c r="M679" s="148"/>
    </row>
    <row r="680" spans="1:13" ht="15" customHeight="1">
      <c r="A680" s="142" t="s">
        <v>2041</v>
      </c>
      <c r="B680" s="142">
        <v>513055</v>
      </c>
      <c r="C680" s="143" t="s">
        <v>2042</v>
      </c>
      <c r="D680" s="142" t="s">
        <v>1530</v>
      </c>
      <c r="E680" s="143" t="s">
        <v>1537</v>
      </c>
      <c r="F680" s="143" t="s">
        <v>2043</v>
      </c>
      <c r="G680" s="142" t="s">
        <v>109</v>
      </c>
      <c r="H680" s="142" t="s">
        <v>51</v>
      </c>
      <c r="I680" s="143" t="s">
        <v>1539</v>
      </c>
      <c r="J680" s="143" t="s">
        <v>104</v>
      </c>
      <c r="K680" s="144"/>
      <c r="L680" s="145"/>
      <c r="M680" s="144"/>
    </row>
    <row r="681" spans="1:13" ht="15" customHeight="1">
      <c r="A681" s="146" t="s">
        <v>2044</v>
      </c>
      <c r="B681" s="146">
        <v>513252</v>
      </c>
      <c r="C681" s="147" t="s">
        <v>2045</v>
      </c>
      <c r="D681" s="146" t="s">
        <v>1530</v>
      </c>
      <c r="E681" s="147" t="s">
        <v>1600</v>
      </c>
      <c r="F681" s="147" t="s">
        <v>1600</v>
      </c>
      <c r="G681" s="146" t="s">
        <v>102</v>
      </c>
      <c r="H681" s="146" t="s">
        <v>50</v>
      </c>
      <c r="I681" s="147" t="s">
        <v>1532</v>
      </c>
      <c r="J681" s="147" t="s">
        <v>104</v>
      </c>
      <c r="K681" s="148"/>
      <c r="L681" s="149"/>
      <c r="M681" s="148"/>
    </row>
    <row r="682" spans="1:13" ht="15" customHeight="1">
      <c r="A682" s="142" t="s">
        <v>2046</v>
      </c>
      <c r="B682" s="142">
        <v>513297</v>
      </c>
      <c r="C682" s="143" t="s">
        <v>2047</v>
      </c>
      <c r="D682" s="142" t="s">
        <v>1530</v>
      </c>
      <c r="E682" s="143" t="s">
        <v>1639</v>
      </c>
      <c r="F682" s="143" t="s">
        <v>2047</v>
      </c>
      <c r="G682" s="142" t="s">
        <v>109</v>
      </c>
      <c r="H682" s="142" t="s">
        <v>50</v>
      </c>
      <c r="I682" s="143" t="s">
        <v>1532</v>
      </c>
      <c r="J682" s="143" t="s">
        <v>104</v>
      </c>
      <c r="K682" s="144"/>
      <c r="L682" s="145"/>
      <c r="M682" s="144"/>
    </row>
    <row r="683" spans="1:13" ht="15" customHeight="1">
      <c r="A683" s="146" t="s">
        <v>2048</v>
      </c>
      <c r="B683" s="146">
        <v>513339</v>
      </c>
      <c r="C683" s="147" t="s">
        <v>2049</v>
      </c>
      <c r="D683" s="146" t="s">
        <v>1530</v>
      </c>
      <c r="E683" s="147" t="s">
        <v>1546</v>
      </c>
      <c r="F683" s="147" t="s">
        <v>2050</v>
      </c>
      <c r="G683" s="146" t="s">
        <v>102</v>
      </c>
      <c r="H683" s="146" t="s">
        <v>51</v>
      </c>
      <c r="I683" s="147" t="s">
        <v>1539</v>
      </c>
      <c r="J683" s="147" t="s">
        <v>104</v>
      </c>
      <c r="K683" s="148"/>
      <c r="L683" s="149"/>
      <c r="M683" s="148"/>
    </row>
    <row r="684" spans="1:13" ht="15" customHeight="1">
      <c r="A684" s="142" t="s">
        <v>2051</v>
      </c>
      <c r="B684" s="142">
        <v>512991</v>
      </c>
      <c r="C684" s="143" t="s">
        <v>2052</v>
      </c>
      <c r="D684" s="142" t="s">
        <v>1530</v>
      </c>
      <c r="E684" s="143" t="s">
        <v>1546</v>
      </c>
      <c r="F684" s="143" t="s">
        <v>2053</v>
      </c>
      <c r="G684" s="142" t="s">
        <v>109</v>
      </c>
      <c r="H684" s="142" t="s">
        <v>51</v>
      </c>
      <c r="I684" s="143" t="s">
        <v>1539</v>
      </c>
      <c r="J684" s="143" t="s">
        <v>104</v>
      </c>
      <c r="K684" s="144"/>
      <c r="L684" s="145"/>
      <c r="M684" s="144"/>
    </row>
    <row r="685" spans="1:13" ht="15" customHeight="1">
      <c r="A685" s="146" t="s">
        <v>2054</v>
      </c>
      <c r="B685" s="146">
        <v>512919</v>
      </c>
      <c r="C685" s="147" t="s">
        <v>2055</v>
      </c>
      <c r="D685" s="146" t="s">
        <v>1530</v>
      </c>
      <c r="E685" s="147" t="s">
        <v>1546</v>
      </c>
      <c r="F685" s="147" t="s">
        <v>2056</v>
      </c>
      <c r="G685" s="146" t="s">
        <v>109</v>
      </c>
      <c r="H685" s="146" t="s">
        <v>51</v>
      </c>
      <c r="I685" s="147" t="s">
        <v>1539</v>
      </c>
      <c r="J685" s="147" t="s">
        <v>104</v>
      </c>
      <c r="K685" s="148"/>
      <c r="L685" s="149"/>
      <c r="M685" s="148"/>
    </row>
    <row r="686" spans="1:13" ht="15" customHeight="1">
      <c r="A686" s="142" t="s">
        <v>2057</v>
      </c>
      <c r="B686" s="142">
        <v>512993</v>
      </c>
      <c r="C686" s="143" t="s">
        <v>2058</v>
      </c>
      <c r="D686" s="142" t="s">
        <v>1530</v>
      </c>
      <c r="E686" s="143" t="s">
        <v>1546</v>
      </c>
      <c r="F686" s="143" t="s">
        <v>1546</v>
      </c>
      <c r="G686" s="142" t="s">
        <v>109</v>
      </c>
      <c r="H686" s="142" t="s">
        <v>51</v>
      </c>
      <c r="I686" s="143" t="s">
        <v>1539</v>
      </c>
      <c r="J686" s="143" t="s">
        <v>104</v>
      </c>
      <c r="K686" s="144"/>
      <c r="L686" s="145"/>
      <c r="M686" s="144"/>
    </row>
    <row r="687" spans="1:13" ht="15" customHeight="1">
      <c r="A687" s="146" t="s">
        <v>2059</v>
      </c>
      <c r="B687" s="146">
        <v>512967</v>
      </c>
      <c r="C687" s="147" t="s">
        <v>2060</v>
      </c>
      <c r="D687" s="146" t="s">
        <v>1530</v>
      </c>
      <c r="E687" s="147" t="s">
        <v>1582</v>
      </c>
      <c r="F687" s="147" t="s">
        <v>2061</v>
      </c>
      <c r="G687" s="146" t="s">
        <v>109</v>
      </c>
      <c r="H687" s="146" t="s">
        <v>51</v>
      </c>
      <c r="I687" s="147" t="s">
        <v>1539</v>
      </c>
      <c r="J687" s="147" t="s">
        <v>104</v>
      </c>
      <c r="K687" s="148"/>
      <c r="L687" s="149"/>
      <c r="M687" s="148"/>
    </row>
    <row r="688" spans="1:13" ht="15" customHeight="1">
      <c r="A688" s="142" t="s">
        <v>2062</v>
      </c>
      <c r="B688" s="142">
        <v>513240</v>
      </c>
      <c r="C688" s="143" t="s">
        <v>2063</v>
      </c>
      <c r="D688" s="142" t="s">
        <v>1530</v>
      </c>
      <c r="E688" s="143" t="s">
        <v>1549</v>
      </c>
      <c r="F688" s="143" t="s">
        <v>2064</v>
      </c>
      <c r="G688" s="142" t="s">
        <v>109</v>
      </c>
      <c r="H688" s="142" t="s">
        <v>50</v>
      </c>
      <c r="I688" s="143" t="s">
        <v>1532</v>
      </c>
      <c r="J688" s="143" t="s">
        <v>104</v>
      </c>
      <c r="K688" s="144"/>
      <c r="L688" s="145"/>
      <c r="M688" s="144"/>
    </row>
    <row r="689" spans="1:13" ht="15" customHeight="1">
      <c r="A689" s="146" t="s">
        <v>2065</v>
      </c>
      <c r="B689" s="146">
        <v>513150</v>
      </c>
      <c r="C689" s="147" t="s">
        <v>2066</v>
      </c>
      <c r="D689" s="146" t="s">
        <v>1530</v>
      </c>
      <c r="E689" s="147" t="s">
        <v>1710</v>
      </c>
      <c r="F689" s="147" t="s">
        <v>1710</v>
      </c>
      <c r="G689" s="146" t="s">
        <v>109</v>
      </c>
      <c r="H689" s="146" t="s">
        <v>50</v>
      </c>
      <c r="I689" s="147" t="s">
        <v>1532</v>
      </c>
      <c r="J689" s="147" t="s">
        <v>104</v>
      </c>
      <c r="K689" s="148"/>
      <c r="L689" s="149"/>
      <c r="M689" s="148"/>
    </row>
    <row r="690" spans="1:13" ht="15" customHeight="1">
      <c r="A690" s="142" t="s">
        <v>2067</v>
      </c>
      <c r="B690" s="142">
        <v>513098</v>
      </c>
      <c r="C690" s="143" t="s">
        <v>2068</v>
      </c>
      <c r="D690" s="142" t="s">
        <v>1530</v>
      </c>
      <c r="E690" s="143" t="s">
        <v>1731</v>
      </c>
      <c r="F690" s="143" t="s">
        <v>2069</v>
      </c>
      <c r="G690" s="142" t="s">
        <v>109</v>
      </c>
      <c r="H690" s="142" t="s">
        <v>50</v>
      </c>
      <c r="I690" s="143" t="s">
        <v>1532</v>
      </c>
      <c r="J690" s="143" t="s">
        <v>104</v>
      </c>
      <c r="K690" s="144"/>
      <c r="L690" s="145"/>
      <c r="M690" s="144"/>
    </row>
    <row r="691" spans="1:13" ht="15" customHeight="1">
      <c r="A691" s="146" t="s">
        <v>2070</v>
      </c>
      <c r="B691" s="146">
        <v>513099</v>
      </c>
      <c r="C691" s="147" t="s">
        <v>2071</v>
      </c>
      <c r="D691" s="146" t="s">
        <v>1530</v>
      </c>
      <c r="E691" s="147" t="s">
        <v>1731</v>
      </c>
      <c r="F691" s="147" t="s">
        <v>1731</v>
      </c>
      <c r="G691" s="146" t="s">
        <v>102</v>
      </c>
      <c r="H691" s="146" t="s">
        <v>50</v>
      </c>
      <c r="I691" s="147" t="s">
        <v>1532</v>
      </c>
      <c r="J691" s="147" t="s">
        <v>104</v>
      </c>
      <c r="K691" s="148" t="s">
        <v>162</v>
      </c>
      <c r="L691" s="149">
        <v>46142</v>
      </c>
      <c r="M691" s="148"/>
    </row>
    <row r="692" spans="1:13" ht="15" customHeight="1">
      <c r="A692" s="142" t="s">
        <v>2072</v>
      </c>
      <c r="B692" s="142">
        <v>513096</v>
      </c>
      <c r="C692" s="143" t="s">
        <v>2073</v>
      </c>
      <c r="D692" s="142" t="s">
        <v>1530</v>
      </c>
      <c r="E692" s="143" t="s">
        <v>1734</v>
      </c>
      <c r="F692" s="143" t="s">
        <v>2074</v>
      </c>
      <c r="G692" s="142" t="s">
        <v>109</v>
      </c>
      <c r="H692" s="142" t="s">
        <v>50</v>
      </c>
      <c r="I692" s="143" t="s">
        <v>1532</v>
      </c>
      <c r="J692" s="143" t="s">
        <v>104</v>
      </c>
      <c r="K692" s="144" t="s">
        <v>162</v>
      </c>
      <c r="L692" s="145">
        <v>46147</v>
      </c>
      <c r="M692" s="144" t="s">
        <v>1740</v>
      </c>
    </row>
    <row r="693" spans="1:13" ht="15" customHeight="1">
      <c r="A693" s="146" t="s">
        <v>2075</v>
      </c>
      <c r="B693" s="146">
        <v>513900</v>
      </c>
      <c r="C693" s="147" t="s">
        <v>2076</v>
      </c>
      <c r="D693" s="146" t="s">
        <v>1530</v>
      </c>
      <c r="E693" s="147" t="s">
        <v>1734</v>
      </c>
      <c r="F693" s="147" t="s">
        <v>2077</v>
      </c>
      <c r="G693" s="146" t="s">
        <v>109</v>
      </c>
      <c r="H693" s="146" t="s">
        <v>50</v>
      </c>
      <c r="I693" s="147" t="s">
        <v>1532</v>
      </c>
      <c r="J693" s="147" t="s">
        <v>104</v>
      </c>
      <c r="K693" s="148"/>
      <c r="L693" s="149"/>
      <c r="M693" s="148"/>
    </row>
    <row r="694" spans="1:13" ht="15" customHeight="1">
      <c r="A694" s="142" t="s">
        <v>2078</v>
      </c>
      <c r="B694" s="142">
        <v>513389</v>
      </c>
      <c r="C694" s="143" t="s">
        <v>2079</v>
      </c>
      <c r="D694" s="142" t="s">
        <v>1530</v>
      </c>
      <c r="E694" s="143" t="s">
        <v>1734</v>
      </c>
      <c r="F694" s="143" t="s">
        <v>2080</v>
      </c>
      <c r="G694" s="142" t="s">
        <v>109</v>
      </c>
      <c r="H694" s="142" t="s">
        <v>50</v>
      </c>
      <c r="I694" s="143" t="s">
        <v>1532</v>
      </c>
      <c r="J694" s="143" t="s">
        <v>104</v>
      </c>
      <c r="K694" s="144" t="s">
        <v>162</v>
      </c>
      <c r="L694" s="145">
        <v>46139</v>
      </c>
      <c r="M694" s="144"/>
    </row>
    <row r="695" spans="1:13" ht="15" customHeight="1">
      <c r="A695" s="146" t="s">
        <v>2081</v>
      </c>
      <c r="B695" s="146">
        <v>513901</v>
      </c>
      <c r="C695" s="147" t="s">
        <v>2082</v>
      </c>
      <c r="D695" s="146" t="s">
        <v>1530</v>
      </c>
      <c r="E695" s="147" t="s">
        <v>1734</v>
      </c>
      <c r="F695" s="147" t="s">
        <v>2083</v>
      </c>
      <c r="G695" s="146" t="s">
        <v>109</v>
      </c>
      <c r="H695" s="146" t="s">
        <v>50</v>
      </c>
      <c r="I695" s="147" t="s">
        <v>1532</v>
      </c>
      <c r="J695" s="147" t="s">
        <v>104</v>
      </c>
      <c r="K695" s="148"/>
      <c r="L695" s="149"/>
      <c r="M695" s="148"/>
    </row>
    <row r="696" spans="1:13" ht="15" customHeight="1">
      <c r="A696" s="142" t="s">
        <v>2084</v>
      </c>
      <c r="B696" s="142">
        <v>513079</v>
      </c>
      <c r="C696" s="143" t="s">
        <v>2085</v>
      </c>
      <c r="D696" s="142" t="s">
        <v>1530</v>
      </c>
      <c r="E696" s="143" t="s">
        <v>1549</v>
      </c>
      <c r="F696" s="143" t="s">
        <v>1549</v>
      </c>
      <c r="G696" s="142" t="s">
        <v>109</v>
      </c>
      <c r="H696" s="142" t="s">
        <v>50</v>
      </c>
      <c r="I696" s="143" t="s">
        <v>1532</v>
      </c>
      <c r="J696" s="143" t="s">
        <v>104</v>
      </c>
      <c r="K696" s="144"/>
      <c r="L696" s="145"/>
      <c r="M696" s="144"/>
    </row>
    <row r="697" spans="1:13" ht="15" customHeight="1">
      <c r="A697" s="146" t="s">
        <v>2086</v>
      </c>
      <c r="B697" s="146">
        <v>513869</v>
      </c>
      <c r="C697" s="147" t="s">
        <v>2087</v>
      </c>
      <c r="D697" s="146" t="s">
        <v>1530</v>
      </c>
      <c r="E697" s="147" t="s">
        <v>1542</v>
      </c>
      <c r="F697" s="147" t="s">
        <v>2088</v>
      </c>
      <c r="G697" s="146" t="s">
        <v>109</v>
      </c>
      <c r="H697" s="146" t="s">
        <v>51</v>
      </c>
      <c r="I697" s="147" t="s">
        <v>1539</v>
      </c>
      <c r="J697" s="147" t="s">
        <v>104</v>
      </c>
      <c r="K697" s="148"/>
      <c r="L697" s="149"/>
      <c r="M697" s="148"/>
    </row>
    <row r="698" spans="1:13" ht="15" customHeight="1">
      <c r="A698" s="142" t="s">
        <v>2089</v>
      </c>
      <c r="B698" s="142">
        <v>513080</v>
      </c>
      <c r="C698" s="143" t="s">
        <v>214</v>
      </c>
      <c r="D698" s="142" t="s">
        <v>1530</v>
      </c>
      <c r="E698" s="143" t="s">
        <v>1537</v>
      </c>
      <c r="F698" s="143" t="s">
        <v>1537</v>
      </c>
      <c r="G698" s="142" t="s">
        <v>102</v>
      </c>
      <c r="H698" s="142" t="s">
        <v>51</v>
      </c>
      <c r="I698" s="143" t="s">
        <v>1539</v>
      </c>
      <c r="J698" s="143" t="s">
        <v>104</v>
      </c>
      <c r="K698" s="144"/>
      <c r="L698" s="145"/>
      <c r="M698" s="144"/>
    </row>
    <row r="699" spans="1:13" ht="15" customHeight="1">
      <c r="A699" s="146" t="s">
        <v>2090</v>
      </c>
      <c r="B699" s="146">
        <v>513161</v>
      </c>
      <c r="C699" s="147" t="s">
        <v>2091</v>
      </c>
      <c r="D699" s="146" t="s">
        <v>1530</v>
      </c>
      <c r="E699" s="147" t="s">
        <v>1537</v>
      </c>
      <c r="F699" s="147" t="s">
        <v>1537</v>
      </c>
      <c r="G699" s="146" t="s">
        <v>102</v>
      </c>
      <c r="H699" s="146" t="s">
        <v>51</v>
      </c>
      <c r="I699" s="147" t="s">
        <v>1539</v>
      </c>
      <c r="J699" s="147" t="s">
        <v>104</v>
      </c>
      <c r="K699" s="148"/>
      <c r="L699" s="149"/>
      <c r="M699" s="148"/>
    </row>
    <row r="700" spans="1:13" ht="15" customHeight="1">
      <c r="A700" s="142" t="s">
        <v>2092</v>
      </c>
      <c r="B700" s="142">
        <v>513124</v>
      </c>
      <c r="C700" s="143" t="s">
        <v>2093</v>
      </c>
      <c r="D700" s="142" t="s">
        <v>1530</v>
      </c>
      <c r="E700" s="143" t="s">
        <v>1549</v>
      </c>
      <c r="F700" s="143" t="s">
        <v>2094</v>
      </c>
      <c r="G700" s="142" t="s">
        <v>109</v>
      </c>
      <c r="H700" s="142" t="s">
        <v>50</v>
      </c>
      <c r="I700" s="143" t="s">
        <v>1532</v>
      </c>
      <c r="J700" s="143" t="s">
        <v>104</v>
      </c>
      <c r="K700" s="144" t="s">
        <v>121</v>
      </c>
      <c r="L700" s="145">
        <v>46147</v>
      </c>
      <c r="M700" s="144"/>
    </row>
    <row r="701" spans="1:13" ht="15" customHeight="1">
      <c r="A701" s="146" t="s">
        <v>2095</v>
      </c>
      <c r="B701" s="146">
        <v>513322</v>
      </c>
      <c r="C701" s="147" t="s">
        <v>2096</v>
      </c>
      <c r="D701" s="146" t="s">
        <v>1530</v>
      </c>
      <c r="E701" s="147" t="s">
        <v>1549</v>
      </c>
      <c r="F701" s="147" t="s">
        <v>2097</v>
      </c>
      <c r="G701" s="146" t="s">
        <v>109</v>
      </c>
      <c r="H701" s="146" t="s">
        <v>50</v>
      </c>
      <c r="I701" s="147" t="s">
        <v>1532</v>
      </c>
      <c r="J701" s="147" t="s">
        <v>104</v>
      </c>
      <c r="K701" s="148"/>
      <c r="L701" s="149"/>
      <c r="M701" s="148"/>
    </row>
    <row r="702" spans="1:13" ht="15" customHeight="1">
      <c r="A702" s="142" t="s">
        <v>2098</v>
      </c>
      <c r="B702" s="142">
        <v>513170</v>
      </c>
      <c r="C702" s="143" t="s">
        <v>2099</v>
      </c>
      <c r="D702" s="142" t="s">
        <v>1530</v>
      </c>
      <c r="E702" s="143" t="s">
        <v>1549</v>
      </c>
      <c r="F702" s="143" t="s">
        <v>2100</v>
      </c>
      <c r="G702" s="142" t="s">
        <v>109</v>
      </c>
      <c r="H702" s="142" t="s">
        <v>50</v>
      </c>
      <c r="I702" s="143" t="s">
        <v>1532</v>
      </c>
      <c r="J702" s="143" t="s">
        <v>104</v>
      </c>
      <c r="K702" s="144"/>
      <c r="L702" s="145"/>
      <c r="M702" s="144"/>
    </row>
    <row r="703" spans="1:13" ht="15" customHeight="1">
      <c r="A703" s="146" t="s">
        <v>2101</v>
      </c>
      <c r="B703" s="146">
        <v>513147</v>
      </c>
      <c r="C703" s="147" t="s">
        <v>2102</v>
      </c>
      <c r="D703" s="146" t="s">
        <v>1530</v>
      </c>
      <c r="E703" s="147" t="s">
        <v>1549</v>
      </c>
      <c r="F703" s="147" t="s">
        <v>2103</v>
      </c>
      <c r="G703" s="146" t="s">
        <v>109</v>
      </c>
      <c r="H703" s="146" t="s">
        <v>50</v>
      </c>
      <c r="I703" s="147" t="s">
        <v>1532</v>
      </c>
      <c r="J703" s="147" t="s">
        <v>104</v>
      </c>
      <c r="K703" s="148"/>
      <c r="L703" s="149"/>
      <c r="M703" s="148"/>
    </row>
    <row r="704" spans="1:13" ht="15" customHeight="1">
      <c r="A704" s="142" t="s">
        <v>2104</v>
      </c>
      <c r="B704" s="142">
        <v>514136</v>
      </c>
      <c r="C704" s="143" t="s">
        <v>2105</v>
      </c>
      <c r="D704" s="142" t="s">
        <v>1530</v>
      </c>
      <c r="E704" s="143" t="s">
        <v>1549</v>
      </c>
      <c r="F704" s="143" t="s">
        <v>2106</v>
      </c>
      <c r="G704" s="142" t="s">
        <v>109</v>
      </c>
      <c r="H704" s="142" t="s">
        <v>50</v>
      </c>
      <c r="I704" s="143" t="s">
        <v>1532</v>
      </c>
      <c r="J704" s="143" t="s">
        <v>104</v>
      </c>
      <c r="K704" s="144"/>
      <c r="L704" s="145"/>
      <c r="M704" s="144"/>
    </row>
    <row r="705" spans="1:13" ht="15" customHeight="1">
      <c r="A705" s="146" t="s">
        <v>2107</v>
      </c>
      <c r="B705" s="146">
        <v>513031</v>
      </c>
      <c r="C705" s="147" t="s">
        <v>2108</v>
      </c>
      <c r="D705" s="146" t="s">
        <v>1530</v>
      </c>
      <c r="E705" s="147" t="s">
        <v>1531</v>
      </c>
      <c r="F705" s="147" t="s">
        <v>2109</v>
      </c>
      <c r="G705" s="146" t="s">
        <v>109</v>
      </c>
      <c r="H705" s="146" t="s">
        <v>50</v>
      </c>
      <c r="I705" s="147" t="s">
        <v>1532</v>
      </c>
      <c r="J705" s="147" t="s">
        <v>104</v>
      </c>
      <c r="K705" s="148"/>
      <c r="L705" s="149"/>
      <c r="M705" s="148"/>
    </row>
    <row r="706" spans="1:13" ht="15" customHeight="1">
      <c r="A706" s="142" t="s">
        <v>2110</v>
      </c>
      <c r="B706" s="142">
        <v>513134</v>
      </c>
      <c r="C706" s="143" t="s">
        <v>2111</v>
      </c>
      <c r="D706" s="142" t="s">
        <v>1530</v>
      </c>
      <c r="E706" s="143" t="s">
        <v>1531</v>
      </c>
      <c r="F706" s="143" t="s">
        <v>2112</v>
      </c>
      <c r="G706" s="142" t="s">
        <v>102</v>
      </c>
      <c r="H706" s="142" t="s">
        <v>50</v>
      </c>
      <c r="I706" s="143" t="s">
        <v>1532</v>
      </c>
      <c r="J706" s="143" t="s">
        <v>104</v>
      </c>
      <c r="K706" s="144" t="s">
        <v>121</v>
      </c>
      <c r="L706" s="145">
        <v>46139</v>
      </c>
      <c r="M706" s="144"/>
    </row>
    <row r="707" spans="1:13" ht="15" customHeight="1">
      <c r="A707" s="146" t="s">
        <v>2113</v>
      </c>
      <c r="B707" s="146">
        <v>513332</v>
      </c>
      <c r="C707" s="147" t="s">
        <v>2114</v>
      </c>
      <c r="D707" s="146" t="s">
        <v>1530</v>
      </c>
      <c r="E707" s="147" t="s">
        <v>1531</v>
      </c>
      <c r="F707" s="147" t="s">
        <v>2115</v>
      </c>
      <c r="G707" s="146" t="s">
        <v>109</v>
      </c>
      <c r="H707" s="146" t="s">
        <v>50</v>
      </c>
      <c r="I707" s="147" t="s">
        <v>1532</v>
      </c>
      <c r="J707" s="147" t="s">
        <v>104</v>
      </c>
      <c r="K707" s="148"/>
      <c r="L707" s="149"/>
      <c r="M707" s="148"/>
    </row>
    <row r="708" spans="1:13" ht="15" customHeight="1">
      <c r="A708" s="142" t="s">
        <v>2116</v>
      </c>
      <c r="B708" s="142">
        <v>513070</v>
      </c>
      <c r="C708" s="143" t="s">
        <v>2117</v>
      </c>
      <c r="D708" s="142" t="s">
        <v>1530</v>
      </c>
      <c r="E708" s="143" t="s">
        <v>1531</v>
      </c>
      <c r="F708" s="143" t="s">
        <v>2118</v>
      </c>
      <c r="G708" s="142" t="s">
        <v>102</v>
      </c>
      <c r="H708" s="142" t="s">
        <v>50</v>
      </c>
      <c r="I708" s="143" t="s">
        <v>1532</v>
      </c>
      <c r="J708" s="143" t="s">
        <v>104</v>
      </c>
      <c r="K708" s="144" t="s">
        <v>121</v>
      </c>
      <c r="L708" s="145">
        <v>46149</v>
      </c>
      <c r="M708" s="144"/>
    </row>
    <row r="709" spans="1:13" ht="15" customHeight="1">
      <c r="A709" s="146" t="s">
        <v>2119</v>
      </c>
      <c r="B709" s="146">
        <v>513025</v>
      </c>
      <c r="C709" s="147" t="s">
        <v>2120</v>
      </c>
      <c r="D709" s="146" t="s">
        <v>1530</v>
      </c>
      <c r="E709" s="147" t="s">
        <v>1531</v>
      </c>
      <c r="F709" s="147" t="s">
        <v>2121</v>
      </c>
      <c r="G709" s="146" t="s">
        <v>109</v>
      </c>
      <c r="H709" s="146" t="s">
        <v>50</v>
      </c>
      <c r="I709" s="147" t="s">
        <v>1532</v>
      </c>
      <c r="J709" s="147" t="s">
        <v>104</v>
      </c>
      <c r="K709" s="148" t="s">
        <v>162</v>
      </c>
      <c r="L709" s="149">
        <v>46147</v>
      </c>
      <c r="M709" s="148" t="s">
        <v>1740</v>
      </c>
    </row>
    <row r="710" spans="1:13" ht="15" customHeight="1">
      <c r="A710" s="142" t="s">
        <v>2122</v>
      </c>
      <c r="B710" s="142">
        <v>512934</v>
      </c>
      <c r="C710" s="143" t="s">
        <v>2123</v>
      </c>
      <c r="D710" s="142" t="s">
        <v>1530</v>
      </c>
      <c r="E710" s="143" t="s">
        <v>1546</v>
      </c>
      <c r="F710" s="143" t="s">
        <v>1899</v>
      </c>
      <c r="G710" s="142" t="s">
        <v>109</v>
      </c>
      <c r="H710" s="142" t="s">
        <v>51</v>
      </c>
      <c r="I710" s="143" t="s">
        <v>1539</v>
      </c>
      <c r="J710" s="143" t="s">
        <v>104</v>
      </c>
      <c r="K710" s="144"/>
      <c r="L710" s="145"/>
      <c r="M710" s="144"/>
    </row>
    <row r="711" spans="1:13" ht="15" customHeight="1">
      <c r="A711" s="146" t="s">
        <v>2124</v>
      </c>
      <c r="B711" s="146">
        <v>513049</v>
      </c>
      <c r="C711" s="147" t="s">
        <v>2125</v>
      </c>
      <c r="D711" s="146" t="s">
        <v>1530</v>
      </c>
      <c r="E711" s="147" t="s">
        <v>1558</v>
      </c>
      <c r="F711" s="147" t="s">
        <v>2126</v>
      </c>
      <c r="G711" s="146" t="s">
        <v>109</v>
      </c>
      <c r="H711" s="146" t="s">
        <v>51</v>
      </c>
      <c r="I711" s="147" t="s">
        <v>1539</v>
      </c>
      <c r="J711" s="147" t="s">
        <v>104</v>
      </c>
      <c r="K711" s="148"/>
      <c r="L711" s="149"/>
      <c r="M711" s="148"/>
    </row>
    <row r="712" spans="1:13" ht="15" customHeight="1">
      <c r="A712" s="142" t="s">
        <v>2127</v>
      </c>
      <c r="B712" s="142">
        <v>513897</v>
      </c>
      <c r="C712" s="143" t="s">
        <v>2128</v>
      </c>
      <c r="D712" s="142" t="s">
        <v>1530</v>
      </c>
      <c r="E712" s="143" t="s">
        <v>1558</v>
      </c>
      <c r="F712" s="143" t="s">
        <v>1801</v>
      </c>
      <c r="G712" s="142" t="s">
        <v>109</v>
      </c>
      <c r="H712" s="142" t="s">
        <v>51</v>
      </c>
      <c r="I712" s="143" t="s">
        <v>1539</v>
      </c>
      <c r="J712" s="143" t="s">
        <v>104</v>
      </c>
      <c r="K712" s="144"/>
      <c r="L712" s="145"/>
      <c r="M712" s="144"/>
    </row>
    <row r="713" spans="1:13" ht="15" customHeight="1">
      <c r="A713" s="146" t="s">
        <v>2129</v>
      </c>
      <c r="B713" s="146">
        <v>513091</v>
      </c>
      <c r="C713" s="147" t="s">
        <v>189</v>
      </c>
      <c r="D713" s="146" t="s">
        <v>1530</v>
      </c>
      <c r="E713" s="147" t="s">
        <v>1530</v>
      </c>
      <c r="F713" s="147" t="s">
        <v>2130</v>
      </c>
      <c r="G713" s="146" t="s">
        <v>109</v>
      </c>
      <c r="H713" s="146" t="s">
        <v>51</v>
      </c>
      <c r="I713" s="147" t="s">
        <v>1539</v>
      </c>
      <c r="J713" s="147" t="s">
        <v>104</v>
      </c>
      <c r="K713" s="148"/>
      <c r="L713" s="149"/>
      <c r="M713" s="148"/>
    </row>
    <row r="714" spans="1:13" ht="15" customHeight="1">
      <c r="A714" s="142" t="s">
        <v>2131</v>
      </c>
      <c r="B714" s="142">
        <v>512990</v>
      </c>
      <c r="C714" s="143" t="s">
        <v>1374</v>
      </c>
      <c r="D714" s="142" t="s">
        <v>1530</v>
      </c>
      <c r="E714" s="143" t="s">
        <v>2027</v>
      </c>
      <c r="F714" s="143" t="s">
        <v>2132</v>
      </c>
      <c r="G714" s="142" t="s">
        <v>109</v>
      </c>
      <c r="H714" s="142" t="s">
        <v>51</v>
      </c>
      <c r="I714" s="143" t="s">
        <v>1539</v>
      </c>
      <c r="J714" s="143" t="s">
        <v>104</v>
      </c>
      <c r="K714" s="144"/>
      <c r="L714" s="145"/>
      <c r="M714" s="144"/>
    </row>
    <row r="715" spans="1:13" ht="15" customHeight="1">
      <c r="A715" s="146" t="s">
        <v>2133</v>
      </c>
      <c r="B715" s="146">
        <v>512886</v>
      </c>
      <c r="C715" s="147" t="s">
        <v>483</v>
      </c>
      <c r="D715" s="146" t="s">
        <v>1530</v>
      </c>
      <c r="E715" s="147" t="s">
        <v>1546</v>
      </c>
      <c r="F715" s="147" t="s">
        <v>2134</v>
      </c>
      <c r="G715" s="146" t="s">
        <v>102</v>
      </c>
      <c r="H715" s="146" t="s">
        <v>51</v>
      </c>
      <c r="I715" s="147" t="s">
        <v>1539</v>
      </c>
      <c r="J715" s="147" t="s">
        <v>104</v>
      </c>
      <c r="K715" s="148"/>
      <c r="L715" s="149"/>
      <c r="M715" s="148"/>
    </row>
    <row r="716" spans="1:13" ht="15" customHeight="1">
      <c r="A716" s="142" t="s">
        <v>2135</v>
      </c>
      <c r="B716" s="142">
        <v>512910</v>
      </c>
      <c r="C716" s="143" t="s">
        <v>2136</v>
      </c>
      <c r="D716" s="142" t="s">
        <v>1530</v>
      </c>
      <c r="E716" s="143" t="s">
        <v>1546</v>
      </c>
      <c r="F716" s="143" t="s">
        <v>1546</v>
      </c>
      <c r="G716" s="142" t="s">
        <v>102</v>
      </c>
      <c r="H716" s="142" t="s">
        <v>51</v>
      </c>
      <c r="I716" s="143" t="s">
        <v>1539</v>
      </c>
      <c r="J716" s="143" t="s">
        <v>104</v>
      </c>
      <c r="K716" s="144"/>
      <c r="L716" s="145"/>
      <c r="M716" s="144"/>
    </row>
    <row r="717" spans="1:13" ht="15" customHeight="1">
      <c r="A717" s="146" t="s">
        <v>2137</v>
      </c>
      <c r="B717" s="146">
        <v>512891</v>
      </c>
      <c r="C717" s="147" t="s">
        <v>2138</v>
      </c>
      <c r="D717" s="146" t="s">
        <v>1530</v>
      </c>
      <c r="E717" s="147" t="s">
        <v>1530</v>
      </c>
      <c r="F717" s="147" t="s">
        <v>1546</v>
      </c>
      <c r="G717" s="146" t="s">
        <v>102</v>
      </c>
      <c r="H717" s="146" t="s">
        <v>51</v>
      </c>
      <c r="I717" s="147" t="s">
        <v>1539</v>
      </c>
      <c r="J717" s="147" t="s">
        <v>104</v>
      </c>
      <c r="K717" s="148"/>
      <c r="L717" s="149"/>
      <c r="M717" s="148"/>
    </row>
    <row r="718" spans="1:13" ht="15" customHeight="1">
      <c r="A718" s="142" t="s">
        <v>2139</v>
      </c>
      <c r="B718" s="142">
        <v>512942</v>
      </c>
      <c r="C718" s="143" t="s">
        <v>2140</v>
      </c>
      <c r="D718" s="142" t="s">
        <v>1530</v>
      </c>
      <c r="E718" s="143" t="s">
        <v>1546</v>
      </c>
      <c r="F718" s="143" t="s">
        <v>1546</v>
      </c>
      <c r="G718" s="142" t="s">
        <v>102</v>
      </c>
      <c r="H718" s="142" t="s">
        <v>51</v>
      </c>
      <c r="I718" s="143" t="s">
        <v>1539</v>
      </c>
      <c r="J718" s="143" t="s">
        <v>104</v>
      </c>
      <c r="K718" s="144"/>
      <c r="L718" s="145"/>
      <c r="M718" s="144"/>
    </row>
    <row r="719" spans="1:13" ht="15" customHeight="1">
      <c r="A719" s="146" t="s">
        <v>2141</v>
      </c>
      <c r="B719" s="146">
        <v>512902</v>
      </c>
      <c r="C719" s="147" t="s">
        <v>2142</v>
      </c>
      <c r="D719" s="146" t="s">
        <v>1530</v>
      </c>
      <c r="E719" s="147" t="s">
        <v>1546</v>
      </c>
      <c r="F719" s="147" t="s">
        <v>1546</v>
      </c>
      <c r="G719" s="146" t="s">
        <v>102</v>
      </c>
      <c r="H719" s="146" t="s">
        <v>51</v>
      </c>
      <c r="I719" s="147" t="s">
        <v>1539</v>
      </c>
      <c r="J719" s="147" t="s">
        <v>104</v>
      </c>
      <c r="K719" s="148"/>
      <c r="L719" s="149"/>
      <c r="M719" s="148"/>
    </row>
    <row r="720" spans="1:13" ht="15" customHeight="1">
      <c r="A720" s="142" t="s">
        <v>2143</v>
      </c>
      <c r="B720" s="142">
        <v>512885</v>
      </c>
      <c r="C720" s="143" t="s">
        <v>187</v>
      </c>
      <c r="D720" s="142" t="s">
        <v>1530</v>
      </c>
      <c r="E720" s="143" t="s">
        <v>1546</v>
      </c>
      <c r="F720" s="143" t="s">
        <v>1546</v>
      </c>
      <c r="G720" s="142" t="s">
        <v>102</v>
      </c>
      <c r="H720" s="142" t="s">
        <v>51</v>
      </c>
      <c r="I720" s="143" t="s">
        <v>1539</v>
      </c>
      <c r="J720" s="143" t="s">
        <v>104</v>
      </c>
      <c r="K720" s="144"/>
      <c r="L720" s="145"/>
      <c r="M720" s="144"/>
    </row>
    <row r="721" spans="1:13" ht="15" customHeight="1">
      <c r="A721" s="146" t="s">
        <v>2144</v>
      </c>
      <c r="B721" s="146">
        <v>512980</v>
      </c>
      <c r="C721" s="147" t="s">
        <v>2145</v>
      </c>
      <c r="D721" s="146" t="s">
        <v>1530</v>
      </c>
      <c r="E721" s="147" t="s">
        <v>1546</v>
      </c>
      <c r="F721" s="147" t="s">
        <v>1546</v>
      </c>
      <c r="G721" s="146" t="s">
        <v>109</v>
      </c>
      <c r="H721" s="146" t="s">
        <v>51</v>
      </c>
      <c r="I721" s="147" t="s">
        <v>1539</v>
      </c>
      <c r="J721" s="147" t="s">
        <v>104</v>
      </c>
      <c r="K721" s="148"/>
      <c r="L721" s="149"/>
      <c r="M721" s="148"/>
    </row>
    <row r="722" spans="1:13" ht="15" customHeight="1">
      <c r="A722" s="142" t="s">
        <v>2146</v>
      </c>
      <c r="B722" s="142">
        <v>512899</v>
      </c>
      <c r="C722" s="143" t="s">
        <v>2147</v>
      </c>
      <c r="D722" s="142" t="s">
        <v>1530</v>
      </c>
      <c r="E722" s="143" t="s">
        <v>1546</v>
      </c>
      <c r="F722" s="143" t="s">
        <v>1546</v>
      </c>
      <c r="G722" s="142" t="s">
        <v>102</v>
      </c>
      <c r="H722" s="142" t="s">
        <v>51</v>
      </c>
      <c r="I722" s="143" t="s">
        <v>1539</v>
      </c>
      <c r="J722" s="143" t="s">
        <v>104</v>
      </c>
      <c r="K722" s="144"/>
      <c r="L722" s="145"/>
      <c r="M722" s="144"/>
    </row>
    <row r="723" spans="1:13" ht="15" customHeight="1">
      <c r="A723" s="146" t="s">
        <v>2148</v>
      </c>
      <c r="B723" s="146">
        <v>513405</v>
      </c>
      <c r="C723" s="147" t="s">
        <v>2149</v>
      </c>
      <c r="D723" s="146" t="s">
        <v>1530</v>
      </c>
      <c r="E723" s="147" t="s">
        <v>1546</v>
      </c>
      <c r="F723" s="147" t="s">
        <v>1546</v>
      </c>
      <c r="G723" s="146" t="s">
        <v>102</v>
      </c>
      <c r="H723" s="146" t="s">
        <v>51</v>
      </c>
      <c r="I723" s="147" t="s">
        <v>1539</v>
      </c>
      <c r="J723" s="147" t="s">
        <v>104</v>
      </c>
      <c r="K723" s="148"/>
      <c r="L723" s="149"/>
      <c r="M723" s="148"/>
    </row>
    <row r="724" spans="1:13" ht="15" customHeight="1">
      <c r="A724" s="142" t="s">
        <v>2150</v>
      </c>
      <c r="B724" s="142">
        <v>513856</v>
      </c>
      <c r="C724" s="143" t="s">
        <v>2151</v>
      </c>
      <c r="D724" s="142" t="s">
        <v>1530</v>
      </c>
      <c r="E724" s="143" t="s">
        <v>1546</v>
      </c>
      <c r="F724" s="143" t="s">
        <v>1546</v>
      </c>
      <c r="G724" s="142" t="s">
        <v>102</v>
      </c>
      <c r="H724" s="142" t="s">
        <v>51</v>
      </c>
      <c r="I724" s="143" t="s">
        <v>1539</v>
      </c>
      <c r="J724" s="143" t="s">
        <v>104</v>
      </c>
      <c r="K724" s="144"/>
      <c r="L724" s="145"/>
      <c r="M724" s="144"/>
    </row>
    <row r="725" spans="1:13" ht="15" customHeight="1">
      <c r="A725" s="146" t="s">
        <v>2152</v>
      </c>
      <c r="B725" s="146">
        <v>512974</v>
      </c>
      <c r="C725" s="147" t="s">
        <v>2153</v>
      </c>
      <c r="D725" s="146" t="s">
        <v>1530</v>
      </c>
      <c r="E725" s="147" t="s">
        <v>1546</v>
      </c>
      <c r="F725" s="147" t="s">
        <v>1546</v>
      </c>
      <c r="G725" s="146" t="s">
        <v>102</v>
      </c>
      <c r="H725" s="146" t="s">
        <v>51</v>
      </c>
      <c r="I725" s="147" t="s">
        <v>1539</v>
      </c>
      <c r="J725" s="147" t="s">
        <v>104</v>
      </c>
      <c r="K725" s="148" t="s">
        <v>121</v>
      </c>
      <c r="L725" s="149">
        <v>46149</v>
      </c>
      <c r="M725" s="148"/>
    </row>
    <row r="726" spans="1:13" ht="15" customHeight="1">
      <c r="A726" s="142" t="s">
        <v>2154</v>
      </c>
      <c r="B726" s="142">
        <v>512894</v>
      </c>
      <c r="C726" s="143" t="s">
        <v>2155</v>
      </c>
      <c r="D726" s="142" t="s">
        <v>1530</v>
      </c>
      <c r="E726" s="143" t="s">
        <v>1546</v>
      </c>
      <c r="F726" s="143" t="s">
        <v>1546</v>
      </c>
      <c r="G726" s="142" t="s">
        <v>102</v>
      </c>
      <c r="H726" s="142" t="s">
        <v>51</v>
      </c>
      <c r="I726" s="143" t="s">
        <v>1539</v>
      </c>
      <c r="J726" s="143" t="s">
        <v>104</v>
      </c>
      <c r="K726" s="144" t="s">
        <v>162</v>
      </c>
      <c r="L726" s="145">
        <v>46149</v>
      </c>
      <c r="M726" s="144"/>
    </row>
    <row r="727" spans="1:13" ht="15" customHeight="1">
      <c r="A727" s="146" t="s">
        <v>2156</v>
      </c>
      <c r="B727" s="146">
        <v>512952</v>
      </c>
      <c r="C727" s="147" t="s">
        <v>2157</v>
      </c>
      <c r="D727" s="146" t="s">
        <v>1530</v>
      </c>
      <c r="E727" s="147" t="s">
        <v>1546</v>
      </c>
      <c r="F727" s="147" t="s">
        <v>1891</v>
      </c>
      <c r="G727" s="146" t="s">
        <v>102</v>
      </c>
      <c r="H727" s="146" t="s">
        <v>51</v>
      </c>
      <c r="I727" s="147" t="s">
        <v>1539</v>
      </c>
      <c r="J727" s="147" t="s">
        <v>104</v>
      </c>
      <c r="K727" s="148"/>
      <c r="L727" s="149"/>
      <c r="M727" s="148"/>
    </row>
    <row r="728" spans="1:13" ht="15" customHeight="1">
      <c r="A728" s="142" t="s">
        <v>2158</v>
      </c>
      <c r="B728" s="142">
        <v>513398</v>
      </c>
      <c r="C728" s="143" t="s">
        <v>2159</v>
      </c>
      <c r="D728" s="142" t="s">
        <v>1530</v>
      </c>
      <c r="E728" s="143" t="s">
        <v>1558</v>
      </c>
      <c r="F728" s="143" t="s">
        <v>2160</v>
      </c>
      <c r="G728" s="142" t="s">
        <v>109</v>
      </c>
      <c r="H728" s="142" t="s">
        <v>51</v>
      </c>
      <c r="I728" s="143" t="s">
        <v>1539</v>
      </c>
      <c r="J728" s="143" t="s">
        <v>104</v>
      </c>
      <c r="K728" s="144"/>
      <c r="L728" s="145"/>
      <c r="M728" s="144"/>
    </row>
    <row r="729" spans="1:13" ht="15" customHeight="1">
      <c r="A729" s="146" t="s">
        <v>2161</v>
      </c>
      <c r="B729" s="146">
        <v>513145</v>
      </c>
      <c r="C729" s="147" t="s">
        <v>2162</v>
      </c>
      <c r="D729" s="146" t="s">
        <v>1530</v>
      </c>
      <c r="E729" s="147" t="s">
        <v>1558</v>
      </c>
      <c r="F729" s="147" t="s">
        <v>2163</v>
      </c>
      <c r="G729" s="146" t="s">
        <v>109</v>
      </c>
      <c r="H729" s="146" t="s">
        <v>51</v>
      </c>
      <c r="I729" s="147" t="s">
        <v>1539</v>
      </c>
      <c r="J729" s="147" t="s">
        <v>104</v>
      </c>
      <c r="K729" s="148"/>
      <c r="L729" s="149"/>
      <c r="M729" s="148"/>
    </row>
    <row r="730" spans="1:13" ht="15" customHeight="1">
      <c r="A730" s="142" t="s">
        <v>2164</v>
      </c>
      <c r="B730" s="142">
        <v>513223</v>
      </c>
      <c r="C730" s="143" t="s">
        <v>2165</v>
      </c>
      <c r="D730" s="142" t="s">
        <v>1530</v>
      </c>
      <c r="E730" s="143" t="s">
        <v>1558</v>
      </c>
      <c r="F730" s="143" t="s">
        <v>1604</v>
      </c>
      <c r="G730" s="142" t="s">
        <v>109</v>
      </c>
      <c r="H730" s="142" t="s">
        <v>51</v>
      </c>
      <c r="I730" s="143" t="s">
        <v>1539</v>
      </c>
      <c r="J730" s="143" t="s">
        <v>104</v>
      </c>
      <c r="K730" s="144"/>
      <c r="L730" s="145"/>
      <c r="M730" s="144"/>
    </row>
    <row r="731" spans="1:13" ht="15" customHeight="1">
      <c r="A731" s="146" t="s">
        <v>2166</v>
      </c>
      <c r="B731" s="146">
        <v>513230</v>
      </c>
      <c r="C731" s="147" t="s">
        <v>1141</v>
      </c>
      <c r="D731" s="146" t="s">
        <v>1530</v>
      </c>
      <c r="E731" s="147" t="s">
        <v>1756</v>
      </c>
      <c r="F731" s="147" t="s">
        <v>2167</v>
      </c>
      <c r="G731" s="146" t="s">
        <v>109</v>
      </c>
      <c r="H731" s="146" t="s">
        <v>50</v>
      </c>
      <c r="I731" s="147" t="s">
        <v>1532</v>
      </c>
      <c r="J731" s="147" t="s">
        <v>104</v>
      </c>
      <c r="K731" s="148" t="s">
        <v>121</v>
      </c>
      <c r="L731" s="149">
        <v>46149</v>
      </c>
      <c r="M731" s="148"/>
    </row>
    <row r="732" spans="1:13" ht="15" customHeight="1">
      <c r="A732" s="142" t="s">
        <v>2168</v>
      </c>
      <c r="B732" s="142">
        <v>513077</v>
      </c>
      <c r="C732" s="143" t="s">
        <v>2169</v>
      </c>
      <c r="D732" s="142" t="s">
        <v>1530</v>
      </c>
      <c r="E732" s="143" t="s">
        <v>1639</v>
      </c>
      <c r="F732" s="143" t="s">
        <v>2047</v>
      </c>
      <c r="G732" s="142" t="s">
        <v>102</v>
      </c>
      <c r="H732" s="142" t="s">
        <v>50</v>
      </c>
      <c r="I732" s="143" t="s">
        <v>1532</v>
      </c>
      <c r="J732" s="143" t="s">
        <v>104</v>
      </c>
      <c r="K732" s="144"/>
      <c r="L732" s="145"/>
      <c r="M732" s="144"/>
    </row>
    <row r="733" spans="1:13" ht="15" customHeight="1">
      <c r="A733" s="146" t="s">
        <v>2170</v>
      </c>
      <c r="B733" s="146">
        <v>513412</v>
      </c>
      <c r="C733" s="147" t="s">
        <v>280</v>
      </c>
      <c r="D733" s="146" t="s">
        <v>1530</v>
      </c>
      <c r="E733" s="147" t="s">
        <v>1531</v>
      </c>
      <c r="F733" s="147" t="s">
        <v>2171</v>
      </c>
      <c r="G733" s="146" t="s">
        <v>109</v>
      </c>
      <c r="H733" s="146" t="s">
        <v>50</v>
      </c>
      <c r="I733" s="147" t="s">
        <v>1532</v>
      </c>
      <c r="J733" s="147" t="s">
        <v>104</v>
      </c>
      <c r="K733" s="148"/>
      <c r="L733" s="149"/>
      <c r="M733" s="148"/>
    </row>
    <row r="734" spans="1:13" ht="15" customHeight="1">
      <c r="A734" s="142" t="s">
        <v>2172</v>
      </c>
      <c r="B734" s="142">
        <v>513343</v>
      </c>
      <c r="C734" s="143" t="s">
        <v>2173</v>
      </c>
      <c r="D734" s="142" t="s">
        <v>1530</v>
      </c>
      <c r="E734" s="143" t="s">
        <v>1531</v>
      </c>
      <c r="F734" s="143" t="s">
        <v>2174</v>
      </c>
      <c r="G734" s="142" t="s">
        <v>109</v>
      </c>
      <c r="H734" s="142" t="s">
        <v>50</v>
      </c>
      <c r="I734" s="143" t="s">
        <v>1532</v>
      </c>
      <c r="J734" s="143" t="s">
        <v>104</v>
      </c>
      <c r="K734" s="144"/>
      <c r="L734" s="145"/>
      <c r="M734" s="144"/>
    </row>
    <row r="735" spans="1:13" ht="15" customHeight="1">
      <c r="A735" s="146" t="s">
        <v>2175</v>
      </c>
      <c r="B735" s="146">
        <v>513187</v>
      </c>
      <c r="C735" s="147" t="s">
        <v>2176</v>
      </c>
      <c r="D735" s="146" t="s">
        <v>1530</v>
      </c>
      <c r="E735" s="147" t="s">
        <v>1828</v>
      </c>
      <c r="F735" s="147" t="s">
        <v>2177</v>
      </c>
      <c r="G735" s="146" t="s">
        <v>109</v>
      </c>
      <c r="H735" s="146" t="s">
        <v>50</v>
      </c>
      <c r="I735" s="147" t="s">
        <v>1532</v>
      </c>
      <c r="J735" s="147" t="s">
        <v>104</v>
      </c>
      <c r="K735" s="148" t="s">
        <v>121</v>
      </c>
      <c r="L735" s="149">
        <v>46147</v>
      </c>
      <c r="M735" s="148"/>
    </row>
    <row r="736" spans="1:13" ht="15" customHeight="1">
      <c r="A736" s="142" t="s">
        <v>2178</v>
      </c>
      <c r="B736" s="142">
        <v>513358</v>
      </c>
      <c r="C736" s="143" t="s">
        <v>2179</v>
      </c>
      <c r="D736" s="142" t="s">
        <v>1530</v>
      </c>
      <c r="E736" s="143" t="s">
        <v>1653</v>
      </c>
      <c r="F736" s="143" t="s">
        <v>2180</v>
      </c>
      <c r="G736" s="142" t="s">
        <v>102</v>
      </c>
      <c r="H736" s="142" t="s">
        <v>50</v>
      </c>
      <c r="I736" s="143" t="s">
        <v>1532</v>
      </c>
      <c r="J736" s="143" t="s">
        <v>104</v>
      </c>
      <c r="K736" s="144" t="s">
        <v>121</v>
      </c>
      <c r="L736" s="145">
        <v>46149</v>
      </c>
      <c r="M736" s="144"/>
    </row>
    <row r="737" spans="1:13" ht="15" customHeight="1">
      <c r="A737" s="146" t="s">
        <v>2181</v>
      </c>
      <c r="B737" s="146">
        <v>513089</v>
      </c>
      <c r="C737" s="147" t="s">
        <v>2182</v>
      </c>
      <c r="D737" s="146" t="s">
        <v>1530</v>
      </c>
      <c r="E737" s="147" t="s">
        <v>1530</v>
      </c>
      <c r="F737" s="147" t="s">
        <v>2183</v>
      </c>
      <c r="G737" s="146" t="s">
        <v>102</v>
      </c>
      <c r="H737" s="146" t="s">
        <v>51</v>
      </c>
      <c r="I737" s="147" t="s">
        <v>1539</v>
      </c>
      <c r="J737" s="147" t="s">
        <v>104</v>
      </c>
      <c r="K737" s="148"/>
      <c r="L737" s="149"/>
      <c r="M737" s="148"/>
    </row>
    <row r="738" spans="1:13" ht="15" customHeight="1">
      <c r="A738" s="142" t="s">
        <v>2184</v>
      </c>
      <c r="B738" s="142">
        <v>513176</v>
      </c>
      <c r="C738" s="143" t="s">
        <v>2185</v>
      </c>
      <c r="D738" s="142" t="s">
        <v>1530</v>
      </c>
      <c r="E738" s="143" t="s">
        <v>1530</v>
      </c>
      <c r="F738" s="143" t="s">
        <v>2013</v>
      </c>
      <c r="G738" s="142" t="s">
        <v>109</v>
      </c>
      <c r="H738" s="142" t="s">
        <v>51</v>
      </c>
      <c r="I738" s="143" t="s">
        <v>1539</v>
      </c>
      <c r="J738" s="143" t="s">
        <v>104</v>
      </c>
      <c r="K738" s="144"/>
      <c r="L738" s="145"/>
      <c r="M738" s="144"/>
    </row>
    <row r="739" spans="1:13" ht="15" customHeight="1">
      <c r="A739" s="146" t="s">
        <v>2186</v>
      </c>
      <c r="B739" s="146">
        <v>513152</v>
      </c>
      <c r="C739" s="147" t="s">
        <v>2187</v>
      </c>
      <c r="D739" s="146" t="s">
        <v>1530</v>
      </c>
      <c r="E739" s="147" t="s">
        <v>1530</v>
      </c>
      <c r="F739" s="147" t="s">
        <v>2016</v>
      </c>
      <c r="G739" s="146" t="s">
        <v>102</v>
      </c>
      <c r="H739" s="146" t="s">
        <v>51</v>
      </c>
      <c r="I739" s="147" t="s">
        <v>1539</v>
      </c>
      <c r="J739" s="147" t="s">
        <v>104</v>
      </c>
      <c r="K739" s="148"/>
      <c r="L739" s="149"/>
      <c r="M739" s="148"/>
    </row>
    <row r="740" spans="1:13" ht="15" customHeight="1">
      <c r="A740" s="142" t="s">
        <v>2188</v>
      </c>
      <c r="B740" s="142">
        <v>513395</v>
      </c>
      <c r="C740" s="143" t="s">
        <v>1164</v>
      </c>
      <c r="D740" s="142" t="s">
        <v>1530</v>
      </c>
      <c r="E740" s="143" t="s">
        <v>1660</v>
      </c>
      <c r="F740" s="143" t="s">
        <v>2189</v>
      </c>
      <c r="G740" s="142" t="s">
        <v>109</v>
      </c>
      <c r="H740" s="142" t="s">
        <v>51</v>
      </c>
      <c r="I740" s="143" t="s">
        <v>1539</v>
      </c>
      <c r="J740" s="143" t="s">
        <v>104</v>
      </c>
      <c r="K740" s="144"/>
      <c r="L740" s="145"/>
      <c r="M740" s="144"/>
    </row>
    <row r="741" spans="1:13" ht="15" customHeight="1">
      <c r="A741" s="146" t="s">
        <v>2190</v>
      </c>
      <c r="B741" s="146">
        <v>513162</v>
      </c>
      <c r="C741" s="147" t="s">
        <v>120</v>
      </c>
      <c r="D741" s="146" t="s">
        <v>1530</v>
      </c>
      <c r="E741" s="147" t="s">
        <v>1537</v>
      </c>
      <c r="F741" s="147" t="s">
        <v>2191</v>
      </c>
      <c r="G741" s="146" t="s">
        <v>109</v>
      </c>
      <c r="H741" s="146" t="s">
        <v>51</v>
      </c>
      <c r="I741" s="147" t="s">
        <v>1539</v>
      </c>
      <c r="J741" s="147" t="s">
        <v>104</v>
      </c>
      <c r="K741" s="148"/>
      <c r="L741" s="149"/>
      <c r="M741" s="148"/>
    </row>
    <row r="742" spans="1:13" ht="15" customHeight="1">
      <c r="A742" s="142" t="s">
        <v>2192</v>
      </c>
      <c r="B742" s="142">
        <v>513178</v>
      </c>
      <c r="C742" s="143" t="s">
        <v>2193</v>
      </c>
      <c r="D742" s="142" t="s">
        <v>1530</v>
      </c>
      <c r="E742" s="143" t="s">
        <v>1537</v>
      </c>
      <c r="F742" s="143" t="s">
        <v>2194</v>
      </c>
      <c r="G742" s="142" t="s">
        <v>109</v>
      </c>
      <c r="H742" s="142" t="s">
        <v>51</v>
      </c>
      <c r="I742" s="143" t="s">
        <v>1539</v>
      </c>
      <c r="J742" s="143" t="s">
        <v>104</v>
      </c>
      <c r="K742" s="144"/>
      <c r="L742" s="145"/>
      <c r="M742" s="144"/>
    </row>
    <row r="743" spans="1:13" ht="15" customHeight="1">
      <c r="A743" s="146" t="s">
        <v>2195</v>
      </c>
      <c r="B743" s="146">
        <v>513057</v>
      </c>
      <c r="C743" s="147" t="s">
        <v>2196</v>
      </c>
      <c r="D743" s="146" t="s">
        <v>1530</v>
      </c>
      <c r="E743" s="147" t="s">
        <v>1537</v>
      </c>
      <c r="F743" s="147" t="s">
        <v>2197</v>
      </c>
      <c r="G743" s="146" t="s">
        <v>109</v>
      </c>
      <c r="H743" s="146" t="s">
        <v>51</v>
      </c>
      <c r="I743" s="147" t="s">
        <v>1539</v>
      </c>
      <c r="J743" s="147" t="s">
        <v>104</v>
      </c>
      <c r="K743" s="148"/>
      <c r="L743" s="149"/>
      <c r="M743" s="148"/>
    </row>
    <row r="744" spans="1:13" ht="15" customHeight="1">
      <c r="A744" s="142" t="s">
        <v>2198</v>
      </c>
      <c r="B744" s="142">
        <v>512979</v>
      </c>
      <c r="C744" s="143" t="s">
        <v>2199</v>
      </c>
      <c r="D744" s="142" t="s">
        <v>1530</v>
      </c>
      <c r="E744" s="143" t="s">
        <v>1537</v>
      </c>
      <c r="F744" s="143" t="s">
        <v>2200</v>
      </c>
      <c r="G744" s="142" t="s">
        <v>109</v>
      </c>
      <c r="H744" s="142" t="s">
        <v>51</v>
      </c>
      <c r="I744" s="143" t="s">
        <v>1539</v>
      </c>
      <c r="J744" s="143" t="s">
        <v>104</v>
      </c>
      <c r="K744" s="144"/>
      <c r="L744" s="145"/>
      <c r="M744" s="144"/>
    </row>
    <row r="745" spans="1:13" ht="15" customHeight="1">
      <c r="A745" s="146" t="s">
        <v>2201</v>
      </c>
      <c r="B745" s="146">
        <v>513061</v>
      </c>
      <c r="C745" s="147" t="s">
        <v>2202</v>
      </c>
      <c r="D745" s="146" t="s">
        <v>1530</v>
      </c>
      <c r="E745" s="147" t="s">
        <v>1537</v>
      </c>
      <c r="F745" s="147" t="s">
        <v>2019</v>
      </c>
      <c r="G745" s="146" t="s">
        <v>109</v>
      </c>
      <c r="H745" s="146" t="s">
        <v>51</v>
      </c>
      <c r="I745" s="147" t="s">
        <v>1539</v>
      </c>
      <c r="J745" s="147" t="s">
        <v>104</v>
      </c>
      <c r="K745" s="148"/>
      <c r="L745" s="149"/>
      <c r="M745" s="148"/>
    </row>
    <row r="746" spans="1:13" ht="15" customHeight="1">
      <c r="A746" s="142" t="s">
        <v>2203</v>
      </c>
      <c r="B746" s="142">
        <v>513066</v>
      </c>
      <c r="C746" s="143" t="s">
        <v>129</v>
      </c>
      <c r="D746" s="142" t="s">
        <v>1530</v>
      </c>
      <c r="E746" s="143" t="s">
        <v>1537</v>
      </c>
      <c r="F746" s="143" t="s">
        <v>1610</v>
      </c>
      <c r="G746" s="142" t="s">
        <v>109</v>
      </c>
      <c r="H746" s="142" t="s">
        <v>51</v>
      </c>
      <c r="I746" s="143" t="s">
        <v>1539</v>
      </c>
      <c r="J746" s="143" t="s">
        <v>104</v>
      </c>
      <c r="K746" s="144"/>
      <c r="L746" s="145"/>
      <c r="M746" s="144"/>
    </row>
    <row r="747" spans="1:13" ht="15" customHeight="1">
      <c r="A747" s="146" t="s">
        <v>2204</v>
      </c>
      <c r="B747" s="146">
        <v>513132</v>
      </c>
      <c r="C747" s="147" t="s">
        <v>143</v>
      </c>
      <c r="D747" s="146" t="s">
        <v>1530</v>
      </c>
      <c r="E747" s="147" t="s">
        <v>1537</v>
      </c>
      <c r="F747" s="147" t="s">
        <v>2205</v>
      </c>
      <c r="G747" s="146" t="s">
        <v>109</v>
      </c>
      <c r="H747" s="146" t="s">
        <v>51</v>
      </c>
      <c r="I747" s="147" t="s">
        <v>1539</v>
      </c>
      <c r="J747" s="147" t="s">
        <v>104</v>
      </c>
      <c r="K747" s="148"/>
      <c r="L747" s="149"/>
      <c r="M747" s="148"/>
    </row>
    <row r="748" spans="1:13" ht="15" customHeight="1">
      <c r="A748" s="142" t="s">
        <v>2206</v>
      </c>
      <c r="B748" s="142">
        <v>513039</v>
      </c>
      <c r="C748" s="143" t="s">
        <v>2207</v>
      </c>
      <c r="D748" s="142" t="s">
        <v>1530</v>
      </c>
      <c r="E748" s="143" t="s">
        <v>1537</v>
      </c>
      <c r="F748" s="143" t="s">
        <v>2208</v>
      </c>
      <c r="G748" s="142" t="s">
        <v>109</v>
      </c>
      <c r="H748" s="142" t="s">
        <v>51</v>
      </c>
      <c r="I748" s="143" t="s">
        <v>1539</v>
      </c>
      <c r="J748" s="143" t="s">
        <v>104</v>
      </c>
      <c r="K748" s="144"/>
      <c r="L748" s="145"/>
      <c r="M748" s="144"/>
    </row>
    <row r="749" spans="1:13" ht="15" customHeight="1">
      <c r="A749" s="146" t="s">
        <v>2209</v>
      </c>
      <c r="B749" s="146">
        <v>513172</v>
      </c>
      <c r="C749" s="147" t="s">
        <v>1170</v>
      </c>
      <c r="D749" s="146" t="s">
        <v>1530</v>
      </c>
      <c r="E749" s="147" t="s">
        <v>1537</v>
      </c>
      <c r="F749" s="147" t="s">
        <v>2210</v>
      </c>
      <c r="G749" s="146" t="s">
        <v>109</v>
      </c>
      <c r="H749" s="146" t="s">
        <v>51</v>
      </c>
      <c r="I749" s="147" t="s">
        <v>1539</v>
      </c>
      <c r="J749" s="147" t="s">
        <v>104</v>
      </c>
      <c r="K749" s="148"/>
      <c r="L749" s="149"/>
      <c r="M749" s="148"/>
    </row>
    <row r="750" spans="1:13" ht="15" customHeight="1">
      <c r="A750" s="142" t="s">
        <v>2211</v>
      </c>
      <c r="B750" s="142">
        <v>513056</v>
      </c>
      <c r="C750" s="143" t="s">
        <v>2212</v>
      </c>
      <c r="D750" s="142" t="s">
        <v>1530</v>
      </c>
      <c r="E750" s="143" t="s">
        <v>1537</v>
      </c>
      <c r="F750" s="143" t="s">
        <v>2043</v>
      </c>
      <c r="G750" s="142" t="s">
        <v>109</v>
      </c>
      <c r="H750" s="142" t="s">
        <v>51</v>
      </c>
      <c r="I750" s="143" t="s">
        <v>1539</v>
      </c>
      <c r="J750" s="143" t="s">
        <v>104</v>
      </c>
      <c r="K750" s="144"/>
      <c r="L750" s="145"/>
      <c r="M750" s="144"/>
    </row>
    <row r="751" spans="1:13" ht="15" customHeight="1">
      <c r="A751" s="146" t="s">
        <v>2213</v>
      </c>
      <c r="B751" s="146">
        <v>513356</v>
      </c>
      <c r="C751" s="147" t="s">
        <v>2214</v>
      </c>
      <c r="D751" s="146" t="s">
        <v>1530</v>
      </c>
      <c r="E751" s="147" t="s">
        <v>1578</v>
      </c>
      <c r="F751" s="147" t="s">
        <v>2215</v>
      </c>
      <c r="G751" s="146" t="s">
        <v>109</v>
      </c>
      <c r="H751" s="146" t="s">
        <v>50</v>
      </c>
      <c r="I751" s="147" t="s">
        <v>1532</v>
      </c>
      <c r="J751" s="147" t="s">
        <v>104</v>
      </c>
      <c r="K751" s="148" t="s">
        <v>121</v>
      </c>
      <c r="L751" s="149">
        <v>46147</v>
      </c>
      <c r="M751" s="148"/>
    </row>
    <row r="752" spans="1:13" ht="15" customHeight="1">
      <c r="A752" s="142" t="s">
        <v>2216</v>
      </c>
      <c r="B752" s="142">
        <v>512954</v>
      </c>
      <c r="C752" s="143" t="s">
        <v>2217</v>
      </c>
      <c r="D752" s="142" t="s">
        <v>1530</v>
      </c>
      <c r="E752" s="143" t="s">
        <v>1546</v>
      </c>
      <c r="F752" s="143" t="s">
        <v>1568</v>
      </c>
      <c r="G752" s="142" t="s">
        <v>109</v>
      </c>
      <c r="H752" s="142" t="s">
        <v>51</v>
      </c>
      <c r="I752" s="143" t="s">
        <v>1539</v>
      </c>
      <c r="J752" s="143" t="s">
        <v>104</v>
      </c>
      <c r="K752" s="144"/>
      <c r="L752" s="145"/>
      <c r="M752" s="144"/>
    </row>
    <row r="753" spans="1:13" ht="15" customHeight="1">
      <c r="A753" s="146" t="s">
        <v>2218</v>
      </c>
      <c r="B753" s="146">
        <v>512909</v>
      </c>
      <c r="C753" s="147" t="s">
        <v>1182</v>
      </c>
      <c r="D753" s="146" t="s">
        <v>1530</v>
      </c>
      <c r="E753" s="147" t="s">
        <v>1546</v>
      </c>
      <c r="F753" s="147" t="s">
        <v>2134</v>
      </c>
      <c r="G753" s="146" t="s">
        <v>102</v>
      </c>
      <c r="H753" s="146" t="s">
        <v>51</v>
      </c>
      <c r="I753" s="147" t="s">
        <v>1539</v>
      </c>
      <c r="J753" s="147" t="s">
        <v>104</v>
      </c>
      <c r="K753" s="148"/>
      <c r="L753" s="149"/>
      <c r="M753" s="148"/>
    </row>
    <row r="754" spans="1:13" ht="15" customHeight="1">
      <c r="A754" s="142" t="s">
        <v>2219</v>
      </c>
      <c r="B754" s="142">
        <v>512928</v>
      </c>
      <c r="C754" s="143" t="s">
        <v>2220</v>
      </c>
      <c r="D754" s="142" t="s">
        <v>1530</v>
      </c>
      <c r="E754" s="143" t="s">
        <v>1546</v>
      </c>
      <c r="F754" s="143" t="s">
        <v>2221</v>
      </c>
      <c r="G754" s="142" t="s">
        <v>109</v>
      </c>
      <c r="H754" s="142" t="s">
        <v>51</v>
      </c>
      <c r="I754" s="143" t="s">
        <v>1539</v>
      </c>
      <c r="J754" s="143" t="s">
        <v>104</v>
      </c>
      <c r="K754" s="144"/>
      <c r="L754" s="145"/>
      <c r="M754" s="144"/>
    </row>
    <row r="755" spans="1:13" ht="15" customHeight="1">
      <c r="A755" s="146" t="s">
        <v>2222</v>
      </c>
      <c r="B755" s="146">
        <v>513000</v>
      </c>
      <c r="C755" s="147" t="s">
        <v>1278</v>
      </c>
      <c r="D755" s="146" t="s">
        <v>1530</v>
      </c>
      <c r="E755" s="147" t="s">
        <v>1546</v>
      </c>
      <c r="F755" s="147" t="s">
        <v>1616</v>
      </c>
      <c r="G755" s="146" t="s">
        <v>109</v>
      </c>
      <c r="H755" s="146" t="s">
        <v>51</v>
      </c>
      <c r="I755" s="147" t="s">
        <v>1539</v>
      </c>
      <c r="J755" s="147" t="s">
        <v>104</v>
      </c>
      <c r="K755" s="148"/>
      <c r="L755" s="149"/>
      <c r="M755" s="148"/>
    </row>
    <row r="756" spans="1:13" ht="15" customHeight="1">
      <c r="A756" s="142" t="s">
        <v>2223</v>
      </c>
      <c r="B756" s="142">
        <v>512945</v>
      </c>
      <c r="C756" s="143" t="s">
        <v>2224</v>
      </c>
      <c r="D756" s="142" t="s">
        <v>1530</v>
      </c>
      <c r="E756" s="143" t="s">
        <v>1546</v>
      </c>
      <c r="F756" s="143" t="s">
        <v>1619</v>
      </c>
      <c r="G756" s="142" t="s">
        <v>109</v>
      </c>
      <c r="H756" s="142" t="s">
        <v>51</v>
      </c>
      <c r="I756" s="143" t="s">
        <v>1539</v>
      </c>
      <c r="J756" s="143" t="s">
        <v>104</v>
      </c>
      <c r="K756" s="144"/>
      <c r="L756" s="145"/>
      <c r="M756" s="144"/>
    </row>
    <row r="757" spans="1:13" ht="15" customHeight="1">
      <c r="A757" s="146" t="s">
        <v>2225</v>
      </c>
      <c r="B757" s="146">
        <v>512995</v>
      </c>
      <c r="C757" s="147" t="s">
        <v>2226</v>
      </c>
      <c r="D757" s="146" t="s">
        <v>1530</v>
      </c>
      <c r="E757" s="147" t="s">
        <v>1546</v>
      </c>
      <c r="F757" s="147" t="s">
        <v>2227</v>
      </c>
      <c r="G757" s="146" t="s">
        <v>109</v>
      </c>
      <c r="H757" s="146" t="s">
        <v>51</v>
      </c>
      <c r="I757" s="147" t="s">
        <v>1539</v>
      </c>
      <c r="J757" s="147" t="s">
        <v>104</v>
      </c>
      <c r="K757" s="148"/>
      <c r="L757" s="149"/>
      <c r="M757" s="148"/>
    </row>
    <row r="758" spans="1:13" ht="15" customHeight="1">
      <c r="A758" s="142" t="s">
        <v>2228</v>
      </c>
      <c r="B758" s="142">
        <v>512908</v>
      </c>
      <c r="C758" s="143" t="s">
        <v>2229</v>
      </c>
      <c r="D758" s="142" t="s">
        <v>1530</v>
      </c>
      <c r="E758" s="143" t="s">
        <v>1546</v>
      </c>
      <c r="F758" s="143" t="s">
        <v>1546</v>
      </c>
      <c r="G758" s="142" t="s">
        <v>102</v>
      </c>
      <c r="H758" s="142" t="s">
        <v>51</v>
      </c>
      <c r="I758" s="143" t="s">
        <v>1539</v>
      </c>
      <c r="J758" s="143" t="s">
        <v>104</v>
      </c>
      <c r="K758" s="144"/>
      <c r="L758" s="145"/>
      <c r="M758" s="144"/>
    </row>
    <row r="759" spans="1:13" ht="15" customHeight="1">
      <c r="A759" s="146" t="s">
        <v>2230</v>
      </c>
      <c r="B759" s="146">
        <v>512968</v>
      </c>
      <c r="C759" s="147" t="s">
        <v>2231</v>
      </c>
      <c r="D759" s="146" t="s">
        <v>1530</v>
      </c>
      <c r="E759" s="147" t="s">
        <v>1546</v>
      </c>
      <c r="F759" s="147" t="s">
        <v>2232</v>
      </c>
      <c r="G759" s="146" t="s">
        <v>109</v>
      </c>
      <c r="H759" s="146" t="s">
        <v>51</v>
      </c>
      <c r="I759" s="147" t="s">
        <v>1539</v>
      </c>
      <c r="J759" s="147" t="s">
        <v>104</v>
      </c>
      <c r="K759" s="148"/>
      <c r="L759" s="149"/>
      <c r="M759" s="148"/>
    </row>
    <row r="760" spans="1:13" ht="15" customHeight="1">
      <c r="A760" s="142" t="s">
        <v>2233</v>
      </c>
      <c r="B760" s="142">
        <v>513312</v>
      </c>
      <c r="C760" s="143" t="s">
        <v>2234</v>
      </c>
      <c r="D760" s="142" t="s">
        <v>1530</v>
      </c>
      <c r="E760" s="143" t="s">
        <v>1909</v>
      </c>
      <c r="F760" s="143" t="s">
        <v>2235</v>
      </c>
      <c r="G760" s="142" t="s">
        <v>109</v>
      </c>
      <c r="H760" s="142" t="s">
        <v>51</v>
      </c>
      <c r="I760" s="143" t="s">
        <v>1539</v>
      </c>
      <c r="J760" s="143" t="s">
        <v>104</v>
      </c>
      <c r="K760" s="144"/>
      <c r="L760" s="145"/>
      <c r="M760" s="144"/>
    </row>
    <row r="761" spans="1:13" ht="15" customHeight="1">
      <c r="A761" s="146" t="s">
        <v>2236</v>
      </c>
      <c r="B761" s="146">
        <v>515481</v>
      </c>
      <c r="C761" s="147" t="s">
        <v>2237</v>
      </c>
      <c r="D761" s="146" t="s">
        <v>1530</v>
      </c>
      <c r="E761" s="147" t="s">
        <v>1586</v>
      </c>
      <c r="F761" s="147" t="s">
        <v>2238</v>
      </c>
      <c r="G761" s="146" t="s">
        <v>109</v>
      </c>
      <c r="H761" s="146" t="s">
        <v>51</v>
      </c>
      <c r="I761" s="147" t="s">
        <v>1539</v>
      </c>
      <c r="J761" s="147" t="s">
        <v>104</v>
      </c>
      <c r="K761" s="148" t="s">
        <v>121</v>
      </c>
      <c r="L761" s="149">
        <v>46149</v>
      </c>
      <c r="M761" s="148"/>
    </row>
    <row r="762" spans="1:13" ht="15" customHeight="1">
      <c r="A762" s="142" t="s">
        <v>2239</v>
      </c>
      <c r="B762" s="142">
        <v>515604</v>
      </c>
      <c r="C762" s="143" t="s">
        <v>2240</v>
      </c>
      <c r="D762" s="142" t="s">
        <v>1530</v>
      </c>
      <c r="E762" s="143" t="s">
        <v>1586</v>
      </c>
      <c r="F762" s="143" t="s">
        <v>2241</v>
      </c>
      <c r="G762" s="142" t="s">
        <v>109</v>
      </c>
      <c r="H762" s="142" t="s">
        <v>51</v>
      </c>
      <c r="I762" s="143" t="s">
        <v>1539</v>
      </c>
      <c r="J762" s="143" t="s">
        <v>104</v>
      </c>
      <c r="K762" s="144" t="s">
        <v>121</v>
      </c>
      <c r="L762" s="145">
        <v>46148</v>
      </c>
      <c r="M762" s="144"/>
    </row>
    <row r="763" spans="1:13" ht="15" customHeight="1">
      <c r="A763" s="146" t="s">
        <v>2242</v>
      </c>
      <c r="B763" s="146">
        <v>513114</v>
      </c>
      <c r="C763" s="147" t="s">
        <v>2243</v>
      </c>
      <c r="D763" s="146" t="s">
        <v>1530</v>
      </c>
      <c r="E763" s="147" t="s">
        <v>1586</v>
      </c>
      <c r="F763" s="147" t="s">
        <v>2244</v>
      </c>
      <c r="G763" s="146" t="s">
        <v>109</v>
      </c>
      <c r="H763" s="146" t="s">
        <v>51</v>
      </c>
      <c r="I763" s="147" t="s">
        <v>1539</v>
      </c>
      <c r="J763" s="147" t="s">
        <v>104</v>
      </c>
      <c r="K763" s="148" t="s">
        <v>121</v>
      </c>
      <c r="L763" s="149">
        <v>46148</v>
      </c>
      <c r="M763" s="148"/>
    </row>
    <row r="764" spans="1:13" ht="15" customHeight="1">
      <c r="A764" s="142" t="s">
        <v>2245</v>
      </c>
      <c r="B764" s="142">
        <v>513368</v>
      </c>
      <c r="C764" s="143" t="s">
        <v>2246</v>
      </c>
      <c r="D764" s="142" t="s">
        <v>1530</v>
      </c>
      <c r="E764" s="143" t="s">
        <v>1586</v>
      </c>
      <c r="F764" s="143" t="s">
        <v>2247</v>
      </c>
      <c r="G764" s="142" t="s">
        <v>109</v>
      </c>
      <c r="H764" s="142" t="s">
        <v>51</v>
      </c>
      <c r="I764" s="143" t="s">
        <v>1539</v>
      </c>
      <c r="J764" s="143" t="s">
        <v>104</v>
      </c>
      <c r="K764" s="144"/>
      <c r="L764" s="145"/>
      <c r="M764" s="144"/>
    </row>
    <row r="765" spans="1:13" ht="15" customHeight="1">
      <c r="A765" s="146" t="s">
        <v>2248</v>
      </c>
      <c r="B765" s="146">
        <v>515748</v>
      </c>
      <c r="C765" s="147" t="s">
        <v>2249</v>
      </c>
      <c r="D765" s="146" t="s">
        <v>1530</v>
      </c>
      <c r="E765" s="147" t="s">
        <v>1586</v>
      </c>
      <c r="F765" s="147" t="s">
        <v>2250</v>
      </c>
      <c r="G765" s="146" t="s">
        <v>109</v>
      </c>
      <c r="H765" s="146" t="s">
        <v>51</v>
      </c>
      <c r="I765" s="147" t="s">
        <v>1539</v>
      </c>
      <c r="J765" s="147" t="s">
        <v>104</v>
      </c>
      <c r="K765" s="148" t="s">
        <v>162</v>
      </c>
      <c r="L765" s="149">
        <v>46147</v>
      </c>
      <c r="M765" s="148"/>
    </row>
    <row r="766" spans="1:13" ht="15" customHeight="1">
      <c r="A766" s="142" t="s">
        <v>2251</v>
      </c>
      <c r="B766" s="142">
        <v>513224</v>
      </c>
      <c r="C766" s="143" t="s">
        <v>1193</v>
      </c>
      <c r="D766" s="142" t="s">
        <v>1530</v>
      </c>
      <c r="E766" s="143" t="s">
        <v>1586</v>
      </c>
      <c r="F766" s="143" t="s">
        <v>2252</v>
      </c>
      <c r="G766" s="142" t="s">
        <v>109</v>
      </c>
      <c r="H766" s="142" t="s">
        <v>51</v>
      </c>
      <c r="I766" s="143" t="s">
        <v>1539</v>
      </c>
      <c r="J766" s="143" t="s">
        <v>104</v>
      </c>
      <c r="K766" s="144"/>
      <c r="L766" s="145"/>
      <c r="M766" s="144"/>
    </row>
    <row r="767" spans="1:13" ht="15" customHeight="1">
      <c r="A767" s="146" t="s">
        <v>2253</v>
      </c>
      <c r="B767" s="146">
        <v>513944</v>
      </c>
      <c r="C767" s="147" t="s">
        <v>1189</v>
      </c>
      <c r="D767" s="146" t="s">
        <v>1530</v>
      </c>
      <c r="E767" s="147" t="s">
        <v>1586</v>
      </c>
      <c r="F767" s="147" t="s">
        <v>2254</v>
      </c>
      <c r="G767" s="146" t="s">
        <v>109</v>
      </c>
      <c r="H767" s="146" t="s">
        <v>51</v>
      </c>
      <c r="I767" s="147" t="s">
        <v>1539</v>
      </c>
      <c r="J767" s="147" t="s">
        <v>104</v>
      </c>
      <c r="K767" s="148"/>
      <c r="L767" s="149"/>
      <c r="M767" s="148"/>
    </row>
    <row r="768" spans="1:13" ht="15" customHeight="1">
      <c r="A768" s="142" t="s">
        <v>2255</v>
      </c>
      <c r="B768" s="142">
        <v>512922</v>
      </c>
      <c r="C768" s="143" t="s">
        <v>2256</v>
      </c>
      <c r="D768" s="142" t="s">
        <v>1530</v>
      </c>
      <c r="E768" s="143" t="s">
        <v>1676</v>
      </c>
      <c r="F768" s="143" t="s">
        <v>2257</v>
      </c>
      <c r="G768" s="142" t="s">
        <v>109</v>
      </c>
      <c r="H768" s="142" t="s">
        <v>51</v>
      </c>
      <c r="I768" s="143" t="s">
        <v>1539</v>
      </c>
      <c r="J768" s="143" t="s">
        <v>104</v>
      </c>
      <c r="K768" s="144"/>
      <c r="L768" s="145"/>
      <c r="M768" s="144"/>
    </row>
    <row r="769" spans="1:13" ht="15" customHeight="1">
      <c r="A769" s="146" t="s">
        <v>2258</v>
      </c>
      <c r="B769" s="146">
        <v>513047</v>
      </c>
      <c r="C769" s="147" t="s">
        <v>2259</v>
      </c>
      <c r="D769" s="146" t="s">
        <v>1530</v>
      </c>
      <c r="E769" s="147" t="s">
        <v>1549</v>
      </c>
      <c r="F769" s="147" t="s">
        <v>2260</v>
      </c>
      <c r="G769" s="146" t="s">
        <v>109</v>
      </c>
      <c r="H769" s="146" t="s">
        <v>50</v>
      </c>
      <c r="I769" s="147" t="s">
        <v>1532</v>
      </c>
      <c r="J769" s="147" t="s">
        <v>104</v>
      </c>
      <c r="K769" s="148"/>
      <c r="L769" s="149"/>
      <c r="M769" s="148"/>
    </row>
    <row r="770" spans="1:13" ht="15" customHeight="1">
      <c r="A770" s="142" t="s">
        <v>2261</v>
      </c>
      <c r="B770" s="142">
        <v>513226</v>
      </c>
      <c r="C770" s="143" t="s">
        <v>2262</v>
      </c>
      <c r="D770" s="142" t="s">
        <v>1530</v>
      </c>
      <c r="E770" s="143" t="s">
        <v>1549</v>
      </c>
      <c r="F770" s="143" t="s">
        <v>2263</v>
      </c>
      <c r="G770" s="142" t="s">
        <v>109</v>
      </c>
      <c r="H770" s="142" t="s">
        <v>50</v>
      </c>
      <c r="I770" s="143" t="s">
        <v>1532</v>
      </c>
      <c r="J770" s="143" t="s">
        <v>104</v>
      </c>
      <c r="K770" s="144" t="s">
        <v>121</v>
      </c>
      <c r="L770" s="145">
        <v>46150</v>
      </c>
      <c r="M770" s="144"/>
    </row>
    <row r="771" spans="1:13" ht="15" customHeight="1">
      <c r="A771" s="146" t="s">
        <v>2264</v>
      </c>
      <c r="B771" s="146">
        <v>513181</v>
      </c>
      <c r="C771" s="147" t="s">
        <v>2265</v>
      </c>
      <c r="D771" s="146" t="s">
        <v>1530</v>
      </c>
      <c r="E771" s="147" t="s">
        <v>2027</v>
      </c>
      <c r="F771" s="147" t="s">
        <v>2266</v>
      </c>
      <c r="G771" s="146" t="s">
        <v>109</v>
      </c>
      <c r="H771" s="146" t="s">
        <v>51</v>
      </c>
      <c r="I771" s="147" t="s">
        <v>1539</v>
      </c>
      <c r="J771" s="147" t="s">
        <v>104</v>
      </c>
      <c r="K771" s="148"/>
      <c r="L771" s="149"/>
      <c r="M771" s="148"/>
    </row>
    <row r="772" spans="1:13" ht="15" customHeight="1">
      <c r="A772" s="142" t="s">
        <v>2267</v>
      </c>
      <c r="B772" s="142">
        <v>512923</v>
      </c>
      <c r="C772" s="143" t="s">
        <v>437</v>
      </c>
      <c r="D772" s="142" t="s">
        <v>1530</v>
      </c>
      <c r="E772" s="143" t="s">
        <v>2027</v>
      </c>
      <c r="F772" s="143" t="s">
        <v>2268</v>
      </c>
      <c r="G772" s="142" t="s">
        <v>109</v>
      </c>
      <c r="H772" s="142" t="s">
        <v>51</v>
      </c>
      <c r="I772" s="143" t="s">
        <v>1539</v>
      </c>
      <c r="J772" s="143" t="s">
        <v>104</v>
      </c>
      <c r="K772" s="144"/>
      <c r="L772" s="145"/>
      <c r="M772" s="144"/>
    </row>
    <row r="773" spans="1:13" ht="15" customHeight="1">
      <c r="A773" s="146" t="s">
        <v>2269</v>
      </c>
      <c r="B773" s="146">
        <v>512896</v>
      </c>
      <c r="C773" s="147" t="s">
        <v>2270</v>
      </c>
      <c r="D773" s="146" t="s">
        <v>1530</v>
      </c>
      <c r="E773" s="147" t="s">
        <v>1596</v>
      </c>
      <c r="F773" s="147" t="s">
        <v>2271</v>
      </c>
      <c r="G773" s="146" t="s">
        <v>109</v>
      </c>
      <c r="H773" s="146" t="s">
        <v>50</v>
      </c>
      <c r="I773" s="147" t="s">
        <v>1532</v>
      </c>
      <c r="J773" s="147" t="s">
        <v>104</v>
      </c>
      <c r="K773" s="148"/>
      <c r="L773" s="149"/>
      <c r="M773" s="148"/>
    </row>
    <row r="774" spans="1:13" ht="15" customHeight="1">
      <c r="A774" s="142" t="s">
        <v>2272</v>
      </c>
      <c r="B774" s="142">
        <v>513183</v>
      </c>
      <c r="C774" s="143" t="s">
        <v>2273</v>
      </c>
      <c r="D774" s="142" t="s">
        <v>1530</v>
      </c>
      <c r="E774" s="143" t="s">
        <v>1596</v>
      </c>
      <c r="F774" s="143" t="s">
        <v>2274</v>
      </c>
      <c r="G774" s="142" t="s">
        <v>109</v>
      </c>
      <c r="H774" s="142" t="s">
        <v>50</v>
      </c>
      <c r="I774" s="143" t="s">
        <v>1532</v>
      </c>
      <c r="J774" s="143" t="s">
        <v>104</v>
      </c>
      <c r="K774" s="144"/>
      <c r="L774" s="145"/>
      <c r="M774" s="144"/>
    </row>
    <row r="775" spans="1:13" ht="15" customHeight="1">
      <c r="A775" s="146" t="s">
        <v>2275</v>
      </c>
      <c r="B775" s="146">
        <v>513184</v>
      </c>
      <c r="C775" s="147" t="s">
        <v>2276</v>
      </c>
      <c r="D775" s="146" t="s">
        <v>1530</v>
      </c>
      <c r="E775" s="147" t="s">
        <v>1596</v>
      </c>
      <c r="F775" s="147" t="s">
        <v>403</v>
      </c>
      <c r="G775" s="146" t="s">
        <v>109</v>
      </c>
      <c r="H775" s="146" t="s">
        <v>50</v>
      </c>
      <c r="I775" s="147" t="s">
        <v>1532</v>
      </c>
      <c r="J775" s="147" t="s">
        <v>104</v>
      </c>
      <c r="K775" s="148"/>
      <c r="L775" s="149"/>
      <c r="M775" s="148"/>
    </row>
    <row r="776" spans="1:13" ht="15" customHeight="1">
      <c r="A776" s="142" t="s">
        <v>2277</v>
      </c>
      <c r="B776" s="142">
        <v>513058</v>
      </c>
      <c r="C776" s="143" t="s">
        <v>2278</v>
      </c>
      <c r="D776" s="142" t="s">
        <v>1530</v>
      </c>
      <c r="E776" s="143" t="s">
        <v>1707</v>
      </c>
      <c r="F776" s="143" t="s">
        <v>2279</v>
      </c>
      <c r="G776" s="142" t="s">
        <v>109</v>
      </c>
      <c r="H776" s="142" t="s">
        <v>50</v>
      </c>
      <c r="I776" s="143" t="s">
        <v>1532</v>
      </c>
      <c r="J776" s="143" t="s">
        <v>104</v>
      </c>
      <c r="K776" s="144"/>
      <c r="L776" s="145"/>
      <c r="M776" s="144"/>
    </row>
    <row r="777" spans="1:13" ht="15" customHeight="1">
      <c r="A777" s="146" t="s">
        <v>2280</v>
      </c>
      <c r="B777" s="146">
        <v>514185</v>
      </c>
      <c r="C777" s="147" t="s">
        <v>2281</v>
      </c>
      <c r="D777" s="146" t="s">
        <v>1530</v>
      </c>
      <c r="E777" s="147" t="s">
        <v>1719</v>
      </c>
      <c r="F777" s="147" t="s">
        <v>2282</v>
      </c>
      <c r="G777" s="146" t="s">
        <v>109</v>
      </c>
      <c r="H777" s="146" t="s">
        <v>50</v>
      </c>
      <c r="I777" s="147" t="s">
        <v>1532</v>
      </c>
      <c r="J777" s="147" t="s">
        <v>104</v>
      </c>
      <c r="K777" s="148" t="s">
        <v>121</v>
      </c>
      <c r="L777" s="149">
        <v>46150</v>
      </c>
      <c r="M777" s="148"/>
    </row>
    <row r="778" spans="1:13" ht="15" customHeight="1">
      <c r="A778" s="142" t="s">
        <v>2283</v>
      </c>
      <c r="B778" s="142">
        <v>512937</v>
      </c>
      <c r="C778" s="143" t="s">
        <v>2284</v>
      </c>
      <c r="D778" s="142" t="s">
        <v>1530</v>
      </c>
      <c r="E778" s="143" t="s">
        <v>1542</v>
      </c>
      <c r="F778" s="143" t="s">
        <v>2285</v>
      </c>
      <c r="G778" s="142" t="s">
        <v>109</v>
      </c>
      <c r="H778" s="142" t="s">
        <v>51</v>
      </c>
      <c r="I778" s="143" t="s">
        <v>1539</v>
      </c>
      <c r="J778" s="143" t="s">
        <v>104</v>
      </c>
      <c r="K778" s="144"/>
      <c r="L778" s="145"/>
      <c r="M778" s="144"/>
    </row>
    <row r="779" spans="1:13" ht="15" customHeight="1">
      <c r="A779" s="146" t="s">
        <v>2286</v>
      </c>
      <c r="B779" s="146">
        <v>512997</v>
      </c>
      <c r="C779" s="147" t="s">
        <v>2287</v>
      </c>
      <c r="D779" s="146" t="s">
        <v>1530</v>
      </c>
      <c r="E779" s="147" t="s">
        <v>1542</v>
      </c>
      <c r="F779" s="147" t="s">
        <v>2288</v>
      </c>
      <c r="G779" s="146" t="s">
        <v>109</v>
      </c>
      <c r="H779" s="146" t="s">
        <v>51</v>
      </c>
      <c r="I779" s="147" t="s">
        <v>1539</v>
      </c>
      <c r="J779" s="147" t="s">
        <v>104</v>
      </c>
      <c r="K779" s="148"/>
      <c r="L779" s="149"/>
      <c r="M779" s="148"/>
    </row>
    <row r="780" spans="1:13" ht="15" customHeight="1">
      <c r="A780" s="142" t="s">
        <v>2289</v>
      </c>
      <c r="B780" s="142">
        <v>513362</v>
      </c>
      <c r="C780" s="143" t="s">
        <v>2290</v>
      </c>
      <c r="D780" s="142" t="s">
        <v>1530</v>
      </c>
      <c r="E780" s="143" t="s">
        <v>1966</v>
      </c>
      <c r="F780" s="143" t="s">
        <v>2291</v>
      </c>
      <c r="G780" s="142" t="s">
        <v>109</v>
      </c>
      <c r="H780" s="142" t="s">
        <v>50</v>
      </c>
      <c r="I780" s="143" t="s">
        <v>1532</v>
      </c>
      <c r="J780" s="143" t="s">
        <v>104</v>
      </c>
      <c r="K780" s="144" t="s">
        <v>162</v>
      </c>
      <c r="L780" s="145">
        <v>46142</v>
      </c>
      <c r="M780" s="144"/>
    </row>
    <row r="781" spans="1:13" ht="15" customHeight="1">
      <c r="A781" s="146" t="s">
        <v>2292</v>
      </c>
      <c r="B781" s="146">
        <v>513364</v>
      </c>
      <c r="C781" s="147" t="s">
        <v>2293</v>
      </c>
      <c r="D781" s="146" t="s">
        <v>1530</v>
      </c>
      <c r="E781" s="147" t="s">
        <v>1966</v>
      </c>
      <c r="F781" s="147" t="s">
        <v>1967</v>
      </c>
      <c r="G781" s="146" t="s">
        <v>109</v>
      </c>
      <c r="H781" s="146" t="s">
        <v>50</v>
      </c>
      <c r="I781" s="147" t="s">
        <v>1532</v>
      </c>
      <c r="J781" s="147" t="s">
        <v>104</v>
      </c>
      <c r="K781" s="148" t="s">
        <v>162</v>
      </c>
      <c r="L781" s="149">
        <v>46140</v>
      </c>
      <c r="M781" s="148" t="s">
        <v>1736</v>
      </c>
    </row>
    <row r="782" spans="1:13" ht="15" customHeight="1">
      <c r="A782" s="142" t="s">
        <v>2294</v>
      </c>
      <c r="B782" s="142">
        <v>515588</v>
      </c>
      <c r="C782" s="143" t="s">
        <v>2295</v>
      </c>
      <c r="D782" s="142" t="s">
        <v>1530</v>
      </c>
      <c r="E782" s="143" t="s">
        <v>1731</v>
      </c>
      <c r="F782" s="143" t="s">
        <v>1730</v>
      </c>
      <c r="G782" s="142" t="s">
        <v>109</v>
      </c>
      <c r="H782" s="142" t="s">
        <v>50</v>
      </c>
      <c r="I782" s="143" t="s">
        <v>1532</v>
      </c>
      <c r="J782" s="143" t="s">
        <v>104</v>
      </c>
      <c r="K782" s="144" t="s">
        <v>121</v>
      </c>
      <c r="L782" s="145">
        <v>46140</v>
      </c>
      <c r="M782" s="144"/>
    </row>
    <row r="783" spans="1:13" ht="15" customHeight="1">
      <c r="A783" s="146" t="s">
        <v>2296</v>
      </c>
      <c r="B783" s="146">
        <v>513119</v>
      </c>
      <c r="C783" s="147" t="s">
        <v>2297</v>
      </c>
      <c r="D783" s="146" t="s">
        <v>1530</v>
      </c>
      <c r="E783" s="147" t="s">
        <v>1734</v>
      </c>
      <c r="F783" s="147" t="s">
        <v>2298</v>
      </c>
      <c r="G783" s="146" t="s">
        <v>109</v>
      </c>
      <c r="H783" s="146" t="s">
        <v>50</v>
      </c>
      <c r="I783" s="147" t="s">
        <v>1532</v>
      </c>
      <c r="J783" s="147" t="s">
        <v>104</v>
      </c>
      <c r="K783" s="148" t="s">
        <v>121</v>
      </c>
      <c r="L783" s="149">
        <v>46140</v>
      </c>
      <c r="M783" s="148"/>
    </row>
    <row r="784" spans="1:13" ht="15" customHeight="1">
      <c r="A784" s="142" t="s">
        <v>2299</v>
      </c>
      <c r="B784" s="142">
        <v>513048</v>
      </c>
      <c r="C784" s="143" t="s">
        <v>2300</v>
      </c>
      <c r="D784" s="142" t="s">
        <v>1530</v>
      </c>
      <c r="E784" s="143" t="s">
        <v>1734</v>
      </c>
      <c r="F784" s="143" t="s">
        <v>2301</v>
      </c>
      <c r="G784" s="142" t="s">
        <v>109</v>
      </c>
      <c r="H784" s="142" t="s">
        <v>50</v>
      </c>
      <c r="I784" s="143" t="s">
        <v>1532</v>
      </c>
      <c r="J784" s="143" t="s">
        <v>104</v>
      </c>
      <c r="K784" s="144" t="s">
        <v>121</v>
      </c>
      <c r="L784" s="145">
        <v>46148</v>
      </c>
      <c r="M784" s="144"/>
    </row>
    <row r="785" spans="1:13" ht="15" customHeight="1">
      <c r="A785" s="146" t="s">
        <v>2302</v>
      </c>
      <c r="B785" s="146">
        <v>513325</v>
      </c>
      <c r="C785" s="147" t="s">
        <v>2303</v>
      </c>
      <c r="D785" s="146" t="s">
        <v>1530</v>
      </c>
      <c r="E785" s="147" t="s">
        <v>1734</v>
      </c>
      <c r="F785" s="147" t="s">
        <v>2304</v>
      </c>
      <c r="G785" s="146" t="s">
        <v>109</v>
      </c>
      <c r="H785" s="146" t="s">
        <v>50</v>
      </c>
      <c r="I785" s="147" t="s">
        <v>1532</v>
      </c>
      <c r="J785" s="147" t="s">
        <v>104</v>
      </c>
      <c r="K785" s="148"/>
      <c r="L785" s="149"/>
      <c r="M785" s="148"/>
    </row>
    <row r="786" spans="1:13" ht="15" customHeight="1">
      <c r="A786" s="142" t="s">
        <v>2305</v>
      </c>
      <c r="B786" s="142">
        <v>513042</v>
      </c>
      <c r="C786" s="143" t="s">
        <v>2306</v>
      </c>
      <c r="D786" s="142" t="s">
        <v>1530</v>
      </c>
      <c r="E786" s="143" t="s">
        <v>1734</v>
      </c>
      <c r="F786" s="143" t="s">
        <v>2307</v>
      </c>
      <c r="G786" s="142" t="s">
        <v>109</v>
      </c>
      <c r="H786" s="142" t="s">
        <v>50</v>
      </c>
      <c r="I786" s="143" t="s">
        <v>1532</v>
      </c>
      <c r="J786" s="143" t="s">
        <v>104</v>
      </c>
      <c r="K786" s="144" t="s">
        <v>121</v>
      </c>
      <c r="L786" s="145">
        <v>46149</v>
      </c>
      <c r="M786" s="144"/>
    </row>
    <row r="787" spans="1:13" ht="15" customHeight="1">
      <c r="A787" s="146" t="s">
        <v>2308</v>
      </c>
      <c r="B787" s="146">
        <v>513304</v>
      </c>
      <c r="C787" s="147" t="s">
        <v>2309</v>
      </c>
      <c r="D787" s="146" t="s">
        <v>1530</v>
      </c>
      <c r="E787" s="147" t="s">
        <v>1734</v>
      </c>
      <c r="F787" s="147" t="s">
        <v>2310</v>
      </c>
      <c r="G787" s="146" t="s">
        <v>109</v>
      </c>
      <c r="H787" s="146" t="s">
        <v>50</v>
      </c>
      <c r="I787" s="147" t="s">
        <v>1532</v>
      </c>
      <c r="J787" s="147" t="s">
        <v>104</v>
      </c>
      <c r="K787" s="148" t="s">
        <v>121</v>
      </c>
      <c r="L787" s="149">
        <v>46140</v>
      </c>
      <c r="M787" s="148"/>
    </row>
    <row r="788" spans="1:13" ht="15" customHeight="1">
      <c r="A788" s="142" t="s">
        <v>2311</v>
      </c>
      <c r="B788" s="142">
        <v>513043</v>
      </c>
      <c r="C788" s="143" t="s">
        <v>2312</v>
      </c>
      <c r="D788" s="142" t="s">
        <v>1530</v>
      </c>
      <c r="E788" s="143" t="s">
        <v>1734</v>
      </c>
      <c r="F788" s="143" t="s">
        <v>1973</v>
      </c>
      <c r="G788" s="142" t="s">
        <v>109</v>
      </c>
      <c r="H788" s="142" t="s">
        <v>50</v>
      </c>
      <c r="I788" s="143" t="s">
        <v>1532</v>
      </c>
      <c r="J788" s="143" t="s">
        <v>104</v>
      </c>
      <c r="K788" s="144" t="s">
        <v>121</v>
      </c>
      <c r="L788" s="145">
        <v>46148</v>
      </c>
      <c r="M788" s="144"/>
    </row>
    <row r="789" spans="1:13" ht="15" customHeight="1">
      <c r="A789" s="146" t="s">
        <v>2313</v>
      </c>
      <c r="B789" s="146">
        <v>513126</v>
      </c>
      <c r="C789" s="147" t="s">
        <v>2314</v>
      </c>
      <c r="D789" s="146" t="s">
        <v>1530</v>
      </c>
      <c r="E789" s="147" t="s">
        <v>1734</v>
      </c>
      <c r="F789" s="147" t="s">
        <v>2315</v>
      </c>
      <c r="G789" s="146" t="s">
        <v>109</v>
      </c>
      <c r="H789" s="146" t="s">
        <v>50</v>
      </c>
      <c r="I789" s="147" t="s">
        <v>1532</v>
      </c>
      <c r="J789" s="147" t="s">
        <v>104</v>
      </c>
      <c r="K789" s="148" t="s">
        <v>121</v>
      </c>
      <c r="L789" s="149">
        <v>46150</v>
      </c>
      <c r="M789" s="148"/>
    </row>
    <row r="790" spans="1:13" ht="15" customHeight="1">
      <c r="A790" s="142" t="s">
        <v>2316</v>
      </c>
      <c r="B790" s="142">
        <v>513044</v>
      </c>
      <c r="C790" s="143" t="s">
        <v>2317</v>
      </c>
      <c r="D790" s="142" t="s">
        <v>1530</v>
      </c>
      <c r="E790" s="143" t="s">
        <v>1734</v>
      </c>
      <c r="F790" s="143" t="s">
        <v>2318</v>
      </c>
      <c r="G790" s="142" t="s">
        <v>109</v>
      </c>
      <c r="H790" s="142" t="s">
        <v>50</v>
      </c>
      <c r="I790" s="143" t="s">
        <v>1532</v>
      </c>
      <c r="J790" s="143" t="s">
        <v>104</v>
      </c>
      <c r="K790" s="144" t="s">
        <v>121</v>
      </c>
      <c r="L790" s="145">
        <v>46150</v>
      </c>
      <c r="M790" s="144"/>
    </row>
    <row r="791" spans="1:13" ht="15" customHeight="1">
      <c r="A791" s="146" t="s">
        <v>2319</v>
      </c>
      <c r="B791" s="146">
        <v>513102</v>
      </c>
      <c r="C791" s="147" t="s">
        <v>2320</v>
      </c>
      <c r="D791" s="146" t="s">
        <v>1530</v>
      </c>
      <c r="E791" s="147" t="s">
        <v>1979</v>
      </c>
      <c r="F791" s="147" t="s">
        <v>2321</v>
      </c>
      <c r="G791" s="146" t="s">
        <v>109</v>
      </c>
      <c r="H791" s="146" t="s">
        <v>50</v>
      </c>
      <c r="I791" s="147" t="s">
        <v>1532</v>
      </c>
      <c r="J791" s="147" t="s">
        <v>104</v>
      </c>
      <c r="K791" s="148" t="s">
        <v>121</v>
      </c>
      <c r="L791" s="149">
        <v>46149</v>
      </c>
      <c r="M791" s="148"/>
    </row>
    <row r="792" spans="1:13" ht="15" customHeight="1">
      <c r="A792" s="142" t="s">
        <v>2322</v>
      </c>
      <c r="B792" s="142">
        <v>513101</v>
      </c>
      <c r="C792" s="143" t="s">
        <v>2323</v>
      </c>
      <c r="D792" s="142" t="s">
        <v>1530</v>
      </c>
      <c r="E792" s="143" t="s">
        <v>1979</v>
      </c>
      <c r="F792" s="143" t="s">
        <v>2324</v>
      </c>
      <c r="G792" s="142" t="s">
        <v>109</v>
      </c>
      <c r="H792" s="142" t="s">
        <v>50</v>
      </c>
      <c r="I792" s="143" t="s">
        <v>1532</v>
      </c>
      <c r="J792" s="143" t="s">
        <v>104</v>
      </c>
      <c r="K792" s="144"/>
      <c r="L792" s="145"/>
      <c r="M792" s="144"/>
    </row>
    <row r="793" spans="1:13" ht="15" customHeight="1">
      <c r="A793" s="146" t="s">
        <v>2325</v>
      </c>
      <c r="B793" s="146">
        <v>513314</v>
      </c>
      <c r="C793" s="147" t="s">
        <v>2326</v>
      </c>
      <c r="D793" s="146" t="s">
        <v>1530</v>
      </c>
      <c r="E793" s="147" t="s">
        <v>1628</v>
      </c>
      <c r="F793" s="147" t="s">
        <v>461</v>
      </c>
      <c r="G793" s="146" t="s">
        <v>109</v>
      </c>
      <c r="H793" s="146" t="s">
        <v>50</v>
      </c>
      <c r="I793" s="147" t="s">
        <v>1532</v>
      </c>
      <c r="J793" s="147" t="s">
        <v>104</v>
      </c>
      <c r="K793" s="148" t="s">
        <v>121</v>
      </c>
      <c r="L793" s="149">
        <v>46141</v>
      </c>
      <c r="M793" s="148"/>
    </row>
    <row r="794" spans="1:13" ht="15" customHeight="1">
      <c r="A794" s="142" t="s">
        <v>2327</v>
      </c>
      <c r="B794" s="142">
        <v>513140</v>
      </c>
      <c r="C794" s="143" t="s">
        <v>2328</v>
      </c>
      <c r="D794" s="142" t="s">
        <v>1530</v>
      </c>
      <c r="E794" s="143" t="s">
        <v>1756</v>
      </c>
      <c r="F794" s="143" t="s">
        <v>1756</v>
      </c>
      <c r="G794" s="142" t="s">
        <v>109</v>
      </c>
      <c r="H794" s="142" t="s">
        <v>50</v>
      </c>
      <c r="I794" s="143" t="s">
        <v>1532</v>
      </c>
      <c r="J794" s="143" t="s">
        <v>104</v>
      </c>
      <c r="K794" s="144" t="s">
        <v>162</v>
      </c>
      <c r="L794" s="145">
        <v>46148</v>
      </c>
      <c r="M794" s="144" t="s">
        <v>1740</v>
      </c>
    </row>
    <row r="795" spans="1:13" ht="15" customHeight="1">
      <c r="A795" s="146" t="s">
        <v>2329</v>
      </c>
      <c r="B795" s="146">
        <v>513337</v>
      </c>
      <c r="C795" s="147" t="s">
        <v>2330</v>
      </c>
      <c r="D795" s="146" t="s">
        <v>1530</v>
      </c>
      <c r="E795" s="147" t="s">
        <v>1607</v>
      </c>
      <c r="F795" s="147" t="s">
        <v>2331</v>
      </c>
      <c r="G795" s="146" t="s">
        <v>109</v>
      </c>
      <c r="H795" s="146" t="s">
        <v>50</v>
      </c>
      <c r="I795" s="147" t="s">
        <v>1532</v>
      </c>
      <c r="J795" s="147" t="s">
        <v>104</v>
      </c>
      <c r="K795" s="148" t="s">
        <v>121</v>
      </c>
      <c r="L795" s="149">
        <v>46150</v>
      </c>
      <c r="M795" s="148"/>
    </row>
    <row r="796" spans="1:13" ht="15" customHeight="1">
      <c r="A796" s="142" t="s">
        <v>2332</v>
      </c>
      <c r="B796" s="142">
        <v>513208</v>
      </c>
      <c r="C796" s="143" t="s">
        <v>2333</v>
      </c>
      <c r="D796" s="142" t="s">
        <v>1530</v>
      </c>
      <c r="E796" s="143" t="s">
        <v>1582</v>
      </c>
      <c r="F796" s="143" t="s">
        <v>1565</v>
      </c>
      <c r="G796" s="142" t="s">
        <v>109</v>
      </c>
      <c r="H796" s="142" t="s">
        <v>51</v>
      </c>
      <c r="I796" s="143" t="s">
        <v>1539</v>
      </c>
      <c r="J796" s="143" t="s">
        <v>104</v>
      </c>
      <c r="K796" s="144" t="s">
        <v>162</v>
      </c>
      <c r="L796" s="145">
        <v>46150</v>
      </c>
      <c r="M796" s="144"/>
    </row>
    <row r="797" spans="1:13" ht="15" customHeight="1">
      <c r="A797" s="146" t="s">
        <v>2334</v>
      </c>
      <c r="B797" s="146">
        <v>513135</v>
      </c>
      <c r="C797" s="147" t="s">
        <v>2335</v>
      </c>
      <c r="D797" s="146" t="s">
        <v>1530</v>
      </c>
      <c r="E797" s="147" t="s">
        <v>1531</v>
      </c>
      <c r="F797" s="147" t="s">
        <v>2336</v>
      </c>
      <c r="G797" s="146" t="s">
        <v>109</v>
      </c>
      <c r="H797" s="146" t="s">
        <v>50</v>
      </c>
      <c r="I797" s="147" t="s">
        <v>1532</v>
      </c>
      <c r="J797" s="147" t="s">
        <v>104</v>
      </c>
      <c r="K797" s="148"/>
      <c r="L797" s="149"/>
      <c r="M797" s="148"/>
    </row>
    <row r="798" spans="1:13" ht="15" customHeight="1">
      <c r="A798" s="142" t="s">
        <v>2337</v>
      </c>
      <c r="B798" s="142">
        <v>513993</v>
      </c>
      <c r="C798" s="143" t="s">
        <v>2338</v>
      </c>
      <c r="D798" s="142" t="s">
        <v>1530</v>
      </c>
      <c r="E798" s="143" t="s">
        <v>1531</v>
      </c>
      <c r="F798" s="143" t="s">
        <v>1575</v>
      </c>
      <c r="G798" s="142" t="s">
        <v>109</v>
      </c>
      <c r="H798" s="142" t="s">
        <v>50</v>
      </c>
      <c r="I798" s="143" t="s">
        <v>1532</v>
      </c>
      <c r="J798" s="143" t="s">
        <v>104</v>
      </c>
      <c r="K798" s="144"/>
      <c r="L798" s="145"/>
      <c r="M798" s="144"/>
    </row>
    <row r="799" spans="1:13" ht="15" customHeight="1">
      <c r="A799" s="146" t="s">
        <v>2339</v>
      </c>
      <c r="B799" s="146">
        <v>517589</v>
      </c>
      <c r="C799" s="147" t="s">
        <v>2340</v>
      </c>
      <c r="D799" s="146" t="s">
        <v>1530</v>
      </c>
      <c r="E799" s="147" t="s">
        <v>2341</v>
      </c>
      <c r="F799" s="147" t="s">
        <v>2342</v>
      </c>
      <c r="G799" s="146" t="s">
        <v>109</v>
      </c>
      <c r="H799" s="146" t="s">
        <v>50</v>
      </c>
      <c r="I799" s="147" t="s">
        <v>1532</v>
      </c>
      <c r="J799" s="147" t="s">
        <v>104</v>
      </c>
      <c r="K799" s="148" t="s">
        <v>121</v>
      </c>
      <c r="L799" s="149">
        <v>46142</v>
      </c>
      <c r="M799" s="148"/>
    </row>
    <row r="800" spans="1:13" ht="15" customHeight="1">
      <c r="A800" s="142" t="s">
        <v>2343</v>
      </c>
      <c r="B800" s="142">
        <v>513148</v>
      </c>
      <c r="C800" s="143" t="s">
        <v>2344</v>
      </c>
      <c r="D800" s="142" t="s">
        <v>1530</v>
      </c>
      <c r="E800" s="143" t="s">
        <v>1653</v>
      </c>
      <c r="F800" s="143" t="s">
        <v>2345</v>
      </c>
      <c r="G800" s="142" t="s">
        <v>109</v>
      </c>
      <c r="H800" s="142" t="s">
        <v>50</v>
      </c>
      <c r="I800" s="143" t="s">
        <v>1532</v>
      </c>
      <c r="J800" s="143" t="s">
        <v>104</v>
      </c>
      <c r="K800" s="144" t="s">
        <v>121</v>
      </c>
      <c r="L800" s="145">
        <v>46150</v>
      </c>
      <c r="M800" s="144"/>
    </row>
    <row r="801" spans="1:13" ht="15" customHeight="1">
      <c r="A801" s="146" t="s">
        <v>2346</v>
      </c>
      <c r="B801" s="146">
        <v>514111</v>
      </c>
      <c r="C801" s="147" t="s">
        <v>2347</v>
      </c>
      <c r="D801" s="146" t="s">
        <v>1530</v>
      </c>
      <c r="E801" s="147" t="s">
        <v>1653</v>
      </c>
      <c r="F801" s="147" t="s">
        <v>2348</v>
      </c>
      <c r="G801" s="146" t="s">
        <v>109</v>
      </c>
      <c r="H801" s="146" t="s">
        <v>50</v>
      </c>
      <c r="I801" s="147" t="s">
        <v>1532</v>
      </c>
      <c r="J801" s="147" t="s">
        <v>104</v>
      </c>
      <c r="K801" s="148" t="s">
        <v>162</v>
      </c>
      <c r="L801" s="149">
        <v>46150</v>
      </c>
      <c r="M801" s="148" t="s">
        <v>1740</v>
      </c>
    </row>
    <row r="802" spans="1:13" ht="15" customHeight="1">
      <c r="A802" s="142" t="s">
        <v>2349</v>
      </c>
      <c r="B802" s="142">
        <v>513233</v>
      </c>
      <c r="C802" s="143" t="s">
        <v>2350</v>
      </c>
      <c r="D802" s="142" t="s">
        <v>1530</v>
      </c>
      <c r="E802" s="143" t="s">
        <v>563</v>
      </c>
      <c r="F802" s="143" t="s">
        <v>563</v>
      </c>
      <c r="G802" s="142" t="s">
        <v>109</v>
      </c>
      <c r="H802" s="142" t="s">
        <v>51</v>
      </c>
      <c r="I802" s="143" t="s">
        <v>1539</v>
      </c>
      <c r="J802" s="143" t="s">
        <v>104</v>
      </c>
      <c r="K802" s="144"/>
      <c r="L802" s="145"/>
      <c r="M802" s="144"/>
    </row>
    <row r="803" spans="1:13" ht="15" customHeight="1">
      <c r="A803" s="146" t="s">
        <v>2351</v>
      </c>
      <c r="B803" s="146">
        <v>515750</v>
      </c>
      <c r="C803" s="147" t="s">
        <v>1329</v>
      </c>
      <c r="D803" s="146" t="s">
        <v>1530</v>
      </c>
      <c r="E803" s="147" t="s">
        <v>1586</v>
      </c>
      <c r="F803" s="147" t="s">
        <v>2352</v>
      </c>
      <c r="G803" s="146" t="s">
        <v>109</v>
      </c>
      <c r="H803" s="146" t="s">
        <v>51</v>
      </c>
      <c r="I803" s="147" t="s">
        <v>1539</v>
      </c>
      <c r="J803" s="147" t="s">
        <v>104</v>
      </c>
      <c r="K803" s="148" t="s">
        <v>162</v>
      </c>
      <c r="L803" s="149">
        <v>46147</v>
      </c>
      <c r="M803" s="148"/>
    </row>
    <row r="804" spans="1:13" ht="15" customHeight="1">
      <c r="A804" s="142" t="s">
        <v>2353</v>
      </c>
      <c r="B804" s="142">
        <v>513303</v>
      </c>
      <c r="C804" s="143" t="s">
        <v>2354</v>
      </c>
      <c r="D804" s="142" t="s">
        <v>1530</v>
      </c>
      <c r="E804" s="143" t="s">
        <v>2355</v>
      </c>
      <c r="F804" s="143" t="s">
        <v>2356</v>
      </c>
      <c r="G804" s="142" t="s">
        <v>109</v>
      </c>
      <c r="H804" s="142" t="s">
        <v>51</v>
      </c>
      <c r="I804" s="143" t="s">
        <v>1539</v>
      </c>
      <c r="J804" s="143" t="s">
        <v>104</v>
      </c>
      <c r="K804" s="144"/>
      <c r="L804" s="145"/>
      <c r="M804" s="144"/>
    </row>
    <row r="805" spans="1:13" ht="15" customHeight="1">
      <c r="A805" s="146" t="s">
        <v>2357</v>
      </c>
      <c r="B805" s="146">
        <v>513125</v>
      </c>
      <c r="C805" s="147" t="s">
        <v>2358</v>
      </c>
      <c r="D805" s="146" t="s">
        <v>1530</v>
      </c>
      <c r="E805" s="147" t="s">
        <v>1549</v>
      </c>
      <c r="F805" s="147" t="s">
        <v>2359</v>
      </c>
      <c r="G805" s="146" t="s">
        <v>109</v>
      </c>
      <c r="H805" s="146" t="s">
        <v>50</v>
      </c>
      <c r="I805" s="147" t="s">
        <v>1532</v>
      </c>
      <c r="J805" s="147" t="s">
        <v>104</v>
      </c>
      <c r="K805" s="148" t="s">
        <v>162</v>
      </c>
      <c r="L805" s="149">
        <v>46149</v>
      </c>
      <c r="M805" s="154" t="s">
        <v>1716</v>
      </c>
    </row>
    <row r="806" spans="1:13" ht="15" customHeight="1">
      <c r="A806" s="142" t="s">
        <v>2360</v>
      </c>
      <c r="B806" s="142">
        <v>513394</v>
      </c>
      <c r="C806" s="143" t="s">
        <v>2361</v>
      </c>
      <c r="D806" s="142" t="s">
        <v>1530</v>
      </c>
      <c r="E806" s="143" t="s">
        <v>320</v>
      </c>
      <c r="F806" s="143" t="s">
        <v>2362</v>
      </c>
      <c r="G806" s="142" t="s">
        <v>109</v>
      </c>
      <c r="H806" s="142" t="s">
        <v>51</v>
      </c>
      <c r="I806" s="143" t="s">
        <v>1539</v>
      </c>
      <c r="J806" s="143" t="s">
        <v>104</v>
      </c>
      <c r="K806" s="144"/>
      <c r="L806" s="145"/>
      <c r="M806" s="144"/>
    </row>
    <row r="807" spans="1:13" ht="15" customHeight="1">
      <c r="A807" s="146" t="s">
        <v>2363</v>
      </c>
      <c r="B807" s="146">
        <v>512962</v>
      </c>
      <c r="C807" s="147" t="s">
        <v>2364</v>
      </c>
      <c r="D807" s="146" t="s">
        <v>1530</v>
      </c>
      <c r="E807" s="147" t="s">
        <v>1542</v>
      </c>
      <c r="F807" s="147" t="s">
        <v>2365</v>
      </c>
      <c r="G807" s="146" t="s">
        <v>109</v>
      </c>
      <c r="H807" s="146" t="s">
        <v>51</v>
      </c>
      <c r="I807" s="147" t="s">
        <v>1539</v>
      </c>
      <c r="J807" s="147" t="s">
        <v>104</v>
      </c>
      <c r="K807" s="148"/>
      <c r="L807" s="149"/>
      <c r="M807" s="148"/>
    </row>
    <row r="808" spans="1:13" ht="15" customHeight="1">
      <c r="A808" s="142" t="s">
        <v>2366</v>
      </c>
      <c r="B808" s="142">
        <v>512998</v>
      </c>
      <c r="C808" s="143" t="s">
        <v>2367</v>
      </c>
      <c r="D808" s="142" t="s">
        <v>1530</v>
      </c>
      <c r="E808" s="143" t="s">
        <v>1542</v>
      </c>
      <c r="F808" s="143" t="s">
        <v>2368</v>
      </c>
      <c r="G808" s="142" t="s">
        <v>109</v>
      </c>
      <c r="H808" s="142" t="s">
        <v>51</v>
      </c>
      <c r="I808" s="143" t="s">
        <v>1539</v>
      </c>
      <c r="J808" s="143" t="s">
        <v>104</v>
      </c>
      <c r="K808" s="144"/>
      <c r="L808" s="145"/>
      <c r="M808" s="144"/>
    </row>
    <row r="809" spans="1:13" ht="15" customHeight="1">
      <c r="A809" s="146" t="s">
        <v>2369</v>
      </c>
      <c r="B809" s="146">
        <v>512914</v>
      </c>
      <c r="C809" s="147" t="s">
        <v>2370</v>
      </c>
      <c r="D809" s="146" t="s">
        <v>1530</v>
      </c>
      <c r="E809" s="147" t="s">
        <v>1542</v>
      </c>
      <c r="F809" s="147" t="s">
        <v>2371</v>
      </c>
      <c r="G809" s="146" t="s">
        <v>109</v>
      </c>
      <c r="H809" s="146" t="s">
        <v>51</v>
      </c>
      <c r="I809" s="147" t="s">
        <v>1539</v>
      </c>
      <c r="J809" s="147" t="s">
        <v>104</v>
      </c>
      <c r="K809" s="148"/>
      <c r="L809" s="149"/>
      <c r="M809" s="148"/>
    </row>
    <row r="810" spans="1:13" ht="15" customHeight="1">
      <c r="A810" s="142" t="s">
        <v>2372</v>
      </c>
      <c r="B810" s="142">
        <v>513407</v>
      </c>
      <c r="C810" s="143" t="s">
        <v>2373</v>
      </c>
      <c r="D810" s="142" t="s">
        <v>1530</v>
      </c>
      <c r="E810" s="143" t="s">
        <v>1966</v>
      </c>
      <c r="F810" s="143" t="s">
        <v>2374</v>
      </c>
      <c r="G810" s="142" t="s">
        <v>109</v>
      </c>
      <c r="H810" s="142" t="s">
        <v>50</v>
      </c>
      <c r="I810" s="143" t="s">
        <v>1532</v>
      </c>
      <c r="J810" s="143" t="s">
        <v>104</v>
      </c>
      <c r="K810" s="144"/>
      <c r="L810" s="145"/>
      <c r="M810" s="144"/>
    </row>
    <row r="811" spans="1:13" ht="15" customHeight="1">
      <c r="A811" s="146" t="s">
        <v>2375</v>
      </c>
      <c r="B811" s="146">
        <v>513250</v>
      </c>
      <c r="C811" s="147" t="s">
        <v>2376</v>
      </c>
      <c r="D811" s="146" t="s">
        <v>1530</v>
      </c>
      <c r="E811" s="147" t="s">
        <v>1966</v>
      </c>
      <c r="F811" s="147" t="s">
        <v>2377</v>
      </c>
      <c r="G811" s="146" t="s">
        <v>109</v>
      </c>
      <c r="H811" s="146" t="s">
        <v>50</v>
      </c>
      <c r="I811" s="147" t="s">
        <v>1532</v>
      </c>
      <c r="J811" s="147" t="s">
        <v>104</v>
      </c>
      <c r="K811" s="148"/>
      <c r="L811" s="149"/>
      <c r="M811" s="148"/>
    </row>
    <row r="812" spans="1:13" ht="15" customHeight="1">
      <c r="A812" s="142" t="s">
        <v>2378</v>
      </c>
      <c r="B812" s="142">
        <v>515589</v>
      </c>
      <c r="C812" s="143" t="s">
        <v>2379</v>
      </c>
      <c r="D812" s="142" t="s">
        <v>1530</v>
      </c>
      <c r="E812" s="143" t="s">
        <v>1731</v>
      </c>
      <c r="F812" s="143" t="s">
        <v>1970</v>
      </c>
      <c r="G812" s="142" t="s">
        <v>109</v>
      </c>
      <c r="H812" s="142" t="s">
        <v>50</v>
      </c>
      <c r="I812" s="143" t="s">
        <v>1532</v>
      </c>
      <c r="J812" s="143" t="s">
        <v>104</v>
      </c>
      <c r="K812" s="144" t="s">
        <v>121</v>
      </c>
      <c r="L812" s="145">
        <v>46141</v>
      </c>
      <c r="M812" s="144"/>
    </row>
    <row r="813" spans="1:13" ht="15" customHeight="1">
      <c r="A813" s="146" t="s">
        <v>2380</v>
      </c>
      <c r="B813" s="146">
        <v>513328</v>
      </c>
      <c r="C813" s="147" t="s">
        <v>2381</v>
      </c>
      <c r="D813" s="146" t="s">
        <v>1530</v>
      </c>
      <c r="E813" s="147" t="s">
        <v>1734</v>
      </c>
      <c r="F813" s="147" t="s">
        <v>2080</v>
      </c>
      <c r="G813" s="146" t="s">
        <v>109</v>
      </c>
      <c r="H813" s="146" t="s">
        <v>50</v>
      </c>
      <c r="I813" s="147" t="s">
        <v>1532</v>
      </c>
      <c r="J813" s="147" t="s">
        <v>104</v>
      </c>
      <c r="K813" s="148" t="s">
        <v>162</v>
      </c>
      <c r="L813" s="149">
        <v>46146</v>
      </c>
      <c r="M813" s="148" t="s">
        <v>1740</v>
      </c>
    </row>
    <row r="814" spans="1:13" ht="15" customHeight="1">
      <c r="A814" s="142" t="s">
        <v>2382</v>
      </c>
      <c r="B814" s="142">
        <v>513298</v>
      </c>
      <c r="C814" s="143" t="s">
        <v>1146</v>
      </c>
      <c r="D814" s="142" t="s">
        <v>1530</v>
      </c>
      <c r="E814" s="143" t="s">
        <v>1639</v>
      </c>
      <c r="F814" s="143" t="s">
        <v>2383</v>
      </c>
      <c r="G814" s="142" t="s">
        <v>102</v>
      </c>
      <c r="H814" s="142" t="s">
        <v>50</v>
      </c>
      <c r="I814" s="143" t="s">
        <v>1532</v>
      </c>
      <c r="J814" s="143" t="s">
        <v>104</v>
      </c>
      <c r="K814" s="144"/>
      <c r="L814" s="145"/>
      <c r="M814" s="144"/>
    </row>
    <row r="815" spans="1:13" ht="15" customHeight="1">
      <c r="A815" s="146" t="s">
        <v>2384</v>
      </c>
      <c r="B815" s="146">
        <v>513209</v>
      </c>
      <c r="C815" s="147" t="s">
        <v>2385</v>
      </c>
      <c r="D815" s="146" t="s">
        <v>1530</v>
      </c>
      <c r="E815" s="147" t="s">
        <v>1582</v>
      </c>
      <c r="F815" s="147" t="s">
        <v>2386</v>
      </c>
      <c r="G815" s="146" t="s">
        <v>109</v>
      </c>
      <c r="H815" s="146" t="s">
        <v>51</v>
      </c>
      <c r="I815" s="147" t="s">
        <v>1539</v>
      </c>
      <c r="J815" s="147" t="s">
        <v>104</v>
      </c>
      <c r="K815" s="148" t="s">
        <v>121</v>
      </c>
      <c r="L815" s="149">
        <v>46149</v>
      </c>
      <c r="M815" s="148"/>
    </row>
    <row r="816" spans="1:13" ht="15" customHeight="1">
      <c r="A816" s="142" t="s">
        <v>2387</v>
      </c>
      <c r="B816" s="142">
        <v>513033</v>
      </c>
      <c r="C816" s="143" t="s">
        <v>2388</v>
      </c>
      <c r="D816" s="142" t="s">
        <v>1530</v>
      </c>
      <c r="E816" s="143" t="s">
        <v>1828</v>
      </c>
      <c r="F816" s="143" t="s">
        <v>2389</v>
      </c>
      <c r="G816" s="142" t="s">
        <v>109</v>
      </c>
      <c r="H816" s="142" t="s">
        <v>50</v>
      </c>
      <c r="I816" s="143" t="s">
        <v>1532</v>
      </c>
      <c r="J816" s="143" t="s">
        <v>104</v>
      </c>
      <c r="K816" s="144" t="s">
        <v>121</v>
      </c>
      <c r="L816" s="145">
        <v>46148</v>
      </c>
      <c r="M816" s="144"/>
    </row>
    <row r="817" spans="1:13" ht="15" customHeight="1">
      <c r="A817" s="146" t="s">
        <v>2390</v>
      </c>
      <c r="B817" s="146">
        <v>513153</v>
      </c>
      <c r="C817" s="147" t="s">
        <v>437</v>
      </c>
      <c r="D817" s="146" t="s">
        <v>1530</v>
      </c>
      <c r="E817" s="147" t="s">
        <v>1530</v>
      </c>
      <c r="F817" s="147" t="s">
        <v>1530</v>
      </c>
      <c r="G817" s="146" t="s">
        <v>102</v>
      </c>
      <c r="H817" s="146" t="s">
        <v>51</v>
      </c>
      <c r="I817" s="147" t="s">
        <v>1539</v>
      </c>
      <c r="J817" s="147" t="s">
        <v>104</v>
      </c>
      <c r="K817" s="148"/>
      <c r="L817" s="149"/>
      <c r="M817" s="148"/>
    </row>
    <row r="818" spans="1:13" ht="15" customHeight="1">
      <c r="A818" s="142" t="s">
        <v>2391</v>
      </c>
      <c r="B818" s="142">
        <v>512907</v>
      </c>
      <c r="C818" s="143" t="s">
        <v>2392</v>
      </c>
      <c r="D818" s="142" t="s">
        <v>1530</v>
      </c>
      <c r="E818" s="143" t="s">
        <v>1546</v>
      </c>
      <c r="F818" s="143" t="s">
        <v>1546</v>
      </c>
      <c r="G818" s="142" t="s">
        <v>102</v>
      </c>
      <c r="H818" s="142" t="s">
        <v>51</v>
      </c>
      <c r="I818" s="143" t="s">
        <v>1539</v>
      </c>
      <c r="J818" s="143" t="s">
        <v>104</v>
      </c>
      <c r="K818" s="144"/>
      <c r="L818" s="145"/>
      <c r="M818" s="144"/>
    </row>
    <row r="819" spans="1:13" ht="15" customHeight="1">
      <c r="A819" s="146" t="s">
        <v>2393</v>
      </c>
      <c r="B819" s="146">
        <v>513366</v>
      </c>
      <c r="C819" s="147" t="s">
        <v>1347</v>
      </c>
      <c r="D819" s="146" t="s">
        <v>1530</v>
      </c>
      <c r="E819" s="147" t="s">
        <v>1586</v>
      </c>
      <c r="F819" s="147" t="s">
        <v>2394</v>
      </c>
      <c r="G819" s="146" t="s">
        <v>109</v>
      </c>
      <c r="H819" s="146" t="s">
        <v>51</v>
      </c>
      <c r="I819" s="147" t="s">
        <v>1539</v>
      </c>
      <c r="J819" s="147" t="s">
        <v>104</v>
      </c>
      <c r="K819" s="148" t="s">
        <v>121</v>
      </c>
      <c r="L819" s="149">
        <v>46148</v>
      </c>
      <c r="M819" s="148"/>
    </row>
    <row r="820" spans="1:13" ht="15" customHeight="1">
      <c r="A820" s="142" t="s">
        <v>2395</v>
      </c>
      <c r="B820" s="142">
        <v>515751</v>
      </c>
      <c r="C820" s="143" t="s">
        <v>2396</v>
      </c>
      <c r="D820" s="142" t="s">
        <v>1530</v>
      </c>
      <c r="E820" s="143" t="s">
        <v>1586</v>
      </c>
      <c r="F820" s="143" t="s">
        <v>324</v>
      </c>
      <c r="G820" s="142" t="s">
        <v>109</v>
      </c>
      <c r="H820" s="142" t="s">
        <v>51</v>
      </c>
      <c r="I820" s="143" t="s">
        <v>1539</v>
      </c>
      <c r="J820" s="143" t="s">
        <v>104</v>
      </c>
      <c r="K820" s="144" t="s">
        <v>121</v>
      </c>
      <c r="L820" s="145">
        <v>46149</v>
      </c>
      <c r="M820" s="144"/>
    </row>
    <row r="821" spans="1:13" ht="15" customHeight="1">
      <c r="A821" s="146" t="s">
        <v>2397</v>
      </c>
      <c r="B821" s="146">
        <v>513168</v>
      </c>
      <c r="C821" s="147" t="s">
        <v>2398</v>
      </c>
      <c r="D821" s="146" t="s">
        <v>1530</v>
      </c>
      <c r="E821" s="147" t="s">
        <v>1707</v>
      </c>
      <c r="F821" s="147" t="s">
        <v>2399</v>
      </c>
      <c r="G821" s="146" t="s">
        <v>109</v>
      </c>
      <c r="H821" s="146" t="s">
        <v>50</v>
      </c>
      <c r="I821" s="147" t="s">
        <v>1532</v>
      </c>
      <c r="J821" s="147" t="s">
        <v>104</v>
      </c>
      <c r="K821" s="148"/>
      <c r="L821" s="149"/>
      <c r="M821" s="148"/>
    </row>
    <row r="822" spans="1:13" ht="15" customHeight="1">
      <c r="A822" s="142" t="s">
        <v>2400</v>
      </c>
      <c r="B822" s="142">
        <v>513260</v>
      </c>
      <c r="C822" s="143" t="s">
        <v>2401</v>
      </c>
      <c r="D822" s="142" t="s">
        <v>1530</v>
      </c>
      <c r="E822" s="143" t="s">
        <v>1734</v>
      </c>
      <c r="F822" s="143" t="s">
        <v>2402</v>
      </c>
      <c r="G822" s="142" t="s">
        <v>109</v>
      </c>
      <c r="H822" s="142" t="s">
        <v>50</v>
      </c>
      <c r="I822" s="143" t="s">
        <v>1532</v>
      </c>
      <c r="J822" s="143" t="s">
        <v>104</v>
      </c>
      <c r="K822" s="144" t="s">
        <v>162</v>
      </c>
      <c r="L822" s="145">
        <v>46147</v>
      </c>
      <c r="M822" s="144" t="s">
        <v>1740</v>
      </c>
    </row>
    <row r="823" spans="1:13" ht="15" customHeight="1">
      <c r="A823" s="146" t="s">
        <v>2403</v>
      </c>
      <c r="B823" s="146">
        <v>513097</v>
      </c>
      <c r="C823" s="147" t="s">
        <v>2404</v>
      </c>
      <c r="D823" s="146" t="s">
        <v>1530</v>
      </c>
      <c r="E823" s="147" t="s">
        <v>1734</v>
      </c>
      <c r="F823" s="147" t="s">
        <v>1734</v>
      </c>
      <c r="G823" s="146" t="s">
        <v>102</v>
      </c>
      <c r="H823" s="146" t="s">
        <v>50</v>
      </c>
      <c r="I823" s="147" t="s">
        <v>1532</v>
      </c>
      <c r="J823" s="147" t="s">
        <v>104</v>
      </c>
      <c r="K823" s="148" t="s">
        <v>121</v>
      </c>
      <c r="L823" s="149">
        <v>46147</v>
      </c>
      <c r="M823" s="148"/>
    </row>
    <row r="824" spans="1:13" ht="15" customHeight="1">
      <c r="A824" s="142" t="s">
        <v>2405</v>
      </c>
      <c r="B824" s="142">
        <v>513324</v>
      </c>
      <c r="C824" s="143" t="s">
        <v>2406</v>
      </c>
      <c r="D824" s="142" t="s">
        <v>1530</v>
      </c>
      <c r="E824" s="143" t="s">
        <v>1628</v>
      </c>
      <c r="F824" s="143" t="s">
        <v>1986</v>
      </c>
      <c r="G824" s="142" t="s">
        <v>109</v>
      </c>
      <c r="H824" s="142" t="s">
        <v>50</v>
      </c>
      <c r="I824" s="143" t="s">
        <v>1532</v>
      </c>
      <c r="J824" s="143" t="s">
        <v>104</v>
      </c>
      <c r="K824" s="144" t="s">
        <v>121</v>
      </c>
      <c r="L824" s="145">
        <v>46140</v>
      </c>
      <c r="M824" s="144"/>
    </row>
    <row r="825" spans="1:13" ht="15" customHeight="1">
      <c r="A825" s="146" t="s">
        <v>2407</v>
      </c>
      <c r="B825" s="146">
        <v>514186</v>
      </c>
      <c r="C825" s="147" t="s">
        <v>2408</v>
      </c>
      <c r="D825" s="146" t="s">
        <v>1530</v>
      </c>
      <c r="E825" s="147" t="s">
        <v>1979</v>
      </c>
      <c r="F825" s="147" t="s">
        <v>2002</v>
      </c>
      <c r="G825" s="146" t="s">
        <v>109</v>
      </c>
      <c r="H825" s="146" t="s">
        <v>50</v>
      </c>
      <c r="I825" s="147" t="s">
        <v>1532</v>
      </c>
      <c r="J825" s="147" t="s">
        <v>104</v>
      </c>
      <c r="K825" s="148" t="s">
        <v>121</v>
      </c>
      <c r="L825" s="149">
        <v>46148</v>
      </c>
      <c r="M825" s="148"/>
    </row>
    <row r="826" spans="1:13" ht="15" customHeight="1">
      <c r="A826" s="142" t="s">
        <v>2409</v>
      </c>
      <c r="B826" s="142">
        <v>513064</v>
      </c>
      <c r="C826" s="143" t="s">
        <v>2410</v>
      </c>
      <c r="D826" s="142" t="s">
        <v>1530</v>
      </c>
      <c r="E826" s="143" t="s">
        <v>1558</v>
      </c>
      <c r="F826" s="143" t="s">
        <v>2411</v>
      </c>
      <c r="G826" s="142" t="s">
        <v>109</v>
      </c>
      <c r="H826" s="142" t="s">
        <v>51</v>
      </c>
      <c r="I826" s="143" t="s">
        <v>1539</v>
      </c>
      <c r="J826" s="143" t="s">
        <v>104</v>
      </c>
      <c r="K826" s="144"/>
      <c r="L826" s="145"/>
      <c r="M826" s="144"/>
    </row>
    <row r="827" spans="1:13" ht="15" customHeight="1">
      <c r="A827" s="146" t="s">
        <v>2412</v>
      </c>
      <c r="B827" s="146">
        <v>513051</v>
      </c>
      <c r="C827" s="147" t="s">
        <v>2413</v>
      </c>
      <c r="D827" s="146" t="s">
        <v>1530</v>
      </c>
      <c r="E827" s="147" t="s">
        <v>1558</v>
      </c>
      <c r="F827" s="147" t="s">
        <v>2414</v>
      </c>
      <c r="G827" s="146" t="s">
        <v>109</v>
      </c>
      <c r="H827" s="146" t="s">
        <v>51</v>
      </c>
      <c r="I827" s="147" t="s">
        <v>1539</v>
      </c>
      <c r="J827" s="147" t="s">
        <v>104</v>
      </c>
      <c r="K827" s="148"/>
      <c r="L827" s="149"/>
      <c r="M827" s="148"/>
    </row>
    <row r="828" spans="1:13" ht="15" customHeight="1">
      <c r="A828" s="142" t="s">
        <v>2415</v>
      </c>
      <c r="B828" s="142">
        <v>513131</v>
      </c>
      <c r="C828" s="143" t="s">
        <v>2416</v>
      </c>
      <c r="D828" s="142" t="s">
        <v>1530</v>
      </c>
      <c r="E828" s="143" t="s">
        <v>1558</v>
      </c>
      <c r="F828" s="143" t="s">
        <v>1292</v>
      </c>
      <c r="G828" s="142" t="s">
        <v>109</v>
      </c>
      <c r="H828" s="142" t="s">
        <v>51</v>
      </c>
      <c r="I828" s="143" t="s">
        <v>1539</v>
      </c>
      <c r="J828" s="143" t="s">
        <v>104</v>
      </c>
      <c r="K828" s="144"/>
      <c r="L828" s="145"/>
      <c r="M828" s="144"/>
    </row>
    <row r="829" spans="1:13" ht="15" customHeight="1">
      <c r="A829" s="146" t="s">
        <v>2417</v>
      </c>
      <c r="B829" s="146">
        <v>513192</v>
      </c>
      <c r="C829" s="147" t="s">
        <v>2418</v>
      </c>
      <c r="D829" s="146" t="s">
        <v>1530</v>
      </c>
      <c r="E829" s="147" t="s">
        <v>1558</v>
      </c>
      <c r="F829" s="147" t="s">
        <v>985</v>
      </c>
      <c r="G829" s="146" t="s">
        <v>109</v>
      </c>
      <c r="H829" s="146" t="s">
        <v>51</v>
      </c>
      <c r="I829" s="147" t="s">
        <v>1539</v>
      </c>
      <c r="J829" s="147" t="s">
        <v>104</v>
      </c>
      <c r="K829" s="148"/>
      <c r="L829" s="149"/>
      <c r="M829" s="148"/>
    </row>
    <row r="830" spans="1:13" ht="15" customHeight="1">
      <c r="A830" s="142" t="s">
        <v>2419</v>
      </c>
      <c r="B830" s="142">
        <v>513136</v>
      </c>
      <c r="C830" s="143" t="s">
        <v>2420</v>
      </c>
      <c r="D830" s="142" t="s">
        <v>1530</v>
      </c>
      <c r="E830" s="143" t="s">
        <v>1710</v>
      </c>
      <c r="F830" s="143" t="s">
        <v>1710</v>
      </c>
      <c r="G830" s="142" t="s">
        <v>102</v>
      </c>
      <c r="H830" s="142" t="s">
        <v>50</v>
      </c>
      <c r="I830" s="143" t="s">
        <v>1532</v>
      </c>
      <c r="J830" s="143" t="s">
        <v>104</v>
      </c>
      <c r="K830" s="144"/>
      <c r="L830" s="145"/>
      <c r="M830" s="144"/>
    </row>
    <row r="831" spans="1:13" ht="15" customHeight="1">
      <c r="A831" s="146" t="s">
        <v>2421</v>
      </c>
      <c r="B831" s="146">
        <v>513030</v>
      </c>
      <c r="C831" s="147" t="s">
        <v>2422</v>
      </c>
      <c r="D831" s="146" t="s">
        <v>1530</v>
      </c>
      <c r="E831" s="147" t="s">
        <v>1639</v>
      </c>
      <c r="F831" s="147" t="s">
        <v>2423</v>
      </c>
      <c r="G831" s="146" t="s">
        <v>109</v>
      </c>
      <c r="H831" s="146" t="s">
        <v>50</v>
      </c>
      <c r="I831" s="147" t="s">
        <v>1532</v>
      </c>
      <c r="J831" s="147" t="s">
        <v>104</v>
      </c>
      <c r="K831" s="148"/>
      <c r="L831" s="149"/>
      <c r="M831" s="148"/>
    </row>
    <row r="832" spans="1:13" ht="15" customHeight="1">
      <c r="A832" s="142" t="s">
        <v>2424</v>
      </c>
      <c r="B832" s="142">
        <v>513207</v>
      </c>
      <c r="C832" s="143" t="s">
        <v>2425</v>
      </c>
      <c r="D832" s="142" t="s">
        <v>1530</v>
      </c>
      <c r="E832" s="143" t="s">
        <v>1582</v>
      </c>
      <c r="F832" s="143" t="s">
        <v>1583</v>
      </c>
      <c r="G832" s="142" t="s">
        <v>109</v>
      </c>
      <c r="H832" s="142" t="s">
        <v>51</v>
      </c>
      <c r="I832" s="143" t="s">
        <v>1539</v>
      </c>
      <c r="J832" s="143" t="s">
        <v>104</v>
      </c>
      <c r="K832" s="144" t="s">
        <v>121</v>
      </c>
      <c r="L832" s="145">
        <v>46149</v>
      </c>
      <c r="M832" s="144"/>
    </row>
    <row r="833" spans="1:13" ht="15" customHeight="1">
      <c r="A833" s="146" t="s">
        <v>2426</v>
      </c>
      <c r="B833" s="146">
        <v>513198</v>
      </c>
      <c r="C833" s="147" t="s">
        <v>1439</v>
      </c>
      <c r="D833" s="146" t="s">
        <v>1530</v>
      </c>
      <c r="E833" s="147" t="s">
        <v>1756</v>
      </c>
      <c r="F833" s="147" t="s">
        <v>2427</v>
      </c>
      <c r="G833" s="146" t="s">
        <v>109</v>
      </c>
      <c r="H833" s="146" t="s">
        <v>50</v>
      </c>
      <c r="I833" s="147" t="s">
        <v>1532</v>
      </c>
      <c r="J833" s="147" t="s">
        <v>104</v>
      </c>
      <c r="K833" s="148"/>
      <c r="L833" s="149"/>
      <c r="M833" s="148"/>
    </row>
    <row r="834" spans="1:13" ht="15" customHeight="1">
      <c r="A834" s="142" t="s">
        <v>2428</v>
      </c>
      <c r="B834" s="142">
        <v>513200</v>
      </c>
      <c r="C834" s="143" t="s">
        <v>2429</v>
      </c>
      <c r="D834" s="142" t="s">
        <v>1530</v>
      </c>
      <c r="E834" s="143" t="s">
        <v>1660</v>
      </c>
      <c r="F834" s="143" t="s">
        <v>1807</v>
      </c>
      <c r="G834" s="142" t="s">
        <v>109</v>
      </c>
      <c r="H834" s="142" t="s">
        <v>51</v>
      </c>
      <c r="I834" s="143" t="s">
        <v>1539</v>
      </c>
      <c r="J834" s="143" t="s">
        <v>104</v>
      </c>
      <c r="K834" s="144"/>
      <c r="L834" s="145"/>
      <c r="M834" s="144"/>
    </row>
    <row r="835" spans="1:13" ht="15" customHeight="1">
      <c r="A835" s="146" t="s">
        <v>2430</v>
      </c>
      <c r="B835" s="146">
        <v>512890</v>
      </c>
      <c r="C835" s="147" t="s">
        <v>2431</v>
      </c>
      <c r="D835" s="146" t="s">
        <v>1530</v>
      </c>
      <c r="E835" s="147" t="s">
        <v>1546</v>
      </c>
      <c r="F835" s="147" t="s">
        <v>1546</v>
      </c>
      <c r="G835" s="146" t="s">
        <v>102</v>
      </c>
      <c r="H835" s="146" t="s">
        <v>51</v>
      </c>
      <c r="I835" s="147" t="s">
        <v>1539</v>
      </c>
      <c r="J835" s="147" t="s">
        <v>104</v>
      </c>
      <c r="K835" s="148"/>
      <c r="L835" s="149"/>
      <c r="M835" s="148"/>
    </row>
    <row r="836" spans="1:13" ht="15" customHeight="1">
      <c r="A836" s="142" t="s">
        <v>2432</v>
      </c>
      <c r="B836" s="142">
        <v>513945</v>
      </c>
      <c r="C836" s="143" t="s">
        <v>2433</v>
      </c>
      <c r="D836" s="142" t="s">
        <v>1530</v>
      </c>
      <c r="E836" s="143" t="s">
        <v>1586</v>
      </c>
      <c r="F836" s="143" t="s">
        <v>2434</v>
      </c>
      <c r="G836" s="142" t="s">
        <v>109</v>
      </c>
      <c r="H836" s="142" t="s">
        <v>51</v>
      </c>
      <c r="I836" s="143" t="s">
        <v>1539</v>
      </c>
      <c r="J836" s="143" t="s">
        <v>104</v>
      </c>
      <c r="K836" s="144"/>
      <c r="L836" s="145"/>
      <c r="M836" s="144"/>
    </row>
    <row r="837" spans="1:13" ht="15" customHeight="1">
      <c r="A837" s="146" t="s">
        <v>2435</v>
      </c>
      <c r="B837" s="146">
        <v>515469</v>
      </c>
      <c r="C837" s="147" t="s">
        <v>2436</v>
      </c>
      <c r="D837" s="146" t="s">
        <v>1530</v>
      </c>
      <c r="E837" s="147" t="s">
        <v>1586</v>
      </c>
      <c r="F837" s="147" t="s">
        <v>2437</v>
      </c>
      <c r="G837" s="146" t="s">
        <v>109</v>
      </c>
      <c r="H837" s="146" t="s">
        <v>51</v>
      </c>
      <c r="I837" s="147" t="s">
        <v>1539</v>
      </c>
      <c r="J837" s="147" t="s">
        <v>104</v>
      </c>
      <c r="K837" s="148" t="s">
        <v>162</v>
      </c>
      <c r="L837" s="149">
        <v>46147</v>
      </c>
      <c r="M837" s="148"/>
    </row>
    <row r="838" spans="1:13" ht="15" customHeight="1">
      <c r="A838" s="142" t="s">
        <v>2438</v>
      </c>
      <c r="B838" s="142">
        <v>513231</v>
      </c>
      <c r="C838" s="143" t="s">
        <v>2439</v>
      </c>
      <c r="D838" s="142" t="s">
        <v>1530</v>
      </c>
      <c r="E838" s="143" t="s">
        <v>1756</v>
      </c>
      <c r="F838" s="143" t="s">
        <v>2440</v>
      </c>
      <c r="G838" s="142" t="s">
        <v>109</v>
      </c>
      <c r="H838" s="142" t="s">
        <v>50</v>
      </c>
      <c r="I838" s="143" t="s">
        <v>1532</v>
      </c>
      <c r="J838" s="143" t="s">
        <v>104</v>
      </c>
      <c r="K838" s="144"/>
      <c r="L838" s="145"/>
      <c r="M838" s="144"/>
    </row>
    <row r="839" spans="1:13" ht="15" customHeight="1">
      <c r="A839" s="146" t="s">
        <v>2441</v>
      </c>
      <c r="B839" s="146">
        <v>512870</v>
      </c>
      <c r="C839" s="147" t="s">
        <v>2442</v>
      </c>
      <c r="D839" s="146" t="s">
        <v>1530</v>
      </c>
      <c r="E839" s="147" t="s">
        <v>1676</v>
      </c>
      <c r="F839" s="147" t="s">
        <v>2443</v>
      </c>
      <c r="G839" s="146" t="s">
        <v>109</v>
      </c>
      <c r="H839" s="146" t="s">
        <v>51</v>
      </c>
      <c r="I839" s="147" t="s">
        <v>1539</v>
      </c>
      <c r="J839" s="147" t="s">
        <v>104</v>
      </c>
      <c r="K839" s="148"/>
      <c r="L839" s="149"/>
      <c r="M839" s="148"/>
    </row>
    <row r="840" spans="1:13" ht="15" customHeight="1">
      <c r="A840" s="142" t="s">
        <v>2444</v>
      </c>
      <c r="B840" s="142">
        <v>513258</v>
      </c>
      <c r="C840" s="143" t="s">
        <v>2445</v>
      </c>
      <c r="D840" s="142" t="s">
        <v>1530</v>
      </c>
      <c r="E840" s="143" t="s">
        <v>1549</v>
      </c>
      <c r="F840" s="143" t="s">
        <v>1787</v>
      </c>
      <c r="G840" s="142" t="s">
        <v>109</v>
      </c>
      <c r="H840" s="142" t="s">
        <v>50</v>
      </c>
      <c r="I840" s="143" t="s">
        <v>1532</v>
      </c>
      <c r="J840" s="143" t="s">
        <v>104</v>
      </c>
      <c r="K840" s="144"/>
      <c r="L840" s="145"/>
      <c r="M840" s="144"/>
    </row>
    <row r="841" spans="1:13" ht="15" customHeight="1">
      <c r="A841" s="146" t="s">
        <v>2446</v>
      </c>
      <c r="B841" s="146">
        <v>513008</v>
      </c>
      <c r="C841" s="147" t="s">
        <v>2447</v>
      </c>
      <c r="D841" s="146" t="s">
        <v>1530</v>
      </c>
      <c r="E841" s="147" t="s">
        <v>1683</v>
      </c>
      <c r="F841" s="147" t="s">
        <v>1684</v>
      </c>
      <c r="G841" s="146" t="s">
        <v>109</v>
      </c>
      <c r="H841" s="146" t="s">
        <v>50</v>
      </c>
      <c r="I841" s="147" t="s">
        <v>1532</v>
      </c>
      <c r="J841" s="147" t="s">
        <v>104</v>
      </c>
      <c r="K841" s="148" t="s">
        <v>121</v>
      </c>
      <c r="L841" s="149">
        <v>46139</v>
      </c>
      <c r="M841" s="148"/>
    </row>
    <row r="842" spans="1:13" ht="15" customHeight="1">
      <c r="A842" s="142" t="s">
        <v>2448</v>
      </c>
      <c r="B842" s="142">
        <v>513024</v>
      </c>
      <c r="C842" s="143" t="s">
        <v>2449</v>
      </c>
      <c r="D842" s="142" t="s">
        <v>1530</v>
      </c>
      <c r="E842" s="143" t="s">
        <v>1683</v>
      </c>
      <c r="F842" s="143" t="s">
        <v>1455</v>
      </c>
      <c r="G842" s="142" t="s">
        <v>109</v>
      </c>
      <c r="H842" s="142" t="s">
        <v>50</v>
      </c>
      <c r="I842" s="143" t="s">
        <v>1532</v>
      </c>
      <c r="J842" s="143" t="s">
        <v>104</v>
      </c>
      <c r="K842" s="144" t="s">
        <v>121</v>
      </c>
      <c r="L842" s="145">
        <v>46141</v>
      </c>
      <c r="M842" s="144"/>
    </row>
    <row r="843" spans="1:13" ht="15" customHeight="1">
      <c r="A843" s="146" t="s">
        <v>2450</v>
      </c>
      <c r="B843" s="146">
        <v>513072</v>
      </c>
      <c r="C843" s="147" t="s">
        <v>2451</v>
      </c>
      <c r="D843" s="146" t="s">
        <v>1530</v>
      </c>
      <c r="E843" s="147" t="s">
        <v>1687</v>
      </c>
      <c r="F843" s="147" t="s">
        <v>2452</v>
      </c>
      <c r="G843" s="146" t="s">
        <v>109</v>
      </c>
      <c r="H843" s="146" t="s">
        <v>50</v>
      </c>
      <c r="I843" s="147" t="s">
        <v>1532</v>
      </c>
      <c r="J843" s="147" t="s">
        <v>104</v>
      </c>
      <c r="K843" s="148" t="s">
        <v>121</v>
      </c>
      <c r="L843" s="149">
        <v>46142</v>
      </c>
      <c r="M843" s="148"/>
    </row>
    <row r="844" spans="1:13" ht="15" customHeight="1">
      <c r="A844" s="142" t="s">
        <v>2453</v>
      </c>
      <c r="B844" s="142">
        <v>514062</v>
      </c>
      <c r="C844" s="143" t="s">
        <v>1323</v>
      </c>
      <c r="D844" s="142" t="s">
        <v>1530</v>
      </c>
      <c r="E844" s="143" t="s">
        <v>1719</v>
      </c>
      <c r="F844" s="143" t="s">
        <v>1323</v>
      </c>
      <c r="G844" s="142" t="s">
        <v>109</v>
      </c>
      <c r="H844" s="142" t="s">
        <v>50</v>
      </c>
      <c r="I844" s="143" t="s">
        <v>1532</v>
      </c>
      <c r="J844" s="143" t="s">
        <v>104</v>
      </c>
      <c r="K844" s="144"/>
      <c r="L844" s="145"/>
      <c r="M844" s="144"/>
    </row>
    <row r="845" spans="1:13" ht="15" customHeight="1">
      <c r="A845" s="146" t="s">
        <v>2454</v>
      </c>
      <c r="B845" s="146">
        <v>513195</v>
      </c>
      <c r="C845" s="147" t="s">
        <v>2455</v>
      </c>
      <c r="D845" s="146" t="s">
        <v>1530</v>
      </c>
      <c r="E845" s="147" t="s">
        <v>1549</v>
      </c>
      <c r="F845" s="147" t="s">
        <v>2456</v>
      </c>
      <c r="G845" s="146" t="s">
        <v>109</v>
      </c>
      <c r="H845" s="146" t="s">
        <v>50</v>
      </c>
      <c r="I845" s="147" t="s">
        <v>1532</v>
      </c>
      <c r="J845" s="147" t="s">
        <v>104</v>
      </c>
      <c r="K845" s="148"/>
      <c r="L845" s="149"/>
      <c r="M845" s="148"/>
    </row>
    <row r="846" spans="1:13" ht="15" customHeight="1">
      <c r="A846" s="142" t="s">
        <v>2457</v>
      </c>
      <c r="B846" s="142">
        <v>513023</v>
      </c>
      <c r="C846" s="143" t="s">
        <v>247</v>
      </c>
      <c r="D846" s="142" t="s">
        <v>1530</v>
      </c>
      <c r="E846" s="143" t="s">
        <v>1683</v>
      </c>
      <c r="F846" s="143" t="s">
        <v>1683</v>
      </c>
      <c r="G846" s="142" t="s">
        <v>109</v>
      </c>
      <c r="H846" s="142" t="s">
        <v>50</v>
      </c>
      <c r="I846" s="143" t="s">
        <v>1532</v>
      </c>
      <c r="J846" s="143" t="s">
        <v>104</v>
      </c>
      <c r="K846" s="144" t="s">
        <v>121</v>
      </c>
      <c r="L846" s="145">
        <v>46141</v>
      </c>
      <c r="M846" s="144"/>
    </row>
    <row r="847" spans="1:13" ht="15" customHeight="1">
      <c r="A847" s="146" t="s">
        <v>2458</v>
      </c>
      <c r="B847" s="146">
        <v>513036</v>
      </c>
      <c r="C847" s="147" t="s">
        <v>2459</v>
      </c>
      <c r="D847" s="146" t="s">
        <v>1530</v>
      </c>
      <c r="E847" s="147" t="s">
        <v>1639</v>
      </c>
      <c r="F847" s="147" t="s">
        <v>2460</v>
      </c>
      <c r="G847" s="146" t="s">
        <v>109</v>
      </c>
      <c r="H847" s="146" t="s">
        <v>50</v>
      </c>
      <c r="I847" s="147" t="s">
        <v>1532</v>
      </c>
      <c r="J847" s="147" t="s">
        <v>104</v>
      </c>
      <c r="K847" s="148" t="s">
        <v>121</v>
      </c>
      <c r="L847" s="149">
        <v>46148</v>
      </c>
      <c r="M847" s="148"/>
    </row>
    <row r="848" spans="1:13" ht="15" customHeight="1">
      <c r="A848" s="142" t="s">
        <v>2461</v>
      </c>
      <c r="B848" s="142">
        <v>517537</v>
      </c>
      <c r="C848" s="143" t="s">
        <v>2462</v>
      </c>
      <c r="D848" s="142" t="s">
        <v>1530</v>
      </c>
      <c r="E848" s="143" t="s">
        <v>1639</v>
      </c>
      <c r="F848" s="143" t="s">
        <v>2463</v>
      </c>
      <c r="G848" s="142" t="s">
        <v>109</v>
      </c>
      <c r="H848" s="142" t="s">
        <v>50</v>
      </c>
      <c r="I848" s="143" t="s">
        <v>1532</v>
      </c>
      <c r="J848" s="143" t="s">
        <v>104</v>
      </c>
      <c r="K848" s="144"/>
      <c r="L848" s="145"/>
      <c r="M848" s="144"/>
    </row>
    <row r="849" spans="1:13" ht="15" customHeight="1">
      <c r="A849" s="146" t="s">
        <v>2464</v>
      </c>
      <c r="B849" s="146">
        <v>517531</v>
      </c>
      <c r="C849" s="147" t="s">
        <v>2465</v>
      </c>
      <c r="D849" s="146" t="s">
        <v>1530</v>
      </c>
      <c r="E849" s="147" t="s">
        <v>1639</v>
      </c>
      <c r="F849" s="147" t="s">
        <v>2466</v>
      </c>
      <c r="G849" s="146" t="s">
        <v>109</v>
      </c>
      <c r="H849" s="146" t="s">
        <v>50</v>
      </c>
      <c r="I849" s="147" t="s">
        <v>1532</v>
      </c>
      <c r="J849" s="147" t="s">
        <v>104</v>
      </c>
      <c r="K849" s="148"/>
      <c r="L849" s="149"/>
      <c r="M849" s="148"/>
    </row>
    <row r="850" spans="1:13" ht="15" customHeight="1">
      <c r="A850" s="142" t="s">
        <v>2467</v>
      </c>
      <c r="B850" s="142">
        <v>513104</v>
      </c>
      <c r="C850" s="143" t="s">
        <v>2468</v>
      </c>
      <c r="D850" s="142" t="s">
        <v>1530</v>
      </c>
      <c r="E850" s="143" t="s">
        <v>1537</v>
      </c>
      <c r="F850" s="143" t="s">
        <v>2469</v>
      </c>
      <c r="G850" s="142" t="s">
        <v>109</v>
      </c>
      <c r="H850" s="142" t="s">
        <v>51</v>
      </c>
      <c r="I850" s="143" t="s">
        <v>1539</v>
      </c>
      <c r="J850" s="143" t="s">
        <v>104</v>
      </c>
      <c r="K850" s="144"/>
      <c r="L850" s="145"/>
      <c r="M850" s="144"/>
    </row>
    <row r="851" spans="1:13" ht="15" customHeight="1">
      <c r="A851" s="146" t="s">
        <v>2470</v>
      </c>
      <c r="B851" s="146">
        <v>514127</v>
      </c>
      <c r="C851" s="147" t="s">
        <v>2471</v>
      </c>
      <c r="D851" s="146" t="s">
        <v>1530</v>
      </c>
      <c r="E851" s="147" t="s">
        <v>1707</v>
      </c>
      <c r="F851" s="147" t="s">
        <v>2472</v>
      </c>
      <c r="G851" s="146" t="s">
        <v>109</v>
      </c>
      <c r="H851" s="146" t="s">
        <v>50</v>
      </c>
      <c r="I851" s="147" t="s">
        <v>1532</v>
      </c>
      <c r="J851" s="147" t="s">
        <v>104</v>
      </c>
      <c r="K851" s="148"/>
      <c r="L851" s="149"/>
      <c r="M851" s="148"/>
    </row>
    <row r="852" spans="1:13" ht="15" customHeight="1">
      <c r="A852" s="142" t="s">
        <v>2473</v>
      </c>
      <c r="B852" s="142">
        <v>513006</v>
      </c>
      <c r="C852" s="143" t="s">
        <v>2474</v>
      </c>
      <c r="D852" s="142" t="s">
        <v>1530</v>
      </c>
      <c r="E852" s="143" t="s">
        <v>1710</v>
      </c>
      <c r="F852" s="143" t="s">
        <v>1711</v>
      </c>
      <c r="G852" s="142" t="s">
        <v>109</v>
      </c>
      <c r="H852" s="142" t="s">
        <v>50</v>
      </c>
      <c r="I852" s="143" t="s">
        <v>1532</v>
      </c>
      <c r="J852" s="143" t="s">
        <v>104</v>
      </c>
      <c r="K852" s="144"/>
      <c r="L852" s="145"/>
      <c r="M852" s="144"/>
    </row>
    <row r="853" spans="1:13" ht="15" customHeight="1">
      <c r="A853" s="146" t="s">
        <v>2475</v>
      </c>
      <c r="B853" s="146">
        <v>513385</v>
      </c>
      <c r="C853" s="147" t="s">
        <v>2476</v>
      </c>
      <c r="D853" s="146" t="s">
        <v>1530</v>
      </c>
      <c r="E853" s="147" t="s">
        <v>320</v>
      </c>
      <c r="F853" s="147" t="s">
        <v>2477</v>
      </c>
      <c r="G853" s="146" t="s">
        <v>109</v>
      </c>
      <c r="H853" s="146" t="s">
        <v>51</v>
      </c>
      <c r="I853" s="147" t="s">
        <v>1539</v>
      </c>
      <c r="J853" s="147" t="s">
        <v>104</v>
      </c>
      <c r="K853" s="148"/>
      <c r="L853" s="149"/>
      <c r="M853" s="148"/>
    </row>
    <row r="854" spans="1:13" ht="15" customHeight="1">
      <c r="A854" s="142" t="s">
        <v>2478</v>
      </c>
      <c r="B854" s="142">
        <v>513123</v>
      </c>
      <c r="C854" s="143" t="s">
        <v>2479</v>
      </c>
      <c r="D854" s="142" t="s">
        <v>1530</v>
      </c>
      <c r="E854" s="143" t="s">
        <v>1549</v>
      </c>
      <c r="F854" s="143" t="s">
        <v>1914</v>
      </c>
      <c r="G854" s="142" t="s">
        <v>109</v>
      </c>
      <c r="H854" s="142" t="s">
        <v>50</v>
      </c>
      <c r="I854" s="143" t="s">
        <v>1532</v>
      </c>
      <c r="J854" s="143" t="s">
        <v>104</v>
      </c>
      <c r="K854" s="144" t="s">
        <v>121</v>
      </c>
      <c r="L854" s="145">
        <v>46148</v>
      </c>
      <c r="M854" s="144"/>
    </row>
    <row r="855" spans="1:13" ht="15" customHeight="1">
      <c r="A855" s="146" t="s">
        <v>2480</v>
      </c>
      <c r="B855" s="146">
        <v>513179</v>
      </c>
      <c r="C855" s="147" t="s">
        <v>2481</v>
      </c>
      <c r="D855" s="146" t="s">
        <v>1530</v>
      </c>
      <c r="E855" s="147" t="s">
        <v>1549</v>
      </c>
      <c r="F855" s="147" t="s">
        <v>2482</v>
      </c>
      <c r="G855" s="146" t="s">
        <v>109</v>
      </c>
      <c r="H855" s="146" t="s">
        <v>50</v>
      </c>
      <c r="I855" s="147" t="s">
        <v>1532</v>
      </c>
      <c r="J855" s="147" t="s">
        <v>104</v>
      </c>
      <c r="K855" s="148"/>
      <c r="L855" s="149"/>
      <c r="M855" s="148"/>
    </row>
    <row r="856" spans="1:13" ht="15" customHeight="1">
      <c r="A856" s="142" t="s">
        <v>2483</v>
      </c>
      <c r="B856" s="142">
        <v>512959</v>
      </c>
      <c r="C856" s="143" t="s">
        <v>2484</v>
      </c>
      <c r="D856" s="142" t="s">
        <v>1530</v>
      </c>
      <c r="E856" s="143" t="s">
        <v>1546</v>
      </c>
      <c r="F856" s="143" t="s">
        <v>2485</v>
      </c>
      <c r="G856" s="142" t="s">
        <v>109</v>
      </c>
      <c r="H856" s="142" t="s">
        <v>51</v>
      </c>
      <c r="I856" s="143" t="s">
        <v>1539</v>
      </c>
      <c r="J856" s="143" t="s">
        <v>104</v>
      </c>
      <c r="K856" s="144"/>
      <c r="L856" s="145"/>
      <c r="M856" s="144"/>
    </row>
    <row r="857" spans="1:13" ht="15" customHeight="1">
      <c r="A857" s="146" t="s">
        <v>2486</v>
      </c>
      <c r="B857" s="146">
        <v>512988</v>
      </c>
      <c r="C857" s="147" t="s">
        <v>2487</v>
      </c>
      <c r="D857" s="146" t="s">
        <v>1530</v>
      </c>
      <c r="E857" s="147" t="s">
        <v>1546</v>
      </c>
      <c r="F857" s="147" t="s">
        <v>1546</v>
      </c>
      <c r="G857" s="146" t="s">
        <v>102</v>
      </c>
      <c r="H857" s="146" t="s">
        <v>51</v>
      </c>
      <c r="I857" s="147" t="s">
        <v>1539</v>
      </c>
      <c r="J857" s="147" t="s">
        <v>104</v>
      </c>
      <c r="K857" s="148"/>
      <c r="L857" s="149"/>
      <c r="M857" s="148"/>
    </row>
    <row r="858" spans="1:13" ht="15" customHeight="1">
      <c r="A858" s="142" t="s">
        <v>2488</v>
      </c>
      <c r="B858" s="142">
        <v>512930</v>
      </c>
      <c r="C858" s="143" t="s">
        <v>2489</v>
      </c>
      <c r="D858" s="142" t="s">
        <v>1530</v>
      </c>
      <c r="E858" s="143" t="s">
        <v>1542</v>
      </c>
      <c r="F858" s="143" t="s">
        <v>2490</v>
      </c>
      <c r="G858" s="142" t="s">
        <v>102</v>
      </c>
      <c r="H858" s="142" t="s">
        <v>51</v>
      </c>
      <c r="I858" s="143" t="s">
        <v>1539</v>
      </c>
      <c r="J858" s="143" t="s">
        <v>104</v>
      </c>
      <c r="K858" s="144"/>
      <c r="L858" s="145"/>
      <c r="M858" s="144"/>
    </row>
    <row r="859" spans="1:13" ht="15" customHeight="1">
      <c r="A859" s="146" t="s">
        <v>2491</v>
      </c>
      <c r="B859" s="146">
        <v>512873</v>
      </c>
      <c r="C859" s="147" t="s">
        <v>1211</v>
      </c>
      <c r="D859" s="146" t="s">
        <v>1530</v>
      </c>
      <c r="E859" s="147" t="s">
        <v>1531</v>
      </c>
      <c r="F859" s="147" t="s">
        <v>1531</v>
      </c>
      <c r="G859" s="146" t="s">
        <v>102</v>
      </c>
      <c r="H859" s="146" t="s">
        <v>50</v>
      </c>
      <c r="I859" s="147" t="s">
        <v>1532</v>
      </c>
      <c r="J859" s="147" t="s">
        <v>104</v>
      </c>
      <c r="K859" s="148"/>
      <c r="L859" s="149"/>
      <c r="M859" s="148"/>
    </row>
    <row r="860" spans="1:13" ht="15" customHeight="1">
      <c r="A860" s="142" t="s">
        <v>2492</v>
      </c>
      <c r="B860" s="142">
        <v>513347</v>
      </c>
      <c r="C860" s="143" t="s">
        <v>2493</v>
      </c>
      <c r="D860" s="142" t="s">
        <v>1530</v>
      </c>
      <c r="E860" s="143" t="s">
        <v>1828</v>
      </c>
      <c r="F860" s="143" t="s">
        <v>2494</v>
      </c>
      <c r="G860" s="142" t="s">
        <v>109</v>
      </c>
      <c r="H860" s="142" t="s">
        <v>50</v>
      </c>
      <c r="I860" s="143" t="s">
        <v>1532</v>
      </c>
      <c r="J860" s="143" t="s">
        <v>104</v>
      </c>
      <c r="K860" s="144" t="s">
        <v>121</v>
      </c>
      <c r="L860" s="145">
        <v>46149</v>
      </c>
      <c r="M860" s="144"/>
    </row>
    <row r="861" spans="1:13" ht="15" customHeight="1">
      <c r="A861" s="146" t="s">
        <v>2495</v>
      </c>
      <c r="B861" s="146">
        <v>513081</v>
      </c>
      <c r="C861" s="147" t="s">
        <v>2496</v>
      </c>
      <c r="D861" s="146" t="s">
        <v>1530</v>
      </c>
      <c r="E861" s="147" t="s">
        <v>1537</v>
      </c>
      <c r="F861" s="147" t="s">
        <v>1537</v>
      </c>
      <c r="G861" s="146" t="s">
        <v>102</v>
      </c>
      <c r="H861" s="146" t="s">
        <v>51</v>
      </c>
      <c r="I861" s="147" t="s">
        <v>1539</v>
      </c>
      <c r="J861" s="147" t="s">
        <v>104</v>
      </c>
      <c r="K861" s="148"/>
      <c r="L861" s="149"/>
      <c r="M861" s="148"/>
    </row>
    <row r="862" spans="1:13" ht="15" customHeight="1">
      <c r="A862" s="142" t="s">
        <v>2497</v>
      </c>
      <c r="B862" s="142">
        <v>513406</v>
      </c>
      <c r="C862" s="143" t="s">
        <v>2498</v>
      </c>
      <c r="D862" s="142" t="s">
        <v>1530</v>
      </c>
      <c r="E862" s="143" t="s">
        <v>1546</v>
      </c>
      <c r="F862" s="143" t="s">
        <v>2134</v>
      </c>
      <c r="G862" s="142" t="s">
        <v>102</v>
      </c>
      <c r="H862" s="142" t="s">
        <v>51</v>
      </c>
      <c r="I862" s="143" t="s">
        <v>1539</v>
      </c>
      <c r="J862" s="143" t="s">
        <v>104</v>
      </c>
      <c r="K862" s="144"/>
      <c r="L862" s="145"/>
      <c r="M862" s="144"/>
    </row>
    <row r="863" spans="1:13" ht="15" customHeight="1">
      <c r="A863" s="146" t="s">
        <v>2499</v>
      </c>
      <c r="B863" s="146">
        <v>513857</v>
      </c>
      <c r="C863" s="147" t="s">
        <v>2500</v>
      </c>
      <c r="D863" s="146" t="s">
        <v>1530</v>
      </c>
      <c r="E863" s="147" t="s">
        <v>1546</v>
      </c>
      <c r="F863" s="147" t="s">
        <v>2134</v>
      </c>
      <c r="G863" s="146" t="s">
        <v>102</v>
      </c>
      <c r="H863" s="146" t="s">
        <v>51</v>
      </c>
      <c r="I863" s="147" t="s">
        <v>1539</v>
      </c>
      <c r="J863" s="147" t="s">
        <v>104</v>
      </c>
      <c r="K863" s="148"/>
      <c r="L863" s="149"/>
      <c r="M863" s="148"/>
    </row>
    <row r="864" spans="1:13" ht="15" customHeight="1">
      <c r="A864" s="142" t="s">
        <v>2501</v>
      </c>
      <c r="B864" s="142">
        <v>512887</v>
      </c>
      <c r="C864" s="143" t="s">
        <v>2502</v>
      </c>
      <c r="D864" s="142" t="s">
        <v>1530</v>
      </c>
      <c r="E864" s="143" t="s">
        <v>1546</v>
      </c>
      <c r="F864" s="143" t="s">
        <v>1546</v>
      </c>
      <c r="G864" s="142" t="s">
        <v>102</v>
      </c>
      <c r="H864" s="142" t="s">
        <v>51</v>
      </c>
      <c r="I864" s="143" t="s">
        <v>1539</v>
      </c>
      <c r="J864" s="143" t="s">
        <v>104</v>
      </c>
      <c r="K864" s="144"/>
      <c r="L864" s="145"/>
      <c r="M864" s="144"/>
    </row>
    <row r="865" spans="1:13" ht="15" customHeight="1">
      <c r="A865" s="146" t="s">
        <v>2503</v>
      </c>
      <c r="B865" s="146">
        <v>512893</v>
      </c>
      <c r="C865" s="147" t="s">
        <v>2504</v>
      </c>
      <c r="D865" s="146" t="s">
        <v>1530</v>
      </c>
      <c r="E865" s="147" t="s">
        <v>1546</v>
      </c>
      <c r="F865" s="147" t="s">
        <v>2134</v>
      </c>
      <c r="G865" s="146" t="s">
        <v>102</v>
      </c>
      <c r="H865" s="146" t="s">
        <v>51</v>
      </c>
      <c r="I865" s="147" t="s">
        <v>1539</v>
      </c>
      <c r="J865" s="147" t="s">
        <v>104</v>
      </c>
      <c r="K865" s="148" t="s">
        <v>162</v>
      </c>
      <c r="L865" s="149">
        <v>46149</v>
      </c>
      <c r="M865" s="148"/>
    </row>
    <row r="866" spans="1:13" ht="15" customHeight="1">
      <c r="A866" s="142" t="s">
        <v>2505</v>
      </c>
      <c r="B866" s="142">
        <v>512878</v>
      </c>
      <c r="C866" s="143" t="s">
        <v>2506</v>
      </c>
      <c r="D866" s="142" t="s">
        <v>1530</v>
      </c>
      <c r="E866" s="143" t="s">
        <v>1531</v>
      </c>
      <c r="F866" s="143" t="s">
        <v>1531</v>
      </c>
      <c r="G866" s="142" t="s">
        <v>102</v>
      </c>
      <c r="H866" s="142" t="s">
        <v>50</v>
      </c>
      <c r="I866" s="143" t="s">
        <v>1532</v>
      </c>
      <c r="J866" s="143" t="s">
        <v>104</v>
      </c>
      <c r="K866" s="144"/>
      <c r="L866" s="145"/>
      <c r="M866" s="144"/>
    </row>
    <row r="867" spans="1:13" ht="15" customHeight="1">
      <c r="A867" s="146" t="s">
        <v>2507</v>
      </c>
      <c r="B867" s="146">
        <v>513086</v>
      </c>
      <c r="C867" s="147" t="s">
        <v>2508</v>
      </c>
      <c r="D867" s="146" t="s">
        <v>1530</v>
      </c>
      <c r="E867" s="147" t="s">
        <v>1537</v>
      </c>
      <c r="F867" s="147" t="s">
        <v>1537</v>
      </c>
      <c r="G867" s="146" t="s">
        <v>102</v>
      </c>
      <c r="H867" s="146" t="s">
        <v>51</v>
      </c>
      <c r="I867" s="147" t="s">
        <v>1539</v>
      </c>
      <c r="J867" s="147" t="s">
        <v>104</v>
      </c>
      <c r="K867" s="148"/>
      <c r="L867" s="149"/>
      <c r="M867" s="148"/>
    </row>
    <row r="868" spans="1:13" ht="15" customHeight="1">
      <c r="A868" s="142" t="s">
        <v>2509</v>
      </c>
      <c r="B868" s="142">
        <v>513870</v>
      </c>
      <c r="C868" s="143" t="s">
        <v>2510</v>
      </c>
      <c r="D868" s="142" t="s">
        <v>1530</v>
      </c>
      <c r="E868" s="143" t="s">
        <v>1542</v>
      </c>
      <c r="F868" s="143" t="s">
        <v>2511</v>
      </c>
      <c r="G868" s="142" t="s">
        <v>109</v>
      </c>
      <c r="H868" s="142" t="s">
        <v>51</v>
      </c>
      <c r="I868" s="143" t="s">
        <v>1539</v>
      </c>
      <c r="J868" s="143" t="s">
        <v>104</v>
      </c>
      <c r="K868" s="144"/>
      <c r="L868" s="145"/>
      <c r="M868" s="144"/>
    </row>
    <row r="869" spans="1:13" ht="15" customHeight="1">
      <c r="A869" s="146" t="s">
        <v>2512</v>
      </c>
      <c r="B869" s="146">
        <v>512876</v>
      </c>
      <c r="C869" s="147" t="s">
        <v>2513</v>
      </c>
      <c r="D869" s="146" t="s">
        <v>1530</v>
      </c>
      <c r="E869" s="147" t="s">
        <v>1531</v>
      </c>
      <c r="F869" s="147" t="s">
        <v>2514</v>
      </c>
      <c r="G869" s="146" t="s">
        <v>109</v>
      </c>
      <c r="H869" s="146" t="s">
        <v>50</v>
      </c>
      <c r="I869" s="147" t="s">
        <v>1532</v>
      </c>
      <c r="J869" s="147" t="s">
        <v>104</v>
      </c>
      <c r="K869" s="148"/>
      <c r="L869" s="149"/>
      <c r="M869" s="148"/>
    </row>
    <row r="870" spans="1:13" ht="15" customHeight="1">
      <c r="A870" s="142" t="s">
        <v>2515</v>
      </c>
      <c r="B870" s="142">
        <v>513317</v>
      </c>
      <c r="C870" s="143" t="s">
        <v>2516</v>
      </c>
      <c r="D870" s="142" t="s">
        <v>1530</v>
      </c>
      <c r="E870" s="143" t="s">
        <v>1870</v>
      </c>
      <c r="F870" s="143" t="s">
        <v>1993</v>
      </c>
      <c r="G870" s="142" t="s">
        <v>109</v>
      </c>
      <c r="H870" s="142" t="s">
        <v>50</v>
      </c>
      <c r="I870" s="143" t="s">
        <v>1532</v>
      </c>
      <c r="J870" s="143" t="s">
        <v>104</v>
      </c>
      <c r="K870" s="144"/>
      <c r="L870" s="145"/>
      <c r="M870" s="144"/>
    </row>
    <row r="871" spans="1:13" ht="15" customHeight="1">
      <c r="A871" s="146" t="s">
        <v>2517</v>
      </c>
      <c r="B871" s="146">
        <v>513329</v>
      </c>
      <c r="C871" s="147" t="s">
        <v>2518</v>
      </c>
      <c r="D871" s="146" t="s">
        <v>1530</v>
      </c>
      <c r="E871" s="147" t="s">
        <v>1819</v>
      </c>
      <c r="F871" s="147" t="s">
        <v>2519</v>
      </c>
      <c r="G871" s="146" t="s">
        <v>109</v>
      </c>
      <c r="H871" s="146" t="s">
        <v>50</v>
      </c>
      <c r="I871" s="147" t="s">
        <v>1532</v>
      </c>
      <c r="J871" s="147" t="s">
        <v>104</v>
      </c>
      <c r="K871" s="148"/>
      <c r="L871" s="149"/>
      <c r="M871" s="148"/>
    </row>
    <row r="872" spans="1:13" ht="15" customHeight="1">
      <c r="A872" s="142" t="s">
        <v>2520</v>
      </c>
      <c r="B872" s="142">
        <v>513142</v>
      </c>
      <c r="C872" s="143" t="s">
        <v>2521</v>
      </c>
      <c r="D872" s="142" t="s">
        <v>1530</v>
      </c>
      <c r="E872" s="143" t="s">
        <v>1586</v>
      </c>
      <c r="F872" s="143" t="s">
        <v>2522</v>
      </c>
      <c r="G872" s="142" t="s">
        <v>109</v>
      </c>
      <c r="H872" s="142" t="s">
        <v>51</v>
      </c>
      <c r="I872" s="143" t="s">
        <v>1539</v>
      </c>
      <c r="J872" s="143" t="s">
        <v>104</v>
      </c>
      <c r="K872" s="144"/>
      <c r="L872" s="145"/>
      <c r="M872" s="144"/>
    </row>
    <row r="873" spans="1:13" ht="15" customHeight="1">
      <c r="A873" s="146" t="s">
        <v>2523</v>
      </c>
      <c r="B873" s="146">
        <v>512936</v>
      </c>
      <c r="C873" s="147" t="s">
        <v>2524</v>
      </c>
      <c r="D873" s="146" t="s">
        <v>1530</v>
      </c>
      <c r="E873" s="147" t="s">
        <v>1542</v>
      </c>
      <c r="F873" s="147" t="s">
        <v>2006</v>
      </c>
      <c r="G873" s="146" t="s">
        <v>102</v>
      </c>
      <c r="H873" s="146" t="s">
        <v>51</v>
      </c>
      <c r="I873" s="147" t="s">
        <v>1539</v>
      </c>
      <c r="J873" s="147" t="s">
        <v>104</v>
      </c>
      <c r="K873" s="148"/>
      <c r="L873" s="149"/>
      <c r="M873" s="148"/>
    </row>
    <row r="874" spans="1:13" ht="15" customHeight="1">
      <c r="A874" s="142" t="s">
        <v>2525</v>
      </c>
      <c r="B874" s="142">
        <v>513326</v>
      </c>
      <c r="C874" s="143" t="s">
        <v>2526</v>
      </c>
      <c r="D874" s="142" t="s">
        <v>1530</v>
      </c>
      <c r="E874" s="143" t="s">
        <v>1734</v>
      </c>
      <c r="F874" s="143" t="s">
        <v>2527</v>
      </c>
      <c r="G874" s="142" t="s">
        <v>109</v>
      </c>
      <c r="H874" s="142" t="s">
        <v>50</v>
      </c>
      <c r="I874" s="143" t="s">
        <v>1532</v>
      </c>
      <c r="J874" s="143" t="s">
        <v>104</v>
      </c>
      <c r="K874" s="144" t="s">
        <v>121</v>
      </c>
      <c r="L874" s="145">
        <v>46141</v>
      </c>
      <c r="M874" s="144"/>
    </row>
    <row r="875" spans="1:13" ht="15" customHeight="1">
      <c r="A875" s="146" t="s">
        <v>2528</v>
      </c>
      <c r="B875" s="146">
        <v>513321</v>
      </c>
      <c r="C875" s="147" t="s">
        <v>2529</v>
      </c>
      <c r="D875" s="146" t="s">
        <v>1530</v>
      </c>
      <c r="E875" s="147" t="s">
        <v>1979</v>
      </c>
      <c r="F875" s="147" t="s">
        <v>1446</v>
      </c>
      <c r="G875" s="146" t="s">
        <v>109</v>
      </c>
      <c r="H875" s="146" t="s">
        <v>50</v>
      </c>
      <c r="I875" s="147" t="s">
        <v>1532</v>
      </c>
      <c r="J875" s="147" t="s">
        <v>104</v>
      </c>
      <c r="K875" s="148" t="s">
        <v>162</v>
      </c>
      <c r="L875" s="149">
        <v>46148</v>
      </c>
      <c r="M875" s="148" t="s">
        <v>1740</v>
      </c>
    </row>
    <row r="876" spans="1:13" ht="15" customHeight="1">
      <c r="A876" s="142" t="s">
        <v>2530</v>
      </c>
      <c r="B876" s="142">
        <v>513035</v>
      </c>
      <c r="C876" s="143" t="s">
        <v>2531</v>
      </c>
      <c r="D876" s="142" t="s">
        <v>1530</v>
      </c>
      <c r="E876" s="143" t="s">
        <v>1979</v>
      </c>
      <c r="F876" s="143" t="s">
        <v>1979</v>
      </c>
      <c r="G876" s="142" t="s">
        <v>102</v>
      </c>
      <c r="H876" s="142" t="s">
        <v>50</v>
      </c>
      <c r="I876" s="143" t="s">
        <v>1532</v>
      </c>
      <c r="J876" s="143" t="s">
        <v>104</v>
      </c>
      <c r="K876" s="144" t="s">
        <v>121</v>
      </c>
      <c r="L876" s="145">
        <v>46149</v>
      </c>
      <c r="M876" s="144"/>
    </row>
    <row r="877" spans="1:13" ht="15" customHeight="1">
      <c r="A877" s="146" t="s">
        <v>2532</v>
      </c>
      <c r="B877" s="146">
        <v>514097</v>
      </c>
      <c r="C877" s="147" t="s">
        <v>2533</v>
      </c>
      <c r="D877" s="146" t="s">
        <v>1530</v>
      </c>
      <c r="E877" s="147" t="s">
        <v>1639</v>
      </c>
      <c r="F877" s="147" t="s">
        <v>2534</v>
      </c>
      <c r="G877" s="146" t="s">
        <v>109</v>
      </c>
      <c r="H877" s="146" t="s">
        <v>50</v>
      </c>
      <c r="I877" s="147" t="s">
        <v>1532</v>
      </c>
      <c r="J877" s="147" t="s">
        <v>104</v>
      </c>
      <c r="K877" s="148" t="s">
        <v>121</v>
      </c>
      <c r="L877" s="149">
        <v>46150</v>
      </c>
      <c r="M877" s="148"/>
    </row>
    <row r="878" spans="1:13" ht="15" customHeight="1">
      <c r="A878" s="142" t="s">
        <v>2535</v>
      </c>
      <c r="B878" s="142">
        <v>513076</v>
      </c>
      <c r="C878" s="143" t="s">
        <v>2536</v>
      </c>
      <c r="D878" s="142" t="s">
        <v>1530</v>
      </c>
      <c r="E878" s="143" t="s">
        <v>1607</v>
      </c>
      <c r="F878" s="143" t="s">
        <v>1607</v>
      </c>
      <c r="G878" s="142" t="s">
        <v>102</v>
      </c>
      <c r="H878" s="142" t="s">
        <v>50</v>
      </c>
      <c r="I878" s="143" t="s">
        <v>1532</v>
      </c>
      <c r="J878" s="143" t="s">
        <v>104</v>
      </c>
      <c r="K878" s="144"/>
      <c r="L878" s="145"/>
      <c r="M878" s="144"/>
    </row>
    <row r="879" spans="1:13" ht="15" customHeight="1">
      <c r="A879" s="146" t="s">
        <v>2537</v>
      </c>
      <c r="B879" s="146">
        <v>513027</v>
      </c>
      <c r="C879" s="147" t="s">
        <v>2538</v>
      </c>
      <c r="D879" s="146" t="s">
        <v>1530</v>
      </c>
      <c r="E879" s="147" t="s">
        <v>1639</v>
      </c>
      <c r="F879" s="147" t="s">
        <v>2539</v>
      </c>
      <c r="G879" s="146" t="s">
        <v>109</v>
      </c>
      <c r="H879" s="146" t="s">
        <v>50</v>
      </c>
      <c r="I879" s="147" t="s">
        <v>1532</v>
      </c>
      <c r="J879" s="147" t="s">
        <v>104</v>
      </c>
      <c r="K879" s="148"/>
      <c r="L879" s="149"/>
      <c r="M879" s="148"/>
    </row>
    <row r="880" spans="1:13" ht="15" customHeight="1">
      <c r="A880" s="142" t="s">
        <v>2540</v>
      </c>
      <c r="B880" s="142">
        <v>513349</v>
      </c>
      <c r="C880" s="143" t="s">
        <v>2541</v>
      </c>
      <c r="D880" s="142" t="s">
        <v>1530</v>
      </c>
      <c r="E880" s="143" t="s">
        <v>1979</v>
      </c>
      <c r="F880" s="143" t="s">
        <v>1980</v>
      </c>
      <c r="G880" s="142" t="s">
        <v>109</v>
      </c>
      <c r="H880" s="142" t="s">
        <v>50</v>
      </c>
      <c r="I880" s="143" t="s">
        <v>1532</v>
      </c>
      <c r="J880" s="143" t="s">
        <v>104</v>
      </c>
      <c r="K880" s="144" t="s">
        <v>162</v>
      </c>
      <c r="L880" s="145">
        <v>46147</v>
      </c>
      <c r="M880" s="144" t="s">
        <v>1740</v>
      </c>
    </row>
    <row r="881" spans="1:13" ht="15" customHeight="1">
      <c r="A881" s="146" t="s">
        <v>2542</v>
      </c>
      <c r="B881" s="146">
        <v>512915</v>
      </c>
      <c r="C881" s="147" t="s">
        <v>1123</v>
      </c>
      <c r="D881" s="146" t="s">
        <v>1530</v>
      </c>
      <c r="E881" s="147" t="s">
        <v>1676</v>
      </c>
      <c r="F881" s="147" t="s">
        <v>2543</v>
      </c>
      <c r="G881" s="146" t="s">
        <v>109</v>
      </c>
      <c r="H881" s="146" t="s">
        <v>51</v>
      </c>
      <c r="I881" s="147" t="s">
        <v>1539</v>
      </c>
      <c r="J881" s="147" t="s">
        <v>104</v>
      </c>
      <c r="K881" s="148"/>
      <c r="L881" s="149"/>
      <c r="M881" s="148"/>
    </row>
    <row r="882" spans="1:13" ht="15" customHeight="1">
      <c r="A882" s="142" t="s">
        <v>2544</v>
      </c>
      <c r="B882" s="142">
        <v>513100</v>
      </c>
      <c r="C882" s="143" t="s">
        <v>2545</v>
      </c>
      <c r="D882" s="142" t="s">
        <v>1530</v>
      </c>
      <c r="E882" s="143" t="s">
        <v>1731</v>
      </c>
      <c r="F882" s="143" t="s">
        <v>1731</v>
      </c>
      <c r="G882" s="142" t="s">
        <v>109</v>
      </c>
      <c r="H882" s="142" t="s">
        <v>50</v>
      </c>
      <c r="I882" s="143" t="s">
        <v>1532</v>
      </c>
      <c r="J882" s="143" t="s">
        <v>104</v>
      </c>
      <c r="K882" s="144" t="s">
        <v>121</v>
      </c>
      <c r="L882" s="145">
        <v>46141</v>
      </c>
      <c r="M882" s="144"/>
    </row>
    <row r="883" spans="1:13" ht="15" customHeight="1">
      <c r="A883" s="146" t="s">
        <v>2546</v>
      </c>
      <c r="B883" s="146">
        <v>513127</v>
      </c>
      <c r="C883" s="147" t="s">
        <v>2547</v>
      </c>
      <c r="D883" s="146" t="s">
        <v>1530</v>
      </c>
      <c r="E883" s="147" t="s">
        <v>1734</v>
      </c>
      <c r="F883" s="147" t="s">
        <v>1734</v>
      </c>
      <c r="G883" s="146" t="s">
        <v>102</v>
      </c>
      <c r="H883" s="146" t="s">
        <v>50</v>
      </c>
      <c r="I883" s="147" t="s">
        <v>1532</v>
      </c>
      <c r="J883" s="147" t="s">
        <v>104</v>
      </c>
      <c r="K883" s="148"/>
      <c r="L883" s="149"/>
      <c r="M883" s="148"/>
    </row>
    <row r="884" spans="1:13" ht="15" customHeight="1">
      <c r="A884" s="142" t="s">
        <v>2548</v>
      </c>
      <c r="B884" s="142">
        <v>512932</v>
      </c>
      <c r="C884" s="143" t="s">
        <v>2549</v>
      </c>
      <c r="D884" s="142" t="s">
        <v>1530</v>
      </c>
      <c r="E884" s="143" t="s">
        <v>1546</v>
      </c>
      <c r="F884" s="143" t="s">
        <v>1428</v>
      </c>
      <c r="G884" s="142" t="s">
        <v>102</v>
      </c>
      <c r="H884" s="142" t="s">
        <v>51</v>
      </c>
      <c r="I884" s="143" t="s">
        <v>1539</v>
      </c>
      <c r="J884" s="143" t="s">
        <v>104</v>
      </c>
      <c r="K884" s="144" t="s">
        <v>121</v>
      </c>
      <c r="L884" s="145">
        <v>46148</v>
      </c>
      <c r="M884" s="144"/>
    </row>
    <row r="885" spans="1:13" ht="15" customHeight="1">
      <c r="A885" s="146" t="s">
        <v>2550</v>
      </c>
      <c r="B885" s="146">
        <v>513361</v>
      </c>
      <c r="C885" s="147" t="s">
        <v>2551</v>
      </c>
      <c r="D885" s="146" t="s">
        <v>1530</v>
      </c>
      <c r="E885" s="147" t="s">
        <v>1639</v>
      </c>
      <c r="F885" s="147" t="s">
        <v>2552</v>
      </c>
      <c r="G885" s="146" t="s">
        <v>102</v>
      </c>
      <c r="H885" s="146" t="s">
        <v>50</v>
      </c>
      <c r="I885" s="147" t="s">
        <v>1532</v>
      </c>
      <c r="J885" s="147" t="s">
        <v>104</v>
      </c>
      <c r="K885" s="148"/>
      <c r="L885" s="149"/>
      <c r="M885" s="148"/>
    </row>
    <row r="886" spans="1:13" ht="15" customHeight="1">
      <c r="A886" s="142" t="s">
        <v>2553</v>
      </c>
      <c r="B886" s="142">
        <v>513262</v>
      </c>
      <c r="C886" s="143" t="s">
        <v>2554</v>
      </c>
      <c r="D886" s="142" t="s">
        <v>1530</v>
      </c>
      <c r="E886" s="143" t="s">
        <v>1870</v>
      </c>
      <c r="F886" s="143" t="s">
        <v>2555</v>
      </c>
      <c r="G886" s="142" t="s">
        <v>109</v>
      </c>
      <c r="H886" s="142" t="s">
        <v>50</v>
      </c>
      <c r="I886" s="143" t="s">
        <v>1532</v>
      </c>
      <c r="J886" s="143" t="s">
        <v>104</v>
      </c>
      <c r="K886" s="144"/>
      <c r="L886" s="145"/>
      <c r="M886" s="144"/>
    </row>
    <row r="887" spans="1:13" ht="15" customHeight="1">
      <c r="A887" s="146" t="s">
        <v>2556</v>
      </c>
      <c r="B887" s="146">
        <v>513408</v>
      </c>
      <c r="C887" s="147" t="s">
        <v>2557</v>
      </c>
      <c r="D887" s="146" t="s">
        <v>1530</v>
      </c>
      <c r="E887" s="147" t="s">
        <v>1546</v>
      </c>
      <c r="F887" s="147" t="s">
        <v>1546</v>
      </c>
      <c r="G887" s="146" t="s">
        <v>102</v>
      </c>
      <c r="H887" s="146" t="s">
        <v>51</v>
      </c>
      <c r="I887" s="147" t="s">
        <v>1539</v>
      </c>
      <c r="J887" s="147" t="s">
        <v>104</v>
      </c>
      <c r="K887" s="148" t="s">
        <v>121</v>
      </c>
      <c r="L887" s="149">
        <v>46149</v>
      </c>
      <c r="M887" s="148"/>
    </row>
    <row r="888" spans="1:13" ht="15" customHeight="1">
      <c r="A888" s="142" t="s">
        <v>2558</v>
      </c>
      <c r="B888" s="142">
        <v>513141</v>
      </c>
      <c r="C888" s="143" t="s">
        <v>2559</v>
      </c>
      <c r="D888" s="142" t="s">
        <v>1530</v>
      </c>
      <c r="E888" s="143" t="s">
        <v>1756</v>
      </c>
      <c r="F888" s="143" t="s">
        <v>2560</v>
      </c>
      <c r="G888" s="142" t="s">
        <v>109</v>
      </c>
      <c r="H888" s="142" t="s">
        <v>50</v>
      </c>
      <c r="I888" s="143" t="s">
        <v>1532</v>
      </c>
      <c r="J888" s="143" t="s">
        <v>104</v>
      </c>
      <c r="K888" s="144" t="s">
        <v>162</v>
      </c>
      <c r="L888" s="145">
        <v>46149</v>
      </c>
      <c r="M888" s="181" t="s">
        <v>1716</v>
      </c>
    </row>
    <row r="889" spans="1:13" ht="15" customHeight="1">
      <c r="A889" s="146" t="s">
        <v>2561</v>
      </c>
      <c r="B889" s="146">
        <v>513107</v>
      </c>
      <c r="C889" s="147" t="s">
        <v>2562</v>
      </c>
      <c r="D889" s="146" t="s">
        <v>1530</v>
      </c>
      <c r="E889" s="147" t="s">
        <v>1710</v>
      </c>
      <c r="F889" s="147" t="s">
        <v>2563</v>
      </c>
      <c r="G889" s="146" t="s">
        <v>102</v>
      </c>
      <c r="H889" s="146" t="s">
        <v>50</v>
      </c>
      <c r="I889" s="147" t="s">
        <v>1532</v>
      </c>
      <c r="J889" s="147" t="s">
        <v>104</v>
      </c>
      <c r="K889" s="148"/>
      <c r="L889" s="149"/>
      <c r="M889" s="148"/>
    </row>
    <row r="890" spans="1:13" ht="15" customHeight="1">
      <c r="A890" s="142" t="s">
        <v>2564</v>
      </c>
      <c r="B890" s="142">
        <v>513103</v>
      </c>
      <c r="C890" s="143" t="s">
        <v>2565</v>
      </c>
      <c r="D890" s="142" t="s">
        <v>1530</v>
      </c>
      <c r="E890" s="143" t="s">
        <v>1537</v>
      </c>
      <c r="F890" s="143" t="s">
        <v>1537</v>
      </c>
      <c r="G890" s="142" t="s">
        <v>102</v>
      </c>
      <c r="H890" s="142" t="s">
        <v>51</v>
      </c>
      <c r="I890" s="143" t="s">
        <v>1539</v>
      </c>
      <c r="J890" s="143" t="s">
        <v>104</v>
      </c>
      <c r="K890" s="144"/>
      <c r="L890" s="145"/>
      <c r="M890" s="144"/>
    </row>
    <row r="891" spans="1:13" ht="15" customHeight="1">
      <c r="A891" s="146" t="s">
        <v>2566</v>
      </c>
      <c r="B891" s="146">
        <v>513160</v>
      </c>
      <c r="C891" s="147" t="s">
        <v>2567</v>
      </c>
      <c r="D891" s="146" t="s">
        <v>1530</v>
      </c>
      <c r="E891" s="147" t="s">
        <v>1549</v>
      </c>
      <c r="F891" s="147" t="s">
        <v>2568</v>
      </c>
      <c r="G891" s="146" t="s">
        <v>109</v>
      </c>
      <c r="H891" s="146" t="s">
        <v>50</v>
      </c>
      <c r="I891" s="147" t="s">
        <v>1532</v>
      </c>
      <c r="J891" s="147" t="s">
        <v>104</v>
      </c>
      <c r="K891" s="148"/>
      <c r="L891" s="149"/>
      <c r="M891" s="148"/>
    </row>
    <row r="892" spans="1:13" ht="15" customHeight="1">
      <c r="A892" s="142" t="s">
        <v>2569</v>
      </c>
      <c r="B892" s="142">
        <v>514063</v>
      </c>
      <c r="C892" s="143" t="s">
        <v>2570</v>
      </c>
      <c r="D892" s="142" t="s">
        <v>1530</v>
      </c>
      <c r="E892" s="143" t="s">
        <v>1719</v>
      </c>
      <c r="F892" s="143" t="s">
        <v>2571</v>
      </c>
      <c r="G892" s="142" t="s">
        <v>109</v>
      </c>
      <c r="H892" s="142" t="s">
        <v>50</v>
      </c>
      <c r="I892" s="143" t="s">
        <v>1532</v>
      </c>
      <c r="J892" s="143" t="s">
        <v>104</v>
      </c>
      <c r="K892" s="144"/>
      <c r="L892" s="145"/>
      <c r="M892" s="144"/>
    </row>
    <row r="893" spans="1:13" ht="15" customHeight="1">
      <c r="A893" s="146" t="s">
        <v>2572</v>
      </c>
      <c r="B893" s="146">
        <v>513216</v>
      </c>
      <c r="C893" s="147" t="s">
        <v>1057</v>
      </c>
      <c r="D893" s="146" t="s">
        <v>1530</v>
      </c>
      <c r="E893" s="147" t="s">
        <v>1719</v>
      </c>
      <c r="F893" s="147" t="s">
        <v>2573</v>
      </c>
      <c r="G893" s="146" t="s">
        <v>109</v>
      </c>
      <c r="H893" s="146" t="s">
        <v>50</v>
      </c>
      <c r="I893" s="147" t="s">
        <v>1532</v>
      </c>
      <c r="J893" s="147" t="s">
        <v>104</v>
      </c>
      <c r="K893" s="148"/>
      <c r="L893" s="149"/>
      <c r="M893" s="148"/>
    </row>
    <row r="894" spans="1:13" ht="15" customHeight="1">
      <c r="A894" s="142" t="s">
        <v>2574</v>
      </c>
      <c r="B894" s="142">
        <v>513053</v>
      </c>
      <c r="C894" s="143" t="s">
        <v>2575</v>
      </c>
      <c r="D894" s="142" t="s">
        <v>1530</v>
      </c>
      <c r="E894" s="143" t="s">
        <v>1537</v>
      </c>
      <c r="F894" s="143" t="s">
        <v>1537</v>
      </c>
      <c r="G894" s="142" t="s">
        <v>102</v>
      </c>
      <c r="H894" s="142" t="s">
        <v>51</v>
      </c>
      <c r="I894" s="143" t="s">
        <v>1539</v>
      </c>
      <c r="J894" s="143" t="s">
        <v>104</v>
      </c>
      <c r="K894" s="144"/>
      <c r="L894" s="145"/>
      <c r="M894" s="144"/>
    </row>
    <row r="895" spans="1:13" ht="15" customHeight="1">
      <c r="A895" s="146" t="s">
        <v>2576</v>
      </c>
      <c r="B895" s="146">
        <v>513296</v>
      </c>
      <c r="C895" s="147" t="s">
        <v>2577</v>
      </c>
      <c r="D895" s="146" t="s">
        <v>1530</v>
      </c>
      <c r="E895" s="147" t="s">
        <v>1756</v>
      </c>
      <c r="F895" s="147" t="s">
        <v>1265</v>
      </c>
      <c r="G895" s="146" t="s">
        <v>109</v>
      </c>
      <c r="H895" s="146" t="s">
        <v>50</v>
      </c>
      <c r="I895" s="147" t="s">
        <v>1532</v>
      </c>
      <c r="J895" s="147" t="s">
        <v>104</v>
      </c>
      <c r="K895" s="148"/>
      <c r="L895" s="149"/>
      <c r="M895" s="148"/>
    </row>
    <row r="896" spans="1:13" ht="15" customHeight="1">
      <c r="A896" s="142" t="s">
        <v>2578</v>
      </c>
      <c r="B896" s="142">
        <v>514173</v>
      </c>
      <c r="C896" s="143" t="s">
        <v>2579</v>
      </c>
      <c r="D896" s="142" t="s">
        <v>1530</v>
      </c>
      <c r="E896" s="143" t="s">
        <v>1607</v>
      </c>
      <c r="F896" s="143" t="s">
        <v>2580</v>
      </c>
      <c r="G896" s="142" t="s">
        <v>109</v>
      </c>
      <c r="H896" s="142" t="s">
        <v>50</v>
      </c>
      <c r="I896" s="143" t="s">
        <v>1532</v>
      </c>
      <c r="J896" s="143" t="s">
        <v>104</v>
      </c>
      <c r="K896" s="144"/>
      <c r="L896" s="145"/>
      <c r="M896" s="144"/>
    </row>
    <row r="897" spans="1:13" ht="15" customHeight="1">
      <c r="A897" s="146" t="s">
        <v>2581</v>
      </c>
      <c r="B897" s="146">
        <v>513018</v>
      </c>
      <c r="C897" s="147" t="s">
        <v>2582</v>
      </c>
      <c r="D897" s="146" t="s">
        <v>1530</v>
      </c>
      <c r="E897" s="147" t="s">
        <v>1653</v>
      </c>
      <c r="F897" s="147" t="s">
        <v>1653</v>
      </c>
      <c r="G897" s="146" t="s">
        <v>109</v>
      </c>
      <c r="H897" s="146" t="s">
        <v>50</v>
      </c>
      <c r="I897" s="147" t="s">
        <v>1532</v>
      </c>
      <c r="J897" s="147" t="s">
        <v>104</v>
      </c>
      <c r="K897" s="148" t="s">
        <v>121</v>
      </c>
      <c r="L897" s="149">
        <v>46147</v>
      </c>
      <c r="M897" s="148"/>
    </row>
    <row r="898" spans="1:13" ht="15" customHeight="1">
      <c r="A898" s="142" t="s">
        <v>2583</v>
      </c>
      <c r="B898" s="142">
        <v>513341</v>
      </c>
      <c r="C898" s="143" t="s">
        <v>2584</v>
      </c>
      <c r="D898" s="142" t="s">
        <v>1530</v>
      </c>
      <c r="E898" s="143" t="s">
        <v>1546</v>
      </c>
      <c r="F898" s="143" t="s">
        <v>2585</v>
      </c>
      <c r="G898" s="142" t="s">
        <v>109</v>
      </c>
      <c r="H898" s="142" t="s">
        <v>51</v>
      </c>
      <c r="I898" s="143" t="s">
        <v>1539</v>
      </c>
      <c r="J898" s="143" t="s">
        <v>104</v>
      </c>
      <c r="K898" s="144"/>
      <c r="L898" s="145"/>
      <c r="M898" s="144"/>
    </row>
    <row r="899" spans="1:13" ht="15" customHeight="1">
      <c r="A899" s="146" t="s">
        <v>2586</v>
      </c>
      <c r="B899" s="146">
        <v>512905</v>
      </c>
      <c r="C899" s="147" t="s">
        <v>2587</v>
      </c>
      <c r="D899" s="146" t="s">
        <v>1530</v>
      </c>
      <c r="E899" s="147" t="s">
        <v>1546</v>
      </c>
      <c r="F899" s="147" t="s">
        <v>1546</v>
      </c>
      <c r="G899" s="146" t="s">
        <v>102</v>
      </c>
      <c r="H899" s="146" t="s">
        <v>51</v>
      </c>
      <c r="I899" s="147" t="s">
        <v>1539</v>
      </c>
      <c r="J899" s="147" t="s">
        <v>104</v>
      </c>
      <c r="K899" s="148"/>
      <c r="L899" s="149"/>
      <c r="M899" s="148"/>
    </row>
    <row r="900" spans="1:13" ht="15" customHeight="1">
      <c r="A900" s="142" t="s">
        <v>2588</v>
      </c>
      <c r="B900" s="142">
        <v>513194</v>
      </c>
      <c r="C900" s="143" t="s">
        <v>2589</v>
      </c>
      <c r="D900" s="142" t="s">
        <v>1530</v>
      </c>
      <c r="E900" s="143" t="s">
        <v>1687</v>
      </c>
      <c r="F900" s="143" t="s">
        <v>2590</v>
      </c>
      <c r="G900" s="142" t="s">
        <v>109</v>
      </c>
      <c r="H900" s="142" t="s">
        <v>50</v>
      </c>
      <c r="I900" s="143" t="s">
        <v>1532</v>
      </c>
      <c r="J900" s="143" t="s">
        <v>104</v>
      </c>
      <c r="K900" s="144" t="s">
        <v>121</v>
      </c>
      <c r="L900" s="145">
        <v>46140</v>
      </c>
      <c r="M900" s="144"/>
    </row>
    <row r="901" spans="1:13" ht="15" customHeight="1">
      <c r="A901" s="146" t="s">
        <v>2591</v>
      </c>
      <c r="B901" s="146">
        <v>513045</v>
      </c>
      <c r="C901" s="147" t="s">
        <v>2592</v>
      </c>
      <c r="D901" s="146" t="s">
        <v>1530</v>
      </c>
      <c r="E901" s="147" t="s">
        <v>1734</v>
      </c>
      <c r="F901" s="147" t="s">
        <v>2593</v>
      </c>
      <c r="G901" s="146" t="s">
        <v>109</v>
      </c>
      <c r="H901" s="146" t="s">
        <v>50</v>
      </c>
      <c r="I901" s="147" t="s">
        <v>1532</v>
      </c>
      <c r="J901" s="147" t="s">
        <v>104</v>
      </c>
      <c r="K901" s="148" t="s">
        <v>121</v>
      </c>
      <c r="L901" s="149">
        <v>46149</v>
      </c>
      <c r="M901" s="148"/>
    </row>
    <row r="902" spans="1:13" ht="15" customHeight="1">
      <c r="A902" s="142" t="s">
        <v>2594</v>
      </c>
      <c r="B902" s="142">
        <v>513330</v>
      </c>
      <c r="C902" s="143" t="s">
        <v>2595</v>
      </c>
      <c r="D902" s="142" t="s">
        <v>1530</v>
      </c>
      <c r="E902" s="143" t="s">
        <v>1734</v>
      </c>
      <c r="F902" s="143" t="s">
        <v>2596</v>
      </c>
      <c r="G902" s="142" t="s">
        <v>109</v>
      </c>
      <c r="H902" s="142" t="s">
        <v>50</v>
      </c>
      <c r="I902" s="143" t="s">
        <v>1532</v>
      </c>
      <c r="J902" s="143" t="s">
        <v>104</v>
      </c>
      <c r="K902" s="144"/>
      <c r="L902" s="145"/>
      <c r="M902" s="144"/>
    </row>
    <row r="903" spans="1:13" ht="15" customHeight="1">
      <c r="A903" s="146" t="s">
        <v>2597</v>
      </c>
      <c r="B903" s="146">
        <v>514187</v>
      </c>
      <c r="C903" s="147" t="s">
        <v>2598</v>
      </c>
      <c r="D903" s="146" t="s">
        <v>1530</v>
      </c>
      <c r="E903" s="147" t="s">
        <v>1979</v>
      </c>
      <c r="F903" s="147" t="s">
        <v>2599</v>
      </c>
      <c r="G903" s="146" t="s">
        <v>109</v>
      </c>
      <c r="H903" s="146" t="s">
        <v>50</v>
      </c>
      <c r="I903" s="147" t="s">
        <v>1532</v>
      </c>
      <c r="J903" s="147" t="s">
        <v>104</v>
      </c>
      <c r="K903" s="148" t="s">
        <v>121</v>
      </c>
      <c r="L903" s="149">
        <v>46147</v>
      </c>
      <c r="M903" s="148"/>
    </row>
    <row r="904" spans="1:13" ht="15" customHeight="1">
      <c r="A904" s="142" t="s">
        <v>2600</v>
      </c>
      <c r="B904" s="142">
        <v>513302</v>
      </c>
      <c r="C904" s="143" t="s">
        <v>2601</v>
      </c>
      <c r="D904" s="142" t="s">
        <v>1530</v>
      </c>
      <c r="E904" s="143" t="s">
        <v>1607</v>
      </c>
      <c r="F904" s="143" t="s">
        <v>2602</v>
      </c>
      <c r="G904" s="142" t="s">
        <v>109</v>
      </c>
      <c r="H904" s="142" t="s">
        <v>50</v>
      </c>
      <c r="I904" s="143" t="s">
        <v>1532</v>
      </c>
      <c r="J904" s="143" t="s">
        <v>104</v>
      </c>
      <c r="K904" s="144"/>
      <c r="L904" s="145"/>
      <c r="M904" s="144"/>
    </row>
    <row r="905" spans="1:13" ht="15" customHeight="1">
      <c r="A905" s="146" t="s">
        <v>2603</v>
      </c>
      <c r="B905" s="146">
        <v>513028</v>
      </c>
      <c r="C905" s="147" t="s">
        <v>2604</v>
      </c>
      <c r="D905" s="146" t="s">
        <v>1530</v>
      </c>
      <c r="E905" s="147" t="s">
        <v>1639</v>
      </c>
      <c r="F905" s="147" t="s">
        <v>2605</v>
      </c>
      <c r="G905" s="146" t="s">
        <v>109</v>
      </c>
      <c r="H905" s="146" t="s">
        <v>50</v>
      </c>
      <c r="I905" s="147" t="s">
        <v>1532</v>
      </c>
      <c r="J905" s="147" t="s">
        <v>104</v>
      </c>
      <c r="K905" s="148"/>
      <c r="L905" s="149"/>
      <c r="M905" s="148"/>
    </row>
    <row r="906" spans="1:13" ht="15" customHeight="1">
      <c r="A906" s="142" t="s">
        <v>2606</v>
      </c>
      <c r="B906" s="142">
        <v>514098</v>
      </c>
      <c r="C906" s="143" t="s">
        <v>2607</v>
      </c>
      <c r="D906" s="142" t="s">
        <v>1530</v>
      </c>
      <c r="E906" s="143" t="s">
        <v>1639</v>
      </c>
      <c r="F906" s="143" t="s">
        <v>2608</v>
      </c>
      <c r="G906" s="142" t="s">
        <v>102</v>
      </c>
      <c r="H906" s="142" t="s">
        <v>50</v>
      </c>
      <c r="I906" s="143" t="s">
        <v>1532</v>
      </c>
      <c r="J906" s="143" t="s">
        <v>104</v>
      </c>
      <c r="K906" s="144" t="s">
        <v>121</v>
      </c>
      <c r="L906" s="145">
        <v>46150</v>
      </c>
      <c r="M906" s="144"/>
    </row>
    <row r="907" spans="1:13" ht="15" customHeight="1">
      <c r="A907" s="146" t="s">
        <v>2609</v>
      </c>
      <c r="B907" s="146">
        <v>513032</v>
      </c>
      <c r="C907" s="147" t="s">
        <v>2610</v>
      </c>
      <c r="D907" s="146" t="s">
        <v>1530</v>
      </c>
      <c r="E907" s="147" t="s">
        <v>1828</v>
      </c>
      <c r="F907" s="147" t="s">
        <v>1828</v>
      </c>
      <c r="G907" s="146" t="s">
        <v>102</v>
      </c>
      <c r="H907" s="146" t="s">
        <v>50</v>
      </c>
      <c r="I907" s="147" t="s">
        <v>1532</v>
      </c>
      <c r="J907" s="147" t="s">
        <v>104</v>
      </c>
      <c r="K907" s="148" t="s">
        <v>121</v>
      </c>
      <c r="L907" s="149">
        <v>46150</v>
      </c>
      <c r="M907" s="148"/>
    </row>
    <row r="908" spans="1:13" ht="15" customHeight="1">
      <c r="A908" s="142" t="s">
        <v>2611</v>
      </c>
      <c r="B908" s="142">
        <v>513193</v>
      </c>
      <c r="C908" s="143" t="s">
        <v>2612</v>
      </c>
      <c r="D908" s="142" t="s">
        <v>1530</v>
      </c>
      <c r="E908" s="143" t="s">
        <v>1653</v>
      </c>
      <c r="F908" s="143" t="s">
        <v>2613</v>
      </c>
      <c r="G908" s="142" t="s">
        <v>109</v>
      </c>
      <c r="H908" s="142" t="s">
        <v>50</v>
      </c>
      <c r="I908" s="143" t="s">
        <v>1532</v>
      </c>
      <c r="J908" s="143" t="s">
        <v>104</v>
      </c>
      <c r="K908" s="144" t="s">
        <v>121</v>
      </c>
      <c r="L908" s="145">
        <v>46148</v>
      </c>
      <c r="M908" s="144"/>
    </row>
    <row r="909" spans="1:13" ht="15" customHeight="1">
      <c r="A909" s="146" t="s">
        <v>2614</v>
      </c>
      <c r="B909" s="146">
        <v>513019</v>
      </c>
      <c r="C909" s="147" t="s">
        <v>2615</v>
      </c>
      <c r="D909" s="146" t="s">
        <v>1530</v>
      </c>
      <c r="E909" s="147" t="s">
        <v>1653</v>
      </c>
      <c r="F909" s="147" t="s">
        <v>2616</v>
      </c>
      <c r="G909" s="146" t="s">
        <v>109</v>
      </c>
      <c r="H909" s="146" t="s">
        <v>50</v>
      </c>
      <c r="I909" s="147" t="s">
        <v>1532</v>
      </c>
      <c r="J909" s="147" t="s">
        <v>104</v>
      </c>
      <c r="K909" s="148" t="s">
        <v>121</v>
      </c>
      <c r="L909" s="149">
        <v>46147</v>
      </c>
      <c r="M909" s="148"/>
    </row>
    <row r="910" spans="1:13" ht="15" customHeight="1">
      <c r="A910" s="142" t="s">
        <v>2617</v>
      </c>
      <c r="B910" s="142">
        <v>513108</v>
      </c>
      <c r="C910" s="143" t="s">
        <v>2618</v>
      </c>
      <c r="D910" s="142" t="s">
        <v>1530</v>
      </c>
      <c r="E910" s="143" t="s">
        <v>1530</v>
      </c>
      <c r="F910" s="143" t="s">
        <v>2619</v>
      </c>
      <c r="G910" s="142" t="s">
        <v>109</v>
      </c>
      <c r="H910" s="142" t="s">
        <v>51</v>
      </c>
      <c r="I910" s="143" t="s">
        <v>1539</v>
      </c>
      <c r="J910" s="143" t="s">
        <v>104</v>
      </c>
      <c r="K910" s="144"/>
      <c r="L910" s="145"/>
      <c r="M910" s="144"/>
    </row>
    <row r="911" spans="1:13" ht="15" customHeight="1">
      <c r="A911" s="146" t="s">
        <v>2620</v>
      </c>
      <c r="B911" s="146">
        <v>512975</v>
      </c>
      <c r="C911" s="147" t="s">
        <v>2621</v>
      </c>
      <c r="D911" s="146" t="s">
        <v>1530</v>
      </c>
      <c r="E911" s="147" t="s">
        <v>1537</v>
      </c>
      <c r="F911" s="147" t="s">
        <v>2622</v>
      </c>
      <c r="G911" s="146" t="s">
        <v>109</v>
      </c>
      <c r="H911" s="146" t="s">
        <v>51</v>
      </c>
      <c r="I911" s="147" t="s">
        <v>1539</v>
      </c>
      <c r="J911" s="147" t="s">
        <v>104</v>
      </c>
      <c r="K911" s="148"/>
      <c r="L911" s="149"/>
      <c r="M911" s="148"/>
    </row>
    <row r="912" spans="1:13" ht="15" customHeight="1">
      <c r="A912" s="142" t="s">
        <v>2623</v>
      </c>
      <c r="B912" s="142">
        <v>512994</v>
      </c>
      <c r="C912" s="143" t="s">
        <v>2624</v>
      </c>
      <c r="D912" s="142" t="s">
        <v>1530</v>
      </c>
      <c r="E912" s="143" t="s">
        <v>1546</v>
      </c>
      <c r="F912" s="143" t="s">
        <v>2058</v>
      </c>
      <c r="G912" s="142" t="s">
        <v>109</v>
      </c>
      <c r="H912" s="142" t="s">
        <v>51</v>
      </c>
      <c r="I912" s="143" t="s">
        <v>1539</v>
      </c>
      <c r="J912" s="143" t="s">
        <v>104</v>
      </c>
      <c r="K912" s="144"/>
      <c r="L912" s="145"/>
      <c r="M912" s="144"/>
    </row>
    <row r="913" spans="1:13" ht="15" customHeight="1">
      <c r="A913" s="146" t="s">
        <v>2625</v>
      </c>
      <c r="B913" s="146">
        <v>513319</v>
      </c>
      <c r="C913" s="147" t="s">
        <v>2626</v>
      </c>
      <c r="D913" s="146" t="s">
        <v>1530</v>
      </c>
      <c r="E913" s="147" t="s">
        <v>1549</v>
      </c>
      <c r="F913" s="147" t="s">
        <v>2627</v>
      </c>
      <c r="G913" s="146" t="s">
        <v>109</v>
      </c>
      <c r="H913" s="146" t="s">
        <v>50</v>
      </c>
      <c r="I913" s="147" t="s">
        <v>1532</v>
      </c>
      <c r="J913" s="147" t="s">
        <v>104</v>
      </c>
      <c r="K913" s="148"/>
      <c r="L913" s="149"/>
      <c r="M913" s="148"/>
    </row>
    <row r="914" spans="1:13" ht="15" customHeight="1">
      <c r="A914" s="142" t="s">
        <v>2628</v>
      </c>
      <c r="B914" s="142">
        <v>512929</v>
      </c>
      <c r="C914" s="143" t="s">
        <v>2629</v>
      </c>
      <c r="D914" s="142" t="s">
        <v>1530</v>
      </c>
      <c r="E914" s="143" t="s">
        <v>1542</v>
      </c>
      <c r="F914" s="143" t="s">
        <v>2630</v>
      </c>
      <c r="G914" s="142" t="s">
        <v>109</v>
      </c>
      <c r="H914" s="142" t="s">
        <v>51</v>
      </c>
      <c r="I914" s="143" t="s">
        <v>1539</v>
      </c>
      <c r="J914" s="143" t="s">
        <v>104</v>
      </c>
      <c r="K914" s="144"/>
      <c r="L914" s="145"/>
      <c r="M914" s="144"/>
    </row>
    <row r="915" spans="1:13" ht="15" customHeight="1">
      <c r="A915" s="146" t="s">
        <v>2631</v>
      </c>
      <c r="B915" s="146">
        <v>513871</v>
      </c>
      <c r="C915" s="147" t="s">
        <v>2632</v>
      </c>
      <c r="D915" s="146" t="s">
        <v>1530</v>
      </c>
      <c r="E915" s="147" t="s">
        <v>1542</v>
      </c>
      <c r="F915" s="147" t="s">
        <v>2006</v>
      </c>
      <c r="G915" s="146" t="s">
        <v>102</v>
      </c>
      <c r="H915" s="146" t="s">
        <v>51</v>
      </c>
      <c r="I915" s="147" t="s">
        <v>1539</v>
      </c>
      <c r="J915" s="147" t="s">
        <v>104</v>
      </c>
      <c r="K915" s="148"/>
      <c r="L915" s="149"/>
      <c r="M915" s="148"/>
    </row>
    <row r="916" spans="1:13" ht="15" customHeight="1">
      <c r="A916" s="142" t="s">
        <v>2633</v>
      </c>
      <c r="B916" s="142">
        <v>513351</v>
      </c>
      <c r="C916" s="143" t="s">
        <v>2634</v>
      </c>
      <c r="D916" s="142" t="s">
        <v>1530</v>
      </c>
      <c r="E916" s="143" t="s">
        <v>1749</v>
      </c>
      <c r="F916" s="143" t="s">
        <v>2635</v>
      </c>
      <c r="G916" s="142" t="s">
        <v>109</v>
      </c>
      <c r="H916" s="142" t="s">
        <v>50</v>
      </c>
      <c r="I916" s="143" t="s">
        <v>1532</v>
      </c>
      <c r="J916" s="143" t="s">
        <v>104</v>
      </c>
      <c r="K916" s="144" t="s">
        <v>162</v>
      </c>
      <c r="L916" s="145">
        <v>46148</v>
      </c>
      <c r="M916" s="144" t="s">
        <v>1740</v>
      </c>
    </row>
    <row r="917" spans="1:13" ht="15" customHeight="1">
      <c r="A917" s="146" t="s">
        <v>2636</v>
      </c>
      <c r="B917" s="146">
        <v>513073</v>
      </c>
      <c r="C917" s="147" t="s">
        <v>2637</v>
      </c>
      <c r="D917" s="146" t="s">
        <v>1530</v>
      </c>
      <c r="E917" s="147" t="s">
        <v>1628</v>
      </c>
      <c r="F917" s="147" t="s">
        <v>1628</v>
      </c>
      <c r="G917" s="146" t="s">
        <v>109</v>
      </c>
      <c r="H917" s="146" t="s">
        <v>50</v>
      </c>
      <c r="I917" s="147" t="s">
        <v>1532</v>
      </c>
      <c r="J917" s="147" t="s">
        <v>104</v>
      </c>
      <c r="K917" s="148"/>
      <c r="L917" s="149"/>
      <c r="M917" s="148"/>
    </row>
    <row r="918" spans="1:13" ht="15" customHeight="1">
      <c r="A918" s="142" t="s">
        <v>2638</v>
      </c>
      <c r="B918" s="142">
        <v>513375</v>
      </c>
      <c r="C918" s="143" t="s">
        <v>2639</v>
      </c>
      <c r="D918" s="142" t="s">
        <v>1530</v>
      </c>
      <c r="E918" s="143" t="s">
        <v>1628</v>
      </c>
      <c r="F918" s="143" t="s">
        <v>2640</v>
      </c>
      <c r="G918" s="142" t="s">
        <v>109</v>
      </c>
      <c r="H918" s="142" t="s">
        <v>50</v>
      </c>
      <c r="I918" s="143" t="s">
        <v>1532</v>
      </c>
      <c r="J918" s="143" t="s">
        <v>104</v>
      </c>
      <c r="K918" s="144" t="s">
        <v>162</v>
      </c>
      <c r="L918" s="145">
        <v>46142</v>
      </c>
      <c r="M918" s="144"/>
    </row>
    <row r="919" spans="1:13" ht="15" customHeight="1">
      <c r="A919" s="146" t="s">
        <v>2641</v>
      </c>
      <c r="B919" s="146">
        <v>513382</v>
      </c>
      <c r="C919" s="147" t="s">
        <v>2642</v>
      </c>
      <c r="D919" s="146" t="s">
        <v>1530</v>
      </c>
      <c r="E919" s="147" t="s">
        <v>320</v>
      </c>
      <c r="F919" s="147" t="s">
        <v>1593</v>
      </c>
      <c r="G919" s="146" t="s">
        <v>109</v>
      </c>
      <c r="H919" s="146" t="s">
        <v>51</v>
      </c>
      <c r="I919" s="147" t="s">
        <v>1539</v>
      </c>
      <c r="J919" s="147" t="s">
        <v>104</v>
      </c>
      <c r="K919" s="148"/>
      <c r="L919" s="149"/>
      <c r="M919" s="148"/>
    </row>
    <row r="920" spans="1:13" ht="15" customHeight="1">
      <c r="A920" s="142" t="s">
        <v>2643</v>
      </c>
      <c r="B920" s="142">
        <v>513210</v>
      </c>
      <c r="C920" s="143" t="s">
        <v>2644</v>
      </c>
      <c r="D920" s="142" t="s">
        <v>1530</v>
      </c>
      <c r="E920" s="143" t="s">
        <v>1582</v>
      </c>
      <c r="F920" s="143" t="s">
        <v>2645</v>
      </c>
      <c r="G920" s="142" t="s">
        <v>109</v>
      </c>
      <c r="H920" s="142" t="s">
        <v>51</v>
      </c>
      <c r="I920" s="143" t="s">
        <v>1539</v>
      </c>
      <c r="J920" s="143" t="s">
        <v>104</v>
      </c>
      <c r="K920" s="144" t="s">
        <v>121</v>
      </c>
      <c r="L920" s="145">
        <v>46148</v>
      </c>
      <c r="M920" s="144"/>
    </row>
    <row r="921" spans="1:13" ht="15" customHeight="1">
      <c r="A921" s="146" t="s">
        <v>2646</v>
      </c>
      <c r="B921" s="146">
        <v>513201</v>
      </c>
      <c r="C921" s="147" t="s">
        <v>2647</v>
      </c>
      <c r="D921" s="146" t="s">
        <v>1530</v>
      </c>
      <c r="E921" s="147" t="s">
        <v>1660</v>
      </c>
      <c r="F921" s="147" t="s">
        <v>2648</v>
      </c>
      <c r="G921" s="146" t="s">
        <v>109</v>
      </c>
      <c r="H921" s="146" t="s">
        <v>51</v>
      </c>
      <c r="I921" s="147" t="s">
        <v>1539</v>
      </c>
      <c r="J921" s="147" t="s">
        <v>104</v>
      </c>
      <c r="K921" s="148"/>
      <c r="L921" s="149"/>
      <c r="M921" s="148"/>
    </row>
    <row r="922" spans="1:13" ht="15" customHeight="1">
      <c r="A922" s="142" t="s">
        <v>2649</v>
      </c>
      <c r="B922" s="142">
        <v>513040</v>
      </c>
      <c r="C922" s="143" t="s">
        <v>2650</v>
      </c>
      <c r="D922" s="142" t="s">
        <v>1530</v>
      </c>
      <c r="E922" s="143" t="s">
        <v>1537</v>
      </c>
      <c r="F922" s="143" t="s">
        <v>2651</v>
      </c>
      <c r="G922" s="142" t="s">
        <v>109</v>
      </c>
      <c r="H922" s="142" t="s">
        <v>51</v>
      </c>
      <c r="I922" s="143" t="s">
        <v>1539</v>
      </c>
      <c r="J922" s="143" t="s">
        <v>104</v>
      </c>
      <c r="K922" s="144"/>
      <c r="L922" s="145"/>
      <c r="M922" s="144"/>
    </row>
    <row r="923" spans="1:13" ht="15" customHeight="1">
      <c r="A923" s="146" t="s">
        <v>2652</v>
      </c>
      <c r="B923" s="146">
        <v>513241</v>
      </c>
      <c r="C923" s="147" t="s">
        <v>2653</v>
      </c>
      <c r="D923" s="146" t="s">
        <v>1530</v>
      </c>
      <c r="E923" s="147" t="s">
        <v>1549</v>
      </c>
      <c r="F923" s="147" t="s">
        <v>2654</v>
      </c>
      <c r="G923" s="146" t="s">
        <v>109</v>
      </c>
      <c r="H923" s="146" t="s">
        <v>50</v>
      </c>
      <c r="I923" s="147" t="s">
        <v>1532</v>
      </c>
      <c r="J923" s="147" t="s">
        <v>104</v>
      </c>
      <c r="K923" s="148"/>
      <c r="L923" s="149"/>
      <c r="M923" s="148"/>
    </row>
    <row r="924" spans="1:13" ht="15" customHeight="1">
      <c r="A924" s="142" t="s">
        <v>2655</v>
      </c>
      <c r="B924" s="142">
        <v>514137</v>
      </c>
      <c r="C924" s="143" t="s">
        <v>2656</v>
      </c>
      <c r="D924" s="142" t="s">
        <v>1530</v>
      </c>
      <c r="E924" s="143" t="s">
        <v>1549</v>
      </c>
      <c r="F924" s="143" t="s">
        <v>2657</v>
      </c>
      <c r="G924" s="142" t="s">
        <v>109</v>
      </c>
      <c r="H924" s="142" t="s">
        <v>50</v>
      </c>
      <c r="I924" s="143" t="s">
        <v>1532</v>
      </c>
      <c r="J924" s="143" t="s">
        <v>104</v>
      </c>
      <c r="K924" s="144"/>
      <c r="L924" s="145"/>
      <c r="M924" s="144"/>
    </row>
    <row r="925" spans="1:13" ht="15" customHeight="1">
      <c r="A925" s="146" t="s">
        <v>2658</v>
      </c>
      <c r="B925" s="146">
        <v>513305</v>
      </c>
      <c r="C925" s="147" t="s">
        <v>2659</v>
      </c>
      <c r="D925" s="146" t="s">
        <v>1530</v>
      </c>
      <c r="E925" s="147" t="s">
        <v>1734</v>
      </c>
      <c r="F925" s="147" t="s">
        <v>2660</v>
      </c>
      <c r="G925" s="146" t="s">
        <v>109</v>
      </c>
      <c r="H925" s="146" t="s">
        <v>50</v>
      </c>
      <c r="I925" s="147" t="s">
        <v>1532</v>
      </c>
      <c r="J925" s="147" t="s">
        <v>104</v>
      </c>
      <c r="K925" s="148" t="s">
        <v>121</v>
      </c>
      <c r="L925" s="149">
        <v>46142</v>
      </c>
      <c r="M925" s="148"/>
    </row>
    <row r="926" spans="1:13" ht="15" customHeight="1">
      <c r="A926" s="142" t="s">
        <v>2661</v>
      </c>
      <c r="B926" s="142">
        <v>513390</v>
      </c>
      <c r="C926" s="143" t="s">
        <v>2662</v>
      </c>
      <c r="D926" s="142" t="s">
        <v>1530</v>
      </c>
      <c r="E926" s="143" t="s">
        <v>1734</v>
      </c>
      <c r="F926" s="143" t="s">
        <v>1739</v>
      </c>
      <c r="G926" s="142" t="s">
        <v>109</v>
      </c>
      <c r="H926" s="142" t="s">
        <v>50</v>
      </c>
      <c r="I926" s="143" t="s">
        <v>1532</v>
      </c>
      <c r="J926" s="143" t="s">
        <v>104</v>
      </c>
      <c r="K926" s="144" t="s">
        <v>121</v>
      </c>
      <c r="L926" s="145">
        <v>46141</v>
      </c>
      <c r="M926" s="144"/>
    </row>
    <row r="927" spans="1:13" ht="15" customHeight="1">
      <c r="A927" s="146" t="s">
        <v>2663</v>
      </c>
      <c r="B927" s="146">
        <v>512913</v>
      </c>
      <c r="C927" s="147" t="s">
        <v>2664</v>
      </c>
      <c r="D927" s="146" t="s">
        <v>1530</v>
      </c>
      <c r="E927" s="147" t="s">
        <v>1546</v>
      </c>
      <c r="F927" s="147" t="s">
        <v>2665</v>
      </c>
      <c r="G927" s="146" t="s">
        <v>109</v>
      </c>
      <c r="H927" s="146" t="s">
        <v>51</v>
      </c>
      <c r="I927" s="147" t="s">
        <v>1539</v>
      </c>
      <c r="J927" s="147" t="s">
        <v>104</v>
      </c>
      <c r="K927" s="148"/>
      <c r="L927" s="149"/>
      <c r="M927" s="148"/>
    </row>
    <row r="928" spans="1:13" ht="15" customHeight="1">
      <c r="A928" s="142" t="s">
        <v>2666</v>
      </c>
      <c r="B928" s="142">
        <v>512969</v>
      </c>
      <c r="C928" s="143" t="s">
        <v>694</v>
      </c>
      <c r="D928" s="142" t="s">
        <v>1530</v>
      </c>
      <c r="E928" s="143" t="s">
        <v>1676</v>
      </c>
      <c r="F928" s="143" t="s">
        <v>2667</v>
      </c>
      <c r="G928" s="142" t="s">
        <v>109</v>
      </c>
      <c r="H928" s="142" t="s">
        <v>51</v>
      </c>
      <c r="I928" s="143" t="s">
        <v>1539</v>
      </c>
      <c r="J928" s="143" t="s">
        <v>104</v>
      </c>
      <c r="K928" s="144"/>
      <c r="L928" s="145"/>
      <c r="M928" s="144"/>
    </row>
    <row r="929" spans="1:13" ht="15" customHeight="1">
      <c r="A929" s="146" t="s">
        <v>2668</v>
      </c>
      <c r="B929" s="146">
        <v>513059</v>
      </c>
      <c r="C929" s="147" t="s">
        <v>437</v>
      </c>
      <c r="D929" s="146" t="s">
        <v>1530</v>
      </c>
      <c r="E929" s="147" t="s">
        <v>1676</v>
      </c>
      <c r="F929" s="147" t="s">
        <v>2669</v>
      </c>
      <c r="G929" s="146" t="s">
        <v>109</v>
      </c>
      <c r="H929" s="146" t="s">
        <v>51</v>
      </c>
      <c r="I929" s="147" t="s">
        <v>1539</v>
      </c>
      <c r="J929" s="147" t="s">
        <v>104</v>
      </c>
      <c r="K929" s="148"/>
      <c r="L929" s="149"/>
      <c r="M929" s="148"/>
    </row>
    <row r="930" spans="1:13" ht="15" customHeight="1">
      <c r="A930" s="142" t="s">
        <v>2670</v>
      </c>
      <c r="B930" s="142">
        <v>513392</v>
      </c>
      <c r="C930" s="143" t="s">
        <v>2671</v>
      </c>
      <c r="D930" s="142" t="s">
        <v>1530</v>
      </c>
      <c r="E930" s="143" t="s">
        <v>1639</v>
      </c>
      <c r="F930" s="143" t="s">
        <v>2672</v>
      </c>
      <c r="G930" s="142" t="s">
        <v>109</v>
      </c>
      <c r="H930" s="142" t="s">
        <v>50</v>
      </c>
      <c r="I930" s="143" t="s">
        <v>1532</v>
      </c>
      <c r="J930" s="143" t="s">
        <v>104</v>
      </c>
      <c r="K930" s="144"/>
      <c r="L930" s="145"/>
      <c r="M930" s="144"/>
    </row>
    <row r="931" spans="1:13" ht="15" customHeight="1">
      <c r="A931" s="146" t="s">
        <v>2673</v>
      </c>
      <c r="B931" s="146">
        <v>513026</v>
      </c>
      <c r="C931" s="147" t="s">
        <v>2674</v>
      </c>
      <c r="D931" s="146" t="s">
        <v>1530</v>
      </c>
      <c r="E931" s="147" t="s">
        <v>1639</v>
      </c>
      <c r="F931" s="147" t="s">
        <v>2675</v>
      </c>
      <c r="G931" s="146" t="s">
        <v>109</v>
      </c>
      <c r="H931" s="146" t="s">
        <v>50</v>
      </c>
      <c r="I931" s="147" t="s">
        <v>1532</v>
      </c>
      <c r="J931" s="147" t="s">
        <v>104</v>
      </c>
      <c r="K931" s="148" t="s">
        <v>162</v>
      </c>
      <c r="L931" s="149">
        <v>46147</v>
      </c>
      <c r="M931" s="148" t="s">
        <v>1740</v>
      </c>
    </row>
    <row r="932" spans="1:13" ht="15" customHeight="1">
      <c r="A932" s="142" t="s">
        <v>2676</v>
      </c>
      <c r="B932" s="142">
        <v>513191</v>
      </c>
      <c r="C932" s="143" t="s">
        <v>2677</v>
      </c>
      <c r="D932" s="142" t="s">
        <v>1530</v>
      </c>
      <c r="E932" s="143" t="s">
        <v>1639</v>
      </c>
      <c r="F932" s="143" t="s">
        <v>2266</v>
      </c>
      <c r="G932" s="142" t="s">
        <v>109</v>
      </c>
      <c r="H932" s="142" t="s">
        <v>50</v>
      </c>
      <c r="I932" s="143" t="s">
        <v>1532</v>
      </c>
      <c r="J932" s="143" t="s">
        <v>104</v>
      </c>
      <c r="K932" s="144" t="s">
        <v>121</v>
      </c>
      <c r="L932" s="145">
        <v>46148</v>
      </c>
      <c r="M932" s="144"/>
    </row>
    <row r="933" spans="1:13" ht="15" customHeight="1">
      <c r="A933" s="146" t="s">
        <v>2678</v>
      </c>
      <c r="B933" s="146">
        <v>513189</v>
      </c>
      <c r="C933" s="147" t="s">
        <v>2679</v>
      </c>
      <c r="D933" s="146" t="s">
        <v>1530</v>
      </c>
      <c r="E933" s="147" t="s">
        <v>1578</v>
      </c>
      <c r="F933" s="147" t="s">
        <v>2680</v>
      </c>
      <c r="G933" s="146" t="s">
        <v>109</v>
      </c>
      <c r="H933" s="146" t="s">
        <v>50</v>
      </c>
      <c r="I933" s="147" t="s">
        <v>1532</v>
      </c>
      <c r="J933" s="147" t="s">
        <v>104</v>
      </c>
      <c r="K933" s="148" t="s">
        <v>121</v>
      </c>
      <c r="L933" s="149">
        <v>46139</v>
      </c>
      <c r="M933" s="148"/>
    </row>
    <row r="934" spans="1:13" ht="15" customHeight="1">
      <c r="A934" s="142" t="s">
        <v>2681</v>
      </c>
      <c r="B934" s="142">
        <v>513197</v>
      </c>
      <c r="C934" s="143" t="s">
        <v>2682</v>
      </c>
      <c r="D934" s="142" t="s">
        <v>1530</v>
      </c>
      <c r="E934" s="143" t="s">
        <v>1719</v>
      </c>
      <c r="F934" s="143" t="s">
        <v>2683</v>
      </c>
      <c r="G934" s="142" t="s">
        <v>109</v>
      </c>
      <c r="H934" s="142" t="s">
        <v>50</v>
      </c>
      <c r="I934" s="143" t="s">
        <v>1532</v>
      </c>
      <c r="J934" s="143" t="s">
        <v>104</v>
      </c>
      <c r="K934" s="144"/>
      <c r="L934" s="145"/>
      <c r="M934" s="144"/>
    </row>
    <row r="935" spans="1:13" ht="15" customHeight="1">
      <c r="A935" s="146" t="s">
        <v>2684</v>
      </c>
      <c r="B935" s="146">
        <v>513034</v>
      </c>
      <c r="C935" s="147" t="s">
        <v>2685</v>
      </c>
      <c r="D935" s="146" t="s">
        <v>1530</v>
      </c>
      <c r="E935" s="147" t="s">
        <v>1979</v>
      </c>
      <c r="F935" s="147" t="s">
        <v>2686</v>
      </c>
      <c r="G935" s="146" t="s">
        <v>109</v>
      </c>
      <c r="H935" s="146" t="s">
        <v>50</v>
      </c>
      <c r="I935" s="147" t="s">
        <v>1532</v>
      </c>
      <c r="J935" s="147" t="s">
        <v>104</v>
      </c>
      <c r="K935" s="148" t="s">
        <v>121</v>
      </c>
      <c r="L935" s="149">
        <v>46149</v>
      </c>
      <c r="M935" s="148"/>
    </row>
    <row r="936" spans="1:13" ht="15" customHeight="1">
      <c r="A936" s="142" t="s">
        <v>2687</v>
      </c>
      <c r="B936" s="142">
        <v>513411</v>
      </c>
      <c r="C936" s="143" t="s">
        <v>2688</v>
      </c>
      <c r="D936" s="142" t="s">
        <v>1530</v>
      </c>
      <c r="E936" s="143" t="s">
        <v>1546</v>
      </c>
      <c r="F936" s="143" t="s">
        <v>1546</v>
      </c>
      <c r="G936" s="142" t="s">
        <v>102</v>
      </c>
      <c r="H936" s="142" t="s">
        <v>51</v>
      </c>
      <c r="I936" s="143" t="s">
        <v>1539</v>
      </c>
      <c r="J936" s="143" t="s">
        <v>104</v>
      </c>
      <c r="K936" s="144"/>
      <c r="L936" s="145"/>
      <c r="M936" s="144"/>
    </row>
    <row r="937" spans="1:13" ht="15" customHeight="1">
      <c r="A937" s="146" t="s">
        <v>2689</v>
      </c>
      <c r="B937" s="146">
        <v>513238</v>
      </c>
      <c r="C937" s="147" t="s">
        <v>2690</v>
      </c>
      <c r="D937" s="146" t="s">
        <v>1530</v>
      </c>
      <c r="E937" s="147" t="s">
        <v>320</v>
      </c>
      <c r="F937" s="147" t="s">
        <v>2691</v>
      </c>
      <c r="G937" s="146" t="s">
        <v>109</v>
      </c>
      <c r="H937" s="146" t="s">
        <v>51</v>
      </c>
      <c r="I937" s="147" t="s">
        <v>1539</v>
      </c>
      <c r="J937" s="147" t="s">
        <v>104</v>
      </c>
      <c r="K937" s="148"/>
      <c r="L937" s="149"/>
      <c r="M937" s="148"/>
    </row>
    <row r="938" spans="1:13" ht="15" customHeight="1">
      <c r="A938" s="142" t="s">
        <v>2692</v>
      </c>
      <c r="B938" s="142">
        <v>513397</v>
      </c>
      <c r="C938" s="143" t="s">
        <v>2693</v>
      </c>
      <c r="D938" s="142" t="s">
        <v>1530</v>
      </c>
      <c r="E938" s="143" t="s">
        <v>320</v>
      </c>
      <c r="F938" s="143" t="s">
        <v>1695</v>
      </c>
      <c r="G938" s="142" t="s">
        <v>109</v>
      </c>
      <c r="H938" s="142" t="s">
        <v>51</v>
      </c>
      <c r="I938" s="143" t="s">
        <v>1539</v>
      </c>
      <c r="J938" s="143" t="s">
        <v>104</v>
      </c>
      <c r="K938" s="144"/>
      <c r="L938" s="145"/>
      <c r="M938" s="144"/>
    </row>
    <row r="939" spans="1:13" ht="15" customHeight="1">
      <c r="A939" s="146" t="s">
        <v>2694</v>
      </c>
      <c r="B939" s="146">
        <v>512964</v>
      </c>
      <c r="C939" s="147" t="s">
        <v>2695</v>
      </c>
      <c r="D939" s="146" t="s">
        <v>1530</v>
      </c>
      <c r="E939" s="147" t="s">
        <v>1542</v>
      </c>
      <c r="F939" s="147" t="s">
        <v>2696</v>
      </c>
      <c r="G939" s="146" t="s">
        <v>109</v>
      </c>
      <c r="H939" s="146" t="s">
        <v>51</v>
      </c>
      <c r="I939" s="147" t="s">
        <v>1539</v>
      </c>
      <c r="J939" s="147" t="s">
        <v>104</v>
      </c>
      <c r="K939" s="148"/>
      <c r="L939" s="149"/>
      <c r="M939" s="148"/>
    </row>
    <row r="940" spans="1:13" ht="15" customHeight="1">
      <c r="A940" s="142" t="s">
        <v>2697</v>
      </c>
      <c r="B940" s="142">
        <v>513010</v>
      </c>
      <c r="C940" s="143" t="s">
        <v>2698</v>
      </c>
      <c r="D940" s="142" t="s">
        <v>1530</v>
      </c>
      <c r="E940" s="143" t="s">
        <v>1639</v>
      </c>
      <c r="F940" s="143" t="s">
        <v>2699</v>
      </c>
      <c r="G940" s="142" t="s">
        <v>109</v>
      </c>
      <c r="H940" s="142" t="s">
        <v>50</v>
      </c>
      <c r="I940" s="143" t="s">
        <v>1532</v>
      </c>
      <c r="J940" s="143" t="s">
        <v>104</v>
      </c>
      <c r="K940" s="144"/>
      <c r="L940" s="145"/>
      <c r="M940" s="144"/>
    </row>
    <row r="941" spans="1:13" ht="15" customHeight="1">
      <c r="A941" s="146" t="s">
        <v>2700</v>
      </c>
      <c r="B941" s="146">
        <v>512920</v>
      </c>
      <c r="C941" s="147" t="s">
        <v>2701</v>
      </c>
      <c r="D941" s="146" t="s">
        <v>1530</v>
      </c>
      <c r="E941" s="147" t="s">
        <v>1546</v>
      </c>
      <c r="F941" s="147" t="s">
        <v>1546</v>
      </c>
      <c r="G941" s="146" t="s">
        <v>109</v>
      </c>
      <c r="H941" s="146" t="s">
        <v>51</v>
      </c>
      <c r="I941" s="147" t="s">
        <v>1539</v>
      </c>
      <c r="J941" s="147" t="s">
        <v>104</v>
      </c>
      <c r="K941" s="148"/>
      <c r="L941" s="149"/>
      <c r="M941" s="148"/>
    </row>
    <row r="942" spans="1:13" ht="15" customHeight="1">
      <c r="A942" s="142" t="s">
        <v>2702</v>
      </c>
      <c r="B942" s="142">
        <v>515526</v>
      </c>
      <c r="C942" s="143" t="s">
        <v>2703</v>
      </c>
      <c r="D942" s="142" t="s">
        <v>1530</v>
      </c>
      <c r="E942" s="143" t="s">
        <v>2341</v>
      </c>
      <c r="F942" s="143" t="s">
        <v>2704</v>
      </c>
      <c r="G942" s="142" t="s">
        <v>109</v>
      </c>
      <c r="H942" s="142" t="s">
        <v>50</v>
      </c>
      <c r="I942" s="143" t="s">
        <v>1532</v>
      </c>
      <c r="J942" s="143" t="s">
        <v>104</v>
      </c>
      <c r="K942" s="144" t="s">
        <v>121</v>
      </c>
      <c r="L942" s="145">
        <v>46142</v>
      </c>
      <c r="M942" s="144"/>
    </row>
    <row r="943" spans="1:13" ht="15" customHeight="1">
      <c r="A943" s="146" t="s">
        <v>2705</v>
      </c>
      <c r="B943" s="146">
        <v>513307</v>
      </c>
      <c r="C943" s="147" t="s">
        <v>2706</v>
      </c>
      <c r="D943" s="146" t="s">
        <v>1530</v>
      </c>
      <c r="E943" s="147" t="s">
        <v>1749</v>
      </c>
      <c r="F943" s="147" t="s">
        <v>1750</v>
      </c>
      <c r="G943" s="146" t="s">
        <v>109</v>
      </c>
      <c r="H943" s="146" t="s">
        <v>50</v>
      </c>
      <c r="I943" s="147" t="s">
        <v>1532</v>
      </c>
      <c r="J943" s="147" t="s">
        <v>104</v>
      </c>
      <c r="K943" s="148" t="s">
        <v>162</v>
      </c>
      <c r="L943" s="149">
        <v>46139</v>
      </c>
      <c r="M943" s="148"/>
    </row>
    <row r="944" spans="1:13" ht="15" customHeight="1">
      <c r="A944" s="142" t="s">
        <v>2707</v>
      </c>
      <c r="B944" s="142">
        <v>513858</v>
      </c>
      <c r="C944" s="143" t="s">
        <v>2708</v>
      </c>
      <c r="D944" s="142" t="s">
        <v>1530</v>
      </c>
      <c r="E944" s="143" t="s">
        <v>1546</v>
      </c>
      <c r="F944" s="143" t="s">
        <v>1546</v>
      </c>
      <c r="G944" s="142" t="s">
        <v>109</v>
      </c>
      <c r="H944" s="142" t="s">
        <v>51</v>
      </c>
      <c r="I944" s="143" t="s">
        <v>1539</v>
      </c>
      <c r="J944" s="143" t="s">
        <v>104</v>
      </c>
      <c r="K944" s="144"/>
      <c r="L944" s="145"/>
      <c r="M944" s="144"/>
    </row>
    <row r="945" spans="1:13" ht="15" customHeight="1">
      <c r="A945" s="146" t="s">
        <v>2709</v>
      </c>
      <c r="B945" s="146">
        <v>513050</v>
      </c>
      <c r="C945" s="147" t="s">
        <v>2710</v>
      </c>
      <c r="D945" s="146" t="s">
        <v>1530</v>
      </c>
      <c r="E945" s="147" t="s">
        <v>1558</v>
      </c>
      <c r="F945" s="147" t="s">
        <v>460</v>
      </c>
      <c r="G945" s="146" t="s">
        <v>109</v>
      </c>
      <c r="H945" s="146" t="s">
        <v>51</v>
      </c>
      <c r="I945" s="147" t="s">
        <v>1539</v>
      </c>
      <c r="J945" s="147" t="s">
        <v>104</v>
      </c>
      <c r="K945" s="148"/>
      <c r="L945" s="149"/>
      <c r="M945" s="148"/>
    </row>
    <row r="946" spans="1:13" ht="15" customHeight="1">
      <c r="A946" s="142" t="s">
        <v>2711</v>
      </c>
      <c r="B946" s="142">
        <v>513898</v>
      </c>
      <c r="C946" s="143" t="s">
        <v>2712</v>
      </c>
      <c r="D946" s="142" t="s">
        <v>1530</v>
      </c>
      <c r="E946" s="143" t="s">
        <v>1558</v>
      </c>
      <c r="F946" s="143" t="s">
        <v>1799</v>
      </c>
      <c r="G946" s="142" t="s">
        <v>109</v>
      </c>
      <c r="H946" s="142" t="s">
        <v>51</v>
      </c>
      <c r="I946" s="143" t="s">
        <v>1539</v>
      </c>
      <c r="J946" s="143" t="s">
        <v>104</v>
      </c>
      <c r="K946" s="144"/>
      <c r="L946" s="145"/>
      <c r="M946" s="144"/>
    </row>
    <row r="947" spans="1:13" ht="15" customHeight="1">
      <c r="A947" s="146" t="s">
        <v>2713</v>
      </c>
      <c r="B947" s="146">
        <v>513399</v>
      </c>
      <c r="C947" s="147" t="s">
        <v>2714</v>
      </c>
      <c r="D947" s="146" t="s">
        <v>1530</v>
      </c>
      <c r="E947" s="147" t="s">
        <v>1558</v>
      </c>
      <c r="F947" s="147" t="s">
        <v>2715</v>
      </c>
      <c r="G947" s="146" t="s">
        <v>109</v>
      </c>
      <c r="H947" s="146" t="s">
        <v>51</v>
      </c>
      <c r="I947" s="147" t="s">
        <v>1539</v>
      </c>
      <c r="J947" s="147" t="s">
        <v>104</v>
      </c>
      <c r="K947" s="148"/>
      <c r="L947" s="149"/>
      <c r="M947" s="148"/>
    </row>
    <row r="948" spans="1:13" ht="15" customHeight="1">
      <c r="A948" s="142" t="s">
        <v>2716</v>
      </c>
      <c r="B948" s="142">
        <v>513211</v>
      </c>
      <c r="C948" s="143" t="s">
        <v>2717</v>
      </c>
      <c r="D948" s="142" t="s">
        <v>1530</v>
      </c>
      <c r="E948" s="143" t="s">
        <v>1582</v>
      </c>
      <c r="F948" s="143" t="s">
        <v>2718</v>
      </c>
      <c r="G948" s="142" t="s">
        <v>109</v>
      </c>
      <c r="H948" s="142" t="s">
        <v>51</v>
      </c>
      <c r="I948" s="143" t="s">
        <v>1539</v>
      </c>
      <c r="J948" s="143" t="s">
        <v>104</v>
      </c>
      <c r="K948" s="144" t="s">
        <v>121</v>
      </c>
      <c r="L948" s="145">
        <v>46147</v>
      </c>
      <c r="M948" s="144"/>
    </row>
    <row r="949" spans="1:13" ht="15" customHeight="1">
      <c r="A949" s="146" t="s">
        <v>2719</v>
      </c>
      <c r="B949" s="146">
        <v>513212</v>
      </c>
      <c r="C949" s="147" t="s">
        <v>2720</v>
      </c>
      <c r="D949" s="146" t="s">
        <v>1530</v>
      </c>
      <c r="E949" s="147" t="s">
        <v>1582</v>
      </c>
      <c r="F949" s="147" t="s">
        <v>2721</v>
      </c>
      <c r="G949" s="146" t="s">
        <v>109</v>
      </c>
      <c r="H949" s="146" t="s">
        <v>51</v>
      </c>
      <c r="I949" s="147" t="s">
        <v>1539</v>
      </c>
      <c r="J949" s="147" t="s">
        <v>104</v>
      </c>
      <c r="K949" s="148" t="s">
        <v>121</v>
      </c>
      <c r="L949" s="149">
        <v>46147</v>
      </c>
      <c r="M949" s="148"/>
    </row>
    <row r="950" spans="1:13" ht="15" customHeight="1">
      <c r="A950" s="142" t="s">
        <v>2722</v>
      </c>
      <c r="B950" s="142">
        <v>513220</v>
      </c>
      <c r="C950" s="143" t="s">
        <v>2723</v>
      </c>
      <c r="D950" s="142" t="s">
        <v>1530</v>
      </c>
      <c r="E950" s="143" t="s">
        <v>1660</v>
      </c>
      <c r="F950" s="143" t="s">
        <v>2724</v>
      </c>
      <c r="G950" s="142" t="s">
        <v>109</v>
      </c>
      <c r="H950" s="142" t="s">
        <v>51</v>
      </c>
      <c r="I950" s="143" t="s">
        <v>1539</v>
      </c>
      <c r="J950" s="143" t="s">
        <v>104</v>
      </c>
      <c r="K950" s="144"/>
      <c r="L950" s="145"/>
      <c r="M950" s="144"/>
    </row>
    <row r="951" spans="1:13" ht="15" customHeight="1">
      <c r="A951" s="146" t="s">
        <v>2725</v>
      </c>
      <c r="B951" s="146">
        <v>513105</v>
      </c>
      <c r="C951" s="147" t="s">
        <v>2726</v>
      </c>
      <c r="D951" s="146" t="s">
        <v>1530</v>
      </c>
      <c r="E951" s="147" t="s">
        <v>1537</v>
      </c>
      <c r="F951" s="147" t="s">
        <v>2727</v>
      </c>
      <c r="G951" s="146" t="s">
        <v>109</v>
      </c>
      <c r="H951" s="146" t="s">
        <v>51</v>
      </c>
      <c r="I951" s="147" t="s">
        <v>1539</v>
      </c>
      <c r="J951" s="147" t="s">
        <v>104</v>
      </c>
      <c r="K951" s="148"/>
      <c r="L951" s="149"/>
      <c r="M951" s="148"/>
    </row>
    <row r="952" spans="1:13" ht="15" customHeight="1">
      <c r="A952" s="142" t="s">
        <v>2728</v>
      </c>
      <c r="B952" s="142">
        <v>513144</v>
      </c>
      <c r="C952" s="143" t="s">
        <v>2729</v>
      </c>
      <c r="D952" s="142" t="s">
        <v>1530</v>
      </c>
      <c r="E952" s="143" t="s">
        <v>1586</v>
      </c>
      <c r="F952" s="143" t="s">
        <v>2730</v>
      </c>
      <c r="G952" s="142" t="s">
        <v>109</v>
      </c>
      <c r="H952" s="142" t="s">
        <v>51</v>
      </c>
      <c r="I952" s="143" t="s">
        <v>1539</v>
      </c>
      <c r="J952" s="143" t="s">
        <v>104</v>
      </c>
      <c r="K952" s="144"/>
      <c r="L952" s="145"/>
      <c r="M952" s="144"/>
    </row>
    <row r="953" spans="1:13" ht="15" customHeight="1">
      <c r="A953" s="146" t="s">
        <v>2731</v>
      </c>
      <c r="B953" s="146">
        <v>513143</v>
      </c>
      <c r="C953" s="147" t="s">
        <v>2732</v>
      </c>
      <c r="D953" s="146" t="s">
        <v>1530</v>
      </c>
      <c r="E953" s="147" t="s">
        <v>1586</v>
      </c>
      <c r="F953" s="147" t="s">
        <v>2733</v>
      </c>
      <c r="G953" s="146" t="s">
        <v>109</v>
      </c>
      <c r="H953" s="146" t="s">
        <v>51</v>
      </c>
      <c r="I953" s="147" t="s">
        <v>1539</v>
      </c>
      <c r="J953" s="147" t="s">
        <v>104</v>
      </c>
      <c r="K953" s="148"/>
      <c r="L953" s="149"/>
      <c r="M953" s="148"/>
    </row>
    <row r="954" spans="1:13" ht="15" customHeight="1">
      <c r="A954" s="142" t="s">
        <v>2734</v>
      </c>
      <c r="B954" s="142">
        <v>513078</v>
      </c>
      <c r="C954" s="143" t="s">
        <v>2735</v>
      </c>
      <c r="D954" s="142" t="s">
        <v>1530</v>
      </c>
      <c r="E954" s="143" t="s">
        <v>1549</v>
      </c>
      <c r="F954" s="143" t="s">
        <v>2736</v>
      </c>
      <c r="G954" s="142" t="s">
        <v>109</v>
      </c>
      <c r="H954" s="142" t="s">
        <v>50</v>
      </c>
      <c r="I954" s="143" t="s">
        <v>1532</v>
      </c>
      <c r="J954" s="143" t="s">
        <v>104</v>
      </c>
      <c r="K954" s="144"/>
      <c r="L954" s="145"/>
      <c r="M954" s="144"/>
    </row>
    <row r="955" spans="1:13" ht="15" customHeight="1">
      <c r="A955" s="146" t="s">
        <v>2737</v>
      </c>
      <c r="B955" s="146">
        <v>513214</v>
      </c>
      <c r="C955" s="147" t="s">
        <v>2738</v>
      </c>
      <c r="D955" s="146" t="s">
        <v>1530</v>
      </c>
      <c r="E955" s="147" t="s">
        <v>1549</v>
      </c>
      <c r="F955" s="147" t="s">
        <v>2739</v>
      </c>
      <c r="G955" s="146" t="s">
        <v>109</v>
      </c>
      <c r="H955" s="146" t="s">
        <v>50</v>
      </c>
      <c r="I955" s="147" t="s">
        <v>1532</v>
      </c>
      <c r="J955" s="147" t="s">
        <v>104</v>
      </c>
      <c r="K955" s="148"/>
      <c r="L955" s="149"/>
      <c r="M955" s="148"/>
    </row>
    <row r="956" spans="1:13" ht="15" customHeight="1">
      <c r="A956" s="142" t="s">
        <v>2740</v>
      </c>
      <c r="B956" s="142">
        <v>513094</v>
      </c>
      <c r="C956" s="143" t="s">
        <v>2741</v>
      </c>
      <c r="D956" s="142" t="s">
        <v>1530</v>
      </c>
      <c r="E956" s="143" t="s">
        <v>1549</v>
      </c>
      <c r="F956" s="143" t="s">
        <v>1455</v>
      </c>
      <c r="G956" s="142" t="s">
        <v>109</v>
      </c>
      <c r="H956" s="142" t="s">
        <v>50</v>
      </c>
      <c r="I956" s="143" t="s">
        <v>1532</v>
      </c>
      <c r="J956" s="143" t="s">
        <v>104</v>
      </c>
      <c r="K956" s="144"/>
      <c r="L956" s="145"/>
      <c r="M956" s="144"/>
    </row>
    <row r="957" spans="1:13" ht="15" customHeight="1">
      <c r="A957" s="146" t="s">
        <v>2742</v>
      </c>
      <c r="B957" s="146">
        <v>513244</v>
      </c>
      <c r="C957" s="147" t="s">
        <v>2743</v>
      </c>
      <c r="D957" s="146" t="s">
        <v>1530</v>
      </c>
      <c r="E957" s="147" t="s">
        <v>1549</v>
      </c>
      <c r="F957" s="147" t="s">
        <v>2744</v>
      </c>
      <c r="G957" s="146" t="s">
        <v>109</v>
      </c>
      <c r="H957" s="146" t="s">
        <v>50</v>
      </c>
      <c r="I957" s="147" t="s">
        <v>1532</v>
      </c>
      <c r="J957" s="147" t="s">
        <v>104</v>
      </c>
      <c r="K957" s="148" t="s">
        <v>121</v>
      </c>
      <c r="L957" s="149">
        <v>46147</v>
      </c>
      <c r="M957" s="148"/>
    </row>
    <row r="958" spans="1:13" ht="15" customHeight="1">
      <c r="A958" s="142" t="s">
        <v>2745</v>
      </c>
      <c r="B958" s="142">
        <v>512921</v>
      </c>
      <c r="C958" s="143" t="s">
        <v>2746</v>
      </c>
      <c r="D958" s="142" t="s">
        <v>1530</v>
      </c>
      <c r="E958" s="143" t="s">
        <v>1546</v>
      </c>
      <c r="F958" s="143" t="s">
        <v>2747</v>
      </c>
      <c r="G958" s="142" t="s">
        <v>109</v>
      </c>
      <c r="H958" s="142" t="s">
        <v>51</v>
      </c>
      <c r="I958" s="143" t="s">
        <v>1539</v>
      </c>
      <c r="J958" s="143" t="s">
        <v>104</v>
      </c>
      <c r="K958" s="144"/>
      <c r="L958" s="145"/>
      <c r="M958" s="144"/>
    </row>
    <row r="959" spans="1:13" ht="15" customHeight="1">
      <c r="A959" s="146" t="s">
        <v>2748</v>
      </c>
      <c r="B959" s="146">
        <v>513859</v>
      </c>
      <c r="C959" s="147" t="s">
        <v>2749</v>
      </c>
      <c r="D959" s="146" t="s">
        <v>1530</v>
      </c>
      <c r="E959" s="147" t="s">
        <v>1546</v>
      </c>
      <c r="F959" s="147" t="s">
        <v>2134</v>
      </c>
      <c r="G959" s="146" t="s">
        <v>102</v>
      </c>
      <c r="H959" s="146" t="s">
        <v>51</v>
      </c>
      <c r="I959" s="147" t="s">
        <v>1539</v>
      </c>
      <c r="J959" s="147" t="s">
        <v>104</v>
      </c>
      <c r="K959" s="148"/>
      <c r="L959" s="149"/>
      <c r="M959" s="148"/>
    </row>
    <row r="960" spans="1:13" ht="15" customHeight="1">
      <c r="A960" s="142" t="s">
        <v>2750</v>
      </c>
      <c r="B960" s="142">
        <v>513340</v>
      </c>
      <c r="C960" s="143" t="s">
        <v>2751</v>
      </c>
      <c r="D960" s="142" t="s">
        <v>1530</v>
      </c>
      <c r="E960" s="143" t="s">
        <v>1546</v>
      </c>
      <c r="F960" s="143" t="s">
        <v>1546</v>
      </c>
      <c r="G960" s="142" t="s">
        <v>109</v>
      </c>
      <c r="H960" s="142" t="s">
        <v>51</v>
      </c>
      <c r="I960" s="143" t="s">
        <v>1539</v>
      </c>
      <c r="J960" s="143" t="s">
        <v>104</v>
      </c>
      <c r="K960" s="144"/>
      <c r="L960" s="145"/>
      <c r="M960" s="144"/>
    </row>
    <row r="961" spans="1:13" ht="15" customHeight="1">
      <c r="A961" s="146" t="s">
        <v>2752</v>
      </c>
      <c r="B961" s="146">
        <v>512961</v>
      </c>
      <c r="C961" s="147" t="s">
        <v>2753</v>
      </c>
      <c r="D961" s="146" t="s">
        <v>1530</v>
      </c>
      <c r="E961" s="147" t="s">
        <v>1546</v>
      </c>
      <c r="F961" s="147" t="s">
        <v>2134</v>
      </c>
      <c r="G961" s="146" t="s">
        <v>102</v>
      </c>
      <c r="H961" s="146" t="s">
        <v>51</v>
      </c>
      <c r="I961" s="147" t="s">
        <v>1539</v>
      </c>
      <c r="J961" s="147" t="s">
        <v>104</v>
      </c>
      <c r="K961" s="148"/>
      <c r="L961" s="149"/>
      <c r="M961" s="148"/>
    </row>
    <row r="962" spans="1:13" ht="15" customHeight="1">
      <c r="A962" s="142" t="s">
        <v>2754</v>
      </c>
      <c r="B962" s="142">
        <v>512943</v>
      </c>
      <c r="C962" s="143" t="s">
        <v>2755</v>
      </c>
      <c r="D962" s="142" t="s">
        <v>1530</v>
      </c>
      <c r="E962" s="143" t="s">
        <v>1676</v>
      </c>
      <c r="F962" s="143" t="s">
        <v>2756</v>
      </c>
      <c r="G962" s="142" t="s">
        <v>109</v>
      </c>
      <c r="H962" s="142" t="s">
        <v>51</v>
      </c>
      <c r="I962" s="143" t="s">
        <v>1539</v>
      </c>
      <c r="J962" s="143" t="s">
        <v>104</v>
      </c>
      <c r="K962" s="144"/>
      <c r="L962" s="145"/>
      <c r="M962" s="144"/>
    </row>
    <row r="963" spans="1:13" ht="15" customHeight="1">
      <c r="A963" s="146" t="s">
        <v>2757</v>
      </c>
      <c r="B963" s="146">
        <v>513159</v>
      </c>
      <c r="C963" s="147" t="s">
        <v>2758</v>
      </c>
      <c r="D963" s="146" t="s">
        <v>1530</v>
      </c>
      <c r="E963" s="147" t="s">
        <v>1710</v>
      </c>
      <c r="F963" s="147" t="s">
        <v>2759</v>
      </c>
      <c r="G963" s="146" t="s">
        <v>109</v>
      </c>
      <c r="H963" s="146" t="s">
        <v>50</v>
      </c>
      <c r="I963" s="147" t="s">
        <v>1532</v>
      </c>
      <c r="J963" s="147" t="s">
        <v>104</v>
      </c>
      <c r="K963" s="148"/>
      <c r="L963" s="149"/>
      <c r="M963" s="148"/>
    </row>
    <row r="964" spans="1:13" ht="15" customHeight="1">
      <c r="A964" s="142" t="s">
        <v>2760</v>
      </c>
      <c r="B964" s="142">
        <v>513236</v>
      </c>
      <c r="C964" s="143" t="s">
        <v>2761</v>
      </c>
      <c r="D964" s="142" t="s">
        <v>1530</v>
      </c>
      <c r="E964" s="143" t="s">
        <v>563</v>
      </c>
      <c r="F964" s="143" t="s">
        <v>2762</v>
      </c>
      <c r="G964" s="142" t="s">
        <v>109</v>
      </c>
      <c r="H964" s="142" t="s">
        <v>51</v>
      </c>
      <c r="I964" s="143" t="s">
        <v>1539</v>
      </c>
      <c r="J964" s="143" t="s">
        <v>104</v>
      </c>
      <c r="K964" s="144"/>
      <c r="L964" s="145"/>
      <c r="M964" s="144"/>
    </row>
    <row r="965" spans="1:13" ht="15" customHeight="1">
      <c r="A965" s="146" t="s">
        <v>2763</v>
      </c>
      <c r="B965" s="146">
        <v>513186</v>
      </c>
      <c r="C965" s="147" t="s">
        <v>2764</v>
      </c>
      <c r="D965" s="146" t="s">
        <v>1530</v>
      </c>
      <c r="E965" s="147" t="s">
        <v>1596</v>
      </c>
      <c r="F965" s="147" t="s">
        <v>2619</v>
      </c>
      <c r="G965" s="146" t="s">
        <v>109</v>
      </c>
      <c r="H965" s="146" t="s">
        <v>50</v>
      </c>
      <c r="I965" s="147" t="s">
        <v>1532</v>
      </c>
      <c r="J965" s="147" t="s">
        <v>104</v>
      </c>
      <c r="K965" s="148"/>
      <c r="L965" s="149"/>
      <c r="M965" s="148"/>
    </row>
    <row r="966" spans="1:13" ht="15" customHeight="1">
      <c r="A966" s="142" t="s">
        <v>2765</v>
      </c>
      <c r="B966" s="142">
        <v>513169</v>
      </c>
      <c r="C966" s="143" t="s">
        <v>2766</v>
      </c>
      <c r="D966" s="142" t="s">
        <v>1530</v>
      </c>
      <c r="E966" s="143" t="s">
        <v>1707</v>
      </c>
      <c r="F966" s="143" t="s">
        <v>423</v>
      </c>
      <c r="G966" s="142" t="s">
        <v>109</v>
      </c>
      <c r="H966" s="142" t="s">
        <v>50</v>
      </c>
      <c r="I966" s="143" t="s">
        <v>1532</v>
      </c>
      <c r="J966" s="143" t="s">
        <v>104</v>
      </c>
      <c r="K966" s="144"/>
      <c r="L966" s="145"/>
      <c r="M966" s="144"/>
    </row>
    <row r="967" spans="1:13" ht="15" customHeight="1">
      <c r="A967" s="146" t="s">
        <v>2767</v>
      </c>
      <c r="B967" s="146">
        <v>514174</v>
      </c>
      <c r="C967" s="147" t="s">
        <v>2768</v>
      </c>
      <c r="D967" s="146" t="s">
        <v>1530</v>
      </c>
      <c r="E967" s="147" t="s">
        <v>1607</v>
      </c>
      <c r="F967" s="147" t="s">
        <v>2622</v>
      </c>
      <c r="G967" s="146" t="s">
        <v>109</v>
      </c>
      <c r="H967" s="146" t="s">
        <v>50</v>
      </c>
      <c r="I967" s="147" t="s">
        <v>1532</v>
      </c>
      <c r="J967" s="147" t="s">
        <v>104</v>
      </c>
      <c r="K967" s="148"/>
      <c r="L967" s="149"/>
      <c r="M967" s="148"/>
    </row>
    <row r="968" spans="1:13" ht="15" customHeight="1">
      <c r="A968" s="142" t="s">
        <v>2769</v>
      </c>
      <c r="B968" s="142">
        <v>514099</v>
      </c>
      <c r="C968" s="143" t="s">
        <v>2770</v>
      </c>
      <c r="D968" s="142" t="s">
        <v>1530</v>
      </c>
      <c r="E968" s="143" t="s">
        <v>1639</v>
      </c>
      <c r="F968" s="143" t="s">
        <v>1762</v>
      </c>
      <c r="G968" s="142" t="s">
        <v>109</v>
      </c>
      <c r="H968" s="142" t="s">
        <v>50</v>
      </c>
      <c r="I968" s="143" t="s">
        <v>1532</v>
      </c>
      <c r="J968" s="143" t="s">
        <v>104</v>
      </c>
      <c r="K968" s="144"/>
      <c r="L968" s="145"/>
      <c r="M968" s="144"/>
    </row>
    <row r="969" spans="1:13" ht="15" customHeight="1">
      <c r="A969" s="146" t="s">
        <v>2771</v>
      </c>
      <c r="B969" s="146">
        <v>512986</v>
      </c>
      <c r="C969" s="147" t="s">
        <v>2772</v>
      </c>
      <c r="D969" s="146" t="s">
        <v>1530</v>
      </c>
      <c r="E969" s="147" t="s">
        <v>1531</v>
      </c>
      <c r="F969" s="147" t="s">
        <v>2773</v>
      </c>
      <c r="G969" s="146" t="s">
        <v>109</v>
      </c>
      <c r="H969" s="146" t="s">
        <v>50</v>
      </c>
      <c r="I969" s="147" t="s">
        <v>1532</v>
      </c>
      <c r="J969" s="147" t="s">
        <v>104</v>
      </c>
      <c r="K969" s="148" t="s">
        <v>121</v>
      </c>
      <c r="L969" s="149">
        <v>46149</v>
      </c>
      <c r="M969" s="148"/>
    </row>
    <row r="970" spans="1:13" ht="15" customHeight="1">
      <c r="A970" s="142" t="s">
        <v>2774</v>
      </c>
      <c r="B970" s="142">
        <v>513318</v>
      </c>
      <c r="C970" s="143" t="s">
        <v>2775</v>
      </c>
      <c r="D970" s="142" t="s">
        <v>1530</v>
      </c>
      <c r="E970" s="143" t="s">
        <v>1870</v>
      </c>
      <c r="F970" s="143" t="s">
        <v>2776</v>
      </c>
      <c r="G970" s="142" t="s">
        <v>109</v>
      </c>
      <c r="H970" s="142" t="s">
        <v>50</v>
      </c>
      <c r="I970" s="143" t="s">
        <v>1532</v>
      </c>
      <c r="J970" s="143" t="s">
        <v>104</v>
      </c>
      <c r="K970" s="144"/>
      <c r="L970" s="145"/>
      <c r="M970" s="144"/>
    </row>
    <row r="971" spans="1:13" ht="15" customHeight="1">
      <c r="A971" s="146" t="s">
        <v>2777</v>
      </c>
      <c r="B971" s="146">
        <v>512984</v>
      </c>
      <c r="C971" s="147" t="s">
        <v>2778</v>
      </c>
      <c r="D971" s="146" t="s">
        <v>1530</v>
      </c>
      <c r="E971" s="147" t="s">
        <v>1828</v>
      </c>
      <c r="F971" s="147" t="s">
        <v>2779</v>
      </c>
      <c r="G971" s="146" t="s">
        <v>109</v>
      </c>
      <c r="H971" s="146" t="s">
        <v>50</v>
      </c>
      <c r="I971" s="147" t="s">
        <v>1532</v>
      </c>
      <c r="J971" s="147" t="s">
        <v>104</v>
      </c>
      <c r="K971" s="148" t="s">
        <v>162</v>
      </c>
      <c r="L971" s="149">
        <v>46142</v>
      </c>
      <c r="M971" s="148"/>
    </row>
    <row r="972" spans="1:13" ht="15" customHeight="1">
      <c r="A972" s="142" t="s">
        <v>2780</v>
      </c>
      <c r="B972" s="142">
        <v>513331</v>
      </c>
      <c r="C972" s="143" t="s">
        <v>2781</v>
      </c>
      <c r="D972" s="142" t="s">
        <v>1530</v>
      </c>
      <c r="E972" s="143" t="s">
        <v>1819</v>
      </c>
      <c r="F972" s="143" t="s">
        <v>2782</v>
      </c>
      <c r="G972" s="142" t="s">
        <v>109</v>
      </c>
      <c r="H972" s="142" t="s">
        <v>50</v>
      </c>
      <c r="I972" s="143" t="s">
        <v>1532</v>
      </c>
      <c r="J972" s="143" t="s">
        <v>104</v>
      </c>
      <c r="K972" s="144" t="s">
        <v>162</v>
      </c>
      <c r="L972" s="145">
        <v>46147</v>
      </c>
      <c r="M972" s="144" t="s">
        <v>1740</v>
      </c>
    </row>
    <row r="973" spans="1:13" ht="15" customHeight="1">
      <c r="A973" s="146" t="s">
        <v>2783</v>
      </c>
      <c r="B973" s="146">
        <v>513109</v>
      </c>
      <c r="C973" s="147" t="s">
        <v>2784</v>
      </c>
      <c r="D973" s="146" t="s">
        <v>1530</v>
      </c>
      <c r="E973" s="147" t="s">
        <v>1530</v>
      </c>
      <c r="F973" s="147" t="s">
        <v>2785</v>
      </c>
      <c r="G973" s="146" t="s">
        <v>109</v>
      </c>
      <c r="H973" s="146" t="s">
        <v>51</v>
      </c>
      <c r="I973" s="147" t="s">
        <v>1539</v>
      </c>
      <c r="J973" s="147" t="s">
        <v>104</v>
      </c>
      <c r="K973" s="148"/>
      <c r="L973" s="149"/>
      <c r="M973" s="148"/>
    </row>
    <row r="974" spans="1:13" ht="15" customHeight="1">
      <c r="A974" s="142" t="s">
        <v>2786</v>
      </c>
      <c r="B974" s="142">
        <v>513309</v>
      </c>
      <c r="C974" s="143" t="s">
        <v>2787</v>
      </c>
      <c r="D974" s="142" t="s">
        <v>1530</v>
      </c>
      <c r="E974" s="143" t="s">
        <v>2355</v>
      </c>
      <c r="F974" s="143" t="s">
        <v>2788</v>
      </c>
      <c r="G974" s="142" t="s">
        <v>109</v>
      </c>
      <c r="H974" s="142" t="s">
        <v>51</v>
      </c>
      <c r="I974" s="143" t="s">
        <v>1539</v>
      </c>
      <c r="J974" s="143" t="s">
        <v>104</v>
      </c>
      <c r="K974" s="144"/>
      <c r="L974" s="145"/>
      <c r="M974" s="144"/>
    </row>
    <row r="975" spans="1:13" ht="15" customHeight="1">
      <c r="A975" s="146" t="s">
        <v>2789</v>
      </c>
      <c r="B975" s="146">
        <v>512987</v>
      </c>
      <c r="C975" s="147" t="s">
        <v>2790</v>
      </c>
      <c r="D975" s="146" t="s">
        <v>1530</v>
      </c>
      <c r="E975" s="147" t="s">
        <v>1542</v>
      </c>
      <c r="F975" s="147" t="s">
        <v>1781</v>
      </c>
      <c r="G975" s="146" t="s">
        <v>109</v>
      </c>
      <c r="H975" s="146" t="s">
        <v>51</v>
      </c>
      <c r="I975" s="147" t="s">
        <v>1539</v>
      </c>
      <c r="J975" s="147" t="s">
        <v>104</v>
      </c>
      <c r="K975" s="148"/>
      <c r="L975" s="149"/>
      <c r="M975" s="148"/>
    </row>
    <row r="976" spans="1:13" ht="15" customHeight="1">
      <c r="A976" s="142" t="s">
        <v>2791</v>
      </c>
      <c r="B976" s="142">
        <v>513117</v>
      </c>
      <c r="C976" s="143" t="s">
        <v>2792</v>
      </c>
      <c r="D976" s="142" t="s">
        <v>1530</v>
      </c>
      <c r="E976" s="143" t="s">
        <v>1537</v>
      </c>
      <c r="F976" s="143" t="s">
        <v>1537</v>
      </c>
      <c r="G976" s="142" t="s">
        <v>102</v>
      </c>
      <c r="H976" s="142" t="s">
        <v>51</v>
      </c>
      <c r="I976" s="143" t="s">
        <v>1539</v>
      </c>
      <c r="J976" s="143" t="s">
        <v>104</v>
      </c>
      <c r="K976" s="144"/>
      <c r="L976" s="145"/>
      <c r="M976" s="144"/>
    </row>
    <row r="977" spans="1:13" ht="15" customHeight="1">
      <c r="A977" s="146" t="s">
        <v>2793</v>
      </c>
      <c r="B977" s="146">
        <v>513333</v>
      </c>
      <c r="C977" s="147" t="s">
        <v>2794</v>
      </c>
      <c r="D977" s="146" t="s">
        <v>1530</v>
      </c>
      <c r="E977" s="147" t="s">
        <v>1886</v>
      </c>
      <c r="F977" s="147" t="s">
        <v>1886</v>
      </c>
      <c r="G977" s="146" t="s">
        <v>109</v>
      </c>
      <c r="H977" s="146" t="s">
        <v>50</v>
      </c>
      <c r="I977" s="147" t="s">
        <v>1532</v>
      </c>
      <c r="J977" s="147" t="s">
        <v>104</v>
      </c>
      <c r="K977" s="148" t="s">
        <v>162</v>
      </c>
      <c r="L977" s="149">
        <v>46141</v>
      </c>
      <c r="M977" s="154" t="s">
        <v>1716</v>
      </c>
    </row>
    <row r="978" spans="1:13" ht="15" customHeight="1">
      <c r="A978" s="142" t="s">
        <v>2795</v>
      </c>
      <c r="B978" s="142">
        <v>513379</v>
      </c>
      <c r="C978" s="143" t="s">
        <v>2796</v>
      </c>
      <c r="D978" s="142" t="s">
        <v>1530</v>
      </c>
      <c r="E978" s="143" t="s">
        <v>1531</v>
      </c>
      <c r="F978" s="143" t="s">
        <v>2797</v>
      </c>
      <c r="G978" s="142" t="s">
        <v>109</v>
      </c>
      <c r="H978" s="142" t="s">
        <v>50</v>
      </c>
      <c r="I978" s="143" t="s">
        <v>1532</v>
      </c>
      <c r="J978" s="143" t="s">
        <v>104</v>
      </c>
      <c r="K978" s="144" t="s">
        <v>121</v>
      </c>
      <c r="L978" s="145">
        <v>46149</v>
      </c>
      <c r="M978" s="144"/>
    </row>
    <row r="979" spans="1:13" ht="15" customHeight="1">
      <c r="A979" s="146" t="s">
        <v>2798</v>
      </c>
      <c r="B979" s="146">
        <v>513113</v>
      </c>
      <c r="C979" s="147" t="s">
        <v>2799</v>
      </c>
      <c r="D979" s="146" t="s">
        <v>1530</v>
      </c>
      <c r="E979" s="147" t="s">
        <v>1586</v>
      </c>
      <c r="F979" s="147" t="s">
        <v>2800</v>
      </c>
      <c r="G979" s="146" t="s">
        <v>109</v>
      </c>
      <c r="H979" s="146" t="s">
        <v>51</v>
      </c>
      <c r="I979" s="147" t="s">
        <v>1539</v>
      </c>
      <c r="J979" s="147" t="s">
        <v>104</v>
      </c>
      <c r="K979" s="148" t="s">
        <v>121</v>
      </c>
      <c r="L979" s="149">
        <v>46148</v>
      </c>
      <c r="M979" s="148"/>
    </row>
    <row r="980" spans="1:13" ht="15" customHeight="1">
      <c r="A980" s="142" t="s">
        <v>2801</v>
      </c>
      <c r="B980" s="142">
        <v>512924</v>
      </c>
      <c r="C980" s="143" t="s">
        <v>2802</v>
      </c>
      <c r="D980" s="142" t="s">
        <v>1530</v>
      </c>
      <c r="E980" s="143" t="s">
        <v>1676</v>
      </c>
      <c r="F980" s="143" t="s">
        <v>2803</v>
      </c>
      <c r="G980" s="142" t="s">
        <v>109</v>
      </c>
      <c r="H980" s="142" t="s">
        <v>51</v>
      </c>
      <c r="I980" s="143" t="s">
        <v>1539</v>
      </c>
      <c r="J980" s="143" t="s">
        <v>104</v>
      </c>
      <c r="K980" s="144"/>
      <c r="L980" s="145"/>
      <c r="M980" s="144"/>
    </row>
    <row r="981" spans="1:13" ht="15" customHeight="1">
      <c r="A981" s="146" t="s">
        <v>2804</v>
      </c>
      <c r="B981" s="146">
        <v>513138</v>
      </c>
      <c r="C981" s="147" t="s">
        <v>2805</v>
      </c>
      <c r="D981" s="146" t="s">
        <v>1530</v>
      </c>
      <c r="E981" s="147" t="s">
        <v>1731</v>
      </c>
      <c r="F981" s="147" t="s">
        <v>1731</v>
      </c>
      <c r="G981" s="146" t="s">
        <v>109</v>
      </c>
      <c r="H981" s="146" t="s">
        <v>50</v>
      </c>
      <c r="I981" s="147" t="s">
        <v>1532</v>
      </c>
      <c r="J981" s="147" t="s">
        <v>104</v>
      </c>
      <c r="K981" s="148" t="s">
        <v>121</v>
      </c>
      <c r="L981" s="149">
        <v>46142</v>
      </c>
      <c r="M981" s="148"/>
    </row>
    <row r="982" spans="1:13" ht="15" customHeight="1">
      <c r="A982" s="142" t="s">
        <v>2806</v>
      </c>
      <c r="B982" s="142">
        <v>512875</v>
      </c>
      <c r="C982" s="143" t="s">
        <v>2807</v>
      </c>
      <c r="D982" s="142" t="s">
        <v>1530</v>
      </c>
      <c r="E982" s="143" t="s">
        <v>1531</v>
      </c>
      <c r="F982" s="143" t="s">
        <v>1531</v>
      </c>
      <c r="G982" s="142" t="s">
        <v>102</v>
      </c>
      <c r="H982" s="142" t="s">
        <v>50</v>
      </c>
      <c r="I982" s="143" t="s">
        <v>1532</v>
      </c>
      <c r="J982" s="143" t="s">
        <v>104</v>
      </c>
      <c r="K982" s="144"/>
      <c r="L982" s="145"/>
      <c r="M982" s="144"/>
    </row>
    <row r="983" spans="1:13" ht="15" customHeight="1">
      <c r="A983" s="146" t="s">
        <v>2808</v>
      </c>
      <c r="B983" s="146">
        <v>513227</v>
      </c>
      <c r="C983" s="147" t="s">
        <v>2809</v>
      </c>
      <c r="D983" s="146" t="s">
        <v>1530</v>
      </c>
      <c r="E983" s="147" t="s">
        <v>1549</v>
      </c>
      <c r="F983" s="147" t="s">
        <v>2810</v>
      </c>
      <c r="G983" s="146" t="s">
        <v>109</v>
      </c>
      <c r="H983" s="146" t="s">
        <v>50</v>
      </c>
      <c r="I983" s="147" t="s">
        <v>1532</v>
      </c>
      <c r="J983" s="147" t="s">
        <v>104</v>
      </c>
      <c r="K983" s="148" t="s">
        <v>121</v>
      </c>
      <c r="L983" s="149">
        <v>46150</v>
      </c>
      <c r="M983" s="148"/>
    </row>
    <row r="984" spans="1:13" ht="15" customHeight="1">
      <c r="A984" s="142" t="s">
        <v>2811</v>
      </c>
      <c r="B984" s="142">
        <v>513121</v>
      </c>
      <c r="C984" s="143" t="s">
        <v>2812</v>
      </c>
      <c r="D984" s="142" t="s">
        <v>1530</v>
      </c>
      <c r="E984" s="143" t="s">
        <v>1549</v>
      </c>
      <c r="F984" s="143" t="s">
        <v>2813</v>
      </c>
      <c r="G984" s="142" t="s">
        <v>109</v>
      </c>
      <c r="H984" s="142" t="s">
        <v>50</v>
      </c>
      <c r="I984" s="143" t="s">
        <v>1532</v>
      </c>
      <c r="J984" s="143" t="s">
        <v>104</v>
      </c>
      <c r="K984" s="144"/>
      <c r="L984" s="145"/>
      <c r="M984" s="144"/>
    </row>
    <row r="985" spans="1:13" ht="15" customHeight="1">
      <c r="A985" s="146" t="s">
        <v>2814</v>
      </c>
      <c r="B985" s="146">
        <v>515676</v>
      </c>
      <c r="C985" s="147" t="s">
        <v>2815</v>
      </c>
      <c r="D985" s="146" t="s">
        <v>1530</v>
      </c>
      <c r="E985" s="147" t="s">
        <v>1683</v>
      </c>
      <c r="F985" s="147" t="s">
        <v>2816</v>
      </c>
      <c r="G985" s="146" t="s">
        <v>109</v>
      </c>
      <c r="H985" s="146" t="s">
        <v>50</v>
      </c>
      <c r="I985" s="147" t="s">
        <v>1532</v>
      </c>
      <c r="J985" s="147" t="s">
        <v>104</v>
      </c>
      <c r="K985" s="148"/>
      <c r="L985" s="149"/>
      <c r="M985" s="148"/>
    </row>
    <row r="986" spans="1:13" ht="15" customHeight="1">
      <c r="A986" s="142" t="s">
        <v>2817</v>
      </c>
      <c r="B986" s="142">
        <v>512958</v>
      </c>
      <c r="C986" s="143" t="s">
        <v>2818</v>
      </c>
      <c r="D986" s="142" t="s">
        <v>1530</v>
      </c>
      <c r="E986" s="143" t="s">
        <v>1546</v>
      </c>
      <c r="F986" s="143" t="s">
        <v>1546</v>
      </c>
      <c r="G986" s="142" t="s">
        <v>109</v>
      </c>
      <c r="H986" s="142" t="s">
        <v>51</v>
      </c>
      <c r="I986" s="143" t="s">
        <v>1539</v>
      </c>
      <c r="J986" s="143" t="s">
        <v>104</v>
      </c>
      <c r="K986" s="144"/>
      <c r="L986" s="145"/>
      <c r="M986" s="144"/>
    </row>
    <row r="987" spans="1:13" ht="15" customHeight="1">
      <c r="A987" s="146" t="s">
        <v>2819</v>
      </c>
      <c r="B987" s="146">
        <v>513369</v>
      </c>
      <c r="C987" s="147" t="s">
        <v>2820</v>
      </c>
      <c r="D987" s="146" t="s">
        <v>1530</v>
      </c>
      <c r="E987" s="147" t="s">
        <v>1687</v>
      </c>
      <c r="F987" s="147" t="s">
        <v>1687</v>
      </c>
      <c r="G987" s="146" t="s">
        <v>102</v>
      </c>
      <c r="H987" s="146" t="s">
        <v>50</v>
      </c>
      <c r="I987" s="147" t="s">
        <v>1532</v>
      </c>
      <c r="J987" s="147" t="s">
        <v>104</v>
      </c>
      <c r="K987" s="148" t="s">
        <v>121</v>
      </c>
      <c r="L987" s="149">
        <v>46140</v>
      </c>
      <c r="M987" s="148"/>
    </row>
    <row r="988" spans="1:13" ht="15" customHeight="1">
      <c r="A988" s="142" t="s">
        <v>2821</v>
      </c>
      <c r="B988" s="142">
        <v>513400</v>
      </c>
      <c r="C988" s="143" t="s">
        <v>2822</v>
      </c>
      <c r="D988" s="142" t="s">
        <v>1530</v>
      </c>
      <c r="E988" s="143" t="s">
        <v>1710</v>
      </c>
      <c r="F988" s="143" t="s">
        <v>2823</v>
      </c>
      <c r="G988" s="142" t="s">
        <v>109</v>
      </c>
      <c r="H988" s="142" t="s">
        <v>50</v>
      </c>
      <c r="I988" s="143" t="s">
        <v>1532</v>
      </c>
      <c r="J988" s="143" t="s">
        <v>104</v>
      </c>
      <c r="K988" s="144"/>
      <c r="L988" s="145"/>
      <c r="M988" s="144"/>
    </row>
    <row r="989" spans="1:13" ht="15" customHeight="1">
      <c r="A989" s="146" t="s">
        <v>2824</v>
      </c>
      <c r="B989" s="146">
        <v>513174</v>
      </c>
      <c r="C989" s="147" t="s">
        <v>2825</v>
      </c>
      <c r="D989" s="146" t="s">
        <v>1530</v>
      </c>
      <c r="E989" s="147" t="s">
        <v>1530</v>
      </c>
      <c r="F989" s="147" t="s">
        <v>2826</v>
      </c>
      <c r="G989" s="146" t="s">
        <v>109</v>
      </c>
      <c r="H989" s="146" t="s">
        <v>51</v>
      </c>
      <c r="I989" s="147" t="s">
        <v>1539</v>
      </c>
      <c r="J989" s="147" t="s">
        <v>104</v>
      </c>
      <c r="K989" s="148"/>
      <c r="L989" s="149"/>
      <c r="M989" s="148"/>
    </row>
    <row r="990" spans="1:13" ht="15" customHeight="1">
      <c r="A990" s="142" t="s">
        <v>2827</v>
      </c>
      <c r="B990" s="142">
        <v>513120</v>
      </c>
      <c r="C990" s="143" t="s">
        <v>2828</v>
      </c>
      <c r="D990" s="142" t="s">
        <v>1530</v>
      </c>
      <c r="E990" s="143" t="s">
        <v>1734</v>
      </c>
      <c r="F990" s="143" t="s">
        <v>1734</v>
      </c>
      <c r="G990" s="142" t="s">
        <v>109</v>
      </c>
      <c r="H990" s="142" t="s">
        <v>50</v>
      </c>
      <c r="I990" s="143" t="s">
        <v>1532</v>
      </c>
      <c r="J990" s="143" t="s">
        <v>104</v>
      </c>
      <c r="K990" s="144" t="s">
        <v>121</v>
      </c>
      <c r="L990" s="145">
        <v>46139</v>
      </c>
      <c r="M990" s="144"/>
    </row>
    <row r="991" spans="1:13" ht="15" customHeight="1">
      <c r="A991" s="146" t="s">
        <v>2829</v>
      </c>
      <c r="B991" s="146">
        <v>513374</v>
      </c>
      <c r="C991" s="147" t="s">
        <v>2830</v>
      </c>
      <c r="D991" s="146" t="s">
        <v>1530</v>
      </c>
      <c r="E991" s="147" t="s">
        <v>1710</v>
      </c>
      <c r="F991" s="147" t="s">
        <v>1944</v>
      </c>
      <c r="G991" s="146" t="s">
        <v>109</v>
      </c>
      <c r="H991" s="146" t="s">
        <v>50</v>
      </c>
      <c r="I991" s="147" t="s">
        <v>1532</v>
      </c>
      <c r="J991" s="147" t="s">
        <v>104</v>
      </c>
      <c r="K991" s="148"/>
      <c r="L991" s="149"/>
      <c r="M991" s="148"/>
    </row>
    <row r="992" spans="1:13" ht="15" customHeight="1">
      <c r="A992" s="142" t="s">
        <v>2831</v>
      </c>
      <c r="B992" s="142">
        <v>513234</v>
      </c>
      <c r="C992" s="143" t="s">
        <v>2832</v>
      </c>
      <c r="D992" s="142" t="s">
        <v>1530</v>
      </c>
      <c r="E992" s="143" t="s">
        <v>563</v>
      </c>
      <c r="F992" s="143" t="s">
        <v>2833</v>
      </c>
      <c r="G992" s="142" t="s">
        <v>109</v>
      </c>
      <c r="H992" s="142" t="s">
        <v>51</v>
      </c>
      <c r="I992" s="143" t="s">
        <v>1539</v>
      </c>
      <c r="J992" s="143" t="s">
        <v>104</v>
      </c>
      <c r="K992" s="144"/>
      <c r="L992" s="145"/>
      <c r="M992" s="144"/>
    </row>
    <row r="993" spans="1:13" ht="15" customHeight="1">
      <c r="A993" s="146" t="s">
        <v>2834</v>
      </c>
      <c r="B993" s="146">
        <v>517566</v>
      </c>
      <c r="C993" s="147" t="s">
        <v>2835</v>
      </c>
      <c r="D993" s="146" t="s">
        <v>1530</v>
      </c>
      <c r="E993" s="147" t="s">
        <v>1714</v>
      </c>
      <c r="F993" s="147" t="s">
        <v>1715</v>
      </c>
      <c r="G993" s="146" t="s">
        <v>109</v>
      </c>
      <c r="H993" s="146" t="s">
        <v>50</v>
      </c>
      <c r="I993" s="147" t="s">
        <v>1532</v>
      </c>
      <c r="J993" s="147" t="s">
        <v>104</v>
      </c>
      <c r="K993" s="148" t="s">
        <v>121</v>
      </c>
      <c r="L993" s="149">
        <v>46147</v>
      </c>
      <c r="M993" s="148"/>
    </row>
    <row r="994" spans="1:13" ht="15" customHeight="1">
      <c r="A994" s="142" t="s">
        <v>2836</v>
      </c>
      <c r="B994" s="142">
        <v>512976</v>
      </c>
      <c r="C994" s="143" t="s">
        <v>1337</v>
      </c>
      <c r="D994" s="142" t="s">
        <v>1530</v>
      </c>
      <c r="E994" s="143" t="s">
        <v>2355</v>
      </c>
      <c r="F994" s="143" t="s">
        <v>2355</v>
      </c>
      <c r="G994" s="142" t="s">
        <v>102</v>
      </c>
      <c r="H994" s="142" t="s">
        <v>51</v>
      </c>
      <c r="I994" s="143" t="s">
        <v>1539</v>
      </c>
      <c r="J994" s="143" t="s">
        <v>104</v>
      </c>
      <c r="K994" s="144"/>
      <c r="L994" s="145"/>
      <c r="M994" s="144"/>
    </row>
    <row r="995" spans="1:13" ht="15" customHeight="1">
      <c r="A995" s="146" t="s">
        <v>2837</v>
      </c>
      <c r="B995" s="146">
        <v>514082</v>
      </c>
      <c r="C995" s="147" t="s">
        <v>2838</v>
      </c>
      <c r="D995" s="146" t="s">
        <v>1530</v>
      </c>
      <c r="E995" s="147" t="s">
        <v>1707</v>
      </c>
      <c r="F995" s="147" t="s">
        <v>2839</v>
      </c>
      <c r="G995" s="146" t="s">
        <v>109</v>
      </c>
      <c r="H995" s="146" t="s">
        <v>50</v>
      </c>
      <c r="I995" s="147" t="s">
        <v>1532</v>
      </c>
      <c r="J995" s="147" t="s">
        <v>104</v>
      </c>
      <c r="K995" s="148"/>
      <c r="L995" s="149"/>
      <c r="M995" s="148"/>
    </row>
    <row r="996" spans="1:13" ht="15" customHeight="1">
      <c r="A996" s="142" t="s">
        <v>2840</v>
      </c>
      <c r="B996" s="142">
        <v>514112</v>
      </c>
      <c r="C996" s="143" t="s">
        <v>2841</v>
      </c>
      <c r="D996" s="142" t="s">
        <v>1530</v>
      </c>
      <c r="E996" s="143" t="s">
        <v>1653</v>
      </c>
      <c r="F996" s="143" t="s">
        <v>1845</v>
      </c>
      <c r="G996" s="142" t="s">
        <v>109</v>
      </c>
      <c r="H996" s="142" t="s">
        <v>50</v>
      </c>
      <c r="I996" s="143" t="s">
        <v>1532</v>
      </c>
      <c r="J996" s="143" t="s">
        <v>104</v>
      </c>
      <c r="K996" s="144" t="s">
        <v>162</v>
      </c>
      <c r="L996" s="145">
        <v>46149</v>
      </c>
      <c r="M996" s="144" t="s">
        <v>1740</v>
      </c>
    </row>
    <row r="997" spans="1:13" ht="15" customHeight="1">
      <c r="A997" s="146" t="s">
        <v>2842</v>
      </c>
      <c r="B997" s="146">
        <v>512903</v>
      </c>
      <c r="C997" s="147" t="s">
        <v>2843</v>
      </c>
      <c r="D997" s="146" t="s">
        <v>1530</v>
      </c>
      <c r="E997" s="147" t="s">
        <v>1546</v>
      </c>
      <c r="F997" s="147" t="s">
        <v>1546</v>
      </c>
      <c r="G997" s="146" t="s">
        <v>102</v>
      </c>
      <c r="H997" s="146" t="s">
        <v>51</v>
      </c>
      <c r="I997" s="147" t="s">
        <v>1539</v>
      </c>
      <c r="J997" s="147" t="s">
        <v>104</v>
      </c>
      <c r="K997" s="148"/>
      <c r="L997" s="149"/>
      <c r="M997" s="148"/>
    </row>
    <row r="998" spans="1:13" ht="15" customHeight="1">
      <c r="A998" s="142" t="s">
        <v>2844</v>
      </c>
      <c r="B998" s="142">
        <v>513254</v>
      </c>
      <c r="C998" s="143" t="s">
        <v>2845</v>
      </c>
      <c r="D998" s="142" t="s">
        <v>1530</v>
      </c>
      <c r="E998" s="143" t="s">
        <v>1710</v>
      </c>
      <c r="F998" s="143" t="s">
        <v>2034</v>
      </c>
      <c r="G998" s="142" t="s">
        <v>109</v>
      </c>
      <c r="H998" s="142" t="s">
        <v>50</v>
      </c>
      <c r="I998" s="143" t="s">
        <v>1532</v>
      </c>
      <c r="J998" s="143" t="s">
        <v>104</v>
      </c>
      <c r="K998" s="144"/>
      <c r="L998" s="145"/>
      <c r="M998" s="144"/>
    </row>
    <row r="999" spans="1:13" ht="15" customHeight="1">
      <c r="A999" s="146" t="s">
        <v>2846</v>
      </c>
      <c r="B999" s="146">
        <v>513359</v>
      </c>
      <c r="C999" s="147" t="s">
        <v>2847</v>
      </c>
      <c r="D999" s="146" t="s">
        <v>1530</v>
      </c>
      <c r="E999" s="147" t="s">
        <v>1653</v>
      </c>
      <c r="F999" s="147" t="s">
        <v>2848</v>
      </c>
      <c r="G999" s="146" t="s">
        <v>109</v>
      </c>
      <c r="H999" s="146" t="s">
        <v>50</v>
      </c>
      <c r="I999" s="147" t="s">
        <v>1532</v>
      </c>
      <c r="J999" s="147" t="s">
        <v>104</v>
      </c>
      <c r="K999" s="148"/>
      <c r="L999" s="149"/>
      <c r="M999" s="148"/>
    </row>
    <row r="1000" spans="1:13" ht="15" customHeight="1">
      <c r="A1000" s="142" t="s">
        <v>2849</v>
      </c>
      <c r="B1000" s="142">
        <v>514064</v>
      </c>
      <c r="C1000" s="143" t="s">
        <v>2850</v>
      </c>
      <c r="D1000" s="142" t="s">
        <v>1530</v>
      </c>
      <c r="E1000" s="143" t="s">
        <v>1719</v>
      </c>
      <c r="F1000" s="143" t="s">
        <v>1719</v>
      </c>
      <c r="G1000" s="142" t="s">
        <v>109</v>
      </c>
      <c r="H1000" s="142" t="s">
        <v>50</v>
      </c>
      <c r="I1000" s="143" t="s">
        <v>1532</v>
      </c>
      <c r="J1000" s="143" t="s">
        <v>104</v>
      </c>
      <c r="K1000" s="144"/>
      <c r="L1000" s="145"/>
      <c r="M1000" s="144"/>
    </row>
    <row r="1001" spans="1:13" ht="15" customHeight="1">
      <c r="A1001" s="146" t="s">
        <v>2851</v>
      </c>
      <c r="B1001" s="146">
        <v>513384</v>
      </c>
      <c r="C1001" s="147" t="s">
        <v>2852</v>
      </c>
      <c r="D1001" s="146" t="s">
        <v>1530</v>
      </c>
      <c r="E1001" s="147" t="s">
        <v>320</v>
      </c>
      <c r="F1001" s="147" t="s">
        <v>1831</v>
      </c>
      <c r="G1001" s="146" t="s">
        <v>109</v>
      </c>
      <c r="H1001" s="146" t="s">
        <v>51</v>
      </c>
      <c r="I1001" s="147" t="s">
        <v>1539</v>
      </c>
      <c r="J1001" s="147" t="s">
        <v>104</v>
      </c>
      <c r="K1001" s="148"/>
      <c r="L1001" s="149"/>
      <c r="M1001" s="148"/>
    </row>
    <row r="1002" spans="1:13" ht="15" customHeight="1">
      <c r="A1002" s="142" t="s">
        <v>2853</v>
      </c>
      <c r="B1002" s="142">
        <v>512938</v>
      </c>
      <c r="C1002" s="143" t="s">
        <v>2854</v>
      </c>
      <c r="D1002" s="142" t="s">
        <v>1530</v>
      </c>
      <c r="E1002" s="143" t="s">
        <v>1542</v>
      </c>
      <c r="F1002" s="143" t="s">
        <v>2285</v>
      </c>
      <c r="G1002" s="142" t="s">
        <v>102</v>
      </c>
      <c r="H1002" s="142" t="s">
        <v>51</v>
      </c>
      <c r="I1002" s="143" t="s">
        <v>1539</v>
      </c>
      <c r="J1002" s="143" t="s">
        <v>104</v>
      </c>
      <c r="K1002" s="144"/>
      <c r="L1002" s="145"/>
      <c r="M1002" s="144"/>
    </row>
    <row r="1003" spans="1:13" ht="15" customHeight="1">
      <c r="A1003" s="146" t="s">
        <v>2855</v>
      </c>
      <c r="B1003" s="146">
        <v>512897</v>
      </c>
      <c r="C1003" s="147" t="s">
        <v>2856</v>
      </c>
      <c r="D1003" s="146" t="s">
        <v>1530</v>
      </c>
      <c r="E1003" s="147" t="s">
        <v>1546</v>
      </c>
      <c r="F1003" s="147" t="s">
        <v>2857</v>
      </c>
      <c r="G1003" s="146" t="s">
        <v>109</v>
      </c>
      <c r="H1003" s="146" t="s">
        <v>51</v>
      </c>
      <c r="I1003" s="147" t="s">
        <v>1539</v>
      </c>
      <c r="J1003" s="147" t="s">
        <v>104</v>
      </c>
      <c r="K1003" s="148"/>
      <c r="L1003" s="149"/>
      <c r="M1003" s="148"/>
    </row>
    <row r="1004" spans="1:13" ht="15" customHeight="1">
      <c r="A1004" s="142" t="s">
        <v>2858</v>
      </c>
      <c r="B1004" s="142">
        <v>512933</v>
      </c>
      <c r="C1004" s="143" t="s">
        <v>2859</v>
      </c>
      <c r="D1004" s="142" t="s">
        <v>1530</v>
      </c>
      <c r="E1004" s="143" t="s">
        <v>1546</v>
      </c>
      <c r="F1004" s="143" t="s">
        <v>2860</v>
      </c>
      <c r="G1004" s="142" t="s">
        <v>102</v>
      </c>
      <c r="H1004" s="142" t="s">
        <v>51</v>
      </c>
      <c r="I1004" s="143" t="s">
        <v>1539</v>
      </c>
      <c r="J1004" s="143" t="s">
        <v>104</v>
      </c>
      <c r="K1004" s="144"/>
      <c r="L1004" s="145"/>
      <c r="M1004" s="144"/>
    </row>
    <row r="1005" spans="1:13" ht="15" customHeight="1">
      <c r="A1005" s="146" t="s">
        <v>2861</v>
      </c>
      <c r="B1005" s="146">
        <v>512917</v>
      </c>
      <c r="C1005" s="147" t="s">
        <v>2862</v>
      </c>
      <c r="D1005" s="146" t="s">
        <v>1530</v>
      </c>
      <c r="E1005" s="147" t="s">
        <v>1546</v>
      </c>
      <c r="F1005" s="147" t="s">
        <v>1546</v>
      </c>
      <c r="G1005" s="146" t="s">
        <v>102</v>
      </c>
      <c r="H1005" s="146" t="s">
        <v>51</v>
      </c>
      <c r="I1005" s="147" t="s">
        <v>1539</v>
      </c>
      <c r="J1005" s="147" t="s">
        <v>104</v>
      </c>
      <c r="K1005" s="148" t="s">
        <v>121</v>
      </c>
      <c r="L1005" s="149">
        <v>46148</v>
      </c>
      <c r="M1005" s="148"/>
    </row>
    <row r="1006" spans="1:13" ht="15" customHeight="1">
      <c r="A1006" s="142" t="s">
        <v>2863</v>
      </c>
      <c r="B1006" s="142">
        <v>512918</v>
      </c>
      <c r="C1006" s="143" t="s">
        <v>2864</v>
      </c>
      <c r="D1006" s="142" t="s">
        <v>1530</v>
      </c>
      <c r="E1006" s="143" t="s">
        <v>1546</v>
      </c>
      <c r="F1006" s="143" t="s">
        <v>2865</v>
      </c>
      <c r="G1006" s="142" t="s">
        <v>109</v>
      </c>
      <c r="H1006" s="142" t="s">
        <v>51</v>
      </c>
      <c r="I1006" s="143" t="s">
        <v>1539</v>
      </c>
      <c r="J1006" s="143" t="s">
        <v>104</v>
      </c>
      <c r="K1006" s="144"/>
      <c r="L1006" s="145"/>
      <c r="M1006" s="144"/>
    </row>
    <row r="1007" spans="1:13" ht="15" customHeight="1">
      <c r="A1007" s="146" t="s">
        <v>2866</v>
      </c>
      <c r="B1007" s="146">
        <v>513409</v>
      </c>
      <c r="C1007" s="147" t="s">
        <v>2867</v>
      </c>
      <c r="D1007" s="146" t="s">
        <v>1530</v>
      </c>
      <c r="E1007" s="147" t="s">
        <v>1546</v>
      </c>
      <c r="F1007" s="147" t="s">
        <v>1546</v>
      </c>
      <c r="G1007" s="146" t="s">
        <v>102</v>
      </c>
      <c r="H1007" s="146" t="s">
        <v>51</v>
      </c>
      <c r="I1007" s="147" t="s">
        <v>1539</v>
      </c>
      <c r="J1007" s="147" t="s">
        <v>104</v>
      </c>
      <c r="K1007" s="148" t="s">
        <v>121</v>
      </c>
      <c r="L1007" s="149">
        <v>46150</v>
      </c>
      <c r="M1007" s="148"/>
    </row>
    <row r="1008" spans="1:13" ht="15" customHeight="1">
      <c r="A1008" s="142" t="s">
        <v>2868</v>
      </c>
      <c r="B1008" s="142">
        <v>514146</v>
      </c>
      <c r="C1008" s="143" t="s">
        <v>2869</v>
      </c>
      <c r="D1008" s="142" t="s">
        <v>1530</v>
      </c>
      <c r="E1008" s="143" t="s">
        <v>1578</v>
      </c>
      <c r="F1008" s="143" t="s">
        <v>2870</v>
      </c>
      <c r="G1008" s="142" t="s">
        <v>109</v>
      </c>
      <c r="H1008" s="142" t="s">
        <v>50</v>
      </c>
      <c r="I1008" s="143" t="s">
        <v>1532</v>
      </c>
      <c r="J1008" s="143" t="s">
        <v>104</v>
      </c>
      <c r="K1008" s="144" t="s">
        <v>121</v>
      </c>
      <c r="L1008" s="145">
        <v>46139</v>
      </c>
      <c r="M1008" s="144"/>
    </row>
    <row r="1009" spans="1:13" ht="15" customHeight="1">
      <c r="A1009" s="146" t="s">
        <v>2871</v>
      </c>
      <c r="B1009" s="146">
        <v>513163</v>
      </c>
      <c r="C1009" s="147" t="s">
        <v>2872</v>
      </c>
      <c r="D1009" s="146" t="s">
        <v>1530</v>
      </c>
      <c r="E1009" s="147" t="s">
        <v>1537</v>
      </c>
      <c r="F1009" s="147" t="s">
        <v>2191</v>
      </c>
      <c r="G1009" s="146" t="s">
        <v>109</v>
      </c>
      <c r="H1009" s="146" t="s">
        <v>51</v>
      </c>
      <c r="I1009" s="147" t="s">
        <v>1539</v>
      </c>
      <c r="J1009" s="147" t="s">
        <v>104</v>
      </c>
      <c r="K1009" s="148"/>
      <c r="L1009" s="149"/>
      <c r="M1009" s="148"/>
    </row>
    <row r="1010" spans="1:13" ht="15" customHeight="1">
      <c r="A1010" s="142" t="s">
        <v>2873</v>
      </c>
      <c r="B1010" s="142">
        <v>513335</v>
      </c>
      <c r="C1010" s="143" t="s">
        <v>2874</v>
      </c>
      <c r="D1010" s="142" t="s">
        <v>1530</v>
      </c>
      <c r="E1010" s="143" t="s">
        <v>1607</v>
      </c>
      <c r="F1010" s="143" t="s">
        <v>2875</v>
      </c>
      <c r="G1010" s="142" t="s">
        <v>109</v>
      </c>
      <c r="H1010" s="142" t="s">
        <v>50</v>
      </c>
      <c r="I1010" s="143" t="s">
        <v>1532</v>
      </c>
      <c r="J1010" s="143" t="s">
        <v>104</v>
      </c>
      <c r="K1010" s="144"/>
      <c r="L1010" s="145"/>
      <c r="M1010" s="144"/>
    </row>
    <row r="1011" spans="1:13" ht="15" customHeight="1">
      <c r="A1011" s="146" t="s">
        <v>2876</v>
      </c>
      <c r="B1011" s="146">
        <v>512931</v>
      </c>
      <c r="C1011" s="147" t="s">
        <v>2256</v>
      </c>
      <c r="D1011" s="146" t="s">
        <v>1530</v>
      </c>
      <c r="E1011" s="147" t="s">
        <v>1542</v>
      </c>
      <c r="F1011" s="147" t="s">
        <v>1542</v>
      </c>
      <c r="G1011" s="146" t="s">
        <v>109</v>
      </c>
      <c r="H1011" s="146" t="s">
        <v>51</v>
      </c>
      <c r="I1011" s="147" t="s">
        <v>1539</v>
      </c>
      <c r="J1011" s="147" t="s">
        <v>104</v>
      </c>
      <c r="K1011" s="148"/>
      <c r="L1011" s="149"/>
      <c r="M1011" s="148"/>
    </row>
    <row r="1012" spans="1:13" ht="15" customHeight="1">
      <c r="A1012" s="142" t="s">
        <v>2877</v>
      </c>
      <c r="B1012" s="142">
        <v>512989</v>
      </c>
      <c r="C1012" s="143" t="s">
        <v>2878</v>
      </c>
      <c r="D1012" s="142" t="s">
        <v>1530</v>
      </c>
      <c r="E1012" s="143" t="s">
        <v>1546</v>
      </c>
      <c r="F1012" s="143" t="s">
        <v>2879</v>
      </c>
      <c r="G1012" s="142" t="s">
        <v>102</v>
      </c>
      <c r="H1012" s="142" t="s">
        <v>51</v>
      </c>
      <c r="I1012" s="143" t="s">
        <v>1539</v>
      </c>
      <c r="J1012" s="143" t="s">
        <v>104</v>
      </c>
      <c r="K1012" s="144"/>
      <c r="L1012" s="145"/>
      <c r="M1012" s="144"/>
    </row>
    <row r="1013" spans="1:13" ht="15" customHeight="1">
      <c r="A1013" s="146" t="s">
        <v>2880</v>
      </c>
      <c r="B1013" s="146">
        <v>513320</v>
      </c>
      <c r="C1013" s="147" t="s">
        <v>2881</v>
      </c>
      <c r="D1013" s="146" t="s">
        <v>1530</v>
      </c>
      <c r="E1013" s="147" t="s">
        <v>1549</v>
      </c>
      <c r="F1013" s="147" t="s">
        <v>2627</v>
      </c>
      <c r="G1013" s="146" t="s">
        <v>109</v>
      </c>
      <c r="H1013" s="146" t="s">
        <v>50</v>
      </c>
      <c r="I1013" s="147" t="s">
        <v>1532</v>
      </c>
      <c r="J1013" s="147" t="s">
        <v>104</v>
      </c>
      <c r="K1013" s="148"/>
      <c r="L1013" s="149"/>
      <c r="M1013" s="148"/>
    </row>
    <row r="1014" spans="1:13" ht="15" customHeight="1">
      <c r="A1014" s="142" t="s">
        <v>2882</v>
      </c>
      <c r="B1014" s="142">
        <v>513146</v>
      </c>
      <c r="C1014" s="143" t="s">
        <v>2883</v>
      </c>
      <c r="D1014" s="142" t="s">
        <v>1530</v>
      </c>
      <c r="E1014" s="143" t="s">
        <v>320</v>
      </c>
      <c r="F1014" s="143" t="s">
        <v>2680</v>
      </c>
      <c r="G1014" s="142" t="s">
        <v>109</v>
      </c>
      <c r="H1014" s="142" t="s">
        <v>51</v>
      </c>
      <c r="I1014" s="143" t="s">
        <v>1539</v>
      </c>
      <c r="J1014" s="143" t="s">
        <v>104</v>
      </c>
      <c r="K1014" s="144"/>
      <c r="L1014" s="145"/>
      <c r="M1014" s="144"/>
    </row>
    <row r="1015" spans="1:13" ht="15" customHeight="1">
      <c r="A1015" s="146" t="s">
        <v>2884</v>
      </c>
      <c r="B1015" s="146">
        <v>513052</v>
      </c>
      <c r="C1015" s="147" t="s">
        <v>2885</v>
      </c>
      <c r="D1015" s="146" t="s">
        <v>1530</v>
      </c>
      <c r="E1015" s="147" t="s">
        <v>320</v>
      </c>
      <c r="F1015" s="147" t="s">
        <v>2886</v>
      </c>
      <c r="G1015" s="146" t="s">
        <v>109</v>
      </c>
      <c r="H1015" s="146" t="s">
        <v>51</v>
      </c>
      <c r="I1015" s="147" t="s">
        <v>1539</v>
      </c>
      <c r="J1015" s="147" t="s">
        <v>104</v>
      </c>
      <c r="K1015" s="148"/>
      <c r="L1015" s="149"/>
      <c r="M1015" s="148"/>
    </row>
    <row r="1016" spans="1:13" ht="15" customHeight="1">
      <c r="A1016" s="142" t="s">
        <v>2887</v>
      </c>
      <c r="B1016" s="142">
        <v>512992</v>
      </c>
      <c r="C1016" s="143" t="s">
        <v>2888</v>
      </c>
      <c r="D1016" s="142" t="s">
        <v>1530</v>
      </c>
      <c r="E1016" s="143" t="s">
        <v>1546</v>
      </c>
      <c r="F1016" s="143" t="s">
        <v>2052</v>
      </c>
      <c r="G1016" s="142" t="s">
        <v>109</v>
      </c>
      <c r="H1016" s="142" t="s">
        <v>51</v>
      </c>
      <c r="I1016" s="143" t="s">
        <v>1539</v>
      </c>
      <c r="J1016" s="143" t="s">
        <v>104</v>
      </c>
      <c r="K1016" s="144"/>
      <c r="L1016" s="145"/>
      <c r="M1016" s="144"/>
    </row>
    <row r="1017" spans="1:13" ht="15" customHeight="1">
      <c r="A1017" s="146" t="s">
        <v>2889</v>
      </c>
      <c r="B1017" s="146">
        <v>512927</v>
      </c>
      <c r="C1017" s="147" t="s">
        <v>2890</v>
      </c>
      <c r="D1017" s="146" t="s">
        <v>1530</v>
      </c>
      <c r="E1017" s="147" t="s">
        <v>1546</v>
      </c>
      <c r="F1017" s="147" t="s">
        <v>2221</v>
      </c>
      <c r="G1017" s="146" t="s">
        <v>109</v>
      </c>
      <c r="H1017" s="146" t="s">
        <v>51</v>
      </c>
      <c r="I1017" s="147" t="s">
        <v>1539</v>
      </c>
      <c r="J1017" s="147" t="s">
        <v>104</v>
      </c>
      <c r="K1017" s="148"/>
      <c r="L1017" s="149"/>
      <c r="M1017" s="148"/>
    </row>
    <row r="1018" spans="1:13" ht="15" customHeight="1">
      <c r="A1018" s="142" t="s">
        <v>2891</v>
      </c>
      <c r="B1018" s="142">
        <v>512977</v>
      </c>
      <c r="C1018" s="143" t="s">
        <v>2892</v>
      </c>
      <c r="D1018" s="142" t="s">
        <v>1530</v>
      </c>
      <c r="E1018" s="143" t="s">
        <v>2355</v>
      </c>
      <c r="F1018" s="143" t="s">
        <v>2355</v>
      </c>
      <c r="G1018" s="142" t="s">
        <v>102</v>
      </c>
      <c r="H1018" s="142" t="s">
        <v>51</v>
      </c>
      <c r="I1018" s="143" t="s">
        <v>1539</v>
      </c>
      <c r="J1018" s="143" t="s">
        <v>104</v>
      </c>
      <c r="K1018" s="144"/>
      <c r="L1018" s="145"/>
      <c r="M1018" s="144"/>
    </row>
    <row r="1019" spans="1:13" ht="15" customHeight="1">
      <c r="A1019" s="146" t="s">
        <v>2893</v>
      </c>
      <c r="B1019" s="146">
        <v>513009</v>
      </c>
      <c r="C1019" s="147" t="s">
        <v>2894</v>
      </c>
      <c r="D1019" s="146" t="s">
        <v>1530</v>
      </c>
      <c r="E1019" s="147" t="s">
        <v>1600</v>
      </c>
      <c r="F1019" s="147" t="s">
        <v>2895</v>
      </c>
      <c r="G1019" s="146" t="s">
        <v>109</v>
      </c>
      <c r="H1019" s="146" t="s">
        <v>50</v>
      </c>
      <c r="I1019" s="147" t="s">
        <v>1532</v>
      </c>
      <c r="J1019" s="147" t="s">
        <v>104</v>
      </c>
      <c r="K1019" s="148" t="s">
        <v>162</v>
      </c>
      <c r="L1019" s="149">
        <v>46140</v>
      </c>
      <c r="M1019" s="148" t="s">
        <v>1736</v>
      </c>
    </row>
    <row r="1020" spans="1:13" ht="15" customHeight="1">
      <c r="A1020" s="142" t="s">
        <v>2896</v>
      </c>
      <c r="B1020" s="142">
        <v>513401</v>
      </c>
      <c r="C1020" s="143" t="s">
        <v>2897</v>
      </c>
      <c r="D1020" s="142" t="s">
        <v>1530</v>
      </c>
      <c r="E1020" s="143" t="s">
        <v>1586</v>
      </c>
      <c r="F1020" s="143" t="s">
        <v>2898</v>
      </c>
      <c r="G1020" s="142" t="s">
        <v>109</v>
      </c>
      <c r="H1020" s="142" t="s">
        <v>51</v>
      </c>
      <c r="I1020" s="143" t="s">
        <v>1539</v>
      </c>
      <c r="J1020" s="143" t="s">
        <v>104</v>
      </c>
      <c r="K1020" s="144"/>
      <c r="L1020" s="145"/>
      <c r="M1020" s="144"/>
    </row>
    <row r="1021" spans="1:13" ht="15" customHeight="1">
      <c r="A1021" s="146" t="s">
        <v>2899</v>
      </c>
      <c r="B1021" s="146">
        <v>513087</v>
      </c>
      <c r="C1021" s="147" t="s">
        <v>2900</v>
      </c>
      <c r="D1021" s="146" t="s">
        <v>1530</v>
      </c>
      <c r="E1021" s="147" t="s">
        <v>1537</v>
      </c>
      <c r="F1021" s="147" t="s">
        <v>1537</v>
      </c>
      <c r="G1021" s="146" t="s">
        <v>102</v>
      </c>
      <c r="H1021" s="146" t="s">
        <v>51</v>
      </c>
      <c r="I1021" s="147" t="s">
        <v>1539</v>
      </c>
      <c r="J1021" s="147" t="s">
        <v>104</v>
      </c>
      <c r="K1021" s="148"/>
      <c r="L1021" s="149"/>
      <c r="M1021" s="148"/>
    </row>
    <row r="1022" spans="1:13" ht="15" customHeight="1">
      <c r="A1022" s="142" t="s">
        <v>2901</v>
      </c>
      <c r="B1022" s="142">
        <v>513410</v>
      </c>
      <c r="C1022" s="143" t="s">
        <v>2902</v>
      </c>
      <c r="D1022" s="142" t="s">
        <v>1530</v>
      </c>
      <c r="E1022" s="143" t="s">
        <v>1546</v>
      </c>
      <c r="F1022" s="143" t="s">
        <v>2903</v>
      </c>
      <c r="G1022" s="142" t="s">
        <v>109</v>
      </c>
      <c r="H1022" s="142" t="s">
        <v>51</v>
      </c>
      <c r="I1022" s="143" t="s">
        <v>1539</v>
      </c>
      <c r="J1022" s="143" t="s">
        <v>104</v>
      </c>
      <c r="K1022" s="144"/>
      <c r="L1022" s="145"/>
      <c r="M1022" s="144"/>
    </row>
    <row r="1023" spans="1:13" ht="15" customHeight="1">
      <c r="A1023" s="146" t="s">
        <v>2904</v>
      </c>
      <c r="B1023" s="146">
        <v>514065</v>
      </c>
      <c r="C1023" s="147" t="s">
        <v>2905</v>
      </c>
      <c r="D1023" s="146" t="s">
        <v>1530</v>
      </c>
      <c r="E1023" s="147" t="s">
        <v>1719</v>
      </c>
      <c r="F1023" s="147" t="s">
        <v>2571</v>
      </c>
      <c r="G1023" s="146" t="s">
        <v>102</v>
      </c>
      <c r="H1023" s="146" t="s">
        <v>50</v>
      </c>
      <c r="I1023" s="147" t="s">
        <v>1532</v>
      </c>
      <c r="J1023" s="147" t="s">
        <v>104</v>
      </c>
      <c r="K1023" s="148"/>
      <c r="L1023" s="149"/>
      <c r="M1023" s="148"/>
    </row>
    <row r="1024" spans="1:13" ht="15" customHeight="1">
      <c r="A1024" s="142" t="s">
        <v>2906</v>
      </c>
      <c r="B1024" s="142">
        <v>512892</v>
      </c>
      <c r="C1024" s="143" t="s">
        <v>2907</v>
      </c>
      <c r="D1024" s="142" t="s">
        <v>1530</v>
      </c>
      <c r="E1024" s="143" t="s">
        <v>1546</v>
      </c>
      <c r="F1024" s="143" t="s">
        <v>1546</v>
      </c>
      <c r="G1024" s="142" t="s">
        <v>102</v>
      </c>
      <c r="H1024" s="142" t="s">
        <v>51</v>
      </c>
      <c r="I1024" s="143" t="s">
        <v>1539</v>
      </c>
      <c r="J1024" s="143" t="s">
        <v>104</v>
      </c>
      <c r="K1024" s="144"/>
      <c r="L1024" s="145"/>
      <c r="M1024" s="144"/>
    </row>
    <row r="1025" spans="1:13" ht="15" customHeight="1">
      <c r="A1025" s="146" t="s">
        <v>2908</v>
      </c>
      <c r="B1025" s="146">
        <v>512963</v>
      </c>
      <c r="C1025" s="147" t="s">
        <v>2909</v>
      </c>
      <c r="D1025" s="146" t="s">
        <v>1530</v>
      </c>
      <c r="E1025" s="147" t="s">
        <v>1542</v>
      </c>
      <c r="F1025" s="147" t="s">
        <v>2910</v>
      </c>
      <c r="G1025" s="146" t="s">
        <v>109</v>
      </c>
      <c r="H1025" s="146" t="s">
        <v>51</v>
      </c>
      <c r="I1025" s="147" t="s">
        <v>1539</v>
      </c>
      <c r="J1025" s="147" t="s">
        <v>104</v>
      </c>
      <c r="K1025" s="148"/>
      <c r="L1025" s="149"/>
      <c r="M1025" s="148"/>
    </row>
    <row r="1026" spans="1:13" ht="15" customHeight="1">
      <c r="A1026" s="142" t="s">
        <v>2911</v>
      </c>
      <c r="B1026" s="142">
        <v>513342</v>
      </c>
      <c r="C1026" s="143" t="s">
        <v>2912</v>
      </c>
      <c r="D1026" s="142" t="s">
        <v>1530</v>
      </c>
      <c r="E1026" s="143" t="s">
        <v>1546</v>
      </c>
      <c r="F1026" s="143" t="s">
        <v>2913</v>
      </c>
      <c r="G1026" s="142" t="s">
        <v>109</v>
      </c>
      <c r="H1026" s="142" t="s">
        <v>51</v>
      </c>
      <c r="I1026" s="143" t="s">
        <v>1539</v>
      </c>
      <c r="J1026" s="143" t="s">
        <v>104</v>
      </c>
      <c r="K1026" s="144"/>
      <c r="L1026" s="145"/>
      <c r="M1026" s="144"/>
    </row>
    <row r="1027" spans="1:13" ht="15" customHeight="1">
      <c r="A1027" s="146" t="s">
        <v>2914</v>
      </c>
      <c r="B1027" s="146">
        <v>513021</v>
      </c>
      <c r="C1027" s="147" t="s">
        <v>2915</v>
      </c>
      <c r="D1027" s="146" t="s">
        <v>1530</v>
      </c>
      <c r="E1027" s="147" t="s">
        <v>1653</v>
      </c>
      <c r="F1027" s="147" t="s">
        <v>2916</v>
      </c>
      <c r="G1027" s="146" t="s">
        <v>109</v>
      </c>
      <c r="H1027" s="146" t="s">
        <v>50</v>
      </c>
      <c r="I1027" s="147" t="s">
        <v>1532</v>
      </c>
      <c r="J1027" s="147" t="s">
        <v>104</v>
      </c>
      <c r="K1027" s="148" t="s">
        <v>162</v>
      </c>
      <c r="L1027" s="149">
        <v>46148</v>
      </c>
      <c r="M1027" s="148" t="s">
        <v>1740</v>
      </c>
    </row>
    <row r="1028" spans="1:13" ht="15" customHeight="1">
      <c r="A1028" s="142" t="s">
        <v>2917</v>
      </c>
      <c r="B1028" s="142">
        <v>513054</v>
      </c>
      <c r="C1028" s="143" t="s">
        <v>2918</v>
      </c>
      <c r="D1028" s="142" t="s">
        <v>1530</v>
      </c>
      <c r="E1028" s="143" t="s">
        <v>1537</v>
      </c>
      <c r="F1028" s="143" t="s">
        <v>2919</v>
      </c>
      <c r="G1028" s="142" t="s">
        <v>102</v>
      </c>
      <c r="H1028" s="142" t="s">
        <v>51</v>
      </c>
      <c r="I1028" s="143" t="s">
        <v>1539</v>
      </c>
      <c r="J1028" s="143" t="s">
        <v>104</v>
      </c>
      <c r="K1028" s="144"/>
      <c r="L1028" s="145"/>
      <c r="M1028" s="144"/>
    </row>
    <row r="1029" spans="1:13" ht="15" customHeight="1">
      <c r="A1029" s="146" t="s">
        <v>2920</v>
      </c>
      <c r="B1029" s="146">
        <v>514284</v>
      </c>
      <c r="C1029" s="147" t="s">
        <v>2921</v>
      </c>
      <c r="D1029" s="146" t="s">
        <v>553</v>
      </c>
      <c r="E1029" s="147" t="s">
        <v>2922</v>
      </c>
      <c r="F1029" s="147" t="s">
        <v>2923</v>
      </c>
      <c r="G1029" s="146" t="s">
        <v>109</v>
      </c>
      <c r="H1029" s="146" t="s">
        <v>50</v>
      </c>
      <c r="I1029" s="147" t="s">
        <v>1532</v>
      </c>
      <c r="J1029" s="147" t="s">
        <v>104</v>
      </c>
      <c r="K1029" s="148" t="s">
        <v>121</v>
      </c>
      <c r="L1029" s="149">
        <v>46149</v>
      </c>
      <c r="M1029" s="148"/>
    </row>
    <row r="1030" spans="1:13" ht="15" customHeight="1">
      <c r="A1030" s="142" t="s">
        <v>2924</v>
      </c>
      <c r="B1030" s="142">
        <v>514108</v>
      </c>
      <c r="C1030" s="143" t="s">
        <v>2925</v>
      </c>
      <c r="D1030" s="142" t="s">
        <v>553</v>
      </c>
      <c r="E1030" s="143" t="s">
        <v>2926</v>
      </c>
      <c r="F1030" s="143" t="s">
        <v>2926</v>
      </c>
      <c r="G1030" s="142" t="s">
        <v>102</v>
      </c>
      <c r="H1030" s="142" t="s">
        <v>52</v>
      </c>
      <c r="I1030" s="143" t="s">
        <v>2927</v>
      </c>
      <c r="J1030" s="143" t="s">
        <v>104</v>
      </c>
      <c r="K1030" s="144"/>
      <c r="L1030" s="145"/>
      <c r="M1030" s="144"/>
    </row>
    <row r="1031" spans="1:13" ht="15" customHeight="1">
      <c r="A1031" s="146" t="s">
        <v>2928</v>
      </c>
      <c r="B1031" s="146">
        <v>514183</v>
      </c>
      <c r="C1031" s="147" t="s">
        <v>2929</v>
      </c>
      <c r="D1031" s="146" t="s">
        <v>553</v>
      </c>
      <c r="E1031" s="147" t="s">
        <v>2930</v>
      </c>
      <c r="F1031" s="147" t="s">
        <v>2930</v>
      </c>
      <c r="G1031" s="146" t="s">
        <v>109</v>
      </c>
      <c r="H1031" s="146" t="s">
        <v>53</v>
      </c>
      <c r="I1031" s="147" t="s">
        <v>1184</v>
      </c>
      <c r="J1031" s="147" t="s">
        <v>104</v>
      </c>
      <c r="K1031" s="148" t="s">
        <v>162</v>
      </c>
      <c r="L1031" s="149">
        <v>46148</v>
      </c>
      <c r="M1031" s="148"/>
    </row>
    <row r="1032" spans="1:13" ht="15" customHeight="1">
      <c r="A1032" s="142" t="s">
        <v>2931</v>
      </c>
      <c r="B1032" s="142">
        <v>514242</v>
      </c>
      <c r="C1032" s="143" t="s">
        <v>2932</v>
      </c>
      <c r="D1032" s="142" t="s">
        <v>553</v>
      </c>
      <c r="E1032" s="143" t="s">
        <v>2933</v>
      </c>
      <c r="F1032" s="143" t="s">
        <v>2934</v>
      </c>
      <c r="G1032" s="142" t="s">
        <v>109</v>
      </c>
      <c r="H1032" s="142" t="s">
        <v>52</v>
      </c>
      <c r="I1032" s="143" t="s">
        <v>2927</v>
      </c>
      <c r="J1032" s="143" t="s">
        <v>104</v>
      </c>
      <c r="K1032" s="144"/>
      <c r="L1032" s="145"/>
      <c r="M1032" s="144"/>
    </row>
    <row r="1033" spans="1:13" ht="15" customHeight="1">
      <c r="A1033" s="146" t="s">
        <v>2935</v>
      </c>
      <c r="B1033" s="146">
        <v>515440</v>
      </c>
      <c r="C1033" s="147" t="s">
        <v>2099</v>
      </c>
      <c r="D1033" s="146" t="s">
        <v>553</v>
      </c>
      <c r="E1033" s="147" t="s">
        <v>2936</v>
      </c>
      <c r="F1033" s="147" t="s">
        <v>2937</v>
      </c>
      <c r="G1033" s="146" t="s">
        <v>109</v>
      </c>
      <c r="H1033" s="146" t="s">
        <v>50</v>
      </c>
      <c r="I1033" s="147" t="s">
        <v>1532</v>
      </c>
      <c r="J1033" s="147" t="s">
        <v>104</v>
      </c>
      <c r="K1033" s="148"/>
      <c r="L1033" s="149"/>
      <c r="M1033" s="148"/>
    </row>
    <row r="1034" spans="1:13" ht="15" customHeight="1">
      <c r="A1034" s="142" t="s">
        <v>2938</v>
      </c>
      <c r="B1034" s="142">
        <v>514177</v>
      </c>
      <c r="C1034" s="143" t="s">
        <v>2939</v>
      </c>
      <c r="D1034" s="142" t="s">
        <v>553</v>
      </c>
      <c r="E1034" s="143" t="s">
        <v>2940</v>
      </c>
      <c r="F1034" s="143" t="s">
        <v>2941</v>
      </c>
      <c r="G1034" s="142" t="s">
        <v>109</v>
      </c>
      <c r="H1034" s="142" t="s">
        <v>50</v>
      </c>
      <c r="I1034" s="143" t="s">
        <v>1532</v>
      </c>
      <c r="J1034" s="143" t="s">
        <v>104</v>
      </c>
      <c r="K1034" s="144" t="s">
        <v>121</v>
      </c>
      <c r="L1034" s="145">
        <v>46149</v>
      </c>
      <c r="M1034" s="144"/>
    </row>
    <row r="1035" spans="1:13" ht="15" customHeight="1">
      <c r="A1035" s="146" t="s">
        <v>2942</v>
      </c>
      <c r="B1035" s="146">
        <v>515458</v>
      </c>
      <c r="C1035" s="147" t="s">
        <v>2943</v>
      </c>
      <c r="D1035" s="146" t="s">
        <v>553</v>
      </c>
      <c r="E1035" s="147" t="s">
        <v>2944</v>
      </c>
      <c r="F1035" s="147" t="s">
        <v>2944</v>
      </c>
      <c r="G1035" s="146" t="s">
        <v>109</v>
      </c>
      <c r="H1035" s="146" t="s">
        <v>53</v>
      </c>
      <c r="I1035" s="147" t="s">
        <v>1184</v>
      </c>
      <c r="J1035" s="147" t="s">
        <v>104</v>
      </c>
      <c r="K1035" s="148"/>
      <c r="L1035" s="149"/>
      <c r="M1035" s="148"/>
    </row>
    <row r="1036" spans="1:13" ht="15" customHeight="1">
      <c r="A1036" s="142" t="s">
        <v>2945</v>
      </c>
      <c r="B1036" s="142">
        <v>514119</v>
      </c>
      <c r="C1036" s="143" t="s">
        <v>2946</v>
      </c>
      <c r="D1036" s="142" t="s">
        <v>553</v>
      </c>
      <c r="E1036" s="143" t="s">
        <v>2947</v>
      </c>
      <c r="F1036" s="143" t="s">
        <v>2948</v>
      </c>
      <c r="G1036" s="142" t="s">
        <v>109</v>
      </c>
      <c r="H1036" s="142" t="s">
        <v>53</v>
      </c>
      <c r="I1036" s="143" t="s">
        <v>1184</v>
      </c>
      <c r="J1036" s="143" t="s">
        <v>104</v>
      </c>
      <c r="K1036" s="144" t="s">
        <v>121</v>
      </c>
      <c r="L1036" s="145">
        <v>46149</v>
      </c>
      <c r="M1036" s="144"/>
    </row>
    <row r="1037" spans="1:13" ht="15" customHeight="1">
      <c r="A1037" s="146" t="s">
        <v>2949</v>
      </c>
      <c r="B1037" s="146">
        <v>514124</v>
      </c>
      <c r="C1037" s="147" t="s">
        <v>2950</v>
      </c>
      <c r="D1037" s="146" t="s">
        <v>553</v>
      </c>
      <c r="E1037" s="147" t="s">
        <v>2951</v>
      </c>
      <c r="F1037" s="147" t="s">
        <v>2952</v>
      </c>
      <c r="G1037" s="146" t="s">
        <v>109</v>
      </c>
      <c r="H1037" s="146" t="s">
        <v>53</v>
      </c>
      <c r="I1037" s="147" t="s">
        <v>1184</v>
      </c>
      <c r="J1037" s="147" t="s">
        <v>104</v>
      </c>
      <c r="K1037" s="148"/>
      <c r="L1037" s="149"/>
      <c r="M1037" s="148"/>
    </row>
    <row r="1038" spans="1:13" ht="15" customHeight="1">
      <c r="A1038" s="142" t="s">
        <v>2953</v>
      </c>
      <c r="B1038" s="142">
        <v>514189</v>
      </c>
      <c r="C1038" s="143" t="s">
        <v>2455</v>
      </c>
      <c r="D1038" s="142" t="s">
        <v>553</v>
      </c>
      <c r="E1038" s="143" t="s">
        <v>2954</v>
      </c>
      <c r="F1038" s="143" t="s">
        <v>2954</v>
      </c>
      <c r="G1038" s="142" t="s">
        <v>109</v>
      </c>
      <c r="H1038" s="142" t="s">
        <v>53</v>
      </c>
      <c r="I1038" s="143" t="s">
        <v>1184</v>
      </c>
      <c r="J1038" s="143" t="s">
        <v>104</v>
      </c>
      <c r="K1038" s="144"/>
      <c r="L1038" s="145"/>
      <c r="M1038" s="144"/>
    </row>
    <row r="1039" spans="1:13" ht="15" customHeight="1">
      <c r="A1039" s="146" t="s">
        <v>2955</v>
      </c>
      <c r="B1039" s="146">
        <v>515308</v>
      </c>
      <c r="C1039" s="147" t="s">
        <v>2956</v>
      </c>
      <c r="D1039" s="146" t="s">
        <v>553</v>
      </c>
      <c r="E1039" s="147" t="s">
        <v>2936</v>
      </c>
      <c r="F1039" s="147" t="s">
        <v>2957</v>
      </c>
      <c r="G1039" s="146" t="s">
        <v>102</v>
      </c>
      <c r="H1039" s="146" t="s">
        <v>50</v>
      </c>
      <c r="I1039" s="147" t="s">
        <v>1532</v>
      </c>
      <c r="J1039" s="147" t="s">
        <v>104</v>
      </c>
      <c r="K1039" s="148" t="s">
        <v>121</v>
      </c>
      <c r="L1039" s="149">
        <v>46148</v>
      </c>
      <c r="M1039" s="148"/>
    </row>
    <row r="1040" spans="1:13" ht="15" customHeight="1">
      <c r="A1040" s="142" t="s">
        <v>2958</v>
      </c>
      <c r="B1040" s="142">
        <v>515493</v>
      </c>
      <c r="C1040" s="143" t="s">
        <v>2959</v>
      </c>
      <c r="D1040" s="142" t="s">
        <v>553</v>
      </c>
      <c r="E1040" s="143" t="s">
        <v>2960</v>
      </c>
      <c r="F1040" s="143" t="s">
        <v>2960</v>
      </c>
      <c r="G1040" s="142" t="s">
        <v>102</v>
      </c>
      <c r="H1040" s="142" t="s">
        <v>53</v>
      </c>
      <c r="I1040" s="143" t="s">
        <v>1110</v>
      </c>
      <c r="J1040" s="143" t="s">
        <v>104</v>
      </c>
      <c r="K1040" s="144"/>
      <c r="L1040" s="145"/>
      <c r="M1040" s="144"/>
    </row>
    <row r="1041" spans="1:13" ht="15" customHeight="1">
      <c r="A1041" s="146" t="s">
        <v>2961</v>
      </c>
      <c r="B1041" s="146">
        <v>514165</v>
      </c>
      <c r="C1041" s="147" t="s">
        <v>2165</v>
      </c>
      <c r="D1041" s="146" t="s">
        <v>553</v>
      </c>
      <c r="E1041" s="147" t="s">
        <v>2962</v>
      </c>
      <c r="F1041" s="147" t="s">
        <v>2962</v>
      </c>
      <c r="G1041" s="146" t="s">
        <v>109</v>
      </c>
      <c r="H1041" s="146" t="s">
        <v>53</v>
      </c>
      <c r="I1041" s="147" t="s">
        <v>1184</v>
      </c>
      <c r="J1041" s="147" t="s">
        <v>104</v>
      </c>
      <c r="K1041" s="148"/>
      <c r="L1041" s="149"/>
      <c r="M1041" s="148"/>
    </row>
    <row r="1042" spans="1:13" ht="15" customHeight="1">
      <c r="A1042" s="142" t="s">
        <v>2963</v>
      </c>
      <c r="B1042" s="142">
        <v>514282</v>
      </c>
      <c r="C1042" s="143" t="s">
        <v>2964</v>
      </c>
      <c r="D1042" s="142" t="s">
        <v>553</v>
      </c>
      <c r="E1042" s="143" t="s">
        <v>2965</v>
      </c>
      <c r="F1042" s="143" t="s">
        <v>2966</v>
      </c>
      <c r="G1042" s="142" t="s">
        <v>109</v>
      </c>
      <c r="H1042" s="142" t="s">
        <v>53</v>
      </c>
      <c r="I1042" s="143" t="s">
        <v>1184</v>
      </c>
      <c r="J1042" s="143" t="s">
        <v>104</v>
      </c>
      <c r="K1042" s="144"/>
      <c r="L1042" s="145"/>
      <c r="M1042" s="144"/>
    </row>
    <row r="1043" spans="1:13" ht="15" customHeight="1">
      <c r="A1043" s="146" t="s">
        <v>2967</v>
      </c>
      <c r="B1043" s="146">
        <v>514281</v>
      </c>
      <c r="C1043" s="147" t="s">
        <v>2968</v>
      </c>
      <c r="D1043" s="146" t="s">
        <v>553</v>
      </c>
      <c r="E1043" s="147" t="s">
        <v>2965</v>
      </c>
      <c r="F1043" s="147" t="s">
        <v>2969</v>
      </c>
      <c r="G1043" s="146" t="s">
        <v>109</v>
      </c>
      <c r="H1043" s="146" t="s">
        <v>53</v>
      </c>
      <c r="I1043" s="147" t="s">
        <v>1184</v>
      </c>
      <c r="J1043" s="147" t="s">
        <v>104</v>
      </c>
      <c r="K1043" s="148"/>
      <c r="L1043" s="149"/>
      <c r="M1043" s="148"/>
    </row>
    <row r="1044" spans="1:13" ht="15" customHeight="1">
      <c r="A1044" s="142" t="s">
        <v>2970</v>
      </c>
      <c r="B1044" s="142">
        <v>514260</v>
      </c>
      <c r="C1044" s="143" t="s">
        <v>2413</v>
      </c>
      <c r="D1044" s="142" t="s">
        <v>553</v>
      </c>
      <c r="E1044" s="143" t="s">
        <v>2971</v>
      </c>
      <c r="F1044" s="143" t="s">
        <v>2972</v>
      </c>
      <c r="G1044" s="142" t="s">
        <v>109</v>
      </c>
      <c r="H1044" s="142" t="s">
        <v>52</v>
      </c>
      <c r="I1044" s="143" t="s">
        <v>2927</v>
      </c>
      <c r="J1044" s="143" t="s">
        <v>104</v>
      </c>
      <c r="K1044" s="144" t="s">
        <v>121</v>
      </c>
      <c r="L1044" s="145">
        <v>46149</v>
      </c>
      <c r="M1044" s="144"/>
    </row>
    <row r="1045" spans="1:13" ht="15" customHeight="1">
      <c r="A1045" s="146" t="s">
        <v>2973</v>
      </c>
      <c r="B1045" s="146">
        <v>514134</v>
      </c>
      <c r="C1045" s="147" t="s">
        <v>1152</v>
      </c>
      <c r="D1045" s="146" t="s">
        <v>553</v>
      </c>
      <c r="E1045" s="147" t="s">
        <v>2936</v>
      </c>
      <c r="F1045" s="147" t="s">
        <v>2974</v>
      </c>
      <c r="G1045" s="146" t="s">
        <v>109</v>
      </c>
      <c r="H1045" s="146" t="s">
        <v>50</v>
      </c>
      <c r="I1045" s="147" t="s">
        <v>1532</v>
      </c>
      <c r="J1045" s="147" t="s">
        <v>104</v>
      </c>
      <c r="K1045" s="148" t="s">
        <v>121</v>
      </c>
      <c r="L1045" s="149">
        <v>46148</v>
      </c>
      <c r="M1045" s="148"/>
    </row>
    <row r="1046" spans="1:13" ht="15" customHeight="1">
      <c r="A1046" s="142" t="s">
        <v>2975</v>
      </c>
      <c r="B1046" s="142">
        <v>514295</v>
      </c>
      <c r="C1046" s="143" t="s">
        <v>2976</v>
      </c>
      <c r="D1046" s="142" t="s">
        <v>553</v>
      </c>
      <c r="E1046" s="143" t="s">
        <v>2977</v>
      </c>
      <c r="F1046" s="143" t="s">
        <v>2978</v>
      </c>
      <c r="G1046" s="142" t="s">
        <v>109</v>
      </c>
      <c r="H1046" s="142" t="s">
        <v>50</v>
      </c>
      <c r="I1046" s="143" t="s">
        <v>1532</v>
      </c>
      <c r="J1046" s="143" t="s">
        <v>104</v>
      </c>
      <c r="K1046" s="144" t="s">
        <v>121</v>
      </c>
      <c r="L1046" s="145">
        <v>46150</v>
      </c>
      <c r="M1046" s="144"/>
    </row>
    <row r="1047" spans="1:13" ht="15" customHeight="1">
      <c r="A1047" s="146" t="s">
        <v>2979</v>
      </c>
      <c r="B1047" s="146">
        <v>514275</v>
      </c>
      <c r="C1047" s="147" t="s">
        <v>2425</v>
      </c>
      <c r="D1047" s="146" t="s">
        <v>553</v>
      </c>
      <c r="E1047" s="147" t="s">
        <v>2954</v>
      </c>
      <c r="F1047" s="147" t="s">
        <v>2980</v>
      </c>
      <c r="G1047" s="146" t="s">
        <v>109</v>
      </c>
      <c r="H1047" s="146" t="s">
        <v>53</v>
      </c>
      <c r="I1047" s="147" t="s">
        <v>1184</v>
      </c>
      <c r="J1047" s="147" t="s">
        <v>104</v>
      </c>
      <c r="K1047" s="148"/>
      <c r="L1047" s="149"/>
      <c r="M1047" s="148"/>
    </row>
    <row r="1048" spans="1:13" ht="15" customHeight="1">
      <c r="A1048" s="142" t="s">
        <v>2981</v>
      </c>
      <c r="B1048" s="142">
        <v>514285</v>
      </c>
      <c r="C1048" s="143" t="s">
        <v>106</v>
      </c>
      <c r="D1048" s="142" t="s">
        <v>553</v>
      </c>
      <c r="E1048" s="143" t="s">
        <v>2982</v>
      </c>
      <c r="F1048" s="143" t="s">
        <v>2721</v>
      </c>
      <c r="G1048" s="142" t="s">
        <v>109</v>
      </c>
      <c r="H1048" s="142" t="s">
        <v>50</v>
      </c>
      <c r="I1048" s="143" t="s">
        <v>1532</v>
      </c>
      <c r="J1048" s="143" t="s">
        <v>104</v>
      </c>
      <c r="K1048" s="144" t="s">
        <v>121</v>
      </c>
      <c r="L1048" s="145">
        <v>46148</v>
      </c>
      <c r="M1048" s="144"/>
    </row>
    <row r="1049" spans="1:13" ht="15" customHeight="1">
      <c r="A1049" s="146" t="s">
        <v>2983</v>
      </c>
      <c r="B1049" s="146">
        <v>514195</v>
      </c>
      <c r="C1049" s="147" t="s">
        <v>2433</v>
      </c>
      <c r="D1049" s="146" t="s">
        <v>553</v>
      </c>
      <c r="E1049" s="147" t="s">
        <v>2944</v>
      </c>
      <c r="F1049" s="147" t="s">
        <v>2984</v>
      </c>
      <c r="G1049" s="146" t="s">
        <v>109</v>
      </c>
      <c r="H1049" s="146" t="s">
        <v>53</v>
      </c>
      <c r="I1049" s="147" t="s">
        <v>1184</v>
      </c>
      <c r="J1049" s="147" t="s">
        <v>104</v>
      </c>
      <c r="K1049" s="148"/>
      <c r="L1049" s="149"/>
      <c r="M1049" s="148"/>
    </row>
    <row r="1050" spans="1:13" ht="15" customHeight="1">
      <c r="A1050" s="142" t="s">
        <v>2985</v>
      </c>
      <c r="B1050" s="142">
        <v>515309</v>
      </c>
      <c r="C1050" s="143" t="s">
        <v>132</v>
      </c>
      <c r="D1050" s="142" t="s">
        <v>553</v>
      </c>
      <c r="E1050" s="143" t="s">
        <v>2936</v>
      </c>
      <c r="F1050" s="143" t="s">
        <v>2986</v>
      </c>
      <c r="G1050" s="142" t="s">
        <v>109</v>
      </c>
      <c r="H1050" s="142" t="s">
        <v>50</v>
      </c>
      <c r="I1050" s="143" t="s">
        <v>1532</v>
      </c>
      <c r="J1050" s="143" t="s">
        <v>104</v>
      </c>
      <c r="K1050" s="144"/>
      <c r="L1050" s="145"/>
      <c r="M1050" s="144"/>
    </row>
    <row r="1051" spans="1:13" ht="15" customHeight="1">
      <c r="A1051" s="146" t="s">
        <v>2987</v>
      </c>
      <c r="B1051" s="146">
        <v>514125</v>
      </c>
      <c r="C1051" s="147" t="s">
        <v>140</v>
      </c>
      <c r="D1051" s="146" t="s">
        <v>553</v>
      </c>
      <c r="E1051" s="147" t="s">
        <v>2988</v>
      </c>
      <c r="F1051" s="147" t="s">
        <v>2989</v>
      </c>
      <c r="G1051" s="146" t="s">
        <v>109</v>
      </c>
      <c r="H1051" s="146" t="s">
        <v>53</v>
      </c>
      <c r="I1051" s="147" t="s">
        <v>1184</v>
      </c>
      <c r="J1051" s="147" t="s">
        <v>104</v>
      </c>
      <c r="K1051" s="148"/>
      <c r="L1051" s="149"/>
      <c r="M1051" s="148"/>
    </row>
    <row r="1052" spans="1:13" ht="15" customHeight="1">
      <c r="A1052" s="142" t="s">
        <v>2990</v>
      </c>
      <c r="B1052" s="142">
        <v>514164</v>
      </c>
      <c r="C1052" s="143" t="s">
        <v>2991</v>
      </c>
      <c r="D1052" s="142" t="s">
        <v>553</v>
      </c>
      <c r="E1052" s="143" t="s">
        <v>2992</v>
      </c>
      <c r="F1052" s="143" t="s">
        <v>2993</v>
      </c>
      <c r="G1052" s="142" t="s">
        <v>109</v>
      </c>
      <c r="H1052" s="142" t="s">
        <v>53</v>
      </c>
      <c r="I1052" s="143" t="s">
        <v>1184</v>
      </c>
      <c r="J1052" s="143" t="s">
        <v>104</v>
      </c>
      <c r="K1052" s="144" t="s">
        <v>121</v>
      </c>
      <c r="L1052" s="145">
        <v>46149</v>
      </c>
      <c r="M1052" s="144"/>
    </row>
    <row r="1053" spans="1:13" ht="15" customHeight="1">
      <c r="A1053" s="146" t="s">
        <v>2994</v>
      </c>
      <c r="B1053" s="146">
        <v>514150</v>
      </c>
      <c r="C1053" s="147" t="s">
        <v>2995</v>
      </c>
      <c r="D1053" s="146" t="s">
        <v>553</v>
      </c>
      <c r="E1053" s="147" t="s">
        <v>2996</v>
      </c>
      <c r="F1053" s="147" t="s">
        <v>2997</v>
      </c>
      <c r="G1053" s="146" t="s">
        <v>109</v>
      </c>
      <c r="H1053" s="146" t="s">
        <v>50</v>
      </c>
      <c r="I1053" s="147" t="s">
        <v>1532</v>
      </c>
      <c r="J1053" s="147" t="s">
        <v>104</v>
      </c>
      <c r="K1053" s="148" t="s">
        <v>121</v>
      </c>
      <c r="L1053" s="149">
        <v>46148</v>
      </c>
      <c r="M1053" s="148"/>
    </row>
    <row r="1054" spans="1:13" ht="15" customHeight="1">
      <c r="A1054" s="142" t="s">
        <v>2998</v>
      </c>
      <c r="B1054" s="142">
        <v>514163</v>
      </c>
      <c r="C1054" s="143" t="s">
        <v>2999</v>
      </c>
      <c r="D1054" s="142" t="s">
        <v>553</v>
      </c>
      <c r="E1054" s="143" t="s">
        <v>3000</v>
      </c>
      <c r="F1054" s="143" t="s">
        <v>3001</v>
      </c>
      <c r="G1054" s="142" t="s">
        <v>102</v>
      </c>
      <c r="H1054" s="142" t="s">
        <v>53</v>
      </c>
      <c r="I1054" s="143" t="s">
        <v>1184</v>
      </c>
      <c r="J1054" s="143" t="s">
        <v>104</v>
      </c>
      <c r="K1054" s="144" t="s">
        <v>121</v>
      </c>
      <c r="L1054" s="145">
        <v>46149</v>
      </c>
      <c r="M1054" s="144"/>
    </row>
    <row r="1055" spans="1:13" ht="15" customHeight="1">
      <c r="A1055" s="146" t="s">
        <v>3002</v>
      </c>
      <c r="B1055" s="146">
        <v>514095</v>
      </c>
      <c r="C1055" s="147" t="s">
        <v>3003</v>
      </c>
      <c r="D1055" s="146" t="s">
        <v>553</v>
      </c>
      <c r="E1055" s="147" t="s">
        <v>3004</v>
      </c>
      <c r="F1055" s="147" t="s">
        <v>3004</v>
      </c>
      <c r="G1055" s="146" t="s">
        <v>109</v>
      </c>
      <c r="H1055" s="146" t="s">
        <v>50</v>
      </c>
      <c r="I1055" s="147" t="s">
        <v>1532</v>
      </c>
      <c r="J1055" s="147" t="s">
        <v>104</v>
      </c>
      <c r="K1055" s="148" t="s">
        <v>121</v>
      </c>
      <c r="L1055" s="149">
        <v>46149</v>
      </c>
      <c r="M1055" s="148"/>
    </row>
    <row r="1056" spans="1:13" ht="15" customHeight="1">
      <c r="A1056" s="142" t="s">
        <v>3005</v>
      </c>
      <c r="B1056" s="142">
        <v>514166</v>
      </c>
      <c r="C1056" s="143" t="s">
        <v>3006</v>
      </c>
      <c r="D1056" s="142" t="s">
        <v>553</v>
      </c>
      <c r="E1056" s="143" t="s">
        <v>3007</v>
      </c>
      <c r="F1056" s="143" t="s">
        <v>3007</v>
      </c>
      <c r="G1056" s="142" t="s">
        <v>102</v>
      </c>
      <c r="H1056" s="142" t="s">
        <v>50</v>
      </c>
      <c r="I1056" s="143" t="s">
        <v>1532</v>
      </c>
      <c r="J1056" s="143" t="s">
        <v>104</v>
      </c>
      <c r="K1056" s="144" t="s">
        <v>121</v>
      </c>
      <c r="L1056" s="145">
        <v>46153</v>
      </c>
      <c r="M1056" s="144"/>
    </row>
    <row r="1057" spans="1:13" ht="15" customHeight="1">
      <c r="A1057" s="146" t="s">
        <v>3008</v>
      </c>
      <c r="B1057" s="146">
        <v>514109</v>
      </c>
      <c r="C1057" s="147" t="s">
        <v>3009</v>
      </c>
      <c r="D1057" s="146" t="s">
        <v>553</v>
      </c>
      <c r="E1057" s="147" t="s">
        <v>3010</v>
      </c>
      <c r="F1057" s="147" t="s">
        <v>3011</v>
      </c>
      <c r="G1057" s="146" t="s">
        <v>109</v>
      </c>
      <c r="H1057" s="146" t="s">
        <v>50</v>
      </c>
      <c r="I1057" s="147" t="s">
        <v>1532</v>
      </c>
      <c r="J1057" s="147" t="s">
        <v>104</v>
      </c>
      <c r="K1057" s="148"/>
      <c r="L1057" s="149"/>
      <c r="M1057" s="148"/>
    </row>
    <row r="1058" spans="1:13" ht="15" customHeight="1">
      <c r="A1058" s="142" t="s">
        <v>3012</v>
      </c>
      <c r="B1058" s="142">
        <v>514182</v>
      </c>
      <c r="C1058" s="143" t="s">
        <v>3013</v>
      </c>
      <c r="D1058" s="142" t="s">
        <v>553</v>
      </c>
      <c r="E1058" s="143" t="s">
        <v>2947</v>
      </c>
      <c r="F1058" s="143" t="s">
        <v>3014</v>
      </c>
      <c r="G1058" s="142" t="s">
        <v>109</v>
      </c>
      <c r="H1058" s="142" t="s">
        <v>53</v>
      </c>
      <c r="I1058" s="143" t="s">
        <v>1184</v>
      </c>
      <c r="J1058" s="143" t="s">
        <v>104</v>
      </c>
      <c r="K1058" s="144" t="s">
        <v>121</v>
      </c>
      <c r="L1058" s="145">
        <v>46149</v>
      </c>
      <c r="M1058" s="144" t="s">
        <v>3015</v>
      </c>
    </row>
    <row r="1059" spans="1:13" ht="15" customHeight="1">
      <c r="A1059" s="146" t="s">
        <v>3016</v>
      </c>
      <c r="B1059" s="146">
        <v>514251</v>
      </c>
      <c r="C1059" s="147" t="s">
        <v>3017</v>
      </c>
      <c r="D1059" s="146" t="s">
        <v>553</v>
      </c>
      <c r="E1059" s="147" t="s">
        <v>3018</v>
      </c>
      <c r="F1059" s="147" t="s">
        <v>3019</v>
      </c>
      <c r="G1059" s="146" t="s">
        <v>109</v>
      </c>
      <c r="H1059" s="146" t="s">
        <v>53</v>
      </c>
      <c r="I1059" s="147" t="s">
        <v>1184</v>
      </c>
      <c r="J1059" s="147" t="s">
        <v>104</v>
      </c>
      <c r="K1059" s="148"/>
      <c r="L1059" s="149"/>
      <c r="M1059" s="148"/>
    </row>
    <row r="1060" spans="1:13" ht="15" customHeight="1">
      <c r="A1060" s="142" t="s">
        <v>3020</v>
      </c>
      <c r="B1060" s="142">
        <v>514192</v>
      </c>
      <c r="C1060" s="143" t="s">
        <v>2333</v>
      </c>
      <c r="D1060" s="142" t="s">
        <v>553</v>
      </c>
      <c r="E1060" s="143" t="s">
        <v>2944</v>
      </c>
      <c r="F1060" s="143" t="s">
        <v>3021</v>
      </c>
      <c r="G1060" s="142" t="s">
        <v>109</v>
      </c>
      <c r="H1060" s="142" t="s">
        <v>53</v>
      </c>
      <c r="I1060" s="143" t="s">
        <v>1184</v>
      </c>
      <c r="J1060" s="143" t="s">
        <v>104</v>
      </c>
      <c r="K1060" s="144"/>
      <c r="L1060" s="145"/>
      <c r="M1060" s="144"/>
    </row>
    <row r="1061" spans="1:13" ht="15" customHeight="1">
      <c r="A1061" s="146" t="s">
        <v>3022</v>
      </c>
      <c r="B1061" s="146">
        <v>514237</v>
      </c>
      <c r="C1061" s="147" t="s">
        <v>2240</v>
      </c>
      <c r="D1061" s="146" t="s">
        <v>553</v>
      </c>
      <c r="E1061" s="147" t="s">
        <v>2971</v>
      </c>
      <c r="F1061" s="147" t="s">
        <v>3023</v>
      </c>
      <c r="G1061" s="146" t="s">
        <v>109</v>
      </c>
      <c r="H1061" s="146" t="s">
        <v>53</v>
      </c>
      <c r="I1061" s="147" t="s">
        <v>1184</v>
      </c>
      <c r="J1061" s="147" t="s">
        <v>104</v>
      </c>
      <c r="K1061" s="148"/>
      <c r="L1061" s="149"/>
      <c r="M1061" s="148"/>
    </row>
    <row r="1062" spans="1:13" ht="15" customHeight="1">
      <c r="A1062" s="142" t="s">
        <v>3024</v>
      </c>
      <c r="B1062" s="142">
        <v>518873</v>
      </c>
      <c r="C1062" s="143" t="s">
        <v>2303</v>
      </c>
      <c r="D1062" s="142" t="s">
        <v>553</v>
      </c>
      <c r="E1062" s="143" t="s">
        <v>3025</v>
      </c>
      <c r="F1062" s="143" t="s">
        <v>1086</v>
      </c>
      <c r="G1062" s="142" t="s">
        <v>109</v>
      </c>
      <c r="H1062" s="142" t="s">
        <v>53</v>
      </c>
      <c r="I1062" s="143" t="s">
        <v>1110</v>
      </c>
      <c r="J1062" s="143" t="s">
        <v>104</v>
      </c>
      <c r="K1062" s="144"/>
      <c r="L1062" s="145"/>
      <c r="M1062" s="144"/>
    </row>
    <row r="1063" spans="1:13" ht="15" customHeight="1">
      <c r="A1063" s="146" t="s">
        <v>3026</v>
      </c>
      <c r="B1063" s="146">
        <v>514085</v>
      </c>
      <c r="C1063" s="147" t="s">
        <v>3027</v>
      </c>
      <c r="D1063" s="146" t="s">
        <v>553</v>
      </c>
      <c r="E1063" s="147" t="s">
        <v>3028</v>
      </c>
      <c r="F1063" s="147" t="s">
        <v>3029</v>
      </c>
      <c r="G1063" s="146" t="s">
        <v>109</v>
      </c>
      <c r="H1063" s="146" t="s">
        <v>50</v>
      </c>
      <c r="I1063" s="147" t="s">
        <v>1532</v>
      </c>
      <c r="J1063" s="147" t="s">
        <v>104</v>
      </c>
      <c r="K1063" s="148" t="s">
        <v>121</v>
      </c>
      <c r="L1063" s="149">
        <v>46143</v>
      </c>
      <c r="M1063" s="148"/>
    </row>
    <row r="1064" spans="1:13" ht="15" customHeight="1">
      <c r="A1064" s="142" t="s">
        <v>3030</v>
      </c>
      <c r="B1064" s="142">
        <v>514225</v>
      </c>
      <c r="C1064" s="143" t="s">
        <v>3031</v>
      </c>
      <c r="D1064" s="142" t="s">
        <v>553</v>
      </c>
      <c r="E1064" s="143" t="s">
        <v>3032</v>
      </c>
      <c r="F1064" s="143" t="s">
        <v>1579</v>
      </c>
      <c r="G1064" s="142" t="s">
        <v>109</v>
      </c>
      <c r="H1064" s="142" t="s">
        <v>53</v>
      </c>
      <c r="I1064" s="143" t="s">
        <v>1110</v>
      </c>
      <c r="J1064" s="143" t="s">
        <v>104</v>
      </c>
      <c r="K1064" s="144"/>
      <c r="L1064" s="145"/>
      <c r="M1064" s="144"/>
    </row>
    <row r="1065" spans="1:13" ht="15" customHeight="1">
      <c r="A1065" s="146" t="s">
        <v>3033</v>
      </c>
      <c r="B1065" s="146">
        <v>514240</v>
      </c>
      <c r="C1065" s="147" t="s">
        <v>2295</v>
      </c>
      <c r="D1065" s="146" t="s">
        <v>553</v>
      </c>
      <c r="E1065" s="147" t="s">
        <v>1323</v>
      </c>
      <c r="F1065" s="147" t="s">
        <v>3034</v>
      </c>
      <c r="G1065" s="146" t="s">
        <v>109</v>
      </c>
      <c r="H1065" s="146" t="s">
        <v>53</v>
      </c>
      <c r="I1065" s="147" t="s">
        <v>1110</v>
      </c>
      <c r="J1065" s="147" t="s">
        <v>104</v>
      </c>
      <c r="K1065" s="148"/>
      <c r="L1065" s="149"/>
      <c r="M1065" s="148"/>
    </row>
    <row r="1066" spans="1:13" ht="15" customHeight="1">
      <c r="A1066" s="142" t="s">
        <v>3035</v>
      </c>
      <c r="B1066" s="142">
        <v>515494</v>
      </c>
      <c r="C1066" s="143" t="s">
        <v>3036</v>
      </c>
      <c r="D1066" s="142" t="s">
        <v>553</v>
      </c>
      <c r="E1066" s="143" t="s">
        <v>2960</v>
      </c>
      <c r="F1066" s="143" t="s">
        <v>3037</v>
      </c>
      <c r="G1066" s="142" t="s">
        <v>109</v>
      </c>
      <c r="H1066" s="142" t="s">
        <v>53</v>
      </c>
      <c r="I1066" s="143" t="s">
        <v>1110</v>
      </c>
      <c r="J1066" s="143" t="s">
        <v>104</v>
      </c>
      <c r="K1066" s="144"/>
      <c r="L1066" s="145"/>
      <c r="M1066" s="144"/>
    </row>
    <row r="1067" spans="1:13" ht="15" customHeight="1">
      <c r="A1067" s="146" t="s">
        <v>3038</v>
      </c>
      <c r="B1067" s="146">
        <v>514171</v>
      </c>
      <c r="C1067" s="147" t="s">
        <v>3039</v>
      </c>
      <c r="D1067" s="146" t="s">
        <v>553</v>
      </c>
      <c r="E1067" s="147" t="s">
        <v>3040</v>
      </c>
      <c r="F1067" s="147" t="s">
        <v>3041</v>
      </c>
      <c r="G1067" s="146" t="s">
        <v>109</v>
      </c>
      <c r="H1067" s="146" t="s">
        <v>53</v>
      </c>
      <c r="I1067" s="147" t="s">
        <v>1184</v>
      </c>
      <c r="J1067" s="147" t="s">
        <v>104</v>
      </c>
      <c r="K1067" s="148"/>
      <c r="L1067" s="149"/>
      <c r="M1067" s="148"/>
    </row>
    <row r="1068" spans="1:13" ht="15" customHeight="1">
      <c r="A1068" s="142" t="s">
        <v>3042</v>
      </c>
      <c r="B1068" s="142">
        <v>514257</v>
      </c>
      <c r="C1068" s="143" t="s">
        <v>3043</v>
      </c>
      <c r="D1068" s="142" t="s">
        <v>553</v>
      </c>
      <c r="E1068" s="143" t="s">
        <v>3044</v>
      </c>
      <c r="F1068" s="143" t="s">
        <v>3045</v>
      </c>
      <c r="G1068" s="142" t="s">
        <v>109</v>
      </c>
      <c r="H1068" s="142" t="s">
        <v>50</v>
      </c>
      <c r="I1068" s="143" t="s">
        <v>1532</v>
      </c>
      <c r="J1068" s="143" t="s">
        <v>104</v>
      </c>
      <c r="K1068" s="144" t="s">
        <v>121</v>
      </c>
      <c r="L1068" s="145">
        <v>46148</v>
      </c>
      <c r="M1068" s="144"/>
    </row>
    <row r="1069" spans="1:13" ht="15" customHeight="1">
      <c r="A1069" s="146" t="s">
        <v>3046</v>
      </c>
      <c r="B1069" s="146">
        <v>514247</v>
      </c>
      <c r="C1069" s="147" t="s">
        <v>3047</v>
      </c>
      <c r="D1069" s="146" t="s">
        <v>553</v>
      </c>
      <c r="E1069" s="147" t="s">
        <v>3048</v>
      </c>
      <c r="F1069" s="147" t="s">
        <v>3049</v>
      </c>
      <c r="G1069" s="146" t="s">
        <v>109</v>
      </c>
      <c r="H1069" s="146" t="s">
        <v>50</v>
      </c>
      <c r="I1069" s="147" t="s">
        <v>1532</v>
      </c>
      <c r="J1069" s="147" t="s">
        <v>104</v>
      </c>
      <c r="K1069" s="148"/>
      <c r="L1069" s="149"/>
      <c r="M1069" s="148"/>
    </row>
    <row r="1070" spans="1:13" ht="15" customHeight="1">
      <c r="A1070" s="142" t="s">
        <v>3050</v>
      </c>
      <c r="B1070" s="142">
        <v>514180</v>
      </c>
      <c r="C1070" s="143" t="s">
        <v>3051</v>
      </c>
      <c r="D1070" s="142" t="s">
        <v>553</v>
      </c>
      <c r="E1070" s="143" t="s">
        <v>3052</v>
      </c>
      <c r="F1070" s="143" t="s">
        <v>3053</v>
      </c>
      <c r="G1070" s="142" t="s">
        <v>109</v>
      </c>
      <c r="H1070" s="142" t="s">
        <v>52</v>
      </c>
      <c r="I1070" s="143" t="s">
        <v>2927</v>
      </c>
      <c r="J1070" s="143" t="s">
        <v>104</v>
      </c>
      <c r="K1070" s="144"/>
      <c r="L1070" s="145"/>
      <c r="M1070" s="144"/>
    </row>
    <row r="1071" spans="1:13" ht="15" customHeight="1">
      <c r="A1071" s="146" t="s">
        <v>3054</v>
      </c>
      <c r="B1071" s="146">
        <v>514245</v>
      </c>
      <c r="C1071" s="147" t="s">
        <v>3055</v>
      </c>
      <c r="D1071" s="146" t="s">
        <v>553</v>
      </c>
      <c r="E1071" s="147" t="s">
        <v>3056</v>
      </c>
      <c r="F1071" s="147" t="s">
        <v>3057</v>
      </c>
      <c r="G1071" s="146" t="s">
        <v>109</v>
      </c>
      <c r="H1071" s="146" t="s">
        <v>53</v>
      </c>
      <c r="I1071" s="147" t="s">
        <v>1184</v>
      </c>
      <c r="J1071" s="147" t="s">
        <v>104</v>
      </c>
      <c r="K1071" s="148"/>
      <c r="L1071" s="149"/>
      <c r="M1071" s="148"/>
    </row>
    <row r="1072" spans="1:13" ht="15" customHeight="1">
      <c r="A1072" s="142" t="s">
        <v>3058</v>
      </c>
      <c r="B1072" s="142">
        <v>514314</v>
      </c>
      <c r="C1072" s="143" t="s">
        <v>3059</v>
      </c>
      <c r="D1072" s="142" t="s">
        <v>553</v>
      </c>
      <c r="E1072" s="143" t="s">
        <v>3060</v>
      </c>
      <c r="F1072" s="143" t="s">
        <v>3061</v>
      </c>
      <c r="G1072" s="142" t="s">
        <v>109</v>
      </c>
      <c r="H1072" s="142" t="s">
        <v>50</v>
      </c>
      <c r="I1072" s="143" t="s">
        <v>1532</v>
      </c>
      <c r="J1072" s="143" t="s">
        <v>104</v>
      </c>
      <c r="K1072" s="144" t="s">
        <v>121</v>
      </c>
      <c r="L1072" s="145">
        <v>46150</v>
      </c>
      <c r="M1072" s="144"/>
    </row>
    <row r="1073" spans="1:13" ht="15" customHeight="1">
      <c r="A1073" s="146" t="s">
        <v>3062</v>
      </c>
      <c r="B1073" s="146">
        <v>514144</v>
      </c>
      <c r="C1073" s="147" t="s">
        <v>3063</v>
      </c>
      <c r="D1073" s="146" t="s">
        <v>553</v>
      </c>
      <c r="E1073" s="147" t="s">
        <v>3064</v>
      </c>
      <c r="F1073" s="147" t="s">
        <v>3065</v>
      </c>
      <c r="G1073" s="146" t="s">
        <v>109</v>
      </c>
      <c r="H1073" s="146" t="s">
        <v>50</v>
      </c>
      <c r="I1073" s="147" t="s">
        <v>1532</v>
      </c>
      <c r="J1073" s="147" t="s">
        <v>104</v>
      </c>
      <c r="K1073" s="148" t="s">
        <v>121</v>
      </c>
      <c r="L1073" s="149">
        <v>46153</v>
      </c>
      <c r="M1073" s="148"/>
    </row>
    <row r="1074" spans="1:13" ht="15" customHeight="1">
      <c r="A1074" s="142" t="s">
        <v>3066</v>
      </c>
      <c r="B1074" s="142">
        <v>514311</v>
      </c>
      <c r="C1074" s="143" t="s">
        <v>2290</v>
      </c>
      <c r="D1074" s="142" t="s">
        <v>553</v>
      </c>
      <c r="E1074" s="143" t="s">
        <v>2960</v>
      </c>
      <c r="F1074" s="143" t="s">
        <v>2563</v>
      </c>
      <c r="G1074" s="142" t="s">
        <v>109</v>
      </c>
      <c r="H1074" s="142" t="s">
        <v>53</v>
      </c>
      <c r="I1074" s="143" t="s">
        <v>1110</v>
      </c>
      <c r="J1074" s="143" t="s">
        <v>104</v>
      </c>
      <c r="K1074" s="144"/>
      <c r="L1074" s="145"/>
      <c r="M1074" s="144"/>
    </row>
    <row r="1075" spans="1:13" ht="15" customHeight="1">
      <c r="A1075" s="146" t="s">
        <v>3067</v>
      </c>
      <c r="B1075" s="146">
        <v>514162</v>
      </c>
      <c r="C1075" s="147" t="s">
        <v>3068</v>
      </c>
      <c r="D1075" s="146" t="s">
        <v>553</v>
      </c>
      <c r="E1075" s="147" t="s">
        <v>3069</v>
      </c>
      <c r="F1075" s="147" t="s">
        <v>3070</v>
      </c>
      <c r="G1075" s="146" t="s">
        <v>102</v>
      </c>
      <c r="H1075" s="146" t="s">
        <v>53</v>
      </c>
      <c r="I1075" s="147" t="s">
        <v>1184</v>
      </c>
      <c r="J1075" s="147" t="s">
        <v>104</v>
      </c>
      <c r="K1075" s="148" t="s">
        <v>121</v>
      </c>
      <c r="L1075" s="149">
        <v>46149</v>
      </c>
      <c r="M1075" s="148"/>
    </row>
    <row r="1076" spans="1:13" ht="15" customHeight="1">
      <c r="A1076" s="142" t="s">
        <v>3071</v>
      </c>
      <c r="B1076" s="142">
        <v>514279</v>
      </c>
      <c r="C1076" s="143" t="s">
        <v>3072</v>
      </c>
      <c r="D1076" s="142" t="s">
        <v>553</v>
      </c>
      <c r="E1076" s="143" t="s">
        <v>2926</v>
      </c>
      <c r="F1076" s="143" t="s">
        <v>3073</v>
      </c>
      <c r="G1076" s="142" t="s">
        <v>109</v>
      </c>
      <c r="H1076" s="142" t="s">
        <v>52</v>
      </c>
      <c r="I1076" s="143" t="s">
        <v>2927</v>
      </c>
      <c r="J1076" s="143" t="s">
        <v>104</v>
      </c>
      <c r="K1076" s="144"/>
      <c r="L1076" s="145"/>
      <c r="M1076" s="144"/>
    </row>
    <row r="1077" spans="1:13" ht="15" customHeight="1">
      <c r="A1077" s="146" t="s">
        <v>3074</v>
      </c>
      <c r="B1077" s="146">
        <v>514139</v>
      </c>
      <c r="C1077" s="147" t="s">
        <v>3075</v>
      </c>
      <c r="D1077" s="146" t="s">
        <v>553</v>
      </c>
      <c r="E1077" s="147" t="s">
        <v>2996</v>
      </c>
      <c r="F1077" s="147" t="s">
        <v>3076</v>
      </c>
      <c r="G1077" s="146" t="s">
        <v>109</v>
      </c>
      <c r="H1077" s="146" t="s">
        <v>50</v>
      </c>
      <c r="I1077" s="147" t="s">
        <v>1532</v>
      </c>
      <c r="J1077" s="147" t="s">
        <v>104</v>
      </c>
      <c r="K1077" s="148"/>
      <c r="L1077" s="149"/>
      <c r="M1077" s="148"/>
    </row>
    <row r="1078" spans="1:13" ht="15" customHeight="1">
      <c r="A1078" s="142" t="s">
        <v>3077</v>
      </c>
      <c r="B1078" s="142">
        <v>514138</v>
      </c>
      <c r="C1078" s="143" t="s">
        <v>3078</v>
      </c>
      <c r="D1078" s="142" t="s">
        <v>553</v>
      </c>
      <c r="E1078" s="143" t="s">
        <v>3079</v>
      </c>
      <c r="F1078" s="143" t="s">
        <v>3080</v>
      </c>
      <c r="G1078" s="142" t="s">
        <v>109</v>
      </c>
      <c r="H1078" s="142" t="s">
        <v>50</v>
      </c>
      <c r="I1078" s="143" t="s">
        <v>1532</v>
      </c>
      <c r="J1078" s="143" t="s">
        <v>104</v>
      </c>
      <c r="K1078" s="144"/>
      <c r="L1078" s="145"/>
      <c r="M1078" s="144"/>
    </row>
    <row r="1079" spans="1:13" ht="15" customHeight="1">
      <c r="A1079" s="146" t="s">
        <v>3081</v>
      </c>
      <c r="B1079" s="146">
        <v>514199</v>
      </c>
      <c r="C1079" s="147" t="s">
        <v>3082</v>
      </c>
      <c r="D1079" s="146" t="s">
        <v>553</v>
      </c>
      <c r="E1079" s="147" t="s">
        <v>3083</v>
      </c>
      <c r="F1079" s="147" t="s">
        <v>3084</v>
      </c>
      <c r="G1079" s="146" t="s">
        <v>109</v>
      </c>
      <c r="H1079" s="146" t="s">
        <v>53</v>
      </c>
      <c r="I1079" s="147" t="s">
        <v>1184</v>
      </c>
      <c r="J1079" s="147" t="s">
        <v>104</v>
      </c>
      <c r="K1079" s="148"/>
      <c r="L1079" s="149"/>
      <c r="M1079" s="148"/>
    </row>
    <row r="1080" spans="1:13" ht="15" customHeight="1">
      <c r="A1080" s="142" t="s">
        <v>3085</v>
      </c>
      <c r="B1080" s="142">
        <v>514250</v>
      </c>
      <c r="C1080" s="143" t="s">
        <v>3086</v>
      </c>
      <c r="D1080" s="142" t="s">
        <v>553</v>
      </c>
      <c r="E1080" s="143" t="s">
        <v>2926</v>
      </c>
      <c r="F1080" s="143" t="s">
        <v>3087</v>
      </c>
      <c r="G1080" s="142" t="s">
        <v>109</v>
      </c>
      <c r="H1080" s="142" t="s">
        <v>52</v>
      </c>
      <c r="I1080" s="143" t="s">
        <v>2927</v>
      </c>
      <c r="J1080" s="143" t="s">
        <v>104</v>
      </c>
      <c r="K1080" s="144"/>
      <c r="L1080" s="145"/>
      <c r="M1080" s="144"/>
    </row>
    <row r="1081" spans="1:13" ht="15" customHeight="1">
      <c r="A1081" s="146" t="s">
        <v>3088</v>
      </c>
      <c r="B1081" s="146">
        <v>514191</v>
      </c>
      <c r="C1081" s="147" t="s">
        <v>3089</v>
      </c>
      <c r="D1081" s="146" t="s">
        <v>553</v>
      </c>
      <c r="E1081" s="147" t="s">
        <v>2926</v>
      </c>
      <c r="F1081" s="147" t="s">
        <v>3084</v>
      </c>
      <c r="G1081" s="146" t="s">
        <v>109</v>
      </c>
      <c r="H1081" s="146" t="s">
        <v>52</v>
      </c>
      <c r="I1081" s="147" t="s">
        <v>2927</v>
      </c>
      <c r="J1081" s="147" t="s">
        <v>104</v>
      </c>
      <c r="K1081" s="148"/>
      <c r="L1081" s="149"/>
      <c r="M1081" s="148"/>
    </row>
    <row r="1082" spans="1:13" ht="15" customHeight="1">
      <c r="A1082" s="142" t="s">
        <v>3090</v>
      </c>
      <c r="B1082" s="142">
        <v>514249</v>
      </c>
      <c r="C1082" s="143" t="s">
        <v>3091</v>
      </c>
      <c r="D1082" s="142" t="s">
        <v>553</v>
      </c>
      <c r="E1082" s="143" t="s">
        <v>2926</v>
      </c>
      <c r="F1082" s="143" t="s">
        <v>3092</v>
      </c>
      <c r="G1082" s="142" t="s">
        <v>109</v>
      </c>
      <c r="H1082" s="142" t="s">
        <v>52</v>
      </c>
      <c r="I1082" s="143" t="s">
        <v>2927</v>
      </c>
      <c r="J1082" s="143" t="s">
        <v>104</v>
      </c>
      <c r="K1082" s="144"/>
      <c r="L1082" s="145"/>
      <c r="M1082" s="144"/>
    </row>
    <row r="1083" spans="1:13" ht="15" customHeight="1">
      <c r="A1083" s="146" t="s">
        <v>3093</v>
      </c>
      <c r="B1083" s="146">
        <v>514094</v>
      </c>
      <c r="C1083" s="147" t="s">
        <v>3094</v>
      </c>
      <c r="D1083" s="146" t="s">
        <v>553</v>
      </c>
      <c r="E1083" s="147" t="s">
        <v>3004</v>
      </c>
      <c r="F1083" s="147" t="s">
        <v>1232</v>
      </c>
      <c r="G1083" s="146" t="s">
        <v>109</v>
      </c>
      <c r="H1083" s="146" t="s">
        <v>50</v>
      </c>
      <c r="I1083" s="147" t="s">
        <v>1532</v>
      </c>
      <c r="J1083" s="147" t="s">
        <v>104</v>
      </c>
      <c r="K1083" s="148" t="s">
        <v>121</v>
      </c>
      <c r="L1083" s="149">
        <v>46149</v>
      </c>
      <c r="M1083" s="148"/>
    </row>
    <row r="1084" spans="1:13" ht="15" customHeight="1">
      <c r="A1084" s="142" t="s">
        <v>3095</v>
      </c>
      <c r="B1084" s="142">
        <v>514132</v>
      </c>
      <c r="C1084" s="143" t="s">
        <v>3096</v>
      </c>
      <c r="D1084" s="142" t="s">
        <v>553</v>
      </c>
      <c r="E1084" s="143" t="s">
        <v>3097</v>
      </c>
      <c r="F1084" s="143" t="s">
        <v>3098</v>
      </c>
      <c r="G1084" s="142" t="s">
        <v>109</v>
      </c>
      <c r="H1084" s="142" t="s">
        <v>53</v>
      </c>
      <c r="I1084" s="143" t="s">
        <v>1184</v>
      </c>
      <c r="J1084" s="143" t="s">
        <v>104</v>
      </c>
      <c r="K1084" s="144"/>
      <c r="L1084" s="145"/>
      <c r="M1084" s="144"/>
    </row>
    <row r="1085" spans="1:13" ht="15" customHeight="1">
      <c r="A1085" s="146" t="s">
        <v>3099</v>
      </c>
      <c r="B1085" s="146">
        <v>514100</v>
      </c>
      <c r="C1085" s="147" t="s">
        <v>3100</v>
      </c>
      <c r="D1085" s="146" t="s">
        <v>553</v>
      </c>
      <c r="E1085" s="147" t="s">
        <v>3028</v>
      </c>
      <c r="F1085" s="147" t="s">
        <v>3101</v>
      </c>
      <c r="G1085" s="146" t="s">
        <v>109</v>
      </c>
      <c r="H1085" s="146" t="s">
        <v>50</v>
      </c>
      <c r="I1085" s="147" t="s">
        <v>1532</v>
      </c>
      <c r="J1085" s="147" t="s">
        <v>104</v>
      </c>
      <c r="K1085" s="148"/>
      <c r="L1085" s="149"/>
      <c r="M1085" s="148"/>
    </row>
    <row r="1086" spans="1:13" ht="15" customHeight="1">
      <c r="A1086" s="142" t="s">
        <v>3102</v>
      </c>
      <c r="B1086" s="142">
        <v>514089</v>
      </c>
      <c r="C1086" s="143" t="s">
        <v>3103</v>
      </c>
      <c r="D1086" s="142" t="s">
        <v>553</v>
      </c>
      <c r="E1086" s="143" t="s">
        <v>3104</v>
      </c>
      <c r="F1086" s="143" t="s">
        <v>3105</v>
      </c>
      <c r="G1086" s="142" t="s">
        <v>102</v>
      </c>
      <c r="H1086" s="142" t="s">
        <v>50</v>
      </c>
      <c r="I1086" s="143" t="s">
        <v>1532</v>
      </c>
      <c r="J1086" s="143" t="s">
        <v>104</v>
      </c>
      <c r="K1086" s="144" t="s">
        <v>121</v>
      </c>
      <c r="L1086" s="145">
        <v>46142</v>
      </c>
      <c r="M1086" s="144"/>
    </row>
    <row r="1087" spans="1:13" ht="15" customHeight="1">
      <c r="A1087" s="146" t="s">
        <v>3106</v>
      </c>
      <c r="B1087" s="146">
        <v>514244</v>
      </c>
      <c r="C1087" s="147" t="s">
        <v>1391</v>
      </c>
      <c r="D1087" s="146" t="s">
        <v>553</v>
      </c>
      <c r="E1087" s="147" t="s">
        <v>3107</v>
      </c>
      <c r="F1087" s="147" t="s">
        <v>645</v>
      </c>
      <c r="G1087" s="146" t="s">
        <v>109</v>
      </c>
      <c r="H1087" s="146" t="s">
        <v>50</v>
      </c>
      <c r="I1087" s="147" t="s">
        <v>1532</v>
      </c>
      <c r="J1087" s="147" t="s">
        <v>104</v>
      </c>
      <c r="K1087" s="148"/>
      <c r="L1087" s="149"/>
      <c r="M1087" s="148"/>
    </row>
    <row r="1088" spans="1:13" ht="15" customHeight="1">
      <c r="A1088" s="142" t="s">
        <v>3108</v>
      </c>
      <c r="B1088" s="142">
        <v>514306</v>
      </c>
      <c r="C1088" s="143" t="s">
        <v>3109</v>
      </c>
      <c r="D1088" s="142" t="s">
        <v>553</v>
      </c>
      <c r="E1088" s="143" t="s">
        <v>3107</v>
      </c>
      <c r="F1088" s="143" t="s">
        <v>1735</v>
      </c>
      <c r="G1088" s="142" t="s">
        <v>109</v>
      </c>
      <c r="H1088" s="142" t="s">
        <v>50</v>
      </c>
      <c r="I1088" s="143" t="s">
        <v>1532</v>
      </c>
      <c r="J1088" s="143" t="s">
        <v>104</v>
      </c>
      <c r="K1088" s="144" t="s">
        <v>121</v>
      </c>
      <c r="L1088" s="145">
        <v>46153</v>
      </c>
      <c r="M1088" s="144"/>
    </row>
    <row r="1089" spans="1:13" ht="15" customHeight="1">
      <c r="A1089" s="146" t="s">
        <v>3110</v>
      </c>
      <c r="B1089" s="146">
        <v>514318</v>
      </c>
      <c r="C1089" s="147" t="s">
        <v>3111</v>
      </c>
      <c r="D1089" s="146" t="s">
        <v>553</v>
      </c>
      <c r="E1089" s="147" t="s">
        <v>3052</v>
      </c>
      <c r="F1089" s="147" t="s">
        <v>3112</v>
      </c>
      <c r="G1089" s="146" t="s">
        <v>109</v>
      </c>
      <c r="H1089" s="146" t="s">
        <v>52</v>
      </c>
      <c r="I1089" s="147" t="s">
        <v>2927</v>
      </c>
      <c r="J1089" s="147" t="s">
        <v>104</v>
      </c>
      <c r="K1089" s="148"/>
      <c r="L1089" s="149"/>
      <c r="M1089" s="148"/>
    </row>
    <row r="1090" spans="1:13" ht="15" customHeight="1">
      <c r="A1090" s="142" t="s">
        <v>3113</v>
      </c>
      <c r="B1090" s="142">
        <v>514143</v>
      </c>
      <c r="C1090" s="143" t="s">
        <v>3114</v>
      </c>
      <c r="D1090" s="142" t="s">
        <v>553</v>
      </c>
      <c r="E1090" s="143" t="s">
        <v>3115</v>
      </c>
      <c r="F1090" s="143" t="s">
        <v>3116</v>
      </c>
      <c r="G1090" s="142" t="s">
        <v>109</v>
      </c>
      <c r="H1090" s="142" t="s">
        <v>50</v>
      </c>
      <c r="I1090" s="143" t="s">
        <v>1532</v>
      </c>
      <c r="J1090" s="143" t="s">
        <v>104</v>
      </c>
      <c r="K1090" s="144" t="s">
        <v>121</v>
      </c>
      <c r="L1090" s="145">
        <v>46150</v>
      </c>
      <c r="M1090" s="144"/>
    </row>
    <row r="1091" spans="1:13" ht="15" customHeight="1">
      <c r="A1091" s="146" t="s">
        <v>3117</v>
      </c>
      <c r="B1091" s="146">
        <v>514083</v>
      </c>
      <c r="C1091" s="147" t="s">
        <v>3118</v>
      </c>
      <c r="D1091" s="146" t="s">
        <v>553</v>
      </c>
      <c r="E1091" s="147" t="s">
        <v>3119</v>
      </c>
      <c r="F1091" s="147" t="s">
        <v>3120</v>
      </c>
      <c r="G1091" s="146" t="s">
        <v>109</v>
      </c>
      <c r="H1091" s="146" t="s">
        <v>50</v>
      </c>
      <c r="I1091" s="147" t="s">
        <v>1532</v>
      </c>
      <c r="J1091" s="147" t="s">
        <v>104</v>
      </c>
      <c r="K1091" s="148" t="s">
        <v>121</v>
      </c>
      <c r="L1091" s="149">
        <v>46141</v>
      </c>
      <c r="M1091" s="148"/>
    </row>
    <row r="1092" spans="1:13" ht="15" customHeight="1">
      <c r="A1092" s="142" t="s">
        <v>3121</v>
      </c>
      <c r="B1092" s="142">
        <v>514140</v>
      </c>
      <c r="C1092" s="143" t="s">
        <v>3122</v>
      </c>
      <c r="D1092" s="142" t="s">
        <v>553</v>
      </c>
      <c r="E1092" s="143" t="s">
        <v>2996</v>
      </c>
      <c r="F1092" s="143" t="s">
        <v>3123</v>
      </c>
      <c r="G1092" s="142" t="s">
        <v>109</v>
      </c>
      <c r="H1092" s="142" t="s">
        <v>50</v>
      </c>
      <c r="I1092" s="143" t="s">
        <v>1532</v>
      </c>
      <c r="J1092" s="143" t="s">
        <v>104</v>
      </c>
      <c r="K1092" s="144"/>
      <c r="L1092" s="145"/>
      <c r="M1092" s="144"/>
    </row>
    <row r="1093" spans="1:13" ht="15" customHeight="1">
      <c r="A1093" s="146" t="s">
        <v>3124</v>
      </c>
      <c r="B1093" s="146">
        <v>514141</v>
      </c>
      <c r="C1093" s="147" t="s">
        <v>3125</v>
      </c>
      <c r="D1093" s="146" t="s">
        <v>553</v>
      </c>
      <c r="E1093" s="147" t="s">
        <v>3126</v>
      </c>
      <c r="F1093" s="147" t="s">
        <v>3127</v>
      </c>
      <c r="G1093" s="146" t="s">
        <v>102</v>
      </c>
      <c r="H1093" s="146" t="s">
        <v>50</v>
      </c>
      <c r="I1093" s="147" t="s">
        <v>1532</v>
      </c>
      <c r="J1093" s="147" t="s">
        <v>104</v>
      </c>
      <c r="K1093" s="148" t="s">
        <v>121</v>
      </c>
      <c r="L1093" s="149">
        <v>46153</v>
      </c>
      <c r="M1093" s="148"/>
    </row>
    <row r="1094" spans="1:13" ht="15" customHeight="1">
      <c r="A1094" s="142" t="s">
        <v>3128</v>
      </c>
      <c r="B1094" s="142">
        <v>514300</v>
      </c>
      <c r="C1094" s="143" t="s">
        <v>3129</v>
      </c>
      <c r="D1094" s="142" t="s">
        <v>553</v>
      </c>
      <c r="E1094" s="143" t="s">
        <v>3130</v>
      </c>
      <c r="F1094" s="143" t="s">
        <v>3131</v>
      </c>
      <c r="G1094" s="142" t="s">
        <v>109</v>
      </c>
      <c r="H1094" s="142" t="s">
        <v>52</v>
      </c>
      <c r="I1094" s="143" t="s">
        <v>2927</v>
      </c>
      <c r="J1094" s="143" t="s">
        <v>104</v>
      </c>
      <c r="K1094" s="144"/>
      <c r="L1094" s="145"/>
      <c r="M1094" s="144"/>
    </row>
    <row r="1095" spans="1:13" ht="15" customHeight="1">
      <c r="A1095" s="146" t="s">
        <v>3132</v>
      </c>
      <c r="B1095" s="146">
        <v>514133</v>
      </c>
      <c r="C1095" s="147" t="s">
        <v>3133</v>
      </c>
      <c r="D1095" s="146" t="s">
        <v>553</v>
      </c>
      <c r="E1095" s="147" t="s">
        <v>3134</v>
      </c>
      <c r="F1095" s="147" t="s">
        <v>3134</v>
      </c>
      <c r="G1095" s="146" t="s">
        <v>109</v>
      </c>
      <c r="H1095" s="146" t="s">
        <v>53</v>
      </c>
      <c r="I1095" s="147" t="s">
        <v>1184</v>
      </c>
      <c r="J1095" s="147" t="s">
        <v>104</v>
      </c>
      <c r="K1095" s="148" t="s">
        <v>121</v>
      </c>
      <c r="L1095" s="149">
        <v>46148</v>
      </c>
      <c r="M1095" s="148"/>
    </row>
    <row r="1096" spans="1:13" ht="15" customHeight="1">
      <c r="A1096" s="142" t="s">
        <v>3135</v>
      </c>
      <c r="B1096" s="142">
        <v>514267</v>
      </c>
      <c r="C1096" s="143" t="s">
        <v>3136</v>
      </c>
      <c r="D1096" s="142" t="s">
        <v>553</v>
      </c>
      <c r="E1096" s="143" t="s">
        <v>3056</v>
      </c>
      <c r="F1096" s="143" t="s">
        <v>3137</v>
      </c>
      <c r="G1096" s="142" t="s">
        <v>109</v>
      </c>
      <c r="H1096" s="142" t="s">
        <v>53</v>
      </c>
      <c r="I1096" s="143" t="s">
        <v>1184</v>
      </c>
      <c r="J1096" s="143" t="s">
        <v>104</v>
      </c>
      <c r="K1096" s="144"/>
      <c r="L1096" s="145"/>
      <c r="M1096" s="144"/>
    </row>
    <row r="1097" spans="1:13" ht="15" customHeight="1">
      <c r="A1097" s="146" t="s">
        <v>3138</v>
      </c>
      <c r="B1097" s="146">
        <v>514153</v>
      </c>
      <c r="C1097" s="147" t="s">
        <v>3139</v>
      </c>
      <c r="D1097" s="146" t="s">
        <v>553</v>
      </c>
      <c r="E1097" s="147" t="s">
        <v>3010</v>
      </c>
      <c r="F1097" s="147" t="s">
        <v>3140</v>
      </c>
      <c r="G1097" s="146" t="s">
        <v>109</v>
      </c>
      <c r="H1097" s="146" t="s">
        <v>50</v>
      </c>
      <c r="I1097" s="147" t="s">
        <v>1532</v>
      </c>
      <c r="J1097" s="147" t="s">
        <v>104</v>
      </c>
      <c r="K1097" s="148" t="s">
        <v>121</v>
      </c>
      <c r="L1097" s="149">
        <v>46149</v>
      </c>
      <c r="M1097" s="148"/>
    </row>
    <row r="1098" spans="1:13" ht="15" customHeight="1">
      <c r="A1098" s="142" t="s">
        <v>3141</v>
      </c>
      <c r="B1098" s="142">
        <v>514246</v>
      </c>
      <c r="C1098" s="143" t="s">
        <v>2476</v>
      </c>
      <c r="D1098" s="142" t="s">
        <v>553</v>
      </c>
      <c r="E1098" s="143" t="s">
        <v>3056</v>
      </c>
      <c r="F1098" s="143" t="s">
        <v>3142</v>
      </c>
      <c r="G1098" s="142" t="s">
        <v>109</v>
      </c>
      <c r="H1098" s="142" t="s">
        <v>53</v>
      </c>
      <c r="I1098" s="143" t="s">
        <v>1184</v>
      </c>
      <c r="J1098" s="143" t="s">
        <v>104</v>
      </c>
      <c r="K1098" s="144"/>
      <c r="L1098" s="145"/>
      <c r="M1098" s="144"/>
    </row>
    <row r="1099" spans="1:13" ht="15" customHeight="1">
      <c r="A1099" s="146" t="s">
        <v>3143</v>
      </c>
      <c r="B1099" s="146">
        <v>514319</v>
      </c>
      <c r="C1099" s="147" t="s">
        <v>3144</v>
      </c>
      <c r="D1099" s="146" t="s">
        <v>553</v>
      </c>
      <c r="E1099" s="147" t="s">
        <v>3056</v>
      </c>
      <c r="F1099" s="147" t="s">
        <v>3145</v>
      </c>
      <c r="G1099" s="146" t="s">
        <v>109</v>
      </c>
      <c r="H1099" s="146" t="s">
        <v>50</v>
      </c>
      <c r="I1099" s="147" t="s">
        <v>1532</v>
      </c>
      <c r="J1099" s="147" t="s">
        <v>104</v>
      </c>
      <c r="K1099" s="148" t="s">
        <v>121</v>
      </c>
      <c r="L1099" s="149">
        <v>46150</v>
      </c>
      <c r="M1099" s="148"/>
    </row>
    <row r="1100" spans="1:13" ht="15" customHeight="1">
      <c r="A1100" s="142" t="s">
        <v>3146</v>
      </c>
      <c r="B1100" s="142">
        <v>515441</v>
      </c>
      <c r="C1100" s="143" t="s">
        <v>3147</v>
      </c>
      <c r="D1100" s="142" t="s">
        <v>553</v>
      </c>
      <c r="E1100" s="143" t="s">
        <v>2936</v>
      </c>
      <c r="F1100" s="143" t="s">
        <v>3148</v>
      </c>
      <c r="G1100" s="142" t="s">
        <v>109</v>
      </c>
      <c r="H1100" s="142" t="s">
        <v>50</v>
      </c>
      <c r="I1100" s="143" t="s">
        <v>1532</v>
      </c>
      <c r="J1100" s="143" t="s">
        <v>104</v>
      </c>
      <c r="K1100" s="144"/>
      <c r="L1100" s="145"/>
      <c r="M1100" s="144"/>
    </row>
    <row r="1101" spans="1:13" ht="15" customHeight="1">
      <c r="A1101" s="146" t="s">
        <v>3149</v>
      </c>
      <c r="B1101" s="146">
        <v>514123</v>
      </c>
      <c r="C1101" s="147" t="s">
        <v>3150</v>
      </c>
      <c r="D1101" s="146" t="s">
        <v>553</v>
      </c>
      <c r="E1101" s="147" t="s">
        <v>3018</v>
      </c>
      <c r="F1101" s="147" t="s">
        <v>3151</v>
      </c>
      <c r="G1101" s="146" t="s">
        <v>109</v>
      </c>
      <c r="H1101" s="146" t="s">
        <v>53</v>
      </c>
      <c r="I1101" s="147" t="s">
        <v>1184</v>
      </c>
      <c r="J1101" s="147" t="s">
        <v>104</v>
      </c>
      <c r="K1101" s="148" t="s">
        <v>121</v>
      </c>
      <c r="L1101" s="149">
        <v>46148</v>
      </c>
      <c r="M1101" s="148"/>
    </row>
    <row r="1102" spans="1:13" ht="15" customHeight="1">
      <c r="A1102" s="142" t="s">
        <v>3152</v>
      </c>
      <c r="B1102" s="142">
        <v>514324</v>
      </c>
      <c r="C1102" s="143" t="s">
        <v>3153</v>
      </c>
      <c r="D1102" s="142" t="s">
        <v>553</v>
      </c>
      <c r="E1102" s="143" t="s">
        <v>3154</v>
      </c>
      <c r="F1102" s="143" t="s">
        <v>3155</v>
      </c>
      <c r="G1102" s="142" t="s">
        <v>109</v>
      </c>
      <c r="H1102" s="142" t="s">
        <v>52</v>
      </c>
      <c r="I1102" s="143" t="s">
        <v>2927</v>
      </c>
      <c r="J1102" s="143" t="s">
        <v>104</v>
      </c>
      <c r="K1102" s="144"/>
      <c r="L1102" s="145"/>
      <c r="M1102" s="144"/>
    </row>
    <row r="1103" spans="1:13" ht="15" customHeight="1">
      <c r="A1103" s="146" t="s">
        <v>3156</v>
      </c>
      <c r="B1103" s="146">
        <v>514238</v>
      </c>
      <c r="C1103" s="147" t="s">
        <v>2149</v>
      </c>
      <c r="D1103" s="146" t="s">
        <v>553</v>
      </c>
      <c r="E1103" s="147" t="s">
        <v>3025</v>
      </c>
      <c r="F1103" s="147" t="s">
        <v>3157</v>
      </c>
      <c r="G1103" s="146" t="s">
        <v>109</v>
      </c>
      <c r="H1103" s="146" t="s">
        <v>53</v>
      </c>
      <c r="I1103" s="147" t="s">
        <v>1110</v>
      </c>
      <c r="J1103" s="147" t="s">
        <v>104</v>
      </c>
      <c r="K1103" s="148"/>
      <c r="L1103" s="149"/>
      <c r="M1103" s="148"/>
    </row>
    <row r="1104" spans="1:13" ht="15" customHeight="1">
      <c r="A1104" s="142" t="s">
        <v>3158</v>
      </c>
      <c r="B1104" s="142">
        <v>519631</v>
      </c>
      <c r="C1104" s="143" t="s">
        <v>3159</v>
      </c>
      <c r="D1104" s="142" t="s">
        <v>553</v>
      </c>
      <c r="E1104" s="143" t="s">
        <v>2965</v>
      </c>
      <c r="F1104" s="143" t="s">
        <v>3160</v>
      </c>
      <c r="G1104" s="142" t="s">
        <v>109</v>
      </c>
      <c r="H1104" s="142" t="s">
        <v>53</v>
      </c>
      <c r="I1104" s="143" t="s">
        <v>1184</v>
      </c>
      <c r="J1104" s="143" t="s">
        <v>104</v>
      </c>
      <c r="K1104" s="144"/>
      <c r="L1104" s="145"/>
      <c r="M1104" s="144"/>
    </row>
    <row r="1105" spans="1:13" ht="15" customHeight="1">
      <c r="A1105" s="146" t="s">
        <v>3161</v>
      </c>
      <c r="B1105" s="146">
        <v>514305</v>
      </c>
      <c r="C1105" s="147" t="s">
        <v>3162</v>
      </c>
      <c r="D1105" s="146" t="s">
        <v>553</v>
      </c>
      <c r="E1105" s="147" t="s">
        <v>3163</v>
      </c>
      <c r="F1105" s="147" t="s">
        <v>3164</v>
      </c>
      <c r="G1105" s="146" t="s">
        <v>109</v>
      </c>
      <c r="H1105" s="146" t="s">
        <v>50</v>
      </c>
      <c r="I1105" s="147" t="s">
        <v>1532</v>
      </c>
      <c r="J1105" s="147" t="s">
        <v>104</v>
      </c>
      <c r="K1105" s="148"/>
      <c r="L1105" s="149"/>
      <c r="M1105" s="148"/>
    </row>
    <row r="1106" spans="1:13" ht="15" customHeight="1">
      <c r="A1106" s="142" t="s">
        <v>3165</v>
      </c>
      <c r="B1106" s="142">
        <v>515413</v>
      </c>
      <c r="C1106" s="143" t="s">
        <v>3166</v>
      </c>
      <c r="D1106" s="142" t="s">
        <v>553</v>
      </c>
      <c r="E1106" s="143" t="s">
        <v>2992</v>
      </c>
      <c r="F1106" s="143" t="s">
        <v>3167</v>
      </c>
      <c r="G1106" s="142" t="s">
        <v>109</v>
      </c>
      <c r="H1106" s="142" t="s">
        <v>53</v>
      </c>
      <c r="I1106" s="143" t="s">
        <v>1184</v>
      </c>
      <c r="J1106" s="143" t="s">
        <v>104</v>
      </c>
      <c r="K1106" s="144" t="s">
        <v>162</v>
      </c>
      <c r="L1106" s="145">
        <v>46148</v>
      </c>
      <c r="M1106" s="144" t="s">
        <v>3168</v>
      </c>
    </row>
    <row r="1107" spans="1:13" ht="15" customHeight="1">
      <c r="A1107" s="146" t="s">
        <v>3169</v>
      </c>
      <c r="B1107" s="146">
        <v>514293</v>
      </c>
      <c r="C1107" s="147" t="s">
        <v>1141</v>
      </c>
      <c r="D1107" s="146" t="s">
        <v>553</v>
      </c>
      <c r="E1107" s="147" t="s">
        <v>2977</v>
      </c>
      <c r="F1107" s="147" t="s">
        <v>3170</v>
      </c>
      <c r="G1107" s="146" t="s">
        <v>109</v>
      </c>
      <c r="H1107" s="146" t="s">
        <v>50</v>
      </c>
      <c r="I1107" s="147" t="s">
        <v>1532</v>
      </c>
      <c r="J1107" s="147" t="s">
        <v>104</v>
      </c>
      <c r="K1107" s="148" t="s">
        <v>121</v>
      </c>
      <c r="L1107" s="149">
        <v>46150</v>
      </c>
      <c r="M1107" s="148"/>
    </row>
    <row r="1108" spans="1:13" ht="15" customHeight="1">
      <c r="A1108" s="142" t="s">
        <v>3171</v>
      </c>
      <c r="B1108" s="142">
        <v>514301</v>
      </c>
      <c r="C1108" s="143" t="s">
        <v>3172</v>
      </c>
      <c r="D1108" s="142" t="s">
        <v>553</v>
      </c>
      <c r="E1108" s="143" t="s">
        <v>3173</v>
      </c>
      <c r="F1108" s="143" t="s">
        <v>3174</v>
      </c>
      <c r="G1108" s="142" t="s">
        <v>109</v>
      </c>
      <c r="H1108" s="142" t="s">
        <v>52</v>
      </c>
      <c r="I1108" s="143" t="s">
        <v>2927</v>
      </c>
      <c r="J1108" s="143" t="s">
        <v>104</v>
      </c>
      <c r="K1108" s="144"/>
      <c r="L1108" s="145"/>
      <c r="M1108" s="144"/>
    </row>
    <row r="1109" spans="1:13" ht="15" customHeight="1">
      <c r="A1109" s="146" t="s">
        <v>3175</v>
      </c>
      <c r="B1109" s="146">
        <v>514268</v>
      </c>
      <c r="C1109" s="147" t="s">
        <v>3176</v>
      </c>
      <c r="D1109" s="146" t="s">
        <v>553</v>
      </c>
      <c r="E1109" s="147" t="s">
        <v>3048</v>
      </c>
      <c r="F1109" s="147" t="s">
        <v>3177</v>
      </c>
      <c r="G1109" s="146" t="s">
        <v>109</v>
      </c>
      <c r="H1109" s="146" t="s">
        <v>50</v>
      </c>
      <c r="I1109" s="147" t="s">
        <v>1532</v>
      </c>
      <c r="J1109" s="147" t="s">
        <v>104</v>
      </c>
      <c r="K1109" s="148" t="s">
        <v>121</v>
      </c>
      <c r="L1109" s="149">
        <v>46149</v>
      </c>
      <c r="M1109" s="148"/>
    </row>
    <row r="1110" spans="1:13" ht="15" customHeight="1">
      <c r="A1110" s="142" t="s">
        <v>3178</v>
      </c>
      <c r="B1110" s="142">
        <v>515094</v>
      </c>
      <c r="C1110" s="143" t="s">
        <v>3179</v>
      </c>
      <c r="D1110" s="142" t="s">
        <v>553</v>
      </c>
      <c r="E1110" s="143" t="s">
        <v>2960</v>
      </c>
      <c r="F1110" s="143" t="s">
        <v>3180</v>
      </c>
      <c r="G1110" s="142" t="s">
        <v>102</v>
      </c>
      <c r="H1110" s="142" t="s">
        <v>53</v>
      </c>
      <c r="I1110" s="143" t="s">
        <v>1110</v>
      </c>
      <c r="J1110" s="143" t="s">
        <v>104</v>
      </c>
      <c r="K1110" s="144"/>
      <c r="L1110" s="145"/>
      <c r="M1110" s="144"/>
    </row>
    <row r="1111" spans="1:13" ht="15" customHeight="1">
      <c r="A1111" s="146" t="s">
        <v>3181</v>
      </c>
      <c r="B1111" s="146">
        <v>514269</v>
      </c>
      <c r="C1111" s="147" t="s">
        <v>1179</v>
      </c>
      <c r="D1111" s="146" t="s">
        <v>553</v>
      </c>
      <c r="E1111" s="147" t="s">
        <v>2936</v>
      </c>
      <c r="F1111" s="147" t="s">
        <v>3182</v>
      </c>
      <c r="G1111" s="146" t="s">
        <v>109</v>
      </c>
      <c r="H1111" s="146" t="s">
        <v>50</v>
      </c>
      <c r="I1111" s="147" t="s">
        <v>1532</v>
      </c>
      <c r="J1111" s="147" t="s">
        <v>104</v>
      </c>
      <c r="K1111" s="148" t="s">
        <v>121</v>
      </c>
      <c r="L1111" s="149">
        <v>46148</v>
      </c>
      <c r="M1111" s="148"/>
    </row>
    <row r="1112" spans="1:13" ht="15" customHeight="1">
      <c r="A1112" s="142" t="s">
        <v>3183</v>
      </c>
      <c r="B1112" s="142">
        <v>514278</v>
      </c>
      <c r="C1112" s="143" t="s">
        <v>2317</v>
      </c>
      <c r="D1112" s="142" t="s">
        <v>553</v>
      </c>
      <c r="E1112" s="143" t="s">
        <v>2954</v>
      </c>
      <c r="F1112" s="143" t="s">
        <v>511</v>
      </c>
      <c r="G1112" s="142" t="s">
        <v>109</v>
      </c>
      <c r="H1112" s="142" t="s">
        <v>53</v>
      </c>
      <c r="I1112" s="143" t="s">
        <v>1184</v>
      </c>
      <c r="J1112" s="143" t="s">
        <v>104</v>
      </c>
      <c r="K1112" s="144"/>
      <c r="L1112" s="145"/>
      <c r="M1112" s="144"/>
    </row>
    <row r="1113" spans="1:13" ht="15" customHeight="1">
      <c r="A1113" s="146" t="s">
        <v>3184</v>
      </c>
      <c r="B1113" s="146">
        <v>514265</v>
      </c>
      <c r="C1113" s="147" t="s">
        <v>3185</v>
      </c>
      <c r="D1113" s="146" t="s">
        <v>553</v>
      </c>
      <c r="E1113" s="147" t="s">
        <v>3025</v>
      </c>
      <c r="F1113" s="147" t="s">
        <v>3186</v>
      </c>
      <c r="G1113" s="146" t="s">
        <v>109</v>
      </c>
      <c r="H1113" s="146" t="s">
        <v>53</v>
      </c>
      <c r="I1113" s="147" t="s">
        <v>1110</v>
      </c>
      <c r="J1113" s="147" t="s">
        <v>104</v>
      </c>
      <c r="K1113" s="148"/>
      <c r="L1113" s="149"/>
      <c r="M1113" s="148"/>
    </row>
    <row r="1114" spans="1:13" ht="15" customHeight="1">
      <c r="A1114" s="142" t="s">
        <v>3187</v>
      </c>
      <c r="B1114" s="142">
        <v>514323</v>
      </c>
      <c r="C1114" s="143" t="s">
        <v>3188</v>
      </c>
      <c r="D1114" s="142" t="s">
        <v>553</v>
      </c>
      <c r="E1114" s="143" t="s">
        <v>3154</v>
      </c>
      <c r="F1114" s="143" t="s">
        <v>3189</v>
      </c>
      <c r="G1114" s="142" t="s">
        <v>109</v>
      </c>
      <c r="H1114" s="142" t="s">
        <v>52</v>
      </c>
      <c r="I1114" s="143" t="s">
        <v>2927</v>
      </c>
      <c r="J1114" s="143" t="s">
        <v>104</v>
      </c>
      <c r="K1114" s="144"/>
      <c r="L1114" s="145"/>
      <c r="M1114" s="144"/>
    </row>
    <row r="1115" spans="1:13" ht="15" customHeight="1">
      <c r="A1115" s="146" t="s">
        <v>3190</v>
      </c>
      <c r="B1115" s="146">
        <v>514264</v>
      </c>
      <c r="C1115" s="147" t="s">
        <v>3191</v>
      </c>
      <c r="D1115" s="146" t="s">
        <v>553</v>
      </c>
      <c r="E1115" s="147" t="s">
        <v>3154</v>
      </c>
      <c r="F1115" s="147" t="s">
        <v>3192</v>
      </c>
      <c r="G1115" s="146" t="s">
        <v>109</v>
      </c>
      <c r="H1115" s="146" t="s">
        <v>53</v>
      </c>
      <c r="I1115" s="147" t="s">
        <v>1184</v>
      </c>
      <c r="J1115" s="147" t="s">
        <v>104</v>
      </c>
      <c r="K1115" s="148"/>
      <c r="L1115" s="149"/>
      <c r="M1115" s="148"/>
    </row>
    <row r="1116" spans="1:13" ht="15" customHeight="1">
      <c r="A1116" s="142" t="s">
        <v>3193</v>
      </c>
      <c r="B1116" s="142">
        <v>514227</v>
      </c>
      <c r="C1116" s="143" t="s">
        <v>3194</v>
      </c>
      <c r="D1116" s="142" t="s">
        <v>553</v>
      </c>
      <c r="E1116" s="143" t="s">
        <v>3195</v>
      </c>
      <c r="F1116" s="143" t="s">
        <v>3196</v>
      </c>
      <c r="G1116" s="142" t="s">
        <v>109</v>
      </c>
      <c r="H1116" s="142" t="s">
        <v>53</v>
      </c>
      <c r="I1116" s="143" t="s">
        <v>1184</v>
      </c>
      <c r="J1116" s="143" t="s">
        <v>104</v>
      </c>
      <c r="K1116" s="144"/>
      <c r="L1116" s="145"/>
      <c r="M1116" s="144"/>
    </row>
    <row r="1117" spans="1:13" ht="15" customHeight="1">
      <c r="A1117" s="146" t="s">
        <v>3197</v>
      </c>
      <c r="B1117" s="146">
        <v>514283</v>
      </c>
      <c r="C1117" s="147" t="s">
        <v>2541</v>
      </c>
      <c r="D1117" s="146" t="s">
        <v>553</v>
      </c>
      <c r="E1117" s="147" t="s">
        <v>2965</v>
      </c>
      <c r="F1117" s="147" t="s">
        <v>3198</v>
      </c>
      <c r="G1117" s="146" t="s">
        <v>109</v>
      </c>
      <c r="H1117" s="146" t="s">
        <v>53</v>
      </c>
      <c r="I1117" s="147" t="s">
        <v>1184</v>
      </c>
      <c r="J1117" s="147" t="s">
        <v>104</v>
      </c>
      <c r="K1117" s="148"/>
      <c r="L1117" s="149"/>
      <c r="M1117" s="148"/>
    </row>
    <row r="1118" spans="1:13" ht="15" customHeight="1">
      <c r="A1118" s="142" t="s">
        <v>3199</v>
      </c>
      <c r="B1118" s="142">
        <v>514266</v>
      </c>
      <c r="C1118" s="143" t="s">
        <v>3200</v>
      </c>
      <c r="D1118" s="142" t="s">
        <v>553</v>
      </c>
      <c r="E1118" s="143" t="s">
        <v>3025</v>
      </c>
      <c r="F1118" s="143" t="s">
        <v>3201</v>
      </c>
      <c r="G1118" s="142" t="s">
        <v>109</v>
      </c>
      <c r="H1118" s="142" t="s">
        <v>53</v>
      </c>
      <c r="I1118" s="143" t="s">
        <v>1110</v>
      </c>
      <c r="J1118" s="143" t="s">
        <v>104</v>
      </c>
      <c r="K1118" s="144"/>
      <c r="L1118" s="145"/>
      <c r="M1118" s="144"/>
    </row>
    <row r="1119" spans="1:13" ht="15" customHeight="1">
      <c r="A1119" s="146" t="s">
        <v>3202</v>
      </c>
      <c r="B1119" s="146">
        <v>514294</v>
      </c>
      <c r="C1119" s="147" t="s">
        <v>3203</v>
      </c>
      <c r="D1119" s="146" t="s">
        <v>553</v>
      </c>
      <c r="E1119" s="147" t="s">
        <v>2977</v>
      </c>
      <c r="F1119" s="147" t="s">
        <v>3204</v>
      </c>
      <c r="G1119" s="146" t="s">
        <v>109</v>
      </c>
      <c r="H1119" s="146" t="s">
        <v>50</v>
      </c>
      <c r="I1119" s="147" t="s">
        <v>1532</v>
      </c>
      <c r="J1119" s="147" t="s">
        <v>104</v>
      </c>
      <c r="K1119" s="148"/>
      <c r="L1119" s="149"/>
      <c r="M1119" s="148"/>
    </row>
    <row r="1120" spans="1:13" ht="15" customHeight="1">
      <c r="A1120" s="142" t="s">
        <v>3205</v>
      </c>
      <c r="B1120" s="142">
        <v>514220</v>
      </c>
      <c r="C1120" s="143" t="s">
        <v>3206</v>
      </c>
      <c r="D1120" s="142" t="s">
        <v>553</v>
      </c>
      <c r="E1120" s="143" t="s">
        <v>2940</v>
      </c>
      <c r="F1120" s="143" t="s">
        <v>3207</v>
      </c>
      <c r="G1120" s="142" t="s">
        <v>109</v>
      </c>
      <c r="H1120" s="142" t="s">
        <v>50</v>
      </c>
      <c r="I1120" s="143" t="s">
        <v>1532</v>
      </c>
      <c r="J1120" s="143" t="s">
        <v>104</v>
      </c>
      <c r="K1120" s="144" t="s">
        <v>121</v>
      </c>
      <c r="L1120" s="145">
        <v>46148</v>
      </c>
      <c r="M1120" s="144"/>
    </row>
    <row r="1121" spans="1:13" ht="15" customHeight="1">
      <c r="A1121" s="146" t="s">
        <v>3208</v>
      </c>
      <c r="B1121" s="146">
        <v>514181</v>
      </c>
      <c r="C1121" s="147" t="s">
        <v>3209</v>
      </c>
      <c r="D1121" s="146" t="s">
        <v>553</v>
      </c>
      <c r="E1121" s="147" t="s">
        <v>3052</v>
      </c>
      <c r="F1121" s="147" t="s">
        <v>3210</v>
      </c>
      <c r="G1121" s="146" t="s">
        <v>109</v>
      </c>
      <c r="H1121" s="146" t="s">
        <v>53</v>
      </c>
      <c r="I1121" s="147" t="s">
        <v>1184</v>
      </c>
      <c r="J1121" s="147" t="s">
        <v>104</v>
      </c>
      <c r="K1121" s="148"/>
      <c r="L1121" s="149"/>
      <c r="M1121" s="148"/>
    </row>
    <row r="1122" spans="1:13" ht="15" customHeight="1">
      <c r="A1122" s="142" t="s">
        <v>3211</v>
      </c>
      <c r="B1122" s="142">
        <v>514253</v>
      </c>
      <c r="C1122" s="143" t="s">
        <v>3212</v>
      </c>
      <c r="D1122" s="142" t="s">
        <v>553</v>
      </c>
      <c r="E1122" s="143" t="s">
        <v>2982</v>
      </c>
      <c r="F1122" s="143" t="s">
        <v>3213</v>
      </c>
      <c r="G1122" s="142" t="s">
        <v>109</v>
      </c>
      <c r="H1122" s="142" t="s">
        <v>50</v>
      </c>
      <c r="I1122" s="143" t="s">
        <v>1532</v>
      </c>
      <c r="J1122" s="143" t="s">
        <v>104</v>
      </c>
      <c r="K1122" s="144" t="s">
        <v>121</v>
      </c>
      <c r="L1122" s="145">
        <v>46148</v>
      </c>
      <c r="M1122" s="144"/>
    </row>
    <row r="1123" spans="1:13" ht="15" customHeight="1">
      <c r="A1123" s="146" t="s">
        <v>3214</v>
      </c>
      <c r="B1123" s="146">
        <v>514274</v>
      </c>
      <c r="C1123" s="147" t="s">
        <v>3215</v>
      </c>
      <c r="D1123" s="146" t="s">
        <v>553</v>
      </c>
      <c r="E1123" s="147" t="s">
        <v>2954</v>
      </c>
      <c r="F1123" s="147" t="s">
        <v>3216</v>
      </c>
      <c r="G1123" s="146" t="s">
        <v>109</v>
      </c>
      <c r="H1123" s="146" t="s">
        <v>53</v>
      </c>
      <c r="I1123" s="147" t="s">
        <v>1184</v>
      </c>
      <c r="J1123" s="147" t="s">
        <v>104</v>
      </c>
      <c r="K1123" s="148"/>
      <c r="L1123" s="149"/>
      <c r="M1123" s="148"/>
    </row>
    <row r="1124" spans="1:13" ht="15" customHeight="1">
      <c r="A1124" s="142" t="s">
        <v>3217</v>
      </c>
      <c r="B1124" s="142">
        <v>514261</v>
      </c>
      <c r="C1124" s="143" t="s">
        <v>2575</v>
      </c>
      <c r="D1124" s="142" t="s">
        <v>553</v>
      </c>
      <c r="E1124" s="143" t="s">
        <v>2954</v>
      </c>
      <c r="F1124" s="143" t="s">
        <v>3218</v>
      </c>
      <c r="G1124" s="142" t="s">
        <v>109</v>
      </c>
      <c r="H1124" s="142" t="s">
        <v>53</v>
      </c>
      <c r="I1124" s="143" t="s">
        <v>1184</v>
      </c>
      <c r="J1124" s="143" t="s">
        <v>104</v>
      </c>
      <c r="K1124" s="144"/>
      <c r="L1124" s="145"/>
      <c r="M1124" s="144"/>
    </row>
    <row r="1125" spans="1:13" ht="15" customHeight="1">
      <c r="A1125" s="146" t="s">
        <v>3219</v>
      </c>
      <c r="B1125" s="146">
        <v>514255</v>
      </c>
      <c r="C1125" s="147" t="s">
        <v>3220</v>
      </c>
      <c r="D1125" s="146" t="s">
        <v>553</v>
      </c>
      <c r="E1125" s="147" t="s">
        <v>2960</v>
      </c>
      <c r="F1125" s="147" t="s">
        <v>3221</v>
      </c>
      <c r="G1125" s="146" t="s">
        <v>109</v>
      </c>
      <c r="H1125" s="146" t="s">
        <v>53</v>
      </c>
      <c r="I1125" s="147" t="s">
        <v>1110</v>
      </c>
      <c r="J1125" s="147" t="s">
        <v>104</v>
      </c>
      <c r="K1125" s="148"/>
      <c r="L1125" s="149"/>
      <c r="M1125" s="148"/>
    </row>
    <row r="1126" spans="1:13" ht="15" customHeight="1">
      <c r="A1126" s="142" t="s">
        <v>3222</v>
      </c>
      <c r="B1126" s="142">
        <v>514320</v>
      </c>
      <c r="C1126" s="143" t="s">
        <v>2595</v>
      </c>
      <c r="D1126" s="142" t="s">
        <v>553</v>
      </c>
      <c r="E1126" s="143" t="s">
        <v>3223</v>
      </c>
      <c r="F1126" s="143" t="s">
        <v>3224</v>
      </c>
      <c r="G1126" s="142" t="s">
        <v>109</v>
      </c>
      <c r="H1126" s="142" t="s">
        <v>53</v>
      </c>
      <c r="I1126" s="143" t="s">
        <v>1184</v>
      </c>
      <c r="J1126" s="143" t="s">
        <v>104</v>
      </c>
      <c r="K1126" s="144"/>
      <c r="L1126" s="145"/>
      <c r="M1126" s="144"/>
    </row>
    <row r="1127" spans="1:13" ht="15" customHeight="1">
      <c r="A1127" s="146" t="s">
        <v>3225</v>
      </c>
      <c r="B1127" s="146">
        <v>514232</v>
      </c>
      <c r="C1127" s="147" t="s">
        <v>3226</v>
      </c>
      <c r="D1127" s="146" t="s">
        <v>553</v>
      </c>
      <c r="E1127" s="147" t="s">
        <v>3227</v>
      </c>
      <c r="F1127" s="147" t="s">
        <v>3228</v>
      </c>
      <c r="G1127" s="146" t="s">
        <v>109</v>
      </c>
      <c r="H1127" s="146" t="s">
        <v>52</v>
      </c>
      <c r="I1127" s="147" t="s">
        <v>2927</v>
      </c>
      <c r="J1127" s="147" t="s">
        <v>104</v>
      </c>
      <c r="K1127" s="148" t="s">
        <v>121</v>
      </c>
      <c r="L1127" s="149">
        <v>46150</v>
      </c>
      <c r="M1127" s="148"/>
    </row>
    <row r="1128" spans="1:13" ht="15" customHeight="1">
      <c r="A1128" s="142" t="s">
        <v>3229</v>
      </c>
      <c r="B1128" s="142">
        <v>514272</v>
      </c>
      <c r="C1128" s="143" t="s">
        <v>2562</v>
      </c>
      <c r="D1128" s="142" t="s">
        <v>553</v>
      </c>
      <c r="E1128" s="143" t="s">
        <v>2965</v>
      </c>
      <c r="F1128" s="143" t="s">
        <v>3230</v>
      </c>
      <c r="G1128" s="142" t="s">
        <v>109</v>
      </c>
      <c r="H1128" s="142" t="s">
        <v>53</v>
      </c>
      <c r="I1128" s="143" t="s">
        <v>1184</v>
      </c>
      <c r="J1128" s="143" t="s">
        <v>104</v>
      </c>
      <c r="K1128" s="144"/>
      <c r="L1128" s="145"/>
      <c r="M1128" s="144"/>
    </row>
    <row r="1129" spans="1:13" ht="15" customHeight="1">
      <c r="A1129" s="146" t="s">
        <v>3231</v>
      </c>
      <c r="B1129" s="146">
        <v>514188</v>
      </c>
      <c r="C1129" s="147" t="s">
        <v>2610</v>
      </c>
      <c r="D1129" s="146" t="s">
        <v>553</v>
      </c>
      <c r="E1129" s="147" t="s">
        <v>2954</v>
      </c>
      <c r="F1129" s="147" t="s">
        <v>3232</v>
      </c>
      <c r="G1129" s="146" t="s">
        <v>109</v>
      </c>
      <c r="H1129" s="146" t="s">
        <v>53</v>
      </c>
      <c r="I1129" s="147" t="s">
        <v>1184</v>
      </c>
      <c r="J1129" s="147" t="s">
        <v>104</v>
      </c>
      <c r="K1129" s="148"/>
      <c r="L1129" s="149"/>
      <c r="M1129" s="148"/>
    </row>
    <row r="1130" spans="1:13" ht="15" customHeight="1">
      <c r="A1130" s="142" t="s">
        <v>3233</v>
      </c>
      <c r="B1130" s="142">
        <v>514142</v>
      </c>
      <c r="C1130" s="143" t="s">
        <v>3234</v>
      </c>
      <c r="D1130" s="142" t="s">
        <v>553</v>
      </c>
      <c r="E1130" s="143" t="s">
        <v>3064</v>
      </c>
      <c r="F1130" s="143" t="s">
        <v>1790</v>
      </c>
      <c r="G1130" s="142" t="s">
        <v>102</v>
      </c>
      <c r="H1130" s="142" t="s">
        <v>50</v>
      </c>
      <c r="I1130" s="143" t="s">
        <v>1532</v>
      </c>
      <c r="J1130" s="143" t="s">
        <v>104</v>
      </c>
      <c r="K1130" s="144" t="s">
        <v>121</v>
      </c>
      <c r="L1130" s="145">
        <v>46150</v>
      </c>
      <c r="M1130" s="144"/>
    </row>
    <row r="1131" spans="1:13" ht="15" customHeight="1">
      <c r="A1131" s="146" t="s">
        <v>3235</v>
      </c>
      <c r="B1131" s="146">
        <v>514197</v>
      </c>
      <c r="C1131" s="147" t="s">
        <v>3236</v>
      </c>
      <c r="D1131" s="146" t="s">
        <v>553</v>
      </c>
      <c r="E1131" s="147" t="s">
        <v>2940</v>
      </c>
      <c r="F1131" s="147" t="s">
        <v>3237</v>
      </c>
      <c r="G1131" s="146" t="s">
        <v>109</v>
      </c>
      <c r="H1131" s="146" t="s">
        <v>50</v>
      </c>
      <c r="I1131" s="147" t="s">
        <v>1532</v>
      </c>
      <c r="J1131" s="147" t="s">
        <v>104</v>
      </c>
      <c r="K1131" s="148" t="s">
        <v>121</v>
      </c>
      <c r="L1131" s="149">
        <v>46148</v>
      </c>
      <c r="M1131" s="148"/>
    </row>
    <row r="1132" spans="1:13" ht="15" customHeight="1">
      <c r="A1132" s="142" t="s">
        <v>3238</v>
      </c>
      <c r="B1132" s="142">
        <v>514292</v>
      </c>
      <c r="C1132" s="143" t="s">
        <v>3239</v>
      </c>
      <c r="D1132" s="142" t="s">
        <v>553</v>
      </c>
      <c r="E1132" s="143" t="s">
        <v>2944</v>
      </c>
      <c r="F1132" s="143" t="s">
        <v>3240</v>
      </c>
      <c r="G1132" s="142" t="s">
        <v>109</v>
      </c>
      <c r="H1132" s="142" t="s">
        <v>53</v>
      </c>
      <c r="I1132" s="143" t="s">
        <v>1184</v>
      </c>
      <c r="J1132" s="143" t="s">
        <v>104</v>
      </c>
      <c r="K1132" s="144"/>
      <c r="L1132" s="145"/>
      <c r="M1132" s="144"/>
    </row>
    <row r="1133" spans="1:13" ht="15" customHeight="1">
      <c r="A1133" s="146" t="s">
        <v>3241</v>
      </c>
      <c r="B1133" s="146">
        <v>514273</v>
      </c>
      <c r="C1133" s="147" t="s">
        <v>3242</v>
      </c>
      <c r="D1133" s="146" t="s">
        <v>553</v>
      </c>
      <c r="E1133" s="147" t="s">
        <v>3243</v>
      </c>
      <c r="F1133" s="147" t="s">
        <v>3244</v>
      </c>
      <c r="G1133" s="146" t="s">
        <v>109</v>
      </c>
      <c r="H1133" s="146" t="s">
        <v>53</v>
      </c>
      <c r="I1133" s="147" t="s">
        <v>1184</v>
      </c>
      <c r="J1133" s="147" t="s">
        <v>104</v>
      </c>
      <c r="K1133" s="148"/>
      <c r="L1133" s="149"/>
      <c r="M1133" s="148"/>
    </row>
    <row r="1134" spans="1:13" ht="15" customHeight="1">
      <c r="A1134" s="142" t="s">
        <v>3245</v>
      </c>
      <c r="B1134" s="142">
        <v>517579</v>
      </c>
      <c r="C1134" s="143" t="s">
        <v>3246</v>
      </c>
      <c r="D1134" s="142" t="s">
        <v>553</v>
      </c>
      <c r="E1134" s="143" t="s">
        <v>3173</v>
      </c>
      <c r="F1134" s="143" t="s">
        <v>3247</v>
      </c>
      <c r="G1134" s="142" t="s">
        <v>109</v>
      </c>
      <c r="H1134" s="142" t="s">
        <v>52</v>
      </c>
      <c r="I1134" s="143" t="s">
        <v>2927</v>
      </c>
      <c r="J1134" s="143" t="s">
        <v>104</v>
      </c>
      <c r="K1134" s="144"/>
      <c r="L1134" s="145"/>
      <c r="M1134" s="144"/>
    </row>
    <row r="1135" spans="1:13" ht="15" customHeight="1">
      <c r="A1135" s="146" t="s">
        <v>3248</v>
      </c>
      <c r="B1135" s="146">
        <v>515288</v>
      </c>
      <c r="C1135" s="147" t="s">
        <v>3249</v>
      </c>
      <c r="D1135" s="146" t="s">
        <v>553</v>
      </c>
      <c r="E1135" s="147" t="s">
        <v>3104</v>
      </c>
      <c r="F1135" s="147" t="s">
        <v>3250</v>
      </c>
      <c r="G1135" s="146" t="s">
        <v>109</v>
      </c>
      <c r="H1135" s="146" t="s">
        <v>50</v>
      </c>
      <c r="I1135" s="147" t="s">
        <v>1532</v>
      </c>
      <c r="J1135" s="147" t="s">
        <v>104</v>
      </c>
      <c r="K1135" s="148"/>
      <c r="L1135" s="149"/>
      <c r="M1135" s="148"/>
    </row>
    <row r="1136" spans="1:13" ht="15" customHeight="1">
      <c r="A1136" s="142" t="s">
        <v>3251</v>
      </c>
      <c r="B1136" s="142">
        <v>514113</v>
      </c>
      <c r="C1136" s="143" t="s">
        <v>3252</v>
      </c>
      <c r="D1136" s="142" t="s">
        <v>553</v>
      </c>
      <c r="E1136" s="143" t="s">
        <v>3064</v>
      </c>
      <c r="F1136" s="143" t="s">
        <v>3064</v>
      </c>
      <c r="G1136" s="142" t="s">
        <v>102</v>
      </c>
      <c r="H1136" s="142" t="s">
        <v>50</v>
      </c>
      <c r="I1136" s="143" t="s">
        <v>1532</v>
      </c>
      <c r="J1136" s="143" t="s">
        <v>104</v>
      </c>
      <c r="K1136" s="144" t="s">
        <v>121</v>
      </c>
      <c r="L1136" s="145">
        <v>46147</v>
      </c>
      <c r="M1136" s="144"/>
    </row>
    <row r="1137" spans="1:13" ht="15" customHeight="1">
      <c r="A1137" s="146" t="s">
        <v>3253</v>
      </c>
      <c r="B1137" s="146">
        <v>514092</v>
      </c>
      <c r="C1137" s="147" t="s">
        <v>3254</v>
      </c>
      <c r="D1137" s="146" t="s">
        <v>553</v>
      </c>
      <c r="E1137" s="147" t="s">
        <v>3104</v>
      </c>
      <c r="F1137" s="147" t="s">
        <v>3255</v>
      </c>
      <c r="G1137" s="146" t="s">
        <v>102</v>
      </c>
      <c r="H1137" s="146" t="s">
        <v>50</v>
      </c>
      <c r="I1137" s="147" t="s">
        <v>1532</v>
      </c>
      <c r="J1137" s="147" t="s">
        <v>104</v>
      </c>
      <c r="K1137" s="148" t="s">
        <v>121</v>
      </c>
      <c r="L1137" s="149">
        <v>46142</v>
      </c>
      <c r="M1137" s="148"/>
    </row>
    <row r="1138" spans="1:13" ht="15" customHeight="1">
      <c r="A1138" s="142" t="s">
        <v>3256</v>
      </c>
      <c r="B1138" s="142">
        <v>515340</v>
      </c>
      <c r="C1138" s="143" t="s">
        <v>3257</v>
      </c>
      <c r="D1138" s="142" t="s">
        <v>553</v>
      </c>
      <c r="E1138" s="143" t="s">
        <v>3010</v>
      </c>
      <c r="F1138" s="143" t="s">
        <v>1422</v>
      </c>
      <c r="G1138" s="142" t="s">
        <v>109</v>
      </c>
      <c r="H1138" s="142" t="s">
        <v>50</v>
      </c>
      <c r="I1138" s="143" t="s">
        <v>1532</v>
      </c>
      <c r="J1138" s="143" t="s">
        <v>104</v>
      </c>
      <c r="K1138" s="144" t="s">
        <v>121</v>
      </c>
      <c r="L1138" s="145">
        <v>46150</v>
      </c>
      <c r="M1138" s="144"/>
    </row>
    <row r="1139" spans="1:13" ht="15" customHeight="1">
      <c r="A1139" s="146" t="s">
        <v>3258</v>
      </c>
      <c r="B1139" s="146">
        <v>514298</v>
      </c>
      <c r="C1139" s="147" t="s">
        <v>3259</v>
      </c>
      <c r="D1139" s="146" t="s">
        <v>553</v>
      </c>
      <c r="E1139" s="147" t="s">
        <v>2971</v>
      </c>
      <c r="F1139" s="147" t="s">
        <v>3260</v>
      </c>
      <c r="G1139" s="146" t="s">
        <v>109</v>
      </c>
      <c r="H1139" s="146" t="s">
        <v>52</v>
      </c>
      <c r="I1139" s="147" t="s">
        <v>2927</v>
      </c>
      <c r="J1139" s="147" t="s">
        <v>104</v>
      </c>
      <c r="K1139" s="148"/>
      <c r="L1139" s="149"/>
      <c r="M1139" s="148"/>
    </row>
    <row r="1140" spans="1:13" ht="15" customHeight="1">
      <c r="A1140" s="142" t="s">
        <v>3261</v>
      </c>
      <c r="B1140" s="142">
        <v>514198</v>
      </c>
      <c r="C1140" s="143" t="s">
        <v>3262</v>
      </c>
      <c r="D1140" s="142" t="s">
        <v>553</v>
      </c>
      <c r="E1140" s="143" t="s">
        <v>3154</v>
      </c>
      <c r="F1140" s="143" t="s">
        <v>3263</v>
      </c>
      <c r="G1140" s="142" t="s">
        <v>109</v>
      </c>
      <c r="H1140" s="142" t="s">
        <v>50</v>
      </c>
      <c r="I1140" s="143" t="s">
        <v>1532</v>
      </c>
      <c r="J1140" s="143" t="s">
        <v>104</v>
      </c>
      <c r="K1140" s="144" t="s">
        <v>121</v>
      </c>
      <c r="L1140" s="145">
        <v>46148</v>
      </c>
      <c r="M1140" s="144"/>
    </row>
    <row r="1141" spans="1:13" ht="15" customHeight="1">
      <c r="A1141" s="146" t="s">
        <v>3264</v>
      </c>
      <c r="B1141" s="146">
        <v>516966</v>
      </c>
      <c r="C1141" s="147" t="s">
        <v>3265</v>
      </c>
      <c r="D1141" s="146" t="s">
        <v>553</v>
      </c>
      <c r="E1141" s="147" t="s">
        <v>2944</v>
      </c>
      <c r="F1141" s="147" t="s">
        <v>3266</v>
      </c>
      <c r="G1141" s="146" t="s">
        <v>109</v>
      </c>
      <c r="H1141" s="146" t="s">
        <v>53</v>
      </c>
      <c r="I1141" s="147" t="s">
        <v>1184</v>
      </c>
      <c r="J1141" s="147" t="s">
        <v>104</v>
      </c>
      <c r="K1141" s="148"/>
      <c r="L1141" s="149"/>
      <c r="M1141" s="148"/>
    </row>
    <row r="1142" spans="1:13" ht="15" customHeight="1">
      <c r="A1142" s="142" t="s">
        <v>3267</v>
      </c>
      <c r="B1142" s="142">
        <v>514131</v>
      </c>
      <c r="C1142" s="143" t="s">
        <v>3268</v>
      </c>
      <c r="D1142" s="142" t="s">
        <v>553</v>
      </c>
      <c r="E1142" s="143" t="s">
        <v>3064</v>
      </c>
      <c r="F1142" s="143" t="s">
        <v>3269</v>
      </c>
      <c r="G1142" s="142" t="s">
        <v>102</v>
      </c>
      <c r="H1142" s="142" t="s">
        <v>50</v>
      </c>
      <c r="I1142" s="143" t="s">
        <v>1532</v>
      </c>
      <c r="J1142" s="143" t="s">
        <v>104</v>
      </c>
      <c r="K1142" s="144" t="s">
        <v>121</v>
      </c>
      <c r="L1142" s="145">
        <v>46149</v>
      </c>
      <c r="M1142" s="144"/>
    </row>
    <row r="1143" spans="1:13" ht="15" customHeight="1">
      <c r="A1143" s="146" t="s">
        <v>3270</v>
      </c>
      <c r="B1143" s="146">
        <v>514151</v>
      </c>
      <c r="C1143" s="147" t="s">
        <v>3271</v>
      </c>
      <c r="D1143" s="146" t="s">
        <v>553</v>
      </c>
      <c r="E1143" s="147" t="s">
        <v>2936</v>
      </c>
      <c r="F1143" s="147" t="s">
        <v>3272</v>
      </c>
      <c r="G1143" s="146" t="s">
        <v>109</v>
      </c>
      <c r="H1143" s="146" t="s">
        <v>50</v>
      </c>
      <c r="I1143" s="147" t="s">
        <v>1532</v>
      </c>
      <c r="J1143" s="147" t="s">
        <v>104</v>
      </c>
      <c r="K1143" s="148" t="s">
        <v>121</v>
      </c>
      <c r="L1143" s="149">
        <v>46148</v>
      </c>
      <c r="M1143" s="148"/>
    </row>
    <row r="1144" spans="1:13" ht="15" customHeight="1">
      <c r="A1144" s="142" t="s">
        <v>3273</v>
      </c>
      <c r="B1144" s="142">
        <v>519695</v>
      </c>
      <c r="C1144" s="143" t="s">
        <v>3274</v>
      </c>
      <c r="D1144" s="142" t="s">
        <v>553</v>
      </c>
      <c r="E1144" s="143" t="s">
        <v>3243</v>
      </c>
      <c r="F1144" s="143" t="s">
        <v>2394</v>
      </c>
      <c r="G1144" s="142" t="s">
        <v>109</v>
      </c>
      <c r="H1144" s="142" t="s">
        <v>53</v>
      </c>
      <c r="I1144" s="143" t="s">
        <v>1184</v>
      </c>
      <c r="J1144" s="143" t="s">
        <v>104</v>
      </c>
      <c r="K1144" s="144"/>
      <c r="L1144" s="145"/>
      <c r="M1144" s="144"/>
    </row>
    <row r="1145" spans="1:13" ht="15" customHeight="1">
      <c r="A1145" s="146" t="s">
        <v>3275</v>
      </c>
      <c r="B1145" s="146">
        <v>514236</v>
      </c>
      <c r="C1145" s="147" t="s">
        <v>3276</v>
      </c>
      <c r="D1145" s="146" t="s">
        <v>553</v>
      </c>
      <c r="E1145" s="147" t="s">
        <v>3052</v>
      </c>
      <c r="F1145" s="147" t="s">
        <v>3277</v>
      </c>
      <c r="G1145" s="146" t="s">
        <v>109</v>
      </c>
      <c r="H1145" s="146" t="s">
        <v>53</v>
      </c>
      <c r="I1145" s="147" t="s">
        <v>1184</v>
      </c>
      <c r="J1145" s="147" t="s">
        <v>104</v>
      </c>
      <c r="K1145" s="148"/>
      <c r="L1145" s="149"/>
      <c r="M1145" s="148"/>
    </row>
    <row r="1146" spans="1:13" ht="15" customHeight="1">
      <c r="A1146" s="142" t="s">
        <v>3278</v>
      </c>
      <c r="B1146" s="142">
        <v>517578</v>
      </c>
      <c r="C1146" s="143" t="s">
        <v>3279</v>
      </c>
      <c r="D1146" s="142" t="s">
        <v>553</v>
      </c>
      <c r="E1146" s="143" t="s">
        <v>3173</v>
      </c>
      <c r="F1146" s="143" t="s">
        <v>3280</v>
      </c>
      <c r="G1146" s="142" t="s">
        <v>109</v>
      </c>
      <c r="H1146" s="142" t="s">
        <v>52</v>
      </c>
      <c r="I1146" s="143" t="s">
        <v>2927</v>
      </c>
      <c r="J1146" s="143" t="s">
        <v>104</v>
      </c>
      <c r="K1146" s="144"/>
      <c r="L1146" s="145"/>
      <c r="M1146" s="144"/>
    </row>
    <row r="1147" spans="1:13" ht="15" customHeight="1">
      <c r="A1147" s="146" t="s">
        <v>3281</v>
      </c>
      <c r="B1147" s="146">
        <v>514262</v>
      </c>
      <c r="C1147" s="147" t="s">
        <v>3282</v>
      </c>
      <c r="D1147" s="146" t="s">
        <v>553</v>
      </c>
      <c r="E1147" s="147" t="s">
        <v>2954</v>
      </c>
      <c r="F1147" s="147" t="s">
        <v>3283</v>
      </c>
      <c r="G1147" s="146" t="s">
        <v>109</v>
      </c>
      <c r="H1147" s="146" t="s">
        <v>53</v>
      </c>
      <c r="I1147" s="147" t="s">
        <v>1184</v>
      </c>
      <c r="J1147" s="147" t="s">
        <v>104</v>
      </c>
      <c r="K1147" s="148"/>
      <c r="L1147" s="149"/>
      <c r="M1147" s="148"/>
    </row>
    <row r="1148" spans="1:13" ht="15" customHeight="1">
      <c r="A1148" s="142" t="s">
        <v>3284</v>
      </c>
      <c r="B1148" s="142">
        <v>514154</v>
      </c>
      <c r="C1148" s="143" t="s">
        <v>3285</v>
      </c>
      <c r="D1148" s="142" t="s">
        <v>553</v>
      </c>
      <c r="E1148" s="143" t="s">
        <v>3010</v>
      </c>
      <c r="F1148" s="143" t="s">
        <v>527</v>
      </c>
      <c r="G1148" s="142" t="s">
        <v>102</v>
      </c>
      <c r="H1148" s="142" t="s">
        <v>50</v>
      </c>
      <c r="I1148" s="143" t="s">
        <v>1532</v>
      </c>
      <c r="J1148" s="143" t="s">
        <v>104</v>
      </c>
      <c r="K1148" s="144" t="s">
        <v>121</v>
      </c>
      <c r="L1148" s="145">
        <v>46149</v>
      </c>
      <c r="M1148" s="144"/>
    </row>
    <row r="1149" spans="1:13" ht="15" customHeight="1">
      <c r="A1149" s="146" t="s">
        <v>3286</v>
      </c>
      <c r="B1149" s="146">
        <v>514291</v>
      </c>
      <c r="C1149" s="147" t="s">
        <v>3287</v>
      </c>
      <c r="D1149" s="146" t="s">
        <v>553</v>
      </c>
      <c r="E1149" s="147" t="s">
        <v>2944</v>
      </c>
      <c r="F1149" s="147" t="s">
        <v>3288</v>
      </c>
      <c r="G1149" s="146" t="s">
        <v>109</v>
      </c>
      <c r="H1149" s="146" t="s">
        <v>53</v>
      </c>
      <c r="I1149" s="147" t="s">
        <v>1184</v>
      </c>
      <c r="J1149" s="147" t="s">
        <v>104</v>
      </c>
      <c r="K1149" s="148"/>
      <c r="L1149" s="149"/>
      <c r="M1149" s="148"/>
    </row>
    <row r="1150" spans="1:13" ht="15" customHeight="1">
      <c r="A1150" s="142" t="s">
        <v>3289</v>
      </c>
      <c r="B1150" s="142">
        <v>519546</v>
      </c>
      <c r="C1150" s="143" t="s">
        <v>2712</v>
      </c>
      <c r="D1150" s="142" t="s">
        <v>553</v>
      </c>
      <c r="E1150" s="143" t="s">
        <v>2926</v>
      </c>
      <c r="F1150" s="143" t="s">
        <v>3290</v>
      </c>
      <c r="G1150" s="142" t="s">
        <v>109</v>
      </c>
      <c r="H1150" s="142" t="s">
        <v>53</v>
      </c>
      <c r="I1150" s="143" t="s">
        <v>1184</v>
      </c>
      <c r="J1150" s="143" t="s">
        <v>104</v>
      </c>
      <c r="K1150" s="144"/>
      <c r="L1150" s="145"/>
      <c r="M1150" s="144"/>
    </row>
    <row r="1151" spans="1:13" ht="15" customHeight="1">
      <c r="A1151" s="146" t="s">
        <v>3291</v>
      </c>
      <c r="B1151" s="146">
        <v>514276</v>
      </c>
      <c r="C1151" s="147" t="s">
        <v>3292</v>
      </c>
      <c r="D1151" s="146" t="s">
        <v>553</v>
      </c>
      <c r="E1151" s="147" t="s">
        <v>3018</v>
      </c>
      <c r="F1151" s="147" t="s">
        <v>3293</v>
      </c>
      <c r="G1151" s="146" t="s">
        <v>109</v>
      </c>
      <c r="H1151" s="146" t="s">
        <v>53</v>
      </c>
      <c r="I1151" s="147" t="s">
        <v>1184</v>
      </c>
      <c r="J1151" s="147" t="s">
        <v>104</v>
      </c>
      <c r="K1151" s="148"/>
      <c r="L1151" s="149"/>
      <c r="M1151" s="148"/>
    </row>
    <row r="1152" spans="1:13" ht="15" customHeight="1">
      <c r="A1152" s="142" t="s">
        <v>3294</v>
      </c>
      <c r="B1152" s="142">
        <v>514122</v>
      </c>
      <c r="C1152" s="143" t="s">
        <v>3295</v>
      </c>
      <c r="D1152" s="142" t="s">
        <v>553</v>
      </c>
      <c r="E1152" s="143" t="s">
        <v>3223</v>
      </c>
      <c r="F1152" s="143" t="s">
        <v>3223</v>
      </c>
      <c r="G1152" s="142" t="s">
        <v>102</v>
      </c>
      <c r="H1152" s="142" t="s">
        <v>53</v>
      </c>
      <c r="I1152" s="143" t="s">
        <v>1184</v>
      </c>
      <c r="J1152" s="143" t="s">
        <v>104</v>
      </c>
      <c r="K1152" s="144"/>
      <c r="L1152" s="145"/>
      <c r="M1152" s="144"/>
    </row>
    <row r="1153" spans="1:13" ht="15" customHeight="1">
      <c r="A1153" s="146" t="s">
        <v>3296</v>
      </c>
      <c r="B1153" s="146">
        <v>514252</v>
      </c>
      <c r="C1153" s="147" t="s">
        <v>3297</v>
      </c>
      <c r="D1153" s="146" t="s">
        <v>553</v>
      </c>
      <c r="E1153" s="147" t="s">
        <v>3018</v>
      </c>
      <c r="F1153" s="147" t="s">
        <v>3019</v>
      </c>
      <c r="G1153" s="146" t="s">
        <v>109</v>
      </c>
      <c r="H1153" s="146" t="s">
        <v>53</v>
      </c>
      <c r="I1153" s="147" t="s">
        <v>1184</v>
      </c>
      <c r="J1153" s="147" t="s">
        <v>104</v>
      </c>
      <c r="K1153" s="148"/>
      <c r="L1153" s="149"/>
      <c r="M1153" s="148"/>
    </row>
    <row r="1154" spans="1:13" ht="15" customHeight="1">
      <c r="A1154" s="142" t="s">
        <v>3298</v>
      </c>
      <c r="B1154" s="142">
        <v>514129</v>
      </c>
      <c r="C1154" s="143" t="s">
        <v>3299</v>
      </c>
      <c r="D1154" s="142" t="s">
        <v>553</v>
      </c>
      <c r="E1154" s="143" t="s">
        <v>3018</v>
      </c>
      <c r="F1154" s="143" t="s">
        <v>3299</v>
      </c>
      <c r="G1154" s="142" t="s">
        <v>109</v>
      </c>
      <c r="H1154" s="142" t="s">
        <v>53</v>
      </c>
      <c r="I1154" s="143" t="s">
        <v>1184</v>
      </c>
      <c r="J1154" s="143" t="s">
        <v>104</v>
      </c>
      <c r="K1154" s="144"/>
      <c r="L1154" s="145"/>
      <c r="M1154" s="144"/>
    </row>
    <row r="1155" spans="1:13" ht="15" customHeight="1">
      <c r="A1155" s="146" t="s">
        <v>3300</v>
      </c>
      <c r="B1155" s="146">
        <v>514193</v>
      </c>
      <c r="C1155" s="147" t="s">
        <v>3301</v>
      </c>
      <c r="D1155" s="146" t="s">
        <v>553</v>
      </c>
      <c r="E1155" s="147" t="s">
        <v>2944</v>
      </c>
      <c r="F1155" s="147" t="s">
        <v>3021</v>
      </c>
      <c r="G1155" s="146" t="s">
        <v>109</v>
      </c>
      <c r="H1155" s="146" t="s">
        <v>53</v>
      </c>
      <c r="I1155" s="147" t="s">
        <v>1184</v>
      </c>
      <c r="J1155" s="147" t="s">
        <v>104</v>
      </c>
      <c r="K1155" s="148"/>
      <c r="L1155" s="149"/>
      <c r="M1155" s="148"/>
    </row>
    <row r="1156" spans="1:13" ht="15" customHeight="1">
      <c r="A1156" s="142" t="s">
        <v>3302</v>
      </c>
      <c r="B1156" s="142">
        <v>514149</v>
      </c>
      <c r="C1156" s="143" t="s">
        <v>3303</v>
      </c>
      <c r="D1156" s="142" t="s">
        <v>553</v>
      </c>
      <c r="E1156" s="143" t="s">
        <v>2922</v>
      </c>
      <c r="F1156" s="143" t="s">
        <v>3303</v>
      </c>
      <c r="G1156" s="142" t="s">
        <v>109</v>
      </c>
      <c r="H1156" s="142" t="s">
        <v>50</v>
      </c>
      <c r="I1156" s="143" t="s">
        <v>1532</v>
      </c>
      <c r="J1156" s="143" t="s">
        <v>104</v>
      </c>
      <c r="K1156" s="144" t="s">
        <v>121</v>
      </c>
      <c r="L1156" s="145">
        <v>46149</v>
      </c>
      <c r="M1156" s="144"/>
    </row>
    <row r="1157" spans="1:13" ht="15" customHeight="1">
      <c r="A1157" s="146" t="s">
        <v>3304</v>
      </c>
      <c r="B1157" s="146">
        <v>515341</v>
      </c>
      <c r="C1157" s="147" t="s">
        <v>3305</v>
      </c>
      <c r="D1157" s="146" t="s">
        <v>553</v>
      </c>
      <c r="E1157" s="147" t="s">
        <v>3163</v>
      </c>
      <c r="F1157" s="147" t="s">
        <v>3306</v>
      </c>
      <c r="G1157" s="146" t="s">
        <v>109</v>
      </c>
      <c r="H1157" s="146" t="s">
        <v>50</v>
      </c>
      <c r="I1157" s="147" t="s">
        <v>1532</v>
      </c>
      <c r="J1157" s="147" t="s">
        <v>104</v>
      </c>
      <c r="K1157" s="148" t="s">
        <v>121</v>
      </c>
      <c r="L1157" s="149">
        <v>46150</v>
      </c>
      <c r="M1157" s="148"/>
    </row>
    <row r="1158" spans="1:13" ht="15" customHeight="1">
      <c r="A1158" s="142" t="s">
        <v>3307</v>
      </c>
      <c r="B1158" s="142">
        <v>514226</v>
      </c>
      <c r="C1158" s="143" t="s">
        <v>1579</v>
      </c>
      <c r="D1158" s="142" t="s">
        <v>553</v>
      </c>
      <c r="E1158" s="143" t="s">
        <v>3032</v>
      </c>
      <c r="F1158" s="143" t="s">
        <v>3308</v>
      </c>
      <c r="G1158" s="142" t="s">
        <v>109</v>
      </c>
      <c r="H1158" s="142" t="s">
        <v>53</v>
      </c>
      <c r="I1158" s="143" t="s">
        <v>1110</v>
      </c>
      <c r="J1158" s="143" t="s">
        <v>104</v>
      </c>
      <c r="K1158" s="144"/>
      <c r="L1158" s="145"/>
      <c r="M1158" s="144"/>
    </row>
    <row r="1159" spans="1:13" ht="15" customHeight="1">
      <c r="A1159" s="146" t="s">
        <v>3309</v>
      </c>
      <c r="B1159" s="146">
        <v>514239</v>
      </c>
      <c r="C1159" s="147" t="s">
        <v>3310</v>
      </c>
      <c r="D1159" s="146" t="s">
        <v>553</v>
      </c>
      <c r="E1159" s="147" t="s">
        <v>3025</v>
      </c>
      <c r="F1159" s="147" t="s">
        <v>3157</v>
      </c>
      <c r="G1159" s="146" t="s">
        <v>109</v>
      </c>
      <c r="H1159" s="146" t="s">
        <v>53</v>
      </c>
      <c r="I1159" s="147" t="s">
        <v>1110</v>
      </c>
      <c r="J1159" s="147" t="s">
        <v>104</v>
      </c>
      <c r="K1159" s="148"/>
      <c r="L1159" s="149"/>
      <c r="M1159" s="148"/>
    </row>
    <row r="1160" spans="1:13" ht="15" customHeight="1">
      <c r="A1160" s="142" t="s">
        <v>3311</v>
      </c>
      <c r="B1160" s="142">
        <v>514161</v>
      </c>
      <c r="C1160" s="143" t="s">
        <v>3312</v>
      </c>
      <c r="D1160" s="142" t="s">
        <v>553</v>
      </c>
      <c r="E1160" s="143" t="s">
        <v>3025</v>
      </c>
      <c r="F1160" s="143" t="s">
        <v>3313</v>
      </c>
      <c r="G1160" s="142" t="s">
        <v>109</v>
      </c>
      <c r="H1160" s="142" t="s">
        <v>53</v>
      </c>
      <c r="I1160" s="143" t="s">
        <v>1184</v>
      </c>
      <c r="J1160" s="143" t="s">
        <v>104</v>
      </c>
      <c r="K1160" s="144"/>
      <c r="L1160" s="145"/>
      <c r="M1160" s="144"/>
    </row>
    <row r="1161" spans="1:13" ht="15" customHeight="1">
      <c r="A1161" s="146" t="s">
        <v>3314</v>
      </c>
      <c r="B1161" s="146">
        <v>514263</v>
      </c>
      <c r="C1161" s="147" t="s">
        <v>3315</v>
      </c>
      <c r="D1161" s="146" t="s">
        <v>553</v>
      </c>
      <c r="E1161" s="147" t="s">
        <v>2992</v>
      </c>
      <c r="F1161" s="147" t="s">
        <v>3315</v>
      </c>
      <c r="G1161" s="146" t="s">
        <v>109</v>
      </c>
      <c r="H1161" s="146" t="s">
        <v>53</v>
      </c>
      <c r="I1161" s="147" t="s">
        <v>1184</v>
      </c>
      <c r="J1161" s="147" t="s">
        <v>104</v>
      </c>
      <c r="K1161" s="148" t="s">
        <v>121</v>
      </c>
      <c r="L1161" s="149">
        <v>46149</v>
      </c>
      <c r="M1161" s="148"/>
    </row>
    <row r="1162" spans="1:13" ht="15" customHeight="1">
      <c r="A1162" s="142" t="s">
        <v>3316</v>
      </c>
      <c r="B1162" s="142">
        <v>514221</v>
      </c>
      <c r="C1162" s="143" t="s">
        <v>3317</v>
      </c>
      <c r="D1162" s="142" t="s">
        <v>553</v>
      </c>
      <c r="E1162" s="143" t="s">
        <v>2940</v>
      </c>
      <c r="F1162" s="143" t="s">
        <v>3280</v>
      </c>
      <c r="G1162" s="142" t="s">
        <v>109</v>
      </c>
      <c r="H1162" s="142" t="s">
        <v>50</v>
      </c>
      <c r="I1162" s="143" t="s">
        <v>1532</v>
      </c>
      <c r="J1162" s="143" t="s">
        <v>104</v>
      </c>
      <c r="K1162" s="144" t="s">
        <v>121</v>
      </c>
      <c r="L1162" s="145">
        <v>46148</v>
      </c>
      <c r="M1162" s="144"/>
    </row>
    <row r="1163" spans="1:13" ht="15" customHeight="1">
      <c r="A1163" s="146" t="s">
        <v>3318</v>
      </c>
      <c r="B1163" s="146">
        <v>521630</v>
      </c>
      <c r="C1163" s="147" t="s">
        <v>3319</v>
      </c>
      <c r="D1163" s="146" t="s">
        <v>553</v>
      </c>
      <c r="E1163" s="147" t="s">
        <v>3320</v>
      </c>
      <c r="F1163" s="147" t="s">
        <v>3320</v>
      </c>
      <c r="G1163" s="146" t="s">
        <v>109</v>
      </c>
      <c r="H1163" s="146" t="s">
        <v>53</v>
      </c>
      <c r="I1163" s="147" t="s">
        <v>1184</v>
      </c>
      <c r="J1163" s="147" t="s">
        <v>104</v>
      </c>
      <c r="K1163" s="148"/>
      <c r="L1163" s="149"/>
      <c r="M1163" s="148"/>
    </row>
    <row r="1164" spans="1:13" ht="15" customHeight="1">
      <c r="A1164" s="142" t="s">
        <v>3321</v>
      </c>
      <c r="B1164" s="142">
        <v>515279</v>
      </c>
      <c r="C1164" s="143" t="s">
        <v>3322</v>
      </c>
      <c r="D1164" s="142" t="s">
        <v>553</v>
      </c>
      <c r="E1164" s="143" t="s">
        <v>3323</v>
      </c>
      <c r="F1164" s="143" t="s">
        <v>3322</v>
      </c>
      <c r="G1164" s="142" t="s">
        <v>109</v>
      </c>
      <c r="H1164" s="142" t="s">
        <v>50</v>
      </c>
      <c r="I1164" s="143" t="s">
        <v>1532</v>
      </c>
      <c r="J1164" s="143" t="s">
        <v>104</v>
      </c>
      <c r="K1164" s="144"/>
      <c r="L1164" s="145"/>
      <c r="M1164" s="144"/>
    </row>
    <row r="1165" spans="1:13" ht="15" customHeight="1">
      <c r="A1165" s="146" t="s">
        <v>3324</v>
      </c>
      <c r="B1165" s="146">
        <v>514200</v>
      </c>
      <c r="C1165" s="147" t="s">
        <v>3325</v>
      </c>
      <c r="D1165" s="146" t="s">
        <v>553</v>
      </c>
      <c r="E1165" s="147" t="s">
        <v>3083</v>
      </c>
      <c r="F1165" s="147" t="s">
        <v>3084</v>
      </c>
      <c r="G1165" s="146" t="s">
        <v>109</v>
      </c>
      <c r="H1165" s="146" t="s">
        <v>52</v>
      </c>
      <c r="I1165" s="147" t="s">
        <v>2927</v>
      </c>
      <c r="J1165" s="147" t="s">
        <v>104</v>
      </c>
      <c r="K1165" s="148"/>
      <c r="L1165" s="149"/>
      <c r="M1165" s="148"/>
    </row>
    <row r="1166" spans="1:13" ht="15" customHeight="1">
      <c r="A1166" s="142" t="s">
        <v>3326</v>
      </c>
      <c r="B1166" s="142">
        <v>514204</v>
      </c>
      <c r="C1166" s="143" t="s">
        <v>3327</v>
      </c>
      <c r="D1166" s="142" t="s">
        <v>553</v>
      </c>
      <c r="E1166" s="143" t="s">
        <v>3328</v>
      </c>
      <c r="F1166" s="143" t="s">
        <v>3327</v>
      </c>
      <c r="G1166" s="142" t="s">
        <v>109</v>
      </c>
      <c r="H1166" s="142" t="s">
        <v>50</v>
      </c>
      <c r="I1166" s="143" t="s">
        <v>1532</v>
      </c>
      <c r="J1166" s="143" t="s">
        <v>104</v>
      </c>
      <c r="K1166" s="144" t="s">
        <v>121</v>
      </c>
      <c r="L1166" s="145">
        <v>46149</v>
      </c>
      <c r="M1166" s="144"/>
    </row>
    <row r="1167" spans="1:13" ht="15" customHeight="1">
      <c r="A1167" s="146" t="s">
        <v>3329</v>
      </c>
      <c r="B1167" s="146">
        <v>514286</v>
      </c>
      <c r="C1167" s="147" t="s">
        <v>3330</v>
      </c>
      <c r="D1167" s="146" t="s">
        <v>553</v>
      </c>
      <c r="E1167" s="147" t="s">
        <v>2982</v>
      </c>
      <c r="F1167" s="147" t="s">
        <v>2721</v>
      </c>
      <c r="G1167" s="146" t="s">
        <v>109</v>
      </c>
      <c r="H1167" s="146" t="s">
        <v>50</v>
      </c>
      <c r="I1167" s="147" t="s">
        <v>1532</v>
      </c>
      <c r="J1167" s="147" t="s">
        <v>104</v>
      </c>
      <c r="K1167" s="148" t="s">
        <v>121</v>
      </c>
      <c r="L1167" s="149">
        <v>46148</v>
      </c>
      <c r="M1167" s="148"/>
    </row>
    <row r="1168" spans="1:13" ht="15" customHeight="1">
      <c r="A1168" s="142" t="s">
        <v>3331</v>
      </c>
      <c r="B1168" s="142">
        <v>521635</v>
      </c>
      <c r="C1168" s="143" t="s">
        <v>3332</v>
      </c>
      <c r="D1168" s="142" t="s">
        <v>553</v>
      </c>
      <c r="E1168" s="143" t="s">
        <v>3007</v>
      </c>
      <c r="F1168" s="143" t="s">
        <v>3332</v>
      </c>
      <c r="G1168" s="142" t="s">
        <v>102</v>
      </c>
      <c r="H1168" s="142" t="s">
        <v>50</v>
      </c>
      <c r="I1168" s="143" t="s">
        <v>1532</v>
      </c>
      <c r="J1168" s="143" t="s">
        <v>104</v>
      </c>
      <c r="K1168" s="144" t="s">
        <v>121</v>
      </c>
      <c r="L1168" s="145">
        <v>46153</v>
      </c>
      <c r="M1168" s="144"/>
    </row>
    <row r="1169" spans="1:13" ht="15" customHeight="1">
      <c r="A1169" s="146" t="s">
        <v>3333</v>
      </c>
      <c r="B1169" s="146">
        <v>514178</v>
      </c>
      <c r="C1169" s="147" t="s">
        <v>3334</v>
      </c>
      <c r="D1169" s="146" t="s">
        <v>553</v>
      </c>
      <c r="E1169" s="147" t="s">
        <v>3335</v>
      </c>
      <c r="F1169" s="147" t="s">
        <v>3336</v>
      </c>
      <c r="G1169" s="146" t="s">
        <v>109</v>
      </c>
      <c r="H1169" s="146" t="s">
        <v>50</v>
      </c>
      <c r="I1169" s="147" t="s">
        <v>1532</v>
      </c>
      <c r="J1169" s="147" t="s">
        <v>104</v>
      </c>
      <c r="K1169" s="148"/>
      <c r="L1169" s="149"/>
      <c r="M1169" s="148"/>
    </row>
    <row r="1170" spans="1:13" ht="15" customHeight="1">
      <c r="A1170" s="142" t="s">
        <v>3337</v>
      </c>
      <c r="B1170" s="142">
        <v>514179</v>
      </c>
      <c r="C1170" s="143" t="s">
        <v>3338</v>
      </c>
      <c r="D1170" s="142" t="s">
        <v>553</v>
      </c>
      <c r="E1170" s="143" t="s">
        <v>3335</v>
      </c>
      <c r="F1170" s="143" t="s">
        <v>3338</v>
      </c>
      <c r="G1170" s="142" t="s">
        <v>109</v>
      </c>
      <c r="H1170" s="142" t="s">
        <v>50</v>
      </c>
      <c r="I1170" s="143" t="s">
        <v>1532</v>
      </c>
      <c r="J1170" s="143" t="s">
        <v>104</v>
      </c>
      <c r="K1170" s="144"/>
      <c r="L1170" s="145"/>
      <c r="M1170" s="144"/>
    </row>
    <row r="1171" spans="1:13" ht="15" customHeight="1">
      <c r="A1171" s="146" t="s">
        <v>3339</v>
      </c>
      <c r="B1171" s="146">
        <v>519643</v>
      </c>
      <c r="C1171" s="147" t="s">
        <v>3340</v>
      </c>
      <c r="D1171" s="146" t="s">
        <v>553</v>
      </c>
      <c r="E1171" s="147" t="s">
        <v>3154</v>
      </c>
      <c r="F1171" s="147" t="s">
        <v>3341</v>
      </c>
      <c r="G1171" s="146" t="s">
        <v>109</v>
      </c>
      <c r="H1171" s="146" t="s">
        <v>52</v>
      </c>
      <c r="I1171" s="147" t="s">
        <v>2927</v>
      </c>
      <c r="J1171" s="147" t="s">
        <v>104</v>
      </c>
      <c r="K1171" s="148"/>
      <c r="L1171" s="149"/>
      <c r="M1171" s="148"/>
    </row>
    <row r="1172" spans="1:13" ht="15" customHeight="1">
      <c r="A1172" s="142" t="s">
        <v>3342</v>
      </c>
      <c r="B1172" s="142">
        <v>514297</v>
      </c>
      <c r="C1172" s="143" t="s">
        <v>3343</v>
      </c>
      <c r="D1172" s="142" t="s">
        <v>553</v>
      </c>
      <c r="E1172" s="143" t="s">
        <v>2965</v>
      </c>
      <c r="F1172" s="143" t="s">
        <v>3344</v>
      </c>
      <c r="G1172" s="142" t="s">
        <v>109</v>
      </c>
      <c r="H1172" s="142" t="s">
        <v>53</v>
      </c>
      <c r="I1172" s="143" t="s">
        <v>1184</v>
      </c>
      <c r="J1172" s="143" t="s">
        <v>104</v>
      </c>
      <c r="K1172" s="144"/>
      <c r="L1172" s="145"/>
      <c r="M1172" s="144"/>
    </row>
    <row r="1173" spans="1:13" ht="15" customHeight="1">
      <c r="A1173" s="146" t="s">
        <v>3345</v>
      </c>
      <c r="B1173" s="146">
        <v>515310</v>
      </c>
      <c r="C1173" s="147" t="s">
        <v>3346</v>
      </c>
      <c r="D1173" s="146" t="s">
        <v>553</v>
      </c>
      <c r="E1173" s="147" t="s">
        <v>3028</v>
      </c>
      <c r="F1173" s="147" t="s">
        <v>3346</v>
      </c>
      <c r="G1173" s="146" t="s">
        <v>109</v>
      </c>
      <c r="H1173" s="146" t="s">
        <v>50</v>
      </c>
      <c r="I1173" s="147" t="s">
        <v>1532</v>
      </c>
      <c r="J1173" s="147" t="s">
        <v>104</v>
      </c>
      <c r="K1173" s="148" t="s">
        <v>121</v>
      </c>
      <c r="L1173" s="149">
        <v>46142</v>
      </c>
      <c r="M1173" s="148"/>
    </row>
    <row r="1174" spans="1:13" ht="15" customHeight="1">
      <c r="A1174" s="142" t="s">
        <v>3347</v>
      </c>
      <c r="B1174" s="142">
        <v>514107</v>
      </c>
      <c r="C1174" s="143" t="s">
        <v>3348</v>
      </c>
      <c r="D1174" s="142" t="s">
        <v>553</v>
      </c>
      <c r="E1174" s="143" t="s">
        <v>2926</v>
      </c>
      <c r="F1174" s="143" t="s">
        <v>3348</v>
      </c>
      <c r="G1174" s="142" t="s">
        <v>109</v>
      </c>
      <c r="H1174" s="142" t="s">
        <v>52</v>
      </c>
      <c r="I1174" s="143" t="s">
        <v>2927</v>
      </c>
      <c r="J1174" s="143" t="s">
        <v>104</v>
      </c>
      <c r="K1174" s="144"/>
      <c r="L1174" s="145"/>
      <c r="M1174" s="144"/>
    </row>
    <row r="1175" spans="1:13" ht="15" customHeight="1">
      <c r="A1175" s="146" t="s">
        <v>3349</v>
      </c>
      <c r="B1175" s="146">
        <v>514235</v>
      </c>
      <c r="C1175" s="147" t="s">
        <v>3350</v>
      </c>
      <c r="D1175" s="146" t="s">
        <v>553</v>
      </c>
      <c r="E1175" s="147" t="s">
        <v>3243</v>
      </c>
      <c r="F1175" s="147" t="s">
        <v>3351</v>
      </c>
      <c r="G1175" s="146" t="s">
        <v>109</v>
      </c>
      <c r="H1175" s="146" t="s">
        <v>53</v>
      </c>
      <c r="I1175" s="147" t="s">
        <v>1184</v>
      </c>
      <c r="J1175" s="147" t="s">
        <v>104</v>
      </c>
      <c r="K1175" s="148"/>
      <c r="L1175" s="149"/>
      <c r="M1175" s="148"/>
    </row>
    <row r="1176" spans="1:13" ht="15" customHeight="1">
      <c r="A1176" s="142" t="s">
        <v>3352</v>
      </c>
      <c r="B1176" s="142">
        <v>521695</v>
      </c>
      <c r="C1176" s="143" t="s">
        <v>3353</v>
      </c>
      <c r="D1176" s="142" t="s">
        <v>553</v>
      </c>
      <c r="E1176" s="143" t="s">
        <v>3130</v>
      </c>
      <c r="F1176" s="143" t="s">
        <v>3354</v>
      </c>
      <c r="G1176" s="142" t="s">
        <v>109</v>
      </c>
      <c r="H1176" s="142" t="s">
        <v>52</v>
      </c>
      <c r="I1176" s="143" t="s">
        <v>2927</v>
      </c>
      <c r="J1176" s="143" t="s">
        <v>104</v>
      </c>
      <c r="K1176" s="144"/>
      <c r="L1176" s="145"/>
      <c r="M1176" s="144"/>
    </row>
    <row r="1177" spans="1:13" ht="15" customHeight="1">
      <c r="A1177" s="146" t="s">
        <v>3355</v>
      </c>
      <c r="B1177" s="146">
        <v>515419</v>
      </c>
      <c r="C1177" s="147" t="s">
        <v>3356</v>
      </c>
      <c r="D1177" s="146" t="s">
        <v>553</v>
      </c>
      <c r="E1177" s="147" t="s">
        <v>3154</v>
      </c>
      <c r="F1177" s="147" t="s">
        <v>3357</v>
      </c>
      <c r="G1177" s="146" t="s">
        <v>109</v>
      </c>
      <c r="H1177" s="146" t="s">
        <v>53</v>
      </c>
      <c r="I1177" s="147" t="s">
        <v>1184</v>
      </c>
      <c r="J1177" s="147" t="s">
        <v>104</v>
      </c>
      <c r="K1177" s="148"/>
      <c r="L1177" s="149"/>
      <c r="M1177" s="148"/>
    </row>
    <row r="1178" spans="1:13" ht="15" customHeight="1">
      <c r="A1178" s="142" t="s">
        <v>3358</v>
      </c>
      <c r="B1178" s="142">
        <v>514202</v>
      </c>
      <c r="C1178" s="143" t="s">
        <v>3359</v>
      </c>
      <c r="D1178" s="142" t="s">
        <v>553</v>
      </c>
      <c r="E1178" s="143" t="s">
        <v>3360</v>
      </c>
      <c r="F1178" s="143" t="s">
        <v>3361</v>
      </c>
      <c r="G1178" s="142" t="s">
        <v>109</v>
      </c>
      <c r="H1178" s="142" t="s">
        <v>52</v>
      </c>
      <c r="I1178" s="143" t="s">
        <v>2927</v>
      </c>
      <c r="J1178" s="143" t="s">
        <v>104</v>
      </c>
      <c r="K1178" s="144" t="s">
        <v>121</v>
      </c>
      <c r="L1178" s="145">
        <v>46149</v>
      </c>
      <c r="M1178" s="144"/>
    </row>
    <row r="1179" spans="1:13" ht="15" customHeight="1">
      <c r="A1179" s="146" t="s">
        <v>3362</v>
      </c>
      <c r="B1179" s="146">
        <v>514118</v>
      </c>
      <c r="C1179" s="147" t="s">
        <v>3049</v>
      </c>
      <c r="D1179" s="146" t="s">
        <v>553</v>
      </c>
      <c r="E1179" s="147" t="s">
        <v>2954</v>
      </c>
      <c r="F1179" s="147" t="s">
        <v>3049</v>
      </c>
      <c r="G1179" s="146" t="s">
        <v>109</v>
      </c>
      <c r="H1179" s="146" t="s">
        <v>53</v>
      </c>
      <c r="I1179" s="147" t="s">
        <v>1184</v>
      </c>
      <c r="J1179" s="147" t="s">
        <v>104</v>
      </c>
      <c r="K1179" s="148"/>
      <c r="L1179" s="149"/>
      <c r="M1179" s="148"/>
    </row>
    <row r="1180" spans="1:13" ht="15" customHeight="1">
      <c r="A1180" s="142" t="s">
        <v>3363</v>
      </c>
      <c r="B1180" s="142">
        <v>514209</v>
      </c>
      <c r="C1180" s="143" t="s">
        <v>3364</v>
      </c>
      <c r="D1180" s="142" t="s">
        <v>553</v>
      </c>
      <c r="E1180" s="143" t="s">
        <v>3365</v>
      </c>
      <c r="F1180" s="143" t="s">
        <v>1238</v>
      </c>
      <c r="G1180" s="142" t="s">
        <v>109</v>
      </c>
      <c r="H1180" s="142" t="s">
        <v>53</v>
      </c>
      <c r="I1180" s="143" t="s">
        <v>1184</v>
      </c>
      <c r="J1180" s="143" t="s">
        <v>104</v>
      </c>
      <c r="K1180" s="144"/>
      <c r="L1180" s="145"/>
      <c r="M1180" s="144"/>
    </row>
    <row r="1181" spans="1:13" ht="15" customHeight="1">
      <c r="A1181" s="146" t="s">
        <v>3366</v>
      </c>
      <c r="B1181" s="146">
        <v>514248</v>
      </c>
      <c r="C1181" s="147" t="s">
        <v>3367</v>
      </c>
      <c r="D1181" s="146" t="s">
        <v>553</v>
      </c>
      <c r="E1181" s="147" t="s">
        <v>3048</v>
      </c>
      <c r="F1181" s="147" t="s">
        <v>3049</v>
      </c>
      <c r="G1181" s="146" t="s">
        <v>109</v>
      </c>
      <c r="H1181" s="146" t="s">
        <v>50</v>
      </c>
      <c r="I1181" s="147" t="s">
        <v>1532</v>
      </c>
      <c r="J1181" s="147" t="s">
        <v>104</v>
      </c>
      <c r="K1181" s="148" t="s">
        <v>121</v>
      </c>
      <c r="L1181" s="149">
        <v>46148</v>
      </c>
      <c r="M1181" s="148"/>
    </row>
    <row r="1182" spans="1:13" ht="15" customHeight="1">
      <c r="A1182" s="142" t="s">
        <v>3368</v>
      </c>
      <c r="B1182" s="142">
        <v>514570</v>
      </c>
      <c r="C1182" s="143" t="s">
        <v>3369</v>
      </c>
      <c r="D1182" s="142" t="s">
        <v>3370</v>
      </c>
      <c r="E1182" s="143" t="s">
        <v>3371</v>
      </c>
      <c r="F1182" s="143" t="s">
        <v>3372</v>
      </c>
      <c r="G1182" s="142" t="s">
        <v>102</v>
      </c>
      <c r="H1182" s="142" t="s">
        <v>53</v>
      </c>
      <c r="I1182" s="143" t="s">
        <v>1110</v>
      </c>
      <c r="J1182" s="143" t="s">
        <v>104</v>
      </c>
      <c r="K1182" s="144" t="s">
        <v>121</v>
      </c>
      <c r="L1182" s="145">
        <v>46135</v>
      </c>
      <c r="M1182" s="144"/>
    </row>
    <row r="1183" spans="1:13" ht="15" customHeight="1">
      <c r="A1183" s="146" t="s">
        <v>3373</v>
      </c>
      <c r="B1183" s="146">
        <v>515760</v>
      </c>
      <c r="C1183" s="147" t="s">
        <v>3374</v>
      </c>
      <c r="D1183" s="146" t="s">
        <v>3370</v>
      </c>
      <c r="E1183" s="147" t="s">
        <v>3375</v>
      </c>
      <c r="F1183" s="147" t="s">
        <v>3376</v>
      </c>
      <c r="G1183" s="146" t="s">
        <v>102</v>
      </c>
      <c r="H1183" s="146" t="s">
        <v>53</v>
      </c>
      <c r="I1183" s="147" t="s">
        <v>1184</v>
      </c>
      <c r="J1183" s="147" t="s">
        <v>104</v>
      </c>
      <c r="K1183" s="148"/>
      <c r="L1183" s="149"/>
      <c r="M1183" s="148"/>
    </row>
    <row r="1184" spans="1:13" ht="15" customHeight="1">
      <c r="A1184" s="142" t="s">
        <v>3377</v>
      </c>
      <c r="B1184" s="142">
        <v>514712</v>
      </c>
      <c r="C1184" s="143" t="s">
        <v>3378</v>
      </c>
      <c r="D1184" s="142" t="s">
        <v>3370</v>
      </c>
      <c r="E1184" s="143" t="s">
        <v>3379</v>
      </c>
      <c r="F1184" s="143" t="s">
        <v>2782</v>
      </c>
      <c r="G1184" s="142" t="s">
        <v>102</v>
      </c>
      <c r="H1184" s="142" t="s">
        <v>53</v>
      </c>
      <c r="I1184" s="143" t="s">
        <v>1110</v>
      </c>
      <c r="J1184" s="143" t="s">
        <v>104</v>
      </c>
      <c r="K1184" s="144"/>
      <c r="L1184" s="145"/>
      <c r="M1184" s="144"/>
    </row>
    <row r="1185" spans="1:13" ht="15" customHeight="1">
      <c r="A1185" s="146" t="s">
        <v>3380</v>
      </c>
      <c r="B1185" s="146">
        <v>515252</v>
      </c>
      <c r="C1185" s="147" t="s">
        <v>3381</v>
      </c>
      <c r="D1185" s="146" t="s">
        <v>3370</v>
      </c>
      <c r="E1185" s="147" t="s">
        <v>3382</v>
      </c>
      <c r="F1185" s="147" t="s">
        <v>1440</v>
      </c>
      <c r="G1185" s="146" t="s">
        <v>102</v>
      </c>
      <c r="H1185" s="146" t="s">
        <v>53</v>
      </c>
      <c r="I1185" s="147" t="s">
        <v>1184</v>
      </c>
      <c r="J1185" s="147" t="s">
        <v>104</v>
      </c>
      <c r="K1185" s="148"/>
      <c r="L1185" s="149"/>
      <c r="M1185" s="148"/>
    </row>
    <row r="1186" spans="1:13" ht="15" customHeight="1">
      <c r="A1186" s="142" t="s">
        <v>3383</v>
      </c>
      <c r="B1186" s="142">
        <v>515327</v>
      </c>
      <c r="C1186" s="143" t="s">
        <v>3384</v>
      </c>
      <c r="D1186" s="142" t="s">
        <v>3370</v>
      </c>
      <c r="E1186" s="143" t="s">
        <v>3385</v>
      </c>
      <c r="F1186" s="143" t="s">
        <v>3386</v>
      </c>
      <c r="G1186" s="142" t="s">
        <v>102</v>
      </c>
      <c r="H1186" s="142" t="s">
        <v>53</v>
      </c>
      <c r="I1186" s="143" t="s">
        <v>1184</v>
      </c>
      <c r="J1186" s="143" t="s">
        <v>104</v>
      </c>
      <c r="K1186" s="144"/>
      <c r="L1186" s="145"/>
      <c r="M1186" s="144"/>
    </row>
    <row r="1187" spans="1:13" ht="15" customHeight="1">
      <c r="A1187" s="146" t="s">
        <v>3387</v>
      </c>
      <c r="B1187" s="146">
        <v>514826</v>
      </c>
      <c r="C1187" s="147" t="s">
        <v>3388</v>
      </c>
      <c r="D1187" s="146" t="s">
        <v>3370</v>
      </c>
      <c r="E1187" s="147" t="s">
        <v>3389</v>
      </c>
      <c r="F1187" s="147" t="s">
        <v>3390</v>
      </c>
      <c r="G1187" s="146" t="s">
        <v>109</v>
      </c>
      <c r="H1187" s="146" t="s">
        <v>50</v>
      </c>
      <c r="I1187" s="147" t="s">
        <v>3391</v>
      </c>
      <c r="J1187" s="147" t="s">
        <v>104</v>
      </c>
      <c r="K1187" s="150" t="s">
        <v>5</v>
      </c>
      <c r="L1187" s="149">
        <v>46112</v>
      </c>
      <c r="M1187" s="151" t="s">
        <v>3392</v>
      </c>
    </row>
    <row r="1188" spans="1:13" ht="15" customHeight="1">
      <c r="A1188" s="142" t="s">
        <v>3393</v>
      </c>
      <c r="B1188" s="142">
        <v>514562</v>
      </c>
      <c r="C1188" s="143" t="s">
        <v>3394</v>
      </c>
      <c r="D1188" s="142" t="s">
        <v>3370</v>
      </c>
      <c r="E1188" s="143" t="s">
        <v>3395</v>
      </c>
      <c r="F1188" s="143" t="s">
        <v>2622</v>
      </c>
      <c r="G1188" s="142" t="s">
        <v>102</v>
      </c>
      <c r="H1188" s="142" t="s">
        <v>53</v>
      </c>
      <c r="I1188" s="143" t="s">
        <v>1110</v>
      </c>
      <c r="J1188" s="143" t="s">
        <v>104</v>
      </c>
      <c r="K1188" s="144"/>
      <c r="L1188" s="145"/>
      <c r="M1188" s="144"/>
    </row>
    <row r="1189" spans="1:13" ht="15" customHeight="1">
      <c r="A1189" s="146" t="s">
        <v>3396</v>
      </c>
      <c r="B1189" s="146">
        <v>515019</v>
      </c>
      <c r="C1189" s="147" t="s">
        <v>3397</v>
      </c>
      <c r="D1189" s="146" t="s">
        <v>3370</v>
      </c>
      <c r="E1189" s="147" t="s">
        <v>3398</v>
      </c>
      <c r="F1189" s="147" t="s">
        <v>3399</v>
      </c>
      <c r="G1189" s="146" t="s">
        <v>109</v>
      </c>
      <c r="H1189" s="146" t="s">
        <v>53</v>
      </c>
      <c r="I1189" s="147" t="s">
        <v>1184</v>
      </c>
      <c r="J1189" s="147" t="s">
        <v>104</v>
      </c>
      <c r="K1189" s="148"/>
      <c r="L1189" s="149"/>
      <c r="M1189" s="148"/>
    </row>
    <row r="1190" spans="1:13" ht="15" customHeight="1">
      <c r="A1190" s="142" t="s">
        <v>3400</v>
      </c>
      <c r="B1190" s="142">
        <v>514708</v>
      </c>
      <c r="C1190" s="143" t="s">
        <v>725</v>
      </c>
      <c r="D1190" s="142" t="s">
        <v>3370</v>
      </c>
      <c r="E1190" s="143" t="s">
        <v>3385</v>
      </c>
      <c r="F1190" s="143" t="s">
        <v>3401</v>
      </c>
      <c r="G1190" s="142" t="s">
        <v>102</v>
      </c>
      <c r="H1190" s="142" t="s">
        <v>53</v>
      </c>
      <c r="I1190" s="143" t="s">
        <v>1184</v>
      </c>
      <c r="J1190" s="143" t="s">
        <v>104</v>
      </c>
      <c r="K1190" s="144"/>
      <c r="L1190" s="145"/>
      <c r="M1190" s="144"/>
    </row>
    <row r="1191" spans="1:13" ht="15" customHeight="1">
      <c r="A1191" s="146" t="s">
        <v>3402</v>
      </c>
      <c r="B1191" s="146">
        <v>514693</v>
      </c>
      <c r="C1191" s="147" t="s">
        <v>3403</v>
      </c>
      <c r="D1191" s="146" t="s">
        <v>3370</v>
      </c>
      <c r="E1191" s="147" t="s">
        <v>3404</v>
      </c>
      <c r="F1191" s="147" t="s">
        <v>3404</v>
      </c>
      <c r="G1191" s="146" t="s">
        <v>109</v>
      </c>
      <c r="H1191" s="146" t="s">
        <v>53</v>
      </c>
      <c r="I1191" s="147" t="s">
        <v>1110</v>
      </c>
      <c r="J1191" s="147" t="s">
        <v>104</v>
      </c>
      <c r="K1191" s="148"/>
      <c r="L1191" s="149"/>
      <c r="M1191" s="148"/>
    </row>
    <row r="1192" spans="1:13" ht="15" customHeight="1">
      <c r="A1192" s="142" t="s">
        <v>3405</v>
      </c>
      <c r="B1192" s="142">
        <v>514551</v>
      </c>
      <c r="C1192" s="143" t="s">
        <v>486</v>
      </c>
      <c r="D1192" s="142" t="s">
        <v>3370</v>
      </c>
      <c r="E1192" s="143" t="s">
        <v>3385</v>
      </c>
      <c r="F1192" s="143" t="s">
        <v>3406</v>
      </c>
      <c r="G1192" s="142" t="s">
        <v>102</v>
      </c>
      <c r="H1192" s="142" t="s">
        <v>53</v>
      </c>
      <c r="I1192" s="143" t="s">
        <v>1184</v>
      </c>
      <c r="J1192" s="143" t="s">
        <v>104</v>
      </c>
      <c r="K1192" s="144"/>
      <c r="L1192" s="145"/>
      <c r="M1192" s="144"/>
    </row>
    <row r="1193" spans="1:13" ht="15" customHeight="1">
      <c r="A1193" s="146" t="s">
        <v>3407</v>
      </c>
      <c r="B1193" s="146">
        <v>515216</v>
      </c>
      <c r="C1193" s="147" t="s">
        <v>1323</v>
      </c>
      <c r="D1193" s="146" t="s">
        <v>3370</v>
      </c>
      <c r="E1193" s="147" t="s">
        <v>3408</v>
      </c>
      <c r="F1193" s="147" t="s">
        <v>3409</v>
      </c>
      <c r="G1193" s="146" t="s">
        <v>102</v>
      </c>
      <c r="H1193" s="146" t="s">
        <v>53</v>
      </c>
      <c r="I1193" s="147" t="s">
        <v>1110</v>
      </c>
      <c r="J1193" s="147" t="s">
        <v>104</v>
      </c>
      <c r="K1193" s="148" t="s">
        <v>121</v>
      </c>
      <c r="L1193" s="149">
        <v>46134</v>
      </c>
      <c r="M1193" s="148"/>
    </row>
    <row r="1194" spans="1:13" ht="15" customHeight="1">
      <c r="A1194" s="142" t="s">
        <v>3410</v>
      </c>
      <c r="B1194" s="142">
        <v>515104</v>
      </c>
      <c r="C1194" s="143" t="s">
        <v>3411</v>
      </c>
      <c r="D1194" s="142" t="s">
        <v>3370</v>
      </c>
      <c r="E1194" s="143" t="s">
        <v>3412</v>
      </c>
      <c r="F1194" s="143" t="s">
        <v>3413</v>
      </c>
      <c r="G1194" s="142" t="s">
        <v>109</v>
      </c>
      <c r="H1194" s="142" t="s">
        <v>53</v>
      </c>
      <c r="I1194" s="143" t="s">
        <v>1110</v>
      </c>
      <c r="J1194" s="143" t="s">
        <v>104</v>
      </c>
      <c r="K1194" s="144" t="s">
        <v>121</v>
      </c>
      <c r="L1194" s="145">
        <v>46134</v>
      </c>
      <c r="M1194" s="144"/>
    </row>
    <row r="1195" spans="1:13" ht="15" customHeight="1">
      <c r="A1195" s="146" t="s">
        <v>3414</v>
      </c>
      <c r="B1195" s="146">
        <v>515029</v>
      </c>
      <c r="C1195" s="147" t="s">
        <v>3415</v>
      </c>
      <c r="D1195" s="146" t="s">
        <v>3370</v>
      </c>
      <c r="E1195" s="147" t="s">
        <v>3416</v>
      </c>
      <c r="F1195" s="147" t="s">
        <v>3417</v>
      </c>
      <c r="G1195" s="146" t="s">
        <v>102</v>
      </c>
      <c r="H1195" s="146" t="s">
        <v>53</v>
      </c>
      <c r="I1195" s="147" t="s">
        <v>1110</v>
      </c>
      <c r="J1195" s="147" t="s">
        <v>104</v>
      </c>
      <c r="K1195" s="148" t="s">
        <v>121</v>
      </c>
      <c r="L1195" s="149">
        <v>46134</v>
      </c>
      <c r="M1195" s="148"/>
    </row>
    <row r="1196" spans="1:13" ht="15" customHeight="1">
      <c r="A1196" s="142" t="s">
        <v>3418</v>
      </c>
      <c r="B1196" s="142">
        <v>515250</v>
      </c>
      <c r="C1196" s="143" t="s">
        <v>3419</v>
      </c>
      <c r="D1196" s="142" t="s">
        <v>3370</v>
      </c>
      <c r="E1196" s="143" t="s">
        <v>3384</v>
      </c>
      <c r="F1196" s="143" t="s">
        <v>3420</v>
      </c>
      <c r="G1196" s="142" t="s">
        <v>102</v>
      </c>
      <c r="H1196" s="142" t="s">
        <v>53</v>
      </c>
      <c r="I1196" s="143" t="s">
        <v>1110</v>
      </c>
      <c r="J1196" s="143" t="s">
        <v>104</v>
      </c>
      <c r="K1196" s="144" t="s">
        <v>121</v>
      </c>
      <c r="L1196" s="145">
        <v>46148</v>
      </c>
      <c r="M1196" s="144" t="s">
        <v>3421</v>
      </c>
    </row>
    <row r="1197" spans="1:13" ht="15" customHeight="1">
      <c r="A1197" s="146" t="s">
        <v>3422</v>
      </c>
      <c r="B1197" s="146">
        <v>515101</v>
      </c>
      <c r="C1197" s="147" t="s">
        <v>3423</v>
      </c>
      <c r="D1197" s="146" t="s">
        <v>3370</v>
      </c>
      <c r="E1197" s="147" t="s">
        <v>3385</v>
      </c>
      <c r="F1197" s="147" t="s">
        <v>3424</v>
      </c>
      <c r="G1197" s="146" t="s">
        <v>102</v>
      </c>
      <c r="H1197" s="146" t="s">
        <v>53</v>
      </c>
      <c r="I1197" s="147" t="s">
        <v>1184</v>
      </c>
      <c r="J1197" s="147" t="s">
        <v>104</v>
      </c>
      <c r="K1197" s="148"/>
      <c r="L1197" s="149"/>
      <c r="M1197" s="148"/>
    </row>
    <row r="1198" spans="1:13" ht="15" customHeight="1">
      <c r="A1198" s="142" t="s">
        <v>3425</v>
      </c>
      <c r="B1198" s="142">
        <v>514731</v>
      </c>
      <c r="C1198" s="143" t="s">
        <v>3426</v>
      </c>
      <c r="D1198" s="142" t="s">
        <v>3370</v>
      </c>
      <c r="E1198" s="143" t="s">
        <v>3416</v>
      </c>
      <c r="F1198" s="143" t="s">
        <v>3416</v>
      </c>
      <c r="G1198" s="142" t="s">
        <v>102</v>
      </c>
      <c r="H1198" s="142" t="s">
        <v>53</v>
      </c>
      <c r="I1198" s="143" t="s">
        <v>1110</v>
      </c>
      <c r="J1198" s="143" t="s">
        <v>104</v>
      </c>
      <c r="K1198" s="144" t="s">
        <v>121</v>
      </c>
      <c r="L1198" s="145">
        <v>46139</v>
      </c>
      <c r="M1198" s="144"/>
    </row>
    <row r="1199" spans="1:13" ht="15" customHeight="1">
      <c r="A1199" s="146" t="s">
        <v>3427</v>
      </c>
      <c r="B1199" s="146">
        <v>514748</v>
      </c>
      <c r="C1199" s="147" t="s">
        <v>1123</v>
      </c>
      <c r="D1199" s="146" t="s">
        <v>3370</v>
      </c>
      <c r="E1199" s="147" t="s">
        <v>3428</v>
      </c>
      <c r="F1199" s="147" t="s">
        <v>3429</v>
      </c>
      <c r="G1199" s="146" t="s">
        <v>102</v>
      </c>
      <c r="H1199" s="146" t="s">
        <v>53</v>
      </c>
      <c r="I1199" s="147" t="s">
        <v>1184</v>
      </c>
      <c r="J1199" s="147" t="s">
        <v>104</v>
      </c>
      <c r="K1199" s="148" t="s">
        <v>121</v>
      </c>
      <c r="L1199" s="149">
        <v>46147</v>
      </c>
      <c r="M1199" s="148" t="s">
        <v>3430</v>
      </c>
    </row>
    <row r="1200" spans="1:13" ht="15" customHeight="1">
      <c r="A1200" s="142" t="s">
        <v>3431</v>
      </c>
      <c r="B1200" s="142">
        <v>515178</v>
      </c>
      <c r="C1200" s="143" t="s">
        <v>3381</v>
      </c>
      <c r="D1200" s="142" t="s">
        <v>3370</v>
      </c>
      <c r="E1200" s="143" t="s">
        <v>3428</v>
      </c>
      <c r="F1200" s="143" t="s">
        <v>3432</v>
      </c>
      <c r="G1200" s="142" t="s">
        <v>102</v>
      </c>
      <c r="H1200" s="142" t="s">
        <v>53</v>
      </c>
      <c r="I1200" s="143" t="s">
        <v>1184</v>
      </c>
      <c r="J1200" s="143" t="s">
        <v>104</v>
      </c>
      <c r="K1200" s="144"/>
      <c r="L1200" s="145"/>
      <c r="M1200" s="144"/>
    </row>
    <row r="1201" spans="1:13" ht="15" customHeight="1">
      <c r="A1201" s="146" t="s">
        <v>3433</v>
      </c>
      <c r="B1201" s="146">
        <v>514845</v>
      </c>
      <c r="C1201" s="147" t="s">
        <v>3434</v>
      </c>
      <c r="D1201" s="146" t="s">
        <v>3370</v>
      </c>
      <c r="E1201" s="147" t="s">
        <v>3384</v>
      </c>
      <c r="F1201" s="147" t="s">
        <v>3435</v>
      </c>
      <c r="G1201" s="146" t="s">
        <v>102</v>
      </c>
      <c r="H1201" s="146" t="s">
        <v>53</v>
      </c>
      <c r="I1201" s="147" t="s">
        <v>1110</v>
      </c>
      <c r="J1201" s="147" t="s">
        <v>104</v>
      </c>
      <c r="K1201" s="148"/>
      <c r="L1201" s="149"/>
      <c r="M1201" s="148"/>
    </row>
    <row r="1202" spans="1:13" ht="15" customHeight="1">
      <c r="A1202" s="142" t="s">
        <v>3436</v>
      </c>
      <c r="B1202" s="142">
        <v>515566</v>
      </c>
      <c r="C1202" s="143" t="s">
        <v>3437</v>
      </c>
      <c r="D1202" s="142" t="s">
        <v>3370</v>
      </c>
      <c r="E1202" s="143" t="s">
        <v>3416</v>
      </c>
      <c r="F1202" s="143" t="s">
        <v>3438</v>
      </c>
      <c r="G1202" s="142" t="s">
        <v>102</v>
      </c>
      <c r="H1202" s="142" t="s">
        <v>50</v>
      </c>
      <c r="I1202" s="143" t="s">
        <v>3391</v>
      </c>
      <c r="J1202" s="143" t="s">
        <v>104</v>
      </c>
      <c r="K1202" s="144" t="s">
        <v>121</v>
      </c>
      <c r="L1202" s="145">
        <v>46140</v>
      </c>
      <c r="M1202" s="144"/>
    </row>
    <row r="1203" spans="1:13" ht="15" customHeight="1">
      <c r="A1203" s="146" t="s">
        <v>3439</v>
      </c>
      <c r="B1203" s="146">
        <v>515060</v>
      </c>
      <c r="C1203" s="147" t="s">
        <v>3440</v>
      </c>
      <c r="D1203" s="146" t="s">
        <v>3370</v>
      </c>
      <c r="E1203" s="147" t="s">
        <v>3384</v>
      </c>
      <c r="F1203" s="147" t="s">
        <v>3441</v>
      </c>
      <c r="G1203" s="146" t="s">
        <v>102</v>
      </c>
      <c r="H1203" s="146" t="s">
        <v>53</v>
      </c>
      <c r="I1203" s="147" t="s">
        <v>1110</v>
      </c>
      <c r="J1203" s="147" t="s">
        <v>104</v>
      </c>
      <c r="K1203" s="148"/>
      <c r="L1203" s="149"/>
      <c r="M1203" s="148"/>
    </row>
    <row r="1204" spans="1:13" ht="15" customHeight="1">
      <c r="A1204" s="142" t="s">
        <v>3442</v>
      </c>
      <c r="B1204" s="142">
        <v>514626</v>
      </c>
      <c r="C1204" s="143" t="s">
        <v>3443</v>
      </c>
      <c r="D1204" s="142" t="s">
        <v>3370</v>
      </c>
      <c r="E1204" s="143" t="s">
        <v>3444</v>
      </c>
      <c r="F1204" s="143" t="s">
        <v>3445</v>
      </c>
      <c r="G1204" s="142" t="s">
        <v>102</v>
      </c>
      <c r="H1204" s="142" t="s">
        <v>53</v>
      </c>
      <c r="I1204" s="143" t="s">
        <v>1110</v>
      </c>
      <c r="J1204" s="143" t="s">
        <v>104</v>
      </c>
      <c r="K1204" s="144"/>
      <c r="L1204" s="145"/>
      <c r="M1204" s="144"/>
    </row>
    <row r="1205" spans="1:13" ht="15" customHeight="1">
      <c r="A1205" s="146" t="s">
        <v>3446</v>
      </c>
      <c r="B1205" s="146">
        <v>514764</v>
      </c>
      <c r="C1205" s="147" t="s">
        <v>437</v>
      </c>
      <c r="D1205" s="146" t="s">
        <v>3370</v>
      </c>
      <c r="E1205" s="147" t="s">
        <v>3447</v>
      </c>
      <c r="F1205" s="147" t="s">
        <v>3448</v>
      </c>
      <c r="G1205" s="146" t="s">
        <v>102</v>
      </c>
      <c r="H1205" s="146" t="s">
        <v>50</v>
      </c>
      <c r="I1205" s="147" t="s">
        <v>3449</v>
      </c>
      <c r="J1205" s="147" t="s">
        <v>104</v>
      </c>
      <c r="K1205" s="148" t="s">
        <v>121</v>
      </c>
      <c r="L1205" s="149">
        <v>46150</v>
      </c>
      <c r="M1205" s="148"/>
    </row>
    <row r="1206" spans="1:13" ht="15" customHeight="1">
      <c r="A1206" s="142" t="s">
        <v>3450</v>
      </c>
      <c r="B1206" s="142">
        <v>514742</v>
      </c>
      <c r="C1206" s="143" t="s">
        <v>1057</v>
      </c>
      <c r="D1206" s="142" t="s">
        <v>3370</v>
      </c>
      <c r="E1206" s="143" t="s">
        <v>3451</v>
      </c>
      <c r="F1206" s="143" t="s">
        <v>3452</v>
      </c>
      <c r="G1206" s="142" t="s">
        <v>109</v>
      </c>
      <c r="H1206" s="142" t="s">
        <v>50</v>
      </c>
      <c r="I1206" s="143" t="s">
        <v>3391</v>
      </c>
      <c r="J1206" s="143" t="s">
        <v>104</v>
      </c>
      <c r="K1206" s="150" t="s">
        <v>5</v>
      </c>
      <c r="L1206" s="145">
        <v>46098</v>
      </c>
      <c r="M1206" s="152" t="s">
        <v>3392</v>
      </c>
    </row>
    <row r="1207" spans="1:13" ht="15" customHeight="1">
      <c r="A1207" s="146" t="s">
        <v>3453</v>
      </c>
      <c r="B1207" s="146">
        <v>514644</v>
      </c>
      <c r="C1207" s="147" t="s">
        <v>3454</v>
      </c>
      <c r="D1207" s="146" t="s">
        <v>3370</v>
      </c>
      <c r="E1207" s="147" t="s">
        <v>3455</v>
      </c>
      <c r="F1207" s="147" t="s">
        <v>3456</v>
      </c>
      <c r="G1207" s="146" t="s">
        <v>102</v>
      </c>
      <c r="H1207" s="146" t="s">
        <v>53</v>
      </c>
      <c r="I1207" s="147" t="s">
        <v>1110</v>
      </c>
      <c r="J1207" s="147" t="s">
        <v>104</v>
      </c>
      <c r="K1207" s="148"/>
      <c r="L1207" s="149"/>
      <c r="M1207" s="148"/>
    </row>
    <row r="1208" spans="1:13" ht="15" customHeight="1">
      <c r="A1208" s="142" t="s">
        <v>3457</v>
      </c>
      <c r="B1208" s="142">
        <v>515055</v>
      </c>
      <c r="C1208" s="143" t="s">
        <v>1295</v>
      </c>
      <c r="D1208" s="142" t="s">
        <v>3370</v>
      </c>
      <c r="E1208" s="143" t="s">
        <v>3375</v>
      </c>
      <c r="F1208" s="143" t="s">
        <v>3458</v>
      </c>
      <c r="G1208" s="142" t="s">
        <v>102</v>
      </c>
      <c r="H1208" s="142" t="s">
        <v>53</v>
      </c>
      <c r="I1208" s="143" t="s">
        <v>1110</v>
      </c>
      <c r="J1208" s="143" t="s">
        <v>104</v>
      </c>
      <c r="K1208" s="144"/>
      <c r="L1208" s="145"/>
      <c r="M1208" s="144"/>
    </row>
    <row r="1209" spans="1:13" ht="15" customHeight="1">
      <c r="A1209" s="146" t="s">
        <v>3459</v>
      </c>
      <c r="B1209" s="146">
        <v>515151</v>
      </c>
      <c r="C1209" s="147" t="s">
        <v>348</v>
      </c>
      <c r="D1209" s="146" t="s">
        <v>3370</v>
      </c>
      <c r="E1209" s="147" t="s">
        <v>3460</v>
      </c>
      <c r="F1209" s="147" t="s">
        <v>3461</v>
      </c>
      <c r="G1209" s="146" t="s">
        <v>109</v>
      </c>
      <c r="H1209" s="146" t="s">
        <v>53</v>
      </c>
      <c r="I1209" s="147" t="s">
        <v>1110</v>
      </c>
      <c r="J1209" s="147" t="s">
        <v>104</v>
      </c>
      <c r="K1209" s="148"/>
      <c r="L1209" s="149"/>
      <c r="M1209" s="148"/>
    </row>
    <row r="1210" spans="1:13" ht="15" customHeight="1">
      <c r="A1210" s="142" t="s">
        <v>3462</v>
      </c>
      <c r="B1210" s="142">
        <v>515312</v>
      </c>
      <c r="C1210" s="143" t="s">
        <v>725</v>
      </c>
      <c r="D1210" s="142" t="s">
        <v>3370</v>
      </c>
      <c r="E1210" s="143" t="s">
        <v>3460</v>
      </c>
      <c r="F1210" s="143" t="s">
        <v>3463</v>
      </c>
      <c r="G1210" s="142" t="s">
        <v>109</v>
      </c>
      <c r="H1210" s="142" t="s">
        <v>53</v>
      </c>
      <c r="I1210" s="143" t="s">
        <v>1110</v>
      </c>
      <c r="J1210" s="143" t="s">
        <v>104</v>
      </c>
      <c r="K1210" s="144"/>
      <c r="L1210" s="145"/>
      <c r="M1210" s="144"/>
    </row>
    <row r="1211" spans="1:13" ht="15" customHeight="1">
      <c r="A1211" s="146" t="s">
        <v>3464</v>
      </c>
      <c r="B1211" s="146">
        <v>514665</v>
      </c>
      <c r="C1211" s="147" t="s">
        <v>1123</v>
      </c>
      <c r="D1211" s="146" t="s">
        <v>3370</v>
      </c>
      <c r="E1211" s="147" t="s">
        <v>3465</v>
      </c>
      <c r="F1211" s="147" t="s">
        <v>3466</v>
      </c>
      <c r="G1211" s="146" t="s">
        <v>109</v>
      </c>
      <c r="H1211" s="146" t="s">
        <v>50</v>
      </c>
      <c r="I1211" s="147" t="s">
        <v>3391</v>
      </c>
      <c r="J1211" s="147" t="s">
        <v>104</v>
      </c>
      <c r="K1211" s="150" t="s">
        <v>5</v>
      </c>
      <c r="L1211" s="149">
        <v>46134</v>
      </c>
      <c r="M1211" s="151" t="s">
        <v>3392</v>
      </c>
    </row>
    <row r="1212" spans="1:13" ht="15" customHeight="1">
      <c r="A1212" s="142" t="s">
        <v>3467</v>
      </c>
      <c r="B1212" s="142">
        <v>515331</v>
      </c>
      <c r="C1212" s="143" t="s">
        <v>3468</v>
      </c>
      <c r="D1212" s="142" t="s">
        <v>3370</v>
      </c>
      <c r="E1212" s="143" t="s">
        <v>3379</v>
      </c>
      <c r="F1212" s="143" t="s">
        <v>3379</v>
      </c>
      <c r="G1212" s="142" t="s">
        <v>102</v>
      </c>
      <c r="H1212" s="142" t="s">
        <v>53</v>
      </c>
      <c r="I1212" s="143" t="s">
        <v>1110</v>
      </c>
      <c r="J1212" s="143" t="s">
        <v>104</v>
      </c>
      <c r="K1212" s="144"/>
      <c r="L1212" s="145"/>
      <c r="M1212" s="144"/>
    </row>
    <row r="1213" spans="1:13" ht="15" customHeight="1">
      <c r="A1213" s="146" t="s">
        <v>3469</v>
      </c>
      <c r="B1213" s="146">
        <v>515161</v>
      </c>
      <c r="C1213" s="147" t="s">
        <v>3470</v>
      </c>
      <c r="D1213" s="146" t="s">
        <v>3370</v>
      </c>
      <c r="E1213" s="147" t="s">
        <v>3471</v>
      </c>
      <c r="F1213" s="147" t="s">
        <v>3472</v>
      </c>
      <c r="G1213" s="146" t="s">
        <v>109</v>
      </c>
      <c r="H1213" s="146" t="s">
        <v>53</v>
      </c>
      <c r="I1213" s="147" t="s">
        <v>1110</v>
      </c>
      <c r="J1213" s="147" t="s">
        <v>104</v>
      </c>
      <c r="K1213" s="148" t="s">
        <v>121</v>
      </c>
      <c r="L1213" s="149">
        <v>46149</v>
      </c>
      <c r="M1213" s="148" t="s">
        <v>3473</v>
      </c>
    </row>
    <row r="1214" spans="1:13" ht="15" customHeight="1">
      <c r="A1214" s="142" t="s">
        <v>3474</v>
      </c>
      <c r="B1214" s="142">
        <v>514842</v>
      </c>
      <c r="C1214" s="143" t="s">
        <v>3475</v>
      </c>
      <c r="D1214" s="142" t="s">
        <v>3370</v>
      </c>
      <c r="E1214" s="143" t="s">
        <v>3375</v>
      </c>
      <c r="F1214" s="143" t="s">
        <v>3376</v>
      </c>
      <c r="G1214" s="142" t="s">
        <v>102</v>
      </c>
      <c r="H1214" s="142" t="s">
        <v>53</v>
      </c>
      <c r="I1214" s="143" t="s">
        <v>1184</v>
      </c>
      <c r="J1214" s="143" t="s">
        <v>104</v>
      </c>
      <c r="K1214" s="144"/>
      <c r="L1214" s="145"/>
      <c r="M1214" s="144"/>
    </row>
    <row r="1215" spans="1:13" ht="15" customHeight="1">
      <c r="A1215" s="146" t="s">
        <v>3476</v>
      </c>
      <c r="B1215" s="146">
        <v>515053</v>
      </c>
      <c r="C1215" s="147" t="s">
        <v>3477</v>
      </c>
      <c r="D1215" s="146" t="s">
        <v>3370</v>
      </c>
      <c r="E1215" s="147" t="s">
        <v>3384</v>
      </c>
      <c r="F1215" s="147" t="s">
        <v>3478</v>
      </c>
      <c r="G1215" s="146" t="s">
        <v>102</v>
      </c>
      <c r="H1215" s="146" t="s">
        <v>53</v>
      </c>
      <c r="I1215" s="147" t="s">
        <v>1110</v>
      </c>
      <c r="J1215" s="147" t="s">
        <v>104</v>
      </c>
      <c r="K1215" s="148" t="s">
        <v>121</v>
      </c>
      <c r="L1215" s="149">
        <v>46148</v>
      </c>
      <c r="M1215" s="148" t="s">
        <v>3421</v>
      </c>
    </row>
    <row r="1216" spans="1:13" ht="15" customHeight="1">
      <c r="A1216" s="142" t="s">
        <v>3479</v>
      </c>
      <c r="B1216" s="142">
        <v>514571</v>
      </c>
      <c r="C1216" s="143" t="s">
        <v>3480</v>
      </c>
      <c r="D1216" s="142" t="s">
        <v>3370</v>
      </c>
      <c r="E1216" s="143" t="s">
        <v>3481</v>
      </c>
      <c r="F1216" s="143" t="s">
        <v>3482</v>
      </c>
      <c r="G1216" s="142" t="s">
        <v>102</v>
      </c>
      <c r="H1216" s="142" t="s">
        <v>53</v>
      </c>
      <c r="I1216" s="143" t="s">
        <v>1110</v>
      </c>
      <c r="J1216" s="143" t="s">
        <v>104</v>
      </c>
      <c r="K1216" s="144"/>
      <c r="L1216" s="145"/>
      <c r="M1216" s="144"/>
    </row>
    <row r="1217" spans="1:13" ht="15" customHeight="1">
      <c r="A1217" s="146" t="s">
        <v>3483</v>
      </c>
      <c r="B1217" s="146">
        <v>515171</v>
      </c>
      <c r="C1217" s="147" t="s">
        <v>3381</v>
      </c>
      <c r="D1217" s="146" t="s">
        <v>3370</v>
      </c>
      <c r="E1217" s="147" t="s">
        <v>3416</v>
      </c>
      <c r="F1217" s="147" t="s">
        <v>3484</v>
      </c>
      <c r="G1217" s="146" t="s">
        <v>109</v>
      </c>
      <c r="H1217" s="146" t="s">
        <v>53</v>
      </c>
      <c r="I1217" s="147" t="s">
        <v>1110</v>
      </c>
      <c r="J1217" s="147" t="s">
        <v>104</v>
      </c>
      <c r="K1217" s="148" t="s">
        <v>121</v>
      </c>
      <c r="L1217" s="149">
        <v>46141</v>
      </c>
      <c r="M1217" s="148"/>
    </row>
    <row r="1218" spans="1:13" ht="15" customHeight="1">
      <c r="A1218" s="142" t="s">
        <v>3485</v>
      </c>
      <c r="B1218" s="142">
        <v>514865</v>
      </c>
      <c r="C1218" s="143" t="s">
        <v>1086</v>
      </c>
      <c r="D1218" s="142" t="s">
        <v>3370</v>
      </c>
      <c r="E1218" s="143" t="s">
        <v>3371</v>
      </c>
      <c r="F1218" s="143" t="s">
        <v>3486</v>
      </c>
      <c r="G1218" s="142" t="s">
        <v>109</v>
      </c>
      <c r="H1218" s="142" t="s">
        <v>53</v>
      </c>
      <c r="I1218" s="143" t="s">
        <v>1110</v>
      </c>
      <c r="J1218" s="143" t="s">
        <v>104</v>
      </c>
      <c r="K1218" s="144" t="s">
        <v>121</v>
      </c>
      <c r="L1218" s="145">
        <v>46140</v>
      </c>
      <c r="M1218" s="144"/>
    </row>
    <row r="1219" spans="1:13" ht="15" customHeight="1">
      <c r="A1219" s="146" t="s">
        <v>3487</v>
      </c>
      <c r="B1219" s="146">
        <v>514811</v>
      </c>
      <c r="C1219" s="147" t="s">
        <v>3488</v>
      </c>
      <c r="D1219" s="146" t="s">
        <v>3370</v>
      </c>
      <c r="E1219" s="147" t="s">
        <v>3416</v>
      </c>
      <c r="F1219" s="147" t="s">
        <v>3416</v>
      </c>
      <c r="G1219" s="146" t="s">
        <v>102</v>
      </c>
      <c r="H1219" s="146" t="s">
        <v>53</v>
      </c>
      <c r="I1219" s="147" t="s">
        <v>1110</v>
      </c>
      <c r="J1219" s="147" t="s">
        <v>104</v>
      </c>
      <c r="K1219" s="148" t="s">
        <v>121</v>
      </c>
      <c r="L1219" s="149">
        <v>46141</v>
      </c>
      <c r="M1219" s="148"/>
    </row>
    <row r="1220" spans="1:13" ht="15" customHeight="1">
      <c r="A1220" s="142" t="s">
        <v>3489</v>
      </c>
      <c r="B1220" s="142">
        <v>515011</v>
      </c>
      <c r="C1220" s="143" t="s">
        <v>3415</v>
      </c>
      <c r="D1220" s="142" t="s">
        <v>3370</v>
      </c>
      <c r="E1220" s="143" t="s">
        <v>3490</v>
      </c>
      <c r="F1220" s="143" t="s">
        <v>3491</v>
      </c>
      <c r="G1220" s="142" t="s">
        <v>109</v>
      </c>
      <c r="H1220" s="142" t="s">
        <v>50</v>
      </c>
      <c r="I1220" s="143" t="s">
        <v>3391</v>
      </c>
      <c r="J1220" s="143" t="s">
        <v>104</v>
      </c>
      <c r="K1220" s="153" t="s">
        <v>9</v>
      </c>
      <c r="L1220" s="145">
        <v>46126</v>
      </c>
      <c r="M1220" s="152" t="s">
        <v>3392</v>
      </c>
    </row>
    <row r="1221" spans="1:13" ht="15" customHeight="1">
      <c r="A1221" s="146" t="s">
        <v>3492</v>
      </c>
      <c r="B1221" s="146">
        <v>515138</v>
      </c>
      <c r="C1221" s="147" t="s">
        <v>725</v>
      </c>
      <c r="D1221" s="146" t="s">
        <v>3370</v>
      </c>
      <c r="E1221" s="147" t="s">
        <v>3493</v>
      </c>
      <c r="F1221" s="147" t="s">
        <v>3494</v>
      </c>
      <c r="G1221" s="146" t="s">
        <v>102</v>
      </c>
      <c r="H1221" s="146" t="s">
        <v>53</v>
      </c>
      <c r="I1221" s="147" t="s">
        <v>1110</v>
      </c>
      <c r="J1221" s="147" t="s">
        <v>104</v>
      </c>
      <c r="K1221" s="148"/>
      <c r="L1221" s="149"/>
      <c r="M1221" s="148"/>
    </row>
    <row r="1222" spans="1:13" ht="15" customHeight="1">
      <c r="A1222" s="142" t="s">
        <v>3495</v>
      </c>
      <c r="B1222" s="142">
        <v>514866</v>
      </c>
      <c r="C1222" s="143" t="s">
        <v>2256</v>
      </c>
      <c r="D1222" s="142" t="s">
        <v>3370</v>
      </c>
      <c r="E1222" s="143" t="s">
        <v>3371</v>
      </c>
      <c r="F1222" s="143" t="s">
        <v>3496</v>
      </c>
      <c r="G1222" s="142" t="s">
        <v>109</v>
      </c>
      <c r="H1222" s="142" t="s">
        <v>53</v>
      </c>
      <c r="I1222" s="143" t="s">
        <v>1110</v>
      </c>
      <c r="J1222" s="143" t="s">
        <v>104</v>
      </c>
      <c r="K1222" s="144" t="s">
        <v>121</v>
      </c>
      <c r="L1222" s="145">
        <v>46140</v>
      </c>
      <c r="M1222" s="144"/>
    </row>
    <row r="1223" spans="1:13" ht="15" customHeight="1">
      <c r="A1223" s="146" t="s">
        <v>3497</v>
      </c>
      <c r="B1223" s="146">
        <v>514801</v>
      </c>
      <c r="C1223" s="147" t="s">
        <v>1295</v>
      </c>
      <c r="D1223" s="146" t="s">
        <v>3370</v>
      </c>
      <c r="E1223" s="147" t="s">
        <v>3428</v>
      </c>
      <c r="F1223" s="147" t="s">
        <v>3498</v>
      </c>
      <c r="G1223" s="146" t="s">
        <v>102</v>
      </c>
      <c r="H1223" s="146" t="s">
        <v>53</v>
      </c>
      <c r="I1223" s="147" t="s">
        <v>1184</v>
      </c>
      <c r="J1223" s="147" t="s">
        <v>104</v>
      </c>
      <c r="K1223" s="148"/>
      <c r="L1223" s="149"/>
      <c r="M1223" s="148"/>
    </row>
    <row r="1224" spans="1:13" ht="15" customHeight="1">
      <c r="A1224" s="142" t="s">
        <v>3499</v>
      </c>
      <c r="B1224" s="142">
        <v>514758</v>
      </c>
      <c r="C1224" s="143" t="s">
        <v>3500</v>
      </c>
      <c r="D1224" s="142" t="s">
        <v>3370</v>
      </c>
      <c r="E1224" s="143" t="s">
        <v>3385</v>
      </c>
      <c r="F1224" s="143" t="s">
        <v>3424</v>
      </c>
      <c r="G1224" s="142" t="s">
        <v>102</v>
      </c>
      <c r="H1224" s="142" t="s">
        <v>53</v>
      </c>
      <c r="I1224" s="143" t="s">
        <v>1184</v>
      </c>
      <c r="J1224" s="143" t="s">
        <v>104</v>
      </c>
      <c r="K1224" s="144"/>
      <c r="L1224" s="145"/>
      <c r="M1224" s="144"/>
    </row>
    <row r="1225" spans="1:13" ht="15" customHeight="1">
      <c r="A1225" s="146" t="s">
        <v>3501</v>
      </c>
      <c r="B1225" s="146">
        <v>514911</v>
      </c>
      <c r="C1225" s="147" t="s">
        <v>437</v>
      </c>
      <c r="D1225" s="146" t="s">
        <v>3370</v>
      </c>
      <c r="E1225" s="147" t="s">
        <v>3375</v>
      </c>
      <c r="F1225" s="147" t="s">
        <v>3502</v>
      </c>
      <c r="G1225" s="146" t="s">
        <v>102</v>
      </c>
      <c r="H1225" s="146" t="s">
        <v>53</v>
      </c>
      <c r="I1225" s="147" t="s">
        <v>1184</v>
      </c>
      <c r="J1225" s="147" t="s">
        <v>104</v>
      </c>
      <c r="K1225" s="148"/>
      <c r="L1225" s="149"/>
      <c r="M1225" s="148"/>
    </row>
    <row r="1226" spans="1:13" ht="15" customHeight="1">
      <c r="A1226" s="142" t="s">
        <v>3503</v>
      </c>
      <c r="B1226" s="142">
        <v>514761</v>
      </c>
      <c r="C1226" s="143" t="s">
        <v>3504</v>
      </c>
      <c r="D1226" s="142" t="s">
        <v>3370</v>
      </c>
      <c r="E1226" s="143" t="s">
        <v>3505</v>
      </c>
      <c r="F1226" s="143" t="s">
        <v>3506</v>
      </c>
      <c r="G1226" s="142" t="s">
        <v>109</v>
      </c>
      <c r="H1226" s="142" t="s">
        <v>50</v>
      </c>
      <c r="I1226" s="143" t="s">
        <v>3449</v>
      </c>
      <c r="J1226" s="143" t="s">
        <v>104</v>
      </c>
      <c r="K1226" s="144" t="s">
        <v>121</v>
      </c>
      <c r="L1226" s="145">
        <v>46142</v>
      </c>
      <c r="M1226" s="144"/>
    </row>
    <row r="1227" spans="1:13" ht="15" customHeight="1">
      <c r="A1227" s="146" t="s">
        <v>3507</v>
      </c>
      <c r="B1227" s="146">
        <v>514598</v>
      </c>
      <c r="C1227" s="147" t="s">
        <v>3508</v>
      </c>
      <c r="D1227" s="146" t="s">
        <v>3370</v>
      </c>
      <c r="E1227" s="147" t="s">
        <v>3505</v>
      </c>
      <c r="F1227" s="147" t="s">
        <v>3509</v>
      </c>
      <c r="G1227" s="146" t="s">
        <v>109</v>
      </c>
      <c r="H1227" s="146" t="s">
        <v>50</v>
      </c>
      <c r="I1227" s="147" t="s">
        <v>3449</v>
      </c>
      <c r="J1227" s="147" t="s">
        <v>104</v>
      </c>
      <c r="K1227" s="148" t="s">
        <v>121</v>
      </c>
      <c r="L1227" s="149">
        <v>46148</v>
      </c>
      <c r="M1227" s="148"/>
    </row>
    <row r="1228" spans="1:13" ht="15" customHeight="1">
      <c r="A1228" s="142" t="s">
        <v>3510</v>
      </c>
      <c r="B1228" s="142">
        <v>515955</v>
      </c>
      <c r="C1228" s="143" t="s">
        <v>3511</v>
      </c>
      <c r="D1228" s="142" t="s">
        <v>3370</v>
      </c>
      <c r="E1228" s="143" t="s">
        <v>3505</v>
      </c>
      <c r="F1228" s="143" t="s">
        <v>3512</v>
      </c>
      <c r="G1228" s="142" t="s">
        <v>109</v>
      </c>
      <c r="H1228" s="142" t="s">
        <v>50</v>
      </c>
      <c r="I1228" s="143" t="s">
        <v>3449</v>
      </c>
      <c r="J1228" s="143" t="s">
        <v>104</v>
      </c>
      <c r="K1228" s="144" t="s">
        <v>121</v>
      </c>
      <c r="L1228" s="145">
        <v>46148</v>
      </c>
      <c r="M1228" s="144"/>
    </row>
    <row r="1229" spans="1:13" ht="15" customHeight="1">
      <c r="A1229" s="146" t="s">
        <v>3513</v>
      </c>
      <c r="B1229" s="146">
        <v>514921</v>
      </c>
      <c r="C1229" s="147" t="s">
        <v>3514</v>
      </c>
      <c r="D1229" s="146" t="s">
        <v>3370</v>
      </c>
      <c r="E1229" s="147" t="s">
        <v>3382</v>
      </c>
      <c r="F1229" s="147" t="s">
        <v>3515</v>
      </c>
      <c r="G1229" s="146" t="s">
        <v>102</v>
      </c>
      <c r="H1229" s="146" t="s">
        <v>53</v>
      </c>
      <c r="I1229" s="147" t="s">
        <v>1184</v>
      </c>
      <c r="J1229" s="147" t="s">
        <v>104</v>
      </c>
      <c r="K1229" s="148"/>
      <c r="L1229" s="149"/>
      <c r="M1229" s="148"/>
    </row>
    <row r="1230" spans="1:13" ht="15" customHeight="1">
      <c r="A1230" s="142" t="s">
        <v>3516</v>
      </c>
      <c r="B1230" s="142">
        <v>515248</v>
      </c>
      <c r="C1230" s="143" t="s">
        <v>3381</v>
      </c>
      <c r="D1230" s="142" t="s">
        <v>3370</v>
      </c>
      <c r="E1230" s="143" t="s">
        <v>3517</v>
      </c>
      <c r="F1230" s="143" t="s">
        <v>3518</v>
      </c>
      <c r="G1230" s="142" t="s">
        <v>102</v>
      </c>
      <c r="H1230" s="142" t="s">
        <v>53</v>
      </c>
      <c r="I1230" s="143" t="s">
        <v>1110</v>
      </c>
      <c r="J1230" s="143" t="s">
        <v>104</v>
      </c>
      <c r="K1230" s="144" t="s">
        <v>121</v>
      </c>
      <c r="L1230" s="145">
        <v>46141</v>
      </c>
      <c r="M1230" s="144"/>
    </row>
    <row r="1231" spans="1:13" ht="15" customHeight="1">
      <c r="A1231" s="146" t="s">
        <v>3519</v>
      </c>
      <c r="B1231" s="146">
        <v>514630</v>
      </c>
      <c r="C1231" s="147" t="s">
        <v>1295</v>
      </c>
      <c r="D1231" s="146" t="s">
        <v>3370</v>
      </c>
      <c r="E1231" s="147" t="s">
        <v>3517</v>
      </c>
      <c r="F1231" s="147" t="s">
        <v>3520</v>
      </c>
      <c r="G1231" s="146" t="s">
        <v>102</v>
      </c>
      <c r="H1231" s="146" t="s">
        <v>53</v>
      </c>
      <c r="I1231" s="147" t="s">
        <v>1110</v>
      </c>
      <c r="J1231" s="147" t="s">
        <v>104</v>
      </c>
      <c r="K1231" s="148" t="s">
        <v>121</v>
      </c>
      <c r="L1231" s="149">
        <v>46141</v>
      </c>
      <c r="M1231" s="148"/>
    </row>
    <row r="1232" spans="1:13" ht="15" customHeight="1">
      <c r="A1232" s="142" t="s">
        <v>3521</v>
      </c>
      <c r="B1232" s="142">
        <v>515047</v>
      </c>
      <c r="C1232" s="143" t="s">
        <v>3522</v>
      </c>
      <c r="D1232" s="142" t="s">
        <v>3370</v>
      </c>
      <c r="E1232" s="143" t="s">
        <v>3384</v>
      </c>
      <c r="F1232" s="143" t="s">
        <v>3384</v>
      </c>
      <c r="G1232" s="142" t="s">
        <v>102</v>
      </c>
      <c r="H1232" s="142" t="s">
        <v>53</v>
      </c>
      <c r="I1232" s="143" t="s">
        <v>1110</v>
      </c>
      <c r="J1232" s="143" t="s">
        <v>104</v>
      </c>
      <c r="K1232" s="144" t="s">
        <v>121</v>
      </c>
      <c r="L1232" s="145">
        <v>46148</v>
      </c>
      <c r="M1232" s="144" t="s">
        <v>3421</v>
      </c>
    </row>
    <row r="1233" spans="1:13" ht="15" customHeight="1">
      <c r="A1233" s="146" t="s">
        <v>3523</v>
      </c>
      <c r="B1233" s="146">
        <v>514619</v>
      </c>
      <c r="C1233" s="147" t="s">
        <v>3524</v>
      </c>
      <c r="D1233" s="146" t="s">
        <v>3370</v>
      </c>
      <c r="E1233" s="147" t="s">
        <v>3385</v>
      </c>
      <c r="F1233" s="147" t="s">
        <v>3525</v>
      </c>
      <c r="G1233" s="146" t="s">
        <v>102</v>
      </c>
      <c r="H1233" s="146" t="s">
        <v>53</v>
      </c>
      <c r="I1233" s="147" t="s">
        <v>1184</v>
      </c>
      <c r="J1233" s="147" t="s">
        <v>104</v>
      </c>
      <c r="K1233" s="148" t="s">
        <v>121</v>
      </c>
      <c r="L1233" s="149">
        <v>46148</v>
      </c>
      <c r="M1233" s="148"/>
    </row>
    <row r="1234" spans="1:13" ht="15" customHeight="1">
      <c r="A1234" s="142" t="s">
        <v>3526</v>
      </c>
      <c r="B1234" s="142">
        <v>514639</v>
      </c>
      <c r="C1234" s="143" t="s">
        <v>3527</v>
      </c>
      <c r="D1234" s="142" t="s">
        <v>3370</v>
      </c>
      <c r="E1234" s="143" t="s">
        <v>3447</v>
      </c>
      <c r="F1234" s="143" t="s">
        <v>3528</v>
      </c>
      <c r="G1234" s="142" t="s">
        <v>109</v>
      </c>
      <c r="H1234" s="142" t="s">
        <v>50</v>
      </c>
      <c r="I1234" s="143" t="s">
        <v>3449</v>
      </c>
      <c r="J1234" s="143" t="s">
        <v>104</v>
      </c>
      <c r="K1234" s="144" t="s">
        <v>121</v>
      </c>
      <c r="L1234" s="145">
        <v>46150</v>
      </c>
      <c r="M1234" s="144"/>
    </row>
    <row r="1235" spans="1:13" ht="15" customHeight="1">
      <c r="A1235" s="146" t="s">
        <v>3529</v>
      </c>
      <c r="B1235" s="146">
        <v>515337</v>
      </c>
      <c r="C1235" s="147" t="s">
        <v>3381</v>
      </c>
      <c r="D1235" s="146" t="s">
        <v>3370</v>
      </c>
      <c r="E1235" s="147" t="s">
        <v>3460</v>
      </c>
      <c r="F1235" s="147" t="s">
        <v>3530</v>
      </c>
      <c r="G1235" s="146" t="s">
        <v>102</v>
      </c>
      <c r="H1235" s="146" t="s">
        <v>53</v>
      </c>
      <c r="I1235" s="147" t="s">
        <v>1110</v>
      </c>
      <c r="J1235" s="147" t="s">
        <v>104</v>
      </c>
      <c r="K1235" s="148"/>
      <c r="L1235" s="149"/>
      <c r="M1235" s="148"/>
    </row>
    <row r="1236" spans="1:13" ht="15" customHeight="1">
      <c r="A1236" s="142" t="s">
        <v>3531</v>
      </c>
      <c r="B1236" s="142">
        <v>514935</v>
      </c>
      <c r="C1236" s="143" t="s">
        <v>437</v>
      </c>
      <c r="D1236" s="142" t="s">
        <v>3370</v>
      </c>
      <c r="E1236" s="143" t="s">
        <v>3505</v>
      </c>
      <c r="F1236" s="143" t="s">
        <v>3532</v>
      </c>
      <c r="G1236" s="142" t="s">
        <v>102</v>
      </c>
      <c r="H1236" s="142" t="s">
        <v>50</v>
      </c>
      <c r="I1236" s="143" t="s">
        <v>3449</v>
      </c>
      <c r="J1236" s="143" t="s">
        <v>104</v>
      </c>
      <c r="K1236" s="144" t="s">
        <v>121</v>
      </c>
      <c r="L1236" s="145">
        <v>46140</v>
      </c>
      <c r="M1236" s="144"/>
    </row>
    <row r="1237" spans="1:13" ht="15" customHeight="1">
      <c r="A1237" s="146" t="s">
        <v>3533</v>
      </c>
      <c r="B1237" s="146">
        <v>514912</v>
      </c>
      <c r="C1237" s="147" t="s">
        <v>1295</v>
      </c>
      <c r="D1237" s="146" t="s">
        <v>3370</v>
      </c>
      <c r="E1237" s="147" t="s">
        <v>3375</v>
      </c>
      <c r="F1237" s="147" t="s">
        <v>3534</v>
      </c>
      <c r="G1237" s="146" t="s">
        <v>102</v>
      </c>
      <c r="H1237" s="146" t="s">
        <v>53</v>
      </c>
      <c r="I1237" s="147" t="s">
        <v>1184</v>
      </c>
      <c r="J1237" s="147" t="s">
        <v>104</v>
      </c>
      <c r="K1237" s="148"/>
      <c r="L1237" s="149"/>
      <c r="M1237" s="148"/>
    </row>
    <row r="1238" spans="1:13" ht="15" customHeight="1">
      <c r="A1238" s="142" t="s">
        <v>3535</v>
      </c>
      <c r="B1238" s="142">
        <v>514837</v>
      </c>
      <c r="C1238" s="143" t="s">
        <v>3437</v>
      </c>
      <c r="D1238" s="142" t="s">
        <v>3370</v>
      </c>
      <c r="E1238" s="143" t="s">
        <v>3375</v>
      </c>
      <c r="F1238" s="143" t="s">
        <v>3536</v>
      </c>
      <c r="G1238" s="142" t="s">
        <v>102</v>
      </c>
      <c r="H1238" s="142" t="s">
        <v>53</v>
      </c>
      <c r="I1238" s="143" t="s">
        <v>1184</v>
      </c>
      <c r="J1238" s="143" t="s">
        <v>104</v>
      </c>
      <c r="K1238" s="144"/>
      <c r="L1238" s="145"/>
      <c r="M1238" s="144"/>
    </row>
    <row r="1239" spans="1:13" ht="15" customHeight="1">
      <c r="A1239" s="146" t="s">
        <v>3537</v>
      </c>
      <c r="B1239" s="146">
        <v>514662</v>
      </c>
      <c r="C1239" s="147" t="s">
        <v>694</v>
      </c>
      <c r="D1239" s="146" t="s">
        <v>3370</v>
      </c>
      <c r="E1239" s="147" t="s">
        <v>3505</v>
      </c>
      <c r="F1239" s="147" t="s">
        <v>3538</v>
      </c>
      <c r="G1239" s="146" t="s">
        <v>109</v>
      </c>
      <c r="H1239" s="146" t="s">
        <v>50</v>
      </c>
      <c r="I1239" s="147" t="s">
        <v>3449</v>
      </c>
      <c r="J1239" s="147" t="s">
        <v>104</v>
      </c>
      <c r="K1239" s="148" t="s">
        <v>121</v>
      </c>
      <c r="L1239" s="149">
        <v>46140</v>
      </c>
      <c r="M1239" s="148"/>
    </row>
    <row r="1240" spans="1:13" ht="15" customHeight="1">
      <c r="A1240" s="142" t="s">
        <v>3539</v>
      </c>
      <c r="B1240" s="142">
        <v>514988</v>
      </c>
      <c r="C1240" s="143" t="s">
        <v>3540</v>
      </c>
      <c r="D1240" s="142" t="s">
        <v>3370</v>
      </c>
      <c r="E1240" s="143" t="s">
        <v>1244</v>
      </c>
      <c r="F1240" s="143" t="s">
        <v>3541</v>
      </c>
      <c r="G1240" s="142" t="s">
        <v>102</v>
      </c>
      <c r="H1240" s="142" t="s">
        <v>53</v>
      </c>
      <c r="I1240" s="143" t="s">
        <v>1184</v>
      </c>
      <c r="J1240" s="143" t="s">
        <v>104</v>
      </c>
      <c r="K1240" s="144"/>
      <c r="L1240" s="145"/>
      <c r="M1240" s="144"/>
    </row>
    <row r="1241" spans="1:13" ht="15" customHeight="1">
      <c r="A1241" s="146" t="s">
        <v>3542</v>
      </c>
      <c r="B1241" s="146">
        <v>515048</v>
      </c>
      <c r="C1241" s="147" t="s">
        <v>254</v>
      </c>
      <c r="D1241" s="146" t="s">
        <v>3370</v>
      </c>
      <c r="E1241" s="147" t="s">
        <v>3384</v>
      </c>
      <c r="F1241" s="147" t="s">
        <v>3384</v>
      </c>
      <c r="G1241" s="146" t="s">
        <v>102</v>
      </c>
      <c r="H1241" s="146" t="s">
        <v>53</v>
      </c>
      <c r="I1241" s="147" t="s">
        <v>1110</v>
      </c>
      <c r="J1241" s="147" t="s">
        <v>104</v>
      </c>
      <c r="K1241" s="148" t="s">
        <v>121</v>
      </c>
      <c r="L1241" s="149">
        <v>46148</v>
      </c>
      <c r="M1241" s="148" t="s">
        <v>3421</v>
      </c>
    </row>
    <row r="1242" spans="1:13" ht="15" customHeight="1">
      <c r="A1242" s="142" t="s">
        <v>3543</v>
      </c>
      <c r="B1242" s="142">
        <v>514767</v>
      </c>
      <c r="C1242" s="143" t="s">
        <v>3544</v>
      </c>
      <c r="D1242" s="142" t="s">
        <v>3370</v>
      </c>
      <c r="E1242" s="143" t="s">
        <v>3375</v>
      </c>
      <c r="F1242" s="143" t="s">
        <v>3545</v>
      </c>
      <c r="G1242" s="142" t="s">
        <v>102</v>
      </c>
      <c r="H1242" s="142" t="s">
        <v>53</v>
      </c>
      <c r="I1242" s="143" t="s">
        <v>1184</v>
      </c>
      <c r="J1242" s="143" t="s">
        <v>104</v>
      </c>
      <c r="K1242" s="144"/>
      <c r="L1242" s="145"/>
      <c r="M1242" s="144"/>
    </row>
    <row r="1243" spans="1:13" ht="15" customHeight="1">
      <c r="A1243" s="146" t="s">
        <v>3546</v>
      </c>
      <c r="B1243" s="146">
        <v>514943</v>
      </c>
      <c r="C1243" s="147" t="s">
        <v>437</v>
      </c>
      <c r="D1243" s="146" t="s">
        <v>3370</v>
      </c>
      <c r="E1243" s="147" t="s">
        <v>3547</v>
      </c>
      <c r="F1243" s="147" t="s">
        <v>3548</v>
      </c>
      <c r="G1243" s="146" t="s">
        <v>102</v>
      </c>
      <c r="H1243" s="146" t="s">
        <v>53</v>
      </c>
      <c r="I1243" s="147" t="s">
        <v>1110</v>
      </c>
      <c r="J1243" s="147" t="s">
        <v>104</v>
      </c>
      <c r="K1243" s="148" t="s">
        <v>121</v>
      </c>
      <c r="L1243" s="149">
        <v>46142</v>
      </c>
      <c r="M1243" s="148"/>
    </row>
    <row r="1244" spans="1:13" ht="15" customHeight="1">
      <c r="A1244" s="142" t="s">
        <v>3549</v>
      </c>
      <c r="B1244" s="142">
        <v>514750</v>
      </c>
      <c r="C1244" s="143" t="s">
        <v>348</v>
      </c>
      <c r="D1244" s="142" t="s">
        <v>3370</v>
      </c>
      <c r="E1244" s="143" t="s">
        <v>3385</v>
      </c>
      <c r="F1244" s="143" t="s">
        <v>3385</v>
      </c>
      <c r="G1244" s="142" t="s">
        <v>102</v>
      </c>
      <c r="H1244" s="142" t="s">
        <v>53</v>
      </c>
      <c r="I1244" s="143" t="s">
        <v>1184</v>
      </c>
      <c r="J1244" s="143" t="s">
        <v>104</v>
      </c>
      <c r="K1244" s="144" t="s">
        <v>121</v>
      </c>
      <c r="L1244" s="145">
        <v>46149</v>
      </c>
      <c r="M1244" s="144"/>
    </row>
    <row r="1245" spans="1:13" ht="15" customHeight="1">
      <c r="A1245" s="146" t="s">
        <v>3550</v>
      </c>
      <c r="B1245" s="146">
        <v>514634</v>
      </c>
      <c r="C1245" s="147" t="s">
        <v>2726</v>
      </c>
      <c r="D1245" s="146" t="s">
        <v>3370</v>
      </c>
      <c r="E1245" s="147" t="s">
        <v>3551</v>
      </c>
      <c r="F1245" s="147" t="s">
        <v>3552</v>
      </c>
      <c r="G1245" s="146" t="s">
        <v>102</v>
      </c>
      <c r="H1245" s="146" t="s">
        <v>53</v>
      </c>
      <c r="I1245" s="147" t="s">
        <v>1184</v>
      </c>
      <c r="J1245" s="147" t="s">
        <v>104</v>
      </c>
      <c r="K1245" s="148"/>
      <c r="L1245" s="149"/>
      <c r="M1245" s="148"/>
    </row>
    <row r="1246" spans="1:13" ht="15" customHeight="1">
      <c r="A1246" s="142" t="s">
        <v>3553</v>
      </c>
      <c r="B1246" s="142">
        <v>514879</v>
      </c>
      <c r="C1246" s="143" t="s">
        <v>3554</v>
      </c>
      <c r="D1246" s="142" t="s">
        <v>3370</v>
      </c>
      <c r="E1246" s="143" t="s">
        <v>1244</v>
      </c>
      <c r="F1246" s="143" t="s">
        <v>3555</v>
      </c>
      <c r="G1246" s="142" t="s">
        <v>109</v>
      </c>
      <c r="H1246" s="142" t="s">
        <v>53</v>
      </c>
      <c r="I1246" s="143" t="s">
        <v>1184</v>
      </c>
      <c r="J1246" s="143" t="s">
        <v>104</v>
      </c>
      <c r="K1246" s="144"/>
      <c r="L1246" s="145"/>
      <c r="M1246" s="144"/>
    </row>
    <row r="1247" spans="1:13" ht="15" customHeight="1">
      <c r="A1247" s="146" t="s">
        <v>3556</v>
      </c>
      <c r="B1247" s="146">
        <v>514917</v>
      </c>
      <c r="C1247" s="147" t="s">
        <v>3557</v>
      </c>
      <c r="D1247" s="146" t="s">
        <v>3370</v>
      </c>
      <c r="E1247" s="147" t="s">
        <v>3558</v>
      </c>
      <c r="F1247" s="147" t="s">
        <v>3559</v>
      </c>
      <c r="G1247" s="146" t="s">
        <v>109</v>
      </c>
      <c r="H1247" s="146" t="s">
        <v>53</v>
      </c>
      <c r="I1247" s="147" t="s">
        <v>1184</v>
      </c>
      <c r="J1247" s="147" t="s">
        <v>104</v>
      </c>
      <c r="K1247" s="148"/>
      <c r="L1247" s="149"/>
      <c r="M1247" s="148"/>
    </row>
    <row r="1248" spans="1:13" ht="15" customHeight="1">
      <c r="A1248" s="142" t="s">
        <v>3560</v>
      </c>
      <c r="B1248" s="142">
        <v>514572</v>
      </c>
      <c r="C1248" s="143" t="s">
        <v>2571</v>
      </c>
      <c r="D1248" s="142" t="s">
        <v>3370</v>
      </c>
      <c r="E1248" s="143" t="s">
        <v>3561</v>
      </c>
      <c r="F1248" s="143" t="s">
        <v>3562</v>
      </c>
      <c r="G1248" s="142" t="s">
        <v>102</v>
      </c>
      <c r="H1248" s="142" t="s">
        <v>53</v>
      </c>
      <c r="I1248" s="143" t="s">
        <v>1110</v>
      </c>
      <c r="J1248" s="143" t="s">
        <v>104</v>
      </c>
      <c r="K1248" s="144"/>
      <c r="L1248" s="145"/>
      <c r="M1248" s="144"/>
    </row>
    <row r="1249" spans="1:13" ht="15" customHeight="1">
      <c r="A1249" s="146" t="s">
        <v>3563</v>
      </c>
      <c r="B1249" s="146">
        <v>515191</v>
      </c>
      <c r="C1249" s="147" t="s">
        <v>3564</v>
      </c>
      <c r="D1249" s="146" t="s">
        <v>3370</v>
      </c>
      <c r="E1249" s="147" t="s">
        <v>3408</v>
      </c>
      <c r="F1249" s="147" t="s">
        <v>3565</v>
      </c>
      <c r="G1249" s="146" t="s">
        <v>109</v>
      </c>
      <c r="H1249" s="146" t="s">
        <v>53</v>
      </c>
      <c r="I1249" s="147" t="s">
        <v>1110</v>
      </c>
      <c r="J1249" s="147" t="s">
        <v>104</v>
      </c>
      <c r="K1249" s="148" t="s">
        <v>121</v>
      </c>
      <c r="L1249" s="149">
        <v>46142</v>
      </c>
      <c r="M1249" s="148"/>
    </row>
    <row r="1250" spans="1:13" ht="15" customHeight="1">
      <c r="A1250" s="142" t="s">
        <v>3566</v>
      </c>
      <c r="B1250" s="142">
        <v>514596</v>
      </c>
      <c r="C1250" s="143" t="s">
        <v>3567</v>
      </c>
      <c r="D1250" s="142" t="s">
        <v>3370</v>
      </c>
      <c r="E1250" s="143" t="s">
        <v>3371</v>
      </c>
      <c r="F1250" s="143" t="s">
        <v>3568</v>
      </c>
      <c r="G1250" s="142" t="s">
        <v>109</v>
      </c>
      <c r="H1250" s="142" t="s">
        <v>53</v>
      </c>
      <c r="I1250" s="143" t="s">
        <v>1110</v>
      </c>
      <c r="J1250" s="143" t="s">
        <v>104</v>
      </c>
      <c r="K1250" s="144" t="s">
        <v>121</v>
      </c>
      <c r="L1250" s="145">
        <v>46140</v>
      </c>
      <c r="M1250" s="144"/>
    </row>
    <row r="1251" spans="1:13" ht="15" customHeight="1">
      <c r="A1251" s="146" t="s">
        <v>3569</v>
      </c>
      <c r="B1251" s="146">
        <v>514609</v>
      </c>
      <c r="C1251" s="147" t="s">
        <v>3570</v>
      </c>
      <c r="D1251" s="146" t="s">
        <v>3370</v>
      </c>
      <c r="E1251" s="147" t="s">
        <v>3571</v>
      </c>
      <c r="F1251" s="147" t="s">
        <v>3572</v>
      </c>
      <c r="G1251" s="146" t="s">
        <v>102</v>
      </c>
      <c r="H1251" s="146" t="s">
        <v>50</v>
      </c>
      <c r="I1251" s="147" t="s">
        <v>3449</v>
      </c>
      <c r="J1251" s="147" t="s">
        <v>104</v>
      </c>
      <c r="K1251" s="148" t="s">
        <v>121</v>
      </c>
      <c r="L1251" s="149">
        <v>46148</v>
      </c>
      <c r="M1251" s="148"/>
    </row>
    <row r="1252" spans="1:13" ht="15" customHeight="1">
      <c r="A1252" s="142" t="s">
        <v>3573</v>
      </c>
      <c r="B1252" s="142">
        <v>514696</v>
      </c>
      <c r="C1252" s="143" t="s">
        <v>1123</v>
      </c>
      <c r="D1252" s="142" t="s">
        <v>3370</v>
      </c>
      <c r="E1252" s="143" t="s">
        <v>3447</v>
      </c>
      <c r="F1252" s="143" t="s">
        <v>3574</v>
      </c>
      <c r="G1252" s="142" t="s">
        <v>109</v>
      </c>
      <c r="H1252" s="142" t="s">
        <v>50</v>
      </c>
      <c r="I1252" s="143" t="s">
        <v>3449</v>
      </c>
      <c r="J1252" s="143" t="s">
        <v>104</v>
      </c>
      <c r="K1252" s="144" t="s">
        <v>121</v>
      </c>
      <c r="L1252" s="145">
        <v>46142</v>
      </c>
      <c r="M1252" s="144"/>
    </row>
    <row r="1253" spans="1:13" ht="15" customHeight="1">
      <c r="A1253" s="146" t="s">
        <v>3575</v>
      </c>
      <c r="B1253" s="146">
        <v>515222</v>
      </c>
      <c r="C1253" s="147" t="s">
        <v>3369</v>
      </c>
      <c r="D1253" s="146" t="s">
        <v>3370</v>
      </c>
      <c r="E1253" s="147" t="s">
        <v>3576</v>
      </c>
      <c r="F1253" s="147" t="s">
        <v>3577</v>
      </c>
      <c r="G1253" s="146" t="s">
        <v>102</v>
      </c>
      <c r="H1253" s="146" t="s">
        <v>53</v>
      </c>
      <c r="I1253" s="147" t="s">
        <v>1110</v>
      </c>
      <c r="J1253" s="147" t="s">
        <v>104</v>
      </c>
      <c r="K1253" s="148" t="s">
        <v>121</v>
      </c>
      <c r="L1253" s="149">
        <v>46142</v>
      </c>
      <c r="M1253" s="148"/>
    </row>
    <row r="1254" spans="1:13" ht="15" customHeight="1">
      <c r="A1254" s="142" t="s">
        <v>3578</v>
      </c>
      <c r="B1254" s="142">
        <v>514671</v>
      </c>
      <c r="C1254" s="143" t="s">
        <v>3579</v>
      </c>
      <c r="D1254" s="142" t="s">
        <v>3370</v>
      </c>
      <c r="E1254" s="143" t="s">
        <v>3447</v>
      </c>
      <c r="F1254" s="143" t="s">
        <v>1714</v>
      </c>
      <c r="G1254" s="142" t="s">
        <v>102</v>
      </c>
      <c r="H1254" s="142" t="s">
        <v>50</v>
      </c>
      <c r="I1254" s="143" t="s">
        <v>3449</v>
      </c>
      <c r="J1254" s="143" t="s">
        <v>104</v>
      </c>
      <c r="K1254" s="144" t="s">
        <v>121</v>
      </c>
      <c r="L1254" s="145">
        <v>46140</v>
      </c>
      <c r="M1254" s="144"/>
    </row>
    <row r="1255" spans="1:13" ht="15" customHeight="1">
      <c r="A1255" s="146" t="s">
        <v>3580</v>
      </c>
      <c r="B1255" s="146">
        <v>515087</v>
      </c>
      <c r="C1255" s="147" t="s">
        <v>3581</v>
      </c>
      <c r="D1255" s="146" t="s">
        <v>3370</v>
      </c>
      <c r="E1255" s="147" t="s">
        <v>3582</v>
      </c>
      <c r="F1255" s="147" t="s">
        <v>3583</v>
      </c>
      <c r="G1255" s="146" t="s">
        <v>109</v>
      </c>
      <c r="H1255" s="146" t="s">
        <v>53</v>
      </c>
      <c r="I1255" s="147" t="s">
        <v>1110</v>
      </c>
      <c r="J1255" s="147" t="s">
        <v>104</v>
      </c>
      <c r="K1255" s="148"/>
      <c r="L1255" s="149"/>
      <c r="M1255" s="148"/>
    </row>
    <row r="1256" spans="1:13" ht="15" customHeight="1">
      <c r="A1256" s="142" t="s">
        <v>3584</v>
      </c>
      <c r="B1256" s="142">
        <v>515311</v>
      </c>
      <c r="C1256" s="143" t="s">
        <v>1215</v>
      </c>
      <c r="D1256" s="142" t="s">
        <v>3370</v>
      </c>
      <c r="E1256" s="143" t="s">
        <v>3460</v>
      </c>
      <c r="F1256" s="143" t="s">
        <v>3585</v>
      </c>
      <c r="G1256" s="142" t="s">
        <v>109</v>
      </c>
      <c r="H1256" s="142" t="s">
        <v>53</v>
      </c>
      <c r="I1256" s="143" t="s">
        <v>1110</v>
      </c>
      <c r="J1256" s="143" t="s">
        <v>104</v>
      </c>
      <c r="K1256" s="144"/>
      <c r="L1256" s="145"/>
      <c r="M1256" s="144"/>
    </row>
    <row r="1257" spans="1:13" ht="15" customHeight="1">
      <c r="A1257" s="146" t="s">
        <v>3586</v>
      </c>
      <c r="B1257" s="146">
        <v>514954</v>
      </c>
      <c r="C1257" s="147" t="s">
        <v>1123</v>
      </c>
      <c r="D1257" s="146" t="s">
        <v>3370</v>
      </c>
      <c r="E1257" s="147" t="s">
        <v>3587</v>
      </c>
      <c r="F1257" s="147" t="s">
        <v>3588</v>
      </c>
      <c r="G1257" s="146" t="s">
        <v>109</v>
      </c>
      <c r="H1257" s="146" t="s">
        <v>53</v>
      </c>
      <c r="I1257" s="147" t="s">
        <v>1110</v>
      </c>
      <c r="J1257" s="147" t="s">
        <v>104</v>
      </c>
      <c r="K1257" s="148"/>
      <c r="L1257" s="149"/>
      <c r="M1257" s="148"/>
    </row>
    <row r="1258" spans="1:13" ht="15" customHeight="1">
      <c r="A1258" s="142" t="s">
        <v>3589</v>
      </c>
      <c r="B1258" s="142">
        <v>514851</v>
      </c>
      <c r="C1258" s="143" t="s">
        <v>3590</v>
      </c>
      <c r="D1258" s="142" t="s">
        <v>3370</v>
      </c>
      <c r="E1258" s="143" t="s">
        <v>1244</v>
      </c>
      <c r="F1258" s="143" t="s">
        <v>3591</v>
      </c>
      <c r="G1258" s="142" t="s">
        <v>102</v>
      </c>
      <c r="H1258" s="142" t="s">
        <v>53</v>
      </c>
      <c r="I1258" s="143" t="s">
        <v>1184</v>
      </c>
      <c r="J1258" s="143" t="s">
        <v>104</v>
      </c>
      <c r="K1258" s="144"/>
      <c r="L1258" s="145"/>
      <c r="M1258" s="144"/>
    </row>
    <row r="1259" spans="1:13" ht="15" customHeight="1">
      <c r="A1259" s="146" t="s">
        <v>3592</v>
      </c>
      <c r="B1259" s="146">
        <v>515054</v>
      </c>
      <c r="C1259" s="147" t="s">
        <v>437</v>
      </c>
      <c r="D1259" s="146" t="s">
        <v>3370</v>
      </c>
      <c r="E1259" s="147" t="s">
        <v>3384</v>
      </c>
      <c r="F1259" s="147" t="s">
        <v>3478</v>
      </c>
      <c r="G1259" s="146" t="s">
        <v>102</v>
      </c>
      <c r="H1259" s="146" t="s">
        <v>53</v>
      </c>
      <c r="I1259" s="147" t="s">
        <v>1110</v>
      </c>
      <c r="J1259" s="147" t="s">
        <v>104</v>
      </c>
      <c r="K1259" s="148"/>
      <c r="L1259" s="149"/>
      <c r="M1259" s="148"/>
    </row>
    <row r="1260" spans="1:13" ht="15" customHeight="1">
      <c r="A1260" s="142" t="s">
        <v>3593</v>
      </c>
      <c r="B1260" s="142">
        <v>514739</v>
      </c>
      <c r="C1260" s="143" t="s">
        <v>3594</v>
      </c>
      <c r="D1260" s="142" t="s">
        <v>3370</v>
      </c>
      <c r="E1260" s="143" t="s">
        <v>3398</v>
      </c>
      <c r="F1260" s="143" t="s">
        <v>3595</v>
      </c>
      <c r="G1260" s="142" t="s">
        <v>109</v>
      </c>
      <c r="H1260" s="142" t="s">
        <v>53</v>
      </c>
      <c r="I1260" s="143" t="s">
        <v>1184</v>
      </c>
      <c r="J1260" s="143" t="s">
        <v>104</v>
      </c>
      <c r="K1260" s="144"/>
      <c r="L1260" s="145"/>
      <c r="M1260" s="144"/>
    </row>
    <row r="1261" spans="1:13" ht="15" customHeight="1">
      <c r="A1261" s="146" t="s">
        <v>3596</v>
      </c>
      <c r="B1261" s="146">
        <v>513083</v>
      </c>
      <c r="C1261" s="147" t="s">
        <v>3597</v>
      </c>
      <c r="D1261" s="146" t="s">
        <v>3370</v>
      </c>
      <c r="E1261" s="147" t="s">
        <v>3598</v>
      </c>
      <c r="F1261" s="147" t="s">
        <v>3599</v>
      </c>
      <c r="G1261" s="146" t="s">
        <v>109</v>
      </c>
      <c r="H1261" s="146" t="s">
        <v>53</v>
      </c>
      <c r="I1261" s="147" t="s">
        <v>1110</v>
      </c>
      <c r="J1261" s="147" t="s">
        <v>104</v>
      </c>
      <c r="K1261" s="148"/>
      <c r="L1261" s="149"/>
      <c r="M1261" s="148"/>
    </row>
    <row r="1262" spans="1:13" ht="15" customHeight="1">
      <c r="A1262" s="142" t="s">
        <v>3600</v>
      </c>
      <c r="B1262" s="142">
        <v>514990</v>
      </c>
      <c r="C1262" s="143" t="s">
        <v>3601</v>
      </c>
      <c r="D1262" s="142" t="s">
        <v>3370</v>
      </c>
      <c r="E1262" s="143" t="s">
        <v>3385</v>
      </c>
      <c r="F1262" s="143" t="s">
        <v>3602</v>
      </c>
      <c r="G1262" s="142" t="s">
        <v>102</v>
      </c>
      <c r="H1262" s="142" t="s">
        <v>53</v>
      </c>
      <c r="I1262" s="143" t="s">
        <v>1184</v>
      </c>
      <c r="J1262" s="143" t="s">
        <v>104</v>
      </c>
      <c r="K1262" s="144" t="s">
        <v>121</v>
      </c>
      <c r="L1262" s="145">
        <v>46149</v>
      </c>
      <c r="M1262" s="144"/>
    </row>
    <row r="1263" spans="1:13" ht="15" customHeight="1">
      <c r="A1263" s="146" t="s">
        <v>3603</v>
      </c>
      <c r="B1263" s="146">
        <v>514860</v>
      </c>
      <c r="C1263" s="147" t="s">
        <v>3604</v>
      </c>
      <c r="D1263" s="146" t="s">
        <v>3370</v>
      </c>
      <c r="E1263" s="147" t="s">
        <v>3379</v>
      </c>
      <c r="F1263" s="147" t="s">
        <v>3605</v>
      </c>
      <c r="G1263" s="146" t="s">
        <v>109</v>
      </c>
      <c r="H1263" s="146" t="s">
        <v>53</v>
      </c>
      <c r="I1263" s="147" t="s">
        <v>1110</v>
      </c>
      <c r="J1263" s="147" t="s">
        <v>104</v>
      </c>
      <c r="K1263" s="148"/>
      <c r="L1263" s="149"/>
      <c r="M1263" s="148"/>
    </row>
    <row r="1264" spans="1:13" ht="15" customHeight="1">
      <c r="A1264" s="142" t="s">
        <v>3606</v>
      </c>
      <c r="B1264" s="142">
        <v>515884</v>
      </c>
      <c r="C1264" s="143" t="s">
        <v>3607</v>
      </c>
      <c r="D1264" s="142" t="s">
        <v>3370</v>
      </c>
      <c r="E1264" s="143" t="s">
        <v>3428</v>
      </c>
      <c r="F1264" s="143" t="s">
        <v>3608</v>
      </c>
      <c r="G1264" s="142" t="s">
        <v>102</v>
      </c>
      <c r="H1264" s="142" t="s">
        <v>53</v>
      </c>
      <c r="I1264" s="143" t="s">
        <v>1184</v>
      </c>
      <c r="J1264" s="143" t="s">
        <v>104</v>
      </c>
      <c r="K1264" s="144"/>
      <c r="L1264" s="145"/>
      <c r="M1264" s="144"/>
    </row>
    <row r="1265" spans="1:13" ht="15" customHeight="1">
      <c r="A1265" s="146" t="s">
        <v>3609</v>
      </c>
      <c r="B1265" s="146">
        <v>515067</v>
      </c>
      <c r="C1265" s="147" t="s">
        <v>2621</v>
      </c>
      <c r="D1265" s="146" t="s">
        <v>3370</v>
      </c>
      <c r="E1265" s="147" t="s">
        <v>3385</v>
      </c>
      <c r="F1265" s="147" t="s">
        <v>3610</v>
      </c>
      <c r="G1265" s="146" t="s">
        <v>102</v>
      </c>
      <c r="H1265" s="146" t="s">
        <v>53</v>
      </c>
      <c r="I1265" s="147" t="s">
        <v>1184</v>
      </c>
      <c r="J1265" s="147" t="s">
        <v>104</v>
      </c>
      <c r="K1265" s="148"/>
      <c r="L1265" s="149"/>
      <c r="M1265" s="148"/>
    </row>
    <row r="1266" spans="1:13" ht="15" customHeight="1">
      <c r="A1266" s="142" t="s">
        <v>3611</v>
      </c>
      <c r="B1266" s="142">
        <v>514735</v>
      </c>
      <c r="C1266" s="143" t="s">
        <v>3612</v>
      </c>
      <c r="D1266" s="142" t="s">
        <v>3370</v>
      </c>
      <c r="E1266" s="143" t="s">
        <v>3384</v>
      </c>
      <c r="F1266" s="143" t="s">
        <v>3613</v>
      </c>
      <c r="G1266" s="142" t="s">
        <v>102</v>
      </c>
      <c r="H1266" s="142" t="s">
        <v>53</v>
      </c>
      <c r="I1266" s="143" t="s">
        <v>1110</v>
      </c>
      <c r="J1266" s="143" t="s">
        <v>104</v>
      </c>
      <c r="K1266" s="144" t="s">
        <v>121</v>
      </c>
      <c r="L1266" s="145">
        <v>46149</v>
      </c>
      <c r="M1266" s="144" t="s">
        <v>3473</v>
      </c>
    </row>
    <row r="1267" spans="1:13" ht="15" customHeight="1">
      <c r="A1267" s="146" t="s">
        <v>3614</v>
      </c>
      <c r="B1267" s="146">
        <v>514960</v>
      </c>
      <c r="C1267" s="147" t="s">
        <v>1323</v>
      </c>
      <c r="D1267" s="146" t="s">
        <v>3370</v>
      </c>
      <c r="E1267" s="147" t="s">
        <v>3615</v>
      </c>
      <c r="F1267" s="147" t="s">
        <v>3616</v>
      </c>
      <c r="G1267" s="146" t="s">
        <v>109</v>
      </c>
      <c r="H1267" s="146" t="s">
        <v>53</v>
      </c>
      <c r="I1267" s="147" t="s">
        <v>1110</v>
      </c>
      <c r="J1267" s="147" t="s">
        <v>104</v>
      </c>
      <c r="K1267" s="148"/>
      <c r="L1267" s="149"/>
      <c r="M1267" s="148"/>
    </row>
    <row r="1268" spans="1:13" ht="15" customHeight="1">
      <c r="A1268" s="142" t="s">
        <v>3617</v>
      </c>
      <c r="B1268" s="142">
        <v>514728</v>
      </c>
      <c r="C1268" s="143" t="s">
        <v>3527</v>
      </c>
      <c r="D1268" s="142" t="s">
        <v>3370</v>
      </c>
      <c r="E1268" s="143" t="s">
        <v>3131</v>
      </c>
      <c r="F1268" s="143" t="s">
        <v>3618</v>
      </c>
      <c r="G1268" s="142" t="s">
        <v>102</v>
      </c>
      <c r="H1268" s="142" t="s">
        <v>53</v>
      </c>
      <c r="I1268" s="143" t="s">
        <v>1184</v>
      </c>
      <c r="J1268" s="143" t="s">
        <v>104</v>
      </c>
      <c r="K1268" s="144"/>
      <c r="L1268" s="145"/>
      <c r="M1268" s="144"/>
    </row>
    <row r="1269" spans="1:13" ht="15" customHeight="1">
      <c r="A1269" s="146" t="s">
        <v>3619</v>
      </c>
      <c r="B1269" s="146">
        <v>514863</v>
      </c>
      <c r="C1269" s="147" t="s">
        <v>1295</v>
      </c>
      <c r="D1269" s="146" t="s">
        <v>3370</v>
      </c>
      <c r="E1269" s="147" t="s">
        <v>3371</v>
      </c>
      <c r="F1269" s="147" t="s">
        <v>3620</v>
      </c>
      <c r="G1269" s="146" t="s">
        <v>109</v>
      </c>
      <c r="H1269" s="146" t="s">
        <v>53</v>
      </c>
      <c r="I1269" s="147" t="s">
        <v>1110</v>
      </c>
      <c r="J1269" s="147" t="s">
        <v>104</v>
      </c>
      <c r="K1269" s="148" t="s">
        <v>121</v>
      </c>
      <c r="L1269" s="149">
        <v>46140</v>
      </c>
      <c r="M1269" s="148"/>
    </row>
    <row r="1270" spans="1:13" ht="15" customHeight="1">
      <c r="A1270" s="142" t="s">
        <v>3621</v>
      </c>
      <c r="B1270" s="142">
        <v>515049</v>
      </c>
      <c r="C1270" s="143" t="s">
        <v>2256</v>
      </c>
      <c r="D1270" s="142" t="s">
        <v>3370</v>
      </c>
      <c r="E1270" s="143" t="s">
        <v>3384</v>
      </c>
      <c r="F1270" s="143" t="s">
        <v>3622</v>
      </c>
      <c r="G1270" s="142" t="s">
        <v>102</v>
      </c>
      <c r="H1270" s="142" t="s">
        <v>53</v>
      </c>
      <c r="I1270" s="143" t="s">
        <v>1110</v>
      </c>
      <c r="J1270" s="143" t="s">
        <v>104</v>
      </c>
      <c r="K1270" s="144" t="s">
        <v>121</v>
      </c>
      <c r="L1270" s="145">
        <v>46149</v>
      </c>
      <c r="M1270" s="144" t="s">
        <v>3473</v>
      </c>
    </row>
    <row r="1271" spans="1:13" ht="15" customHeight="1">
      <c r="A1271" s="146" t="s">
        <v>3623</v>
      </c>
      <c r="B1271" s="146">
        <v>514938</v>
      </c>
      <c r="C1271" s="147" t="s">
        <v>3624</v>
      </c>
      <c r="D1271" s="146" t="s">
        <v>3370</v>
      </c>
      <c r="E1271" s="147" t="s">
        <v>3408</v>
      </c>
      <c r="F1271" s="147" t="s">
        <v>3625</v>
      </c>
      <c r="G1271" s="146" t="s">
        <v>109</v>
      </c>
      <c r="H1271" s="146" t="s">
        <v>53</v>
      </c>
      <c r="I1271" s="147" t="s">
        <v>1110</v>
      </c>
      <c r="J1271" s="147" t="s">
        <v>104</v>
      </c>
      <c r="K1271" s="148" t="s">
        <v>121</v>
      </c>
      <c r="L1271" s="149">
        <v>46142</v>
      </c>
      <c r="M1271" s="148"/>
    </row>
    <row r="1272" spans="1:13" ht="15" customHeight="1">
      <c r="A1272" s="142" t="s">
        <v>3626</v>
      </c>
      <c r="B1272" s="142">
        <v>515037</v>
      </c>
      <c r="C1272" s="143" t="s">
        <v>3369</v>
      </c>
      <c r="D1272" s="142" t="s">
        <v>3370</v>
      </c>
      <c r="E1272" s="143" t="s">
        <v>3384</v>
      </c>
      <c r="F1272" s="143" t="s">
        <v>3627</v>
      </c>
      <c r="G1272" s="142" t="s">
        <v>102</v>
      </c>
      <c r="H1272" s="142" t="s">
        <v>53</v>
      </c>
      <c r="I1272" s="143" t="s">
        <v>1110</v>
      </c>
      <c r="J1272" s="143" t="s">
        <v>104</v>
      </c>
      <c r="K1272" s="144" t="s">
        <v>121</v>
      </c>
      <c r="L1272" s="145">
        <v>46149</v>
      </c>
      <c r="M1272" s="144" t="s">
        <v>3473</v>
      </c>
    </row>
    <row r="1273" spans="1:13" ht="15" customHeight="1">
      <c r="A1273" s="146" t="s">
        <v>3628</v>
      </c>
      <c r="B1273" s="146">
        <v>514843</v>
      </c>
      <c r="C1273" s="147" t="s">
        <v>3629</v>
      </c>
      <c r="D1273" s="146" t="s">
        <v>3370</v>
      </c>
      <c r="E1273" s="147" t="s">
        <v>3384</v>
      </c>
      <c r="F1273" s="147" t="s">
        <v>1123</v>
      </c>
      <c r="G1273" s="146" t="s">
        <v>102</v>
      </c>
      <c r="H1273" s="146" t="s">
        <v>53</v>
      </c>
      <c r="I1273" s="147" t="s">
        <v>1110</v>
      </c>
      <c r="J1273" s="147" t="s">
        <v>104</v>
      </c>
      <c r="K1273" s="148" t="s">
        <v>121</v>
      </c>
      <c r="L1273" s="149">
        <v>46148</v>
      </c>
      <c r="M1273" s="148" t="s">
        <v>3421</v>
      </c>
    </row>
    <row r="1274" spans="1:13" ht="15" customHeight="1">
      <c r="A1274" s="142" t="s">
        <v>3630</v>
      </c>
      <c r="B1274" s="142">
        <v>515068</v>
      </c>
      <c r="C1274" s="143" t="s">
        <v>3381</v>
      </c>
      <c r="D1274" s="142" t="s">
        <v>3370</v>
      </c>
      <c r="E1274" s="143" t="s">
        <v>3385</v>
      </c>
      <c r="F1274" s="143" t="s">
        <v>3631</v>
      </c>
      <c r="G1274" s="142" t="s">
        <v>102</v>
      </c>
      <c r="H1274" s="142" t="s">
        <v>53</v>
      </c>
      <c r="I1274" s="143" t="s">
        <v>1184</v>
      </c>
      <c r="J1274" s="143" t="s">
        <v>104</v>
      </c>
      <c r="K1274" s="144"/>
      <c r="L1274" s="145"/>
      <c r="M1274" s="144"/>
    </row>
    <row r="1275" spans="1:13" ht="15" customHeight="1">
      <c r="A1275" s="146" t="s">
        <v>3632</v>
      </c>
      <c r="B1275" s="146">
        <v>514822</v>
      </c>
      <c r="C1275" s="147" t="s">
        <v>1204</v>
      </c>
      <c r="D1275" s="146" t="s">
        <v>3370</v>
      </c>
      <c r="E1275" s="147" t="s">
        <v>3389</v>
      </c>
      <c r="F1275" s="147" t="s">
        <v>3633</v>
      </c>
      <c r="G1275" s="146" t="s">
        <v>109</v>
      </c>
      <c r="H1275" s="146" t="s">
        <v>50</v>
      </c>
      <c r="I1275" s="147" t="s">
        <v>3391</v>
      </c>
      <c r="J1275" s="147" t="s">
        <v>104</v>
      </c>
      <c r="K1275" s="150" t="s">
        <v>5</v>
      </c>
      <c r="L1275" s="149">
        <v>46106</v>
      </c>
      <c r="M1275" s="151" t="s">
        <v>3392</v>
      </c>
    </row>
    <row r="1276" spans="1:13" ht="15" customHeight="1">
      <c r="A1276" s="142" t="s">
        <v>3634</v>
      </c>
      <c r="B1276" s="142">
        <v>515026</v>
      </c>
      <c r="C1276" s="143" t="s">
        <v>486</v>
      </c>
      <c r="D1276" s="142" t="s">
        <v>3370</v>
      </c>
      <c r="E1276" s="143" t="s">
        <v>3460</v>
      </c>
      <c r="F1276" s="143" t="s">
        <v>3635</v>
      </c>
      <c r="G1276" s="142" t="s">
        <v>109</v>
      </c>
      <c r="H1276" s="142" t="s">
        <v>53</v>
      </c>
      <c r="I1276" s="143" t="s">
        <v>1110</v>
      </c>
      <c r="J1276" s="143" t="s">
        <v>104</v>
      </c>
      <c r="K1276" s="144"/>
      <c r="L1276" s="145"/>
      <c r="M1276" s="144"/>
    </row>
    <row r="1277" spans="1:13" ht="15" customHeight="1">
      <c r="A1277" s="146" t="s">
        <v>3636</v>
      </c>
      <c r="B1277" s="146">
        <v>515328</v>
      </c>
      <c r="C1277" s="147" t="s">
        <v>3637</v>
      </c>
      <c r="D1277" s="146" t="s">
        <v>3370</v>
      </c>
      <c r="E1277" s="147" t="s">
        <v>3558</v>
      </c>
      <c r="F1277" s="147" t="s">
        <v>3638</v>
      </c>
      <c r="G1277" s="146" t="s">
        <v>102</v>
      </c>
      <c r="H1277" s="146" t="s">
        <v>53</v>
      </c>
      <c r="I1277" s="147" t="s">
        <v>1184</v>
      </c>
      <c r="J1277" s="147" t="s">
        <v>104</v>
      </c>
      <c r="K1277" s="148"/>
      <c r="L1277" s="149"/>
      <c r="M1277" s="148"/>
    </row>
    <row r="1278" spans="1:13" ht="15" customHeight="1">
      <c r="A1278" s="142" t="s">
        <v>3639</v>
      </c>
      <c r="B1278" s="142">
        <v>514677</v>
      </c>
      <c r="C1278" s="143" t="s">
        <v>3640</v>
      </c>
      <c r="D1278" s="142" t="s">
        <v>3370</v>
      </c>
      <c r="E1278" s="143" t="s">
        <v>324</v>
      </c>
      <c r="F1278" s="143" t="s">
        <v>3641</v>
      </c>
      <c r="G1278" s="142" t="s">
        <v>102</v>
      </c>
      <c r="H1278" s="142" t="s">
        <v>53</v>
      </c>
      <c r="I1278" s="143" t="s">
        <v>1110</v>
      </c>
      <c r="J1278" s="143" t="s">
        <v>104</v>
      </c>
      <c r="K1278" s="144" t="s">
        <v>121</v>
      </c>
      <c r="L1278" s="145">
        <v>46149</v>
      </c>
      <c r="M1278" s="144" t="s">
        <v>3473</v>
      </c>
    </row>
    <row r="1279" spans="1:13" ht="15" customHeight="1">
      <c r="A1279" s="146" t="s">
        <v>3642</v>
      </c>
      <c r="B1279" s="146">
        <v>515015</v>
      </c>
      <c r="C1279" s="147" t="s">
        <v>3643</v>
      </c>
      <c r="D1279" s="146" t="s">
        <v>3370</v>
      </c>
      <c r="E1279" s="147" t="s">
        <v>3644</v>
      </c>
      <c r="F1279" s="147" t="s">
        <v>3645</v>
      </c>
      <c r="G1279" s="146" t="s">
        <v>102</v>
      </c>
      <c r="H1279" s="146" t="s">
        <v>53</v>
      </c>
      <c r="I1279" s="147" t="s">
        <v>1110</v>
      </c>
      <c r="J1279" s="147" t="s">
        <v>104</v>
      </c>
      <c r="K1279" s="148"/>
      <c r="L1279" s="149"/>
      <c r="M1279" s="148"/>
    </row>
    <row r="1280" spans="1:13" ht="15" customHeight="1">
      <c r="A1280" s="142" t="s">
        <v>3646</v>
      </c>
      <c r="B1280" s="142">
        <v>514627</v>
      </c>
      <c r="C1280" s="143" t="s">
        <v>3647</v>
      </c>
      <c r="D1280" s="142" t="s">
        <v>3370</v>
      </c>
      <c r="E1280" s="143" t="s">
        <v>3551</v>
      </c>
      <c r="F1280" s="143" t="s">
        <v>3648</v>
      </c>
      <c r="G1280" s="142" t="s">
        <v>102</v>
      </c>
      <c r="H1280" s="142" t="s">
        <v>53</v>
      </c>
      <c r="I1280" s="143" t="s">
        <v>1184</v>
      </c>
      <c r="J1280" s="143" t="s">
        <v>104</v>
      </c>
      <c r="K1280" s="144"/>
      <c r="L1280" s="145"/>
      <c r="M1280" s="144"/>
    </row>
    <row r="1281" spans="1:13" ht="15" customHeight="1">
      <c r="A1281" s="146" t="s">
        <v>3649</v>
      </c>
      <c r="B1281" s="146">
        <v>514744</v>
      </c>
      <c r="C1281" s="147" t="s">
        <v>3650</v>
      </c>
      <c r="D1281" s="146" t="s">
        <v>3370</v>
      </c>
      <c r="E1281" s="147" t="s">
        <v>3651</v>
      </c>
      <c r="F1281" s="147" t="s">
        <v>3651</v>
      </c>
      <c r="G1281" s="146" t="s">
        <v>109</v>
      </c>
      <c r="H1281" s="146" t="s">
        <v>53</v>
      </c>
      <c r="I1281" s="147" t="s">
        <v>1110</v>
      </c>
      <c r="J1281" s="147" t="s">
        <v>104</v>
      </c>
      <c r="K1281" s="148"/>
      <c r="L1281" s="149"/>
      <c r="M1281" s="148"/>
    </row>
    <row r="1282" spans="1:13" ht="15" customHeight="1">
      <c r="A1282" s="142" t="s">
        <v>3652</v>
      </c>
      <c r="B1282" s="142">
        <v>514588</v>
      </c>
      <c r="C1282" s="143" t="s">
        <v>3653</v>
      </c>
      <c r="D1282" s="142" t="s">
        <v>3370</v>
      </c>
      <c r="E1282" s="143" t="s">
        <v>3416</v>
      </c>
      <c r="F1282" s="143" t="s">
        <v>3416</v>
      </c>
      <c r="G1282" s="142" t="s">
        <v>102</v>
      </c>
      <c r="H1282" s="142" t="s">
        <v>53</v>
      </c>
      <c r="I1282" s="143" t="s">
        <v>1110</v>
      </c>
      <c r="J1282" s="143" t="s">
        <v>104</v>
      </c>
      <c r="K1282" s="144"/>
      <c r="L1282" s="145"/>
      <c r="M1282" s="144"/>
    </row>
    <row r="1283" spans="1:13" ht="15" customHeight="1">
      <c r="A1283" s="146" t="s">
        <v>3654</v>
      </c>
      <c r="B1283" s="146">
        <v>514579</v>
      </c>
      <c r="C1283" s="147" t="s">
        <v>3001</v>
      </c>
      <c r="D1283" s="146" t="s">
        <v>3370</v>
      </c>
      <c r="E1283" s="147" t="s">
        <v>3428</v>
      </c>
      <c r="F1283" s="147" t="s">
        <v>3655</v>
      </c>
      <c r="G1283" s="146" t="s">
        <v>102</v>
      </c>
      <c r="H1283" s="146" t="s">
        <v>53</v>
      </c>
      <c r="I1283" s="147" t="s">
        <v>1184</v>
      </c>
      <c r="J1283" s="147" t="s">
        <v>104</v>
      </c>
      <c r="K1283" s="148"/>
      <c r="L1283" s="149"/>
      <c r="M1283" s="148"/>
    </row>
    <row r="1284" spans="1:13" ht="15" customHeight="1">
      <c r="A1284" s="142" t="s">
        <v>3656</v>
      </c>
      <c r="B1284" s="142">
        <v>514913</v>
      </c>
      <c r="C1284" s="143" t="s">
        <v>3657</v>
      </c>
      <c r="D1284" s="142" t="s">
        <v>3370</v>
      </c>
      <c r="E1284" s="143" t="s">
        <v>3658</v>
      </c>
      <c r="F1284" s="143" t="s">
        <v>3659</v>
      </c>
      <c r="G1284" s="142" t="s">
        <v>102</v>
      </c>
      <c r="H1284" s="142" t="s">
        <v>53</v>
      </c>
      <c r="I1284" s="143" t="s">
        <v>1184</v>
      </c>
      <c r="J1284" s="143" t="s">
        <v>104</v>
      </c>
      <c r="K1284" s="144"/>
      <c r="L1284" s="145"/>
      <c r="M1284" s="144"/>
    </row>
    <row r="1285" spans="1:13" ht="15" customHeight="1">
      <c r="A1285" s="146" t="s">
        <v>3660</v>
      </c>
      <c r="B1285" s="146">
        <v>514620</v>
      </c>
      <c r="C1285" s="147" t="s">
        <v>3661</v>
      </c>
      <c r="D1285" s="146" t="s">
        <v>3370</v>
      </c>
      <c r="E1285" s="147" t="s">
        <v>3385</v>
      </c>
      <c r="F1285" s="147" t="s">
        <v>3662</v>
      </c>
      <c r="G1285" s="146" t="s">
        <v>102</v>
      </c>
      <c r="H1285" s="146" t="s">
        <v>53</v>
      </c>
      <c r="I1285" s="147" t="s">
        <v>1184</v>
      </c>
      <c r="J1285" s="147" t="s">
        <v>104</v>
      </c>
      <c r="K1285" s="148" t="s">
        <v>121</v>
      </c>
      <c r="L1285" s="149">
        <v>46148</v>
      </c>
      <c r="M1285" s="148"/>
    </row>
    <row r="1286" spans="1:13" ht="15" customHeight="1">
      <c r="A1286" s="142" t="s">
        <v>3663</v>
      </c>
      <c r="B1286" s="142">
        <v>515283</v>
      </c>
      <c r="C1286" s="143" t="s">
        <v>1123</v>
      </c>
      <c r="D1286" s="142" t="s">
        <v>3370</v>
      </c>
      <c r="E1286" s="143" t="s">
        <v>3664</v>
      </c>
      <c r="F1286" s="143" t="s">
        <v>2183</v>
      </c>
      <c r="G1286" s="142" t="s">
        <v>109</v>
      </c>
      <c r="H1286" s="142" t="s">
        <v>50</v>
      </c>
      <c r="I1286" s="143" t="s">
        <v>1532</v>
      </c>
      <c r="J1286" s="143" t="s">
        <v>104</v>
      </c>
      <c r="K1286" s="144" t="s">
        <v>121</v>
      </c>
      <c r="L1286" s="145">
        <v>46150</v>
      </c>
      <c r="M1286" s="144"/>
    </row>
    <row r="1287" spans="1:13" ht="15" customHeight="1">
      <c r="A1287" s="146" t="s">
        <v>3665</v>
      </c>
      <c r="B1287" s="146">
        <v>514679</v>
      </c>
      <c r="C1287" s="147" t="s">
        <v>3437</v>
      </c>
      <c r="D1287" s="146" t="s">
        <v>3370</v>
      </c>
      <c r="E1287" s="147" t="s">
        <v>3505</v>
      </c>
      <c r="F1287" s="147" t="s">
        <v>3666</v>
      </c>
      <c r="G1287" s="146" t="s">
        <v>102</v>
      </c>
      <c r="H1287" s="146" t="s">
        <v>50</v>
      </c>
      <c r="I1287" s="147" t="s">
        <v>3449</v>
      </c>
      <c r="J1287" s="147" t="s">
        <v>104</v>
      </c>
      <c r="K1287" s="148" t="s">
        <v>121</v>
      </c>
      <c r="L1287" s="149">
        <v>46142</v>
      </c>
      <c r="M1287" s="148"/>
    </row>
    <row r="1288" spans="1:13" ht="15" customHeight="1">
      <c r="A1288" s="142" t="s">
        <v>3667</v>
      </c>
      <c r="B1288" s="142">
        <v>515263</v>
      </c>
      <c r="C1288" s="143" t="s">
        <v>3668</v>
      </c>
      <c r="D1288" s="142" t="s">
        <v>3370</v>
      </c>
      <c r="E1288" s="143" t="s">
        <v>3460</v>
      </c>
      <c r="F1288" s="143" t="s">
        <v>3669</v>
      </c>
      <c r="G1288" s="142" t="s">
        <v>109</v>
      </c>
      <c r="H1288" s="142" t="s">
        <v>53</v>
      </c>
      <c r="I1288" s="143" t="s">
        <v>1110</v>
      </c>
      <c r="J1288" s="143" t="s">
        <v>104</v>
      </c>
      <c r="K1288" s="144"/>
      <c r="L1288" s="145"/>
      <c r="M1288" s="144"/>
    </row>
    <row r="1289" spans="1:13" ht="15" customHeight="1">
      <c r="A1289" s="146" t="s">
        <v>3670</v>
      </c>
      <c r="B1289" s="146">
        <v>514957</v>
      </c>
      <c r="C1289" s="147" t="s">
        <v>3468</v>
      </c>
      <c r="D1289" s="146" t="s">
        <v>3370</v>
      </c>
      <c r="E1289" s="147" t="s">
        <v>3671</v>
      </c>
      <c r="F1289" s="147" t="s">
        <v>3672</v>
      </c>
      <c r="G1289" s="146" t="s">
        <v>109</v>
      </c>
      <c r="H1289" s="146" t="s">
        <v>50</v>
      </c>
      <c r="I1289" s="147" t="s">
        <v>3391</v>
      </c>
      <c r="J1289" s="147" t="s">
        <v>104</v>
      </c>
      <c r="K1289" s="148"/>
      <c r="L1289" s="149"/>
      <c r="M1289" s="148"/>
    </row>
    <row r="1290" spans="1:13" ht="15" customHeight="1">
      <c r="A1290" s="142" t="s">
        <v>3673</v>
      </c>
      <c r="B1290" s="142">
        <v>514715</v>
      </c>
      <c r="C1290" s="143" t="s">
        <v>3674</v>
      </c>
      <c r="D1290" s="142" t="s">
        <v>3370</v>
      </c>
      <c r="E1290" s="143" t="s">
        <v>3644</v>
      </c>
      <c r="F1290" s="143" t="s">
        <v>3379</v>
      </c>
      <c r="G1290" s="142" t="s">
        <v>102</v>
      </c>
      <c r="H1290" s="142" t="s">
        <v>53</v>
      </c>
      <c r="I1290" s="143" t="s">
        <v>1110</v>
      </c>
      <c r="J1290" s="143" t="s">
        <v>104</v>
      </c>
      <c r="K1290" s="144"/>
      <c r="L1290" s="145"/>
      <c r="M1290" s="144"/>
    </row>
    <row r="1291" spans="1:13" ht="15" customHeight="1">
      <c r="A1291" s="146" t="s">
        <v>3675</v>
      </c>
      <c r="B1291" s="146">
        <v>514589</v>
      </c>
      <c r="C1291" s="147" t="s">
        <v>3676</v>
      </c>
      <c r="D1291" s="146" t="s">
        <v>3370</v>
      </c>
      <c r="E1291" s="147" t="s">
        <v>1244</v>
      </c>
      <c r="F1291" s="147" t="s">
        <v>3677</v>
      </c>
      <c r="G1291" s="146" t="s">
        <v>102</v>
      </c>
      <c r="H1291" s="146" t="s">
        <v>53</v>
      </c>
      <c r="I1291" s="147" t="s">
        <v>1184</v>
      </c>
      <c r="J1291" s="147" t="s">
        <v>104</v>
      </c>
      <c r="K1291" s="148"/>
      <c r="L1291" s="149"/>
      <c r="M1291" s="148"/>
    </row>
    <row r="1292" spans="1:13" ht="15" customHeight="1">
      <c r="A1292" s="142" t="s">
        <v>3678</v>
      </c>
      <c r="B1292" s="142">
        <v>515761</v>
      </c>
      <c r="C1292" s="143" t="s">
        <v>1313</v>
      </c>
      <c r="D1292" s="142" t="s">
        <v>3370</v>
      </c>
      <c r="E1292" s="143" t="s">
        <v>3375</v>
      </c>
      <c r="F1292" s="143" t="s">
        <v>3375</v>
      </c>
      <c r="G1292" s="142" t="s">
        <v>102</v>
      </c>
      <c r="H1292" s="142" t="s">
        <v>53</v>
      </c>
      <c r="I1292" s="143" t="s">
        <v>1184</v>
      </c>
      <c r="J1292" s="143" t="s">
        <v>104</v>
      </c>
      <c r="K1292" s="144"/>
      <c r="L1292" s="145"/>
      <c r="M1292" s="144"/>
    </row>
    <row r="1293" spans="1:13" ht="15" customHeight="1">
      <c r="A1293" s="146" t="s">
        <v>3679</v>
      </c>
      <c r="B1293" s="146">
        <v>514931</v>
      </c>
      <c r="C1293" s="147" t="s">
        <v>3680</v>
      </c>
      <c r="D1293" s="146" t="s">
        <v>3370</v>
      </c>
      <c r="E1293" s="147" t="s">
        <v>3385</v>
      </c>
      <c r="F1293" s="147" t="s">
        <v>1204</v>
      </c>
      <c r="G1293" s="146" t="s">
        <v>102</v>
      </c>
      <c r="H1293" s="146" t="s">
        <v>53</v>
      </c>
      <c r="I1293" s="147" t="s">
        <v>1184</v>
      </c>
      <c r="J1293" s="147" t="s">
        <v>104</v>
      </c>
      <c r="K1293" s="148"/>
      <c r="L1293" s="149"/>
      <c r="M1293" s="148"/>
    </row>
    <row r="1294" spans="1:13" ht="15" customHeight="1">
      <c r="A1294" s="142" t="s">
        <v>3681</v>
      </c>
      <c r="B1294" s="142">
        <v>515979</v>
      </c>
      <c r="C1294" s="143" t="s">
        <v>254</v>
      </c>
      <c r="D1294" s="142" t="s">
        <v>3370</v>
      </c>
      <c r="E1294" s="143" t="s">
        <v>3451</v>
      </c>
      <c r="F1294" s="143" t="s">
        <v>3682</v>
      </c>
      <c r="G1294" s="142" t="s">
        <v>109</v>
      </c>
      <c r="H1294" s="142" t="s">
        <v>50</v>
      </c>
      <c r="I1294" s="143" t="s">
        <v>3391</v>
      </c>
      <c r="J1294" s="143" t="s">
        <v>104</v>
      </c>
      <c r="K1294" s="144" t="s">
        <v>121</v>
      </c>
      <c r="L1294" s="145">
        <v>46140</v>
      </c>
      <c r="M1294" s="144"/>
    </row>
    <row r="1295" spans="1:13" ht="15" customHeight="1">
      <c r="A1295" s="146" t="s">
        <v>3683</v>
      </c>
      <c r="B1295" s="146">
        <v>515004</v>
      </c>
      <c r="C1295" s="147" t="s">
        <v>3684</v>
      </c>
      <c r="D1295" s="146" t="s">
        <v>3370</v>
      </c>
      <c r="E1295" s="147" t="s">
        <v>3685</v>
      </c>
      <c r="F1295" s="147" t="s">
        <v>3686</v>
      </c>
      <c r="G1295" s="146" t="s">
        <v>109</v>
      </c>
      <c r="H1295" s="146" t="s">
        <v>53</v>
      </c>
      <c r="I1295" s="147" t="s">
        <v>1184</v>
      </c>
      <c r="J1295" s="147" t="s">
        <v>104</v>
      </c>
      <c r="K1295" s="148"/>
      <c r="L1295" s="149"/>
      <c r="M1295" s="148"/>
    </row>
    <row r="1296" spans="1:13" ht="15" customHeight="1">
      <c r="A1296" s="142" t="s">
        <v>3687</v>
      </c>
      <c r="B1296" s="142">
        <v>516216</v>
      </c>
      <c r="C1296" s="143" t="s">
        <v>1295</v>
      </c>
      <c r="D1296" s="142" t="s">
        <v>3370</v>
      </c>
      <c r="E1296" s="143" t="s">
        <v>3460</v>
      </c>
      <c r="F1296" s="143" t="s">
        <v>3688</v>
      </c>
      <c r="G1296" s="142" t="s">
        <v>109</v>
      </c>
      <c r="H1296" s="142" t="s">
        <v>53</v>
      </c>
      <c r="I1296" s="143" t="s">
        <v>1110</v>
      </c>
      <c r="J1296" s="143" t="s">
        <v>104</v>
      </c>
      <c r="K1296" s="144"/>
      <c r="L1296" s="145"/>
      <c r="M1296" s="144"/>
    </row>
    <row r="1297" spans="1:13" ht="15" customHeight="1">
      <c r="A1297" s="146" t="s">
        <v>3689</v>
      </c>
      <c r="B1297" s="146">
        <v>514709</v>
      </c>
      <c r="C1297" s="147" t="s">
        <v>3394</v>
      </c>
      <c r="D1297" s="146" t="s">
        <v>3370</v>
      </c>
      <c r="E1297" s="147" t="s">
        <v>1244</v>
      </c>
      <c r="F1297" s="147" t="s">
        <v>3690</v>
      </c>
      <c r="G1297" s="146" t="s">
        <v>102</v>
      </c>
      <c r="H1297" s="146" t="s">
        <v>53</v>
      </c>
      <c r="I1297" s="147" t="s">
        <v>1184</v>
      </c>
      <c r="J1297" s="147" t="s">
        <v>104</v>
      </c>
      <c r="K1297" s="148"/>
      <c r="L1297" s="149"/>
      <c r="M1297" s="148"/>
    </row>
    <row r="1298" spans="1:13" ht="15" customHeight="1">
      <c r="A1298" s="142" t="s">
        <v>3691</v>
      </c>
      <c r="B1298" s="142">
        <v>514555</v>
      </c>
      <c r="C1298" s="143" t="s">
        <v>3692</v>
      </c>
      <c r="D1298" s="142" t="s">
        <v>3370</v>
      </c>
      <c r="E1298" s="143" t="s">
        <v>3385</v>
      </c>
      <c r="F1298" s="143" t="s">
        <v>3693</v>
      </c>
      <c r="G1298" s="142" t="s">
        <v>102</v>
      </c>
      <c r="H1298" s="142" t="s">
        <v>53</v>
      </c>
      <c r="I1298" s="143" t="s">
        <v>1184</v>
      </c>
      <c r="J1298" s="143" t="s">
        <v>104</v>
      </c>
      <c r="K1298" s="144"/>
      <c r="L1298" s="145"/>
      <c r="M1298" s="144"/>
    </row>
    <row r="1299" spans="1:13" ht="15" customHeight="1">
      <c r="A1299" s="146" t="s">
        <v>3694</v>
      </c>
      <c r="B1299" s="146">
        <v>515859</v>
      </c>
      <c r="C1299" s="147" t="s">
        <v>3695</v>
      </c>
      <c r="D1299" s="146" t="s">
        <v>3370</v>
      </c>
      <c r="E1299" s="147" t="s">
        <v>3696</v>
      </c>
      <c r="F1299" s="147" t="s">
        <v>3697</v>
      </c>
      <c r="G1299" s="146" t="s">
        <v>109</v>
      </c>
      <c r="H1299" s="146" t="s">
        <v>50</v>
      </c>
      <c r="I1299" s="147" t="s">
        <v>3391</v>
      </c>
      <c r="J1299" s="147" t="s">
        <v>104</v>
      </c>
      <c r="K1299" s="150" t="s">
        <v>5</v>
      </c>
      <c r="L1299" s="149">
        <v>46127</v>
      </c>
      <c r="M1299" s="151" t="s">
        <v>3392</v>
      </c>
    </row>
    <row r="1300" spans="1:13" ht="15" customHeight="1">
      <c r="A1300" s="142" t="s">
        <v>3698</v>
      </c>
      <c r="B1300" s="142">
        <v>515267</v>
      </c>
      <c r="C1300" s="143" t="s">
        <v>3524</v>
      </c>
      <c r="D1300" s="142" t="s">
        <v>3370</v>
      </c>
      <c r="E1300" s="143" t="s">
        <v>3699</v>
      </c>
      <c r="F1300" s="143" t="s">
        <v>3700</v>
      </c>
      <c r="G1300" s="142" t="s">
        <v>109</v>
      </c>
      <c r="H1300" s="142" t="s">
        <v>50</v>
      </c>
      <c r="I1300" s="143" t="s">
        <v>3391</v>
      </c>
      <c r="J1300" s="143" t="s">
        <v>104</v>
      </c>
      <c r="K1300" s="144" t="s">
        <v>121</v>
      </c>
      <c r="L1300" s="145">
        <v>46153</v>
      </c>
      <c r="M1300" s="144"/>
    </row>
    <row r="1301" spans="1:13" ht="15" customHeight="1">
      <c r="A1301" s="146" t="s">
        <v>3701</v>
      </c>
      <c r="B1301" s="146">
        <v>515895</v>
      </c>
      <c r="C1301" s="147" t="s">
        <v>3702</v>
      </c>
      <c r="D1301" s="146" t="s">
        <v>3370</v>
      </c>
      <c r="E1301" s="147" t="s">
        <v>3703</v>
      </c>
      <c r="F1301" s="147" t="s">
        <v>3704</v>
      </c>
      <c r="G1301" s="146" t="s">
        <v>109</v>
      </c>
      <c r="H1301" s="146" t="s">
        <v>53</v>
      </c>
      <c r="I1301" s="147" t="s">
        <v>1110</v>
      </c>
      <c r="J1301" s="147" t="s">
        <v>104</v>
      </c>
      <c r="K1301" s="148"/>
      <c r="L1301" s="149"/>
      <c r="M1301" s="148"/>
    </row>
    <row r="1302" spans="1:13" ht="15" customHeight="1">
      <c r="A1302" s="142" t="s">
        <v>3705</v>
      </c>
      <c r="B1302" s="142">
        <v>515077</v>
      </c>
      <c r="C1302" s="143" t="s">
        <v>3706</v>
      </c>
      <c r="D1302" s="142" t="s">
        <v>3370</v>
      </c>
      <c r="E1302" s="143" t="s">
        <v>3707</v>
      </c>
      <c r="F1302" s="143" t="s">
        <v>3708</v>
      </c>
      <c r="G1302" s="142" t="s">
        <v>109</v>
      </c>
      <c r="H1302" s="142" t="s">
        <v>53</v>
      </c>
      <c r="I1302" s="143" t="s">
        <v>1110</v>
      </c>
      <c r="J1302" s="143" t="s">
        <v>104</v>
      </c>
      <c r="K1302" s="144"/>
      <c r="L1302" s="145"/>
      <c r="M1302" s="144"/>
    </row>
    <row r="1303" spans="1:13" ht="15" customHeight="1">
      <c r="A1303" s="146" t="s">
        <v>3709</v>
      </c>
      <c r="B1303" s="146">
        <v>514672</v>
      </c>
      <c r="C1303" s="147" t="s">
        <v>2787</v>
      </c>
      <c r="D1303" s="146" t="s">
        <v>3370</v>
      </c>
      <c r="E1303" s="147" t="s">
        <v>3558</v>
      </c>
      <c r="F1303" s="147" t="s">
        <v>2787</v>
      </c>
      <c r="G1303" s="146" t="s">
        <v>102</v>
      </c>
      <c r="H1303" s="146" t="s">
        <v>53</v>
      </c>
      <c r="I1303" s="147" t="s">
        <v>1184</v>
      </c>
      <c r="J1303" s="147" t="s">
        <v>104</v>
      </c>
      <c r="K1303" s="148"/>
      <c r="L1303" s="149"/>
      <c r="M1303" s="148"/>
    </row>
    <row r="1304" spans="1:13" ht="15" customHeight="1">
      <c r="A1304" s="142" t="s">
        <v>3710</v>
      </c>
      <c r="B1304" s="142">
        <v>515130</v>
      </c>
      <c r="C1304" s="143" t="s">
        <v>437</v>
      </c>
      <c r="D1304" s="142" t="s">
        <v>3370</v>
      </c>
      <c r="E1304" s="143" t="s">
        <v>3699</v>
      </c>
      <c r="F1304" s="143" t="s">
        <v>3711</v>
      </c>
      <c r="G1304" s="142" t="s">
        <v>109</v>
      </c>
      <c r="H1304" s="142" t="s">
        <v>50</v>
      </c>
      <c r="I1304" s="143" t="s">
        <v>3391</v>
      </c>
      <c r="J1304" s="143" t="s">
        <v>104</v>
      </c>
      <c r="K1304" s="144" t="s">
        <v>121</v>
      </c>
      <c r="L1304" s="145">
        <v>46153</v>
      </c>
      <c r="M1304" s="144"/>
    </row>
    <row r="1305" spans="1:13" ht="15" customHeight="1">
      <c r="A1305" s="146" t="s">
        <v>3712</v>
      </c>
      <c r="B1305" s="146">
        <v>515157</v>
      </c>
      <c r="C1305" s="147" t="s">
        <v>3713</v>
      </c>
      <c r="D1305" s="146" t="s">
        <v>3370</v>
      </c>
      <c r="E1305" s="147" t="s">
        <v>3714</v>
      </c>
      <c r="F1305" s="147" t="s">
        <v>3715</v>
      </c>
      <c r="G1305" s="146" t="s">
        <v>109</v>
      </c>
      <c r="H1305" s="146" t="s">
        <v>53</v>
      </c>
      <c r="I1305" s="147" t="s">
        <v>1110</v>
      </c>
      <c r="J1305" s="147" t="s">
        <v>104</v>
      </c>
      <c r="K1305" s="148"/>
      <c r="L1305" s="149"/>
      <c r="M1305" s="148"/>
    </row>
    <row r="1306" spans="1:13" ht="15" customHeight="1">
      <c r="A1306" s="142" t="s">
        <v>3716</v>
      </c>
      <c r="B1306" s="142">
        <v>515120</v>
      </c>
      <c r="C1306" s="143" t="s">
        <v>3717</v>
      </c>
      <c r="D1306" s="142" t="s">
        <v>3370</v>
      </c>
      <c r="E1306" s="143" t="s">
        <v>3718</v>
      </c>
      <c r="F1306" s="143" t="s">
        <v>3719</v>
      </c>
      <c r="G1306" s="142" t="s">
        <v>109</v>
      </c>
      <c r="H1306" s="142" t="s">
        <v>50</v>
      </c>
      <c r="I1306" s="143" t="s">
        <v>3391</v>
      </c>
      <c r="J1306" s="143" t="s">
        <v>104</v>
      </c>
      <c r="K1306" s="144" t="s">
        <v>121</v>
      </c>
      <c r="L1306" s="145">
        <v>46153</v>
      </c>
      <c r="M1306" s="144"/>
    </row>
    <row r="1307" spans="1:13" ht="15" customHeight="1">
      <c r="A1307" s="146" t="s">
        <v>3720</v>
      </c>
      <c r="B1307" s="146">
        <v>514803</v>
      </c>
      <c r="C1307" s="147" t="s">
        <v>3721</v>
      </c>
      <c r="D1307" s="146" t="s">
        <v>3370</v>
      </c>
      <c r="E1307" s="147" t="s">
        <v>3428</v>
      </c>
      <c r="F1307" s="147" t="s">
        <v>3722</v>
      </c>
      <c r="G1307" s="146" t="s">
        <v>109</v>
      </c>
      <c r="H1307" s="146" t="s">
        <v>53</v>
      </c>
      <c r="I1307" s="147" t="s">
        <v>1184</v>
      </c>
      <c r="J1307" s="147" t="s">
        <v>104</v>
      </c>
      <c r="K1307" s="148"/>
      <c r="L1307" s="149"/>
      <c r="M1307" s="148"/>
    </row>
    <row r="1308" spans="1:13" ht="15" customHeight="1">
      <c r="A1308" s="142" t="s">
        <v>3723</v>
      </c>
      <c r="B1308" s="142">
        <v>514832</v>
      </c>
      <c r="C1308" s="143" t="s">
        <v>3454</v>
      </c>
      <c r="D1308" s="142" t="s">
        <v>3370</v>
      </c>
      <c r="E1308" s="143" t="s">
        <v>3724</v>
      </c>
      <c r="F1308" s="143" t="s">
        <v>527</v>
      </c>
      <c r="G1308" s="142" t="s">
        <v>109</v>
      </c>
      <c r="H1308" s="142" t="s">
        <v>53</v>
      </c>
      <c r="I1308" s="143" t="s">
        <v>1184</v>
      </c>
      <c r="J1308" s="143" t="s">
        <v>104</v>
      </c>
      <c r="K1308" s="144"/>
      <c r="L1308" s="145"/>
      <c r="M1308" s="144"/>
    </row>
    <row r="1309" spans="1:13" ht="15" customHeight="1">
      <c r="A1309" s="146" t="s">
        <v>3725</v>
      </c>
      <c r="B1309" s="146">
        <v>514982</v>
      </c>
      <c r="C1309" s="147" t="s">
        <v>2185</v>
      </c>
      <c r="D1309" s="146" t="s">
        <v>3370</v>
      </c>
      <c r="E1309" s="147" t="s">
        <v>3447</v>
      </c>
      <c r="F1309" s="147" t="s">
        <v>3448</v>
      </c>
      <c r="G1309" s="146" t="s">
        <v>109</v>
      </c>
      <c r="H1309" s="146" t="s">
        <v>50</v>
      </c>
      <c r="I1309" s="147" t="s">
        <v>3449</v>
      </c>
      <c r="J1309" s="147" t="s">
        <v>104</v>
      </c>
      <c r="K1309" s="148" t="s">
        <v>121</v>
      </c>
      <c r="L1309" s="149">
        <v>46148</v>
      </c>
      <c r="M1309" s="148"/>
    </row>
    <row r="1310" spans="1:13" ht="15" customHeight="1">
      <c r="A1310" s="142" t="s">
        <v>3726</v>
      </c>
      <c r="B1310" s="142">
        <v>515190</v>
      </c>
      <c r="C1310" s="143" t="s">
        <v>752</v>
      </c>
      <c r="D1310" s="142" t="s">
        <v>3370</v>
      </c>
      <c r="E1310" s="143" t="s">
        <v>1244</v>
      </c>
      <c r="F1310" s="143" t="s">
        <v>3555</v>
      </c>
      <c r="G1310" s="142" t="s">
        <v>109</v>
      </c>
      <c r="H1310" s="142" t="s">
        <v>53</v>
      </c>
      <c r="I1310" s="143" t="s">
        <v>1184</v>
      </c>
      <c r="J1310" s="143" t="s">
        <v>104</v>
      </c>
      <c r="K1310" s="144"/>
      <c r="L1310" s="145"/>
      <c r="M1310" s="144"/>
    </row>
    <row r="1311" spans="1:13" ht="15" customHeight="1">
      <c r="A1311" s="146" t="s">
        <v>3727</v>
      </c>
      <c r="B1311" s="146">
        <v>515183</v>
      </c>
      <c r="C1311" s="147" t="s">
        <v>1374</v>
      </c>
      <c r="D1311" s="146" t="s">
        <v>3370</v>
      </c>
      <c r="E1311" s="147" t="s">
        <v>3728</v>
      </c>
      <c r="F1311" s="147" t="s">
        <v>3729</v>
      </c>
      <c r="G1311" s="146" t="s">
        <v>109</v>
      </c>
      <c r="H1311" s="146" t="s">
        <v>53</v>
      </c>
      <c r="I1311" s="147" t="s">
        <v>1110</v>
      </c>
      <c r="J1311" s="147" t="s">
        <v>104</v>
      </c>
      <c r="K1311" s="148"/>
      <c r="L1311" s="149"/>
      <c r="M1311" s="148"/>
    </row>
    <row r="1312" spans="1:13" ht="15" customHeight="1">
      <c r="A1312" s="142" t="s">
        <v>3730</v>
      </c>
      <c r="B1312" s="142">
        <v>515051</v>
      </c>
      <c r="C1312" s="143" t="s">
        <v>725</v>
      </c>
      <c r="D1312" s="142" t="s">
        <v>3370</v>
      </c>
      <c r="E1312" s="143" t="s">
        <v>3714</v>
      </c>
      <c r="F1312" s="143" t="s">
        <v>3731</v>
      </c>
      <c r="G1312" s="142" t="s">
        <v>109</v>
      </c>
      <c r="H1312" s="142" t="s">
        <v>53</v>
      </c>
      <c r="I1312" s="143" t="s">
        <v>1110</v>
      </c>
      <c r="J1312" s="143" t="s">
        <v>104</v>
      </c>
      <c r="K1312" s="144"/>
      <c r="L1312" s="145"/>
      <c r="M1312" s="144"/>
    </row>
    <row r="1313" spans="1:13" ht="15" customHeight="1">
      <c r="A1313" s="146" t="s">
        <v>3732</v>
      </c>
      <c r="B1313" s="146">
        <v>514932</v>
      </c>
      <c r="C1313" s="147" t="s">
        <v>1244</v>
      </c>
      <c r="D1313" s="146" t="s">
        <v>3370</v>
      </c>
      <c r="E1313" s="147" t="s">
        <v>1244</v>
      </c>
      <c r="F1313" s="147" t="s">
        <v>423</v>
      </c>
      <c r="G1313" s="146" t="s">
        <v>109</v>
      </c>
      <c r="H1313" s="146" t="s">
        <v>53</v>
      </c>
      <c r="I1313" s="147" t="s">
        <v>1184</v>
      </c>
      <c r="J1313" s="147" t="s">
        <v>104</v>
      </c>
      <c r="K1313" s="148"/>
      <c r="L1313" s="149"/>
      <c r="M1313" s="148"/>
    </row>
    <row r="1314" spans="1:13" ht="15" customHeight="1">
      <c r="A1314" s="142" t="s">
        <v>3733</v>
      </c>
      <c r="B1314" s="142">
        <v>515295</v>
      </c>
      <c r="C1314" s="143" t="s">
        <v>3734</v>
      </c>
      <c r="D1314" s="142" t="s">
        <v>3370</v>
      </c>
      <c r="E1314" s="143" t="s">
        <v>3735</v>
      </c>
      <c r="F1314" s="143" t="s">
        <v>3736</v>
      </c>
      <c r="G1314" s="142" t="s">
        <v>109</v>
      </c>
      <c r="H1314" s="142" t="s">
        <v>50</v>
      </c>
      <c r="I1314" s="143" t="s">
        <v>3391</v>
      </c>
      <c r="J1314" s="143" t="s">
        <v>104</v>
      </c>
      <c r="K1314" s="144"/>
      <c r="L1314" s="145"/>
      <c r="M1314" s="144"/>
    </row>
    <row r="1315" spans="1:13" ht="15" customHeight="1">
      <c r="A1315" s="146" t="s">
        <v>3737</v>
      </c>
      <c r="B1315" s="146">
        <v>514789</v>
      </c>
      <c r="C1315" s="147" t="s">
        <v>3738</v>
      </c>
      <c r="D1315" s="146" t="s">
        <v>3370</v>
      </c>
      <c r="E1315" s="147" t="s">
        <v>3664</v>
      </c>
      <c r="F1315" s="147" t="s">
        <v>645</v>
      </c>
      <c r="G1315" s="146" t="s">
        <v>109</v>
      </c>
      <c r="H1315" s="146" t="s">
        <v>50</v>
      </c>
      <c r="I1315" s="147" t="s">
        <v>1532</v>
      </c>
      <c r="J1315" s="147" t="s">
        <v>104</v>
      </c>
      <c r="K1315" s="148"/>
      <c r="L1315" s="149"/>
      <c r="M1315" s="148"/>
    </row>
    <row r="1316" spans="1:13" ht="15" customHeight="1">
      <c r="A1316" s="142" t="s">
        <v>3739</v>
      </c>
      <c r="B1316" s="142">
        <v>514903</v>
      </c>
      <c r="C1316" s="143" t="s">
        <v>3740</v>
      </c>
      <c r="D1316" s="142" t="s">
        <v>3370</v>
      </c>
      <c r="E1316" s="143" t="s">
        <v>3558</v>
      </c>
      <c r="F1316" s="143" t="s">
        <v>3741</v>
      </c>
      <c r="G1316" s="142" t="s">
        <v>102</v>
      </c>
      <c r="H1316" s="142" t="s">
        <v>53</v>
      </c>
      <c r="I1316" s="143" t="s">
        <v>1184</v>
      </c>
      <c r="J1316" s="143" t="s">
        <v>104</v>
      </c>
      <c r="K1316" s="144"/>
      <c r="L1316" s="145"/>
      <c r="M1316" s="144"/>
    </row>
    <row r="1317" spans="1:13" ht="15" customHeight="1">
      <c r="A1317" s="146" t="s">
        <v>3742</v>
      </c>
      <c r="B1317" s="146">
        <v>514945</v>
      </c>
      <c r="C1317" s="147" t="s">
        <v>3743</v>
      </c>
      <c r="D1317" s="146" t="s">
        <v>3370</v>
      </c>
      <c r="E1317" s="147" t="s">
        <v>3416</v>
      </c>
      <c r="F1317" s="147" t="s">
        <v>3416</v>
      </c>
      <c r="G1317" s="146" t="s">
        <v>102</v>
      </c>
      <c r="H1317" s="146" t="s">
        <v>53</v>
      </c>
      <c r="I1317" s="147" t="s">
        <v>1110</v>
      </c>
      <c r="J1317" s="147" t="s">
        <v>104</v>
      </c>
      <c r="K1317" s="148"/>
      <c r="L1317" s="149"/>
      <c r="M1317" s="148"/>
    </row>
    <row r="1318" spans="1:13" ht="15" customHeight="1">
      <c r="A1318" s="142" t="s">
        <v>3744</v>
      </c>
      <c r="B1318" s="142">
        <v>515096</v>
      </c>
      <c r="C1318" s="143" t="s">
        <v>3745</v>
      </c>
      <c r="D1318" s="142" t="s">
        <v>3370</v>
      </c>
      <c r="E1318" s="143" t="s">
        <v>3746</v>
      </c>
      <c r="F1318" s="143" t="s">
        <v>3747</v>
      </c>
      <c r="G1318" s="142" t="s">
        <v>109</v>
      </c>
      <c r="H1318" s="142" t="s">
        <v>53</v>
      </c>
      <c r="I1318" s="143" t="s">
        <v>1184</v>
      </c>
      <c r="J1318" s="143" t="s">
        <v>104</v>
      </c>
      <c r="K1318" s="144"/>
      <c r="L1318" s="145"/>
      <c r="M1318" s="144"/>
    </row>
    <row r="1319" spans="1:13" ht="15" customHeight="1">
      <c r="A1319" s="146" t="s">
        <v>3748</v>
      </c>
      <c r="B1319" s="146">
        <v>514798</v>
      </c>
      <c r="C1319" s="147" t="s">
        <v>3384</v>
      </c>
      <c r="D1319" s="146" t="s">
        <v>3370</v>
      </c>
      <c r="E1319" s="147" t="s">
        <v>3749</v>
      </c>
      <c r="F1319" s="147" t="s">
        <v>3750</v>
      </c>
      <c r="G1319" s="146" t="s">
        <v>109</v>
      </c>
      <c r="H1319" s="146" t="s">
        <v>53</v>
      </c>
      <c r="I1319" s="147" t="s">
        <v>1184</v>
      </c>
      <c r="J1319" s="147" t="s">
        <v>104</v>
      </c>
      <c r="K1319" s="148" t="s">
        <v>121</v>
      </c>
      <c r="L1319" s="149">
        <v>46148</v>
      </c>
      <c r="M1319" s="148"/>
    </row>
    <row r="1320" spans="1:13" ht="15" customHeight="1">
      <c r="A1320" s="142" t="s">
        <v>3751</v>
      </c>
      <c r="B1320" s="142">
        <v>515227</v>
      </c>
      <c r="C1320" s="143" t="s">
        <v>3752</v>
      </c>
      <c r="D1320" s="142" t="s">
        <v>3370</v>
      </c>
      <c r="E1320" s="143" t="s">
        <v>3753</v>
      </c>
      <c r="F1320" s="143" t="s">
        <v>3754</v>
      </c>
      <c r="G1320" s="142" t="s">
        <v>109</v>
      </c>
      <c r="H1320" s="142" t="s">
        <v>50</v>
      </c>
      <c r="I1320" s="143" t="s">
        <v>3391</v>
      </c>
      <c r="J1320" s="143" t="s">
        <v>104</v>
      </c>
      <c r="K1320" s="144"/>
      <c r="L1320" s="145"/>
      <c r="M1320" s="144"/>
    </row>
    <row r="1321" spans="1:13" ht="15" customHeight="1">
      <c r="A1321" s="146" t="s">
        <v>3755</v>
      </c>
      <c r="B1321" s="146">
        <v>515506</v>
      </c>
      <c r="C1321" s="147" t="s">
        <v>3676</v>
      </c>
      <c r="D1321" s="146" t="s">
        <v>3370</v>
      </c>
      <c r="E1321" s="147" t="s">
        <v>3756</v>
      </c>
      <c r="F1321" s="147" t="s">
        <v>3756</v>
      </c>
      <c r="G1321" s="146" t="s">
        <v>109</v>
      </c>
      <c r="H1321" s="146" t="s">
        <v>53</v>
      </c>
      <c r="I1321" s="147" t="s">
        <v>1110</v>
      </c>
      <c r="J1321" s="147" t="s">
        <v>104</v>
      </c>
      <c r="K1321" s="148"/>
      <c r="L1321" s="149"/>
      <c r="M1321" s="148"/>
    </row>
    <row r="1322" spans="1:13" ht="15" customHeight="1">
      <c r="A1322" s="142" t="s">
        <v>3757</v>
      </c>
      <c r="B1322" s="142">
        <v>515284</v>
      </c>
      <c r="C1322" s="143" t="s">
        <v>1123</v>
      </c>
      <c r="D1322" s="142" t="s">
        <v>3370</v>
      </c>
      <c r="E1322" s="143" t="s">
        <v>3707</v>
      </c>
      <c r="F1322" s="143" t="s">
        <v>706</v>
      </c>
      <c r="G1322" s="142" t="s">
        <v>109</v>
      </c>
      <c r="H1322" s="142" t="s">
        <v>53</v>
      </c>
      <c r="I1322" s="143" t="s">
        <v>1110</v>
      </c>
      <c r="J1322" s="143" t="s">
        <v>104</v>
      </c>
      <c r="K1322" s="144"/>
      <c r="L1322" s="145"/>
      <c r="M1322" s="144"/>
    </row>
    <row r="1323" spans="1:13" ht="15" customHeight="1">
      <c r="A1323" s="146" t="s">
        <v>3758</v>
      </c>
      <c r="B1323" s="146">
        <v>515184</v>
      </c>
      <c r="C1323" s="147" t="s">
        <v>3759</v>
      </c>
      <c r="D1323" s="146" t="s">
        <v>3370</v>
      </c>
      <c r="E1323" s="147" t="s">
        <v>3587</v>
      </c>
      <c r="F1323" s="147" t="s">
        <v>3760</v>
      </c>
      <c r="G1323" s="146" t="s">
        <v>109</v>
      </c>
      <c r="H1323" s="146" t="s">
        <v>53</v>
      </c>
      <c r="I1323" s="147" t="s">
        <v>1110</v>
      </c>
      <c r="J1323" s="147" t="s">
        <v>104</v>
      </c>
      <c r="K1323" s="148"/>
      <c r="L1323" s="149"/>
      <c r="M1323" s="148"/>
    </row>
    <row r="1324" spans="1:13" ht="15" customHeight="1">
      <c r="A1324" s="142" t="s">
        <v>3761</v>
      </c>
      <c r="B1324" s="142">
        <v>514650</v>
      </c>
      <c r="C1324" s="143" t="s">
        <v>1295</v>
      </c>
      <c r="D1324" s="142" t="s">
        <v>3370</v>
      </c>
      <c r="E1324" s="143" t="s">
        <v>3762</v>
      </c>
      <c r="F1324" s="143" t="s">
        <v>3763</v>
      </c>
      <c r="G1324" s="142" t="s">
        <v>109</v>
      </c>
      <c r="H1324" s="142" t="s">
        <v>53</v>
      </c>
      <c r="I1324" s="143" t="s">
        <v>1184</v>
      </c>
      <c r="J1324" s="143" t="s">
        <v>104</v>
      </c>
      <c r="K1324" s="144"/>
      <c r="L1324" s="145"/>
      <c r="M1324" s="144"/>
    </row>
    <row r="1325" spans="1:13" ht="15" customHeight="1">
      <c r="A1325" s="146" t="s">
        <v>3764</v>
      </c>
      <c r="B1325" s="146">
        <v>514972</v>
      </c>
      <c r="C1325" s="147" t="s">
        <v>1057</v>
      </c>
      <c r="D1325" s="146" t="s">
        <v>3370</v>
      </c>
      <c r="E1325" s="147" t="s">
        <v>3385</v>
      </c>
      <c r="F1325" s="147" t="s">
        <v>3765</v>
      </c>
      <c r="G1325" s="146" t="s">
        <v>102</v>
      </c>
      <c r="H1325" s="146" t="s">
        <v>53</v>
      </c>
      <c r="I1325" s="147" t="s">
        <v>1184</v>
      </c>
      <c r="J1325" s="147" t="s">
        <v>104</v>
      </c>
      <c r="K1325" s="148"/>
      <c r="L1325" s="149"/>
      <c r="M1325" s="148"/>
    </row>
    <row r="1326" spans="1:13" ht="15" customHeight="1">
      <c r="A1326" s="142" t="s">
        <v>3766</v>
      </c>
      <c r="B1326" s="142">
        <v>515088</v>
      </c>
      <c r="C1326" s="143" t="s">
        <v>3767</v>
      </c>
      <c r="D1326" s="142" t="s">
        <v>3370</v>
      </c>
      <c r="E1326" s="143" t="s">
        <v>3582</v>
      </c>
      <c r="F1326" s="143" t="s">
        <v>3768</v>
      </c>
      <c r="G1326" s="142" t="s">
        <v>109</v>
      </c>
      <c r="H1326" s="142" t="s">
        <v>53</v>
      </c>
      <c r="I1326" s="143" t="s">
        <v>1110</v>
      </c>
      <c r="J1326" s="143" t="s">
        <v>104</v>
      </c>
      <c r="K1326" s="144"/>
      <c r="L1326" s="145"/>
      <c r="M1326" s="144"/>
    </row>
    <row r="1327" spans="1:13" ht="15" customHeight="1">
      <c r="A1327" s="146" t="s">
        <v>3769</v>
      </c>
      <c r="B1327" s="146">
        <v>514829</v>
      </c>
      <c r="C1327" s="147" t="s">
        <v>1327</v>
      </c>
      <c r="D1327" s="146" t="s">
        <v>3370</v>
      </c>
      <c r="E1327" s="147" t="s">
        <v>3770</v>
      </c>
      <c r="F1327" s="147" t="s">
        <v>3771</v>
      </c>
      <c r="G1327" s="146" t="s">
        <v>102</v>
      </c>
      <c r="H1327" s="146" t="s">
        <v>53</v>
      </c>
      <c r="I1327" s="147" t="s">
        <v>1184</v>
      </c>
      <c r="J1327" s="147" t="s">
        <v>104</v>
      </c>
      <c r="K1327" s="148"/>
      <c r="L1327" s="149"/>
      <c r="M1327" s="148"/>
    </row>
    <row r="1328" spans="1:13" ht="15" customHeight="1">
      <c r="A1328" s="142" t="s">
        <v>3772</v>
      </c>
      <c r="B1328" s="142">
        <v>514819</v>
      </c>
      <c r="C1328" s="143" t="s">
        <v>3773</v>
      </c>
      <c r="D1328" s="142" t="s">
        <v>3370</v>
      </c>
      <c r="E1328" s="143" t="s">
        <v>3774</v>
      </c>
      <c r="F1328" s="143" t="s">
        <v>3775</v>
      </c>
      <c r="G1328" s="142" t="s">
        <v>109</v>
      </c>
      <c r="H1328" s="142" t="s">
        <v>53</v>
      </c>
      <c r="I1328" s="143" t="s">
        <v>1110</v>
      </c>
      <c r="J1328" s="143" t="s">
        <v>104</v>
      </c>
      <c r="K1328" s="144"/>
      <c r="L1328" s="145"/>
      <c r="M1328" s="144"/>
    </row>
    <row r="1329" spans="1:13" ht="15" customHeight="1">
      <c r="A1329" s="146" t="s">
        <v>3776</v>
      </c>
      <c r="B1329" s="146">
        <v>514668</v>
      </c>
      <c r="C1329" s="147" t="s">
        <v>3777</v>
      </c>
      <c r="D1329" s="146" t="s">
        <v>3370</v>
      </c>
      <c r="E1329" s="147" t="s">
        <v>3778</v>
      </c>
      <c r="F1329" s="147" t="s">
        <v>3779</v>
      </c>
      <c r="G1329" s="146" t="s">
        <v>109</v>
      </c>
      <c r="H1329" s="146" t="s">
        <v>50</v>
      </c>
      <c r="I1329" s="147" t="s">
        <v>3391</v>
      </c>
      <c r="J1329" s="147" t="s">
        <v>104</v>
      </c>
      <c r="K1329" s="148" t="s">
        <v>121</v>
      </c>
      <c r="L1329" s="149">
        <v>46141</v>
      </c>
      <c r="M1329" s="148"/>
    </row>
    <row r="1330" spans="1:13" ht="15" customHeight="1">
      <c r="A1330" s="142" t="s">
        <v>3780</v>
      </c>
      <c r="B1330" s="142">
        <v>521691</v>
      </c>
      <c r="C1330" s="143" t="s">
        <v>3781</v>
      </c>
      <c r="D1330" s="142" t="s">
        <v>3370</v>
      </c>
      <c r="E1330" s="143" t="s">
        <v>3644</v>
      </c>
      <c r="F1330" s="143" t="s">
        <v>3782</v>
      </c>
      <c r="G1330" s="142" t="s">
        <v>109</v>
      </c>
      <c r="H1330" s="142" t="s">
        <v>53</v>
      </c>
      <c r="I1330" s="143" t="s">
        <v>1110</v>
      </c>
      <c r="J1330" s="143" t="s">
        <v>104</v>
      </c>
      <c r="K1330" s="144"/>
      <c r="L1330" s="145"/>
      <c r="M1330" s="144"/>
    </row>
    <row r="1331" spans="1:13" ht="15" customHeight="1">
      <c r="A1331" s="146" t="s">
        <v>3783</v>
      </c>
      <c r="B1331" s="146">
        <v>515860</v>
      </c>
      <c r="C1331" s="147" t="s">
        <v>3784</v>
      </c>
      <c r="D1331" s="146" t="s">
        <v>3370</v>
      </c>
      <c r="E1331" s="147" t="s">
        <v>3696</v>
      </c>
      <c r="F1331" s="147" t="s">
        <v>3785</v>
      </c>
      <c r="G1331" s="146" t="s">
        <v>109</v>
      </c>
      <c r="H1331" s="146" t="s">
        <v>50</v>
      </c>
      <c r="I1331" s="147" t="s">
        <v>3391</v>
      </c>
      <c r="J1331" s="147" t="s">
        <v>104</v>
      </c>
      <c r="K1331" s="153" t="s">
        <v>9</v>
      </c>
      <c r="L1331" s="149">
        <v>46132</v>
      </c>
      <c r="M1331" s="151" t="s">
        <v>3392</v>
      </c>
    </row>
    <row r="1332" spans="1:13" ht="15" customHeight="1">
      <c r="A1332" s="142" t="s">
        <v>3786</v>
      </c>
      <c r="B1332" s="142">
        <v>521649</v>
      </c>
      <c r="C1332" s="143" t="s">
        <v>3787</v>
      </c>
      <c r="D1332" s="142" t="s">
        <v>3370</v>
      </c>
      <c r="E1332" s="143" t="s">
        <v>3664</v>
      </c>
      <c r="F1332" s="143" t="s">
        <v>3788</v>
      </c>
      <c r="G1332" s="142" t="s">
        <v>109</v>
      </c>
      <c r="H1332" s="142" t="s">
        <v>50</v>
      </c>
      <c r="I1332" s="143" t="s">
        <v>1532</v>
      </c>
      <c r="J1332" s="143" t="s">
        <v>104</v>
      </c>
      <c r="K1332" s="144" t="s">
        <v>121</v>
      </c>
      <c r="L1332" s="145">
        <v>46150</v>
      </c>
      <c r="M1332" s="144"/>
    </row>
    <row r="1333" spans="1:13" ht="15" customHeight="1">
      <c r="A1333" s="146" t="s">
        <v>3789</v>
      </c>
      <c r="B1333" s="146">
        <v>515281</v>
      </c>
      <c r="C1333" s="147" t="s">
        <v>3790</v>
      </c>
      <c r="D1333" s="146" t="s">
        <v>3370</v>
      </c>
      <c r="E1333" s="147" t="s">
        <v>3664</v>
      </c>
      <c r="F1333" s="147" t="s">
        <v>3791</v>
      </c>
      <c r="G1333" s="146" t="s">
        <v>109</v>
      </c>
      <c r="H1333" s="146" t="s">
        <v>50</v>
      </c>
      <c r="I1333" s="147" t="s">
        <v>1532</v>
      </c>
      <c r="J1333" s="147" t="s">
        <v>104</v>
      </c>
      <c r="K1333" s="148" t="s">
        <v>121</v>
      </c>
      <c r="L1333" s="149">
        <v>46149</v>
      </c>
      <c r="M1333" s="148"/>
    </row>
    <row r="1334" spans="1:13" ht="15" customHeight="1">
      <c r="A1334" s="142" t="s">
        <v>3792</v>
      </c>
      <c r="B1334" s="142">
        <v>515021</v>
      </c>
      <c r="C1334" s="143" t="s">
        <v>3793</v>
      </c>
      <c r="D1334" s="142" t="s">
        <v>3370</v>
      </c>
      <c r="E1334" s="143" t="s">
        <v>3447</v>
      </c>
      <c r="F1334" s="143" t="s">
        <v>3794</v>
      </c>
      <c r="G1334" s="142" t="s">
        <v>109</v>
      </c>
      <c r="H1334" s="142" t="s">
        <v>50</v>
      </c>
      <c r="I1334" s="143" t="s">
        <v>3449</v>
      </c>
      <c r="J1334" s="143" t="s">
        <v>104</v>
      </c>
      <c r="K1334" s="144" t="s">
        <v>121</v>
      </c>
      <c r="L1334" s="145">
        <v>46141</v>
      </c>
      <c r="M1334" s="144"/>
    </row>
    <row r="1335" spans="1:13" ht="15" customHeight="1">
      <c r="A1335" s="146" t="s">
        <v>3795</v>
      </c>
      <c r="B1335" s="146">
        <v>515275</v>
      </c>
      <c r="C1335" s="147" t="s">
        <v>3796</v>
      </c>
      <c r="D1335" s="146" t="s">
        <v>3370</v>
      </c>
      <c r="E1335" s="147" t="s">
        <v>3797</v>
      </c>
      <c r="F1335" s="147" t="s">
        <v>3798</v>
      </c>
      <c r="G1335" s="146" t="s">
        <v>109</v>
      </c>
      <c r="H1335" s="146" t="s">
        <v>50</v>
      </c>
      <c r="I1335" s="147" t="s">
        <v>1532</v>
      </c>
      <c r="J1335" s="147" t="s">
        <v>104</v>
      </c>
      <c r="K1335" s="148"/>
      <c r="L1335" s="149"/>
      <c r="M1335" s="148"/>
    </row>
    <row r="1336" spans="1:13" ht="15" customHeight="1">
      <c r="A1336" s="142" t="s">
        <v>3799</v>
      </c>
      <c r="B1336" s="142">
        <v>515131</v>
      </c>
      <c r="C1336" s="143" t="s">
        <v>3800</v>
      </c>
      <c r="D1336" s="142" t="s">
        <v>3370</v>
      </c>
      <c r="E1336" s="143" t="s">
        <v>3735</v>
      </c>
      <c r="F1336" s="143" t="s">
        <v>3801</v>
      </c>
      <c r="G1336" s="142" t="s">
        <v>109</v>
      </c>
      <c r="H1336" s="142" t="s">
        <v>50</v>
      </c>
      <c r="I1336" s="143" t="s">
        <v>3391</v>
      </c>
      <c r="J1336" s="143" t="s">
        <v>104</v>
      </c>
      <c r="K1336" s="144" t="s">
        <v>121</v>
      </c>
      <c r="L1336" s="145">
        <v>46150</v>
      </c>
      <c r="M1336" s="144"/>
    </row>
    <row r="1337" spans="1:13" ht="15" customHeight="1">
      <c r="A1337" s="146" t="s">
        <v>3802</v>
      </c>
      <c r="B1337" s="146">
        <v>515291</v>
      </c>
      <c r="C1337" s="147" t="s">
        <v>3803</v>
      </c>
      <c r="D1337" s="146" t="s">
        <v>3370</v>
      </c>
      <c r="E1337" s="147" t="s">
        <v>3735</v>
      </c>
      <c r="F1337" s="147" t="s">
        <v>3804</v>
      </c>
      <c r="G1337" s="146" t="s">
        <v>109</v>
      </c>
      <c r="H1337" s="146" t="s">
        <v>50</v>
      </c>
      <c r="I1337" s="147" t="s">
        <v>3391</v>
      </c>
      <c r="J1337" s="147" t="s">
        <v>104</v>
      </c>
      <c r="K1337" s="148" t="s">
        <v>121</v>
      </c>
      <c r="L1337" s="149">
        <v>46150</v>
      </c>
      <c r="M1337" s="148"/>
    </row>
    <row r="1338" spans="1:13" ht="15" customHeight="1">
      <c r="A1338" s="142" t="s">
        <v>3805</v>
      </c>
      <c r="B1338" s="142">
        <v>515292</v>
      </c>
      <c r="C1338" s="143" t="s">
        <v>3806</v>
      </c>
      <c r="D1338" s="142" t="s">
        <v>3370</v>
      </c>
      <c r="E1338" s="143" t="s">
        <v>3735</v>
      </c>
      <c r="F1338" s="143" t="s">
        <v>3807</v>
      </c>
      <c r="G1338" s="142" t="s">
        <v>109</v>
      </c>
      <c r="H1338" s="142" t="s">
        <v>50</v>
      </c>
      <c r="I1338" s="143" t="s">
        <v>3391</v>
      </c>
      <c r="J1338" s="143" t="s">
        <v>104</v>
      </c>
      <c r="K1338" s="144" t="s">
        <v>121</v>
      </c>
      <c r="L1338" s="145">
        <v>46149</v>
      </c>
      <c r="M1338" s="144"/>
    </row>
    <row r="1339" spans="1:13" ht="15" customHeight="1">
      <c r="A1339" s="146" t="s">
        <v>3808</v>
      </c>
      <c r="B1339" s="146">
        <v>515213</v>
      </c>
      <c r="C1339" s="147" t="s">
        <v>3809</v>
      </c>
      <c r="D1339" s="146" t="s">
        <v>3370</v>
      </c>
      <c r="E1339" s="147" t="s">
        <v>3451</v>
      </c>
      <c r="F1339" s="147" t="s">
        <v>3810</v>
      </c>
      <c r="G1339" s="146" t="s">
        <v>109</v>
      </c>
      <c r="H1339" s="146" t="s">
        <v>50</v>
      </c>
      <c r="I1339" s="147" t="s">
        <v>3391</v>
      </c>
      <c r="J1339" s="147" t="s">
        <v>104</v>
      </c>
      <c r="K1339" s="150" t="s">
        <v>5</v>
      </c>
      <c r="L1339" s="149">
        <v>46100</v>
      </c>
      <c r="M1339" s="151" t="s">
        <v>3392</v>
      </c>
    </row>
    <row r="1340" spans="1:13" ht="15" customHeight="1">
      <c r="A1340" s="142" t="s">
        <v>3811</v>
      </c>
      <c r="B1340" s="142">
        <v>515536</v>
      </c>
      <c r="C1340" s="143" t="s">
        <v>3812</v>
      </c>
      <c r="D1340" s="142" t="s">
        <v>3370</v>
      </c>
      <c r="E1340" s="143" t="s">
        <v>3451</v>
      </c>
      <c r="F1340" s="143" t="s">
        <v>3813</v>
      </c>
      <c r="G1340" s="142" t="s">
        <v>109</v>
      </c>
      <c r="H1340" s="142" t="s">
        <v>50</v>
      </c>
      <c r="I1340" s="143" t="s">
        <v>3391</v>
      </c>
      <c r="J1340" s="143" t="s">
        <v>104</v>
      </c>
      <c r="K1340" s="150" t="s">
        <v>5</v>
      </c>
      <c r="L1340" s="145">
        <v>46098</v>
      </c>
      <c r="M1340" s="152" t="s">
        <v>3392</v>
      </c>
    </row>
    <row r="1341" spans="1:13" ht="15" customHeight="1">
      <c r="A1341" s="146" t="s">
        <v>3814</v>
      </c>
      <c r="B1341" s="146">
        <v>515537</v>
      </c>
      <c r="C1341" s="147" t="s">
        <v>3815</v>
      </c>
      <c r="D1341" s="146" t="s">
        <v>3370</v>
      </c>
      <c r="E1341" s="147" t="s">
        <v>3451</v>
      </c>
      <c r="F1341" s="147" t="s">
        <v>3816</v>
      </c>
      <c r="G1341" s="146" t="s">
        <v>109</v>
      </c>
      <c r="H1341" s="146" t="s">
        <v>50</v>
      </c>
      <c r="I1341" s="147" t="s">
        <v>3391</v>
      </c>
      <c r="J1341" s="147" t="s">
        <v>104</v>
      </c>
      <c r="K1341" s="150" t="s">
        <v>5</v>
      </c>
      <c r="L1341" s="149">
        <v>46100</v>
      </c>
      <c r="M1341" s="151" t="s">
        <v>3392</v>
      </c>
    </row>
    <row r="1342" spans="1:13" ht="15" customHeight="1">
      <c r="A1342" s="142" t="s">
        <v>3817</v>
      </c>
      <c r="B1342" s="142">
        <v>515980</v>
      </c>
      <c r="C1342" s="143" t="s">
        <v>3818</v>
      </c>
      <c r="D1342" s="142" t="s">
        <v>3370</v>
      </c>
      <c r="E1342" s="143" t="s">
        <v>3451</v>
      </c>
      <c r="F1342" s="143" t="s">
        <v>3819</v>
      </c>
      <c r="G1342" s="142" t="s">
        <v>109</v>
      </c>
      <c r="H1342" s="142" t="s">
        <v>50</v>
      </c>
      <c r="I1342" s="143" t="s">
        <v>3391</v>
      </c>
      <c r="J1342" s="143" t="s">
        <v>104</v>
      </c>
      <c r="K1342" s="150" t="s">
        <v>5</v>
      </c>
      <c r="L1342" s="145">
        <v>46104</v>
      </c>
      <c r="M1342" s="152" t="s">
        <v>3392</v>
      </c>
    </row>
    <row r="1343" spans="1:13" ht="15" customHeight="1">
      <c r="A1343" s="146" t="s">
        <v>3820</v>
      </c>
      <c r="B1343" s="146">
        <v>515113</v>
      </c>
      <c r="C1343" s="147" t="s">
        <v>3821</v>
      </c>
      <c r="D1343" s="146" t="s">
        <v>3370</v>
      </c>
      <c r="E1343" s="147" t="s">
        <v>3822</v>
      </c>
      <c r="F1343" s="147" t="s">
        <v>3528</v>
      </c>
      <c r="G1343" s="146" t="s">
        <v>109</v>
      </c>
      <c r="H1343" s="146" t="s">
        <v>50</v>
      </c>
      <c r="I1343" s="147" t="s">
        <v>3391</v>
      </c>
      <c r="J1343" s="147" t="s">
        <v>104</v>
      </c>
      <c r="K1343" s="150" t="s">
        <v>5</v>
      </c>
      <c r="L1343" s="149">
        <v>46099</v>
      </c>
      <c r="M1343" s="151" t="s">
        <v>3392</v>
      </c>
    </row>
    <row r="1344" spans="1:13" ht="15" customHeight="1">
      <c r="A1344" s="142" t="s">
        <v>3823</v>
      </c>
      <c r="B1344" s="142">
        <v>515208</v>
      </c>
      <c r="C1344" s="143" t="s">
        <v>3824</v>
      </c>
      <c r="D1344" s="142" t="s">
        <v>3370</v>
      </c>
      <c r="E1344" s="143" t="s">
        <v>3822</v>
      </c>
      <c r="F1344" s="143" t="s">
        <v>3825</v>
      </c>
      <c r="G1344" s="142" t="s">
        <v>109</v>
      </c>
      <c r="H1344" s="142" t="s">
        <v>50</v>
      </c>
      <c r="I1344" s="143" t="s">
        <v>3391</v>
      </c>
      <c r="J1344" s="143" t="s">
        <v>104</v>
      </c>
      <c r="K1344" s="150" t="s">
        <v>5</v>
      </c>
      <c r="L1344" s="145">
        <v>46107</v>
      </c>
      <c r="M1344" s="152" t="s">
        <v>3392</v>
      </c>
    </row>
    <row r="1345" spans="1:13" ht="15" customHeight="1">
      <c r="A1345" s="146" t="s">
        <v>3826</v>
      </c>
      <c r="B1345" s="146">
        <v>515206</v>
      </c>
      <c r="C1345" s="147" t="s">
        <v>3827</v>
      </c>
      <c r="D1345" s="146" t="s">
        <v>3370</v>
      </c>
      <c r="E1345" s="147" t="s">
        <v>3822</v>
      </c>
      <c r="F1345" s="147" t="s">
        <v>3828</v>
      </c>
      <c r="G1345" s="146" t="s">
        <v>109</v>
      </c>
      <c r="H1345" s="146" t="s">
        <v>50</v>
      </c>
      <c r="I1345" s="147" t="s">
        <v>3391</v>
      </c>
      <c r="J1345" s="147" t="s">
        <v>104</v>
      </c>
      <c r="K1345" s="150" t="s">
        <v>5</v>
      </c>
      <c r="L1345" s="149">
        <v>46099</v>
      </c>
      <c r="M1345" s="151" t="s">
        <v>3392</v>
      </c>
    </row>
    <row r="1346" spans="1:13" ht="15" customHeight="1">
      <c r="A1346" s="142" t="s">
        <v>3829</v>
      </c>
      <c r="B1346" s="142">
        <v>521610</v>
      </c>
      <c r="C1346" s="143" t="s">
        <v>408</v>
      </c>
      <c r="D1346" s="142" t="s">
        <v>3370</v>
      </c>
      <c r="E1346" s="143" t="s">
        <v>3822</v>
      </c>
      <c r="F1346" s="143" t="s">
        <v>1238</v>
      </c>
      <c r="G1346" s="142" t="s">
        <v>109</v>
      </c>
      <c r="H1346" s="142" t="s">
        <v>50</v>
      </c>
      <c r="I1346" s="143" t="s">
        <v>3391</v>
      </c>
      <c r="J1346" s="143" t="s">
        <v>104</v>
      </c>
      <c r="K1346" s="153" t="s">
        <v>9</v>
      </c>
      <c r="L1346" s="145">
        <v>46101</v>
      </c>
      <c r="M1346" s="152" t="s">
        <v>3392</v>
      </c>
    </row>
    <row r="1347" spans="1:13" ht="15" customHeight="1">
      <c r="A1347" s="146" t="s">
        <v>3830</v>
      </c>
      <c r="B1347" s="146">
        <v>521650</v>
      </c>
      <c r="C1347" s="147" t="s">
        <v>3831</v>
      </c>
      <c r="D1347" s="146" t="s">
        <v>3370</v>
      </c>
      <c r="E1347" s="147" t="s">
        <v>3832</v>
      </c>
      <c r="F1347" s="147" t="s">
        <v>3833</v>
      </c>
      <c r="G1347" s="146" t="s">
        <v>109</v>
      </c>
      <c r="H1347" s="146" t="s">
        <v>50</v>
      </c>
      <c r="I1347" s="147" t="s">
        <v>3391</v>
      </c>
      <c r="J1347" s="147" t="s">
        <v>104</v>
      </c>
      <c r="K1347" s="150" t="s">
        <v>5</v>
      </c>
      <c r="L1347" s="149">
        <v>46125</v>
      </c>
      <c r="M1347" s="151" t="s">
        <v>3392</v>
      </c>
    </row>
    <row r="1348" spans="1:13" ht="15" customHeight="1">
      <c r="A1348" s="142" t="s">
        <v>3834</v>
      </c>
      <c r="B1348" s="142">
        <v>515289</v>
      </c>
      <c r="C1348" s="143" t="s">
        <v>3835</v>
      </c>
      <c r="D1348" s="142" t="s">
        <v>3370</v>
      </c>
      <c r="E1348" s="143" t="s">
        <v>3832</v>
      </c>
      <c r="F1348" s="143" t="s">
        <v>3836</v>
      </c>
      <c r="G1348" s="142" t="s">
        <v>109</v>
      </c>
      <c r="H1348" s="142" t="s">
        <v>50</v>
      </c>
      <c r="I1348" s="143" t="s">
        <v>3391</v>
      </c>
      <c r="J1348" s="143" t="s">
        <v>104</v>
      </c>
      <c r="K1348" s="150" t="s">
        <v>5</v>
      </c>
      <c r="L1348" s="145">
        <v>46125</v>
      </c>
      <c r="M1348" s="152" t="s">
        <v>3392</v>
      </c>
    </row>
    <row r="1349" spans="1:13" ht="15" customHeight="1">
      <c r="A1349" s="146" t="s">
        <v>3837</v>
      </c>
      <c r="B1349" s="146">
        <v>515995</v>
      </c>
      <c r="C1349" s="147" t="s">
        <v>3838</v>
      </c>
      <c r="D1349" s="146" t="s">
        <v>3370</v>
      </c>
      <c r="E1349" s="147" t="s">
        <v>3832</v>
      </c>
      <c r="F1349" s="147" t="s">
        <v>3839</v>
      </c>
      <c r="G1349" s="146" t="s">
        <v>109</v>
      </c>
      <c r="H1349" s="146" t="s">
        <v>50</v>
      </c>
      <c r="I1349" s="147" t="s">
        <v>3391</v>
      </c>
      <c r="J1349" s="147" t="s">
        <v>104</v>
      </c>
      <c r="K1349" s="150" t="s">
        <v>5</v>
      </c>
      <c r="L1349" s="149">
        <v>46129</v>
      </c>
      <c r="M1349" s="151" t="s">
        <v>3392</v>
      </c>
    </row>
    <row r="1350" spans="1:13" ht="15" customHeight="1">
      <c r="A1350" s="142" t="s">
        <v>3840</v>
      </c>
      <c r="B1350" s="142">
        <v>515165</v>
      </c>
      <c r="C1350" s="143" t="s">
        <v>3841</v>
      </c>
      <c r="D1350" s="142" t="s">
        <v>3370</v>
      </c>
      <c r="E1350" s="143" t="s">
        <v>3842</v>
      </c>
      <c r="F1350" s="143" t="s">
        <v>3843</v>
      </c>
      <c r="G1350" s="142" t="s">
        <v>102</v>
      </c>
      <c r="H1350" s="142" t="s">
        <v>53</v>
      </c>
      <c r="I1350" s="143" t="s">
        <v>1110</v>
      </c>
      <c r="J1350" s="143" t="s">
        <v>104</v>
      </c>
      <c r="K1350" s="144"/>
      <c r="L1350" s="145"/>
      <c r="M1350" s="144"/>
    </row>
    <row r="1351" spans="1:13" ht="15" customHeight="1">
      <c r="A1351" s="146" t="s">
        <v>3844</v>
      </c>
      <c r="B1351" s="146">
        <v>515058</v>
      </c>
      <c r="C1351" s="147" t="s">
        <v>3845</v>
      </c>
      <c r="D1351" s="146" t="s">
        <v>3370</v>
      </c>
      <c r="E1351" s="147" t="s">
        <v>3842</v>
      </c>
      <c r="F1351" s="147" t="s">
        <v>3846</v>
      </c>
      <c r="G1351" s="146" t="s">
        <v>109</v>
      </c>
      <c r="H1351" s="146" t="s">
        <v>53</v>
      </c>
      <c r="I1351" s="147" t="s">
        <v>1110</v>
      </c>
      <c r="J1351" s="147" t="s">
        <v>104</v>
      </c>
      <c r="K1351" s="148"/>
      <c r="L1351" s="149"/>
      <c r="M1351" s="148"/>
    </row>
    <row r="1352" spans="1:13" ht="15" customHeight="1">
      <c r="A1352" s="142" t="s">
        <v>3847</v>
      </c>
      <c r="B1352" s="142">
        <v>515162</v>
      </c>
      <c r="C1352" s="143" t="s">
        <v>3848</v>
      </c>
      <c r="D1352" s="142" t="s">
        <v>3370</v>
      </c>
      <c r="E1352" s="143" t="s">
        <v>3849</v>
      </c>
      <c r="F1352" s="143" t="s">
        <v>3850</v>
      </c>
      <c r="G1352" s="142" t="s">
        <v>109</v>
      </c>
      <c r="H1352" s="142" t="s">
        <v>50</v>
      </c>
      <c r="I1352" s="143" t="s">
        <v>3449</v>
      </c>
      <c r="J1352" s="143" t="s">
        <v>104</v>
      </c>
      <c r="K1352" s="144" t="s">
        <v>121</v>
      </c>
      <c r="L1352" s="145">
        <v>46149</v>
      </c>
      <c r="M1352" s="144"/>
    </row>
    <row r="1353" spans="1:13" ht="15" customHeight="1">
      <c r="A1353" s="146" t="s">
        <v>3851</v>
      </c>
      <c r="B1353" s="146">
        <v>521666</v>
      </c>
      <c r="C1353" s="147" t="s">
        <v>3852</v>
      </c>
      <c r="D1353" s="146" t="s">
        <v>3370</v>
      </c>
      <c r="E1353" s="147" t="s">
        <v>3558</v>
      </c>
      <c r="F1353" s="147" t="s">
        <v>3853</v>
      </c>
      <c r="G1353" s="146" t="s">
        <v>102</v>
      </c>
      <c r="H1353" s="146" t="s">
        <v>53</v>
      </c>
      <c r="I1353" s="147" t="s">
        <v>1184</v>
      </c>
      <c r="J1353" s="147" t="s">
        <v>104</v>
      </c>
      <c r="K1353" s="148"/>
      <c r="L1353" s="149"/>
      <c r="M1353" s="148"/>
    </row>
    <row r="1354" spans="1:13" ht="15" customHeight="1">
      <c r="A1354" s="142" t="s">
        <v>3854</v>
      </c>
      <c r="B1354" s="142">
        <v>514952</v>
      </c>
      <c r="C1354" s="143" t="s">
        <v>3855</v>
      </c>
      <c r="D1354" s="142" t="s">
        <v>3370</v>
      </c>
      <c r="E1354" s="143" t="s">
        <v>3856</v>
      </c>
      <c r="F1354" s="143" t="s">
        <v>3857</v>
      </c>
      <c r="G1354" s="142" t="s">
        <v>109</v>
      </c>
      <c r="H1354" s="142" t="s">
        <v>50</v>
      </c>
      <c r="I1354" s="143" t="s">
        <v>3391</v>
      </c>
      <c r="J1354" s="143" t="s">
        <v>104</v>
      </c>
      <c r="K1354" s="144" t="s">
        <v>121</v>
      </c>
      <c r="L1354" s="145">
        <v>46142</v>
      </c>
      <c r="M1354" s="144"/>
    </row>
    <row r="1355" spans="1:13" ht="15" customHeight="1">
      <c r="A1355" s="146" t="s">
        <v>3858</v>
      </c>
      <c r="B1355" s="146">
        <v>515239</v>
      </c>
      <c r="C1355" s="147" t="s">
        <v>3859</v>
      </c>
      <c r="D1355" s="146" t="s">
        <v>3370</v>
      </c>
      <c r="E1355" s="147" t="s">
        <v>3582</v>
      </c>
      <c r="F1355" s="147" t="s">
        <v>3860</v>
      </c>
      <c r="G1355" s="146" t="s">
        <v>109</v>
      </c>
      <c r="H1355" s="146" t="s">
        <v>53</v>
      </c>
      <c r="I1355" s="147" t="s">
        <v>1184</v>
      </c>
      <c r="J1355" s="147" t="s">
        <v>104</v>
      </c>
      <c r="K1355" s="148"/>
      <c r="L1355" s="149"/>
      <c r="M1355" s="148"/>
    </row>
    <row r="1356" spans="1:13" ht="15" customHeight="1">
      <c r="A1356" s="142" t="s">
        <v>3861</v>
      </c>
      <c r="B1356" s="142">
        <v>514760</v>
      </c>
      <c r="C1356" s="143" t="s">
        <v>3862</v>
      </c>
      <c r="D1356" s="142" t="s">
        <v>3370</v>
      </c>
      <c r="E1356" s="143" t="s">
        <v>3582</v>
      </c>
      <c r="F1356" s="143" t="s">
        <v>3863</v>
      </c>
      <c r="G1356" s="142" t="s">
        <v>109</v>
      </c>
      <c r="H1356" s="142" t="s">
        <v>53</v>
      </c>
      <c r="I1356" s="143" t="s">
        <v>1110</v>
      </c>
      <c r="J1356" s="143" t="s">
        <v>104</v>
      </c>
      <c r="K1356" s="144" t="s">
        <v>121</v>
      </c>
      <c r="L1356" s="145">
        <v>46149</v>
      </c>
      <c r="M1356" s="144" t="s">
        <v>3473</v>
      </c>
    </row>
    <row r="1357" spans="1:13" ht="15" customHeight="1">
      <c r="A1357" s="146" t="s">
        <v>3864</v>
      </c>
      <c r="B1357" s="146">
        <v>515089</v>
      </c>
      <c r="C1357" s="147" t="s">
        <v>3865</v>
      </c>
      <c r="D1357" s="146" t="s">
        <v>3370</v>
      </c>
      <c r="E1357" s="147" t="s">
        <v>3582</v>
      </c>
      <c r="F1357" s="147" t="s">
        <v>3866</v>
      </c>
      <c r="G1357" s="146" t="s">
        <v>109</v>
      </c>
      <c r="H1357" s="146" t="s">
        <v>53</v>
      </c>
      <c r="I1357" s="147" t="s">
        <v>1110</v>
      </c>
      <c r="J1357" s="147" t="s">
        <v>104</v>
      </c>
      <c r="K1357" s="148"/>
      <c r="L1357" s="149"/>
      <c r="M1357" s="148"/>
    </row>
    <row r="1358" spans="1:13" ht="15" customHeight="1">
      <c r="A1358" s="142" t="s">
        <v>3867</v>
      </c>
      <c r="B1358" s="142">
        <v>515069</v>
      </c>
      <c r="C1358" s="143" t="s">
        <v>3868</v>
      </c>
      <c r="D1358" s="142" t="s">
        <v>3370</v>
      </c>
      <c r="E1358" s="143" t="s">
        <v>3465</v>
      </c>
      <c r="F1358" s="143" t="s">
        <v>3869</v>
      </c>
      <c r="G1358" s="142" t="s">
        <v>109</v>
      </c>
      <c r="H1358" s="142" t="s">
        <v>50</v>
      </c>
      <c r="I1358" s="143" t="s">
        <v>3391</v>
      </c>
      <c r="J1358" s="143" t="s">
        <v>104</v>
      </c>
      <c r="K1358" s="150" t="s">
        <v>5</v>
      </c>
      <c r="L1358" s="145">
        <v>46133</v>
      </c>
      <c r="M1358" s="152" t="s">
        <v>3392</v>
      </c>
    </row>
    <row r="1359" spans="1:13" ht="15" customHeight="1">
      <c r="A1359" s="146" t="s">
        <v>3870</v>
      </c>
      <c r="B1359" s="146">
        <v>515569</v>
      </c>
      <c r="C1359" s="147" t="s">
        <v>3871</v>
      </c>
      <c r="D1359" s="146" t="s">
        <v>3370</v>
      </c>
      <c r="E1359" s="147" t="s">
        <v>3404</v>
      </c>
      <c r="F1359" s="147" t="s">
        <v>3872</v>
      </c>
      <c r="G1359" s="146" t="s">
        <v>102</v>
      </c>
      <c r="H1359" s="146" t="s">
        <v>53</v>
      </c>
      <c r="I1359" s="147" t="s">
        <v>1110</v>
      </c>
      <c r="J1359" s="147" t="s">
        <v>104</v>
      </c>
      <c r="K1359" s="148"/>
      <c r="L1359" s="149"/>
      <c r="M1359" s="148"/>
    </row>
    <row r="1360" spans="1:13" ht="15" customHeight="1">
      <c r="A1360" s="142" t="s">
        <v>3873</v>
      </c>
      <c r="B1360" s="142">
        <v>514591</v>
      </c>
      <c r="C1360" s="143" t="s">
        <v>3874</v>
      </c>
      <c r="D1360" s="142" t="s">
        <v>3370</v>
      </c>
      <c r="E1360" s="143" t="s">
        <v>3551</v>
      </c>
      <c r="F1360" s="143" t="s">
        <v>3875</v>
      </c>
      <c r="G1360" s="142" t="s">
        <v>109</v>
      </c>
      <c r="H1360" s="142" t="s">
        <v>53</v>
      </c>
      <c r="I1360" s="143" t="s">
        <v>1184</v>
      </c>
      <c r="J1360" s="143" t="s">
        <v>104</v>
      </c>
      <c r="K1360" s="144"/>
      <c r="L1360" s="145"/>
      <c r="M1360" s="144"/>
    </row>
    <row r="1361" spans="1:13" ht="15" customHeight="1">
      <c r="A1361" s="146" t="s">
        <v>3876</v>
      </c>
      <c r="B1361" s="146">
        <v>515245</v>
      </c>
      <c r="C1361" s="147" t="s">
        <v>3877</v>
      </c>
      <c r="D1361" s="146" t="s">
        <v>3370</v>
      </c>
      <c r="E1361" s="147" t="s">
        <v>3753</v>
      </c>
      <c r="F1361" s="147" t="s">
        <v>880</v>
      </c>
      <c r="G1361" s="146" t="s">
        <v>109</v>
      </c>
      <c r="H1361" s="146" t="s">
        <v>50</v>
      </c>
      <c r="I1361" s="147" t="s">
        <v>3391</v>
      </c>
      <c r="J1361" s="147" t="s">
        <v>104</v>
      </c>
      <c r="K1361" s="148"/>
      <c r="L1361" s="149"/>
      <c r="M1361" s="148"/>
    </row>
    <row r="1362" spans="1:13" ht="15" customHeight="1">
      <c r="A1362" s="142" t="s">
        <v>3878</v>
      </c>
      <c r="B1362" s="142">
        <v>515228</v>
      </c>
      <c r="C1362" s="143" t="s">
        <v>3879</v>
      </c>
      <c r="D1362" s="142" t="s">
        <v>3370</v>
      </c>
      <c r="E1362" s="143" t="s">
        <v>3753</v>
      </c>
      <c r="F1362" s="143" t="s">
        <v>3880</v>
      </c>
      <c r="G1362" s="142" t="s">
        <v>109</v>
      </c>
      <c r="H1362" s="142" t="s">
        <v>50</v>
      </c>
      <c r="I1362" s="143" t="s">
        <v>3391</v>
      </c>
      <c r="J1362" s="143" t="s">
        <v>104</v>
      </c>
      <c r="K1362" s="144" t="s">
        <v>121</v>
      </c>
      <c r="L1362" s="145">
        <v>46148</v>
      </c>
      <c r="M1362" s="144"/>
    </row>
    <row r="1363" spans="1:13" ht="15" customHeight="1">
      <c r="A1363" s="146" t="s">
        <v>3881</v>
      </c>
      <c r="B1363" s="146">
        <v>515234</v>
      </c>
      <c r="C1363" s="147" t="s">
        <v>3882</v>
      </c>
      <c r="D1363" s="146" t="s">
        <v>3370</v>
      </c>
      <c r="E1363" s="147" t="s">
        <v>3645</v>
      </c>
      <c r="F1363" s="147" t="s">
        <v>3883</v>
      </c>
      <c r="G1363" s="146" t="s">
        <v>109</v>
      </c>
      <c r="H1363" s="146" t="s">
        <v>53</v>
      </c>
      <c r="I1363" s="147" t="s">
        <v>1110</v>
      </c>
      <c r="J1363" s="147" t="s">
        <v>104</v>
      </c>
      <c r="K1363" s="148"/>
      <c r="L1363" s="149"/>
      <c r="M1363" s="148"/>
    </row>
    <row r="1364" spans="1:13" ht="15" customHeight="1">
      <c r="A1364" s="142" t="s">
        <v>3884</v>
      </c>
      <c r="B1364" s="142">
        <v>514779</v>
      </c>
      <c r="C1364" s="143" t="s">
        <v>3885</v>
      </c>
      <c r="D1364" s="142" t="s">
        <v>3370</v>
      </c>
      <c r="E1364" s="143" t="s">
        <v>3753</v>
      </c>
      <c r="F1364" s="143" t="s">
        <v>3886</v>
      </c>
      <c r="G1364" s="142" t="s">
        <v>109</v>
      </c>
      <c r="H1364" s="142" t="s">
        <v>50</v>
      </c>
      <c r="I1364" s="143" t="s">
        <v>3391</v>
      </c>
      <c r="J1364" s="143" t="s">
        <v>104</v>
      </c>
      <c r="K1364" s="144" t="s">
        <v>121</v>
      </c>
      <c r="L1364" s="145">
        <v>46149</v>
      </c>
      <c r="M1364" s="144"/>
    </row>
    <row r="1365" spans="1:13" ht="15" customHeight="1">
      <c r="A1365" s="146" t="s">
        <v>3887</v>
      </c>
      <c r="B1365" s="146">
        <v>515455</v>
      </c>
      <c r="C1365" s="147" t="s">
        <v>3888</v>
      </c>
      <c r="D1365" s="146" t="s">
        <v>3370</v>
      </c>
      <c r="E1365" s="147" t="s">
        <v>3889</v>
      </c>
      <c r="F1365" s="147" t="s">
        <v>3890</v>
      </c>
      <c r="G1365" s="146" t="s">
        <v>109</v>
      </c>
      <c r="H1365" s="146" t="s">
        <v>50</v>
      </c>
      <c r="I1365" s="147" t="s">
        <v>3391</v>
      </c>
      <c r="J1365" s="147" t="s">
        <v>104</v>
      </c>
      <c r="K1365" s="150" t="s">
        <v>5</v>
      </c>
      <c r="L1365" s="149">
        <v>46104</v>
      </c>
      <c r="M1365" s="151" t="s">
        <v>3392</v>
      </c>
    </row>
    <row r="1366" spans="1:13" ht="15" customHeight="1">
      <c r="A1366" s="142" t="s">
        <v>3891</v>
      </c>
      <c r="B1366" s="142">
        <v>513112</v>
      </c>
      <c r="C1366" s="143" t="s">
        <v>3892</v>
      </c>
      <c r="D1366" s="142" t="s">
        <v>3370</v>
      </c>
      <c r="E1366" s="143" t="s">
        <v>3889</v>
      </c>
      <c r="F1366" s="143" t="s">
        <v>3893</v>
      </c>
      <c r="G1366" s="142" t="s">
        <v>109</v>
      </c>
      <c r="H1366" s="142" t="s">
        <v>50</v>
      </c>
      <c r="I1366" s="143" t="s">
        <v>3391</v>
      </c>
      <c r="J1366" s="143" t="s">
        <v>104</v>
      </c>
      <c r="K1366" s="150" t="s">
        <v>5</v>
      </c>
      <c r="L1366" s="145">
        <v>46105</v>
      </c>
      <c r="M1366" s="152" t="s">
        <v>3392</v>
      </c>
    </row>
    <row r="1367" spans="1:13" ht="15" customHeight="1">
      <c r="A1367" s="146" t="s">
        <v>3894</v>
      </c>
      <c r="B1367" s="146">
        <v>514607</v>
      </c>
      <c r="C1367" s="147" t="s">
        <v>3895</v>
      </c>
      <c r="D1367" s="146" t="s">
        <v>3370</v>
      </c>
      <c r="E1367" s="147" t="s">
        <v>3385</v>
      </c>
      <c r="F1367" s="147" t="s">
        <v>3385</v>
      </c>
      <c r="G1367" s="146" t="s">
        <v>102</v>
      </c>
      <c r="H1367" s="146" t="s">
        <v>53</v>
      </c>
      <c r="I1367" s="147" t="s">
        <v>1184</v>
      </c>
      <c r="J1367" s="147" t="s">
        <v>104</v>
      </c>
      <c r="K1367" s="148"/>
      <c r="L1367" s="149"/>
      <c r="M1367" s="148"/>
    </row>
    <row r="1368" spans="1:13" ht="15" customHeight="1">
      <c r="A1368" s="142" t="s">
        <v>3896</v>
      </c>
      <c r="B1368" s="142">
        <v>514979</v>
      </c>
      <c r="C1368" s="143" t="s">
        <v>390</v>
      </c>
      <c r="D1368" s="142" t="s">
        <v>3370</v>
      </c>
      <c r="E1368" s="143" t="s">
        <v>3385</v>
      </c>
      <c r="F1368" s="143" t="s">
        <v>3897</v>
      </c>
      <c r="G1368" s="142" t="s">
        <v>102</v>
      </c>
      <c r="H1368" s="142" t="s">
        <v>53</v>
      </c>
      <c r="I1368" s="143" t="s">
        <v>1184</v>
      </c>
      <c r="J1368" s="143" t="s">
        <v>104</v>
      </c>
      <c r="K1368" s="144"/>
      <c r="L1368" s="145"/>
      <c r="M1368" s="144"/>
    </row>
    <row r="1369" spans="1:13" ht="15" customHeight="1">
      <c r="A1369" s="146" t="s">
        <v>3898</v>
      </c>
      <c r="B1369" s="146">
        <v>515081</v>
      </c>
      <c r="C1369" s="147" t="s">
        <v>3899</v>
      </c>
      <c r="D1369" s="146" t="s">
        <v>3370</v>
      </c>
      <c r="E1369" s="147" t="s">
        <v>3900</v>
      </c>
      <c r="F1369" s="147" t="s">
        <v>3770</v>
      </c>
      <c r="G1369" s="146" t="s">
        <v>109</v>
      </c>
      <c r="H1369" s="146" t="s">
        <v>53</v>
      </c>
      <c r="I1369" s="147" t="s">
        <v>1184</v>
      </c>
      <c r="J1369" s="147" t="s">
        <v>104</v>
      </c>
      <c r="K1369" s="148"/>
      <c r="L1369" s="149"/>
      <c r="M1369" s="148"/>
    </row>
    <row r="1370" spans="1:13" ht="15" customHeight="1">
      <c r="A1370" s="142" t="s">
        <v>3901</v>
      </c>
      <c r="B1370" s="142">
        <v>515225</v>
      </c>
      <c r="C1370" s="143" t="s">
        <v>3902</v>
      </c>
      <c r="D1370" s="142" t="s">
        <v>3370</v>
      </c>
      <c r="E1370" s="143" t="s">
        <v>3749</v>
      </c>
      <c r="F1370" s="143" t="s">
        <v>3903</v>
      </c>
      <c r="G1370" s="142" t="s">
        <v>109</v>
      </c>
      <c r="H1370" s="142" t="s">
        <v>53</v>
      </c>
      <c r="I1370" s="143" t="s">
        <v>1184</v>
      </c>
      <c r="J1370" s="143" t="s">
        <v>104</v>
      </c>
      <c r="K1370" s="144" t="s">
        <v>121</v>
      </c>
      <c r="L1370" s="145">
        <v>46148</v>
      </c>
      <c r="M1370" s="144"/>
    </row>
    <row r="1371" spans="1:13" ht="15" customHeight="1">
      <c r="A1371" s="146" t="s">
        <v>3904</v>
      </c>
      <c r="B1371" s="146">
        <v>521674</v>
      </c>
      <c r="C1371" s="147" t="s">
        <v>3905</v>
      </c>
      <c r="D1371" s="146" t="s">
        <v>3370</v>
      </c>
      <c r="E1371" s="147" t="s">
        <v>3644</v>
      </c>
      <c r="F1371" s="147" t="s">
        <v>3906</v>
      </c>
      <c r="G1371" s="146" t="s">
        <v>102</v>
      </c>
      <c r="H1371" s="146" t="s">
        <v>53</v>
      </c>
      <c r="I1371" s="147" t="s">
        <v>1110</v>
      </c>
      <c r="J1371" s="147" t="s">
        <v>104</v>
      </c>
      <c r="K1371" s="148" t="s">
        <v>121</v>
      </c>
      <c r="L1371" s="149">
        <v>46148</v>
      </c>
      <c r="M1371" s="148"/>
    </row>
    <row r="1372" spans="1:13" ht="15" customHeight="1">
      <c r="A1372" s="142" t="s">
        <v>3907</v>
      </c>
      <c r="B1372" s="142">
        <v>514918</v>
      </c>
      <c r="C1372" s="143" t="s">
        <v>3908</v>
      </c>
      <c r="D1372" s="142" t="s">
        <v>3370</v>
      </c>
      <c r="E1372" s="143" t="s">
        <v>3561</v>
      </c>
      <c r="F1372" s="143" t="s">
        <v>3909</v>
      </c>
      <c r="G1372" s="142" t="s">
        <v>102</v>
      </c>
      <c r="H1372" s="142" t="s">
        <v>53</v>
      </c>
      <c r="I1372" s="143" t="s">
        <v>1110</v>
      </c>
      <c r="J1372" s="143" t="s">
        <v>104</v>
      </c>
      <c r="K1372" s="144"/>
      <c r="L1372" s="145"/>
      <c r="M1372" s="144"/>
    </row>
    <row r="1373" spans="1:13" ht="15" customHeight="1">
      <c r="A1373" s="146" t="s">
        <v>3910</v>
      </c>
      <c r="B1373" s="146">
        <v>515040</v>
      </c>
      <c r="C1373" s="147" t="s">
        <v>3911</v>
      </c>
      <c r="D1373" s="146" t="s">
        <v>3370</v>
      </c>
      <c r="E1373" s="147" t="s">
        <v>3561</v>
      </c>
      <c r="F1373" s="147" t="s">
        <v>3912</v>
      </c>
      <c r="G1373" s="146" t="s">
        <v>109</v>
      </c>
      <c r="H1373" s="146" t="s">
        <v>53</v>
      </c>
      <c r="I1373" s="147" t="s">
        <v>1110</v>
      </c>
      <c r="J1373" s="147" t="s">
        <v>104</v>
      </c>
      <c r="K1373" s="148"/>
      <c r="L1373" s="149"/>
      <c r="M1373" s="148"/>
    </row>
    <row r="1374" spans="1:13" ht="15" customHeight="1">
      <c r="A1374" s="142" t="s">
        <v>3913</v>
      </c>
      <c r="B1374" s="142">
        <v>515684</v>
      </c>
      <c r="C1374" s="143" t="s">
        <v>3914</v>
      </c>
      <c r="D1374" s="142" t="s">
        <v>3370</v>
      </c>
      <c r="E1374" s="143" t="s">
        <v>3696</v>
      </c>
      <c r="F1374" s="143" t="s">
        <v>3915</v>
      </c>
      <c r="G1374" s="142" t="s">
        <v>109</v>
      </c>
      <c r="H1374" s="142" t="s">
        <v>50</v>
      </c>
      <c r="I1374" s="143" t="s">
        <v>3391</v>
      </c>
      <c r="J1374" s="143" t="s">
        <v>104</v>
      </c>
      <c r="K1374" s="144" t="s">
        <v>121</v>
      </c>
      <c r="L1374" s="145">
        <v>46140</v>
      </c>
      <c r="M1374" s="144"/>
    </row>
    <row r="1375" spans="1:13" ht="15" customHeight="1">
      <c r="A1375" s="146" t="s">
        <v>3916</v>
      </c>
      <c r="B1375" s="146">
        <v>514858</v>
      </c>
      <c r="C1375" s="147" t="s">
        <v>3917</v>
      </c>
      <c r="D1375" s="146" t="s">
        <v>3370</v>
      </c>
      <c r="E1375" s="147" t="s">
        <v>3696</v>
      </c>
      <c r="F1375" s="147" t="s">
        <v>3918</v>
      </c>
      <c r="G1375" s="146" t="s">
        <v>109</v>
      </c>
      <c r="H1375" s="146" t="s">
        <v>50</v>
      </c>
      <c r="I1375" s="147" t="s">
        <v>3391</v>
      </c>
      <c r="J1375" s="147" t="s">
        <v>104</v>
      </c>
      <c r="K1375" s="150" t="s">
        <v>5</v>
      </c>
      <c r="L1375" s="149">
        <v>46134</v>
      </c>
      <c r="M1375" s="151" t="s">
        <v>3392</v>
      </c>
    </row>
    <row r="1376" spans="1:13" ht="15" customHeight="1">
      <c r="A1376" s="142" t="s">
        <v>3919</v>
      </c>
      <c r="B1376" s="142">
        <v>515149</v>
      </c>
      <c r="C1376" s="143" t="s">
        <v>3920</v>
      </c>
      <c r="D1376" s="142" t="s">
        <v>3370</v>
      </c>
      <c r="E1376" s="143" t="s">
        <v>3921</v>
      </c>
      <c r="F1376" s="143" t="s">
        <v>3922</v>
      </c>
      <c r="G1376" s="142" t="s">
        <v>109</v>
      </c>
      <c r="H1376" s="142" t="s">
        <v>50</v>
      </c>
      <c r="I1376" s="143" t="s">
        <v>1532</v>
      </c>
      <c r="J1376" s="143" t="s">
        <v>104</v>
      </c>
      <c r="K1376" s="144" t="s">
        <v>121</v>
      </c>
      <c r="L1376" s="145">
        <v>46142</v>
      </c>
      <c r="M1376" s="144"/>
    </row>
    <row r="1377" spans="1:13" ht="15" customHeight="1">
      <c r="A1377" s="146" t="s">
        <v>3923</v>
      </c>
      <c r="B1377" s="146">
        <v>516201</v>
      </c>
      <c r="C1377" s="147" t="s">
        <v>3924</v>
      </c>
      <c r="D1377" s="146" t="s">
        <v>3370</v>
      </c>
      <c r="E1377" s="147" t="s">
        <v>3921</v>
      </c>
      <c r="F1377" s="147" t="s">
        <v>853</v>
      </c>
      <c r="G1377" s="146" t="s">
        <v>109</v>
      </c>
      <c r="H1377" s="146" t="s">
        <v>50</v>
      </c>
      <c r="I1377" s="147" t="s">
        <v>1532</v>
      </c>
      <c r="J1377" s="147" t="s">
        <v>104</v>
      </c>
      <c r="K1377" s="148" t="s">
        <v>121</v>
      </c>
      <c r="L1377" s="149">
        <v>46142</v>
      </c>
      <c r="M1377" s="148"/>
    </row>
    <row r="1378" spans="1:13" ht="15" customHeight="1">
      <c r="A1378" s="142" t="s">
        <v>3925</v>
      </c>
      <c r="B1378" s="142">
        <v>521696</v>
      </c>
      <c r="C1378" s="143" t="s">
        <v>3926</v>
      </c>
      <c r="D1378" s="142" t="s">
        <v>3370</v>
      </c>
      <c r="E1378" s="143" t="s">
        <v>3927</v>
      </c>
      <c r="F1378" s="143" t="s">
        <v>3928</v>
      </c>
      <c r="G1378" s="142" t="s">
        <v>109</v>
      </c>
      <c r="H1378" s="142" t="s">
        <v>53</v>
      </c>
      <c r="I1378" s="143" t="s">
        <v>1184</v>
      </c>
      <c r="J1378" s="143" t="s">
        <v>104</v>
      </c>
      <c r="K1378" s="144"/>
      <c r="L1378" s="145"/>
      <c r="M1378" s="144"/>
    </row>
    <row r="1379" spans="1:13" ht="15" customHeight="1">
      <c r="A1379" s="146" t="s">
        <v>3929</v>
      </c>
      <c r="B1379" s="146">
        <v>515306</v>
      </c>
      <c r="C1379" s="147" t="s">
        <v>3930</v>
      </c>
      <c r="D1379" s="146" t="s">
        <v>3370</v>
      </c>
      <c r="E1379" s="147" t="s">
        <v>3371</v>
      </c>
      <c r="F1379" s="147" t="s">
        <v>3931</v>
      </c>
      <c r="G1379" s="146" t="s">
        <v>109</v>
      </c>
      <c r="H1379" s="146" t="s">
        <v>53</v>
      </c>
      <c r="I1379" s="147" t="s">
        <v>1110</v>
      </c>
      <c r="J1379" s="147" t="s">
        <v>104</v>
      </c>
      <c r="K1379" s="148"/>
      <c r="L1379" s="149"/>
      <c r="M1379" s="148"/>
    </row>
    <row r="1380" spans="1:13" ht="15" customHeight="1">
      <c r="A1380" s="142" t="s">
        <v>3932</v>
      </c>
      <c r="B1380" s="142">
        <v>515262</v>
      </c>
      <c r="C1380" s="143" t="s">
        <v>3933</v>
      </c>
      <c r="D1380" s="142" t="s">
        <v>3370</v>
      </c>
      <c r="E1380" s="143" t="s">
        <v>3934</v>
      </c>
      <c r="F1380" s="143" t="s">
        <v>3207</v>
      </c>
      <c r="G1380" s="142" t="s">
        <v>109</v>
      </c>
      <c r="H1380" s="142" t="s">
        <v>50</v>
      </c>
      <c r="I1380" s="143" t="s">
        <v>3391</v>
      </c>
      <c r="J1380" s="143" t="s">
        <v>104</v>
      </c>
      <c r="K1380" s="150" t="s">
        <v>5</v>
      </c>
      <c r="L1380" s="145">
        <v>46125</v>
      </c>
      <c r="M1380" s="152" t="s">
        <v>3392</v>
      </c>
    </row>
    <row r="1381" spans="1:13" ht="15" customHeight="1">
      <c r="A1381" s="146" t="s">
        <v>3935</v>
      </c>
      <c r="B1381" s="146">
        <v>515981</v>
      </c>
      <c r="C1381" s="147" t="s">
        <v>3936</v>
      </c>
      <c r="D1381" s="146" t="s">
        <v>3370</v>
      </c>
      <c r="E1381" s="147" t="s">
        <v>3934</v>
      </c>
      <c r="F1381" s="147" t="s">
        <v>3937</v>
      </c>
      <c r="G1381" s="146" t="s">
        <v>109</v>
      </c>
      <c r="H1381" s="146" t="s">
        <v>50</v>
      </c>
      <c r="I1381" s="147" t="s">
        <v>3391</v>
      </c>
      <c r="J1381" s="147" t="s">
        <v>104</v>
      </c>
      <c r="K1381" s="150" t="s">
        <v>5</v>
      </c>
      <c r="L1381" s="149">
        <v>46126</v>
      </c>
      <c r="M1381" s="151" t="s">
        <v>3392</v>
      </c>
    </row>
    <row r="1382" spans="1:13" ht="15" customHeight="1">
      <c r="A1382" s="142" t="s">
        <v>3938</v>
      </c>
      <c r="B1382" s="142">
        <v>515270</v>
      </c>
      <c r="C1382" s="143" t="s">
        <v>3939</v>
      </c>
      <c r="D1382" s="142" t="s">
        <v>3370</v>
      </c>
      <c r="E1382" s="143" t="s">
        <v>3934</v>
      </c>
      <c r="F1382" s="143" t="s">
        <v>2539</v>
      </c>
      <c r="G1382" s="142" t="s">
        <v>109</v>
      </c>
      <c r="H1382" s="142" t="s">
        <v>50</v>
      </c>
      <c r="I1382" s="143" t="s">
        <v>3391</v>
      </c>
      <c r="J1382" s="143" t="s">
        <v>104</v>
      </c>
      <c r="K1382" s="150" t="s">
        <v>5</v>
      </c>
      <c r="L1382" s="145">
        <v>46125</v>
      </c>
      <c r="M1382" s="152" t="s">
        <v>3392</v>
      </c>
    </row>
    <row r="1383" spans="1:13" ht="15" customHeight="1">
      <c r="A1383" s="146" t="s">
        <v>3940</v>
      </c>
      <c r="B1383" s="146">
        <v>514795</v>
      </c>
      <c r="C1383" s="147" t="s">
        <v>3941</v>
      </c>
      <c r="D1383" s="146" t="s">
        <v>3370</v>
      </c>
      <c r="E1383" s="147" t="s">
        <v>3379</v>
      </c>
      <c r="F1383" s="147" t="s">
        <v>3942</v>
      </c>
      <c r="G1383" s="146" t="s">
        <v>102</v>
      </c>
      <c r="H1383" s="146" t="s">
        <v>53</v>
      </c>
      <c r="I1383" s="147" t="s">
        <v>1110</v>
      </c>
      <c r="J1383" s="147" t="s">
        <v>104</v>
      </c>
      <c r="K1383" s="148"/>
      <c r="L1383" s="149"/>
      <c r="M1383" s="148"/>
    </row>
    <row r="1384" spans="1:13" ht="15" customHeight="1">
      <c r="A1384" s="142" t="s">
        <v>3943</v>
      </c>
      <c r="B1384" s="142">
        <v>514762</v>
      </c>
      <c r="C1384" s="143" t="s">
        <v>3944</v>
      </c>
      <c r="D1384" s="142" t="s">
        <v>3370</v>
      </c>
      <c r="E1384" s="143" t="s">
        <v>3379</v>
      </c>
      <c r="F1384" s="143" t="s">
        <v>3945</v>
      </c>
      <c r="G1384" s="142" t="s">
        <v>102</v>
      </c>
      <c r="H1384" s="142" t="s">
        <v>53</v>
      </c>
      <c r="I1384" s="143" t="s">
        <v>1110</v>
      </c>
      <c r="J1384" s="143" t="s">
        <v>104</v>
      </c>
      <c r="K1384" s="144"/>
      <c r="L1384" s="145"/>
      <c r="M1384" s="144"/>
    </row>
    <row r="1385" spans="1:13" ht="15" customHeight="1">
      <c r="A1385" s="146" t="s">
        <v>3946</v>
      </c>
      <c r="B1385" s="146">
        <v>514807</v>
      </c>
      <c r="C1385" s="147" t="s">
        <v>3947</v>
      </c>
      <c r="D1385" s="146" t="s">
        <v>3370</v>
      </c>
      <c r="E1385" s="147" t="s">
        <v>1244</v>
      </c>
      <c r="F1385" s="147" t="s">
        <v>3948</v>
      </c>
      <c r="G1385" s="146" t="s">
        <v>109</v>
      </c>
      <c r="H1385" s="146" t="s">
        <v>53</v>
      </c>
      <c r="I1385" s="147" t="s">
        <v>1184</v>
      </c>
      <c r="J1385" s="147" t="s">
        <v>104</v>
      </c>
      <c r="K1385" s="148"/>
      <c r="L1385" s="149"/>
      <c r="M1385" s="148"/>
    </row>
    <row r="1386" spans="1:13" ht="15" customHeight="1">
      <c r="A1386" s="142" t="s">
        <v>3949</v>
      </c>
      <c r="B1386" s="142">
        <v>514882</v>
      </c>
      <c r="C1386" s="143" t="s">
        <v>3950</v>
      </c>
      <c r="D1386" s="142" t="s">
        <v>3370</v>
      </c>
      <c r="E1386" s="143" t="s">
        <v>3455</v>
      </c>
      <c r="F1386" s="143" t="s">
        <v>3951</v>
      </c>
      <c r="G1386" s="142" t="s">
        <v>109</v>
      </c>
      <c r="H1386" s="142" t="s">
        <v>53</v>
      </c>
      <c r="I1386" s="143" t="s">
        <v>1110</v>
      </c>
      <c r="J1386" s="143" t="s">
        <v>104</v>
      </c>
      <c r="K1386" s="144"/>
      <c r="L1386" s="145"/>
      <c r="M1386" s="144"/>
    </row>
    <row r="1387" spans="1:13" ht="15" customHeight="1">
      <c r="A1387" s="146" t="s">
        <v>3952</v>
      </c>
      <c r="B1387" s="146">
        <v>515017</v>
      </c>
      <c r="C1387" s="147" t="s">
        <v>3953</v>
      </c>
      <c r="D1387" s="146" t="s">
        <v>3370</v>
      </c>
      <c r="E1387" s="147" t="s">
        <v>3455</v>
      </c>
      <c r="F1387" s="147" t="s">
        <v>3954</v>
      </c>
      <c r="G1387" s="146" t="s">
        <v>109</v>
      </c>
      <c r="H1387" s="146" t="s">
        <v>53</v>
      </c>
      <c r="I1387" s="147" t="s">
        <v>1110</v>
      </c>
      <c r="J1387" s="147" t="s">
        <v>104</v>
      </c>
      <c r="K1387" s="148"/>
      <c r="L1387" s="149"/>
      <c r="M1387" s="148"/>
    </row>
    <row r="1388" spans="1:13" ht="15" customHeight="1">
      <c r="A1388" s="142" t="s">
        <v>3955</v>
      </c>
      <c r="B1388" s="142">
        <v>514883</v>
      </c>
      <c r="C1388" s="143" t="s">
        <v>3956</v>
      </c>
      <c r="D1388" s="142" t="s">
        <v>3370</v>
      </c>
      <c r="E1388" s="143" t="s">
        <v>3455</v>
      </c>
      <c r="F1388" s="143" t="s">
        <v>3957</v>
      </c>
      <c r="G1388" s="142" t="s">
        <v>109</v>
      </c>
      <c r="H1388" s="142" t="s">
        <v>53</v>
      </c>
      <c r="I1388" s="143" t="s">
        <v>1110</v>
      </c>
      <c r="J1388" s="143" t="s">
        <v>104</v>
      </c>
      <c r="K1388" s="144"/>
      <c r="L1388" s="145"/>
      <c r="M1388" s="144"/>
    </row>
    <row r="1389" spans="1:13" ht="15" customHeight="1">
      <c r="A1389" s="146" t="s">
        <v>3958</v>
      </c>
      <c r="B1389" s="146">
        <v>515211</v>
      </c>
      <c r="C1389" s="147" t="s">
        <v>3959</v>
      </c>
      <c r="D1389" s="146" t="s">
        <v>3370</v>
      </c>
      <c r="E1389" s="147" t="s">
        <v>3960</v>
      </c>
      <c r="F1389" s="147" t="s">
        <v>3961</v>
      </c>
      <c r="G1389" s="146" t="s">
        <v>109</v>
      </c>
      <c r="H1389" s="146" t="s">
        <v>50</v>
      </c>
      <c r="I1389" s="147" t="s">
        <v>3391</v>
      </c>
      <c r="J1389" s="147" t="s">
        <v>104</v>
      </c>
      <c r="K1389" s="150" t="s">
        <v>5</v>
      </c>
      <c r="L1389" s="149">
        <v>46100</v>
      </c>
      <c r="M1389" s="151" t="s">
        <v>3392</v>
      </c>
    </row>
    <row r="1390" spans="1:13" ht="15" customHeight="1">
      <c r="A1390" s="142" t="s">
        <v>3962</v>
      </c>
      <c r="B1390" s="142">
        <v>514922</v>
      </c>
      <c r="C1390" s="143" t="s">
        <v>3963</v>
      </c>
      <c r="D1390" s="142" t="s">
        <v>3370</v>
      </c>
      <c r="E1390" s="143" t="s">
        <v>3615</v>
      </c>
      <c r="F1390" s="143" t="s">
        <v>3964</v>
      </c>
      <c r="G1390" s="142" t="s">
        <v>109</v>
      </c>
      <c r="H1390" s="142" t="s">
        <v>53</v>
      </c>
      <c r="I1390" s="143" t="s">
        <v>1110</v>
      </c>
      <c r="J1390" s="143" t="s">
        <v>104</v>
      </c>
      <c r="K1390" s="144"/>
      <c r="L1390" s="145"/>
      <c r="M1390" s="144"/>
    </row>
    <row r="1391" spans="1:13" ht="15" customHeight="1">
      <c r="A1391" s="146" t="s">
        <v>3965</v>
      </c>
      <c r="B1391" s="146">
        <v>515176</v>
      </c>
      <c r="C1391" s="147" t="s">
        <v>3966</v>
      </c>
      <c r="D1391" s="146" t="s">
        <v>3370</v>
      </c>
      <c r="E1391" s="147" t="s">
        <v>3967</v>
      </c>
      <c r="F1391" s="147" t="s">
        <v>3968</v>
      </c>
      <c r="G1391" s="146" t="s">
        <v>109</v>
      </c>
      <c r="H1391" s="146" t="s">
        <v>53</v>
      </c>
      <c r="I1391" s="147" t="s">
        <v>1110</v>
      </c>
      <c r="J1391" s="147" t="s">
        <v>104</v>
      </c>
      <c r="K1391" s="148"/>
      <c r="L1391" s="149"/>
      <c r="M1391" s="148"/>
    </row>
    <row r="1392" spans="1:13" ht="15" customHeight="1">
      <c r="A1392" s="142" t="s">
        <v>3969</v>
      </c>
      <c r="B1392" s="142">
        <v>521697</v>
      </c>
      <c r="C1392" s="143" t="s">
        <v>3970</v>
      </c>
      <c r="D1392" s="142" t="s">
        <v>3370</v>
      </c>
      <c r="E1392" s="143" t="s">
        <v>3971</v>
      </c>
      <c r="F1392" s="143" t="s">
        <v>3972</v>
      </c>
      <c r="G1392" s="142" t="s">
        <v>109</v>
      </c>
      <c r="H1392" s="142" t="s">
        <v>50</v>
      </c>
      <c r="I1392" s="143" t="s">
        <v>3391</v>
      </c>
      <c r="J1392" s="143" t="s">
        <v>104</v>
      </c>
      <c r="K1392" s="144" t="s">
        <v>121</v>
      </c>
      <c r="L1392" s="145">
        <v>46142</v>
      </c>
      <c r="M1392" s="144"/>
    </row>
    <row r="1393" spans="1:13" ht="15" customHeight="1">
      <c r="A1393" s="146" t="s">
        <v>3973</v>
      </c>
      <c r="B1393" s="146">
        <v>515257</v>
      </c>
      <c r="C1393" s="147" t="s">
        <v>3974</v>
      </c>
      <c r="D1393" s="146" t="s">
        <v>3370</v>
      </c>
      <c r="E1393" s="147" t="s">
        <v>3971</v>
      </c>
      <c r="F1393" s="147" t="s">
        <v>3975</v>
      </c>
      <c r="G1393" s="146" t="s">
        <v>109</v>
      </c>
      <c r="H1393" s="146" t="s">
        <v>50</v>
      </c>
      <c r="I1393" s="147" t="s">
        <v>3391</v>
      </c>
      <c r="J1393" s="147" t="s">
        <v>104</v>
      </c>
      <c r="K1393" s="148" t="s">
        <v>121</v>
      </c>
      <c r="L1393" s="149">
        <v>46141</v>
      </c>
      <c r="M1393" s="148"/>
    </row>
    <row r="1394" spans="1:13" ht="15" customHeight="1">
      <c r="A1394" s="142" t="s">
        <v>3976</v>
      </c>
      <c r="B1394" s="142">
        <v>515086</v>
      </c>
      <c r="C1394" s="143" t="s">
        <v>3977</v>
      </c>
      <c r="D1394" s="142" t="s">
        <v>3370</v>
      </c>
      <c r="E1394" s="143" t="s">
        <v>3978</v>
      </c>
      <c r="F1394" s="143" t="s">
        <v>3979</v>
      </c>
      <c r="G1394" s="142" t="s">
        <v>109</v>
      </c>
      <c r="H1394" s="142" t="s">
        <v>53</v>
      </c>
      <c r="I1394" s="143" t="s">
        <v>1110</v>
      </c>
      <c r="J1394" s="143" t="s">
        <v>104</v>
      </c>
      <c r="K1394" s="144"/>
      <c r="L1394" s="145"/>
      <c r="M1394" s="144"/>
    </row>
    <row r="1395" spans="1:13" ht="15" customHeight="1">
      <c r="A1395" s="146" t="s">
        <v>3980</v>
      </c>
      <c r="B1395" s="146">
        <v>515277</v>
      </c>
      <c r="C1395" s="147" t="s">
        <v>3981</v>
      </c>
      <c r="D1395" s="146" t="s">
        <v>3370</v>
      </c>
      <c r="E1395" s="147" t="s">
        <v>3718</v>
      </c>
      <c r="F1395" s="147" t="s">
        <v>2183</v>
      </c>
      <c r="G1395" s="146" t="s">
        <v>109</v>
      </c>
      <c r="H1395" s="146" t="s">
        <v>50</v>
      </c>
      <c r="I1395" s="147" t="s">
        <v>3391</v>
      </c>
      <c r="J1395" s="147" t="s">
        <v>104</v>
      </c>
      <c r="K1395" s="148" t="s">
        <v>121</v>
      </c>
      <c r="L1395" s="149">
        <v>46149</v>
      </c>
      <c r="M1395" s="148"/>
    </row>
    <row r="1396" spans="1:13" ht="15" customHeight="1">
      <c r="A1396" s="142" t="s">
        <v>3982</v>
      </c>
      <c r="B1396" s="142">
        <v>515121</v>
      </c>
      <c r="C1396" s="143" t="s">
        <v>3983</v>
      </c>
      <c r="D1396" s="142" t="s">
        <v>3370</v>
      </c>
      <c r="E1396" s="143" t="s">
        <v>3718</v>
      </c>
      <c r="F1396" s="143" t="s">
        <v>3984</v>
      </c>
      <c r="G1396" s="142" t="s">
        <v>109</v>
      </c>
      <c r="H1396" s="142" t="s">
        <v>50</v>
      </c>
      <c r="I1396" s="143" t="s">
        <v>3391</v>
      </c>
      <c r="J1396" s="143" t="s">
        <v>104</v>
      </c>
      <c r="K1396" s="144" t="s">
        <v>121</v>
      </c>
      <c r="L1396" s="145">
        <v>46150</v>
      </c>
      <c r="M1396" s="144"/>
    </row>
    <row r="1397" spans="1:13" ht="15" customHeight="1">
      <c r="A1397" s="146" t="s">
        <v>3985</v>
      </c>
      <c r="B1397" s="146">
        <v>515179</v>
      </c>
      <c r="C1397" s="147" t="s">
        <v>3986</v>
      </c>
      <c r="D1397" s="146" t="s">
        <v>3370</v>
      </c>
      <c r="E1397" s="147" t="s">
        <v>3428</v>
      </c>
      <c r="F1397" s="147" t="s">
        <v>3987</v>
      </c>
      <c r="G1397" s="146" t="s">
        <v>102</v>
      </c>
      <c r="H1397" s="146" t="s">
        <v>53</v>
      </c>
      <c r="I1397" s="147" t="s">
        <v>1184</v>
      </c>
      <c r="J1397" s="147" t="s">
        <v>104</v>
      </c>
      <c r="K1397" s="148"/>
      <c r="L1397" s="149"/>
      <c r="M1397" s="148"/>
    </row>
    <row r="1398" spans="1:13" ht="15" customHeight="1">
      <c r="A1398" s="142" t="s">
        <v>3988</v>
      </c>
      <c r="B1398" s="142">
        <v>515253</v>
      </c>
      <c r="C1398" s="143" t="s">
        <v>3989</v>
      </c>
      <c r="D1398" s="142" t="s">
        <v>3370</v>
      </c>
      <c r="E1398" s="143" t="s">
        <v>3990</v>
      </c>
      <c r="F1398" s="143" t="s">
        <v>3991</v>
      </c>
      <c r="G1398" s="142" t="s">
        <v>109</v>
      </c>
      <c r="H1398" s="142" t="s">
        <v>50</v>
      </c>
      <c r="I1398" s="143" t="s">
        <v>3391</v>
      </c>
      <c r="J1398" s="143" t="s">
        <v>104</v>
      </c>
      <c r="K1398" s="150" t="s">
        <v>5</v>
      </c>
      <c r="L1398" s="145">
        <v>46127</v>
      </c>
      <c r="M1398" s="152" t="s">
        <v>3392</v>
      </c>
    </row>
    <row r="1399" spans="1:13" ht="15" customHeight="1">
      <c r="A1399" s="146" t="s">
        <v>3992</v>
      </c>
      <c r="B1399" s="146">
        <v>514897</v>
      </c>
      <c r="C1399" s="147" t="s">
        <v>3993</v>
      </c>
      <c r="D1399" s="146" t="s">
        <v>3370</v>
      </c>
      <c r="E1399" s="147" t="s">
        <v>3990</v>
      </c>
      <c r="F1399" s="147" t="s">
        <v>3994</v>
      </c>
      <c r="G1399" s="146" t="s">
        <v>109</v>
      </c>
      <c r="H1399" s="146" t="s">
        <v>50</v>
      </c>
      <c r="I1399" s="147" t="s">
        <v>3391</v>
      </c>
      <c r="J1399" s="147" t="s">
        <v>104</v>
      </c>
      <c r="K1399" s="150" t="s">
        <v>5</v>
      </c>
      <c r="L1399" s="149">
        <v>46129</v>
      </c>
      <c r="M1399" s="151" t="s">
        <v>3392</v>
      </c>
    </row>
    <row r="1400" spans="1:13" ht="15" customHeight="1">
      <c r="A1400" s="142" t="s">
        <v>3995</v>
      </c>
      <c r="B1400" s="142">
        <v>515105</v>
      </c>
      <c r="C1400" s="143" t="s">
        <v>3996</v>
      </c>
      <c r="D1400" s="142" t="s">
        <v>3370</v>
      </c>
      <c r="E1400" s="143" t="s">
        <v>3990</v>
      </c>
      <c r="F1400" s="143" t="s">
        <v>880</v>
      </c>
      <c r="G1400" s="142" t="s">
        <v>109</v>
      </c>
      <c r="H1400" s="142" t="s">
        <v>50</v>
      </c>
      <c r="I1400" s="143" t="s">
        <v>3391</v>
      </c>
      <c r="J1400" s="143" t="s">
        <v>104</v>
      </c>
      <c r="K1400" s="150" t="s">
        <v>5</v>
      </c>
      <c r="L1400" s="145">
        <v>46127</v>
      </c>
      <c r="M1400" s="152" t="s">
        <v>3392</v>
      </c>
    </row>
    <row r="1401" spans="1:13" ht="15" customHeight="1">
      <c r="A1401" s="146" t="s">
        <v>3997</v>
      </c>
      <c r="B1401" s="146">
        <v>515097</v>
      </c>
      <c r="C1401" s="147" t="s">
        <v>3998</v>
      </c>
      <c r="D1401" s="146" t="s">
        <v>3370</v>
      </c>
      <c r="E1401" s="147" t="s">
        <v>3746</v>
      </c>
      <c r="F1401" s="147" t="s">
        <v>3999</v>
      </c>
      <c r="G1401" s="146" t="s">
        <v>109</v>
      </c>
      <c r="H1401" s="146" t="s">
        <v>53</v>
      </c>
      <c r="I1401" s="147" t="s">
        <v>1184</v>
      </c>
      <c r="J1401" s="147" t="s">
        <v>104</v>
      </c>
      <c r="K1401" s="148"/>
      <c r="L1401" s="149"/>
      <c r="M1401" s="148"/>
    </row>
    <row r="1402" spans="1:13" ht="15" customHeight="1">
      <c r="A1402" s="142" t="s">
        <v>4000</v>
      </c>
      <c r="B1402" s="142">
        <v>516217</v>
      </c>
      <c r="C1402" s="143" t="s">
        <v>4001</v>
      </c>
      <c r="D1402" s="142" t="s">
        <v>3370</v>
      </c>
      <c r="E1402" s="143" t="s">
        <v>3460</v>
      </c>
      <c r="F1402" s="143" t="s">
        <v>4002</v>
      </c>
      <c r="G1402" s="142" t="s">
        <v>102</v>
      </c>
      <c r="H1402" s="142" t="s">
        <v>53</v>
      </c>
      <c r="I1402" s="143" t="s">
        <v>1110</v>
      </c>
      <c r="J1402" s="143" t="s">
        <v>104</v>
      </c>
      <c r="K1402" s="144"/>
      <c r="L1402" s="145"/>
      <c r="M1402" s="144"/>
    </row>
    <row r="1403" spans="1:13" ht="15" customHeight="1">
      <c r="A1403" s="146" t="s">
        <v>4003</v>
      </c>
      <c r="B1403" s="146">
        <v>515507</v>
      </c>
      <c r="C1403" s="147" t="s">
        <v>4004</v>
      </c>
      <c r="D1403" s="146" t="s">
        <v>3370</v>
      </c>
      <c r="E1403" s="147" t="s">
        <v>3756</v>
      </c>
      <c r="F1403" s="147" t="s">
        <v>4005</v>
      </c>
      <c r="G1403" s="146" t="s">
        <v>109</v>
      </c>
      <c r="H1403" s="146" t="s">
        <v>53</v>
      </c>
      <c r="I1403" s="147" t="s">
        <v>1110</v>
      </c>
      <c r="J1403" s="147" t="s">
        <v>104</v>
      </c>
      <c r="K1403" s="148"/>
      <c r="L1403" s="149"/>
      <c r="M1403" s="148"/>
    </row>
    <row r="1404" spans="1:13" ht="15" customHeight="1">
      <c r="A1404" s="142" t="s">
        <v>4006</v>
      </c>
      <c r="B1404" s="142">
        <v>515109</v>
      </c>
      <c r="C1404" s="143" t="s">
        <v>4007</v>
      </c>
      <c r="D1404" s="142" t="s">
        <v>3370</v>
      </c>
      <c r="E1404" s="143" t="s">
        <v>3756</v>
      </c>
      <c r="F1404" s="143" t="s">
        <v>4008</v>
      </c>
      <c r="G1404" s="142" t="s">
        <v>102</v>
      </c>
      <c r="H1404" s="142" t="s">
        <v>53</v>
      </c>
      <c r="I1404" s="143" t="s">
        <v>1110</v>
      </c>
      <c r="J1404" s="143" t="s">
        <v>104</v>
      </c>
      <c r="K1404" s="144"/>
      <c r="L1404" s="145"/>
      <c r="M1404" s="144"/>
    </row>
    <row r="1405" spans="1:13" ht="15" customHeight="1">
      <c r="A1405" s="146" t="s">
        <v>4009</v>
      </c>
      <c r="B1405" s="146">
        <v>514835</v>
      </c>
      <c r="C1405" s="147" t="s">
        <v>4010</v>
      </c>
      <c r="D1405" s="146" t="s">
        <v>3370</v>
      </c>
      <c r="E1405" s="147" t="s">
        <v>4011</v>
      </c>
      <c r="F1405" s="147" t="s">
        <v>4011</v>
      </c>
      <c r="G1405" s="146" t="s">
        <v>109</v>
      </c>
      <c r="H1405" s="146" t="s">
        <v>53</v>
      </c>
      <c r="I1405" s="147" t="s">
        <v>1184</v>
      </c>
      <c r="J1405" s="147" t="s">
        <v>104</v>
      </c>
      <c r="K1405" s="148"/>
      <c r="L1405" s="149"/>
      <c r="M1405" s="148"/>
    </row>
    <row r="1406" spans="1:13" ht="15" customHeight="1">
      <c r="A1406" s="142" t="s">
        <v>4012</v>
      </c>
      <c r="B1406" s="142">
        <v>514995</v>
      </c>
      <c r="C1406" s="143" t="s">
        <v>4013</v>
      </c>
      <c r="D1406" s="142" t="s">
        <v>3370</v>
      </c>
      <c r="E1406" s="143" t="s">
        <v>3471</v>
      </c>
      <c r="F1406" s="143" t="s">
        <v>4014</v>
      </c>
      <c r="G1406" s="142" t="s">
        <v>109</v>
      </c>
      <c r="H1406" s="142" t="s">
        <v>53</v>
      </c>
      <c r="I1406" s="143" t="s">
        <v>1184</v>
      </c>
      <c r="J1406" s="143" t="s">
        <v>104</v>
      </c>
      <c r="K1406" s="144"/>
      <c r="L1406" s="145"/>
      <c r="M1406" s="144"/>
    </row>
    <row r="1407" spans="1:13" ht="15" customHeight="1">
      <c r="A1407" s="146" t="s">
        <v>4015</v>
      </c>
      <c r="B1407" s="146">
        <v>514964</v>
      </c>
      <c r="C1407" s="147" t="s">
        <v>4016</v>
      </c>
      <c r="D1407" s="146" t="s">
        <v>3370</v>
      </c>
      <c r="E1407" s="147" t="s">
        <v>4017</v>
      </c>
      <c r="F1407" s="147" t="s">
        <v>4018</v>
      </c>
      <c r="G1407" s="146" t="s">
        <v>109</v>
      </c>
      <c r="H1407" s="146" t="s">
        <v>50</v>
      </c>
      <c r="I1407" s="147" t="s">
        <v>3449</v>
      </c>
      <c r="J1407" s="147" t="s">
        <v>104</v>
      </c>
      <c r="K1407" s="148" t="s">
        <v>162</v>
      </c>
      <c r="L1407" s="149">
        <v>46140</v>
      </c>
      <c r="M1407" s="148"/>
    </row>
    <row r="1408" spans="1:13" ht="15" customHeight="1">
      <c r="A1408" s="142" t="s">
        <v>4019</v>
      </c>
      <c r="B1408" s="142">
        <v>515125</v>
      </c>
      <c r="C1408" s="143" t="s">
        <v>4020</v>
      </c>
      <c r="D1408" s="142" t="s">
        <v>3370</v>
      </c>
      <c r="E1408" s="143" t="s">
        <v>3699</v>
      </c>
      <c r="F1408" s="143" t="s">
        <v>4021</v>
      </c>
      <c r="G1408" s="142" t="s">
        <v>109</v>
      </c>
      <c r="H1408" s="142" t="s">
        <v>50</v>
      </c>
      <c r="I1408" s="143" t="s">
        <v>3391</v>
      </c>
      <c r="J1408" s="143" t="s">
        <v>104</v>
      </c>
      <c r="K1408" s="144"/>
      <c r="L1408" s="145"/>
      <c r="M1408" s="144"/>
    </row>
    <row r="1409" spans="1:13" ht="15" customHeight="1">
      <c r="A1409" s="146" t="s">
        <v>4022</v>
      </c>
      <c r="B1409" s="146">
        <v>514965</v>
      </c>
      <c r="C1409" s="147" t="s">
        <v>4023</v>
      </c>
      <c r="D1409" s="146" t="s">
        <v>3370</v>
      </c>
      <c r="E1409" s="147" t="s">
        <v>3505</v>
      </c>
      <c r="F1409" s="147" t="s">
        <v>4024</v>
      </c>
      <c r="G1409" s="146" t="s">
        <v>109</v>
      </c>
      <c r="H1409" s="146" t="s">
        <v>50</v>
      </c>
      <c r="I1409" s="147" t="s">
        <v>3449</v>
      </c>
      <c r="J1409" s="147" t="s">
        <v>104</v>
      </c>
      <c r="K1409" s="148" t="s">
        <v>121</v>
      </c>
      <c r="L1409" s="149">
        <v>46149</v>
      </c>
      <c r="M1409" s="148"/>
    </row>
    <row r="1410" spans="1:13" ht="15" customHeight="1">
      <c r="A1410" s="142" t="s">
        <v>4025</v>
      </c>
      <c r="B1410" s="142">
        <v>515956</v>
      </c>
      <c r="C1410" s="143" t="s">
        <v>4026</v>
      </c>
      <c r="D1410" s="142" t="s">
        <v>3370</v>
      </c>
      <c r="E1410" s="143" t="s">
        <v>3505</v>
      </c>
      <c r="F1410" s="143" t="s">
        <v>4027</v>
      </c>
      <c r="G1410" s="142" t="s">
        <v>109</v>
      </c>
      <c r="H1410" s="142" t="s">
        <v>50</v>
      </c>
      <c r="I1410" s="143" t="s">
        <v>3449</v>
      </c>
      <c r="J1410" s="143" t="s">
        <v>104</v>
      </c>
      <c r="K1410" s="144" t="s">
        <v>121</v>
      </c>
      <c r="L1410" s="145">
        <v>46142</v>
      </c>
      <c r="M1410" s="144"/>
    </row>
    <row r="1411" spans="1:13" ht="15" customHeight="1">
      <c r="A1411" s="146" t="s">
        <v>4028</v>
      </c>
      <c r="B1411" s="146">
        <v>515107</v>
      </c>
      <c r="C1411" s="147" t="s">
        <v>4029</v>
      </c>
      <c r="D1411" s="146" t="s">
        <v>3370</v>
      </c>
      <c r="E1411" s="147" t="s">
        <v>3598</v>
      </c>
      <c r="F1411" s="147" t="s">
        <v>4030</v>
      </c>
      <c r="G1411" s="146" t="s">
        <v>109</v>
      </c>
      <c r="H1411" s="146" t="s">
        <v>53</v>
      </c>
      <c r="I1411" s="147" t="s">
        <v>1110</v>
      </c>
      <c r="J1411" s="147" t="s">
        <v>104</v>
      </c>
      <c r="K1411" s="148"/>
      <c r="L1411" s="149"/>
      <c r="M1411" s="148"/>
    </row>
    <row r="1412" spans="1:13" ht="15" customHeight="1">
      <c r="A1412" s="142" t="s">
        <v>4031</v>
      </c>
      <c r="B1412" s="142">
        <v>515150</v>
      </c>
      <c r="C1412" s="143" t="s">
        <v>4032</v>
      </c>
      <c r="D1412" s="142" t="s">
        <v>3370</v>
      </c>
      <c r="E1412" s="143" t="s">
        <v>4033</v>
      </c>
      <c r="F1412" s="143" t="s">
        <v>4034</v>
      </c>
      <c r="G1412" s="142" t="s">
        <v>109</v>
      </c>
      <c r="H1412" s="142" t="s">
        <v>50</v>
      </c>
      <c r="I1412" s="143" t="s">
        <v>1532</v>
      </c>
      <c r="J1412" s="143" t="s">
        <v>104</v>
      </c>
      <c r="K1412" s="144"/>
      <c r="L1412" s="145"/>
      <c r="M1412" s="144"/>
    </row>
    <row r="1413" spans="1:13" ht="15" customHeight="1">
      <c r="A1413" s="146" t="s">
        <v>4035</v>
      </c>
      <c r="B1413" s="146">
        <v>515159</v>
      </c>
      <c r="C1413" s="147" t="s">
        <v>4036</v>
      </c>
      <c r="D1413" s="146" t="s">
        <v>3370</v>
      </c>
      <c r="E1413" s="147" t="s">
        <v>3444</v>
      </c>
      <c r="F1413" s="147" t="s">
        <v>4037</v>
      </c>
      <c r="G1413" s="146" t="s">
        <v>109</v>
      </c>
      <c r="H1413" s="146" t="s">
        <v>53</v>
      </c>
      <c r="I1413" s="147" t="s">
        <v>1110</v>
      </c>
      <c r="J1413" s="147" t="s">
        <v>104</v>
      </c>
      <c r="K1413" s="148"/>
      <c r="L1413" s="149"/>
      <c r="M1413" s="148"/>
    </row>
    <row r="1414" spans="1:13" ht="15" customHeight="1">
      <c r="A1414" s="142" t="s">
        <v>4038</v>
      </c>
      <c r="B1414" s="142">
        <v>513808</v>
      </c>
      <c r="C1414" s="143" t="s">
        <v>4039</v>
      </c>
      <c r="D1414" s="142" t="s">
        <v>3370</v>
      </c>
      <c r="E1414" s="143" t="s">
        <v>4040</v>
      </c>
      <c r="F1414" s="143" t="s">
        <v>4041</v>
      </c>
      <c r="G1414" s="142" t="s">
        <v>109</v>
      </c>
      <c r="H1414" s="142" t="s">
        <v>50</v>
      </c>
      <c r="I1414" s="143" t="s">
        <v>3391</v>
      </c>
      <c r="J1414" s="143" t="s">
        <v>104</v>
      </c>
      <c r="K1414" s="150" t="s">
        <v>5</v>
      </c>
      <c r="L1414" s="145">
        <v>46126</v>
      </c>
      <c r="M1414" s="152" t="s">
        <v>3392</v>
      </c>
    </row>
    <row r="1415" spans="1:13" ht="15" customHeight="1">
      <c r="A1415" s="146" t="s">
        <v>4042</v>
      </c>
      <c r="B1415" s="146">
        <v>514966</v>
      </c>
      <c r="C1415" s="147" t="s">
        <v>4043</v>
      </c>
      <c r="D1415" s="146" t="s">
        <v>3370</v>
      </c>
      <c r="E1415" s="147" t="s">
        <v>4040</v>
      </c>
      <c r="F1415" s="147" t="s">
        <v>4044</v>
      </c>
      <c r="G1415" s="146" t="s">
        <v>109</v>
      </c>
      <c r="H1415" s="146" t="s">
        <v>50</v>
      </c>
      <c r="I1415" s="147" t="s">
        <v>3391</v>
      </c>
      <c r="J1415" s="147" t="s">
        <v>104</v>
      </c>
      <c r="K1415" s="150" t="s">
        <v>5</v>
      </c>
      <c r="L1415" s="149">
        <v>46129</v>
      </c>
      <c r="M1415" s="151" t="s">
        <v>3392</v>
      </c>
    </row>
    <row r="1416" spans="1:13" ht="15" customHeight="1">
      <c r="A1416" s="142" t="s">
        <v>4045</v>
      </c>
      <c r="B1416" s="142">
        <v>514559</v>
      </c>
      <c r="C1416" s="143" t="s">
        <v>4046</v>
      </c>
      <c r="D1416" s="142" t="s">
        <v>3370</v>
      </c>
      <c r="E1416" s="143" t="s">
        <v>3416</v>
      </c>
      <c r="F1416" s="143" t="s">
        <v>4047</v>
      </c>
      <c r="G1416" s="142" t="s">
        <v>102</v>
      </c>
      <c r="H1416" s="142" t="s">
        <v>53</v>
      </c>
      <c r="I1416" s="143" t="s">
        <v>1110</v>
      </c>
      <c r="J1416" s="143" t="s">
        <v>104</v>
      </c>
      <c r="K1416" s="144"/>
      <c r="L1416" s="145"/>
      <c r="M1416" s="144"/>
    </row>
    <row r="1417" spans="1:13" ht="15" customHeight="1">
      <c r="A1417" s="146" t="s">
        <v>4048</v>
      </c>
      <c r="B1417" s="146">
        <v>514887</v>
      </c>
      <c r="C1417" s="147" t="s">
        <v>4049</v>
      </c>
      <c r="D1417" s="146" t="s">
        <v>3370</v>
      </c>
      <c r="E1417" s="147" t="s">
        <v>4050</v>
      </c>
      <c r="F1417" s="147" t="s">
        <v>4051</v>
      </c>
      <c r="G1417" s="146" t="s">
        <v>109</v>
      </c>
      <c r="H1417" s="146" t="s">
        <v>50</v>
      </c>
      <c r="I1417" s="147" t="s">
        <v>3391</v>
      </c>
      <c r="J1417" s="147" t="s">
        <v>104</v>
      </c>
      <c r="K1417" s="150" t="s">
        <v>5</v>
      </c>
      <c r="L1417" s="149">
        <v>46108</v>
      </c>
      <c r="M1417" s="151" t="s">
        <v>3392</v>
      </c>
    </row>
    <row r="1418" spans="1:13" ht="15" customHeight="1">
      <c r="A1418" s="142" t="s">
        <v>4052</v>
      </c>
      <c r="B1418" s="142">
        <v>514782</v>
      </c>
      <c r="C1418" s="143" t="s">
        <v>4053</v>
      </c>
      <c r="D1418" s="142" t="s">
        <v>3370</v>
      </c>
      <c r="E1418" s="143" t="s">
        <v>4050</v>
      </c>
      <c r="F1418" s="143" t="s">
        <v>4054</v>
      </c>
      <c r="G1418" s="142" t="s">
        <v>109</v>
      </c>
      <c r="H1418" s="142" t="s">
        <v>50</v>
      </c>
      <c r="I1418" s="143" t="s">
        <v>3391</v>
      </c>
      <c r="J1418" s="143" t="s">
        <v>104</v>
      </c>
      <c r="K1418" s="144"/>
      <c r="L1418" s="145"/>
      <c r="M1418" s="144"/>
    </row>
    <row r="1419" spans="1:13" ht="15" customHeight="1">
      <c r="A1419" s="146" t="s">
        <v>4055</v>
      </c>
      <c r="B1419" s="146">
        <v>515271</v>
      </c>
      <c r="C1419" s="147" t="s">
        <v>4056</v>
      </c>
      <c r="D1419" s="146" t="s">
        <v>3370</v>
      </c>
      <c r="E1419" s="147" t="s">
        <v>4057</v>
      </c>
      <c r="F1419" s="147" t="s">
        <v>4058</v>
      </c>
      <c r="G1419" s="146" t="s">
        <v>109</v>
      </c>
      <c r="H1419" s="146" t="s">
        <v>50</v>
      </c>
      <c r="I1419" s="147" t="s">
        <v>3391</v>
      </c>
      <c r="J1419" s="147" t="s">
        <v>104</v>
      </c>
      <c r="K1419" s="148"/>
      <c r="L1419" s="149"/>
      <c r="M1419" s="148"/>
    </row>
    <row r="1420" spans="1:13" ht="15" customHeight="1">
      <c r="A1420" s="142" t="s">
        <v>4059</v>
      </c>
      <c r="B1420" s="142">
        <v>515285</v>
      </c>
      <c r="C1420" s="143" t="s">
        <v>4060</v>
      </c>
      <c r="D1420" s="142" t="s">
        <v>3370</v>
      </c>
      <c r="E1420" s="143" t="s">
        <v>4057</v>
      </c>
      <c r="F1420" s="143" t="s">
        <v>4061</v>
      </c>
      <c r="G1420" s="142" t="s">
        <v>109</v>
      </c>
      <c r="H1420" s="142" t="s">
        <v>50</v>
      </c>
      <c r="I1420" s="143" t="s">
        <v>3391</v>
      </c>
      <c r="J1420" s="143" t="s">
        <v>104</v>
      </c>
      <c r="K1420" s="144"/>
      <c r="L1420" s="145"/>
      <c r="M1420" s="144"/>
    </row>
    <row r="1421" spans="1:13" ht="15" customHeight="1">
      <c r="A1421" s="146" t="s">
        <v>4062</v>
      </c>
      <c r="B1421" s="146">
        <v>515005</v>
      </c>
      <c r="C1421" s="147" t="s">
        <v>4063</v>
      </c>
      <c r="D1421" s="146" t="s">
        <v>3370</v>
      </c>
      <c r="E1421" s="147" t="s">
        <v>4064</v>
      </c>
      <c r="F1421" s="147" t="s">
        <v>4065</v>
      </c>
      <c r="G1421" s="146" t="s">
        <v>109</v>
      </c>
      <c r="H1421" s="146" t="s">
        <v>50</v>
      </c>
      <c r="I1421" s="147" t="s">
        <v>3391</v>
      </c>
      <c r="J1421" s="147" t="s">
        <v>104</v>
      </c>
      <c r="K1421" s="148"/>
      <c r="L1421" s="149"/>
      <c r="M1421" s="148"/>
    </row>
    <row r="1422" spans="1:13" ht="15" customHeight="1">
      <c r="A1422" s="142" t="s">
        <v>4066</v>
      </c>
      <c r="B1422" s="142">
        <v>521614</v>
      </c>
      <c r="C1422" s="143" t="s">
        <v>4067</v>
      </c>
      <c r="D1422" s="142" t="s">
        <v>3370</v>
      </c>
      <c r="E1422" s="143" t="s">
        <v>4064</v>
      </c>
      <c r="F1422" s="143" t="s">
        <v>4068</v>
      </c>
      <c r="G1422" s="142" t="s">
        <v>109</v>
      </c>
      <c r="H1422" s="142" t="s">
        <v>50</v>
      </c>
      <c r="I1422" s="143" t="s">
        <v>3391</v>
      </c>
      <c r="J1422" s="143" t="s">
        <v>104</v>
      </c>
      <c r="K1422" s="144"/>
      <c r="L1422" s="145"/>
      <c r="M1422" s="144"/>
    </row>
    <row r="1423" spans="1:13" ht="15" customHeight="1">
      <c r="A1423" s="146" t="s">
        <v>4069</v>
      </c>
      <c r="B1423" s="146">
        <v>515209</v>
      </c>
      <c r="C1423" s="147" t="s">
        <v>4070</v>
      </c>
      <c r="D1423" s="146" t="s">
        <v>3370</v>
      </c>
      <c r="E1423" s="147" t="s">
        <v>4071</v>
      </c>
      <c r="F1423" s="147" t="s">
        <v>2271</v>
      </c>
      <c r="G1423" s="146" t="s">
        <v>109</v>
      </c>
      <c r="H1423" s="146" t="s">
        <v>53</v>
      </c>
      <c r="I1423" s="147" t="s">
        <v>1110</v>
      </c>
      <c r="J1423" s="147" t="s">
        <v>104</v>
      </c>
      <c r="K1423" s="148"/>
      <c r="L1423" s="149"/>
      <c r="M1423" s="148"/>
    </row>
    <row r="1424" spans="1:13" ht="15" customHeight="1">
      <c r="A1424" s="142" t="s">
        <v>4072</v>
      </c>
      <c r="B1424" s="142">
        <v>515332</v>
      </c>
      <c r="C1424" s="143" t="s">
        <v>4073</v>
      </c>
      <c r="D1424" s="142" t="s">
        <v>3370</v>
      </c>
      <c r="E1424" s="143" t="s">
        <v>4074</v>
      </c>
      <c r="F1424" s="143" t="s">
        <v>4075</v>
      </c>
      <c r="G1424" s="142" t="s">
        <v>109</v>
      </c>
      <c r="H1424" s="142" t="s">
        <v>50</v>
      </c>
      <c r="I1424" s="143" t="s">
        <v>3391</v>
      </c>
      <c r="J1424" s="143" t="s">
        <v>104</v>
      </c>
      <c r="K1424" s="144" t="s">
        <v>121</v>
      </c>
      <c r="L1424" s="145">
        <v>46150</v>
      </c>
      <c r="M1424" s="144"/>
    </row>
    <row r="1425" spans="1:13" ht="15" customHeight="1">
      <c r="A1425" s="146" t="s">
        <v>4076</v>
      </c>
      <c r="B1425" s="146">
        <v>514828</v>
      </c>
      <c r="C1425" s="147" t="s">
        <v>4077</v>
      </c>
      <c r="D1425" s="146" t="s">
        <v>3370</v>
      </c>
      <c r="E1425" s="147" t="s">
        <v>3389</v>
      </c>
      <c r="F1425" s="147" t="s">
        <v>2756</v>
      </c>
      <c r="G1425" s="146" t="s">
        <v>109</v>
      </c>
      <c r="H1425" s="146" t="s">
        <v>50</v>
      </c>
      <c r="I1425" s="147" t="s">
        <v>3391</v>
      </c>
      <c r="J1425" s="147" t="s">
        <v>104</v>
      </c>
      <c r="K1425" s="148" t="s">
        <v>121</v>
      </c>
      <c r="L1425" s="149">
        <v>46140</v>
      </c>
      <c r="M1425" s="148"/>
    </row>
    <row r="1426" spans="1:13" ht="15" customHeight="1">
      <c r="A1426" s="142" t="s">
        <v>4078</v>
      </c>
      <c r="B1426" s="142">
        <v>514830</v>
      </c>
      <c r="C1426" s="143" t="s">
        <v>4079</v>
      </c>
      <c r="D1426" s="142" t="s">
        <v>3370</v>
      </c>
      <c r="E1426" s="143" t="s">
        <v>3770</v>
      </c>
      <c r="F1426" s="143" t="s">
        <v>3771</v>
      </c>
      <c r="G1426" s="142" t="s">
        <v>109</v>
      </c>
      <c r="H1426" s="142" t="s">
        <v>53</v>
      </c>
      <c r="I1426" s="143" t="s">
        <v>1184</v>
      </c>
      <c r="J1426" s="143" t="s">
        <v>104</v>
      </c>
      <c r="K1426" s="144"/>
      <c r="L1426" s="145"/>
      <c r="M1426" s="144"/>
    </row>
    <row r="1427" spans="1:13" ht="15" customHeight="1">
      <c r="A1427" s="146" t="s">
        <v>4080</v>
      </c>
      <c r="B1427" s="146">
        <v>515155</v>
      </c>
      <c r="C1427" s="147" t="s">
        <v>4081</v>
      </c>
      <c r="D1427" s="146" t="s">
        <v>3370</v>
      </c>
      <c r="E1427" s="147" t="s">
        <v>3664</v>
      </c>
      <c r="F1427" s="147" t="s">
        <v>3770</v>
      </c>
      <c r="G1427" s="146" t="s">
        <v>109</v>
      </c>
      <c r="H1427" s="146" t="s">
        <v>53</v>
      </c>
      <c r="I1427" s="147" t="s">
        <v>1184</v>
      </c>
      <c r="J1427" s="147" t="s">
        <v>104</v>
      </c>
      <c r="K1427" s="148"/>
      <c r="L1427" s="149"/>
      <c r="M1427" s="148"/>
    </row>
    <row r="1428" spans="1:13" ht="15" customHeight="1">
      <c r="A1428" s="142" t="s">
        <v>4082</v>
      </c>
      <c r="B1428" s="142">
        <v>515315</v>
      </c>
      <c r="C1428" s="143" t="s">
        <v>4083</v>
      </c>
      <c r="D1428" s="142" t="s">
        <v>3370</v>
      </c>
      <c r="E1428" s="143" t="s">
        <v>3664</v>
      </c>
      <c r="F1428" s="143" t="s">
        <v>4084</v>
      </c>
      <c r="G1428" s="142" t="s">
        <v>109</v>
      </c>
      <c r="H1428" s="142" t="s">
        <v>50</v>
      </c>
      <c r="I1428" s="143" t="s">
        <v>1532</v>
      </c>
      <c r="J1428" s="143" t="s">
        <v>104</v>
      </c>
      <c r="K1428" s="144"/>
      <c r="L1428" s="145"/>
      <c r="M1428" s="144"/>
    </row>
    <row r="1429" spans="1:13" ht="15" customHeight="1">
      <c r="A1429" s="146" t="s">
        <v>4085</v>
      </c>
      <c r="B1429" s="146">
        <v>515316</v>
      </c>
      <c r="C1429" s="147" t="s">
        <v>4086</v>
      </c>
      <c r="D1429" s="146" t="s">
        <v>3370</v>
      </c>
      <c r="E1429" s="147" t="s">
        <v>3664</v>
      </c>
      <c r="F1429" s="147" t="s">
        <v>4087</v>
      </c>
      <c r="G1429" s="146" t="s">
        <v>109</v>
      </c>
      <c r="H1429" s="146" t="s">
        <v>50</v>
      </c>
      <c r="I1429" s="147" t="s">
        <v>1532</v>
      </c>
      <c r="J1429" s="147" t="s">
        <v>104</v>
      </c>
      <c r="K1429" s="148"/>
      <c r="L1429" s="149"/>
      <c r="M1429" s="148"/>
    </row>
    <row r="1430" spans="1:13" ht="15" customHeight="1">
      <c r="A1430" s="142" t="s">
        <v>4088</v>
      </c>
      <c r="B1430" s="142">
        <v>518209</v>
      </c>
      <c r="C1430" s="143" t="s">
        <v>4089</v>
      </c>
      <c r="D1430" s="142" t="s">
        <v>3370</v>
      </c>
      <c r="E1430" s="143" t="s">
        <v>3797</v>
      </c>
      <c r="F1430" s="143" t="s">
        <v>4090</v>
      </c>
      <c r="G1430" s="142" t="s">
        <v>109</v>
      </c>
      <c r="H1430" s="142" t="s">
        <v>50</v>
      </c>
      <c r="I1430" s="143" t="s">
        <v>1532</v>
      </c>
      <c r="J1430" s="143" t="s">
        <v>104</v>
      </c>
      <c r="K1430" s="144" t="s">
        <v>121</v>
      </c>
      <c r="L1430" s="145">
        <v>46142</v>
      </c>
      <c r="M1430" s="144"/>
    </row>
    <row r="1431" spans="1:13" ht="15" customHeight="1">
      <c r="A1431" s="146" t="s">
        <v>4091</v>
      </c>
      <c r="B1431" s="146">
        <v>515996</v>
      </c>
      <c r="C1431" s="147" t="s">
        <v>4092</v>
      </c>
      <c r="D1431" s="146" t="s">
        <v>3370</v>
      </c>
      <c r="E1431" s="147" t="s">
        <v>3832</v>
      </c>
      <c r="F1431" s="147" t="s">
        <v>4054</v>
      </c>
      <c r="G1431" s="146" t="s">
        <v>109</v>
      </c>
      <c r="H1431" s="146" t="s">
        <v>50</v>
      </c>
      <c r="I1431" s="147" t="s">
        <v>3391</v>
      </c>
      <c r="J1431" s="147" t="s">
        <v>104</v>
      </c>
      <c r="K1431" s="153" t="s">
        <v>9</v>
      </c>
      <c r="L1431" s="149">
        <v>46127</v>
      </c>
      <c r="M1431" s="151" t="s">
        <v>3392</v>
      </c>
    </row>
    <row r="1432" spans="1:13" ht="15" customHeight="1">
      <c r="A1432" s="142" t="s">
        <v>4093</v>
      </c>
      <c r="B1432" s="142">
        <v>515189</v>
      </c>
      <c r="C1432" s="143" t="s">
        <v>4094</v>
      </c>
      <c r="D1432" s="142" t="s">
        <v>3370</v>
      </c>
      <c r="E1432" s="143" t="s">
        <v>4095</v>
      </c>
      <c r="F1432" s="143" t="s">
        <v>4096</v>
      </c>
      <c r="G1432" s="142" t="s">
        <v>109</v>
      </c>
      <c r="H1432" s="142" t="s">
        <v>50</v>
      </c>
      <c r="I1432" s="143" t="s">
        <v>1532</v>
      </c>
      <c r="J1432" s="143" t="s">
        <v>104</v>
      </c>
      <c r="K1432" s="144" t="s">
        <v>121</v>
      </c>
      <c r="L1432" s="145">
        <v>46143</v>
      </c>
      <c r="M1432" s="144"/>
    </row>
    <row r="1433" spans="1:13" ht="15" customHeight="1">
      <c r="A1433" s="146" t="s">
        <v>4097</v>
      </c>
      <c r="B1433" s="146">
        <v>515762</v>
      </c>
      <c r="C1433" s="147" t="s">
        <v>4098</v>
      </c>
      <c r="D1433" s="146" t="s">
        <v>3370</v>
      </c>
      <c r="E1433" s="147" t="s">
        <v>4099</v>
      </c>
      <c r="F1433" s="147" t="s">
        <v>4100</v>
      </c>
      <c r="G1433" s="146" t="s">
        <v>109</v>
      </c>
      <c r="H1433" s="146" t="s">
        <v>53</v>
      </c>
      <c r="I1433" s="147" t="s">
        <v>1184</v>
      </c>
      <c r="J1433" s="147" t="s">
        <v>104</v>
      </c>
      <c r="K1433" s="148"/>
      <c r="L1433" s="149"/>
      <c r="M1433" s="148"/>
    </row>
    <row r="1434" spans="1:13" ht="15" customHeight="1">
      <c r="A1434" s="142" t="s">
        <v>4101</v>
      </c>
      <c r="B1434" s="142">
        <v>514857</v>
      </c>
      <c r="C1434" s="143" t="s">
        <v>4102</v>
      </c>
      <c r="D1434" s="142" t="s">
        <v>3370</v>
      </c>
      <c r="E1434" s="143" t="s">
        <v>324</v>
      </c>
      <c r="F1434" s="143" t="s">
        <v>4103</v>
      </c>
      <c r="G1434" s="142" t="s">
        <v>102</v>
      </c>
      <c r="H1434" s="142" t="s">
        <v>53</v>
      </c>
      <c r="I1434" s="143" t="s">
        <v>1110</v>
      </c>
      <c r="J1434" s="143" t="s">
        <v>104</v>
      </c>
      <c r="K1434" s="144"/>
      <c r="L1434" s="145"/>
      <c r="M1434" s="144"/>
    </row>
    <row r="1435" spans="1:13" ht="15" customHeight="1">
      <c r="A1435" s="146" t="s">
        <v>4104</v>
      </c>
      <c r="B1435" s="146">
        <v>514684</v>
      </c>
      <c r="C1435" s="147" t="s">
        <v>4105</v>
      </c>
      <c r="D1435" s="146" t="s">
        <v>3370</v>
      </c>
      <c r="E1435" s="147" t="s">
        <v>3404</v>
      </c>
      <c r="F1435" s="147" t="s">
        <v>4106</v>
      </c>
      <c r="G1435" s="146" t="s">
        <v>102</v>
      </c>
      <c r="H1435" s="146" t="s">
        <v>53</v>
      </c>
      <c r="I1435" s="147" t="s">
        <v>1110</v>
      </c>
      <c r="J1435" s="147" t="s">
        <v>104</v>
      </c>
      <c r="K1435" s="148"/>
      <c r="L1435" s="149"/>
      <c r="M1435" s="148"/>
    </row>
    <row r="1436" spans="1:13" ht="15" customHeight="1">
      <c r="A1436" s="142" t="s">
        <v>4107</v>
      </c>
      <c r="B1436" s="142">
        <v>515838</v>
      </c>
      <c r="C1436" s="143" t="s">
        <v>4108</v>
      </c>
      <c r="D1436" s="142" t="s">
        <v>3370</v>
      </c>
      <c r="E1436" s="143" t="s">
        <v>3753</v>
      </c>
      <c r="F1436" s="143" t="s">
        <v>4109</v>
      </c>
      <c r="G1436" s="142" t="s">
        <v>109</v>
      </c>
      <c r="H1436" s="142" t="s">
        <v>50</v>
      </c>
      <c r="I1436" s="143" t="s">
        <v>3391</v>
      </c>
      <c r="J1436" s="143" t="s">
        <v>104</v>
      </c>
      <c r="K1436" s="144" t="s">
        <v>121</v>
      </c>
      <c r="L1436" s="145">
        <v>46150</v>
      </c>
      <c r="M1436" s="144"/>
    </row>
    <row r="1437" spans="1:13" ht="15" customHeight="1">
      <c r="A1437" s="146" t="s">
        <v>4110</v>
      </c>
      <c r="B1437" s="146">
        <v>515119</v>
      </c>
      <c r="C1437" s="147" t="s">
        <v>4111</v>
      </c>
      <c r="D1437" s="146" t="s">
        <v>3370</v>
      </c>
      <c r="E1437" s="147" t="s">
        <v>3753</v>
      </c>
      <c r="F1437" s="147" t="s">
        <v>4112</v>
      </c>
      <c r="G1437" s="146" t="s">
        <v>109</v>
      </c>
      <c r="H1437" s="146" t="s">
        <v>50</v>
      </c>
      <c r="I1437" s="147" t="s">
        <v>3391</v>
      </c>
      <c r="J1437" s="147" t="s">
        <v>104</v>
      </c>
      <c r="K1437" s="148" t="s">
        <v>121</v>
      </c>
      <c r="L1437" s="149">
        <v>46149</v>
      </c>
      <c r="M1437" s="148"/>
    </row>
    <row r="1438" spans="1:13" ht="15" customHeight="1">
      <c r="A1438" s="142" t="s">
        <v>4113</v>
      </c>
      <c r="B1438" s="142">
        <v>514678</v>
      </c>
      <c r="C1438" s="143" t="s">
        <v>4114</v>
      </c>
      <c r="D1438" s="142" t="s">
        <v>3370</v>
      </c>
      <c r="E1438" s="143" t="s">
        <v>4115</v>
      </c>
      <c r="F1438" s="143" t="s">
        <v>4116</v>
      </c>
      <c r="G1438" s="142" t="s">
        <v>109</v>
      </c>
      <c r="H1438" s="142" t="s">
        <v>53</v>
      </c>
      <c r="I1438" s="143" t="s">
        <v>1110</v>
      </c>
      <c r="J1438" s="143" t="s">
        <v>104</v>
      </c>
      <c r="K1438" s="144"/>
      <c r="L1438" s="145"/>
      <c r="M1438" s="144"/>
    </row>
    <row r="1439" spans="1:13" ht="15" customHeight="1">
      <c r="A1439" s="146" t="s">
        <v>4117</v>
      </c>
      <c r="B1439" s="146">
        <v>514569</v>
      </c>
      <c r="C1439" s="147" t="s">
        <v>4118</v>
      </c>
      <c r="D1439" s="146" t="s">
        <v>3370</v>
      </c>
      <c r="E1439" s="147" t="s">
        <v>4119</v>
      </c>
      <c r="F1439" s="147" t="s">
        <v>1232</v>
      </c>
      <c r="G1439" s="146" t="s">
        <v>109</v>
      </c>
      <c r="H1439" s="146" t="s">
        <v>53</v>
      </c>
      <c r="I1439" s="147" t="s">
        <v>1184</v>
      </c>
      <c r="J1439" s="147" t="s">
        <v>104</v>
      </c>
      <c r="K1439" s="148"/>
      <c r="L1439" s="149"/>
      <c r="M1439" s="148"/>
    </row>
    <row r="1440" spans="1:13" ht="15" customHeight="1">
      <c r="A1440" s="142" t="s">
        <v>4120</v>
      </c>
      <c r="B1440" s="142">
        <v>514768</v>
      </c>
      <c r="C1440" s="143" t="s">
        <v>4121</v>
      </c>
      <c r="D1440" s="142" t="s">
        <v>3370</v>
      </c>
      <c r="E1440" s="143" t="s">
        <v>3382</v>
      </c>
      <c r="F1440" s="143" t="s">
        <v>3084</v>
      </c>
      <c r="G1440" s="142" t="s">
        <v>109</v>
      </c>
      <c r="H1440" s="142" t="s">
        <v>53</v>
      </c>
      <c r="I1440" s="143" t="s">
        <v>1184</v>
      </c>
      <c r="J1440" s="143" t="s">
        <v>104</v>
      </c>
      <c r="K1440" s="144"/>
      <c r="L1440" s="145"/>
      <c r="M1440" s="144"/>
    </row>
    <row r="1441" spans="1:13" ht="15" customHeight="1">
      <c r="A1441" s="146" t="s">
        <v>4122</v>
      </c>
      <c r="B1441" s="146">
        <v>514876</v>
      </c>
      <c r="C1441" s="147" t="s">
        <v>4123</v>
      </c>
      <c r="D1441" s="146" t="s">
        <v>3370</v>
      </c>
      <c r="E1441" s="147" t="s">
        <v>4124</v>
      </c>
      <c r="F1441" s="147" t="s">
        <v>4125</v>
      </c>
      <c r="G1441" s="146" t="s">
        <v>109</v>
      </c>
      <c r="H1441" s="146" t="s">
        <v>53</v>
      </c>
      <c r="I1441" s="147" t="s">
        <v>1184</v>
      </c>
      <c r="J1441" s="147" t="s">
        <v>104</v>
      </c>
      <c r="K1441" s="148"/>
      <c r="L1441" s="149"/>
      <c r="M1441" s="148"/>
    </row>
    <row r="1442" spans="1:13" ht="15" customHeight="1">
      <c r="A1442" s="142" t="s">
        <v>4126</v>
      </c>
      <c r="B1442" s="142">
        <v>515100</v>
      </c>
      <c r="C1442" s="143" t="s">
        <v>4127</v>
      </c>
      <c r="D1442" s="142" t="s">
        <v>3370</v>
      </c>
      <c r="E1442" s="143" t="s">
        <v>3921</v>
      </c>
      <c r="F1442" s="143" t="s">
        <v>4128</v>
      </c>
      <c r="G1442" s="142" t="s">
        <v>109</v>
      </c>
      <c r="H1442" s="142" t="s">
        <v>50</v>
      </c>
      <c r="I1442" s="143" t="s">
        <v>1532</v>
      </c>
      <c r="J1442" s="143" t="s">
        <v>104</v>
      </c>
      <c r="K1442" s="144" t="s">
        <v>121</v>
      </c>
      <c r="L1442" s="145">
        <v>46142</v>
      </c>
      <c r="M1442" s="144"/>
    </row>
    <row r="1443" spans="1:13" ht="15" customHeight="1">
      <c r="A1443" s="146" t="s">
        <v>4129</v>
      </c>
      <c r="B1443" s="146">
        <v>514561</v>
      </c>
      <c r="C1443" s="147" t="s">
        <v>4130</v>
      </c>
      <c r="D1443" s="146" t="s">
        <v>3370</v>
      </c>
      <c r="E1443" s="147" t="s">
        <v>3927</v>
      </c>
      <c r="F1443" s="147" t="s">
        <v>4131</v>
      </c>
      <c r="G1443" s="146" t="s">
        <v>109</v>
      </c>
      <c r="H1443" s="146" t="s">
        <v>53</v>
      </c>
      <c r="I1443" s="147" t="s">
        <v>1184</v>
      </c>
      <c r="J1443" s="147" t="s">
        <v>104</v>
      </c>
      <c r="K1443" s="148"/>
      <c r="L1443" s="149"/>
      <c r="M1443" s="148"/>
    </row>
    <row r="1444" spans="1:13" ht="15" customHeight="1">
      <c r="A1444" s="142" t="s">
        <v>4132</v>
      </c>
      <c r="B1444" s="142">
        <v>514976</v>
      </c>
      <c r="C1444" s="143" t="s">
        <v>4133</v>
      </c>
      <c r="D1444" s="142" t="s">
        <v>3370</v>
      </c>
      <c r="E1444" s="143" t="s">
        <v>4134</v>
      </c>
      <c r="F1444" s="143" t="s">
        <v>4135</v>
      </c>
      <c r="G1444" s="142" t="s">
        <v>109</v>
      </c>
      <c r="H1444" s="142" t="s">
        <v>50</v>
      </c>
      <c r="I1444" s="143" t="s">
        <v>3391</v>
      </c>
      <c r="J1444" s="143" t="s">
        <v>104</v>
      </c>
      <c r="K1444" s="144" t="s">
        <v>121</v>
      </c>
      <c r="L1444" s="145">
        <v>46141</v>
      </c>
      <c r="M1444" s="144"/>
    </row>
    <row r="1445" spans="1:13" ht="15" customHeight="1">
      <c r="A1445" s="146" t="s">
        <v>4136</v>
      </c>
      <c r="B1445" s="146">
        <v>515024</v>
      </c>
      <c r="C1445" s="147" t="s">
        <v>4137</v>
      </c>
      <c r="D1445" s="146" t="s">
        <v>3370</v>
      </c>
      <c r="E1445" s="147" t="s">
        <v>3576</v>
      </c>
      <c r="F1445" s="147" t="s">
        <v>4138</v>
      </c>
      <c r="G1445" s="146" t="s">
        <v>109</v>
      </c>
      <c r="H1445" s="146" t="s">
        <v>53</v>
      </c>
      <c r="I1445" s="147" t="s">
        <v>1110</v>
      </c>
      <c r="J1445" s="147" t="s">
        <v>104</v>
      </c>
      <c r="K1445" s="148"/>
      <c r="L1445" s="149"/>
      <c r="M1445" s="148"/>
    </row>
    <row r="1446" spans="1:13" ht="15" customHeight="1">
      <c r="A1446" s="142" t="s">
        <v>4139</v>
      </c>
      <c r="B1446" s="142">
        <v>515210</v>
      </c>
      <c r="C1446" s="143" t="s">
        <v>4140</v>
      </c>
      <c r="D1446" s="142" t="s">
        <v>3370</v>
      </c>
      <c r="E1446" s="143" t="s">
        <v>3934</v>
      </c>
      <c r="F1446" s="143" t="s">
        <v>4141</v>
      </c>
      <c r="G1446" s="142" t="s">
        <v>109</v>
      </c>
      <c r="H1446" s="142" t="s">
        <v>50</v>
      </c>
      <c r="I1446" s="143" t="s">
        <v>3391</v>
      </c>
      <c r="J1446" s="143" t="s">
        <v>104</v>
      </c>
      <c r="K1446" s="150" t="s">
        <v>5</v>
      </c>
      <c r="L1446" s="145">
        <v>46126</v>
      </c>
      <c r="M1446" s="152" t="s">
        <v>3392</v>
      </c>
    </row>
    <row r="1447" spans="1:13" ht="15" customHeight="1">
      <c r="A1447" s="146" t="s">
        <v>4142</v>
      </c>
      <c r="B1447" s="146">
        <v>514861</v>
      </c>
      <c r="C1447" s="147" t="s">
        <v>4143</v>
      </c>
      <c r="D1447" s="146" t="s">
        <v>3370</v>
      </c>
      <c r="E1447" s="147" t="s">
        <v>3379</v>
      </c>
      <c r="F1447" s="147" t="s">
        <v>3605</v>
      </c>
      <c r="G1447" s="146" t="s">
        <v>109</v>
      </c>
      <c r="H1447" s="146" t="s">
        <v>53</v>
      </c>
      <c r="I1447" s="147" t="s">
        <v>1110</v>
      </c>
      <c r="J1447" s="147" t="s">
        <v>104</v>
      </c>
      <c r="K1447" s="148"/>
      <c r="L1447" s="149"/>
      <c r="M1447" s="148"/>
    </row>
    <row r="1448" spans="1:13" ht="15" customHeight="1">
      <c r="A1448" s="142" t="s">
        <v>4144</v>
      </c>
      <c r="B1448" s="142">
        <v>515194</v>
      </c>
      <c r="C1448" s="143" t="s">
        <v>4145</v>
      </c>
      <c r="D1448" s="142" t="s">
        <v>3370</v>
      </c>
      <c r="E1448" s="143" t="s">
        <v>1244</v>
      </c>
      <c r="F1448" s="143" t="s">
        <v>4146</v>
      </c>
      <c r="G1448" s="142" t="s">
        <v>109</v>
      </c>
      <c r="H1448" s="142" t="s">
        <v>53</v>
      </c>
      <c r="I1448" s="143" t="s">
        <v>1184</v>
      </c>
      <c r="J1448" s="143" t="s">
        <v>104</v>
      </c>
      <c r="K1448" s="144"/>
      <c r="L1448" s="145"/>
      <c r="M1448" s="144"/>
    </row>
    <row r="1449" spans="1:13" ht="15" customHeight="1">
      <c r="A1449" s="146" t="s">
        <v>4147</v>
      </c>
      <c r="B1449" s="146">
        <v>514694</v>
      </c>
      <c r="C1449" s="147" t="s">
        <v>4148</v>
      </c>
      <c r="D1449" s="146" t="s">
        <v>3370</v>
      </c>
      <c r="E1449" s="147" t="s">
        <v>1244</v>
      </c>
      <c r="F1449" s="147" t="s">
        <v>3591</v>
      </c>
      <c r="G1449" s="146" t="s">
        <v>102</v>
      </c>
      <c r="H1449" s="146" t="s">
        <v>53</v>
      </c>
      <c r="I1449" s="147" t="s">
        <v>1184</v>
      </c>
      <c r="J1449" s="147" t="s">
        <v>104</v>
      </c>
      <c r="K1449" s="148"/>
      <c r="L1449" s="149"/>
      <c r="M1449" s="148"/>
    </row>
    <row r="1450" spans="1:13" ht="15" customHeight="1">
      <c r="A1450" s="142" t="s">
        <v>4149</v>
      </c>
      <c r="B1450" s="142">
        <v>514804</v>
      </c>
      <c r="C1450" s="143" t="s">
        <v>4150</v>
      </c>
      <c r="D1450" s="142" t="s">
        <v>3370</v>
      </c>
      <c r="E1450" s="143" t="s">
        <v>1244</v>
      </c>
      <c r="F1450" s="143" t="s">
        <v>3591</v>
      </c>
      <c r="G1450" s="142" t="s">
        <v>109</v>
      </c>
      <c r="H1450" s="142" t="s">
        <v>53</v>
      </c>
      <c r="I1450" s="143" t="s">
        <v>1184</v>
      </c>
      <c r="J1450" s="143" t="s">
        <v>104</v>
      </c>
      <c r="K1450" s="144"/>
      <c r="L1450" s="145"/>
      <c r="M1450" s="144"/>
    </row>
    <row r="1451" spans="1:13" ht="15" customHeight="1">
      <c r="A1451" s="146" t="s">
        <v>4151</v>
      </c>
      <c r="B1451" s="146">
        <v>514896</v>
      </c>
      <c r="C1451" s="147" t="s">
        <v>4152</v>
      </c>
      <c r="D1451" s="146" t="s">
        <v>3370</v>
      </c>
      <c r="E1451" s="147" t="s">
        <v>1244</v>
      </c>
      <c r="F1451" s="147" t="s">
        <v>658</v>
      </c>
      <c r="G1451" s="146" t="s">
        <v>102</v>
      </c>
      <c r="H1451" s="146" t="s">
        <v>53</v>
      </c>
      <c r="I1451" s="147" t="s">
        <v>1184</v>
      </c>
      <c r="J1451" s="147" t="s">
        <v>104</v>
      </c>
      <c r="K1451" s="148"/>
      <c r="L1451" s="149"/>
      <c r="M1451" s="148"/>
    </row>
    <row r="1452" spans="1:13" ht="15" customHeight="1">
      <c r="A1452" s="142" t="s">
        <v>4153</v>
      </c>
      <c r="B1452" s="142">
        <v>514740</v>
      </c>
      <c r="C1452" s="143" t="s">
        <v>4154</v>
      </c>
      <c r="D1452" s="142" t="s">
        <v>3370</v>
      </c>
      <c r="E1452" s="143" t="s">
        <v>1244</v>
      </c>
      <c r="F1452" s="143" t="s">
        <v>4155</v>
      </c>
      <c r="G1452" s="142" t="s">
        <v>109</v>
      </c>
      <c r="H1452" s="142" t="s">
        <v>53</v>
      </c>
      <c r="I1452" s="143" t="s">
        <v>1184</v>
      </c>
      <c r="J1452" s="143" t="s">
        <v>104</v>
      </c>
      <c r="K1452" s="144"/>
      <c r="L1452" s="145"/>
      <c r="M1452" s="144"/>
    </row>
    <row r="1453" spans="1:13" ht="15" customHeight="1">
      <c r="A1453" s="146" t="s">
        <v>4156</v>
      </c>
      <c r="B1453" s="146">
        <v>514655</v>
      </c>
      <c r="C1453" s="147" t="s">
        <v>4157</v>
      </c>
      <c r="D1453" s="146" t="s">
        <v>3370</v>
      </c>
      <c r="E1453" s="147" t="s">
        <v>3517</v>
      </c>
      <c r="F1453" s="147" t="s">
        <v>1123</v>
      </c>
      <c r="G1453" s="146" t="s">
        <v>109</v>
      </c>
      <c r="H1453" s="146" t="s">
        <v>53</v>
      </c>
      <c r="I1453" s="147" t="s">
        <v>1110</v>
      </c>
      <c r="J1453" s="147" t="s">
        <v>104</v>
      </c>
      <c r="K1453" s="148"/>
      <c r="L1453" s="149"/>
      <c r="M1453" s="148"/>
    </row>
    <row r="1454" spans="1:13" ht="15" customHeight="1">
      <c r="A1454" s="142" t="s">
        <v>4158</v>
      </c>
      <c r="B1454" s="142">
        <v>515102</v>
      </c>
      <c r="C1454" s="143" t="s">
        <v>4159</v>
      </c>
      <c r="D1454" s="142" t="s">
        <v>3370</v>
      </c>
      <c r="E1454" s="143" t="s">
        <v>3517</v>
      </c>
      <c r="F1454" s="143" t="s">
        <v>4160</v>
      </c>
      <c r="G1454" s="142" t="s">
        <v>109</v>
      </c>
      <c r="H1454" s="142" t="s">
        <v>53</v>
      </c>
      <c r="I1454" s="143" t="s">
        <v>1110</v>
      </c>
      <c r="J1454" s="143" t="s">
        <v>104</v>
      </c>
      <c r="K1454" s="144"/>
      <c r="L1454" s="145"/>
      <c r="M1454" s="144"/>
    </row>
    <row r="1455" spans="1:13" ht="15" customHeight="1">
      <c r="A1455" s="146" t="s">
        <v>4161</v>
      </c>
      <c r="B1455" s="146">
        <v>515302</v>
      </c>
      <c r="C1455" s="147" t="s">
        <v>4162</v>
      </c>
      <c r="D1455" s="146" t="s">
        <v>3370</v>
      </c>
      <c r="E1455" s="147" t="s">
        <v>4163</v>
      </c>
      <c r="F1455" s="147" t="s">
        <v>4164</v>
      </c>
      <c r="G1455" s="146" t="s">
        <v>109</v>
      </c>
      <c r="H1455" s="146" t="s">
        <v>50</v>
      </c>
      <c r="I1455" s="147" t="s">
        <v>3391</v>
      </c>
      <c r="J1455" s="147" t="s">
        <v>104</v>
      </c>
      <c r="K1455" s="150" t="s">
        <v>5</v>
      </c>
      <c r="L1455" s="149">
        <v>46135</v>
      </c>
      <c r="M1455" s="151" t="s">
        <v>3392</v>
      </c>
    </row>
    <row r="1456" spans="1:13" ht="15" customHeight="1">
      <c r="A1456" s="142" t="s">
        <v>4165</v>
      </c>
      <c r="B1456" s="142">
        <v>515320</v>
      </c>
      <c r="C1456" s="143" t="s">
        <v>4166</v>
      </c>
      <c r="D1456" s="142" t="s">
        <v>3370</v>
      </c>
      <c r="E1456" s="143" t="s">
        <v>4163</v>
      </c>
      <c r="F1456" s="143" t="s">
        <v>4167</v>
      </c>
      <c r="G1456" s="142" t="s">
        <v>109</v>
      </c>
      <c r="H1456" s="142" t="s">
        <v>50</v>
      </c>
      <c r="I1456" s="143" t="s">
        <v>3391</v>
      </c>
      <c r="J1456" s="143" t="s">
        <v>104</v>
      </c>
      <c r="K1456" s="144"/>
      <c r="L1456" s="145"/>
      <c r="M1456" s="144"/>
    </row>
    <row r="1457" spans="1:13" ht="15" customHeight="1">
      <c r="A1457" s="146" t="s">
        <v>4168</v>
      </c>
      <c r="B1457" s="146">
        <v>514659</v>
      </c>
      <c r="C1457" s="147" t="s">
        <v>4169</v>
      </c>
      <c r="D1457" s="146" t="s">
        <v>3370</v>
      </c>
      <c r="E1457" s="147" t="s">
        <v>3547</v>
      </c>
      <c r="F1457" s="147" t="s">
        <v>1323</v>
      </c>
      <c r="G1457" s="146" t="s">
        <v>102</v>
      </c>
      <c r="H1457" s="146" t="s">
        <v>53</v>
      </c>
      <c r="I1457" s="147" t="s">
        <v>1110</v>
      </c>
      <c r="J1457" s="147" t="s">
        <v>104</v>
      </c>
      <c r="K1457" s="148" t="s">
        <v>121</v>
      </c>
      <c r="L1457" s="149">
        <v>46148</v>
      </c>
      <c r="M1457" s="148"/>
    </row>
    <row r="1458" spans="1:13" ht="15" customHeight="1">
      <c r="A1458" s="142" t="s">
        <v>4170</v>
      </c>
      <c r="B1458" s="142">
        <v>514657</v>
      </c>
      <c r="C1458" s="143" t="s">
        <v>4171</v>
      </c>
      <c r="D1458" s="142" t="s">
        <v>3370</v>
      </c>
      <c r="E1458" s="143" t="s">
        <v>3547</v>
      </c>
      <c r="F1458" s="143" t="s">
        <v>4172</v>
      </c>
      <c r="G1458" s="142" t="s">
        <v>102</v>
      </c>
      <c r="H1458" s="142" t="s">
        <v>53</v>
      </c>
      <c r="I1458" s="143" t="s">
        <v>1110</v>
      </c>
      <c r="J1458" s="143" t="s">
        <v>104</v>
      </c>
      <c r="K1458" s="144" t="s">
        <v>121</v>
      </c>
      <c r="L1458" s="145">
        <v>46148</v>
      </c>
      <c r="M1458" s="144"/>
    </row>
    <row r="1459" spans="1:13" ht="15" customHeight="1">
      <c r="A1459" s="146" t="s">
        <v>4173</v>
      </c>
      <c r="B1459" s="146">
        <v>521652</v>
      </c>
      <c r="C1459" s="147" t="s">
        <v>4174</v>
      </c>
      <c r="D1459" s="146" t="s">
        <v>3370</v>
      </c>
      <c r="E1459" s="147" t="s">
        <v>3718</v>
      </c>
      <c r="F1459" s="147" t="s">
        <v>3718</v>
      </c>
      <c r="G1459" s="146" t="s">
        <v>109</v>
      </c>
      <c r="H1459" s="146" t="s">
        <v>50</v>
      </c>
      <c r="I1459" s="147" t="s">
        <v>3391</v>
      </c>
      <c r="J1459" s="147" t="s">
        <v>104</v>
      </c>
      <c r="K1459" s="148" t="s">
        <v>121</v>
      </c>
      <c r="L1459" s="149">
        <v>46153</v>
      </c>
      <c r="M1459" s="148"/>
    </row>
    <row r="1460" spans="1:13" ht="15" customHeight="1">
      <c r="A1460" s="142" t="s">
        <v>4175</v>
      </c>
      <c r="B1460" s="142">
        <v>515122</v>
      </c>
      <c r="C1460" s="143" t="s">
        <v>4176</v>
      </c>
      <c r="D1460" s="142" t="s">
        <v>3370</v>
      </c>
      <c r="E1460" s="143" t="s">
        <v>3718</v>
      </c>
      <c r="F1460" s="143" t="s">
        <v>4177</v>
      </c>
      <c r="G1460" s="142" t="s">
        <v>109</v>
      </c>
      <c r="H1460" s="142" t="s">
        <v>50</v>
      </c>
      <c r="I1460" s="143" t="s">
        <v>3391</v>
      </c>
      <c r="J1460" s="143" t="s">
        <v>104</v>
      </c>
      <c r="K1460" s="144" t="s">
        <v>121</v>
      </c>
      <c r="L1460" s="145">
        <v>46153</v>
      </c>
      <c r="M1460" s="144"/>
    </row>
    <row r="1461" spans="1:13" ht="15" customHeight="1">
      <c r="A1461" s="146" t="s">
        <v>4178</v>
      </c>
      <c r="B1461" s="146">
        <v>515123</v>
      </c>
      <c r="C1461" s="147" t="s">
        <v>4179</v>
      </c>
      <c r="D1461" s="146" t="s">
        <v>3370</v>
      </c>
      <c r="E1461" s="147" t="s">
        <v>3718</v>
      </c>
      <c r="F1461" s="147" t="s">
        <v>3718</v>
      </c>
      <c r="G1461" s="146" t="s">
        <v>109</v>
      </c>
      <c r="H1461" s="146" t="s">
        <v>50</v>
      </c>
      <c r="I1461" s="147" t="s">
        <v>3391</v>
      </c>
      <c r="J1461" s="147" t="s">
        <v>104</v>
      </c>
      <c r="K1461" s="148" t="s">
        <v>121</v>
      </c>
      <c r="L1461" s="149">
        <v>46150</v>
      </c>
      <c r="M1461" s="148"/>
    </row>
    <row r="1462" spans="1:13" ht="15" customHeight="1">
      <c r="A1462" s="142" t="s">
        <v>4180</v>
      </c>
      <c r="B1462" s="142">
        <v>515272</v>
      </c>
      <c r="C1462" s="143" t="s">
        <v>4181</v>
      </c>
      <c r="D1462" s="142" t="s">
        <v>3370</v>
      </c>
      <c r="E1462" s="143" t="s">
        <v>3990</v>
      </c>
      <c r="F1462" s="143" t="s">
        <v>4182</v>
      </c>
      <c r="G1462" s="142" t="s">
        <v>102</v>
      </c>
      <c r="H1462" s="142" t="s">
        <v>50</v>
      </c>
      <c r="I1462" s="143" t="s">
        <v>3391</v>
      </c>
      <c r="J1462" s="143" t="s">
        <v>104</v>
      </c>
      <c r="K1462" s="150" t="s">
        <v>5</v>
      </c>
      <c r="L1462" s="145">
        <v>46126</v>
      </c>
      <c r="M1462" s="152" t="s">
        <v>3392</v>
      </c>
    </row>
    <row r="1463" spans="1:13" ht="15" customHeight="1">
      <c r="A1463" s="146" t="s">
        <v>4183</v>
      </c>
      <c r="B1463" s="146">
        <v>521698</v>
      </c>
      <c r="C1463" s="147" t="s">
        <v>4184</v>
      </c>
      <c r="D1463" s="146" t="s">
        <v>3370</v>
      </c>
      <c r="E1463" s="147" t="s">
        <v>4185</v>
      </c>
      <c r="F1463" s="147" t="s">
        <v>4186</v>
      </c>
      <c r="G1463" s="146" t="s">
        <v>109</v>
      </c>
      <c r="H1463" s="146" t="s">
        <v>50</v>
      </c>
      <c r="I1463" s="147" t="s">
        <v>3391</v>
      </c>
      <c r="J1463" s="147" t="s">
        <v>104</v>
      </c>
      <c r="K1463" s="148"/>
      <c r="L1463" s="149"/>
      <c r="M1463" s="148"/>
    </row>
    <row r="1464" spans="1:13" ht="15" customHeight="1">
      <c r="A1464" s="142" t="s">
        <v>4187</v>
      </c>
      <c r="B1464" s="142">
        <v>521687</v>
      </c>
      <c r="C1464" s="143" t="s">
        <v>4188</v>
      </c>
      <c r="D1464" s="142" t="s">
        <v>3370</v>
      </c>
      <c r="E1464" s="143" t="s">
        <v>4185</v>
      </c>
      <c r="F1464" s="143" t="s">
        <v>4189</v>
      </c>
      <c r="G1464" s="142" t="s">
        <v>109</v>
      </c>
      <c r="H1464" s="142" t="s">
        <v>50</v>
      </c>
      <c r="I1464" s="143" t="s">
        <v>3391</v>
      </c>
      <c r="J1464" s="143" t="s">
        <v>104</v>
      </c>
      <c r="K1464" s="144"/>
      <c r="L1464" s="145"/>
      <c r="M1464" s="144"/>
    </row>
    <row r="1465" spans="1:13" ht="15" customHeight="1">
      <c r="A1465" s="146" t="s">
        <v>4190</v>
      </c>
      <c r="B1465" s="146">
        <v>515013</v>
      </c>
      <c r="C1465" s="147" t="s">
        <v>4191</v>
      </c>
      <c r="D1465" s="146" t="s">
        <v>3370</v>
      </c>
      <c r="E1465" s="147" t="s">
        <v>4185</v>
      </c>
      <c r="F1465" s="147" t="s">
        <v>4192</v>
      </c>
      <c r="G1465" s="146" t="s">
        <v>109</v>
      </c>
      <c r="H1465" s="146" t="s">
        <v>50</v>
      </c>
      <c r="I1465" s="147" t="s">
        <v>3391</v>
      </c>
      <c r="J1465" s="147" t="s">
        <v>104</v>
      </c>
      <c r="K1465" s="148"/>
      <c r="L1465" s="149"/>
      <c r="M1465" s="148"/>
    </row>
    <row r="1466" spans="1:13" ht="15" customHeight="1">
      <c r="A1466" s="142" t="s">
        <v>4193</v>
      </c>
      <c r="B1466" s="142">
        <v>515232</v>
      </c>
      <c r="C1466" s="143" t="s">
        <v>4194</v>
      </c>
      <c r="D1466" s="142" t="s">
        <v>3370</v>
      </c>
      <c r="E1466" s="143" t="s">
        <v>4195</v>
      </c>
      <c r="F1466" s="143" t="s">
        <v>4196</v>
      </c>
      <c r="G1466" s="142" t="s">
        <v>109</v>
      </c>
      <c r="H1466" s="142" t="s">
        <v>50</v>
      </c>
      <c r="I1466" s="143" t="s">
        <v>3391</v>
      </c>
      <c r="J1466" s="143" t="s">
        <v>104</v>
      </c>
      <c r="K1466" s="144"/>
      <c r="L1466" s="145"/>
      <c r="M1466" s="144"/>
    </row>
    <row r="1467" spans="1:13" ht="15" customHeight="1">
      <c r="A1467" s="146" t="s">
        <v>4197</v>
      </c>
      <c r="B1467" s="146">
        <v>515152</v>
      </c>
      <c r="C1467" s="147" t="s">
        <v>4198</v>
      </c>
      <c r="D1467" s="146" t="s">
        <v>3370</v>
      </c>
      <c r="E1467" s="147" t="s">
        <v>3460</v>
      </c>
      <c r="F1467" s="147" t="s">
        <v>4199</v>
      </c>
      <c r="G1467" s="146" t="s">
        <v>109</v>
      </c>
      <c r="H1467" s="146" t="s">
        <v>53</v>
      </c>
      <c r="I1467" s="147" t="s">
        <v>1110</v>
      </c>
      <c r="J1467" s="147" t="s">
        <v>104</v>
      </c>
      <c r="K1467" s="148"/>
      <c r="L1467" s="149"/>
      <c r="M1467" s="148"/>
    </row>
    <row r="1468" spans="1:13" ht="15" customHeight="1">
      <c r="A1468" s="142" t="s">
        <v>4200</v>
      </c>
      <c r="B1468" s="142">
        <v>515217</v>
      </c>
      <c r="C1468" s="143" t="s">
        <v>4201</v>
      </c>
      <c r="D1468" s="142" t="s">
        <v>3370</v>
      </c>
      <c r="E1468" s="143" t="s">
        <v>3408</v>
      </c>
      <c r="F1468" s="143" t="s">
        <v>4202</v>
      </c>
      <c r="G1468" s="142" t="s">
        <v>102</v>
      </c>
      <c r="H1468" s="142" t="s">
        <v>53</v>
      </c>
      <c r="I1468" s="143" t="s">
        <v>1110</v>
      </c>
      <c r="J1468" s="143" t="s">
        <v>104</v>
      </c>
      <c r="K1468" s="144"/>
      <c r="L1468" s="145"/>
      <c r="M1468" s="144"/>
    </row>
    <row r="1469" spans="1:13" ht="15" customHeight="1">
      <c r="A1469" s="146" t="s">
        <v>4203</v>
      </c>
      <c r="B1469" s="146">
        <v>515221</v>
      </c>
      <c r="C1469" s="147" t="s">
        <v>4204</v>
      </c>
      <c r="D1469" s="146" t="s">
        <v>3370</v>
      </c>
      <c r="E1469" s="147" t="s">
        <v>3408</v>
      </c>
      <c r="F1469" s="147" t="s">
        <v>1292</v>
      </c>
      <c r="G1469" s="146" t="s">
        <v>109</v>
      </c>
      <c r="H1469" s="146" t="s">
        <v>53</v>
      </c>
      <c r="I1469" s="147" t="s">
        <v>1110</v>
      </c>
      <c r="J1469" s="147" t="s">
        <v>104</v>
      </c>
      <c r="K1469" s="148"/>
      <c r="L1469" s="149"/>
      <c r="M1469" s="148"/>
    </row>
    <row r="1470" spans="1:13" ht="15" customHeight="1">
      <c r="A1470" s="142" t="s">
        <v>4205</v>
      </c>
      <c r="B1470" s="142">
        <v>515099</v>
      </c>
      <c r="C1470" s="143" t="s">
        <v>4206</v>
      </c>
      <c r="D1470" s="142" t="s">
        <v>3370</v>
      </c>
      <c r="E1470" s="143" t="s">
        <v>3408</v>
      </c>
      <c r="F1470" s="143" t="s">
        <v>4207</v>
      </c>
      <c r="G1470" s="142" t="s">
        <v>109</v>
      </c>
      <c r="H1470" s="142" t="s">
        <v>53</v>
      </c>
      <c r="I1470" s="143" t="s">
        <v>1110</v>
      </c>
      <c r="J1470" s="143" t="s">
        <v>104</v>
      </c>
      <c r="K1470" s="144"/>
      <c r="L1470" s="145"/>
      <c r="M1470" s="144"/>
    </row>
    <row r="1471" spans="1:13" ht="15" customHeight="1">
      <c r="A1471" s="146" t="s">
        <v>4208</v>
      </c>
      <c r="B1471" s="146">
        <v>515687</v>
      </c>
      <c r="C1471" s="147" t="s">
        <v>4209</v>
      </c>
      <c r="D1471" s="146" t="s">
        <v>3370</v>
      </c>
      <c r="E1471" s="147" t="s">
        <v>4017</v>
      </c>
      <c r="F1471" s="147" t="s">
        <v>4210</v>
      </c>
      <c r="G1471" s="146" t="s">
        <v>109</v>
      </c>
      <c r="H1471" s="146" t="s">
        <v>50</v>
      </c>
      <c r="I1471" s="147" t="s">
        <v>3449</v>
      </c>
      <c r="J1471" s="147" t="s">
        <v>104</v>
      </c>
      <c r="K1471" s="148" t="s">
        <v>121</v>
      </c>
      <c r="L1471" s="149">
        <v>46141</v>
      </c>
      <c r="M1471" s="148"/>
    </row>
    <row r="1472" spans="1:13" ht="15" customHeight="1">
      <c r="A1472" s="142" t="s">
        <v>4211</v>
      </c>
      <c r="B1472" s="142">
        <v>515132</v>
      </c>
      <c r="C1472" s="143" t="s">
        <v>4212</v>
      </c>
      <c r="D1472" s="142" t="s">
        <v>3370</v>
      </c>
      <c r="E1472" s="143" t="s">
        <v>3699</v>
      </c>
      <c r="F1472" s="143" t="s">
        <v>3711</v>
      </c>
      <c r="G1472" s="142" t="s">
        <v>109</v>
      </c>
      <c r="H1472" s="142" t="s">
        <v>50</v>
      </c>
      <c r="I1472" s="143" t="s">
        <v>3391</v>
      </c>
      <c r="J1472" s="143" t="s">
        <v>104</v>
      </c>
      <c r="K1472" s="144" t="s">
        <v>121</v>
      </c>
      <c r="L1472" s="145">
        <v>46153</v>
      </c>
      <c r="M1472" s="144"/>
    </row>
    <row r="1473" spans="1:13" ht="15" customHeight="1">
      <c r="A1473" s="146" t="s">
        <v>4213</v>
      </c>
      <c r="B1473" s="146">
        <v>515268</v>
      </c>
      <c r="C1473" s="147" t="s">
        <v>4214</v>
      </c>
      <c r="D1473" s="146" t="s">
        <v>3370</v>
      </c>
      <c r="E1473" s="147" t="s">
        <v>3699</v>
      </c>
      <c r="F1473" s="147" t="s">
        <v>4215</v>
      </c>
      <c r="G1473" s="146" t="s">
        <v>109</v>
      </c>
      <c r="H1473" s="146" t="s">
        <v>50</v>
      </c>
      <c r="I1473" s="147" t="s">
        <v>3391</v>
      </c>
      <c r="J1473" s="147" t="s">
        <v>104</v>
      </c>
      <c r="K1473" s="148" t="s">
        <v>121</v>
      </c>
      <c r="L1473" s="149">
        <v>46148</v>
      </c>
      <c r="M1473" s="148"/>
    </row>
    <row r="1474" spans="1:13" ht="15" customHeight="1">
      <c r="A1474" s="142" t="s">
        <v>4216</v>
      </c>
      <c r="B1474" s="142">
        <v>515133</v>
      </c>
      <c r="C1474" s="143" t="s">
        <v>4217</v>
      </c>
      <c r="D1474" s="142" t="s">
        <v>3370</v>
      </c>
      <c r="E1474" s="143" t="s">
        <v>3699</v>
      </c>
      <c r="F1474" s="143" t="s">
        <v>4218</v>
      </c>
      <c r="G1474" s="142" t="s">
        <v>109</v>
      </c>
      <c r="H1474" s="142" t="s">
        <v>50</v>
      </c>
      <c r="I1474" s="143" t="s">
        <v>3391</v>
      </c>
      <c r="J1474" s="143" t="s">
        <v>104</v>
      </c>
      <c r="K1474" s="144"/>
      <c r="L1474" s="145"/>
      <c r="M1474" s="144"/>
    </row>
    <row r="1475" spans="1:13" ht="15" customHeight="1">
      <c r="A1475" s="146" t="s">
        <v>4219</v>
      </c>
      <c r="B1475" s="146">
        <v>515134</v>
      </c>
      <c r="C1475" s="147" t="s">
        <v>4220</v>
      </c>
      <c r="D1475" s="146" t="s">
        <v>3370</v>
      </c>
      <c r="E1475" s="147" t="s">
        <v>3699</v>
      </c>
      <c r="F1475" s="147" t="s">
        <v>3875</v>
      </c>
      <c r="G1475" s="146" t="s">
        <v>109</v>
      </c>
      <c r="H1475" s="146" t="s">
        <v>50</v>
      </c>
      <c r="I1475" s="147" t="s">
        <v>3391</v>
      </c>
      <c r="J1475" s="147" t="s">
        <v>104</v>
      </c>
      <c r="K1475" s="148" t="s">
        <v>121</v>
      </c>
      <c r="L1475" s="149">
        <v>46149</v>
      </c>
      <c r="M1475" s="148"/>
    </row>
    <row r="1476" spans="1:13" ht="15" customHeight="1">
      <c r="A1476" s="142" t="s">
        <v>4221</v>
      </c>
      <c r="B1476" s="142">
        <v>514769</v>
      </c>
      <c r="C1476" s="143" t="s">
        <v>4222</v>
      </c>
      <c r="D1476" s="142" t="s">
        <v>3370</v>
      </c>
      <c r="E1476" s="143" t="s">
        <v>3375</v>
      </c>
      <c r="F1476" s="143" t="s">
        <v>4223</v>
      </c>
      <c r="G1476" s="142" t="s">
        <v>102</v>
      </c>
      <c r="H1476" s="142" t="s">
        <v>53</v>
      </c>
      <c r="I1476" s="143" t="s">
        <v>1184</v>
      </c>
      <c r="J1476" s="143" t="s">
        <v>104</v>
      </c>
      <c r="K1476" s="144"/>
      <c r="L1476" s="145"/>
      <c r="M1476" s="144"/>
    </row>
    <row r="1477" spans="1:13" ht="15" customHeight="1">
      <c r="A1477" s="146" t="s">
        <v>4224</v>
      </c>
      <c r="B1477" s="146">
        <v>515265</v>
      </c>
      <c r="C1477" s="147" t="s">
        <v>4225</v>
      </c>
      <c r="D1477" s="146" t="s">
        <v>3370</v>
      </c>
      <c r="E1477" s="147" t="s">
        <v>4040</v>
      </c>
      <c r="F1477" s="147" t="s">
        <v>4199</v>
      </c>
      <c r="G1477" s="146" t="s">
        <v>109</v>
      </c>
      <c r="H1477" s="146" t="s">
        <v>50</v>
      </c>
      <c r="I1477" s="147" t="s">
        <v>3391</v>
      </c>
      <c r="J1477" s="147" t="s">
        <v>104</v>
      </c>
      <c r="K1477" s="150" t="s">
        <v>5</v>
      </c>
      <c r="L1477" s="149">
        <v>46126</v>
      </c>
      <c r="M1477" s="151" t="s">
        <v>3392</v>
      </c>
    </row>
    <row r="1478" spans="1:13" ht="15" customHeight="1">
      <c r="A1478" s="142" t="s">
        <v>4226</v>
      </c>
      <c r="B1478" s="142">
        <v>515567</v>
      </c>
      <c r="C1478" s="143" t="s">
        <v>4227</v>
      </c>
      <c r="D1478" s="142" t="s">
        <v>3370</v>
      </c>
      <c r="E1478" s="143" t="s">
        <v>3416</v>
      </c>
      <c r="F1478" s="143" t="s">
        <v>3438</v>
      </c>
      <c r="G1478" s="142" t="s">
        <v>109</v>
      </c>
      <c r="H1478" s="142" t="s">
        <v>50</v>
      </c>
      <c r="I1478" s="143" t="s">
        <v>3391</v>
      </c>
      <c r="J1478" s="143" t="s">
        <v>104</v>
      </c>
      <c r="K1478" s="144" t="s">
        <v>121</v>
      </c>
      <c r="L1478" s="145">
        <v>46140</v>
      </c>
      <c r="M1478" s="144"/>
    </row>
    <row r="1479" spans="1:13" ht="15" customHeight="1">
      <c r="A1479" s="146" t="s">
        <v>4228</v>
      </c>
      <c r="B1479" s="146">
        <v>514737</v>
      </c>
      <c r="C1479" s="147" t="s">
        <v>4229</v>
      </c>
      <c r="D1479" s="146" t="s">
        <v>3370</v>
      </c>
      <c r="E1479" s="147" t="s">
        <v>3416</v>
      </c>
      <c r="F1479" s="147" t="s">
        <v>4230</v>
      </c>
      <c r="G1479" s="146" t="s">
        <v>102</v>
      </c>
      <c r="H1479" s="146" t="s">
        <v>53</v>
      </c>
      <c r="I1479" s="147" t="s">
        <v>1110</v>
      </c>
      <c r="J1479" s="147" t="s">
        <v>104</v>
      </c>
      <c r="K1479" s="148"/>
      <c r="L1479" s="149"/>
      <c r="M1479" s="148"/>
    </row>
    <row r="1480" spans="1:13" ht="15" customHeight="1">
      <c r="A1480" s="142" t="s">
        <v>4231</v>
      </c>
      <c r="B1480" s="142">
        <v>514689</v>
      </c>
      <c r="C1480" s="143" t="s">
        <v>4232</v>
      </c>
      <c r="D1480" s="142" t="s">
        <v>3370</v>
      </c>
      <c r="E1480" s="143" t="s">
        <v>3416</v>
      </c>
      <c r="F1480" s="143" t="s">
        <v>3416</v>
      </c>
      <c r="G1480" s="142" t="s">
        <v>109</v>
      </c>
      <c r="H1480" s="142" t="s">
        <v>53</v>
      </c>
      <c r="I1480" s="143" t="s">
        <v>1110</v>
      </c>
      <c r="J1480" s="143" t="s">
        <v>104</v>
      </c>
      <c r="K1480" s="144"/>
      <c r="L1480" s="145"/>
      <c r="M1480" s="144"/>
    </row>
    <row r="1481" spans="1:13" ht="15" customHeight="1">
      <c r="A1481" s="146" t="s">
        <v>4233</v>
      </c>
      <c r="B1481" s="146">
        <v>514690</v>
      </c>
      <c r="C1481" s="147" t="s">
        <v>4234</v>
      </c>
      <c r="D1481" s="146" t="s">
        <v>3370</v>
      </c>
      <c r="E1481" s="147" t="s">
        <v>3416</v>
      </c>
      <c r="F1481" s="147" t="s">
        <v>4235</v>
      </c>
      <c r="G1481" s="146" t="s">
        <v>109</v>
      </c>
      <c r="H1481" s="146" t="s">
        <v>53</v>
      </c>
      <c r="I1481" s="147" t="s">
        <v>1110</v>
      </c>
      <c r="J1481" s="147" t="s">
        <v>104</v>
      </c>
      <c r="K1481" s="148"/>
      <c r="L1481" s="149"/>
      <c r="M1481" s="148"/>
    </row>
    <row r="1482" spans="1:13" ht="15" customHeight="1">
      <c r="A1482" s="142" t="s">
        <v>4236</v>
      </c>
      <c r="B1482" s="142">
        <v>515301</v>
      </c>
      <c r="C1482" s="143" t="s">
        <v>4237</v>
      </c>
      <c r="D1482" s="142" t="s">
        <v>3370</v>
      </c>
      <c r="E1482" s="143" t="s">
        <v>4238</v>
      </c>
      <c r="F1482" s="143" t="s">
        <v>4239</v>
      </c>
      <c r="G1482" s="142" t="s">
        <v>109</v>
      </c>
      <c r="H1482" s="142" t="s">
        <v>50</v>
      </c>
      <c r="I1482" s="143" t="s">
        <v>3391</v>
      </c>
      <c r="J1482" s="143" t="s">
        <v>104</v>
      </c>
      <c r="K1482" s="144"/>
      <c r="L1482" s="145"/>
      <c r="M1482" s="144"/>
    </row>
    <row r="1483" spans="1:13" ht="15" customHeight="1">
      <c r="A1483" s="146" t="s">
        <v>4240</v>
      </c>
      <c r="B1483" s="146">
        <v>521651</v>
      </c>
      <c r="C1483" s="147" t="s">
        <v>4241</v>
      </c>
      <c r="D1483" s="146" t="s">
        <v>3370</v>
      </c>
      <c r="E1483" s="147" t="s">
        <v>4064</v>
      </c>
      <c r="F1483" s="147" t="s">
        <v>421</v>
      </c>
      <c r="G1483" s="146" t="s">
        <v>109</v>
      </c>
      <c r="H1483" s="146" t="s">
        <v>50</v>
      </c>
      <c r="I1483" s="147" t="s">
        <v>3391</v>
      </c>
      <c r="J1483" s="147" t="s">
        <v>104</v>
      </c>
      <c r="K1483" s="148"/>
      <c r="L1483" s="149"/>
      <c r="M1483" s="148"/>
    </row>
    <row r="1484" spans="1:13" ht="15" customHeight="1">
      <c r="A1484" s="142" t="s">
        <v>4242</v>
      </c>
      <c r="B1484" s="142">
        <v>515006</v>
      </c>
      <c r="C1484" s="143" t="s">
        <v>4243</v>
      </c>
      <c r="D1484" s="142" t="s">
        <v>3370</v>
      </c>
      <c r="E1484" s="143" t="s">
        <v>4064</v>
      </c>
      <c r="F1484" s="143" t="s">
        <v>4244</v>
      </c>
      <c r="G1484" s="142" t="s">
        <v>109</v>
      </c>
      <c r="H1484" s="142" t="s">
        <v>50</v>
      </c>
      <c r="I1484" s="143" t="s">
        <v>3391</v>
      </c>
      <c r="J1484" s="143" t="s">
        <v>104</v>
      </c>
      <c r="K1484" s="144" t="s">
        <v>121</v>
      </c>
      <c r="L1484" s="145">
        <v>46150</v>
      </c>
      <c r="M1484" s="144"/>
    </row>
    <row r="1485" spans="1:13" ht="15" customHeight="1">
      <c r="A1485" s="146" t="s">
        <v>4245</v>
      </c>
      <c r="B1485" s="146">
        <v>515200</v>
      </c>
      <c r="C1485" s="147" t="s">
        <v>4246</v>
      </c>
      <c r="D1485" s="146" t="s">
        <v>3370</v>
      </c>
      <c r="E1485" s="147" t="s">
        <v>4071</v>
      </c>
      <c r="F1485" s="147" t="s">
        <v>4247</v>
      </c>
      <c r="G1485" s="146" t="s">
        <v>109</v>
      </c>
      <c r="H1485" s="146" t="s">
        <v>53</v>
      </c>
      <c r="I1485" s="147" t="s">
        <v>1110</v>
      </c>
      <c r="J1485" s="147" t="s">
        <v>104</v>
      </c>
      <c r="K1485" s="148"/>
      <c r="L1485" s="149"/>
      <c r="M1485" s="148"/>
    </row>
    <row r="1486" spans="1:13" ht="15" customHeight="1">
      <c r="A1486" s="142" t="s">
        <v>4248</v>
      </c>
      <c r="B1486" s="142">
        <v>515009</v>
      </c>
      <c r="C1486" s="143" t="s">
        <v>4249</v>
      </c>
      <c r="D1486" s="142" t="s">
        <v>3370</v>
      </c>
      <c r="E1486" s="143" t="s">
        <v>3490</v>
      </c>
      <c r="F1486" s="143" t="s">
        <v>3490</v>
      </c>
      <c r="G1486" s="142" t="s">
        <v>109</v>
      </c>
      <c r="H1486" s="142" t="s">
        <v>50</v>
      </c>
      <c r="I1486" s="143" t="s">
        <v>3391</v>
      </c>
      <c r="J1486" s="143" t="s">
        <v>104</v>
      </c>
      <c r="K1486" s="150" t="s">
        <v>5</v>
      </c>
      <c r="L1486" s="145">
        <v>46126</v>
      </c>
      <c r="M1486" s="152" t="s">
        <v>3392</v>
      </c>
    </row>
    <row r="1487" spans="1:13" ht="15" customHeight="1">
      <c r="A1487" s="146" t="s">
        <v>4250</v>
      </c>
      <c r="B1487" s="146">
        <v>514821</v>
      </c>
      <c r="C1487" s="147" t="s">
        <v>4251</v>
      </c>
      <c r="D1487" s="146" t="s">
        <v>3370</v>
      </c>
      <c r="E1487" s="147" t="s">
        <v>3389</v>
      </c>
      <c r="F1487" s="147" t="s">
        <v>1295</v>
      </c>
      <c r="G1487" s="146" t="s">
        <v>109</v>
      </c>
      <c r="H1487" s="146" t="s">
        <v>50</v>
      </c>
      <c r="I1487" s="147" t="s">
        <v>3391</v>
      </c>
      <c r="J1487" s="147" t="s">
        <v>104</v>
      </c>
      <c r="K1487" s="150" t="s">
        <v>5</v>
      </c>
      <c r="L1487" s="149">
        <v>46108</v>
      </c>
      <c r="M1487" s="151" t="s">
        <v>3392</v>
      </c>
    </row>
    <row r="1488" spans="1:13" ht="15" customHeight="1">
      <c r="A1488" s="142" t="s">
        <v>4252</v>
      </c>
      <c r="B1488" s="142">
        <v>514850</v>
      </c>
      <c r="C1488" s="143" t="s">
        <v>4253</v>
      </c>
      <c r="D1488" s="142" t="s">
        <v>3370</v>
      </c>
      <c r="E1488" s="143" t="s">
        <v>1244</v>
      </c>
      <c r="F1488" s="143" t="s">
        <v>4254</v>
      </c>
      <c r="G1488" s="142" t="s">
        <v>102</v>
      </c>
      <c r="H1488" s="142" t="s">
        <v>53</v>
      </c>
      <c r="I1488" s="143" t="s">
        <v>1184</v>
      </c>
      <c r="J1488" s="143" t="s">
        <v>104</v>
      </c>
      <c r="K1488" s="144"/>
      <c r="L1488" s="145"/>
      <c r="M1488" s="144"/>
    </row>
    <row r="1489" spans="1:13" ht="15" customHeight="1">
      <c r="A1489" s="146" t="s">
        <v>4255</v>
      </c>
      <c r="B1489" s="146">
        <v>515030</v>
      </c>
      <c r="C1489" s="147" t="s">
        <v>390</v>
      </c>
      <c r="D1489" s="146" t="s">
        <v>3370</v>
      </c>
      <c r="E1489" s="147" t="s">
        <v>3416</v>
      </c>
      <c r="F1489" s="147" t="s">
        <v>4256</v>
      </c>
      <c r="G1489" s="146" t="s">
        <v>109</v>
      </c>
      <c r="H1489" s="146" t="s">
        <v>53</v>
      </c>
      <c r="I1489" s="147" t="s">
        <v>1110</v>
      </c>
      <c r="J1489" s="147" t="s">
        <v>104</v>
      </c>
      <c r="K1489" s="148"/>
      <c r="L1489" s="149"/>
      <c r="M1489" s="148"/>
    </row>
    <row r="1490" spans="1:13" ht="15" customHeight="1">
      <c r="A1490" s="142" t="s">
        <v>4257</v>
      </c>
      <c r="B1490" s="142">
        <v>514645</v>
      </c>
      <c r="C1490" s="143" t="s">
        <v>4258</v>
      </c>
      <c r="D1490" s="142" t="s">
        <v>3370</v>
      </c>
      <c r="E1490" s="143" t="s">
        <v>3451</v>
      </c>
      <c r="F1490" s="143" t="s">
        <v>4259</v>
      </c>
      <c r="G1490" s="142" t="s">
        <v>109</v>
      </c>
      <c r="H1490" s="142" t="s">
        <v>50</v>
      </c>
      <c r="I1490" s="143" t="s">
        <v>3391</v>
      </c>
      <c r="J1490" s="143" t="s">
        <v>104</v>
      </c>
      <c r="K1490" s="150" t="s">
        <v>5</v>
      </c>
      <c r="L1490" s="145">
        <v>46100</v>
      </c>
      <c r="M1490" s="152" t="s">
        <v>3392</v>
      </c>
    </row>
    <row r="1491" spans="1:13" ht="15" customHeight="1">
      <c r="A1491" s="146" t="s">
        <v>4260</v>
      </c>
      <c r="B1491" s="146">
        <v>515090</v>
      </c>
      <c r="C1491" s="147" t="s">
        <v>4261</v>
      </c>
      <c r="D1491" s="146" t="s">
        <v>3370</v>
      </c>
      <c r="E1491" s="147" t="s">
        <v>3582</v>
      </c>
      <c r="F1491" s="147" t="s">
        <v>3768</v>
      </c>
      <c r="G1491" s="146" t="s">
        <v>109</v>
      </c>
      <c r="H1491" s="146" t="s">
        <v>53</v>
      </c>
      <c r="I1491" s="147" t="s">
        <v>1110</v>
      </c>
      <c r="J1491" s="147" t="s">
        <v>104</v>
      </c>
      <c r="K1491" s="148"/>
      <c r="L1491" s="149"/>
      <c r="M1491" s="148"/>
    </row>
    <row r="1492" spans="1:13" ht="15" customHeight="1">
      <c r="A1492" s="142" t="s">
        <v>4262</v>
      </c>
      <c r="B1492" s="142">
        <v>514631</v>
      </c>
      <c r="C1492" s="143" t="s">
        <v>4263</v>
      </c>
      <c r="D1492" s="142" t="s">
        <v>3370</v>
      </c>
      <c r="E1492" s="143" t="s">
        <v>4134</v>
      </c>
      <c r="F1492" s="143" t="s">
        <v>4134</v>
      </c>
      <c r="G1492" s="142" t="s">
        <v>109</v>
      </c>
      <c r="H1492" s="142" t="s">
        <v>50</v>
      </c>
      <c r="I1492" s="143" t="s">
        <v>3391</v>
      </c>
      <c r="J1492" s="143" t="s">
        <v>104</v>
      </c>
      <c r="K1492" s="144" t="s">
        <v>162</v>
      </c>
      <c r="L1492" s="145">
        <v>46141</v>
      </c>
      <c r="M1492" s="144" t="s">
        <v>1740</v>
      </c>
    </row>
    <row r="1493" spans="1:13" ht="15" customHeight="1">
      <c r="A1493" s="146" t="s">
        <v>4264</v>
      </c>
      <c r="B1493" s="146">
        <v>514717</v>
      </c>
      <c r="C1493" s="147" t="s">
        <v>4265</v>
      </c>
      <c r="D1493" s="146" t="s">
        <v>3370</v>
      </c>
      <c r="E1493" s="147" t="s">
        <v>3428</v>
      </c>
      <c r="F1493" s="147" t="s">
        <v>455</v>
      </c>
      <c r="G1493" s="146" t="s">
        <v>102</v>
      </c>
      <c r="H1493" s="146" t="s">
        <v>53</v>
      </c>
      <c r="I1493" s="147" t="s">
        <v>1184</v>
      </c>
      <c r="J1493" s="147" t="s">
        <v>104</v>
      </c>
      <c r="K1493" s="148"/>
      <c r="L1493" s="149"/>
      <c r="M1493" s="148"/>
    </row>
    <row r="1494" spans="1:13" ht="15" customHeight="1">
      <c r="A1494" s="142" t="s">
        <v>4266</v>
      </c>
      <c r="B1494" s="142">
        <v>514756</v>
      </c>
      <c r="C1494" s="143" t="s">
        <v>4267</v>
      </c>
      <c r="D1494" s="142" t="s">
        <v>3370</v>
      </c>
      <c r="E1494" s="143" t="s">
        <v>3428</v>
      </c>
      <c r="F1494" s="143" t="s">
        <v>3370</v>
      </c>
      <c r="G1494" s="142" t="s">
        <v>102</v>
      </c>
      <c r="H1494" s="142" t="s">
        <v>53</v>
      </c>
      <c r="I1494" s="143" t="s">
        <v>1184</v>
      </c>
      <c r="J1494" s="143" t="s">
        <v>104</v>
      </c>
      <c r="K1494" s="144"/>
      <c r="L1494" s="145"/>
      <c r="M1494" s="144"/>
    </row>
    <row r="1495" spans="1:13" ht="15" customHeight="1">
      <c r="A1495" s="146" t="s">
        <v>4268</v>
      </c>
      <c r="B1495" s="146">
        <v>514754</v>
      </c>
      <c r="C1495" s="147" t="s">
        <v>4269</v>
      </c>
      <c r="D1495" s="146" t="s">
        <v>3370</v>
      </c>
      <c r="E1495" s="147" t="s">
        <v>3375</v>
      </c>
      <c r="F1495" s="147" t="s">
        <v>4270</v>
      </c>
      <c r="G1495" s="146" t="s">
        <v>109</v>
      </c>
      <c r="H1495" s="146" t="s">
        <v>53</v>
      </c>
      <c r="I1495" s="147" t="s">
        <v>1184</v>
      </c>
      <c r="J1495" s="147" t="s">
        <v>104</v>
      </c>
      <c r="K1495" s="148"/>
      <c r="L1495" s="149"/>
      <c r="M1495" s="148"/>
    </row>
    <row r="1496" spans="1:13" ht="15" customHeight="1">
      <c r="A1496" s="142" t="s">
        <v>4271</v>
      </c>
      <c r="B1496" s="142">
        <v>514753</v>
      </c>
      <c r="C1496" s="143" t="s">
        <v>4272</v>
      </c>
      <c r="D1496" s="142" t="s">
        <v>3370</v>
      </c>
      <c r="E1496" s="143" t="s">
        <v>3375</v>
      </c>
      <c r="F1496" s="143" t="s">
        <v>3376</v>
      </c>
      <c r="G1496" s="142" t="s">
        <v>102</v>
      </c>
      <c r="H1496" s="142" t="s">
        <v>53</v>
      </c>
      <c r="I1496" s="143" t="s">
        <v>1184</v>
      </c>
      <c r="J1496" s="143" t="s">
        <v>104</v>
      </c>
      <c r="K1496" s="144"/>
      <c r="L1496" s="145"/>
      <c r="M1496" s="144"/>
    </row>
    <row r="1497" spans="1:13" ht="15" customHeight="1">
      <c r="A1497" s="146" t="s">
        <v>4273</v>
      </c>
      <c r="B1497" s="146">
        <v>515173</v>
      </c>
      <c r="C1497" s="147" t="s">
        <v>4274</v>
      </c>
      <c r="D1497" s="146" t="s">
        <v>3370</v>
      </c>
      <c r="E1497" s="147" t="s">
        <v>4050</v>
      </c>
      <c r="F1497" s="147" t="s">
        <v>4275</v>
      </c>
      <c r="G1497" s="146" t="s">
        <v>109</v>
      </c>
      <c r="H1497" s="146" t="s">
        <v>50</v>
      </c>
      <c r="I1497" s="147" t="s">
        <v>3391</v>
      </c>
      <c r="J1497" s="147" t="s">
        <v>104</v>
      </c>
      <c r="K1497" s="153" t="s">
        <v>9</v>
      </c>
      <c r="L1497" s="149">
        <v>46133</v>
      </c>
      <c r="M1497" s="151" t="s">
        <v>3392</v>
      </c>
    </row>
    <row r="1498" spans="1:13" ht="15" customHeight="1">
      <c r="A1498" s="142" t="s">
        <v>4276</v>
      </c>
      <c r="B1498" s="142">
        <v>514691</v>
      </c>
      <c r="C1498" s="143" t="s">
        <v>4277</v>
      </c>
      <c r="D1498" s="142" t="s">
        <v>3370</v>
      </c>
      <c r="E1498" s="143" t="s">
        <v>3416</v>
      </c>
      <c r="F1498" s="143" t="s">
        <v>4235</v>
      </c>
      <c r="G1498" s="142" t="s">
        <v>102</v>
      </c>
      <c r="H1498" s="142" t="s">
        <v>53</v>
      </c>
      <c r="I1498" s="143" t="s">
        <v>1110</v>
      </c>
      <c r="J1498" s="143" t="s">
        <v>104</v>
      </c>
      <c r="K1498" s="144"/>
      <c r="L1498" s="145"/>
      <c r="M1498" s="144"/>
    </row>
    <row r="1499" spans="1:13" ht="15" customHeight="1">
      <c r="A1499" s="146" t="s">
        <v>4278</v>
      </c>
      <c r="B1499" s="146">
        <v>514656</v>
      </c>
      <c r="C1499" s="147" t="s">
        <v>4279</v>
      </c>
      <c r="D1499" s="146" t="s">
        <v>3370</v>
      </c>
      <c r="E1499" s="147" t="s">
        <v>3517</v>
      </c>
      <c r="F1499" s="147" t="s">
        <v>865</v>
      </c>
      <c r="G1499" s="146" t="s">
        <v>109</v>
      </c>
      <c r="H1499" s="146" t="s">
        <v>53</v>
      </c>
      <c r="I1499" s="147" t="s">
        <v>1110</v>
      </c>
      <c r="J1499" s="147" t="s">
        <v>104</v>
      </c>
      <c r="K1499" s="148"/>
      <c r="L1499" s="149"/>
      <c r="M1499" s="148"/>
    </row>
    <row r="1500" spans="1:13" ht="15" customHeight="1">
      <c r="A1500" s="142" t="s">
        <v>4280</v>
      </c>
      <c r="B1500" s="142">
        <v>515338</v>
      </c>
      <c r="C1500" s="143" t="s">
        <v>4281</v>
      </c>
      <c r="D1500" s="142" t="s">
        <v>3370</v>
      </c>
      <c r="E1500" s="143" t="s">
        <v>3517</v>
      </c>
      <c r="F1500" s="143" t="s">
        <v>4282</v>
      </c>
      <c r="G1500" s="142" t="s">
        <v>109</v>
      </c>
      <c r="H1500" s="142" t="s">
        <v>53</v>
      </c>
      <c r="I1500" s="143" t="s">
        <v>1110</v>
      </c>
      <c r="J1500" s="143" t="s">
        <v>104</v>
      </c>
      <c r="K1500" s="144"/>
      <c r="L1500" s="145"/>
      <c r="M1500" s="144"/>
    </row>
    <row r="1501" spans="1:13" ht="15" customHeight="1">
      <c r="A1501" s="146" t="s">
        <v>4283</v>
      </c>
      <c r="B1501" s="146">
        <v>515307</v>
      </c>
      <c r="C1501" s="147" t="s">
        <v>4284</v>
      </c>
      <c r="D1501" s="146" t="s">
        <v>3370</v>
      </c>
      <c r="E1501" s="147" t="s">
        <v>3371</v>
      </c>
      <c r="F1501" s="147" t="s">
        <v>3931</v>
      </c>
      <c r="G1501" s="146" t="s">
        <v>109</v>
      </c>
      <c r="H1501" s="146" t="s">
        <v>53</v>
      </c>
      <c r="I1501" s="147" t="s">
        <v>1110</v>
      </c>
      <c r="J1501" s="147" t="s">
        <v>104</v>
      </c>
      <c r="K1501" s="148"/>
      <c r="L1501" s="149"/>
      <c r="M1501" s="148"/>
    </row>
    <row r="1502" spans="1:13" ht="15" customHeight="1">
      <c r="A1502" s="142" t="s">
        <v>4285</v>
      </c>
      <c r="B1502" s="142">
        <v>514892</v>
      </c>
      <c r="C1502" s="143" t="s">
        <v>4286</v>
      </c>
      <c r="D1502" s="142" t="s">
        <v>3370</v>
      </c>
      <c r="E1502" s="143" t="s">
        <v>3416</v>
      </c>
      <c r="F1502" s="143" t="s">
        <v>4287</v>
      </c>
      <c r="G1502" s="142" t="s">
        <v>109</v>
      </c>
      <c r="H1502" s="142" t="s">
        <v>53</v>
      </c>
      <c r="I1502" s="143" t="s">
        <v>1110</v>
      </c>
      <c r="J1502" s="143" t="s">
        <v>104</v>
      </c>
      <c r="K1502" s="144"/>
      <c r="L1502" s="145"/>
      <c r="M1502" s="144"/>
    </row>
    <row r="1503" spans="1:13" ht="15" customHeight="1">
      <c r="A1503" s="146" t="s">
        <v>4288</v>
      </c>
      <c r="B1503" s="146">
        <v>515182</v>
      </c>
      <c r="C1503" s="147" t="s">
        <v>4289</v>
      </c>
      <c r="D1503" s="146" t="s">
        <v>3370</v>
      </c>
      <c r="E1503" s="147" t="s">
        <v>3842</v>
      </c>
      <c r="F1503" s="147" t="s">
        <v>4290</v>
      </c>
      <c r="G1503" s="146" t="s">
        <v>109</v>
      </c>
      <c r="H1503" s="146" t="s">
        <v>53</v>
      </c>
      <c r="I1503" s="147" t="s">
        <v>1110</v>
      </c>
      <c r="J1503" s="147" t="s">
        <v>104</v>
      </c>
      <c r="K1503" s="148"/>
      <c r="L1503" s="149"/>
      <c r="M1503" s="148"/>
    </row>
    <row r="1504" spans="1:13" ht="15" customHeight="1">
      <c r="A1504" s="142" t="s">
        <v>4291</v>
      </c>
      <c r="B1504" s="142">
        <v>514683</v>
      </c>
      <c r="C1504" s="143" t="s">
        <v>4292</v>
      </c>
      <c r="D1504" s="142" t="s">
        <v>3370</v>
      </c>
      <c r="E1504" s="143" t="s">
        <v>3444</v>
      </c>
      <c r="F1504" s="143" t="s">
        <v>4293</v>
      </c>
      <c r="G1504" s="142" t="s">
        <v>109</v>
      </c>
      <c r="H1504" s="142" t="s">
        <v>53</v>
      </c>
      <c r="I1504" s="143" t="s">
        <v>1110</v>
      </c>
      <c r="J1504" s="143" t="s">
        <v>104</v>
      </c>
      <c r="K1504" s="144"/>
      <c r="L1504" s="145"/>
      <c r="M1504" s="144"/>
    </row>
    <row r="1505" spans="1:13" ht="15" customHeight="1">
      <c r="A1505" s="146" t="s">
        <v>4294</v>
      </c>
      <c r="B1505" s="146">
        <v>514808</v>
      </c>
      <c r="C1505" s="147" t="s">
        <v>4295</v>
      </c>
      <c r="D1505" s="146" t="s">
        <v>3370</v>
      </c>
      <c r="E1505" s="147" t="s">
        <v>1244</v>
      </c>
      <c r="F1505" s="147" t="s">
        <v>3948</v>
      </c>
      <c r="G1505" s="146" t="s">
        <v>109</v>
      </c>
      <c r="H1505" s="146" t="s">
        <v>53</v>
      </c>
      <c r="I1505" s="147" t="s">
        <v>1184</v>
      </c>
      <c r="J1505" s="147" t="s">
        <v>104</v>
      </c>
      <c r="K1505" s="148"/>
      <c r="L1505" s="149"/>
      <c r="M1505" s="148"/>
    </row>
    <row r="1506" spans="1:13" ht="15" customHeight="1">
      <c r="A1506" s="142" t="s">
        <v>4296</v>
      </c>
      <c r="B1506" s="142">
        <v>515258</v>
      </c>
      <c r="C1506" s="143" t="s">
        <v>4297</v>
      </c>
      <c r="D1506" s="142" t="s">
        <v>3370</v>
      </c>
      <c r="E1506" s="143" t="s">
        <v>1338</v>
      </c>
      <c r="F1506" s="143" t="s">
        <v>4298</v>
      </c>
      <c r="G1506" s="142" t="s">
        <v>109</v>
      </c>
      <c r="H1506" s="142" t="s">
        <v>50</v>
      </c>
      <c r="I1506" s="143" t="s">
        <v>3391</v>
      </c>
      <c r="J1506" s="143" t="s">
        <v>104</v>
      </c>
      <c r="K1506" s="144" t="s">
        <v>121</v>
      </c>
      <c r="L1506" s="145">
        <v>46153</v>
      </c>
      <c r="M1506" s="144"/>
    </row>
    <row r="1507" spans="1:13" ht="15" customHeight="1">
      <c r="A1507" s="146" t="s">
        <v>4299</v>
      </c>
      <c r="B1507" s="146">
        <v>515135</v>
      </c>
      <c r="C1507" s="147" t="s">
        <v>4300</v>
      </c>
      <c r="D1507" s="146" t="s">
        <v>3370</v>
      </c>
      <c r="E1507" s="147" t="s">
        <v>3735</v>
      </c>
      <c r="F1507" s="147" t="s">
        <v>3801</v>
      </c>
      <c r="G1507" s="146" t="s">
        <v>109</v>
      </c>
      <c r="H1507" s="146" t="s">
        <v>50</v>
      </c>
      <c r="I1507" s="147" t="s">
        <v>3391</v>
      </c>
      <c r="J1507" s="147" t="s">
        <v>104</v>
      </c>
      <c r="K1507" s="148" t="s">
        <v>121</v>
      </c>
      <c r="L1507" s="149">
        <v>46149</v>
      </c>
      <c r="M1507" s="148"/>
    </row>
    <row r="1508" spans="1:13" ht="15" customHeight="1">
      <c r="A1508" s="142" t="s">
        <v>4301</v>
      </c>
      <c r="B1508" s="142">
        <v>515269</v>
      </c>
      <c r="C1508" s="143" t="s">
        <v>4302</v>
      </c>
      <c r="D1508" s="142" t="s">
        <v>3370</v>
      </c>
      <c r="E1508" s="143" t="s">
        <v>3699</v>
      </c>
      <c r="F1508" s="143" t="s">
        <v>4215</v>
      </c>
      <c r="G1508" s="142" t="s">
        <v>109</v>
      </c>
      <c r="H1508" s="142" t="s">
        <v>50</v>
      </c>
      <c r="I1508" s="143" t="s">
        <v>3391</v>
      </c>
      <c r="J1508" s="143" t="s">
        <v>104</v>
      </c>
      <c r="K1508" s="144" t="s">
        <v>121</v>
      </c>
      <c r="L1508" s="145">
        <v>46148</v>
      </c>
      <c r="M1508" s="144"/>
    </row>
    <row r="1509" spans="1:13" ht="15" customHeight="1">
      <c r="A1509" s="146" t="s">
        <v>4303</v>
      </c>
      <c r="B1509" s="146">
        <v>515078</v>
      </c>
      <c r="C1509" s="147" t="s">
        <v>4304</v>
      </c>
      <c r="D1509" s="146" t="s">
        <v>3370</v>
      </c>
      <c r="E1509" s="147" t="s">
        <v>3746</v>
      </c>
      <c r="F1509" s="147" t="s">
        <v>4305</v>
      </c>
      <c r="G1509" s="146" t="s">
        <v>109</v>
      </c>
      <c r="H1509" s="146" t="s">
        <v>53</v>
      </c>
      <c r="I1509" s="147" t="s">
        <v>1184</v>
      </c>
      <c r="J1509" s="147" t="s">
        <v>104</v>
      </c>
      <c r="K1509" s="148"/>
      <c r="L1509" s="149"/>
      <c r="M1509" s="148"/>
    </row>
    <row r="1510" spans="1:13" ht="15" customHeight="1">
      <c r="A1510" s="142" t="s">
        <v>4306</v>
      </c>
      <c r="B1510" s="142">
        <v>515098</v>
      </c>
      <c r="C1510" s="143" t="s">
        <v>4307</v>
      </c>
      <c r="D1510" s="142" t="s">
        <v>3370</v>
      </c>
      <c r="E1510" s="143" t="s">
        <v>3746</v>
      </c>
      <c r="F1510" s="143" t="s">
        <v>4308</v>
      </c>
      <c r="G1510" s="142" t="s">
        <v>109</v>
      </c>
      <c r="H1510" s="142" t="s">
        <v>53</v>
      </c>
      <c r="I1510" s="143" t="s">
        <v>1184</v>
      </c>
      <c r="J1510" s="143" t="s">
        <v>104</v>
      </c>
      <c r="K1510" s="144"/>
      <c r="L1510" s="145"/>
      <c r="M1510" s="144"/>
    </row>
    <row r="1511" spans="1:13" ht="15" customHeight="1">
      <c r="A1511" s="146" t="s">
        <v>4309</v>
      </c>
      <c r="B1511" s="146">
        <v>514985</v>
      </c>
      <c r="C1511" s="147" t="s">
        <v>4310</v>
      </c>
      <c r="D1511" s="146" t="s">
        <v>3370</v>
      </c>
      <c r="E1511" s="147" t="s">
        <v>3471</v>
      </c>
      <c r="F1511" s="147" t="s">
        <v>4037</v>
      </c>
      <c r="G1511" s="146" t="s">
        <v>109</v>
      </c>
      <c r="H1511" s="146" t="s">
        <v>53</v>
      </c>
      <c r="I1511" s="147" t="s">
        <v>1110</v>
      </c>
      <c r="J1511" s="147" t="s">
        <v>104</v>
      </c>
      <c r="K1511" s="148" t="s">
        <v>121</v>
      </c>
      <c r="L1511" s="149">
        <v>46148</v>
      </c>
      <c r="M1511" s="148" t="s">
        <v>3421</v>
      </c>
    </row>
    <row r="1512" spans="1:13" ht="15" customHeight="1">
      <c r="A1512" s="142" t="s">
        <v>4311</v>
      </c>
      <c r="B1512" s="142">
        <v>514884</v>
      </c>
      <c r="C1512" s="143" t="s">
        <v>4312</v>
      </c>
      <c r="D1512" s="142" t="s">
        <v>3370</v>
      </c>
      <c r="E1512" s="143" t="s">
        <v>3455</v>
      </c>
      <c r="F1512" s="143" t="s">
        <v>3951</v>
      </c>
      <c r="G1512" s="142" t="s">
        <v>109</v>
      </c>
      <c r="H1512" s="142" t="s">
        <v>53</v>
      </c>
      <c r="I1512" s="143" t="s">
        <v>1110</v>
      </c>
      <c r="J1512" s="143" t="s">
        <v>104</v>
      </c>
      <c r="K1512" s="144"/>
      <c r="L1512" s="145"/>
      <c r="M1512" s="144"/>
    </row>
    <row r="1513" spans="1:13" ht="15" customHeight="1">
      <c r="A1513" s="146" t="s">
        <v>4313</v>
      </c>
      <c r="B1513" s="146">
        <v>515018</v>
      </c>
      <c r="C1513" s="147" t="s">
        <v>4314</v>
      </c>
      <c r="D1513" s="146" t="s">
        <v>3370</v>
      </c>
      <c r="E1513" s="147" t="s">
        <v>3455</v>
      </c>
      <c r="F1513" s="147" t="s">
        <v>3954</v>
      </c>
      <c r="G1513" s="146" t="s">
        <v>109</v>
      </c>
      <c r="H1513" s="146" t="s">
        <v>53</v>
      </c>
      <c r="I1513" s="147" t="s">
        <v>1110</v>
      </c>
      <c r="J1513" s="147" t="s">
        <v>104</v>
      </c>
      <c r="K1513" s="148"/>
      <c r="L1513" s="149"/>
      <c r="M1513" s="148"/>
    </row>
    <row r="1514" spans="1:13" ht="15" customHeight="1">
      <c r="A1514" s="142" t="s">
        <v>4315</v>
      </c>
      <c r="B1514" s="142">
        <v>515249</v>
      </c>
      <c r="C1514" s="143" t="s">
        <v>4316</v>
      </c>
      <c r="D1514" s="142" t="s">
        <v>3370</v>
      </c>
      <c r="E1514" s="143" t="s">
        <v>3384</v>
      </c>
      <c r="F1514" s="143" t="s">
        <v>4317</v>
      </c>
      <c r="G1514" s="142" t="s">
        <v>102</v>
      </c>
      <c r="H1514" s="142" t="s">
        <v>53</v>
      </c>
      <c r="I1514" s="143" t="s">
        <v>1110</v>
      </c>
      <c r="J1514" s="143" t="s">
        <v>104</v>
      </c>
      <c r="K1514" s="144" t="s">
        <v>121</v>
      </c>
      <c r="L1514" s="145">
        <v>46148</v>
      </c>
      <c r="M1514" s="144" t="s">
        <v>3421</v>
      </c>
    </row>
    <row r="1515" spans="1:13" ht="15" customHeight="1">
      <c r="A1515" s="146" t="s">
        <v>4318</v>
      </c>
      <c r="B1515" s="146">
        <v>514967</v>
      </c>
      <c r="C1515" s="147" t="s">
        <v>4319</v>
      </c>
      <c r="D1515" s="146" t="s">
        <v>3370</v>
      </c>
      <c r="E1515" s="147" t="s">
        <v>4017</v>
      </c>
      <c r="F1515" s="147" t="s">
        <v>4018</v>
      </c>
      <c r="G1515" s="146" t="s">
        <v>109</v>
      </c>
      <c r="H1515" s="146" t="s">
        <v>50</v>
      </c>
      <c r="I1515" s="147" t="s">
        <v>3449</v>
      </c>
      <c r="J1515" s="147" t="s">
        <v>104</v>
      </c>
      <c r="K1515" s="148" t="s">
        <v>162</v>
      </c>
      <c r="L1515" s="149">
        <v>46140</v>
      </c>
      <c r="M1515" s="148"/>
    </row>
    <row r="1516" spans="1:13" ht="15" customHeight="1">
      <c r="A1516" s="142" t="s">
        <v>4320</v>
      </c>
      <c r="B1516" s="142">
        <v>515957</v>
      </c>
      <c r="C1516" s="143" t="s">
        <v>4321</v>
      </c>
      <c r="D1516" s="142" t="s">
        <v>3370</v>
      </c>
      <c r="E1516" s="143" t="s">
        <v>3505</v>
      </c>
      <c r="F1516" s="143" t="s">
        <v>4027</v>
      </c>
      <c r="G1516" s="142" t="s">
        <v>109</v>
      </c>
      <c r="H1516" s="142" t="s">
        <v>50</v>
      </c>
      <c r="I1516" s="143" t="s">
        <v>3449</v>
      </c>
      <c r="J1516" s="143" t="s">
        <v>104</v>
      </c>
      <c r="K1516" s="144" t="s">
        <v>121</v>
      </c>
      <c r="L1516" s="145">
        <v>46143</v>
      </c>
      <c r="M1516" s="144"/>
    </row>
    <row r="1517" spans="1:13" ht="15" customHeight="1">
      <c r="A1517" s="146" t="s">
        <v>4322</v>
      </c>
      <c r="B1517" s="146">
        <v>515214</v>
      </c>
      <c r="C1517" s="147" t="s">
        <v>4323</v>
      </c>
      <c r="D1517" s="146" t="s">
        <v>3370</v>
      </c>
      <c r="E1517" s="147" t="s">
        <v>3451</v>
      </c>
      <c r="F1517" s="147" t="s">
        <v>3810</v>
      </c>
      <c r="G1517" s="146" t="s">
        <v>109</v>
      </c>
      <c r="H1517" s="146" t="s">
        <v>50</v>
      </c>
      <c r="I1517" s="147" t="s">
        <v>3391</v>
      </c>
      <c r="J1517" s="147" t="s">
        <v>104</v>
      </c>
      <c r="K1517" s="150" t="s">
        <v>5</v>
      </c>
      <c r="L1517" s="149">
        <v>46100</v>
      </c>
      <c r="M1517" s="151" t="s">
        <v>3392</v>
      </c>
    </row>
    <row r="1518" spans="1:13" ht="15" customHeight="1">
      <c r="A1518" s="142" t="s">
        <v>4324</v>
      </c>
      <c r="B1518" s="142">
        <v>514827</v>
      </c>
      <c r="C1518" s="143" t="s">
        <v>4325</v>
      </c>
      <c r="D1518" s="142" t="s">
        <v>3370</v>
      </c>
      <c r="E1518" s="143" t="s">
        <v>3389</v>
      </c>
      <c r="F1518" s="143" t="s">
        <v>3655</v>
      </c>
      <c r="G1518" s="142" t="s">
        <v>109</v>
      </c>
      <c r="H1518" s="142" t="s">
        <v>50</v>
      </c>
      <c r="I1518" s="143" t="s">
        <v>3391</v>
      </c>
      <c r="J1518" s="143" t="s">
        <v>104</v>
      </c>
      <c r="K1518" s="150" t="s">
        <v>5</v>
      </c>
      <c r="L1518" s="145">
        <v>46125</v>
      </c>
      <c r="M1518" s="152" t="s">
        <v>3392</v>
      </c>
    </row>
    <row r="1519" spans="1:13" ht="15" customHeight="1">
      <c r="A1519" s="146" t="s">
        <v>4326</v>
      </c>
      <c r="B1519" s="146">
        <v>515201</v>
      </c>
      <c r="C1519" s="147" t="s">
        <v>4327</v>
      </c>
      <c r="D1519" s="146" t="s">
        <v>3370</v>
      </c>
      <c r="E1519" s="147" t="s">
        <v>4071</v>
      </c>
      <c r="F1519" s="147" t="s">
        <v>4247</v>
      </c>
      <c r="G1519" s="146" t="s">
        <v>109</v>
      </c>
      <c r="H1519" s="146" t="s">
        <v>53</v>
      </c>
      <c r="I1519" s="147" t="s">
        <v>1110</v>
      </c>
      <c r="J1519" s="147" t="s">
        <v>104</v>
      </c>
      <c r="K1519" s="148"/>
      <c r="L1519" s="149"/>
      <c r="M1519" s="148"/>
    </row>
    <row r="1520" spans="1:13" ht="15" customHeight="1">
      <c r="A1520" s="142" t="s">
        <v>4328</v>
      </c>
      <c r="B1520" s="142">
        <v>514682</v>
      </c>
      <c r="C1520" s="143" t="s">
        <v>4329</v>
      </c>
      <c r="D1520" s="142" t="s">
        <v>3370</v>
      </c>
      <c r="E1520" s="143" t="s">
        <v>3714</v>
      </c>
      <c r="F1520" s="143" t="s">
        <v>4330</v>
      </c>
      <c r="G1520" s="142" t="s">
        <v>109</v>
      </c>
      <c r="H1520" s="142" t="s">
        <v>53</v>
      </c>
      <c r="I1520" s="143" t="s">
        <v>1110</v>
      </c>
      <c r="J1520" s="143" t="s">
        <v>104</v>
      </c>
      <c r="K1520" s="144"/>
      <c r="L1520" s="145"/>
      <c r="M1520" s="144"/>
    </row>
    <row r="1521" spans="1:13" ht="15" customHeight="1">
      <c r="A1521" s="146" t="s">
        <v>4331</v>
      </c>
      <c r="B1521" s="146">
        <v>515167</v>
      </c>
      <c r="C1521" s="147" t="s">
        <v>4332</v>
      </c>
      <c r="D1521" s="146" t="s">
        <v>3370</v>
      </c>
      <c r="E1521" s="147" t="s">
        <v>4099</v>
      </c>
      <c r="F1521" s="147" t="s">
        <v>4100</v>
      </c>
      <c r="G1521" s="146" t="s">
        <v>109</v>
      </c>
      <c r="H1521" s="146" t="s">
        <v>50</v>
      </c>
      <c r="I1521" s="147" t="s">
        <v>3449</v>
      </c>
      <c r="J1521" s="147" t="s">
        <v>104</v>
      </c>
      <c r="K1521" s="148" t="s">
        <v>121</v>
      </c>
      <c r="L1521" s="149">
        <v>46148</v>
      </c>
      <c r="M1521" s="148"/>
    </row>
    <row r="1522" spans="1:13" ht="15" customHeight="1">
      <c r="A1522" s="142" t="s">
        <v>4333</v>
      </c>
      <c r="B1522" s="142">
        <v>515324</v>
      </c>
      <c r="C1522" s="143" t="s">
        <v>4334</v>
      </c>
      <c r="D1522" s="142" t="s">
        <v>3370</v>
      </c>
      <c r="E1522" s="143" t="s">
        <v>3728</v>
      </c>
      <c r="F1522" s="143" t="s">
        <v>4335</v>
      </c>
      <c r="G1522" s="142" t="s">
        <v>109</v>
      </c>
      <c r="H1522" s="142" t="s">
        <v>53</v>
      </c>
      <c r="I1522" s="143" t="s">
        <v>1110</v>
      </c>
      <c r="J1522" s="143" t="s">
        <v>104</v>
      </c>
      <c r="K1522" s="144"/>
      <c r="L1522" s="145"/>
      <c r="M1522" s="144"/>
    </row>
    <row r="1523" spans="1:13" ht="15" customHeight="1">
      <c r="A1523" s="146" t="s">
        <v>4336</v>
      </c>
      <c r="B1523" s="146">
        <v>515508</v>
      </c>
      <c r="C1523" s="147" t="s">
        <v>4337</v>
      </c>
      <c r="D1523" s="146" t="s">
        <v>3370</v>
      </c>
      <c r="E1523" s="147" t="s">
        <v>3756</v>
      </c>
      <c r="F1523" s="147" t="s">
        <v>4005</v>
      </c>
      <c r="G1523" s="146" t="s">
        <v>109</v>
      </c>
      <c r="H1523" s="146" t="s">
        <v>53</v>
      </c>
      <c r="I1523" s="147" t="s">
        <v>1110</v>
      </c>
      <c r="J1523" s="147" t="s">
        <v>104</v>
      </c>
      <c r="K1523" s="148"/>
      <c r="L1523" s="149"/>
      <c r="M1523" s="148"/>
    </row>
    <row r="1524" spans="1:13" ht="15" customHeight="1">
      <c r="A1524" s="142" t="s">
        <v>4338</v>
      </c>
      <c r="B1524" s="142">
        <v>515688</v>
      </c>
      <c r="C1524" s="143" t="s">
        <v>4339</v>
      </c>
      <c r="D1524" s="142" t="s">
        <v>3370</v>
      </c>
      <c r="E1524" s="143" t="s">
        <v>4017</v>
      </c>
      <c r="F1524" s="143" t="s">
        <v>4210</v>
      </c>
      <c r="G1524" s="142" t="s">
        <v>109</v>
      </c>
      <c r="H1524" s="142" t="s">
        <v>50</v>
      </c>
      <c r="I1524" s="143" t="s">
        <v>3449</v>
      </c>
      <c r="J1524" s="143" t="s">
        <v>104</v>
      </c>
      <c r="K1524" s="144" t="s">
        <v>121</v>
      </c>
      <c r="L1524" s="145">
        <v>46141</v>
      </c>
      <c r="M1524" s="144"/>
    </row>
    <row r="1525" spans="1:13" ht="15" customHeight="1">
      <c r="A1525" s="146" t="s">
        <v>4340</v>
      </c>
      <c r="B1525" s="146">
        <v>515163</v>
      </c>
      <c r="C1525" s="147" t="s">
        <v>4341</v>
      </c>
      <c r="D1525" s="146" t="s">
        <v>3370</v>
      </c>
      <c r="E1525" s="147" t="s">
        <v>3444</v>
      </c>
      <c r="F1525" s="147" t="s">
        <v>4342</v>
      </c>
      <c r="G1525" s="146" t="s">
        <v>109</v>
      </c>
      <c r="H1525" s="146" t="s">
        <v>53</v>
      </c>
      <c r="I1525" s="147" t="s">
        <v>1110</v>
      </c>
      <c r="J1525" s="147" t="s">
        <v>104</v>
      </c>
      <c r="K1525" s="148"/>
      <c r="L1525" s="149"/>
      <c r="M1525" s="148"/>
    </row>
    <row r="1526" spans="1:13" ht="15" customHeight="1">
      <c r="A1526" s="142" t="s">
        <v>4343</v>
      </c>
      <c r="B1526" s="142">
        <v>515160</v>
      </c>
      <c r="C1526" s="143" t="s">
        <v>4344</v>
      </c>
      <c r="D1526" s="142" t="s">
        <v>3370</v>
      </c>
      <c r="E1526" s="143" t="s">
        <v>3444</v>
      </c>
      <c r="F1526" s="143" t="s">
        <v>4037</v>
      </c>
      <c r="G1526" s="142" t="s">
        <v>109</v>
      </c>
      <c r="H1526" s="142" t="s">
        <v>53</v>
      </c>
      <c r="I1526" s="143" t="s">
        <v>1110</v>
      </c>
      <c r="J1526" s="143" t="s">
        <v>104</v>
      </c>
      <c r="K1526" s="144"/>
      <c r="L1526" s="145"/>
      <c r="M1526" s="144"/>
    </row>
    <row r="1527" spans="1:13" ht="15" customHeight="1">
      <c r="A1527" s="146" t="s">
        <v>4345</v>
      </c>
      <c r="B1527" s="146">
        <v>515022</v>
      </c>
      <c r="C1527" s="147" t="s">
        <v>4346</v>
      </c>
      <c r="D1527" s="146" t="s">
        <v>3370</v>
      </c>
      <c r="E1527" s="147" t="s">
        <v>3447</v>
      </c>
      <c r="F1527" s="147" t="s">
        <v>3794</v>
      </c>
      <c r="G1527" s="146" t="s">
        <v>109</v>
      </c>
      <c r="H1527" s="146" t="s">
        <v>50</v>
      </c>
      <c r="I1527" s="147" t="s">
        <v>3449</v>
      </c>
      <c r="J1527" s="147" t="s">
        <v>104</v>
      </c>
      <c r="K1527" s="148" t="s">
        <v>121</v>
      </c>
      <c r="L1527" s="149">
        <v>46141</v>
      </c>
      <c r="M1527" s="148"/>
    </row>
    <row r="1528" spans="1:13" ht="15" customHeight="1">
      <c r="A1528" s="142" t="s">
        <v>4347</v>
      </c>
      <c r="B1528" s="142">
        <v>514581</v>
      </c>
      <c r="C1528" s="143" t="s">
        <v>4348</v>
      </c>
      <c r="D1528" s="142" t="s">
        <v>3370</v>
      </c>
      <c r="E1528" s="143" t="s">
        <v>3927</v>
      </c>
      <c r="F1528" s="143" t="s">
        <v>3928</v>
      </c>
      <c r="G1528" s="142" t="s">
        <v>109</v>
      </c>
      <c r="H1528" s="142" t="s">
        <v>53</v>
      </c>
      <c r="I1528" s="143" t="s">
        <v>1184</v>
      </c>
      <c r="J1528" s="143" t="s">
        <v>104</v>
      </c>
      <c r="K1528" s="144"/>
      <c r="L1528" s="145"/>
      <c r="M1528" s="144"/>
    </row>
    <row r="1529" spans="1:13" ht="15" customHeight="1">
      <c r="A1529" s="146" t="s">
        <v>4349</v>
      </c>
      <c r="B1529" s="146">
        <v>515000</v>
      </c>
      <c r="C1529" s="147" t="s">
        <v>1323</v>
      </c>
      <c r="D1529" s="146" t="s">
        <v>3370</v>
      </c>
      <c r="E1529" s="147" t="s">
        <v>3664</v>
      </c>
      <c r="F1529" s="147" t="s">
        <v>1232</v>
      </c>
      <c r="G1529" s="146" t="s">
        <v>109</v>
      </c>
      <c r="H1529" s="146" t="s">
        <v>50</v>
      </c>
      <c r="I1529" s="147" t="s">
        <v>1532</v>
      </c>
      <c r="J1529" s="147" t="s">
        <v>104</v>
      </c>
      <c r="K1529" s="148" t="s">
        <v>121</v>
      </c>
      <c r="L1529" s="149">
        <v>46147</v>
      </c>
      <c r="M1529" s="148"/>
    </row>
    <row r="1530" spans="1:13" ht="15" customHeight="1">
      <c r="A1530" s="142" t="s">
        <v>4350</v>
      </c>
      <c r="B1530" s="142">
        <v>515861</v>
      </c>
      <c r="C1530" s="143" t="s">
        <v>4351</v>
      </c>
      <c r="D1530" s="142" t="s">
        <v>3370</v>
      </c>
      <c r="E1530" s="143" t="s">
        <v>3696</v>
      </c>
      <c r="F1530" s="143" t="s">
        <v>3785</v>
      </c>
      <c r="G1530" s="142" t="s">
        <v>109</v>
      </c>
      <c r="H1530" s="142" t="s">
        <v>50</v>
      </c>
      <c r="I1530" s="143" t="s">
        <v>3391</v>
      </c>
      <c r="J1530" s="143" t="s">
        <v>104</v>
      </c>
      <c r="K1530" s="150" t="s">
        <v>5</v>
      </c>
      <c r="L1530" s="145">
        <v>46132</v>
      </c>
      <c r="M1530" s="152" t="s">
        <v>3392</v>
      </c>
    </row>
    <row r="1531" spans="1:13" ht="15" customHeight="1">
      <c r="A1531" s="146" t="s">
        <v>4352</v>
      </c>
      <c r="B1531" s="146">
        <v>515168</v>
      </c>
      <c r="C1531" s="147" t="s">
        <v>4353</v>
      </c>
      <c r="D1531" s="146" t="s">
        <v>3370</v>
      </c>
      <c r="E1531" s="147" t="s">
        <v>3615</v>
      </c>
      <c r="F1531" s="147" t="s">
        <v>4354</v>
      </c>
      <c r="G1531" s="146" t="s">
        <v>109</v>
      </c>
      <c r="H1531" s="146" t="s">
        <v>53</v>
      </c>
      <c r="I1531" s="147" t="s">
        <v>1110</v>
      </c>
      <c r="J1531" s="147" t="s">
        <v>104</v>
      </c>
      <c r="K1531" s="148"/>
      <c r="L1531" s="149"/>
      <c r="M1531" s="148"/>
    </row>
    <row r="1532" spans="1:13" ht="15" customHeight="1">
      <c r="A1532" s="142" t="s">
        <v>4355</v>
      </c>
      <c r="B1532" s="142">
        <v>515010</v>
      </c>
      <c r="C1532" s="143" t="s">
        <v>4356</v>
      </c>
      <c r="D1532" s="142" t="s">
        <v>3370</v>
      </c>
      <c r="E1532" s="143" t="s">
        <v>3371</v>
      </c>
      <c r="F1532" s="143" t="s">
        <v>4357</v>
      </c>
      <c r="G1532" s="142" t="s">
        <v>109</v>
      </c>
      <c r="H1532" s="142" t="s">
        <v>53</v>
      </c>
      <c r="I1532" s="143" t="s">
        <v>1110</v>
      </c>
      <c r="J1532" s="143" t="s">
        <v>104</v>
      </c>
      <c r="K1532" s="144"/>
      <c r="L1532" s="145"/>
      <c r="M1532" s="144"/>
    </row>
    <row r="1533" spans="1:13" ht="15" customHeight="1">
      <c r="A1533" s="146" t="s">
        <v>4358</v>
      </c>
      <c r="B1533" s="146">
        <v>514867</v>
      </c>
      <c r="C1533" s="147" t="s">
        <v>4359</v>
      </c>
      <c r="D1533" s="146" t="s">
        <v>3370</v>
      </c>
      <c r="E1533" s="147" t="s">
        <v>3371</v>
      </c>
      <c r="F1533" s="147" t="s">
        <v>4360</v>
      </c>
      <c r="G1533" s="146" t="s">
        <v>109</v>
      </c>
      <c r="H1533" s="146" t="s">
        <v>53</v>
      </c>
      <c r="I1533" s="147" t="s">
        <v>1110</v>
      </c>
      <c r="J1533" s="147" t="s">
        <v>104</v>
      </c>
      <c r="K1533" s="148"/>
      <c r="L1533" s="149"/>
      <c r="M1533" s="148"/>
    </row>
    <row r="1534" spans="1:13" ht="15" customHeight="1">
      <c r="A1534" s="142" t="s">
        <v>4361</v>
      </c>
      <c r="B1534" s="142">
        <v>515229</v>
      </c>
      <c r="C1534" s="143" t="s">
        <v>4362</v>
      </c>
      <c r="D1534" s="142" t="s">
        <v>3370</v>
      </c>
      <c r="E1534" s="143" t="s">
        <v>3753</v>
      </c>
      <c r="F1534" s="143" t="s">
        <v>3880</v>
      </c>
      <c r="G1534" s="142" t="s">
        <v>109</v>
      </c>
      <c r="H1534" s="142" t="s">
        <v>50</v>
      </c>
      <c r="I1534" s="143" t="s">
        <v>3391</v>
      </c>
      <c r="J1534" s="143" t="s">
        <v>104</v>
      </c>
      <c r="K1534" s="144" t="s">
        <v>121</v>
      </c>
      <c r="L1534" s="145">
        <v>46149</v>
      </c>
      <c r="M1534" s="144"/>
    </row>
    <row r="1535" spans="1:13" ht="15" customHeight="1">
      <c r="A1535" s="146" t="s">
        <v>4363</v>
      </c>
      <c r="B1535" s="146">
        <v>515260</v>
      </c>
      <c r="C1535" s="147" t="s">
        <v>4364</v>
      </c>
      <c r="D1535" s="146" t="s">
        <v>3370</v>
      </c>
      <c r="E1535" s="147" t="s">
        <v>3934</v>
      </c>
      <c r="F1535" s="147" t="s">
        <v>4365</v>
      </c>
      <c r="G1535" s="146" t="s">
        <v>109</v>
      </c>
      <c r="H1535" s="146" t="s">
        <v>50</v>
      </c>
      <c r="I1535" s="147" t="s">
        <v>3391</v>
      </c>
      <c r="J1535" s="147" t="s">
        <v>104</v>
      </c>
      <c r="K1535" s="150" t="s">
        <v>5</v>
      </c>
      <c r="L1535" s="149">
        <v>46126</v>
      </c>
      <c r="M1535" s="151" t="s">
        <v>3392</v>
      </c>
    </row>
    <row r="1536" spans="1:13" ht="15" customHeight="1">
      <c r="A1536" s="142" t="s">
        <v>4366</v>
      </c>
      <c r="B1536" s="142">
        <v>515293</v>
      </c>
      <c r="C1536" s="143" t="s">
        <v>4367</v>
      </c>
      <c r="D1536" s="142" t="s">
        <v>3370</v>
      </c>
      <c r="E1536" s="143" t="s">
        <v>3735</v>
      </c>
      <c r="F1536" s="143" t="s">
        <v>3804</v>
      </c>
      <c r="G1536" s="142" t="s">
        <v>109</v>
      </c>
      <c r="H1536" s="142" t="s">
        <v>50</v>
      </c>
      <c r="I1536" s="143" t="s">
        <v>3391</v>
      </c>
      <c r="J1536" s="143" t="s">
        <v>104</v>
      </c>
      <c r="K1536" s="144" t="s">
        <v>121</v>
      </c>
      <c r="L1536" s="145">
        <v>46150</v>
      </c>
      <c r="M1536" s="144"/>
    </row>
    <row r="1537" spans="1:13" ht="15" customHeight="1">
      <c r="A1537" s="146" t="s">
        <v>4368</v>
      </c>
      <c r="B1537" s="146">
        <v>515166</v>
      </c>
      <c r="C1537" s="147" t="s">
        <v>4369</v>
      </c>
      <c r="D1537" s="146" t="s">
        <v>3370</v>
      </c>
      <c r="E1537" s="147" t="s">
        <v>3842</v>
      </c>
      <c r="F1537" s="147" t="s">
        <v>3843</v>
      </c>
      <c r="G1537" s="146" t="s">
        <v>109</v>
      </c>
      <c r="H1537" s="146" t="s">
        <v>53</v>
      </c>
      <c r="I1537" s="147" t="s">
        <v>1110</v>
      </c>
      <c r="J1537" s="147" t="s">
        <v>104</v>
      </c>
      <c r="K1537" s="148"/>
      <c r="L1537" s="149"/>
      <c r="M1537" s="148"/>
    </row>
    <row r="1538" spans="1:13" ht="15" customHeight="1">
      <c r="A1538" s="142" t="s">
        <v>4370</v>
      </c>
      <c r="B1538" s="142">
        <v>515287</v>
      </c>
      <c r="C1538" s="143" t="s">
        <v>4371</v>
      </c>
      <c r="D1538" s="142" t="s">
        <v>3370</v>
      </c>
      <c r="E1538" s="143" t="s">
        <v>3664</v>
      </c>
      <c r="F1538" s="143" t="s">
        <v>4372</v>
      </c>
      <c r="G1538" s="142" t="s">
        <v>109</v>
      </c>
      <c r="H1538" s="142" t="s">
        <v>50</v>
      </c>
      <c r="I1538" s="143" t="s">
        <v>1532</v>
      </c>
      <c r="J1538" s="143" t="s">
        <v>104</v>
      </c>
      <c r="K1538" s="144"/>
      <c r="L1538" s="145"/>
      <c r="M1538" s="144"/>
    </row>
    <row r="1539" spans="1:13" ht="15" customHeight="1">
      <c r="A1539" s="146" t="s">
        <v>4373</v>
      </c>
      <c r="B1539" s="146">
        <v>515093</v>
      </c>
      <c r="C1539" s="147" t="s">
        <v>4374</v>
      </c>
      <c r="D1539" s="146" t="s">
        <v>3370</v>
      </c>
      <c r="E1539" s="147" t="s">
        <v>4375</v>
      </c>
      <c r="F1539" s="147" t="s">
        <v>4376</v>
      </c>
      <c r="G1539" s="146" t="s">
        <v>109</v>
      </c>
      <c r="H1539" s="146" t="s">
        <v>53</v>
      </c>
      <c r="I1539" s="147" t="s">
        <v>1184</v>
      </c>
      <c r="J1539" s="147" t="s">
        <v>104</v>
      </c>
      <c r="K1539" s="148"/>
      <c r="L1539" s="149"/>
      <c r="M1539" s="148"/>
    </row>
    <row r="1540" spans="1:13" ht="15" customHeight="1">
      <c r="A1540" s="142" t="s">
        <v>4377</v>
      </c>
      <c r="B1540" s="142">
        <v>514751</v>
      </c>
      <c r="C1540" s="143" t="s">
        <v>4378</v>
      </c>
      <c r="D1540" s="142" t="s">
        <v>3370</v>
      </c>
      <c r="E1540" s="143" t="s">
        <v>3856</v>
      </c>
      <c r="F1540" s="143" t="s">
        <v>4379</v>
      </c>
      <c r="G1540" s="142" t="s">
        <v>109</v>
      </c>
      <c r="H1540" s="142" t="s">
        <v>50</v>
      </c>
      <c r="I1540" s="143" t="s">
        <v>3391</v>
      </c>
      <c r="J1540" s="143" t="s">
        <v>104</v>
      </c>
      <c r="K1540" s="144" t="s">
        <v>121</v>
      </c>
      <c r="L1540" s="145">
        <v>46142</v>
      </c>
      <c r="M1540" s="144"/>
    </row>
    <row r="1541" spans="1:13" ht="15" customHeight="1">
      <c r="A1541" s="146" t="s">
        <v>4380</v>
      </c>
      <c r="B1541" s="146">
        <v>515839</v>
      </c>
      <c r="C1541" s="147" t="s">
        <v>4381</v>
      </c>
      <c r="D1541" s="146" t="s">
        <v>3370</v>
      </c>
      <c r="E1541" s="147" t="s">
        <v>3753</v>
      </c>
      <c r="F1541" s="147" t="s">
        <v>4109</v>
      </c>
      <c r="G1541" s="146" t="s">
        <v>109</v>
      </c>
      <c r="H1541" s="146" t="s">
        <v>50</v>
      </c>
      <c r="I1541" s="147" t="s">
        <v>3391</v>
      </c>
      <c r="J1541" s="147" t="s">
        <v>104</v>
      </c>
      <c r="K1541" s="148" t="s">
        <v>121</v>
      </c>
      <c r="L1541" s="149">
        <v>46150</v>
      </c>
      <c r="M1541" s="148"/>
    </row>
    <row r="1542" spans="1:13" ht="15" customHeight="1">
      <c r="A1542" s="142" t="s">
        <v>4382</v>
      </c>
      <c r="B1542" s="142">
        <v>515243</v>
      </c>
      <c r="C1542" s="143" t="s">
        <v>4383</v>
      </c>
      <c r="D1542" s="142" t="s">
        <v>3370</v>
      </c>
      <c r="E1542" s="143" t="s">
        <v>3753</v>
      </c>
      <c r="F1542" s="143" t="s">
        <v>4384</v>
      </c>
      <c r="G1542" s="142" t="s">
        <v>109</v>
      </c>
      <c r="H1542" s="142" t="s">
        <v>50</v>
      </c>
      <c r="I1542" s="143" t="s">
        <v>3391</v>
      </c>
      <c r="J1542" s="143" t="s">
        <v>104</v>
      </c>
      <c r="K1542" s="144" t="s">
        <v>121</v>
      </c>
      <c r="L1542" s="145">
        <v>46149</v>
      </c>
      <c r="M1542" s="144"/>
    </row>
    <row r="1543" spans="1:13" ht="15" customHeight="1">
      <c r="A1543" s="146" t="s">
        <v>4385</v>
      </c>
      <c r="B1543" s="146">
        <v>514770</v>
      </c>
      <c r="C1543" s="147" t="s">
        <v>4386</v>
      </c>
      <c r="D1543" s="146" t="s">
        <v>3370</v>
      </c>
      <c r="E1543" s="147" t="s">
        <v>3382</v>
      </c>
      <c r="F1543" s="147" t="s">
        <v>4387</v>
      </c>
      <c r="G1543" s="146" t="s">
        <v>102</v>
      </c>
      <c r="H1543" s="146" t="s">
        <v>53</v>
      </c>
      <c r="I1543" s="147" t="s">
        <v>1184</v>
      </c>
      <c r="J1543" s="147" t="s">
        <v>104</v>
      </c>
      <c r="K1543" s="148"/>
      <c r="L1543" s="149"/>
      <c r="M1543" s="148"/>
    </row>
    <row r="1544" spans="1:13" ht="15" customHeight="1">
      <c r="A1544" s="142" t="s">
        <v>4388</v>
      </c>
      <c r="B1544" s="142">
        <v>515110</v>
      </c>
      <c r="C1544" s="143" t="s">
        <v>4389</v>
      </c>
      <c r="D1544" s="142" t="s">
        <v>3370</v>
      </c>
      <c r="E1544" s="143" t="s">
        <v>3756</v>
      </c>
      <c r="F1544" s="143" t="s">
        <v>4008</v>
      </c>
      <c r="G1544" s="142" t="s">
        <v>109</v>
      </c>
      <c r="H1544" s="142" t="s">
        <v>53</v>
      </c>
      <c r="I1544" s="143" t="s">
        <v>1110</v>
      </c>
      <c r="J1544" s="143" t="s">
        <v>104</v>
      </c>
      <c r="K1544" s="144"/>
      <c r="L1544" s="145"/>
      <c r="M1544" s="144"/>
    </row>
    <row r="1545" spans="1:13" ht="15" customHeight="1">
      <c r="A1545" s="146" t="s">
        <v>4390</v>
      </c>
      <c r="B1545" s="146">
        <v>515066</v>
      </c>
      <c r="C1545" s="147" t="s">
        <v>4391</v>
      </c>
      <c r="D1545" s="146" t="s">
        <v>3370</v>
      </c>
      <c r="E1545" s="147" t="s">
        <v>3481</v>
      </c>
      <c r="F1545" s="147" t="s">
        <v>3482</v>
      </c>
      <c r="G1545" s="146" t="s">
        <v>102</v>
      </c>
      <c r="H1545" s="146" t="s">
        <v>53</v>
      </c>
      <c r="I1545" s="147" t="s">
        <v>1110</v>
      </c>
      <c r="J1545" s="147" t="s">
        <v>104</v>
      </c>
      <c r="K1545" s="148"/>
      <c r="L1545" s="149"/>
      <c r="M1545" s="148"/>
    </row>
    <row r="1546" spans="1:13" ht="15" customHeight="1">
      <c r="A1546" s="142" t="s">
        <v>4392</v>
      </c>
      <c r="B1546" s="142">
        <v>515042</v>
      </c>
      <c r="C1546" s="143" t="s">
        <v>4393</v>
      </c>
      <c r="D1546" s="142" t="s">
        <v>3370</v>
      </c>
      <c r="E1546" s="143" t="s">
        <v>3714</v>
      </c>
      <c r="F1546" s="143" t="s">
        <v>4394</v>
      </c>
      <c r="G1546" s="142" t="s">
        <v>109</v>
      </c>
      <c r="H1546" s="142" t="s">
        <v>53</v>
      </c>
      <c r="I1546" s="143" t="s">
        <v>1110</v>
      </c>
      <c r="J1546" s="143" t="s">
        <v>104</v>
      </c>
      <c r="K1546" s="144"/>
      <c r="L1546" s="145"/>
      <c r="M1546" s="144"/>
    </row>
    <row r="1547" spans="1:13" ht="15" customHeight="1">
      <c r="A1547" s="146" t="s">
        <v>4395</v>
      </c>
      <c r="B1547" s="146">
        <v>515045</v>
      </c>
      <c r="C1547" s="147" t="s">
        <v>4396</v>
      </c>
      <c r="D1547" s="146" t="s">
        <v>3370</v>
      </c>
      <c r="E1547" s="147" t="s">
        <v>3770</v>
      </c>
      <c r="F1547" s="147" t="s">
        <v>4397</v>
      </c>
      <c r="G1547" s="146" t="s">
        <v>109</v>
      </c>
      <c r="H1547" s="146" t="s">
        <v>53</v>
      </c>
      <c r="I1547" s="147" t="s">
        <v>1184</v>
      </c>
      <c r="J1547" s="147" t="s">
        <v>104</v>
      </c>
      <c r="K1547" s="148"/>
      <c r="L1547" s="149"/>
      <c r="M1547" s="148"/>
    </row>
    <row r="1548" spans="1:13" ht="15" customHeight="1">
      <c r="A1548" s="142" t="s">
        <v>4398</v>
      </c>
      <c r="B1548" s="142">
        <v>515226</v>
      </c>
      <c r="C1548" s="143" t="s">
        <v>4399</v>
      </c>
      <c r="D1548" s="142" t="s">
        <v>3370</v>
      </c>
      <c r="E1548" s="143" t="s">
        <v>3749</v>
      </c>
      <c r="F1548" s="143" t="s">
        <v>3903</v>
      </c>
      <c r="G1548" s="142" t="s">
        <v>109</v>
      </c>
      <c r="H1548" s="142" t="s">
        <v>53</v>
      </c>
      <c r="I1548" s="143" t="s">
        <v>1184</v>
      </c>
      <c r="J1548" s="143" t="s">
        <v>104</v>
      </c>
      <c r="K1548" s="144"/>
      <c r="L1548" s="145"/>
      <c r="M1548" s="144"/>
    </row>
    <row r="1549" spans="1:13" ht="15" customHeight="1">
      <c r="A1549" s="146" t="s">
        <v>4400</v>
      </c>
      <c r="B1549" s="146">
        <v>515041</v>
      </c>
      <c r="C1549" s="147" t="s">
        <v>4401</v>
      </c>
      <c r="D1549" s="146" t="s">
        <v>3370</v>
      </c>
      <c r="E1549" s="147" t="s">
        <v>3561</v>
      </c>
      <c r="F1549" s="147" t="s">
        <v>4402</v>
      </c>
      <c r="G1549" s="146" t="s">
        <v>102</v>
      </c>
      <c r="H1549" s="146" t="s">
        <v>53</v>
      </c>
      <c r="I1549" s="147" t="s">
        <v>1110</v>
      </c>
      <c r="J1549" s="147" t="s">
        <v>104</v>
      </c>
      <c r="K1549" s="148"/>
      <c r="L1549" s="149"/>
      <c r="M1549" s="148"/>
    </row>
    <row r="1550" spans="1:13" ht="15" customHeight="1">
      <c r="A1550" s="142" t="s">
        <v>4403</v>
      </c>
      <c r="B1550" s="142">
        <v>514700</v>
      </c>
      <c r="C1550" s="143" t="s">
        <v>4404</v>
      </c>
      <c r="D1550" s="142" t="s">
        <v>3370</v>
      </c>
      <c r="E1550" s="143" t="s">
        <v>3416</v>
      </c>
      <c r="F1550" s="143" t="s">
        <v>3416</v>
      </c>
      <c r="G1550" s="142" t="s">
        <v>102</v>
      </c>
      <c r="H1550" s="142" t="s">
        <v>53</v>
      </c>
      <c r="I1550" s="143" t="s">
        <v>1110</v>
      </c>
      <c r="J1550" s="143" t="s">
        <v>104</v>
      </c>
      <c r="K1550" s="144" t="s">
        <v>121</v>
      </c>
      <c r="L1550" s="145">
        <v>46149</v>
      </c>
      <c r="M1550" s="144"/>
    </row>
    <row r="1551" spans="1:13" ht="15" customHeight="1">
      <c r="A1551" s="146" t="s">
        <v>4405</v>
      </c>
      <c r="B1551" s="146">
        <v>514550</v>
      </c>
      <c r="C1551" s="147" t="s">
        <v>4406</v>
      </c>
      <c r="D1551" s="146" t="s">
        <v>3370</v>
      </c>
      <c r="E1551" s="147" t="s">
        <v>3707</v>
      </c>
      <c r="F1551" s="147" t="s">
        <v>3049</v>
      </c>
      <c r="G1551" s="146" t="s">
        <v>109</v>
      </c>
      <c r="H1551" s="146" t="s">
        <v>53</v>
      </c>
      <c r="I1551" s="147" t="s">
        <v>1110</v>
      </c>
      <c r="J1551" s="147" t="s">
        <v>104</v>
      </c>
      <c r="K1551" s="148"/>
      <c r="L1551" s="149"/>
      <c r="M1551" s="148"/>
    </row>
    <row r="1552" spans="1:13" ht="15" customHeight="1">
      <c r="A1552" s="142" t="s">
        <v>4407</v>
      </c>
      <c r="B1552" s="142">
        <v>514796</v>
      </c>
      <c r="C1552" s="143" t="s">
        <v>4408</v>
      </c>
      <c r="D1552" s="142" t="s">
        <v>3370</v>
      </c>
      <c r="E1552" s="143" t="s">
        <v>3379</v>
      </c>
      <c r="F1552" s="143" t="s">
        <v>3942</v>
      </c>
      <c r="G1552" s="142" t="s">
        <v>102</v>
      </c>
      <c r="H1552" s="142" t="s">
        <v>53</v>
      </c>
      <c r="I1552" s="143" t="s">
        <v>1110</v>
      </c>
      <c r="J1552" s="143" t="s">
        <v>104</v>
      </c>
      <c r="K1552" s="144"/>
      <c r="L1552" s="145"/>
      <c r="M1552" s="144"/>
    </row>
    <row r="1553" spans="1:13" ht="15" customHeight="1">
      <c r="A1553" s="146" t="s">
        <v>4409</v>
      </c>
      <c r="B1553" s="146">
        <v>514898</v>
      </c>
      <c r="C1553" s="147" t="s">
        <v>4410</v>
      </c>
      <c r="D1553" s="146" t="s">
        <v>3370</v>
      </c>
      <c r="E1553" s="147" t="s">
        <v>3615</v>
      </c>
      <c r="F1553" s="147" t="s">
        <v>3964</v>
      </c>
      <c r="G1553" s="146" t="s">
        <v>109</v>
      </c>
      <c r="H1553" s="146" t="s">
        <v>53</v>
      </c>
      <c r="I1553" s="147" t="s">
        <v>1110</v>
      </c>
      <c r="J1553" s="147" t="s">
        <v>104</v>
      </c>
      <c r="K1553" s="148"/>
      <c r="L1553" s="149"/>
      <c r="M1553" s="148"/>
    </row>
    <row r="1554" spans="1:13" ht="15" customHeight="1">
      <c r="A1554" s="142" t="s">
        <v>4411</v>
      </c>
      <c r="B1554" s="142">
        <v>515303</v>
      </c>
      <c r="C1554" s="143" t="s">
        <v>4412</v>
      </c>
      <c r="D1554" s="142" t="s">
        <v>3370</v>
      </c>
      <c r="E1554" s="143" t="s">
        <v>4163</v>
      </c>
      <c r="F1554" s="143" t="s">
        <v>4413</v>
      </c>
      <c r="G1554" s="142" t="s">
        <v>109</v>
      </c>
      <c r="H1554" s="142" t="s">
        <v>50</v>
      </c>
      <c r="I1554" s="143" t="s">
        <v>3391</v>
      </c>
      <c r="J1554" s="143" t="s">
        <v>104</v>
      </c>
      <c r="K1554" s="150" t="s">
        <v>5</v>
      </c>
      <c r="L1554" s="149">
        <v>46135</v>
      </c>
      <c r="M1554" s="152" t="s">
        <v>3392</v>
      </c>
    </row>
    <row r="1555" spans="1:13" ht="15" customHeight="1">
      <c r="A1555" s="146" t="s">
        <v>4414</v>
      </c>
      <c r="B1555" s="146">
        <v>515885</v>
      </c>
      <c r="C1555" s="147" t="s">
        <v>4415</v>
      </c>
      <c r="D1555" s="146" t="s">
        <v>3370</v>
      </c>
      <c r="E1555" s="147" t="s">
        <v>3428</v>
      </c>
      <c r="F1555" s="147" t="s">
        <v>3987</v>
      </c>
      <c r="G1555" s="146" t="s">
        <v>109</v>
      </c>
      <c r="H1555" s="146" t="s">
        <v>53</v>
      </c>
      <c r="I1555" s="147" t="s">
        <v>1184</v>
      </c>
      <c r="J1555" s="147" t="s">
        <v>104</v>
      </c>
      <c r="K1555" s="148"/>
      <c r="L1555" s="149"/>
      <c r="M1555" s="148"/>
    </row>
    <row r="1556" spans="1:13" ht="15" customHeight="1">
      <c r="A1556" s="142" t="s">
        <v>4416</v>
      </c>
      <c r="B1556" s="142">
        <v>515143</v>
      </c>
      <c r="C1556" s="143" t="s">
        <v>4417</v>
      </c>
      <c r="D1556" s="142" t="s">
        <v>3370</v>
      </c>
      <c r="E1556" s="143" t="s">
        <v>3934</v>
      </c>
      <c r="F1556" s="143" t="s">
        <v>4418</v>
      </c>
      <c r="G1556" s="142" t="s">
        <v>109</v>
      </c>
      <c r="H1556" s="142" t="s">
        <v>50</v>
      </c>
      <c r="I1556" s="143" t="s">
        <v>3391</v>
      </c>
      <c r="J1556" s="143" t="s">
        <v>104</v>
      </c>
      <c r="K1556" s="150" t="s">
        <v>5</v>
      </c>
      <c r="L1556" s="145">
        <v>46125</v>
      </c>
      <c r="M1556" s="152" t="s">
        <v>3392</v>
      </c>
    </row>
    <row r="1557" spans="1:13" ht="15" customHeight="1">
      <c r="A1557" s="146" t="s">
        <v>4419</v>
      </c>
      <c r="B1557" s="146">
        <v>514941</v>
      </c>
      <c r="C1557" s="147" t="s">
        <v>4420</v>
      </c>
      <c r="D1557" s="146" t="s">
        <v>3370</v>
      </c>
      <c r="E1557" s="147" t="s">
        <v>4185</v>
      </c>
      <c r="F1557" s="147" t="s">
        <v>4186</v>
      </c>
      <c r="G1557" s="146" t="s">
        <v>109</v>
      </c>
      <c r="H1557" s="146" t="s">
        <v>50</v>
      </c>
      <c r="I1557" s="147" t="s">
        <v>3391</v>
      </c>
      <c r="J1557" s="147" t="s">
        <v>104</v>
      </c>
      <c r="K1557" s="148"/>
      <c r="L1557" s="149"/>
      <c r="M1557" s="148"/>
    </row>
    <row r="1558" spans="1:13" ht="15" customHeight="1">
      <c r="A1558" s="142" t="s">
        <v>4421</v>
      </c>
      <c r="B1558" s="142">
        <v>516218</v>
      </c>
      <c r="C1558" s="143" t="s">
        <v>4422</v>
      </c>
      <c r="D1558" s="142" t="s">
        <v>3370</v>
      </c>
      <c r="E1558" s="143" t="s">
        <v>3460</v>
      </c>
      <c r="F1558" s="143" t="s">
        <v>4002</v>
      </c>
      <c r="G1558" s="142" t="s">
        <v>109</v>
      </c>
      <c r="H1558" s="142" t="s">
        <v>53</v>
      </c>
      <c r="I1558" s="143" t="s">
        <v>1110</v>
      </c>
      <c r="J1558" s="143" t="s">
        <v>104</v>
      </c>
      <c r="K1558" s="144"/>
      <c r="L1558" s="145"/>
      <c r="M1558" s="144"/>
    </row>
    <row r="1559" spans="1:13" ht="15" customHeight="1">
      <c r="A1559" s="146" t="s">
        <v>4423</v>
      </c>
      <c r="B1559" s="146">
        <v>514836</v>
      </c>
      <c r="C1559" s="147" t="s">
        <v>4424</v>
      </c>
      <c r="D1559" s="146" t="s">
        <v>3370</v>
      </c>
      <c r="E1559" s="147" t="s">
        <v>4011</v>
      </c>
      <c r="F1559" s="147" t="s">
        <v>4011</v>
      </c>
      <c r="G1559" s="146" t="s">
        <v>109</v>
      </c>
      <c r="H1559" s="146" t="s">
        <v>53</v>
      </c>
      <c r="I1559" s="147" t="s">
        <v>1184</v>
      </c>
      <c r="J1559" s="147" t="s">
        <v>104</v>
      </c>
      <c r="K1559" s="148"/>
      <c r="L1559" s="149"/>
      <c r="M1559" s="148"/>
    </row>
    <row r="1560" spans="1:13" ht="15" customHeight="1">
      <c r="A1560" s="142" t="s">
        <v>4425</v>
      </c>
      <c r="B1560" s="142">
        <v>514996</v>
      </c>
      <c r="C1560" s="143" t="s">
        <v>4426</v>
      </c>
      <c r="D1560" s="142" t="s">
        <v>3370</v>
      </c>
      <c r="E1560" s="143" t="s">
        <v>3471</v>
      </c>
      <c r="F1560" s="143" t="s">
        <v>4014</v>
      </c>
      <c r="G1560" s="142" t="s">
        <v>109</v>
      </c>
      <c r="H1560" s="142" t="s">
        <v>53</v>
      </c>
      <c r="I1560" s="143" t="s">
        <v>1184</v>
      </c>
      <c r="J1560" s="143" t="s">
        <v>104</v>
      </c>
      <c r="K1560" s="144"/>
      <c r="L1560" s="145"/>
      <c r="M1560" s="144"/>
    </row>
    <row r="1561" spans="1:13" ht="15" customHeight="1">
      <c r="A1561" s="146" t="s">
        <v>4427</v>
      </c>
      <c r="B1561" s="146">
        <v>515108</v>
      </c>
      <c r="C1561" s="147" t="s">
        <v>4428</v>
      </c>
      <c r="D1561" s="146" t="s">
        <v>3370</v>
      </c>
      <c r="E1561" s="147" t="s">
        <v>3598</v>
      </c>
      <c r="F1561" s="147" t="s">
        <v>4030</v>
      </c>
      <c r="G1561" s="146" t="s">
        <v>109</v>
      </c>
      <c r="H1561" s="146" t="s">
        <v>53</v>
      </c>
      <c r="I1561" s="147" t="s">
        <v>1110</v>
      </c>
      <c r="J1561" s="147" t="s">
        <v>104</v>
      </c>
      <c r="K1561" s="148"/>
      <c r="L1561" s="149"/>
      <c r="M1561" s="148"/>
    </row>
    <row r="1562" spans="1:13" ht="15" customHeight="1">
      <c r="A1562" s="142" t="s">
        <v>4429</v>
      </c>
      <c r="B1562" s="142">
        <v>514771</v>
      </c>
      <c r="C1562" s="143" t="s">
        <v>4430</v>
      </c>
      <c r="D1562" s="142" t="s">
        <v>3370</v>
      </c>
      <c r="E1562" s="143" t="s">
        <v>3375</v>
      </c>
      <c r="F1562" s="143" t="s">
        <v>3376</v>
      </c>
      <c r="G1562" s="142" t="s">
        <v>102</v>
      </c>
      <c r="H1562" s="142" t="s">
        <v>53</v>
      </c>
      <c r="I1562" s="143" t="s">
        <v>1184</v>
      </c>
      <c r="J1562" s="143" t="s">
        <v>104</v>
      </c>
      <c r="K1562" s="144"/>
      <c r="L1562" s="145"/>
      <c r="M1562" s="144"/>
    </row>
    <row r="1563" spans="1:13" ht="15" customHeight="1">
      <c r="A1563" s="146" t="s">
        <v>4431</v>
      </c>
      <c r="B1563" s="146">
        <v>514920</v>
      </c>
      <c r="C1563" s="147" t="s">
        <v>4432</v>
      </c>
      <c r="D1563" s="146" t="s">
        <v>3370</v>
      </c>
      <c r="E1563" s="147" t="s">
        <v>3375</v>
      </c>
      <c r="F1563" s="147" t="s">
        <v>3376</v>
      </c>
      <c r="G1563" s="146" t="s">
        <v>102</v>
      </c>
      <c r="H1563" s="146" t="s">
        <v>53</v>
      </c>
      <c r="I1563" s="147" t="s">
        <v>1184</v>
      </c>
      <c r="J1563" s="147" t="s">
        <v>104</v>
      </c>
      <c r="K1563" s="148"/>
      <c r="L1563" s="149"/>
      <c r="M1563" s="148"/>
    </row>
    <row r="1564" spans="1:13" ht="15" customHeight="1">
      <c r="A1564" s="142" t="s">
        <v>4433</v>
      </c>
      <c r="B1564" s="142">
        <v>514560</v>
      </c>
      <c r="C1564" s="143" t="s">
        <v>4434</v>
      </c>
      <c r="D1564" s="142" t="s">
        <v>3370</v>
      </c>
      <c r="E1564" s="143" t="s">
        <v>3416</v>
      </c>
      <c r="F1564" s="143" t="s">
        <v>4435</v>
      </c>
      <c r="G1564" s="142" t="s">
        <v>102</v>
      </c>
      <c r="H1564" s="142" t="s">
        <v>53</v>
      </c>
      <c r="I1564" s="143" t="s">
        <v>1110</v>
      </c>
      <c r="J1564" s="143" t="s">
        <v>104</v>
      </c>
      <c r="K1564" s="144"/>
      <c r="L1564" s="145"/>
      <c r="M1564" s="144"/>
    </row>
    <row r="1565" spans="1:13" ht="15" customHeight="1">
      <c r="A1565" s="146" t="s">
        <v>4436</v>
      </c>
      <c r="B1565" s="146">
        <v>514888</v>
      </c>
      <c r="C1565" s="147" t="s">
        <v>4437</v>
      </c>
      <c r="D1565" s="146" t="s">
        <v>3370</v>
      </c>
      <c r="E1565" s="147" t="s">
        <v>4050</v>
      </c>
      <c r="F1565" s="147" t="s">
        <v>4051</v>
      </c>
      <c r="G1565" s="146" t="s">
        <v>109</v>
      </c>
      <c r="H1565" s="146" t="s">
        <v>50</v>
      </c>
      <c r="I1565" s="147" t="s">
        <v>3391</v>
      </c>
      <c r="J1565" s="147" t="s">
        <v>104</v>
      </c>
      <c r="K1565" s="150" t="s">
        <v>5</v>
      </c>
      <c r="L1565" s="149">
        <v>46108</v>
      </c>
      <c r="M1565" s="151" t="s">
        <v>3392</v>
      </c>
    </row>
    <row r="1566" spans="1:13" ht="15" customHeight="1">
      <c r="A1566" s="142" t="s">
        <v>4438</v>
      </c>
      <c r="B1566" s="142">
        <v>515286</v>
      </c>
      <c r="C1566" s="143" t="s">
        <v>4439</v>
      </c>
      <c r="D1566" s="142" t="s">
        <v>3370</v>
      </c>
      <c r="E1566" s="143" t="s">
        <v>4057</v>
      </c>
      <c r="F1566" s="143" t="s">
        <v>4440</v>
      </c>
      <c r="G1566" s="142" t="s">
        <v>109</v>
      </c>
      <c r="H1566" s="142" t="s">
        <v>50</v>
      </c>
      <c r="I1566" s="143" t="s">
        <v>3391</v>
      </c>
      <c r="J1566" s="143" t="s">
        <v>104</v>
      </c>
      <c r="K1566" s="144"/>
      <c r="L1566" s="145"/>
      <c r="M1566" s="144"/>
    </row>
    <row r="1567" spans="1:13" ht="15" customHeight="1">
      <c r="A1567" s="146" t="s">
        <v>4441</v>
      </c>
      <c r="B1567" s="146">
        <v>514552</v>
      </c>
      <c r="C1567" s="147" t="s">
        <v>4442</v>
      </c>
      <c r="D1567" s="146" t="s">
        <v>3370</v>
      </c>
      <c r="E1567" s="147" t="s">
        <v>3558</v>
      </c>
      <c r="F1567" s="147" t="s">
        <v>4443</v>
      </c>
      <c r="G1567" s="146" t="s">
        <v>102</v>
      </c>
      <c r="H1567" s="146" t="s">
        <v>53</v>
      </c>
      <c r="I1567" s="147" t="s">
        <v>1184</v>
      </c>
      <c r="J1567" s="147" t="s">
        <v>104</v>
      </c>
      <c r="K1567" s="148"/>
      <c r="L1567" s="149"/>
      <c r="M1567" s="148"/>
    </row>
    <row r="1568" spans="1:13" ht="15" customHeight="1">
      <c r="A1568" s="142" t="s">
        <v>4444</v>
      </c>
      <c r="B1568" s="142">
        <v>514585</v>
      </c>
      <c r="C1568" s="143" t="s">
        <v>4445</v>
      </c>
      <c r="D1568" s="142" t="s">
        <v>3370</v>
      </c>
      <c r="E1568" s="143" t="s">
        <v>3389</v>
      </c>
      <c r="F1568" s="143" t="s">
        <v>4446</v>
      </c>
      <c r="G1568" s="142" t="s">
        <v>109</v>
      </c>
      <c r="H1568" s="142" t="s">
        <v>50</v>
      </c>
      <c r="I1568" s="143" t="s">
        <v>3391</v>
      </c>
      <c r="J1568" s="143" t="s">
        <v>104</v>
      </c>
      <c r="K1568" s="150" t="s">
        <v>5</v>
      </c>
      <c r="L1568" s="145">
        <v>46099</v>
      </c>
      <c r="M1568" s="152" t="s">
        <v>3392</v>
      </c>
    </row>
    <row r="1569" spans="1:13" ht="15" customHeight="1">
      <c r="A1569" s="146" t="s">
        <v>4447</v>
      </c>
      <c r="B1569" s="146">
        <v>515333</v>
      </c>
      <c r="C1569" s="147" t="s">
        <v>4448</v>
      </c>
      <c r="D1569" s="146" t="s">
        <v>3370</v>
      </c>
      <c r="E1569" s="147" t="s">
        <v>3416</v>
      </c>
      <c r="F1569" s="147" t="s">
        <v>3416</v>
      </c>
      <c r="G1569" s="146" t="s">
        <v>102</v>
      </c>
      <c r="H1569" s="146" t="s">
        <v>53</v>
      </c>
      <c r="I1569" s="147" t="s">
        <v>1110</v>
      </c>
      <c r="J1569" s="147" t="s">
        <v>104</v>
      </c>
      <c r="K1569" s="148"/>
      <c r="L1569" s="149"/>
      <c r="M1569" s="148"/>
    </row>
    <row r="1570" spans="1:13" ht="15" customHeight="1">
      <c r="A1570" s="142" t="s">
        <v>4449</v>
      </c>
      <c r="B1570" s="142">
        <v>515538</v>
      </c>
      <c r="C1570" s="143" t="s">
        <v>4450</v>
      </c>
      <c r="D1570" s="142" t="s">
        <v>3370</v>
      </c>
      <c r="E1570" s="143" t="s">
        <v>3451</v>
      </c>
      <c r="F1570" s="143" t="s">
        <v>4451</v>
      </c>
      <c r="G1570" s="142" t="s">
        <v>109</v>
      </c>
      <c r="H1570" s="142" t="s">
        <v>50</v>
      </c>
      <c r="I1570" s="143" t="s">
        <v>3391</v>
      </c>
      <c r="J1570" s="143" t="s">
        <v>104</v>
      </c>
      <c r="K1570" s="144" t="s">
        <v>121</v>
      </c>
      <c r="L1570" s="145">
        <v>46142</v>
      </c>
      <c r="M1570" s="144"/>
    </row>
    <row r="1571" spans="1:13" ht="15" customHeight="1">
      <c r="A1571" s="146" t="s">
        <v>4452</v>
      </c>
      <c r="B1571" s="146">
        <v>515106</v>
      </c>
      <c r="C1571" s="147" t="s">
        <v>4453</v>
      </c>
      <c r="D1571" s="146" t="s">
        <v>3370</v>
      </c>
      <c r="E1571" s="147" t="s">
        <v>3412</v>
      </c>
      <c r="F1571" s="147" t="s">
        <v>4454</v>
      </c>
      <c r="G1571" s="146" t="s">
        <v>109</v>
      </c>
      <c r="H1571" s="146" t="s">
        <v>53</v>
      </c>
      <c r="I1571" s="147" t="s">
        <v>1110</v>
      </c>
      <c r="J1571" s="147" t="s">
        <v>104</v>
      </c>
      <c r="K1571" s="148"/>
      <c r="L1571" s="149"/>
      <c r="M1571" s="148"/>
    </row>
    <row r="1572" spans="1:13" ht="15" customHeight="1">
      <c r="A1572" s="142" t="s">
        <v>4455</v>
      </c>
      <c r="B1572" s="142">
        <v>515126</v>
      </c>
      <c r="C1572" s="143" t="s">
        <v>4456</v>
      </c>
      <c r="D1572" s="142" t="s">
        <v>3370</v>
      </c>
      <c r="E1572" s="143" t="s">
        <v>3699</v>
      </c>
      <c r="F1572" s="143" t="s">
        <v>4457</v>
      </c>
      <c r="G1572" s="142" t="s">
        <v>109</v>
      </c>
      <c r="H1572" s="142" t="s">
        <v>50</v>
      </c>
      <c r="I1572" s="143" t="s">
        <v>3391</v>
      </c>
      <c r="J1572" s="143" t="s">
        <v>104</v>
      </c>
      <c r="K1572" s="144" t="s">
        <v>121</v>
      </c>
      <c r="L1572" s="145">
        <v>46148</v>
      </c>
      <c r="M1572" s="144"/>
    </row>
    <row r="1573" spans="1:13" ht="15" customHeight="1">
      <c r="A1573" s="146" t="s">
        <v>4458</v>
      </c>
      <c r="B1573" s="146">
        <v>515276</v>
      </c>
      <c r="C1573" s="147" t="s">
        <v>4459</v>
      </c>
      <c r="D1573" s="146" t="s">
        <v>3370</v>
      </c>
      <c r="E1573" s="147" t="s">
        <v>3797</v>
      </c>
      <c r="F1573" s="147" t="s">
        <v>3798</v>
      </c>
      <c r="G1573" s="146" t="s">
        <v>109</v>
      </c>
      <c r="H1573" s="146" t="s">
        <v>50</v>
      </c>
      <c r="I1573" s="147" t="s">
        <v>1532</v>
      </c>
      <c r="J1573" s="147" t="s">
        <v>104</v>
      </c>
      <c r="K1573" s="148" t="s">
        <v>121</v>
      </c>
      <c r="L1573" s="149">
        <v>46142</v>
      </c>
      <c r="M1573" s="148"/>
    </row>
    <row r="1574" spans="1:13" ht="15" customHeight="1">
      <c r="A1574" s="142" t="s">
        <v>4460</v>
      </c>
      <c r="B1574" s="142">
        <v>514914</v>
      </c>
      <c r="C1574" s="143" t="s">
        <v>4461</v>
      </c>
      <c r="D1574" s="142" t="s">
        <v>3370</v>
      </c>
      <c r="E1574" s="143" t="s">
        <v>3714</v>
      </c>
      <c r="F1574" s="143" t="s">
        <v>4462</v>
      </c>
      <c r="G1574" s="142" t="s">
        <v>102</v>
      </c>
      <c r="H1574" s="142" t="s">
        <v>53</v>
      </c>
      <c r="I1574" s="143" t="s">
        <v>1110</v>
      </c>
      <c r="J1574" s="143" t="s">
        <v>104</v>
      </c>
      <c r="K1574" s="144"/>
      <c r="L1574" s="145"/>
      <c r="M1574" s="144"/>
    </row>
    <row r="1575" spans="1:13" ht="15" customHeight="1">
      <c r="A1575" s="146" t="s">
        <v>4463</v>
      </c>
      <c r="B1575" s="146">
        <v>514686</v>
      </c>
      <c r="C1575" s="147" t="s">
        <v>4464</v>
      </c>
      <c r="D1575" s="146" t="s">
        <v>3370</v>
      </c>
      <c r="E1575" s="147" t="s">
        <v>3404</v>
      </c>
      <c r="F1575" s="147" t="s">
        <v>4465</v>
      </c>
      <c r="G1575" s="146" t="s">
        <v>102</v>
      </c>
      <c r="H1575" s="146" t="s">
        <v>53</v>
      </c>
      <c r="I1575" s="147" t="s">
        <v>1110</v>
      </c>
      <c r="J1575" s="147" t="s">
        <v>104</v>
      </c>
      <c r="K1575" s="148"/>
      <c r="L1575" s="149"/>
      <c r="M1575" s="148"/>
    </row>
    <row r="1576" spans="1:13" ht="15" customHeight="1">
      <c r="A1576" s="142" t="s">
        <v>4466</v>
      </c>
      <c r="B1576" s="142">
        <v>514608</v>
      </c>
      <c r="C1576" s="143" t="s">
        <v>4467</v>
      </c>
      <c r="D1576" s="142" t="s">
        <v>3370</v>
      </c>
      <c r="E1576" s="143" t="s">
        <v>3385</v>
      </c>
      <c r="F1576" s="143" t="s">
        <v>3385</v>
      </c>
      <c r="G1576" s="142" t="s">
        <v>102</v>
      </c>
      <c r="H1576" s="142" t="s">
        <v>53</v>
      </c>
      <c r="I1576" s="143" t="s">
        <v>1184</v>
      </c>
      <c r="J1576" s="143" t="s">
        <v>104</v>
      </c>
      <c r="K1576" s="144"/>
      <c r="L1576" s="145"/>
      <c r="M1576" s="144"/>
    </row>
    <row r="1577" spans="1:13" ht="15" customHeight="1">
      <c r="A1577" s="146" t="s">
        <v>4468</v>
      </c>
      <c r="B1577" s="146">
        <v>514980</v>
      </c>
      <c r="C1577" s="147" t="s">
        <v>3581</v>
      </c>
      <c r="D1577" s="146" t="s">
        <v>3370</v>
      </c>
      <c r="E1577" s="147" t="s">
        <v>3385</v>
      </c>
      <c r="F1577" s="147" t="s">
        <v>3897</v>
      </c>
      <c r="G1577" s="146" t="s">
        <v>102</v>
      </c>
      <c r="H1577" s="146" t="s">
        <v>53</v>
      </c>
      <c r="I1577" s="147" t="s">
        <v>1184</v>
      </c>
      <c r="J1577" s="147" t="s">
        <v>104</v>
      </c>
      <c r="K1577" s="148"/>
      <c r="L1577" s="149"/>
      <c r="M1577" s="148"/>
    </row>
    <row r="1578" spans="1:13" ht="15" customHeight="1">
      <c r="A1578" s="142" t="s">
        <v>4469</v>
      </c>
      <c r="B1578" s="142">
        <v>515082</v>
      </c>
      <c r="C1578" s="143" t="s">
        <v>4470</v>
      </c>
      <c r="D1578" s="142" t="s">
        <v>3370</v>
      </c>
      <c r="E1578" s="143" t="s">
        <v>3900</v>
      </c>
      <c r="F1578" s="143" t="s">
        <v>3528</v>
      </c>
      <c r="G1578" s="142" t="s">
        <v>109</v>
      </c>
      <c r="H1578" s="142" t="s">
        <v>53</v>
      </c>
      <c r="I1578" s="143" t="s">
        <v>1184</v>
      </c>
      <c r="J1578" s="143" t="s">
        <v>104</v>
      </c>
      <c r="K1578" s="144"/>
      <c r="L1578" s="145"/>
      <c r="M1578" s="144"/>
    </row>
    <row r="1579" spans="1:13" ht="15" customHeight="1">
      <c r="A1579" s="146" t="s">
        <v>4471</v>
      </c>
      <c r="B1579" s="146">
        <v>514763</v>
      </c>
      <c r="C1579" s="147" t="s">
        <v>4472</v>
      </c>
      <c r="D1579" s="146" t="s">
        <v>3370</v>
      </c>
      <c r="E1579" s="147" t="s">
        <v>3379</v>
      </c>
      <c r="F1579" s="147" t="s">
        <v>1511</v>
      </c>
      <c r="G1579" s="146" t="s">
        <v>109</v>
      </c>
      <c r="H1579" s="146" t="s">
        <v>53</v>
      </c>
      <c r="I1579" s="147" t="s">
        <v>1110</v>
      </c>
      <c r="J1579" s="147" t="s">
        <v>104</v>
      </c>
      <c r="K1579" s="148"/>
      <c r="L1579" s="149"/>
      <c r="M1579" s="148"/>
    </row>
    <row r="1580" spans="1:13" ht="15" customHeight="1">
      <c r="A1580" s="142" t="s">
        <v>4473</v>
      </c>
      <c r="B1580" s="142">
        <v>514718</v>
      </c>
      <c r="C1580" s="143" t="s">
        <v>4474</v>
      </c>
      <c r="D1580" s="142" t="s">
        <v>3370</v>
      </c>
      <c r="E1580" s="143" t="s">
        <v>3428</v>
      </c>
      <c r="F1580" s="143" t="s">
        <v>4475</v>
      </c>
      <c r="G1580" s="142" t="s">
        <v>102</v>
      </c>
      <c r="H1580" s="142" t="s">
        <v>53</v>
      </c>
      <c r="I1580" s="143" t="s">
        <v>1184</v>
      </c>
      <c r="J1580" s="143" t="s">
        <v>104</v>
      </c>
      <c r="K1580" s="144"/>
      <c r="L1580" s="145"/>
      <c r="M1580" s="144"/>
    </row>
    <row r="1581" spans="1:13" ht="15" customHeight="1">
      <c r="A1581" s="146" t="s">
        <v>4476</v>
      </c>
      <c r="B1581" s="146">
        <v>515886</v>
      </c>
      <c r="C1581" s="147" t="s">
        <v>4477</v>
      </c>
      <c r="D1581" s="146" t="s">
        <v>3370</v>
      </c>
      <c r="E1581" s="147" t="s">
        <v>3746</v>
      </c>
      <c r="F1581" s="147" t="s">
        <v>4478</v>
      </c>
      <c r="G1581" s="146" t="s">
        <v>109</v>
      </c>
      <c r="H1581" s="146" t="s">
        <v>53</v>
      </c>
      <c r="I1581" s="147" t="s">
        <v>1184</v>
      </c>
      <c r="J1581" s="147" t="s">
        <v>104</v>
      </c>
      <c r="K1581" s="148"/>
      <c r="L1581" s="149"/>
      <c r="M1581" s="148"/>
    </row>
    <row r="1582" spans="1:13" ht="15" customHeight="1">
      <c r="A1582" s="142" t="s">
        <v>4479</v>
      </c>
      <c r="B1582" s="142">
        <v>514831</v>
      </c>
      <c r="C1582" s="143" t="s">
        <v>4480</v>
      </c>
      <c r="D1582" s="142" t="s">
        <v>3370</v>
      </c>
      <c r="E1582" s="143" t="s">
        <v>3770</v>
      </c>
      <c r="F1582" s="143" t="s">
        <v>4481</v>
      </c>
      <c r="G1582" s="142" t="s">
        <v>109</v>
      </c>
      <c r="H1582" s="142" t="s">
        <v>53</v>
      </c>
      <c r="I1582" s="143" t="s">
        <v>1184</v>
      </c>
      <c r="J1582" s="143" t="s">
        <v>104</v>
      </c>
      <c r="K1582" s="144"/>
      <c r="L1582" s="145"/>
      <c r="M1582" s="144"/>
    </row>
    <row r="1583" spans="1:13" ht="15" customHeight="1">
      <c r="A1583" s="146" t="s">
        <v>4482</v>
      </c>
      <c r="B1583" s="146">
        <v>515127</v>
      </c>
      <c r="C1583" s="147" t="s">
        <v>4483</v>
      </c>
      <c r="D1583" s="146" t="s">
        <v>3370</v>
      </c>
      <c r="E1583" s="147" t="s">
        <v>3699</v>
      </c>
      <c r="F1583" s="147" t="s">
        <v>3872</v>
      </c>
      <c r="G1583" s="146" t="s">
        <v>109</v>
      </c>
      <c r="H1583" s="146" t="s">
        <v>50</v>
      </c>
      <c r="I1583" s="147" t="s">
        <v>3391</v>
      </c>
      <c r="J1583" s="147" t="s">
        <v>104</v>
      </c>
      <c r="K1583" s="148" t="s">
        <v>121</v>
      </c>
      <c r="L1583" s="149">
        <v>46148</v>
      </c>
      <c r="M1583" s="148"/>
    </row>
    <row r="1584" spans="1:13" ht="15" customHeight="1">
      <c r="A1584" s="142" t="s">
        <v>4484</v>
      </c>
      <c r="B1584" s="142">
        <v>515128</v>
      </c>
      <c r="C1584" s="143" t="s">
        <v>4485</v>
      </c>
      <c r="D1584" s="142" t="s">
        <v>3370</v>
      </c>
      <c r="E1584" s="143" t="s">
        <v>3699</v>
      </c>
      <c r="F1584" s="143" t="s">
        <v>3875</v>
      </c>
      <c r="G1584" s="142" t="s">
        <v>109</v>
      </c>
      <c r="H1584" s="142" t="s">
        <v>50</v>
      </c>
      <c r="I1584" s="143" t="s">
        <v>3391</v>
      </c>
      <c r="J1584" s="143" t="s">
        <v>104</v>
      </c>
      <c r="K1584" s="144" t="s">
        <v>121</v>
      </c>
      <c r="L1584" s="145">
        <v>46148</v>
      </c>
      <c r="M1584" s="144"/>
    </row>
    <row r="1585" spans="1:13" ht="15" customHeight="1">
      <c r="A1585" s="146" t="s">
        <v>4486</v>
      </c>
      <c r="B1585" s="146">
        <v>515014</v>
      </c>
      <c r="C1585" s="147" t="s">
        <v>4487</v>
      </c>
      <c r="D1585" s="146" t="s">
        <v>3370</v>
      </c>
      <c r="E1585" s="147" t="s">
        <v>4185</v>
      </c>
      <c r="F1585" s="147" t="s">
        <v>4192</v>
      </c>
      <c r="G1585" s="146" t="s">
        <v>109</v>
      </c>
      <c r="H1585" s="146" t="s">
        <v>50</v>
      </c>
      <c r="I1585" s="147" t="s">
        <v>3391</v>
      </c>
      <c r="J1585" s="147" t="s">
        <v>104</v>
      </c>
      <c r="K1585" s="148"/>
      <c r="L1585" s="149"/>
      <c r="M1585" s="148"/>
    </row>
    <row r="1586" spans="1:13" ht="15" customHeight="1">
      <c r="A1586" s="142" t="s">
        <v>4488</v>
      </c>
      <c r="B1586" s="142">
        <v>515148</v>
      </c>
      <c r="C1586" s="143" t="s">
        <v>4489</v>
      </c>
      <c r="D1586" s="142" t="s">
        <v>3370</v>
      </c>
      <c r="E1586" s="143" t="s">
        <v>3921</v>
      </c>
      <c r="F1586" s="143" t="s">
        <v>853</v>
      </c>
      <c r="G1586" s="142" t="s">
        <v>109</v>
      </c>
      <c r="H1586" s="142" t="s">
        <v>50</v>
      </c>
      <c r="I1586" s="143" t="s">
        <v>1532</v>
      </c>
      <c r="J1586" s="143" t="s">
        <v>104</v>
      </c>
      <c r="K1586" s="144"/>
      <c r="L1586" s="145"/>
      <c r="M1586" s="144"/>
    </row>
    <row r="1587" spans="1:13" ht="15" customHeight="1">
      <c r="A1587" s="146" t="s">
        <v>4490</v>
      </c>
      <c r="B1587" s="146">
        <v>514934</v>
      </c>
      <c r="C1587" s="147" t="s">
        <v>4491</v>
      </c>
      <c r="D1587" s="146" t="s">
        <v>3370</v>
      </c>
      <c r="E1587" s="147" t="s">
        <v>4119</v>
      </c>
      <c r="F1587" s="147" t="s">
        <v>4492</v>
      </c>
      <c r="G1587" s="146" t="s">
        <v>109</v>
      </c>
      <c r="H1587" s="146" t="s">
        <v>53</v>
      </c>
      <c r="I1587" s="147" t="s">
        <v>1184</v>
      </c>
      <c r="J1587" s="147" t="s">
        <v>104</v>
      </c>
      <c r="K1587" s="148"/>
      <c r="L1587" s="149"/>
      <c r="M1587" s="148"/>
    </row>
    <row r="1588" spans="1:13" ht="15" customHeight="1">
      <c r="A1588" s="142" t="s">
        <v>4493</v>
      </c>
      <c r="B1588" s="142">
        <v>514648</v>
      </c>
      <c r="C1588" s="143" t="s">
        <v>4494</v>
      </c>
      <c r="D1588" s="142" t="s">
        <v>3370</v>
      </c>
      <c r="E1588" s="143" t="s">
        <v>3762</v>
      </c>
      <c r="F1588" s="143" t="s">
        <v>4495</v>
      </c>
      <c r="G1588" s="142" t="s">
        <v>109</v>
      </c>
      <c r="H1588" s="142" t="s">
        <v>53</v>
      </c>
      <c r="I1588" s="143" t="s">
        <v>1184</v>
      </c>
      <c r="J1588" s="143" t="s">
        <v>104</v>
      </c>
      <c r="K1588" s="144"/>
      <c r="L1588" s="145"/>
      <c r="M1588" s="144"/>
    </row>
    <row r="1589" spans="1:13" ht="15" customHeight="1">
      <c r="A1589" s="146" t="s">
        <v>4496</v>
      </c>
      <c r="B1589" s="146">
        <v>515031</v>
      </c>
      <c r="C1589" s="147" t="s">
        <v>4497</v>
      </c>
      <c r="D1589" s="146" t="s">
        <v>3370</v>
      </c>
      <c r="E1589" s="147" t="s">
        <v>3465</v>
      </c>
      <c r="F1589" s="147" t="s">
        <v>4498</v>
      </c>
      <c r="G1589" s="146" t="s">
        <v>109</v>
      </c>
      <c r="H1589" s="146" t="s">
        <v>50</v>
      </c>
      <c r="I1589" s="147" t="s">
        <v>3391</v>
      </c>
      <c r="J1589" s="147" t="s">
        <v>104</v>
      </c>
      <c r="K1589" s="150" t="s">
        <v>5</v>
      </c>
      <c r="L1589" s="149">
        <v>46133</v>
      </c>
      <c r="M1589" s="151" t="s">
        <v>3392</v>
      </c>
    </row>
    <row r="1590" spans="1:13" ht="15" customHeight="1">
      <c r="A1590" s="142" t="s">
        <v>4499</v>
      </c>
      <c r="B1590" s="142">
        <v>514675</v>
      </c>
      <c r="C1590" s="143" t="s">
        <v>4500</v>
      </c>
      <c r="D1590" s="142" t="s">
        <v>3370</v>
      </c>
      <c r="E1590" s="143" t="s">
        <v>3644</v>
      </c>
      <c r="F1590" s="143" t="s">
        <v>3906</v>
      </c>
      <c r="G1590" s="142" t="s">
        <v>109</v>
      </c>
      <c r="H1590" s="142" t="s">
        <v>53</v>
      </c>
      <c r="I1590" s="143" t="s">
        <v>1110</v>
      </c>
      <c r="J1590" s="143" t="s">
        <v>104</v>
      </c>
      <c r="K1590" s="144"/>
      <c r="L1590" s="145"/>
      <c r="M1590" s="144"/>
    </row>
    <row r="1591" spans="1:13" ht="15" customHeight="1">
      <c r="A1591" s="146" t="s">
        <v>4501</v>
      </c>
      <c r="B1591" s="146">
        <v>514676</v>
      </c>
      <c r="C1591" s="147" t="s">
        <v>4502</v>
      </c>
      <c r="D1591" s="146" t="s">
        <v>3370</v>
      </c>
      <c r="E1591" s="147" t="s">
        <v>3644</v>
      </c>
      <c r="F1591" s="147" t="s">
        <v>4503</v>
      </c>
      <c r="G1591" s="146" t="s">
        <v>102</v>
      </c>
      <c r="H1591" s="146" t="s">
        <v>53</v>
      </c>
      <c r="I1591" s="147" t="s">
        <v>1110</v>
      </c>
      <c r="J1591" s="147" t="s">
        <v>104</v>
      </c>
      <c r="K1591" s="148"/>
      <c r="L1591" s="149"/>
      <c r="M1591" s="148"/>
    </row>
    <row r="1592" spans="1:13" ht="15" customHeight="1">
      <c r="A1592" s="142" t="s">
        <v>4504</v>
      </c>
      <c r="B1592" s="142">
        <v>514773</v>
      </c>
      <c r="C1592" s="143" t="s">
        <v>4505</v>
      </c>
      <c r="D1592" s="142" t="s">
        <v>3370</v>
      </c>
      <c r="E1592" s="143" t="s">
        <v>3379</v>
      </c>
      <c r="F1592" s="143" t="s">
        <v>4506</v>
      </c>
      <c r="G1592" s="142" t="s">
        <v>102</v>
      </c>
      <c r="H1592" s="142" t="s">
        <v>53</v>
      </c>
      <c r="I1592" s="143" t="s">
        <v>1110</v>
      </c>
      <c r="J1592" s="143" t="s">
        <v>104</v>
      </c>
      <c r="K1592" s="144"/>
      <c r="L1592" s="145"/>
      <c r="M1592" s="144"/>
    </row>
    <row r="1593" spans="1:13" ht="15" customHeight="1">
      <c r="A1593" s="146" t="s">
        <v>4507</v>
      </c>
      <c r="B1593" s="146">
        <v>514557</v>
      </c>
      <c r="C1593" s="147" t="s">
        <v>4508</v>
      </c>
      <c r="D1593" s="146" t="s">
        <v>3370</v>
      </c>
      <c r="E1593" s="147" t="s">
        <v>3131</v>
      </c>
      <c r="F1593" s="147" t="s">
        <v>3131</v>
      </c>
      <c r="G1593" s="146" t="s">
        <v>109</v>
      </c>
      <c r="H1593" s="146" t="s">
        <v>53</v>
      </c>
      <c r="I1593" s="147" t="s">
        <v>1184</v>
      </c>
      <c r="J1593" s="147" t="s">
        <v>104</v>
      </c>
      <c r="K1593" s="148"/>
      <c r="L1593" s="149"/>
      <c r="M1593" s="148"/>
    </row>
    <row r="1594" spans="1:13" ht="15" customHeight="1">
      <c r="A1594" s="142" t="s">
        <v>4509</v>
      </c>
      <c r="B1594" s="142">
        <v>514733</v>
      </c>
      <c r="C1594" s="143" t="s">
        <v>4510</v>
      </c>
      <c r="D1594" s="142" t="s">
        <v>3370</v>
      </c>
      <c r="E1594" s="143" t="s">
        <v>3416</v>
      </c>
      <c r="F1594" s="143" t="s">
        <v>4511</v>
      </c>
      <c r="G1594" s="142" t="s">
        <v>102</v>
      </c>
      <c r="H1594" s="142" t="s">
        <v>53</v>
      </c>
      <c r="I1594" s="143" t="s">
        <v>1110</v>
      </c>
      <c r="J1594" s="143" t="s">
        <v>104</v>
      </c>
      <c r="K1594" s="144" t="s">
        <v>121</v>
      </c>
      <c r="L1594" s="145">
        <v>46149</v>
      </c>
      <c r="M1594" s="144"/>
    </row>
    <row r="1595" spans="1:13" ht="15" customHeight="1">
      <c r="A1595" s="146" t="s">
        <v>4512</v>
      </c>
      <c r="B1595" s="146">
        <v>515156</v>
      </c>
      <c r="C1595" s="147" t="s">
        <v>4513</v>
      </c>
      <c r="D1595" s="146" t="s">
        <v>3370</v>
      </c>
      <c r="E1595" s="147" t="s">
        <v>3770</v>
      </c>
      <c r="F1595" s="147" t="s">
        <v>4514</v>
      </c>
      <c r="G1595" s="146" t="s">
        <v>109</v>
      </c>
      <c r="H1595" s="146" t="s">
        <v>53</v>
      </c>
      <c r="I1595" s="147" t="s">
        <v>1184</v>
      </c>
      <c r="J1595" s="147" t="s">
        <v>104</v>
      </c>
      <c r="K1595" s="148"/>
      <c r="L1595" s="149"/>
      <c r="M1595" s="148"/>
    </row>
    <row r="1596" spans="1:13" ht="15" customHeight="1">
      <c r="A1596" s="142" t="s">
        <v>4515</v>
      </c>
      <c r="B1596" s="142">
        <v>515335</v>
      </c>
      <c r="C1596" s="143" t="s">
        <v>4516</v>
      </c>
      <c r="D1596" s="142" t="s">
        <v>3370</v>
      </c>
      <c r="E1596" s="143" t="s">
        <v>3770</v>
      </c>
      <c r="F1596" s="143" t="s">
        <v>4517</v>
      </c>
      <c r="G1596" s="142" t="s">
        <v>102</v>
      </c>
      <c r="H1596" s="142" t="s">
        <v>53</v>
      </c>
      <c r="I1596" s="143" t="s">
        <v>1184</v>
      </c>
      <c r="J1596" s="143" t="s">
        <v>104</v>
      </c>
      <c r="K1596" s="144"/>
      <c r="L1596" s="145"/>
      <c r="M1596" s="144"/>
    </row>
    <row r="1597" spans="1:13" ht="15" customHeight="1">
      <c r="A1597" s="146" t="s">
        <v>4518</v>
      </c>
      <c r="B1597" s="146">
        <v>514824</v>
      </c>
      <c r="C1597" s="147" t="s">
        <v>4519</v>
      </c>
      <c r="D1597" s="146" t="s">
        <v>3370</v>
      </c>
      <c r="E1597" s="147" t="s">
        <v>4017</v>
      </c>
      <c r="F1597" s="147" t="s">
        <v>4520</v>
      </c>
      <c r="G1597" s="146" t="s">
        <v>109</v>
      </c>
      <c r="H1597" s="146" t="s">
        <v>50</v>
      </c>
      <c r="I1597" s="147" t="s">
        <v>3449</v>
      </c>
      <c r="J1597" s="147" t="s">
        <v>104</v>
      </c>
      <c r="K1597" s="148" t="s">
        <v>121</v>
      </c>
      <c r="L1597" s="149">
        <v>46148</v>
      </c>
      <c r="M1597" s="148"/>
    </row>
    <row r="1598" spans="1:13" ht="15" customHeight="1">
      <c r="A1598" s="142" t="s">
        <v>4521</v>
      </c>
      <c r="B1598" s="142">
        <v>514658</v>
      </c>
      <c r="C1598" s="143" t="s">
        <v>4522</v>
      </c>
      <c r="D1598" s="142" t="s">
        <v>3370</v>
      </c>
      <c r="E1598" s="143" t="s">
        <v>3547</v>
      </c>
      <c r="F1598" s="143" t="s">
        <v>4172</v>
      </c>
      <c r="G1598" s="142" t="s">
        <v>102</v>
      </c>
      <c r="H1598" s="142" t="s">
        <v>53</v>
      </c>
      <c r="I1598" s="143" t="s">
        <v>1110</v>
      </c>
      <c r="J1598" s="143" t="s">
        <v>104</v>
      </c>
      <c r="K1598" s="144" t="s">
        <v>121</v>
      </c>
      <c r="L1598" s="145">
        <v>46148</v>
      </c>
      <c r="M1598" s="144"/>
    </row>
    <row r="1599" spans="1:13" ht="15" customHeight="1">
      <c r="A1599" s="146" t="s">
        <v>4523</v>
      </c>
      <c r="B1599" s="146">
        <v>515218</v>
      </c>
      <c r="C1599" s="147" t="s">
        <v>4524</v>
      </c>
      <c r="D1599" s="146" t="s">
        <v>3370</v>
      </c>
      <c r="E1599" s="147" t="s">
        <v>3408</v>
      </c>
      <c r="F1599" s="147" t="s">
        <v>4202</v>
      </c>
      <c r="G1599" s="146" t="s">
        <v>102</v>
      </c>
      <c r="H1599" s="146" t="s">
        <v>53</v>
      </c>
      <c r="I1599" s="147" t="s">
        <v>1110</v>
      </c>
      <c r="J1599" s="147" t="s">
        <v>104</v>
      </c>
      <c r="K1599" s="148"/>
      <c r="L1599" s="149"/>
      <c r="M1599" s="148"/>
    </row>
    <row r="1600" spans="1:13" ht="15" customHeight="1">
      <c r="A1600" s="142" t="s">
        <v>4525</v>
      </c>
      <c r="B1600" s="142">
        <v>514783</v>
      </c>
      <c r="C1600" s="143" t="s">
        <v>4526</v>
      </c>
      <c r="D1600" s="142" t="s">
        <v>3370</v>
      </c>
      <c r="E1600" s="143" t="s">
        <v>3416</v>
      </c>
      <c r="F1600" s="143" t="s">
        <v>3416</v>
      </c>
      <c r="G1600" s="142" t="s">
        <v>102</v>
      </c>
      <c r="H1600" s="142" t="s">
        <v>53</v>
      </c>
      <c r="I1600" s="143" t="s">
        <v>1110</v>
      </c>
      <c r="J1600" s="143" t="s">
        <v>104</v>
      </c>
      <c r="K1600" s="144"/>
      <c r="L1600" s="145"/>
      <c r="M1600" s="144"/>
    </row>
    <row r="1601" spans="1:13" ht="15" customHeight="1">
      <c r="A1601" s="146" t="s">
        <v>4527</v>
      </c>
      <c r="B1601" s="146">
        <v>515025</v>
      </c>
      <c r="C1601" s="147" t="s">
        <v>4528</v>
      </c>
      <c r="D1601" s="146" t="s">
        <v>3370</v>
      </c>
      <c r="E1601" s="147" t="s">
        <v>3576</v>
      </c>
      <c r="F1601" s="147" t="s">
        <v>4138</v>
      </c>
      <c r="G1601" s="146" t="s">
        <v>109</v>
      </c>
      <c r="H1601" s="146" t="s">
        <v>53</v>
      </c>
      <c r="I1601" s="147" t="s">
        <v>1110</v>
      </c>
      <c r="J1601" s="147" t="s">
        <v>104</v>
      </c>
      <c r="K1601" s="148"/>
      <c r="L1601" s="149"/>
      <c r="M1601" s="148"/>
    </row>
    <row r="1602" spans="1:13" ht="15" customHeight="1">
      <c r="A1602" s="142" t="s">
        <v>4529</v>
      </c>
      <c r="B1602" s="142">
        <v>514640</v>
      </c>
      <c r="C1602" s="143" t="s">
        <v>705</v>
      </c>
      <c r="D1602" s="142" t="s">
        <v>3370</v>
      </c>
      <c r="E1602" s="143" t="s">
        <v>3447</v>
      </c>
      <c r="F1602" s="143" t="s">
        <v>4530</v>
      </c>
      <c r="G1602" s="142" t="s">
        <v>109</v>
      </c>
      <c r="H1602" s="142" t="s">
        <v>50</v>
      </c>
      <c r="I1602" s="143" t="s">
        <v>3449</v>
      </c>
      <c r="J1602" s="143" t="s">
        <v>104</v>
      </c>
      <c r="K1602" s="144" t="s">
        <v>121</v>
      </c>
      <c r="L1602" s="145">
        <v>46150</v>
      </c>
      <c r="M1602" s="144"/>
    </row>
    <row r="1603" spans="1:13" ht="15" customHeight="1">
      <c r="A1603" s="146" t="s">
        <v>4531</v>
      </c>
      <c r="B1603" s="146">
        <v>514695</v>
      </c>
      <c r="C1603" s="147" t="s">
        <v>4532</v>
      </c>
      <c r="D1603" s="146" t="s">
        <v>3370</v>
      </c>
      <c r="E1603" s="147" t="s">
        <v>1244</v>
      </c>
      <c r="F1603" s="147" t="s">
        <v>4533</v>
      </c>
      <c r="G1603" s="146" t="s">
        <v>102</v>
      </c>
      <c r="H1603" s="146" t="s">
        <v>53</v>
      </c>
      <c r="I1603" s="147" t="s">
        <v>1184</v>
      </c>
      <c r="J1603" s="147" t="s">
        <v>104</v>
      </c>
      <c r="K1603" s="148"/>
      <c r="L1603" s="149"/>
      <c r="M1603" s="148"/>
    </row>
    <row r="1604" spans="1:13" ht="15" customHeight="1">
      <c r="A1604" s="142" t="s">
        <v>4534</v>
      </c>
      <c r="B1604" s="142">
        <v>515241</v>
      </c>
      <c r="C1604" s="143" t="s">
        <v>4535</v>
      </c>
      <c r="D1604" s="142" t="s">
        <v>3370</v>
      </c>
      <c r="E1604" s="143" t="s">
        <v>3718</v>
      </c>
      <c r="F1604" s="143" t="s">
        <v>4536</v>
      </c>
      <c r="G1604" s="142" t="s">
        <v>109</v>
      </c>
      <c r="H1604" s="142" t="s">
        <v>50</v>
      </c>
      <c r="I1604" s="143" t="s">
        <v>3391</v>
      </c>
      <c r="J1604" s="143" t="s">
        <v>104</v>
      </c>
      <c r="K1604" s="144" t="s">
        <v>121</v>
      </c>
      <c r="L1604" s="145">
        <v>46149</v>
      </c>
      <c r="M1604" s="144"/>
    </row>
    <row r="1605" spans="1:13" ht="15" customHeight="1">
      <c r="A1605" s="146" t="s">
        <v>4537</v>
      </c>
      <c r="B1605" s="146">
        <v>515070</v>
      </c>
      <c r="C1605" s="147" t="s">
        <v>4538</v>
      </c>
      <c r="D1605" s="146" t="s">
        <v>3370</v>
      </c>
      <c r="E1605" s="147" t="s">
        <v>3481</v>
      </c>
      <c r="F1605" s="147" t="s">
        <v>3481</v>
      </c>
      <c r="G1605" s="146" t="s">
        <v>102</v>
      </c>
      <c r="H1605" s="146" t="s">
        <v>53</v>
      </c>
      <c r="I1605" s="147" t="s">
        <v>1110</v>
      </c>
      <c r="J1605" s="147" t="s">
        <v>104</v>
      </c>
      <c r="K1605" s="148"/>
      <c r="L1605" s="149"/>
      <c r="M1605" s="148"/>
    </row>
    <row r="1606" spans="1:13" ht="15" customHeight="1">
      <c r="A1606" s="142" t="s">
        <v>4539</v>
      </c>
      <c r="B1606" s="142">
        <v>515240</v>
      </c>
      <c r="C1606" s="143" t="s">
        <v>4540</v>
      </c>
      <c r="D1606" s="142" t="s">
        <v>3370</v>
      </c>
      <c r="E1606" s="143" t="s">
        <v>3832</v>
      </c>
      <c r="F1606" s="143" t="s">
        <v>4541</v>
      </c>
      <c r="G1606" s="142" t="s">
        <v>109</v>
      </c>
      <c r="H1606" s="142" t="s">
        <v>50</v>
      </c>
      <c r="I1606" s="143" t="s">
        <v>3391</v>
      </c>
      <c r="J1606" s="143" t="s">
        <v>104</v>
      </c>
      <c r="K1606" s="150" t="s">
        <v>5</v>
      </c>
      <c r="L1606" s="145">
        <v>46125</v>
      </c>
      <c r="M1606" s="152" t="s">
        <v>3392</v>
      </c>
    </row>
    <row r="1607" spans="1:13" ht="15" customHeight="1">
      <c r="A1607" s="146" t="s">
        <v>4542</v>
      </c>
      <c r="B1607" s="146">
        <v>521692</v>
      </c>
      <c r="C1607" s="147" t="s">
        <v>4543</v>
      </c>
      <c r="D1607" s="146" t="s">
        <v>3370</v>
      </c>
      <c r="E1607" s="147" t="s">
        <v>3644</v>
      </c>
      <c r="F1607" s="147" t="s">
        <v>3782</v>
      </c>
      <c r="G1607" s="146" t="s">
        <v>109</v>
      </c>
      <c r="H1607" s="146" t="s">
        <v>53</v>
      </c>
      <c r="I1607" s="147" t="s">
        <v>1110</v>
      </c>
      <c r="J1607" s="147" t="s">
        <v>104</v>
      </c>
      <c r="K1607" s="148"/>
      <c r="L1607" s="149"/>
      <c r="M1607" s="148"/>
    </row>
    <row r="1608" spans="1:13" ht="15" customHeight="1">
      <c r="A1608" s="142" t="s">
        <v>4544</v>
      </c>
      <c r="B1608" s="142">
        <v>514653</v>
      </c>
      <c r="C1608" s="143" t="s">
        <v>4545</v>
      </c>
      <c r="D1608" s="142" t="s">
        <v>3370</v>
      </c>
      <c r="E1608" s="143" t="s">
        <v>4050</v>
      </c>
      <c r="F1608" s="143" t="s">
        <v>2077</v>
      </c>
      <c r="G1608" s="142" t="s">
        <v>109</v>
      </c>
      <c r="H1608" s="142" t="s">
        <v>50</v>
      </c>
      <c r="I1608" s="143" t="s">
        <v>3391</v>
      </c>
      <c r="J1608" s="143" t="s">
        <v>104</v>
      </c>
      <c r="K1608" s="144" t="s">
        <v>121</v>
      </c>
      <c r="L1608" s="145">
        <v>46140</v>
      </c>
      <c r="M1608" s="144"/>
    </row>
    <row r="1609" spans="1:13" ht="15" customHeight="1">
      <c r="A1609" s="146" t="s">
        <v>4546</v>
      </c>
      <c r="B1609" s="146">
        <v>514977</v>
      </c>
      <c r="C1609" s="147" t="s">
        <v>4547</v>
      </c>
      <c r="D1609" s="146" t="s">
        <v>3370</v>
      </c>
      <c r="E1609" s="147" t="s">
        <v>4134</v>
      </c>
      <c r="F1609" s="147" t="s">
        <v>4135</v>
      </c>
      <c r="G1609" s="146" t="s">
        <v>109</v>
      </c>
      <c r="H1609" s="146" t="s">
        <v>50</v>
      </c>
      <c r="I1609" s="147" t="s">
        <v>3391</v>
      </c>
      <c r="J1609" s="147" t="s">
        <v>104</v>
      </c>
      <c r="K1609" s="148" t="s">
        <v>121</v>
      </c>
      <c r="L1609" s="149">
        <v>46141</v>
      </c>
      <c r="M1609" s="148"/>
    </row>
    <row r="1610" spans="1:13" ht="15" customHeight="1">
      <c r="A1610" s="142" t="s">
        <v>4548</v>
      </c>
      <c r="B1610" s="142">
        <v>515570</v>
      </c>
      <c r="C1610" s="143" t="s">
        <v>4549</v>
      </c>
      <c r="D1610" s="142" t="s">
        <v>3370</v>
      </c>
      <c r="E1610" s="143" t="s">
        <v>3404</v>
      </c>
      <c r="F1610" s="143" t="s">
        <v>4550</v>
      </c>
      <c r="G1610" s="142" t="s">
        <v>109</v>
      </c>
      <c r="H1610" s="142" t="s">
        <v>53</v>
      </c>
      <c r="I1610" s="143" t="s">
        <v>1110</v>
      </c>
      <c r="J1610" s="143" t="s">
        <v>104</v>
      </c>
      <c r="K1610" s="144"/>
      <c r="L1610" s="145"/>
      <c r="M1610" s="144"/>
    </row>
    <row r="1611" spans="1:13" ht="15" customHeight="1">
      <c r="A1611" s="146" t="s">
        <v>4551</v>
      </c>
      <c r="B1611" s="146">
        <v>515294</v>
      </c>
      <c r="C1611" s="147" t="s">
        <v>4552</v>
      </c>
      <c r="D1611" s="146" t="s">
        <v>3370</v>
      </c>
      <c r="E1611" s="147" t="s">
        <v>3735</v>
      </c>
      <c r="F1611" s="147" t="s">
        <v>3807</v>
      </c>
      <c r="G1611" s="146" t="s">
        <v>109</v>
      </c>
      <c r="H1611" s="146" t="s">
        <v>50</v>
      </c>
      <c r="I1611" s="147" t="s">
        <v>3391</v>
      </c>
      <c r="J1611" s="147" t="s">
        <v>104</v>
      </c>
      <c r="K1611" s="148" t="s">
        <v>121</v>
      </c>
      <c r="L1611" s="149">
        <v>46149</v>
      </c>
      <c r="M1611" s="148"/>
    </row>
    <row r="1612" spans="1:13" ht="15" customHeight="1">
      <c r="A1612" s="142" t="s">
        <v>4553</v>
      </c>
      <c r="B1612" s="142">
        <v>518210</v>
      </c>
      <c r="C1612" s="143" t="s">
        <v>4554</v>
      </c>
      <c r="D1612" s="142" t="s">
        <v>3370</v>
      </c>
      <c r="E1612" s="143" t="s">
        <v>3797</v>
      </c>
      <c r="F1612" s="143" t="s">
        <v>4555</v>
      </c>
      <c r="G1612" s="142" t="s">
        <v>109</v>
      </c>
      <c r="H1612" s="142" t="s">
        <v>50</v>
      </c>
      <c r="I1612" s="143" t="s">
        <v>1532</v>
      </c>
      <c r="J1612" s="143" t="s">
        <v>104</v>
      </c>
      <c r="K1612" s="144" t="s">
        <v>121</v>
      </c>
      <c r="L1612" s="145">
        <v>46143</v>
      </c>
      <c r="M1612" s="144"/>
    </row>
    <row r="1613" spans="1:13" ht="15" customHeight="1">
      <c r="A1613" s="146" t="s">
        <v>4556</v>
      </c>
      <c r="B1613" s="146">
        <v>514776</v>
      </c>
      <c r="C1613" s="147" t="s">
        <v>4557</v>
      </c>
      <c r="D1613" s="146" t="s">
        <v>3370</v>
      </c>
      <c r="E1613" s="147" t="s">
        <v>3651</v>
      </c>
      <c r="F1613" s="147" t="s">
        <v>3651</v>
      </c>
      <c r="G1613" s="146" t="s">
        <v>109</v>
      </c>
      <c r="H1613" s="146" t="s">
        <v>53</v>
      </c>
      <c r="I1613" s="147" t="s">
        <v>1110</v>
      </c>
      <c r="J1613" s="147" t="s">
        <v>104</v>
      </c>
      <c r="K1613" s="148"/>
      <c r="L1613" s="149"/>
      <c r="M1613" s="148"/>
    </row>
    <row r="1614" spans="1:13" ht="15" customHeight="1">
      <c r="A1614" s="142" t="s">
        <v>4558</v>
      </c>
      <c r="B1614" s="142">
        <v>514549</v>
      </c>
      <c r="C1614" s="143" t="s">
        <v>4559</v>
      </c>
      <c r="D1614" s="142" t="s">
        <v>3370</v>
      </c>
      <c r="E1614" s="143" t="s">
        <v>4185</v>
      </c>
      <c r="F1614" s="143" t="s">
        <v>4560</v>
      </c>
      <c r="G1614" s="142" t="s">
        <v>109</v>
      </c>
      <c r="H1614" s="142" t="s">
        <v>50</v>
      </c>
      <c r="I1614" s="143" t="s">
        <v>3391</v>
      </c>
      <c r="J1614" s="143" t="s">
        <v>104</v>
      </c>
      <c r="K1614" s="144"/>
      <c r="L1614" s="145"/>
      <c r="M1614" s="144"/>
    </row>
    <row r="1615" spans="1:13" ht="15" customHeight="1">
      <c r="A1615" s="146" t="s">
        <v>4561</v>
      </c>
      <c r="B1615" s="146">
        <v>514632</v>
      </c>
      <c r="C1615" s="147" t="s">
        <v>4562</v>
      </c>
      <c r="D1615" s="146" t="s">
        <v>3370</v>
      </c>
      <c r="E1615" s="147" t="s">
        <v>3856</v>
      </c>
      <c r="F1615" s="147" t="s">
        <v>4563</v>
      </c>
      <c r="G1615" s="146" t="s">
        <v>109</v>
      </c>
      <c r="H1615" s="146" t="s">
        <v>50</v>
      </c>
      <c r="I1615" s="147" t="s">
        <v>3391</v>
      </c>
      <c r="J1615" s="147" t="s">
        <v>104</v>
      </c>
      <c r="K1615" s="150" t="s">
        <v>5</v>
      </c>
      <c r="L1615" s="149">
        <v>46104</v>
      </c>
      <c r="M1615" s="151" t="s">
        <v>3392</v>
      </c>
    </row>
    <row r="1616" spans="1:13" ht="15" customHeight="1">
      <c r="A1616" s="142" t="s">
        <v>4564</v>
      </c>
      <c r="B1616" s="142">
        <v>514752</v>
      </c>
      <c r="C1616" s="143" t="s">
        <v>4565</v>
      </c>
      <c r="D1616" s="142" t="s">
        <v>3370</v>
      </c>
      <c r="E1616" s="143" t="s">
        <v>3856</v>
      </c>
      <c r="F1616" s="143" t="s">
        <v>4566</v>
      </c>
      <c r="G1616" s="142" t="s">
        <v>109</v>
      </c>
      <c r="H1616" s="142" t="s">
        <v>50</v>
      </c>
      <c r="I1616" s="143" t="s">
        <v>3391</v>
      </c>
      <c r="J1616" s="143" t="s">
        <v>104</v>
      </c>
      <c r="K1616" s="150" t="s">
        <v>5</v>
      </c>
      <c r="L1616" s="145">
        <v>46132</v>
      </c>
      <c r="M1616" s="152" t="s">
        <v>3392</v>
      </c>
    </row>
    <row r="1617" spans="1:13" ht="15" customHeight="1">
      <c r="A1617" s="146" t="s">
        <v>4567</v>
      </c>
      <c r="B1617" s="146">
        <v>514734</v>
      </c>
      <c r="C1617" s="147" t="s">
        <v>4568</v>
      </c>
      <c r="D1617" s="146" t="s">
        <v>3370</v>
      </c>
      <c r="E1617" s="147" t="s">
        <v>3416</v>
      </c>
      <c r="F1617" s="147" t="s">
        <v>4511</v>
      </c>
      <c r="G1617" s="146" t="s">
        <v>102</v>
      </c>
      <c r="H1617" s="146" t="s">
        <v>53</v>
      </c>
      <c r="I1617" s="147" t="s">
        <v>1110</v>
      </c>
      <c r="J1617" s="147" t="s">
        <v>104</v>
      </c>
      <c r="K1617" s="148" t="s">
        <v>121</v>
      </c>
      <c r="L1617" s="149">
        <v>46149</v>
      </c>
      <c r="M1617" s="148"/>
    </row>
    <row r="1618" spans="1:13" ht="15" customHeight="1">
      <c r="A1618" s="142" t="s">
        <v>4569</v>
      </c>
      <c r="B1618" s="142">
        <v>514986</v>
      </c>
      <c r="C1618" s="143" t="s">
        <v>4570</v>
      </c>
      <c r="D1618" s="142" t="s">
        <v>3370</v>
      </c>
      <c r="E1618" s="143" t="s">
        <v>3471</v>
      </c>
      <c r="F1618" s="143" t="s">
        <v>4037</v>
      </c>
      <c r="G1618" s="142" t="s">
        <v>109</v>
      </c>
      <c r="H1618" s="142" t="s">
        <v>53</v>
      </c>
      <c r="I1618" s="143" t="s">
        <v>1110</v>
      </c>
      <c r="J1618" s="143" t="s">
        <v>104</v>
      </c>
      <c r="K1618" s="144" t="s">
        <v>121</v>
      </c>
      <c r="L1618" s="145">
        <v>46148</v>
      </c>
      <c r="M1618" s="144" t="s">
        <v>3421</v>
      </c>
    </row>
    <row r="1619" spans="1:13" ht="15" customHeight="1">
      <c r="A1619" s="146" t="s">
        <v>4571</v>
      </c>
      <c r="B1619" s="146">
        <v>514575</v>
      </c>
      <c r="C1619" s="147" t="s">
        <v>4572</v>
      </c>
      <c r="D1619" s="146" t="s">
        <v>3370</v>
      </c>
      <c r="E1619" s="147" t="s">
        <v>3404</v>
      </c>
      <c r="F1619" s="147" t="s">
        <v>3880</v>
      </c>
      <c r="G1619" s="146" t="s">
        <v>102</v>
      </c>
      <c r="H1619" s="146" t="s">
        <v>53</v>
      </c>
      <c r="I1619" s="147" t="s">
        <v>1110</v>
      </c>
      <c r="J1619" s="147" t="s">
        <v>104</v>
      </c>
      <c r="K1619" s="148"/>
      <c r="L1619" s="149"/>
      <c r="M1619" s="148"/>
    </row>
    <row r="1620" spans="1:13" ht="15" customHeight="1">
      <c r="A1620" s="142" t="s">
        <v>4573</v>
      </c>
      <c r="B1620" s="142">
        <v>514871</v>
      </c>
      <c r="C1620" s="143" t="s">
        <v>4574</v>
      </c>
      <c r="D1620" s="142" t="s">
        <v>3370</v>
      </c>
      <c r="E1620" s="143" t="s">
        <v>3714</v>
      </c>
      <c r="F1620" s="143" t="s">
        <v>3714</v>
      </c>
      <c r="G1620" s="142" t="s">
        <v>109</v>
      </c>
      <c r="H1620" s="142" t="s">
        <v>53</v>
      </c>
      <c r="I1620" s="143" t="s">
        <v>1110</v>
      </c>
      <c r="J1620" s="143" t="s">
        <v>104</v>
      </c>
      <c r="K1620" s="144"/>
      <c r="L1620" s="145"/>
      <c r="M1620" s="144"/>
    </row>
    <row r="1621" spans="1:13" ht="15" customHeight="1">
      <c r="A1621" s="146" t="s">
        <v>4575</v>
      </c>
      <c r="B1621" s="146">
        <v>515174</v>
      </c>
      <c r="C1621" s="147" t="s">
        <v>4576</v>
      </c>
      <c r="D1621" s="146" t="s">
        <v>3370</v>
      </c>
      <c r="E1621" s="147" t="s">
        <v>4050</v>
      </c>
      <c r="F1621" s="147" t="s">
        <v>4275</v>
      </c>
      <c r="G1621" s="146" t="s">
        <v>109</v>
      </c>
      <c r="H1621" s="146" t="s">
        <v>50</v>
      </c>
      <c r="I1621" s="147" t="s">
        <v>3391</v>
      </c>
      <c r="J1621" s="147" t="s">
        <v>104</v>
      </c>
      <c r="K1621" s="150" t="s">
        <v>5</v>
      </c>
      <c r="L1621" s="149">
        <v>46134</v>
      </c>
      <c r="M1621" s="151" t="s">
        <v>3392</v>
      </c>
    </row>
    <row r="1622" spans="1:13" ht="15" customHeight="1">
      <c r="A1622" s="142" t="s">
        <v>4577</v>
      </c>
      <c r="B1622" s="142">
        <v>515317</v>
      </c>
      <c r="C1622" s="143" t="s">
        <v>4578</v>
      </c>
      <c r="D1622" s="142" t="s">
        <v>3370</v>
      </c>
      <c r="E1622" s="143" t="s">
        <v>3664</v>
      </c>
      <c r="F1622" s="143" t="s">
        <v>4579</v>
      </c>
      <c r="G1622" s="142" t="s">
        <v>109</v>
      </c>
      <c r="H1622" s="142" t="s">
        <v>50</v>
      </c>
      <c r="I1622" s="143" t="s">
        <v>1532</v>
      </c>
      <c r="J1622" s="143" t="s">
        <v>104</v>
      </c>
      <c r="K1622" s="144"/>
      <c r="L1622" s="145"/>
      <c r="M1622" s="144"/>
    </row>
    <row r="1623" spans="1:13" ht="15" customHeight="1">
      <c r="A1623" s="146" t="s">
        <v>4580</v>
      </c>
      <c r="B1623" s="146">
        <v>514669</v>
      </c>
      <c r="C1623" s="147" t="s">
        <v>4581</v>
      </c>
      <c r="D1623" s="146" t="s">
        <v>3370</v>
      </c>
      <c r="E1623" s="147" t="s">
        <v>3778</v>
      </c>
      <c r="F1623" s="147" t="s">
        <v>4582</v>
      </c>
      <c r="G1623" s="146" t="s">
        <v>109</v>
      </c>
      <c r="H1623" s="146" t="s">
        <v>50</v>
      </c>
      <c r="I1623" s="147" t="s">
        <v>3391</v>
      </c>
      <c r="J1623" s="147" t="s">
        <v>104</v>
      </c>
      <c r="K1623" s="150" t="s">
        <v>5</v>
      </c>
      <c r="L1623" s="149">
        <v>46132</v>
      </c>
      <c r="M1623" s="151" t="s">
        <v>3392</v>
      </c>
    </row>
    <row r="1624" spans="1:13" ht="15" customHeight="1">
      <c r="A1624" s="142" t="s">
        <v>4583</v>
      </c>
      <c r="B1624" s="142">
        <v>513075</v>
      </c>
      <c r="C1624" s="143" t="s">
        <v>4584</v>
      </c>
      <c r="D1624" s="142" t="s">
        <v>3370</v>
      </c>
      <c r="E1624" s="143" t="s">
        <v>3598</v>
      </c>
      <c r="F1624" s="143" t="s">
        <v>4585</v>
      </c>
      <c r="G1624" s="142" t="s">
        <v>109</v>
      </c>
      <c r="H1624" s="142" t="s">
        <v>53</v>
      </c>
      <c r="I1624" s="143" t="s">
        <v>1110</v>
      </c>
      <c r="J1624" s="143" t="s">
        <v>104</v>
      </c>
      <c r="K1624" s="144"/>
      <c r="L1624" s="145"/>
      <c r="M1624" s="144"/>
    </row>
    <row r="1625" spans="1:13" ht="15" customHeight="1">
      <c r="A1625" s="146" t="s">
        <v>4586</v>
      </c>
      <c r="B1625" s="146">
        <v>514635</v>
      </c>
      <c r="C1625" s="147" t="s">
        <v>4587</v>
      </c>
      <c r="D1625" s="146" t="s">
        <v>3370</v>
      </c>
      <c r="E1625" s="147" t="s">
        <v>3385</v>
      </c>
      <c r="F1625" s="147" t="s">
        <v>2860</v>
      </c>
      <c r="G1625" s="146" t="s">
        <v>102</v>
      </c>
      <c r="H1625" s="146" t="s">
        <v>53</v>
      </c>
      <c r="I1625" s="147" t="s">
        <v>1184</v>
      </c>
      <c r="J1625" s="147" t="s">
        <v>104</v>
      </c>
      <c r="K1625" s="148"/>
      <c r="L1625" s="149"/>
      <c r="M1625" s="148"/>
    </row>
    <row r="1626" spans="1:13" ht="15" customHeight="1">
      <c r="A1626" s="142" t="s">
        <v>4588</v>
      </c>
      <c r="B1626" s="142">
        <v>515254</v>
      </c>
      <c r="C1626" s="143" t="s">
        <v>4589</v>
      </c>
      <c r="D1626" s="142" t="s">
        <v>3370</v>
      </c>
      <c r="E1626" s="143" t="s">
        <v>4050</v>
      </c>
      <c r="F1626" s="143" t="s">
        <v>4590</v>
      </c>
      <c r="G1626" s="142" t="s">
        <v>109</v>
      </c>
      <c r="H1626" s="142" t="s">
        <v>50</v>
      </c>
      <c r="I1626" s="143" t="s">
        <v>3391</v>
      </c>
      <c r="J1626" s="143" t="s">
        <v>104</v>
      </c>
      <c r="K1626" s="144"/>
      <c r="L1626" s="145"/>
      <c r="M1626" s="144"/>
    </row>
    <row r="1627" spans="1:13" ht="15" customHeight="1">
      <c r="A1627" s="146" t="s">
        <v>4591</v>
      </c>
      <c r="B1627" s="146">
        <v>515212</v>
      </c>
      <c r="C1627" s="147" t="s">
        <v>4592</v>
      </c>
      <c r="D1627" s="146" t="s">
        <v>3370</v>
      </c>
      <c r="E1627" s="147" t="s">
        <v>3960</v>
      </c>
      <c r="F1627" s="147" t="s">
        <v>3961</v>
      </c>
      <c r="G1627" s="146" t="s">
        <v>109</v>
      </c>
      <c r="H1627" s="146" t="s">
        <v>50</v>
      </c>
      <c r="I1627" s="147" t="s">
        <v>3391</v>
      </c>
      <c r="J1627" s="147" t="s">
        <v>104</v>
      </c>
      <c r="K1627" s="150" t="s">
        <v>5</v>
      </c>
      <c r="L1627" s="149">
        <v>46100</v>
      </c>
      <c r="M1627" s="151" t="s">
        <v>3392</v>
      </c>
    </row>
    <row r="1628" spans="1:13" ht="15" customHeight="1">
      <c r="A1628" s="142" t="s">
        <v>4593</v>
      </c>
      <c r="B1628" s="142">
        <v>514654</v>
      </c>
      <c r="C1628" s="143" t="s">
        <v>4594</v>
      </c>
      <c r="D1628" s="142" t="s">
        <v>3370</v>
      </c>
      <c r="E1628" s="143" t="s">
        <v>4050</v>
      </c>
      <c r="F1628" s="143" t="s">
        <v>4595</v>
      </c>
      <c r="G1628" s="142" t="s">
        <v>109</v>
      </c>
      <c r="H1628" s="142" t="s">
        <v>50</v>
      </c>
      <c r="I1628" s="143" t="s">
        <v>3391</v>
      </c>
      <c r="J1628" s="143" t="s">
        <v>104</v>
      </c>
      <c r="K1628" s="144" t="s">
        <v>121</v>
      </c>
      <c r="L1628" s="145">
        <v>46140</v>
      </c>
      <c r="M1628" s="144"/>
    </row>
    <row r="1629" spans="1:13" ht="15" customHeight="1">
      <c r="A1629" s="146" t="s">
        <v>4596</v>
      </c>
      <c r="B1629" s="146">
        <v>521631</v>
      </c>
      <c r="C1629" s="147" t="s">
        <v>4597</v>
      </c>
      <c r="D1629" s="146" t="s">
        <v>3370</v>
      </c>
      <c r="E1629" s="147" t="s">
        <v>3822</v>
      </c>
      <c r="F1629" s="147" t="s">
        <v>421</v>
      </c>
      <c r="G1629" s="146" t="s">
        <v>109</v>
      </c>
      <c r="H1629" s="146" t="s">
        <v>50</v>
      </c>
      <c r="I1629" s="147" t="s">
        <v>3391</v>
      </c>
      <c r="J1629" s="147" t="s">
        <v>104</v>
      </c>
      <c r="K1629" s="153" t="s">
        <v>9</v>
      </c>
      <c r="L1629" s="149">
        <v>46101</v>
      </c>
      <c r="M1629" s="151" t="s">
        <v>3392</v>
      </c>
    </row>
    <row r="1630" spans="1:13" ht="15" customHeight="1">
      <c r="A1630" s="142" t="s">
        <v>4598</v>
      </c>
      <c r="B1630" s="142">
        <v>514636</v>
      </c>
      <c r="C1630" s="143" t="s">
        <v>4599</v>
      </c>
      <c r="D1630" s="142" t="s">
        <v>3370</v>
      </c>
      <c r="E1630" s="143" t="s">
        <v>3385</v>
      </c>
      <c r="F1630" s="143" t="s">
        <v>2860</v>
      </c>
      <c r="G1630" s="142" t="s">
        <v>102</v>
      </c>
      <c r="H1630" s="142" t="s">
        <v>53</v>
      </c>
      <c r="I1630" s="143" t="s">
        <v>1184</v>
      </c>
      <c r="J1630" s="143" t="s">
        <v>104</v>
      </c>
      <c r="K1630" s="144"/>
      <c r="L1630" s="145"/>
      <c r="M1630" s="144"/>
    </row>
    <row r="1631" spans="1:13" ht="15" customHeight="1">
      <c r="A1631" s="146" t="s">
        <v>4600</v>
      </c>
      <c r="B1631" s="146">
        <v>515323</v>
      </c>
      <c r="C1631" s="147" t="s">
        <v>4601</v>
      </c>
      <c r="D1631" s="146" t="s">
        <v>3370</v>
      </c>
      <c r="E1631" s="147" t="s">
        <v>4163</v>
      </c>
      <c r="F1631" s="147" t="s">
        <v>4602</v>
      </c>
      <c r="G1631" s="146" t="s">
        <v>109</v>
      </c>
      <c r="H1631" s="146" t="s">
        <v>50</v>
      </c>
      <c r="I1631" s="147" t="s">
        <v>3391</v>
      </c>
      <c r="J1631" s="147" t="s">
        <v>104</v>
      </c>
      <c r="K1631" s="148"/>
      <c r="L1631" s="149"/>
      <c r="M1631" s="148"/>
    </row>
    <row r="1632" spans="1:13" ht="15" customHeight="1">
      <c r="A1632" s="142" t="s">
        <v>4603</v>
      </c>
      <c r="B1632" s="142">
        <v>515065</v>
      </c>
      <c r="C1632" s="143" t="s">
        <v>4604</v>
      </c>
      <c r="D1632" s="142" t="s">
        <v>3370</v>
      </c>
      <c r="E1632" s="143" t="s">
        <v>3481</v>
      </c>
      <c r="F1632" s="143" t="s">
        <v>3482</v>
      </c>
      <c r="G1632" s="142" t="s">
        <v>102</v>
      </c>
      <c r="H1632" s="142" t="s">
        <v>53</v>
      </c>
      <c r="I1632" s="143" t="s">
        <v>1110</v>
      </c>
      <c r="J1632" s="143" t="s">
        <v>104</v>
      </c>
      <c r="K1632" s="144"/>
      <c r="L1632" s="145"/>
      <c r="M1632" s="144"/>
    </row>
    <row r="1633" spans="1:13" ht="15" customHeight="1">
      <c r="A1633" s="146" t="s">
        <v>4605</v>
      </c>
      <c r="B1633" s="146">
        <v>514714</v>
      </c>
      <c r="C1633" s="147" t="s">
        <v>4606</v>
      </c>
      <c r="D1633" s="146" t="s">
        <v>3370</v>
      </c>
      <c r="E1633" s="147" t="s">
        <v>3644</v>
      </c>
      <c r="F1633" s="147" t="s">
        <v>4607</v>
      </c>
      <c r="G1633" s="146" t="s">
        <v>109</v>
      </c>
      <c r="H1633" s="146" t="s">
        <v>53</v>
      </c>
      <c r="I1633" s="147" t="s">
        <v>1110</v>
      </c>
      <c r="J1633" s="147" t="s">
        <v>104</v>
      </c>
      <c r="K1633" s="148"/>
      <c r="L1633" s="149"/>
      <c r="M1633" s="148"/>
    </row>
    <row r="1634" spans="1:13" ht="15" customHeight="1">
      <c r="A1634" s="142" t="s">
        <v>4608</v>
      </c>
      <c r="B1634" s="142">
        <v>515153</v>
      </c>
      <c r="C1634" s="143" t="s">
        <v>4609</v>
      </c>
      <c r="D1634" s="142" t="s">
        <v>3370</v>
      </c>
      <c r="E1634" s="143" t="s">
        <v>3460</v>
      </c>
      <c r="F1634" s="143" t="s">
        <v>4199</v>
      </c>
      <c r="G1634" s="142" t="s">
        <v>109</v>
      </c>
      <c r="H1634" s="142" t="s">
        <v>53</v>
      </c>
      <c r="I1634" s="143" t="s">
        <v>1110</v>
      </c>
      <c r="J1634" s="143" t="s">
        <v>104</v>
      </c>
      <c r="K1634" s="144"/>
      <c r="L1634" s="145"/>
      <c r="M1634" s="144"/>
    </row>
    <row r="1635" spans="1:13" ht="15" customHeight="1">
      <c r="A1635" s="146" t="s">
        <v>4610</v>
      </c>
      <c r="B1635" s="146">
        <v>514649</v>
      </c>
      <c r="C1635" s="147" t="s">
        <v>4611</v>
      </c>
      <c r="D1635" s="146" t="s">
        <v>3370</v>
      </c>
      <c r="E1635" s="147" t="s">
        <v>3762</v>
      </c>
      <c r="F1635" s="147" t="s">
        <v>4612</v>
      </c>
      <c r="G1635" s="146" t="s">
        <v>109</v>
      </c>
      <c r="H1635" s="146" t="s">
        <v>53</v>
      </c>
      <c r="I1635" s="147" t="s">
        <v>1184</v>
      </c>
      <c r="J1635" s="147" t="s">
        <v>104</v>
      </c>
      <c r="K1635" s="148"/>
      <c r="L1635" s="149"/>
      <c r="M1635" s="148"/>
    </row>
    <row r="1636" spans="1:13" ht="15" customHeight="1">
      <c r="A1636" s="142" t="s">
        <v>4613</v>
      </c>
      <c r="B1636" s="142">
        <v>514558</v>
      </c>
      <c r="C1636" s="143" t="s">
        <v>4614</v>
      </c>
      <c r="D1636" s="142" t="s">
        <v>3370</v>
      </c>
      <c r="E1636" s="143" t="s">
        <v>3131</v>
      </c>
      <c r="F1636" s="143" t="s">
        <v>4615</v>
      </c>
      <c r="G1636" s="142" t="s">
        <v>102</v>
      </c>
      <c r="H1636" s="142" t="s">
        <v>53</v>
      </c>
      <c r="I1636" s="143" t="s">
        <v>1184</v>
      </c>
      <c r="J1636" s="143" t="s">
        <v>104</v>
      </c>
      <c r="K1636" s="144"/>
      <c r="L1636" s="145"/>
      <c r="M1636" s="144"/>
    </row>
    <row r="1637" spans="1:13" ht="15" customHeight="1">
      <c r="A1637" s="146" t="s">
        <v>4616</v>
      </c>
      <c r="B1637" s="146">
        <v>515278</v>
      </c>
      <c r="C1637" s="147" t="s">
        <v>4617</v>
      </c>
      <c r="D1637" s="146" t="s">
        <v>3370</v>
      </c>
      <c r="E1637" s="147" t="s">
        <v>4057</v>
      </c>
      <c r="F1637" s="147" t="s">
        <v>2106</v>
      </c>
      <c r="G1637" s="146" t="s">
        <v>109</v>
      </c>
      <c r="H1637" s="146" t="s">
        <v>50</v>
      </c>
      <c r="I1637" s="147" t="s">
        <v>3391</v>
      </c>
      <c r="J1637" s="147" t="s">
        <v>104</v>
      </c>
      <c r="K1637" s="148"/>
      <c r="L1637" s="149"/>
      <c r="M1637" s="148"/>
    </row>
    <row r="1638" spans="1:13" ht="15" customHeight="1">
      <c r="A1638" s="142" t="s">
        <v>4618</v>
      </c>
      <c r="B1638" s="142">
        <v>515169</v>
      </c>
      <c r="C1638" s="143" t="s">
        <v>4619</v>
      </c>
      <c r="D1638" s="142" t="s">
        <v>3370</v>
      </c>
      <c r="E1638" s="143" t="s">
        <v>3615</v>
      </c>
      <c r="F1638" s="143" t="s">
        <v>4354</v>
      </c>
      <c r="G1638" s="142" t="s">
        <v>109</v>
      </c>
      <c r="H1638" s="142" t="s">
        <v>53</v>
      </c>
      <c r="I1638" s="143" t="s">
        <v>1110</v>
      </c>
      <c r="J1638" s="143" t="s">
        <v>104</v>
      </c>
      <c r="K1638" s="144"/>
      <c r="L1638" s="145"/>
      <c r="M1638" s="144"/>
    </row>
    <row r="1639" spans="1:13" ht="15" customHeight="1">
      <c r="A1639" s="146" t="s">
        <v>4620</v>
      </c>
      <c r="B1639" s="146">
        <v>515290</v>
      </c>
      <c r="C1639" s="147" t="s">
        <v>4621</v>
      </c>
      <c r="D1639" s="146" t="s">
        <v>3370</v>
      </c>
      <c r="E1639" s="147" t="s">
        <v>3832</v>
      </c>
      <c r="F1639" s="147" t="s">
        <v>3836</v>
      </c>
      <c r="G1639" s="146" t="s">
        <v>109</v>
      </c>
      <c r="H1639" s="146" t="s">
        <v>50</v>
      </c>
      <c r="I1639" s="147" t="s">
        <v>3391</v>
      </c>
      <c r="J1639" s="147" t="s">
        <v>104</v>
      </c>
      <c r="K1639" s="150" t="s">
        <v>5</v>
      </c>
      <c r="L1639" s="149">
        <v>46125</v>
      </c>
      <c r="M1639" s="151" t="s">
        <v>3392</v>
      </c>
    </row>
    <row r="1640" spans="1:13" ht="15" customHeight="1">
      <c r="A1640" s="142" t="s">
        <v>4622</v>
      </c>
      <c r="B1640" s="142">
        <v>515282</v>
      </c>
      <c r="C1640" s="143" t="s">
        <v>4623</v>
      </c>
      <c r="D1640" s="142" t="s">
        <v>3370</v>
      </c>
      <c r="E1640" s="143" t="s">
        <v>3753</v>
      </c>
      <c r="F1640" s="143" t="s">
        <v>3886</v>
      </c>
      <c r="G1640" s="142" t="s">
        <v>109</v>
      </c>
      <c r="H1640" s="142" t="s">
        <v>50</v>
      </c>
      <c r="I1640" s="143" t="s">
        <v>3391</v>
      </c>
      <c r="J1640" s="143" t="s">
        <v>104</v>
      </c>
      <c r="K1640" s="144" t="s">
        <v>121</v>
      </c>
      <c r="L1640" s="145">
        <v>46149</v>
      </c>
      <c r="M1640" s="144"/>
    </row>
    <row r="1641" spans="1:13" ht="15" customHeight="1">
      <c r="A1641" s="146" t="s">
        <v>4624</v>
      </c>
      <c r="B1641" s="146">
        <v>514806</v>
      </c>
      <c r="C1641" s="147" t="s">
        <v>4625</v>
      </c>
      <c r="D1641" s="146" t="s">
        <v>3370</v>
      </c>
      <c r="E1641" s="147" t="s">
        <v>1244</v>
      </c>
      <c r="F1641" s="147" t="s">
        <v>3948</v>
      </c>
      <c r="G1641" s="146" t="s">
        <v>109</v>
      </c>
      <c r="H1641" s="146" t="s">
        <v>53</v>
      </c>
      <c r="I1641" s="147" t="s">
        <v>1184</v>
      </c>
      <c r="J1641" s="147" t="s">
        <v>104</v>
      </c>
      <c r="K1641" s="148"/>
      <c r="L1641" s="149"/>
      <c r="M1641" s="148"/>
    </row>
    <row r="1642" spans="1:13" ht="15" customHeight="1">
      <c r="A1642" s="142" t="s">
        <v>4626</v>
      </c>
      <c r="B1642" s="142">
        <v>515319</v>
      </c>
      <c r="C1642" s="143" t="s">
        <v>4627</v>
      </c>
      <c r="D1642" s="142" t="s">
        <v>3370</v>
      </c>
      <c r="E1642" s="143" t="s">
        <v>3664</v>
      </c>
      <c r="F1642" s="143" t="s">
        <v>3548</v>
      </c>
      <c r="G1642" s="142" t="s">
        <v>109</v>
      </c>
      <c r="H1642" s="142" t="s">
        <v>50</v>
      </c>
      <c r="I1642" s="143" t="s">
        <v>1532</v>
      </c>
      <c r="J1642" s="143" t="s">
        <v>104</v>
      </c>
      <c r="K1642" s="144" t="s">
        <v>121</v>
      </c>
      <c r="L1642" s="145">
        <v>46147</v>
      </c>
      <c r="M1642" s="144"/>
    </row>
    <row r="1643" spans="1:13" ht="15" customHeight="1">
      <c r="A1643" s="146" t="s">
        <v>4628</v>
      </c>
      <c r="B1643" s="146">
        <v>515238</v>
      </c>
      <c r="C1643" s="147" t="s">
        <v>4629</v>
      </c>
      <c r="D1643" s="146" t="s">
        <v>3370</v>
      </c>
      <c r="E1643" s="147" t="s">
        <v>4050</v>
      </c>
      <c r="F1643" s="147" t="s">
        <v>2103</v>
      </c>
      <c r="G1643" s="146" t="s">
        <v>109</v>
      </c>
      <c r="H1643" s="146" t="s">
        <v>50</v>
      </c>
      <c r="I1643" s="147" t="s">
        <v>3391</v>
      </c>
      <c r="J1643" s="147" t="s">
        <v>104</v>
      </c>
      <c r="K1643" s="148"/>
      <c r="L1643" s="149"/>
      <c r="M1643" s="148"/>
    </row>
    <row r="1644" spans="1:13" ht="15" customHeight="1">
      <c r="A1644" s="142" t="s">
        <v>4630</v>
      </c>
      <c r="B1644" s="142">
        <v>515296</v>
      </c>
      <c r="C1644" s="143" t="s">
        <v>4631</v>
      </c>
      <c r="D1644" s="142" t="s">
        <v>3370</v>
      </c>
      <c r="E1644" s="143" t="s">
        <v>3735</v>
      </c>
      <c r="F1644" s="143" t="s">
        <v>4632</v>
      </c>
      <c r="G1644" s="142" t="s">
        <v>109</v>
      </c>
      <c r="H1644" s="142" t="s">
        <v>50</v>
      </c>
      <c r="I1644" s="143" t="s">
        <v>3391</v>
      </c>
      <c r="J1644" s="143" t="s">
        <v>104</v>
      </c>
      <c r="K1644" s="144" t="s">
        <v>121</v>
      </c>
      <c r="L1644" s="145">
        <v>46149</v>
      </c>
      <c r="M1644" s="144"/>
    </row>
    <row r="1645" spans="1:13" ht="15" customHeight="1">
      <c r="A1645" s="146" t="s">
        <v>4633</v>
      </c>
      <c r="B1645" s="146">
        <v>515261</v>
      </c>
      <c r="C1645" s="147" t="s">
        <v>4634</v>
      </c>
      <c r="D1645" s="146" t="s">
        <v>3370</v>
      </c>
      <c r="E1645" s="147" t="s">
        <v>3699</v>
      </c>
      <c r="F1645" s="147" t="s">
        <v>4635</v>
      </c>
      <c r="G1645" s="146" t="s">
        <v>109</v>
      </c>
      <c r="H1645" s="146" t="s">
        <v>50</v>
      </c>
      <c r="I1645" s="147" t="s">
        <v>3391</v>
      </c>
      <c r="J1645" s="147" t="s">
        <v>104</v>
      </c>
      <c r="K1645" s="148" t="s">
        <v>121</v>
      </c>
      <c r="L1645" s="149">
        <v>46148</v>
      </c>
      <c r="M1645" s="148"/>
    </row>
    <row r="1646" spans="1:13" ht="15" customHeight="1">
      <c r="A1646" s="142" t="s">
        <v>4636</v>
      </c>
      <c r="B1646" s="142">
        <v>515205</v>
      </c>
      <c r="C1646" s="143" t="s">
        <v>4637</v>
      </c>
      <c r="D1646" s="142" t="s">
        <v>3370</v>
      </c>
      <c r="E1646" s="143" t="s">
        <v>3481</v>
      </c>
      <c r="F1646" s="143" t="s">
        <v>3482</v>
      </c>
      <c r="G1646" s="142" t="s">
        <v>109</v>
      </c>
      <c r="H1646" s="142" t="s">
        <v>53</v>
      </c>
      <c r="I1646" s="143" t="s">
        <v>1110</v>
      </c>
      <c r="J1646" s="143" t="s">
        <v>104</v>
      </c>
      <c r="K1646" s="144"/>
      <c r="L1646" s="145"/>
      <c r="M1646" s="144"/>
    </row>
    <row r="1647" spans="1:13" ht="15" customHeight="1">
      <c r="A1647" s="146" t="s">
        <v>4638</v>
      </c>
      <c r="B1647" s="146">
        <v>515336</v>
      </c>
      <c r="C1647" s="147" t="s">
        <v>4516</v>
      </c>
      <c r="D1647" s="146" t="s">
        <v>3370</v>
      </c>
      <c r="E1647" s="147" t="s">
        <v>3770</v>
      </c>
      <c r="F1647" s="147" t="s">
        <v>4517</v>
      </c>
      <c r="G1647" s="146" t="s">
        <v>109</v>
      </c>
      <c r="H1647" s="146" t="s">
        <v>53</v>
      </c>
      <c r="I1647" s="147" t="s">
        <v>1184</v>
      </c>
      <c r="J1647" s="147" t="s">
        <v>104</v>
      </c>
      <c r="K1647" s="148"/>
      <c r="L1647" s="149"/>
      <c r="M1647" s="148"/>
    </row>
    <row r="1648" spans="1:13" ht="15" customHeight="1">
      <c r="A1648" s="142" t="s">
        <v>4639</v>
      </c>
      <c r="B1648" s="142">
        <v>515313</v>
      </c>
      <c r="C1648" s="143" t="s">
        <v>4640</v>
      </c>
      <c r="D1648" s="142" t="s">
        <v>3370</v>
      </c>
      <c r="E1648" s="143" t="s">
        <v>3889</v>
      </c>
      <c r="F1648" s="143" t="s">
        <v>4641</v>
      </c>
      <c r="G1648" s="142" t="s">
        <v>109</v>
      </c>
      <c r="H1648" s="142" t="s">
        <v>50</v>
      </c>
      <c r="I1648" s="143" t="s">
        <v>3391</v>
      </c>
      <c r="J1648" s="143" t="s">
        <v>104</v>
      </c>
      <c r="K1648" s="150" t="s">
        <v>5</v>
      </c>
      <c r="L1648" s="145">
        <v>46104</v>
      </c>
      <c r="M1648" s="152" t="s">
        <v>3392</v>
      </c>
    </row>
    <row r="1649" spans="1:13" ht="15" customHeight="1">
      <c r="A1649" s="146" t="s">
        <v>4642</v>
      </c>
      <c r="B1649" s="146">
        <v>514685</v>
      </c>
      <c r="C1649" s="147" t="s">
        <v>3597</v>
      </c>
      <c r="D1649" s="146" t="s">
        <v>3370</v>
      </c>
      <c r="E1649" s="147" t="s">
        <v>324</v>
      </c>
      <c r="F1649" s="147" t="s">
        <v>3641</v>
      </c>
      <c r="G1649" s="146" t="s">
        <v>102</v>
      </c>
      <c r="H1649" s="146" t="s">
        <v>53</v>
      </c>
      <c r="I1649" s="147" t="s">
        <v>1110</v>
      </c>
      <c r="J1649" s="147" t="s">
        <v>104</v>
      </c>
      <c r="K1649" s="148" t="s">
        <v>121</v>
      </c>
      <c r="L1649" s="149">
        <v>46149</v>
      </c>
      <c r="M1649" s="148" t="s">
        <v>3473</v>
      </c>
    </row>
    <row r="1650" spans="1:13" ht="15" customHeight="1">
      <c r="A1650" s="142" t="s">
        <v>4643</v>
      </c>
      <c r="B1650" s="142">
        <v>515071</v>
      </c>
      <c r="C1650" s="143" t="s">
        <v>4644</v>
      </c>
      <c r="D1650" s="142" t="s">
        <v>3370</v>
      </c>
      <c r="E1650" s="143" t="s">
        <v>3481</v>
      </c>
      <c r="F1650" s="143" t="s">
        <v>3482</v>
      </c>
      <c r="G1650" s="142" t="s">
        <v>109</v>
      </c>
      <c r="H1650" s="142" t="s">
        <v>53</v>
      </c>
      <c r="I1650" s="143" t="s">
        <v>1110</v>
      </c>
      <c r="J1650" s="143" t="s">
        <v>104</v>
      </c>
      <c r="K1650" s="144"/>
      <c r="L1650" s="145"/>
      <c r="M1650" s="144"/>
    </row>
    <row r="1651" spans="1:13" ht="15" customHeight="1">
      <c r="A1651" s="146" t="s">
        <v>4645</v>
      </c>
      <c r="B1651" s="146">
        <v>515195</v>
      </c>
      <c r="C1651" s="147" t="s">
        <v>4646</v>
      </c>
      <c r="D1651" s="146" t="s">
        <v>3370</v>
      </c>
      <c r="E1651" s="147" t="s">
        <v>3703</v>
      </c>
      <c r="F1651" s="147" t="s">
        <v>4647</v>
      </c>
      <c r="G1651" s="146" t="s">
        <v>109</v>
      </c>
      <c r="H1651" s="146" t="s">
        <v>53</v>
      </c>
      <c r="I1651" s="147" t="s">
        <v>1110</v>
      </c>
      <c r="J1651" s="147" t="s">
        <v>104</v>
      </c>
      <c r="K1651" s="148"/>
      <c r="L1651" s="149"/>
      <c r="M1651" s="148"/>
    </row>
    <row r="1652" spans="1:13" ht="15" customHeight="1">
      <c r="A1652" s="142" t="s">
        <v>4648</v>
      </c>
      <c r="B1652" s="142">
        <v>514660</v>
      </c>
      <c r="C1652" s="143" t="s">
        <v>4649</v>
      </c>
      <c r="D1652" s="142" t="s">
        <v>3370</v>
      </c>
      <c r="E1652" s="143" t="s">
        <v>3371</v>
      </c>
      <c r="F1652" s="143" t="s">
        <v>3547</v>
      </c>
      <c r="G1652" s="142" t="s">
        <v>109</v>
      </c>
      <c r="H1652" s="142" t="s">
        <v>53</v>
      </c>
      <c r="I1652" s="143" t="s">
        <v>1110</v>
      </c>
      <c r="J1652" s="143" t="s">
        <v>104</v>
      </c>
      <c r="K1652" s="144" t="s">
        <v>121</v>
      </c>
      <c r="L1652" s="145">
        <v>46149</v>
      </c>
      <c r="M1652" s="144"/>
    </row>
    <row r="1653" spans="1:13" ht="15" customHeight="1">
      <c r="A1653" s="146" t="s">
        <v>4650</v>
      </c>
      <c r="B1653" s="146">
        <v>514618</v>
      </c>
      <c r="C1653" s="147" t="s">
        <v>4651</v>
      </c>
      <c r="D1653" s="146" t="s">
        <v>3370</v>
      </c>
      <c r="E1653" s="147" t="s">
        <v>3385</v>
      </c>
      <c r="F1653" s="147" t="s">
        <v>4652</v>
      </c>
      <c r="G1653" s="146" t="s">
        <v>109</v>
      </c>
      <c r="H1653" s="146" t="s">
        <v>53</v>
      </c>
      <c r="I1653" s="147" t="s">
        <v>1184</v>
      </c>
      <c r="J1653" s="147" t="s">
        <v>104</v>
      </c>
      <c r="K1653" s="148" t="s">
        <v>121</v>
      </c>
      <c r="L1653" s="149">
        <v>46149</v>
      </c>
      <c r="M1653" s="148"/>
    </row>
    <row r="1654" spans="1:13" ht="15" customHeight="1">
      <c r="A1654" s="142" t="s">
        <v>4653</v>
      </c>
      <c r="B1654" s="142">
        <v>515259</v>
      </c>
      <c r="C1654" s="143" t="s">
        <v>4654</v>
      </c>
      <c r="D1654" s="142" t="s">
        <v>3370</v>
      </c>
      <c r="E1654" s="143" t="s">
        <v>3971</v>
      </c>
      <c r="F1654" s="143" t="s">
        <v>3975</v>
      </c>
      <c r="G1654" s="142" t="s">
        <v>109</v>
      </c>
      <c r="H1654" s="142" t="s">
        <v>50</v>
      </c>
      <c r="I1654" s="143" t="s">
        <v>3391</v>
      </c>
      <c r="J1654" s="143" t="s">
        <v>104</v>
      </c>
      <c r="K1654" s="144" t="s">
        <v>121</v>
      </c>
      <c r="L1654" s="145">
        <v>46141</v>
      </c>
      <c r="M1654" s="144"/>
    </row>
    <row r="1655" spans="1:13" ht="15" customHeight="1">
      <c r="A1655" s="146" t="s">
        <v>4655</v>
      </c>
      <c r="B1655" s="146">
        <v>514937</v>
      </c>
      <c r="C1655" s="147" t="s">
        <v>4656</v>
      </c>
      <c r="D1655" s="146" t="s">
        <v>3370</v>
      </c>
      <c r="E1655" s="147" t="s">
        <v>3576</v>
      </c>
      <c r="F1655" s="147" t="s">
        <v>4657</v>
      </c>
      <c r="G1655" s="146" t="s">
        <v>109</v>
      </c>
      <c r="H1655" s="146" t="s">
        <v>53</v>
      </c>
      <c r="I1655" s="147" t="s">
        <v>1110</v>
      </c>
      <c r="J1655" s="147" t="s">
        <v>104</v>
      </c>
      <c r="K1655" s="148"/>
      <c r="L1655" s="149"/>
      <c r="M1655" s="148"/>
    </row>
    <row r="1656" spans="1:13" ht="15" customHeight="1">
      <c r="A1656" s="142" t="s">
        <v>4658</v>
      </c>
      <c r="B1656" s="142">
        <v>514687</v>
      </c>
      <c r="C1656" s="143" t="s">
        <v>4659</v>
      </c>
      <c r="D1656" s="142" t="s">
        <v>3370</v>
      </c>
      <c r="E1656" s="143" t="s">
        <v>3404</v>
      </c>
      <c r="F1656" s="143" t="s">
        <v>4465</v>
      </c>
      <c r="G1656" s="142" t="s">
        <v>102</v>
      </c>
      <c r="H1656" s="142" t="s">
        <v>53</v>
      </c>
      <c r="I1656" s="143" t="s">
        <v>1110</v>
      </c>
      <c r="J1656" s="143" t="s">
        <v>104</v>
      </c>
      <c r="K1656" s="144"/>
      <c r="L1656" s="145"/>
      <c r="M1656" s="144"/>
    </row>
    <row r="1657" spans="1:13" ht="15" customHeight="1">
      <c r="A1657" s="146" t="s">
        <v>4660</v>
      </c>
      <c r="B1657" s="146">
        <v>514872</v>
      </c>
      <c r="C1657" s="147" t="s">
        <v>4661</v>
      </c>
      <c r="D1657" s="146" t="s">
        <v>3370</v>
      </c>
      <c r="E1657" s="147" t="s">
        <v>3561</v>
      </c>
      <c r="F1657" s="147" t="s">
        <v>4662</v>
      </c>
      <c r="G1657" s="146" t="s">
        <v>102</v>
      </c>
      <c r="H1657" s="146" t="s">
        <v>53</v>
      </c>
      <c r="I1657" s="147" t="s">
        <v>1110</v>
      </c>
      <c r="J1657" s="147" t="s">
        <v>104</v>
      </c>
      <c r="K1657" s="148"/>
      <c r="L1657" s="149"/>
      <c r="M1657" s="148"/>
    </row>
    <row r="1658" spans="1:13" ht="15" customHeight="1">
      <c r="A1658" s="142" t="s">
        <v>4663</v>
      </c>
      <c r="B1658" s="142">
        <v>514698</v>
      </c>
      <c r="C1658" s="143" t="s">
        <v>4664</v>
      </c>
      <c r="D1658" s="142" t="s">
        <v>3370</v>
      </c>
      <c r="E1658" s="143" t="s">
        <v>3404</v>
      </c>
      <c r="F1658" s="143" t="s">
        <v>4665</v>
      </c>
      <c r="G1658" s="142" t="s">
        <v>109</v>
      </c>
      <c r="H1658" s="142" t="s">
        <v>53</v>
      </c>
      <c r="I1658" s="143" t="s">
        <v>1110</v>
      </c>
      <c r="J1658" s="143" t="s">
        <v>104</v>
      </c>
      <c r="K1658" s="144"/>
      <c r="L1658" s="145"/>
      <c r="M1658" s="144"/>
    </row>
    <row r="1659" spans="1:13" ht="15" customHeight="1">
      <c r="A1659" s="146" t="s">
        <v>4666</v>
      </c>
      <c r="B1659" s="146">
        <v>514726</v>
      </c>
      <c r="C1659" s="147" t="s">
        <v>4667</v>
      </c>
      <c r="D1659" s="146" t="s">
        <v>3370</v>
      </c>
      <c r="E1659" s="147" t="s">
        <v>3404</v>
      </c>
      <c r="F1659" s="147" t="s">
        <v>4668</v>
      </c>
      <c r="G1659" s="146" t="s">
        <v>102</v>
      </c>
      <c r="H1659" s="146" t="s">
        <v>53</v>
      </c>
      <c r="I1659" s="147" t="s">
        <v>1110</v>
      </c>
      <c r="J1659" s="147" t="s">
        <v>104</v>
      </c>
      <c r="K1659" s="148"/>
      <c r="L1659" s="149"/>
      <c r="M1659" s="148"/>
    </row>
    <row r="1660" spans="1:13" ht="15" customHeight="1">
      <c r="A1660" s="142" t="s">
        <v>4669</v>
      </c>
      <c r="B1660" s="142">
        <v>515103</v>
      </c>
      <c r="C1660" s="143" t="s">
        <v>4670</v>
      </c>
      <c r="D1660" s="142" t="s">
        <v>3370</v>
      </c>
      <c r="E1660" s="143" t="s">
        <v>3517</v>
      </c>
      <c r="F1660" s="143" t="s">
        <v>4160</v>
      </c>
      <c r="G1660" s="142" t="s">
        <v>109</v>
      </c>
      <c r="H1660" s="142" t="s">
        <v>53</v>
      </c>
      <c r="I1660" s="143" t="s">
        <v>1110</v>
      </c>
      <c r="J1660" s="143" t="s">
        <v>104</v>
      </c>
      <c r="K1660" s="144"/>
      <c r="L1660" s="145"/>
      <c r="M1660" s="144"/>
    </row>
    <row r="1661" spans="1:13" ht="15" customHeight="1">
      <c r="A1661" s="146" t="s">
        <v>4671</v>
      </c>
      <c r="B1661" s="146">
        <v>514893</v>
      </c>
      <c r="C1661" s="147" t="s">
        <v>4672</v>
      </c>
      <c r="D1661" s="146" t="s">
        <v>3370</v>
      </c>
      <c r="E1661" s="147" t="s">
        <v>3416</v>
      </c>
      <c r="F1661" s="147" t="s">
        <v>4673</v>
      </c>
      <c r="G1661" s="146" t="s">
        <v>109</v>
      </c>
      <c r="H1661" s="146" t="s">
        <v>53</v>
      </c>
      <c r="I1661" s="147" t="s">
        <v>1110</v>
      </c>
      <c r="J1661" s="147" t="s">
        <v>104</v>
      </c>
      <c r="K1661" s="148" t="s">
        <v>121</v>
      </c>
      <c r="L1661" s="149">
        <v>46149</v>
      </c>
      <c r="M1661" s="148"/>
    </row>
    <row r="1662" spans="1:13" ht="15" customHeight="1">
      <c r="A1662" s="142" t="s">
        <v>4674</v>
      </c>
      <c r="B1662" s="142">
        <v>515230</v>
      </c>
      <c r="C1662" s="143" t="s">
        <v>4675</v>
      </c>
      <c r="D1662" s="142" t="s">
        <v>3370</v>
      </c>
      <c r="E1662" s="143" t="s">
        <v>3753</v>
      </c>
      <c r="F1662" s="143" t="s">
        <v>4676</v>
      </c>
      <c r="G1662" s="142" t="s">
        <v>109</v>
      </c>
      <c r="H1662" s="142" t="s">
        <v>50</v>
      </c>
      <c r="I1662" s="143" t="s">
        <v>3391</v>
      </c>
      <c r="J1662" s="143" t="s">
        <v>104</v>
      </c>
      <c r="K1662" s="144" t="s">
        <v>121</v>
      </c>
      <c r="L1662" s="145">
        <v>46150</v>
      </c>
      <c r="M1662" s="144"/>
    </row>
    <row r="1663" spans="1:13" ht="15" customHeight="1">
      <c r="A1663" s="146" t="s">
        <v>4677</v>
      </c>
      <c r="B1663" s="146">
        <v>514780</v>
      </c>
      <c r="C1663" s="147" t="s">
        <v>4678</v>
      </c>
      <c r="D1663" s="146" t="s">
        <v>3370</v>
      </c>
      <c r="E1663" s="147" t="s">
        <v>3416</v>
      </c>
      <c r="F1663" s="147" t="s">
        <v>3416</v>
      </c>
      <c r="G1663" s="146" t="s">
        <v>102</v>
      </c>
      <c r="H1663" s="146" t="s">
        <v>53</v>
      </c>
      <c r="I1663" s="147" t="s">
        <v>1110</v>
      </c>
      <c r="J1663" s="147" t="s">
        <v>104</v>
      </c>
      <c r="K1663" s="148"/>
      <c r="L1663" s="149"/>
      <c r="M1663" s="148"/>
    </row>
    <row r="1664" spans="1:13" ht="15" customHeight="1">
      <c r="A1664" s="142" t="s">
        <v>4679</v>
      </c>
      <c r="B1664" s="142">
        <v>521702</v>
      </c>
      <c r="C1664" s="143" t="s">
        <v>4680</v>
      </c>
      <c r="D1664" s="142" t="s">
        <v>3370</v>
      </c>
      <c r="E1664" s="143" t="s">
        <v>324</v>
      </c>
      <c r="F1664" s="143" t="s">
        <v>4681</v>
      </c>
      <c r="G1664" s="142" t="s">
        <v>109</v>
      </c>
      <c r="H1664" s="142" t="s">
        <v>53</v>
      </c>
      <c r="I1664" s="143" t="s">
        <v>1110</v>
      </c>
      <c r="J1664" s="143" t="s">
        <v>104</v>
      </c>
      <c r="K1664" s="144"/>
      <c r="L1664" s="145"/>
      <c r="M1664" s="144"/>
    </row>
    <row r="1665" spans="1:13" ht="15" customHeight="1">
      <c r="A1665" s="146" t="s">
        <v>4682</v>
      </c>
      <c r="B1665" s="146">
        <v>515274</v>
      </c>
      <c r="C1665" s="147" t="s">
        <v>4683</v>
      </c>
      <c r="D1665" s="146" t="s">
        <v>3370</v>
      </c>
      <c r="E1665" s="147" t="s">
        <v>3990</v>
      </c>
      <c r="F1665" s="147" t="s">
        <v>4684</v>
      </c>
      <c r="G1665" s="146" t="s">
        <v>109</v>
      </c>
      <c r="H1665" s="146" t="s">
        <v>50</v>
      </c>
      <c r="I1665" s="147" t="s">
        <v>3391</v>
      </c>
      <c r="J1665" s="147" t="s">
        <v>104</v>
      </c>
      <c r="K1665" s="150" t="s">
        <v>5</v>
      </c>
      <c r="L1665" s="149">
        <v>46127</v>
      </c>
      <c r="M1665" s="151" t="s">
        <v>3392</v>
      </c>
    </row>
    <row r="1666" spans="1:13" ht="15" customHeight="1">
      <c r="A1666" s="142" t="s">
        <v>4685</v>
      </c>
      <c r="B1666" s="142">
        <v>514680</v>
      </c>
      <c r="C1666" s="143" t="s">
        <v>4686</v>
      </c>
      <c r="D1666" s="142" t="s">
        <v>3370</v>
      </c>
      <c r="E1666" s="143" t="s">
        <v>3395</v>
      </c>
      <c r="F1666" s="143" t="s">
        <v>4687</v>
      </c>
      <c r="G1666" s="142" t="s">
        <v>102</v>
      </c>
      <c r="H1666" s="142" t="s">
        <v>53</v>
      </c>
      <c r="I1666" s="143" t="s">
        <v>1110</v>
      </c>
      <c r="J1666" s="143" t="s">
        <v>104</v>
      </c>
      <c r="K1666" s="144"/>
      <c r="L1666" s="145"/>
      <c r="M1666" s="144"/>
    </row>
    <row r="1667" spans="1:13" ht="15" customHeight="1">
      <c r="A1667" s="146" t="s">
        <v>4688</v>
      </c>
      <c r="B1667" s="146">
        <v>515533</v>
      </c>
      <c r="C1667" s="147" t="s">
        <v>4689</v>
      </c>
      <c r="D1667" s="146" t="s">
        <v>4690</v>
      </c>
      <c r="E1667" s="147" t="s">
        <v>4691</v>
      </c>
      <c r="F1667" s="147" t="s">
        <v>4692</v>
      </c>
      <c r="G1667" s="146" t="s">
        <v>109</v>
      </c>
      <c r="H1667" s="146" t="s">
        <v>51</v>
      </c>
      <c r="I1667" s="147" t="s">
        <v>4693</v>
      </c>
      <c r="J1667" s="147" t="s">
        <v>104</v>
      </c>
      <c r="K1667" s="148" t="s">
        <v>121</v>
      </c>
      <c r="L1667" s="149">
        <v>46149</v>
      </c>
      <c r="M1667" s="148"/>
    </row>
    <row r="1668" spans="1:13" ht="15" customHeight="1">
      <c r="A1668" s="142" t="s">
        <v>4694</v>
      </c>
      <c r="B1668" s="142">
        <v>515669</v>
      </c>
      <c r="C1668" s="143" t="s">
        <v>4695</v>
      </c>
      <c r="D1668" s="142" t="s">
        <v>4690</v>
      </c>
      <c r="E1668" s="143" t="s">
        <v>4696</v>
      </c>
      <c r="F1668" s="143" t="s">
        <v>4697</v>
      </c>
      <c r="G1668" s="142" t="s">
        <v>109</v>
      </c>
      <c r="H1668" s="142" t="s">
        <v>51</v>
      </c>
      <c r="I1668" s="143" t="s">
        <v>4693</v>
      </c>
      <c r="J1668" s="143" t="s">
        <v>104</v>
      </c>
      <c r="K1668" s="144"/>
      <c r="L1668" s="145"/>
      <c r="M1668" s="144"/>
    </row>
    <row r="1669" spans="1:13" ht="15" customHeight="1">
      <c r="A1669" s="146" t="s">
        <v>4698</v>
      </c>
      <c r="B1669" s="146">
        <v>515634</v>
      </c>
      <c r="C1669" s="147" t="s">
        <v>4699</v>
      </c>
      <c r="D1669" s="146" t="s">
        <v>4690</v>
      </c>
      <c r="E1669" s="147" t="s">
        <v>4700</v>
      </c>
      <c r="F1669" s="147" t="s">
        <v>4701</v>
      </c>
      <c r="G1669" s="146" t="s">
        <v>109</v>
      </c>
      <c r="H1669" s="146" t="s">
        <v>51</v>
      </c>
      <c r="I1669" s="147" t="s">
        <v>4693</v>
      </c>
      <c r="J1669" s="147" t="s">
        <v>104</v>
      </c>
      <c r="K1669" s="148"/>
      <c r="L1669" s="149"/>
      <c r="M1669" s="148"/>
    </row>
    <row r="1670" spans="1:13" ht="15" customHeight="1">
      <c r="A1670" s="142" t="s">
        <v>4702</v>
      </c>
      <c r="B1670" s="142">
        <v>515629</v>
      </c>
      <c r="C1670" s="143" t="s">
        <v>4703</v>
      </c>
      <c r="D1670" s="142" t="s">
        <v>4690</v>
      </c>
      <c r="E1670" s="143" t="s">
        <v>4704</v>
      </c>
      <c r="F1670" s="143" t="s">
        <v>4705</v>
      </c>
      <c r="G1670" s="142" t="s">
        <v>109</v>
      </c>
      <c r="H1670" s="142" t="s">
        <v>51</v>
      </c>
      <c r="I1670" s="143" t="s">
        <v>4693</v>
      </c>
      <c r="J1670" s="143" t="s">
        <v>104</v>
      </c>
      <c r="K1670" s="144"/>
      <c r="L1670" s="145"/>
      <c r="M1670" s="144"/>
    </row>
    <row r="1671" spans="1:13" ht="15" customHeight="1">
      <c r="A1671" s="146" t="s">
        <v>4706</v>
      </c>
      <c r="B1671" s="146">
        <v>515581</v>
      </c>
      <c r="C1671" s="147" t="s">
        <v>4707</v>
      </c>
      <c r="D1671" s="146" t="s">
        <v>4690</v>
      </c>
      <c r="E1671" s="147" t="s">
        <v>4708</v>
      </c>
      <c r="F1671" s="147" t="s">
        <v>4709</v>
      </c>
      <c r="G1671" s="146" t="s">
        <v>109</v>
      </c>
      <c r="H1671" s="146" t="s">
        <v>51</v>
      </c>
      <c r="I1671" s="147" t="s">
        <v>4693</v>
      </c>
      <c r="J1671" s="147" t="s">
        <v>104</v>
      </c>
      <c r="K1671" s="148"/>
      <c r="L1671" s="149"/>
      <c r="M1671" s="148"/>
    </row>
    <row r="1672" spans="1:13" ht="15" customHeight="1">
      <c r="A1672" s="142" t="s">
        <v>4710</v>
      </c>
      <c r="B1672" s="142">
        <v>515708</v>
      </c>
      <c r="C1672" s="143" t="s">
        <v>4711</v>
      </c>
      <c r="D1672" s="142" t="s">
        <v>4690</v>
      </c>
      <c r="E1672" s="143" t="s">
        <v>4712</v>
      </c>
      <c r="F1672" s="143" t="s">
        <v>438</v>
      </c>
      <c r="G1672" s="142" t="s">
        <v>109</v>
      </c>
      <c r="H1672" s="142" t="s">
        <v>50</v>
      </c>
      <c r="I1672" s="143" t="s">
        <v>1532</v>
      </c>
      <c r="J1672" s="143" t="s">
        <v>104</v>
      </c>
      <c r="K1672" s="144" t="s">
        <v>121</v>
      </c>
      <c r="L1672" s="145">
        <v>46139</v>
      </c>
      <c r="M1672" s="144"/>
    </row>
    <row r="1673" spans="1:13" ht="15" customHeight="1">
      <c r="A1673" s="146" t="s">
        <v>4713</v>
      </c>
      <c r="B1673" s="146">
        <v>515590</v>
      </c>
      <c r="C1673" s="147" t="s">
        <v>4714</v>
      </c>
      <c r="D1673" s="146" t="s">
        <v>4690</v>
      </c>
      <c r="E1673" s="147" t="s">
        <v>4715</v>
      </c>
      <c r="F1673" s="147" t="s">
        <v>4716</v>
      </c>
      <c r="G1673" s="146" t="s">
        <v>109</v>
      </c>
      <c r="H1673" s="146" t="s">
        <v>51</v>
      </c>
      <c r="I1673" s="147" t="s">
        <v>4693</v>
      </c>
      <c r="J1673" s="147" t="s">
        <v>104</v>
      </c>
      <c r="K1673" s="148"/>
      <c r="L1673" s="149"/>
      <c r="M1673" s="148"/>
    </row>
    <row r="1674" spans="1:13" ht="15" customHeight="1">
      <c r="A1674" s="142" t="s">
        <v>4717</v>
      </c>
      <c r="B1674" s="142">
        <v>515573</v>
      </c>
      <c r="C1674" s="143" t="s">
        <v>4718</v>
      </c>
      <c r="D1674" s="142" t="s">
        <v>4690</v>
      </c>
      <c r="E1674" s="143" t="s">
        <v>4715</v>
      </c>
      <c r="F1674" s="143" t="s">
        <v>4719</v>
      </c>
      <c r="G1674" s="142" t="s">
        <v>109</v>
      </c>
      <c r="H1674" s="142" t="s">
        <v>51</v>
      </c>
      <c r="I1674" s="143" t="s">
        <v>4693</v>
      </c>
      <c r="J1674" s="143" t="s">
        <v>104</v>
      </c>
      <c r="K1674" s="144"/>
      <c r="L1674" s="145"/>
      <c r="M1674" s="144"/>
    </row>
    <row r="1675" spans="1:13" ht="15" customHeight="1">
      <c r="A1675" s="146" t="s">
        <v>4720</v>
      </c>
      <c r="B1675" s="146">
        <v>515542</v>
      </c>
      <c r="C1675" s="147" t="s">
        <v>4721</v>
      </c>
      <c r="D1675" s="146" t="s">
        <v>4690</v>
      </c>
      <c r="E1675" s="147" t="s">
        <v>4722</v>
      </c>
      <c r="F1675" s="147" t="s">
        <v>4723</v>
      </c>
      <c r="G1675" s="146" t="s">
        <v>109</v>
      </c>
      <c r="H1675" s="146" t="s">
        <v>51</v>
      </c>
      <c r="I1675" s="147" t="s">
        <v>4693</v>
      </c>
      <c r="J1675" s="147" t="s">
        <v>104</v>
      </c>
      <c r="K1675" s="148"/>
      <c r="L1675" s="149"/>
      <c r="M1675" s="148"/>
    </row>
    <row r="1676" spans="1:13" ht="15" customHeight="1">
      <c r="A1676" s="142" t="s">
        <v>4724</v>
      </c>
      <c r="B1676" s="142">
        <v>515739</v>
      </c>
      <c r="C1676" s="143" t="s">
        <v>4725</v>
      </c>
      <c r="D1676" s="142" t="s">
        <v>4690</v>
      </c>
      <c r="E1676" s="143" t="s">
        <v>4722</v>
      </c>
      <c r="F1676" s="143" t="s">
        <v>4726</v>
      </c>
      <c r="G1676" s="142" t="s">
        <v>109</v>
      </c>
      <c r="H1676" s="142" t="s">
        <v>51</v>
      </c>
      <c r="I1676" s="143" t="s">
        <v>4693</v>
      </c>
      <c r="J1676" s="143" t="s">
        <v>104</v>
      </c>
      <c r="K1676" s="144"/>
      <c r="L1676" s="145"/>
      <c r="M1676" s="144"/>
    </row>
    <row r="1677" spans="1:13" ht="15" customHeight="1">
      <c r="A1677" s="146" t="s">
        <v>4727</v>
      </c>
      <c r="B1677" s="146">
        <v>515657</v>
      </c>
      <c r="C1677" s="147" t="s">
        <v>4728</v>
      </c>
      <c r="D1677" s="146" t="s">
        <v>4690</v>
      </c>
      <c r="E1677" s="147" t="s">
        <v>4729</v>
      </c>
      <c r="F1677" s="147" t="s">
        <v>4730</v>
      </c>
      <c r="G1677" s="146" t="s">
        <v>109</v>
      </c>
      <c r="H1677" s="146" t="s">
        <v>51</v>
      </c>
      <c r="I1677" s="147" t="s">
        <v>4693</v>
      </c>
      <c r="J1677" s="147" t="s">
        <v>104</v>
      </c>
      <c r="K1677" s="148"/>
      <c r="L1677" s="149"/>
      <c r="M1677" s="148"/>
    </row>
    <row r="1678" spans="1:13" ht="15" customHeight="1">
      <c r="A1678" s="142" t="s">
        <v>4731</v>
      </c>
      <c r="B1678" s="142">
        <v>515627</v>
      </c>
      <c r="C1678" s="143" t="s">
        <v>4732</v>
      </c>
      <c r="D1678" s="142" t="s">
        <v>4690</v>
      </c>
      <c r="E1678" s="143" t="s">
        <v>4729</v>
      </c>
      <c r="F1678" s="143" t="s">
        <v>4733</v>
      </c>
      <c r="G1678" s="142" t="s">
        <v>109</v>
      </c>
      <c r="H1678" s="142" t="s">
        <v>51</v>
      </c>
      <c r="I1678" s="143" t="s">
        <v>4693</v>
      </c>
      <c r="J1678" s="143" t="s">
        <v>104</v>
      </c>
      <c r="K1678" s="144"/>
      <c r="L1678" s="145"/>
      <c r="M1678" s="144"/>
    </row>
    <row r="1679" spans="1:13" ht="15" customHeight="1">
      <c r="A1679" s="146" t="s">
        <v>4734</v>
      </c>
      <c r="B1679" s="146">
        <v>515561</v>
      </c>
      <c r="C1679" s="147" t="s">
        <v>4735</v>
      </c>
      <c r="D1679" s="146" t="s">
        <v>4690</v>
      </c>
      <c r="E1679" s="147" t="s">
        <v>4736</v>
      </c>
      <c r="F1679" s="147" t="s">
        <v>4737</v>
      </c>
      <c r="G1679" s="146" t="s">
        <v>109</v>
      </c>
      <c r="H1679" s="146" t="s">
        <v>51</v>
      </c>
      <c r="I1679" s="147" t="s">
        <v>4693</v>
      </c>
      <c r="J1679" s="147" t="s">
        <v>104</v>
      </c>
      <c r="K1679" s="148"/>
      <c r="L1679" s="149"/>
      <c r="M1679" s="148"/>
    </row>
    <row r="1680" spans="1:13" ht="15" customHeight="1">
      <c r="A1680" s="142" t="s">
        <v>4738</v>
      </c>
      <c r="B1680" s="142">
        <v>515715</v>
      </c>
      <c r="C1680" s="143" t="s">
        <v>4739</v>
      </c>
      <c r="D1680" s="142" t="s">
        <v>4690</v>
      </c>
      <c r="E1680" s="143" t="s">
        <v>4740</v>
      </c>
      <c r="F1680" s="143" t="s">
        <v>4741</v>
      </c>
      <c r="G1680" s="142" t="s">
        <v>109</v>
      </c>
      <c r="H1680" s="142" t="s">
        <v>51</v>
      </c>
      <c r="I1680" s="143" t="s">
        <v>4693</v>
      </c>
      <c r="J1680" s="143" t="s">
        <v>104</v>
      </c>
      <c r="K1680" s="144"/>
      <c r="L1680" s="145"/>
      <c r="M1680" s="144"/>
    </row>
    <row r="1681" spans="1:13" ht="15" customHeight="1">
      <c r="A1681" s="146" t="s">
        <v>4742</v>
      </c>
      <c r="B1681" s="146">
        <v>515394</v>
      </c>
      <c r="C1681" s="147" t="s">
        <v>4743</v>
      </c>
      <c r="D1681" s="146" t="s">
        <v>4690</v>
      </c>
      <c r="E1681" s="147" t="s">
        <v>4744</v>
      </c>
      <c r="F1681" s="147" t="s">
        <v>4745</v>
      </c>
      <c r="G1681" s="146" t="s">
        <v>109</v>
      </c>
      <c r="H1681" s="146" t="s">
        <v>51</v>
      </c>
      <c r="I1681" s="147" t="s">
        <v>4693</v>
      </c>
      <c r="J1681" s="147" t="s">
        <v>104</v>
      </c>
      <c r="K1681" s="148" t="s">
        <v>121</v>
      </c>
      <c r="L1681" s="149">
        <v>46149</v>
      </c>
      <c r="M1681" s="148"/>
    </row>
    <row r="1682" spans="1:13" ht="15" customHeight="1">
      <c r="A1682" s="142" t="s">
        <v>4746</v>
      </c>
      <c r="B1682" s="142">
        <v>515654</v>
      </c>
      <c r="C1682" s="143" t="s">
        <v>4747</v>
      </c>
      <c r="D1682" s="142" t="s">
        <v>4690</v>
      </c>
      <c r="E1682" s="143" t="s">
        <v>658</v>
      </c>
      <c r="F1682" s="143" t="s">
        <v>1455</v>
      </c>
      <c r="G1682" s="142" t="s">
        <v>109</v>
      </c>
      <c r="H1682" s="142" t="s">
        <v>51</v>
      </c>
      <c r="I1682" s="143" t="s">
        <v>4693</v>
      </c>
      <c r="J1682" s="143" t="s">
        <v>104</v>
      </c>
      <c r="K1682" s="144"/>
      <c r="L1682" s="145"/>
      <c r="M1682" s="144"/>
    </row>
    <row r="1683" spans="1:13" ht="15" customHeight="1">
      <c r="A1683" s="146" t="s">
        <v>4748</v>
      </c>
      <c r="B1683" s="146">
        <v>515643</v>
      </c>
      <c r="C1683" s="147" t="s">
        <v>4749</v>
      </c>
      <c r="D1683" s="146" t="s">
        <v>4690</v>
      </c>
      <c r="E1683" s="147" t="s">
        <v>4750</v>
      </c>
      <c r="F1683" s="147" t="s">
        <v>4751</v>
      </c>
      <c r="G1683" s="146" t="s">
        <v>109</v>
      </c>
      <c r="H1683" s="146" t="s">
        <v>51</v>
      </c>
      <c r="I1683" s="147" t="s">
        <v>4693</v>
      </c>
      <c r="J1683" s="147" t="s">
        <v>104</v>
      </c>
      <c r="K1683" s="148"/>
      <c r="L1683" s="149"/>
      <c r="M1683" s="148"/>
    </row>
    <row r="1684" spans="1:13" ht="15" customHeight="1">
      <c r="A1684" s="142" t="s">
        <v>4752</v>
      </c>
      <c r="B1684" s="142">
        <v>516480</v>
      </c>
      <c r="C1684" s="143" t="s">
        <v>4753</v>
      </c>
      <c r="D1684" s="142" t="s">
        <v>4690</v>
      </c>
      <c r="E1684" s="143" t="s">
        <v>4754</v>
      </c>
      <c r="F1684" s="143" t="s">
        <v>4755</v>
      </c>
      <c r="G1684" s="142" t="s">
        <v>109</v>
      </c>
      <c r="H1684" s="142" t="s">
        <v>51</v>
      </c>
      <c r="I1684" s="143" t="s">
        <v>4693</v>
      </c>
      <c r="J1684" s="143" t="s">
        <v>104</v>
      </c>
      <c r="K1684" s="144"/>
      <c r="L1684" s="145"/>
      <c r="M1684" s="144"/>
    </row>
    <row r="1685" spans="1:13" ht="15" customHeight="1">
      <c r="A1685" s="146" t="s">
        <v>4756</v>
      </c>
      <c r="B1685" s="146">
        <v>516911</v>
      </c>
      <c r="C1685" s="147" t="s">
        <v>4757</v>
      </c>
      <c r="D1685" s="146" t="s">
        <v>4690</v>
      </c>
      <c r="E1685" s="147" t="s">
        <v>4758</v>
      </c>
      <c r="F1685" s="147" t="s">
        <v>4759</v>
      </c>
      <c r="G1685" s="146" t="s">
        <v>109</v>
      </c>
      <c r="H1685" s="146" t="s">
        <v>51</v>
      </c>
      <c r="I1685" s="147" t="s">
        <v>4693</v>
      </c>
      <c r="J1685" s="147" t="s">
        <v>104</v>
      </c>
      <c r="K1685" s="148"/>
      <c r="L1685" s="149"/>
      <c r="M1685" s="148"/>
    </row>
    <row r="1686" spans="1:13" ht="15" customHeight="1">
      <c r="A1686" s="142" t="s">
        <v>4760</v>
      </c>
      <c r="B1686" s="142">
        <v>515421</v>
      </c>
      <c r="C1686" s="143" t="s">
        <v>4761</v>
      </c>
      <c r="D1686" s="142" t="s">
        <v>4690</v>
      </c>
      <c r="E1686" s="143" t="s">
        <v>4762</v>
      </c>
      <c r="F1686" s="143" t="s">
        <v>4763</v>
      </c>
      <c r="G1686" s="142" t="s">
        <v>109</v>
      </c>
      <c r="H1686" s="142" t="s">
        <v>51</v>
      </c>
      <c r="I1686" s="143" t="s">
        <v>4693</v>
      </c>
      <c r="J1686" s="143" t="s">
        <v>104</v>
      </c>
      <c r="K1686" s="144"/>
      <c r="L1686" s="145"/>
      <c r="M1686" s="144"/>
    </row>
    <row r="1687" spans="1:13" ht="15" customHeight="1">
      <c r="A1687" s="146" t="s">
        <v>4764</v>
      </c>
      <c r="B1687" s="146">
        <v>515705</v>
      </c>
      <c r="C1687" s="147" t="s">
        <v>4765</v>
      </c>
      <c r="D1687" s="146" t="s">
        <v>4690</v>
      </c>
      <c r="E1687" s="147" t="s">
        <v>4766</v>
      </c>
      <c r="F1687" s="147" t="s">
        <v>4767</v>
      </c>
      <c r="G1687" s="146" t="s">
        <v>109</v>
      </c>
      <c r="H1687" s="146" t="s">
        <v>51</v>
      </c>
      <c r="I1687" s="147" t="s">
        <v>4693</v>
      </c>
      <c r="J1687" s="147" t="s">
        <v>104</v>
      </c>
      <c r="K1687" s="148"/>
      <c r="L1687" s="149"/>
      <c r="M1687" s="148"/>
    </row>
    <row r="1688" spans="1:13" ht="15" customHeight="1">
      <c r="A1688" s="142" t="s">
        <v>4768</v>
      </c>
      <c r="B1688" s="142">
        <v>515531</v>
      </c>
      <c r="C1688" s="143" t="s">
        <v>4769</v>
      </c>
      <c r="D1688" s="142" t="s">
        <v>4690</v>
      </c>
      <c r="E1688" s="143" t="s">
        <v>4770</v>
      </c>
      <c r="F1688" s="143" t="s">
        <v>4771</v>
      </c>
      <c r="G1688" s="142" t="s">
        <v>109</v>
      </c>
      <c r="H1688" s="142" t="s">
        <v>51</v>
      </c>
      <c r="I1688" s="143" t="s">
        <v>4693</v>
      </c>
      <c r="J1688" s="143" t="s">
        <v>104</v>
      </c>
      <c r="K1688" s="144"/>
      <c r="L1688" s="145"/>
      <c r="M1688" s="144"/>
    </row>
    <row r="1689" spans="1:13" ht="15" customHeight="1">
      <c r="A1689" s="146" t="s">
        <v>4772</v>
      </c>
      <c r="B1689" s="146">
        <v>515622</v>
      </c>
      <c r="C1689" s="147" t="s">
        <v>4773</v>
      </c>
      <c r="D1689" s="146" t="s">
        <v>4690</v>
      </c>
      <c r="E1689" s="147" t="s">
        <v>4767</v>
      </c>
      <c r="F1689" s="147" t="s">
        <v>1292</v>
      </c>
      <c r="G1689" s="146" t="s">
        <v>109</v>
      </c>
      <c r="H1689" s="146" t="s">
        <v>51</v>
      </c>
      <c r="I1689" s="147" t="s">
        <v>4693</v>
      </c>
      <c r="J1689" s="147" t="s">
        <v>104</v>
      </c>
      <c r="K1689" s="148"/>
      <c r="L1689" s="149"/>
      <c r="M1689" s="148"/>
    </row>
    <row r="1690" spans="1:13" ht="15" customHeight="1">
      <c r="A1690" s="142" t="s">
        <v>4774</v>
      </c>
      <c r="B1690" s="142">
        <v>515668</v>
      </c>
      <c r="C1690" s="143" t="s">
        <v>4775</v>
      </c>
      <c r="D1690" s="142" t="s">
        <v>4690</v>
      </c>
      <c r="E1690" s="143" t="s">
        <v>4767</v>
      </c>
      <c r="F1690" s="143" t="s">
        <v>2539</v>
      </c>
      <c r="G1690" s="142" t="s">
        <v>109</v>
      </c>
      <c r="H1690" s="142" t="s">
        <v>51</v>
      </c>
      <c r="I1690" s="143" t="s">
        <v>4693</v>
      </c>
      <c r="J1690" s="143" t="s">
        <v>104</v>
      </c>
      <c r="K1690" s="144"/>
      <c r="L1690" s="145"/>
      <c r="M1690" s="144"/>
    </row>
    <row r="1691" spans="1:13" ht="15" customHeight="1">
      <c r="A1691" s="146" t="s">
        <v>4776</v>
      </c>
      <c r="B1691" s="146">
        <v>515591</v>
      </c>
      <c r="C1691" s="147" t="s">
        <v>4777</v>
      </c>
      <c r="D1691" s="146" t="s">
        <v>4690</v>
      </c>
      <c r="E1691" s="147" t="s">
        <v>4778</v>
      </c>
      <c r="F1691" s="147" t="s">
        <v>4779</v>
      </c>
      <c r="G1691" s="146" t="s">
        <v>109</v>
      </c>
      <c r="H1691" s="146" t="s">
        <v>51</v>
      </c>
      <c r="I1691" s="147" t="s">
        <v>4693</v>
      </c>
      <c r="J1691" s="147" t="s">
        <v>104</v>
      </c>
      <c r="K1691" s="148"/>
      <c r="L1691" s="149"/>
      <c r="M1691" s="148"/>
    </row>
    <row r="1692" spans="1:13" ht="15" customHeight="1">
      <c r="A1692" s="142" t="s">
        <v>4780</v>
      </c>
      <c r="B1692" s="142">
        <v>515637</v>
      </c>
      <c r="C1692" s="143" t="s">
        <v>4781</v>
      </c>
      <c r="D1692" s="142" t="s">
        <v>4690</v>
      </c>
      <c r="E1692" s="143" t="s">
        <v>4782</v>
      </c>
      <c r="F1692" s="143" t="s">
        <v>4783</v>
      </c>
      <c r="G1692" s="142" t="s">
        <v>109</v>
      </c>
      <c r="H1692" s="142" t="s">
        <v>50</v>
      </c>
      <c r="I1692" s="143" t="s">
        <v>3391</v>
      </c>
      <c r="J1692" s="143" t="s">
        <v>104</v>
      </c>
      <c r="K1692" s="144"/>
      <c r="L1692" s="145"/>
      <c r="M1692" s="144"/>
    </row>
    <row r="1693" spans="1:13" ht="15" customHeight="1">
      <c r="A1693" s="146" t="s">
        <v>4784</v>
      </c>
      <c r="B1693" s="146">
        <v>515722</v>
      </c>
      <c r="C1693" s="147" t="s">
        <v>4785</v>
      </c>
      <c r="D1693" s="146" t="s">
        <v>4690</v>
      </c>
      <c r="E1693" s="147" t="s">
        <v>4786</v>
      </c>
      <c r="F1693" s="147" t="s">
        <v>4787</v>
      </c>
      <c r="G1693" s="146" t="s">
        <v>109</v>
      </c>
      <c r="H1693" s="146" t="s">
        <v>51</v>
      </c>
      <c r="I1693" s="147" t="s">
        <v>4693</v>
      </c>
      <c r="J1693" s="147" t="s">
        <v>104</v>
      </c>
      <c r="K1693" s="148"/>
      <c r="L1693" s="149"/>
      <c r="M1693" s="148"/>
    </row>
    <row r="1694" spans="1:13" ht="15" customHeight="1">
      <c r="A1694" s="142" t="s">
        <v>4788</v>
      </c>
      <c r="B1694" s="142">
        <v>515613</v>
      </c>
      <c r="C1694" s="143" t="s">
        <v>4789</v>
      </c>
      <c r="D1694" s="142" t="s">
        <v>4690</v>
      </c>
      <c r="E1694" s="143" t="s">
        <v>4786</v>
      </c>
      <c r="F1694" s="143" t="s">
        <v>4790</v>
      </c>
      <c r="G1694" s="142" t="s">
        <v>109</v>
      </c>
      <c r="H1694" s="142" t="s">
        <v>51</v>
      </c>
      <c r="I1694" s="143" t="s">
        <v>4693</v>
      </c>
      <c r="J1694" s="143" t="s">
        <v>104</v>
      </c>
      <c r="K1694" s="144"/>
      <c r="L1694" s="145"/>
      <c r="M1694" s="144"/>
    </row>
    <row r="1695" spans="1:13" ht="15" customHeight="1">
      <c r="A1695" s="146" t="s">
        <v>4791</v>
      </c>
      <c r="B1695" s="146">
        <v>515731</v>
      </c>
      <c r="C1695" s="147" t="s">
        <v>4792</v>
      </c>
      <c r="D1695" s="146" t="s">
        <v>4690</v>
      </c>
      <c r="E1695" s="147" t="s">
        <v>4793</v>
      </c>
      <c r="F1695" s="147" t="s">
        <v>4794</v>
      </c>
      <c r="G1695" s="146" t="s">
        <v>109</v>
      </c>
      <c r="H1695" s="146" t="s">
        <v>51</v>
      </c>
      <c r="I1695" s="147" t="s">
        <v>4693</v>
      </c>
      <c r="J1695" s="147" t="s">
        <v>104</v>
      </c>
      <c r="K1695" s="148" t="s">
        <v>121</v>
      </c>
      <c r="L1695" s="149">
        <v>46148</v>
      </c>
      <c r="M1695" s="148"/>
    </row>
    <row r="1696" spans="1:13" ht="15" customHeight="1">
      <c r="A1696" s="142" t="s">
        <v>4795</v>
      </c>
      <c r="B1696" s="142">
        <v>515729</v>
      </c>
      <c r="C1696" s="143" t="s">
        <v>4796</v>
      </c>
      <c r="D1696" s="142" t="s">
        <v>4690</v>
      </c>
      <c r="E1696" s="143" t="s">
        <v>4797</v>
      </c>
      <c r="F1696" s="143" t="s">
        <v>4798</v>
      </c>
      <c r="G1696" s="142" t="s">
        <v>109</v>
      </c>
      <c r="H1696" s="142" t="s">
        <v>50</v>
      </c>
      <c r="I1696" s="143" t="s">
        <v>3391</v>
      </c>
      <c r="J1696" s="143" t="s">
        <v>104</v>
      </c>
      <c r="K1696" s="144"/>
      <c r="L1696" s="145"/>
      <c r="M1696" s="144"/>
    </row>
    <row r="1697" spans="1:13" ht="15" customHeight="1">
      <c r="A1697" s="146" t="s">
        <v>4799</v>
      </c>
      <c r="B1697" s="146">
        <v>515543</v>
      </c>
      <c r="C1697" s="147" t="s">
        <v>4800</v>
      </c>
      <c r="D1697" s="146" t="s">
        <v>4690</v>
      </c>
      <c r="E1697" s="147" t="s">
        <v>4801</v>
      </c>
      <c r="F1697" s="147" t="s">
        <v>4802</v>
      </c>
      <c r="G1697" s="146" t="s">
        <v>109</v>
      </c>
      <c r="H1697" s="146" t="s">
        <v>51</v>
      </c>
      <c r="I1697" s="147" t="s">
        <v>4693</v>
      </c>
      <c r="J1697" s="147" t="s">
        <v>104</v>
      </c>
      <c r="K1697" s="148"/>
      <c r="L1697" s="149"/>
      <c r="M1697" s="148"/>
    </row>
    <row r="1698" spans="1:13" ht="15" customHeight="1">
      <c r="A1698" s="142" t="s">
        <v>4803</v>
      </c>
      <c r="B1698" s="142">
        <v>515651</v>
      </c>
      <c r="C1698" s="143" t="s">
        <v>4804</v>
      </c>
      <c r="D1698" s="142" t="s">
        <v>4690</v>
      </c>
      <c r="E1698" s="143" t="s">
        <v>4805</v>
      </c>
      <c r="F1698" s="143" t="s">
        <v>3906</v>
      </c>
      <c r="G1698" s="142" t="s">
        <v>109</v>
      </c>
      <c r="H1698" s="142" t="s">
        <v>51</v>
      </c>
      <c r="I1698" s="143" t="s">
        <v>4693</v>
      </c>
      <c r="J1698" s="143" t="s">
        <v>104</v>
      </c>
      <c r="K1698" s="144"/>
      <c r="L1698" s="145"/>
      <c r="M1698" s="144"/>
    </row>
    <row r="1699" spans="1:13" ht="15" customHeight="1">
      <c r="A1699" s="146" t="s">
        <v>4806</v>
      </c>
      <c r="B1699" s="146">
        <v>515646</v>
      </c>
      <c r="C1699" s="147" t="s">
        <v>4807</v>
      </c>
      <c r="D1699" s="146" t="s">
        <v>4690</v>
      </c>
      <c r="E1699" s="147" t="s">
        <v>4808</v>
      </c>
      <c r="F1699" s="147" t="s">
        <v>4809</v>
      </c>
      <c r="G1699" s="146" t="s">
        <v>109</v>
      </c>
      <c r="H1699" s="146" t="s">
        <v>51</v>
      </c>
      <c r="I1699" s="147" t="s">
        <v>4693</v>
      </c>
      <c r="J1699" s="147" t="s">
        <v>104</v>
      </c>
      <c r="K1699" s="148"/>
      <c r="L1699" s="149"/>
      <c r="M1699" s="148"/>
    </row>
    <row r="1700" spans="1:13" ht="15" customHeight="1">
      <c r="A1700" s="142" t="s">
        <v>4810</v>
      </c>
      <c r="B1700" s="142">
        <v>515659</v>
      </c>
      <c r="C1700" s="143" t="s">
        <v>4811</v>
      </c>
      <c r="D1700" s="142" t="s">
        <v>4690</v>
      </c>
      <c r="E1700" s="143" t="s">
        <v>4812</v>
      </c>
      <c r="F1700" s="143" t="s">
        <v>4813</v>
      </c>
      <c r="G1700" s="142" t="s">
        <v>109</v>
      </c>
      <c r="H1700" s="142" t="s">
        <v>51</v>
      </c>
      <c r="I1700" s="143" t="s">
        <v>4693</v>
      </c>
      <c r="J1700" s="143" t="s">
        <v>104</v>
      </c>
      <c r="K1700" s="144" t="s">
        <v>121</v>
      </c>
      <c r="L1700" s="145">
        <v>46150</v>
      </c>
      <c r="M1700" s="144"/>
    </row>
    <row r="1701" spans="1:13" ht="15" customHeight="1">
      <c r="A1701" s="146" t="s">
        <v>4814</v>
      </c>
      <c r="B1701" s="146">
        <v>515564</v>
      </c>
      <c r="C1701" s="147" t="s">
        <v>4815</v>
      </c>
      <c r="D1701" s="146" t="s">
        <v>4690</v>
      </c>
      <c r="E1701" s="147" t="s">
        <v>4816</v>
      </c>
      <c r="F1701" s="147" t="s">
        <v>4817</v>
      </c>
      <c r="G1701" s="146" t="s">
        <v>109</v>
      </c>
      <c r="H1701" s="146" t="s">
        <v>51</v>
      </c>
      <c r="I1701" s="147" t="s">
        <v>4693</v>
      </c>
      <c r="J1701" s="147" t="s">
        <v>104</v>
      </c>
      <c r="K1701" s="148"/>
      <c r="L1701" s="149"/>
      <c r="M1701" s="148"/>
    </row>
    <row r="1702" spans="1:13" ht="15" customHeight="1">
      <c r="A1702" s="142" t="s">
        <v>4818</v>
      </c>
      <c r="B1702" s="142">
        <v>515422</v>
      </c>
      <c r="C1702" s="143" t="s">
        <v>4819</v>
      </c>
      <c r="D1702" s="142" t="s">
        <v>4690</v>
      </c>
      <c r="E1702" s="143" t="s">
        <v>4820</v>
      </c>
      <c r="F1702" s="143" t="s">
        <v>4821</v>
      </c>
      <c r="G1702" s="142" t="s">
        <v>109</v>
      </c>
      <c r="H1702" s="142" t="s">
        <v>51</v>
      </c>
      <c r="I1702" s="143" t="s">
        <v>4693</v>
      </c>
      <c r="J1702" s="143" t="s">
        <v>104</v>
      </c>
      <c r="K1702" s="144"/>
      <c r="L1702" s="145"/>
      <c r="M1702" s="144"/>
    </row>
    <row r="1703" spans="1:13" ht="15" customHeight="1">
      <c r="A1703" s="146" t="s">
        <v>4822</v>
      </c>
      <c r="B1703" s="146">
        <v>515447</v>
      </c>
      <c r="C1703" s="147" t="s">
        <v>4823</v>
      </c>
      <c r="D1703" s="146" t="s">
        <v>4690</v>
      </c>
      <c r="E1703" s="147" t="s">
        <v>4824</v>
      </c>
      <c r="F1703" s="147" t="s">
        <v>4825</v>
      </c>
      <c r="G1703" s="146" t="s">
        <v>109</v>
      </c>
      <c r="H1703" s="146" t="s">
        <v>51</v>
      </c>
      <c r="I1703" s="147" t="s">
        <v>4693</v>
      </c>
      <c r="J1703" s="147" t="s">
        <v>104</v>
      </c>
      <c r="K1703" s="148"/>
      <c r="L1703" s="149"/>
      <c r="M1703" s="148"/>
    </row>
    <row r="1704" spans="1:13" ht="15" customHeight="1">
      <c r="A1704" s="142" t="s">
        <v>4826</v>
      </c>
      <c r="B1704" s="142">
        <v>516528</v>
      </c>
      <c r="C1704" s="143" t="s">
        <v>4827</v>
      </c>
      <c r="D1704" s="142" t="s">
        <v>4690</v>
      </c>
      <c r="E1704" s="143" t="s">
        <v>4828</v>
      </c>
      <c r="F1704" s="143" t="s">
        <v>4829</v>
      </c>
      <c r="G1704" s="142" t="s">
        <v>109</v>
      </c>
      <c r="H1704" s="142" t="s">
        <v>51</v>
      </c>
      <c r="I1704" s="143" t="s">
        <v>4693</v>
      </c>
      <c r="J1704" s="143" t="s">
        <v>104</v>
      </c>
      <c r="K1704" s="144"/>
      <c r="L1704" s="145"/>
      <c r="M1704" s="144"/>
    </row>
    <row r="1705" spans="1:13" ht="15" customHeight="1">
      <c r="A1705" s="146" t="s">
        <v>4830</v>
      </c>
      <c r="B1705" s="146">
        <v>515665</v>
      </c>
      <c r="C1705" s="147" t="s">
        <v>4831</v>
      </c>
      <c r="D1705" s="146" t="s">
        <v>4690</v>
      </c>
      <c r="E1705" s="147" t="s">
        <v>4832</v>
      </c>
      <c r="F1705" s="147" t="s">
        <v>4833</v>
      </c>
      <c r="G1705" s="146" t="s">
        <v>109</v>
      </c>
      <c r="H1705" s="146" t="s">
        <v>51</v>
      </c>
      <c r="I1705" s="147" t="s">
        <v>4693</v>
      </c>
      <c r="J1705" s="147" t="s">
        <v>104</v>
      </c>
      <c r="K1705" s="148"/>
      <c r="L1705" s="149"/>
      <c r="M1705" s="148"/>
    </row>
    <row r="1706" spans="1:13" ht="15" customHeight="1">
      <c r="A1706" s="142" t="s">
        <v>4834</v>
      </c>
      <c r="B1706" s="142">
        <v>513202</v>
      </c>
      <c r="C1706" s="143" t="s">
        <v>4835</v>
      </c>
      <c r="D1706" s="142" t="s">
        <v>4690</v>
      </c>
      <c r="E1706" s="143" t="s">
        <v>4740</v>
      </c>
      <c r="F1706" s="143" t="s">
        <v>4836</v>
      </c>
      <c r="G1706" s="142" t="s">
        <v>109</v>
      </c>
      <c r="H1706" s="142" t="s">
        <v>51</v>
      </c>
      <c r="I1706" s="143" t="s">
        <v>4693</v>
      </c>
      <c r="J1706" s="143" t="s">
        <v>104</v>
      </c>
      <c r="K1706" s="144"/>
      <c r="L1706" s="145"/>
      <c r="M1706" s="144"/>
    </row>
    <row r="1707" spans="1:13" ht="15" customHeight="1">
      <c r="A1707" s="146" t="s">
        <v>4837</v>
      </c>
      <c r="B1707" s="146">
        <v>515369</v>
      </c>
      <c r="C1707" s="147" t="s">
        <v>4838</v>
      </c>
      <c r="D1707" s="146" t="s">
        <v>4690</v>
      </c>
      <c r="E1707" s="147" t="s">
        <v>4744</v>
      </c>
      <c r="F1707" s="147" t="s">
        <v>658</v>
      </c>
      <c r="G1707" s="146" t="s">
        <v>102</v>
      </c>
      <c r="H1707" s="146" t="s">
        <v>51</v>
      </c>
      <c r="I1707" s="147" t="s">
        <v>4693</v>
      </c>
      <c r="J1707" s="147" t="s">
        <v>104</v>
      </c>
      <c r="K1707" s="148"/>
      <c r="L1707" s="149"/>
      <c r="M1707" s="148"/>
    </row>
    <row r="1708" spans="1:13" ht="15" customHeight="1">
      <c r="A1708" s="142" t="s">
        <v>4839</v>
      </c>
      <c r="B1708" s="142">
        <v>515644</v>
      </c>
      <c r="C1708" s="143" t="s">
        <v>4840</v>
      </c>
      <c r="D1708" s="142" t="s">
        <v>4690</v>
      </c>
      <c r="E1708" s="143" t="s">
        <v>4750</v>
      </c>
      <c r="F1708" s="143" t="s">
        <v>4841</v>
      </c>
      <c r="G1708" s="142" t="s">
        <v>109</v>
      </c>
      <c r="H1708" s="142" t="s">
        <v>51</v>
      </c>
      <c r="I1708" s="143" t="s">
        <v>4693</v>
      </c>
      <c r="J1708" s="143" t="s">
        <v>104</v>
      </c>
      <c r="K1708" s="144"/>
      <c r="L1708" s="145"/>
      <c r="M1708" s="144"/>
    </row>
    <row r="1709" spans="1:13" ht="15" customHeight="1">
      <c r="A1709" s="146" t="s">
        <v>4842</v>
      </c>
      <c r="B1709" s="146">
        <v>515450</v>
      </c>
      <c r="C1709" s="147" t="s">
        <v>4843</v>
      </c>
      <c r="D1709" s="146" t="s">
        <v>4690</v>
      </c>
      <c r="E1709" s="147" t="s">
        <v>4844</v>
      </c>
      <c r="F1709" s="147" t="s">
        <v>3765</v>
      </c>
      <c r="G1709" s="146" t="s">
        <v>109</v>
      </c>
      <c r="H1709" s="146" t="s">
        <v>51</v>
      </c>
      <c r="I1709" s="147" t="s">
        <v>4693</v>
      </c>
      <c r="J1709" s="147" t="s">
        <v>104</v>
      </c>
      <c r="K1709" s="148"/>
      <c r="L1709" s="149"/>
      <c r="M1709" s="148"/>
    </row>
    <row r="1710" spans="1:13" ht="15" customHeight="1">
      <c r="A1710" s="142" t="s">
        <v>4845</v>
      </c>
      <c r="B1710" s="142">
        <v>516994</v>
      </c>
      <c r="C1710" s="143" t="s">
        <v>4846</v>
      </c>
      <c r="D1710" s="142" t="s">
        <v>4690</v>
      </c>
      <c r="E1710" s="143" t="s">
        <v>4847</v>
      </c>
      <c r="F1710" s="143" t="s">
        <v>4848</v>
      </c>
      <c r="G1710" s="142" t="s">
        <v>109</v>
      </c>
      <c r="H1710" s="142" t="s">
        <v>51</v>
      </c>
      <c r="I1710" s="143" t="s">
        <v>4693</v>
      </c>
      <c r="J1710" s="143" t="s">
        <v>104</v>
      </c>
      <c r="K1710" s="144"/>
      <c r="L1710" s="145"/>
      <c r="M1710" s="144"/>
    </row>
    <row r="1711" spans="1:13" ht="15" customHeight="1">
      <c r="A1711" s="146" t="s">
        <v>4849</v>
      </c>
      <c r="B1711" s="146">
        <v>515728</v>
      </c>
      <c r="C1711" s="147" t="s">
        <v>4850</v>
      </c>
      <c r="D1711" s="146" t="s">
        <v>4690</v>
      </c>
      <c r="E1711" s="147" t="s">
        <v>4797</v>
      </c>
      <c r="F1711" s="147" t="s">
        <v>4851</v>
      </c>
      <c r="G1711" s="146" t="s">
        <v>109</v>
      </c>
      <c r="H1711" s="146" t="s">
        <v>50</v>
      </c>
      <c r="I1711" s="147" t="s">
        <v>3391</v>
      </c>
      <c r="J1711" s="147" t="s">
        <v>104</v>
      </c>
      <c r="K1711" s="148"/>
      <c r="L1711" s="149"/>
      <c r="M1711" s="148"/>
    </row>
    <row r="1712" spans="1:13" ht="15" customHeight="1">
      <c r="A1712" s="142" t="s">
        <v>4852</v>
      </c>
      <c r="B1712" s="142">
        <v>516608</v>
      </c>
      <c r="C1712" s="143" t="s">
        <v>4853</v>
      </c>
      <c r="D1712" s="142" t="s">
        <v>4690</v>
      </c>
      <c r="E1712" s="143" t="s">
        <v>4801</v>
      </c>
      <c r="F1712" s="143" t="s">
        <v>4854</v>
      </c>
      <c r="G1712" s="142" t="s">
        <v>109</v>
      </c>
      <c r="H1712" s="142" t="s">
        <v>51</v>
      </c>
      <c r="I1712" s="143" t="s">
        <v>4693</v>
      </c>
      <c r="J1712" s="143" t="s">
        <v>104</v>
      </c>
      <c r="K1712" s="144"/>
      <c r="L1712" s="145"/>
      <c r="M1712" s="144"/>
    </row>
    <row r="1713" spans="1:13" ht="15" customHeight="1">
      <c r="A1713" s="146" t="s">
        <v>4855</v>
      </c>
      <c r="B1713" s="146">
        <v>515461</v>
      </c>
      <c r="C1713" s="147" t="s">
        <v>4856</v>
      </c>
      <c r="D1713" s="146" t="s">
        <v>4690</v>
      </c>
      <c r="E1713" s="147" t="s">
        <v>4857</v>
      </c>
      <c r="F1713" s="147" t="s">
        <v>4856</v>
      </c>
      <c r="G1713" s="146" t="s">
        <v>109</v>
      </c>
      <c r="H1713" s="146" t="s">
        <v>51</v>
      </c>
      <c r="I1713" s="147" t="s">
        <v>4693</v>
      </c>
      <c r="J1713" s="147" t="s">
        <v>104</v>
      </c>
      <c r="K1713" s="148"/>
      <c r="L1713" s="149"/>
      <c r="M1713" s="148"/>
    </row>
    <row r="1714" spans="1:13" ht="15" customHeight="1">
      <c r="A1714" s="142" t="s">
        <v>4858</v>
      </c>
      <c r="B1714" s="142">
        <v>515596</v>
      </c>
      <c r="C1714" s="143" t="s">
        <v>4859</v>
      </c>
      <c r="D1714" s="142" t="s">
        <v>4690</v>
      </c>
      <c r="E1714" s="143" t="s">
        <v>4860</v>
      </c>
      <c r="F1714" s="143" t="s">
        <v>4861</v>
      </c>
      <c r="G1714" s="142" t="s">
        <v>109</v>
      </c>
      <c r="H1714" s="142" t="s">
        <v>51</v>
      </c>
      <c r="I1714" s="143" t="s">
        <v>4693</v>
      </c>
      <c r="J1714" s="143" t="s">
        <v>104</v>
      </c>
      <c r="K1714" s="144"/>
      <c r="L1714" s="145"/>
      <c r="M1714" s="144"/>
    </row>
    <row r="1715" spans="1:13" ht="15" customHeight="1">
      <c r="A1715" s="146" t="s">
        <v>4862</v>
      </c>
      <c r="B1715" s="146">
        <v>515600</v>
      </c>
      <c r="C1715" s="147" t="s">
        <v>4863</v>
      </c>
      <c r="D1715" s="146" t="s">
        <v>4690</v>
      </c>
      <c r="E1715" s="147" t="s">
        <v>4864</v>
      </c>
      <c r="F1715" s="147" t="s">
        <v>4865</v>
      </c>
      <c r="G1715" s="146" t="s">
        <v>109</v>
      </c>
      <c r="H1715" s="146" t="s">
        <v>51</v>
      </c>
      <c r="I1715" s="147" t="s">
        <v>4693</v>
      </c>
      <c r="J1715" s="147" t="s">
        <v>104</v>
      </c>
      <c r="K1715" s="148"/>
      <c r="L1715" s="149"/>
      <c r="M1715" s="148"/>
    </row>
    <row r="1716" spans="1:13" ht="15" customHeight="1">
      <c r="A1716" s="142" t="s">
        <v>4866</v>
      </c>
      <c r="B1716" s="142">
        <v>515625</v>
      </c>
      <c r="C1716" s="143" t="s">
        <v>4867</v>
      </c>
      <c r="D1716" s="142" t="s">
        <v>4690</v>
      </c>
      <c r="E1716" s="143" t="s">
        <v>4868</v>
      </c>
      <c r="F1716" s="143" t="s">
        <v>4869</v>
      </c>
      <c r="G1716" s="142" t="s">
        <v>109</v>
      </c>
      <c r="H1716" s="142" t="s">
        <v>51</v>
      </c>
      <c r="I1716" s="143" t="s">
        <v>4693</v>
      </c>
      <c r="J1716" s="143" t="s">
        <v>104</v>
      </c>
      <c r="K1716" s="144"/>
      <c r="L1716" s="145"/>
      <c r="M1716" s="144"/>
    </row>
    <row r="1717" spans="1:13" ht="15" customHeight="1">
      <c r="A1717" s="146" t="s">
        <v>4870</v>
      </c>
      <c r="B1717" s="146">
        <v>515442</v>
      </c>
      <c r="C1717" s="147" t="s">
        <v>4871</v>
      </c>
      <c r="D1717" s="146" t="s">
        <v>4690</v>
      </c>
      <c r="E1717" s="147" t="s">
        <v>4872</v>
      </c>
      <c r="F1717" s="147" t="s">
        <v>4873</v>
      </c>
      <c r="G1717" s="146" t="s">
        <v>109</v>
      </c>
      <c r="H1717" s="146" t="s">
        <v>51</v>
      </c>
      <c r="I1717" s="147" t="s">
        <v>4693</v>
      </c>
      <c r="J1717" s="147" t="s">
        <v>104</v>
      </c>
      <c r="K1717" s="148"/>
      <c r="L1717" s="149"/>
      <c r="M1717" s="148"/>
    </row>
    <row r="1718" spans="1:13" ht="15" customHeight="1">
      <c r="A1718" s="142" t="s">
        <v>4874</v>
      </c>
      <c r="B1718" s="142">
        <v>515661</v>
      </c>
      <c r="C1718" s="143" t="s">
        <v>4875</v>
      </c>
      <c r="D1718" s="142" t="s">
        <v>4690</v>
      </c>
      <c r="E1718" s="143" t="s">
        <v>4844</v>
      </c>
      <c r="F1718" s="143" t="s">
        <v>4876</v>
      </c>
      <c r="G1718" s="142" t="s">
        <v>109</v>
      </c>
      <c r="H1718" s="142" t="s">
        <v>51</v>
      </c>
      <c r="I1718" s="143" t="s">
        <v>4693</v>
      </c>
      <c r="J1718" s="143" t="s">
        <v>104</v>
      </c>
      <c r="K1718" s="144"/>
      <c r="L1718" s="145"/>
      <c r="M1718" s="144"/>
    </row>
    <row r="1719" spans="1:13" ht="15" customHeight="1">
      <c r="A1719" s="146" t="s">
        <v>4877</v>
      </c>
      <c r="B1719" s="146">
        <v>515555</v>
      </c>
      <c r="C1719" s="147" t="s">
        <v>4878</v>
      </c>
      <c r="D1719" s="146" t="s">
        <v>4690</v>
      </c>
      <c r="E1719" s="147" t="s">
        <v>4879</v>
      </c>
      <c r="F1719" s="147" t="s">
        <v>4880</v>
      </c>
      <c r="G1719" s="146" t="s">
        <v>109</v>
      </c>
      <c r="H1719" s="146" t="s">
        <v>51</v>
      </c>
      <c r="I1719" s="147" t="s">
        <v>4693</v>
      </c>
      <c r="J1719" s="147" t="s">
        <v>104</v>
      </c>
      <c r="K1719" s="148"/>
      <c r="L1719" s="149"/>
      <c r="M1719" s="148"/>
    </row>
    <row r="1720" spans="1:13" ht="15" customHeight="1">
      <c r="A1720" s="142" t="s">
        <v>4881</v>
      </c>
      <c r="B1720" s="142">
        <v>516590</v>
      </c>
      <c r="C1720" s="143" t="s">
        <v>4882</v>
      </c>
      <c r="D1720" s="142" t="s">
        <v>4690</v>
      </c>
      <c r="E1720" s="143" t="s">
        <v>4883</v>
      </c>
      <c r="F1720" s="143" t="s">
        <v>4884</v>
      </c>
      <c r="G1720" s="142" t="s">
        <v>109</v>
      </c>
      <c r="H1720" s="142" t="s">
        <v>51</v>
      </c>
      <c r="I1720" s="143" t="s">
        <v>4693</v>
      </c>
      <c r="J1720" s="143" t="s">
        <v>104</v>
      </c>
      <c r="K1720" s="144"/>
      <c r="L1720" s="145"/>
      <c r="M1720" s="144"/>
    </row>
    <row r="1721" spans="1:13" ht="15" customHeight="1">
      <c r="A1721" s="146" t="s">
        <v>4885</v>
      </c>
      <c r="B1721" s="146">
        <v>515521</v>
      </c>
      <c r="C1721" s="147" t="s">
        <v>4886</v>
      </c>
      <c r="D1721" s="146" t="s">
        <v>4690</v>
      </c>
      <c r="E1721" s="147" t="s">
        <v>4857</v>
      </c>
      <c r="F1721" s="147" t="s">
        <v>4887</v>
      </c>
      <c r="G1721" s="146" t="s">
        <v>109</v>
      </c>
      <c r="H1721" s="146" t="s">
        <v>51</v>
      </c>
      <c r="I1721" s="147" t="s">
        <v>4693</v>
      </c>
      <c r="J1721" s="147" t="s">
        <v>104</v>
      </c>
      <c r="K1721" s="148"/>
      <c r="L1721" s="149"/>
      <c r="M1721" s="148"/>
    </row>
    <row r="1722" spans="1:13" ht="15" customHeight="1">
      <c r="A1722" s="142" t="s">
        <v>4888</v>
      </c>
      <c r="B1722" s="142">
        <v>515435</v>
      </c>
      <c r="C1722" s="143" t="s">
        <v>4889</v>
      </c>
      <c r="D1722" s="142" t="s">
        <v>4690</v>
      </c>
      <c r="E1722" s="143" t="s">
        <v>4696</v>
      </c>
      <c r="F1722" s="143" t="s">
        <v>4890</v>
      </c>
      <c r="G1722" s="142" t="s">
        <v>109</v>
      </c>
      <c r="H1722" s="142" t="s">
        <v>51</v>
      </c>
      <c r="I1722" s="143" t="s">
        <v>4693</v>
      </c>
      <c r="J1722" s="143" t="s">
        <v>104</v>
      </c>
      <c r="K1722" s="144"/>
      <c r="L1722" s="145"/>
      <c r="M1722" s="144"/>
    </row>
    <row r="1723" spans="1:13" ht="15" customHeight="1">
      <c r="A1723" s="146" t="s">
        <v>4891</v>
      </c>
      <c r="B1723" s="146">
        <v>516995</v>
      </c>
      <c r="C1723" s="147" t="s">
        <v>4892</v>
      </c>
      <c r="D1723" s="146" t="s">
        <v>4690</v>
      </c>
      <c r="E1723" s="147" t="s">
        <v>4847</v>
      </c>
      <c r="F1723" s="147" t="s">
        <v>4848</v>
      </c>
      <c r="G1723" s="146" t="s">
        <v>109</v>
      </c>
      <c r="H1723" s="146" t="s">
        <v>51</v>
      </c>
      <c r="I1723" s="147" t="s">
        <v>4693</v>
      </c>
      <c r="J1723" s="147" t="s">
        <v>104</v>
      </c>
      <c r="K1723" s="148"/>
      <c r="L1723" s="149"/>
      <c r="M1723" s="148"/>
    </row>
    <row r="1724" spans="1:13" ht="15" customHeight="1">
      <c r="A1724" s="142" t="s">
        <v>4893</v>
      </c>
      <c r="B1724" s="142">
        <v>515562</v>
      </c>
      <c r="C1724" s="143" t="s">
        <v>4894</v>
      </c>
      <c r="D1724" s="142" t="s">
        <v>4690</v>
      </c>
      <c r="E1724" s="143" t="s">
        <v>4736</v>
      </c>
      <c r="F1724" s="143" t="s">
        <v>4895</v>
      </c>
      <c r="G1724" s="142" t="s">
        <v>109</v>
      </c>
      <c r="H1724" s="142" t="s">
        <v>51</v>
      </c>
      <c r="I1724" s="143" t="s">
        <v>4693</v>
      </c>
      <c r="J1724" s="143" t="s">
        <v>104</v>
      </c>
      <c r="K1724" s="144"/>
      <c r="L1724" s="145"/>
      <c r="M1724" s="144"/>
    </row>
    <row r="1725" spans="1:13" ht="15" customHeight="1">
      <c r="A1725" s="146" t="s">
        <v>4896</v>
      </c>
      <c r="B1725" s="146">
        <v>515605</v>
      </c>
      <c r="C1725" s="147" t="s">
        <v>4897</v>
      </c>
      <c r="D1725" s="146" t="s">
        <v>4690</v>
      </c>
      <c r="E1725" s="147" t="s">
        <v>4898</v>
      </c>
      <c r="F1725" s="147" t="s">
        <v>4899</v>
      </c>
      <c r="G1725" s="146" t="s">
        <v>109</v>
      </c>
      <c r="H1725" s="146" t="s">
        <v>51</v>
      </c>
      <c r="I1725" s="147" t="s">
        <v>4693</v>
      </c>
      <c r="J1725" s="147" t="s">
        <v>104</v>
      </c>
      <c r="K1725" s="148"/>
      <c r="L1725" s="149"/>
      <c r="M1725" s="148"/>
    </row>
    <row r="1726" spans="1:13" ht="15" customHeight="1">
      <c r="A1726" s="142" t="s">
        <v>4900</v>
      </c>
      <c r="B1726" s="142">
        <v>515358</v>
      </c>
      <c r="C1726" s="143" t="s">
        <v>4901</v>
      </c>
      <c r="D1726" s="142" t="s">
        <v>4690</v>
      </c>
      <c r="E1726" s="143" t="s">
        <v>4902</v>
      </c>
      <c r="F1726" s="143" t="s">
        <v>4902</v>
      </c>
      <c r="G1726" s="142" t="s">
        <v>109</v>
      </c>
      <c r="H1726" s="142" t="s">
        <v>51</v>
      </c>
      <c r="I1726" s="143" t="s">
        <v>4693</v>
      </c>
      <c r="J1726" s="143" t="s">
        <v>104</v>
      </c>
      <c r="K1726" s="144"/>
      <c r="L1726" s="145"/>
      <c r="M1726" s="144"/>
    </row>
    <row r="1727" spans="1:13" ht="15" customHeight="1">
      <c r="A1727" s="146" t="s">
        <v>4903</v>
      </c>
      <c r="B1727" s="146">
        <v>516379</v>
      </c>
      <c r="C1727" s="147" t="s">
        <v>437</v>
      </c>
      <c r="D1727" s="146" t="s">
        <v>4690</v>
      </c>
      <c r="E1727" s="147" t="s">
        <v>4762</v>
      </c>
      <c r="F1727" s="147" t="s">
        <v>4904</v>
      </c>
      <c r="G1727" s="146" t="s">
        <v>109</v>
      </c>
      <c r="H1727" s="146" t="s">
        <v>51</v>
      </c>
      <c r="I1727" s="147" t="s">
        <v>4693</v>
      </c>
      <c r="J1727" s="147" t="s">
        <v>104</v>
      </c>
      <c r="K1727" s="148"/>
      <c r="L1727" s="149"/>
      <c r="M1727" s="148"/>
    </row>
    <row r="1728" spans="1:13" ht="15" customHeight="1">
      <c r="A1728" s="142" t="s">
        <v>4905</v>
      </c>
      <c r="B1728" s="142">
        <v>515597</v>
      </c>
      <c r="C1728" s="143" t="s">
        <v>4906</v>
      </c>
      <c r="D1728" s="142" t="s">
        <v>4690</v>
      </c>
      <c r="E1728" s="143" t="s">
        <v>4860</v>
      </c>
      <c r="F1728" s="143" t="s">
        <v>4907</v>
      </c>
      <c r="G1728" s="142" t="s">
        <v>109</v>
      </c>
      <c r="H1728" s="142" t="s">
        <v>51</v>
      </c>
      <c r="I1728" s="143" t="s">
        <v>4693</v>
      </c>
      <c r="J1728" s="143" t="s">
        <v>104</v>
      </c>
      <c r="K1728" s="144"/>
      <c r="L1728" s="145"/>
      <c r="M1728" s="144"/>
    </row>
    <row r="1729" spans="1:13" ht="15" customHeight="1">
      <c r="A1729" s="146" t="s">
        <v>4908</v>
      </c>
      <c r="B1729" s="146">
        <v>515717</v>
      </c>
      <c r="C1729" s="147" t="s">
        <v>1123</v>
      </c>
      <c r="D1729" s="146" t="s">
        <v>4690</v>
      </c>
      <c r="E1729" s="147" t="s">
        <v>4740</v>
      </c>
      <c r="F1729" s="147" t="s">
        <v>4741</v>
      </c>
      <c r="G1729" s="146" t="s">
        <v>109</v>
      </c>
      <c r="H1729" s="146" t="s">
        <v>51</v>
      </c>
      <c r="I1729" s="147" t="s">
        <v>4693</v>
      </c>
      <c r="J1729" s="147" t="s">
        <v>104</v>
      </c>
      <c r="K1729" s="148"/>
      <c r="L1729" s="149"/>
      <c r="M1729" s="148"/>
    </row>
    <row r="1730" spans="1:13" ht="15" customHeight="1">
      <c r="A1730" s="142" t="s">
        <v>4909</v>
      </c>
      <c r="B1730" s="142">
        <v>515709</v>
      </c>
      <c r="C1730" s="143" t="s">
        <v>4910</v>
      </c>
      <c r="D1730" s="142" t="s">
        <v>4690</v>
      </c>
      <c r="E1730" s="143" t="s">
        <v>4712</v>
      </c>
      <c r="F1730" s="143" t="s">
        <v>438</v>
      </c>
      <c r="G1730" s="142" t="s">
        <v>109</v>
      </c>
      <c r="H1730" s="142" t="s">
        <v>50</v>
      </c>
      <c r="I1730" s="143" t="s">
        <v>1532</v>
      </c>
      <c r="J1730" s="143" t="s">
        <v>104</v>
      </c>
      <c r="K1730" s="144" t="s">
        <v>162</v>
      </c>
      <c r="L1730" s="145">
        <v>46139</v>
      </c>
      <c r="M1730" s="144"/>
    </row>
    <row r="1731" spans="1:13" ht="15" customHeight="1">
      <c r="A1731" s="146" t="s">
        <v>4911</v>
      </c>
      <c r="B1731" s="146">
        <v>515592</v>
      </c>
      <c r="C1731" s="147" t="s">
        <v>4912</v>
      </c>
      <c r="D1731" s="146" t="s">
        <v>4690</v>
      </c>
      <c r="E1731" s="147" t="s">
        <v>4715</v>
      </c>
      <c r="F1731" s="147" t="s">
        <v>4716</v>
      </c>
      <c r="G1731" s="146" t="s">
        <v>109</v>
      </c>
      <c r="H1731" s="146" t="s">
        <v>51</v>
      </c>
      <c r="I1731" s="147" t="s">
        <v>4693</v>
      </c>
      <c r="J1731" s="147" t="s">
        <v>104</v>
      </c>
      <c r="K1731" s="148"/>
      <c r="L1731" s="149"/>
      <c r="M1731" s="148"/>
    </row>
    <row r="1732" spans="1:13" ht="15" customHeight="1">
      <c r="A1732" s="142" t="s">
        <v>4913</v>
      </c>
      <c r="B1732" s="142">
        <v>515451</v>
      </c>
      <c r="C1732" s="143" t="s">
        <v>4914</v>
      </c>
      <c r="D1732" s="142" t="s">
        <v>4690</v>
      </c>
      <c r="E1732" s="143" t="s">
        <v>4844</v>
      </c>
      <c r="F1732" s="143" t="s">
        <v>3765</v>
      </c>
      <c r="G1732" s="142" t="s">
        <v>109</v>
      </c>
      <c r="H1732" s="142" t="s">
        <v>51</v>
      </c>
      <c r="I1732" s="143" t="s">
        <v>4693</v>
      </c>
      <c r="J1732" s="143" t="s">
        <v>104</v>
      </c>
      <c r="K1732" s="144"/>
      <c r="L1732" s="145"/>
      <c r="M1732" s="144"/>
    </row>
    <row r="1733" spans="1:13" ht="15" customHeight="1">
      <c r="A1733" s="146" t="s">
        <v>4915</v>
      </c>
      <c r="B1733" s="146">
        <v>515723</v>
      </c>
      <c r="C1733" s="147" t="s">
        <v>4916</v>
      </c>
      <c r="D1733" s="146" t="s">
        <v>4690</v>
      </c>
      <c r="E1733" s="147" t="s">
        <v>4917</v>
      </c>
      <c r="F1733" s="147" t="s">
        <v>1428</v>
      </c>
      <c r="G1733" s="146" t="s">
        <v>109</v>
      </c>
      <c r="H1733" s="146" t="s">
        <v>51</v>
      </c>
      <c r="I1733" s="147" t="s">
        <v>4693</v>
      </c>
      <c r="J1733" s="147" t="s">
        <v>104</v>
      </c>
      <c r="K1733" s="148"/>
      <c r="L1733" s="149"/>
      <c r="M1733" s="148"/>
    </row>
    <row r="1734" spans="1:13" ht="15" customHeight="1">
      <c r="A1734" s="142" t="s">
        <v>4918</v>
      </c>
      <c r="B1734" s="142">
        <v>515740</v>
      </c>
      <c r="C1734" s="143" t="s">
        <v>1204</v>
      </c>
      <c r="D1734" s="142" t="s">
        <v>4690</v>
      </c>
      <c r="E1734" s="143" t="s">
        <v>4722</v>
      </c>
      <c r="F1734" s="143" t="s">
        <v>4726</v>
      </c>
      <c r="G1734" s="142" t="s">
        <v>109</v>
      </c>
      <c r="H1734" s="142" t="s">
        <v>51</v>
      </c>
      <c r="I1734" s="143" t="s">
        <v>4693</v>
      </c>
      <c r="J1734" s="143" t="s">
        <v>104</v>
      </c>
      <c r="K1734" s="144"/>
      <c r="L1734" s="145"/>
      <c r="M1734" s="144"/>
    </row>
    <row r="1735" spans="1:13" ht="15" customHeight="1">
      <c r="A1735" s="146" t="s">
        <v>4919</v>
      </c>
      <c r="B1735" s="146">
        <v>515702</v>
      </c>
      <c r="C1735" s="147" t="s">
        <v>4920</v>
      </c>
      <c r="D1735" s="146" t="s">
        <v>4690</v>
      </c>
      <c r="E1735" s="147" t="s">
        <v>4921</v>
      </c>
      <c r="F1735" s="147" t="s">
        <v>1238</v>
      </c>
      <c r="G1735" s="146" t="s">
        <v>109</v>
      </c>
      <c r="H1735" s="146" t="s">
        <v>50</v>
      </c>
      <c r="I1735" s="147" t="s">
        <v>3391</v>
      </c>
      <c r="J1735" s="147" t="s">
        <v>104</v>
      </c>
      <c r="K1735" s="148"/>
      <c r="L1735" s="149"/>
      <c r="M1735" s="148"/>
    </row>
    <row r="1736" spans="1:13" ht="15" customHeight="1">
      <c r="A1736" s="142" t="s">
        <v>4922</v>
      </c>
      <c r="B1736" s="142">
        <v>515393</v>
      </c>
      <c r="C1736" s="143" t="s">
        <v>4923</v>
      </c>
      <c r="D1736" s="142" t="s">
        <v>4690</v>
      </c>
      <c r="E1736" s="143" t="s">
        <v>4744</v>
      </c>
      <c r="F1736" s="143" t="s">
        <v>4924</v>
      </c>
      <c r="G1736" s="142" t="s">
        <v>109</v>
      </c>
      <c r="H1736" s="142" t="s">
        <v>51</v>
      </c>
      <c r="I1736" s="143" t="s">
        <v>4693</v>
      </c>
      <c r="J1736" s="143" t="s">
        <v>104</v>
      </c>
      <c r="K1736" s="144"/>
      <c r="L1736" s="145"/>
      <c r="M1736" s="144"/>
    </row>
    <row r="1737" spans="1:13" ht="15" customHeight="1">
      <c r="A1737" s="146" t="s">
        <v>4925</v>
      </c>
      <c r="B1737" s="146">
        <v>515556</v>
      </c>
      <c r="C1737" s="147" t="s">
        <v>4926</v>
      </c>
      <c r="D1737" s="146" t="s">
        <v>4690</v>
      </c>
      <c r="E1737" s="147" t="s">
        <v>4879</v>
      </c>
      <c r="F1737" s="147" t="s">
        <v>4927</v>
      </c>
      <c r="G1737" s="146" t="s">
        <v>109</v>
      </c>
      <c r="H1737" s="146" t="s">
        <v>51</v>
      </c>
      <c r="I1737" s="147" t="s">
        <v>4693</v>
      </c>
      <c r="J1737" s="147" t="s">
        <v>104</v>
      </c>
      <c r="K1737" s="148"/>
      <c r="L1737" s="149"/>
      <c r="M1737" s="148"/>
    </row>
    <row r="1738" spans="1:13" ht="15" customHeight="1">
      <c r="A1738" s="142" t="s">
        <v>4928</v>
      </c>
      <c r="B1738" s="142">
        <v>515607</v>
      </c>
      <c r="C1738" s="143" t="s">
        <v>4929</v>
      </c>
      <c r="D1738" s="142" t="s">
        <v>4690</v>
      </c>
      <c r="E1738" s="143" t="s">
        <v>4898</v>
      </c>
      <c r="F1738" s="143" t="s">
        <v>4930</v>
      </c>
      <c r="G1738" s="142" t="s">
        <v>109</v>
      </c>
      <c r="H1738" s="142" t="s">
        <v>51</v>
      </c>
      <c r="I1738" s="143" t="s">
        <v>4693</v>
      </c>
      <c r="J1738" s="143" t="s">
        <v>104</v>
      </c>
      <c r="K1738" s="144"/>
      <c r="L1738" s="145"/>
      <c r="M1738" s="144"/>
    </row>
    <row r="1739" spans="1:13" ht="15" customHeight="1">
      <c r="A1739" s="146" t="s">
        <v>4931</v>
      </c>
      <c r="B1739" s="146">
        <v>515752</v>
      </c>
      <c r="C1739" s="147" t="s">
        <v>4932</v>
      </c>
      <c r="D1739" s="146" t="s">
        <v>4690</v>
      </c>
      <c r="E1739" s="147" t="s">
        <v>4758</v>
      </c>
      <c r="F1739" s="147" t="s">
        <v>4933</v>
      </c>
      <c r="G1739" s="146" t="s">
        <v>109</v>
      </c>
      <c r="H1739" s="146" t="s">
        <v>51</v>
      </c>
      <c r="I1739" s="147" t="s">
        <v>4693</v>
      </c>
      <c r="J1739" s="147" t="s">
        <v>104</v>
      </c>
      <c r="K1739" s="148"/>
      <c r="L1739" s="149"/>
      <c r="M1739" s="148"/>
    </row>
    <row r="1740" spans="1:13" ht="15" customHeight="1">
      <c r="A1740" s="142" t="s">
        <v>4934</v>
      </c>
      <c r="B1740" s="142">
        <v>516912</v>
      </c>
      <c r="C1740" s="143" t="s">
        <v>4935</v>
      </c>
      <c r="D1740" s="142" t="s">
        <v>4690</v>
      </c>
      <c r="E1740" s="143" t="s">
        <v>4758</v>
      </c>
      <c r="F1740" s="143" t="s">
        <v>1455</v>
      </c>
      <c r="G1740" s="142" t="s">
        <v>109</v>
      </c>
      <c r="H1740" s="142" t="s">
        <v>51</v>
      </c>
      <c r="I1740" s="143" t="s">
        <v>4693</v>
      </c>
      <c r="J1740" s="143" t="s">
        <v>104</v>
      </c>
      <c r="K1740" s="144"/>
      <c r="L1740" s="145"/>
      <c r="M1740" s="144"/>
    </row>
    <row r="1741" spans="1:13" ht="15" customHeight="1">
      <c r="A1741" s="146" t="s">
        <v>4936</v>
      </c>
      <c r="B1741" s="146">
        <v>516926</v>
      </c>
      <c r="C1741" s="147" t="s">
        <v>4937</v>
      </c>
      <c r="D1741" s="146" t="s">
        <v>4690</v>
      </c>
      <c r="E1741" s="147" t="s">
        <v>4758</v>
      </c>
      <c r="F1741" s="147" t="s">
        <v>4938</v>
      </c>
      <c r="G1741" s="146" t="s">
        <v>109</v>
      </c>
      <c r="H1741" s="146" t="s">
        <v>51</v>
      </c>
      <c r="I1741" s="147" t="s">
        <v>4693</v>
      </c>
      <c r="J1741" s="147" t="s">
        <v>104</v>
      </c>
      <c r="K1741" s="148"/>
      <c r="L1741" s="149"/>
      <c r="M1741" s="148"/>
    </row>
    <row r="1742" spans="1:13" ht="15" customHeight="1">
      <c r="A1742" s="142" t="s">
        <v>4939</v>
      </c>
      <c r="B1742" s="142">
        <v>515753</v>
      </c>
      <c r="C1742" s="143" t="s">
        <v>4940</v>
      </c>
      <c r="D1742" s="142" t="s">
        <v>4690</v>
      </c>
      <c r="E1742" s="143" t="s">
        <v>4758</v>
      </c>
      <c r="F1742" s="143" t="s">
        <v>4941</v>
      </c>
      <c r="G1742" s="142" t="s">
        <v>109</v>
      </c>
      <c r="H1742" s="142" t="s">
        <v>51</v>
      </c>
      <c r="I1742" s="143" t="s">
        <v>4693</v>
      </c>
      <c r="J1742" s="143" t="s">
        <v>104</v>
      </c>
      <c r="K1742" s="144"/>
      <c r="L1742" s="145"/>
      <c r="M1742" s="144"/>
    </row>
    <row r="1743" spans="1:13" ht="15" customHeight="1">
      <c r="A1743" s="146" t="s">
        <v>4942</v>
      </c>
      <c r="B1743" s="146">
        <v>515755</v>
      </c>
      <c r="C1743" s="147" t="s">
        <v>4943</v>
      </c>
      <c r="D1743" s="146" t="s">
        <v>4690</v>
      </c>
      <c r="E1743" s="147" t="s">
        <v>4944</v>
      </c>
      <c r="F1743" s="147" t="s">
        <v>4945</v>
      </c>
      <c r="G1743" s="146" t="s">
        <v>109</v>
      </c>
      <c r="H1743" s="146" t="s">
        <v>51</v>
      </c>
      <c r="I1743" s="147" t="s">
        <v>4693</v>
      </c>
      <c r="J1743" s="147" t="s">
        <v>104</v>
      </c>
      <c r="K1743" s="148"/>
      <c r="L1743" s="149"/>
      <c r="M1743" s="148"/>
    </row>
    <row r="1744" spans="1:13" ht="15" customHeight="1">
      <c r="A1744" s="142" t="s">
        <v>4946</v>
      </c>
      <c r="B1744" s="142">
        <v>516996</v>
      </c>
      <c r="C1744" s="143" t="s">
        <v>4947</v>
      </c>
      <c r="D1744" s="142" t="s">
        <v>4690</v>
      </c>
      <c r="E1744" s="143" t="s">
        <v>4847</v>
      </c>
      <c r="F1744" s="143" t="s">
        <v>4948</v>
      </c>
      <c r="G1744" s="142" t="s">
        <v>109</v>
      </c>
      <c r="H1744" s="142" t="s">
        <v>51</v>
      </c>
      <c r="I1744" s="143" t="s">
        <v>4693</v>
      </c>
      <c r="J1744" s="143" t="s">
        <v>104</v>
      </c>
      <c r="K1744" s="144"/>
      <c r="L1744" s="145"/>
      <c r="M1744" s="144"/>
    </row>
    <row r="1745" spans="1:13" ht="15" customHeight="1">
      <c r="A1745" s="146" t="s">
        <v>4949</v>
      </c>
      <c r="B1745" s="146">
        <v>515614</v>
      </c>
      <c r="C1745" s="147" t="s">
        <v>4950</v>
      </c>
      <c r="D1745" s="146" t="s">
        <v>4690</v>
      </c>
      <c r="E1745" s="147" t="s">
        <v>4786</v>
      </c>
      <c r="F1745" s="147" t="s">
        <v>4790</v>
      </c>
      <c r="G1745" s="146" t="s">
        <v>109</v>
      </c>
      <c r="H1745" s="146" t="s">
        <v>51</v>
      </c>
      <c r="I1745" s="147" t="s">
        <v>4693</v>
      </c>
      <c r="J1745" s="147" t="s">
        <v>104</v>
      </c>
      <c r="K1745" s="148"/>
      <c r="L1745" s="149"/>
      <c r="M1745" s="148"/>
    </row>
    <row r="1746" spans="1:13" ht="15" customHeight="1">
      <c r="A1746" s="142" t="s">
        <v>4951</v>
      </c>
      <c r="B1746" s="142">
        <v>516591</v>
      </c>
      <c r="C1746" s="143" t="s">
        <v>4952</v>
      </c>
      <c r="D1746" s="142" t="s">
        <v>4690</v>
      </c>
      <c r="E1746" s="143" t="s">
        <v>4883</v>
      </c>
      <c r="F1746" s="143" t="s">
        <v>4953</v>
      </c>
      <c r="G1746" s="142" t="s">
        <v>109</v>
      </c>
      <c r="H1746" s="142" t="s">
        <v>51</v>
      </c>
      <c r="I1746" s="143" t="s">
        <v>4693</v>
      </c>
      <c r="J1746" s="143" t="s">
        <v>104</v>
      </c>
      <c r="K1746" s="144"/>
      <c r="L1746" s="145"/>
      <c r="M1746" s="144"/>
    </row>
    <row r="1747" spans="1:13" ht="15" customHeight="1">
      <c r="A1747" s="146" t="s">
        <v>4954</v>
      </c>
      <c r="B1747" s="146">
        <v>515686</v>
      </c>
      <c r="C1747" s="147" t="s">
        <v>4955</v>
      </c>
      <c r="D1747" s="146" t="s">
        <v>4690</v>
      </c>
      <c r="E1747" s="147" t="s">
        <v>4956</v>
      </c>
      <c r="F1747" s="147" t="s">
        <v>4957</v>
      </c>
      <c r="G1747" s="146" t="s">
        <v>109</v>
      </c>
      <c r="H1747" s="146" t="s">
        <v>51</v>
      </c>
      <c r="I1747" s="147" t="s">
        <v>4693</v>
      </c>
      <c r="J1747" s="147" t="s">
        <v>104</v>
      </c>
      <c r="K1747" s="148"/>
      <c r="L1747" s="149"/>
      <c r="M1747" s="148"/>
    </row>
    <row r="1748" spans="1:13" ht="15" customHeight="1">
      <c r="A1748" s="142" t="s">
        <v>4958</v>
      </c>
      <c r="B1748" s="142">
        <v>515389</v>
      </c>
      <c r="C1748" s="143" t="s">
        <v>4959</v>
      </c>
      <c r="D1748" s="142" t="s">
        <v>4690</v>
      </c>
      <c r="E1748" s="143" t="s">
        <v>4793</v>
      </c>
      <c r="F1748" s="143" t="s">
        <v>4794</v>
      </c>
      <c r="G1748" s="142" t="s">
        <v>109</v>
      </c>
      <c r="H1748" s="142" t="s">
        <v>51</v>
      </c>
      <c r="I1748" s="143" t="s">
        <v>4693</v>
      </c>
      <c r="J1748" s="143" t="s">
        <v>104</v>
      </c>
      <c r="K1748" s="144" t="s">
        <v>121</v>
      </c>
      <c r="L1748" s="145">
        <v>46148</v>
      </c>
      <c r="M1748" s="144"/>
    </row>
    <row r="1749" spans="1:13" ht="15" customHeight="1">
      <c r="A1749" s="146" t="s">
        <v>4960</v>
      </c>
      <c r="B1749" s="146">
        <v>515612</v>
      </c>
      <c r="C1749" s="147" t="s">
        <v>4961</v>
      </c>
      <c r="D1749" s="146" t="s">
        <v>4690</v>
      </c>
      <c r="E1749" s="147" t="s">
        <v>4812</v>
      </c>
      <c r="F1749" s="147" t="s">
        <v>4962</v>
      </c>
      <c r="G1749" s="146" t="s">
        <v>109</v>
      </c>
      <c r="H1749" s="146" t="s">
        <v>51</v>
      </c>
      <c r="I1749" s="147" t="s">
        <v>4693</v>
      </c>
      <c r="J1749" s="147" t="s">
        <v>104</v>
      </c>
      <c r="K1749" s="148" t="s">
        <v>121</v>
      </c>
      <c r="L1749" s="149">
        <v>46150</v>
      </c>
      <c r="M1749" s="148"/>
    </row>
    <row r="1750" spans="1:13" ht="15" customHeight="1">
      <c r="A1750" s="142" t="s">
        <v>4963</v>
      </c>
      <c r="B1750" s="142">
        <v>515658</v>
      </c>
      <c r="C1750" s="143" t="s">
        <v>4964</v>
      </c>
      <c r="D1750" s="142" t="s">
        <v>4690</v>
      </c>
      <c r="E1750" s="143" t="s">
        <v>4812</v>
      </c>
      <c r="F1750" s="143" t="s">
        <v>4813</v>
      </c>
      <c r="G1750" s="142" t="s">
        <v>109</v>
      </c>
      <c r="H1750" s="142" t="s">
        <v>51</v>
      </c>
      <c r="I1750" s="143" t="s">
        <v>4693</v>
      </c>
      <c r="J1750" s="143" t="s">
        <v>104</v>
      </c>
      <c r="K1750" s="144" t="s">
        <v>121</v>
      </c>
      <c r="L1750" s="145">
        <v>46150</v>
      </c>
      <c r="M1750" s="144"/>
    </row>
    <row r="1751" spans="1:13" ht="15" customHeight="1">
      <c r="A1751" s="146" t="s">
        <v>4965</v>
      </c>
      <c r="B1751" s="146">
        <v>515430</v>
      </c>
      <c r="C1751" s="147" t="s">
        <v>4966</v>
      </c>
      <c r="D1751" s="146" t="s">
        <v>4690</v>
      </c>
      <c r="E1751" s="147" t="s">
        <v>4967</v>
      </c>
      <c r="F1751" s="147" t="s">
        <v>3034</v>
      </c>
      <c r="G1751" s="146" t="s">
        <v>109</v>
      </c>
      <c r="H1751" s="146" t="s">
        <v>51</v>
      </c>
      <c r="I1751" s="147" t="s">
        <v>4693</v>
      </c>
      <c r="J1751" s="147" t="s">
        <v>104</v>
      </c>
      <c r="K1751" s="148"/>
      <c r="L1751" s="149"/>
      <c r="M1751" s="148"/>
    </row>
    <row r="1752" spans="1:13" ht="15" customHeight="1">
      <c r="A1752" s="142" t="s">
        <v>4968</v>
      </c>
      <c r="B1752" s="142">
        <v>515716</v>
      </c>
      <c r="C1752" s="143" t="s">
        <v>1348</v>
      </c>
      <c r="D1752" s="142" t="s">
        <v>4690</v>
      </c>
      <c r="E1752" s="143" t="s">
        <v>4740</v>
      </c>
      <c r="F1752" s="143" t="s">
        <v>4969</v>
      </c>
      <c r="G1752" s="142" t="s">
        <v>109</v>
      </c>
      <c r="H1752" s="142" t="s">
        <v>51</v>
      </c>
      <c r="I1752" s="143" t="s">
        <v>4693</v>
      </c>
      <c r="J1752" s="143" t="s">
        <v>104</v>
      </c>
      <c r="K1752" s="144"/>
      <c r="L1752" s="145"/>
      <c r="M1752" s="144"/>
    </row>
    <row r="1753" spans="1:13" ht="15" customHeight="1">
      <c r="A1753" s="146" t="s">
        <v>4970</v>
      </c>
      <c r="B1753" s="146">
        <v>515480</v>
      </c>
      <c r="C1753" s="147" t="s">
        <v>4971</v>
      </c>
      <c r="D1753" s="146" t="s">
        <v>4690</v>
      </c>
      <c r="E1753" s="147" t="s">
        <v>4740</v>
      </c>
      <c r="F1753" s="147" t="s">
        <v>4972</v>
      </c>
      <c r="G1753" s="146" t="s">
        <v>109</v>
      </c>
      <c r="H1753" s="146" t="s">
        <v>51</v>
      </c>
      <c r="I1753" s="147" t="s">
        <v>4693</v>
      </c>
      <c r="J1753" s="147" t="s">
        <v>104</v>
      </c>
      <c r="K1753" s="148"/>
      <c r="L1753" s="149"/>
      <c r="M1753" s="148"/>
    </row>
    <row r="1754" spans="1:13" ht="15" customHeight="1">
      <c r="A1754" s="142" t="s">
        <v>4973</v>
      </c>
      <c r="B1754" s="142">
        <v>515482</v>
      </c>
      <c r="C1754" s="143" t="s">
        <v>4974</v>
      </c>
      <c r="D1754" s="142" t="s">
        <v>4690</v>
      </c>
      <c r="E1754" s="143" t="s">
        <v>4740</v>
      </c>
      <c r="F1754" s="143" t="s">
        <v>4975</v>
      </c>
      <c r="G1754" s="142" t="s">
        <v>109</v>
      </c>
      <c r="H1754" s="142" t="s">
        <v>51</v>
      </c>
      <c r="I1754" s="143" t="s">
        <v>4693</v>
      </c>
      <c r="J1754" s="143" t="s">
        <v>104</v>
      </c>
      <c r="K1754" s="144"/>
      <c r="L1754" s="145"/>
      <c r="M1754" s="144"/>
    </row>
    <row r="1755" spans="1:13" ht="15" customHeight="1">
      <c r="A1755" s="146" t="s">
        <v>4976</v>
      </c>
      <c r="B1755" s="146">
        <v>515666</v>
      </c>
      <c r="C1755" s="147" t="s">
        <v>4977</v>
      </c>
      <c r="D1755" s="146" t="s">
        <v>4690</v>
      </c>
      <c r="E1755" s="147" t="s">
        <v>4832</v>
      </c>
      <c r="F1755" s="147" t="s">
        <v>4978</v>
      </c>
      <c r="G1755" s="146" t="s">
        <v>109</v>
      </c>
      <c r="H1755" s="146" t="s">
        <v>51</v>
      </c>
      <c r="I1755" s="147" t="s">
        <v>4693</v>
      </c>
      <c r="J1755" s="147" t="s">
        <v>104</v>
      </c>
      <c r="K1755" s="148"/>
      <c r="L1755" s="149"/>
      <c r="M1755" s="148"/>
    </row>
    <row r="1756" spans="1:13" ht="15" customHeight="1">
      <c r="A1756" s="142" t="s">
        <v>4979</v>
      </c>
      <c r="B1756" s="142">
        <v>515407</v>
      </c>
      <c r="C1756" s="143" t="s">
        <v>4980</v>
      </c>
      <c r="D1756" s="142" t="s">
        <v>4690</v>
      </c>
      <c r="E1756" s="143" t="s">
        <v>4832</v>
      </c>
      <c r="F1756" s="143" t="s">
        <v>4833</v>
      </c>
      <c r="G1756" s="142" t="s">
        <v>109</v>
      </c>
      <c r="H1756" s="142" t="s">
        <v>51</v>
      </c>
      <c r="I1756" s="143" t="s">
        <v>4693</v>
      </c>
      <c r="J1756" s="143" t="s">
        <v>104</v>
      </c>
      <c r="K1756" s="144"/>
      <c r="L1756" s="145"/>
      <c r="M1756" s="144"/>
    </row>
    <row r="1757" spans="1:13" ht="15" customHeight="1">
      <c r="A1757" s="146" t="s">
        <v>4981</v>
      </c>
      <c r="B1757" s="146">
        <v>515745</v>
      </c>
      <c r="C1757" s="147" t="s">
        <v>4982</v>
      </c>
      <c r="D1757" s="146" t="s">
        <v>4690</v>
      </c>
      <c r="E1757" s="147" t="s">
        <v>4828</v>
      </c>
      <c r="F1757" s="147" t="s">
        <v>3597</v>
      </c>
      <c r="G1757" s="146" t="s">
        <v>109</v>
      </c>
      <c r="H1757" s="146" t="s">
        <v>51</v>
      </c>
      <c r="I1757" s="147" t="s">
        <v>4693</v>
      </c>
      <c r="J1757" s="147" t="s">
        <v>104</v>
      </c>
      <c r="K1757" s="148"/>
      <c r="L1757" s="149"/>
      <c r="M1757" s="148"/>
    </row>
    <row r="1758" spans="1:13" ht="15" customHeight="1">
      <c r="A1758" s="142" t="s">
        <v>4983</v>
      </c>
      <c r="B1758" s="142">
        <v>515534</v>
      </c>
      <c r="C1758" s="143" t="s">
        <v>4984</v>
      </c>
      <c r="D1758" s="142" t="s">
        <v>4690</v>
      </c>
      <c r="E1758" s="143" t="s">
        <v>4691</v>
      </c>
      <c r="F1758" s="143" t="s">
        <v>4692</v>
      </c>
      <c r="G1758" s="142" t="s">
        <v>109</v>
      </c>
      <c r="H1758" s="142" t="s">
        <v>51</v>
      </c>
      <c r="I1758" s="143" t="s">
        <v>4693</v>
      </c>
      <c r="J1758" s="143" t="s">
        <v>104</v>
      </c>
      <c r="K1758" s="144" t="s">
        <v>121</v>
      </c>
      <c r="L1758" s="145">
        <v>46149</v>
      </c>
      <c r="M1758" s="144"/>
    </row>
    <row r="1759" spans="1:13" ht="15" customHeight="1">
      <c r="A1759" s="146" t="s">
        <v>4985</v>
      </c>
      <c r="B1759" s="146">
        <v>515638</v>
      </c>
      <c r="C1759" s="147" t="s">
        <v>4986</v>
      </c>
      <c r="D1759" s="146" t="s">
        <v>4690</v>
      </c>
      <c r="E1759" s="147" t="s">
        <v>4857</v>
      </c>
      <c r="F1759" s="147" t="s">
        <v>4987</v>
      </c>
      <c r="G1759" s="146" t="s">
        <v>109</v>
      </c>
      <c r="H1759" s="146" t="s">
        <v>51</v>
      </c>
      <c r="I1759" s="147" t="s">
        <v>4693</v>
      </c>
      <c r="J1759" s="147" t="s">
        <v>104</v>
      </c>
      <c r="K1759" s="148"/>
      <c r="L1759" s="149"/>
      <c r="M1759" s="148"/>
    </row>
    <row r="1760" spans="1:13" ht="15" customHeight="1">
      <c r="A1760" s="142" t="s">
        <v>4988</v>
      </c>
      <c r="B1760" s="142">
        <v>515462</v>
      </c>
      <c r="C1760" s="143" t="s">
        <v>4989</v>
      </c>
      <c r="D1760" s="142" t="s">
        <v>4690</v>
      </c>
      <c r="E1760" s="143" t="s">
        <v>4857</v>
      </c>
      <c r="F1760" s="143" t="s">
        <v>4990</v>
      </c>
      <c r="G1760" s="142" t="s">
        <v>109</v>
      </c>
      <c r="H1760" s="142" t="s">
        <v>51</v>
      </c>
      <c r="I1760" s="143" t="s">
        <v>4693</v>
      </c>
      <c r="J1760" s="143" t="s">
        <v>104</v>
      </c>
      <c r="K1760" s="144"/>
      <c r="L1760" s="145"/>
      <c r="M1760" s="144"/>
    </row>
    <row r="1761" spans="1:13" ht="15" customHeight="1">
      <c r="A1761" s="146" t="s">
        <v>4991</v>
      </c>
      <c r="B1761" s="146">
        <v>515635</v>
      </c>
      <c r="C1761" s="147" t="s">
        <v>4992</v>
      </c>
      <c r="D1761" s="146" t="s">
        <v>4690</v>
      </c>
      <c r="E1761" s="147" t="s">
        <v>4993</v>
      </c>
      <c r="F1761" s="147" t="s">
        <v>4994</v>
      </c>
      <c r="G1761" s="146" t="s">
        <v>109</v>
      </c>
      <c r="H1761" s="146" t="s">
        <v>51</v>
      </c>
      <c r="I1761" s="147" t="s">
        <v>4693</v>
      </c>
      <c r="J1761" s="147" t="s">
        <v>104</v>
      </c>
      <c r="K1761" s="148"/>
      <c r="L1761" s="149"/>
      <c r="M1761" s="148"/>
    </row>
    <row r="1762" spans="1:13" ht="15" customHeight="1">
      <c r="A1762" s="142" t="s">
        <v>4995</v>
      </c>
      <c r="B1762" s="142">
        <v>515575</v>
      </c>
      <c r="C1762" s="143" t="s">
        <v>4996</v>
      </c>
      <c r="D1762" s="142" t="s">
        <v>4690</v>
      </c>
      <c r="E1762" s="143" t="s">
        <v>4715</v>
      </c>
      <c r="F1762" s="143" t="s">
        <v>4719</v>
      </c>
      <c r="G1762" s="142" t="s">
        <v>109</v>
      </c>
      <c r="H1762" s="142" t="s">
        <v>51</v>
      </c>
      <c r="I1762" s="143" t="s">
        <v>4693</v>
      </c>
      <c r="J1762" s="143" t="s">
        <v>104</v>
      </c>
      <c r="K1762" s="144"/>
      <c r="L1762" s="145"/>
      <c r="M1762" s="144"/>
    </row>
    <row r="1763" spans="1:13" ht="15" customHeight="1">
      <c r="A1763" s="146" t="s">
        <v>4997</v>
      </c>
      <c r="B1763" s="146">
        <v>515710</v>
      </c>
      <c r="C1763" s="147" t="s">
        <v>4998</v>
      </c>
      <c r="D1763" s="146" t="s">
        <v>4690</v>
      </c>
      <c r="E1763" s="147" t="s">
        <v>4712</v>
      </c>
      <c r="F1763" s="147" t="s">
        <v>4751</v>
      </c>
      <c r="G1763" s="146" t="s">
        <v>109</v>
      </c>
      <c r="H1763" s="146" t="s">
        <v>50</v>
      </c>
      <c r="I1763" s="147" t="s">
        <v>1532</v>
      </c>
      <c r="J1763" s="147" t="s">
        <v>104</v>
      </c>
      <c r="K1763" s="148" t="s">
        <v>162</v>
      </c>
      <c r="L1763" s="149">
        <v>46140</v>
      </c>
      <c r="M1763" s="154" t="s">
        <v>4999</v>
      </c>
    </row>
    <row r="1764" spans="1:13" ht="15" customHeight="1">
      <c r="A1764" s="142" t="s">
        <v>5000</v>
      </c>
      <c r="B1764" s="142">
        <v>516609</v>
      </c>
      <c r="C1764" s="143" t="s">
        <v>5001</v>
      </c>
      <c r="D1764" s="142" t="s">
        <v>4690</v>
      </c>
      <c r="E1764" s="143" t="s">
        <v>4847</v>
      </c>
      <c r="F1764" s="143" t="s">
        <v>4854</v>
      </c>
      <c r="G1764" s="142" t="s">
        <v>109</v>
      </c>
      <c r="H1764" s="142" t="s">
        <v>51</v>
      </c>
      <c r="I1764" s="143" t="s">
        <v>4693</v>
      </c>
      <c r="J1764" s="143" t="s">
        <v>104</v>
      </c>
      <c r="K1764" s="144"/>
      <c r="L1764" s="145"/>
      <c r="M1764" s="144"/>
    </row>
    <row r="1765" spans="1:13" ht="15" customHeight="1">
      <c r="A1765" s="146" t="s">
        <v>5002</v>
      </c>
      <c r="B1765" s="146">
        <v>515594</v>
      </c>
      <c r="C1765" s="147" t="s">
        <v>5003</v>
      </c>
      <c r="D1765" s="146" t="s">
        <v>4690</v>
      </c>
      <c r="E1765" s="147" t="s">
        <v>4715</v>
      </c>
      <c r="F1765" s="147" t="s">
        <v>5004</v>
      </c>
      <c r="G1765" s="146" t="s">
        <v>109</v>
      </c>
      <c r="H1765" s="146" t="s">
        <v>51</v>
      </c>
      <c r="I1765" s="147" t="s">
        <v>4693</v>
      </c>
      <c r="J1765" s="147" t="s">
        <v>104</v>
      </c>
      <c r="K1765" s="148"/>
      <c r="L1765" s="149"/>
      <c r="M1765" s="148"/>
    </row>
    <row r="1766" spans="1:13" ht="15" customHeight="1">
      <c r="A1766" s="142" t="s">
        <v>5005</v>
      </c>
      <c r="B1766" s="142">
        <v>516373</v>
      </c>
      <c r="C1766" s="143" t="s">
        <v>5006</v>
      </c>
      <c r="D1766" s="142" t="s">
        <v>4690</v>
      </c>
      <c r="E1766" s="143" t="s">
        <v>5007</v>
      </c>
      <c r="F1766" s="143" t="s">
        <v>5008</v>
      </c>
      <c r="G1766" s="142" t="s">
        <v>109</v>
      </c>
      <c r="H1766" s="142" t="s">
        <v>51</v>
      </c>
      <c r="I1766" s="143" t="s">
        <v>4693</v>
      </c>
      <c r="J1766" s="143" t="s">
        <v>104</v>
      </c>
      <c r="K1766" s="144"/>
      <c r="L1766" s="145"/>
      <c r="M1766" s="144"/>
    </row>
    <row r="1767" spans="1:13" ht="15" customHeight="1">
      <c r="A1767" s="146" t="s">
        <v>5009</v>
      </c>
      <c r="B1767" s="146">
        <v>515408</v>
      </c>
      <c r="C1767" s="147" t="s">
        <v>5001</v>
      </c>
      <c r="D1767" s="146" t="s">
        <v>4690</v>
      </c>
      <c r="E1767" s="147" t="s">
        <v>4832</v>
      </c>
      <c r="F1767" s="147" t="s">
        <v>5010</v>
      </c>
      <c r="G1767" s="146" t="s">
        <v>109</v>
      </c>
      <c r="H1767" s="146" t="s">
        <v>51</v>
      </c>
      <c r="I1767" s="147" t="s">
        <v>4693</v>
      </c>
      <c r="J1767" s="147" t="s">
        <v>104</v>
      </c>
      <c r="K1767" s="148"/>
      <c r="L1767" s="149"/>
      <c r="M1767" s="148"/>
    </row>
    <row r="1768" spans="1:13" ht="15" customHeight="1">
      <c r="A1768" s="142" t="s">
        <v>5011</v>
      </c>
      <c r="B1768" s="142">
        <v>515560</v>
      </c>
      <c r="C1768" s="143" t="s">
        <v>5012</v>
      </c>
      <c r="D1768" s="142" t="s">
        <v>4690</v>
      </c>
      <c r="E1768" s="143" t="s">
        <v>5013</v>
      </c>
      <c r="F1768" s="143" t="s">
        <v>5014</v>
      </c>
      <c r="G1768" s="142" t="s">
        <v>109</v>
      </c>
      <c r="H1768" s="142" t="s">
        <v>51</v>
      </c>
      <c r="I1768" s="143" t="s">
        <v>4693</v>
      </c>
      <c r="J1768" s="143" t="s">
        <v>104</v>
      </c>
      <c r="K1768" s="144"/>
      <c r="L1768" s="145"/>
      <c r="M1768" s="144"/>
    </row>
    <row r="1769" spans="1:13" ht="15" customHeight="1">
      <c r="A1769" s="146" t="s">
        <v>5015</v>
      </c>
      <c r="B1769" s="146">
        <v>516889</v>
      </c>
      <c r="C1769" s="147" t="s">
        <v>3500</v>
      </c>
      <c r="D1769" s="146" t="s">
        <v>4690</v>
      </c>
      <c r="E1769" s="147" t="s">
        <v>5016</v>
      </c>
      <c r="F1769" s="147" t="s">
        <v>5017</v>
      </c>
      <c r="G1769" s="146" t="s">
        <v>109</v>
      </c>
      <c r="H1769" s="146" t="s">
        <v>51</v>
      </c>
      <c r="I1769" s="147" t="s">
        <v>4693</v>
      </c>
      <c r="J1769" s="147" t="s">
        <v>104</v>
      </c>
      <c r="K1769" s="148"/>
      <c r="L1769" s="149"/>
      <c r="M1769" s="148"/>
    </row>
    <row r="1770" spans="1:13" ht="15" customHeight="1">
      <c r="A1770" s="142" t="s">
        <v>5018</v>
      </c>
      <c r="B1770" s="142">
        <v>515401</v>
      </c>
      <c r="C1770" s="143" t="s">
        <v>5019</v>
      </c>
      <c r="D1770" s="142" t="s">
        <v>4690</v>
      </c>
      <c r="E1770" s="143" t="s">
        <v>4744</v>
      </c>
      <c r="F1770" s="143" t="s">
        <v>4744</v>
      </c>
      <c r="G1770" s="142" t="s">
        <v>102</v>
      </c>
      <c r="H1770" s="142" t="s">
        <v>51</v>
      </c>
      <c r="I1770" s="143" t="s">
        <v>4693</v>
      </c>
      <c r="J1770" s="143" t="s">
        <v>104</v>
      </c>
      <c r="K1770" s="144"/>
      <c r="L1770" s="145"/>
      <c r="M1770" s="144"/>
    </row>
    <row r="1771" spans="1:13" ht="15" customHeight="1">
      <c r="A1771" s="146" t="s">
        <v>5020</v>
      </c>
      <c r="B1771" s="146">
        <v>515387</v>
      </c>
      <c r="C1771" s="147" t="s">
        <v>5021</v>
      </c>
      <c r="D1771" s="146" t="s">
        <v>4690</v>
      </c>
      <c r="E1771" s="147" t="s">
        <v>4744</v>
      </c>
      <c r="F1771" s="147" t="s">
        <v>5022</v>
      </c>
      <c r="G1771" s="146" t="s">
        <v>109</v>
      </c>
      <c r="H1771" s="146" t="s">
        <v>51</v>
      </c>
      <c r="I1771" s="147" t="s">
        <v>4693</v>
      </c>
      <c r="J1771" s="147" t="s">
        <v>104</v>
      </c>
      <c r="K1771" s="148"/>
      <c r="L1771" s="149"/>
      <c r="M1771" s="148"/>
    </row>
    <row r="1772" spans="1:13" ht="15" customHeight="1">
      <c r="A1772" s="142" t="s">
        <v>5023</v>
      </c>
      <c r="B1772" s="142">
        <v>521571</v>
      </c>
      <c r="C1772" s="143" t="s">
        <v>5024</v>
      </c>
      <c r="D1772" s="142" t="s">
        <v>4690</v>
      </c>
      <c r="E1772" s="143" t="s">
        <v>4744</v>
      </c>
      <c r="F1772" s="143" t="s">
        <v>4744</v>
      </c>
      <c r="G1772" s="142" t="s">
        <v>102</v>
      </c>
      <c r="H1772" s="142" t="s">
        <v>51</v>
      </c>
      <c r="I1772" s="143" t="s">
        <v>4693</v>
      </c>
      <c r="J1772" s="143" t="s">
        <v>104</v>
      </c>
      <c r="K1772" s="144" t="s">
        <v>121</v>
      </c>
      <c r="L1772" s="145">
        <v>46150</v>
      </c>
      <c r="M1772" s="144"/>
    </row>
    <row r="1773" spans="1:13" ht="15" customHeight="1">
      <c r="A1773" s="146" t="s">
        <v>5025</v>
      </c>
      <c r="B1773" s="146">
        <v>521572</v>
      </c>
      <c r="C1773" s="147" t="s">
        <v>5026</v>
      </c>
      <c r="D1773" s="146" t="s">
        <v>4690</v>
      </c>
      <c r="E1773" s="147" t="s">
        <v>4744</v>
      </c>
      <c r="F1773" s="147" t="s">
        <v>5027</v>
      </c>
      <c r="G1773" s="146" t="s">
        <v>109</v>
      </c>
      <c r="H1773" s="146" t="s">
        <v>51</v>
      </c>
      <c r="I1773" s="147" t="s">
        <v>4693</v>
      </c>
      <c r="J1773" s="147" t="s">
        <v>104</v>
      </c>
      <c r="K1773" s="148"/>
      <c r="L1773" s="149"/>
      <c r="M1773" s="148"/>
    </row>
    <row r="1774" spans="1:13" ht="15" customHeight="1">
      <c r="A1774" s="142" t="s">
        <v>5028</v>
      </c>
      <c r="B1774" s="142">
        <v>515372</v>
      </c>
      <c r="C1774" s="143" t="s">
        <v>5029</v>
      </c>
      <c r="D1774" s="142" t="s">
        <v>4690</v>
      </c>
      <c r="E1774" s="143" t="s">
        <v>4744</v>
      </c>
      <c r="F1774" s="143" t="s">
        <v>5030</v>
      </c>
      <c r="G1774" s="142" t="s">
        <v>102</v>
      </c>
      <c r="H1774" s="142" t="s">
        <v>51</v>
      </c>
      <c r="I1774" s="143" t="s">
        <v>4693</v>
      </c>
      <c r="J1774" s="143" t="s">
        <v>104</v>
      </c>
      <c r="K1774" s="144"/>
      <c r="L1774" s="145"/>
      <c r="M1774" s="144"/>
    </row>
    <row r="1775" spans="1:13" ht="15" customHeight="1">
      <c r="A1775" s="146" t="s">
        <v>5031</v>
      </c>
      <c r="B1775" s="146">
        <v>515724</v>
      </c>
      <c r="C1775" s="147" t="s">
        <v>5032</v>
      </c>
      <c r="D1775" s="146" t="s">
        <v>4690</v>
      </c>
      <c r="E1775" s="147" t="s">
        <v>5033</v>
      </c>
      <c r="F1775" s="147" t="s">
        <v>5034</v>
      </c>
      <c r="G1775" s="146" t="s">
        <v>109</v>
      </c>
      <c r="H1775" s="146" t="s">
        <v>51</v>
      </c>
      <c r="I1775" s="147" t="s">
        <v>4693</v>
      </c>
      <c r="J1775" s="147" t="s">
        <v>104</v>
      </c>
      <c r="K1775" s="148"/>
      <c r="L1775" s="149"/>
      <c r="M1775" s="148"/>
    </row>
    <row r="1776" spans="1:13" ht="15" customHeight="1">
      <c r="A1776" s="142" t="s">
        <v>5035</v>
      </c>
      <c r="B1776" s="142">
        <v>515395</v>
      </c>
      <c r="C1776" s="143" t="s">
        <v>5036</v>
      </c>
      <c r="D1776" s="142" t="s">
        <v>4690</v>
      </c>
      <c r="E1776" s="143" t="s">
        <v>4744</v>
      </c>
      <c r="F1776" s="143" t="s">
        <v>5037</v>
      </c>
      <c r="G1776" s="142" t="s">
        <v>109</v>
      </c>
      <c r="H1776" s="142" t="s">
        <v>51</v>
      </c>
      <c r="I1776" s="143" t="s">
        <v>4693</v>
      </c>
      <c r="J1776" s="143" t="s">
        <v>104</v>
      </c>
      <c r="K1776" s="144"/>
      <c r="L1776" s="145"/>
      <c r="M1776" s="144"/>
    </row>
    <row r="1777" spans="1:13" ht="15" customHeight="1">
      <c r="A1777" s="146" t="s">
        <v>5038</v>
      </c>
      <c r="B1777" s="146">
        <v>515382</v>
      </c>
      <c r="C1777" s="147" t="s">
        <v>5039</v>
      </c>
      <c r="D1777" s="146" t="s">
        <v>4690</v>
      </c>
      <c r="E1777" s="147" t="s">
        <v>4744</v>
      </c>
      <c r="F1777" s="147" t="s">
        <v>4744</v>
      </c>
      <c r="G1777" s="146" t="s">
        <v>102</v>
      </c>
      <c r="H1777" s="146" t="s">
        <v>51</v>
      </c>
      <c r="I1777" s="147" t="s">
        <v>4693</v>
      </c>
      <c r="J1777" s="147" t="s">
        <v>104</v>
      </c>
      <c r="K1777" s="148"/>
      <c r="L1777" s="149"/>
      <c r="M1777" s="148"/>
    </row>
    <row r="1778" spans="1:13" ht="15" customHeight="1">
      <c r="A1778" s="142" t="s">
        <v>5040</v>
      </c>
      <c r="B1778" s="142">
        <v>515655</v>
      </c>
      <c r="C1778" s="143" t="s">
        <v>5041</v>
      </c>
      <c r="D1778" s="142" t="s">
        <v>4690</v>
      </c>
      <c r="E1778" s="143" t="s">
        <v>658</v>
      </c>
      <c r="F1778" s="143" t="s">
        <v>1455</v>
      </c>
      <c r="G1778" s="142" t="s">
        <v>109</v>
      </c>
      <c r="H1778" s="142" t="s">
        <v>51</v>
      </c>
      <c r="I1778" s="143" t="s">
        <v>4693</v>
      </c>
      <c r="J1778" s="143" t="s">
        <v>104</v>
      </c>
      <c r="K1778" s="144"/>
      <c r="L1778" s="145"/>
      <c r="M1778" s="144"/>
    </row>
    <row r="1779" spans="1:13" ht="15" customHeight="1">
      <c r="A1779" s="146" t="s">
        <v>5042</v>
      </c>
      <c r="B1779" s="146">
        <v>515737</v>
      </c>
      <c r="C1779" s="147" t="s">
        <v>4966</v>
      </c>
      <c r="D1779" s="146" t="s">
        <v>4690</v>
      </c>
      <c r="E1779" s="147" t="s">
        <v>4872</v>
      </c>
      <c r="F1779" s="147" t="s">
        <v>5043</v>
      </c>
      <c r="G1779" s="146" t="s">
        <v>109</v>
      </c>
      <c r="H1779" s="146" t="s">
        <v>51</v>
      </c>
      <c r="I1779" s="147" t="s">
        <v>4693</v>
      </c>
      <c r="J1779" s="147" t="s">
        <v>104</v>
      </c>
      <c r="K1779" s="148"/>
      <c r="L1779" s="149"/>
      <c r="M1779" s="148"/>
    </row>
    <row r="1780" spans="1:13" ht="15" customHeight="1">
      <c r="A1780" s="142" t="s">
        <v>5044</v>
      </c>
      <c r="B1780" s="142">
        <v>521573</v>
      </c>
      <c r="C1780" s="143" t="s">
        <v>5045</v>
      </c>
      <c r="D1780" s="142" t="s">
        <v>4690</v>
      </c>
      <c r="E1780" s="143" t="s">
        <v>5046</v>
      </c>
      <c r="F1780" s="143" t="s">
        <v>5047</v>
      </c>
      <c r="G1780" s="142" t="s">
        <v>109</v>
      </c>
      <c r="H1780" s="142" t="s">
        <v>51</v>
      </c>
      <c r="I1780" s="143" t="s">
        <v>4693</v>
      </c>
      <c r="J1780" s="143" t="s">
        <v>104</v>
      </c>
      <c r="K1780" s="144"/>
      <c r="L1780" s="145"/>
      <c r="M1780" s="144"/>
    </row>
    <row r="1781" spans="1:13" ht="15" customHeight="1">
      <c r="A1781" s="146" t="s">
        <v>5048</v>
      </c>
      <c r="B1781" s="146">
        <v>515504</v>
      </c>
      <c r="C1781" s="147" t="s">
        <v>1204</v>
      </c>
      <c r="D1781" s="146" t="s">
        <v>4690</v>
      </c>
      <c r="E1781" s="147" t="s">
        <v>4828</v>
      </c>
      <c r="F1781" s="147" t="s">
        <v>1244</v>
      </c>
      <c r="G1781" s="146" t="s">
        <v>109</v>
      </c>
      <c r="H1781" s="146" t="s">
        <v>51</v>
      </c>
      <c r="I1781" s="147" t="s">
        <v>4693</v>
      </c>
      <c r="J1781" s="147" t="s">
        <v>104</v>
      </c>
      <c r="K1781" s="148"/>
      <c r="L1781" s="149"/>
      <c r="M1781" s="148"/>
    </row>
    <row r="1782" spans="1:13" ht="15" customHeight="1">
      <c r="A1782" s="142" t="s">
        <v>5049</v>
      </c>
      <c r="B1782" s="142">
        <v>515424</v>
      </c>
      <c r="C1782" s="143" t="s">
        <v>1204</v>
      </c>
      <c r="D1782" s="142" t="s">
        <v>4690</v>
      </c>
      <c r="E1782" s="143" t="s">
        <v>4762</v>
      </c>
      <c r="F1782" s="143" t="s">
        <v>4763</v>
      </c>
      <c r="G1782" s="142" t="s">
        <v>109</v>
      </c>
      <c r="H1782" s="142" t="s">
        <v>51</v>
      </c>
      <c r="I1782" s="143" t="s">
        <v>4693</v>
      </c>
      <c r="J1782" s="143" t="s">
        <v>104</v>
      </c>
      <c r="K1782" s="144"/>
      <c r="L1782" s="145"/>
      <c r="M1782" s="144"/>
    </row>
    <row r="1783" spans="1:13" ht="15" customHeight="1">
      <c r="A1783" s="146" t="s">
        <v>5050</v>
      </c>
      <c r="B1783" s="146">
        <v>515532</v>
      </c>
      <c r="C1783" s="147" t="s">
        <v>5051</v>
      </c>
      <c r="D1783" s="146" t="s">
        <v>4690</v>
      </c>
      <c r="E1783" s="147" t="s">
        <v>4770</v>
      </c>
      <c r="F1783" s="147" t="s">
        <v>4771</v>
      </c>
      <c r="G1783" s="146" t="s">
        <v>109</v>
      </c>
      <c r="H1783" s="146" t="s">
        <v>51</v>
      </c>
      <c r="I1783" s="147" t="s">
        <v>4693</v>
      </c>
      <c r="J1783" s="147" t="s">
        <v>104</v>
      </c>
      <c r="K1783" s="148"/>
      <c r="L1783" s="149"/>
      <c r="M1783" s="148"/>
    </row>
    <row r="1784" spans="1:13" ht="15" customHeight="1">
      <c r="A1784" s="142" t="s">
        <v>5052</v>
      </c>
      <c r="B1784" s="142">
        <v>515677</v>
      </c>
      <c r="C1784" s="143" t="s">
        <v>5053</v>
      </c>
      <c r="D1784" s="142" t="s">
        <v>4690</v>
      </c>
      <c r="E1784" s="143" t="s">
        <v>4778</v>
      </c>
      <c r="F1784" s="143" t="s">
        <v>5054</v>
      </c>
      <c r="G1784" s="142" t="s">
        <v>109</v>
      </c>
      <c r="H1784" s="142" t="s">
        <v>51</v>
      </c>
      <c r="I1784" s="143" t="s">
        <v>4693</v>
      </c>
      <c r="J1784" s="143" t="s">
        <v>104</v>
      </c>
      <c r="K1784" s="144"/>
      <c r="L1784" s="145"/>
      <c r="M1784" s="144"/>
    </row>
    <row r="1785" spans="1:13" ht="15" customHeight="1">
      <c r="A1785" s="146" t="s">
        <v>5055</v>
      </c>
      <c r="B1785" s="146">
        <v>515593</v>
      </c>
      <c r="C1785" s="147" t="s">
        <v>5056</v>
      </c>
      <c r="D1785" s="146" t="s">
        <v>4690</v>
      </c>
      <c r="E1785" s="147" t="s">
        <v>4778</v>
      </c>
      <c r="F1785" s="147" t="s">
        <v>4779</v>
      </c>
      <c r="G1785" s="146" t="s">
        <v>109</v>
      </c>
      <c r="H1785" s="146" t="s">
        <v>51</v>
      </c>
      <c r="I1785" s="147" t="s">
        <v>4693</v>
      </c>
      <c r="J1785" s="147" t="s">
        <v>104</v>
      </c>
      <c r="K1785" s="148"/>
      <c r="L1785" s="149"/>
      <c r="M1785" s="148"/>
    </row>
    <row r="1786" spans="1:13" ht="15" customHeight="1">
      <c r="A1786" s="142" t="s">
        <v>5057</v>
      </c>
      <c r="B1786" s="142">
        <v>515664</v>
      </c>
      <c r="C1786" s="143" t="s">
        <v>5058</v>
      </c>
      <c r="D1786" s="142" t="s">
        <v>4690</v>
      </c>
      <c r="E1786" s="143" t="s">
        <v>4778</v>
      </c>
      <c r="F1786" s="143" t="s">
        <v>5059</v>
      </c>
      <c r="G1786" s="142" t="s">
        <v>109</v>
      </c>
      <c r="H1786" s="142" t="s">
        <v>51</v>
      </c>
      <c r="I1786" s="143" t="s">
        <v>4693</v>
      </c>
      <c r="J1786" s="143" t="s">
        <v>104</v>
      </c>
      <c r="K1786" s="144"/>
      <c r="L1786" s="145"/>
      <c r="M1786" s="144"/>
    </row>
    <row r="1787" spans="1:13" ht="15" customHeight="1">
      <c r="A1787" s="146" t="s">
        <v>5060</v>
      </c>
      <c r="B1787" s="146">
        <v>515548</v>
      </c>
      <c r="C1787" s="147" t="s">
        <v>5061</v>
      </c>
      <c r="D1787" s="146" t="s">
        <v>4690</v>
      </c>
      <c r="E1787" s="147" t="s">
        <v>4786</v>
      </c>
      <c r="F1787" s="147" t="s">
        <v>5062</v>
      </c>
      <c r="G1787" s="146" t="s">
        <v>109</v>
      </c>
      <c r="H1787" s="146" t="s">
        <v>51</v>
      </c>
      <c r="I1787" s="147" t="s">
        <v>4693</v>
      </c>
      <c r="J1787" s="147" t="s">
        <v>104</v>
      </c>
      <c r="K1787" s="148"/>
      <c r="L1787" s="149"/>
      <c r="M1787" s="148"/>
    </row>
    <row r="1788" spans="1:13" ht="15" customHeight="1">
      <c r="A1788" s="142" t="s">
        <v>5063</v>
      </c>
      <c r="B1788" s="142">
        <v>515374</v>
      </c>
      <c r="C1788" s="143" t="s">
        <v>5064</v>
      </c>
      <c r="D1788" s="142" t="s">
        <v>4690</v>
      </c>
      <c r="E1788" s="143" t="s">
        <v>4793</v>
      </c>
      <c r="F1788" s="143" t="s">
        <v>5065</v>
      </c>
      <c r="G1788" s="142" t="s">
        <v>109</v>
      </c>
      <c r="H1788" s="142" t="s">
        <v>51</v>
      </c>
      <c r="I1788" s="143" t="s">
        <v>4693</v>
      </c>
      <c r="J1788" s="143" t="s">
        <v>104</v>
      </c>
      <c r="K1788" s="144"/>
      <c r="L1788" s="145"/>
      <c r="M1788" s="144"/>
    </row>
    <row r="1789" spans="1:13" ht="15" customHeight="1">
      <c r="A1789" s="146" t="s">
        <v>5066</v>
      </c>
      <c r="B1789" s="146">
        <v>515673</v>
      </c>
      <c r="C1789" s="147" t="s">
        <v>254</v>
      </c>
      <c r="D1789" s="146" t="s">
        <v>4690</v>
      </c>
      <c r="E1789" s="147" t="s">
        <v>4770</v>
      </c>
      <c r="F1789" s="147" t="s">
        <v>5067</v>
      </c>
      <c r="G1789" s="146" t="s">
        <v>109</v>
      </c>
      <c r="H1789" s="146" t="s">
        <v>51</v>
      </c>
      <c r="I1789" s="147" t="s">
        <v>4693</v>
      </c>
      <c r="J1789" s="147" t="s">
        <v>104</v>
      </c>
      <c r="K1789" s="148"/>
      <c r="L1789" s="149"/>
      <c r="M1789" s="148"/>
    </row>
    <row r="1790" spans="1:13" ht="15" customHeight="1">
      <c r="A1790" s="142" t="s">
        <v>5068</v>
      </c>
      <c r="B1790" s="142">
        <v>515641</v>
      </c>
      <c r="C1790" s="143" t="s">
        <v>3597</v>
      </c>
      <c r="D1790" s="142" t="s">
        <v>4690</v>
      </c>
      <c r="E1790" s="143" t="s">
        <v>4797</v>
      </c>
      <c r="F1790" s="143" t="s">
        <v>5069</v>
      </c>
      <c r="G1790" s="142" t="s">
        <v>109</v>
      </c>
      <c r="H1790" s="142" t="s">
        <v>50</v>
      </c>
      <c r="I1790" s="143" t="s">
        <v>3391</v>
      </c>
      <c r="J1790" s="143" t="s">
        <v>104</v>
      </c>
      <c r="K1790" s="144"/>
      <c r="L1790" s="145"/>
      <c r="M1790" s="144"/>
    </row>
    <row r="1791" spans="1:13" ht="15" customHeight="1">
      <c r="A1791" s="146" t="s">
        <v>5070</v>
      </c>
      <c r="B1791" s="146">
        <v>515650</v>
      </c>
      <c r="C1791" s="147" t="s">
        <v>5071</v>
      </c>
      <c r="D1791" s="146" t="s">
        <v>4690</v>
      </c>
      <c r="E1791" s="147" t="s">
        <v>4805</v>
      </c>
      <c r="F1791" s="147" t="s">
        <v>4805</v>
      </c>
      <c r="G1791" s="146" t="s">
        <v>109</v>
      </c>
      <c r="H1791" s="146" t="s">
        <v>51</v>
      </c>
      <c r="I1791" s="147" t="s">
        <v>4693</v>
      </c>
      <c r="J1791" s="147" t="s">
        <v>104</v>
      </c>
      <c r="K1791" s="148"/>
      <c r="L1791" s="149"/>
      <c r="M1791" s="148"/>
    </row>
    <row r="1792" spans="1:13" ht="15" customHeight="1">
      <c r="A1792" s="142" t="s">
        <v>5072</v>
      </c>
      <c r="B1792" s="142">
        <v>515720</v>
      </c>
      <c r="C1792" s="143" t="s">
        <v>5073</v>
      </c>
      <c r="D1792" s="142" t="s">
        <v>4690</v>
      </c>
      <c r="E1792" s="143" t="s">
        <v>4812</v>
      </c>
      <c r="F1792" s="143" t="s">
        <v>5074</v>
      </c>
      <c r="G1792" s="142" t="s">
        <v>109</v>
      </c>
      <c r="H1792" s="142" t="s">
        <v>51</v>
      </c>
      <c r="I1792" s="143" t="s">
        <v>4693</v>
      </c>
      <c r="J1792" s="143" t="s">
        <v>104</v>
      </c>
      <c r="K1792" s="144" t="s">
        <v>121</v>
      </c>
      <c r="L1792" s="145">
        <v>46150</v>
      </c>
      <c r="M1792" s="144"/>
    </row>
    <row r="1793" spans="1:13" ht="15" customHeight="1">
      <c r="A1793" s="146" t="s">
        <v>5075</v>
      </c>
      <c r="B1793" s="146">
        <v>515515</v>
      </c>
      <c r="C1793" s="147" t="s">
        <v>5076</v>
      </c>
      <c r="D1793" s="146" t="s">
        <v>4690</v>
      </c>
      <c r="E1793" s="147" t="s">
        <v>4824</v>
      </c>
      <c r="F1793" s="147" t="s">
        <v>5077</v>
      </c>
      <c r="G1793" s="146" t="s">
        <v>109</v>
      </c>
      <c r="H1793" s="146" t="s">
        <v>51</v>
      </c>
      <c r="I1793" s="147" t="s">
        <v>4693</v>
      </c>
      <c r="J1793" s="147" t="s">
        <v>104</v>
      </c>
      <c r="K1793" s="148"/>
      <c r="L1793" s="149"/>
      <c r="M1793" s="148"/>
    </row>
    <row r="1794" spans="1:13" ht="15" customHeight="1">
      <c r="A1794" s="142" t="s">
        <v>5078</v>
      </c>
      <c r="B1794" s="142">
        <v>515636</v>
      </c>
      <c r="C1794" s="143" t="s">
        <v>5079</v>
      </c>
      <c r="D1794" s="142" t="s">
        <v>4690</v>
      </c>
      <c r="E1794" s="143" t="s">
        <v>4921</v>
      </c>
      <c r="F1794" s="143" t="s">
        <v>5080</v>
      </c>
      <c r="G1794" s="142" t="s">
        <v>109</v>
      </c>
      <c r="H1794" s="142" t="s">
        <v>50</v>
      </c>
      <c r="I1794" s="143" t="s">
        <v>3391</v>
      </c>
      <c r="J1794" s="143" t="s">
        <v>104</v>
      </c>
      <c r="K1794" s="144"/>
      <c r="L1794" s="145"/>
      <c r="M1794" s="144"/>
    </row>
    <row r="1795" spans="1:13" ht="15" customHeight="1">
      <c r="A1795" s="146" t="s">
        <v>5081</v>
      </c>
      <c r="B1795" s="146">
        <v>515726</v>
      </c>
      <c r="C1795" s="147" t="s">
        <v>1348</v>
      </c>
      <c r="D1795" s="146" t="s">
        <v>4690</v>
      </c>
      <c r="E1795" s="147" t="s">
        <v>4967</v>
      </c>
      <c r="F1795" s="147" t="s">
        <v>5082</v>
      </c>
      <c r="G1795" s="146" t="s">
        <v>109</v>
      </c>
      <c r="H1795" s="146" t="s">
        <v>51</v>
      </c>
      <c r="I1795" s="147" t="s">
        <v>4693</v>
      </c>
      <c r="J1795" s="147" t="s">
        <v>104</v>
      </c>
      <c r="K1795" s="148"/>
      <c r="L1795" s="149"/>
      <c r="M1795" s="148"/>
    </row>
    <row r="1796" spans="1:13" ht="15" customHeight="1">
      <c r="A1796" s="142" t="s">
        <v>5083</v>
      </c>
      <c r="B1796" s="142">
        <v>515727</v>
      </c>
      <c r="C1796" s="143" t="s">
        <v>5084</v>
      </c>
      <c r="D1796" s="142" t="s">
        <v>4690</v>
      </c>
      <c r="E1796" s="143" t="s">
        <v>4967</v>
      </c>
      <c r="F1796" s="143" t="s">
        <v>5085</v>
      </c>
      <c r="G1796" s="142" t="s">
        <v>109</v>
      </c>
      <c r="H1796" s="142" t="s">
        <v>51</v>
      </c>
      <c r="I1796" s="143" t="s">
        <v>4693</v>
      </c>
      <c r="J1796" s="143" t="s">
        <v>104</v>
      </c>
      <c r="K1796" s="144"/>
      <c r="L1796" s="145"/>
      <c r="M1796" s="144"/>
    </row>
    <row r="1797" spans="1:13" ht="15" customHeight="1">
      <c r="A1797" s="146" t="s">
        <v>5086</v>
      </c>
      <c r="B1797" s="146">
        <v>515478</v>
      </c>
      <c r="C1797" s="147" t="s">
        <v>5087</v>
      </c>
      <c r="D1797" s="146" t="s">
        <v>4690</v>
      </c>
      <c r="E1797" s="147" t="s">
        <v>5088</v>
      </c>
      <c r="F1797" s="147" t="s">
        <v>1836</v>
      </c>
      <c r="G1797" s="146" t="s">
        <v>109</v>
      </c>
      <c r="H1797" s="146" t="s">
        <v>51</v>
      </c>
      <c r="I1797" s="147" t="s">
        <v>4693</v>
      </c>
      <c r="J1797" s="147" t="s">
        <v>104</v>
      </c>
      <c r="K1797" s="148"/>
      <c r="L1797" s="149"/>
      <c r="M1797" s="148"/>
    </row>
    <row r="1798" spans="1:13" ht="15" customHeight="1">
      <c r="A1798" s="142" t="s">
        <v>5089</v>
      </c>
      <c r="B1798" s="142">
        <v>515672</v>
      </c>
      <c r="C1798" s="143" t="s">
        <v>5090</v>
      </c>
      <c r="D1798" s="142" t="s">
        <v>4690</v>
      </c>
      <c r="E1798" s="143" t="s">
        <v>4828</v>
      </c>
      <c r="F1798" s="143" t="s">
        <v>5091</v>
      </c>
      <c r="G1798" s="142" t="s">
        <v>109</v>
      </c>
      <c r="H1798" s="142" t="s">
        <v>51</v>
      </c>
      <c r="I1798" s="143" t="s">
        <v>4693</v>
      </c>
      <c r="J1798" s="143" t="s">
        <v>104</v>
      </c>
      <c r="K1798" s="144"/>
      <c r="L1798" s="145"/>
      <c r="M1798" s="144"/>
    </row>
    <row r="1799" spans="1:13" ht="15" customHeight="1">
      <c r="A1799" s="146" t="s">
        <v>5092</v>
      </c>
      <c r="B1799" s="146">
        <v>516985</v>
      </c>
      <c r="C1799" s="147" t="s">
        <v>1204</v>
      </c>
      <c r="D1799" s="146" t="s">
        <v>4690</v>
      </c>
      <c r="E1799" s="147" t="s">
        <v>4708</v>
      </c>
      <c r="F1799" s="147" t="s">
        <v>5093</v>
      </c>
      <c r="G1799" s="146" t="s">
        <v>109</v>
      </c>
      <c r="H1799" s="146" t="s">
        <v>51</v>
      </c>
      <c r="I1799" s="147" t="s">
        <v>4693</v>
      </c>
      <c r="J1799" s="147" t="s">
        <v>104</v>
      </c>
      <c r="K1799" s="148"/>
      <c r="L1799" s="149"/>
      <c r="M1799" s="148"/>
    </row>
    <row r="1800" spans="1:13" ht="15" customHeight="1">
      <c r="A1800" s="142" t="s">
        <v>5094</v>
      </c>
      <c r="B1800" s="142">
        <v>515738</v>
      </c>
      <c r="C1800" s="143" t="s">
        <v>5095</v>
      </c>
      <c r="D1800" s="142" t="s">
        <v>4690</v>
      </c>
      <c r="E1800" s="143" t="s">
        <v>4729</v>
      </c>
      <c r="F1800" s="143" t="s">
        <v>5096</v>
      </c>
      <c r="G1800" s="142" t="s">
        <v>109</v>
      </c>
      <c r="H1800" s="142" t="s">
        <v>51</v>
      </c>
      <c r="I1800" s="143" t="s">
        <v>4693</v>
      </c>
      <c r="J1800" s="143" t="s">
        <v>104</v>
      </c>
      <c r="K1800" s="144"/>
      <c r="L1800" s="145"/>
      <c r="M1800" s="144"/>
    </row>
    <row r="1801" spans="1:13" ht="15" customHeight="1">
      <c r="A1801" s="146" t="s">
        <v>5097</v>
      </c>
      <c r="B1801" s="146">
        <v>515595</v>
      </c>
      <c r="C1801" s="147" t="s">
        <v>3594</v>
      </c>
      <c r="D1801" s="146" t="s">
        <v>4690</v>
      </c>
      <c r="E1801" s="147" t="s">
        <v>5098</v>
      </c>
      <c r="F1801" s="147" t="s">
        <v>5099</v>
      </c>
      <c r="G1801" s="146" t="s">
        <v>109</v>
      </c>
      <c r="H1801" s="146" t="s">
        <v>51</v>
      </c>
      <c r="I1801" s="147" t="s">
        <v>4693</v>
      </c>
      <c r="J1801" s="147" t="s">
        <v>104</v>
      </c>
      <c r="K1801" s="148"/>
      <c r="L1801" s="149"/>
      <c r="M1801" s="148"/>
    </row>
    <row r="1802" spans="1:13" ht="15" customHeight="1">
      <c r="A1802" s="142" t="s">
        <v>5100</v>
      </c>
      <c r="B1802" s="142">
        <v>515648</v>
      </c>
      <c r="C1802" s="143" t="s">
        <v>1204</v>
      </c>
      <c r="D1802" s="142" t="s">
        <v>4690</v>
      </c>
      <c r="E1802" s="143" t="s">
        <v>5101</v>
      </c>
      <c r="F1802" s="143" t="s">
        <v>5102</v>
      </c>
      <c r="G1802" s="142" t="s">
        <v>109</v>
      </c>
      <c r="H1802" s="142" t="s">
        <v>50</v>
      </c>
      <c r="I1802" s="143" t="s">
        <v>1532</v>
      </c>
      <c r="J1802" s="143" t="s">
        <v>104</v>
      </c>
      <c r="K1802" s="144" t="s">
        <v>121</v>
      </c>
      <c r="L1802" s="145">
        <v>46142</v>
      </c>
      <c r="M1802" s="144"/>
    </row>
    <row r="1803" spans="1:13" ht="15" customHeight="1">
      <c r="A1803" s="146" t="s">
        <v>5103</v>
      </c>
      <c r="B1803" s="146">
        <v>515357</v>
      </c>
      <c r="C1803" s="147" t="s">
        <v>5104</v>
      </c>
      <c r="D1803" s="146" t="s">
        <v>4690</v>
      </c>
      <c r="E1803" s="147" t="s">
        <v>4808</v>
      </c>
      <c r="F1803" s="147" t="s">
        <v>4809</v>
      </c>
      <c r="G1803" s="146" t="s">
        <v>109</v>
      </c>
      <c r="H1803" s="146" t="s">
        <v>51</v>
      </c>
      <c r="I1803" s="147" t="s">
        <v>4693</v>
      </c>
      <c r="J1803" s="147" t="s">
        <v>104</v>
      </c>
      <c r="K1803" s="148"/>
      <c r="L1803" s="149"/>
      <c r="M1803" s="148"/>
    </row>
    <row r="1804" spans="1:13" ht="15" customHeight="1">
      <c r="A1804" s="142" t="s">
        <v>5105</v>
      </c>
      <c r="B1804" s="142">
        <v>515730</v>
      </c>
      <c r="C1804" s="143" t="s">
        <v>5006</v>
      </c>
      <c r="D1804" s="142" t="s">
        <v>4690</v>
      </c>
      <c r="E1804" s="143" t="s">
        <v>4793</v>
      </c>
      <c r="F1804" s="143" t="s">
        <v>5106</v>
      </c>
      <c r="G1804" s="142" t="s">
        <v>109</v>
      </c>
      <c r="H1804" s="142" t="s">
        <v>51</v>
      </c>
      <c r="I1804" s="143" t="s">
        <v>4693</v>
      </c>
      <c r="J1804" s="143" t="s">
        <v>104</v>
      </c>
      <c r="K1804" s="144"/>
      <c r="L1804" s="145"/>
      <c r="M1804" s="144"/>
    </row>
    <row r="1805" spans="1:13" ht="15" customHeight="1">
      <c r="A1805" s="146" t="s">
        <v>5107</v>
      </c>
      <c r="B1805" s="146">
        <v>515391</v>
      </c>
      <c r="C1805" s="147" t="s">
        <v>5108</v>
      </c>
      <c r="D1805" s="146" t="s">
        <v>4690</v>
      </c>
      <c r="E1805" s="147" t="s">
        <v>4793</v>
      </c>
      <c r="F1805" s="147" t="s">
        <v>2539</v>
      </c>
      <c r="G1805" s="146" t="s">
        <v>109</v>
      </c>
      <c r="H1805" s="146" t="s">
        <v>51</v>
      </c>
      <c r="I1805" s="147" t="s">
        <v>4693</v>
      </c>
      <c r="J1805" s="147" t="s">
        <v>104</v>
      </c>
      <c r="K1805" s="148"/>
      <c r="L1805" s="149"/>
      <c r="M1805" s="148"/>
    </row>
    <row r="1806" spans="1:13" ht="15" customHeight="1">
      <c r="A1806" s="142" t="s">
        <v>5109</v>
      </c>
      <c r="B1806" s="142">
        <v>515647</v>
      </c>
      <c r="C1806" s="143" t="s">
        <v>5110</v>
      </c>
      <c r="D1806" s="142" t="s">
        <v>4690</v>
      </c>
      <c r="E1806" s="143" t="s">
        <v>5111</v>
      </c>
      <c r="F1806" s="143" t="s">
        <v>5112</v>
      </c>
      <c r="G1806" s="142" t="s">
        <v>109</v>
      </c>
      <c r="H1806" s="142" t="s">
        <v>51</v>
      </c>
      <c r="I1806" s="143" t="s">
        <v>4693</v>
      </c>
      <c r="J1806" s="143" t="s">
        <v>104</v>
      </c>
      <c r="K1806" s="144"/>
      <c r="L1806" s="145"/>
      <c r="M1806" s="144"/>
    </row>
    <row r="1807" spans="1:13" ht="15" customHeight="1">
      <c r="A1807" s="146" t="s">
        <v>5113</v>
      </c>
      <c r="B1807" s="146">
        <v>515409</v>
      </c>
      <c r="C1807" s="147" t="s">
        <v>5114</v>
      </c>
      <c r="D1807" s="146" t="s">
        <v>4690</v>
      </c>
      <c r="E1807" s="147" t="s">
        <v>5115</v>
      </c>
      <c r="F1807" s="147" t="s">
        <v>5116</v>
      </c>
      <c r="G1807" s="146" t="s">
        <v>109</v>
      </c>
      <c r="H1807" s="146" t="s">
        <v>51</v>
      </c>
      <c r="I1807" s="147" t="s">
        <v>4693</v>
      </c>
      <c r="J1807" s="147" t="s">
        <v>104</v>
      </c>
      <c r="K1807" s="148"/>
      <c r="L1807" s="149"/>
      <c r="M1807" s="148"/>
    </row>
    <row r="1808" spans="1:13" ht="15" customHeight="1">
      <c r="A1808" s="142" t="s">
        <v>5117</v>
      </c>
      <c r="B1808" s="142">
        <v>516913</v>
      </c>
      <c r="C1808" s="143" t="s">
        <v>5118</v>
      </c>
      <c r="D1808" s="142" t="s">
        <v>4690</v>
      </c>
      <c r="E1808" s="143" t="s">
        <v>4758</v>
      </c>
      <c r="F1808" s="143" t="s">
        <v>4759</v>
      </c>
      <c r="G1808" s="142" t="s">
        <v>109</v>
      </c>
      <c r="H1808" s="142" t="s">
        <v>51</v>
      </c>
      <c r="I1808" s="143" t="s">
        <v>4693</v>
      </c>
      <c r="J1808" s="143" t="s">
        <v>104</v>
      </c>
      <c r="K1808" s="144"/>
      <c r="L1808" s="145"/>
      <c r="M1808" s="144"/>
    </row>
    <row r="1809" spans="1:13" ht="15" customHeight="1">
      <c r="A1809" s="146" t="s">
        <v>5119</v>
      </c>
      <c r="B1809" s="146">
        <v>515425</v>
      </c>
      <c r="C1809" s="147" t="s">
        <v>5120</v>
      </c>
      <c r="D1809" s="146" t="s">
        <v>4690</v>
      </c>
      <c r="E1809" s="147" t="s">
        <v>4762</v>
      </c>
      <c r="F1809" s="147" t="s">
        <v>5121</v>
      </c>
      <c r="G1809" s="146" t="s">
        <v>109</v>
      </c>
      <c r="H1809" s="146" t="s">
        <v>51</v>
      </c>
      <c r="I1809" s="147" t="s">
        <v>4693</v>
      </c>
      <c r="J1809" s="147" t="s">
        <v>104</v>
      </c>
      <c r="K1809" s="148"/>
      <c r="L1809" s="149"/>
      <c r="M1809" s="148"/>
    </row>
    <row r="1810" spans="1:13" ht="15" customHeight="1">
      <c r="A1810" s="142" t="s">
        <v>5122</v>
      </c>
      <c r="B1810" s="142">
        <v>515552</v>
      </c>
      <c r="C1810" s="143" t="s">
        <v>5123</v>
      </c>
      <c r="D1810" s="142" t="s">
        <v>4690</v>
      </c>
      <c r="E1810" s="143" t="s">
        <v>5124</v>
      </c>
      <c r="F1810" s="143" t="s">
        <v>5125</v>
      </c>
      <c r="G1810" s="142" t="s">
        <v>109</v>
      </c>
      <c r="H1810" s="142" t="s">
        <v>51</v>
      </c>
      <c r="I1810" s="143" t="s">
        <v>4693</v>
      </c>
      <c r="J1810" s="143" t="s">
        <v>104</v>
      </c>
      <c r="K1810" s="144"/>
      <c r="L1810" s="145"/>
      <c r="M1810" s="144"/>
    </row>
    <row r="1811" spans="1:13" ht="15" customHeight="1">
      <c r="A1811" s="146" t="s">
        <v>5126</v>
      </c>
      <c r="B1811" s="146">
        <v>515181</v>
      </c>
      <c r="C1811" s="147" t="s">
        <v>5127</v>
      </c>
      <c r="D1811" s="146" t="s">
        <v>4690</v>
      </c>
      <c r="E1811" s="147" t="s">
        <v>4864</v>
      </c>
      <c r="F1811" s="147" t="s">
        <v>5128</v>
      </c>
      <c r="G1811" s="146" t="s">
        <v>109</v>
      </c>
      <c r="H1811" s="146" t="s">
        <v>51</v>
      </c>
      <c r="I1811" s="147" t="s">
        <v>4693</v>
      </c>
      <c r="J1811" s="147" t="s">
        <v>104</v>
      </c>
      <c r="K1811" s="148"/>
      <c r="L1811" s="149"/>
      <c r="M1811" s="148"/>
    </row>
    <row r="1812" spans="1:13" ht="15" customHeight="1">
      <c r="A1812" s="142" t="s">
        <v>5129</v>
      </c>
      <c r="B1812" s="142">
        <v>515502</v>
      </c>
      <c r="C1812" s="143" t="s">
        <v>5130</v>
      </c>
      <c r="D1812" s="142" t="s">
        <v>4690</v>
      </c>
      <c r="E1812" s="143" t="s">
        <v>4812</v>
      </c>
      <c r="F1812" s="143" t="s">
        <v>5131</v>
      </c>
      <c r="G1812" s="142" t="s">
        <v>109</v>
      </c>
      <c r="H1812" s="142" t="s">
        <v>51</v>
      </c>
      <c r="I1812" s="143" t="s">
        <v>4693</v>
      </c>
      <c r="J1812" s="143" t="s">
        <v>104</v>
      </c>
      <c r="K1812" s="144" t="s">
        <v>121</v>
      </c>
      <c r="L1812" s="145">
        <v>46149</v>
      </c>
      <c r="M1812" s="144"/>
    </row>
    <row r="1813" spans="1:13" ht="15" customHeight="1">
      <c r="A1813" s="146" t="s">
        <v>5132</v>
      </c>
      <c r="B1813" s="146">
        <v>515619</v>
      </c>
      <c r="C1813" s="147" t="s">
        <v>5133</v>
      </c>
      <c r="D1813" s="146" t="s">
        <v>4690</v>
      </c>
      <c r="E1813" s="147" t="s">
        <v>5134</v>
      </c>
      <c r="F1813" s="147" t="s">
        <v>5135</v>
      </c>
      <c r="G1813" s="146" t="s">
        <v>109</v>
      </c>
      <c r="H1813" s="146" t="s">
        <v>51</v>
      </c>
      <c r="I1813" s="147" t="s">
        <v>4693</v>
      </c>
      <c r="J1813" s="147" t="s">
        <v>104</v>
      </c>
      <c r="K1813" s="148"/>
      <c r="L1813" s="149"/>
      <c r="M1813" s="148"/>
    </row>
    <row r="1814" spans="1:13" ht="15" customHeight="1">
      <c r="A1814" s="142" t="s">
        <v>5136</v>
      </c>
      <c r="B1814" s="142">
        <v>515490</v>
      </c>
      <c r="C1814" s="143" t="s">
        <v>5137</v>
      </c>
      <c r="D1814" s="142" t="s">
        <v>4690</v>
      </c>
      <c r="E1814" s="143" t="s">
        <v>4812</v>
      </c>
      <c r="F1814" s="143" t="s">
        <v>5138</v>
      </c>
      <c r="G1814" s="142" t="s">
        <v>109</v>
      </c>
      <c r="H1814" s="142" t="s">
        <v>51</v>
      </c>
      <c r="I1814" s="143" t="s">
        <v>4693</v>
      </c>
      <c r="J1814" s="143" t="s">
        <v>104</v>
      </c>
      <c r="K1814" s="144" t="s">
        <v>121</v>
      </c>
      <c r="L1814" s="145">
        <v>46150</v>
      </c>
      <c r="M1814" s="144"/>
    </row>
    <row r="1815" spans="1:13" ht="15" customHeight="1">
      <c r="A1815" s="146" t="s">
        <v>5139</v>
      </c>
      <c r="B1815" s="146">
        <v>515501</v>
      </c>
      <c r="C1815" s="147" t="s">
        <v>5140</v>
      </c>
      <c r="D1815" s="146" t="s">
        <v>4690</v>
      </c>
      <c r="E1815" s="147" t="s">
        <v>4812</v>
      </c>
      <c r="F1815" s="147" t="s">
        <v>5141</v>
      </c>
      <c r="G1815" s="146" t="s">
        <v>102</v>
      </c>
      <c r="H1815" s="146" t="s">
        <v>51</v>
      </c>
      <c r="I1815" s="147" t="s">
        <v>4693</v>
      </c>
      <c r="J1815" s="147" t="s">
        <v>104</v>
      </c>
      <c r="K1815" s="148" t="s">
        <v>121</v>
      </c>
      <c r="L1815" s="149">
        <v>46149</v>
      </c>
      <c r="M1815" s="148"/>
    </row>
    <row r="1816" spans="1:13" ht="15" customHeight="1">
      <c r="A1816" s="142" t="s">
        <v>5142</v>
      </c>
      <c r="B1816" s="142">
        <v>515578</v>
      </c>
      <c r="C1816" s="143" t="s">
        <v>3454</v>
      </c>
      <c r="D1816" s="142" t="s">
        <v>4690</v>
      </c>
      <c r="E1816" s="143" t="s">
        <v>503</v>
      </c>
      <c r="F1816" s="143" t="s">
        <v>5143</v>
      </c>
      <c r="G1816" s="142" t="s">
        <v>109</v>
      </c>
      <c r="H1816" s="142" t="s">
        <v>51</v>
      </c>
      <c r="I1816" s="143" t="s">
        <v>4693</v>
      </c>
      <c r="J1816" s="143" t="s">
        <v>104</v>
      </c>
      <c r="K1816" s="144"/>
      <c r="L1816" s="145"/>
      <c r="M1816" s="144"/>
    </row>
    <row r="1817" spans="1:13" ht="15" customHeight="1">
      <c r="A1817" s="146" t="s">
        <v>5144</v>
      </c>
      <c r="B1817" s="146">
        <v>515660</v>
      </c>
      <c r="C1817" s="147" t="s">
        <v>5145</v>
      </c>
      <c r="D1817" s="146" t="s">
        <v>4690</v>
      </c>
      <c r="E1817" s="147" t="s">
        <v>4844</v>
      </c>
      <c r="F1817" s="147" t="s">
        <v>4876</v>
      </c>
      <c r="G1817" s="146" t="s">
        <v>109</v>
      </c>
      <c r="H1817" s="146" t="s">
        <v>51</v>
      </c>
      <c r="I1817" s="147" t="s">
        <v>4693</v>
      </c>
      <c r="J1817" s="147" t="s">
        <v>104</v>
      </c>
      <c r="K1817" s="148"/>
      <c r="L1817" s="149"/>
      <c r="M1817" s="148"/>
    </row>
    <row r="1818" spans="1:13" ht="15" customHeight="1">
      <c r="A1818" s="142" t="s">
        <v>5146</v>
      </c>
      <c r="B1818" s="142">
        <v>516529</v>
      </c>
      <c r="C1818" s="143" t="s">
        <v>5147</v>
      </c>
      <c r="D1818" s="142" t="s">
        <v>4690</v>
      </c>
      <c r="E1818" s="143" t="s">
        <v>4828</v>
      </c>
      <c r="F1818" s="143" t="s">
        <v>5147</v>
      </c>
      <c r="G1818" s="142" t="s">
        <v>109</v>
      </c>
      <c r="H1818" s="142" t="s">
        <v>51</v>
      </c>
      <c r="I1818" s="143" t="s">
        <v>4693</v>
      </c>
      <c r="J1818" s="143" t="s">
        <v>104</v>
      </c>
      <c r="K1818" s="144"/>
      <c r="L1818" s="145"/>
      <c r="M1818" s="144"/>
    </row>
    <row r="1819" spans="1:13" ht="15" customHeight="1">
      <c r="A1819" s="146" t="s">
        <v>5148</v>
      </c>
      <c r="B1819" s="146">
        <v>516273</v>
      </c>
      <c r="C1819" s="147" t="s">
        <v>5149</v>
      </c>
      <c r="D1819" s="146" t="s">
        <v>4690</v>
      </c>
      <c r="E1819" s="147" t="s">
        <v>4736</v>
      </c>
      <c r="F1819" s="147" t="s">
        <v>5149</v>
      </c>
      <c r="G1819" s="146" t="s">
        <v>109</v>
      </c>
      <c r="H1819" s="146" t="s">
        <v>51</v>
      </c>
      <c r="I1819" s="147" t="s">
        <v>4693</v>
      </c>
      <c r="J1819" s="147" t="s">
        <v>104</v>
      </c>
      <c r="K1819" s="148"/>
      <c r="L1819" s="149"/>
      <c r="M1819" s="148"/>
    </row>
    <row r="1820" spans="1:13" ht="15" customHeight="1">
      <c r="A1820" s="142" t="s">
        <v>5150</v>
      </c>
      <c r="B1820" s="142">
        <v>515652</v>
      </c>
      <c r="C1820" s="143" t="s">
        <v>5151</v>
      </c>
      <c r="D1820" s="142" t="s">
        <v>4690</v>
      </c>
      <c r="E1820" s="143" t="s">
        <v>5152</v>
      </c>
      <c r="F1820" s="143" t="s">
        <v>5152</v>
      </c>
      <c r="G1820" s="142" t="s">
        <v>109</v>
      </c>
      <c r="H1820" s="142" t="s">
        <v>51</v>
      </c>
      <c r="I1820" s="143" t="s">
        <v>4693</v>
      </c>
      <c r="J1820" s="143" t="s">
        <v>104</v>
      </c>
      <c r="K1820" s="144"/>
      <c r="L1820" s="145"/>
      <c r="M1820" s="144"/>
    </row>
    <row r="1821" spans="1:13" ht="15" customHeight="1">
      <c r="A1821" s="146" t="s">
        <v>5153</v>
      </c>
      <c r="B1821" s="146">
        <v>521574</v>
      </c>
      <c r="C1821" s="147" t="s">
        <v>5154</v>
      </c>
      <c r="D1821" s="146" t="s">
        <v>4690</v>
      </c>
      <c r="E1821" s="147" t="s">
        <v>4744</v>
      </c>
      <c r="F1821" s="147" t="s">
        <v>5155</v>
      </c>
      <c r="G1821" s="146" t="s">
        <v>109</v>
      </c>
      <c r="H1821" s="146" t="s">
        <v>51</v>
      </c>
      <c r="I1821" s="147" t="s">
        <v>4693</v>
      </c>
      <c r="J1821" s="147" t="s">
        <v>104</v>
      </c>
      <c r="K1821" s="148"/>
      <c r="L1821" s="149"/>
      <c r="M1821" s="148"/>
    </row>
    <row r="1822" spans="1:13" ht="15" customHeight="1">
      <c r="A1822" s="142" t="s">
        <v>5156</v>
      </c>
      <c r="B1822" s="142">
        <v>515386</v>
      </c>
      <c r="C1822" s="143" t="s">
        <v>5157</v>
      </c>
      <c r="D1822" s="142" t="s">
        <v>4690</v>
      </c>
      <c r="E1822" s="143" t="s">
        <v>4744</v>
      </c>
      <c r="F1822" s="143" t="s">
        <v>4744</v>
      </c>
      <c r="G1822" s="142" t="s">
        <v>109</v>
      </c>
      <c r="H1822" s="142" t="s">
        <v>51</v>
      </c>
      <c r="I1822" s="143" t="s">
        <v>4693</v>
      </c>
      <c r="J1822" s="143" t="s">
        <v>104</v>
      </c>
      <c r="K1822" s="144"/>
      <c r="L1822" s="145"/>
      <c r="M1822" s="144"/>
    </row>
    <row r="1823" spans="1:13" ht="15" customHeight="1">
      <c r="A1823" s="146" t="s">
        <v>5158</v>
      </c>
      <c r="B1823" s="146">
        <v>515417</v>
      </c>
      <c r="C1823" s="147" t="s">
        <v>5159</v>
      </c>
      <c r="D1823" s="146" t="s">
        <v>4690</v>
      </c>
      <c r="E1823" s="147" t="s">
        <v>5160</v>
      </c>
      <c r="F1823" s="147" t="s">
        <v>5161</v>
      </c>
      <c r="G1823" s="146" t="s">
        <v>109</v>
      </c>
      <c r="H1823" s="146" t="s">
        <v>51</v>
      </c>
      <c r="I1823" s="147" t="s">
        <v>4693</v>
      </c>
      <c r="J1823" s="147" t="s">
        <v>104</v>
      </c>
      <c r="K1823" s="148"/>
      <c r="L1823" s="149"/>
      <c r="M1823" s="148"/>
    </row>
    <row r="1824" spans="1:13" ht="15" customHeight="1">
      <c r="A1824" s="142" t="s">
        <v>5162</v>
      </c>
      <c r="B1824" s="142">
        <v>515678</v>
      </c>
      <c r="C1824" s="143" t="s">
        <v>2256</v>
      </c>
      <c r="D1824" s="142" t="s">
        <v>4690</v>
      </c>
      <c r="E1824" s="143" t="s">
        <v>5163</v>
      </c>
      <c r="F1824" s="143" t="s">
        <v>5164</v>
      </c>
      <c r="G1824" s="142" t="s">
        <v>109</v>
      </c>
      <c r="H1824" s="142" t="s">
        <v>51</v>
      </c>
      <c r="I1824" s="143" t="s">
        <v>4693</v>
      </c>
      <c r="J1824" s="143" t="s">
        <v>104</v>
      </c>
      <c r="K1824" s="144"/>
      <c r="L1824" s="145"/>
      <c r="M1824" s="144"/>
    </row>
    <row r="1825" spans="1:13" ht="15" customHeight="1">
      <c r="A1825" s="146" t="s">
        <v>5165</v>
      </c>
      <c r="B1825" s="146">
        <v>515456</v>
      </c>
      <c r="C1825" s="147" t="s">
        <v>2288</v>
      </c>
      <c r="D1825" s="146" t="s">
        <v>4690</v>
      </c>
      <c r="E1825" s="147" t="s">
        <v>4828</v>
      </c>
      <c r="F1825" s="147" t="s">
        <v>2288</v>
      </c>
      <c r="G1825" s="146" t="s">
        <v>109</v>
      </c>
      <c r="H1825" s="146" t="s">
        <v>51</v>
      </c>
      <c r="I1825" s="147" t="s">
        <v>4693</v>
      </c>
      <c r="J1825" s="147" t="s">
        <v>104</v>
      </c>
      <c r="K1825" s="148"/>
      <c r="L1825" s="149"/>
      <c r="M1825" s="148"/>
    </row>
    <row r="1826" spans="1:13" ht="15" customHeight="1">
      <c r="A1826" s="142" t="s">
        <v>5166</v>
      </c>
      <c r="B1826" s="142">
        <v>515670</v>
      </c>
      <c r="C1826" s="143" t="s">
        <v>5167</v>
      </c>
      <c r="D1826" s="142" t="s">
        <v>4690</v>
      </c>
      <c r="E1826" s="143" t="s">
        <v>4696</v>
      </c>
      <c r="F1826" s="143" t="s">
        <v>4697</v>
      </c>
      <c r="G1826" s="142" t="s">
        <v>109</v>
      </c>
      <c r="H1826" s="142" t="s">
        <v>51</v>
      </c>
      <c r="I1826" s="143" t="s">
        <v>4693</v>
      </c>
      <c r="J1826" s="143" t="s">
        <v>104</v>
      </c>
      <c r="K1826" s="144"/>
      <c r="L1826" s="145"/>
      <c r="M1826" s="144"/>
    </row>
    <row r="1827" spans="1:13" ht="15" customHeight="1">
      <c r="A1827" s="146" t="s">
        <v>5168</v>
      </c>
      <c r="B1827" s="146">
        <v>515754</v>
      </c>
      <c r="C1827" s="147" t="s">
        <v>3480</v>
      </c>
      <c r="D1827" s="146" t="s">
        <v>4690</v>
      </c>
      <c r="E1827" s="147" t="s">
        <v>4696</v>
      </c>
      <c r="F1827" s="147" t="s">
        <v>5169</v>
      </c>
      <c r="G1827" s="146" t="s">
        <v>109</v>
      </c>
      <c r="H1827" s="146" t="s">
        <v>51</v>
      </c>
      <c r="I1827" s="147" t="s">
        <v>4693</v>
      </c>
      <c r="J1827" s="147" t="s">
        <v>104</v>
      </c>
      <c r="K1827" s="148"/>
      <c r="L1827" s="149"/>
      <c r="M1827" s="148"/>
    </row>
    <row r="1828" spans="1:13" ht="15" customHeight="1">
      <c r="A1828" s="142" t="s">
        <v>5170</v>
      </c>
      <c r="B1828" s="142">
        <v>515527</v>
      </c>
      <c r="C1828" s="143" t="s">
        <v>3581</v>
      </c>
      <c r="D1828" s="142" t="s">
        <v>4690</v>
      </c>
      <c r="E1828" s="143" t="s">
        <v>4712</v>
      </c>
      <c r="F1828" s="143" t="s">
        <v>5171</v>
      </c>
      <c r="G1828" s="142" t="s">
        <v>109</v>
      </c>
      <c r="H1828" s="142" t="s">
        <v>50</v>
      </c>
      <c r="I1828" s="143" t="s">
        <v>1532</v>
      </c>
      <c r="J1828" s="143" t="s">
        <v>104</v>
      </c>
      <c r="K1828" s="144" t="s">
        <v>162</v>
      </c>
      <c r="L1828" s="145">
        <v>46146</v>
      </c>
      <c r="M1828" s="181" t="s">
        <v>1716</v>
      </c>
    </row>
    <row r="1829" spans="1:13" ht="15" customHeight="1">
      <c r="A1829" s="146" t="s">
        <v>5172</v>
      </c>
      <c r="B1829" s="146">
        <v>517017</v>
      </c>
      <c r="C1829" s="147" t="s">
        <v>5173</v>
      </c>
      <c r="D1829" s="146" t="s">
        <v>4690</v>
      </c>
      <c r="E1829" s="147" t="s">
        <v>4847</v>
      </c>
      <c r="F1829" s="147" t="s">
        <v>5174</v>
      </c>
      <c r="G1829" s="146" t="s">
        <v>109</v>
      </c>
      <c r="H1829" s="146" t="s">
        <v>51</v>
      </c>
      <c r="I1829" s="147" t="s">
        <v>4693</v>
      </c>
      <c r="J1829" s="147" t="s">
        <v>104</v>
      </c>
      <c r="K1829" s="148"/>
      <c r="L1829" s="149"/>
      <c r="M1829" s="148"/>
    </row>
    <row r="1830" spans="1:13" ht="15" customHeight="1">
      <c r="A1830" s="142" t="s">
        <v>5175</v>
      </c>
      <c r="B1830" s="142">
        <v>517548</v>
      </c>
      <c r="C1830" s="143" t="s">
        <v>2682</v>
      </c>
      <c r="D1830" s="142" t="s">
        <v>4690</v>
      </c>
      <c r="E1830" s="143" t="s">
        <v>5176</v>
      </c>
      <c r="F1830" s="143" t="s">
        <v>5177</v>
      </c>
      <c r="G1830" s="142" t="s">
        <v>109</v>
      </c>
      <c r="H1830" s="142" t="s">
        <v>50</v>
      </c>
      <c r="I1830" s="143" t="s">
        <v>1532</v>
      </c>
      <c r="J1830" s="143" t="s">
        <v>104</v>
      </c>
      <c r="K1830" s="144" t="s">
        <v>121</v>
      </c>
      <c r="L1830" s="145">
        <v>46141</v>
      </c>
      <c r="M1830" s="144"/>
    </row>
    <row r="1831" spans="1:13" ht="15" customHeight="1">
      <c r="A1831" s="146" t="s">
        <v>5178</v>
      </c>
      <c r="B1831" s="146">
        <v>515630</v>
      </c>
      <c r="C1831" s="147" t="s">
        <v>5006</v>
      </c>
      <c r="D1831" s="146" t="s">
        <v>4690</v>
      </c>
      <c r="E1831" s="147" t="s">
        <v>4729</v>
      </c>
      <c r="F1831" s="147" t="s">
        <v>5179</v>
      </c>
      <c r="G1831" s="146" t="s">
        <v>109</v>
      </c>
      <c r="H1831" s="146" t="s">
        <v>51</v>
      </c>
      <c r="I1831" s="147" t="s">
        <v>4693</v>
      </c>
      <c r="J1831" s="147" t="s">
        <v>104</v>
      </c>
      <c r="K1831" s="148"/>
      <c r="L1831" s="149"/>
      <c r="M1831" s="148"/>
    </row>
    <row r="1832" spans="1:13" ht="15" customHeight="1">
      <c r="A1832" s="142" t="s">
        <v>5180</v>
      </c>
      <c r="B1832" s="142">
        <v>515735</v>
      </c>
      <c r="C1832" s="143" t="s">
        <v>5181</v>
      </c>
      <c r="D1832" s="142" t="s">
        <v>4690</v>
      </c>
      <c r="E1832" s="143" t="s">
        <v>4729</v>
      </c>
      <c r="F1832" s="143" t="s">
        <v>5182</v>
      </c>
      <c r="G1832" s="142" t="s">
        <v>109</v>
      </c>
      <c r="H1832" s="142" t="s">
        <v>51</v>
      </c>
      <c r="I1832" s="143" t="s">
        <v>4693</v>
      </c>
      <c r="J1832" s="143" t="s">
        <v>104</v>
      </c>
      <c r="K1832" s="144"/>
      <c r="L1832" s="145"/>
      <c r="M1832" s="144"/>
    </row>
    <row r="1833" spans="1:13" ht="15" customHeight="1">
      <c r="A1833" s="146" t="s">
        <v>5183</v>
      </c>
      <c r="B1833" s="146">
        <v>515621</v>
      </c>
      <c r="C1833" s="147" t="s">
        <v>5184</v>
      </c>
      <c r="D1833" s="146" t="s">
        <v>4690</v>
      </c>
      <c r="E1833" s="147" t="s">
        <v>4767</v>
      </c>
      <c r="F1833" s="147" t="s">
        <v>1292</v>
      </c>
      <c r="G1833" s="146" t="s">
        <v>109</v>
      </c>
      <c r="H1833" s="146" t="s">
        <v>51</v>
      </c>
      <c r="I1833" s="147" t="s">
        <v>4693</v>
      </c>
      <c r="J1833" s="147" t="s">
        <v>104</v>
      </c>
      <c r="K1833" s="148"/>
      <c r="L1833" s="149"/>
      <c r="M1833" s="148"/>
    </row>
    <row r="1834" spans="1:13" ht="15" customHeight="1">
      <c r="A1834" s="142" t="s">
        <v>5185</v>
      </c>
      <c r="B1834" s="142">
        <v>517549</v>
      </c>
      <c r="C1834" s="143" t="s">
        <v>2682</v>
      </c>
      <c r="D1834" s="142" t="s">
        <v>4690</v>
      </c>
      <c r="E1834" s="143" t="s">
        <v>5176</v>
      </c>
      <c r="F1834" s="143" t="s">
        <v>5177</v>
      </c>
      <c r="G1834" s="142" t="s">
        <v>109</v>
      </c>
      <c r="H1834" s="142" t="s">
        <v>50</v>
      </c>
      <c r="I1834" s="143" t="s">
        <v>1532</v>
      </c>
      <c r="J1834" s="143" t="s">
        <v>104</v>
      </c>
      <c r="K1834" s="144" t="s">
        <v>121</v>
      </c>
      <c r="L1834" s="145">
        <v>46148</v>
      </c>
      <c r="M1834" s="144"/>
    </row>
    <row r="1835" spans="1:13" ht="15" customHeight="1">
      <c r="A1835" s="146" t="s">
        <v>5186</v>
      </c>
      <c r="B1835" s="146">
        <v>515563</v>
      </c>
      <c r="C1835" s="147" t="s">
        <v>5187</v>
      </c>
      <c r="D1835" s="146" t="s">
        <v>4690</v>
      </c>
      <c r="E1835" s="147" t="s">
        <v>5188</v>
      </c>
      <c r="F1835" s="147" t="s">
        <v>4813</v>
      </c>
      <c r="G1835" s="146" t="s">
        <v>109</v>
      </c>
      <c r="H1835" s="146" t="s">
        <v>51</v>
      </c>
      <c r="I1835" s="147" t="s">
        <v>4693</v>
      </c>
      <c r="J1835" s="147" t="s">
        <v>104</v>
      </c>
      <c r="K1835" s="148"/>
      <c r="L1835" s="149"/>
      <c r="M1835" s="148"/>
    </row>
    <row r="1836" spans="1:13" ht="15" customHeight="1">
      <c r="A1836" s="142" t="s">
        <v>5189</v>
      </c>
      <c r="B1836" s="142">
        <v>515362</v>
      </c>
      <c r="C1836" s="143" t="s">
        <v>5190</v>
      </c>
      <c r="D1836" s="142" t="s">
        <v>4690</v>
      </c>
      <c r="E1836" s="143" t="s">
        <v>4744</v>
      </c>
      <c r="F1836" s="143" t="s">
        <v>2539</v>
      </c>
      <c r="G1836" s="142" t="s">
        <v>109</v>
      </c>
      <c r="H1836" s="142" t="s">
        <v>51</v>
      </c>
      <c r="I1836" s="143" t="s">
        <v>4693</v>
      </c>
      <c r="J1836" s="143" t="s">
        <v>104</v>
      </c>
      <c r="K1836" s="144" t="s">
        <v>121</v>
      </c>
      <c r="L1836" s="145">
        <v>46149</v>
      </c>
      <c r="M1836" s="144"/>
    </row>
    <row r="1837" spans="1:13" ht="15" customHeight="1">
      <c r="A1837" s="146" t="s">
        <v>5191</v>
      </c>
      <c r="B1837" s="146">
        <v>515642</v>
      </c>
      <c r="C1837" s="147" t="s">
        <v>5192</v>
      </c>
      <c r="D1837" s="146" t="s">
        <v>4690</v>
      </c>
      <c r="E1837" s="147" t="s">
        <v>658</v>
      </c>
      <c r="F1837" s="147" t="s">
        <v>5193</v>
      </c>
      <c r="G1837" s="146" t="s">
        <v>109</v>
      </c>
      <c r="H1837" s="146" t="s">
        <v>51</v>
      </c>
      <c r="I1837" s="147" t="s">
        <v>4693</v>
      </c>
      <c r="J1837" s="147" t="s">
        <v>104</v>
      </c>
      <c r="K1837" s="148"/>
      <c r="L1837" s="149"/>
      <c r="M1837" s="148"/>
    </row>
    <row r="1838" spans="1:13" ht="15" customHeight="1">
      <c r="A1838" s="142" t="s">
        <v>5194</v>
      </c>
      <c r="B1838" s="142">
        <v>516481</v>
      </c>
      <c r="C1838" s="143" t="s">
        <v>1123</v>
      </c>
      <c r="D1838" s="142" t="s">
        <v>4690</v>
      </c>
      <c r="E1838" s="143" t="s">
        <v>4872</v>
      </c>
      <c r="F1838" s="143" t="s">
        <v>5195</v>
      </c>
      <c r="G1838" s="142" t="s">
        <v>109</v>
      </c>
      <c r="H1838" s="142" t="s">
        <v>51</v>
      </c>
      <c r="I1838" s="143" t="s">
        <v>4693</v>
      </c>
      <c r="J1838" s="143" t="s">
        <v>104</v>
      </c>
      <c r="K1838" s="144"/>
      <c r="L1838" s="145"/>
      <c r="M1838" s="144"/>
    </row>
    <row r="1839" spans="1:13" ht="15" customHeight="1">
      <c r="A1839" s="146" t="s">
        <v>5196</v>
      </c>
      <c r="B1839" s="146">
        <v>515734</v>
      </c>
      <c r="C1839" s="147" t="s">
        <v>5197</v>
      </c>
      <c r="D1839" s="146" t="s">
        <v>4690</v>
      </c>
      <c r="E1839" s="147" t="s">
        <v>4754</v>
      </c>
      <c r="F1839" s="147" t="s">
        <v>5197</v>
      </c>
      <c r="G1839" s="146" t="s">
        <v>109</v>
      </c>
      <c r="H1839" s="146" t="s">
        <v>51</v>
      </c>
      <c r="I1839" s="147" t="s">
        <v>4693</v>
      </c>
      <c r="J1839" s="147" t="s">
        <v>104</v>
      </c>
      <c r="K1839" s="148"/>
      <c r="L1839" s="149"/>
      <c r="M1839" s="148"/>
    </row>
    <row r="1840" spans="1:13" ht="15" customHeight="1">
      <c r="A1840" s="142" t="s">
        <v>5198</v>
      </c>
      <c r="B1840" s="142">
        <v>516376</v>
      </c>
      <c r="C1840" s="143" t="s">
        <v>5199</v>
      </c>
      <c r="D1840" s="142" t="s">
        <v>4690</v>
      </c>
      <c r="E1840" s="143" t="s">
        <v>4902</v>
      </c>
      <c r="F1840" s="143" t="s">
        <v>5199</v>
      </c>
      <c r="G1840" s="142" t="s">
        <v>109</v>
      </c>
      <c r="H1840" s="142" t="s">
        <v>51</v>
      </c>
      <c r="I1840" s="143" t="s">
        <v>4693</v>
      </c>
      <c r="J1840" s="143" t="s">
        <v>104</v>
      </c>
      <c r="K1840" s="144"/>
      <c r="L1840" s="145"/>
      <c r="M1840" s="144"/>
    </row>
    <row r="1841" spans="1:13" ht="15" customHeight="1">
      <c r="A1841" s="146" t="s">
        <v>5200</v>
      </c>
      <c r="B1841" s="146">
        <v>515706</v>
      </c>
      <c r="C1841" s="147" t="s">
        <v>5201</v>
      </c>
      <c r="D1841" s="146" t="s">
        <v>4690</v>
      </c>
      <c r="E1841" s="147" t="s">
        <v>4766</v>
      </c>
      <c r="F1841" s="147" t="s">
        <v>5202</v>
      </c>
      <c r="G1841" s="146" t="s">
        <v>109</v>
      </c>
      <c r="H1841" s="146" t="s">
        <v>51</v>
      </c>
      <c r="I1841" s="147" t="s">
        <v>4693</v>
      </c>
      <c r="J1841" s="147" t="s">
        <v>104</v>
      </c>
      <c r="K1841" s="148"/>
      <c r="L1841" s="149"/>
      <c r="M1841" s="148"/>
    </row>
    <row r="1842" spans="1:13" ht="15" customHeight="1">
      <c r="A1842" s="142" t="s">
        <v>5203</v>
      </c>
      <c r="B1842" s="142">
        <v>515479</v>
      </c>
      <c r="C1842" s="143" t="s">
        <v>3443</v>
      </c>
      <c r="D1842" s="142" t="s">
        <v>4690</v>
      </c>
      <c r="E1842" s="143" t="s">
        <v>5088</v>
      </c>
      <c r="F1842" s="143" t="s">
        <v>5204</v>
      </c>
      <c r="G1842" s="142" t="s">
        <v>109</v>
      </c>
      <c r="H1842" s="142" t="s">
        <v>51</v>
      </c>
      <c r="I1842" s="143" t="s">
        <v>4693</v>
      </c>
      <c r="J1842" s="143" t="s">
        <v>104</v>
      </c>
      <c r="K1842" s="144"/>
      <c r="L1842" s="145"/>
      <c r="M1842" s="144"/>
    </row>
    <row r="1843" spans="1:13" ht="15" customHeight="1">
      <c r="A1843" s="146" t="s">
        <v>5205</v>
      </c>
      <c r="B1843" s="146">
        <v>515674</v>
      </c>
      <c r="C1843" s="147" t="s">
        <v>5206</v>
      </c>
      <c r="D1843" s="146" t="s">
        <v>4690</v>
      </c>
      <c r="E1843" s="147" t="s">
        <v>5207</v>
      </c>
      <c r="F1843" s="147" t="s">
        <v>5208</v>
      </c>
      <c r="G1843" s="146" t="s">
        <v>109</v>
      </c>
      <c r="H1843" s="146" t="s">
        <v>51</v>
      </c>
      <c r="I1843" s="147" t="s">
        <v>4693</v>
      </c>
      <c r="J1843" s="147" t="s">
        <v>104</v>
      </c>
      <c r="K1843" s="148"/>
      <c r="L1843" s="149"/>
      <c r="M1843" s="148"/>
    </row>
    <row r="1844" spans="1:13" ht="15" customHeight="1">
      <c r="A1844" s="142" t="s">
        <v>5209</v>
      </c>
      <c r="B1844" s="142">
        <v>515662</v>
      </c>
      <c r="C1844" s="143" t="s">
        <v>5210</v>
      </c>
      <c r="D1844" s="142" t="s">
        <v>4690</v>
      </c>
      <c r="E1844" s="143" t="s">
        <v>5207</v>
      </c>
      <c r="F1844" s="143" t="s">
        <v>5211</v>
      </c>
      <c r="G1844" s="142" t="s">
        <v>109</v>
      </c>
      <c r="H1844" s="142" t="s">
        <v>51</v>
      </c>
      <c r="I1844" s="143" t="s">
        <v>4693</v>
      </c>
      <c r="J1844" s="143" t="s">
        <v>104</v>
      </c>
      <c r="K1844" s="144"/>
      <c r="L1844" s="145"/>
      <c r="M1844" s="144"/>
    </row>
    <row r="1845" spans="1:13" ht="15" customHeight="1">
      <c r="A1845" s="146" t="s">
        <v>5212</v>
      </c>
      <c r="B1845" s="146">
        <v>515704</v>
      </c>
      <c r="C1845" s="147" t="s">
        <v>5213</v>
      </c>
      <c r="D1845" s="146" t="s">
        <v>4690</v>
      </c>
      <c r="E1845" s="147" t="s">
        <v>5214</v>
      </c>
      <c r="F1845" s="147" t="s">
        <v>5215</v>
      </c>
      <c r="G1845" s="146" t="s">
        <v>109</v>
      </c>
      <c r="H1845" s="146" t="s">
        <v>51</v>
      </c>
      <c r="I1845" s="147" t="s">
        <v>4693</v>
      </c>
      <c r="J1845" s="147" t="s">
        <v>104</v>
      </c>
      <c r="K1845" s="148"/>
      <c r="L1845" s="149"/>
      <c r="M1845" s="148"/>
    </row>
    <row r="1846" spans="1:13" ht="15" customHeight="1">
      <c r="A1846" s="142" t="s">
        <v>5216</v>
      </c>
      <c r="B1846" s="142">
        <v>515703</v>
      </c>
      <c r="C1846" s="143" t="s">
        <v>5217</v>
      </c>
      <c r="D1846" s="142" t="s">
        <v>4690</v>
      </c>
      <c r="E1846" s="143" t="s">
        <v>5214</v>
      </c>
      <c r="F1846" s="143" t="s">
        <v>5218</v>
      </c>
      <c r="G1846" s="142" t="s">
        <v>109</v>
      </c>
      <c r="H1846" s="142" t="s">
        <v>51</v>
      </c>
      <c r="I1846" s="143" t="s">
        <v>4693</v>
      </c>
      <c r="J1846" s="143" t="s">
        <v>104</v>
      </c>
      <c r="K1846" s="144"/>
      <c r="L1846" s="145"/>
      <c r="M1846" s="144"/>
    </row>
    <row r="1847" spans="1:13" ht="15" customHeight="1">
      <c r="A1847" s="146" t="s">
        <v>5219</v>
      </c>
      <c r="B1847" s="146">
        <v>515572</v>
      </c>
      <c r="C1847" s="147" t="s">
        <v>5220</v>
      </c>
      <c r="D1847" s="146" t="s">
        <v>4690</v>
      </c>
      <c r="E1847" s="147" t="s">
        <v>5101</v>
      </c>
      <c r="F1847" s="147" t="s">
        <v>4767</v>
      </c>
      <c r="G1847" s="146" t="s">
        <v>109</v>
      </c>
      <c r="H1847" s="146" t="s">
        <v>50</v>
      </c>
      <c r="I1847" s="147" t="s">
        <v>1532</v>
      </c>
      <c r="J1847" s="147" t="s">
        <v>104</v>
      </c>
      <c r="K1847" s="148" t="s">
        <v>121</v>
      </c>
      <c r="L1847" s="149">
        <v>46142</v>
      </c>
      <c r="M1847" s="148"/>
    </row>
    <row r="1848" spans="1:13" ht="15" customHeight="1">
      <c r="A1848" s="142" t="s">
        <v>5221</v>
      </c>
      <c r="B1848" s="142">
        <v>515632</v>
      </c>
      <c r="C1848" s="143" t="s">
        <v>5222</v>
      </c>
      <c r="D1848" s="142" t="s">
        <v>4690</v>
      </c>
      <c r="E1848" s="143" t="s">
        <v>4700</v>
      </c>
      <c r="F1848" s="143" t="s">
        <v>5223</v>
      </c>
      <c r="G1848" s="142" t="s">
        <v>109</v>
      </c>
      <c r="H1848" s="142" t="s">
        <v>51</v>
      </c>
      <c r="I1848" s="143" t="s">
        <v>4693</v>
      </c>
      <c r="J1848" s="143" t="s">
        <v>104</v>
      </c>
      <c r="K1848" s="144"/>
      <c r="L1848" s="145"/>
      <c r="M1848" s="144"/>
    </row>
    <row r="1849" spans="1:13" ht="15" customHeight="1">
      <c r="A1849" s="146" t="s">
        <v>5224</v>
      </c>
      <c r="B1849" s="146">
        <v>515631</v>
      </c>
      <c r="C1849" s="147" t="s">
        <v>5225</v>
      </c>
      <c r="D1849" s="146" t="s">
        <v>4690</v>
      </c>
      <c r="E1849" s="147" t="s">
        <v>4700</v>
      </c>
      <c r="F1849" s="147" t="s">
        <v>5226</v>
      </c>
      <c r="G1849" s="146" t="s">
        <v>109</v>
      </c>
      <c r="H1849" s="146" t="s">
        <v>51</v>
      </c>
      <c r="I1849" s="147" t="s">
        <v>4693</v>
      </c>
      <c r="J1849" s="147" t="s">
        <v>104</v>
      </c>
      <c r="K1849" s="148"/>
      <c r="L1849" s="149"/>
      <c r="M1849" s="148"/>
    </row>
    <row r="1850" spans="1:13" ht="15" customHeight="1">
      <c r="A1850" s="142" t="s">
        <v>5227</v>
      </c>
      <c r="B1850" s="142">
        <v>515472</v>
      </c>
      <c r="C1850" s="143" t="s">
        <v>5228</v>
      </c>
      <c r="D1850" s="142" t="s">
        <v>4690</v>
      </c>
      <c r="E1850" s="143" t="s">
        <v>1086</v>
      </c>
      <c r="F1850" s="143" t="s">
        <v>5229</v>
      </c>
      <c r="G1850" s="142" t="s">
        <v>109</v>
      </c>
      <c r="H1850" s="142" t="s">
        <v>51</v>
      </c>
      <c r="I1850" s="143" t="s">
        <v>4693</v>
      </c>
      <c r="J1850" s="143" t="s">
        <v>104</v>
      </c>
      <c r="K1850" s="144" t="s">
        <v>162</v>
      </c>
      <c r="L1850" s="145">
        <v>46149</v>
      </c>
      <c r="M1850" s="144"/>
    </row>
    <row r="1851" spans="1:13" ht="15" customHeight="1">
      <c r="A1851" s="146" t="s">
        <v>5230</v>
      </c>
      <c r="B1851" s="146">
        <v>515663</v>
      </c>
      <c r="C1851" s="147" t="s">
        <v>5231</v>
      </c>
      <c r="D1851" s="146" t="s">
        <v>4690</v>
      </c>
      <c r="E1851" s="147" t="s">
        <v>4921</v>
      </c>
      <c r="F1851" s="147" t="s">
        <v>5232</v>
      </c>
      <c r="G1851" s="146" t="s">
        <v>109</v>
      </c>
      <c r="H1851" s="146" t="s">
        <v>50</v>
      </c>
      <c r="I1851" s="147" t="s">
        <v>3391</v>
      </c>
      <c r="J1851" s="147" t="s">
        <v>104</v>
      </c>
      <c r="K1851" s="148"/>
      <c r="L1851" s="149"/>
      <c r="M1851" s="148"/>
    </row>
    <row r="1852" spans="1:13" ht="15" customHeight="1">
      <c r="A1852" s="142" t="s">
        <v>5233</v>
      </c>
      <c r="B1852" s="142">
        <v>516890</v>
      </c>
      <c r="C1852" s="143" t="s">
        <v>5234</v>
      </c>
      <c r="D1852" s="142" t="s">
        <v>4690</v>
      </c>
      <c r="E1852" s="143" t="s">
        <v>4967</v>
      </c>
      <c r="F1852" s="143" t="s">
        <v>5235</v>
      </c>
      <c r="G1852" s="142" t="s">
        <v>109</v>
      </c>
      <c r="H1852" s="142" t="s">
        <v>51</v>
      </c>
      <c r="I1852" s="143" t="s">
        <v>4693</v>
      </c>
      <c r="J1852" s="143" t="s">
        <v>104</v>
      </c>
      <c r="K1852" s="144"/>
      <c r="L1852" s="145"/>
      <c r="M1852" s="144"/>
    </row>
    <row r="1853" spans="1:13" ht="15" customHeight="1">
      <c r="A1853" s="146" t="s">
        <v>5236</v>
      </c>
      <c r="B1853" s="146">
        <v>515445</v>
      </c>
      <c r="C1853" s="147" t="s">
        <v>2256</v>
      </c>
      <c r="D1853" s="146" t="s">
        <v>4690</v>
      </c>
      <c r="E1853" s="147" t="s">
        <v>4857</v>
      </c>
      <c r="F1853" s="147" t="s">
        <v>5237</v>
      </c>
      <c r="G1853" s="146" t="s">
        <v>109</v>
      </c>
      <c r="H1853" s="146" t="s">
        <v>51</v>
      </c>
      <c r="I1853" s="147" t="s">
        <v>4693</v>
      </c>
      <c r="J1853" s="147" t="s">
        <v>104</v>
      </c>
      <c r="K1853" s="148"/>
      <c r="L1853" s="149"/>
      <c r="M1853" s="148"/>
    </row>
    <row r="1854" spans="1:13" ht="15" customHeight="1">
      <c r="A1854" s="142" t="s">
        <v>5238</v>
      </c>
      <c r="B1854" s="142">
        <v>515713</v>
      </c>
      <c r="C1854" s="143" t="s">
        <v>5239</v>
      </c>
      <c r="D1854" s="142" t="s">
        <v>4690</v>
      </c>
      <c r="E1854" s="143" t="s">
        <v>4744</v>
      </c>
      <c r="F1854" s="143" t="s">
        <v>5240</v>
      </c>
      <c r="G1854" s="142" t="s">
        <v>109</v>
      </c>
      <c r="H1854" s="142" t="s">
        <v>51</v>
      </c>
      <c r="I1854" s="143" t="s">
        <v>4693</v>
      </c>
      <c r="J1854" s="143" t="s">
        <v>104</v>
      </c>
      <c r="K1854" s="144"/>
      <c r="L1854" s="145"/>
      <c r="M1854" s="144"/>
    </row>
    <row r="1855" spans="1:13" ht="15" customHeight="1">
      <c r="A1855" s="146" t="s">
        <v>5241</v>
      </c>
      <c r="B1855" s="146">
        <v>515530</v>
      </c>
      <c r="C1855" s="147" t="s">
        <v>5242</v>
      </c>
      <c r="D1855" s="146" t="s">
        <v>4690</v>
      </c>
      <c r="E1855" s="147" t="s">
        <v>5243</v>
      </c>
      <c r="F1855" s="147" t="s">
        <v>5244</v>
      </c>
      <c r="G1855" s="146" t="s">
        <v>109</v>
      </c>
      <c r="H1855" s="146" t="s">
        <v>51</v>
      </c>
      <c r="I1855" s="147" t="s">
        <v>4693</v>
      </c>
      <c r="J1855" s="147" t="s">
        <v>104</v>
      </c>
      <c r="K1855" s="148"/>
      <c r="L1855" s="149"/>
      <c r="M1855" s="148"/>
    </row>
    <row r="1856" spans="1:13" ht="15" customHeight="1">
      <c r="A1856" s="142" t="s">
        <v>5245</v>
      </c>
      <c r="B1856" s="142">
        <v>515403</v>
      </c>
      <c r="C1856" s="143" t="s">
        <v>5246</v>
      </c>
      <c r="D1856" s="142" t="s">
        <v>4690</v>
      </c>
      <c r="E1856" s="143" t="s">
        <v>4902</v>
      </c>
      <c r="F1856" s="143" t="s">
        <v>5247</v>
      </c>
      <c r="G1856" s="142" t="s">
        <v>109</v>
      </c>
      <c r="H1856" s="142" t="s">
        <v>51</v>
      </c>
      <c r="I1856" s="143" t="s">
        <v>4693</v>
      </c>
      <c r="J1856" s="143" t="s">
        <v>104</v>
      </c>
      <c r="K1856" s="144"/>
      <c r="L1856" s="145"/>
      <c r="M1856" s="144"/>
    </row>
    <row r="1857" spans="1:13" ht="15" customHeight="1">
      <c r="A1857" s="146" t="s">
        <v>5248</v>
      </c>
      <c r="B1857" s="146">
        <v>516986</v>
      </c>
      <c r="C1857" s="147" t="s">
        <v>5249</v>
      </c>
      <c r="D1857" s="146" t="s">
        <v>4690</v>
      </c>
      <c r="E1857" s="147" t="s">
        <v>4708</v>
      </c>
      <c r="F1857" s="147" t="s">
        <v>5250</v>
      </c>
      <c r="G1857" s="146" t="s">
        <v>109</v>
      </c>
      <c r="H1857" s="146" t="s">
        <v>51</v>
      </c>
      <c r="I1857" s="147" t="s">
        <v>4693</v>
      </c>
      <c r="J1857" s="147" t="s">
        <v>104</v>
      </c>
      <c r="K1857" s="148"/>
      <c r="L1857" s="149"/>
      <c r="M1857" s="148"/>
    </row>
    <row r="1858" spans="1:13" ht="15" customHeight="1">
      <c r="A1858" s="142" t="s">
        <v>5251</v>
      </c>
      <c r="B1858" s="142">
        <v>515463</v>
      </c>
      <c r="C1858" s="143" t="s">
        <v>5252</v>
      </c>
      <c r="D1858" s="142" t="s">
        <v>4690</v>
      </c>
      <c r="E1858" s="143" t="s">
        <v>4828</v>
      </c>
      <c r="F1858" s="143" t="s">
        <v>4828</v>
      </c>
      <c r="G1858" s="142" t="s">
        <v>102</v>
      </c>
      <c r="H1858" s="142" t="s">
        <v>51</v>
      </c>
      <c r="I1858" s="143" t="s">
        <v>4693</v>
      </c>
      <c r="J1858" s="143" t="s">
        <v>104</v>
      </c>
      <c r="K1858" s="144"/>
      <c r="L1858" s="145"/>
      <c r="M1858" s="144"/>
    </row>
    <row r="1859" spans="1:13" ht="15" customHeight="1">
      <c r="A1859" s="146" t="s">
        <v>5253</v>
      </c>
      <c r="B1859" s="146">
        <v>515499</v>
      </c>
      <c r="C1859" s="147" t="s">
        <v>5254</v>
      </c>
      <c r="D1859" s="146" t="s">
        <v>4690</v>
      </c>
      <c r="E1859" s="147" t="s">
        <v>4812</v>
      </c>
      <c r="F1859" s="147" t="s">
        <v>5255</v>
      </c>
      <c r="G1859" s="146" t="s">
        <v>109</v>
      </c>
      <c r="H1859" s="146" t="s">
        <v>51</v>
      </c>
      <c r="I1859" s="147" t="s">
        <v>4693</v>
      </c>
      <c r="J1859" s="147" t="s">
        <v>104</v>
      </c>
      <c r="K1859" s="148" t="s">
        <v>121</v>
      </c>
      <c r="L1859" s="149">
        <v>46150</v>
      </c>
      <c r="M1859" s="148"/>
    </row>
    <row r="1860" spans="1:13" ht="15" customHeight="1">
      <c r="A1860" s="142" t="s">
        <v>5256</v>
      </c>
      <c r="B1860" s="142">
        <v>521575</v>
      </c>
      <c r="C1860" s="143" t="s">
        <v>5257</v>
      </c>
      <c r="D1860" s="142" t="s">
        <v>4690</v>
      </c>
      <c r="E1860" s="143" t="s">
        <v>4744</v>
      </c>
      <c r="F1860" s="143" t="s">
        <v>5258</v>
      </c>
      <c r="G1860" s="142" t="s">
        <v>109</v>
      </c>
      <c r="H1860" s="142" t="s">
        <v>51</v>
      </c>
      <c r="I1860" s="143" t="s">
        <v>4693</v>
      </c>
      <c r="J1860" s="143" t="s">
        <v>104</v>
      </c>
      <c r="K1860" s="144"/>
      <c r="L1860" s="145"/>
      <c r="M1860" s="144"/>
    </row>
    <row r="1861" spans="1:13" ht="15" customHeight="1">
      <c r="A1861" s="146" t="s">
        <v>5259</v>
      </c>
      <c r="B1861" s="146">
        <v>515364</v>
      </c>
      <c r="C1861" s="147" t="s">
        <v>5260</v>
      </c>
      <c r="D1861" s="146" t="s">
        <v>4690</v>
      </c>
      <c r="E1861" s="147" t="s">
        <v>4744</v>
      </c>
      <c r="F1861" s="147" t="s">
        <v>5261</v>
      </c>
      <c r="G1861" s="146" t="s">
        <v>109</v>
      </c>
      <c r="H1861" s="146" t="s">
        <v>51</v>
      </c>
      <c r="I1861" s="147" t="s">
        <v>4693</v>
      </c>
      <c r="J1861" s="147" t="s">
        <v>104</v>
      </c>
      <c r="K1861" s="148" t="s">
        <v>121</v>
      </c>
      <c r="L1861" s="149">
        <v>46148</v>
      </c>
      <c r="M1861" s="148"/>
    </row>
    <row r="1862" spans="1:13" ht="15" customHeight="1">
      <c r="A1862" s="142" t="s">
        <v>5262</v>
      </c>
      <c r="B1862" s="142">
        <v>516855</v>
      </c>
      <c r="C1862" s="143" t="s">
        <v>254</v>
      </c>
      <c r="D1862" s="142" t="s">
        <v>4690</v>
      </c>
      <c r="E1862" s="143" t="s">
        <v>658</v>
      </c>
      <c r="F1862" s="143" t="s">
        <v>2669</v>
      </c>
      <c r="G1862" s="142" t="s">
        <v>109</v>
      </c>
      <c r="H1862" s="142" t="s">
        <v>51</v>
      </c>
      <c r="I1862" s="143" t="s">
        <v>4693</v>
      </c>
      <c r="J1862" s="143" t="s">
        <v>104</v>
      </c>
      <c r="K1862" s="144"/>
      <c r="L1862" s="145"/>
      <c r="M1862" s="144"/>
    </row>
    <row r="1863" spans="1:13" ht="15" customHeight="1">
      <c r="A1863" s="146" t="s">
        <v>5263</v>
      </c>
      <c r="B1863" s="146">
        <v>516284</v>
      </c>
      <c r="C1863" s="147" t="s">
        <v>1086</v>
      </c>
      <c r="D1863" s="146" t="s">
        <v>4690</v>
      </c>
      <c r="E1863" s="147" t="s">
        <v>4860</v>
      </c>
      <c r="F1863" s="147" t="s">
        <v>5264</v>
      </c>
      <c r="G1863" s="146" t="s">
        <v>109</v>
      </c>
      <c r="H1863" s="146" t="s">
        <v>51</v>
      </c>
      <c r="I1863" s="147" t="s">
        <v>4693</v>
      </c>
      <c r="J1863" s="147" t="s">
        <v>104</v>
      </c>
      <c r="K1863" s="148"/>
      <c r="L1863" s="149"/>
      <c r="M1863" s="148"/>
    </row>
    <row r="1864" spans="1:13" ht="15" customHeight="1">
      <c r="A1864" s="142" t="s">
        <v>5265</v>
      </c>
      <c r="B1864" s="142">
        <v>515377</v>
      </c>
      <c r="C1864" s="143" t="s">
        <v>5266</v>
      </c>
      <c r="D1864" s="142" t="s">
        <v>4690</v>
      </c>
      <c r="E1864" s="143" t="s">
        <v>4691</v>
      </c>
      <c r="F1864" s="143" t="s">
        <v>5267</v>
      </c>
      <c r="G1864" s="142" t="s">
        <v>109</v>
      </c>
      <c r="H1864" s="142" t="s">
        <v>51</v>
      </c>
      <c r="I1864" s="143" t="s">
        <v>4693</v>
      </c>
      <c r="J1864" s="143" t="s">
        <v>104</v>
      </c>
      <c r="K1864" s="144"/>
      <c r="L1864" s="145"/>
      <c r="M1864" s="144"/>
    </row>
    <row r="1865" spans="1:13" ht="15" customHeight="1">
      <c r="A1865" s="146" t="s">
        <v>5268</v>
      </c>
      <c r="B1865" s="146">
        <v>515598</v>
      </c>
      <c r="C1865" s="147" t="s">
        <v>5269</v>
      </c>
      <c r="D1865" s="146" t="s">
        <v>4690</v>
      </c>
      <c r="E1865" s="147" t="s">
        <v>4921</v>
      </c>
      <c r="F1865" s="147" t="s">
        <v>5270</v>
      </c>
      <c r="G1865" s="146" t="s">
        <v>109</v>
      </c>
      <c r="H1865" s="146" t="s">
        <v>50</v>
      </c>
      <c r="I1865" s="147" t="s">
        <v>3391</v>
      </c>
      <c r="J1865" s="147" t="s">
        <v>104</v>
      </c>
      <c r="K1865" s="148"/>
      <c r="L1865" s="149"/>
      <c r="M1865" s="148"/>
    </row>
    <row r="1866" spans="1:13" ht="15" customHeight="1">
      <c r="A1866" s="142" t="s">
        <v>5271</v>
      </c>
      <c r="B1866" s="142">
        <v>515392</v>
      </c>
      <c r="C1866" s="143" t="s">
        <v>5272</v>
      </c>
      <c r="D1866" s="142" t="s">
        <v>4690</v>
      </c>
      <c r="E1866" s="143" t="s">
        <v>4793</v>
      </c>
      <c r="F1866" s="143" t="s">
        <v>5273</v>
      </c>
      <c r="G1866" s="142" t="s">
        <v>109</v>
      </c>
      <c r="H1866" s="142" t="s">
        <v>51</v>
      </c>
      <c r="I1866" s="143" t="s">
        <v>4693</v>
      </c>
      <c r="J1866" s="143" t="s">
        <v>104</v>
      </c>
      <c r="K1866" s="144"/>
      <c r="L1866" s="145"/>
      <c r="M1866" s="144"/>
    </row>
    <row r="1867" spans="1:13" ht="15" customHeight="1">
      <c r="A1867" s="146" t="s">
        <v>5274</v>
      </c>
      <c r="B1867" s="146">
        <v>513203</v>
      </c>
      <c r="C1867" s="147" t="s">
        <v>1204</v>
      </c>
      <c r="D1867" s="146" t="s">
        <v>4690</v>
      </c>
      <c r="E1867" s="147" t="s">
        <v>4740</v>
      </c>
      <c r="F1867" s="147" t="s">
        <v>4836</v>
      </c>
      <c r="G1867" s="146" t="s">
        <v>109</v>
      </c>
      <c r="H1867" s="146" t="s">
        <v>51</v>
      </c>
      <c r="I1867" s="147" t="s">
        <v>4693</v>
      </c>
      <c r="J1867" s="147" t="s">
        <v>104</v>
      </c>
      <c r="K1867" s="148"/>
      <c r="L1867" s="149"/>
      <c r="M1867" s="148"/>
    </row>
    <row r="1868" spans="1:13" ht="15" customHeight="1">
      <c r="A1868" s="142" t="s">
        <v>5275</v>
      </c>
      <c r="B1868" s="142">
        <v>515653</v>
      </c>
      <c r="C1868" s="143" t="s">
        <v>437</v>
      </c>
      <c r="D1868" s="142" t="s">
        <v>4690</v>
      </c>
      <c r="E1868" s="143" t="s">
        <v>4801</v>
      </c>
      <c r="F1868" s="143" t="s">
        <v>5276</v>
      </c>
      <c r="G1868" s="142" t="s">
        <v>109</v>
      </c>
      <c r="H1868" s="142" t="s">
        <v>51</v>
      </c>
      <c r="I1868" s="143" t="s">
        <v>4693</v>
      </c>
      <c r="J1868" s="143" t="s">
        <v>104</v>
      </c>
      <c r="K1868" s="144"/>
      <c r="L1868" s="145"/>
      <c r="M1868" s="144"/>
    </row>
    <row r="1869" spans="1:13" ht="15" customHeight="1">
      <c r="A1869" s="146" t="s">
        <v>5277</v>
      </c>
      <c r="B1869" s="146">
        <v>515756</v>
      </c>
      <c r="C1869" s="147" t="s">
        <v>5278</v>
      </c>
      <c r="D1869" s="146" t="s">
        <v>4690</v>
      </c>
      <c r="E1869" s="147" t="s">
        <v>4944</v>
      </c>
      <c r="F1869" s="147" t="s">
        <v>5278</v>
      </c>
      <c r="G1869" s="146" t="s">
        <v>109</v>
      </c>
      <c r="H1869" s="146" t="s">
        <v>51</v>
      </c>
      <c r="I1869" s="147" t="s">
        <v>4693</v>
      </c>
      <c r="J1869" s="147" t="s">
        <v>104</v>
      </c>
      <c r="K1869" s="148"/>
      <c r="L1869" s="149"/>
      <c r="M1869" s="148"/>
    </row>
    <row r="1870" spans="1:13" ht="15" customHeight="1">
      <c r="A1870" s="142" t="s">
        <v>5279</v>
      </c>
      <c r="B1870" s="142">
        <v>515550</v>
      </c>
      <c r="C1870" s="143" t="s">
        <v>5280</v>
      </c>
      <c r="D1870" s="142" t="s">
        <v>4690</v>
      </c>
      <c r="E1870" s="143" t="s">
        <v>5281</v>
      </c>
      <c r="F1870" s="143" t="s">
        <v>5282</v>
      </c>
      <c r="G1870" s="142" t="s">
        <v>109</v>
      </c>
      <c r="H1870" s="142" t="s">
        <v>51</v>
      </c>
      <c r="I1870" s="143" t="s">
        <v>4693</v>
      </c>
      <c r="J1870" s="143" t="s">
        <v>104</v>
      </c>
      <c r="K1870" s="144"/>
      <c r="L1870" s="145"/>
      <c r="M1870" s="144"/>
    </row>
    <row r="1871" spans="1:13" ht="15" customHeight="1">
      <c r="A1871" s="146" t="s">
        <v>5283</v>
      </c>
      <c r="B1871" s="146">
        <v>515639</v>
      </c>
      <c r="C1871" s="147" t="s">
        <v>5284</v>
      </c>
      <c r="D1871" s="146" t="s">
        <v>4690</v>
      </c>
      <c r="E1871" s="147" t="s">
        <v>4857</v>
      </c>
      <c r="F1871" s="147" t="s">
        <v>5285</v>
      </c>
      <c r="G1871" s="146" t="s">
        <v>109</v>
      </c>
      <c r="H1871" s="146" t="s">
        <v>51</v>
      </c>
      <c r="I1871" s="147" t="s">
        <v>4693</v>
      </c>
      <c r="J1871" s="147" t="s">
        <v>104</v>
      </c>
      <c r="K1871" s="148"/>
      <c r="L1871" s="149"/>
      <c r="M1871" s="148"/>
    </row>
    <row r="1872" spans="1:13" ht="15" customHeight="1">
      <c r="A1872" s="142" t="s">
        <v>5286</v>
      </c>
      <c r="B1872" s="142">
        <v>517029</v>
      </c>
      <c r="C1872" s="143" t="s">
        <v>5287</v>
      </c>
      <c r="D1872" s="142" t="s">
        <v>4690</v>
      </c>
      <c r="E1872" s="143" t="s">
        <v>5111</v>
      </c>
      <c r="F1872" s="143" t="s">
        <v>5288</v>
      </c>
      <c r="G1872" s="142" t="s">
        <v>109</v>
      </c>
      <c r="H1872" s="142" t="s">
        <v>51</v>
      </c>
      <c r="I1872" s="143" t="s">
        <v>4693</v>
      </c>
      <c r="J1872" s="143" t="s">
        <v>104</v>
      </c>
      <c r="K1872" s="144"/>
      <c r="L1872" s="145"/>
      <c r="M1872" s="144"/>
    </row>
    <row r="1873" spans="1:13" ht="15" customHeight="1">
      <c r="A1873" s="146" t="s">
        <v>5289</v>
      </c>
      <c r="B1873" s="146">
        <v>515431</v>
      </c>
      <c r="C1873" s="147" t="s">
        <v>5290</v>
      </c>
      <c r="D1873" s="146" t="s">
        <v>4690</v>
      </c>
      <c r="E1873" s="147" t="s">
        <v>5016</v>
      </c>
      <c r="F1873" s="147" t="s">
        <v>5291</v>
      </c>
      <c r="G1873" s="146" t="s">
        <v>109</v>
      </c>
      <c r="H1873" s="146" t="s">
        <v>51</v>
      </c>
      <c r="I1873" s="147" t="s">
        <v>4693</v>
      </c>
      <c r="J1873" s="147" t="s">
        <v>104</v>
      </c>
      <c r="K1873" s="148"/>
      <c r="L1873" s="149"/>
      <c r="M1873" s="148"/>
    </row>
    <row r="1874" spans="1:13" ht="15" customHeight="1">
      <c r="A1874" s="142" t="s">
        <v>5292</v>
      </c>
      <c r="B1874" s="142">
        <v>515432</v>
      </c>
      <c r="C1874" s="143" t="s">
        <v>5293</v>
      </c>
      <c r="D1874" s="142" t="s">
        <v>4690</v>
      </c>
      <c r="E1874" s="143" t="s">
        <v>5294</v>
      </c>
      <c r="F1874" s="143" t="s">
        <v>5293</v>
      </c>
      <c r="G1874" s="142" t="s">
        <v>109</v>
      </c>
      <c r="H1874" s="142" t="s">
        <v>51</v>
      </c>
      <c r="I1874" s="143" t="s">
        <v>4693</v>
      </c>
      <c r="J1874" s="143" t="s">
        <v>104</v>
      </c>
      <c r="K1874" s="144"/>
      <c r="L1874" s="145"/>
      <c r="M1874" s="144"/>
    </row>
    <row r="1875" spans="1:13" ht="15" customHeight="1">
      <c r="A1875" s="146" t="s">
        <v>5295</v>
      </c>
      <c r="B1875" s="146">
        <v>515485</v>
      </c>
      <c r="C1875" s="147" t="s">
        <v>5296</v>
      </c>
      <c r="D1875" s="146" t="s">
        <v>4690</v>
      </c>
      <c r="E1875" s="147" t="s">
        <v>5297</v>
      </c>
      <c r="F1875" s="147" t="s">
        <v>5298</v>
      </c>
      <c r="G1875" s="146" t="s">
        <v>109</v>
      </c>
      <c r="H1875" s="146" t="s">
        <v>51</v>
      </c>
      <c r="I1875" s="147" t="s">
        <v>4693</v>
      </c>
      <c r="J1875" s="147" t="s">
        <v>104</v>
      </c>
      <c r="K1875" s="148"/>
      <c r="L1875" s="149"/>
      <c r="M1875" s="148"/>
    </row>
    <row r="1876" spans="1:13" ht="15" customHeight="1">
      <c r="A1876" s="142" t="s">
        <v>5299</v>
      </c>
      <c r="B1876" s="142">
        <v>516374</v>
      </c>
      <c r="C1876" s="143" t="s">
        <v>5051</v>
      </c>
      <c r="D1876" s="142" t="s">
        <v>4690</v>
      </c>
      <c r="E1876" s="143" t="s">
        <v>4902</v>
      </c>
      <c r="F1876" s="143" t="s">
        <v>5300</v>
      </c>
      <c r="G1876" s="142" t="s">
        <v>109</v>
      </c>
      <c r="H1876" s="142" t="s">
        <v>51</v>
      </c>
      <c r="I1876" s="143" t="s">
        <v>4693</v>
      </c>
      <c r="J1876" s="143" t="s">
        <v>104</v>
      </c>
      <c r="K1876" s="144"/>
      <c r="L1876" s="145"/>
      <c r="M1876" s="144"/>
    </row>
    <row r="1877" spans="1:13" ht="15" customHeight="1">
      <c r="A1877" s="146" t="s">
        <v>5301</v>
      </c>
      <c r="B1877" s="146">
        <v>513111</v>
      </c>
      <c r="C1877" s="147" t="s">
        <v>5302</v>
      </c>
      <c r="D1877" s="146" t="s">
        <v>4690</v>
      </c>
      <c r="E1877" s="147" t="s">
        <v>4820</v>
      </c>
      <c r="F1877" s="147" t="s">
        <v>5303</v>
      </c>
      <c r="G1877" s="146" t="s">
        <v>109</v>
      </c>
      <c r="H1877" s="146" t="s">
        <v>51</v>
      </c>
      <c r="I1877" s="147" t="s">
        <v>4693</v>
      </c>
      <c r="J1877" s="147" t="s">
        <v>104</v>
      </c>
      <c r="K1877" s="148"/>
      <c r="L1877" s="149"/>
      <c r="M1877" s="148"/>
    </row>
    <row r="1878" spans="1:13" ht="15" customHeight="1">
      <c r="A1878" s="142" t="s">
        <v>5304</v>
      </c>
      <c r="B1878" s="142">
        <v>515365</v>
      </c>
      <c r="C1878" s="143" t="s">
        <v>5305</v>
      </c>
      <c r="D1878" s="142" t="s">
        <v>4690</v>
      </c>
      <c r="E1878" s="143" t="s">
        <v>4744</v>
      </c>
      <c r="F1878" s="143" t="s">
        <v>1422</v>
      </c>
      <c r="G1878" s="142" t="s">
        <v>109</v>
      </c>
      <c r="H1878" s="142" t="s">
        <v>51</v>
      </c>
      <c r="I1878" s="143" t="s">
        <v>4693</v>
      </c>
      <c r="J1878" s="143" t="s">
        <v>104</v>
      </c>
      <c r="K1878" s="144" t="s">
        <v>121</v>
      </c>
      <c r="L1878" s="145">
        <v>46148</v>
      </c>
      <c r="M1878" s="144"/>
    </row>
    <row r="1879" spans="1:13" ht="15" customHeight="1">
      <c r="A1879" s="146" t="s">
        <v>5306</v>
      </c>
      <c r="B1879" s="146">
        <v>515351</v>
      </c>
      <c r="C1879" s="147" t="s">
        <v>5307</v>
      </c>
      <c r="D1879" s="146" t="s">
        <v>4690</v>
      </c>
      <c r="E1879" s="147" t="s">
        <v>4744</v>
      </c>
      <c r="F1879" s="147" t="s">
        <v>5308</v>
      </c>
      <c r="G1879" s="146" t="s">
        <v>102</v>
      </c>
      <c r="H1879" s="146" t="s">
        <v>51</v>
      </c>
      <c r="I1879" s="147" t="s">
        <v>4693</v>
      </c>
      <c r="J1879" s="147" t="s">
        <v>104</v>
      </c>
      <c r="K1879" s="148" t="s">
        <v>121</v>
      </c>
      <c r="L1879" s="149">
        <v>46149</v>
      </c>
      <c r="M1879" s="148"/>
    </row>
    <row r="1880" spans="1:13" ht="15" customHeight="1">
      <c r="A1880" s="142" t="s">
        <v>5309</v>
      </c>
      <c r="B1880" s="142">
        <v>515410</v>
      </c>
      <c r="C1880" s="143" t="s">
        <v>5310</v>
      </c>
      <c r="D1880" s="142" t="s">
        <v>4690</v>
      </c>
      <c r="E1880" s="143" t="s">
        <v>4832</v>
      </c>
      <c r="F1880" s="143" t="s">
        <v>5311</v>
      </c>
      <c r="G1880" s="142" t="s">
        <v>109</v>
      </c>
      <c r="H1880" s="142" t="s">
        <v>51</v>
      </c>
      <c r="I1880" s="143" t="s">
        <v>4693</v>
      </c>
      <c r="J1880" s="143" t="s">
        <v>104</v>
      </c>
      <c r="K1880" s="144"/>
      <c r="L1880" s="145"/>
      <c r="M1880" s="144"/>
    </row>
    <row r="1881" spans="1:13" ht="15" customHeight="1">
      <c r="A1881" s="146" t="s">
        <v>5312</v>
      </c>
      <c r="B1881" s="146">
        <v>515359</v>
      </c>
      <c r="C1881" s="147" t="s">
        <v>5313</v>
      </c>
      <c r="D1881" s="146" t="s">
        <v>4690</v>
      </c>
      <c r="E1881" s="147" t="s">
        <v>4744</v>
      </c>
      <c r="F1881" s="147" t="s">
        <v>4744</v>
      </c>
      <c r="G1881" s="146" t="s">
        <v>102</v>
      </c>
      <c r="H1881" s="146" t="s">
        <v>51</v>
      </c>
      <c r="I1881" s="147" t="s">
        <v>4693</v>
      </c>
      <c r="J1881" s="147" t="s">
        <v>104</v>
      </c>
      <c r="K1881" s="148"/>
      <c r="L1881" s="149"/>
      <c r="M1881" s="148"/>
    </row>
    <row r="1882" spans="1:13" ht="15" customHeight="1">
      <c r="A1882" s="142" t="s">
        <v>5314</v>
      </c>
      <c r="B1882" s="142">
        <v>515547</v>
      </c>
      <c r="C1882" s="143" t="s">
        <v>5315</v>
      </c>
      <c r="D1882" s="142" t="s">
        <v>4690</v>
      </c>
      <c r="E1882" s="143" t="s">
        <v>2727</v>
      </c>
      <c r="F1882" s="143" t="s">
        <v>5316</v>
      </c>
      <c r="G1882" s="142" t="s">
        <v>109</v>
      </c>
      <c r="H1882" s="142" t="s">
        <v>51</v>
      </c>
      <c r="I1882" s="143" t="s">
        <v>4693</v>
      </c>
      <c r="J1882" s="143" t="s">
        <v>104</v>
      </c>
      <c r="K1882" s="144"/>
      <c r="L1882" s="145"/>
      <c r="M1882" s="144"/>
    </row>
    <row r="1883" spans="1:13" ht="15" customHeight="1">
      <c r="A1883" s="146" t="s">
        <v>5317</v>
      </c>
      <c r="B1883" s="146">
        <v>515732</v>
      </c>
      <c r="C1883" s="147" t="s">
        <v>5318</v>
      </c>
      <c r="D1883" s="146" t="s">
        <v>4690</v>
      </c>
      <c r="E1883" s="147" t="s">
        <v>4729</v>
      </c>
      <c r="F1883" s="147" t="s">
        <v>4141</v>
      </c>
      <c r="G1883" s="146" t="s">
        <v>109</v>
      </c>
      <c r="H1883" s="146" t="s">
        <v>51</v>
      </c>
      <c r="I1883" s="147" t="s">
        <v>4693</v>
      </c>
      <c r="J1883" s="147" t="s">
        <v>104</v>
      </c>
      <c r="K1883" s="148"/>
      <c r="L1883" s="149"/>
      <c r="M1883" s="148"/>
    </row>
    <row r="1884" spans="1:13" ht="15" customHeight="1">
      <c r="A1884" s="142" t="s">
        <v>5319</v>
      </c>
      <c r="B1884" s="142">
        <v>515565</v>
      </c>
      <c r="C1884" s="143" t="s">
        <v>5320</v>
      </c>
      <c r="D1884" s="142" t="s">
        <v>4690</v>
      </c>
      <c r="E1884" s="143" t="s">
        <v>4782</v>
      </c>
      <c r="F1884" s="143" t="s">
        <v>4418</v>
      </c>
      <c r="G1884" s="142" t="s">
        <v>109</v>
      </c>
      <c r="H1884" s="142" t="s">
        <v>50</v>
      </c>
      <c r="I1884" s="143" t="s">
        <v>3391</v>
      </c>
      <c r="J1884" s="143" t="s">
        <v>104</v>
      </c>
      <c r="K1884" s="144"/>
      <c r="L1884" s="145"/>
      <c r="M1884" s="144"/>
    </row>
    <row r="1885" spans="1:13" ht="15" customHeight="1">
      <c r="A1885" s="146" t="s">
        <v>5321</v>
      </c>
      <c r="B1885" s="146">
        <v>515577</v>
      </c>
      <c r="C1885" s="147" t="s">
        <v>5322</v>
      </c>
      <c r="D1885" s="146" t="s">
        <v>4690</v>
      </c>
      <c r="E1885" s="147" t="s">
        <v>503</v>
      </c>
      <c r="F1885" s="147" t="s">
        <v>5323</v>
      </c>
      <c r="G1885" s="146" t="s">
        <v>109</v>
      </c>
      <c r="H1885" s="146" t="s">
        <v>51</v>
      </c>
      <c r="I1885" s="147" t="s">
        <v>4693</v>
      </c>
      <c r="J1885" s="147" t="s">
        <v>104</v>
      </c>
      <c r="K1885" s="148"/>
      <c r="L1885" s="149"/>
      <c r="M1885" s="148"/>
    </row>
    <row r="1886" spans="1:13" ht="15" customHeight="1">
      <c r="A1886" s="142" t="s">
        <v>5324</v>
      </c>
      <c r="B1886" s="142">
        <v>515400</v>
      </c>
      <c r="C1886" s="143" t="s">
        <v>5325</v>
      </c>
      <c r="D1886" s="142" t="s">
        <v>4690</v>
      </c>
      <c r="E1886" s="143" t="s">
        <v>4744</v>
      </c>
      <c r="F1886" s="143" t="s">
        <v>5326</v>
      </c>
      <c r="G1886" s="142" t="s">
        <v>109</v>
      </c>
      <c r="H1886" s="142" t="s">
        <v>51</v>
      </c>
      <c r="I1886" s="143" t="s">
        <v>4693</v>
      </c>
      <c r="J1886" s="143" t="s">
        <v>104</v>
      </c>
      <c r="K1886" s="144"/>
      <c r="L1886" s="145"/>
      <c r="M1886" s="144"/>
    </row>
    <row r="1887" spans="1:13" ht="15" customHeight="1">
      <c r="A1887" s="146" t="s">
        <v>5327</v>
      </c>
      <c r="B1887" s="146">
        <v>515363</v>
      </c>
      <c r="C1887" s="147" t="s">
        <v>5328</v>
      </c>
      <c r="D1887" s="146" t="s">
        <v>4690</v>
      </c>
      <c r="E1887" s="147" t="s">
        <v>4744</v>
      </c>
      <c r="F1887" s="147" t="s">
        <v>4744</v>
      </c>
      <c r="G1887" s="146" t="s">
        <v>102</v>
      </c>
      <c r="H1887" s="146" t="s">
        <v>51</v>
      </c>
      <c r="I1887" s="147" t="s">
        <v>4693</v>
      </c>
      <c r="J1887" s="147" t="s">
        <v>104</v>
      </c>
      <c r="K1887" s="148"/>
      <c r="L1887" s="149"/>
      <c r="M1887" s="148"/>
    </row>
    <row r="1888" spans="1:13" ht="15" customHeight="1">
      <c r="A1888" s="142" t="s">
        <v>5329</v>
      </c>
      <c r="B1888" s="142">
        <v>515681</v>
      </c>
      <c r="C1888" s="143" t="s">
        <v>5330</v>
      </c>
      <c r="D1888" s="142" t="s">
        <v>4690</v>
      </c>
      <c r="E1888" s="143" t="s">
        <v>5163</v>
      </c>
      <c r="F1888" s="143" t="s">
        <v>5331</v>
      </c>
      <c r="G1888" s="142" t="s">
        <v>109</v>
      </c>
      <c r="H1888" s="142" t="s">
        <v>51</v>
      </c>
      <c r="I1888" s="143" t="s">
        <v>4693</v>
      </c>
      <c r="J1888" s="143" t="s">
        <v>104</v>
      </c>
      <c r="K1888" s="144"/>
      <c r="L1888" s="145"/>
      <c r="M1888" s="144"/>
    </row>
    <row r="1889" spans="1:13" ht="15" customHeight="1">
      <c r="A1889" s="146" t="s">
        <v>5332</v>
      </c>
      <c r="B1889" s="146">
        <v>521576</v>
      </c>
      <c r="C1889" s="147" t="s">
        <v>5001</v>
      </c>
      <c r="D1889" s="146" t="s">
        <v>4690</v>
      </c>
      <c r="E1889" s="147" t="s">
        <v>5207</v>
      </c>
      <c r="F1889" s="147" t="s">
        <v>5333</v>
      </c>
      <c r="G1889" s="146" t="s">
        <v>109</v>
      </c>
      <c r="H1889" s="146" t="s">
        <v>51</v>
      </c>
      <c r="I1889" s="147" t="s">
        <v>4693</v>
      </c>
      <c r="J1889" s="147" t="s">
        <v>104</v>
      </c>
      <c r="K1889" s="148"/>
      <c r="L1889" s="149"/>
      <c r="M1889" s="148"/>
    </row>
    <row r="1890" spans="1:13" ht="15" customHeight="1">
      <c r="A1890" s="142" t="s">
        <v>5334</v>
      </c>
      <c r="B1890" s="142">
        <v>517018</v>
      </c>
      <c r="C1890" s="143" t="s">
        <v>5335</v>
      </c>
      <c r="D1890" s="142" t="s">
        <v>4690</v>
      </c>
      <c r="E1890" s="143" t="s">
        <v>4847</v>
      </c>
      <c r="F1890" s="143" t="s">
        <v>5336</v>
      </c>
      <c r="G1890" s="142" t="s">
        <v>109</v>
      </c>
      <c r="H1890" s="142" t="s">
        <v>51</v>
      </c>
      <c r="I1890" s="143" t="s">
        <v>4693</v>
      </c>
      <c r="J1890" s="143" t="s">
        <v>104</v>
      </c>
      <c r="K1890" s="144"/>
      <c r="L1890" s="145"/>
      <c r="M1890" s="144"/>
    </row>
    <row r="1891" spans="1:13" ht="15" customHeight="1">
      <c r="A1891" s="146" t="s">
        <v>5337</v>
      </c>
      <c r="B1891" s="146">
        <v>515544</v>
      </c>
      <c r="C1891" s="147" t="s">
        <v>5064</v>
      </c>
      <c r="D1891" s="146" t="s">
        <v>4690</v>
      </c>
      <c r="E1891" s="147" t="s">
        <v>5338</v>
      </c>
      <c r="F1891" s="147" t="s">
        <v>5339</v>
      </c>
      <c r="G1891" s="146" t="s">
        <v>109</v>
      </c>
      <c r="H1891" s="146" t="s">
        <v>50</v>
      </c>
      <c r="I1891" s="147" t="s">
        <v>1532</v>
      </c>
      <c r="J1891" s="147" t="s">
        <v>104</v>
      </c>
      <c r="K1891" s="148" t="s">
        <v>121</v>
      </c>
      <c r="L1891" s="149">
        <v>46141</v>
      </c>
      <c r="M1891" s="148"/>
    </row>
    <row r="1892" spans="1:13" ht="15" customHeight="1">
      <c r="A1892" s="142" t="s">
        <v>5340</v>
      </c>
      <c r="B1892" s="142">
        <v>515759</v>
      </c>
      <c r="C1892" s="143" t="s">
        <v>5341</v>
      </c>
      <c r="D1892" s="142" t="s">
        <v>4690</v>
      </c>
      <c r="E1892" s="143" t="s">
        <v>4944</v>
      </c>
      <c r="F1892" s="143" t="s">
        <v>5342</v>
      </c>
      <c r="G1892" s="142" t="s">
        <v>109</v>
      </c>
      <c r="H1892" s="142" t="s">
        <v>51</v>
      </c>
      <c r="I1892" s="143" t="s">
        <v>4693</v>
      </c>
      <c r="J1892" s="143" t="s">
        <v>104</v>
      </c>
      <c r="K1892" s="144"/>
      <c r="L1892" s="145"/>
      <c r="M1892" s="144"/>
    </row>
    <row r="1893" spans="1:13" ht="15" customHeight="1">
      <c r="A1893" s="146" t="s">
        <v>5343</v>
      </c>
      <c r="B1893" s="146">
        <v>514637</v>
      </c>
      <c r="C1893" s="147" t="s">
        <v>5344</v>
      </c>
      <c r="D1893" s="146" t="s">
        <v>4690</v>
      </c>
      <c r="E1893" s="147" t="s">
        <v>4793</v>
      </c>
      <c r="F1893" s="147" t="s">
        <v>3084</v>
      </c>
      <c r="G1893" s="146" t="s">
        <v>109</v>
      </c>
      <c r="H1893" s="146" t="s">
        <v>51</v>
      </c>
      <c r="I1893" s="147" t="s">
        <v>4693</v>
      </c>
      <c r="J1893" s="147" t="s">
        <v>104</v>
      </c>
      <c r="K1893" s="148"/>
      <c r="L1893" s="149"/>
      <c r="M1893" s="148"/>
    </row>
    <row r="1894" spans="1:13" ht="15" customHeight="1">
      <c r="A1894" s="142" t="s">
        <v>5345</v>
      </c>
      <c r="B1894" s="142">
        <v>515656</v>
      </c>
      <c r="C1894" s="143" t="s">
        <v>1204</v>
      </c>
      <c r="D1894" s="142" t="s">
        <v>4690</v>
      </c>
      <c r="E1894" s="143" t="s">
        <v>4729</v>
      </c>
      <c r="F1894" s="143" t="s">
        <v>4730</v>
      </c>
      <c r="G1894" s="142" t="s">
        <v>109</v>
      </c>
      <c r="H1894" s="142" t="s">
        <v>51</v>
      </c>
      <c r="I1894" s="143" t="s">
        <v>4693</v>
      </c>
      <c r="J1894" s="143" t="s">
        <v>104</v>
      </c>
      <c r="K1894" s="144"/>
      <c r="L1894" s="145"/>
      <c r="M1894" s="144"/>
    </row>
    <row r="1895" spans="1:13" ht="15" customHeight="1">
      <c r="A1895" s="146" t="s">
        <v>5346</v>
      </c>
      <c r="B1895" s="146">
        <v>521577</v>
      </c>
      <c r="C1895" s="147" t="s">
        <v>5347</v>
      </c>
      <c r="D1895" s="146" t="s">
        <v>4690</v>
      </c>
      <c r="E1895" s="147" t="s">
        <v>5207</v>
      </c>
      <c r="F1895" s="147" t="s">
        <v>5348</v>
      </c>
      <c r="G1895" s="146" t="s">
        <v>109</v>
      </c>
      <c r="H1895" s="146" t="s">
        <v>51</v>
      </c>
      <c r="I1895" s="147" t="s">
        <v>4693</v>
      </c>
      <c r="J1895" s="147" t="s">
        <v>104</v>
      </c>
      <c r="K1895" s="148"/>
      <c r="L1895" s="149"/>
      <c r="M1895" s="148"/>
    </row>
    <row r="1896" spans="1:13" ht="15" customHeight="1">
      <c r="A1896" s="142" t="s">
        <v>5349</v>
      </c>
      <c r="B1896" s="142">
        <v>515707</v>
      </c>
      <c r="C1896" s="143" t="s">
        <v>469</v>
      </c>
      <c r="D1896" s="142" t="s">
        <v>4690</v>
      </c>
      <c r="E1896" s="143" t="s">
        <v>4766</v>
      </c>
      <c r="F1896" s="143" t="s">
        <v>4767</v>
      </c>
      <c r="G1896" s="142" t="s">
        <v>109</v>
      </c>
      <c r="H1896" s="142" t="s">
        <v>51</v>
      </c>
      <c r="I1896" s="143" t="s">
        <v>4693</v>
      </c>
      <c r="J1896" s="143" t="s">
        <v>104</v>
      </c>
      <c r="K1896" s="144"/>
      <c r="L1896" s="145"/>
      <c r="M1896" s="144"/>
    </row>
    <row r="1897" spans="1:13" ht="15" customHeight="1">
      <c r="A1897" s="146" t="s">
        <v>5350</v>
      </c>
      <c r="B1897" s="146">
        <v>515675</v>
      </c>
      <c r="C1897" s="147" t="s">
        <v>437</v>
      </c>
      <c r="D1897" s="146" t="s">
        <v>4690</v>
      </c>
      <c r="E1897" s="147" t="s">
        <v>4967</v>
      </c>
      <c r="F1897" s="147" t="s">
        <v>2257</v>
      </c>
      <c r="G1897" s="146" t="s">
        <v>109</v>
      </c>
      <c r="H1897" s="146" t="s">
        <v>51</v>
      </c>
      <c r="I1897" s="147" t="s">
        <v>4693</v>
      </c>
      <c r="J1897" s="147" t="s">
        <v>104</v>
      </c>
      <c r="K1897" s="148"/>
      <c r="L1897" s="149"/>
      <c r="M1897" s="148"/>
    </row>
    <row r="1898" spans="1:13" ht="15" customHeight="1">
      <c r="A1898" s="142" t="s">
        <v>5351</v>
      </c>
      <c r="B1898" s="142">
        <v>516377</v>
      </c>
      <c r="C1898" s="143" t="s">
        <v>5352</v>
      </c>
      <c r="D1898" s="142" t="s">
        <v>4690</v>
      </c>
      <c r="E1898" s="143" t="s">
        <v>4944</v>
      </c>
      <c r="F1898" s="143" t="s">
        <v>5352</v>
      </c>
      <c r="G1898" s="142" t="s">
        <v>109</v>
      </c>
      <c r="H1898" s="142" t="s">
        <v>51</v>
      </c>
      <c r="I1898" s="143" t="s">
        <v>4693</v>
      </c>
      <c r="J1898" s="143" t="s">
        <v>104</v>
      </c>
      <c r="K1898" s="144"/>
      <c r="L1898" s="145"/>
      <c r="M1898" s="144"/>
    </row>
    <row r="1899" spans="1:13" ht="15" customHeight="1">
      <c r="A1899" s="146" t="s">
        <v>5353</v>
      </c>
      <c r="B1899" s="146">
        <v>515599</v>
      </c>
      <c r="C1899" s="147" t="s">
        <v>3454</v>
      </c>
      <c r="D1899" s="146" t="s">
        <v>4690</v>
      </c>
      <c r="E1899" s="147" t="s">
        <v>4921</v>
      </c>
      <c r="F1899" s="147" t="s">
        <v>5354</v>
      </c>
      <c r="G1899" s="146" t="s">
        <v>109</v>
      </c>
      <c r="H1899" s="146" t="s">
        <v>50</v>
      </c>
      <c r="I1899" s="147" t="s">
        <v>3391</v>
      </c>
      <c r="J1899" s="147" t="s">
        <v>104</v>
      </c>
      <c r="K1899" s="148"/>
      <c r="L1899" s="149"/>
      <c r="M1899" s="148"/>
    </row>
    <row r="1900" spans="1:13" ht="15" customHeight="1">
      <c r="A1900" s="142" t="s">
        <v>5355</v>
      </c>
      <c r="B1900" s="142">
        <v>515626</v>
      </c>
      <c r="C1900" s="143" t="s">
        <v>5356</v>
      </c>
      <c r="D1900" s="142" t="s">
        <v>4690</v>
      </c>
      <c r="E1900" s="143" t="s">
        <v>4868</v>
      </c>
      <c r="F1900" s="143" t="s">
        <v>423</v>
      </c>
      <c r="G1900" s="142" t="s">
        <v>109</v>
      </c>
      <c r="H1900" s="142" t="s">
        <v>51</v>
      </c>
      <c r="I1900" s="143" t="s">
        <v>4693</v>
      </c>
      <c r="J1900" s="143" t="s">
        <v>104</v>
      </c>
      <c r="K1900" s="144"/>
      <c r="L1900" s="145"/>
      <c r="M1900" s="144"/>
    </row>
    <row r="1901" spans="1:13" ht="15" customHeight="1">
      <c r="A1901" s="146" t="s">
        <v>5357</v>
      </c>
      <c r="B1901" s="146">
        <v>515733</v>
      </c>
      <c r="C1901" s="147" t="s">
        <v>5358</v>
      </c>
      <c r="D1901" s="146" t="s">
        <v>4690</v>
      </c>
      <c r="E1901" s="147" t="s">
        <v>4872</v>
      </c>
      <c r="F1901" s="147" t="s">
        <v>5359</v>
      </c>
      <c r="G1901" s="146" t="s">
        <v>109</v>
      </c>
      <c r="H1901" s="146" t="s">
        <v>51</v>
      </c>
      <c r="I1901" s="147" t="s">
        <v>4693</v>
      </c>
      <c r="J1901" s="147" t="s">
        <v>104</v>
      </c>
      <c r="K1901" s="148"/>
      <c r="L1901" s="149"/>
      <c r="M1901" s="148"/>
    </row>
    <row r="1902" spans="1:13" ht="15" customHeight="1">
      <c r="A1902" s="142" t="s">
        <v>5360</v>
      </c>
      <c r="B1902" s="142">
        <v>515525</v>
      </c>
      <c r="C1902" s="143" t="s">
        <v>4977</v>
      </c>
      <c r="D1902" s="142" t="s">
        <v>4690</v>
      </c>
      <c r="E1902" s="143" t="s">
        <v>5176</v>
      </c>
      <c r="F1902" s="143" t="s">
        <v>5361</v>
      </c>
      <c r="G1902" s="142" t="s">
        <v>109</v>
      </c>
      <c r="H1902" s="142" t="s">
        <v>50</v>
      </c>
      <c r="I1902" s="143" t="s">
        <v>1532</v>
      </c>
      <c r="J1902" s="143" t="s">
        <v>104</v>
      </c>
      <c r="K1902" s="144" t="s">
        <v>121</v>
      </c>
      <c r="L1902" s="145">
        <v>46141</v>
      </c>
      <c r="M1902" s="144"/>
    </row>
    <row r="1903" spans="1:13" ht="15" customHeight="1">
      <c r="A1903" s="146" t="s">
        <v>5362</v>
      </c>
      <c r="B1903" s="146">
        <v>515375</v>
      </c>
      <c r="C1903" s="147" t="s">
        <v>5363</v>
      </c>
      <c r="D1903" s="146" t="s">
        <v>4690</v>
      </c>
      <c r="E1903" s="147" t="s">
        <v>4793</v>
      </c>
      <c r="F1903" s="147" t="s">
        <v>5364</v>
      </c>
      <c r="G1903" s="146" t="s">
        <v>109</v>
      </c>
      <c r="H1903" s="146" t="s">
        <v>51</v>
      </c>
      <c r="I1903" s="147" t="s">
        <v>4693</v>
      </c>
      <c r="J1903" s="147" t="s">
        <v>104</v>
      </c>
      <c r="K1903" s="148"/>
      <c r="L1903" s="149"/>
      <c r="M1903" s="148"/>
    </row>
    <row r="1904" spans="1:13" ht="15" customHeight="1">
      <c r="A1904" s="142" t="s">
        <v>5365</v>
      </c>
      <c r="B1904" s="142">
        <v>515368</v>
      </c>
      <c r="C1904" s="143" t="s">
        <v>5366</v>
      </c>
      <c r="D1904" s="142" t="s">
        <v>4690</v>
      </c>
      <c r="E1904" s="143" t="s">
        <v>5243</v>
      </c>
      <c r="F1904" s="143" t="s">
        <v>5367</v>
      </c>
      <c r="G1904" s="142" t="s">
        <v>102</v>
      </c>
      <c r="H1904" s="142" t="s">
        <v>51</v>
      </c>
      <c r="I1904" s="143" t="s">
        <v>4693</v>
      </c>
      <c r="J1904" s="143" t="s">
        <v>104</v>
      </c>
      <c r="K1904" s="144"/>
      <c r="L1904" s="145"/>
      <c r="M1904" s="144"/>
    </row>
    <row r="1905" spans="1:13" ht="15" customHeight="1">
      <c r="A1905" s="146" t="s">
        <v>5368</v>
      </c>
      <c r="B1905" s="146">
        <v>515452</v>
      </c>
      <c r="C1905" s="147" t="s">
        <v>5369</v>
      </c>
      <c r="D1905" s="146" t="s">
        <v>4690</v>
      </c>
      <c r="E1905" s="147" t="s">
        <v>4824</v>
      </c>
      <c r="F1905" s="147" t="s">
        <v>3255</v>
      </c>
      <c r="G1905" s="146" t="s">
        <v>109</v>
      </c>
      <c r="H1905" s="146" t="s">
        <v>51</v>
      </c>
      <c r="I1905" s="147" t="s">
        <v>4693</v>
      </c>
      <c r="J1905" s="147" t="s">
        <v>104</v>
      </c>
      <c r="K1905" s="148"/>
      <c r="L1905" s="149"/>
      <c r="M1905" s="148"/>
    </row>
    <row r="1906" spans="1:13" ht="15" customHeight="1">
      <c r="A1906" s="142" t="s">
        <v>5370</v>
      </c>
      <c r="B1906" s="142">
        <v>515633</v>
      </c>
      <c r="C1906" s="143" t="s">
        <v>5371</v>
      </c>
      <c r="D1906" s="142" t="s">
        <v>4690</v>
      </c>
      <c r="E1906" s="143" t="s">
        <v>4700</v>
      </c>
      <c r="F1906" s="143" t="s">
        <v>5372</v>
      </c>
      <c r="G1906" s="142" t="s">
        <v>109</v>
      </c>
      <c r="H1906" s="142" t="s">
        <v>51</v>
      </c>
      <c r="I1906" s="143" t="s">
        <v>4693</v>
      </c>
      <c r="J1906" s="143" t="s">
        <v>104</v>
      </c>
      <c r="K1906" s="144"/>
      <c r="L1906" s="145"/>
      <c r="M1906" s="144"/>
    </row>
    <row r="1907" spans="1:13" ht="15" customHeight="1">
      <c r="A1907" s="146" t="s">
        <v>5373</v>
      </c>
      <c r="B1907" s="146">
        <v>515628</v>
      </c>
      <c r="C1907" s="147" t="s">
        <v>5374</v>
      </c>
      <c r="D1907" s="146" t="s">
        <v>4690</v>
      </c>
      <c r="E1907" s="147" t="s">
        <v>4700</v>
      </c>
      <c r="F1907" s="147" t="s">
        <v>5375</v>
      </c>
      <c r="G1907" s="146" t="s">
        <v>109</v>
      </c>
      <c r="H1907" s="146" t="s">
        <v>51</v>
      </c>
      <c r="I1907" s="147" t="s">
        <v>4693</v>
      </c>
      <c r="J1907" s="147" t="s">
        <v>104</v>
      </c>
      <c r="K1907" s="148"/>
      <c r="L1907" s="149"/>
      <c r="M1907" s="148"/>
    </row>
    <row r="1908" spans="1:13" ht="15" customHeight="1">
      <c r="A1908" s="142" t="s">
        <v>5376</v>
      </c>
      <c r="B1908" s="142">
        <v>515679</v>
      </c>
      <c r="C1908" s="143" t="s">
        <v>2256</v>
      </c>
      <c r="D1908" s="142" t="s">
        <v>4690</v>
      </c>
      <c r="E1908" s="143" t="s">
        <v>5163</v>
      </c>
      <c r="F1908" s="143" t="s">
        <v>5164</v>
      </c>
      <c r="G1908" s="142" t="s">
        <v>109</v>
      </c>
      <c r="H1908" s="142" t="s">
        <v>51</v>
      </c>
      <c r="I1908" s="143" t="s">
        <v>4693</v>
      </c>
      <c r="J1908" s="143" t="s">
        <v>104</v>
      </c>
      <c r="K1908" s="144"/>
      <c r="L1908" s="145"/>
      <c r="M1908" s="144"/>
    </row>
    <row r="1909" spans="1:13" ht="15" customHeight="1">
      <c r="A1909" s="146" t="s">
        <v>5377</v>
      </c>
      <c r="B1909" s="146">
        <v>515383</v>
      </c>
      <c r="C1909" s="147" t="s">
        <v>5378</v>
      </c>
      <c r="D1909" s="146" t="s">
        <v>4690</v>
      </c>
      <c r="E1909" s="147" t="s">
        <v>5379</v>
      </c>
      <c r="F1909" s="147" t="s">
        <v>5380</v>
      </c>
      <c r="G1909" s="146" t="s">
        <v>109</v>
      </c>
      <c r="H1909" s="146" t="s">
        <v>51</v>
      </c>
      <c r="I1909" s="147" t="s">
        <v>4693</v>
      </c>
      <c r="J1909" s="147" t="s">
        <v>104</v>
      </c>
      <c r="K1909" s="148"/>
      <c r="L1909" s="149"/>
      <c r="M1909" s="148"/>
    </row>
    <row r="1910" spans="1:13" ht="15" customHeight="1">
      <c r="A1910" s="142" t="s">
        <v>5381</v>
      </c>
      <c r="B1910" s="142">
        <v>521269</v>
      </c>
      <c r="C1910" s="143" t="s">
        <v>5382</v>
      </c>
      <c r="D1910" s="142" t="s">
        <v>4690</v>
      </c>
      <c r="E1910" s="143" t="s">
        <v>4744</v>
      </c>
      <c r="F1910" s="143" t="s">
        <v>5383</v>
      </c>
      <c r="G1910" s="142" t="s">
        <v>109</v>
      </c>
      <c r="H1910" s="142" t="s">
        <v>51</v>
      </c>
      <c r="I1910" s="143" t="s">
        <v>4693</v>
      </c>
      <c r="J1910" s="143" t="s">
        <v>104</v>
      </c>
      <c r="K1910" s="144"/>
      <c r="L1910" s="145"/>
      <c r="M1910" s="144"/>
    </row>
    <row r="1911" spans="1:13" ht="15" customHeight="1">
      <c r="A1911" s="146" t="s">
        <v>5384</v>
      </c>
      <c r="B1911" s="146">
        <v>515522</v>
      </c>
      <c r="C1911" s="147" t="s">
        <v>5385</v>
      </c>
      <c r="D1911" s="146" t="s">
        <v>4690</v>
      </c>
      <c r="E1911" s="147" t="s">
        <v>2756</v>
      </c>
      <c r="F1911" s="147" t="s">
        <v>254</v>
      </c>
      <c r="G1911" s="146" t="s">
        <v>109</v>
      </c>
      <c r="H1911" s="146" t="s">
        <v>51</v>
      </c>
      <c r="I1911" s="147" t="s">
        <v>4693</v>
      </c>
      <c r="J1911" s="147" t="s">
        <v>104</v>
      </c>
      <c r="K1911" s="148"/>
      <c r="L1911" s="149"/>
      <c r="M1911" s="148"/>
    </row>
    <row r="1912" spans="1:13" ht="15" customHeight="1">
      <c r="A1912" s="142" t="s">
        <v>5386</v>
      </c>
      <c r="B1912" s="142">
        <v>515601</v>
      </c>
      <c r="C1912" s="143" t="s">
        <v>5387</v>
      </c>
      <c r="D1912" s="142" t="s">
        <v>4690</v>
      </c>
      <c r="E1912" s="143" t="s">
        <v>4864</v>
      </c>
      <c r="F1912" s="143" t="s">
        <v>5388</v>
      </c>
      <c r="G1912" s="142" t="s">
        <v>109</v>
      </c>
      <c r="H1912" s="142" t="s">
        <v>51</v>
      </c>
      <c r="I1912" s="143" t="s">
        <v>4693</v>
      </c>
      <c r="J1912" s="143" t="s">
        <v>104</v>
      </c>
      <c r="K1912" s="144"/>
      <c r="L1912" s="145"/>
      <c r="M1912" s="144"/>
    </row>
    <row r="1913" spans="1:13" ht="15" customHeight="1">
      <c r="A1913" s="146" t="s">
        <v>5389</v>
      </c>
      <c r="B1913" s="146">
        <v>515725</v>
      </c>
      <c r="C1913" s="147" t="s">
        <v>5390</v>
      </c>
      <c r="D1913" s="146" t="s">
        <v>4690</v>
      </c>
      <c r="E1913" s="147" t="s">
        <v>5391</v>
      </c>
      <c r="F1913" s="147" t="s">
        <v>5392</v>
      </c>
      <c r="G1913" s="146" t="s">
        <v>109</v>
      </c>
      <c r="H1913" s="146" t="s">
        <v>51</v>
      </c>
      <c r="I1913" s="147" t="s">
        <v>4693</v>
      </c>
      <c r="J1913" s="147" t="s">
        <v>104</v>
      </c>
      <c r="K1913" s="148"/>
      <c r="L1913" s="149"/>
      <c r="M1913" s="148"/>
    </row>
    <row r="1914" spans="1:13" ht="15" customHeight="1">
      <c r="A1914" s="142" t="s">
        <v>5393</v>
      </c>
      <c r="B1914" s="142">
        <v>515402</v>
      </c>
      <c r="C1914" s="143" t="s">
        <v>3034</v>
      </c>
      <c r="D1914" s="142" t="s">
        <v>4690</v>
      </c>
      <c r="E1914" s="143" t="s">
        <v>4744</v>
      </c>
      <c r="F1914" s="143" t="s">
        <v>5394</v>
      </c>
      <c r="G1914" s="142" t="s">
        <v>109</v>
      </c>
      <c r="H1914" s="142" t="s">
        <v>51</v>
      </c>
      <c r="I1914" s="143" t="s">
        <v>4693</v>
      </c>
      <c r="J1914" s="143" t="s">
        <v>104</v>
      </c>
      <c r="K1914" s="144"/>
      <c r="L1914" s="145"/>
      <c r="M1914" s="144"/>
    </row>
    <row r="1915" spans="1:13" ht="15" customHeight="1">
      <c r="A1915" s="146" t="s">
        <v>5395</v>
      </c>
      <c r="B1915" s="146">
        <v>516375</v>
      </c>
      <c r="C1915" s="147" t="s">
        <v>4977</v>
      </c>
      <c r="D1915" s="146" t="s">
        <v>4690</v>
      </c>
      <c r="E1915" s="147" t="s">
        <v>4902</v>
      </c>
      <c r="F1915" s="147" t="s">
        <v>5396</v>
      </c>
      <c r="G1915" s="146" t="s">
        <v>109</v>
      </c>
      <c r="H1915" s="146" t="s">
        <v>51</v>
      </c>
      <c r="I1915" s="147" t="s">
        <v>4693</v>
      </c>
      <c r="J1915" s="147" t="s">
        <v>104</v>
      </c>
      <c r="K1915" s="148"/>
      <c r="L1915" s="149"/>
      <c r="M1915" s="148"/>
    </row>
    <row r="1916" spans="1:13" ht="15" customHeight="1">
      <c r="A1916" s="142" t="s">
        <v>5397</v>
      </c>
      <c r="B1916" s="142">
        <v>515404</v>
      </c>
      <c r="C1916" s="143" t="s">
        <v>5398</v>
      </c>
      <c r="D1916" s="142" t="s">
        <v>4690</v>
      </c>
      <c r="E1916" s="143" t="s">
        <v>4902</v>
      </c>
      <c r="F1916" s="143" t="s">
        <v>2762</v>
      </c>
      <c r="G1916" s="142" t="s">
        <v>109</v>
      </c>
      <c r="H1916" s="142" t="s">
        <v>51</v>
      </c>
      <c r="I1916" s="143" t="s">
        <v>4693</v>
      </c>
      <c r="J1916" s="143" t="s">
        <v>104</v>
      </c>
      <c r="K1916" s="144"/>
      <c r="L1916" s="145"/>
      <c r="M1916" s="144"/>
    </row>
    <row r="1917" spans="1:13" ht="15" customHeight="1">
      <c r="A1917" s="146" t="s">
        <v>5399</v>
      </c>
      <c r="B1917" s="146">
        <v>515640</v>
      </c>
      <c r="C1917" s="147" t="s">
        <v>5400</v>
      </c>
      <c r="D1917" s="146" t="s">
        <v>4690</v>
      </c>
      <c r="E1917" s="147" t="s">
        <v>4767</v>
      </c>
      <c r="F1917" s="147" t="s">
        <v>5401</v>
      </c>
      <c r="G1917" s="146" t="s">
        <v>109</v>
      </c>
      <c r="H1917" s="146" t="s">
        <v>51</v>
      </c>
      <c r="I1917" s="147" t="s">
        <v>4693</v>
      </c>
      <c r="J1917" s="147" t="s">
        <v>104</v>
      </c>
      <c r="K1917" s="148"/>
      <c r="L1917" s="149"/>
      <c r="M1917" s="148"/>
    </row>
    <row r="1918" spans="1:13" ht="15" customHeight="1">
      <c r="A1918" s="142" t="s">
        <v>5402</v>
      </c>
      <c r="B1918" s="142">
        <v>515433</v>
      </c>
      <c r="C1918" s="143" t="s">
        <v>5403</v>
      </c>
      <c r="D1918" s="142" t="s">
        <v>4690</v>
      </c>
      <c r="E1918" s="143" t="s">
        <v>4744</v>
      </c>
      <c r="F1918" s="143" t="s">
        <v>5404</v>
      </c>
      <c r="G1918" s="142" t="s">
        <v>109</v>
      </c>
      <c r="H1918" s="142" t="s">
        <v>51</v>
      </c>
      <c r="I1918" s="143" t="s">
        <v>4693</v>
      </c>
      <c r="J1918" s="143" t="s">
        <v>104</v>
      </c>
      <c r="K1918" s="144"/>
      <c r="L1918" s="145"/>
      <c r="M1918" s="144"/>
    </row>
    <row r="1919" spans="1:13" ht="15" customHeight="1">
      <c r="A1919" s="146" t="s">
        <v>5405</v>
      </c>
      <c r="B1919" s="146">
        <v>515443</v>
      </c>
      <c r="C1919" s="147" t="s">
        <v>5406</v>
      </c>
      <c r="D1919" s="146" t="s">
        <v>4690</v>
      </c>
      <c r="E1919" s="147" t="s">
        <v>4857</v>
      </c>
      <c r="F1919" s="147" t="s">
        <v>5407</v>
      </c>
      <c r="G1919" s="146" t="s">
        <v>109</v>
      </c>
      <c r="H1919" s="146" t="s">
        <v>51</v>
      </c>
      <c r="I1919" s="147" t="s">
        <v>4693</v>
      </c>
      <c r="J1919" s="147" t="s">
        <v>104</v>
      </c>
      <c r="K1919" s="148"/>
      <c r="L1919" s="149"/>
      <c r="M1919" s="148"/>
    </row>
    <row r="1920" spans="1:13" ht="15" customHeight="1">
      <c r="A1920" s="142" t="s">
        <v>5408</v>
      </c>
      <c r="B1920" s="142">
        <v>515370</v>
      </c>
      <c r="C1920" s="143" t="s">
        <v>5051</v>
      </c>
      <c r="D1920" s="142" t="s">
        <v>4690</v>
      </c>
      <c r="E1920" s="143" t="s">
        <v>4744</v>
      </c>
      <c r="F1920" s="143" t="s">
        <v>5409</v>
      </c>
      <c r="G1920" s="142" t="s">
        <v>109</v>
      </c>
      <c r="H1920" s="142" t="s">
        <v>51</v>
      </c>
      <c r="I1920" s="143" t="s">
        <v>4693</v>
      </c>
      <c r="J1920" s="143" t="s">
        <v>104</v>
      </c>
      <c r="K1920" s="144"/>
      <c r="L1920" s="145"/>
      <c r="M1920" s="144"/>
    </row>
    <row r="1921" spans="1:13" ht="15" customHeight="1">
      <c r="A1921" s="146" t="s">
        <v>5410</v>
      </c>
      <c r="B1921" s="146">
        <v>515361</v>
      </c>
      <c r="C1921" s="147" t="s">
        <v>5411</v>
      </c>
      <c r="D1921" s="146" t="s">
        <v>4690</v>
      </c>
      <c r="E1921" s="147" t="s">
        <v>4744</v>
      </c>
      <c r="F1921" s="147" t="s">
        <v>5412</v>
      </c>
      <c r="G1921" s="146" t="s">
        <v>109</v>
      </c>
      <c r="H1921" s="146" t="s">
        <v>51</v>
      </c>
      <c r="I1921" s="147" t="s">
        <v>4693</v>
      </c>
      <c r="J1921" s="147" t="s">
        <v>104</v>
      </c>
      <c r="K1921" s="148"/>
      <c r="L1921" s="149"/>
      <c r="M1921" s="148"/>
    </row>
    <row r="1922" spans="1:13" ht="15" customHeight="1">
      <c r="A1922" s="142" t="s">
        <v>5413</v>
      </c>
      <c r="B1922" s="142">
        <v>515498</v>
      </c>
      <c r="C1922" s="143" t="s">
        <v>5414</v>
      </c>
      <c r="D1922" s="142" t="s">
        <v>4690</v>
      </c>
      <c r="E1922" s="143" t="s">
        <v>5415</v>
      </c>
      <c r="F1922" s="143" t="s">
        <v>1597</v>
      </c>
      <c r="G1922" s="142" t="s">
        <v>109</v>
      </c>
      <c r="H1922" s="142" t="s">
        <v>51</v>
      </c>
      <c r="I1922" s="143" t="s">
        <v>4693</v>
      </c>
      <c r="J1922" s="143" t="s">
        <v>104</v>
      </c>
      <c r="K1922" s="144"/>
      <c r="L1922" s="145"/>
      <c r="M1922" s="144"/>
    </row>
    <row r="1923" spans="1:13" ht="15" customHeight="1">
      <c r="A1923" s="146" t="s">
        <v>5416</v>
      </c>
      <c r="B1923" s="146">
        <v>515645</v>
      </c>
      <c r="C1923" s="147" t="s">
        <v>1337</v>
      </c>
      <c r="D1923" s="146" t="s">
        <v>4690</v>
      </c>
      <c r="E1923" s="147" t="s">
        <v>4868</v>
      </c>
      <c r="F1923" s="147" t="s">
        <v>5417</v>
      </c>
      <c r="G1923" s="146" t="s">
        <v>109</v>
      </c>
      <c r="H1923" s="146" t="s">
        <v>51</v>
      </c>
      <c r="I1923" s="147" t="s">
        <v>4693</v>
      </c>
      <c r="J1923" s="147" t="s">
        <v>104</v>
      </c>
      <c r="K1923" s="148"/>
      <c r="L1923" s="149"/>
      <c r="M1923" s="148"/>
    </row>
    <row r="1924" spans="1:13" ht="15" customHeight="1">
      <c r="A1924" s="142" t="s">
        <v>5418</v>
      </c>
      <c r="B1924" s="142">
        <v>515446</v>
      </c>
      <c r="C1924" s="143" t="s">
        <v>5419</v>
      </c>
      <c r="D1924" s="142" t="s">
        <v>4690</v>
      </c>
      <c r="E1924" s="143" t="s">
        <v>4857</v>
      </c>
      <c r="F1924" s="143" t="s">
        <v>5420</v>
      </c>
      <c r="G1924" s="142" t="s">
        <v>109</v>
      </c>
      <c r="H1924" s="142" t="s">
        <v>51</v>
      </c>
      <c r="I1924" s="143" t="s">
        <v>4693</v>
      </c>
      <c r="J1924" s="143" t="s">
        <v>104</v>
      </c>
      <c r="K1924" s="144"/>
      <c r="L1924" s="145"/>
      <c r="M1924" s="144"/>
    </row>
    <row r="1925" spans="1:13" ht="15" customHeight="1">
      <c r="A1925" s="146" t="s">
        <v>5421</v>
      </c>
      <c r="B1925" s="146">
        <v>515489</v>
      </c>
      <c r="C1925" s="147" t="s">
        <v>5422</v>
      </c>
      <c r="D1925" s="146" t="s">
        <v>4690</v>
      </c>
      <c r="E1925" s="147" t="s">
        <v>4812</v>
      </c>
      <c r="F1925" s="147" t="s">
        <v>5423</v>
      </c>
      <c r="G1925" s="146" t="s">
        <v>109</v>
      </c>
      <c r="H1925" s="146" t="s">
        <v>51</v>
      </c>
      <c r="I1925" s="147" t="s">
        <v>4693</v>
      </c>
      <c r="J1925" s="147" t="s">
        <v>104</v>
      </c>
      <c r="K1925" s="148" t="s">
        <v>121</v>
      </c>
      <c r="L1925" s="149">
        <v>46150</v>
      </c>
      <c r="M1925" s="148"/>
    </row>
    <row r="1926" spans="1:13" ht="15" customHeight="1">
      <c r="A1926" s="142" t="s">
        <v>5424</v>
      </c>
      <c r="B1926" s="142">
        <v>515671</v>
      </c>
      <c r="C1926" s="143" t="s">
        <v>5425</v>
      </c>
      <c r="D1926" s="142" t="s">
        <v>4690</v>
      </c>
      <c r="E1926" s="143" t="s">
        <v>4828</v>
      </c>
      <c r="F1926" s="143" t="s">
        <v>5426</v>
      </c>
      <c r="G1926" s="142" t="s">
        <v>109</v>
      </c>
      <c r="H1926" s="142" t="s">
        <v>51</v>
      </c>
      <c r="I1926" s="143" t="s">
        <v>4693</v>
      </c>
      <c r="J1926" s="143" t="s">
        <v>104</v>
      </c>
      <c r="K1926" s="144"/>
      <c r="L1926" s="145"/>
      <c r="M1926" s="144"/>
    </row>
    <row r="1927" spans="1:13" ht="15" customHeight="1">
      <c r="A1927" s="146" t="s">
        <v>5427</v>
      </c>
      <c r="B1927" s="146">
        <v>515714</v>
      </c>
      <c r="C1927" s="147" t="s">
        <v>5428</v>
      </c>
      <c r="D1927" s="146" t="s">
        <v>4690</v>
      </c>
      <c r="E1927" s="147" t="s">
        <v>4993</v>
      </c>
      <c r="F1927" s="147" t="s">
        <v>5429</v>
      </c>
      <c r="G1927" s="146" t="s">
        <v>109</v>
      </c>
      <c r="H1927" s="146" t="s">
        <v>51</v>
      </c>
      <c r="I1927" s="147" t="s">
        <v>4693</v>
      </c>
      <c r="J1927" s="147" t="s">
        <v>104</v>
      </c>
      <c r="K1927" s="148"/>
      <c r="L1927" s="149"/>
      <c r="M1927" s="148"/>
    </row>
    <row r="1928" spans="1:13" ht="15" customHeight="1">
      <c r="A1928" s="142" t="s">
        <v>5430</v>
      </c>
      <c r="B1928" s="142">
        <v>515439</v>
      </c>
      <c r="C1928" s="143" t="s">
        <v>5431</v>
      </c>
      <c r="D1928" s="142" t="s">
        <v>4690</v>
      </c>
      <c r="E1928" s="143" t="s">
        <v>4696</v>
      </c>
      <c r="F1928" s="143" t="s">
        <v>2539</v>
      </c>
      <c r="G1928" s="142" t="s">
        <v>109</v>
      </c>
      <c r="H1928" s="142" t="s">
        <v>51</v>
      </c>
      <c r="I1928" s="143" t="s">
        <v>4693</v>
      </c>
      <c r="J1928" s="143" t="s">
        <v>104</v>
      </c>
      <c r="K1928" s="144"/>
      <c r="L1928" s="145"/>
      <c r="M1928" s="144"/>
    </row>
    <row r="1929" spans="1:13" ht="15" customHeight="1">
      <c r="A1929" s="146" t="s">
        <v>5432</v>
      </c>
      <c r="B1929" s="146">
        <v>515484</v>
      </c>
      <c r="C1929" s="147" t="s">
        <v>5433</v>
      </c>
      <c r="D1929" s="146" t="s">
        <v>4690</v>
      </c>
      <c r="E1929" s="147" t="s">
        <v>2727</v>
      </c>
      <c r="F1929" s="147" t="s">
        <v>5434</v>
      </c>
      <c r="G1929" s="146" t="s">
        <v>109</v>
      </c>
      <c r="H1929" s="146" t="s">
        <v>51</v>
      </c>
      <c r="I1929" s="147" t="s">
        <v>4693</v>
      </c>
      <c r="J1929" s="147" t="s">
        <v>104</v>
      </c>
      <c r="K1929" s="148"/>
      <c r="L1929" s="149"/>
      <c r="M1929" s="148"/>
    </row>
    <row r="1930" spans="1:13" ht="15" customHeight="1">
      <c r="A1930" s="142" t="s">
        <v>5435</v>
      </c>
      <c r="B1930" s="142">
        <v>515623</v>
      </c>
      <c r="C1930" s="143" t="s">
        <v>5436</v>
      </c>
      <c r="D1930" s="142" t="s">
        <v>4690</v>
      </c>
      <c r="E1930" s="143" t="s">
        <v>4767</v>
      </c>
      <c r="F1930" s="143" t="s">
        <v>5437</v>
      </c>
      <c r="G1930" s="142" t="s">
        <v>109</v>
      </c>
      <c r="H1930" s="142" t="s">
        <v>51</v>
      </c>
      <c r="I1930" s="143" t="s">
        <v>4693</v>
      </c>
      <c r="J1930" s="143" t="s">
        <v>104</v>
      </c>
      <c r="K1930" s="144"/>
      <c r="L1930" s="145"/>
      <c r="M1930" s="144"/>
    </row>
    <row r="1931" spans="1:13" ht="15" customHeight="1">
      <c r="A1931" s="146" t="s">
        <v>5438</v>
      </c>
      <c r="B1931" s="146">
        <v>515682</v>
      </c>
      <c r="C1931" s="147" t="s">
        <v>5439</v>
      </c>
      <c r="D1931" s="146" t="s">
        <v>4690</v>
      </c>
      <c r="E1931" s="147" t="s">
        <v>5163</v>
      </c>
      <c r="F1931" s="147" t="s">
        <v>5440</v>
      </c>
      <c r="G1931" s="146" t="s">
        <v>109</v>
      </c>
      <c r="H1931" s="146" t="s">
        <v>51</v>
      </c>
      <c r="I1931" s="147" t="s">
        <v>4693</v>
      </c>
      <c r="J1931" s="147" t="s">
        <v>104</v>
      </c>
      <c r="K1931" s="148"/>
      <c r="L1931" s="149"/>
      <c r="M1931" s="148"/>
    </row>
    <row r="1932" spans="1:13" ht="15" customHeight="1">
      <c r="A1932" s="142" t="s">
        <v>5441</v>
      </c>
      <c r="B1932" s="142">
        <v>515696</v>
      </c>
      <c r="C1932" s="143" t="s">
        <v>5442</v>
      </c>
      <c r="D1932" s="142" t="s">
        <v>4690</v>
      </c>
      <c r="E1932" s="143" t="s">
        <v>5443</v>
      </c>
      <c r="F1932" s="143" t="s">
        <v>5443</v>
      </c>
      <c r="G1932" s="142" t="s">
        <v>102</v>
      </c>
      <c r="H1932" s="142" t="s">
        <v>51</v>
      </c>
      <c r="I1932" s="143" t="s">
        <v>4693</v>
      </c>
      <c r="J1932" s="143" t="s">
        <v>104</v>
      </c>
      <c r="K1932" s="144"/>
      <c r="L1932" s="145"/>
      <c r="M1932" s="144"/>
    </row>
    <row r="1933" spans="1:13" ht="15" customHeight="1">
      <c r="A1933" s="146" t="s">
        <v>5444</v>
      </c>
      <c r="B1933" s="146">
        <v>515464</v>
      </c>
      <c r="C1933" s="147" t="s">
        <v>5445</v>
      </c>
      <c r="D1933" s="146" t="s">
        <v>4690</v>
      </c>
      <c r="E1933" s="147" t="s">
        <v>4828</v>
      </c>
      <c r="F1933" s="147" t="s">
        <v>5446</v>
      </c>
      <c r="G1933" s="146" t="s">
        <v>109</v>
      </c>
      <c r="H1933" s="146" t="s">
        <v>51</v>
      </c>
      <c r="I1933" s="147" t="s">
        <v>4693</v>
      </c>
      <c r="J1933" s="147" t="s">
        <v>104</v>
      </c>
      <c r="K1933" s="148"/>
      <c r="L1933" s="149"/>
      <c r="M1933" s="148"/>
    </row>
    <row r="1934" spans="1:13" ht="15" customHeight="1">
      <c r="A1934" s="142" t="s">
        <v>5447</v>
      </c>
      <c r="B1934" s="142">
        <v>515747</v>
      </c>
      <c r="C1934" s="143" t="s">
        <v>5448</v>
      </c>
      <c r="D1934" s="142" t="s">
        <v>4690</v>
      </c>
      <c r="E1934" s="143" t="s">
        <v>4828</v>
      </c>
      <c r="F1934" s="143" t="s">
        <v>1750</v>
      </c>
      <c r="G1934" s="142" t="s">
        <v>109</v>
      </c>
      <c r="H1934" s="142" t="s">
        <v>51</v>
      </c>
      <c r="I1934" s="143" t="s">
        <v>4693</v>
      </c>
      <c r="J1934" s="143" t="s">
        <v>104</v>
      </c>
      <c r="K1934" s="144"/>
      <c r="L1934" s="145"/>
      <c r="M1934" s="144"/>
    </row>
    <row r="1935" spans="1:13" ht="15" customHeight="1">
      <c r="A1935" s="146" t="s">
        <v>5449</v>
      </c>
      <c r="B1935" s="146">
        <v>515736</v>
      </c>
      <c r="C1935" s="147" t="s">
        <v>5450</v>
      </c>
      <c r="D1935" s="146" t="s">
        <v>4690</v>
      </c>
      <c r="E1935" s="147" t="s">
        <v>5443</v>
      </c>
      <c r="F1935" s="147" t="s">
        <v>5451</v>
      </c>
      <c r="G1935" s="146" t="s">
        <v>109</v>
      </c>
      <c r="H1935" s="146" t="s">
        <v>51</v>
      </c>
      <c r="I1935" s="147" t="s">
        <v>4693</v>
      </c>
      <c r="J1935" s="147" t="s">
        <v>104</v>
      </c>
      <c r="K1935" s="148"/>
      <c r="L1935" s="149"/>
      <c r="M1935" s="148"/>
    </row>
    <row r="1936" spans="1:13" ht="15" customHeight="1">
      <c r="A1936" s="142" t="s">
        <v>5452</v>
      </c>
      <c r="B1936" s="142">
        <v>515680</v>
      </c>
      <c r="C1936" s="143" t="s">
        <v>5453</v>
      </c>
      <c r="D1936" s="142" t="s">
        <v>4690</v>
      </c>
      <c r="E1936" s="143" t="s">
        <v>4778</v>
      </c>
      <c r="F1936" s="143" t="s">
        <v>4778</v>
      </c>
      <c r="G1936" s="142" t="s">
        <v>109</v>
      </c>
      <c r="H1936" s="142" t="s">
        <v>51</v>
      </c>
      <c r="I1936" s="143" t="s">
        <v>4693</v>
      </c>
      <c r="J1936" s="143" t="s">
        <v>104</v>
      </c>
      <c r="K1936" s="144"/>
      <c r="L1936" s="145"/>
      <c r="M1936" s="144"/>
    </row>
    <row r="1937" spans="1:13" ht="15" customHeight="1">
      <c r="A1937" s="146" t="s">
        <v>5454</v>
      </c>
      <c r="B1937" s="146">
        <v>515396</v>
      </c>
      <c r="C1937" s="147" t="s">
        <v>5455</v>
      </c>
      <c r="D1937" s="146" t="s">
        <v>4690</v>
      </c>
      <c r="E1937" s="147" t="s">
        <v>5243</v>
      </c>
      <c r="F1937" s="147" t="s">
        <v>5456</v>
      </c>
      <c r="G1937" s="146" t="s">
        <v>109</v>
      </c>
      <c r="H1937" s="146" t="s">
        <v>51</v>
      </c>
      <c r="I1937" s="147" t="s">
        <v>4693</v>
      </c>
      <c r="J1937" s="147" t="s">
        <v>104</v>
      </c>
      <c r="K1937" s="148"/>
      <c r="L1937" s="149"/>
      <c r="M1937" s="148"/>
    </row>
    <row r="1938" spans="1:13" ht="15" customHeight="1">
      <c r="A1938" s="142" t="s">
        <v>5457</v>
      </c>
      <c r="B1938" s="142">
        <v>516378</v>
      </c>
      <c r="C1938" s="143" t="s">
        <v>5458</v>
      </c>
      <c r="D1938" s="142" t="s">
        <v>4690</v>
      </c>
      <c r="E1938" s="143" t="s">
        <v>4944</v>
      </c>
      <c r="F1938" s="143" t="s">
        <v>5459</v>
      </c>
      <c r="G1938" s="142" t="s">
        <v>109</v>
      </c>
      <c r="H1938" s="142" t="s">
        <v>51</v>
      </c>
      <c r="I1938" s="143" t="s">
        <v>4693</v>
      </c>
      <c r="J1938" s="143" t="s">
        <v>104</v>
      </c>
      <c r="K1938" s="144"/>
      <c r="L1938" s="145"/>
      <c r="M1938" s="144"/>
    </row>
    <row r="1939" spans="1:13" ht="15" customHeight="1">
      <c r="A1939" s="146" t="s">
        <v>5460</v>
      </c>
      <c r="B1939" s="146">
        <v>515683</v>
      </c>
      <c r="C1939" s="147" t="s">
        <v>5461</v>
      </c>
      <c r="D1939" s="146" t="s">
        <v>4690</v>
      </c>
      <c r="E1939" s="147" t="s">
        <v>4847</v>
      </c>
      <c r="F1939" s="147" t="s">
        <v>5462</v>
      </c>
      <c r="G1939" s="146" t="s">
        <v>109</v>
      </c>
      <c r="H1939" s="146" t="s">
        <v>51</v>
      </c>
      <c r="I1939" s="147" t="s">
        <v>4693</v>
      </c>
      <c r="J1939" s="147" t="s">
        <v>104</v>
      </c>
      <c r="K1939" s="148"/>
      <c r="L1939" s="149"/>
      <c r="M1939" s="148"/>
    </row>
    <row r="1940" spans="1:13" ht="15" customHeight="1">
      <c r="A1940" s="142" t="s">
        <v>5463</v>
      </c>
      <c r="B1940" s="142">
        <v>515453</v>
      </c>
      <c r="C1940" s="143" t="s">
        <v>5464</v>
      </c>
      <c r="D1940" s="142" t="s">
        <v>4690</v>
      </c>
      <c r="E1940" s="143" t="s">
        <v>553</v>
      </c>
      <c r="F1940" s="143" t="s">
        <v>5465</v>
      </c>
      <c r="G1940" s="142" t="s">
        <v>102</v>
      </c>
      <c r="H1940" s="142" t="s">
        <v>51</v>
      </c>
      <c r="I1940" s="143" t="s">
        <v>4693</v>
      </c>
      <c r="J1940" s="143" t="s">
        <v>104</v>
      </c>
      <c r="K1940" s="144"/>
      <c r="L1940" s="145"/>
      <c r="M1940" s="144"/>
    </row>
    <row r="1941" spans="1:13" ht="15" customHeight="1">
      <c r="A1941" s="146" t="s">
        <v>5466</v>
      </c>
      <c r="B1941" s="146">
        <v>515616</v>
      </c>
      <c r="C1941" s="147" t="s">
        <v>5467</v>
      </c>
      <c r="D1941" s="146" t="s">
        <v>4690</v>
      </c>
      <c r="E1941" s="147" t="s">
        <v>4750</v>
      </c>
      <c r="F1941" s="147" t="s">
        <v>5468</v>
      </c>
      <c r="G1941" s="146" t="s">
        <v>109</v>
      </c>
      <c r="H1941" s="146" t="s">
        <v>51</v>
      </c>
      <c r="I1941" s="147" t="s">
        <v>4693</v>
      </c>
      <c r="J1941" s="147" t="s">
        <v>104</v>
      </c>
      <c r="K1941" s="148"/>
      <c r="L1941" s="149"/>
      <c r="M1941" s="148"/>
    </row>
    <row r="1942" spans="1:13" ht="15" customHeight="1">
      <c r="A1942" s="142" t="s">
        <v>5469</v>
      </c>
      <c r="B1942" s="142">
        <v>515510</v>
      </c>
      <c r="C1942" s="143" t="s">
        <v>5470</v>
      </c>
      <c r="D1942" s="142" t="s">
        <v>4690</v>
      </c>
      <c r="E1942" s="143" t="s">
        <v>4812</v>
      </c>
      <c r="F1942" s="143" t="s">
        <v>4812</v>
      </c>
      <c r="G1942" s="142" t="s">
        <v>109</v>
      </c>
      <c r="H1942" s="142" t="s">
        <v>51</v>
      </c>
      <c r="I1942" s="143" t="s">
        <v>4693</v>
      </c>
      <c r="J1942" s="143" t="s">
        <v>104</v>
      </c>
      <c r="K1942" s="144" t="s">
        <v>121</v>
      </c>
      <c r="L1942" s="145">
        <v>46149</v>
      </c>
      <c r="M1942" s="144"/>
    </row>
    <row r="1943" spans="1:13" ht="15" customHeight="1">
      <c r="A1943" s="146" t="s">
        <v>5471</v>
      </c>
      <c r="B1943" s="146">
        <v>515520</v>
      </c>
      <c r="C1943" s="147" t="s">
        <v>5472</v>
      </c>
      <c r="D1943" s="146" t="s">
        <v>4690</v>
      </c>
      <c r="E1943" s="147" t="s">
        <v>2756</v>
      </c>
      <c r="F1943" s="147" t="s">
        <v>5473</v>
      </c>
      <c r="G1943" s="146" t="s">
        <v>109</v>
      </c>
      <c r="H1943" s="146" t="s">
        <v>51</v>
      </c>
      <c r="I1943" s="147" t="s">
        <v>4693</v>
      </c>
      <c r="J1943" s="147" t="s">
        <v>104</v>
      </c>
      <c r="K1943" s="148"/>
      <c r="L1943" s="149"/>
      <c r="M1943" s="148"/>
    </row>
    <row r="1944" spans="1:13" ht="15" customHeight="1">
      <c r="A1944" s="142" t="s">
        <v>5474</v>
      </c>
      <c r="B1944" s="142">
        <v>515503</v>
      </c>
      <c r="C1944" s="143" t="s">
        <v>5475</v>
      </c>
      <c r="D1944" s="142" t="s">
        <v>4690</v>
      </c>
      <c r="E1944" s="143" t="s">
        <v>4812</v>
      </c>
      <c r="F1944" s="143" t="s">
        <v>5476</v>
      </c>
      <c r="G1944" s="142" t="s">
        <v>109</v>
      </c>
      <c r="H1944" s="142" t="s">
        <v>51</v>
      </c>
      <c r="I1944" s="143" t="s">
        <v>4693</v>
      </c>
      <c r="J1944" s="143" t="s">
        <v>104</v>
      </c>
      <c r="K1944" s="144" t="s">
        <v>121</v>
      </c>
      <c r="L1944" s="145">
        <v>46149</v>
      </c>
      <c r="M1944" s="144"/>
    </row>
    <row r="1945" spans="1:13" ht="15" customHeight="1">
      <c r="A1945" s="146" t="s">
        <v>5477</v>
      </c>
      <c r="B1945" s="146">
        <v>515718</v>
      </c>
      <c r="C1945" s="147" t="s">
        <v>5478</v>
      </c>
      <c r="D1945" s="146" t="s">
        <v>4690</v>
      </c>
      <c r="E1945" s="147" t="s">
        <v>4740</v>
      </c>
      <c r="F1945" s="147" t="s">
        <v>5479</v>
      </c>
      <c r="G1945" s="146" t="s">
        <v>109</v>
      </c>
      <c r="H1945" s="146" t="s">
        <v>51</v>
      </c>
      <c r="I1945" s="147" t="s">
        <v>4693</v>
      </c>
      <c r="J1945" s="147" t="s">
        <v>104</v>
      </c>
      <c r="K1945" s="148"/>
      <c r="L1945" s="149"/>
      <c r="M1945" s="148"/>
    </row>
    <row r="1946" spans="1:13" ht="15" customHeight="1">
      <c r="A1946" s="142" t="s">
        <v>5480</v>
      </c>
      <c r="B1946" s="142">
        <v>515491</v>
      </c>
      <c r="C1946" s="143" t="s">
        <v>5481</v>
      </c>
      <c r="D1946" s="142" t="s">
        <v>4690</v>
      </c>
      <c r="E1946" s="143" t="s">
        <v>553</v>
      </c>
      <c r="F1946" s="143" t="s">
        <v>5482</v>
      </c>
      <c r="G1946" s="142" t="s">
        <v>109</v>
      </c>
      <c r="H1946" s="142" t="s">
        <v>51</v>
      </c>
      <c r="I1946" s="143" t="s">
        <v>4693</v>
      </c>
      <c r="J1946" s="143" t="s">
        <v>104</v>
      </c>
      <c r="K1946" s="144"/>
      <c r="L1946" s="145"/>
      <c r="M1946" s="144"/>
    </row>
    <row r="1947" spans="1:13" ht="15" customHeight="1">
      <c r="A1947" s="146" t="s">
        <v>5483</v>
      </c>
      <c r="B1947" s="146">
        <v>515667</v>
      </c>
      <c r="C1947" s="147" t="s">
        <v>5484</v>
      </c>
      <c r="D1947" s="146" t="s">
        <v>4690</v>
      </c>
      <c r="E1947" s="147" t="s">
        <v>4767</v>
      </c>
      <c r="F1947" s="147" t="s">
        <v>5485</v>
      </c>
      <c r="G1947" s="146" t="s">
        <v>109</v>
      </c>
      <c r="H1947" s="146" t="s">
        <v>51</v>
      </c>
      <c r="I1947" s="147" t="s">
        <v>4693</v>
      </c>
      <c r="J1947" s="147" t="s">
        <v>104</v>
      </c>
      <c r="K1947" s="148"/>
      <c r="L1947" s="149"/>
      <c r="M1947" s="148"/>
    </row>
    <row r="1948" spans="1:13" ht="15" customHeight="1">
      <c r="A1948" s="142" t="s">
        <v>5486</v>
      </c>
      <c r="B1948" s="142">
        <v>515719</v>
      </c>
      <c r="C1948" s="143" t="s">
        <v>5487</v>
      </c>
      <c r="D1948" s="142" t="s">
        <v>4690</v>
      </c>
      <c r="E1948" s="143" t="s">
        <v>4766</v>
      </c>
      <c r="F1948" s="143" t="s">
        <v>5488</v>
      </c>
      <c r="G1948" s="142" t="s">
        <v>109</v>
      </c>
      <c r="H1948" s="142" t="s">
        <v>51</v>
      </c>
      <c r="I1948" s="143" t="s">
        <v>4693</v>
      </c>
      <c r="J1948" s="143" t="s">
        <v>104</v>
      </c>
      <c r="K1948" s="144"/>
      <c r="L1948" s="145"/>
      <c r="M1948" s="144"/>
    </row>
    <row r="1949" spans="1:13" ht="15" customHeight="1">
      <c r="A1949" s="146" t="s">
        <v>5489</v>
      </c>
      <c r="B1949" s="146">
        <v>515397</v>
      </c>
      <c r="C1949" s="147" t="s">
        <v>5490</v>
      </c>
      <c r="D1949" s="146" t="s">
        <v>4690</v>
      </c>
      <c r="E1949" s="147" t="s">
        <v>4744</v>
      </c>
      <c r="F1949" s="147" t="s">
        <v>5491</v>
      </c>
      <c r="G1949" s="146" t="s">
        <v>102</v>
      </c>
      <c r="H1949" s="146" t="s">
        <v>51</v>
      </c>
      <c r="I1949" s="147" t="s">
        <v>4693</v>
      </c>
      <c r="J1949" s="147" t="s">
        <v>104</v>
      </c>
      <c r="K1949" s="148"/>
      <c r="L1949" s="149"/>
      <c r="M1949" s="148"/>
    </row>
    <row r="1950" spans="1:13" ht="15" customHeight="1">
      <c r="A1950" s="142" t="s">
        <v>5492</v>
      </c>
      <c r="B1950" s="142">
        <v>514375</v>
      </c>
      <c r="C1950" s="143" t="s">
        <v>5493</v>
      </c>
      <c r="D1950" s="142" t="s">
        <v>4690</v>
      </c>
      <c r="E1950" s="143" t="s">
        <v>4820</v>
      </c>
      <c r="F1950" s="143" t="s">
        <v>1790</v>
      </c>
      <c r="G1950" s="142" t="s">
        <v>109</v>
      </c>
      <c r="H1950" s="142" t="s">
        <v>51</v>
      </c>
      <c r="I1950" s="143" t="s">
        <v>4693</v>
      </c>
      <c r="J1950" s="143" t="s">
        <v>104</v>
      </c>
      <c r="K1950" s="144"/>
      <c r="L1950" s="145"/>
      <c r="M1950" s="144"/>
    </row>
    <row r="1951" spans="1:13" ht="15" customHeight="1">
      <c r="A1951" s="146" t="s">
        <v>5494</v>
      </c>
      <c r="B1951" s="146">
        <v>515545</v>
      </c>
      <c r="C1951" s="147" t="s">
        <v>5495</v>
      </c>
      <c r="D1951" s="146" t="s">
        <v>4690</v>
      </c>
      <c r="E1951" s="147" t="s">
        <v>5338</v>
      </c>
      <c r="F1951" s="147" t="s">
        <v>5496</v>
      </c>
      <c r="G1951" s="146" t="s">
        <v>109</v>
      </c>
      <c r="H1951" s="146" t="s">
        <v>50</v>
      </c>
      <c r="I1951" s="147" t="s">
        <v>1532</v>
      </c>
      <c r="J1951" s="147" t="s">
        <v>104</v>
      </c>
      <c r="K1951" s="148" t="s">
        <v>162</v>
      </c>
      <c r="L1951" s="149">
        <v>46141</v>
      </c>
      <c r="M1951" s="154" t="s">
        <v>1716</v>
      </c>
    </row>
    <row r="1952" spans="1:13" ht="15" customHeight="1">
      <c r="A1952" s="142" t="s">
        <v>5497</v>
      </c>
      <c r="B1952" s="142">
        <v>515388</v>
      </c>
      <c r="C1952" s="143" t="s">
        <v>5498</v>
      </c>
      <c r="D1952" s="142" t="s">
        <v>4690</v>
      </c>
      <c r="E1952" s="143" t="s">
        <v>4793</v>
      </c>
      <c r="F1952" s="143" t="s">
        <v>5499</v>
      </c>
      <c r="G1952" s="142" t="s">
        <v>102</v>
      </c>
      <c r="H1952" s="142" t="s">
        <v>51</v>
      </c>
      <c r="I1952" s="143" t="s">
        <v>4693</v>
      </c>
      <c r="J1952" s="143" t="s">
        <v>104</v>
      </c>
      <c r="K1952" s="144"/>
      <c r="L1952" s="145"/>
      <c r="M1952" s="144"/>
    </row>
    <row r="1953" spans="1:13" ht="15" customHeight="1">
      <c r="A1953" s="146" t="s">
        <v>5500</v>
      </c>
      <c r="B1953" s="146">
        <v>515360</v>
      </c>
      <c r="C1953" s="147" t="s">
        <v>5501</v>
      </c>
      <c r="D1953" s="146" t="s">
        <v>4690</v>
      </c>
      <c r="E1953" s="147" t="s">
        <v>4744</v>
      </c>
      <c r="F1953" s="147" t="s">
        <v>5502</v>
      </c>
      <c r="G1953" s="146" t="s">
        <v>109</v>
      </c>
      <c r="H1953" s="146" t="s">
        <v>51</v>
      </c>
      <c r="I1953" s="147" t="s">
        <v>4693</v>
      </c>
      <c r="J1953" s="147" t="s">
        <v>104</v>
      </c>
      <c r="K1953" s="148"/>
      <c r="L1953" s="149"/>
      <c r="M1953" s="148"/>
    </row>
    <row r="1954" spans="1:13" ht="15" customHeight="1">
      <c r="A1954" s="142" t="s">
        <v>5503</v>
      </c>
      <c r="B1954" s="142">
        <v>515603</v>
      </c>
      <c r="C1954" s="143" t="s">
        <v>5504</v>
      </c>
      <c r="D1954" s="142" t="s">
        <v>4690</v>
      </c>
      <c r="E1954" s="143" t="s">
        <v>4744</v>
      </c>
      <c r="F1954" s="143" t="s">
        <v>5505</v>
      </c>
      <c r="G1954" s="142" t="s">
        <v>109</v>
      </c>
      <c r="H1954" s="142" t="s">
        <v>51</v>
      </c>
      <c r="I1954" s="143" t="s">
        <v>4693</v>
      </c>
      <c r="J1954" s="143" t="s">
        <v>104</v>
      </c>
      <c r="K1954" s="144"/>
      <c r="L1954" s="145"/>
      <c r="M1954" s="144"/>
    </row>
    <row r="1955" spans="1:13" ht="15" customHeight="1">
      <c r="A1955" s="146" t="s">
        <v>5506</v>
      </c>
      <c r="B1955" s="146">
        <v>515467</v>
      </c>
      <c r="C1955" s="147" t="s">
        <v>5507</v>
      </c>
      <c r="D1955" s="146" t="s">
        <v>4690</v>
      </c>
      <c r="E1955" s="147" t="s">
        <v>1086</v>
      </c>
      <c r="F1955" s="147" t="s">
        <v>5508</v>
      </c>
      <c r="G1955" s="146" t="s">
        <v>109</v>
      </c>
      <c r="H1955" s="146" t="s">
        <v>51</v>
      </c>
      <c r="I1955" s="147" t="s">
        <v>4693</v>
      </c>
      <c r="J1955" s="147" t="s">
        <v>104</v>
      </c>
      <c r="K1955" s="148" t="s">
        <v>162</v>
      </c>
      <c r="L1955" s="149">
        <v>46150</v>
      </c>
      <c r="M1955" s="148" t="s">
        <v>5509</v>
      </c>
    </row>
    <row r="1956" spans="1:13" ht="15" customHeight="1">
      <c r="A1956" s="142" t="s">
        <v>5510</v>
      </c>
      <c r="B1956" s="142">
        <v>515470</v>
      </c>
      <c r="C1956" s="143" t="s">
        <v>5511</v>
      </c>
      <c r="D1956" s="142" t="s">
        <v>4690</v>
      </c>
      <c r="E1956" s="143" t="s">
        <v>4868</v>
      </c>
      <c r="F1956" s="143" t="s">
        <v>5512</v>
      </c>
      <c r="G1956" s="142" t="s">
        <v>102</v>
      </c>
      <c r="H1956" s="142" t="s">
        <v>51</v>
      </c>
      <c r="I1956" s="143" t="s">
        <v>4693</v>
      </c>
      <c r="J1956" s="143" t="s">
        <v>104</v>
      </c>
      <c r="K1956" s="144"/>
      <c r="L1956" s="145"/>
      <c r="M1956" s="144"/>
    </row>
    <row r="1957" spans="1:13" ht="15" customHeight="1">
      <c r="A1957" s="146" t="s">
        <v>5513</v>
      </c>
      <c r="B1957" s="146">
        <v>515649</v>
      </c>
      <c r="C1957" s="147" t="s">
        <v>5514</v>
      </c>
      <c r="D1957" s="146" t="s">
        <v>4690</v>
      </c>
      <c r="E1957" s="147" t="s">
        <v>5214</v>
      </c>
      <c r="F1957" s="147" t="s">
        <v>5214</v>
      </c>
      <c r="G1957" s="146" t="s">
        <v>109</v>
      </c>
      <c r="H1957" s="146" t="s">
        <v>51</v>
      </c>
      <c r="I1957" s="147" t="s">
        <v>4693</v>
      </c>
      <c r="J1957" s="147" t="s">
        <v>104</v>
      </c>
      <c r="K1957" s="148"/>
      <c r="L1957" s="149"/>
      <c r="M1957" s="148"/>
    </row>
    <row r="1958" spans="1:13" ht="15" customHeight="1">
      <c r="A1958" s="142" t="s">
        <v>5515</v>
      </c>
      <c r="B1958" s="142">
        <v>516108</v>
      </c>
      <c r="C1958" s="143" t="s">
        <v>5516</v>
      </c>
      <c r="D1958" s="142" t="s">
        <v>5517</v>
      </c>
      <c r="E1958" s="143" t="s">
        <v>5518</v>
      </c>
      <c r="F1958" s="143" t="s">
        <v>5519</v>
      </c>
      <c r="G1958" s="142" t="s">
        <v>109</v>
      </c>
      <c r="H1958" s="142" t="s">
        <v>56</v>
      </c>
      <c r="I1958" s="143" t="s">
        <v>440</v>
      </c>
      <c r="J1958" s="143" t="s">
        <v>104</v>
      </c>
      <c r="K1958" s="144"/>
      <c r="L1958" s="145"/>
      <c r="M1958" s="144"/>
    </row>
    <row r="1959" spans="1:13" ht="15" customHeight="1">
      <c r="A1959" s="146" t="s">
        <v>5520</v>
      </c>
      <c r="B1959" s="146">
        <v>516121</v>
      </c>
      <c r="C1959" s="147" t="s">
        <v>5521</v>
      </c>
      <c r="D1959" s="146" t="s">
        <v>5517</v>
      </c>
      <c r="E1959" s="147" t="s">
        <v>5522</v>
      </c>
      <c r="F1959" s="147" t="s">
        <v>5523</v>
      </c>
      <c r="G1959" s="146" t="s">
        <v>109</v>
      </c>
      <c r="H1959" s="146" t="s">
        <v>56</v>
      </c>
      <c r="I1959" s="147" t="s">
        <v>440</v>
      </c>
      <c r="J1959" s="147" t="s">
        <v>104</v>
      </c>
      <c r="K1959" s="148" t="s">
        <v>121</v>
      </c>
      <c r="L1959" s="149">
        <v>46153</v>
      </c>
      <c r="M1959" s="148"/>
    </row>
    <row r="1960" spans="1:13" ht="15" customHeight="1">
      <c r="A1960" s="142" t="s">
        <v>5524</v>
      </c>
      <c r="B1960" s="142">
        <v>516119</v>
      </c>
      <c r="C1960" s="143" t="s">
        <v>5525</v>
      </c>
      <c r="D1960" s="142" t="s">
        <v>5517</v>
      </c>
      <c r="E1960" s="143" t="s">
        <v>5526</v>
      </c>
      <c r="F1960" s="143" t="s">
        <v>5527</v>
      </c>
      <c r="G1960" s="142" t="s">
        <v>109</v>
      </c>
      <c r="H1960" s="142" t="s">
        <v>56</v>
      </c>
      <c r="I1960" s="143" t="s">
        <v>440</v>
      </c>
      <c r="J1960" s="143" t="s">
        <v>104</v>
      </c>
      <c r="K1960" s="144" t="s">
        <v>121</v>
      </c>
      <c r="L1960" s="145">
        <v>46148</v>
      </c>
      <c r="M1960" s="144"/>
    </row>
    <row r="1961" spans="1:13" ht="15" customHeight="1">
      <c r="A1961" s="146" t="s">
        <v>5528</v>
      </c>
      <c r="B1961" s="146">
        <v>516113</v>
      </c>
      <c r="C1961" s="147" t="s">
        <v>5529</v>
      </c>
      <c r="D1961" s="146" t="s">
        <v>5517</v>
      </c>
      <c r="E1961" s="147" t="s">
        <v>5530</v>
      </c>
      <c r="F1961" s="147" t="s">
        <v>3875</v>
      </c>
      <c r="G1961" s="146" t="s">
        <v>109</v>
      </c>
      <c r="H1961" s="146" t="s">
        <v>56</v>
      </c>
      <c r="I1961" s="147" t="s">
        <v>440</v>
      </c>
      <c r="J1961" s="147" t="s">
        <v>104</v>
      </c>
      <c r="K1961" s="148"/>
      <c r="L1961" s="149"/>
      <c r="M1961" s="148"/>
    </row>
    <row r="1962" spans="1:13" ht="15" customHeight="1">
      <c r="A1962" s="142" t="s">
        <v>5531</v>
      </c>
      <c r="B1962" s="142">
        <v>516085</v>
      </c>
      <c r="C1962" s="143" t="s">
        <v>5532</v>
      </c>
      <c r="D1962" s="142" t="s">
        <v>5517</v>
      </c>
      <c r="E1962" s="143" t="s">
        <v>706</v>
      </c>
      <c r="F1962" s="143" t="s">
        <v>5533</v>
      </c>
      <c r="G1962" s="142" t="s">
        <v>102</v>
      </c>
      <c r="H1962" s="142" t="s">
        <v>56</v>
      </c>
      <c r="I1962" s="143" t="s">
        <v>440</v>
      </c>
      <c r="J1962" s="143" t="s">
        <v>104</v>
      </c>
      <c r="K1962" s="144" t="s">
        <v>121</v>
      </c>
      <c r="L1962" s="145">
        <v>46150</v>
      </c>
      <c r="M1962" s="144"/>
    </row>
    <row r="1963" spans="1:13" ht="15" customHeight="1">
      <c r="A1963" s="146" t="s">
        <v>5534</v>
      </c>
      <c r="B1963" s="146">
        <v>516087</v>
      </c>
      <c r="C1963" s="147" t="s">
        <v>5535</v>
      </c>
      <c r="D1963" s="146" t="s">
        <v>5517</v>
      </c>
      <c r="E1963" s="147" t="s">
        <v>5536</v>
      </c>
      <c r="F1963" s="147" t="s">
        <v>5537</v>
      </c>
      <c r="G1963" s="146" t="s">
        <v>109</v>
      </c>
      <c r="H1963" s="146" t="s">
        <v>56</v>
      </c>
      <c r="I1963" s="147" t="s">
        <v>440</v>
      </c>
      <c r="J1963" s="147" t="s">
        <v>104</v>
      </c>
      <c r="K1963" s="148" t="s">
        <v>121</v>
      </c>
      <c r="L1963" s="149">
        <v>46146</v>
      </c>
      <c r="M1963" s="148"/>
    </row>
    <row r="1964" spans="1:13" ht="15" customHeight="1">
      <c r="A1964" s="142" t="s">
        <v>5538</v>
      </c>
      <c r="B1964" s="142">
        <v>516086</v>
      </c>
      <c r="C1964" s="143" t="s">
        <v>5539</v>
      </c>
      <c r="D1964" s="142" t="s">
        <v>5517</v>
      </c>
      <c r="E1964" s="143" t="s">
        <v>706</v>
      </c>
      <c r="F1964" s="143" t="s">
        <v>5540</v>
      </c>
      <c r="G1964" s="142" t="s">
        <v>109</v>
      </c>
      <c r="H1964" s="142" t="s">
        <v>56</v>
      </c>
      <c r="I1964" s="143" t="s">
        <v>440</v>
      </c>
      <c r="J1964" s="143" t="s">
        <v>104</v>
      </c>
      <c r="K1964" s="144" t="s">
        <v>121</v>
      </c>
      <c r="L1964" s="145">
        <v>46148</v>
      </c>
      <c r="M1964" s="144"/>
    </row>
    <row r="1965" spans="1:13" ht="15" customHeight="1">
      <c r="A1965" s="146" t="s">
        <v>5541</v>
      </c>
      <c r="B1965" s="146">
        <v>516081</v>
      </c>
      <c r="C1965" s="147" t="s">
        <v>5542</v>
      </c>
      <c r="D1965" s="146" t="s">
        <v>5517</v>
      </c>
      <c r="E1965" s="147" t="s">
        <v>5543</v>
      </c>
      <c r="F1965" s="147" t="s">
        <v>5543</v>
      </c>
      <c r="G1965" s="146" t="s">
        <v>102</v>
      </c>
      <c r="H1965" s="146" t="s">
        <v>56</v>
      </c>
      <c r="I1965" s="147" t="s">
        <v>440</v>
      </c>
      <c r="J1965" s="147" t="s">
        <v>104</v>
      </c>
      <c r="K1965" s="148" t="s">
        <v>121</v>
      </c>
      <c r="L1965" s="149">
        <v>46150</v>
      </c>
      <c r="M1965" s="148"/>
    </row>
    <row r="1966" spans="1:13" ht="15" customHeight="1">
      <c r="A1966" s="142" t="s">
        <v>5544</v>
      </c>
      <c r="B1966" s="142">
        <v>516091</v>
      </c>
      <c r="C1966" s="143" t="s">
        <v>5545</v>
      </c>
      <c r="D1966" s="142" t="s">
        <v>5517</v>
      </c>
      <c r="E1966" s="143" t="s">
        <v>5546</v>
      </c>
      <c r="F1966" s="143" t="s">
        <v>5547</v>
      </c>
      <c r="G1966" s="142" t="s">
        <v>109</v>
      </c>
      <c r="H1966" s="142" t="s">
        <v>56</v>
      </c>
      <c r="I1966" s="143" t="s">
        <v>440</v>
      </c>
      <c r="J1966" s="143" t="s">
        <v>104</v>
      </c>
      <c r="K1966" s="144"/>
      <c r="L1966" s="145"/>
      <c r="M1966" s="144"/>
    </row>
    <row r="1967" spans="1:13" ht="15" customHeight="1">
      <c r="A1967" s="146" t="s">
        <v>5548</v>
      </c>
      <c r="B1967" s="146">
        <v>521578</v>
      </c>
      <c r="C1967" s="147" t="s">
        <v>5549</v>
      </c>
      <c r="D1967" s="146" t="s">
        <v>5517</v>
      </c>
      <c r="E1967" s="147" t="s">
        <v>5550</v>
      </c>
      <c r="F1967" s="147" t="s">
        <v>5551</v>
      </c>
      <c r="G1967" s="146" t="s">
        <v>102</v>
      </c>
      <c r="H1967" s="146" t="s">
        <v>56</v>
      </c>
      <c r="I1967" s="147" t="s">
        <v>440</v>
      </c>
      <c r="J1967" s="147" t="s">
        <v>104</v>
      </c>
      <c r="K1967" s="148"/>
      <c r="L1967" s="149"/>
      <c r="M1967" s="148"/>
    </row>
    <row r="1968" spans="1:13" ht="15" customHeight="1">
      <c r="A1968" s="142" t="s">
        <v>5552</v>
      </c>
      <c r="B1968" s="142">
        <v>516095</v>
      </c>
      <c r="C1968" s="143" t="s">
        <v>5553</v>
      </c>
      <c r="D1968" s="142" t="s">
        <v>5517</v>
      </c>
      <c r="E1968" s="143" t="s">
        <v>5554</v>
      </c>
      <c r="F1968" s="143" t="s">
        <v>5555</v>
      </c>
      <c r="G1968" s="142" t="s">
        <v>109</v>
      </c>
      <c r="H1968" s="142" t="s">
        <v>56</v>
      </c>
      <c r="I1968" s="143" t="s">
        <v>440</v>
      </c>
      <c r="J1968" s="143" t="s">
        <v>104</v>
      </c>
      <c r="K1968" s="144"/>
      <c r="L1968" s="145"/>
      <c r="M1968" s="144"/>
    </row>
    <row r="1969" spans="1:13" ht="15" customHeight="1">
      <c r="A1969" s="146" t="s">
        <v>5556</v>
      </c>
      <c r="B1969" s="146">
        <v>516102</v>
      </c>
      <c r="C1969" s="147" t="s">
        <v>5557</v>
      </c>
      <c r="D1969" s="146" t="s">
        <v>5517</v>
      </c>
      <c r="E1969" s="147" t="s">
        <v>456</v>
      </c>
      <c r="F1969" s="147" t="s">
        <v>5558</v>
      </c>
      <c r="G1969" s="146" t="s">
        <v>109</v>
      </c>
      <c r="H1969" s="146" t="s">
        <v>56</v>
      </c>
      <c r="I1969" s="147" t="s">
        <v>440</v>
      </c>
      <c r="J1969" s="147" t="s">
        <v>104</v>
      </c>
      <c r="K1969" s="148" t="s">
        <v>121</v>
      </c>
      <c r="L1969" s="149">
        <v>46149</v>
      </c>
      <c r="M1969" s="148"/>
    </row>
    <row r="1970" spans="1:13" ht="15" customHeight="1">
      <c r="A1970" s="142" t="s">
        <v>5559</v>
      </c>
      <c r="B1970" s="142">
        <v>516101</v>
      </c>
      <c r="C1970" s="143" t="s">
        <v>5560</v>
      </c>
      <c r="D1970" s="142" t="s">
        <v>5517</v>
      </c>
      <c r="E1970" s="143" t="s">
        <v>998</v>
      </c>
      <c r="F1970" s="143" t="s">
        <v>5561</v>
      </c>
      <c r="G1970" s="142" t="s">
        <v>109</v>
      </c>
      <c r="H1970" s="142" t="s">
        <v>56</v>
      </c>
      <c r="I1970" s="143" t="s">
        <v>440</v>
      </c>
      <c r="J1970" s="143" t="s">
        <v>104</v>
      </c>
      <c r="K1970" s="144" t="s">
        <v>121</v>
      </c>
      <c r="L1970" s="145">
        <v>46153</v>
      </c>
      <c r="M1970" s="144"/>
    </row>
    <row r="1971" spans="1:13" ht="15" customHeight="1">
      <c r="A1971" s="146" t="s">
        <v>5562</v>
      </c>
      <c r="B1971" s="146">
        <v>516084</v>
      </c>
      <c r="C1971" s="147" t="s">
        <v>5563</v>
      </c>
      <c r="D1971" s="146" t="s">
        <v>5517</v>
      </c>
      <c r="E1971" s="147" t="s">
        <v>5564</v>
      </c>
      <c r="F1971" s="147" t="s">
        <v>5565</v>
      </c>
      <c r="G1971" s="146" t="s">
        <v>109</v>
      </c>
      <c r="H1971" s="146" t="s">
        <v>56</v>
      </c>
      <c r="I1971" s="147" t="s">
        <v>440</v>
      </c>
      <c r="J1971" s="147" t="s">
        <v>104</v>
      </c>
      <c r="K1971" s="148" t="s">
        <v>121</v>
      </c>
      <c r="L1971" s="149">
        <v>46146</v>
      </c>
      <c r="M1971" s="148"/>
    </row>
    <row r="1972" spans="1:13" ht="15" customHeight="1">
      <c r="A1972" s="142" t="s">
        <v>5566</v>
      </c>
      <c r="B1972" s="142">
        <v>516089</v>
      </c>
      <c r="C1972" s="143" t="s">
        <v>5567</v>
      </c>
      <c r="D1972" s="142" t="s">
        <v>5517</v>
      </c>
      <c r="E1972" s="143" t="s">
        <v>5568</v>
      </c>
      <c r="F1972" s="143" t="s">
        <v>5569</v>
      </c>
      <c r="G1972" s="142" t="s">
        <v>109</v>
      </c>
      <c r="H1972" s="142" t="s">
        <v>56</v>
      </c>
      <c r="I1972" s="143" t="s">
        <v>440</v>
      </c>
      <c r="J1972" s="143" t="s">
        <v>104</v>
      </c>
      <c r="K1972" s="144" t="s">
        <v>121</v>
      </c>
      <c r="L1972" s="145">
        <v>46149</v>
      </c>
      <c r="M1972" s="144"/>
    </row>
    <row r="1973" spans="1:13" ht="15" customHeight="1">
      <c r="A1973" s="146" t="s">
        <v>5570</v>
      </c>
      <c r="B1973" s="146">
        <v>518747</v>
      </c>
      <c r="C1973" s="147" t="s">
        <v>5571</v>
      </c>
      <c r="D1973" s="146" t="s">
        <v>5517</v>
      </c>
      <c r="E1973" s="147" t="s">
        <v>5572</v>
      </c>
      <c r="F1973" s="147" t="s">
        <v>5573</v>
      </c>
      <c r="G1973" s="146" t="s">
        <v>109</v>
      </c>
      <c r="H1973" s="146" t="s">
        <v>56</v>
      </c>
      <c r="I1973" s="147" t="s">
        <v>440</v>
      </c>
      <c r="J1973" s="147" t="s">
        <v>104</v>
      </c>
      <c r="K1973" s="148"/>
      <c r="L1973" s="149"/>
      <c r="M1973" s="148"/>
    </row>
    <row r="1974" spans="1:13" ht="15" customHeight="1">
      <c r="A1974" s="142" t="s">
        <v>5574</v>
      </c>
      <c r="B1974" s="142">
        <v>516115</v>
      </c>
      <c r="C1974" s="143" t="s">
        <v>5575</v>
      </c>
      <c r="D1974" s="142" t="s">
        <v>5517</v>
      </c>
      <c r="E1974" s="143" t="s">
        <v>5522</v>
      </c>
      <c r="F1974" s="143" t="s">
        <v>5576</v>
      </c>
      <c r="G1974" s="142" t="s">
        <v>109</v>
      </c>
      <c r="H1974" s="142" t="s">
        <v>56</v>
      </c>
      <c r="I1974" s="143" t="s">
        <v>440</v>
      </c>
      <c r="J1974" s="143" t="s">
        <v>104</v>
      </c>
      <c r="K1974" s="144"/>
      <c r="L1974" s="145"/>
      <c r="M1974" s="144"/>
    </row>
    <row r="1975" spans="1:13" ht="15" customHeight="1">
      <c r="A1975" s="146" t="s">
        <v>5577</v>
      </c>
      <c r="B1975" s="146">
        <v>516092</v>
      </c>
      <c r="C1975" s="147" t="s">
        <v>5578</v>
      </c>
      <c r="D1975" s="146" t="s">
        <v>5517</v>
      </c>
      <c r="E1975" s="147" t="s">
        <v>5579</v>
      </c>
      <c r="F1975" s="147" t="s">
        <v>5580</v>
      </c>
      <c r="G1975" s="146" t="s">
        <v>109</v>
      </c>
      <c r="H1975" s="146" t="s">
        <v>56</v>
      </c>
      <c r="I1975" s="147" t="s">
        <v>440</v>
      </c>
      <c r="J1975" s="147" t="s">
        <v>104</v>
      </c>
      <c r="K1975" s="148"/>
      <c r="L1975" s="149"/>
      <c r="M1975" s="148"/>
    </row>
    <row r="1976" spans="1:13" ht="15" customHeight="1">
      <c r="A1976" s="142" t="s">
        <v>5581</v>
      </c>
      <c r="B1976" s="142">
        <v>516099</v>
      </c>
      <c r="C1976" s="143" t="s">
        <v>5582</v>
      </c>
      <c r="D1976" s="142" t="s">
        <v>5517</v>
      </c>
      <c r="E1976" s="143" t="s">
        <v>5583</v>
      </c>
      <c r="F1976" s="143" t="s">
        <v>5583</v>
      </c>
      <c r="G1976" s="142" t="s">
        <v>102</v>
      </c>
      <c r="H1976" s="142" t="s">
        <v>56</v>
      </c>
      <c r="I1976" s="143" t="s">
        <v>440</v>
      </c>
      <c r="J1976" s="143" t="s">
        <v>104</v>
      </c>
      <c r="K1976" s="144" t="s">
        <v>121</v>
      </c>
      <c r="L1976" s="145">
        <v>46146</v>
      </c>
      <c r="M1976" s="144"/>
    </row>
    <row r="1977" spans="1:13" ht="15" customHeight="1">
      <c r="A1977" s="146" t="s">
        <v>5584</v>
      </c>
      <c r="B1977" s="146">
        <v>516109</v>
      </c>
      <c r="C1977" s="147" t="s">
        <v>5585</v>
      </c>
      <c r="D1977" s="146" t="s">
        <v>5517</v>
      </c>
      <c r="E1977" s="147" t="s">
        <v>5518</v>
      </c>
      <c r="F1977" s="147" t="s">
        <v>5586</v>
      </c>
      <c r="G1977" s="146" t="s">
        <v>109</v>
      </c>
      <c r="H1977" s="146" t="s">
        <v>56</v>
      </c>
      <c r="I1977" s="147" t="s">
        <v>440</v>
      </c>
      <c r="J1977" s="147" t="s">
        <v>104</v>
      </c>
      <c r="K1977" s="148"/>
      <c r="L1977" s="149"/>
      <c r="M1977" s="148"/>
    </row>
    <row r="1978" spans="1:13" ht="15" customHeight="1">
      <c r="A1978" s="142" t="s">
        <v>5587</v>
      </c>
      <c r="B1978" s="142">
        <v>516118</v>
      </c>
      <c r="C1978" s="143" t="s">
        <v>5588</v>
      </c>
      <c r="D1978" s="142" t="s">
        <v>5517</v>
      </c>
      <c r="E1978" s="143" t="s">
        <v>998</v>
      </c>
      <c r="F1978" s="143" t="s">
        <v>5589</v>
      </c>
      <c r="G1978" s="142" t="s">
        <v>109</v>
      </c>
      <c r="H1978" s="142" t="s">
        <v>56</v>
      </c>
      <c r="I1978" s="143" t="s">
        <v>440</v>
      </c>
      <c r="J1978" s="143" t="s">
        <v>104</v>
      </c>
      <c r="K1978" s="144"/>
      <c r="L1978" s="145"/>
      <c r="M1978" s="144"/>
    </row>
    <row r="1979" spans="1:13" ht="15" customHeight="1">
      <c r="A1979" s="146" t="s">
        <v>5590</v>
      </c>
      <c r="B1979" s="146">
        <v>516110</v>
      </c>
      <c r="C1979" s="147" t="s">
        <v>5591</v>
      </c>
      <c r="D1979" s="146" t="s">
        <v>5517</v>
      </c>
      <c r="E1979" s="147" t="s">
        <v>5518</v>
      </c>
      <c r="F1979" s="147" t="s">
        <v>5519</v>
      </c>
      <c r="G1979" s="146" t="s">
        <v>109</v>
      </c>
      <c r="H1979" s="146" t="s">
        <v>56</v>
      </c>
      <c r="I1979" s="147" t="s">
        <v>440</v>
      </c>
      <c r="J1979" s="147" t="s">
        <v>104</v>
      </c>
      <c r="K1979" s="148"/>
      <c r="L1979" s="149"/>
      <c r="M1979" s="148"/>
    </row>
    <row r="1980" spans="1:13" ht="15" customHeight="1">
      <c r="A1980" s="142" t="s">
        <v>5592</v>
      </c>
      <c r="B1980" s="142">
        <v>516116</v>
      </c>
      <c r="C1980" s="143" t="s">
        <v>5593</v>
      </c>
      <c r="D1980" s="142" t="s">
        <v>5517</v>
      </c>
      <c r="E1980" s="143" t="s">
        <v>5518</v>
      </c>
      <c r="F1980" s="143" t="s">
        <v>5594</v>
      </c>
      <c r="G1980" s="142" t="s">
        <v>109</v>
      </c>
      <c r="H1980" s="142" t="s">
        <v>56</v>
      </c>
      <c r="I1980" s="143" t="s">
        <v>440</v>
      </c>
      <c r="J1980" s="143" t="s">
        <v>104</v>
      </c>
      <c r="K1980" s="144"/>
      <c r="L1980" s="145"/>
      <c r="M1980" s="144"/>
    </row>
    <row r="1981" spans="1:13" ht="15" customHeight="1">
      <c r="A1981" s="146" t="s">
        <v>5595</v>
      </c>
      <c r="B1981" s="146">
        <v>516122</v>
      </c>
      <c r="C1981" s="147" t="s">
        <v>5596</v>
      </c>
      <c r="D1981" s="146" t="s">
        <v>5517</v>
      </c>
      <c r="E1981" s="147" t="s">
        <v>5522</v>
      </c>
      <c r="F1981" s="147" t="s">
        <v>5523</v>
      </c>
      <c r="G1981" s="146" t="s">
        <v>109</v>
      </c>
      <c r="H1981" s="146" t="s">
        <v>56</v>
      </c>
      <c r="I1981" s="147" t="s">
        <v>440</v>
      </c>
      <c r="J1981" s="147" t="s">
        <v>104</v>
      </c>
      <c r="K1981" s="148" t="s">
        <v>121</v>
      </c>
      <c r="L1981" s="149">
        <v>46153</v>
      </c>
      <c r="M1981" s="148"/>
    </row>
    <row r="1982" spans="1:13" ht="15" customHeight="1">
      <c r="A1982" s="142" t="s">
        <v>5597</v>
      </c>
      <c r="B1982" s="142">
        <v>516111</v>
      </c>
      <c r="C1982" s="143" t="s">
        <v>5598</v>
      </c>
      <c r="D1982" s="142" t="s">
        <v>5517</v>
      </c>
      <c r="E1982" s="143" t="s">
        <v>5522</v>
      </c>
      <c r="F1982" s="143" t="s">
        <v>5598</v>
      </c>
      <c r="G1982" s="142" t="s">
        <v>109</v>
      </c>
      <c r="H1982" s="142" t="s">
        <v>56</v>
      </c>
      <c r="I1982" s="143" t="s">
        <v>440</v>
      </c>
      <c r="J1982" s="143" t="s">
        <v>104</v>
      </c>
      <c r="K1982" s="144"/>
      <c r="L1982" s="145"/>
      <c r="M1982" s="144"/>
    </row>
    <row r="1983" spans="1:13" ht="15" customHeight="1">
      <c r="A1983" s="146" t="s">
        <v>5599</v>
      </c>
      <c r="B1983" s="146">
        <v>516117</v>
      </c>
      <c r="C1983" s="147" t="s">
        <v>1730</v>
      </c>
      <c r="D1983" s="146" t="s">
        <v>5517</v>
      </c>
      <c r="E1983" s="147" t="s">
        <v>998</v>
      </c>
      <c r="F1983" s="147" t="s">
        <v>1730</v>
      </c>
      <c r="G1983" s="146" t="s">
        <v>109</v>
      </c>
      <c r="H1983" s="146" t="s">
        <v>56</v>
      </c>
      <c r="I1983" s="147" t="s">
        <v>440</v>
      </c>
      <c r="J1983" s="147" t="s">
        <v>104</v>
      </c>
      <c r="K1983" s="148"/>
      <c r="L1983" s="149"/>
      <c r="M1983" s="148"/>
    </row>
    <row r="1984" spans="1:13" ht="15" customHeight="1">
      <c r="A1984" s="142" t="s">
        <v>5600</v>
      </c>
      <c r="B1984" s="142">
        <v>516100</v>
      </c>
      <c r="C1984" s="143" t="s">
        <v>5601</v>
      </c>
      <c r="D1984" s="142" t="s">
        <v>5517</v>
      </c>
      <c r="E1984" s="143" t="s">
        <v>998</v>
      </c>
      <c r="F1984" s="143" t="s">
        <v>5601</v>
      </c>
      <c r="G1984" s="142" t="s">
        <v>109</v>
      </c>
      <c r="H1984" s="142" t="s">
        <v>56</v>
      </c>
      <c r="I1984" s="143" t="s">
        <v>440</v>
      </c>
      <c r="J1984" s="143" t="s">
        <v>104</v>
      </c>
      <c r="K1984" s="144" t="s">
        <v>121</v>
      </c>
      <c r="L1984" s="145">
        <v>46153</v>
      </c>
      <c r="M1984" s="144"/>
    </row>
    <row r="1985" spans="1:13" ht="15" customHeight="1">
      <c r="A1985" s="146" t="s">
        <v>5602</v>
      </c>
      <c r="B1985" s="146">
        <v>516105</v>
      </c>
      <c r="C1985" s="147" t="s">
        <v>5603</v>
      </c>
      <c r="D1985" s="146" t="s">
        <v>5517</v>
      </c>
      <c r="E1985" s="147" t="s">
        <v>998</v>
      </c>
      <c r="F1985" s="147" t="s">
        <v>5604</v>
      </c>
      <c r="G1985" s="146" t="s">
        <v>109</v>
      </c>
      <c r="H1985" s="146" t="s">
        <v>56</v>
      </c>
      <c r="I1985" s="147" t="s">
        <v>440</v>
      </c>
      <c r="J1985" s="147" t="s">
        <v>104</v>
      </c>
      <c r="K1985" s="148"/>
      <c r="L1985" s="149"/>
      <c r="M1985" s="148"/>
    </row>
    <row r="1986" spans="1:13" ht="15" customHeight="1">
      <c r="A1986" s="142" t="s">
        <v>5605</v>
      </c>
      <c r="B1986" s="142">
        <v>516106</v>
      </c>
      <c r="C1986" s="143" t="s">
        <v>5606</v>
      </c>
      <c r="D1986" s="142" t="s">
        <v>5517</v>
      </c>
      <c r="E1986" s="143" t="s">
        <v>5518</v>
      </c>
      <c r="F1986" s="143" t="s">
        <v>5606</v>
      </c>
      <c r="G1986" s="142" t="s">
        <v>109</v>
      </c>
      <c r="H1986" s="142" t="s">
        <v>56</v>
      </c>
      <c r="I1986" s="143" t="s">
        <v>440</v>
      </c>
      <c r="J1986" s="143" t="s">
        <v>104</v>
      </c>
      <c r="K1986" s="144"/>
      <c r="L1986" s="145"/>
      <c r="M1986" s="144"/>
    </row>
    <row r="1987" spans="1:13" ht="15" customHeight="1">
      <c r="A1987" s="146" t="s">
        <v>5607</v>
      </c>
      <c r="B1987" s="146">
        <v>516104</v>
      </c>
      <c r="C1987" s="147" t="s">
        <v>5608</v>
      </c>
      <c r="D1987" s="146" t="s">
        <v>5517</v>
      </c>
      <c r="E1987" s="147" t="s">
        <v>5568</v>
      </c>
      <c r="F1987" s="147" t="s">
        <v>5608</v>
      </c>
      <c r="G1987" s="146" t="s">
        <v>109</v>
      </c>
      <c r="H1987" s="146" t="s">
        <v>56</v>
      </c>
      <c r="I1987" s="147" t="s">
        <v>440</v>
      </c>
      <c r="J1987" s="147" t="s">
        <v>104</v>
      </c>
      <c r="K1987" s="148" t="s">
        <v>121</v>
      </c>
      <c r="L1987" s="149">
        <v>46149</v>
      </c>
      <c r="M1987" s="148"/>
    </row>
    <row r="1988" spans="1:13" ht="15" customHeight="1">
      <c r="A1988" s="142" t="s">
        <v>5609</v>
      </c>
      <c r="B1988" s="142">
        <v>516090</v>
      </c>
      <c r="C1988" s="143" t="s">
        <v>5610</v>
      </c>
      <c r="D1988" s="142" t="s">
        <v>5517</v>
      </c>
      <c r="E1988" s="143" t="s">
        <v>5568</v>
      </c>
      <c r="F1988" s="143" t="s">
        <v>5610</v>
      </c>
      <c r="G1988" s="142" t="s">
        <v>109</v>
      </c>
      <c r="H1988" s="142" t="s">
        <v>56</v>
      </c>
      <c r="I1988" s="143" t="s">
        <v>440</v>
      </c>
      <c r="J1988" s="143" t="s">
        <v>104</v>
      </c>
      <c r="K1988" s="144" t="s">
        <v>121</v>
      </c>
      <c r="L1988" s="145">
        <v>46148</v>
      </c>
      <c r="M1988" s="144"/>
    </row>
    <row r="1989" spans="1:13" ht="15" customHeight="1">
      <c r="A1989" s="146" t="s">
        <v>5611</v>
      </c>
      <c r="B1989" s="146">
        <v>516103</v>
      </c>
      <c r="C1989" s="147" t="s">
        <v>5612</v>
      </c>
      <c r="D1989" s="146" t="s">
        <v>5517</v>
      </c>
      <c r="E1989" s="147" t="s">
        <v>456</v>
      </c>
      <c r="F1989" s="147" t="s">
        <v>5612</v>
      </c>
      <c r="G1989" s="146" t="s">
        <v>109</v>
      </c>
      <c r="H1989" s="146" t="s">
        <v>56</v>
      </c>
      <c r="I1989" s="147" t="s">
        <v>440</v>
      </c>
      <c r="J1989" s="147" t="s">
        <v>104</v>
      </c>
      <c r="K1989" s="148" t="s">
        <v>5613</v>
      </c>
      <c r="L1989" s="149">
        <v>46149</v>
      </c>
      <c r="M1989" s="148" t="s">
        <v>5614</v>
      </c>
    </row>
    <row r="1990" spans="1:13" ht="15" customHeight="1">
      <c r="A1990" s="142" t="s">
        <v>5615</v>
      </c>
      <c r="B1990" s="142">
        <v>516114</v>
      </c>
      <c r="C1990" s="143" t="s">
        <v>1597</v>
      </c>
      <c r="D1990" s="142" t="s">
        <v>5517</v>
      </c>
      <c r="E1990" s="143" t="s">
        <v>5616</v>
      </c>
      <c r="F1990" s="143" t="s">
        <v>1597</v>
      </c>
      <c r="G1990" s="142" t="s">
        <v>109</v>
      </c>
      <c r="H1990" s="142" t="s">
        <v>56</v>
      </c>
      <c r="I1990" s="143" t="s">
        <v>440</v>
      </c>
      <c r="J1990" s="143" t="s">
        <v>104</v>
      </c>
      <c r="K1990" s="144"/>
      <c r="L1990" s="145"/>
      <c r="M1990" s="144"/>
    </row>
    <row r="1991" spans="1:13" ht="15" customHeight="1">
      <c r="A1991" s="146" t="s">
        <v>5617</v>
      </c>
      <c r="B1991" s="146">
        <v>516083</v>
      </c>
      <c r="C1991" s="147" t="s">
        <v>5618</v>
      </c>
      <c r="D1991" s="146" t="s">
        <v>5517</v>
      </c>
      <c r="E1991" s="147" t="s">
        <v>5526</v>
      </c>
      <c r="F1991" s="147" t="s">
        <v>5618</v>
      </c>
      <c r="G1991" s="146" t="s">
        <v>109</v>
      </c>
      <c r="H1991" s="146" t="s">
        <v>56</v>
      </c>
      <c r="I1991" s="147" t="s">
        <v>440</v>
      </c>
      <c r="J1991" s="147" t="s">
        <v>104</v>
      </c>
      <c r="K1991" s="148" t="s">
        <v>121</v>
      </c>
      <c r="L1991" s="149">
        <v>46148</v>
      </c>
      <c r="M1991" s="148"/>
    </row>
    <row r="1992" spans="1:13" ht="15" customHeight="1">
      <c r="A1992" s="142" t="s">
        <v>5619</v>
      </c>
      <c r="B1992" s="142">
        <v>516112</v>
      </c>
      <c r="C1992" s="143" t="s">
        <v>5620</v>
      </c>
      <c r="D1992" s="142" t="s">
        <v>5517</v>
      </c>
      <c r="E1992" s="143" t="s">
        <v>5522</v>
      </c>
      <c r="F1992" s="143" t="s">
        <v>5621</v>
      </c>
      <c r="G1992" s="142" t="s">
        <v>109</v>
      </c>
      <c r="H1992" s="142" t="s">
        <v>56</v>
      </c>
      <c r="I1992" s="143" t="s">
        <v>440</v>
      </c>
      <c r="J1992" s="143" t="s">
        <v>104</v>
      </c>
      <c r="K1992" s="144"/>
      <c r="L1992" s="145"/>
      <c r="M1992" s="144"/>
    </row>
    <row r="1993" spans="1:13" ht="15" customHeight="1">
      <c r="A1993" s="146" t="s">
        <v>5622</v>
      </c>
      <c r="B1993" s="146">
        <v>516120</v>
      </c>
      <c r="C1993" s="147" t="s">
        <v>5623</v>
      </c>
      <c r="D1993" s="146" t="s">
        <v>5517</v>
      </c>
      <c r="E1993" s="147" t="s">
        <v>5522</v>
      </c>
      <c r="F1993" s="147" t="s">
        <v>5623</v>
      </c>
      <c r="G1993" s="146" t="s">
        <v>109</v>
      </c>
      <c r="H1993" s="146" t="s">
        <v>56</v>
      </c>
      <c r="I1993" s="147" t="s">
        <v>440</v>
      </c>
      <c r="J1993" s="147" t="s">
        <v>104</v>
      </c>
      <c r="K1993" s="148"/>
      <c r="L1993" s="149"/>
      <c r="M1993" s="148"/>
    </row>
    <row r="1994" spans="1:13" ht="15" customHeight="1">
      <c r="A1994" s="142" t="s">
        <v>5624</v>
      </c>
      <c r="B1994" s="142">
        <v>516097</v>
      </c>
      <c r="C1994" s="143" t="s">
        <v>5625</v>
      </c>
      <c r="D1994" s="142" t="s">
        <v>5517</v>
      </c>
      <c r="E1994" s="143" t="s">
        <v>5626</v>
      </c>
      <c r="F1994" s="143" t="s">
        <v>5627</v>
      </c>
      <c r="G1994" s="142" t="s">
        <v>109</v>
      </c>
      <c r="H1994" s="142" t="s">
        <v>56</v>
      </c>
      <c r="I1994" s="143" t="s">
        <v>440</v>
      </c>
      <c r="J1994" s="143" t="s">
        <v>104</v>
      </c>
      <c r="K1994" s="144"/>
      <c r="L1994" s="145"/>
      <c r="M1994" s="144"/>
    </row>
    <row r="1995" spans="1:13" ht="15" customHeight="1">
      <c r="A1995" s="146" t="s">
        <v>5628</v>
      </c>
      <c r="B1995" s="146">
        <v>516098</v>
      </c>
      <c r="C1995" s="147" t="s">
        <v>5629</v>
      </c>
      <c r="D1995" s="146" t="s">
        <v>5517</v>
      </c>
      <c r="E1995" s="147" t="s">
        <v>5630</v>
      </c>
      <c r="F1995" s="147" t="s">
        <v>5630</v>
      </c>
      <c r="G1995" s="146" t="s">
        <v>109</v>
      </c>
      <c r="H1995" s="146" t="s">
        <v>56</v>
      </c>
      <c r="I1995" s="147" t="s">
        <v>440</v>
      </c>
      <c r="J1995" s="147" t="s">
        <v>104</v>
      </c>
      <c r="K1995" s="148" t="s">
        <v>121</v>
      </c>
      <c r="L1995" s="149">
        <v>46150</v>
      </c>
      <c r="M1995" s="148"/>
    </row>
    <row r="1996" spans="1:13" ht="15" customHeight="1">
      <c r="A1996" s="142" t="s">
        <v>5631</v>
      </c>
      <c r="B1996" s="142">
        <v>516096</v>
      </c>
      <c r="C1996" s="143" t="s">
        <v>5632</v>
      </c>
      <c r="D1996" s="142" t="s">
        <v>5517</v>
      </c>
      <c r="E1996" s="143" t="s">
        <v>4751</v>
      </c>
      <c r="F1996" s="143" t="s">
        <v>4751</v>
      </c>
      <c r="G1996" s="142" t="s">
        <v>109</v>
      </c>
      <c r="H1996" s="142" t="s">
        <v>56</v>
      </c>
      <c r="I1996" s="143" t="s">
        <v>440</v>
      </c>
      <c r="J1996" s="143" t="s">
        <v>104</v>
      </c>
      <c r="K1996" s="144"/>
      <c r="L1996" s="145"/>
      <c r="M1996" s="144"/>
    </row>
    <row r="1997" spans="1:13" ht="15" customHeight="1">
      <c r="A1997" s="146" t="s">
        <v>5633</v>
      </c>
      <c r="B1997" s="146">
        <v>516088</v>
      </c>
      <c r="C1997" s="147" t="s">
        <v>5634</v>
      </c>
      <c r="D1997" s="146" t="s">
        <v>5517</v>
      </c>
      <c r="E1997" s="147" t="s">
        <v>5536</v>
      </c>
      <c r="F1997" s="147" t="s">
        <v>5537</v>
      </c>
      <c r="G1997" s="146" t="s">
        <v>109</v>
      </c>
      <c r="H1997" s="146" t="s">
        <v>56</v>
      </c>
      <c r="I1997" s="147" t="s">
        <v>440</v>
      </c>
      <c r="J1997" s="147" t="s">
        <v>104</v>
      </c>
      <c r="K1997" s="148" t="s">
        <v>121</v>
      </c>
      <c r="L1997" s="149">
        <v>46146</v>
      </c>
      <c r="M1997" s="148"/>
    </row>
    <row r="1998" spans="1:13" ht="15" customHeight="1">
      <c r="A1998" s="142" t="s">
        <v>5635</v>
      </c>
      <c r="B1998" s="142">
        <v>516094</v>
      </c>
      <c r="C1998" s="143" t="s">
        <v>5636</v>
      </c>
      <c r="D1998" s="142" t="s">
        <v>5517</v>
      </c>
      <c r="E1998" s="143" t="s">
        <v>5536</v>
      </c>
      <c r="F1998" s="143" t="s">
        <v>5636</v>
      </c>
      <c r="G1998" s="142" t="s">
        <v>109</v>
      </c>
      <c r="H1998" s="142" t="s">
        <v>56</v>
      </c>
      <c r="I1998" s="143" t="s">
        <v>440</v>
      </c>
      <c r="J1998" s="143" t="s">
        <v>104</v>
      </c>
      <c r="K1998" s="144" t="s">
        <v>121</v>
      </c>
      <c r="L1998" s="145">
        <v>46150</v>
      </c>
      <c r="M1998" s="144"/>
    </row>
    <row r="1999" spans="1:13" ht="15" customHeight="1">
      <c r="A1999" s="146" t="s">
        <v>5637</v>
      </c>
      <c r="B1999" s="146">
        <v>516093</v>
      </c>
      <c r="C1999" s="147" t="s">
        <v>5638</v>
      </c>
      <c r="D1999" s="146" t="s">
        <v>5517</v>
      </c>
      <c r="E1999" s="147" t="s">
        <v>5554</v>
      </c>
      <c r="F1999" s="147" t="s">
        <v>5638</v>
      </c>
      <c r="G1999" s="146" t="s">
        <v>109</v>
      </c>
      <c r="H1999" s="146" t="s">
        <v>56</v>
      </c>
      <c r="I1999" s="147" t="s">
        <v>440</v>
      </c>
      <c r="J1999" s="147" t="s">
        <v>104</v>
      </c>
      <c r="K1999" s="148"/>
      <c r="L1999" s="149"/>
      <c r="M1999" s="148"/>
    </row>
    <row r="2000" spans="1:13" ht="15" customHeight="1">
      <c r="A2000" s="142" t="s">
        <v>5639</v>
      </c>
      <c r="B2000" s="142">
        <v>517465</v>
      </c>
      <c r="C2000" s="143" t="s">
        <v>1123</v>
      </c>
      <c r="D2000" s="142" t="s">
        <v>5640</v>
      </c>
      <c r="E2000" s="143" t="s">
        <v>5641</v>
      </c>
      <c r="F2000" s="143" t="s">
        <v>5641</v>
      </c>
      <c r="G2000" s="142" t="s">
        <v>109</v>
      </c>
      <c r="H2000" s="142" t="s">
        <v>50</v>
      </c>
      <c r="I2000" s="143" t="s">
        <v>3449</v>
      </c>
      <c r="J2000" s="143" t="s">
        <v>104</v>
      </c>
      <c r="K2000" s="150" t="s">
        <v>5</v>
      </c>
      <c r="L2000" s="145">
        <v>46125</v>
      </c>
      <c r="M2000" s="152" t="s">
        <v>3392</v>
      </c>
    </row>
    <row r="2001" spans="1:13" ht="15" customHeight="1">
      <c r="A2001" s="146" t="s">
        <v>5642</v>
      </c>
      <c r="B2001" s="146">
        <v>516959</v>
      </c>
      <c r="C2001" s="147" t="s">
        <v>1337</v>
      </c>
      <c r="D2001" s="146" t="s">
        <v>5640</v>
      </c>
      <c r="E2001" s="147" t="s">
        <v>5643</v>
      </c>
      <c r="F2001" s="147" t="s">
        <v>5644</v>
      </c>
      <c r="G2001" s="146" t="s">
        <v>102</v>
      </c>
      <c r="H2001" s="146" t="s">
        <v>50</v>
      </c>
      <c r="I2001" s="147" t="s">
        <v>3449</v>
      </c>
      <c r="J2001" s="147" t="s">
        <v>104</v>
      </c>
      <c r="K2001" s="148" t="s">
        <v>121</v>
      </c>
      <c r="L2001" s="149">
        <v>46153</v>
      </c>
      <c r="M2001" s="148"/>
    </row>
    <row r="2002" spans="1:13" ht="15" customHeight="1">
      <c r="A2002" s="142" t="s">
        <v>5645</v>
      </c>
      <c r="B2002" s="142">
        <v>516844</v>
      </c>
      <c r="C2002" s="143" t="s">
        <v>5646</v>
      </c>
      <c r="D2002" s="142" t="s">
        <v>5640</v>
      </c>
      <c r="E2002" s="143" t="s">
        <v>5640</v>
      </c>
      <c r="F2002" s="143" t="s">
        <v>5647</v>
      </c>
      <c r="G2002" s="142" t="s">
        <v>102</v>
      </c>
      <c r="H2002" s="142" t="s">
        <v>50</v>
      </c>
      <c r="I2002" s="143" t="s">
        <v>3449</v>
      </c>
      <c r="J2002" s="143" t="s">
        <v>104</v>
      </c>
      <c r="K2002" s="144" t="s">
        <v>121</v>
      </c>
      <c r="L2002" s="145">
        <v>46136</v>
      </c>
      <c r="M2002" s="144"/>
    </row>
    <row r="2003" spans="1:13" ht="15" customHeight="1">
      <c r="A2003" s="146" t="s">
        <v>5648</v>
      </c>
      <c r="B2003" s="146">
        <v>517313</v>
      </c>
      <c r="C2003" s="147" t="s">
        <v>483</v>
      </c>
      <c r="D2003" s="146" t="s">
        <v>5640</v>
      </c>
      <c r="E2003" s="147" t="s">
        <v>5649</v>
      </c>
      <c r="F2003" s="147" t="s">
        <v>5650</v>
      </c>
      <c r="G2003" s="146" t="s">
        <v>109</v>
      </c>
      <c r="H2003" s="146" t="s">
        <v>50</v>
      </c>
      <c r="I2003" s="147" t="s">
        <v>3449</v>
      </c>
      <c r="J2003" s="147" t="s">
        <v>104</v>
      </c>
      <c r="K2003" s="148" t="s">
        <v>121</v>
      </c>
      <c r="L2003" s="149">
        <v>46139</v>
      </c>
      <c r="M2003" s="148"/>
    </row>
    <row r="2004" spans="1:13" ht="15" customHeight="1">
      <c r="A2004" s="142" t="s">
        <v>5651</v>
      </c>
      <c r="B2004" s="142">
        <v>517483</v>
      </c>
      <c r="C2004" s="143" t="s">
        <v>3415</v>
      </c>
      <c r="D2004" s="142" t="s">
        <v>5640</v>
      </c>
      <c r="E2004" s="143" t="s">
        <v>5640</v>
      </c>
      <c r="F2004" s="143" t="s">
        <v>5652</v>
      </c>
      <c r="G2004" s="142" t="s">
        <v>109</v>
      </c>
      <c r="H2004" s="142" t="s">
        <v>50</v>
      </c>
      <c r="I2004" s="143" t="s">
        <v>3449</v>
      </c>
      <c r="J2004" s="143" t="s">
        <v>104</v>
      </c>
      <c r="K2004" s="150" t="s">
        <v>5</v>
      </c>
      <c r="L2004" s="145">
        <v>46108</v>
      </c>
      <c r="M2004" s="152" t="s">
        <v>3392</v>
      </c>
    </row>
    <row r="2005" spans="1:13" ht="15" customHeight="1">
      <c r="A2005" s="146" t="s">
        <v>5653</v>
      </c>
      <c r="B2005" s="146">
        <v>516954</v>
      </c>
      <c r="C2005" s="147" t="s">
        <v>1375</v>
      </c>
      <c r="D2005" s="146" t="s">
        <v>5640</v>
      </c>
      <c r="E2005" s="147" t="s">
        <v>5654</v>
      </c>
      <c r="F2005" s="147" t="s">
        <v>5655</v>
      </c>
      <c r="G2005" s="146" t="s">
        <v>102</v>
      </c>
      <c r="H2005" s="146" t="s">
        <v>50</v>
      </c>
      <c r="I2005" s="147" t="s">
        <v>3449</v>
      </c>
      <c r="J2005" s="147" t="s">
        <v>104</v>
      </c>
      <c r="K2005" s="148"/>
      <c r="L2005" s="149"/>
      <c r="M2005" s="148"/>
    </row>
    <row r="2006" spans="1:13" ht="15" customHeight="1">
      <c r="A2006" s="142" t="s">
        <v>5656</v>
      </c>
      <c r="B2006" s="142">
        <v>517304</v>
      </c>
      <c r="C2006" s="143" t="s">
        <v>5657</v>
      </c>
      <c r="D2006" s="142" t="s">
        <v>5640</v>
      </c>
      <c r="E2006" s="143" t="s">
        <v>5658</v>
      </c>
      <c r="F2006" s="143" t="s">
        <v>5658</v>
      </c>
      <c r="G2006" s="142" t="s">
        <v>109</v>
      </c>
      <c r="H2006" s="142" t="s">
        <v>50</v>
      </c>
      <c r="I2006" s="143" t="s">
        <v>3449</v>
      </c>
      <c r="J2006" s="143" t="s">
        <v>104</v>
      </c>
      <c r="K2006" s="150" t="s">
        <v>5</v>
      </c>
      <c r="L2006" s="145">
        <v>46134</v>
      </c>
      <c r="M2006" s="152" t="s">
        <v>3392</v>
      </c>
    </row>
    <row r="2007" spans="1:13" ht="15" customHeight="1">
      <c r="A2007" s="146" t="s">
        <v>5659</v>
      </c>
      <c r="B2007" s="146">
        <v>517283</v>
      </c>
      <c r="C2007" s="147" t="s">
        <v>5660</v>
      </c>
      <c r="D2007" s="146" t="s">
        <v>5640</v>
      </c>
      <c r="E2007" s="147" t="s">
        <v>5661</v>
      </c>
      <c r="F2007" s="147" t="s">
        <v>5662</v>
      </c>
      <c r="G2007" s="146" t="s">
        <v>102</v>
      </c>
      <c r="H2007" s="146" t="s">
        <v>50</v>
      </c>
      <c r="I2007" s="147" t="s">
        <v>3449</v>
      </c>
      <c r="J2007" s="147" t="s">
        <v>104</v>
      </c>
      <c r="K2007" s="148"/>
      <c r="L2007" s="149"/>
      <c r="M2007" s="148"/>
    </row>
    <row r="2008" spans="1:13" ht="15" customHeight="1">
      <c r="A2008" s="142" t="s">
        <v>5663</v>
      </c>
      <c r="B2008" s="142">
        <v>516946</v>
      </c>
      <c r="C2008" s="143" t="s">
        <v>483</v>
      </c>
      <c r="D2008" s="142" t="s">
        <v>5640</v>
      </c>
      <c r="E2008" s="143" t="s">
        <v>5654</v>
      </c>
      <c r="F2008" s="143" t="s">
        <v>5654</v>
      </c>
      <c r="G2008" s="142" t="s">
        <v>109</v>
      </c>
      <c r="H2008" s="142" t="s">
        <v>50</v>
      </c>
      <c r="I2008" s="143" t="s">
        <v>3449</v>
      </c>
      <c r="J2008" s="143" t="s">
        <v>104</v>
      </c>
      <c r="K2008" s="144"/>
      <c r="L2008" s="145"/>
      <c r="M2008" s="144"/>
    </row>
    <row r="2009" spans="1:13" ht="15" customHeight="1">
      <c r="A2009" s="146" t="s">
        <v>5664</v>
      </c>
      <c r="B2009" s="146">
        <v>516898</v>
      </c>
      <c r="C2009" s="147" t="s">
        <v>1323</v>
      </c>
      <c r="D2009" s="146" t="s">
        <v>5640</v>
      </c>
      <c r="E2009" s="147" t="s">
        <v>5665</v>
      </c>
      <c r="F2009" s="147" t="s">
        <v>5665</v>
      </c>
      <c r="G2009" s="146" t="s">
        <v>109</v>
      </c>
      <c r="H2009" s="146" t="s">
        <v>50</v>
      </c>
      <c r="I2009" s="147" t="s">
        <v>3449</v>
      </c>
      <c r="J2009" s="147" t="s">
        <v>104</v>
      </c>
      <c r="K2009" s="148" t="s">
        <v>121</v>
      </c>
      <c r="L2009" s="149">
        <v>46150</v>
      </c>
      <c r="M2009" s="148"/>
    </row>
    <row r="2010" spans="1:13" ht="15" customHeight="1">
      <c r="A2010" s="142" t="s">
        <v>5666</v>
      </c>
      <c r="B2010" s="142">
        <v>517286</v>
      </c>
      <c r="C2010" s="143" t="s">
        <v>5667</v>
      </c>
      <c r="D2010" s="142" t="s">
        <v>5640</v>
      </c>
      <c r="E2010" s="143" t="s">
        <v>5668</v>
      </c>
      <c r="F2010" s="143" t="s">
        <v>5668</v>
      </c>
      <c r="G2010" s="142" t="s">
        <v>109</v>
      </c>
      <c r="H2010" s="142" t="s">
        <v>50</v>
      </c>
      <c r="I2010" s="143" t="s">
        <v>3449</v>
      </c>
      <c r="J2010" s="143" t="s">
        <v>104</v>
      </c>
      <c r="K2010" s="144"/>
      <c r="L2010" s="145"/>
      <c r="M2010" s="144"/>
    </row>
    <row r="2011" spans="1:13" ht="15" customHeight="1">
      <c r="A2011" s="146" t="s">
        <v>5669</v>
      </c>
      <c r="B2011" s="146">
        <v>517265</v>
      </c>
      <c r="C2011" s="147" t="s">
        <v>5670</v>
      </c>
      <c r="D2011" s="146" t="s">
        <v>5640</v>
      </c>
      <c r="E2011" s="147" t="s">
        <v>5671</v>
      </c>
      <c r="F2011" s="147" t="s">
        <v>5671</v>
      </c>
      <c r="G2011" s="146" t="s">
        <v>109</v>
      </c>
      <c r="H2011" s="146" t="s">
        <v>50</v>
      </c>
      <c r="I2011" s="147" t="s">
        <v>3449</v>
      </c>
      <c r="J2011" s="147" t="s">
        <v>104</v>
      </c>
      <c r="K2011" s="148" t="s">
        <v>162</v>
      </c>
      <c r="L2011" s="149">
        <v>46140</v>
      </c>
      <c r="M2011" s="148" t="s">
        <v>1736</v>
      </c>
    </row>
    <row r="2012" spans="1:13" ht="15" customHeight="1">
      <c r="A2012" s="142" t="s">
        <v>5672</v>
      </c>
      <c r="B2012" s="142">
        <v>517059</v>
      </c>
      <c r="C2012" s="143" t="s">
        <v>4977</v>
      </c>
      <c r="D2012" s="142" t="s">
        <v>5640</v>
      </c>
      <c r="E2012" s="143" t="s">
        <v>5673</v>
      </c>
      <c r="F2012" s="143" t="s">
        <v>5673</v>
      </c>
      <c r="G2012" s="142" t="s">
        <v>109</v>
      </c>
      <c r="H2012" s="142" t="s">
        <v>50</v>
      </c>
      <c r="I2012" s="143" t="s">
        <v>3449</v>
      </c>
      <c r="J2012" s="143" t="s">
        <v>104</v>
      </c>
      <c r="K2012" s="150" t="s">
        <v>5</v>
      </c>
      <c r="L2012" s="145">
        <v>46125</v>
      </c>
      <c r="M2012" s="152" t="s">
        <v>3392</v>
      </c>
    </row>
    <row r="2013" spans="1:13" ht="15" customHeight="1">
      <c r="A2013" s="146" t="s">
        <v>5674</v>
      </c>
      <c r="B2013" s="146">
        <v>516836</v>
      </c>
      <c r="C2013" s="147" t="s">
        <v>5675</v>
      </c>
      <c r="D2013" s="146" t="s">
        <v>5640</v>
      </c>
      <c r="E2013" s="147" t="s">
        <v>5640</v>
      </c>
      <c r="F2013" s="147" t="s">
        <v>5640</v>
      </c>
      <c r="G2013" s="146" t="s">
        <v>102</v>
      </c>
      <c r="H2013" s="146" t="s">
        <v>50</v>
      </c>
      <c r="I2013" s="147" t="s">
        <v>3449</v>
      </c>
      <c r="J2013" s="147" t="s">
        <v>104</v>
      </c>
      <c r="K2013" s="150" t="s">
        <v>5</v>
      </c>
      <c r="L2013" s="149">
        <v>46104</v>
      </c>
      <c r="M2013" s="151" t="s">
        <v>3392</v>
      </c>
    </row>
    <row r="2014" spans="1:13" ht="15" customHeight="1">
      <c r="A2014" s="142" t="s">
        <v>5676</v>
      </c>
      <c r="B2014" s="142">
        <v>516998</v>
      </c>
      <c r="C2014" s="143" t="s">
        <v>2256</v>
      </c>
      <c r="D2014" s="142" t="s">
        <v>5640</v>
      </c>
      <c r="E2014" s="143" t="s">
        <v>5640</v>
      </c>
      <c r="F2014" s="143" t="s">
        <v>5677</v>
      </c>
      <c r="G2014" s="142" t="s">
        <v>109</v>
      </c>
      <c r="H2014" s="142" t="s">
        <v>50</v>
      </c>
      <c r="I2014" s="143" t="s">
        <v>3449</v>
      </c>
      <c r="J2014" s="143" t="s">
        <v>104</v>
      </c>
      <c r="K2014" s="150" t="s">
        <v>5</v>
      </c>
      <c r="L2014" s="145">
        <v>46129</v>
      </c>
      <c r="M2014" s="152" t="s">
        <v>3392</v>
      </c>
    </row>
    <row r="2015" spans="1:13" ht="15" customHeight="1">
      <c r="A2015" s="146" t="s">
        <v>5678</v>
      </c>
      <c r="B2015" s="146">
        <v>517129</v>
      </c>
      <c r="C2015" s="147" t="s">
        <v>5679</v>
      </c>
      <c r="D2015" s="146" t="s">
        <v>5640</v>
      </c>
      <c r="E2015" s="147" t="s">
        <v>5680</v>
      </c>
      <c r="F2015" s="147" t="s">
        <v>5680</v>
      </c>
      <c r="G2015" s="146" t="s">
        <v>109</v>
      </c>
      <c r="H2015" s="146" t="s">
        <v>50</v>
      </c>
      <c r="I2015" s="147" t="s">
        <v>3449</v>
      </c>
      <c r="J2015" s="147" t="s">
        <v>104</v>
      </c>
      <c r="K2015" s="150" t="s">
        <v>5</v>
      </c>
      <c r="L2015" s="149">
        <v>46105</v>
      </c>
      <c r="M2015" s="151" t="s">
        <v>3392</v>
      </c>
    </row>
    <row r="2016" spans="1:13" ht="15" customHeight="1">
      <c r="A2016" s="142" t="s">
        <v>5681</v>
      </c>
      <c r="B2016" s="142">
        <v>517491</v>
      </c>
      <c r="C2016" s="143" t="s">
        <v>5682</v>
      </c>
      <c r="D2016" s="142" t="s">
        <v>5640</v>
      </c>
      <c r="E2016" s="143" t="s">
        <v>5683</v>
      </c>
      <c r="F2016" s="143" t="s">
        <v>5684</v>
      </c>
      <c r="G2016" s="142" t="s">
        <v>109</v>
      </c>
      <c r="H2016" s="142" t="s">
        <v>50</v>
      </c>
      <c r="I2016" s="143" t="s">
        <v>3449</v>
      </c>
      <c r="J2016" s="143" t="s">
        <v>104</v>
      </c>
      <c r="K2016" s="150" t="s">
        <v>5</v>
      </c>
      <c r="L2016" s="145">
        <v>46126</v>
      </c>
      <c r="M2016" s="152" t="s">
        <v>3392</v>
      </c>
    </row>
    <row r="2017" spans="1:13" ht="15" customHeight="1">
      <c r="A2017" s="146" t="s">
        <v>5685</v>
      </c>
      <c r="B2017" s="146">
        <v>517073</v>
      </c>
      <c r="C2017" s="147" t="s">
        <v>5686</v>
      </c>
      <c r="D2017" s="146" t="s">
        <v>5640</v>
      </c>
      <c r="E2017" s="147" t="s">
        <v>5687</v>
      </c>
      <c r="F2017" s="147" t="s">
        <v>5688</v>
      </c>
      <c r="G2017" s="146" t="s">
        <v>102</v>
      </c>
      <c r="H2017" s="146" t="s">
        <v>50</v>
      </c>
      <c r="I2017" s="147" t="s">
        <v>3449</v>
      </c>
      <c r="J2017" s="147" t="s">
        <v>104</v>
      </c>
      <c r="K2017" s="150" t="s">
        <v>5</v>
      </c>
      <c r="L2017" s="149">
        <v>46126</v>
      </c>
      <c r="M2017" s="151" t="s">
        <v>3392</v>
      </c>
    </row>
    <row r="2018" spans="1:13" ht="15" customHeight="1">
      <c r="A2018" s="142" t="s">
        <v>5689</v>
      </c>
      <c r="B2018" s="142">
        <v>517632</v>
      </c>
      <c r="C2018" s="143" t="s">
        <v>5690</v>
      </c>
      <c r="D2018" s="142" t="s">
        <v>5640</v>
      </c>
      <c r="E2018" s="143" t="s">
        <v>5691</v>
      </c>
      <c r="F2018" s="143" t="s">
        <v>5691</v>
      </c>
      <c r="G2018" s="142" t="s">
        <v>109</v>
      </c>
      <c r="H2018" s="142" t="s">
        <v>50</v>
      </c>
      <c r="I2018" s="143" t="s">
        <v>3449</v>
      </c>
      <c r="J2018" s="143" t="s">
        <v>104</v>
      </c>
      <c r="K2018" s="150" t="s">
        <v>5</v>
      </c>
      <c r="L2018" s="145">
        <v>46133</v>
      </c>
      <c r="M2018" s="152" t="s">
        <v>3392</v>
      </c>
    </row>
    <row r="2019" spans="1:13" ht="15" customHeight="1">
      <c r="A2019" s="146" t="s">
        <v>5692</v>
      </c>
      <c r="B2019" s="146">
        <v>517037</v>
      </c>
      <c r="C2019" s="147" t="s">
        <v>5693</v>
      </c>
      <c r="D2019" s="146" t="s">
        <v>5640</v>
      </c>
      <c r="E2019" s="147" t="s">
        <v>5694</v>
      </c>
      <c r="F2019" s="147" t="s">
        <v>5695</v>
      </c>
      <c r="G2019" s="146" t="s">
        <v>109</v>
      </c>
      <c r="H2019" s="146" t="s">
        <v>50</v>
      </c>
      <c r="I2019" s="147" t="s">
        <v>3449</v>
      </c>
      <c r="J2019" s="147" t="s">
        <v>104</v>
      </c>
      <c r="K2019" s="148" t="s">
        <v>121</v>
      </c>
      <c r="L2019" s="149">
        <v>46148</v>
      </c>
      <c r="M2019" s="148"/>
    </row>
    <row r="2020" spans="1:13" ht="15" customHeight="1">
      <c r="A2020" s="142" t="s">
        <v>5696</v>
      </c>
      <c r="B2020" s="142">
        <v>516895</v>
      </c>
      <c r="C2020" s="143" t="s">
        <v>5697</v>
      </c>
      <c r="D2020" s="142" t="s">
        <v>5640</v>
      </c>
      <c r="E2020" s="143" t="s">
        <v>5698</v>
      </c>
      <c r="F2020" s="143" t="s">
        <v>1440</v>
      </c>
      <c r="G2020" s="142" t="s">
        <v>109</v>
      </c>
      <c r="H2020" s="142" t="s">
        <v>50</v>
      </c>
      <c r="I2020" s="143" t="s">
        <v>3449</v>
      </c>
      <c r="J2020" s="143" t="s">
        <v>104</v>
      </c>
      <c r="K2020" s="144" t="s">
        <v>121</v>
      </c>
      <c r="L2020" s="145">
        <v>46142</v>
      </c>
      <c r="M2020" s="144"/>
    </row>
    <row r="2021" spans="1:13" ht="15" customHeight="1">
      <c r="A2021" s="146" t="s">
        <v>5699</v>
      </c>
      <c r="B2021" s="146">
        <v>517061</v>
      </c>
      <c r="C2021" s="147" t="s">
        <v>4691</v>
      </c>
      <c r="D2021" s="146" t="s">
        <v>5640</v>
      </c>
      <c r="E2021" s="147" t="s">
        <v>5700</v>
      </c>
      <c r="F2021" s="147" t="s">
        <v>5701</v>
      </c>
      <c r="G2021" s="146" t="s">
        <v>109</v>
      </c>
      <c r="H2021" s="146" t="s">
        <v>50</v>
      </c>
      <c r="I2021" s="147" t="s">
        <v>3449</v>
      </c>
      <c r="J2021" s="147" t="s">
        <v>104</v>
      </c>
      <c r="K2021" s="150" t="s">
        <v>5</v>
      </c>
      <c r="L2021" s="149">
        <v>46134</v>
      </c>
      <c r="M2021" s="151" t="s">
        <v>3392</v>
      </c>
    </row>
    <row r="2022" spans="1:13" ht="15" customHeight="1">
      <c r="A2022" s="142" t="s">
        <v>5702</v>
      </c>
      <c r="B2022" s="142">
        <v>517039</v>
      </c>
      <c r="C2022" s="143" t="s">
        <v>483</v>
      </c>
      <c r="D2022" s="142" t="s">
        <v>5640</v>
      </c>
      <c r="E2022" s="143" t="s">
        <v>5703</v>
      </c>
      <c r="F2022" s="143" t="s">
        <v>5703</v>
      </c>
      <c r="G2022" s="142" t="s">
        <v>109</v>
      </c>
      <c r="H2022" s="142" t="s">
        <v>50</v>
      </c>
      <c r="I2022" s="143" t="s">
        <v>3449</v>
      </c>
      <c r="J2022" s="143" t="s">
        <v>104</v>
      </c>
      <c r="K2022" s="144" t="s">
        <v>121</v>
      </c>
      <c r="L2022" s="145">
        <v>46147</v>
      </c>
      <c r="M2022" s="144"/>
    </row>
    <row r="2023" spans="1:13" ht="15" customHeight="1">
      <c r="A2023" s="146" t="s">
        <v>5704</v>
      </c>
      <c r="B2023" s="146">
        <v>517296</v>
      </c>
      <c r="C2023" s="147" t="s">
        <v>5705</v>
      </c>
      <c r="D2023" s="146" t="s">
        <v>5640</v>
      </c>
      <c r="E2023" s="147" t="s">
        <v>5698</v>
      </c>
      <c r="F2023" s="147" t="s">
        <v>5706</v>
      </c>
      <c r="G2023" s="146" t="s">
        <v>102</v>
      </c>
      <c r="H2023" s="146" t="s">
        <v>50</v>
      </c>
      <c r="I2023" s="147" t="s">
        <v>3449</v>
      </c>
      <c r="J2023" s="147" t="s">
        <v>104</v>
      </c>
      <c r="K2023" s="150" t="s">
        <v>5</v>
      </c>
      <c r="L2023" s="149">
        <v>46106</v>
      </c>
      <c r="M2023" s="151" t="s">
        <v>3392</v>
      </c>
    </row>
    <row r="2024" spans="1:13" ht="15" customHeight="1">
      <c r="A2024" s="142" t="s">
        <v>5707</v>
      </c>
      <c r="B2024" s="142">
        <v>517303</v>
      </c>
      <c r="C2024" s="143" t="s">
        <v>4969</v>
      </c>
      <c r="D2024" s="142" t="s">
        <v>5640</v>
      </c>
      <c r="E2024" s="143" t="s">
        <v>5691</v>
      </c>
      <c r="F2024" s="143" t="s">
        <v>5708</v>
      </c>
      <c r="G2024" s="142" t="s">
        <v>109</v>
      </c>
      <c r="H2024" s="142" t="s">
        <v>50</v>
      </c>
      <c r="I2024" s="143" t="s">
        <v>3449</v>
      </c>
      <c r="J2024" s="143" t="s">
        <v>104</v>
      </c>
      <c r="K2024" s="150" t="s">
        <v>5</v>
      </c>
      <c r="L2024" s="145">
        <v>46128</v>
      </c>
      <c r="M2024" s="152" t="s">
        <v>3392</v>
      </c>
    </row>
    <row r="2025" spans="1:13" ht="15" customHeight="1">
      <c r="A2025" s="146" t="s">
        <v>5709</v>
      </c>
      <c r="B2025" s="146">
        <v>517394</v>
      </c>
      <c r="C2025" s="147" t="s">
        <v>483</v>
      </c>
      <c r="D2025" s="146" t="s">
        <v>5640</v>
      </c>
      <c r="E2025" s="147" t="s">
        <v>5710</v>
      </c>
      <c r="F2025" s="147" t="s">
        <v>5711</v>
      </c>
      <c r="G2025" s="146" t="s">
        <v>109</v>
      </c>
      <c r="H2025" s="146" t="s">
        <v>50</v>
      </c>
      <c r="I2025" s="147" t="s">
        <v>3449</v>
      </c>
      <c r="J2025" s="147" t="s">
        <v>104</v>
      </c>
      <c r="K2025" s="148" t="s">
        <v>121</v>
      </c>
      <c r="L2025" s="149">
        <v>46142</v>
      </c>
      <c r="M2025" s="148"/>
    </row>
    <row r="2026" spans="1:13" ht="15" customHeight="1">
      <c r="A2026" s="142" t="s">
        <v>5712</v>
      </c>
      <c r="B2026" s="142">
        <v>517034</v>
      </c>
      <c r="C2026" s="143" t="s">
        <v>694</v>
      </c>
      <c r="D2026" s="142" t="s">
        <v>5640</v>
      </c>
      <c r="E2026" s="143" t="s">
        <v>5713</v>
      </c>
      <c r="F2026" s="143" t="s">
        <v>5714</v>
      </c>
      <c r="G2026" s="142" t="s">
        <v>102</v>
      </c>
      <c r="H2026" s="142" t="s">
        <v>50</v>
      </c>
      <c r="I2026" s="143" t="s">
        <v>3449</v>
      </c>
      <c r="J2026" s="143" t="s">
        <v>104</v>
      </c>
      <c r="K2026" s="144" t="s">
        <v>121</v>
      </c>
      <c r="L2026" s="145">
        <v>46146</v>
      </c>
      <c r="M2026" s="144"/>
    </row>
    <row r="2027" spans="1:13" ht="15" customHeight="1">
      <c r="A2027" s="146" t="s">
        <v>5715</v>
      </c>
      <c r="B2027" s="146">
        <v>516865</v>
      </c>
      <c r="C2027" s="147" t="s">
        <v>5716</v>
      </c>
      <c r="D2027" s="146" t="s">
        <v>5640</v>
      </c>
      <c r="E2027" s="147" t="s">
        <v>5717</v>
      </c>
      <c r="F2027" s="147" t="s">
        <v>5717</v>
      </c>
      <c r="G2027" s="146" t="s">
        <v>102</v>
      </c>
      <c r="H2027" s="146" t="s">
        <v>50</v>
      </c>
      <c r="I2027" s="147" t="s">
        <v>3449</v>
      </c>
      <c r="J2027" s="147" t="s">
        <v>104</v>
      </c>
      <c r="K2027" s="150" t="s">
        <v>5</v>
      </c>
      <c r="L2027" s="149">
        <v>46129</v>
      </c>
      <c r="M2027" s="151" t="s">
        <v>3392</v>
      </c>
    </row>
    <row r="2028" spans="1:13" ht="15" customHeight="1">
      <c r="A2028" s="142" t="s">
        <v>5718</v>
      </c>
      <c r="B2028" s="142">
        <v>517269</v>
      </c>
      <c r="C2028" s="143" t="s">
        <v>1323</v>
      </c>
      <c r="D2028" s="142" t="s">
        <v>5640</v>
      </c>
      <c r="E2028" s="143" t="s">
        <v>5719</v>
      </c>
      <c r="F2028" s="143" t="s">
        <v>5719</v>
      </c>
      <c r="G2028" s="142" t="s">
        <v>109</v>
      </c>
      <c r="H2028" s="142" t="s">
        <v>50</v>
      </c>
      <c r="I2028" s="143" t="s">
        <v>3449</v>
      </c>
      <c r="J2028" s="143" t="s">
        <v>104</v>
      </c>
      <c r="K2028" s="144" t="s">
        <v>121</v>
      </c>
      <c r="L2028" s="145">
        <v>46136</v>
      </c>
      <c r="M2028" s="144"/>
    </row>
    <row r="2029" spans="1:13" ht="15" customHeight="1">
      <c r="A2029" s="146" t="s">
        <v>5720</v>
      </c>
      <c r="B2029" s="146">
        <v>516872</v>
      </c>
      <c r="C2029" s="147" t="s">
        <v>5721</v>
      </c>
      <c r="D2029" s="146" t="s">
        <v>5640</v>
      </c>
      <c r="E2029" s="147" t="s">
        <v>5640</v>
      </c>
      <c r="F2029" s="147" t="s">
        <v>5647</v>
      </c>
      <c r="G2029" s="146" t="s">
        <v>102</v>
      </c>
      <c r="H2029" s="146" t="s">
        <v>50</v>
      </c>
      <c r="I2029" s="147" t="s">
        <v>3449</v>
      </c>
      <c r="J2029" s="147" t="s">
        <v>104</v>
      </c>
      <c r="K2029" s="150" t="s">
        <v>5</v>
      </c>
      <c r="L2029" s="149">
        <v>46104</v>
      </c>
      <c r="M2029" s="151" t="s">
        <v>3392</v>
      </c>
    </row>
    <row r="2030" spans="1:13" ht="15" customHeight="1">
      <c r="A2030" s="142" t="s">
        <v>5722</v>
      </c>
      <c r="B2030" s="142">
        <v>516900</v>
      </c>
      <c r="C2030" s="143" t="s">
        <v>3381</v>
      </c>
      <c r="D2030" s="142" t="s">
        <v>5640</v>
      </c>
      <c r="E2030" s="143" t="s">
        <v>5723</v>
      </c>
      <c r="F2030" s="143" t="s">
        <v>5724</v>
      </c>
      <c r="G2030" s="142" t="s">
        <v>109</v>
      </c>
      <c r="H2030" s="142" t="s">
        <v>50</v>
      </c>
      <c r="I2030" s="143" t="s">
        <v>3449</v>
      </c>
      <c r="J2030" s="143" t="s">
        <v>104</v>
      </c>
      <c r="K2030" s="150" t="s">
        <v>5</v>
      </c>
      <c r="L2030" s="145">
        <v>46107</v>
      </c>
      <c r="M2030" s="152" t="s">
        <v>3392</v>
      </c>
    </row>
    <row r="2031" spans="1:13" ht="15" customHeight="1">
      <c r="A2031" s="146" t="s">
        <v>5725</v>
      </c>
      <c r="B2031" s="146">
        <v>517002</v>
      </c>
      <c r="C2031" s="147" t="s">
        <v>1337</v>
      </c>
      <c r="D2031" s="146" t="s">
        <v>5640</v>
      </c>
      <c r="E2031" s="147" t="s">
        <v>5640</v>
      </c>
      <c r="F2031" s="147" t="s">
        <v>5726</v>
      </c>
      <c r="G2031" s="146" t="s">
        <v>102</v>
      </c>
      <c r="H2031" s="146" t="s">
        <v>50</v>
      </c>
      <c r="I2031" s="147" t="s">
        <v>3449</v>
      </c>
      <c r="J2031" s="147" t="s">
        <v>104</v>
      </c>
      <c r="K2031" s="150" t="s">
        <v>5</v>
      </c>
      <c r="L2031" s="149">
        <v>46129</v>
      </c>
      <c r="M2031" s="151" t="s">
        <v>3392</v>
      </c>
    </row>
    <row r="2032" spans="1:13" ht="15" customHeight="1">
      <c r="A2032" s="142" t="s">
        <v>5727</v>
      </c>
      <c r="B2032" s="142">
        <v>517095</v>
      </c>
      <c r="C2032" s="143" t="s">
        <v>5728</v>
      </c>
      <c r="D2032" s="142" t="s">
        <v>5640</v>
      </c>
      <c r="E2032" s="143" t="s">
        <v>5729</v>
      </c>
      <c r="F2032" s="143" t="s">
        <v>5729</v>
      </c>
      <c r="G2032" s="142" t="s">
        <v>102</v>
      </c>
      <c r="H2032" s="142" t="s">
        <v>50</v>
      </c>
      <c r="I2032" s="143" t="s">
        <v>3449</v>
      </c>
      <c r="J2032" s="143" t="s">
        <v>104</v>
      </c>
      <c r="K2032" s="144" t="s">
        <v>121</v>
      </c>
      <c r="L2032" s="145">
        <v>46143</v>
      </c>
      <c r="M2032" s="144"/>
    </row>
    <row r="2033" spans="1:13" ht="15" customHeight="1">
      <c r="A2033" s="146" t="s">
        <v>5730</v>
      </c>
      <c r="B2033" s="146">
        <v>517277</v>
      </c>
      <c r="C2033" s="147" t="s">
        <v>4568</v>
      </c>
      <c r="D2033" s="146" t="s">
        <v>5640</v>
      </c>
      <c r="E2033" s="147" t="s">
        <v>5731</v>
      </c>
      <c r="F2033" s="147" t="s">
        <v>5732</v>
      </c>
      <c r="G2033" s="146" t="s">
        <v>109</v>
      </c>
      <c r="H2033" s="146" t="s">
        <v>50</v>
      </c>
      <c r="I2033" s="147" t="s">
        <v>3449</v>
      </c>
      <c r="J2033" s="147" t="s">
        <v>104</v>
      </c>
      <c r="K2033" s="148" t="s">
        <v>121</v>
      </c>
      <c r="L2033" s="149">
        <v>46153</v>
      </c>
      <c r="M2033" s="148"/>
    </row>
    <row r="2034" spans="1:13" ht="15" customHeight="1">
      <c r="A2034" s="142" t="s">
        <v>5733</v>
      </c>
      <c r="B2034" s="142">
        <v>517022</v>
      </c>
      <c r="C2034" s="143" t="s">
        <v>5734</v>
      </c>
      <c r="D2034" s="142" t="s">
        <v>5640</v>
      </c>
      <c r="E2034" s="143" t="s">
        <v>5735</v>
      </c>
      <c r="F2034" s="143" t="s">
        <v>1123</v>
      </c>
      <c r="G2034" s="142" t="s">
        <v>109</v>
      </c>
      <c r="H2034" s="142" t="s">
        <v>50</v>
      </c>
      <c r="I2034" s="143" t="s">
        <v>3449</v>
      </c>
      <c r="J2034" s="143" t="s">
        <v>104</v>
      </c>
      <c r="K2034" s="144" t="s">
        <v>121</v>
      </c>
      <c r="L2034" s="145">
        <v>46140</v>
      </c>
      <c r="M2034" s="144"/>
    </row>
    <row r="2035" spans="1:13" ht="15" customHeight="1">
      <c r="A2035" s="146" t="s">
        <v>5736</v>
      </c>
      <c r="B2035" s="146">
        <v>517440</v>
      </c>
      <c r="C2035" s="147" t="s">
        <v>5737</v>
      </c>
      <c r="D2035" s="146" t="s">
        <v>5640</v>
      </c>
      <c r="E2035" s="147" t="s">
        <v>5738</v>
      </c>
      <c r="F2035" s="147" t="s">
        <v>5738</v>
      </c>
      <c r="G2035" s="146" t="s">
        <v>109</v>
      </c>
      <c r="H2035" s="146" t="s">
        <v>50</v>
      </c>
      <c r="I2035" s="147" t="s">
        <v>3449</v>
      </c>
      <c r="J2035" s="147" t="s">
        <v>104</v>
      </c>
      <c r="K2035" s="148" t="s">
        <v>121</v>
      </c>
      <c r="L2035" s="149">
        <v>46141</v>
      </c>
      <c r="M2035" s="148"/>
    </row>
    <row r="2036" spans="1:13" ht="15" customHeight="1">
      <c r="A2036" s="142" t="s">
        <v>5739</v>
      </c>
      <c r="B2036" s="142">
        <v>517401</v>
      </c>
      <c r="C2036" s="143" t="s">
        <v>1354</v>
      </c>
      <c r="D2036" s="142" t="s">
        <v>5640</v>
      </c>
      <c r="E2036" s="143" t="s">
        <v>5710</v>
      </c>
      <c r="F2036" s="143" t="s">
        <v>5740</v>
      </c>
      <c r="G2036" s="142" t="s">
        <v>109</v>
      </c>
      <c r="H2036" s="142" t="s">
        <v>50</v>
      </c>
      <c r="I2036" s="143" t="s">
        <v>3449</v>
      </c>
      <c r="J2036" s="143" t="s">
        <v>104</v>
      </c>
      <c r="K2036" s="144" t="s">
        <v>121</v>
      </c>
      <c r="L2036" s="145">
        <v>46147</v>
      </c>
      <c r="M2036" s="144"/>
    </row>
    <row r="2037" spans="1:13" ht="15" customHeight="1">
      <c r="A2037" s="146" t="s">
        <v>5741</v>
      </c>
      <c r="B2037" s="146">
        <v>517425</v>
      </c>
      <c r="C2037" s="147" t="s">
        <v>254</v>
      </c>
      <c r="D2037" s="146" t="s">
        <v>5640</v>
      </c>
      <c r="E2037" s="147" t="s">
        <v>5742</v>
      </c>
      <c r="F2037" s="147" t="s">
        <v>5742</v>
      </c>
      <c r="G2037" s="146" t="s">
        <v>102</v>
      </c>
      <c r="H2037" s="146" t="s">
        <v>50</v>
      </c>
      <c r="I2037" s="147" t="s">
        <v>3449</v>
      </c>
      <c r="J2037" s="147" t="s">
        <v>104</v>
      </c>
      <c r="K2037" s="150" t="s">
        <v>5</v>
      </c>
      <c r="L2037" s="149">
        <v>46128</v>
      </c>
      <c r="M2037" s="151" t="s">
        <v>3392</v>
      </c>
    </row>
    <row r="2038" spans="1:13" ht="15" customHeight="1">
      <c r="A2038" s="142" t="s">
        <v>5743</v>
      </c>
      <c r="B2038" s="142">
        <v>518122</v>
      </c>
      <c r="C2038" s="143" t="s">
        <v>1323</v>
      </c>
      <c r="D2038" s="142" t="s">
        <v>5640</v>
      </c>
      <c r="E2038" s="143" t="s">
        <v>5710</v>
      </c>
      <c r="F2038" s="143" t="s">
        <v>5744</v>
      </c>
      <c r="G2038" s="142" t="s">
        <v>109</v>
      </c>
      <c r="H2038" s="142" t="s">
        <v>50</v>
      </c>
      <c r="I2038" s="143" t="s">
        <v>3449</v>
      </c>
      <c r="J2038" s="143" t="s">
        <v>104</v>
      </c>
      <c r="K2038" s="144" t="s">
        <v>121</v>
      </c>
      <c r="L2038" s="145">
        <v>46141</v>
      </c>
      <c r="M2038" s="144"/>
    </row>
    <row r="2039" spans="1:13" ht="15" customHeight="1">
      <c r="A2039" s="146" t="s">
        <v>5745</v>
      </c>
      <c r="B2039" s="146">
        <v>517627</v>
      </c>
      <c r="C2039" s="147" t="s">
        <v>483</v>
      </c>
      <c r="D2039" s="146" t="s">
        <v>5640</v>
      </c>
      <c r="E2039" s="147" t="s">
        <v>5746</v>
      </c>
      <c r="F2039" s="147" t="s">
        <v>5747</v>
      </c>
      <c r="G2039" s="146" t="s">
        <v>109</v>
      </c>
      <c r="H2039" s="146" t="s">
        <v>50</v>
      </c>
      <c r="I2039" s="147" t="s">
        <v>3449</v>
      </c>
      <c r="J2039" s="147" t="s">
        <v>104</v>
      </c>
      <c r="K2039" s="148" t="s">
        <v>121</v>
      </c>
      <c r="L2039" s="149">
        <v>46142</v>
      </c>
      <c r="M2039" s="148"/>
    </row>
    <row r="2040" spans="1:13" ht="15" customHeight="1">
      <c r="A2040" s="142" t="s">
        <v>5748</v>
      </c>
      <c r="B2040" s="142">
        <v>516897</v>
      </c>
      <c r="C2040" s="143" t="s">
        <v>1002</v>
      </c>
      <c r="D2040" s="142" t="s">
        <v>5640</v>
      </c>
      <c r="E2040" s="143" t="s">
        <v>5698</v>
      </c>
      <c r="F2040" s="143" t="s">
        <v>5749</v>
      </c>
      <c r="G2040" s="142" t="s">
        <v>109</v>
      </c>
      <c r="H2040" s="142" t="s">
        <v>50</v>
      </c>
      <c r="I2040" s="143" t="s">
        <v>3449</v>
      </c>
      <c r="J2040" s="143" t="s">
        <v>104</v>
      </c>
      <c r="K2040" s="150" t="s">
        <v>5</v>
      </c>
      <c r="L2040" s="145">
        <v>46106</v>
      </c>
      <c r="M2040" s="152" t="s">
        <v>3392</v>
      </c>
    </row>
    <row r="2041" spans="1:13" ht="15" customHeight="1">
      <c r="A2041" s="146" t="s">
        <v>5750</v>
      </c>
      <c r="B2041" s="146">
        <v>517291</v>
      </c>
      <c r="C2041" s="147" t="s">
        <v>5751</v>
      </c>
      <c r="D2041" s="146" t="s">
        <v>5640</v>
      </c>
      <c r="E2041" s="147" t="s">
        <v>5742</v>
      </c>
      <c r="F2041" s="147" t="s">
        <v>5751</v>
      </c>
      <c r="G2041" s="146" t="s">
        <v>109</v>
      </c>
      <c r="H2041" s="146" t="s">
        <v>50</v>
      </c>
      <c r="I2041" s="147" t="s">
        <v>3449</v>
      </c>
      <c r="J2041" s="147" t="s">
        <v>104</v>
      </c>
      <c r="K2041" s="153" t="s">
        <v>9</v>
      </c>
      <c r="L2041" s="149">
        <v>46128</v>
      </c>
      <c r="M2041" s="151" t="s">
        <v>3392</v>
      </c>
    </row>
    <row r="2042" spans="1:13" ht="15" customHeight="1">
      <c r="A2042" s="142" t="s">
        <v>5752</v>
      </c>
      <c r="B2042" s="142">
        <v>517292</v>
      </c>
      <c r="C2042" s="143" t="s">
        <v>5753</v>
      </c>
      <c r="D2042" s="142" t="s">
        <v>5640</v>
      </c>
      <c r="E2042" s="143" t="s">
        <v>5754</v>
      </c>
      <c r="F2042" s="143" t="s">
        <v>5755</v>
      </c>
      <c r="G2042" s="142" t="s">
        <v>109</v>
      </c>
      <c r="H2042" s="142" t="s">
        <v>50</v>
      </c>
      <c r="I2042" s="143" t="s">
        <v>3449</v>
      </c>
      <c r="J2042" s="143" t="s">
        <v>104</v>
      </c>
      <c r="K2042" s="144" t="s">
        <v>121</v>
      </c>
      <c r="L2042" s="145">
        <v>46140</v>
      </c>
      <c r="M2042" s="144"/>
    </row>
    <row r="2043" spans="1:13" ht="15" customHeight="1">
      <c r="A2043" s="146" t="s">
        <v>5756</v>
      </c>
      <c r="B2043" s="146">
        <v>517801</v>
      </c>
      <c r="C2043" s="147" t="s">
        <v>3384</v>
      </c>
      <c r="D2043" s="146" t="s">
        <v>5640</v>
      </c>
      <c r="E2043" s="147" t="s">
        <v>5757</v>
      </c>
      <c r="F2043" s="147" t="s">
        <v>5758</v>
      </c>
      <c r="G2043" s="146" t="s">
        <v>109</v>
      </c>
      <c r="H2043" s="146" t="s">
        <v>50</v>
      </c>
      <c r="I2043" s="147" t="s">
        <v>3449</v>
      </c>
      <c r="J2043" s="147" t="s">
        <v>104</v>
      </c>
      <c r="K2043" s="148"/>
      <c r="L2043" s="149"/>
      <c r="M2043" s="148"/>
    </row>
    <row r="2044" spans="1:13" ht="15" customHeight="1">
      <c r="A2044" s="142" t="s">
        <v>5759</v>
      </c>
      <c r="B2044" s="142">
        <v>517512</v>
      </c>
      <c r="C2044" s="143" t="s">
        <v>5760</v>
      </c>
      <c r="D2044" s="142" t="s">
        <v>5640</v>
      </c>
      <c r="E2044" s="143" t="s">
        <v>5761</v>
      </c>
      <c r="F2044" s="143" t="s">
        <v>5762</v>
      </c>
      <c r="G2044" s="142" t="s">
        <v>109</v>
      </c>
      <c r="H2044" s="142" t="s">
        <v>50</v>
      </c>
      <c r="I2044" s="143" t="s">
        <v>3449</v>
      </c>
      <c r="J2044" s="143" t="s">
        <v>104</v>
      </c>
      <c r="K2044" s="144" t="s">
        <v>121</v>
      </c>
      <c r="L2044" s="145">
        <v>46148</v>
      </c>
      <c r="M2044" s="144"/>
    </row>
    <row r="2045" spans="1:13" ht="15" customHeight="1">
      <c r="A2045" s="146" t="s">
        <v>5763</v>
      </c>
      <c r="B2045" s="146">
        <v>517358</v>
      </c>
      <c r="C2045" s="147" t="s">
        <v>3443</v>
      </c>
      <c r="D2045" s="146" t="s">
        <v>5640</v>
      </c>
      <c r="E2045" s="147" t="s">
        <v>5764</v>
      </c>
      <c r="F2045" s="147" t="s">
        <v>5765</v>
      </c>
      <c r="G2045" s="146" t="s">
        <v>109</v>
      </c>
      <c r="H2045" s="146" t="s">
        <v>50</v>
      </c>
      <c r="I2045" s="147" t="s">
        <v>3449</v>
      </c>
      <c r="J2045" s="147" t="s">
        <v>104</v>
      </c>
      <c r="K2045" s="148" t="s">
        <v>121</v>
      </c>
      <c r="L2045" s="149">
        <v>46142</v>
      </c>
      <c r="M2045" s="148"/>
    </row>
    <row r="2046" spans="1:13" ht="15" customHeight="1">
      <c r="A2046" s="142" t="s">
        <v>5766</v>
      </c>
      <c r="B2046" s="142">
        <v>516876</v>
      </c>
      <c r="C2046" s="143" t="s">
        <v>483</v>
      </c>
      <c r="D2046" s="142" t="s">
        <v>5640</v>
      </c>
      <c r="E2046" s="143" t="s">
        <v>5640</v>
      </c>
      <c r="F2046" s="143" t="s">
        <v>5640</v>
      </c>
      <c r="G2046" s="142" t="s">
        <v>102</v>
      </c>
      <c r="H2046" s="142" t="s">
        <v>50</v>
      </c>
      <c r="I2046" s="143" t="s">
        <v>3449</v>
      </c>
      <c r="J2046" s="143" t="s">
        <v>104</v>
      </c>
      <c r="K2046" s="150" t="s">
        <v>5</v>
      </c>
      <c r="L2046" s="145">
        <v>46125</v>
      </c>
      <c r="M2046" s="152" t="s">
        <v>3392</v>
      </c>
    </row>
    <row r="2047" spans="1:13" ht="15" customHeight="1">
      <c r="A2047" s="146" t="s">
        <v>5767</v>
      </c>
      <c r="B2047" s="146">
        <v>517408</v>
      </c>
      <c r="C2047" s="147" t="s">
        <v>5555</v>
      </c>
      <c r="D2047" s="146" t="s">
        <v>5640</v>
      </c>
      <c r="E2047" s="147" t="s">
        <v>5543</v>
      </c>
      <c r="F2047" s="147" t="s">
        <v>5768</v>
      </c>
      <c r="G2047" s="146" t="s">
        <v>109</v>
      </c>
      <c r="H2047" s="146" t="s">
        <v>50</v>
      </c>
      <c r="I2047" s="147" t="s">
        <v>3449</v>
      </c>
      <c r="J2047" s="147" t="s">
        <v>104</v>
      </c>
      <c r="K2047" s="148" t="s">
        <v>162</v>
      </c>
      <c r="L2047" s="149">
        <v>46142</v>
      </c>
      <c r="M2047" s="148"/>
    </row>
    <row r="2048" spans="1:13" ht="15" customHeight="1">
      <c r="A2048" s="142" t="s">
        <v>5769</v>
      </c>
      <c r="B2048" s="142">
        <v>517845</v>
      </c>
      <c r="C2048" s="143" t="s">
        <v>2256</v>
      </c>
      <c r="D2048" s="142" t="s">
        <v>5640</v>
      </c>
      <c r="E2048" s="143" t="s">
        <v>5770</v>
      </c>
      <c r="F2048" s="143" t="s">
        <v>5771</v>
      </c>
      <c r="G2048" s="142" t="s">
        <v>109</v>
      </c>
      <c r="H2048" s="142" t="s">
        <v>50</v>
      </c>
      <c r="I2048" s="143" t="s">
        <v>3449</v>
      </c>
      <c r="J2048" s="143" t="s">
        <v>104</v>
      </c>
      <c r="K2048" s="150" t="s">
        <v>5</v>
      </c>
      <c r="L2048" s="145">
        <v>46133</v>
      </c>
      <c r="M2048" s="152" t="s">
        <v>3392</v>
      </c>
    </row>
    <row r="2049" spans="1:13" ht="15" customHeight="1">
      <c r="A2049" s="146" t="s">
        <v>5772</v>
      </c>
      <c r="B2049" s="146">
        <v>517196</v>
      </c>
      <c r="C2049" s="147" t="s">
        <v>2265</v>
      </c>
      <c r="D2049" s="146" t="s">
        <v>5640</v>
      </c>
      <c r="E2049" s="147" t="s">
        <v>5773</v>
      </c>
      <c r="F2049" s="147" t="s">
        <v>5774</v>
      </c>
      <c r="G2049" s="146" t="s">
        <v>109</v>
      </c>
      <c r="H2049" s="146" t="s">
        <v>50</v>
      </c>
      <c r="I2049" s="147" t="s">
        <v>3449</v>
      </c>
      <c r="J2049" s="147" t="s">
        <v>104</v>
      </c>
      <c r="K2049" s="150" t="s">
        <v>5</v>
      </c>
      <c r="L2049" s="149">
        <v>46129</v>
      </c>
      <c r="M2049" s="151" t="s">
        <v>3392</v>
      </c>
    </row>
    <row r="2050" spans="1:13" ht="15" customHeight="1">
      <c r="A2050" s="142" t="s">
        <v>5775</v>
      </c>
      <c r="B2050" s="142">
        <v>516830</v>
      </c>
      <c r="C2050" s="143" t="s">
        <v>3443</v>
      </c>
      <c r="D2050" s="142" t="s">
        <v>5640</v>
      </c>
      <c r="E2050" s="143" t="s">
        <v>5640</v>
      </c>
      <c r="F2050" s="143" t="s">
        <v>5647</v>
      </c>
      <c r="G2050" s="142" t="s">
        <v>102</v>
      </c>
      <c r="H2050" s="142" t="s">
        <v>50</v>
      </c>
      <c r="I2050" s="143" t="s">
        <v>3449</v>
      </c>
      <c r="J2050" s="143" t="s">
        <v>104</v>
      </c>
      <c r="K2050" s="150" t="s">
        <v>5</v>
      </c>
      <c r="L2050" s="145">
        <v>46105</v>
      </c>
      <c r="M2050" s="152" t="s">
        <v>3392</v>
      </c>
    </row>
    <row r="2051" spans="1:13" ht="15" customHeight="1">
      <c r="A2051" s="146" t="s">
        <v>5776</v>
      </c>
      <c r="B2051" s="146">
        <v>517497</v>
      </c>
      <c r="C2051" s="147" t="s">
        <v>5777</v>
      </c>
      <c r="D2051" s="146" t="s">
        <v>5640</v>
      </c>
      <c r="E2051" s="147" t="s">
        <v>5543</v>
      </c>
      <c r="F2051" s="147" t="s">
        <v>5778</v>
      </c>
      <c r="G2051" s="146" t="s">
        <v>102</v>
      </c>
      <c r="H2051" s="146" t="s">
        <v>50</v>
      </c>
      <c r="I2051" s="147" t="s">
        <v>3449</v>
      </c>
      <c r="J2051" s="147" t="s">
        <v>104</v>
      </c>
      <c r="K2051" s="148" t="s">
        <v>121</v>
      </c>
      <c r="L2051" s="149">
        <v>46136</v>
      </c>
      <c r="M2051" s="148"/>
    </row>
    <row r="2052" spans="1:13" ht="15" customHeight="1">
      <c r="A2052" s="142" t="s">
        <v>5779</v>
      </c>
      <c r="B2052" s="142">
        <v>516947</v>
      </c>
      <c r="C2052" s="143" t="s">
        <v>3759</v>
      </c>
      <c r="D2052" s="142" t="s">
        <v>5640</v>
      </c>
      <c r="E2052" s="143" t="s">
        <v>5654</v>
      </c>
      <c r="F2052" s="143" t="s">
        <v>5780</v>
      </c>
      <c r="G2052" s="142" t="s">
        <v>109</v>
      </c>
      <c r="H2052" s="142" t="s">
        <v>50</v>
      </c>
      <c r="I2052" s="143" t="s">
        <v>3449</v>
      </c>
      <c r="J2052" s="143" t="s">
        <v>104</v>
      </c>
      <c r="K2052" s="144"/>
      <c r="L2052" s="145"/>
      <c r="M2052" s="144"/>
    </row>
    <row r="2053" spans="1:13" ht="15" customHeight="1">
      <c r="A2053" s="146" t="s">
        <v>5781</v>
      </c>
      <c r="B2053" s="146">
        <v>517305</v>
      </c>
      <c r="C2053" s="147" t="s">
        <v>1348</v>
      </c>
      <c r="D2053" s="146" t="s">
        <v>5640</v>
      </c>
      <c r="E2053" s="147" t="s">
        <v>5658</v>
      </c>
      <c r="F2053" s="147" t="s">
        <v>5782</v>
      </c>
      <c r="G2053" s="146" t="s">
        <v>109</v>
      </c>
      <c r="H2053" s="146" t="s">
        <v>50</v>
      </c>
      <c r="I2053" s="147" t="s">
        <v>3449</v>
      </c>
      <c r="J2053" s="147" t="s">
        <v>104</v>
      </c>
      <c r="K2053" s="150" t="s">
        <v>5</v>
      </c>
      <c r="L2053" s="149">
        <v>46133</v>
      </c>
      <c r="M2053" s="151" t="s">
        <v>3392</v>
      </c>
    </row>
    <row r="2054" spans="1:13" ht="15" customHeight="1">
      <c r="A2054" s="142" t="s">
        <v>5783</v>
      </c>
      <c r="B2054" s="142">
        <v>517332</v>
      </c>
      <c r="C2054" s="143" t="s">
        <v>437</v>
      </c>
      <c r="D2054" s="142" t="s">
        <v>5640</v>
      </c>
      <c r="E2054" s="143" t="s">
        <v>3018</v>
      </c>
      <c r="F2054" s="143" t="s">
        <v>1735</v>
      </c>
      <c r="G2054" s="142" t="s">
        <v>109</v>
      </c>
      <c r="H2054" s="142" t="s">
        <v>50</v>
      </c>
      <c r="I2054" s="143" t="s">
        <v>3449</v>
      </c>
      <c r="J2054" s="143" t="s">
        <v>104</v>
      </c>
      <c r="K2054" s="144"/>
      <c r="L2054" s="145"/>
      <c r="M2054" s="144"/>
    </row>
    <row r="2055" spans="1:13" ht="15" customHeight="1">
      <c r="A2055" s="146" t="s">
        <v>5784</v>
      </c>
      <c r="B2055" s="146">
        <v>516935</v>
      </c>
      <c r="C2055" s="147" t="s">
        <v>5785</v>
      </c>
      <c r="D2055" s="146" t="s">
        <v>5640</v>
      </c>
      <c r="E2055" s="147" t="s">
        <v>5786</v>
      </c>
      <c r="F2055" s="147" t="s">
        <v>5787</v>
      </c>
      <c r="G2055" s="146" t="s">
        <v>109</v>
      </c>
      <c r="H2055" s="146" t="s">
        <v>50</v>
      </c>
      <c r="I2055" s="147" t="s">
        <v>3449</v>
      </c>
      <c r="J2055" s="147" t="s">
        <v>104</v>
      </c>
      <c r="K2055" s="148" t="s">
        <v>121</v>
      </c>
      <c r="L2055" s="149">
        <v>46147</v>
      </c>
      <c r="M2055" s="148"/>
    </row>
    <row r="2056" spans="1:13" ht="15" customHeight="1">
      <c r="A2056" s="142" t="s">
        <v>5788</v>
      </c>
      <c r="B2056" s="142">
        <v>517508</v>
      </c>
      <c r="C2056" s="143" t="s">
        <v>1002</v>
      </c>
      <c r="D2056" s="142" t="s">
        <v>5640</v>
      </c>
      <c r="E2056" s="143" t="s">
        <v>5691</v>
      </c>
      <c r="F2056" s="143" t="s">
        <v>5789</v>
      </c>
      <c r="G2056" s="142" t="s">
        <v>109</v>
      </c>
      <c r="H2056" s="142" t="s">
        <v>50</v>
      </c>
      <c r="I2056" s="143" t="s">
        <v>3449</v>
      </c>
      <c r="J2056" s="143" t="s">
        <v>104</v>
      </c>
      <c r="K2056" s="150" t="s">
        <v>5</v>
      </c>
      <c r="L2056" s="145">
        <v>46133</v>
      </c>
      <c r="M2056" s="152" t="s">
        <v>3392</v>
      </c>
    </row>
    <row r="2057" spans="1:13" ht="15" customHeight="1">
      <c r="A2057" s="146" t="s">
        <v>5790</v>
      </c>
      <c r="B2057" s="146">
        <v>517373</v>
      </c>
      <c r="C2057" s="147" t="s">
        <v>5555</v>
      </c>
      <c r="D2057" s="146" t="s">
        <v>5640</v>
      </c>
      <c r="E2057" s="147" t="s">
        <v>5729</v>
      </c>
      <c r="F2057" s="147" t="s">
        <v>5791</v>
      </c>
      <c r="G2057" s="146" t="s">
        <v>109</v>
      </c>
      <c r="H2057" s="146" t="s">
        <v>50</v>
      </c>
      <c r="I2057" s="147" t="s">
        <v>3449</v>
      </c>
      <c r="J2057" s="147" t="s">
        <v>104</v>
      </c>
      <c r="K2057" s="148" t="s">
        <v>121</v>
      </c>
      <c r="L2057" s="149">
        <v>46136</v>
      </c>
      <c r="M2057" s="148"/>
    </row>
    <row r="2058" spans="1:13" ht="15" customHeight="1">
      <c r="A2058" s="142" t="s">
        <v>5792</v>
      </c>
      <c r="B2058" s="142">
        <v>517020</v>
      </c>
      <c r="C2058" s="143" t="s">
        <v>5793</v>
      </c>
      <c r="D2058" s="142" t="s">
        <v>5640</v>
      </c>
      <c r="E2058" s="143" t="s">
        <v>5731</v>
      </c>
      <c r="F2058" s="143" t="s">
        <v>5794</v>
      </c>
      <c r="G2058" s="142" t="s">
        <v>109</v>
      </c>
      <c r="H2058" s="142" t="s">
        <v>50</v>
      </c>
      <c r="I2058" s="143" t="s">
        <v>3449</v>
      </c>
      <c r="J2058" s="143" t="s">
        <v>104</v>
      </c>
      <c r="K2058" s="144" t="s">
        <v>121</v>
      </c>
      <c r="L2058" s="145">
        <v>46140</v>
      </c>
      <c r="M2058" s="144"/>
    </row>
    <row r="2059" spans="1:13" ht="15" customHeight="1">
      <c r="A2059" s="146" t="s">
        <v>5795</v>
      </c>
      <c r="B2059" s="146">
        <v>517186</v>
      </c>
      <c r="C2059" s="147" t="s">
        <v>3597</v>
      </c>
      <c r="D2059" s="146" t="s">
        <v>5640</v>
      </c>
      <c r="E2059" s="147" t="s">
        <v>5796</v>
      </c>
      <c r="F2059" s="147" t="s">
        <v>5797</v>
      </c>
      <c r="G2059" s="146" t="s">
        <v>109</v>
      </c>
      <c r="H2059" s="146" t="s">
        <v>50</v>
      </c>
      <c r="I2059" s="147" t="s">
        <v>3449</v>
      </c>
      <c r="J2059" s="147" t="s">
        <v>104</v>
      </c>
      <c r="K2059" s="148" t="s">
        <v>121</v>
      </c>
      <c r="L2059" s="149">
        <v>46139</v>
      </c>
      <c r="M2059" s="148"/>
    </row>
    <row r="2060" spans="1:13" ht="15" customHeight="1">
      <c r="A2060" s="142" t="s">
        <v>5798</v>
      </c>
      <c r="B2060" s="142">
        <v>517082</v>
      </c>
      <c r="C2060" s="143" t="s">
        <v>2682</v>
      </c>
      <c r="D2060" s="142" t="s">
        <v>5640</v>
      </c>
      <c r="E2060" s="143" t="s">
        <v>5799</v>
      </c>
      <c r="F2060" s="143" t="s">
        <v>5799</v>
      </c>
      <c r="G2060" s="142" t="s">
        <v>109</v>
      </c>
      <c r="H2060" s="142" t="s">
        <v>50</v>
      </c>
      <c r="I2060" s="143" t="s">
        <v>3449</v>
      </c>
      <c r="J2060" s="143" t="s">
        <v>104</v>
      </c>
      <c r="K2060" s="144" t="s">
        <v>162</v>
      </c>
      <c r="L2060" s="145">
        <v>46150</v>
      </c>
      <c r="M2060" s="144" t="s">
        <v>1740</v>
      </c>
    </row>
    <row r="2061" spans="1:13" ht="15" customHeight="1">
      <c r="A2061" s="146" t="s">
        <v>5800</v>
      </c>
      <c r="B2061" s="146">
        <v>517031</v>
      </c>
      <c r="C2061" s="147" t="s">
        <v>5667</v>
      </c>
      <c r="D2061" s="146" t="s">
        <v>5640</v>
      </c>
      <c r="E2061" s="147" t="s">
        <v>5691</v>
      </c>
      <c r="F2061" s="147" t="s">
        <v>5801</v>
      </c>
      <c r="G2061" s="146" t="s">
        <v>102</v>
      </c>
      <c r="H2061" s="146" t="s">
        <v>50</v>
      </c>
      <c r="I2061" s="147" t="s">
        <v>3449</v>
      </c>
      <c r="J2061" s="147" t="s">
        <v>104</v>
      </c>
      <c r="K2061" s="150" t="s">
        <v>5</v>
      </c>
      <c r="L2061" s="149">
        <v>46132</v>
      </c>
      <c r="M2061" s="151" t="s">
        <v>3392</v>
      </c>
    </row>
    <row r="2062" spans="1:13" ht="15" customHeight="1">
      <c r="A2062" s="142" t="s">
        <v>5802</v>
      </c>
      <c r="B2062" s="142">
        <v>517337</v>
      </c>
      <c r="C2062" s="143" t="s">
        <v>5001</v>
      </c>
      <c r="D2062" s="142" t="s">
        <v>5640</v>
      </c>
      <c r="E2062" s="143" t="s">
        <v>5803</v>
      </c>
      <c r="F2062" s="143" t="s">
        <v>5804</v>
      </c>
      <c r="G2062" s="142" t="s">
        <v>109</v>
      </c>
      <c r="H2062" s="142" t="s">
        <v>50</v>
      </c>
      <c r="I2062" s="143" t="s">
        <v>3449</v>
      </c>
      <c r="J2062" s="143" t="s">
        <v>104</v>
      </c>
      <c r="K2062" s="144" t="s">
        <v>121</v>
      </c>
      <c r="L2062" s="145">
        <v>46150</v>
      </c>
      <c r="M2062" s="144"/>
    </row>
    <row r="2063" spans="1:13" ht="15" customHeight="1">
      <c r="A2063" s="146" t="s">
        <v>5805</v>
      </c>
      <c r="B2063" s="146">
        <v>517367</v>
      </c>
      <c r="C2063" s="147" t="s">
        <v>1323</v>
      </c>
      <c r="D2063" s="146" t="s">
        <v>5640</v>
      </c>
      <c r="E2063" s="147" t="s">
        <v>5803</v>
      </c>
      <c r="F2063" s="147" t="s">
        <v>5806</v>
      </c>
      <c r="G2063" s="146" t="s">
        <v>109</v>
      </c>
      <c r="H2063" s="146" t="s">
        <v>50</v>
      </c>
      <c r="I2063" s="147" t="s">
        <v>3449</v>
      </c>
      <c r="J2063" s="147" t="s">
        <v>104</v>
      </c>
      <c r="K2063" s="148" t="s">
        <v>121</v>
      </c>
      <c r="L2063" s="149">
        <v>46146</v>
      </c>
      <c r="M2063" s="148"/>
    </row>
    <row r="2064" spans="1:13" ht="15" customHeight="1">
      <c r="A2064" s="142" t="s">
        <v>5807</v>
      </c>
      <c r="B2064" s="142">
        <v>517271</v>
      </c>
      <c r="C2064" s="143" t="s">
        <v>254</v>
      </c>
      <c r="D2064" s="142" t="s">
        <v>5640</v>
      </c>
      <c r="E2064" s="143" t="s">
        <v>5719</v>
      </c>
      <c r="F2064" s="143" t="s">
        <v>5808</v>
      </c>
      <c r="G2064" s="142" t="s">
        <v>109</v>
      </c>
      <c r="H2064" s="142" t="s">
        <v>50</v>
      </c>
      <c r="I2064" s="143" t="s">
        <v>3449</v>
      </c>
      <c r="J2064" s="143" t="s">
        <v>104</v>
      </c>
      <c r="K2064" s="150" t="s">
        <v>5</v>
      </c>
      <c r="L2064" s="145">
        <v>46134</v>
      </c>
      <c r="M2064" s="152" t="s">
        <v>3392</v>
      </c>
    </row>
    <row r="2065" spans="1:13" ht="15" customHeight="1">
      <c r="A2065" s="146" t="s">
        <v>5809</v>
      </c>
      <c r="B2065" s="146">
        <v>517044</v>
      </c>
      <c r="C2065" s="147" t="s">
        <v>1348</v>
      </c>
      <c r="D2065" s="146" t="s">
        <v>5640</v>
      </c>
      <c r="E2065" s="147" t="s">
        <v>5710</v>
      </c>
      <c r="F2065" s="147" t="s">
        <v>5710</v>
      </c>
      <c r="G2065" s="146" t="s">
        <v>102</v>
      </c>
      <c r="H2065" s="146" t="s">
        <v>50</v>
      </c>
      <c r="I2065" s="147" t="s">
        <v>3449</v>
      </c>
      <c r="J2065" s="147" t="s">
        <v>104</v>
      </c>
      <c r="K2065" s="148" t="s">
        <v>121</v>
      </c>
      <c r="L2065" s="149">
        <v>46146</v>
      </c>
      <c r="M2065" s="148"/>
    </row>
    <row r="2066" spans="1:13" ht="15" customHeight="1">
      <c r="A2066" s="142" t="s">
        <v>5810</v>
      </c>
      <c r="B2066" s="142">
        <v>517504</v>
      </c>
      <c r="C2066" s="143" t="s">
        <v>5690</v>
      </c>
      <c r="D2066" s="142" t="s">
        <v>5640</v>
      </c>
      <c r="E2066" s="143" t="s">
        <v>5811</v>
      </c>
      <c r="F2066" s="143" t="s">
        <v>5812</v>
      </c>
      <c r="G2066" s="142" t="s">
        <v>109</v>
      </c>
      <c r="H2066" s="142" t="s">
        <v>50</v>
      </c>
      <c r="I2066" s="143" t="s">
        <v>3449</v>
      </c>
      <c r="J2066" s="143" t="s">
        <v>104</v>
      </c>
      <c r="K2066" s="150" t="s">
        <v>5</v>
      </c>
      <c r="L2066" s="145">
        <v>46132</v>
      </c>
      <c r="M2066" s="152" t="s">
        <v>3392</v>
      </c>
    </row>
    <row r="2067" spans="1:13" ht="15" customHeight="1">
      <c r="A2067" s="146" t="s">
        <v>5813</v>
      </c>
      <c r="B2067" s="146">
        <v>517288</v>
      </c>
      <c r="C2067" s="147" t="s">
        <v>5001</v>
      </c>
      <c r="D2067" s="146" t="s">
        <v>5640</v>
      </c>
      <c r="E2067" s="147" t="s">
        <v>5814</v>
      </c>
      <c r="F2067" s="147" t="s">
        <v>5814</v>
      </c>
      <c r="G2067" s="146" t="s">
        <v>102</v>
      </c>
      <c r="H2067" s="146" t="s">
        <v>50</v>
      </c>
      <c r="I2067" s="147" t="s">
        <v>3449</v>
      </c>
      <c r="J2067" s="147" t="s">
        <v>104</v>
      </c>
      <c r="K2067" s="148" t="s">
        <v>121</v>
      </c>
      <c r="L2067" s="149">
        <v>46148</v>
      </c>
      <c r="M2067" s="148"/>
    </row>
    <row r="2068" spans="1:13" ht="15" customHeight="1">
      <c r="A2068" s="142" t="s">
        <v>5815</v>
      </c>
      <c r="B2068" s="142">
        <v>517080</v>
      </c>
      <c r="C2068" s="143" t="s">
        <v>1374</v>
      </c>
      <c r="D2068" s="142" t="s">
        <v>5640</v>
      </c>
      <c r="E2068" s="143" t="s">
        <v>5816</v>
      </c>
      <c r="F2068" s="143" t="s">
        <v>5817</v>
      </c>
      <c r="G2068" s="142" t="s">
        <v>109</v>
      </c>
      <c r="H2068" s="142" t="s">
        <v>50</v>
      </c>
      <c r="I2068" s="143" t="s">
        <v>3449</v>
      </c>
      <c r="J2068" s="143" t="s">
        <v>104</v>
      </c>
      <c r="K2068" s="144" t="s">
        <v>121</v>
      </c>
      <c r="L2068" s="145">
        <v>46139</v>
      </c>
      <c r="M2068" s="144"/>
    </row>
    <row r="2069" spans="1:13" ht="15" customHeight="1">
      <c r="A2069" s="146" t="s">
        <v>5818</v>
      </c>
      <c r="B2069" s="146">
        <v>517154</v>
      </c>
      <c r="C2069" s="147" t="s">
        <v>3581</v>
      </c>
      <c r="D2069" s="146" t="s">
        <v>5640</v>
      </c>
      <c r="E2069" s="147" t="s">
        <v>5757</v>
      </c>
      <c r="F2069" s="147" t="s">
        <v>5819</v>
      </c>
      <c r="G2069" s="146" t="s">
        <v>109</v>
      </c>
      <c r="H2069" s="146" t="s">
        <v>50</v>
      </c>
      <c r="I2069" s="147" t="s">
        <v>3449</v>
      </c>
      <c r="J2069" s="147" t="s">
        <v>104</v>
      </c>
      <c r="K2069" s="148" t="s">
        <v>121</v>
      </c>
      <c r="L2069" s="149">
        <v>46150</v>
      </c>
      <c r="M2069" s="148"/>
    </row>
    <row r="2070" spans="1:13" ht="15" customHeight="1">
      <c r="A2070" s="142" t="s">
        <v>5820</v>
      </c>
      <c r="B2070" s="142">
        <v>517119</v>
      </c>
      <c r="C2070" s="143" t="s">
        <v>1204</v>
      </c>
      <c r="D2070" s="142" t="s">
        <v>5640</v>
      </c>
      <c r="E2070" s="143" t="s">
        <v>5710</v>
      </c>
      <c r="F2070" s="143" t="s">
        <v>5710</v>
      </c>
      <c r="G2070" s="142" t="s">
        <v>102</v>
      </c>
      <c r="H2070" s="142" t="s">
        <v>50</v>
      </c>
      <c r="I2070" s="143" t="s">
        <v>3449</v>
      </c>
      <c r="J2070" s="143" t="s">
        <v>104</v>
      </c>
      <c r="K2070" s="144" t="s">
        <v>121</v>
      </c>
      <c r="L2070" s="145">
        <v>46143</v>
      </c>
      <c r="M2070" s="144"/>
    </row>
    <row r="2071" spans="1:13" ht="15" customHeight="1">
      <c r="A2071" s="146" t="s">
        <v>5821</v>
      </c>
      <c r="B2071" s="146">
        <v>517340</v>
      </c>
      <c r="C2071" s="147" t="s">
        <v>1002</v>
      </c>
      <c r="D2071" s="146" t="s">
        <v>5640</v>
      </c>
      <c r="E2071" s="147" t="s">
        <v>3018</v>
      </c>
      <c r="F2071" s="147" t="s">
        <v>5822</v>
      </c>
      <c r="G2071" s="146" t="s">
        <v>109</v>
      </c>
      <c r="H2071" s="146" t="s">
        <v>50</v>
      </c>
      <c r="I2071" s="147" t="s">
        <v>3449</v>
      </c>
      <c r="J2071" s="147" t="s">
        <v>104</v>
      </c>
      <c r="K2071" s="150" t="s">
        <v>5</v>
      </c>
      <c r="L2071" s="149">
        <v>46135</v>
      </c>
      <c r="M2071" s="151" t="s">
        <v>3392</v>
      </c>
    </row>
    <row r="2072" spans="1:13" ht="15" customHeight="1">
      <c r="A2072" s="142" t="s">
        <v>5823</v>
      </c>
      <c r="B2072" s="142">
        <v>517345</v>
      </c>
      <c r="C2072" s="143" t="s">
        <v>1002</v>
      </c>
      <c r="D2072" s="142" t="s">
        <v>5640</v>
      </c>
      <c r="E2072" s="143" t="s">
        <v>5824</v>
      </c>
      <c r="F2072" s="143" t="s">
        <v>5825</v>
      </c>
      <c r="G2072" s="142" t="s">
        <v>109</v>
      </c>
      <c r="H2072" s="142" t="s">
        <v>50</v>
      </c>
      <c r="I2072" s="143" t="s">
        <v>3449</v>
      </c>
      <c r="J2072" s="143" t="s">
        <v>104</v>
      </c>
      <c r="K2072" s="144" t="s">
        <v>162</v>
      </c>
      <c r="L2072" s="145">
        <v>46146</v>
      </c>
      <c r="M2072" s="181" t="s">
        <v>1716</v>
      </c>
    </row>
    <row r="2073" spans="1:13" ht="15" customHeight="1">
      <c r="A2073" s="146" t="s">
        <v>5826</v>
      </c>
      <c r="B2073" s="146">
        <v>516389</v>
      </c>
      <c r="C2073" s="147" t="s">
        <v>437</v>
      </c>
      <c r="D2073" s="146" t="s">
        <v>5640</v>
      </c>
      <c r="E2073" s="147" t="s">
        <v>5827</v>
      </c>
      <c r="F2073" s="147" t="s">
        <v>5828</v>
      </c>
      <c r="G2073" s="146" t="s">
        <v>109</v>
      </c>
      <c r="H2073" s="146" t="s">
        <v>50</v>
      </c>
      <c r="I2073" s="147" t="s">
        <v>3449</v>
      </c>
      <c r="J2073" s="147" t="s">
        <v>104</v>
      </c>
      <c r="K2073" s="148" t="s">
        <v>162</v>
      </c>
      <c r="L2073" s="149">
        <v>46150</v>
      </c>
      <c r="M2073" s="148" t="s">
        <v>1740</v>
      </c>
    </row>
    <row r="2074" spans="1:13" ht="15" customHeight="1">
      <c r="A2074" s="142" t="s">
        <v>5829</v>
      </c>
      <c r="B2074" s="142">
        <v>516932</v>
      </c>
      <c r="C2074" s="143" t="s">
        <v>5830</v>
      </c>
      <c r="D2074" s="142" t="s">
        <v>5640</v>
      </c>
      <c r="E2074" s="143" t="s">
        <v>5814</v>
      </c>
      <c r="F2074" s="143" t="s">
        <v>5831</v>
      </c>
      <c r="G2074" s="142" t="s">
        <v>109</v>
      </c>
      <c r="H2074" s="142" t="s">
        <v>50</v>
      </c>
      <c r="I2074" s="143" t="s">
        <v>3449</v>
      </c>
      <c r="J2074" s="143" t="s">
        <v>104</v>
      </c>
      <c r="K2074" s="144" t="s">
        <v>121</v>
      </c>
      <c r="L2074" s="145">
        <v>46149</v>
      </c>
      <c r="M2074" s="144"/>
    </row>
    <row r="2075" spans="1:13" ht="15" customHeight="1">
      <c r="A2075" s="146" t="s">
        <v>5832</v>
      </c>
      <c r="B2075" s="146">
        <v>517391</v>
      </c>
      <c r="C2075" s="147" t="s">
        <v>5833</v>
      </c>
      <c r="D2075" s="146" t="s">
        <v>5640</v>
      </c>
      <c r="E2075" s="147" t="s">
        <v>3018</v>
      </c>
      <c r="F2075" s="147" t="s">
        <v>5834</v>
      </c>
      <c r="G2075" s="146" t="s">
        <v>109</v>
      </c>
      <c r="H2075" s="146" t="s">
        <v>50</v>
      </c>
      <c r="I2075" s="147" t="s">
        <v>3449</v>
      </c>
      <c r="J2075" s="147" t="s">
        <v>104</v>
      </c>
      <c r="K2075" s="150" t="s">
        <v>5</v>
      </c>
      <c r="L2075" s="149">
        <v>46127</v>
      </c>
      <c r="M2075" s="151" t="s">
        <v>3392</v>
      </c>
    </row>
    <row r="2076" spans="1:13" ht="15" customHeight="1">
      <c r="A2076" s="142" t="s">
        <v>5835</v>
      </c>
      <c r="B2076" s="142">
        <v>516948</v>
      </c>
      <c r="C2076" s="143" t="s">
        <v>5836</v>
      </c>
      <c r="D2076" s="142" t="s">
        <v>5640</v>
      </c>
      <c r="E2076" s="143" t="s">
        <v>5654</v>
      </c>
      <c r="F2076" s="143" t="s">
        <v>5837</v>
      </c>
      <c r="G2076" s="142" t="s">
        <v>109</v>
      </c>
      <c r="H2076" s="142" t="s">
        <v>50</v>
      </c>
      <c r="I2076" s="143" t="s">
        <v>3449</v>
      </c>
      <c r="J2076" s="143" t="s">
        <v>104</v>
      </c>
      <c r="K2076" s="144"/>
      <c r="L2076" s="145"/>
      <c r="M2076" s="144"/>
    </row>
    <row r="2077" spans="1:13" ht="15" customHeight="1">
      <c r="A2077" s="146" t="s">
        <v>5838</v>
      </c>
      <c r="B2077" s="146">
        <v>517433</v>
      </c>
      <c r="C2077" s="147" t="s">
        <v>2621</v>
      </c>
      <c r="D2077" s="146" t="s">
        <v>5640</v>
      </c>
      <c r="E2077" s="147" t="s">
        <v>5773</v>
      </c>
      <c r="F2077" s="147" t="s">
        <v>5839</v>
      </c>
      <c r="G2077" s="146" t="s">
        <v>109</v>
      </c>
      <c r="H2077" s="146" t="s">
        <v>50</v>
      </c>
      <c r="I2077" s="147" t="s">
        <v>3449</v>
      </c>
      <c r="J2077" s="147" t="s">
        <v>104</v>
      </c>
      <c r="K2077" s="150" t="s">
        <v>5</v>
      </c>
      <c r="L2077" s="149">
        <v>46126</v>
      </c>
      <c r="M2077" s="151" t="s">
        <v>3392</v>
      </c>
    </row>
    <row r="2078" spans="1:13" ht="15" customHeight="1">
      <c r="A2078" s="142" t="s">
        <v>5840</v>
      </c>
      <c r="B2078" s="142">
        <v>517347</v>
      </c>
      <c r="C2078" s="143" t="s">
        <v>1002</v>
      </c>
      <c r="D2078" s="142" t="s">
        <v>5640</v>
      </c>
      <c r="E2078" s="143" t="s">
        <v>5841</v>
      </c>
      <c r="F2078" s="143" t="s">
        <v>5842</v>
      </c>
      <c r="G2078" s="142" t="s">
        <v>109</v>
      </c>
      <c r="H2078" s="142" t="s">
        <v>50</v>
      </c>
      <c r="I2078" s="143" t="s">
        <v>3449</v>
      </c>
      <c r="J2078" s="143" t="s">
        <v>104</v>
      </c>
      <c r="K2078" s="144" t="s">
        <v>121</v>
      </c>
      <c r="L2078" s="145">
        <v>46147</v>
      </c>
      <c r="M2078" s="144"/>
    </row>
    <row r="2079" spans="1:13" ht="15" customHeight="1">
      <c r="A2079" s="146" t="s">
        <v>5843</v>
      </c>
      <c r="B2079" s="146">
        <v>517158</v>
      </c>
      <c r="C2079" s="147" t="s">
        <v>2265</v>
      </c>
      <c r="D2079" s="146" t="s">
        <v>5640</v>
      </c>
      <c r="E2079" s="147" t="s">
        <v>5757</v>
      </c>
      <c r="F2079" s="147" t="s">
        <v>5844</v>
      </c>
      <c r="G2079" s="146" t="s">
        <v>109</v>
      </c>
      <c r="H2079" s="146" t="s">
        <v>50</v>
      </c>
      <c r="I2079" s="147" t="s">
        <v>3449</v>
      </c>
      <c r="J2079" s="147" t="s">
        <v>104</v>
      </c>
      <c r="K2079" s="148"/>
      <c r="L2079" s="149"/>
      <c r="M2079" s="148"/>
    </row>
    <row r="2080" spans="1:13" ht="15" customHeight="1">
      <c r="A2080" s="142" t="s">
        <v>5845</v>
      </c>
      <c r="B2080" s="142">
        <v>517376</v>
      </c>
      <c r="C2080" s="143" t="s">
        <v>5846</v>
      </c>
      <c r="D2080" s="142" t="s">
        <v>5640</v>
      </c>
      <c r="E2080" s="143" t="s">
        <v>5847</v>
      </c>
      <c r="F2080" s="143" t="s">
        <v>5848</v>
      </c>
      <c r="G2080" s="142" t="s">
        <v>109</v>
      </c>
      <c r="H2080" s="142" t="s">
        <v>50</v>
      </c>
      <c r="I2080" s="143" t="s">
        <v>3449</v>
      </c>
      <c r="J2080" s="143" t="s">
        <v>104</v>
      </c>
      <c r="K2080" s="150" t="s">
        <v>5</v>
      </c>
      <c r="L2080" s="145">
        <v>46126</v>
      </c>
      <c r="M2080" s="152" t="s">
        <v>3392</v>
      </c>
    </row>
    <row r="2081" spans="1:13" ht="15" customHeight="1">
      <c r="A2081" s="146" t="s">
        <v>5849</v>
      </c>
      <c r="B2081" s="146">
        <v>518076</v>
      </c>
      <c r="C2081" s="147" t="s">
        <v>5850</v>
      </c>
      <c r="D2081" s="146" t="s">
        <v>5640</v>
      </c>
      <c r="E2081" s="147" t="s">
        <v>5803</v>
      </c>
      <c r="F2081" s="147" t="s">
        <v>5851</v>
      </c>
      <c r="G2081" s="146" t="s">
        <v>109</v>
      </c>
      <c r="H2081" s="146" t="s">
        <v>50</v>
      </c>
      <c r="I2081" s="147" t="s">
        <v>3449</v>
      </c>
      <c r="J2081" s="147" t="s">
        <v>104</v>
      </c>
      <c r="K2081" s="148" t="s">
        <v>121</v>
      </c>
      <c r="L2081" s="149">
        <v>46148</v>
      </c>
      <c r="M2081" s="148"/>
    </row>
    <row r="2082" spans="1:13" ht="15" customHeight="1">
      <c r="A2082" s="142" t="s">
        <v>5852</v>
      </c>
      <c r="B2082" s="142">
        <v>517048</v>
      </c>
      <c r="C2082" s="143" t="s">
        <v>3384</v>
      </c>
      <c r="D2082" s="142" t="s">
        <v>5640</v>
      </c>
      <c r="E2082" s="143" t="s">
        <v>5853</v>
      </c>
      <c r="F2082" s="143" t="s">
        <v>5854</v>
      </c>
      <c r="G2082" s="142" t="s">
        <v>109</v>
      </c>
      <c r="H2082" s="142" t="s">
        <v>50</v>
      </c>
      <c r="I2082" s="143" t="s">
        <v>3449</v>
      </c>
      <c r="J2082" s="143" t="s">
        <v>104</v>
      </c>
      <c r="K2082" s="144" t="s">
        <v>121</v>
      </c>
      <c r="L2082" s="145">
        <v>46150</v>
      </c>
      <c r="M2082" s="144"/>
    </row>
    <row r="2083" spans="1:13" ht="15" customHeight="1">
      <c r="A2083" s="146" t="s">
        <v>5855</v>
      </c>
      <c r="B2083" s="146">
        <v>517122</v>
      </c>
      <c r="C2083" s="147" t="s">
        <v>5006</v>
      </c>
      <c r="D2083" s="146" t="s">
        <v>5640</v>
      </c>
      <c r="E2083" s="147" t="s">
        <v>5853</v>
      </c>
      <c r="F2083" s="147" t="s">
        <v>5856</v>
      </c>
      <c r="G2083" s="146" t="s">
        <v>109</v>
      </c>
      <c r="H2083" s="146" t="s">
        <v>50</v>
      </c>
      <c r="I2083" s="147" t="s">
        <v>3449</v>
      </c>
      <c r="J2083" s="147" t="s">
        <v>104</v>
      </c>
      <c r="K2083" s="148" t="s">
        <v>162</v>
      </c>
      <c r="L2083" s="149">
        <v>46150</v>
      </c>
      <c r="M2083" s="148" t="s">
        <v>1740</v>
      </c>
    </row>
    <row r="2084" spans="1:13" ht="15" customHeight="1">
      <c r="A2084" s="142" t="s">
        <v>5857</v>
      </c>
      <c r="B2084" s="142">
        <v>517361</v>
      </c>
      <c r="C2084" s="143" t="s">
        <v>5858</v>
      </c>
      <c r="D2084" s="142" t="s">
        <v>5640</v>
      </c>
      <c r="E2084" s="143" t="s">
        <v>5841</v>
      </c>
      <c r="F2084" s="143" t="s">
        <v>5859</v>
      </c>
      <c r="G2084" s="142" t="s">
        <v>109</v>
      </c>
      <c r="H2084" s="142" t="s">
        <v>50</v>
      </c>
      <c r="I2084" s="143" t="s">
        <v>3449</v>
      </c>
      <c r="J2084" s="143" t="s">
        <v>104</v>
      </c>
      <c r="K2084" s="144" t="s">
        <v>162</v>
      </c>
      <c r="L2084" s="145">
        <v>46146</v>
      </c>
      <c r="M2084" s="181" t="s">
        <v>1716</v>
      </c>
    </row>
    <row r="2085" spans="1:13" ht="15" customHeight="1">
      <c r="A2085" s="146" t="s">
        <v>5860</v>
      </c>
      <c r="B2085" s="146">
        <v>516956</v>
      </c>
      <c r="C2085" s="147" t="s">
        <v>3468</v>
      </c>
      <c r="D2085" s="146" t="s">
        <v>5640</v>
      </c>
      <c r="E2085" s="147" t="s">
        <v>5861</v>
      </c>
      <c r="F2085" s="147" t="s">
        <v>5862</v>
      </c>
      <c r="G2085" s="146" t="s">
        <v>109</v>
      </c>
      <c r="H2085" s="146" t="s">
        <v>50</v>
      </c>
      <c r="I2085" s="147" t="s">
        <v>3449</v>
      </c>
      <c r="J2085" s="147" t="s">
        <v>104</v>
      </c>
      <c r="K2085" s="150" t="s">
        <v>5</v>
      </c>
      <c r="L2085" s="149">
        <v>46105</v>
      </c>
      <c r="M2085" s="151" t="s">
        <v>3392</v>
      </c>
    </row>
    <row r="2086" spans="1:13" ht="15" customHeight="1">
      <c r="A2086" s="142" t="s">
        <v>5863</v>
      </c>
      <c r="B2086" s="142">
        <v>517192</v>
      </c>
      <c r="C2086" s="143" t="s">
        <v>5864</v>
      </c>
      <c r="D2086" s="142" t="s">
        <v>5640</v>
      </c>
      <c r="E2086" s="143" t="s">
        <v>5814</v>
      </c>
      <c r="F2086" s="143" t="s">
        <v>5865</v>
      </c>
      <c r="G2086" s="142" t="s">
        <v>109</v>
      </c>
      <c r="H2086" s="142" t="s">
        <v>50</v>
      </c>
      <c r="I2086" s="143" t="s">
        <v>3449</v>
      </c>
      <c r="J2086" s="143" t="s">
        <v>104</v>
      </c>
      <c r="K2086" s="144" t="s">
        <v>121</v>
      </c>
      <c r="L2086" s="145">
        <v>46146</v>
      </c>
      <c r="M2086" s="144"/>
    </row>
    <row r="2087" spans="1:13" ht="15" customHeight="1">
      <c r="A2087" s="146" t="s">
        <v>5866</v>
      </c>
      <c r="B2087" s="146">
        <v>517188</v>
      </c>
      <c r="C2087" s="147" t="s">
        <v>5867</v>
      </c>
      <c r="D2087" s="146" t="s">
        <v>5640</v>
      </c>
      <c r="E2087" s="147" t="s">
        <v>5868</v>
      </c>
      <c r="F2087" s="147" t="s">
        <v>5869</v>
      </c>
      <c r="G2087" s="146" t="s">
        <v>109</v>
      </c>
      <c r="H2087" s="146" t="s">
        <v>50</v>
      </c>
      <c r="I2087" s="147" t="s">
        <v>3449</v>
      </c>
      <c r="J2087" s="147" t="s">
        <v>104</v>
      </c>
      <c r="K2087" s="150" t="s">
        <v>5</v>
      </c>
      <c r="L2087" s="149">
        <v>46125</v>
      </c>
      <c r="M2087" s="151" t="s">
        <v>3392</v>
      </c>
    </row>
    <row r="2088" spans="1:13" ht="15" customHeight="1">
      <c r="A2088" s="142" t="s">
        <v>5870</v>
      </c>
      <c r="B2088" s="142">
        <v>517506</v>
      </c>
      <c r="C2088" s="143" t="s">
        <v>5871</v>
      </c>
      <c r="D2088" s="142" t="s">
        <v>5640</v>
      </c>
      <c r="E2088" s="143" t="s">
        <v>5811</v>
      </c>
      <c r="F2088" s="143" t="s">
        <v>5872</v>
      </c>
      <c r="G2088" s="142" t="s">
        <v>109</v>
      </c>
      <c r="H2088" s="142" t="s">
        <v>50</v>
      </c>
      <c r="I2088" s="143" t="s">
        <v>3449</v>
      </c>
      <c r="J2088" s="143" t="s">
        <v>104</v>
      </c>
      <c r="K2088" s="144" t="s">
        <v>5613</v>
      </c>
      <c r="L2088" s="145">
        <v>46136</v>
      </c>
      <c r="M2088" s="144" t="s">
        <v>5873</v>
      </c>
    </row>
    <row r="2089" spans="1:13" ht="15" customHeight="1">
      <c r="A2089" s="146" t="s">
        <v>5874</v>
      </c>
      <c r="B2089" s="146">
        <v>521591</v>
      </c>
      <c r="C2089" s="147" t="s">
        <v>5875</v>
      </c>
      <c r="D2089" s="146" t="s">
        <v>5640</v>
      </c>
      <c r="E2089" s="147" t="s">
        <v>5713</v>
      </c>
      <c r="F2089" s="147" t="s">
        <v>5876</v>
      </c>
      <c r="G2089" s="146" t="s">
        <v>109</v>
      </c>
      <c r="H2089" s="146" t="s">
        <v>50</v>
      </c>
      <c r="I2089" s="147" t="s">
        <v>3449</v>
      </c>
      <c r="J2089" s="147" t="s">
        <v>104</v>
      </c>
      <c r="K2089" s="148" t="s">
        <v>121</v>
      </c>
      <c r="L2089" s="149">
        <v>46147</v>
      </c>
      <c r="M2089" s="148"/>
    </row>
    <row r="2090" spans="1:13" ht="15" customHeight="1">
      <c r="A2090" s="142" t="s">
        <v>5877</v>
      </c>
      <c r="B2090" s="142">
        <v>521592</v>
      </c>
      <c r="C2090" s="143" t="s">
        <v>5878</v>
      </c>
      <c r="D2090" s="142" t="s">
        <v>5640</v>
      </c>
      <c r="E2090" s="143" t="s">
        <v>5824</v>
      </c>
      <c r="F2090" s="143" t="s">
        <v>438</v>
      </c>
      <c r="G2090" s="142" t="s">
        <v>109</v>
      </c>
      <c r="H2090" s="142" t="s">
        <v>50</v>
      </c>
      <c r="I2090" s="143" t="s">
        <v>3449</v>
      </c>
      <c r="J2090" s="143" t="s">
        <v>104</v>
      </c>
      <c r="K2090" s="144" t="s">
        <v>162</v>
      </c>
      <c r="L2090" s="145">
        <v>46146</v>
      </c>
      <c r="M2090" s="181" t="s">
        <v>1716</v>
      </c>
    </row>
    <row r="2091" spans="1:13" ht="15" customHeight="1">
      <c r="A2091" s="146" t="s">
        <v>5879</v>
      </c>
      <c r="B2091" s="146">
        <v>517155</v>
      </c>
      <c r="C2091" s="147" t="s">
        <v>5880</v>
      </c>
      <c r="D2091" s="146" t="s">
        <v>5640</v>
      </c>
      <c r="E2091" s="147" t="s">
        <v>5814</v>
      </c>
      <c r="F2091" s="147" t="s">
        <v>5881</v>
      </c>
      <c r="G2091" s="146" t="s">
        <v>109</v>
      </c>
      <c r="H2091" s="146" t="s">
        <v>50</v>
      </c>
      <c r="I2091" s="147" t="s">
        <v>3449</v>
      </c>
      <c r="J2091" s="147" t="s">
        <v>104</v>
      </c>
      <c r="K2091" s="148" t="s">
        <v>121</v>
      </c>
      <c r="L2091" s="149">
        <v>46153</v>
      </c>
      <c r="M2091" s="148"/>
    </row>
    <row r="2092" spans="1:13" ht="15" customHeight="1">
      <c r="A2092" s="142" t="s">
        <v>5882</v>
      </c>
      <c r="B2092" s="142">
        <v>517342</v>
      </c>
      <c r="C2092" s="143" t="s">
        <v>5883</v>
      </c>
      <c r="D2092" s="142" t="s">
        <v>5640</v>
      </c>
      <c r="E2092" s="143" t="s">
        <v>5884</v>
      </c>
      <c r="F2092" s="143" t="s">
        <v>5885</v>
      </c>
      <c r="G2092" s="142" t="s">
        <v>109</v>
      </c>
      <c r="H2092" s="142" t="s">
        <v>50</v>
      </c>
      <c r="I2092" s="143" t="s">
        <v>3449</v>
      </c>
      <c r="J2092" s="143" t="s">
        <v>104</v>
      </c>
      <c r="K2092" s="150" t="s">
        <v>5</v>
      </c>
      <c r="L2092" s="145">
        <v>46129</v>
      </c>
      <c r="M2092" s="152" t="s">
        <v>3392</v>
      </c>
    </row>
    <row r="2093" spans="1:13" ht="15" customHeight="1">
      <c r="A2093" s="146" t="s">
        <v>5886</v>
      </c>
      <c r="B2093" s="146">
        <v>517343</v>
      </c>
      <c r="C2093" s="147" t="s">
        <v>5887</v>
      </c>
      <c r="D2093" s="146" t="s">
        <v>5640</v>
      </c>
      <c r="E2093" s="147" t="s">
        <v>5888</v>
      </c>
      <c r="F2093" s="147" t="s">
        <v>5889</v>
      </c>
      <c r="G2093" s="146" t="s">
        <v>109</v>
      </c>
      <c r="H2093" s="146" t="s">
        <v>50</v>
      </c>
      <c r="I2093" s="147" t="s">
        <v>3449</v>
      </c>
      <c r="J2093" s="147" t="s">
        <v>104</v>
      </c>
      <c r="K2093" s="153" t="s">
        <v>9</v>
      </c>
      <c r="L2093" s="149">
        <v>46127</v>
      </c>
      <c r="M2093" s="151" t="s">
        <v>3392</v>
      </c>
    </row>
    <row r="2094" spans="1:13" ht="15" customHeight="1">
      <c r="A2094" s="142" t="s">
        <v>5890</v>
      </c>
      <c r="B2094" s="142">
        <v>517364</v>
      </c>
      <c r="C2094" s="143" t="s">
        <v>5891</v>
      </c>
      <c r="D2094" s="142" t="s">
        <v>5640</v>
      </c>
      <c r="E2094" s="143" t="s">
        <v>5892</v>
      </c>
      <c r="F2094" s="143" t="s">
        <v>5893</v>
      </c>
      <c r="G2094" s="142" t="s">
        <v>109</v>
      </c>
      <c r="H2094" s="142" t="s">
        <v>50</v>
      </c>
      <c r="I2094" s="143" t="s">
        <v>3449</v>
      </c>
      <c r="J2094" s="143" t="s">
        <v>104</v>
      </c>
      <c r="K2094" s="144" t="s">
        <v>121</v>
      </c>
      <c r="L2094" s="145">
        <v>46147</v>
      </c>
      <c r="M2094" s="144"/>
    </row>
    <row r="2095" spans="1:13" ht="15" customHeight="1">
      <c r="A2095" s="146" t="s">
        <v>5894</v>
      </c>
      <c r="B2095" s="146">
        <v>517372</v>
      </c>
      <c r="C2095" s="147" t="s">
        <v>5895</v>
      </c>
      <c r="D2095" s="146" t="s">
        <v>5640</v>
      </c>
      <c r="E2095" s="147" t="s">
        <v>5729</v>
      </c>
      <c r="F2095" s="147" t="s">
        <v>5791</v>
      </c>
      <c r="G2095" s="146" t="s">
        <v>109</v>
      </c>
      <c r="H2095" s="146" t="s">
        <v>50</v>
      </c>
      <c r="I2095" s="147" t="s">
        <v>3449</v>
      </c>
      <c r="J2095" s="147" t="s">
        <v>104</v>
      </c>
      <c r="K2095" s="148" t="s">
        <v>121</v>
      </c>
      <c r="L2095" s="149">
        <v>46136</v>
      </c>
      <c r="M2095" s="148"/>
    </row>
    <row r="2096" spans="1:13" ht="15" customHeight="1">
      <c r="A2096" s="142" t="s">
        <v>5896</v>
      </c>
      <c r="B2096" s="142">
        <v>516980</v>
      </c>
      <c r="C2096" s="143" t="s">
        <v>5897</v>
      </c>
      <c r="D2096" s="142" t="s">
        <v>5640</v>
      </c>
      <c r="E2096" s="143" t="s">
        <v>5640</v>
      </c>
      <c r="F2096" s="143" t="s">
        <v>5640</v>
      </c>
      <c r="G2096" s="142" t="s">
        <v>102</v>
      </c>
      <c r="H2096" s="142" t="s">
        <v>50</v>
      </c>
      <c r="I2096" s="143" t="s">
        <v>3449</v>
      </c>
      <c r="J2096" s="143" t="s">
        <v>104</v>
      </c>
      <c r="K2096" s="150" t="s">
        <v>5</v>
      </c>
      <c r="L2096" s="145">
        <v>46125</v>
      </c>
      <c r="M2096" s="152" t="s">
        <v>3392</v>
      </c>
    </row>
    <row r="2097" spans="1:13" ht="15" customHeight="1">
      <c r="A2097" s="146" t="s">
        <v>5898</v>
      </c>
      <c r="B2097" s="146">
        <v>517081</v>
      </c>
      <c r="C2097" s="147" t="s">
        <v>5899</v>
      </c>
      <c r="D2097" s="146" t="s">
        <v>5640</v>
      </c>
      <c r="E2097" s="147" t="s">
        <v>5816</v>
      </c>
      <c r="F2097" s="147" t="s">
        <v>5817</v>
      </c>
      <c r="G2097" s="146" t="s">
        <v>109</v>
      </c>
      <c r="H2097" s="146" t="s">
        <v>50</v>
      </c>
      <c r="I2097" s="147" t="s">
        <v>3449</v>
      </c>
      <c r="J2097" s="147" t="s">
        <v>104</v>
      </c>
      <c r="K2097" s="148" t="s">
        <v>121</v>
      </c>
      <c r="L2097" s="149">
        <v>46139</v>
      </c>
      <c r="M2097" s="148"/>
    </row>
    <row r="2098" spans="1:13" ht="15" customHeight="1">
      <c r="A2098" s="142" t="s">
        <v>5900</v>
      </c>
      <c r="B2098" s="142">
        <v>516884</v>
      </c>
      <c r="C2098" s="143" t="s">
        <v>5901</v>
      </c>
      <c r="D2098" s="142" t="s">
        <v>5640</v>
      </c>
      <c r="E2098" s="143" t="s">
        <v>5698</v>
      </c>
      <c r="F2098" s="143" t="s">
        <v>5902</v>
      </c>
      <c r="G2098" s="142" t="s">
        <v>109</v>
      </c>
      <c r="H2098" s="142" t="s">
        <v>50</v>
      </c>
      <c r="I2098" s="143" t="s">
        <v>3449</v>
      </c>
      <c r="J2098" s="143" t="s">
        <v>104</v>
      </c>
      <c r="K2098" s="150" t="s">
        <v>5</v>
      </c>
      <c r="L2098" s="145">
        <v>46112</v>
      </c>
      <c r="M2098" s="152" t="s">
        <v>3392</v>
      </c>
    </row>
    <row r="2099" spans="1:13" ht="15" customHeight="1">
      <c r="A2099" s="146" t="s">
        <v>5903</v>
      </c>
      <c r="B2099" s="146">
        <v>517359</v>
      </c>
      <c r="C2099" s="147" t="s">
        <v>5904</v>
      </c>
      <c r="D2099" s="146" t="s">
        <v>5640</v>
      </c>
      <c r="E2099" s="147" t="s">
        <v>5764</v>
      </c>
      <c r="F2099" s="147" t="s">
        <v>5905</v>
      </c>
      <c r="G2099" s="146" t="s">
        <v>109</v>
      </c>
      <c r="H2099" s="146" t="s">
        <v>50</v>
      </c>
      <c r="I2099" s="147" t="s">
        <v>3449</v>
      </c>
      <c r="J2099" s="147" t="s">
        <v>104</v>
      </c>
      <c r="K2099" s="148" t="s">
        <v>162</v>
      </c>
      <c r="L2099" s="149">
        <v>46142</v>
      </c>
      <c r="M2099" s="148"/>
    </row>
    <row r="2100" spans="1:13" ht="15" customHeight="1">
      <c r="A2100" s="142" t="s">
        <v>5906</v>
      </c>
      <c r="B2100" s="142">
        <v>517206</v>
      </c>
      <c r="C2100" s="143" t="s">
        <v>5907</v>
      </c>
      <c r="D2100" s="142" t="s">
        <v>5640</v>
      </c>
      <c r="E2100" s="143" t="s">
        <v>5908</v>
      </c>
      <c r="F2100" s="143" t="s">
        <v>5909</v>
      </c>
      <c r="G2100" s="142" t="s">
        <v>109</v>
      </c>
      <c r="H2100" s="142" t="s">
        <v>50</v>
      </c>
      <c r="I2100" s="143" t="s">
        <v>3449</v>
      </c>
      <c r="J2100" s="143" t="s">
        <v>104</v>
      </c>
      <c r="K2100" s="144" t="s">
        <v>121</v>
      </c>
      <c r="L2100" s="145">
        <v>46142</v>
      </c>
      <c r="M2100" s="144"/>
    </row>
    <row r="2101" spans="1:13" ht="15" customHeight="1">
      <c r="A2101" s="146" t="s">
        <v>5910</v>
      </c>
      <c r="B2101" s="146">
        <v>517139</v>
      </c>
      <c r="C2101" s="147" t="s">
        <v>5911</v>
      </c>
      <c r="D2101" s="146" t="s">
        <v>5640</v>
      </c>
      <c r="E2101" s="147" t="s">
        <v>5687</v>
      </c>
      <c r="F2101" s="147" t="s">
        <v>5912</v>
      </c>
      <c r="G2101" s="146" t="s">
        <v>109</v>
      </c>
      <c r="H2101" s="146" t="s">
        <v>50</v>
      </c>
      <c r="I2101" s="147" t="s">
        <v>3449</v>
      </c>
      <c r="J2101" s="147" t="s">
        <v>104</v>
      </c>
      <c r="K2101" s="150" t="s">
        <v>5</v>
      </c>
      <c r="L2101" s="149">
        <v>46129</v>
      </c>
      <c r="M2101" s="151" t="s">
        <v>3392</v>
      </c>
    </row>
    <row r="2102" spans="1:13" ht="15" customHeight="1">
      <c r="A2102" s="142" t="s">
        <v>5913</v>
      </c>
      <c r="B2102" s="142">
        <v>517436</v>
      </c>
      <c r="C2102" s="143" t="s">
        <v>5914</v>
      </c>
      <c r="D2102" s="142" t="s">
        <v>5640</v>
      </c>
      <c r="E2102" s="143" t="s">
        <v>5673</v>
      </c>
      <c r="F2102" s="143" t="s">
        <v>5915</v>
      </c>
      <c r="G2102" s="142" t="s">
        <v>109</v>
      </c>
      <c r="H2102" s="142" t="s">
        <v>50</v>
      </c>
      <c r="I2102" s="143" t="s">
        <v>3449</v>
      </c>
      <c r="J2102" s="143" t="s">
        <v>104</v>
      </c>
      <c r="K2102" s="47" t="s">
        <v>18</v>
      </c>
      <c r="L2102" s="145">
        <v>46128</v>
      </c>
      <c r="M2102" s="152" t="s">
        <v>3392</v>
      </c>
    </row>
    <row r="2103" spans="1:13" ht="15" customHeight="1">
      <c r="A2103" s="146" t="s">
        <v>5916</v>
      </c>
      <c r="B2103" s="146">
        <v>517047</v>
      </c>
      <c r="C2103" s="147" t="s">
        <v>5917</v>
      </c>
      <c r="D2103" s="146" t="s">
        <v>5640</v>
      </c>
      <c r="E2103" s="147" t="s">
        <v>5853</v>
      </c>
      <c r="F2103" s="147" t="s">
        <v>5918</v>
      </c>
      <c r="G2103" s="146" t="s">
        <v>109</v>
      </c>
      <c r="H2103" s="146" t="s">
        <v>50</v>
      </c>
      <c r="I2103" s="147" t="s">
        <v>3449</v>
      </c>
      <c r="J2103" s="147" t="s">
        <v>104</v>
      </c>
      <c r="K2103" s="148" t="s">
        <v>162</v>
      </c>
      <c r="L2103" s="149">
        <v>46153</v>
      </c>
      <c r="M2103" s="148" t="s">
        <v>1740</v>
      </c>
    </row>
    <row r="2104" spans="1:13" ht="15" customHeight="1">
      <c r="A2104" s="142" t="s">
        <v>5919</v>
      </c>
      <c r="B2104" s="142">
        <v>517348</v>
      </c>
      <c r="C2104" s="143" t="s">
        <v>5920</v>
      </c>
      <c r="D2104" s="142" t="s">
        <v>5640</v>
      </c>
      <c r="E2104" s="143" t="s">
        <v>5921</v>
      </c>
      <c r="F2104" s="143" t="s">
        <v>5922</v>
      </c>
      <c r="G2104" s="142" t="s">
        <v>109</v>
      </c>
      <c r="H2104" s="142" t="s">
        <v>50</v>
      </c>
      <c r="I2104" s="143" t="s">
        <v>3449</v>
      </c>
      <c r="J2104" s="143" t="s">
        <v>104</v>
      </c>
      <c r="K2104" s="144" t="s">
        <v>162</v>
      </c>
      <c r="L2104" s="145">
        <v>46146</v>
      </c>
      <c r="M2104" s="144" t="s">
        <v>1740</v>
      </c>
    </row>
    <row r="2105" spans="1:13" ht="15" customHeight="1">
      <c r="A2105" s="146" t="s">
        <v>5923</v>
      </c>
      <c r="B2105" s="146">
        <v>517074</v>
      </c>
      <c r="C2105" s="147" t="s">
        <v>5924</v>
      </c>
      <c r="D2105" s="146" t="s">
        <v>5640</v>
      </c>
      <c r="E2105" s="147" t="s">
        <v>5868</v>
      </c>
      <c r="F2105" s="147" t="s">
        <v>5925</v>
      </c>
      <c r="G2105" s="146" t="s">
        <v>109</v>
      </c>
      <c r="H2105" s="146" t="s">
        <v>50</v>
      </c>
      <c r="I2105" s="147" t="s">
        <v>3449</v>
      </c>
      <c r="J2105" s="147" t="s">
        <v>104</v>
      </c>
      <c r="K2105" s="150" t="s">
        <v>5</v>
      </c>
      <c r="L2105" s="149">
        <v>46127</v>
      </c>
      <c r="M2105" s="151" t="s">
        <v>3392</v>
      </c>
    </row>
    <row r="2106" spans="1:13" ht="15" customHeight="1">
      <c r="A2106" s="142" t="s">
        <v>5926</v>
      </c>
      <c r="B2106" s="142">
        <v>517267</v>
      </c>
      <c r="C2106" s="143" t="s">
        <v>5927</v>
      </c>
      <c r="D2106" s="142" t="s">
        <v>5640</v>
      </c>
      <c r="E2106" s="143" t="s">
        <v>5814</v>
      </c>
      <c r="F2106" s="143" t="s">
        <v>5928</v>
      </c>
      <c r="G2106" s="142" t="s">
        <v>109</v>
      </c>
      <c r="H2106" s="142" t="s">
        <v>50</v>
      </c>
      <c r="I2106" s="143" t="s">
        <v>3449</v>
      </c>
      <c r="J2106" s="143" t="s">
        <v>104</v>
      </c>
      <c r="K2106" s="150" t="s">
        <v>5</v>
      </c>
      <c r="L2106" s="145">
        <v>46120</v>
      </c>
      <c r="M2106" s="152" t="s">
        <v>3392</v>
      </c>
    </row>
    <row r="2107" spans="1:13" ht="15" customHeight="1">
      <c r="A2107" s="146" t="s">
        <v>5929</v>
      </c>
      <c r="B2107" s="146">
        <v>516838</v>
      </c>
      <c r="C2107" s="147" t="s">
        <v>5930</v>
      </c>
      <c r="D2107" s="146" t="s">
        <v>5640</v>
      </c>
      <c r="E2107" s="147" t="s">
        <v>5640</v>
      </c>
      <c r="F2107" s="147" t="s">
        <v>5640</v>
      </c>
      <c r="G2107" s="146" t="s">
        <v>102</v>
      </c>
      <c r="H2107" s="146" t="s">
        <v>50</v>
      </c>
      <c r="I2107" s="147" t="s">
        <v>3449</v>
      </c>
      <c r="J2107" s="147" t="s">
        <v>104</v>
      </c>
      <c r="K2107" s="150" t="s">
        <v>5</v>
      </c>
      <c r="L2107" s="149">
        <v>46128</v>
      </c>
      <c r="M2107" s="151" t="s">
        <v>3392</v>
      </c>
    </row>
    <row r="2108" spans="1:13" ht="15" customHeight="1">
      <c r="A2108" s="142" t="s">
        <v>5931</v>
      </c>
      <c r="B2108" s="142">
        <v>517438</v>
      </c>
      <c r="C2108" s="143" t="s">
        <v>5932</v>
      </c>
      <c r="D2108" s="142" t="s">
        <v>5640</v>
      </c>
      <c r="E2108" s="143" t="s">
        <v>5888</v>
      </c>
      <c r="F2108" s="143" t="s">
        <v>5933</v>
      </c>
      <c r="G2108" s="142" t="s">
        <v>109</v>
      </c>
      <c r="H2108" s="142" t="s">
        <v>50</v>
      </c>
      <c r="I2108" s="143" t="s">
        <v>3449</v>
      </c>
      <c r="J2108" s="143" t="s">
        <v>104</v>
      </c>
      <c r="K2108" s="150" t="s">
        <v>5</v>
      </c>
      <c r="L2108" s="145">
        <v>46128</v>
      </c>
      <c r="M2108" s="152" t="s">
        <v>3392</v>
      </c>
    </row>
    <row r="2109" spans="1:13" ht="15" customHeight="1">
      <c r="A2109" s="146" t="s">
        <v>5934</v>
      </c>
      <c r="B2109" s="146">
        <v>517434</v>
      </c>
      <c r="C2109" s="147" t="s">
        <v>5935</v>
      </c>
      <c r="D2109" s="146" t="s">
        <v>5640</v>
      </c>
      <c r="E2109" s="147" t="s">
        <v>5773</v>
      </c>
      <c r="F2109" s="147" t="s">
        <v>5773</v>
      </c>
      <c r="G2109" s="146" t="s">
        <v>109</v>
      </c>
      <c r="H2109" s="146" t="s">
        <v>50</v>
      </c>
      <c r="I2109" s="147" t="s">
        <v>3449</v>
      </c>
      <c r="J2109" s="147" t="s">
        <v>104</v>
      </c>
      <c r="K2109" s="47" t="s">
        <v>18</v>
      </c>
      <c r="L2109" s="149">
        <v>46134</v>
      </c>
      <c r="M2109" s="151" t="s">
        <v>3392</v>
      </c>
    </row>
    <row r="2110" spans="1:13" ht="15" customHeight="1">
      <c r="A2110" s="142" t="s">
        <v>5936</v>
      </c>
      <c r="B2110" s="142">
        <v>517592</v>
      </c>
      <c r="C2110" s="143" t="s">
        <v>5937</v>
      </c>
      <c r="D2110" s="142" t="s">
        <v>5640</v>
      </c>
      <c r="E2110" s="143" t="s">
        <v>5938</v>
      </c>
      <c r="F2110" s="143" t="s">
        <v>5939</v>
      </c>
      <c r="G2110" s="142" t="s">
        <v>109</v>
      </c>
      <c r="H2110" s="142" t="s">
        <v>50</v>
      </c>
      <c r="I2110" s="143" t="s">
        <v>3449</v>
      </c>
      <c r="J2110" s="143" t="s">
        <v>104</v>
      </c>
      <c r="K2110" s="150" t="s">
        <v>5</v>
      </c>
      <c r="L2110" s="145">
        <v>46119</v>
      </c>
      <c r="M2110" s="152" t="s">
        <v>3392</v>
      </c>
    </row>
    <row r="2111" spans="1:13" ht="15" customHeight="1">
      <c r="A2111" s="146" t="s">
        <v>5940</v>
      </c>
      <c r="B2111" s="146">
        <v>517189</v>
      </c>
      <c r="C2111" s="147" t="s">
        <v>5941</v>
      </c>
      <c r="D2111" s="146" t="s">
        <v>5640</v>
      </c>
      <c r="E2111" s="147" t="s">
        <v>5868</v>
      </c>
      <c r="F2111" s="147" t="s">
        <v>5869</v>
      </c>
      <c r="G2111" s="146" t="s">
        <v>109</v>
      </c>
      <c r="H2111" s="146" t="s">
        <v>50</v>
      </c>
      <c r="I2111" s="147" t="s">
        <v>3449</v>
      </c>
      <c r="J2111" s="147" t="s">
        <v>104</v>
      </c>
      <c r="K2111" s="150" t="s">
        <v>5</v>
      </c>
      <c r="L2111" s="149">
        <v>46125</v>
      </c>
      <c r="M2111" s="151" t="s">
        <v>3392</v>
      </c>
    </row>
    <row r="2112" spans="1:13" ht="15" customHeight="1">
      <c r="A2112" s="142" t="s">
        <v>5942</v>
      </c>
      <c r="B2112" s="142">
        <v>513242</v>
      </c>
      <c r="C2112" s="143" t="s">
        <v>5943</v>
      </c>
      <c r="D2112" s="142" t="s">
        <v>5640</v>
      </c>
      <c r="E2112" s="143" t="s">
        <v>5944</v>
      </c>
      <c r="F2112" s="143" t="s">
        <v>5944</v>
      </c>
      <c r="G2112" s="142" t="s">
        <v>109</v>
      </c>
      <c r="H2112" s="142" t="s">
        <v>50</v>
      </c>
      <c r="I2112" s="143" t="s">
        <v>3449</v>
      </c>
      <c r="J2112" s="143" t="s">
        <v>104</v>
      </c>
      <c r="K2112" s="144" t="s">
        <v>121</v>
      </c>
      <c r="L2112" s="145">
        <v>46139</v>
      </c>
      <c r="M2112" s="144"/>
    </row>
    <row r="2113" spans="1:13" ht="15" customHeight="1">
      <c r="A2113" s="146" t="s">
        <v>5945</v>
      </c>
      <c r="B2113" s="146">
        <v>516885</v>
      </c>
      <c r="C2113" s="147" t="s">
        <v>5946</v>
      </c>
      <c r="D2113" s="146" t="s">
        <v>5640</v>
      </c>
      <c r="E2113" s="147" t="s">
        <v>5698</v>
      </c>
      <c r="F2113" s="147" t="s">
        <v>5947</v>
      </c>
      <c r="G2113" s="146" t="s">
        <v>109</v>
      </c>
      <c r="H2113" s="146" t="s">
        <v>50</v>
      </c>
      <c r="I2113" s="147" t="s">
        <v>3449</v>
      </c>
      <c r="J2113" s="147" t="s">
        <v>104</v>
      </c>
      <c r="K2113" s="150" t="s">
        <v>5</v>
      </c>
      <c r="L2113" s="149">
        <v>46108</v>
      </c>
      <c r="M2113" s="151" t="s">
        <v>3392</v>
      </c>
    </row>
    <row r="2114" spans="1:13" ht="15" customHeight="1">
      <c r="A2114" s="142" t="s">
        <v>5948</v>
      </c>
      <c r="B2114" s="142">
        <v>517268</v>
      </c>
      <c r="C2114" s="143" t="s">
        <v>5949</v>
      </c>
      <c r="D2114" s="142" t="s">
        <v>5640</v>
      </c>
      <c r="E2114" s="143" t="s">
        <v>5814</v>
      </c>
      <c r="F2114" s="143" t="s">
        <v>5950</v>
      </c>
      <c r="G2114" s="142" t="s">
        <v>109</v>
      </c>
      <c r="H2114" s="142" t="s">
        <v>50</v>
      </c>
      <c r="I2114" s="143" t="s">
        <v>3449</v>
      </c>
      <c r="J2114" s="143" t="s">
        <v>104</v>
      </c>
      <c r="K2114" s="144"/>
      <c r="L2114" s="145"/>
      <c r="M2114" s="144"/>
    </row>
    <row r="2115" spans="1:13" ht="15" customHeight="1">
      <c r="A2115" s="146" t="s">
        <v>5951</v>
      </c>
      <c r="B2115" s="146">
        <v>517432</v>
      </c>
      <c r="C2115" s="147" t="s">
        <v>5952</v>
      </c>
      <c r="D2115" s="146" t="s">
        <v>5640</v>
      </c>
      <c r="E2115" s="147" t="s">
        <v>5773</v>
      </c>
      <c r="F2115" s="147" t="s">
        <v>5953</v>
      </c>
      <c r="G2115" s="146" t="s">
        <v>109</v>
      </c>
      <c r="H2115" s="146" t="s">
        <v>50</v>
      </c>
      <c r="I2115" s="147" t="s">
        <v>3449</v>
      </c>
      <c r="J2115" s="147" t="s">
        <v>104</v>
      </c>
      <c r="K2115" s="150" t="s">
        <v>5</v>
      </c>
      <c r="L2115" s="149">
        <v>46125</v>
      </c>
      <c r="M2115" s="151" t="s">
        <v>3392</v>
      </c>
    </row>
    <row r="2116" spans="1:13" ht="15" customHeight="1">
      <c r="A2116" s="142" t="s">
        <v>5954</v>
      </c>
      <c r="B2116" s="142">
        <v>517346</v>
      </c>
      <c r="C2116" s="143" t="s">
        <v>5955</v>
      </c>
      <c r="D2116" s="142" t="s">
        <v>5640</v>
      </c>
      <c r="E2116" s="143" t="s">
        <v>5773</v>
      </c>
      <c r="F2116" s="143" t="s">
        <v>5956</v>
      </c>
      <c r="G2116" s="142" t="s">
        <v>109</v>
      </c>
      <c r="H2116" s="142" t="s">
        <v>50</v>
      </c>
      <c r="I2116" s="143" t="s">
        <v>3449</v>
      </c>
      <c r="J2116" s="143" t="s">
        <v>104</v>
      </c>
      <c r="K2116" s="150" t="s">
        <v>5</v>
      </c>
      <c r="L2116" s="145">
        <v>46127</v>
      </c>
      <c r="M2116" s="152" t="s">
        <v>3392</v>
      </c>
    </row>
    <row r="2117" spans="1:13" ht="15" customHeight="1">
      <c r="A2117" s="146" t="s">
        <v>5957</v>
      </c>
      <c r="B2117" s="146">
        <v>517426</v>
      </c>
      <c r="C2117" s="147" t="s">
        <v>5958</v>
      </c>
      <c r="D2117" s="146" t="s">
        <v>5640</v>
      </c>
      <c r="E2117" s="147" t="s">
        <v>5773</v>
      </c>
      <c r="F2117" s="147" t="s">
        <v>5959</v>
      </c>
      <c r="G2117" s="146" t="s">
        <v>109</v>
      </c>
      <c r="H2117" s="146" t="s">
        <v>50</v>
      </c>
      <c r="I2117" s="147" t="s">
        <v>3449</v>
      </c>
      <c r="J2117" s="147" t="s">
        <v>104</v>
      </c>
      <c r="K2117" s="153" t="s">
        <v>9</v>
      </c>
      <c r="L2117" s="149">
        <v>46132</v>
      </c>
      <c r="M2117" s="151" t="s">
        <v>3392</v>
      </c>
    </row>
    <row r="2118" spans="1:13" ht="15" customHeight="1">
      <c r="A2118" s="142" t="s">
        <v>5960</v>
      </c>
      <c r="B2118" s="142">
        <v>517065</v>
      </c>
      <c r="C2118" s="143" t="s">
        <v>5961</v>
      </c>
      <c r="D2118" s="142" t="s">
        <v>5640</v>
      </c>
      <c r="E2118" s="143" t="s">
        <v>5962</v>
      </c>
      <c r="F2118" s="143" t="s">
        <v>5962</v>
      </c>
      <c r="G2118" s="142" t="s">
        <v>109</v>
      </c>
      <c r="H2118" s="142" t="s">
        <v>52</v>
      </c>
      <c r="I2118" s="143" t="s">
        <v>2927</v>
      </c>
      <c r="J2118" s="143" t="s">
        <v>104</v>
      </c>
      <c r="K2118" s="144"/>
      <c r="L2118" s="145"/>
      <c r="M2118" s="144"/>
    </row>
    <row r="2119" spans="1:13" ht="15" customHeight="1">
      <c r="A2119" s="146" t="s">
        <v>5963</v>
      </c>
      <c r="B2119" s="146">
        <v>516937</v>
      </c>
      <c r="C2119" s="147" t="s">
        <v>5964</v>
      </c>
      <c r="D2119" s="146" t="s">
        <v>5640</v>
      </c>
      <c r="E2119" s="147" t="s">
        <v>5814</v>
      </c>
      <c r="F2119" s="147" t="s">
        <v>5965</v>
      </c>
      <c r="G2119" s="146" t="s">
        <v>102</v>
      </c>
      <c r="H2119" s="146" t="s">
        <v>50</v>
      </c>
      <c r="I2119" s="147" t="s">
        <v>3449</v>
      </c>
      <c r="J2119" s="147" t="s">
        <v>104</v>
      </c>
      <c r="K2119" s="148" t="s">
        <v>121</v>
      </c>
      <c r="L2119" s="149">
        <v>46148</v>
      </c>
      <c r="M2119" s="148"/>
    </row>
    <row r="2120" spans="1:13" ht="15" customHeight="1">
      <c r="A2120" s="142" t="s">
        <v>5966</v>
      </c>
      <c r="B2120" s="142">
        <v>517294</v>
      </c>
      <c r="C2120" s="143" t="s">
        <v>5967</v>
      </c>
      <c r="D2120" s="142" t="s">
        <v>5640</v>
      </c>
      <c r="E2120" s="143" t="s">
        <v>5770</v>
      </c>
      <c r="F2120" s="143" t="s">
        <v>5968</v>
      </c>
      <c r="G2120" s="142" t="s">
        <v>109</v>
      </c>
      <c r="H2120" s="142" t="s">
        <v>50</v>
      </c>
      <c r="I2120" s="143" t="s">
        <v>3449</v>
      </c>
      <c r="J2120" s="143" t="s">
        <v>104</v>
      </c>
      <c r="K2120" s="150" t="s">
        <v>5</v>
      </c>
      <c r="L2120" s="145">
        <v>46132</v>
      </c>
      <c r="M2120" s="152" t="s">
        <v>3392</v>
      </c>
    </row>
    <row r="2121" spans="1:13" ht="15" customHeight="1">
      <c r="A2121" s="146" t="s">
        <v>5969</v>
      </c>
      <c r="B2121" s="146">
        <v>516933</v>
      </c>
      <c r="C2121" s="147" t="s">
        <v>5970</v>
      </c>
      <c r="D2121" s="146" t="s">
        <v>5640</v>
      </c>
      <c r="E2121" s="147" t="s">
        <v>5814</v>
      </c>
      <c r="F2121" s="147" t="s">
        <v>5971</v>
      </c>
      <c r="G2121" s="146" t="s">
        <v>109</v>
      </c>
      <c r="H2121" s="146" t="s">
        <v>50</v>
      </c>
      <c r="I2121" s="147" t="s">
        <v>3449</v>
      </c>
      <c r="J2121" s="147" t="s">
        <v>104</v>
      </c>
      <c r="K2121" s="148" t="s">
        <v>121</v>
      </c>
      <c r="L2121" s="149">
        <v>46153</v>
      </c>
      <c r="M2121" s="148"/>
    </row>
    <row r="2122" spans="1:13" ht="15" customHeight="1">
      <c r="A2122" s="142" t="s">
        <v>5972</v>
      </c>
      <c r="B2122" s="142">
        <v>517052</v>
      </c>
      <c r="C2122" s="143" t="s">
        <v>5973</v>
      </c>
      <c r="D2122" s="142" t="s">
        <v>5640</v>
      </c>
      <c r="E2122" s="143" t="s">
        <v>5814</v>
      </c>
      <c r="F2122" s="143" t="s">
        <v>5974</v>
      </c>
      <c r="G2122" s="142" t="s">
        <v>109</v>
      </c>
      <c r="H2122" s="142" t="s">
        <v>50</v>
      </c>
      <c r="I2122" s="143" t="s">
        <v>3449</v>
      </c>
      <c r="J2122" s="143" t="s">
        <v>104</v>
      </c>
      <c r="K2122" s="144" t="s">
        <v>121</v>
      </c>
      <c r="L2122" s="145">
        <v>46150</v>
      </c>
      <c r="M2122" s="144"/>
    </row>
    <row r="2123" spans="1:13" ht="15" customHeight="1">
      <c r="A2123" s="146" t="s">
        <v>5975</v>
      </c>
      <c r="B2123" s="146">
        <v>517193</v>
      </c>
      <c r="C2123" s="147" t="s">
        <v>5976</v>
      </c>
      <c r="D2123" s="146" t="s">
        <v>5640</v>
      </c>
      <c r="E2123" s="147" t="s">
        <v>5814</v>
      </c>
      <c r="F2123" s="147" t="s">
        <v>5977</v>
      </c>
      <c r="G2123" s="146" t="s">
        <v>109</v>
      </c>
      <c r="H2123" s="146" t="s">
        <v>50</v>
      </c>
      <c r="I2123" s="147" t="s">
        <v>3449</v>
      </c>
      <c r="J2123" s="147" t="s">
        <v>104</v>
      </c>
      <c r="K2123" s="148" t="s">
        <v>121</v>
      </c>
      <c r="L2123" s="149">
        <v>46146</v>
      </c>
      <c r="M2123" s="148"/>
    </row>
    <row r="2124" spans="1:13" ht="15" customHeight="1">
      <c r="A2124" s="142" t="s">
        <v>5978</v>
      </c>
      <c r="B2124" s="142">
        <v>517064</v>
      </c>
      <c r="C2124" s="143" t="s">
        <v>5979</v>
      </c>
      <c r="D2124" s="142" t="s">
        <v>5640</v>
      </c>
      <c r="E2124" s="143" t="s">
        <v>5700</v>
      </c>
      <c r="F2124" s="143" t="s">
        <v>5980</v>
      </c>
      <c r="G2124" s="142" t="s">
        <v>102</v>
      </c>
      <c r="H2124" s="142" t="s">
        <v>50</v>
      </c>
      <c r="I2124" s="143" t="s">
        <v>3449</v>
      </c>
      <c r="J2124" s="143" t="s">
        <v>104</v>
      </c>
      <c r="K2124" s="150" t="s">
        <v>5</v>
      </c>
      <c r="L2124" s="145">
        <v>46132</v>
      </c>
      <c r="M2124" s="152" t="s">
        <v>3392</v>
      </c>
    </row>
    <row r="2125" spans="1:13" ht="15" customHeight="1">
      <c r="A2125" s="146" t="s">
        <v>5981</v>
      </c>
      <c r="B2125" s="146">
        <v>516982</v>
      </c>
      <c r="C2125" s="147" t="s">
        <v>5982</v>
      </c>
      <c r="D2125" s="146" t="s">
        <v>5640</v>
      </c>
      <c r="E2125" s="147" t="s">
        <v>5723</v>
      </c>
      <c r="F2125" s="147" t="s">
        <v>5983</v>
      </c>
      <c r="G2125" s="146" t="s">
        <v>109</v>
      </c>
      <c r="H2125" s="146" t="s">
        <v>50</v>
      </c>
      <c r="I2125" s="147" t="s">
        <v>3449</v>
      </c>
      <c r="J2125" s="147" t="s">
        <v>104</v>
      </c>
      <c r="K2125" s="148"/>
      <c r="L2125" s="149"/>
      <c r="M2125" s="148"/>
    </row>
    <row r="2126" spans="1:13" ht="15" customHeight="1">
      <c r="A2126" s="142" t="s">
        <v>5984</v>
      </c>
      <c r="B2126" s="142">
        <v>517472</v>
      </c>
      <c r="C2126" s="143" t="s">
        <v>5985</v>
      </c>
      <c r="D2126" s="142" t="s">
        <v>5640</v>
      </c>
      <c r="E2126" s="143" t="s">
        <v>5986</v>
      </c>
      <c r="F2126" s="143" t="s">
        <v>5987</v>
      </c>
      <c r="G2126" s="142" t="s">
        <v>102</v>
      </c>
      <c r="H2126" s="142" t="s">
        <v>50</v>
      </c>
      <c r="I2126" s="143" t="s">
        <v>3449</v>
      </c>
      <c r="J2126" s="143" t="s">
        <v>104</v>
      </c>
      <c r="K2126" s="144" t="s">
        <v>121</v>
      </c>
      <c r="L2126" s="145">
        <v>46136</v>
      </c>
      <c r="M2126" s="144"/>
    </row>
    <row r="2127" spans="1:13" ht="15" customHeight="1">
      <c r="A2127" s="146" t="s">
        <v>5988</v>
      </c>
      <c r="B2127" s="146">
        <v>518821</v>
      </c>
      <c r="C2127" s="147" t="s">
        <v>5989</v>
      </c>
      <c r="D2127" s="146" t="s">
        <v>5640</v>
      </c>
      <c r="E2127" s="147" t="s">
        <v>5986</v>
      </c>
      <c r="F2127" s="147" t="s">
        <v>5990</v>
      </c>
      <c r="G2127" s="146" t="s">
        <v>109</v>
      </c>
      <c r="H2127" s="146" t="s">
        <v>50</v>
      </c>
      <c r="I2127" s="147" t="s">
        <v>3449</v>
      </c>
      <c r="J2127" s="147" t="s">
        <v>104</v>
      </c>
      <c r="K2127" s="150" t="s">
        <v>5</v>
      </c>
      <c r="L2127" s="149">
        <v>46107</v>
      </c>
      <c r="M2127" s="151" t="s">
        <v>3392</v>
      </c>
    </row>
    <row r="2128" spans="1:13" ht="15" customHeight="1">
      <c r="A2128" s="142" t="s">
        <v>5991</v>
      </c>
      <c r="B2128" s="142">
        <v>516835</v>
      </c>
      <c r="C2128" s="143" t="s">
        <v>5992</v>
      </c>
      <c r="D2128" s="142" t="s">
        <v>5640</v>
      </c>
      <c r="E2128" s="143" t="s">
        <v>5640</v>
      </c>
      <c r="F2128" s="143" t="s">
        <v>5640</v>
      </c>
      <c r="G2128" s="142" t="s">
        <v>102</v>
      </c>
      <c r="H2128" s="142" t="s">
        <v>50</v>
      </c>
      <c r="I2128" s="143" t="s">
        <v>3449</v>
      </c>
      <c r="J2128" s="143" t="s">
        <v>104</v>
      </c>
      <c r="K2128" s="144" t="s">
        <v>121</v>
      </c>
      <c r="L2128" s="145">
        <v>46142</v>
      </c>
      <c r="M2128" s="144"/>
    </row>
    <row r="2129" spans="1:13" ht="15" customHeight="1">
      <c r="A2129" s="146" t="s">
        <v>5993</v>
      </c>
      <c r="B2129" s="146">
        <v>517019</v>
      </c>
      <c r="C2129" s="147" t="s">
        <v>3597</v>
      </c>
      <c r="D2129" s="146" t="s">
        <v>5640</v>
      </c>
      <c r="E2129" s="147" t="s">
        <v>5994</v>
      </c>
      <c r="F2129" s="147" t="s">
        <v>5994</v>
      </c>
      <c r="G2129" s="146" t="s">
        <v>109</v>
      </c>
      <c r="H2129" s="146" t="s">
        <v>50</v>
      </c>
      <c r="I2129" s="147" t="s">
        <v>3449</v>
      </c>
      <c r="J2129" s="147" t="s">
        <v>104</v>
      </c>
      <c r="K2129" s="150" t="s">
        <v>5</v>
      </c>
      <c r="L2129" s="149">
        <v>46134</v>
      </c>
      <c r="M2129" s="151" t="s">
        <v>3392</v>
      </c>
    </row>
    <row r="2130" spans="1:13" ht="15" customHeight="1">
      <c r="A2130" s="142" t="s">
        <v>5995</v>
      </c>
      <c r="B2130" s="142">
        <v>517629</v>
      </c>
      <c r="C2130" s="143" t="s">
        <v>5996</v>
      </c>
      <c r="D2130" s="142" t="s">
        <v>5640</v>
      </c>
      <c r="E2130" s="143" t="s">
        <v>5997</v>
      </c>
      <c r="F2130" s="143" t="s">
        <v>5998</v>
      </c>
      <c r="G2130" s="142" t="s">
        <v>109</v>
      </c>
      <c r="H2130" s="142" t="s">
        <v>50</v>
      </c>
      <c r="I2130" s="143" t="s">
        <v>3449</v>
      </c>
      <c r="J2130" s="143" t="s">
        <v>104</v>
      </c>
      <c r="K2130" s="144" t="s">
        <v>121</v>
      </c>
      <c r="L2130" s="145">
        <v>46149</v>
      </c>
      <c r="M2130" s="144"/>
    </row>
    <row r="2131" spans="1:13" ht="15" customHeight="1">
      <c r="A2131" s="146" t="s">
        <v>5999</v>
      </c>
      <c r="B2131" s="146">
        <v>516957</v>
      </c>
      <c r="C2131" s="147" t="s">
        <v>6000</v>
      </c>
      <c r="D2131" s="146" t="s">
        <v>5640</v>
      </c>
      <c r="E2131" s="147" t="s">
        <v>5861</v>
      </c>
      <c r="F2131" s="147" t="s">
        <v>6001</v>
      </c>
      <c r="G2131" s="146" t="s">
        <v>109</v>
      </c>
      <c r="H2131" s="146" t="s">
        <v>50</v>
      </c>
      <c r="I2131" s="147" t="s">
        <v>3449</v>
      </c>
      <c r="J2131" s="147" t="s">
        <v>104</v>
      </c>
      <c r="K2131" s="150" t="s">
        <v>5</v>
      </c>
      <c r="L2131" s="149">
        <v>46133</v>
      </c>
      <c r="M2131" s="151" t="s">
        <v>3392</v>
      </c>
    </row>
    <row r="2132" spans="1:13" ht="15" customHeight="1">
      <c r="A2132" s="142" t="s">
        <v>6002</v>
      </c>
      <c r="B2132" s="142">
        <v>517006</v>
      </c>
      <c r="C2132" s="143" t="s">
        <v>6003</v>
      </c>
      <c r="D2132" s="142" t="s">
        <v>5640</v>
      </c>
      <c r="E2132" s="143" t="s">
        <v>5938</v>
      </c>
      <c r="F2132" s="143" t="s">
        <v>6004</v>
      </c>
      <c r="G2132" s="142" t="s">
        <v>102</v>
      </c>
      <c r="H2132" s="142" t="s">
        <v>50</v>
      </c>
      <c r="I2132" s="143" t="s">
        <v>3449</v>
      </c>
      <c r="J2132" s="143" t="s">
        <v>104</v>
      </c>
      <c r="K2132" s="144"/>
      <c r="L2132" s="145"/>
      <c r="M2132" s="144"/>
    </row>
    <row r="2133" spans="1:13" ht="15" customHeight="1">
      <c r="A2133" s="146" t="s">
        <v>6005</v>
      </c>
      <c r="B2133" s="146">
        <v>517003</v>
      </c>
      <c r="C2133" s="147" t="s">
        <v>6006</v>
      </c>
      <c r="D2133" s="146" t="s">
        <v>5640</v>
      </c>
      <c r="E2133" s="147" t="s">
        <v>5938</v>
      </c>
      <c r="F2133" s="147" t="s">
        <v>6007</v>
      </c>
      <c r="G2133" s="146" t="s">
        <v>109</v>
      </c>
      <c r="H2133" s="146" t="s">
        <v>50</v>
      </c>
      <c r="I2133" s="147" t="s">
        <v>3449</v>
      </c>
      <c r="J2133" s="147" t="s">
        <v>104</v>
      </c>
      <c r="K2133" s="148"/>
      <c r="L2133" s="149"/>
      <c r="M2133" s="148"/>
    </row>
    <row r="2134" spans="1:13" ht="15" customHeight="1">
      <c r="A2134" s="142" t="s">
        <v>6008</v>
      </c>
      <c r="B2134" s="142">
        <v>517593</v>
      </c>
      <c r="C2134" s="143" t="s">
        <v>6009</v>
      </c>
      <c r="D2134" s="142" t="s">
        <v>5640</v>
      </c>
      <c r="E2134" s="143" t="s">
        <v>5938</v>
      </c>
      <c r="F2134" s="143" t="s">
        <v>6010</v>
      </c>
      <c r="G2134" s="142" t="s">
        <v>109</v>
      </c>
      <c r="H2134" s="142" t="s">
        <v>50</v>
      </c>
      <c r="I2134" s="143" t="s">
        <v>3449</v>
      </c>
      <c r="J2134" s="143" t="s">
        <v>104</v>
      </c>
      <c r="K2134" s="150" t="s">
        <v>5</v>
      </c>
      <c r="L2134" s="145">
        <v>46125</v>
      </c>
      <c r="M2134" s="152" t="s">
        <v>3392</v>
      </c>
    </row>
    <row r="2135" spans="1:13" ht="15" customHeight="1">
      <c r="A2135" s="146" t="s">
        <v>6011</v>
      </c>
      <c r="B2135" s="146">
        <v>516824</v>
      </c>
      <c r="C2135" s="147" t="s">
        <v>6012</v>
      </c>
      <c r="D2135" s="146" t="s">
        <v>5640</v>
      </c>
      <c r="E2135" s="147" t="s">
        <v>5640</v>
      </c>
      <c r="F2135" s="147" t="s">
        <v>5640</v>
      </c>
      <c r="G2135" s="146" t="s">
        <v>102</v>
      </c>
      <c r="H2135" s="146" t="s">
        <v>50</v>
      </c>
      <c r="I2135" s="147" t="s">
        <v>3449</v>
      </c>
      <c r="J2135" s="147" t="s">
        <v>104</v>
      </c>
      <c r="K2135" s="150" t="s">
        <v>5</v>
      </c>
      <c r="L2135" s="149">
        <v>46135</v>
      </c>
      <c r="M2135" s="151" t="s">
        <v>3392</v>
      </c>
    </row>
    <row r="2136" spans="1:13" ht="15" customHeight="1">
      <c r="A2136" s="142" t="s">
        <v>6013</v>
      </c>
      <c r="B2136" s="142">
        <v>517289</v>
      </c>
      <c r="C2136" s="143" t="s">
        <v>6014</v>
      </c>
      <c r="D2136" s="142" t="s">
        <v>5640</v>
      </c>
      <c r="E2136" s="143" t="s">
        <v>5640</v>
      </c>
      <c r="F2136" s="143" t="s">
        <v>6015</v>
      </c>
      <c r="G2136" s="142" t="s">
        <v>102</v>
      </c>
      <c r="H2136" s="142" t="s">
        <v>50</v>
      </c>
      <c r="I2136" s="143" t="s">
        <v>3449</v>
      </c>
      <c r="J2136" s="143" t="s">
        <v>104</v>
      </c>
      <c r="K2136" s="150" t="s">
        <v>5</v>
      </c>
      <c r="L2136" s="145">
        <v>46125</v>
      </c>
      <c r="M2136" s="152" t="s">
        <v>3392</v>
      </c>
    </row>
    <row r="2137" spans="1:13" ht="15" customHeight="1">
      <c r="A2137" s="146" t="s">
        <v>6016</v>
      </c>
      <c r="B2137" s="146">
        <v>516863</v>
      </c>
      <c r="C2137" s="147" t="s">
        <v>6017</v>
      </c>
      <c r="D2137" s="146" t="s">
        <v>5640</v>
      </c>
      <c r="E2137" s="147" t="s">
        <v>5640</v>
      </c>
      <c r="F2137" s="147" t="s">
        <v>6018</v>
      </c>
      <c r="G2137" s="146" t="s">
        <v>102</v>
      </c>
      <c r="H2137" s="146" t="s">
        <v>50</v>
      </c>
      <c r="I2137" s="147" t="s">
        <v>3449</v>
      </c>
      <c r="J2137" s="147" t="s">
        <v>104</v>
      </c>
      <c r="K2137" s="150" t="s">
        <v>5</v>
      </c>
      <c r="L2137" s="149">
        <v>46108</v>
      </c>
      <c r="M2137" s="151" t="s">
        <v>3392</v>
      </c>
    </row>
    <row r="2138" spans="1:13" ht="15" customHeight="1">
      <c r="A2138" s="142" t="s">
        <v>6019</v>
      </c>
      <c r="B2138" s="142">
        <v>516968</v>
      </c>
      <c r="C2138" s="143" t="s">
        <v>6020</v>
      </c>
      <c r="D2138" s="142" t="s">
        <v>5640</v>
      </c>
      <c r="E2138" s="143" t="s">
        <v>5640</v>
      </c>
      <c r="F2138" s="143" t="s">
        <v>6021</v>
      </c>
      <c r="G2138" s="142" t="s">
        <v>109</v>
      </c>
      <c r="H2138" s="142" t="s">
        <v>50</v>
      </c>
      <c r="I2138" s="143" t="s">
        <v>3449</v>
      </c>
      <c r="J2138" s="143" t="s">
        <v>104</v>
      </c>
      <c r="K2138" s="150" t="s">
        <v>5</v>
      </c>
      <c r="L2138" s="145">
        <v>46127</v>
      </c>
      <c r="M2138" s="152" t="s">
        <v>3392</v>
      </c>
    </row>
    <row r="2139" spans="1:13" ht="15" customHeight="1">
      <c r="A2139" s="146" t="s">
        <v>6022</v>
      </c>
      <c r="B2139" s="146">
        <v>516842</v>
      </c>
      <c r="C2139" s="147" t="s">
        <v>6023</v>
      </c>
      <c r="D2139" s="146" t="s">
        <v>5640</v>
      </c>
      <c r="E2139" s="147" t="s">
        <v>5640</v>
      </c>
      <c r="F2139" s="147" t="s">
        <v>6024</v>
      </c>
      <c r="G2139" s="146" t="s">
        <v>102</v>
      </c>
      <c r="H2139" s="146" t="s">
        <v>50</v>
      </c>
      <c r="I2139" s="147" t="s">
        <v>3449</v>
      </c>
      <c r="J2139" s="147" t="s">
        <v>104</v>
      </c>
      <c r="K2139" s="153" t="s">
        <v>9</v>
      </c>
      <c r="L2139" s="149">
        <v>46128</v>
      </c>
      <c r="M2139" s="151" t="s">
        <v>3392</v>
      </c>
    </row>
    <row r="2140" spans="1:13" ht="15" customHeight="1">
      <c r="A2140" s="142" t="s">
        <v>6025</v>
      </c>
      <c r="B2140" s="142">
        <v>516991</v>
      </c>
      <c r="C2140" s="143" t="s">
        <v>6026</v>
      </c>
      <c r="D2140" s="142" t="s">
        <v>5640</v>
      </c>
      <c r="E2140" s="143" t="s">
        <v>5717</v>
      </c>
      <c r="F2140" s="143" t="s">
        <v>6027</v>
      </c>
      <c r="G2140" s="142" t="s">
        <v>109</v>
      </c>
      <c r="H2140" s="142" t="s">
        <v>50</v>
      </c>
      <c r="I2140" s="143" t="s">
        <v>3449</v>
      </c>
      <c r="J2140" s="143" t="s">
        <v>104</v>
      </c>
      <c r="K2140" s="150" t="s">
        <v>5</v>
      </c>
      <c r="L2140" s="145">
        <v>46108</v>
      </c>
      <c r="M2140" s="152" t="s">
        <v>3392</v>
      </c>
    </row>
    <row r="2141" spans="1:13" ht="15" customHeight="1">
      <c r="A2141" s="146" t="s">
        <v>6028</v>
      </c>
      <c r="B2141" s="146">
        <v>517005</v>
      </c>
      <c r="C2141" s="147" t="s">
        <v>1431</v>
      </c>
      <c r="D2141" s="146" t="s">
        <v>5640</v>
      </c>
      <c r="E2141" s="147" t="s">
        <v>5944</v>
      </c>
      <c r="F2141" s="147" t="s">
        <v>6029</v>
      </c>
      <c r="G2141" s="146" t="s">
        <v>102</v>
      </c>
      <c r="H2141" s="146" t="s">
        <v>50</v>
      </c>
      <c r="I2141" s="147" t="s">
        <v>3449</v>
      </c>
      <c r="J2141" s="147" t="s">
        <v>104</v>
      </c>
      <c r="K2141" s="150" t="s">
        <v>5</v>
      </c>
      <c r="L2141" s="149">
        <v>46108</v>
      </c>
      <c r="M2141" s="151" t="s">
        <v>3392</v>
      </c>
    </row>
    <row r="2142" spans="1:13" ht="15" customHeight="1">
      <c r="A2142" s="142" t="s">
        <v>6030</v>
      </c>
      <c r="B2142" s="142">
        <v>516989</v>
      </c>
      <c r="C2142" s="143" t="s">
        <v>6031</v>
      </c>
      <c r="D2142" s="142" t="s">
        <v>5640</v>
      </c>
      <c r="E2142" s="143" t="s">
        <v>5717</v>
      </c>
      <c r="F2142" s="143" t="s">
        <v>6032</v>
      </c>
      <c r="G2142" s="142" t="s">
        <v>102</v>
      </c>
      <c r="H2142" s="142" t="s">
        <v>50</v>
      </c>
      <c r="I2142" s="143" t="s">
        <v>3449</v>
      </c>
      <c r="J2142" s="143" t="s">
        <v>104</v>
      </c>
      <c r="K2142" s="150" t="s">
        <v>5</v>
      </c>
      <c r="L2142" s="145">
        <v>46107</v>
      </c>
      <c r="M2142" s="152" t="s">
        <v>3392</v>
      </c>
    </row>
    <row r="2143" spans="1:13" ht="15" customHeight="1">
      <c r="A2143" s="146" t="s">
        <v>6033</v>
      </c>
      <c r="B2143" s="146">
        <v>516988</v>
      </c>
      <c r="C2143" s="147" t="s">
        <v>6034</v>
      </c>
      <c r="D2143" s="146" t="s">
        <v>5640</v>
      </c>
      <c r="E2143" s="147" t="s">
        <v>6035</v>
      </c>
      <c r="F2143" s="147" t="s">
        <v>6035</v>
      </c>
      <c r="G2143" s="146" t="s">
        <v>109</v>
      </c>
      <c r="H2143" s="146" t="s">
        <v>50</v>
      </c>
      <c r="I2143" s="147" t="s">
        <v>3449</v>
      </c>
      <c r="J2143" s="147" t="s">
        <v>104</v>
      </c>
      <c r="K2143" s="148" t="s">
        <v>121</v>
      </c>
      <c r="L2143" s="149">
        <v>46146</v>
      </c>
      <c r="M2143" s="148"/>
    </row>
    <row r="2144" spans="1:13" ht="15" customHeight="1">
      <c r="A2144" s="142" t="s">
        <v>6036</v>
      </c>
      <c r="B2144" s="142">
        <v>516942</v>
      </c>
      <c r="C2144" s="143" t="s">
        <v>6037</v>
      </c>
      <c r="D2144" s="142" t="s">
        <v>5640</v>
      </c>
      <c r="E2144" s="143" t="s">
        <v>5661</v>
      </c>
      <c r="F2144" s="143" t="s">
        <v>6038</v>
      </c>
      <c r="G2144" s="142" t="s">
        <v>109</v>
      </c>
      <c r="H2144" s="142" t="s">
        <v>50</v>
      </c>
      <c r="I2144" s="143" t="s">
        <v>3449</v>
      </c>
      <c r="J2144" s="143" t="s">
        <v>104</v>
      </c>
      <c r="K2144" s="144" t="s">
        <v>121</v>
      </c>
      <c r="L2144" s="145">
        <v>46153</v>
      </c>
      <c r="M2144" s="144"/>
    </row>
    <row r="2145" spans="1:13" ht="15" customHeight="1">
      <c r="A2145" s="146" t="s">
        <v>6039</v>
      </c>
      <c r="B2145" s="146">
        <v>517259</v>
      </c>
      <c r="C2145" s="147" t="s">
        <v>6040</v>
      </c>
      <c r="D2145" s="146" t="s">
        <v>5640</v>
      </c>
      <c r="E2145" s="147" t="s">
        <v>5796</v>
      </c>
      <c r="F2145" s="147" t="s">
        <v>6041</v>
      </c>
      <c r="G2145" s="146" t="s">
        <v>109</v>
      </c>
      <c r="H2145" s="146" t="s">
        <v>50</v>
      </c>
      <c r="I2145" s="147" t="s">
        <v>3449</v>
      </c>
      <c r="J2145" s="147" t="s">
        <v>104</v>
      </c>
      <c r="K2145" s="148" t="s">
        <v>162</v>
      </c>
      <c r="L2145" s="149">
        <v>46140</v>
      </c>
      <c r="M2145" s="154" t="s">
        <v>4999</v>
      </c>
    </row>
    <row r="2146" spans="1:13" ht="15" customHeight="1">
      <c r="A2146" s="142" t="s">
        <v>6042</v>
      </c>
      <c r="B2146" s="142">
        <v>517240</v>
      </c>
      <c r="C2146" s="143" t="s">
        <v>6043</v>
      </c>
      <c r="D2146" s="142" t="s">
        <v>5640</v>
      </c>
      <c r="E2146" s="143" t="s">
        <v>5698</v>
      </c>
      <c r="F2146" s="143" t="s">
        <v>6044</v>
      </c>
      <c r="G2146" s="142" t="s">
        <v>109</v>
      </c>
      <c r="H2146" s="142" t="s">
        <v>50</v>
      </c>
      <c r="I2146" s="143" t="s">
        <v>3449</v>
      </c>
      <c r="J2146" s="143" t="s">
        <v>104</v>
      </c>
      <c r="K2146" s="150" t="s">
        <v>5</v>
      </c>
      <c r="L2146" s="145">
        <v>46108</v>
      </c>
      <c r="M2146" s="152" t="s">
        <v>3392</v>
      </c>
    </row>
    <row r="2147" spans="1:13" ht="15" customHeight="1">
      <c r="A2147" s="146" t="s">
        <v>6045</v>
      </c>
      <c r="B2147" s="146">
        <v>517258</v>
      </c>
      <c r="C2147" s="147" t="s">
        <v>6046</v>
      </c>
      <c r="D2147" s="146" t="s">
        <v>5640</v>
      </c>
      <c r="E2147" s="147" t="s">
        <v>5796</v>
      </c>
      <c r="F2147" s="147" t="s">
        <v>6047</v>
      </c>
      <c r="G2147" s="146" t="s">
        <v>109</v>
      </c>
      <c r="H2147" s="146" t="s">
        <v>50</v>
      </c>
      <c r="I2147" s="147" t="s">
        <v>3449</v>
      </c>
      <c r="J2147" s="147" t="s">
        <v>104</v>
      </c>
      <c r="K2147" s="148" t="s">
        <v>121</v>
      </c>
      <c r="L2147" s="149">
        <v>46140</v>
      </c>
      <c r="M2147" s="148"/>
    </row>
    <row r="2148" spans="1:13" ht="15" customHeight="1">
      <c r="A2148" s="142" t="s">
        <v>6048</v>
      </c>
      <c r="B2148" s="142">
        <v>516958</v>
      </c>
      <c r="C2148" s="143" t="s">
        <v>6049</v>
      </c>
      <c r="D2148" s="142" t="s">
        <v>5640</v>
      </c>
      <c r="E2148" s="143" t="s">
        <v>5698</v>
      </c>
      <c r="F2148" s="143" t="s">
        <v>6050</v>
      </c>
      <c r="G2148" s="142" t="s">
        <v>109</v>
      </c>
      <c r="H2148" s="142" t="s">
        <v>50</v>
      </c>
      <c r="I2148" s="143" t="s">
        <v>3449</v>
      </c>
      <c r="J2148" s="143" t="s">
        <v>104</v>
      </c>
      <c r="K2148" s="144"/>
      <c r="L2148" s="145"/>
      <c r="M2148" s="144"/>
    </row>
    <row r="2149" spans="1:13" ht="15" customHeight="1">
      <c r="A2149" s="146" t="s">
        <v>6051</v>
      </c>
      <c r="B2149" s="146">
        <v>516886</v>
      </c>
      <c r="C2149" s="147" t="s">
        <v>6052</v>
      </c>
      <c r="D2149" s="146" t="s">
        <v>5640</v>
      </c>
      <c r="E2149" s="147" t="s">
        <v>5698</v>
      </c>
      <c r="F2149" s="147" t="s">
        <v>5902</v>
      </c>
      <c r="G2149" s="146" t="s">
        <v>109</v>
      </c>
      <c r="H2149" s="146" t="s">
        <v>50</v>
      </c>
      <c r="I2149" s="147" t="s">
        <v>3449</v>
      </c>
      <c r="J2149" s="147" t="s">
        <v>104</v>
      </c>
      <c r="K2149" s="148" t="s">
        <v>121</v>
      </c>
      <c r="L2149" s="149">
        <v>46147</v>
      </c>
      <c r="M2149" s="148"/>
    </row>
    <row r="2150" spans="1:13" ht="15" customHeight="1">
      <c r="A2150" s="142" t="s">
        <v>6053</v>
      </c>
      <c r="B2150" s="142">
        <v>517250</v>
      </c>
      <c r="C2150" s="143" t="s">
        <v>6054</v>
      </c>
      <c r="D2150" s="142" t="s">
        <v>5640</v>
      </c>
      <c r="E2150" s="143" t="s">
        <v>6055</v>
      </c>
      <c r="F2150" s="143" t="s">
        <v>6055</v>
      </c>
      <c r="G2150" s="142" t="s">
        <v>109</v>
      </c>
      <c r="H2150" s="142" t="s">
        <v>50</v>
      </c>
      <c r="I2150" s="143" t="s">
        <v>3449</v>
      </c>
      <c r="J2150" s="143" t="s">
        <v>104</v>
      </c>
      <c r="K2150" s="144" t="s">
        <v>121</v>
      </c>
      <c r="L2150" s="145">
        <v>46150</v>
      </c>
      <c r="M2150" s="144"/>
    </row>
    <row r="2151" spans="1:13" ht="15" customHeight="1">
      <c r="A2151" s="146" t="s">
        <v>6056</v>
      </c>
      <c r="B2151" s="146">
        <v>517386</v>
      </c>
      <c r="C2151" s="147" t="s">
        <v>6057</v>
      </c>
      <c r="D2151" s="146" t="s">
        <v>5640</v>
      </c>
      <c r="E2151" s="147" t="s">
        <v>6055</v>
      </c>
      <c r="F2151" s="147" t="s">
        <v>6058</v>
      </c>
      <c r="G2151" s="146" t="s">
        <v>109</v>
      </c>
      <c r="H2151" s="146" t="s">
        <v>50</v>
      </c>
      <c r="I2151" s="147" t="s">
        <v>3449</v>
      </c>
      <c r="J2151" s="147" t="s">
        <v>104</v>
      </c>
      <c r="K2151" s="148" t="s">
        <v>162</v>
      </c>
      <c r="L2151" s="149">
        <v>46141</v>
      </c>
      <c r="M2151" s="148" t="s">
        <v>1740</v>
      </c>
    </row>
    <row r="2152" spans="1:13" ht="15" customHeight="1">
      <c r="A2152" s="142" t="s">
        <v>6059</v>
      </c>
      <c r="B2152" s="142">
        <v>517293</v>
      </c>
      <c r="C2152" s="143" t="s">
        <v>6060</v>
      </c>
      <c r="D2152" s="142" t="s">
        <v>5640</v>
      </c>
      <c r="E2152" s="143" t="s">
        <v>6055</v>
      </c>
      <c r="F2152" s="143" t="s">
        <v>6061</v>
      </c>
      <c r="G2152" s="142" t="s">
        <v>109</v>
      </c>
      <c r="H2152" s="142" t="s">
        <v>50</v>
      </c>
      <c r="I2152" s="143" t="s">
        <v>3449</v>
      </c>
      <c r="J2152" s="143" t="s">
        <v>104</v>
      </c>
      <c r="K2152" s="144" t="s">
        <v>121</v>
      </c>
      <c r="L2152" s="145">
        <v>46143</v>
      </c>
      <c r="M2152" s="144"/>
    </row>
    <row r="2153" spans="1:13" ht="15" customHeight="1">
      <c r="A2153" s="146" t="s">
        <v>6062</v>
      </c>
      <c r="B2153" s="146">
        <v>517452</v>
      </c>
      <c r="C2153" s="147" t="s">
        <v>6063</v>
      </c>
      <c r="D2153" s="146" t="s">
        <v>5640</v>
      </c>
      <c r="E2153" s="147" t="s">
        <v>6064</v>
      </c>
      <c r="F2153" s="147" t="s">
        <v>6064</v>
      </c>
      <c r="G2153" s="146" t="s">
        <v>109</v>
      </c>
      <c r="H2153" s="146" t="s">
        <v>50</v>
      </c>
      <c r="I2153" s="147" t="s">
        <v>3449</v>
      </c>
      <c r="J2153" s="147" t="s">
        <v>104</v>
      </c>
      <c r="K2153" s="148" t="s">
        <v>121</v>
      </c>
      <c r="L2153" s="149">
        <v>46142</v>
      </c>
      <c r="M2153" s="148"/>
    </row>
    <row r="2154" spans="1:13" ht="15" customHeight="1">
      <c r="A2154" s="142" t="s">
        <v>6065</v>
      </c>
      <c r="B2154" s="142">
        <v>517460</v>
      </c>
      <c r="C2154" s="143" t="s">
        <v>6066</v>
      </c>
      <c r="D2154" s="142" t="s">
        <v>5640</v>
      </c>
      <c r="E2154" s="143" t="s">
        <v>6067</v>
      </c>
      <c r="F2154" s="143" t="s">
        <v>6068</v>
      </c>
      <c r="G2154" s="142" t="s">
        <v>109</v>
      </c>
      <c r="H2154" s="142" t="s">
        <v>50</v>
      </c>
      <c r="I2154" s="143" t="s">
        <v>3449</v>
      </c>
      <c r="J2154" s="143" t="s">
        <v>104</v>
      </c>
      <c r="K2154" s="144" t="s">
        <v>121</v>
      </c>
      <c r="L2154" s="145">
        <v>46150</v>
      </c>
      <c r="M2154" s="144"/>
    </row>
    <row r="2155" spans="1:13" ht="15" customHeight="1">
      <c r="A2155" s="146" t="s">
        <v>6069</v>
      </c>
      <c r="B2155" s="146">
        <v>517027</v>
      </c>
      <c r="C2155" s="147" t="s">
        <v>6070</v>
      </c>
      <c r="D2155" s="146" t="s">
        <v>5640</v>
      </c>
      <c r="E2155" s="147" t="s">
        <v>6067</v>
      </c>
      <c r="F2155" s="147" t="s">
        <v>6071</v>
      </c>
      <c r="G2155" s="146" t="s">
        <v>102</v>
      </c>
      <c r="H2155" s="146" t="s">
        <v>50</v>
      </c>
      <c r="I2155" s="147" t="s">
        <v>3449</v>
      </c>
      <c r="J2155" s="147" t="s">
        <v>104</v>
      </c>
      <c r="K2155" s="148"/>
      <c r="L2155" s="149"/>
      <c r="M2155" s="148"/>
    </row>
    <row r="2156" spans="1:13" ht="15" customHeight="1">
      <c r="A2156" s="142" t="s">
        <v>6072</v>
      </c>
      <c r="B2156" s="142">
        <v>517026</v>
      </c>
      <c r="C2156" s="143" t="s">
        <v>6073</v>
      </c>
      <c r="D2156" s="142" t="s">
        <v>5640</v>
      </c>
      <c r="E2156" s="143" t="s">
        <v>6067</v>
      </c>
      <c r="F2156" s="143" t="s">
        <v>6074</v>
      </c>
      <c r="G2156" s="142" t="s">
        <v>109</v>
      </c>
      <c r="H2156" s="142" t="s">
        <v>50</v>
      </c>
      <c r="I2156" s="143" t="s">
        <v>3449</v>
      </c>
      <c r="J2156" s="143" t="s">
        <v>104</v>
      </c>
      <c r="K2156" s="144"/>
      <c r="L2156" s="145"/>
      <c r="M2156" s="144"/>
    </row>
    <row r="2157" spans="1:13" ht="15" customHeight="1">
      <c r="A2157" s="146" t="s">
        <v>6075</v>
      </c>
      <c r="B2157" s="146">
        <v>517454</v>
      </c>
      <c r="C2157" s="147" t="s">
        <v>6076</v>
      </c>
      <c r="D2157" s="146" t="s">
        <v>5640</v>
      </c>
      <c r="E2157" s="147" t="s">
        <v>6067</v>
      </c>
      <c r="F2157" s="147" t="s">
        <v>2816</v>
      </c>
      <c r="G2157" s="146" t="s">
        <v>109</v>
      </c>
      <c r="H2157" s="146" t="s">
        <v>50</v>
      </c>
      <c r="I2157" s="147" t="s">
        <v>3449</v>
      </c>
      <c r="J2157" s="147" t="s">
        <v>104</v>
      </c>
      <c r="K2157" s="148" t="s">
        <v>121</v>
      </c>
      <c r="L2157" s="149">
        <v>46141</v>
      </c>
      <c r="M2157" s="148"/>
    </row>
    <row r="2158" spans="1:13" ht="15" customHeight="1">
      <c r="A2158" s="142" t="s">
        <v>6077</v>
      </c>
      <c r="B2158" s="142">
        <v>517009</v>
      </c>
      <c r="C2158" s="143" t="s">
        <v>798</v>
      </c>
      <c r="D2158" s="142" t="s">
        <v>5640</v>
      </c>
      <c r="E2158" s="143" t="s">
        <v>6067</v>
      </c>
      <c r="F2158" s="143" t="s">
        <v>6078</v>
      </c>
      <c r="G2158" s="142" t="s">
        <v>109</v>
      </c>
      <c r="H2158" s="142" t="s">
        <v>50</v>
      </c>
      <c r="I2158" s="143" t="s">
        <v>3449</v>
      </c>
      <c r="J2158" s="143" t="s">
        <v>104</v>
      </c>
      <c r="K2158" s="144" t="s">
        <v>121</v>
      </c>
      <c r="L2158" s="145">
        <v>46153</v>
      </c>
      <c r="M2158" s="144"/>
    </row>
    <row r="2159" spans="1:13" ht="15" customHeight="1">
      <c r="A2159" s="146" t="s">
        <v>6079</v>
      </c>
      <c r="B2159" s="146">
        <v>517507</v>
      </c>
      <c r="C2159" s="147" t="s">
        <v>6080</v>
      </c>
      <c r="D2159" s="146" t="s">
        <v>5640</v>
      </c>
      <c r="E2159" s="147" t="s">
        <v>5811</v>
      </c>
      <c r="F2159" s="147" t="s">
        <v>5872</v>
      </c>
      <c r="G2159" s="146" t="s">
        <v>109</v>
      </c>
      <c r="H2159" s="146" t="s">
        <v>50</v>
      </c>
      <c r="I2159" s="147" t="s">
        <v>3449</v>
      </c>
      <c r="J2159" s="147" t="s">
        <v>104</v>
      </c>
      <c r="K2159" s="150" t="s">
        <v>5</v>
      </c>
      <c r="L2159" s="149">
        <v>46132</v>
      </c>
      <c r="M2159" s="151" t="s">
        <v>3392</v>
      </c>
    </row>
    <row r="2160" spans="1:13" ht="15" customHeight="1">
      <c r="A2160" s="142" t="s">
        <v>6081</v>
      </c>
      <c r="B2160" s="142">
        <v>517505</v>
      </c>
      <c r="C2160" s="143" t="s">
        <v>6082</v>
      </c>
      <c r="D2160" s="142" t="s">
        <v>5640</v>
      </c>
      <c r="E2160" s="143" t="s">
        <v>5811</v>
      </c>
      <c r="F2160" s="143" t="s">
        <v>1428</v>
      </c>
      <c r="G2160" s="142" t="s">
        <v>109</v>
      </c>
      <c r="H2160" s="142" t="s">
        <v>50</v>
      </c>
      <c r="I2160" s="143" t="s">
        <v>3449</v>
      </c>
      <c r="J2160" s="143" t="s">
        <v>104</v>
      </c>
      <c r="K2160" s="150" t="s">
        <v>5</v>
      </c>
      <c r="L2160" s="145">
        <v>46133</v>
      </c>
      <c r="M2160" s="152" t="s">
        <v>3392</v>
      </c>
    </row>
    <row r="2161" spans="1:13" ht="15" customHeight="1">
      <c r="A2161" s="146" t="s">
        <v>6083</v>
      </c>
      <c r="B2161" s="146">
        <v>517107</v>
      </c>
      <c r="C2161" s="147" t="s">
        <v>1212</v>
      </c>
      <c r="D2161" s="146" t="s">
        <v>5640</v>
      </c>
      <c r="E2161" s="147" t="s">
        <v>5658</v>
      </c>
      <c r="F2161" s="147" t="s">
        <v>6084</v>
      </c>
      <c r="G2161" s="146" t="s">
        <v>102</v>
      </c>
      <c r="H2161" s="146" t="s">
        <v>50</v>
      </c>
      <c r="I2161" s="147" t="s">
        <v>3449</v>
      </c>
      <c r="J2161" s="147" t="s">
        <v>104</v>
      </c>
      <c r="K2161" s="150" t="s">
        <v>5</v>
      </c>
      <c r="L2161" s="149">
        <v>46135</v>
      </c>
      <c r="M2161" s="151" t="s">
        <v>3392</v>
      </c>
    </row>
    <row r="2162" spans="1:13" ht="15" customHeight="1">
      <c r="A2162" s="142" t="s">
        <v>6085</v>
      </c>
      <c r="B2162" s="142">
        <v>517079</v>
      </c>
      <c r="C2162" s="143" t="s">
        <v>6086</v>
      </c>
      <c r="D2162" s="142" t="s">
        <v>5640</v>
      </c>
      <c r="E2162" s="143" t="s">
        <v>5658</v>
      </c>
      <c r="F2162" s="143" t="s">
        <v>6087</v>
      </c>
      <c r="G2162" s="142" t="s">
        <v>109</v>
      </c>
      <c r="H2162" s="142" t="s">
        <v>50</v>
      </c>
      <c r="I2162" s="143" t="s">
        <v>3449</v>
      </c>
      <c r="J2162" s="143" t="s">
        <v>104</v>
      </c>
      <c r="K2162" s="150" t="s">
        <v>5</v>
      </c>
      <c r="L2162" s="145">
        <v>46134</v>
      </c>
      <c r="M2162" s="152" t="s">
        <v>3392</v>
      </c>
    </row>
    <row r="2163" spans="1:13" ht="15" customHeight="1">
      <c r="A2163" s="146" t="s">
        <v>6088</v>
      </c>
      <c r="B2163" s="146">
        <v>517008</v>
      </c>
      <c r="C2163" s="147" t="s">
        <v>6089</v>
      </c>
      <c r="D2163" s="146" t="s">
        <v>5640</v>
      </c>
      <c r="E2163" s="147" t="s">
        <v>6067</v>
      </c>
      <c r="F2163" s="147" t="s">
        <v>6090</v>
      </c>
      <c r="G2163" s="146" t="s">
        <v>109</v>
      </c>
      <c r="H2163" s="146" t="s">
        <v>50</v>
      </c>
      <c r="I2163" s="147" t="s">
        <v>3449</v>
      </c>
      <c r="J2163" s="147" t="s">
        <v>104</v>
      </c>
      <c r="K2163" s="148" t="s">
        <v>121</v>
      </c>
      <c r="L2163" s="149">
        <v>46147</v>
      </c>
      <c r="M2163" s="148"/>
    </row>
    <row r="2164" spans="1:13" ht="15" customHeight="1">
      <c r="A2164" s="142" t="s">
        <v>6091</v>
      </c>
      <c r="B2164" s="142">
        <v>517011</v>
      </c>
      <c r="C2164" s="143" t="s">
        <v>6092</v>
      </c>
      <c r="D2164" s="142" t="s">
        <v>5640</v>
      </c>
      <c r="E2164" s="143" t="s">
        <v>6067</v>
      </c>
      <c r="F2164" s="143" t="s">
        <v>1172</v>
      </c>
      <c r="G2164" s="142" t="s">
        <v>109</v>
      </c>
      <c r="H2164" s="142" t="s">
        <v>50</v>
      </c>
      <c r="I2164" s="143" t="s">
        <v>3449</v>
      </c>
      <c r="J2164" s="143" t="s">
        <v>104</v>
      </c>
      <c r="K2164" s="144" t="s">
        <v>121</v>
      </c>
      <c r="L2164" s="145">
        <v>46147</v>
      </c>
      <c r="M2164" s="144"/>
    </row>
    <row r="2165" spans="1:13" ht="15" customHeight="1">
      <c r="A2165" s="146" t="s">
        <v>6093</v>
      </c>
      <c r="B2165" s="146">
        <v>517140</v>
      </c>
      <c r="C2165" s="147" t="s">
        <v>6094</v>
      </c>
      <c r="D2165" s="146" t="s">
        <v>5640</v>
      </c>
      <c r="E2165" s="147" t="s">
        <v>5687</v>
      </c>
      <c r="F2165" s="147" t="s">
        <v>5912</v>
      </c>
      <c r="G2165" s="146" t="s">
        <v>102</v>
      </c>
      <c r="H2165" s="146" t="s">
        <v>50</v>
      </c>
      <c r="I2165" s="147" t="s">
        <v>3449</v>
      </c>
      <c r="J2165" s="147" t="s">
        <v>104</v>
      </c>
      <c r="K2165" s="150" t="s">
        <v>5</v>
      </c>
      <c r="L2165" s="149">
        <v>46129</v>
      </c>
      <c r="M2165" s="151" t="s">
        <v>3392</v>
      </c>
    </row>
    <row r="2166" spans="1:13" ht="15" customHeight="1">
      <c r="A2166" s="142" t="s">
        <v>6095</v>
      </c>
      <c r="B2166" s="142">
        <v>517025</v>
      </c>
      <c r="C2166" s="143" t="s">
        <v>6096</v>
      </c>
      <c r="D2166" s="142" t="s">
        <v>5640</v>
      </c>
      <c r="E2166" s="143" t="s">
        <v>5687</v>
      </c>
      <c r="F2166" s="143" t="s">
        <v>6097</v>
      </c>
      <c r="G2166" s="142" t="s">
        <v>109</v>
      </c>
      <c r="H2166" s="142" t="s">
        <v>50</v>
      </c>
      <c r="I2166" s="143" t="s">
        <v>3449</v>
      </c>
      <c r="J2166" s="143" t="s">
        <v>104</v>
      </c>
      <c r="K2166" s="150" t="s">
        <v>5</v>
      </c>
      <c r="L2166" s="145">
        <v>46134</v>
      </c>
      <c r="M2166" s="152" t="s">
        <v>3392</v>
      </c>
    </row>
    <row r="2167" spans="1:13" ht="15" customHeight="1">
      <c r="A2167" s="146" t="s">
        <v>6098</v>
      </c>
      <c r="B2167" s="146">
        <v>517072</v>
      </c>
      <c r="C2167" s="147" t="s">
        <v>6099</v>
      </c>
      <c r="D2167" s="146" t="s">
        <v>5640</v>
      </c>
      <c r="E2167" s="147" t="s">
        <v>5687</v>
      </c>
      <c r="F2167" s="147" t="s">
        <v>5688</v>
      </c>
      <c r="G2167" s="146" t="s">
        <v>102</v>
      </c>
      <c r="H2167" s="146" t="s">
        <v>50</v>
      </c>
      <c r="I2167" s="147" t="s">
        <v>3449</v>
      </c>
      <c r="J2167" s="147" t="s">
        <v>104</v>
      </c>
      <c r="K2167" s="150" t="s">
        <v>5</v>
      </c>
      <c r="L2167" s="149">
        <v>46126</v>
      </c>
      <c r="M2167" s="151" t="s">
        <v>3392</v>
      </c>
    </row>
    <row r="2168" spans="1:13" ht="15" customHeight="1">
      <c r="A2168" s="142" t="s">
        <v>6100</v>
      </c>
      <c r="B2168" s="142">
        <v>517075</v>
      </c>
      <c r="C2168" s="143" t="s">
        <v>6101</v>
      </c>
      <c r="D2168" s="142" t="s">
        <v>5640</v>
      </c>
      <c r="E2168" s="143" t="s">
        <v>5687</v>
      </c>
      <c r="F2168" s="143" t="s">
        <v>6102</v>
      </c>
      <c r="G2168" s="142" t="s">
        <v>102</v>
      </c>
      <c r="H2168" s="142" t="s">
        <v>50</v>
      </c>
      <c r="I2168" s="143" t="s">
        <v>3449</v>
      </c>
      <c r="J2168" s="143" t="s">
        <v>104</v>
      </c>
      <c r="K2168" s="150" t="s">
        <v>5</v>
      </c>
      <c r="L2168" s="145">
        <v>46128</v>
      </c>
      <c r="M2168" s="152" t="s">
        <v>3392</v>
      </c>
    </row>
    <row r="2169" spans="1:13" ht="15" customHeight="1">
      <c r="A2169" s="146" t="s">
        <v>6103</v>
      </c>
      <c r="B2169" s="146">
        <v>517185</v>
      </c>
      <c r="C2169" s="147" t="s">
        <v>6104</v>
      </c>
      <c r="D2169" s="146" t="s">
        <v>5640</v>
      </c>
      <c r="E2169" s="147" t="s">
        <v>5687</v>
      </c>
      <c r="F2169" s="147" t="s">
        <v>6105</v>
      </c>
      <c r="G2169" s="146" t="s">
        <v>109</v>
      </c>
      <c r="H2169" s="146" t="s">
        <v>50</v>
      </c>
      <c r="I2169" s="147" t="s">
        <v>3449</v>
      </c>
      <c r="J2169" s="147" t="s">
        <v>104</v>
      </c>
      <c r="K2169" s="148" t="s">
        <v>121</v>
      </c>
      <c r="L2169" s="149">
        <v>46139</v>
      </c>
      <c r="M2169" s="148"/>
    </row>
    <row r="2170" spans="1:13" ht="15" customHeight="1">
      <c r="A2170" s="142" t="s">
        <v>6106</v>
      </c>
      <c r="B2170" s="142">
        <v>517217</v>
      </c>
      <c r="C2170" s="143" t="s">
        <v>6107</v>
      </c>
      <c r="D2170" s="142" t="s">
        <v>5640</v>
      </c>
      <c r="E2170" s="143" t="s">
        <v>5687</v>
      </c>
      <c r="F2170" s="143" t="s">
        <v>6108</v>
      </c>
      <c r="G2170" s="142" t="s">
        <v>109</v>
      </c>
      <c r="H2170" s="142" t="s">
        <v>50</v>
      </c>
      <c r="I2170" s="143" t="s">
        <v>3449</v>
      </c>
      <c r="J2170" s="143" t="s">
        <v>104</v>
      </c>
      <c r="K2170" s="144" t="s">
        <v>121</v>
      </c>
      <c r="L2170" s="145">
        <v>46142</v>
      </c>
      <c r="M2170" s="144"/>
    </row>
    <row r="2171" spans="1:13" ht="15" customHeight="1">
      <c r="A2171" s="146" t="s">
        <v>6109</v>
      </c>
      <c r="B2171" s="146">
        <v>517076</v>
      </c>
      <c r="C2171" s="147" t="s">
        <v>6110</v>
      </c>
      <c r="D2171" s="146" t="s">
        <v>5640</v>
      </c>
      <c r="E2171" s="147" t="s">
        <v>5687</v>
      </c>
      <c r="F2171" s="147" t="s">
        <v>5687</v>
      </c>
      <c r="G2171" s="146" t="s">
        <v>102</v>
      </c>
      <c r="H2171" s="146" t="s">
        <v>50</v>
      </c>
      <c r="I2171" s="147" t="s">
        <v>3449</v>
      </c>
      <c r="J2171" s="147" t="s">
        <v>104</v>
      </c>
      <c r="K2171" s="150" t="s">
        <v>5</v>
      </c>
      <c r="L2171" s="149">
        <v>46128</v>
      </c>
      <c r="M2171" s="151" t="s">
        <v>3392</v>
      </c>
    </row>
    <row r="2172" spans="1:13" ht="15" customHeight="1">
      <c r="A2172" s="142" t="s">
        <v>6111</v>
      </c>
      <c r="B2172" s="142">
        <v>517109</v>
      </c>
      <c r="C2172" s="143" t="s">
        <v>6112</v>
      </c>
      <c r="D2172" s="142" t="s">
        <v>5640</v>
      </c>
      <c r="E2172" s="143" t="s">
        <v>5687</v>
      </c>
      <c r="F2172" s="143" t="s">
        <v>6113</v>
      </c>
      <c r="G2172" s="142" t="s">
        <v>102</v>
      </c>
      <c r="H2172" s="142" t="s">
        <v>50</v>
      </c>
      <c r="I2172" s="143" t="s">
        <v>3449</v>
      </c>
      <c r="J2172" s="143" t="s">
        <v>104</v>
      </c>
      <c r="K2172" s="150" t="s">
        <v>5</v>
      </c>
      <c r="L2172" s="145">
        <v>46127</v>
      </c>
      <c r="M2172" s="152" t="s">
        <v>3392</v>
      </c>
    </row>
    <row r="2173" spans="1:13" ht="15" customHeight="1">
      <c r="A2173" s="146" t="s">
        <v>6114</v>
      </c>
      <c r="B2173" s="146">
        <v>517077</v>
      </c>
      <c r="C2173" s="147" t="s">
        <v>6115</v>
      </c>
      <c r="D2173" s="146" t="s">
        <v>5640</v>
      </c>
      <c r="E2173" s="147" t="s">
        <v>6116</v>
      </c>
      <c r="F2173" s="147" t="s">
        <v>6117</v>
      </c>
      <c r="G2173" s="146" t="s">
        <v>109</v>
      </c>
      <c r="H2173" s="146" t="s">
        <v>50</v>
      </c>
      <c r="I2173" s="147" t="s">
        <v>3449</v>
      </c>
      <c r="J2173" s="147" t="s">
        <v>104</v>
      </c>
      <c r="K2173" s="150" t="s">
        <v>5</v>
      </c>
      <c r="L2173" s="149">
        <v>46132</v>
      </c>
      <c r="M2173" s="151" t="s">
        <v>3392</v>
      </c>
    </row>
    <row r="2174" spans="1:13" ht="15" customHeight="1">
      <c r="A2174" s="142" t="s">
        <v>6118</v>
      </c>
      <c r="B2174" s="142">
        <v>517123</v>
      </c>
      <c r="C2174" s="143" t="s">
        <v>6119</v>
      </c>
      <c r="D2174" s="142" t="s">
        <v>5640</v>
      </c>
      <c r="E2174" s="143" t="s">
        <v>6116</v>
      </c>
      <c r="F2174" s="143" t="s">
        <v>6120</v>
      </c>
      <c r="G2174" s="142" t="s">
        <v>109</v>
      </c>
      <c r="H2174" s="142" t="s">
        <v>50</v>
      </c>
      <c r="I2174" s="143" t="s">
        <v>3449</v>
      </c>
      <c r="J2174" s="143" t="s">
        <v>104</v>
      </c>
      <c r="K2174" s="150" t="s">
        <v>5</v>
      </c>
      <c r="L2174" s="145">
        <v>46133</v>
      </c>
      <c r="M2174" s="152" t="s">
        <v>3392</v>
      </c>
    </row>
    <row r="2175" spans="1:13" ht="15" customHeight="1">
      <c r="A2175" s="146" t="s">
        <v>6121</v>
      </c>
      <c r="B2175" s="146">
        <v>517078</v>
      </c>
      <c r="C2175" s="147" t="s">
        <v>6122</v>
      </c>
      <c r="D2175" s="146" t="s">
        <v>5640</v>
      </c>
      <c r="E2175" s="147" t="s">
        <v>6116</v>
      </c>
      <c r="F2175" s="147" t="s">
        <v>6123</v>
      </c>
      <c r="G2175" s="146" t="s">
        <v>102</v>
      </c>
      <c r="H2175" s="146" t="s">
        <v>50</v>
      </c>
      <c r="I2175" s="147" t="s">
        <v>3449</v>
      </c>
      <c r="J2175" s="147" t="s">
        <v>104</v>
      </c>
      <c r="K2175" s="150" t="s">
        <v>5</v>
      </c>
      <c r="L2175" s="149">
        <v>46133</v>
      </c>
      <c r="M2175" s="151" t="s">
        <v>3392</v>
      </c>
    </row>
    <row r="2176" spans="1:13" ht="15" customHeight="1">
      <c r="A2176" s="142" t="s">
        <v>6124</v>
      </c>
      <c r="B2176" s="142">
        <v>517502</v>
      </c>
      <c r="C2176" s="143" t="s">
        <v>3369</v>
      </c>
      <c r="D2176" s="142" t="s">
        <v>5640</v>
      </c>
      <c r="E2176" s="143" t="s">
        <v>6125</v>
      </c>
      <c r="F2176" s="143" t="s">
        <v>6126</v>
      </c>
      <c r="G2176" s="142" t="s">
        <v>109</v>
      </c>
      <c r="H2176" s="142" t="s">
        <v>50</v>
      </c>
      <c r="I2176" s="143" t="s">
        <v>3449</v>
      </c>
      <c r="J2176" s="143" t="s">
        <v>104</v>
      </c>
      <c r="K2176" s="150" t="s">
        <v>5</v>
      </c>
      <c r="L2176" s="145">
        <v>46133</v>
      </c>
      <c r="M2176" s="152" t="s">
        <v>3392</v>
      </c>
    </row>
    <row r="2177" spans="1:13" ht="15" customHeight="1">
      <c r="A2177" s="146" t="s">
        <v>6127</v>
      </c>
      <c r="B2177" s="146">
        <v>517329</v>
      </c>
      <c r="C2177" s="147" t="s">
        <v>6128</v>
      </c>
      <c r="D2177" s="146" t="s">
        <v>5640</v>
      </c>
      <c r="E2177" s="147" t="s">
        <v>5853</v>
      </c>
      <c r="F2177" s="147" t="s">
        <v>6129</v>
      </c>
      <c r="G2177" s="146" t="s">
        <v>109</v>
      </c>
      <c r="H2177" s="146" t="s">
        <v>50</v>
      </c>
      <c r="I2177" s="147" t="s">
        <v>3449</v>
      </c>
      <c r="J2177" s="147" t="s">
        <v>104</v>
      </c>
      <c r="K2177" s="148" t="s">
        <v>121</v>
      </c>
      <c r="L2177" s="149">
        <v>46150</v>
      </c>
      <c r="M2177" s="148"/>
    </row>
    <row r="2178" spans="1:13" ht="15" customHeight="1">
      <c r="A2178" s="142" t="s">
        <v>6130</v>
      </c>
      <c r="B2178" s="142">
        <v>517319</v>
      </c>
      <c r="C2178" s="143" t="s">
        <v>6131</v>
      </c>
      <c r="D2178" s="142" t="s">
        <v>5640</v>
      </c>
      <c r="E2178" s="143" t="s">
        <v>6132</v>
      </c>
      <c r="F2178" s="143" t="s">
        <v>6133</v>
      </c>
      <c r="G2178" s="142" t="s">
        <v>109</v>
      </c>
      <c r="H2178" s="142" t="s">
        <v>50</v>
      </c>
      <c r="I2178" s="143" t="s">
        <v>3449</v>
      </c>
      <c r="J2178" s="143" t="s">
        <v>104</v>
      </c>
      <c r="K2178" s="150" t="s">
        <v>5</v>
      </c>
      <c r="L2178" s="145">
        <v>46107</v>
      </c>
      <c r="M2178" s="152" t="s">
        <v>3392</v>
      </c>
    </row>
    <row r="2179" spans="1:13" ht="15" customHeight="1">
      <c r="A2179" s="146" t="s">
        <v>6134</v>
      </c>
      <c r="B2179" s="146">
        <v>517453</v>
      </c>
      <c r="C2179" s="147" t="s">
        <v>6135</v>
      </c>
      <c r="D2179" s="146" t="s">
        <v>5640</v>
      </c>
      <c r="E2179" s="147" t="s">
        <v>6132</v>
      </c>
      <c r="F2179" s="147" t="s">
        <v>6136</v>
      </c>
      <c r="G2179" s="146" t="s">
        <v>109</v>
      </c>
      <c r="H2179" s="146" t="s">
        <v>50</v>
      </c>
      <c r="I2179" s="147" t="s">
        <v>3449</v>
      </c>
      <c r="J2179" s="147" t="s">
        <v>104</v>
      </c>
      <c r="K2179" s="148" t="s">
        <v>121</v>
      </c>
      <c r="L2179" s="149">
        <v>46141</v>
      </c>
      <c r="M2179" s="148"/>
    </row>
    <row r="2180" spans="1:13" ht="15" customHeight="1">
      <c r="A2180" s="142" t="s">
        <v>6137</v>
      </c>
      <c r="B2180" s="142">
        <v>517040</v>
      </c>
      <c r="C2180" s="143" t="s">
        <v>6138</v>
      </c>
      <c r="D2180" s="142" t="s">
        <v>5640</v>
      </c>
      <c r="E2180" s="143" t="s">
        <v>6139</v>
      </c>
      <c r="F2180" s="143" t="s">
        <v>6140</v>
      </c>
      <c r="G2180" s="142" t="s">
        <v>102</v>
      </c>
      <c r="H2180" s="142" t="s">
        <v>50</v>
      </c>
      <c r="I2180" s="143" t="s">
        <v>3449</v>
      </c>
      <c r="J2180" s="143" t="s">
        <v>104</v>
      </c>
      <c r="K2180" s="144"/>
      <c r="L2180" s="145"/>
      <c r="M2180" s="144"/>
    </row>
    <row r="2181" spans="1:13" ht="15" customHeight="1">
      <c r="A2181" s="146" t="s">
        <v>6141</v>
      </c>
      <c r="B2181" s="146">
        <v>517041</v>
      </c>
      <c r="C2181" s="147" t="s">
        <v>6142</v>
      </c>
      <c r="D2181" s="146" t="s">
        <v>5640</v>
      </c>
      <c r="E2181" s="147" t="s">
        <v>6139</v>
      </c>
      <c r="F2181" s="147" t="s">
        <v>6143</v>
      </c>
      <c r="G2181" s="146" t="s">
        <v>102</v>
      </c>
      <c r="H2181" s="146" t="s">
        <v>50</v>
      </c>
      <c r="I2181" s="147" t="s">
        <v>3449</v>
      </c>
      <c r="J2181" s="147" t="s">
        <v>104</v>
      </c>
      <c r="K2181" s="148" t="s">
        <v>121</v>
      </c>
      <c r="L2181" s="149">
        <v>46149</v>
      </c>
      <c r="M2181" s="148"/>
    </row>
    <row r="2182" spans="1:13" ht="15" customHeight="1">
      <c r="A2182" s="142" t="s">
        <v>6144</v>
      </c>
      <c r="B2182" s="142">
        <v>517350</v>
      </c>
      <c r="C2182" s="143" t="s">
        <v>6145</v>
      </c>
      <c r="D2182" s="142" t="s">
        <v>5640</v>
      </c>
      <c r="E2182" s="143" t="s">
        <v>6146</v>
      </c>
      <c r="F2182" s="143" t="s">
        <v>6147</v>
      </c>
      <c r="G2182" s="142" t="s">
        <v>109</v>
      </c>
      <c r="H2182" s="142" t="s">
        <v>50</v>
      </c>
      <c r="I2182" s="143" t="s">
        <v>3449</v>
      </c>
      <c r="J2182" s="143" t="s">
        <v>104</v>
      </c>
      <c r="K2182" s="144" t="s">
        <v>162</v>
      </c>
      <c r="L2182" s="145">
        <v>46141</v>
      </c>
      <c r="M2182" s="181" t="s">
        <v>1716</v>
      </c>
    </row>
    <row r="2183" spans="1:13" ht="15" customHeight="1">
      <c r="A2183" s="146" t="s">
        <v>6148</v>
      </c>
      <c r="B2183" s="146">
        <v>516971</v>
      </c>
      <c r="C2183" s="147" t="s">
        <v>6149</v>
      </c>
      <c r="D2183" s="146" t="s">
        <v>5640</v>
      </c>
      <c r="E2183" s="147" t="s">
        <v>5944</v>
      </c>
      <c r="F2183" s="147" t="s">
        <v>6150</v>
      </c>
      <c r="G2183" s="146" t="s">
        <v>102</v>
      </c>
      <c r="H2183" s="146" t="s">
        <v>50</v>
      </c>
      <c r="I2183" s="147" t="s">
        <v>3449</v>
      </c>
      <c r="J2183" s="147" t="s">
        <v>104</v>
      </c>
      <c r="K2183" s="148" t="s">
        <v>121</v>
      </c>
      <c r="L2183" s="149">
        <v>46139</v>
      </c>
      <c r="M2183" s="148"/>
    </row>
    <row r="2184" spans="1:13" ht="15" customHeight="1">
      <c r="A2184" s="142" t="s">
        <v>6151</v>
      </c>
      <c r="B2184" s="142">
        <v>517992</v>
      </c>
      <c r="C2184" s="143" t="s">
        <v>6152</v>
      </c>
      <c r="D2184" s="142" t="s">
        <v>5640</v>
      </c>
      <c r="E2184" s="143" t="s">
        <v>3463</v>
      </c>
      <c r="F2184" s="143" t="s">
        <v>6153</v>
      </c>
      <c r="G2184" s="142" t="s">
        <v>102</v>
      </c>
      <c r="H2184" s="142" t="s">
        <v>50</v>
      </c>
      <c r="I2184" s="143" t="s">
        <v>3449</v>
      </c>
      <c r="J2184" s="143" t="s">
        <v>104</v>
      </c>
      <c r="K2184" s="144" t="s">
        <v>121</v>
      </c>
      <c r="L2184" s="145">
        <v>46140</v>
      </c>
      <c r="M2184" s="144"/>
    </row>
    <row r="2185" spans="1:13" ht="15" customHeight="1">
      <c r="A2185" s="146" t="s">
        <v>6154</v>
      </c>
      <c r="B2185" s="146">
        <v>517492</v>
      </c>
      <c r="C2185" s="147" t="s">
        <v>6155</v>
      </c>
      <c r="D2185" s="146" t="s">
        <v>5640</v>
      </c>
      <c r="E2185" s="147" t="s">
        <v>5683</v>
      </c>
      <c r="F2185" s="147" t="s">
        <v>6156</v>
      </c>
      <c r="G2185" s="146" t="s">
        <v>102</v>
      </c>
      <c r="H2185" s="146" t="s">
        <v>50</v>
      </c>
      <c r="I2185" s="147" t="s">
        <v>3449</v>
      </c>
      <c r="J2185" s="147" t="s">
        <v>104</v>
      </c>
      <c r="K2185" s="150" t="s">
        <v>5</v>
      </c>
      <c r="L2185" s="149">
        <v>46128</v>
      </c>
      <c r="M2185" s="151" t="s">
        <v>3392</v>
      </c>
    </row>
    <row r="2186" spans="1:13" ht="15" customHeight="1">
      <c r="A2186" s="142" t="s">
        <v>6157</v>
      </c>
      <c r="B2186" s="142">
        <v>517084</v>
      </c>
      <c r="C2186" s="143" t="s">
        <v>6158</v>
      </c>
      <c r="D2186" s="142" t="s">
        <v>5640</v>
      </c>
      <c r="E2186" s="143" t="s">
        <v>6159</v>
      </c>
      <c r="F2186" s="143" t="s">
        <v>6159</v>
      </c>
      <c r="G2186" s="142" t="s">
        <v>102</v>
      </c>
      <c r="H2186" s="142" t="s">
        <v>50</v>
      </c>
      <c r="I2186" s="143" t="s">
        <v>3449</v>
      </c>
      <c r="J2186" s="143" t="s">
        <v>104</v>
      </c>
      <c r="K2186" s="144" t="s">
        <v>121</v>
      </c>
      <c r="L2186" s="145">
        <v>46142</v>
      </c>
      <c r="M2186" s="144"/>
    </row>
    <row r="2187" spans="1:13" ht="15" customHeight="1">
      <c r="A2187" s="146" t="s">
        <v>6160</v>
      </c>
      <c r="B2187" s="146">
        <v>517085</v>
      </c>
      <c r="C2187" s="147" t="s">
        <v>3554</v>
      </c>
      <c r="D2187" s="146" t="s">
        <v>5640</v>
      </c>
      <c r="E2187" s="147" t="s">
        <v>6159</v>
      </c>
      <c r="F2187" s="147" t="s">
        <v>3554</v>
      </c>
      <c r="G2187" s="146" t="s">
        <v>109</v>
      </c>
      <c r="H2187" s="146" t="s">
        <v>50</v>
      </c>
      <c r="I2187" s="147" t="s">
        <v>3449</v>
      </c>
      <c r="J2187" s="147" t="s">
        <v>104</v>
      </c>
      <c r="K2187" s="148" t="s">
        <v>121</v>
      </c>
      <c r="L2187" s="149">
        <v>46143</v>
      </c>
      <c r="M2187" s="148"/>
    </row>
    <row r="2188" spans="1:13" ht="15" customHeight="1">
      <c r="A2188" s="142" t="s">
        <v>6161</v>
      </c>
      <c r="B2188" s="142">
        <v>517503</v>
      </c>
      <c r="C2188" s="143" t="s">
        <v>6162</v>
      </c>
      <c r="D2188" s="142" t="s">
        <v>5640</v>
      </c>
      <c r="E2188" s="143" t="s">
        <v>6125</v>
      </c>
      <c r="F2188" s="143" t="s">
        <v>6125</v>
      </c>
      <c r="G2188" s="142" t="s">
        <v>109</v>
      </c>
      <c r="H2188" s="142" t="s">
        <v>50</v>
      </c>
      <c r="I2188" s="143" t="s">
        <v>3449</v>
      </c>
      <c r="J2188" s="143" t="s">
        <v>104</v>
      </c>
      <c r="K2188" s="150" t="s">
        <v>5</v>
      </c>
      <c r="L2188" s="145">
        <v>46133</v>
      </c>
      <c r="M2188" s="152" t="s">
        <v>3392</v>
      </c>
    </row>
    <row r="2189" spans="1:13" ht="15" customHeight="1">
      <c r="A2189" s="146" t="s">
        <v>6163</v>
      </c>
      <c r="B2189" s="146">
        <v>517431</v>
      </c>
      <c r="C2189" s="147" t="s">
        <v>6164</v>
      </c>
      <c r="D2189" s="146" t="s">
        <v>5640</v>
      </c>
      <c r="E2189" s="147" t="s">
        <v>5888</v>
      </c>
      <c r="F2189" s="147" t="s">
        <v>6165</v>
      </c>
      <c r="G2189" s="146" t="s">
        <v>109</v>
      </c>
      <c r="H2189" s="146" t="s">
        <v>50</v>
      </c>
      <c r="I2189" s="147" t="s">
        <v>3449</v>
      </c>
      <c r="J2189" s="147" t="s">
        <v>104</v>
      </c>
      <c r="K2189" s="150" t="s">
        <v>5</v>
      </c>
      <c r="L2189" s="149">
        <v>46135</v>
      </c>
      <c r="M2189" s="151" t="s">
        <v>3392</v>
      </c>
    </row>
    <row r="2190" spans="1:13" ht="15" customHeight="1">
      <c r="A2190" s="142" t="s">
        <v>6166</v>
      </c>
      <c r="B2190" s="142">
        <v>517213</v>
      </c>
      <c r="C2190" s="143" t="s">
        <v>6167</v>
      </c>
      <c r="D2190" s="142" t="s">
        <v>5640</v>
      </c>
      <c r="E2190" s="143" t="s">
        <v>5888</v>
      </c>
      <c r="F2190" s="143" t="s">
        <v>6168</v>
      </c>
      <c r="G2190" s="142" t="s">
        <v>109</v>
      </c>
      <c r="H2190" s="142" t="s">
        <v>50</v>
      </c>
      <c r="I2190" s="143" t="s">
        <v>3449</v>
      </c>
      <c r="J2190" s="143" t="s">
        <v>104</v>
      </c>
      <c r="K2190" s="144" t="s">
        <v>121</v>
      </c>
      <c r="L2190" s="145">
        <v>46136</v>
      </c>
      <c r="M2190" s="144"/>
    </row>
    <row r="2191" spans="1:13" ht="15" customHeight="1">
      <c r="A2191" s="146" t="s">
        <v>6169</v>
      </c>
      <c r="B2191" s="146">
        <v>517439</v>
      </c>
      <c r="C2191" s="147" t="s">
        <v>6170</v>
      </c>
      <c r="D2191" s="146" t="s">
        <v>5640</v>
      </c>
      <c r="E2191" s="147" t="s">
        <v>5888</v>
      </c>
      <c r="F2191" s="147" t="s">
        <v>5933</v>
      </c>
      <c r="G2191" s="146" t="s">
        <v>109</v>
      </c>
      <c r="H2191" s="146" t="s">
        <v>50</v>
      </c>
      <c r="I2191" s="147" t="s">
        <v>3449</v>
      </c>
      <c r="J2191" s="147" t="s">
        <v>104</v>
      </c>
      <c r="K2191" s="150" t="s">
        <v>5</v>
      </c>
      <c r="L2191" s="149">
        <v>46126</v>
      </c>
      <c r="M2191" s="151" t="s">
        <v>3392</v>
      </c>
    </row>
    <row r="2192" spans="1:13" ht="15" customHeight="1">
      <c r="A2192" s="142" t="s">
        <v>6171</v>
      </c>
      <c r="B2192" s="142">
        <v>517382</v>
      </c>
      <c r="C2192" s="143" t="s">
        <v>1177</v>
      </c>
      <c r="D2192" s="142" t="s">
        <v>5640</v>
      </c>
      <c r="E2192" s="143" t="s">
        <v>5888</v>
      </c>
      <c r="F2192" s="143" t="s">
        <v>6172</v>
      </c>
      <c r="G2192" s="142" t="s">
        <v>109</v>
      </c>
      <c r="H2192" s="142" t="s">
        <v>50</v>
      </c>
      <c r="I2192" s="143" t="s">
        <v>3449</v>
      </c>
      <c r="J2192" s="143" t="s">
        <v>104</v>
      </c>
      <c r="K2192" s="144" t="s">
        <v>121</v>
      </c>
      <c r="L2192" s="145">
        <v>46136</v>
      </c>
      <c r="M2192" s="144"/>
    </row>
    <row r="2193" spans="1:13" ht="15" customHeight="1">
      <c r="A2193" s="146" t="s">
        <v>6173</v>
      </c>
      <c r="B2193" s="146">
        <v>517993</v>
      </c>
      <c r="C2193" s="147" t="s">
        <v>6174</v>
      </c>
      <c r="D2193" s="146" t="s">
        <v>5640</v>
      </c>
      <c r="E2193" s="147" t="s">
        <v>3001</v>
      </c>
      <c r="F2193" s="147" t="s">
        <v>6175</v>
      </c>
      <c r="G2193" s="146" t="s">
        <v>109</v>
      </c>
      <c r="H2193" s="146" t="s">
        <v>50</v>
      </c>
      <c r="I2193" s="147" t="s">
        <v>3449</v>
      </c>
      <c r="J2193" s="147" t="s">
        <v>104</v>
      </c>
      <c r="K2193" s="148" t="s">
        <v>121</v>
      </c>
      <c r="L2193" s="149">
        <v>46140</v>
      </c>
      <c r="M2193" s="148"/>
    </row>
    <row r="2194" spans="1:13" ht="15" customHeight="1">
      <c r="A2194" s="142" t="s">
        <v>6176</v>
      </c>
      <c r="B2194" s="142">
        <v>517096</v>
      </c>
      <c r="C2194" s="143" t="s">
        <v>6177</v>
      </c>
      <c r="D2194" s="142" t="s">
        <v>5640</v>
      </c>
      <c r="E2194" s="143" t="s">
        <v>5729</v>
      </c>
      <c r="F2194" s="143" t="s">
        <v>6178</v>
      </c>
      <c r="G2194" s="142" t="s">
        <v>109</v>
      </c>
      <c r="H2194" s="142" t="s">
        <v>50</v>
      </c>
      <c r="I2194" s="143" t="s">
        <v>3449</v>
      </c>
      <c r="J2194" s="143" t="s">
        <v>104</v>
      </c>
      <c r="K2194" s="144" t="s">
        <v>162</v>
      </c>
      <c r="L2194" s="145">
        <v>46142</v>
      </c>
      <c r="M2194" s="144"/>
    </row>
    <row r="2195" spans="1:13" ht="15" customHeight="1">
      <c r="A2195" s="146" t="s">
        <v>6179</v>
      </c>
      <c r="B2195" s="146">
        <v>517092</v>
      </c>
      <c r="C2195" s="147" t="s">
        <v>6180</v>
      </c>
      <c r="D2195" s="146" t="s">
        <v>5640</v>
      </c>
      <c r="E2195" s="147" t="s">
        <v>6181</v>
      </c>
      <c r="F2195" s="147" t="s">
        <v>6181</v>
      </c>
      <c r="G2195" s="146" t="s">
        <v>102</v>
      </c>
      <c r="H2195" s="146" t="s">
        <v>50</v>
      </c>
      <c r="I2195" s="147" t="s">
        <v>3449</v>
      </c>
      <c r="J2195" s="147" t="s">
        <v>104</v>
      </c>
      <c r="K2195" s="148" t="s">
        <v>121</v>
      </c>
      <c r="L2195" s="149">
        <v>46140</v>
      </c>
      <c r="M2195" s="148"/>
    </row>
    <row r="2196" spans="1:13" ht="15" customHeight="1">
      <c r="A2196" s="142" t="s">
        <v>6182</v>
      </c>
      <c r="B2196" s="142">
        <v>517134</v>
      </c>
      <c r="C2196" s="143" t="s">
        <v>6183</v>
      </c>
      <c r="D2196" s="142" t="s">
        <v>5640</v>
      </c>
      <c r="E2196" s="143" t="s">
        <v>5816</v>
      </c>
      <c r="F2196" s="143" t="s">
        <v>5816</v>
      </c>
      <c r="G2196" s="142" t="s">
        <v>102</v>
      </c>
      <c r="H2196" s="142" t="s">
        <v>50</v>
      </c>
      <c r="I2196" s="143" t="s">
        <v>3449</v>
      </c>
      <c r="J2196" s="143" t="s">
        <v>104</v>
      </c>
      <c r="K2196" s="144" t="s">
        <v>121</v>
      </c>
      <c r="L2196" s="145">
        <v>46139</v>
      </c>
      <c r="M2196" s="144"/>
    </row>
    <row r="2197" spans="1:13" ht="15" customHeight="1">
      <c r="A2197" s="146" t="s">
        <v>6184</v>
      </c>
      <c r="B2197" s="146">
        <v>517450</v>
      </c>
      <c r="C2197" s="147" t="s">
        <v>1123</v>
      </c>
      <c r="D2197" s="146" t="s">
        <v>5640</v>
      </c>
      <c r="E2197" s="147" t="s">
        <v>6185</v>
      </c>
      <c r="F2197" s="147" t="s">
        <v>6186</v>
      </c>
      <c r="G2197" s="146" t="s">
        <v>102</v>
      </c>
      <c r="H2197" s="146" t="s">
        <v>50</v>
      </c>
      <c r="I2197" s="147" t="s">
        <v>3449</v>
      </c>
      <c r="J2197" s="147" t="s">
        <v>104</v>
      </c>
      <c r="K2197" s="148" t="s">
        <v>121</v>
      </c>
      <c r="L2197" s="149">
        <v>46146</v>
      </c>
      <c r="M2197" s="148"/>
    </row>
    <row r="2198" spans="1:13" ht="15" customHeight="1">
      <c r="A2198" s="142" t="s">
        <v>6187</v>
      </c>
      <c r="B2198" s="142">
        <v>517127</v>
      </c>
      <c r="C2198" s="143" t="s">
        <v>6188</v>
      </c>
      <c r="D2198" s="142" t="s">
        <v>5640</v>
      </c>
      <c r="E2198" s="143" t="s">
        <v>5735</v>
      </c>
      <c r="F2198" s="143" t="s">
        <v>5735</v>
      </c>
      <c r="G2198" s="142" t="s">
        <v>109</v>
      </c>
      <c r="H2198" s="142" t="s">
        <v>50</v>
      </c>
      <c r="I2198" s="143" t="s">
        <v>3449</v>
      </c>
      <c r="J2198" s="143" t="s">
        <v>104</v>
      </c>
      <c r="K2198" s="144" t="s">
        <v>121</v>
      </c>
      <c r="L2198" s="145">
        <v>46142</v>
      </c>
      <c r="M2198" s="144"/>
    </row>
    <row r="2199" spans="1:13" ht="15" customHeight="1">
      <c r="A2199" s="146" t="s">
        <v>6189</v>
      </c>
      <c r="B2199" s="146">
        <v>517083</v>
      </c>
      <c r="C2199" s="147" t="s">
        <v>6190</v>
      </c>
      <c r="D2199" s="146" t="s">
        <v>5640</v>
      </c>
      <c r="E2199" s="147" t="s">
        <v>5735</v>
      </c>
      <c r="F2199" s="147" t="s">
        <v>6191</v>
      </c>
      <c r="G2199" s="146" t="s">
        <v>109</v>
      </c>
      <c r="H2199" s="146" t="s">
        <v>50</v>
      </c>
      <c r="I2199" s="147" t="s">
        <v>3449</v>
      </c>
      <c r="J2199" s="147" t="s">
        <v>104</v>
      </c>
      <c r="K2199" s="148" t="s">
        <v>121</v>
      </c>
      <c r="L2199" s="149">
        <v>46142</v>
      </c>
      <c r="M2199" s="148"/>
    </row>
    <row r="2200" spans="1:13" ht="15" customHeight="1">
      <c r="A2200" s="142" t="s">
        <v>6192</v>
      </c>
      <c r="B2200" s="142">
        <v>517328</v>
      </c>
      <c r="C2200" s="143" t="s">
        <v>6193</v>
      </c>
      <c r="D2200" s="142" t="s">
        <v>5640</v>
      </c>
      <c r="E2200" s="143" t="s">
        <v>6194</v>
      </c>
      <c r="F2200" s="143" t="s">
        <v>6193</v>
      </c>
      <c r="G2200" s="142" t="s">
        <v>109</v>
      </c>
      <c r="H2200" s="142" t="s">
        <v>50</v>
      </c>
      <c r="I2200" s="143" t="s">
        <v>3449</v>
      </c>
      <c r="J2200" s="143" t="s">
        <v>104</v>
      </c>
      <c r="K2200" s="144" t="s">
        <v>121</v>
      </c>
      <c r="L2200" s="145">
        <v>46139</v>
      </c>
      <c r="M2200" s="144"/>
    </row>
    <row r="2201" spans="1:13" ht="15" customHeight="1">
      <c r="A2201" s="146" t="s">
        <v>6195</v>
      </c>
      <c r="B2201" s="146">
        <v>517207</v>
      </c>
      <c r="C2201" s="147" t="s">
        <v>6196</v>
      </c>
      <c r="D2201" s="146" t="s">
        <v>5640</v>
      </c>
      <c r="E2201" s="147" t="s">
        <v>5908</v>
      </c>
      <c r="F2201" s="147" t="s">
        <v>5909</v>
      </c>
      <c r="G2201" s="146" t="s">
        <v>109</v>
      </c>
      <c r="H2201" s="146" t="s">
        <v>50</v>
      </c>
      <c r="I2201" s="147" t="s">
        <v>3449</v>
      </c>
      <c r="J2201" s="147" t="s">
        <v>104</v>
      </c>
      <c r="K2201" s="148" t="s">
        <v>121</v>
      </c>
      <c r="L2201" s="149">
        <v>46141</v>
      </c>
      <c r="M2201" s="148"/>
    </row>
    <row r="2202" spans="1:13" ht="15" customHeight="1">
      <c r="A2202" s="142" t="s">
        <v>6197</v>
      </c>
      <c r="B2202" s="142">
        <v>517278</v>
      </c>
      <c r="C2202" s="143" t="s">
        <v>763</v>
      </c>
      <c r="D2202" s="142" t="s">
        <v>5640</v>
      </c>
      <c r="E2202" s="143" t="s">
        <v>5731</v>
      </c>
      <c r="F2202" s="143" t="s">
        <v>6198</v>
      </c>
      <c r="G2202" s="142" t="s">
        <v>109</v>
      </c>
      <c r="H2202" s="142" t="s">
        <v>50</v>
      </c>
      <c r="I2202" s="143" t="s">
        <v>3449</v>
      </c>
      <c r="J2202" s="143" t="s">
        <v>104</v>
      </c>
      <c r="K2202" s="144" t="s">
        <v>121</v>
      </c>
      <c r="L2202" s="145">
        <v>46146</v>
      </c>
      <c r="M2202" s="144"/>
    </row>
    <row r="2203" spans="1:13" ht="15" customHeight="1">
      <c r="A2203" s="146" t="s">
        <v>6199</v>
      </c>
      <c r="B2203" s="146">
        <v>517176</v>
      </c>
      <c r="C2203" s="147" t="s">
        <v>6183</v>
      </c>
      <c r="D2203" s="146" t="s">
        <v>5640</v>
      </c>
      <c r="E2203" s="147" t="s">
        <v>5649</v>
      </c>
      <c r="F2203" s="147" t="s">
        <v>6200</v>
      </c>
      <c r="G2203" s="146" t="s">
        <v>109</v>
      </c>
      <c r="H2203" s="146" t="s">
        <v>50</v>
      </c>
      <c r="I2203" s="147" t="s">
        <v>3449</v>
      </c>
      <c r="J2203" s="147" t="s">
        <v>104</v>
      </c>
      <c r="K2203" s="148" t="s">
        <v>121</v>
      </c>
      <c r="L2203" s="149">
        <v>46139</v>
      </c>
      <c r="M2203" s="148"/>
    </row>
    <row r="2204" spans="1:13" ht="15" customHeight="1">
      <c r="A2204" s="142" t="s">
        <v>6201</v>
      </c>
      <c r="B2204" s="142">
        <v>516840</v>
      </c>
      <c r="C2204" s="143" t="s">
        <v>6202</v>
      </c>
      <c r="D2204" s="142" t="s">
        <v>5640</v>
      </c>
      <c r="E2204" s="143" t="s">
        <v>5640</v>
      </c>
      <c r="F2204" s="143" t="s">
        <v>5640</v>
      </c>
      <c r="G2204" s="142" t="s">
        <v>102</v>
      </c>
      <c r="H2204" s="142" t="s">
        <v>50</v>
      </c>
      <c r="I2204" s="143" t="s">
        <v>3449</v>
      </c>
      <c r="J2204" s="143" t="s">
        <v>104</v>
      </c>
      <c r="K2204" s="150" t="s">
        <v>5</v>
      </c>
      <c r="L2204" s="145">
        <v>46105</v>
      </c>
      <c r="M2204" s="152" t="s">
        <v>3392</v>
      </c>
    </row>
    <row r="2205" spans="1:13" ht="15" customHeight="1">
      <c r="A2205" s="146" t="s">
        <v>6203</v>
      </c>
      <c r="B2205" s="146">
        <v>517254</v>
      </c>
      <c r="C2205" s="147" t="s">
        <v>6204</v>
      </c>
      <c r="D2205" s="146" t="s">
        <v>5640</v>
      </c>
      <c r="E2205" s="147" t="s">
        <v>6205</v>
      </c>
      <c r="F2205" s="147" t="s">
        <v>6206</v>
      </c>
      <c r="G2205" s="146" t="s">
        <v>109</v>
      </c>
      <c r="H2205" s="146" t="s">
        <v>50</v>
      </c>
      <c r="I2205" s="147" t="s">
        <v>3449</v>
      </c>
      <c r="J2205" s="147" t="s">
        <v>104</v>
      </c>
      <c r="K2205" s="150" t="s">
        <v>5</v>
      </c>
      <c r="L2205" s="149">
        <v>46132</v>
      </c>
      <c r="M2205" s="151" t="s">
        <v>3392</v>
      </c>
    </row>
    <row r="2206" spans="1:13" ht="15" customHeight="1">
      <c r="A2206" s="142" t="s">
        <v>6207</v>
      </c>
      <c r="B2206" s="142">
        <v>517253</v>
      </c>
      <c r="C2206" s="143" t="s">
        <v>6208</v>
      </c>
      <c r="D2206" s="142" t="s">
        <v>5640</v>
      </c>
      <c r="E2206" s="143" t="s">
        <v>6205</v>
      </c>
      <c r="F2206" s="143" t="s">
        <v>511</v>
      </c>
      <c r="G2206" s="142" t="s">
        <v>109</v>
      </c>
      <c r="H2206" s="142" t="s">
        <v>50</v>
      </c>
      <c r="I2206" s="143" t="s">
        <v>3449</v>
      </c>
      <c r="J2206" s="143" t="s">
        <v>104</v>
      </c>
      <c r="K2206" s="150" t="s">
        <v>5</v>
      </c>
      <c r="L2206" s="145">
        <v>46132</v>
      </c>
      <c r="M2206" s="152" t="s">
        <v>3392</v>
      </c>
    </row>
    <row r="2207" spans="1:13" ht="15" customHeight="1">
      <c r="A2207" s="146" t="s">
        <v>6209</v>
      </c>
      <c r="B2207" s="146">
        <v>517058</v>
      </c>
      <c r="C2207" s="147" t="s">
        <v>6210</v>
      </c>
      <c r="D2207" s="146" t="s">
        <v>5640</v>
      </c>
      <c r="E2207" s="147" t="s">
        <v>5673</v>
      </c>
      <c r="F2207" s="147" t="s">
        <v>1086</v>
      </c>
      <c r="G2207" s="146" t="s">
        <v>109</v>
      </c>
      <c r="H2207" s="146" t="s">
        <v>50</v>
      </c>
      <c r="I2207" s="147" t="s">
        <v>3449</v>
      </c>
      <c r="J2207" s="147" t="s">
        <v>104</v>
      </c>
      <c r="K2207" s="150" t="s">
        <v>5</v>
      </c>
      <c r="L2207" s="149">
        <v>46125</v>
      </c>
      <c r="M2207" s="151" t="s">
        <v>3392</v>
      </c>
    </row>
    <row r="2208" spans="1:13" ht="15" customHeight="1">
      <c r="A2208" s="142" t="s">
        <v>6211</v>
      </c>
      <c r="B2208" s="142">
        <v>517370</v>
      </c>
      <c r="C2208" s="143" t="s">
        <v>6212</v>
      </c>
      <c r="D2208" s="142" t="s">
        <v>5640</v>
      </c>
      <c r="E2208" s="143" t="s">
        <v>4099</v>
      </c>
      <c r="F2208" s="143" t="s">
        <v>6213</v>
      </c>
      <c r="G2208" s="142" t="s">
        <v>109</v>
      </c>
      <c r="H2208" s="142" t="s">
        <v>50</v>
      </c>
      <c r="I2208" s="143" t="s">
        <v>3449</v>
      </c>
      <c r="J2208" s="143" t="s">
        <v>104</v>
      </c>
      <c r="K2208" s="150" t="s">
        <v>5</v>
      </c>
      <c r="L2208" s="145">
        <v>46133</v>
      </c>
      <c r="M2208" s="152" t="s">
        <v>3392</v>
      </c>
    </row>
    <row r="2209" spans="1:13" ht="15" customHeight="1">
      <c r="A2209" s="146" t="s">
        <v>6214</v>
      </c>
      <c r="B2209" s="146">
        <v>517234</v>
      </c>
      <c r="C2209" s="147" t="s">
        <v>6215</v>
      </c>
      <c r="D2209" s="146" t="s">
        <v>5640</v>
      </c>
      <c r="E2209" s="147" t="s">
        <v>4099</v>
      </c>
      <c r="F2209" s="147" t="s">
        <v>6216</v>
      </c>
      <c r="G2209" s="146" t="s">
        <v>109</v>
      </c>
      <c r="H2209" s="146" t="s">
        <v>50</v>
      </c>
      <c r="I2209" s="147" t="s">
        <v>3449</v>
      </c>
      <c r="J2209" s="147" t="s">
        <v>104</v>
      </c>
      <c r="K2209" s="150" t="s">
        <v>5</v>
      </c>
      <c r="L2209" s="149">
        <v>46134</v>
      </c>
      <c r="M2209" s="151" t="s">
        <v>3392</v>
      </c>
    </row>
    <row r="2210" spans="1:13" ht="15" customHeight="1">
      <c r="A2210" s="142" t="s">
        <v>6217</v>
      </c>
      <c r="B2210" s="142">
        <v>517365</v>
      </c>
      <c r="C2210" s="143" t="s">
        <v>1323</v>
      </c>
      <c r="D2210" s="142" t="s">
        <v>5640</v>
      </c>
      <c r="E2210" s="143" t="s">
        <v>5892</v>
      </c>
      <c r="F2210" s="143" t="s">
        <v>2756</v>
      </c>
      <c r="G2210" s="142" t="s">
        <v>109</v>
      </c>
      <c r="H2210" s="142" t="s">
        <v>50</v>
      </c>
      <c r="I2210" s="143" t="s">
        <v>3449</v>
      </c>
      <c r="J2210" s="143" t="s">
        <v>104</v>
      </c>
      <c r="K2210" s="144" t="s">
        <v>121</v>
      </c>
      <c r="L2210" s="145">
        <v>46147</v>
      </c>
      <c r="M2210" s="144"/>
    </row>
    <row r="2211" spans="1:13" ht="15" customHeight="1">
      <c r="A2211" s="146" t="s">
        <v>6218</v>
      </c>
      <c r="B2211" s="146">
        <v>517311</v>
      </c>
      <c r="C2211" s="147" t="s">
        <v>6219</v>
      </c>
      <c r="D2211" s="146" t="s">
        <v>5640</v>
      </c>
      <c r="E2211" s="147" t="s">
        <v>4099</v>
      </c>
      <c r="F2211" s="147" t="s">
        <v>6220</v>
      </c>
      <c r="G2211" s="146" t="s">
        <v>109</v>
      </c>
      <c r="H2211" s="146" t="s">
        <v>50</v>
      </c>
      <c r="I2211" s="147" t="s">
        <v>3449</v>
      </c>
      <c r="J2211" s="147" t="s">
        <v>104</v>
      </c>
      <c r="K2211" s="150" t="s">
        <v>5</v>
      </c>
      <c r="L2211" s="149">
        <v>46128</v>
      </c>
      <c r="M2211" s="151" t="s">
        <v>3392</v>
      </c>
    </row>
    <row r="2212" spans="1:13" ht="15" customHeight="1">
      <c r="A2212" s="142" t="s">
        <v>6221</v>
      </c>
      <c r="B2212" s="142">
        <v>517509</v>
      </c>
      <c r="C2212" s="143" t="s">
        <v>6222</v>
      </c>
      <c r="D2212" s="142" t="s">
        <v>5640</v>
      </c>
      <c r="E2212" s="143" t="s">
        <v>5691</v>
      </c>
      <c r="F2212" s="143" t="s">
        <v>6223</v>
      </c>
      <c r="G2212" s="142" t="s">
        <v>109</v>
      </c>
      <c r="H2212" s="142" t="s">
        <v>50</v>
      </c>
      <c r="I2212" s="143" t="s">
        <v>3449</v>
      </c>
      <c r="J2212" s="143" t="s">
        <v>104</v>
      </c>
      <c r="K2212" s="150" t="s">
        <v>5</v>
      </c>
      <c r="L2212" s="145">
        <v>46127</v>
      </c>
      <c r="M2212" s="152" t="s">
        <v>3392</v>
      </c>
    </row>
    <row r="2213" spans="1:13" ht="15" customHeight="1">
      <c r="A2213" s="146" t="s">
        <v>6224</v>
      </c>
      <c r="B2213" s="146">
        <v>517633</v>
      </c>
      <c r="C2213" s="147" t="s">
        <v>6225</v>
      </c>
      <c r="D2213" s="146" t="s">
        <v>5640</v>
      </c>
      <c r="E2213" s="147" t="s">
        <v>5691</v>
      </c>
      <c r="F2213" s="147" t="s">
        <v>5691</v>
      </c>
      <c r="G2213" s="146" t="s">
        <v>109</v>
      </c>
      <c r="H2213" s="146" t="s">
        <v>50</v>
      </c>
      <c r="I2213" s="147" t="s">
        <v>3449</v>
      </c>
      <c r="J2213" s="147" t="s">
        <v>104</v>
      </c>
      <c r="K2213" s="150" t="s">
        <v>5</v>
      </c>
      <c r="L2213" s="149">
        <v>46134</v>
      </c>
      <c r="M2213" s="151" t="s">
        <v>3392</v>
      </c>
    </row>
    <row r="2214" spans="1:13" ht="15" customHeight="1">
      <c r="A2214" s="142" t="s">
        <v>6226</v>
      </c>
      <c r="B2214" s="142">
        <v>517360</v>
      </c>
      <c r="C2214" s="143" t="s">
        <v>6227</v>
      </c>
      <c r="D2214" s="142" t="s">
        <v>5640</v>
      </c>
      <c r="E2214" s="143" t="s">
        <v>5710</v>
      </c>
      <c r="F2214" s="143" t="s">
        <v>6228</v>
      </c>
      <c r="G2214" s="142" t="s">
        <v>109</v>
      </c>
      <c r="H2214" s="142" t="s">
        <v>50</v>
      </c>
      <c r="I2214" s="143" t="s">
        <v>3449</v>
      </c>
      <c r="J2214" s="143" t="s">
        <v>104</v>
      </c>
      <c r="K2214" s="144" t="s">
        <v>121</v>
      </c>
      <c r="L2214" s="145">
        <v>46141</v>
      </c>
      <c r="M2214" s="144"/>
    </row>
    <row r="2215" spans="1:13" ht="15" customHeight="1">
      <c r="A2215" s="146" t="s">
        <v>6229</v>
      </c>
      <c r="B2215" s="146">
        <v>517395</v>
      </c>
      <c r="C2215" s="147" t="s">
        <v>6230</v>
      </c>
      <c r="D2215" s="146" t="s">
        <v>5640</v>
      </c>
      <c r="E2215" s="147" t="s">
        <v>5710</v>
      </c>
      <c r="F2215" s="147" t="s">
        <v>6231</v>
      </c>
      <c r="G2215" s="146" t="s">
        <v>109</v>
      </c>
      <c r="H2215" s="146" t="s">
        <v>50</v>
      </c>
      <c r="I2215" s="147" t="s">
        <v>3449</v>
      </c>
      <c r="J2215" s="147" t="s">
        <v>104</v>
      </c>
      <c r="K2215" s="148" t="s">
        <v>121</v>
      </c>
      <c r="L2215" s="149">
        <v>46142</v>
      </c>
      <c r="M2215" s="148"/>
    </row>
    <row r="2216" spans="1:13" ht="15" customHeight="1">
      <c r="A2216" s="142" t="s">
        <v>6232</v>
      </c>
      <c r="B2216" s="142">
        <v>517383</v>
      </c>
      <c r="C2216" s="143" t="s">
        <v>6233</v>
      </c>
      <c r="D2216" s="142" t="s">
        <v>5640</v>
      </c>
      <c r="E2216" s="143" t="s">
        <v>6234</v>
      </c>
      <c r="F2216" s="143" t="s">
        <v>6233</v>
      </c>
      <c r="G2216" s="142" t="s">
        <v>109</v>
      </c>
      <c r="H2216" s="142" t="s">
        <v>50</v>
      </c>
      <c r="I2216" s="143" t="s">
        <v>3449</v>
      </c>
      <c r="J2216" s="143" t="s">
        <v>104</v>
      </c>
      <c r="K2216" s="150" t="s">
        <v>5</v>
      </c>
      <c r="L2216" s="145">
        <v>46127</v>
      </c>
      <c r="M2216" s="152" t="s">
        <v>3392</v>
      </c>
    </row>
    <row r="2217" spans="1:13" ht="15" customHeight="1">
      <c r="A2217" s="146" t="s">
        <v>6235</v>
      </c>
      <c r="B2217" s="146">
        <v>517251</v>
      </c>
      <c r="C2217" s="147" t="s">
        <v>4719</v>
      </c>
      <c r="D2217" s="146" t="s">
        <v>5640</v>
      </c>
      <c r="E2217" s="147" t="s">
        <v>6236</v>
      </c>
      <c r="F2217" s="147" t="s">
        <v>6236</v>
      </c>
      <c r="G2217" s="146" t="s">
        <v>109</v>
      </c>
      <c r="H2217" s="146" t="s">
        <v>50</v>
      </c>
      <c r="I2217" s="147" t="s">
        <v>3449</v>
      </c>
      <c r="J2217" s="147" t="s">
        <v>104</v>
      </c>
      <c r="K2217" s="148" t="s">
        <v>121</v>
      </c>
      <c r="L2217" s="149">
        <v>46146</v>
      </c>
      <c r="M2217" s="148"/>
    </row>
    <row r="2218" spans="1:13" ht="15" customHeight="1">
      <c r="A2218" s="142" t="s">
        <v>6237</v>
      </c>
      <c r="B2218" s="142">
        <v>517354</v>
      </c>
      <c r="C2218" s="143" t="s">
        <v>6238</v>
      </c>
      <c r="D2218" s="142" t="s">
        <v>5640</v>
      </c>
      <c r="E2218" s="143" t="s">
        <v>6236</v>
      </c>
      <c r="F2218" s="143" t="s">
        <v>6239</v>
      </c>
      <c r="G2218" s="142" t="s">
        <v>109</v>
      </c>
      <c r="H2218" s="142" t="s">
        <v>50</v>
      </c>
      <c r="I2218" s="143" t="s">
        <v>3449</v>
      </c>
      <c r="J2218" s="143" t="s">
        <v>104</v>
      </c>
      <c r="K2218" s="144" t="s">
        <v>121</v>
      </c>
      <c r="L2218" s="145">
        <v>46146</v>
      </c>
      <c r="M2218" s="144"/>
    </row>
    <row r="2219" spans="1:13" ht="15" customHeight="1">
      <c r="A2219" s="146" t="s">
        <v>6240</v>
      </c>
      <c r="B2219" s="146">
        <v>517462</v>
      </c>
      <c r="C2219" s="147" t="s">
        <v>6241</v>
      </c>
      <c r="D2219" s="146" t="s">
        <v>5640</v>
      </c>
      <c r="E2219" s="147" t="s">
        <v>6242</v>
      </c>
      <c r="F2219" s="147" t="s">
        <v>2756</v>
      </c>
      <c r="G2219" s="146" t="s">
        <v>109</v>
      </c>
      <c r="H2219" s="146" t="s">
        <v>50</v>
      </c>
      <c r="I2219" s="147" t="s">
        <v>3449</v>
      </c>
      <c r="J2219" s="147" t="s">
        <v>104</v>
      </c>
      <c r="K2219" s="148" t="s">
        <v>121</v>
      </c>
      <c r="L2219" s="149">
        <v>46146</v>
      </c>
      <c r="M2219" s="148"/>
    </row>
    <row r="2220" spans="1:13" ht="15" customHeight="1">
      <c r="A2220" s="142" t="s">
        <v>6243</v>
      </c>
      <c r="B2220" s="142">
        <v>517387</v>
      </c>
      <c r="C2220" s="143" t="s">
        <v>6244</v>
      </c>
      <c r="D2220" s="142" t="s">
        <v>5640</v>
      </c>
      <c r="E2220" s="143" t="s">
        <v>5754</v>
      </c>
      <c r="F2220" s="143" t="s">
        <v>6245</v>
      </c>
      <c r="G2220" s="142" t="s">
        <v>109</v>
      </c>
      <c r="H2220" s="142" t="s">
        <v>50</v>
      </c>
      <c r="I2220" s="143" t="s">
        <v>3449</v>
      </c>
      <c r="J2220" s="143" t="s">
        <v>104</v>
      </c>
      <c r="K2220" s="144" t="s">
        <v>121</v>
      </c>
      <c r="L2220" s="145">
        <v>46140</v>
      </c>
      <c r="M2220" s="144"/>
    </row>
    <row r="2221" spans="1:13" ht="15" customHeight="1">
      <c r="A2221" s="146" t="s">
        <v>6246</v>
      </c>
      <c r="B2221" s="146">
        <v>517257</v>
      </c>
      <c r="C2221" s="147" t="s">
        <v>6247</v>
      </c>
      <c r="D2221" s="146" t="s">
        <v>5640</v>
      </c>
      <c r="E2221" s="147" t="s">
        <v>6248</v>
      </c>
      <c r="F2221" s="147" t="s">
        <v>6248</v>
      </c>
      <c r="G2221" s="146" t="s">
        <v>109</v>
      </c>
      <c r="H2221" s="146" t="s">
        <v>50</v>
      </c>
      <c r="I2221" s="147" t="s">
        <v>3449</v>
      </c>
      <c r="J2221" s="147" t="s">
        <v>104</v>
      </c>
      <c r="K2221" s="148" t="s">
        <v>121</v>
      </c>
      <c r="L2221" s="149">
        <v>46141</v>
      </c>
      <c r="M2221" s="148"/>
    </row>
    <row r="2222" spans="1:13" ht="15" customHeight="1">
      <c r="A2222" s="142" t="s">
        <v>6249</v>
      </c>
      <c r="B2222" s="142">
        <v>517261</v>
      </c>
      <c r="C2222" s="143" t="s">
        <v>6006</v>
      </c>
      <c r="D2222" s="142" t="s">
        <v>5640</v>
      </c>
      <c r="E2222" s="143" t="s">
        <v>6250</v>
      </c>
      <c r="F2222" s="143" t="s">
        <v>6250</v>
      </c>
      <c r="G2222" s="142" t="s">
        <v>109</v>
      </c>
      <c r="H2222" s="142" t="s">
        <v>50</v>
      </c>
      <c r="I2222" s="143" t="s">
        <v>3449</v>
      </c>
      <c r="J2222" s="143" t="s">
        <v>104</v>
      </c>
      <c r="K2222" s="150" t="s">
        <v>5</v>
      </c>
      <c r="L2222" s="145">
        <v>46125</v>
      </c>
      <c r="M2222" s="152" t="s">
        <v>3392</v>
      </c>
    </row>
    <row r="2223" spans="1:13" ht="15" customHeight="1">
      <c r="A2223" s="146" t="s">
        <v>6251</v>
      </c>
      <c r="B2223" s="146">
        <v>517290</v>
      </c>
      <c r="C2223" s="147" t="s">
        <v>6252</v>
      </c>
      <c r="D2223" s="146" t="s">
        <v>5640</v>
      </c>
      <c r="E2223" s="147" t="s">
        <v>5640</v>
      </c>
      <c r="F2223" s="147" t="s">
        <v>6015</v>
      </c>
      <c r="G2223" s="146" t="s">
        <v>102</v>
      </c>
      <c r="H2223" s="146" t="s">
        <v>50</v>
      </c>
      <c r="I2223" s="147" t="s">
        <v>3449</v>
      </c>
      <c r="J2223" s="147" t="s">
        <v>104</v>
      </c>
      <c r="K2223" s="153" t="s">
        <v>9</v>
      </c>
      <c r="L2223" s="149">
        <v>46106</v>
      </c>
      <c r="M2223" s="151" t="s">
        <v>3392</v>
      </c>
    </row>
    <row r="2224" spans="1:13" ht="15" customHeight="1">
      <c r="A2224" s="142" t="s">
        <v>6253</v>
      </c>
      <c r="B2224" s="142">
        <v>517430</v>
      </c>
      <c r="C2224" s="143" t="s">
        <v>6254</v>
      </c>
      <c r="D2224" s="142" t="s">
        <v>5640</v>
      </c>
      <c r="E2224" s="143" t="s">
        <v>6255</v>
      </c>
      <c r="F2224" s="143" t="s">
        <v>6256</v>
      </c>
      <c r="G2224" s="142" t="s">
        <v>102</v>
      </c>
      <c r="H2224" s="142" t="s">
        <v>50</v>
      </c>
      <c r="I2224" s="143" t="s">
        <v>3449</v>
      </c>
      <c r="J2224" s="143" t="s">
        <v>104</v>
      </c>
      <c r="K2224" s="144" t="s">
        <v>121</v>
      </c>
      <c r="L2224" s="145">
        <v>46139</v>
      </c>
      <c r="M2224" s="144"/>
    </row>
    <row r="2225" spans="1:13" ht="15" customHeight="1">
      <c r="A2225" s="146" t="s">
        <v>6257</v>
      </c>
      <c r="B2225" s="146">
        <v>517306</v>
      </c>
      <c r="C2225" s="147" t="s">
        <v>6258</v>
      </c>
      <c r="D2225" s="146" t="s">
        <v>5640</v>
      </c>
      <c r="E2225" s="147" t="s">
        <v>6259</v>
      </c>
      <c r="F2225" s="147" t="s">
        <v>6260</v>
      </c>
      <c r="G2225" s="146" t="s">
        <v>109</v>
      </c>
      <c r="H2225" s="146" t="s">
        <v>50</v>
      </c>
      <c r="I2225" s="147" t="s">
        <v>3449</v>
      </c>
      <c r="J2225" s="147" t="s">
        <v>104</v>
      </c>
      <c r="K2225" s="150" t="s">
        <v>5</v>
      </c>
      <c r="L2225" s="149">
        <v>46107</v>
      </c>
      <c r="M2225" s="151" t="s">
        <v>3392</v>
      </c>
    </row>
    <row r="2226" spans="1:13" ht="15" customHeight="1">
      <c r="A2226" s="142" t="s">
        <v>6261</v>
      </c>
      <c r="B2226" s="142">
        <v>517384</v>
      </c>
      <c r="C2226" s="143" t="s">
        <v>6262</v>
      </c>
      <c r="D2226" s="142" t="s">
        <v>5640</v>
      </c>
      <c r="E2226" s="143" t="s">
        <v>6263</v>
      </c>
      <c r="F2226" s="143" t="s">
        <v>6264</v>
      </c>
      <c r="G2226" s="142" t="s">
        <v>109</v>
      </c>
      <c r="H2226" s="142" t="s">
        <v>50</v>
      </c>
      <c r="I2226" s="143" t="s">
        <v>3449</v>
      </c>
      <c r="J2226" s="143" t="s">
        <v>104</v>
      </c>
      <c r="K2226" s="144" t="s">
        <v>121</v>
      </c>
      <c r="L2226" s="145">
        <v>46139</v>
      </c>
      <c r="M2226" s="144"/>
    </row>
    <row r="2227" spans="1:13" ht="15" customHeight="1">
      <c r="A2227" s="146" t="s">
        <v>6265</v>
      </c>
      <c r="B2227" s="146">
        <v>517467</v>
      </c>
      <c r="C2227" s="147" t="s">
        <v>1374</v>
      </c>
      <c r="D2227" s="146" t="s">
        <v>5640</v>
      </c>
      <c r="E2227" s="147" t="s">
        <v>6266</v>
      </c>
      <c r="F2227" s="147" t="s">
        <v>6267</v>
      </c>
      <c r="G2227" s="146" t="s">
        <v>109</v>
      </c>
      <c r="H2227" s="146" t="s">
        <v>50</v>
      </c>
      <c r="I2227" s="147" t="s">
        <v>3449</v>
      </c>
      <c r="J2227" s="147" t="s">
        <v>104</v>
      </c>
      <c r="K2227" s="148" t="s">
        <v>162</v>
      </c>
      <c r="L2227" s="149">
        <v>46153</v>
      </c>
      <c r="M2227" s="154" t="s">
        <v>1716</v>
      </c>
    </row>
    <row r="2228" spans="1:13" ht="15" customHeight="1">
      <c r="A2228" s="142" t="s">
        <v>6268</v>
      </c>
      <c r="B2228" s="142">
        <v>517210</v>
      </c>
      <c r="C2228" s="143" t="s">
        <v>6269</v>
      </c>
      <c r="D2228" s="142" t="s">
        <v>5640</v>
      </c>
      <c r="E2228" s="143" t="s">
        <v>6270</v>
      </c>
      <c r="F2228" s="143" t="s">
        <v>6270</v>
      </c>
      <c r="G2228" s="142" t="s">
        <v>109</v>
      </c>
      <c r="H2228" s="142" t="s">
        <v>50</v>
      </c>
      <c r="I2228" s="143" t="s">
        <v>3449</v>
      </c>
      <c r="J2228" s="143" t="s">
        <v>104</v>
      </c>
      <c r="K2228" s="150" t="s">
        <v>5</v>
      </c>
      <c r="L2228" s="149">
        <v>46135</v>
      </c>
      <c r="M2228" s="152" t="s">
        <v>3392</v>
      </c>
    </row>
    <row r="2229" spans="1:13" ht="15" customHeight="1">
      <c r="A2229" s="146" t="s">
        <v>6271</v>
      </c>
      <c r="B2229" s="146">
        <v>517392</v>
      </c>
      <c r="C2229" s="147" t="s">
        <v>6272</v>
      </c>
      <c r="D2229" s="146" t="s">
        <v>5640</v>
      </c>
      <c r="E2229" s="147" t="s">
        <v>6270</v>
      </c>
      <c r="F2229" s="147" t="s">
        <v>6273</v>
      </c>
      <c r="G2229" s="146" t="s">
        <v>109</v>
      </c>
      <c r="H2229" s="146" t="s">
        <v>50</v>
      </c>
      <c r="I2229" s="147" t="s">
        <v>3449</v>
      </c>
      <c r="J2229" s="147" t="s">
        <v>104</v>
      </c>
      <c r="K2229" s="150" t="s">
        <v>5</v>
      </c>
      <c r="L2229" s="149">
        <v>46135</v>
      </c>
      <c r="M2229" s="151" t="s">
        <v>3392</v>
      </c>
    </row>
    <row r="2230" spans="1:13" ht="15" customHeight="1">
      <c r="A2230" s="142" t="s">
        <v>6274</v>
      </c>
      <c r="B2230" s="142">
        <v>517208</v>
      </c>
      <c r="C2230" s="143" t="s">
        <v>6275</v>
      </c>
      <c r="D2230" s="142" t="s">
        <v>5640</v>
      </c>
      <c r="E2230" s="143" t="s">
        <v>6270</v>
      </c>
      <c r="F2230" s="143" t="s">
        <v>6276</v>
      </c>
      <c r="G2230" s="142" t="s">
        <v>109</v>
      </c>
      <c r="H2230" s="142" t="s">
        <v>50</v>
      </c>
      <c r="I2230" s="143" t="s">
        <v>3449</v>
      </c>
      <c r="J2230" s="143" t="s">
        <v>104</v>
      </c>
      <c r="K2230" s="150" t="s">
        <v>5</v>
      </c>
      <c r="L2230" s="145">
        <v>46134</v>
      </c>
      <c r="M2230" s="152" t="s">
        <v>3392</v>
      </c>
    </row>
    <row r="2231" spans="1:13" ht="15" customHeight="1">
      <c r="A2231" s="146" t="s">
        <v>6277</v>
      </c>
      <c r="B2231" s="146">
        <v>517802</v>
      </c>
      <c r="C2231" s="147" t="s">
        <v>6278</v>
      </c>
      <c r="D2231" s="146" t="s">
        <v>5640</v>
      </c>
      <c r="E2231" s="147" t="s">
        <v>6279</v>
      </c>
      <c r="F2231" s="147" t="s">
        <v>6279</v>
      </c>
      <c r="G2231" s="146" t="s">
        <v>102</v>
      </c>
      <c r="H2231" s="146" t="s">
        <v>50</v>
      </c>
      <c r="I2231" s="147" t="s">
        <v>3449</v>
      </c>
      <c r="J2231" s="147" t="s">
        <v>104</v>
      </c>
      <c r="K2231" s="148"/>
      <c r="L2231" s="149"/>
      <c r="M2231" s="148"/>
    </row>
    <row r="2232" spans="1:13" ht="15" customHeight="1">
      <c r="A2232" s="142" t="s">
        <v>6280</v>
      </c>
      <c r="B2232" s="142">
        <v>517803</v>
      </c>
      <c r="C2232" s="143" t="s">
        <v>6281</v>
      </c>
      <c r="D2232" s="142" t="s">
        <v>5640</v>
      </c>
      <c r="E2232" s="143" t="s">
        <v>6279</v>
      </c>
      <c r="F2232" s="143" t="s">
        <v>6282</v>
      </c>
      <c r="G2232" s="142" t="s">
        <v>109</v>
      </c>
      <c r="H2232" s="142" t="s">
        <v>50</v>
      </c>
      <c r="I2232" s="143" t="s">
        <v>3449</v>
      </c>
      <c r="J2232" s="143" t="s">
        <v>104</v>
      </c>
      <c r="K2232" s="144"/>
      <c r="L2232" s="145"/>
      <c r="M2232" s="144"/>
    </row>
    <row r="2233" spans="1:13" ht="15" customHeight="1">
      <c r="A2233" s="146" t="s">
        <v>6283</v>
      </c>
      <c r="B2233" s="146">
        <v>517339</v>
      </c>
      <c r="C2233" s="147" t="s">
        <v>6284</v>
      </c>
      <c r="D2233" s="146" t="s">
        <v>5640</v>
      </c>
      <c r="E2233" s="147" t="s">
        <v>5824</v>
      </c>
      <c r="F2233" s="147" t="s">
        <v>6285</v>
      </c>
      <c r="G2233" s="146" t="s">
        <v>109</v>
      </c>
      <c r="H2233" s="146" t="s">
        <v>50</v>
      </c>
      <c r="I2233" s="147" t="s">
        <v>3449</v>
      </c>
      <c r="J2233" s="147" t="s">
        <v>104</v>
      </c>
      <c r="K2233" s="148" t="s">
        <v>162</v>
      </c>
      <c r="L2233" s="149">
        <v>46146</v>
      </c>
      <c r="M2233" s="148" t="s">
        <v>1740</v>
      </c>
    </row>
    <row r="2234" spans="1:13" ht="15" customHeight="1">
      <c r="A2234" s="142" t="s">
        <v>6286</v>
      </c>
      <c r="B2234" s="142">
        <v>517264</v>
      </c>
      <c r="C2234" s="143" t="s">
        <v>2682</v>
      </c>
      <c r="D2234" s="142" t="s">
        <v>5640</v>
      </c>
      <c r="E2234" s="143" t="s">
        <v>6287</v>
      </c>
      <c r="F2234" s="143" t="s">
        <v>6287</v>
      </c>
      <c r="G2234" s="142" t="s">
        <v>109</v>
      </c>
      <c r="H2234" s="142" t="s">
        <v>50</v>
      </c>
      <c r="I2234" s="143" t="s">
        <v>3449</v>
      </c>
      <c r="J2234" s="143" t="s">
        <v>104</v>
      </c>
      <c r="K2234" s="144" t="s">
        <v>121</v>
      </c>
      <c r="L2234" s="145">
        <v>46146</v>
      </c>
      <c r="M2234" s="144"/>
    </row>
    <row r="2235" spans="1:13" ht="15" customHeight="1">
      <c r="A2235" s="146" t="s">
        <v>6288</v>
      </c>
      <c r="B2235" s="146">
        <v>517353</v>
      </c>
      <c r="C2235" s="147" t="s">
        <v>254</v>
      </c>
      <c r="D2235" s="146" t="s">
        <v>5640</v>
      </c>
      <c r="E2235" s="147" t="s">
        <v>6287</v>
      </c>
      <c r="F2235" s="147" t="s">
        <v>6289</v>
      </c>
      <c r="G2235" s="146" t="s">
        <v>109</v>
      </c>
      <c r="H2235" s="146" t="s">
        <v>50</v>
      </c>
      <c r="I2235" s="147" t="s">
        <v>3449</v>
      </c>
      <c r="J2235" s="147" t="s">
        <v>104</v>
      </c>
      <c r="K2235" s="148" t="s">
        <v>121</v>
      </c>
      <c r="L2235" s="149">
        <v>46147</v>
      </c>
      <c r="M2235" s="148"/>
    </row>
    <row r="2236" spans="1:13" ht="15" customHeight="1">
      <c r="A2236" s="142" t="s">
        <v>6290</v>
      </c>
      <c r="B2236" s="142">
        <v>515827</v>
      </c>
      <c r="C2236" s="143" t="s">
        <v>6291</v>
      </c>
      <c r="D2236" s="142" t="s">
        <v>5640</v>
      </c>
      <c r="E2236" s="143" t="s">
        <v>5641</v>
      </c>
      <c r="F2236" s="143" t="s">
        <v>6292</v>
      </c>
      <c r="G2236" s="142" t="s">
        <v>109</v>
      </c>
      <c r="H2236" s="142" t="s">
        <v>50</v>
      </c>
      <c r="I2236" s="143" t="s">
        <v>3449</v>
      </c>
      <c r="J2236" s="143" t="s">
        <v>104</v>
      </c>
      <c r="K2236" s="150" t="s">
        <v>5</v>
      </c>
      <c r="L2236" s="145">
        <v>46126</v>
      </c>
      <c r="M2236" s="152" t="s">
        <v>3392</v>
      </c>
    </row>
    <row r="2237" spans="1:13" ht="15" customHeight="1">
      <c r="A2237" s="146" t="s">
        <v>6293</v>
      </c>
      <c r="B2237" s="146">
        <v>517363</v>
      </c>
      <c r="C2237" s="147" t="s">
        <v>6294</v>
      </c>
      <c r="D2237" s="146" t="s">
        <v>5640</v>
      </c>
      <c r="E2237" s="147" t="s">
        <v>5892</v>
      </c>
      <c r="F2237" s="147" t="s">
        <v>6295</v>
      </c>
      <c r="G2237" s="146" t="s">
        <v>109</v>
      </c>
      <c r="H2237" s="146" t="s">
        <v>50</v>
      </c>
      <c r="I2237" s="147" t="s">
        <v>3449</v>
      </c>
      <c r="J2237" s="147" t="s">
        <v>104</v>
      </c>
      <c r="K2237" s="148" t="s">
        <v>121</v>
      </c>
      <c r="L2237" s="149">
        <v>46147</v>
      </c>
      <c r="M2237" s="148"/>
    </row>
    <row r="2238" spans="1:13" ht="15" customHeight="1">
      <c r="A2238" s="142" t="s">
        <v>6296</v>
      </c>
      <c r="B2238" s="142">
        <v>517233</v>
      </c>
      <c r="C2238" s="143" t="s">
        <v>6297</v>
      </c>
      <c r="D2238" s="142" t="s">
        <v>5640</v>
      </c>
      <c r="E2238" s="143" t="s">
        <v>5892</v>
      </c>
      <c r="F2238" s="143" t="s">
        <v>6298</v>
      </c>
      <c r="G2238" s="142" t="s">
        <v>109</v>
      </c>
      <c r="H2238" s="142" t="s">
        <v>50</v>
      </c>
      <c r="I2238" s="143" t="s">
        <v>3449</v>
      </c>
      <c r="J2238" s="143" t="s">
        <v>104</v>
      </c>
      <c r="K2238" s="144"/>
      <c r="L2238" s="145"/>
      <c r="M2238" s="144"/>
    </row>
    <row r="2239" spans="1:13" ht="15" customHeight="1">
      <c r="A2239" s="146" t="s">
        <v>6299</v>
      </c>
      <c r="B2239" s="146">
        <v>516949</v>
      </c>
      <c r="C2239" s="147" t="s">
        <v>2787</v>
      </c>
      <c r="D2239" s="146" t="s">
        <v>5640</v>
      </c>
      <c r="E2239" s="147" t="s">
        <v>5654</v>
      </c>
      <c r="F2239" s="147" t="s">
        <v>6300</v>
      </c>
      <c r="G2239" s="146" t="s">
        <v>109</v>
      </c>
      <c r="H2239" s="146" t="s">
        <v>50</v>
      </c>
      <c r="I2239" s="147" t="s">
        <v>3449</v>
      </c>
      <c r="J2239" s="147" t="s">
        <v>104</v>
      </c>
      <c r="K2239" s="148" t="s">
        <v>121</v>
      </c>
      <c r="L2239" s="149">
        <v>46153</v>
      </c>
      <c r="M2239" s="148"/>
    </row>
    <row r="2240" spans="1:13" ht="15" customHeight="1">
      <c r="A2240" s="142" t="s">
        <v>6301</v>
      </c>
      <c r="B2240" s="142">
        <v>517628</v>
      </c>
      <c r="C2240" s="143" t="s">
        <v>6302</v>
      </c>
      <c r="D2240" s="142" t="s">
        <v>5640</v>
      </c>
      <c r="E2240" s="143" t="s">
        <v>5938</v>
      </c>
      <c r="F2240" s="143" t="s">
        <v>6303</v>
      </c>
      <c r="G2240" s="142" t="s">
        <v>109</v>
      </c>
      <c r="H2240" s="142" t="s">
        <v>50</v>
      </c>
      <c r="I2240" s="143" t="s">
        <v>3449</v>
      </c>
      <c r="J2240" s="143" t="s">
        <v>104</v>
      </c>
      <c r="K2240" s="144" t="s">
        <v>121</v>
      </c>
      <c r="L2240" s="145">
        <v>46142</v>
      </c>
      <c r="M2240" s="144"/>
    </row>
    <row r="2241" spans="1:13" ht="15" customHeight="1">
      <c r="A2241" s="146" t="s">
        <v>6304</v>
      </c>
      <c r="B2241" s="146">
        <v>516970</v>
      </c>
      <c r="C2241" s="147" t="s">
        <v>6305</v>
      </c>
      <c r="D2241" s="146" t="s">
        <v>5640</v>
      </c>
      <c r="E2241" s="147" t="s">
        <v>5683</v>
      </c>
      <c r="F2241" s="147" t="s">
        <v>5683</v>
      </c>
      <c r="G2241" s="146" t="s">
        <v>102</v>
      </c>
      <c r="H2241" s="146" t="s">
        <v>50</v>
      </c>
      <c r="I2241" s="147" t="s">
        <v>3449</v>
      </c>
      <c r="J2241" s="147" t="s">
        <v>104</v>
      </c>
      <c r="K2241" s="150" t="s">
        <v>5</v>
      </c>
      <c r="L2241" s="149">
        <v>46128</v>
      </c>
      <c r="M2241" s="151" t="s">
        <v>3392</v>
      </c>
    </row>
    <row r="2242" spans="1:13" ht="15" customHeight="1">
      <c r="A2242" s="142" t="s">
        <v>6306</v>
      </c>
      <c r="B2242" s="142">
        <v>517249</v>
      </c>
      <c r="C2242" s="143" t="s">
        <v>6307</v>
      </c>
      <c r="D2242" s="142" t="s">
        <v>5640</v>
      </c>
      <c r="E2242" s="143" t="s">
        <v>6307</v>
      </c>
      <c r="F2242" s="143" t="s">
        <v>6308</v>
      </c>
      <c r="G2242" s="142" t="s">
        <v>109</v>
      </c>
      <c r="H2242" s="142" t="s">
        <v>50</v>
      </c>
      <c r="I2242" s="143" t="s">
        <v>3449</v>
      </c>
      <c r="J2242" s="143" t="s">
        <v>104</v>
      </c>
      <c r="K2242" s="144"/>
      <c r="L2242" s="145"/>
      <c r="M2242" s="144"/>
    </row>
    <row r="2243" spans="1:13" ht="15" customHeight="1">
      <c r="A2243" s="146" t="s">
        <v>6309</v>
      </c>
      <c r="B2243" s="146">
        <v>516849</v>
      </c>
      <c r="C2243" s="147" t="s">
        <v>6310</v>
      </c>
      <c r="D2243" s="146" t="s">
        <v>5640</v>
      </c>
      <c r="E2243" s="147" t="s">
        <v>5640</v>
      </c>
      <c r="F2243" s="147" t="s">
        <v>5640</v>
      </c>
      <c r="G2243" s="146" t="s">
        <v>102</v>
      </c>
      <c r="H2243" s="146" t="s">
        <v>50</v>
      </c>
      <c r="I2243" s="147" t="s">
        <v>3449</v>
      </c>
      <c r="J2243" s="147" t="s">
        <v>104</v>
      </c>
      <c r="K2243" s="153" t="s">
        <v>9</v>
      </c>
      <c r="L2243" s="149">
        <v>46105</v>
      </c>
      <c r="M2243" s="151" t="s">
        <v>3392</v>
      </c>
    </row>
    <row r="2244" spans="1:13" ht="15" customHeight="1">
      <c r="A2244" s="142" t="s">
        <v>6311</v>
      </c>
      <c r="B2244" s="142">
        <v>517298</v>
      </c>
      <c r="C2244" s="143" t="s">
        <v>6312</v>
      </c>
      <c r="D2244" s="142" t="s">
        <v>5640</v>
      </c>
      <c r="E2244" s="143" t="s">
        <v>5640</v>
      </c>
      <c r="F2244" s="143" t="s">
        <v>5647</v>
      </c>
      <c r="G2244" s="142" t="s">
        <v>102</v>
      </c>
      <c r="H2244" s="142" t="s">
        <v>50</v>
      </c>
      <c r="I2244" s="143" t="s">
        <v>3449</v>
      </c>
      <c r="J2244" s="143" t="s">
        <v>104</v>
      </c>
      <c r="K2244" s="150" t="s">
        <v>5</v>
      </c>
      <c r="L2244" s="145">
        <v>46129</v>
      </c>
      <c r="M2244" s="152" t="s">
        <v>3392</v>
      </c>
    </row>
    <row r="2245" spans="1:13" ht="15" customHeight="1">
      <c r="A2245" s="146" t="s">
        <v>6313</v>
      </c>
      <c r="B2245" s="146">
        <v>517301</v>
      </c>
      <c r="C2245" s="147" t="s">
        <v>6314</v>
      </c>
      <c r="D2245" s="146" t="s">
        <v>5640</v>
      </c>
      <c r="E2245" s="147" t="s">
        <v>5691</v>
      </c>
      <c r="F2245" s="147" t="s">
        <v>6315</v>
      </c>
      <c r="G2245" s="146" t="s">
        <v>109</v>
      </c>
      <c r="H2245" s="146" t="s">
        <v>50</v>
      </c>
      <c r="I2245" s="147" t="s">
        <v>3449</v>
      </c>
      <c r="J2245" s="147" t="s">
        <v>104</v>
      </c>
      <c r="K2245" s="150" t="s">
        <v>5</v>
      </c>
      <c r="L2245" s="149">
        <v>46129</v>
      </c>
      <c r="M2245" s="151" t="s">
        <v>3392</v>
      </c>
    </row>
    <row r="2246" spans="1:13" ht="15" customHeight="1">
      <c r="A2246" s="142" t="s">
        <v>6316</v>
      </c>
      <c r="B2246" s="142">
        <v>517410</v>
      </c>
      <c r="C2246" s="143" t="s">
        <v>1323</v>
      </c>
      <c r="D2246" s="142" t="s">
        <v>5640</v>
      </c>
      <c r="E2246" s="143" t="s">
        <v>6317</v>
      </c>
      <c r="F2246" s="143" t="s">
        <v>6318</v>
      </c>
      <c r="G2246" s="142" t="s">
        <v>109</v>
      </c>
      <c r="H2246" s="142" t="s">
        <v>50</v>
      </c>
      <c r="I2246" s="143" t="s">
        <v>3449</v>
      </c>
      <c r="J2246" s="143" t="s">
        <v>104</v>
      </c>
      <c r="K2246" s="150" t="s">
        <v>5</v>
      </c>
      <c r="L2246" s="145">
        <v>46132</v>
      </c>
      <c r="M2246" s="152" t="s">
        <v>3392</v>
      </c>
    </row>
    <row r="2247" spans="1:13" ht="15" customHeight="1">
      <c r="A2247" s="146" t="s">
        <v>6319</v>
      </c>
      <c r="B2247" s="146">
        <v>517198</v>
      </c>
      <c r="C2247" s="147" t="s">
        <v>6320</v>
      </c>
      <c r="D2247" s="146" t="s">
        <v>5640</v>
      </c>
      <c r="E2247" s="147" t="s">
        <v>5773</v>
      </c>
      <c r="F2247" s="147" t="s">
        <v>6321</v>
      </c>
      <c r="G2247" s="146" t="s">
        <v>109</v>
      </c>
      <c r="H2247" s="146" t="s">
        <v>50</v>
      </c>
      <c r="I2247" s="147" t="s">
        <v>3449</v>
      </c>
      <c r="J2247" s="147" t="s">
        <v>104</v>
      </c>
      <c r="K2247" s="150" t="s">
        <v>5</v>
      </c>
      <c r="L2247" s="149">
        <v>46128</v>
      </c>
      <c r="M2247" s="151" t="s">
        <v>3392</v>
      </c>
    </row>
    <row r="2248" spans="1:13" ht="15" customHeight="1">
      <c r="A2248" s="142" t="s">
        <v>6322</v>
      </c>
      <c r="B2248" s="142">
        <v>517118</v>
      </c>
      <c r="C2248" s="143" t="s">
        <v>6323</v>
      </c>
      <c r="D2248" s="142" t="s">
        <v>5640</v>
      </c>
      <c r="E2248" s="143" t="s">
        <v>5710</v>
      </c>
      <c r="F2248" s="143" t="s">
        <v>6324</v>
      </c>
      <c r="G2248" s="142" t="s">
        <v>102</v>
      </c>
      <c r="H2248" s="142" t="s">
        <v>50</v>
      </c>
      <c r="I2248" s="143" t="s">
        <v>3449</v>
      </c>
      <c r="J2248" s="143" t="s">
        <v>104</v>
      </c>
      <c r="K2248" s="144" t="s">
        <v>121</v>
      </c>
      <c r="L2248" s="145">
        <v>46146</v>
      </c>
      <c r="M2248" s="144"/>
    </row>
    <row r="2249" spans="1:13" ht="15" customHeight="1">
      <c r="A2249" s="146" t="s">
        <v>6325</v>
      </c>
      <c r="B2249" s="146">
        <v>517470</v>
      </c>
      <c r="C2249" s="147" t="s">
        <v>5751</v>
      </c>
      <c r="D2249" s="146" t="s">
        <v>5640</v>
      </c>
      <c r="E2249" s="147" t="s">
        <v>5683</v>
      </c>
      <c r="F2249" s="147" t="s">
        <v>6326</v>
      </c>
      <c r="G2249" s="146" t="s">
        <v>102</v>
      </c>
      <c r="H2249" s="146" t="s">
        <v>50</v>
      </c>
      <c r="I2249" s="147" t="s">
        <v>3449</v>
      </c>
      <c r="J2249" s="147" t="s">
        <v>104</v>
      </c>
      <c r="K2249" s="150" t="s">
        <v>5</v>
      </c>
      <c r="L2249" s="149">
        <v>46126</v>
      </c>
      <c r="M2249" s="151" t="s">
        <v>3392</v>
      </c>
    </row>
    <row r="2250" spans="1:13" ht="15" customHeight="1">
      <c r="A2250" s="142" t="s">
        <v>6327</v>
      </c>
      <c r="B2250" s="142">
        <v>517341</v>
      </c>
      <c r="C2250" s="143" t="s">
        <v>6328</v>
      </c>
      <c r="D2250" s="142" t="s">
        <v>5640</v>
      </c>
      <c r="E2250" s="143" t="s">
        <v>3018</v>
      </c>
      <c r="F2250" s="143" t="s">
        <v>5822</v>
      </c>
      <c r="G2250" s="142" t="s">
        <v>109</v>
      </c>
      <c r="H2250" s="142" t="s">
        <v>50</v>
      </c>
      <c r="I2250" s="143" t="s">
        <v>3449</v>
      </c>
      <c r="J2250" s="143" t="s">
        <v>104</v>
      </c>
      <c r="K2250" s="144" t="s">
        <v>162</v>
      </c>
      <c r="L2250" s="145">
        <v>46136</v>
      </c>
      <c r="M2250" s="144"/>
    </row>
    <row r="2251" spans="1:13" ht="15" customHeight="1">
      <c r="A2251" s="146" t="s">
        <v>6329</v>
      </c>
      <c r="B2251" s="146">
        <v>517355</v>
      </c>
      <c r="C2251" s="147" t="s">
        <v>6330</v>
      </c>
      <c r="D2251" s="146" t="s">
        <v>5640</v>
      </c>
      <c r="E2251" s="147" t="s">
        <v>5673</v>
      </c>
      <c r="F2251" s="147" t="s">
        <v>6331</v>
      </c>
      <c r="G2251" s="146" t="s">
        <v>109</v>
      </c>
      <c r="H2251" s="146" t="s">
        <v>50</v>
      </c>
      <c r="I2251" s="147" t="s">
        <v>3449</v>
      </c>
      <c r="J2251" s="147" t="s">
        <v>104</v>
      </c>
      <c r="K2251" s="150" t="s">
        <v>5</v>
      </c>
      <c r="L2251" s="149">
        <v>46129</v>
      </c>
      <c r="M2251" s="151" t="s">
        <v>3392</v>
      </c>
    </row>
    <row r="2252" spans="1:13" ht="15" customHeight="1">
      <c r="A2252" s="142" t="s">
        <v>6332</v>
      </c>
      <c r="B2252" s="142">
        <v>516934</v>
      </c>
      <c r="C2252" s="143" t="s">
        <v>5555</v>
      </c>
      <c r="D2252" s="142" t="s">
        <v>5640</v>
      </c>
      <c r="E2252" s="143" t="s">
        <v>5757</v>
      </c>
      <c r="F2252" s="143" t="s">
        <v>6333</v>
      </c>
      <c r="G2252" s="142" t="s">
        <v>109</v>
      </c>
      <c r="H2252" s="142" t="s">
        <v>50</v>
      </c>
      <c r="I2252" s="143" t="s">
        <v>3449</v>
      </c>
      <c r="J2252" s="143" t="s">
        <v>104</v>
      </c>
      <c r="K2252" s="144"/>
      <c r="L2252" s="145"/>
      <c r="M2252" s="144"/>
    </row>
    <row r="2253" spans="1:13" ht="15" customHeight="1">
      <c r="A2253" s="146" t="s">
        <v>6334</v>
      </c>
      <c r="B2253" s="146">
        <v>517045</v>
      </c>
      <c r="C2253" s="147" t="s">
        <v>6335</v>
      </c>
      <c r="D2253" s="146" t="s">
        <v>5640</v>
      </c>
      <c r="E2253" s="147" t="s">
        <v>5710</v>
      </c>
      <c r="F2253" s="147" t="s">
        <v>5650</v>
      </c>
      <c r="G2253" s="146" t="s">
        <v>109</v>
      </c>
      <c r="H2253" s="146" t="s">
        <v>50</v>
      </c>
      <c r="I2253" s="147" t="s">
        <v>3449</v>
      </c>
      <c r="J2253" s="147" t="s">
        <v>104</v>
      </c>
      <c r="K2253" s="148" t="s">
        <v>121</v>
      </c>
      <c r="L2253" s="149">
        <v>46146</v>
      </c>
      <c r="M2253" s="148"/>
    </row>
    <row r="2254" spans="1:13" ht="15" customHeight="1">
      <c r="A2254" s="142" t="s">
        <v>6336</v>
      </c>
      <c r="B2254" s="142">
        <v>517476</v>
      </c>
      <c r="C2254" s="143" t="s">
        <v>6337</v>
      </c>
      <c r="D2254" s="142" t="s">
        <v>5640</v>
      </c>
      <c r="E2254" s="143" t="s">
        <v>5773</v>
      </c>
      <c r="F2254" s="143" t="s">
        <v>6338</v>
      </c>
      <c r="G2254" s="142" t="s">
        <v>109</v>
      </c>
      <c r="H2254" s="142" t="s">
        <v>50</v>
      </c>
      <c r="I2254" s="143" t="s">
        <v>3449</v>
      </c>
      <c r="J2254" s="143" t="s">
        <v>104</v>
      </c>
      <c r="K2254" s="47" t="s">
        <v>18</v>
      </c>
      <c r="L2254" s="145">
        <v>46133</v>
      </c>
      <c r="M2254" s="152" t="s">
        <v>3392</v>
      </c>
    </row>
    <row r="2255" spans="1:13" ht="15" customHeight="1">
      <c r="A2255" s="146" t="s">
        <v>6339</v>
      </c>
      <c r="B2255" s="146">
        <v>516960</v>
      </c>
      <c r="C2255" s="147" t="s">
        <v>6340</v>
      </c>
      <c r="D2255" s="146" t="s">
        <v>5640</v>
      </c>
      <c r="E2255" s="147" t="s">
        <v>6341</v>
      </c>
      <c r="F2255" s="147" t="s">
        <v>6342</v>
      </c>
      <c r="G2255" s="146" t="s">
        <v>109</v>
      </c>
      <c r="H2255" s="146" t="s">
        <v>50</v>
      </c>
      <c r="I2255" s="147" t="s">
        <v>3449</v>
      </c>
      <c r="J2255" s="147" t="s">
        <v>104</v>
      </c>
      <c r="K2255" s="148" t="s">
        <v>121</v>
      </c>
      <c r="L2255" s="149">
        <v>46153</v>
      </c>
      <c r="M2255" s="148"/>
    </row>
    <row r="2256" spans="1:13" ht="15" customHeight="1">
      <c r="A2256" s="142" t="s">
        <v>6343</v>
      </c>
      <c r="B2256" s="142">
        <v>516938</v>
      </c>
      <c r="C2256" s="143" t="s">
        <v>6344</v>
      </c>
      <c r="D2256" s="142" t="s">
        <v>5640</v>
      </c>
      <c r="E2256" s="143" t="s">
        <v>5661</v>
      </c>
      <c r="F2256" s="143" t="s">
        <v>6345</v>
      </c>
      <c r="G2256" s="142" t="s">
        <v>102</v>
      </c>
      <c r="H2256" s="142" t="s">
        <v>50</v>
      </c>
      <c r="I2256" s="143" t="s">
        <v>3449</v>
      </c>
      <c r="J2256" s="143" t="s">
        <v>104</v>
      </c>
      <c r="K2256" s="144"/>
      <c r="L2256" s="145"/>
      <c r="M2256" s="144"/>
    </row>
    <row r="2257" spans="1:13" ht="15" customHeight="1">
      <c r="A2257" s="146" t="s">
        <v>6346</v>
      </c>
      <c r="B2257" s="146">
        <v>516892</v>
      </c>
      <c r="C2257" s="147" t="s">
        <v>1354</v>
      </c>
      <c r="D2257" s="146" t="s">
        <v>5640</v>
      </c>
      <c r="E2257" s="147" t="s">
        <v>5717</v>
      </c>
      <c r="F2257" s="147" t="s">
        <v>6347</v>
      </c>
      <c r="G2257" s="146" t="s">
        <v>109</v>
      </c>
      <c r="H2257" s="146" t="s">
        <v>50</v>
      </c>
      <c r="I2257" s="147" t="s">
        <v>3449</v>
      </c>
      <c r="J2257" s="147" t="s">
        <v>104</v>
      </c>
      <c r="K2257" s="150" t="s">
        <v>5</v>
      </c>
      <c r="L2257" s="149">
        <v>46107</v>
      </c>
      <c r="M2257" s="151" t="s">
        <v>3392</v>
      </c>
    </row>
    <row r="2258" spans="1:13" ht="15" customHeight="1">
      <c r="A2258" s="142" t="s">
        <v>6348</v>
      </c>
      <c r="B2258" s="142">
        <v>517393</v>
      </c>
      <c r="C2258" s="143" t="s">
        <v>3480</v>
      </c>
      <c r="D2258" s="142" t="s">
        <v>5640</v>
      </c>
      <c r="E2258" s="143" t="s">
        <v>6270</v>
      </c>
      <c r="F2258" s="143" t="s">
        <v>6349</v>
      </c>
      <c r="G2258" s="142" t="s">
        <v>109</v>
      </c>
      <c r="H2258" s="142" t="s">
        <v>50</v>
      </c>
      <c r="I2258" s="143" t="s">
        <v>3449</v>
      </c>
      <c r="J2258" s="143" t="s">
        <v>104</v>
      </c>
      <c r="K2258" s="144" t="s">
        <v>162</v>
      </c>
      <c r="L2258" s="145">
        <v>46139</v>
      </c>
      <c r="M2258" s="144"/>
    </row>
    <row r="2259" spans="1:13" ht="15" customHeight="1">
      <c r="A2259" s="146" t="s">
        <v>6350</v>
      </c>
      <c r="B2259" s="146">
        <v>517412</v>
      </c>
      <c r="C2259" s="147" t="s">
        <v>752</v>
      </c>
      <c r="D2259" s="146" t="s">
        <v>5640</v>
      </c>
      <c r="E2259" s="147" t="s">
        <v>5770</v>
      </c>
      <c r="F2259" s="147" t="s">
        <v>6351</v>
      </c>
      <c r="G2259" s="146" t="s">
        <v>109</v>
      </c>
      <c r="H2259" s="146" t="s">
        <v>50</v>
      </c>
      <c r="I2259" s="147" t="s">
        <v>3449</v>
      </c>
      <c r="J2259" s="147" t="s">
        <v>104</v>
      </c>
      <c r="K2259" s="150" t="s">
        <v>5</v>
      </c>
      <c r="L2259" s="149">
        <v>46134</v>
      </c>
      <c r="M2259" s="151" t="s">
        <v>3392</v>
      </c>
    </row>
    <row r="2260" spans="1:13" ht="15" customHeight="1">
      <c r="A2260" s="142" t="s">
        <v>6352</v>
      </c>
      <c r="B2260" s="142">
        <v>517487</v>
      </c>
      <c r="C2260" s="143" t="s">
        <v>6128</v>
      </c>
      <c r="D2260" s="142" t="s">
        <v>5640</v>
      </c>
      <c r="E2260" s="143" t="s">
        <v>5640</v>
      </c>
      <c r="F2260" s="143" t="s">
        <v>6353</v>
      </c>
      <c r="G2260" s="142" t="s">
        <v>102</v>
      </c>
      <c r="H2260" s="142" t="s">
        <v>50</v>
      </c>
      <c r="I2260" s="143" t="s">
        <v>3449</v>
      </c>
      <c r="J2260" s="143" t="s">
        <v>104</v>
      </c>
      <c r="K2260" s="150" t="s">
        <v>5</v>
      </c>
      <c r="L2260" s="145">
        <v>46125</v>
      </c>
      <c r="M2260" s="152" t="s">
        <v>3392</v>
      </c>
    </row>
    <row r="2261" spans="1:13" ht="15" customHeight="1">
      <c r="A2261" s="146" t="s">
        <v>6354</v>
      </c>
      <c r="B2261" s="146">
        <v>517366</v>
      </c>
      <c r="C2261" s="147" t="s">
        <v>4568</v>
      </c>
      <c r="D2261" s="146" t="s">
        <v>5640</v>
      </c>
      <c r="E2261" s="147" t="s">
        <v>6355</v>
      </c>
      <c r="F2261" s="147" t="s">
        <v>6356</v>
      </c>
      <c r="G2261" s="146" t="s">
        <v>109</v>
      </c>
      <c r="H2261" s="146" t="s">
        <v>50</v>
      </c>
      <c r="I2261" s="147" t="s">
        <v>3449</v>
      </c>
      <c r="J2261" s="147" t="s">
        <v>104</v>
      </c>
      <c r="K2261" s="148"/>
      <c r="L2261" s="149"/>
      <c r="M2261" s="148"/>
    </row>
    <row r="2262" spans="1:13" ht="15" customHeight="1">
      <c r="A2262" s="142" t="s">
        <v>6357</v>
      </c>
      <c r="B2262" s="142">
        <v>517255</v>
      </c>
      <c r="C2262" s="143" t="s">
        <v>6358</v>
      </c>
      <c r="D2262" s="142" t="s">
        <v>5640</v>
      </c>
      <c r="E2262" s="143" t="s">
        <v>6359</v>
      </c>
      <c r="F2262" s="143" t="s">
        <v>6360</v>
      </c>
      <c r="G2262" s="142" t="s">
        <v>109</v>
      </c>
      <c r="H2262" s="142" t="s">
        <v>50</v>
      </c>
      <c r="I2262" s="143" t="s">
        <v>3449</v>
      </c>
      <c r="J2262" s="143" t="s">
        <v>104</v>
      </c>
      <c r="K2262" s="144" t="s">
        <v>121</v>
      </c>
      <c r="L2262" s="145">
        <v>46140</v>
      </c>
      <c r="M2262" s="144"/>
    </row>
    <row r="2263" spans="1:13" ht="15" customHeight="1">
      <c r="A2263" s="146" t="s">
        <v>6361</v>
      </c>
      <c r="B2263" s="146">
        <v>517594</v>
      </c>
      <c r="C2263" s="147" t="s">
        <v>348</v>
      </c>
      <c r="D2263" s="146" t="s">
        <v>5640</v>
      </c>
      <c r="E2263" s="147" t="s">
        <v>5938</v>
      </c>
      <c r="F2263" s="147" t="s">
        <v>5939</v>
      </c>
      <c r="G2263" s="146" t="s">
        <v>109</v>
      </c>
      <c r="H2263" s="146" t="s">
        <v>50</v>
      </c>
      <c r="I2263" s="147" t="s">
        <v>3449</v>
      </c>
      <c r="J2263" s="147" t="s">
        <v>104</v>
      </c>
      <c r="K2263" s="150" t="s">
        <v>5</v>
      </c>
      <c r="L2263" s="149">
        <v>46125</v>
      </c>
      <c r="M2263" s="151" t="s">
        <v>3392</v>
      </c>
    </row>
    <row r="2264" spans="1:13" ht="15" customHeight="1">
      <c r="A2264" s="142" t="s">
        <v>6362</v>
      </c>
      <c r="B2264" s="142">
        <v>516874</v>
      </c>
      <c r="C2264" s="143" t="s">
        <v>2256</v>
      </c>
      <c r="D2264" s="142" t="s">
        <v>5640</v>
      </c>
      <c r="E2264" s="143" t="s">
        <v>5640</v>
      </c>
      <c r="F2264" s="143" t="s">
        <v>5647</v>
      </c>
      <c r="G2264" s="142" t="s">
        <v>102</v>
      </c>
      <c r="H2264" s="142" t="s">
        <v>50</v>
      </c>
      <c r="I2264" s="143" t="s">
        <v>3449</v>
      </c>
      <c r="J2264" s="143" t="s">
        <v>104</v>
      </c>
      <c r="K2264" s="144" t="s">
        <v>121</v>
      </c>
      <c r="L2264" s="145">
        <v>46140</v>
      </c>
      <c r="M2264" s="144"/>
    </row>
    <row r="2265" spans="1:13" ht="15" customHeight="1">
      <c r="A2265" s="146" t="s">
        <v>6363</v>
      </c>
      <c r="B2265" s="146">
        <v>517414</v>
      </c>
      <c r="C2265" s="147" t="s">
        <v>6364</v>
      </c>
      <c r="D2265" s="146" t="s">
        <v>5640</v>
      </c>
      <c r="E2265" s="147" t="s">
        <v>5773</v>
      </c>
      <c r="F2265" s="147" t="s">
        <v>6365</v>
      </c>
      <c r="G2265" s="146" t="s">
        <v>109</v>
      </c>
      <c r="H2265" s="146" t="s">
        <v>50</v>
      </c>
      <c r="I2265" s="147" t="s">
        <v>3449</v>
      </c>
      <c r="J2265" s="147" t="s">
        <v>104</v>
      </c>
      <c r="K2265" s="150" t="s">
        <v>5</v>
      </c>
      <c r="L2265" s="149">
        <v>46127</v>
      </c>
      <c r="M2265" s="151" t="s">
        <v>3392</v>
      </c>
    </row>
    <row r="2266" spans="1:13" ht="15" customHeight="1">
      <c r="A2266" s="142" t="s">
        <v>6366</v>
      </c>
      <c r="B2266" s="142">
        <v>517464</v>
      </c>
      <c r="C2266" s="143" t="s">
        <v>5751</v>
      </c>
      <c r="D2266" s="142" t="s">
        <v>5640</v>
      </c>
      <c r="E2266" s="143" t="s">
        <v>4099</v>
      </c>
      <c r="F2266" s="143" t="s">
        <v>6367</v>
      </c>
      <c r="G2266" s="142" t="s">
        <v>102</v>
      </c>
      <c r="H2266" s="142" t="s">
        <v>50</v>
      </c>
      <c r="I2266" s="143" t="s">
        <v>3449</v>
      </c>
      <c r="J2266" s="143" t="s">
        <v>104</v>
      </c>
      <c r="K2266" s="150" t="s">
        <v>5</v>
      </c>
      <c r="L2266" s="145">
        <v>46134</v>
      </c>
      <c r="M2266" s="152" t="s">
        <v>3392</v>
      </c>
    </row>
    <row r="2267" spans="1:13" ht="15" customHeight="1">
      <c r="A2267" s="146" t="s">
        <v>6368</v>
      </c>
      <c r="B2267" s="146">
        <v>517087</v>
      </c>
      <c r="C2267" s="147" t="s">
        <v>2787</v>
      </c>
      <c r="D2267" s="146" t="s">
        <v>5640</v>
      </c>
      <c r="E2267" s="147" t="s">
        <v>5853</v>
      </c>
      <c r="F2267" s="147" t="s">
        <v>6369</v>
      </c>
      <c r="G2267" s="146" t="s">
        <v>109</v>
      </c>
      <c r="H2267" s="146" t="s">
        <v>50</v>
      </c>
      <c r="I2267" s="147" t="s">
        <v>3449</v>
      </c>
      <c r="J2267" s="147" t="s">
        <v>104</v>
      </c>
      <c r="K2267" s="148" t="s">
        <v>162</v>
      </c>
      <c r="L2267" s="149">
        <v>46148</v>
      </c>
      <c r="M2267" s="148" t="s">
        <v>1740</v>
      </c>
    </row>
    <row r="2268" spans="1:13" ht="15" customHeight="1">
      <c r="A2268" s="142" t="s">
        <v>6370</v>
      </c>
      <c r="B2268" s="142">
        <v>517522</v>
      </c>
      <c r="C2268" s="143" t="s">
        <v>1086</v>
      </c>
      <c r="D2268" s="142" t="s">
        <v>5640</v>
      </c>
      <c r="E2268" s="143" t="s">
        <v>5773</v>
      </c>
      <c r="F2268" s="143" t="s">
        <v>6371</v>
      </c>
      <c r="G2268" s="142" t="s">
        <v>109</v>
      </c>
      <c r="H2268" s="142" t="s">
        <v>50</v>
      </c>
      <c r="I2268" s="143" t="s">
        <v>3449</v>
      </c>
      <c r="J2268" s="143" t="s">
        <v>104</v>
      </c>
      <c r="K2268" s="150" t="s">
        <v>5</v>
      </c>
      <c r="L2268" s="145">
        <v>46128</v>
      </c>
      <c r="M2268" s="152" t="s">
        <v>3392</v>
      </c>
    </row>
    <row r="2269" spans="1:13" ht="15" customHeight="1">
      <c r="A2269" s="146" t="s">
        <v>6372</v>
      </c>
      <c r="B2269" s="146">
        <v>517263</v>
      </c>
      <c r="C2269" s="147" t="s">
        <v>6230</v>
      </c>
      <c r="D2269" s="146" t="s">
        <v>5640</v>
      </c>
      <c r="E2269" s="147" t="s">
        <v>6279</v>
      </c>
      <c r="F2269" s="147" t="s">
        <v>6373</v>
      </c>
      <c r="G2269" s="146" t="s">
        <v>109</v>
      </c>
      <c r="H2269" s="146" t="s">
        <v>50</v>
      </c>
      <c r="I2269" s="147" t="s">
        <v>3449</v>
      </c>
      <c r="J2269" s="147" t="s">
        <v>104</v>
      </c>
      <c r="K2269" s="148"/>
      <c r="L2269" s="149"/>
      <c r="M2269" s="148"/>
    </row>
    <row r="2270" spans="1:13" ht="15" customHeight="1">
      <c r="A2270" s="142" t="s">
        <v>6374</v>
      </c>
      <c r="B2270" s="142">
        <v>517312</v>
      </c>
      <c r="C2270" s="143" t="s">
        <v>6375</v>
      </c>
      <c r="D2270" s="142" t="s">
        <v>5640</v>
      </c>
      <c r="E2270" s="143" t="s">
        <v>6376</v>
      </c>
      <c r="F2270" s="143" t="s">
        <v>6377</v>
      </c>
      <c r="G2270" s="142" t="s">
        <v>109</v>
      </c>
      <c r="H2270" s="142" t="s">
        <v>50</v>
      </c>
      <c r="I2270" s="143" t="s">
        <v>3449</v>
      </c>
      <c r="J2270" s="143" t="s">
        <v>104</v>
      </c>
      <c r="K2270" s="153" t="s">
        <v>9</v>
      </c>
      <c r="L2270" s="145">
        <v>46129</v>
      </c>
      <c r="M2270" s="152" t="s">
        <v>3392</v>
      </c>
    </row>
    <row r="2271" spans="1:13" ht="15" customHeight="1">
      <c r="A2271" s="146" t="s">
        <v>6378</v>
      </c>
      <c r="B2271" s="146">
        <v>516846</v>
      </c>
      <c r="C2271" s="147" t="s">
        <v>6379</v>
      </c>
      <c r="D2271" s="146" t="s">
        <v>5640</v>
      </c>
      <c r="E2271" s="147" t="s">
        <v>5640</v>
      </c>
      <c r="F2271" s="147" t="s">
        <v>6380</v>
      </c>
      <c r="G2271" s="146" t="s">
        <v>102</v>
      </c>
      <c r="H2271" s="146" t="s">
        <v>50</v>
      </c>
      <c r="I2271" s="147" t="s">
        <v>3449</v>
      </c>
      <c r="J2271" s="147" t="s">
        <v>104</v>
      </c>
      <c r="K2271" s="148" t="s">
        <v>121</v>
      </c>
      <c r="L2271" s="149">
        <v>46140</v>
      </c>
      <c r="M2271" s="148"/>
    </row>
    <row r="2272" spans="1:13" ht="15" customHeight="1">
      <c r="A2272" s="142" t="s">
        <v>6381</v>
      </c>
      <c r="B2272" s="142">
        <v>517106</v>
      </c>
      <c r="C2272" s="143" t="s">
        <v>6382</v>
      </c>
      <c r="D2272" s="142" t="s">
        <v>5640</v>
      </c>
      <c r="E2272" s="143" t="s">
        <v>5773</v>
      </c>
      <c r="F2272" s="143" t="s">
        <v>5773</v>
      </c>
      <c r="G2272" s="142" t="s">
        <v>102</v>
      </c>
      <c r="H2272" s="142" t="s">
        <v>50</v>
      </c>
      <c r="I2272" s="143" t="s">
        <v>3449</v>
      </c>
      <c r="J2272" s="143" t="s">
        <v>104</v>
      </c>
      <c r="K2272" s="150" t="s">
        <v>5</v>
      </c>
      <c r="L2272" s="145">
        <v>46133</v>
      </c>
      <c r="M2272" s="152" t="s">
        <v>3392</v>
      </c>
    </row>
    <row r="2273" spans="1:13" ht="15" customHeight="1">
      <c r="A2273" s="146" t="s">
        <v>6383</v>
      </c>
      <c r="B2273" s="146">
        <v>517630</v>
      </c>
      <c r="C2273" s="147" t="s">
        <v>6384</v>
      </c>
      <c r="D2273" s="146" t="s">
        <v>5640</v>
      </c>
      <c r="E2273" s="147" t="s">
        <v>5997</v>
      </c>
      <c r="F2273" s="147" t="s">
        <v>6385</v>
      </c>
      <c r="G2273" s="146" t="s">
        <v>109</v>
      </c>
      <c r="H2273" s="146" t="s">
        <v>50</v>
      </c>
      <c r="I2273" s="147" t="s">
        <v>3449</v>
      </c>
      <c r="J2273" s="147" t="s">
        <v>104</v>
      </c>
      <c r="K2273" s="148"/>
      <c r="L2273" s="149"/>
      <c r="M2273" s="148"/>
    </row>
    <row r="2274" spans="1:13" ht="15" customHeight="1">
      <c r="A2274" s="142" t="s">
        <v>6386</v>
      </c>
      <c r="B2274" s="142">
        <v>517032</v>
      </c>
      <c r="C2274" s="143" t="s">
        <v>1323</v>
      </c>
      <c r="D2274" s="142" t="s">
        <v>5640</v>
      </c>
      <c r="E2274" s="143" t="s">
        <v>5691</v>
      </c>
      <c r="F2274" s="143" t="s">
        <v>6387</v>
      </c>
      <c r="G2274" s="142" t="s">
        <v>109</v>
      </c>
      <c r="H2274" s="142" t="s">
        <v>50</v>
      </c>
      <c r="I2274" s="143" t="s">
        <v>3449</v>
      </c>
      <c r="J2274" s="143" t="s">
        <v>104</v>
      </c>
      <c r="K2274" s="150" t="s">
        <v>5</v>
      </c>
      <c r="L2274" s="145">
        <v>46132</v>
      </c>
      <c r="M2274" s="152" t="s">
        <v>3392</v>
      </c>
    </row>
    <row r="2275" spans="1:13" ht="15" customHeight="1">
      <c r="A2275" s="146" t="s">
        <v>6388</v>
      </c>
      <c r="B2275" s="146">
        <v>517062</v>
      </c>
      <c r="C2275" s="147" t="s">
        <v>6389</v>
      </c>
      <c r="D2275" s="146" t="s">
        <v>5640</v>
      </c>
      <c r="E2275" s="147" t="s">
        <v>5700</v>
      </c>
      <c r="F2275" s="147" t="s">
        <v>6390</v>
      </c>
      <c r="G2275" s="146" t="s">
        <v>109</v>
      </c>
      <c r="H2275" s="146" t="s">
        <v>50</v>
      </c>
      <c r="I2275" s="147" t="s">
        <v>3449</v>
      </c>
      <c r="J2275" s="147" t="s">
        <v>104</v>
      </c>
      <c r="K2275" s="150" t="s">
        <v>5</v>
      </c>
      <c r="L2275" s="149">
        <v>46132</v>
      </c>
      <c r="M2275" s="151" t="s">
        <v>3392</v>
      </c>
    </row>
    <row r="2276" spans="1:13" ht="15" customHeight="1">
      <c r="A2276" s="142" t="s">
        <v>6391</v>
      </c>
      <c r="B2276" s="142">
        <v>516940</v>
      </c>
      <c r="C2276" s="143" t="s">
        <v>745</v>
      </c>
      <c r="D2276" s="142" t="s">
        <v>5640</v>
      </c>
      <c r="E2276" s="143" t="s">
        <v>5661</v>
      </c>
      <c r="F2276" s="143" t="s">
        <v>6392</v>
      </c>
      <c r="G2276" s="142" t="s">
        <v>109</v>
      </c>
      <c r="H2276" s="142" t="s">
        <v>50</v>
      </c>
      <c r="I2276" s="143" t="s">
        <v>3449</v>
      </c>
      <c r="J2276" s="143" t="s">
        <v>104</v>
      </c>
      <c r="K2276" s="150" t="s">
        <v>5</v>
      </c>
      <c r="L2276" s="149">
        <v>46135</v>
      </c>
      <c r="M2276" s="152" t="s">
        <v>3392</v>
      </c>
    </row>
    <row r="2277" spans="1:13" ht="15" customHeight="1">
      <c r="A2277" s="146" t="s">
        <v>6393</v>
      </c>
      <c r="B2277" s="146">
        <v>517349</v>
      </c>
      <c r="C2277" s="147" t="s">
        <v>6394</v>
      </c>
      <c r="D2277" s="146" t="s">
        <v>5640</v>
      </c>
      <c r="E2277" s="147" t="s">
        <v>5824</v>
      </c>
      <c r="F2277" s="147" t="s">
        <v>1215</v>
      </c>
      <c r="G2277" s="146" t="s">
        <v>109</v>
      </c>
      <c r="H2277" s="146" t="s">
        <v>50</v>
      </c>
      <c r="I2277" s="147" t="s">
        <v>3449</v>
      </c>
      <c r="J2277" s="147" t="s">
        <v>104</v>
      </c>
      <c r="K2277" s="148" t="s">
        <v>121</v>
      </c>
      <c r="L2277" s="149">
        <v>46141</v>
      </c>
      <c r="M2277" s="148"/>
    </row>
    <row r="2278" spans="1:13" ht="15" customHeight="1">
      <c r="A2278" s="142" t="s">
        <v>6395</v>
      </c>
      <c r="B2278" s="142">
        <v>516854</v>
      </c>
      <c r="C2278" s="143" t="s">
        <v>6396</v>
      </c>
      <c r="D2278" s="142" t="s">
        <v>5640</v>
      </c>
      <c r="E2278" s="143" t="s">
        <v>5640</v>
      </c>
      <c r="F2278" s="143" t="s">
        <v>6397</v>
      </c>
      <c r="G2278" s="142" t="s">
        <v>102</v>
      </c>
      <c r="H2278" s="142" t="s">
        <v>50</v>
      </c>
      <c r="I2278" s="143" t="s">
        <v>3449</v>
      </c>
      <c r="J2278" s="143" t="s">
        <v>104</v>
      </c>
      <c r="K2278" s="144"/>
      <c r="L2278" s="145"/>
      <c r="M2278" s="144"/>
    </row>
    <row r="2279" spans="1:13" ht="15" customHeight="1">
      <c r="A2279" s="146" t="s">
        <v>6398</v>
      </c>
      <c r="B2279" s="146">
        <v>517411</v>
      </c>
      <c r="C2279" s="147" t="s">
        <v>6399</v>
      </c>
      <c r="D2279" s="146" t="s">
        <v>5640</v>
      </c>
      <c r="E2279" s="147" t="s">
        <v>5770</v>
      </c>
      <c r="F2279" s="147" t="s">
        <v>6400</v>
      </c>
      <c r="G2279" s="146" t="s">
        <v>109</v>
      </c>
      <c r="H2279" s="146" t="s">
        <v>50</v>
      </c>
      <c r="I2279" s="147" t="s">
        <v>3449</v>
      </c>
      <c r="J2279" s="147" t="s">
        <v>104</v>
      </c>
      <c r="K2279" s="150" t="s">
        <v>5</v>
      </c>
      <c r="L2279" s="149">
        <v>46134</v>
      </c>
      <c r="M2279" s="151" t="s">
        <v>3392</v>
      </c>
    </row>
    <row r="2280" spans="1:13" ht="15" customHeight="1">
      <c r="A2280" s="142" t="s">
        <v>6401</v>
      </c>
      <c r="B2280" s="142">
        <v>516881</v>
      </c>
      <c r="C2280" s="143" t="s">
        <v>5830</v>
      </c>
      <c r="D2280" s="142" t="s">
        <v>5640</v>
      </c>
      <c r="E2280" s="143" t="s">
        <v>5698</v>
      </c>
      <c r="F2280" s="143" t="s">
        <v>6402</v>
      </c>
      <c r="G2280" s="142" t="s">
        <v>109</v>
      </c>
      <c r="H2280" s="142" t="s">
        <v>50</v>
      </c>
      <c r="I2280" s="143" t="s">
        <v>3449</v>
      </c>
      <c r="J2280" s="143" t="s">
        <v>104</v>
      </c>
      <c r="K2280" s="144" t="s">
        <v>121</v>
      </c>
      <c r="L2280" s="145">
        <v>46141</v>
      </c>
      <c r="M2280" s="144"/>
    </row>
    <row r="2281" spans="1:13" ht="15" customHeight="1">
      <c r="A2281" s="146" t="s">
        <v>6403</v>
      </c>
      <c r="B2281" s="146">
        <v>518123</v>
      </c>
      <c r="C2281" s="147" t="s">
        <v>725</v>
      </c>
      <c r="D2281" s="146" t="s">
        <v>5640</v>
      </c>
      <c r="E2281" s="147" t="s">
        <v>5710</v>
      </c>
      <c r="F2281" s="147" t="s">
        <v>127</v>
      </c>
      <c r="G2281" s="146" t="s">
        <v>109</v>
      </c>
      <c r="H2281" s="146" t="s">
        <v>50</v>
      </c>
      <c r="I2281" s="147" t="s">
        <v>3449</v>
      </c>
      <c r="J2281" s="147" t="s">
        <v>104</v>
      </c>
      <c r="K2281" s="148" t="s">
        <v>162</v>
      </c>
      <c r="L2281" s="149">
        <v>46150</v>
      </c>
      <c r="M2281" s="148" t="s">
        <v>1740</v>
      </c>
    </row>
    <row r="2282" spans="1:13" ht="15" customHeight="1">
      <c r="A2282" s="142" t="s">
        <v>6404</v>
      </c>
      <c r="B2282" s="142">
        <v>517262</v>
      </c>
      <c r="C2282" s="143" t="s">
        <v>254</v>
      </c>
      <c r="D2282" s="142" t="s">
        <v>5640</v>
      </c>
      <c r="E2282" s="143" t="s">
        <v>6405</v>
      </c>
      <c r="F2282" s="143" t="s">
        <v>6406</v>
      </c>
      <c r="G2282" s="142" t="s">
        <v>109</v>
      </c>
      <c r="H2282" s="142" t="s">
        <v>50</v>
      </c>
      <c r="I2282" s="143" t="s">
        <v>3449</v>
      </c>
      <c r="J2282" s="143" t="s">
        <v>104</v>
      </c>
      <c r="K2282" s="144"/>
      <c r="L2282" s="145"/>
      <c r="M2282" s="144"/>
    </row>
    <row r="2283" spans="1:13" ht="15" customHeight="1">
      <c r="A2283" s="146" t="s">
        <v>6407</v>
      </c>
      <c r="B2283" s="146">
        <v>517211</v>
      </c>
      <c r="C2283" s="147" t="s">
        <v>725</v>
      </c>
      <c r="D2283" s="146" t="s">
        <v>5640</v>
      </c>
      <c r="E2283" s="147" t="s">
        <v>6270</v>
      </c>
      <c r="F2283" s="147" t="s">
        <v>6408</v>
      </c>
      <c r="G2283" s="146" t="s">
        <v>109</v>
      </c>
      <c r="H2283" s="146" t="s">
        <v>50</v>
      </c>
      <c r="I2283" s="147" t="s">
        <v>3449</v>
      </c>
      <c r="J2283" s="147" t="s">
        <v>104</v>
      </c>
      <c r="K2283" s="148" t="s">
        <v>121</v>
      </c>
      <c r="L2283" s="149">
        <v>46136</v>
      </c>
      <c r="M2283" s="148"/>
    </row>
    <row r="2284" spans="1:13" ht="15" customHeight="1">
      <c r="A2284" s="142" t="s">
        <v>6409</v>
      </c>
      <c r="B2284" s="142">
        <v>517344</v>
      </c>
      <c r="C2284" s="143" t="s">
        <v>1323</v>
      </c>
      <c r="D2284" s="142" t="s">
        <v>5640</v>
      </c>
      <c r="E2284" s="143" t="s">
        <v>5884</v>
      </c>
      <c r="F2284" s="143" t="s">
        <v>5885</v>
      </c>
      <c r="G2284" s="142" t="s">
        <v>109</v>
      </c>
      <c r="H2284" s="142" t="s">
        <v>50</v>
      </c>
      <c r="I2284" s="143" t="s">
        <v>3449</v>
      </c>
      <c r="J2284" s="143" t="s">
        <v>104</v>
      </c>
      <c r="K2284" s="153" t="s">
        <v>9</v>
      </c>
      <c r="L2284" s="145">
        <v>46127</v>
      </c>
      <c r="M2284" s="152" t="s">
        <v>3392</v>
      </c>
    </row>
    <row r="2285" spans="1:13" ht="15" customHeight="1">
      <c r="A2285" s="146" t="s">
        <v>6410</v>
      </c>
      <c r="B2285" s="146">
        <v>517287</v>
      </c>
      <c r="C2285" s="147" t="s">
        <v>2256</v>
      </c>
      <c r="D2285" s="146" t="s">
        <v>5640</v>
      </c>
      <c r="E2285" s="147" t="s">
        <v>5997</v>
      </c>
      <c r="F2285" s="147" t="s">
        <v>6411</v>
      </c>
      <c r="G2285" s="146" t="s">
        <v>109</v>
      </c>
      <c r="H2285" s="146" t="s">
        <v>50</v>
      </c>
      <c r="I2285" s="147" t="s">
        <v>3449</v>
      </c>
      <c r="J2285" s="147" t="s">
        <v>104</v>
      </c>
      <c r="K2285" s="150" t="s">
        <v>5</v>
      </c>
      <c r="L2285" s="149">
        <v>46133</v>
      </c>
      <c r="M2285" s="151" t="s">
        <v>3392</v>
      </c>
    </row>
    <row r="2286" spans="1:13" ht="15" customHeight="1">
      <c r="A2286" s="142" t="s">
        <v>6412</v>
      </c>
      <c r="B2286" s="142">
        <v>517197</v>
      </c>
      <c r="C2286" s="143" t="s">
        <v>1374</v>
      </c>
      <c r="D2286" s="142" t="s">
        <v>5640</v>
      </c>
      <c r="E2286" s="143" t="s">
        <v>5773</v>
      </c>
      <c r="F2286" s="143" t="s">
        <v>6413</v>
      </c>
      <c r="G2286" s="142" t="s">
        <v>109</v>
      </c>
      <c r="H2286" s="142" t="s">
        <v>50</v>
      </c>
      <c r="I2286" s="143" t="s">
        <v>3449</v>
      </c>
      <c r="J2286" s="143" t="s">
        <v>104</v>
      </c>
      <c r="K2286" s="150" t="s">
        <v>5</v>
      </c>
      <c r="L2286" s="145">
        <v>46129</v>
      </c>
      <c r="M2286" s="152" t="s">
        <v>3392</v>
      </c>
    </row>
    <row r="2287" spans="1:13" ht="15" customHeight="1">
      <c r="A2287" s="146" t="s">
        <v>6414</v>
      </c>
      <c r="B2287" s="146">
        <v>516936</v>
      </c>
      <c r="C2287" s="147" t="s">
        <v>6415</v>
      </c>
      <c r="D2287" s="146" t="s">
        <v>5640</v>
      </c>
      <c r="E2287" s="147" t="s">
        <v>5814</v>
      </c>
      <c r="F2287" s="147" t="s">
        <v>5814</v>
      </c>
      <c r="G2287" s="146" t="s">
        <v>102</v>
      </c>
      <c r="H2287" s="146" t="s">
        <v>50</v>
      </c>
      <c r="I2287" s="147" t="s">
        <v>3449</v>
      </c>
      <c r="J2287" s="147" t="s">
        <v>104</v>
      </c>
      <c r="K2287" s="148" t="s">
        <v>121</v>
      </c>
      <c r="L2287" s="149">
        <v>46149</v>
      </c>
      <c r="M2287" s="148"/>
    </row>
    <row r="2288" spans="1:13" ht="15" customHeight="1">
      <c r="A2288" s="142" t="s">
        <v>6416</v>
      </c>
      <c r="B2288" s="142">
        <v>517495</v>
      </c>
      <c r="C2288" s="143" t="s">
        <v>1123</v>
      </c>
      <c r="D2288" s="142" t="s">
        <v>5640</v>
      </c>
      <c r="E2288" s="143" t="s">
        <v>6263</v>
      </c>
      <c r="F2288" s="143" t="s">
        <v>6417</v>
      </c>
      <c r="G2288" s="142" t="s">
        <v>109</v>
      </c>
      <c r="H2288" s="142" t="s">
        <v>50</v>
      </c>
      <c r="I2288" s="143" t="s">
        <v>3449</v>
      </c>
      <c r="J2288" s="143" t="s">
        <v>104</v>
      </c>
      <c r="K2288" s="144" t="s">
        <v>162</v>
      </c>
      <c r="L2288" s="145">
        <v>46146</v>
      </c>
      <c r="M2288" s="181" t="s">
        <v>1716</v>
      </c>
    </row>
    <row r="2289" spans="1:13" ht="15" customHeight="1">
      <c r="A2289" s="146" t="s">
        <v>6418</v>
      </c>
      <c r="B2289" s="146">
        <v>517415</v>
      </c>
      <c r="C2289" s="147" t="s">
        <v>6419</v>
      </c>
      <c r="D2289" s="146" t="s">
        <v>5640</v>
      </c>
      <c r="E2289" s="147" t="s">
        <v>5773</v>
      </c>
      <c r="F2289" s="147" t="s">
        <v>6420</v>
      </c>
      <c r="G2289" s="146" t="s">
        <v>109</v>
      </c>
      <c r="H2289" s="146" t="s">
        <v>50</v>
      </c>
      <c r="I2289" s="147" t="s">
        <v>3449</v>
      </c>
      <c r="J2289" s="147" t="s">
        <v>104</v>
      </c>
      <c r="K2289" s="150" t="s">
        <v>5</v>
      </c>
      <c r="L2289" s="149">
        <v>46126</v>
      </c>
      <c r="M2289" s="151" t="s">
        <v>3392</v>
      </c>
    </row>
    <row r="2290" spans="1:13" ht="15" customHeight="1">
      <c r="A2290" s="142" t="s">
        <v>6421</v>
      </c>
      <c r="B2290" s="142">
        <v>518949</v>
      </c>
      <c r="C2290" s="143" t="s">
        <v>6422</v>
      </c>
      <c r="D2290" s="142" t="s">
        <v>5640</v>
      </c>
      <c r="E2290" s="143" t="s">
        <v>5661</v>
      </c>
      <c r="F2290" s="143" t="s">
        <v>6423</v>
      </c>
      <c r="G2290" s="142" t="s">
        <v>102</v>
      </c>
      <c r="H2290" s="142" t="s">
        <v>50</v>
      </c>
      <c r="I2290" s="143" t="s">
        <v>3449</v>
      </c>
      <c r="J2290" s="143" t="s">
        <v>104</v>
      </c>
      <c r="K2290" s="150" t="s">
        <v>5</v>
      </c>
      <c r="L2290" s="149">
        <v>46135</v>
      </c>
      <c r="M2290" s="152" t="s">
        <v>3392</v>
      </c>
    </row>
    <row r="2291" spans="1:13" ht="15" customHeight="1">
      <c r="A2291" s="146" t="s">
        <v>6424</v>
      </c>
      <c r="B2291" s="146">
        <v>517489</v>
      </c>
      <c r="C2291" s="147" t="s">
        <v>1374</v>
      </c>
      <c r="D2291" s="146" t="s">
        <v>5640</v>
      </c>
      <c r="E2291" s="147" t="s">
        <v>5640</v>
      </c>
      <c r="F2291" s="147" t="s">
        <v>5640</v>
      </c>
      <c r="G2291" s="146" t="s">
        <v>102</v>
      </c>
      <c r="H2291" s="146" t="s">
        <v>50</v>
      </c>
      <c r="I2291" s="147" t="s">
        <v>3449</v>
      </c>
      <c r="J2291" s="147" t="s">
        <v>104</v>
      </c>
      <c r="K2291" s="150" t="s">
        <v>5</v>
      </c>
      <c r="L2291" s="149">
        <v>46107</v>
      </c>
      <c r="M2291" s="151" t="s">
        <v>3392</v>
      </c>
    </row>
    <row r="2292" spans="1:13" ht="15" customHeight="1">
      <c r="A2292" s="142" t="s">
        <v>6425</v>
      </c>
      <c r="B2292" s="142">
        <v>518817</v>
      </c>
      <c r="C2292" s="143" t="s">
        <v>5001</v>
      </c>
      <c r="D2292" s="142" t="s">
        <v>5640</v>
      </c>
      <c r="E2292" s="143" t="s">
        <v>5643</v>
      </c>
      <c r="F2292" s="143" t="s">
        <v>6426</v>
      </c>
      <c r="G2292" s="142" t="s">
        <v>109</v>
      </c>
      <c r="H2292" s="142" t="s">
        <v>50</v>
      </c>
      <c r="I2292" s="143" t="s">
        <v>3449</v>
      </c>
      <c r="J2292" s="143" t="s">
        <v>104</v>
      </c>
      <c r="K2292" s="144" t="s">
        <v>121</v>
      </c>
      <c r="L2292" s="145">
        <v>46153</v>
      </c>
      <c r="M2292" s="144"/>
    </row>
    <row r="2293" spans="1:13" ht="15" customHeight="1">
      <c r="A2293" s="146" t="s">
        <v>6427</v>
      </c>
      <c r="B2293" s="146">
        <v>517053</v>
      </c>
      <c r="C2293" s="147" t="s">
        <v>5830</v>
      </c>
      <c r="D2293" s="146" t="s">
        <v>5640</v>
      </c>
      <c r="E2293" s="147" t="s">
        <v>5814</v>
      </c>
      <c r="F2293" s="147" t="s">
        <v>5814</v>
      </c>
      <c r="G2293" s="146" t="s">
        <v>109</v>
      </c>
      <c r="H2293" s="146" t="s">
        <v>50</v>
      </c>
      <c r="I2293" s="147" t="s">
        <v>3449</v>
      </c>
      <c r="J2293" s="147" t="s">
        <v>104</v>
      </c>
      <c r="K2293" s="148"/>
      <c r="L2293" s="149"/>
      <c r="M2293" s="148"/>
    </row>
    <row r="2294" spans="1:13" ht="15" customHeight="1">
      <c r="A2294" s="142" t="s">
        <v>6428</v>
      </c>
      <c r="B2294" s="142">
        <v>517479</v>
      </c>
      <c r="C2294" s="143" t="s">
        <v>6429</v>
      </c>
      <c r="D2294" s="142" t="s">
        <v>5640</v>
      </c>
      <c r="E2294" s="143" t="s">
        <v>5773</v>
      </c>
      <c r="F2294" s="143" t="s">
        <v>6430</v>
      </c>
      <c r="G2294" s="142" t="s">
        <v>109</v>
      </c>
      <c r="H2294" s="142" t="s">
        <v>50</v>
      </c>
      <c r="I2294" s="143" t="s">
        <v>3449</v>
      </c>
      <c r="J2294" s="143" t="s">
        <v>104</v>
      </c>
      <c r="K2294" s="150" t="s">
        <v>5</v>
      </c>
      <c r="L2294" s="145">
        <v>46125</v>
      </c>
      <c r="M2294" s="152" t="s">
        <v>3392</v>
      </c>
    </row>
    <row r="2295" spans="1:13" ht="15" customHeight="1">
      <c r="A2295" s="146" t="s">
        <v>6431</v>
      </c>
      <c r="B2295" s="146">
        <v>517046</v>
      </c>
      <c r="C2295" s="147" t="s">
        <v>5555</v>
      </c>
      <c r="D2295" s="146" t="s">
        <v>5640</v>
      </c>
      <c r="E2295" s="147" t="s">
        <v>5710</v>
      </c>
      <c r="F2295" s="147" t="s">
        <v>5710</v>
      </c>
      <c r="G2295" s="146" t="s">
        <v>102</v>
      </c>
      <c r="H2295" s="146" t="s">
        <v>50</v>
      </c>
      <c r="I2295" s="147" t="s">
        <v>3449</v>
      </c>
      <c r="J2295" s="147" t="s">
        <v>104</v>
      </c>
      <c r="K2295" s="148" t="s">
        <v>162</v>
      </c>
      <c r="L2295" s="149">
        <v>46150</v>
      </c>
      <c r="M2295" s="148" t="s">
        <v>1740</v>
      </c>
    </row>
    <row r="2296" spans="1:13" ht="15" customHeight="1">
      <c r="A2296" s="142" t="s">
        <v>6432</v>
      </c>
      <c r="B2296" s="142">
        <v>516969</v>
      </c>
      <c r="C2296" s="143" t="s">
        <v>6433</v>
      </c>
      <c r="D2296" s="142" t="s">
        <v>5640</v>
      </c>
      <c r="E2296" s="143" t="s">
        <v>5683</v>
      </c>
      <c r="F2296" s="143" t="s">
        <v>6434</v>
      </c>
      <c r="G2296" s="142" t="s">
        <v>109</v>
      </c>
      <c r="H2296" s="142" t="s">
        <v>50</v>
      </c>
      <c r="I2296" s="143" t="s">
        <v>3449</v>
      </c>
      <c r="J2296" s="143" t="s">
        <v>104</v>
      </c>
      <c r="K2296" s="150" t="s">
        <v>5</v>
      </c>
      <c r="L2296" s="145">
        <v>46127</v>
      </c>
      <c r="M2296" s="152" t="s">
        <v>3392</v>
      </c>
    </row>
    <row r="2297" spans="1:13" ht="15" customHeight="1">
      <c r="A2297" s="146" t="s">
        <v>6435</v>
      </c>
      <c r="B2297" s="146">
        <v>517631</v>
      </c>
      <c r="C2297" s="147" t="s">
        <v>2256</v>
      </c>
      <c r="D2297" s="146" t="s">
        <v>5640</v>
      </c>
      <c r="E2297" s="147" t="s">
        <v>5997</v>
      </c>
      <c r="F2297" s="147" t="s">
        <v>6436</v>
      </c>
      <c r="G2297" s="146" t="s">
        <v>109</v>
      </c>
      <c r="H2297" s="146" t="s">
        <v>50</v>
      </c>
      <c r="I2297" s="147" t="s">
        <v>3449</v>
      </c>
      <c r="J2297" s="147" t="s">
        <v>104</v>
      </c>
      <c r="K2297" s="148"/>
      <c r="L2297" s="149"/>
      <c r="M2297" s="148"/>
    </row>
    <row r="2298" spans="1:13" ht="15" customHeight="1">
      <c r="A2298" s="142" t="s">
        <v>6437</v>
      </c>
      <c r="B2298" s="142">
        <v>517110</v>
      </c>
      <c r="C2298" s="143" t="s">
        <v>6438</v>
      </c>
      <c r="D2298" s="142" t="s">
        <v>5640</v>
      </c>
      <c r="E2298" s="143" t="s">
        <v>5687</v>
      </c>
      <c r="F2298" s="143" t="s">
        <v>5687</v>
      </c>
      <c r="G2298" s="142" t="s">
        <v>102</v>
      </c>
      <c r="H2298" s="142" t="s">
        <v>50</v>
      </c>
      <c r="I2298" s="143" t="s">
        <v>3449</v>
      </c>
      <c r="J2298" s="143" t="s">
        <v>104</v>
      </c>
      <c r="K2298" s="150" t="s">
        <v>5</v>
      </c>
      <c r="L2298" s="145">
        <v>46128</v>
      </c>
      <c r="M2298" s="152" t="s">
        <v>3392</v>
      </c>
    </row>
    <row r="2299" spans="1:13" ht="15" customHeight="1">
      <c r="A2299" s="146" t="s">
        <v>6439</v>
      </c>
      <c r="B2299" s="146">
        <v>516839</v>
      </c>
      <c r="C2299" s="147" t="s">
        <v>6082</v>
      </c>
      <c r="D2299" s="146" t="s">
        <v>5640</v>
      </c>
      <c r="E2299" s="147" t="s">
        <v>5640</v>
      </c>
      <c r="F2299" s="147" t="s">
        <v>6440</v>
      </c>
      <c r="G2299" s="146" t="s">
        <v>102</v>
      </c>
      <c r="H2299" s="146" t="s">
        <v>50</v>
      </c>
      <c r="I2299" s="147" t="s">
        <v>3449</v>
      </c>
      <c r="J2299" s="147" t="s">
        <v>104</v>
      </c>
      <c r="K2299" s="150" t="s">
        <v>5</v>
      </c>
      <c r="L2299" s="149">
        <v>46135</v>
      </c>
      <c r="M2299" s="151" t="s">
        <v>3392</v>
      </c>
    </row>
    <row r="2300" spans="1:13" ht="15" customHeight="1">
      <c r="A2300" s="142" t="s">
        <v>6441</v>
      </c>
      <c r="B2300" s="142">
        <v>517274</v>
      </c>
      <c r="C2300" s="143" t="s">
        <v>2256</v>
      </c>
      <c r="D2300" s="142" t="s">
        <v>5640</v>
      </c>
      <c r="E2300" s="143" t="s">
        <v>5683</v>
      </c>
      <c r="F2300" s="143" t="s">
        <v>6442</v>
      </c>
      <c r="G2300" s="142" t="s">
        <v>102</v>
      </c>
      <c r="H2300" s="142" t="s">
        <v>50</v>
      </c>
      <c r="I2300" s="143" t="s">
        <v>3449</v>
      </c>
      <c r="J2300" s="143" t="s">
        <v>104</v>
      </c>
      <c r="K2300" s="144" t="s">
        <v>121</v>
      </c>
      <c r="L2300" s="145">
        <v>46146</v>
      </c>
      <c r="M2300" s="144"/>
    </row>
    <row r="2301" spans="1:13" ht="15" customHeight="1">
      <c r="A2301" s="146" t="s">
        <v>6443</v>
      </c>
      <c r="B2301" s="146">
        <v>517000</v>
      </c>
      <c r="C2301" s="147" t="s">
        <v>1375</v>
      </c>
      <c r="D2301" s="146" t="s">
        <v>5640</v>
      </c>
      <c r="E2301" s="147" t="s">
        <v>6125</v>
      </c>
      <c r="F2301" s="147" t="s">
        <v>6444</v>
      </c>
      <c r="G2301" s="146" t="s">
        <v>109</v>
      </c>
      <c r="H2301" s="146" t="s">
        <v>50</v>
      </c>
      <c r="I2301" s="147" t="s">
        <v>3449</v>
      </c>
      <c r="J2301" s="147" t="s">
        <v>104</v>
      </c>
      <c r="K2301" s="150" t="s">
        <v>5</v>
      </c>
      <c r="L2301" s="149">
        <v>46132</v>
      </c>
      <c r="M2301" s="151" t="s">
        <v>3392</v>
      </c>
    </row>
    <row r="2302" spans="1:13" ht="15" customHeight="1">
      <c r="A2302" s="142" t="s">
        <v>6445</v>
      </c>
      <c r="B2302" s="142">
        <v>516875</v>
      </c>
      <c r="C2302" s="143" t="s">
        <v>459</v>
      </c>
      <c r="D2302" s="142" t="s">
        <v>5640</v>
      </c>
      <c r="E2302" s="143" t="s">
        <v>5640</v>
      </c>
      <c r="F2302" s="143" t="s">
        <v>5640</v>
      </c>
      <c r="G2302" s="142" t="s">
        <v>109</v>
      </c>
      <c r="H2302" s="142" t="s">
        <v>50</v>
      </c>
      <c r="I2302" s="143" t="s">
        <v>3449</v>
      </c>
      <c r="J2302" s="143" t="s">
        <v>104</v>
      </c>
      <c r="K2302" s="144" t="s">
        <v>121</v>
      </c>
      <c r="L2302" s="145">
        <v>46147</v>
      </c>
      <c r="M2302" s="144"/>
    </row>
    <row r="2303" spans="1:13" ht="15" customHeight="1">
      <c r="A2303" s="146" t="s">
        <v>6446</v>
      </c>
      <c r="B2303" s="146">
        <v>517468</v>
      </c>
      <c r="C2303" s="147" t="s">
        <v>6447</v>
      </c>
      <c r="D2303" s="146" t="s">
        <v>5640</v>
      </c>
      <c r="E2303" s="147" t="s">
        <v>6266</v>
      </c>
      <c r="F2303" s="147" t="s">
        <v>6267</v>
      </c>
      <c r="G2303" s="146" t="s">
        <v>109</v>
      </c>
      <c r="H2303" s="146" t="s">
        <v>50</v>
      </c>
      <c r="I2303" s="147" t="s">
        <v>3449</v>
      </c>
      <c r="J2303" s="147" t="s">
        <v>104</v>
      </c>
      <c r="K2303" s="148" t="s">
        <v>121</v>
      </c>
      <c r="L2303" s="149">
        <v>46153</v>
      </c>
      <c r="M2303" s="148"/>
    </row>
    <row r="2304" spans="1:13" ht="15" customHeight="1">
      <c r="A2304" s="142" t="s">
        <v>6448</v>
      </c>
      <c r="B2304" s="142">
        <v>513228</v>
      </c>
      <c r="C2304" s="143" t="s">
        <v>6449</v>
      </c>
      <c r="D2304" s="142" t="s">
        <v>5640</v>
      </c>
      <c r="E2304" s="143" t="s">
        <v>5853</v>
      </c>
      <c r="F2304" s="143" t="s">
        <v>6450</v>
      </c>
      <c r="G2304" s="142" t="s">
        <v>109</v>
      </c>
      <c r="H2304" s="142" t="s">
        <v>50</v>
      </c>
      <c r="I2304" s="143" t="s">
        <v>3449</v>
      </c>
      <c r="J2304" s="143" t="s">
        <v>104</v>
      </c>
      <c r="K2304" s="144" t="s">
        <v>121</v>
      </c>
      <c r="L2304" s="145">
        <v>46150</v>
      </c>
      <c r="M2304" s="144"/>
    </row>
    <row r="2305" spans="1:13" ht="15" customHeight="1">
      <c r="A2305" s="146" t="s">
        <v>6451</v>
      </c>
      <c r="B2305" s="146">
        <v>517437</v>
      </c>
      <c r="C2305" s="147" t="s">
        <v>5001</v>
      </c>
      <c r="D2305" s="146" t="s">
        <v>5640</v>
      </c>
      <c r="E2305" s="147" t="s">
        <v>5673</v>
      </c>
      <c r="F2305" s="147" t="s">
        <v>6452</v>
      </c>
      <c r="G2305" s="146" t="s">
        <v>109</v>
      </c>
      <c r="H2305" s="146" t="s">
        <v>50</v>
      </c>
      <c r="I2305" s="147" t="s">
        <v>3449</v>
      </c>
      <c r="J2305" s="147" t="s">
        <v>104</v>
      </c>
      <c r="K2305" s="153" t="s">
        <v>9</v>
      </c>
      <c r="L2305" s="149">
        <v>46126</v>
      </c>
      <c r="M2305" s="151" t="s">
        <v>3392</v>
      </c>
    </row>
    <row r="2306" spans="1:13" ht="15" customHeight="1">
      <c r="A2306" s="142" t="s">
        <v>6453</v>
      </c>
      <c r="B2306" s="142">
        <v>517458</v>
      </c>
      <c r="C2306" s="143" t="s">
        <v>6454</v>
      </c>
      <c r="D2306" s="142" t="s">
        <v>5640</v>
      </c>
      <c r="E2306" s="143" t="s">
        <v>6067</v>
      </c>
      <c r="F2306" s="143" t="s">
        <v>6455</v>
      </c>
      <c r="G2306" s="142" t="s">
        <v>109</v>
      </c>
      <c r="H2306" s="142" t="s">
        <v>50</v>
      </c>
      <c r="I2306" s="143" t="s">
        <v>3449</v>
      </c>
      <c r="J2306" s="143" t="s">
        <v>104</v>
      </c>
      <c r="K2306" s="144"/>
      <c r="L2306" s="145"/>
      <c r="M2306" s="144"/>
    </row>
    <row r="2307" spans="1:13" ht="15" customHeight="1">
      <c r="A2307" s="146" t="s">
        <v>6456</v>
      </c>
      <c r="B2307" s="146">
        <v>513336</v>
      </c>
      <c r="C2307" s="147" t="s">
        <v>6457</v>
      </c>
      <c r="D2307" s="146" t="s">
        <v>6458</v>
      </c>
      <c r="E2307" s="147" t="s">
        <v>6458</v>
      </c>
      <c r="F2307" s="147" t="s">
        <v>6459</v>
      </c>
      <c r="G2307" s="146" t="s">
        <v>109</v>
      </c>
      <c r="H2307" s="146" t="s">
        <v>51</v>
      </c>
      <c r="I2307" s="147" t="s">
        <v>1539</v>
      </c>
      <c r="J2307" s="147" t="s">
        <v>104</v>
      </c>
      <c r="K2307" s="148"/>
      <c r="L2307" s="149"/>
      <c r="M2307" s="148"/>
    </row>
    <row r="2308" spans="1:13" ht="15" customHeight="1">
      <c r="A2308" s="142" t="s">
        <v>6460</v>
      </c>
      <c r="B2308" s="142">
        <v>517912</v>
      </c>
      <c r="C2308" s="143" t="s">
        <v>6461</v>
      </c>
      <c r="D2308" s="142" t="s">
        <v>6458</v>
      </c>
      <c r="E2308" s="143" t="s">
        <v>6462</v>
      </c>
      <c r="F2308" s="143" t="s">
        <v>6463</v>
      </c>
      <c r="G2308" s="142" t="s">
        <v>109</v>
      </c>
      <c r="H2308" s="142" t="s">
        <v>51</v>
      </c>
      <c r="I2308" s="143" t="s">
        <v>1539</v>
      </c>
      <c r="J2308" s="143" t="s">
        <v>104</v>
      </c>
      <c r="K2308" s="144"/>
      <c r="L2308" s="145"/>
      <c r="M2308" s="144"/>
    </row>
    <row r="2309" spans="1:13" ht="15" customHeight="1">
      <c r="A2309" s="146" t="s">
        <v>6464</v>
      </c>
      <c r="B2309" s="146">
        <v>517837</v>
      </c>
      <c r="C2309" s="147" t="s">
        <v>437</v>
      </c>
      <c r="D2309" s="146" t="s">
        <v>6458</v>
      </c>
      <c r="E2309" s="147" t="s">
        <v>6462</v>
      </c>
      <c r="F2309" s="147" t="s">
        <v>6465</v>
      </c>
      <c r="G2309" s="146" t="s">
        <v>109</v>
      </c>
      <c r="H2309" s="146" t="s">
        <v>51</v>
      </c>
      <c r="I2309" s="147" t="s">
        <v>1539</v>
      </c>
      <c r="J2309" s="147" t="s">
        <v>104</v>
      </c>
      <c r="K2309" s="148"/>
      <c r="L2309" s="149"/>
      <c r="M2309" s="148"/>
    </row>
    <row r="2310" spans="1:13" ht="15" customHeight="1">
      <c r="A2310" s="142" t="s">
        <v>6466</v>
      </c>
      <c r="B2310" s="142">
        <v>513301</v>
      </c>
      <c r="C2310" s="143" t="s">
        <v>6467</v>
      </c>
      <c r="D2310" s="142" t="s">
        <v>6458</v>
      </c>
      <c r="E2310" s="143" t="s">
        <v>6462</v>
      </c>
      <c r="F2310" s="143" t="s">
        <v>6468</v>
      </c>
      <c r="G2310" s="142" t="s">
        <v>109</v>
      </c>
      <c r="H2310" s="142" t="s">
        <v>51</v>
      </c>
      <c r="I2310" s="143" t="s">
        <v>1539</v>
      </c>
      <c r="J2310" s="143" t="s">
        <v>104</v>
      </c>
      <c r="K2310" s="144"/>
      <c r="L2310" s="145"/>
      <c r="M2310" s="144"/>
    </row>
    <row r="2311" spans="1:13" ht="15" customHeight="1">
      <c r="A2311" s="146" t="s">
        <v>6469</v>
      </c>
      <c r="B2311" s="146">
        <v>517913</v>
      </c>
      <c r="C2311" s="147" t="s">
        <v>6470</v>
      </c>
      <c r="D2311" s="146" t="s">
        <v>6458</v>
      </c>
      <c r="E2311" s="147" t="s">
        <v>6462</v>
      </c>
      <c r="F2311" s="147" t="s">
        <v>6471</v>
      </c>
      <c r="G2311" s="146" t="s">
        <v>109</v>
      </c>
      <c r="H2311" s="146" t="s">
        <v>51</v>
      </c>
      <c r="I2311" s="147" t="s">
        <v>1539</v>
      </c>
      <c r="J2311" s="147" t="s">
        <v>104</v>
      </c>
      <c r="K2311" s="148"/>
      <c r="L2311" s="149"/>
      <c r="M2311" s="148"/>
    </row>
    <row r="2312" spans="1:13" ht="15" customHeight="1">
      <c r="A2312" s="142" t="s">
        <v>6472</v>
      </c>
      <c r="B2312" s="142">
        <v>517938</v>
      </c>
      <c r="C2312" s="143" t="s">
        <v>6473</v>
      </c>
      <c r="D2312" s="142" t="s">
        <v>6458</v>
      </c>
      <c r="E2312" s="143" t="s">
        <v>6474</v>
      </c>
      <c r="F2312" s="143" t="s">
        <v>6475</v>
      </c>
      <c r="G2312" s="142" t="s">
        <v>109</v>
      </c>
      <c r="H2312" s="142" t="s">
        <v>51</v>
      </c>
      <c r="I2312" s="143" t="s">
        <v>1539</v>
      </c>
      <c r="J2312" s="143" t="s">
        <v>104</v>
      </c>
      <c r="K2312" s="144"/>
      <c r="L2312" s="145"/>
      <c r="M2312" s="144"/>
    </row>
    <row r="2313" spans="1:13" ht="15" customHeight="1">
      <c r="A2313" s="146" t="s">
        <v>6476</v>
      </c>
      <c r="B2313" s="146">
        <v>517947</v>
      </c>
      <c r="C2313" s="147" t="s">
        <v>470</v>
      </c>
      <c r="D2313" s="146" t="s">
        <v>6458</v>
      </c>
      <c r="E2313" s="147" t="s">
        <v>6477</v>
      </c>
      <c r="F2313" s="147" t="s">
        <v>6478</v>
      </c>
      <c r="G2313" s="146" t="s">
        <v>109</v>
      </c>
      <c r="H2313" s="146" t="s">
        <v>51</v>
      </c>
      <c r="I2313" s="147" t="s">
        <v>1539</v>
      </c>
      <c r="J2313" s="147" t="s">
        <v>104</v>
      </c>
      <c r="K2313" s="148"/>
      <c r="L2313" s="149"/>
      <c r="M2313" s="148"/>
    </row>
    <row r="2314" spans="1:13" ht="15" customHeight="1">
      <c r="A2314" s="142" t="s">
        <v>6479</v>
      </c>
      <c r="B2314" s="142">
        <v>517744</v>
      </c>
      <c r="C2314" s="143" t="s">
        <v>1215</v>
      </c>
      <c r="D2314" s="142" t="s">
        <v>6458</v>
      </c>
      <c r="E2314" s="143" t="s">
        <v>6477</v>
      </c>
      <c r="F2314" s="143" t="s">
        <v>6480</v>
      </c>
      <c r="G2314" s="142" t="s">
        <v>109</v>
      </c>
      <c r="H2314" s="142" t="s">
        <v>51</v>
      </c>
      <c r="I2314" s="143" t="s">
        <v>1539</v>
      </c>
      <c r="J2314" s="143" t="s">
        <v>104</v>
      </c>
      <c r="K2314" s="144"/>
      <c r="L2314" s="145"/>
      <c r="M2314" s="144"/>
    </row>
    <row r="2315" spans="1:13" ht="15" customHeight="1">
      <c r="A2315" s="146" t="s">
        <v>6481</v>
      </c>
      <c r="B2315" s="146">
        <v>517750</v>
      </c>
      <c r="C2315" s="147" t="s">
        <v>798</v>
      </c>
      <c r="D2315" s="146" t="s">
        <v>6458</v>
      </c>
      <c r="E2315" s="147" t="s">
        <v>6458</v>
      </c>
      <c r="F2315" s="147" t="s">
        <v>6482</v>
      </c>
      <c r="G2315" s="146" t="s">
        <v>109</v>
      </c>
      <c r="H2315" s="146" t="s">
        <v>51</v>
      </c>
      <c r="I2315" s="147" t="s">
        <v>1539</v>
      </c>
      <c r="J2315" s="147" t="s">
        <v>104</v>
      </c>
      <c r="K2315" s="148"/>
      <c r="L2315" s="149"/>
      <c r="M2315" s="148"/>
    </row>
    <row r="2316" spans="1:13" ht="15" customHeight="1">
      <c r="A2316" s="142" t="s">
        <v>6483</v>
      </c>
      <c r="B2316" s="142">
        <v>517958</v>
      </c>
      <c r="C2316" s="143" t="s">
        <v>6484</v>
      </c>
      <c r="D2316" s="142" t="s">
        <v>6458</v>
      </c>
      <c r="E2316" s="143" t="s">
        <v>6485</v>
      </c>
      <c r="F2316" s="143" t="s">
        <v>4397</v>
      </c>
      <c r="G2316" s="142" t="s">
        <v>109</v>
      </c>
      <c r="H2316" s="142" t="s">
        <v>51</v>
      </c>
      <c r="I2316" s="143" t="s">
        <v>1539</v>
      </c>
      <c r="J2316" s="143" t="s">
        <v>104</v>
      </c>
      <c r="K2316" s="144"/>
      <c r="L2316" s="145"/>
      <c r="M2316" s="144"/>
    </row>
    <row r="2317" spans="1:13" ht="15" customHeight="1">
      <c r="A2317" s="146" t="s">
        <v>6486</v>
      </c>
      <c r="B2317" s="146">
        <v>517923</v>
      </c>
      <c r="C2317" s="147" t="s">
        <v>6487</v>
      </c>
      <c r="D2317" s="146" t="s">
        <v>6458</v>
      </c>
      <c r="E2317" s="147" t="s">
        <v>6485</v>
      </c>
      <c r="F2317" s="147" t="s">
        <v>6488</v>
      </c>
      <c r="G2317" s="146" t="s">
        <v>109</v>
      </c>
      <c r="H2317" s="146" t="s">
        <v>51</v>
      </c>
      <c r="I2317" s="147" t="s">
        <v>1539</v>
      </c>
      <c r="J2317" s="147" t="s">
        <v>104</v>
      </c>
      <c r="K2317" s="148"/>
      <c r="L2317" s="149"/>
      <c r="M2317" s="148"/>
    </row>
    <row r="2318" spans="1:13" ht="15" customHeight="1">
      <c r="A2318" s="142" t="s">
        <v>6489</v>
      </c>
      <c r="B2318" s="142">
        <v>517781</v>
      </c>
      <c r="C2318" s="143" t="s">
        <v>6490</v>
      </c>
      <c r="D2318" s="142" t="s">
        <v>6458</v>
      </c>
      <c r="E2318" s="143" t="s">
        <v>6491</v>
      </c>
      <c r="F2318" s="143" t="s">
        <v>722</v>
      </c>
      <c r="G2318" s="142" t="s">
        <v>109</v>
      </c>
      <c r="H2318" s="142" t="s">
        <v>51</v>
      </c>
      <c r="I2318" s="143" t="s">
        <v>1539</v>
      </c>
      <c r="J2318" s="143" t="s">
        <v>104</v>
      </c>
      <c r="K2318" s="144"/>
      <c r="L2318" s="145"/>
      <c r="M2318" s="144"/>
    </row>
    <row r="2319" spans="1:13" ht="15" customHeight="1">
      <c r="A2319" s="146" t="s">
        <v>6492</v>
      </c>
      <c r="B2319" s="146">
        <v>517905</v>
      </c>
      <c r="C2319" s="147" t="s">
        <v>6493</v>
      </c>
      <c r="D2319" s="146" t="s">
        <v>6458</v>
      </c>
      <c r="E2319" s="147" t="s">
        <v>6491</v>
      </c>
      <c r="F2319" s="147" t="s">
        <v>6494</v>
      </c>
      <c r="G2319" s="146" t="s">
        <v>109</v>
      </c>
      <c r="H2319" s="146" t="s">
        <v>51</v>
      </c>
      <c r="I2319" s="147" t="s">
        <v>1539</v>
      </c>
      <c r="J2319" s="147" t="s">
        <v>104</v>
      </c>
      <c r="K2319" s="148"/>
      <c r="L2319" s="149"/>
      <c r="M2319" s="148"/>
    </row>
    <row r="2320" spans="1:13" ht="15" customHeight="1">
      <c r="A2320" s="142" t="s">
        <v>6495</v>
      </c>
      <c r="B2320" s="142">
        <v>517910</v>
      </c>
      <c r="C2320" s="143" t="s">
        <v>6496</v>
      </c>
      <c r="D2320" s="142" t="s">
        <v>6458</v>
      </c>
      <c r="E2320" s="143" t="s">
        <v>6491</v>
      </c>
      <c r="F2320" s="143" t="s">
        <v>6497</v>
      </c>
      <c r="G2320" s="142" t="s">
        <v>109</v>
      </c>
      <c r="H2320" s="142" t="s">
        <v>51</v>
      </c>
      <c r="I2320" s="143" t="s">
        <v>1539</v>
      </c>
      <c r="J2320" s="143" t="s">
        <v>104</v>
      </c>
      <c r="K2320" s="144"/>
      <c r="L2320" s="145"/>
      <c r="M2320" s="144"/>
    </row>
    <row r="2321" spans="1:13" ht="15" customHeight="1">
      <c r="A2321" s="146" t="s">
        <v>6498</v>
      </c>
      <c r="B2321" s="146">
        <v>517909</v>
      </c>
      <c r="C2321" s="147" t="s">
        <v>6473</v>
      </c>
      <c r="D2321" s="146" t="s">
        <v>6458</v>
      </c>
      <c r="E2321" s="147" t="s">
        <v>6491</v>
      </c>
      <c r="F2321" s="147" t="s">
        <v>5512</v>
      </c>
      <c r="G2321" s="146" t="s">
        <v>109</v>
      </c>
      <c r="H2321" s="146" t="s">
        <v>51</v>
      </c>
      <c r="I2321" s="147" t="s">
        <v>1539</v>
      </c>
      <c r="J2321" s="147" t="s">
        <v>104</v>
      </c>
      <c r="K2321" s="148"/>
      <c r="L2321" s="149"/>
      <c r="M2321" s="148"/>
    </row>
    <row r="2322" spans="1:13" ht="15" customHeight="1">
      <c r="A2322" s="142" t="s">
        <v>6499</v>
      </c>
      <c r="B2322" s="142">
        <v>517911</v>
      </c>
      <c r="C2322" s="143" t="s">
        <v>6500</v>
      </c>
      <c r="D2322" s="142" t="s">
        <v>6458</v>
      </c>
      <c r="E2322" s="143" t="s">
        <v>6491</v>
      </c>
      <c r="F2322" s="143" t="s">
        <v>1836</v>
      </c>
      <c r="G2322" s="142" t="s">
        <v>109</v>
      </c>
      <c r="H2322" s="142" t="s">
        <v>51</v>
      </c>
      <c r="I2322" s="143" t="s">
        <v>1539</v>
      </c>
      <c r="J2322" s="143" t="s">
        <v>104</v>
      </c>
      <c r="K2322" s="144"/>
      <c r="L2322" s="145"/>
      <c r="M2322" s="144"/>
    </row>
    <row r="2323" spans="1:13" ht="15" customHeight="1">
      <c r="A2323" s="146" t="s">
        <v>6501</v>
      </c>
      <c r="B2323" s="146">
        <v>517942</v>
      </c>
      <c r="C2323" s="147" t="s">
        <v>6502</v>
      </c>
      <c r="D2323" s="146" t="s">
        <v>6458</v>
      </c>
      <c r="E2323" s="147" t="s">
        <v>6503</v>
      </c>
      <c r="F2323" s="147" t="s">
        <v>6504</v>
      </c>
      <c r="G2323" s="146" t="s">
        <v>109</v>
      </c>
      <c r="H2323" s="146" t="s">
        <v>51</v>
      </c>
      <c r="I2323" s="147" t="s">
        <v>1539</v>
      </c>
      <c r="J2323" s="147" t="s">
        <v>104</v>
      </c>
      <c r="K2323" s="148"/>
      <c r="L2323" s="149"/>
      <c r="M2323" s="148"/>
    </row>
    <row r="2324" spans="1:13" ht="15" customHeight="1">
      <c r="A2324" s="142" t="s">
        <v>6505</v>
      </c>
      <c r="B2324" s="142">
        <v>517907</v>
      </c>
      <c r="C2324" s="143" t="s">
        <v>1323</v>
      </c>
      <c r="D2324" s="142" t="s">
        <v>6458</v>
      </c>
      <c r="E2324" s="143" t="s">
        <v>6503</v>
      </c>
      <c r="F2324" s="143" t="s">
        <v>6506</v>
      </c>
      <c r="G2324" s="142" t="s">
        <v>109</v>
      </c>
      <c r="H2324" s="142" t="s">
        <v>51</v>
      </c>
      <c r="I2324" s="143" t="s">
        <v>1539</v>
      </c>
      <c r="J2324" s="143" t="s">
        <v>104</v>
      </c>
      <c r="K2324" s="144"/>
      <c r="L2324" s="145"/>
      <c r="M2324" s="144"/>
    </row>
    <row r="2325" spans="1:13" ht="15" customHeight="1">
      <c r="A2325" s="146" t="s">
        <v>6507</v>
      </c>
      <c r="B2325" s="146">
        <v>517871</v>
      </c>
      <c r="C2325" s="147" t="s">
        <v>6502</v>
      </c>
      <c r="D2325" s="146" t="s">
        <v>6458</v>
      </c>
      <c r="E2325" s="147" t="s">
        <v>6503</v>
      </c>
      <c r="F2325" s="147" t="s">
        <v>1215</v>
      </c>
      <c r="G2325" s="146" t="s">
        <v>109</v>
      </c>
      <c r="H2325" s="146" t="s">
        <v>51</v>
      </c>
      <c r="I2325" s="147" t="s">
        <v>1539</v>
      </c>
      <c r="J2325" s="147" t="s">
        <v>104</v>
      </c>
      <c r="K2325" s="148"/>
      <c r="L2325" s="149"/>
      <c r="M2325" s="148"/>
    </row>
    <row r="2326" spans="1:13" ht="15" customHeight="1">
      <c r="A2326" s="142" t="s">
        <v>6508</v>
      </c>
      <c r="B2326" s="142">
        <v>517868</v>
      </c>
      <c r="C2326" s="143" t="s">
        <v>6473</v>
      </c>
      <c r="D2326" s="142" t="s">
        <v>6458</v>
      </c>
      <c r="E2326" s="143" t="s">
        <v>6503</v>
      </c>
      <c r="F2326" s="143" t="s">
        <v>6509</v>
      </c>
      <c r="G2326" s="142" t="s">
        <v>109</v>
      </c>
      <c r="H2326" s="142" t="s">
        <v>51</v>
      </c>
      <c r="I2326" s="143" t="s">
        <v>1539</v>
      </c>
      <c r="J2326" s="143" t="s">
        <v>104</v>
      </c>
      <c r="K2326" s="144"/>
      <c r="L2326" s="145"/>
      <c r="M2326" s="144"/>
    </row>
    <row r="2327" spans="1:13" ht="15" customHeight="1">
      <c r="A2327" s="146" t="s">
        <v>6510</v>
      </c>
      <c r="B2327" s="146">
        <v>520699</v>
      </c>
      <c r="C2327" s="147" t="s">
        <v>1348</v>
      </c>
      <c r="D2327" s="146" t="s">
        <v>6458</v>
      </c>
      <c r="E2327" s="147" t="s">
        <v>1120</v>
      </c>
      <c r="F2327" s="147" t="s">
        <v>6511</v>
      </c>
      <c r="G2327" s="146" t="s">
        <v>109</v>
      </c>
      <c r="H2327" s="146" t="s">
        <v>51</v>
      </c>
      <c r="I2327" s="147" t="s">
        <v>1539</v>
      </c>
      <c r="J2327" s="147" t="s">
        <v>104</v>
      </c>
      <c r="K2327" s="148"/>
      <c r="L2327" s="149"/>
      <c r="M2327" s="148"/>
    </row>
    <row r="2328" spans="1:13" ht="15" customHeight="1">
      <c r="A2328" s="142" t="s">
        <v>6512</v>
      </c>
      <c r="B2328" s="142">
        <v>517902</v>
      </c>
      <c r="C2328" s="143" t="s">
        <v>2682</v>
      </c>
      <c r="D2328" s="142" t="s">
        <v>6458</v>
      </c>
      <c r="E2328" s="143" t="s">
        <v>6513</v>
      </c>
      <c r="F2328" s="143" t="s">
        <v>2895</v>
      </c>
      <c r="G2328" s="142" t="s">
        <v>109</v>
      </c>
      <c r="H2328" s="142" t="s">
        <v>51</v>
      </c>
      <c r="I2328" s="143" t="s">
        <v>1539</v>
      </c>
      <c r="J2328" s="143" t="s">
        <v>104</v>
      </c>
      <c r="K2328" s="144"/>
      <c r="L2328" s="145"/>
      <c r="M2328" s="144"/>
    </row>
    <row r="2329" spans="1:13" ht="15" customHeight="1">
      <c r="A2329" s="146" t="s">
        <v>6514</v>
      </c>
      <c r="B2329" s="146">
        <v>517767</v>
      </c>
      <c r="C2329" s="147" t="s">
        <v>6515</v>
      </c>
      <c r="D2329" s="146" t="s">
        <v>6458</v>
      </c>
      <c r="E2329" s="147" t="s">
        <v>6516</v>
      </c>
      <c r="F2329" s="147" t="s">
        <v>6517</v>
      </c>
      <c r="G2329" s="146" t="s">
        <v>109</v>
      </c>
      <c r="H2329" s="146" t="s">
        <v>51</v>
      </c>
      <c r="I2329" s="147" t="s">
        <v>1539</v>
      </c>
      <c r="J2329" s="147" t="s">
        <v>104</v>
      </c>
      <c r="K2329" s="148" t="s">
        <v>121</v>
      </c>
      <c r="L2329" s="149">
        <v>46149</v>
      </c>
      <c r="M2329" s="148"/>
    </row>
    <row r="2330" spans="1:13" ht="15" customHeight="1">
      <c r="A2330" s="142" t="s">
        <v>6518</v>
      </c>
      <c r="B2330" s="142">
        <v>517752</v>
      </c>
      <c r="C2330" s="143" t="s">
        <v>6473</v>
      </c>
      <c r="D2330" s="142" t="s">
        <v>6458</v>
      </c>
      <c r="E2330" s="143" t="s">
        <v>6516</v>
      </c>
      <c r="F2330" s="143" t="s">
        <v>6519</v>
      </c>
      <c r="G2330" s="142" t="s">
        <v>102</v>
      </c>
      <c r="H2330" s="142" t="s">
        <v>51</v>
      </c>
      <c r="I2330" s="143" t="s">
        <v>1539</v>
      </c>
      <c r="J2330" s="143" t="s">
        <v>104</v>
      </c>
      <c r="K2330" s="144" t="s">
        <v>121</v>
      </c>
      <c r="L2330" s="145">
        <v>46150</v>
      </c>
      <c r="M2330" s="144"/>
    </row>
    <row r="2331" spans="1:13" ht="15" customHeight="1">
      <c r="A2331" s="146" t="s">
        <v>6520</v>
      </c>
      <c r="B2331" s="146">
        <v>517740</v>
      </c>
      <c r="C2331" s="147" t="s">
        <v>6521</v>
      </c>
      <c r="D2331" s="146" t="s">
        <v>6458</v>
      </c>
      <c r="E2331" s="147" t="s">
        <v>6516</v>
      </c>
      <c r="F2331" s="147" t="s">
        <v>6522</v>
      </c>
      <c r="G2331" s="146" t="s">
        <v>109</v>
      </c>
      <c r="H2331" s="146" t="s">
        <v>51</v>
      </c>
      <c r="I2331" s="147" t="s">
        <v>1539</v>
      </c>
      <c r="J2331" s="147" t="s">
        <v>104</v>
      </c>
      <c r="K2331" s="148" t="s">
        <v>121</v>
      </c>
      <c r="L2331" s="149">
        <v>46149</v>
      </c>
      <c r="M2331" s="148"/>
    </row>
    <row r="2332" spans="1:13" ht="15" customHeight="1">
      <c r="A2332" s="142" t="s">
        <v>6523</v>
      </c>
      <c r="B2332" s="142">
        <v>517833</v>
      </c>
      <c r="C2332" s="143" t="s">
        <v>1348</v>
      </c>
      <c r="D2332" s="142" t="s">
        <v>6458</v>
      </c>
      <c r="E2332" s="143" t="s">
        <v>6516</v>
      </c>
      <c r="F2332" s="143" t="s">
        <v>6524</v>
      </c>
      <c r="G2332" s="142" t="s">
        <v>109</v>
      </c>
      <c r="H2332" s="142" t="s">
        <v>51</v>
      </c>
      <c r="I2332" s="143" t="s">
        <v>1539</v>
      </c>
      <c r="J2332" s="143" t="s">
        <v>104</v>
      </c>
      <c r="K2332" s="144" t="s">
        <v>121</v>
      </c>
      <c r="L2332" s="145">
        <v>46149</v>
      </c>
      <c r="M2332" s="144"/>
    </row>
    <row r="2333" spans="1:13" ht="15" customHeight="1">
      <c r="A2333" s="146" t="s">
        <v>6525</v>
      </c>
      <c r="B2333" s="146">
        <v>517949</v>
      </c>
      <c r="C2333" s="147" t="s">
        <v>1123</v>
      </c>
      <c r="D2333" s="146" t="s">
        <v>6458</v>
      </c>
      <c r="E2333" s="147" t="s">
        <v>6516</v>
      </c>
      <c r="F2333" s="147" t="s">
        <v>6526</v>
      </c>
      <c r="G2333" s="146" t="s">
        <v>109</v>
      </c>
      <c r="H2333" s="146" t="s">
        <v>51</v>
      </c>
      <c r="I2333" s="147" t="s">
        <v>1539</v>
      </c>
      <c r="J2333" s="147" t="s">
        <v>104</v>
      </c>
      <c r="K2333" s="148" t="s">
        <v>121</v>
      </c>
      <c r="L2333" s="149">
        <v>46149</v>
      </c>
      <c r="M2333" s="148"/>
    </row>
    <row r="2334" spans="1:13" ht="15" customHeight="1">
      <c r="A2334" s="142" t="s">
        <v>6527</v>
      </c>
      <c r="B2334" s="142">
        <v>517940</v>
      </c>
      <c r="C2334" s="143" t="s">
        <v>6473</v>
      </c>
      <c r="D2334" s="142" t="s">
        <v>6458</v>
      </c>
      <c r="E2334" s="143" t="s">
        <v>6528</v>
      </c>
      <c r="F2334" s="143" t="s">
        <v>6529</v>
      </c>
      <c r="G2334" s="142" t="s">
        <v>109</v>
      </c>
      <c r="H2334" s="142" t="s">
        <v>51</v>
      </c>
      <c r="I2334" s="143" t="s">
        <v>1539</v>
      </c>
      <c r="J2334" s="143" t="s">
        <v>104</v>
      </c>
      <c r="K2334" s="144"/>
      <c r="L2334" s="145"/>
      <c r="M2334" s="144"/>
    </row>
    <row r="2335" spans="1:13" ht="15" customHeight="1">
      <c r="A2335" s="146" t="s">
        <v>6530</v>
      </c>
      <c r="B2335" s="146">
        <v>517966</v>
      </c>
      <c r="C2335" s="147" t="s">
        <v>745</v>
      </c>
      <c r="D2335" s="146" t="s">
        <v>6458</v>
      </c>
      <c r="E2335" s="147" t="s">
        <v>6528</v>
      </c>
      <c r="F2335" s="147" t="s">
        <v>6531</v>
      </c>
      <c r="G2335" s="146" t="s">
        <v>109</v>
      </c>
      <c r="H2335" s="146" t="s">
        <v>51</v>
      </c>
      <c r="I2335" s="147" t="s">
        <v>1539</v>
      </c>
      <c r="J2335" s="147" t="s">
        <v>104</v>
      </c>
      <c r="K2335" s="148"/>
      <c r="L2335" s="149"/>
      <c r="M2335" s="148"/>
    </row>
    <row r="2336" spans="1:13" ht="15" customHeight="1">
      <c r="A2336" s="142" t="s">
        <v>6532</v>
      </c>
      <c r="B2336" s="142">
        <v>517789</v>
      </c>
      <c r="C2336" s="143" t="s">
        <v>6533</v>
      </c>
      <c r="D2336" s="142" t="s">
        <v>6458</v>
      </c>
      <c r="E2336" s="143" t="s">
        <v>6534</v>
      </c>
      <c r="F2336" s="143" t="s">
        <v>6535</v>
      </c>
      <c r="G2336" s="142" t="s">
        <v>109</v>
      </c>
      <c r="H2336" s="142" t="s">
        <v>51</v>
      </c>
      <c r="I2336" s="143" t="s">
        <v>1539</v>
      </c>
      <c r="J2336" s="143" t="s">
        <v>104</v>
      </c>
      <c r="K2336" s="144"/>
      <c r="L2336" s="145"/>
      <c r="M2336" s="144"/>
    </row>
    <row r="2337" spans="1:13" ht="15" customHeight="1">
      <c r="A2337" s="146" t="s">
        <v>6536</v>
      </c>
      <c r="B2337" s="146">
        <v>517885</v>
      </c>
      <c r="C2337" s="147" t="s">
        <v>6470</v>
      </c>
      <c r="D2337" s="146" t="s">
        <v>6458</v>
      </c>
      <c r="E2337" s="147" t="s">
        <v>6534</v>
      </c>
      <c r="F2337" s="147" t="s">
        <v>6537</v>
      </c>
      <c r="G2337" s="146" t="s">
        <v>109</v>
      </c>
      <c r="H2337" s="146" t="s">
        <v>51</v>
      </c>
      <c r="I2337" s="147" t="s">
        <v>1539</v>
      </c>
      <c r="J2337" s="147" t="s">
        <v>104</v>
      </c>
      <c r="K2337" s="148"/>
      <c r="L2337" s="149"/>
      <c r="M2337" s="148"/>
    </row>
    <row r="2338" spans="1:13" ht="15" customHeight="1">
      <c r="A2338" s="142" t="s">
        <v>6538</v>
      </c>
      <c r="B2338" s="142">
        <v>513344</v>
      </c>
      <c r="C2338" s="143" t="s">
        <v>6470</v>
      </c>
      <c r="D2338" s="142" t="s">
        <v>6458</v>
      </c>
      <c r="E2338" s="143" t="s">
        <v>6534</v>
      </c>
      <c r="F2338" s="143" t="s">
        <v>6539</v>
      </c>
      <c r="G2338" s="142" t="s">
        <v>109</v>
      </c>
      <c r="H2338" s="142" t="s">
        <v>51</v>
      </c>
      <c r="I2338" s="143" t="s">
        <v>1539</v>
      </c>
      <c r="J2338" s="143" t="s">
        <v>104</v>
      </c>
      <c r="K2338" s="144"/>
      <c r="L2338" s="145"/>
      <c r="M2338" s="144"/>
    </row>
    <row r="2339" spans="1:13" ht="15" customHeight="1">
      <c r="A2339" s="146" t="s">
        <v>6540</v>
      </c>
      <c r="B2339" s="146">
        <v>517904</v>
      </c>
      <c r="C2339" s="147" t="s">
        <v>1323</v>
      </c>
      <c r="D2339" s="146" t="s">
        <v>6458</v>
      </c>
      <c r="E2339" s="147" t="s">
        <v>6534</v>
      </c>
      <c r="F2339" s="147" t="s">
        <v>6541</v>
      </c>
      <c r="G2339" s="146" t="s">
        <v>109</v>
      </c>
      <c r="H2339" s="146" t="s">
        <v>51</v>
      </c>
      <c r="I2339" s="147" t="s">
        <v>1539</v>
      </c>
      <c r="J2339" s="147" t="s">
        <v>104</v>
      </c>
      <c r="K2339" s="148"/>
      <c r="L2339" s="149"/>
      <c r="M2339" s="148"/>
    </row>
    <row r="2340" spans="1:13" ht="15" customHeight="1">
      <c r="A2340" s="142" t="s">
        <v>6542</v>
      </c>
      <c r="B2340" s="142">
        <v>517917</v>
      </c>
      <c r="C2340" s="143" t="s">
        <v>3415</v>
      </c>
      <c r="D2340" s="142" t="s">
        <v>6458</v>
      </c>
      <c r="E2340" s="143" t="s">
        <v>6543</v>
      </c>
      <c r="F2340" s="143" t="s">
        <v>6544</v>
      </c>
      <c r="G2340" s="142" t="s">
        <v>109</v>
      </c>
      <c r="H2340" s="142" t="s">
        <v>51</v>
      </c>
      <c r="I2340" s="143" t="s">
        <v>1539</v>
      </c>
      <c r="J2340" s="143" t="s">
        <v>104</v>
      </c>
      <c r="K2340" s="144"/>
      <c r="L2340" s="145"/>
      <c r="M2340" s="144"/>
    </row>
    <row r="2341" spans="1:13" ht="15" customHeight="1">
      <c r="A2341" s="146" t="s">
        <v>6545</v>
      </c>
      <c r="B2341" s="146">
        <v>517895</v>
      </c>
      <c r="C2341" s="147" t="s">
        <v>6493</v>
      </c>
      <c r="D2341" s="146" t="s">
        <v>6458</v>
      </c>
      <c r="E2341" s="147" t="s">
        <v>6543</v>
      </c>
      <c r="F2341" s="147" t="s">
        <v>6546</v>
      </c>
      <c r="G2341" s="146" t="s">
        <v>109</v>
      </c>
      <c r="H2341" s="146" t="s">
        <v>51</v>
      </c>
      <c r="I2341" s="147" t="s">
        <v>1539</v>
      </c>
      <c r="J2341" s="147" t="s">
        <v>104</v>
      </c>
      <c r="K2341" s="148"/>
      <c r="L2341" s="149"/>
      <c r="M2341" s="148"/>
    </row>
    <row r="2342" spans="1:13" ht="15" customHeight="1">
      <c r="A2342" s="142" t="s">
        <v>6547</v>
      </c>
      <c r="B2342" s="142">
        <v>517920</v>
      </c>
      <c r="C2342" s="143" t="s">
        <v>745</v>
      </c>
      <c r="D2342" s="142" t="s">
        <v>6458</v>
      </c>
      <c r="E2342" s="143" t="s">
        <v>6543</v>
      </c>
      <c r="F2342" s="143" t="s">
        <v>6548</v>
      </c>
      <c r="G2342" s="142" t="s">
        <v>109</v>
      </c>
      <c r="H2342" s="142" t="s">
        <v>51</v>
      </c>
      <c r="I2342" s="143" t="s">
        <v>1539</v>
      </c>
      <c r="J2342" s="143" t="s">
        <v>104</v>
      </c>
      <c r="K2342" s="144"/>
      <c r="L2342" s="145"/>
      <c r="M2342" s="144"/>
    </row>
    <row r="2343" spans="1:13" ht="15" customHeight="1">
      <c r="A2343" s="146" t="s">
        <v>6549</v>
      </c>
      <c r="B2343" s="146">
        <v>517830</v>
      </c>
      <c r="C2343" s="147" t="s">
        <v>483</v>
      </c>
      <c r="D2343" s="146" t="s">
        <v>6458</v>
      </c>
      <c r="E2343" s="147" t="s">
        <v>6550</v>
      </c>
      <c r="F2343" s="147" t="s">
        <v>2619</v>
      </c>
      <c r="G2343" s="146" t="s">
        <v>109</v>
      </c>
      <c r="H2343" s="146" t="s">
        <v>51</v>
      </c>
      <c r="I2343" s="147" t="s">
        <v>1539</v>
      </c>
      <c r="J2343" s="147" t="s">
        <v>104</v>
      </c>
      <c r="K2343" s="148"/>
      <c r="L2343" s="149"/>
      <c r="M2343" s="148"/>
    </row>
    <row r="2344" spans="1:13" ht="15" customHeight="1">
      <c r="A2344" s="142" t="s">
        <v>6551</v>
      </c>
      <c r="B2344" s="142">
        <v>517766</v>
      </c>
      <c r="C2344" s="143" t="s">
        <v>6473</v>
      </c>
      <c r="D2344" s="142" t="s">
        <v>6458</v>
      </c>
      <c r="E2344" s="143" t="s">
        <v>6550</v>
      </c>
      <c r="F2344" s="143" t="s">
        <v>6552</v>
      </c>
      <c r="G2344" s="142" t="s">
        <v>109</v>
      </c>
      <c r="H2344" s="142" t="s">
        <v>51</v>
      </c>
      <c r="I2344" s="143" t="s">
        <v>1539</v>
      </c>
      <c r="J2344" s="143" t="s">
        <v>104</v>
      </c>
      <c r="K2344" s="144"/>
      <c r="L2344" s="145"/>
      <c r="M2344" s="144"/>
    </row>
    <row r="2345" spans="1:13" ht="15" customHeight="1">
      <c r="A2345" s="146" t="s">
        <v>6553</v>
      </c>
      <c r="B2345" s="146">
        <v>517831</v>
      </c>
      <c r="C2345" s="147" t="s">
        <v>6461</v>
      </c>
      <c r="D2345" s="146" t="s">
        <v>6458</v>
      </c>
      <c r="E2345" s="147" t="s">
        <v>6550</v>
      </c>
      <c r="F2345" s="147" t="s">
        <v>6554</v>
      </c>
      <c r="G2345" s="146" t="s">
        <v>109</v>
      </c>
      <c r="H2345" s="146" t="s">
        <v>51</v>
      </c>
      <c r="I2345" s="147" t="s">
        <v>1539</v>
      </c>
      <c r="J2345" s="147" t="s">
        <v>104</v>
      </c>
      <c r="K2345" s="148"/>
      <c r="L2345" s="149"/>
      <c r="M2345" s="148"/>
    </row>
    <row r="2346" spans="1:13" ht="15" customHeight="1">
      <c r="A2346" s="142" t="s">
        <v>6555</v>
      </c>
      <c r="B2346" s="142">
        <v>517888</v>
      </c>
      <c r="C2346" s="143" t="s">
        <v>6502</v>
      </c>
      <c r="D2346" s="142" t="s">
        <v>6458</v>
      </c>
      <c r="E2346" s="143" t="s">
        <v>6556</v>
      </c>
      <c r="F2346" s="143" t="s">
        <v>6557</v>
      </c>
      <c r="G2346" s="142" t="s">
        <v>109</v>
      </c>
      <c r="H2346" s="142" t="s">
        <v>51</v>
      </c>
      <c r="I2346" s="143" t="s">
        <v>1539</v>
      </c>
      <c r="J2346" s="143" t="s">
        <v>104</v>
      </c>
      <c r="K2346" s="144"/>
      <c r="L2346" s="145"/>
      <c r="M2346" s="144"/>
    </row>
    <row r="2347" spans="1:13" ht="15" customHeight="1">
      <c r="A2347" s="146" t="s">
        <v>6558</v>
      </c>
      <c r="B2347" s="146">
        <v>517897</v>
      </c>
      <c r="C2347" s="147" t="s">
        <v>6559</v>
      </c>
      <c r="D2347" s="146" t="s">
        <v>6458</v>
      </c>
      <c r="E2347" s="147" t="s">
        <v>6556</v>
      </c>
      <c r="F2347" s="147" t="s">
        <v>1575</v>
      </c>
      <c r="G2347" s="146" t="s">
        <v>109</v>
      </c>
      <c r="H2347" s="146" t="s">
        <v>51</v>
      </c>
      <c r="I2347" s="147" t="s">
        <v>1539</v>
      </c>
      <c r="J2347" s="147" t="s">
        <v>104</v>
      </c>
      <c r="K2347" s="148"/>
      <c r="L2347" s="149"/>
      <c r="M2347" s="148"/>
    </row>
    <row r="2348" spans="1:13" ht="15" customHeight="1">
      <c r="A2348" s="142" t="s">
        <v>6560</v>
      </c>
      <c r="B2348" s="142">
        <v>517834</v>
      </c>
      <c r="C2348" s="143" t="s">
        <v>6561</v>
      </c>
      <c r="D2348" s="142" t="s">
        <v>6458</v>
      </c>
      <c r="E2348" s="143" t="s">
        <v>6550</v>
      </c>
      <c r="F2348" s="143" t="s">
        <v>5396</v>
      </c>
      <c r="G2348" s="142" t="s">
        <v>109</v>
      </c>
      <c r="H2348" s="142" t="s">
        <v>51</v>
      </c>
      <c r="I2348" s="143" t="s">
        <v>1539</v>
      </c>
      <c r="J2348" s="143" t="s">
        <v>104</v>
      </c>
      <c r="K2348" s="144"/>
      <c r="L2348" s="145"/>
      <c r="M2348" s="144"/>
    </row>
    <row r="2349" spans="1:13" ht="15" customHeight="1">
      <c r="A2349" s="146" t="s">
        <v>6562</v>
      </c>
      <c r="B2349" s="146">
        <v>517793</v>
      </c>
      <c r="C2349" s="147" t="s">
        <v>725</v>
      </c>
      <c r="D2349" s="146" t="s">
        <v>6458</v>
      </c>
      <c r="E2349" s="147" t="s">
        <v>6563</v>
      </c>
      <c r="F2349" s="147" t="s">
        <v>6564</v>
      </c>
      <c r="G2349" s="146" t="s">
        <v>109</v>
      </c>
      <c r="H2349" s="146" t="s">
        <v>51</v>
      </c>
      <c r="I2349" s="147" t="s">
        <v>1539</v>
      </c>
      <c r="J2349" s="147" t="s">
        <v>104</v>
      </c>
      <c r="K2349" s="148"/>
      <c r="L2349" s="149"/>
      <c r="M2349" s="148"/>
    </row>
    <row r="2350" spans="1:13" ht="15" customHeight="1">
      <c r="A2350" s="142" t="s">
        <v>6565</v>
      </c>
      <c r="B2350" s="142">
        <v>517771</v>
      </c>
      <c r="C2350" s="143" t="s">
        <v>6561</v>
      </c>
      <c r="D2350" s="142" t="s">
        <v>6458</v>
      </c>
      <c r="E2350" s="143" t="s">
        <v>6563</v>
      </c>
      <c r="F2350" s="143" t="s">
        <v>6566</v>
      </c>
      <c r="G2350" s="142" t="s">
        <v>109</v>
      </c>
      <c r="H2350" s="142" t="s">
        <v>51</v>
      </c>
      <c r="I2350" s="143" t="s">
        <v>1539</v>
      </c>
      <c r="J2350" s="143" t="s">
        <v>104</v>
      </c>
      <c r="K2350" s="144"/>
      <c r="L2350" s="145"/>
      <c r="M2350" s="144"/>
    </row>
    <row r="2351" spans="1:13" ht="15" customHeight="1">
      <c r="A2351" s="146" t="s">
        <v>6567</v>
      </c>
      <c r="B2351" s="146">
        <v>517795</v>
      </c>
      <c r="C2351" s="147" t="s">
        <v>1323</v>
      </c>
      <c r="D2351" s="146" t="s">
        <v>6458</v>
      </c>
      <c r="E2351" s="147" t="s">
        <v>6568</v>
      </c>
      <c r="F2351" s="147" t="s">
        <v>6569</v>
      </c>
      <c r="G2351" s="146" t="s">
        <v>109</v>
      </c>
      <c r="H2351" s="146" t="s">
        <v>51</v>
      </c>
      <c r="I2351" s="147" t="s">
        <v>1539</v>
      </c>
      <c r="J2351" s="147" t="s">
        <v>104</v>
      </c>
      <c r="K2351" s="148"/>
      <c r="L2351" s="149"/>
      <c r="M2351" s="148"/>
    </row>
    <row r="2352" spans="1:13" ht="15" customHeight="1">
      <c r="A2352" s="142" t="s">
        <v>6570</v>
      </c>
      <c r="B2352" s="142">
        <v>517775</v>
      </c>
      <c r="C2352" s="143" t="s">
        <v>6571</v>
      </c>
      <c r="D2352" s="142" t="s">
        <v>6458</v>
      </c>
      <c r="E2352" s="143" t="s">
        <v>6568</v>
      </c>
      <c r="F2352" s="143" t="s">
        <v>1933</v>
      </c>
      <c r="G2352" s="142" t="s">
        <v>109</v>
      </c>
      <c r="H2352" s="142" t="s">
        <v>51</v>
      </c>
      <c r="I2352" s="143" t="s">
        <v>1539</v>
      </c>
      <c r="J2352" s="143" t="s">
        <v>104</v>
      </c>
      <c r="K2352" s="144"/>
      <c r="L2352" s="145"/>
      <c r="M2352" s="144"/>
    </row>
    <row r="2353" spans="1:13" ht="15" customHeight="1">
      <c r="A2353" s="146" t="s">
        <v>6572</v>
      </c>
      <c r="B2353" s="146">
        <v>517747</v>
      </c>
      <c r="C2353" s="147" t="s">
        <v>1295</v>
      </c>
      <c r="D2353" s="146" t="s">
        <v>6458</v>
      </c>
      <c r="E2353" s="147" t="s">
        <v>6458</v>
      </c>
      <c r="F2353" s="147" t="s">
        <v>6573</v>
      </c>
      <c r="G2353" s="146" t="s">
        <v>109</v>
      </c>
      <c r="H2353" s="146" t="s">
        <v>51</v>
      </c>
      <c r="I2353" s="147" t="s">
        <v>1539</v>
      </c>
      <c r="J2353" s="147" t="s">
        <v>104</v>
      </c>
      <c r="K2353" s="148"/>
      <c r="L2353" s="149"/>
      <c r="M2353" s="148"/>
    </row>
    <row r="2354" spans="1:13" ht="15" customHeight="1">
      <c r="A2354" s="142" t="s">
        <v>6574</v>
      </c>
      <c r="B2354" s="142">
        <v>517869</v>
      </c>
      <c r="C2354" s="143" t="s">
        <v>3415</v>
      </c>
      <c r="D2354" s="142" t="s">
        <v>6458</v>
      </c>
      <c r="E2354" s="143" t="s">
        <v>5841</v>
      </c>
      <c r="F2354" s="143" t="s">
        <v>6575</v>
      </c>
      <c r="G2354" s="142" t="s">
        <v>109</v>
      </c>
      <c r="H2354" s="142" t="s">
        <v>52</v>
      </c>
      <c r="I2354" s="143" t="s">
        <v>2927</v>
      </c>
      <c r="J2354" s="143" t="s">
        <v>104</v>
      </c>
      <c r="K2354" s="144"/>
      <c r="L2354" s="145"/>
      <c r="M2354" s="144"/>
    </row>
    <row r="2355" spans="1:13" ht="15" customHeight="1">
      <c r="A2355" s="146" t="s">
        <v>6576</v>
      </c>
      <c r="B2355" s="146">
        <v>517930</v>
      </c>
      <c r="C2355" s="147" t="s">
        <v>1337</v>
      </c>
      <c r="D2355" s="146" t="s">
        <v>6458</v>
      </c>
      <c r="E2355" s="147" t="s">
        <v>5841</v>
      </c>
      <c r="F2355" s="147" t="s">
        <v>6577</v>
      </c>
      <c r="G2355" s="146" t="s">
        <v>109</v>
      </c>
      <c r="H2355" s="146" t="s">
        <v>52</v>
      </c>
      <c r="I2355" s="147" t="s">
        <v>2927</v>
      </c>
      <c r="J2355" s="147" t="s">
        <v>104</v>
      </c>
      <c r="K2355" s="148"/>
      <c r="L2355" s="149"/>
      <c r="M2355" s="148"/>
    </row>
    <row r="2356" spans="1:13" ht="15" customHeight="1">
      <c r="A2356" s="142" t="s">
        <v>6578</v>
      </c>
      <c r="B2356" s="142">
        <v>517908</v>
      </c>
      <c r="C2356" s="143" t="s">
        <v>1323</v>
      </c>
      <c r="D2356" s="142" t="s">
        <v>6458</v>
      </c>
      <c r="E2356" s="143" t="s">
        <v>4287</v>
      </c>
      <c r="F2356" s="143" t="s">
        <v>6579</v>
      </c>
      <c r="G2356" s="142" t="s">
        <v>109</v>
      </c>
      <c r="H2356" s="142" t="s">
        <v>51</v>
      </c>
      <c r="I2356" s="143" t="s">
        <v>1539</v>
      </c>
      <c r="J2356" s="143" t="s">
        <v>104</v>
      </c>
      <c r="K2356" s="144"/>
      <c r="L2356" s="145"/>
      <c r="M2356" s="144"/>
    </row>
    <row r="2357" spans="1:13" ht="15" customHeight="1">
      <c r="A2357" s="146" t="s">
        <v>6580</v>
      </c>
      <c r="B2357" s="146">
        <v>517745</v>
      </c>
      <c r="C2357" s="147" t="s">
        <v>6581</v>
      </c>
      <c r="D2357" s="146" t="s">
        <v>6458</v>
      </c>
      <c r="E2357" s="147" t="s">
        <v>6582</v>
      </c>
      <c r="F2357" s="147" t="s">
        <v>6583</v>
      </c>
      <c r="G2357" s="146" t="s">
        <v>109</v>
      </c>
      <c r="H2357" s="146" t="s">
        <v>51</v>
      </c>
      <c r="I2357" s="147" t="s">
        <v>1539</v>
      </c>
      <c r="J2357" s="147" t="s">
        <v>104</v>
      </c>
      <c r="K2357" s="148" t="s">
        <v>121</v>
      </c>
      <c r="L2357" s="149">
        <v>46148</v>
      </c>
      <c r="M2357" s="148"/>
    </row>
    <row r="2358" spans="1:13" ht="15" customHeight="1">
      <c r="A2358" s="142" t="s">
        <v>6584</v>
      </c>
      <c r="B2358" s="142">
        <v>517755</v>
      </c>
      <c r="C2358" s="143" t="s">
        <v>6470</v>
      </c>
      <c r="D2358" s="142" t="s">
        <v>6458</v>
      </c>
      <c r="E2358" s="143" t="s">
        <v>6582</v>
      </c>
      <c r="F2358" s="143" t="s">
        <v>6585</v>
      </c>
      <c r="G2358" s="142" t="s">
        <v>109</v>
      </c>
      <c r="H2358" s="142" t="s">
        <v>51</v>
      </c>
      <c r="I2358" s="143" t="s">
        <v>1539</v>
      </c>
      <c r="J2358" s="143" t="s">
        <v>104</v>
      </c>
      <c r="K2358" s="144" t="s">
        <v>121</v>
      </c>
      <c r="L2358" s="145">
        <v>46148</v>
      </c>
      <c r="M2358" s="144"/>
    </row>
    <row r="2359" spans="1:13" ht="15" customHeight="1">
      <c r="A2359" s="146" t="s">
        <v>6586</v>
      </c>
      <c r="B2359" s="146">
        <v>517851</v>
      </c>
      <c r="C2359" s="147" t="s">
        <v>1002</v>
      </c>
      <c r="D2359" s="146" t="s">
        <v>6458</v>
      </c>
      <c r="E2359" s="147" t="s">
        <v>6458</v>
      </c>
      <c r="F2359" s="147" t="s">
        <v>6587</v>
      </c>
      <c r="G2359" s="146" t="s">
        <v>109</v>
      </c>
      <c r="H2359" s="146" t="s">
        <v>51</v>
      </c>
      <c r="I2359" s="147" t="s">
        <v>1539</v>
      </c>
      <c r="J2359" s="147" t="s">
        <v>104</v>
      </c>
      <c r="K2359" s="148"/>
      <c r="L2359" s="149"/>
      <c r="M2359" s="148"/>
    </row>
    <row r="2360" spans="1:13" ht="15" customHeight="1">
      <c r="A2360" s="142" t="s">
        <v>6588</v>
      </c>
      <c r="B2360" s="142">
        <v>517757</v>
      </c>
      <c r="C2360" s="143" t="s">
        <v>6589</v>
      </c>
      <c r="D2360" s="142" t="s">
        <v>6458</v>
      </c>
      <c r="E2360" s="143" t="s">
        <v>6458</v>
      </c>
      <c r="F2360" s="143" t="s">
        <v>6590</v>
      </c>
      <c r="G2360" s="142" t="s">
        <v>109</v>
      </c>
      <c r="H2360" s="142" t="s">
        <v>51</v>
      </c>
      <c r="I2360" s="143" t="s">
        <v>1539</v>
      </c>
      <c r="J2360" s="143" t="s">
        <v>104</v>
      </c>
      <c r="K2360" s="144" t="s">
        <v>121</v>
      </c>
      <c r="L2360" s="145">
        <v>46141</v>
      </c>
      <c r="M2360" s="144"/>
    </row>
    <row r="2361" spans="1:13" ht="15" customHeight="1">
      <c r="A2361" s="146" t="s">
        <v>6591</v>
      </c>
      <c r="B2361" s="146">
        <v>517736</v>
      </c>
      <c r="C2361" s="147" t="s">
        <v>1295</v>
      </c>
      <c r="D2361" s="146" t="s">
        <v>6458</v>
      </c>
      <c r="E2361" s="147" t="s">
        <v>6458</v>
      </c>
      <c r="F2361" s="147" t="s">
        <v>6592</v>
      </c>
      <c r="G2361" s="146" t="s">
        <v>109</v>
      </c>
      <c r="H2361" s="146" t="s">
        <v>51</v>
      </c>
      <c r="I2361" s="147" t="s">
        <v>1539</v>
      </c>
      <c r="J2361" s="147" t="s">
        <v>104</v>
      </c>
      <c r="K2361" s="148"/>
      <c r="L2361" s="149"/>
      <c r="M2361" s="148"/>
    </row>
    <row r="2362" spans="1:13" ht="15" customHeight="1">
      <c r="A2362" s="142" t="s">
        <v>6593</v>
      </c>
      <c r="B2362" s="142">
        <v>517758</v>
      </c>
      <c r="C2362" s="143" t="s">
        <v>6581</v>
      </c>
      <c r="D2362" s="142" t="s">
        <v>6458</v>
      </c>
      <c r="E2362" s="143" t="s">
        <v>6458</v>
      </c>
      <c r="F2362" s="143" t="s">
        <v>6594</v>
      </c>
      <c r="G2362" s="142" t="s">
        <v>109</v>
      </c>
      <c r="H2362" s="142" t="s">
        <v>51</v>
      </c>
      <c r="I2362" s="143" t="s">
        <v>1539</v>
      </c>
      <c r="J2362" s="143" t="s">
        <v>104</v>
      </c>
      <c r="K2362" s="144" t="s">
        <v>121</v>
      </c>
      <c r="L2362" s="145">
        <v>46150</v>
      </c>
      <c r="M2362" s="144"/>
    </row>
    <row r="2363" spans="1:13" ht="15" customHeight="1">
      <c r="A2363" s="146" t="s">
        <v>6595</v>
      </c>
      <c r="B2363" s="146">
        <v>517733</v>
      </c>
      <c r="C2363" s="147" t="s">
        <v>6155</v>
      </c>
      <c r="D2363" s="146" t="s">
        <v>6458</v>
      </c>
      <c r="E2363" s="147" t="s">
        <v>6458</v>
      </c>
      <c r="F2363" s="147" t="s">
        <v>6596</v>
      </c>
      <c r="G2363" s="146" t="s">
        <v>102</v>
      </c>
      <c r="H2363" s="146" t="s">
        <v>51</v>
      </c>
      <c r="I2363" s="147" t="s">
        <v>1539</v>
      </c>
      <c r="J2363" s="147" t="s">
        <v>104</v>
      </c>
      <c r="K2363" s="148"/>
      <c r="L2363" s="149"/>
      <c r="M2363" s="148"/>
    </row>
    <row r="2364" spans="1:13" ht="15" customHeight="1">
      <c r="A2364" s="142" t="s">
        <v>6597</v>
      </c>
      <c r="B2364" s="142">
        <v>517742</v>
      </c>
      <c r="C2364" s="143" t="s">
        <v>348</v>
      </c>
      <c r="D2364" s="142" t="s">
        <v>6458</v>
      </c>
      <c r="E2364" s="143" t="s">
        <v>6458</v>
      </c>
      <c r="F2364" s="143" t="s">
        <v>6598</v>
      </c>
      <c r="G2364" s="142" t="s">
        <v>109</v>
      </c>
      <c r="H2364" s="142" t="s">
        <v>51</v>
      </c>
      <c r="I2364" s="143" t="s">
        <v>1539</v>
      </c>
      <c r="J2364" s="143" t="s">
        <v>104</v>
      </c>
      <c r="K2364" s="144"/>
      <c r="L2364" s="145"/>
      <c r="M2364" s="144"/>
    </row>
    <row r="2365" spans="1:13" ht="15" customHeight="1">
      <c r="A2365" s="146" t="s">
        <v>6599</v>
      </c>
      <c r="B2365" s="146">
        <v>517748</v>
      </c>
      <c r="C2365" s="147" t="s">
        <v>6473</v>
      </c>
      <c r="D2365" s="146" t="s">
        <v>6458</v>
      </c>
      <c r="E2365" s="147" t="s">
        <v>6458</v>
      </c>
      <c r="F2365" s="147" t="s">
        <v>6600</v>
      </c>
      <c r="G2365" s="146" t="s">
        <v>109</v>
      </c>
      <c r="H2365" s="146" t="s">
        <v>51</v>
      </c>
      <c r="I2365" s="147" t="s">
        <v>1539</v>
      </c>
      <c r="J2365" s="147" t="s">
        <v>104</v>
      </c>
      <c r="K2365" s="148"/>
      <c r="L2365" s="149"/>
      <c r="M2365" s="148"/>
    </row>
    <row r="2366" spans="1:13" ht="15" customHeight="1">
      <c r="A2366" s="142" t="s">
        <v>6601</v>
      </c>
      <c r="B2366" s="142">
        <v>517735</v>
      </c>
      <c r="C2366" s="143" t="s">
        <v>6602</v>
      </c>
      <c r="D2366" s="142" t="s">
        <v>6458</v>
      </c>
      <c r="E2366" s="143" t="s">
        <v>6458</v>
      </c>
      <c r="F2366" s="143" t="s">
        <v>6603</v>
      </c>
      <c r="G2366" s="142" t="s">
        <v>109</v>
      </c>
      <c r="H2366" s="142" t="s">
        <v>51</v>
      </c>
      <c r="I2366" s="143" t="s">
        <v>1539</v>
      </c>
      <c r="J2366" s="143" t="s">
        <v>104</v>
      </c>
      <c r="K2366" s="144" t="s">
        <v>121</v>
      </c>
      <c r="L2366" s="145">
        <v>46148</v>
      </c>
      <c r="M2366" s="144"/>
    </row>
    <row r="2367" spans="1:13" ht="15" customHeight="1">
      <c r="A2367" s="146" t="s">
        <v>6604</v>
      </c>
      <c r="B2367" s="146">
        <v>517770</v>
      </c>
      <c r="C2367" s="147" t="s">
        <v>437</v>
      </c>
      <c r="D2367" s="146" t="s">
        <v>6458</v>
      </c>
      <c r="E2367" s="147" t="s">
        <v>6605</v>
      </c>
      <c r="F2367" s="147" t="s">
        <v>6606</v>
      </c>
      <c r="G2367" s="146" t="s">
        <v>109</v>
      </c>
      <c r="H2367" s="146" t="s">
        <v>51</v>
      </c>
      <c r="I2367" s="147" t="s">
        <v>1539</v>
      </c>
      <c r="J2367" s="147" t="s">
        <v>104</v>
      </c>
      <c r="K2367" s="148"/>
      <c r="L2367" s="149"/>
      <c r="M2367" s="148"/>
    </row>
    <row r="2368" spans="1:13" ht="15" customHeight="1">
      <c r="A2368" s="142" t="s">
        <v>6607</v>
      </c>
      <c r="B2368" s="142">
        <v>517960</v>
      </c>
      <c r="C2368" s="143" t="s">
        <v>6521</v>
      </c>
      <c r="D2368" s="142" t="s">
        <v>6458</v>
      </c>
      <c r="E2368" s="143" t="s">
        <v>6605</v>
      </c>
      <c r="F2368" s="143" t="s">
        <v>6608</v>
      </c>
      <c r="G2368" s="142" t="s">
        <v>109</v>
      </c>
      <c r="H2368" s="142" t="s">
        <v>51</v>
      </c>
      <c r="I2368" s="143" t="s">
        <v>1539</v>
      </c>
      <c r="J2368" s="143" t="s">
        <v>104</v>
      </c>
      <c r="K2368" s="144"/>
      <c r="L2368" s="145"/>
      <c r="M2368" s="144"/>
    </row>
    <row r="2369" spans="1:13" ht="15" customHeight="1">
      <c r="A2369" s="146" t="s">
        <v>6609</v>
      </c>
      <c r="B2369" s="146">
        <v>517955</v>
      </c>
      <c r="C2369" s="147" t="s">
        <v>1123</v>
      </c>
      <c r="D2369" s="146" t="s">
        <v>6458</v>
      </c>
      <c r="E2369" s="147" t="s">
        <v>438</v>
      </c>
      <c r="F2369" s="147" t="s">
        <v>6610</v>
      </c>
      <c r="G2369" s="146" t="s">
        <v>109</v>
      </c>
      <c r="H2369" s="146" t="s">
        <v>51</v>
      </c>
      <c r="I2369" s="147" t="s">
        <v>1539</v>
      </c>
      <c r="J2369" s="147" t="s">
        <v>104</v>
      </c>
      <c r="K2369" s="148"/>
      <c r="L2369" s="149"/>
      <c r="M2369" s="148"/>
    </row>
    <row r="2370" spans="1:13" ht="15" customHeight="1">
      <c r="A2370" s="142" t="s">
        <v>6611</v>
      </c>
      <c r="B2370" s="142">
        <v>517962</v>
      </c>
      <c r="C2370" s="143" t="s">
        <v>5051</v>
      </c>
      <c r="D2370" s="142" t="s">
        <v>6458</v>
      </c>
      <c r="E2370" s="143" t="s">
        <v>6485</v>
      </c>
      <c r="F2370" s="143" t="s">
        <v>6612</v>
      </c>
      <c r="G2370" s="142" t="s">
        <v>109</v>
      </c>
      <c r="H2370" s="142" t="s">
        <v>51</v>
      </c>
      <c r="I2370" s="143" t="s">
        <v>1539</v>
      </c>
      <c r="J2370" s="143" t="s">
        <v>104</v>
      </c>
      <c r="K2370" s="144"/>
      <c r="L2370" s="145"/>
      <c r="M2370" s="144"/>
    </row>
    <row r="2371" spans="1:13" ht="15" customHeight="1">
      <c r="A2371" s="146" t="s">
        <v>6613</v>
      </c>
      <c r="B2371" s="146">
        <v>517941</v>
      </c>
      <c r="C2371" s="147" t="s">
        <v>4751</v>
      </c>
      <c r="D2371" s="146" t="s">
        <v>6458</v>
      </c>
      <c r="E2371" s="147" t="s">
        <v>6614</v>
      </c>
      <c r="F2371" s="147" t="s">
        <v>6615</v>
      </c>
      <c r="G2371" s="146" t="s">
        <v>109</v>
      </c>
      <c r="H2371" s="146" t="s">
        <v>51</v>
      </c>
      <c r="I2371" s="147" t="s">
        <v>1539</v>
      </c>
      <c r="J2371" s="147" t="s">
        <v>104</v>
      </c>
      <c r="K2371" s="148"/>
      <c r="L2371" s="149"/>
      <c r="M2371" s="148"/>
    </row>
    <row r="2372" spans="1:13" ht="15" customHeight="1">
      <c r="A2372" s="142" t="s">
        <v>6616</v>
      </c>
      <c r="B2372" s="142">
        <v>517768</v>
      </c>
      <c r="C2372" s="143" t="s">
        <v>1086</v>
      </c>
      <c r="D2372" s="142" t="s">
        <v>6458</v>
      </c>
      <c r="E2372" s="143" t="s">
        <v>6516</v>
      </c>
      <c r="F2372" s="143" t="s">
        <v>6617</v>
      </c>
      <c r="G2372" s="142" t="s">
        <v>109</v>
      </c>
      <c r="H2372" s="142" t="s">
        <v>51</v>
      </c>
      <c r="I2372" s="143" t="s">
        <v>1539</v>
      </c>
      <c r="J2372" s="143" t="s">
        <v>104</v>
      </c>
      <c r="K2372" s="144" t="s">
        <v>121</v>
      </c>
      <c r="L2372" s="145">
        <v>46149</v>
      </c>
      <c r="M2372" s="144"/>
    </row>
    <row r="2373" spans="1:13" ht="15" customHeight="1">
      <c r="A2373" s="146" t="s">
        <v>6618</v>
      </c>
      <c r="B2373" s="146">
        <v>517943</v>
      </c>
      <c r="C2373" s="147" t="s">
        <v>6470</v>
      </c>
      <c r="D2373" s="146" t="s">
        <v>6458</v>
      </c>
      <c r="E2373" s="147" t="s">
        <v>6605</v>
      </c>
      <c r="F2373" s="147" t="s">
        <v>6619</v>
      </c>
      <c r="G2373" s="146" t="s">
        <v>109</v>
      </c>
      <c r="H2373" s="146" t="s">
        <v>51</v>
      </c>
      <c r="I2373" s="147" t="s">
        <v>1539</v>
      </c>
      <c r="J2373" s="147" t="s">
        <v>104</v>
      </c>
      <c r="K2373" s="148"/>
      <c r="L2373" s="149"/>
      <c r="M2373" s="148"/>
    </row>
    <row r="2374" spans="1:13" ht="15" customHeight="1">
      <c r="A2374" s="142" t="s">
        <v>6620</v>
      </c>
      <c r="B2374" s="142">
        <v>517894</v>
      </c>
      <c r="C2374" s="143" t="s">
        <v>254</v>
      </c>
      <c r="D2374" s="142" t="s">
        <v>6458</v>
      </c>
      <c r="E2374" s="143" t="s">
        <v>1120</v>
      </c>
      <c r="F2374" s="143" t="s">
        <v>1790</v>
      </c>
      <c r="G2374" s="142" t="s">
        <v>109</v>
      </c>
      <c r="H2374" s="142" t="s">
        <v>51</v>
      </c>
      <c r="I2374" s="143" t="s">
        <v>1539</v>
      </c>
      <c r="J2374" s="143" t="s">
        <v>104</v>
      </c>
      <c r="K2374" s="144"/>
      <c r="L2374" s="145"/>
      <c r="M2374" s="144"/>
    </row>
    <row r="2375" spans="1:13" ht="15" customHeight="1">
      <c r="A2375" s="146" t="s">
        <v>6621</v>
      </c>
      <c r="B2375" s="146">
        <v>517896</v>
      </c>
      <c r="C2375" s="147" t="s">
        <v>1123</v>
      </c>
      <c r="D2375" s="146" t="s">
        <v>6458</v>
      </c>
      <c r="E2375" s="147" t="s">
        <v>6622</v>
      </c>
      <c r="F2375" s="147" t="s">
        <v>6623</v>
      </c>
      <c r="G2375" s="146" t="s">
        <v>109</v>
      </c>
      <c r="H2375" s="146" t="s">
        <v>51</v>
      </c>
      <c r="I2375" s="147" t="s">
        <v>1539</v>
      </c>
      <c r="J2375" s="147" t="s">
        <v>104</v>
      </c>
      <c r="K2375" s="148"/>
      <c r="L2375" s="149"/>
      <c r="M2375" s="148"/>
    </row>
    <row r="2376" spans="1:13" ht="15" customHeight="1">
      <c r="A2376" s="142" t="s">
        <v>6624</v>
      </c>
      <c r="B2376" s="142">
        <v>517945</v>
      </c>
      <c r="C2376" s="143" t="s">
        <v>6625</v>
      </c>
      <c r="D2376" s="142" t="s">
        <v>6458</v>
      </c>
      <c r="E2376" s="143" t="s">
        <v>6477</v>
      </c>
      <c r="F2376" s="143" t="s">
        <v>6626</v>
      </c>
      <c r="G2376" s="142" t="s">
        <v>109</v>
      </c>
      <c r="H2376" s="142" t="s">
        <v>51</v>
      </c>
      <c r="I2376" s="143" t="s">
        <v>1539</v>
      </c>
      <c r="J2376" s="143" t="s">
        <v>104</v>
      </c>
      <c r="K2376" s="144"/>
      <c r="L2376" s="145"/>
      <c r="M2376" s="144"/>
    </row>
    <row r="2377" spans="1:13" ht="15" customHeight="1">
      <c r="A2377" s="146" t="s">
        <v>6627</v>
      </c>
      <c r="B2377" s="146">
        <v>517754</v>
      </c>
      <c r="C2377" s="147" t="s">
        <v>6461</v>
      </c>
      <c r="D2377" s="146" t="s">
        <v>6458</v>
      </c>
      <c r="E2377" s="147" t="s">
        <v>6458</v>
      </c>
      <c r="F2377" s="147" t="s">
        <v>6628</v>
      </c>
      <c r="G2377" s="146" t="s">
        <v>109</v>
      </c>
      <c r="H2377" s="146" t="s">
        <v>51</v>
      </c>
      <c r="I2377" s="147" t="s">
        <v>1539</v>
      </c>
      <c r="J2377" s="147" t="s">
        <v>104</v>
      </c>
      <c r="K2377" s="148"/>
      <c r="L2377" s="149"/>
      <c r="M2377" s="148"/>
    </row>
    <row r="2378" spans="1:13" ht="15" customHeight="1">
      <c r="A2378" s="142" t="s">
        <v>6629</v>
      </c>
      <c r="B2378" s="142">
        <v>517840</v>
      </c>
      <c r="C2378" s="143" t="s">
        <v>6630</v>
      </c>
      <c r="D2378" s="142" t="s">
        <v>6458</v>
      </c>
      <c r="E2378" s="143" t="s">
        <v>6474</v>
      </c>
      <c r="F2378" s="143" t="s">
        <v>6631</v>
      </c>
      <c r="G2378" s="142" t="s">
        <v>109</v>
      </c>
      <c r="H2378" s="142" t="s">
        <v>51</v>
      </c>
      <c r="I2378" s="143" t="s">
        <v>1539</v>
      </c>
      <c r="J2378" s="143" t="s">
        <v>104</v>
      </c>
      <c r="K2378" s="144"/>
      <c r="L2378" s="145"/>
      <c r="M2378" s="144"/>
    </row>
    <row r="2379" spans="1:13" ht="15" customHeight="1">
      <c r="A2379" s="146" t="s">
        <v>6632</v>
      </c>
      <c r="B2379" s="146">
        <v>517886</v>
      </c>
      <c r="C2379" s="147" t="s">
        <v>6502</v>
      </c>
      <c r="D2379" s="146" t="s">
        <v>6458</v>
      </c>
      <c r="E2379" s="147" t="s">
        <v>6534</v>
      </c>
      <c r="F2379" s="147" t="s">
        <v>6633</v>
      </c>
      <c r="G2379" s="146" t="s">
        <v>109</v>
      </c>
      <c r="H2379" s="146" t="s">
        <v>51</v>
      </c>
      <c r="I2379" s="147" t="s">
        <v>1539</v>
      </c>
      <c r="J2379" s="147" t="s">
        <v>104</v>
      </c>
      <c r="K2379" s="148"/>
      <c r="L2379" s="149"/>
      <c r="M2379" s="148"/>
    </row>
    <row r="2380" spans="1:13" ht="15" customHeight="1">
      <c r="A2380" s="142" t="s">
        <v>6634</v>
      </c>
      <c r="B2380" s="142">
        <v>517879</v>
      </c>
      <c r="C2380" s="143" t="s">
        <v>6473</v>
      </c>
      <c r="D2380" s="142" t="s">
        <v>6458</v>
      </c>
      <c r="E2380" s="143" t="s">
        <v>6635</v>
      </c>
      <c r="F2380" s="143" t="s">
        <v>1215</v>
      </c>
      <c r="G2380" s="142" t="s">
        <v>109</v>
      </c>
      <c r="H2380" s="142" t="s">
        <v>51</v>
      </c>
      <c r="I2380" s="143" t="s">
        <v>1539</v>
      </c>
      <c r="J2380" s="143" t="s">
        <v>104</v>
      </c>
      <c r="K2380" s="144"/>
      <c r="L2380" s="145"/>
      <c r="M2380" s="144"/>
    </row>
    <row r="2381" spans="1:13" ht="15" customHeight="1">
      <c r="A2381" s="146" t="s">
        <v>6636</v>
      </c>
      <c r="B2381" s="146">
        <v>517772</v>
      </c>
      <c r="C2381" s="147" t="s">
        <v>6637</v>
      </c>
      <c r="D2381" s="146" t="s">
        <v>6458</v>
      </c>
      <c r="E2381" s="147" t="s">
        <v>6563</v>
      </c>
      <c r="F2381" s="147" t="s">
        <v>2813</v>
      </c>
      <c r="G2381" s="146" t="s">
        <v>109</v>
      </c>
      <c r="H2381" s="146" t="s">
        <v>51</v>
      </c>
      <c r="I2381" s="147" t="s">
        <v>1539</v>
      </c>
      <c r="J2381" s="147" t="s">
        <v>104</v>
      </c>
      <c r="K2381" s="148"/>
      <c r="L2381" s="149"/>
      <c r="M2381" s="148"/>
    </row>
    <row r="2382" spans="1:13" ht="15" customHeight="1">
      <c r="A2382" s="142" t="s">
        <v>6638</v>
      </c>
      <c r="B2382" s="142">
        <v>517846</v>
      </c>
      <c r="C2382" s="143" t="s">
        <v>6639</v>
      </c>
      <c r="D2382" s="142" t="s">
        <v>6458</v>
      </c>
      <c r="E2382" s="143" t="s">
        <v>6458</v>
      </c>
      <c r="F2382" s="143" t="s">
        <v>6640</v>
      </c>
      <c r="G2382" s="142" t="s">
        <v>109</v>
      </c>
      <c r="H2382" s="142" t="s">
        <v>51</v>
      </c>
      <c r="I2382" s="143" t="s">
        <v>1539</v>
      </c>
      <c r="J2382" s="143" t="s">
        <v>104</v>
      </c>
      <c r="K2382" s="144" t="s">
        <v>121</v>
      </c>
      <c r="L2382" s="145">
        <v>46150</v>
      </c>
      <c r="M2382" s="144"/>
    </row>
    <row r="2383" spans="1:13" ht="15" customHeight="1">
      <c r="A2383" s="146" t="s">
        <v>6641</v>
      </c>
      <c r="B2383" s="146">
        <v>517921</v>
      </c>
      <c r="C2383" s="147" t="s">
        <v>1215</v>
      </c>
      <c r="D2383" s="146" t="s">
        <v>6458</v>
      </c>
      <c r="E2383" s="147" t="s">
        <v>6543</v>
      </c>
      <c r="F2383" s="147" t="s">
        <v>127</v>
      </c>
      <c r="G2383" s="146" t="s">
        <v>109</v>
      </c>
      <c r="H2383" s="146" t="s">
        <v>51</v>
      </c>
      <c r="I2383" s="147" t="s">
        <v>1539</v>
      </c>
      <c r="J2383" s="147" t="s">
        <v>104</v>
      </c>
      <c r="K2383" s="148"/>
      <c r="L2383" s="149"/>
      <c r="M2383" s="148"/>
    </row>
    <row r="2384" spans="1:13" ht="15" customHeight="1">
      <c r="A2384" s="142" t="s">
        <v>6642</v>
      </c>
      <c r="B2384" s="142">
        <v>517841</v>
      </c>
      <c r="C2384" s="143" t="s">
        <v>1348</v>
      </c>
      <c r="D2384" s="142" t="s">
        <v>6458</v>
      </c>
      <c r="E2384" s="143" t="s">
        <v>6458</v>
      </c>
      <c r="F2384" s="143" t="s">
        <v>6643</v>
      </c>
      <c r="G2384" s="142" t="s">
        <v>109</v>
      </c>
      <c r="H2384" s="142" t="s">
        <v>51</v>
      </c>
      <c r="I2384" s="143" t="s">
        <v>1539</v>
      </c>
      <c r="J2384" s="143" t="s">
        <v>104</v>
      </c>
      <c r="K2384" s="144"/>
      <c r="L2384" s="145"/>
      <c r="M2384" s="144"/>
    </row>
    <row r="2385" spans="1:13" ht="15" customHeight="1">
      <c r="A2385" s="146" t="s">
        <v>6644</v>
      </c>
      <c r="B2385" s="146">
        <v>517867</v>
      </c>
      <c r="C2385" s="147" t="s">
        <v>725</v>
      </c>
      <c r="D2385" s="146" t="s">
        <v>6458</v>
      </c>
      <c r="E2385" s="147" t="s">
        <v>6458</v>
      </c>
      <c r="F2385" s="147" t="s">
        <v>6645</v>
      </c>
      <c r="G2385" s="146" t="s">
        <v>109</v>
      </c>
      <c r="H2385" s="146" t="s">
        <v>51</v>
      </c>
      <c r="I2385" s="147" t="s">
        <v>1539</v>
      </c>
      <c r="J2385" s="147" t="s">
        <v>104</v>
      </c>
      <c r="K2385" s="148" t="s">
        <v>121</v>
      </c>
      <c r="L2385" s="149">
        <v>46140</v>
      </c>
      <c r="M2385" s="148"/>
    </row>
    <row r="2386" spans="1:13" ht="15" customHeight="1">
      <c r="A2386" s="142" t="s">
        <v>6646</v>
      </c>
      <c r="B2386" s="142">
        <v>517957</v>
      </c>
      <c r="C2386" s="143" t="s">
        <v>2554</v>
      </c>
      <c r="D2386" s="142" t="s">
        <v>6458</v>
      </c>
      <c r="E2386" s="143" t="s">
        <v>6516</v>
      </c>
      <c r="F2386" s="143" t="s">
        <v>6647</v>
      </c>
      <c r="G2386" s="142" t="s">
        <v>109</v>
      </c>
      <c r="H2386" s="142" t="s">
        <v>51</v>
      </c>
      <c r="I2386" s="143" t="s">
        <v>1539</v>
      </c>
      <c r="J2386" s="143" t="s">
        <v>104</v>
      </c>
      <c r="K2386" s="144" t="s">
        <v>121</v>
      </c>
      <c r="L2386" s="145">
        <v>46149</v>
      </c>
      <c r="M2386" s="144"/>
    </row>
    <row r="2387" spans="1:13" ht="15" customHeight="1">
      <c r="A2387" s="146" t="s">
        <v>6648</v>
      </c>
      <c r="B2387" s="146">
        <v>517937</v>
      </c>
      <c r="C2387" s="147" t="s">
        <v>6649</v>
      </c>
      <c r="D2387" s="146" t="s">
        <v>6458</v>
      </c>
      <c r="E2387" s="147" t="s">
        <v>4041</v>
      </c>
      <c r="F2387" s="147" t="s">
        <v>6650</v>
      </c>
      <c r="G2387" s="146" t="s">
        <v>109</v>
      </c>
      <c r="H2387" s="146" t="s">
        <v>51</v>
      </c>
      <c r="I2387" s="147" t="s">
        <v>1539</v>
      </c>
      <c r="J2387" s="147" t="s">
        <v>104</v>
      </c>
      <c r="K2387" s="148"/>
      <c r="L2387" s="149"/>
      <c r="M2387" s="148"/>
    </row>
    <row r="2388" spans="1:13" ht="15" customHeight="1">
      <c r="A2388" s="142" t="s">
        <v>6651</v>
      </c>
      <c r="B2388" s="142">
        <v>517762</v>
      </c>
      <c r="C2388" s="143" t="s">
        <v>5967</v>
      </c>
      <c r="D2388" s="142" t="s">
        <v>6458</v>
      </c>
      <c r="E2388" s="143" t="s">
        <v>6513</v>
      </c>
      <c r="F2388" s="143" t="s">
        <v>6652</v>
      </c>
      <c r="G2388" s="142" t="s">
        <v>109</v>
      </c>
      <c r="H2388" s="142" t="s">
        <v>51</v>
      </c>
      <c r="I2388" s="143" t="s">
        <v>1539</v>
      </c>
      <c r="J2388" s="143" t="s">
        <v>104</v>
      </c>
      <c r="K2388" s="144"/>
      <c r="L2388" s="145"/>
      <c r="M2388" s="144"/>
    </row>
    <row r="2389" spans="1:13" ht="15" customHeight="1">
      <c r="A2389" s="146" t="s">
        <v>6653</v>
      </c>
      <c r="B2389" s="146">
        <v>517946</v>
      </c>
      <c r="C2389" s="147" t="s">
        <v>1445</v>
      </c>
      <c r="D2389" s="146" t="s">
        <v>6458</v>
      </c>
      <c r="E2389" s="147" t="s">
        <v>6477</v>
      </c>
      <c r="F2389" s="147" t="s">
        <v>5006</v>
      </c>
      <c r="G2389" s="146" t="s">
        <v>109</v>
      </c>
      <c r="H2389" s="146" t="s">
        <v>51</v>
      </c>
      <c r="I2389" s="147" t="s">
        <v>1539</v>
      </c>
      <c r="J2389" s="147" t="s">
        <v>104</v>
      </c>
      <c r="K2389" s="148"/>
      <c r="L2389" s="149"/>
      <c r="M2389" s="148"/>
    </row>
    <row r="2390" spans="1:13" ht="15" customHeight="1">
      <c r="A2390" s="142" t="s">
        <v>6654</v>
      </c>
      <c r="B2390" s="142">
        <v>517880</v>
      </c>
      <c r="C2390" s="143" t="s">
        <v>6655</v>
      </c>
      <c r="D2390" s="142" t="s">
        <v>6458</v>
      </c>
      <c r="E2390" s="143" t="s">
        <v>6635</v>
      </c>
      <c r="F2390" s="143" t="s">
        <v>6656</v>
      </c>
      <c r="G2390" s="142" t="s">
        <v>109</v>
      </c>
      <c r="H2390" s="142" t="s">
        <v>51</v>
      </c>
      <c r="I2390" s="143" t="s">
        <v>1539</v>
      </c>
      <c r="J2390" s="143" t="s">
        <v>104</v>
      </c>
      <c r="K2390" s="144"/>
      <c r="L2390" s="145"/>
      <c r="M2390" s="144"/>
    </row>
    <row r="2391" spans="1:13" ht="15" customHeight="1">
      <c r="A2391" s="146" t="s">
        <v>6657</v>
      </c>
      <c r="B2391" s="146">
        <v>517948</v>
      </c>
      <c r="C2391" s="147" t="s">
        <v>1215</v>
      </c>
      <c r="D2391" s="146" t="s">
        <v>6458</v>
      </c>
      <c r="E2391" s="147" t="s">
        <v>6550</v>
      </c>
      <c r="F2391" s="147" t="s">
        <v>6658</v>
      </c>
      <c r="G2391" s="146" t="s">
        <v>109</v>
      </c>
      <c r="H2391" s="146" t="s">
        <v>51</v>
      </c>
      <c r="I2391" s="147" t="s">
        <v>1539</v>
      </c>
      <c r="J2391" s="147" t="s">
        <v>104</v>
      </c>
      <c r="K2391" s="148"/>
      <c r="L2391" s="149"/>
      <c r="M2391" s="148"/>
    </row>
    <row r="2392" spans="1:13" ht="15" customHeight="1">
      <c r="A2392" s="142" t="s">
        <v>6659</v>
      </c>
      <c r="B2392" s="142">
        <v>517832</v>
      </c>
      <c r="C2392" s="143" t="s">
        <v>6660</v>
      </c>
      <c r="D2392" s="142" t="s">
        <v>6458</v>
      </c>
      <c r="E2392" s="143" t="s">
        <v>6550</v>
      </c>
      <c r="F2392" s="143" t="s">
        <v>6661</v>
      </c>
      <c r="G2392" s="142" t="s">
        <v>109</v>
      </c>
      <c r="H2392" s="142" t="s">
        <v>51</v>
      </c>
      <c r="I2392" s="143" t="s">
        <v>1539</v>
      </c>
      <c r="J2392" s="143" t="s">
        <v>104</v>
      </c>
      <c r="K2392" s="144"/>
      <c r="L2392" s="145"/>
      <c r="M2392" s="144"/>
    </row>
    <row r="2393" spans="1:13" ht="15" customHeight="1">
      <c r="A2393" s="146" t="s">
        <v>6662</v>
      </c>
      <c r="B2393" s="146">
        <v>517870</v>
      </c>
      <c r="C2393" s="147" t="s">
        <v>6470</v>
      </c>
      <c r="D2393" s="146" t="s">
        <v>6458</v>
      </c>
      <c r="E2393" s="147" t="s">
        <v>5841</v>
      </c>
      <c r="F2393" s="147" t="s">
        <v>6663</v>
      </c>
      <c r="G2393" s="146" t="s">
        <v>109</v>
      </c>
      <c r="H2393" s="146" t="s">
        <v>52</v>
      </c>
      <c r="I2393" s="147" t="s">
        <v>2927</v>
      </c>
      <c r="J2393" s="147" t="s">
        <v>104</v>
      </c>
      <c r="K2393" s="148"/>
      <c r="L2393" s="149"/>
      <c r="M2393" s="148"/>
    </row>
    <row r="2394" spans="1:13" ht="15" customHeight="1">
      <c r="A2394" s="142" t="s">
        <v>6664</v>
      </c>
      <c r="B2394" s="142">
        <v>517718</v>
      </c>
      <c r="C2394" s="143" t="s">
        <v>6467</v>
      </c>
      <c r="D2394" s="142" t="s">
        <v>6458</v>
      </c>
      <c r="E2394" s="143" t="s">
        <v>6458</v>
      </c>
      <c r="F2394" s="143" t="s">
        <v>6458</v>
      </c>
      <c r="G2394" s="142" t="s">
        <v>102</v>
      </c>
      <c r="H2394" s="142" t="s">
        <v>51</v>
      </c>
      <c r="I2394" s="143" t="s">
        <v>1539</v>
      </c>
      <c r="J2394" s="143" t="s">
        <v>104</v>
      </c>
      <c r="K2394" s="144" t="s">
        <v>121</v>
      </c>
      <c r="L2394" s="145">
        <v>46148</v>
      </c>
      <c r="M2394" s="144"/>
    </row>
    <row r="2395" spans="1:13" ht="15" customHeight="1">
      <c r="A2395" s="146" t="s">
        <v>6665</v>
      </c>
      <c r="B2395" s="146">
        <v>517963</v>
      </c>
      <c r="C2395" s="147" t="s">
        <v>6666</v>
      </c>
      <c r="D2395" s="146" t="s">
        <v>6458</v>
      </c>
      <c r="E2395" s="147" t="s">
        <v>438</v>
      </c>
      <c r="F2395" s="147" t="s">
        <v>3167</v>
      </c>
      <c r="G2395" s="146" t="s">
        <v>109</v>
      </c>
      <c r="H2395" s="146" t="s">
        <v>51</v>
      </c>
      <c r="I2395" s="147" t="s">
        <v>1539</v>
      </c>
      <c r="J2395" s="147" t="s">
        <v>104</v>
      </c>
      <c r="K2395" s="148"/>
      <c r="L2395" s="149"/>
      <c r="M2395" s="148"/>
    </row>
    <row r="2396" spans="1:13" ht="15" customHeight="1">
      <c r="A2396" s="142" t="s">
        <v>6667</v>
      </c>
      <c r="B2396" s="142">
        <v>517824</v>
      </c>
      <c r="C2396" s="143" t="s">
        <v>6668</v>
      </c>
      <c r="D2396" s="142" t="s">
        <v>6458</v>
      </c>
      <c r="E2396" s="143" t="s">
        <v>4041</v>
      </c>
      <c r="F2396" s="143" t="s">
        <v>6669</v>
      </c>
      <c r="G2396" s="142" t="s">
        <v>109</v>
      </c>
      <c r="H2396" s="142" t="s">
        <v>51</v>
      </c>
      <c r="I2396" s="143" t="s">
        <v>1539</v>
      </c>
      <c r="J2396" s="143" t="s">
        <v>104</v>
      </c>
      <c r="K2396" s="144"/>
      <c r="L2396" s="145"/>
      <c r="M2396" s="144"/>
    </row>
    <row r="2397" spans="1:13" ht="15" customHeight="1">
      <c r="A2397" s="146" t="s">
        <v>6670</v>
      </c>
      <c r="B2397" s="146">
        <v>517739</v>
      </c>
      <c r="C2397" s="147" t="s">
        <v>1086</v>
      </c>
      <c r="D2397" s="146" t="s">
        <v>6458</v>
      </c>
      <c r="E2397" s="147" t="s">
        <v>6582</v>
      </c>
      <c r="F2397" s="147" t="s">
        <v>5396</v>
      </c>
      <c r="G2397" s="146" t="s">
        <v>109</v>
      </c>
      <c r="H2397" s="146" t="s">
        <v>51</v>
      </c>
      <c r="I2397" s="147" t="s">
        <v>1539</v>
      </c>
      <c r="J2397" s="147" t="s">
        <v>104</v>
      </c>
      <c r="K2397" s="148" t="s">
        <v>121</v>
      </c>
      <c r="L2397" s="149">
        <v>46148</v>
      </c>
      <c r="M2397" s="148"/>
    </row>
    <row r="2398" spans="1:13" ht="15" customHeight="1">
      <c r="A2398" s="142" t="s">
        <v>6671</v>
      </c>
      <c r="B2398" s="142">
        <v>517881</v>
      </c>
      <c r="C2398" s="143" t="s">
        <v>6672</v>
      </c>
      <c r="D2398" s="142" t="s">
        <v>6458</v>
      </c>
      <c r="E2398" s="143" t="s">
        <v>6635</v>
      </c>
      <c r="F2398" s="143" t="s">
        <v>332</v>
      </c>
      <c r="G2398" s="142" t="s">
        <v>109</v>
      </c>
      <c r="H2398" s="142" t="s">
        <v>51</v>
      </c>
      <c r="I2398" s="143" t="s">
        <v>1539</v>
      </c>
      <c r="J2398" s="143" t="s">
        <v>104</v>
      </c>
      <c r="K2398" s="144"/>
      <c r="L2398" s="145"/>
      <c r="M2398" s="144"/>
    </row>
    <row r="2399" spans="1:13" ht="15" customHeight="1">
      <c r="A2399" s="146" t="s">
        <v>6673</v>
      </c>
      <c r="B2399" s="146">
        <v>517734</v>
      </c>
      <c r="C2399" s="147" t="s">
        <v>6674</v>
      </c>
      <c r="D2399" s="146" t="s">
        <v>6458</v>
      </c>
      <c r="E2399" s="147" t="s">
        <v>6582</v>
      </c>
      <c r="F2399" s="147" t="s">
        <v>6582</v>
      </c>
      <c r="G2399" s="146" t="s">
        <v>102</v>
      </c>
      <c r="H2399" s="146" t="s">
        <v>51</v>
      </c>
      <c r="I2399" s="147" t="s">
        <v>1539</v>
      </c>
      <c r="J2399" s="147" t="s">
        <v>104</v>
      </c>
      <c r="K2399" s="148" t="s">
        <v>121</v>
      </c>
      <c r="L2399" s="149">
        <v>46148</v>
      </c>
      <c r="M2399" s="148"/>
    </row>
    <row r="2400" spans="1:13" ht="15" customHeight="1">
      <c r="A2400" s="142" t="s">
        <v>6675</v>
      </c>
      <c r="B2400" s="142">
        <v>517839</v>
      </c>
      <c r="C2400" s="143" t="s">
        <v>2621</v>
      </c>
      <c r="D2400" s="142" t="s">
        <v>6458</v>
      </c>
      <c r="E2400" s="143" t="s">
        <v>4041</v>
      </c>
      <c r="F2400" s="143" t="s">
        <v>6676</v>
      </c>
      <c r="G2400" s="142" t="s">
        <v>109</v>
      </c>
      <c r="H2400" s="142" t="s">
        <v>51</v>
      </c>
      <c r="I2400" s="143" t="s">
        <v>1539</v>
      </c>
      <c r="J2400" s="143" t="s">
        <v>104</v>
      </c>
      <c r="K2400" s="144"/>
      <c r="L2400" s="145"/>
      <c r="M2400" s="144"/>
    </row>
    <row r="2401" spans="1:13" ht="15" customHeight="1">
      <c r="A2401" s="146" t="s">
        <v>6677</v>
      </c>
      <c r="B2401" s="146">
        <v>517804</v>
      </c>
      <c r="C2401" s="147" t="s">
        <v>6678</v>
      </c>
      <c r="D2401" s="146" t="s">
        <v>6458</v>
      </c>
      <c r="E2401" s="147" t="s">
        <v>6582</v>
      </c>
      <c r="F2401" s="147" t="s">
        <v>6582</v>
      </c>
      <c r="G2401" s="146" t="s">
        <v>102</v>
      </c>
      <c r="H2401" s="146" t="s">
        <v>51</v>
      </c>
      <c r="I2401" s="147" t="s">
        <v>1539</v>
      </c>
      <c r="J2401" s="147" t="s">
        <v>104</v>
      </c>
      <c r="K2401" s="148" t="s">
        <v>121</v>
      </c>
      <c r="L2401" s="149">
        <v>46148</v>
      </c>
      <c r="M2401" s="148"/>
    </row>
    <row r="2402" spans="1:13" ht="15" customHeight="1">
      <c r="A2402" s="142" t="s">
        <v>6679</v>
      </c>
      <c r="B2402" s="142">
        <v>517756</v>
      </c>
      <c r="C2402" s="143" t="s">
        <v>3597</v>
      </c>
      <c r="D2402" s="142" t="s">
        <v>6458</v>
      </c>
      <c r="E2402" s="143" t="s">
        <v>6516</v>
      </c>
      <c r="F2402" s="143" t="s">
        <v>6680</v>
      </c>
      <c r="G2402" s="142" t="s">
        <v>109</v>
      </c>
      <c r="H2402" s="142" t="s">
        <v>51</v>
      </c>
      <c r="I2402" s="143" t="s">
        <v>1539</v>
      </c>
      <c r="J2402" s="143" t="s">
        <v>104</v>
      </c>
      <c r="K2402" s="144" t="s">
        <v>121</v>
      </c>
      <c r="L2402" s="145">
        <v>46149</v>
      </c>
      <c r="M2402" s="144"/>
    </row>
    <row r="2403" spans="1:13" ht="15" customHeight="1">
      <c r="A2403" s="146" t="s">
        <v>6681</v>
      </c>
      <c r="B2403" s="146">
        <v>517721</v>
      </c>
      <c r="C2403" s="147" t="s">
        <v>6682</v>
      </c>
      <c r="D2403" s="146" t="s">
        <v>6458</v>
      </c>
      <c r="E2403" s="147" t="s">
        <v>6458</v>
      </c>
      <c r="F2403" s="147" t="s">
        <v>6458</v>
      </c>
      <c r="G2403" s="146" t="s">
        <v>102</v>
      </c>
      <c r="H2403" s="146" t="s">
        <v>51</v>
      </c>
      <c r="I2403" s="147" t="s">
        <v>1539</v>
      </c>
      <c r="J2403" s="147" t="s">
        <v>104</v>
      </c>
      <c r="K2403" s="148" t="s">
        <v>121</v>
      </c>
      <c r="L2403" s="149">
        <v>46150</v>
      </c>
      <c r="M2403" s="148"/>
    </row>
    <row r="2404" spans="1:13" ht="15" customHeight="1">
      <c r="A2404" s="142" t="s">
        <v>6683</v>
      </c>
      <c r="B2404" s="142">
        <v>517720</v>
      </c>
      <c r="C2404" s="143" t="s">
        <v>6457</v>
      </c>
      <c r="D2404" s="142" t="s">
        <v>6458</v>
      </c>
      <c r="E2404" s="143" t="s">
        <v>6458</v>
      </c>
      <c r="F2404" s="143" t="s">
        <v>6458</v>
      </c>
      <c r="G2404" s="142" t="s">
        <v>109</v>
      </c>
      <c r="H2404" s="142" t="s">
        <v>51</v>
      </c>
      <c r="I2404" s="143" t="s">
        <v>1539</v>
      </c>
      <c r="J2404" s="143" t="s">
        <v>104</v>
      </c>
      <c r="K2404" s="144"/>
      <c r="L2404" s="145"/>
      <c r="M2404" s="144"/>
    </row>
    <row r="2405" spans="1:13" ht="15" customHeight="1">
      <c r="A2405" s="146" t="s">
        <v>6684</v>
      </c>
      <c r="B2405" s="146">
        <v>517853</v>
      </c>
      <c r="C2405" s="147" t="s">
        <v>3540</v>
      </c>
      <c r="D2405" s="146" t="s">
        <v>6458</v>
      </c>
      <c r="E2405" s="147" t="s">
        <v>6458</v>
      </c>
      <c r="F2405" s="147" t="s">
        <v>6685</v>
      </c>
      <c r="G2405" s="146" t="s">
        <v>109</v>
      </c>
      <c r="H2405" s="146" t="s">
        <v>51</v>
      </c>
      <c r="I2405" s="147" t="s">
        <v>1539</v>
      </c>
      <c r="J2405" s="147" t="s">
        <v>104</v>
      </c>
      <c r="K2405" s="148"/>
      <c r="L2405" s="149"/>
      <c r="M2405" s="148"/>
    </row>
    <row r="2406" spans="1:13" ht="15" customHeight="1">
      <c r="A2406" s="142" t="s">
        <v>6686</v>
      </c>
      <c r="B2406" s="142">
        <v>517741</v>
      </c>
      <c r="C2406" s="143" t="s">
        <v>6687</v>
      </c>
      <c r="D2406" s="142" t="s">
        <v>6458</v>
      </c>
      <c r="E2406" s="143" t="s">
        <v>6516</v>
      </c>
      <c r="F2406" s="143" t="s">
        <v>6688</v>
      </c>
      <c r="G2406" s="142" t="s">
        <v>109</v>
      </c>
      <c r="H2406" s="142" t="s">
        <v>51</v>
      </c>
      <c r="I2406" s="143" t="s">
        <v>1539</v>
      </c>
      <c r="J2406" s="143" t="s">
        <v>104</v>
      </c>
      <c r="K2406" s="144" t="s">
        <v>121</v>
      </c>
      <c r="L2406" s="145">
        <v>46150</v>
      </c>
      <c r="M2406" s="144"/>
    </row>
    <row r="2407" spans="1:13" ht="15" customHeight="1">
      <c r="A2407" s="146" t="s">
        <v>6689</v>
      </c>
      <c r="B2407" s="146">
        <v>517753</v>
      </c>
      <c r="C2407" s="147" t="s">
        <v>6690</v>
      </c>
      <c r="D2407" s="146" t="s">
        <v>6458</v>
      </c>
      <c r="E2407" s="147" t="s">
        <v>6458</v>
      </c>
      <c r="F2407" s="147" t="s">
        <v>6691</v>
      </c>
      <c r="G2407" s="146" t="s">
        <v>109</v>
      </c>
      <c r="H2407" s="146" t="s">
        <v>51</v>
      </c>
      <c r="I2407" s="147" t="s">
        <v>1539</v>
      </c>
      <c r="J2407" s="147" t="s">
        <v>104</v>
      </c>
      <c r="K2407" s="148"/>
      <c r="L2407" s="149"/>
      <c r="M2407" s="148"/>
    </row>
    <row r="2408" spans="1:13" ht="15" customHeight="1">
      <c r="A2408" s="142" t="s">
        <v>6692</v>
      </c>
      <c r="B2408" s="142">
        <v>517738</v>
      </c>
      <c r="C2408" s="143" t="s">
        <v>6693</v>
      </c>
      <c r="D2408" s="142" t="s">
        <v>6458</v>
      </c>
      <c r="E2408" s="143" t="s">
        <v>6462</v>
      </c>
      <c r="F2408" s="143" t="s">
        <v>6694</v>
      </c>
      <c r="G2408" s="142" t="s">
        <v>109</v>
      </c>
      <c r="H2408" s="142" t="s">
        <v>51</v>
      </c>
      <c r="I2408" s="143" t="s">
        <v>1539</v>
      </c>
      <c r="J2408" s="143" t="s">
        <v>104</v>
      </c>
      <c r="K2408" s="144"/>
      <c r="L2408" s="145"/>
      <c r="M2408" s="144"/>
    </row>
    <row r="2409" spans="1:13" ht="15" customHeight="1">
      <c r="A2409" s="146" t="s">
        <v>6695</v>
      </c>
      <c r="B2409" s="146">
        <v>517723</v>
      </c>
      <c r="C2409" s="147" t="s">
        <v>6457</v>
      </c>
      <c r="D2409" s="146" t="s">
        <v>6458</v>
      </c>
      <c r="E2409" s="147" t="s">
        <v>6582</v>
      </c>
      <c r="F2409" s="147" t="s">
        <v>6696</v>
      </c>
      <c r="G2409" s="146" t="s">
        <v>102</v>
      </c>
      <c r="H2409" s="146" t="s">
        <v>51</v>
      </c>
      <c r="I2409" s="147" t="s">
        <v>1539</v>
      </c>
      <c r="J2409" s="147" t="s">
        <v>104</v>
      </c>
      <c r="K2409" s="148"/>
      <c r="L2409" s="149"/>
      <c r="M2409" s="148"/>
    </row>
    <row r="2410" spans="1:13" ht="15" customHeight="1">
      <c r="A2410" s="142" t="s">
        <v>6697</v>
      </c>
      <c r="B2410" s="142">
        <v>517743</v>
      </c>
      <c r="C2410" s="143" t="s">
        <v>6470</v>
      </c>
      <c r="D2410" s="142" t="s">
        <v>6458</v>
      </c>
      <c r="E2410" s="143" t="s">
        <v>6458</v>
      </c>
      <c r="F2410" s="143" t="s">
        <v>6458</v>
      </c>
      <c r="G2410" s="142" t="s">
        <v>102</v>
      </c>
      <c r="H2410" s="142" t="s">
        <v>51</v>
      </c>
      <c r="I2410" s="143" t="s">
        <v>1539</v>
      </c>
      <c r="J2410" s="143" t="s">
        <v>104</v>
      </c>
      <c r="K2410" s="144" t="s">
        <v>121</v>
      </c>
      <c r="L2410" s="145">
        <v>46150</v>
      </c>
      <c r="M2410" s="144"/>
    </row>
    <row r="2411" spans="1:13" ht="15" customHeight="1">
      <c r="A2411" s="146" t="s">
        <v>6698</v>
      </c>
      <c r="B2411" s="146">
        <v>517728</v>
      </c>
      <c r="C2411" s="147" t="s">
        <v>6699</v>
      </c>
      <c r="D2411" s="146" t="s">
        <v>6458</v>
      </c>
      <c r="E2411" s="147" t="s">
        <v>6582</v>
      </c>
      <c r="F2411" s="147" t="s">
        <v>6582</v>
      </c>
      <c r="G2411" s="146" t="s">
        <v>109</v>
      </c>
      <c r="H2411" s="146" t="s">
        <v>51</v>
      </c>
      <c r="I2411" s="147" t="s">
        <v>1539</v>
      </c>
      <c r="J2411" s="147" t="s">
        <v>104</v>
      </c>
      <c r="K2411" s="148" t="s">
        <v>162</v>
      </c>
      <c r="L2411" s="149">
        <v>46148</v>
      </c>
      <c r="M2411" s="148"/>
    </row>
    <row r="2412" spans="1:13" ht="15" customHeight="1">
      <c r="A2412" s="142" t="s">
        <v>6700</v>
      </c>
      <c r="B2412" s="142">
        <v>517950</v>
      </c>
      <c r="C2412" s="143" t="s">
        <v>6701</v>
      </c>
      <c r="D2412" s="142" t="s">
        <v>6458</v>
      </c>
      <c r="E2412" s="143" t="s">
        <v>6474</v>
      </c>
      <c r="F2412" s="143" t="s">
        <v>6702</v>
      </c>
      <c r="G2412" s="142" t="s">
        <v>109</v>
      </c>
      <c r="H2412" s="142" t="s">
        <v>51</v>
      </c>
      <c r="I2412" s="143" t="s">
        <v>1539</v>
      </c>
      <c r="J2412" s="143" t="s">
        <v>104</v>
      </c>
      <c r="K2412" s="144"/>
      <c r="L2412" s="145"/>
      <c r="M2412" s="144"/>
    </row>
    <row r="2413" spans="1:13" ht="15" customHeight="1">
      <c r="A2413" s="146" t="s">
        <v>6703</v>
      </c>
      <c r="B2413" s="146">
        <v>517903</v>
      </c>
      <c r="C2413" s="147" t="s">
        <v>6502</v>
      </c>
      <c r="D2413" s="146" t="s">
        <v>6458</v>
      </c>
      <c r="E2413" s="147" t="s">
        <v>6513</v>
      </c>
      <c r="F2413" s="147" t="s">
        <v>2613</v>
      </c>
      <c r="G2413" s="146" t="s">
        <v>109</v>
      </c>
      <c r="H2413" s="146" t="s">
        <v>51</v>
      </c>
      <c r="I2413" s="147" t="s">
        <v>1539</v>
      </c>
      <c r="J2413" s="147" t="s">
        <v>104</v>
      </c>
      <c r="K2413" s="148"/>
      <c r="L2413" s="149"/>
      <c r="M2413" s="148"/>
    </row>
    <row r="2414" spans="1:13" ht="15" customHeight="1">
      <c r="A2414" s="142" t="s">
        <v>6704</v>
      </c>
      <c r="B2414" s="142">
        <v>517854</v>
      </c>
      <c r="C2414" s="143" t="s">
        <v>6461</v>
      </c>
      <c r="D2414" s="142" t="s">
        <v>6458</v>
      </c>
      <c r="E2414" s="143" t="s">
        <v>1120</v>
      </c>
      <c r="F2414" s="143" t="s">
        <v>6705</v>
      </c>
      <c r="G2414" s="142" t="s">
        <v>109</v>
      </c>
      <c r="H2414" s="142" t="s">
        <v>51</v>
      </c>
      <c r="I2414" s="143" t="s">
        <v>1539</v>
      </c>
      <c r="J2414" s="143" t="s">
        <v>104</v>
      </c>
      <c r="K2414" s="144"/>
      <c r="L2414" s="145"/>
      <c r="M2414" s="144"/>
    </row>
    <row r="2415" spans="1:13" ht="15" customHeight="1">
      <c r="A2415" s="146" t="s">
        <v>6706</v>
      </c>
      <c r="B2415" s="146">
        <v>517763</v>
      </c>
      <c r="C2415" s="147" t="s">
        <v>6707</v>
      </c>
      <c r="D2415" s="146" t="s">
        <v>6458</v>
      </c>
      <c r="E2415" s="147" t="s">
        <v>6513</v>
      </c>
      <c r="F2415" s="147" t="s">
        <v>6513</v>
      </c>
      <c r="G2415" s="146" t="s">
        <v>102</v>
      </c>
      <c r="H2415" s="146" t="s">
        <v>51</v>
      </c>
      <c r="I2415" s="147" t="s">
        <v>1539</v>
      </c>
      <c r="J2415" s="147" t="s">
        <v>104</v>
      </c>
      <c r="K2415" s="148"/>
      <c r="L2415" s="149"/>
      <c r="M2415" s="148"/>
    </row>
    <row r="2416" spans="1:13" ht="15" customHeight="1">
      <c r="A2416" s="142" t="s">
        <v>6708</v>
      </c>
      <c r="B2416" s="142">
        <v>517785</v>
      </c>
      <c r="C2416" s="143" t="s">
        <v>6470</v>
      </c>
      <c r="D2416" s="142" t="s">
        <v>6458</v>
      </c>
      <c r="E2416" s="143" t="s">
        <v>6491</v>
      </c>
      <c r="F2416" s="143" t="s">
        <v>5303</v>
      </c>
      <c r="G2416" s="142" t="s">
        <v>109</v>
      </c>
      <c r="H2416" s="142" t="s">
        <v>51</v>
      </c>
      <c r="I2416" s="143" t="s">
        <v>1539</v>
      </c>
      <c r="J2416" s="143" t="s">
        <v>104</v>
      </c>
      <c r="K2416" s="144"/>
      <c r="L2416" s="145"/>
      <c r="M2416" s="144"/>
    </row>
    <row r="2417" spans="1:13" ht="15" customHeight="1">
      <c r="A2417" s="146" t="s">
        <v>6709</v>
      </c>
      <c r="B2417" s="146">
        <v>517737</v>
      </c>
      <c r="C2417" s="147" t="s">
        <v>470</v>
      </c>
      <c r="D2417" s="146" t="s">
        <v>6458</v>
      </c>
      <c r="E2417" s="147" t="s">
        <v>6710</v>
      </c>
      <c r="F2417" s="147" t="s">
        <v>6711</v>
      </c>
      <c r="G2417" s="146" t="s">
        <v>109</v>
      </c>
      <c r="H2417" s="146" t="s">
        <v>51</v>
      </c>
      <c r="I2417" s="147" t="s">
        <v>1539</v>
      </c>
      <c r="J2417" s="147" t="s">
        <v>104</v>
      </c>
      <c r="K2417" s="148"/>
      <c r="L2417" s="149"/>
      <c r="M2417" s="148"/>
    </row>
    <row r="2418" spans="1:13" ht="15" customHeight="1">
      <c r="A2418" s="142" t="s">
        <v>6712</v>
      </c>
      <c r="B2418" s="142">
        <v>517794</v>
      </c>
      <c r="C2418" s="143" t="s">
        <v>6713</v>
      </c>
      <c r="D2418" s="142" t="s">
        <v>6458</v>
      </c>
      <c r="E2418" s="143" t="s">
        <v>6568</v>
      </c>
      <c r="F2418" s="143" t="s">
        <v>3186</v>
      </c>
      <c r="G2418" s="142" t="s">
        <v>109</v>
      </c>
      <c r="H2418" s="142" t="s">
        <v>51</v>
      </c>
      <c r="I2418" s="143" t="s">
        <v>1539</v>
      </c>
      <c r="J2418" s="143" t="s">
        <v>104</v>
      </c>
      <c r="K2418" s="144"/>
      <c r="L2418" s="145"/>
      <c r="M2418" s="144"/>
    </row>
    <row r="2419" spans="1:13" ht="15" customHeight="1">
      <c r="A2419" s="146" t="s">
        <v>6714</v>
      </c>
      <c r="B2419" s="146">
        <v>517791</v>
      </c>
      <c r="C2419" s="147" t="s">
        <v>6715</v>
      </c>
      <c r="D2419" s="146" t="s">
        <v>6458</v>
      </c>
      <c r="E2419" s="147" t="s">
        <v>6614</v>
      </c>
      <c r="F2419" s="147" t="s">
        <v>789</v>
      </c>
      <c r="G2419" s="146" t="s">
        <v>109</v>
      </c>
      <c r="H2419" s="146" t="s">
        <v>51</v>
      </c>
      <c r="I2419" s="147" t="s">
        <v>1539</v>
      </c>
      <c r="J2419" s="147" t="s">
        <v>104</v>
      </c>
      <c r="K2419" s="148"/>
      <c r="L2419" s="149"/>
      <c r="M2419" s="148"/>
    </row>
    <row r="2420" spans="1:13" ht="15" customHeight="1">
      <c r="A2420" s="142" t="s">
        <v>6716</v>
      </c>
      <c r="B2420" s="142">
        <v>517719</v>
      </c>
      <c r="C2420" s="143" t="s">
        <v>6473</v>
      </c>
      <c r="D2420" s="142" t="s">
        <v>6458</v>
      </c>
      <c r="E2420" s="143" t="s">
        <v>6462</v>
      </c>
      <c r="F2420" s="143" t="s">
        <v>6717</v>
      </c>
      <c r="G2420" s="142" t="s">
        <v>109</v>
      </c>
      <c r="H2420" s="142" t="s">
        <v>51</v>
      </c>
      <c r="I2420" s="143" t="s">
        <v>1539</v>
      </c>
      <c r="J2420" s="143" t="s">
        <v>104</v>
      </c>
      <c r="K2420" s="144"/>
      <c r="L2420" s="145"/>
      <c r="M2420" s="144"/>
    </row>
    <row r="2421" spans="1:13" ht="15" customHeight="1">
      <c r="A2421" s="146" t="s">
        <v>6718</v>
      </c>
      <c r="B2421" s="146">
        <v>517875</v>
      </c>
      <c r="C2421" s="147" t="s">
        <v>6719</v>
      </c>
      <c r="D2421" s="146" t="s">
        <v>6458</v>
      </c>
      <c r="E2421" s="147" t="s">
        <v>6485</v>
      </c>
      <c r="F2421" s="147" t="s">
        <v>3875</v>
      </c>
      <c r="G2421" s="146" t="s">
        <v>109</v>
      </c>
      <c r="H2421" s="146" t="s">
        <v>51</v>
      </c>
      <c r="I2421" s="147" t="s">
        <v>1539</v>
      </c>
      <c r="J2421" s="147" t="s">
        <v>104</v>
      </c>
      <c r="K2421" s="148"/>
      <c r="L2421" s="149"/>
      <c r="M2421" s="148"/>
    </row>
    <row r="2422" spans="1:13" ht="15" customHeight="1">
      <c r="A2422" s="142" t="s">
        <v>6720</v>
      </c>
      <c r="B2422" s="142">
        <v>517792</v>
      </c>
      <c r="C2422" s="143" t="s">
        <v>1327</v>
      </c>
      <c r="D2422" s="142" t="s">
        <v>6458</v>
      </c>
      <c r="E2422" s="143" t="s">
        <v>6568</v>
      </c>
      <c r="F2422" s="143" t="s">
        <v>6721</v>
      </c>
      <c r="G2422" s="142" t="s">
        <v>109</v>
      </c>
      <c r="H2422" s="142" t="s">
        <v>51</v>
      </c>
      <c r="I2422" s="143" t="s">
        <v>1539</v>
      </c>
      <c r="J2422" s="143" t="s">
        <v>104</v>
      </c>
      <c r="K2422" s="144"/>
      <c r="L2422" s="145"/>
      <c r="M2422" s="144"/>
    </row>
    <row r="2423" spans="1:13" ht="15" customHeight="1">
      <c r="A2423" s="146" t="s">
        <v>6722</v>
      </c>
      <c r="B2423" s="146">
        <v>517729</v>
      </c>
      <c r="C2423" s="147" t="s">
        <v>6723</v>
      </c>
      <c r="D2423" s="146" t="s">
        <v>6458</v>
      </c>
      <c r="E2423" s="147" t="s">
        <v>6550</v>
      </c>
      <c r="F2423" s="147" t="s">
        <v>6724</v>
      </c>
      <c r="G2423" s="146" t="s">
        <v>109</v>
      </c>
      <c r="H2423" s="146" t="s">
        <v>51</v>
      </c>
      <c r="I2423" s="147" t="s">
        <v>1539</v>
      </c>
      <c r="J2423" s="147" t="s">
        <v>104</v>
      </c>
      <c r="K2423" s="148"/>
      <c r="L2423" s="149"/>
      <c r="M2423" s="148"/>
    </row>
    <row r="2424" spans="1:13" ht="15" customHeight="1">
      <c r="A2424" s="142" t="s">
        <v>6725</v>
      </c>
      <c r="B2424" s="142">
        <v>517939</v>
      </c>
      <c r="C2424" s="143" t="s">
        <v>6726</v>
      </c>
      <c r="D2424" s="142" t="s">
        <v>6458</v>
      </c>
      <c r="E2424" s="143" t="s">
        <v>6474</v>
      </c>
      <c r="F2424" s="143" t="s">
        <v>6475</v>
      </c>
      <c r="G2424" s="142" t="s">
        <v>109</v>
      </c>
      <c r="H2424" s="142" t="s">
        <v>51</v>
      </c>
      <c r="I2424" s="143" t="s">
        <v>1539</v>
      </c>
      <c r="J2424" s="143" t="s">
        <v>104</v>
      </c>
      <c r="K2424" s="144"/>
      <c r="L2424" s="145"/>
      <c r="M2424" s="144"/>
    </row>
    <row r="2425" spans="1:13" ht="15" customHeight="1">
      <c r="A2425" s="146" t="s">
        <v>6727</v>
      </c>
      <c r="B2425" s="146">
        <v>517777</v>
      </c>
      <c r="C2425" s="147" t="s">
        <v>6728</v>
      </c>
      <c r="D2425" s="146" t="s">
        <v>6458</v>
      </c>
      <c r="E2425" s="147" t="s">
        <v>6568</v>
      </c>
      <c r="F2425" s="147" t="s">
        <v>6729</v>
      </c>
      <c r="G2425" s="146" t="s">
        <v>109</v>
      </c>
      <c r="H2425" s="146" t="s">
        <v>51</v>
      </c>
      <c r="I2425" s="147" t="s">
        <v>1539</v>
      </c>
      <c r="J2425" s="147" t="s">
        <v>104</v>
      </c>
      <c r="K2425" s="148"/>
      <c r="L2425" s="149"/>
      <c r="M2425" s="148"/>
    </row>
    <row r="2426" spans="1:13" ht="15" customHeight="1">
      <c r="A2426" s="142" t="s">
        <v>6730</v>
      </c>
      <c r="B2426" s="142">
        <v>517852</v>
      </c>
      <c r="C2426" s="143" t="s">
        <v>1337</v>
      </c>
      <c r="D2426" s="142" t="s">
        <v>6458</v>
      </c>
      <c r="E2426" s="143" t="s">
        <v>6458</v>
      </c>
      <c r="F2426" s="143" t="s">
        <v>6587</v>
      </c>
      <c r="G2426" s="142" t="s">
        <v>109</v>
      </c>
      <c r="H2426" s="142" t="s">
        <v>51</v>
      </c>
      <c r="I2426" s="143" t="s">
        <v>1539</v>
      </c>
      <c r="J2426" s="143" t="s">
        <v>104</v>
      </c>
      <c r="K2426" s="144"/>
      <c r="L2426" s="145"/>
      <c r="M2426" s="144"/>
    </row>
    <row r="2427" spans="1:13" ht="15" customHeight="1">
      <c r="A2427" s="146" t="s">
        <v>6731</v>
      </c>
      <c r="B2427" s="146">
        <v>517922</v>
      </c>
      <c r="C2427" s="147" t="s">
        <v>1215</v>
      </c>
      <c r="D2427" s="146" t="s">
        <v>6458</v>
      </c>
      <c r="E2427" s="147" t="s">
        <v>6543</v>
      </c>
      <c r="F2427" s="147" t="s">
        <v>6548</v>
      </c>
      <c r="G2427" s="146" t="s">
        <v>109</v>
      </c>
      <c r="H2427" s="146" t="s">
        <v>51</v>
      </c>
      <c r="I2427" s="147" t="s">
        <v>1539</v>
      </c>
      <c r="J2427" s="147" t="s">
        <v>104</v>
      </c>
      <c r="K2427" s="148"/>
      <c r="L2427" s="149"/>
      <c r="M2427" s="148"/>
    </row>
    <row r="2428" spans="1:13" ht="15" customHeight="1">
      <c r="A2428" s="142" t="s">
        <v>6732</v>
      </c>
      <c r="B2428" s="142">
        <v>517773</v>
      </c>
      <c r="C2428" s="143" t="s">
        <v>6733</v>
      </c>
      <c r="D2428" s="142" t="s">
        <v>6458</v>
      </c>
      <c r="E2428" s="143" t="s">
        <v>6563</v>
      </c>
      <c r="F2428" s="143" t="s">
        <v>2813</v>
      </c>
      <c r="G2428" s="142" t="s">
        <v>109</v>
      </c>
      <c r="H2428" s="142" t="s">
        <v>51</v>
      </c>
      <c r="I2428" s="143" t="s">
        <v>1539</v>
      </c>
      <c r="J2428" s="143" t="s">
        <v>104</v>
      </c>
      <c r="K2428" s="144"/>
      <c r="L2428" s="145"/>
      <c r="M2428" s="144"/>
    </row>
    <row r="2429" spans="1:13" ht="15" customHeight="1">
      <c r="A2429" s="146" t="s">
        <v>6734</v>
      </c>
      <c r="B2429" s="146">
        <v>518119</v>
      </c>
      <c r="C2429" s="147" t="s">
        <v>6735</v>
      </c>
      <c r="D2429" s="146" t="s">
        <v>6736</v>
      </c>
      <c r="E2429" s="147" t="s">
        <v>6737</v>
      </c>
      <c r="F2429" s="147" t="s">
        <v>6738</v>
      </c>
      <c r="G2429" s="146" t="s">
        <v>6739</v>
      </c>
      <c r="H2429" s="146" t="s">
        <v>54</v>
      </c>
      <c r="I2429" s="147" t="s">
        <v>6740</v>
      </c>
      <c r="J2429" s="147" t="s">
        <v>6741</v>
      </c>
      <c r="K2429" s="148"/>
      <c r="L2429" s="149"/>
      <c r="M2429" s="148"/>
    </row>
    <row r="2430" spans="1:13" ht="15" customHeight="1">
      <c r="A2430" s="142" t="s">
        <v>6742</v>
      </c>
      <c r="B2430" s="142">
        <v>518093</v>
      </c>
      <c r="C2430" s="143" t="s">
        <v>6735</v>
      </c>
      <c r="D2430" s="142" t="s">
        <v>6736</v>
      </c>
      <c r="E2430" s="143" t="s">
        <v>6743</v>
      </c>
      <c r="F2430" s="143" t="s">
        <v>6743</v>
      </c>
      <c r="G2430" s="142" t="s">
        <v>6739</v>
      </c>
      <c r="H2430" s="142" t="s">
        <v>54</v>
      </c>
      <c r="I2430" s="143" t="s">
        <v>6740</v>
      </c>
      <c r="J2430" s="143" t="s">
        <v>6741</v>
      </c>
      <c r="K2430" s="144"/>
      <c r="L2430" s="145"/>
      <c r="M2430" s="144"/>
    </row>
    <row r="2431" spans="1:13" ht="15" customHeight="1">
      <c r="A2431" s="146" t="s">
        <v>6744</v>
      </c>
      <c r="B2431" s="146">
        <v>518094</v>
      </c>
      <c r="C2431" s="147" t="s">
        <v>6745</v>
      </c>
      <c r="D2431" s="146" t="s">
        <v>6736</v>
      </c>
      <c r="E2431" s="147" t="s">
        <v>6743</v>
      </c>
      <c r="F2431" s="147" t="s">
        <v>6746</v>
      </c>
      <c r="G2431" s="146" t="s">
        <v>109</v>
      </c>
      <c r="H2431" s="146" t="s">
        <v>54</v>
      </c>
      <c r="I2431" s="147" t="s">
        <v>6740</v>
      </c>
      <c r="J2431" s="147" t="s">
        <v>104</v>
      </c>
      <c r="K2431" s="148"/>
      <c r="L2431" s="149"/>
      <c r="M2431" s="148"/>
    </row>
    <row r="2432" spans="1:13" ht="15" customHeight="1">
      <c r="A2432" s="142" t="s">
        <v>6747</v>
      </c>
      <c r="B2432" s="142">
        <v>518057</v>
      </c>
      <c r="C2432" s="143" t="s">
        <v>6748</v>
      </c>
      <c r="D2432" s="142" t="s">
        <v>6736</v>
      </c>
      <c r="E2432" s="143" t="s">
        <v>6743</v>
      </c>
      <c r="F2432" s="143" t="s">
        <v>6749</v>
      </c>
      <c r="G2432" s="142" t="s">
        <v>109</v>
      </c>
      <c r="H2432" s="142" t="s">
        <v>54</v>
      </c>
      <c r="I2432" s="143" t="s">
        <v>6740</v>
      </c>
      <c r="J2432" s="143" t="s">
        <v>104</v>
      </c>
      <c r="K2432" s="144"/>
      <c r="L2432" s="145"/>
      <c r="M2432" s="144"/>
    </row>
    <row r="2433" spans="1:13" ht="15" customHeight="1">
      <c r="A2433" s="146" t="s">
        <v>6750</v>
      </c>
      <c r="B2433" s="146">
        <v>518056</v>
      </c>
      <c r="C2433" s="147" t="s">
        <v>6751</v>
      </c>
      <c r="D2433" s="146" t="s">
        <v>6736</v>
      </c>
      <c r="E2433" s="147" t="s">
        <v>6743</v>
      </c>
      <c r="F2433" s="147" t="s">
        <v>6752</v>
      </c>
      <c r="G2433" s="146" t="s">
        <v>109</v>
      </c>
      <c r="H2433" s="146" t="s">
        <v>54</v>
      </c>
      <c r="I2433" s="147" t="s">
        <v>6740</v>
      </c>
      <c r="J2433" s="147" t="s">
        <v>104</v>
      </c>
      <c r="K2433" s="148"/>
      <c r="L2433" s="149"/>
      <c r="M2433" s="148"/>
    </row>
    <row r="2434" spans="1:13" ht="15" customHeight="1">
      <c r="A2434" s="142" t="s">
        <v>6753</v>
      </c>
      <c r="B2434" s="142">
        <v>518061</v>
      </c>
      <c r="C2434" s="143" t="s">
        <v>6754</v>
      </c>
      <c r="D2434" s="142" t="s">
        <v>6736</v>
      </c>
      <c r="E2434" s="143" t="s">
        <v>6743</v>
      </c>
      <c r="F2434" s="143" t="s">
        <v>6755</v>
      </c>
      <c r="G2434" s="142" t="s">
        <v>109</v>
      </c>
      <c r="H2434" s="142" t="s">
        <v>54</v>
      </c>
      <c r="I2434" s="143" t="s">
        <v>6740</v>
      </c>
      <c r="J2434" s="143" t="s">
        <v>104</v>
      </c>
      <c r="K2434" s="144"/>
      <c r="L2434" s="145"/>
      <c r="M2434" s="144"/>
    </row>
    <row r="2435" spans="1:13" ht="15" customHeight="1">
      <c r="A2435" s="146" t="s">
        <v>6756</v>
      </c>
      <c r="B2435" s="146">
        <v>518090</v>
      </c>
      <c r="C2435" s="147" t="s">
        <v>6757</v>
      </c>
      <c r="D2435" s="146" t="s">
        <v>6736</v>
      </c>
      <c r="E2435" s="147" t="s">
        <v>6743</v>
      </c>
      <c r="F2435" s="147" t="s">
        <v>2816</v>
      </c>
      <c r="G2435" s="146" t="s">
        <v>109</v>
      </c>
      <c r="H2435" s="146" t="s">
        <v>54</v>
      </c>
      <c r="I2435" s="147" t="s">
        <v>6740</v>
      </c>
      <c r="J2435" s="147" t="s">
        <v>104</v>
      </c>
      <c r="K2435" s="148"/>
      <c r="L2435" s="149"/>
      <c r="M2435" s="148"/>
    </row>
    <row r="2436" spans="1:13" ht="15" customHeight="1">
      <c r="A2436" s="142" t="s">
        <v>6758</v>
      </c>
      <c r="B2436" s="142">
        <v>518095</v>
      </c>
      <c r="C2436" s="143" t="s">
        <v>6759</v>
      </c>
      <c r="D2436" s="142" t="s">
        <v>6736</v>
      </c>
      <c r="E2436" s="143" t="s">
        <v>6743</v>
      </c>
      <c r="F2436" s="143" t="s">
        <v>6760</v>
      </c>
      <c r="G2436" s="142" t="s">
        <v>109</v>
      </c>
      <c r="H2436" s="142" t="s">
        <v>54</v>
      </c>
      <c r="I2436" s="143" t="s">
        <v>6740</v>
      </c>
      <c r="J2436" s="143" t="s">
        <v>104</v>
      </c>
      <c r="K2436" s="144"/>
      <c r="L2436" s="145"/>
      <c r="M2436" s="144"/>
    </row>
    <row r="2437" spans="1:13" ht="15" customHeight="1">
      <c r="A2437" s="146" t="s">
        <v>6761</v>
      </c>
      <c r="B2437" s="146">
        <v>518089</v>
      </c>
      <c r="C2437" s="147" t="s">
        <v>6762</v>
      </c>
      <c r="D2437" s="146" t="s">
        <v>6736</v>
      </c>
      <c r="E2437" s="147" t="s">
        <v>6763</v>
      </c>
      <c r="F2437" s="147" t="s">
        <v>6764</v>
      </c>
      <c r="G2437" s="146" t="s">
        <v>109</v>
      </c>
      <c r="H2437" s="146" t="s">
        <v>54</v>
      </c>
      <c r="I2437" s="147" t="s">
        <v>6740</v>
      </c>
      <c r="J2437" s="147" t="s">
        <v>104</v>
      </c>
      <c r="K2437" s="148"/>
      <c r="L2437" s="149"/>
      <c r="M2437" s="148"/>
    </row>
    <row r="2438" spans="1:13" ht="15" customHeight="1">
      <c r="A2438" s="142" t="s">
        <v>6765</v>
      </c>
      <c r="B2438" s="142">
        <v>518055</v>
      </c>
      <c r="C2438" s="143" t="s">
        <v>6766</v>
      </c>
      <c r="D2438" s="142" t="s">
        <v>6736</v>
      </c>
      <c r="E2438" s="143" t="s">
        <v>6763</v>
      </c>
      <c r="F2438" s="143" t="s">
        <v>6767</v>
      </c>
      <c r="G2438" s="142" t="s">
        <v>109</v>
      </c>
      <c r="H2438" s="142" t="s">
        <v>54</v>
      </c>
      <c r="I2438" s="143" t="s">
        <v>6740</v>
      </c>
      <c r="J2438" s="143" t="s">
        <v>104</v>
      </c>
      <c r="K2438" s="144"/>
      <c r="L2438" s="145"/>
      <c r="M2438" s="144"/>
    </row>
    <row r="2439" spans="1:13" ht="15" customHeight="1">
      <c r="A2439" s="146" t="s">
        <v>6768</v>
      </c>
      <c r="B2439" s="146">
        <v>518115</v>
      </c>
      <c r="C2439" s="147" t="s">
        <v>6769</v>
      </c>
      <c r="D2439" s="146" t="s">
        <v>6736</v>
      </c>
      <c r="E2439" s="147" t="s">
        <v>6763</v>
      </c>
      <c r="F2439" s="147" t="s">
        <v>6770</v>
      </c>
      <c r="G2439" s="146" t="s">
        <v>109</v>
      </c>
      <c r="H2439" s="146" t="s">
        <v>54</v>
      </c>
      <c r="I2439" s="147" t="s">
        <v>6740</v>
      </c>
      <c r="J2439" s="147" t="s">
        <v>104</v>
      </c>
      <c r="K2439" s="148"/>
      <c r="L2439" s="149"/>
      <c r="M2439" s="148"/>
    </row>
    <row r="2440" spans="1:13" ht="15" customHeight="1">
      <c r="A2440" s="142" t="s">
        <v>6771</v>
      </c>
      <c r="B2440" s="142">
        <v>518116</v>
      </c>
      <c r="C2440" s="143" t="s">
        <v>6735</v>
      </c>
      <c r="D2440" s="142" t="s">
        <v>6736</v>
      </c>
      <c r="E2440" s="143" t="s">
        <v>6763</v>
      </c>
      <c r="F2440" s="143" t="s">
        <v>6770</v>
      </c>
      <c r="G2440" s="142" t="s">
        <v>6739</v>
      </c>
      <c r="H2440" s="142" t="s">
        <v>54</v>
      </c>
      <c r="I2440" s="143" t="s">
        <v>6740</v>
      </c>
      <c r="J2440" s="143" t="s">
        <v>6741</v>
      </c>
      <c r="K2440" s="144"/>
      <c r="L2440" s="145"/>
      <c r="M2440" s="144"/>
    </row>
    <row r="2441" spans="1:13" ht="15" customHeight="1">
      <c r="A2441" s="146" t="s">
        <v>6772</v>
      </c>
      <c r="B2441" s="146">
        <v>518072</v>
      </c>
      <c r="C2441" s="147" t="s">
        <v>6773</v>
      </c>
      <c r="D2441" s="146" t="s">
        <v>6736</v>
      </c>
      <c r="E2441" s="147" t="s">
        <v>6774</v>
      </c>
      <c r="F2441" s="147" t="s">
        <v>6773</v>
      </c>
      <c r="G2441" s="146" t="s">
        <v>109</v>
      </c>
      <c r="H2441" s="146" t="s">
        <v>54</v>
      </c>
      <c r="I2441" s="147" t="s">
        <v>6740</v>
      </c>
      <c r="J2441" s="147" t="s">
        <v>104</v>
      </c>
      <c r="K2441" s="148"/>
      <c r="L2441" s="149"/>
      <c r="M2441" s="148"/>
    </row>
    <row r="2442" spans="1:13" ht="15" customHeight="1">
      <c r="A2442" s="142" t="s">
        <v>6775</v>
      </c>
      <c r="B2442" s="142">
        <v>517979</v>
      </c>
      <c r="C2442" s="143" t="s">
        <v>6776</v>
      </c>
      <c r="D2442" s="142" t="s">
        <v>6736</v>
      </c>
      <c r="E2442" s="143" t="s">
        <v>6774</v>
      </c>
      <c r="F2442" s="143" t="s">
        <v>6777</v>
      </c>
      <c r="G2442" s="142" t="s">
        <v>109</v>
      </c>
      <c r="H2442" s="142" t="s">
        <v>54</v>
      </c>
      <c r="I2442" s="143" t="s">
        <v>6740</v>
      </c>
      <c r="J2442" s="143" t="s">
        <v>104</v>
      </c>
      <c r="K2442" s="144"/>
      <c r="L2442" s="145"/>
      <c r="M2442" s="144"/>
    </row>
    <row r="2443" spans="1:13" ht="15" customHeight="1">
      <c r="A2443" s="146" t="s">
        <v>6778</v>
      </c>
      <c r="B2443" s="146">
        <v>518014</v>
      </c>
      <c r="C2443" s="147" t="s">
        <v>6779</v>
      </c>
      <c r="D2443" s="146" t="s">
        <v>6736</v>
      </c>
      <c r="E2443" s="147" t="s">
        <v>6774</v>
      </c>
      <c r="F2443" s="147" t="s">
        <v>6779</v>
      </c>
      <c r="G2443" s="146" t="s">
        <v>109</v>
      </c>
      <c r="H2443" s="146" t="s">
        <v>54</v>
      </c>
      <c r="I2443" s="147" t="s">
        <v>6740</v>
      </c>
      <c r="J2443" s="147" t="s">
        <v>104</v>
      </c>
      <c r="K2443" s="148"/>
      <c r="L2443" s="149"/>
      <c r="M2443" s="148"/>
    </row>
    <row r="2444" spans="1:13" ht="15" customHeight="1">
      <c r="A2444" s="142" t="s">
        <v>6780</v>
      </c>
      <c r="B2444" s="142">
        <v>518064</v>
      </c>
      <c r="C2444" s="143" t="s">
        <v>6781</v>
      </c>
      <c r="D2444" s="142" t="s">
        <v>6736</v>
      </c>
      <c r="E2444" s="143" t="s">
        <v>6774</v>
      </c>
      <c r="F2444" s="143" t="s">
        <v>6774</v>
      </c>
      <c r="G2444" s="142" t="s">
        <v>109</v>
      </c>
      <c r="H2444" s="142" t="s">
        <v>54</v>
      </c>
      <c r="I2444" s="143" t="s">
        <v>6740</v>
      </c>
      <c r="J2444" s="143" t="s">
        <v>104</v>
      </c>
      <c r="K2444" s="144"/>
      <c r="L2444" s="145"/>
      <c r="M2444" s="144"/>
    </row>
    <row r="2445" spans="1:13" ht="15" customHeight="1">
      <c r="A2445" s="146" t="s">
        <v>6782</v>
      </c>
      <c r="B2445" s="146">
        <v>517987</v>
      </c>
      <c r="C2445" s="147" t="s">
        <v>6735</v>
      </c>
      <c r="D2445" s="146" t="s">
        <v>6736</v>
      </c>
      <c r="E2445" s="147" t="s">
        <v>6774</v>
      </c>
      <c r="F2445" s="147" t="s">
        <v>6783</v>
      </c>
      <c r="G2445" s="146" t="s">
        <v>6739</v>
      </c>
      <c r="H2445" s="146" t="s">
        <v>54</v>
      </c>
      <c r="I2445" s="147" t="s">
        <v>6740</v>
      </c>
      <c r="J2445" s="147" t="s">
        <v>6741</v>
      </c>
      <c r="K2445" s="148" t="s">
        <v>576</v>
      </c>
      <c r="L2445" s="149">
        <v>46151</v>
      </c>
      <c r="M2445" s="148" t="s">
        <v>6784</v>
      </c>
    </row>
    <row r="2446" spans="1:13" ht="15" customHeight="1">
      <c r="A2446" s="142" t="s">
        <v>6785</v>
      </c>
      <c r="B2446" s="142">
        <v>518435</v>
      </c>
      <c r="C2446" s="143" t="s">
        <v>6735</v>
      </c>
      <c r="D2446" s="142" t="s">
        <v>6736</v>
      </c>
      <c r="E2446" s="143" t="s">
        <v>6774</v>
      </c>
      <c r="F2446" s="143" t="s">
        <v>6783</v>
      </c>
      <c r="G2446" s="142" t="s">
        <v>6739</v>
      </c>
      <c r="H2446" s="142" t="s">
        <v>54</v>
      </c>
      <c r="I2446" s="143" t="s">
        <v>6740</v>
      </c>
      <c r="J2446" s="143" t="s">
        <v>6741</v>
      </c>
      <c r="K2446" s="144" t="s">
        <v>121</v>
      </c>
      <c r="L2446" s="145">
        <v>46148</v>
      </c>
      <c r="M2446" s="144"/>
    </row>
    <row r="2447" spans="1:13" ht="15" customHeight="1">
      <c r="A2447" s="146" t="s">
        <v>6786</v>
      </c>
      <c r="B2447" s="146">
        <v>517970</v>
      </c>
      <c r="C2447" s="147" t="s">
        <v>6735</v>
      </c>
      <c r="D2447" s="146" t="s">
        <v>6736</v>
      </c>
      <c r="E2447" s="147" t="s">
        <v>6774</v>
      </c>
      <c r="F2447" s="147" t="s">
        <v>6783</v>
      </c>
      <c r="G2447" s="146" t="s">
        <v>6739</v>
      </c>
      <c r="H2447" s="146" t="s">
        <v>54</v>
      </c>
      <c r="I2447" s="147" t="s">
        <v>6740</v>
      </c>
      <c r="J2447" s="147" t="s">
        <v>6741</v>
      </c>
      <c r="K2447" s="148" t="s">
        <v>121</v>
      </c>
      <c r="L2447" s="149">
        <v>46149</v>
      </c>
      <c r="M2447" s="148"/>
    </row>
    <row r="2448" spans="1:13" ht="15" customHeight="1">
      <c r="A2448" s="142" t="s">
        <v>6787</v>
      </c>
      <c r="B2448" s="142">
        <v>518126</v>
      </c>
      <c r="C2448" s="143" t="s">
        <v>6735</v>
      </c>
      <c r="D2448" s="142" t="s">
        <v>6736</v>
      </c>
      <c r="E2448" s="143" t="s">
        <v>6774</v>
      </c>
      <c r="F2448" s="143" t="s">
        <v>6783</v>
      </c>
      <c r="G2448" s="142" t="s">
        <v>6739</v>
      </c>
      <c r="H2448" s="142" t="s">
        <v>54</v>
      </c>
      <c r="I2448" s="143" t="s">
        <v>6740</v>
      </c>
      <c r="J2448" s="143" t="s">
        <v>6741</v>
      </c>
      <c r="K2448" s="144" t="s">
        <v>121</v>
      </c>
      <c r="L2448" s="145">
        <v>46148</v>
      </c>
      <c r="M2448" s="144"/>
    </row>
    <row r="2449" spans="1:13" ht="15" customHeight="1">
      <c r="A2449" s="146" t="s">
        <v>6788</v>
      </c>
      <c r="B2449" s="146">
        <v>517971</v>
      </c>
      <c r="C2449" s="147" t="s">
        <v>6735</v>
      </c>
      <c r="D2449" s="146" t="s">
        <v>6736</v>
      </c>
      <c r="E2449" s="147" t="s">
        <v>6774</v>
      </c>
      <c r="F2449" s="147" t="s">
        <v>6783</v>
      </c>
      <c r="G2449" s="146" t="s">
        <v>6739</v>
      </c>
      <c r="H2449" s="146" t="s">
        <v>54</v>
      </c>
      <c r="I2449" s="147" t="s">
        <v>6740</v>
      </c>
      <c r="J2449" s="147" t="s">
        <v>6741</v>
      </c>
      <c r="K2449" s="148" t="s">
        <v>121</v>
      </c>
      <c r="L2449" s="149">
        <v>46151</v>
      </c>
      <c r="M2449" s="148"/>
    </row>
    <row r="2450" spans="1:13" ht="15" customHeight="1">
      <c r="A2450" s="142" t="s">
        <v>6789</v>
      </c>
      <c r="B2450" s="142">
        <v>517975</v>
      </c>
      <c r="C2450" s="143" t="s">
        <v>6735</v>
      </c>
      <c r="D2450" s="142" t="s">
        <v>6736</v>
      </c>
      <c r="E2450" s="143" t="s">
        <v>6774</v>
      </c>
      <c r="F2450" s="143" t="s">
        <v>6783</v>
      </c>
      <c r="G2450" s="142" t="s">
        <v>6739</v>
      </c>
      <c r="H2450" s="142" t="s">
        <v>54</v>
      </c>
      <c r="I2450" s="143" t="s">
        <v>6740</v>
      </c>
      <c r="J2450" s="143" t="s">
        <v>6741</v>
      </c>
      <c r="K2450" s="144" t="s">
        <v>121</v>
      </c>
      <c r="L2450" s="145">
        <v>46151</v>
      </c>
      <c r="M2450" s="144"/>
    </row>
    <row r="2451" spans="1:13" ht="15" customHeight="1">
      <c r="A2451" s="146" t="s">
        <v>6790</v>
      </c>
      <c r="B2451" s="146">
        <v>517988</v>
      </c>
      <c r="C2451" s="147" t="s">
        <v>6735</v>
      </c>
      <c r="D2451" s="146" t="s">
        <v>6736</v>
      </c>
      <c r="E2451" s="147" t="s">
        <v>6774</v>
      </c>
      <c r="F2451" s="147" t="s">
        <v>6783</v>
      </c>
      <c r="G2451" s="146" t="s">
        <v>6739</v>
      </c>
      <c r="H2451" s="146" t="s">
        <v>54</v>
      </c>
      <c r="I2451" s="147" t="s">
        <v>6740</v>
      </c>
      <c r="J2451" s="147" t="s">
        <v>6741</v>
      </c>
      <c r="K2451" s="148"/>
      <c r="L2451" s="149"/>
      <c r="M2451" s="148"/>
    </row>
    <row r="2452" spans="1:13" ht="15" customHeight="1">
      <c r="A2452" s="142" t="s">
        <v>6791</v>
      </c>
      <c r="B2452" s="142">
        <v>517985</v>
      </c>
      <c r="C2452" s="143" t="s">
        <v>6735</v>
      </c>
      <c r="D2452" s="142" t="s">
        <v>6736</v>
      </c>
      <c r="E2452" s="143" t="s">
        <v>6774</v>
      </c>
      <c r="F2452" s="143" t="s">
        <v>6783</v>
      </c>
      <c r="G2452" s="142" t="s">
        <v>6739</v>
      </c>
      <c r="H2452" s="142" t="s">
        <v>54</v>
      </c>
      <c r="I2452" s="143" t="s">
        <v>6740</v>
      </c>
      <c r="J2452" s="143" t="s">
        <v>6741</v>
      </c>
      <c r="K2452" s="144"/>
      <c r="L2452" s="145"/>
      <c r="M2452" s="144"/>
    </row>
    <row r="2453" spans="1:13" ht="15" customHeight="1">
      <c r="A2453" s="146" t="s">
        <v>6792</v>
      </c>
      <c r="B2453" s="146">
        <v>517986</v>
      </c>
      <c r="C2453" s="147" t="s">
        <v>6735</v>
      </c>
      <c r="D2453" s="146" t="s">
        <v>6736</v>
      </c>
      <c r="E2453" s="147" t="s">
        <v>6774</v>
      </c>
      <c r="F2453" s="147" t="s">
        <v>6783</v>
      </c>
      <c r="G2453" s="146" t="s">
        <v>6739</v>
      </c>
      <c r="H2453" s="146" t="s">
        <v>54</v>
      </c>
      <c r="I2453" s="147" t="s">
        <v>6740</v>
      </c>
      <c r="J2453" s="147" t="s">
        <v>6741</v>
      </c>
      <c r="K2453" s="148" t="s">
        <v>121</v>
      </c>
      <c r="L2453" s="149">
        <v>46151</v>
      </c>
      <c r="M2453" s="148"/>
    </row>
    <row r="2454" spans="1:13" ht="15" customHeight="1">
      <c r="A2454" s="142" t="s">
        <v>6793</v>
      </c>
      <c r="B2454" s="142">
        <v>517989</v>
      </c>
      <c r="C2454" s="143" t="s">
        <v>6735</v>
      </c>
      <c r="D2454" s="142" t="s">
        <v>6736</v>
      </c>
      <c r="E2454" s="143" t="s">
        <v>6774</v>
      </c>
      <c r="F2454" s="143" t="s">
        <v>6783</v>
      </c>
      <c r="G2454" s="142" t="s">
        <v>6739</v>
      </c>
      <c r="H2454" s="142" t="s">
        <v>54</v>
      </c>
      <c r="I2454" s="143" t="s">
        <v>6740</v>
      </c>
      <c r="J2454" s="143" t="s">
        <v>6741</v>
      </c>
      <c r="K2454" s="144"/>
      <c r="L2454" s="145"/>
      <c r="M2454" s="144"/>
    </row>
    <row r="2455" spans="1:13" ht="15" customHeight="1">
      <c r="A2455" s="146" t="s">
        <v>6794</v>
      </c>
      <c r="B2455" s="146">
        <v>517997</v>
      </c>
      <c r="C2455" s="147" t="s">
        <v>6735</v>
      </c>
      <c r="D2455" s="146" t="s">
        <v>6736</v>
      </c>
      <c r="E2455" s="147" t="s">
        <v>6774</v>
      </c>
      <c r="F2455" s="147" t="s">
        <v>6783</v>
      </c>
      <c r="G2455" s="146" t="s">
        <v>6739</v>
      </c>
      <c r="H2455" s="146" t="s">
        <v>54</v>
      </c>
      <c r="I2455" s="147" t="s">
        <v>6740</v>
      </c>
      <c r="J2455" s="147" t="s">
        <v>6741</v>
      </c>
      <c r="K2455" s="148" t="s">
        <v>121</v>
      </c>
      <c r="L2455" s="149">
        <v>46151</v>
      </c>
      <c r="M2455" s="148"/>
    </row>
    <row r="2456" spans="1:13" ht="15" customHeight="1">
      <c r="A2456" s="142" t="s">
        <v>6795</v>
      </c>
      <c r="B2456" s="142">
        <v>517974</v>
      </c>
      <c r="C2456" s="143" t="s">
        <v>6735</v>
      </c>
      <c r="D2456" s="142" t="s">
        <v>6736</v>
      </c>
      <c r="E2456" s="143" t="s">
        <v>6774</v>
      </c>
      <c r="F2456" s="143" t="s">
        <v>6783</v>
      </c>
      <c r="G2456" s="142" t="s">
        <v>6739</v>
      </c>
      <c r="H2456" s="142" t="s">
        <v>54</v>
      </c>
      <c r="I2456" s="143" t="s">
        <v>6740</v>
      </c>
      <c r="J2456" s="143" t="s">
        <v>6741</v>
      </c>
      <c r="K2456" s="144"/>
      <c r="L2456" s="145"/>
      <c r="M2456" s="144"/>
    </row>
    <row r="2457" spans="1:13" ht="15" customHeight="1">
      <c r="A2457" s="146" t="s">
        <v>6796</v>
      </c>
      <c r="B2457" s="146">
        <v>517972</v>
      </c>
      <c r="C2457" s="147" t="s">
        <v>6735</v>
      </c>
      <c r="D2457" s="146" t="s">
        <v>6736</v>
      </c>
      <c r="E2457" s="147" t="s">
        <v>6774</v>
      </c>
      <c r="F2457" s="147" t="s">
        <v>6783</v>
      </c>
      <c r="G2457" s="146" t="s">
        <v>6739</v>
      </c>
      <c r="H2457" s="146" t="s">
        <v>54</v>
      </c>
      <c r="I2457" s="147" t="s">
        <v>6740</v>
      </c>
      <c r="J2457" s="147" t="s">
        <v>6741</v>
      </c>
      <c r="K2457" s="148"/>
      <c r="L2457" s="149"/>
      <c r="M2457" s="148"/>
    </row>
    <row r="2458" spans="1:13" ht="15" customHeight="1">
      <c r="A2458" s="142" t="s">
        <v>6797</v>
      </c>
      <c r="B2458" s="142">
        <v>517990</v>
      </c>
      <c r="C2458" s="143" t="s">
        <v>6735</v>
      </c>
      <c r="D2458" s="142" t="s">
        <v>6736</v>
      </c>
      <c r="E2458" s="143" t="s">
        <v>6774</v>
      </c>
      <c r="F2458" s="143" t="s">
        <v>6783</v>
      </c>
      <c r="G2458" s="142" t="s">
        <v>6739</v>
      </c>
      <c r="H2458" s="142" t="s">
        <v>54</v>
      </c>
      <c r="I2458" s="143" t="s">
        <v>6740</v>
      </c>
      <c r="J2458" s="143" t="s">
        <v>6741</v>
      </c>
      <c r="K2458" s="144" t="s">
        <v>121</v>
      </c>
      <c r="L2458" s="145">
        <v>46149</v>
      </c>
      <c r="M2458" s="144"/>
    </row>
    <row r="2459" spans="1:13" ht="15" customHeight="1">
      <c r="A2459" s="146" t="s">
        <v>6798</v>
      </c>
      <c r="B2459" s="146">
        <v>518436</v>
      </c>
      <c r="C2459" s="147" t="s">
        <v>6735</v>
      </c>
      <c r="D2459" s="146" t="s">
        <v>6736</v>
      </c>
      <c r="E2459" s="147" t="s">
        <v>6774</v>
      </c>
      <c r="F2459" s="147" t="s">
        <v>6783</v>
      </c>
      <c r="G2459" s="146" t="s">
        <v>6739</v>
      </c>
      <c r="H2459" s="146" t="s">
        <v>54</v>
      </c>
      <c r="I2459" s="147" t="s">
        <v>6740</v>
      </c>
      <c r="J2459" s="147" t="s">
        <v>6741</v>
      </c>
      <c r="K2459" s="148"/>
      <c r="L2459" s="149"/>
      <c r="M2459" s="148"/>
    </row>
    <row r="2460" spans="1:13" ht="15" customHeight="1">
      <c r="A2460" s="142" t="s">
        <v>6799</v>
      </c>
      <c r="B2460" s="142">
        <v>518437</v>
      </c>
      <c r="C2460" s="143" t="s">
        <v>6735</v>
      </c>
      <c r="D2460" s="142" t="s">
        <v>6736</v>
      </c>
      <c r="E2460" s="143" t="s">
        <v>6774</v>
      </c>
      <c r="F2460" s="143" t="s">
        <v>6783</v>
      </c>
      <c r="G2460" s="142" t="s">
        <v>6739</v>
      </c>
      <c r="H2460" s="142" t="s">
        <v>54</v>
      </c>
      <c r="I2460" s="143" t="s">
        <v>6740</v>
      </c>
      <c r="J2460" s="143" t="s">
        <v>6741</v>
      </c>
      <c r="K2460" s="144"/>
      <c r="L2460" s="145"/>
      <c r="M2460" s="144"/>
    </row>
    <row r="2461" spans="1:13" ht="15" customHeight="1">
      <c r="A2461" s="146" t="s">
        <v>6800</v>
      </c>
      <c r="B2461" s="146">
        <v>517981</v>
      </c>
      <c r="C2461" s="147" t="s">
        <v>6735</v>
      </c>
      <c r="D2461" s="146" t="s">
        <v>6736</v>
      </c>
      <c r="E2461" s="147" t="s">
        <v>6774</v>
      </c>
      <c r="F2461" s="147" t="s">
        <v>6801</v>
      </c>
      <c r="G2461" s="146" t="s">
        <v>6739</v>
      </c>
      <c r="H2461" s="146" t="s">
        <v>54</v>
      </c>
      <c r="I2461" s="147" t="s">
        <v>6740</v>
      </c>
      <c r="J2461" s="147" t="s">
        <v>6741</v>
      </c>
      <c r="K2461" s="148"/>
      <c r="L2461" s="149"/>
      <c r="M2461" s="148"/>
    </row>
    <row r="2462" spans="1:13" ht="15" customHeight="1">
      <c r="A2462" s="142" t="s">
        <v>6802</v>
      </c>
      <c r="B2462" s="142">
        <v>518128</v>
      </c>
      <c r="C2462" s="143" t="s">
        <v>6803</v>
      </c>
      <c r="D2462" s="142" t="s">
        <v>6736</v>
      </c>
      <c r="E2462" s="143" t="s">
        <v>6774</v>
      </c>
      <c r="F2462" s="143" t="s">
        <v>6804</v>
      </c>
      <c r="G2462" s="142" t="s">
        <v>109</v>
      </c>
      <c r="H2462" s="142" t="s">
        <v>54</v>
      </c>
      <c r="I2462" s="143" t="s">
        <v>6740</v>
      </c>
      <c r="J2462" s="143" t="s">
        <v>104</v>
      </c>
      <c r="K2462" s="144" t="s">
        <v>121</v>
      </c>
      <c r="L2462" s="145">
        <v>46150</v>
      </c>
      <c r="M2462" s="144"/>
    </row>
    <row r="2463" spans="1:13" ht="15" customHeight="1">
      <c r="A2463" s="146" t="s">
        <v>6805</v>
      </c>
      <c r="B2463" s="146">
        <v>517996</v>
      </c>
      <c r="C2463" s="147" t="s">
        <v>2295</v>
      </c>
      <c r="D2463" s="146" t="s">
        <v>6736</v>
      </c>
      <c r="E2463" s="147" t="s">
        <v>6774</v>
      </c>
      <c r="F2463" s="147" t="s">
        <v>6806</v>
      </c>
      <c r="G2463" s="146" t="s">
        <v>109</v>
      </c>
      <c r="H2463" s="146" t="s">
        <v>54</v>
      </c>
      <c r="I2463" s="147" t="s">
        <v>6740</v>
      </c>
      <c r="J2463" s="147" t="s">
        <v>104</v>
      </c>
      <c r="K2463" s="148"/>
      <c r="L2463" s="149"/>
      <c r="M2463" s="148"/>
    </row>
    <row r="2464" spans="1:13" ht="15" customHeight="1">
      <c r="A2464" s="142" t="s">
        <v>6807</v>
      </c>
      <c r="B2464" s="142">
        <v>517982</v>
      </c>
      <c r="C2464" s="143" t="s">
        <v>6808</v>
      </c>
      <c r="D2464" s="142" t="s">
        <v>6736</v>
      </c>
      <c r="E2464" s="143" t="s">
        <v>6774</v>
      </c>
      <c r="F2464" s="143" t="s">
        <v>6809</v>
      </c>
      <c r="G2464" s="142" t="s">
        <v>109</v>
      </c>
      <c r="H2464" s="142" t="s">
        <v>54</v>
      </c>
      <c r="I2464" s="143" t="s">
        <v>6740</v>
      </c>
      <c r="J2464" s="143" t="s">
        <v>104</v>
      </c>
      <c r="K2464" s="144"/>
      <c r="L2464" s="145"/>
      <c r="M2464" s="144"/>
    </row>
    <row r="2465" spans="1:13" ht="15" customHeight="1">
      <c r="A2465" s="146" t="s">
        <v>6810</v>
      </c>
      <c r="B2465" s="146">
        <v>517978</v>
      </c>
      <c r="C2465" s="147" t="s">
        <v>6735</v>
      </c>
      <c r="D2465" s="146" t="s">
        <v>6736</v>
      </c>
      <c r="E2465" s="147" t="s">
        <v>6774</v>
      </c>
      <c r="F2465" s="147" t="s">
        <v>6811</v>
      </c>
      <c r="G2465" s="146" t="s">
        <v>6739</v>
      </c>
      <c r="H2465" s="146" t="s">
        <v>54</v>
      </c>
      <c r="I2465" s="147" t="s">
        <v>6740</v>
      </c>
      <c r="J2465" s="147" t="s">
        <v>6741</v>
      </c>
      <c r="K2465" s="148"/>
      <c r="L2465" s="149"/>
      <c r="M2465" s="148"/>
    </row>
    <row r="2466" spans="1:13" ht="15" customHeight="1">
      <c r="A2466" s="142" t="s">
        <v>6812</v>
      </c>
      <c r="B2466" s="142">
        <v>518047</v>
      </c>
      <c r="C2466" s="143" t="s">
        <v>6813</v>
      </c>
      <c r="D2466" s="142" t="s">
        <v>6736</v>
      </c>
      <c r="E2466" s="143" t="s">
        <v>6774</v>
      </c>
      <c r="F2466" s="143" t="s">
        <v>6814</v>
      </c>
      <c r="G2466" s="142" t="s">
        <v>109</v>
      </c>
      <c r="H2466" s="142" t="s">
        <v>54</v>
      </c>
      <c r="I2466" s="143" t="s">
        <v>6740</v>
      </c>
      <c r="J2466" s="143" t="s">
        <v>104</v>
      </c>
      <c r="K2466" s="144"/>
      <c r="L2466" s="145"/>
      <c r="M2466" s="144"/>
    </row>
    <row r="2467" spans="1:13" ht="15" customHeight="1">
      <c r="A2467" s="146" t="s">
        <v>6815</v>
      </c>
      <c r="B2467" s="146">
        <v>518063</v>
      </c>
      <c r="C2467" s="147" t="s">
        <v>6816</v>
      </c>
      <c r="D2467" s="146" t="s">
        <v>6736</v>
      </c>
      <c r="E2467" s="147" t="s">
        <v>6774</v>
      </c>
      <c r="F2467" s="147" t="s">
        <v>6781</v>
      </c>
      <c r="G2467" s="146" t="s">
        <v>109</v>
      </c>
      <c r="H2467" s="146" t="s">
        <v>54</v>
      </c>
      <c r="I2467" s="147" t="s">
        <v>6740</v>
      </c>
      <c r="J2467" s="147" t="s">
        <v>104</v>
      </c>
      <c r="K2467" s="148"/>
      <c r="L2467" s="149"/>
      <c r="M2467" s="148"/>
    </row>
    <row r="2468" spans="1:13" ht="15" customHeight="1">
      <c r="A2468" s="142" t="s">
        <v>6817</v>
      </c>
      <c r="B2468" s="142">
        <v>518058</v>
      </c>
      <c r="C2468" s="143" t="s">
        <v>6818</v>
      </c>
      <c r="D2468" s="142" t="s">
        <v>6736</v>
      </c>
      <c r="E2468" s="143" t="s">
        <v>6774</v>
      </c>
      <c r="F2468" s="143" t="s">
        <v>6702</v>
      </c>
      <c r="G2468" s="142" t="s">
        <v>109</v>
      </c>
      <c r="H2468" s="142" t="s">
        <v>54</v>
      </c>
      <c r="I2468" s="143" t="s">
        <v>6740</v>
      </c>
      <c r="J2468" s="143" t="s">
        <v>104</v>
      </c>
      <c r="K2468" s="144"/>
      <c r="L2468" s="145"/>
      <c r="M2468" s="144"/>
    </row>
    <row r="2469" spans="1:13" ht="15" customHeight="1">
      <c r="A2469" s="146" t="s">
        <v>6819</v>
      </c>
      <c r="B2469" s="146">
        <v>520170</v>
      </c>
      <c r="C2469" s="147" t="s">
        <v>6735</v>
      </c>
      <c r="D2469" s="146" t="s">
        <v>6736</v>
      </c>
      <c r="E2469" s="147" t="s">
        <v>6774</v>
      </c>
      <c r="F2469" s="147" t="s">
        <v>6820</v>
      </c>
      <c r="G2469" s="146" t="s">
        <v>6739</v>
      </c>
      <c r="H2469" s="146" t="s">
        <v>54</v>
      </c>
      <c r="I2469" s="147" t="s">
        <v>6740</v>
      </c>
      <c r="J2469" s="147" t="s">
        <v>6741</v>
      </c>
      <c r="K2469" s="148"/>
      <c r="L2469" s="149"/>
      <c r="M2469" s="148"/>
    </row>
    <row r="2470" spans="1:13" ht="15" customHeight="1">
      <c r="A2470" s="142" t="s">
        <v>6821</v>
      </c>
      <c r="B2470" s="142">
        <v>518062</v>
      </c>
      <c r="C2470" s="143" t="s">
        <v>6822</v>
      </c>
      <c r="D2470" s="142" t="s">
        <v>6736</v>
      </c>
      <c r="E2470" s="143" t="s">
        <v>6774</v>
      </c>
      <c r="F2470" s="143" t="s">
        <v>6823</v>
      </c>
      <c r="G2470" s="142" t="s">
        <v>109</v>
      </c>
      <c r="H2470" s="142" t="s">
        <v>54</v>
      </c>
      <c r="I2470" s="143" t="s">
        <v>6740</v>
      </c>
      <c r="J2470" s="143" t="s">
        <v>104</v>
      </c>
      <c r="K2470" s="144"/>
      <c r="L2470" s="145"/>
      <c r="M2470" s="144"/>
    </row>
    <row r="2471" spans="1:13" ht="15" customHeight="1">
      <c r="A2471" s="146" t="s">
        <v>6824</v>
      </c>
      <c r="B2471" s="146">
        <v>518073</v>
      </c>
      <c r="C2471" s="147" t="s">
        <v>6735</v>
      </c>
      <c r="D2471" s="146" t="s">
        <v>6736</v>
      </c>
      <c r="E2471" s="147" t="s">
        <v>6774</v>
      </c>
      <c r="F2471" s="147" t="s">
        <v>6825</v>
      </c>
      <c r="G2471" s="146" t="s">
        <v>6739</v>
      </c>
      <c r="H2471" s="146" t="s">
        <v>54</v>
      </c>
      <c r="I2471" s="147" t="s">
        <v>6740</v>
      </c>
      <c r="J2471" s="147" t="s">
        <v>6741</v>
      </c>
      <c r="K2471" s="148"/>
      <c r="L2471" s="149"/>
      <c r="M2471" s="148"/>
    </row>
    <row r="2472" spans="1:13" ht="15" customHeight="1">
      <c r="A2472" s="142" t="s">
        <v>6826</v>
      </c>
      <c r="B2472" s="142">
        <v>518012</v>
      </c>
      <c r="C2472" s="143" t="s">
        <v>6735</v>
      </c>
      <c r="D2472" s="142" t="s">
        <v>6736</v>
      </c>
      <c r="E2472" s="143" t="s">
        <v>6774</v>
      </c>
      <c r="F2472" s="143" t="s">
        <v>6827</v>
      </c>
      <c r="G2472" s="142" t="s">
        <v>6739</v>
      </c>
      <c r="H2472" s="142" t="s">
        <v>54</v>
      </c>
      <c r="I2472" s="143" t="s">
        <v>6740</v>
      </c>
      <c r="J2472" s="143" t="s">
        <v>6741</v>
      </c>
      <c r="K2472" s="144"/>
      <c r="L2472" s="145"/>
      <c r="M2472" s="144"/>
    </row>
    <row r="2473" spans="1:13" ht="15" customHeight="1">
      <c r="A2473" s="146" t="s">
        <v>6828</v>
      </c>
      <c r="B2473" s="146">
        <v>518013</v>
      </c>
      <c r="C2473" s="147" t="s">
        <v>6735</v>
      </c>
      <c r="D2473" s="146" t="s">
        <v>6736</v>
      </c>
      <c r="E2473" s="147" t="s">
        <v>6774</v>
      </c>
      <c r="F2473" s="147" t="s">
        <v>6827</v>
      </c>
      <c r="G2473" s="146" t="s">
        <v>6739</v>
      </c>
      <c r="H2473" s="146" t="s">
        <v>54</v>
      </c>
      <c r="I2473" s="147" t="s">
        <v>6740</v>
      </c>
      <c r="J2473" s="147" t="s">
        <v>6741</v>
      </c>
      <c r="K2473" s="148"/>
      <c r="L2473" s="149"/>
      <c r="M2473" s="148"/>
    </row>
    <row r="2474" spans="1:13" ht="15" customHeight="1">
      <c r="A2474" s="142" t="s">
        <v>6829</v>
      </c>
      <c r="B2474" s="142">
        <v>517977</v>
      </c>
      <c r="C2474" s="143" t="s">
        <v>6830</v>
      </c>
      <c r="D2474" s="142" t="s">
        <v>6736</v>
      </c>
      <c r="E2474" s="143" t="s">
        <v>6831</v>
      </c>
      <c r="F2474" s="143" t="s">
        <v>6832</v>
      </c>
      <c r="G2474" s="142" t="s">
        <v>109</v>
      </c>
      <c r="H2474" s="142" t="s">
        <v>54</v>
      </c>
      <c r="I2474" s="143" t="s">
        <v>6740</v>
      </c>
      <c r="J2474" s="143" t="s">
        <v>104</v>
      </c>
      <c r="K2474" s="144"/>
      <c r="L2474" s="145"/>
      <c r="M2474" s="144"/>
    </row>
    <row r="2475" spans="1:13" ht="15" customHeight="1">
      <c r="A2475" s="146" t="s">
        <v>6833</v>
      </c>
      <c r="B2475" s="146">
        <v>518054</v>
      </c>
      <c r="C2475" s="147" t="s">
        <v>6834</v>
      </c>
      <c r="D2475" s="146" t="s">
        <v>6736</v>
      </c>
      <c r="E2475" s="147" t="s">
        <v>6831</v>
      </c>
      <c r="F2475" s="147" t="s">
        <v>6835</v>
      </c>
      <c r="G2475" s="146" t="s">
        <v>109</v>
      </c>
      <c r="H2475" s="146" t="s">
        <v>54</v>
      </c>
      <c r="I2475" s="147" t="s">
        <v>6740</v>
      </c>
      <c r="J2475" s="147" t="s">
        <v>104</v>
      </c>
      <c r="K2475" s="148"/>
      <c r="L2475" s="149"/>
      <c r="M2475" s="148"/>
    </row>
    <row r="2476" spans="1:13" ht="15" customHeight="1">
      <c r="A2476" s="142" t="s">
        <v>6836</v>
      </c>
      <c r="B2476" s="142">
        <v>518070</v>
      </c>
      <c r="C2476" s="143" t="s">
        <v>6735</v>
      </c>
      <c r="D2476" s="142" t="s">
        <v>6736</v>
      </c>
      <c r="E2476" s="143" t="s">
        <v>6837</v>
      </c>
      <c r="F2476" s="143" t="s">
        <v>6838</v>
      </c>
      <c r="G2476" s="142" t="s">
        <v>6739</v>
      </c>
      <c r="H2476" s="142" t="s">
        <v>54</v>
      </c>
      <c r="I2476" s="143" t="s">
        <v>6740</v>
      </c>
      <c r="J2476" s="143" t="s">
        <v>6741</v>
      </c>
      <c r="K2476" s="144" t="s">
        <v>121</v>
      </c>
      <c r="L2476" s="145">
        <v>46148</v>
      </c>
      <c r="M2476" s="144"/>
    </row>
    <row r="2477" spans="1:13" ht="15" customHeight="1">
      <c r="A2477" s="146" t="s">
        <v>6839</v>
      </c>
      <c r="B2477" s="146">
        <v>517980</v>
      </c>
      <c r="C2477" s="147" t="s">
        <v>6840</v>
      </c>
      <c r="D2477" s="146" t="s">
        <v>6736</v>
      </c>
      <c r="E2477" s="147" t="s">
        <v>6837</v>
      </c>
      <c r="F2477" s="147" t="s">
        <v>6841</v>
      </c>
      <c r="G2477" s="146" t="s">
        <v>109</v>
      </c>
      <c r="H2477" s="146" t="s">
        <v>54</v>
      </c>
      <c r="I2477" s="147" t="s">
        <v>6740</v>
      </c>
      <c r="J2477" s="147" t="s">
        <v>104</v>
      </c>
      <c r="K2477" s="148" t="s">
        <v>121</v>
      </c>
      <c r="L2477" s="149">
        <v>46148</v>
      </c>
      <c r="M2477" s="148"/>
    </row>
    <row r="2478" spans="1:13" ht="15" customHeight="1">
      <c r="A2478" s="142" t="s">
        <v>6842</v>
      </c>
      <c r="B2478" s="142">
        <v>517976</v>
      </c>
      <c r="C2478" s="143" t="s">
        <v>6841</v>
      </c>
      <c r="D2478" s="142" t="s">
        <v>6736</v>
      </c>
      <c r="E2478" s="143" t="s">
        <v>6837</v>
      </c>
      <c r="F2478" s="143" t="s">
        <v>6841</v>
      </c>
      <c r="G2478" s="142" t="s">
        <v>109</v>
      </c>
      <c r="H2478" s="142" t="s">
        <v>54</v>
      </c>
      <c r="I2478" s="143" t="s">
        <v>6740</v>
      </c>
      <c r="J2478" s="143" t="s">
        <v>104</v>
      </c>
      <c r="K2478" s="144" t="s">
        <v>576</v>
      </c>
      <c r="L2478" s="145">
        <v>46148</v>
      </c>
      <c r="M2478" s="181" t="s">
        <v>6843</v>
      </c>
    </row>
    <row r="2479" spans="1:13" ht="15" customHeight="1">
      <c r="A2479" s="146" t="s">
        <v>6844</v>
      </c>
      <c r="B2479" s="146">
        <v>518060</v>
      </c>
      <c r="C2479" s="147" t="s">
        <v>6845</v>
      </c>
      <c r="D2479" s="146" t="s">
        <v>6736</v>
      </c>
      <c r="E2479" s="147" t="s">
        <v>6837</v>
      </c>
      <c r="F2479" s="147" t="s">
        <v>6846</v>
      </c>
      <c r="G2479" s="146" t="s">
        <v>109</v>
      </c>
      <c r="H2479" s="146" t="s">
        <v>54</v>
      </c>
      <c r="I2479" s="147" t="s">
        <v>6740</v>
      </c>
      <c r="J2479" s="147" t="s">
        <v>104</v>
      </c>
      <c r="K2479" s="148" t="s">
        <v>121</v>
      </c>
      <c r="L2479" s="149">
        <v>46148</v>
      </c>
      <c r="M2479" s="148"/>
    </row>
    <row r="2480" spans="1:13" ht="15" customHeight="1">
      <c r="A2480" s="142" t="s">
        <v>6847</v>
      </c>
      <c r="B2480" s="142">
        <v>518099</v>
      </c>
      <c r="C2480" s="143" t="s">
        <v>6848</v>
      </c>
      <c r="D2480" s="142" t="s">
        <v>6736</v>
      </c>
      <c r="E2480" s="143" t="s">
        <v>6837</v>
      </c>
      <c r="F2480" s="143" t="s">
        <v>6849</v>
      </c>
      <c r="G2480" s="142" t="s">
        <v>109</v>
      </c>
      <c r="H2480" s="142" t="s">
        <v>54</v>
      </c>
      <c r="I2480" s="143" t="s">
        <v>6740</v>
      </c>
      <c r="J2480" s="143" t="s">
        <v>104</v>
      </c>
      <c r="K2480" s="144" t="s">
        <v>121</v>
      </c>
      <c r="L2480" s="145">
        <v>46150</v>
      </c>
      <c r="M2480" s="144"/>
    </row>
    <row r="2481" spans="1:13" ht="15" customHeight="1">
      <c r="A2481" s="146" t="s">
        <v>6850</v>
      </c>
      <c r="B2481" s="146">
        <v>517984</v>
      </c>
      <c r="C2481" s="147" t="s">
        <v>6851</v>
      </c>
      <c r="D2481" s="146" t="s">
        <v>6736</v>
      </c>
      <c r="E2481" s="147" t="s">
        <v>6837</v>
      </c>
      <c r="F2481" s="147" t="s">
        <v>6852</v>
      </c>
      <c r="G2481" s="146" t="s">
        <v>109</v>
      </c>
      <c r="H2481" s="146" t="s">
        <v>54</v>
      </c>
      <c r="I2481" s="147" t="s">
        <v>6740</v>
      </c>
      <c r="J2481" s="147" t="s">
        <v>104</v>
      </c>
      <c r="K2481" s="148" t="s">
        <v>162</v>
      </c>
      <c r="L2481" s="149">
        <v>46149</v>
      </c>
      <c r="M2481" s="148" t="s">
        <v>6853</v>
      </c>
    </row>
    <row r="2482" spans="1:13" ht="15" customHeight="1">
      <c r="A2482" s="142" t="s">
        <v>6854</v>
      </c>
      <c r="B2482" s="142">
        <v>518098</v>
      </c>
      <c r="C2482" s="143" t="s">
        <v>6855</v>
      </c>
      <c r="D2482" s="142" t="s">
        <v>6736</v>
      </c>
      <c r="E2482" s="143" t="s">
        <v>6837</v>
      </c>
      <c r="F2482" s="143" t="s">
        <v>6856</v>
      </c>
      <c r="G2482" s="142" t="s">
        <v>109</v>
      </c>
      <c r="H2482" s="142" t="s">
        <v>54</v>
      </c>
      <c r="I2482" s="143" t="s">
        <v>6740</v>
      </c>
      <c r="J2482" s="143" t="s">
        <v>104</v>
      </c>
      <c r="K2482" s="144" t="s">
        <v>121</v>
      </c>
      <c r="L2482" s="145">
        <v>46149</v>
      </c>
      <c r="M2482" s="144"/>
    </row>
    <row r="2483" spans="1:13" ht="15" customHeight="1">
      <c r="A2483" s="146" t="s">
        <v>6857</v>
      </c>
      <c r="B2483" s="146">
        <v>518030</v>
      </c>
      <c r="C2483" s="147" t="s">
        <v>6735</v>
      </c>
      <c r="D2483" s="146" t="s">
        <v>6736</v>
      </c>
      <c r="E2483" s="147" t="s">
        <v>6837</v>
      </c>
      <c r="F2483" s="147" t="s">
        <v>6858</v>
      </c>
      <c r="G2483" s="146" t="s">
        <v>6739</v>
      </c>
      <c r="H2483" s="146" t="s">
        <v>54</v>
      </c>
      <c r="I2483" s="147" t="s">
        <v>6740</v>
      </c>
      <c r="J2483" s="147" t="s">
        <v>6741</v>
      </c>
      <c r="K2483" s="148" t="s">
        <v>121</v>
      </c>
      <c r="L2483" s="149">
        <v>46150</v>
      </c>
      <c r="M2483" s="148"/>
    </row>
    <row r="2484" spans="1:13" ht="15" customHeight="1">
      <c r="A2484" s="142" t="s">
        <v>6859</v>
      </c>
      <c r="B2484" s="142">
        <v>518029</v>
      </c>
      <c r="C2484" s="143" t="s">
        <v>6735</v>
      </c>
      <c r="D2484" s="142" t="s">
        <v>6736</v>
      </c>
      <c r="E2484" s="143" t="s">
        <v>6837</v>
      </c>
      <c r="F2484" s="143" t="s">
        <v>6858</v>
      </c>
      <c r="G2484" s="142" t="s">
        <v>6739</v>
      </c>
      <c r="H2484" s="142" t="s">
        <v>54</v>
      </c>
      <c r="I2484" s="143" t="s">
        <v>6740</v>
      </c>
      <c r="J2484" s="143" t="s">
        <v>6741</v>
      </c>
      <c r="K2484" s="144" t="s">
        <v>121</v>
      </c>
      <c r="L2484" s="145">
        <v>46150</v>
      </c>
      <c r="M2484" s="144"/>
    </row>
    <row r="2485" spans="1:13" ht="15" customHeight="1">
      <c r="A2485" s="146" t="s">
        <v>6860</v>
      </c>
      <c r="B2485" s="146">
        <v>518028</v>
      </c>
      <c r="C2485" s="147" t="s">
        <v>6861</v>
      </c>
      <c r="D2485" s="146" t="s">
        <v>6736</v>
      </c>
      <c r="E2485" s="147" t="s">
        <v>6837</v>
      </c>
      <c r="F2485" s="147" t="s">
        <v>6862</v>
      </c>
      <c r="G2485" s="146" t="s">
        <v>109</v>
      </c>
      <c r="H2485" s="146" t="s">
        <v>54</v>
      </c>
      <c r="I2485" s="147" t="s">
        <v>6740</v>
      </c>
      <c r="J2485" s="147" t="s">
        <v>104</v>
      </c>
      <c r="K2485" s="148" t="s">
        <v>121</v>
      </c>
      <c r="L2485" s="149">
        <v>46148</v>
      </c>
      <c r="M2485" s="148"/>
    </row>
    <row r="2486" spans="1:13" ht="15" customHeight="1">
      <c r="A2486" s="142" t="s">
        <v>6863</v>
      </c>
      <c r="B2486" s="142">
        <v>518045</v>
      </c>
      <c r="C2486" s="143" t="s">
        <v>6735</v>
      </c>
      <c r="D2486" s="142" t="s">
        <v>6736</v>
      </c>
      <c r="E2486" s="143" t="s">
        <v>6837</v>
      </c>
      <c r="F2486" s="143" t="s">
        <v>6837</v>
      </c>
      <c r="G2486" s="142" t="s">
        <v>6739</v>
      </c>
      <c r="H2486" s="142" t="s">
        <v>54</v>
      </c>
      <c r="I2486" s="143" t="s">
        <v>6740</v>
      </c>
      <c r="J2486" s="143" t="s">
        <v>6741</v>
      </c>
      <c r="K2486" s="144" t="s">
        <v>121</v>
      </c>
      <c r="L2486" s="145">
        <v>46149</v>
      </c>
      <c r="M2486" s="144"/>
    </row>
    <row r="2487" spans="1:13" ht="15" customHeight="1">
      <c r="A2487" s="146" t="s">
        <v>6864</v>
      </c>
      <c r="B2487" s="146">
        <v>518100</v>
      </c>
      <c r="C2487" s="147" t="s">
        <v>6864</v>
      </c>
      <c r="D2487" s="146" t="s">
        <v>6736</v>
      </c>
      <c r="E2487" s="147" t="s">
        <v>6837</v>
      </c>
      <c r="F2487" s="147" t="s">
        <v>6865</v>
      </c>
      <c r="G2487" s="146" t="s">
        <v>109</v>
      </c>
      <c r="H2487" s="146" t="s">
        <v>54</v>
      </c>
      <c r="I2487" s="147" t="s">
        <v>6740</v>
      </c>
      <c r="J2487" s="147" t="s">
        <v>104</v>
      </c>
      <c r="K2487" s="148" t="s">
        <v>121</v>
      </c>
      <c r="L2487" s="149">
        <v>46149</v>
      </c>
      <c r="M2487" s="148"/>
    </row>
    <row r="2488" spans="1:13" ht="15" customHeight="1">
      <c r="A2488" s="142" t="s">
        <v>6866</v>
      </c>
      <c r="B2488" s="142">
        <v>518108</v>
      </c>
      <c r="C2488" s="143" t="s">
        <v>6867</v>
      </c>
      <c r="D2488" s="142" t="s">
        <v>6736</v>
      </c>
      <c r="E2488" s="143" t="s">
        <v>6868</v>
      </c>
      <c r="F2488" s="143" t="s">
        <v>6869</v>
      </c>
      <c r="G2488" s="142" t="s">
        <v>109</v>
      </c>
      <c r="H2488" s="142" t="s">
        <v>54</v>
      </c>
      <c r="I2488" s="143" t="s">
        <v>6740</v>
      </c>
      <c r="J2488" s="143" t="s">
        <v>104</v>
      </c>
      <c r="K2488" s="144"/>
      <c r="L2488" s="145"/>
      <c r="M2488" s="144"/>
    </row>
    <row r="2489" spans="1:13" ht="15" customHeight="1">
      <c r="A2489" s="146" t="s">
        <v>6870</v>
      </c>
      <c r="B2489" s="146">
        <v>518049</v>
      </c>
      <c r="C2489" s="147" t="s">
        <v>6735</v>
      </c>
      <c r="D2489" s="146" t="s">
        <v>6736</v>
      </c>
      <c r="E2489" s="147" t="s">
        <v>6868</v>
      </c>
      <c r="F2489" s="147" t="s">
        <v>1123</v>
      </c>
      <c r="G2489" s="146" t="s">
        <v>6739</v>
      </c>
      <c r="H2489" s="146" t="s">
        <v>54</v>
      </c>
      <c r="I2489" s="147" t="s">
        <v>6740</v>
      </c>
      <c r="J2489" s="147" t="s">
        <v>6741</v>
      </c>
      <c r="K2489" s="148"/>
      <c r="L2489" s="149"/>
      <c r="M2489" s="148"/>
    </row>
    <row r="2490" spans="1:13" ht="15" customHeight="1">
      <c r="A2490" s="142" t="s">
        <v>6871</v>
      </c>
      <c r="B2490" s="142">
        <v>518105</v>
      </c>
      <c r="C2490" s="143" t="s">
        <v>6872</v>
      </c>
      <c r="D2490" s="142" t="s">
        <v>6736</v>
      </c>
      <c r="E2490" s="143" t="s">
        <v>6868</v>
      </c>
      <c r="F2490" s="143" t="s">
        <v>6873</v>
      </c>
      <c r="G2490" s="142" t="s">
        <v>109</v>
      </c>
      <c r="H2490" s="142" t="s">
        <v>54</v>
      </c>
      <c r="I2490" s="143" t="s">
        <v>6740</v>
      </c>
      <c r="J2490" s="143" t="s">
        <v>104</v>
      </c>
      <c r="K2490" s="144"/>
      <c r="L2490" s="145"/>
      <c r="M2490" s="144"/>
    </row>
    <row r="2491" spans="1:13" ht="15" customHeight="1">
      <c r="A2491" s="146" t="s">
        <v>6874</v>
      </c>
      <c r="B2491" s="146">
        <v>518066</v>
      </c>
      <c r="C2491" s="147" t="s">
        <v>6875</v>
      </c>
      <c r="D2491" s="146" t="s">
        <v>6736</v>
      </c>
      <c r="E2491" s="147" t="s">
        <v>6868</v>
      </c>
      <c r="F2491" s="147" t="s">
        <v>6876</v>
      </c>
      <c r="G2491" s="146" t="s">
        <v>109</v>
      </c>
      <c r="H2491" s="146" t="s">
        <v>54</v>
      </c>
      <c r="I2491" s="147" t="s">
        <v>6740</v>
      </c>
      <c r="J2491" s="147" t="s">
        <v>104</v>
      </c>
      <c r="K2491" s="148"/>
      <c r="L2491" s="149"/>
      <c r="M2491" s="148"/>
    </row>
    <row r="2492" spans="1:13" ht="15" customHeight="1">
      <c r="A2492" s="142" t="s">
        <v>6877</v>
      </c>
      <c r="B2492" s="142">
        <v>518067</v>
      </c>
      <c r="C2492" s="143" t="s">
        <v>6876</v>
      </c>
      <c r="D2492" s="142" t="s">
        <v>6736</v>
      </c>
      <c r="E2492" s="143" t="s">
        <v>6868</v>
      </c>
      <c r="F2492" s="143" t="s">
        <v>6876</v>
      </c>
      <c r="G2492" s="142" t="s">
        <v>109</v>
      </c>
      <c r="H2492" s="142" t="s">
        <v>54</v>
      </c>
      <c r="I2492" s="143" t="s">
        <v>6740</v>
      </c>
      <c r="J2492" s="143" t="s">
        <v>104</v>
      </c>
      <c r="K2492" s="144"/>
      <c r="L2492" s="145"/>
      <c r="M2492" s="144"/>
    </row>
    <row r="2493" spans="1:13" ht="15" customHeight="1">
      <c r="A2493" s="146" t="s">
        <v>6878</v>
      </c>
      <c r="B2493" s="146">
        <v>518068</v>
      </c>
      <c r="C2493" s="147" t="s">
        <v>6735</v>
      </c>
      <c r="D2493" s="146" t="s">
        <v>6736</v>
      </c>
      <c r="E2493" s="147" t="s">
        <v>6868</v>
      </c>
      <c r="F2493" s="147" t="s">
        <v>6876</v>
      </c>
      <c r="G2493" s="146" t="s">
        <v>6739</v>
      </c>
      <c r="H2493" s="146" t="s">
        <v>54</v>
      </c>
      <c r="I2493" s="147" t="s">
        <v>6740</v>
      </c>
      <c r="J2493" s="147" t="s">
        <v>6741</v>
      </c>
      <c r="K2493" s="148"/>
      <c r="L2493" s="149"/>
      <c r="M2493" s="148"/>
    </row>
    <row r="2494" spans="1:13" ht="15" customHeight="1">
      <c r="A2494" s="142" t="s">
        <v>6879</v>
      </c>
      <c r="B2494" s="142">
        <v>518127</v>
      </c>
      <c r="C2494" s="143" t="s">
        <v>6880</v>
      </c>
      <c r="D2494" s="142" t="s">
        <v>6736</v>
      </c>
      <c r="E2494" s="143" t="s">
        <v>6868</v>
      </c>
      <c r="F2494" s="143" t="s">
        <v>6880</v>
      </c>
      <c r="G2494" s="142" t="s">
        <v>109</v>
      </c>
      <c r="H2494" s="142" t="s">
        <v>54</v>
      </c>
      <c r="I2494" s="143" t="s">
        <v>6740</v>
      </c>
      <c r="J2494" s="143" t="s">
        <v>104</v>
      </c>
      <c r="K2494" s="144"/>
      <c r="L2494" s="145"/>
      <c r="M2494" s="144"/>
    </row>
    <row r="2495" spans="1:13" ht="15" customHeight="1">
      <c r="A2495" s="146" t="s">
        <v>6881</v>
      </c>
      <c r="B2495" s="146">
        <v>518018</v>
      </c>
      <c r="C2495" s="147" t="s">
        <v>6735</v>
      </c>
      <c r="D2495" s="146" t="s">
        <v>6736</v>
      </c>
      <c r="E2495" s="147" t="s">
        <v>6868</v>
      </c>
      <c r="F2495" s="147" t="s">
        <v>6882</v>
      </c>
      <c r="G2495" s="146" t="s">
        <v>6739</v>
      </c>
      <c r="H2495" s="146" t="s">
        <v>54</v>
      </c>
      <c r="I2495" s="147" t="s">
        <v>6740</v>
      </c>
      <c r="J2495" s="147" t="s">
        <v>6741</v>
      </c>
      <c r="K2495" s="148"/>
      <c r="L2495" s="149"/>
      <c r="M2495" s="148"/>
    </row>
    <row r="2496" spans="1:13" ht="15" customHeight="1">
      <c r="A2496" s="142" t="s">
        <v>6883</v>
      </c>
      <c r="B2496" s="142">
        <v>518130</v>
      </c>
      <c r="C2496" s="143" t="s">
        <v>6735</v>
      </c>
      <c r="D2496" s="142" t="s">
        <v>6736</v>
      </c>
      <c r="E2496" s="143" t="s">
        <v>6868</v>
      </c>
      <c r="F2496" s="143" t="s">
        <v>6882</v>
      </c>
      <c r="G2496" s="142" t="s">
        <v>6739</v>
      </c>
      <c r="H2496" s="142" t="s">
        <v>54</v>
      </c>
      <c r="I2496" s="143" t="s">
        <v>6740</v>
      </c>
      <c r="J2496" s="143" t="s">
        <v>6741</v>
      </c>
      <c r="K2496" s="144"/>
      <c r="L2496" s="145"/>
      <c r="M2496" s="144"/>
    </row>
    <row r="2497" spans="1:13" ht="15" customHeight="1">
      <c r="A2497" s="146" t="s">
        <v>6884</v>
      </c>
      <c r="B2497" s="146">
        <v>518131</v>
      </c>
      <c r="C2497" s="147" t="s">
        <v>6735</v>
      </c>
      <c r="D2497" s="146" t="s">
        <v>6736</v>
      </c>
      <c r="E2497" s="147" t="s">
        <v>6868</v>
      </c>
      <c r="F2497" s="147" t="s">
        <v>6882</v>
      </c>
      <c r="G2497" s="146" t="s">
        <v>6739</v>
      </c>
      <c r="H2497" s="146" t="s">
        <v>54</v>
      </c>
      <c r="I2497" s="147" t="s">
        <v>6740</v>
      </c>
      <c r="J2497" s="147" t="s">
        <v>6741</v>
      </c>
      <c r="K2497" s="148"/>
      <c r="L2497" s="149"/>
      <c r="M2497" s="148"/>
    </row>
    <row r="2498" spans="1:13" ht="15" customHeight="1">
      <c r="A2498" s="142" t="s">
        <v>6885</v>
      </c>
      <c r="B2498" s="142">
        <v>518129</v>
      </c>
      <c r="C2498" s="143" t="s">
        <v>6735</v>
      </c>
      <c r="D2498" s="142" t="s">
        <v>6736</v>
      </c>
      <c r="E2498" s="143" t="s">
        <v>6868</v>
      </c>
      <c r="F2498" s="143" t="s">
        <v>6882</v>
      </c>
      <c r="G2498" s="142" t="s">
        <v>6739</v>
      </c>
      <c r="H2498" s="142" t="s">
        <v>54</v>
      </c>
      <c r="I2498" s="143" t="s">
        <v>6740</v>
      </c>
      <c r="J2498" s="143" t="s">
        <v>6741</v>
      </c>
      <c r="K2498" s="144"/>
      <c r="L2498" s="145"/>
      <c r="M2498" s="144"/>
    </row>
    <row r="2499" spans="1:13" ht="15" customHeight="1">
      <c r="A2499" s="146" t="s">
        <v>6886</v>
      </c>
      <c r="B2499" s="146">
        <v>518107</v>
      </c>
      <c r="C2499" s="147" t="s">
        <v>6887</v>
      </c>
      <c r="D2499" s="146" t="s">
        <v>6736</v>
      </c>
      <c r="E2499" s="147" t="s">
        <v>6868</v>
      </c>
      <c r="F2499" s="147" t="s">
        <v>6888</v>
      </c>
      <c r="G2499" s="146" t="s">
        <v>109</v>
      </c>
      <c r="H2499" s="146" t="s">
        <v>54</v>
      </c>
      <c r="I2499" s="147" t="s">
        <v>6740</v>
      </c>
      <c r="J2499" s="147" t="s">
        <v>104</v>
      </c>
      <c r="K2499" s="148"/>
      <c r="L2499" s="149"/>
      <c r="M2499" s="148"/>
    </row>
    <row r="2500" spans="1:13" ht="15" customHeight="1">
      <c r="A2500" s="142" t="s">
        <v>6889</v>
      </c>
      <c r="B2500" s="142">
        <v>518017</v>
      </c>
      <c r="C2500" s="143" t="s">
        <v>6890</v>
      </c>
      <c r="D2500" s="142" t="s">
        <v>6736</v>
      </c>
      <c r="E2500" s="143" t="s">
        <v>6868</v>
      </c>
      <c r="F2500" s="143" t="s">
        <v>6888</v>
      </c>
      <c r="G2500" s="142" t="s">
        <v>109</v>
      </c>
      <c r="H2500" s="142" t="s">
        <v>54</v>
      </c>
      <c r="I2500" s="143" t="s">
        <v>6740</v>
      </c>
      <c r="J2500" s="143" t="s">
        <v>104</v>
      </c>
      <c r="K2500" s="144"/>
      <c r="L2500" s="145"/>
      <c r="M2500" s="144"/>
    </row>
    <row r="2501" spans="1:13" ht="15" customHeight="1">
      <c r="A2501" s="146" t="s">
        <v>6891</v>
      </c>
      <c r="B2501" s="146">
        <v>518283</v>
      </c>
      <c r="C2501" s="147" t="s">
        <v>6892</v>
      </c>
      <c r="D2501" s="146" t="s">
        <v>6893</v>
      </c>
      <c r="E2501" s="147" t="s">
        <v>6894</v>
      </c>
      <c r="F2501" s="147" t="s">
        <v>6894</v>
      </c>
      <c r="G2501" s="146" t="s">
        <v>109</v>
      </c>
      <c r="H2501" s="146" t="s">
        <v>54</v>
      </c>
      <c r="I2501" s="147" t="s">
        <v>6895</v>
      </c>
      <c r="J2501" s="147" t="s">
        <v>104</v>
      </c>
      <c r="K2501" s="148"/>
      <c r="L2501" s="149"/>
      <c r="M2501" s="148"/>
    </row>
    <row r="2502" spans="1:13" ht="15" customHeight="1">
      <c r="A2502" s="142" t="s">
        <v>6896</v>
      </c>
      <c r="B2502" s="142">
        <v>518328</v>
      </c>
      <c r="C2502" s="143" t="s">
        <v>6735</v>
      </c>
      <c r="D2502" s="142" t="s">
        <v>6893</v>
      </c>
      <c r="E2502" s="143" t="s">
        <v>6897</v>
      </c>
      <c r="F2502" s="143" t="s">
        <v>6897</v>
      </c>
      <c r="G2502" s="142" t="s">
        <v>6739</v>
      </c>
      <c r="H2502" s="142" t="s">
        <v>54</v>
      </c>
      <c r="I2502" s="143" t="s">
        <v>6895</v>
      </c>
      <c r="J2502" s="143" t="s">
        <v>6741</v>
      </c>
      <c r="K2502" s="144"/>
      <c r="L2502" s="145"/>
      <c r="M2502" s="144"/>
    </row>
    <row r="2503" spans="1:13" ht="15" customHeight="1">
      <c r="A2503" s="146" t="s">
        <v>6898</v>
      </c>
      <c r="B2503" s="146">
        <v>518228</v>
      </c>
      <c r="C2503" s="147" t="s">
        <v>2328</v>
      </c>
      <c r="D2503" s="146" t="s">
        <v>6893</v>
      </c>
      <c r="E2503" s="147" t="s">
        <v>6899</v>
      </c>
      <c r="F2503" s="147" t="s">
        <v>6899</v>
      </c>
      <c r="G2503" s="146" t="s">
        <v>109</v>
      </c>
      <c r="H2503" s="146" t="s">
        <v>54</v>
      </c>
      <c r="I2503" s="147" t="s">
        <v>6895</v>
      </c>
      <c r="J2503" s="147" t="s">
        <v>104</v>
      </c>
      <c r="K2503" s="148"/>
      <c r="L2503" s="149"/>
      <c r="M2503" s="148"/>
    </row>
    <row r="2504" spans="1:13" ht="15" customHeight="1">
      <c r="A2504" s="142" t="s">
        <v>6900</v>
      </c>
      <c r="B2504" s="142">
        <v>518303</v>
      </c>
      <c r="C2504" s="143" t="s">
        <v>6735</v>
      </c>
      <c r="D2504" s="142" t="s">
        <v>6893</v>
      </c>
      <c r="E2504" s="143" t="s">
        <v>6899</v>
      </c>
      <c r="F2504" s="143" t="s">
        <v>6899</v>
      </c>
      <c r="G2504" s="142" t="s">
        <v>6739</v>
      </c>
      <c r="H2504" s="142" t="s">
        <v>54</v>
      </c>
      <c r="I2504" s="143" t="s">
        <v>6895</v>
      </c>
      <c r="J2504" s="143" t="s">
        <v>6741</v>
      </c>
      <c r="K2504" s="144"/>
      <c r="L2504" s="145"/>
      <c r="M2504" s="144"/>
    </row>
    <row r="2505" spans="1:13" ht="15" customHeight="1">
      <c r="A2505" s="146" t="s">
        <v>6901</v>
      </c>
      <c r="B2505" s="146">
        <v>518275</v>
      </c>
      <c r="C2505" s="147" t="s">
        <v>6902</v>
      </c>
      <c r="D2505" s="146" t="s">
        <v>6893</v>
      </c>
      <c r="E2505" s="147" t="s">
        <v>6903</v>
      </c>
      <c r="F2505" s="147" t="s">
        <v>6903</v>
      </c>
      <c r="G2505" s="146" t="s">
        <v>109</v>
      </c>
      <c r="H2505" s="146" t="s">
        <v>54</v>
      </c>
      <c r="I2505" s="147" t="s">
        <v>6895</v>
      </c>
      <c r="J2505" s="147" t="s">
        <v>104</v>
      </c>
      <c r="K2505" s="148"/>
      <c r="L2505" s="149"/>
      <c r="M2505" s="148"/>
    </row>
    <row r="2506" spans="1:13" ht="15" customHeight="1">
      <c r="A2506" s="142" t="s">
        <v>6904</v>
      </c>
      <c r="B2506" s="142">
        <v>518276</v>
      </c>
      <c r="C2506" s="143" t="s">
        <v>6905</v>
      </c>
      <c r="D2506" s="142" t="s">
        <v>6893</v>
      </c>
      <c r="E2506" s="143" t="s">
        <v>6903</v>
      </c>
      <c r="F2506" s="143" t="s">
        <v>6903</v>
      </c>
      <c r="G2506" s="142" t="s">
        <v>109</v>
      </c>
      <c r="H2506" s="142" t="s">
        <v>54</v>
      </c>
      <c r="I2506" s="143" t="s">
        <v>6895</v>
      </c>
      <c r="J2506" s="143" t="s">
        <v>104</v>
      </c>
      <c r="K2506" s="144"/>
      <c r="L2506" s="145"/>
      <c r="M2506" s="144"/>
    </row>
    <row r="2507" spans="1:13" ht="15" customHeight="1">
      <c r="A2507" s="146" t="s">
        <v>6906</v>
      </c>
      <c r="B2507" s="146">
        <v>518350</v>
      </c>
      <c r="C2507" s="147" t="s">
        <v>6735</v>
      </c>
      <c r="D2507" s="146" t="s">
        <v>6893</v>
      </c>
      <c r="E2507" s="147" t="s">
        <v>6907</v>
      </c>
      <c r="F2507" s="147" t="s">
        <v>6907</v>
      </c>
      <c r="G2507" s="146" t="s">
        <v>6739</v>
      </c>
      <c r="H2507" s="146" t="s">
        <v>54</v>
      </c>
      <c r="I2507" s="147" t="s">
        <v>6895</v>
      </c>
      <c r="J2507" s="147" t="s">
        <v>6741</v>
      </c>
      <c r="K2507" s="148"/>
      <c r="L2507" s="149"/>
      <c r="M2507" s="148"/>
    </row>
    <row r="2508" spans="1:13" ht="15" customHeight="1">
      <c r="A2508" s="142" t="s">
        <v>6908</v>
      </c>
      <c r="B2508" s="142">
        <v>518342</v>
      </c>
      <c r="C2508" s="143" t="s">
        <v>6735</v>
      </c>
      <c r="D2508" s="142" t="s">
        <v>6893</v>
      </c>
      <c r="E2508" s="143" t="s">
        <v>6907</v>
      </c>
      <c r="F2508" s="143" t="s">
        <v>6909</v>
      </c>
      <c r="G2508" s="142" t="s">
        <v>6739</v>
      </c>
      <c r="H2508" s="142" t="s">
        <v>54</v>
      </c>
      <c r="I2508" s="143" t="s">
        <v>6895</v>
      </c>
      <c r="J2508" s="143" t="s">
        <v>6741</v>
      </c>
      <c r="K2508" s="144"/>
      <c r="L2508" s="145"/>
      <c r="M2508" s="144"/>
    </row>
    <row r="2509" spans="1:13" ht="15" customHeight="1">
      <c r="A2509" s="146" t="s">
        <v>6910</v>
      </c>
      <c r="B2509" s="146">
        <v>518349</v>
      </c>
      <c r="C2509" s="147" t="s">
        <v>6911</v>
      </c>
      <c r="D2509" s="146" t="s">
        <v>6893</v>
      </c>
      <c r="E2509" s="147" t="s">
        <v>6907</v>
      </c>
      <c r="F2509" s="147" t="s">
        <v>6912</v>
      </c>
      <c r="G2509" s="146" t="s">
        <v>109</v>
      </c>
      <c r="H2509" s="146" t="s">
        <v>54</v>
      </c>
      <c r="I2509" s="147" t="s">
        <v>6895</v>
      </c>
      <c r="J2509" s="147" t="s">
        <v>104</v>
      </c>
      <c r="K2509" s="148"/>
      <c r="L2509" s="149"/>
      <c r="M2509" s="148"/>
    </row>
    <row r="2510" spans="1:13" ht="15" customHeight="1">
      <c r="A2510" s="142" t="s">
        <v>6913</v>
      </c>
      <c r="B2510" s="142">
        <v>518306</v>
      </c>
      <c r="C2510" s="143" t="s">
        <v>6914</v>
      </c>
      <c r="D2510" s="142" t="s">
        <v>6893</v>
      </c>
      <c r="E2510" s="143" t="s">
        <v>6915</v>
      </c>
      <c r="F2510" s="143" t="s">
        <v>6915</v>
      </c>
      <c r="G2510" s="142" t="s">
        <v>109</v>
      </c>
      <c r="H2510" s="142" t="s">
        <v>54</v>
      </c>
      <c r="I2510" s="143" t="s">
        <v>6895</v>
      </c>
      <c r="J2510" s="143" t="s">
        <v>104</v>
      </c>
      <c r="K2510" s="144"/>
      <c r="L2510" s="145"/>
      <c r="M2510" s="144"/>
    </row>
    <row r="2511" spans="1:13" ht="15" customHeight="1">
      <c r="A2511" s="146" t="s">
        <v>6916</v>
      </c>
      <c r="B2511" s="146">
        <v>518174</v>
      </c>
      <c r="C2511" s="147" t="s">
        <v>6735</v>
      </c>
      <c r="D2511" s="146" t="s">
        <v>6893</v>
      </c>
      <c r="E2511" s="147" t="s">
        <v>6917</v>
      </c>
      <c r="F2511" s="147" t="s">
        <v>6918</v>
      </c>
      <c r="G2511" s="146" t="s">
        <v>6739</v>
      </c>
      <c r="H2511" s="146" t="s">
        <v>54</v>
      </c>
      <c r="I2511" s="147" t="s">
        <v>6895</v>
      </c>
      <c r="J2511" s="147" t="s">
        <v>6741</v>
      </c>
      <c r="K2511" s="148"/>
      <c r="L2511" s="149"/>
      <c r="M2511" s="148"/>
    </row>
    <row r="2512" spans="1:13" ht="15" customHeight="1">
      <c r="A2512" s="142" t="s">
        <v>6919</v>
      </c>
      <c r="B2512" s="142">
        <v>518331</v>
      </c>
      <c r="C2512" s="143" t="s">
        <v>6920</v>
      </c>
      <c r="D2512" s="142" t="s">
        <v>6893</v>
      </c>
      <c r="E2512" s="143" t="s">
        <v>6917</v>
      </c>
      <c r="F2512" s="143" t="s">
        <v>6921</v>
      </c>
      <c r="G2512" s="142" t="s">
        <v>109</v>
      </c>
      <c r="H2512" s="142" t="s">
        <v>54</v>
      </c>
      <c r="I2512" s="143" t="s">
        <v>6895</v>
      </c>
      <c r="J2512" s="143" t="s">
        <v>104</v>
      </c>
      <c r="K2512" s="144"/>
      <c r="L2512" s="145"/>
      <c r="M2512" s="144"/>
    </row>
    <row r="2513" spans="1:13" ht="15" customHeight="1">
      <c r="A2513" s="146" t="s">
        <v>6922</v>
      </c>
      <c r="B2513" s="146">
        <v>518341</v>
      </c>
      <c r="C2513" s="147" t="s">
        <v>6735</v>
      </c>
      <c r="D2513" s="146" t="s">
        <v>6893</v>
      </c>
      <c r="E2513" s="147" t="s">
        <v>6917</v>
      </c>
      <c r="F2513" s="147" t="s">
        <v>6923</v>
      </c>
      <c r="G2513" s="146" t="s">
        <v>6739</v>
      </c>
      <c r="H2513" s="146" t="s">
        <v>54</v>
      </c>
      <c r="I2513" s="147" t="s">
        <v>6895</v>
      </c>
      <c r="J2513" s="147" t="s">
        <v>6741</v>
      </c>
      <c r="K2513" s="148"/>
      <c r="L2513" s="149"/>
      <c r="M2513" s="148"/>
    </row>
    <row r="2514" spans="1:13" ht="15" customHeight="1">
      <c r="A2514" s="142" t="s">
        <v>6924</v>
      </c>
      <c r="B2514" s="142">
        <v>518144</v>
      </c>
      <c r="C2514" s="143" t="s">
        <v>6735</v>
      </c>
      <c r="D2514" s="142" t="s">
        <v>6893</v>
      </c>
      <c r="E2514" s="143" t="s">
        <v>6917</v>
      </c>
      <c r="F2514" s="143" t="s">
        <v>6925</v>
      </c>
      <c r="G2514" s="142" t="s">
        <v>6739</v>
      </c>
      <c r="H2514" s="142" t="s">
        <v>54</v>
      </c>
      <c r="I2514" s="143" t="s">
        <v>6895</v>
      </c>
      <c r="J2514" s="143" t="s">
        <v>6741</v>
      </c>
      <c r="K2514" s="144"/>
      <c r="L2514" s="145"/>
      <c r="M2514" s="144"/>
    </row>
    <row r="2515" spans="1:13" ht="15" customHeight="1">
      <c r="A2515" s="146" t="s">
        <v>6926</v>
      </c>
      <c r="B2515" s="146">
        <v>518302</v>
      </c>
      <c r="C2515" s="147" t="s">
        <v>6927</v>
      </c>
      <c r="D2515" s="146" t="s">
        <v>6893</v>
      </c>
      <c r="E2515" s="147" t="s">
        <v>6917</v>
      </c>
      <c r="F2515" s="147" t="s">
        <v>6928</v>
      </c>
      <c r="G2515" s="146" t="s">
        <v>109</v>
      </c>
      <c r="H2515" s="146" t="s">
        <v>54</v>
      </c>
      <c r="I2515" s="147" t="s">
        <v>6895</v>
      </c>
      <c r="J2515" s="147" t="s">
        <v>104</v>
      </c>
      <c r="K2515" s="148"/>
      <c r="L2515" s="149"/>
      <c r="M2515" s="148"/>
    </row>
    <row r="2516" spans="1:13" ht="15" customHeight="1">
      <c r="A2516" s="142" t="s">
        <v>6929</v>
      </c>
      <c r="B2516" s="142">
        <v>518158</v>
      </c>
      <c r="C2516" s="143" t="s">
        <v>6930</v>
      </c>
      <c r="D2516" s="142" t="s">
        <v>6893</v>
      </c>
      <c r="E2516" s="143" t="s">
        <v>6917</v>
      </c>
      <c r="F2516" s="143" t="s">
        <v>6917</v>
      </c>
      <c r="G2516" s="142" t="s">
        <v>109</v>
      </c>
      <c r="H2516" s="142" t="s">
        <v>54</v>
      </c>
      <c r="I2516" s="143" t="s">
        <v>6895</v>
      </c>
      <c r="J2516" s="143" t="s">
        <v>104</v>
      </c>
      <c r="K2516" s="144"/>
      <c r="L2516" s="145"/>
      <c r="M2516" s="144"/>
    </row>
    <row r="2517" spans="1:13" ht="15" customHeight="1">
      <c r="A2517" s="146" t="s">
        <v>6931</v>
      </c>
      <c r="B2517" s="146">
        <v>518165</v>
      </c>
      <c r="C2517" s="147" t="s">
        <v>2333</v>
      </c>
      <c r="D2517" s="146" t="s">
        <v>6893</v>
      </c>
      <c r="E2517" s="147" t="s">
        <v>6917</v>
      </c>
      <c r="F2517" s="147" t="s">
        <v>6917</v>
      </c>
      <c r="G2517" s="146" t="s">
        <v>102</v>
      </c>
      <c r="H2517" s="146" t="s">
        <v>54</v>
      </c>
      <c r="I2517" s="147" t="s">
        <v>6895</v>
      </c>
      <c r="J2517" s="147" t="s">
        <v>104</v>
      </c>
      <c r="K2517" s="148"/>
      <c r="L2517" s="149"/>
      <c r="M2517" s="148"/>
    </row>
    <row r="2518" spans="1:13" ht="15" customHeight="1">
      <c r="A2518" s="142" t="s">
        <v>6932</v>
      </c>
      <c r="B2518" s="142">
        <v>518148</v>
      </c>
      <c r="C2518" s="143" t="s">
        <v>6735</v>
      </c>
      <c r="D2518" s="142" t="s">
        <v>6893</v>
      </c>
      <c r="E2518" s="143" t="s">
        <v>6917</v>
      </c>
      <c r="F2518" s="143" t="s">
        <v>6917</v>
      </c>
      <c r="G2518" s="142" t="s">
        <v>6739</v>
      </c>
      <c r="H2518" s="142" t="s">
        <v>54</v>
      </c>
      <c r="I2518" s="143" t="s">
        <v>6895</v>
      </c>
      <c r="J2518" s="143" t="s">
        <v>6741</v>
      </c>
      <c r="K2518" s="144"/>
      <c r="L2518" s="145"/>
      <c r="M2518" s="144"/>
    </row>
    <row r="2519" spans="1:13" ht="15" customHeight="1">
      <c r="A2519" s="146" t="s">
        <v>6933</v>
      </c>
      <c r="B2519" s="146">
        <v>518157</v>
      </c>
      <c r="C2519" s="147" t="s">
        <v>6735</v>
      </c>
      <c r="D2519" s="146" t="s">
        <v>6893</v>
      </c>
      <c r="E2519" s="147" t="s">
        <v>6917</v>
      </c>
      <c r="F2519" s="147" t="s">
        <v>6917</v>
      </c>
      <c r="G2519" s="146" t="s">
        <v>6739</v>
      </c>
      <c r="H2519" s="146" t="s">
        <v>54</v>
      </c>
      <c r="I2519" s="147" t="s">
        <v>6895</v>
      </c>
      <c r="J2519" s="147" t="s">
        <v>6741</v>
      </c>
      <c r="K2519" s="148"/>
      <c r="L2519" s="149"/>
      <c r="M2519" s="148"/>
    </row>
    <row r="2520" spans="1:13" ht="15" customHeight="1">
      <c r="A2520" s="142" t="s">
        <v>6934</v>
      </c>
      <c r="B2520" s="142">
        <v>518189</v>
      </c>
      <c r="C2520" s="143" t="s">
        <v>6935</v>
      </c>
      <c r="D2520" s="142" t="s">
        <v>6893</v>
      </c>
      <c r="E2520" s="143" t="s">
        <v>6936</v>
      </c>
      <c r="F2520" s="143" t="s">
        <v>6937</v>
      </c>
      <c r="G2520" s="142" t="s">
        <v>109</v>
      </c>
      <c r="H2520" s="142" t="s">
        <v>57</v>
      </c>
      <c r="I2520" s="143" t="s">
        <v>103</v>
      </c>
      <c r="J2520" s="143" t="s">
        <v>104</v>
      </c>
      <c r="K2520" s="144"/>
      <c r="L2520" s="145"/>
      <c r="M2520" s="144"/>
    </row>
    <row r="2521" spans="1:13" ht="15" customHeight="1">
      <c r="A2521" s="146" t="s">
        <v>6938</v>
      </c>
      <c r="B2521" s="146">
        <v>518147</v>
      </c>
      <c r="C2521" s="147" t="s">
        <v>6735</v>
      </c>
      <c r="D2521" s="146" t="s">
        <v>6893</v>
      </c>
      <c r="E2521" s="147" t="s">
        <v>6917</v>
      </c>
      <c r="F2521" s="147" t="s">
        <v>6917</v>
      </c>
      <c r="G2521" s="146" t="s">
        <v>6739</v>
      </c>
      <c r="H2521" s="146" t="s">
        <v>54</v>
      </c>
      <c r="I2521" s="147" t="s">
        <v>6895</v>
      </c>
      <c r="J2521" s="147" t="s">
        <v>6741</v>
      </c>
      <c r="K2521" s="148"/>
      <c r="L2521" s="149"/>
      <c r="M2521" s="148"/>
    </row>
    <row r="2522" spans="1:13" ht="15" customHeight="1">
      <c r="A2522" s="142" t="s">
        <v>6939</v>
      </c>
      <c r="B2522" s="142">
        <v>518138</v>
      </c>
      <c r="C2522" s="143" t="s">
        <v>6735</v>
      </c>
      <c r="D2522" s="142" t="s">
        <v>6893</v>
      </c>
      <c r="E2522" s="143" t="s">
        <v>6917</v>
      </c>
      <c r="F2522" s="143" t="s">
        <v>6917</v>
      </c>
      <c r="G2522" s="142" t="s">
        <v>6739</v>
      </c>
      <c r="H2522" s="142" t="s">
        <v>54</v>
      </c>
      <c r="I2522" s="143" t="s">
        <v>6895</v>
      </c>
      <c r="J2522" s="143" t="s">
        <v>6741</v>
      </c>
      <c r="K2522" s="144"/>
      <c r="L2522" s="145"/>
      <c r="M2522" s="144"/>
    </row>
    <row r="2523" spans="1:13" ht="15" customHeight="1">
      <c r="A2523" s="146" t="s">
        <v>6940</v>
      </c>
      <c r="B2523" s="146">
        <v>518166</v>
      </c>
      <c r="C2523" s="147" t="s">
        <v>6735</v>
      </c>
      <c r="D2523" s="146" t="s">
        <v>6893</v>
      </c>
      <c r="E2523" s="147" t="s">
        <v>6917</v>
      </c>
      <c r="F2523" s="147" t="s">
        <v>6917</v>
      </c>
      <c r="G2523" s="146" t="s">
        <v>6739</v>
      </c>
      <c r="H2523" s="146" t="s">
        <v>54</v>
      </c>
      <c r="I2523" s="147" t="s">
        <v>6895</v>
      </c>
      <c r="J2523" s="147" t="s">
        <v>6741</v>
      </c>
      <c r="K2523" s="148"/>
      <c r="L2523" s="149"/>
      <c r="M2523" s="148"/>
    </row>
    <row r="2524" spans="1:13" ht="15" customHeight="1">
      <c r="A2524" s="142" t="s">
        <v>6941</v>
      </c>
      <c r="B2524" s="142">
        <v>518151</v>
      </c>
      <c r="C2524" s="143" t="s">
        <v>6735</v>
      </c>
      <c r="D2524" s="142" t="s">
        <v>6893</v>
      </c>
      <c r="E2524" s="143" t="s">
        <v>6917</v>
      </c>
      <c r="F2524" s="143" t="s">
        <v>6917</v>
      </c>
      <c r="G2524" s="142" t="s">
        <v>6739</v>
      </c>
      <c r="H2524" s="142" t="s">
        <v>54</v>
      </c>
      <c r="I2524" s="143" t="s">
        <v>6895</v>
      </c>
      <c r="J2524" s="143" t="s">
        <v>6741</v>
      </c>
      <c r="K2524" s="144"/>
      <c r="L2524" s="145"/>
      <c r="M2524" s="144"/>
    </row>
    <row r="2525" spans="1:13" ht="15" customHeight="1">
      <c r="A2525" s="146" t="s">
        <v>6942</v>
      </c>
      <c r="B2525" s="146">
        <v>518163</v>
      </c>
      <c r="C2525" s="147" t="s">
        <v>6735</v>
      </c>
      <c r="D2525" s="146" t="s">
        <v>6893</v>
      </c>
      <c r="E2525" s="147" t="s">
        <v>6917</v>
      </c>
      <c r="F2525" s="147" t="s">
        <v>6917</v>
      </c>
      <c r="G2525" s="146" t="s">
        <v>6739</v>
      </c>
      <c r="H2525" s="146" t="s">
        <v>54</v>
      </c>
      <c r="I2525" s="147" t="s">
        <v>6895</v>
      </c>
      <c r="J2525" s="147" t="s">
        <v>6741</v>
      </c>
      <c r="K2525" s="148"/>
      <c r="L2525" s="149"/>
      <c r="M2525" s="148"/>
    </row>
    <row r="2526" spans="1:13" ht="15" customHeight="1">
      <c r="A2526" s="142" t="s">
        <v>6943</v>
      </c>
      <c r="B2526" s="142">
        <v>518152</v>
      </c>
      <c r="C2526" s="143" t="s">
        <v>6735</v>
      </c>
      <c r="D2526" s="142" t="s">
        <v>6893</v>
      </c>
      <c r="E2526" s="143" t="s">
        <v>6917</v>
      </c>
      <c r="F2526" s="143" t="s">
        <v>6917</v>
      </c>
      <c r="G2526" s="142" t="s">
        <v>6739</v>
      </c>
      <c r="H2526" s="142" t="s">
        <v>54</v>
      </c>
      <c r="I2526" s="143" t="s">
        <v>6895</v>
      </c>
      <c r="J2526" s="143" t="s">
        <v>6741</v>
      </c>
      <c r="K2526" s="144"/>
      <c r="L2526" s="145"/>
      <c r="M2526" s="144"/>
    </row>
    <row r="2527" spans="1:13" ht="15" customHeight="1">
      <c r="A2527" s="146" t="s">
        <v>6944</v>
      </c>
      <c r="B2527" s="146">
        <v>518156</v>
      </c>
      <c r="C2527" s="147" t="s">
        <v>6735</v>
      </c>
      <c r="D2527" s="146" t="s">
        <v>6893</v>
      </c>
      <c r="E2527" s="147" t="s">
        <v>6917</v>
      </c>
      <c r="F2527" s="147" t="s">
        <v>6917</v>
      </c>
      <c r="G2527" s="146" t="s">
        <v>6739</v>
      </c>
      <c r="H2527" s="146" t="s">
        <v>54</v>
      </c>
      <c r="I2527" s="147" t="s">
        <v>6895</v>
      </c>
      <c r="J2527" s="147" t="s">
        <v>6741</v>
      </c>
      <c r="K2527" s="148"/>
      <c r="L2527" s="149"/>
      <c r="M2527" s="148"/>
    </row>
    <row r="2528" spans="1:13" ht="15" customHeight="1">
      <c r="A2528" s="142" t="s">
        <v>6945</v>
      </c>
      <c r="B2528" s="142">
        <v>518155</v>
      </c>
      <c r="C2528" s="143" t="s">
        <v>6735</v>
      </c>
      <c r="D2528" s="142" t="s">
        <v>6893</v>
      </c>
      <c r="E2528" s="143" t="s">
        <v>6917</v>
      </c>
      <c r="F2528" s="143" t="s">
        <v>6917</v>
      </c>
      <c r="G2528" s="142" t="s">
        <v>6739</v>
      </c>
      <c r="H2528" s="142" t="s">
        <v>54</v>
      </c>
      <c r="I2528" s="143" t="s">
        <v>6895</v>
      </c>
      <c r="J2528" s="143" t="s">
        <v>6741</v>
      </c>
      <c r="K2528" s="144"/>
      <c r="L2528" s="145"/>
      <c r="M2528" s="144"/>
    </row>
    <row r="2529" spans="1:13" ht="15" customHeight="1">
      <c r="A2529" s="146" t="s">
        <v>6946</v>
      </c>
      <c r="B2529" s="146">
        <v>518153</v>
      </c>
      <c r="C2529" s="147" t="s">
        <v>6735</v>
      </c>
      <c r="D2529" s="146" t="s">
        <v>6893</v>
      </c>
      <c r="E2529" s="147" t="s">
        <v>6917</v>
      </c>
      <c r="F2529" s="147" t="s">
        <v>6917</v>
      </c>
      <c r="G2529" s="146" t="s">
        <v>6739</v>
      </c>
      <c r="H2529" s="146" t="s">
        <v>54</v>
      </c>
      <c r="I2529" s="147" t="s">
        <v>6895</v>
      </c>
      <c r="J2529" s="147" t="s">
        <v>6741</v>
      </c>
      <c r="K2529" s="148"/>
      <c r="L2529" s="149"/>
      <c r="M2529" s="148"/>
    </row>
    <row r="2530" spans="1:13" ht="15" customHeight="1">
      <c r="A2530" s="142" t="s">
        <v>6947</v>
      </c>
      <c r="B2530" s="142">
        <v>518141</v>
      </c>
      <c r="C2530" s="143" t="s">
        <v>6735</v>
      </c>
      <c r="D2530" s="142" t="s">
        <v>6893</v>
      </c>
      <c r="E2530" s="143" t="s">
        <v>6917</v>
      </c>
      <c r="F2530" s="143" t="s">
        <v>6917</v>
      </c>
      <c r="G2530" s="142" t="s">
        <v>6739</v>
      </c>
      <c r="H2530" s="142" t="s">
        <v>54</v>
      </c>
      <c r="I2530" s="143" t="s">
        <v>6895</v>
      </c>
      <c r="J2530" s="143" t="s">
        <v>6741</v>
      </c>
      <c r="K2530" s="144"/>
      <c r="L2530" s="145"/>
      <c r="M2530" s="144"/>
    </row>
    <row r="2531" spans="1:13" ht="15" customHeight="1">
      <c r="A2531" s="146" t="s">
        <v>6948</v>
      </c>
      <c r="B2531" s="146">
        <v>518140</v>
      </c>
      <c r="C2531" s="147" t="s">
        <v>6735</v>
      </c>
      <c r="D2531" s="146" t="s">
        <v>6893</v>
      </c>
      <c r="E2531" s="147" t="s">
        <v>6917</v>
      </c>
      <c r="F2531" s="147" t="s">
        <v>6917</v>
      </c>
      <c r="G2531" s="146" t="s">
        <v>6739</v>
      </c>
      <c r="H2531" s="146" t="s">
        <v>54</v>
      </c>
      <c r="I2531" s="147" t="s">
        <v>6895</v>
      </c>
      <c r="J2531" s="147" t="s">
        <v>6741</v>
      </c>
      <c r="K2531" s="148"/>
      <c r="L2531" s="149"/>
      <c r="M2531" s="148"/>
    </row>
    <row r="2532" spans="1:13" ht="15" customHeight="1">
      <c r="A2532" s="142" t="s">
        <v>6949</v>
      </c>
      <c r="B2532" s="142">
        <v>518300</v>
      </c>
      <c r="C2532" s="143" t="s">
        <v>6735</v>
      </c>
      <c r="D2532" s="142" t="s">
        <v>6893</v>
      </c>
      <c r="E2532" s="143" t="s">
        <v>6917</v>
      </c>
      <c r="F2532" s="143" t="s">
        <v>6917</v>
      </c>
      <c r="G2532" s="142" t="s">
        <v>6739</v>
      </c>
      <c r="H2532" s="142" t="s">
        <v>54</v>
      </c>
      <c r="I2532" s="143" t="s">
        <v>6895</v>
      </c>
      <c r="J2532" s="143" t="s">
        <v>6741</v>
      </c>
      <c r="K2532" s="144"/>
      <c r="L2532" s="145"/>
      <c r="M2532" s="144"/>
    </row>
    <row r="2533" spans="1:13" ht="15" customHeight="1">
      <c r="A2533" s="146" t="s">
        <v>6950</v>
      </c>
      <c r="B2533" s="146">
        <v>518154</v>
      </c>
      <c r="C2533" s="147" t="s">
        <v>6735</v>
      </c>
      <c r="D2533" s="146" t="s">
        <v>6893</v>
      </c>
      <c r="E2533" s="147" t="s">
        <v>6917</v>
      </c>
      <c r="F2533" s="147" t="s">
        <v>6917</v>
      </c>
      <c r="G2533" s="146" t="s">
        <v>6739</v>
      </c>
      <c r="H2533" s="146" t="s">
        <v>54</v>
      </c>
      <c r="I2533" s="147" t="s">
        <v>6895</v>
      </c>
      <c r="J2533" s="147" t="s">
        <v>6741</v>
      </c>
      <c r="K2533" s="148"/>
      <c r="L2533" s="149"/>
      <c r="M2533" s="148"/>
    </row>
    <row r="2534" spans="1:13" ht="15" customHeight="1">
      <c r="A2534" s="142" t="s">
        <v>6951</v>
      </c>
      <c r="B2534" s="142">
        <v>518149</v>
      </c>
      <c r="C2534" s="143" t="s">
        <v>6735</v>
      </c>
      <c r="D2534" s="142" t="s">
        <v>6893</v>
      </c>
      <c r="E2534" s="143" t="s">
        <v>6917</v>
      </c>
      <c r="F2534" s="143" t="s">
        <v>6917</v>
      </c>
      <c r="G2534" s="142" t="s">
        <v>6739</v>
      </c>
      <c r="H2534" s="142" t="s">
        <v>54</v>
      </c>
      <c r="I2534" s="143" t="s">
        <v>6895</v>
      </c>
      <c r="J2534" s="143" t="s">
        <v>6741</v>
      </c>
      <c r="K2534" s="144"/>
      <c r="L2534" s="145"/>
      <c r="M2534" s="144"/>
    </row>
    <row r="2535" spans="1:13" ht="15" customHeight="1">
      <c r="A2535" s="146" t="s">
        <v>6952</v>
      </c>
      <c r="B2535" s="146">
        <v>518150</v>
      </c>
      <c r="C2535" s="147" t="s">
        <v>6735</v>
      </c>
      <c r="D2535" s="146" t="s">
        <v>6893</v>
      </c>
      <c r="E2535" s="147" t="s">
        <v>6917</v>
      </c>
      <c r="F2535" s="147" t="s">
        <v>6917</v>
      </c>
      <c r="G2535" s="146" t="s">
        <v>6739</v>
      </c>
      <c r="H2535" s="146" t="s">
        <v>54</v>
      </c>
      <c r="I2535" s="147" t="s">
        <v>6895</v>
      </c>
      <c r="J2535" s="147" t="s">
        <v>6741</v>
      </c>
      <c r="K2535" s="148"/>
      <c r="L2535" s="149"/>
      <c r="M2535" s="148"/>
    </row>
    <row r="2536" spans="1:13" ht="15" customHeight="1">
      <c r="A2536" s="142" t="s">
        <v>6953</v>
      </c>
      <c r="B2536" s="142">
        <v>518139</v>
      </c>
      <c r="C2536" s="143" t="s">
        <v>6735</v>
      </c>
      <c r="D2536" s="142" t="s">
        <v>6893</v>
      </c>
      <c r="E2536" s="143" t="s">
        <v>6917</v>
      </c>
      <c r="F2536" s="143" t="s">
        <v>6917</v>
      </c>
      <c r="G2536" s="142" t="s">
        <v>6739</v>
      </c>
      <c r="H2536" s="142" t="s">
        <v>54</v>
      </c>
      <c r="I2536" s="143" t="s">
        <v>6895</v>
      </c>
      <c r="J2536" s="143" t="s">
        <v>6741</v>
      </c>
      <c r="K2536" s="144"/>
      <c r="L2536" s="145"/>
      <c r="M2536" s="144"/>
    </row>
    <row r="2537" spans="1:13" ht="15" customHeight="1">
      <c r="A2537" s="146" t="s">
        <v>6954</v>
      </c>
      <c r="B2537" s="146">
        <v>518135</v>
      </c>
      <c r="C2537" s="147" t="s">
        <v>6735</v>
      </c>
      <c r="D2537" s="146" t="s">
        <v>6893</v>
      </c>
      <c r="E2537" s="147" t="s">
        <v>6917</v>
      </c>
      <c r="F2537" s="147" t="s">
        <v>6917</v>
      </c>
      <c r="G2537" s="146" t="s">
        <v>6739</v>
      </c>
      <c r="H2537" s="146" t="s">
        <v>54</v>
      </c>
      <c r="I2537" s="147" t="s">
        <v>6895</v>
      </c>
      <c r="J2537" s="147" t="s">
        <v>6741</v>
      </c>
      <c r="K2537" s="148"/>
      <c r="L2537" s="149"/>
      <c r="M2537" s="148"/>
    </row>
    <row r="2538" spans="1:13" ht="15" customHeight="1">
      <c r="A2538" s="142" t="s">
        <v>6955</v>
      </c>
      <c r="B2538" s="142">
        <v>518145</v>
      </c>
      <c r="C2538" s="143" t="s">
        <v>6735</v>
      </c>
      <c r="D2538" s="142" t="s">
        <v>6893</v>
      </c>
      <c r="E2538" s="143" t="s">
        <v>6917</v>
      </c>
      <c r="F2538" s="143" t="s">
        <v>6917</v>
      </c>
      <c r="G2538" s="142" t="s">
        <v>6739</v>
      </c>
      <c r="H2538" s="142" t="s">
        <v>54</v>
      </c>
      <c r="I2538" s="143" t="s">
        <v>6895</v>
      </c>
      <c r="J2538" s="143" t="s">
        <v>6741</v>
      </c>
      <c r="K2538" s="144"/>
      <c r="L2538" s="145"/>
      <c r="M2538" s="144"/>
    </row>
    <row r="2539" spans="1:13" ht="15" customHeight="1">
      <c r="A2539" s="146" t="s">
        <v>6956</v>
      </c>
      <c r="B2539" s="146">
        <v>518142</v>
      </c>
      <c r="C2539" s="147" t="s">
        <v>6735</v>
      </c>
      <c r="D2539" s="146" t="s">
        <v>6893</v>
      </c>
      <c r="E2539" s="147" t="s">
        <v>6917</v>
      </c>
      <c r="F2539" s="147" t="s">
        <v>6917</v>
      </c>
      <c r="G2539" s="146" t="s">
        <v>6739</v>
      </c>
      <c r="H2539" s="146" t="s">
        <v>54</v>
      </c>
      <c r="I2539" s="147" t="s">
        <v>6895</v>
      </c>
      <c r="J2539" s="147" t="s">
        <v>6741</v>
      </c>
      <c r="K2539" s="148"/>
      <c r="L2539" s="149"/>
      <c r="M2539" s="148"/>
    </row>
    <row r="2540" spans="1:13" ht="15" customHeight="1">
      <c r="A2540" s="142" t="s">
        <v>6957</v>
      </c>
      <c r="B2540" s="142">
        <v>518146</v>
      </c>
      <c r="C2540" s="143" t="s">
        <v>6735</v>
      </c>
      <c r="D2540" s="142" t="s">
        <v>6893</v>
      </c>
      <c r="E2540" s="143" t="s">
        <v>6917</v>
      </c>
      <c r="F2540" s="143" t="s">
        <v>6917</v>
      </c>
      <c r="G2540" s="142" t="s">
        <v>6739</v>
      </c>
      <c r="H2540" s="142" t="s">
        <v>54</v>
      </c>
      <c r="I2540" s="143" t="s">
        <v>6895</v>
      </c>
      <c r="J2540" s="143" t="s">
        <v>6741</v>
      </c>
      <c r="K2540" s="144"/>
      <c r="L2540" s="145"/>
      <c r="M2540" s="144"/>
    </row>
    <row r="2541" spans="1:13" ht="15" customHeight="1">
      <c r="A2541" s="146" t="s">
        <v>6958</v>
      </c>
      <c r="B2541" s="146">
        <v>518136</v>
      </c>
      <c r="C2541" s="147" t="s">
        <v>6735</v>
      </c>
      <c r="D2541" s="146" t="s">
        <v>6893</v>
      </c>
      <c r="E2541" s="147" t="s">
        <v>6917</v>
      </c>
      <c r="F2541" s="147" t="s">
        <v>6917</v>
      </c>
      <c r="G2541" s="146" t="s">
        <v>6739</v>
      </c>
      <c r="H2541" s="146" t="s">
        <v>54</v>
      </c>
      <c r="I2541" s="147" t="s">
        <v>6895</v>
      </c>
      <c r="J2541" s="147" t="s">
        <v>6741</v>
      </c>
      <c r="K2541" s="148"/>
      <c r="L2541" s="149"/>
      <c r="M2541" s="148"/>
    </row>
    <row r="2542" spans="1:13" ht="15" customHeight="1">
      <c r="A2542" s="142" t="s">
        <v>6959</v>
      </c>
      <c r="B2542" s="142">
        <v>518143</v>
      </c>
      <c r="C2542" s="143" t="s">
        <v>6735</v>
      </c>
      <c r="D2542" s="142" t="s">
        <v>6893</v>
      </c>
      <c r="E2542" s="143" t="s">
        <v>6917</v>
      </c>
      <c r="F2542" s="143" t="s">
        <v>6917</v>
      </c>
      <c r="G2542" s="142" t="s">
        <v>6739</v>
      </c>
      <c r="H2542" s="142" t="s">
        <v>54</v>
      </c>
      <c r="I2542" s="143" t="s">
        <v>6895</v>
      </c>
      <c r="J2542" s="143" t="s">
        <v>6741</v>
      </c>
      <c r="K2542" s="144"/>
      <c r="L2542" s="145"/>
      <c r="M2542" s="144"/>
    </row>
    <row r="2543" spans="1:13" ht="15" customHeight="1">
      <c r="A2543" s="146" t="s">
        <v>6960</v>
      </c>
      <c r="B2543" s="146">
        <v>518164</v>
      </c>
      <c r="C2543" s="147" t="s">
        <v>6961</v>
      </c>
      <c r="D2543" s="146" t="s">
        <v>6893</v>
      </c>
      <c r="E2543" s="147" t="s">
        <v>6917</v>
      </c>
      <c r="F2543" s="147" t="s">
        <v>6961</v>
      </c>
      <c r="G2543" s="146" t="s">
        <v>102</v>
      </c>
      <c r="H2543" s="146" t="s">
        <v>54</v>
      </c>
      <c r="I2543" s="147" t="s">
        <v>6895</v>
      </c>
      <c r="J2543" s="147" t="s">
        <v>104</v>
      </c>
      <c r="K2543" s="148"/>
      <c r="L2543" s="149"/>
      <c r="M2543" s="148"/>
    </row>
    <row r="2544" spans="1:13" ht="15" customHeight="1">
      <c r="A2544" s="142" t="s">
        <v>6962</v>
      </c>
      <c r="B2544" s="142">
        <v>518159</v>
      </c>
      <c r="C2544" s="143" t="s">
        <v>6963</v>
      </c>
      <c r="D2544" s="142" t="s">
        <v>6893</v>
      </c>
      <c r="E2544" s="143" t="s">
        <v>6917</v>
      </c>
      <c r="F2544" s="143" t="s">
        <v>6964</v>
      </c>
      <c r="G2544" s="142" t="s">
        <v>109</v>
      </c>
      <c r="H2544" s="142" t="s">
        <v>54</v>
      </c>
      <c r="I2544" s="143" t="s">
        <v>6895</v>
      </c>
      <c r="J2544" s="143" t="s">
        <v>104</v>
      </c>
      <c r="K2544" s="144"/>
      <c r="L2544" s="145"/>
      <c r="M2544" s="144"/>
    </row>
    <row r="2545" spans="1:13" ht="15" customHeight="1">
      <c r="A2545" s="146" t="s">
        <v>6965</v>
      </c>
      <c r="B2545" s="146">
        <v>518160</v>
      </c>
      <c r="C2545" s="147" t="s">
        <v>6966</v>
      </c>
      <c r="D2545" s="146" t="s">
        <v>6893</v>
      </c>
      <c r="E2545" s="147" t="s">
        <v>6917</v>
      </c>
      <c r="F2545" s="147" t="s">
        <v>6964</v>
      </c>
      <c r="G2545" s="146" t="s">
        <v>109</v>
      </c>
      <c r="H2545" s="146" t="s">
        <v>54</v>
      </c>
      <c r="I2545" s="147" t="s">
        <v>6895</v>
      </c>
      <c r="J2545" s="147" t="s">
        <v>104</v>
      </c>
      <c r="K2545" s="148"/>
      <c r="L2545" s="149"/>
      <c r="M2545" s="148"/>
    </row>
    <row r="2546" spans="1:13" ht="15" customHeight="1">
      <c r="A2546" s="142" t="s">
        <v>6967</v>
      </c>
      <c r="B2546" s="142">
        <v>518290</v>
      </c>
      <c r="C2546" s="143" t="s">
        <v>6968</v>
      </c>
      <c r="D2546" s="142" t="s">
        <v>6893</v>
      </c>
      <c r="E2546" s="143" t="s">
        <v>6917</v>
      </c>
      <c r="F2546" s="143" t="s">
        <v>6969</v>
      </c>
      <c r="G2546" s="142" t="s">
        <v>109</v>
      </c>
      <c r="H2546" s="142" t="s">
        <v>54</v>
      </c>
      <c r="I2546" s="143" t="s">
        <v>6895</v>
      </c>
      <c r="J2546" s="143" t="s">
        <v>104</v>
      </c>
      <c r="K2546" s="144"/>
      <c r="L2546" s="145"/>
      <c r="M2546" s="144"/>
    </row>
    <row r="2547" spans="1:13" ht="15" customHeight="1">
      <c r="A2547" s="146" t="s">
        <v>6970</v>
      </c>
      <c r="B2547" s="146">
        <v>518332</v>
      </c>
      <c r="C2547" s="147" t="s">
        <v>3082</v>
      </c>
      <c r="D2547" s="146" t="s">
        <v>6893</v>
      </c>
      <c r="E2547" s="147" t="s">
        <v>6917</v>
      </c>
      <c r="F2547" s="147" t="s">
        <v>6971</v>
      </c>
      <c r="G2547" s="146" t="s">
        <v>109</v>
      </c>
      <c r="H2547" s="146" t="s">
        <v>54</v>
      </c>
      <c r="I2547" s="147" t="s">
        <v>6895</v>
      </c>
      <c r="J2547" s="147" t="s">
        <v>104</v>
      </c>
      <c r="K2547" s="148"/>
      <c r="L2547" s="149"/>
      <c r="M2547" s="148"/>
    </row>
    <row r="2548" spans="1:13" ht="15" customHeight="1">
      <c r="A2548" s="142" t="s">
        <v>6972</v>
      </c>
      <c r="B2548" s="142">
        <v>518280</v>
      </c>
      <c r="C2548" s="143" t="s">
        <v>6973</v>
      </c>
      <c r="D2548" s="142" t="s">
        <v>6893</v>
      </c>
      <c r="E2548" s="143" t="s">
        <v>6917</v>
      </c>
      <c r="F2548" s="143" t="s">
        <v>6974</v>
      </c>
      <c r="G2548" s="142" t="s">
        <v>109</v>
      </c>
      <c r="H2548" s="142" t="s">
        <v>54</v>
      </c>
      <c r="I2548" s="143" t="s">
        <v>6895</v>
      </c>
      <c r="J2548" s="143" t="s">
        <v>104</v>
      </c>
      <c r="K2548" s="144"/>
      <c r="L2548" s="145"/>
      <c r="M2548" s="144"/>
    </row>
    <row r="2549" spans="1:13" ht="15" customHeight="1">
      <c r="A2549" s="146" t="s">
        <v>6975</v>
      </c>
      <c r="B2549" s="146">
        <v>518320</v>
      </c>
      <c r="C2549" s="147" t="s">
        <v>6976</v>
      </c>
      <c r="D2549" s="146" t="s">
        <v>6893</v>
      </c>
      <c r="E2549" s="147" t="s">
        <v>6917</v>
      </c>
      <c r="F2549" s="147" t="s">
        <v>6977</v>
      </c>
      <c r="G2549" s="146" t="s">
        <v>109</v>
      </c>
      <c r="H2549" s="146" t="s">
        <v>54</v>
      </c>
      <c r="I2549" s="147" t="s">
        <v>6895</v>
      </c>
      <c r="J2549" s="147" t="s">
        <v>104</v>
      </c>
      <c r="K2549" s="148"/>
      <c r="L2549" s="149"/>
      <c r="M2549" s="148"/>
    </row>
    <row r="2550" spans="1:13" ht="15" customHeight="1">
      <c r="A2550" s="142" t="s">
        <v>6978</v>
      </c>
      <c r="B2550" s="142">
        <v>518321</v>
      </c>
      <c r="C2550" s="143" t="s">
        <v>6979</v>
      </c>
      <c r="D2550" s="142" t="s">
        <v>6893</v>
      </c>
      <c r="E2550" s="143" t="s">
        <v>6917</v>
      </c>
      <c r="F2550" s="143" t="s">
        <v>6977</v>
      </c>
      <c r="G2550" s="142" t="s">
        <v>109</v>
      </c>
      <c r="H2550" s="142" t="s">
        <v>54</v>
      </c>
      <c r="I2550" s="143" t="s">
        <v>6895</v>
      </c>
      <c r="J2550" s="143" t="s">
        <v>104</v>
      </c>
      <c r="K2550" s="144"/>
      <c r="L2550" s="145"/>
      <c r="M2550" s="144"/>
    </row>
    <row r="2551" spans="1:13" ht="15" customHeight="1">
      <c r="A2551" s="146" t="s">
        <v>6980</v>
      </c>
      <c r="B2551" s="146">
        <v>518322</v>
      </c>
      <c r="C2551" s="147" t="s">
        <v>6735</v>
      </c>
      <c r="D2551" s="146" t="s">
        <v>6893</v>
      </c>
      <c r="E2551" s="147" t="s">
        <v>6917</v>
      </c>
      <c r="F2551" s="147" t="s">
        <v>6977</v>
      </c>
      <c r="G2551" s="146" t="s">
        <v>6739</v>
      </c>
      <c r="H2551" s="146" t="s">
        <v>54</v>
      </c>
      <c r="I2551" s="147" t="s">
        <v>6895</v>
      </c>
      <c r="J2551" s="147" t="s">
        <v>6741</v>
      </c>
      <c r="K2551" s="148"/>
      <c r="L2551" s="149"/>
      <c r="M2551" s="148"/>
    </row>
    <row r="2552" spans="1:13" ht="15" customHeight="1">
      <c r="A2552" s="142" t="s">
        <v>6981</v>
      </c>
      <c r="B2552" s="142">
        <v>518161</v>
      </c>
      <c r="C2552" s="143" t="s">
        <v>6982</v>
      </c>
      <c r="D2552" s="142" t="s">
        <v>6893</v>
      </c>
      <c r="E2552" s="143" t="s">
        <v>6917</v>
      </c>
      <c r="F2552" s="143" t="s">
        <v>6983</v>
      </c>
      <c r="G2552" s="142" t="s">
        <v>109</v>
      </c>
      <c r="H2552" s="142" t="s">
        <v>54</v>
      </c>
      <c r="I2552" s="143" t="s">
        <v>6895</v>
      </c>
      <c r="J2552" s="143" t="s">
        <v>104</v>
      </c>
      <c r="K2552" s="144"/>
      <c r="L2552" s="145"/>
      <c r="M2552" s="144"/>
    </row>
    <row r="2553" spans="1:13" ht="15" customHeight="1">
      <c r="A2553" s="146" t="s">
        <v>6984</v>
      </c>
      <c r="B2553" s="146">
        <v>518162</v>
      </c>
      <c r="C2553" s="147" t="s">
        <v>6735</v>
      </c>
      <c r="D2553" s="146" t="s">
        <v>6893</v>
      </c>
      <c r="E2553" s="147" t="s">
        <v>6917</v>
      </c>
      <c r="F2553" s="147" t="s">
        <v>6985</v>
      </c>
      <c r="G2553" s="146" t="s">
        <v>6739</v>
      </c>
      <c r="H2553" s="146" t="s">
        <v>54</v>
      </c>
      <c r="I2553" s="147" t="s">
        <v>6895</v>
      </c>
      <c r="J2553" s="147" t="s">
        <v>6741</v>
      </c>
      <c r="K2553" s="148"/>
      <c r="L2553" s="149"/>
      <c r="M2553" s="148"/>
    </row>
    <row r="2554" spans="1:13" ht="15" customHeight="1">
      <c r="A2554" s="142" t="s">
        <v>6986</v>
      </c>
      <c r="B2554" s="142">
        <v>518307</v>
      </c>
      <c r="C2554" s="143" t="s">
        <v>6987</v>
      </c>
      <c r="D2554" s="142" t="s">
        <v>6893</v>
      </c>
      <c r="E2554" s="143" t="s">
        <v>6988</v>
      </c>
      <c r="F2554" s="143" t="s">
        <v>6988</v>
      </c>
      <c r="G2554" s="142" t="s">
        <v>109</v>
      </c>
      <c r="H2554" s="142" t="s">
        <v>54</v>
      </c>
      <c r="I2554" s="143" t="s">
        <v>6895</v>
      </c>
      <c r="J2554" s="143" t="s">
        <v>104</v>
      </c>
      <c r="K2554" s="144"/>
      <c r="L2554" s="145"/>
      <c r="M2554" s="144"/>
    </row>
    <row r="2555" spans="1:13" ht="15" customHeight="1">
      <c r="A2555" s="146" t="s">
        <v>6989</v>
      </c>
      <c r="B2555" s="146">
        <v>518348</v>
      </c>
      <c r="C2555" s="147" t="s">
        <v>6735</v>
      </c>
      <c r="D2555" s="146" t="s">
        <v>6893</v>
      </c>
      <c r="E2555" s="147" t="s">
        <v>4041</v>
      </c>
      <c r="F2555" s="147" t="s">
        <v>4041</v>
      </c>
      <c r="G2555" s="146" t="s">
        <v>6739</v>
      </c>
      <c r="H2555" s="146" t="s">
        <v>54</v>
      </c>
      <c r="I2555" s="147" t="s">
        <v>6895</v>
      </c>
      <c r="J2555" s="147" t="s">
        <v>6741</v>
      </c>
      <c r="K2555" s="148"/>
      <c r="L2555" s="149"/>
      <c r="M2555" s="148"/>
    </row>
    <row r="2556" spans="1:13" ht="15" customHeight="1">
      <c r="A2556" s="142" t="s">
        <v>6990</v>
      </c>
      <c r="B2556" s="142">
        <v>518277</v>
      </c>
      <c r="C2556" s="143" t="s">
        <v>2278</v>
      </c>
      <c r="D2556" s="142" t="s">
        <v>6893</v>
      </c>
      <c r="E2556" s="143" t="s">
        <v>6991</v>
      </c>
      <c r="F2556" s="143" t="s">
        <v>6992</v>
      </c>
      <c r="G2556" s="142" t="s">
        <v>109</v>
      </c>
      <c r="H2556" s="142" t="s">
        <v>54</v>
      </c>
      <c r="I2556" s="143" t="s">
        <v>6895</v>
      </c>
      <c r="J2556" s="143" t="s">
        <v>104</v>
      </c>
      <c r="K2556" s="144"/>
      <c r="L2556" s="145"/>
      <c r="M2556" s="144"/>
    </row>
    <row r="2557" spans="1:13" ht="15" customHeight="1">
      <c r="A2557" s="146" t="s">
        <v>6993</v>
      </c>
      <c r="B2557" s="146">
        <v>518239</v>
      </c>
      <c r="C2557" s="147" t="s">
        <v>6735</v>
      </c>
      <c r="D2557" s="146" t="s">
        <v>6893</v>
      </c>
      <c r="E2557" s="147" t="s">
        <v>6994</v>
      </c>
      <c r="F2557" s="147" t="s">
        <v>6994</v>
      </c>
      <c r="G2557" s="146" t="s">
        <v>6739</v>
      </c>
      <c r="H2557" s="146" t="s">
        <v>54</v>
      </c>
      <c r="I2557" s="147" t="s">
        <v>6895</v>
      </c>
      <c r="J2557" s="147" t="s">
        <v>6741</v>
      </c>
      <c r="K2557" s="148"/>
      <c r="L2557" s="149"/>
      <c r="M2557" s="148"/>
    </row>
    <row r="2558" spans="1:13" ht="15" customHeight="1">
      <c r="A2558" s="142" t="s">
        <v>6995</v>
      </c>
      <c r="B2558" s="142">
        <v>518308</v>
      </c>
      <c r="C2558" s="143" t="s">
        <v>6996</v>
      </c>
      <c r="D2558" s="142" t="s">
        <v>6893</v>
      </c>
      <c r="E2558" s="143" t="s">
        <v>6997</v>
      </c>
      <c r="F2558" s="143" t="s">
        <v>6997</v>
      </c>
      <c r="G2558" s="142" t="s">
        <v>109</v>
      </c>
      <c r="H2558" s="142" t="s">
        <v>54</v>
      </c>
      <c r="I2558" s="143" t="s">
        <v>6895</v>
      </c>
      <c r="J2558" s="143" t="s">
        <v>104</v>
      </c>
      <c r="K2558" s="144"/>
      <c r="L2558" s="145"/>
      <c r="M2558" s="144"/>
    </row>
    <row r="2559" spans="1:13" ht="15" customHeight="1">
      <c r="A2559" s="146" t="s">
        <v>6998</v>
      </c>
      <c r="B2559" s="146">
        <v>518309</v>
      </c>
      <c r="C2559" s="147" t="s">
        <v>2309</v>
      </c>
      <c r="D2559" s="146" t="s">
        <v>6893</v>
      </c>
      <c r="E2559" s="147" t="s">
        <v>6997</v>
      </c>
      <c r="F2559" s="147" t="s">
        <v>6997</v>
      </c>
      <c r="G2559" s="146" t="s">
        <v>109</v>
      </c>
      <c r="H2559" s="146" t="s">
        <v>54</v>
      </c>
      <c r="I2559" s="147" t="s">
        <v>6895</v>
      </c>
      <c r="J2559" s="147" t="s">
        <v>104</v>
      </c>
      <c r="K2559" s="148"/>
      <c r="L2559" s="149"/>
      <c r="M2559" s="148"/>
    </row>
    <row r="2560" spans="1:13" ht="15" customHeight="1">
      <c r="A2560" s="142" t="s">
        <v>6999</v>
      </c>
      <c r="B2560" s="142">
        <v>518351</v>
      </c>
      <c r="C2560" s="143" t="s">
        <v>2413</v>
      </c>
      <c r="D2560" s="142" t="s">
        <v>6893</v>
      </c>
      <c r="E2560" s="143" t="s">
        <v>7000</v>
      </c>
      <c r="F2560" s="143" t="s">
        <v>7000</v>
      </c>
      <c r="G2560" s="142" t="s">
        <v>109</v>
      </c>
      <c r="H2560" s="142" t="s">
        <v>54</v>
      </c>
      <c r="I2560" s="143" t="s">
        <v>6895</v>
      </c>
      <c r="J2560" s="143" t="s">
        <v>104</v>
      </c>
      <c r="K2560" s="144"/>
      <c r="L2560" s="145"/>
      <c r="M2560" s="144"/>
    </row>
    <row r="2561" spans="1:13" ht="15" customHeight="1">
      <c r="A2561" s="146" t="s">
        <v>7001</v>
      </c>
      <c r="B2561" s="146">
        <v>518346</v>
      </c>
      <c r="C2561" s="147" t="s">
        <v>1139</v>
      </c>
      <c r="D2561" s="146" t="s">
        <v>6893</v>
      </c>
      <c r="E2561" s="147" t="s">
        <v>7002</v>
      </c>
      <c r="F2561" s="147" t="s">
        <v>7002</v>
      </c>
      <c r="G2561" s="146" t="s">
        <v>109</v>
      </c>
      <c r="H2561" s="146" t="s">
        <v>54</v>
      </c>
      <c r="I2561" s="147" t="s">
        <v>6895</v>
      </c>
      <c r="J2561" s="147" t="s">
        <v>104</v>
      </c>
      <c r="K2561" s="148"/>
      <c r="L2561" s="149"/>
      <c r="M2561" s="148"/>
    </row>
    <row r="2562" spans="1:13" ht="15" customHeight="1">
      <c r="A2562" s="142" t="s">
        <v>7003</v>
      </c>
      <c r="B2562" s="142">
        <v>518347</v>
      </c>
      <c r="C2562" s="143" t="s">
        <v>6735</v>
      </c>
      <c r="D2562" s="142" t="s">
        <v>6893</v>
      </c>
      <c r="E2562" s="143" t="s">
        <v>7002</v>
      </c>
      <c r="F2562" s="143" t="s">
        <v>7002</v>
      </c>
      <c r="G2562" s="142" t="s">
        <v>6739</v>
      </c>
      <c r="H2562" s="142" t="s">
        <v>54</v>
      </c>
      <c r="I2562" s="143" t="s">
        <v>6895</v>
      </c>
      <c r="J2562" s="143" t="s">
        <v>6741</v>
      </c>
      <c r="K2562" s="144"/>
      <c r="L2562" s="145"/>
      <c r="M2562" s="144"/>
    </row>
    <row r="2563" spans="1:13" ht="15" customHeight="1">
      <c r="A2563" s="146" t="s">
        <v>7004</v>
      </c>
      <c r="B2563" s="146">
        <v>518301</v>
      </c>
      <c r="C2563" s="147" t="s">
        <v>7005</v>
      </c>
      <c r="D2563" s="146" t="s">
        <v>6893</v>
      </c>
      <c r="E2563" s="147" t="s">
        <v>7006</v>
      </c>
      <c r="F2563" s="147" t="s">
        <v>7006</v>
      </c>
      <c r="G2563" s="146" t="s">
        <v>109</v>
      </c>
      <c r="H2563" s="146" t="s">
        <v>54</v>
      </c>
      <c r="I2563" s="147" t="s">
        <v>6895</v>
      </c>
      <c r="J2563" s="147" t="s">
        <v>104</v>
      </c>
      <c r="K2563" s="148"/>
      <c r="L2563" s="149"/>
      <c r="M2563" s="148"/>
    </row>
    <row r="2564" spans="1:13" ht="15" customHeight="1">
      <c r="A2564" s="142" t="s">
        <v>7007</v>
      </c>
      <c r="B2564" s="142">
        <v>518329</v>
      </c>
      <c r="C2564" s="143" t="s">
        <v>1391</v>
      </c>
      <c r="D2564" s="142" t="s">
        <v>6893</v>
      </c>
      <c r="E2564" s="143" t="s">
        <v>7008</v>
      </c>
      <c r="F2564" s="143" t="s">
        <v>7009</v>
      </c>
      <c r="G2564" s="142" t="s">
        <v>109</v>
      </c>
      <c r="H2564" s="142" t="s">
        <v>54</v>
      </c>
      <c r="I2564" s="143" t="s">
        <v>6895</v>
      </c>
      <c r="J2564" s="143" t="s">
        <v>104</v>
      </c>
      <c r="K2564" s="144"/>
      <c r="L2564" s="145"/>
      <c r="M2564" s="144"/>
    </row>
    <row r="2565" spans="1:13" ht="15" customHeight="1">
      <c r="A2565" s="146" t="s">
        <v>7010</v>
      </c>
      <c r="B2565" s="146">
        <v>518134</v>
      </c>
      <c r="C2565" s="147" t="s">
        <v>6735</v>
      </c>
      <c r="D2565" s="146" t="s">
        <v>6736</v>
      </c>
      <c r="E2565" s="147" t="s">
        <v>7011</v>
      </c>
      <c r="F2565" s="147" t="s">
        <v>7011</v>
      </c>
      <c r="G2565" s="146" t="s">
        <v>6739</v>
      </c>
      <c r="H2565" s="146" t="s">
        <v>54</v>
      </c>
      <c r="I2565" s="147" t="s">
        <v>6740</v>
      </c>
      <c r="J2565" s="147" t="s">
        <v>6741</v>
      </c>
      <c r="K2565" s="148" t="s">
        <v>121</v>
      </c>
      <c r="L2565" s="149">
        <v>46148</v>
      </c>
      <c r="M2565" s="148"/>
    </row>
    <row r="2566" spans="1:13" ht="15" customHeight="1">
      <c r="A2566" s="142" t="s">
        <v>7012</v>
      </c>
      <c r="B2566" s="142">
        <v>518106</v>
      </c>
      <c r="C2566" s="143" t="s">
        <v>6735</v>
      </c>
      <c r="D2566" s="142" t="s">
        <v>6736</v>
      </c>
      <c r="E2566" s="143" t="s">
        <v>7011</v>
      </c>
      <c r="F2566" s="143" t="s">
        <v>7013</v>
      </c>
      <c r="G2566" s="142" t="s">
        <v>6739</v>
      </c>
      <c r="H2566" s="142" t="s">
        <v>54</v>
      </c>
      <c r="I2566" s="143" t="s">
        <v>6740</v>
      </c>
      <c r="J2566" s="143" t="s">
        <v>6741</v>
      </c>
      <c r="K2566" s="144"/>
      <c r="L2566" s="145"/>
      <c r="M2566" s="144"/>
    </row>
    <row r="2567" spans="1:13" ht="15" customHeight="1">
      <c r="A2567" s="146" t="s">
        <v>7014</v>
      </c>
      <c r="B2567" s="146">
        <v>518035</v>
      </c>
      <c r="C2567" s="147" t="s">
        <v>6735</v>
      </c>
      <c r="D2567" s="146" t="s">
        <v>6736</v>
      </c>
      <c r="E2567" s="147" t="s">
        <v>7011</v>
      </c>
      <c r="F2567" s="147" t="s">
        <v>7015</v>
      </c>
      <c r="G2567" s="146" t="s">
        <v>6739</v>
      </c>
      <c r="H2567" s="146" t="s">
        <v>54</v>
      </c>
      <c r="I2567" s="147" t="s">
        <v>6740</v>
      </c>
      <c r="J2567" s="147" t="s">
        <v>6741</v>
      </c>
      <c r="K2567" s="148" t="s">
        <v>121</v>
      </c>
      <c r="L2567" s="149">
        <v>46150</v>
      </c>
      <c r="M2567" s="148"/>
    </row>
    <row r="2568" spans="1:13" ht="15" customHeight="1">
      <c r="A2568" s="142" t="s">
        <v>7016</v>
      </c>
      <c r="B2568" s="142">
        <v>518086</v>
      </c>
      <c r="C2568" s="143" t="s">
        <v>7017</v>
      </c>
      <c r="D2568" s="142" t="s">
        <v>6736</v>
      </c>
      <c r="E2568" s="143" t="s">
        <v>7011</v>
      </c>
      <c r="F2568" s="143" t="s">
        <v>7018</v>
      </c>
      <c r="G2568" s="142" t="s">
        <v>109</v>
      </c>
      <c r="H2568" s="142" t="s">
        <v>54</v>
      </c>
      <c r="I2568" s="143" t="s">
        <v>6740</v>
      </c>
      <c r="J2568" s="143" t="s">
        <v>104</v>
      </c>
      <c r="K2568" s="144" t="s">
        <v>121</v>
      </c>
      <c r="L2568" s="145">
        <v>46150</v>
      </c>
      <c r="M2568" s="144"/>
    </row>
    <row r="2569" spans="1:13" ht="15" customHeight="1">
      <c r="A2569" s="146" t="s">
        <v>7019</v>
      </c>
      <c r="B2569" s="146">
        <v>518048</v>
      </c>
      <c r="C2569" s="147" t="s">
        <v>7020</v>
      </c>
      <c r="D2569" s="146" t="s">
        <v>6736</v>
      </c>
      <c r="E2569" s="147" t="s">
        <v>7011</v>
      </c>
      <c r="F2569" s="147" t="s">
        <v>7021</v>
      </c>
      <c r="G2569" s="146" t="s">
        <v>109</v>
      </c>
      <c r="H2569" s="146" t="s">
        <v>54</v>
      </c>
      <c r="I2569" s="147" t="s">
        <v>6740</v>
      </c>
      <c r="J2569" s="147" t="s">
        <v>104</v>
      </c>
      <c r="K2569" s="148" t="s">
        <v>121</v>
      </c>
      <c r="L2569" s="149">
        <v>46149</v>
      </c>
      <c r="M2569" s="148"/>
    </row>
    <row r="2570" spans="1:13" ht="15" customHeight="1">
      <c r="A2570" s="142" t="s">
        <v>7022</v>
      </c>
      <c r="B2570" s="142">
        <v>518023</v>
      </c>
      <c r="C2570" s="143" t="s">
        <v>6735</v>
      </c>
      <c r="D2570" s="142" t="s">
        <v>6736</v>
      </c>
      <c r="E2570" s="143" t="s">
        <v>7011</v>
      </c>
      <c r="F2570" s="143" t="s">
        <v>7023</v>
      </c>
      <c r="G2570" s="142" t="s">
        <v>6739</v>
      </c>
      <c r="H2570" s="142" t="s">
        <v>54</v>
      </c>
      <c r="I2570" s="143" t="s">
        <v>6740</v>
      </c>
      <c r="J2570" s="143" t="s">
        <v>6741</v>
      </c>
      <c r="K2570" s="144"/>
      <c r="L2570" s="145"/>
      <c r="M2570" s="144"/>
    </row>
    <row r="2571" spans="1:13" ht="15" customHeight="1">
      <c r="A2571" s="146" t="s">
        <v>7024</v>
      </c>
      <c r="B2571" s="146">
        <v>518104</v>
      </c>
      <c r="C2571" s="147" t="s">
        <v>7025</v>
      </c>
      <c r="D2571" s="146" t="s">
        <v>6736</v>
      </c>
      <c r="E2571" s="147" t="s">
        <v>7011</v>
      </c>
      <c r="F2571" s="147" t="s">
        <v>7025</v>
      </c>
      <c r="G2571" s="146" t="s">
        <v>109</v>
      </c>
      <c r="H2571" s="146" t="s">
        <v>54</v>
      </c>
      <c r="I2571" s="147" t="s">
        <v>6740</v>
      </c>
      <c r="J2571" s="147" t="s">
        <v>104</v>
      </c>
      <c r="K2571" s="148"/>
      <c r="L2571" s="149"/>
      <c r="M2571" s="148"/>
    </row>
    <row r="2572" spans="1:13" ht="15" customHeight="1">
      <c r="A2572" s="142" t="s">
        <v>7026</v>
      </c>
      <c r="B2572" s="142">
        <v>518031</v>
      </c>
      <c r="C2572" s="143" t="s">
        <v>6735</v>
      </c>
      <c r="D2572" s="142" t="s">
        <v>6736</v>
      </c>
      <c r="E2572" s="143" t="s">
        <v>7011</v>
      </c>
      <c r="F2572" s="143" t="s">
        <v>7027</v>
      </c>
      <c r="G2572" s="142" t="s">
        <v>6739</v>
      </c>
      <c r="H2572" s="142" t="s">
        <v>54</v>
      </c>
      <c r="I2572" s="143" t="s">
        <v>6740</v>
      </c>
      <c r="J2572" s="143" t="s">
        <v>6741</v>
      </c>
      <c r="K2572" s="144"/>
      <c r="L2572" s="145"/>
      <c r="M2572" s="144"/>
    </row>
    <row r="2573" spans="1:13" ht="15" customHeight="1">
      <c r="A2573" s="146" t="s">
        <v>7028</v>
      </c>
      <c r="B2573" s="146">
        <v>518087</v>
      </c>
      <c r="C2573" s="147" t="s">
        <v>6735</v>
      </c>
      <c r="D2573" s="146" t="s">
        <v>6736</v>
      </c>
      <c r="E2573" s="147" t="s">
        <v>7011</v>
      </c>
      <c r="F2573" s="147" t="s">
        <v>7027</v>
      </c>
      <c r="G2573" s="146" t="s">
        <v>6739</v>
      </c>
      <c r="H2573" s="146" t="s">
        <v>54</v>
      </c>
      <c r="I2573" s="147" t="s">
        <v>6740</v>
      </c>
      <c r="J2573" s="147" t="s">
        <v>6741</v>
      </c>
      <c r="K2573" s="148"/>
      <c r="L2573" s="149"/>
      <c r="M2573" s="148"/>
    </row>
    <row r="2574" spans="1:13" ht="15" customHeight="1">
      <c r="A2574" s="142" t="s">
        <v>7029</v>
      </c>
      <c r="B2574" s="142">
        <v>518032</v>
      </c>
      <c r="C2574" s="143" t="s">
        <v>6735</v>
      </c>
      <c r="D2574" s="142" t="s">
        <v>6736</v>
      </c>
      <c r="E2574" s="143" t="s">
        <v>7011</v>
      </c>
      <c r="F2574" s="143" t="s">
        <v>7027</v>
      </c>
      <c r="G2574" s="142" t="s">
        <v>6739</v>
      </c>
      <c r="H2574" s="142" t="s">
        <v>54</v>
      </c>
      <c r="I2574" s="143" t="s">
        <v>6740</v>
      </c>
      <c r="J2574" s="143" t="s">
        <v>6741</v>
      </c>
      <c r="K2574" s="144"/>
      <c r="L2574" s="145"/>
      <c r="M2574" s="144"/>
    </row>
    <row r="2575" spans="1:13" ht="15" customHeight="1">
      <c r="A2575" s="146" t="s">
        <v>7030</v>
      </c>
      <c r="B2575" s="146">
        <v>518033</v>
      </c>
      <c r="C2575" s="147" t="s">
        <v>6735</v>
      </c>
      <c r="D2575" s="146" t="s">
        <v>6736</v>
      </c>
      <c r="E2575" s="147" t="s">
        <v>7011</v>
      </c>
      <c r="F2575" s="147" t="s">
        <v>7027</v>
      </c>
      <c r="G2575" s="146" t="s">
        <v>6739</v>
      </c>
      <c r="H2575" s="146" t="s">
        <v>54</v>
      </c>
      <c r="I2575" s="147" t="s">
        <v>6740</v>
      </c>
      <c r="J2575" s="147" t="s">
        <v>6741</v>
      </c>
      <c r="K2575" s="148"/>
      <c r="L2575" s="149"/>
      <c r="M2575" s="148"/>
    </row>
    <row r="2576" spans="1:13" ht="15" customHeight="1">
      <c r="A2576" s="142" t="s">
        <v>7031</v>
      </c>
      <c r="B2576" s="142">
        <v>518034</v>
      </c>
      <c r="C2576" s="143" t="s">
        <v>6735</v>
      </c>
      <c r="D2576" s="142" t="s">
        <v>6736</v>
      </c>
      <c r="E2576" s="143" t="s">
        <v>7011</v>
      </c>
      <c r="F2576" s="143" t="s">
        <v>7027</v>
      </c>
      <c r="G2576" s="142" t="s">
        <v>6739</v>
      </c>
      <c r="H2576" s="142" t="s">
        <v>54</v>
      </c>
      <c r="I2576" s="143" t="s">
        <v>6740</v>
      </c>
      <c r="J2576" s="143" t="s">
        <v>6741</v>
      </c>
      <c r="K2576" s="144" t="s">
        <v>121</v>
      </c>
      <c r="L2576" s="145">
        <v>46150</v>
      </c>
      <c r="M2576" s="144"/>
    </row>
    <row r="2577" spans="1:13" ht="15" customHeight="1">
      <c r="A2577" s="146" t="s">
        <v>7032</v>
      </c>
      <c r="B2577" s="146">
        <v>518085</v>
      </c>
      <c r="C2577" s="147" t="s">
        <v>7033</v>
      </c>
      <c r="D2577" s="146" t="s">
        <v>6736</v>
      </c>
      <c r="E2577" s="147" t="s">
        <v>7011</v>
      </c>
      <c r="F2577" s="147" t="s">
        <v>7034</v>
      </c>
      <c r="G2577" s="146" t="s">
        <v>109</v>
      </c>
      <c r="H2577" s="146" t="s">
        <v>54</v>
      </c>
      <c r="I2577" s="147" t="s">
        <v>6740</v>
      </c>
      <c r="J2577" s="147" t="s">
        <v>104</v>
      </c>
      <c r="K2577" s="148" t="s">
        <v>121</v>
      </c>
      <c r="L2577" s="149">
        <v>46149</v>
      </c>
      <c r="M2577" s="148"/>
    </row>
    <row r="2578" spans="1:13" ht="15" customHeight="1">
      <c r="A2578" s="142" t="s">
        <v>7035</v>
      </c>
      <c r="B2578" s="142">
        <v>518097</v>
      </c>
      <c r="C2578" s="143" t="s">
        <v>1565</v>
      </c>
      <c r="D2578" s="142" t="s">
        <v>6736</v>
      </c>
      <c r="E2578" s="143" t="s">
        <v>7011</v>
      </c>
      <c r="F2578" s="143" t="s">
        <v>1565</v>
      </c>
      <c r="G2578" s="142" t="s">
        <v>109</v>
      </c>
      <c r="H2578" s="142" t="s">
        <v>54</v>
      </c>
      <c r="I2578" s="143" t="s">
        <v>6740</v>
      </c>
      <c r="J2578" s="143" t="s">
        <v>104</v>
      </c>
      <c r="K2578" s="144"/>
      <c r="L2578" s="145"/>
      <c r="M2578" s="144"/>
    </row>
    <row r="2579" spans="1:13" ht="15" customHeight="1">
      <c r="A2579" s="146" t="s">
        <v>7036</v>
      </c>
      <c r="B2579" s="146">
        <v>518091</v>
      </c>
      <c r="C2579" s="147" t="s">
        <v>7037</v>
      </c>
      <c r="D2579" s="146" t="s">
        <v>6736</v>
      </c>
      <c r="E2579" s="147" t="s">
        <v>7038</v>
      </c>
      <c r="F2579" s="147" t="s">
        <v>5543</v>
      </c>
      <c r="G2579" s="146" t="s">
        <v>109</v>
      </c>
      <c r="H2579" s="146" t="s">
        <v>54</v>
      </c>
      <c r="I2579" s="147" t="s">
        <v>6740</v>
      </c>
      <c r="J2579" s="147" t="s">
        <v>104</v>
      </c>
      <c r="K2579" s="148"/>
      <c r="L2579" s="149"/>
      <c r="M2579" s="148"/>
    </row>
    <row r="2580" spans="1:13" ht="15" customHeight="1">
      <c r="A2580" s="142" t="s">
        <v>7039</v>
      </c>
      <c r="B2580" s="142">
        <v>518092</v>
      </c>
      <c r="C2580" s="143" t="s">
        <v>5543</v>
      </c>
      <c r="D2580" s="142" t="s">
        <v>6736</v>
      </c>
      <c r="E2580" s="143" t="s">
        <v>7038</v>
      </c>
      <c r="F2580" s="143" t="s">
        <v>5543</v>
      </c>
      <c r="G2580" s="142" t="s">
        <v>109</v>
      </c>
      <c r="H2580" s="142" t="s">
        <v>54</v>
      </c>
      <c r="I2580" s="143" t="s">
        <v>6740</v>
      </c>
      <c r="J2580" s="143" t="s">
        <v>104</v>
      </c>
      <c r="K2580" s="144"/>
      <c r="L2580" s="145"/>
      <c r="M2580" s="144"/>
    </row>
    <row r="2581" spans="1:13" ht="15" customHeight="1">
      <c r="A2581" s="146" t="s">
        <v>7040</v>
      </c>
      <c r="B2581" s="146">
        <v>518088</v>
      </c>
      <c r="C2581" s="147" t="s">
        <v>6735</v>
      </c>
      <c r="D2581" s="146" t="s">
        <v>6736</v>
      </c>
      <c r="E2581" s="147" t="s">
        <v>7038</v>
      </c>
      <c r="F2581" s="147" t="s">
        <v>7041</v>
      </c>
      <c r="G2581" s="146" t="s">
        <v>6739</v>
      </c>
      <c r="H2581" s="146" t="s">
        <v>54</v>
      </c>
      <c r="I2581" s="147" t="s">
        <v>6740</v>
      </c>
      <c r="J2581" s="147" t="s">
        <v>6741</v>
      </c>
      <c r="K2581" s="148"/>
      <c r="L2581" s="149"/>
      <c r="M2581" s="148"/>
    </row>
    <row r="2582" spans="1:13" ht="15" customHeight="1">
      <c r="A2582" s="142" t="s">
        <v>7042</v>
      </c>
      <c r="B2582" s="142">
        <v>518059</v>
      </c>
      <c r="C2582" s="143" t="s">
        <v>7043</v>
      </c>
      <c r="D2582" s="142" t="s">
        <v>6736</v>
      </c>
      <c r="E2582" s="143" t="s">
        <v>7038</v>
      </c>
      <c r="F2582" s="143" t="s">
        <v>7043</v>
      </c>
      <c r="G2582" s="142" t="s">
        <v>109</v>
      </c>
      <c r="H2582" s="142" t="s">
        <v>54</v>
      </c>
      <c r="I2582" s="143" t="s">
        <v>6740</v>
      </c>
      <c r="J2582" s="143" t="s">
        <v>104</v>
      </c>
      <c r="K2582" s="144"/>
      <c r="L2582" s="145"/>
      <c r="M2582" s="144"/>
    </row>
    <row r="2583" spans="1:13" ht="15" customHeight="1">
      <c r="A2583" s="146" t="s">
        <v>7044</v>
      </c>
      <c r="B2583" s="146">
        <v>513357</v>
      </c>
      <c r="C2583" s="147" t="s">
        <v>7045</v>
      </c>
      <c r="D2583" s="146" t="s">
        <v>6736</v>
      </c>
      <c r="E2583" s="147" t="s">
        <v>6606</v>
      </c>
      <c r="F2583" s="147" t="s">
        <v>7046</v>
      </c>
      <c r="G2583" s="146" t="s">
        <v>109</v>
      </c>
      <c r="H2583" s="146" t="s">
        <v>54</v>
      </c>
      <c r="I2583" s="147" t="s">
        <v>6740</v>
      </c>
      <c r="J2583" s="147" t="s">
        <v>104</v>
      </c>
      <c r="K2583" s="148"/>
      <c r="L2583" s="149"/>
      <c r="M2583" s="148"/>
    </row>
    <row r="2584" spans="1:13" ht="15" customHeight="1">
      <c r="A2584" s="142" t="s">
        <v>7047</v>
      </c>
      <c r="B2584" s="142">
        <v>518043</v>
      </c>
      <c r="C2584" s="143" t="s">
        <v>6735</v>
      </c>
      <c r="D2584" s="142" t="s">
        <v>6736</v>
      </c>
      <c r="E2584" s="143" t="s">
        <v>6606</v>
      </c>
      <c r="F2584" s="143" t="s">
        <v>7048</v>
      </c>
      <c r="G2584" s="142" t="s">
        <v>6739</v>
      </c>
      <c r="H2584" s="142" t="s">
        <v>54</v>
      </c>
      <c r="I2584" s="143" t="s">
        <v>6740</v>
      </c>
      <c r="J2584" s="143" t="s">
        <v>6741</v>
      </c>
      <c r="K2584" s="144"/>
      <c r="L2584" s="145"/>
      <c r="M2584" s="144"/>
    </row>
    <row r="2585" spans="1:13" ht="15" customHeight="1">
      <c r="A2585" s="146" t="s">
        <v>7049</v>
      </c>
      <c r="B2585" s="146">
        <v>518044</v>
      </c>
      <c r="C2585" s="147" t="s">
        <v>6735</v>
      </c>
      <c r="D2585" s="146" t="s">
        <v>6736</v>
      </c>
      <c r="E2585" s="147" t="s">
        <v>6606</v>
      </c>
      <c r="F2585" s="147" t="s">
        <v>7050</v>
      </c>
      <c r="G2585" s="146" t="s">
        <v>6739</v>
      </c>
      <c r="H2585" s="146" t="s">
        <v>54</v>
      </c>
      <c r="I2585" s="147" t="s">
        <v>6740</v>
      </c>
      <c r="J2585" s="147" t="s">
        <v>6741</v>
      </c>
      <c r="K2585" s="148"/>
      <c r="L2585" s="149"/>
      <c r="M2585" s="148"/>
    </row>
    <row r="2586" spans="1:13" ht="15" customHeight="1">
      <c r="A2586" s="142" t="s">
        <v>7051</v>
      </c>
      <c r="B2586" s="142">
        <v>517998</v>
      </c>
      <c r="C2586" s="143" t="s">
        <v>7052</v>
      </c>
      <c r="D2586" s="142" t="s">
        <v>6736</v>
      </c>
      <c r="E2586" s="143" t="s">
        <v>6606</v>
      </c>
      <c r="F2586" s="143" t="s">
        <v>7053</v>
      </c>
      <c r="G2586" s="142" t="s">
        <v>109</v>
      </c>
      <c r="H2586" s="142" t="s">
        <v>54</v>
      </c>
      <c r="I2586" s="143" t="s">
        <v>6740</v>
      </c>
      <c r="J2586" s="143" t="s">
        <v>104</v>
      </c>
      <c r="K2586" s="144"/>
      <c r="L2586" s="145"/>
      <c r="M2586" s="144"/>
    </row>
    <row r="2587" spans="1:13" ht="15" customHeight="1">
      <c r="A2587" s="146" t="s">
        <v>7054</v>
      </c>
      <c r="B2587" s="146">
        <v>517999</v>
      </c>
      <c r="C2587" s="147" t="s">
        <v>7055</v>
      </c>
      <c r="D2587" s="146" t="s">
        <v>6736</v>
      </c>
      <c r="E2587" s="147" t="s">
        <v>6606</v>
      </c>
      <c r="F2587" s="147" t="s">
        <v>7056</v>
      </c>
      <c r="G2587" s="146" t="s">
        <v>109</v>
      </c>
      <c r="H2587" s="146" t="s">
        <v>54</v>
      </c>
      <c r="I2587" s="147" t="s">
        <v>6740</v>
      </c>
      <c r="J2587" s="147" t="s">
        <v>104</v>
      </c>
      <c r="K2587" s="148"/>
      <c r="L2587" s="149"/>
      <c r="M2587" s="148"/>
    </row>
    <row r="2588" spans="1:13" ht="15" customHeight="1">
      <c r="A2588" s="142" t="s">
        <v>7057</v>
      </c>
      <c r="B2588" s="142">
        <v>518000</v>
      </c>
      <c r="C2588" s="143" t="s">
        <v>7058</v>
      </c>
      <c r="D2588" s="142" t="s">
        <v>6736</v>
      </c>
      <c r="E2588" s="143" t="s">
        <v>6606</v>
      </c>
      <c r="F2588" s="143" t="s">
        <v>7056</v>
      </c>
      <c r="G2588" s="142" t="s">
        <v>109</v>
      </c>
      <c r="H2588" s="142" t="s">
        <v>54</v>
      </c>
      <c r="I2588" s="143" t="s">
        <v>6740</v>
      </c>
      <c r="J2588" s="143" t="s">
        <v>104</v>
      </c>
      <c r="K2588" s="144"/>
      <c r="L2588" s="145"/>
      <c r="M2588" s="144"/>
    </row>
    <row r="2589" spans="1:13" ht="15" customHeight="1">
      <c r="A2589" s="146" t="s">
        <v>7059</v>
      </c>
      <c r="B2589" s="146">
        <v>518133</v>
      </c>
      <c r="C2589" s="147" t="s">
        <v>7060</v>
      </c>
      <c r="D2589" s="146" t="s">
        <v>6736</v>
      </c>
      <c r="E2589" s="147" t="s">
        <v>6606</v>
      </c>
      <c r="F2589" s="147" t="s">
        <v>7061</v>
      </c>
      <c r="G2589" s="146" t="s">
        <v>109</v>
      </c>
      <c r="H2589" s="146" t="s">
        <v>54</v>
      </c>
      <c r="I2589" s="147" t="s">
        <v>6740</v>
      </c>
      <c r="J2589" s="147" t="s">
        <v>104</v>
      </c>
      <c r="K2589" s="148"/>
      <c r="L2589" s="149"/>
      <c r="M2589" s="148"/>
    </row>
    <row r="2590" spans="1:13" ht="15" customHeight="1">
      <c r="A2590" s="142" t="s">
        <v>7062</v>
      </c>
      <c r="B2590" s="142">
        <v>518071</v>
      </c>
      <c r="C2590" s="143" t="s">
        <v>6735</v>
      </c>
      <c r="D2590" s="142" t="s">
        <v>6736</v>
      </c>
      <c r="E2590" s="143" t="s">
        <v>6606</v>
      </c>
      <c r="F2590" s="143" t="s">
        <v>7063</v>
      </c>
      <c r="G2590" s="142" t="s">
        <v>6739</v>
      </c>
      <c r="H2590" s="142" t="s">
        <v>54</v>
      </c>
      <c r="I2590" s="143" t="s">
        <v>6740</v>
      </c>
      <c r="J2590" s="143" t="s">
        <v>6741</v>
      </c>
      <c r="K2590" s="144"/>
      <c r="L2590" s="145"/>
      <c r="M2590" s="144"/>
    </row>
    <row r="2591" spans="1:13" ht="15" customHeight="1">
      <c r="A2591" s="146" t="s">
        <v>7064</v>
      </c>
      <c r="B2591" s="146">
        <v>518075</v>
      </c>
      <c r="C2591" s="147" t="s">
        <v>7065</v>
      </c>
      <c r="D2591" s="146" t="s">
        <v>6736</v>
      </c>
      <c r="E2591" s="147" t="s">
        <v>6606</v>
      </c>
      <c r="F2591" s="147" t="s">
        <v>7066</v>
      </c>
      <c r="G2591" s="146" t="s">
        <v>109</v>
      </c>
      <c r="H2591" s="146" t="s">
        <v>54</v>
      </c>
      <c r="I2591" s="147" t="s">
        <v>6740</v>
      </c>
      <c r="J2591" s="147" t="s">
        <v>104</v>
      </c>
      <c r="K2591" s="148"/>
      <c r="L2591" s="149"/>
      <c r="M2591" s="148"/>
    </row>
    <row r="2592" spans="1:13" ht="15" customHeight="1">
      <c r="A2592" s="142" t="s">
        <v>7067</v>
      </c>
      <c r="B2592" s="142">
        <v>518074</v>
      </c>
      <c r="C2592" s="143" t="s">
        <v>7068</v>
      </c>
      <c r="D2592" s="142" t="s">
        <v>6736</v>
      </c>
      <c r="E2592" s="143" t="s">
        <v>6606</v>
      </c>
      <c r="F2592" s="143" t="s">
        <v>7069</v>
      </c>
      <c r="G2592" s="142" t="s">
        <v>109</v>
      </c>
      <c r="H2592" s="142" t="s">
        <v>54</v>
      </c>
      <c r="I2592" s="143" t="s">
        <v>6740</v>
      </c>
      <c r="J2592" s="143" t="s">
        <v>104</v>
      </c>
      <c r="K2592" s="144"/>
      <c r="L2592" s="145"/>
      <c r="M2592" s="144"/>
    </row>
    <row r="2593" spans="1:13" ht="15" customHeight="1">
      <c r="A2593" s="146" t="s">
        <v>7070</v>
      </c>
      <c r="B2593" s="146">
        <v>518027</v>
      </c>
      <c r="C2593" s="147" t="s">
        <v>6735</v>
      </c>
      <c r="D2593" s="146" t="s">
        <v>6736</v>
      </c>
      <c r="E2593" s="147" t="s">
        <v>7071</v>
      </c>
      <c r="F2593" s="147" t="s">
        <v>7072</v>
      </c>
      <c r="G2593" s="146" t="s">
        <v>6739</v>
      </c>
      <c r="H2593" s="146" t="s">
        <v>54</v>
      </c>
      <c r="I2593" s="147" t="s">
        <v>6740</v>
      </c>
      <c r="J2593" s="147" t="s">
        <v>6741</v>
      </c>
      <c r="K2593" s="148"/>
      <c r="L2593" s="149"/>
      <c r="M2593" s="148"/>
    </row>
    <row r="2594" spans="1:13" ht="15" customHeight="1">
      <c r="A2594" s="142" t="s">
        <v>7073</v>
      </c>
      <c r="B2594" s="142">
        <v>518109</v>
      </c>
      <c r="C2594" s="143" t="s">
        <v>117</v>
      </c>
      <c r="D2594" s="142" t="s">
        <v>6736</v>
      </c>
      <c r="E2594" s="143" t="s">
        <v>7071</v>
      </c>
      <c r="F2594" s="143" t="s">
        <v>7074</v>
      </c>
      <c r="G2594" s="142" t="s">
        <v>109</v>
      </c>
      <c r="H2594" s="142" t="s">
        <v>54</v>
      </c>
      <c r="I2594" s="143" t="s">
        <v>6740</v>
      </c>
      <c r="J2594" s="143" t="s">
        <v>104</v>
      </c>
      <c r="K2594" s="144"/>
      <c r="L2594" s="145"/>
      <c r="M2594" s="144"/>
    </row>
    <row r="2595" spans="1:13" ht="15" customHeight="1">
      <c r="A2595" s="146" t="s">
        <v>7075</v>
      </c>
      <c r="B2595" s="146">
        <v>518016</v>
      </c>
      <c r="C2595" s="147" t="s">
        <v>7076</v>
      </c>
      <c r="D2595" s="146" t="s">
        <v>6736</v>
      </c>
      <c r="E2595" s="147" t="s">
        <v>7071</v>
      </c>
      <c r="F2595" s="147" t="s">
        <v>7077</v>
      </c>
      <c r="G2595" s="146" t="s">
        <v>109</v>
      </c>
      <c r="H2595" s="146" t="s">
        <v>54</v>
      </c>
      <c r="I2595" s="147" t="s">
        <v>6740</v>
      </c>
      <c r="J2595" s="147" t="s">
        <v>104</v>
      </c>
      <c r="K2595" s="148"/>
      <c r="L2595" s="149"/>
      <c r="M2595" s="148"/>
    </row>
    <row r="2596" spans="1:13" ht="15" customHeight="1">
      <c r="A2596" s="142" t="s">
        <v>7078</v>
      </c>
      <c r="B2596" s="142">
        <v>518001</v>
      </c>
      <c r="C2596" s="143" t="s">
        <v>6735</v>
      </c>
      <c r="D2596" s="142" t="s">
        <v>6736</v>
      </c>
      <c r="E2596" s="143" t="s">
        <v>7071</v>
      </c>
      <c r="F2596" s="143" t="s">
        <v>7079</v>
      </c>
      <c r="G2596" s="142" t="s">
        <v>6739</v>
      </c>
      <c r="H2596" s="142" t="s">
        <v>54</v>
      </c>
      <c r="I2596" s="143" t="s">
        <v>6740</v>
      </c>
      <c r="J2596" s="143" t="s">
        <v>6741</v>
      </c>
      <c r="K2596" s="144"/>
      <c r="L2596" s="145"/>
      <c r="M2596" s="144"/>
    </row>
    <row r="2597" spans="1:13" ht="15" customHeight="1">
      <c r="A2597" s="146" t="s">
        <v>7080</v>
      </c>
      <c r="B2597" s="146">
        <v>518110</v>
      </c>
      <c r="C2597" s="147" t="s">
        <v>7081</v>
      </c>
      <c r="D2597" s="146" t="s">
        <v>6736</v>
      </c>
      <c r="E2597" s="147" t="s">
        <v>7071</v>
      </c>
      <c r="F2597" s="147" t="s">
        <v>7082</v>
      </c>
      <c r="G2597" s="146" t="s">
        <v>109</v>
      </c>
      <c r="H2597" s="146" t="s">
        <v>54</v>
      </c>
      <c r="I2597" s="147" t="s">
        <v>6740</v>
      </c>
      <c r="J2597" s="147" t="s">
        <v>104</v>
      </c>
      <c r="K2597" s="148"/>
      <c r="L2597" s="149"/>
      <c r="M2597" s="148"/>
    </row>
    <row r="2598" spans="1:13" ht="15" customHeight="1">
      <c r="A2598" s="142" t="s">
        <v>7083</v>
      </c>
      <c r="B2598" s="142">
        <v>518111</v>
      </c>
      <c r="C2598" s="143" t="s">
        <v>6735</v>
      </c>
      <c r="D2598" s="142" t="s">
        <v>6736</v>
      </c>
      <c r="E2598" s="143" t="s">
        <v>7071</v>
      </c>
      <c r="F2598" s="143" t="s">
        <v>7082</v>
      </c>
      <c r="G2598" s="142" t="s">
        <v>6739</v>
      </c>
      <c r="H2598" s="142" t="s">
        <v>54</v>
      </c>
      <c r="I2598" s="143" t="s">
        <v>6740</v>
      </c>
      <c r="J2598" s="143" t="s">
        <v>6741</v>
      </c>
      <c r="K2598" s="144"/>
      <c r="L2598" s="145"/>
      <c r="M2598" s="144"/>
    </row>
    <row r="2599" spans="1:13" ht="15" customHeight="1">
      <c r="A2599" s="146" t="s">
        <v>7084</v>
      </c>
      <c r="B2599" s="146">
        <v>518084</v>
      </c>
      <c r="C2599" s="147" t="s">
        <v>6735</v>
      </c>
      <c r="D2599" s="146" t="s">
        <v>6736</v>
      </c>
      <c r="E2599" s="147" t="s">
        <v>7071</v>
      </c>
      <c r="F2599" s="147" t="s">
        <v>7085</v>
      </c>
      <c r="G2599" s="146" t="s">
        <v>6739</v>
      </c>
      <c r="H2599" s="146" t="s">
        <v>54</v>
      </c>
      <c r="I2599" s="147" t="s">
        <v>6740</v>
      </c>
      <c r="J2599" s="147" t="s">
        <v>6741</v>
      </c>
      <c r="K2599" s="148"/>
      <c r="L2599" s="149"/>
      <c r="M2599" s="148"/>
    </row>
    <row r="2600" spans="1:13" ht="15" customHeight="1">
      <c r="A2600" s="142" t="s">
        <v>7086</v>
      </c>
      <c r="B2600" s="142">
        <v>518015</v>
      </c>
      <c r="C2600" s="143" t="s">
        <v>6735</v>
      </c>
      <c r="D2600" s="142" t="s">
        <v>6736</v>
      </c>
      <c r="E2600" s="143" t="s">
        <v>7071</v>
      </c>
      <c r="F2600" s="143" t="s">
        <v>7087</v>
      </c>
      <c r="G2600" s="142" t="s">
        <v>6739</v>
      </c>
      <c r="H2600" s="142" t="s">
        <v>54</v>
      </c>
      <c r="I2600" s="143" t="s">
        <v>6740</v>
      </c>
      <c r="J2600" s="143" t="s">
        <v>6741</v>
      </c>
      <c r="K2600" s="144" t="s">
        <v>121</v>
      </c>
      <c r="L2600" s="145">
        <v>46151</v>
      </c>
      <c r="M2600" s="144"/>
    </row>
    <row r="2601" spans="1:13" ht="15" customHeight="1">
      <c r="A2601" s="146" t="s">
        <v>7088</v>
      </c>
      <c r="B2601" s="146">
        <v>518019</v>
      </c>
      <c r="C2601" s="147" t="s">
        <v>6735</v>
      </c>
      <c r="D2601" s="146" t="s">
        <v>6736</v>
      </c>
      <c r="E2601" s="147" t="s">
        <v>7071</v>
      </c>
      <c r="F2601" s="147" t="s">
        <v>7071</v>
      </c>
      <c r="G2601" s="146" t="s">
        <v>6739</v>
      </c>
      <c r="H2601" s="146" t="s">
        <v>54</v>
      </c>
      <c r="I2601" s="147" t="s">
        <v>6740</v>
      </c>
      <c r="J2601" s="147" t="s">
        <v>6741</v>
      </c>
      <c r="K2601" s="148"/>
      <c r="L2601" s="149"/>
      <c r="M2601" s="148"/>
    </row>
    <row r="2602" spans="1:13" ht="15" customHeight="1">
      <c r="A2602" s="142" t="s">
        <v>7089</v>
      </c>
      <c r="B2602" s="142">
        <v>518188</v>
      </c>
      <c r="C2602" s="143" t="s">
        <v>7090</v>
      </c>
      <c r="D2602" s="142" t="s">
        <v>6893</v>
      </c>
      <c r="E2602" s="143" t="s">
        <v>6936</v>
      </c>
      <c r="F2602" s="143" t="s">
        <v>7091</v>
      </c>
      <c r="G2602" s="142" t="s">
        <v>109</v>
      </c>
      <c r="H2602" s="142" t="s">
        <v>57</v>
      </c>
      <c r="I2602" s="143" t="s">
        <v>103</v>
      </c>
      <c r="J2602" s="143" t="s">
        <v>104</v>
      </c>
      <c r="K2602" s="144"/>
      <c r="L2602" s="145"/>
      <c r="M2602" s="144"/>
    </row>
    <row r="2603" spans="1:13" ht="15" customHeight="1">
      <c r="A2603" s="146" t="s">
        <v>7092</v>
      </c>
      <c r="B2603" s="146">
        <v>518024</v>
      </c>
      <c r="C2603" s="147" t="s">
        <v>6735</v>
      </c>
      <c r="D2603" s="146" t="s">
        <v>6736</v>
      </c>
      <c r="E2603" s="147" t="s">
        <v>7071</v>
      </c>
      <c r="F2603" s="147" t="s">
        <v>7093</v>
      </c>
      <c r="G2603" s="146" t="s">
        <v>6739</v>
      </c>
      <c r="H2603" s="146" t="s">
        <v>54</v>
      </c>
      <c r="I2603" s="147" t="s">
        <v>6740</v>
      </c>
      <c r="J2603" s="147" t="s">
        <v>6741</v>
      </c>
      <c r="K2603" s="148" t="s">
        <v>121</v>
      </c>
      <c r="L2603" s="149">
        <v>46151</v>
      </c>
      <c r="M2603" s="148"/>
    </row>
    <row r="2604" spans="1:13" ht="15" customHeight="1">
      <c r="A2604" s="142" t="s">
        <v>7094</v>
      </c>
      <c r="B2604" s="142">
        <v>518021</v>
      </c>
      <c r="C2604" s="143" t="s">
        <v>7095</v>
      </c>
      <c r="D2604" s="142" t="s">
        <v>6736</v>
      </c>
      <c r="E2604" s="143" t="s">
        <v>7071</v>
      </c>
      <c r="F2604" s="143" t="s">
        <v>7095</v>
      </c>
      <c r="G2604" s="142" t="s">
        <v>109</v>
      </c>
      <c r="H2604" s="142" t="s">
        <v>54</v>
      </c>
      <c r="I2604" s="143" t="s">
        <v>6740</v>
      </c>
      <c r="J2604" s="143" t="s">
        <v>104</v>
      </c>
      <c r="K2604" s="144"/>
      <c r="L2604" s="145"/>
      <c r="M2604" s="144"/>
    </row>
    <row r="2605" spans="1:13" ht="15" customHeight="1">
      <c r="A2605" s="146" t="s">
        <v>7096</v>
      </c>
      <c r="B2605" s="146">
        <v>518065</v>
      </c>
      <c r="C2605" s="147" t="s">
        <v>7097</v>
      </c>
      <c r="D2605" s="146" t="s">
        <v>6736</v>
      </c>
      <c r="E2605" s="147" t="s">
        <v>7071</v>
      </c>
      <c r="F2605" s="147" t="s">
        <v>7098</v>
      </c>
      <c r="G2605" s="146" t="s">
        <v>109</v>
      </c>
      <c r="H2605" s="146" t="s">
        <v>54</v>
      </c>
      <c r="I2605" s="147" t="s">
        <v>6740</v>
      </c>
      <c r="J2605" s="147" t="s">
        <v>104</v>
      </c>
      <c r="K2605" s="148"/>
      <c r="L2605" s="149"/>
      <c r="M2605" s="148"/>
    </row>
    <row r="2606" spans="1:13" ht="15" customHeight="1">
      <c r="A2606" s="142" t="s">
        <v>7099</v>
      </c>
      <c r="B2606" s="142">
        <v>518132</v>
      </c>
      <c r="C2606" s="143" t="s">
        <v>7100</v>
      </c>
      <c r="D2606" s="142" t="s">
        <v>6736</v>
      </c>
      <c r="E2606" s="143" t="s">
        <v>7071</v>
      </c>
      <c r="F2606" s="143" t="s">
        <v>513</v>
      </c>
      <c r="G2606" s="142" t="s">
        <v>109</v>
      </c>
      <c r="H2606" s="142" t="s">
        <v>54</v>
      </c>
      <c r="I2606" s="143" t="s">
        <v>6740</v>
      </c>
      <c r="J2606" s="143" t="s">
        <v>104</v>
      </c>
      <c r="K2606" s="144"/>
      <c r="L2606" s="145"/>
      <c r="M2606" s="144"/>
    </row>
    <row r="2607" spans="1:13" ht="15" customHeight="1">
      <c r="A2607" s="146" t="s">
        <v>7101</v>
      </c>
      <c r="B2607" s="146">
        <v>517459</v>
      </c>
      <c r="C2607" s="147" t="s">
        <v>6735</v>
      </c>
      <c r="D2607" s="146" t="s">
        <v>6736</v>
      </c>
      <c r="E2607" s="147" t="s">
        <v>7071</v>
      </c>
      <c r="F2607" s="147" t="s">
        <v>7102</v>
      </c>
      <c r="G2607" s="146" t="s">
        <v>6739</v>
      </c>
      <c r="H2607" s="146" t="s">
        <v>54</v>
      </c>
      <c r="I2607" s="147" t="s">
        <v>6740</v>
      </c>
      <c r="J2607" s="147" t="s">
        <v>6741</v>
      </c>
      <c r="K2607" s="148" t="s">
        <v>121</v>
      </c>
      <c r="L2607" s="149">
        <v>46151</v>
      </c>
      <c r="M2607" s="148" t="s">
        <v>7103</v>
      </c>
    </row>
    <row r="2608" spans="1:13" ht="15" customHeight="1">
      <c r="A2608" s="142" t="s">
        <v>7104</v>
      </c>
      <c r="B2608" s="142">
        <v>518020</v>
      </c>
      <c r="C2608" s="143" t="s">
        <v>7105</v>
      </c>
      <c r="D2608" s="142" t="s">
        <v>6736</v>
      </c>
      <c r="E2608" s="143" t="s">
        <v>7071</v>
      </c>
      <c r="F2608" s="143" t="s">
        <v>7106</v>
      </c>
      <c r="G2608" s="142" t="s">
        <v>109</v>
      </c>
      <c r="H2608" s="142" t="s">
        <v>54</v>
      </c>
      <c r="I2608" s="143" t="s">
        <v>6740</v>
      </c>
      <c r="J2608" s="143" t="s">
        <v>104</v>
      </c>
      <c r="K2608" s="144"/>
      <c r="L2608" s="145"/>
      <c r="M2608" s="144"/>
    </row>
    <row r="2609" spans="1:13" ht="15" customHeight="1">
      <c r="A2609" s="146" t="s">
        <v>7107</v>
      </c>
      <c r="B2609" s="146">
        <v>518046</v>
      </c>
      <c r="C2609" s="147" t="s">
        <v>6735</v>
      </c>
      <c r="D2609" s="146" t="s">
        <v>6736</v>
      </c>
      <c r="E2609" s="147" t="s">
        <v>7071</v>
      </c>
      <c r="F2609" s="147" t="s">
        <v>7108</v>
      </c>
      <c r="G2609" s="146" t="s">
        <v>6739</v>
      </c>
      <c r="H2609" s="146" t="s">
        <v>54</v>
      </c>
      <c r="I2609" s="147" t="s">
        <v>6740</v>
      </c>
      <c r="J2609" s="147" t="s">
        <v>6741</v>
      </c>
      <c r="K2609" s="148" t="s">
        <v>121</v>
      </c>
      <c r="L2609" s="149">
        <v>46151</v>
      </c>
      <c r="M2609" s="148"/>
    </row>
    <row r="2610" spans="1:13" ht="15" customHeight="1">
      <c r="A2610" s="142" t="s">
        <v>7109</v>
      </c>
      <c r="B2610" s="142">
        <v>518022</v>
      </c>
      <c r="C2610" s="143" t="s">
        <v>7110</v>
      </c>
      <c r="D2610" s="142" t="s">
        <v>6736</v>
      </c>
      <c r="E2610" s="143" t="s">
        <v>6736</v>
      </c>
      <c r="F2610" s="143" t="s">
        <v>7111</v>
      </c>
      <c r="G2610" s="142" t="s">
        <v>109</v>
      </c>
      <c r="H2610" s="142" t="s">
        <v>54</v>
      </c>
      <c r="I2610" s="143" t="s">
        <v>6740</v>
      </c>
      <c r="J2610" s="143" t="s">
        <v>104</v>
      </c>
      <c r="K2610" s="144"/>
      <c r="L2610" s="145"/>
      <c r="M2610" s="144"/>
    </row>
    <row r="2611" spans="1:13" ht="15" customHeight="1">
      <c r="A2611" s="146" t="s">
        <v>7112</v>
      </c>
      <c r="B2611" s="146">
        <v>518102</v>
      </c>
      <c r="C2611" s="147" t="s">
        <v>7113</v>
      </c>
      <c r="D2611" s="146" t="s">
        <v>6736</v>
      </c>
      <c r="E2611" s="147" t="s">
        <v>6736</v>
      </c>
      <c r="F2611" s="147" t="s">
        <v>7114</v>
      </c>
      <c r="G2611" s="146" t="s">
        <v>109</v>
      </c>
      <c r="H2611" s="146" t="s">
        <v>54</v>
      </c>
      <c r="I2611" s="147" t="s">
        <v>6740</v>
      </c>
      <c r="J2611" s="147" t="s">
        <v>104</v>
      </c>
      <c r="K2611" s="148"/>
      <c r="L2611" s="149"/>
      <c r="M2611" s="148"/>
    </row>
    <row r="2612" spans="1:13" ht="15" customHeight="1">
      <c r="A2612" s="142" t="s">
        <v>7115</v>
      </c>
      <c r="B2612" s="142">
        <v>518103</v>
      </c>
      <c r="C2612" s="143" t="s">
        <v>7116</v>
      </c>
      <c r="D2612" s="142" t="s">
        <v>6736</v>
      </c>
      <c r="E2612" s="143" t="s">
        <v>6736</v>
      </c>
      <c r="F2612" s="143" t="s">
        <v>7114</v>
      </c>
      <c r="G2612" s="142" t="s">
        <v>109</v>
      </c>
      <c r="H2612" s="142" t="s">
        <v>54</v>
      </c>
      <c r="I2612" s="143" t="s">
        <v>6740</v>
      </c>
      <c r="J2612" s="143" t="s">
        <v>104</v>
      </c>
      <c r="K2612" s="144"/>
      <c r="L2612" s="145"/>
      <c r="M2612" s="144"/>
    </row>
    <row r="2613" spans="1:13" ht="15" customHeight="1">
      <c r="A2613" s="146" t="s">
        <v>7117</v>
      </c>
      <c r="B2613" s="146">
        <v>518096</v>
      </c>
      <c r="C2613" s="147" t="s">
        <v>7118</v>
      </c>
      <c r="D2613" s="146" t="s">
        <v>6736</v>
      </c>
      <c r="E2613" s="147" t="s">
        <v>6736</v>
      </c>
      <c r="F2613" s="147" t="s">
        <v>7119</v>
      </c>
      <c r="G2613" s="146" t="s">
        <v>109</v>
      </c>
      <c r="H2613" s="146" t="s">
        <v>54</v>
      </c>
      <c r="I2613" s="147" t="s">
        <v>6740</v>
      </c>
      <c r="J2613" s="147" t="s">
        <v>104</v>
      </c>
      <c r="K2613" s="148"/>
      <c r="L2613" s="149"/>
      <c r="M2613" s="148"/>
    </row>
    <row r="2614" spans="1:13" ht="15" customHeight="1">
      <c r="A2614" s="142" t="s">
        <v>7120</v>
      </c>
      <c r="B2614" s="142">
        <v>518026</v>
      </c>
      <c r="C2614" s="143" t="s">
        <v>7121</v>
      </c>
      <c r="D2614" s="142" t="s">
        <v>6736</v>
      </c>
      <c r="E2614" s="143" t="s">
        <v>6736</v>
      </c>
      <c r="F2614" s="143" t="s">
        <v>2324</v>
      </c>
      <c r="G2614" s="142" t="s">
        <v>109</v>
      </c>
      <c r="H2614" s="142" t="s">
        <v>54</v>
      </c>
      <c r="I2614" s="143" t="s">
        <v>6740</v>
      </c>
      <c r="J2614" s="143" t="s">
        <v>104</v>
      </c>
      <c r="K2614" s="144"/>
      <c r="L2614" s="145"/>
      <c r="M2614" s="144"/>
    </row>
    <row r="2615" spans="1:13" ht="15" customHeight="1">
      <c r="A2615" s="146" t="s">
        <v>7122</v>
      </c>
      <c r="B2615" s="146">
        <v>518495</v>
      </c>
      <c r="C2615" s="147" t="s">
        <v>6735</v>
      </c>
      <c r="D2615" s="146" t="s">
        <v>6736</v>
      </c>
      <c r="E2615" s="147" t="s">
        <v>677</v>
      </c>
      <c r="F2615" s="147" t="s">
        <v>7123</v>
      </c>
      <c r="G2615" s="146" t="s">
        <v>6739</v>
      </c>
      <c r="H2615" s="146" t="s">
        <v>54</v>
      </c>
      <c r="I2615" s="147" t="s">
        <v>6740</v>
      </c>
      <c r="J2615" s="147" t="s">
        <v>6741</v>
      </c>
      <c r="K2615" s="148"/>
      <c r="L2615" s="149"/>
      <c r="M2615" s="148"/>
    </row>
    <row r="2616" spans="1:13" ht="15" customHeight="1">
      <c r="A2616" s="142" t="s">
        <v>7124</v>
      </c>
      <c r="B2616" s="142">
        <v>518502</v>
      </c>
      <c r="C2616" s="143" t="s">
        <v>6735</v>
      </c>
      <c r="D2616" s="142" t="s">
        <v>6736</v>
      </c>
      <c r="E2616" s="143" t="s">
        <v>677</v>
      </c>
      <c r="F2616" s="143" t="s">
        <v>7125</v>
      </c>
      <c r="G2616" s="142" t="s">
        <v>6739</v>
      </c>
      <c r="H2616" s="142" t="s">
        <v>54</v>
      </c>
      <c r="I2616" s="143" t="s">
        <v>6740</v>
      </c>
      <c r="J2616" s="143" t="s">
        <v>6741</v>
      </c>
      <c r="K2616" s="144"/>
      <c r="L2616" s="145"/>
      <c r="M2616" s="144"/>
    </row>
    <row r="2617" spans="1:13" ht="15" customHeight="1">
      <c r="A2617" s="146" t="s">
        <v>7126</v>
      </c>
      <c r="B2617" s="146">
        <v>518503</v>
      </c>
      <c r="C2617" s="147" t="s">
        <v>6735</v>
      </c>
      <c r="D2617" s="146" t="s">
        <v>6736</v>
      </c>
      <c r="E2617" s="147" t="s">
        <v>677</v>
      </c>
      <c r="F2617" s="147" t="s">
        <v>7125</v>
      </c>
      <c r="G2617" s="146" t="s">
        <v>6739</v>
      </c>
      <c r="H2617" s="146" t="s">
        <v>54</v>
      </c>
      <c r="I2617" s="147" t="s">
        <v>6740</v>
      </c>
      <c r="J2617" s="147" t="s">
        <v>6741</v>
      </c>
      <c r="K2617" s="148"/>
      <c r="L2617" s="149"/>
      <c r="M2617" s="148"/>
    </row>
    <row r="2618" spans="1:13" ht="15" customHeight="1">
      <c r="A2618" s="142" t="s">
        <v>7127</v>
      </c>
      <c r="B2618" s="142">
        <v>518493</v>
      </c>
      <c r="C2618" s="143" t="s">
        <v>7128</v>
      </c>
      <c r="D2618" s="142" t="s">
        <v>6736</v>
      </c>
      <c r="E2618" s="143" t="s">
        <v>677</v>
      </c>
      <c r="F2618" s="143" t="s">
        <v>7129</v>
      </c>
      <c r="G2618" s="142" t="s">
        <v>109</v>
      </c>
      <c r="H2618" s="142" t="s">
        <v>54</v>
      </c>
      <c r="I2618" s="143" t="s">
        <v>6740</v>
      </c>
      <c r="J2618" s="143" t="s">
        <v>104</v>
      </c>
      <c r="K2618" s="144"/>
      <c r="L2618" s="145"/>
      <c r="M2618" s="144"/>
    </row>
    <row r="2619" spans="1:13" ht="15" customHeight="1">
      <c r="A2619" s="146" t="s">
        <v>7130</v>
      </c>
      <c r="B2619" s="146">
        <v>518494</v>
      </c>
      <c r="C2619" s="147" t="s">
        <v>6735</v>
      </c>
      <c r="D2619" s="146" t="s">
        <v>6736</v>
      </c>
      <c r="E2619" s="147" t="s">
        <v>677</v>
      </c>
      <c r="F2619" s="147" t="s">
        <v>7129</v>
      </c>
      <c r="G2619" s="146" t="s">
        <v>6739</v>
      </c>
      <c r="H2619" s="146" t="s">
        <v>54</v>
      </c>
      <c r="I2619" s="147" t="s">
        <v>6740</v>
      </c>
      <c r="J2619" s="147" t="s">
        <v>6741</v>
      </c>
      <c r="K2619" s="148"/>
      <c r="L2619" s="149"/>
      <c r="M2619" s="148"/>
    </row>
    <row r="2620" spans="1:13" ht="15" customHeight="1">
      <c r="A2620" s="142" t="s">
        <v>7131</v>
      </c>
      <c r="B2620" s="142">
        <v>518492</v>
      </c>
      <c r="C2620" s="143" t="s">
        <v>1155</v>
      </c>
      <c r="D2620" s="142" t="s">
        <v>6736</v>
      </c>
      <c r="E2620" s="143" t="s">
        <v>677</v>
      </c>
      <c r="F2620" s="143" t="s">
        <v>7132</v>
      </c>
      <c r="G2620" s="142" t="s">
        <v>109</v>
      </c>
      <c r="H2620" s="142" t="s">
        <v>54</v>
      </c>
      <c r="I2620" s="143" t="s">
        <v>6740</v>
      </c>
      <c r="J2620" s="143" t="s">
        <v>104</v>
      </c>
      <c r="K2620" s="144"/>
      <c r="L2620" s="145"/>
      <c r="M2620" s="144"/>
    </row>
    <row r="2621" spans="1:13" ht="15" customHeight="1">
      <c r="A2621" s="146" t="s">
        <v>7133</v>
      </c>
      <c r="B2621" s="146">
        <v>518121</v>
      </c>
      <c r="C2621" s="147" t="s">
        <v>7134</v>
      </c>
      <c r="D2621" s="146" t="s">
        <v>6736</v>
      </c>
      <c r="E2621" s="147" t="s">
        <v>677</v>
      </c>
      <c r="F2621" s="147" t="s">
        <v>7135</v>
      </c>
      <c r="G2621" s="146" t="s">
        <v>109</v>
      </c>
      <c r="H2621" s="146" t="s">
        <v>54</v>
      </c>
      <c r="I2621" s="147" t="s">
        <v>6740</v>
      </c>
      <c r="J2621" s="147" t="s">
        <v>104</v>
      </c>
      <c r="K2621" s="148"/>
      <c r="L2621" s="149"/>
      <c r="M2621" s="148"/>
    </row>
    <row r="2622" spans="1:13" ht="15" customHeight="1">
      <c r="A2622" s="142" t="s">
        <v>7136</v>
      </c>
      <c r="B2622" s="142">
        <v>518120</v>
      </c>
      <c r="C2622" s="143" t="s">
        <v>7137</v>
      </c>
      <c r="D2622" s="142" t="s">
        <v>6736</v>
      </c>
      <c r="E2622" s="143" t="s">
        <v>677</v>
      </c>
      <c r="F2622" s="143" t="s">
        <v>1714</v>
      </c>
      <c r="G2622" s="142" t="s">
        <v>109</v>
      </c>
      <c r="H2622" s="142" t="s">
        <v>54</v>
      </c>
      <c r="I2622" s="143" t="s">
        <v>6740</v>
      </c>
      <c r="J2622" s="143" t="s">
        <v>104</v>
      </c>
      <c r="K2622" s="144"/>
      <c r="L2622" s="145"/>
      <c r="M2622" s="144"/>
    </row>
    <row r="2623" spans="1:13" ht="15" customHeight="1">
      <c r="A2623" s="146" t="s">
        <v>7138</v>
      </c>
      <c r="B2623" s="146">
        <v>518501</v>
      </c>
      <c r="C2623" s="147" t="s">
        <v>7139</v>
      </c>
      <c r="D2623" s="146" t="s">
        <v>6736</v>
      </c>
      <c r="E2623" s="147" t="s">
        <v>677</v>
      </c>
      <c r="F2623" s="147" t="s">
        <v>7139</v>
      </c>
      <c r="G2623" s="146" t="s">
        <v>109</v>
      </c>
      <c r="H2623" s="146" t="s">
        <v>54</v>
      </c>
      <c r="I2623" s="147" t="s">
        <v>6740</v>
      </c>
      <c r="J2623" s="147" t="s">
        <v>104</v>
      </c>
      <c r="K2623" s="148"/>
      <c r="L2623" s="149"/>
      <c r="M2623" s="148"/>
    </row>
    <row r="2624" spans="1:13" ht="15" customHeight="1">
      <c r="A2624" s="142" t="s">
        <v>7140</v>
      </c>
      <c r="B2624" s="142">
        <v>518707</v>
      </c>
      <c r="C2624" s="143" t="s">
        <v>7141</v>
      </c>
      <c r="D2624" s="142" t="s">
        <v>7142</v>
      </c>
      <c r="E2624" s="143" t="s">
        <v>7143</v>
      </c>
      <c r="F2624" s="143" t="s">
        <v>7143</v>
      </c>
      <c r="G2624" s="142" t="s">
        <v>102</v>
      </c>
      <c r="H2624" s="142" t="s">
        <v>56</v>
      </c>
      <c r="I2624" s="143" t="s">
        <v>440</v>
      </c>
      <c r="J2624" s="143" t="s">
        <v>104</v>
      </c>
      <c r="K2624" s="144" t="s">
        <v>121</v>
      </c>
      <c r="L2624" s="145">
        <v>46148</v>
      </c>
      <c r="M2624" s="144"/>
    </row>
    <row r="2625" spans="1:13" ht="15" customHeight="1">
      <c r="A2625" s="146" t="s">
        <v>7144</v>
      </c>
      <c r="B2625" s="146">
        <v>518694</v>
      </c>
      <c r="C2625" s="147" t="s">
        <v>7145</v>
      </c>
      <c r="D2625" s="146" t="s">
        <v>7142</v>
      </c>
      <c r="E2625" s="147" t="s">
        <v>7143</v>
      </c>
      <c r="F2625" s="147" t="s">
        <v>7146</v>
      </c>
      <c r="G2625" s="146" t="s">
        <v>109</v>
      </c>
      <c r="H2625" s="146" t="s">
        <v>56</v>
      </c>
      <c r="I2625" s="147" t="s">
        <v>440</v>
      </c>
      <c r="J2625" s="147" t="s">
        <v>104</v>
      </c>
      <c r="K2625" s="148"/>
      <c r="L2625" s="149"/>
      <c r="M2625" s="148"/>
    </row>
    <row r="2626" spans="1:13" ht="15" customHeight="1">
      <c r="A2626" s="142" t="s">
        <v>7147</v>
      </c>
      <c r="B2626" s="142">
        <v>518649</v>
      </c>
      <c r="C2626" s="143" t="s">
        <v>1219</v>
      </c>
      <c r="D2626" s="142" t="s">
        <v>7142</v>
      </c>
      <c r="E2626" s="143" t="s">
        <v>7143</v>
      </c>
      <c r="F2626" s="143" t="s">
        <v>7148</v>
      </c>
      <c r="G2626" s="142" t="s">
        <v>109</v>
      </c>
      <c r="H2626" s="142" t="s">
        <v>56</v>
      </c>
      <c r="I2626" s="143" t="s">
        <v>440</v>
      </c>
      <c r="J2626" s="143" t="s">
        <v>104</v>
      </c>
      <c r="K2626" s="144"/>
      <c r="L2626" s="145"/>
      <c r="M2626" s="144"/>
    </row>
    <row r="2627" spans="1:13" ht="15" customHeight="1">
      <c r="A2627" s="146" t="s">
        <v>7149</v>
      </c>
      <c r="B2627" s="146">
        <v>518738</v>
      </c>
      <c r="C2627" s="147" t="s">
        <v>745</v>
      </c>
      <c r="D2627" s="146" t="s">
        <v>7142</v>
      </c>
      <c r="E2627" s="147" t="s">
        <v>7150</v>
      </c>
      <c r="F2627" s="147" t="s">
        <v>7150</v>
      </c>
      <c r="G2627" s="146" t="s">
        <v>102</v>
      </c>
      <c r="H2627" s="146" t="s">
        <v>56</v>
      </c>
      <c r="I2627" s="147" t="s">
        <v>440</v>
      </c>
      <c r="J2627" s="147" t="s">
        <v>104</v>
      </c>
      <c r="K2627" s="148" t="s">
        <v>121</v>
      </c>
      <c r="L2627" s="149">
        <v>46153</v>
      </c>
      <c r="M2627" s="148"/>
    </row>
    <row r="2628" spans="1:13" ht="15" customHeight="1">
      <c r="A2628" s="142" t="s">
        <v>7151</v>
      </c>
      <c r="B2628" s="142">
        <v>518709</v>
      </c>
      <c r="C2628" s="143" t="s">
        <v>483</v>
      </c>
      <c r="D2628" s="142" t="s">
        <v>7142</v>
      </c>
      <c r="E2628" s="143" t="s">
        <v>7143</v>
      </c>
      <c r="F2628" s="143" t="s">
        <v>7143</v>
      </c>
      <c r="G2628" s="142" t="s">
        <v>109</v>
      </c>
      <c r="H2628" s="142" t="s">
        <v>56</v>
      </c>
      <c r="I2628" s="143" t="s">
        <v>440</v>
      </c>
      <c r="J2628" s="143" t="s">
        <v>104</v>
      </c>
      <c r="K2628" s="144" t="s">
        <v>121</v>
      </c>
      <c r="L2628" s="145">
        <v>46153</v>
      </c>
      <c r="M2628" s="144"/>
    </row>
    <row r="2629" spans="1:13" ht="15" customHeight="1">
      <c r="A2629" s="146" t="s">
        <v>7152</v>
      </c>
      <c r="B2629" s="146">
        <v>518773</v>
      </c>
      <c r="C2629" s="147" t="s">
        <v>7153</v>
      </c>
      <c r="D2629" s="146" t="s">
        <v>7142</v>
      </c>
      <c r="E2629" s="147" t="s">
        <v>3260</v>
      </c>
      <c r="F2629" s="147" t="s">
        <v>7154</v>
      </c>
      <c r="G2629" s="146" t="s">
        <v>109</v>
      </c>
      <c r="H2629" s="146" t="s">
        <v>56</v>
      </c>
      <c r="I2629" s="147" t="s">
        <v>440</v>
      </c>
      <c r="J2629" s="147" t="s">
        <v>104</v>
      </c>
      <c r="K2629" s="148"/>
      <c r="L2629" s="149"/>
      <c r="M2629" s="148"/>
    </row>
    <row r="2630" spans="1:13" ht="15" customHeight="1">
      <c r="A2630" s="142" t="s">
        <v>7155</v>
      </c>
      <c r="B2630" s="142">
        <v>517821</v>
      </c>
      <c r="C2630" s="143" t="s">
        <v>7156</v>
      </c>
      <c r="D2630" s="142" t="s">
        <v>7142</v>
      </c>
      <c r="E2630" s="143" t="s">
        <v>7157</v>
      </c>
      <c r="F2630" s="143" t="s">
        <v>7158</v>
      </c>
      <c r="G2630" s="142" t="s">
        <v>109</v>
      </c>
      <c r="H2630" s="142" t="s">
        <v>52</v>
      </c>
      <c r="I2630" s="143" t="s">
        <v>2927</v>
      </c>
      <c r="J2630" s="143" t="s">
        <v>104</v>
      </c>
      <c r="K2630" s="144"/>
      <c r="L2630" s="145"/>
      <c r="M2630" s="144"/>
    </row>
    <row r="2631" spans="1:13" ht="15" customHeight="1">
      <c r="A2631" s="146" t="s">
        <v>7159</v>
      </c>
      <c r="B2631" s="146">
        <v>518770</v>
      </c>
      <c r="C2631" s="147" t="s">
        <v>2265</v>
      </c>
      <c r="D2631" s="146" t="s">
        <v>7142</v>
      </c>
      <c r="E2631" s="147" t="s">
        <v>3260</v>
      </c>
      <c r="F2631" s="147" t="s">
        <v>141</v>
      </c>
      <c r="G2631" s="146" t="s">
        <v>109</v>
      </c>
      <c r="H2631" s="146" t="s">
        <v>56</v>
      </c>
      <c r="I2631" s="147" t="s">
        <v>440</v>
      </c>
      <c r="J2631" s="147" t="s">
        <v>104</v>
      </c>
      <c r="K2631" s="148"/>
      <c r="L2631" s="149"/>
      <c r="M2631" s="148"/>
    </row>
    <row r="2632" spans="1:13" ht="15" customHeight="1">
      <c r="A2632" s="142" t="s">
        <v>7160</v>
      </c>
      <c r="B2632" s="142">
        <v>518796</v>
      </c>
      <c r="C2632" s="143" t="s">
        <v>7161</v>
      </c>
      <c r="D2632" s="142" t="s">
        <v>7142</v>
      </c>
      <c r="E2632" s="143" t="s">
        <v>521</v>
      </c>
      <c r="F2632" s="143" t="s">
        <v>7162</v>
      </c>
      <c r="G2632" s="142" t="s">
        <v>109</v>
      </c>
      <c r="H2632" s="142" t="s">
        <v>56</v>
      </c>
      <c r="I2632" s="143" t="s">
        <v>440</v>
      </c>
      <c r="J2632" s="143" t="s">
        <v>104</v>
      </c>
      <c r="K2632" s="144"/>
      <c r="L2632" s="145"/>
      <c r="M2632" s="144"/>
    </row>
    <row r="2633" spans="1:13" ht="15" customHeight="1">
      <c r="A2633" s="146" t="s">
        <v>7163</v>
      </c>
      <c r="B2633" s="146">
        <v>518737</v>
      </c>
      <c r="C2633" s="147" t="s">
        <v>7164</v>
      </c>
      <c r="D2633" s="146" t="s">
        <v>7142</v>
      </c>
      <c r="E2633" s="147" t="s">
        <v>7165</v>
      </c>
      <c r="F2633" s="147" t="s">
        <v>7166</v>
      </c>
      <c r="G2633" s="146" t="s">
        <v>109</v>
      </c>
      <c r="H2633" s="146" t="s">
        <v>56</v>
      </c>
      <c r="I2633" s="147" t="s">
        <v>440</v>
      </c>
      <c r="J2633" s="147" t="s">
        <v>104</v>
      </c>
      <c r="K2633" s="148"/>
      <c r="L2633" s="149"/>
      <c r="M2633" s="148"/>
    </row>
    <row r="2634" spans="1:13" ht="15" customHeight="1">
      <c r="A2634" s="142" t="s">
        <v>7167</v>
      </c>
      <c r="B2634" s="142">
        <v>518797</v>
      </c>
      <c r="C2634" s="143" t="s">
        <v>2629</v>
      </c>
      <c r="D2634" s="142" t="s">
        <v>7142</v>
      </c>
      <c r="E2634" s="143" t="s">
        <v>521</v>
      </c>
      <c r="F2634" s="143" t="s">
        <v>7168</v>
      </c>
      <c r="G2634" s="142" t="s">
        <v>109</v>
      </c>
      <c r="H2634" s="142" t="s">
        <v>56</v>
      </c>
      <c r="I2634" s="143" t="s">
        <v>440</v>
      </c>
      <c r="J2634" s="143" t="s">
        <v>104</v>
      </c>
      <c r="K2634" s="144"/>
      <c r="L2634" s="145"/>
      <c r="M2634" s="144"/>
    </row>
    <row r="2635" spans="1:13" ht="15" customHeight="1">
      <c r="A2635" s="146" t="s">
        <v>7169</v>
      </c>
      <c r="B2635" s="146">
        <v>518782</v>
      </c>
      <c r="C2635" s="147" t="s">
        <v>5989</v>
      </c>
      <c r="D2635" s="146" t="s">
        <v>7142</v>
      </c>
      <c r="E2635" s="147" t="s">
        <v>3260</v>
      </c>
      <c r="F2635" s="147" t="s">
        <v>7170</v>
      </c>
      <c r="G2635" s="146" t="s">
        <v>109</v>
      </c>
      <c r="H2635" s="146" t="s">
        <v>56</v>
      </c>
      <c r="I2635" s="147" t="s">
        <v>440</v>
      </c>
      <c r="J2635" s="147" t="s">
        <v>104</v>
      </c>
      <c r="K2635" s="148"/>
      <c r="L2635" s="149"/>
      <c r="M2635" s="148"/>
    </row>
    <row r="2636" spans="1:13" ht="15" customHeight="1">
      <c r="A2636" s="142" t="s">
        <v>7171</v>
      </c>
      <c r="B2636" s="142">
        <v>518805</v>
      </c>
      <c r="C2636" s="143" t="s">
        <v>3470</v>
      </c>
      <c r="D2636" s="142" t="s">
        <v>7142</v>
      </c>
      <c r="E2636" s="143" t="s">
        <v>7172</v>
      </c>
      <c r="F2636" s="143" t="s">
        <v>7173</v>
      </c>
      <c r="G2636" s="142" t="s">
        <v>109</v>
      </c>
      <c r="H2636" s="142" t="s">
        <v>56</v>
      </c>
      <c r="I2636" s="143" t="s">
        <v>440</v>
      </c>
      <c r="J2636" s="143" t="s">
        <v>104</v>
      </c>
      <c r="K2636" s="144"/>
      <c r="L2636" s="145"/>
      <c r="M2636" s="144"/>
    </row>
    <row r="2637" spans="1:13" ht="15" customHeight="1">
      <c r="A2637" s="146" t="s">
        <v>7174</v>
      </c>
      <c r="B2637" s="146">
        <v>518743</v>
      </c>
      <c r="C2637" s="147" t="s">
        <v>4977</v>
      </c>
      <c r="D2637" s="146" t="s">
        <v>7142</v>
      </c>
      <c r="E2637" s="147" t="s">
        <v>1600</v>
      </c>
      <c r="F2637" s="147" t="s">
        <v>7175</v>
      </c>
      <c r="G2637" s="146" t="s">
        <v>109</v>
      </c>
      <c r="H2637" s="146" t="s">
        <v>56</v>
      </c>
      <c r="I2637" s="147" t="s">
        <v>440</v>
      </c>
      <c r="J2637" s="147" t="s">
        <v>104</v>
      </c>
      <c r="K2637" s="148"/>
      <c r="L2637" s="149"/>
      <c r="M2637" s="148"/>
    </row>
    <row r="2638" spans="1:13" ht="15" customHeight="1">
      <c r="A2638" s="142" t="s">
        <v>7176</v>
      </c>
      <c r="B2638" s="142">
        <v>516107</v>
      </c>
      <c r="C2638" s="143" t="s">
        <v>6438</v>
      </c>
      <c r="D2638" s="142" t="s">
        <v>7142</v>
      </c>
      <c r="E2638" s="143" t="s">
        <v>7177</v>
      </c>
      <c r="F2638" s="143" t="s">
        <v>7178</v>
      </c>
      <c r="G2638" s="142" t="s">
        <v>109</v>
      </c>
      <c r="H2638" s="142" t="s">
        <v>56</v>
      </c>
      <c r="I2638" s="143" t="s">
        <v>440</v>
      </c>
      <c r="J2638" s="143" t="s">
        <v>104</v>
      </c>
      <c r="K2638" s="144"/>
      <c r="L2638" s="145"/>
      <c r="M2638" s="144"/>
    </row>
    <row r="2639" spans="1:13" ht="15" customHeight="1">
      <c r="A2639" s="146" t="s">
        <v>7179</v>
      </c>
      <c r="B2639" s="146">
        <v>518794</v>
      </c>
      <c r="C2639" s="147" t="s">
        <v>7180</v>
      </c>
      <c r="D2639" s="146" t="s">
        <v>7142</v>
      </c>
      <c r="E2639" s="147" t="s">
        <v>521</v>
      </c>
      <c r="F2639" s="147" t="s">
        <v>7181</v>
      </c>
      <c r="G2639" s="146" t="s">
        <v>109</v>
      </c>
      <c r="H2639" s="146" t="s">
        <v>56</v>
      </c>
      <c r="I2639" s="147" t="s">
        <v>440</v>
      </c>
      <c r="J2639" s="147" t="s">
        <v>104</v>
      </c>
      <c r="K2639" s="148"/>
      <c r="L2639" s="149"/>
      <c r="M2639" s="148"/>
    </row>
    <row r="2640" spans="1:13" ht="15" customHeight="1">
      <c r="A2640" s="142" t="s">
        <v>7182</v>
      </c>
      <c r="B2640" s="142">
        <v>518755</v>
      </c>
      <c r="C2640" s="143" t="s">
        <v>7183</v>
      </c>
      <c r="D2640" s="142" t="s">
        <v>7142</v>
      </c>
      <c r="E2640" s="143" t="s">
        <v>563</v>
      </c>
      <c r="F2640" s="143" t="s">
        <v>7184</v>
      </c>
      <c r="G2640" s="142" t="s">
        <v>109</v>
      </c>
      <c r="H2640" s="142" t="s">
        <v>56</v>
      </c>
      <c r="I2640" s="143" t="s">
        <v>440</v>
      </c>
      <c r="J2640" s="143" t="s">
        <v>104</v>
      </c>
      <c r="K2640" s="144"/>
      <c r="L2640" s="145"/>
      <c r="M2640" s="144"/>
    </row>
    <row r="2641" spans="1:13" ht="15" customHeight="1">
      <c r="A2641" s="146" t="s">
        <v>7185</v>
      </c>
      <c r="B2641" s="146">
        <v>518775</v>
      </c>
      <c r="C2641" s="147" t="s">
        <v>7186</v>
      </c>
      <c r="D2641" s="146" t="s">
        <v>7142</v>
      </c>
      <c r="E2641" s="147" t="s">
        <v>7187</v>
      </c>
      <c r="F2641" s="147" t="s">
        <v>3255</v>
      </c>
      <c r="G2641" s="146" t="s">
        <v>109</v>
      </c>
      <c r="H2641" s="146" t="s">
        <v>56</v>
      </c>
      <c r="I2641" s="147" t="s">
        <v>440</v>
      </c>
      <c r="J2641" s="147" t="s">
        <v>104</v>
      </c>
      <c r="K2641" s="148"/>
      <c r="L2641" s="149"/>
      <c r="M2641" s="148"/>
    </row>
    <row r="2642" spans="1:13" ht="15" customHeight="1">
      <c r="A2642" s="142" t="s">
        <v>7188</v>
      </c>
      <c r="B2642" s="142">
        <v>518749</v>
      </c>
      <c r="C2642" s="143" t="s">
        <v>7189</v>
      </c>
      <c r="D2642" s="142" t="s">
        <v>7142</v>
      </c>
      <c r="E2642" s="143" t="s">
        <v>7190</v>
      </c>
      <c r="F2642" s="143" t="s">
        <v>7191</v>
      </c>
      <c r="G2642" s="142" t="s">
        <v>109</v>
      </c>
      <c r="H2642" s="142" t="s">
        <v>56</v>
      </c>
      <c r="I2642" s="143" t="s">
        <v>440</v>
      </c>
      <c r="J2642" s="143" t="s">
        <v>104</v>
      </c>
      <c r="K2642" s="144"/>
      <c r="L2642" s="145"/>
      <c r="M2642" s="144"/>
    </row>
    <row r="2643" spans="1:13" ht="15" customHeight="1">
      <c r="A2643" s="146" t="s">
        <v>7192</v>
      </c>
      <c r="B2643" s="146">
        <v>518698</v>
      </c>
      <c r="C2643" s="147" t="s">
        <v>7193</v>
      </c>
      <c r="D2643" s="146" t="s">
        <v>7142</v>
      </c>
      <c r="E2643" s="147" t="s">
        <v>7143</v>
      </c>
      <c r="F2643" s="147" t="s">
        <v>7143</v>
      </c>
      <c r="G2643" s="146" t="s">
        <v>102</v>
      </c>
      <c r="H2643" s="146" t="s">
        <v>56</v>
      </c>
      <c r="I2643" s="147" t="s">
        <v>440</v>
      </c>
      <c r="J2643" s="147" t="s">
        <v>104</v>
      </c>
      <c r="K2643" s="148" t="s">
        <v>121</v>
      </c>
      <c r="L2643" s="149">
        <v>46150</v>
      </c>
      <c r="M2643" s="148"/>
    </row>
    <row r="2644" spans="1:13" ht="15" customHeight="1">
      <c r="A2644" s="142" t="s">
        <v>7194</v>
      </c>
      <c r="B2644" s="142">
        <v>518804</v>
      </c>
      <c r="C2644" s="143" t="s">
        <v>7195</v>
      </c>
      <c r="D2644" s="142" t="s">
        <v>7142</v>
      </c>
      <c r="E2644" s="143" t="s">
        <v>127</v>
      </c>
      <c r="F2644" s="143" t="s">
        <v>7196</v>
      </c>
      <c r="G2644" s="142" t="s">
        <v>109</v>
      </c>
      <c r="H2644" s="142" t="s">
        <v>56</v>
      </c>
      <c r="I2644" s="143" t="s">
        <v>440</v>
      </c>
      <c r="J2644" s="143" t="s">
        <v>104</v>
      </c>
      <c r="K2644" s="144"/>
      <c r="L2644" s="145"/>
      <c r="M2644" s="144"/>
    </row>
    <row r="2645" spans="1:13" ht="15" customHeight="1">
      <c r="A2645" s="146" t="s">
        <v>7197</v>
      </c>
      <c r="B2645" s="146">
        <v>518674</v>
      </c>
      <c r="C2645" s="147" t="s">
        <v>7198</v>
      </c>
      <c r="D2645" s="146" t="s">
        <v>7142</v>
      </c>
      <c r="E2645" s="147" t="s">
        <v>906</v>
      </c>
      <c r="F2645" s="147" t="s">
        <v>7199</v>
      </c>
      <c r="G2645" s="146" t="s">
        <v>109</v>
      </c>
      <c r="H2645" s="146" t="s">
        <v>56</v>
      </c>
      <c r="I2645" s="147" t="s">
        <v>440</v>
      </c>
      <c r="J2645" s="147" t="s">
        <v>104</v>
      </c>
      <c r="K2645" s="148"/>
      <c r="L2645" s="149"/>
      <c r="M2645" s="148"/>
    </row>
    <row r="2646" spans="1:13" ht="15" customHeight="1">
      <c r="A2646" s="142" t="s">
        <v>7200</v>
      </c>
      <c r="B2646" s="142">
        <v>518711</v>
      </c>
      <c r="C2646" s="143" t="s">
        <v>7201</v>
      </c>
      <c r="D2646" s="142" t="s">
        <v>7142</v>
      </c>
      <c r="E2646" s="143" t="s">
        <v>7143</v>
      </c>
      <c r="F2646" s="143" t="s">
        <v>7143</v>
      </c>
      <c r="G2646" s="142" t="s">
        <v>102</v>
      </c>
      <c r="H2646" s="142" t="s">
        <v>56</v>
      </c>
      <c r="I2646" s="143" t="s">
        <v>440</v>
      </c>
      <c r="J2646" s="143" t="s">
        <v>104</v>
      </c>
      <c r="K2646" s="144" t="s">
        <v>121</v>
      </c>
      <c r="L2646" s="145">
        <v>46149</v>
      </c>
      <c r="M2646" s="144"/>
    </row>
    <row r="2647" spans="1:13" ht="15" customHeight="1">
      <c r="A2647" s="146" t="s">
        <v>7202</v>
      </c>
      <c r="B2647" s="146">
        <v>518783</v>
      </c>
      <c r="C2647" s="147" t="s">
        <v>7203</v>
      </c>
      <c r="D2647" s="146" t="s">
        <v>7142</v>
      </c>
      <c r="E2647" s="147" t="s">
        <v>3260</v>
      </c>
      <c r="F2647" s="147" t="s">
        <v>7204</v>
      </c>
      <c r="G2647" s="146" t="s">
        <v>109</v>
      </c>
      <c r="H2647" s="146" t="s">
        <v>56</v>
      </c>
      <c r="I2647" s="147" t="s">
        <v>440</v>
      </c>
      <c r="J2647" s="147" t="s">
        <v>104</v>
      </c>
      <c r="K2647" s="148"/>
      <c r="L2647" s="149"/>
      <c r="M2647" s="148"/>
    </row>
    <row r="2648" spans="1:13" ht="15" customHeight="1">
      <c r="A2648" s="142" t="s">
        <v>7205</v>
      </c>
      <c r="B2648" s="142">
        <v>518781</v>
      </c>
      <c r="C2648" s="143" t="s">
        <v>7206</v>
      </c>
      <c r="D2648" s="142" t="s">
        <v>7142</v>
      </c>
      <c r="E2648" s="143" t="s">
        <v>3260</v>
      </c>
      <c r="F2648" s="143" t="s">
        <v>314</v>
      </c>
      <c r="G2648" s="142" t="s">
        <v>109</v>
      </c>
      <c r="H2648" s="142" t="s">
        <v>52</v>
      </c>
      <c r="I2648" s="143" t="s">
        <v>2927</v>
      </c>
      <c r="J2648" s="143" t="s">
        <v>104</v>
      </c>
      <c r="K2648" s="144"/>
      <c r="L2648" s="145"/>
      <c r="M2648" s="144"/>
    </row>
    <row r="2649" spans="1:13" ht="15" customHeight="1">
      <c r="A2649" s="146" t="s">
        <v>7207</v>
      </c>
      <c r="B2649" s="146">
        <v>518721</v>
      </c>
      <c r="C2649" s="147" t="s">
        <v>7208</v>
      </c>
      <c r="D2649" s="146" t="s">
        <v>7142</v>
      </c>
      <c r="E2649" s="147" t="s">
        <v>1600</v>
      </c>
      <c r="F2649" s="147" t="s">
        <v>7209</v>
      </c>
      <c r="G2649" s="146" t="s">
        <v>109</v>
      </c>
      <c r="H2649" s="146" t="s">
        <v>56</v>
      </c>
      <c r="I2649" s="147" t="s">
        <v>440</v>
      </c>
      <c r="J2649" s="147" t="s">
        <v>104</v>
      </c>
      <c r="K2649" s="148"/>
      <c r="L2649" s="149"/>
      <c r="M2649" s="148"/>
    </row>
    <row r="2650" spans="1:13" ht="15" customHeight="1">
      <c r="A2650" s="142" t="s">
        <v>7210</v>
      </c>
      <c r="B2650" s="142">
        <v>518732</v>
      </c>
      <c r="C2650" s="143" t="s">
        <v>7211</v>
      </c>
      <c r="D2650" s="142" t="s">
        <v>7142</v>
      </c>
      <c r="E2650" s="143" t="s">
        <v>1600</v>
      </c>
      <c r="F2650" s="143" t="s">
        <v>7212</v>
      </c>
      <c r="G2650" s="142" t="s">
        <v>109</v>
      </c>
      <c r="H2650" s="142" t="s">
        <v>56</v>
      </c>
      <c r="I2650" s="143" t="s">
        <v>440</v>
      </c>
      <c r="J2650" s="143" t="s">
        <v>104</v>
      </c>
      <c r="K2650" s="144"/>
      <c r="L2650" s="145"/>
      <c r="M2650" s="144"/>
    </row>
    <row r="2651" spans="1:13" ht="15" customHeight="1">
      <c r="A2651" s="146" t="s">
        <v>7213</v>
      </c>
      <c r="B2651" s="146">
        <v>518742</v>
      </c>
      <c r="C2651" s="147" t="s">
        <v>7214</v>
      </c>
      <c r="D2651" s="146" t="s">
        <v>7142</v>
      </c>
      <c r="E2651" s="147" t="s">
        <v>6643</v>
      </c>
      <c r="F2651" s="147" t="s">
        <v>7215</v>
      </c>
      <c r="G2651" s="146" t="s">
        <v>109</v>
      </c>
      <c r="H2651" s="146" t="s">
        <v>56</v>
      </c>
      <c r="I2651" s="147" t="s">
        <v>440</v>
      </c>
      <c r="J2651" s="147" t="s">
        <v>104</v>
      </c>
      <c r="K2651" s="148"/>
      <c r="L2651" s="149"/>
      <c r="M2651" s="148"/>
    </row>
    <row r="2652" spans="1:13" ht="15" customHeight="1">
      <c r="A2652" s="142" t="s">
        <v>7216</v>
      </c>
      <c r="B2652" s="142">
        <v>518651</v>
      </c>
      <c r="C2652" s="143" t="s">
        <v>7217</v>
      </c>
      <c r="D2652" s="142" t="s">
        <v>7142</v>
      </c>
      <c r="E2652" s="143" t="s">
        <v>7143</v>
      </c>
      <c r="F2652" s="143" t="s">
        <v>7218</v>
      </c>
      <c r="G2652" s="142" t="s">
        <v>109</v>
      </c>
      <c r="H2652" s="142" t="s">
        <v>56</v>
      </c>
      <c r="I2652" s="143" t="s">
        <v>440</v>
      </c>
      <c r="J2652" s="143" t="s">
        <v>104</v>
      </c>
      <c r="K2652" s="144"/>
      <c r="L2652" s="145"/>
      <c r="M2652" s="144"/>
    </row>
    <row r="2653" spans="1:13" ht="15" customHeight="1">
      <c r="A2653" s="146" t="s">
        <v>7219</v>
      </c>
      <c r="B2653" s="146">
        <v>518653</v>
      </c>
      <c r="C2653" s="147" t="s">
        <v>7220</v>
      </c>
      <c r="D2653" s="146" t="s">
        <v>7142</v>
      </c>
      <c r="E2653" s="147" t="s">
        <v>7157</v>
      </c>
      <c r="F2653" s="147" t="s">
        <v>7221</v>
      </c>
      <c r="G2653" s="146" t="s">
        <v>102</v>
      </c>
      <c r="H2653" s="146" t="s">
        <v>56</v>
      </c>
      <c r="I2653" s="147" t="s">
        <v>440</v>
      </c>
      <c r="J2653" s="147" t="s">
        <v>104</v>
      </c>
      <c r="K2653" s="148"/>
      <c r="L2653" s="149"/>
      <c r="M2653" s="148"/>
    </row>
    <row r="2654" spans="1:13" ht="15" customHeight="1">
      <c r="A2654" s="142" t="s">
        <v>7222</v>
      </c>
      <c r="B2654" s="142">
        <v>518776</v>
      </c>
      <c r="C2654" s="143" t="s">
        <v>7223</v>
      </c>
      <c r="D2654" s="142" t="s">
        <v>7142</v>
      </c>
      <c r="E2654" s="143" t="s">
        <v>7224</v>
      </c>
      <c r="F2654" s="143" t="s">
        <v>7225</v>
      </c>
      <c r="G2654" s="142" t="s">
        <v>109</v>
      </c>
      <c r="H2654" s="142" t="s">
        <v>56</v>
      </c>
      <c r="I2654" s="143" t="s">
        <v>440</v>
      </c>
      <c r="J2654" s="143" t="s">
        <v>104</v>
      </c>
      <c r="K2654" s="144"/>
      <c r="L2654" s="145"/>
      <c r="M2654" s="144"/>
    </row>
    <row r="2655" spans="1:13" ht="15" customHeight="1">
      <c r="A2655" s="146" t="s">
        <v>7226</v>
      </c>
      <c r="B2655" s="146">
        <v>518662</v>
      </c>
      <c r="C2655" s="147" t="s">
        <v>7227</v>
      </c>
      <c r="D2655" s="146" t="s">
        <v>7142</v>
      </c>
      <c r="E2655" s="147" t="s">
        <v>457</v>
      </c>
      <c r="F2655" s="147" t="s">
        <v>7228</v>
      </c>
      <c r="G2655" s="146" t="s">
        <v>109</v>
      </c>
      <c r="H2655" s="146" t="s">
        <v>56</v>
      </c>
      <c r="I2655" s="147" t="s">
        <v>440</v>
      </c>
      <c r="J2655" s="147" t="s">
        <v>104</v>
      </c>
      <c r="K2655" s="148"/>
      <c r="L2655" s="149"/>
      <c r="M2655" s="148"/>
    </row>
    <row r="2656" spans="1:13" ht="15" customHeight="1">
      <c r="A2656" s="142" t="s">
        <v>7229</v>
      </c>
      <c r="B2656" s="142">
        <v>518687</v>
      </c>
      <c r="C2656" s="143" t="s">
        <v>7230</v>
      </c>
      <c r="D2656" s="142" t="s">
        <v>7142</v>
      </c>
      <c r="E2656" s="143" t="s">
        <v>7231</v>
      </c>
      <c r="F2656" s="143" t="s">
        <v>7231</v>
      </c>
      <c r="G2656" s="142" t="s">
        <v>102</v>
      </c>
      <c r="H2656" s="142" t="s">
        <v>56</v>
      </c>
      <c r="I2656" s="143" t="s">
        <v>440</v>
      </c>
      <c r="J2656" s="143" t="s">
        <v>104</v>
      </c>
      <c r="K2656" s="144"/>
      <c r="L2656" s="145"/>
      <c r="M2656" s="144"/>
    </row>
    <row r="2657" spans="1:13" ht="15" customHeight="1">
      <c r="A2657" s="146" t="s">
        <v>7232</v>
      </c>
      <c r="B2657" s="146">
        <v>518678</v>
      </c>
      <c r="C2657" s="147" t="s">
        <v>7233</v>
      </c>
      <c r="D2657" s="146" t="s">
        <v>7142</v>
      </c>
      <c r="E2657" s="147" t="s">
        <v>521</v>
      </c>
      <c r="F2657" s="147" t="s">
        <v>7234</v>
      </c>
      <c r="G2657" s="146" t="s">
        <v>109</v>
      </c>
      <c r="H2657" s="146" t="s">
        <v>56</v>
      </c>
      <c r="I2657" s="147" t="s">
        <v>440</v>
      </c>
      <c r="J2657" s="147" t="s">
        <v>104</v>
      </c>
      <c r="K2657" s="148"/>
      <c r="L2657" s="149"/>
      <c r="M2657" s="148"/>
    </row>
    <row r="2658" spans="1:13" ht="15" customHeight="1">
      <c r="A2658" s="142" t="s">
        <v>7235</v>
      </c>
      <c r="B2658" s="142">
        <v>518655</v>
      </c>
      <c r="C2658" s="143" t="s">
        <v>7236</v>
      </c>
      <c r="D2658" s="142" t="s">
        <v>7142</v>
      </c>
      <c r="E2658" s="143" t="s">
        <v>7157</v>
      </c>
      <c r="F2658" s="143" t="s">
        <v>7237</v>
      </c>
      <c r="G2658" s="142" t="s">
        <v>109</v>
      </c>
      <c r="H2658" s="142" t="s">
        <v>56</v>
      </c>
      <c r="I2658" s="143" t="s">
        <v>440</v>
      </c>
      <c r="J2658" s="143" t="s">
        <v>104</v>
      </c>
      <c r="K2658" s="144"/>
      <c r="L2658" s="145"/>
      <c r="M2658" s="144"/>
    </row>
    <row r="2659" spans="1:13" ht="15" customHeight="1">
      <c r="A2659" s="146" t="s">
        <v>7238</v>
      </c>
      <c r="B2659" s="146">
        <v>518740</v>
      </c>
      <c r="C2659" s="147" t="s">
        <v>7239</v>
      </c>
      <c r="D2659" s="146" t="s">
        <v>7142</v>
      </c>
      <c r="E2659" s="147" t="s">
        <v>6454</v>
      </c>
      <c r="F2659" s="147" t="s">
        <v>7240</v>
      </c>
      <c r="G2659" s="146" t="s">
        <v>109</v>
      </c>
      <c r="H2659" s="146" t="s">
        <v>56</v>
      </c>
      <c r="I2659" s="147" t="s">
        <v>440</v>
      </c>
      <c r="J2659" s="147" t="s">
        <v>104</v>
      </c>
      <c r="K2659" s="148"/>
      <c r="L2659" s="149"/>
      <c r="M2659" s="148"/>
    </row>
    <row r="2660" spans="1:13" ht="15" customHeight="1">
      <c r="A2660" s="142" t="s">
        <v>7241</v>
      </c>
      <c r="B2660" s="142">
        <v>518708</v>
      </c>
      <c r="C2660" s="143" t="s">
        <v>7242</v>
      </c>
      <c r="D2660" s="142" t="s">
        <v>7142</v>
      </c>
      <c r="E2660" s="143" t="s">
        <v>7143</v>
      </c>
      <c r="F2660" s="143" t="s">
        <v>7143</v>
      </c>
      <c r="G2660" s="142" t="s">
        <v>109</v>
      </c>
      <c r="H2660" s="142" t="s">
        <v>56</v>
      </c>
      <c r="I2660" s="143" t="s">
        <v>440</v>
      </c>
      <c r="J2660" s="143" t="s">
        <v>104</v>
      </c>
      <c r="K2660" s="144"/>
      <c r="L2660" s="145"/>
      <c r="M2660" s="144"/>
    </row>
    <row r="2661" spans="1:13" ht="15" customHeight="1">
      <c r="A2661" s="146" t="s">
        <v>7243</v>
      </c>
      <c r="B2661" s="146">
        <v>518795</v>
      </c>
      <c r="C2661" s="147" t="s">
        <v>7244</v>
      </c>
      <c r="D2661" s="146" t="s">
        <v>7142</v>
      </c>
      <c r="E2661" s="147" t="s">
        <v>521</v>
      </c>
      <c r="F2661" s="147" t="s">
        <v>7245</v>
      </c>
      <c r="G2661" s="146" t="s">
        <v>109</v>
      </c>
      <c r="H2661" s="146" t="s">
        <v>56</v>
      </c>
      <c r="I2661" s="147" t="s">
        <v>440</v>
      </c>
      <c r="J2661" s="147" t="s">
        <v>104</v>
      </c>
      <c r="K2661" s="148"/>
      <c r="L2661" s="149"/>
      <c r="M2661" s="148"/>
    </row>
    <row r="2662" spans="1:13" ht="15" customHeight="1">
      <c r="A2662" s="142" t="s">
        <v>7246</v>
      </c>
      <c r="B2662" s="142">
        <v>518785</v>
      </c>
      <c r="C2662" s="143" t="s">
        <v>7247</v>
      </c>
      <c r="D2662" s="142" t="s">
        <v>7142</v>
      </c>
      <c r="E2662" s="143" t="s">
        <v>7248</v>
      </c>
      <c r="F2662" s="143" t="s">
        <v>7249</v>
      </c>
      <c r="G2662" s="142" t="s">
        <v>109</v>
      </c>
      <c r="H2662" s="142" t="s">
        <v>56</v>
      </c>
      <c r="I2662" s="143" t="s">
        <v>440</v>
      </c>
      <c r="J2662" s="143" t="s">
        <v>104</v>
      </c>
      <c r="K2662" s="144"/>
      <c r="L2662" s="145"/>
      <c r="M2662" s="144"/>
    </row>
    <row r="2663" spans="1:13" ht="15" customHeight="1">
      <c r="A2663" s="146" t="s">
        <v>7250</v>
      </c>
      <c r="B2663" s="146">
        <v>518663</v>
      </c>
      <c r="C2663" s="147" t="s">
        <v>7251</v>
      </c>
      <c r="D2663" s="146" t="s">
        <v>7142</v>
      </c>
      <c r="E2663" s="147" t="s">
        <v>457</v>
      </c>
      <c r="F2663" s="147" t="s">
        <v>7252</v>
      </c>
      <c r="G2663" s="146" t="s">
        <v>102</v>
      </c>
      <c r="H2663" s="146" t="s">
        <v>56</v>
      </c>
      <c r="I2663" s="147" t="s">
        <v>440</v>
      </c>
      <c r="J2663" s="147" t="s">
        <v>104</v>
      </c>
      <c r="K2663" s="148"/>
      <c r="L2663" s="149"/>
      <c r="M2663" s="148"/>
    </row>
    <row r="2664" spans="1:13" ht="15" customHeight="1">
      <c r="A2664" s="142" t="s">
        <v>7253</v>
      </c>
      <c r="B2664" s="142">
        <v>518660</v>
      </c>
      <c r="C2664" s="143" t="s">
        <v>798</v>
      </c>
      <c r="D2664" s="142" t="s">
        <v>7142</v>
      </c>
      <c r="E2664" s="143" t="s">
        <v>457</v>
      </c>
      <c r="F2664" s="143" t="s">
        <v>457</v>
      </c>
      <c r="G2664" s="142" t="s">
        <v>102</v>
      </c>
      <c r="H2664" s="142" t="s">
        <v>56</v>
      </c>
      <c r="I2664" s="143" t="s">
        <v>440</v>
      </c>
      <c r="J2664" s="143" t="s">
        <v>104</v>
      </c>
      <c r="K2664" s="144"/>
      <c r="L2664" s="145"/>
      <c r="M2664" s="144"/>
    </row>
    <row r="2665" spans="1:13" ht="15" customHeight="1">
      <c r="A2665" s="146" t="s">
        <v>7254</v>
      </c>
      <c r="B2665" s="146">
        <v>518723</v>
      </c>
      <c r="C2665" s="147" t="s">
        <v>7255</v>
      </c>
      <c r="D2665" s="146" t="s">
        <v>7142</v>
      </c>
      <c r="E2665" s="147" t="s">
        <v>7143</v>
      </c>
      <c r="F2665" s="147" t="s">
        <v>7256</v>
      </c>
      <c r="G2665" s="146" t="s">
        <v>109</v>
      </c>
      <c r="H2665" s="146" t="s">
        <v>56</v>
      </c>
      <c r="I2665" s="147" t="s">
        <v>440</v>
      </c>
      <c r="J2665" s="147" t="s">
        <v>104</v>
      </c>
      <c r="K2665" s="148"/>
      <c r="L2665" s="149"/>
      <c r="M2665" s="148"/>
    </row>
    <row r="2666" spans="1:13" ht="15" customHeight="1">
      <c r="A2666" s="142" t="s">
        <v>7257</v>
      </c>
      <c r="B2666" s="142">
        <v>518680</v>
      </c>
      <c r="C2666" s="143" t="s">
        <v>7258</v>
      </c>
      <c r="D2666" s="142" t="s">
        <v>7142</v>
      </c>
      <c r="E2666" s="143" t="s">
        <v>521</v>
      </c>
      <c r="F2666" s="143" t="s">
        <v>7259</v>
      </c>
      <c r="G2666" s="142" t="s">
        <v>102</v>
      </c>
      <c r="H2666" s="142" t="s">
        <v>56</v>
      </c>
      <c r="I2666" s="143" t="s">
        <v>440</v>
      </c>
      <c r="J2666" s="143" t="s">
        <v>104</v>
      </c>
      <c r="K2666" s="144"/>
      <c r="L2666" s="145"/>
      <c r="M2666" s="144"/>
    </row>
    <row r="2667" spans="1:13" ht="15" customHeight="1">
      <c r="A2667" s="146" t="s">
        <v>7260</v>
      </c>
      <c r="B2667" s="146">
        <v>518754</v>
      </c>
      <c r="C2667" s="147" t="s">
        <v>7261</v>
      </c>
      <c r="D2667" s="146" t="s">
        <v>7142</v>
      </c>
      <c r="E2667" s="147" t="s">
        <v>7262</v>
      </c>
      <c r="F2667" s="147" t="s">
        <v>205</v>
      </c>
      <c r="G2667" s="146" t="s">
        <v>109</v>
      </c>
      <c r="H2667" s="146" t="s">
        <v>56</v>
      </c>
      <c r="I2667" s="147" t="s">
        <v>440</v>
      </c>
      <c r="J2667" s="147" t="s">
        <v>104</v>
      </c>
      <c r="K2667" s="148"/>
      <c r="L2667" s="149"/>
      <c r="M2667" s="148"/>
    </row>
    <row r="2668" spans="1:13" ht="15" customHeight="1">
      <c r="A2668" s="142" t="s">
        <v>7263</v>
      </c>
      <c r="B2668" s="142">
        <v>518803</v>
      </c>
      <c r="C2668" s="143" t="s">
        <v>7264</v>
      </c>
      <c r="D2668" s="142" t="s">
        <v>7142</v>
      </c>
      <c r="E2668" s="143" t="s">
        <v>1600</v>
      </c>
      <c r="F2668" s="143" t="s">
        <v>7265</v>
      </c>
      <c r="G2668" s="142" t="s">
        <v>109</v>
      </c>
      <c r="H2668" s="142" t="s">
        <v>56</v>
      </c>
      <c r="I2668" s="143" t="s">
        <v>440</v>
      </c>
      <c r="J2668" s="143" t="s">
        <v>104</v>
      </c>
      <c r="K2668" s="144"/>
      <c r="L2668" s="145"/>
      <c r="M2668" s="144"/>
    </row>
    <row r="2669" spans="1:13" ht="15" customHeight="1">
      <c r="A2669" s="146" t="s">
        <v>7266</v>
      </c>
      <c r="B2669" s="146">
        <v>518650</v>
      </c>
      <c r="C2669" s="147" t="s">
        <v>7267</v>
      </c>
      <c r="D2669" s="146" t="s">
        <v>7142</v>
      </c>
      <c r="E2669" s="147" t="s">
        <v>7143</v>
      </c>
      <c r="F2669" s="147" t="s">
        <v>7148</v>
      </c>
      <c r="G2669" s="146" t="s">
        <v>109</v>
      </c>
      <c r="H2669" s="146" t="s">
        <v>56</v>
      </c>
      <c r="I2669" s="147" t="s">
        <v>440</v>
      </c>
      <c r="J2669" s="147" t="s">
        <v>104</v>
      </c>
      <c r="K2669" s="148"/>
      <c r="L2669" s="149"/>
      <c r="M2669" s="148"/>
    </row>
    <row r="2670" spans="1:13" ht="15" customHeight="1">
      <c r="A2670" s="142" t="s">
        <v>7268</v>
      </c>
      <c r="B2670" s="142">
        <v>518679</v>
      </c>
      <c r="C2670" s="143" t="s">
        <v>7269</v>
      </c>
      <c r="D2670" s="142" t="s">
        <v>7142</v>
      </c>
      <c r="E2670" s="143" t="s">
        <v>521</v>
      </c>
      <c r="F2670" s="143" t="s">
        <v>7270</v>
      </c>
      <c r="G2670" s="142" t="s">
        <v>109</v>
      </c>
      <c r="H2670" s="142" t="s">
        <v>56</v>
      </c>
      <c r="I2670" s="143" t="s">
        <v>440</v>
      </c>
      <c r="J2670" s="143" t="s">
        <v>104</v>
      </c>
      <c r="K2670" s="144"/>
      <c r="L2670" s="145"/>
      <c r="M2670" s="144"/>
    </row>
    <row r="2671" spans="1:13" ht="15" customHeight="1">
      <c r="A2671" s="146" t="s">
        <v>7271</v>
      </c>
      <c r="B2671" s="146">
        <v>518739</v>
      </c>
      <c r="C2671" s="147" t="s">
        <v>7272</v>
      </c>
      <c r="D2671" s="146" t="s">
        <v>7142</v>
      </c>
      <c r="E2671" s="147" t="s">
        <v>7150</v>
      </c>
      <c r="F2671" s="147" t="s">
        <v>7273</v>
      </c>
      <c r="G2671" s="146" t="s">
        <v>109</v>
      </c>
      <c r="H2671" s="146" t="s">
        <v>56</v>
      </c>
      <c r="I2671" s="147" t="s">
        <v>440</v>
      </c>
      <c r="J2671" s="147" t="s">
        <v>104</v>
      </c>
      <c r="K2671" s="148" t="s">
        <v>121</v>
      </c>
      <c r="L2671" s="149">
        <v>46153</v>
      </c>
      <c r="M2671" s="148"/>
    </row>
    <row r="2672" spans="1:13" ht="15" customHeight="1">
      <c r="A2672" s="142" t="s">
        <v>7274</v>
      </c>
      <c r="B2672" s="142">
        <v>518771</v>
      </c>
      <c r="C2672" s="143" t="s">
        <v>7275</v>
      </c>
      <c r="D2672" s="142" t="s">
        <v>7142</v>
      </c>
      <c r="E2672" s="143" t="s">
        <v>7177</v>
      </c>
      <c r="F2672" s="143" t="s">
        <v>7276</v>
      </c>
      <c r="G2672" s="142" t="s">
        <v>109</v>
      </c>
      <c r="H2672" s="142" t="s">
        <v>56</v>
      </c>
      <c r="I2672" s="143" t="s">
        <v>440</v>
      </c>
      <c r="J2672" s="143" t="s">
        <v>104</v>
      </c>
      <c r="K2672" s="144"/>
      <c r="L2672" s="145"/>
      <c r="M2672" s="144"/>
    </row>
    <row r="2673" spans="1:13" ht="15" customHeight="1">
      <c r="A2673" s="146" t="s">
        <v>7277</v>
      </c>
      <c r="B2673" s="146">
        <v>518734</v>
      </c>
      <c r="C2673" s="147" t="s">
        <v>7278</v>
      </c>
      <c r="D2673" s="146" t="s">
        <v>7142</v>
      </c>
      <c r="E2673" s="147" t="s">
        <v>1558</v>
      </c>
      <c r="F2673" s="147" t="s">
        <v>7279</v>
      </c>
      <c r="G2673" s="146" t="s">
        <v>109</v>
      </c>
      <c r="H2673" s="146" t="s">
        <v>56</v>
      </c>
      <c r="I2673" s="147" t="s">
        <v>440</v>
      </c>
      <c r="J2673" s="147" t="s">
        <v>104</v>
      </c>
      <c r="K2673" s="148"/>
      <c r="L2673" s="149"/>
      <c r="M2673" s="148"/>
    </row>
    <row r="2674" spans="1:13" ht="15" customHeight="1">
      <c r="A2674" s="142" t="s">
        <v>7280</v>
      </c>
      <c r="B2674" s="142">
        <v>518661</v>
      </c>
      <c r="C2674" s="143" t="s">
        <v>7281</v>
      </c>
      <c r="D2674" s="142" t="s">
        <v>7142</v>
      </c>
      <c r="E2674" s="143" t="s">
        <v>457</v>
      </c>
      <c r="F2674" s="143" t="s">
        <v>7282</v>
      </c>
      <c r="G2674" s="142" t="s">
        <v>109</v>
      </c>
      <c r="H2674" s="142" t="s">
        <v>56</v>
      </c>
      <c r="I2674" s="143" t="s">
        <v>440</v>
      </c>
      <c r="J2674" s="143" t="s">
        <v>104</v>
      </c>
      <c r="K2674" s="144"/>
      <c r="L2674" s="145"/>
      <c r="M2674" s="144"/>
    </row>
    <row r="2675" spans="1:13" ht="15" customHeight="1">
      <c r="A2675" s="146" t="s">
        <v>7283</v>
      </c>
      <c r="B2675" s="146">
        <v>518736</v>
      </c>
      <c r="C2675" s="147" t="s">
        <v>7284</v>
      </c>
      <c r="D2675" s="146" t="s">
        <v>7142</v>
      </c>
      <c r="E2675" s="147" t="s">
        <v>457</v>
      </c>
      <c r="F2675" s="147" t="s">
        <v>7285</v>
      </c>
      <c r="G2675" s="146" t="s">
        <v>109</v>
      </c>
      <c r="H2675" s="146" t="s">
        <v>56</v>
      </c>
      <c r="I2675" s="147" t="s">
        <v>440</v>
      </c>
      <c r="J2675" s="147" t="s">
        <v>104</v>
      </c>
      <c r="K2675" s="148"/>
      <c r="L2675" s="149"/>
      <c r="M2675" s="148"/>
    </row>
    <row r="2676" spans="1:13" ht="15" customHeight="1">
      <c r="A2676" s="142" t="s">
        <v>7286</v>
      </c>
      <c r="B2676" s="142">
        <v>518777</v>
      </c>
      <c r="C2676" s="143" t="s">
        <v>7287</v>
      </c>
      <c r="D2676" s="142" t="s">
        <v>7142</v>
      </c>
      <c r="E2676" s="143" t="s">
        <v>127</v>
      </c>
      <c r="F2676" s="143" t="s">
        <v>7288</v>
      </c>
      <c r="G2676" s="142" t="s">
        <v>109</v>
      </c>
      <c r="H2676" s="142" t="s">
        <v>56</v>
      </c>
      <c r="I2676" s="143" t="s">
        <v>440</v>
      </c>
      <c r="J2676" s="143" t="s">
        <v>104</v>
      </c>
      <c r="K2676" s="144"/>
      <c r="L2676" s="145"/>
      <c r="M2676" s="144"/>
    </row>
    <row r="2677" spans="1:13" ht="15" customHeight="1">
      <c r="A2677" s="146" t="s">
        <v>7289</v>
      </c>
      <c r="B2677" s="146">
        <v>518778</v>
      </c>
      <c r="C2677" s="147" t="s">
        <v>7290</v>
      </c>
      <c r="D2677" s="146" t="s">
        <v>7142</v>
      </c>
      <c r="E2677" s="147" t="s">
        <v>127</v>
      </c>
      <c r="F2677" s="147" t="s">
        <v>7291</v>
      </c>
      <c r="G2677" s="146" t="s">
        <v>109</v>
      </c>
      <c r="H2677" s="146" t="s">
        <v>56</v>
      </c>
      <c r="I2677" s="147" t="s">
        <v>440</v>
      </c>
      <c r="J2677" s="147" t="s">
        <v>104</v>
      </c>
      <c r="K2677" s="148"/>
      <c r="L2677" s="149"/>
      <c r="M2677" s="148"/>
    </row>
    <row r="2678" spans="1:13" ht="15" customHeight="1">
      <c r="A2678" s="142" t="s">
        <v>7292</v>
      </c>
      <c r="B2678" s="142">
        <v>518682</v>
      </c>
      <c r="C2678" s="143" t="s">
        <v>7293</v>
      </c>
      <c r="D2678" s="142" t="s">
        <v>7142</v>
      </c>
      <c r="E2678" s="143" t="s">
        <v>1600</v>
      </c>
      <c r="F2678" s="143" t="s">
        <v>7294</v>
      </c>
      <c r="G2678" s="142" t="s">
        <v>109</v>
      </c>
      <c r="H2678" s="142" t="s">
        <v>56</v>
      </c>
      <c r="I2678" s="143" t="s">
        <v>440</v>
      </c>
      <c r="J2678" s="143" t="s">
        <v>104</v>
      </c>
      <c r="K2678" s="144"/>
      <c r="L2678" s="145"/>
      <c r="M2678" s="144"/>
    </row>
    <row r="2679" spans="1:13" ht="15" customHeight="1">
      <c r="A2679" s="146" t="s">
        <v>7295</v>
      </c>
      <c r="B2679" s="146">
        <v>518746</v>
      </c>
      <c r="C2679" s="147" t="s">
        <v>7296</v>
      </c>
      <c r="D2679" s="146" t="s">
        <v>7142</v>
      </c>
      <c r="E2679" s="147" t="s">
        <v>1600</v>
      </c>
      <c r="F2679" s="147" t="s">
        <v>7297</v>
      </c>
      <c r="G2679" s="146" t="s">
        <v>109</v>
      </c>
      <c r="H2679" s="146" t="s">
        <v>56</v>
      </c>
      <c r="I2679" s="147" t="s">
        <v>440</v>
      </c>
      <c r="J2679" s="147" t="s">
        <v>104</v>
      </c>
      <c r="K2679" s="148"/>
      <c r="L2679" s="149"/>
      <c r="M2679" s="148"/>
    </row>
    <row r="2680" spans="1:13" ht="15" customHeight="1">
      <c r="A2680" s="142" t="s">
        <v>7298</v>
      </c>
      <c r="B2680" s="142">
        <v>518724</v>
      </c>
      <c r="C2680" s="143" t="s">
        <v>7299</v>
      </c>
      <c r="D2680" s="142" t="s">
        <v>7142</v>
      </c>
      <c r="E2680" s="143" t="s">
        <v>7143</v>
      </c>
      <c r="F2680" s="143" t="s">
        <v>7256</v>
      </c>
      <c r="G2680" s="142" t="s">
        <v>109</v>
      </c>
      <c r="H2680" s="142" t="s">
        <v>56</v>
      </c>
      <c r="I2680" s="143" t="s">
        <v>440</v>
      </c>
      <c r="J2680" s="143" t="s">
        <v>104</v>
      </c>
      <c r="K2680" s="144"/>
      <c r="L2680" s="145"/>
      <c r="M2680" s="144"/>
    </row>
    <row r="2681" spans="1:13" ht="15" customHeight="1">
      <c r="A2681" s="146" t="s">
        <v>7300</v>
      </c>
      <c r="B2681" s="146">
        <v>519100</v>
      </c>
      <c r="C2681" s="147" t="s">
        <v>7301</v>
      </c>
      <c r="D2681" s="146" t="s">
        <v>7142</v>
      </c>
      <c r="E2681" s="147" t="s">
        <v>457</v>
      </c>
      <c r="F2681" s="147" t="s">
        <v>7302</v>
      </c>
      <c r="G2681" s="146" t="s">
        <v>109</v>
      </c>
      <c r="H2681" s="146" t="s">
        <v>56</v>
      </c>
      <c r="I2681" s="147" t="s">
        <v>440</v>
      </c>
      <c r="J2681" s="147" t="s">
        <v>104</v>
      </c>
      <c r="K2681" s="148"/>
      <c r="L2681" s="149"/>
      <c r="M2681" s="148"/>
    </row>
    <row r="2682" spans="1:13" ht="15" customHeight="1">
      <c r="A2682" s="142" t="s">
        <v>7303</v>
      </c>
      <c r="B2682" s="142">
        <v>518774</v>
      </c>
      <c r="C2682" s="143" t="s">
        <v>5006</v>
      </c>
      <c r="D2682" s="142" t="s">
        <v>7142</v>
      </c>
      <c r="E2682" s="143" t="s">
        <v>7172</v>
      </c>
      <c r="F2682" s="143" t="s">
        <v>7304</v>
      </c>
      <c r="G2682" s="142" t="s">
        <v>109</v>
      </c>
      <c r="H2682" s="142" t="s">
        <v>56</v>
      </c>
      <c r="I2682" s="143" t="s">
        <v>440</v>
      </c>
      <c r="J2682" s="143" t="s">
        <v>104</v>
      </c>
      <c r="K2682" s="144"/>
      <c r="L2682" s="145"/>
      <c r="M2682" s="144"/>
    </row>
    <row r="2683" spans="1:13" ht="15" customHeight="1">
      <c r="A2683" s="146" t="s">
        <v>7305</v>
      </c>
      <c r="B2683" s="146">
        <v>518784</v>
      </c>
      <c r="C2683" s="147" t="s">
        <v>7306</v>
      </c>
      <c r="D2683" s="146" t="s">
        <v>7142</v>
      </c>
      <c r="E2683" s="147" t="s">
        <v>3260</v>
      </c>
      <c r="F2683" s="147" t="s">
        <v>7307</v>
      </c>
      <c r="G2683" s="146" t="s">
        <v>109</v>
      </c>
      <c r="H2683" s="146" t="s">
        <v>56</v>
      </c>
      <c r="I2683" s="147" t="s">
        <v>440</v>
      </c>
      <c r="J2683" s="147" t="s">
        <v>104</v>
      </c>
      <c r="K2683" s="148"/>
      <c r="L2683" s="149"/>
      <c r="M2683" s="148"/>
    </row>
    <row r="2684" spans="1:13" ht="15" customHeight="1">
      <c r="A2684" s="142" t="s">
        <v>7308</v>
      </c>
      <c r="B2684" s="142">
        <v>513483</v>
      </c>
      <c r="C2684" s="143" t="s">
        <v>6735</v>
      </c>
      <c r="D2684" s="142" t="s">
        <v>99</v>
      </c>
      <c r="E2684" s="143" t="s">
        <v>107</v>
      </c>
      <c r="F2684" s="143" t="s">
        <v>107</v>
      </c>
      <c r="G2684" s="142" t="s">
        <v>6739</v>
      </c>
      <c r="H2684" s="142" t="s">
        <v>57</v>
      </c>
      <c r="I2684" s="143" t="s">
        <v>103</v>
      </c>
      <c r="J2684" s="143" t="s">
        <v>6741</v>
      </c>
      <c r="K2684" s="144"/>
      <c r="L2684" s="145"/>
      <c r="M2684" s="144"/>
    </row>
    <row r="2685" spans="1:13" ht="15" customHeight="1">
      <c r="A2685" s="146" t="s">
        <v>7309</v>
      </c>
      <c r="B2685" s="146">
        <v>513484</v>
      </c>
      <c r="C2685" s="147" t="s">
        <v>6735</v>
      </c>
      <c r="D2685" s="146" t="s">
        <v>99</v>
      </c>
      <c r="E2685" s="147" t="s">
        <v>107</v>
      </c>
      <c r="F2685" s="147" t="s">
        <v>107</v>
      </c>
      <c r="G2685" s="146" t="s">
        <v>6739</v>
      </c>
      <c r="H2685" s="146" t="s">
        <v>57</v>
      </c>
      <c r="I2685" s="147" t="s">
        <v>103</v>
      </c>
      <c r="J2685" s="147" t="s">
        <v>6741</v>
      </c>
      <c r="K2685" s="148"/>
      <c r="L2685" s="149"/>
      <c r="M2685" s="148"/>
    </row>
    <row r="2686" spans="1:13" ht="15" customHeight="1">
      <c r="A2686" s="142" t="s">
        <v>7310</v>
      </c>
      <c r="B2686" s="142">
        <v>513485</v>
      </c>
      <c r="C2686" s="143" t="s">
        <v>6735</v>
      </c>
      <c r="D2686" s="142" t="s">
        <v>99</v>
      </c>
      <c r="E2686" s="143" t="s">
        <v>107</v>
      </c>
      <c r="F2686" s="143" t="s">
        <v>107</v>
      </c>
      <c r="G2686" s="142" t="s">
        <v>6739</v>
      </c>
      <c r="H2686" s="142" t="s">
        <v>57</v>
      </c>
      <c r="I2686" s="143" t="s">
        <v>103</v>
      </c>
      <c r="J2686" s="143" t="s">
        <v>6741</v>
      </c>
      <c r="K2686" s="144"/>
      <c r="L2686" s="145"/>
      <c r="M2686" s="144"/>
    </row>
    <row r="2687" spans="1:13" ht="15" customHeight="1">
      <c r="A2687" s="146" t="s">
        <v>7311</v>
      </c>
      <c r="B2687" s="146">
        <v>513491</v>
      </c>
      <c r="C2687" s="147" t="s">
        <v>6735</v>
      </c>
      <c r="D2687" s="146" t="s">
        <v>99</v>
      </c>
      <c r="E2687" s="147" t="s">
        <v>107</v>
      </c>
      <c r="F2687" s="147" t="s">
        <v>107</v>
      </c>
      <c r="G2687" s="146" t="s">
        <v>6739</v>
      </c>
      <c r="H2687" s="146" t="s">
        <v>57</v>
      </c>
      <c r="I2687" s="147" t="s">
        <v>103</v>
      </c>
      <c r="J2687" s="147" t="s">
        <v>6741</v>
      </c>
      <c r="K2687" s="148" t="s">
        <v>121</v>
      </c>
      <c r="L2687" s="149">
        <v>46148</v>
      </c>
      <c r="M2687" s="148"/>
    </row>
    <row r="2688" spans="1:13" ht="15" customHeight="1">
      <c r="A2688" s="142" t="s">
        <v>7312</v>
      </c>
      <c r="B2688" s="142">
        <v>514212</v>
      </c>
      <c r="C2688" s="143" t="s">
        <v>6735</v>
      </c>
      <c r="D2688" s="142" t="s">
        <v>99</v>
      </c>
      <c r="E2688" s="143" t="s">
        <v>107</v>
      </c>
      <c r="F2688" s="143" t="s">
        <v>107</v>
      </c>
      <c r="G2688" s="142" t="s">
        <v>6739</v>
      </c>
      <c r="H2688" s="142" t="s">
        <v>57</v>
      </c>
      <c r="I2688" s="143" t="s">
        <v>103</v>
      </c>
      <c r="J2688" s="143" t="s">
        <v>6741</v>
      </c>
      <c r="K2688" s="144"/>
      <c r="L2688" s="145"/>
      <c r="M2688" s="144"/>
    </row>
    <row r="2689" spans="1:13" ht="15" customHeight="1">
      <c r="A2689" s="146" t="s">
        <v>7313</v>
      </c>
      <c r="B2689" s="146">
        <v>513486</v>
      </c>
      <c r="C2689" s="147" t="s">
        <v>6735</v>
      </c>
      <c r="D2689" s="146" t="s">
        <v>99</v>
      </c>
      <c r="E2689" s="147" t="s">
        <v>107</v>
      </c>
      <c r="F2689" s="147" t="s">
        <v>107</v>
      </c>
      <c r="G2689" s="146" t="s">
        <v>6739</v>
      </c>
      <c r="H2689" s="146" t="s">
        <v>57</v>
      </c>
      <c r="I2689" s="147" t="s">
        <v>103</v>
      </c>
      <c r="J2689" s="147" t="s">
        <v>6741</v>
      </c>
      <c r="K2689" s="148" t="s">
        <v>162</v>
      </c>
      <c r="L2689" s="149">
        <v>46146</v>
      </c>
      <c r="M2689" s="148" t="s">
        <v>7314</v>
      </c>
    </row>
    <row r="2690" spans="1:13" ht="15" customHeight="1">
      <c r="A2690" s="142" t="s">
        <v>7315</v>
      </c>
      <c r="B2690" s="142">
        <v>514213</v>
      </c>
      <c r="C2690" s="143" t="s">
        <v>6735</v>
      </c>
      <c r="D2690" s="142" t="s">
        <v>99</v>
      </c>
      <c r="E2690" s="143" t="s">
        <v>107</v>
      </c>
      <c r="F2690" s="143" t="s">
        <v>107</v>
      </c>
      <c r="G2690" s="142" t="s">
        <v>6739</v>
      </c>
      <c r="H2690" s="142" t="s">
        <v>57</v>
      </c>
      <c r="I2690" s="143" t="s">
        <v>103</v>
      </c>
      <c r="J2690" s="143" t="s">
        <v>6741</v>
      </c>
      <c r="K2690" s="144"/>
      <c r="L2690" s="145"/>
      <c r="M2690" s="144"/>
    </row>
    <row r="2691" spans="1:13" ht="15" customHeight="1">
      <c r="A2691" s="146" t="s">
        <v>7316</v>
      </c>
      <c r="B2691" s="146">
        <v>513481</v>
      </c>
      <c r="C2691" s="147" t="s">
        <v>6735</v>
      </c>
      <c r="D2691" s="146" t="s">
        <v>99</v>
      </c>
      <c r="E2691" s="147" t="s">
        <v>107</v>
      </c>
      <c r="F2691" s="147" t="s">
        <v>107</v>
      </c>
      <c r="G2691" s="146" t="s">
        <v>6739</v>
      </c>
      <c r="H2691" s="146" t="s">
        <v>57</v>
      </c>
      <c r="I2691" s="147" t="s">
        <v>103</v>
      </c>
      <c r="J2691" s="147" t="s">
        <v>6741</v>
      </c>
      <c r="K2691" s="148" t="s">
        <v>121</v>
      </c>
      <c r="L2691" s="149">
        <v>46149</v>
      </c>
      <c r="M2691" s="148"/>
    </row>
    <row r="2692" spans="1:13" ht="15" customHeight="1">
      <c r="A2692" s="142" t="s">
        <v>7317</v>
      </c>
      <c r="B2692" s="142">
        <v>513468</v>
      </c>
      <c r="C2692" s="143" t="s">
        <v>6735</v>
      </c>
      <c r="D2692" s="142" t="s">
        <v>99</v>
      </c>
      <c r="E2692" s="143" t="s">
        <v>107</v>
      </c>
      <c r="F2692" s="143" t="s">
        <v>107</v>
      </c>
      <c r="G2692" s="142" t="s">
        <v>6739</v>
      </c>
      <c r="H2692" s="142" t="s">
        <v>57</v>
      </c>
      <c r="I2692" s="143" t="s">
        <v>103</v>
      </c>
      <c r="J2692" s="143" t="s">
        <v>6741</v>
      </c>
      <c r="K2692" s="144"/>
      <c r="L2692" s="145"/>
      <c r="M2692" s="144"/>
    </row>
    <row r="2693" spans="1:13" ht="15" customHeight="1">
      <c r="A2693" s="146" t="s">
        <v>7318</v>
      </c>
      <c r="B2693" s="146">
        <v>513495</v>
      </c>
      <c r="C2693" s="147" t="s">
        <v>6735</v>
      </c>
      <c r="D2693" s="146" t="s">
        <v>99</v>
      </c>
      <c r="E2693" s="147" t="s">
        <v>107</v>
      </c>
      <c r="F2693" s="147" t="s">
        <v>7319</v>
      </c>
      <c r="G2693" s="146" t="s">
        <v>6739</v>
      </c>
      <c r="H2693" s="146" t="s">
        <v>57</v>
      </c>
      <c r="I2693" s="147" t="s">
        <v>103</v>
      </c>
      <c r="J2693" s="147" t="s">
        <v>6741</v>
      </c>
      <c r="K2693" s="148"/>
      <c r="L2693" s="149"/>
      <c r="M2693" s="148"/>
    </row>
    <row r="2694" spans="1:13" ht="15" customHeight="1">
      <c r="A2694" s="142" t="s">
        <v>7320</v>
      </c>
      <c r="B2694" s="142">
        <v>513508</v>
      </c>
      <c r="C2694" s="143" t="s">
        <v>6735</v>
      </c>
      <c r="D2694" s="142" t="s">
        <v>99</v>
      </c>
      <c r="E2694" s="143" t="s">
        <v>230</v>
      </c>
      <c r="F2694" s="143" t="s">
        <v>7321</v>
      </c>
      <c r="G2694" s="142" t="s">
        <v>6739</v>
      </c>
      <c r="H2694" s="142" t="s">
        <v>57</v>
      </c>
      <c r="I2694" s="143" t="s">
        <v>103</v>
      </c>
      <c r="J2694" s="143" t="s">
        <v>6741</v>
      </c>
      <c r="K2694" s="144"/>
      <c r="L2694" s="145"/>
      <c r="M2694" s="144"/>
    </row>
    <row r="2695" spans="1:13" ht="15" customHeight="1">
      <c r="A2695" s="146" t="s">
        <v>7322</v>
      </c>
      <c r="B2695" s="146">
        <v>512843</v>
      </c>
      <c r="C2695" s="147" t="s">
        <v>6735</v>
      </c>
      <c r="D2695" s="146" t="s">
        <v>99</v>
      </c>
      <c r="E2695" s="147" t="s">
        <v>107</v>
      </c>
      <c r="F2695" s="147" t="s">
        <v>7323</v>
      </c>
      <c r="G2695" s="146" t="s">
        <v>6739</v>
      </c>
      <c r="H2695" s="146" t="s">
        <v>57</v>
      </c>
      <c r="I2695" s="147" t="s">
        <v>103</v>
      </c>
      <c r="J2695" s="147" t="s">
        <v>6741</v>
      </c>
      <c r="K2695" s="148"/>
      <c r="L2695" s="149"/>
      <c r="M2695" s="148"/>
    </row>
    <row r="2696" spans="1:13" ht="15" customHeight="1">
      <c r="A2696" s="142" t="s">
        <v>7324</v>
      </c>
      <c r="B2696" s="142">
        <v>513529</v>
      </c>
      <c r="C2696" s="143" t="s">
        <v>6735</v>
      </c>
      <c r="D2696" s="142" t="s">
        <v>99</v>
      </c>
      <c r="E2696" s="143" t="s">
        <v>230</v>
      </c>
      <c r="F2696" s="143" t="s">
        <v>1323</v>
      </c>
      <c r="G2696" s="142" t="s">
        <v>6739</v>
      </c>
      <c r="H2696" s="142" t="s">
        <v>57</v>
      </c>
      <c r="I2696" s="143" t="s">
        <v>103</v>
      </c>
      <c r="J2696" s="143" t="s">
        <v>6741</v>
      </c>
      <c r="K2696" s="144"/>
      <c r="L2696" s="145"/>
      <c r="M2696" s="144"/>
    </row>
    <row r="2697" spans="1:13" ht="15" customHeight="1">
      <c r="A2697" s="146" t="s">
        <v>7325</v>
      </c>
      <c r="B2697" s="146">
        <v>513530</v>
      </c>
      <c r="C2697" s="147" t="s">
        <v>6735</v>
      </c>
      <c r="D2697" s="146" t="s">
        <v>99</v>
      </c>
      <c r="E2697" s="147" t="s">
        <v>107</v>
      </c>
      <c r="F2697" s="147" t="s">
        <v>7326</v>
      </c>
      <c r="G2697" s="146" t="s">
        <v>6739</v>
      </c>
      <c r="H2697" s="146" t="s">
        <v>57</v>
      </c>
      <c r="I2697" s="147" t="s">
        <v>103</v>
      </c>
      <c r="J2697" s="147" t="s">
        <v>6741</v>
      </c>
      <c r="K2697" s="148"/>
      <c r="L2697" s="149"/>
      <c r="M2697" s="148"/>
    </row>
    <row r="2698" spans="1:13" ht="15" customHeight="1">
      <c r="A2698" s="142" t="s">
        <v>7327</v>
      </c>
      <c r="B2698" s="142">
        <v>513455</v>
      </c>
      <c r="C2698" s="143" t="s">
        <v>6735</v>
      </c>
      <c r="D2698" s="142" t="s">
        <v>99</v>
      </c>
      <c r="E2698" s="143" t="s">
        <v>147</v>
      </c>
      <c r="F2698" s="143" t="s">
        <v>147</v>
      </c>
      <c r="G2698" s="142" t="s">
        <v>6739</v>
      </c>
      <c r="H2698" s="142" t="s">
        <v>57</v>
      </c>
      <c r="I2698" s="143" t="s">
        <v>103</v>
      </c>
      <c r="J2698" s="143" t="s">
        <v>6741</v>
      </c>
      <c r="K2698" s="144"/>
      <c r="L2698" s="145"/>
      <c r="M2698" s="144"/>
    </row>
    <row r="2699" spans="1:13" ht="15" customHeight="1">
      <c r="A2699" s="146" t="s">
        <v>7328</v>
      </c>
      <c r="B2699" s="146">
        <v>513437</v>
      </c>
      <c r="C2699" s="147" t="s">
        <v>6735</v>
      </c>
      <c r="D2699" s="146" t="s">
        <v>99</v>
      </c>
      <c r="E2699" s="147" t="s">
        <v>147</v>
      </c>
      <c r="F2699" s="147" t="s">
        <v>147</v>
      </c>
      <c r="G2699" s="146" t="s">
        <v>6739</v>
      </c>
      <c r="H2699" s="146" t="s">
        <v>57</v>
      </c>
      <c r="I2699" s="147" t="s">
        <v>103</v>
      </c>
      <c r="J2699" s="147" t="s">
        <v>6741</v>
      </c>
      <c r="K2699" s="148"/>
      <c r="L2699" s="149"/>
      <c r="M2699" s="148"/>
    </row>
    <row r="2700" spans="1:13" ht="15" customHeight="1">
      <c r="A2700" s="142" t="s">
        <v>7329</v>
      </c>
      <c r="B2700" s="142">
        <v>513536</v>
      </c>
      <c r="C2700" s="143" t="s">
        <v>6735</v>
      </c>
      <c r="D2700" s="142" t="s">
        <v>99</v>
      </c>
      <c r="E2700" s="143" t="s">
        <v>147</v>
      </c>
      <c r="F2700" s="143" t="s">
        <v>147</v>
      </c>
      <c r="G2700" s="142" t="s">
        <v>6739</v>
      </c>
      <c r="H2700" s="142" t="s">
        <v>57</v>
      </c>
      <c r="I2700" s="143" t="s">
        <v>103</v>
      </c>
      <c r="J2700" s="143" t="s">
        <v>6741</v>
      </c>
      <c r="K2700" s="144" t="s">
        <v>121</v>
      </c>
      <c r="L2700" s="145">
        <v>46147</v>
      </c>
      <c r="M2700" s="144"/>
    </row>
    <row r="2701" spans="1:13" ht="15" customHeight="1">
      <c r="A2701" s="146" t="s">
        <v>7330</v>
      </c>
      <c r="B2701" s="146">
        <v>513439</v>
      </c>
      <c r="C2701" s="147" t="s">
        <v>6735</v>
      </c>
      <c r="D2701" s="146" t="s">
        <v>99</v>
      </c>
      <c r="E2701" s="147" t="s">
        <v>147</v>
      </c>
      <c r="F2701" s="147" t="s">
        <v>147</v>
      </c>
      <c r="G2701" s="146" t="s">
        <v>6739</v>
      </c>
      <c r="H2701" s="146" t="s">
        <v>57</v>
      </c>
      <c r="I2701" s="147" t="s">
        <v>103</v>
      </c>
      <c r="J2701" s="147" t="s">
        <v>6741</v>
      </c>
      <c r="K2701" s="148"/>
      <c r="L2701" s="149"/>
      <c r="M2701" s="148"/>
    </row>
    <row r="2702" spans="1:13" ht="15" customHeight="1">
      <c r="A2702" s="142" t="s">
        <v>7331</v>
      </c>
      <c r="B2702" s="142">
        <v>513443</v>
      </c>
      <c r="C2702" s="143" t="s">
        <v>6735</v>
      </c>
      <c r="D2702" s="142" t="s">
        <v>99</v>
      </c>
      <c r="E2702" s="143" t="s">
        <v>147</v>
      </c>
      <c r="F2702" s="143" t="s">
        <v>147</v>
      </c>
      <c r="G2702" s="142" t="s">
        <v>6739</v>
      </c>
      <c r="H2702" s="142" t="s">
        <v>57</v>
      </c>
      <c r="I2702" s="143" t="s">
        <v>103</v>
      </c>
      <c r="J2702" s="143" t="s">
        <v>6741</v>
      </c>
      <c r="K2702" s="144"/>
      <c r="L2702" s="145"/>
      <c r="M2702" s="144"/>
    </row>
    <row r="2703" spans="1:13" ht="15" customHeight="1">
      <c r="A2703" s="146" t="s">
        <v>7332</v>
      </c>
      <c r="B2703" s="146">
        <v>513442</v>
      </c>
      <c r="C2703" s="147" t="s">
        <v>6735</v>
      </c>
      <c r="D2703" s="146" t="s">
        <v>99</v>
      </c>
      <c r="E2703" s="147" t="s">
        <v>147</v>
      </c>
      <c r="F2703" s="147" t="s">
        <v>147</v>
      </c>
      <c r="G2703" s="146" t="s">
        <v>6739</v>
      </c>
      <c r="H2703" s="146" t="s">
        <v>57</v>
      </c>
      <c r="I2703" s="147" t="s">
        <v>103</v>
      </c>
      <c r="J2703" s="147" t="s">
        <v>6741</v>
      </c>
      <c r="K2703" s="148" t="s">
        <v>121</v>
      </c>
      <c r="L2703" s="149">
        <v>46150</v>
      </c>
      <c r="M2703" s="148"/>
    </row>
    <row r="2704" spans="1:13" ht="15" customHeight="1">
      <c r="A2704" s="142" t="s">
        <v>7333</v>
      </c>
      <c r="B2704" s="142">
        <v>513451</v>
      </c>
      <c r="C2704" s="143" t="s">
        <v>6735</v>
      </c>
      <c r="D2704" s="142" t="s">
        <v>99</v>
      </c>
      <c r="E2704" s="143" t="s">
        <v>147</v>
      </c>
      <c r="F2704" s="143" t="s">
        <v>147</v>
      </c>
      <c r="G2704" s="142" t="s">
        <v>6739</v>
      </c>
      <c r="H2704" s="142" t="s">
        <v>57</v>
      </c>
      <c r="I2704" s="143" t="s">
        <v>103</v>
      </c>
      <c r="J2704" s="143" t="s">
        <v>6741</v>
      </c>
      <c r="K2704" s="144"/>
      <c r="L2704" s="145"/>
      <c r="M2704" s="144"/>
    </row>
    <row r="2705" spans="1:13" ht="15" customHeight="1">
      <c r="A2705" s="146" t="s">
        <v>7334</v>
      </c>
      <c r="B2705" s="146">
        <v>513448</v>
      </c>
      <c r="C2705" s="147" t="s">
        <v>6735</v>
      </c>
      <c r="D2705" s="146" t="s">
        <v>99</v>
      </c>
      <c r="E2705" s="147" t="s">
        <v>147</v>
      </c>
      <c r="F2705" s="147" t="s">
        <v>147</v>
      </c>
      <c r="G2705" s="146" t="s">
        <v>6739</v>
      </c>
      <c r="H2705" s="146" t="s">
        <v>57</v>
      </c>
      <c r="I2705" s="147" t="s">
        <v>103</v>
      </c>
      <c r="J2705" s="147" t="s">
        <v>6741</v>
      </c>
      <c r="K2705" s="148" t="s">
        <v>121</v>
      </c>
      <c r="L2705" s="149">
        <v>46149</v>
      </c>
      <c r="M2705" s="148"/>
    </row>
    <row r="2706" spans="1:13" ht="15" customHeight="1">
      <c r="A2706" s="142" t="s">
        <v>7335</v>
      </c>
      <c r="B2706" s="142">
        <v>513449</v>
      </c>
      <c r="C2706" s="143" t="s">
        <v>6735</v>
      </c>
      <c r="D2706" s="142" t="s">
        <v>99</v>
      </c>
      <c r="E2706" s="143" t="s">
        <v>147</v>
      </c>
      <c r="F2706" s="143" t="s">
        <v>147</v>
      </c>
      <c r="G2706" s="142" t="s">
        <v>6739</v>
      </c>
      <c r="H2706" s="142" t="s">
        <v>57</v>
      </c>
      <c r="I2706" s="143" t="s">
        <v>103</v>
      </c>
      <c r="J2706" s="143" t="s">
        <v>6741</v>
      </c>
      <c r="K2706" s="144"/>
      <c r="L2706" s="145"/>
      <c r="M2706" s="144"/>
    </row>
    <row r="2707" spans="1:13" ht="15" customHeight="1">
      <c r="A2707" s="146" t="s">
        <v>7336</v>
      </c>
      <c r="B2707" s="146">
        <v>513454</v>
      </c>
      <c r="C2707" s="147" t="s">
        <v>6735</v>
      </c>
      <c r="D2707" s="146" t="s">
        <v>99</v>
      </c>
      <c r="E2707" s="147" t="s">
        <v>147</v>
      </c>
      <c r="F2707" s="147" t="s">
        <v>147</v>
      </c>
      <c r="G2707" s="146" t="s">
        <v>6739</v>
      </c>
      <c r="H2707" s="146" t="s">
        <v>57</v>
      </c>
      <c r="I2707" s="147" t="s">
        <v>103</v>
      </c>
      <c r="J2707" s="147" t="s">
        <v>6741</v>
      </c>
      <c r="K2707" s="148" t="s">
        <v>121</v>
      </c>
      <c r="L2707" s="149">
        <v>46149</v>
      </c>
      <c r="M2707" s="148"/>
    </row>
    <row r="2708" spans="1:13" ht="15" customHeight="1">
      <c r="A2708" s="142" t="s">
        <v>7337</v>
      </c>
      <c r="B2708" s="142">
        <v>513450</v>
      </c>
      <c r="C2708" s="143" t="s">
        <v>6735</v>
      </c>
      <c r="D2708" s="142" t="s">
        <v>99</v>
      </c>
      <c r="E2708" s="143" t="s">
        <v>147</v>
      </c>
      <c r="F2708" s="143" t="s">
        <v>147</v>
      </c>
      <c r="G2708" s="142" t="s">
        <v>6739</v>
      </c>
      <c r="H2708" s="142" t="s">
        <v>57</v>
      </c>
      <c r="I2708" s="143" t="s">
        <v>103</v>
      </c>
      <c r="J2708" s="143" t="s">
        <v>6741</v>
      </c>
      <c r="K2708" s="144"/>
      <c r="L2708" s="145"/>
      <c r="M2708" s="144"/>
    </row>
    <row r="2709" spans="1:13" ht="15" customHeight="1">
      <c r="A2709" s="146" t="s">
        <v>7338</v>
      </c>
      <c r="B2709" s="146">
        <v>513334</v>
      </c>
      <c r="C2709" s="147" t="s">
        <v>6735</v>
      </c>
      <c r="D2709" s="146" t="s">
        <v>99</v>
      </c>
      <c r="E2709" s="147" t="s">
        <v>147</v>
      </c>
      <c r="F2709" s="147" t="s">
        <v>7339</v>
      </c>
      <c r="G2709" s="146" t="s">
        <v>6739</v>
      </c>
      <c r="H2709" s="146" t="s">
        <v>57</v>
      </c>
      <c r="I2709" s="147" t="s">
        <v>103</v>
      </c>
      <c r="J2709" s="147" t="s">
        <v>6741</v>
      </c>
      <c r="K2709" s="148"/>
      <c r="L2709" s="149"/>
      <c r="M2709" s="148"/>
    </row>
    <row r="2710" spans="1:13" ht="15" customHeight="1">
      <c r="A2710" s="142" t="s">
        <v>7340</v>
      </c>
      <c r="B2710" s="142">
        <v>513462</v>
      </c>
      <c r="C2710" s="143" t="s">
        <v>6735</v>
      </c>
      <c r="D2710" s="142" t="s">
        <v>99</v>
      </c>
      <c r="E2710" s="143" t="s">
        <v>147</v>
      </c>
      <c r="F2710" s="143" t="s">
        <v>7341</v>
      </c>
      <c r="G2710" s="142" t="s">
        <v>6739</v>
      </c>
      <c r="H2710" s="142" t="s">
        <v>57</v>
      </c>
      <c r="I2710" s="143" t="s">
        <v>103</v>
      </c>
      <c r="J2710" s="143" t="s">
        <v>6741</v>
      </c>
      <c r="K2710" s="144" t="s">
        <v>121</v>
      </c>
      <c r="L2710" s="145">
        <v>46150</v>
      </c>
      <c r="M2710" s="144"/>
    </row>
    <row r="2711" spans="1:13" ht="15" customHeight="1">
      <c r="A2711" s="146" t="s">
        <v>7342</v>
      </c>
      <c r="B2711" s="146">
        <v>513525</v>
      </c>
      <c r="C2711" s="147" t="s">
        <v>6735</v>
      </c>
      <c r="D2711" s="146" t="s">
        <v>99</v>
      </c>
      <c r="E2711" s="147" t="s">
        <v>147</v>
      </c>
      <c r="F2711" s="147" t="s">
        <v>7343</v>
      </c>
      <c r="G2711" s="146" t="s">
        <v>6739</v>
      </c>
      <c r="H2711" s="146" t="s">
        <v>57</v>
      </c>
      <c r="I2711" s="147" t="s">
        <v>103</v>
      </c>
      <c r="J2711" s="147" t="s">
        <v>6741</v>
      </c>
      <c r="K2711" s="148"/>
      <c r="L2711" s="149"/>
      <c r="M2711" s="148"/>
    </row>
    <row r="2712" spans="1:13" ht="15" customHeight="1">
      <c r="A2712" s="142" t="s">
        <v>7344</v>
      </c>
      <c r="B2712" s="142">
        <v>513464</v>
      </c>
      <c r="C2712" s="143" t="s">
        <v>6735</v>
      </c>
      <c r="D2712" s="142" t="s">
        <v>99</v>
      </c>
      <c r="E2712" s="143" t="s">
        <v>147</v>
      </c>
      <c r="F2712" s="143" t="s">
        <v>7345</v>
      </c>
      <c r="G2712" s="142" t="s">
        <v>6739</v>
      </c>
      <c r="H2712" s="142" t="s">
        <v>57</v>
      </c>
      <c r="I2712" s="143" t="s">
        <v>103</v>
      </c>
      <c r="J2712" s="143" t="s">
        <v>6741</v>
      </c>
      <c r="K2712" s="144"/>
      <c r="L2712" s="145"/>
      <c r="M2712" s="144"/>
    </row>
    <row r="2713" spans="1:13" ht="15" customHeight="1">
      <c r="A2713" s="146" t="s">
        <v>7346</v>
      </c>
      <c r="B2713" s="146">
        <v>513350</v>
      </c>
      <c r="C2713" s="147" t="s">
        <v>6735</v>
      </c>
      <c r="D2713" s="146" t="s">
        <v>99</v>
      </c>
      <c r="E2713" s="147" t="s">
        <v>147</v>
      </c>
      <c r="F2713" s="147" t="s">
        <v>5517</v>
      </c>
      <c r="G2713" s="146" t="s">
        <v>6739</v>
      </c>
      <c r="H2713" s="146" t="s">
        <v>57</v>
      </c>
      <c r="I2713" s="147" t="s">
        <v>103</v>
      </c>
      <c r="J2713" s="147" t="s">
        <v>6741</v>
      </c>
      <c r="K2713" s="148" t="s">
        <v>121</v>
      </c>
      <c r="L2713" s="149">
        <v>46149</v>
      </c>
      <c r="M2713" s="148"/>
    </row>
    <row r="2714" spans="1:13" ht="15" customHeight="1">
      <c r="A2714" s="142" t="s">
        <v>7347</v>
      </c>
      <c r="B2714" s="142">
        <v>513444</v>
      </c>
      <c r="C2714" s="143" t="s">
        <v>6735</v>
      </c>
      <c r="D2714" s="142" t="s">
        <v>99</v>
      </c>
      <c r="E2714" s="143" t="s">
        <v>147</v>
      </c>
      <c r="F2714" s="143" t="s">
        <v>147</v>
      </c>
      <c r="G2714" s="142" t="s">
        <v>6739</v>
      </c>
      <c r="H2714" s="142" t="s">
        <v>57</v>
      </c>
      <c r="I2714" s="143" t="s">
        <v>103</v>
      </c>
      <c r="J2714" s="143" t="s">
        <v>6741</v>
      </c>
      <c r="K2714" s="144" t="s">
        <v>162</v>
      </c>
      <c r="L2714" s="145">
        <v>46146</v>
      </c>
      <c r="M2714" s="144" t="s">
        <v>7348</v>
      </c>
    </row>
    <row r="2715" spans="1:13" ht="15" customHeight="1">
      <c r="A2715" s="146" t="s">
        <v>7349</v>
      </c>
      <c r="B2715" s="146">
        <v>513461</v>
      </c>
      <c r="C2715" s="147" t="s">
        <v>6735</v>
      </c>
      <c r="D2715" s="146" t="s">
        <v>99</v>
      </c>
      <c r="E2715" s="147" t="s">
        <v>147</v>
      </c>
      <c r="F2715" s="147" t="s">
        <v>147</v>
      </c>
      <c r="G2715" s="146" t="s">
        <v>6739</v>
      </c>
      <c r="H2715" s="146" t="s">
        <v>57</v>
      </c>
      <c r="I2715" s="147" t="s">
        <v>103</v>
      </c>
      <c r="J2715" s="147" t="s">
        <v>6741</v>
      </c>
      <c r="K2715" s="148"/>
      <c r="L2715" s="149"/>
      <c r="M2715" s="148"/>
    </row>
    <row r="2716" spans="1:13" ht="15" customHeight="1">
      <c r="A2716" s="142" t="s">
        <v>7350</v>
      </c>
      <c r="B2716" s="142">
        <v>513497</v>
      </c>
      <c r="C2716" s="143" t="s">
        <v>6735</v>
      </c>
      <c r="D2716" s="142" t="s">
        <v>99</v>
      </c>
      <c r="E2716" s="143" t="s">
        <v>147</v>
      </c>
      <c r="F2716" s="143" t="s">
        <v>320</v>
      </c>
      <c r="G2716" s="142" t="s">
        <v>6739</v>
      </c>
      <c r="H2716" s="142" t="s">
        <v>57</v>
      </c>
      <c r="I2716" s="143" t="s">
        <v>103</v>
      </c>
      <c r="J2716" s="143" t="s">
        <v>6741</v>
      </c>
      <c r="K2716" s="144"/>
      <c r="L2716" s="145"/>
      <c r="M2716" s="144"/>
    </row>
    <row r="2717" spans="1:13" ht="15" customHeight="1">
      <c r="A2717" s="146" t="s">
        <v>7351</v>
      </c>
      <c r="B2717" s="146">
        <v>513435</v>
      </c>
      <c r="C2717" s="147" t="s">
        <v>6735</v>
      </c>
      <c r="D2717" s="146" t="s">
        <v>99</v>
      </c>
      <c r="E2717" s="147" t="s">
        <v>147</v>
      </c>
      <c r="F2717" s="147" t="s">
        <v>147</v>
      </c>
      <c r="G2717" s="146" t="s">
        <v>6739</v>
      </c>
      <c r="H2717" s="146" t="s">
        <v>57</v>
      </c>
      <c r="I2717" s="147" t="s">
        <v>103</v>
      </c>
      <c r="J2717" s="147" t="s">
        <v>6741</v>
      </c>
      <c r="K2717" s="148" t="s">
        <v>121</v>
      </c>
      <c r="L2717" s="149">
        <v>46146</v>
      </c>
      <c r="M2717" s="148"/>
    </row>
    <row r="2718" spans="1:13" ht="15" customHeight="1">
      <c r="A2718" s="142" t="s">
        <v>7352</v>
      </c>
      <c r="B2718" s="142">
        <v>513263</v>
      </c>
      <c r="C2718" s="143" t="s">
        <v>6735</v>
      </c>
      <c r="D2718" s="142" t="s">
        <v>99</v>
      </c>
      <c r="E2718" s="143" t="s">
        <v>100</v>
      </c>
      <c r="F2718" s="143" t="s">
        <v>100</v>
      </c>
      <c r="G2718" s="142" t="s">
        <v>6739</v>
      </c>
      <c r="H2718" s="142" t="s">
        <v>57</v>
      </c>
      <c r="I2718" s="143" t="s">
        <v>103</v>
      </c>
      <c r="J2718" s="143" t="s">
        <v>6741</v>
      </c>
      <c r="K2718" s="144"/>
      <c r="L2718" s="145"/>
      <c r="M2718" s="144"/>
    </row>
    <row r="2719" spans="1:13" ht="15" customHeight="1">
      <c r="A2719" s="146" t="s">
        <v>7353</v>
      </c>
      <c r="B2719" s="146">
        <v>513425</v>
      </c>
      <c r="C2719" s="147" t="s">
        <v>6735</v>
      </c>
      <c r="D2719" s="146" t="s">
        <v>99</v>
      </c>
      <c r="E2719" s="147" t="s">
        <v>124</v>
      </c>
      <c r="F2719" s="147" t="s">
        <v>7354</v>
      </c>
      <c r="G2719" s="146" t="s">
        <v>6739</v>
      </c>
      <c r="H2719" s="146" t="s">
        <v>57</v>
      </c>
      <c r="I2719" s="147" t="s">
        <v>103</v>
      </c>
      <c r="J2719" s="147" t="s">
        <v>6741</v>
      </c>
      <c r="K2719" s="148"/>
      <c r="L2719" s="149"/>
      <c r="M2719" s="148"/>
    </row>
    <row r="2720" spans="1:13" ht="15" customHeight="1">
      <c r="A2720" s="142" t="s">
        <v>7355</v>
      </c>
      <c r="B2720" s="142">
        <v>513264</v>
      </c>
      <c r="C2720" s="143" t="s">
        <v>6735</v>
      </c>
      <c r="D2720" s="142" t="s">
        <v>99</v>
      </c>
      <c r="E2720" s="143" t="s">
        <v>100</v>
      </c>
      <c r="F2720" s="143" t="s">
        <v>100</v>
      </c>
      <c r="G2720" s="142" t="s">
        <v>6739</v>
      </c>
      <c r="H2720" s="142" t="s">
        <v>57</v>
      </c>
      <c r="I2720" s="143" t="s">
        <v>103</v>
      </c>
      <c r="J2720" s="143" t="s">
        <v>6741</v>
      </c>
      <c r="K2720" s="144"/>
      <c r="L2720" s="145"/>
      <c r="M2720" s="144"/>
    </row>
    <row r="2721" spans="1:13" ht="15" customHeight="1">
      <c r="A2721" s="146" t="s">
        <v>7356</v>
      </c>
      <c r="B2721" s="146">
        <v>513265</v>
      </c>
      <c r="C2721" s="147" t="s">
        <v>6735</v>
      </c>
      <c r="D2721" s="146" t="s">
        <v>99</v>
      </c>
      <c r="E2721" s="147" t="s">
        <v>100</v>
      </c>
      <c r="F2721" s="147" t="s">
        <v>100</v>
      </c>
      <c r="G2721" s="146" t="s">
        <v>6739</v>
      </c>
      <c r="H2721" s="146" t="s">
        <v>57</v>
      </c>
      <c r="I2721" s="147" t="s">
        <v>103</v>
      </c>
      <c r="J2721" s="147" t="s">
        <v>6741</v>
      </c>
      <c r="K2721" s="148"/>
      <c r="L2721" s="149"/>
      <c r="M2721" s="148"/>
    </row>
    <row r="2722" spans="1:13" ht="15" customHeight="1">
      <c r="A2722" s="142" t="s">
        <v>7357</v>
      </c>
      <c r="B2722" s="142">
        <v>513266</v>
      </c>
      <c r="C2722" s="143" t="s">
        <v>6735</v>
      </c>
      <c r="D2722" s="142" t="s">
        <v>99</v>
      </c>
      <c r="E2722" s="143" t="s">
        <v>100</v>
      </c>
      <c r="F2722" s="143" t="s">
        <v>100</v>
      </c>
      <c r="G2722" s="142" t="s">
        <v>6739</v>
      </c>
      <c r="H2722" s="142" t="s">
        <v>57</v>
      </c>
      <c r="I2722" s="143" t="s">
        <v>103</v>
      </c>
      <c r="J2722" s="143" t="s">
        <v>6741</v>
      </c>
      <c r="K2722" s="144"/>
      <c r="L2722" s="145"/>
      <c r="M2722" s="144"/>
    </row>
    <row r="2723" spans="1:13" ht="15" customHeight="1">
      <c r="A2723" s="146" t="s">
        <v>7358</v>
      </c>
      <c r="B2723" s="146">
        <v>513267</v>
      </c>
      <c r="C2723" s="147" t="s">
        <v>6735</v>
      </c>
      <c r="D2723" s="146" t="s">
        <v>99</v>
      </c>
      <c r="E2723" s="147" t="s">
        <v>100</v>
      </c>
      <c r="F2723" s="147" t="s">
        <v>100</v>
      </c>
      <c r="G2723" s="146" t="s">
        <v>6739</v>
      </c>
      <c r="H2723" s="146" t="s">
        <v>57</v>
      </c>
      <c r="I2723" s="147" t="s">
        <v>103</v>
      </c>
      <c r="J2723" s="147" t="s">
        <v>6741</v>
      </c>
      <c r="K2723" s="148"/>
      <c r="L2723" s="149"/>
      <c r="M2723" s="148"/>
    </row>
    <row r="2724" spans="1:13" ht="15" customHeight="1">
      <c r="A2724" s="142" t="s">
        <v>7359</v>
      </c>
      <c r="B2724" s="142">
        <v>513268</v>
      </c>
      <c r="C2724" s="143" t="s">
        <v>6735</v>
      </c>
      <c r="D2724" s="142" t="s">
        <v>99</v>
      </c>
      <c r="E2724" s="143" t="s">
        <v>100</v>
      </c>
      <c r="F2724" s="143" t="s">
        <v>100</v>
      </c>
      <c r="G2724" s="142" t="s">
        <v>6739</v>
      </c>
      <c r="H2724" s="142" t="s">
        <v>57</v>
      </c>
      <c r="I2724" s="143" t="s">
        <v>103</v>
      </c>
      <c r="J2724" s="143" t="s">
        <v>6741</v>
      </c>
      <c r="K2724" s="144"/>
      <c r="L2724" s="145"/>
      <c r="M2724" s="144"/>
    </row>
    <row r="2725" spans="1:13" ht="15" customHeight="1">
      <c r="A2725" s="146" t="s">
        <v>7360</v>
      </c>
      <c r="B2725" s="146">
        <v>513487</v>
      </c>
      <c r="C2725" s="147" t="s">
        <v>6735</v>
      </c>
      <c r="D2725" s="146" t="s">
        <v>99</v>
      </c>
      <c r="E2725" s="147" t="s">
        <v>107</v>
      </c>
      <c r="F2725" s="147" t="s">
        <v>107</v>
      </c>
      <c r="G2725" s="146" t="s">
        <v>6739</v>
      </c>
      <c r="H2725" s="146" t="s">
        <v>57</v>
      </c>
      <c r="I2725" s="147" t="s">
        <v>103</v>
      </c>
      <c r="J2725" s="147" t="s">
        <v>6741</v>
      </c>
      <c r="K2725" s="148"/>
      <c r="L2725" s="149"/>
      <c r="M2725" s="148"/>
    </row>
    <row r="2726" spans="1:13" ht="15" customHeight="1">
      <c r="A2726" s="142" t="s">
        <v>7361</v>
      </c>
      <c r="B2726" s="142">
        <v>513269</v>
      </c>
      <c r="C2726" s="143" t="s">
        <v>6735</v>
      </c>
      <c r="D2726" s="142" t="s">
        <v>99</v>
      </c>
      <c r="E2726" s="143" t="s">
        <v>100</v>
      </c>
      <c r="F2726" s="143" t="s">
        <v>100</v>
      </c>
      <c r="G2726" s="142" t="s">
        <v>6739</v>
      </c>
      <c r="H2726" s="142" t="s">
        <v>57</v>
      </c>
      <c r="I2726" s="143" t="s">
        <v>103</v>
      </c>
      <c r="J2726" s="143" t="s">
        <v>6741</v>
      </c>
      <c r="K2726" s="144"/>
      <c r="L2726" s="145"/>
      <c r="M2726" s="144"/>
    </row>
    <row r="2727" spans="1:13" ht="15" customHeight="1">
      <c r="A2727" s="146" t="s">
        <v>7362</v>
      </c>
      <c r="B2727" s="146">
        <v>513270</v>
      </c>
      <c r="C2727" s="147" t="s">
        <v>6735</v>
      </c>
      <c r="D2727" s="146" t="s">
        <v>99</v>
      </c>
      <c r="E2727" s="147" t="s">
        <v>100</v>
      </c>
      <c r="F2727" s="147" t="s">
        <v>100</v>
      </c>
      <c r="G2727" s="146" t="s">
        <v>6739</v>
      </c>
      <c r="H2727" s="146" t="s">
        <v>57</v>
      </c>
      <c r="I2727" s="147" t="s">
        <v>103</v>
      </c>
      <c r="J2727" s="147" t="s">
        <v>6741</v>
      </c>
      <c r="K2727" s="148"/>
      <c r="L2727" s="149"/>
      <c r="M2727" s="148"/>
    </row>
    <row r="2728" spans="1:13" ht="15" customHeight="1">
      <c r="A2728" s="142" t="s">
        <v>7363</v>
      </c>
      <c r="B2728" s="142">
        <v>513271</v>
      </c>
      <c r="C2728" s="143" t="s">
        <v>6735</v>
      </c>
      <c r="D2728" s="142" t="s">
        <v>99</v>
      </c>
      <c r="E2728" s="143" t="s">
        <v>100</v>
      </c>
      <c r="F2728" s="143" t="s">
        <v>100</v>
      </c>
      <c r="G2728" s="142" t="s">
        <v>6739</v>
      </c>
      <c r="H2728" s="142" t="s">
        <v>57</v>
      </c>
      <c r="I2728" s="143" t="s">
        <v>103</v>
      </c>
      <c r="J2728" s="143" t="s">
        <v>6741</v>
      </c>
      <c r="K2728" s="144"/>
      <c r="L2728" s="145"/>
      <c r="M2728" s="144"/>
    </row>
    <row r="2729" spans="1:13" ht="15" customHeight="1">
      <c r="A2729" s="146" t="s">
        <v>7364</v>
      </c>
      <c r="B2729" s="146">
        <v>513272</v>
      </c>
      <c r="C2729" s="147" t="s">
        <v>6735</v>
      </c>
      <c r="D2729" s="146" t="s">
        <v>99</v>
      </c>
      <c r="E2729" s="147" t="s">
        <v>100</v>
      </c>
      <c r="F2729" s="147" t="s">
        <v>100</v>
      </c>
      <c r="G2729" s="146" t="s">
        <v>6739</v>
      </c>
      <c r="H2729" s="146" t="s">
        <v>57</v>
      </c>
      <c r="I2729" s="147" t="s">
        <v>103</v>
      </c>
      <c r="J2729" s="147" t="s">
        <v>6741</v>
      </c>
      <c r="K2729" s="148"/>
      <c r="L2729" s="149"/>
      <c r="M2729" s="148"/>
    </row>
    <row r="2730" spans="1:13" ht="15" customHeight="1">
      <c r="A2730" s="142" t="s">
        <v>7365</v>
      </c>
      <c r="B2730" s="142">
        <v>513016</v>
      </c>
      <c r="C2730" s="143" t="s">
        <v>6735</v>
      </c>
      <c r="D2730" s="142" t="s">
        <v>99</v>
      </c>
      <c r="E2730" s="143" t="s">
        <v>100</v>
      </c>
      <c r="F2730" s="143" t="s">
        <v>100</v>
      </c>
      <c r="G2730" s="142" t="s">
        <v>6739</v>
      </c>
      <c r="H2730" s="142" t="s">
        <v>57</v>
      </c>
      <c r="I2730" s="143" t="s">
        <v>103</v>
      </c>
      <c r="J2730" s="143" t="s">
        <v>6741</v>
      </c>
      <c r="K2730" s="144"/>
      <c r="L2730" s="145"/>
      <c r="M2730" s="144"/>
    </row>
    <row r="2731" spans="1:13" ht="15" customHeight="1">
      <c r="A2731" s="146" t="s">
        <v>7366</v>
      </c>
      <c r="B2731" s="146">
        <v>512880</v>
      </c>
      <c r="C2731" s="147" t="s">
        <v>7367</v>
      </c>
      <c r="D2731" s="146" t="s">
        <v>99</v>
      </c>
      <c r="E2731" s="147" t="s">
        <v>100</v>
      </c>
      <c r="F2731" s="147" t="s">
        <v>100</v>
      </c>
      <c r="G2731" s="146" t="s">
        <v>102</v>
      </c>
      <c r="H2731" s="146" t="s">
        <v>57</v>
      </c>
      <c r="I2731" s="147" t="s">
        <v>103</v>
      </c>
      <c r="J2731" s="147" t="s">
        <v>6741</v>
      </c>
      <c r="K2731" s="148"/>
      <c r="L2731" s="149"/>
      <c r="M2731" s="148"/>
    </row>
    <row r="2732" spans="1:13" ht="15" customHeight="1">
      <c r="A2732" s="142" t="s">
        <v>7368</v>
      </c>
      <c r="B2732" s="142">
        <v>513012</v>
      </c>
      <c r="C2732" s="143" t="s">
        <v>6735</v>
      </c>
      <c r="D2732" s="142" t="s">
        <v>99</v>
      </c>
      <c r="E2732" s="143" t="s">
        <v>100</v>
      </c>
      <c r="F2732" s="143" t="s">
        <v>100</v>
      </c>
      <c r="G2732" s="142" t="s">
        <v>6739</v>
      </c>
      <c r="H2732" s="142" t="s">
        <v>57</v>
      </c>
      <c r="I2732" s="143" t="s">
        <v>103</v>
      </c>
      <c r="J2732" s="143" t="s">
        <v>6741</v>
      </c>
      <c r="K2732" s="144"/>
      <c r="L2732" s="145"/>
      <c r="M2732" s="144"/>
    </row>
    <row r="2733" spans="1:13" ht="15" customHeight="1">
      <c r="A2733" s="146" t="s">
        <v>7369</v>
      </c>
      <c r="B2733" s="146">
        <v>513429</v>
      </c>
      <c r="C2733" s="147" t="s">
        <v>6735</v>
      </c>
      <c r="D2733" s="146" t="s">
        <v>99</v>
      </c>
      <c r="E2733" s="147" t="s">
        <v>100</v>
      </c>
      <c r="F2733" s="147" t="s">
        <v>100</v>
      </c>
      <c r="G2733" s="146" t="s">
        <v>6739</v>
      </c>
      <c r="H2733" s="146" t="s">
        <v>57</v>
      </c>
      <c r="I2733" s="147" t="s">
        <v>103</v>
      </c>
      <c r="J2733" s="147" t="s">
        <v>6741</v>
      </c>
      <c r="K2733" s="148"/>
      <c r="L2733" s="149"/>
      <c r="M2733" s="148"/>
    </row>
    <row r="2734" spans="1:13" ht="15" customHeight="1">
      <c r="A2734" s="142" t="s">
        <v>7370</v>
      </c>
      <c r="B2734" s="142">
        <v>513110</v>
      </c>
      <c r="C2734" s="143" t="s">
        <v>6735</v>
      </c>
      <c r="D2734" s="142" t="s">
        <v>99</v>
      </c>
      <c r="E2734" s="143" t="s">
        <v>100</v>
      </c>
      <c r="F2734" s="143" t="s">
        <v>100</v>
      </c>
      <c r="G2734" s="142" t="s">
        <v>6739</v>
      </c>
      <c r="H2734" s="142" t="s">
        <v>57</v>
      </c>
      <c r="I2734" s="143" t="s">
        <v>103</v>
      </c>
      <c r="J2734" s="143" t="s">
        <v>6741</v>
      </c>
      <c r="K2734" s="144"/>
      <c r="L2734" s="145"/>
      <c r="M2734" s="144"/>
    </row>
    <row r="2735" spans="1:13" ht="15" customHeight="1">
      <c r="A2735" s="146" t="s">
        <v>7371</v>
      </c>
      <c r="B2735" s="146">
        <v>513430</v>
      </c>
      <c r="C2735" s="147" t="s">
        <v>6735</v>
      </c>
      <c r="D2735" s="146" t="s">
        <v>99</v>
      </c>
      <c r="E2735" s="147" t="s">
        <v>100</v>
      </c>
      <c r="F2735" s="147" t="s">
        <v>100</v>
      </c>
      <c r="G2735" s="146" t="s">
        <v>6739</v>
      </c>
      <c r="H2735" s="146" t="s">
        <v>57</v>
      </c>
      <c r="I2735" s="147" t="s">
        <v>103</v>
      </c>
      <c r="J2735" s="147" t="s">
        <v>6741</v>
      </c>
      <c r="K2735" s="148"/>
      <c r="L2735" s="149"/>
      <c r="M2735" s="148"/>
    </row>
    <row r="2736" spans="1:13" ht="15" customHeight="1">
      <c r="A2736" s="142" t="s">
        <v>7372</v>
      </c>
      <c r="B2736" s="142">
        <v>513037</v>
      </c>
      <c r="C2736" s="143" t="s">
        <v>6735</v>
      </c>
      <c r="D2736" s="142" t="s">
        <v>99</v>
      </c>
      <c r="E2736" s="143" t="s">
        <v>100</v>
      </c>
      <c r="F2736" s="143" t="s">
        <v>7373</v>
      </c>
      <c r="G2736" s="142" t="s">
        <v>6739</v>
      </c>
      <c r="H2736" s="142" t="s">
        <v>57</v>
      </c>
      <c r="I2736" s="143" t="s">
        <v>103</v>
      </c>
      <c r="J2736" s="143" t="s">
        <v>6741</v>
      </c>
      <c r="K2736" s="144"/>
      <c r="L2736" s="145"/>
      <c r="M2736" s="144"/>
    </row>
    <row r="2737" spans="1:13" ht="15" customHeight="1">
      <c r="A2737" s="146" t="s">
        <v>7374</v>
      </c>
      <c r="B2737" s="146">
        <v>513352</v>
      </c>
      <c r="C2737" s="147" t="s">
        <v>6735</v>
      </c>
      <c r="D2737" s="146" t="s">
        <v>99</v>
      </c>
      <c r="E2737" s="147" t="s">
        <v>100</v>
      </c>
      <c r="F2737" s="147" t="s">
        <v>100</v>
      </c>
      <c r="G2737" s="146" t="s">
        <v>6739</v>
      </c>
      <c r="H2737" s="146" t="s">
        <v>57</v>
      </c>
      <c r="I2737" s="147" t="s">
        <v>103</v>
      </c>
      <c r="J2737" s="147" t="s">
        <v>6741</v>
      </c>
      <c r="K2737" s="148"/>
      <c r="L2737" s="149"/>
      <c r="M2737" s="148"/>
    </row>
    <row r="2738" spans="1:13" ht="15" customHeight="1">
      <c r="A2738" s="142" t="s">
        <v>7375</v>
      </c>
      <c r="B2738" s="142">
        <v>513422</v>
      </c>
      <c r="C2738" s="143" t="s">
        <v>6735</v>
      </c>
      <c r="D2738" s="142" t="s">
        <v>99</v>
      </c>
      <c r="E2738" s="143" t="s">
        <v>100</v>
      </c>
      <c r="F2738" s="143" t="s">
        <v>100</v>
      </c>
      <c r="G2738" s="142" t="s">
        <v>6739</v>
      </c>
      <c r="H2738" s="142" t="s">
        <v>57</v>
      </c>
      <c r="I2738" s="143" t="s">
        <v>103</v>
      </c>
      <c r="J2738" s="143" t="s">
        <v>6741</v>
      </c>
      <c r="K2738" s="144"/>
      <c r="L2738" s="145"/>
      <c r="M2738" s="144"/>
    </row>
    <row r="2739" spans="1:13" ht="15" customHeight="1">
      <c r="A2739" s="146" t="s">
        <v>7376</v>
      </c>
      <c r="B2739" s="146">
        <v>513427</v>
      </c>
      <c r="C2739" s="147" t="s">
        <v>6735</v>
      </c>
      <c r="D2739" s="146" t="s">
        <v>99</v>
      </c>
      <c r="E2739" s="147" t="s">
        <v>100</v>
      </c>
      <c r="F2739" s="147" t="s">
        <v>100</v>
      </c>
      <c r="G2739" s="146" t="s">
        <v>6739</v>
      </c>
      <c r="H2739" s="146" t="s">
        <v>57</v>
      </c>
      <c r="I2739" s="147" t="s">
        <v>103</v>
      </c>
      <c r="J2739" s="147" t="s">
        <v>6741</v>
      </c>
      <c r="K2739" s="148"/>
      <c r="L2739" s="149"/>
      <c r="M2739" s="148"/>
    </row>
    <row r="2740" spans="1:13" ht="15" customHeight="1">
      <c r="A2740" s="142" t="s">
        <v>7377</v>
      </c>
      <c r="B2740" s="142">
        <v>513433</v>
      </c>
      <c r="C2740" s="143" t="s">
        <v>6735</v>
      </c>
      <c r="D2740" s="142" t="s">
        <v>99</v>
      </c>
      <c r="E2740" s="143" t="s">
        <v>100</v>
      </c>
      <c r="F2740" s="143" t="s">
        <v>100</v>
      </c>
      <c r="G2740" s="142" t="s">
        <v>6739</v>
      </c>
      <c r="H2740" s="142" t="s">
        <v>57</v>
      </c>
      <c r="I2740" s="143" t="s">
        <v>103</v>
      </c>
      <c r="J2740" s="143" t="s">
        <v>6741</v>
      </c>
      <c r="K2740" s="144"/>
      <c r="L2740" s="145"/>
      <c r="M2740" s="144"/>
    </row>
    <row r="2741" spans="1:13" ht="15" customHeight="1">
      <c r="A2741" s="146" t="s">
        <v>7378</v>
      </c>
      <c r="B2741" s="146">
        <v>512949</v>
      </c>
      <c r="C2741" s="147" t="s">
        <v>6735</v>
      </c>
      <c r="D2741" s="146" t="s">
        <v>99</v>
      </c>
      <c r="E2741" s="147" t="s">
        <v>100</v>
      </c>
      <c r="F2741" s="147" t="s">
        <v>100</v>
      </c>
      <c r="G2741" s="146" t="s">
        <v>6739</v>
      </c>
      <c r="H2741" s="146" t="s">
        <v>57</v>
      </c>
      <c r="I2741" s="147" t="s">
        <v>103</v>
      </c>
      <c r="J2741" s="147" t="s">
        <v>6741</v>
      </c>
      <c r="K2741" s="148"/>
      <c r="L2741" s="149"/>
      <c r="M2741" s="148"/>
    </row>
    <row r="2742" spans="1:13" ht="15" customHeight="1">
      <c r="A2742" s="142" t="s">
        <v>7379</v>
      </c>
      <c r="B2742" s="142">
        <v>513273</v>
      </c>
      <c r="C2742" s="143" t="s">
        <v>6735</v>
      </c>
      <c r="D2742" s="142" t="s">
        <v>99</v>
      </c>
      <c r="E2742" s="143" t="s">
        <v>100</v>
      </c>
      <c r="F2742" s="143" t="s">
        <v>100</v>
      </c>
      <c r="G2742" s="142" t="s">
        <v>6739</v>
      </c>
      <c r="H2742" s="142" t="s">
        <v>57</v>
      </c>
      <c r="I2742" s="143" t="s">
        <v>103</v>
      </c>
      <c r="J2742" s="143" t="s">
        <v>6741</v>
      </c>
      <c r="K2742" s="144"/>
      <c r="L2742" s="145"/>
      <c r="M2742" s="144"/>
    </row>
    <row r="2743" spans="1:13" ht="15" customHeight="1">
      <c r="A2743" s="146" t="s">
        <v>7380</v>
      </c>
      <c r="B2743" s="146">
        <v>512939</v>
      </c>
      <c r="C2743" s="147" t="s">
        <v>6735</v>
      </c>
      <c r="D2743" s="146" t="s">
        <v>99</v>
      </c>
      <c r="E2743" s="147" t="s">
        <v>100</v>
      </c>
      <c r="F2743" s="147" t="s">
        <v>100</v>
      </c>
      <c r="G2743" s="146" t="s">
        <v>6739</v>
      </c>
      <c r="H2743" s="146" t="s">
        <v>57</v>
      </c>
      <c r="I2743" s="147" t="s">
        <v>103</v>
      </c>
      <c r="J2743" s="147" t="s">
        <v>6741</v>
      </c>
      <c r="K2743" s="148" t="s">
        <v>162</v>
      </c>
      <c r="L2743" s="149">
        <v>46146</v>
      </c>
      <c r="M2743" s="148" t="s">
        <v>7314</v>
      </c>
    </row>
    <row r="2744" spans="1:13" ht="15" customHeight="1">
      <c r="A2744" s="142" t="s">
        <v>7381</v>
      </c>
      <c r="B2744" s="142">
        <v>513420</v>
      </c>
      <c r="C2744" s="143" t="s">
        <v>6735</v>
      </c>
      <c r="D2744" s="142" t="s">
        <v>99</v>
      </c>
      <c r="E2744" s="143" t="s">
        <v>100</v>
      </c>
      <c r="F2744" s="143" t="s">
        <v>100</v>
      </c>
      <c r="G2744" s="142" t="s">
        <v>6739</v>
      </c>
      <c r="H2744" s="142" t="s">
        <v>57</v>
      </c>
      <c r="I2744" s="143" t="s">
        <v>103</v>
      </c>
      <c r="J2744" s="143" t="s">
        <v>6741</v>
      </c>
      <c r="K2744" s="144" t="s">
        <v>162</v>
      </c>
      <c r="L2744" s="145">
        <v>46147</v>
      </c>
      <c r="M2744" s="144" t="s">
        <v>278</v>
      </c>
    </row>
    <row r="2745" spans="1:13" ht="15" customHeight="1">
      <c r="A2745" s="146" t="s">
        <v>7382</v>
      </c>
      <c r="B2745" s="146">
        <v>512911</v>
      </c>
      <c r="C2745" s="147" t="s">
        <v>6735</v>
      </c>
      <c r="D2745" s="146" t="s">
        <v>99</v>
      </c>
      <c r="E2745" s="147" t="s">
        <v>100</v>
      </c>
      <c r="F2745" s="147" t="s">
        <v>100</v>
      </c>
      <c r="G2745" s="146" t="s">
        <v>7383</v>
      </c>
      <c r="H2745" s="146" t="s">
        <v>57</v>
      </c>
      <c r="I2745" s="147" t="s">
        <v>103</v>
      </c>
      <c r="J2745" s="147" t="s">
        <v>6741</v>
      </c>
      <c r="K2745" s="148"/>
      <c r="L2745" s="149"/>
      <c r="M2745" s="148"/>
    </row>
    <row r="2746" spans="1:13" ht="15" customHeight="1">
      <c r="A2746" s="142" t="s">
        <v>7384</v>
      </c>
      <c r="B2746" s="142">
        <v>513416</v>
      </c>
      <c r="C2746" s="143" t="s">
        <v>6735</v>
      </c>
      <c r="D2746" s="142" t="s">
        <v>99</v>
      </c>
      <c r="E2746" s="143" t="s">
        <v>100</v>
      </c>
      <c r="F2746" s="143" t="s">
        <v>100</v>
      </c>
      <c r="G2746" s="142" t="s">
        <v>6739</v>
      </c>
      <c r="H2746" s="142" t="s">
        <v>57</v>
      </c>
      <c r="I2746" s="143" t="s">
        <v>103</v>
      </c>
      <c r="J2746" s="143" t="s">
        <v>6741</v>
      </c>
      <c r="K2746" s="144"/>
      <c r="L2746" s="145"/>
      <c r="M2746" s="144"/>
    </row>
    <row r="2747" spans="1:13" ht="15" customHeight="1">
      <c r="A2747" s="146" t="s">
        <v>7385</v>
      </c>
      <c r="B2747" s="146">
        <v>513274</v>
      </c>
      <c r="C2747" s="147" t="s">
        <v>6735</v>
      </c>
      <c r="D2747" s="146" t="s">
        <v>99</v>
      </c>
      <c r="E2747" s="147" t="s">
        <v>100</v>
      </c>
      <c r="F2747" s="147" t="s">
        <v>100</v>
      </c>
      <c r="G2747" s="146" t="s">
        <v>6739</v>
      </c>
      <c r="H2747" s="146" t="s">
        <v>57</v>
      </c>
      <c r="I2747" s="147" t="s">
        <v>103</v>
      </c>
      <c r="J2747" s="147" t="s">
        <v>6741</v>
      </c>
      <c r="K2747" s="148"/>
      <c r="L2747" s="149"/>
      <c r="M2747" s="148"/>
    </row>
    <row r="2748" spans="1:13" ht="15" customHeight="1">
      <c r="A2748" s="142" t="s">
        <v>7386</v>
      </c>
      <c r="B2748" s="142">
        <v>513521</v>
      </c>
      <c r="C2748" s="143" t="s">
        <v>6735</v>
      </c>
      <c r="D2748" s="142" t="s">
        <v>99</v>
      </c>
      <c r="E2748" s="143" t="s">
        <v>144</v>
      </c>
      <c r="F2748" s="143" t="s">
        <v>144</v>
      </c>
      <c r="G2748" s="142" t="s">
        <v>6739</v>
      </c>
      <c r="H2748" s="142" t="s">
        <v>57</v>
      </c>
      <c r="I2748" s="143" t="s">
        <v>103</v>
      </c>
      <c r="J2748" s="143" t="s">
        <v>6741</v>
      </c>
      <c r="K2748" s="144"/>
      <c r="L2748" s="145"/>
      <c r="M2748" s="144"/>
    </row>
    <row r="2749" spans="1:13" ht="15" customHeight="1">
      <c r="A2749" s="146" t="s">
        <v>7387</v>
      </c>
      <c r="B2749" s="146">
        <v>513494</v>
      </c>
      <c r="C2749" s="147" t="s">
        <v>6735</v>
      </c>
      <c r="D2749" s="146" t="s">
        <v>99</v>
      </c>
      <c r="E2749" s="147" t="s">
        <v>144</v>
      </c>
      <c r="F2749" s="147" t="s">
        <v>7388</v>
      </c>
      <c r="G2749" s="146" t="s">
        <v>6739</v>
      </c>
      <c r="H2749" s="146" t="s">
        <v>57</v>
      </c>
      <c r="I2749" s="147" t="s">
        <v>103</v>
      </c>
      <c r="J2749" s="147" t="s">
        <v>6741</v>
      </c>
      <c r="K2749" s="148"/>
      <c r="L2749" s="149"/>
      <c r="M2749" s="148"/>
    </row>
    <row r="2750" spans="1:13" ht="15" customHeight="1">
      <c r="A2750" s="142" t="s">
        <v>7389</v>
      </c>
      <c r="B2750" s="142">
        <v>513488</v>
      </c>
      <c r="C2750" s="143" t="s">
        <v>6735</v>
      </c>
      <c r="D2750" s="142" t="s">
        <v>99</v>
      </c>
      <c r="E2750" s="143" t="s">
        <v>107</v>
      </c>
      <c r="F2750" s="143" t="s">
        <v>107</v>
      </c>
      <c r="G2750" s="142" t="s">
        <v>6739</v>
      </c>
      <c r="H2750" s="142" t="s">
        <v>57</v>
      </c>
      <c r="I2750" s="143" t="s">
        <v>103</v>
      </c>
      <c r="J2750" s="143" t="s">
        <v>6741</v>
      </c>
      <c r="K2750" s="144"/>
      <c r="L2750" s="145"/>
      <c r="M2750" s="144"/>
    </row>
    <row r="2751" spans="1:13" ht="15" customHeight="1">
      <c r="A2751" s="146" t="s">
        <v>7390</v>
      </c>
      <c r="B2751" s="146">
        <v>513489</v>
      </c>
      <c r="C2751" s="147" t="s">
        <v>6735</v>
      </c>
      <c r="D2751" s="146" t="s">
        <v>99</v>
      </c>
      <c r="E2751" s="147" t="s">
        <v>107</v>
      </c>
      <c r="F2751" s="147" t="s">
        <v>107</v>
      </c>
      <c r="G2751" s="146" t="s">
        <v>6739</v>
      </c>
      <c r="H2751" s="146" t="s">
        <v>57</v>
      </c>
      <c r="I2751" s="147" t="s">
        <v>103</v>
      </c>
      <c r="J2751" s="147" t="s">
        <v>6741</v>
      </c>
      <c r="K2751" s="148"/>
      <c r="L2751" s="149"/>
      <c r="M2751" s="148"/>
    </row>
    <row r="2752" spans="1:13" ht="15" customHeight="1">
      <c r="A2752" s="142" t="s">
        <v>7391</v>
      </c>
      <c r="B2752" s="142">
        <v>513456</v>
      </c>
      <c r="C2752" s="143" t="s">
        <v>6735</v>
      </c>
      <c r="D2752" s="142" t="s">
        <v>99</v>
      </c>
      <c r="E2752" s="143" t="s">
        <v>147</v>
      </c>
      <c r="F2752" s="143" t="s">
        <v>147</v>
      </c>
      <c r="G2752" s="142" t="s">
        <v>6739</v>
      </c>
      <c r="H2752" s="142" t="s">
        <v>57</v>
      </c>
      <c r="I2752" s="143" t="s">
        <v>103</v>
      </c>
      <c r="J2752" s="143" t="s">
        <v>6741</v>
      </c>
      <c r="K2752" s="144"/>
      <c r="L2752" s="145"/>
      <c r="M2752" s="144"/>
    </row>
    <row r="2753" spans="1:13" ht="15" customHeight="1">
      <c r="A2753" s="146" t="s">
        <v>7392</v>
      </c>
      <c r="B2753" s="146">
        <v>513457</v>
      </c>
      <c r="C2753" s="147" t="s">
        <v>6735</v>
      </c>
      <c r="D2753" s="146" t="s">
        <v>99</v>
      </c>
      <c r="E2753" s="147" t="s">
        <v>147</v>
      </c>
      <c r="F2753" s="147" t="s">
        <v>147</v>
      </c>
      <c r="G2753" s="146" t="s">
        <v>6739</v>
      </c>
      <c r="H2753" s="146" t="s">
        <v>57</v>
      </c>
      <c r="I2753" s="147" t="s">
        <v>103</v>
      </c>
      <c r="J2753" s="147" t="s">
        <v>6741</v>
      </c>
      <c r="K2753" s="148"/>
      <c r="L2753" s="149"/>
      <c r="M2753" s="148"/>
    </row>
    <row r="2754" spans="1:13" ht="15" customHeight="1">
      <c r="A2754" s="142" t="s">
        <v>7393</v>
      </c>
      <c r="B2754" s="142">
        <v>513275</v>
      </c>
      <c r="C2754" s="143" t="s">
        <v>6735</v>
      </c>
      <c r="D2754" s="142" t="s">
        <v>99</v>
      </c>
      <c r="E2754" s="143" t="s">
        <v>100</v>
      </c>
      <c r="F2754" s="143" t="s">
        <v>100</v>
      </c>
      <c r="G2754" s="142" t="s">
        <v>6739</v>
      </c>
      <c r="H2754" s="142" t="s">
        <v>57</v>
      </c>
      <c r="I2754" s="143" t="s">
        <v>103</v>
      </c>
      <c r="J2754" s="143" t="s">
        <v>6741</v>
      </c>
      <c r="K2754" s="144"/>
      <c r="L2754" s="145"/>
      <c r="M2754" s="144"/>
    </row>
    <row r="2755" spans="1:13" ht="15" customHeight="1">
      <c r="A2755" s="146" t="s">
        <v>7394</v>
      </c>
      <c r="B2755" s="146">
        <v>513276</v>
      </c>
      <c r="C2755" s="147" t="s">
        <v>6735</v>
      </c>
      <c r="D2755" s="146" t="s">
        <v>99</v>
      </c>
      <c r="E2755" s="147" t="s">
        <v>100</v>
      </c>
      <c r="F2755" s="147" t="s">
        <v>100</v>
      </c>
      <c r="G2755" s="146" t="s">
        <v>6739</v>
      </c>
      <c r="H2755" s="146" t="s">
        <v>57</v>
      </c>
      <c r="I2755" s="147" t="s">
        <v>103</v>
      </c>
      <c r="J2755" s="147" t="s">
        <v>6741</v>
      </c>
      <c r="K2755" s="148"/>
      <c r="L2755" s="149"/>
      <c r="M2755" s="148"/>
    </row>
    <row r="2756" spans="1:13" ht="15" customHeight="1">
      <c r="A2756" s="142" t="s">
        <v>7395</v>
      </c>
      <c r="B2756" s="142">
        <v>513277</v>
      </c>
      <c r="C2756" s="143" t="s">
        <v>6735</v>
      </c>
      <c r="D2756" s="142" t="s">
        <v>99</v>
      </c>
      <c r="E2756" s="143" t="s">
        <v>100</v>
      </c>
      <c r="F2756" s="143" t="s">
        <v>100</v>
      </c>
      <c r="G2756" s="142" t="s">
        <v>6739</v>
      </c>
      <c r="H2756" s="142" t="s">
        <v>57</v>
      </c>
      <c r="I2756" s="143" t="s">
        <v>103</v>
      </c>
      <c r="J2756" s="143" t="s">
        <v>6741</v>
      </c>
      <c r="K2756" s="144"/>
      <c r="L2756" s="145"/>
      <c r="M2756" s="144"/>
    </row>
    <row r="2757" spans="1:13" ht="15" customHeight="1">
      <c r="A2757" s="146" t="s">
        <v>7396</v>
      </c>
      <c r="B2757" s="146">
        <v>513118</v>
      </c>
      <c r="C2757" s="147" t="s">
        <v>6735</v>
      </c>
      <c r="D2757" s="146" t="s">
        <v>99</v>
      </c>
      <c r="E2757" s="147" t="s">
        <v>100</v>
      </c>
      <c r="F2757" s="147" t="s">
        <v>100</v>
      </c>
      <c r="G2757" s="146" t="s">
        <v>6739</v>
      </c>
      <c r="H2757" s="146" t="s">
        <v>57</v>
      </c>
      <c r="I2757" s="147" t="s">
        <v>103</v>
      </c>
      <c r="J2757" s="147" t="s">
        <v>6741</v>
      </c>
      <c r="K2757" s="148"/>
      <c r="L2757" s="149"/>
      <c r="M2757" s="148"/>
    </row>
    <row r="2758" spans="1:13" ht="15" customHeight="1">
      <c r="A2758" s="142" t="s">
        <v>7397</v>
      </c>
      <c r="B2758" s="142">
        <v>513278</v>
      </c>
      <c r="C2758" s="143" t="s">
        <v>6735</v>
      </c>
      <c r="D2758" s="142" t="s">
        <v>99</v>
      </c>
      <c r="E2758" s="143" t="s">
        <v>100</v>
      </c>
      <c r="F2758" s="143" t="s">
        <v>100</v>
      </c>
      <c r="G2758" s="142" t="s">
        <v>6739</v>
      </c>
      <c r="H2758" s="142" t="s">
        <v>57</v>
      </c>
      <c r="I2758" s="143" t="s">
        <v>103</v>
      </c>
      <c r="J2758" s="143" t="s">
        <v>6741</v>
      </c>
      <c r="K2758" s="144"/>
      <c r="L2758" s="145"/>
      <c r="M2758" s="144"/>
    </row>
    <row r="2759" spans="1:13" ht="15" customHeight="1">
      <c r="A2759" s="146" t="s">
        <v>7398</v>
      </c>
      <c r="B2759" s="146">
        <v>513279</v>
      </c>
      <c r="C2759" s="147" t="s">
        <v>6735</v>
      </c>
      <c r="D2759" s="146" t="s">
        <v>99</v>
      </c>
      <c r="E2759" s="147" t="s">
        <v>100</v>
      </c>
      <c r="F2759" s="147" t="s">
        <v>100</v>
      </c>
      <c r="G2759" s="146" t="s">
        <v>6739</v>
      </c>
      <c r="H2759" s="146" t="s">
        <v>57</v>
      </c>
      <c r="I2759" s="147" t="s">
        <v>103</v>
      </c>
      <c r="J2759" s="147" t="s">
        <v>6741</v>
      </c>
      <c r="K2759" s="148"/>
      <c r="L2759" s="149"/>
      <c r="M2759" s="148"/>
    </row>
    <row r="2760" spans="1:13" ht="15" customHeight="1">
      <c r="A2760" s="142" t="s">
        <v>7399</v>
      </c>
      <c r="B2760" s="142">
        <v>513280</v>
      </c>
      <c r="C2760" s="143" t="s">
        <v>6735</v>
      </c>
      <c r="D2760" s="142" t="s">
        <v>99</v>
      </c>
      <c r="E2760" s="143" t="s">
        <v>100</v>
      </c>
      <c r="F2760" s="143" t="s">
        <v>100</v>
      </c>
      <c r="G2760" s="142" t="s">
        <v>6739</v>
      </c>
      <c r="H2760" s="142" t="s">
        <v>57</v>
      </c>
      <c r="I2760" s="143" t="s">
        <v>103</v>
      </c>
      <c r="J2760" s="143" t="s">
        <v>6741</v>
      </c>
      <c r="K2760" s="144"/>
      <c r="L2760" s="145"/>
      <c r="M2760" s="144"/>
    </row>
    <row r="2761" spans="1:13" ht="15" customHeight="1">
      <c r="A2761" s="146" t="s">
        <v>7400</v>
      </c>
      <c r="B2761" s="146">
        <v>513281</v>
      </c>
      <c r="C2761" s="147" t="s">
        <v>6735</v>
      </c>
      <c r="D2761" s="146" t="s">
        <v>99</v>
      </c>
      <c r="E2761" s="147" t="s">
        <v>100</v>
      </c>
      <c r="F2761" s="147" t="s">
        <v>100</v>
      </c>
      <c r="G2761" s="146" t="s">
        <v>6739</v>
      </c>
      <c r="H2761" s="146" t="s">
        <v>57</v>
      </c>
      <c r="I2761" s="147" t="s">
        <v>103</v>
      </c>
      <c r="J2761" s="147" t="s">
        <v>6741</v>
      </c>
      <c r="K2761" s="148"/>
      <c r="L2761" s="149"/>
      <c r="M2761" s="148"/>
    </row>
    <row r="2762" spans="1:13" ht="15" customHeight="1">
      <c r="A2762" s="142" t="s">
        <v>7401</v>
      </c>
      <c r="B2762" s="142">
        <v>513282</v>
      </c>
      <c r="C2762" s="143" t="s">
        <v>6735</v>
      </c>
      <c r="D2762" s="142" t="s">
        <v>99</v>
      </c>
      <c r="E2762" s="143" t="s">
        <v>100</v>
      </c>
      <c r="F2762" s="143" t="s">
        <v>100</v>
      </c>
      <c r="G2762" s="142" t="s">
        <v>6739</v>
      </c>
      <c r="H2762" s="142" t="s">
        <v>57</v>
      </c>
      <c r="I2762" s="143" t="s">
        <v>103</v>
      </c>
      <c r="J2762" s="143" t="s">
        <v>6741</v>
      </c>
      <c r="K2762" s="144"/>
      <c r="L2762" s="145"/>
      <c r="M2762" s="144"/>
    </row>
    <row r="2763" spans="1:13" ht="15" customHeight="1">
      <c r="A2763" s="146" t="s">
        <v>7402</v>
      </c>
      <c r="B2763" s="146">
        <v>513283</v>
      </c>
      <c r="C2763" s="147" t="s">
        <v>6735</v>
      </c>
      <c r="D2763" s="146" t="s">
        <v>99</v>
      </c>
      <c r="E2763" s="147" t="s">
        <v>100</v>
      </c>
      <c r="F2763" s="147" t="s">
        <v>100</v>
      </c>
      <c r="G2763" s="146" t="s">
        <v>6739</v>
      </c>
      <c r="H2763" s="146" t="s">
        <v>57</v>
      </c>
      <c r="I2763" s="147" t="s">
        <v>103</v>
      </c>
      <c r="J2763" s="147" t="s">
        <v>6741</v>
      </c>
      <c r="K2763" s="148"/>
      <c r="L2763" s="149"/>
      <c r="M2763" s="148"/>
    </row>
    <row r="2764" spans="1:13" ht="15" customHeight="1">
      <c r="A2764" s="142" t="s">
        <v>7403</v>
      </c>
      <c r="B2764" s="142">
        <v>513284</v>
      </c>
      <c r="C2764" s="143" t="s">
        <v>6735</v>
      </c>
      <c r="D2764" s="142" t="s">
        <v>99</v>
      </c>
      <c r="E2764" s="143" t="s">
        <v>100</v>
      </c>
      <c r="F2764" s="143" t="s">
        <v>100</v>
      </c>
      <c r="G2764" s="142" t="s">
        <v>6739</v>
      </c>
      <c r="H2764" s="142" t="s">
        <v>57</v>
      </c>
      <c r="I2764" s="143" t="s">
        <v>103</v>
      </c>
      <c r="J2764" s="143" t="s">
        <v>6741</v>
      </c>
      <c r="K2764" s="144"/>
      <c r="L2764" s="145"/>
      <c r="M2764" s="144"/>
    </row>
    <row r="2765" spans="1:13" ht="15" customHeight="1">
      <c r="A2765" s="146" t="s">
        <v>7404</v>
      </c>
      <c r="B2765" s="146">
        <v>512940</v>
      </c>
      <c r="C2765" s="147" t="s">
        <v>6735</v>
      </c>
      <c r="D2765" s="146" t="s">
        <v>99</v>
      </c>
      <c r="E2765" s="147" t="s">
        <v>100</v>
      </c>
      <c r="F2765" s="147" t="s">
        <v>100</v>
      </c>
      <c r="G2765" s="146" t="s">
        <v>6739</v>
      </c>
      <c r="H2765" s="146" t="s">
        <v>57</v>
      </c>
      <c r="I2765" s="147" t="s">
        <v>103</v>
      </c>
      <c r="J2765" s="147" t="s">
        <v>6741</v>
      </c>
      <c r="K2765" s="148" t="s">
        <v>121</v>
      </c>
      <c r="L2765" s="149">
        <v>46148</v>
      </c>
      <c r="M2765" s="148"/>
    </row>
    <row r="2766" spans="1:13" ht="15" customHeight="1">
      <c r="A2766" s="142" t="s">
        <v>7405</v>
      </c>
      <c r="B2766" s="142">
        <v>513285</v>
      </c>
      <c r="C2766" s="143" t="s">
        <v>6735</v>
      </c>
      <c r="D2766" s="142" t="s">
        <v>99</v>
      </c>
      <c r="E2766" s="143" t="s">
        <v>100</v>
      </c>
      <c r="F2766" s="143" t="s">
        <v>100</v>
      </c>
      <c r="G2766" s="142" t="s">
        <v>6739</v>
      </c>
      <c r="H2766" s="142" t="s">
        <v>57</v>
      </c>
      <c r="I2766" s="143" t="s">
        <v>103</v>
      </c>
      <c r="J2766" s="143" t="s">
        <v>6741</v>
      </c>
      <c r="K2766" s="144"/>
      <c r="L2766" s="145"/>
      <c r="M2766" s="144"/>
    </row>
    <row r="2767" spans="1:13" ht="15" customHeight="1">
      <c r="A2767" s="146" t="s">
        <v>7406</v>
      </c>
      <c r="B2767" s="146">
        <v>513458</v>
      </c>
      <c r="C2767" s="147" t="s">
        <v>6735</v>
      </c>
      <c r="D2767" s="146" t="s">
        <v>99</v>
      </c>
      <c r="E2767" s="147" t="s">
        <v>147</v>
      </c>
      <c r="F2767" s="147" t="s">
        <v>147</v>
      </c>
      <c r="G2767" s="146" t="s">
        <v>6739</v>
      </c>
      <c r="H2767" s="146" t="s">
        <v>57</v>
      </c>
      <c r="I2767" s="147" t="s">
        <v>103</v>
      </c>
      <c r="J2767" s="147" t="s">
        <v>6741</v>
      </c>
      <c r="K2767" s="148"/>
      <c r="L2767" s="149"/>
      <c r="M2767" s="148"/>
    </row>
    <row r="2768" spans="1:13" ht="15" customHeight="1">
      <c r="A2768" s="142" t="s">
        <v>7407</v>
      </c>
      <c r="B2768" s="142">
        <v>513286</v>
      </c>
      <c r="C2768" s="143" t="s">
        <v>6735</v>
      </c>
      <c r="D2768" s="142" t="s">
        <v>99</v>
      </c>
      <c r="E2768" s="143" t="s">
        <v>100</v>
      </c>
      <c r="F2768" s="143" t="s">
        <v>100</v>
      </c>
      <c r="G2768" s="142" t="s">
        <v>6739</v>
      </c>
      <c r="H2768" s="142" t="s">
        <v>57</v>
      </c>
      <c r="I2768" s="143" t="s">
        <v>103</v>
      </c>
      <c r="J2768" s="143" t="s">
        <v>6741</v>
      </c>
      <c r="K2768" s="144"/>
      <c r="L2768" s="145"/>
      <c r="M2768" s="144"/>
    </row>
    <row r="2769" spans="1:13" ht="15" customHeight="1">
      <c r="A2769" s="146" t="s">
        <v>7408</v>
      </c>
      <c r="B2769" s="146">
        <v>512912</v>
      </c>
      <c r="C2769" s="147" t="s">
        <v>6735</v>
      </c>
      <c r="D2769" s="146" t="s">
        <v>99</v>
      </c>
      <c r="E2769" s="147" t="s">
        <v>100</v>
      </c>
      <c r="F2769" s="147" t="s">
        <v>100</v>
      </c>
      <c r="G2769" s="146" t="s">
        <v>6739</v>
      </c>
      <c r="H2769" s="146" t="s">
        <v>57</v>
      </c>
      <c r="I2769" s="147" t="s">
        <v>103</v>
      </c>
      <c r="J2769" s="147" t="s">
        <v>6741</v>
      </c>
      <c r="K2769" s="148"/>
      <c r="L2769" s="149"/>
      <c r="M2769" s="148"/>
    </row>
    <row r="2770" spans="1:13" ht="15" customHeight="1">
      <c r="A2770" s="142" t="s">
        <v>7409</v>
      </c>
      <c r="B2770" s="142">
        <v>513471</v>
      </c>
      <c r="C2770" s="143" t="s">
        <v>6735</v>
      </c>
      <c r="D2770" s="142" t="s">
        <v>99</v>
      </c>
      <c r="E2770" s="143" t="s">
        <v>107</v>
      </c>
      <c r="F2770" s="143" t="s">
        <v>107</v>
      </c>
      <c r="G2770" s="142" t="s">
        <v>6739</v>
      </c>
      <c r="H2770" s="142" t="s">
        <v>57</v>
      </c>
      <c r="I2770" s="143" t="s">
        <v>103</v>
      </c>
      <c r="J2770" s="143" t="s">
        <v>6741</v>
      </c>
      <c r="K2770" s="144"/>
      <c r="L2770" s="145"/>
      <c r="M2770" s="144"/>
    </row>
    <row r="2771" spans="1:13" ht="15" customHeight="1">
      <c r="A2771" s="146" t="s">
        <v>7410</v>
      </c>
      <c r="B2771" s="146">
        <v>513424</v>
      </c>
      <c r="C2771" s="147" t="s">
        <v>6735</v>
      </c>
      <c r="D2771" s="146" t="s">
        <v>99</v>
      </c>
      <c r="E2771" s="147" t="s">
        <v>100</v>
      </c>
      <c r="F2771" s="147" t="s">
        <v>100</v>
      </c>
      <c r="G2771" s="146" t="s">
        <v>6739</v>
      </c>
      <c r="H2771" s="146" t="s">
        <v>57</v>
      </c>
      <c r="I2771" s="147" t="s">
        <v>103</v>
      </c>
      <c r="J2771" s="147" t="s">
        <v>6741</v>
      </c>
      <c r="K2771" s="148"/>
      <c r="L2771" s="149"/>
      <c r="M2771" s="148"/>
    </row>
    <row r="2772" spans="1:13" ht="15" customHeight="1">
      <c r="A2772" s="142" t="s">
        <v>7411</v>
      </c>
      <c r="B2772" s="142">
        <v>513490</v>
      </c>
      <c r="C2772" s="143" t="s">
        <v>6735</v>
      </c>
      <c r="D2772" s="142" t="s">
        <v>99</v>
      </c>
      <c r="E2772" s="143" t="s">
        <v>107</v>
      </c>
      <c r="F2772" s="143" t="s">
        <v>107</v>
      </c>
      <c r="G2772" s="142" t="s">
        <v>6739</v>
      </c>
      <c r="H2772" s="142" t="s">
        <v>57</v>
      </c>
      <c r="I2772" s="143" t="s">
        <v>103</v>
      </c>
      <c r="J2772" s="143" t="s">
        <v>6741</v>
      </c>
      <c r="K2772" s="144"/>
      <c r="L2772" s="145"/>
      <c r="M2772" s="144"/>
    </row>
    <row r="2773" spans="1:13" ht="15" customHeight="1">
      <c r="A2773" s="146" t="s">
        <v>7412</v>
      </c>
      <c r="B2773" s="146">
        <v>513287</v>
      </c>
      <c r="C2773" s="147" t="s">
        <v>6735</v>
      </c>
      <c r="D2773" s="146" t="s">
        <v>99</v>
      </c>
      <c r="E2773" s="147" t="s">
        <v>100</v>
      </c>
      <c r="F2773" s="147" t="s">
        <v>100</v>
      </c>
      <c r="G2773" s="146" t="s">
        <v>6739</v>
      </c>
      <c r="H2773" s="146" t="s">
        <v>57</v>
      </c>
      <c r="I2773" s="147" t="s">
        <v>103</v>
      </c>
      <c r="J2773" s="147" t="s">
        <v>6741</v>
      </c>
      <c r="K2773" s="148"/>
      <c r="L2773" s="149"/>
      <c r="M2773" s="148"/>
    </row>
    <row r="2774" spans="1:13" ht="15" customHeight="1">
      <c r="A2774" s="142" t="s">
        <v>7413</v>
      </c>
      <c r="B2774" s="142">
        <v>513288</v>
      </c>
      <c r="C2774" s="143" t="s">
        <v>6735</v>
      </c>
      <c r="D2774" s="142" t="s">
        <v>99</v>
      </c>
      <c r="E2774" s="143" t="s">
        <v>100</v>
      </c>
      <c r="F2774" s="143" t="s">
        <v>100</v>
      </c>
      <c r="G2774" s="142" t="s">
        <v>6739</v>
      </c>
      <c r="H2774" s="142" t="s">
        <v>57</v>
      </c>
      <c r="I2774" s="143" t="s">
        <v>103</v>
      </c>
      <c r="J2774" s="143" t="s">
        <v>6741</v>
      </c>
      <c r="K2774" s="144"/>
      <c r="L2774" s="145"/>
      <c r="M2774" s="144"/>
    </row>
    <row r="2775" spans="1:13" ht="15" customHeight="1">
      <c r="A2775" s="146" t="s">
        <v>7414</v>
      </c>
      <c r="B2775" s="146">
        <v>513289</v>
      </c>
      <c r="C2775" s="147" t="s">
        <v>6735</v>
      </c>
      <c r="D2775" s="146" t="s">
        <v>99</v>
      </c>
      <c r="E2775" s="147" t="s">
        <v>100</v>
      </c>
      <c r="F2775" s="147" t="s">
        <v>100</v>
      </c>
      <c r="G2775" s="146" t="s">
        <v>6739</v>
      </c>
      <c r="H2775" s="146" t="s">
        <v>57</v>
      </c>
      <c r="I2775" s="147" t="s">
        <v>103</v>
      </c>
      <c r="J2775" s="147" t="s">
        <v>6741</v>
      </c>
      <c r="K2775" s="148"/>
      <c r="L2775" s="149"/>
      <c r="M2775" s="148"/>
    </row>
    <row r="2776" spans="1:13" ht="15" customHeight="1">
      <c r="A2776" s="142" t="s">
        <v>7415</v>
      </c>
      <c r="B2776" s="142">
        <v>512857</v>
      </c>
      <c r="C2776" s="143" t="s">
        <v>6735</v>
      </c>
      <c r="D2776" s="142" t="s">
        <v>99</v>
      </c>
      <c r="E2776" s="143" t="s">
        <v>147</v>
      </c>
      <c r="F2776" s="143" t="s">
        <v>147</v>
      </c>
      <c r="G2776" s="142" t="s">
        <v>6739</v>
      </c>
      <c r="H2776" s="142" t="s">
        <v>57</v>
      </c>
      <c r="I2776" s="143" t="s">
        <v>103</v>
      </c>
      <c r="J2776" s="143" t="s">
        <v>6741</v>
      </c>
      <c r="K2776" s="144" t="s">
        <v>121</v>
      </c>
      <c r="L2776" s="145">
        <v>46148</v>
      </c>
      <c r="M2776" s="144"/>
    </row>
    <row r="2777" spans="1:13" ht="15" customHeight="1">
      <c r="A2777" s="146" t="s">
        <v>7416</v>
      </c>
      <c r="B2777" s="146">
        <v>513537</v>
      </c>
      <c r="C2777" s="147" t="s">
        <v>6735</v>
      </c>
      <c r="D2777" s="146" t="s">
        <v>99</v>
      </c>
      <c r="E2777" s="147" t="s">
        <v>107</v>
      </c>
      <c r="F2777" s="147" t="s">
        <v>107</v>
      </c>
      <c r="G2777" s="146" t="s">
        <v>6739</v>
      </c>
      <c r="H2777" s="146" t="s">
        <v>57</v>
      </c>
      <c r="I2777" s="147" t="s">
        <v>103</v>
      </c>
      <c r="J2777" s="147" t="s">
        <v>6741</v>
      </c>
      <c r="K2777" s="148"/>
      <c r="L2777" s="149"/>
      <c r="M2777" s="148"/>
    </row>
    <row r="2778" spans="1:13" ht="15" customHeight="1">
      <c r="A2778" s="142" t="s">
        <v>7417</v>
      </c>
      <c r="B2778" s="142">
        <v>513257</v>
      </c>
      <c r="C2778" s="143" t="s">
        <v>6735</v>
      </c>
      <c r="D2778" s="142" t="s">
        <v>99</v>
      </c>
      <c r="E2778" s="143" t="s">
        <v>144</v>
      </c>
      <c r="F2778" s="143" t="s">
        <v>144</v>
      </c>
      <c r="G2778" s="142" t="s">
        <v>6739</v>
      </c>
      <c r="H2778" s="142" t="s">
        <v>57</v>
      </c>
      <c r="I2778" s="143" t="s">
        <v>103</v>
      </c>
      <c r="J2778" s="143" t="s">
        <v>6741</v>
      </c>
      <c r="K2778" s="144"/>
      <c r="L2778" s="145"/>
      <c r="M2778" s="144"/>
    </row>
    <row r="2779" spans="1:13" ht="15" customHeight="1">
      <c r="A2779" s="146" t="s">
        <v>7418</v>
      </c>
      <c r="B2779" s="146">
        <v>513465</v>
      </c>
      <c r="C2779" s="147" t="s">
        <v>6735</v>
      </c>
      <c r="D2779" s="146" t="s">
        <v>99</v>
      </c>
      <c r="E2779" s="147" t="s">
        <v>107</v>
      </c>
      <c r="F2779" s="147" t="s">
        <v>7419</v>
      </c>
      <c r="G2779" s="146" t="s">
        <v>6739</v>
      </c>
      <c r="H2779" s="146" t="s">
        <v>57</v>
      </c>
      <c r="I2779" s="147" t="s">
        <v>103</v>
      </c>
      <c r="J2779" s="147" t="s">
        <v>6741</v>
      </c>
      <c r="K2779" s="148"/>
      <c r="L2779" s="149"/>
      <c r="M2779" s="148"/>
    </row>
    <row r="2780" spans="1:13" ht="15" customHeight="1">
      <c r="A2780" s="142" t="s">
        <v>7420</v>
      </c>
      <c r="B2780" s="142">
        <v>512950</v>
      </c>
      <c r="C2780" s="143" t="s">
        <v>6735</v>
      </c>
      <c r="D2780" s="142" t="s">
        <v>99</v>
      </c>
      <c r="E2780" s="143" t="s">
        <v>100</v>
      </c>
      <c r="F2780" s="143" t="s">
        <v>100</v>
      </c>
      <c r="G2780" s="142" t="s">
        <v>6739</v>
      </c>
      <c r="H2780" s="142" t="s">
        <v>57</v>
      </c>
      <c r="I2780" s="143" t="s">
        <v>103</v>
      </c>
      <c r="J2780" s="143" t="s">
        <v>6741</v>
      </c>
      <c r="K2780" s="144"/>
      <c r="L2780" s="145"/>
      <c r="M2780" s="144"/>
    </row>
    <row r="2781" spans="1:13" ht="15" customHeight="1">
      <c r="A2781" s="146" t="s">
        <v>7421</v>
      </c>
      <c r="B2781" s="146">
        <v>513480</v>
      </c>
      <c r="C2781" s="147" t="s">
        <v>6735</v>
      </c>
      <c r="D2781" s="146" t="s">
        <v>99</v>
      </c>
      <c r="E2781" s="147" t="s">
        <v>107</v>
      </c>
      <c r="F2781" s="147" t="s">
        <v>107</v>
      </c>
      <c r="G2781" s="146" t="s">
        <v>6739</v>
      </c>
      <c r="H2781" s="146" t="s">
        <v>57</v>
      </c>
      <c r="I2781" s="147" t="s">
        <v>103</v>
      </c>
      <c r="J2781" s="147" t="s">
        <v>6741</v>
      </c>
      <c r="K2781" s="148"/>
      <c r="L2781" s="149"/>
      <c r="M2781" s="148"/>
    </row>
    <row r="2782" spans="1:13" ht="15" customHeight="1">
      <c r="A2782" s="142" t="s">
        <v>7422</v>
      </c>
      <c r="B2782" s="142">
        <v>513519</v>
      </c>
      <c r="C2782" s="143" t="s">
        <v>6735</v>
      </c>
      <c r="D2782" s="142" t="s">
        <v>99</v>
      </c>
      <c r="E2782" s="143" t="s">
        <v>230</v>
      </c>
      <c r="F2782" s="143" t="s">
        <v>1086</v>
      </c>
      <c r="G2782" s="142" t="s">
        <v>6739</v>
      </c>
      <c r="H2782" s="142" t="s">
        <v>57</v>
      </c>
      <c r="I2782" s="143" t="s">
        <v>103</v>
      </c>
      <c r="J2782" s="143" t="s">
        <v>6741</v>
      </c>
      <c r="K2782" s="144"/>
      <c r="L2782" s="145"/>
      <c r="M2782" s="144"/>
    </row>
    <row r="2783" spans="1:13" ht="15" customHeight="1">
      <c r="A2783" s="146" t="s">
        <v>7423</v>
      </c>
      <c r="B2783" s="146">
        <v>513436</v>
      </c>
      <c r="C2783" s="147" t="s">
        <v>6735</v>
      </c>
      <c r="D2783" s="146" t="s">
        <v>99</v>
      </c>
      <c r="E2783" s="147" t="s">
        <v>147</v>
      </c>
      <c r="F2783" s="147" t="s">
        <v>147</v>
      </c>
      <c r="G2783" s="146" t="s">
        <v>6739</v>
      </c>
      <c r="H2783" s="146" t="s">
        <v>57</v>
      </c>
      <c r="I2783" s="147" t="s">
        <v>103</v>
      </c>
      <c r="J2783" s="147" t="s">
        <v>6741</v>
      </c>
      <c r="K2783" s="148" t="s">
        <v>9</v>
      </c>
      <c r="L2783" s="149">
        <v>46141</v>
      </c>
      <c r="M2783" s="148"/>
    </row>
    <row r="2784" spans="1:13" ht="15" customHeight="1">
      <c r="A2784" s="142" t="s">
        <v>7424</v>
      </c>
      <c r="B2784" s="142">
        <v>513290</v>
      </c>
      <c r="C2784" s="143" t="s">
        <v>6735</v>
      </c>
      <c r="D2784" s="142" t="s">
        <v>99</v>
      </c>
      <c r="E2784" s="143" t="s">
        <v>100</v>
      </c>
      <c r="F2784" s="143" t="s">
        <v>100</v>
      </c>
      <c r="G2784" s="142" t="s">
        <v>6739</v>
      </c>
      <c r="H2784" s="142" t="s">
        <v>57</v>
      </c>
      <c r="I2784" s="143" t="s">
        <v>103</v>
      </c>
      <c r="J2784" s="143" t="s">
        <v>6741</v>
      </c>
      <c r="K2784" s="144"/>
      <c r="L2784" s="145"/>
      <c r="M2784" s="144"/>
    </row>
    <row r="2785" spans="1:13" ht="15" customHeight="1">
      <c r="A2785" s="146" t="s">
        <v>7425</v>
      </c>
      <c r="B2785" s="146">
        <v>513291</v>
      </c>
      <c r="C2785" s="147" t="s">
        <v>6735</v>
      </c>
      <c r="D2785" s="146" t="s">
        <v>99</v>
      </c>
      <c r="E2785" s="147" t="s">
        <v>100</v>
      </c>
      <c r="F2785" s="147" t="s">
        <v>100</v>
      </c>
      <c r="G2785" s="146" t="s">
        <v>6739</v>
      </c>
      <c r="H2785" s="146" t="s">
        <v>57</v>
      </c>
      <c r="I2785" s="147" t="s">
        <v>103</v>
      </c>
      <c r="J2785" s="147" t="s">
        <v>6741</v>
      </c>
      <c r="K2785" s="148"/>
      <c r="L2785" s="149"/>
      <c r="M2785" s="148"/>
    </row>
    <row r="2786" spans="1:13" ht="15" customHeight="1">
      <c r="A2786" s="142" t="s">
        <v>7426</v>
      </c>
      <c r="B2786" s="142">
        <v>513292</v>
      </c>
      <c r="C2786" s="143" t="s">
        <v>6735</v>
      </c>
      <c r="D2786" s="142" t="s">
        <v>99</v>
      </c>
      <c r="E2786" s="143" t="s">
        <v>100</v>
      </c>
      <c r="F2786" s="143" t="s">
        <v>100</v>
      </c>
      <c r="G2786" s="142" t="s">
        <v>6739</v>
      </c>
      <c r="H2786" s="142" t="s">
        <v>57</v>
      </c>
      <c r="I2786" s="143" t="s">
        <v>103</v>
      </c>
      <c r="J2786" s="143" t="s">
        <v>6741</v>
      </c>
      <c r="K2786" s="144"/>
      <c r="L2786" s="145"/>
      <c r="M2786" s="144"/>
    </row>
    <row r="2787" spans="1:13" ht="15" customHeight="1">
      <c r="A2787" s="146" t="s">
        <v>7427</v>
      </c>
      <c r="B2787" s="146">
        <v>513293</v>
      </c>
      <c r="C2787" s="147" t="s">
        <v>6735</v>
      </c>
      <c r="D2787" s="146" t="s">
        <v>99</v>
      </c>
      <c r="E2787" s="147" t="s">
        <v>100</v>
      </c>
      <c r="F2787" s="147" t="s">
        <v>100</v>
      </c>
      <c r="G2787" s="146" t="s">
        <v>6739</v>
      </c>
      <c r="H2787" s="146" t="s">
        <v>57</v>
      </c>
      <c r="I2787" s="147" t="s">
        <v>103</v>
      </c>
      <c r="J2787" s="147" t="s">
        <v>6741</v>
      </c>
      <c r="K2787" s="148"/>
      <c r="L2787" s="149"/>
      <c r="M2787" s="148"/>
    </row>
    <row r="2788" spans="1:13" ht="15" customHeight="1">
      <c r="A2788" s="142" t="s">
        <v>7428</v>
      </c>
      <c r="B2788" s="142">
        <v>513294</v>
      </c>
      <c r="C2788" s="143" t="s">
        <v>6735</v>
      </c>
      <c r="D2788" s="142" t="s">
        <v>99</v>
      </c>
      <c r="E2788" s="143" t="s">
        <v>100</v>
      </c>
      <c r="F2788" s="143" t="s">
        <v>100</v>
      </c>
      <c r="G2788" s="142" t="s">
        <v>6739</v>
      </c>
      <c r="H2788" s="142" t="s">
        <v>57</v>
      </c>
      <c r="I2788" s="143" t="s">
        <v>103</v>
      </c>
      <c r="J2788" s="143" t="s">
        <v>6741</v>
      </c>
      <c r="K2788" s="144"/>
      <c r="L2788" s="145"/>
      <c r="M2788" s="144"/>
    </row>
    <row r="2789" spans="1:13" ht="15" customHeight="1">
      <c r="A2789" s="146" t="s">
        <v>7429</v>
      </c>
      <c r="B2789" s="146">
        <v>512957</v>
      </c>
      <c r="C2789" s="147" t="s">
        <v>6735</v>
      </c>
      <c r="D2789" s="146" t="s">
        <v>99</v>
      </c>
      <c r="E2789" s="147" t="s">
        <v>100</v>
      </c>
      <c r="F2789" s="147" t="s">
        <v>100</v>
      </c>
      <c r="G2789" s="146" t="s">
        <v>6739</v>
      </c>
      <c r="H2789" s="146" t="s">
        <v>57</v>
      </c>
      <c r="I2789" s="147" t="s">
        <v>103</v>
      </c>
      <c r="J2789" s="147" t="s">
        <v>6741</v>
      </c>
      <c r="K2789" s="148"/>
      <c r="L2789" s="149"/>
      <c r="M2789" s="148"/>
    </row>
    <row r="2790" spans="1:13" ht="15" customHeight="1">
      <c r="A2790" s="142" t="s">
        <v>7430</v>
      </c>
      <c r="B2790" s="142">
        <v>513459</v>
      </c>
      <c r="C2790" s="143" t="s">
        <v>6735</v>
      </c>
      <c r="D2790" s="142" t="s">
        <v>99</v>
      </c>
      <c r="E2790" s="143" t="s">
        <v>147</v>
      </c>
      <c r="F2790" s="143" t="s">
        <v>147</v>
      </c>
      <c r="G2790" s="142" t="s">
        <v>6739</v>
      </c>
      <c r="H2790" s="142" t="s">
        <v>57</v>
      </c>
      <c r="I2790" s="143" t="s">
        <v>103</v>
      </c>
      <c r="J2790" s="143" t="s">
        <v>6741</v>
      </c>
      <c r="K2790" s="144"/>
      <c r="L2790" s="145"/>
      <c r="M2790" s="144"/>
    </row>
    <row r="2791" spans="1:13" ht="15" customHeight="1">
      <c r="A2791" s="146" t="s">
        <v>7431</v>
      </c>
      <c r="B2791" s="146">
        <v>513500</v>
      </c>
      <c r="C2791" s="147" t="s">
        <v>6735</v>
      </c>
      <c r="D2791" s="146" t="s">
        <v>99</v>
      </c>
      <c r="E2791" s="147" t="s">
        <v>124</v>
      </c>
      <c r="F2791" s="147" t="s">
        <v>124</v>
      </c>
      <c r="G2791" s="146" t="s">
        <v>6739</v>
      </c>
      <c r="H2791" s="146" t="s">
        <v>57</v>
      </c>
      <c r="I2791" s="147" t="s">
        <v>103</v>
      </c>
      <c r="J2791" s="147" t="s">
        <v>6741</v>
      </c>
      <c r="K2791" s="148"/>
      <c r="L2791" s="149"/>
      <c r="M2791" s="148"/>
    </row>
    <row r="2792" spans="1:13" ht="15" customHeight="1">
      <c r="A2792" s="142" t="s">
        <v>7432</v>
      </c>
      <c r="B2792" s="142">
        <v>513295</v>
      </c>
      <c r="C2792" s="143" t="s">
        <v>6735</v>
      </c>
      <c r="D2792" s="142" t="s">
        <v>99</v>
      </c>
      <c r="E2792" s="143" t="s">
        <v>100</v>
      </c>
      <c r="F2792" s="143" t="s">
        <v>100</v>
      </c>
      <c r="G2792" s="142" t="s">
        <v>6739</v>
      </c>
      <c r="H2792" s="142" t="s">
        <v>57</v>
      </c>
      <c r="I2792" s="143" t="s">
        <v>103</v>
      </c>
      <c r="J2792" s="143" t="s">
        <v>6741</v>
      </c>
      <c r="K2792" s="144"/>
      <c r="L2792" s="145"/>
      <c r="M2792" s="144"/>
    </row>
    <row r="2793" spans="1:13" ht="15" customHeight="1">
      <c r="A2793" s="146" t="s">
        <v>7433</v>
      </c>
      <c r="B2793" s="146">
        <v>512879</v>
      </c>
      <c r="C2793" s="147" t="s">
        <v>7434</v>
      </c>
      <c r="D2793" s="146" t="s">
        <v>99</v>
      </c>
      <c r="E2793" s="147" t="s">
        <v>100</v>
      </c>
      <c r="F2793" s="147" t="s">
        <v>100</v>
      </c>
      <c r="G2793" s="146" t="s">
        <v>102</v>
      </c>
      <c r="H2793" s="146" t="s">
        <v>57</v>
      </c>
      <c r="I2793" s="147" t="s">
        <v>103</v>
      </c>
      <c r="J2793" s="147" t="s">
        <v>6741</v>
      </c>
      <c r="K2793" s="148"/>
      <c r="L2793" s="149"/>
      <c r="M2793" s="148"/>
    </row>
    <row r="2794" spans="1:13" ht="15" customHeight="1">
      <c r="A2794" s="142" t="s">
        <v>7435</v>
      </c>
      <c r="B2794" s="142">
        <v>513522</v>
      </c>
      <c r="C2794" s="143" t="s">
        <v>6735</v>
      </c>
      <c r="D2794" s="142" t="s">
        <v>99</v>
      </c>
      <c r="E2794" s="143" t="s">
        <v>144</v>
      </c>
      <c r="F2794" s="143" t="s">
        <v>144</v>
      </c>
      <c r="G2794" s="142" t="s">
        <v>6739</v>
      </c>
      <c r="H2794" s="142" t="s">
        <v>57</v>
      </c>
      <c r="I2794" s="143" t="s">
        <v>103</v>
      </c>
      <c r="J2794" s="143" t="s">
        <v>6741</v>
      </c>
      <c r="K2794" s="144"/>
      <c r="L2794" s="145"/>
      <c r="M2794" s="144"/>
    </row>
    <row r="2795" spans="1:13" ht="15" customHeight="1">
      <c r="A2795" s="146" t="s">
        <v>7436</v>
      </c>
      <c r="B2795" s="146">
        <v>513015</v>
      </c>
      <c r="C2795" s="147" t="s">
        <v>6735</v>
      </c>
      <c r="D2795" s="146" t="s">
        <v>99</v>
      </c>
      <c r="E2795" s="147" t="s">
        <v>100</v>
      </c>
      <c r="F2795" s="147" t="s">
        <v>100</v>
      </c>
      <c r="G2795" s="146" t="s">
        <v>6739</v>
      </c>
      <c r="H2795" s="146" t="s">
        <v>57</v>
      </c>
      <c r="I2795" s="147" t="s">
        <v>103</v>
      </c>
      <c r="J2795" s="147" t="s">
        <v>6741</v>
      </c>
      <c r="K2795" s="148"/>
      <c r="L2795" s="149"/>
      <c r="M2795" s="148"/>
    </row>
    <row r="2796" spans="1:13" ht="15" customHeight="1">
      <c r="A2796" s="142" t="s">
        <v>7437</v>
      </c>
      <c r="B2796" s="142">
        <v>513460</v>
      </c>
      <c r="C2796" s="143" t="s">
        <v>6735</v>
      </c>
      <c r="D2796" s="142" t="s">
        <v>99</v>
      </c>
      <c r="E2796" s="143" t="s">
        <v>147</v>
      </c>
      <c r="F2796" s="143" t="s">
        <v>147</v>
      </c>
      <c r="G2796" s="142" t="s">
        <v>6739</v>
      </c>
      <c r="H2796" s="142" t="s">
        <v>57</v>
      </c>
      <c r="I2796" s="143" t="s">
        <v>103</v>
      </c>
      <c r="J2796" s="143" t="s">
        <v>6741</v>
      </c>
      <c r="K2796" s="144"/>
      <c r="L2796" s="145"/>
      <c r="M2796" s="144"/>
    </row>
    <row r="2797" spans="1:13" ht="15" customHeight="1">
      <c r="A2797" s="146" t="s">
        <v>7438</v>
      </c>
      <c r="B2797" s="146">
        <v>512941</v>
      </c>
      <c r="C2797" s="147" t="s">
        <v>6735</v>
      </c>
      <c r="D2797" s="146" t="s">
        <v>99</v>
      </c>
      <c r="E2797" s="147" t="s">
        <v>100</v>
      </c>
      <c r="F2797" s="147" t="s">
        <v>100</v>
      </c>
      <c r="G2797" s="146" t="s">
        <v>6739</v>
      </c>
      <c r="H2797" s="146" t="s">
        <v>57</v>
      </c>
      <c r="I2797" s="147" t="s">
        <v>103</v>
      </c>
      <c r="J2797" s="147" t="s">
        <v>6741</v>
      </c>
      <c r="K2797" s="148"/>
      <c r="L2797" s="149"/>
      <c r="M2797" s="148"/>
    </row>
    <row r="2798" spans="1:13" ht="15" customHeight="1">
      <c r="A2798" s="142" t="s">
        <v>7439</v>
      </c>
      <c r="B2798" s="142">
        <v>517299</v>
      </c>
      <c r="C2798" s="143" t="s">
        <v>6735</v>
      </c>
      <c r="D2798" s="142" t="s">
        <v>323</v>
      </c>
      <c r="E2798" s="143" t="s">
        <v>338</v>
      </c>
      <c r="F2798" s="143" t="s">
        <v>962</v>
      </c>
      <c r="G2798" s="142" t="s">
        <v>6739</v>
      </c>
      <c r="H2798" s="142" t="s">
        <v>57</v>
      </c>
      <c r="I2798" s="143" t="s">
        <v>103</v>
      </c>
      <c r="J2798" s="143" t="s">
        <v>6741</v>
      </c>
      <c r="K2798" s="144"/>
      <c r="L2798" s="145"/>
      <c r="M2798" s="144"/>
    </row>
    <row r="2799" spans="1:13" ht="15" customHeight="1">
      <c r="A2799" s="146" t="s">
        <v>7440</v>
      </c>
      <c r="B2799" s="146">
        <v>516924</v>
      </c>
      <c r="C2799" s="147" t="s">
        <v>6735</v>
      </c>
      <c r="D2799" s="146" t="s">
        <v>323</v>
      </c>
      <c r="E2799" s="147" t="s">
        <v>324</v>
      </c>
      <c r="F2799" s="147" t="s">
        <v>324</v>
      </c>
      <c r="G2799" s="146" t="s">
        <v>6739</v>
      </c>
      <c r="H2799" s="146" t="s">
        <v>57</v>
      </c>
      <c r="I2799" s="147" t="s">
        <v>103</v>
      </c>
      <c r="J2799" s="147" t="s">
        <v>6741</v>
      </c>
      <c r="K2799" s="148" t="s">
        <v>121</v>
      </c>
      <c r="L2799" s="149">
        <v>46148</v>
      </c>
      <c r="M2799" s="148"/>
    </row>
    <row r="2800" spans="1:13" ht="15" customHeight="1">
      <c r="A2800" s="142" t="s">
        <v>7441</v>
      </c>
      <c r="B2800" s="142">
        <v>517331</v>
      </c>
      <c r="C2800" s="143" t="s">
        <v>6735</v>
      </c>
      <c r="D2800" s="142" t="s">
        <v>323</v>
      </c>
      <c r="E2800" s="143" t="s">
        <v>324</v>
      </c>
      <c r="F2800" s="143" t="s">
        <v>324</v>
      </c>
      <c r="G2800" s="142" t="s">
        <v>6739</v>
      </c>
      <c r="H2800" s="142" t="s">
        <v>57</v>
      </c>
      <c r="I2800" s="143" t="s">
        <v>103</v>
      </c>
      <c r="J2800" s="143" t="s">
        <v>6741</v>
      </c>
      <c r="K2800" s="144"/>
      <c r="L2800" s="145"/>
      <c r="M2800" s="144"/>
    </row>
    <row r="2801" spans="1:13" ht="15" customHeight="1">
      <c r="A2801" s="146" t="s">
        <v>7442</v>
      </c>
      <c r="B2801" s="146">
        <v>516907</v>
      </c>
      <c r="C2801" s="147" t="s">
        <v>6735</v>
      </c>
      <c r="D2801" s="146" t="s">
        <v>323</v>
      </c>
      <c r="E2801" s="147" t="s">
        <v>324</v>
      </c>
      <c r="F2801" s="147" t="s">
        <v>324</v>
      </c>
      <c r="G2801" s="146" t="s">
        <v>6739</v>
      </c>
      <c r="H2801" s="146" t="s">
        <v>57</v>
      </c>
      <c r="I2801" s="147" t="s">
        <v>103</v>
      </c>
      <c r="J2801" s="147" t="s">
        <v>6741</v>
      </c>
      <c r="K2801" s="148"/>
      <c r="L2801" s="149"/>
      <c r="M2801" s="148"/>
    </row>
    <row r="2802" spans="1:13" ht="15" customHeight="1">
      <c r="A2802" s="142" t="s">
        <v>7443</v>
      </c>
      <c r="B2802" s="142">
        <v>517399</v>
      </c>
      <c r="C2802" s="143" t="s">
        <v>6735</v>
      </c>
      <c r="D2802" s="142" t="s">
        <v>323</v>
      </c>
      <c r="E2802" s="143" t="s">
        <v>324</v>
      </c>
      <c r="F2802" s="143" t="s">
        <v>324</v>
      </c>
      <c r="G2802" s="142" t="s">
        <v>6739</v>
      </c>
      <c r="H2802" s="142" t="s">
        <v>57</v>
      </c>
      <c r="I2802" s="143" t="s">
        <v>103</v>
      </c>
      <c r="J2802" s="143" t="s">
        <v>6741</v>
      </c>
      <c r="K2802" s="144"/>
      <c r="L2802" s="145"/>
      <c r="M2802" s="144"/>
    </row>
    <row r="2803" spans="1:13" ht="15" customHeight="1">
      <c r="A2803" s="146" t="s">
        <v>7444</v>
      </c>
      <c r="B2803" s="146">
        <v>516928</v>
      </c>
      <c r="C2803" s="147" t="s">
        <v>6735</v>
      </c>
      <c r="D2803" s="146" t="s">
        <v>323</v>
      </c>
      <c r="E2803" s="147" t="s">
        <v>324</v>
      </c>
      <c r="F2803" s="147" t="s">
        <v>324</v>
      </c>
      <c r="G2803" s="146" t="s">
        <v>6739</v>
      </c>
      <c r="H2803" s="146" t="s">
        <v>57</v>
      </c>
      <c r="I2803" s="147" t="s">
        <v>103</v>
      </c>
      <c r="J2803" s="147" t="s">
        <v>6741</v>
      </c>
      <c r="K2803" s="148"/>
      <c r="L2803" s="149"/>
      <c r="M2803" s="148"/>
    </row>
    <row r="2804" spans="1:13" ht="15" customHeight="1">
      <c r="A2804" s="142" t="s">
        <v>7445</v>
      </c>
      <c r="B2804" s="142">
        <v>516859</v>
      </c>
      <c r="C2804" s="143" t="s">
        <v>6735</v>
      </c>
      <c r="D2804" s="142" t="s">
        <v>323</v>
      </c>
      <c r="E2804" s="143" t="s">
        <v>324</v>
      </c>
      <c r="F2804" s="143" t="s">
        <v>7446</v>
      </c>
      <c r="G2804" s="142" t="s">
        <v>6739</v>
      </c>
      <c r="H2804" s="142" t="s">
        <v>57</v>
      </c>
      <c r="I2804" s="143" t="s">
        <v>103</v>
      </c>
      <c r="J2804" s="143" t="s">
        <v>6741</v>
      </c>
      <c r="K2804" s="144"/>
      <c r="L2804" s="145"/>
      <c r="M2804" s="144"/>
    </row>
    <row r="2805" spans="1:13" ht="15" customHeight="1">
      <c r="A2805" s="146" t="s">
        <v>7447</v>
      </c>
      <c r="B2805" s="146">
        <v>516795</v>
      </c>
      <c r="C2805" s="147" t="s">
        <v>6735</v>
      </c>
      <c r="D2805" s="146" t="s">
        <v>323</v>
      </c>
      <c r="E2805" s="147" t="s">
        <v>324</v>
      </c>
      <c r="F2805" s="147" t="s">
        <v>352</v>
      </c>
      <c r="G2805" s="146" t="s">
        <v>6739</v>
      </c>
      <c r="H2805" s="146" t="s">
        <v>57</v>
      </c>
      <c r="I2805" s="147" t="s">
        <v>103</v>
      </c>
      <c r="J2805" s="147" t="s">
        <v>6741</v>
      </c>
      <c r="K2805" s="148"/>
      <c r="L2805" s="149"/>
      <c r="M2805" s="148"/>
    </row>
    <row r="2806" spans="1:13" ht="15" customHeight="1">
      <c r="A2806" s="142" t="s">
        <v>7448</v>
      </c>
      <c r="B2806" s="142">
        <v>517547</v>
      </c>
      <c r="C2806" s="143" t="s">
        <v>6735</v>
      </c>
      <c r="D2806" s="142" t="s">
        <v>323</v>
      </c>
      <c r="E2806" s="143" t="s">
        <v>324</v>
      </c>
      <c r="F2806" s="143" t="s">
        <v>324</v>
      </c>
      <c r="G2806" s="142" t="s">
        <v>6739</v>
      </c>
      <c r="H2806" s="142" t="s">
        <v>57</v>
      </c>
      <c r="I2806" s="143" t="s">
        <v>103</v>
      </c>
      <c r="J2806" s="143" t="s">
        <v>6741</v>
      </c>
      <c r="K2806" s="144"/>
      <c r="L2806" s="145"/>
      <c r="M2806" s="144"/>
    </row>
    <row r="2807" spans="1:13" ht="15" customHeight="1">
      <c r="A2807" s="146" t="s">
        <v>7449</v>
      </c>
      <c r="B2807" s="146">
        <v>516997</v>
      </c>
      <c r="C2807" s="147" t="s">
        <v>6735</v>
      </c>
      <c r="D2807" s="146" t="s">
        <v>323</v>
      </c>
      <c r="E2807" s="147" t="s">
        <v>345</v>
      </c>
      <c r="F2807" s="147" t="s">
        <v>349</v>
      </c>
      <c r="G2807" s="146" t="s">
        <v>6739</v>
      </c>
      <c r="H2807" s="146" t="s">
        <v>57</v>
      </c>
      <c r="I2807" s="147" t="s">
        <v>103</v>
      </c>
      <c r="J2807" s="147" t="s">
        <v>6741</v>
      </c>
      <c r="K2807" s="148"/>
      <c r="L2807" s="149"/>
      <c r="M2807" s="148"/>
    </row>
    <row r="2808" spans="1:13" ht="15" customHeight="1">
      <c r="A2808" s="142" t="s">
        <v>7450</v>
      </c>
      <c r="B2808" s="142">
        <v>517725</v>
      </c>
      <c r="C2808" s="143" t="s">
        <v>6735</v>
      </c>
      <c r="D2808" s="142" t="s">
        <v>323</v>
      </c>
      <c r="E2808" s="143" t="s">
        <v>345</v>
      </c>
      <c r="F2808" s="143" t="s">
        <v>349</v>
      </c>
      <c r="G2808" s="142" t="s">
        <v>6739</v>
      </c>
      <c r="H2808" s="142" t="s">
        <v>57</v>
      </c>
      <c r="I2808" s="143" t="s">
        <v>103</v>
      </c>
      <c r="J2808" s="143" t="s">
        <v>6741</v>
      </c>
      <c r="K2808" s="144" t="s">
        <v>162</v>
      </c>
      <c r="L2808" s="145">
        <v>46146</v>
      </c>
      <c r="M2808" s="144" t="s">
        <v>7451</v>
      </c>
    </row>
    <row r="2809" spans="1:13" ht="15" customHeight="1">
      <c r="A2809" s="146" t="s">
        <v>7452</v>
      </c>
      <c r="B2809" s="146">
        <v>516801</v>
      </c>
      <c r="C2809" s="147" t="s">
        <v>6735</v>
      </c>
      <c r="D2809" s="146" t="s">
        <v>323</v>
      </c>
      <c r="E2809" s="147" t="s">
        <v>345</v>
      </c>
      <c r="F2809" s="147" t="s">
        <v>346</v>
      </c>
      <c r="G2809" s="146" t="s">
        <v>6739</v>
      </c>
      <c r="H2809" s="146" t="s">
        <v>57</v>
      </c>
      <c r="I2809" s="147" t="s">
        <v>103</v>
      </c>
      <c r="J2809" s="147" t="s">
        <v>6741</v>
      </c>
      <c r="K2809" s="148"/>
      <c r="L2809" s="149"/>
      <c r="M2809" s="148"/>
    </row>
    <row r="2810" spans="1:13" ht="15" customHeight="1">
      <c r="A2810" s="142" t="s">
        <v>7453</v>
      </c>
      <c r="B2810" s="142">
        <v>517191</v>
      </c>
      <c r="C2810" s="143" t="s">
        <v>6735</v>
      </c>
      <c r="D2810" s="142" t="s">
        <v>323</v>
      </c>
      <c r="E2810" s="143" t="s">
        <v>345</v>
      </c>
      <c r="F2810" s="143" t="s">
        <v>349</v>
      </c>
      <c r="G2810" s="142" t="s">
        <v>6739</v>
      </c>
      <c r="H2810" s="142" t="s">
        <v>57</v>
      </c>
      <c r="I2810" s="143" t="s">
        <v>103</v>
      </c>
      <c r="J2810" s="143" t="s">
        <v>6741</v>
      </c>
      <c r="K2810" s="144" t="s">
        <v>121</v>
      </c>
      <c r="L2810" s="145">
        <v>46148</v>
      </c>
      <c r="M2810" s="144"/>
    </row>
    <row r="2811" spans="1:13" ht="15" customHeight="1">
      <c r="A2811" s="146" t="s">
        <v>7454</v>
      </c>
      <c r="B2811" s="146">
        <v>517151</v>
      </c>
      <c r="C2811" s="147" t="s">
        <v>6735</v>
      </c>
      <c r="D2811" s="146" t="s">
        <v>323</v>
      </c>
      <c r="E2811" s="147" t="s">
        <v>345</v>
      </c>
      <c r="F2811" s="147" t="s">
        <v>349</v>
      </c>
      <c r="G2811" s="146" t="s">
        <v>6739</v>
      </c>
      <c r="H2811" s="146" t="s">
        <v>57</v>
      </c>
      <c r="I2811" s="147" t="s">
        <v>103</v>
      </c>
      <c r="J2811" s="147" t="s">
        <v>6741</v>
      </c>
      <c r="K2811" s="148"/>
      <c r="L2811" s="149"/>
      <c r="M2811" s="148"/>
    </row>
    <row r="2812" spans="1:13" ht="15" customHeight="1">
      <c r="A2812" s="142" t="s">
        <v>7455</v>
      </c>
      <c r="B2812" s="142">
        <v>516931</v>
      </c>
      <c r="C2812" s="143" t="s">
        <v>6735</v>
      </c>
      <c r="D2812" s="142" t="s">
        <v>323</v>
      </c>
      <c r="E2812" s="143" t="s">
        <v>345</v>
      </c>
      <c r="F2812" s="143" t="s">
        <v>349</v>
      </c>
      <c r="G2812" s="142" t="s">
        <v>6739</v>
      </c>
      <c r="H2812" s="142" t="s">
        <v>57</v>
      </c>
      <c r="I2812" s="143" t="s">
        <v>103</v>
      </c>
      <c r="J2812" s="143" t="s">
        <v>6741</v>
      </c>
      <c r="K2812" s="144"/>
      <c r="L2812" s="145"/>
      <c r="M2812" s="144"/>
    </row>
    <row r="2813" spans="1:13" ht="15" customHeight="1">
      <c r="A2813" s="146" t="s">
        <v>7456</v>
      </c>
      <c r="B2813" s="146">
        <v>517201</v>
      </c>
      <c r="C2813" s="147" t="s">
        <v>6735</v>
      </c>
      <c r="D2813" s="146" t="s">
        <v>323</v>
      </c>
      <c r="E2813" s="147" t="s">
        <v>345</v>
      </c>
      <c r="F2813" s="147" t="s">
        <v>346</v>
      </c>
      <c r="G2813" s="146" t="s">
        <v>6739</v>
      </c>
      <c r="H2813" s="146" t="s">
        <v>57</v>
      </c>
      <c r="I2813" s="147" t="s">
        <v>103</v>
      </c>
      <c r="J2813" s="147" t="s">
        <v>6741</v>
      </c>
      <c r="K2813" s="148"/>
      <c r="L2813" s="149"/>
      <c r="M2813" s="148"/>
    </row>
    <row r="2814" spans="1:13" ht="15" customHeight="1">
      <c r="A2814" s="142" t="s">
        <v>7457</v>
      </c>
      <c r="B2814" s="142">
        <v>517761</v>
      </c>
      <c r="C2814" s="143" t="s">
        <v>6735</v>
      </c>
      <c r="D2814" s="142" t="s">
        <v>323</v>
      </c>
      <c r="E2814" s="143" t="s">
        <v>345</v>
      </c>
      <c r="F2814" s="143" t="s">
        <v>349</v>
      </c>
      <c r="G2814" s="142" t="s">
        <v>6739</v>
      </c>
      <c r="H2814" s="142" t="s">
        <v>57</v>
      </c>
      <c r="I2814" s="143" t="s">
        <v>103</v>
      </c>
      <c r="J2814" s="143" t="s">
        <v>6741</v>
      </c>
      <c r="K2814" s="144" t="s">
        <v>162</v>
      </c>
      <c r="L2814" s="145">
        <v>46146</v>
      </c>
      <c r="M2814" s="144" t="s">
        <v>278</v>
      </c>
    </row>
    <row r="2815" spans="1:13" ht="15" customHeight="1">
      <c r="A2815" s="146" t="s">
        <v>7458</v>
      </c>
      <c r="B2815" s="146">
        <v>516929</v>
      </c>
      <c r="C2815" s="147" t="s">
        <v>6735</v>
      </c>
      <c r="D2815" s="146" t="s">
        <v>323</v>
      </c>
      <c r="E2815" s="147" t="s">
        <v>324</v>
      </c>
      <c r="F2815" s="147" t="s">
        <v>324</v>
      </c>
      <c r="G2815" s="146" t="s">
        <v>6739</v>
      </c>
      <c r="H2815" s="146" t="s">
        <v>57</v>
      </c>
      <c r="I2815" s="147" t="s">
        <v>103</v>
      </c>
      <c r="J2815" s="147" t="s">
        <v>6741</v>
      </c>
      <c r="K2815" s="148"/>
      <c r="L2815" s="149"/>
      <c r="M2815" s="148"/>
    </row>
    <row r="2816" spans="1:13" ht="15" customHeight="1">
      <c r="A2816" s="142" t="s">
        <v>7459</v>
      </c>
      <c r="B2816" s="142">
        <v>517378</v>
      </c>
      <c r="C2816" s="143" t="s">
        <v>6735</v>
      </c>
      <c r="D2816" s="142" t="s">
        <v>323</v>
      </c>
      <c r="E2816" s="143" t="s">
        <v>376</v>
      </c>
      <c r="F2816" s="143" t="s">
        <v>376</v>
      </c>
      <c r="G2816" s="142" t="s">
        <v>6739</v>
      </c>
      <c r="H2816" s="142" t="s">
        <v>57</v>
      </c>
      <c r="I2816" s="143" t="s">
        <v>103</v>
      </c>
      <c r="J2816" s="143" t="s">
        <v>6741</v>
      </c>
      <c r="K2816" s="144"/>
      <c r="L2816" s="145"/>
      <c r="M2816" s="144"/>
    </row>
    <row r="2817" spans="1:13" ht="15" customHeight="1">
      <c r="A2817" s="146" t="s">
        <v>7460</v>
      </c>
      <c r="B2817" s="146">
        <v>516799</v>
      </c>
      <c r="C2817" s="147" t="s">
        <v>6735</v>
      </c>
      <c r="D2817" s="146" t="s">
        <v>323</v>
      </c>
      <c r="E2817" s="147" t="s">
        <v>345</v>
      </c>
      <c r="F2817" s="147" t="s">
        <v>346</v>
      </c>
      <c r="G2817" s="146" t="s">
        <v>6739</v>
      </c>
      <c r="H2817" s="146" t="s">
        <v>57</v>
      </c>
      <c r="I2817" s="147" t="s">
        <v>103</v>
      </c>
      <c r="J2817" s="147" t="s">
        <v>6741</v>
      </c>
      <c r="K2817" s="148"/>
      <c r="L2817" s="149"/>
      <c r="M2817" s="148"/>
    </row>
    <row r="2818" spans="1:13" ht="15" customHeight="1">
      <c r="A2818" s="142" t="s">
        <v>7461</v>
      </c>
      <c r="B2818" s="142">
        <v>516925</v>
      </c>
      <c r="C2818" s="143" t="s">
        <v>6735</v>
      </c>
      <c r="D2818" s="142" t="s">
        <v>323</v>
      </c>
      <c r="E2818" s="143" t="s">
        <v>324</v>
      </c>
      <c r="F2818" s="143" t="s">
        <v>324</v>
      </c>
      <c r="G2818" s="142" t="s">
        <v>6739</v>
      </c>
      <c r="H2818" s="142" t="s">
        <v>57</v>
      </c>
      <c r="I2818" s="143" t="s">
        <v>103</v>
      </c>
      <c r="J2818" s="143" t="s">
        <v>6741</v>
      </c>
      <c r="K2818" s="144" t="s">
        <v>121</v>
      </c>
      <c r="L2818" s="145">
        <v>46148</v>
      </c>
      <c r="M2818" s="144"/>
    </row>
    <row r="2819" spans="1:13" ht="15" customHeight="1">
      <c r="A2819" s="146" t="s">
        <v>7462</v>
      </c>
      <c r="B2819" s="146">
        <v>517379</v>
      </c>
      <c r="C2819" s="147" t="s">
        <v>6735</v>
      </c>
      <c r="D2819" s="146" t="s">
        <v>323</v>
      </c>
      <c r="E2819" s="147" t="s">
        <v>376</v>
      </c>
      <c r="F2819" s="147" t="s">
        <v>376</v>
      </c>
      <c r="G2819" s="146" t="s">
        <v>6739</v>
      </c>
      <c r="H2819" s="146" t="s">
        <v>57</v>
      </c>
      <c r="I2819" s="147" t="s">
        <v>103</v>
      </c>
      <c r="J2819" s="147" t="s">
        <v>6741</v>
      </c>
      <c r="K2819" s="148"/>
      <c r="L2819" s="149"/>
      <c r="M2819" s="148"/>
    </row>
    <row r="2820" spans="1:13" ht="15" customHeight="1">
      <c r="A2820" s="142" t="s">
        <v>7463</v>
      </c>
      <c r="B2820" s="142">
        <v>517726</v>
      </c>
      <c r="C2820" s="143" t="s">
        <v>6735</v>
      </c>
      <c r="D2820" s="142" t="s">
        <v>323</v>
      </c>
      <c r="E2820" s="143" t="s">
        <v>345</v>
      </c>
      <c r="F2820" s="143" t="s">
        <v>349</v>
      </c>
      <c r="G2820" s="142" t="s">
        <v>6739</v>
      </c>
      <c r="H2820" s="142" t="s">
        <v>57</v>
      </c>
      <c r="I2820" s="143" t="s">
        <v>103</v>
      </c>
      <c r="J2820" s="143" t="s">
        <v>6741</v>
      </c>
      <c r="K2820" s="144"/>
      <c r="L2820" s="145"/>
      <c r="M2820" s="144"/>
    </row>
    <row r="2821" spans="1:13" ht="15" customHeight="1">
      <c r="A2821" s="146" t="s">
        <v>7464</v>
      </c>
      <c r="B2821" s="146">
        <v>517202</v>
      </c>
      <c r="C2821" s="147" t="s">
        <v>6735</v>
      </c>
      <c r="D2821" s="146" t="s">
        <v>323</v>
      </c>
      <c r="E2821" s="147" t="s">
        <v>345</v>
      </c>
      <c r="F2821" s="147" t="s">
        <v>346</v>
      </c>
      <c r="G2821" s="146" t="s">
        <v>6739</v>
      </c>
      <c r="H2821" s="146" t="s">
        <v>57</v>
      </c>
      <c r="I2821" s="147" t="s">
        <v>103</v>
      </c>
      <c r="J2821" s="147" t="s">
        <v>6741</v>
      </c>
      <c r="K2821" s="148"/>
      <c r="L2821" s="149"/>
      <c r="M2821" s="148"/>
    </row>
    <row r="2822" spans="1:13" ht="15" customHeight="1">
      <c r="A2822" s="142" t="s">
        <v>7465</v>
      </c>
      <c r="B2822" s="142">
        <v>516920</v>
      </c>
      <c r="C2822" s="143" t="s">
        <v>6735</v>
      </c>
      <c r="D2822" s="142" t="s">
        <v>323</v>
      </c>
      <c r="E2822" s="143" t="s">
        <v>324</v>
      </c>
      <c r="F2822" s="143" t="s">
        <v>324</v>
      </c>
      <c r="G2822" s="142" t="s">
        <v>6739</v>
      </c>
      <c r="H2822" s="142" t="s">
        <v>57</v>
      </c>
      <c r="I2822" s="143" t="s">
        <v>103</v>
      </c>
      <c r="J2822" s="143" t="s">
        <v>6741</v>
      </c>
      <c r="K2822" s="144"/>
      <c r="L2822" s="145"/>
      <c r="M2822" s="144"/>
    </row>
    <row r="2823" spans="1:13" ht="15" customHeight="1">
      <c r="A2823" s="146" t="s">
        <v>7466</v>
      </c>
      <c r="B2823" s="146">
        <v>517727</v>
      </c>
      <c r="C2823" s="147" t="s">
        <v>6735</v>
      </c>
      <c r="D2823" s="146" t="s">
        <v>323</v>
      </c>
      <c r="E2823" s="147" t="s">
        <v>345</v>
      </c>
      <c r="F2823" s="147" t="s">
        <v>349</v>
      </c>
      <c r="G2823" s="146" t="s">
        <v>6739</v>
      </c>
      <c r="H2823" s="146" t="s">
        <v>57</v>
      </c>
      <c r="I2823" s="147" t="s">
        <v>103</v>
      </c>
      <c r="J2823" s="147" t="s">
        <v>6741</v>
      </c>
      <c r="K2823" s="148"/>
      <c r="L2823" s="149"/>
      <c r="M2823" s="148"/>
    </row>
    <row r="2824" spans="1:13" ht="15" customHeight="1">
      <c r="A2824" s="142" t="s">
        <v>7467</v>
      </c>
      <c r="B2824" s="142">
        <v>516819</v>
      </c>
      <c r="C2824" s="143" t="s">
        <v>6735</v>
      </c>
      <c r="D2824" s="142" t="s">
        <v>323</v>
      </c>
      <c r="E2824" s="143" t="s">
        <v>324</v>
      </c>
      <c r="F2824" s="143" t="s">
        <v>324</v>
      </c>
      <c r="G2824" s="142" t="s">
        <v>6739</v>
      </c>
      <c r="H2824" s="142" t="s">
        <v>57</v>
      </c>
      <c r="I2824" s="143" t="s">
        <v>103</v>
      </c>
      <c r="J2824" s="143" t="s">
        <v>6741</v>
      </c>
      <c r="K2824" s="144"/>
      <c r="L2824" s="145"/>
      <c r="M2824" s="144"/>
    </row>
    <row r="2825" spans="1:13" ht="15" customHeight="1">
      <c r="A2825" s="146" t="s">
        <v>7468</v>
      </c>
      <c r="B2825" s="146">
        <v>517400</v>
      </c>
      <c r="C2825" s="147" t="s">
        <v>6735</v>
      </c>
      <c r="D2825" s="146" t="s">
        <v>323</v>
      </c>
      <c r="E2825" s="147" t="s">
        <v>324</v>
      </c>
      <c r="F2825" s="147" t="s">
        <v>324</v>
      </c>
      <c r="G2825" s="146" t="s">
        <v>6739</v>
      </c>
      <c r="H2825" s="146" t="s">
        <v>57</v>
      </c>
      <c r="I2825" s="147" t="s">
        <v>103</v>
      </c>
      <c r="J2825" s="147" t="s">
        <v>6741</v>
      </c>
      <c r="K2825" s="148"/>
      <c r="L2825" s="149"/>
      <c r="M2825" s="148"/>
    </row>
    <row r="2826" spans="1:13" ht="15" customHeight="1">
      <c r="A2826" s="142" t="s">
        <v>7469</v>
      </c>
      <c r="B2826" s="142">
        <v>516921</v>
      </c>
      <c r="C2826" s="143" t="s">
        <v>6735</v>
      </c>
      <c r="D2826" s="142" t="s">
        <v>323</v>
      </c>
      <c r="E2826" s="143" t="s">
        <v>324</v>
      </c>
      <c r="F2826" s="143" t="s">
        <v>324</v>
      </c>
      <c r="G2826" s="142" t="s">
        <v>6739</v>
      </c>
      <c r="H2826" s="142" t="s">
        <v>57</v>
      </c>
      <c r="I2826" s="143" t="s">
        <v>103</v>
      </c>
      <c r="J2826" s="143" t="s">
        <v>6741</v>
      </c>
      <c r="K2826" s="144" t="s">
        <v>121</v>
      </c>
      <c r="L2826" s="145">
        <v>46147</v>
      </c>
      <c r="M2826" s="144"/>
    </row>
    <row r="2827" spans="1:13" ht="15" customHeight="1">
      <c r="A2827" s="146" t="s">
        <v>7470</v>
      </c>
      <c r="B2827" s="146">
        <v>516922</v>
      </c>
      <c r="C2827" s="147" t="s">
        <v>6735</v>
      </c>
      <c r="D2827" s="146" t="s">
        <v>323</v>
      </c>
      <c r="E2827" s="147" t="s">
        <v>324</v>
      </c>
      <c r="F2827" s="147" t="s">
        <v>324</v>
      </c>
      <c r="G2827" s="146" t="s">
        <v>6739</v>
      </c>
      <c r="H2827" s="146" t="s">
        <v>57</v>
      </c>
      <c r="I2827" s="147" t="s">
        <v>103</v>
      </c>
      <c r="J2827" s="147" t="s">
        <v>6741</v>
      </c>
      <c r="K2827" s="148" t="s">
        <v>162</v>
      </c>
      <c r="L2827" s="149">
        <v>46150</v>
      </c>
      <c r="M2827" s="148"/>
    </row>
    <row r="2828" spans="1:13" ht="15" customHeight="1">
      <c r="A2828" s="142" t="s">
        <v>7471</v>
      </c>
      <c r="B2828" s="142">
        <v>516797</v>
      </c>
      <c r="C2828" s="143" t="s">
        <v>6735</v>
      </c>
      <c r="D2828" s="142" t="s">
        <v>323</v>
      </c>
      <c r="E2828" s="143" t="s">
        <v>345</v>
      </c>
      <c r="F2828" s="143" t="s">
        <v>346</v>
      </c>
      <c r="G2828" s="142" t="s">
        <v>6739</v>
      </c>
      <c r="H2828" s="142" t="s">
        <v>57</v>
      </c>
      <c r="I2828" s="143" t="s">
        <v>103</v>
      </c>
      <c r="J2828" s="143" t="s">
        <v>6741</v>
      </c>
      <c r="K2828" s="144"/>
      <c r="L2828" s="145"/>
      <c r="M2828" s="144"/>
    </row>
    <row r="2829" spans="1:13" ht="15" customHeight="1">
      <c r="A2829" s="146" t="s">
        <v>7472</v>
      </c>
      <c r="B2829" s="146">
        <v>516923</v>
      </c>
      <c r="C2829" s="147" t="s">
        <v>6735</v>
      </c>
      <c r="D2829" s="146" t="s">
        <v>323</v>
      </c>
      <c r="E2829" s="147" t="s">
        <v>324</v>
      </c>
      <c r="F2829" s="147" t="s">
        <v>324</v>
      </c>
      <c r="G2829" s="146" t="s">
        <v>6739</v>
      </c>
      <c r="H2829" s="146" t="s">
        <v>57</v>
      </c>
      <c r="I2829" s="147" t="s">
        <v>103</v>
      </c>
      <c r="J2829" s="147" t="s">
        <v>6741</v>
      </c>
      <c r="K2829" s="148" t="s">
        <v>121</v>
      </c>
      <c r="L2829" s="149">
        <v>46149</v>
      </c>
      <c r="M2829" s="148"/>
    </row>
    <row r="2830" spans="1:13" ht="15" customHeight="1">
      <c r="A2830" s="142" t="s">
        <v>7473</v>
      </c>
      <c r="B2830" s="142">
        <v>517203</v>
      </c>
      <c r="C2830" s="143" t="s">
        <v>6735</v>
      </c>
      <c r="D2830" s="142" t="s">
        <v>323</v>
      </c>
      <c r="E2830" s="143" t="s">
        <v>345</v>
      </c>
      <c r="F2830" s="143" t="s">
        <v>346</v>
      </c>
      <c r="G2830" s="142" t="s">
        <v>6739</v>
      </c>
      <c r="H2830" s="142" t="s">
        <v>57</v>
      </c>
      <c r="I2830" s="143" t="s">
        <v>103</v>
      </c>
      <c r="J2830" s="143" t="s">
        <v>6741</v>
      </c>
      <c r="K2830" s="144"/>
      <c r="L2830" s="145"/>
      <c r="M2830" s="144"/>
    </row>
    <row r="2831" spans="1:13" ht="15" customHeight="1">
      <c r="A2831" s="146" t="s">
        <v>7474</v>
      </c>
      <c r="B2831" s="146">
        <v>521713</v>
      </c>
      <c r="C2831" s="147" t="s">
        <v>6735</v>
      </c>
      <c r="D2831" s="146" t="s">
        <v>1107</v>
      </c>
      <c r="E2831" s="147" t="s">
        <v>1147</v>
      </c>
      <c r="F2831" s="147" t="s">
        <v>1147</v>
      </c>
      <c r="G2831" s="146" t="s">
        <v>6739</v>
      </c>
      <c r="H2831" s="146" t="s">
        <v>53</v>
      </c>
      <c r="I2831" s="147" t="s">
        <v>1110</v>
      </c>
      <c r="J2831" s="147" t="s">
        <v>6741</v>
      </c>
      <c r="K2831" s="148"/>
      <c r="L2831" s="149"/>
      <c r="M2831" s="148"/>
    </row>
    <row r="2832" spans="1:13" ht="15" customHeight="1">
      <c r="A2832" s="142" t="s">
        <v>7475</v>
      </c>
      <c r="B2832" s="142">
        <v>521669</v>
      </c>
      <c r="C2832" s="143" t="s">
        <v>6735</v>
      </c>
      <c r="D2832" s="142" t="s">
        <v>1107</v>
      </c>
      <c r="E2832" s="143" t="s">
        <v>1147</v>
      </c>
      <c r="F2832" s="143" t="s">
        <v>1147</v>
      </c>
      <c r="G2832" s="142" t="s">
        <v>6739</v>
      </c>
      <c r="H2832" s="142" t="s">
        <v>53</v>
      </c>
      <c r="I2832" s="143" t="s">
        <v>1110</v>
      </c>
      <c r="J2832" s="143" t="s">
        <v>6741</v>
      </c>
      <c r="K2832" s="144"/>
      <c r="L2832" s="145"/>
      <c r="M2832" s="144"/>
    </row>
    <row r="2833" spans="1:13" ht="15" customHeight="1">
      <c r="A2833" s="146" t="s">
        <v>7476</v>
      </c>
      <c r="B2833" s="146">
        <v>521703</v>
      </c>
      <c r="C2833" s="147" t="s">
        <v>6735</v>
      </c>
      <c r="D2833" s="146" t="s">
        <v>1107</v>
      </c>
      <c r="E2833" s="147" t="s">
        <v>1147</v>
      </c>
      <c r="F2833" s="147" t="s">
        <v>1147</v>
      </c>
      <c r="G2833" s="146" t="s">
        <v>6739</v>
      </c>
      <c r="H2833" s="146" t="s">
        <v>53</v>
      </c>
      <c r="I2833" s="147" t="s">
        <v>1110</v>
      </c>
      <c r="J2833" s="147" t="s">
        <v>6741</v>
      </c>
      <c r="K2833" s="148"/>
      <c r="L2833" s="149"/>
      <c r="M2833" s="148"/>
    </row>
    <row r="2834" spans="1:13" ht="15" customHeight="1">
      <c r="A2834" s="142" t="s">
        <v>7477</v>
      </c>
      <c r="B2834" s="142">
        <v>521712</v>
      </c>
      <c r="C2834" s="143" t="s">
        <v>6735</v>
      </c>
      <c r="D2834" s="142" t="s">
        <v>1107</v>
      </c>
      <c r="E2834" s="143" t="s">
        <v>1147</v>
      </c>
      <c r="F2834" s="143" t="s">
        <v>1147</v>
      </c>
      <c r="G2834" s="142" t="s">
        <v>6739</v>
      </c>
      <c r="H2834" s="142" t="s">
        <v>53</v>
      </c>
      <c r="I2834" s="143" t="s">
        <v>1110</v>
      </c>
      <c r="J2834" s="143" t="s">
        <v>6741</v>
      </c>
      <c r="K2834" s="144"/>
      <c r="L2834" s="145"/>
      <c r="M2834" s="144"/>
    </row>
    <row r="2835" spans="1:13" ht="15" customHeight="1">
      <c r="A2835" s="146" t="s">
        <v>7478</v>
      </c>
      <c r="B2835" s="146">
        <v>521613</v>
      </c>
      <c r="C2835" s="147" t="s">
        <v>6735</v>
      </c>
      <c r="D2835" s="146" t="s">
        <v>1107</v>
      </c>
      <c r="E2835" s="147" t="s">
        <v>1119</v>
      </c>
      <c r="F2835" s="147" t="s">
        <v>1119</v>
      </c>
      <c r="G2835" s="146" t="s">
        <v>6739</v>
      </c>
      <c r="H2835" s="146" t="s">
        <v>53</v>
      </c>
      <c r="I2835" s="147" t="s">
        <v>1110</v>
      </c>
      <c r="J2835" s="147" t="s">
        <v>6741</v>
      </c>
      <c r="K2835" s="148"/>
      <c r="L2835" s="149"/>
      <c r="M2835" s="148"/>
    </row>
    <row r="2836" spans="1:13" ht="15" customHeight="1">
      <c r="A2836" s="142" t="s">
        <v>7479</v>
      </c>
      <c r="B2836" s="142">
        <v>521717</v>
      </c>
      <c r="C2836" s="143" t="s">
        <v>6735</v>
      </c>
      <c r="D2836" s="142" t="s">
        <v>1107</v>
      </c>
      <c r="E2836" s="143" t="s">
        <v>1119</v>
      </c>
      <c r="F2836" s="143" t="s">
        <v>1119</v>
      </c>
      <c r="G2836" s="142" t="s">
        <v>6739</v>
      </c>
      <c r="H2836" s="142" t="s">
        <v>53</v>
      </c>
      <c r="I2836" s="143" t="s">
        <v>1110</v>
      </c>
      <c r="J2836" s="143" t="s">
        <v>6741</v>
      </c>
      <c r="K2836" s="144"/>
      <c r="L2836" s="145"/>
      <c r="M2836" s="144"/>
    </row>
    <row r="2837" spans="1:13" ht="15" customHeight="1">
      <c r="A2837" s="146" t="s">
        <v>7480</v>
      </c>
      <c r="B2837" s="146">
        <v>521632</v>
      </c>
      <c r="C2837" s="147" t="s">
        <v>6735</v>
      </c>
      <c r="D2837" s="146" t="s">
        <v>1107</v>
      </c>
      <c r="E2837" s="147" t="s">
        <v>1119</v>
      </c>
      <c r="F2837" s="147" t="s">
        <v>1119</v>
      </c>
      <c r="G2837" s="146" t="s">
        <v>6739</v>
      </c>
      <c r="H2837" s="146" t="s">
        <v>53</v>
      </c>
      <c r="I2837" s="147" t="s">
        <v>1110</v>
      </c>
      <c r="J2837" s="147" t="s">
        <v>6741</v>
      </c>
      <c r="K2837" s="148"/>
      <c r="L2837" s="149"/>
      <c r="M2837" s="148"/>
    </row>
    <row r="2838" spans="1:13" ht="15" customHeight="1">
      <c r="A2838" s="142" t="s">
        <v>7481</v>
      </c>
      <c r="B2838" s="142">
        <v>521648</v>
      </c>
      <c r="C2838" s="143" t="s">
        <v>6735</v>
      </c>
      <c r="D2838" s="142" t="s">
        <v>1107</v>
      </c>
      <c r="E2838" s="143" t="s">
        <v>1119</v>
      </c>
      <c r="F2838" s="143" t="s">
        <v>1119</v>
      </c>
      <c r="G2838" s="142" t="s">
        <v>6739</v>
      </c>
      <c r="H2838" s="142" t="s">
        <v>53</v>
      </c>
      <c r="I2838" s="143" t="s">
        <v>1110</v>
      </c>
      <c r="J2838" s="143" t="s">
        <v>6741</v>
      </c>
      <c r="K2838" s="144"/>
      <c r="L2838" s="145"/>
      <c r="M2838" s="144"/>
    </row>
    <row r="2839" spans="1:13" ht="15" customHeight="1">
      <c r="A2839" s="146" t="s">
        <v>7482</v>
      </c>
      <c r="B2839" s="146">
        <v>521685</v>
      </c>
      <c r="C2839" s="147" t="s">
        <v>6735</v>
      </c>
      <c r="D2839" s="146" t="s">
        <v>1107</v>
      </c>
      <c r="E2839" s="147" t="s">
        <v>1194</v>
      </c>
      <c r="F2839" s="147" t="s">
        <v>1194</v>
      </c>
      <c r="G2839" s="146" t="s">
        <v>6739</v>
      </c>
      <c r="H2839" s="146" t="s">
        <v>53</v>
      </c>
      <c r="I2839" s="147" t="s">
        <v>1110</v>
      </c>
      <c r="J2839" s="147" t="s">
        <v>6741</v>
      </c>
      <c r="K2839" s="148"/>
      <c r="L2839" s="149"/>
      <c r="M2839" s="148"/>
    </row>
    <row r="2840" spans="1:13" ht="15" customHeight="1">
      <c r="A2840" s="142" t="s">
        <v>7483</v>
      </c>
      <c r="B2840" s="142">
        <v>521670</v>
      </c>
      <c r="C2840" s="143" t="s">
        <v>6735</v>
      </c>
      <c r="D2840" s="142" t="s">
        <v>1107</v>
      </c>
      <c r="E2840" s="143" t="s">
        <v>1194</v>
      </c>
      <c r="F2840" s="143" t="s">
        <v>1194</v>
      </c>
      <c r="G2840" s="142" t="s">
        <v>6739</v>
      </c>
      <c r="H2840" s="142" t="s">
        <v>53</v>
      </c>
      <c r="I2840" s="143" t="s">
        <v>1110</v>
      </c>
      <c r="J2840" s="143" t="s">
        <v>6741</v>
      </c>
      <c r="K2840" s="144"/>
      <c r="L2840" s="145"/>
      <c r="M2840" s="144"/>
    </row>
    <row r="2841" spans="1:13" ht="15" customHeight="1">
      <c r="A2841" s="146" t="s">
        <v>7484</v>
      </c>
      <c r="B2841" s="146">
        <v>521665</v>
      </c>
      <c r="C2841" s="147" t="s">
        <v>6735</v>
      </c>
      <c r="D2841" s="146" t="s">
        <v>1107</v>
      </c>
      <c r="E2841" s="147" t="s">
        <v>1194</v>
      </c>
      <c r="F2841" s="147" t="s">
        <v>1194</v>
      </c>
      <c r="G2841" s="146" t="s">
        <v>6739</v>
      </c>
      <c r="H2841" s="146" t="s">
        <v>53</v>
      </c>
      <c r="I2841" s="147" t="s">
        <v>1110</v>
      </c>
      <c r="J2841" s="147" t="s">
        <v>6741</v>
      </c>
      <c r="K2841" s="148"/>
      <c r="L2841" s="149"/>
      <c r="M2841" s="148"/>
    </row>
    <row r="2842" spans="1:13" ht="15" customHeight="1">
      <c r="A2842" s="142" t="s">
        <v>7485</v>
      </c>
      <c r="B2842" s="142">
        <v>521675</v>
      </c>
      <c r="C2842" s="143" t="s">
        <v>6735</v>
      </c>
      <c r="D2842" s="142" t="s">
        <v>1107</v>
      </c>
      <c r="E2842" s="143" t="s">
        <v>1194</v>
      </c>
      <c r="F2842" s="143" t="s">
        <v>1194</v>
      </c>
      <c r="G2842" s="142" t="s">
        <v>6739</v>
      </c>
      <c r="H2842" s="142" t="s">
        <v>53</v>
      </c>
      <c r="I2842" s="143" t="s">
        <v>1110</v>
      </c>
      <c r="J2842" s="143" t="s">
        <v>6741</v>
      </c>
      <c r="K2842" s="144"/>
      <c r="L2842" s="145"/>
      <c r="M2842" s="144"/>
    </row>
    <row r="2843" spans="1:13" ht="15" customHeight="1">
      <c r="A2843" s="146" t="s">
        <v>7486</v>
      </c>
      <c r="B2843" s="146">
        <v>521684</v>
      </c>
      <c r="C2843" s="147" t="s">
        <v>6735</v>
      </c>
      <c r="D2843" s="146" t="s">
        <v>1107</v>
      </c>
      <c r="E2843" s="147" t="s">
        <v>1194</v>
      </c>
      <c r="F2843" s="147" t="s">
        <v>1194</v>
      </c>
      <c r="G2843" s="146" t="s">
        <v>6739</v>
      </c>
      <c r="H2843" s="146" t="s">
        <v>53</v>
      </c>
      <c r="I2843" s="147" t="s">
        <v>1110</v>
      </c>
      <c r="J2843" s="147" t="s">
        <v>6741</v>
      </c>
      <c r="K2843" s="148"/>
      <c r="L2843" s="149"/>
      <c r="M2843" s="148"/>
    </row>
    <row r="2844" spans="1:13" ht="15" customHeight="1">
      <c r="A2844" s="142" t="s">
        <v>7487</v>
      </c>
      <c r="B2844" s="142">
        <v>521709</v>
      </c>
      <c r="C2844" s="143" t="s">
        <v>6735</v>
      </c>
      <c r="D2844" s="142" t="s">
        <v>1107</v>
      </c>
      <c r="E2844" s="143" t="s">
        <v>1194</v>
      </c>
      <c r="F2844" s="143" t="s">
        <v>1194</v>
      </c>
      <c r="G2844" s="142" t="s">
        <v>6739</v>
      </c>
      <c r="H2844" s="142" t="s">
        <v>53</v>
      </c>
      <c r="I2844" s="143" t="s">
        <v>1110</v>
      </c>
      <c r="J2844" s="143" t="s">
        <v>6741</v>
      </c>
      <c r="K2844" s="144"/>
      <c r="L2844" s="145"/>
      <c r="M2844" s="144"/>
    </row>
    <row r="2845" spans="1:13" ht="15" customHeight="1">
      <c r="A2845" s="146" t="s">
        <v>7488</v>
      </c>
      <c r="B2845" s="146">
        <v>521622</v>
      </c>
      <c r="C2845" s="147" t="s">
        <v>6735</v>
      </c>
      <c r="D2845" s="146" t="s">
        <v>1107</v>
      </c>
      <c r="E2845" s="147" t="s">
        <v>1108</v>
      </c>
      <c r="F2845" s="147" t="s">
        <v>1108</v>
      </c>
      <c r="G2845" s="146" t="s">
        <v>6739</v>
      </c>
      <c r="H2845" s="146" t="s">
        <v>53</v>
      </c>
      <c r="I2845" s="147" t="s">
        <v>1110</v>
      </c>
      <c r="J2845" s="147" t="s">
        <v>6741</v>
      </c>
      <c r="K2845" s="148"/>
      <c r="L2845" s="149"/>
      <c r="M2845" s="148"/>
    </row>
    <row r="2846" spans="1:13" ht="15" customHeight="1">
      <c r="A2846" s="142" t="s">
        <v>7489</v>
      </c>
      <c r="B2846" s="142">
        <v>521628</v>
      </c>
      <c r="C2846" s="143" t="s">
        <v>6735</v>
      </c>
      <c r="D2846" s="142" t="s">
        <v>1107</v>
      </c>
      <c r="E2846" s="143" t="s">
        <v>1108</v>
      </c>
      <c r="F2846" s="143" t="s">
        <v>1108</v>
      </c>
      <c r="G2846" s="142" t="s">
        <v>6739</v>
      </c>
      <c r="H2846" s="142" t="s">
        <v>53</v>
      </c>
      <c r="I2846" s="143" t="s">
        <v>1110</v>
      </c>
      <c r="J2846" s="143" t="s">
        <v>6741</v>
      </c>
      <c r="K2846" s="144"/>
      <c r="L2846" s="145"/>
      <c r="M2846" s="144"/>
    </row>
    <row r="2847" spans="1:13" ht="15" customHeight="1">
      <c r="A2847" s="146" t="s">
        <v>7490</v>
      </c>
      <c r="B2847" s="146">
        <v>521611</v>
      </c>
      <c r="C2847" s="147" t="s">
        <v>6735</v>
      </c>
      <c r="D2847" s="146" t="s">
        <v>1107</v>
      </c>
      <c r="E2847" s="147" t="s">
        <v>1108</v>
      </c>
      <c r="F2847" s="147" t="s">
        <v>1108</v>
      </c>
      <c r="G2847" s="146" t="s">
        <v>6739</v>
      </c>
      <c r="H2847" s="146" t="s">
        <v>53</v>
      </c>
      <c r="I2847" s="147" t="s">
        <v>1110</v>
      </c>
      <c r="J2847" s="147" t="s">
        <v>6741</v>
      </c>
      <c r="K2847" s="148"/>
      <c r="L2847" s="149"/>
      <c r="M2847" s="148"/>
    </row>
    <row r="2848" spans="1:13" ht="15" customHeight="1">
      <c r="A2848" s="142" t="s">
        <v>7491</v>
      </c>
      <c r="B2848" s="142">
        <v>520347</v>
      </c>
      <c r="C2848" s="143" t="s">
        <v>6735</v>
      </c>
      <c r="D2848" s="142" t="s">
        <v>1107</v>
      </c>
      <c r="E2848" s="143" t="s">
        <v>1108</v>
      </c>
      <c r="F2848" s="143" t="s">
        <v>1108</v>
      </c>
      <c r="G2848" s="142" t="s">
        <v>6739</v>
      </c>
      <c r="H2848" s="142" t="s">
        <v>53</v>
      </c>
      <c r="I2848" s="143" t="s">
        <v>1110</v>
      </c>
      <c r="J2848" s="143" t="s">
        <v>6741</v>
      </c>
      <c r="K2848" s="144"/>
      <c r="L2848" s="145"/>
      <c r="M2848" s="144"/>
    </row>
    <row r="2849" spans="1:13" ht="15" customHeight="1">
      <c r="A2849" s="146" t="s">
        <v>7492</v>
      </c>
      <c r="B2849" s="146">
        <v>521676</v>
      </c>
      <c r="C2849" s="147" t="s">
        <v>6735</v>
      </c>
      <c r="D2849" s="146" t="s">
        <v>1107</v>
      </c>
      <c r="E2849" s="147" t="s">
        <v>1108</v>
      </c>
      <c r="F2849" s="147" t="s">
        <v>1108</v>
      </c>
      <c r="G2849" s="146" t="s">
        <v>6739</v>
      </c>
      <c r="H2849" s="146" t="s">
        <v>53</v>
      </c>
      <c r="I2849" s="147" t="s">
        <v>1110</v>
      </c>
      <c r="J2849" s="147" t="s">
        <v>6741</v>
      </c>
      <c r="K2849" s="148"/>
      <c r="L2849" s="149"/>
      <c r="M2849" s="148"/>
    </row>
    <row r="2850" spans="1:13" ht="15" customHeight="1">
      <c r="A2850" s="142" t="s">
        <v>7493</v>
      </c>
      <c r="B2850" s="142">
        <v>521679</v>
      </c>
      <c r="C2850" s="143" t="s">
        <v>6735</v>
      </c>
      <c r="D2850" s="142" t="s">
        <v>1107</v>
      </c>
      <c r="E2850" s="143" t="s">
        <v>1108</v>
      </c>
      <c r="F2850" s="143" t="s">
        <v>1108</v>
      </c>
      <c r="G2850" s="142" t="s">
        <v>6739</v>
      </c>
      <c r="H2850" s="142" t="s">
        <v>53</v>
      </c>
      <c r="I2850" s="143" t="s">
        <v>1110</v>
      </c>
      <c r="J2850" s="143" t="s">
        <v>6741</v>
      </c>
      <c r="K2850" s="144"/>
      <c r="L2850" s="145"/>
      <c r="M2850" s="144"/>
    </row>
    <row r="2851" spans="1:13" ht="15" customHeight="1">
      <c r="A2851" s="146" t="s">
        <v>7494</v>
      </c>
      <c r="B2851" s="146">
        <v>521671</v>
      </c>
      <c r="C2851" s="147" t="s">
        <v>6735</v>
      </c>
      <c r="D2851" s="146" t="s">
        <v>1107</v>
      </c>
      <c r="E2851" s="147" t="s">
        <v>1108</v>
      </c>
      <c r="F2851" s="147" t="s">
        <v>1108</v>
      </c>
      <c r="G2851" s="146" t="s">
        <v>6739</v>
      </c>
      <c r="H2851" s="146" t="s">
        <v>53</v>
      </c>
      <c r="I2851" s="147" t="s">
        <v>1184</v>
      </c>
      <c r="J2851" s="147" t="s">
        <v>6741</v>
      </c>
      <c r="K2851" s="148"/>
      <c r="L2851" s="149"/>
      <c r="M2851" s="148"/>
    </row>
    <row r="2852" spans="1:13" ht="15" customHeight="1">
      <c r="A2852" s="142" t="s">
        <v>7495</v>
      </c>
      <c r="B2852" s="142">
        <v>521629</v>
      </c>
      <c r="C2852" s="143" t="s">
        <v>6735</v>
      </c>
      <c r="D2852" s="142" t="s">
        <v>1107</v>
      </c>
      <c r="E2852" s="143" t="s">
        <v>1108</v>
      </c>
      <c r="F2852" s="143" t="s">
        <v>1108</v>
      </c>
      <c r="G2852" s="142" t="s">
        <v>6739</v>
      </c>
      <c r="H2852" s="142" t="s">
        <v>53</v>
      </c>
      <c r="I2852" s="143" t="s">
        <v>1110</v>
      </c>
      <c r="J2852" s="143" t="s">
        <v>6741</v>
      </c>
      <c r="K2852" s="144"/>
      <c r="L2852" s="145"/>
      <c r="M2852" s="144"/>
    </row>
    <row r="2853" spans="1:13" ht="15" customHeight="1">
      <c r="A2853" s="146" t="s">
        <v>7496</v>
      </c>
      <c r="B2853" s="146">
        <v>521562</v>
      </c>
      <c r="C2853" s="147" t="s">
        <v>6735</v>
      </c>
      <c r="D2853" s="146" t="s">
        <v>1107</v>
      </c>
      <c r="E2853" s="147" t="s">
        <v>1142</v>
      </c>
      <c r="F2853" s="147" t="s">
        <v>1142</v>
      </c>
      <c r="G2853" s="146" t="s">
        <v>6739</v>
      </c>
      <c r="H2853" s="146" t="s">
        <v>53</v>
      </c>
      <c r="I2853" s="147" t="s">
        <v>1110</v>
      </c>
      <c r="J2853" s="147" t="s">
        <v>6741</v>
      </c>
      <c r="K2853" s="148"/>
      <c r="L2853" s="149"/>
      <c r="M2853" s="148"/>
    </row>
    <row r="2854" spans="1:13" ht="15" customHeight="1">
      <c r="A2854" s="142" t="s">
        <v>7497</v>
      </c>
      <c r="B2854" s="142">
        <v>521565</v>
      </c>
      <c r="C2854" s="143" t="s">
        <v>6735</v>
      </c>
      <c r="D2854" s="142" t="s">
        <v>1107</v>
      </c>
      <c r="E2854" s="143" t="s">
        <v>1142</v>
      </c>
      <c r="F2854" s="143" t="s">
        <v>1142</v>
      </c>
      <c r="G2854" s="142" t="s">
        <v>6739</v>
      </c>
      <c r="H2854" s="142" t="s">
        <v>53</v>
      </c>
      <c r="I2854" s="143" t="s">
        <v>1110</v>
      </c>
      <c r="J2854" s="143" t="s">
        <v>6741</v>
      </c>
      <c r="K2854" s="144"/>
      <c r="L2854" s="145"/>
      <c r="M2854" s="144"/>
    </row>
    <row r="2855" spans="1:13" ht="15" customHeight="1">
      <c r="A2855" s="146" t="s">
        <v>7498</v>
      </c>
      <c r="B2855" s="146">
        <v>521633</v>
      </c>
      <c r="C2855" s="147" t="s">
        <v>6735</v>
      </c>
      <c r="D2855" s="146" t="s">
        <v>1107</v>
      </c>
      <c r="E2855" s="147" t="s">
        <v>1131</v>
      </c>
      <c r="F2855" s="147" t="s">
        <v>1131</v>
      </c>
      <c r="G2855" s="146" t="s">
        <v>6739</v>
      </c>
      <c r="H2855" s="146" t="s">
        <v>53</v>
      </c>
      <c r="I2855" s="147" t="s">
        <v>1110</v>
      </c>
      <c r="J2855" s="147" t="s">
        <v>6741</v>
      </c>
      <c r="K2855" s="148"/>
      <c r="L2855" s="149"/>
      <c r="M2855" s="148"/>
    </row>
    <row r="2856" spans="1:13" ht="15" customHeight="1">
      <c r="A2856" s="142" t="s">
        <v>7499</v>
      </c>
      <c r="B2856" s="142">
        <v>521568</v>
      </c>
      <c r="C2856" s="143" t="s">
        <v>6735</v>
      </c>
      <c r="D2856" s="142" t="s">
        <v>1107</v>
      </c>
      <c r="E2856" s="143" t="s">
        <v>1131</v>
      </c>
      <c r="F2856" s="143" t="s">
        <v>1131</v>
      </c>
      <c r="G2856" s="142" t="s">
        <v>6739</v>
      </c>
      <c r="H2856" s="142" t="s">
        <v>53</v>
      </c>
      <c r="I2856" s="143" t="s">
        <v>1110</v>
      </c>
      <c r="J2856" s="143" t="s">
        <v>6741</v>
      </c>
      <c r="K2856" s="144"/>
      <c r="L2856" s="145"/>
      <c r="M2856" s="144"/>
    </row>
    <row r="2857" spans="1:13" ht="15" customHeight="1">
      <c r="A2857" s="146" t="s">
        <v>7500</v>
      </c>
      <c r="B2857" s="146">
        <v>521721</v>
      </c>
      <c r="C2857" s="147" t="s">
        <v>6735</v>
      </c>
      <c r="D2857" s="146" t="s">
        <v>1107</v>
      </c>
      <c r="E2857" s="147" t="s">
        <v>1131</v>
      </c>
      <c r="F2857" s="147" t="s">
        <v>1131</v>
      </c>
      <c r="G2857" s="146" t="s">
        <v>6739</v>
      </c>
      <c r="H2857" s="146" t="s">
        <v>53</v>
      </c>
      <c r="I2857" s="147" t="s">
        <v>1110</v>
      </c>
      <c r="J2857" s="147" t="s">
        <v>6741</v>
      </c>
      <c r="K2857" s="148"/>
      <c r="L2857" s="149"/>
      <c r="M2857" s="148"/>
    </row>
    <row r="2858" spans="1:13" ht="15" customHeight="1">
      <c r="A2858" s="142" t="s">
        <v>7501</v>
      </c>
      <c r="B2858" s="142">
        <v>521627</v>
      </c>
      <c r="C2858" s="143" t="s">
        <v>6735</v>
      </c>
      <c r="D2858" s="142" t="s">
        <v>1107</v>
      </c>
      <c r="E2858" s="143" t="s">
        <v>1156</v>
      </c>
      <c r="F2858" s="143" t="s">
        <v>1156</v>
      </c>
      <c r="G2858" s="142" t="s">
        <v>6739</v>
      </c>
      <c r="H2858" s="142" t="s">
        <v>53</v>
      </c>
      <c r="I2858" s="143" t="s">
        <v>1110</v>
      </c>
      <c r="J2858" s="143" t="s">
        <v>6741</v>
      </c>
      <c r="K2858" s="144"/>
      <c r="L2858" s="145"/>
      <c r="M2858" s="144"/>
    </row>
    <row r="2859" spans="1:13" ht="15" customHeight="1">
      <c r="A2859" s="146" t="s">
        <v>7502</v>
      </c>
      <c r="B2859" s="146">
        <v>521660</v>
      </c>
      <c r="C2859" s="147" t="s">
        <v>6735</v>
      </c>
      <c r="D2859" s="146" t="s">
        <v>1107</v>
      </c>
      <c r="E2859" s="147" t="s">
        <v>1156</v>
      </c>
      <c r="F2859" s="147" t="s">
        <v>1156</v>
      </c>
      <c r="G2859" s="146" t="s">
        <v>6739</v>
      </c>
      <c r="H2859" s="146" t="s">
        <v>53</v>
      </c>
      <c r="I2859" s="147" t="s">
        <v>1110</v>
      </c>
      <c r="J2859" s="147" t="s">
        <v>6741</v>
      </c>
      <c r="K2859" s="148"/>
      <c r="L2859" s="149"/>
      <c r="M2859" s="148"/>
    </row>
    <row r="2860" spans="1:13" ht="15" customHeight="1">
      <c r="A2860" s="142" t="s">
        <v>7503</v>
      </c>
      <c r="B2860" s="142">
        <v>521625</v>
      </c>
      <c r="C2860" s="143" t="s">
        <v>6735</v>
      </c>
      <c r="D2860" s="142" t="s">
        <v>1107</v>
      </c>
      <c r="E2860" s="143" t="s">
        <v>1156</v>
      </c>
      <c r="F2860" s="143" t="s">
        <v>1156</v>
      </c>
      <c r="G2860" s="142" t="s">
        <v>6739</v>
      </c>
      <c r="H2860" s="142" t="s">
        <v>53</v>
      </c>
      <c r="I2860" s="143" t="s">
        <v>1110</v>
      </c>
      <c r="J2860" s="143" t="s">
        <v>6741</v>
      </c>
      <c r="K2860" s="144"/>
      <c r="L2860" s="145"/>
      <c r="M2860" s="144"/>
    </row>
    <row r="2861" spans="1:13" ht="15" customHeight="1">
      <c r="A2861" s="146" t="s">
        <v>7504</v>
      </c>
      <c r="B2861" s="146">
        <v>521658</v>
      </c>
      <c r="C2861" s="147" t="s">
        <v>6735</v>
      </c>
      <c r="D2861" s="146" t="s">
        <v>1107</v>
      </c>
      <c r="E2861" s="147" t="s">
        <v>1190</v>
      </c>
      <c r="F2861" s="147" t="s">
        <v>7505</v>
      </c>
      <c r="G2861" s="146" t="s">
        <v>6739</v>
      </c>
      <c r="H2861" s="146" t="s">
        <v>53</v>
      </c>
      <c r="I2861" s="147" t="s">
        <v>1110</v>
      </c>
      <c r="J2861" s="147" t="s">
        <v>6741</v>
      </c>
      <c r="K2861" s="148"/>
      <c r="L2861" s="149"/>
      <c r="M2861" s="148"/>
    </row>
    <row r="2862" spans="1:13" ht="15" customHeight="1">
      <c r="A2862" s="142" t="s">
        <v>7506</v>
      </c>
      <c r="B2862" s="142">
        <v>521657</v>
      </c>
      <c r="C2862" s="143" t="s">
        <v>6735</v>
      </c>
      <c r="D2862" s="142" t="s">
        <v>1107</v>
      </c>
      <c r="E2862" s="143" t="s">
        <v>1190</v>
      </c>
      <c r="F2862" s="143" t="s">
        <v>7505</v>
      </c>
      <c r="G2862" s="142" t="s">
        <v>6739</v>
      </c>
      <c r="H2862" s="142" t="s">
        <v>53</v>
      </c>
      <c r="I2862" s="143" t="s">
        <v>1110</v>
      </c>
      <c r="J2862" s="143" t="s">
        <v>6741</v>
      </c>
      <c r="K2862" s="144"/>
      <c r="L2862" s="145"/>
      <c r="M2862" s="144"/>
    </row>
    <row r="2863" spans="1:13" ht="15" customHeight="1">
      <c r="A2863" s="146" t="s">
        <v>7507</v>
      </c>
      <c r="B2863" s="146">
        <v>521563</v>
      </c>
      <c r="C2863" s="147" t="s">
        <v>6735</v>
      </c>
      <c r="D2863" s="146" t="s">
        <v>1107</v>
      </c>
      <c r="E2863" s="147" t="s">
        <v>4691</v>
      </c>
      <c r="F2863" s="147" t="s">
        <v>4691</v>
      </c>
      <c r="G2863" s="146" t="s">
        <v>6739</v>
      </c>
      <c r="H2863" s="146" t="s">
        <v>53</v>
      </c>
      <c r="I2863" s="147" t="s">
        <v>1110</v>
      </c>
      <c r="J2863" s="147" t="s">
        <v>6741</v>
      </c>
      <c r="K2863" s="148"/>
      <c r="L2863" s="149"/>
      <c r="M2863" s="148"/>
    </row>
    <row r="2864" spans="1:13" ht="15" customHeight="1">
      <c r="A2864" s="142" t="s">
        <v>7508</v>
      </c>
      <c r="B2864" s="142">
        <v>521663</v>
      </c>
      <c r="C2864" s="143" t="s">
        <v>6735</v>
      </c>
      <c r="D2864" s="142" t="s">
        <v>1107</v>
      </c>
      <c r="E2864" s="143" t="s">
        <v>4691</v>
      </c>
      <c r="F2864" s="143" t="s">
        <v>4691</v>
      </c>
      <c r="G2864" s="142" t="s">
        <v>6739</v>
      </c>
      <c r="H2864" s="142" t="s">
        <v>53</v>
      </c>
      <c r="I2864" s="143" t="s">
        <v>1110</v>
      </c>
      <c r="J2864" s="143" t="s">
        <v>6741</v>
      </c>
      <c r="K2864" s="144"/>
      <c r="L2864" s="145"/>
      <c r="M2864" s="144"/>
    </row>
    <row r="2865" spans="1:13" ht="15" customHeight="1">
      <c r="A2865" s="146" t="s">
        <v>7509</v>
      </c>
      <c r="B2865" s="146">
        <v>521678</v>
      </c>
      <c r="C2865" s="147" t="s">
        <v>6735</v>
      </c>
      <c r="D2865" s="146" t="s">
        <v>1107</v>
      </c>
      <c r="E2865" s="147" t="s">
        <v>4691</v>
      </c>
      <c r="F2865" s="147" t="s">
        <v>4691</v>
      </c>
      <c r="G2865" s="146" t="s">
        <v>6739</v>
      </c>
      <c r="H2865" s="146" t="s">
        <v>53</v>
      </c>
      <c r="I2865" s="147" t="s">
        <v>1110</v>
      </c>
      <c r="J2865" s="147" t="s">
        <v>6741</v>
      </c>
      <c r="K2865" s="148"/>
      <c r="L2865" s="149"/>
      <c r="M2865" s="148"/>
    </row>
    <row r="2866" spans="1:13" ht="15" customHeight="1">
      <c r="A2866" s="142" t="s">
        <v>7510</v>
      </c>
      <c r="B2866" s="142">
        <v>521689</v>
      </c>
      <c r="C2866" s="143" t="s">
        <v>6735</v>
      </c>
      <c r="D2866" s="142" t="s">
        <v>1107</v>
      </c>
      <c r="E2866" s="143" t="s">
        <v>4691</v>
      </c>
      <c r="F2866" s="143" t="s">
        <v>4691</v>
      </c>
      <c r="G2866" s="142" t="s">
        <v>6739</v>
      </c>
      <c r="H2866" s="142" t="s">
        <v>53</v>
      </c>
      <c r="I2866" s="143" t="s">
        <v>1110</v>
      </c>
      <c r="J2866" s="143" t="s">
        <v>6741</v>
      </c>
      <c r="K2866" s="144"/>
      <c r="L2866" s="145"/>
      <c r="M2866" s="144"/>
    </row>
    <row r="2867" spans="1:13" ht="15" customHeight="1">
      <c r="A2867" s="146" t="s">
        <v>7511</v>
      </c>
      <c r="B2867" s="146">
        <v>521636</v>
      </c>
      <c r="C2867" s="147" t="s">
        <v>6735</v>
      </c>
      <c r="D2867" s="146" t="s">
        <v>1107</v>
      </c>
      <c r="E2867" s="147" t="s">
        <v>1197</v>
      </c>
      <c r="F2867" s="147" t="s">
        <v>1197</v>
      </c>
      <c r="G2867" s="146" t="s">
        <v>6739</v>
      </c>
      <c r="H2867" s="146" t="s">
        <v>53</v>
      </c>
      <c r="I2867" s="147" t="s">
        <v>1110</v>
      </c>
      <c r="J2867" s="147" t="s">
        <v>6741</v>
      </c>
      <c r="K2867" s="148"/>
      <c r="L2867" s="149"/>
      <c r="M2867" s="148"/>
    </row>
    <row r="2868" spans="1:13" ht="15" customHeight="1">
      <c r="A2868" s="142" t="s">
        <v>7512</v>
      </c>
      <c r="B2868" s="142">
        <v>521661</v>
      </c>
      <c r="C2868" s="143" t="s">
        <v>6735</v>
      </c>
      <c r="D2868" s="142" t="s">
        <v>1107</v>
      </c>
      <c r="E2868" s="143" t="s">
        <v>1197</v>
      </c>
      <c r="F2868" s="143" t="s">
        <v>1197</v>
      </c>
      <c r="G2868" s="142" t="s">
        <v>6739</v>
      </c>
      <c r="H2868" s="142" t="s">
        <v>53</v>
      </c>
      <c r="I2868" s="143" t="s">
        <v>1110</v>
      </c>
      <c r="J2868" s="143" t="s">
        <v>6741</v>
      </c>
      <c r="K2868" s="144"/>
      <c r="L2868" s="145"/>
      <c r="M2868" s="144"/>
    </row>
    <row r="2869" spans="1:13" ht="15" customHeight="1">
      <c r="A2869" s="146" t="s">
        <v>7513</v>
      </c>
      <c r="B2869" s="146">
        <v>521601</v>
      </c>
      <c r="C2869" s="147" t="s">
        <v>6735</v>
      </c>
      <c r="D2869" s="146" t="s">
        <v>1107</v>
      </c>
      <c r="E2869" s="147" t="s">
        <v>1197</v>
      </c>
      <c r="F2869" s="147" t="s">
        <v>7514</v>
      </c>
      <c r="G2869" s="146" t="s">
        <v>6739</v>
      </c>
      <c r="H2869" s="146" t="s">
        <v>53</v>
      </c>
      <c r="I2869" s="147" t="s">
        <v>1110</v>
      </c>
      <c r="J2869" s="147" t="s">
        <v>6741</v>
      </c>
      <c r="K2869" s="148"/>
      <c r="L2869" s="149"/>
      <c r="M2869" s="148"/>
    </row>
    <row r="2870" spans="1:13" ht="15" customHeight="1">
      <c r="A2870" s="142" t="s">
        <v>7515</v>
      </c>
      <c r="B2870" s="142">
        <v>521606</v>
      </c>
      <c r="C2870" s="143" t="s">
        <v>6735</v>
      </c>
      <c r="D2870" s="142" t="s">
        <v>1107</v>
      </c>
      <c r="E2870" s="143" t="s">
        <v>1197</v>
      </c>
      <c r="F2870" s="143" t="s">
        <v>1197</v>
      </c>
      <c r="G2870" s="142" t="s">
        <v>6739</v>
      </c>
      <c r="H2870" s="142" t="s">
        <v>53</v>
      </c>
      <c r="I2870" s="143" t="s">
        <v>1110</v>
      </c>
      <c r="J2870" s="143" t="s">
        <v>6741</v>
      </c>
      <c r="K2870" s="144"/>
      <c r="L2870" s="145"/>
      <c r="M2870" s="144"/>
    </row>
    <row r="2871" spans="1:13" ht="15" customHeight="1">
      <c r="A2871" s="146" t="s">
        <v>7516</v>
      </c>
      <c r="B2871" s="146">
        <v>521659</v>
      </c>
      <c r="C2871" s="147" t="s">
        <v>6735</v>
      </c>
      <c r="D2871" s="146" t="s">
        <v>1107</v>
      </c>
      <c r="E2871" s="147" t="s">
        <v>1165</v>
      </c>
      <c r="F2871" s="147" t="s">
        <v>1165</v>
      </c>
      <c r="G2871" s="146" t="s">
        <v>6739</v>
      </c>
      <c r="H2871" s="146" t="s">
        <v>53</v>
      </c>
      <c r="I2871" s="147" t="s">
        <v>1110</v>
      </c>
      <c r="J2871" s="147" t="s">
        <v>6741</v>
      </c>
      <c r="K2871" s="148"/>
      <c r="L2871" s="149"/>
      <c r="M2871" s="148"/>
    </row>
    <row r="2872" spans="1:13" ht="15" customHeight="1">
      <c r="A2872" s="142" t="s">
        <v>7517</v>
      </c>
      <c r="B2872" s="142">
        <v>521646</v>
      </c>
      <c r="C2872" s="143" t="s">
        <v>6735</v>
      </c>
      <c r="D2872" s="142" t="s">
        <v>1107</v>
      </c>
      <c r="E2872" s="143" t="s">
        <v>1165</v>
      </c>
      <c r="F2872" s="143" t="s">
        <v>1165</v>
      </c>
      <c r="G2872" s="142" t="s">
        <v>6739</v>
      </c>
      <c r="H2872" s="142" t="s">
        <v>53</v>
      </c>
      <c r="I2872" s="143" t="s">
        <v>1110</v>
      </c>
      <c r="J2872" s="143" t="s">
        <v>6741</v>
      </c>
      <c r="K2872" s="144"/>
      <c r="L2872" s="145"/>
      <c r="M2872" s="144"/>
    </row>
    <row r="2873" spans="1:13" ht="15" customHeight="1">
      <c r="A2873" s="146" t="s">
        <v>7518</v>
      </c>
      <c r="B2873" s="146">
        <v>521725</v>
      </c>
      <c r="C2873" s="147" t="s">
        <v>6735</v>
      </c>
      <c r="D2873" s="146" t="s">
        <v>1107</v>
      </c>
      <c r="E2873" s="147" t="s">
        <v>1165</v>
      </c>
      <c r="F2873" s="147" t="s">
        <v>1165</v>
      </c>
      <c r="G2873" s="146" t="s">
        <v>6739</v>
      </c>
      <c r="H2873" s="146" t="s">
        <v>53</v>
      </c>
      <c r="I2873" s="147" t="s">
        <v>1110</v>
      </c>
      <c r="J2873" s="147" t="s">
        <v>6741</v>
      </c>
      <c r="K2873" s="148"/>
      <c r="L2873" s="149"/>
      <c r="M2873" s="148"/>
    </row>
    <row r="2874" spans="1:13" ht="15" customHeight="1">
      <c r="A2874" s="142" t="s">
        <v>7519</v>
      </c>
      <c r="B2874" s="142">
        <v>521655</v>
      </c>
      <c r="C2874" s="143" t="s">
        <v>6735</v>
      </c>
      <c r="D2874" s="142" t="s">
        <v>1107</v>
      </c>
      <c r="E2874" s="143" t="s">
        <v>1165</v>
      </c>
      <c r="F2874" s="143" t="s">
        <v>1165</v>
      </c>
      <c r="G2874" s="142" t="s">
        <v>6739</v>
      </c>
      <c r="H2874" s="142" t="s">
        <v>53</v>
      </c>
      <c r="I2874" s="143" t="s">
        <v>1110</v>
      </c>
      <c r="J2874" s="143" t="s">
        <v>6741</v>
      </c>
      <c r="K2874" s="144"/>
      <c r="L2874" s="145"/>
      <c r="M2874" s="144"/>
    </row>
    <row r="2875" spans="1:13" ht="15" customHeight="1">
      <c r="A2875" s="146" t="s">
        <v>7520</v>
      </c>
      <c r="B2875" s="146">
        <v>521609</v>
      </c>
      <c r="C2875" s="147" t="s">
        <v>6735</v>
      </c>
      <c r="D2875" s="146" t="s">
        <v>1107</v>
      </c>
      <c r="E2875" s="147" t="s">
        <v>1165</v>
      </c>
      <c r="F2875" s="147" t="s">
        <v>1165</v>
      </c>
      <c r="G2875" s="146" t="s">
        <v>6739</v>
      </c>
      <c r="H2875" s="146" t="s">
        <v>53</v>
      </c>
      <c r="I2875" s="147" t="s">
        <v>1110</v>
      </c>
      <c r="J2875" s="147" t="s">
        <v>6741</v>
      </c>
      <c r="K2875" s="148"/>
      <c r="L2875" s="149"/>
      <c r="M2875" s="148"/>
    </row>
    <row r="2876" spans="1:13" ht="15" customHeight="1">
      <c r="A2876" s="142" t="s">
        <v>7521</v>
      </c>
      <c r="B2876" s="142">
        <v>512856</v>
      </c>
      <c r="C2876" s="143" t="s">
        <v>6735</v>
      </c>
      <c r="D2876" s="142" t="s">
        <v>1107</v>
      </c>
      <c r="E2876" s="143" t="s">
        <v>1165</v>
      </c>
      <c r="F2876" s="143" t="s">
        <v>7522</v>
      </c>
      <c r="G2876" s="142" t="s">
        <v>6739</v>
      </c>
      <c r="H2876" s="142" t="s">
        <v>53</v>
      </c>
      <c r="I2876" s="143" t="s">
        <v>1110</v>
      </c>
      <c r="J2876" s="143" t="s">
        <v>6741</v>
      </c>
      <c r="K2876" s="144"/>
      <c r="L2876" s="145"/>
      <c r="M2876" s="144"/>
    </row>
    <row r="2877" spans="1:13" ht="15" customHeight="1">
      <c r="A2877" s="146" t="s">
        <v>7523</v>
      </c>
      <c r="B2877" s="146">
        <v>521711</v>
      </c>
      <c r="C2877" s="147" t="s">
        <v>6735</v>
      </c>
      <c r="D2877" s="146" t="s">
        <v>1107</v>
      </c>
      <c r="E2877" s="147" t="s">
        <v>1165</v>
      </c>
      <c r="F2877" s="147" t="s">
        <v>7524</v>
      </c>
      <c r="G2877" s="146" t="s">
        <v>6739</v>
      </c>
      <c r="H2877" s="146" t="s">
        <v>53</v>
      </c>
      <c r="I2877" s="147" t="s">
        <v>1110</v>
      </c>
      <c r="J2877" s="147" t="s">
        <v>6741</v>
      </c>
      <c r="K2877" s="148"/>
      <c r="L2877" s="149"/>
      <c r="M2877" s="148"/>
    </row>
    <row r="2878" spans="1:13" ht="15" customHeight="1">
      <c r="A2878" s="142" t="s">
        <v>7525</v>
      </c>
      <c r="B2878" s="142">
        <v>521605</v>
      </c>
      <c r="C2878" s="143" t="s">
        <v>6735</v>
      </c>
      <c r="D2878" s="142" t="s">
        <v>1107</v>
      </c>
      <c r="E2878" s="143" t="s">
        <v>1165</v>
      </c>
      <c r="F2878" s="143" t="s">
        <v>1165</v>
      </c>
      <c r="G2878" s="142" t="s">
        <v>6739</v>
      </c>
      <c r="H2878" s="142" t="s">
        <v>53</v>
      </c>
      <c r="I2878" s="143" t="s">
        <v>1110</v>
      </c>
      <c r="J2878" s="143" t="s">
        <v>6741</v>
      </c>
      <c r="K2878" s="144"/>
      <c r="L2878" s="145"/>
      <c r="M2878" s="144"/>
    </row>
    <row r="2879" spans="1:13" ht="15" customHeight="1">
      <c r="A2879" s="146" t="s">
        <v>7526</v>
      </c>
      <c r="B2879" s="146">
        <v>521567</v>
      </c>
      <c r="C2879" s="147" t="s">
        <v>6735</v>
      </c>
      <c r="D2879" s="146" t="s">
        <v>1107</v>
      </c>
      <c r="E2879" s="147" t="s">
        <v>1172</v>
      </c>
      <c r="F2879" s="147" t="s">
        <v>1172</v>
      </c>
      <c r="G2879" s="146" t="s">
        <v>6739</v>
      </c>
      <c r="H2879" s="146" t="s">
        <v>53</v>
      </c>
      <c r="I2879" s="147" t="s">
        <v>1110</v>
      </c>
      <c r="J2879" s="147" t="s">
        <v>6741</v>
      </c>
      <c r="K2879" s="148"/>
      <c r="L2879" s="149"/>
      <c r="M2879" s="148"/>
    </row>
    <row r="2880" spans="1:13" ht="15" customHeight="1">
      <c r="A2880" s="142" t="s">
        <v>7527</v>
      </c>
      <c r="B2880" s="142">
        <v>521604</v>
      </c>
      <c r="C2880" s="143" t="s">
        <v>6735</v>
      </c>
      <c r="D2880" s="142" t="s">
        <v>1107</v>
      </c>
      <c r="E2880" s="143" t="s">
        <v>1172</v>
      </c>
      <c r="F2880" s="143" t="s">
        <v>1172</v>
      </c>
      <c r="G2880" s="142" t="s">
        <v>6739</v>
      </c>
      <c r="H2880" s="142" t="s">
        <v>53</v>
      </c>
      <c r="I2880" s="143" t="s">
        <v>1110</v>
      </c>
      <c r="J2880" s="143" t="s">
        <v>6741</v>
      </c>
      <c r="K2880" s="144"/>
      <c r="L2880" s="145"/>
      <c r="M2880" s="144"/>
    </row>
    <row r="2881" spans="1:13" ht="15" customHeight="1">
      <c r="A2881" s="146" t="s">
        <v>7528</v>
      </c>
      <c r="B2881" s="146">
        <v>521569</v>
      </c>
      <c r="C2881" s="147" t="s">
        <v>6735</v>
      </c>
      <c r="D2881" s="146" t="s">
        <v>1107</v>
      </c>
      <c r="E2881" s="147" t="s">
        <v>1172</v>
      </c>
      <c r="F2881" s="147" t="s">
        <v>1172</v>
      </c>
      <c r="G2881" s="146" t="s">
        <v>6739</v>
      </c>
      <c r="H2881" s="146" t="s">
        <v>53</v>
      </c>
      <c r="I2881" s="147" t="s">
        <v>1110</v>
      </c>
      <c r="J2881" s="147" t="s">
        <v>6741</v>
      </c>
      <c r="K2881" s="148"/>
      <c r="L2881" s="149"/>
      <c r="M2881" s="148"/>
    </row>
    <row r="2882" spans="1:13" ht="15" customHeight="1">
      <c r="A2882" s="142" t="s">
        <v>7529</v>
      </c>
      <c r="B2882" s="142">
        <v>521639</v>
      </c>
      <c r="C2882" s="143" t="s">
        <v>6735</v>
      </c>
      <c r="D2882" s="142" t="s">
        <v>1107</v>
      </c>
      <c r="E2882" s="143" t="s">
        <v>1172</v>
      </c>
      <c r="F2882" s="143" t="s">
        <v>1172</v>
      </c>
      <c r="G2882" s="142" t="s">
        <v>6739</v>
      </c>
      <c r="H2882" s="142" t="s">
        <v>53</v>
      </c>
      <c r="I2882" s="143" t="s">
        <v>1110</v>
      </c>
      <c r="J2882" s="143" t="s">
        <v>6741</v>
      </c>
      <c r="K2882" s="144"/>
      <c r="L2882" s="145"/>
      <c r="M2882" s="144"/>
    </row>
    <row r="2883" spans="1:13" ht="15" customHeight="1">
      <c r="A2883" s="146" t="s">
        <v>7530</v>
      </c>
      <c r="B2883" s="146">
        <v>521719</v>
      </c>
      <c r="C2883" s="147" t="s">
        <v>6735</v>
      </c>
      <c r="D2883" s="146" t="s">
        <v>1107</v>
      </c>
      <c r="E2883" s="147" t="s">
        <v>1172</v>
      </c>
      <c r="F2883" s="147" t="s">
        <v>1172</v>
      </c>
      <c r="G2883" s="146" t="s">
        <v>6739</v>
      </c>
      <c r="H2883" s="146" t="s">
        <v>53</v>
      </c>
      <c r="I2883" s="147" t="s">
        <v>1110</v>
      </c>
      <c r="J2883" s="147" t="s">
        <v>6741</v>
      </c>
      <c r="K2883" s="148"/>
      <c r="L2883" s="149"/>
      <c r="M2883" s="148"/>
    </row>
    <row r="2884" spans="1:13" ht="15" customHeight="1">
      <c r="A2884" s="142" t="s">
        <v>7531</v>
      </c>
      <c r="B2884" s="142">
        <v>521700</v>
      </c>
      <c r="C2884" s="143" t="s">
        <v>6735</v>
      </c>
      <c r="D2884" s="142" t="s">
        <v>1107</v>
      </c>
      <c r="E2884" s="143" t="s">
        <v>1172</v>
      </c>
      <c r="F2884" s="143" t="s">
        <v>1172</v>
      </c>
      <c r="G2884" s="142" t="s">
        <v>6739</v>
      </c>
      <c r="H2884" s="142" t="s">
        <v>53</v>
      </c>
      <c r="I2884" s="143" t="s">
        <v>1110</v>
      </c>
      <c r="J2884" s="143" t="s">
        <v>6741</v>
      </c>
      <c r="K2884" s="144"/>
      <c r="L2884" s="145"/>
      <c r="M2884" s="144"/>
    </row>
    <row r="2885" spans="1:13" ht="15" customHeight="1">
      <c r="A2885" s="146" t="s">
        <v>7532</v>
      </c>
      <c r="B2885" s="146">
        <v>521726</v>
      </c>
      <c r="C2885" s="147" t="s">
        <v>6735</v>
      </c>
      <c r="D2885" s="146" t="s">
        <v>1107</v>
      </c>
      <c r="E2885" s="147" t="s">
        <v>725</v>
      </c>
      <c r="F2885" s="147" t="s">
        <v>725</v>
      </c>
      <c r="G2885" s="146" t="s">
        <v>6739</v>
      </c>
      <c r="H2885" s="146" t="s">
        <v>53</v>
      </c>
      <c r="I2885" s="147" t="s">
        <v>1110</v>
      </c>
      <c r="J2885" s="147" t="s">
        <v>6741</v>
      </c>
      <c r="K2885" s="148"/>
      <c r="L2885" s="149"/>
      <c r="M2885" s="148"/>
    </row>
    <row r="2886" spans="1:13" ht="15" customHeight="1">
      <c r="A2886" s="142" t="s">
        <v>7533</v>
      </c>
      <c r="B2886" s="142">
        <v>521694</v>
      </c>
      <c r="C2886" s="143" t="s">
        <v>6735</v>
      </c>
      <c r="D2886" s="142" t="s">
        <v>1107</v>
      </c>
      <c r="E2886" s="143" t="s">
        <v>725</v>
      </c>
      <c r="F2886" s="143" t="s">
        <v>725</v>
      </c>
      <c r="G2886" s="142" t="s">
        <v>6739</v>
      </c>
      <c r="H2886" s="142" t="s">
        <v>53</v>
      </c>
      <c r="I2886" s="143" t="s">
        <v>1110</v>
      </c>
      <c r="J2886" s="143" t="s">
        <v>6741</v>
      </c>
      <c r="K2886" s="144"/>
      <c r="L2886" s="145"/>
      <c r="M2886" s="144"/>
    </row>
    <row r="2887" spans="1:13" ht="15" customHeight="1">
      <c r="A2887" s="146" t="s">
        <v>7534</v>
      </c>
      <c r="B2887" s="146">
        <v>521619</v>
      </c>
      <c r="C2887" s="147" t="s">
        <v>6735</v>
      </c>
      <c r="D2887" s="146" t="s">
        <v>1107</v>
      </c>
      <c r="E2887" s="147" t="s">
        <v>745</v>
      </c>
      <c r="F2887" s="147" t="s">
        <v>745</v>
      </c>
      <c r="G2887" s="146" t="s">
        <v>6739</v>
      </c>
      <c r="H2887" s="146" t="s">
        <v>53</v>
      </c>
      <c r="I2887" s="147" t="s">
        <v>1110</v>
      </c>
      <c r="J2887" s="147" t="s">
        <v>6741</v>
      </c>
      <c r="K2887" s="148"/>
      <c r="L2887" s="149"/>
      <c r="M2887" s="148"/>
    </row>
    <row r="2888" spans="1:13" ht="15" customHeight="1">
      <c r="A2888" s="142" t="s">
        <v>7535</v>
      </c>
      <c r="B2888" s="142">
        <v>520693</v>
      </c>
      <c r="C2888" s="143" t="s">
        <v>6735</v>
      </c>
      <c r="D2888" s="142" t="s">
        <v>1107</v>
      </c>
      <c r="E2888" s="143" t="s">
        <v>1108</v>
      </c>
      <c r="F2888" s="143" t="s">
        <v>1108</v>
      </c>
      <c r="G2888" s="142" t="s">
        <v>6739</v>
      </c>
      <c r="H2888" s="142" t="s">
        <v>53</v>
      </c>
      <c r="I2888" s="143" t="s">
        <v>1110</v>
      </c>
      <c r="J2888" s="143" t="s">
        <v>6741</v>
      </c>
      <c r="K2888" s="144"/>
      <c r="L2888" s="145"/>
      <c r="M2888" s="144"/>
    </row>
    <row r="2889" spans="1:13" ht="15" customHeight="1">
      <c r="A2889" s="146" t="s">
        <v>7536</v>
      </c>
      <c r="B2889" s="146">
        <v>521640</v>
      </c>
      <c r="C2889" s="147" t="s">
        <v>6735</v>
      </c>
      <c r="D2889" s="146" t="s">
        <v>1107</v>
      </c>
      <c r="E2889" s="147" t="s">
        <v>1113</v>
      </c>
      <c r="F2889" s="147" t="s">
        <v>1113</v>
      </c>
      <c r="G2889" s="146" t="s">
        <v>6739</v>
      </c>
      <c r="H2889" s="146" t="s">
        <v>53</v>
      </c>
      <c r="I2889" s="147" t="s">
        <v>1110</v>
      </c>
      <c r="J2889" s="147" t="s">
        <v>6741</v>
      </c>
      <c r="K2889" s="148"/>
      <c r="L2889" s="149"/>
      <c r="M2889" s="148"/>
    </row>
    <row r="2890" spans="1:13" ht="15" customHeight="1">
      <c r="A2890" s="142" t="s">
        <v>7537</v>
      </c>
      <c r="B2890" s="142">
        <v>521723</v>
      </c>
      <c r="C2890" s="143" t="s">
        <v>6735</v>
      </c>
      <c r="D2890" s="142" t="s">
        <v>1107</v>
      </c>
      <c r="E2890" s="143" t="s">
        <v>1113</v>
      </c>
      <c r="F2890" s="143" t="s">
        <v>1113</v>
      </c>
      <c r="G2890" s="142" t="s">
        <v>6739</v>
      </c>
      <c r="H2890" s="142" t="s">
        <v>53</v>
      </c>
      <c r="I2890" s="143" t="s">
        <v>1110</v>
      </c>
      <c r="J2890" s="143" t="s">
        <v>6741</v>
      </c>
      <c r="K2890" s="144"/>
      <c r="L2890" s="145"/>
      <c r="M2890" s="144"/>
    </row>
    <row r="2891" spans="1:13" ht="15" customHeight="1">
      <c r="A2891" s="146" t="s">
        <v>7538</v>
      </c>
      <c r="B2891" s="146">
        <v>521530</v>
      </c>
      <c r="C2891" s="147" t="s">
        <v>6735</v>
      </c>
      <c r="D2891" s="146" t="s">
        <v>1107</v>
      </c>
      <c r="E2891" s="147" t="s">
        <v>1113</v>
      </c>
      <c r="F2891" s="147" t="s">
        <v>1113</v>
      </c>
      <c r="G2891" s="146" t="s">
        <v>6739</v>
      </c>
      <c r="H2891" s="146" t="s">
        <v>53</v>
      </c>
      <c r="I2891" s="147" t="s">
        <v>1110</v>
      </c>
      <c r="J2891" s="147" t="s">
        <v>6741</v>
      </c>
      <c r="K2891" s="148"/>
      <c r="L2891" s="149"/>
      <c r="M2891" s="148"/>
    </row>
    <row r="2892" spans="1:13" ht="15" customHeight="1">
      <c r="A2892" s="142" t="s">
        <v>7539</v>
      </c>
      <c r="B2892" s="142">
        <v>521600</v>
      </c>
      <c r="C2892" s="143" t="s">
        <v>6735</v>
      </c>
      <c r="D2892" s="142" t="s">
        <v>1107</v>
      </c>
      <c r="E2892" s="143" t="s">
        <v>1113</v>
      </c>
      <c r="F2892" s="143" t="s">
        <v>1113</v>
      </c>
      <c r="G2892" s="142" t="s">
        <v>6739</v>
      </c>
      <c r="H2892" s="142" t="s">
        <v>53</v>
      </c>
      <c r="I2892" s="143" t="s">
        <v>1110</v>
      </c>
      <c r="J2892" s="143" t="s">
        <v>6741</v>
      </c>
      <c r="K2892" s="144"/>
      <c r="L2892" s="145"/>
      <c r="M2892" s="144"/>
    </row>
    <row r="2893" spans="1:13" ht="15" customHeight="1">
      <c r="A2893" s="146" t="s">
        <v>7540</v>
      </c>
      <c r="B2893" s="146">
        <v>521724</v>
      </c>
      <c r="C2893" s="147" t="s">
        <v>6735</v>
      </c>
      <c r="D2893" s="146" t="s">
        <v>1107</v>
      </c>
      <c r="E2893" s="147" t="s">
        <v>1131</v>
      </c>
      <c r="F2893" s="147" t="s">
        <v>1131</v>
      </c>
      <c r="G2893" s="146" t="s">
        <v>6739</v>
      </c>
      <c r="H2893" s="146" t="s">
        <v>53</v>
      </c>
      <c r="I2893" s="147" t="s">
        <v>1110</v>
      </c>
      <c r="J2893" s="147" t="s">
        <v>6741</v>
      </c>
      <c r="K2893" s="148"/>
      <c r="L2893" s="149"/>
      <c r="M2893" s="148"/>
    </row>
    <row r="2894" spans="1:13" ht="15" customHeight="1">
      <c r="A2894" s="142" t="s">
        <v>7541</v>
      </c>
      <c r="B2894" s="142">
        <v>521603</v>
      </c>
      <c r="C2894" s="143" t="s">
        <v>6735</v>
      </c>
      <c r="D2894" s="142" t="s">
        <v>1107</v>
      </c>
      <c r="E2894" s="143" t="s">
        <v>1131</v>
      </c>
      <c r="F2894" s="143" t="s">
        <v>1131</v>
      </c>
      <c r="G2894" s="142" t="s">
        <v>6739</v>
      </c>
      <c r="H2894" s="142" t="s">
        <v>53</v>
      </c>
      <c r="I2894" s="143" t="s">
        <v>1110</v>
      </c>
      <c r="J2894" s="143" t="s">
        <v>6741</v>
      </c>
      <c r="K2894" s="144"/>
      <c r="L2894" s="145"/>
      <c r="M2894" s="144"/>
    </row>
    <row r="2895" spans="1:13" ht="15" customHeight="1">
      <c r="A2895" s="146" t="s">
        <v>7542</v>
      </c>
      <c r="B2895" s="146">
        <v>521682</v>
      </c>
      <c r="C2895" s="147" t="s">
        <v>6735</v>
      </c>
      <c r="D2895" s="146" t="s">
        <v>1107</v>
      </c>
      <c r="E2895" s="147" t="s">
        <v>1147</v>
      </c>
      <c r="F2895" s="147" t="s">
        <v>1147</v>
      </c>
      <c r="G2895" s="146" t="s">
        <v>6739</v>
      </c>
      <c r="H2895" s="146" t="s">
        <v>53</v>
      </c>
      <c r="I2895" s="147" t="s">
        <v>1110</v>
      </c>
      <c r="J2895" s="147" t="s">
        <v>6741</v>
      </c>
      <c r="K2895" s="148"/>
      <c r="L2895" s="149"/>
      <c r="M2895" s="148"/>
    </row>
    <row r="2896" spans="1:13" ht="15" customHeight="1">
      <c r="A2896" s="142" t="s">
        <v>7543</v>
      </c>
      <c r="B2896" s="142">
        <v>521672</v>
      </c>
      <c r="C2896" s="143" t="s">
        <v>6735</v>
      </c>
      <c r="D2896" s="142" t="s">
        <v>1107</v>
      </c>
      <c r="E2896" s="143" t="s">
        <v>1108</v>
      </c>
      <c r="F2896" s="143" t="s">
        <v>1108</v>
      </c>
      <c r="G2896" s="142" t="s">
        <v>6739</v>
      </c>
      <c r="H2896" s="142" t="s">
        <v>53</v>
      </c>
      <c r="I2896" s="143" t="s">
        <v>1184</v>
      </c>
      <c r="J2896" s="143" t="s">
        <v>6741</v>
      </c>
      <c r="K2896" s="144"/>
      <c r="L2896" s="145"/>
      <c r="M2896" s="144"/>
    </row>
    <row r="2897" spans="1:13" ht="15" customHeight="1">
      <c r="A2897" s="146" t="s">
        <v>7544</v>
      </c>
      <c r="B2897" s="146">
        <v>521623</v>
      </c>
      <c r="C2897" s="147" t="s">
        <v>6735</v>
      </c>
      <c r="D2897" s="146" t="s">
        <v>1107</v>
      </c>
      <c r="E2897" s="147" t="s">
        <v>1156</v>
      </c>
      <c r="F2897" s="147" t="s">
        <v>1156</v>
      </c>
      <c r="G2897" s="146" t="s">
        <v>6739</v>
      </c>
      <c r="H2897" s="146" t="s">
        <v>53</v>
      </c>
      <c r="I2897" s="147" t="s">
        <v>1110</v>
      </c>
      <c r="J2897" s="147" t="s">
        <v>6741</v>
      </c>
      <c r="K2897" s="148"/>
      <c r="L2897" s="149"/>
      <c r="M2897" s="148"/>
    </row>
    <row r="2898" spans="1:13" ht="15" customHeight="1">
      <c r="A2898" s="142" t="s">
        <v>7545</v>
      </c>
      <c r="B2898" s="142">
        <v>521718</v>
      </c>
      <c r="C2898" s="143" t="s">
        <v>6735</v>
      </c>
      <c r="D2898" s="142" t="s">
        <v>1107</v>
      </c>
      <c r="E2898" s="143" t="s">
        <v>1131</v>
      </c>
      <c r="F2898" s="143" t="s">
        <v>1131</v>
      </c>
      <c r="G2898" s="142" t="s">
        <v>6739</v>
      </c>
      <c r="H2898" s="142" t="s">
        <v>53</v>
      </c>
      <c r="I2898" s="143" t="s">
        <v>1110</v>
      </c>
      <c r="J2898" s="143" t="s">
        <v>6741</v>
      </c>
      <c r="K2898" s="144"/>
      <c r="L2898" s="145"/>
      <c r="M2898" s="144"/>
    </row>
    <row r="2899" spans="1:13" ht="15" customHeight="1">
      <c r="A2899" s="146" t="s">
        <v>7546</v>
      </c>
      <c r="B2899" s="146">
        <v>521654</v>
      </c>
      <c r="C2899" s="147" t="s">
        <v>6735</v>
      </c>
      <c r="D2899" s="146" t="s">
        <v>1107</v>
      </c>
      <c r="E2899" s="147" t="s">
        <v>1172</v>
      </c>
      <c r="F2899" s="147" t="s">
        <v>1172</v>
      </c>
      <c r="G2899" s="146" t="s">
        <v>6739</v>
      </c>
      <c r="H2899" s="146" t="s">
        <v>53</v>
      </c>
      <c r="I2899" s="147" t="s">
        <v>1110</v>
      </c>
      <c r="J2899" s="147" t="s">
        <v>6741</v>
      </c>
      <c r="K2899" s="148"/>
      <c r="L2899" s="149"/>
      <c r="M2899" s="148"/>
    </row>
    <row r="2900" spans="1:13" ht="15" customHeight="1">
      <c r="A2900" s="142" t="s">
        <v>7547</v>
      </c>
      <c r="B2900" s="142">
        <v>521714</v>
      </c>
      <c r="C2900" s="143" t="s">
        <v>6735</v>
      </c>
      <c r="D2900" s="142" t="s">
        <v>1107</v>
      </c>
      <c r="E2900" s="143" t="s">
        <v>725</v>
      </c>
      <c r="F2900" s="143" t="s">
        <v>725</v>
      </c>
      <c r="G2900" s="142" t="s">
        <v>6739</v>
      </c>
      <c r="H2900" s="142" t="s">
        <v>53</v>
      </c>
      <c r="I2900" s="143" t="s">
        <v>1110</v>
      </c>
      <c r="J2900" s="143" t="s">
        <v>6741</v>
      </c>
      <c r="K2900" s="144"/>
      <c r="L2900" s="145"/>
      <c r="M2900" s="144"/>
    </row>
    <row r="2901" spans="1:13" ht="15" customHeight="1">
      <c r="A2901" s="146" t="s">
        <v>7548</v>
      </c>
      <c r="B2901" s="146">
        <v>521643</v>
      </c>
      <c r="C2901" s="147" t="s">
        <v>6735</v>
      </c>
      <c r="D2901" s="146" t="s">
        <v>1107</v>
      </c>
      <c r="E2901" s="147" t="s">
        <v>1131</v>
      </c>
      <c r="F2901" s="147" t="s">
        <v>1131</v>
      </c>
      <c r="G2901" s="146" t="s">
        <v>6739</v>
      </c>
      <c r="H2901" s="146" t="s">
        <v>53</v>
      </c>
      <c r="I2901" s="147" t="s">
        <v>1110</v>
      </c>
      <c r="J2901" s="147" t="s">
        <v>6741</v>
      </c>
      <c r="K2901" s="148"/>
      <c r="L2901" s="149"/>
      <c r="M2901" s="148"/>
    </row>
    <row r="2902" spans="1:13" ht="15" customHeight="1">
      <c r="A2902" s="142" t="s">
        <v>7549</v>
      </c>
      <c r="B2902" s="142">
        <v>521642</v>
      </c>
      <c r="C2902" s="143" t="s">
        <v>6735</v>
      </c>
      <c r="D2902" s="142" t="s">
        <v>1107</v>
      </c>
      <c r="E2902" s="143" t="s">
        <v>1131</v>
      </c>
      <c r="F2902" s="143" t="s">
        <v>1131</v>
      </c>
      <c r="G2902" s="142" t="s">
        <v>6739</v>
      </c>
      <c r="H2902" s="142" t="s">
        <v>53</v>
      </c>
      <c r="I2902" s="143" t="s">
        <v>1110</v>
      </c>
      <c r="J2902" s="143" t="s">
        <v>6741</v>
      </c>
      <c r="K2902" s="144"/>
      <c r="L2902" s="145"/>
      <c r="M2902" s="144"/>
    </row>
    <row r="2903" spans="1:13" ht="15" customHeight="1">
      <c r="A2903" s="146" t="s">
        <v>7550</v>
      </c>
      <c r="B2903" s="146">
        <v>521690</v>
      </c>
      <c r="C2903" s="147" t="s">
        <v>6735</v>
      </c>
      <c r="D2903" s="146" t="s">
        <v>1107</v>
      </c>
      <c r="E2903" s="147" t="s">
        <v>4691</v>
      </c>
      <c r="F2903" s="147" t="s">
        <v>4691</v>
      </c>
      <c r="G2903" s="146" t="s">
        <v>6739</v>
      </c>
      <c r="H2903" s="146" t="s">
        <v>53</v>
      </c>
      <c r="I2903" s="147" t="s">
        <v>1110</v>
      </c>
      <c r="J2903" s="147" t="s">
        <v>6741</v>
      </c>
      <c r="K2903" s="148"/>
      <c r="L2903" s="149"/>
      <c r="M2903" s="148"/>
    </row>
    <row r="2904" spans="1:13" ht="15" customHeight="1">
      <c r="A2904" s="142" t="s">
        <v>7551</v>
      </c>
      <c r="B2904" s="142">
        <v>521599</v>
      </c>
      <c r="C2904" s="143" t="s">
        <v>6735</v>
      </c>
      <c r="D2904" s="142" t="s">
        <v>1107</v>
      </c>
      <c r="E2904" s="143" t="s">
        <v>1131</v>
      </c>
      <c r="F2904" s="143" t="s">
        <v>1131</v>
      </c>
      <c r="G2904" s="142" t="s">
        <v>6739</v>
      </c>
      <c r="H2904" s="142" t="s">
        <v>53</v>
      </c>
      <c r="I2904" s="143" t="s">
        <v>1110</v>
      </c>
      <c r="J2904" s="143" t="s">
        <v>6741</v>
      </c>
      <c r="K2904" s="144"/>
      <c r="L2904" s="145"/>
      <c r="M2904" s="144"/>
    </row>
    <row r="2905" spans="1:13" ht="15" customHeight="1">
      <c r="A2905" s="146" t="s">
        <v>7552</v>
      </c>
      <c r="B2905" s="146">
        <v>521638</v>
      </c>
      <c r="C2905" s="147" t="s">
        <v>6735</v>
      </c>
      <c r="D2905" s="146" t="s">
        <v>1107</v>
      </c>
      <c r="E2905" s="147" t="s">
        <v>1156</v>
      </c>
      <c r="F2905" s="147" t="s">
        <v>1156</v>
      </c>
      <c r="G2905" s="146" t="s">
        <v>6739</v>
      </c>
      <c r="H2905" s="146" t="s">
        <v>53</v>
      </c>
      <c r="I2905" s="147" t="s">
        <v>1110</v>
      </c>
      <c r="J2905" s="147" t="s">
        <v>6741</v>
      </c>
      <c r="K2905" s="148"/>
      <c r="L2905" s="149"/>
      <c r="M2905" s="148"/>
    </row>
    <row r="2906" spans="1:13" ht="15" customHeight="1">
      <c r="A2906" s="142" t="s">
        <v>7553</v>
      </c>
      <c r="B2906" s="142">
        <v>521710</v>
      </c>
      <c r="C2906" s="143" t="s">
        <v>6735</v>
      </c>
      <c r="D2906" s="142" t="s">
        <v>1107</v>
      </c>
      <c r="E2906" s="143" t="s">
        <v>1165</v>
      </c>
      <c r="F2906" s="143" t="s">
        <v>7524</v>
      </c>
      <c r="G2906" s="142" t="s">
        <v>6739</v>
      </c>
      <c r="H2906" s="142" t="s">
        <v>53</v>
      </c>
      <c r="I2906" s="143" t="s">
        <v>1110</v>
      </c>
      <c r="J2906" s="143" t="s">
        <v>6741</v>
      </c>
      <c r="K2906" s="144"/>
      <c r="L2906" s="145"/>
      <c r="M2906" s="144"/>
    </row>
    <row r="2907" spans="1:13" ht="15" customHeight="1">
      <c r="A2907" s="146" t="s">
        <v>7554</v>
      </c>
      <c r="B2907" s="146">
        <v>521653</v>
      </c>
      <c r="C2907" s="147" t="s">
        <v>6735</v>
      </c>
      <c r="D2907" s="146" t="s">
        <v>1107</v>
      </c>
      <c r="E2907" s="147" t="s">
        <v>1131</v>
      </c>
      <c r="F2907" s="147" t="s">
        <v>1131</v>
      </c>
      <c r="G2907" s="146" t="s">
        <v>6739</v>
      </c>
      <c r="H2907" s="146" t="s">
        <v>53</v>
      </c>
      <c r="I2907" s="147" t="s">
        <v>1110</v>
      </c>
      <c r="J2907" s="147" t="s">
        <v>6741</v>
      </c>
      <c r="K2907" s="148"/>
      <c r="L2907" s="149"/>
      <c r="M2907" s="148"/>
    </row>
    <row r="2908" spans="1:13" ht="15" customHeight="1">
      <c r="A2908" s="142" t="s">
        <v>7555</v>
      </c>
      <c r="B2908" s="142">
        <v>521664</v>
      </c>
      <c r="C2908" s="143" t="s">
        <v>6735</v>
      </c>
      <c r="D2908" s="142" t="s">
        <v>1107</v>
      </c>
      <c r="E2908" s="143" t="s">
        <v>1194</v>
      </c>
      <c r="F2908" s="143" t="s">
        <v>7556</v>
      </c>
      <c r="G2908" s="142" t="s">
        <v>6739</v>
      </c>
      <c r="H2908" s="142" t="s">
        <v>53</v>
      </c>
      <c r="I2908" s="143" t="s">
        <v>1110</v>
      </c>
      <c r="J2908" s="143" t="s">
        <v>6741</v>
      </c>
      <c r="K2908" s="144"/>
      <c r="L2908" s="145"/>
      <c r="M2908" s="144"/>
    </row>
    <row r="2909" spans="1:13" ht="15" customHeight="1">
      <c r="A2909" s="146" t="s">
        <v>7557</v>
      </c>
      <c r="B2909" s="146">
        <v>521473</v>
      </c>
      <c r="C2909" s="147" t="s">
        <v>6735</v>
      </c>
      <c r="D2909" s="146" t="s">
        <v>1107</v>
      </c>
      <c r="E2909" s="147" t="s">
        <v>1197</v>
      </c>
      <c r="F2909" s="147" t="s">
        <v>1197</v>
      </c>
      <c r="G2909" s="146" t="s">
        <v>6739</v>
      </c>
      <c r="H2909" s="146" t="s">
        <v>53</v>
      </c>
      <c r="I2909" s="147" t="s">
        <v>1110</v>
      </c>
      <c r="J2909" s="147" t="s">
        <v>6741</v>
      </c>
      <c r="K2909" s="148"/>
      <c r="L2909" s="149"/>
      <c r="M2909" s="148"/>
    </row>
    <row r="2910" spans="1:13" ht="15" customHeight="1">
      <c r="A2910" s="142" t="s">
        <v>7558</v>
      </c>
      <c r="B2910" s="142">
        <v>521686</v>
      </c>
      <c r="C2910" s="143" t="s">
        <v>6735</v>
      </c>
      <c r="D2910" s="142" t="s">
        <v>1107</v>
      </c>
      <c r="E2910" s="143" t="s">
        <v>4691</v>
      </c>
      <c r="F2910" s="143" t="s">
        <v>4691</v>
      </c>
      <c r="G2910" s="142" t="s">
        <v>6739</v>
      </c>
      <c r="H2910" s="142" t="s">
        <v>53</v>
      </c>
      <c r="I2910" s="143" t="s">
        <v>1110</v>
      </c>
      <c r="J2910" s="143" t="s">
        <v>6741</v>
      </c>
      <c r="K2910" s="144"/>
      <c r="L2910" s="145"/>
      <c r="M2910" s="144"/>
    </row>
    <row r="2911" spans="1:13" ht="15" customHeight="1">
      <c r="A2911" s="146" t="s">
        <v>7559</v>
      </c>
      <c r="B2911" s="146">
        <v>521683</v>
      </c>
      <c r="C2911" s="147" t="s">
        <v>6735</v>
      </c>
      <c r="D2911" s="146" t="s">
        <v>1107</v>
      </c>
      <c r="E2911" s="147" t="s">
        <v>1108</v>
      </c>
      <c r="F2911" s="147" t="s">
        <v>1108</v>
      </c>
      <c r="G2911" s="146" t="s">
        <v>6739</v>
      </c>
      <c r="H2911" s="146" t="s">
        <v>53</v>
      </c>
      <c r="I2911" s="147" t="s">
        <v>1184</v>
      </c>
      <c r="J2911" s="147" t="s">
        <v>6741</v>
      </c>
      <c r="K2911" s="148"/>
      <c r="L2911" s="149"/>
      <c r="M2911" s="148"/>
    </row>
    <row r="2912" spans="1:13" ht="15" customHeight="1">
      <c r="A2912" s="142" t="s">
        <v>7560</v>
      </c>
      <c r="B2912" s="142">
        <v>521644</v>
      </c>
      <c r="C2912" s="143" t="s">
        <v>6735</v>
      </c>
      <c r="D2912" s="142" t="s">
        <v>1107</v>
      </c>
      <c r="E2912" s="143" t="s">
        <v>1142</v>
      </c>
      <c r="F2912" s="143" t="s">
        <v>1142</v>
      </c>
      <c r="G2912" s="142" t="s">
        <v>6739</v>
      </c>
      <c r="H2912" s="142" t="s">
        <v>53</v>
      </c>
      <c r="I2912" s="143" t="s">
        <v>1110</v>
      </c>
      <c r="J2912" s="143" t="s">
        <v>6741</v>
      </c>
      <c r="K2912" s="144"/>
      <c r="L2912" s="145"/>
      <c r="M2912" s="144"/>
    </row>
    <row r="2913" spans="1:13" ht="15" customHeight="1">
      <c r="A2913" s="146" t="s">
        <v>7561</v>
      </c>
      <c r="B2913" s="146">
        <v>521626</v>
      </c>
      <c r="C2913" s="147" t="s">
        <v>6735</v>
      </c>
      <c r="D2913" s="146" t="s">
        <v>1107</v>
      </c>
      <c r="E2913" s="147" t="s">
        <v>1156</v>
      </c>
      <c r="F2913" s="147" t="s">
        <v>1156</v>
      </c>
      <c r="G2913" s="146" t="s">
        <v>6739</v>
      </c>
      <c r="H2913" s="146" t="s">
        <v>53</v>
      </c>
      <c r="I2913" s="147" t="s">
        <v>1110</v>
      </c>
      <c r="J2913" s="147" t="s">
        <v>6741</v>
      </c>
      <c r="K2913" s="148"/>
      <c r="L2913" s="149"/>
      <c r="M2913" s="148"/>
    </row>
    <row r="2914" spans="1:13" ht="15" customHeight="1">
      <c r="A2914" s="142" t="s">
        <v>7562</v>
      </c>
      <c r="B2914" s="142">
        <v>521624</v>
      </c>
      <c r="C2914" s="143" t="s">
        <v>6735</v>
      </c>
      <c r="D2914" s="142" t="s">
        <v>1107</v>
      </c>
      <c r="E2914" s="143" t="s">
        <v>1156</v>
      </c>
      <c r="F2914" s="143" t="s">
        <v>1156</v>
      </c>
      <c r="G2914" s="142" t="s">
        <v>6739</v>
      </c>
      <c r="H2914" s="142" t="s">
        <v>53</v>
      </c>
      <c r="I2914" s="143" t="s">
        <v>1110</v>
      </c>
      <c r="J2914" s="143" t="s">
        <v>6741</v>
      </c>
      <c r="K2914" s="144"/>
      <c r="L2914" s="145"/>
      <c r="M2914" s="144"/>
    </row>
    <row r="2915" spans="1:13" ht="15" customHeight="1">
      <c r="A2915" s="146" t="s">
        <v>7563</v>
      </c>
      <c r="B2915" s="146">
        <v>521720</v>
      </c>
      <c r="C2915" s="147" t="s">
        <v>6735</v>
      </c>
      <c r="D2915" s="146" t="s">
        <v>1107</v>
      </c>
      <c r="E2915" s="147" t="s">
        <v>1172</v>
      </c>
      <c r="F2915" s="147" t="s">
        <v>1172</v>
      </c>
      <c r="G2915" s="146" t="s">
        <v>6739</v>
      </c>
      <c r="H2915" s="146" t="s">
        <v>53</v>
      </c>
      <c r="I2915" s="147" t="s">
        <v>1110</v>
      </c>
      <c r="J2915" s="147" t="s">
        <v>6741</v>
      </c>
      <c r="K2915" s="148"/>
      <c r="L2915" s="149"/>
      <c r="M2915" s="148"/>
    </row>
    <row r="2916" spans="1:13" ht="15" customHeight="1">
      <c r="A2916" s="142" t="s">
        <v>7564</v>
      </c>
      <c r="B2916" s="142">
        <v>521704</v>
      </c>
      <c r="C2916" s="143" t="s">
        <v>6735</v>
      </c>
      <c r="D2916" s="142" t="s">
        <v>1107</v>
      </c>
      <c r="E2916" s="143" t="s">
        <v>745</v>
      </c>
      <c r="F2916" s="143" t="s">
        <v>745</v>
      </c>
      <c r="G2916" s="142" t="s">
        <v>6739</v>
      </c>
      <c r="H2916" s="142" t="s">
        <v>53</v>
      </c>
      <c r="I2916" s="143" t="s">
        <v>1110</v>
      </c>
      <c r="J2916" s="143" t="s">
        <v>6741</v>
      </c>
      <c r="K2916" s="144"/>
      <c r="L2916" s="145"/>
      <c r="M2916" s="144"/>
    </row>
    <row r="2917" spans="1:13" ht="15" customHeight="1">
      <c r="A2917" s="146" t="s">
        <v>7565</v>
      </c>
      <c r="B2917" s="146">
        <v>521570</v>
      </c>
      <c r="C2917" s="147" t="s">
        <v>6735</v>
      </c>
      <c r="D2917" s="146" t="s">
        <v>1107</v>
      </c>
      <c r="E2917" s="147" t="s">
        <v>1172</v>
      </c>
      <c r="F2917" s="147" t="s">
        <v>1172</v>
      </c>
      <c r="G2917" s="146" t="s">
        <v>6739</v>
      </c>
      <c r="H2917" s="146" t="s">
        <v>53</v>
      </c>
      <c r="I2917" s="147" t="s">
        <v>1110</v>
      </c>
      <c r="J2917" s="147" t="s">
        <v>6741</v>
      </c>
      <c r="K2917" s="148"/>
      <c r="L2917" s="149"/>
      <c r="M2917" s="148"/>
    </row>
    <row r="2918" spans="1:13" ht="15" customHeight="1">
      <c r="A2918" s="142" t="s">
        <v>7566</v>
      </c>
      <c r="B2918" s="142">
        <v>521598</v>
      </c>
      <c r="C2918" s="143" t="s">
        <v>6735</v>
      </c>
      <c r="D2918" s="142" t="s">
        <v>1107</v>
      </c>
      <c r="E2918" s="143" t="s">
        <v>1172</v>
      </c>
      <c r="F2918" s="143" t="s">
        <v>1172</v>
      </c>
      <c r="G2918" s="142" t="s">
        <v>6739</v>
      </c>
      <c r="H2918" s="142" t="s">
        <v>53</v>
      </c>
      <c r="I2918" s="143" t="s">
        <v>1110</v>
      </c>
      <c r="J2918" s="143" t="s">
        <v>6741</v>
      </c>
      <c r="K2918" s="144"/>
      <c r="L2918" s="145"/>
      <c r="M2918" s="144"/>
    </row>
    <row r="2919" spans="1:13" ht="15" customHeight="1">
      <c r="A2919" s="146" t="s">
        <v>7567</v>
      </c>
      <c r="B2919" s="146">
        <v>515061</v>
      </c>
      <c r="C2919" s="147" t="s">
        <v>6735</v>
      </c>
      <c r="D2919" s="146" t="s">
        <v>1107</v>
      </c>
      <c r="E2919" s="147" t="s">
        <v>1190</v>
      </c>
      <c r="F2919" s="147" t="s">
        <v>7568</v>
      </c>
      <c r="G2919" s="146" t="s">
        <v>6739</v>
      </c>
      <c r="H2919" s="146" t="s">
        <v>53</v>
      </c>
      <c r="I2919" s="147" t="s">
        <v>1110</v>
      </c>
      <c r="J2919" s="147" t="s">
        <v>6741</v>
      </c>
      <c r="K2919" s="148"/>
      <c r="L2919" s="149"/>
      <c r="M2919" s="148"/>
    </row>
    <row r="2920" spans="1:13" ht="15" customHeight="1">
      <c r="A2920" s="142" t="s">
        <v>7569</v>
      </c>
      <c r="B2920" s="142">
        <v>520576</v>
      </c>
      <c r="C2920" s="143" t="s">
        <v>6735</v>
      </c>
      <c r="D2920" s="142" t="s">
        <v>1107</v>
      </c>
      <c r="E2920" s="143" t="s">
        <v>1131</v>
      </c>
      <c r="F2920" s="143" t="s">
        <v>1131</v>
      </c>
      <c r="G2920" s="142" t="s">
        <v>6739</v>
      </c>
      <c r="H2920" s="142" t="s">
        <v>53</v>
      </c>
      <c r="I2920" s="143" t="s">
        <v>1110</v>
      </c>
      <c r="J2920" s="143" t="s">
        <v>6741</v>
      </c>
      <c r="K2920" s="144"/>
      <c r="L2920" s="145"/>
      <c r="M2920" s="144"/>
    </row>
    <row r="2921" spans="1:13" ht="15" customHeight="1">
      <c r="A2921" s="146" t="s">
        <v>7570</v>
      </c>
      <c r="B2921" s="146">
        <v>512904</v>
      </c>
      <c r="C2921" s="147" t="s">
        <v>6735</v>
      </c>
      <c r="D2921" s="146" t="s">
        <v>1530</v>
      </c>
      <c r="E2921" s="147" t="s">
        <v>1546</v>
      </c>
      <c r="F2921" s="147" t="s">
        <v>2134</v>
      </c>
      <c r="G2921" s="146" t="s">
        <v>6739</v>
      </c>
      <c r="H2921" s="146" t="s">
        <v>51</v>
      </c>
      <c r="I2921" s="147" t="s">
        <v>1539</v>
      </c>
      <c r="J2921" s="147" t="s">
        <v>6741</v>
      </c>
      <c r="K2921" s="148"/>
      <c r="L2921" s="149"/>
      <c r="M2921" s="148"/>
    </row>
    <row r="2922" spans="1:13" ht="15" customHeight="1">
      <c r="A2922" s="142" t="s">
        <v>7571</v>
      </c>
      <c r="B2922" s="142">
        <v>514158</v>
      </c>
      <c r="C2922" s="143" t="s">
        <v>6735</v>
      </c>
      <c r="D2922" s="142" t="s">
        <v>553</v>
      </c>
      <c r="E2922" s="143" t="s">
        <v>7572</v>
      </c>
      <c r="F2922" s="143" t="s">
        <v>7572</v>
      </c>
      <c r="G2922" s="142" t="s">
        <v>6739</v>
      </c>
      <c r="H2922" s="142" t="s">
        <v>53</v>
      </c>
      <c r="I2922" s="143" t="s">
        <v>1184</v>
      </c>
      <c r="J2922" s="143" t="s">
        <v>6741</v>
      </c>
      <c r="K2922" s="144"/>
      <c r="L2922" s="145"/>
      <c r="M2922" s="144"/>
    </row>
    <row r="2923" spans="1:13" ht="15" customHeight="1">
      <c r="A2923" s="146" t="s">
        <v>7573</v>
      </c>
      <c r="B2923" s="146">
        <v>514307</v>
      </c>
      <c r="C2923" s="147" t="s">
        <v>6735</v>
      </c>
      <c r="D2923" s="146" t="s">
        <v>553</v>
      </c>
      <c r="E2923" s="147" t="s">
        <v>3107</v>
      </c>
      <c r="F2923" s="147" t="s">
        <v>1735</v>
      </c>
      <c r="G2923" s="146" t="s">
        <v>6739</v>
      </c>
      <c r="H2923" s="146" t="s">
        <v>50</v>
      </c>
      <c r="I2923" s="147" t="s">
        <v>1532</v>
      </c>
      <c r="J2923" s="147" t="s">
        <v>6741</v>
      </c>
      <c r="K2923" s="148" t="s">
        <v>121</v>
      </c>
      <c r="L2923" s="149">
        <v>46153</v>
      </c>
      <c r="M2923" s="148"/>
    </row>
    <row r="2924" spans="1:13" ht="15" customHeight="1">
      <c r="A2924" s="142" t="s">
        <v>7574</v>
      </c>
      <c r="B2924" s="142">
        <v>514120</v>
      </c>
      <c r="C2924" s="143" t="s">
        <v>6735</v>
      </c>
      <c r="D2924" s="142" t="s">
        <v>553</v>
      </c>
      <c r="E2924" s="143" t="s">
        <v>2947</v>
      </c>
      <c r="F2924" s="143" t="s">
        <v>2948</v>
      </c>
      <c r="G2924" s="142" t="s">
        <v>6739</v>
      </c>
      <c r="H2924" s="142" t="s">
        <v>53</v>
      </c>
      <c r="I2924" s="143" t="s">
        <v>1184</v>
      </c>
      <c r="J2924" s="143" t="s">
        <v>6741</v>
      </c>
      <c r="K2924" s="144" t="s">
        <v>121</v>
      </c>
      <c r="L2924" s="145">
        <v>46150</v>
      </c>
      <c r="M2924" s="144"/>
    </row>
    <row r="2925" spans="1:13" ht="15" customHeight="1">
      <c r="A2925" s="146" t="s">
        <v>7575</v>
      </c>
      <c r="B2925" s="146">
        <v>514299</v>
      </c>
      <c r="C2925" s="147" t="s">
        <v>6735</v>
      </c>
      <c r="D2925" s="146" t="s">
        <v>553</v>
      </c>
      <c r="E2925" s="147" t="s">
        <v>2947</v>
      </c>
      <c r="F2925" s="147" t="s">
        <v>5112</v>
      </c>
      <c r="G2925" s="146" t="s">
        <v>6739</v>
      </c>
      <c r="H2925" s="146" t="s">
        <v>53</v>
      </c>
      <c r="I2925" s="147" t="s">
        <v>1184</v>
      </c>
      <c r="J2925" s="147" t="s">
        <v>6741</v>
      </c>
      <c r="K2925" s="148" t="s">
        <v>121</v>
      </c>
      <c r="L2925" s="149">
        <v>46150</v>
      </c>
      <c r="M2925" s="148"/>
    </row>
    <row r="2926" spans="1:13" ht="15" customHeight="1">
      <c r="A2926" s="142" t="s">
        <v>7576</v>
      </c>
      <c r="B2926" s="142">
        <v>514222</v>
      </c>
      <c r="C2926" s="143" t="s">
        <v>6735</v>
      </c>
      <c r="D2926" s="142" t="s">
        <v>553</v>
      </c>
      <c r="E2926" s="143" t="s">
        <v>2940</v>
      </c>
      <c r="F2926" s="143" t="s">
        <v>3280</v>
      </c>
      <c r="G2926" s="142" t="s">
        <v>6739</v>
      </c>
      <c r="H2926" s="142" t="s">
        <v>50</v>
      </c>
      <c r="I2926" s="143" t="s">
        <v>1532</v>
      </c>
      <c r="J2926" s="143" t="s">
        <v>6741</v>
      </c>
      <c r="K2926" s="144" t="s">
        <v>121</v>
      </c>
      <c r="L2926" s="145">
        <v>46148</v>
      </c>
      <c r="M2926" s="144"/>
    </row>
    <row r="2927" spans="1:13" ht="15" customHeight="1">
      <c r="A2927" s="146" t="s">
        <v>7577</v>
      </c>
      <c r="B2927" s="146">
        <v>514169</v>
      </c>
      <c r="C2927" s="147" t="s">
        <v>6735</v>
      </c>
      <c r="D2927" s="146" t="s">
        <v>553</v>
      </c>
      <c r="E2927" s="147" t="s">
        <v>1323</v>
      </c>
      <c r="F2927" s="147" t="s">
        <v>1440</v>
      </c>
      <c r="G2927" s="146" t="s">
        <v>6739</v>
      </c>
      <c r="H2927" s="146" t="s">
        <v>53</v>
      </c>
      <c r="I2927" s="147" t="s">
        <v>1110</v>
      </c>
      <c r="J2927" s="147" t="s">
        <v>6741</v>
      </c>
      <c r="K2927" s="148"/>
      <c r="L2927" s="149"/>
      <c r="M2927" s="148"/>
    </row>
    <row r="2928" spans="1:13" ht="15" customHeight="1">
      <c r="A2928" s="142" t="s">
        <v>7578</v>
      </c>
      <c r="B2928" s="142">
        <v>514241</v>
      </c>
      <c r="C2928" s="143" t="s">
        <v>6735</v>
      </c>
      <c r="D2928" s="142" t="s">
        <v>553</v>
      </c>
      <c r="E2928" s="143" t="s">
        <v>1323</v>
      </c>
      <c r="F2928" s="143" t="s">
        <v>1258</v>
      </c>
      <c r="G2928" s="142" t="s">
        <v>6739</v>
      </c>
      <c r="H2928" s="142" t="s">
        <v>53</v>
      </c>
      <c r="I2928" s="143" t="s">
        <v>1110</v>
      </c>
      <c r="J2928" s="143" t="s">
        <v>6741</v>
      </c>
      <c r="K2928" s="144"/>
      <c r="L2928" s="145"/>
      <c r="M2928" s="144"/>
    </row>
    <row r="2929" spans="1:13" ht="15" customHeight="1">
      <c r="A2929" s="146" t="s">
        <v>7579</v>
      </c>
      <c r="B2929" s="146">
        <v>514201</v>
      </c>
      <c r="C2929" s="147" t="s">
        <v>6735</v>
      </c>
      <c r="D2929" s="146" t="s">
        <v>553</v>
      </c>
      <c r="E2929" s="147" t="s">
        <v>3083</v>
      </c>
      <c r="F2929" s="147" t="s">
        <v>3084</v>
      </c>
      <c r="G2929" s="146" t="s">
        <v>6739</v>
      </c>
      <c r="H2929" s="146" t="s">
        <v>53</v>
      </c>
      <c r="I2929" s="147" t="s">
        <v>1184</v>
      </c>
      <c r="J2929" s="147" t="s">
        <v>6741</v>
      </c>
      <c r="K2929" s="148"/>
      <c r="L2929" s="149"/>
      <c r="M2929" s="148"/>
    </row>
    <row r="2930" spans="1:13" ht="15" customHeight="1">
      <c r="A2930" s="142" t="s">
        <v>7580</v>
      </c>
      <c r="B2930" s="142">
        <v>514315</v>
      </c>
      <c r="C2930" s="143" t="s">
        <v>6735</v>
      </c>
      <c r="D2930" s="142" t="s">
        <v>553</v>
      </c>
      <c r="E2930" s="143" t="s">
        <v>3060</v>
      </c>
      <c r="F2930" s="143" t="s">
        <v>3061</v>
      </c>
      <c r="G2930" s="142" t="s">
        <v>6739</v>
      </c>
      <c r="H2930" s="142" t="s">
        <v>50</v>
      </c>
      <c r="I2930" s="143" t="s">
        <v>1532</v>
      </c>
      <c r="J2930" s="143" t="s">
        <v>6741</v>
      </c>
      <c r="K2930" s="144"/>
      <c r="L2930" s="145"/>
      <c r="M2930" s="144"/>
    </row>
    <row r="2931" spans="1:13" ht="15" customHeight="1">
      <c r="A2931" s="146" t="s">
        <v>7581</v>
      </c>
      <c r="B2931" s="146">
        <v>514254</v>
      </c>
      <c r="C2931" s="147" t="s">
        <v>6735</v>
      </c>
      <c r="D2931" s="146" t="s">
        <v>553</v>
      </c>
      <c r="E2931" s="147" t="s">
        <v>2982</v>
      </c>
      <c r="F2931" s="147" t="s">
        <v>7582</v>
      </c>
      <c r="G2931" s="146" t="s">
        <v>6739</v>
      </c>
      <c r="H2931" s="146" t="s">
        <v>50</v>
      </c>
      <c r="I2931" s="147" t="s">
        <v>1532</v>
      </c>
      <c r="J2931" s="147" t="s">
        <v>6741</v>
      </c>
      <c r="K2931" s="148" t="s">
        <v>121</v>
      </c>
      <c r="L2931" s="149">
        <v>46147</v>
      </c>
      <c r="M2931" s="148"/>
    </row>
    <row r="2932" spans="1:13" ht="15" customHeight="1">
      <c r="A2932" s="142" t="s">
        <v>7583</v>
      </c>
      <c r="B2932" s="142">
        <v>514128</v>
      </c>
      <c r="C2932" s="143" t="s">
        <v>6735</v>
      </c>
      <c r="D2932" s="142" t="s">
        <v>553</v>
      </c>
      <c r="E2932" s="143" t="s">
        <v>3064</v>
      </c>
      <c r="F2932" s="143" t="s">
        <v>3064</v>
      </c>
      <c r="G2932" s="142" t="s">
        <v>6739</v>
      </c>
      <c r="H2932" s="142" t="s">
        <v>50</v>
      </c>
      <c r="I2932" s="143" t="s">
        <v>1532</v>
      </c>
      <c r="J2932" s="143" t="s">
        <v>6741</v>
      </c>
      <c r="K2932" s="144"/>
      <c r="L2932" s="145"/>
      <c r="M2932" s="144"/>
    </row>
    <row r="2933" spans="1:13" ht="15" customHeight="1">
      <c r="A2933" s="146" t="s">
        <v>7584</v>
      </c>
      <c r="B2933" s="146">
        <v>514156</v>
      </c>
      <c r="C2933" s="147" t="s">
        <v>6735</v>
      </c>
      <c r="D2933" s="146" t="s">
        <v>553</v>
      </c>
      <c r="E2933" s="147" t="s">
        <v>3064</v>
      </c>
      <c r="F2933" s="147" t="s">
        <v>3064</v>
      </c>
      <c r="G2933" s="146" t="s">
        <v>6739</v>
      </c>
      <c r="H2933" s="146" t="s">
        <v>50</v>
      </c>
      <c r="I2933" s="147" t="s">
        <v>1532</v>
      </c>
      <c r="J2933" s="147" t="s">
        <v>6741</v>
      </c>
      <c r="K2933" s="148" t="s">
        <v>121</v>
      </c>
      <c r="L2933" s="149">
        <v>46146</v>
      </c>
      <c r="M2933" s="148"/>
    </row>
    <row r="2934" spans="1:13" ht="15" customHeight="1">
      <c r="A2934" s="142" t="s">
        <v>7585</v>
      </c>
      <c r="B2934" s="142">
        <v>514147</v>
      </c>
      <c r="C2934" s="143" t="s">
        <v>6735</v>
      </c>
      <c r="D2934" s="142" t="s">
        <v>553</v>
      </c>
      <c r="E2934" s="143" t="s">
        <v>3064</v>
      </c>
      <c r="F2934" s="143" t="s">
        <v>3064</v>
      </c>
      <c r="G2934" s="142" t="s">
        <v>6739</v>
      </c>
      <c r="H2934" s="142" t="s">
        <v>50</v>
      </c>
      <c r="I2934" s="143" t="s">
        <v>1532</v>
      </c>
      <c r="J2934" s="143" t="s">
        <v>6741</v>
      </c>
      <c r="K2934" s="144" t="s">
        <v>121</v>
      </c>
      <c r="L2934" s="145">
        <v>46146</v>
      </c>
      <c r="M2934" s="144"/>
    </row>
    <row r="2935" spans="1:13" ht="15" customHeight="1">
      <c r="A2935" s="146" t="s">
        <v>7586</v>
      </c>
      <c r="B2935" s="146">
        <v>514114</v>
      </c>
      <c r="C2935" s="147" t="s">
        <v>6735</v>
      </c>
      <c r="D2935" s="146" t="s">
        <v>553</v>
      </c>
      <c r="E2935" s="147" t="s">
        <v>3064</v>
      </c>
      <c r="F2935" s="147" t="s">
        <v>3064</v>
      </c>
      <c r="G2935" s="146" t="s">
        <v>6739</v>
      </c>
      <c r="H2935" s="146" t="s">
        <v>50</v>
      </c>
      <c r="I2935" s="147" t="s">
        <v>1532</v>
      </c>
      <c r="J2935" s="147" t="s">
        <v>6741</v>
      </c>
      <c r="K2935" s="148" t="s">
        <v>121</v>
      </c>
      <c r="L2935" s="149">
        <v>46149</v>
      </c>
      <c r="M2935" s="148"/>
    </row>
    <row r="2936" spans="1:13" ht="15" customHeight="1">
      <c r="A2936" s="142" t="s">
        <v>7587</v>
      </c>
      <c r="B2936" s="142">
        <v>514157</v>
      </c>
      <c r="C2936" s="143" t="s">
        <v>6735</v>
      </c>
      <c r="D2936" s="142" t="s">
        <v>553</v>
      </c>
      <c r="E2936" s="143" t="s">
        <v>3064</v>
      </c>
      <c r="F2936" s="143" t="s">
        <v>3064</v>
      </c>
      <c r="G2936" s="142" t="s">
        <v>6739</v>
      </c>
      <c r="H2936" s="142" t="s">
        <v>50</v>
      </c>
      <c r="I2936" s="143" t="s">
        <v>1532</v>
      </c>
      <c r="J2936" s="143" t="s">
        <v>6741</v>
      </c>
      <c r="K2936" s="144" t="s">
        <v>121</v>
      </c>
      <c r="L2936" s="145">
        <v>46146</v>
      </c>
      <c r="M2936" s="144"/>
    </row>
    <row r="2937" spans="1:13" ht="15" customHeight="1">
      <c r="A2937" s="146" t="s">
        <v>7588</v>
      </c>
      <c r="B2937" s="146">
        <v>514101</v>
      </c>
      <c r="C2937" s="147" t="s">
        <v>6735</v>
      </c>
      <c r="D2937" s="146" t="s">
        <v>553</v>
      </c>
      <c r="E2937" s="147" t="s">
        <v>3064</v>
      </c>
      <c r="F2937" s="147" t="s">
        <v>3064</v>
      </c>
      <c r="G2937" s="146" t="s">
        <v>6739</v>
      </c>
      <c r="H2937" s="146" t="s">
        <v>50</v>
      </c>
      <c r="I2937" s="147" t="s">
        <v>1532</v>
      </c>
      <c r="J2937" s="147" t="s">
        <v>6741</v>
      </c>
      <c r="K2937" s="148"/>
      <c r="L2937" s="149"/>
      <c r="M2937" s="148"/>
    </row>
    <row r="2938" spans="1:13" ht="15" customHeight="1">
      <c r="A2938" s="142" t="s">
        <v>7589</v>
      </c>
      <c r="B2938" s="142">
        <v>514102</v>
      </c>
      <c r="C2938" s="143" t="s">
        <v>6735</v>
      </c>
      <c r="D2938" s="142" t="s">
        <v>553</v>
      </c>
      <c r="E2938" s="143" t="s">
        <v>3064</v>
      </c>
      <c r="F2938" s="143" t="s">
        <v>3064</v>
      </c>
      <c r="G2938" s="142" t="s">
        <v>6739</v>
      </c>
      <c r="H2938" s="142" t="s">
        <v>50</v>
      </c>
      <c r="I2938" s="143" t="s">
        <v>1532</v>
      </c>
      <c r="J2938" s="143" t="s">
        <v>6741</v>
      </c>
      <c r="K2938" s="144" t="s">
        <v>121</v>
      </c>
      <c r="L2938" s="145">
        <v>46147</v>
      </c>
      <c r="M2938" s="144"/>
    </row>
    <row r="2939" spans="1:13" ht="15" customHeight="1">
      <c r="A2939" s="146" t="s">
        <v>7590</v>
      </c>
      <c r="B2939" s="146">
        <v>512845</v>
      </c>
      <c r="C2939" s="147" t="s">
        <v>6735</v>
      </c>
      <c r="D2939" s="146" t="s">
        <v>553</v>
      </c>
      <c r="E2939" s="147" t="s">
        <v>3064</v>
      </c>
      <c r="F2939" s="147" t="s">
        <v>3064</v>
      </c>
      <c r="G2939" s="146" t="s">
        <v>6739</v>
      </c>
      <c r="H2939" s="146" t="s">
        <v>50</v>
      </c>
      <c r="I2939" s="147" t="s">
        <v>1532</v>
      </c>
      <c r="J2939" s="147" t="s">
        <v>6741</v>
      </c>
      <c r="K2939" s="148" t="s">
        <v>121</v>
      </c>
      <c r="L2939" s="149">
        <v>46146</v>
      </c>
      <c r="M2939" s="148"/>
    </row>
    <row r="2940" spans="1:13" ht="15" customHeight="1">
      <c r="A2940" s="142" t="s">
        <v>7591</v>
      </c>
      <c r="B2940" s="142">
        <v>515297</v>
      </c>
      <c r="C2940" s="143" t="s">
        <v>6735</v>
      </c>
      <c r="D2940" s="142" t="s">
        <v>553</v>
      </c>
      <c r="E2940" s="143" t="s">
        <v>3064</v>
      </c>
      <c r="F2940" s="143" t="s">
        <v>3064</v>
      </c>
      <c r="G2940" s="142" t="s">
        <v>6739</v>
      </c>
      <c r="H2940" s="142" t="s">
        <v>50</v>
      </c>
      <c r="I2940" s="143" t="s">
        <v>1532</v>
      </c>
      <c r="J2940" s="143" t="s">
        <v>6741</v>
      </c>
      <c r="K2940" s="144" t="s">
        <v>121</v>
      </c>
      <c r="L2940" s="145">
        <v>46146</v>
      </c>
      <c r="M2940" s="144"/>
    </row>
    <row r="2941" spans="1:13" ht="15" customHeight="1">
      <c r="A2941" s="146" t="s">
        <v>7592</v>
      </c>
      <c r="B2941" s="146">
        <v>514145</v>
      </c>
      <c r="C2941" s="147" t="s">
        <v>6735</v>
      </c>
      <c r="D2941" s="146" t="s">
        <v>553</v>
      </c>
      <c r="E2941" s="147" t="s">
        <v>3064</v>
      </c>
      <c r="F2941" s="147" t="s">
        <v>3065</v>
      </c>
      <c r="G2941" s="146" t="s">
        <v>6739</v>
      </c>
      <c r="H2941" s="146" t="s">
        <v>50</v>
      </c>
      <c r="I2941" s="147" t="s">
        <v>1532</v>
      </c>
      <c r="J2941" s="147" t="s">
        <v>6741</v>
      </c>
      <c r="K2941" s="148"/>
      <c r="L2941" s="149"/>
      <c r="M2941" s="148"/>
    </row>
    <row r="2942" spans="1:13" ht="15" customHeight="1">
      <c r="A2942" s="142" t="s">
        <v>7593</v>
      </c>
      <c r="B2942" s="142">
        <v>514321</v>
      </c>
      <c r="C2942" s="143" t="s">
        <v>6735</v>
      </c>
      <c r="D2942" s="142" t="s">
        <v>553</v>
      </c>
      <c r="E2942" s="143" t="s">
        <v>3173</v>
      </c>
      <c r="F2942" s="143" t="s">
        <v>3173</v>
      </c>
      <c r="G2942" s="142" t="s">
        <v>6739</v>
      </c>
      <c r="H2942" s="142" t="s">
        <v>52</v>
      </c>
      <c r="I2942" s="143" t="s">
        <v>2927</v>
      </c>
      <c r="J2942" s="143" t="s">
        <v>6741</v>
      </c>
      <c r="K2942" s="144"/>
      <c r="L2942" s="145"/>
      <c r="M2942" s="144"/>
    </row>
    <row r="2943" spans="1:13" ht="15" customHeight="1">
      <c r="A2943" s="146" t="s">
        <v>7594</v>
      </c>
      <c r="B2943" s="146">
        <v>514117</v>
      </c>
      <c r="C2943" s="147" t="s">
        <v>6735</v>
      </c>
      <c r="D2943" s="146" t="s">
        <v>553</v>
      </c>
      <c r="E2943" s="147" t="s">
        <v>7595</v>
      </c>
      <c r="F2943" s="147" t="s">
        <v>7596</v>
      </c>
      <c r="G2943" s="146" t="s">
        <v>6739</v>
      </c>
      <c r="H2943" s="146" t="s">
        <v>53</v>
      </c>
      <c r="I2943" s="147" t="s">
        <v>1184</v>
      </c>
      <c r="J2943" s="147" t="s">
        <v>6741</v>
      </c>
      <c r="K2943" s="148"/>
      <c r="L2943" s="149"/>
      <c r="M2943" s="148"/>
    </row>
    <row r="2944" spans="1:13" ht="15" customHeight="1">
      <c r="A2944" s="142" t="s">
        <v>7597</v>
      </c>
      <c r="B2944" s="142">
        <v>512846</v>
      </c>
      <c r="C2944" s="143" t="s">
        <v>6735</v>
      </c>
      <c r="D2944" s="142" t="s">
        <v>553</v>
      </c>
      <c r="E2944" s="143" t="s">
        <v>7595</v>
      </c>
      <c r="F2944" s="143" t="s">
        <v>7598</v>
      </c>
      <c r="G2944" s="142" t="s">
        <v>6739</v>
      </c>
      <c r="H2944" s="142" t="s">
        <v>53</v>
      </c>
      <c r="I2944" s="143" t="s">
        <v>1184</v>
      </c>
      <c r="J2944" s="143" t="s">
        <v>6741</v>
      </c>
      <c r="K2944" s="144"/>
      <c r="L2944" s="145"/>
      <c r="M2944" s="144"/>
    </row>
    <row r="2945" spans="1:13" ht="15" customHeight="1">
      <c r="A2945" s="146" t="s">
        <v>7599</v>
      </c>
      <c r="B2945" s="146">
        <v>514308</v>
      </c>
      <c r="C2945" s="147" t="s">
        <v>6735</v>
      </c>
      <c r="D2945" s="146" t="s">
        <v>553</v>
      </c>
      <c r="E2945" s="147" t="s">
        <v>2988</v>
      </c>
      <c r="F2945" s="147" t="s">
        <v>5970</v>
      </c>
      <c r="G2945" s="146" t="s">
        <v>6739</v>
      </c>
      <c r="H2945" s="146" t="s">
        <v>53</v>
      </c>
      <c r="I2945" s="147" t="s">
        <v>1184</v>
      </c>
      <c r="J2945" s="147" t="s">
        <v>6741</v>
      </c>
      <c r="K2945" s="148"/>
      <c r="L2945" s="149"/>
      <c r="M2945" s="148"/>
    </row>
    <row r="2946" spans="1:13" ht="15" customHeight="1">
      <c r="A2946" s="142" t="s">
        <v>7600</v>
      </c>
      <c r="B2946" s="142">
        <v>514160</v>
      </c>
      <c r="C2946" s="143" t="s">
        <v>6735</v>
      </c>
      <c r="D2946" s="142" t="s">
        <v>553</v>
      </c>
      <c r="E2946" s="143" t="s">
        <v>7601</v>
      </c>
      <c r="F2946" s="143" t="s">
        <v>7602</v>
      </c>
      <c r="G2946" s="142" t="s">
        <v>6739</v>
      </c>
      <c r="H2946" s="142" t="s">
        <v>50</v>
      </c>
      <c r="I2946" s="143" t="s">
        <v>1532</v>
      </c>
      <c r="J2946" s="143" t="s">
        <v>6741</v>
      </c>
      <c r="K2946" s="144" t="s">
        <v>121</v>
      </c>
      <c r="L2946" s="145">
        <v>46147</v>
      </c>
      <c r="M2946" s="144"/>
    </row>
    <row r="2947" spans="1:13" ht="15" customHeight="1">
      <c r="A2947" s="146" t="s">
        <v>7603</v>
      </c>
      <c r="B2947" s="146">
        <v>515095</v>
      </c>
      <c r="C2947" s="147" t="s">
        <v>6735</v>
      </c>
      <c r="D2947" s="146" t="s">
        <v>553</v>
      </c>
      <c r="E2947" s="147" t="s">
        <v>2960</v>
      </c>
      <c r="F2947" s="147" t="s">
        <v>3180</v>
      </c>
      <c r="G2947" s="146" t="s">
        <v>6739</v>
      </c>
      <c r="H2947" s="146" t="s">
        <v>53</v>
      </c>
      <c r="I2947" s="147" t="s">
        <v>1110</v>
      </c>
      <c r="J2947" s="147" t="s">
        <v>6741</v>
      </c>
      <c r="K2947" s="148"/>
      <c r="L2947" s="149"/>
      <c r="M2947" s="148"/>
    </row>
    <row r="2948" spans="1:13" ht="15" customHeight="1">
      <c r="A2948" s="142" t="s">
        <v>7604</v>
      </c>
      <c r="B2948" s="142">
        <v>514312</v>
      </c>
      <c r="C2948" s="143" t="s">
        <v>6735</v>
      </c>
      <c r="D2948" s="142" t="s">
        <v>553</v>
      </c>
      <c r="E2948" s="143" t="s">
        <v>2960</v>
      </c>
      <c r="F2948" s="143" t="s">
        <v>2563</v>
      </c>
      <c r="G2948" s="142" t="s">
        <v>6739</v>
      </c>
      <c r="H2948" s="142" t="s">
        <v>53</v>
      </c>
      <c r="I2948" s="143" t="s">
        <v>1110</v>
      </c>
      <c r="J2948" s="143" t="s">
        <v>6741</v>
      </c>
      <c r="K2948" s="144"/>
      <c r="L2948" s="145"/>
      <c r="M2948" s="144"/>
    </row>
    <row r="2949" spans="1:13" ht="15" customHeight="1">
      <c r="A2949" s="146" t="s">
        <v>7605</v>
      </c>
      <c r="B2949" s="146">
        <v>514313</v>
      </c>
      <c r="C2949" s="147" t="s">
        <v>6735</v>
      </c>
      <c r="D2949" s="146" t="s">
        <v>553</v>
      </c>
      <c r="E2949" s="147" t="s">
        <v>2960</v>
      </c>
      <c r="F2949" s="147" t="s">
        <v>7606</v>
      </c>
      <c r="G2949" s="146" t="s">
        <v>6739</v>
      </c>
      <c r="H2949" s="146" t="s">
        <v>53</v>
      </c>
      <c r="I2949" s="147" t="s">
        <v>1110</v>
      </c>
      <c r="J2949" s="147" t="s">
        <v>6741</v>
      </c>
      <c r="K2949" s="148"/>
      <c r="L2949" s="149"/>
      <c r="M2949" s="148"/>
    </row>
    <row r="2950" spans="1:13" ht="15" customHeight="1">
      <c r="A2950" s="142" t="s">
        <v>7607</v>
      </c>
      <c r="B2950" s="142">
        <v>514316</v>
      </c>
      <c r="C2950" s="143" t="s">
        <v>6735</v>
      </c>
      <c r="D2950" s="142" t="s">
        <v>553</v>
      </c>
      <c r="E2950" s="143" t="s">
        <v>3154</v>
      </c>
      <c r="F2950" s="143" t="s">
        <v>3154</v>
      </c>
      <c r="G2950" s="142" t="s">
        <v>6739</v>
      </c>
      <c r="H2950" s="142" t="s">
        <v>52</v>
      </c>
      <c r="I2950" s="143" t="s">
        <v>2927</v>
      </c>
      <c r="J2950" s="143" t="s">
        <v>6741</v>
      </c>
      <c r="K2950" s="144"/>
      <c r="L2950" s="145"/>
      <c r="M2950" s="144"/>
    </row>
    <row r="2951" spans="1:13" ht="15" customHeight="1">
      <c r="A2951" s="146" t="s">
        <v>7608</v>
      </c>
      <c r="B2951" s="146">
        <v>515420</v>
      </c>
      <c r="C2951" s="147" t="s">
        <v>6735</v>
      </c>
      <c r="D2951" s="146" t="s">
        <v>553</v>
      </c>
      <c r="E2951" s="147" t="s">
        <v>3154</v>
      </c>
      <c r="F2951" s="147" t="s">
        <v>7609</v>
      </c>
      <c r="G2951" s="146" t="s">
        <v>6739</v>
      </c>
      <c r="H2951" s="146" t="s">
        <v>52</v>
      </c>
      <c r="I2951" s="147" t="s">
        <v>2927</v>
      </c>
      <c r="J2951" s="147" t="s">
        <v>6741</v>
      </c>
      <c r="K2951" s="148"/>
      <c r="L2951" s="149"/>
      <c r="M2951" s="148"/>
    </row>
    <row r="2952" spans="1:13" ht="15" customHeight="1">
      <c r="A2952" s="142" t="s">
        <v>7610</v>
      </c>
      <c r="B2952" s="142">
        <v>514088</v>
      </c>
      <c r="C2952" s="143" t="s">
        <v>6735</v>
      </c>
      <c r="D2952" s="142" t="s">
        <v>553</v>
      </c>
      <c r="E2952" s="143" t="s">
        <v>3028</v>
      </c>
      <c r="F2952" s="143" t="s">
        <v>3028</v>
      </c>
      <c r="G2952" s="142" t="s">
        <v>6739</v>
      </c>
      <c r="H2952" s="142" t="s">
        <v>50</v>
      </c>
      <c r="I2952" s="143" t="s">
        <v>1532</v>
      </c>
      <c r="J2952" s="143" t="s">
        <v>6741</v>
      </c>
      <c r="K2952" s="144" t="s">
        <v>121</v>
      </c>
      <c r="L2952" s="145">
        <v>46143</v>
      </c>
      <c r="M2952" s="144"/>
    </row>
    <row r="2953" spans="1:13" ht="15" customHeight="1">
      <c r="A2953" s="146" t="s">
        <v>7611</v>
      </c>
      <c r="B2953" s="146">
        <v>514086</v>
      </c>
      <c r="C2953" s="147" t="s">
        <v>6735</v>
      </c>
      <c r="D2953" s="146" t="s">
        <v>553</v>
      </c>
      <c r="E2953" s="147" t="s">
        <v>3028</v>
      </c>
      <c r="F2953" s="147" t="s">
        <v>7612</v>
      </c>
      <c r="G2953" s="146" t="s">
        <v>6739</v>
      </c>
      <c r="H2953" s="146" t="s">
        <v>50</v>
      </c>
      <c r="I2953" s="147" t="s">
        <v>1532</v>
      </c>
      <c r="J2953" s="147" t="s">
        <v>6741</v>
      </c>
      <c r="K2953" s="148" t="s">
        <v>121</v>
      </c>
      <c r="L2953" s="149">
        <v>46143</v>
      </c>
      <c r="M2953" s="148"/>
    </row>
    <row r="2954" spans="1:13" ht="15" customHeight="1">
      <c r="A2954" s="142" t="s">
        <v>7613</v>
      </c>
      <c r="B2954" s="142">
        <v>514087</v>
      </c>
      <c r="C2954" s="143" t="s">
        <v>6735</v>
      </c>
      <c r="D2954" s="142" t="s">
        <v>553</v>
      </c>
      <c r="E2954" s="143" t="s">
        <v>3028</v>
      </c>
      <c r="F2954" s="143" t="s">
        <v>3029</v>
      </c>
      <c r="G2954" s="142" t="s">
        <v>6739</v>
      </c>
      <c r="H2954" s="142" t="s">
        <v>50</v>
      </c>
      <c r="I2954" s="143" t="s">
        <v>1532</v>
      </c>
      <c r="J2954" s="143" t="s">
        <v>6741</v>
      </c>
      <c r="K2954" s="144" t="s">
        <v>121</v>
      </c>
      <c r="L2954" s="145">
        <v>46143</v>
      </c>
      <c r="M2954" s="144"/>
    </row>
    <row r="2955" spans="1:13" ht="15" customHeight="1">
      <c r="A2955" s="146" t="s">
        <v>7614</v>
      </c>
      <c r="B2955" s="146">
        <v>514093</v>
      </c>
      <c r="C2955" s="147" t="s">
        <v>6735</v>
      </c>
      <c r="D2955" s="146" t="s">
        <v>553</v>
      </c>
      <c r="E2955" s="147" t="s">
        <v>7615</v>
      </c>
      <c r="F2955" s="147" t="s">
        <v>1123</v>
      </c>
      <c r="G2955" s="146" t="s">
        <v>6739</v>
      </c>
      <c r="H2955" s="146" t="s">
        <v>50</v>
      </c>
      <c r="I2955" s="147" t="s">
        <v>1532</v>
      </c>
      <c r="J2955" s="147" t="s">
        <v>6741</v>
      </c>
      <c r="K2955" s="148" t="s">
        <v>121</v>
      </c>
      <c r="L2955" s="149">
        <v>46150</v>
      </c>
      <c r="M2955" s="148"/>
    </row>
    <row r="2956" spans="1:13" ht="15" customHeight="1">
      <c r="A2956" s="142" t="s">
        <v>7616</v>
      </c>
      <c r="B2956" s="142">
        <v>514168</v>
      </c>
      <c r="C2956" s="143" t="s">
        <v>6735</v>
      </c>
      <c r="D2956" s="142" t="s">
        <v>553</v>
      </c>
      <c r="E2956" s="143" t="s">
        <v>3069</v>
      </c>
      <c r="F2956" s="143" t="s">
        <v>7617</v>
      </c>
      <c r="G2956" s="142" t="s">
        <v>6739</v>
      </c>
      <c r="H2956" s="142" t="s">
        <v>53</v>
      </c>
      <c r="I2956" s="143" t="s">
        <v>1184</v>
      </c>
      <c r="J2956" s="143" t="s">
        <v>6741</v>
      </c>
      <c r="K2956" s="144" t="s">
        <v>121</v>
      </c>
      <c r="L2956" s="145">
        <v>46150</v>
      </c>
      <c r="M2956" s="144"/>
    </row>
    <row r="2957" spans="1:13" ht="15" customHeight="1">
      <c r="A2957" s="146" t="s">
        <v>7618</v>
      </c>
      <c r="B2957" s="146">
        <v>514090</v>
      </c>
      <c r="C2957" s="147" t="s">
        <v>6735</v>
      </c>
      <c r="D2957" s="146" t="s">
        <v>553</v>
      </c>
      <c r="E2957" s="147" t="s">
        <v>7619</v>
      </c>
      <c r="F2957" s="147" t="s">
        <v>7619</v>
      </c>
      <c r="G2957" s="146" t="s">
        <v>6739</v>
      </c>
      <c r="H2957" s="146" t="s">
        <v>53</v>
      </c>
      <c r="I2957" s="147" t="s">
        <v>1110</v>
      </c>
      <c r="J2957" s="147" t="s">
        <v>6741</v>
      </c>
      <c r="K2957" s="148"/>
      <c r="L2957" s="149"/>
      <c r="M2957" s="148"/>
    </row>
    <row r="2958" spans="1:13" ht="15" customHeight="1">
      <c r="A2958" s="142" t="s">
        <v>7620</v>
      </c>
      <c r="B2958" s="142">
        <v>514091</v>
      </c>
      <c r="C2958" s="143" t="s">
        <v>6735</v>
      </c>
      <c r="D2958" s="142" t="s">
        <v>553</v>
      </c>
      <c r="E2958" s="143" t="s">
        <v>7619</v>
      </c>
      <c r="F2958" s="143" t="s">
        <v>7621</v>
      </c>
      <c r="G2958" s="142" t="s">
        <v>6739</v>
      </c>
      <c r="H2958" s="142" t="s">
        <v>53</v>
      </c>
      <c r="I2958" s="143" t="s">
        <v>1110</v>
      </c>
      <c r="J2958" s="143" t="s">
        <v>6741</v>
      </c>
      <c r="K2958" s="144"/>
      <c r="L2958" s="145"/>
      <c r="M2958" s="144"/>
    </row>
    <row r="2959" spans="1:13" ht="15" customHeight="1">
      <c r="A2959" s="146" t="s">
        <v>7622</v>
      </c>
      <c r="B2959" s="146">
        <v>514280</v>
      </c>
      <c r="C2959" s="147" t="s">
        <v>6735</v>
      </c>
      <c r="D2959" s="146" t="s">
        <v>553</v>
      </c>
      <c r="E2959" s="147" t="s">
        <v>2926</v>
      </c>
      <c r="F2959" s="147" t="s">
        <v>7623</v>
      </c>
      <c r="G2959" s="146" t="s">
        <v>6739</v>
      </c>
      <c r="H2959" s="146" t="s">
        <v>52</v>
      </c>
      <c r="I2959" s="147" t="s">
        <v>2927</v>
      </c>
      <c r="J2959" s="147" t="s">
        <v>6741</v>
      </c>
      <c r="K2959" s="148"/>
      <c r="L2959" s="149"/>
      <c r="M2959" s="148"/>
    </row>
    <row r="2960" spans="1:13" ht="15" customHeight="1">
      <c r="A2960" s="142" t="s">
        <v>7624</v>
      </c>
      <c r="B2960" s="142">
        <v>514196</v>
      </c>
      <c r="C2960" s="143" t="s">
        <v>6735</v>
      </c>
      <c r="D2960" s="142" t="s">
        <v>553</v>
      </c>
      <c r="E2960" s="143" t="s">
        <v>3134</v>
      </c>
      <c r="F2960" s="143" t="s">
        <v>7625</v>
      </c>
      <c r="G2960" s="142" t="s">
        <v>6739</v>
      </c>
      <c r="H2960" s="142" t="s">
        <v>53</v>
      </c>
      <c r="I2960" s="143" t="s">
        <v>1184</v>
      </c>
      <c r="J2960" s="143" t="s">
        <v>6741</v>
      </c>
      <c r="K2960" s="144"/>
      <c r="L2960" s="145"/>
      <c r="M2960" s="144"/>
    </row>
    <row r="2961" spans="1:13" ht="15" customHeight="1">
      <c r="A2961" s="146" t="s">
        <v>7626</v>
      </c>
      <c r="B2961" s="146">
        <v>514152</v>
      </c>
      <c r="C2961" s="147" t="s">
        <v>6735</v>
      </c>
      <c r="D2961" s="146" t="s">
        <v>553</v>
      </c>
      <c r="E2961" s="147" t="s">
        <v>3134</v>
      </c>
      <c r="F2961" s="147" t="s">
        <v>7627</v>
      </c>
      <c r="G2961" s="146" t="s">
        <v>6739</v>
      </c>
      <c r="H2961" s="146" t="s">
        <v>53</v>
      </c>
      <c r="I2961" s="147" t="s">
        <v>1184</v>
      </c>
      <c r="J2961" s="147" t="s">
        <v>6741</v>
      </c>
      <c r="K2961" s="148"/>
      <c r="L2961" s="149"/>
      <c r="M2961" s="148"/>
    </row>
    <row r="2962" spans="1:13" ht="15" customHeight="1">
      <c r="A2962" s="142" t="s">
        <v>7628</v>
      </c>
      <c r="B2962" s="142">
        <v>512847</v>
      </c>
      <c r="C2962" s="143" t="s">
        <v>6735</v>
      </c>
      <c r="D2962" s="142" t="s">
        <v>553</v>
      </c>
      <c r="E2962" s="143" t="s">
        <v>3126</v>
      </c>
      <c r="F2962" s="143" t="s">
        <v>6449</v>
      </c>
      <c r="G2962" s="142" t="s">
        <v>6739</v>
      </c>
      <c r="H2962" s="142" t="s">
        <v>50</v>
      </c>
      <c r="I2962" s="143" t="s">
        <v>1532</v>
      </c>
      <c r="J2962" s="143" t="s">
        <v>6741</v>
      </c>
      <c r="K2962" s="144" t="s">
        <v>121</v>
      </c>
      <c r="L2962" s="145">
        <v>46146</v>
      </c>
      <c r="M2962" s="144"/>
    </row>
    <row r="2963" spans="1:13" ht="15" customHeight="1">
      <c r="A2963" s="146" t="s">
        <v>7629</v>
      </c>
      <c r="B2963" s="146">
        <v>514155</v>
      </c>
      <c r="C2963" s="147" t="s">
        <v>6735</v>
      </c>
      <c r="D2963" s="146" t="s">
        <v>553</v>
      </c>
      <c r="E2963" s="147" t="s">
        <v>3010</v>
      </c>
      <c r="F2963" s="147" t="s">
        <v>3140</v>
      </c>
      <c r="G2963" s="146" t="s">
        <v>6739</v>
      </c>
      <c r="H2963" s="146" t="s">
        <v>50</v>
      </c>
      <c r="I2963" s="147" t="s">
        <v>1532</v>
      </c>
      <c r="J2963" s="147" t="s">
        <v>6741</v>
      </c>
      <c r="K2963" s="148" t="s">
        <v>121</v>
      </c>
      <c r="L2963" s="149">
        <v>46149</v>
      </c>
      <c r="M2963" s="148"/>
    </row>
    <row r="2964" spans="1:13" ht="15" customHeight="1">
      <c r="A2964" s="142" t="s">
        <v>7630</v>
      </c>
      <c r="B2964" s="142">
        <v>514148</v>
      </c>
      <c r="C2964" s="143" t="s">
        <v>6735</v>
      </c>
      <c r="D2964" s="142" t="s">
        <v>553</v>
      </c>
      <c r="E2964" s="143" t="s">
        <v>3064</v>
      </c>
      <c r="F2964" s="143" t="s">
        <v>3064</v>
      </c>
      <c r="G2964" s="142" t="s">
        <v>6739</v>
      </c>
      <c r="H2964" s="142" t="s">
        <v>50</v>
      </c>
      <c r="I2964" s="143" t="s">
        <v>1532</v>
      </c>
      <c r="J2964" s="143" t="s">
        <v>6741</v>
      </c>
      <c r="K2964" s="144"/>
      <c r="L2964" s="145"/>
      <c r="M2964" s="144"/>
    </row>
    <row r="2965" spans="1:13" ht="15" customHeight="1">
      <c r="A2965" s="146" t="s">
        <v>7631</v>
      </c>
      <c r="B2965" s="146">
        <v>515298</v>
      </c>
      <c r="C2965" s="147" t="s">
        <v>6735</v>
      </c>
      <c r="D2965" s="146" t="s">
        <v>553</v>
      </c>
      <c r="E2965" s="147" t="s">
        <v>3064</v>
      </c>
      <c r="F2965" s="147" t="s">
        <v>3064</v>
      </c>
      <c r="G2965" s="146" t="s">
        <v>6739</v>
      </c>
      <c r="H2965" s="146" t="s">
        <v>50</v>
      </c>
      <c r="I2965" s="147" t="s">
        <v>1532</v>
      </c>
      <c r="J2965" s="147" t="s">
        <v>6741</v>
      </c>
      <c r="K2965" s="148"/>
      <c r="L2965" s="149"/>
      <c r="M2965" s="148"/>
    </row>
    <row r="2966" spans="1:13" ht="15" customHeight="1">
      <c r="A2966" s="142" t="s">
        <v>7632</v>
      </c>
      <c r="B2966" s="142">
        <v>514130</v>
      </c>
      <c r="C2966" s="143" t="s">
        <v>6735</v>
      </c>
      <c r="D2966" s="142" t="s">
        <v>553</v>
      </c>
      <c r="E2966" s="143" t="s">
        <v>3126</v>
      </c>
      <c r="F2966" s="143" t="s">
        <v>7633</v>
      </c>
      <c r="G2966" s="142" t="s">
        <v>6739</v>
      </c>
      <c r="H2966" s="142" t="s">
        <v>50</v>
      </c>
      <c r="I2966" s="143" t="s">
        <v>1532</v>
      </c>
      <c r="J2966" s="143" t="s">
        <v>6741</v>
      </c>
      <c r="K2966" s="144" t="s">
        <v>121</v>
      </c>
      <c r="L2966" s="145">
        <v>46149</v>
      </c>
      <c r="M2966" s="144"/>
    </row>
    <row r="2967" spans="1:13" ht="15" customHeight="1">
      <c r="A2967" s="146" t="s">
        <v>7634</v>
      </c>
      <c r="B2967" s="146">
        <v>514203</v>
      </c>
      <c r="C2967" s="147" t="s">
        <v>6735</v>
      </c>
      <c r="D2967" s="146" t="s">
        <v>553</v>
      </c>
      <c r="E2967" s="147" t="s">
        <v>3328</v>
      </c>
      <c r="F2967" s="147" t="s">
        <v>7635</v>
      </c>
      <c r="G2967" s="146" t="s">
        <v>6739</v>
      </c>
      <c r="H2967" s="146" t="s">
        <v>50</v>
      </c>
      <c r="I2967" s="147" t="s">
        <v>1532</v>
      </c>
      <c r="J2967" s="147" t="s">
        <v>6741</v>
      </c>
      <c r="K2967" s="148"/>
      <c r="L2967" s="149"/>
      <c r="M2967" s="148"/>
    </row>
    <row r="2968" spans="1:13" ht="15" customHeight="1">
      <c r="A2968" s="142" t="s">
        <v>7636</v>
      </c>
      <c r="B2968" s="142">
        <v>515495</v>
      </c>
      <c r="C2968" s="143" t="s">
        <v>6735</v>
      </c>
      <c r="D2968" s="142" t="s">
        <v>553</v>
      </c>
      <c r="E2968" s="143" t="s">
        <v>2960</v>
      </c>
      <c r="F2968" s="143" t="s">
        <v>2960</v>
      </c>
      <c r="G2968" s="142" t="s">
        <v>6739</v>
      </c>
      <c r="H2968" s="142" t="s">
        <v>53</v>
      </c>
      <c r="I2968" s="143" t="s">
        <v>1110</v>
      </c>
      <c r="J2968" s="143" t="s">
        <v>6741</v>
      </c>
      <c r="K2968" s="144"/>
      <c r="L2968" s="145"/>
      <c r="M2968" s="144"/>
    </row>
    <row r="2969" spans="1:13" ht="15" customHeight="1">
      <c r="A2969" s="146" t="s">
        <v>7637</v>
      </c>
      <c r="B2969" s="146">
        <v>514115</v>
      </c>
      <c r="C2969" s="147" t="s">
        <v>6735</v>
      </c>
      <c r="D2969" s="146" t="s">
        <v>553</v>
      </c>
      <c r="E2969" s="147" t="s">
        <v>3064</v>
      </c>
      <c r="F2969" s="147" t="s">
        <v>3064</v>
      </c>
      <c r="G2969" s="146" t="s">
        <v>6739</v>
      </c>
      <c r="H2969" s="146" t="s">
        <v>50</v>
      </c>
      <c r="I2969" s="147" t="s">
        <v>1532</v>
      </c>
      <c r="J2969" s="147" t="s">
        <v>6741</v>
      </c>
      <c r="K2969" s="148"/>
      <c r="L2969" s="149"/>
      <c r="M2969" s="148"/>
    </row>
    <row r="2970" spans="1:13" ht="15" customHeight="1">
      <c r="A2970" s="142" t="s">
        <v>7638</v>
      </c>
      <c r="B2970" s="142">
        <v>515299</v>
      </c>
      <c r="C2970" s="143" t="s">
        <v>6735</v>
      </c>
      <c r="D2970" s="142" t="s">
        <v>553</v>
      </c>
      <c r="E2970" s="143" t="s">
        <v>3064</v>
      </c>
      <c r="F2970" s="143" t="s">
        <v>3064</v>
      </c>
      <c r="G2970" s="142" t="s">
        <v>6739</v>
      </c>
      <c r="H2970" s="142" t="s">
        <v>50</v>
      </c>
      <c r="I2970" s="143" t="s">
        <v>1532</v>
      </c>
      <c r="J2970" s="143" t="s">
        <v>6741</v>
      </c>
      <c r="K2970" s="144" t="s">
        <v>121</v>
      </c>
      <c r="L2970" s="145">
        <v>46146</v>
      </c>
      <c r="M2970" s="144"/>
    </row>
    <row r="2971" spans="1:13" ht="15" customHeight="1">
      <c r="A2971" s="146" t="s">
        <v>7639</v>
      </c>
      <c r="B2971" s="146">
        <v>514116</v>
      </c>
      <c r="C2971" s="147" t="s">
        <v>6735</v>
      </c>
      <c r="D2971" s="146" t="s">
        <v>553</v>
      </c>
      <c r="E2971" s="147" t="s">
        <v>3064</v>
      </c>
      <c r="F2971" s="147" t="s">
        <v>3064</v>
      </c>
      <c r="G2971" s="146" t="s">
        <v>6739</v>
      </c>
      <c r="H2971" s="146" t="s">
        <v>50</v>
      </c>
      <c r="I2971" s="147" t="s">
        <v>1532</v>
      </c>
      <c r="J2971" s="147" t="s">
        <v>6741</v>
      </c>
      <c r="K2971" s="148"/>
      <c r="L2971" s="149"/>
      <c r="M2971" s="148"/>
    </row>
    <row r="2972" spans="1:13" ht="15" customHeight="1">
      <c r="A2972" s="142" t="s">
        <v>7640</v>
      </c>
      <c r="B2972" s="142">
        <v>515414</v>
      </c>
      <c r="C2972" s="143" t="s">
        <v>6735</v>
      </c>
      <c r="D2972" s="142" t="s">
        <v>553</v>
      </c>
      <c r="E2972" s="143" t="s">
        <v>2992</v>
      </c>
      <c r="F2972" s="143" t="s">
        <v>3167</v>
      </c>
      <c r="G2972" s="142" t="s">
        <v>6739</v>
      </c>
      <c r="H2972" s="142" t="s">
        <v>53</v>
      </c>
      <c r="I2972" s="143" t="s">
        <v>1184</v>
      </c>
      <c r="J2972" s="143" t="s">
        <v>6741</v>
      </c>
      <c r="K2972" s="144"/>
      <c r="L2972" s="145"/>
      <c r="M2972" s="144"/>
    </row>
    <row r="2973" spans="1:13" ht="15" customHeight="1">
      <c r="A2973" s="146" t="s">
        <v>7641</v>
      </c>
      <c r="B2973" s="146">
        <v>515415</v>
      </c>
      <c r="C2973" s="147" t="s">
        <v>6735</v>
      </c>
      <c r="D2973" s="146" t="s">
        <v>553</v>
      </c>
      <c r="E2973" s="147" t="s">
        <v>2992</v>
      </c>
      <c r="F2973" s="147" t="s">
        <v>3167</v>
      </c>
      <c r="G2973" s="146" t="s">
        <v>6739</v>
      </c>
      <c r="H2973" s="146" t="s">
        <v>53</v>
      </c>
      <c r="I2973" s="147" t="s">
        <v>1184</v>
      </c>
      <c r="J2973" s="147" t="s">
        <v>6741</v>
      </c>
      <c r="K2973" s="148"/>
      <c r="L2973" s="149"/>
      <c r="M2973" s="148"/>
    </row>
    <row r="2974" spans="1:13" ht="15" customHeight="1">
      <c r="A2974" s="142" t="s">
        <v>7642</v>
      </c>
      <c r="B2974" s="142">
        <v>515405</v>
      </c>
      <c r="C2974" s="143" t="s">
        <v>6735</v>
      </c>
      <c r="D2974" s="142" t="s">
        <v>553</v>
      </c>
      <c r="E2974" s="143" t="s">
        <v>3056</v>
      </c>
      <c r="F2974" s="143" t="s">
        <v>3056</v>
      </c>
      <c r="G2974" s="142" t="s">
        <v>6739</v>
      </c>
      <c r="H2974" s="142" t="s">
        <v>53</v>
      </c>
      <c r="I2974" s="143" t="s">
        <v>1184</v>
      </c>
      <c r="J2974" s="143" t="s">
        <v>6741</v>
      </c>
      <c r="K2974" s="144"/>
      <c r="L2974" s="145"/>
      <c r="M2974" s="144"/>
    </row>
    <row r="2975" spans="1:13" ht="15" customHeight="1">
      <c r="A2975" s="146" t="s">
        <v>7643</v>
      </c>
      <c r="B2975" s="146">
        <v>515406</v>
      </c>
      <c r="C2975" s="147" t="s">
        <v>6735</v>
      </c>
      <c r="D2975" s="146" t="s">
        <v>553</v>
      </c>
      <c r="E2975" s="147" t="s">
        <v>3056</v>
      </c>
      <c r="F2975" s="147" t="s">
        <v>3056</v>
      </c>
      <c r="G2975" s="146" t="s">
        <v>6739</v>
      </c>
      <c r="H2975" s="146" t="s">
        <v>53</v>
      </c>
      <c r="I2975" s="147" t="s">
        <v>1184</v>
      </c>
      <c r="J2975" s="147" t="s">
        <v>6741</v>
      </c>
      <c r="K2975" s="148"/>
      <c r="L2975" s="149"/>
      <c r="M2975" s="148"/>
    </row>
    <row r="2976" spans="1:13" ht="15" customHeight="1">
      <c r="A2976" s="142" t="s">
        <v>7644</v>
      </c>
      <c r="B2976" s="142">
        <v>514205</v>
      </c>
      <c r="C2976" s="143" t="s">
        <v>6735</v>
      </c>
      <c r="D2976" s="142" t="s">
        <v>553</v>
      </c>
      <c r="E2976" s="143" t="s">
        <v>3328</v>
      </c>
      <c r="F2976" s="143" t="s">
        <v>3328</v>
      </c>
      <c r="G2976" s="142" t="s">
        <v>6739</v>
      </c>
      <c r="H2976" s="142" t="s">
        <v>50</v>
      </c>
      <c r="I2976" s="143" t="s">
        <v>1532</v>
      </c>
      <c r="J2976" s="143" t="s">
        <v>6741</v>
      </c>
      <c r="K2976" s="144"/>
      <c r="L2976" s="145"/>
      <c r="M2976" s="144"/>
    </row>
    <row r="2977" spans="1:13" ht="15" customHeight="1">
      <c r="A2977" s="146" t="s">
        <v>7645</v>
      </c>
      <c r="B2977" s="146">
        <v>514322</v>
      </c>
      <c r="C2977" s="147" t="s">
        <v>6735</v>
      </c>
      <c r="D2977" s="146" t="s">
        <v>553</v>
      </c>
      <c r="E2977" s="147" t="s">
        <v>3173</v>
      </c>
      <c r="F2977" s="147" t="s">
        <v>3173</v>
      </c>
      <c r="G2977" s="146" t="s">
        <v>6739</v>
      </c>
      <c r="H2977" s="146" t="s">
        <v>52</v>
      </c>
      <c r="I2977" s="147" t="s">
        <v>2927</v>
      </c>
      <c r="J2977" s="147" t="s">
        <v>6741</v>
      </c>
      <c r="K2977" s="148"/>
      <c r="L2977" s="149"/>
      <c r="M2977" s="148"/>
    </row>
    <row r="2978" spans="1:13" ht="15" customHeight="1">
      <c r="A2978" s="142" t="s">
        <v>7646</v>
      </c>
      <c r="B2978" s="142">
        <v>514317</v>
      </c>
      <c r="C2978" s="143" t="s">
        <v>6735</v>
      </c>
      <c r="D2978" s="142" t="s">
        <v>553</v>
      </c>
      <c r="E2978" s="143" t="s">
        <v>3154</v>
      </c>
      <c r="F2978" s="143" t="s">
        <v>3154</v>
      </c>
      <c r="G2978" s="142" t="s">
        <v>6739</v>
      </c>
      <c r="H2978" s="142" t="s">
        <v>52</v>
      </c>
      <c r="I2978" s="143" t="s">
        <v>2927</v>
      </c>
      <c r="J2978" s="143" t="s">
        <v>6741</v>
      </c>
      <c r="K2978" s="144"/>
      <c r="L2978" s="145"/>
      <c r="M2978" s="144"/>
    </row>
    <row r="2979" spans="1:13" ht="15" customHeight="1">
      <c r="A2979" s="146" t="s">
        <v>7647</v>
      </c>
      <c r="B2979" s="146">
        <v>514159</v>
      </c>
      <c r="C2979" s="147" t="s">
        <v>6735</v>
      </c>
      <c r="D2979" s="146" t="s">
        <v>553</v>
      </c>
      <c r="E2979" s="147" t="s">
        <v>7572</v>
      </c>
      <c r="F2979" s="147" t="s">
        <v>7572</v>
      </c>
      <c r="G2979" s="146" t="s">
        <v>6739</v>
      </c>
      <c r="H2979" s="146" t="s">
        <v>53</v>
      </c>
      <c r="I2979" s="147" t="s">
        <v>1184</v>
      </c>
      <c r="J2979" s="147" t="s">
        <v>6741</v>
      </c>
      <c r="K2979" s="148"/>
      <c r="L2979" s="149"/>
      <c r="M2979" s="148"/>
    </row>
    <row r="2980" spans="1:13" ht="15" customHeight="1">
      <c r="A2980" s="142" t="s">
        <v>7648</v>
      </c>
      <c r="B2980" s="142">
        <v>514256</v>
      </c>
      <c r="C2980" s="143" t="s">
        <v>6735</v>
      </c>
      <c r="D2980" s="142" t="s">
        <v>553</v>
      </c>
      <c r="E2980" s="143" t="s">
        <v>3243</v>
      </c>
      <c r="F2980" s="143" t="s">
        <v>3243</v>
      </c>
      <c r="G2980" s="142" t="s">
        <v>6739</v>
      </c>
      <c r="H2980" s="142" t="s">
        <v>53</v>
      </c>
      <c r="I2980" s="143" t="s">
        <v>1184</v>
      </c>
      <c r="J2980" s="143" t="s">
        <v>6741</v>
      </c>
      <c r="K2980" s="144"/>
      <c r="L2980" s="145"/>
      <c r="M2980" s="144"/>
    </row>
    <row r="2981" spans="1:13" ht="15" customHeight="1">
      <c r="A2981" s="146" t="s">
        <v>7649</v>
      </c>
      <c r="B2981" s="146">
        <v>515300</v>
      </c>
      <c r="C2981" s="147" t="s">
        <v>6735</v>
      </c>
      <c r="D2981" s="146" t="s">
        <v>553</v>
      </c>
      <c r="E2981" s="147" t="s">
        <v>3064</v>
      </c>
      <c r="F2981" s="147" t="s">
        <v>3064</v>
      </c>
      <c r="G2981" s="146" t="s">
        <v>6739</v>
      </c>
      <c r="H2981" s="146" t="s">
        <v>50</v>
      </c>
      <c r="I2981" s="147" t="s">
        <v>1532</v>
      </c>
      <c r="J2981" s="147" t="s">
        <v>6741</v>
      </c>
      <c r="K2981" s="148" t="s">
        <v>121</v>
      </c>
      <c r="L2981" s="149">
        <v>46146</v>
      </c>
      <c r="M2981" s="148"/>
    </row>
    <row r="2982" spans="1:13" ht="15" customHeight="1">
      <c r="A2982" s="142" t="s">
        <v>7650</v>
      </c>
      <c r="B2982" s="142">
        <v>515459</v>
      </c>
      <c r="C2982" s="143" t="s">
        <v>6735</v>
      </c>
      <c r="D2982" s="142" t="s">
        <v>553</v>
      </c>
      <c r="E2982" s="143" t="s">
        <v>2944</v>
      </c>
      <c r="F2982" s="143" t="s">
        <v>2944</v>
      </c>
      <c r="G2982" s="142" t="s">
        <v>6739</v>
      </c>
      <c r="H2982" s="142" t="s">
        <v>53</v>
      </c>
      <c r="I2982" s="143" t="s">
        <v>1184</v>
      </c>
      <c r="J2982" s="143" t="s">
        <v>6741</v>
      </c>
      <c r="K2982" s="144"/>
      <c r="L2982" s="145"/>
      <c r="M2982" s="144"/>
    </row>
    <row r="2983" spans="1:13" ht="15" customHeight="1">
      <c r="A2983" s="146" t="s">
        <v>7651</v>
      </c>
      <c r="B2983" s="146">
        <v>515412</v>
      </c>
      <c r="C2983" s="147" t="s">
        <v>6735</v>
      </c>
      <c r="D2983" s="146" t="s">
        <v>553</v>
      </c>
      <c r="E2983" s="147" t="s">
        <v>3107</v>
      </c>
      <c r="F2983" s="147" t="s">
        <v>3107</v>
      </c>
      <c r="G2983" s="146" t="s">
        <v>6739</v>
      </c>
      <c r="H2983" s="146" t="s">
        <v>52</v>
      </c>
      <c r="I2983" s="147" t="s">
        <v>2927</v>
      </c>
      <c r="J2983" s="147" t="s">
        <v>6741</v>
      </c>
      <c r="K2983" s="148"/>
      <c r="L2983" s="149"/>
      <c r="M2983" s="148"/>
    </row>
    <row r="2984" spans="1:13" ht="15" customHeight="1">
      <c r="A2984" s="142" t="s">
        <v>7652</v>
      </c>
      <c r="B2984" s="142">
        <v>515460</v>
      </c>
      <c r="C2984" s="143" t="s">
        <v>6735</v>
      </c>
      <c r="D2984" s="142" t="s">
        <v>553</v>
      </c>
      <c r="E2984" s="143" t="s">
        <v>2944</v>
      </c>
      <c r="F2984" s="143" t="s">
        <v>2944</v>
      </c>
      <c r="G2984" s="142" t="s">
        <v>6739</v>
      </c>
      <c r="H2984" s="142" t="s">
        <v>53</v>
      </c>
      <c r="I2984" s="143" t="s">
        <v>1184</v>
      </c>
      <c r="J2984" s="143" t="s">
        <v>6741</v>
      </c>
      <c r="K2984" s="144"/>
      <c r="L2984" s="145"/>
      <c r="M2984" s="144"/>
    </row>
    <row r="2985" spans="1:13" ht="15" customHeight="1">
      <c r="A2985" s="146" t="s">
        <v>7653</v>
      </c>
      <c r="B2985" s="146">
        <v>516202</v>
      </c>
      <c r="C2985" s="147" t="s">
        <v>6735</v>
      </c>
      <c r="D2985" s="146" t="s">
        <v>3370</v>
      </c>
      <c r="E2985" s="147" t="s">
        <v>3664</v>
      </c>
      <c r="F2985" s="147" t="s">
        <v>7654</v>
      </c>
      <c r="G2985" s="146" t="s">
        <v>6739</v>
      </c>
      <c r="H2985" s="146" t="s">
        <v>50</v>
      </c>
      <c r="I2985" s="147" t="s">
        <v>1532</v>
      </c>
      <c r="J2985" s="147" t="s">
        <v>6741</v>
      </c>
      <c r="K2985" s="148" t="s">
        <v>121</v>
      </c>
      <c r="L2985" s="149">
        <v>46143</v>
      </c>
      <c r="M2985" s="148"/>
    </row>
    <row r="2986" spans="1:13" ht="15" customHeight="1">
      <c r="A2986" s="142" t="s">
        <v>7655</v>
      </c>
      <c r="B2986" s="142">
        <v>515001</v>
      </c>
      <c r="C2986" s="143" t="s">
        <v>6735</v>
      </c>
      <c r="D2986" s="142" t="s">
        <v>3370</v>
      </c>
      <c r="E2986" s="143" t="s">
        <v>3664</v>
      </c>
      <c r="F2986" s="143" t="s">
        <v>1428</v>
      </c>
      <c r="G2986" s="142" t="s">
        <v>6739</v>
      </c>
      <c r="H2986" s="142" t="s">
        <v>50</v>
      </c>
      <c r="I2986" s="143" t="s">
        <v>1532</v>
      </c>
      <c r="J2986" s="143" t="s">
        <v>6741</v>
      </c>
      <c r="K2986" s="144" t="s">
        <v>121</v>
      </c>
      <c r="L2986" s="145">
        <v>46149</v>
      </c>
      <c r="M2986" s="144"/>
    </row>
    <row r="2987" spans="1:13" ht="15" customHeight="1">
      <c r="A2987" s="146" t="s">
        <v>7656</v>
      </c>
      <c r="B2987" s="146">
        <v>514983</v>
      </c>
      <c r="C2987" s="147" t="s">
        <v>6735</v>
      </c>
      <c r="D2987" s="146" t="s">
        <v>3370</v>
      </c>
      <c r="E2987" s="147" t="s">
        <v>3447</v>
      </c>
      <c r="F2987" s="147" t="s">
        <v>7657</v>
      </c>
      <c r="G2987" s="146" t="s">
        <v>6739</v>
      </c>
      <c r="H2987" s="146" t="s">
        <v>50</v>
      </c>
      <c r="I2987" s="147" t="s">
        <v>3449</v>
      </c>
      <c r="J2987" s="147" t="s">
        <v>6741</v>
      </c>
      <c r="K2987" s="148" t="s">
        <v>121</v>
      </c>
      <c r="L2987" s="149">
        <v>46146</v>
      </c>
      <c r="M2987" s="148"/>
    </row>
    <row r="2988" spans="1:13" ht="15" customHeight="1">
      <c r="A2988" s="142" t="s">
        <v>7658</v>
      </c>
      <c r="B2988" s="142">
        <v>515023</v>
      </c>
      <c r="C2988" s="143" t="s">
        <v>6735</v>
      </c>
      <c r="D2988" s="142" t="s">
        <v>3370</v>
      </c>
      <c r="E2988" s="143" t="s">
        <v>3447</v>
      </c>
      <c r="F2988" s="143" t="s">
        <v>3794</v>
      </c>
      <c r="G2988" s="142" t="s">
        <v>6739</v>
      </c>
      <c r="H2988" s="142" t="s">
        <v>50</v>
      </c>
      <c r="I2988" s="143" t="s">
        <v>3449</v>
      </c>
      <c r="J2988" s="143" t="s">
        <v>6741</v>
      </c>
      <c r="K2988" s="144" t="s">
        <v>5613</v>
      </c>
      <c r="L2988" s="145">
        <v>46150</v>
      </c>
      <c r="M2988" s="144" t="s">
        <v>7659</v>
      </c>
    </row>
    <row r="2989" spans="1:13" ht="15" customHeight="1">
      <c r="A2989" s="146" t="s">
        <v>7660</v>
      </c>
      <c r="B2989" s="146">
        <v>514697</v>
      </c>
      <c r="C2989" s="147" t="s">
        <v>6735</v>
      </c>
      <c r="D2989" s="146" t="s">
        <v>3370</v>
      </c>
      <c r="E2989" s="147" t="s">
        <v>3447</v>
      </c>
      <c r="F2989" s="147" t="s">
        <v>3574</v>
      </c>
      <c r="G2989" s="146" t="s">
        <v>6739</v>
      </c>
      <c r="H2989" s="146" t="s">
        <v>50</v>
      </c>
      <c r="I2989" s="147" t="s">
        <v>3449</v>
      </c>
      <c r="J2989" s="147" t="s">
        <v>6741</v>
      </c>
      <c r="K2989" s="148" t="s">
        <v>121</v>
      </c>
      <c r="L2989" s="149">
        <v>46143</v>
      </c>
      <c r="M2989" s="148"/>
    </row>
    <row r="2990" spans="1:13" ht="15" customHeight="1">
      <c r="A2990" s="142" t="s">
        <v>7661</v>
      </c>
      <c r="B2990" s="142">
        <v>518211</v>
      </c>
      <c r="C2990" s="143" t="s">
        <v>6735</v>
      </c>
      <c r="D2990" s="142" t="s">
        <v>3370</v>
      </c>
      <c r="E2990" s="143" t="s">
        <v>3797</v>
      </c>
      <c r="F2990" s="143" t="s">
        <v>4555</v>
      </c>
      <c r="G2990" s="142" t="s">
        <v>6739</v>
      </c>
      <c r="H2990" s="142" t="s">
        <v>50</v>
      </c>
      <c r="I2990" s="143" t="s">
        <v>1532</v>
      </c>
      <c r="J2990" s="143" t="s">
        <v>6741</v>
      </c>
      <c r="K2990" s="144" t="s">
        <v>121</v>
      </c>
      <c r="L2990" s="145">
        <v>46146</v>
      </c>
      <c r="M2990" s="144"/>
    </row>
    <row r="2991" spans="1:13" ht="15" customHeight="1">
      <c r="A2991" s="146" t="s">
        <v>7662</v>
      </c>
      <c r="B2991" s="146">
        <v>515136</v>
      </c>
      <c r="C2991" s="147" t="s">
        <v>6735</v>
      </c>
      <c r="D2991" s="146" t="s">
        <v>3370</v>
      </c>
      <c r="E2991" s="147" t="s">
        <v>3735</v>
      </c>
      <c r="F2991" s="147" t="s">
        <v>3801</v>
      </c>
      <c r="G2991" s="146" t="s">
        <v>6739</v>
      </c>
      <c r="H2991" s="146" t="s">
        <v>50</v>
      </c>
      <c r="I2991" s="147" t="s">
        <v>3391</v>
      </c>
      <c r="J2991" s="147" t="s">
        <v>6741</v>
      </c>
      <c r="K2991" s="148" t="s">
        <v>121</v>
      </c>
      <c r="L2991" s="149">
        <v>46139</v>
      </c>
      <c r="M2991" s="148"/>
    </row>
    <row r="2992" spans="1:13" ht="15" customHeight="1">
      <c r="A2992" s="142" t="s">
        <v>7663</v>
      </c>
      <c r="B2992" s="142">
        <v>514586</v>
      </c>
      <c r="C2992" s="143" t="s">
        <v>6735</v>
      </c>
      <c r="D2992" s="142" t="s">
        <v>3370</v>
      </c>
      <c r="E2992" s="143" t="s">
        <v>3451</v>
      </c>
      <c r="F2992" s="143" t="s">
        <v>7664</v>
      </c>
      <c r="G2992" s="142" t="s">
        <v>6739</v>
      </c>
      <c r="H2992" s="142" t="s">
        <v>50</v>
      </c>
      <c r="I2992" s="143" t="s">
        <v>3391</v>
      </c>
      <c r="J2992" s="143" t="s">
        <v>6741</v>
      </c>
      <c r="K2992" s="150" t="s">
        <v>5</v>
      </c>
      <c r="L2992" s="145">
        <v>46120</v>
      </c>
      <c r="M2992" s="152" t="s">
        <v>3392</v>
      </c>
    </row>
    <row r="2993" spans="1:13" ht="15" customHeight="1">
      <c r="A2993" s="146" t="s">
        <v>7665</v>
      </c>
      <c r="B2993" s="146">
        <v>515539</v>
      </c>
      <c r="C2993" s="147" t="s">
        <v>6735</v>
      </c>
      <c r="D2993" s="146" t="s">
        <v>3370</v>
      </c>
      <c r="E2993" s="147" t="s">
        <v>3451</v>
      </c>
      <c r="F2993" s="147" t="s">
        <v>7666</v>
      </c>
      <c r="G2993" s="146" t="s">
        <v>6739</v>
      </c>
      <c r="H2993" s="146" t="s">
        <v>50</v>
      </c>
      <c r="I2993" s="147" t="s">
        <v>3391</v>
      </c>
      <c r="J2993" s="147" t="s">
        <v>6741</v>
      </c>
      <c r="K2993" s="150" t="s">
        <v>5</v>
      </c>
      <c r="L2993" s="149">
        <v>46120</v>
      </c>
      <c r="M2993" s="151" t="s">
        <v>3392</v>
      </c>
    </row>
    <row r="2994" spans="1:13" ht="15" customHeight="1">
      <c r="A2994" s="142" t="s">
        <v>7667</v>
      </c>
      <c r="B2994" s="142">
        <v>515215</v>
      </c>
      <c r="C2994" s="143" t="s">
        <v>6735</v>
      </c>
      <c r="D2994" s="142" t="s">
        <v>3370</v>
      </c>
      <c r="E2994" s="143" t="s">
        <v>3451</v>
      </c>
      <c r="F2994" s="143" t="s">
        <v>7668</v>
      </c>
      <c r="G2994" s="142" t="s">
        <v>6739</v>
      </c>
      <c r="H2994" s="142" t="s">
        <v>50</v>
      </c>
      <c r="I2994" s="143" t="s">
        <v>3391</v>
      </c>
      <c r="J2994" s="143" t="s">
        <v>6741</v>
      </c>
      <c r="K2994" s="150" t="s">
        <v>5</v>
      </c>
      <c r="L2994" s="145">
        <v>46120</v>
      </c>
      <c r="M2994" s="152" t="s">
        <v>3392</v>
      </c>
    </row>
    <row r="2995" spans="1:13" ht="15" customHeight="1">
      <c r="A2995" s="146" t="s">
        <v>7669</v>
      </c>
      <c r="B2995" s="146">
        <v>515154</v>
      </c>
      <c r="C2995" s="147" t="s">
        <v>6735</v>
      </c>
      <c r="D2995" s="146" t="s">
        <v>3370</v>
      </c>
      <c r="E2995" s="147" t="s">
        <v>3451</v>
      </c>
      <c r="F2995" s="147" t="s">
        <v>3813</v>
      </c>
      <c r="G2995" s="146" t="s">
        <v>6739</v>
      </c>
      <c r="H2995" s="146" t="s">
        <v>50</v>
      </c>
      <c r="I2995" s="147" t="s">
        <v>3391</v>
      </c>
      <c r="J2995" s="147" t="s">
        <v>6741</v>
      </c>
      <c r="K2995" s="150" t="s">
        <v>5</v>
      </c>
      <c r="L2995" s="149">
        <v>46120</v>
      </c>
      <c r="M2995" s="151" t="s">
        <v>3392</v>
      </c>
    </row>
    <row r="2996" spans="1:13" ht="15" customHeight="1">
      <c r="A2996" s="142" t="s">
        <v>7670</v>
      </c>
      <c r="B2996" s="142">
        <v>516044</v>
      </c>
      <c r="C2996" s="143" t="s">
        <v>6735</v>
      </c>
      <c r="D2996" s="142" t="s">
        <v>3370</v>
      </c>
      <c r="E2996" s="143" t="s">
        <v>3832</v>
      </c>
      <c r="F2996" s="143" t="s">
        <v>7671</v>
      </c>
      <c r="G2996" s="142" t="s">
        <v>6739</v>
      </c>
      <c r="H2996" s="142" t="s">
        <v>50</v>
      </c>
      <c r="I2996" s="143" t="s">
        <v>3391</v>
      </c>
      <c r="J2996" s="143" t="s">
        <v>6741</v>
      </c>
      <c r="K2996" s="150" t="s">
        <v>5</v>
      </c>
      <c r="L2996" s="145">
        <v>46125</v>
      </c>
      <c r="M2996" s="152" t="s">
        <v>3392</v>
      </c>
    </row>
    <row r="2997" spans="1:13" ht="15" customHeight="1">
      <c r="A2997" s="146" t="s">
        <v>7672</v>
      </c>
      <c r="B2997" s="146">
        <v>515280</v>
      </c>
      <c r="C2997" s="147" t="s">
        <v>6735</v>
      </c>
      <c r="D2997" s="146" t="s">
        <v>3370</v>
      </c>
      <c r="E2997" s="147" t="s">
        <v>3832</v>
      </c>
      <c r="F2997" s="147" t="s">
        <v>7673</v>
      </c>
      <c r="G2997" s="146" t="s">
        <v>6739</v>
      </c>
      <c r="H2997" s="146" t="s">
        <v>50</v>
      </c>
      <c r="I2997" s="147" t="s">
        <v>3391</v>
      </c>
      <c r="J2997" s="147" t="s">
        <v>6741</v>
      </c>
      <c r="K2997" s="150" t="s">
        <v>5</v>
      </c>
      <c r="L2997" s="149">
        <v>46127</v>
      </c>
      <c r="M2997" s="151" t="s">
        <v>3392</v>
      </c>
    </row>
    <row r="2998" spans="1:13" ht="15" customHeight="1">
      <c r="A2998" s="142" t="s">
        <v>7674</v>
      </c>
      <c r="B2998" s="142">
        <v>516045</v>
      </c>
      <c r="C2998" s="143" t="s">
        <v>6735</v>
      </c>
      <c r="D2998" s="142" t="s">
        <v>3370</v>
      </c>
      <c r="E2998" s="143" t="s">
        <v>3832</v>
      </c>
      <c r="F2998" s="143" t="s">
        <v>7671</v>
      </c>
      <c r="G2998" s="142" t="s">
        <v>6739</v>
      </c>
      <c r="H2998" s="142" t="s">
        <v>50</v>
      </c>
      <c r="I2998" s="143" t="s">
        <v>3391</v>
      </c>
      <c r="J2998" s="143" t="s">
        <v>6741</v>
      </c>
      <c r="K2998" s="150" t="s">
        <v>5</v>
      </c>
      <c r="L2998" s="145">
        <v>46125</v>
      </c>
      <c r="M2998" s="152" t="s">
        <v>3392</v>
      </c>
    </row>
    <row r="2999" spans="1:13" ht="15" customHeight="1">
      <c r="A2999" s="146" t="s">
        <v>7675</v>
      </c>
      <c r="B2999" s="146">
        <v>514984</v>
      </c>
      <c r="C2999" s="147" t="s">
        <v>6735</v>
      </c>
      <c r="D2999" s="146" t="s">
        <v>3370</v>
      </c>
      <c r="E2999" s="147" t="s">
        <v>3842</v>
      </c>
      <c r="F2999" s="147" t="s">
        <v>7676</v>
      </c>
      <c r="G2999" s="146" t="s">
        <v>6739</v>
      </c>
      <c r="H2999" s="146" t="s">
        <v>53</v>
      </c>
      <c r="I2999" s="147" t="s">
        <v>1110</v>
      </c>
      <c r="J2999" s="147" t="s">
        <v>6741</v>
      </c>
      <c r="K2999" s="148"/>
      <c r="L2999" s="149"/>
      <c r="M2999" s="148"/>
    </row>
    <row r="3000" spans="1:13" ht="15" customHeight="1">
      <c r="A3000" s="142" t="s">
        <v>7677</v>
      </c>
      <c r="B3000" s="142">
        <v>515237</v>
      </c>
      <c r="C3000" s="143" t="s">
        <v>6735</v>
      </c>
      <c r="D3000" s="142" t="s">
        <v>3370</v>
      </c>
      <c r="E3000" s="143" t="s">
        <v>3849</v>
      </c>
      <c r="F3000" s="143" t="s">
        <v>7678</v>
      </c>
      <c r="G3000" s="142" t="s">
        <v>6739</v>
      </c>
      <c r="H3000" s="142" t="s">
        <v>50</v>
      </c>
      <c r="I3000" s="143" t="s">
        <v>3449</v>
      </c>
      <c r="J3000" s="143" t="s">
        <v>6741</v>
      </c>
      <c r="K3000" s="144" t="s">
        <v>121</v>
      </c>
      <c r="L3000" s="145">
        <v>46149</v>
      </c>
      <c r="M3000" s="144"/>
    </row>
    <row r="3001" spans="1:13" ht="15" customHeight="1">
      <c r="A3001" s="146" t="s">
        <v>7679</v>
      </c>
      <c r="B3001" s="146">
        <v>514900</v>
      </c>
      <c r="C3001" s="147" t="s">
        <v>6735</v>
      </c>
      <c r="D3001" s="146" t="s">
        <v>3370</v>
      </c>
      <c r="E3001" s="147" t="s">
        <v>3558</v>
      </c>
      <c r="F3001" s="147" t="s">
        <v>7680</v>
      </c>
      <c r="G3001" s="146" t="s">
        <v>6739</v>
      </c>
      <c r="H3001" s="146" t="s">
        <v>53</v>
      </c>
      <c r="I3001" s="147" t="s">
        <v>1184</v>
      </c>
      <c r="J3001" s="147" t="s">
        <v>6741</v>
      </c>
      <c r="K3001" s="148"/>
      <c r="L3001" s="149"/>
      <c r="M3001" s="148"/>
    </row>
    <row r="3002" spans="1:13" ht="15" customHeight="1">
      <c r="A3002" s="142" t="s">
        <v>7681</v>
      </c>
      <c r="B3002" s="142">
        <v>514615</v>
      </c>
      <c r="C3002" s="143" t="s">
        <v>6735</v>
      </c>
      <c r="D3002" s="142" t="s">
        <v>3370</v>
      </c>
      <c r="E3002" s="143" t="s">
        <v>3558</v>
      </c>
      <c r="F3002" s="143" t="s">
        <v>7680</v>
      </c>
      <c r="G3002" s="142" t="s">
        <v>6739</v>
      </c>
      <c r="H3002" s="142" t="s">
        <v>53</v>
      </c>
      <c r="I3002" s="143" t="s">
        <v>1184</v>
      </c>
      <c r="J3002" s="143" t="s">
        <v>6741</v>
      </c>
      <c r="K3002" s="144"/>
      <c r="L3002" s="145"/>
      <c r="M3002" s="144"/>
    </row>
    <row r="3003" spans="1:13" ht="15" customHeight="1">
      <c r="A3003" s="146" t="s">
        <v>7682</v>
      </c>
      <c r="B3003" s="146">
        <v>514847</v>
      </c>
      <c r="C3003" s="147" t="s">
        <v>6735</v>
      </c>
      <c r="D3003" s="146" t="s">
        <v>3370</v>
      </c>
      <c r="E3003" s="147" t="s">
        <v>3558</v>
      </c>
      <c r="F3003" s="147" t="s">
        <v>7680</v>
      </c>
      <c r="G3003" s="146" t="s">
        <v>6739</v>
      </c>
      <c r="H3003" s="146" t="s">
        <v>53</v>
      </c>
      <c r="I3003" s="147" t="s">
        <v>1184</v>
      </c>
      <c r="J3003" s="147" t="s">
        <v>6741</v>
      </c>
      <c r="K3003" s="148"/>
      <c r="L3003" s="149"/>
      <c r="M3003" s="148"/>
    </row>
    <row r="3004" spans="1:13" ht="15" customHeight="1">
      <c r="A3004" s="142" t="s">
        <v>7683</v>
      </c>
      <c r="B3004" s="142">
        <v>514553</v>
      </c>
      <c r="C3004" s="143" t="s">
        <v>6735</v>
      </c>
      <c r="D3004" s="142" t="s">
        <v>3370</v>
      </c>
      <c r="E3004" s="143" t="s">
        <v>3558</v>
      </c>
      <c r="F3004" s="143" t="s">
        <v>7680</v>
      </c>
      <c r="G3004" s="142" t="s">
        <v>6739</v>
      </c>
      <c r="H3004" s="142" t="s">
        <v>53</v>
      </c>
      <c r="I3004" s="143" t="s">
        <v>1184</v>
      </c>
      <c r="J3004" s="143" t="s">
        <v>6741</v>
      </c>
      <c r="K3004" s="144"/>
      <c r="L3004" s="145"/>
      <c r="M3004" s="144"/>
    </row>
    <row r="3005" spans="1:13" ht="15" customHeight="1">
      <c r="A3005" s="146" t="s">
        <v>7684</v>
      </c>
      <c r="B3005" s="146">
        <v>514902</v>
      </c>
      <c r="C3005" s="147" t="s">
        <v>6735</v>
      </c>
      <c r="D3005" s="146" t="s">
        <v>3370</v>
      </c>
      <c r="E3005" s="147" t="s">
        <v>3558</v>
      </c>
      <c r="F3005" s="147" t="s">
        <v>7680</v>
      </c>
      <c r="G3005" s="146" t="s">
        <v>6739</v>
      </c>
      <c r="H3005" s="146" t="s">
        <v>53</v>
      </c>
      <c r="I3005" s="147" t="s">
        <v>1184</v>
      </c>
      <c r="J3005" s="147" t="s">
        <v>6741</v>
      </c>
      <c r="K3005" s="148"/>
      <c r="L3005" s="149"/>
      <c r="M3005" s="148"/>
    </row>
    <row r="3006" spans="1:13" ht="15" customHeight="1">
      <c r="A3006" s="142" t="s">
        <v>7685</v>
      </c>
      <c r="B3006" s="142">
        <v>514705</v>
      </c>
      <c r="C3006" s="143" t="s">
        <v>6735</v>
      </c>
      <c r="D3006" s="142" t="s">
        <v>3370</v>
      </c>
      <c r="E3006" s="143" t="s">
        <v>3558</v>
      </c>
      <c r="F3006" s="143" t="s">
        <v>7680</v>
      </c>
      <c r="G3006" s="142" t="s">
        <v>6739</v>
      </c>
      <c r="H3006" s="142" t="s">
        <v>53</v>
      </c>
      <c r="I3006" s="143" t="s">
        <v>1184</v>
      </c>
      <c r="J3006" s="143" t="s">
        <v>6741</v>
      </c>
      <c r="K3006" s="144"/>
      <c r="L3006" s="145"/>
      <c r="M3006" s="144"/>
    </row>
    <row r="3007" spans="1:13" ht="15" customHeight="1">
      <c r="A3007" s="146" t="s">
        <v>7686</v>
      </c>
      <c r="B3007" s="146">
        <v>515242</v>
      </c>
      <c r="C3007" s="147" t="s">
        <v>6735</v>
      </c>
      <c r="D3007" s="146" t="s">
        <v>3370</v>
      </c>
      <c r="E3007" s="147" t="s">
        <v>3856</v>
      </c>
      <c r="F3007" s="147" t="s">
        <v>7687</v>
      </c>
      <c r="G3007" s="146" t="s">
        <v>6739</v>
      </c>
      <c r="H3007" s="146" t="s">
        <v>50</v>
      </c>
      <c r="I3007" s="147" t="s">
        <v>3391</v>
      </c>
      <c r="J3007" s="147" t="s">
        <v>6741</v>
      </c>
      <c r="K3007" s="150" t="s">
        <v>5</v>
      </c>
      <c r="L3007" s="149">
        <v>46129</v>
      </c>
      <c r="M3007" s="151" t="s">
        <v>3392</v>
      </c>
    </row>
    <row r="3008" spans="1:13" ht="15" customHeight="1">
      <c r="A3008" s="142" t="s">
        <v>7688</v>
      </c>
      <c r="B3008" s="142">
        <v>515091</v>
      </c>
      <c r="C3008" s="143" t="s">
        <v>6735</v>
      </c>
      <c r="D3008" s="142" t="s">
        <v>3370</v>
      </c>
      <c r="E3008" s="143" t="s">
        <v>3582</v>
      </c>
      <c r="F3008" s="143" t="s">
        <v>3583</v>
      </c>
      <c r="G3008" s="142" t="s">
        <v>6739</v>
      </c>
      <c r="H3008" s="142" t="s">
        <v>53</v>
      </c>
      <c r="I3008" s="143" t="s">
        <v>1110</v>
      </c>
      <c r="J3008" s="143" t="s">
        <v>6741</v>
      </c>
      <c r="K3008" s="144"/>
      <c r="L3008" s="145"/>
      <c r="M3008" s="144"/>
    </row>
    <row r="3009" spans="1:13" ht="15" customHeight="1">
      <c r="A3009" s="146" t="s">
        <v>7689</v>
      </c>
      <c r="B3009" s="146">
        <v>514820</v>
      </c>
      <c r="C3009" s="147" t="s">
        <v>6735</v>
      </c>
      <c r="D3009" s="146" t="s">
        <v>3370</v>
      </c>
      <c r="E3009" s="147" t="s">
        <v>3774</v>
      </c>
      <c r="F3009" s="147" t="s">
        <v>7690</v>
      </c>
      <c r="G3009" s="146" t="s">
        <v>6739</v>
      </c>
      <c r="H3009" s="146" t="s">
        <v>53</v>
      </c>
      <c r="I3009" s="147" t="s">
        <v>1110</v>
      </c>
      <c r="J3009" s="147" t="s">
        <v>6741</v>
      </c>
      <c r="K3009" s="148"/>
      <c r="L3009" s="149"/>
      <c r="M3009" s="148"/>
    </row>
    <row r="3010" spans="1:13" ht="15" customHeight="1">
      <c r="A3010" s="142" t="s">
        <v>7691</v>
      </c>
      <c r="B3010" s="142">
        <v>514576</v>
      </c>
      <c r="C3010" s="143" t="s">
        <v>6735</v>
      </c>
      <c r="D3010" s="142" t="s">
        <v>3370</v>
      </c>
      <c r="E3010" s="143" t="s">
        <v>3465</v>
      </c>
      <c r="F3010" s="143" t="s">
        <v>7692</v>
      </c>
      <c r="G3010" s="142" t="s">
        <v>6739</v>
      </c>
      <c r="H3010" s="142" t="s">
        <v>50</v>
      </c>
      <c r="I3010" s="143" t="s">
        <v>3391</v>
      </c>
      <c r="J3010" s="143" t="s">
        <v>6741</v>
      </c>
      <c r="K3010" s="150" t="s">
        <v>5</v>
      </c>
      <c r="L3010" s="145">
        <v>46120</v>
      </c>
      <c r="M3010" s="152" t="s">
        <v>3392</v>
      </c>
    </row>
    <row r="3011" spans="1:13" ht="15" customHeight="1">
      <c r="A3011" s="146" t="s">
        <v>7693</v>
      </c>
      <c r="B3011" s="146">
        <v>515032</v>
      </c>
      <c r="C3011" s="147" t="s">
        <v>6735</v>
      </c>
      <c r="D3011" s="146" t="s">
        <v>3370</v>
      </c>
      <c r="E3011" s="147" t="s">
        <v>3465</v>
      </c>
      <c r="F3011" s="147" t="s">
        <v>7694</v>
      </c>
      <c r="G3011" s="146" t="s">
        <v>6739</v>
      </c>
      <c r="H3011" s="146" t="s">
        <v>50</v>
      </c>
      <c r="I3011" s="147" t="s">
        <v>3391</v>
      </c>
      <c r="J3011" s="147" t="s">
        <v>6741</v>
      </c>
      <c r="K3011" s="150" t="s">
        <v>5</v>
      </c>
      <c r="L3011" s="149">
        <v>46120</v>
      </c>
      <c r="M3011" s="151" t="s">
        <v>3392</v>
      </c>
    </row>
    <row r="3012" spans="1:13" ht="15" customHeight="1">
      <c r="A3012" s="142" t="s">
        <v>7695</v>
      </c>
      <c r="B3012" s="142">
        <v>514666</v>
      </c>
      <c r="C3012" s="143" t="s">
        <v>6735</v>
      </c>
      <c r="D3012" s="142" t="s">
        <v>3370</v>
      </c>
      <c r="E3012" s="143" t="s">
        <v>3465</v>
      </c>
      <c r="F3012" s="143" t="s">
        <v>3466</v>
      </c>
      <c r="G3012" s="142" t="s">
        <v>6739</v>
      </c>
      <c r="H3012" s="142" t="s">
        <v>50</v>
      </c>
      <c r="I3012" s="143" t="s">
        <v>3391</v>
      </c>
      <c r="J3012" s="143" t="s">
        <v>6741</v>
      </c>
      <c r="K3012" s="150" t="s">
        <v>5</v>
      </c>
      <c r="L3012" s="145">
        <v>46119</v>
      </c>
      <c r="M3012" s="152" t="s">
        <v>3392</v>
      </c>
    </row>
    <row r="3013" spans="1:13" ht="15" customHeight="1">
      <c r="A3013" s="146" t="s">
        <v>7696</v>
      </c>
      <c r="B3013" s="146">
        <v>514664</v>
      </c>
      <c r="C3013" s="147" t="s">
        <v>6735</v>
      </c>
      <c r="D3013" s="146" t="s">
        <v>3370</v>
      </c>
      <c r="E3013" s="147" t="s">
        <v>3465</v>
      </c>
      <c r="F3013" s="147" t="s">
        <v>7697</v>
      </c>
      <c r="G3013" s="146" t="s">
        <v>6739</v>
      </c>
      <c r="H3013" s="146" t="s">
        <v>50</v>
      </c>
      <c r="I3013" s="147" t="s">
        <v>3391</v>
      </c>
      <c r="J3013" s="147" t="s">
        <v>6741</v>
      </c>
      <c r="K3013" s="150" t="s">
        <v>5</v>
      </c>
      <c r="L3013" s="149">
        <v>46119</v>
      </c>
      <c r="M3013" s="151" t="s">
        <v>3392</v>
      </c>
    </row>
    <row r="3014" spans="1:13" ht="15" customHeight="1">
      <c r="A3014" s="142" t="s">
        <v>7698</v>
      </c>
      <c r="B3014" s="142">
        <v>514885</v>
      </c>
      <c r="C3014" s="143" t="s">
        <v>6735</v>
      </c>
      <c r="D3014" s="142" t="s">
        <v>3370</v>
      </c>
      <c r="E3014" s="143" t="s">
        <v>3465</v>
      </c>
      <c r="F3014" s="143" t="s">
        <v>7699</v>
      </c>
      <c r="G3014" s="142" t="s">
        <v>6739</v>
      </c>
      <c r="H3014" s="142" t="s">
        <v>50</v>
      </c>
      <c r="I3014" s="143" t="s">
        <v>3391</v>
      </c>
      <c r="J3014" s="143" t="s">
        <v>6741</v>
      </c>
      <c r="K3014" s="144"/>
      <c r="L3014" s="145"/>
      <c r="M3014" s="144"/>
    </row>
    <row r="3015" spans="1:13" ht="15" customHeight="1">
      <c r="A3015" s="146" t="s">
        <v>7700</v>
      </c>
      <c r="B3015" s="146">
        <v>512849</v>
      </c>
      <c r="C3015" s="147" t="s">
        <v>6735</v>
      </c>
      <c r="D3015" s="146" t="s">
        <v>3370</v>
      </c>
      <c r="E3015" s="147" t="s">
        <v>3412</v>
      </c>
      <c r="F3015" s="147" t="s">
        <v>3413</v>
      </c>
      <c r="G3015" s="146" t="s">
        <v>6739</v>
      </c>
      <c r="H3015" s="146" t="s">
        <v>53</v>
      </c>
      <c r="I3015" s="147" t="s">
        <v>1110</v>
      </c>
      <c r="J3015" s="147" t="s">
        <v>6741</v>
      </c>
      <c r="K3015" s="148"/>
      <c r="L3015" s="149"/>
      <c r="M3015" s="148"/>
    </row>
    <row r="3016" spans="1:13" ht="15" customHeight="1">
      <c r="A3016" s="142" t="s">
        <v>7701</v>
      </c>
      <c r="B3016" s="142">
        <v>514577</v>
      </c>
      <c r="C3016" s="143" t="s">
        <v>6735</v>
      </c>
      <c r="D3016" s="142" t="s">
        <v>3370</v>
      </c>
      <c r="E3016" s="143" t="s">
        <v>3412</v>
      </c>
      <c r="F3016" s="143" t="s">
        <v>7702</v>
      </c>
      <c r="G3016" s="142" t="s">
        <v>6739</v>
      </c>
      <c r="H3016" s="142" t="s">
        <v>53</v>
      </c>
      <c r="I3016" s="143" t="s">
        <v>1110</v>
      </c>
      <c r="J3016" s="143" t="s">
        <v>6741</v>
      </c>
      <c r="K3016" s="144"/>
      <c r="L3016" s="145"/>
      <c r="M3016" s="144"/>
    </row>
    <row r="3017" spans="1:13" ht="15" customHeight="1">
      <c r="A3017" s="146" t="s">
        <v>7703</v>
      </c>
      <c r="B3017" s="146">
        <v>514592</v>
      </c>
      <c r="C3017" s="147" t="s">
        <v>6735</v>
      </c>
      <c r="D3017" s="146" t="s">
        <v>3370</v>
      </c>
      <c r="E3017" s="147" t="s">
        <v>3551</v>
      </c>
      <c r="F3017" s="147" t="s">
        <v>3648</v>
      </c>
      <c r="G3017" s="146" t="s">
        <v>6739</v>
      </c>
      <c r="H3017" s="146" t="s">
        <v>53</v>
      </c>
      <c r="I3017" s="147" t="s">
        <v>1184</v>
      </c>
      <c r="J3017" s="147" t="s">
        <v>6741</v>
      </c>
      <c r="K3017" s="148"/>
      <c r="L3017" s="149"/>
      <c r="M3017" s="148"/>
    </row>
    <row r="3018" spans="1:13" ht="15" customHeight="1">
      <c r="A3018" s="142" t="s">
        <v>7704</v>
      </c>
      <c r="B3018" s="142">
        <v>515231</v>
      </c>
      <c r="C3018" s="143" t="s">
        <v>6735</v>
      </c>
      <c r="D3018" s="142" t="s">
        <v>3370</v>
      </c>
      <c r="E3018" s="143" t="s">
        <v>3753</v>
      </c>
      <c r="F3018" s="143" t="s">
        <v>3880</v>
      </c>
      <c r="G3018" s="142" t="s">
        <v>6739</v>
      </c>
      <c r="H3018" s="142" t="s">
        <v>50</v>
      </c>
      <c r="I3018" s="143" t="s">
        <v>3391</v>
      </c>
      <c r="J3018" s="143" t="s">
        <v>6741</v>
      </c>
      <c r="K3018" s="144" t="s">
        <v>121</v>
      </c>
      <c r="L3018" s="145">
        <v>46148</v>
      </c>
      <c r="M3018" s="144"/>
    </row>
    <row r="3019" spans="1:13" ht="15" customHeight="1">
      <c r="A3019" s="146" t="s">
        <v>7705</v>
      </c>
      <c r="B3019" s="146">
        <v>515244</v>
      </c>
      <c r="C3019" s="147" t="s">
        <v>6735</v>
      </c>
      <c r="D3019" s="146" t="s">
        <v>3370</v>
      </c>
      <c r="E3019" s="147" t="s">
        <v>3753</v>
      </c>
      <c r="F3019" s="147" t="s">
        <v>7706</v>
      </c>
      <c r="G3019" s="146" t="s">
        <v>6739</v>
      </c>
      <c r="H3019" s="146" t="s">
        <v>50</v>
      </c>
      <c r="I3019" s="147" t="s">
        <v>3391</v>
      </c>
      <c r="J3019" s="147" t="s">
        <v>6741</v>
      </c>
      <c r="K3019" s="148" t="s">
        <v>121</v>
      </c>
      <c r="L3019" s="149">
        <v>46150</v>
      </c>
      <c r="M3019" s="148"/>
    </row>
    <row r="3020" spans="1:13" ht="15" customHeight="1">
      <c r="A3020" s="142" t="s">
        <v>7707</v>
      </c>
      <c r="B3020" s="142">
        <v>514915</v>
      </c>
      <c r="C3020" s="143" t="s">
        <v>6735</v>
      </c>
      <c r="D3020" s="142" t="s">
        <v>3370</v>
      </c>
      <c r="E3020" s="143" t="s">
        <v>3714</v>
      </c>
      <c r="F3020" s="143" t="s">
        <v>4462</v>
      </c>
      <c r="G3020" s="142" t="s">
        <v>6739</v>
      </c>
      <c r="H3020" s="142" t="s">
        <v>53</v>
      </c>
      <c r="I3020" s="143" t="s">
        <v>1110</v>
      </c>
      <c r="J3020" s="143" t="s">
        <v>6741</v>
      </c>
      <c r="K3020" s="144"/>
      <c r="L3020" s="145"/>
      <c r="M3020" s="144"/>
    </row>
    <row r="3021" spans="1:13" ht="15" customHeight="1">
      <c r="A3021" s="146" t="s">
        <v>7708</v>
      </c>
      <c r="B3021" s="146">
        <v>515038</v>
      </c>
      <c r="C3021" s="147" t="s">
        <v>6735</v>
      </c>
      <c r="D3021" s="146" t="s">
        <v>3370</v>
      </c>
      <c r="E3021" s="147" t="s">
        <v>3714</v>
      </c>
      <c r="F3021" s="147" t="s">
        <v>7709</v>
      </c>
      <c r="G3021" s="146" t="s">
        <v>6739</v>
      </c>
      <c r="H3021" s="146" t="s">
        <v>53</v>
      </c>
      <c r="I3021" s="147" t="s">
        <v>1110</v>
      </c>
      <c r="J3021" s="147" t="s">
        <v>6741</v>
      </c>
      <c r="K3021" s="148"/>
      <c r="L3021" s="149"/>
      <c r="M3021" s="148"/>
    </row>
    <row r="3022" spans="1:13" ht="15" customHeight="1">
      <c r="A3022" s="142" t="s">
        <v>7710</v>
      </c>
      <c r="B3022" s="142">
        <v>515158</v>
      </c>
      <c r="C3022" s="143" t="s">
        <v>6735</v>
      </c>
      <c r="D3022" s="142" t="s">
        <v>3370</v>
      </c>
      <c r="E3022" s="143" t="s">
        <v>3714</v>
      </c>
      <c r="F3022" s="143" t="s">
        <v>7711</v>
      </c>
      <c r="G3022" s="142" t="s">
        <v>6739</v>
      </c>
      <c r="H3022" s="142" t="s">
        <v>53</v>
      </c>
      <c r="I3022" s="143" t="s">
        <v>1110</v>
      </c>
      <c r="J3022" s="143" t="s">
        <v>6741</v>
      </c>
      <c r="K3022" s="144"/>
      <c r="L3022" s="145"/>
      <c r="M3022" s="144"/>
    </row>
    <row r="3023" spans="1:13" ht="15" customHeight="1">
      <c r="A3023" s="146" t="s">
        <v>7712</v>
      </c>
      <c r="B3023" s="146">
        <v>515063</v>
      </c>
      <c r="C3023" s="147" t="s">
        <v>6735</v>
      </c>
      <c r="D3023" s="146" t="s">
        <v>3370</v>
      </c>
      <c r="E3023" s="147" t="s">
        <v>3714</v>
      </c>
      <c r="F3023" s="147" t="s">
        <v>7713</v>
      </c>
      <c r="G3023" s="146" t="s">
        <v>6739</v>
      </c>
      <c r="H3023" s="146" t="s">
        <v>53</v>
      </c>
      <c r="I3023" s="147" t="s">
        <v>1110</v>
      </c>
      <c r="J3023" s="147" t="s">
        <v>6741</v>
      </c>
      <c r="K3023" s="148"/>
      <c r="L3023" s="149"/>
      <c r="M3023" s="148"/>
    </row>
    <row r="3024" spans="1:13" ht="15" customHeight="1">
      <c r="A3024" s="142" t="s">
        <v>7714</v>
      </c>
      <c r="B3024" s="142">
        <v>514583</v>
      </c>
      <c r="C3024" s="143" t="s">
        <v>6735</v>
      </c>
      <c r="D3024" s="142" t="s">
        <v>3370</v>
      </c>
      <c r="E3024" s="143" t="s">
        <v>4099</v>
      </c>
      <c r="F3024" s="143" t="s">
        <v>7715</v>
      </c>
      <c r="G3024" s="142" t="s">
        <v>6739</v>
      </c>
      <c r="H3024" s="142" t="s">
        <v>50</v>
      </c>
      <c r="I3024" s="143" t="s">
        <v>3449</v>
      </c>
      <c r="J3024" s="143" t="s">
        <v>6741</v>
      </c>
      <c r="K3024" s="144" t="s">
        <v>121</v>
      </c>
      <c r="L3024" s="145">
        <v>46147</v>
      </c>
      <c r="M3024" s="144"/>
    </row>
    <row r="3025" spans="1:13" ht="15" customHeight="1">
      <c r="A3025" s="146" t="s">
        <v>7716</v>
      </c>
      <c r="B3025" s="146">
        <v>514825</v>
      </c>
      <c r="C3025" s="147" t="s">
        <v>6735</v>
      </c>
      <c r="D3025" s="146" t="s">
        <v>3370</v>
      </c>
      <c r="E3025" s="147" t="s">
        <v>4099</v>
      </c>
      <c r="F3025" s="147" t="s">
        <v>4099</v>
      </c>
      <c r="G3025" s="146" t="s">
        <v>6739</v>
      </c>
      <c r="H3025" s="146" t="s">
        <v>50</v>
      </c>
      <c r="I3025" s="147" t="s">
        <v>3449</v>
      </c>
      <c r="J3025" s="147" t="s">
        <v>6741</v>
      </c>
      <c r="K3025" s="148" t="s">
        <v>121</v>
      </c>
      <c r="L3025" s="149">
        <v>46146</v>
      </c>
      <c r="M3025" s="148"/>
    </row>
    <row r="3026" spans="1:13" ht="15" customHeight="1">
      <c r="A3026" s="142" t="s">
        <v>7717</v>
      </c>
      <c r="B3026" s="142">
        <v>514766</v>
      </c>
      <c r="C3026" s="143" t="s">
        <v>6735</v>
      </c>
      <c r="D3026" s="142" t="s">
        <v>3370</v>
      </c>
      <c r="E3026" s="143" t="s">
        <v>3395</v>
      </c>
      <c r="F3026" s="143" t="s">
        <v>4687</v>
      </c>
      <c r="G3026" s="142" t="s">
        <v>6739</v>
      </c>
      <c r="H3026" s="142" t="s">
        <v>53</v>
      </c>
      <c r="I3026" s="143" t="s">
        <v>1110</v>
      </c>
      <c r="J3026" s="143" t="s">
        <v>6741</v>
      </c>
      <c r="K3026" s="144" t="s">
        <v>121</v>
      </c>
      <c r="L3026" s="145">
        <v>46148</v>
      </c>
      <c r="M3026" s="144" t="s">
        <v>3421</v>
      </c>
    </row>
    <row r="3027" spans="1:13" ht="15" customHeight="1">
      <c r="A3027" s="146" t="s">
        <v>7718</v>
      </c>
      <c r="B3027" s="146">
        <v>514681</v>
      </c>
      <c r="C3027" s="147" t="s">
        <v>6735</v>
      </c>
      <c r="D3027" s="146" t="s">
        <v>3370</v>
      </c>
      <c r="E3027" s="147" t="s">
        <v>3395</v>
      </c>
      <c r="F3027" s="147" t="s">
        <v>4687</v>
      </c>
      <c r="G3027" s="146" t="s">
        <v>6739</v>
      </c>
      <c r="H3027" s="146" t="s">
        <v>53</v>
      </c>
      <c r="I3027" s="147" t="s">
        <v>1110</v>
      </c>
      <c r="J3027" s="147" t="s">
        <v>6741</v>
      </c>
      <c r="K3027" s="148"/>
      <c r="L3027" s="149"/>
      <c r="M3027" s="148"/>
    </row>
    <row r="3028" spans="1:13" ht="15" customHeight="1">
      <c r="A3028" s="142" t="s">
        <v>7719</v>
      </c>
      <c r="B3028" s="142">
        <v>514584</v>
      </c>
      <c r="C3028" s="143" t="s">
        <v>6735</v>
      </c>
      <c r="D3028" s="142" t="s">
        <v>3370</v>
      </c>
      <c r="E3028" s="143" t="s">
        <v>7621</v>
      </c>
      <c r="F3028" s="143" t="s">
        <v>7720</v>
      </c>
      <c r="G3028" s="142" t="s">
        <v>6739</v>
      </c>
      <c r="H3028" s="142" t="s">
        <v>50</v>
      </c>
      <c r="I3028" s="143" t="s">
        <v>3449</v>
      </c>
      <c r="J3028" s="143" t="s">
        <v>6741</v>
      </c>
      <c r="K3028" s="144" t="s">
        <v>121</v>
      </c>
      <c r="L3028" s="145">
        <v>46142</v>
      </c>
      <c r="M3028" s="144"/>
    </row>
    <row r="3029" spans="1:13" ht="15" customHeight="1">
      <c r="A3029" s="146" t="s">
        <v>7721</v>
      </c>
      <c r="B3029" s="146">
        <v>514745</v>
      </c>
      <c r="C3029" s="147" t="s">
        <v>6735</v>
      </c>
      <c r="D3029" s="146" t="s">
        <v>3370</v>
      </c>
      <c r="E3029" s="147" t="s">
        <v>3404</v>
      </c>
      <c r="F3029" s="147" t="s">
        <v>3404</v>
      </c>
      <c r="G3029" s="146" t="s">
        <v>6739</v>
      </c>
      <c r="H3029" s="146" t="s">
        <v>53</v>
      </c>
      <c r="I3029" s="147" t="s">
        <v>1110</v>
      </c>
      <c r="J3029" s="147" t="s">
        <v>6741</v>
      </c>
      <c r="K3029" s="148"/>
      <c r="L3029" s="149"/>
      <c r="M3029" s="148"/>
    </row>
    <row r="3030" spans="1:13" ht="15" customHeight="1">
      <c r="A3030" s="142" t="s">
        <v>7722</v>
      </c>
      <c r="B3030" s="142">
        <v>514688</v>
      </c>
      <c r="C3030" s="143" t="s">
        <v>6735</v>
      </c>
      <c r="D3030" s="142" t="s">
        <v>3370</v>
      </c>
      <c r="E3030" s="143" t="s">
        <v>3404</v>
      </c>
      <c r="F3030" s="143" t="s">
        <v>3404</v>
      </c>
      <c r="G3030" s="142" t="s">
        <v>6739</v>
      </c>
      <c r="H3030" s="142" t="s">
        <v>53</v>
      </c>
      <c r="I3030" s="143" t="s">
        <v>1110</v>
      </c>
      <c r="J3030" s="143" t="s">
        <v>6741</v>
      </c>
      <c r="K3030" s="144"/>
      <c r="L3030" s="145"/>
      <c r="M3030" s="144"/>
    </row>
    <row r="3031" spans="1:13" ht="15" customHeight="1">
      <c r="A3031" s="146" t="s">
        <v>7723</v>
      </c>
      <c r="B3031" s="146">
        <v>514840</v>
      </c>
      <c r="C3031" s="147" t="s">
        <v>6735</v>
      </c>
      <c r="D3031" s="146" t="s">
        <v>3370</v>
      </c>
      <c r="E3031" s="147" t="s">
        <v>3385</v>
      </c>
      <c r="F3031" s="147" t="s">
        <v>3385</v>
      </c>
      <c r="G3031" s="146" t="s">
        <v>6739</v>
      </c>
      <c r="H3031" s="146" t="s">
        <v>53</v>
      </c>
      <c r="I3031" s="147" t="s">
        <v>1184</v>
      </c>
      <c r="J3031" s="147" t="s">
        <v>6741</v>
      </c>
      <c r="K3031" s="148"/>
      <c r="L3031" s="149"/>
      <c r="M3031" s="148"/>
    </row>
    <row r="3032" spans="1:13" ht="15" customHeight="1">
      <c r="A3032" s="142" t="s">
        <v>7724</v>
      </c>
      <c r="B3032" s="142">
        <v>514759</v>
      </c>
      <c r="C3032" s="143" t="s">
        <v>6735</v>
      </c>
      <c r="D3032" s="142" t="s">
        <v>3370</v>
      </c>
      <c r="E3032" s="143" t="s">
        <v>3385</v>
      </c>
      <c r="F3032" s="143" t="s">
        <v>3385</v>
      </c>
      <c r="G3032" s="142" t="s">
        <v>6739</v>
      </c>
      <c r="H3032" s="142" t="s">
        <v>53</v>
      </c>
      <c r="I3032" s="143" t="s">
        <v>1184</v>
      </c>
      <c r="J3032" s="143" t="s">
        <v>6741</v>
      </c>
      <c r="K3032" s="144"/>
      <c r="L3032" s="145"/>
      <c r="M3032" s="144"/>
    </row>
    <row r="3033" spans="1:13" ht="15" customHeight="1">
      <c r="A3033" s="146" t="s">
        <v>7725</v>
      </c>
      <c r="B3033" s="146">
        <v>515052</v>
      </c>
      <c r="C3033" s="147" t="s">
        <v>6735</v>
      </c>
      <c r="D3033" s="146" t="s">
        <v>3370</v>
      </c>
      <c r="E3033" s="147" t="s">
        <v>3385</v>
      </c>
      <c r="F3033" s="147" t="s">
        <v>3385</v>
      </c>
      <c r="G3033" s="146" t="s">
        <v>6739</v>
      </c>
      <c r="H3033" s="146" t="s">
        <v>53</v>
      </c>
      <c r="I3033" s="147" t="s">
        <v>1184</v>
      </c>
      <c r="J3033" s="147" t="s">
        <v>6741</v>
      </c>
      <c r="K3033" s="148"/>
      <c r="L3033" s="149"/>
      <c r="M3033" s="148"/>
    </row>
    <row r="3034" spans="1:13" ht="15" customHeight="1">
      <c r="A3034" s="142" t="s">
        <v>7726</v>
      </c>
      <c r="B3034" s="142">
        <v>515329</v>
      </c>
      <c r="C3034" s="143" t="s">
        <v>6735</v>
      </c>
      <c r="D3034" s="142" t="s">
        <v>3370</v>
      </c>
      <c r="E3034" s="143" t="s">
        <v>3385</v>
      </c>
      <c r="F3034" s="143" t="s">
        <v>3385</v>
      </c>
      <c r="G3034" s="142" t="s">
        <v>6739</v>
      </c>
      <c r="H3034" s="142" t="s">
        <v>53</v>
      </c>
      <c r="I3034" s="143" t="s">
        <v>1110</v>
      </c>
      <c r="J3034" s="143" t="s">
        <v>6741</v>
      </c>
      <c r="K3034" s="144"/>
      <c r="L3034" s="145"/>
      <c r="M3034" s="144"/>
    </row>
    <row r="3035" spans="1:13" ht="15" customHeight="1">
      <c r="A3035" s="146" t="s">
        <v>7727</v>
      </c>
      <c r="B3035" s="146">
        <v>514846</v>
      </c>
      <c r="C3035" s="147" t="s">
        <v>6735</v>
      </c>
      <c r="D3035" s="146" t="s">
        <v>3370</v>
      </c>
      <c r="E3035" s="147" t="s">
        <v>3385</v>
      </c>
      <c r="F3035" s="147" t="s">
        <v>3385</v>
      </c>
      <c r="G3035" s="146" t="s">
        <v>6739</v>
      </c>
      <c r="H3035" s="146" t="s">
        <v>53</v>
      </c>
      <c r="I3035" s="147" t="s">
        <v>1184</v>
      </c>
      <c r="J3035" s="147" t="s">
        <v>6741</v>
      </c>
      <c r="K3035" s="148"/>
      <c r="L3035" s="149"/>
      <c r="M3035" s="148"/>
    </row>
    <row r="3036" spans="1:13" ht="15" customHeight="1">
      <c r="A3036" s="142" t="s">
        <v>7728</v>
      </c>
      <c r="B3036" s="142">
        <v>515814</v>
      </c>
      <c r="C3036" s="143" t="s">
        <v>6735</v>
      </c>
      <c r="D3036" s="142" t="s">
        <v>3370</v>
      </c>
      <c r="E3036" s="143" t="s">
        <v>3385</v>
      </c>
      <c r="F3036" s="143" t="s">
        <v>3385</v>
      </c>
      <c r="G3036" s="142" t="s">
        <v>6739</v>
      </c>
      <c r="H3036" s="142" t="s">
        <v>53</v>
      </c>
      <c r="I3036" s="143" t="s">
        <v>1184</v>
      </c>
      <c r="J3036" s="143" t="s">
        <v>6741</v>
      </c>
      <c r="K3036" s="144"/>
      <c r="L3036" s="145"/>
      <c r="M3036" s="144"/>
    </row>
    <row r="3037" spans="1:13" ht="15" customHeight="1">
      <c r="A3037" s="146" t="s">
        <v>7729</v>
      </c>
      <c r="B3037" s="146">
        <v>514702</v>
      </c>
      <c r="C3037" s="147" t="s">
        <v>6735</v>
      </c>
      <c r="D3037" s="146" t="s">
        <v>3370</v>
      </c>
      <c r="E3037" s="147" t="s">
        <v>3385</v>
      </c>
      <c r="F3037" s="147" t="s">
        <v>3385</v>
      </c>
      <c r="G3037" s="146" t="s">
        <v>6739</v>
      </c>
      <c r="H3037" s="146" t="s">
        <v>53</v>
      </c>
      <c r="I3037" s="147" t="s">
        <v>1184</v>
      </c>
      <c r="J3037" s="147" t="s">
        <v>6741</v>
      </c>
      <c r="K3037" s="148"/>
      <c r="L3037" s="149"/>
      <c r="M3037" s="148"/>
    </row>
    <row r="3038" spans="1:13" ht="15" customHeight="1">
      <c r="A3038" s="142" t="s">
        <v>7730</v>
      </c>
      <c r="B3038" s="142">
        <v>515139</v>
      </c>
      <c r="C3038" s="143" t="s">
        <v>6735</v>
      </c>
      <c r="D3038" s="142" t="s">
        <v>3370</v>
      </c>
      <c r="E3038" s="143" t="s">
        <v>3493</v>
      </c>
      <c r="F3038" s="143" t="s">
        <v>7731</v>
      </c>
      <c r="G3038" s="142" t="s">
        <v>6739</v>
      </c>
      <c r="H3038" s="142" t="s">
        <v>53</v>
      </c>
      <c r="I3038" s="143" t="s">
        <v>1110</v>
      </c>
      <c r="J3038" s="143" t="s">
        <v>6741</v>
      </c>
      <c r="K3038" s="144"/>
      <c r="L3038" s="145"/>
      <c r="M3038" s="144"/>
    </row>
    <row r="3039" spans="1:13" ht="15" customHeight="1">
      <c r="A3039" s="146" t="s">
        <v>7732</v>
      </c>
      <c r="B3039" s="146">
        <v>515080</v>
      </c>
      <c r="C3039" s="147" t="s">
        <v>6735</v>
      </c>
      <c r="D3039" s="146" t="s">
        <v>3370</v>
      </c>
      <c r="E3039" s="147" t="s">
        <v>3900</v>
      </c>
      <c r="F3039" s="147" t="s">
        <v>3528</v>
      </c>
      <c r="G3039" s="146" t="s">
        <v>6739</v>
      </c>
      <c r="H3039" s="146" t="s">
        <v>53</v>
      </c>
      <c r="I3039" s="147" t="s">
        <v>1184</v>
      </c>
      <c r="J3039" s="147" t="s">
        <v>6741</v>
      </c>
      <c r="K3039" s="148"/>
      <c r="L3039" s="149"/>
      <c r="M3039" s="148"/>
    </row>
    <row r="3040" spans="1:13" ht="15" customHeight="1">
      <c r="A3040" s="142" t="s">
        <v>7733</v>
      </c>
      <c r="B3040" s="142">
        <v>514904</v>
      </c>
      <c r="C3040" s="143" t="s">
        <v>6735</v>
      </c>
      <c r="D3040" s="142" t="s">
        <v>3370</v>
      </c>
      <c r="E3040" s="143" t="s">
        <v>3749</v>
      </c>
      <c r="F3040" s="143" t="s">
        <v>3927</v>
      </c>
      <c r="G3040" s="142" t="s">
        <v>6739</v>
      </c>
      <c r="H3040" s="142" t="s">
        <v>53</v>
      </c>
      <c r="I3040" s="143" t="s">
        <v>1184</v>
      </c>
      <c r="J3040" s="143" t="s">
        <v>6741</v>
      </c>
      <c r="K3040" s="144"/>
      <c r="L3040" s="145"/>
      <c r="M3040" s="144"/>
    </row>
    <row r="3041" spans="1:13" ht="15" customHeight="1">
      <c r="A3041" s="146" t="s">
        <v>7734</v>
      </c>
      <c r="B3041" s="146">
        <v>514749</v>
      </c>
      <c r="C3041" s="147" t="s">
        <v>6735</v>
      </c>
      <c r="D3041" s="146" t="s">
        <v>3370</v>
      </c>
      <c r="E3041" s="147" t="s">
        <v>3749</v>
      </c>
      <c r="F3041" s="147" t="s">
        <v>3432</v>
      </c>
      <c r="G3041" s="146" t="s">
        <v>6739</v>
      </c>
      <c r="H3041" s="146" t="s">
        <v>53</v>
      </c>
      <c r="I3041" s="147" t="s">
        <v>1184</v>
      </c>
      <c r="J3041" s="147" t="s">
        <v>6741</v>
      </c>
      <c r="K3041" s="148"/>
      <c r="L3041" s="149"/>
      <c r="M3041" s="148"/>
    </row>
    <row r="3042" spans="1:13" ht="15" customHeight="1">
      <c r="A3042" s="142" t="s">
        <v>7735</v>
      </c>
      <c r="B3042" s="142">
        <v>514716</v>
      </c>
      <c r="C3042" s="143" t="s">
        <v>6735</v>
      </c>
      <c r="D3042" s="142" t="s">
        <v>3370</v>
      </c>
      <c r="E3042" s="143" t="s">
        <v>3644</v>
      </c>
      <c r="F3042" s="143" t="s">
        <v>3379</v>
      </c>
      <c r="G3042" s="142" t="s">
        <v>6739</v>
      </c>
      <c r="H3042" s="142" t="s">
        <v>53</v>
      </c>
      <c r="I3042" s="143" t="s">
        <v>1110</v>
      </c>
      <c r="J3042" s="143" t="s">
        <v>6741</v>
      </c>
      <c r="K3042" s="144"/>
      <c r="L3042" s="145"/>
      <c r="M3042" s="144"/>
    </row>
    <row r="3043" spans="1:13" ht="15" customHeight="1">
      <c r="A3043" s="146" t="s">
        <v>7736</v>
      </c>
      <c r="B3043" s="146">
        <v>514590</v>
      </c>
      <c r="C3043" s="147" t="s">
        <v>6735</v>
      </c>
      <c r="D3043" s="146" t="s">
        <v>3370</v>
      </c>
      <c r="E3043" s="147" t="s">
        <v>3644</v>
      </c>
      <c r="F3043" s="147" t="s">
        <v>3379</v>
      </c>
      <c r="G3043" s="146" t="s">
        <v>6739</v>
      </c>
      <c r="H3043" s="146" t="s">
        <v>53</v>
      </c>
      <c r="I3043" s="147" t="s">
        <v>1110</v>
      </c>
      <c r="J3043" s="147" t="s">
        <v>6741</v>
      </c>
      <c r="K3043" s="148"/>
      <c r="L3043" s="149"/>
      <c r="M3043" s="148"/>
    </row>
    <row r="3044" spans="1:13" ht="15" customHeight="1">
      <c r="A3044" s="142" t="s">
        <v>7737</v>
      </c>
      <c r="B3044" s="142">
        <v>514699</v>
      </c>
      <c r="C3044" s="143" t="s">
        <v>6735</v>
      </c>
      <c r="D3044" s="142" t="s">
        <v>3370</v>
      </c>
      <c r="E3044" s="143" t="s">
        <v>3644</v>
      </c>
      <c r="F3044" s="143" t="s">
        <v>7738</v>
      </c>
      <c r="G3044" s="142" t="s">
        <v>6739</v>
      </c>
      <c r="H3044" s="142" t="s">
        <v>53</v>
      </c>
      <c r="I3044" s="143" t="s">
        <v>1110</v>
      </c>
      <c r="J3044" s="143" t="s">
        <v>6741</v>
      </c>
      <c r="K3044" s="144"/>
      <c r="L3044" s="145"/>
      <c r="M3044" s="144"/>
    </row>
    <row r="3045" spans="1:13" ht="15" customHeight="1">
      <c r="A3045" s="146" t="s">
        <v>7739</v>
      </c>
      <c r="B3045" s="146">
        <v>514593</v>
      </c>
      <c r="C3045" s="147" t="s">
        <v>6735</v>
      </c>
      <c r="D3045" s="146" t="s">
        <v>3370</v>
      </c>
      <c r="E3045" s="147" t="s">
        <v>3644</v>
      </c>
      <c r="F3045" s="147" t="s">
        <v>7740</v>
      </c>
      <c r="G3045" s="146" t="s">
        <v>6739</v>
      </c>
      <c r="H3045" s="146" t="s">
        <v>53</v>
      </c>
      <c r="I3045" s="147" t="s">
        <v>1110</v>
      </c>
      <c r="J3045" s="147" t="s">
        <v>6741</v>
      </c>
      <c r="K3045" s="148"/>
      <c r="L3045" s="149"/>
      <c r="M3045" s="148"/>
    </row>
    <row r="3046" spans="1:13" ht="15" customHeight="1">
      <c r="A3046" s="142" t="s">
        <v>7741</v>
      </c>
      <c r="B3046" s="142">
        <v>514877</v>
      </c>
      <c r="C3046" s="143" t="s">
        <v>6735</v>
      </c>
      <c r="D3046" s="142" t="s">
        <v>3370</v>
      </c>
      <c r="E3046" s="143" t="s">
        <v>4124</v>
      </c>
      <c r="F3046" s="143" t="s">
        <v>7742</v>
      </c>
      <c r="G3046" s="142" t="s">
        <v>6739</v>
      </c>
      <c r="H3046" s="142" t="s">
        <v>53</v>
      </c>
      <c r="I3046" s="143" t="s">
        <v>1184</v>
      </c>
      <c r="J3046" s="143" t="s">
        <v>6741</v>
      </c>
      <c r="K3046" s="144"/>
      <c r="L3046" s="145"/>
      <c r="M3046" s="144"/>
    </row>
    <row r="3047" spans="1:13" ht="15" customHeight="1">
      <c r="A3047" s="146" t="s">
        <v>7743</v>
      </c>
      <c r="B3047" s="146">
        <v>514873</v>
      </c>
      <c r="C3047" s="147" t="s">
        <v>6735</v>
      </c>
      <c r="D3047" s="146" t="s">
        <v>3370</v>
      </c>
      <c r="E3047" s="147" t="s">
        <v>3561</v>
      </c>
      <c r="F3047" s="147" t="s">
        <v>3561</v>
      </c>
      <c r="G3047" s="146" t="s">
        <v>6739</v>
      </c>
      <c r="H3047" s="146" t="s">
        <v>53</v>
      </c>
      <c r="I3047" s="147" t="s">
        <v>1110</v>
      </c>
      <c r="J3047" s="147" t="s">
        <v>6741</v>
      </c>
      <c r="K3047" s="148"/>
      <c r="L3047" s="149"/>
      <c r="M3047" s="148"/>
    </row>
    <row r="3048" spans="1:13" ht="15" customHeight="1">
      <c r="A3048" s="142" t="s">
        <v>7744</v>
      </c>
      <c r="B3048" s="142">
        <v>514755</v>
      </c>
      <c r="C3048" s="143" t="s">
        <v>6735</v>
      </c>
      <c r="D3048" s="142" t="s">
        <v>3370</v>
      </c>
      <c r="E3048" s="143" t="s">
        <v>3561</v>
      </c>
      <c r="F3048" s="143" t="s">
        <v>3561</v>
      </c>
      <c r="G3048" s="142" t="s">
        <v>6739</v>
      </c>
      <c r="H3048" s="142" t="s">
        <v>53</v>
      </c>
      <c r="I3048" s="143" t="s">
        <v>1110</v>
      </c>
      <c r="J3048" s="143" t="s">
        <v>6741</v>
      </c>
      <c r="K3048" s="144"/>
      <c r="L3048" s="145"/>
      <c r="M3048" s="144"/>
    </row>
    <row r="3049" spans="1:13" ht="15" customHeight="1">
      <c r="A3049" s="146" t="s">
        <v>7745</v>
      </c>
      <c r="B3049" s="146">
        <v>514848</v>
      </c>
      <c r="C3049" s="147" t="s">
        <v>6735</v>
      </c>
      <c r="D3049" s="146" t="s">
        <v>3370</v>
      </c>
      <c r="E3049" s="147" t="s">
        <v>3561</v>
      </c>
      <c r="F3049" s="147" t="s">
        <v>3561</v>
      </c>
      <c r="G3049" s="146" t="s">
        <v>6739</v>
      </c>
      <c r="H3049" s="146" t="s">
        <v>53</v>
      </c>
      <c r="I3049" s="147" t="s">
        <v>1110</v>
      </c>
      <c r="J3049" s="147" t="s">
        <v>6741</v>
      </c>
      <c r="K3049" s="148"/>
      <c r="L3049" s="149"/>
      <c r="M3049" s="148"/>
    </row>
    <row r="3050" spans="1:13" ht="15" customHeight="1">
      <c r="A3050" s="142" t="s">
        <v>7746</v>
      </c>
      <c r="B3050" s="142">
        <v>514724</v>
      </c>
      <c r="C3050" s="143" t="s">
        <v>6735</v>
      </c>
      <c r="D3050" s="142" t="s">
        <v>3370</v>
      </c>
      <c r="E3050" s="143" t="s">
        <v>3561</v>
      </c>
      <c r="F3050" s="143" t="s">
        <v>3561</v>
      </c>
      <c r="G3050" s="142" t="s">
        <v>6739</v>
      </c>
      <c r="H3050" s="142" t="s">
        <v>53</v>
      </c>
      <c r="I3050" s="143" t="s">
        <v>1110</v>
      </c>
      <c r="J3050" s="143" t="s">
        <v>6741</v>
      </c>
      <c r="K3050" s="144"/>
      <c r="L3050" s="145"/>
      <c r="M3050" s="144"/>
    </row>
    <row r="3051" spans="1:13" ht="15" customHeight="1">
      <c r="A3051" s="146" t="s">
        <v>7747</v>
      </c>
      <c r="B3051" s="146">
        <v>515076</v>
      </c>
      <c r="C3051" s="147" t="s">
        <v>6735</v>
      </c>
      <c r="D3051" s="146" t="s">
        <v>3370</v>
      </c>
      <c r="E3051" s="147" t="s">
        <v>3561</v>
      </c>
      <c r="F3051" s="147" t="s">
        <v>7748</v>
      </c>
      <c r="G3051" s="146" t="s">
        <v>6739</v>
      </c>
      <c r="H3051" s="146" t="s">
        <v>50</v>
      </c>
      <c r="I3051" s="147" t="s">
        <v>3449</v>
      </c>
      <c r="J3051" s="147" t="s">
        <v>6741</v>
      </c>
      <c r="K3051" s="148" t="s">
        <v>121</v>
      </c>
      <c r="L3051" s="149">
        <v>46147</v>
      </c>
      <c r="M3051" s="148"/>
    </row>
    <row r="3052" spans="1:13" ht="15" customHeight="1">
      <c r="A3052" s="142" t="s">
        <v>7749</v>
      </c>
      <c r="B3052" s="142">
        <v>515685</v>
      </c>
      <c r="C3052" s="143" t="s">
        <v>6735</v>
      </c>
      <c r="D3052" s="142" t="s">
        <v>3370</v>
      </c>
      <c r="E3052" s="143" t="s">
        <v>3696</v>
      </c>
      <c r="F3052" s="143" t="s">
        <v>7750</v>
      </c>
      <c r="G3052" s="142" t="s">
        <v>6739</v>
      </c>
      <c r="H3052" s="142" t="s">
        <v>50</v>
      </c>
      <c r="I3052" s="143" t="s">
        <v>3391</v>
      </c>
      <c r="J3052" s="143" t="s">
        <v>6741</v>
      </c>
      <c r="K3052" s="150" t="s">
        <v>5</v>
      </c>
      <c r="L3052" s="145">
        <v>46121</v>
      </c>
      <c r="M3052" s="152" t="s">
        <v>3392</v>
      </c>
    </row>
    <row r="3053" spans="1:13" ht="15" customHeight="1">
      <c r="A3053" s="146" t="s">
        <v>7751</v>
      </c>
      <c r="B3053" s="146">
        <v>514969</v>
      </c>
      <c r="C3053" s="147" t="s">
        <v>6735</v>
      </c>
      <c r="D3053" s="146" t="s">
        <v>3370</v>
      </c>
      <c r="E3053" s="147" t="s">
        <v>3696</v>
      </c>
      <c r="F3053" s="147" t="s">
        <v>7752</v>
      </c>
      <c r="G3053" s="146" t="s">
        <v>6739</v>
      </c>
      <c r="H3053" s="146" t="s">
        <v>50</v>
      </c>
      <c r="I3053" s="147" t="s">
        <v>3391</v>
      </c>
      <c r="J3053" s="147" t="s">
        <v>6741</v>
      </c>
      <c r="K3053" s="150" t="s">
        <v>5</v>
      </c>
      <c r="L3053" s="149">
        <v>46121</v>
      </c>
      <c r="M3053" s="151" t="s">
        <v>3392</v>
      </c>
    </row>
    <row r="3054" spans="1:13" ht="15" customHeight="1">
      <c r="A3054" s="142" t="s">
        <v>7753</v>
      </c>
      <c r="B3054" s="142">
        <v>514971</v>
      </c>
      <c r="C3054" s="143" t="s">
        <v>6735</v>
      </c>
      <c r="D3054" s="142" t="s">
        <v>3370</v>
      </c>
      <c r="E3054" s="143" t="s">
        <v>3696</v>
      </c>
      <c r="F3054" s="143" t="s">
        <v>7752</v>
      </c>
      <c r="G3054" s="142" t="s">
        <v>6739</v>
      </c>
      <c r="H3054" s="142" t="s">
        <v>50</v>
      </c>
      <c r="I3054" s="143" t="s">
        <v>3391</v>
      </c>
      <c r="J3054" s="143" t="s">
        <v>6741</v>
      </c>
      <c r="K3054" s="150" t="s">
        <v>5</v>
      </c>
      <c r="L3054" s="145">
        <v>46121</v>
      </c>
      <c r="M3054" s="152" t="s">
        <v>3392</v>
      </c>
    </row>
    <row r="3055" spans="1:13" ht="15" customHeight="1">
      <c r="A3055" s="146" t="s">
        <v>7754</v>
      </c>
      <c r="B3055" s="146">
        <v>514611</v>
      </c>
      <c r="C3055" s="147" t="s">
        <v>6735</v>
      </c>
      <c r="D3055" s="146" t="s">
        <v>3370</v>
      </c>
      <c r="E3055" s="147" t="s">
        <v>7755</v>
      </c>
      <c r="F3055" s="147" t="s">
        <v>7756</v>
      </c>
      <c r="G3055" s="146" t="s">
        <v>6739</v>
      </c>
      <c r="H3055" s="146" t="s">
        <v>53</v>
      </c>
      <c r="I3055" s="147" t="s">
        <v>1184</v>
      </c>
      <c r="J3055" s="147" t="s">
        <v>6741</v>
      </c>
      <c r="K3055" s="148"/>
      <c r="L3055" s="149"/>
      <c r="M3055" s="148"/>
    </row>
    <row r="3056" spans="1:13" ht="15" customHeight="1">
      <c r="A3056" s="142" t="s">
        <v>7757</v>
      </c>
      <c r="B3056" s="142">
        <v>514580</v>
      </c>
      <c r="C3056" s="143" t="s">
        <v>6735</v>
      </c>
      <c r="D3056" s="142" t="s">
        <v>3370</v>
      </c>
      <c r="E3056" s="143" t="s">
        <v>3927</v>
      </c>
      <c r="F3056" s="143" t="s">
        <v>3616</v>
      </c>
      <c r="G3056" s="142" t="s">
        <v>6739</v>
      </c>
      <c r="H3056" s="142" t="s">
        <v>53</v>
      </c>
      <c r="I3056" s="143" t="s">
        <v>1184</v>
      </c>
      <c r="J3056" s="143" t="s">
        <v>6741</v>
      </c>
      <c r="K3056" s="144"/>
      <c r="L3056" s="145"/>
      <c r="M3056" s="144"/>
    </row>
    <row r="3057" spans="1:13" ht="15" customHeight="1">
      <c r="A3057" s="146" t="s">
        <v>7758</v>
      </c>
      <c r="B3057" s="146">
        <v>514998</v>
      </c>
      <c r="C3057" s="147" t="s">
        <v>6735</v>
      </c>
      <c r="D3057" s="146" t="s">
        <v>3370</v>
      </c>
      <c r="E3057" s="147" t="s">
        <v>4134</v>
      </c>
      <c r="F3057" s="147" t="s">
        <v>7759</v>
      </c>
      <c r="G3057" s="146" t="s">
        <v>6739</v>
      </c>
      <c r="H3057" s="146" t="s">
        <v>50</v>
      </c>
      <c r="I3057" s="147" t="s">
        <v>3391</v>
      </c>
      <c r="J3057" s="147" t="s">
        <v>6741</v>
      </c>
      <c r="K3057" s="150" t="s">
        <v>5</v>
      </c>
      <c r="L3057" s="149">
        <v>46122</v>
      </c>
      <c r="M3057" s="151" t="s">
        <v>3392</v>
      </c>
    </row>
    <row r="3058" spans="1:13" ht="15" customHeight="1">
      <c r="A3058" s="142" t="s">
        <v>7760</v>
      </c>
      <c r="B3058" s="142">
        <v>515325</v>
      </c>
      <c r="C3058" s="143" t="s">
        <v>6735</v>
      </c>
      <c r="D3058" s="142" t="s">
        <v>3370</v>
      </c>
      <c r="E3058" s="143" t="s">
        <v>4134</v>
      </c>
      <c r="F3058" s="143" t="s">
        <v>7761</v>
      </c>
      <c r="G3058" s="142" t="s">
        <v>6739</v>
      </c>
      <c r="H3058" s="142" t="s">
        <v>50</v>
      </c>
      <c r="I3058" s="143" t="s">
        <v>3391</v>
      </c>
      <c r="J3058" s="143" t="s">
        <v>6741</v>
      </c>
      <c r="K3058" s="150" t="s">
        <v>5</v>
      </c>
      <c r="L3058" s="145">
        <v>46122</v>
      </c>
      <c r="M3058" s="152" t="s">
        <v>3392</v>
      </c>
    </row>
    <row r="3059" spans="1:13" ht="15" customHeight="1">
      <c r="A3059" s="146" t="s">
        <v>7762</v>
      </c>
      <c r="B3059" s="146">
        <v>514997</v>
      </c>
      <c r="C3059" s="147" t="s">
        <v>6735</v>
      </c>
      <c r="D3059" s="146" t="s">
        <v>3370</v>
      </c>
      <c r="E3059" s="147" t="s">
        <v>4134</v>
      </c>
      <c r="F3059" s="147" t="s">
        <v>7763</v>
      </c>
      <c r="G3059" s="146" t="s">
        <v>6739</v>
      </c>
      <c r="H3059" s="146" t="s">
        <v>50</v>
      </c>
      <c r="I3059" s="147" t="s">
        <v>3391</v>
      </c>
      <c r="J3059" s="147" t="s">
        <v>6741</v>
      </c>
      <c r="K3059" s="150" t="s">
        <v>5</v>
      </c>
      <c r="L3059" s="149">
        <v>46126</v>
      </c>
      <c r="M3059" s="151" t="s">
        <v>3392</v>
      </c>
    </row>
    <row r="3060" spans="1:13" ht="15" customHeight="1">
      <c r="A3060" s="142" t="s">
        <v>7764</v>
      </c>
      <c r="B3060" s="142">
        <v>514978</v>
      </c>
      <c r="C3060" s="143" t="s">
        <v>6735</v>
      </c>
      <c r="D3060" s="142" t="s">
        <v>3370</v>
      </c>
      <c r="E3060" s="143" t="s">
        <v>4134</v>
      </c>
      <c r="F3060" s="143" t="s">
        <v>4135</v>
      </c>
      <c r="G3060" s="142" t="s">
        <v>6739</v>
      </c>
      <c r="H3060" s="142" t="s">
        <v>50</v>
      </c>
      <c r="I3060" s="143" t="s">
        <v>3391</v>
      </c>
      <c r="J3060" s="143" t="s">
        <v>6741</v>
      </c>
      <c r="K3060" s="150" t="s">
        <v>5</v>
      </c>
      <c r="L3060" s="145">
        <v>46122</v>
      </c>
      <c r="M3060" s="152" t="s">
        <v>3392</v>
      </c>
    </row>
    <row r="3061" spans="1:13" ht="15" customHeight="1">
      <c r="A3061" s="146" t="s">
        <v>7765</v>
      </c>
      <c r="B3061" s="146">
        <v>514950</v>
      </c>
      <c r="C3061" s="147" t="s">
        <v>6735</v>
      </c>
      <c r="D3061" s="146" t="s">
        <v>3370</v>
      </c>
      <c r="E3061" s="147" t="s">
        <v>3576</v>
      </c>
      <c r="F3061" s="147" t="s">
        <v>7766</v>
      </c>
      <c r="G3061" s="146" t="s">
        <v>6739</v>
      </c>
      <c r="H3061" s="146" t="s">
        <v>53</v>
      </c>
      <c r="I3061" s="147" t="s">
        <v>1110</v>
      </c>
      <c r="J3061" s="147" t="s">
        <v>6741</v>
      </c>
      <c r="K3061" s="148"/>
      <c r="L3061" s="149"/>
      <c r="M3061" s="148"/>
    </row>
    <row r="3062" spans="1:13" ht="15" customHeight="1">
      <c r="A3062" s="142" t="s">
        <v>7767</v>
      </c>
      <c r="B3062" s="142">
        <v>514994</v>
      </c>
      <c r="C3062" s="143" t="s">
        <v>6735</v>
      </c>
      <c r="D3062" s="142" t="s">
        <v>3370</v>
      </c>
      <c r="E3062" s="143" t="s">
        <v>7768</v>
      </c>
      <c r="F3062" s="143" t="s">
        <v>7769</v>
      </c>
      <c r="G3062" s="142" t="s">
        <v>6739</v>
      </c>
      <c r="H3062" s="142" t="s">
        <v>53</v>
      </c>
      <c r="I3062" s="143" t="s">
        <v>1110</v>
      </c>
      <c r="J3062" s="143" t="s">
        <v>6741</v>
      </c>
      <c r="K3062" s="144"/>
      <c r="L3062" s="145"/>
      <c r="M3062" s="144"/>
    </row>
    <row r="3063" spans="1:13" ht="15" customHeight="1">
      <c r="A3063" s="146" t="s">
        <v>7770</v>
      </c>
      <c r="B3063" s="146">
        <v>514864</v>
      </c>
      <c r="C3063" s="147" t="s">
        <v>6735</v>
      </c>
      <c r="D3063" s="146" t="s">
        <v>3370</v>
      </c>
      <c r="E3063" s="147" t="s">
        <v>3371</v>
      </c>
      <c r="F3063" s="147" t="s">
        <v>7771</v>
      </c>
      <c r="G3063" s="146" t="s">
        <v>6739</v>
      </c>
      <c r="H3063" s="146" t="s">
        <v>53</v>
      </c>
      <c r="I3063" s="147" t="s">
        <v>1110</v>
      </c>
      <c r="J3063" s="147" t="s">
        <v>6741</v>
      </c>
      <c r="K3063" s="148"/>
      <c r="L3063" s="149"/>
      <c r="M3063" s="148"/>
    </row>
    <row r="3064" spans="1:13" ht="15" customHeight="1">
      <c r="A3064" s="142" t="s">
        <v>7772</v>
      </c>
      <c r="B3064" s="142">
        <v>515204</v>
      </c>
      <c r="C3064" s="143" t="s">
        <v>6735</v>
      </c>
      <c r="D3064" s="142" t="s">
        <v>3370</v>
      </c>
      <c r="E3064" s="143" t="s">
        <v>3371</v>
      </c>
      <c r="F3064" s="143" t="s">
        <v>7773</v>
      </c>
      <c r="G3064" s="142" t="s">
        <v>6739</v>
      </c>
      <c r="H3064" s="142" t="s">
        <v>53</v>
      </c>
      <c r="I3064" s="143" t="s">
        <v>1110</v>
      </c>
      <c r="J3064" s="143" t="s">
        <v>6741</v>
      </c>
      <c r="K3064" s="144"/>
      <c r="L3064" s="145"/>
      <c r="M3064" s="144"/>
    </row>
    <row r="3065" spans="1:13" ht="15" customHeight="1">
      <c r="A3065" s="146" t="s">
        <v>7774</v>
      </c>
      <c r="B3065" s="146">
        <v>514868</v>
      </c>
      <c r="C3065" s="147" t="s">
        <v>6735</v>
      </c>
      <c r="D3065" s="146" t="s">
        <v>3370</v>
      </c>
      <c r="E3065" s="147" t="s">
        <v>3371</v>
      </c>
      <c r="F3065" s="147" t="s">
        <v>7775</v>
      </c>
      <c r="G3065" s="146" t="s">
        <v>6739</v>
      </c>
      <c r="H3065" s="146" t="s">
        <v>53</v>
      </c>
      <c r="I3065" s="147" t="s">
        <v>1110</v>
      </c>
      <c r="J3065" s="147" t="s">
        <v>6741</v>
      </c>
      <c r="K3065" s="148"/>
      <c r="L3065" s="149"/>
      <c r="M3065" s="148"/>
    </row>
    <row r="3066" spans="1:13" ht="15" customHeight="1">
      <c r="A3066" s="142" t="s">
        <v>7776</v>
      </c>
      <c r="B3066" s="142">
        <v>514604</v>
      </c>
      <c r="C3066" s="143" t="s">
        <v>6735</v>
      </c>
      <c r="D3066" s="142" t="s">
        <v>3370</v>
      </c>
      <c r="E3066" s="143" t="s">
        <v>3651</v>
      </c>
      <c r="F3066" s="143" t="s">
        <v>3651</v>
      </c>
      <c r="G3066" s="142" t="s">
        <v>6739</v>
      </c>
      <c r="H3066" s="142" t="s">
        <v>53</v>
      </c>
      <c r="I3066" s="143" t="s">
        <v>1110</v>
      </c>
      <c r="J3066" s="143" t="s">
        <v>6741</v>
      </c>
      <c r="K3066" s="144"/>
      <c r="L3066" s="145"/>
      <c r="M3066" s="144"/>
    </row>
    <row r="3067" spans="1:13" ht="15" customHeight="1">
      <c r="A3067" s="146" t="s">
        <v>7777</v>
      </c>
      <c r="B3067" s="146">
        <v>514663</v>
      </c>
      <c r="C3067" s="147" t="s">
        <v>6735</v>
      </c>
      <c r="D3067" s="146" t="s">
        <v>3370</v>
      </c>
      <c r="E3067" s="147" t="s">
        <v>3651</v>
      </c>
      <c r="F3067" s="147" t="s">
        <v>7778</v>
      </c>
      <c r="G3067" s="146" t="s">
        <v>6739</v>
      </c>
      <c r="H3067" s="146" t="s">
        <v>53</v>
      </c>
      <c r="I3067" s="147" t="s">
        <v>1110</v>
      </c>
      <c r="J3067" s="147" t="s">
        <v>6741</v>
      </c>
      <c r="K3067" s="148"/>
      <c r="L3067" s="149"/>
      <c r="M3067" s="148"/>
    </row>
    <row r="3068" spans="1:13" ht="15" customHeight="1">
      <c r="A3068" s="142" t="s">
        <v>7779</v>
      </c>
      <c r="B3068" s="142">
        <v>514959</v>
      </c>
      <c r="C3068" s="143" t="s">
        <v>6735</v>
      </c>
      <c r="D3068" s="142" t="s">
        <v>3370</v>
      </c>
      <c r="E3068" s="143" t="s">
        <v>7780</v>
      </c>
      <c r="F3068" s="143" t="s">
        <v>7781</v>
      </c>
      <c r="G3068" s="142" t="s">
        <v>6739</v>
      </c>
      <c r="H3068" s="142" t="s">
        <v>53</v>
      </c>
      <c r="I3068" s="143" t="s">
        <v>1110</v>
      </c>
      <c r="J3068" s="143" t="s">
        <v>6741</v>
      </c>
      <c r="K3068" s="144"/>
      <c r="L3068" s="145"/>
      <c r="M3068" s="144"/>
    </row>
    <row r="3069" spans="1:13" ht="15" customHeight="1">
      <c r="A3069" s="146" t="s">
        <v>7782</v>
      </c>
      <c r="B3069" s="146">
        <v>514924</v>
      </c>
      <c r="C3069" s="147" t="s">
        <v>6735</v>
      </c>
      <c r="D3069" s="146" t="s">
        <v>3370</v>
      </c>
      <c r="E3069" s="147" t="s">
        <v>3379</v>
      </c>
      <c r="F3069" s="147" t="s">
        <v>3379</v>
      </c>
      <c r="G3069" s="146" t="s">
        <v>6739</v>
      </c>
      <c r="H3069" s="146" t="s">
        <v>53</v>
      </c>
      <c r="I3069" s="147" t="s">
        <v>1110</v>
      </c>
      <c r="J3069" s="147" t="s">
        <v>6741</v>
      </c>
      <c r="K3069" s="148"/>
      <c r="L3069" s="149"/>
      <c r="M3069" s="148"/>
    </row>
    <row r="3070" spans="1:13" ht="15" customHeight="1">
      <c r="A3070" s="142" t="s">
        <v>7783</v>
      </c>
      <c r="B3070" s="142">
        <v>514799</v>
      </c>
      <c r="C3070" s="143" t="s">
        <v>6735</v>
      </c>
      <c r="D3070" s="142" t="s">
        <v>3370</v>
      </c>
      <c r="E3070" s="143" t="s">
        <v>3379</v>
      </c>
      <c r="F3070" s="143" t="s">
        <v>3379</v>
      </c>
      <c r="G3070" s="142" t="s">
        <v>6739</v>
      </c>
      <c r="H3070" s="142" t="s">
        <v>53</v>
      </c>
      <c r="I3070" s="143" t="s">
        <v>1110</v>
      </c>
      <c r="J3070" s="143" t="s">
        <v>6741</v>
      </c>
      <c r="K3070" s="144"/>
      <c r="L3070" s="145"/>
      <c r="M3070" s="144"/>
    </row>
    <row r="3071" spans="1:13" ht="15" customHeight="1">
      <c r="A3071" s="146" t="s">
        <v>7784</v>
      </c>
      <c r="B3071" s="146">
        <v>514774</v>
      </c>
      <c r="C3071" s="147" t="s">
        <v>6735</v>
      </c>
      <c r="D3071" s="146" t="s">
        <v>3370</v>
      </c>
      <c r="E3071" s="147" t="s">
        <v>3379</v>
      </c>
      <c r="F3071" s="147" t="s">
        <v>3379</v>
      </c>
      <c r="G3071" s="146" t="s">
        <v>6739</v>
      </c>
      <c r="H3071" s="146" t="s">
        <v>53</v>
      </c>
      <c r="I3071" s="147" t="s">
        <v>1110</v>
      </c>
      <c r="J3071" s="147" t="s">
        <v>6741</v>
      </c>
      <c r="K3071" s="148"/>
      <c r="L3071" s="149"/>
      <c r="M3071" s="148"/>
    </row>
    <row r="3072" spans="1:13" ht="15" customHeight="1">
      <c r="A3072" s="142" t="s">
        <v>7785</v>
      </c>
      <c r="B3072" s="142">
        <v>514810</v>
      </c>
      <c r="C3072" s="143" t="s">
        <v>6735</v>
      </c>
      <c r="D3072" s="142" t="s">
        <v>3370</v>
      </c>
      <c r="E3072" s="143" t="s">
        <v>3379</v>
      </c>
      <c r="F3072" s="143" t="s">
        <v>7786</v>
      </c>
      <c r="G3072" s="142" t="s">
        <v>6739</v>
      </c>
      <c r="H3072" s="142" t="s">
        <v>53</v>
      </c>
      <c r="I3072" s="143" t="s">
        <v>1110</v>
      </c>
      <c r="J3072" s="143" t="s">
        <v>6741</v>
      </c>
      <c r="K3072" s="144"/>
      <c r="L3072" s="145"/>
      <c r="M3072" s="144"/>
    </row>
    <row r="3073" spans="1:13" ht="15" customHeight="1">
      <c r="A3073" s="146" t="s">
        <v>7787</v>
      </c>
      <c r="B3073" s="146">
        <v>514862</v>
      </c>
      <c r="C3073" s="147" t="s">
        <v>6735</v>
      </c>
      <c r="D3073" s="146" t="s">
        <v>3370</v>
      </c>
      <c r="E3073" s="147" t="s">
        <v>3379</v>
      </c>
      <c r="F3073" s="147" t="s">
        <v>7788</v>
      </c>
      <c r="G3073" s="146" t="s">
        <v>6739</v>
      </c>
      <c r="H3073" s="146" t="s">
        <v>53</v>
      </c>
      <c r="I3073" s="147" t="s">
        <v>1110</v>
      </c>
      <c r="J3073" s="147" t="s">
        <v>6741</v>
      </c>
      <c r="K3073" s="148"/>
      <c r="L3073" s="149"/>
      <c r="M3073" s="148"/>
    </row>
    <row r="3074" spans="1:13" ht="15" customHeight="1">
      <c r="A3074" s="142" t="s">
        <v>7789</v>
      </c>
      <c r="B3074" s="142">
        <v>514775</v>
      </c>
      <c r="C3074" s="143" t="s">
        <v>6735</v>
      </c>
      <c r="D3074" s="142" t="s">
        <v>3370</v>
      </c>
      <c r="E3074" s="143" t="s">
        <v>3384</v>
      </c>
      <c r="F3074" s="143" t="s">
        <v>3435</v>
      </c>
      <c r="G3074" s="142" t="s">
        <v>6739</v>
      </c>
      <c r="H3074" s="142" t="s">
        <v>53</v>
      </c>
      <c r="I3074" s="143" t="s">
        <v>1110</v>
      </c>
      <c r="J3074" s="143" t="s">
        <v>6741</v>
      </c>
      <c r="K3074" s="144"/>
      <c r="L3074" s="145"/>
      <c r="M3074" s="144"/>
    </row>
    <row r="3075" spans="1:13" ht="15" customHeight="1">
      <c r="A3075" s="146" t="s">
        <v>7790</v>
      </c>
      <c r="B3075" s="146">
        <v>515046</v>
      </c>
      <c r="C3075" s="147" t="s">
        <v>6735</v>
      </c>
      <c r="D3075" s="146" t="s">
        <v>3370</v>
      </c>
      <c r="E3075" s="147" t="s">
        <v>3384</v>
      </c>
      <c r="F3075" s="147" t="s">
        <v>3435</v>
      </c>
      <c r="G3075" s="146" t="s">
        <v>6739</v>
      </c>
      <c r="H3075" s="146" t="s">
        <v>53</v>
      </c>
      <c r="I3075" s="147" t="s">
        <v>1110</v>
      </c>
      <c r="J3075" s="147" t="s">
        <v>6741</v>
      </c>
      <c r="K3075" s="148"/>
      <c r="L3075" s="149"/>
      <c r="M3075" s="148"/>
    </row>
    <row r="3076" spans="1:13" ht="15" customHeight="1">
      <c r="A3076" s="142" t="s">
        <v>7791</v>
      </c>
      <c r="B3076" s="142">
        <v>514736</v>
      </c>
      <c r="C3076" s="143" t="s">
        <v>6735</v>
      </c>
      <c r="D3076" s="142" t="s">
        <v>3370</v>
      </c>
      <c r="E3076" s="143" t="s">
        <v>3384</v>
      </c>
      <c r="F3076" s="143" t="s">
        <v>3435</v>
      </c>
      <c r="G3076" s="142" t="s">
        <v>6739</v>
      </c>
      <c r="H3076" s="142" t="s">
        <v>53</v>
      </c>
      <c r="I3076" s="143" t="s">
        <v>1110</v>
      </c>
      <c r="J3076" s="143" t="s">
        <v>6741</v>
      </c>
      <c r="K3076" s="144"/>
      <c r="L3076" s="145"/>
      <c r="M3076" s="144"/>
    </row>
    <row r="3077" spans="1:13" ht="15" customHeight="1">
      <c r="A3077" s="146" t="s">
        <v>7792</v>
      </c>
      <c r="B3077" s="146">
        <v>514788</v>
      </c>
      <c r="C3077" s="147" t="s">
        <v>6735</v>
      </c>
      <c r="D3077" s="146" t="s">
        <v>3370</v>
      </c>
      <c r="E3077" s="147" t="s">
        <v>3384</v>
      </c>
      <c r="F3077" s="147" t="s">
        <v>3435</v>
      </c>
      <c r="G3077" s="146" t="s">
        <v>6739</v>
      </c>
      <c r="H3077" s="146" t="s">
        <v>53</v>
      </c>
      <c r="I3077" s="147" t="s">
        <v>1110</v>
      </c>
      <c r="J3077" s="147" t="s">
        <v>6741</v>
      </c>
      <c r="K3077" s="148" t="s">
        <v>162</v>
      </c>
      <c r="L3077" s="149">
        <v>46146</v>
      </c>
      <c r="M3077" s="148" t="s">
        <v>7793</v>
      </c>
    </row>
    <row r="3078" spans="1:13" ht="15" customHeight="1">
      <c r="A3078" s="142" t="s">
        <v>7794</v>
      </c>
      <c r="B3078" s="142">
        <v>515059</v>
      </c>
      <c r="C3078" s="143" t="s">
        <v>6735</v>
      </c>
      <c r="D3078" s="142" t="s">
        <v>3370</v>
      </c>
      <c r="E3078" s="143" t="s">
        <v>3384</v>
      </c>
      <c r="F3078" s="143" t="s">
        <v>3435</v>
      </c>
      <c r="G3078" s="142" t="s">
        <v>6739</v>
      </c>
      <c r="H3078" s="142" t="s">
        <v>53</v>
      </c>
      <c r="I3078" s="143" t="s">
        <v>1110</v>
      </c>
      <c r="J3078" s="143" t="s">
        <v>6741</v>
      </c>
      <c r="K3078" s="144"/>
      <c r="L3078" s="145"/>
      <c r="M3078" s="144"/>
    </row>
    <row r="3079" spans="1:13" ht="15" customHeight="1">
      <c r="A3079" s="146" t="s">
        <v>7795</v>
      </c>
      <c r="B3079" s="146">
        <v>514844</v>
      </c>
      <c r="C3079" s="147" t="s">
        <v>6735</v>
      </c>
      <c r="D3079" s="146" t="s">
        <v>3370</v>
      </c>
      <c r="E3079" s="147" t="s">
        <v>3384</v>
      </c>
      <c r="F3079" s="147" t="s">
        <v>3435</v>
      </c>
      <c r="G3079" s="146" t="s">
        <v>6739</v>
      </c>
      <c r="H3079" s="146" t="s">
        <v>53</v>
      </c>
      <c r="I3079" s="147" t="s">
        <v>1110</v>
      </c>
      <c r="J3079" s="147" t="s">
        <v>6741</v>
      </c>
      <c r="K3079" s="148"/>
      <c r="L3079" s="149"/>
      <c r="M3079" s="148"/>
    </row>
    <row r="3080" spans="1:13" ht="15" customHeight="1">
      <c r="A3080" s="142" t="s">
        <v>7796</v>
      </c>
      <c r="B3080" s="142">
        <v>514797</v>
      </c>
      <c r="C3080" s="143" t="s">
        <v>6735</v>
      </c>
      <c r="D3080" s="142" t="s">
        <v>3370</v>
      </c>
      <c r="E3080" s="143" t="s">
        <v>3384</v>
      </c>
      <c r="F3080" s="143" t="s">
        <v>3435</v>
      </c>
      <c r="G3080" s="142" t="s">
        <v>6739</v>
      </c>
      <c r="H3080" s="142" t="s">
        <v>53</v>
      </c>
      <c r="I3080" s="143" t="s">
        <v>1110</v>
      </c>
      <c r="J3080" s="143" t="s">
        <v>6741</v>
      </c>
      <c r="K3080" s="144" t="s">
        <v>121</v>
      </c>
      <c r="L3080" s="145">
        <v>46149</v>
      </c>
      <c r="M3080" s="144" t="s">
        <v>7797</v>
      </c>
    </row>
    <row r="3081" spans="1:13" ht="15" customHeight="1">
      <c r="A3081" s="146" t="s">
        <v>7798</v>
      </c>
      <c r="B3081" s="146">
        <v>515007</v>
      </c>
      <c r="C3081" s="147" t="s">
        <v>6735</v>
      </c>
      <c r="D3081" s="146" t="s">
        <v>3370</v>
      </c>
      <c r="E3081" s="147" t="s">
        <v>3384</v>
      </c>
      <c r="F3081" s="147" t="s">
        <v>3435</v>
      </c>
      <c r="G3081" s="146" t="s">
        <v>6739</v>
      </c>
      <c r="H3081" s="146" t="s">
        <v>53</v>
      </c>
      <c r="I3081" s="147" t="s">
        <v>1110</v>
      </c>
      <c r="J3081" s="147" t="s">
        <v>6741</v>
      </c>
      <c r="K3081" s="148"/>
      <c r="L3081" s="149"/>
      <c r="M3081" s="148"/>
    </row>
    <row r="3082" spans="1:13" ht="15" customHeight="1">
      <c r="A3082" s="142" t="s">
        <v>7799</v>
      </c>
      <c r="B3082" s="142">
        <v>521557</v>
      </c>
      <c r="C3082" s="143" t="s">
        <v>6735</v>
      </c>
      <c r="D3082" s="142" t="s">
        <v>3370</v>
      </c>
      <c r="E3082" s="143" t="s">
        <v>3384</v>
      </c>
      <c r="F3082" s="143" t="s">
        <v>3435</v>
      </c>
      <c r="G3082" s="142" t="s">
        <v>6739</v>
      </c>
      <c r="H3082" s="142" t="s">
        <v>53</v>
      </c>
      <c r="I3082" s="143" t="s">
        <v>1110</v>
      </c>
      <c r="J3082" s="143" t="s">
        <v>6741</v>
      </c>
      <c r="K3082" s="144"/>
      <c r="L3082" s="145"/>
      <c r="M3082" s="144"/>
    </row>
    <row r="3083" spans="1:13" ht="15" customHeight="1">
      <c r="A3083" s="146" t="s">
        <v>7800</v>
      </c>
      <c r="B3083" s="146">
        <v>514933</v>
      </c>
      <c r="C3083" s="147" t="s">
        <v>6735</v>
      </c>
      <c r="D3083" s="146" t="s">
        <v>3370</v>
      </c>
      <c r="E3083" s="147" t="s">
        <v>1244</v>
      </c>
      <c r="F3083" s="147" t="s">
        <v>3591</v>
      </c>
      <c r="G3083" s="146" t="s">
        <v>6739</v>
      </c>
      <c r="H3083" s="146" t="s">
        <v>53</v>
      </c>
      <c r="I3083" s="147" t="s">
        <v>1184</v>
      </c>
      <c r="J3083" s="147" t="s">
        <v>6741</v>
      </c>
      <c r="K3083" s="148"/>
      <c r="L3083" s="149"/>
      <c r="M3083" s="148"/>
    </row>
    <row r="3084" spans="1:13" ht="15" customHeight="1">
      <c r="A3084" s="142" t="s">
        <v>7801</v>
      </c>
      <c r="B3084" s="142">
        <v>514849</v>
      </c>
      <c r="C3084" s="143" t="s">
        <v>6735</v>
      </c>
      <c r="D3084" s="142" t="s">
        <v>3370</v>
      </c>
      <c r="E3084" s="143" t="s">
        <v>1244</v>
      </c>
      <c r="F3084" s="143" t="s">
        <v>3591</v>
      </c>
      <c r="G3084" s="142" t="s">
        <v>6739</v>
      </c>
      <c r="H3084" s="142" t="s">
        <v>53</v>
      </c>
      <c r="I3084" s="143" t="s">
        <v>1184</v>
      </c>
      <c r="J3084" s="143" t="s">
        <v>6741</v>
      </c>
      <c r="K3084" s="144"/>
      <c r="L3084" s="145"/>
      <c r="M3084" s="144"/>
    </row>
    <row r="3085" spans="1:13" ht="15" customHeight="1">
      <c r="A3085" s="146" t="s">
        <v>7802</v>
      </c>
      <c r="B3085" s="146">
        <v>514951</v>
      </c>
      <c r="C3085" s="147" t="s">
        <v>6735</v>
      </c>
      <c r="D3085" s="146" t="s">
        <v>3370</v>
      </c>
      <c r="E3085" s="147" t="s">
        <v>1244</v>
      </c>
      <c r="F3085" s="147" t="s">
        <v>3591</v>
      </c>
      <c r="G3085" s="146" t="s">
        <v>6739</v>
      </c>
      <c r="H3085" s="146" t="s">
        <v>53</v>
      </c>
      <c r="I3085" s="147" t="s">
        <v>1184</v>
      </c>
      <c r="J3085" s="147" t="s">
        <v>6741</v>
      </c>
      <c r="K3085" s="148"/>
      <c r="L3085" s="149"/>
      <c r="M3085" s="148"/>
    </row>
    <row r="3086" spans="1:13" ht="15" customHeight="1">
      <c r="A3086" s="142" t="s">
        <v>7803</v>
      </c>
      <c r="B3086" s="142">
        <v>514919</v>
      </c>
      <c r="C3086" s="143" t="s">
        <v>6735</v>
      </c>
      <c r="D3086" s="142" t="s">
        <v>3370</v>
      </c>
      <c r="E3086" s="143" t="s">
        <v>1244</v>
      </c>
      <c r="F3086" s="143" t="s">
        <v>3591</v>
      </c>
      <c r="G3086" s="142" t="s">
        <v>6739</v>
      </c>
      <c r="H3086" s="142" t="s">
        <v>53</v>
      </c>
      <c r="I3086" s="143" t="s">
        <v>1184</v>
      </c>
      <c r="J3086" s="143" t="s">
        <v>6741</v>
      </c>
      <c r="K3086" s="144"/>
      <c r="L3086" s="145"/>
      <c r="M3086" s="144"/>
    </row>
    <row r="3087" spans="1:13" ht="15" customHeight="1">
      <c r="A3087" s="146" t="s">
        <v>7804</v>
      </c>
      <c r="B3087" s="146">
        <v>514741</v>
      </c>
      <c r="C3087" s="147" t="s">
        <v>6735</v>
      </c>
      <c r="D3087" s="146" t="s">
        <v>3370</v>
      </c>
      <c r="E3087" s="147" t="s">
        <v>1244</v>
      </c>
      <c r="F3087" s="147" t="s">
        <v>4155</v>
      </c>
      <c r="G3087" s="146" t="s">
        <v>6739</v>
      </c>
      <c r="H3087" s="146" t="s">
        <v>53</v>
      </c>
      <c r="I3087" s="147" t="s">
        <v>1184</v>
      </c>
      <c r="J3087" s="147" t="s">
        <v>6741</v>
      </c>
      <c r="K3087" s="148"/>
      <c r="L3087" s="149"/>
      <c r="M3087" s="148"/>
    </row>
    <row r="3088" spans="1:13" ht="15" customHeight="1">
      <c r="A3088" s="142" t="s">
        <v>7805</v>
      </c>
      <c r="B3088" s="142">
        <v>514880</v>
      </c>
      <c r="C3088" s="143" t="s">
        <v>6735</v>
      </c>
      <c r="D3088" s="142" t="s">
        <v>3370</v>
      </c>
      <c r="E3088" s="143" t="s">
        <v>1244</v>
      </c>
      <c r="F3088" s="143" t="s">
        <v>3555</v>
      </c>
      <c r="G3088" s="142" t="s">
        <v>6739</v>
      </c>
      <c r="H3088" s="142" t="s">
        <v>53</v>
      </c>
      <c r="I3088" s="143" t="s">
        <v>1184</v>
      </c>
      <c r="J3088" s="143" t="s">
        <v>6741</v>
      </c>
      <c r="K3088" s="144"/>
      <c r="L3088" s="145"/>
      <c r="M3088" s="144"/>
    </row>
    <row r="3089" spans="1:13" ht="15" customHeight="1">
      <c r="A3089" s="146" t="s">
        <v>7806</v>
      </c>
      <c r="B3089" s="146">
        <v>514809</v>
      </c>
      <c r="C3089" s="147" t="s">
        <v>6735</v>
      </c>
      <c r="D3089" s="146" t="s">
        <v>3370</v>
      </c>
      <c r="E3089" s="147" t="s">
        <v>1244</v>
      </c>
      <c r="F3089" s="147" t="s">
        <v>3948</v>
      </c>
      <c r="G3089" s="146" t="s">
        <v>6739</v>
      </c>
      <c r="H3089" s="146" t="s">
        <v>53</v>
      </c>
      <c r="I3089" s="147" t="s">
        <v>1184</v>
      </c>
      <c r="J3089" s="147" t="s">
        <v>6741</v>
      </c>
      <c r="K3089" s="148"/>
      <c r="L3089" s="149"/>
      <c r="M3089" s="148"/>
    </row>
    <row r="3090" spans="1:13" ht="15" customHeight="1">
      <c r="A3090" s="142" t="s">
        <v>7807</v>
      </c>
      <c r="B3090" s="142">
        <v>514629</v>
      </c>
      <c r="C3090" s="143" t="s">
        <v>6735</v>
      </c>
      <c r="D3090" s="142" t="s">
        <v>3370</v>
      </c>
      <c r="E3090" s="143" t="s">
        <v>3517</v>
      </c>
      <c r="F3090" s="143" t="s">
        <v>5698</v>
      </c>
      <c r="G3090" s="142" t="s">
        <v>6739</v>
      </c>
      <c r="H3090" s="142" t="s">
        <v>53</v>
      </c>
      <c r="I3090" s="143" t="s">
        <v>1110</v>
      </c>
      <c r="J3090" s="143" t="s">
        <v>6741</v>
      </c>
      <c r="K3090" s="144"/>
      <c r="L3090" s="145"/>
      <c r="M3090" s="144"/>
    </row>
    <row r="3091" spans="1:13" ht="15" customHeight="1">
      <c r="A3091" s="146" t="s">
        <v>7808</v>
      </c>
      <c r="B3091" s="146">
        <v>514881</v>
      </c>
      <c r="C3091" s="147" t="s">
        <v>6735</v>
      </c>
      <c r="D3091" s="146" t="s">
        <v>3370</v>
      </c>
      <c r="E3091" s="147" t="s">
        <v>3703</v>
      </c>
      <c r="F3091" s="147" t="s">
        <v>7809</v>
      </c>
      <c r="G3091" s="146" t="s">
        <v>6739</v>
      </c>
      <c r="H3091" s="146" t="s">
        <v>53</v>
      </c>
      <c r="I3091" s="147" t="s">
        <v>1110</v>
      </c>
      <c r="J3091" s="147" t="s">
        <v>6741</v>
      </c>
      <c r="K3091" s="148"/>
      <c r="L3091" s="149"/>
      <c r="M3091" s="148"/>
    </row>
    <row r="3092" spans="1:13" ht="15" customHeight="1">
      <c r="A3092" s="142" t="s">
        <v>7810</v>
      </c>
      <c r="B3092" s="142">
        <v>515084</v>
      </c>
      <c r="C3092" s="143" t="s">
        <v>6735</v>
      </c>
      <c r="D3092" s="142" t="s">
        <v>3370</v>
      </c>
      <c r="E3092" s="143" t="s">
        <v>3455</v>
      </c>
      <c r="F3092" s="143" t="s">
        <v>7811</v>
      </c>
      <c r="G3092" s="142" t="s">
        <v>6739</v>
      </c>
      <c r="H3092" s="142" t="s">
        <v>53</v>
      </c>
      <c r="I3092" s="143" t="s">
        <v>1110</v>
      </c>
      <c r="J3092" s="143" t="s">
        <v>6741</v>
      </c>
      <c r="K3092" s="144"/>
      <c r="L3092" s="145"/>
      <c r="M3092" s="144"/>
    </row>
    <row r="3093" spans="1:13" ht="15" customHeight="1">
      <c r="A3093" s="146" t="s">
        <v>7812</v>
      </c>
      <c r="B3093" s="146">
        <v>515016</v>
      </c>
      <c r="C3093" s="147" t="s">
        <v>6735</v>
      </c>
      <c r="D3093" s="146" t="s">
        <v>3370</v>
      </c>
      <c r="E3093" s="147" t="s">
        <v>3455</v>
      </c>
      <c r="F3093" s="147" t="s">
        <v>3954</v>
      </c>
      <c r="G3093" s="146" t="s">
        <v>6739</v>
      </c>
      <c r="H3093" s="146" t="s">
        <v>53</v>
      </c>
      <c r="I3093" s="147" t="s">
        <v>1110</v>
      </c>
      <c r="J3093" s="147" t="s">
        <v>6741</v>
      </c>
      <c r="K3093" s="148"/>
      <c r="L3093" s="149"/>
      <c r="M3093" s="148"/>
    </row>
    <row r="3094" spans="1:13" ht="15" customHeight="1">
      <c r="A3094" s="142" t="s">
        <v>7813</v>
      </c>
      <c r="B3094" s="142">
        <v>514587</v>
      </c>
      <c r="C3094" s="143" t="s">
        <v>6735</v>
      </c>
      <c r="D3094" s="142" t="s">
        <v>3370</v>
      </c>
      <c r="E3094" s="143" t="s">
        <v>3615</v>
      </c>
      <c r="F3094" s="143" t="s">
        <v>7814</v>
      </c>
      <c r="G3094" s="142" t="s">
        <v>6739</v>
      </c>
      <c r="H3094" s="142" t="s">
        <v>53</v>
      </c>
      <c r="I3094" s="143" t="s">
        <v>1110</v>
      </c>
      <c r="J3094" s="143" t="s">
        <v>6741</v>
      </c>
      <c r="K3094" s="144"/>
      <c r="L3094" s="145"/>
      <c r="M3094" s="144"/>
    </row>
    <row r="3095" spans="1:13" ht="15" customHeight="1">
      <c r="A3095" s="146" t="s">
        <v>7815</v>
      </c>
      <c r="B3095" s="146">
        <v>515170</v>
      </c>
      <c r="C3095" s="147" t="s">
        <v>6735</v>
      </c>
      <c r="D3095" s="146" t="s">
        <v>3370</v>
      </c>
      <c r="E3095" s="147" t="s">
        <v>3615</v>
      </c>
      <c r="F3095" s="147" t="s">
        <v>7816</v>
      </c>
      <c r="G3095" s="146" t="s">
        <v>6739</v>
      </c>
      <c r="H3095" s="146" t="s">
        <v>53</v>
      </c>
      <c r="I3095" s="147" t="s">
        <v>1110</v>
      </c>
      <c r="J3095" s="147" t="s">
        <v>6741</v>
      </c>
      <c r="K3095" s="148"/>
      <c r="L3095" s="149"/>
      <c r="M3095" s="148"/>
    </row>
    <row r="3096" spans="1:13" ht="15" customHeight="1">
      <c r="A3096" s="142" t="s">
        <v>7817</v>
      </c>
      <c r="B3096" s="142">
        <v>514961</v>
      </c>
      <c r="C3096" s="143" t="s">
        <v>6735</v>
      </c>
      <c r="D3096" s="142" t="s">
        <v>3370</v>
      </c>
      <c r="E3096" s="143" t="s">
        <v>3615</v>
      </c>
      <c r="F3096" s="143" t="s">
        <v>3616</v>
      </c>
      <c r="G3096" s="142" t="s">
        <v>6739</v>
      </c>
      <c r="H3096" s="142" t="s">
        <v>53</v>
      </c>
      <c r="I3096" s="143" t="s">
        <v>1110</v>
      </c>
      <c r="J3096" s="143" t="s">
        <v>6741</v>
      </c>
      <c r="K3096" s="144"/>
      <c r="L3096" s="145"/>
      <c r="M3096" s="144"/>
    </row>
    <row r="3097" spans="1:13" ht="15" customHeight="1">
      <c r="A3097" s="146" t="s">
        <v>7818</v>
      </c>
      <c r="B3097" s="146">
        <v>514823</v>
      </c>
      <c r="C3097" s="147" t="s">
        <v>6735</v>
      </c>
      <c r="D3097" s="146" t="s">
        <v>3370</v>
      </c>
      <c r="E3097" s="147" t="s">
        <v>7819</v>
      </c>
      <c r="F3097" s="147" t="s">
        <v>7819</v>
      </c>
      <c r="G3097" s="146" t="s">
        <v>6739</v>
      </c>
      <c r="H3097" s="146" t="s">
        <v>50</v>
      </c>
      <c r="I3097" s="147" t="s">
        <v>3449</v>
      </c>
      <c r="J3097" s="147" t="s">
        <v>6741</v>
      </c>
      <c r="K3097" s="148" t="s">
        <v>121</v>
      </c>
      <c r="L3097" s="149">
        <v>46147</v>
      </c>
      <c r="M3097" s="148"/>
    </row>
    <row r="3098" spans="1:13" ht="15" customHeight="1">
      <c r="A3098" s="142" t="s">
        <v>7820</v>
      </c>
      <c r="B3098" s="142">
        <v>514944</v>
      </c>
      <c r="C3098" s="143" t="s">
        <v>6735</v>
      </c>
      <c r="D3098" s="142" t="s">
        <v>3370</v>
      </c>
      <c r="E3098" s="143" t="s">
        <v>324</v>
      </c>
      <c r="F3098" s="143" t="s">
        <v>7821</v>
      </c>
      <c r="G3098" s="142" t="s">
        <v>6739</v>
      </c>
      <c r="H3098" s="142" t="s">
        <v>53</v>
      </c>
      <c r="I3098" s="143" t="s">
        <v>1110</v>
      </c>
      <c r="J3098" s="143" t="s">
        <v>6741</v>
      </c>
      <c r="K3098" s="144" t="s">
        <v>121</v>
      </c>
      <c r="L3098" s="145">
        <v>46148</v>
      </c>
      <c r="M3098" s="144" t="s">
        <v>3430</v>
      </c>
    </row>
    <row r="3099" spans="1:13" ht="15" customHeight="1">
      <c r="A3099" s="146" t="s">
        <v>7822</v>
      </c>
      <c r="B3099" s="146">
        <v>514721</v>
      </c>
      <c r="C3099" s="147" t="s">
        <v>6735</v>
      </c>
      <c r="D3099" s="146" t="s">
        <v>3370</v>
      </c>
      <c r="E3099" s="147" t="s">
        <v>324</v>
      </c>
      <c r="F3099" s="147" t="s">
        <v>3641</v>
      </c>
      <c r="G3099" s="146" t="s">
        <v>6739</v>
      </c>
      <c r="H3099" s="146" t="s">
        <v>53</v>
      </c>
      <c r="I3099" s="147" t="s">
        <v>1110</v>
      </c>
      <c r="J3099" s="147" t="s">
        <v>6741</v>
      </c>
      <c r="K3099" s="148"/>
      <c r="L3099" s="149"/>
      <c r="M3099" s="148"/>
    </row>
    <row r="3100" spans="1:13" ht="15" customHeight="1">
      <c r="A3100" s="142" t="s">
        <v>7823</v>
      </c>
      <c r="B3100" s="142">
        <v>514573</v>
      </c>
      <c r="C3100" s="143" t="s">
        <v>6735</v>
      </c>
      <c r="D3100" s="142" t="s">
        <v>3370</v>
      </c>
      <c r="E3100" s="143" t="s">
        <v>324</v>
      </c>
      <c r="F3100" s="143" t="s">
        <v>7824</v>
      </c>
      <c r="G3100" s="142" t="s">
        <v>6739</v>
      </c>
      <c r="H3100" s="142" t="s">
        <v>53</v>
      </c>
      <c r="I3100" s="143" t="s">
        <v>1110</v>
      </c>
      <c r="J3100" s="143" t="s">
        <v>6741</v>
      </c>
      <c r="K3100" s="144" t="s">
        <v>121</v>
      </c>
      <c r="L3100" s="145">
        <v>46147</v>
      </c>
      <c r="M3100" s="181" t="s">
        <v>3430</v>
      </c>
    </row>
    <row r="3101" spans="1:13" ht="15" customHeight="1">
      <c r="A3101" s="146" t="s">
        <v>7825</v>
      </c>
      <c r="B3101" s="146">
        <v>515177</v>
      </c>
      <c r="C3101" s="147" t="s">
        <v>6735</v>
      </c>
      <c r="D3101" s="146" t="s">
        <v>3370</v>
      </c>
      <c r="E3101" s="147" t="s">
        <v>3967</v>
      </c>
      <c r="F3101" s="147" t="s">
        <v>3968</v>
      </c>
      <c r="G3101" s="146" t="s">
        <v>6739</v>
      </c>
      <c r="H3101" s="146" t="s">
        <v>53</v>
      </c>
      <c r="I3101" s="147" t="s">
        <v>1110</v>
      </c>
      <c r="J3101" s="147" t="s">
        <v>6741</v>
      </c>
      <c r="K3101" s="148"/>
      <c r="L3101" s="149"/>
      <c r="M3101" s="148"/>
    </row>
    <row r="3102" spans="1:13" ht="15" customHeight="1">
      <c r="A3102" s="142" t="s">
        <v>7826</v>
      </c>
      <c r="B3102" s="142">
        <v>514838</v>
      </c>
      <c r="C3102" s="143" t="s">
        <v>6735</v>
      </c>
      <c r="D3102" s="142" t="s">
        <v>3370</v>
      </c>
      <c r="E3102" s="143" t="s">
        <v>3971</v>
      </c>
      <c r="F3102" s="143" t="s">
        <v>7827</v>
      </c>
      <c r="G3102" s="142" t="s">
        <v>6739</v>
      </c>
      <c r="H3102" s="142" t="s">
        <v>50</v>
      </c>
      <c r="I3102" s="143" t="s">
        <v>3391</v>
      </c>
      <c r="J3102" s="143" t="s">
        <v>6741</v>
      </c>
      <c r="K3102" s="144" t="s">
        <v>121</v>
      </c>
      <c r="L3102" s="145">
        <v>46142</v>
      </c>
      <c r="M3102" s="144"/>
    </row>
    <row r="3103" spans="1:13" ht="15" customHeight="1">
      <c r="A3103" s="146" t="s">
        <v>7828</v>
      </c>
      <c r="B3103" s="146">
        <v>514942</v>
      </c>
      <c r="C3103" s="147" t="s">
        <v>6735</v>
      </c>
      <c r="D3103" s="146" t="s">
        <v>3370</v>
      </c>
      <c r="E3103" s="147" t="s">
        <v>3547</v>
      </c>
      <c r="F3103" s="147" t="s">
        <v>3547</v>
      </c>
      <c r="G3103" s="146" t="s">
        <v>6739</v>
      </c>
      <c r="H3103" s="146" t="s">
        <v>53</v>
      </c>
      <c r="I3103" s="147" t="s">
        <v>1110</v>
      </c>
      <c r="J3103" s="147" t="s">
        <v>6741</v>
      </c>
      <c r="K3103" s="148"/>
      <c r="L3103" s="149"/>
      <c r="M3103" s="148"/>
    </row>
    <row r="3104" spans="1:13" ht="15" customHeight="1">
      <c r="A3104" s="142" t="s">
        <v>7829</v>
      </c>
      <c r="B3104" s="142">
        <v>514743</v>
      </c>
      <c r="C3104" s="143" t="s">
        <v>6735</v>
      </c>
      <c r="D3104" s="142" t="s">
        <v>3370</v>
      </c>
      <c r="E3104" s="143" t="s">
        <v>3547</v>
      </c>
      <c r="F3104" s="143" t="s">
        <v>3547</v>
      </c>
      <c r="G3104" s="142" t="s">
        <v>6739</v>
      </c>
      <c r="H3104" s="142" t="s">
        <v>53</v>
      </c>
      <c r="I3104" s="143" t="s">
        <v>1110</v>
      </c>
      <c r="J3104" s="143" t="s">
        <v>6741</v>
      </c>
      <c r="K3104" s="144" t="s">
        <v>121</v>
      </c>
      <c r="L3104" s="145">
        <v>46149</v>
      </c>
      <c r="M3104" s="144"/>
    </row>
    <row r="3105" spans="1:13" ht="15" customHeight="1">
      <c r="A3105" s="146" t="s">
        <v>7830</v>
      </c>
      <c r="B3105" s="146">
        <v>514894</v>
      </c>
      <c r="C3105" s="147" t="s">
        <v>6735</v>
      </c>
      <c r="D3105" s="146" t="s">
        <v>3370</v>
      </c>
      <c r="E3105" s="147" t="s">
        <v>5462</v>
      </c>
      <c r="F3105" s="147" t="s">
        <v>7831</v>
      </c>
      <c r="G3105" s="146" t="s">
        <v>6739</v>
      </c>
      <c r="H3105" s="146" t="s">
        <v>50</v>
      </c>
      <c r="I3105" s="147" t="s">
        <v>3391</v>
      </c>
      <c r="J3105" s="147" t="s">
        <v>6741</v>
      </c>
      <c r="K3105" s="150" t="s">
        <v>5</v>
      </c>
      <c r="L3105" s="149">
        <v>46099</v>
      </c>
      <c r="M3105" s="151" t="s">
        <v>3392</v>
      </c>
    </row>
    <row r="3106" spans="1:13" ht="15" customHeight="1">
      <c r="A3106" s="142" t="s">
        <v>7832</v>
      </c>
      <c r="B3106" s="142">
        <v>515236</v>
      </c>
      <c r="C3106" s="143" t="s">
        <v>6735</v>
      </c>
      <c r="D3106" s="142" t="s">
        <v>3370</v>
      </c>
      <c r="E3106" s="143" t="s">
        <v>7833</v>
      </c>
      <c r="F3106" s="143" t="s">
        <v>7834</v>
      </c>
      <c r="G3106" s="142" t="s">
        <v>6739</v>
      </c>
      <c r="H3106" s="142" t="s">
        <v>50</v>
      </c>
      <c r="I3106" s="143" t="s">
        <v>1532</v>
      </c>
      <c r="J3106" s="143" t="s">
        <v>6741</v>
      </c>
      <c r="K3106" s="144" t="s">
        <v>121</v>
      </c>
      <c r="L3106" s="145">
        <v>46143</v>
      </c>
      <c r="M3106" s="144"/>
    </row>
    <row r="3107" spans="1:13" ht="15" customHeight="1">
      <c r="A3107" s="146" t="s">
        <v>7835</v>
      </c>
      <c r="B3107" s="146">
        <v>515124</v>
      </c>
      <c r="C3107" s="147" t="s">
        <v>6735</v>
      </c>
      <c r="D3107" s="146" t="s">
        <v>3370</v>
      </c>
      <c r="E3107" s="147" t="s">
        <v>3718</v>
      </c>
      <c r="F3107" s="147" t="s">
        <v>7836</v>
      </c>
      <c r="G3107" s="146" t="s">
        <v>6739</v>
      </c>
      <c r="H3107" s="146" t="s">
        <v>50</v>
      </c>
      <c r="I3107" s="147" t="s">
        <v>3391</v>
      </c>
      <c r="J3107" s="147" t="s">
        <v>6741</v>
      </c>
      <c r="K3107" s="148" t="s">
        <v>121</v>
      </c>
      <c r="L3107" s="149">
        <v>46148</v>
      </c>
      <c r="M3107" s="148"/>
    </row>
    <row r="3108" spans="1:13" ht="15" customHeight="1">
      <c r="A3108" s="142" t="s">
        <v>7837</v>
      </c>
      <c r="B3108" s="142">
        <v>514802</v>
      </c>
      <c r="C3108" s="143" t="s">
        <v>6735</v>
      </c>
      <c r="D3108" s="142" t="s">
        <v>3370</v>
      </c>
      <c r="E3108" s="143" t="s">
        <v>3428</v>
      </c>
      <c r="F3108" s="143" t="s">
        <v>3498</v>
      </c>
      <c r="G3108" s="142" t="s">
        <v>6739</v>
      </c>
      <c r="H3108" s="142" t="s">
        <v>53</v>
      </c>
      <c r="I3108" s="143" t="s">
        <v>1184</v>
      </c>
      <c r="J3108" s="143" t="s">
        <v>6741</v>
      </c>
      <c r="K3108" s="144"/>
      <c r="L3108" s="145"/>
      <c r="M3108" s="144"/>
    </row>
    <row r="3109" spans="1:13" ht="15" customHeight="1">
      <c r="A3109" s="146" t="s">
        <v>7838</v>
      </c>
      <c r="B3109" s="146">
        <v>515056</v>
      </c>
      <c r="C3109" s="147" t="s">
        <v>6735</v>
      </c>
      <c r="D3109" s="146" t="s">
        <v>3370</v>
      </c>
      <c r="E3109" s="147" t="s">
        <v>7839</v>
      </c>
      <c r="F3109" s="147" t="s">
        <v>7839</v>
      </c>
      <c r="G3109" s="146" t="s">
        <v>6739</v>
      </c>
      <c r="H3109" s="146" t="s">
        <v>53</v>
      </c>
      <c r="I3109" s="147" t="s">
        <v>1110</v>
      </c>
      <c r="J3109" s="147" t="s">
        <v>6741</v>
      </c>
      <c r="K3109" s="148"/>
      <c r="L3109" s="149"/>
      <c r="M3109" s="148"/>
    </row>
    <row r="3110" spans="1:13" ht="15" customHeight="1">
      <c r="A3110" s="142" t="s">
        <v>7840</v>
      </c>
      <c r="B3110" s="142">
        <v>515079</v>
      </c>
      <c r="C3110" s="143" t="s">
        <v>6735</v>
      </c>
      <c r="D3110" s="142" t="s">
        <v>3370</v>
      </c>
      <c r="E3110" s="143" t="s">
        <v>3746</v>
      </c>
      <c r="F3110" s="143" t="s">
        <v>7841</v>
      </c>
      <c r="G3110" s="142" t="s">
        <v>6739</v>
      </c>
      <c r="H3110" s="142" t="s">
        <v>53</v>
      </c>
      <c r="I3110" s="143" t="s">
        <v>1184</v>
      </c>
      <c r="J3110" s="143" t="s">
        <v>6741</v>
      </c>
      <c r="K3110" s="144"/>
      <c r="L3110" s="145"/>
      <c r="M3110" s="144"/>
    </row>
    <row r="3111" spans="1:13" ht="15" customHeight="1">
      <c r="A3111" s="146" t="s">
        <v>7842</v>
      </c>
      <c r="B3111" s="146">
        <v>515196</v>
      </c>
      <c r="C3111" s="147" t="s">
        <v>6735</v>
      </c>
      <c r="D3111" s="146" t="s">
        <v>3370</v>
      </c>
      <c r="E3111" s="147" t="s">
        <v>4185</v>
      </c>
      <c r="F3111" s="147" t="s">
        <v>7843</v>
      </c>
      <c r="G3111" s="146" t="s">
        <v>6739</v>
      </c>
      <c r="H3111" s="146" t="s">
        <v>50</v>
      </c>
      <c r="I3111" s="147" t="s">
        <v>3391</v>
      </c>
      <c r="J3111" s="147" t="s">
        <v>6741</v>
      </c>
      <c r="K3111" s="148" t="s">
        <v>121</v>
      </c>
      <c r="L3111" s="149">
        <v>46153</v>
      </c>
      <c r="M3111" s="148"/>
    </row>
    <row r="3112" spans="1:13" ht="15" customHeight="1">
      <c r="A3112" s="142" t="s">
        <v>7844</v>
      </c>
      <c r="B3112" s="142">
        <v>515233</v>
      </c>
      <c r="C3112" s="143" t="s">
        <v>6735</v>
      </c>
      <c r="D3112" s="142" t="s">
        <v>3370</v>
      </c>
      <c r="E3112" s="143" t="s">
        <v>4195</v>
      </c>
      <c r="F3112" s="143" t="s">
        <v>7845</v>
      </c>
      <c r="G3112" s="142" t="s">
        <v>6739</v>
      </c>
      <c r="H3112" s="142" t="s">
        <v>50</v>
      </c>
      <c r="I3112" s="143" t="s">
        <v>3391</v>
      </c>
      <c r="J3112" s="143" t="s">
        <v>6741</v>
      </c>
      <c r="K3112" s="150" t="s">
        <v>5</v>
      </c>
      <c r="L3112" s="145">
        <v>46111</v>
      </c>
      <c r="M3112" s="152" t="s">
        <v>3392</v>
      </c>
    </row>
    <row r="3113" spans="1:13" ht="15" customHeight="1">
      <c r="A3113" s="146" t="s">
        <v>7846</v>
      </c>
      <c r="B3113" s="146">
        <v>514899</v>
      </c>
      <c r="C3113" s="147" t="s">
        <v>6735</v>
      </c>
      <c r="D3113" s="146" t="s">
        <v>3370</v>
      </c>
      <c r="E3113" s="147" t="s">
        <v>7847</v>
      </c>
      <c r="F3113" s="147" t="s">
        <v>7848</v>
      </c>
      <c r="G3113" s="146" t="s">
        <v>6739</v>
      </c>
      <c r="H3113" s="146" t="s">
        <v>50</v>
      </c>
      <c r="I3113" s="147" t="s">
        <v>3391</v>
      </c>
      <c r="J3113" s="147" t="s">
        <v>6741</v>
      </c>
      <c r="K3113" s="150" t="s">
        <v>5</v>
      </c>
      <c r="L3113" s="149">
        <v>46125</v>
      </c>
      <c r="M3113" s="151" t="s">
        <v>3392</v>
      </c>
    </row>
    <row r="3114" spans="1:13" ht="15" customHeight="1">
      <c r="A3114" s="142" t="s">
        <v>7849</v>
      </c>
      <c r="B3114" s="142">
        <v>514833</v>
      </c>
      <c r="C3114" s="143" t="s">
        <v>6735</v>
      </c>
      <c r="D3114" s="142" t="s">
        <v>3370</v>
      </c>
      <c r="E3114" s="143" t="s">
        <v>7847</v>
      </c>
      <c r="F3114" s="143" t="s">
        <v>7850</v>
      </c>
      <c r="G3114" s="142" t="s">
        <v>6739</v>
      </c>
      <c r="H3114" s="142" t="s">
        <v>50</v>
      </c>
      <c r="I3114" s="143" t="s">
        <v>3391</v>
      </c>
      <c r="J3114" s="143" t="s">
        <v>6741</v>
      </c>
      <c r="K3114" s="150" t="s">
        <v>5</v>
      </c>
      <c r="L3114" s="145">
        <v>46125</v>
      </c>
      <c r="M3114" s="152" t="s">
        <v>3392</v>
      </c>
    </row>
    <row r="3115" spans="1:13" ht="15" customHeight="1">
      <c r="A3115" s="146" t="s">
        <v>7851</v>
      </c>
      <c r="B3115" s="146">
        <v>514667</v>
      </c>
      <c r="C3115" s="147" t="s">
        <v>6735</v>
      </c>
      <c r="D3115" s="146" t="s">
        <v>3370</v>
      </c>
      <c r="E3115" s="147" t="s">
        <v>3460</v>
      </c>
      <c r="F3115" s="147" t="s">
        <v>5282</v>
      </c>
      <c r="G3115" s="146" t="s">
        <v>6739</v>
      </c>
      <c r="H3115" s="146" t="s">
        <v>53</v>
      </c>
      <c r="I3115" s="147" t="s">
        <v>1110</v>
      </c>
      <c r="J3115" s="147" t="s">
        <v>6741</v>
      </c>
      <c r="K3115" s="148"/>
      <c r="L3115" s="149"/>
      <c r="M3115" s="148"/>
    </row>
    <row r="3116" spans="1:13" ht="15" customHeight="1">
      <c r="A3116" s="142" t="s">
        <v>7852</v>
      </c>
      <c r="B3116" s="142">
        <v>515027</v>
      </c>
      <c r="C3116" s="143" t="s">
        <v>6735</v>
      </c>
      <c r="D3116" s="142" t="s">
        <v>3370</v>
      </c>
      <c r="E3116" s="143" t="s">
        <v>3460</v>
      </c>
      <c r="F3116" s="143" t="s">
        <v>7853</v>
      </c>
      <c r="G3116" s="142" t="s">
        <v>6739</v>
      </c>
      <c r="H3116" s="142" t="s">
        <v>53</v>
      </c>
      <c r="I3116" s="143" t="s">
        <v>1110</v>
      </c>
      <c r="J3116" s="143" t="s">
        <v>6741</v>
      </c>
      <c r="K3116" s="144"/>
      <c r="L3116" s="145"/>
      <c r="M3116" s="144"/>
    </row>
    <row r="3117" spans="1:13" ht="15" customHeight="1">
      <c r="A3117" s="146" t="s">
        <v>7854</v>
      </c>
      <c r="B3117" s="146">
        <v>515028</v>
      </c>
      <c r="C3117" s="147" t="s">
        <v>6735</v>
      </c>
      <c r="D3117" s="146" t="s">
        <v>3370</v>
      </c>
      <c r="E3117" s="147" t="s">
        <v>3460</v>
      </c>
      <c r="F3117" s="147" t="s">
        <v>7855</v>
      </c>
      <c r="G3117" s="146" t="s">
        <v>6739</v>
      </c>
      <c r="H3117" s="146" t="s">
        <v>53</v>
      </c>
      <c r="I3117" s="147" t="s">
        <v>1110</v>
      </c>
      <c r="J3117" s="147" t="s">
        <v>6741</v>
      </c>
      <c r="K3117" s="148"/>
      <c r="L3117" s="149"/>
      <c r="M3117" s="148"/>
    </row>
    <row r="3118" spans="1:13" ht="15" customHeight="1">
      <c r="A3118" s="142" t="s">
        <v>7856</v>
      </c>
      <c r="B3118" s="142">
        <v>515111</v>
      </c>
      <c r="C3118" s="143" t="s">
        <v>6735</v>
      </c>
      <c r="D3118" s="142" t="s">
        <v>3370</v>
      </c>
      <c r="E3118" s="143" t="s">
        <v>3756</v>
      </c>
      <c r="F3118" s="143" t="s">
        <v>3756</v>
      </c>
      <c r="G3118" s="142" t="s">
        <v>6739</v>
      </c>
      <c r="H3118" s="142" t="s">
        <v>53</v>
      </c>
      <c r="I3118" s="143" t="s">
        <v>1110</v>
      </c>
      <c r="J3118" s="143" t="s">
        <v>6741</v>
      </c>
      <c r="K3118" s="144"/>
      <c r="L3118" s="145"/>
      <c r="M3118" s="144"/>
    </row>
    <row r="3119" spans="1:13" ht="15" customHeight="1">
      <c r="A3119" s="146" t="s">
        <v>7857</v>
      </c>
      <c r="B3119" s="146">
        <v>515509</v>
      </c>
      <c r="C3119" s="147" t="s">
        <v>6735</v>
      </c>
      <c r="D3119" s="146" t="s">
        <v>3370</v>
      </c>
      <c r="E3119" s="147" t="s">
        <v>3756</v>
      </c>
      <c r="F3119" s="147" t="s">
        <v>7858</v>
      </c>
      <c r="G3119" s="146" t="s">
        <v>6739</v>
      </c>
      <c r="H3119" s="146" t="s">
        <v>53</v>
      </c>
      <c r="I3119" s="147" t="s">
        <v>1110</v>
      </c>
      <c r="J3119" s="147" t="s">
        <v>6741</v>
      </c>
      <c r="K3119" s="148"/>
      <c r="L3119" s="149"/>
      <c r="M3119" s="148"/>
    </row>
    <row r="3120" spans="1:13" ht="15" customHeight="1">
      <c r="A3120" s="142" t="s">
        <v>7859</v>
      </c>
      <c r="B3120" s="142">
        <v>515192</v>
      </c>
      <c r="C3120" s="143" t="s">
        <v>6735</v>
      </c>
      <c r="D3120" s="142" t="s">
        <v>3370</v>
      </c>
      <c r="E3120" s="143" t="s">
        <v>3408</v>
      </c>
      <c r="F3120" s="143" t="s">
        <v>3565</v>
      </c>
      <c r="G3120" s="142" t="s">
        <v>6739</v>
      </c>
      <c r="H3120" s="142" t="s">
        <v>53</v>
      </c>
      <c r="I3120" s="143" t="s">
        <v>1110</v>
      </c>
      <c r="J3120" s="143" t="s">
        <v>6741</v>
      </c>
      <c r="K3120" s="144"/>
      <c r="L3120" s="145"/>
      <c r="M3120" s="144"/>
    </row>
    <row r="3121" spans="1:13" ht="15" customHeight="1">
      <c r="A3121" s="146" t="s">
        <v>7860</v>
      </c>
      <c r="B3121" s="146">
        <v>514949</v>
      </c>
      <c r="C3121" s="147" t="s">
        <v>6735</v>
      </c>
      <c r="D3121" s="146" t="s">
        <v>3370</v>
      </c>
      <c r="E3121" s="147" t="s">
        <v>3408</v>
      </c>
      <c r="F3121" s="147" t="s">
        <v>7861</v>
      </c>
      <c r="G3121" s="146" t="s">
        <v>6739</v>
      </c>
      <c r="H3121" s="146" t="s">
        <v>53</v>
      </c>
      <c r="I3121" s="147" t="s">
        <v>1110</v>
      </c>
      <c r="J3121" s="147" t="s">
        <v>6741</v>
      </c>
      <c r="K3121" s="148"/>
      <c r="L3121" s="149"/>
      <c r="M3121" s="148"/>
    </row>
    <row r="3122" spans="1:13" ht="15" customHeight="1">
      <c r="A3122" s="142" t="s">
        <v>7862</v>
      </c>
      <c r="B3122" s="142">
        <v>515219</v>
      </c>
      <c r="C3122" s="143" t="s">
        <v>6735</v>
      </c>
      <c r="D3122" s="142" t="s">
        <v>3370</v>
      </c>
      <c r="E3122" s="143" t="s">
        <v>3408</v>
      </c>
      <c r="F3122" s="143" t="s">
        <v>7863</v>
      </c>
      <c r="G3122" s="142" t="s">
        <v>6739</v>
      </c>
      <c r="H3122" s="142" t="s">
        <v>53</v>
      </c>
      <c r="I3122" s="143" t="s">
        <v>1110</v>
      </c>
      <c r="J3122" s="143" t="s">
        <v>6741</v>
      </c>
      <c r="K3122" s="144"/>
      <c r="L3122" s="145"/>
      <c r="M3122" s="144"/>
    </row>
    <row r="3123" spans="1:13" ht="15" customHeight="1">
      <c r="A3123" s="146" t="s">
        <v>7864</v>
      </c>
      <c r="B3123" s="146">
        <v>514800</v>
      </c>
      <c r="C3123" s="147" t="s">
        <v>6735</v>
      </c>
      <c r="D3123" s="146" t="s">
        <v>3370</v>
      </c>
      <c r="E3123" s="147" t="s">
        <v>4011</v>
      </c>
      <c r="F3123" s="147" t="s">
        <v>4011</v>
      </c>
      <c r="G3123" s="146" t="s">
        <v>6739</v>
      </c>
      <c r="H3123" s="146" t="s">
        <v>53</v>
      </c>
      <c r="I3123" s="147" t="s">
        <v>1184</v>
      </c>
      <c r="J3123" s="147" t="s">
        <v>6741</v>
      </c>
      <c r="K3123" s="148"/>
      <c r="L3123" s="149"/>
      <c r="M3123" s="148"/>
    </row>
    <row r="3124" spans="1:13" ht="15" customHeight="1">
      <c r="A3124" s="142" t="s">
        <v>7865</v>
      </c>
      <c r="B3124" s="142">
        <v>515582</v>
      </c>
      <c r="C3124" s="143" t="s">
        <v>6735</v>
      </c>
      <c r="D3124" s="142" t="s">
        <v>3370</v>
      </c>
      <c r="E3124" s="143" t="s">
        <v>4011</v>
      </c>
      <c r="F3124" s="143" t="s">
        <v>3528</v>
      </c>
      <c r="G3124" s="142" t="s">
        <v>6739</v>
      </c>
      <c r="H3124" s="142" t="s">
        <v>53</v>
      </c>
      <c r="I3124" s="143" t="s">
        <v>1184</v>
      </c>
      <c r="J3124" s="143" t="s">
        <v>6741</v>
      </c>
      <c r="K3124" s="144"/>
      <c r="L3124" s="145"/>
      <c r="M3124" s="144"/>
    </row>
    <row r="3125" spans="1:13" ht="15" customHeight="1">
      <c r="A3125" s="146" t="s">
        <v>7866</v>
      </c>
      <c r="B3125" s="146">
        <v>514910</v>
      </c>
      <c r="C3125" s="147" t="s">
        <v>6735</v>
      </c>
      <c r="D3125" s="146" t="s">
        <v>3370</v>
      </c>
      <c r="E3125" s="147" t="s">
        <v>3471</v>
      </c>
      <c r="F3125" s="147" t="s">
        <v>7867</v>
      </c>
      <c r="G3125" s="146" t="s">
        <v>6739</v>
      </c>
      <c r="H3125" s="146" t="s">
        <v>53</v>
      </c>
      <c r="I3125" s="147" t="s">
        <v>1110</v>
      </c>
      <c r="J3125" s="147" t="s">
        <v>6741</v>
      </c>
      <c r="K3125" s="148" t="s">
        <v>121</v>
      </c>
      <c r="L3125" s="149">
        <v>46150</v>
      </c>
      <c r="M3125" s="148" t="s">
        <v>3430</v>
      </c>
    </row>
    <row r="3126" spans="1:13" ht="15" customHeight="1">
      <c r="A3126" s="142" t="s">
        <v>7868</v>
      </c>
      <c r="B3126" s="142">
        <v>515003</v>
      </c>
      <c r="C3126" s="143" t="s">
        <v>6735</v>
      </c>
      <c r="D3126" s="142" t="s">
        <v>3370</v>
      </c>
      <c r="E3126" s="143" t="s">
        <v>3471</v>
      </c>
      <c r="F3126" s="143" t="s">
        <v>7869</v>
      </c>
      <c r="G3126" s="142" t="s">
        <v>6739</v>
      </c>
      <c r="H3126" s="142" t="s">
        <v>53</v>
      </c>
      <c r="I3126" s="143" t="s">
        <v>1110</v>
      </c>
      <c r="J3126" s="143" t="s">
        <v>6741</v>
      </c>
      <c r="K3126" s="144" t="s">
        <v>121</v>
      </c>
      <c r="L3126" s="145">
        <v>46150</v>
      </c>
      <c r="M3126" s="144" t="s">
        <v>3430</v>
      </c>
    </row>
    <row r="3127" spans="1:13" ht="15" customHeight="1">
      <c r="A3127" s="146" t="s">
        <v>7870</v>
      </c>
      <c r="B3127" s="146">
        <v>514834</v>
      </c>
      <c r="C3127" s="147" t="s">
        <v>6735</v>
      </c>
      <c r="D3127" s="146" t="s">
        <v>3370</v>
      </c>
      <c r="E3127" s="147" t="s">
        <v>3471</v>
      </c>
      <c r="F3127" s="147" t="s">
        <v>7871</v>
      </c>
      <c r="G3127" s="146" t="s">
        <v>6739</v>
      </c>
      <c r="H3127" s="146" t="s">
        <v>53</v>
      </c>
      <c r="I3127" s="147" t="s">
        <v>1110</v>
      </c>
      <c r="J3127" s="147" t="s">
        <v>6741</v>
      </c>
      <c r="K3127" s="148" t="s">
        <v>121</v>
      </c>
      <c r="L3127" s="149">
        <v>46149</v>
      </c>
      <c r="M3127" s="148" t="s">
        <v>3473</v>
      </c>
    </row>
    <row r="3128" spans="1:13" ht="15" customHeight="1">
      <c r="A3128" s="142" t="s">
        <v>7872</v>
      </c>
      <c r="B3128" s="142">
        <v>514987</v>
      </c>
      <c r="C3128" s="143" t="s">
        <v>6735</v>
      </c>
      <c r="D3128" s="142" t="s">
        <v>3370</v>
      </c>
      <c r="E3128" s="143" t="s">
        <v>3471</v>
      </c>
      <c r="F3128" s="143" t="s">
        <v>4037</v>
      </c>
      <c r="G3128" s="142" t="s">
        <v>6739</v>
      </c>
      <c r="H3128" s="142" t="s">
        <v>53</v>
      </c>
      <c r="I3128" s="143" t="s">
        <v>1110</v>
      </c>
      <c r="J3128" s="143" t="s">
        <v>6741</v>
      </c>
      <c r="K3128" s="144" t="s">
        <v>121</v>
      </c>
      <c r="L3128" s="145">
        <v>46148</v>
      </c>
      <c r="M3128" s="144" t="s">
        <v>3421</v>
      </c>
    </row>
    <row r="3129" spans="1:13" ht="15" customHeight="1">
      <c r="A3129" s="146" t="s">
        <v>7873</v>
      </c>
      <c r="B3129" s="146">
        <v>515092</v>
      </c>
      <c r="C3129" s="147" t="s">
        <v>6735</v>
      </c>
      <c r="D3129" s="146" t="s">
        <v>3370</v>
      </c>
      <c r="E3129" s="147" t="s">
        <v>4017</v>
      </c>
      <c r="F3129" s="147" t="s">
        <v>7874</v>
      </c>
      <c r="G3129" s="146" t="s">
        <v>6739</v>
      </c>
      <c r="H3129" s="146" t="s">
        <v>50</v>
      </c>
      <c r="I3129" s="147" t="s">
        <v>3449</v>
      </c>
      <c r="J3129" s="147" t="s">
        <v>6741</v>
      </c>
      <c r="K3129" s="148" t="s">
        <v>121</v>
      </c>
      <c r="L3129" s="149">
        <v>46142</v>
      </c>
      <c r="M3129" s="148"/>
    </row>
    <row r="3130" spans="1:13" ht="15" customHeight="1">
      <c r="A3130" s="142" t="s">
        <v>7875</v>
      </c>
      <c r="B3130" s="142">
        <v>515193</v>
      </c>
      <c r="C3130" s="143" t="s">
        <v>6735</v>
      </c>
      <c r="D3130" s="142" t="s">
        <v>3370</v>
      </c>
      <c r="E3130" s="143" t="s">
        <v>4017</v>
      </c>
      <c r="F3130" s="143" t="s">
        <v>7876</v>
      </c>
      <c r="G3130" s="142" t="s">
        <v>6739</v>
      </c>
      <c r="H3130" s="142" t="s">
        <v>50</v>
      </c>
      <c r="I3130" s="143" t="s">
        <v>3449</v>
      </c>
      <c r="J3130" s="143" t="s">
        <v>6741</v>
      </c>
      <c r="K3130" s="144" t="s">
        <v>121</v>
      </c>
      <c r="L3130" s="145">
        <v>46149</v>
      </c>
      <c r="M3130" s="144"/>
    </row>
    <row r="3131" spans="1:13" ht="15" customHeight="1">
      <c r="A3131" s="146" t="s">
        <v>7877</v>
      </c>
      <c r="B3131" s="146">
        <v>515689</v>
      </c>
      <c r="C3131" s="147" t="s">
        <v>6735</v>
      </c>
      <c r="D3131" s="146" t="s">
        <v>3370</v>
      </c>
      <c r="E3131" s="147" t="s">
        <v>4017</v>
      </c>
      <c r="F3131" s="147" t="s">
        <v>7878</v>
      </c>
      <c r="G3131" s="146" t="s">
        <v>6739</v>
      </c>
      <c r="H3131" s="146" t="s">
        <v>50</v>
      </c>
      <c r="I3131" s="147" t="s">
        <v>3449</v>
      </c>
      <c r="J3131" s="147" t="s">
        <v>6741</v>
      </c>
      <c r="K3131" s="148" t="s">
        <v>121</v>
      </c>
      <c r="L3131" s="149">
        <v>46141</v>
      </c>
      <c r="M3131" s="148"/>
    </row>
    <row r="3132" spans="1:13" ht="15" customHeight="1">
      <c r="A3132" s="142" t="s">
        <v>7879</v>
      </c>
      <c r="B3132" s="142">
        <v>514968</v>
      </c>
      <c r="C3132" s="143" t="s">
        <v>6735</v>
      </c>
      <c r="D3132" s="142" t="s">
        <v>3370</v>
      </c>
      <c r="E3132" s="143" t="s">
        <v>4017</v>
      </c>
      <c r="F3132" s="143" t="s">
        <v>7880</v>
      </c>
      <c r="G3132" s="142" t="s">
        <v>6739</v>
      </c>
      <c r="H3132" s="142" t="s">
        <v>50</v>
      </c>
      <c r="I3132" s="143" t="s">
        <v>3449</v>
      </c>
      <c r="J3132" s="143" t="s">
        <v>6741</v>
      </c>
      <c r="K3132" s="144" t="s">
        <v>121</v>
      </c>
      <c r="L3132" s="145">
        <v>46146</v>
      </c>
      <c r="M3132" s="144"/>
    </row>
    <row r="3133" spans="1:13" ht="15" customHeight="1">
      <c r="A3133" s="146" t="s">
        <v>7881</v>
      </c>
      <c r="B3133" s="146">
        <v>514625</v>
      </c>
      <c r="C3133" s="147" t="s">
        <v>6735</v>
      </c>
      <c r="D3133" s="146" t="s">
        <v>3370</v>
      </c>
      <c r="E3133" s="147" t="s">
        <v>7882</v>
      </c>
      <c r="F3133" s="147" t="s">
        <v>7882</v>
      </c>
      <c r="G3133" s="146" t="s">
        <v>6739</v>
      </c>
      <c r="H3133" s="146" t="s">
        <v>53</v>
      </c>
      <c r="I3133" s="147" t="s">
        <v>1110</v>
      </c>
      <c r="J3133" s="147" t="s">
        <v>6741</v>
      </c>
      <c r="K3133" s="148"/>
      <c r="L3133" s="149"/>
      <c r="M3133" s="148"/>
    </row>
    <row r="3134" spans="1:13" ht="15" customHeight="1">
      <c r="A3134" s="142" t="s">
        <v>7883</v>
      </c>
      <c r="B3134" s="142">
        <v>515020</v>
      </c>
      <c r="C3134" s="143" t="s">
        <v>6735</v>
      </c>
      <c r="D3134" s="142" t="s">
        <v>3370</v>
      </c>
      <c r="E3134" s="143" t="s">
        <v>3398</v>
      </c>
      <c r="F3134" s="143" t="s">
        <v>3399</v>
      </c>
      <c r="G3134" s="142" t="s">
        <v>6739</v>
      </c>
      <c r="H3134" s="142" t="s">
        <v>53</v>
      </c>
      <c r="I3134" s="143" t="s">
        <v>1184</v>
      </c>
      <c r="J3134" s="143" t="s">
        <v>6741</v>
      </c>
      <c r="K3134" s="144"/>
      <c r="L3134" s="145"/>
      <c r="M3134" s="144"/>
    </row>
    <row r="3135" spans="1:13" ht="15" customHeight="1">
      <c r="A3135" s="146" t="s">
        <v>7884</v>
      </c>
      <c r="B3135" s="146">
        <v>515224</v>
      </c>
      <c r="C3135" s="147" t="s">
        <v>6735</v>
      </c>
      <c r="D3135" s="146" t="s">
        <v>3370</v>
      </c>
      <c r="E3135" s="147" t="s">
        <v>3724</v>
      </c>
      <c r="F3135" s="147" t="s">
        <v>7885</v>
      </c>
      <c r="G3135" s="146" t="s">
        <v>6739</v>
      </c>
      <c r="H3135" s="146" t="s">
        <v>53</v>
      </c>
      <c r="I3135" s="147" t="s">
        <v>1184</v>
      </c>
      <c r="J3135" s="147" t="s">
        <v>6741</v>
      </c>
      <c r="K3135" s="148"/>
      <c r="L3135" s="149"/>
      <c r="M3135" s="148"/>
    </row>
    <row r="3136" spans="1:13" ht="15" customHeight="1">
      <c r="A3136" s="142" t="s">
        <v>7886</v>
      </c>
      <c r="B3136" s="142">
        <v>515137</v>
      </c>
      <c r="C3136" s="143" t="s">
        <v>6735</v>
      </c>
      <c r="D3136" s="142" t="s">
        <v>3370</v>
      </c>
      <c r="E3136" s="143" t="s">
        <v>3699</v>
      </c>
      <c r="F3136" s="143" t="s">
        <v>3699</v>
      </c>
      <c r="G3136" s="142" t="s">
        <v>6739</v>
      </c>
      <c r="H3136" s="142" t="s">
        <v>50</v>
      </c>
      <c r="I3136" s="143" t="s">
        <v>3391</v>
      </c>
      <c r="J3136" s="143" t="s">
        <v>6741</v>
      </c>
      <c r="K3136" s="144" t="s">
        <v>121</v>
      </c>
      <c r="L3136" s="145">
        <v>46149</v>
      </c>
      <c r="M3136" s="144"/>
    </row>
    <row r="3137" spans="1:13" ht="15" customHeight="1">
      <c r="A3137" s="146" t="s">
        <v>7887</v>
      </c>
      <c r="B3137" s="146">
        <v>515129</v>
      </c>
      <c r="C3137" s="147" t="s">
        <v>6735</v>
      </c>
      <c r="D3137" s="146" t="s">
        <v>3370</v>
      </c>
      <c r="E3137" s="147" t="s">
        <v>3699</v>
      </c>
      <c r="F3137" s="147" t="s">
        <v>3872</v>
      </c>
      <c r="G3137" s="146" t="s">
        <v>6739</v>
      </c>
      <c r="H3137" s="146" t="s">
        <v>50</v>
      </c>
      <c r="I3137" s="147" t="s">
        <v>3391</v>
      </c>
      <c r="J3137" s="147" t="s">
        <v>6741</v>
      </c>
      <c r="K3137" s="148" t="s">
        <v>121</v>
      </c>
      <c r="L3137" s="149">
        <v>46153</v>
      </c>
      <c r="M3137" s="148"/>
    </row>
    <row r="3138" spans="1:13" ht="15" customHeight="1">
      <c r="A3138" s="142" t="s">
        <v>7888</v>
      </c>
      <c r="B3138" s="142">
        <v>514610</v>
      </c>
      <c r="C3138" s="143" t="s">
        <v>6735</v>
      </c>
      <c r="D3138" s="142" t="s">
        <v>3370</v>
      </c>
      <c r="E3138" s="143" t="s">
        <v>3505</v>
      </c>
      <c r="F3138" s="143" t="s">
        <v>3506</v>
      </c>
      <c r="G3138" s="142" t="s">
        <v>6739</v>
      </c>
      <c r="H3138" s="142" t="s">
        <v>50</v>
      </c>
      <c r="I3138" s="143" t="s">
        <v>3449</v>
      </c>
      <c r="J3138" s="143" t="s">
        <v>6741</v>
      </c>
      <c r="K3138" s="144" t="s">
        <v>121</v>
      </c>
      <c r="L3138" s="145">
        <v>46143</v>
      </c>
      <c r="M3138" s="144"/>
    </row>
    <row r="3139" spans="1:13" ht="15" customHeight="1">
      <c r="A3139" s="146" t="s">
        <v>7889</v>
      </c>
      <c r="B3139" s="146">
        <v>514962</v>
      </c>
      <c r="C3139" s="147" t="s">
        <v>6735</v>
      </c>
      <c r="D3139" s="146" t="s">
        <v>3370</v>
      </c>
      <c r="E3139" s="147" t="s">
        <v>3505</v>
      </c>
      <c r="F3139" s="147" t="s">
        <v>7890</v>
      </c>
      <c r="G3139" s="146" t="s">
        <v>6739</v>
      </c>
      <c r="H3139" s="146" t="s">
        <v>50</v>
      </c>
      <c r="I3139" s="147" t="s">
        <v>3449</v>
      </c>
      <c r="J3139" s="147" t="s">
        <v>6741</v>
      </c>
      <c r="K3139" s="148" t="s">
        <v>121</v>
      </c>
      <c r="L3139" s="149">
        <v>46140</v>
      </c>
      <c r="M3139" s="148"/>
    </row>
    <row r="3140" spans="1:13" ht="15" customHeight="1">
      <c r="A3140" s="142" t="s">
        <v>7891</v>
      </c>
      <c r="B3140" s="142">
        <v>514646</v>
      </c>
      <c r="C3140" s="143" t="s">
        <v>6735</v>
      </c>
      <c r="D3140" s="142" t="s">
        <v>3370</v>
      </c>
      <c r="E3140" s="143" t="s">
        <v>3505</v>
      </c>
      <c r="F3140" s="143" t="s">
        <v>7892</v>
      </c>
      <c r="G3140" s="142" t="s">
        <v>6739</v>
      </c>
      <c r="H3140" s="142" t="s">
        <v>50</v>
      </c>
      <c r="I3140" s="143" t="s">
        <v>3449</v>
      </c>
      <c r="J3140" s="143" t="s">
        <v>6741</v>
      </c>
      <c r="K3140" s="144" t="s">
        <v>121</v>
      </c>
      <c r="L3140" s="145">
        <v>46142</v>
      </c>
      <c r="M3140" s="144"/>
    </row>
    <row r="3141" spans="1:13" ht="15" customHeight="1">
      <c r="A3141" s="146" t="s">
        <v>7893</v>
      </c>
      <c r="B3141" s="146">
        <v>514816</v>
      </c>
      <c r="C3141" s="147" t="s">
        <v>6735</v>
      </c>
      <c r="D3141" s="146" t="s">
        <v>3370</v>
      </c>
      <c r="E3141" s="147" t="s">
        <v>3505</v>
      </c>
      <c r="F3141" s="147" t="s">
        <v>7894</v>
      </c>
      <c r="G3141" s="146" t="s">
        <v>6739</v>
      </c>
      <c r="H3141" s="146" t="s">
        <v>50</v>
      </c>
      <c r="I3141" s="147" t="s">
        <v>3449</v>
      </c>
      <c r="J3141" s="147" t="s">
        <v>6741</v>
      </c>
      <c r="K3141" s="148" t="s">
        <v>121</v>
      </c>
      <c r="L3141" s="149">
        <v>46149</v>
      </c>
      <c r="M3141" s="148"/>
    </row>
    <row r="3142" spans="1:13" ht="15" customHeight="1">
      <c r="A3142" s="142" t="s">
        <v>7895</v>
      </c>
      <c r="B3142" s="142">
        <v>514963</v>
      </c>
      <c r="C3142" s="143" t="s">
        <v>6735</v>
      </c>
      <c r="D3142" s="142" t="s">
        <v>3370</v>
      </c>
      <c r="E3142" s="143" t="s">
        <v>3505</v>
      </c>
      <c r="F3142" s="143" t="s">
        <v>7896</v>
      </c>
      <c r="G3142" s="142" t="s">
        <v>6739</v>
      </c>
      <c r="H3142" s="142" t="s">
        <v>50</v>
      </c>
      <c r="I3142" s="143" t="s">
        <v>3449</v>
      </c>
      <c r="J3142" s="143" t="s">
        <v>6741</v>
      </c>
      <c r="K3142" s="144" t="s">
        <v>121</v>
      </c>
      <c r="L3142" s="145">
        <v>46150</v>
      </c>
      <c r="M3142" s="144"/>
    </row>
    <row r="3143" spans="1:13" ht="15" customHeight="1">
      <c r="A3143" s="146" t="s">
        <v>7897</v>
      </c>
      <c r="B3143" s="146">
        <v>514661</v>
      </c>
      <c r="C3143" s="147" t="s">
        <v>6735</v>
      </c>
      <c r="D3143" s="146" t="s">
        <v>3370</v>
      </c>
      <c r="E3143" s="147" t="s">
        <v>3505</v>
      </c>
      <c r="F3143" s="147" t="s">
        <v>3538</v>
      </c>
      <c r="G3143" s="146" t="s">
        <v>6739</v>
      </c>
      <c r="H3143" s="146" t="s">
        <v>50</v>
      </c>
      <c r="I3143" s="147" t="s">
        <v>3449</v>
      </c>
      <c r="J3143" s="147" t="s">
        <v>6741</v>
      </c>
      <c r="K3143" s="148" t="s">
        <v>121</v>
      </c>
      <c r="L3143" s="149">
        <v>46140</v>
      </c>
      <c r="M3143" s="148"/>
    </row>
    <row r="3144" spans="1:13" ht="15" customHeight="1">
      <c r="A3144" s="142" t="s">
        <v>7898</v>
      </c>
      <c r="B3144" s="142">
        <v>514692</v>
      </c>
      <c r="C3144" s="143" t="s">
        <v>6735</v>
      </c>
      <c r="D3144" s="142" t="s">
        <v>3370</v>
      </c>
      <c r="E3144" s="143" t="s">
        <v>3505</v>
      </c>
      <c r="F3144" s="143" t="s">
        <v>7899</v>
      </c>
      <c r="G3144" s="142" t="s">
        <v>6739</v>
      </c>
      <c r="H3144" s="142" t="s">
        <v>50</v>
      </c>
      <c r="I3144" s="143" t="s">
        <v>3449</v>
      </c>
      <c r="J3144" s="143" t="s">
        <v>6741</v>
      </c>
      <c r="K3144" s="144" t="s">
        <v>121</v>
      </c>
      <c r="L3144" s="145">
        <v>46142</v>
      </c>
      <c r="M3144" s="144"/>
    </row>
    <row r="3145" spans="1:13" ht="15" customHeight="1">
      <c r="A3145" s="146" t="s">
        <v>7900</v>
      </c>
      <c r="B3145" s="146">
        <v>514578</v>
      </c>
      <c r="C3145" s="147" t="s">
        <v>6735</v>
      </c>
      <c r="D3145" s="146" t="s">
        <v>3370</v>
      </c>
      <c r="E3145" s="147" t="s">
        <v>3598</v>
      </c>
      <c r="F3145" s="147" t="s">
        <v>7901</v>
      </c>
      <c r="G3145" s="146" t="s">
        <v>6739</v>
      </c>
      <c r="H3145" s="146" t="s">
        <v>53</v>
      </c>
      <c r="I3145" s="147" t="s">
        <v>1110</v>
      </c>
      <c r="J3145" s="147" t="s">
        <v>6741</v>
      </c>
      <c r="K3145" s="148"/>
      <c r="L3145" s="149"/>
      <c r="M3145" s="148"/>
    </row>
    <row r="3146" spans="1:13" ht="15" customHeight="1">
      <c r="A3146" s="142" t="s">
        <v>7902</v>
      </c>
      <c r="B3146" s="142">
        <v>515223</v>
      </c>
      <c r="C3146" s="143" t="s">
        <v>6735</v>
      </c>
      <c r="D3146" s="142" t="s">
        <v>3370</v>
      </c>
      <c r="E3146" s="143" t="s">
        <v>3444</v>
      </c>
      <c r="F3146" s="143" t="s">
        <v>4037</v>
      </c>
      <c r="G3146" s="142" t="s">
        <v>6739</v>
      </c>
      <c r="H3146" s="142" t="s">
        <v>53</v>
      </c>
      <c r="I3146" s="143" t="s">
        <v>1110</v>
      </c>
      <c r="J3146" s="143" t="s">
        <v>6741</v>
      </c>
      <c r="K3146" s="144"/>
      <c r="L3146" s="145"/>
      <c r="M3146" s="144"/>
    </row>
    <row r="3147" spans="1:13" ht="15" customHeight="1">
      <c r="A3147" s="146" t="s">
        <v>7903</v>
      </c>
      <c r="B3147" s="146">
        <v>514674</v>
      </c>
      <c r="C3147" s="147" t="s">
        <v>6735</v>
      </c>
      <c r="D3147" s="146" t="s">
        <v>3370</v>
      </c>
      <c r="E3147" s="147" t="s">
        <v>3375</v>
      </c>
      <c r="F3147" s="147" t="s">
        <v>3376</v>
      </c>
      <c r="G3147" s="146" t="s">
        <v>6739</v>
      </c>
      <c r="H3147" s="146" t="s">
        <v>53</v>
      </c>
      <c r="I3147" s="147" t="s">
        <v>1110</v>
      </c>
      <c r="J3147" s="147" t="s">
        <v>6741</v>
      </c>
      <c r="K3147" s="148"/>
      <c r="L3147" s="149"/>
      <c r="M3147" s="148"/>
    </row>
    <row r="3148" spans="1:13" ht="15" customHeight="1">
      <c r="A3148" s="142" t="s">
        <v>7904</v>
      </c>
      <c r="B3148" s="142">
        <v>514614</v>
      </c>
      <c r="C3148" s="143" t="s">
        <v>6735</v>
      </c>
      <c r="D3148" s="142" t="s">
        <v>3370</v>
      </c>
      <c r="E3148" s="143" t="s">
        <v>3375</v>
      </c>
      <c r="F3148" s="143" t="s">
        <v>3376</v>
      </c>
      <c r="G3148" s="142" t="s">
        <v>6739</v>
      </c>
      <c r="H3148" s="142" t="s">
        <v>53</v>
      </c>
      <c r="I3148" s="143" t="s">
        <v>1184</v>
      </c>
      <c r="J3148" s="143" t="s">
        <v>6741</v>
      </c>
      <c r="K3148" s="144"/>
      <c r="L3148" s="145"/>
      <c r="M3148" s="144"/>
    </row>
    <row r="3149" spans="1:13" ht="15" customHeight="1">
      <c r="A3149" s="146" t="s">
        <v>7905</v>
      </c>
      <c r="B3149" s="146">
        <v>514989</v>
      </c>
      <c r="C3149" s="147" t="s">
        <v>6735</v>
      </c>
      <c r="D3149" s="146" t="s">
        <v>3370</v>
      </c>
      <c r="E3149" s="147" t="s">
        <v>3375</v>
      </c>
      <c r="F3149" s="147" t="s">
        <v>3376</v>
      </c>
      <c r="G3149" s="146" t="s">
        <v>6739</v>
      </c>
      <c r="H3149" s="146" t="s">
        <v>53</v>
      </c>
      <c r="I3149" s="147" t="s">
        <v>1184</v>
      </c>
      <c r="J3149" s="147" t="s">
        <v>6741</v>
      </c>
      <c r="K3149" s="148"/>
      <c r="L3149" s="149"/>
      <c r="M3149" s="148"/>
    </row>
    <row r="3150" spans="1:13" ht="15" customHeight="1">
      <c r="A3150" s="142" t="s">
        <v>7906</v>
      </c>
      <c r="B3150" s="142">
        <v>515235</v>
      </c>
      <c r="C3150" s="143" t="s">
        <v>6735</v>
      </c>
      <c r="D3150" s="142" t="s">
        <v>3370</v>
      </c>
      <c r="E3150" s="143" t="s">
        <v>3375</v>
      </c>
      <c r="F3150" s="143" t="s">
        <v>3376</v>
      </c>
      <c r="G3150" s="142" t="s">
        <v>6739</v>
      </c>
      <c r="H3150" s="142" t="s">
        <v>53</v>
      </c>
      <c r="I3150" s="143" t="s">
        <v>1184</v>
      </c>
      <c r="J3150" s="143" t="s">
        <v>6741</v>
      </c>
      <c r="K3150" s="144"/>
      <c r="L3150" s="145"/>
      <c r="M3150" s="144"/>
    </row>
    <row r="3151" spans="1:13" ht="15" customHeight="1">
      <c r="A3151" s="146" t="s">
        <v>7907</v>
      </c>
      <c r="B3151" s="146">
        <v>515568</v>
      </c>
      <c r="C3151" s="147" t="s">
        <v>6735</v>
      </c>
      <c r="D3151" s="146" t="s">
        <v>3370</v>
      </c>
      <c r="E3151" s="147" t="s">
        <v>3416</v>
      </c>
      <c r="F3151" s="147" t="s">
        <v>3438</v>
      </c>
      <c r="G3151" s="146" t="s">
        <v>6739</v>
      </c>
      <c r="H3151" s="146" t="s">
        <v>50</v>
      </c>
      <c r="I3151" s="147" t="s">
        <v>3391</v>
      </c>
      <c r="J3151" s="147" t="s">
        <v>6741</v>
      </c>
      <c r="K3151" s="150" t="s">
        <v>5</v>
      </c>
      <c r="L3151" s="149">
        <v>46134</v>
      </c>
      <c r="M3151" s="151" t="s">
        <v>3392</v>
      </c>
    </row>
    <row r="3152" spans="1:13" ht="15" customHeight="1">
      <c r="A3152" s="142" t="s">
        <v>7908</v>
      </c>
      <c r="B3152" s="142">
        <v>514895</v>
      </c>
      <c r="C3152" s="143" t="s">
        <v>6735</v>
      </c>
      <c r="D3152" s="142" t="s">
        <v>3370</v>
      </c>
      <c r="E3152" s="143" t="s">
        <v>3416</v>
      </c>
      <c r="F3152" s="143" t="s">
        <v>7909</v>
      </c>
      <c r="G3152" s="142" t="s">
        <v>6739</v>
      </c>
      <c r="H3152" s="142" t="s">
        <v>53</v>
      </c>
      <c r="I3152" s="143" t="s">
        <v>1110</v>
      </c>
      <c r="J3152" s="143" t="s">
        <v>6741</v>
      </c>
      <c r="K3152" s="144"/>
      <c r="L3152" s="145"/>
      <c r="M3152" s="144"/>
    </row>
    <row r="3153" spans="1:13" ht="15" customHeight="1">
      <c r="A3153" s="146" t="s">
        <v>7910</v>
      </c>
      <c r="B3153" s="146">
        <v>515172</v>
      </c>
      <c r="C3153" s="147" t="s">
        <v>6735</v>
      </c>
      <c r="D3153" s="146" t="s">
        <v>3370</v>
      </c>
      <c r="E3153" s="147" t="s">
        <v>3416</v>
      </c>
      <c r="F3153" s="147" t="s">
        <v>3484</v>
      </c>
      <c r="G3153" s="146" t="s">
        <v>6739</v>
      </c>
      <c r="H3153" s="146" t="s">
        <v>53</v>
      </c>
      <c r="I3153" s="147" t="s">
        <v>1110</v>
      </c>
      <c r="J3153" s="147" t="s">
        <v>6741</v>
      </c>
      <c r="K3153" s="148"/>
      <c r="L3153" s="149"/>
      <c r="M3153" s="148"/>
    </row>
    <row r="3154" spans="1:13" ht="15" customHeight="1">
      <c r="A3154" s="142" t="s">
        <v>7911</v>
      </c>
      <c r="B3154" s="142">
        <v>514859</v>
      </c>
      <c r="C3154" s="143" t="s">
        <v>6735</v>
      </c>
      <c r="D3154" s="142" t="s">
        <v>3370</v>
      </c>
      <c r="E3154" s="143" t="s">
        <v>3416</v>
      </c>
      <c r="F3154" s="143" t="s">
        <v>7912</v>
      </c>
      <c r="G3154" s="142" t="s">
        <v>6739</v>
      </c>
      <c r="H3154" s="142" t="s">
        <v>53</v>
      </c>
      <c r="I3154" s="143" t="s">
        <v>1110</v>
      </c>
      <c r="J3154" s="143" t="s">
        <v>6741</v>
      </c>
      <c r="K3154" s="144"/>
      <c r="L3154" s="145"/>
      <c r="M3154" s="144"/>
    </row>
    <row r="3155" spans="1:13" ht="15" customHeight="1">
      <c r="A3155" s="146" t="s">
        <v>7913</v>
      </c>
      <c r="B3155" s="146">
        <v>514651</v>
      </c>
      <c r="C3155" s="147" t="s">
        <v>6735</v>
      </c>
      <c r="D3155" s="146" t="s">
        <v>3370</v>
      </c>
      <c r="E3155" s="147" t="s">
        <v>3416</v>
      </c>
      <c r="F3155" s="147" t="s">
        <v>7914</v>
      </c>
      <c r="G3155" s="146" t="s">
        <v>6739</v>
      </c>
      <c r="H3155" s="146" t="s">
        <v>53</v>
      </c>
      <c r="I3155" s="147" t="s">
        <v>1110</v>
      </c>
      <c r="J3155" s="147" t="s">
        <v>6741</v>
      </c>
      <c r="K3155" s="148"/>
      <c r="L3155" s="149"/>
      <c r="M3155" s="148"/>
    </row>
    <row r="3156" spans="1:13" ht="15" customHeight="1">
      <c r="A3156" s="142" t="s">
        <v>7915</v>
      </c>
      <c r="B3156" s="142">
        <v>514613</v>
      </c>
      <c r="C3156" s="143" t="s">
        <v>6735</v>
      </c>
      <c r="D3156" s="142" t="s">
        <v>3370</v>
      </c>
      <c r="E3156" s="143" t="s">
        <v>3131</v>
      </c>
      <c r="F3156" s="143" t="s">
        <v>3618</v>
      </c>
      <c r="G3156" s="142" t="s">
        <v>6739</v>
      </c>
      <c r="H3156" s="142" t="s">
        <v>53</v>
      </c>
      <c r="I3156" s="143" t="s">
        <v>1184</v>
      </c>
      <c r="J3156" s="143" t="s">
        <v>6741</v>
      </c>
      <c r="K3156" s="144"/>
      <c r="L3156" s="145"/>
      <c r="M3156" s="144"/>
    </row>
    <row r="3157" spans="1:13" ht="15" customHeight="1">
      <c r="A3157" s="146" t="s">
        <v>7916</v>
      </c>
      <c r="B3157" s="146">
        <v>514839</v>
      </c>
      <c r="C3157" s="147" t="s">
        <v>6735</v>
      </c>
      <c r="D3157" s="146" t="s">
        <v>3370</v>
      </c>
      <c r="E3157" s="147" t="s">
        <v>4050</v>
      </c>
      <c r="F3157" s="147" t="s">
        <v>4050</v>
      </c>
      <c r="G3157" s="146" t="s">
        <v>6739</v>
      </c>
      <c r="H3157" s="146" t="s">
        <v>50</v>
      </c>
      <c r="I3157" s="147" t="s">
        <v>3391</v>
      </c>
      <c r="J3157" s="147" t="s">
        <v>6741</v>
      </c>
      <c r="K3157" s="150" t="s">
        <v>5</v>
      </c>
      <c r="L3157" s="149">
        <v>46111</v>
      </c>
      <c r="M3157" s="151" t="s">
        <v>3392</v>
      </c>
    </row>
    <row r="3158" spans="1:13" ht="15" customHeight="1">
      <c r="A3158" s="142" t="s">
        <v>7917</v>
      </c>
      <c r="B3158" s="142">
        <v>514814</v>
      </c>
      <c r="C3158" s="143" t="s">
        <v>6735</v>
      </c>
      <c r="D3158" s="142" t="s">
        <v>3370</v>
      </c>
      <c r="E3158" s="143" t="s">
        <v>4057</v>
      </c>
      <c r="F3158" s="143" t="s">
        <v>4057</v>
      </c>
      <c r="G3158" s="142" t="s">
        <v>6739</v>
      </c>
      <c r="H3158" s="142" t="s">
        <v>50</v>
      </c>
      <c r="I3158" s="143" t="s">
        <v>3391</v>
      </c>
      <c r="J3158" s="143" t="s">
        <v>6741</v>
      </c>
      <c r="K3158" s="144"/>
      <c r="L3158" s="145"/>
      <c r="M3158" s="144"/>
    </row>
    <row r="3159" spans="1:13" ht="15" customHeight="1">
      <c r="A3159" s="146" t="s">
        <v>7918</v>
      </c>
      <c r="B3159" s="146">
        <v>515114</v>
      </c>
      <c r="C3159" s="147" t="s">
        <v>6735</v>
      </c>
      <c r="D3159" s="146" t="s">
        <v>3370</v>
      </c>
      <c r="E3159" s="147" t="s">
        <v>4064</v>
      </c>
      <c r="F3159" s="147" t="s">
        <v>7919</v>
      </c>
      <c r="G3159" s="146" t="s">
        <v>6739</v>
      </c>
      <c r="H3159" s="146" t="s">
        <v>50</v>
      </c>
      <c r="I3159" s="147" t="s">
        <v>3391</v>
      </c>
      <c r="J3159" s="147" t="s">
        <v>6741</v>
      </c>
      <c r="K3159" s="148" t="s">
        <v>121</v>
      </c>
      <c r="L3159" s="149">
        <v>46139</v>
      </c>
      <c r="M3159" s="148"/>
    </row>
    <row r="3160" spans="1:13" ht="15" customHeight="1">
      <c r="A3160" s="142" t="s">
        <v>7920</v>
      </c>
      <c r="B3160" s="142">
        <v>515012</v>
      </c>
      <c r="C3160" s="143" t="s">
        <v>6735</v>
      </c>
      <c r="D3160" s="142" t="s">
        <v>3370</v>
      </c>
      <c r="E3160" s="143" t="s">
        <v>3490</v>
      </c>
      <c r="F3160" s="143" t="s">
        <v>3491</v>
      </c>
      <c r="G3160" s="142" t="s">
        <v>6739</v>
      </c>
      <c r="H3160" s="142" t="s">
        <v>50</v>
      </c>
      <c r="I3160" s="143" t="s">
        <v>3391</v>
      </c>
      <c r="J3160" s="143" t="s">
        <v>6741</v>
      </c>
      <c r="K3160" s="153" t="s">
        <v>9</v>
      </c>
      <c r="L3160" s="145">
        <v>46126</v>
      </c>
      <c r="M3160" s="152" t="s">
        <v>3392</v>
      </c>
    </row>
    <row r="3161" spans="1:13" ht="15" customHeight="1">
      <c r="A3161" s="146" t="s">
        <v>7921</v>
      </c>
      <c r="B3161" s="146">
        <v>514638</v>
      </c>
      <c r="C3161" s="147" t="s">
        <v>6735</v>
      </c>
      <c r="D3161" s="146" t="s">
        <v>3370</v>
      </c>
      <c r="E3161" s="147" t="s">
        <v>3389</v>
      </c>
      <c r="F3161" s="147" t="s">
        <v>7922</v>
      </c>
      <c r="G3161" s="146" t="s">
        <v>6739</v>
      </c>
      <c r="H3161" s="146" t="s">
        <v>50</v>
      </c>
      <c r="I3161" s="147" t="s">
        <v>3391</v>
      </c>
      <c r="J3161" s="147" t="s">
        <v>6741</v>
      </c>
      <c r="K3161" s="150" t="s">
        <v>5</v>
      </c>
      <c r="L3161" s="149">
        <v>46112</v>
      </c>
      <c r="M3161" s="151" t="s">
        <v>3392</v>
      </c>
    </row>
    <row r="3162" spans="1:13" ht="15" customHeight="1">
      <c r="A3162" s="142" t="s">
        <v>7923</v>
      </c>
      <c r="B3162" s="142">
        <v>514905</v>
      </c>
      <c r="C3162" s="143" t="s">
        <v>6735</v>
      </c>
      <c r="D3162" s="142" t="s">
        <v>3370</v>
      </c>
      <c r="E3162" s="143" t="s">
        <v>3389</v>
      </c>
      <c r="F3162" s="143" t="s">
        <v>7924</v>
      </c>
      <c r="G3162" s="142" t="s">
        <v>6739</v>
      </c>
      <c r="H3162" s="142" t="s">
        <v>50</v>
      </c>
      <c r="I3162" s="143" t="s">
        <v>3391</v>
      </c>
      <c r="J3162" s="143" t="s">
        <v>6741</v>
      </c>
      <c r="K3162" s="150" t="s">
        <v>5</v>
      </c>
      <c r="L3162" s="145">
        <v>46112</v>
      </c>
      <c r="M3162" s="152" t="s">
        <v>3392</v>
      </c>
    </row>
    <row r="3163" spans="1:13" ht="15" customHeight="1">
      <c r="A3163" s="146" t="s">
        <v>7925</v>
      </c>
      <c r="B3163" s="146">
        <v>514906</v>
      </c>
      <c r="C3163" s="147" t="s">
        <v>6735</v>
      </c>
      <c r="D3163" s="146" t="s">
        <v>3370</v>
      </c>
      <c r="E3163" s="147" t="s">
        <v>3389</v>
      </c>
      <c r="F3163" s="147" t="s">
        <v>7926</v>
      </c>
      <c r="G3163" s="146" t="s">
        <v>6739</v>
      </c>
      <c r="H3163" s="146" t="s">
        <v>50</v>
      </c>
      <c r="I3163" s="147" t="s">
        <v>3391</v>
      </c>
      <c r="J3163" s="147" t="s">
        <v>6741</v>
      </c>
      <c r="K3163" s="150" t="s">
        <v>5</v>
      </c>
      <c r="L3163" s="149">
        <v>46112</v>
      </c>
      <c r="M3163" s="151" t="s">
        <v>3392</v>
      </c>
    </row>
    <row r="3164" spans="1:13" ht="15" customHeight="1">
      <c r="A3164" s="142" t="s">
        <v>7927</v>
      </c>
      <c r="B3164" s="142">
        <v>514958</v>
      </c>
      <c r="C3164" s="143" t="s">
        <v>6735</v>
      </c>
      <c r="D3164" s="142" t="s">
        <v>3370</v>
      </c>
      <c r="E3164" s="143" t="s">
        <v>3671</v>
      </c>
      <c r="F3164" s="143" t="s">
        <v>3672</v>
      </c>
      <c r="G3164" s="142" t="s">
        <v>6739</v>
      </c>
      <c r="H3164" s="142" t="s">
        <v>50</v>
      </c>
      <c r="I3164" s="143" t="s">
        <v>3391</v>
      </c>
      <c r="J3164" s="143" t="s">
        <v>6741</v>
      </c>
      <c r="K3164" s="144"/>
      <c r="L3164" s="145"/>
      <c r="M3164" s="144"/>
    </row>
    <row r="3165" spans="1:13" ht="15" customHeight="1">
      <c r="A3165" s="146" t="s">
        <v>7928</v>
      </c>
      <c r="B3165" s="146">
        <v>514889</v>
      </c>
      <c r="C3165" s="147" t="s">
        <v>6735</v>
      </c>
      <c r="D3165" s="146" t="s">
        <v>3370</v>
      </c>
      <c r="E3165" s="147" t="s">
        <v>3770</v>
      </c>
      <c r="F3165" s="147" t="s">
        <v>7929</v>
      </c>
      <c r="G3165" s="146" t="s">
        <v>6739</v>
      </c>
      <c r="H3165" s="146" t="s">
        <v>53</v>
      </c>
      <c r="I3165" s="147" t="s">
        <v>1184</v>
      </c>
      <c r="J3165" s="147" t="s">
        <v>6741</v>
      </c>
      <c r="K3165" s="148" t="s">
        <v>121</v>
      </c>
      <c r="L3165" s="149">
        <v>46150</v>
      </c>
      <c r="M3165" s="148"/>
    </row>
    <row r="3166" spans="1:13" ht="15" customHeight="1">
      <c r="A3166" s="142" t="s">
        <v>7930</v>
      </c>
      <c r="B3166" s="142">
        <v>514875</v>
      </c>
      <c r="C3166" s="143" t="s">
        <v>6735</v>
      </c>
      <c r="D3166" s="142" t="s">
        <v>3370</v>
      </c>
      <c r="E3166" s="143" t="s">
        <v>3770</v>
      </c>
      <c r="F3166" s="143" t="s">
        <v>4103</v>
      </c>
      <c r="G3166" s="142" t="s">
        <v>6739</v>
      </c>
      <c r="H3166" s="142" t="s">
        <v>53</v>
      </c>
      <c r="I3166" s="143" t="s">
        <v>1184</v>
      </c>
      <c r="J3166" s="143" t="s">
        <v>6741</v>
      </c>
      <c r="K3166" s="144"/>
      <c r="L3166" s="145"/>
      <c r="M3166" s="144"/>
    </row>
    <row r="3167" spans="1:13" ht="15" customHeight="1">
      <c r="A3167" s="146" t="s">
        <v>7931</v>
      </c>
      <c r="B3167" s="146">
        <v>514594</v>
      </c>
      <c r="C3167" s="147" t="s">
        <v>6735</v>
      </c>
      <c r="D3167" s="146" t="s">
        <v>3370</v>
      </c>
      <c r="E3167" s="147" t="s">
        <v>3382</v>
      </c>
      <c r="F3167" s="147" t="s">
        <v>7932</v>
      </c>
      <c r="G3167" s="146" t="s">
        <v>6739</v>
      </c>
      <c r="H3167" s="146" t="s">
        <v>53</v>
      </c>
      <c r="I3167" s="147" t="s">
        <v>1184</v>
      </c>
      <c r="J3167" s="147" t="s">
        <v>6741</v>
      </c>
      <c r="K3167" s="148"/>
      <c r="L3167" s="149"/>
      <c r="M3167" s="148"/>
    </row>
    <row r="3168" spans="1:13" ht="15" customHeight="1">
      <c r="A3168" s="142" t="s">
        <v>7933</v>
      </c>
      <c r="B3168" s="142">
        <v>514624</v>
      </c>
      <c r="C3168" s="143" t="s">
        <v>6735</v>
      </c>
      <c r="D3168" s="142" t="s">
        <v>3370</v>
      </c>
      <c r="E3168" s="143" t="s">
        <v>3382</v>
      </c>
      <c r="F3168" s="143" t="s">
        <v>3382</v>
      </c>
      <c r="G3168" s="142" t="s">
        <v>6739</v>
      </c>
      <c r="H3168" s="142" t="s">
        <v>53</v>
      </c>
      <c r="I3168" s="143" t="s">
        <v>1184</v>
      </c>
      <c r="J3168" s="143" t="s">
        <v>6741</v>
      </c>
      <c r="K3168" s="144"/>
      <c r="L3168" s="145"/>
      <c r="M3168" s="144"/>
    </row>
    <row r="3169" spans="1:13" ht="15" customHeight="1">
      <c r="A3169" s="146" t="s">
        <v>7934</v>
      </c>
      <c r="B3169" s="146">
        <v>515043</v>
      </c>
      <c r="C3169" s="147" t="s">
        <v>6735</v>
      </c>
      <c r="D3169" s="146" t="s">
        <v>3370</v>
      </c>
      <c r="E3169" s="147" t="s">
        <v>3481</v>
      </c>
      <c r="F3169" s="147" t="s">
        <v>3482</v>
      </c>
      <c r="G3169" s="146" t="s">
        <v>6739</v>
      </c>
      <c r="H3169" s="146" t="s">
        <v>53</v>
      </c>
      <c r="I3169" s="147" t="s">
        <v>1110</v>
      </c>
      <c r="J3169" s="147" t="s">
        <v>6741</v>
      </c>
      <c r="K3169" s="148" t="s">
        <v>121</v>
      </c>
      <c r="L3169" s="149">
        <v>46147</v>
      </c>
      <c r="M3169" s="148" t="s">
        <v>7935</v>
      </c>
    </row>
    <row r="3170" spans="1:13" ht="15" customHeight="1">
      <c r="A3170" s="142" t="s">
        <v>7936</v>
      </c>
      <c r="B3170" s="142">
        <v>515050</v>
      </c>
      <c r="C3170" s="143" t="s">
        <v>6735</v>
      </c>
      <c r="D3170" s="142" t="s">
        <v>3370</v>
      </c>
      <c r="E3170" s="143" t="s">
        <v>3481</v>
      </c>
      <c r="F3170" s="143" t="s">
        <v>3482</v>
      </c>
      <c r="G3170" s="142" t="s">
        <v>6739</v>
      </c>
      <c r="H3170" s="142" t="s">
        <v>53</v>
      </c>
      <c r="I3170" s="143" t="s">
        <v>1110</v>
      </c>
      <c r="J3170" s="143" t="s">
        <v>6741</v>
      </c>
      <c r="K3170" s="144"/>
      <c r="L3170" s="145"/>
      <c r="M3170" s="144"/>
    </row>
    <row r="3171" spans="1:13" ht="15" customHeight="1">
      <c r="A3171" s="146" t="s">
        <v>7937</v>
      </c>
      <c r="B3171" s="146">
        <v>515321</v>
      </c>
      <c r="C3171" s="147" t="s">
        <v>6735</v>
      </c>
      <c r="D3171" s="146" t="s">
        <v>3370</v>
      </c>
      <c r="E3171" s="147" t="s">
        <v>4163</v>
      </c>
      <c r="F3171" s="147" t="s">
        <v>7938</v>
      </c>
      <c r="G3171" s="146" t="s">
        <v>6739</v>
      </c>
      <c r="H3171" s="146" t="s">
        <v>50</v>
      </c>
      <c r="I3171" s="147" t="s">
        <v>3391</v>
      </c>
      <c r="J3171" s="147" t="s">
        <v>6741</v>
      </c>
      <c r="K3171" s="150" t="s">
        <v>5</v>
      </c>
      <c r="L3171" s="149">
        <v>46112</v>
      </c>
      <c r="M3171" s="151" t="s">
        <v>3392</v>
      </c>
    </row>
    <row r="3172" spans="1:13" ht="15" customHeight="1">
      <c r="A3172" s="142" t="s">
        <v>7939</v>
      </c>
      <c r="B3172" s="142">
        <v>515322</v>
      </c>
      <c r="C3172" s="143" t="s">
        <v>6735</v>
      </c>
      <c r="D3172" s="142" t="s">
        <v>3370</v>
      </c>
      <c r="E3172" s="143" t="s">
        <v>4163</v>
      </c>
      <c r="F3172" s="143" t="s">
        <v>7940</v>
      </c>
      <c r="G3172" s="142" t="s">
        <v>6739</v>
      </c>
      <c r="H3172" s="142" t="s">
        <v>50</v>
      </c>
      <c r="I3172" s="143" t="s">
        <v>3391</v>
      </c>
      <c r="J3172" s="143" t="s">
        <v>6741</v>
      </c>
      <c r="K3172" s="150" t="s">
        <v>5</v>
      </c>
      <c r="L3172" s="145">
        <v>46112</v>
      </c>
      <c r="M3172" s="152" t="s">
        <v>3392</v>
      </c>
    </row>
    <row r="3173" spans="1:13" ht="15" customHeight="1">
      <c r="A3173" s="146" t="s">
        <v>7941</v>
      </c>
      <c r="B3173" s="146">
        <v>515273</v>
      </c>
      <c r="C3173" s="147" t="s">
        <v>6735</v>
      </c>
      <c r="D3173" s="146" t="s">
        <v>3370</v>
      </c>
      <c r="E3173" s="147" t="s">
        <v>4163</v>
      </c>
      <c r="F3173" s="147" t="s">
        <v>4635</v>
      </c>
      <c r="G3173" s="146" t="s">
        <v>6739</v>
      </c>
      <c r="H3173" s="146" t="s">
        <v>50</v>
      </c>
      <c r="I3173" s="147" t="s">
        <v>3391</v>
      </c>
      <c r="J3173" s="147" t="s">
        <v>6741</v>
      </c>
      <c r="K3173" s="150" t="s">
        <v>5</v>
      </c>
      <c r="L3173" s="149">
        <v>46112</v>
      </c>
      <c r="M3173" s="151" t="s">
        <v>3392</v>
      </c>
    </row>
    <row r="3174" spans="1:13" ht="15" customHeight="1">
      <c r="A3174" s="142" t="s">
        <v>7942</v>
      </c>
      <c r="B3174" s="142">
        <v>515304</v>
      </c>
      <c r="C3174" s="143" t="s">
        <v>6735</v>
      </c>
      <c r="D3174" s="142" t="s">
        <v>3370</v>
      </c>
      <c r="E3174" s="143" t="s">
        <v>4163</v>
      </c>
      <c r="F3174" s="143" t="s">
        <v>4164</v>
      </c>
      <c r="G3174" s="142" t="s">
        <v>6739</v>
      </c>
      <c r="H3174" s="142" t="s">
        <v>50</v>
      </c>
      <c r="I3174" s="143" t="s">
        <v>3391</v>
      </c>
      <c r="J3174" s="143" t="s">
        <v>6741</v>
      </c>
      <c r="K3174" s="150" t="s">
        <v>5</v>
      </c>
      <c r="L3174" s="145">
        <v>46112</v>
      </c>
      <c r="M3174" s="152" t="s">
        <v>3392</v>
      </c>
    </row>
    <row r="3175" spans="1:13" ht="15" customHeight="1">
      <c r="A3175" s="146" t="s">
        <v>7943</v>
      </c>
      <c r="B3175" s="146">
        <v>515202</v>
      </c>
      <c r="C3175" s="147" t="s">
        <v>6735</v>
      </c>
      <c r="D3175" s="146" t="s">
        <v>3370</v>
      </c>
      <c r="E3175" s="147" t="s">
        <v>3598</v>
      </c>
      <c r="F3175" s="147" t="s">
        <v>7944</v>
      </c>
      <c r="G3175" s="146" t="s">
        <v>6739</v>
      </c>
      <c r="H3175" s="146" t="s">
        <v>53</v>
      </c>
      <c r="I3175" s="147" t="s">
        <v>1110</v>
      </c>
      <c r="J3175" s="147" t="s">
        <v>6741</v>
      </c>
      <c r="K3175" s="148"/>
      <c r="L3175" s="149"/>
      <c r="M3175" s="148"/>
    </row>
    <row r="3176" spans="1:13" ht="15" customHeight="1">
      <c r="A3176" s="142" t="s">
        <v>7945</v>
      </c>
      <c r="B3176" s="142">
        <v>514923</v>
      </c>
      <c r="C3176" s="143" t="s">
        <v>6735</v>
      </c>
      <c r="D3176" s="142" t="s">
        <v>3370</v>
      </c>
      <c r="E3176" s="143" t="s">
        <v>3416</v>
      </c>
      <c r="F3176" s="143" t="s">
        <v>7946</v>
      </c>
      <c r="G3176" s="142" t="s">
        <v>6739</v>
      </c>
      <c r="H3176" s="142" t="s">
        <v>53</v>
      </c>
      <c r="I3176" s="143" t="s">
        <v>1110</v>
      </c>
      <c r="J3176" s="143" t="s">
        <v>6741</v>
      </c>
      <c r="K3176" s="144"/>
      <c r="L3176" s="145"/>
      <c r="M3176" s="144"/>
    </row>
    <row r="3177" spans="1:13" ht="15" customHeight="1">
      <c r="A3177" s="146" t="s">
        <v>7947</v>
      </c>
      <c r="B3177" s="146">
        <v>514732</v>
      </c>
      <c r="C3177" s="147" t="s">
        <v>6735</v>
      </c>
      <c r="D3177" s="146" t="s">
        <v>3370</v>
      </c>
      <c r="E3177" s="147" t="s">
        <v>3416</v>
      </c>
      <c r="F3177" s="147" t="s">
        <v>4511</v>
      </c>
      <c r="G3177" s="146" t="s">
        <v>6739</v>
      </c>
      <c r="H3177" s="146" t="s">
        <v>53</v>
      </c>
      <c r="I3177" s="147" t="s">
        <v>1110</v>
      </c>
      <c r="J3177" s="147" t="s">
        <v>6741</v>
      </c>
      <c r="K3177" s="148"/>
      <c r="L3177" s="149"/>
      <c r="M3177" s="148"/>
    </row>
    <row r="3178" spans="1:13" ht="15" customHeight="1">
      <c r="A3178" s="142" t="s">
        <v>7948</v>
      </c>
      <c r="B3178" s="142">
        <v>514556</v>
      </c>
      <c r="C3178" s="143" t="s">
        <v>6735</v>
      </c>
      <c r="D3178" s="142" t="s">
        <v>3370</v>
      </c>
      <c r="E3178" s="143" t="s">
        <v>3416</v>
      </c>
      <c r="F3178" s="143" t="s">
        <v>7949</v>
      </c>
      <c r="G3178" s="142" t="s">
        <v>6739</v>
      </c>
      <c r="H3178" s="142" t="s">
        <v>53</v>
      </c>
      <c r="I3178" s="143" t="s">
        <v>1110</v>
      </c>
      <c r="J3178" s="143" t="s">
        <v>6741</v>
      </c>
      <c r="K3178" s="144"/>
      <c r="L3178" s="145"/>
      <c r="M3178" s="144"/>
    </row>
    <row r="3179" spans="1:13" ht="15" customHeight="1">
      <c r="A3179" s="146" t="s">
        <v>7950</v>
      </c>
      <c r="B3179" s="146">
        <v>514812</v>
      </c>
      <c r="C3179" s="147" t="s">
        <v>6735</v>
      </c>
      <c r="D3179" s="146" t="s">
        <v>3370</v>
      </c>
      <c r="E3179" s="147" t="s">
        <v>3416</v>
      </c>
      <c r="F3179" s="147" t="s">
        <v>7951</v>
      </c>
      <c r="G3179" s="146" t="s">
        <v>6739</v>
      </c>
      <c r="H3179" s="146" t="s">
        <v>53</v>
      </c>
      <c r="I3179" s="147" t="s">
        <v>1110</v>
      </c>
      <c r="J3179" s="147" t="s">
        <v>6741</v>
      </c>
      <c r="K3179" s="148"/>
      <c r="L3179" s="149"/>
      <c r="M3179" s="148"/>
    </row>
    <row r="3180" spans="1:13" ht="15" customHeight="1">
      <c r="A3180" s="142" t="s">
        <v>7952</v>
      </c>
      <c r="B3180" s="142">
        <v>514595</v>
      </c>
      <c r="C3180" s="143" t="s">
        <v>6735</v>
      </c>
      <c r="D3180" s="142" t="s">
        <v>3370</v>
      </c>
      <c r="E3180" s="143" t="s">
        <v>3371</v>
      </c>
      <c r="F3180" s="143" t="s">
        <v>7953</v>
      </c>
      <c r="G3180" s="142" t="s">
        <v>6739</v>
      </c>
      <c r="H3180" s="142" t="s">
        <v>53</v>
      </c>
      <c r="I3180" s="143" t="s">
        <v>1110</v>
      </c>
      <c r="J3180" s="143" t="s">
        <v>6741</v>
      </c>
      <c r="K3180" s="144"/>
      <c r="L3180" s="145"/>
      <c r="M3180" s="144"/>
    </row>
    <row r="3181" spans="1:13" ht="15" customHeight="1">
      <c r="A3181" s="146" t="s">
        <v>7954</v>
      </c>
      <c r="B3181" s="146">
        <v>515266</v>
      </c>
      <c r="C3181" s="147" t="s">
        <v>6735</v>
      </c>
      <c r="D3181" s="146" t="s">
        <v>3370</v>
      </c>
      <c r="E3181" s="147" t="s">
        <v>3934</v>
      </c>
      <c r="F3181" s="147" t="s">
        <v>7955</v>
      </c>
      <c r="G3181" s="146" t="s">
        <v>6739</v>
      </c>
      <c r="H3181" s="146" t="s">
        <v>50</v>
      </c>
      <c r="I3181" s="147" t="s">
        <v>3391</v>
      </c>
      <c r="J3181" s="147" t="s">
        <v>6741</v>
      </c>
      <c r="K3181" s="150" t="s">
        <v>5</v>
      </c>
      <c r="L3181" s="149">
        <v>46125</v>
      </c>
      <c r="M3181" s="151" t="s">
        <v>3392</v>
      </c>
    </row>
    <row r="3182" spans="1:13" ht="15" customHeight="1">
      <c r="A3182" s="142" t="s">
        <v>7956</v>
      </c>
      <c r="B3182" s="142">
        <v>514673</v>
      </c>
      <c r="C3182" s="143" t="s">
        <v>6735</v>
      </c>
      <c r="D3182" s="142" t="s">
        <v>3370</v>
      </c>
      <c r="E3182" s="143" t="s">
        <v>3558</v>
      </c>
      <c r="F3182" s="143" t="s">
        <v>7680</v>
      </c>
      <c r="G3182" s="142" t="s">
        <v>6739</v>
      </c>
      <c r="H3182" s="142" t="s">
        <v>53</v>
      </c>
      <c r="I3182" s="143" t="s">
        <v>1184</v>
      </c>
      <c r="J3182" s="143" t="s">
        <v>6741</v>
      </c>
      <c r="K3182" s="144"/>
      <c r="L3182" s="145"/>
      <c r="M3182" s="144"/>
    </row>
    <row r="3183" spans="1:13" ht="15" customHeight="1">
      <c r="A3183" s="146" t="s">
        <v>7957</v>
      </c>
      <c r="B3183" s="146">
        <v>514710</v>
      </c>
      <c r="C3183" s="147" t="s">
        <v>6735</v>
      </c>
      <c r="D3183" s="146" t="s">
        <v>3370</v>
      </c>
      <c r="E3183" s="147" t="s">
        <v>1244</v>
      </c>
      <c r="F3183" s="147" t="s">
        <v>3591</v>
      </c>
      <c r="G3183" s="146" t="s">
        <v>6739</v>
      </c>
      <c r="H3183" s="146" t="s">
        <v>53</v>
      </c>
      <c r="I3183" s="147" t="s">
        <v>1184</v>
      </c>
      <c r="J3183" s="147" t="s">
        <v>6741</v>
      </c>
      <c r="K3183" s="148"/>
      <c r="L3183" s="149"/>
      <c r="M3183" s="148"/>
    </row>
    <row r="3184" spans="1:13" ht="15" customHeight="1">
      <c r="A3184" s="142" t="s">
        <v>7958</v>
      </c>
      <c r="B3184" s="142">
        <v>514901</v>
      </c>
      <c r="C3184" s="143" t="s">
        <v>6735</v>
      </c>
      <c r="D3184" s="142" t="s">
        <v>3370</v>
      </c>
      <c r="E3184" s="143" t="s">
        <v>3558</v>
      </c>
      <c r="F3184" s="143" t="s">
        <v>7680</v>
      </c>
      <c r="G3184" s="142" t="s">
        <v>6739</v>
      </c>
      <c r="H3184" s="142" t="s">
        <v>53</v>
      </c>
      <c r="I3184" s="143" t="s">
        <v>1184</v>
      </c>
      <c r="J3184" s="143" t="s">
        <v>6741</v>
      </c>
      <c r="K3184" s="144"/>
      <c r="L3184" s="145"/>
      <c r="M3184" s="144"/>
    </row>
    <row r="3185" spans="1:13" ht="15" customHeight="1">
      <c r="A3185" s="146" t="s">
        <v>7959</v>
      </c>
      <c r="B3185" s="146">
        <v>514765</v>
      </c>
      <c r="C3185" s="147" t="s">
        <v>6735</v>
      </c>
      <c r="D3185" s="146" t="s">
        <v>3370</v>
      </c>
      <c r="E3185" s="147" t="s">
        <v>3447</v>
      </c>
      <c r="F3185" s="147" t="s">
        <v>3448</v>
      </c>
      <c r="G3185" s="146" t="s">
        <v>6739</v>
      </c>
      <c r="H3185" s="146" t="s">
        <v>50</v>
      </c>
      <c r="I3185" s="147" t="s">
        <v>3449</v>
      </c>
      <c r="J3185" s="147" t="s">
        <v>6741</v>
      </c>
      <c r="K3185" s="148" t="s">
        <v>121</v>
      </c>
      <c r="L3185" s="149">
        <v>46147</v>
      </c>
      <c r="M3185" s="148"/>
    </row>
    <row r="3186" spans="1:13" ht="15" customHeight="1">
      <c r="A3186" s="142" t="s">
        <v>7960</v>
      </c>
      <c r="B3186" s="142">
        <v>514617</v>
      </c>
      <c r="C3186" s="143" t="s">
        <v>6735</v>
      </c>
      <c r="D3186" s="142" t="s">
        <v>3370</v>
      </c>
      <c r="E3186" s="143" t="s">
        <v>3447</v>
      </c>
      <c r="F3186" s="143" t="s">
        <v>3448</v>
      </c>
      <c r="G3186" s="142" t="s">
        <v>6739</v>
      </c>
      <c r="H3186" s="142" t="s">
        <v>50</v>
      </c>
      <c r="I3186" s="143" t="s">
        <v>3449</v>
      </c>
      <c r="J3186" s="143" t="s">
        <v>6741</v>
      </c>
      <c r="K3186" s="144" t="s">
        <v>121</v>
      </c>
      <c r="L3186" s="145">
        <v>46147</v>
      </c>
      <c r="M3186" s="144"/>
    </row>
    <row r="3187" spans="1:13" ht="15" customHeight="1">
      <c r="A3187" s="146" t="s">
        <v>7961</v>
      </c>
      <c r="B3187" s="146">
        <v>514084</v>
      </c>
      <c r="C3187" s="147" t="s">
        <v>6735</v>
      </c>
      <c r="D3187" s="146" t="s">
        <v>553</v>
      </c>
      <c r="E3187" s="147" t="s">
        <v>3028</v>
      </c>
      <c r="F3187" s="147" t="s">
        <v>7962</v>
      </c>
      <c r="G3187" s="146" t="s">
        <v>6739</v>
      </c>
      <c r="H3187" s="146" t="s">
        <v>50</v>
      </c>
      <c r="I3187" s="147" t="s">
        <v>1532</v>
      </c>
      <c r="J3187" s="147" t="s">
        <v>6741</v>
      </c>
      <c r="K3187" s="148" t="s">
        <v>121</v>
      </c>
      <c r="L3187" s="149">
        <v>46141</v>
      </c>
      <c r="M3187" s="148"/>
    </row>
    <row r="3188" spans="1:13" ht="15" customHeight="1">
      <c r="A3188" s="142" t="s">
        <v>7963</v>
      </c>
      <c r="B3188" s="142">
        <v>515887</v>
      </c>
      <c r="C3188" s="143" t="s">
        <v>6735</v>
      </c>
      <c r="D3188" s="142" t="s">
        <v>3370</v>
      </c>
      <c r="E3188" s="143" t="s">
        <v>3428</v>
      </c>
      <c r="F3188" s="143" t="s">
        <v>3432</v>
      </c>
      <c r="G3188" s="142" t="s">
        <v>6739</v>
      </c>
      <c r="H3188" s="142" t="s">
        <v>53</v>
      </c>
      <c r="I3188" s="143" t="s">
        <v>1184</v>
      </c>
      <c r="J3188" s="143" t="s">
        <v>6741</v>
      </c>
      <c r="K3188" s="144"/>
      <c r="L3188" s="145"/>
      <c r="M3188" s="144"/>
    </row>
    <row r="3189" spans="1:13" ht="15" customHeight="1">
      <c r="A3189" s="146" t="s">
        <v>7964</v>
      </c>
      <c r="B3189" s="146">
        <v>515251</v>
      </c>
      <c r="C3189" s="147" t="s">
        <v>6735</v>
      </c>
      <c r="D3189" s="146" t="s">
        <v>3370</v>
      </c>
      <c r="E3189" s="147" t="s">
        <v>3428</v>
      </c>
      <c r="F3189" s="147" t="s">
        <v>3498</v>
      </c>
      <c r="G3189" s="146" t="s">
        <v>6739</v>
      </c>
      <c r="H3189" s="146" t="s">
        <v>53</v>
      </c>
      <c r="I3189" s="147" t="s">
        <v>1184</v>
      </c>
      <c r="J3189" s="147" t="s">
        <v>6741</v>
      </c>
      <c r="K3189" s="148"/>
      <c r="L3189" s="149"/>
      <c r="M3189" s="148"/>
    </row>
    <row r="3190" spans="1:13" ht="15" customHeight="1">
      <c r="A3190" s="142" t="s">
        <v>7965</v>
      </c>
      <c r="B3190" s="142">
        <v>515180</v>
      </c>
      <c r="C3190" s="143" t="s">
        <v>6735</v>
      </c>
      <c r="D3190" s="142" t="s">
        <v>3370</v>
      </c>
      <c r="E3190" s="143" t="s">
        <v>3428</v>
      </c>
      <c r="F3190" s="143" t="s">
        <v>3432</v>
      </c>
      <c r="G3190" s="142" t="s">
        <v>6739</v>
      </c>
      <c r="H3190" s="142" t="s">
        <v>53</v>
      </c>
      <c r="I3190" s="143" t="s">
        <v>1184</v>
      </c>
      <c r="J3190" s="143" t="s">
        <v>6741</v>
      </c>
      <c r="K3190" s="144"/>
      <c r="L3190" s="145"/>
      <c r="M3190" s="144"/>
    </row>
    <row r="3191" spans="1:13" ht="15" customHeight="1">
      <c r="A3191" s="146" t="s">
        <v>7966</v>
      </c>
      <c r="B3191" s="146">
        <v>514813</v>
      </c>
      <c r="C3191" s="147" t="s">
        <v>6735</v>
      </c>
      <c r="D3191" s="146" t="s">
        <v>3370</v>
      </c>
      <c r="E3191" s="147" t="s">
        <v>3724</v>
      </c>
      <c r="F3191" s="147" t="s">
        <v>3724</v>
      </c>
      <c r="G3191" s="146" t="s">
        <v>6739</v>
      </c>
      <c r="H3191" s="146" t="s">
        <v>53</v>
      </c>
      <c r="I3191" s="147" t="s">
        <v>1184</v>
      </c>
      <c r="J3191" s="147" t="s">
        <v>6741</v>
      </c>
      <c r="K3191" s="148"/>
      <c r="L3191" s="149"/>
      <c r="M3191" s="148"/>
    </row>
    <row r="3192" spans="1:13" ht="15" customHeight="1">
      <c r="A3192" s="142" t="s">
        <v>7967</v>
      </c>
      <c r="B3192" s="142">
        <v>514817</v>
      </c>
      <c r="C3192" s="143" t="s">
        <v>6735</v>
      </c>
      <c r="D3192" s="142" t="s">
        <v>3370</v>
      </c>
      <c r="E3192" s="143" t="s">
        <v>3770</v>
      </c>
      <c r="F3192" s="143" t="s">
        <v>7968</v>
      </c>
      <c r="G3192" s="142" t="s">
        <v>6739</v>
      </c>
      <c r="H3192" s="142" t="s">
        <v>53</v>
      </c>
      <c r="I3192" s="143" t="s">
        <v>1184</v>
      </c>
      <c r="J3192" s="143" t="s">
        <v>6741</v>
      </c>
      <c r="K3192" s="144"/>
      <c r="L3192" s="145"/>
      <c r="M3192" s="144"/>
    </row>
    <row r="3193" spans="1:13" ht="15" customHeight="1">
      <c r="A3193" s="146" t="s">
        <v>7969</v>
      </c>
      <c r="B3193" s="146">
        <v>515571</v>
      </c>
      <c r="C3193" s="147" t="s">
        <v>6735</v>
      </c>
      <c r="D3193" s="146" t="s">
        <v>3370</v>
      </c>
      <c r="E3193" s="147" t="s">
        <v>3404</v>
      </c>
      <c r="F3193" s="147" t="s">
        <v>3404</v>
      </c>
      <c r="G3193" s="146" t="s">
        <v>6739</v>
      </c>
      <c r="H3193" s="146" t="s">
        <v>53</v>
      </c>
      <c r="I3193" s="147" t="s">
        <v>1110</v>
      </c>
      <c r="J3193" s="147" t="s">
        <v>6741</v>
      </c>
      <c r="K3193" s="148"/>
      <c r="L3193" s="149"/>
      <c r="M3193" s="148"/>
    </row>
    <row r="3194" spans="1:13" ht="15" customHeight="1">
      <c r="A3194" s="142" t="s">
        <v>7970</v>
      </c>
      <c r="B3194" s="142">
        <v>514993</v>
      </c>
      <c r="C3194" s="143" t="s">
        <v>6735</v>
      </c>
      <c r="D3194" s="142" t="s">
        <v>3370</v>
      </c>
      <c r="E3194" s="143" t="s">
        <v>3505</v>
      </c>
      <c r="F3194" s="143" t="s">
        <v>7971</v>
      </c>
      <c r="G3194" s="142" t="s">
        <v>6739</v>
      </c>
      <c r="H3194" s="142" t="s">
        <v>50</v>
      </c>
      <c r="I3194" s="143" t="s">
        <v>3449</v>
      </c>
      <c r="J3194" s="143" t="s">
        <v>6741</v>
      </c>
      <c r="K3194" s="144" t="s">
        <v>121</v>
      </c>
      <c r="L3194" s="145">
        <v>46146</v>
      </c>
      <c r="M3194" s="144"/>
    </row>
    <row r="3195" spans="1:13" ht="15" customHeight="1">
      <c r="A3195" s="146" t="s">
        <v>7972</v>
      </c>
      <c r="B3195" s="146">
        <v>514852</v>
      </c>
      <c r="C3195" s="147" t="s">
        <v>6735</v>
      </c>
      <c r="D3195" s="146" t="s">
        <v>3370</v>
      </c>
      <c r="E3195" s="147" t="s">
        <v>3505</v>
      </c>
      <c r="F3195" s="147" t="s">
        <v>7697</v>
      </c>
      <c r="G3195" s="146" t="s">
        <v>6739</v>
      </c>
      <c r="H3195" s="146" t="s">
        <v>50</v>
      </c>
      <c r="I3195" s="147" t="s">
        <v>3449</v>
      </c>
      <c r="J3195" s="147" t="s">
        <v>6741</v>
      </c>
      <c r="K3195" s="148" t="s">
        <v>121</v>
      </c>
      <c r="L3195" s="149">
        <v>46142</v>
      </c>
      <c r="M3195" s="148"/>
    </row>
    <row r="3196" spans="1:13" ht="15" customHeight="1">
      <c r="A3196" s="142" t="s">
        <v>7973</v>
      </c>
      <c r="B3196" s="142">
        <v>514948</v>
      </c>
      <c r="C3196" s="143" t="s">
        <v>6735</v>
      </c>
      <c r="D3196" s="142" t="s">
        <v>3370</v>
      </c>
      <c r="E3196" s="143" t="s">
        <v>3505</v>
      </c>
      <c r="F3196" s="143" t="s">
        <v>7974</v>
      </c>
      <c r="G3196" s="142" t="s">
        <v>6739</v>
      </c>
      <c r="H3196" s="142" t="s">
        <v>50</v>
      </c>
      <c r="I3196" s="143" t="s">
        <v>3449</v>
      </c>
      <c r="J3196" s="143" t="s">
        <v>6741</v>
      </c>
      <c r="K3196" s="144" t="s">
        <v>121</v>
      </c>
      <c r="L3196" s="145">
        <v>46143</v>
      </c>
      <c r="M3196" s="144"/>
    </row>
    <row r="3197" spans="1:13" ht="15" customHeight="1">
      <c r="A3197" s="146" t="s">
        <v>7975</v>
      </c>
      <c r="B3197" s="146">
        <v>514730</v>
      </c>
      <c r="C3197" s="147" t="s">
        <v>6735</v>
      </c>
      <c r="D3197" s="146" t="s">
        <v>3370</v>
      </c>
      <c r="E3197" s="147" t="s">
        <v>3505</v>
      </c>
      <c r="F3197" s="147" t="s">
        <v>7976</v>
      </c>
      <c r="G3197" s="146" t="s">
        <v>6739</v>
      </c>
      <c r="H3197" s="146" t="s">
        <v>50</v>
      </c>
      <c r="I3197" s="147" t="s">
        <v>3449</v>
      </c>
      <c r="J3197" s="147" t="s">
        <v>6741</v>
      </c>
      <c r="K3197" s="148" t="s">
        <v>121</v>
      </c>
      <c r="L3197" s="149">
        <v>46150</v>
      </c>
      <c r="M3197" s="148"/>
    </row>
    <row r="3198" spans="1:13" ht="15" customHeight="1">
      <c r="A3198" s="142" t="s">
        <v>7977</v>
      </c>
      <c r="B3198" s="142">
        <v>515002</v>
      </c>
      <c r="C3198" s="143" t="s">
        <v>6735</v>
      </c>
      <c r="D3198" s="142" t="s">
        <v>3370</v>
      </c>
      <c r="E3198" s="143" t="s">
        <v>3664</v>
      </c>
      <c r="F3198" s="143" t="s">
        <v>7978</v>
      </c>
      <c r="G3198" s="142" t="s">
        <v>6739</v>
      </c>
      <c r="H3198" s="142" t="s">
        <v>50</v>
      </c>
      <c r="I3198" s="143" t="s">
        <v>1532</v>
      </c>
      <c r="J3198" s="143" t="s">
        <v>6741</v>
      </c>
      <c r="K3198" s="144" t="s">
        <v>121</v>
      </c>
      <c r="L3198" s="145">
        <v>46143</v>
      </c>
      <c r="M3198" s="144"/>
    </row>
    <row r="3199" spans="1:13" ht="15" customHeight="1">
      <c r="A3199" s="146" t="s">
        <v>7979</v>
      </c>
      <c r="B3199" s="146">
        <v>515246</v>
      </c>
      <c r="C3199" s="147" t="s">
        <v>6735</v>
      </c>
      <c r="D3199" s="146" t="s">
        <v>3370</v>
      </c>
      <c r="E3199" s="147" t="s">
        <v>3416</v>
      </c>
      <c r="F3199" s="147" t="s">
        <v>7951</v>
      </c>
      <c r="G3199" s="146" t="s">
        <v>6739</v>
      </c>
      <c r="H3199" s="146" t="s">
        <v>53</v>
      </c>
      <c r="I3199" s="147" t="s">
        <v>1110</v>
      </c>
      <c r="J3199" s="147" t="s">
        <v>6741</v>
      </c>
      <c r="K3199" s="148"/>
      <c r="L3199" s="149"/>
      <c r="M3199" s="148"/>
    </row>
    <row r="3200" spans="1:13" ht="15" customHeight="1">
      <c r="A3200" s="142" t="s">
        <v>7980</v>
      </c>
      <c r="B3200" s="142">
        <v>514720</v>
      </c>
      <c r="C3200" s="143" t="s">
        <v>6735</v>
      </c>
      <c r="D3200" s="142" t="s">
        <v>3370</v>
      </c>
      <c r="E3200" s="143" t="s">
        <v>3395</v>
      </c>
      <c r="F3200" s="143" t="s">
        <v>4687</v>
      </c>
      <c r="G3200" s="142" t="s">
        <v>6739</v>
      </c>
      <c r="H3200" s="142" t="s">
        <v>53</v>
      </c>
      <c r="I3200" s="143" t="s">
        <v>1110</v>
      </c>
      <c r="J3200" s="143" t="s">
        <v>6741</v>
      </c>
      <c r="K3200" s="144"/>
      <c r="L3200" s="145"/>
      <c r="M3200" s="144"/>
    </row>
    <row r="3201" spans="1:13" ht="15" customHeight="1">
      <c r="A3201" s="146" t="s">
        <v>7981</v>
      </c>
      <c r="B3201" s="146">
        <v>514999</v>
      </c>
      <c r="C3201" s="147" t="s">
        <v>6735</v>
      </c>
      <c r="D3201" s="146" t="s">
        <v>3370</v>
      </c>
      <c r="E3201" s="147" t="s">
        <v>4134</v>
      </c>
      <c r="F3201" s="147" t="s">
        <v>4767</v>
      </c>
      <c r="G3201" s="146" t="s">
        <v>6739</v>
      </c>
      <c r="H3201" s="146" t="s">
        <v>50</v>
      </c>
      <c r="I3201" s="147" t="s">
        <v>3391</v>
      </c>
      <c r="J3201" s="147" t="s">
        <v>6741</v>
      </c>
      <c r="K3201" s="150" t="s">
        <v>5</v>
      </c>
      <c r="L3201" s="149">
        <v>46122</v>
      </c>
      <c r="M3201" s="151" t="s">
        <v>3392</v>
      </c>
    </row>
    <row r="3202" spans="1:13" ht="15" customHeight="1">
      <c r="A3202" s="142" t="s">
        <v>7982</v>
      </c>
      <c r="B3202" s="142">
        <v>514616</v>
      </c>
      <c r="C3202" s="143" t="s">
        <v>6735</v>
      </c>
      <c r="D3202" s="142" t="s">
        <v>3370</v>
      </c>
      <c r="E3202" s="143" t="s">
        <v>3558</v>
      </c>
      <c r="F3202" s="143" t="s">
        <v>7680</v>
      </c>
      <c r="G3202" s="142" t="s">
        <v>6739</v>
      </c>
      <c r="H3202" s="142" t="s">
        <v>53</v>
      </c>
      <c r="I3202" s="143" t="s">
        <v>1184</v>
      </c>
      <c r="J3202" s="143" t="s">
        <v>6741</v>
      </c>
      <c r="K3202" s="144"/>
      <c r="L3202" s="145"/>
      <c r="M3202" s="144"/>
    </row>
    <row r="3203" spans="1:13" ht="15" customHeight="1">
      <c r="A3203" s="146" t="s">
        <v>7983</v>
      </c>
      <c r="B3203" s="146">
        <v>515318</v>
      </c>
      <c r="C3203" s="147" t="s">
        <v>6735</v>
      </c>
      <c r="D3203" s="146" t="s">
        <v>3370</v>
      </c>
      <c r="E3203" s="147" t="s">
        <v>3664</v>
      </c>
      <c r="F3203" s="147" t="s">
        <v>7984</v>
      </c>
      <c r="G3203" s="146" t="s">
        <v>6739</v>
      </c>
      <c r="H3203" s="146" t="s">
        <v>50</v>
      </c>
      <c r="I3203" s="147" t="s">
        <v>1532</v>
      </c>
      <c r="J3203" s="147" t="s">
        <v>6741</v>
      </c>
      <c r="K3203" s="148"/>
      <c r="L3203" s="149"/>
      <c r="M3203" s="148"/>
    </row>
    <row r="3204" spans="1:13" ht="15" customHeight="1">
      <c r="A3204" s="142" t="s">
        <v>7985</v>
      </c>
      <c r="B3204" s="142">
        <v>514597</v>
      </c>
      <c r="C3204" s="143" t="s">
        <v>6735</v>
      </c>
      <c r="D3204" s="142" t="s">
        <v>3370</v>
      </c>
      <c r="E3204" s="143" t="s">
        <v>3371</v>
      </c>
      <c r="F3204" s="143" t="s">
        <v>7953</v>
      </c>
      <c r="G3204" s="142" t="s">
        <v>6739</v>
      </c>
      <c r="H3204" s="142" t="s">
        <v>53</v>
      </c>
      <c r="I3204" s="143" t="s">
        <v>1110</v>
      </c>
      <c r="J3204" s="143" t="s">
        <v>6741</v>
      </c>
      <c r="K3204" s="144"/>
      <c r="L3204" s="145"/>
      <c r="M3204" s="144"/>
    </row>
    <row r="3205" spans="1:13" ht="15" customHeight="1">
      <c r="A3205" s="146" t="s">
        <v>7986</v>
      </c>
      <c r="B3205" s="146">
        <v>514647</v>
      </c>
      <c r="C3205" s="147" t="s">
        <v>6735</v>
      </c>
      <c r="D3205" s="146" t="s">
        <v>3370</v>
      </c>
      <c r="E3205" s="147" t="s">
        <v>3505</v>
      </c>
      <c r="F3205" s="147" t="s">
        <v>7892</v>
      </c>
      <c r="G3205" s="146" t="s">
        <v>6739</v>
      </c>
      <c r="H3205" s="146" t="s">
        <v>50</v>
      </c>
      <c r="I3205" s="147" t="s">
        <v>3449</v>
      </c>
      <c r="J3205" s="147" t="s">
        <v>6741</v>
      </c>
      <c r="K3205" s="148" t="s">
        <v>121</v>
      </c>
      <c r="L3205" s="149">
        <v>46150</v>
      </c>
      <c r="M3205" s="148"/>
    </row>
    <row r="3206" spans="1:13" ht="15" customHeight="1">
      <c r="A3206" s="142" t="s">
        <v>7987</v>
      </c>
      <c r="B3206" s="142">
        <v>514719</v>
      </c>
      <c r="C3206" s="143" t="s">
        <v>6735</v>
      </c>
      <c r="D3206" s="142" t="s">
        <v>3370</v>
      </c>
      <c r="E3206" s="143" t="s">
        <v>3428</v>
      </c>
      <c r="F3206" s="143" t="s">
        <v>4475</v>
      </c>
      <c r="G3206" s="142" t="s">
        <v>6739</v>
      </c>
      <c r="H3206" s="142" t="s">
        <v>53</v>
      </c>
      <c r="I3206" s="143" t="s">
        <v>1184</v>
      </c>
      <c r="J3206" s="143" t="s">
        <v>6741</v>
      </c>
      <c r="K3206" s="144"/>
      <c r="L3206" s="145"/>
      <c r="M3206" s="144"/>
    </row>
    <row r="3207" spans="1:13" ht="15" customHeight="1">
      <c r="A3207" s="146" t="s">
        <v>7988</v>
      </c>
      <c r="B3207" s="146">
        <v>515112</v>
      </c>
      <c r="C3207" s="147" t="s">
        <v>6735</v>
      </c>
      <c r="D3207" s="146" t="s">
        <v>3370</v>
      </c>
      <c r="E3207" s="147" t="s">
        <v>3428</v>
      </c>
      <c r="F3207" s="147" t="s">
        <v>7989</v>
      </c>
      <c r="G3207" s="146" t="s">
        <v>6739</v>
      </c>
      <c r="H3207" s="146" t="s">
        <v>53</v>
      </c>
      <c r="I3207" s="147" t="s">
        <v>1184</v>
      </c>
      <c r="J3207" s="147" t="s">
        <v>6741</v>
      </c>
      <c r="K3207" s="148" t="s">
        <v>121</v>
      </c>
      <c r="L3207" s="149">
        <v>46148</v>
      </c>
      <c r="M3207" s="148"/>
    </row>
    <row r="3208" spans="1:13" ht="15" customHeight="1">
      <c r="A3208" s="142" t="s">
        <v>7990</v>
      </c>
      <c r="B3208" s="142">
        <v>514886</v>
      </c>
      <c r="C3208" s="143" t="s">
        <v>6735</v>
      </c>
      <c r="D3208" s="142" t="s">
        <v>3370</v>
      </c>
      <c r="E3208" s="143" t="s">
        <v>4057</v>
      </c>
      <c r="F3208" s="143" t="s">
        <v>4057</v>
      </c>
      <c r="G3208" s="142" t="s">
        <v>6739</v>
      </c>
      <c r="H3208" s="142" t="s">
        <v>50</v>
      </c>
      <c r="I3208" s="143" t="s">
        <v>3391</v>
      </c>
      <c r="J3208" s="143" t="s">
        <v>6741</v>
      </c>
      <c r="K3208" s="150" t="s">
        <v>5</v>
      </c>
      <c r="L3208" s="145">
        <v>46133</v>
      </c>
      <c r="M3208" s="152" t="s">
        <v>3392</v>
      </c>
    </row>
    <row r="3209" spans="1:13" ht="15" customHeight="1">
      <c r="A3209" s="146" t="s">
        <v>7991</v>
      </c>
      <c r="B3209" s="146">
        <v>515039</v>
      </c>
      <c r="C3209" s="147" t="s">
        <v>6735</v>
      </c>
      <c r="D3209" s="146" t="s">
        <v>3370</v>
      </c>
      <c r="E3209" s="147" t="s">
        <v>3714</v>
      </c>
      <c r="F3209" s="147" t="s">
        <v>7992</v>
      </c>
      <c r="G3209" s="146" t="s">
        <v>6739</v>
      </c>
      <c r="H3209" s="146" t="s">
        <v>53</v>
      </c>
      <c r="I3209" s="147" t="s">
        <v>1110</v>
      </c>
      <c r="J3209" s="147" t="s">
        <v>6741</v>
      </c>
      <c r="K3209" s="148"/>
      <c r="L3209" s="149"/>
      <c r="M3209" s="148"/>
    </row>
    <row r="3210" spans="1:13" ht="15" customHeight="1">
      <c r="A3210" s="142" t="s">
        <v>7993</v>
      </c>
      <c r="B3210" s="142">
        <v>514599</v>
      </c>
      <c r="C3210" s="143" t="s">
        <v>6735</v>
      </c>
      <c r="D3210" s="142" t="s">
        <v>3370</v>
      </c>
      <c r="E3210" s="143" t="s">
        <v>7994</v>
      </c>
      <c r="F3210" s="143" t="s">
        <v>5282</v>
      </c>
      <c r="G3210" s="142" t="s">
        <v>6739</v>
      </c>
      <c r="H3210" s="142" t="s">
        <v>50</v>
      </c>
      <c r="I3210" s="143" t="s">
        <v>3391</v>
      </c>
      <c r="J3210" s="143" t="s">
        <v>6741</v>
      </c>
      <c r="K3210" s="144" t="s">
        <v>121</v>
      </c>
      <c r="L3210" s="145">
        <v>46140</v>
      </c>
      <c r="M3210" s="144"/>
    </row>
    <row r="3211" spans="1:13" ht="15" customHeight="1">
      <c r="A3211" s="146" t="s">
        <v>7995</v>
      </c>
      <c r="B3211" s="146">
        <v>515164</v>
      </c>
      <c r="C3211" s="147" t="s">
        <v>6735</v>
      </c>
      <c r="D3211" s="146" t="s">
        <v>3370</v>
      </c>
      <c r="E3211" s="147" t="s">
        <v>3842</v>
      </c>
      <c r="F3211" s="147" t="s">
        <v>7996</v>
      </c>
      <c r="G3211" s="146" t="s">
        <v>6739</v>
      </c>
      <c r="H3211" s="146" t="s">
        <v>53</v>
      </c>
      <c r="I3211" s="147" t="s">
        <v>1110</v>
      </c>
      <c r="J3211" s="147" t="s">
        <v>6741</v>
      </c>
      <c r="K3211" s="148"/>
      <c r="L3211" s="149"/>
      <c r="M3211" s="148"/>
    </row>
    <row r="3212" spans="1:13" ht="15" customHeight="1">
      <c r="A3212" s="142" t="s">
        <v>7997</v>
      </c>
      <c r="B3212" s="142">
        <v>515583</v>
      </c>
      <c r="C3212" s="143" t="s">
        <v>6735</v>
      </c>
      <c r="D3212" s="142" t="s">
        <v>3370</v>
      </c>
      <c r="E3212" s="143" t="s">
        <v>7998</v>
      </c>
      <c r="F3212" s="143" t="s">
        <v>7999</v>
      </c>
      <c r="G3212" s="142" t="s">
        <v>6739</v>
      </c>
      <c r="H3212" s="142" t="s">
        <v>53</v>
      </c>
      <c r="I3212" s="143" t="s">
        <v>1184</v>
      </c>
      <c r="J3212" s="143" t="s">
        <v>6741</v>
      </c>
      <c r="K3212" s="144"/>
      <c r="L3212" s="145"/>
      <c r="M3212" s="144"/>
    </row>
    <row r="3213" spans="1:13" ht="15" customHeight="1">
      <c r="A3213" s="146" t="s">
        <v>8000</v>
      </c>
      <c r="B3213" s="146">
        <v>515584</v>
      </c>
      <c r="C3213" s="147" t="s">
        <v>6735</v>
      </c>
      <c r="D3213" s="146" t="s">
        <v>3370</v>
      </c>
      <c r="E3213" s="147" t="s">
        <v>7998</v>
      </c>
      <c r="F3213" s="147" t="s">
        <v>7999</v>
      </c>
      <c r="G3213" s="146" t="s">
        <v>6739</v>
      </c>
      <c r="H3213" s="146" t="s">
        <v>53</v>
      </c>
      <c r="I3213" s="147" t="s">
        <v>1184</v>
      </c>
      <c r="J3213" s="147" t="s">
        <v>6741</v>
      </c>
      <c r="K3213" s="148"/>
      <c r="L3213" s="149"/>
      <c r="M3213" s="148"/>
    </row>
    <row r="3214" spans="1:13" ht="15" customHeight="1">
      <c r="A3214" s="142" t="s">
        <v>8001</v>
      </c>
      <c r="B3214" s="142">
        <v>514869</v>
      </c>
      <c r="C3214" s="143" t="s">
        <v>6735</v>
      </c>
      <c r="D3214" s="142" t="s">
        <v>3370</v>
      </c>
      <c r="E3214" s="143" t="s">
        <v>3371</v>
      </c>
      <c r="F3214" s="143" t="s">
        <v>1714</v>
      </c>
      <c r="G3214" s="142" t="s">
        <v>6739</v>
      </c>
      <c r="H3214" s="142" t="s">
        <v>53</v>
      </c>
      <c r="I3214" s="143" t="s">
        <v>1110</v>
      </c>
      <c r="J3214" s="143" t="s">
        <v>6741</v>
      </c>
      <c r="K3214" s="144"/>
      <c r="L3214" s="145"/>
      <c r="M3214" s="144"/>
    </row>
    <row r="3215" spans="1:13" ht="15" customHeight="1">
      <c r="A3215" s="146" t="s">
        <v>8002</v>
      </c>
      <c r="B3215" s="146">
        <v>515585</v>
      </c>
      <c r="C3215" s="147" t="s">
        <v>6735</v>
      </c>
      <c r="D3215" s="146" t="s">
        <v>3370</v>
      </c>
      <c r="E3215" s="147" t="s">
        <v>7998</v>
      </c>
      <c r="F3215" s="147" t="s">
        <v>7999</v>
      </c>
      <c r="G3215" s="146" t="s">
        <v>6739</v>
      </c>
      <c r="H3215" s="146" t="s">
        <v>53</v>
      </c>
      <c r="I3215" s="147" t="s">
        <v>1184</v>
      </c>
      <c r="J3215" s="147" t="s">
        <v>6741</v>
      </c>
      <c r="K3215" s="148"/>
      <c r="L3215" s="149"/>
      <c r="M3215" s="148"/>
    </row>
    <row r="3216" spans="1:13" ht="15" customHeight="1">
      <c r="A3216" s="142" t="s">
        <v>8003</v>
      </c>
      <c r="B3216" s="142">
        <v>514652</v>
      </c>
      <c r="C3216" s="143" t="s">
        <v>6735</v>
      </c>
      <c r="D3216" s="142" t="s">
        <v>3370</v>
      </c>
      <c r="E3216" s="143" t="s">
        <v>3685</v>
      </c>
      <c r="F3216" s="143" t="s">
        <v>8004</v>
      </c>
      <c r="G3216" s="142" t="s">
        <v>6739</v>
      </c>
      <c r="H3216" s="142" t="s">
        <v>53</v>
      </c>
      <c r="I3216" s="143" t="s">
        <v>1184</v>
      </c>
      <c r="J3216" s="143" t="s">
        <v>6741</v>
      </c>
      <c r="K3216" s="144"/>
      <c r="L3216" s="145"/>
      <c r="M3216" s="144"/>
    </row>
    <row r="3217" spans="1:13" ht="15" customHeight="1">
      <c r="A3217" s="146" t="s">
        <v>8005</v>
      </c>
      <c r="B3217" s="146">
        <v>514936</v>
      </c>
      <c r="C3217" s="147" t="s">
        <v>6735</v>
      </c>
      <c r="D3217" s="146" t="s">
        <v>3370</v>
      </c>
      <c r="E3217" s="147" t="s">
        <v>3576</v>
      </c>
      <c r="F3217" s="147" t="s">
        <v>3577</v>
      </c>
      <c r="G3217" s="146" t="s">
        <v>6739</v>
      </c>
      <c r="H3217" s="146" t="s">
        <v>53</v>
      </c>
      <c r="I3217" s="147" t="s">
        <v>1110</v>
      </c>
      <c r="J3217" s="147" t="s">
        <v>6741</v>
      </c>
      <c r="K3217" s="148"/>
      <c r="L3217" s="149"/>
      <c r="M3217" s="148"/>
    </row>
    <row r="3218" spans="1:13" ht="15" customHeight="1">
      <c r="A3218" s="142" t="s">
        <v>8006</v>
      </c>
      <c r="B3218" s="142">
        <v>516219</v>
      </c>
      <c r="C3218" s="143" t="s">
        <v>6735</v>
      </c>
      <c r="D3218" s="142" t="s">
        <v>3370</v>
      </c>
      <c r="E3218" s="143" t="s">
        <v>3460</v>
      </c>
      <c r="F3218" s="143" t="s">
        <v>4002</v>
      </c>
      <c r="G3218" s="142" t="s">
        <v>6739</v>
      </c>
      <c r="H3218" s="142" t="s">
        <v>53</v>
      </c>
      <c r="I3218" s="143" t="s">
        <v>1110</v>
      </c>
      <c r="J3218" s="143" t="s">
        <v>6741</v>
      </c>
      <c r="K3218" s="144"/>
      <c r="L3218" s="145"/>
      <c r="M3218" s="144"/>
    </row>
    <row r="3219" spans="1:13" ht="15" customHeight="1">
      <c r="A3219" s="146" t="s">
        <v>8007</v>
      </c>
      <c r="B3219" s="146">
        <v>514772</v>
      </c>
      <c r="C3219" s="147" t="s">
        <v>6735</v>
      </c>
      <c r="D3219" s="146" t="s">
        <v>3370</v>
      </c>
      <c r="E3219" s="147" t="s">
        <v>3375</v>
      </c>
      <c r="F3219" s="147" t="s">
        <v>3376</v>
      </c>
      <c r="G3219" s="146" t="s">
        <v>6739</v>
      </c>
      <c r="H3219" s="146" t="s">
        <v>53</v>
      </c>
      <c r="I3219" s="147" t="s">
        <v>1184</v>
      </c>
      <c r="J3219" s="147" t="s">
        <v>6741</v>
      </c>
      <c r="K3219" s="148"/>
      <c r="L3219" s="149"/>
      <c r="M3219" s="148"/>
    </row>
    <row r="3220" spans="1:13" ht="15" customHeight="1">
      <c r="A3220" s="142" t="s">
        <v>8008</v>
      </c>
      <c r="B3220" s="142">
        <v>514729</v>
      </c>
      <c r="C3220" s="143" t="s">
        <v>6735</v>
      </c>
      <c r="D3220" s="142" t="s">
        <v>3370</v>
      </c>
      <c r="E3220" s="143" t="s">
        <v>3416</v>
      </c>
      <c r="F3220" s="143" t="s">
        <v>4511</v>
      </c>
      <c r="G3220" s="142" t="s">
        <v>6739</v>
      </c>
      <c r="H3220" s="142" t="s">
        <v>53</v>
      </c>
      <c r="I3220" s="143" t="s">
        <v>1110</v>
      </c>
      <c r="J3220" s="143" t="s">
        <v>6741</v>
      </c>
      <c r="K3220" s="144"/>
      <c r="L3220" s="145"/>
      <c r="M3220" s="144"/>
    </row>
    <row r="3221" spans="1:13" ht="15" customHeight="1">
      <c r="A3221" s="146" t="s">
        <v>8009</v>
      </c>
      <c r="B3221" s="146">
        <v>514711</v>
      </c>
      <c r="C3221" s="147" t="s">
        <v>6735</v>
      </c>
      <c r="D3221" s="146" t="s">
        <v>3370</v>
      </c>
      <c r="E3221" s="147" t="s">
        <v>1244</v>
      </c>
      <c r="F3221" s="147" t="s">
        <v>3591</v>
      </c>
      <c r="G3221" s="146" t="s">
        <v>6739</v>
      </c>
      <c r="H3221" s="146" t="s">
        <v>53</v>
      </c>
      <c r="I3221" s="147" t="s">
        <v>1184</v>
      </c>
      <c r="J3221" s="147" t="s">
        <v>6741</v>
      </c>
      <c r="K3221" s="148"/>
      <c r="L3221" s="149"/>
      <c r="M3221" s="148"/>
    </row>
    <row r="3222" spans="1:13" ht="15" customHeight="1">
      <c r="A3222" s="142" t="s">
        <v>8010</v>
      </c>
      <c r="B3222" s="142">
        <v>515264</v>
      </c>
      <c r="C3222" s="143" t="s">
        <v>6735</v>
      </c>
      <c r="D3222" s="142" t="s">
        <v>3370</v>
      </c>
      <c r="E3222" s="143" t="s">
        <v>3699</v>
      </c>
      <c r="F3222" s="143" t="s">
        <v>8011</v>
      </c>
      <c r="G3222" s="142" t="s">
        <v>6739</v>
      </c>
      <c r="H3222" s="142" t="s">
        <v>50</v>
      </c>
      <c r="I3222" s="143" t="s">
        <v>3391</v>
      </c>
      <c r="J3222" s="143" t="s">
        <v>6741</v>
      </c>
      <c r="K3222" s="144" t="s">
        <v>121</v>
      </c>
      <c r="L3222" s="145">
        <v>46149</v>
      </c>
      <c r="M3222" s="144"/>
    </row>
    <row r="3223" spans="1:13" ht="15" customHeight="1">
      <c r="A3223" s="146" t="s">
        <v>8012</v>
      </c>
      <c r="B3223" s="146">
        <v>514907</v>
      </c>
      <c r="C3223" s="147" t="s">
        <v>6735</v>
      </c>
      <c r="D3223" s="146" t="s">
        <v>3370</v>
      </c>
      <c r="E3223" s="147" t="s">
        <v>3389</v>
      </c>
      <c r="F3223" s="147" t="s">
        <v>8013</v>
      </c>
      <c r="G3223" s="146" t="s">
        <v>6739</v>
      </c>
      <c r="H3223" s="146" t="s">
        <v>50</v>
      </c>
      <c r="I3223" s="147" t="s">
        <v>3391</v>
      </c>
      <c r="J3223" s="147" t="s">
        <v>6741</v>
      </c>
      <c r="K3223" s="150" t="s">
        <v>5</v>
      </c>
      <c r="L3223" s="149">
        <v>46112</v>
      </c>
      <c r="M3223" s="151" t="s">
        <v>3392</v>
      </c>
    </row>
    <row r="3224" spans="1:13" ht="15" customHeight="1">
      <c r="A3224" s="142" t="s">
        <v>8014</v>
      </c>
      <c r="B3224" s="142">
        <v>514925</v>
      </c>
      <c r="C3224" s="143" t="s">
        <v>6735</v>
      </c>
      <c r="D3224" s="142" t="s">
        <v>3370</v>
      </c>
      <c r="E3224" s="143" t="s">
        <v>3379</v>
      </c>
      <c r="F3224" s="143" t="s">
        <v>3379</v>
      </c>
      <c r="G3224" s="142" t="s">
        <v>6739</v>
      </c>
      <c r="H3224" s="142" t="s">
        <v>53</v>
      </c>
      <c r="I3224" s="143" t="s">
        <v>1110</v>
      </c>
      <c r="J3224" s="143" t="s">
        <v>6741</v>
      </c>
      <c r="K3224" s="144"/>
      <c r="L3224" s="145"/>
      <c r="M3224" s="144"/>
    </row>
    <row r="3225" spans="1:13" ht="15" customHeight="1">
      <c r="A3225" s="146" t="s">
        <v>8015</v>
      </c>
      <c r="B3225" s="146">
        <v>516046</v>
      </c>
      <c r="C3225" s="147" t="s">
        <v>6735</v>
      </c>
      <c r="D3225" s="146" t="s">
        <v>3370</v>
      </c>
      <c r="E3225" s="147" t="s">
        <v>3832</v>
      </c>
      <c r="F3225" s="147" t="s">
        <v>7671</v>
      </c>
      <c r="G3225" s="146" t="s">
        <v>6739</v>
      </c>
      <c r="H3225" s="146" t="s">
        <v>50</v>
      </c>
      <c r="I3225" s="147" t="s">
        <v>3391</v>
      </c>
      <c r="J3225" s="147" t="s">
        <v>6741</v>
      </c>
      <c r="K3225" s="150" t="s">
        <v>5</v>
      </c>
      <c r="L3225" s="149">
        <v>46125</v>
      </c>
      <c r="M3225" s="151" t="s">
        <v>3392</v>
      </c>
    </row>
    <row r="3226" spans="1:13" ht="15" customHeight="1">
      <c r="A3226" s="142" t="s">
        <v>8016</v>
      </c>
      <c r="B3226" s="142">
        <v>515815</v>
      </c>
      <c r="C3226" s="143" t="s">
        <v>6735</v>
      </c>
      <c r="D3226" s="142" t="s">
        <v>3370</v>
      </c>
      <c r="E3226" s="143" t="s">
        <v>3385</v>
      </c>
      <c r="F3226" s="143" t="s">
        <v>3385</v>
      </c>
      <c r="G3226" s="142" t="s">
        <v>6739</v>
      </c>
      <c r="H3226" s="142" t="s">
        <v>53</v>
      </c>
      <c r="I3226" s="143" t="s">
        <v>1184</v>
      </c>
      <c r="J3226" s="143" t="s">
        <v>6741</v>
      </c>
      <c r="K3226" s="144"/>
      <c r="L3226" s="145"/>
      <c r="M3226" s="144"/>
    </row>
    <row r="3227" spans="1:13" ht="15" customHeight="1">
      <c r="A3227" s="146" t="s">
        <v>8017</v>
      </c>
      <c r="B3227" s="146">
        <v>514981</v>
      </c>
      <c r="C3227" s="147" t="s">
        <v>6735</v>
      </c>
      <c r="D3227" s="146" t="s">
        <v>3370</v>
      </c>
      <c r="E3227" s="147" t="s">
        <v>3385</v>
      </c>
      <c r="F3227" s="147" t="s">
        <v>3385</v>
      </c>
      <c r="G3227" s="146" t="s">
        <v>6739</v>
      </c>
      <c r="H3227" s="146" t="s">
        <v>53</v>
      </c>
      <c r="I3227" s="147" t="s">
        <v>1110</v>
      </c>
      <c r="J3227" s="147" t="s">
        <v>6741</v>
      </c>
      <c r="K3227" s="148"/>
      <c r="L3227" s="149"/>
      <c r="M3227" s="148"/>
    </row>
    <row r="3228" spans="1:13" ht="15" customHeight="1">
      <c r="A3228" s="142" t="s">
        <v>8018</v>
      </c>
      <c r="B3228" s="142">
        <v>515528</v>
      </c>
      <c r="C3228" s="143" t="s">
        <v>6735</v>
      </c>
      <c r="D3228" s="142" t="s">
        <v>3370</v>
      </c>
      <c r="E3228" s="143" t="s">
        <v>3385</v>
      </c>
      <c r="F3228" s="143" t="s">
        <v>3385</v>
      </c>
      <c r="G3228" s="142" t="s">
        <v>6739</v>
      </c>
      <c r="H3228" s="142" t="s">
        <v>53</v>
      </c>
      <c r="I3228" s="143" t="s">
        <v>1184</v>
      </c>
      <c r="J3228" s="143" t="s">
        <v>6741</v>
      </c>
      <c r="K3228" s="144"/>
      <c r="L3228" s="145"/>
      <c r="M3228" s="144"/>
    </row>
    <row r="3229" spans="1:13" ht="15" customHeight="1">
      <c r="A3229" s="146" t="s">
        <v>8019</v>
      </c>
      <c r="B3229" s="146">
        <v>514946</v>
      </c>
      <c r="C3229" s="147" t="s">
        <v>6735</v>
      </c>
      <c r="D3229" s="146" t="s">
        <v>3370</v>
      </c>
      <c r="E3229" s="147" t="s">
        <v>3385</v>
      </c>
      <c r="F3229" s="147" t="s">
        <v>3385</v>
      </c>
      <c r="G3229" s="146" t="s">
        <v>6739</v>
      </c>
      <c r="H3229" s="146" t="s">
        <v>53</v>
      </c>
      <c r="I3229" s="147" t="s">
        <v>1184</v>
      </c>
      <c r="J3229" s="147" t="s">
        <v>6741</v>
      </c>
      <c r="K3229" s="148"/>
      <c r="L3229" s="149"/>
      <c r="M3229" s="148"/>
    </row>
    <row r="3230" spans="1:13" ht="15" customHeight="1">
      <c r="A3230" s="142" t="s">
        <v>8020</v>
      </c>
      <c r="B3230" s="142">
        <v>514746</v>
      </c>
      <c r="C3230" s="143" t="s">
        <v>6735</v>
      </c>
      <c r="D3230" s="142" t="s">
        <v>3370</v>
      </c>
      <c r="E3230" s="143" t="s">
        <v>3404</v>
      </c>
      <c r="F3230" s="143" t="s">
        <v>3404</v>
      </c>
      <c r="G3230" s="142" t="s">
        <v>6739</v>
      </c>
      <c r="H3230" s="142" t="s">
        <v>53</v>
      </c>
      <c r="I3230" s="143" t="s">
        <v>1110</v>
      </c>
      <c r="J3230" s="143" t="s">
        <v>6741</v>
      </c>
      <c r="K3230" s="144"/>
      <c r="L3230" s="145"/>
      <c r="M3230" s="144"/>
    </row>
    <row r="3231" spans="1:13" ht="15" customHeight="1">
      <c r="A3231" s="146" t="s">
        <v>8021</v>
      </c>
      <c r="B3231" s="146">
        <v>514747</v>
      </c>
      <c r="C3231" s="147" t="s">
        <v>6735</v>
      </c>
      <c r="D3231" s="146" t="s">
        <v>3370</v>
      </c>
      <c r="E3231" s="147" t="s">
        <v>3404</v>
      </c>
      <c r="F3231" s="147" t="s">
        <v>3404</v>
      </c>
      <c r="G3231" s="146" t="s">
        <v>6739</v>
      </c>
      <c r="H3231" s="146" t="s">
        <v>53</v>
      </c>
      <c r="I3231" s="147" t="s">
        <v>1110</v>
      </c>
      <c r="J3231" s="147" t="s">
        <v>6741</v>
      </c>
      <c r="K3231" s="148"/>
      <c r="L3231" s="149"/>
      <c r="M3231" s="148"/>
    </row>
    <row r="3232" spans="1:13" ht="15" customHeight="1">
      <c r="A3232" s="142" t="s">
        <v>8022</v>
      </c>
      <c r="B3232" s="142">
        <v>514790</v>
      </c>
      <c r="C3232" s="143" t="s">
        <v>6735</v>
      </c>
      <c r="D3232" s="142" t="s">
        <v>3370</v>
      </c>
      <c r="E3232" s="143" t="s">
        <v>7998</v>
      </c>
      <c r="F3232" s="143" t="s">
        <v>7998</v>
      </c>
      <c r="G3232" s="142" t="s">
        <v>6739</v>
      </c>
      <c r="H3232" s="142" t="s">
        <v>53</v>
      </c>
      <c r="I3232" s="143" t="s">
        <v>1184</v>
      </c>
      <c r="J3232" s="143" t="s">
        <v>6741</v>
      </c>
      <c r="K3232" s="144"/>
      <c r="L3232" s="145"/>
      <c r="M3232" s="144"/>
    </row>
    <row r="3233" spans="1:13" ht="15" customHeight="1">
      <c r="A3233" s="146" t="s">
        <v>8023</v>
      </c>
      <c r="B3233" s="146">
        <v>514567</v>
      </c>
      <c r="C3233" s="147" t="s">
        <v>6735</v>
      </c>
      <c r="D3233" s="146" t="s">
        <v>3370</v>
      </c>
      <c r="E3233" s="147" t="s">
        <v>3404</v>
      </c>
      <c r="F3233" s="147" t="s">
        <v>3404</v>
      </c>
      <c r="G3233" s="146" t="s">
        <v>6739</v>
      </c>
      <c r="H3233" s="146" t="s">
        <v>53</v>
      </c>
      <c r="I3233" s="147" t="s">
        <v>1110</v>
      </c>
      <c r="J3233" s="147" t="s">
        <v>6741</v>
      </c>
      <c r="K3233" s="148"/>
      <c r="L3233" s="149"/>
      <c r="M3233" s="148"/>
    </row>
    <row r="3234" spans="1:13" ht="15" customHeight="1">
      <c r="A3234" s="142" t="s">
        <v>8024</v>
      </c>
      <c r="B3234" s="142">
        <v>514791</v>
      </c>
      <c r="C3234" s="143" t="s">
        <v>6735</v>
      </c>
      <c r="D3234" s="142" t="s">
        <v>3370</v>
      </c>
      <c r="E3234" s="143" t="s">
        <v>7998</v>
      </c>
      <c r="F3234" s="143" t="s">
        <v>7998</v>
      </c>
      <c r="G3234" s="142" t="s">
        <v>6739</v>
      </c>
      <c r="H3234" s="142" t="s">
        <v>53</v>
      </c>
      <c r="I3234" s="143" t="s">
        <v>1184</v>
      </c>
      <c r="J3234" s="143" t="s">
        <v>6741</v>
      </c>
      <c r="K3234" s="144"/>
      <c r="L3234" s="145"/>
      <c r="M3234" s="144"/>
    </row>
    <row r="3235" spans="1:13" ht="15" customHeight="1">
      <c r="A3235" s="146" t="s">
        <v>8025</v>
      </c>
      <c r="B3235" s="146">
        <v>515057</v>
      </c>
      <c r="C3235" s="147" t="s">
        <v>6735</v>
      </c>
      <c r="D3235" s="146" t="s">
        <v>3370</v>
      </c>
      <c r="E3235" s="147" t="s">
        <v>7839</v>
      </c>
      <c r="F3235" s="147" t="s">
        <v>7839</v>
      </c>
      <c r="G3235" s="146" t="s">
        <v>6739</v>
      </c>
      <c r="H3235" s="146" t="s">
        <v>53</v>
      </c>
      <c r="I3235" s="147" t="s">
        <v>1110</v>
      </c>
      <c r="J3235" s="147" t="s">
        <v>6741</v>
      </c>
      <c r="K3235" s="148"/>
      <c r="L3235" s="149"/>
      <c r="M3235" s="148"/>
    </row>
    <row r="3236" spans="1:13" ht="15" customHeight="1">
      <c r="A3236" s="142" t="s">
        <v>8026</v>
      </c>
      <c r="B3236" s="142">
        <v>514792</v>
      </c>
      <c r="C3236" s="143" t="s">
        <v>6735</v>
      </c>
      <c r="D3236" s="142" t="s">
        <v>3370</v>
      </c>
      <c r="E3236" s="143" t="s">
        <v>7998</v>
      </c>
      <c r="F3236" s="143" t="s">
        <v>7998</v>
      </c>
      <c r="G3236" s="142" t="s">
        <v>6739</v>
      </c>
      <c r="H3236" s="142" t="s">
        <v>53</v>
      </c>
      <c r="I3236" s="143" t="s">
        <v>1184</v>
      </c>
      <c r="J3236" s="143" t="s">
        <v>6741</v>
      </c>
      <c r="K3236" s="144"/>
      <c r="L3236" s="145"/>
      <c r="M3236" s="144"/>
    </row>
    <row r="3237" spans="1:13" ht="15" customHeight="1">
      <c r="A3237" s="146" t="s">
        <v>8027</v>
      </c>
      <c r="B3237" s="146">
        <v>515326</v>
      </c>
      <c r="C3237" s="147" t="s">
        <v>6735</v>
      </c>
      <c r="D3237" s="146" t="s">
        <v>3370</v>
      </c>
      <c r="E3237" s="147" t="s">
        <v>3651</v>
      </c>
      <c r="F3237" s="147" t="s">
        <v>8028</v>
      </c>
      <c r="G3237" s="146" t="s">
        <v>6739</v>
      </c>
      <c r="H3237" s="146" t="s">
        <v>53</v>
      </c>
      <c r="I3237" s="147" t="s">
        <v>1110</v>
      </c>
      <c r="J3237" s="147" t="s">
        <v>6741</v>
      </c>
      <c r="K3237" s="148"/>
      <c r="L3237" s="149"/>
      <c r="M3237" s="148"/>
    </row>
    <row r="3238" spans="1:13" ht="15" customHeight="1">
      <c r="A3238" s="142" t="s">
        <v>8029</v>
      </c>
      <c r="B3238" s="142">
        <v>514870</v>
      </c>
      <c r="C3238" s="143" t="s">
        <v>6735</v>
      </c>
      <c r="D3238" s="142" t="s">
        <v>3370</v>
      </c>
      <c r="E3238" s="143" t="s">
        <v>3379</v>
      </c>
      <c r="F3238" s="143" t="s">
        <v>3379</v>
      </c>
      <c r="G3238" s="142" t="s">
        <v>6739</v>
      </c>
      <c r="H3238" s="142" t="s">
        <v>53</v>
      </c>
      <c r="I3238" s="143" t="s">
        <v>1110</v>
      </c>
      <c r="J3238" s="143" t="s">
        <v>6741</v>
      </c>
      <c r="K3238" s="144"/>
      <c r="L3238" s="145"/>
      <c r="M3238" s="144"/>
    </row>
    <row r="3239" spans="1:13" ht="15" customHeight="1">
      <c r="A3239" s="146" t="s">
        <v>8030</v>
      </c>
      <c r="B3239" s="146">
        <v>514600</v>
      </c>
      <c r="C3239" s="147" t="s">
        <v>6735</v>
      </c>
      <c r="D3239" s="146" t="s">
        <v>3370</v>
      </c>
      <c r="E3239" s="147" t="s">
        <v>7994</v>
      </c>
      <c r="F3239" s="147" t="s">
        <v>5282</v>
      </c>
      <c r="G3239" s="146" t="s">
        <v>6739</v>
      </c>
      <c r="H3239" s="146" t="s">
        <v>50</v>
      </c>
      <c r="I3239" s="147" t="s">
        <v>3391</v>
      </c>
      <c r="J3239" s="147" t="s">
        <v>6741</v>
      </c>
      <c r="K3239" s="148" t="s">
        <v>121</v>
      </c>
      <c r="L3239" s="149">
        <v>46140</v>
      </c>
      <c r="M3239" s="148"/>
    </row>
    <row r="3240" spans="1:13" ht="15" customHeight="1">
      <c r="A3240" s="142" t="s">
        <v>8031</v>
      </c>
      <c r="B3240" s="142">
        <v>514793</v>
      </c>
      <c r="C3240" s="143" t="s">
        <v>6735</v>
      </c>
      <c r="D3240" s="142" t="s">
        <v>3370</v>
      </c>
      <c r="E3240" s="143" t="s">
        <v>7998</v>
      </c>
      <c r="F3240" s="143" t="s">
        <v>7998</v>
      </c>
      <c r="G3240" s="142" t="s">
        <v>6739</v>
      </c>
      <c r="H3240" s="142" t="s">
        <v>53</v>
      </c>
      <c r="I3240" s="143" t="s">
        <v>1184</v>
      </c>
      <c r="J3240" s="143" t="s">
        <v>6741</v>
      </c>
      <c r="K3240" s="144"/>
      <c r="L3240" s="145"/>
      <c r="M3240" s="144"/>
    </row>
    <row r="3241" spans="1:13" ht="15" customHeight="1">
      <c r="A3241" s="146" t="s">
        <v>8032</v>
      </c>
      <c r="B3241" s="146">
        <v>515862</v>
      </c>
      <c r="C3241" s="147" t="s">
        <v>6735</v>
      </c>
      <c r="D3241" s="146" t="s">
        <v>3370</v>
      </c>
      <c r="E3241" s="147" t="s">
        <v>3696</v>
      </c>
      <c r="F3241" s="147" t="s">
        <v>8033</v>
      </c>
      <c r="G3241" s="146" t="s">
        <v>6739</v>
      </c>
      <c r="H3241" s="146" t="s">
        <v>50</v>
      </c>
      <c r="I3241" s="147" t="s">
        <v>3391</v>
      </c>
      <c r="J3241" s="147" t="s">
        <v>6741</v>
      </c>
      <c r="K3241" s="148" t="s">
        <v>121</v>
      </c>
      <c r="L3241" s="149">
        <v>46141</v>
      </c>
      <c r="M3241" s="148"/>
    </row>
    <row r="3242" spans="1:13" ht="15" customHeight="1">
      <c r="A3242" s="142" t="s">
        <v>8034</v>
      </c>
      <c r="B3242" s="142">
        <v>514970</v>
      </c>
      <c r="C3242" s="143" t="s">
        <v>6735</v>
      </c>
      <c r="D3242" s="142" t="s">
        <v>3370</v>
      </c>
      <c r="E3242" s="143" t="s">
        <v>3696</v>
      </c>
      <c r="F3242" s="143" t="s">
        <v>8035</v>
      </c>
      <c r="G3242" s="142" t="s">
        <v>6739</v>
      </c>
      <c r="H3242" s="142" t="s">
        <v>50</v>
      </c>
      <c r="I3242" s="143" t="s">
        <v>3391</v>
      </c>
      <c r="J3242" s="143" t="s">
        <v>6741</v>
      </c>
      <c r="K3242" s="150" t="s">
        <v>5</v>
      </c>
      <c r="L3242" s="145">
        <v>46121</v>
      </c>
      <c r="M3242" s="152" t="s">
        <v>3392</v>
      </c>
    </row>
    <row r="3243" spans="1:13" ht="15" customHeight="1">
      <c r="A3243" s="146" t="s">
        <v>8036</v>
      </c>
      <c r="B3243" s="146">
        <v>514805</v>
      </c>
      <c r="C3243" s="147" t="s">
        <v>6735</v>
      </c>
      <c r="D3243" s="146" t="s">
        <v>3370</v>
      </c>
      <c r="E3243" s="147" t="s">
        <v>3379</v>
      </c>
      <c r="F3243" s="147" t="s">
        <v>3379</v>
      </c>
      <c r="G3243" s="146" t="s">
        <v>6739</v>
      </c>
      <c r="H3243" s="146" t="s">
        <v>53</v>
      </c>
      <c r="I3243" s="147" t="s">
        <v>1110</v>
      </c>
      <c r="J3243" s="147" t="s">
        <v>6741</v>
      </c>
      <c r="K3243" s="148"/>
      <c r="L3243" s="149"/>
      <c r="M3243" s="148"/>
    </row>
    <row r="3244" spans="1:13" ht="15" customHeight="1">
      <c r="A3244" s="142" t="s">
        <v>8037</v>
      </c>
      <c r="B3244" s="142">
        <v>515529</v>
      </c>
      <c r="C3244" s="143" t="s">
        <v>6735</v>
      </c>
      <c r="D3244" s="142" t="s">
        <v>3370</v>
      </c>
      <c r="E3244" s="143" t="s">
        <v>3385</v>
      </c>
      <c r="F3244" s="143" t="s">
        <v>3385</v>
      </c>
      <c r="G3244" s="142" t="s">
        <v>6739</v>
      </c>
      <c r="H3244" s="142" t="s">
        <v>53</v>
      </c>
      <c r="I3244" s="143" t="s">
        <v>1184</v>
      </c>
      <c r="J3244" s="143" t="s">
        <v>6741</v>
      </c>
      <c r="K3244" s="144"/>
      <c r="L3244" s="145"/>
      <c r="M3244" s="144"/>
    </row>
    <row r="3245" spans="1:13" ht="15" customHeight="1">
      <c r="A3245" s="146" t="s">
        <v>8038</v>
      </c>
      <c r="B3245" s="146">
        <v>514568</v>
      </c>
      <c r="C3245" s="147" t="s">
        <v>6735</v>
      </c>
      <c r="D3245" s="146" t="s">
        <v>3370</v>
      </c>
      <c r="E3245" s="147" t="s">
        <v>3404</v>
      </c>
      <c r="F3245" s="147" t="s">
        <v>3404</v>
      </c>
      <c r="G3245" s="146" t="s">
        <v>6739</v>
      </c>
      <c r="H3245" s="146" t="s">
        <v>53</v>
      </c>
      <c r="I3245" s="147" t="s">
        <v>1110</v>
      </c>
      <c r="J3245" s="147" t="s">
        <v>6741</v>
      </c>
      <c r="K3245" s="148"/>
      <c r="L3245" s="149"/>
      <c r="M3245" s="148"/>
    </row>
    <row r="3246" spans="1:13" ht="15" customHeight="1">
      <c r="A3246" s="142" t="s">
        <v>8039</v>
      </c>
      <c r="B3246" s="142">
        <v>514794</v>
      </c>
      <c r="C3246" s="143" t="s">
        <v>6735</v>
      </c>
      <c r="D3246" s="142" t="s">
        <v>3370</v>
      </c>
      <c r="E3246" s="143" t="s">
        <v>7998</v>
      </c>
      <c r="F3246" s="143" t="s">
        <v>7998</v>
      </c>
      <c r="G3246" s="142" t="s">
        <v>6739</v>
      </c>
      <c r="H3246" s="142" t="s">
        <v>53</v>
      </c>
      <c r="I3246" s="143" t="s">
        <v>1184</v>
      </c>
      <c r="J3246" s="143" t="s">
        <v>6741</v>
      </c>
      <c r="K3246" s="144"/>
      <c r="L3246" s="145"/>
      <c r="M3246" s="144"/>
    </row>
    <row r="3247" spans="1:13" ht="15" customHeight="1">
      <c r="A3247" s="146" t="s">
        <v>8040</v>
      </c>
      <c r="B3247" s="146">
        <v>518212</v>
      </c>
      <c r="C3247" s="147" t="s">
        <v>6735</v>
      </c>
      <c r="D3247" s="146" t="s">
        <v>3370</v>
      </c>
      <c r="E3247" s="147" t="s">
        <v>3797</v>
      </c>
      <c r="F3247" s="147" t="s">
        <v>8041</v>
      </c>
      <c r="G3247" s="146" t="s">
        <v>6739</v>
      </c>
      <c r="H3247" s="146" t="s">
        <v>50</v>
      </c>
      <c r="I3247" s="147" t="s">
        <v>1532</v>
      </c>
      <c r="J3247" s="147" t="s">
        <v>6741</v>
      </c>
      <c r="K3247" s="148" t="s">
        <v>121</v>
      </c>
      <c r="L3247" s="149">
        <v>46146</v>
      </c>
      <c r="M3247" s="148"/>
    </row>
    <row r="3248" spans="1:13" ht="15" customHeight="1">
      <c r="A3248" s="142" t="s">
        <v>8042</v>
      </c>
      <c r="B3248" s="142">
        <v>515175</v>
      </c>
      <c r="C3248" s="143" t="s">
        <v>6735</v>
      </c>
      <c r="D3248" s="142" t="s">
        <v>3370</v>
      </c>
      <c r="E3248" s="143" t="s">
        <v>3967</v>
      </c>
      <c r="F3248" s="143" t="s">
        <v>8043</v>
      </c>
      <c r="G3248" s="142" t="s">
        <v>6739</v>
      </c>
      <c r="H3248" s="142" t="s">
        <v>53</v>
      </c>
      <c r="I3248" s="143" t="s">
        <v>1110</v>
      </c>
      <c r="J3248" s="143" t="s">
        <v>6741</v>
      </c>
      <c r="K3248" s="144"/>
      <c r="L3248" s="145"/>
      <c r="M3248" s="144"/>
    </row>
    <row r="3249" spans="1:13" ht="15" customHeight="1">
      <c r="A3249" s="146" t="s">
        <v>8044</v>
      </c>
      <c r="B3249" s="146">
        <v>514908</v>
      </c>
      <c r="C3249" s="147" t="s">
        <v>6735</v>
      </c>
      <c r="D3249" s="146" t="s">
        <v>3370</v>
      </c>
      <c r="E3249" s="147" t="s">
        <v>3856</v>
      </c>
      <c r="F3249" s="147" t="s">
        <v>8045</v>
      </c>
      <c r="G3249" s="146" t="s">
        <v>6739</v>
      </c>
      <c r="H3249" s="146" t="s">
        <v>50</v>
      </c>
      <c r="I3249" s="147" t="s">
        <v>3391</v>
      </c>
      <c r="J3249" s="147" t="s">
        <v>6741</v>
      </c>
      <c r="K3249" s="148" t="s">
        <v>121</v>
      </c>
      <c r="L3249" s="149">
        <v>46142</v>
      </c>
      <c r="M3249" s="148"/>
    </row>
    <row r="3250" spans="1:13" ht="15" customHeight="1">
      <c r="A3250" s="142" t="s">
        <v>8046</v>
      </c>
      <c r="B3250" s="142">
        <v>514939</v>
      </c>
      <c r="C3250" s="143" t="s">
        <v>6735</v>
      </c>
      <c r="D3250" s="142" t="s">
        <v>3370</v>
      </c>
      <c r="E3250" s="143" t="s">
        <v>3385</v>
      </c>
      <c r="F3250" s="143" t="s">
        <v>3385</v>
      </c>
      <c r="G3250" s="142" t="s">
        <v>6739</v>
      </c>
      <c r="H3250" s="142" t="s">
        <v>53</v>
      </c>
      <c r="I3250" s="143" t="s">
        <v>1184</v>
      </c>
      <c r="J3250" s="143" t="s">
        <v>6741</v>
      </c>
      <c r="K3250" s="144" t="s">
        <v>121</v>
      </c>
      <c r="L3250" s="145">
        <v>46148</v>
      </c>
      <c r="M3250" s="144"/>
    </row>
    <row r="3251" spans="1:13" ht="15" customHeight="1">
      <c r="A3251" s="146" t="s">
        <v>8047</v>
      </c>
      <c r="B3251" s="146">
        <v>514874</v>
      </c>
      <c r="C3251" s="147" t="s">
        <v>6735</v>
      </c>
      <c r="D3251" s="146" t="s">
        <v>3370</v>
      </c>
      <c r="E3251" s="147" t="s">
        <v>3561</v>
      </c>
      <c r="F3251" s="147" t="s">
        <v>3561</v>
      </c>
      <c r="G3251" s="146" t="s">
        <v>6739</v>
      </c>
      <c r="H3251" s="146" t="s">
        <v>53</v>
      </c>
      <c r="I3251" s="147" t="s">
        <v>1110</v>
      </c>
      <c r="J3251" s="147" t="s">
        <v>6741</v>
      </c>
      <c r="K3251" s="148"/>
      <c r="L3251" s="149"/>
      <c r="M3251" s="148"/>
    </row>
    <row r="3252" spans="1:13" ht="15" customHeight="1">
      <c r="A3252" s="142" t="s">
        <v>8048</v>
      </c>
      <c r="B3252" s="142">
        <v>515008</v>
      </c>
      <c r="C3252" s="143" t="s">
        <v>6735</v>
      </c>
      <c r="D3252" s="142" t="s">
        <v>3370</v>
      </c>
      <c r="E3252" s="143" t="s">
        <v>3384</v>
      </c>
      <c r="F3252" s="143" t="s">
        <v>3435</v>
      </c>
      <c r="G3252" s="142" t="s">
        <v>6739</v>
      </c>
      <c r="H3252" s="142" t="s">
        <v>53</v>
      </c>
      <c r="I3252" s="143" t="s">
        <v>1110</v>
      </c>
      <c r="J3252" s="143" t="s">
        <v>6741</v>
      </c>
      <c r="K3252" s="144"/>
      <c r="L3252" s="145"/>
      <c r="M3252" s="144"/>
    </row>
    <row r="3253" spans="1:13" ht="15" customHeight="1">
      <c r="A3253" s="146" t="s">
        <v>8049</v>
      </c>
      <c r="B3253" s="146">
        <v>514722</v>
      </c>
      <c r="C3253" s="147" t="s">
        <v>6735</v>
      </c>
      <c r="D3253" s="146" t="s">
        <v>3370</v>
      </c>
      <c r="E3253" s="147" t="s">
        <v>324</v>
      </c>
      <c r="F3253" s="147" t="s">
        <v>7824</v>
      </c>
      <c r="G3253" s="146" t="s">
        <v>6739</v>
      </c>
      <c r="H3253" s="146" t="s">
        <v>53</v>
      </c>
      <c r="I3253" s="147" t="s">
        <v>1110</v>
      </c>
      <c r="J3253" s="147" t="s">
        <v>6741</v>
      </c>
      <c r="K3253" s="148"/>
      <c r="L3253" s="149"/>
      <c r="M3253" s="148"/>
    </row>
    <row r="3254" spans="1:13" ht="15" customHeight="1">
      <c r="A3254" s="142" t="s">
        <v>8050</v>
      </c>
      <c r="B3254" s="142">
        <v>514628</v>
      </c>
      <c r="C3254" s="143" t="s">
        <v>6735</v>
      </c>
      <c r="D3254" s="142" t="s">
        <v>3370</v>
      </c>
      <c r="E3254" s="143" t="s">
        <v>3416</v>
      </c>
      <c r="F3254" s="143" t="s">
        <v>7914</v>
      </c>
      <c r="G3254" s="142" t="s">
        <v>6739</v>
      </c>
      <c r="H3254" s="142" t="s">
        <v>53</v>
      </c>
      <c r="I3254" s="143" t="s">
        <v>1110</v>
      </c>
      <c r="J3254" s="143" t="s">
        <v>6741</v>
      </c>
      <c r="K3254" s="144"/>
      <c r="L3254" s="145"/>
      <c r="M3254" s="144"/>
    </row>
    <row r="3255" spans="1:13" ht="15" customHeight="1">
      <c r="A3255" s="146" t="s">
        <v>8051</v>
      </c>
      <c r="B3255" s="146">
        <v>515840</v>
      </c>
      <c r="C3255" s="147" t="s">
        <v>6735</v>
      </c>
      <c r="D3255" s="146" t="s">
        <v>3370</v>
      </c>
      <c r="E3255" s="147" t="s">
        <v>3753</v>
      </c>
      <c r="F3255" s="147" t="s">
        <v>3753</v>
      </c>
      <c r="G3255" s="146" t="s">
        <v>6739</v>
      </c>
      <c r="H3255" s="146" t="s">
        <v>50</v>
      </c>
      <c r="I3255" s="147" t="s">
        <v>3391</v>
      </c>
      <c r="J3255" s="147" t="s">
        <v>6741</v>
      </c>
      <c r="K3255" s="148" t="s">
        <v>121</v>
      </c>
      <c r="L3255" s="149">
        <v>46150</v>
      </c>
      <c r="M3255" s="148"/>
    </row>
    <row r="3256" spans="1:13" ht="15" customHeight="1">
      <c r="A3256" s="142" t="s">
        <v>8052</v>
      </c>
      <c r="B3256" s="142">
        <v>514815</v>
      </c>
      <c r="C3256" s="143" t="s">
        <v>6735</v>
      </c>
      <c r="D3256" s="142" t="s">
        <v>3370</v>
      </c>
      <c r="E3256" s="143" t="s">
        <v>4057</v>
      </c>
      <c r="F3256" s="143" t="s">
        <v>4057</v>
      </c>
      <c r="G3256" s="142" t="s">
        <v>6739</v>
      </c>
      <c r="H3256" s="142" t="s">
        <v>50</v>
      </c>
      <c r="I3256" s="143" t="s">
        <v>3391</v>
      </c>
      <c r="J3256" s="143" t="s">
        <v>6741</v>
      </c>
      <c r="K3256" s="144"/>
      <c r="L3256" s="145"/>
      <c r="M3256" s="144"/>
    </row>
    <row r="3257" spans="1:13" ht="15" customHeight="1">
      <c r="A3257" s="146" t="s">
        <v>8053</v>
      </c>
      <c r="B3257" s="146">
        <v>515203</v>
      </c>
      <c r="C3257" s="147" t="s">
        <v>6735</v>
      </c>
      <c r="D3257" s="146" t="s">
        <v>3370</v>
      </c>
      <c r="E3257" s="147" t="s">
        <v>3598</v>
      </c>
      <c r="F3257" s="147" t="s">
        <v>7944</v>
      </c>
      <c r="G3257" s="146" t="s">
        <v>6739</v>
      </c>
      <c r="H3257" s="146" t="s">
        <v>53</v>
      </c>
      <c r="I3257" s="147" t="s">
        <v>1110</v>
      </c>
      <c r="J3257" s="147" t="s">
        <v>6741</v>
      </c>
      <c r="K3257" s="148"/>
      <c r="L3257" s="149"/>
      <c r="M3257" s="148"/>
    </row>
    <row r="3258" spans="1:13" ht="15" customHeight="1">
      <c r="A3258" s="142" t="s">
        <v>8054</v>
      </c>
      <c r="B3258" s="142">
        <v>514706</v>
      </c>
      <c r="C3258" s="143" t="s">
        <v>6735</v>
      </c>
      <c r="D3258" s="142" t="s">
        <v>3370</v>
      </c>
      <c r="E3258" s="143" t="s">
        <v>3558</v>
      </c>
      <c r="F3258" s="143" t="s">
        <v>7680</v>
      </c>
      <c r="G3258" s="142" t="s">
        <v>6739</v>
      </c>
      <c r="H3258" s="142" t="s">
        <v>53</v>
      </c>
      <c r="I3258" s="143" t="s">
        <v>1184</v>
      </c>
      <c r="J3258" s="143" t="s">
        <v>6741</v>
      </c>
      <c r="K3258" s="144"/>
      <c r="L3258" s="145"/>
      <c r="M3258" s="144"/>
    </row>
    <row r="3259" spans="1:13" ht="15" customHeight="1">
      <c r="A3259" s="146" t="s">
        <v>8055</v>
      </c>
      <c r="B3259" s="146">
        <v>515062</v>
      </c>
      <c r="C3259" s="147" t="s">
        <v>6735</v>
      </c>
      <c r="D3259" s="146" t="s">
        <v>3370</v>
      </c>
      <c r="E3259" s="147" t="s">
        <v>3375</v>
      </c>
      <c r="F3259" s="147" t="s">
        <v>3376</v>
      </c>
      <c r="G3259" s="146" t="s">
        <v>6739</v>
      </c>
      <c r="H3259" s="146" t="s">
        <v>53</v>
      </c>
      <c r="I3259" s="147" t="s">
        <v>1184</v>
      </c>
      <c r="J3259" s="147" t="s">
        <v>6741</v>
      </c>
      <c r="K3259" s="148"/>
      <c r="L3259" s="149"/>
      <c r="M3259" s="148"/>
    </row>
    <row r="3260" spans="1:13" ht="15" customHeight="1">
      <c r="A3260" s="142" t="s">
        <v>8056</v>
      </c>
      <c r="B3260" s="142">
        <v>514841</v>
      </c>
      <c r="C3260" s="143" t="s">
        <v>6735</v>
      </c>
      <c r="D3260" s="142" t="s">
        <v>3370</v>
      </c>
      <c r="E3260" s="143" t="s">
        <v>3385</v>
      </c>
      <c r="F3260" s="143" t="s">
        <v>3385</v>
      </c>
      <c r="G3260" s="142" t="s">
        <v>6739</v>
      </c>
      <c r="H3260" s="142" t="s">
        <v>53</v>
      </c>
      <c r="I3260" s="143" t="s">
        <v>1184</v>
      </c>
      <c r="J3260" s="143" t="s">
        <v>6741</v>
      </c>
      <c r="K3260" s="144"/>
      <c r="L3260" s="145"/>
      <c r="M3260" s="144"/>
    </row>
    <row r="3261" spans="1:13" ht="15" customHeight="1">
      <c r="A3261" s="146" t="s">
        <v>8057</v>
      </c>
      <c r="B3261" s="146">
        <v>514940</v>
      </c>
      <c r="C3261" s="147" t="s">
        <v>6735</v>
      </c>
      <c r="D3261" s="146" t="s">
        <v>3370</v>
      </c>
      <c r="E3261" s="147" t="s">
        <v>3385</v>
      </c>
      <c r="F3261" s="147" t="s">
        <v>3385</v>
      </c>
      <c r="G3261" s="146" t="s">
        <v>6739</v>
      </c>
      <c r="H3261" s="146" t="s">
        <v>53</v>
      </c>
      <c r="I3261" s="147" t="s">
        <v>1184</v>
      </c>
      <c r="J3261" s="147" t="s">
        <v>6741</v>
      </c>
      <c r="K3261" s="148"/>
      <c r="L3261" s="149"/>
      <c r="M3261" s="148"/>
    </row>
    <row r="3262" spans="1:13" ht="15" customHeight="1">
      <c r="A3262" s="142" t="s">
        <v>8058</v>
      </c>
      <c r="B3262" s="142">
        <v>514701</v>
      </c>
      <c r="C3262" s="143" t="s">
        <v>6735</v>
      </c>
      <c r="D3262" s="142" t="s">
        <v>3370</v>
      </c>
      <c r="E3262" s="143" t="s">
        <v>3385</v>
      </c>
      <c r="F3262" s="143" t="s">
        <v>3385</v>
      </c>
      <c r="G3262" s="142" t="s">
        <v>6739</v>
      </c>
      <c r="H3262" s="142" t="s">
        <v>53</v>
      </c>
      <c r="I3262" s="143" t="s">
        <v>1110</v>
      </c>
      <c r="J3262" s="143" t="s">
        <v>6741</v>
      </c>
      <c r="K3262" s="144"/>
      <c r="L3262" s="145"/>
      <c r="M3262" s="144"/>
    </row>
    <row r="3263" spans="1:13" ht="15" customHeight="1">
      <c r="A3263" s="146" t="s">
        <v>8059</v>
      </c>
      <c r="B3263" s="146">
        <v>515816</v>
      </c>
      <c r="C3263" s="147" t="s">
        <v>6735</v>
      </c>
      <c r="D3263" s="146" t="s">
        <v>3370</v>
      </c>
      <c r="E3263" s="147" t="s">
        <v>3385</v>
      </c>
      <c r="F3263" s="147" t="s">
        <v>3385</v>
      </c>
      <c r="G3263" s="146" t="s">
        <v>6739</v>
      </c>
      <c r="H3263" s="146" t="s">
        <v>53</v>
      </c>
      <c r="I3263" s="147" t="s">
        <v>1184</v>
      </c>
      <c r="J3263" s="147" t="s">
        <v>6741</v>
      </c>
      <c r="K3263" s="148"/>
      <c r="L3263" s="149"/>
      <c r="M3263" s="148"/>
    </row>
    <row r="3264" spans="1:13" ht="15" customHeight="1">
      <c r="A3264" s="142" t="s">
        <v>8060</v>
      </c>
      <c r="B3264" s="142">
        <v>514554</v>
      </c>
      <c r="C3264" s="143" t="s">
        <v>6735</v>
      </c>
      <c r="D3264" s="142" t="s">
        <v>3370</v>
      </c>
      <c r="E3264" s="143" t="s">
        <v>3385</v>
      </c>
      <c r="F3264" s="143" t="s">
        <v>3385</v>
      </c>
      <c r="G3264" s="142" t="s">
        <v>6739</v>
      </c>
      <c r="H3264" s="142" t="s">
        <v>53</v>
      </c>
      <c r="I3264" s="143" t="s">
        <v>1184</v>
      </c>
      <c r="J3264" s="143" t="s">
        <v>6741</v>
      </c>
      <c r="K3264" s="144"/>
      <c r="L3264" s="145"/>
      <c r="M3264" s="144"/>
    </row>
    <row r="3265" spans="1:13" ht="15" customHeight="1">
      <c r="A3265" s="146" t="s">
        <v>8061</v>
      </c>
      <c r="B3265" s="146">
        <v>514703</v>
      </c>
      <c r="C3265" s="147" t="s">
        <v>6735</v>
      </c>
      <c r="D3265" s="146" t="s">
        <v>3370</v>
      </c>
      <c r="E3265" s="147" t="s">
        <v>3385</v>
      </c>
      <c r="F3265" s="147" t="s">
        <v>3385</v>
      </c>
      <c r="G3265" s="146" t="s">
        <v>6739</v>
      </c>
      <c r="H3265" s="146" t="s">
        <v>53</v>
      </c>
      <c r="I3265" s="147" t="s">
        <v>1184</v>
      </c>
      <c r="J3265" s="147" t="s">
        <v>6741</v>
      </c>
      <c r="K3265" s="148"/>
      <c r="L3265" s="149"/>
      <c r="M3265" s="148"/>
    </row>
    <row r="3266" spans="1:13" ht="15" customHeight="1">
      <c r="A3266" s="142" t="s">
        <v>8062</v>
      </c>
      <c r="B3266" s="142">
        <v>514704</v>
      </c>
      <c r="C3266" s="143" t="s">
        <v>6735</v>
      </c>
      <c r="D3266" s="142" t="s">
        <v>3370</v>
      </c>
      <c r="E3266" s="143" t="s">
        <v>3385</v>
      </c>
      <c r="F3266" s="143" t="s">
        <v>3385</v>
      </c>
      <c r="G3266" s="142" t="s">
        <v>6739</v>
      </c>
      <c r="H3266" s="142" t="s">
        <v>53</v>
      </c>
      <c r="I3266" s="143" t="s">
        <v>1184</v>
      </c>
      <c r="J3266" s="143" t="s">
        <v>6741</v>
      </c>
      <c r="K3266" s="144"/>
      <c r="L3266" s="145"/>
      <c r="M3266" s="144"/>
    </row>
    <row r="3267" spans="1:13" ht="15" customHeight="1">
      <c r="A3267" s="146" t="s">
        <v>8063</v>
      </c>
      <c r="B3267" s="146">
        <v>514947</v>
      </c>
      <c r="C3267" s="147" t="s">
        <v>6735</v>
      </c>
      <c r="D3267" s="146" t="s">
        <v>3370</v>
      </c>
      <c r="E3267" s="147" t="s">
        <v>3385</v>
      </c>
      <c r="F3267" s="147" t="s">
        <v>3385</v>
      </c>
      <c r="G3267" s="146" t="s">
        <v>6739</v>
      </c>
      <c r="H3267" s="146" t="s">
        <v>53</v>
      </c>
      <c r="I3267" s="147" t="s">
        <v>1184</v>
      </c>
      <c r="J3267" s="147" t="s">
        <v>6741</v>
      </c>
      <c r="K3267" s="148"/>
      <c r="L3267" s="149"/>
      <c r="M3267" s="148"/>
    </row>
    <row r="3268" spans="1:13" ht="15" customHeight="1">
      <c r="A3268" s="142" t="s">
        <v>8064</v>
      </c>
      <c r="B3268" s="142">
        <v>515330</v>
      </c>
      <c r="C3268" s="143" t="s">
        <v>6735</v>
      </c>
      <c r="D3268" s="142" t="s">
        <v>3370</v>
      </c>
      <c r="E3268" s="143" t="s">
        <v>3385</v>
      </c>
      <c r="F3268" s="143" t="s">
        <v>3385</v>
      </c>
      <c r="G3268" s="142" t="s">
        <v>6739</v>
      </c>
      <c r="H3268" s="142" t="s">
        <v>53</v>
      </c>
      <c r="I3268" s="143" t="s">
        <v>1110</v>
      </c>
      <c r="J3268" s="143" t="s">
        <v>6741</v>
      </c>
      <c r="K3268" s="144"/>
      <c r="L3268" s="145"/>
      <c r="M3268" s="144"/>
    </row>
    <row r="3269" spans="1:13" ht="15" customHeight="1">
      <c r="A3269" s="146" t="s">
        <v>8065</v>
      </c>
      <c r="B3269" s="146">
        <v>514926</v>
      </c>
      <c r="C3269" s="147" t="s">
        <v>6735</v>
      </c>
      <c r="D3269" s="146" t="s">
        <v>3370</v>
      </c>
      <c r="E3269" s="147" t="s">
        <v>3379</v>
      </c>
      <c r="F3269" s="147" t="s">
        <v>3379</v>
      </c>
      <c r="G3269" s="146" t="s">
        <v>6739</v>
      </c>
      <c r="H3269" s="146" t="s">
        <v>53</v>
      </c>
      <c r="I3269" s="147" t="s">
        <v>1110</v>
      </c>
      <c r="J3269" s="147" t="s">
        <v>6741</v>
      </c>
      <c r="K3269" s="148"/>
      <c r="L3269" s="149"/>
      <c r="M3269" s="148"/>
    </row>
    <row r="3270" spans="1:13" ht="15" customHeight="1">
      <c r="A3270" s="142" t="s">
        <v>8066</v>
      </c>
      <c r="B3270" s="142">
        <v>514927</v>
      </c>
      <c r="C3270" s="143" t="s">
        <v>6735</v>
      </c>
      <c r="D3270" s="142" t="s">
        <v>3370</v>
      </c>
      <c r="E3270" s="143" t="s">
        <v>3379</v>
      </c>
      <c r="F3270" s="143" t="s">
        <v>3379</v>
      </c>
      <c r="G3270" s="142" t="s">
        <v>6739</v>
      </c>
      <c r="H3270" s="142" t="s">
        <v>53</v>
      </c>
      <c r="I3270" s="143" t="s">
        <v>1110</v>
      </c>
      <c r="J3270" s="143" t="s">
        <v>6741</v>
      </c>
      <c r="K3270" s="144"/>
      <c r="L3270" s="145"/>
      <c r="M3270" s="144"/>
    </row>
    <row r="3271" spans="1:13" ht="15" customHeight="1">
      <c r="A3271" s="146" t="s">
        <v>8067</v>
      </c>
      <c r="B3271" s="146">
        <v>514928</v>
      </c>
      <c r="C3271" s="147" t="s">
        <v>6735</v>
      </c>
      <c r="D3271" s="146" t="s">
        <v>3370</v>
      </c>
      <c r="E3271" s="147" t="s">
        <v>3379</v>
      </c>
      <c r="F3271" s="147" t="s">
        <v>3379</v>
      </c>
      <c r="G3271" s="146" t="s">
        <v>6739</v>
      </c>
      <c r="H3271" s="146" t="s">
        <v>53</v>
      </c>
      <c r="I3271" s="147" t="s">
        <v>1110</v>
      </c>
      <c r="J3271" s="147" t="s">
        <v>6741</v>
      </c>
      <c r="K3271" s="148"/>
      <c r="L3271" s="149"/>
      <c r="M3271" s="148"/>
    </row>
    <row r="3272" spans="1:13" ht="15" customHeight="1">
      <c r="A3272" s="142" t="s">
        <v>8068</v>
      </c>
      <c r="B3272" s="142">
        <v>514929</v>
      </c>
      <c r="C3272" s="143" t="s">
        <v>6735</v>
      </c>
      <c r="D3272" s="142" t="s">
        <v>3370</v>
      </c>
      <c r="E3272" s="143" t="s">
        <v>3379</v>
      </c>
      <c r="F3272" s="143" t="s">
        <v>3379</v>
      </c>
      <c r="G3272" s="142" t="s">
        <v>6739</v>
      </c>
      <c r="H3272" s="142" t="s">
        <v>53</v>
      </c>
      <c r="I3272" s="143" t="s">
        <v>1110</v>
      </c>
      <c r="J3272" s="143" t="s">
        <v>6741</v>
      </c>
      <c r="K3272" s="144"/>
      <c r="L3272" s="145"/>
      <c r="M3272" s="144"/>
    </row>
    <row r="3273" spans="1:13" ht="15" customHeight="1">
      <c r="A3273" s="146" t="s">
        <v>8069</v>
      </c>
      <c r="B3273" s="146">
        <v>514930</v>
      </c>
      <c r="C3273" s="147" t="s">
        <v>6735</v>
      </c>
      <c r="D3273" s="146" t="s">
        <v>3370</v>
      </c>
      <c r="E3273" s="147" t="s">
        <v>3379</v>
      </c>
      <c r="F3273" s="147" t="s">
        <v>3379</v>
      </c>
      <c r="G3273" s="146" t="s">
        <v>6739</v>
      </c>
      <c r="H3273" s="146" t="s">
        <v>53</v>
      </c>
      <c r="I3273" s="147" t="s">
        <v>1110</v>
      </c>
      <c r="J3273" s="147" t="s">
        <v>6741</v>
      </c>
      <c r="K3273" s="148"/>
      <c r="L3273" s="149"/>
      <c r="M3273" s="148"/>
    </row>
    <row r="3274" spans="1:13" ht="15" customHeight="1">
      <c r="A3274" s="142" t="s">
        <v>8070</v>
      </c>
      <c r="B3274" s="142">
        <v>514670</v>
      </c>
      <c r="C3274" s="143" t="s">
        <v>6735</v>
      </c>
      <c r="D3274" s="142" t="s">
        <v>3370</v>
      </c>
      <c r="E3274" s="143" t="s">
        <v>3447</v>
      </c>
      <c r="F3274" s="143" t="s">
        <v>3448</v>
      </c>
      <c r="G3274" s="142" t="s">
        <v>6739</v>
      </c>
      <c r="H3274" s="142" t="s">
        <v>50</v>
      </c>
      <c r="I3274" s="143" t="s">
        <v>3449</v>
      </c>
      <c r="J3274" s="143" t="s">
        <v>6741</v>
      </c>
      <c r="K3274" s="144" t="s">
        <v>121</v>
      </c>
      <c r="L3274" s="145">
        <v>46146</v>
      </c>
      <c r="M3274" s="144"/>
    </row>
    <row r="3275" spans="1:13" ht="15" customHeight="1">
      <c r="A3275" s="146" t="s">
        <v>8071</v>
      </c>
      <c r="B3275" s="146">
        <v>514574</v>
      </c>
      <c r="C3275" s="147" t="s">
        <v>6735</v>
      </c>
      <c r="D3275" s="146" t="s">
        <v>3370</v>
      </c>
      <c r="E3275" s="147" t="s">
        <v>3404</v>
      </c>
      <c r="F3275" s="147" t="s">
        <v>3404</v>
      </c>
      <c r="G3275" s="146" t="s">
        <v>6739</v>
      </c>
      <c r="H3275" s="146" t="s">
        <v>53</v>
      </c>
      <c r="I3275" s="147" t="s">
        <v>1110</v>
      </c>
      <c r="J3275" s="147" t="s">
        <v>6741</v>
      </c>
      <c r="K3275" s="148"/>
      <c r="L3275" s="149"/>
      <c r="M3275" s="148"/>
    </row>
    <row r="3276" spans="1:13" ht="15" customHeight="1">
      <c r="A3276" s="142" t="s">
        <v>8072</v>
      </c>
      <c r="B3276" s="142">
        <v>514953</v>
      </c>
      <c r="C3276" s="143" t="s">
        <v>6735</v>
      </c>
      <c r="D3276" s="142" t="s">
        <v>3370</v>
      </c>
      <c r="E3276" s="143" t="s">
        <v>3856</v>
      </c>
      <c r="F3276" s="143" t="s">
        <v>8073</v>
      </c>
      <c r="G3276" s="142" t="s">
        <v>6739</v>
      </c>
      <c r="H3276" s="142" t="s">
        <v>50</v>
      </c>
      <c r="I3276" s="143" t="s">
        <v>3391</v>
      </c>
      <c r="J3276" s="143" t="s">
        <v>6741</v>
      </c>
      <c r="K3276" s="150" t="s">
        <v>5</v>
      </c>
      <c r="L3276" s="145">
        <v>46132</v>
      </c>
      <c r="M3276" s="152" t="s">
        <v>3392</v>
      </c>
    </row>
    <row r="3277" spans="1:13" ht="15" customHeight="1">
      <c r="A3277" s="146" t="s">
        <v>8074</v>
      </c>
      <c r="B3277" s="146">
        <v>514633</v>
      </c>
      <c r="C3277" s="147" t="s">
        <v>6735</v>
      </c>
      <c r="D3277" s="146" t="s">
        <v>3370</v>
      </c>
      <c r="E3277" s="147" t="s">
        <v>3856</v>
      </c>
      <c r="F3277" s="147" t="s">
        <v>4563</v>
      </c>
      <c r="G3277" s="146" t="s">
        <v>6739</v>
      </c>
      <c r="H3277" s="146" t="s">
        <v>50</v>
      </c>
      <c r="I3277" s="147" t="s">
        <v>3391</v>
      </c>
      <c r="J3277" s="147" t="s">
        <v>6741</v>
      </c>
      <c r="K3277" s="150" t="s">
        <v>5</v>
      </c>
      <c r="L3277" s="149">
        <v>46127</v>
      </c>
      <c r="M3277" s="151" t="s">
        <v>3392</v>
      </c>
    </row>
    <row r="3278" spans="1:13" ht="15" customHeight="1">
      <c r="A3278" s="142" t="s">
        <v>8075</v>
      </c>
      <c r="B3278" s="142">
        <v>514909</v>
      </c>
      <c r="C3278" s="143" t="s">
        <v>6735</v>
      </c>
      <c r="D3278" s="142" t="s">
        <v>3370</v>
      </c>
      <c r="E3278" s="143" t="s">
        <v>3856</v>
      </c>
      <c r="F3278" s="143" t="s">
        <v>8076</v>
      </c>
      <c r="G3278" s="142" t="s">
        <v>6739</v>
      </c>
      <c r="H3278" s="142" t="s">
        <v>50</v>
      </c>
      <c r="I3278" s="143" t="s">
        <v>3391</v>
      </c>
      <c r="J3278" s="143" t="s">
        <v>6741</v>
      </c>
      <c r="K3278" s="150" t="s">
        <v>5</v>
      </c>
      <c r="L3278" s="145">
        <v>46129</v>
      </c>
      <c r="M3278" s="152" t="s">
        <v>3392</v>
      </c>
    </row>
    <row r="3279" spans="1:13" ht="15" customHeight="1">
      <c r="A3279" s="146" t="s">
        <v>8077</v>
      </c>
      <c r="B3279" s="146">
        <v>515334</v>
      </c>
      <c r="C3279" s="147" t="s">
        <v>6735</v>
      </c>
      <c r="D3279" s="146" t="s">
        <v>3370</v>
      </c>
      <c r="E3279" s="147" t="s">
        <v>3416</v>
      </c>
      <c r="F3279" s="147" t="s">
        <v>4511</v>
      </c>
      <c r="G3279" s="146" t="s">
        <v>6739</v>
      </c>
      <c r="H3279" s="146" t="s">
        <v>50</v>
      </c>
      <c r="I3279" s="147" t="s">
        <v>3391</v>
      </c>
      <c r="J3279" s="147" t="s">
        <v>6741</v>
      </c>
      <c r="K3279" s="148"/>
      <c r="L3279" s="149"/>
      <c r="M3279" s="148"/>
    </row>
    <row r="3280" spans="1:13" ht="15" customHeight="1">
      <c r="A3280" s="142" t="s">
        <v>8078</v>
      </c>
      <c r="B3280" s="142">
        <v>515997</v>
      </c>
      <c r="C3280" s="143" t="s">
        <v>6735</v>
      </c>
      <c r="D3280" s="142" t="s">
        <v>3370</v>
      </c>
      <c r="E3280" s="143" t="s">
        <v>3832</v>
      </c>
      <c r="F3280" s="143" t="s">
        <v>3839</v>
      </c>
      <c r="G3280" s="142" t="s">
        <v>6739</v>
      </c>
      <c r="H3280" s="142" t="s">
        <v>50</v>
      </c>
      <c r="I3280" s="143" t="s">
        <v>3391</v>
      </c>
      <c r="J3280" s="143" t="s">
        <v>6741</v>
      </c>
      <c r="K3280" s="150" t="s">
        <v>5</v>
      </c>
      <c r="L3280" s="145">
        <v>46127</v>
      </c>
      <c r="M3280" s="152" t="s">
        <v>3392</v>
      </c>
    </row>
    <row r="3281" spans="1:13" ht="15" customHeight="1">
      <c r="A3281" s="146" t="s">
        <v>8079</v>
      </c>
      <c r="B3281" s="146">
        <v>514738</v>
      </c>
      <c r="C3281" s="147" t="s">
        <v>6735</v>
      </c>
      <c r="D3281" s="146" t="s">
        <v>3370</v>
      </c>
      <c r="E3281" s="147" t="s">
        <v>3505</v>
      </c>
      <c r="F3281" s="147" t="s">
        <v>8080</v>
      </c>
      <c r="G3281" s="146" t="s">
        <v>6739</v>
      </c>
      <c r="H3281" s="146" t="s">
        <v>50</v>
      </c>
      <c r="I3281" s="147" t="s">
        <v>3449</v>
      </c>
      <c r="J3281" s="147" t="s">
        <v>6741</v>
      </c>
      <c r="K3281" s="148" t="s">
        <v>121</v>
      </c>
      <c r="L3281" s="149">
        <v>46143</v>
      </c>
      <c r="M3281" s="148"/>
    </row>
    <row r="3282" spans="1:13" ht="15" customHeight="1">
      <c r="A3282" s="142" t="s">
        <v>8081</v>
      </c>
      <c r="B3282" s="142">
        <v>515083</v>
      </c>
      <c r="C3282" s="143" t="s">
        <v>6735</v>
      </c>
      <c r="D3282" s="142" t="s">
        <v>3370</v>
      </c>
      <c r="E3282" s="143" t="s">
        <v>3900</v>
      </c>
      <c r="F3282" s="143" t="s">
        <v>3900</v>
      </c>
      <c r="G3282" s="142" t="s">
        <v>6739</v>
      </c>
      <c r="H3282" s="142" t="s">
        <v>53</v>
      </c>
      <c r="I3282" s="143" t="s">
        <v>1184</v>
      </c>
      <c r="J3282" s="143" t="s">
        <v>6741</v>
      </c>
      <c r="K3282" s="144"/>
      <c r="L3282" s="145"/>
      <c r="M3282" s="144"/>
    </row>
    <row r="3283" spans="1:13" ht="15" customHeight="1">
      <c r="A3283" s="146" t="s">
        <v>8082</v>
      </c>
      <c r="B3283" s="146">
        <v>515064</v>
      </c>
      <c r="C3283" s="147" t="s">
        <v>6735</v>
      </c>
      <c r="D3283" s="146" t="s">
        <v>3370</v>
      </c>
      <c r="E3283" s="147" t="s">
        <v>3714</v>
      </c>
      <c r="F3283" s="147" t="s">
        <v>7713</v>
      </c>
      <c r="G3283" s="146" t="s">
        <v>6739</v>
      </c>
      <c r="H3283" s="146" t="s">
        <v>53</v>
      </c>
      <c r="I3283" s="147" t="s">
        <v>1110</v>
      </c>
      <c r="J3283" s="147" t="s">
        <v>6741</v>
      </c>
      <c r="K3283" s="148"/>
      <c r="L3283" s="149"/>
      <c r="M3283" s="148"/>
    </row>
    <row r="3284" spans="1:13" ht="15" customHeight="1">
      <c r="A3284" s="142" t="s">
        <v>8083</v>
      </c>
      <c r="B3284" s="142">
        <v>514878</v>
      </c>
      <c r="C3284" s="143" t="s">
        <v>6735</v>
      </c>
      <c r="D3284" s="142" t="s">
        <v>3370</v>
      </c>
      <c r="E3284" s="143" t="s">
        <v>4124</v>
      </c>
      <c r="F3284" s="143" t="s">
        <v>7742</v>
      </c>
      <c r="G3284" s="142" t="s">
        <v>6739</v>
      </c>
      <c r="H3284" s="142" t="s">
        <v>53</v>
      </c>
      <c r="I3284" s="143" t="s">
        <v>1184</v>
      </c>
      <c r="J3284" s="143" t="s">
        <v>6741</v>
      </c>
      <c r="K3284" s="144"/>
      <c r="L3284" s="145"/>
      <c r="M3284" s="144"/>
    </row>
    <row r="3285" spans="1:13" ht="15" customHeight="1">
      <c r="A3285" s="146" t="s">
        <v>8084</v>
      </c>
      <c r="B3285" s="146">
        <v>514725</v>
      </c>
      <c r="C3285" s="147" t="s">
        <v>6735</v>
      </c>
      <c r="D3285" s="146" t="s">
        <v>3370</v>
      </c>
      <c r="E3285" s="147" t="s">
        <v>3561</v>
      </c>
      <c r="F3285" s="147" t="s">
        <v>3561</v>
      </c>
      <c r="G3285" s="146" t="s">
        <v>6739</v>
      </c>
      <c r="H3285" s="146" t="s">
        <v>53</v>
      </c>
      <c r="I3285" s="147" t="s">
        <v>1110</v>
      </c>
      <c r="J3285" s="147" t="s">
        <v>6741</v>
      </c>
      <c r="K3285" s="148"/>
      <c r="L3285" s="149"/>
      <c r="M3285" s="148"/>
    </row>
    <row r="3286" spans="1:13" ht="15" customHeight="1">
      <c r="A3286" s="142" t="s">
        <v>8085</v>
      </c>
      <c r="B3286" s="142">
        <v>514612</v>
      </c>
      <c r="C3286" s="143" t="s">
        <v>6735</v>
      </c>
      <c r="D3286" s="142" t="s">
        <v>3370</v>
      </c>
      <c r="E3286" s="143" t="s">
        <v>324</v>
      </c>
      <c r="F3286" s="143" t="s">
        <v>7824</v>
      </c>
      <c r="G3286" s="142" t="s">
        <v>6739</v>
      </c>
      <c r="H3286" s="142" t="s">
        <v>53</v>
      </c>
      <c r="I3286" s="143" t="s">
        <v>1110</v>
      </c>
      <c r="J3286" s="143" t="s">
        <v>6741</v>
      </c>
      <c r="K3286" s="144" t="s">
        <v>121</v>
      </c>
      <c r="L3286" s="145">
        <v>46148</v>
      </c>
      <c r="M3286" s="144" t="s">
        <v>3421</v>
      </c>
    </row>
    <row r="3287" spans="1:13" ht="15" customHeight="1">
      <c r="A3287" s="146" t="s">
        <v>8086</v>
      </c>
      <c r="B3287" s="146">
        <v>514818</v>
      </c>
      <c r="C3287" s="147" t="s">
        <v>6735</v>
      </c>
      <c r="D3287" s="146" t="s">
        <v>3370</v>
      </c>
      <c r="E3287" s="147" t="s">
        <v>1244</v>
      </c>
      <c r="F3287" s="147" t="s">
        <v>8087</v>
      </c>
      <c r="G3287" s="146" t="s">
        <v>6739</v>
      </c>
      <c r="H3287" s="146" t="s">
        <v>53</v>
      </c>
      <c r="I3287" s="147" t="s">
        <v>1184</v>
      </c>
      <c r="J3287" s="147" t="s">
        <v>6741</v>
      </c>
      <c r="K3287" s="148"/>
      <c r="L3287" s="149"/>
      <c r="M3287" s="148"/>
    </row>
    <row r="3288" spans="1:13" ht="15" customHeight="1">
      <c r="A3288" s="142" t="s">
        <v>8088</v>
      </c>
      <c r="B3288" s="142">
        <v>514582</v>
      </c>
      <c r="C3288" s="143" t="s">
        <v>6735</v>
      </c>
      <c r="D3288" s="142" t="s">
        <v>3370</v>
      </c>
      <c r="E3288" s="143" t="s">
        <v>3927</v>
      </c>
      <c r="F3288" s="143" t="s">
        <v>8089</v>
      </c>
      <c r="G3288" s="142" t="s">
        <v>6739</v>
      </c>
      <c r="H3288" s="142" t="s">
        <v>53</v>
      </c>
      <c r="I3288" s="143" t="s">
        <v>1184</v>
      </c>
      <c r="J3288" s="143" t="s">
        <v>6741</v>
      </c>
      <c r="K3288" s="144"/>
      <c r="L3288" s="145"/>
      <c r="M3288" s="144"/>
    </row>
    <row r="3289" spans="1:13" ht="15" customHeight="1">
      <c r="A3289" s="146" t="s">
        <v>8090</v>
      </c>
      <c r="B3289" s="146">
        <v>514566</v>
      </c>
      <c r="C3289" s="147" t="s">
        <v>6735</v>
      </c>
      <c r="D3289" s="146" t="s">
        <v>3370</v>
      </c>
      <c r="E3289" s="147" t="s">
        <v>3404</v>
      </c>
      <c r="F3289" s="147" t="s">
        <v>3404</v>
      </c>
      <c r="G3289" s="146" t="s">
        <v>6739</v>
      </c>
      <c r="H3289" s="146" t="s">
        <v>53</v>
      </c>
      <c r="I3289" s="147" t="s">
        <v>1110</v>
      </c>
      <c r="J3289" s="147" t="s">
        <v>6741</v>
      </c>
      <c r="K3289" s="148"/>
      <c r="L3289" s="149"/>
      <c r="M3289" s="148"/>
    </row>
    <row r="3290" spans="1:13" ht="15" customHeight="1">
      <c r="A3290" s="142" t="s">
        <v>8091</v>
      </c>
      <c r="B3290" s="142">
        <v>515496</v>
      </c>
      <c r="C3290" s="143" t="s">
        <v>6735</v>
      </c>
      <c r="D3290" s="142" t="s">
        <v>3370</v>
      </c>
      <c r="E3290" s="143" t="s">
        <v>3404</v>
      </c>
      <c r="F3290" s="143" t="s">
        <v>3404</v>
      </c>
      <c r="G3290" s="142" t="s">
        <v>6739</v>
      </c>
      <c r="H3290" s="142" t="s">
        <v>53</v>
      </c>
      <c r="I3290" s="143" t="s">
        <v>1110</v>
      </c>
      <c r="J3290" s="143" t="s">
        <v>6741</v>
      </c>
      <c r="K3290" s="144"/>
      <c r="L3290" s="145"/>
      <c r="M3290" s="144"/>
    </row>
    <row r="3291" spans="1:13" ht="15" customHeight="1">
      <c r="A3291" s="146" t="s">
        <v>8092</v>
      </c>
      <c r="B3291" s="146">
        <v>514723</v>
      </c>
      <c r="C3291" s="147" t="s">
        <v>6735</v>
      </c>
      <c r="D3291" s="146" t="s">
        <v>3370</v>
      </c>
      <c r="E3291" s="147" t="s">
        <v>324</v>
      </c>
      <c r="F3291" s="147" t="s">
        <v>7824</v>
      </c>
      <c r="G3291" s="146" t="s">
        <v>6739</v>
      </c>
      <c r="H3291" s="146" t="s">
        <v>53</v>
      </c>
      <c r="I3291" s="147" t="s">
        <v>1110</v>
      </c>
      <c r="J3291" s="147" t="s">
        <v>6741</v>
      </c>
      <c r="K3291" s="148"/>
      <c r="L3291" s="149"/>
      <c r="M3291" s="148"/>
    </row>
    <row r="3292" spans="1:13" ht="15" customHeight="1">
      <c r="A3292" s="142" t="s">
        <v>8093</v>
      </c>
      <c r="B3292" s="142">
        <v>514707</v>
      </c>
      <c r="C3292" s="143" t="s">
        <v>6735</v>
      </c>
      <c r="D3292" s="142" t="s">
        <v>3370</v>
      </c>
      <c r="E3292" s="143" t="s">
        <v>3558</v>
      </c>
      <c r="F3292" s="143" t="s">
        <v>7680</v>
      </c>
      <c r="G3292" s="142" t="s">
        <v>6739</v>
      </c>
      <c r="H3292" s="142" t="s">
        <v>53</v>
      </c>
      <c r="I3292" s="143" t="s">
        <v>1184</v>
      </c>
      <c r="J3292" s="143" t="s">
        <v>6741</v>
      </c>
      <c r="K3292" s="144"/>
      <c r="L3292" s="145"/>
      <c r="M3292" s="144"/>
    </row>
    <row r="3293" spans="1:13" ht="15" customHeight="1">
      <c r="A3293" s="146" t="s">
        <v>8094</v>
      </c>
      <c r="B3293" s="146">
        <v>515497</v>
      </c>
      <c r="C3293" s="147" t="s">
        <v>6735</v>
      </c>
      <c r="D3293" s="146" t="s">
        <v>3370</v>
      </c>
      <c r="E3293" s="147" t="s">
        <v>3404</v>
      </c>
      <c r="F3293" s="147" t="s">
        <v>3404</v>
      </c>
      <c r="G3293" s="146" t="s">
        <v>6739</v>
      </c>
      <c r="H3293" s="146" t="s">
        <v>53</v>
      </c>
      <c r="I3293" s="147" t="s">
        <v>1110</v>
      </c>
      <c r="J3293" s="147" t="s">
        <v>6741</v>
      </c>
      <c r="K3293" s="148"/>
      <c r="L3293" s="149"/>
      <c r="M3293" s="148"/>
    </row>
    <row r="3294" spans="1:13" ht="15" customHeight="1">
      <c r="A3294" s="142" t="s">
        <v>8095</v>
      </c>
      <c r="B3294" s="142">
        <v>514757</v>
      </c>
      <c r="C3294" s="143" t="s">
        <v>6735</v>
      </c>
      <c r="D3294" s="142" t="s">
        <v>3370</v>
      </c>
      <c r="E3294" s="143" t="s">
        <v>3571</v>
      </c>
      <c r="F3294" s="143" t="s">
        <v>3571</v>
      </c>
      <c r="G3294" s="142" t="s">
        <v>6739</v>
      </c>
      <c r="H3294" s="142" t="s">
        <v>50</v>
      </c>
      <c r="I3294" s="143" t="s">
        <v>3449</v>
      </c>
      <c r="J3294" s="143" t="s">
        <v>6741</v>
      </c>
      <c r="K3294" s="144" t="s">
        <v>121</v>
      </c>
      <c r="L3294" s="145">
        <v>46143</v>
      </c>
      <c r="M3294" s="144"/>
    </row>
    <row r="3295" spans="1:13" ht="15" customHeight="1">
      <c r="A3295" s="146" t="s">
        <v>8096</v>
      </c>
      <c r="B3295" s="146">
        <v>514784</v>
      </c>
      <c r="C3295" s="147" t="s">
        <v>6735</v>
      </c>
      <c r="D3295" s="146" t="s">
        <v>3370</v>
      </c>
      <c r="E3295" s="147" t="s">
        <v>3416</v>
      </c>
      <c r="F3295" s="147" t="s">
        <v>4511</v>
      </c>
      <c r="G3295" s="146" t="s">
        <v>6739</v>
      </c>
      <c r="H3295" s="146" t="s">
        <v>53</v>
      </c>
      <c r="I3295" s="147" t="s">
        <v>1110</v>
      </c>
      <c r="J3295" s="147" t="s">
        <v>6741</v>
      </c>
      <c r="K3295" s="148"/>
      <c r="L3295" s="149"/>
      <c r="M3295" s="148"/>
    </row>
    <row r="3296" spans="1:13" ht="15" customHeight="1">
      <c r="A3296" s="142" t="s">
        <v>8097</v>
      </c>
      <c r="B3296" s="142">
        <v>514777</v>
      </c>
      <c r="C3296" s="143" t="s">
        <v>6735</v>
      </c>
      <c r="D3296" s="142" t="s">
        <v>3370</v>
      </c>
      <c r="E3296" s="143" t="s">
        <v>3416</v>
      </c>
      <c r="F3296" s="143" t="s">
        <v>4511</v>
      </c>
      <c r="G3296" s="142" t="s">
        <v>6739</v>
      </c>
      <c r="H3296" s="142" t="s">
        <v>53</v>
      </c>
      <c r="I3296" s="143" t="s">
        <v>1110</v>
      </c>
      <c r="J3296" s="143" t="s">
        <v>6741</v>
      </c>
      <c r="K3296" s="144"/>
      <c r="L3296" s="145"/>
      <c r="M3296" s="144"/>
    </row>
    <row r="3297" spans="1:13" ht="15" customHeight="1">
      <c r="A3297" s="146" t="s">
        <v>8098</v>
      </c>
      <c r="B3297" s="146">
        <v>514781</v>
      </c>
      <c r="C3297" s="147" t="s">
        <v>6735</v>
      </c>
      <c r="D3297" s="146" t="s">
        <v>3370</v>
      </c>
      <c r="E3297" s="147" t="s">
        <v>3416</v>
      </c>
      <c r="F3297" s="147" t="s">
        <v>4511</v>
      </c>
      <c r="G3297" s="146" t="s">
        <v>6739</v>
      </c>
      <c r="H3297" s="146" t="s">
        <v>53</v>
      </c>
      <c r="I3297" s="147" t="s">
        <v>1110</v>
      </c>
      <c r="J3297" s="147" t="s">
        <v>6741</v>
      </c>
      <c r="K3297" s="148"/>
      <c r="L3297" s="149"/>
      <c r="M3297" s="148"/>
    </row>
    <row r="3298" spans="1:13" ht="15" customHeight="1">
      <c r="A3298" s="142" t="s">
        <v>8099</v>
      </c>
      <c r="B3298" s="142">
        <v>514778</v>
      </c>
      <c r="C3298" s="143" t="s">
        <v>6735</v>
      </c>
      <c r="D3298" s="142" t="s">
        <v>3370</v>
      </c>
      <c r="E3298" s="143" t="s">
        <v>3416</v>
      </c>
      <c r="F3298" s="143" t="s">
        <v>4511</v>
      </c>
      <c r="G3298" s="142" t="s">
        <v>6739</v>
      </c>
      <c r="H3298" s="142" t="s">
        <v>53</v>
      </c>
      <c r="I3298" s="143" t="s">
        <v>1110</v>
      </c>
      <c r="J3298" s="143" t="s">
        <v>6741</v>
      </c>
      <c r="K3298" s="144"/>
      <c r="L3298" s="145"/>
      <c r="M3298" s="144"/>
    </row>
    <row r="3299" spans="1:13" ht="15" customHeight="1">
      <c r="A3299" s="146" t="s">
        <v>8100</v>
      </c>
      <c r="B3299" s="146">
        <v>515429</v>
      </c>
      <c r="C3299" s="147" t="s">
        <v>6735</v>
      </c>
      <c r="D3299" s="146" t="s">
        <v>4690</v>
      </c>
      <c r="E3299" s="147" t="s">
        <v>4956</v>
      </c>
      <c r="F3299" s="147" t="s">
        <v>8101</v>
      </c>
      <c r="G3299" s="146" t="s">
        <v>6739</v>
      </c>
      <c r="H3299" s="146" t="s">
        <v>51</v>
      </c>
      <c r="I3299" s="147" t="s">
        <v>4693</v>
      </c>
      <c r="J3299" s="147" t="s">
        <v>6741</v>
      </c>
      <c r="K3299" s="148"/>
      <c r="L3299" s="149"/>
      <c r="M3299" s="148"/>
    </row>
    <row r="3300" spans="1:13" ht="15" customHeight="1">
      <c r="A3300" s="142" t="s">
        <v>8102</v>
      </c>
      <c r="B3300" s="142">
        <v>515398</v>
      </c>
      <c r="C3300" s="143" t="s">
        <v>6735</v>
      </c>
      <c r="D3300" s="142" t="s">
        <v>4690</v>
      </c>
      <c r="E3300" s="143" t="s">
        <v>4691</v>
      </c>
      <c r="F3300" s="143" t="s">
        <v>4691</v>
      </c>
      <c r="G3300" s="142" t="s">
        <v>6739</v>
      </c>
      <c r="H3300" s="142" t="s">
        <v>51</v>
      </c>
      <c r="I3300" s="143" t="s">
        <v>4693</v>
      </c>
      <c r="J3300" s="143" t="s">
        <v>6741</v>
      </c>
      <c r="K3300" s="144"/>
      <c r="L3300" s="145"/>
      <c r="M3300" s="144"/>
    </row>
    <row r="3301" spans="1:13" ht="15" customHeight="1">
      <c r="A3301" s="146" t="s">
        <v>8103</v>
      </c>
      <c r="B3301" s="146">
        <v>515378</v>
      </c>
      <c r="C3301" s="147" t="s">
        <v>6735</v>
      </c>
      <c r="D3301" s="146" t="s">
        <v>4690</v>
      </c>
      <c r="E3301" s="147" t="s">
        <v>4691</v>
      </c>
      <c r="F3301" s="147" t="s">
        <v>5267</v>
      </c>
      <c r="G3301" s="146" t="s">
        <v>6739</v>
      </c>
      <c r="H3301" s="146" t="s">
        <v>51</v>
      </c>
      <c r="I3301" s="147" t="s">
        <v>4693</v>
      </c>
      <c r="J3301" s="147" t="s">
        <v>6741</v>
      </c>
      <c r="K3301" s="148"/>
      <c r="L3301" s="149"/>
      <c r="M3301" s="148"/>
    </row>
    <row r="3302" spans="1:13" ht="15" customHeight="1">
      <c r="A3302" s="142" t="s">
        <v>8104</v>
      </c>
      <c r="B3302" s="142">
        <v>515436</v>
      </c>
      <c r="C3302" s="143" t="s">
        <v>6735</v>
      </c>
      <c r="D3302" s="142" t="s">
        <v>4690</v>
      </c>
      <c r="E3302" s="143" t="s">
        <v>4696</v>
      </c>
      <c r="F3302" s="143" t="s">
        <v>8105</v>
      </c>
      <c r="G3302" s="142" t="s">
        <v>6739</v>
      </c>
      <c r="H3302" s="142" t="s">
        <v>51</v>
      </c>
      <c r="I3302" s="143" t="s">
        <v>4693</v>
      </c>
      <c r="J3302" s="143" t="s">
        <v>6741</v>
      </c>
      <c r="K3302" s="144"/>
      <c r="L3302" s="145"/>
      <c r="M3302" s="144"/>
    </row>
    <row r="3303" spans="1:13" ht="15" customHeight="1">
      <c r="A3303" s="146" t="s">
        <v>8106</v>
      </c>
      <c r="B3303" s="146">
        <v>515437</v>
      </c>
      <c r="C3303" s="147" t="s">
        <v>6735</v>
      </c>
      <c r="D3303" s="146" t="s">
        <v>4690</v>
      </c>
      <c r="E3303" s="147" t="s">
        <v>4696</v>
      </c>
      <c r="F3303" s="147" t="s">
        <v>8107</v>
      </c>
      <c r="G3303" s="146" t="s">
        <v>6739</v>
      </c>
      <c r="H3303" s="146" t="s">
        <v>51</v>
      </c>
      <c r="I3303" s="147" t="s">
        <v>4693</v>
      </c>
      <c r="J3303" s="147" t="s">
        <v>6741</v>
      </c>
      <c r="K3303" s="148"/>
      <c r="L3303" s="149"/>
      <c r="M3303" s="148"/>
    </row>
    <row r="3304" spans="1:13" ht="15" customHeight="1">
      <c r="A3304" s="142" t="s">
        <v>8108</v>
      </c>
      <c r="B3304" s="142">
        <v>517030</v>
      </c>
      <c r="C3304" s="143" t="s">
        <v>6735</v>
      </c>
      <c r="D3304" s="142" t="s">
        <v>4690</v>
      </c>
      <c r="E3304" s="143" t="s">
        <v>5111</v>
      </c>
      <c r="F3304" s="143" t="s">
        <v>8109</v>
      </c>
      <c r="G3304" s="142" t="s">
        <v>6739</v>
      </c>
      <c r="H3304" s="142" t="s">
        <v>51</v>
      </c>
      <c r="I3304" s="143" t="s">
        <v>4693</v>
      </c>
      <c r="J3304" s="143" t="s">
        <v>6741</v>
      </c>
      <c r="K3304" s="144"/>
      <c r="L3304" s="145"/>
      <c r="M3304" s="144"/>
    </row>
    <row r="3305" spans="1:13" ht="15" customHeight="1">
      <c r="A3305" s="146" t="s">
        <v>8110</v>
      </c>
      <c r="B3305" s="146">
        <v>515697</v>
      </c>
      <c r="C3305" s="147" t="s">
        <v>6735</v>
      </c>
      <c r="D3305" s="146" t="s">
        <v>4690</v>
      </c>
      <c r="E3305" s="147" t="s">
        <v>5443</v>
      </c>
      <c r="F3305" s="147" t="s">
        <v>5443</v>
      </c>
      <c r="G3305" s="146" t="s">
        <v>6739</v>
      </c>
      <c r="H3305" s="146" t="s">
        <v>51</v>
      </c>
      <c r="I3305" s="147" t="s">
        <v>4693</v>
      </c>
      <c r="J3305" s="147" t="s">
        <v>6741</v>
      </c>
      <c r="K3305" s="148"/>
      <c r="L3305" s="149"/>
      <c r="M3305" s="148"/>
    </row>
    <row r="3306" spans="1:13" ht="15" customHeight="1">
      <c r="A3306" s="142" t="s">
        <v>8111</v>
      </c>
      <c r="B3306" s="142">
        <v>515698</v>
      </c>
      <c r="C3306" s="143" t="s">
        <v>6735</v>
      </c>
      <c r="D3306" s="142" t="s">
        <v>4690</v>
      </c>
      <c r="E3306" s="143" t="s">
        <v>5443</v>
      </c>
      <c r="F3306" s="143" t="s">
        <v>5443</v>
      </c>
      <c r="G3306" s="142" t="s">
        <v>6739</v>
      </c>
      <c r="H3306" s="142" t="s">
        <v>51</v>
      </c>
      <c r="I3306" s="143" t="s">
        <v>4693</v>
      </c>
      <c r="J3306" s="143" t="s">
        <v>6741</v>
      </c>
      <c r="K3306" s="144"/>
      <c r="L3306" s="145"/>
      <c r="M3306" s="144"/>
    </row>
    <row r="3307" spans="1:13" ht="15" customHeight="1">
      <c r="A3307" s="146" t="s">
        <v>8112</v>
      </c>
      <c r="B3307" s="146">
        <v>515699</v>
      </c>
      <c r="C3307" s="147" t="s">
        <v>6735</v>
      </c>
      <c r="D3307" s="146" t="s">
        <v>4690</v>
      </c>
      <c r="E3307" s="147" t="s">
        <v>5443</v>
      </c>
      <c r="F3307" s="147" t="s">
        <v>5443</v>
      </c>
      <c r="G3307" s="146" t="s">
        <v>6739</v>
      </c>
      <c r="H3307" s="146" t="s">
        <v>51</v>
      </c>
      <c r="I3307" s="147" t="s">
        <v>4693</v>
      </c>
      <c r="J3307" s="147" t="s">
        <v>6741</v>
      </c>
      <c r="K3307" s="148"/>
      <c r="L3307" s="149"/>
      <c r="M3307" s="148"/>
    </row>
    <row r="3308" spans="1:13" ht="15" customHeight="1">
      <c r="A3308" s="142" t="s">
        <v>8113</v>
      </c>
      <c r="B3308" s="142">
        <v>515624</v>
      </c>
      <c r="C3308" s="143" t="s">
        <v>6735</v>
      </c>
      <c r="D3308" s="142" t="s">
        <v>4690</v>
      </c>
      <c r="E3308" s="143" t="s">
        <v>5443</v>
      </c>
      <c r="F3308" s="143" t="s">
        <v>8114</v>
      </c>
      <c r="G3308" s="142" t="s">
        <v>6739</v>
      </c>
      <c r="H3308" s="142" t="s">
        <v>51</v>
      </c>
      <c r="I3308" s="143" t="s">
        <v>4693</v>
      </c>
      <c r="J3308" s="143" t="s">
        <v>6741</v>
      </c>
      <c r="K3308" s="144"/>
      <c r="L3308" s="145"/>
      <c r="M3308" s="144"/>
    </row>
    <row r="3309" spans="1:13" ht="15" customHeight="1">
      <c r="A3309" s="146" t="s">
        <v>8115</v>
      </c>
      <c r="B3309" s="146">
        <v>515580</v>
      </c>
      <c r="C3309" s="147" t="s">
        <v>6735</v>
      </c>
      <c r="D3309" s="146" t="s">
        <v>4690</v>
      </c>
      <c r="E3309" s="147" t="s">
        <v>2756</v>
      </c>
      <c r="F3309" s="147" t="s">
        <v>8116</v>
      </c>
      <c r="G3309" s="146" t="s">
        <v>6739</v>
      </c>
      <c r="H3309" s="146" t="s">
        <v>51</v>
      </c>
      <c r="I3309" s="147" t="s">
        <v>4693</v>
      </c>
      <c r="J3309" s="147" t="s">
        <v>6741</v>
      </c>
      <c r="K3309" s="148"/>
      <c r="L3309" s="149"/>
      <c r="M3309" s="148"/>
    </row>
    <row r="3310" spans="1:13" ht="15" customHeight="1">
      <c r="A3310" s="142" t="s">
        <v>8117</v>
      </c>
      <c r="B3310" s="142">
        <v>515608</v>
      </c>
      <c r="C3310" s="143" t="s">
        <v>6735</v>
      </c>
      <c r="D3310" s="142" t="s">
        <v>4690</v>
      </c>
      <c r="E3310" s="143" t="s">
        <v>8118</v>
      </c>
      <c r="F3310" s="143" t="s">
        <v>8119</v>
      </c>
      <c r="G3310" s="142" t="s">
        <v>6739</v>
      </c>
      <c r="H3310" s="142" t="s">
        <v>51</v>
      </c>
      <c r="I3310" s="143" t="s">
        <v>4693</v>
      </c>
      <c r="J3310" s="143" t="s">
        <v>6741</v>
      </c>
      <c r="K3310" s="144"/>
      <c r="L3310" s="145"/>
      <c r="M3310" s="144"/>
    </row>
    <row r="3311" spans="1:13" ht="15" customHeight="1">
      <c r="A3311" s="146" t="s">
        <v>8120</v>
      </c>
      <c r="B3311" s="146">
        <v>515609</v>
      </c>
      <c r="C3311" s="147" t="s">
        <v>6735</v>
      </c>
      <c r="D3311" s="146" t="s">
        <v>4690</v>
      </c>
      <c r="E3311" s="147" t="s">
        <v>8118</v>
      </c>
      <c r="F3311" s="147" t="s">
        <v>8119</v>
      </c>
      <c r="G3311" s="146" t="s">
        <v>6739</v>
      </c>
      <c r="H3311" s="146" t="s">
        <v>51</v>
      </c>
      <c r="I3311" s="147" t="s">
        <v>4693</v>
      </c>
      <c r="J3311" s="147" t="s">
        <v>6741</v>
      </c>
      <c r="K3311" s="148"/>
      <c r="L3311" s="149"/>
      <c r="M3311" s="148"/>
    </row>
    <row r="3312" spans="1:13" ht="15" customHeight="1">
      <c r="A3312" s="142" t="s">
        <v>8121</v>
      </c>
      <c r="B3312" s="142">
        <v>516987</v>
      </c>
      <c r="C3312" s="143" t="s">
        <v>6735</v>
      </c>
      <c r="D3312" s="142" t="s">
        <v>4690</v>
      </c>
      <c r="E3312" s="143" t="s">
        <v>4708</v>
      </c>
      <c r="F3312" s="143" t="s">
        <v>1323</v>
      </c>
      <c r="G3312" s="142" t="s">
        <v>6739</v>
      </c>
      <c r="H3312" s="142" t="s">
        <v>51</v>
      </c>
      <c r="I3312" s="143" t="s">
        <v>4693</v>
      </c>
      <c r="J3312" s="143" t="s">
        <v>6741</v>
      </c>
      <c r="K3312" s="144"/>
      <c r="L3312" s="145"/>
      <c r="M3312" s="144"/>
    </row>
    <row r="3313" spans="1:13" ht="15" customHeight="1">
      <c r="A3313" s="146" t="s">
        <v>8122</v>
      </c>
      <c r="B3313" s="146">
        <v>515712</v>
      </c>
      <c r="C3313" s="147" t="s">
        <v>6735</v>
      </c>
      <c r="D3313" s="146" t="s">
        <v>4690</v>
      </c>
      <c r="E3313" s="147" t="s">
        <v>4712</v>
      </c>
      <c r="F3313" s="147" t="s">
        <v>2756</v>
      </c>
      <c r="G3313" s="146" t="s">
        <v>6739</v>
      </c>
      <c r="H3313" s="146" t="s">
        <v>50</v>
      </c>
      <c r="I3313" s="147" t="s">
        <v>1532</v>
      </c>
      <c r="J3313" s="147" t="s">
        <v>6741</v>
      </c>
      <c r="K3313" s="148" t="s">
        <v>162</v>
      </c>
      <c r="L3313" s="149">
        <v>46146</v>
      </c>
      <c r="M3313" s="148" t="s">
        <v>1740</v>
      </c>
    </row>
    <row r="3314" spans="1:13" ht="15" customHeight="1">
      <c r="A3314" s="142" t="s">
        <v>8123</v>
      </c>
      <c r="B3314" s="142">
        <v>515576</v>
      </c>
      <c r="C3314" s="143" t="s">
        <v>6735</v>
      </c>
      <c r="D3314" s="142" t="s">
        <v>4690</v>
      </c>
      <c r="E3314" s="143" t="s">
        <v>4715</v>
      </c>
      <c r="F3314" s="143" t="s">
        <v>8124</v>
      </c>
      <c r="G3314" s="142" t="s">
        <v>6739</v>
      </c>
      <c r="H3314" s="142" t="s">
        <v>51</v>
      </c>
      <c r="I3314" s="143" t="s">
        <v>4693</v>
      </c>
      <c r="J3314" s="143" t="s">
        <v>6741</v>
      </c>
      <c r="K3314" s="144"/>
      <c r="L3314" s="145"/>
      <c r="M3314" s="144"/>
    </row>
    <row r="3315" spans="1:13" ht="15" customHeight="1">
      <c r="A3315" s="146" t="s">
        <v>8125</v>
      </c>
      <c r="B3315" s="146">
        <v>515474</v>
      </c>
      <c r="C3315" s="147" t="s">
        <v>6735</v>
      </c>
      <c r="D3315" s="146" t="s">
        <v>4690</v>
      </c>
      <c r="E3315" s="147" t="s">
        <v>4844</v>
      </c>
      <c r="F3315" s="147" t="s">
        <v>4844</v>
      </c>
      <c r="G3315" s="146" t="s">
        <v>6739</v>
      </c>
      <c r="H3315" s="146" t="s">
        <v>51</v>
      </c>
      <c r="I3315" s="147" t="s">
        <v>4693</v>
      </c>
      <c r="J3315" s="147" t="s">
        <v>6741</v>
      </c>
      <c r="K3315" s="148"/>
      <c r="L3315" s="149"/>
      <c r="M3315" s="148"/>
    </row>
    <row r="3316" spans="1:13" ht="15" customHeight="1">
      <c r="A3316" s="142" t="s">
        <v>8126</v>
      </c>
      <c r="B3316" s="142">
        <v>515611</v>
      </c>
      <c r="C3316" s="143" t="s">
        <v>6735</v>
      </c>
      <c r="D3316" s="142" t="s">
        <v>4690</v>
      </c>
      <c r="E3316" s="143" t="s">
        <v>4704</v>
      </c>
      <c r="F3316" s="143" t="s">
        <v>4238</v>
      </c>
      <c r="G3316" s="142" t="s">
        <v>6739</v>
      </c>
      <c r="H3316" s="142" t="s">
        <v>51</v>
      </c>
      <c r="I3316" s="143" t="s">
        <v>4693</v>
      </c>
      <c r="J3316" s="143" t="s">
        <v>6741</v>
      </c>
      <c r="K3316" s="144"/>
      <c r="L3316" s="145"/>
      <c r="M3316" s="144"/>
    </row>
    <row r="3317" spans="1:13" ht="15" customHeight="1">
      <c r="A3317" s="146" t="s">
        <v>8127</v>
      </c>
      <c r="B3317" s="146">
        <v>515551</v>
      </c>
      <c r="C3317" s="147" t="s">
        <v>6735</v>
      </c>
      <c r="D3317" s="146" t="s">
        <v>4690</v>
      </c>
      <c r="E3317" s="147" t="s">
        <v>5281</v>
      </c>
      <c r="F3317" s="147" t="s">
        <v>5282</v>
      </c>
      <c r="G3317" s="146" t="s">
        <v>6739</v>
      </c>
      <c r="H3317" s="146" t="s">
        <v>51</v>
      </c>
      <c r="I3317" s="147" t="s">
        <v>4693</v>
      </c>
      <c r="J3317" s="147" t="s">
        <v>6741</v>
      </c>
      <c r="K3317" s="148"/>
      <c r="L3317" s="149"/>
      <c r="M3317" s="148"/>
    </row>
    <row r="3318" spans="1:13" ht="15" customHeight="1">
      <c r="A3318" s="142" t="s">
        <v>8128</v>
      </c>
      <c r="B3318" s="142">
        <v>515411</v>
      </c>
      <c r="C3318" s="143" t="s">
        <v>6735</v>
      </c>
      <c r="D3318" s="142" t="s">
        <v>4690</v>
      </c>
      <c r="E3318" s="143" t="s">
        <v>4832</v>
      </c>
      <c r="F3318" s="143" t="s">
        <v>4832</v>
      </c>
      <c r="G3318" s="142" t="s">
        <v>6739</v>
      </c>
      <c r="H3318" s="142" t="s">
        <v>51</v>
      </c>
      <c r="I3318" s="143" t="s">
        <v>4693</v>
      </c>
      <c r="J3318" s="143" t="s">
        <v>6741</v>
      </c>
      <c r="K3318" s="144"/>
      <c r="L3318" s="145"/>
      <c r="M3318" s="144"/>
    </row>
    <row r="3319" spans="1:13" ht="15" customHeight="1">
      <c r="A3319" s="146" t="s">
        <v>8129</v>
      </c>
      <c r="B3319" s="146">
        <v>515314</v>
      </c>
      <c r="C3319" s="147" t="s">
        <v>6735</v>
      </c>
      <c r="D3319" s="146" t="s">
        <v>4690</v>
      </c>
      <c r="E3319" s="147" t="s">
        <v>5007</v>
      </c>
      <c r="F3319" s="147" t="s">
        <v>5007</v>
      </c>
      <c r="G3319" s="146" t="s">
        <v>6739</v>
      </c>
      <c r="H3319" s="146" t="s">
        <v>51</v>
      </c>
      <c r="I3319" s="147" t="s">
        <v>4693</v>
      </c>
      <c r="J3319" s="147" t="s">
        <v>6741</v>
      </c>
      <c r="K3319" s="148"/>
      <c r="L3319" s="149"/>
      <c r="M3319" s="148"/>
    </row>
    <row r="3320" spans="1:13" ht="15" customHeight="1">
      <c r="A3320" s="142" t="s">
        <v>8130</v>
      </c>
      <c r="B3320" s="142">
        <v>515466</v>
      </c>
      <c r="C3320" s="143" t="s">
        <v>6735</v>
      </c>
      <c r="D3320" s="142" t="s">
        <v>4690</v>
      </c>
      <c r="E3320" s="143" t="s">
        <v>8131</v>
      </c>
      <c r="F3320" s="143" t="s">
        <v>8132</v>
      </c>
      <c r="G3320" s="142" t="s">
        <v>6739</v>
      </c>
      <c r="H3320" s="142" t="s">
        <v>51</v>
      </c>
      <c r="I3320" s="143" t="s">
        <v>4693</v>
      </c>
      <c r="J3320" s="143" t="s">
        <v>6741</v>
      </c>
      <c r="K3320" s="144"/>
      <c r="L3320" s="145"/>
      <c r="M3320" s="144"/>
    </row>
    <row r="3321" spans="1:13" ht="15" customHeight="1">
      <c r="A3321" s="146" t="s">
        <v>8133</v>
      </c>
      <c r="B3321" s="146">
        <v>515579</v>
      </c>
      <c r="C3321" s="147" t="s">
        <v>6735</v>
      </c>
      <c r="D3321" s="146" t="s">
        <v>4690</v>
      </c>
      <c r="E3321" s="147" t="s">
        <v>503</v>
      </c>
      <c r="F3321" s="147" t="s">
        <v>8134</v>
      </c>
      <c r="G3321" s="146" t="s">
        <v>6739</v>
      </c>
      <c r="H3321" s="146" t="s">
        <v>51</v>
      </c>
      <c r="I3321" s="147" t="s">
        <v>4693</v>
      </c>
      <c r="J3321" s="147" t="s">
        <v>6741</v>
      </c>
      <c r="K3321" s="148"/>
      <c r="L3321" s="149"/>
      <c r="M3321" s="148"/>
    </row>
    <row r="3322" spans="1:13" ht="15" customHeight="1">
      <c r="A3322" s="142" t="s">
        <v>8135</v>
      </c>
      <c r="B3322" s="142">
        <v>515541</v>
      </c>
      <c r="C3322" s="143" t="s">
        <v>6735</v>
      </c>
      <c r="D3322" s="142" t="s">
        <v>4690</v>
      </c>
      <c r="E3322" s="143" t="s">
        <v>5152</v>
      </c>
      <c r="F3322" s="143" t="s">
        <v>8136</v>
      </c>
      <c r="G3322" s="142" t="s">
        <v>6739</v>
      </c>
      <c r="H3322" s="142" t="s">
        <v>51</v>
      </c>
      <c r="I3322" s="143" t="s">
        <v>4693</v>
      </c>
      <c r="J3322" s="143" t="s">
        <v>6741</v>
      </c>
      <c r="K3322" s="144"/>
      <c r="L3322" s="145"/>
      <c r="M3322" s="144"/>
    </row>
    <row r="3323" spans="1:13" ht="15" customHeight="1">
      <c r="A3323" s="146" t="s">
        <v>8137</v>
      </c>
      <c r="B3323" s="146">
        <v>515434</v>
      </c>
      <c r="C3323" s="147" t="s">
        <v>6735</v>
      </c>
      <c r="D3323" s="146" t="s">
        <v>4690</v>
      </c>
      <c r="E3323" s="147" t="s">
        <v>5294</v>
      </c>
      <c r="F3323" s="147" t="s">
        <v>5294</v>
      </c>
      <c r="G3323" s="146" t="s">
        <v>6739</v>
      </c>
      <c r="H3323" s="146" t="s">
        <v>51</v>
      </c>
      <c r="I3323" s="147" t="s">
        <v>4693</v>
      </c>
      <c r="J3323" s="147" t="s">
        <v>6741</v>
      </c>
      <c r="K3323" s="148"/>
      <c r="L3323" s="149"/>
      <c r="M3323" s="148"/>
    </row>
    <row r="3324" spans="1:13" ht="15" customHeight="1">
      <c r="A3324" s="142" t="s">
        <v>8138</v>
      </c>
      <c r="B3324" s="142">
        <v>515690</v>
      </c>
      <c r="C3324" s="143" t="s">
        <v>6735</v>
      </c>
      <c r="D3324" s="142" t="s">
        <v>4690</v>
      </c>
      <c r="E3324" s="143" t="s">
        <v>5379</v>
      </c>
      <c r="F3324" s="143" t="s">
        <v>8139</v>
      </c>
      <c r="G3324" s="142" t="s">
        <v>6739</v>
      </c>
      <c r="H3324" s="142" t="s">
        <v>51</v>
      </c>
      <c r="I3324" s="143" t="s">
        <v>4693</v>
      </c>
      <c r="J3324" s="143" t="s">
        <v>6741</v>
      </c>
      <c r="K3324" s="144"/>
      <c r="L3324" s="145"/>
      <c r="M3324" s="144"/>
    </row>
    <row r="3325" spans="1:13" ht="15" customHeight="1">
      <c r="A3325" s="146" t="s">
        <v>8140</v>
      </c>
      <c r="B3325" s="146">
        <v>515691</v>
      </c>
      <c r="C3325" s="147" t="s">
        <v>6735</v>
      </c>
      <c r="D3325" s="146" t="s">
        <v>4690</v>
      </c>
      <c r="E3325" s="147" t="s">
        <v>5379</v>
      </c>
      <c r="F3325" s="147" t="s">
        <v>8139</v>
      </c>
      <c r="G3325" s="146" t="s">
        <v>6739</v>
      </c>
      <c r="H3325" s="146" t="s">
        <v>51</v>
      </c>
      <c r="I3325" s="147" t="s">
        <v>4693</v>
      </c>
      <c r="J3325" s="147" t="s">
        <v>6741</v>
      </c>
      <c r="K3325" s="148"/>
      <c r="L3325" s="149"/>
      <c r="M3325" s="148"/>
    </row>
    <row r="3326" spans="1:13" ht="15" customHeight="1">
      <c r="A3326" s="142" t="s">
        <v>8141</v>
      </c>
      <c r="B3326" s="142">
        <v>515692</v>
      </c>
      <c r="C3326" s="143" t="s">
        <v>6735</v>
      </c>
      <c r="D3326" s="142" t="s">
        <v>4690</v>
      </c>
      <c r="E3326" s="143" t="s">
        <v>5379</v>
      </c>
      <c r="F3326" s="143" t="s">
        <v>8139</v>
      </c>
      <c r="G3326" s="142" t="s">
        <v>6739</v>
      </c>
      <c r="H3326" s="142" t="s">
        <v>51</v>
      </c>
      <c r="I3326" s="143" t="s">
        <v>4693</v>
      </c>
      <c r="J3326" s="143" t="s">
        <v>6741</v>
      </c>
      <c r="K3326" s="144"/>
      <c r="L3326" s="145"/>
      <c r="M3326" s="144"/>
    </row>
    <row r="3327" spans="1:13" ht="15" customHeight="1">
      <c r="A3327" s="146" t="s">
        <v>8142</v>
      </c>
      <c r="B3327" s="146">
        <v>515693</v>
      </c>
      <c r="C3327" s="147" t="s">
        <v>6735</v>
      </c>
      <c r="D3327" s="146" t="s">
        <v>4690</v>
      </c>
      <c r="E3327" s="147" t="s">
        <v>5379</v>
      </c>
      <c r="F3327" s="147" t="s">
        <v>8139</v>
      </c>
      <c r="G3327" s="146" t="s">
        <v>6739</v>
      </c>
      <c r="H3327" s="146" t="s">
        <v>51</v>
      </c>
      <c r="I3327" s="147" t="s">
        <v>4693</v>
      </c>
      <c r="J3327" s="147" t="s">
        <v>6741</v>
      </c>
      <c r="K3327" s="148"/>
      <c r="L3327" s="149"/>
      <c r="M3327" s="148"/>
    </row>
    <row r="3328" spans="1:13" ht="15" customHeight="1">
      <c r="A3328" s="142" t="s">
        <v>8143</v>
      </c>
      <c r="B3328" s="142">
        <v>515468</v>
      </c>
      <c r="C3328" s="143" t="s">
        <v>6735</v>
      </c>
      <c r="D3328" s="142" t="s">
        <v>4690</v>
      </c>
      <c r="E3328" s="143" t="s">
        <v>1086</v>
      </c>
      <c r="F3328" s="143" t="s">
        <v>8144</v>
      </c>
      <c r="G3328" s="142" t="s">
        <v>6739</v>
      </c>
      <c r="H3328" s="142" t="s">
        <v>51</v>
      </c>
      <c r="I3328" s="143" t="s">
        <v>4693</v>
      </c>
      <c r="J3328" s="143" t="s">
        <v>6741</v>
      </c>
      <c r="K3328" s="144"/>
      <c r="L3328" s="145"/>
      <c r="M3328" s="144"/>
    </row>
    <row r="3329" spans="1:13" ht="15" customHeight="1">
      <c r="A3329" s="146" t="s">
        <v>8145</v>
      </c>
      <c r="B3329" s="146">
        <v>515352</v>
      </c>
      <c r="C3329" s="147" t="s">
        <v>6735</v>
      </c>
      <c r="D3329" s="146" t="s">
        <v>4690</v>
      </c>
      <c r="E3329" s="147" t="s">
        <v>4744</v>
      </c>
      <c r="F3329" s="147" t="s">
        <v>4744</v>
      </c>
      <c r="G3329" s="146" t="s">
        <v>6739</v>
      </c>
      <c r="H3329" s="146" t="s">
        <v>51</v>
      </c>
      <c r="I3329" s="147" t="s">
        <v>4693</v>
      </c>
      <c r="J3329" s="147" t="s">
        <v>6741</v>
      </c>
      <c r="K3329" s="148"/>
      <c r="L3329" s="149"/>
      <c r="M3329" s="148"/>
    </row>
    <row r="3330" spans="1:13" ht="15" customHeight="1">
      <c r="A3330" s="142" t="s">
        <v>8146</v>
      </c>
      <c r="B3330" s="142">
        <v>515427</v>
      </c>
      <c r="C3330" s="143" t="s">
        <v>6735</v>
      </c>
      <c r="D3330" s="142" t="s">
        <v>4690</v>
      </c>
      <c r="E3330" s="143" t="s">
        <v>4744</v>
      </c>
      <c r="F3330" s="143" t="s">
        <v>4744</v>
      </c>
      <c r="G3330" s="142" t="s">
        <v>6739</v>
      </c>
      <c r="H3330" s="142" t="s">
        <v>51</v>
      </c>
      <c r="I3330" s="143" t="s">
        <v>4693</v>
      </c>
      <c r="J3330" s="143" t="s">
        <v>6741</v>
      </c>
      <c r="K3330" s="144" t="s">
        <v>162</v>
      </c>
      <c r="L3330" s="145">
        <v>46150</v>
      </c>
      <c r="M3330" s="144"/>
    </row>
    <row r="3331" spans="1:13" ht="15" customHeight="1">
      <c r="A3331" s="146" t="s">
        <v>8147</v>
      </c>
      <c r="B3331" s="146">
        <v>515353</v>
      </c>
      <c r="C3331" s="147" t="s">
        <v>6735</v>
      </c>
      <c r="D3331" s="146" t="s">
        <v>4690</v>
      </c>
      <c r="E3331" s="147" t="s">
        <v>4744</v>
      </c>
      <c r="F3331" s="147" t="s">
        <v>4744</v>
      </c>
      <c r="G3331" s="146" t="s">
        <v>6739</v>
      </c>
      <c r="H3331" s="146" t="s">
        <v>51</v>
      </c>
      <c r="I3331" s="147" t="s">
        <v>4693</v>
      </c>
      <c r="J3331" s="147" t="s">
        <v>6741</v>
      </c>
      <c r="K3331" s="148"/>
      <c r="L3331" s="149"/>
      <c r="M3331" s="148"/>
    </row>
    <row r="3332" spans="1:13" ht="15" customHeight="1">
      <c r="A3332" s="142" t="s">
        <v>8148</v>
      </c>
      <c r="B3332" s="142">
        <v>515385</v>
      </c>
      <c r="C3332" s="143" t="s">
        <v>6735</v>
      </c>
      <c r="D3332" s="142" t="s">
        <v>4690</v>
      </c>
      <c r="E3332" s="143" t="s">
        <v>4744</v>
      </c>
      <c r="F3332" s="143" t="s">
        <v>4744</v>
      </c>
      <c r="G3332" s="142" t="s">
        <v>6739</v>
      </c>
      <c r="H3332" s="142" t="s">
        <v>51</v>
      </c>
      <c r="I3332" s="143" t="s">
        <v>4693</v>
      </c>
      <c r="J3332" s="143" t="s">
        <v>6741</v>
      </c>
      <c r="K3332" s="144" t="s">
        <v>121</v>
      </c>
      <c r="L3332" s="145">
        <v>46151</v>
      </c>
      <c r="M3332" s="144"/>
    </row>
    <row r="3333" spans="1:13" ht="15" customHeight="1">
      <c r="A3333" s="146" t="s">
        <v>8149</v>
      </c>
      <c r="B3333" s="146">
        <v>515348</v>
      </c>
      <c r="C3333" s="147" t="s">
        <v>6735</v>
      </c>
      <c r="D3333" s="146" t="s">
        <v>4690</v>
      </c>
      <c r="E3333" s="147" t="s">
        <v>4744</v>
      </c>
      <c r="F3333" s="147" t="s">
        <v>4744</v>
      </c>
      <c r="G3333" s="146" t="s">
        <v>6739</v>
      </c>
      <c r="H3333" s="146" t="s">
        <v>51</v>
      </c>
      <c r="I3333" s="147" t="s">
        <v>4693</v>
      </c>
      <c r="J3333" s="147" t="s">
        <v>6741</v>
      </c>
      <c r="K3333" s="148" t="s">
        <v>121</v>
      </c>
      <c r="L3333" s="149">
        <v>46150</v>
      </c>
      <c r="M3333" s="148"/>
    </row>
    <row r="3334" spans="1:13" ht="15" customHeight="1">
      <c r="A3334" s="142" t="s">
        <v>8150</v>
      </c>
      <c r="B3334" s="142">
        <v>515380</v>
      </c>
      <c r="C3334" s="143" t="s">
        <v>6735</v>
      </c>
      <c r="D3334" s="142" t="s">
        <v>4690</v>
      </c>
      <c r="E3334" s="143" t="s">
        <v>4744</v>
      </c>
      <c r="F3334" s="143" t="s">
        <v>4744</v>
      </c>
      <c r="G3334" s="142" t="s">
        <v>6739</v>
      </c>
      <c r="H3334" s="142" t="s">
        <v>51</v>
      </c>
      <c r="I3334" s="143" t="s">
        <v>4693</v>
      </c>
      <c r="J3334" s="143" t="s">
        <v>6741</v>
      </c>
      <c r="K3334" s="144" t="s">
        <v>121</v>
      </c>
      <c r="L3334" s="145">
        <v>46148</v>
      </c>
      <c r="M3334" s="144"/>
    </row>
    <row r="3335" spans="1:13" ht="15" customHeight="1">
      <c r="A3335" s="146" t="s">
        <v>8151</v>
      </c>
      <c r="B3335" s="146">
        <v>515350</v>
      </c>
      <c r="C3335" s="147" t="s">
        <v>6735</v>
      </c>
      <c r="D3335" s="146" t="s">
        <v>4690</v>
      </c>
      <c r="E3335" s="147" t="s">
        <v>4744</v>
      </c>
      <c r="F3335" s="147" t="s">
        <v>4744</v>
      </c>
      <c r="G3335" s="146" t="s">
        <v>6739</v>
      </c>
      <c r="H3335" s="146" t="s">
        <v>51</v>
      </c>
      <c r="I3335" s="147" t="s">
        <v>4693</v>
      </c>
      <c r="J3335" s="147" t="s">
        <v>6741</v>
      </c>
      <c r="K3335" s="148" t="s">
        <v>121</v>
      </c>
      <c r="L3335" s="149">
        <v>46151</v>
      </c>
      <c r="M3335" s="148"/>
    </row>
    <row r="3336" spans="1:13" ht="15" customHeight="1">
      <c r="A3336" s="142" t="s">
        <v>8152</v>
      </c>
      <c r="B3336" s="142">
        <v>515381</v>
      </c>
      <c r="C3336" s="143" t="s">
        <v>6735</v>
      </c>
      <c r="D3336" s="142" t="s">
        <v>4690</v>
      </c>
      <c r="E3336" s="143" t="s">
        <v>4744</v>
      </c>
      <c r="F3336" s="143" t="s">
        <v>4744</v>
      </c>
      <c r="G3336" s="142" t="s">
        <v>6739</v>
      </c>
      <c r="H3336" s="142" t="s">
        <v>51</v>
      </c>
      <c r="I3336" s="143" t="s">
        <v>4693</v>
      </c>
      <c r="J3336" s="143" t="s">
        <v>6741</v>
      </c>
      <c r="K3336" s="144" t="s">
        <v>162</v>
      </c>
      <c r="L3336" s="145">
        <v>46151</v>
      </c>
      <c r="M3336" s="144"/>
    </row>
    <row r="3337" spans="1:13" ht="15" customHeight="1">
      <c r="A3337" s="146" t="s">
        <v>8153</v>
      </c>
      <c r="B3337" s="146">
        <v>515349</v>
      </c>
      <c r="C3337" s="147" t="s">
        <v>6735</v>
      </c>
      <c r="D3337" s="146" t="s">
        <v>4690</v>
      </c>
      <c r="E3337" s="147" t="s">
        <v>4744</v>
      </c>
      <c r="F3337" s="147" t="s">
        <v>4744</v>
      </c>
      <c r="G3337" s="146" t="s">
        <v>6739</v>
      </c>
      <c r="H3337" s="146" t="s">
        <v>51</v>
      </c>
      <c r="I3337" s="147" t="s">
        <v>4693</v>
      </c>
      <c r="J3337" s="147" t="s">
        <v>6741</v>
      </c>
      <c r="K3337" s="148" t="s">
        <v>162</v>
      </c>
      <c r="L3337" s="149">
        <v>46151</v>
      </c>
      <c r="M3337" s="148"/>
    </row>
    <row r="3338" spans="1:13" ht="15" customHeight="1">
      <c r="A3338" s="142" t="s">
        <v>8154</v>
      </c>
      <c r="B3338" s="142">
        <v>515602</v>
      </c>
      <c r="C3338" s="143" t="s">
        <v>6735</v>
      </c>
      <c r="D3338" s="142" t="s">
        <v>4690</v>
      </c>
      <c r="E3338" s="143" t="s">
        <v>4744</v>
      </c>
      <c r="F3338" s="143" t="s">
        <v>4744</v>
      </c>
      <c r="G3338" s="142" t="s">
        <v>6739</v>
      </c>
      <c r="H3338" s="142" t="s">
        <v>51</v>
      </c>
      <c r="I3338" s="143" t="s">
        <v>4693</v>
      </c>
      <c r="J3338" s="143" t="s">
        <v>6741</v>
      </c>
      <c r="K3338" s="144" t="s">
        <v>121</v>
      </c>
      <c r="L3338" s="145">
        <v>46148</v>
      </c>
      <c r="M3338" s="144"/>
    </row>
    <row r="3339" spans="1:13" ht="15" customHeight="1">
      <c r="A3339" s="146" t="s">
        <v>8155</v>
      </c>
      <c r="B3339" s="146">
        <v>515428</v>
      </c>
      <c r="C3339" s="147" t="s">
        <v>6735</v>
      </c>
      <c r="D3339" s="146" t="s">
        <v>4690</v>
      </c>
      <c r="E3339" s="147" t="s">
        <v>4744</v>
      </c>
      <c r="F3339" s="147" t="s">
        <v>4744</v>
      </c>
      <c r="G3339" s="146" t="s">
        <v>6739</v>
      </c>
      <c r="H3339" s="146" t="s">
        <v>51</v>
      </c>
      <c r="I3339" s="147" t="s">
        <v>4693</v>
      </c>
      <c r="J3339" s="147" t="s">
        <v>6741</v>
      </c>
      <c r="K3339" s="148" t="s">
        <v>162</v>
      </c>
      <c r="L3339" s="149">
        <v>46148</v>
      </c>
      <c r="M3339" s="148"/>
    </row>
    <row r="3340" spans="1:13" ht="15" customHeight="1">
      <c r="A3340" s="142" t="s">
        <v>8156</v>
      </c>
      <c r="B3340" s="142">
        <v>515371</v>
      </c>
      <c r="C3340" s="143" t="s">
        <v>6735</v>
      </c>
      <c r="D3340" s="142" t="s">
        <v>4690</v>
      </c>
      <c r="E3340" s="143" t="s">
        <v>4744</v>
      </c>
      <c r="F3340" s="143" t="s">
        <v>658</v>
      </c>
      <c r="G3340" s="142" t="s">
        <v>6739</v>
      </c>
      <c r="H3340" s="142" t="s">
        <v>51</v>
      </c>
      <c r="I3340" s="143" t="s">
        <v>4693</v>
      </c>
      <c r="J3340" s="143" t="s">
        <v>6741</v>
      </c>
      <c r="K3340" s="144"/>
      <c r="L3340" s="145"/>
      <c r="M3340" s="144"/>
    </row>
    <row r="3341" spans="1:13" ht="15" customHeight="1">
      <c r="A3341" s="146" t="s">
        <v>8157</v>
      </c>
      <c r="B3341" s="146">
        <v>515617</v>
      </c>
      <c r="C3341" s="147" t="s">
        <v>6735</v>
      </c>
      <c r="D3341" s="146" t="s">
        <v>4690</v>
      </c>
      <c r="E3341" s="147" t="s">
        <v>4750</v>
      </c>
      <c r="F3341" s="147" t="s">
        <v>8158</v>
      </c>
      <c r="G3341" s="146" t="s">
        <v>6739</v>
      </c>
      <c r="H3341" s="146" t="s">
        <v>51</v>
      </c>
      <c r="I3341" s="147" t="s">
        <v>4693</v>
      </c>
      <c r="J3341" s="147" t="s">
        <v>6741</v>
      </c>
      <c r="K3341" s="148"/>
      <c r="L3341" s="149"/>
      <c r="M3341" s="148"/>
    </row>
    <row r="3342" spans="1:13" ht="15" customHeight="1">
      <c r="A3342" s="142" t="s">
        <v>8159</v>
      </c>
      <c r="B3342" s="142">
        <v>515618</v>
      </c>
      <c r="C3342" s="143" t="s">
        <v>6735</v>
      </c>
      <c r="D3342" s="142" t="s">
        <v>4690</v>
      </c>
      <c r="E3342" s="143" t="s">
        <v>4750</v>
      </c>
      <c r="F3342" s="143" t="s">
        <v>8158</v>
      </c>
      <c r="G3342" s="142" t="s">
        <v>6739</v>
      </c>
      <c r="H3342" s="142" t="s">
        <v>51</v>
      </c>
      <c r="I3342" s="143" t="s">
        <v>4693</v>
      </c>
      <c r="J3342" s="143" t="s">
        <v>6741</v>
      </c>
      <c r="K3342" s="144"/>
      <c r="L3342" s="145"/>
      <c r="M3342" s="144"/>
    </row>
    <row r="3343" spans="1:13" ht="15" customHeight="1">
      <c r="A3343" s="146" t="s">
        <v>8160</v>
      </c>
      <c r="B3343" s="146">
        <v>515553</v>
      </c>
      <c r="C3343" s="147" t="s">
        <v>6735</v>
      </c>
      <c r="D3343" s="146" t="s">
        <v>4690</v>
      </c>
      <c r="E3343" s="147" t="s">
        <v>4879</v>
      </c>
      <c r="F3343" s="147" t="s">
        <v>4879</v>
      </c>
      <c r="G3343" s="146" t="s">
        <v>6739</v>
      </c>
      <c r="H3343" s="146" t="s">
        <v>51</v>
      </c>
      <c r="I3343" s="147" t="s">
        <v>4693</v>
      </c>
      <c r="J3343" s="147" t="s">
        <v>6741</v>
      </c>
      <c r="K3343" s="148"/>
      <c r="L3343" s="149"/>
      <c r="M3343" s="148"/>
    </row>
    <row r="3344" spans="1:13" ht="15" customHeight="1">
      <c r="A3344" s="142" t="s">
        <v>8161</v>
      </c>
      <c r="B3344" s="142">
        <v>515486</v>
      </c>
      <c r="C3344" s="143" t="s">
        <v>6735</v>
      </c>
      <c r="D3344" s="142" t="s">
        <v>4690</v>
      </c>
      <c r="E3344" s="143" t="s">
        <v>5297</v>
      </c>
      <c r="F3344" s="143" t="s">
        <v>5297</v>
      </c>
      <c r="G3344" s="142" t="s">
        <v>6739</v>
      </c>
      <c r="H3344" s="142" t="s">
        <v>51</v>
      </c>
      <c r="I3344" s="143" t="s">
        <v>4693</v>
      </c>
      <c r="J3344" s="143" t="s">
        <v>6741</v>
      </c>
      <c r="K3344" s="144"/>
      <c r="L3344" s="145"/>
      <c r="M3344" s="144"/>
    </row>
    <row r="3345" spans="1:13" ht="15" customHeight="1">
      <c r="A3345" s="146" t="s">
        <v>8162</v>
      </c>
      <c r="B3345" s="146">
        <v>516927</v>
      </c>
      <c r="C3345" s="147" t="s">
        <v>6735</v>
      </c>
      <c r="D3345" s="146" t="s">
        <v>4690</v>
      </c>
      <c r="E3345" s="147" t="s">
        <v>4758</v>
      </c>
      <c r="F3345" s="147" t="s">
        <v>8163</v>
      </c>
      <c r="G3345" s="146" t="s">
        <v>6739</v>
      </c>
      <c r="H3345" s="146" t="s">
        <v>51</v>
      </c>
      <c r="I3345" s="147" t="s">
        <v>4693</v>
      </c>
      <c r="J3345" s="147" t="s">
        <v>6741</v>
      </c>
      <c r="K3345" s="148"/>
      <c r="L3345" s="149"/>
      <c r="M3345" s="148"/>
    </row>
    <row r="3346" spans="1:13" ht="15" customHeight="1">
      <c r="A3346" s="142" t="s">
        <v>8164</v>
      </c>
      <c r="B3346" s="142">
        <v>515347</v>
      </c>
      <c r="C3346" s="143" t="s">
        <v>6735</v>
      </c>
      <c r="D3346" s="142" t="s">
        <v>4690</v>
      </c>
      <c r="E3346" s="143" t="s">
        <v>8165</v>
      </c>
      <c r="F3346" s="143" t="s">
        <v>8165</v>
      </c>
      <c r="G3346" s="142" t="s">
        <v>6739</v>
      </c>
      <c r="H3346" s="142" t="s">
        <v>51</v>
      </c>
      <c r="I3346" s="143" t="s">
        <v>4693</v>
      </c>
      <c r="J3346" s="143" t="s">
        <v>6741</v>
      </c>
      <c r="K3346" s="144"/>
      <c r="L3346" s="145"/>
      <c r="M3346" s="144"/>
    </row>
    <row r="3347" spans="1:13" ht="15" customHeight="1">
      <c r="A3347" s="146" t="s">
        <v>8166</v>
      </c>
      <c r="B3347" s="146">
        <v>515757</v>
      </c>
      <c r="C3347" s="147" t="s">
        <v>6735</v>
      </c>
      <c r="D3347" s="146" t="s">
        <v>4690</v>
      </c>
      <c r="E3347" s="147" t="s">
        <v>4944</v>
      </c>
      <c r="F3347" s="147" t="s">
        <v>8167</v>
      </c>
      <c r="G3347" s="146" t="s">
        <v>6739</v>
      </c>
      <c r="H3347" s="146" t="s">
        <v>51</v>
      </c>
      <c r="I3347" s="147" t="s">
        <v>4693</v>
      </c>
      <c r="J3347" s="147" t="s">
        <v>6741</v>
      </c>
      <c r="K3347" s="148"/>
      <c r="L3347" s="149"/>
      <c r="M3347" s="148"/>
    </row>
    <row r="3348" spans="1:13" ht="15" customHeight="1">
      <c r="A3348" s="142" t="s">
        <v>8168</v>
      </c>
      <c r="B3348" s="142">
        <v>515492</v>
      </c>
      <c r="C3348" s="143" t="s">
        <v>6735</v>
      </c>
      <c r="D3348" s="142" t="s">
        <v>4690</v>
      </c>
      <c r="E3348" s="143" t="s">
        <v>8169</v>
      </c>
      <c r="F3348" s="143" t="s">
        <v>8169</v>
      </c>
      <c r="G3348" s="142" t="s">
        <v>6739</v>
      </c>
      <c r="H3348" s="142" t="s">
        <v>50</v>
      </c>
      <c r="I3348" s="143" t="s">
        <v>1532</v>
      </c>
      <c r="J3348" s="143" t="s">
        <v>6741</v>
      </c>
      <c r="K3348" s="144" t="s">
        <v>162</v>
      </c>
      <c r="L3348" s="145">
        <v>46141</v>
      </c>
      <c r="M3348" s="181" t="s">
        <v>1716</v>
      </c>
    </row>
    <row r="3349" spans="1:13" ht="15" customHeight="1">
      <c r="A3349" s="146" t="s">
        <v>8170</v>
      </c>
      <c r="B3349" s="146">
        <v>515477</v>
      </c>
      <c r="C3349" s="147" t="s">
        <v>6735</v>
      </c>
      <c r="D3349" s="146" t="s">
        <v>4690</v>
      </c>
      <c r="E3349" s="147" t="s">
        <v>5088</v>
      </c>
      <c r="F3349" s="147" t="s">
        <v>8171</v>
      </c>
      <c r="G3349" s="146" t="s">
        <v>6739</v>
      </c>
      <c r="H3349" s="146" t="s">
        <v>51</v>
      </c>
      <c r="I3349" s="147" t="s">
        <v>4693</v>
      </c>
      <c r="J3349" s="147" t="s">
        <v>6741</v>
      </c>
      <c r="K3349" s="148"/>
      <c r="L3349" s="149"/>
      <c r="M3349" s="148"/>
    </row>
    <row r="3350" spans="1:13" ht="15" customHeight="1">
      <c r="A3350" s="142" t="s">
        <v>8172</v>
      </c>
      <c r="B3350" s="142">
        <v>515366</v>
      </c>
      <c r="C3350" s="143" t="s">
        <v>6735</v>
      </c>
      <c r="D3350" s="142" t="s">
        <v>4690</v>
      </c>
      <c r="E3350" s="143" t="s">
        <v>4793</v>
      </c>
      <c r="F3350" s="143" t="s">
        <v>4793</v>
      </c>
      <c r="G3350" s="142" t="s">
        <v>6739</v>
      </c>
      <c r="H3350" s="142" t="s">
        <v>51</v>
      </c>
      <c r="I3350" s="143" t="s">
        <v>4693</v>
      </c>
      <c r="J3350" s="143" t="s">
        <v>6741</v>
      </c>
      <c r="K3350" s="144"/>
      <c r="L3350" s="145"/>
      <c r="M3350" s="144"/>
    </row>
    <row r="3351" spans="1:13" ht="15" customHeight="1">
      <c r="A3351" s="146" t="s">
        <v>8173</v>
      </c>
      <c r="B3351" s="146">
        <v>515376</v>
      </c>
      <c r="C3351" s="147" t="s">
        <v>6735</v>
      </c>
      <c r="D3351" s="146" t="s">
        <v>4690</v>
      </c>
      <c r="E3351" s="147" t="s">
        <v>4793</v>
      </c>
      <c r="F3351" s="147" t="s">
        <v>5065</v>
      </c>
      <c r="G3351" s="146" t="s">
        <v>6739</v>
      </c>
      <c r="H3351" s="146" t="s">
        <v>51</v>
      </c>
      <c r="I3351" s="147" t="s">
        <v>4693</v>
      </c>
      <c r="J3351" s="147" t="s">
        <v>6741</v>
      </c>
      <c r="K3351" s="148"/>
      <c r="L3351" s="149"/>
      <c r="M3351" s="148"/>
    </row>
    <row r="3352" spans="1:13" ht="15" customHeight="1">
      <c r="A3352" s="142" t="s">
        <v>8174</v>
      </c>
      <c r="B3352" s="142">
        <v>515390</v>
      </c>
      <c r="C3352" s="143" t="s">
        <v>6735</v>
      </c>
      <c r="D3352" s="142" t="s">
        <v>4690</v>
      </c>
      <c r="E3352" s="143" t="s">
        <v>4793</v>
      </c>
      <c r="F3352" s="143" t="s">
        <v>2263</v>
      </c>
      <c r="G3352" s="142" t="s">
        <v>6739</v>
      </c>
      <c r="H3352" s="142" t="s">
        <v>51</v>
      </c>
      <c r="I3352" s="143" t="s">
        <v>4693</v>
      </c>
      <c r="J3352" s="143" t="s">
        <v>6741</v>
      </c>
      <c r="K3352" s="144"/>
      <c r="L3352" s="145"/>
      <c r="M3352" s="144"/>
    </row>
    <row r="3353" spans="1:13" ht="15" customHeight="1">
      <c r="A3353" s="146" t="s">
        <v>8175</v>
      </c>
      <c r="B3353" s="146">
        <v>515615</v>
      </c>
      <c r="C3353" s="147" t="s">
        <v>6735</v>
      </c>
      <c r="D3353" s="146" t="s">
        <v>4690</v>
      </c>
      <c r="E3353" s="147" t="s">
        <v>4797</v>
      </c>
      <c r="F3353" s="147" t="s">
        <v>8176</v>
      </c>
      <c r="G3353" s="146" t="s">
        <v>6739</v>
      </c>
      <c r="H3353" s="146" t="s">
        <v>50</v>
      </c>
      <c r="I3353" s="147" t="s">
        <v>3391</v>
      </c>
      <c r="J3353" s="147" t="s">
        <v>6741</v>
      </c>
      <c r="K3353" s="148"/>
      <c r="L3353" s="149"/>
      <c r="M3353" s="148"/>
    </row>
    <row r="3354" spans="1:13" ht="15" customHeight="1">
      <c r="A3354" s="142" t="s">
        <v>8177</v>
      </c>
      <c r="B3354" s="142">
        <v>515557</v>
      </c>
      <c r="C3354" s="143" t="s">
        <v>6735</v>
      </c>
      <c r="D3354" s="142" t="s">
        <v>4690</v>
      </c>
      <c r="E3354" s="143" t="s">
        <v>8178</v>
      </c>
      <c r="F3354" s="143" t="s">
        <v>8179</v>
      </c>
      <c r="G3354" s="142" t="s">
        <v>6739</v>
      </c>
      <c r="H3354" s="142" t="s">
        <v>51</v>
      </c>
      <c r="I3354" s="143" t="s">
        <v>4693</v>
      </c>
      <c r="J3354" s="143" t="s">
        <v>6741</v>
      </c>
      <c r="K3354" s="144"/>
      <c r="L3354" s="145"/>
      <c r="M3354" s="144"/>
    </row>
    <row r="3355" spans="1:13" ht="15" customHeight="1">
      <c r="A3355" s="146" t="s">
        <v>8180</v>
      </c>
      <c r="B3355" s="146">
        <v>515558</v>
      </c>
      <c r="C3355" s="147" t="s">
        <v>6735</v>
      </c>
      <c r="D3355" s="146" t="s">
        <v>4690</v>
      </c>
      <c r="E3355" s="147" t="s">
        <v>8178</v>
      </c>
      <c r="F3355" s="147" t="s">
        <v>8179</v>
      </c>
      <c r="G3355" s="146" t="s">
        <v>6739</v>
      </c>
      <c r="H3355" s="146" t="s">
        <v>51</v>
      </c>
      <c r="I3355" s="147" t="s">
        <v>4693</v>
      </c>
      <c r="J3355" s="147" t="s">
        <v>6741</v>
      </c>
      <c r="K3355" s="148"/>
      <c r="L3355" s="149"/>
      <c r="M3355" s="148"/>
    </row>
    <row r="3356" spans="1:13" ht="15" customHeight="1">
      <c r="A3356" s="142" t="s">
        <v>8181</v>
      </c>
      <c r="B3356" s="142">
        <v>512850</v>
      </c>
      <c r="C3356" s="143" t="s">
        <v>6735</v>
      </c>
      <c r="D3356" s="142" t="s">
        <v>4690</v>
      </c>
      <c r="E3356" s="143" t="s">
        <v>4808</v>
      </c>
      <c r="F3356" s="143" t="s">
        <v>8182</v>
      </c>
      <c r="G3356" s="142" t="s">
        <v>6739</v>
      </c>
      <c r="H3356" s="142" t="s">
        <v>51</v>
      </c>
      <c r="I3356" s="143" t="s">
        <v>4693</v>
      </c>
      <c r="J3356" s="143" t="s">
        <v>6741</v>
      </c>
      <c r="K3356" s="144"/>
      <c r="L3356" s="145"/>
      <c r="M3356" s="144"/>
    </row>
    <row r="3357" spans="1:13" ht="15" customHeight="1">
      <c r="A3357" s="146" t="s">
        <v>8183</v>
      </c>
      <c r="B3357" s="146">
        <v>515454</v>
      </c>
      <c r="C3357" s="147" t="s">
        <v>6735</v>
      </c>
      <c r="D3357" s="146" t="s">
        <v>4690</v>
      </c>
      <c r="E3357" s="147" t="s">
        <v>4812</v>
      </c>
      <c r="F3357" s="147" t="s">
        <v>4812</v>
      </c>
      <c r="G3357" s="146" t="s">
        <v>6739</v>
      </c>
      <c r="H3357" s="146" t="s">
        <v>51</v>
      </c>
      <c r="I3357" s="147" t="s">
        <v>4693</v>
      </c>
      <c r="J3357" s="147" t="s">
        <v>6741</v>
      </c>
      <c r="K3357" s="148" t="s">
        <v>121</v>
      </c>
      <c r="L3357" s="149">
        <v>46150</v>
      </c>
      <c r="M3357" s="148"/>
    </row>
    <row r="3358" spans="1:13" ht="15" customHeight="1">
      <c r="A3358" s="142" t="s">
        <v>8184</v>
      </c>
      <c r="B3358" s="142">
        <v>515505</v>
      </c>
      <c r="C3358" s="143" t="s">
        <v>6735</v>
      </c>
      <c r="D3358" s="142" t="s">
        <v>4690</v>
      </c>
      <c r="E3358" s="143" t="s">
        <v>4812</v>
      </c>
      <c r="F3358" s="143" t="s">
        <v>4812</v>
      </c>
      <c r="G3358" s="142" t="s">
        <v>6739</v>
      </c>
      <c r="H3358" s="142" t="s">
        <v>51</v>
      </c>
      <c r="I3358" s="143" t="s">
        <v>4693</v>
      </c>
      <c r="J3358" s="143" t="s">
        <v>6741</v>
      </c>
      <c r="K3358" s="144" t="s">
        <v>121</v>
      </c>
      <c r="L3358" s="145">
        <v>46149</v>
      </c>
      <c r="M3358" s="144"/>
    </row>
    <row r="3359" spans="1:13" ht="15" customHeight="1">
      <c r="A3359" s="146" t="s">
        <v>8185</v>
      </c>
      <c r="B3359" s="146">
        <v>515500</v>
      </c>
      <c r="C3359" s="147" t="s">
        <v>6735</v>
      </c>
      <c r="D3359" s="146" t="s">
        <v>4690</v>
      </c>
      <c r="E3359" s="147" t="s">
        <v>4812</v>
      </c>
      <c r="F3359" s="147" t="s">
        <v>8186</v>
      </c>
      <c r="G3359" s="146" t="s">
        <v>6739</v>
      </c>
      <c r="H3359" s="146" t="s">
        <v>51</v>
      </c>
      <c r="I3359" s="147" t="s">
        <v>4693</v>
      </c>
      <c r="J3359" s="147" t="s">
        <v>6741</v>
      </c>
      <c r="K3359" s="148" t="s">
        <v>121</v>
      </c>
      <c r="L3359" s="149">
        <v>46149</v>
      </c>
      <c r="M3359" s="148"/>
    </row>
    <row r="3360" spans="1:13" ht="15" customHeight="1">
      <c r="A3360" s="142" t="s">
        <v>8187</v>
      </c>
      <c r="B3360" s="142">
        <v>515512</v>
      </c>
      <c r="C3360" s="143" t="s">
        <v>6735</v>
      </c>
      <c r="D3360" s="142" t="s">
        <v>4690</v>
      </c>
      <c r="E3360" s="143" t="s">
        <v>4816</v>
      </c>
      <c r="F3360" s="143" t="s">
        <v>4816</v>
      </c>
      <c r="G3360" s="142" t="s">
        <v>6739</v>
      </c>
      <c r="H3360" s="142" t="s">
        <v>51</v>
      </c>
      <c r="I3360" s="143" t="s">
        <v>4693</v>
      </c>
      <c r="J3360" s="143" t="s">
        <v>6741</v>
      </c>
      <c r="K3360" s="144"/>
      <c r="L3360" s="145"/>
      <c r="M3360" s="144"/>
    </row>
    <row r="3361" spans="1:13" ht="15" customHeight="1">
      <c r="A3361" s="146" t="s">
        <v>8188</v>
      </c>
      <c r="B3361" s="146">
        <v>515416</v>
      </c>
      <c r="C3361" s="147" t="s">
        <v>6735</v>
      </c>
      <c r="D3361" s="146" t="s">
        <v>4690</v>
      </c>
      <c r="E3361" s="147" t="s">
        <v>423</v>
      </c>
      <c r="F3361" s="147" t="s">
        <v>8189</v>
      </c>
      <c r="G3361" s="146" t="s">
        <v>6739</v>
      </c>
      <c r="H3361" s="146" t="s">
        <v>51</v>
      </c>
      <c r="I3361" s="147" t="s">
        <v>4693</v>
      </c>
      <c r="J3361" s="147" t="s">
        <v>6741</v>
      </c>
      <c r="K3361" s="148"/>
      <c r="L3361" s="149"/>
      <c r="M3361" s="148"/>
    </row>
    <row r="3362" spans="1:13" ht="15" customHeight="1">
      <c r="A3362" s="142" t="s">
        <v>8190</v>
      </c>
      <c r="B3362" s="142">
        <v>515345</v>
      </c>
      <c r="C3362" s="143" t="s">
        <v>6735</v>
      </c>
      <c r="D3362" s="142" t="s">
        <v>4690</v>
      </c>
      <c r="E3362" s="143" t="s">
        <v>4820</v>
      </c>
      <c r="F3362" s="143" t="s">
        <v>4820</v>
      </c>
      <c r="G3362" s="142" t="s">
        <v>6739</v>
      </c>
      <c r="H3362" s="142" t="s">
        <v>51</v>
      </c>
      <c r="I3362" s="143" t="s">
        <v>4693</v>
      </c>
      <c r="J3362" s="143" t="s">
        <v>6741</v>
      </c>
      <c r="K3362" s="144"/>
      <c r="L3362" s="145"/>
      <c r="M3362" s="144"/>
    </row>
    <row r="3363" spans="1:13" ht="15" customHeight="1">
      <c r="A3363" s="146" t="s">
        <v>8191</v>
      </c>
      <c r="B3363" s="146">
        <v>515514</v>
      </c>
      <c r="C3363" s="147" t="s">
        <v>6735</v>
      </c>
      <c r="D3363" s="146" t="s">
        <v>4690</v>
      </c>
      <c r="E3363" s="147" t="s">
        <v>4868</v>
      </c>
      <c r="F3363" s="147" t="s">
        <v>4868</v>
      </c>
      <c r="G3363" s="146" t="s">
        <v>6739</v>
      </c>
      <c r="H3363" s="146" t="s">
        <v>51</v>
      </c>
      <c r="I3363" s="147" t="s">
        <v>4693</v>
      </c>
      <c r="J3363" s="147" t="s">
        <v>6741</v>
      </c>
      <c r="K3363" s="148"/>
      <c r="L3363" s="149"/>
      <c r="M3363" s="148"/>
    </row>
    <row r="3364" spans="1:13" ht="15" customHeight="1">
      <c r="A3364" s="142" t="s">
        <v>8192</v>
      </c>
      <c r="B3364" s="142">
        <v>515516</v>
      </c>
      <c r="C3364" s="143" t="s">
        <v>6735</v>
      </c>
      <c r="D3364" s="142" t="s">
        <v>4690</v>
      </c>
      <c r="E3364" s="143" t="s">
        <v>4824</v>
      </c>
      <c r="F3364" s="143" t="s">
        <v>8193</v>
      </c>
      <c r="G3364" s="142" t="s">
        <v>6739</v>
      </c>
      <c r="H3364" s="142" t="s">
        <v>51</v>
      </c>
      <c r="I3364" s="143" t="s">
        <v>4693</v>
      </c>
      <c r="J3364" s="143" t="s">
        <v>6741</v>
      </c>
      <c r="K3364" s="144"/>
      <c r="L3364" s="145"/>
      <c r="M3364" s="144"/>
    </row>
    <row r="3365" spans="1:13" ht="15" customHeight="1">
      <c r="A3365" s="146" t="s">
        <v>8194</v>
      </c>
      <c r="B3365" s="146">
        <v>515517</v>
      </c>
      <c r="C3365" s="147" t="s">
        <v>6735</v>
      </c>
      <c r="D3365" s="146" t="s">
        <v>4690</v>
      </c>
      <c r="E3365" s="147" t="s">
        <v>4824</v>
      </c>
      <c r="F3365" s="147" t="s">
        <v>8193</v>
      </c>
      <c r="G3365" s="146" t="s">
        <v>6739</v>
      </c>
      <c r="H3365" s="146" t="s">
        <v>51</v>
      </c>
      <c r="I3365" s="147" t="s">
        <v>4693</v>
      </c>
      <c r="J3365" s="147" t="s">
        <v>6741</v>
      </c>
      <c r="K3365" s="148"/>
      <c r="L3365" s="149"/>
      <c r="M3365" s="148"/>
    </row>
    <row r="3366" spans="1:13" ht="15" customHeight="1">
      <c r="A3366" s="142" t="s">
        <v>8195</v>
      </c>
      <c r="B3366" s="142">
        <v>515449</v>
      </c>
      <c r="C3366" s="143" t="s">
        <v>6735</v>
      </c>
      <c r="D3366" s="142" t="s">
        <v>4690</v>
      </c>
      <c r="E3366" s="143" t="s">
        <v>4824</v>
      </c>
      <c r="F3366" s="143" t="s">
        <v>8196</v>
      </c>
      <c r="G3366" s="142" t="s">
        <v>6739</v>
      </c>
      <c r="H3366" s="142" t="s">
        <v>51</v>
      </c>
      <c r="I3366" s="143" t="s">
        <v>4693</v>
      </c>
      <c r="J3366" s="143" t="s">
        <v>6741</v>
      </c>
      <c r="K3366" s="144"/>
      <c r="L3366" s="145"/>
      <c r="M3366" s="144"/>
    </row>
    <row r="3367" spans="1:13" ht="15" customHeight="1">
      <c r="A3367" s="146" t="s">
        <v>8197</v>
      </c>
      <c r="B3367" s="146">
        <v>515448</v>
      </c>
      <c r="C3367" s="147" t="s">
        <v>6735</v>
      </c>
      <c r="D3367" s="146" t="s">
        <v>4690</v>
      </c>
      <c r="E3367" s="147" t="s">
        <v>4824</v>
      </c>
      <c r="F3367" s="147" t="s">
        <v>4825</v>
      </c>
      <c r="G3367" s="146" t="s">
        <v>6739</v>
      </c>
      <c r="H3367" s="146" t="s">
        <v>51</v>
      </c>
      <c r="I3367" s="147" t="s">
        <v>4693</v>
      </c>
      <c r="J3367" s="147" t="s">
        <v>6741</v>
      </c>
      <c r="K3367" s="148"/>
      <c r="L3367" s="149"/>
      <c r="M3367" s="148"/>
    </row>
    <row r="3368" spans="1:13" ht="15" customHeight="1">
      <c r="A3368" s="142" t="s">
        <v>8198</v>
      </c>
      <c r="B3368" s="142">
        <v>515606</v>
      </c>
      <c r="C3368" s="143" t="s">
        <v>6735</v>
      </c>
      <c r="D3368" s="142" t="s">
        <v>4690</v>
      </c>
      <c r="E3368" s="143" t="s">
        <v>8199</v>
      </c>
      <c r="F3368" s="143" t="s">
        <v>8199</v>
      </c>
      <c r="G3368" s="142" t="s">
        <v>6739</v>
      </c>
      <c r="H3368" s="142" t="s">
        <v>51</v>
      </c>
      <c r="I3368" s="143" t="s">
        <v>4693</v>
      </c>
      <c r="J3368" s="143" t="s">
        <v>6741</v>
      </c>
      <c r="K3368" s="144"/>
      <c r="L3368" s="145"/>
      <c r="M3368" s="144"/>
    </row>
    <row r="3369" spans="1:13" ht="15" customHeight="1">
      <c r="A3369" s="146" t="s">
        <v>8200</v>
      </c>
      <c r="B3369" s="146">
        <v>515741</v>
      </c>
      <c r="C3369" s="147" t="s">
        <v>6735</v>
      </c>
      <c r="D3369" s="146" t="s">
        <v>4690</v>
      </c>
      <c r="E3369" s="147" t="s">
        <v>4967</v>
      </c>
      <c r="F3369" s="147" t="s">
        <v>8201</v>
      </c>
      <c r="G3369" s="146" t="s">
        <v>6739</v>
      </c>
      <c r="H3369" s="146" t="s">
        <v>51</v>
      </c>
      <c r="I3369" s="147" t="s">
        <v>4693</v>
      </c>
      <c r="J3369" s="147" t="s">
        <v>6741</v>
      </c>
      <c r="K3369" s="148" t="s">
        <v>162</v>
      </c>
      <c r="L3369" s="149">
        <v>46149</v>
      </c>
      <c r="M3369" s="148"/>
    </row>
    <row r="3370" spans="1:13" ht="15" customHeight="1">
      <c r="A3370" s="142" t="s">
        <v>8202</v>
      </c>
      <c r="B3370" s="142">
        <v>516530</v>
      </c>
      <c r="C3370" s="143" t="s">
        <v>6735</v>
      </c>
      <c r="D3370" s="142" t="s">
        <v>4690</v>
      </c>
      <c r="E3370" s="143" t="s">
        <v>4828</v>
      </c>
      <c r="F3370" s="143" t="s">
        <v>8203</v>
      </c>
      <c r="G3370" s="142" t="s">
        <v>6739</v>
      </c>
      <c r="H3370" s="142" t="s">
        <v>51</v>
      </c>
      <c r="I3370" s="143" t="s">
        <v>4693</v>
      </c>
      <c r="J3370" s="143" t="s">
        <v>6741</v>
      </c>
      <c r="K3370" s="144"/>
      <c r="L3370" s="145"/>
      <c r="M3370" s="144"/>
    </row>
    <row r="3371" spans="1:13" ht="15" customHeight="1">
      <c r="A3371" s="146" t="s">
        <v>8204</v>
      </c>
      <c r="B3371" s="146">
        <v>515465</v>
      </c>
      <c r="C3371" s="147" t="s">
        <v>6735</v>
      </c>
      <c r="D3371" s="146" t="s">
        <v>4690</v>
      </c>
      <c r="E3371" s="147" t="s">
        <v>4828</v>
      </c>
      <c r="F3371" s="147" t="s">
        <v>8203</v>
      </c>
      <c r="G3371" s="146" t="s">
        <v>6739</v>
      </c>
      <c r="H3371" s="146" t="s">
        <v>51</v>
      </c>
      <c r="I3371" s="147" t="s">
        <v>4693</v>
      </c>
      <c r="J3371" s="147" t="s">
        <v>6741</v>
      </c>
      <c r="K3371" s="148"/>
      <c r="L3371" s="149"/>
      <c r="M3371" s="148"/>
    </row>
    <row r="3372" spans="1:13" ht="15" customHeight="1">
      <c r="A3372" s="142" t="s">
        <v>8205</v>
      </c>
      <c r="B3372" s="142">
        <v>515483</v>
      </c>
      <c r="C3372" s="143" t="s">
        <v>6735</v>
      </c>
      <c r="D3372" s="142" t="s">
        <v>4690</v>
      </c>
      <c r="E3372" s="143" t="s">
        <v>4740</v>
      </c>
      <c r="F3372" s="143" t="s">
        <v>8206</v>
      </c>
      <c r="G3372" s="142" t="s">
        <v>6739</v>
      </c>
      <c r="H3372" s="142" t="s">
        <v>51</v>
      </c>
      <c r="I3372" s="143" t="s">
        <v>4693</v>
      </c>
      <c r="J3372" s="143" t="s">
        <v>6741</v>
      </c>
      <c r="K3372" s="144"/>
      <c r="L3372" s="145"/>
      <c r="M3372" s="144"/>
    </row>
    <row r="3373" spans="1:13" ht="15" customHeight="1">
      <c r="A3373" s="146" t="s">
        <v>8207</v>
      </c>
      <c r="B3373" s="146">
        <v>513204</v>
      </c>
      <c r="C3373" s="147" t="s">
        <v>6735</v>
      </c>
      <c r="D3373" s="146" t="s">
        <v>4690</v>
      </c>
      <c r="E3373" s="147" t="s">
        <v>4740</v>
      </c>
      <c r="F3373" s="147" t="s">
        <v>8208</v>
      </c>
      <c r="G3373" s="146" t="s">
        <v>6739</v>
      </c>
      <c r="H3373" s="146" t="s">
        <v>51</v>
      </c>
      <c r="I3373" s="147" t="s">
        <v>4693</v>
      </c>
      <c r="J3373" s="147" t="s">
        <v>6741</v>
      </c>
      <c r="K3373" s="148"/>
      <c r="L3373" s="149"/>
      <c r="M3373" s="148"/>
    </row>
    <row r="3374" spans="1:13" ht="15" customHeight="1">
      <c r="A3374" s="142" t="s">
        <v>8209</v>
      </c>
      <c r="B3374" s="142">
        <v>515399</v>
      </c>
      <c r="C3374" s="143" t="s">
        <v>6735</v>
      </c>
      <c r="D3374" s="142" t="s">
        <v>4690</v>
      </c>
      <c r="E3374" s="143" t="s">
        <v>4691</v>
      </c>
      <c r="F3374" s="143" t="s">
        <v>4691</v>
      </c>
      <c r="G3374" s="142" t="s">
        <v>6739</v>
      </c>
      <c r="H3374" s="142" t="s">
        <v>51</v>
      </c>
      <c r="I3374" s="143" t="s">
        <v>4693</v>
      </c>
      <c r="J3374" s="143" t="s">
        <v>6741</v>
      </c>
      <c r="K3374" s="144" t="s">
        <v>121</v>
      </c>
      <c r="L3374" s="145">
        <v>46148</v>
      </c>
      <c r="M3374" s="144"/>
    </row>
    <row r="3375" spans="1:13" ht="15" customHeight="1">
      <c r="A3375" s="146" t="s">
        <v>8210</v>
      </c>
      <c r="B3375" s="146">
        <v>515379</v>
      </c>
      <c r="C3375" s="147" t="s">
        <v>6735</v>
      </c>
      <c r="D3375" s="146" t="s">
        <v>4690</v>
      </c>
      <c r="E3375" s="147" t="s">
        <v>4744</v>
      </c>
      <c r="F3375" s="147" t="s">
        <v>4744</v>
      </c>
      <c r="G3375" s="146" t="s">
        <v>6739</v>
      </c>
      <c r="H3375" s="146" t="s">
        <v>51</v>
      </c>
      <c r="I3375" s="147" t="s">
        <v>4693</v>
      </c>
      <c r="J3375" s="147" t="s">
        <v>6741</v>
      </c>
      <c r="K3375" s="148" t="s">
        <v>162</v>
      </c>
      <c r="L3375" s="149">
        <v>46149</v>
      </c>
      <c r="M3375" s="148"/>
    </row>
    <row r="3376" spans="1:13" ht="15" customHeight="1">
      <c r="A3376" s="142" t="s">
        <v>8211</v>
      </c>
      <c r="B3376" s="142">
        <v>515475</v>
      </c>
      <c r="C3376" s="143" t="s">
        <v>6735</v>
      </c>
      <c r="D3376" s="142" t="s">
        <v>4690</v>
      </c>
      <c r="E3376" s="143" t="s">
        <v>5088</v>
      </c>
      <c r="F3376" s="143" t="s">
        <v>8212</v>
      </c>
      <c r="G3376" s="142" t="s">
        <v>6739</v>
      </c>
      <c r="H3376" s="142" t="s">
        <v>51</v>
      </c>
      <c r="I3376" s="143" t="s">
        <v>4693</v>
      </c>
      <c r="J3376" s="143" t="s">
        <v>6741</v>
      </c>
      <c r="K3376" s="144"/>
      <c r="L3376" s="145"/>
      <c r="M3376" s="144"/>
    </row>
    <row r="3377" spans="1:13" ht="15" customHeight="1">
      <c r="A3377" s="146" t="s">
        <v>8213</v>
      </c>
      <c r="B3377" s="146">
        <v>515721</v>
      </c>
      <c r="C3377" s="147" t="s">
        <v>6735</v>
      </c>
      <c r="D3377" s="146" t="s">
        <v>4690</v>
      </c>
      <c r="E3377" s="147" t="s">
        <v>4812</v>
      </c>
      <c r="F3377" s="147" t="s">
        <v>8214</v>
      </c>
      <c r="G3377" s="146" t="s">
        <v>6739</v>
      </c>
      <c r="H3377" s="146" t="s">
        <v>51</v>
      </c>
      <c r="I3377" s="147" t="s">
        <v>4693</v>
      </c>
      <c r="J3377" s="147" t="s">
        <v>6741</v>
      </c>
      <c r="K3377" s="148" t="s">
        <v>121</v>
      </c>
      <c r="L3377" s="149">
        <v>46150</v>
      </c>
      <c r="M3377" s="148"/>
    </row>
    <row r="3378" spans="1:13" ht="15" customHeight="1">
      <c r="A3378" s="142" t="s">
        <v>8215</v>
      </c>
      <c r="B3378" s="142">
        <v>515746</v>
      </c>
      <c r="C3378" s="143" t="s">
        <v>6735</v>
      </c>
      <c r="D3378" s="142" t="s">
        <v>4690</v>
      </c>
      <c r="E3378" s="143" t="s">
        <v>4828</v>
      </c>
      <c r="F3378" s="143" t="s">
        <v>8203</v>
      </c>
      <c r="G3378" s="142" t="s">
        <v>6739</v>
      </c>
      <c r="H3378" s="142" t="s">
        <v>51</v>
      </c>
      <c r="I3378" s="143" t="s">
        <v>4693</v>
      </c>
      <c r="J3378" s="143" t="s">
        <v>6741</v>
      </c>
      <c r="K3378" s="144"/>
      <c r="L3378" s="145"/>
      <c r="M3378" s="144"/>
    </row>
    <row r="3379" spans="1:13" ht="15" customHeight="1">
      <c r="A3379" s="146" t="s">
        <v>8216</v>
      </c>
      <c r="B3379" s="146">
        <v>515476</v>
      </c>
      <c r="C3379" s="147" t="s">
        <v>6735</v>
      </c>
      <c r="D3379" s="146" t="s">
        <v>4690</v>
      </c>
      <c r="E3379" s="147" t="s">
        <v>5088</v>
      </c>
      <c r="F3379" s="147" t="s">
        <v>8217</v>
      </c>
      <c r="G3379" s="146" t="s">
        <v>6739</v>
      </c>
      <c r="H3379" s="146" t="s">
        <v>51</v>
      </c>
      <c r="I3379" s="147" t="s">
        <v>4693</v>
      </c>
      <c r="J3379" s="147" t="s">
        <v>6741</v>
      </c>
      <c r="K3379" s="148"/>
      <c r="L3379" s="149"/>
      <c r="M3379" s="148"/>
    </row>
    <row r="3380" spans="1:13" ht="15" customHeight="1">
      <c r="A3380" s="142" t="s">
        <v>8218</v>
      </c>
      <c r="B3380" s="142">
        <v>515373</v>
      </c>
      <c r="C3380" s="143" t="s">
        <v>6735</v>
      </c>
      <c r="D3380" s="142" t="s">
        <v>4690</v>
      </c>
      <c r="E3380" s="143" t="s">
        <v>4744</v>
      </c>
      <c r="F3380" s="143" t="s">
        <v>8219</v>
      </c>
      <c r="G3380" s="142" t="s">
        <v>6739</v>
      </c>
      <c r="H3380" s="142" t="s">
        <v>51</v>
      </c>
      <c r="I3380" s="143" t="s">
        <v>4693</v>
      </c>
      <c r="J3380" s="143" t="s">
        <v>6741</v>
      </c>
      <c r="K3380" s="144"/>
      <c r="L3380" s="145"/>
      <c r="M3380" s="144"/>
    </row>
    <row r="3381" spans="1:13" ht="15" customHeight="1">
      <c r="A3381" s="146" t="s">
        <v>8220</v>
      </c>
      <c r="B3381" s="146">
        <v>515384</v>
      </c>
      <c r="C3381" s="147" t="s">
        <v>6735</v>
      </c>
      <c r="D3381" s="146" t="s">
        <v>4690</v>
      </c>
      <c r="E3381" s="147" t="s">
        <v>4744</v>
      </c>
      <c r="F3381" s="147" t="s">
        <v>4744</v>
      </c>
      <c r="G3381" s="146" t="s">
        <v>6739</v>
      </c>
      <c r="H3381" s="146" t="s">
        <v>51</v>
      </c>
      <c r="I3381" s="147" t="s">
        <v>4693</v>
      </c>
      <c r="J3381" s="147" t="s">
        <v>6741</v>
      </c>
      <c r="K3381" s="148" t="s">
        <v>162</v>
      </c>
      <c r="L3381" s="149">
        <v>46148</v>
      </c>
      <c r="M3381" s="148"/>
    </row>
    <row r="3382" spans="1:13" ht="15" customHeight="1">
      <c r="A3382" s="142" t="s">
        <v>8221</v>
      </c>
      <c r="B3382" s="142">
        <v>515742</v>
      </c>
      <c r="C3382" s="143" t="s">
        <v>6735</v>
      </c>
      <c r="D3382" s="142" t="s">
        <v>4690</v>
      </c>
      <c r="E3382" s="143" t="s">
        <v>4921</v>
      </c>
      <c r="F3382" s="143" t="s">
        <v>8222</v>
      </c>
      <c r="G3382" s="142" t="s">
        <v>6739</v>
      </c>
      <c r="H3382" s="142" t="s">
        <v>50</v>
      </c>
      <c r="I3382" s="143" t="s">
        <v>3391</v>
      </c>
      <c r="J3382" s="143" t="s">
        <v>6741</v>
      </c>
      <c r="K3382" s="144"/>
      <c r="L3382" s="145"/>
      <c r="M3382" s="144"/>
    </row>
    <row r="3383" spans="1:13" ht="15" customHeight="1">
      <c r="A3383" s="146" t="s">
        <v>8223</v>
      </c>
      <c r="B3383" s="146">
        <v>516531</v>
      </c>
      <c r="C3383" s="147" t="s">
        <v>6735</v>
      </c>
      <c r="D3383" s="146" t="s">
        <v>4690</v>
      </c>
      <c r="E3383" s="147" t="s">
        <v>4828</v>
      </c>
      <c r="F3383" s="147" t="s">
        <v>8203</v>
      </c>
      <c r="G3383" s="146" t="s">
        <v>6739</v>
      </c>
      <c r="H3383" s="146" t="s">
        <v>51</v>
      </c>
      <c r="I3383" s="147" t="s">
        <v>4693</v>
      </c>
      <c r="J3383" s="147" t="s">
        <v>6741</v>
      </c>
      <c r="K3383" s="148"/>
      <c r="L3383" s="149"/>
      <c r="M3383" s="148"/>
    </row>
    <row r="3384" spans="1:13" ht="15" customHeight="1">
      <c r="A3384" s="142" t="s">
        <v>8224</v>
      </c>
      <c r="B3384" s="142">
        <v>515743</v>
      </c>
      <c r="C3384" s="143" t="s">
        <v>6735</v>
      </c>
      <c r="D3384" s="142" t="s">
        <v>4690</v>
      </c>
      <c r="E3384" s="143" t="s">
        <v>4921</v>
      </c>
      <c r="F3384" s="143" t="s">
        <v>8222</v>
      </c>
      <c r="G3384" s="142" t="s">
        <v>6739</v>
      </c>
      <c r="H3384" s="142" t="s">
        <v>50</v>
      </c>
      <c r="I3384" s="143" t="s">
        <v>3391</v>
      </c>
      <c r="J3384" s="143" t="s">
        <v>6741</v>
      </c>
      <c r="K3384" s="144"/>
      <c r="L3384" s="145"/>
      <c r="M3384" s="144"/>
    </row>
    <row r="3385" spans="1:13" ht="15" customHeight="1">
      <c r="A3385" s="146" t="s">
        <v>8225</v>
      </c>
      <c r="B3385" s="146">
        <v>515207</v>
      </c>
      <c r="C3385" s="147" t="s">
        <v>6735</v>
      </c>
      <c r="D3385" s="146" t="s">
        <v>4690</v>
      </c>
      <c r="E3385" s="147" t="s">
        <v>4744</v>
      </c>
      <c r="F3385" s="147" t="s">
        <v>8219</v>
      </c>
      <c r="G3385" s="146" t="s">
        <v>6739</v>
      </c>
      <c r="H3385" s="146" t="s">
        <v>51</v>
      </c>
      <c r="I3385" s="147" t="s">
        <v>4693</v>
      </c>
      <c r="J3385" s="147" t="s">
        <v>6741</v>
      </c>
      <c r="K3385" s="148"/>
      <c r="L3385" s="149"/>
      <c r="M3385" s="148"/>
    </row>
    <row r="3386" spans="1:13" ht="15" customHeight="1">
      <c r="A3386" s="142" t="s">
        <v>8226</v>
      </c>
      <c r="B3386" s="142">
        <v>515354</v>
      </c>
      <c r="C3386" s="143" t="s">
        <v>6735</v>
      </c>
      <c r="D3386" s="142" t="s">
        <v>4690</v>
      </c>
      <c r="E3386" s="143" t="s">
        <v>4744</v>
      </c>
      <c r="F3386" s="143" t="s">
        <v>4744</v>
      </c>
      <c r="G3386" s="142" t="s">
        <v>6739</v>
      </c>
      <c r="H3386" s="142" t="s">
        <v>51</v>
      </c>
      <c r="I3386" s="143" t="s">
        <v>4693</v>
      </c>
      <c r="J3386" s="143" t="s">
        <v>6741</v>
      </c>
      <c r="K3386" s="144"/>
      <c r="L3386" s="145"/>
      <c r="M3386" s="144"/>
    </row>
    <row r="3387" spans="1:13" ht="15" customHeight="1">
      <c r="A3387" s="146" t="s">
        <v>8227</v>
      </c>
      <c r="B3387" s="146">
        <v>515355</v>
      </c>
      <c r="C3387" s="147" t="s">
        <v>6735</v>
      </c>
      <c r="D3387" s="146" t="s">
        <v>4690</v>
      </c>
      <c r="E3387" s="147" t="s">
        <v>4744</v>
      </c>
      <c r="F3387" s="147" t="s">
        <v>4744</v>
      </c>
      <c r="G3387" s="146" t="s">
        <v>6739</v>
      </c>
      <c r="H3387" s="146" t="s">
        <v>51</v>
      </c>
      <c r="I3387" s="147" t="s">
        <v>4693</v>
      </c>
      <c r="J3387" s="147" t="s">
        <v>6741</v>
      </c>
      <c r="K3387" s="148" t="s">
        <v>162</v>
      </c>
      <c r="L3387" s="149">
        <v>46148</v>
      </c>
      <c r="M3387" s="148"/>
    </row>
    <row r="3388" spans="1:13" ht="15" customHeight="1">
      <c r="A3388" s="142" t="s">
        <v>8228</v>
      </c>
      <c r="B3388" s="142">
        <v>515418</v>
      </c>
      <c r="C3388" s="143" t="s">
        <v>6735</v>
      </c>
      <c r="D3388" s="142" t="s">
        <v>4690</v>
      </c>
      <c r="E3388" s="143" t="s">
        <v>5160</v>
      </c>
      <c r="F3388" s="143" t="s">
        <v>8229</v>
      </c>
      <c r="G3388" s="142" t="s">
        <v>6739</v>
      </c>
      <c r="H3388" s="142" t="s">
        <v>51</v>
      </c>
      <c r="I3388" s="143" t="s">
        <v>4693</v>
      </c>
      <c r="J3388" s="143" t="s">
        <v>6741</v>
      </c>
      <c r="K3388" s="144"/>
      <c r="L3388" s="145"/>
      <c r="M3388" s="144"/>
    </row>
    <row r="3389" spans="1:13" ht="15" customHeight="1">
      <c r="A3389" s="146" t="s">
        <v>8230</v>
      </c>
      <c r="B3389" s="146">
        <v>515535</v>
      </c>
      <c r="C3389" s="147" t="s">
        <v>6735</v>
      </c>
      <c r="D3389" s="146" t="s">
        <v>4690</v>
      </c>
      <c r="E3389" s="147" t="s">
        <v>4691</v>
      </c>
      <c r="F3389" s="147" t="s">
        <v>4692</v>
      </c>
      <c r="G3389" s="146" t="s">
        <v>6739</v>
      </c>
      <c r="H3389" s="146" t="s">
        <v>51</v>
      </c>
      <c r="I3389" s="147" t="s">
        <v>4693</v>
      </c>
      <c r="J3389" s="147" t="s">
        <v>6741</v>
      </c>
      <c r="K3389" s="148" t="s">
        <v>121</v>
      </c>
      <c r="L3389" s="149">
        <v>46147</v>
      </c>
      <c r="M3389" s="148"/>
    </row>
    <row r="3390" spans="1:13" ht="15" customHeight="1">
      <c r="A3390" s="142" t="s">
        <v>8231</v>
      </c>
      <c r="B3390" s="142">
        <v>515559</v>
      </c>
      <c r="C3390" s="143" t="s">
        <v>6735</v>
      </c>
      <c r="D3390" s="142" t="s">
        <v>4690</v>
      </c>
      <c r="E3390" s="143" t="s">
        <v>5013</v>
      </c>
      <c r="F3390" s="143" t="s">
        <v>8232</v>
      </c>
      <c r="G3390" s="142" t="s">
        <v>6739</v>
      </c>
      <c r="H3390" s="142" t="s">
        <v>51</v>
      </c>
      <c r="I3390" s="143" t="s">
        <v>4693</v>
      </c>
      <c r="J3390" s="143" t="s">
        <v>6741</v>
      </c>
      <c r="K3390" s="144"/>
      <c r="L3390" s="145"/>
      <c r="M3390" s="144"/>
    </row>
    <row r="3391" spans="1:13" ht="15" customHeight="1">
      <c r="A3391" s="146" t="s">
        <v>8233</v>
      </c>
      <c r="B3391" s="146">
        <v>515620</v>
      </c>
      <c r="C3391" s="147" t="s">
        <v>6735</v>
      </c>
      <c r="D3391" s="146" t="s">
        <v>4690</v>
      </c>
      <c r="E3391" s="147" t="s">
        <v>5134</v>
      </c>
      <c r="F3391" s="147" t="s">
        <v>5135</v>
      </c>
      <c r="G3391" s="146" t="s">
        <v>6739</v>
      </c>
      <c r="H3391" s="146" t="s">
        <v>51</v>
      </c>
      <c r="I3391" s="147" t="s">
        <v>4693</v>
      </c>
      <c r="J3391" s="147" t="s">
        <v>6741</v>
      </c>
      <c r="K3391" s="148"/>
      <c r="L3391" s="149"/>
      <c r="M3391" s="148"/>
    </row>
    <row r="3392" spans="1:13" ht="15" customHeight="1">
      <c r="A3392" s="142" t="s">
        <v>8234</v>
      </c>
      <c r="B3392" s="142">
        <v>513205</v>
      </c>
      <c r="C3392" s="143" t="s">
        <v>6735</v>
      </c>
      <c r="D3392" s="142" t="s">
        <v>4690</v>
      </c>
      <c r="E3392" s="143" t="s">
        <v>4740</v>
      </c>
      <c r="F3392" s="143" t="s">
        <v>4836</v>
      </c>
      <c r="G3392" s="142" t="s">
        <v>6739</v>
      </c>
      <c r="H3392" s="142" t="s">
        <v>51</v>
      </c>
      <c r="I3392" s="143" t="s">
        <v>4693</v>
      </c>
      <c r="J3392" s="143" t="s">
        <v>6741</v>
      </c>
      <c r="K3392" s="144"/>
      <c r="L3392" s="145"/>
      <c r="M3392" s="144"/>
    </row>
    <row r="3393" spans="1:13" ht="15" customHeight="1">
      <c r="A3393" s="146" t="s">
        <v>8235</v>
      </c>
      <c r="B3393" s="146">
        <v>515519</v>
      </c>
      <c r="C3393" s="147" t="s">
        <v>6735</v>
      </c>
      <c r="D3393" s="146" t="s">
        <v>4690</v>
      </c>
      <c r="E3393" s="147" t="s">
        <v>4824</v>
      </c>
      <c r="F3393" s="147" t="s">
        <v>8193</v>
      </c>
      <c r="G3393" s="146" t="s">
        <v>6739</v>
      </c>
      <c r="H3393" s="146" t="s">
        <v>51</v>
      </c>
      <c r="I3393" s="147" t="s">
        <v>4693</v>
      </c>
      <c r="J3393" s="147" t="s">
        <v>6741</v>
      </c>
      <c r="K3393" s="148"/>
      <c r="L3393" s="149"/>
      <c r="M3393" s="148"/>
    </row>
    <row r="3394" spans="1:13" ht="15" customHeight="1">
      <c r="A3394" s="142" t="s">
        <v>8236</v>
      </c>
      <c r="B3394" s="142">
        <v>515758</v>
      </c>
      <c r="C3394" s="143" t="s">
        <v>6735</v>
      </c>
      <c r="D3394" s="142" t="s">
        <v>4690</v>
      </c>
      <c r="E3394" s="143" t="s">
        <v>4944</v>
      </c>
      <c r="F3394" s="143" t="s">
        <v>8167</v>
      </c>
      <c r="G3394" s="142" t="s">
        <v>6739</v>
      </c>
      <c r="H3394" s="142" t="s">
        <v>51</v>
      </c>
      <c r="I3394" s="143" t="s">
        <v>4693</v>
      </c>
      <c r="J3394" s="143" t="s">
        <v>6741</v>
      </c>
      <c r="K3394" s="144"/>
      <c r="L3394" s="145"/>
      <c r="M3394" s="144"/>
    </row>
    <row r="3395" spans="1:13" ht="15" customHeight="1">
      <c r="A3395" s="146" t="s">
        <v>8237</v>
      </c>
      <c r="B3395" s="146">
        <v>515524</v>
      </c>
      <c r="C3395" s="147" t="s">
        <v>6735</v>
      </c>
      <c r="D3395" s="146" t="s">
        <v>4690</v>
      </c>
      <c r="E3395" s="147" t="s">
        <v>4729</v>
      </c>
      <c r="F3395" s="147" t="s">
        <v>8238</v>
      </c>
      <c r="G3395" s="146" t="s">
        <v>6739</v>
      </c>
      <c r="H3395" s="146" t="s">
        <v>51</v>
      </c>
      <c r="I3395" s="147" t="s">
        <v>4693</v>
      </c>
      <c r="J3395" s="147" t="s">
        <v>6741</v>
      </c>
      <c r="K3395" s="148"/>
      <c r="L3395" s="149"/>
      <c r="M3395" s="148"/>
    </row>
    <row r="3396" spans="1:13" ht="15" customHeight="1">
      <c r="A3396" s="142" t="s">
        <v>8239</v>
      </c>
      <c r="B3396" s="142">
        <v>515426</v>
      </c>
      <c r="C3396" s="143" t="s">
        <v>6735</v>
      </c>
      <c r="D3396" s="142" t="s">
        <v>4690</v>
      </c>
      <c r="E3396" s="143" t="s">
        <v>4820</v>
      </c>
      <c r="F3396" s="143" t="s">
        <v>8240</v>
      </c>
      <c r="G3396" s="142" t="s">
        <v>6739</v>
      </c>
      <c r="H3396" s="142" t="s">
        <v>51</v>
      </c>
      <c r="I3396" s="143" t="s">
        <v>4693</v>
      </c>
      <c r="J3396" s="143" t="s">
        <v>6741</v>
      </c>
      <c r="K3396" s="144"/>
      <c r="L3396" s="145"/>
      <c r="M3396" s="144"/>
    </row>
    <row r="3397" spans="1:13" ht="15" customHeight="1">
      <c r="A3397" s="146" t="s">
        <v>8241</v>
      </c>
      <c r="B3397" s="146">
        <v>516274</v>
      </c>
      <c r="C3397" s="147" t="s">
        <v>6735</v>
      </c>
      <c r="D3397" s="146" t="s">
        <v>4690</v>
      </c>
      <c r="E3397" s="147" t="s">
        <v>4736</v>
      </c>
      <c r="F3397" s="147" t="s">
        <v>8242</v>
      </c>
      <c r="G3397" s="146" t="s">
        <v>6739</v>
      </c>
      <c r="H3397" s="146" t="s">
        <v>51</v>
      </c>
      <c r="I3397" s="147" t="s">
        <v>4693</v>
      </c>
      <c r="J3397" s="147" t="s">
        <v>6741</v>
      </c>
      <c r="K3397" s="148"/>
      <c r="L3397" s="149"/>
      <c r="M3397" s="148"/>
    </row>
    <row r="3398" spans="1:13" ht="15" customHeight="1">
      <c r="A3398" s="142" t="s">
        <v>8243</v>
      </c>
      <c r="B3398" s="142">
        <v>515711</v>
      </c>
      <c r="C3398" s="143" t="s">
        <v>6735</v>
      </c>
      <c r="D3398" s="142" t="s">
        <v>4690</v>
      </c>
      <c r="E3398" s="143" t="s">
        <v>4712</v>
      </c>
      <c r="F3398" s="143" t="s">
        <v>4712</v>
      </c>
      <c r="G3398" s="142" t="s">
        <v>6739</v>
      </c>
      <c r="H3398" s="142" t="s">
        <v>50</v>
      </c>
      <c r="I3398" s="143" t="s">
        <v>1532</v>
      </c>
      <c r="J3398" s="143" t="s">
        <v>6741</v>
      </c>
      <c r="K3398" s="144"/>
      <c r="L3398" s="145"/>
      <c r="M3398" s="144"/>
    </row>
    <row r="3399" spans="1:13" ht="15" customHeight="1">
      <c r="A3399" s="146" t="s">
        <v>8244</v>
      </c>
      <c r="B3399" s="146">
        <v>515610</v>
      </c>
      <c r="C3399" s="147" t="s">
        <v>6735</v>
      </c>
      <c r="D3399" s="146" t="s">
        <v>4690</v>
      </c>
      <c r="E3399" s="147" t="s">
        <v>4782</v>
      </c>
      <c r="F3399" s="147" t="s">
        <v>8245</v>
      </c>
      <c r="G3399" s="146" t="s">
        <v>6739</v>
      </c>
      <c r="H3399" s="146" t="s">
        <v>50</v>
      </c>
      <c r="I3399" s="147" t="s">
        <v>3391</v>
      </c>
      <c r="J3399" s="147" t="s">
        <v>6741</v>
      </c>
      <c r="K3399" s="148"/>
      <c r="L3399" s="149"/>
      <c r="M3399" s="148"/>
    </row>
    <row r="3400" spans="1:13" ht="15" customHeight="1">
      <c r="A3400" s="142" t="s">
        <v>8246</v>
      </c>
      <c r="B3400" s="142">
        <v>515694</v>
      </c>
      <c r="C3400" s="143" t="s">
        <v>6735</v>
      </c>
      <c r="D3400" s="142" t="s">
        <v>4690</v>
      </c>
      <c r="E3400" s="143" t="s">
        <v>5379</v>
      </c>
      <c r="F3400" s="143" t="s">
        <v>8139</v>
      </c>
      <c r="G3400" s="142" t="s">
        <v>6739</v>
      </c>
      <c r="H3400" s="142" t="s">
        <v>51</v>
      </c>
      <c r="I3400" s="143" t="s">
        <v>4693</v>
      </c>
      <c r="J3400" s="143" t="s">
        <v>6741</v>
      </c>
      <c r="K3400" s="144"/>
      <c r="L3400" s="145"/>
      <c r="M3400" s="144"/>
    </row>
    <row r="3401" spans="1:13" ht="15" customHeight="1">
      <c r="A3401" s="146" t="s">
        <v>8247</v>
      </c>
      <c r="B3401" s="146">
        <v>516820</v>
      </c>
      <c r="C3401" s="147" t="s">
        <v>6735</v>
      </c>
      <c r="D3401" s="146" t="s">
        <v>4690</v>
      </c>
      <c r="E3401" s="147" t="s">
        <v>4812</v>
      </c>
      <c r="F3401" s="147" t="s">
        <v>4812</v>
      </c>
      <c r="G3401" s="146" t="s">
        <v>6739</v>
      </c>
      <c r="H3401" s="146" t="s">
        <v>51</v>
      </c>
      <c r="I3401" s="147" t="s">
        <v>4693</v>
      </c>
      <c r="J3401" s="147" t="s">
        <v>6741</v>
      </c>
      <c r="K3401" s="148"/>
      <c r="L3401" s="149"/>
      <c r="M3401" s="148"/>
    </row>
    <row r="3402" spans="1:13" ht="15" customHeight="1">
      <c r="A3402" s="142" t="s">
        <v>8248</v>
      </c>
      <c r="B3402" s="142">
        <v>515695</v>
      </c>
      <c r="C3402" s="143" t="s">
        <v>6735</v>
      </c>
      <c r="D3402" s="142" t="s">
        <v>4690</v>
      </c>
      <c r="E3402" s="143" t="s">
        <v>4993</v>
      </c>
      <c r="F3402" s="143" t="s">
        <v>4993</v>
      </c>
      <c r="G3402" s="142" t="s">
        <v>6739</v>
      </c>
      <c r="H3402" s="142" t="s">
        <v>51</v>
      </c>
      <c r="I3402" s="143" t="s">
        <v>4693</v>
      </c>
      <c r="J3402" s="143" t="s">
        <v>6741</v>
      </c>
      <c r="K3402" s="144"/>
      <c r="L3402" s="145"/>
      <c r="M3402" s="144"/>
    </row>
    <row r="3403" spans="1:13" ht="15" customHeight="1">
      <c r="A3403" s="146" t="s">
        <v>8249</v>
      </c>
      <c r="B3403" s="146">
        <v>515700</v>
      </c>
      <c r="C3403" s="147" t="s">
        <v>6735</v>
      </c>
      <c r="D3403" s="146" t="s">
        <v>4690</v>
      </c>
      <c r="E3403" s="147" t="s">
        <v>5443</v>
      </c>
      <c r="F3403" s="147" t="s">
        <v>5443</v>
      </c>
      <c r="G3403" s="146" t="s">
        <v>6739</v>
      </c>
      <c r="H3403" s="146" t="s">
        <v>51</v>
      </c>
      <c r="I3403" s="147" t="s">
        <v>4693</v>
      </c>
      <c r="J3403" s="147" t="s">
        <v>6741</v>
      </c>
      <c r="K3403" s="148"/>
      <c r="L3403" s="149"/>
      <c r="M3403" s="148"/>
    </row>
    <row r="3404" spans="1:13" ht="15" customHeight="1">
      <c r="A3404" s="142" t="s">
        <v>8250</v>
      </c>
      <c r="B3404" s="142">
        <v>515356</v>
      </c>
      <c r="C3404" s="143" t="s">
        <v>6735</v>
      </c>
      <c r="D3404" s="142" t="s">
        <v>4690</v>
      </c>
      <c r="E3404" s="143" t="s">
        <v>4744</v>
      </c>
      <c r="F3404" s="143" t="s">
        <v>4744</v>
      </c>
      <c r="G3404" s="142" t="s">
        <v>6739</v>
      </c>
      <c r="H3404" s="142" t="s">
        <v>51</v>
      </c>
      <c r="I3404" s="143" t="s">
        <v>4693</v>
      </c>
      <c r="J3404" s="143" t="s">
        <v>6741</v>
      </c>
      <c r="K3404" s="144" t="s">
        <v>121</v>
      </c>
      <c r="L3404" s="145">
        <v>46148</v>
      </c>
      <c r="M3404" s="144"/>
    </row>
    <row r="3405" spans="1:13" ht="15" customHeight="1">
      <c r="A3405" s="146" t="s">
        <v>8251</v>
      </c>
      <c r="B3405" s="146">
        <v>515457</v>
      </c>
      <c r="C3405" s="147" t="s">
        <v>6735</v>
      </c>
      <c r="D3405" s="146" t="s">
        <v>4690</v>
      </c>
      <c r="E3405" s="147" t="s">
        <v>4828</v>
      </c>
      <c r="F3405" s="147" t="s">
        <v>8203</v>
      </c>
      <c r="G3405" s="146" t="s">
        <v>6739</v>
      </c>
      <c r="H3405" s="146" t="s">
        <v>51</v>
      </c>
      <c r="I3405" s="147" t="s">
        <v>4693</v>
      </c>
      <c r="J3405" s="147" t="s">
        <v>6741</v>
      </c>
      <c r="K3405" s="148"/>
      <c r="L3405" s="149"/>
      <c r="M3405" s="148"/>
    </row>
    <row r="3406" spans="1:13" ht="15" customHeight="1">
      <c r="A3406" s="142" t="s">
        <v>8252</v>
      </c>
      <c r="B3406" s="142">
        <v>515511</v>
      </c>
      <c r="C3406" s="143" t="s">
        <v>6735</v>
      </c>
      <c r="D3406" s="142" t="s">
        <v>4690</v>
      </c>
      <c r="E3406" s="143" t="s">
        <v>4812</v>
      </c>
      <c r="F3406" s="143" t="s">
        <v>4812</v>
      </c>
      <c r="G3406" s="142" t="s">
        <v>6739</v>
      </c>
      <c r="H3406" s="142" t="s">
        <v>51</v>
      </c>
      <c r="I3406" s="143" t="s">
        <v>4693</v>
      </c>
      <c r="J3406" s="143" t="s">
        <v>6741</v>
      </c>
      <c r="K3406" s="144" t="s">
        <v>162</v>
      </c>
      <c r="L3406" s="145">
        <v>46149</v>
      </c>
      <c r="M3406" s="144"/>
    </row>
    <row r="3407" spans="1:13" ht="15" customHeight="1">
      <c r="A3407" s="146" t="s">
        <v>8253</v>
      </c>
      <c r="B3407" s="146">
        <v>515444</v>
      </c>
      <c r="C3407" s="147" t="s">
        <v>6735</v>
      </c>
      <c r="D3407" s="146" t="s">
        <v>4690</v>
      </c>
      <c r="E3407" s="147" t="s">
        <v>4857</v>
      </c>
      <c r="F3407" s="147" t="s">
        <v>8254</v>
      </c>
      <c r="G3407" s="146" t="s">
        <v>6739</v>
      </c>
      <c r="H3407" s="146" t="s">
        <v>51</v>
      </c>
      <c r="I3407" s="147" t="s">
        <v>4693</v>
      </c>
      <c r="J3407" s="147" t="s">
        <v>6741</v>
      </c>
      <c r="K3407" s="148"/>
      <c r="L3407" s="149"/>
      <c r="M3407" s="148"/>
    </row>
    <row r="3408" spans="1:13" ht="15" customHeight="1">
      <c r="A3408" s="142" t="s">
        <v>8255</v>
      </c>
      <c r="B3408" s="142">
        <v>515523</v>
      </c>
      <c r="C3408" s="143" t="s">
        <v>6735</v>
      </c>
      <c r="D3408" s="142" t="s">
        <v>4690</v>
      </c>
      <c r="E3408" s="143" t="s">
        <v>2756</v>
      </c>
      <c r="F3408" s="143" t="s">
        <v>8256</v>
      </c>
      <c r="G3408" s="142" t="s">
        <v>6739</v>
      </c>
      <c r="H3408" s="142" t="s">
        <v>51</v>
      </c>
      <c r="I3408" s="143" t="s">
        <v>4693</v>
      </c>
      <c r="J3408" s="143" t="s">
        <v>6741</v>
      </c>
      <c r="K3408" s="144"/>
      <c r="L3408" s="145"/>
      <c r="M3408" s="144"/>
    </row>
    <row r="3409" spans="1:13" ht="15" customHeight="1">
      <c r="A3409" s="146" t="s">
        <v>8257</v>
      </c>
      <c r="B3409" s="146">
        <v>515305</v>
      </c>
      <c r="C3409" s="147" t="s">
        <v>6735</v>
      </c>
      <c r="D3409" s="146" t="s">
        <v>4690</v>
      </c>
      <c r="E3409" s="147" t="s">
        <v>4872</v>
      </c>
      <c r="F3409" s="147" t="s">
        <v>8258</v>
      </c>
      <c r="G3409" s="146" t="s">
        <v>6739</v>
      </c>
      <c r="H3409" s="146" t="s">
        <v>51</v>
      </c>
      <c r="I3409" s="147" t="s">
        <v>4693</v>
      </c>
      <c r="J3409" s="147" t="s">
        <v>6741</v>
      </c>
      <c r="K3409" s="148"/>
      <c r="L3409" s="149"/>
      <c r="M3409" s="148"/>
    </row>
    <row r="3410" spans="1:13" ht="15" customHeight="1">
      <c r="A3410" s="142" t="s">
        <v>8259</v>
      </c>
      <c r="B3410" s="142">
        <v>516275</v>
      </c>
      <c r="C3410" s="143" t="s">
        <v>6735</v>
      </c>
      <c r="D3410" s="142" t="s">
        <v>4690</v>
      </c>
      <c r="E3410" s="143" t="s">
        <v>4736</v>
      </c>
      <c r="F3410" s="143" t="s">
        <v>8242</v>
      </c>
      <c r="G3410" s="142" t="s">
        <v>6739</v>
      </c>
      <c r="H3410" s="142" t="s">
        <v>51</v>
      </c>
      <c r="I3410" s="143" t="s">
        <v>4693</v>
      </c>
      <c r="J3410" s="143" t="s">
        <v>6741</v>
      </c>
      <c r="K3410" s="144"/>
      <c r="L3410" s="145"/>
      <c r="M3410" s="144"/>
    </row>
    <row r="3411" spans="1:13" ht="15" customHeight="1">
      <c r="A3411" s="146" t="s">
        <v>8260</v>
      </c>
      <c r="B3411" s="146">
        <v>515487</v>
      </c>
      <c r="C3411" s="147" t="s">
        <v>6735</v>
      </c>
      <c r="D3411" s="146" t="s">
        <v>4690</v>
      </c>
      <c r="E3411" s="147" t="s">
        <v>5297</v>
      </c>
      <c r="F3411" s="147" t="s">
        <v>5297</v>
      </c>
      <c r="G3411" s="146" t="s">
        <v>6739</v>
      </c>
      <c r="H3411" s="146" t="s">
        <v>51</v>
      </c>
      <c r="I3411" s="147" t="s">
        <v>4693</v>
      </c>
      <c r="J3411" s="147" t="s">
        <v>6741</v>
      </c>
      <c r="K3411" s="148"/>
      <c r="L3411" s="149"/>
      <c r="M3411" s="148"/>
    </row>
    <row r="3412" spans="1:13" ht="15" customHeight="1">
      <c r="A3412" s="142" t="s">
        <v>8261</v>
      </c>
      <c r="B3412" s="142">
        <v>515513</v>
      </c>
      <c r="C3412" s="143" t="s">
        <v>6735</v>
      </c>
      <c r="D3412" s="142" t="s">
        <v>4690</v>
      </c>
      <c r="E3412" s="143" t="s">
        <v>4816</v>
      </c>
      <c r="F3412" s="143" t="s">
        <v>4816</v>
      </c>
      <c r="G3412" s="142" t="s">
        <v>6739</v>
      </c>
      <c r="H3412" s="142" t="s">
        <v>51</v>
      </c>
      <c r="I3412" s="143" t="s">
        <v>4693</v>
      </c>
      <c r="J3412" s="143" t="s">
        <v>6741</v>
      </c>
      <c r="K3412" s="144"/>
      <c r="L3412" s="145"/>
      <c r="M3412" s="144"/>
    </row>
    <row r="3413" spans="1:13" ht="15" customHeight="1">
      <c r="A3413" s="146" t="s">
        <v>8262</v>
      </c>
      <c r="B3413" s="146">
        <v>515518</v>
      </c>
      <c r="C3413" s="147" t="s">
        <v>6735</v>
      </c>
      <c r="D3413" s="146" t="s">
        <v>4690</v>
      </c>
      <c r="E3413" s="147" t="s">
        <v>4824</v>
      </c>
      <c r="F3413" s="147" t="s">
        <v>8193</v>
      </c>
      <c r="G3413" s="146" t="s">
        <v>6739</v>
      </c>
      <c r="H3413" s="146" t="s">
        <v>51</v>
      </c>
      <c r="I3413" s="147" t="s">
        <v>4693</v>
      </c>
      <c r="J3413" s="147" t="s">
        <v>6741</v>
      </c>
      <c r="K3413" s="148"/>
      <c r="L3413" s="149"/>
      <c r="M3413" s="148"/>
    </row>
    <row r="3414" spans="1:13" ht="15" customHeight="1">
      <c r="A3414" s="142" t="s">
        <v>8263</v>
      </c>
      <c r="B3414" s="142">
        <v>516821</v>
      </c>
      <c r="C3414" s="143" t="s">
        <v>6735</v>
      </c>
      <c r="D3414" s="142" t="s">
        <v>4690</v>
      </c>
      <c r="E3414" s="143" t="s">
        <v>4812</v>
      </c>
      <c r="F3414" s="143" t="s">
        <v>4812</v>
      </c>
      <c r="G3414" s="142" t="s">
        <v>6739</v>
      </c>
      <c r="H3414" s="142" t="s">
        <v>51</v>
      </c>
      <c r="I3414" s="143" t="s">
        <v>4693</v>
      </c>
      <c r="J3414" s="143" t="s">
        <v>6741</v>
      </c>
      <c r="K3414" s="144"/>
      <c r="L3414" s="145"/>
      <c r="M3414" s="144"/>
    </row>
    <row r="3415" spans="1:13" ht="15" customHeight="1">
      <c r="A3415" s="146" t="s">
        <v>8264</v>
      </c>
      <c r="B3415" s="146">
        <v>515549</v>
      </c>
      <c r="C3415" s="147" t="s">
        <v>6735</v>
      </c>
      <c r="D3415" s="146" t="s">
        <v>4690</v>
      </c>
      <c r="E3415" s="147" t="s">
        <v>4786</v>
      </c>
      <c r="F3415" s="147" t="s">
        <v>5062</v>
      </c>
      <c r="G3415" s="146" t="s">
        <v>6739</v>
      </c>
      <c r="H3415" s="146" t="s">
        <v>51</v>
      </c>
      <c r="I3415" s="147" t="s">
        <v>4693</v>
      </c>
      <c r="J3415" s="147" t="s">
        <v>6741</v>
      </c>
      <c r="K3415" s="148"/>
      <c r="L3415" s="149"/>
      <c r="M3415" s="148"/>
    </row>
    <row r="3416" spans="1:13" ht="15" customHeight="1">
      <c r="A3416" s="142" t="s">
        <v>8265</v>
      </c>
      <c r="B3416" s="142">
        <v>515554</v>
      </c>
      <c r="C3416" s="143" t="s">
        <v>6735</v>
      </c>
      <c r="D3416" s="142" t="s">
        <v>4690</v>
      </c>
      <c r="E3416" s="143" t="s">
        <v>4879</v>
      </c>
      <c r="F3416" s="143" t="s">
        <v>4879</v>
      </c>
      <c r="G3416" s="142" t="s">
        <v>6739</v>
      </c>
      <c r="H3416" s="142" t="s">
        <v>51</v>
      </c>
      <c r="I3416" s="143" t="s">
        <v>4693</v>
      </c>
      <c r="J3416" s="143" t="s">
        <v>6741</v>
      </c>
      <c r="K3416" s="144"/>
      <c r="L3416" s="145"/>
      <c r="M3416" s="144"/>
    </row>
    <row r="3417" spans="1:13" ht="15" customHeight="1">
      <c r="A3417" s="146" t="s">
        <v>8266</v>
      </c>
      <c r="B3417" s="146">
        <v>515488</v>
      </c>
      <c r="C3417" s="147" t="s">
        <v>6735</v>
      </c>
      <c r="D3417" s="146" t="s">
        <v>4690</v>
      </c>
      <c r="E3417" s="147" t="s">
        <v>8267</v>
      </c>
      <c r="F3417" s="147" t="s">
        <v>8268</v>
      </c>
      <c r="G3417" s="146" t="s">
        <v>6739</v>
      </c>
      <c r="H3417" s="146" t="s">
        <v>51</v>
      </c>
      <c r="I3417" s="147" t="s">
        <v>4693</v>
      </c>
      <c r="J3417" s="147" t="s">
        <v>6741</v>
      </c>
      <c r="K3417" s="148"/>
      <c r="L3417" s="149"/>
      <c r="M3417" s="148"/>
    </row>
    <row r="3418" spans="1:13" ht="15" customHeight="1">
      <c r="A3418" s="142" t="s">
        <v>8269</v>
      </c>
      <c r="B3418" s="142">
        <v>516822</v>
      </c>
      <c r="C3418" s="143" t="s">
        <v>6735</v>
      </c>
      <c r="D3418" s="142" t="s">
        <v>4690</v>
      </c>
      <c r="E3418" s="143" t="s">
        <v>4812</v>
      </c>
      <c r="F3418" s="143" t="s">
        <v>4812</v>
      </c>
      <c r="G3418" s="142" t="s">
        <v>6739</v>
      </c>
      <c r="H3418" s="142" t="s">
        <v>51</v>
      </c>
      <c r="I3418" s="143" t="s">
        <v>4693</v>
      </c>
      <c r="J3418" s="143" t="s">
        <v>6741</v>
      </c>
      <c r="K3418" s="144"/>
      <c r="L3418" s="145"/>
      <c r="M3418" s="144"/>
    </row>
    <row r="3419" spans="1:13" ht="15" customHeight="1">
      <c r="A3419" s="146" t="s">
        <v>8270</v>
      </c>
      <c r="B3419" s="146">
        <v>516823</v>
      </c>
      <c r="C3419" s="147" t="s">
        <v>6735</v>
      </c>
      <c r="D3419" s="146" t="s">
        <v>4690</v>
      </c>
      <c r="E3419" s="147" t="s">
        <v>4812</v>
      </c>
      <c r="F3419" s="147" t="s">
        <v>4812</v>
      </c>
      <c r="G3419" s="146" t="s">
        <v>6739</v>
      </c>
      <c r="H3419" s="146" t="s">
        <v>51</v>
      </c>
      <c r="I3419" s="147" t="s">
        <v>4693</v>
      </c>
      <c r="J3419" s="147" t="s">
        <v>6741</v>
      </c>
      <c r="K3419" s="148"/>
      <c r="L3419" s="149"/>
      <c r="M3419" s="148"/>
    </row>
    <row r="3420" spans="1:13" ht="15" customHeight="1">
      <c r="A3420" s="142" t="s">
        <v>8271</v>
      </c>
      <c r="B3420" s="142">
        <v>515744</v>
      </c>
      <c r="C3420" s="143" t="s">
        <v>6735</v>
      </c>
      <c r="D3420" s="142" t="s">
        <v>4690</v>
      </c>
      <c r="E3420" s="143" t="s">
        <v>4921</v>
      </c>
      <c r="F3420" s="143" t="s">
        <v>8222</v>
      </c>
      <c r="G3420" s="142" t="s">
        <v>6739</v>
      </c>
      <c r="H3420" s="142" t="s">
        <v>50</v>
      </c>
      <c r="I3420" s="143" t="s">
        <v>3391</v>
      </c>
      <c r="J3420" s="143" t="s">
        <v>6741</v>
      </c>
      <c r="K3420" s="144"/>
      <c r="L3420" s="145"/>
      <c r="M3420" s="144"/>
    </row>
    <row r="3421" spans="1:13" ht="15" customHeight="1">
      <c r="A3421" s="146" t="s">
        <v>8272</v>
      </c>
      <c r="B3421" s="146">
        <v>515197</v>
      </c>
      <c r="C3421" s="147" t="s">
        <v>6735</v>
      </c>
      <c r="D3421" s="146" t="s">
        <v>4690</v>
      </c>
      <c r="E3421" s="147" t="s">
        <v>4740</v>
      </c>
      <c r="F3421" s="147" t="s">
        <v>8206</v>
      </c>
      <c r="G3421" s="146" t="s">
        <v>6739</v>
      </c>
      <c r="H3421" s="146" t="s">
        <v>51</v>
      </c>
      <c r="I3421" s="147" t="s">
        <v>4693</v>
      </c>
      <c r="J3421" s="147" t="s">
        <v>6741</v>
      </c>
      <c r="K3421" s="148"/>
      <c r="L3421" s="149"/>
      <c r="M3421" s="148"/>
    </row>
    <row r="3422" spans="1:13" ht="15" customHeight="1">
      <c r="A3422" s="142" t="s">
        <v>8273</v>
      </c>
      <c r="B3422" s="142">
        <v>515346</v>
      </c>
      <c r="C3422" s="143" t="s">
        <v>6735</v>
      </c>
      <c r="D3422" s="142" t="s">
        <v>4690</v>
      </c>
      <c r="E3422" s="143" t="s">
        <v>4820</v>
      </c>
      <c r="F3422" s="143" t="s">
        <v>4820</v>
      </c>
      <c r="G3422" s="142" t="s">
        <v>6739</v>
      </c>
      <c r="H3422" s="142" t="s">
        <v>51</v>
      </c>
      <c r="I3422" s="143" t="s">
        <v>4693</v>
      </c>
      <c r="J3422" s="143" t="s">
        <v>6741</v>
      </c>
      <c r="K3422" s="144"/>
      <c r="L3422" s="145"/>
      <c r="M3422" s="144"/>
    </row>
    <row r="3423" spans="1:13" ht="15" customHeight="1">
      <c r="A3423" s="146" t="s">
        <v>8274</v>
      </c>
      <c r="B3423" s="146">
        <v>516856</v>
      </c>
      <c r="C3423" s="147" t="s">
        <v>6735</v>
      </c>
      <c r="D3423" s="146" t="s">
        <v>4690</v>
      </c>
      <c r="E3423" s="147" t="s">
        <v>658</v>
      </c>
      <c r="F3423" s="147" t="s">
        <v>8275</v>
      </c>
      <c r="G3423" s="146" t="s">
        <v>6739</v>
      </c>
      <c r="H3423" s="146" t="s">
        <v>51</v>
      </c>
      <c r="I3423" s="147" t="s">
        <v>4693</v>
      </c>
      <c r="J3423" s="147" t="s">
        <v>6741</v>
      </c>
      <c r="K3423" s="148"/>
      <c r="L3423" s="149"/>
      <c r="M3423" s="148"/>
    </row>
    <row r="3424" spans="1:13" ht="15" customHeight="1">
      <c r="A3424" s="142" t="s">
        <v>8276</v>
      </c>
      <c r="B3424" s="142">
        <v>516857</v>
      </c>
      <c r="C3424" s="143" t="s">
        <v>6735</v>
      </c>
      <c r="D3424" s="142" t="s">
        <v>4690</v>
      </c>
      <c r="E3424" s="143" t="s">
        <v>658</v>
      </c>
      <c r="F3424" s="143" t="s">
        <v>8275</v>
      </c>
      <c r="G3424" s="142" t="s">
        <v>6739</v>
      </c>
      <c r="H3424" s="142" t="s">
        <v>51</v>
      </c>
      <c r="I3424" s="143" t="s">
        <v>4693</v>
      </c>
      <c r="J3424" s="143" t="s">
        <v>6741</v>
      </c>
      <c r="K3424" s="144"/>
      <c r="L3424" s="145"/>
      <c r="M3424" s="144"/>
    </row>
    <row r="3425" spans="1:13" ht="15" customHeight="1">
      <c r="A3425" s="146" t="s">
        <v>8277</v>
      </c>
      <c r="B3425" s="146">
        <v>515438</v>
      </c>
      <c r="C3425" s="147" t="s">
        <v>6735</v>
      </c>
      <c r="D3425" s="146" t="s">
        <v>4690</v>
      </c>
      <c r="E3425" s="147" t="s">
        <v>4696</v>
      </c>
      <c r="F3425" s="147" t="s">
        <v>8105</v>
      </c>
      <c r="G3425" s="146" t="s">
        <v>6739</v>
      </c>
      <c r="H3425" s="146" t="s">
        <v>51</v>
      </c>
      <c r="I3425" s="147" t="s">
        <v>4693</v>
      </c>
      <c r="J3425" s="147" t="s">
        <v>6741</v>
      </c>
      <c r="K3425" s="148"/>
      <c r="L3425" s="149"/>
      <c r="M3425" s="148"/>
    </row>
    <row r="3426" spans="1:13" ht="15" customHeight="1">
      <c r="A3426" s="142" t="s">
        <v>8278</v>
      </c>
      <c r="B3426" s="142">
        <v>515471</v>
      </c>
      <c r="C3426" s="143" t="s">
        <v>6735</v>
      </c>
      <c r="D3426" s="142" t="s">
        <v>4690</v>
      </c>
      <c r="E3426" s="143" t="s">
        <v>4762</v>
      </c>
      <c r="F3426" s="143" t="s">
        <v>8279</v>
      </c>
      <c r="G3426" s="142" t="s">
        <v>6739</v>
      </c>
      <c r="H3426" s="142" t="s">
        <v>51</v>
      </c>
      <c r="I3426" s="143" t="s">
        <v>4693</v>
      </c>
      <c r="J3426" s="143" t="s">
        <v>6741</v>
      </c>
      <c r="K3426" s="144"/>
      <c r="L3426" s="145"/>
      <c r="M3426" s="144"/>
    </row>
    <row r="3427" spans="1:13" ht="15" customHeight="1">
      <c r="A3427" s="146" t="s">
        <v>8280</v>
      </c>
      <c r="B3427" s="146">
        <v>515367</v>
      </c>
      <c r="C3427" s="147" t="s">
        <v>6735</v>
      </c>
      <c r="D3427" s="146" t="s">
        <v>4690</v>
      </c>
      <c r="E3427" s="147" t="s">
        <v>4793</v>
      </c>
      <c r="F3427" s="147" t="s">
        <v>4793</v>
      </c>
      <c r="G3427" s="146" t="s">
        <v>6739</v>
      </c>
      <c r="H3427" s="146" t="s">
        <v>51</v>
      </c>
      <c r="I3427" s="147" t="s">
        <v>4693</v>
      </c>
      <c r="J3427" s="147" t="s">
        <v>6741</v>
      </c>
      <c r="K3427" s="148"/>
      <c r="L3427" s="149"/>
      <c r="M3427" s="148"/>
    </row>
    <row r="3428" spans="1:13" ht="15" customHeight="1">
      <c r="A3428" s="142" t="s">
        <v>8281</v>
      </c>
      <c r="B3428" s="142">
        <v>516972</v>
      </c>
      <c r="C3428" s="143" t="s">
        <v>6735</v>
      </c>
      <c r="D3428" s="142" t="s">
        <v>5640</v>
      </c>
      <c r="E3428" s="143" t="s">
        <v>5944</v>
      </c>
      <c r="F3428" s="143" t="s">
        <v>8282</v>
      </c>
      <c r="G3428" s="142" t="s">
        <v>6739</v>
      </c>
      <c r="H3428" s="142" t="s">
        <v>50</v>
      </c>
      <c r="I3428" s="143" t="s">
        <v>3449</v>
      </c>
      <c r="J3428" s="143" t="s">
        <v>6741</v>
      </c>
      <c r="K3428" s="150" t="s">
        <v>5</v>
      </c>
      <c r="L3428" s="145">
        <v>46120</v>
      </c>
      <c r="M3428" s="152" t="s">
        <v>3392</v>
      </c>
    </row>
    <row r="3429" spans="1:13" ht="15" customHeight="1">
      <c r="A3429" s="146" t="s">
        <v>8283</v>
      </c>
      <c r="B3429" s="146">
        <v>517057</v>
      </c>
      <c r="C3429" s="147" t="s">
        <v>6735</v>
      </c>
      <c r="D3429" s="146" t="s">
        <v>5640</v>
      </c>
      <c r="E3429" s="147" t="s">
        <v>8284</v>
      </c>
      <c r="F3429" s="147" t="s">
        <v>8284</v>
      </c>
      <c r="G3429" s="146" t="s">
        <v>6739</v>
      </c>
      <c r="H3429" s="146" t="s">
        <v>50</v>
      </c>
      <c r="I3429" s="147" t="s">
        <v>3449</v>
      </c>
      <c r="J3429" s="147" t="s">
        <v>6741</v>
      </c>
      <c r="K3429" s="148" t="s">
        <v>121</v>
      </c>
      <c r="L3429" s="149">
        <v>46147</v>
      </c>
      <c r="M3429" s="148"/>
    </row>
    <row r="3430" spans="1:13" ht="15" customHeight="1">
      <c r="A3430" s="142" t="s">
        <v>8285</v>
      </c>
      <c r="B3430" s="142">
        <v>517067</v>
      </c>
      <c r="C3430" s="143" t="s">
        <v>6735</v>
      </c>
      <c r="D3430" s="142" t="s">
        <v>5640</v>
      </c>
      <c r="E3430" s="143" t="s">
        <v>5888</v>
      </c>
      <c r="F3430" s="143" t="s">
        <v>8286</v>
      </c>
      <c r="G3430" s="142" t="s">
        <v>6739</v>
      </c>
      <c r="H3430" s="142" t="s">
        <v>50</v>
      </c>
      <c r="I3430" s="143" t="s">
        <v>3449</v>
      </c>
      <c r="J3430" s="143" t="s">
        <v>6741</v>
      </c>
      <c r="K3430" s="144" t="s">
        <v>121</v>
      </c>
      <c r="L3430" s="145">
        <v>46140</v>
      </c>
      <c r="M3430" s="144"/>
    </row>
    <row r="3431" spans="1:13" ht="15" customHeight="1">
      <c r="A3431" s="146" t="s">
        <v>8287</v>
      </c>
      <c r="B3431" s="146">
        <v>517371</v>
      </c>
      <c r="C3431" s="147" t="s">
        <v>6735</v>
      </c>
      <c r="D3431" s="146" t="s">
        <v>5640</v>
      </c>
      <c r="E3431" s="147" t="s">
        <v>4099</v>
      </c>
      <c r="F3431" s="147" t="s">
        <v>8288</v>
      </c>
      <c r="G3431" s="146" t="s">
        <v>6739</v>
      </c>
      <c r="H3431" s="146" t="s">
        <v>50</v>
      </c>
      <c r="I3431" s="147" t="s">
        <v>3449</v>
      </c>
      <c r="J3431" s="147" t="s">
        <v>6741</v>
      </c>
      <c r="K3431" s="153" t="s">
        <v>9</v>
      </c>
      <c r="L3431" s="149">
        <v>46133</v>
      </c>
      <c r="M3431" s="151" t="s">
        <v>3392</v>
      </c>
    </row>
    <row r="3432" spans="1:13" ht="15" customHeight="1">
      <c r="A3432" s="142" t="s">
        <v>8289</v>
      </c>
      <c r="B3432" s="142">
        <v>517302</v>
      </c>
      <c r="C3432" s="143" t="s">
        <v>6735</v>
      </c>
      <c r="D3432" s="142" t="s">
        <v>5640</v>
      </c>
      <c r="E3432" s="143" t="s">
        <v>5691</v>
      </c>
      <c r="F3432" s="143" t="s">
        <v>6387</v>
      </c>
      <c r="G3432" s="142" t="s">
        <v>6739</v>
      </c>
      <c r="H3432" s="142" t="s">
        <v>50</v>
      </c>
      <c r="I3432" s="143" t="s">
        <v>3449</v>
      </c>
      <c r="J3432" s="143" t="s">
        <v>6741</v>
      </c>
      <c r="K3432" s="150" t="s">
        <v>5</v>
      </c>
      <c r="L3432" s="145">
        <v>46127</v>
      </c>
      <c r="M3432" s="152" t="s">
        <v>3392</v>
      </c>
    </row>
    <row r="3433" spans="1:13" ht="15" customHeight="1">
      <c r="A3433" s="146" t="s">
        <v>8290</v>
      </c>
      <c r="B3433" s="146">
        <v>517300</v>
      </c>
      <c r="C3433" s="147" t="s">
        <v>6735</v>
      </c>
      <c r="D3433" s="146" t="s">
        <v>5640</v>
      </c>
      <c r="E3433" s="147" t="s">
        <v>5691</v>
      </c>
      <c r="F3433" s="147" t="s">
        <v>5708</v>
      </c>
      <c r="G3433" s="146" t="s">
        <v>6739</v>
      </c>
      <c r="H3433" s="146" t="s">
        <v>50</v>
      </c>
      <c r="I3433" s="147" t="s">
        <v>3449</v>
      </c>
      <c r="J3433" s="147" t="s">
        <v>6741</v>
      </c>
      <c r="K3433" s="150" t="s">
        <v>5</v>
      </c>
      <c r="L3433" s="149">
        <v>46129</v>
      </c>
      <c r="M3433" s="151" t="s">
        <v>3392</v>
      </c>
    </row>
    <row r="3434" spans="1:13" ht="15" customHeight="1">
      <c r="A3434" s="142" t="s">
        <v>8291</v>
      </c>
      <c r="B3434" s="142">
        <v>517513</v>
      </c>
      <c r="C3434" s="143" t="s">
        <v>6735</v>
      </c>
      <c r="D3434" s="142" t="s">
        <v>5640</v>
      </c>
      <c r="E3434" s="143" t="s">
        <v>5761</v>
      </c>
      <c r="F3434" s="143" t="s">
        <v>5762</v>
      </c>
      <c r="G3434" s="142" t="s">
        <v>6739</v>
      </c>
      <c r="H3434" s="142" t="s">
        <v>50</v>
      </c>
      <c r="I3434" s="143" t="s">
        <v>3449</v>
      </c>
      <c r="J3434" s="143" t="s">
        <v>6741</v>
      </c>
      <c r="K3434" s="144" t="s">
        <v>121</v>
      </c>
      <c r="L3434" s="145">
        <v>46150</v>
      </c>
      <c r="M3434" s="144"/>
    </row>
    <row r="3435" spans="1:13" ht="15" customHeight="1">
      <c r="A3435" s="146" t="s">
        <v>8292</v>
      </c>
      <c r="B3435" s="146">
        <v>518124</v>
      </c>
      <c r="C3435" s="147" t="s">
        <v>6735</v>
      </c>
      <c r="D3435" s="146" t="s">
        <v>5640</v>
      </c>
      <c r="E3435" s="147" t="s">
        <v>5710</v>
      </c>
      <c r="F3435" s="147" t="s">
        <v>8293</v>
      </c>
      <c r="G3435" s="146" t="s">
        <v>6739</v>
      </c>
      <c r="H3435" s="146" t="s">
        <v>50</v>
      </c>
      <c r="I3435" s="147" t="s">
        <v>3449</v>
      </c>
      <c r="J3435" s="147" t="s">
        <v>6741</v>
      </c>
      <c r="K3435" s="148" t="s">
        <v>121</v>
      </c>
      <c r="L3435" s="149">
        <v>46142</v>
      </c>
      <c r="M3435" s="148"/>
    </row>
    <row r="3436" spans="1:13" ht="15" customHeight="1">
      <c r="A3436" s="142" t="s">
        <v>8294</v>
      </c>
      <c r="B3436" s="142">
        <v>517209</v>
      </c>
      <c r="C3436" s="143" t="s">
        <v>6735</v>
      </c>
      <c r="D3436" s="142" t="s">
        <v>5640</v>
      </c>
      <c r="E3436" s="143" t="s">
        <v>5710</v>
      </c>
      <c r="F3436" s="143" t="s">
        <v>8295</v>
      </c>
      <c r="G3436" s="142" t="s">
        <v>6739</v>
      </c>
      <c r="H3436" s="142" t="s">
        <v>50</v>
      </c>
      <c r="I3436" s="143" t="s">
        <v>3449</v>
      </c>
      <c r="J3436" s="143" t="s">
        <v>6741</v>
      </c>
      <c r="K3436" s="144" t="s">
        <v>121</v>
      </c>
      <c r="L3436" s="145">
        <v>46136</v>
      </c>
      <c r="M3436" s="144"/>
    </row>
    <row r="3437" spans="1:13" ht="15" customHeight="1">
      <c r="A3437" s="146" t="s">
        <v>8296</v>
      </c>
      <c r="B3437" s="146">
        <v>517375</v>
      </c>
      <c r="C3437" s="147" t="s">
        <v>6735</v>
      </c>
      <c r="D3437" s="146" t="s">
        <v>5640</v>
      </c>
      <c r="E3437" s="147" t="s">
        <v>5710</v>
      </c>
      <c r="F3437" s="147" t="s">
        <v>8297</v>
      </c>
      <c r="G3437" s="146" t="s">
        <v>6739</v>
      </c>
      <c r="H3437" s="146" t="s">
        <v>50</v>
      </c>
      <c r="I3437" s="147" t="s">
        <v>3449</v>
      </c>
      <c r="J3437" s="147" t="s">
        <v>6741</v>
      </c>
      <c r="K3437" s="148" t="s">
        <v>121</v>
      </c>
      <c r="L3437" s="149">
        <v>46143</v>
      </c>
      <c r="M3437" s="148"/>
    </row>
    <row r="3438" spans="1:13" ht="15" customHeight="1">
      <c r="A3438" s="142" t="s">
        <v>8298</v>
      </c>
      <c r="B3438" s="142">
        <v>517396</v>
      </c>
      <c r="C3438" s="143" t="s">
        <v>6735</v>
      </c>
      <c r="D3438" s="142" t="s">
        <v>5640</v>
      </c>
      <c r="E3438" s="143" t="s">
        <v>5710</v>
      </c>
      <c r="F3438" s="143" t="s">
        <v>5711</v>
      </c>
      <c r="G3438" s="142" t="s">
        <v>6739</v>
      </c>
      <c r="H3438" s="142" t="s">
        <v>50</v>
      </c>
      <c r="I3438" s="143" t="s">
        <v>3449</v>
      </c>
      <c r="J3438" s="143" t="s">
        <v>6741</v>
      </c>
      <c r="K3438" s="144" t="s">
        <v>121</v>
      </c>
      <c r="L3438" s="145">
        <v>46142</v>
      </c>
      <c r="M3438" s="144"/>
    </row>
    <row r="3439" spans="1:13" ht="15" customHeight="1">
      <c r="A3439" s="146" t="s">
        <v>8299</v>
      </c>
      <c r="B3439" s="146">
        <v>516983</v>
      </c>
      <c r="C3439" s="147" t="s">
        <v>6735</v>
      </c>
      <c r="D3439" s="146" t="s">
        <v>5640</v>
      </c>
      <c r="E3439" s="147" t="s">
        <v>5861</v>
      </c>
      <c r="F3439" s="147" t="s">
        <v>8300</v>
      </c>
      <c r="G3439" s="146" t="s">
        <v>6739</v>
      </c>
      <c r="H3439" s="146" t="s">
        <v>50</v>
      </c>
      <c r="I3439" s="147" t="s">
        <v>3449</v>
      </c>
      <c r="J3439" s="147" t="s">
        <v>6741</v>
      </c>
      <c r="K3439" s="150" t="s">
        <v>5</v>
      </c>
      <c r="L3439" s="149">
        <v>46113</v>
      </c>
      <c r="M3439" s="151" t="s">
        <v>3392</v>
      </c>
    </row>
    <row r="3440" spans="1:13" ht="15" customHeight="1">
      <c r="A3440" s="142" t="s">
        <v>8301</v>
      </c>
      <c r="B3440" s="142">
        <v>517097</v>
      </c>
      <c r="C3440" s="143" t="s">
        <v>6735</v>
      </c>
      <c r="D3440" s="142" t="s">
        <v>5640</v>
      </c>
      <c r="E3440" s="143" t="s">
        <v>5729</v>
      </c>
      <c r="F3440" s="143" t="s">
        <v>8302</v>
      </c>
      <c r="G3440" s="142" t="s">
        <v>6739</v>
      </c>
      <c r="H3440" s="142" t="s">
        <v>50</v>
      </c>
      <c r="I3440" s="143" t="s">
        <v>3449</v>
      </c>
      <c r="J3440" s="143" t="s">
        <v>6741</v>
      </c>
      <c r="K3440" s="153" t="s">
        <v>9</v>
      </c>
      <c r="L3440" s="149">
        <v>46135</v>
      </c>
      <c r="M3440" s="152" t="s">
        <v>3392</v>
      </c>
    </row>
    <row r="3441" spans="1:13" ht="15" customHeight="1">
      <c r="A3441" s="146" t="s">
        <v>8303</v>
      </c>
      <c r="B3441" s="146">
        <v>517007</v>
      </c>
      <c r="C3441" s="147" t="s">
        <v>6735</v>
      </c>
      <c r="D3441" s="146" t="s">
        <v>5640</v>
      </c>
      <c r="E3441" s="147" t="s">
        <v>5938</v>
      </c>
      <c r="F3441" s="147" t="s">
        <v>6004</v>
      </c>
      <c r="G3441" s="146" t="s">
        <v>6739</v>
      </c>
      <c r="H3441" s="146" t="s">
        <v>50</v>
      </c>
      <c r="I3441" s="147" t="s">
        <v>3449</v>
      </c>
      <c r="J3441" s="147" t="s">
        <v>6741</v>
      </c>
      <c r="K3441" s="150" t="s">
        <v>5</v>
      </c>
      <c r="L3441" s="149">
        <v>46119</v>
      </c>
      <c r="M3441" s="151" t="s">
        <v>3392</v>
      </c>
    </row>
    <row r="3442" spans="1:13" ht="15" customHeight="1">
      <c r="A3442" s="142" t="s">
        <v>8304</v>
      </c>
      <c r="B3442" s="142">
        <v>517108</v>
      </c>
      <c r="C3442" s="143" t="s">
        <v>6735</v>
      </c>
      <c r="D3442" s="142" t="s">
        <v>5640</v>
      </c>
      <c r="E3442" s="143" t="s">
        <v>5658</v>
      </c>
      <c r="F3442" s="143" t="s">
        <v>8305</v>
      </c>
      <c r="G3442" s="142" t="s">
        <v>6739</v>
      </c>
      <c r="H3442" s="142" t="s">
        <v>50</v>
      </c>
      <c r="I3442" s="143" t="s">
        <v>3449</v>
      </c>
      <c r="J3442" s="143" t="s">
        <v>6741</v>
      </c>
      <c r="K3442" s="150" t="s">
        <v>5</v>
      </c>
      <c r="L3442" s="149">
        <v>46135</v>
      </c>
      <c r="M3442" s="152" t="s">
        <v>3392</v>
      </c>
    </row>
    <row r="3443" spans="1:13" ht="15" customHeight="1">
      <c r="A3443" s="146" t="s">
        <v>8306</v>
      </c>
      <c r="B3443" s="146">
        <v>516869</v>
      </c>
      <c r="C3443" s="147" t="s">
        <v>6735</v>
      </c>
      <c r="D3443" s="146" t="s">
        <v>5640</v>
      </c>
      <c r="E3443" s="147" t="s">
        <v>5640</v>
      </c>
      <c r="F3443" s="147" t="s">
        <v>5647</v>
      </c>
      <c r="G3443" s="146" t="s">
        <v>6739</v>
      </c>
      <c r="H3443" s="146" t="s">
        <v>50</v>
      </c>
      <c r="I3443" s="147" t="s">
        <v>3449</v>
      </c>
      <c r="J3443" s="147" t="s">
        <v>6741</v>
      </c>
      <c r="K3443" s="150" t="s">
        <v>5</v>
      </c>
      <c r="L3443" s="149">
        <v>46111</v>
      </c>
      <c r="M3443" s="151" t="s">
        <v>3392</v>
      </c>
    </row>
    <row r="3444" spans="1:13" ht="15" customHeight="1">
      <c r="A3444" s="142" t="s">
        <v>8307</v>
      </c>
      <c r="B3444" s="142">
        <v>516877</v>
      </c>
      <c r="C3444" s="143" t="s">
        <v>6735</v>
      </c>
      <c r="D3444" s="142" t="s">
        <v>5640</v>
      </c>
      <c r="E3444" s="143" t="s">
        <v>5640</v>
      </c>
      <c r="F3444" s="143" t="s">
        <v>5647</v>
      </c>
      <c r="G3444" s="142" t="s">
        <v>6739</v>
      </c>
      <c r="H3444" s="142" t="s">
        <v>50</v>
      </c>
      <c r="I3444" s="143" t="s">
        <v>3449</v>
      </c>
      <c r="J3444" s="143" t="s">
        <v>6741</v>
      </c>
      <c r="K3444" s="150" t="s">
        <v>5</v>
      </c>
      <c r="L3444" s="145">
        <v>46111</v>
      </c>
      <c r="M3444" s="152" t="s">
        <v>3392</v>
      </c>
    </row>
    <row r="3445" spans="1:13" ht="15" customHeight="1">
      <c r="A3445" s="146" t="s">
        <v>8308</v>
      </c>
      <c r="B3445" s="146">
        <v>516832</v>
      </c>
      <c r="C3445" s="147" t="s">
        <v>6735</v>
      </c>
      <c r="D3445" s="146" t="s">
        <v>5640</v>
      </c>
      <c r="E3445" s="147" t="s">
        <v>5640</v>
      </c>
      <c r="F3445" s="147" t="s">
        <v>5647</v>
      </c>
      <c r="G3445" s="146" t="s">
        <v>6739</v>
      </c>
      <c r="H3445" s="146" t="s">
        <v>50</v>
      </c>
      <c r="I3445" s="147" t="s">
        <v>3449</v>
      </c>
      <c r="J3445" s="147" t="s">
        <v>6741</v>
      </c>
      <c r="K3445" s="150" t="s">
        <v>5</v>
      </c>
      <c r="L3445" s="149">
        <v>46112</v>
      </c>
      <c r="M3445" s="151" t="s">
        <v>3392</v>
      </c>
    </row>
    <row r="3446" spans="1:13" ht="15" customHeight="1">
      <c r="A3446" s="142" t="s">
        <v>8309</v>
      </c>
      <c r="B3446" s="142">
        <v>516831</v>
      </c>
      <c r="C3446" s="143" t="s">
        <v>6735</v>
      </c>
      <c r="D3446" s="142" t="s">
        <v>5640</v>
      </c>
      <c r="E3446" s="143" t="s">
        <v>5640</v>
      </c>
      <c r="F3446" s="143" t="s">
        <v>5647</v>
      </c>
      <c r="G3446" s="142" t="s">
        <v>6739</v>
      </c>
      <c r="H3446" s="142" t="s">
        <v>50</v>
      </c>
      <c r="I3446" s="143" t="s">
        <v>3449</v>
      </c>
      <c r="J3446" s="143" t="s">
        <v>6741</v>
      </c>
      <c r="K3446" s="150" t="s">
        <v>5</v>
      </c>
      <c r="L3446" s="145">
        <v>46107</v>
      </c>
      <c r="M3446" s="152" t="s">
        <v>3392</v>
      </c>
    </row>
    <row r="3447" spans="1:13" ht="15" customHeight="1">
      <c r="A3447" s="146" t="s">
        <v>8310</v>
      </c>
      <c r="B3447" s="146">
        <v>516850</v>
      </c>
      <c r="C3447" s="147" t="s">
        <v>6735</v>
      </c>
      <c r="D3447" s="146" t="s">
        <v>5640</v>
      </c>
      <c r="E3447" s="147" t="s">
        <v>5640</v>
      </c>
      <c r="F3447" s="147" t="s">
        <v>5647</v>
      </c>
      <c r="G3447" s="146" t="s">
        <v>6739</v>
      </c>
      <c r="H3447" s="146" t="s">
        <v>50</v>
      </c>
      <c r="I3447" s="147" t="s">
        <v>3449</v>
      </c>
      <c r="J3447" s="147" t="s">
        <v>6741</v>
      </c>
      <c r="K3447" s="150" t="s">
        <v>5</v>
      </c>
      <c r="L3447" s="149">
        <v>46100</v>
      </c>
      <c r="M3447" s="151" t="s">
        <v>3392</v>
      </c>
    </row>
    <row r="3448" spans="1:13" ht="15" customHeight="1">
      <c r="A3448" s="142" t="s">
        <v>8311</v>
      </c>
      <c r="B3448" s="142">
        <v>516981</v>
      </c>
      <c r="C3448" s="143" t="s">
        <v>6735</v>
      </c>
      <c r="D3448" s="142" t="s">
        <v>5640</v>
      </c>
      <c r="E3448" s="143" t="s">
        <v>5640</v>
      </c>
      <c r="F3448" s="143" t="s">
        <v>5647</v>
      </c>
      <c r="G3448" s="142" t="s">
        <v>6739</v>
      </c>
      <c r="H3448" s="142" t="s">
        <v>50</v>
      </c>
      <c r="I3448" s="143" t="s">
        <v>3449</v>
      </c>
      <c r="J3448" s="143" t="s">
        <v>6741</v>
      </c>
      <c r="K3448" s="150" t="s">
        <v>5</v>
      </c>
      <c r="L3448" s="145">
        <v>46111</v>
      </c>
      <c r="M3448" s="152" t="s">
        <v>3392</v>
      </c>
    </row>
    <row r="3449" spans="1:13" ht="15" customHeight="1">
      <c r="A3449" s="146" t="s">
        <v>8312</v>
      </c>
      <c r="B3449" s="146">
        <v>517297</v>
      </c>
      <c r="C3449" s="147" t="s">
        <v>6735</v>
      </c>
      <c r="D3449" s="146" t="s">
        <v>5640</v>
      </c>
      <c r="E3449" s="147" t="s">
        <v>5640</v>
      </c>
      <c r="F3449" s="147" t="s">
        <v>5647</v>
      </c>
      <c r="G3449" s="146" t="s">
        <v>6739</v>
      </c>
      <c r="H3449" s="146" t="s">
        <v>50</v>
      </c>
      <c r="I3449" s="147" t="s">
        <v>3449</v>
      </c>
      <c r="J3449" s="147" t="s">
        <v>6741</v>
      </c>
      <c r="K3449" s="150" t="s">
        <v>5</v>
      </c>
      <c r="L3449" s="149">
        <v>46107</v>
      </c>
      <c r="M3449" s="151" t="s">
        <v>3392</v>
      </c>
    </row>
    <row r="3450" spans="1:13" ht="15" customHeight="1">
      <c r="A3450" s="142" t="s">
        <v>8313</v>
      </c>
      <c r="B3450" s="142">
        <v>516837</v>
      </c>
      <c r="C3450" s="143" t="s">
        <v>6735</v>
      </c>
      <c r="D3450" s="142" t="s">
        <v>5640</v>
      </c>
      <c r="E3450" s="143" t="s">
        <v>5640</v>
      </c>
      <c r="F3450" s="143" t="s">
        <v>5647</v>
      </c>
      <c r="G3450" s="142" t="s">
        <v>6739</v>
      </c>
      <c r="H3450" s="142" t="s">
        <v>50</v>
      </c>
      <c r="I3450" s="143" t="s">
        <v>3449</v>
      </c>
      <c r="J3450" s="143" t="s">
        <v>6741</v>
      </c>
      <c r="K3450" s="150" t="s">
        <v>5</v>
      </c>
      <c r="L3450" s="145">
        <v>46105</v>
      </c>
      <c r="M3450" s="152" t="s">
        <v>3392</v>
      </c>
    </row>
    <row r="3451" spans="1:13" ht="15" customHeight="1">
      <c r="A3451" s="146" t="s">
        <v>8314</v>
      </c>
      <c r="B3451" s="146">
        <v>516833</v>
      </c>
      <c r="C3451" s="147" t="s">
        <v>6735</v>
      </c>
      <c r="D3451" s="146" t="s">
        <v>5640</v>
      </c>
      <c r="E3451" s="147" t="s">
        <v>5640</v>
      </c>
      <c r="F3451" s="147" t="s">
        <v>5647</v>
      </c>
      <c r="G3451" s="146" t="s">
        <v>6739</v>
      </c>
      <c r="H3451" s="146" t="s">
        <v>50</v>
      </c>
      <c r="I3451" s="147" t="s">
        <v>3449</v>
      </c>
      <c r="J3451" s="147" t="s">
        <v>6741</v>
      </c>
      <c r="K3451" s="150" t="s">
        <v>5</v>
      </c>
      <c r="L3451" s="149">
        <v>46108</v>
      </c>
      <c r="M3451" s="151" t="s">
        <v>3392</v>
      </c>
    </row>
    <row r="3452" spans="1:13" ht="15" customHeight="1">
      <c r="A3452" s="142" t="s">
        <v>8315</v>
      </c>
      <c r="B3452" s="142">
        <v>516841</v>
      </c>
      <c r="C3452" s="143" t="s">
        <v>6735</v>
      </c>
      <c r="D3452" s="142" t="s">
        <v>5640</v>
      </c>
      <c r="E3452" s="143" t="s">
        <v>5640</v>
      </c>
      <c r="F3452" s="143" t="s">
        <v>5647</v>
      </c>
      <c r="G3452" s="142" t="s">
        <v>6739</v>
      </c>
      <c r="H3452" s="142" t="s">
        <v>50</v>
      </c>
      <c r="I3452" s="143" t="s">
        <v>3449</v>
      </c>
      <c r="J3452" s="143" t="s">
        <v>6741</v>
      </c>
      <c r="K3452" s="150" t="s">
        <v>5</v>
      </c>
      <c r="L3452" s="145">
        <v>46112</v>
      </c>
      <c r="M3452" s="152" t="s">
        <v>3392</v>
      </c>
    </row>
    <row r="3453" spans="1:13" ht="15" customHeight="1">
      <c r="A3453" s="146" t="s">
        <v>8316</v>
      </c>
      <c r="B3453" s="146">
        <v>516860</v>
      </c>
      <c r="C3453" s="147" t="s">
        <v>6735</v>
      </c>
      <c r="D3453" s="146" t="s">
        <v>5640</v>
      </c>
      <c r="E3453" s="147" t="s">
        <v>5640</v>
      </c>
      <c r="F3453" s="147" t="s">
        <v>5647</v>
      </c>
      <c r="G3453" s="146" t="s">
        <v>6739</v>
      </c>
      <c r="H3453" s="146" t="s">
        <v>50</v>
      </c>
      <c r="I3453" s="147" t="s">
        <v>3449</v>
      </c>
      <c r="J3453" s="147" t="s">
        <v>6741</v>
      </c>
      <c r="K3453" s="150" t="s">
        <v>5</v>
      </c>
      <c r="L3453" s="149">
        <v>46111</v>
      </c>
      <c r="M3453" s="151" t="s">
        <v>3392</v>
      </c>
    </row>
    <row r="3454" spans="1:13" ht="15" customHeight="1">
      <c r="A3454" s="142" t="s">
        <v>8317</v>
      </c>
      <c r="B3454" s="142">
        <v>516999</v>
      </c>
      <c r="C3454" s="143" t="s">
        <v>6735</v>
      </c>
      <c r="D3454" s="142" t="s">
        <v>5640</v>
      </c>
      <c r="E3454" s="143" t="s">
        <v>5640</v>
      </c>
      <c r="F3454" s="143" t="s">
        <v>5677</v>
      </c>
      <c r="G3454" s="142" t="s">
        <v>6739</v>
      </c>
      <c r="H3454" s="142" t="s">
        <v>50</v>
      </c>
      <c r="I3454" s="143" t="s">
        <v>3449</v>
      </c>
      <c r="J3454" s="143" t="s">
        <v>6741</v>
      </c>
      <c r="K3454" s="150" t="s">
        <v>5</v>
      </c>
      <c r="L3454" s="145">
        <v>46112</v>
      </c>
      <c r="M3454" s="152" t="s">
        <v>3392</v>
      </c>
    </row>
    <row r="3455" spans="1:13" ht="15" customHeight="1">
      <c r="A3455" s="146" t="s">
        <v>8318</v>
      </c>
      <c r="B3455" s="146">
        <v>517001</v>
      </c>
      <c r="C3455" s="147" t="s">
        <v>6735</v>
      </c>
      <c r="D3455" s="146" t="s">
        <v>5640</v>
      </c>
      <c r="E3455" s="147" t="s">
        <v>5640</v>
      </c>
      <c r="F3455" s="147" t="s">
        <v>8319</v>
      </c>
      <c r="G3455" s="146" t="s">
        <v>6739</v>
      </c>
      <c r="H3455" s="146" t="s">
        <v>50</v>
      </c>
      <c r="I3455" s="147" t="s">
        <v>3449</v>
      </c>
      <c r="J3455" s="147" t="s">
        <v>6741</v>
      </c>
      <c r="K3455" s="150" t="s">
        <v>5</v>
      </c>
      <c r="L3455" s="149">
        <v>46112</v>
      </c>
      <c r="M3455" s="151" t="s">
        <v>3392</v>
      </c>
    </row>
    <row r="3456" spans="1:13" ht="15" customHeight="1">
      <c r="A3456" s="142" t="s">
        <v>8320</v>
      </c>
      <c r="B3456" s="142">
        <v>517132</v>
      </c>
      <c r="C3456" s="143" t="s">
        <v>6735</v>
      </c>
      <c r="D3456" s="142" t="s">
        <v>5640</v>
      </c>
      <c r="E3456" s="143" t="s">
        <v>6185</v>
      </c>
      <c r="F3456" s="143" t="s">
        <v>8321</v>
      </c>
      <c r="G3456" s="142" t="s">
        <v>6739</v>
      </c>
      <c r="H3456" s="142" t="s">
        <v>50</v>
      </c>
      <c r="I3456" s="143" t="s">
        <v>3449</v>
      </c>
      <c r="J3456" s="143" t="s">
        <v>6741</v>
      </c>
      <c r="K3456" s="144" t="s">
        <v>121</v>
      </c>
      <c r="L3456" s="145">
        <v>46150</v>
      </c>
      <c r="M3456" s="144"/>
    </row>
    <row r="3457" spans="1:13" ht="15" customHeight="1">
      <c r="A3457" s="146" t="s">
        <v>8322</v>
      </c>
      <c r="B3457" s="146">
        <v>517449</v>
      </c>
      <c r="C3457" s="147" t="s">
        <v>6735</v>
      </c>
      <c r="D3457" s="146" t="s">
        <v>5640</v>
      </c>
      <c r="E3457" s="147" t="s">
        <v>6185</v>
      </c>
      <c r="F3457" s="147" t="s">
        <v>6186</v>
      </c>
      <c r="G3457" s="146" t="s">
        <v>6739</v>
      </c>
      <c r="H3457" s="146" t="s">
        <v>50</v>
      </c>
      <c r="I3457" s="147" t="s">
        <v>3449</v>
      </c>
      <c r="J3457" s="147" t="s">
        <v>6741</v>
      </c>
      <c r="K3457" s="148" t="s">
        <v>121</v>
      </c>
      <c r="L3457" s="149">
        <v>46146</v>
      </c>
      <c r="M3457" s="148"/>
    </row>
    <row r="3458" spans="1:13" ht="15" customHeight="1">
      <c r="A3458" s="142" t="s">
        <v>8323</v>
      </c>
      <c r="B3458" s="142">
        <v>517128</v>
      </c>
      <c r="C3458" s="143" t="s">
        <v>6735</v>
      </c>
      <c r="D3458" s="142" t="s">
        <v>5640</v>
      </c>
      <c r="E3458" s="143" t="s">
        <v>5735</v>
      </c>
      <c r="F3458" s="143" t="s">
        <v>5735</v>
      </c>
      <c r="G3458" s="142" t="s">
        <v>6739</v>
      </c>
      <c r="H3458" s="142" t="s">
        <v>50</v>
      </c>
      <c r="I3458" s="143" t="s">
        <v>3449</v>
      </c>
      <c r="J3458" s="143" t="s">
        <v>6741</v>
      </c>
      <c r="K3458" s="150" t="s">
        <v>5</v>
      </c>
      <c r="L3458" s="145">
        <v>46121</v>
      </c>
      <c r="M3458" s="152" t="s">
        <v>3392</v>
      </c>
    </row>
    <row r="3459" spans="1:13" ht="15" customHeight="1">
      <c r="A3459" s="146" t="s">
        <v>8324</v>
      </c>
      <c r="B3459" s="146">
        <v>517021</v>
      </c>
      <c r="C3459" s="147" t="s">
        <v>6735</v>
      </c>
      <c r="D3459" s="146" t="s">
        <v>5640</v>
      </c>
      <c r="E3459" s="147" t="s">
        <v>5735</v>
      </c>
      <c r="F3459" s="147" t="s">
        <v>1123</v>
      </c>
      <c r="G3459" s="146" t="s">
        <v>6739</v>
      </c>
      <c r="H3459" s="146" t="s">
        <v>50</v>
      </c>
      <c r="I3459" s="147" t="s">
        <v>3449</v>
      </c>
      <c r="J3459" s="147" t="s">
        <v>6741</v>
      </c>
      <c r="K3459" s="150" t="s">
        <v>5</v>
      </c>
      <c r="L3459" s="149">
        <v>46121</v>
      </c>
      <c r="M3459" s="151" t="s">
        <v>3392</v>
      </c>
    </row>
    <row r="3460" spans="1:13" ht="15" customHeight="1">
      <c r="A3460" s="142" t="s">
        <v>8325</v>
      </c>
      <c r="B3460" s="142">
        <v>517071</v>
      </c>
      <c r="C3460" s="143" t="s">
        <v>6735</v>
      </c>
      <c r="D3460" s="142" t="s">
        <v>5640</v>
      </c>
      <c r="E3460" s="143" t="s">
        <v>5717</v>
      </c>
      <c r="F3460" s="143" t="s">
        <v>5717</v>
      </c>
      <c r="G3460" s="142" t="s">
        <v>6739</v>
      </c>
      <c r="H3460" s="142" t="s">
        <v>50</v>
      </c>
      <c r="I3460" s="143" t="s">
        <v>3449</v>
      </c>
      <c r="J3460" s="143" t="s">
        <v>6741</v>
      </c>
      <c r="K3460" s="150" t="s">
        <v>5</v>
      </c>
      <c r="L3460" s="145">
        <v>46107</v>
      </c>
      <c r="M3460" s="152" t="s">
        <v>3392</v>
      </c>
    </row>
    <row r="3461" spans="1:13" ht="15" customHeight="1">
      <c r="A3461" s="146" t="s">
        <v>8326</v>
      </c>
      <c r="B3461" s="146">
        <v>517284</v>
      </c>
      <c r="C3461" s="147" t="s">
        <v>6735</v>
      </c>
      <c r="D3461" s="146" t="s">
        <v>5640</v>
      </c>
      <c r="E3461" s="147" t="s">
        <v>5661</v>
      </c>
      <c r="F3461" s="147" t="s">
        <v>8327</v>
      </c>
      <c r="G3461" s="146" t="s">
        <v>6739</v>
      </c>
      <c r="H3461" s="146" t="s">
        <v>50</v>
      </c>
      <c r="I3461" s="147" t="s">
        <v>3449</v>
      </c>
      <c r="J3461" s="147" t="s">
        <v>6741</v>
      </c>
      <c r="K3461" s="150" t="s">
        <v>5</v>
      </c>
      <c r="L3461" s="149">
        <v>46118</v>
      </c>
      <c r="M3461" s="151" t="s">
        <v>3392</v>
      </c>
    </row>
    <row r="3462" spans="1:13" ht="15" customHeight="1">
      <c r="A3462" s="142" t="s">
        <v>8328</v>
      </c>
      <c r="B3462" s="142">
        <v>516939</v>
      </c>
      <c r="C3462" s="143" t="s">
        <v>6735</v>
      </c>
      <c r="D3462" s="142" t="s">
        <v>5640</v>
      </c>
      <c r="E3462" s="143" t="s">
        <v>5661</v>
      </c>
      <c r="F3462" s="143" t="s">
        <v>6345</v>
      </c>
      <c r="G3462" s="142" t="s">
        <v>6739</v>
      </c>
      <c r="H3462" s="142" t="s">
        <v>50</v>
      </c>
      <c r="I3462" s="143" t="s">
        <v>3449</v>
      </c>
      <c r="J3462" s="143" t="s">
        <v>6741</v>
      </c>
      <c r="K3462" s="150" t="s">
        <v>5</v>
      </c>
      <c r="L3462" s="145">
        <v>46119</v>
      </c>
      <c r="M3462" s="152" t="s">
        <v>3392</v>
      </c>
    </row>
    <row r="3463" spans="1:13" ht="15" customHeight="1">
      <c r="A3463" s="146" t="s">
        <v>8329</v>
      </c>
      <c r="B3463" s="146">
        <v>516944</v>
      </c>
      <c r="C3463" s="147" t="s">
        <v>6735</v>
      </c>
      <c r="D3463" s="146" t="s">
        <v>5640</v>
      </c>
      <c r="E3463" s="147" t="s">
        <v>5661</v>
      </c>
      <c r="F3463" s="147" t="s">
        <v>8330</v>
      </c>
      <c r="G3463" s="146" t="s">
        <v>6739</v>
      </c>
      <c r="H3463" s="146" t="s">
        <v>50</v>
      </c>
      <c r="I3463" s="147" t="s">
        <v>3449</v>
      </c>
      <c r="J3463" s="147" t="s">
        <v>6741</v>
      </c>
      <c r="K3463" s="150" t="s">
        <v>5</v>
      </c>
      <c r="L3463" s="149">
        <v>46121</v>
      </c>
      <c r="M3463" s="151" t="s">
        <v>3392</v>
      </c>
    </row>
    <row r="3464" spans="1:13" ht="15" customHeight="1">
      <c r="A3464" s="142" t="s">
        <v>8331</v>
      </c>
      <c r="B3464" s="142">
        <v>517205</v>
      </c>
      <c r="C3464" s="143" t="s">
        <v>6735</v>
      </c>
      <c r="D3464" s="142" t="s">
        <v>5640</v>
      </c>
      <c r="E3464" s="143" t="s">
        <v>5908</v>
      </c>
      <c r="F3464" s="143" t="s">
        <v>8332</v>
      </c>
      <c r="G3464" s="142" t="s">
        <v>6739</v>
      </c>
      <c r="H3464" s="142" t="s">
        <v>50</v>
      </c>
      <c r="I3464" s="143" t="s">
        <v>3449</v>
      </c>
      <c r="J3464" s="143" t="s">
        <v>6741</v>
      </c>
      <c r="K3464" s="144" t="s">
        <v>121</v>
      </c>
      <c r="L3464" s="145">
        <v>46142</v>
      </c>
      <c r="M3464" s="144"/>
    </row>
    <row r="3465" spans="1:13" ht="15" customHeight="1">
      <c r="A3465" s="146" t="s">
        <v>8333</v>
      </c>
      <c r="B3465" s="146">
        <v>516953</v>
      </c>
      <c r="C3465" s="147" t="s">
        <v>6735</v>
      </c>
      <c r="D3465" s="146" t="s">
        <v>5640</v>
      </c>
      <c r="E3465" s="147" t="s">
        <v>5654</v>
      </c>
      <c r="F3465" s="147" t="s">
        <v>5655</v>
      </c>
      <c r="G3465" s="146" t="s">
        <v>6739</v>
      </c>
      <c r="H3465" s="146" t="s">
        <v>50</v>
      </c>
      <c r="I3465" s="147" t="s">
        <v>3449</v>
      </c>
      <c r="J3465" s="147" t="s">
        <v>6741</v>
      </c>
      <c r="K3465" s="150" t="s">
        <v>5</v>
      </c>
      <c r="L3465" s="149">
        <v>46113</v>
      </c>
      <c r="M3465" s="151" t="s">
        <v>3392</v>
      </c>
    </row>
    <row r="3466" spans="1:13" ht="15" customHeight="1">
      <c r="A3466" s="142" t="s">
        <v>8334</v>
      </c>
      <c r="B3466" s="142">
        <v>517070</v>
      </c>
      <c r="C3466" s="143" t="s">
        <v>6735</v>
      </c>
      <c r="D3466" s="142" t="s">
        <v>5640</v>
      </c>
      <c r="E3466" s="143" t="s">
        <v>6067</v>
      </c>
      <c r="F3466" s="143" t="s">
        <v>6067</v>
      </c>
      <c r="G3466" s="142" t="s">
        <v>6739</v>
      </c>
      <c r="H3466" s="142" t="s">
        <v>50</v>
      </c>
      <c r="I3466" s="143" t="s">
        <v>3449</v>
      </c>
      <c r="J3466" s="143" t="s">
        <v>6741</v>
      </c>
      <c r="K3466" s="150" t="s">
        <v>5</v>
      </c>
      <c r="L3466" s="145">
        <v>46121</v>
      </c>
      <c r="M3466" s="152" t="s">
        <v>3392</v>
      </c>
    </row>
    <row r="3467" spans="1:13" ht="15" customHeight="1">
      <c r="A3467" s="146" t="s">
        <v>8335</v>
      </c>
      <c r="B3467" s="146">
        <v>517010</v>
      </c>
      <c r="C3467" s="147" t="s">
        <v>6735</v>
      </c>
      <c r="D3467" s="146" t="s">
        <v>5640</v>
      </c>
      <c r="E3467" s="147" t="s">
        <v>6067</v>
      </c>
      <c r="F3467" s="147" t="s">
        <v>8336</v>
      </c>
      <c r="G3467" s="146" t="s">
        <v>6739</v>
      </c>
      <c r="H3467" s="146" t="s">
        <v>50</v>
      </c>
      <c r="I3467" s="147" t="s">
        <v>3449</v>
      </c>
      <c r="J3467" s="147" t="s">
        <v>6741</v>
      </c>
      <c r="K3467" s="150" t="s">
        <v>5</v>
      </c>
      <c r="L3467" s="149">
        <v>46121</v>
      </c>
      <c r="M3467" s="151" t="s">
        <v>3392</v>
      </c>
    </row>
    <row r="3468" spans="1:13" ht="15" customHeight="1">
      <c r="A3468" s="142" t="s">
        <v>8337</v>
      </c>
      <c r="B3468" s="142">
        <v>515830</v>
      </c>
      <c r="C3468" s="143" t="s">
        <v>6735</v>
      </c>
      <c r="D3468" s="142" t="s">
        <v>5640</v>
      </c>
      <c r="E3468" s="143" t="s">
        <v>8338</v>
      </c>
      <c r="F3468" s="143" t="s">
        <v>8338</v>
      </c>
      <c r="G3468" s="142" t="s">
        <v>6739</v>
      </c>
      <c r="H3468" s="142" t="s">
        <v>50</v>
      </c>
      <c r="I3468" s="143" t="s">
        <v>3449</v>
      </c>
      <c r="J3468" s="143" t="s">
        <v>6741</v>
      </c>
      <c r="K3468" s="150" t="s">
        <v>5</v>
      </c>
      <c r="L3468" s="145">
        <v>46126</v>
      </c>
      <c r="M3468" s="152" t="s">
        <v>3392</v>
      </c>
    </row>
    <row r="3469" spans="1:13" ht="15" customHeight="1">
      <c r="A3469" s="146" t="s">
        <v>8339</v>
      </c>
      <c r="B3469" s="146">
        <v>517451</v>
      </c>
      <c r="C3469" s="147" t="s">
        <v>6735</v>
      </c>
      <c r="D3469" s="146" t="s">
        <v>5640</v>
      </c>
      <c r="E3469" s="147" t="s">
        <v>5731</v>
      </c>
      <c r="F3469" s="147" t="s">
        <v>8340</v>
      </c>
      <c r="G3469" s="146" t="s">
        <v>6739</v>
      </c>
      <c r="H3469" s="146" t="s">
        <v>50</v>
      </c>
      <c r="I3469" s="147" t="s">
        <v>3449</v>
      </c>
      <c r="J3469" s="147" t="s">
        <v>6741</v>
      </c>
      <c r="K3469" s="150" t="s">
        <v>5</v>
      </c>
      <c r="L3469" s="149">
        <v>46120</v>
      </c>
      <c r="M3469" s="151" t="s">
        <v>3392</v>
      </c>
    </row>
    <row r="3470" spans="1:13" ht="15" customHeight="1">
      <c r="A3470" s="142" t="s">
        <v>8341</v>
      </c>
      <c r="B3470" s="142">
        <v>517374</v>
      </c>
      <c r="C3470" s="143" t="s">
        <v>6735</v>
      </c>
      <c r="D3470" s="142" t="s">
        <v>5640</v>
      </c>
      <c r="E3470" s="143" t="s">
        <v>6376</v>
      </c>
      <c r="F3470" s="143" t="s">
        <v>8342</v>
      </c>
      <c r="G3470" s="142" t="s">
        <v>6739</v>
      </c>
      <c r="H3470" s="142" t="s">
        <v>50</v>
      </c>
      <c r="I3470" s="143" t="s">
        <v>3449</v>
      </c>
      <c r="J3470" s="143" t="s">
        <v>6741</v>
      </c>
      <c r="K3470" s="150" t="s">
        <v>5</v>
      </c>
      <c r="L3470" s="145">
        <v>46129</v>
      </c>
      <c r="M3470" s="152" t="s">
        <v>3392</v>
      </c>
    </row>
    <row r="3471" spans="1:13" ht="15" customHeight="1">
      <c r="A3471" s="146" t="s">
        <v>8343</v>
      </c>
      <c r="B3471" s="146">
        <v>517310</v>
      </c>
      <c r="C3471" s="147" t="s">
        <v>6735</v>
      </c>
      <c r="D3471" s="146" t="s">
        <v>5640</v>
      </c>
      <c r="E3471" s="147" t="s">
        <v>8344</v>
      </c>
      <c r="F3471" s="147" t="s">
        <v>8344</v>
      </c>
      <c r="G3471" s="146" t="s">
        <v>6739</v>
      </c>
      <c r="H3471" s="146" t="s">
        <v>50</v>
      </c>
      <c r="I3471" s="147" t="s">
        <v>3449</v>
      </c>
      <c r="J3471" s="147" t="s">
        <v>6741</v>
      </c>
      <c r="K3471" s="150" t="s">
        <v>5</v>
      </c>
      <c r="L3471" s="149">
        <v>46122</v>
      </c>
      <c r="M3471" s="151" t="s">
        <v>3392</v>
      </c>
    </row>
    <row r="3472" spans="1:13" ht="15" customHeight="1">
      <c r="A3472" s="142" t="s">
        <v>8345</v>
      </c>
      <c r="B3472" s="142">
        <v>517212</v>
      </c>
      <c r="C3472" s="143" t="s">
        <v>6735</v>
      </c>
      <c r="D3472" s="142" t="s">
        <v>5640</v>
      </c>
      <c r="E3472" s="143" t="s">
        <v>6270</v>
      </c>
      <c r="F3472" s="143" t="s">
        <v>6270</v>
      </c>
      <c r="G3472" s="142" t="s">
        <v>6739</v>
      </c>
      <c r="H3472" s="142" t="s">
        <v>50</v>
      </c>
      <c r="I3472" s="143" t="s">
        <v>3449</v>
      </c>
      <c r="J3472" s="143" t="s">
        <v>6741</v>
      </c>
      <c r="K3472" s="150" t="s">
        <v>5</v>
      </c>
      <c r="L3472" s="149">
        <v>46135</v>
      </c>
      <c r="M3472" s="152" t="s">
        <v>3392</v>
      </c>
    </row>
    <row r="3473" spans="1:13" ht="15" customHeight="1">
      <c r="A3473" s="146" t="s">
        <v>8346</v>
      </c>
      <c r="B3473" s="146">
        <v>516945</v>
      </c>
      <c r="C3473" s="147" t="s">
        <v>6735</v>
      </c>
      <c r="D3473" s="146" t="s">
        <v>5640</v>
      </c>
      <c r="E3473" s="147" t="s">
        <v>6341</v>
      </c>
      <c r="F3473" s="147" t="s">
        <v>8347</v>
      </c>
      <c r="G3473" s="146" t="s">
        <v>6739</v>
      </c>
      <c r="H3473" s="146" t="s">
        <v>50</v>
      </c>
      <c r="I3473" s="147" t="s">
        <v>3449</v>
      </c>
      <c r="J3473" s="147" t="s">
        <v>6741</v>
      </c>
      <c r="K3473" s="150" t="s">
        <v>5</v>
      </c>
      <c r="L3473" s="149">
        <v>46119</v>
      </c>
      <c r="M3473" s="151" t="s">
        <v>3392</v>
      </c>
    </row>
    <row r="3474" spans="1:13" ht="15" customHeight="1">
      <c r="A3474" s="142" t="s">
        <v>8348</v>
      </c>
      <c r="B3474" s="142">
        <v>517214</v>
      </c>
      <c r="C3474" s="143" t="s">
        <v>6735</v>
      </c>
      <c r="D3474" s="142" t="s">
        <v>5640</v>
      </c>
      <c r="E3474" s="143" t="s">
        <v>6341</v>
      </c>
      <c r="F3474" s="143" t="s">
        <v>8349</v>
      </c>
      <c r="G3474" s="142" t="s">
        <v>6739</v>
      </c>
      <c r="H3474" s="142" t="s">
        <v>50</v>
      </c>
      <c r="I3474" s="143" t="s">
        <v>3449</v>
      </c>
      <c r="J3474" s="143" t="s">
        <v>6741</v>
      </c>
      <c r="K3474" s="150" t="s">
        <v>5</v>
      </c>
      <c r="L3474" s="145">
        <v>46119</v>
      </c>
      <c r="M3474" s="152" t="s">
        <v>3392</v>
      </c>
    </row>
    <row r="3475" spans="1:13" ht="15" customHeight="1">
      <c r="A3475" s="146" t="s">
        <v>8350</v>
      </c>
      <c r="B3475" s="146">
        <v>516992</v>
      </c>
      <c r="C3475" s="147" t="s">
        <v>6735</v>
      </c>
      <c r="D3475" s="146" t="s">
        <v>5640</v>
      </c>
      <c r="E3475" s="147" t="s">
        <v>5717</v>
      </c>
      <c r="F3475" s="147" t="s">
        <v>5717</v>
      </c>
      <c r="G3475" s="146" t="s">
        <v>6739</v>
      </c>
      <c r="H3475" s="146" t="s">
        <v>50</v>
      </c>
      <c r="I3475" s="147" t="s">
        <v>3449</v>
      </c>
      <c r="J3475" s="147" t="s">
        <v>6741</v>
      </c>
      <c r="K3475" s="150" t="s">
        <v>5</v>
      </c>
      <c r="L3475" s="149">
        <v>46108</v>
      </c>
      <c r="M3475" s="151" t="s">
        <v>3392</v>
      </c>
    </row>
    <row r="3476" spans="1:13" ht="15" customHeight="1">
      <c r="A3476" s="142" t="s">
        <v>8351</v>
      </c>
      <c r="B3476" s="142">
        <v>516990</v>
      </c>
      <c r="C3476" s="143" t="s">
        <v>6735</v>
      </c>
      <c r="D3476" s="142" t="s">
        <v>5640</v>
      </c>
      <c r="E3476" s="143" t="s">
        <v>5717</v>
      </c>
      <c r="F3476" s="143" t="s">
        <v>5717</v>
      </c>
      <c r="G3476" s="142" t="s">
        <v>6739</v>
      </c>
      <c r="H3476" s="142" t="s">
        <v>50</v>
      </c>
      <c r="I3476" s="143" t="s">
        <v>3449</v>
      </c>
      <c r="J3476" s="143" t="s">
        <v>6741</v>
      </c>
      <c r="K3476" s="150" t="s">
        <v>5</v>
      </c>
      <c r="L3476" s="145">
        <v>46107</v>
      </c>
      <c r="M3476" s="152" t="s">
        <v>3392</v>
      </c>
    </row>
    <row r="3477" spans="1:13" ht="15" customHeight="1">
      <c r="A3477" s="146" t="s">
        <v>8352</v>
      </c>
      <c r="B3477" s="146">
        <v>517484</v>
      </c>
      <c r="C3477" s="147" t="s">
        <v>6735</v>
      </c>
      <c r="D3477" s="146" t="s">
        <v>5640</v>
      </c>
      <c r="E3477" s="147" t="s">
        <v>5683</v>
      </c>
      <c r="F3477" s="147" t="s">
        <v>8353</v>
      </c>
      <c r="G3477" s="146" t="s">
        <v>6739</v>
      </c>
      <c r="H3477" s="146" t="s">
        <v>50</v>
      </c>
      <c r="I3477" s="147" t="s">
        <v>3449</v>
      </c>
      <c r="J3477" s="147" t="s">
        <v>6741</v>
      </c>
      <c r="K3477" s="150" t="s">
        <v>5</v>
      </c>
      <c r="L3477" s="149">
        <v>46111</v>
      </c>
      <c r="M3477" s="151" t="s">
        <v>3392</v>
      </c>
    </row>
    <row r="3478" spans="1:13" ht="15" customHeight="1">
      <c r="A3478" s="142" t="s">
        <v>8354</v>
      </c>
      <c r="B3478" s="142">
        <v>517014</v>
      </c>
      <c r="C3478" s="143" t="s">
        <v>6735</v>
      </c>
      <c r="D3478" s="142" t="s">
        <v>5640</v>
      </c>
      <c r="E3478" s="143" t="s">
        <v>5731</v>
      </c>
      <c r="F3478" s="143" t="s">
        <v>8355</v>
      </c>
      <c r="G3478" s="142" t="s">
        <v>6739</v>
      </c>
      <c r="H3478" s="142" t="s">
        <v>50</v>
      </c>
      <c r="I3478" s="143" t="s">
        <v>3449</v>
      </c>
      <c r="J3478" s="143" t="s">
        <v>6741</v>
      </c>
      <c r="K3478" s="150" t="s">
        <v>5</v>
      </c>
      <c r="L3478" s="145">
        <v>46120</v>
      </c>
      <c r="M3478" s="152" t="s">
        <v>3392</v>
      </c>
    </row>
    <row r="3479" spans="1:13" ht="15" customHeight="1">
      <c r="A3479" s="146" t="s">
        <v>8356</v>
      </c>
      <c r="B3479" s="146">
        <v>517038</v>
      </c>
      <c r="C3479" s="147" t="s">
        <v>6735</v>
      </c>
      <c r="D3479" s="146" t="s">
        <v>5640</v>
      </c>
      <c r="E3479" s="147" t="s">
        <v>5694</v>
      </c>
      <c r="F3479" s="147" t="s">
        <v>5694</v>
      </c>
      <c r="G3479" s="146" t="s">
        <v>6739</v>
      </c>
      <c r="H3479" s="146" t="s">
        <v>50</v>
      </c>
      <c r="I3479" s="147" t="s">
        <v>3449</v>
      </c>
      <c r="J3479" s="147" t="s">
        <v>6741</v>
      </c>
      <c r="K3479" s="148" t="s">
        <v>121</v>
      </c>
      <c r="L3479" s="149">
        <v>46149</v>
      </c>
      <c r="M3479" s="148"/>
    </row>
    <row r="3480" spans="1:13" ht="15" customHeight="1">
      <c r="A3480" s="142" t="s">
        <v>8357</v>
      </c>
      <c r="B3480" s="142">
        <v>516943</v>
      </c>
      <c r="C3480" s="143" t="s">
        <v>6735</v>
      </c>
      <c r="D3480" s="142" t="s">
        <v>5640</v>
      </c>
      <c r="E3480" s="143" t="s">
        <v>5661</v>
      </c>
      <c r="F3480" s="143" t="s">
        <v>8327</v>
      </c>
      <c r="G3480" s="142" t="s">
        <v>6739</v>
      </c>
      <c r="H3480" s="142" t="s">
        <v>50</v>
      </c>
      <c r="I3480" s="143" t="s">
        <v>3449</v>
      </c>
      <c r="J3480" s="143" t="s">
        <v>6741</v>
      </c>
      <c r="K3480" s="150" t="s">
        <v>5</v>
      </c>
      <c r="L3480" s="145">
        <v>46113</v>
      </c>
      <c r="M3480" s="152" t="s">
        <v>3392</v>
      </c>
    </row>
    <row r="3481" spans="1:13" ht="15" customHeight="1">
      <c r="A3481" s="146" t="s">
        <v>8358</v>
      </c>
      <c r="B3481" s="146">
        <v>517994</v>
      </c>
      <c r="C3481" s="147" t="s">
        <v>6735</v>
      </c>
      <c r="D3481" s="146" t="s">
        <v>5640</v>
      </c>
      <c r="E3481" s="147" t="s">
        <v>3001</v>
      </c>
      <c r="F3481" s="147" t="s">
        <v>8359</v>
      </c>
      <c r="G3481" s="146" t="s">
        <v>6739</v>
      </c>
      <c r="H3481" s="146" t="s">
        <v>50</v>
      </c>
      <c r="I3481" s="147" t="s">
        <v>3449</v>
      </c>
      <c r="J3481" s="147" t="s">
        <v>6741</v>
      </c>
      <c r="K3481" s="148" t="s">
        <v>121</v>
      </c>
      <c r="L3481" s="149">
        <v>46143</v>
      </c>
      <c r="M3481" s="148"/>
    </row>
    <row r="3482" spans="1:13" ht="15" customHeight="1">
      <c r="A3482" s="142" t="s">
        <v>8360</v>
      </c>
      <c r="B3482" s="142">
        <v>517218</v>
      </c>
      <c r="C3482" s="143" t="s">
        <v>6735</v>
      </c>
      <c r="D3482" s="142" t="s">
        <v>5640</v>
      </c>
      <c r="E3482" s="143" t="s">
        <v>5687</v>
      </c>
      <c r="F3482" s="143" t="s">
        <v>6108</v>
      </c>
      <c r="G3482" s="142" t="s">
        <v>6739</v>
      </c>
      <c r="H3482" s="142" t="s">
        <v>50</v>
      </c>
      <c r="I3482" s="143" t="s">
        <v>3449</v>
      </c>
      <c r="J3482" s="143" t="s">
        <v>6741</v>
      </c>
      <c r="K3482" s="144" t="s">
        <v>121</v>
      </c>
      <c r="L3482" s="145">
        <v>46143</v>
      </c>
      <c r="M3482" s="144"/>
    </row>
    <row r="3483" spans="1:13" ht="15" customHeight="1">
      <c r="A3483" s="146" t="s">
        <v>8361</v>
      </c>
      <c r="B3483" s="146">
        <v>517514</v>
      </c>
      <c r="C3483" s="147" t="s">
        <v>6735</v>
      </c>
      <c r="D3483" s="146" t="s">
        <v>5640</v>
      </c>
      <c r="E3483" s="147" t="s">
        <v>8362</v>
      </c>
      <c r="F3483" s="147" t="s">
        <v>8363</v>
      </c>
      <c r="G3483" s="146" t="s">
        <v>6739</v>
      </c>
      <c r="H3483" s="146" t="s">
        <v>50</v>
      </c>
      <c r="I3483" s="147" t="s">
        <v>3449</v>
      </c>
      <c r="J3483" s="147" t="s">
        <v>6741</v>
      </c>
      <c r="K3483" s="150" t="s">
        <v>5</v>
      </c>
      <c r="L3483" s="149">
        <v>46119</v>
      </c>
      <c r="M3483" s="151" t="s">
        <v>3392</v>
      </c>
    </row>
    <row r="3484" spans="1:13" ht="15" customHeight="1">
      <c r="A3484" s="142" t="s">
        <v>8364</v>
      </c>
      <c r="B3484" s="142">
        <v>516867</v>
      </c>
      <c r="C3484" s="143" t="s">
        <v>6735</v>
      </c>
      <c r="D3484" s="142" t="s">
        <v>5640</v>
      </c>
      <c r="E3484" s="143" t="s">
        <v>5640</v>
      </c>
      <c r="F3484" s="143" t="s">
        <v>5647</v>
      </c>
      <c r="G3484" s="142" t="s">
        <v>6739</v>
      </c>
      <c r="H3484" s="142" t="s">
        <v>50</v>
      </c>
      <c r="I3484" s="143" t="s">
        <v>3449</v>
      </c>
      <c r="J3484" s="143" t="s">
        <v>6741</v>
      </c>
      <c r="K3484" s="150" t="s">
        <v>5</v>
      </c>
      <c r="L3484" s="145">
        <v>46111</v>
      </c>
      <c r="M3484" s="152" t="s">
        <v>3392</v>
      </c>
    </row>
    <row r="3485" spans="1:13" ht="15" customHeight="1">
      <c r="A3485" s="146" t="s">
        <v>8365</v>
      </c>
      <c r="B3485" s="146">
        <v>516843</v>
      </c>
      <c r="C3485" s="147" t="s">
        <v>6735</v>
      </c>
      <c r="D3485" s="146" t="s">
        <v>5640</v>
      </c>
      <c r="E3485" s="147" t="s">
        <v>5640</v>
      </c>
      <c r="F3485" s="147" t="s">
        <v>5647</v>
      </c>
      <c r="G3485" s="146" t="s">
        <v>6739</v>
      </c>
      <c r="H3485" s="146" t="s">
        <v>50</v>
      </c>
      <c r="I3485" s="147" t="s">
        <v>3449</v>
      </c>
      <c r="J3485" s="147" t="s">
        <v>6741</v>
      </c>
      <c r="K3485" s="150" t="s">
        <v>5</v>
      </c>
      <c r="L3485" s="149">
        <v>46111</v>
      </c>
      <c r="M3485" s="151" t="s">
        <v>3392</v>
      </c>
    </row>
    <row r="3486" spans="1:13" ht="15" customHeight="1">
      <c r="A3486" s="142" t="s">
        <v>8366</v>
      </c>
      <c r="B3486" s="142">
        <v>516870</v>
      </c>
      <c r="C3486" s="143" t="s">
        <v>6735</v>
      </c>
      <c r="D3486" s="142" t="s">
        <v>5640</v>
      </c>
      <c r="E3486" s="143" t="s">
        <v>5640</v>
      </c>
      <c r="F3486" s="143" t="s">
        <v>5647</v>
      </c>
      <c r="G3486" s="142" t="s">
        <v>6739</v>
      </c>
      <c r="H3486" s="142" t="s">
        <v>50</v>
      </c>
      <c r="I3486" s="143" t="s">
        <v>3449</v>
      </c>
      <c r="J3486" s="143" t="s">
        <v>6741</v>
      </c>
      <c r="K3486" s="150" t="s">
        <v>5</v>
      </c>
      <c r="L3486" s="145">
        <v>46111</v>
      </c>
      <c r="M3486" s="152" t="s">
        <v>3392</v>
      </c>
    </row>
    <row r="3487" spans="1:13" ht="15" customHeight="1">
      <c r="A3487" s="146" t="s">
        <v>8367</v>
      </c>
      <c r="B3487" s="146">
        <v>516941</v>
      </c>
      <c r="C3487" s="147" t="s">
        <v>6735</v>
      </c>
      <c r="D3487" s="146" t="s">
        <v>5640</v>
      </c>
      <c r="E3487" s="147" t="s">
        <v>5661</v>
      </c>
      <c r="F3487" s="147" t="s">
        <v>6392</v>
      </c>
      <c r="G3487" s="146" t="s">
        <v>6739</v>
      </c>
      <c r="H3487" s="146" t="s">
        <v>50</v>
      </c>
      <c r="I3487" s="147" t="s">
        <v>3449</v>
      </c>
      <c r="J3487" s="147" t="s">
        <v>6741</v>
      </c>
      <c r="K3487" s="150" t="s">
        <v>5</v>
      </c>
      <c r="L3487" s="149">
        <v>46121</v>
      </c>
      <c r="M3487" s="151" t="s">
        <v>3392</v>
      </c>
    </row>
    <row r="3488" spans="1:13" ht="15" customHeight="1">
      <c r="A3488" s="142" t="s">
        <v>8368</v>
      </c>
      <c r="B3488" s="142">
        <v>517466</v>
      </c>
      <c r="C3488" s="143" t="s">
        <v>6735</v>
      </c>
      <c r="D3488" s="142" t="s">
        <v>5640</v>
      </c>
      <c r="E3488" s="143" t="s">
        <v>5641</v>
      </c>
      <c r="F3488" s="143" t="s">
        <v>5641</v>
      </c>
      <c r="G3488" s="142" t="s">
        <v>6739</v>
      </c>
      <c r="H3488" s="142" t="s">
        <v>50</v>
      </c>
      <c r="I3488" s="143" t="s">
        <v>3449</v>
      </c>
      <c r="J3488" s="143" t="s">
        <v>6741</v>
      </c>
      <c r="K3488" s="150" t="s">
        <v>5</v>
      </c>
      <c r="L3488" s="145">
        <v>46125</v>
      </c>
      <c r="M3488" s="152" t="s">
        <v>3392</v>
      </c>
    </row>
    <row r="3489" spans="1:13" ht="15" customHeight="1">
      <c r="A3489" s="146" t="s">
        <v>8369</v>
      </c>
      <c r="B3489" s="146">
        <v>517033</v>
      </c>
      <c r="C3489" s="147" t="s">
        <v>6735</v>
      </c>
      <c r="D3489" s="146" t="s">
        <v>5640</v>
      </c>
      <c r="E3489" s="147" t="s">
        <v>5691</v>
      </c>
      <c r="F3489" s="147" t="s">
        <v>5801</v>
      </c>
      <c r="G3489" s="146" t="s">
        <v>6739</v>
      </c>
      <c r="H3489" s="146" t="s">
        <v>50</v>
      </c>
      <c r="I3489" s="147" t="s">
        <v>3449</v>
      </c>
      <c r="J3489" s="147" t="s">
        <v>6741</v>
      </c>
      <c r="K3489" s="150" t="s">
        <v>5</v>
      </c>
      <c r="L3489" s="149">
        <v>46132</v>
      </c>
      <c r="M3489" s="151" t="s">
        <v>3392</v>
      </c>
    </row>
    <row r="3490" spans="1:13" ht="15" customHeight="1">
      <c r="A3490" s="142" t="s">
        <v>8370</v>
      </c>
      <c r="B3490" s="142">
        <v>518051</v>
      </c>
      <c r="C3490" s="143" t="s">
        <v>6735</v>
      </c>
      <c r="D3490" s="142" t="s">
        <v>5640</v>
      </c>
      <c r="E3490" s="143" t="s">
        <v>3018</v>
      </c>
      <c r="F3490" s="143" t="s">
        <v>8371</v>
      </c>
      <c r="G3490" s="142" t="s">
        <v>6739</v>
      </c>
      <c r="H3490" s="142" t="s">
        <v>50</v>
      </c>
      <c r="I3490" s="143" t="s">
        <v>3449</v>
      </c>
      <c r="J3490" s="143" t="s">
        <v>6741</v>
      </c>
      <c r="K3490" s="144"/>
      <c r="L3490" s="145"/>
      <c r="M3490" s="144"/>
    </row>
    <row r="3491" spans="1:13" ht="15" customHeight="1">
      <c r="A3491" s="146" t="s">
        <v>8372</v>
      </c>
      <c r="B3491" s="146">
        <v>517330</v>
      </c>
      <c r="C3491" s="147" t="s">
        <v>6735</v>
      </c>
      <c r="D3491" s="146" t="s">
        <v>5640</v>
      </c>
      <c r="E3491" s="147" t="s">
        <v>5847</v>
      </c>
      <c r="F3491" s="147" t="s">
        <v>5847</v>
      </c>
      <c r="G3491" s="146" t="s">
        <v>6739</v>
      </c>
      <c r="H3491" s="146" t="s">
        <v>50</v>
      </c>
      <c r="I3491" s="147" t="s">
        <v>3449</v>
      </c>
      <c r="J3491" s="147" t="s">
        <v>6741</v>
      </c>
      <c r="K3491" s="150" t="s">
        <v>5</v>
      </c>
      <c r="L3491" s="149">
        <v>46126</v>
      </c>
      <c r="M3491" s="151" t="s">
        <v>3392</v>
      </c>
    </row>
    <row r="3492" spans="1:13" ht="15" customHeight="1">
      <c r="A3492" s="142" t="s">
        <v>8373</v>
      </c>
      <c r="B3492" s="142">
        <v>516847</v>
      </c>
      <c r="C3492" s="143" t="s">
        <v>6735</v>
      </c>
      <c r="D3492" s="142" t="s">
        <v>5640</v>
      </c>
      <c r="E3492" s="143" t="s">
        <v>5640</v>
      </c>
      <c r="F3492" s="143" t="s">
        <v>5647</v>
      </c>
      <c r="G3492" s="142" t="s">
        <v>6739</v>
      </c>
      <c r="H3492" s="142" t="s">
        <v>50</v>
      </c>
      <c r="I3492" s="143" t="s">
        <v>3449</v>
      </c>
      <c r="J3492" s="143" t="s">
        <v>6741</v>
      </c>
      <c r="K3492" s="150" t="s">
        <v>5</v>
      </c>
      <c r="L3492" s="145">
        <v>46104</v>
      </c>
      <c r="M3492" s="152" t="s">
        <v>3392</v>
      </c>
    </row>
    <row r="3493" spans="1:13" ht="15" customHeight="1">
      <c r="A3493" s="146" t="s">
        <v>8374</v>
      </c>
      <c r="B3493" s="146">
        <v>517471</v>
      </c>
      <c r="C3493" s="147" t="s">
        <v>6735</v>
      </c>
      <c r="D3493" s="146" t="s">
        <v>5640</v>
      </c>
      <c r="E3493" s="147" t="s">
        <v>5683</v>
      </c>
      <c r="F3493" s="147" t="s">
        <v>8353</v>
      </c>
      <c r="G3493" s="146" t="s">
        <v>6739</v>
      </c>
      <c r="H3493" s="146" t="s">
        <v>50</v>
      </c>
      <c r="I3493" s="147" t="s">
        <v>3449</v>
      </c>
      <c r="J3493" s="147" t="s">
        <v>6741</v>
      </c>
      <c r="K3493" s="150" t="s">
        <v>5</v>
      </c>
      <c r="L3493" s="149">
        <v>46111</v>
      </c>
      <c r="M3493" s="151" t="s">
        <v>3392</v>
      </c>
    </row>
    <row r="3494" spans="1:13" ht="15" customHeight="1">
      <c r="A3494" s="142" t="s">
        <v>8375</v>
      </c>
      <c r="B3494" s="142">
        <v>516879</v>
      </c>
      <c r="C3494" s="143" t="s">
        <v>6735</v>
      </c>
      <c r="D3494" s="142" t="s">
        <v>5640</v>
      </c>
      <c r="E3494" s="143" t="s">
        <v>5640</v>
      </c>
      <c r="F3494" s="143" t="s">
        <v>5647</v>
      </c>
      <c r="G3494" s="142" t="s">
        <v>6739</v>
      </c>
      <c r="H3494" s="142" t="s">
        <v>50</v>
      </c>
      <c r="I3494" s="143" t="s">
        <v>3449</v>
      </c>
      <c r="J3494" s="143" t="s">
        <v>6741</v>
      </c>
      <c r="K3494" s="150" t="s">
        <v>5</v>
      </c>
      <c r="L3494" s="145">
        <v>46106</v>
      </c>
      <c r="M3494" s="152" t="s">
        <v>3392</v>
      </c>
    </row>
    <row r="3495" spans="1:13" ht="15" customHeight="1">
      <c r="A3495" s="146" t="s">
        <v>8376</v>
      </c>
      <c r="B3495" s="146">
        <v>516891</v>
      </c>
      <c r="C3495" s="147" t="s">
        <v>6735</v>
      </c>
      <c r="D3495" s="146" t="s">
        <v>5640</v>
      </c>
      <c r="E3495" s="147" t="s">
        <v>5717</v>
      </c>
      <c r="F3495" s="147" t="s">
        <v>8377</v>
      </c>
      <c r="G3495" s="146" t="s">
        <v>6739</v>
      </c>
      <c r="H3495" s="146" t="s">
        <v>50</v>
      </c>
      <c r="I3495" s="147" t="s">
        <v>3449</v>
      </c>
      <c r="J3495" s="147" t="s">
        <v>6741</v>
      </c>
      <c r="K3495" s="150" t="s">
        <v>5</v>
      </c>
      <c r="L3495" s="149">
        <v>46107</v>
      </c>
      <c r="M3495" s="151" t="s">
        <v>3392</v>
      </c>
    </row>
    <row r="3496" spans="1:13" ht="15" customHeight="1">
      <c r="A3496" s="142" t="s">
        <v>8378</v>
      </c>
      <c r="B3496" s="142">
        <v>517511</v>
      </c>
      <c r="C3496" s="143" t="s">
        <v>6735</v>
      </c>
      <c r="D3496" s="142" t="s">
        <v>5640</v>
      </c>
      <c r="E3496" s="143" t="s">
        <v>5761</v>
      </c>
      <c r="F3496" s="143" t="s">
        <v>8379</v>
      </c>
      <c r="G3496" s="142" t="s">
        <v>6739</v>
      </c>
      <c r="H3496" s="142" t="s">
        <v>50</v>
      </c>
      <c r="I3496" s="143" t="s">
        <v>3449</v>
      </c>
      <c r="J3496" s="143" t="s">
        <v>6741</v>
      </c>
      <c r="K3496" s="144" t="s">
        <v>121</v>
      </c>
      <c r="L3496" s="145">
        <v>46150</v>
      </c>
      <c r="M3496" s="144"/>
    </row>
    <row r="3497" spans="1:13" ht="15" customHeight="1">
      <c r="A3497" s="146" t="s">
        <v>8380</v>
      </c>
      <c r="B3497" s="146">
        <v>516845</v>
      </c>
      <c r="C3497" s="147" t="s">
        <v>6735</v>
      </c>
      <c r="D3497" s="146" t="s">
        <v>5640</v>
      </c>
      <c r="E3497" s="147" t="s">
        <v>5640</v>
      </c>
      <c r="F3497" s="147" t="s">
        <v>5647</v>
      </c>
      <c r="G3497" s="146" t="s">
        <v>6739</v>
      </c>
      <c r="H3497" s="146" t="s">
        <v>50</v>
      </c>
      <c r="I3497" s="147" t="s">
        <v>3449</v>
      </c>
      <c r="J3497" s="147" t="s">
        <v>6741</v>
      </c>
      <c r="K3497" s="150" t="s">
        <v>5</v>
      </c>
      <c r="L3497" s="149">
        <v>46112</v>
      </c>
      <c r="M3497" s="151" t="s">
        <v>3392</v>
      </c>
    </row>
    <row r="3498" spans="1:13" ht="15" customHeight="1">
      <c r="A3498" s="142" t="s">
        <v>8381</v>
      </c>
      <c r="B3498" s="142">
        <v>516878</v>
      </c>
      <c r="C3498" s="143" t="s">
        <v>6735</v>
      </c>
      <c r="D3498" s="142" t="s">
        <v>5640</v>
      </c>
      <c r="E3498" s="143" t="s">
        <v>5986</v>
      </c>
      <c r="F3498" s="143" t="s">
        <v>5990</v>
      </c>
      <c r="G3498" s="142" t="s">
        <v>6739</v>
      </c>
      <c r="H3498" s="142" t="s">
        <v>50</v>
      </c>
      <c r="I3498" s="143" t="s">
        <v>3449</v>
      </c>
      <c r="J3498" s="143" t="s">
        <v>6741</v>
      </c>
      <c r="K3498" s="150" t="s">
        <v>5</v>
      </c>
      <c r="L3498" s="145">
        <v>46111</v>
      </c>
      <c r="M3498" s="152" t="s">
        <v>3392</v>
      </c>
    </row>
    <row r="3499" spans="1:13" ht="15" customHeight="1">
      <c r="A3499" s="146" t="s">
        <v>8382</v>
      </c>
      <c r="B3499" s="146">
        <v>517270</v>
      </c>
      <c r="C3499" s="147" t="s">
        <v>6735</v>
      </c>
      <c r="D3499" s="146" t="s">
        <v>5640</v>
      </c>
      <c r="E3499" s="147" t="s">
        <v>5719</v>
      </c>
      <c r="F3499" s="147" t="s">
        <v>5719</v>
      </c>
      <c r="G3499" s="146" t="s">
        <v>6739</v>
      </c>
      <c r="H3499" s="146" t="s">
        <v>50</v>
      </c>
      <c r="I3499" s="147" t="s">
        <v>3449</v>
      </c>
      <c r="J3499" s="147" t="s">
        <v>6741</v>
      </c>
      <c r="K3499" s="148" t="s">
        <v>121</v>
      </c>
      <c r="L3499" s="149">
        <v>46136</v>
      </c>
      <c r="M3499" s="148"/>
    </row>
    <row r="3500" spans="1:13" ht="15" customHeight="1">
      <c r="A3500" s="142" t="s">
        <v>8383</v>
      </c>
      <c r="B3500" s="142">
        <v>517042</v>
      </c>
      <c r="C3500" s="143" t="s">
        <v>6735</v>
      </c>
      <c r="D3500" s="142" t="s">
        <v>5640</v>
      </c>
      <c r="E3500" s="143" t="s">
        <v>5710</v>
      </c>
      <c r="F3500" s="143" t="s">
        <v>5710</v>
      </c>
      <c r="G3500" s="142" t="s">
        <v>6739</v>
      </c>
      <c r="H3500" s="142" t="s">
        <v>50</v>
      </c>
      <c r="I3500" s="143" t="s">
        <v>3449</v>
      </c>
      <c r="J3500" s="143" t="s">
        <v>6741</v>
      </c>
      <c r="K3500" s="144" t="s">
        <v>121</v>
      </c>
      <c r="L3500" s="145">
        <v>46149</v>
      </c>
      <c r="M3500" s="144"/>
    </row>
    <row r="3501" spans="1:13" ht="15" customHeight="1">
      <c r="A3501" s="146" t="s">
        <v>8384</v>
      </c>
      <c r="B3501" s="146">
        <v>516993</v>
      </c>
      <c r="C3501" s="147" t="s">
        <v>6735</v>
      </c>
      <c r="D3501" s="146" t="s">
        <v>5640</v>
      </c>
      <c r="E3501" s="147" t="s">
        <v>5746</v>
      </c>
      <c r="F3501" s="147" t="s">
        <v>8385</v>
      </c>
      <c r="G3501" s="146" t="s">
        <v>6739</v>
      </c>
      <c r="H3501" s="146" t="s">
        <v>50</v>
      </c>
      <c r="I3501" s="147" t="s">
        <v>3449</v>
      </c>
      <c r="J3501" s="147" t="s">
        <v>6741</v>
      </c>
      <c r="K3501" s="150" t="s">
        <v>5</v>
      </c>
      <c r="L3501" s="149">
        <v>46118</v>
      </c>
      <c r="M3501" s="151" t="s">
        <v>3392</v>
      </c>
    </row>
    <row r="3502" spans="1:13" ht="15" customHeight="1">
      <c r="A3502" s="142" t="s">
        <v>8386</v>
      </c>
      <c r="B3502" s="142">
        <v>518052</v>
      </c>
      <c r="C3502" s="143" t="s">
        <v>6735</v>
      </c>
      <c r="D3502" s="142" t="s">
        <v>5640</v>
      </c>
      <c r="E3502" s="143" t="s">
        <v>3018</v>
      </c>
      <c r="F3502" s="143" t="s">
        <v>8371</v>
      </c>
      <c r="G3502" s="142" t="s">
        <v>6739</v>
      </c>
      <c r="H3502" s="142" t="s">
        <v>50</v>
      </c>
      <c r="I3502" s="143" t="s">
        <v>3449</v>
      </c>
      <c r="J3502" s="143" t="s">
        <v>6741</v>
      </c>
      <c r="K3502" s="144"/>
      <c r="L3502" s="145"/>
      <c r="M3502" s="144"/>
    </row>
    <row r="3503" spans="1:13" ht="15" customHeight="1">
      <c r="A3503" s="146" t="s">
        <v>8387</v>
      </c>
      <c r="B3503" s="146">
        <v>517094</v>
      </c>
      <c r="C3503" s="147" t="s">
        <v>6735</v>
      </c>
      <c r="D3503" s="146" t="s">
        <v>5640</v>
      </c>
      <c r="E3503" s="147" t="s">
        <v>5703</v>
      </c>
      <c r="F3503" s="147" t="s">
        <v>8388</v>
      </c>
      <c r="G3503" s="146" t="s">
        <v>6739</v>
      </c>
      <c r="H3503" s="146" t="s">
        <v>50</v>
      </c>
      <c r="I3503" s="147" t="s">
        <v>3449</v>
      </c>
      <c r="J3503" s="147" t="s">
        <v>6741</v>
      </c>
      <c r="K3503" s="148" t="s">
        <v>121</v>
      </c>
      <c r="L3503" s="149">
        <v>46142</v>
      </c>
      <c r="M3503" s="148"/>
    </row>
    <row r="3504" spans="1:13" ht="15" customHeight="1">
      <c r="A3504" s="142" t="s">
        <v>8389</v>
      </c>
      <c r="B3504" s="142">
        <v>516979</v>
      </c>
      <c r="C3504" s="143" t="s">
        <v>6735</v>
      </c>
      <c r="D3504" s="142" t="s">
        <v>5640</v>
      </c>
      <c r="E3504" s="143" t="s">
        <v>5717</v>
      </c>
      <c r="F3504" s="143" t="s">
        <v>8377</v>
      </c>
      <c r="G3504" s="142" t="s">
        <v>6739</v>
      </c>
      <c r="H3504" s="142" t="s">
        <v>50</v>
      </c>
      <c r="I3504" s="143" t="s">
        <v>3449</v>
      </c>
      <c r="J3504" s="143" t="s">
        <v>6741</v>
      </c>
      <c r="K3504" s="150" t="s">
        <v>5</v>
      </c>
      <c r="L3504" s="145">
        <v>46111</v>
      </c>
      <c r="M3504" s="152" t="s">
        <v>3392</v>
      </c>
    </row>
    <row r="3505" spans="1:13" ht="15" customHeight="1">
      <c r="A3505" s="146" t="s">
        <v>8390</v>
      </c>
      <c r="B3505" s="146">
        <v>516887</v>
      </c>
      <c r="C3505" s="147" t="s">
        <v>6735</v>
      </c>
      <c r="D3505" s="146" t="s">
        <v>5640</v>
      </c>
      <c r="E3505" s="147" t="s">
        <v>5698</v>
      </c>
      <c r="F3505" s="147" t="s">
        <v>5902</v>
      </c>
      <c r="G3505" s="146" t="s">
        <v>6739</v>
      </c>
      <c r="H3505" s="146" t="s">
        <v>50</v>
      </c>
      <c r="I3505" s="147" t="s">
        <v>3449</v>
      </c>
      <c r="J3505" s="147" t="s">
        <v>6741</v>
      </c>
      <c r="K3505" s="150" t="s">
        <v>5</v>
      </c>
      <c r="L3505" s="149">
        <v>46112</v>
      </c>
      <c r="M3505" s="151" t="s">
        <v>3392</v>
      </c>
    </row>
    <row r="3506" spans="1:13" ht="15" customHeight="1">
      <c r="A3506" s="142" t="s">
        <v>8391</v>
      </c>
      <c r="B3506" s="142">
        <v>517113</v>
      </c>
      <c r="C3506" s="143" t="s">
        <v>6735</v>
      </c>
      <c r="D3506" s="142" t="s">
        <v>5640</v>
      </c>
      <c r="E3506" s="143" t="s">
        <v>5687</v>
      </c>
      <c r="F3506" s="143" t="s">
        <v>5687</v>
      </c>
      <c r="G3506" s="142" t="s">
        <v>6739</v>
      </c>
      <c r="H3506" s="142" t="s">
        <v>50</v>
      </c>
      <c r="I3506" s="143" t="s">
        <v>3449</v>
      </c>
      <c r="J3506" s="143" t="s">
        <v>6741</v>
      </c>
      <c r="K3506" s="150" t="s">
        <v>5</v>
      </c>
      <c r="L3506" s="145">
        <v>46132</v>
      </c>
      <c r="M3506" s="152" t="s">
        <v>3392</v>
      </c>
    </row>
    <row r="3507" spans="1:13" ht="15" customHeight="1">
      <c r="A3507" s="146" t="s">
        <v>8392</v>
      </c>
      <c r="B3507" s="146">
        <v>517273</v>
      </c>
      <c r="C3507" s="147" t="s">
        <v>6735</v>
      </c>
      <c r="D3507" s="146" t="s">
        <v>5640</v>
      </c>
      <c r="E3507" s="147" t="s">
        <v>5683</v>
      </c>
      <c r="F3507" s="147" t="s">
        <v>8353</v>
      </c>
      <c r="G3507" s="146" t="s">
        <v>6739</v>
      </c>
      <c r="H3507" s="146" t="s">
        <v>50</v>
      </c>
      <c r="I3507" s="147" t="s">
        <v>3449</v>
      </c>
      <c r="J3507" s="147" t="s">
        <v>6741</v>
      </c>
      <c r="K3507" s="150" t="s">
        <v>5</v>
      </c>
      <c r="L3507" s="149">
        <v>46113</v>
      </c>
      <c r="M3507" s="151" t="s">
        <v>3392</v>
      </c>
    </row>
    <row r="3508" spans="1:13" ht="15" customHeight="1">
      <c r="A3508" s="142" t="s">
        <v>8393</v>
      </c>
      <c r="B3508" s="142">
        <v>517995</v>
      </c>
      <c r="C3508" s="143" t="s">
        <v>6735</v>
      </c>
      <c r="D3508" s="142" t="s">
        <v>5640</v>
      </c>
      <c r="E3508" s="143" t="s">
        <v>3001</v>
      </c>
      <c r="F3508" s="143" t="s">
        <v>6175</v>
      </c>
      <c r="G3508" s="142" t="s">
        <v>6739</v>
      </c>
      <c r="H3508" s="142" t="s">
        <v>50</v>
      </c>
      <c r="I3508" s="143" t="s">
        <v>3449</v>
      </c>
      <c r="J3508" s="143" t="s">
        <v>6741</v>
      </c>
      <c r="K3508" s="144" t="s">
        <v>121</v>
      </c>
      <c r="L3508" s="145">
        <v>46141</v>
      </c>
      <c r="M3508" s="144"/>
    </row>
    <row r="3509" spans="1:13" ht="15" customHeight="1">
      <c r="A3509" s="146" t="s">
        <v>8394</v>
      </c>
      <c r="B3509" s="146">
        <v>517488</v>
      </c>
      <c r="C3509" s="147" t="s">
        <v>6735</v>
      </c>
      <c r="D3509" s="146" t="s">
        <v>5640</v>
      </c>
      <c r="E3509" s="147" t="s">
        <v>5640</v>
      </c>
      <c r="F3509" s="147" t="s">
        <v>5647</v>
      </c>
      <c r="G3509" s="146" t="s">
        <v>6739</v>
      </c>
      <c r="H3509" s="146" t="s">
        <v>50</v>
      </c>
      <c r="I3509" s="147" t="s">
        <v>3449</v>
      </c>
      <c r="J3509" s="147" t="s">
        <v>6741</v>
      </c>
      <c r="K3509" s="150" t="s">
        <v>5</v>
      </c>
      <c r="L3509" s="149">
        <v>46111</v>
      </c>
      <c r="M3509" s="151" t="s">
        <v>3392</v>
      </c>
    </row>
    <row r="3510" spans="1:13" ht="15" customHeight="1">
      <c r="A3510" s="142" t="s">
        <v>8395</v>
      </c>
      <c r="B3510" s="142">
        <v>517219</v>
      </c>
      <c r="C3510" s="143" t="s">
        <v>6735</v>
      </c>
      <c r="D3510" s="142" t="s">
        <v>5640</v>
      </c>
      <c r="E3510" s="143" t="s">
        <v>5687</v>
      </c>
      <c r="F3510" s="143" t="s">
        <v>8396</v>
      </c>
      <c r="G3510" s="142" t="s">
        <v>6739</v>
      </c>
      <c r="H3510" s="142" t="s">
        <v>50</v>
      </c>
      <c r="I3510" s="143" t="s">
        <v>3449</v>
      </c>
      <c r="J3510" s="143" t="s">
        <v>6741</v>
      </c>
      <c r="K3510" s="144" t="s">
        <v>121</v>
      </c>
      <c r="L3510" s="145">
        <v>46142</v>
      </c>
      <c r="M3510" s="144"/>
    </row>
    <row r="3511" spans="1:13" ht="15" customHeight="1">
      <c r="A3511" s="146" t="s">
        <v>8397</v>
      </c>
      <c r="B3511" s="146">
        <v>517023</v>
      </c>
      <c r="C3511" s="147" t="s">
        <v>6735</v>
      </c>
      <c r="D3511" s="146" t="s">
        <v>5640</v>
      </c>
      <c r="E3511" s="147" t="s">
        <v>5731</v>
      </c>
      <c r="F3511" s="147" t="s">
        <v>5731</v>
      </c>
      <c r="G3511" s="146" t="s">
        <v>6739</v>
      </c>
      <c r="H3511" s="146" t="s">
        <v>50</v>
      </c>
      <c r="I3511" s="147" t="s">
        <v>3449</v>
      </c>
      <c r="J3511" s="147" t="s">
        <v>6741</v>
      </c>
      <c r="K3511" s="150" t="s">
        <v>5</v>
      </c>
      <c r="L3511" s="149">
        <v>46120</v>
      </c>
      <c r="M3511" s="151" t="s">
        <v>3392</v>
      </c>
    </row>
    <row r="3512" spans="1:13" ht="15" customHeight="1">
      <c r="A3512" s="142" t="s">
        <v>8398</v>
      </c>
      <c r="B3512" s="142">
        <v>516882</v>
      </c>
      <c r="C3512" s="143" t="s">
        <v>6735</v>
      </c>
      <c r="D3512" s="142" t="s">
        <v>5640</v>
      </c>
      <c r="E3512" s="143" t="s">
        <v>5698</v>
      </c>
      <c r="F3512" s="143" t="s">
        <v>8399</v>
      </c>
      <c r="G3512" s="142" t="s">
        <v>6739</v>
      </c>
      <c r="H3512" s="142" t="s">
        <v>50</v>
      </c>
      <c r="I3512" s="143" t="s">
        <v>3449</v>
      </c>
      <c r="J3512" s="143" t="s">
        <v>6741</v>
      </c>
      <c r="K3512" s="150" t="s">
        <v>5</v>
      </c>
      <c r="L3512" s="145">
        <v>46113</v>
      </c>
      <c r="M3512" s="152" t="s">
        <v>3392</v>
      </c>
    </row>
    <row r="3513" spans="1:13" ht="15" customHeight="1">
      <c r="A3513" s="146" t="s">
        <v>8400</v>
      </c>
      <c r="B3513" s="146">
        <v>516864</v>
      </c>
      <c r="C3513" s="147" t="s">
        <v>6735</v>
      </c>
      <c r="D3513" s="146" t="s">
        <v>5640</v>
      </c>
      <c r="E3513" s="147" t="s">
        <v>5717</v>
      </c>
      <c r="F3513" s="147" t="s">
        <v>8377</v>
      </c>
      <c r="G3513" s="146" t="s">
        <v>6739</v>
      </c>
      <c r="H3513" s="146" t="s">
        <v>50</v>
      </c>
      <c r="I3513" s="147" t="s">
        <v>3449</v>
      </c>
      <c r="J3513" s="147" t="s">
        <v>6741</v>
      </c>
      <c r="K3513" s="150" t="s">
        <v>5</v>
      </c>
      <c r="L3513" s="149">
        <v>46111</v>
      </c>
      <c r="M3513" s="151" t="s">
        <v>3392</v>
      </c>
    </row>
    <row r="3514" spans="1:13" ht="15" customHeight="1">
      <c r="A3514" s="142" t="s">
        <v>8401</v>
      </c>
      <c r="B3514" s="142">
        <v>517063</v>
      </c>
      <c r="C3514" s="143" t="s">
        <v>6735</v>
      </c>
      <c r="D3514" s="142" t="s">
        <v>5640</v>
      </c>
      <c r="E3514" s="143" t="s">
        <v>5700</v>
      </c>
      <c r="F3514" s="143" t="s">
        <v>5701</v>
      </c>
      <c r="G3514" s="142" t="s">
        <v>6739</v>
      </c>
      <c r="H3514" s="142" t="s">
        <v>50</v>
      </c>
      <c r="I3514" s="143" t="s">
        <v>3449</v>
      </c>
      <c r="J3514" s="143" t="s">
        <v>6741</v>
      </c>
      <c r="K3514" s="150" t="s">
        <v>5</v>
      </c>
      <c r="L3514" s="145">
        <v>46118</v>
      </c>
      <c r="M3514" s="152" t="s">
        <v>3392</v>
      </c>
    </row>
    <row r="3515" spans="1:13" ht="15" customHeight="1">
      <c r="A3515" s="146" t="s">
        <v>8402</v>
      </c>
      <c r="B3515" s="146">
        <v>517130</v>
      </c>
      <c r="C3515" s="147" t="s">
        <v>6735</v>
      </c>
      <c r="D3515" s="146" t="s">
        <v>5640</v>
      </c>
      <c r="E3515" s="147" t="s">
        <v>5680</v>
      </c>
      <c r="F3515" s="147" t="s">
        <v>5680</v>
      </c>
      <c r="G3515" s="146" t="s">
        <v>6739</v>
      </c>
      <c r="H3515" s="146" t="s">
        <v>50</v>
      </c>
      <c r="I3515" s="147" t="s">
        <v>3449</v>
      </c>
      <c r="J3515" s="147" t="s">
        <v>6741</v>
      </c>
      <c r="K3515" s="150" t="s">
        <v>5</v>
      </c>
      <c r="L3515" s="149">
        <v>46113</v>
      </c>
      <c r="M3515" s="151" t="s">
        <v>3392</v>
      </c>
    </row>
    <row r="3516" spans="1:13" ht="15" customHeight="1">
      <c r="A3516" s="142" t="s">
        <v>8403</v>
      </c>
      <c r="B3516" s="142">
        <v>517490</v>
      </c>
      <c r="C3516" s="143" t="s">
        <v>6735</v>
      </c>
      <c r="D3516" s="142" t="s">
        <v>5640</v>
      </c>
      <c r="E3516" s="143" t="s">
        <v>5683</v>
      </c>
      <c r="F3516" s="143" t="s">
        <v>8353</v>
      </c>
      <c r="G3516" s="142" t="s">
        <v>6739</v>
      </c>
      <c r="H3516" s="142" t="s">
        <v>50</v>
      </c>
      <c r="I3516" s="143" t="s">
        <v>3449</v>
      </c>
      <c r="J3516" s="143" t="s">
        <v>6741</v>
      </c>
      <c r="K3516" s="150" t="s">
        <v>5</v>
      </c>
      <c r="L3516" s="145">
        <v>46113</v>
      </c>
      <c r="M3516" s="152" t="s">
        <v>3392</v>
      </c>
    </row>
    <row r="3517" spans="1:13" ht="15" customHeight="1">
      <c r="A3517" s="146" t="s">
        <v>8404</v>
      </c>
      <c r="B3517" s="146">
        <v>516984</v>
      </c>
      <c r="C3517" s="147" t="s">
        <v>6735</v>
      </c>
      <c r="D3517" s="146" t="s">
        <v>5640</v>
      </c>
      <c r="E3517" s="147" t="s">
        <v>5997</v>
      </c>
      <c r="F3517" s="147" t="s">
        <v>8405</v>
      </c>
      <c r="G3517" s="146" t="s">
        <v>6739</v>
      </c>
      <c r="H3517" s="146" t="s">
        <v>50</v>
      </c>
      <c r="I3517" s="147" t="s">
        <v>3449</v>
      </c>
      <c r="J3517" s="147" t="s">
        <v>6741</v>
      </c>
      <c r="K3517" s="150" t="s">
        <v>5</v>
      </c>
      <c r="L3517" s="149">
        <v>46118</v>
      </c>
      <c r="M3517" s="151" t="s">
        <v>3392</v>
      </c>
    </row>
    <row r="3518" spans="1:13" ht="15" customHeight="1">
      <c r="A3518" s="142" t="s">
        <v>8406</v>
      </c>
      <c r="B3518" s="142">
        <v>517463</v>
      </c>
      <c r="C3518" s="143" t="s">
        <v>6735</v>
      </c>
      <c r="D3518" s="142" t="s">
        <v>5640</v>
      </c>
      <c r="E3518" s="143" t="s">
        <v>4099</v>
      </c>
      <c r="F3518" s="143" t="s">
        <v>8407</v>
      </c>
      <c r="G3518" s="142" t="s">
        <v>6739</v>
      </c>
      <c r="H3518" s="142" t="s">
        <v>50</v>
      </c>
      <c r="I3518" s="143" t="s">
        <v>3449</v>
      </c>
      <c r="J3518" s="143" t="s">
        <v>6741</v>
      </c>
      <c r="K3518" s="150" t="s">
        <v>5</v>
      </c>
      <c r="L3518" s="145">
        <v>46134</v>
      </c>
      <c r="M3518" s="152" t="s">
        <v>3392</v>
      </c>
    </row>
    <row r="3519" spans="1:13" ht="15" customHeight="1">
      <c r="A3519" s="146" t="s">
        <v>8408</v>
      </c>
      <c r="B3519" s="146">
        <v>517043</v>
      </c>
      <c r="C3519" s="147" t="s">
        <v>6735</v>
      </c>
      <c r="D3519" s="146" t="s">
        <v>5640</v>
      </c>
      <c r="E3519" s="147" t="s">
        <v>5710</v>
      </c>
      <c r="F3519" s="147" t="s">
        <v>5710</v>
      </c>
      <c r="G3519" s="146" t="s">
        <v>6739</v>
      </c>
      <c r="H3519" s="146" t="s">
        <v>50</v>
      </c>
      <c r="I3519" s="147" t="s">
        <v>3449</v>
      </c>
      <c r="J3519" s="147" t="s">
        <v>6741</v>
      </c>
      <c r="K3519" s="148" t="s">
        <v>121</v>
      </c>
      <c r="L3519" s="149">
        <v>46147</v>
      </c>
      <c r="M3519" s="148"/>
    </row>
    <row r="3520" spans="1:13" ht="15" customHeight="1">
      <c r="A3520" s="142" t="s">
        <v>8409</v>
      </c>
      <c r="B3520" s="142">
        <v>517275</v>
      </c>
      <c r="C3520" s="143" t="s">
        <v>6735</v>
      </c>
      <c r="D3520" s="142" t="s">
        <v>5640</v>
      </c>
      <c r="E3520" s="143" t="s">
        <v>5944</v>
      </c>
      <c r="F3520" s="143" t="s">
        <v>8410</v>
      </c>
      <c r="G3520" s="142" t="s">
        <v>6739</v>
      </c>
      <c r="H3520" s="142" t="s">
        <v>50</v>
      </c>
      <c r="I3520" s="143" t="s">
        <v>3449</v>
      </c>
      <c r="J3520" s="143" t="s">
        <v>6741</v>
      </c>
      <c r="K3520" s="150" t="s">
        <v>5</v>
      </c>
      <c r="L3520" s="145">
        <v>46111</v>
      </c>
      <c r="M3520" s="152" t="s">
        <v>3392</v>
      </c>
    </row>
    <row r="3521" spans="1:13" ht="15" customHeight="1">
      <c r="A3521" s="146" t="s">
        <v>8411</v>
      </c>
      <c r="B3521" s="146">
        <v>517086</v>
      </c>
      <c r="C3521" s="147" t="s">
        <v>6735</v>
      </c>
      <c r="D3521" s="146" t="s">
        <v>5640</v>
      </c>
      <c r="E3521" s="147" t="s">
        <v>6159</v>
      </c>
      <c r="F3521" s="147" t="s">
        <v>6159</v>
      </c>
      <c r="G3521" s="146" t="s">
        <v>6739</v>
      </c>
      <c r="H3521" s="146" t="s">
        <v>50</v>
      </c>
      <c r="I3521" s="147" t="s">
        <v>3449</v>
      </c>
      <c r="J3521" s="147" t="s">
        <v>6741</v>
      </c>
      <c r="K3521" s="150" t="s">
        <v>5</v>
      </c>
      <c r="L3521" s="149">
        <v>46122</v>
      </c>
      <c r="M3521" s="151" t="s">
        <v>3392</v>
      </c>
    </row>
    <row r="3522" spans="1:13" ht="15" customHeight="1">
      <c r="A3522" s="142" t="s">
        <v>8412</v>
      </c>
      <c r="B3522" s="142">
        <v>516952</v>
      </c>
      <c r="C3522" s="143" t="s">
        <v>6735</v>
      </c>
      <c r="D3522" s="142" t="s">
        <v>5640</v>
      </c>
      <c r="E3522" s="143" t="s">
        <v>5661</v>
      </c>
      <c r="F3522" s="143" t="s">
        <v>8327</v>
      </c>
      <c r="G3522" s="142" t="s">
        <v>6739</v>
      </c>
      <c r="H3522" s="142" t="s">
        <v>50</v>
      </c>
      <c r="I3522" s="143" t="s">
        <v>3449</v>
      </c>
      <c r="J3522" s="143" t="s">
        <v>6741</v>
      </c>
      <c r="K3522" s="150" t="s">
        <v>5</v>
      </c>
      <c r="L3522" s="145">
        <v>46119</v>
      </c>
      <c r="M3522" s="152" t="s">
        <v>3392</v>
      </c>
    </row>
    <row r="3523" spans="1:13" ht="15" customHeight="1">
      <c r="A3523" s="146" t="s">
        <v>8413</v>
      </c>
      <c r="B3523" s="146">
        <v>516803</v>
      </c>
      <c r="C3523" s="147" t="s">
        <v>6735</v>
      </c>
      <c r="D3523" s="146" t="s">
        <v>5640</v>
      </c>
      <c r="E3523" s="147" t="s">
        <v>5640</v>
      </c>
      <c r="F3523" s="147" t="s">
        <v>5647</v>
      </c>
      <c r="G3523" s="146" t="s">
        <v>6739</v>
      </c>
      <c r="H3523" s="146" t="s">
        <v>50</v>
      </c>
      <c r="I3523" s="147" t="s">
        <v>3449</v>
      </c>
      <c r="J3523" s="147" t="s">
        <v>6741</v>
      </c>
      <c r="K3523" s="150" t="s">
        <v>5</v>
      </c>
      <c r="L3523" s="149">
        <v>46108</v>
      </c>
      <c r="M3523" s="151" t="s">
        <v>3392</v>
      </c>
    </row>
    <row r="3524" spans="1:13" ht="15" customHeight="1">
      <c r="A3524" s="142" t="s">
        <v>8414</v>
      </c>
      <c r="B3524" s="142">
        <v>516880</v>
      </c>
      <c r="C3524" s="143" t="s">
        <v>6735</v>
      </c>
      <c r="D3524" s="142" t="s">
        <v>5640</v>
      </c>
      <c r="E3524" s="143" t="s">
        <v>5640</v>
      </c>
      <c r="F3524" s="143" t="s">
        <v>5647</v>
      </c>
      <c r="G3524" s="142" t="s">
        <v>6739</v>
      </c>
      <c r="H3524" s="142" t="s">
        <v>50</v>
      </c>
      <c r="I3524" s="143" t="s">
        <v>3449</v>
      </c>
      <c r="J3524" s="143" t="s">
        <v>6741</v>
      </c>
      <c r="K3524" s="150" t="s">
        <v>5</v>
      </c>
      <c r="L3524" s="145">
        <v>46112</v>
      </c>
      <c r="M3524" s="152" t="s">
        <v>3392</v>
      </c>
    </row>
    <row r="3525" spans="1:13" ht="15" customHeight="1">
      <c r="A3525" s="146" t="s">
        <v>8415</v>
      </c>
      <c r="B3525" s="146">
        <v>516978</v>
      </c>
      <c r="C3525" s="147" t="s">
        <v>6735</v>
      </c>
      <c r="D3525" s="146" t="s">
        <v>5640</v>
      </c>
      <c r="E3525" s="147" t="s">
        <v>5640</v>
      </c>
      <c r="F3525" s="147" t="s">
        <v>5647</v>
      </c>
      <c r="G3525" s="146" t="s">
        <v>6739</v>
      </c>
      <c r="H3525" s="146" t="s">
        <v>50</v>
      </c>
      <c r="I3525" s="147" t="s">
        <v>3449</v>
      </c>
      <c r="J3525" s="147" t="s">
        <v>6741</v>
      </c>
      <c r="K3525" s="150" t="s">
        <v>5</v>
      </c>
      <c r="L3525" s="149">
        <v>46112</v>
      </c>
      <c r="M3525" s="151" t="s">
        <v>3392</v>
      </c>
    </row>
    <row r="3526" spans="1:13" ht="15" customHeight="1">
      <c r="A3526" s="142" t="s">
        <v>8416</v>
      </c>
      <c r="B3526" s="142">
        <v>516825</v>
      </c>
      <c r="C3526" s="143" t="s">
        <v>6735</v>
      </c>
      <c r="D3526" s="142" t="s">
        <v>5640</v>
      </c>
      <c r="E3526" s="143" t="s">
        <v>5640</v>
      </c>
      <c r="F3526" s="143" t="s">
        <v>5647</v>
      </c>
      <c r="G3526" s="142" t="s">
        <v>6739</v>
      </c>
      <c r="H3526" s="142" t="s">
        <v>50</v>
      </c>
      <c r="I3526" s="143" t="s">
        <v>3449</v>
      </c>
      <c r="J3526" s="143" t="s">
        <v>6741</v>
      </c>
      <c r="K3526" s="150" t="s">
        <v>5</v>
      </c>
      <c r="L3526" s="145">
        <v>46113</v>
      </c>
      <c r="M3526" s="152" t="s">
        <v>3392</v>
      </c>
    </row>
    <row r="3527" spans="1:13" ht="15" customHeight="1">
      <c r="A3527" s="146" t="s">
        <v>8417</v>
      </c>
      <c r="B3527" s="146">
        <v>517091</v>
      </c>
      <c r="C3527" s="147" t="s">
        <v>6735</v>
      </c>
      <c r="D3527" s="146" t="s">
        <v>5640</v>
      </c>
      <c r="E3527" s="147" t="s">
        <v>6181</v>
      </c>
      <c r="F3527" s="147" t="s">
        <v>6181</v>
      </c>
      <c r="G3527" s="146" t="s">
        <v>6739</v>
      </c>
      <c r="H3527" s="146" t="s">
        <v>50</v>
      </c>
      <c r="I3527" s="147" t="s">
        <v>3449</v>
      </c>
      <c r="J3527" s="147" t="s">
        <v>6741</v>
      </c>
      <c r="K3527" s="148" t="s">
        <v>121</v>
      </c>
      <c r="L3527" s="149">
        <v>46141</v>
      </c>
      <c r="M3527" s="148"/>
    </row>
    <row r="3528" spans="1:13" ht="15" customHeight="1">
      <c r="A3528" s="142" t="s">
        <v>8418</v>
      </c>
      <c r="B3528" s="142">
        <v>516866</v>
      </c>
      <c r="C3528" s="143" t="s">
        <v>6735</v>
      </c>
      <c r="D3528" s="142" t="s">
        <v>5640</v>
      </c>
      <c r="E3528" s="143" t="s">
        <v>5640</v>
      </c>
      <c r="F3528" s="143" t="s">
        <v>5647</v>
      </c>
      <c r="G3528" s="142" t="s">
        <v>6739</v>
      </c>
      <c r="H3528" s="142" t="s">
        <v>50</v>
      </c>
      <c r="I3528" s="143" t="s">
        <v>3449</v>
      </c>
      <c r="J3528" s="143" t="s">
        <v>6741</v>
      </c>
      <c r="K3528" s="150" t="s">
        <v>5</v>
      </c>
      <c r="L3528" s="145">
        <v>46112</v>
      </c>
      <c r="M3528" s="152" t="s">
        <v>3392</v>
      </c>
    </row>
    <row r="3529" spans="1:13" ht="15" customHeight="1">
      <c r="A3529" s="146" t="s">
        <v>8419</v>
      </c>
      <c r="B3529" s="146">
        <v>517012</v>
      </c>
      <c r="C3529" s="147" t="s">
        <v>6735</v>
      </c>
      <c r="D3529" s="146" t="s">
        <v>5640</v>
      </c>
      <c r="E3529" s="147" t="s">
        <v>6067</v>
      </c>
      <c r="F3529" s="147" t="s">
        <v>1172</v>
      </c>
      <c r="G3529" s="146" t="s">
        <v>6739</v>
      </c>
      <c r="H3529" s="146" t="s">
        <v>50</v>
      </c>
      <c r="I3529" s="147" t="s">
        <v>3449</v>
      </c>
      <c r="J3529" s="147" t="s">
        <v>6741</v>
      </c>
      <c r="K3529" s="150" t="s">
        <v>5</v>
      </c>
      <c r="L3529" s="149">
        <v>46121</v>
      </c>
      <c r="M3529" s="151" t="s">
        <v>3392</v>
      </c>
    </row>
    <row r="3530" spans="1:13" ht="15" customHeight="1">
      <c r="A3530" s="142" t="s">
        <v>8420</v>
      </c>
      <c r="B3530" s="142">
        <v>516888</v>
      </c>
      <c r="C3530" s="143" t="s">
        <v>6735</v>
      </c>
      <c r="D3530" s="142" t="s">
        <v>5640</v>
      </c>
      <c r="E3530" s="143" t="s">
        <v>5698</v>
      </c>
      <c r="F3530" s="143" t="s">
        <v>5902</v>
      </c>
      <c r="G3530" s="142" t="s">
        <v>6739</v>
      </c>
      <c r="H3530" s="142" t="s">
        <v>50</v>
      </c>
      <c r="I3530" s="143" t="s">
        <v>3449</v>
      </c>
      <c r="J3530" s="143" t="s">
        <v>6741</v>
      </c>
      <c r="K3530" s="150" t="s">
        <v>5</v>
      </c>
      <c r="L3530" s="145">
        <v>46122</v>
      </c>
      <c r="M3530" s="152" t="s">
        <v>3392</v>
      </c>
    </row>
    <row r="3531" spans="1:13" ht="15" customHeight="1">
      <c r="A3531" s="146" t="s">
        <v>8421</v>
      </c>
      <c r="B3531" s="146">
        <v>516894</v>
      </c>
      <c r="C3531" s="147" t="s">
        <v>6735</v>
      </c>
      <c r="D3531" s="146" t="s">
        <v>5640</v>
      </c>
      <c r="E3531" s="147" t="s">
        <v>5698</v>
      </c>
      <c r="F3531" s="147" t="s">
        <v>8422</v>
      </c>
      <c r="G3531" s="146" t="s">
        <v>6739</v>
      </c>
      <c r="H3531" s="146" t="s">
        <v>50</v>
      </c>
      <c r="I3531" s="147" t="s">
        <v>3449</v>
      </c>
      <c r="J3531" s="147" t="s">
        <v>6741</v>
      </c>
      <c r="K3531" s="150" t="s">
        <v>5</v>
      </c>
      <c r="L3531" s="149">
        <v>46118</v>
      </c>
      <c r="M3531" s="151" t="s">
        <v>3392</v>
      </c>
    </row>
    <row r="3532" spans="1:13" ht="15" customHeight="1">
      <c r="A3532" s="142" t="s">
        <v>8423</v>
      </c>
      <c r="B3532" s="142">
        <v>516896</v>
      </c>
      <c r="C3532" s="143" t="s">
        <v>6735</v>
      </c>
      <c r="D3532" s="142" t="s">
        <v>5640</v>
      </c>
      <c r="E3532" s="143" t="s">
        <v>5698</v>
      </c>
      <c r="F3532" s="143" t="s">
        <v>8399</v>
      </c>
      <c r="G3532" s="142" t="s">
        <v>6739</v>
      </c>
      <c r="H3532" s="142" t="s">
        <v>50</v>
      </c>
      <c r="I3532" s="143" t="s">
        <v>3449</v>
      </c>
      <c r="J3532" s="143" t="s">
        <v>6741</v>
      </c>
      <c r="K3532" s="150" t="s">
        <v>5</v>
      </c>
      <c r="L3532" s="145">
        <v>46113</v>
      </c>
      <c r="M3532" s="152" t="s">
        <v>3392</v>
      </c>
    </row>
    <row r="3533" spans="1:13" ht="15" customHeight="1">
      <c r="A3533" s="146" t="s">
        <v>8424</v>
      </c>
      <c r="B3533" s="146">
        <v>516848</v>
      </c>
      <c r="C3533" s="147" t="s">
        <v>6735</v>
      </c>
      <c r="D3533" s="146" t="s">
        <v>5640</v>
      </c>
      <c r="E3533" s="147" t="s">
        <v>5640</v>
      </c>
      <c r="F3533" s="147" t="s">
        <v>5647</v>
      </c>
      <c r="G3533" s="146" t="s">
        <v>6739</v>
      </c>
      <c r="H3533" s="146" t="s">
        <v>50</v>
      </c>
      <c r="I3533" s="147" t="s">
        <v>3449</v>
      </c>
      <c r="J3533" s="147" t="s">
        <v>6741</v>
      </c>
      <c r="K3533" s="150" t="s">
        <v>5</v>
      </c>
      <c r="L3533" s="149">
        <v>46101</v>
      </c>
      <c r="M3533" s="151" t="s">
        <v>3392</v>
      </c>
    </row>
    <row r="3534" spans="1:13" ht="15" customHeight="1">
      <c r="A3534" s="142" t="s">
        <v>8425</v>
      </c>
      <c r="B3534" s="142">
        <v>517133</v>
      </c>
      <c r="C3534" s="143" t="s">
        <v>6735</v>
      </c>
      <c r="D3534" s="142" t="s">
        <v>5640</v>
      </c>
      <c r="E3534" s="143" t="s">
        <v>5816</v>
      </c>
      <c r="F3534" s="143" t="s">
        <v>5816</v>
      </c>
      <c r="G3534" s="142" t="s">
        <v>6739</v>
      </c>
      <c r="H3534" s="142" t="s">
        <v>50</v>
      </c>
      <c r="I3534" s="143" t="s">
        <v>3449</v>
      </c>
      <c r="J3534" s="143" t="s">
        <v>6741</v>
      </c>
      <c r="K3534" s="144" t="s">
        <v>121</v>
      </c>
      <c r="L3534" s="145">
        <v>46140</v>
      </c>
      <c r="M3534" s="144"/>
    </row>
    <row r="3535" spans="1:13" ht="15" customHeight="1">
      <c r="A3535" s="146" t="s">
        <v>8426</v>
      </c>
      <c r="B3535" s="146">
        <v>517486</v>
      </c>
      <c r="C3535" s="147" t="s">
        <v>6735</v>
      </c>
      <c r="D3535" s="146" t="s">
        <v>5640</v>
      </c>
      <c r="E3535" s="147" t="s">
        <v>5640</v>
      </c>
      <c r="F3535" s="147" t="s">
        <v>5647</v>
      </c>
      <c r="G3535" s="146" t="s">
        <v>6739</v>
      </c>
      <c r="H3535" s="146" t="s">
        <v>50</v>
      </c>
      <c r="I3535" s="147" t="s">
        <v>3449</v>
      </c>
      <c r="J3535" s="147" t="s">
        <v>6741</v>
      </c>
      <c r="K3535" s="150" t="s">
        <v>5</v>
      </c>
      <c r="L3535" s="149">
        <v>46111</v>
      </c>
      <c r="M3535" s="151" t="s">
        <v>3392</v>
      </c>
    </row>
    <row r="3536" spans="1:13" ht="15" customHeight="1">
      <c r="A3536" s="142" t="s">
        <v>8427</v>
      </c>
      <c r="B3536" s="142">
        <v>517015</v>
      </c>
      <c r="C3536" s="143" t="s">
        <v>6735</v>
      </c>
      <c r="D3536" s="142" t="s">
        <v>5640</v>
      </c>
      <c r="E3536" s="143" t="s">
        <v>5731</v>
      </c>
      <c r="F3536" s="143" t="s">
        <v>5731</v>
      </c>
      <c r="G3536" s="142" t="s">
        <v>6739</v>
      </c>
      <c r="H3536" s="142" t="s">
        <v>50</v>
      </c>
      <c r="I3536" s="143" t="s">
        <v>3449</v>
      </c>
      <c r="J3536" s="143" t="s">
        <v>6741</v>
      </c>
      <c r="K3536" s="150" t="s">
        <v>5</v>
      </c>
      <c r="L3536" s="145">
        <v>46121</v>
      </c>
      <c r="M3536" s="152" t="s">
        <v>3392</v>
      </c>
    </row>
    <row r="3537" spans="1:13" ht="15" customHeight="1">
      <c r="A3537" s="146" t="s">
        <v>8428</v>
      </c>
      <c r="B3537" s="146">
        <v>518125</v>
      </c>
      <c r="C3537" s="147" t="s">
        <v>6735</v>
      </c>
      <c r="D3537" s="146" t="s">
        <v>5640</v>
      </c>
      <c r="E3537" s="147" t="s">
        <v>5710</v>
      </c>
      <c r="F3537" s="147" t="s">
        <v>4287</v>
      </c>
      <c r="G3537" s="146" t="s">
        <v>6739</v>
      </c>
      <c r="H3537" s="146" t="s">
        <v>50</v>
      </c>
      <c r="I3537" s="147" t="s">
        <v>3449</v>
      </c>
      <c r="J3537" s="147" t="s">
        <v>6741</v>
      </c>
      <c r="K3537" s="148" t="s">
        <v>121</v>
      </c>
      <c r="L3537" s="149">
        <v>46142</v>
      </c>
      <c r="M3537" s="148"/>
    </row>
    <row r="3538" spans="1:13" ht="15" customHeight="1">
      <c r="A3538" s="142" t="s">
        <v>8429</v>
      </c>
      <c r="B3538" s="142">
        <v>517276</v>
      </c>
      <c r="C3538" s="143" t="s">
        <v>6735</v>
      </c>
      <c r="D3538" s="142" t="s">
        <v>5640</v>
      </c>
      <c r="E3538" s="143" t="s">
        <v>5944</v>
      </c>
      <c r="F3538" s="143" t="s">
        <v>8430</v>
      </c>
      <c r="G3538" s="142" t="s">
        <v>6739</v>
      </c>
      <c r="H3538" s="142" t="s">
        <v>50</v>
      </c>
      <c r="I3538" s="143" t="s">
        <v>3449</v>
      </c>
      <c r="J3538" s="143" t="s">
        <v>6741</v>
      </c>
      <c r="K3538" s="150" t="s">
        <v>5</v>
      </c>
      <c r="L3538" s="145">
        <v>46120</v>
      </c>
      <c r="M3538" s="152" t="s">
        <v>3392</v>
      </c>
    </row>
    <row r="3539" spans="1:13" ht="15" customHeight="1">
      <c r="A3539" s="146" t="s">
        <v>8431</v>
      </c>
      <c r="B3539" s="146">
        <v>517320</v>
      </c>
      <c r="C3539" s="147" t="s">
        <v>6735</v>
      </c>
      <c r="D3539" s="146" t="s">
        <v>5640</v>
      </c>
      <c r="E3539" s="147" t="s">
        <v>6234</v>
      </c>
      <c r="F3539" s="147" t="s">
        <v>6234</v>
      </c>
      <c r="G3539" s="146" t="s">
        <v>6739</v>
      </c>
      <c r="H3539" s="146" t="s">
        <v>50</v>
      </c>
      <c r="I3539" s="147" t="s">
        <v>3449</v>
      </c>
      <c r="J3539" s="147" t="s">
        <v>6741</v>
      </c>
      <c r="K3539" s="150" t="s">
        <v>5</v>
      </c>
      <c r="L3539" s="149">
        <v>46125</v>
      </c>
      <c r="M3539" s="151" t="s">
        <v>3392</v>
      </c>
    </row>
    <row r="3540" spans="1:13" ht="15" customHeight="1">
      <c r="A3540" s="142" t="s">
        <v>8432</v>
      </c>
      <c r="B3540" s="142">
        <v>517260</v>
      </c>
      <c r="C3540" s="143" t="s">
        <v>6735</v>
      </c>
      <c r="D3540" s="142" t="s">
        <v>5640</v>
      </c>
      <c r="E3540" s="143" t="s">
        <v>5796</v>
      </c>
      <c r="F3540" s="143" t="s">
        <v>6041</v>
      </c>
      <c r="G3540" s="142" t="s">
        <v>6739</v>
      </c>
      <c r="H3540" s="142" t="s">
        <v>50</v>
      </c>
      <c r="I3540" s="143" t="s">
        <v>3449</v>
      </c>
      <c r="J3540" s="143" t="s">
        <v>6741</v>
      </c>
      <c r="K3540" s="144" t="s">
        <v>162</v>
      </c>
      <c r="L3540" s="145">
        <v>46143</v>
      </c>
      <c r="M3540" s="181" t="s">
        <v>8433</v>
      </c>
    </row>
    <row r="3541" spans="1:13" ht="15" customHeight="1">
      <c r="A3541" s="146" t="s">
        <v>8434</v>
      </c>
      <c r="B3541" s="146">
        <v>517338</v>
      </c>
      <c r="C3541" s="147" t="s">
        <v>6735</v>
      </c>
      <c r="D3541" s="146" t="s">
        <v>5640</v>
      </c>
      <c r="E3541" s="147" t="s">
        <v>5803</v>
      </c>
      <c r="F3541" s="147" t="s">
        <v>5804</v>
      </c>
      <c r="G3541" s="146" t="s">
        <v>6739</v>
      </c>
      <c r="H3541" s="146" t="s">
        <v>50</v>
      </c>
      <c r="I3541" s="147" t="s">
        <v>3449</v>
      </c>
      <c r="J3541" s="147" t="s">
        <v>6741</v>
      </c>
      <c r="K3541" s="148" t="s">
        <v>121</v>
      </c>
      <c r="L3541" s="149">
        <v>46149</v>
      </c>
      <c r="M3541" s="148"/>
    </row>
    <row r="3542" spans="1:13" ht="15" customHeight="1">
      <c r="A3542" s="142" t="s">
        <v>8435</v>
      </c>
      <c r="B3542" s="142">
        <v>516868</v>
      </c>
      <c r="C3542" s="143" t="s">
        <v>6735</v>
      </c>
      <c r="D3542" s="142" t="s">
        <v>5640</v>
      </c>
      <c r="E3542" s="143" t="s">
        <v>5640</v>
      </c>
      <c r="F3542" s="143" t="s">
        <v>5647</v>
      </c>
      <c r="G3542" s="142" t="s">
        <v>6739</v>
      </c>
      <c r="H3542" s="142" t="s">
        <v>50</v>
      </c>
      <c r="I3542" s="143" t="s">
        <v>3449</v>
      </c>
      <c r="J3542" s="143" t="s">
        <v>6741</v>
      </c>
      <c r="K3542" s="150" t="s">
        <v>5</v>
      </c>
      <c r="L3542" s="145">
        <v>46112</v>
      </c>
      <c r="M3542" s="152" t="s">
        <v>3392</v>
      </c>
    </row>
    <row r="3543" spans="1:13" ht="15" customHeight="1">
      <c r="A3543" s="146" t="s">
        <v>8436</v>
      </c>
      <c r="B3543" s="146">
        <v>516871</v>
      </c>
      <c r="C3543" s="147" t="s">
        <v>6735</v>
      </c>
      <c r="D3543" s="146" t="s">
        <v>5640</v>
      </c>
      <c r="E3543" s="147" t="s">
        <v>5640</v>
      </c>
      <c r="F3543" s="147" t="s">
        <v>5647</v>
      </c>
      <c r="G3543" s="146" t="s">
        <v>6739</v>
      </c>
      <c r="H3543" s="146" t="s">
        <v>50</v>
      </c>
      <c r="I3543" s="147" t="s">
        <v>3449</v>
      </c>
      <c r="J3543" s="147" t="s">
        <v>6741</v>
      </c>
      <c r="K3543" s="150" t="s">
        <v>5</v>
      </c>
      <c r="L3543" s="149">
        <v>46112</v>
      </c>
      <c r="M3543" s="151" t="s">
        <v>3392</v>
      </c>
    </row>
    <row r="3544" spans="1:13" ht="15" customHeight="1">
      <c r="A3544" s="142" t="s">
        <v>8437</v>
      </c>
      <c r="B3544" s="142">
        <v>517098</v>
      </c>
      <c r="C3544" s="143" t="s">
        <v>6735</v>
      </c>
      <c r="D3544" s="142" t="s">
        <v>5640</v>
      </c>
      <c r="E3544" s="143" t="s">
        <v>5729</v>
      </c>
      <c r="F3544" s="143" t="s">
        <v>8302</v>
      </c>
      <c r="G3544" s="142" t="s">
        <v>6739</v>
      </c>
      <c r="H3544" s="142" t="s">
        <v>50</v>
      </c>
      <c r="I3544" s="143" t="s">
        <v>3449</v>
      </c>
      <c r="J3544" s="143" t="s">
        <v>6741</v>
      </c>
      <c r="K3544" s="153" t="s">
        <v>9</v>
      </c>
      <c r="L3544" s="149">
        <v>46135</v>
      </c>
      <c r="M3544" s="152" t="s">
        <v>3392</v>
      </c>
    </row>
    <row r="3545" spans="1:13" ht="15" customHeight="1">
      <c r="A3545" s="146" t="s">
        <v>8438</v>
      </c>
      <c r="B3545" s="146">
        <v>517285</v>
      </c>
      <c r="C3545" s="147" t="s">
        <v>6735</v>
      </c>
      <c r="D3545" s="146" t="s">
        <v>5640</v>
      </c>
      <c r="E3545" s="147" t="s">
        <v>5661</v>
      </c>
      <c r="F3545" s="147" t="s">
        <v>8327</v>
      </c>
      <c r="G3545" s="146" t="s">
        <v>6739</v>
      </c>
      <c r="H3545" s="146" t="s">
        <v>50</v>
      </c>
      <c r="I3545" s="147" t="s">
        <v>3449</v>
      </c>
      <c r="J3545" s="147" t="s">
        <v>6741</v>
      </c>
      <c r="K3545" s="150" t="s">
        <v>5</v>
      </c>
      <c r="L3545" s="149">
        <v>46118</v>
      </c>
      <c r="M3545" s="151" t="s">
        <v>3392</v>
      </c>
    </row>
    <row r="3546" spans="1:13" ht="15" customHeight="1">
      <c r="A3546" s="142" t="s">
        <v>8439</v>
      </c>
      <c r="B3546" s="142">
        <v>516883</v>
      </c>
      <c r="C3546" s="143" t="s">
        <v>6735</v>
      </c>
      <c r="D3546" s="142" t="s">
        <v>5640</v>
      </c>
      <c r="E3546" s="143" t="s">
        <v>5698</v>
      </c>
      <c r="F3546" s="143" t="s">
        <v>8399</v>
      </c>
      <c r="G3546" s="142" t="s">
        <v>6739</v>
      </c>
      <c r="H3546" s="142" t="s">
        <v>50</v>
      </c>
      <c r="I3546" s="143" t="s">
        <v>3449</v>
      </c>
      <c r="J3546" s="143" t="s">
        <v>6741</v>
      </c>
      <c r="K3546" s="150" t="s">
        <v>5</v>
      </c>
      <c r="L3546" s="145">
        <v>46113</v>
      </c>
      <c r="M3546" s="152" t="s">
        <v>3392</v>
      </c>
    </row>
    <row r="3547" spans="1:13" ht="15" customHeight="1">
      <c r="A3547" s="146" t="s">
        <v>8440</v>
      </c>
      <c r="B3547" s="146">
        <v>517111</v>
      </c>
      <c r="C3547" s="147" t="s">
        <v>6735</v>
      </c>
      <c r="D3547" s="146" t="s">
        <v>5640</v>
      </c>
      <c r="E3547" s="147" t="s">
        <v>5687</v>
      </c>
      <c r="F3547" s="147" t="s">
        <v>5687</v>
      </c>
      <c r="G3547" s="146" t="s">
        <v>6739</v>
      </c>
      <c r="H3547" s="146" t="s">
        <v>50</v>
      </c>
      <c r="I3547" s="147" t="s">
        <v>3449</v>
      </c>
      <c r="J3547" s="147" t="s">
        <v>6741</v>
      </c>
      <c r="K3547" s="150" t="s">
        <v>5</v>
      </c>
      <c r="L3547" s="149">
        <v>46135</v>
      </c>
      <c r="M3547" s="151" t="s">
        <v>3392</v>
      </c>
    </row>
    <row r="3548" spans="1:13" ht="15" customHeight="1">
      <c r="A3548" s="142" t="s">
        <v>8441</v>
      </c>
      <c r="B3548" s="142">
        <v>517016</v>
      </c>
      <c r="C3548" s="143" t="s">
        <v>6735</v>
      </c>
      <c r="D3548" s="142" t="s">
        <v>5640</v>
      </c>
      <c r="E3548" s="143" t="s">
        <v>5731</v>
      </c>
      <c r="F3548" s="143" t="s">
        <v>5731</v>
      </c>
      <c r="G3548" s="142" t="s">
        <v>6739</v>
      </c>
      <c r="H3548" s="142" t="s">
        <v>50</v>
      </c>
      <c r="I3548" s="143" t="s">
        <v>3449</v>
      </c>
      <c r="J3548" s="143" t="s">
        <v>6741</v>
      </c>
      <c r="K3548" s="150" t="s">
        <v>5</v>
      </c>
      <c r="L3548" s="145">
        <v>46121</v>
      </c>
      <c r="M3548" s="152" t="s">
        <v>3392</v>
      </c>
    </row>
    <row r="3549" spans="1:13" ht="15" customHeight="1">
      <c r="A3549" s="146" t="s">
        <v>8442</v>
      </c>
      <c r="B3549" s="146">
        <v>516851</v>
      </c>
      <c r="C3549" s="147" t="s">
        <v>6735</v>
      </c>
      <c r="D3549" s="146" t="s">
        <v>5640</v>
      </c>
      <c r="E3549" s="147" t="s">
        <v>5640</v>
      </c>
      <c r="F3549" s="147" t="s">
        <v>5647</v>
      </c>
      <c r="G3549" s="146" t="s">
        <v>6739</v>
      </c>
      <c r="H3549" s="146" t="s">
        <v>50</v>
      </c>
      <c r="I3549" s="147" t="s">
        <v>3449</v>
      </c>
      <c r="J3549" s="147" t="s">
        <v>6741</v>
      </c>
      <c r="K3549" s="150" t="s">
        <v>5</v>
      </c>
      <c r="L3549" s="149">
        <v>46105</v>
      </c>
      <c r="M3549" s="151" t="s">
        <v>3392</v>
      </c>
    </row>
    <row r="3550" spans="1:13" ht="15" customHeight="1">
      <c r="A3550" s="142" t="s">
        <v>8443</v>
      </c>
      <c r="B3550" s="142">
        <v>517112</v>
      </c>
      <c r="C3550" s="143" t="s">
        <v>6735</v>
      </c>
      <c r="D3550" s="142" t="s">
        <v>5640</v>
      </c>
      <c r="E3550" s="143" t="s">
        <v>5687</v>
      </c>
      <c r="F3550" s="143" t="s">
        <v>5687</v>
      </c>
      <c r="G3550" s="142" t="s">
        <v>6739</v>
      </c>
      <c r="H3550" s="142" t="s">
        <v>50</v>
      </c>
      <c r="I3550" s="143" t="s">
        <v>3449</v>
      </c>
      <c r="J3550" s="143" t="s">
        <v>6741</v>
      </c>
      <c r="K3550" s="150" t="s">
        <v>5</v>
      </c>
      <c r="L3550" s="149">
        <v>46135</v>
      </c>
      <c r="M3550" s="152" t="s">
        <v>3392</v>
      </c>
    </row>
    <row r="3551" spans="1:13" ht="15" customHeight="1">
      <c r="A3551" s="146" t="s">
        <v>8444</v>
      </c>
      <c r="B3551" s="146">
        <v>516804</v>
      </c>
      <c r="C3551" s="147" t="s">
        <v>6735</v>
      </c>
      <c r="D3551" s="146" t="s">
        <v>5640</v>
      </c>
      <c r="E3551" s="147" t="s">
        <v>5640</v>
      </c>
      <c r="F3551" s="147" t="s">
        <v>5647</v>
      </c>
      <c r="G3551" s="146" t="s">
        <v>6739</v>
      </c>
      <c r="H3551" s="146" t="s">
        <v>50</v>
      </c>
      <c r="I3551" s="147" t="s">
        <v>3449</v>
      </c>
      <c r="J3551" s="147" t="s">
        <v>6741</v>
      </c>
      <c r="K3551" s="150" t="s">
        <v>5</v>
      </c>
      <c r="L3551" s="149">
        <v>46112</v>
      </c>
      <c r="M3551" s="151" t="s">
        <v>3392</v>
      </c>
    </row>
    <row r="3552" spans="1:13" ht="15" customHeight="1">
      <c r="A3552" s="142" t="s">
        <v>8445</v>
      </c>
      <c r="B3552" s="142">
        <v>517093</v>
      </c>
      <c r="C3552" s="143" t="s">
        <v>6735</v>
      </c>
      <c r="D3552" s="142" t="s">
        <v>5640</v>
      </c>
      <c r="E3552" s="143" t="s">
        <v>5908</v>
      </c>
      <c r="F3552" s="143" t="s">
        <v>5908</v>
      </c>
      <c r="G3552" s="142" t="s">
        <v>6739</v>
      </c>
      <c r="H3552" s="142" t="s">
        <v>50</v>
      </c>
      <c r="I3552" s="143" t="s">
        <v>3449</v>
      </c>
      <c r="J3552" s="143" t="s">
        <v>6741</v>
      </c>
      <c r="K3552" s="144" t="s">
        <v>5613</v>
      </c>
      <c r="L3552" s="145">
        <v>46143</v>
      </c>
      <c r="M3552" s="144" t="s">
        <v>8446</v>
      </c>
    </row>
    <row r="3553" spans="1:13" ht="15" customHeight="1">
      <c r="A3553" s="146" t="s">
        <v>8447</v>
      </c>
      <c r="B3553" s="146">
        <v>517068</v>
      </c>
      <c r="C3553" s="147" t="s">
        <v>6735</v>
      </c>
      <c r="D3553" s="146" t="s">
        <v>5640</v>
      </c>
      <c r="E3553" s="147" t="s">
        <v>5888</v>
      </c>
      <c r="F3553" s="147" t="s">
        <v>8286</v>
      </c>
      <c r="G3553" s="146" t="s">
        <v>6739</v>
      </c>
      <c r="H3553" s="146" t="s">
        <v>50</v>
      </c>
      <c r="I3553" s="147" t="s">
        <v>3449</v>
      </c>
      <c r="J3553" s="147" t="s">
        <v>6741</v>
      </c>
      <c r="K3553" s="148" t="s">
        <v>5613</v>
      </c>
      <c r="L3553" s="149">
        <v>46143</v>
      </c>
      <c r="M3553" s="148" t="s">
        <v>8446</v>
      </c>
    </row>
    <row r="3554" spans="1:13" ht="15" customHeight="1">
      <c r="A3554" s="142" t="s">
        <v>8448</v>
      </c>
      <c r="B3554" s="142">
        <v>516893</v>
      </c>
      <c r="C3554" s="143" t="s">
        <v>6735</v>
      </c>
      <c r="D3554" s="142" t="s">
        <v>5640</v>
      </c>
      <c r="E3554" s="143" t="s">
        <v>5698</v>
      </c>
      <c r="F3554" s="143" t="s">
        <v>8399</v>
      </c>
      <c r="G3554" s="142" t="s">
        <v>6739</v>
      </c>
      <c r="H3554" s="142" t="s">
        <v>50</v>
      </c>
      <c r="I3554" s="143" t="s">
        <v>3449</v>
      </c>
      <c r="J3554" s="143" t="s">
        <v>6741</v>
      </c>
      <c r="K3554" s="144" t="s">
        <v>5613</v>
      </c>
      <c r="L3554" s="145">
        <v>46143</v>
      </c>
      <c r="M3554" s="144" t="s">
        <v>8446</v>
      </c>
    </row>
    <row r="3555" spans="1:13" ht="15" customHeight="1">
      <c r="A3555" s="146" t="s">
        <v>8449</v>
      </c>
      <c r="B3555" s="146">
        <v>516805</v>
      </c>
      <c r="C3555" s="147" t="s">
        <v>6735</v>
      </c>
      <c r="D3555" s="146" t="s">
        <v>5640</v>
      </c>
      <c r="E3555" s="147" t="s">
        <v>5640</v>
      </c>
      <c r="F3555" s="147" t="s">
        <v>5647</v>
      </c>
      <c r="G3555" s="146" t="s">
        <v>6739</v>
      </c>
      <c r="H3555" s="146" t="s">
        <v>50</v>
      </c>
      <c r="I3555" s="147" t="s">
        <v>3449</v>
      </c>
      <c r="J3555" s="147" t="s">
        <v>6741</v>
      </c>
      <c r="K3555" s="148" t="s">
        <v>5613</v>
      </c>
      <c r="L3555" s="149">
        <v>46142</v>
      </c>
      <c r="M3555" s="148" t="s">
        <v>8446</v>
      </c>
    </row>
    <row r="3556" spans="1:13" ht="15" customHeight="1">
      <c r="A3556" s="142" t="s">
        <v>8450</v>
      </c>
      <c r="B3556" s="142">
        <v>516806</v>
      </c>
      <c r="C3556" s="143" t="s">
        <v>6735</v>
      </c>
      <c r="D3556" s="142" t="s">
        <v>5640</v>
      </c>
      <c r="E3556" s="143" t="s">
        <v>5640</v>
      </c>
      <c r="F3556" s="143" t="s">
        <v>5647</v>
      </c>
      <c r="G3556" s="142" t="s">
        <v>6739</v>
      </c>
      <c r="H3556" s="142" t="s">
        <v>50</v>
      </c>
      <c r="I3556" s="143" t="s">
        <v>3449</v>
      </c>
      <c r="J3556" s="143" t="s">
        <v>6741</v>
      </c>
      <c r="K3556" s="148" t="s">
        <v>5613</v>
      </c>
      <c r="L3556" s="145">
        <v>46142</v>
      </c>
      <c r="M3556" s="144" t="s">
        <v>8446</v>
      </c>
    </row>
    <row r="3557" spans="1:13" ht="15" customHeight="1">
      <c r="A3557" s="146" t="s">
        <v>8451</v>
      </c>
      <c r="B3557" s="146">
        <v>516807</v>
      </c>
      <c r="C3557" s="147" t="s">
        <v>6735</v>
      </c>
      <c r="D3557" s="146" t="s">
        <v>5640</v>
      </c>
      <c r="E3557" s="147" t="s">
        <v>5640</v>
      </c>
      <c r="F3557" s="147" t="s">
        <v>5647</v>
      </c>
      <c r="G3557" s="146" t="s">
        <v>6739</v>
      </c>
      <c r="H3557" s="146" t="s">
        <v>50</v>
      </c>
      <c r="I3557" s="147" t="s">
        <v>3449</v>
      </c>
      <c r="J3557" s="147" t="s">
        <v>6741</v>
      </c>
      <c r="K3557" s="148" t="s">
        <v>5613</v>
      </c>
      <c r="L3557" s="149">
        <v>46142</v>
      </c>
      <c r="M3557" s="148" t="s">
        <v>8446</v>
      </c>
    </row>
    <row r="3558" spans="1:13" ht="15" customHeight="1">
      <c r="A3558" s="142" t="s">
        <v>8452</v>
      </c>
      <c r="B3558" s="142">
        <v>516808</v>
      </c>
      <c r="C3558" s="143" t="s">
        <v>6735</v>
      </c>
      <c r="D3558" s="142" t="s">
        <v>5640</v>
      </c>
      <c r="E3558" s="143" t="s">
        <v>5640</v>
      </c>
      <c r="F3558" s="143" t="s">
        <v>5647</v>
      </c>
      <c r="G3558" s="142" t="s">
        <v>6739</v>
      </c>
      <c r="H3558" s="142" t="s">
        <v>50</v>
      </c>
      <c r="I3558" s="143" t="s">
        <v>3449</v>
      </c>
      <c r="J3558" s="143" t="s">
        <v>6741</v>
      </c>
      <c r="K3558" s="144" t="s">
        <v>5613</v>
      </c>
      <c r="L3558" s="145">
        <v>46142</v>
      </c>
      <c r="M3558" s="144" t="s">
        <v>8446</v>
      </c>
    </row>
    <row r="3559" spans="1:13" ht="15" customHeight="1">
      <c r="A3559" s="146" t="s">
        <v>8453</v>
      </c>
      <c r="B3559" s="146">
        <v>516809</v>
      </c>
      <c r="C3559" s="147" t="s">
        <v>6735</v>
      </c>
      <c r="D3559" s="146" t="s">
        <v>5640</v>
      </c>
      <c r="E3559" s="147" t="s">
        <v>5640</v>
      </c>
      <c r="F3559" s="147" t="s">
        <v>5647</v>
      </c>
      <c r="G3559" s="146" t="s">
        <v>6739</v>
      </c>
      <c r="H3559" s="146" t="s">
        <v>50</v>
      </c>
      <c r="I3559" s="147" t="s">
        <v>3449</v>
      </c>
      <c r="J3559" s="147" t="s">
        <v>6741</v>
      </c>
      <c r="K3559" s="148" t="s">
        <v>5613</v>
      </c>
      <c r="L3559" s="149">
        <v>46142</v>
      </c>
      <c r="M3559" s="148" t="s">
        <v>8446</v>
      </c>
    </row>
    <row r="3560" spans="1:13" ht="15" customHeight="1">
      <c r="A3560" s="142" t="s">
        <v>8454</v>
      </c>
      <c r="B3560" s="142">
        <v>516810</v>
      </c>
      <c r="C3560" s="143" t="s">
        <v>6735</v>
      </c>
      <c r="D3560" s="142" t="s">
        <v>5640</v>
      </c>
      <c r="E3560" s="143" t="s">
        <v>5640</v>
      </c>
      <c r="F3560" s="143" t="s">
        <v>5647</v>
      </c>
      <c r="G3560" s="142" t="s">
        <v>6739</v>
      </c>
      <c r="H3560" s="142" t="s">
        <v>50</v>
      </c>
      <c r="I3560" s="143" t="s">
        <v>3449</v>
      </c>
      <c r="J3560" s="143" t="s">
        <v>6741</v>
      </c>
      <c r="K3560" s="144" t="s">
        <v>5613</v>
      </c>
      <c r="L3560" s="145">
        <v>46142</v>
      </c>
      <c r="M3560" s="144" t="s">
        <v>8446</v>
      </c>
    </row>
    <row r="3561" spans="1:13" ht="15" customHeight="1">
      <c r="A3561" s="146" t="s">
        <v>8455</v>
      </c>
      <c r="B3561" s="146">
        <v>516811</v>
      </c>
      <c r="C3561" s="147" t="s">
        <v>6735</v>
      </c>
      <c r="D3561" s="146" t="s">
        <v>5640</v>
      </c>
      <c r="E3561" s="147" t="s">
        <v>5640</v>
      </c>
      <c r="F3561" s="147" t="s">
        <v>5647</v>
      </c>
      <c r="G3561" s="146" t="s">
        <v>6739</v>
      </c>
      <c r="H3561" s="146" t="s">
        <v>50</v>
      </c>
      <c r="I3561" s="147" t="s">
        <v>3449</v>
      </c>
      <c r="J3561" s="147" t="s">
        <v>6741</v>
      </c>
      <c r="K3561" s="148" t="s">
        <v>5613</v>
      </c>
      <c r="L3561" s="149">
        <v>46142</v>
      </c>
      <c r="M3561" s="148" t="s">
        <v>8446</v>
      </c>
    </row>
    <row r="3562" spans="1:13" ht="15" customHeight="1">
      <c r="A3562" s="142" t="s">
        <v>8456</v>
      </c>
      <c r="B3562" s="142">
        <v>516812</v>
      </c>
      <c r="C3562" s="143" t="s">
        <v>6735</v>
      </c>
      <c r="D3562" s="142" t="s">
        <v>5640</v>
      </c>
      <c r="E3562" s="143" t="s">
        <v>5640</v>
      </c>
      <c r="F3562" s="143" t="s">
        <v>5647</v>
      </c>
      <c r="G3562" s="142" t="s">
        <v>6739</v>
      </c>
      <c r="H3562" s="142" t="s">
        <v>50</v>
      </c>
      <c r="I3562" s="143" t="s">
        <v>3449</v>
      </c>
      <c r="J3562" s="143" t="s">
        <v>6741</v>
      </c>
      <c r="K3562" s="144" t="s">
        <v>5613</v>
      </c>
      <c r="L3562" s="145">
        <v>46142</v>
      </c>
      <c r="M3562" s="144" t="s">
        <v>8446</v>
      </c>
    </row>
    <row r="3563" spans="1:13" ht="15" customHeight="1">
      <c r="A3563" s="146" t="s">
        <v>8457</v>
      </c>
      <c r="B3563" s="146">
        <v>516813</v>
      </c>
      <c r="C3563" s="147" t="s">
        <v>6735</v>
      </c>
      <c r="D3563" s="146" t="s">
        <v>5640</v>
      </c>
      <c r="E3563" s="147" t="s">
        <v>5640</v>
      </c>
      <c r="F3563" s="147" t="s">
        <v>5647</v>
      </c>
      <c r="G3563" s="146" t="s">
        <v>6739</v>
      </c>
      <c r="H3563" s="146" t="s">
        <v>50</v>
      </c>
      <c r="I3563" s="147" t="s">
        <v>3449</v>
      </c>
      <c r="J3563" s="147" t="s">
        <v>6741</v>
      </c>
      <c r="K3563" s="148" t="s">
        <v>5613</v>
      </c>
      <c r="L3563" s="149">
        <v>46142</v>
      </c>
      <c r="M3563" s="148" t="s">
        <v>8446</v>
      </c>
    </row>
    <row r="3564" spans="1:13" ht="15" customHeight="1">
      <c r="A3564" s="142" t="s">
        <v>8458</v>
      </c>
      <c r="B3564" s="142">
        <v>516814</v>
      </c>
      <c r="C3564" s="143" t="s">
        <v>6735</v>
      </c>
      <c r="D3564" s="142" t="s">
        <v>5640</v>
      </c>
      <c r="E3564" s="143" t="s">
        <v>5640</v>
      </c>
      <c r="F3564" s="143" t="s">
        <v>5647</v>
      </c>
      <c r="G3564" s="142" t="s">
        <v>6739</v>
      </c>
      <c r="H3564" s="142" t="s">
        <v>50</v>
      </c>
      <c r="I3564" s="143" t="s">
        <v>3449</v>
      </c>
      <c r="J3564" s="143" t="s">
        <v>6741</v>
      </c>
      <c r="K3564" s="144" t="s">
        <v>5613</v>
      </c>
      <c r="L3564" s="145">
        <v>46142</v>
      </c>
      <c r="M3564" s="144" t="s">
        <v>8446</v>
      </c>
    </row>
    <row r="3565" spans="1:13" ht="15" customHeight="1">
      <c r="A3565" s="146" t="s">
        <v>8459</v>
      </c>
      <c r="B3565" s="146">
        <v>516815</v>
      </c>
      <c r="C3565" s="147" t="s">
        <v>6735</v>
      </c>
      <c r="D3565" s="146" t="s">
        <v>5640</v>
      </c>
      <c r="E3565" s="147" t="s">
        <v>5640</v>
      </c>
      <c r="F3565" s="147" t="s">
        <v>5647</v>
      </c>
      <c r="G3565" s="146" t="s">
        <v>6739</v>
      </c>
      <c r="H3565" s="146" t="s">
        <v>50</v>
      </c>
      <c r="I3565" s="147" t="s">
        <v>3449</v>
      </c>
      <c r="J3565" s="147" t="s">
        <v>6741</v>
      </c>
      <c r="K3565" s="148" t="s">
        <v>5613</v>
      </c>
      <c r="L3565" s="149">
        <v>46142</v>
      </c>
      <c r="M3565" s="144" t="s">
        <v>8446</v>
      </c>
    </row>
    <row r="3566" spans="1:13" ht="15" customHeight="1">
      <c r="A3566" s="142" t="s">
        <v>8460</v>
      </c>
      <c r="B3566" s="142">
        <v>516816</v>
      </c>
      <c r="C3566" s="143" t="s">
        <v>6735</v>
      </c>
      <c r="D3566" s="142" t="s">
        <v>5640</v>
      </c>
      <c r="E3566" s="143" t="s">
        <v>5640</v>
      </c>
      <c r="F3566" s="143" t="s">
        <v>5647</v>
      </c>
      <c r="G3566" s="142" t="s">
        <v>6739</v>
      </c>
      <c r="H3566" s="142" t="s">
        <v>50</v>
      </c>
      <c r="I3566" s="143" t="s">
        <v>3449</v>
      </c>
      <c r="J3566" s="143" t="s">
        <v>6741</v>
      </c>
      <c r="K3566" s="144" t="s">
        <v>5613</v>
      </c>
      <c r="L3566" s="145">
        <v>46142</v>
      </c>
      <c r="M3566" s="144" t="s">
        <v>8446</v>
      </c>
    </row>
    <row r="3567" spans="1:13" ht="15" customHeight="1">
      <c r="A3567" s="146" t="s">
        <v>8461</v>
      </c>
      <c r="B3567" s="146">
        <v>517120</v>
      </c>
      <c r="C3567" s="147" t="s">
        <v>6735</v>
      </c>
      <c r="D3567" s="146" t="s">
        <v>5640</v>
      </c>
      <c r="E3567" s="147" t="s">
        <v>5710</v>
      </c>
      <c r="F3567" s="147" t="s">
        <v>5710</v>
      </c>
      <c r="G3567" s="146" t="s">
        <v>6739</v>
      </c>
      <c r="H3567" s="146" t="s">
        <v>50</v>
      </c>
      <c r="I3567" s="147" t="s">
        <v>3449</v>
      </c>
      <c r="J3567" s="147" t="s">
        <v>6741</v>
      </c>
      <c r="K3567" s="148"/>
      <c r="L3567" s="149"/>
      <c r="M3567" s="148"/>
    </row>
    <row r="3568" spans="1:13" ht="15" customHeight="1">
      <c r="A3568" s="142" t="s">
        <v>8462</v>
      </c>
      <c r="B3568" s="142">
        <v>517121</v>
      </c>
      <c r="C3568" s="143" t="s">
        <v>6735</v>
      </c>
      <c r="D3568" s="142" t="s">
        <v>5640</v>
      </c>
      <c r="E3568" s="143" t="s">
        <v>5710</v>
      </c>
      <c r="F3568" s="143" t="s">
        <v>5710</v>
      </c>
      <c r="G3568" s="142" t="s">
        <v>6739</v>
      </c>
      <c r="H3568" s="142" t="s">
        <v>50</v>
      </c>
      <c r="I3568" s="143" t="s">
        <v>3449</v>
      </c>
      <c r="J3568" s="143" t="s">
        <v>6741</v>
      </c>
      <c r="K3568" s="144"/>
      <c r="L3568" s="145"/>
      <c r="M3568" s="144"/>
    </row>
    <row r="3569" spans="1:13" ht="15" customHeight="1">
      <c r="A3569" s="146" t="s">
        <v>8463</v>
      </c>
      <c r="B3569" s="146">
        <v>518053</v>
      </c>
      <c r="C3569" s="147" t="s">
        <v>6735</v>
      </c>
      <c r="D3569" s="146" t="s">
        <v>5640</v>
      </c>
      <c r="E3569" s="147" t="s">
        <v>3018</v>
      </c>
      <c r="F3569" s="147" t="s">
        <v>8371</v>
      </c>
      <c r="G3569" s="146" t="s">
        <v>6739</v>
      </c>
      <c r="H3569" s="146" t="s">
        <v>50</v>
      </c>
      <c r="I3569" s="147" t="s">
        <v>3449</v>
      </c>
      <c r="J3569" s="147" t="s">
        <v>6741</v>
      </c>
      <c r="K3569" s="148"/>
      <c r="L3569" s="149"/>
      <c r="M3569" s="148"/>
    </row>
    <row r="3570" spans="1:13" ht="15" customHeight="1">
      <c r="A3570" s="142" t="s">
        <v>8464</v>
      </c>
      <c r="B3570" s="142">
        <v>517272</v>
      </c>
      <c r="C3570" s="143" t="s">
        <v>6735</v>
      </c>
      <c r="D3570" s="142" t="s">
        <v>5640</v>
      </c>
      <c r="E3570" s="143" t="s">
        <v>5640</v>
      </c>
      <c r="F3570" s="143" t="s">
        <v>1714</v>
      </c>
      <c r="G3570" s="142" t="s">
        <v>6739</v>
      </c>
      <c r="H3570" s="142" t="s">
        <v>50</v>
      </c>
      <c r="I3570" s="143" t="s">
        <v>3449</v>
      </c>
      <c r="J3570" s="143" t="s">
        <v>6741</v>
      </c>
      <c r="K3570" s="150" t="s">
        <v>5</v>
      </c>
      <c r="L3570" s="145">
        <v>46112</v>
      </c>
      <c r="M3570" s="152" t="s">
        <v>3392</v>
      </c>
    </row>
    <row r="3571" spans="1:13" ht="15" customHeight="1">
      <c r="A3571" s="146" t="s">
        <v>8465</v>
      </c>
      <c r="B3571" s="146">
        <v>517318</v>
      </c>
      <c r="C3571" s="147" t="s">
        <v>6735</v>
      </c>
      <c r="D3571" s="146" t="s">
        <v>5640</v>
      </c>
      <c r="E3571" s="147" t="s">
        <v>3463</v>
      </c>
      <c r="F3571" s="147" t="s">
        <v>6153</v>
      </c>
      <c r="G3571" s="146" t="s">
        <v>6739</v>
      </c>
      <c r="H3571" s="146" t="s">
        <v>50</v>
      </c>
      <c r="I3571" s="147" t="s">
        <v>3449</v>
      </c>
      <c r="J3571" s="147" t="s">
        <v>6741</v>
      </c>
      <c r="K3571" s="148" t="s">
        <v>121</v>
      </c>
      <c r="L3571" s="149">
        <v>46141</v>
      </c>
      <c r="M3571" s="148"/>
    </row>
    <row r="3572" spans="1:13" ht="15" customHeight="1">
      <c r="A3572" s="142" t="s">
        <v>8466</v>
      </c>
      <c r="B3572" s="142">
        <v>516961</v>
      </c>
      <c r="C3572" s="143" t="s">
        <v>6735</v>
      </c>
      <c r="D3572" s="142" t="s">
        <v>5640</v>
      </c>
      <c r="E3572" s="143" t="s">
        <v>5643</v>
      </c>
      <c r="F3572" s="143" t="s">
        <v>7150</v>
      </c>
      <c r="G3572" s="142" t="s">
        <v>6739</v>
      </c>
      <c r="H3572" s="142" t="s">
        <v>50</v>
      </c>
      <c r="I3572" s="143" t="s">
        <v>3449</v>
      </c>
      <c r="J3572" s="143" t="s">
        <v>6741</v>
      </c>
      <c r="K3572" s="150" t="s">
        <v>5</v>
      </c>
      <c r="L3572" s="145">
        <v>46113</v>
      </c>
      <c r="M3572" s="152" t="s">
        <v>3392</v>
      </c>
    </row>
    <row r="3573" spans="1:13" ht="15" customHeight="1">
      <c r="A3573" s="146" t="s">
        <v>8467</v>
      </c>
      <c r="B3573" s="146">
        <v>517069</v>
      </c>
      <c r="C3573" s="147" t="s">
        <v>6735</v>
      </c>
      <c r="D3573" s="146" t="s">
        <v>5640</v>
      </c>
      <c r="E3573" s="147" t="s">
        <v>6067</v>
      </c>
      <c r="F3573" s="147" t="s">
        <v>6067</v>
      </c>
      <c r="G3573" s="146" t="s">
        <v>6739</v>
      </c>
      <c r="H3573" s="146" t="s">
        <v>50</v>
      </c>
      <c r="I3573" s="147" t="s">
        <v>3449</v>
      </c>
      <c r="J3573" s="147" t="s">
        <v>6741</v>
      </c>
      <c r="K3573" s="150" t="s">
        <v>5</v>
      </c>
      <c r="L3573" s="149">
        <v>46121</v>
      </c>
      <c r="M3573" s="151" t="s">
        <v>3392</v>
      </c>
    </row>
    <row r="3574" spans="1:13" ht="15" customHeight="1">
      <c r="A3574" s="142" t="s">
        <v>8468</v>
      </c>
      <c r="B3574" s="142">
        <v>516973</v>
      </c>
      <c r="C3574" s="143" t="s">
        <v>6735</v>
      </c>
      <c r="D3574" s="142" t="s">
        <v>5640</v>
      </c>
      <c r="E3574" s="143" t="s">
        <v>5944</v>
      </c>
      <c r="F3574" s="143" t="s">
        <v>8469</v>
      </c>
      <c r="G3574" s="142" t="s">
        <v>6739</v>
      </c>
      <c r="H3574" s="142" t="s">
        <v>50</v>
      </c>
      <c r="I3574" s="143" t="s">
        <v>3449</v>
      </c>
      <c r="J3574" s="143" t="s">
        <v>6741</v>
      </c>
      <c r="K3574" s="150" t="s">
        <v>5</v>
      </c>
      <c r="L3574" s="145">
        <v>46120</v>
      </c>
      <c r="M3574" s="152" t="s">
        <v>3392</v>
      </c>
    </row>
    <row r="3575" spans="1:13" ht="15" customHeight="1">
      <c r="A3575" s="146" t="s">
        <v>8470</v>
      </c>
      <c r="B3575" s="146">
        <v>517473</v>
      </c>
      <c r="C3575" s="147" t="s">
        <v>6735</v>
      </c>
      <c r="D3575" s="146" t="s">
        <v>5640</v>
      </c>
      <c r="E3575" s="147" t="s">
        <v>5986</v>
      </c>
      <c r="F3575" s="147" t="s">
        <v>5987</v>
      </c>
      <c r="G3575" s="146" t="s">
        <v>6739</v>
      </c>
      <c r="H3575" s="146" t="s">
        <v>50</v>
      </c>
      <c r="I3575" s="147" t="s">
        <v>3449</v>
      </c>
      <c r="J3575" s="147" t="s">
        <v>6741</v>
      </c>
      <c r="K3575" s="150" t="s">
        <v>5</v>
      </c>
      <c r="L3575" s="149">
        <v>46111</v>
      </c>
      <c r="M3575" s="151" t="s">
        <v>3392</v>
      </c>
    </row>
    <row r="3576" spans="1:13" ht="15" customHeight="1">
      <c r="A3576" s="142" t="s">
        <v>8471</v>
      </c>
      <c r="B3576" s="142">
        <v>516950</v>
      </c>
      <c r="C3576" s="143" t="s">
        <v>6735</v>
      </c>
      <c r="D3576" s="142" t="s">
        <v>5640</v>
      </c>
      <c r="E3576" s="143" t="s">
        <v>5654</v>
      </c>
      <c r="F3576" s="143" t="s">
        <v>6300</v>
      </c>
      <c r="G3576" s="142" t="s">
        <v>6739</v>
      </c>
      <c r="H3576" s="142" t="s">
        <v>50</v>
      </c>
      <c r="I3576" s="143" t="s">
        <v>3449</v>
      </c>
      <c r="J3576" s="143" t="s">
        <v>6741</v>
      </c>
      <c r="K3576" s="150" t="s">
        <v>5</v>
      </c>
      <c r="L3576" s="145">
        <v>46119</v>
      </c>
      <c r="M3576" s="152" t="s">
        <v>3392</v>
      </c>
    </row>
    <row r="3577" spans="1:13" ht="15" customHeight="1">
      <c r="A3577" s="146" t="s">
        <v>8472</v>
      </c>
      <c r="B3577" s="146">
        <v>517156</v>
      </c>
      <c r="C3577" s="147" t="s">
        <v>6735</v>
      </c>
      <c r="D3577" s="146" t="s">
        <v>5640</v>
      </c>
      <c r="E3577" s="147" t="s">
        <v>5757</v>
      </c>
      <c r="F3577" s="147" t="s">
        <v>5757</v>
      </c>
      <c r="G3577" s="146" t="s">
        <v>6739</v>
      </c>
      <c r="H3577" s="146" t="s">
        <v>50</v>
      </c>
      <c r="I3577" s="147" t="s">
        <v>3449</v>
      </c>
      <c r="J3577" s="147" t="s">
        <v>6741</v>
      </c>
      <c r="K3577" s="150" t="s">
        <v>5</v>
      </c>
      <c r="L3577" s="149">
        <v>46120</v>
      </c>
      <c r="M3577" s="151" t="s">
        <v>3392</v>
      </c>
    </row>
    <row r="3578" spans="1:13" ht="15" customHeight="1">
      <c r="A3578" s="142" t="s">
        <v>8473</v>
      </c>
      <c r="B3578" s="142">
        <v>517004</v>
      </c>
      <c r="C3578" s="143" t="s">
        <v>6735</v>
      </c>
      <c r="D3578" s="142" t="s">
        <v>5640</v>
      </c>
      <c r="E3578" s="143" t="s">
        <v>5938</v>
      </c>
      <c r="F3578" s="143" t="s">
        <v>6007</v>
      </c>
      <c r="G3578" s="142" t="s">
        <v>6739</v>
      </c>
      <c r="H3578" s="142" t="s">
        <v>50</v>
      </c>
      <c r="I3578" s="143" t="s">
        <v>3449</v>
      </c>
      <c r="J3578" s="143" t="s">
        <v>6741</v>
      </c>
      <c r="K3578" s="150" t="s">
        <v>5</v>
      </c>
      <c r="L3578" s="145">
        <v>46118</v>
      </c>
      <c r="M3578" s="152" t="s">
        <v>3392</v>
      </c>
    </row>
    <row r="3579" spans="1:13" ht="15" customHeight="1">
      <c r="A3579" s="146" t="s">
        <v>8474</v>
      </c>
      <c r="B3579" s="146">
        <v>516834</v>
      </c>
      <c r="C3579" s="147" t="s">
        <v>6735</v>
      </c>
      <c r="D3579" s="146" t="s">
        <v>5640</v>
      </c>
      <c r="E3579" s="147" t="s">
        <v>5640</v>
      </c>
      <c r="F3579" s="147" t="s">
        <v>5647</v>
      </c>
      <c r="G3579" s="146" t="s">
        <v>6739</v>
      </c>
      <c r="H3579" s="146" t="s">
        <v>50</v>
      </c>
      <c r="I3579" s="147" t="s">
        <v>3449</v>
      </c>
      <c r="J3579" s="147" t="s">
        <v>6741</v>
      </c>
      <c r="K3579" s="150" t="s">
        <v>5</v>
      </c>
      <c r="L3579" s="149">
        <v>46108</v>
      </c>
      <c r="M3579" s="151" t="s">
        <v>3392</v>
      </c>
    </row>
    <row r="3580" spans="1:13" ht="15" customHeight="1">
      <c r="A3580" s="142" t="s">
        <v>8475</v>
      </c>
      <c r="B3580" s="142">
        <v>518117</v>
      </c>
      <c r="C3580" s="143" t="s">
        <v>8476</v>
      </c>
      <c r="D3580" s="142" t="s">
        <v>6736</v>
      </c>
      <c r="E3580" s="143" t="s">
        <v>8477</v>
      </c>
      <c r="F3580" s="143" t="s">
        <v>8478</v>
      </c>
      <c r="G3580" s="142" t="s">
        <v>109</v>
      </c>
      <c r="H3580" s="142" t="s">
        <v>54</v>
      </c>
      <c r="I3580" s="143" t="s">
        <v>6740</v>
      </c>
      <c r="J3580" s="143" t="s">
        <v>104</v>
      </c>
      <c r="K3580" s="144"/>
      <c r="L3580" s="145"/>
      <c r="M3580" s="144"/>
    </row>
    <row r="3581" spans="1:13" ht="15" customHeight="1">
      <c r="A3581" s="146" t="s">
        <v>8479</v>
      </c>
      <c r="B3581" s="146">
        <v>518025</v>
      </c>
      <c r="C3581" s="147" t="s">
        <v>6735</v>
      </c>
      <c r="D3581" s="146" t="s">
        <v>6736</v>
      </c>
      <c r="E3581" s="147" t="s">
        <v>8477</v>
      </c>
      <c r="F3581" s="147" t="s">
        <v>789</v>
      </c>
      <c r="G3581" s="146" t="s">
        <v>6739</v>
      </c>
      <c r="H3581" s="146" t="s">
        <v>54</v>
      </c>
      <c r="I3581" s="147" t="s">
        <v>6740</v>
      </c>
      <c r="J3581" s="147" t="s">
        <v>6741</v>
      </c>
      <c r="K3581" s="148"/>
      <c r="L3581" s="149"/>
      <c r="M3581" s="148"/>
    </row>
    <row r="3582" spans="1:13" ht="15" customHeight="1">
      <c r="A3582" s="142" t="s">
        <v>8480</v>
      </c>
      <c r="B3582" s="142">
        <v>517973</v>
      </c>
      <c r="C3582" s="143" t="s">
        <v>8481</v>
      </c>
      <c r="D3582" s="142" t="s">
        <v>6736</v>
      </c>
      <c r="E3582" s="143" t="s">
        <v>8477</v>
      </c>
      <c r="F3582" s="143" t="s">
        <v>8482</v>
      </c>
      <c r="G3582" s="142" t="s">
        <v>109</v>
      </c>
      <c r="H3582" s="142" t="s">
        <v>54</v>
      </c>
      <c r="I3582" s="143" t="s">
        <v>6740</v>
      </c>
      <c r="J3582" s="143" t="s">
        <v>104</v>
      </c>
      <c r="K3582" s="144"/>
      <c r="L3582" s="145"/>
      <c r="M3582" s="144"/>
    </row>
    <row r="3583" spans="1:13" ht="15" customHeight="1">
      <c r="A3583" s="146" t="s">
        <v>8483</v>
      </c>
      <c r="B3583" s="146">
        <v>518118</v>
      </c>
      <c r="C3583" s="147" t="s">
        <v>8484</v>
      </c>
      <c r="D3583" s="146" t="s">
        <v>6736</v>
      </c>
      <c r="E3583" s="147" t="s">
        <v>8477</v>
      </c>
      <c r="F3583" s="147" t="s">
        <v>8484</v>
      </c>
      <c r="G3583" s="146" t="s">
        <v>109</v>
      </c>
      <c r="H3583" s="146" t="s">
        <v>54</v>
      </c>
      <c r="I3583" s="147" t="s">
        <v>6740</v>
      </c>
      <c r="J3583" s="147" t="s">
        <v>104</v>
      </c>
      <c r="K3583" s="148"/>
      <c r="L3583" s="149"/>
      <c r="M3583" s="148"/>
    </row>
    <row r="3584" spans="1:13" ht="15" customHeight="1">
      <c r="A3584" s="142" t="s">
        <v>8485</v>
      </c>
      <c r="B3584" s="142">
        <v>518101</v>
      </c>
      <c r="C3584" s="143" t="s">
        <v>6735</v>
      </c>
      <c r="D3584" s="142" t="s">
        <v>6736</v>
      </c>
      <c r="E3584" s="143" t="s">
        <v>8486</v>
      </c>
      <c r="F3584" s="143" t="s">
        <v>8487</v>
      </c>
      <c r="G3584" s="142" t="s">
        <v>6739</v>
      </c>
      <c r="H3584" s="142" t="s">
        <v>54</v>
      </c>
      <c r="I3584" s="143" t="s">
        <v>6740</v>
      </c>
      <c r="J3584" s="143" t="s">
        <v>6741</v>
      </c>
      <c r="K3584" s="144"/>
      <c r="L3584" s="145"/>
      <c r="M3584" s="144"/>
    </row>
    <row r="3585" spans="1:13" ht="15" customHeight="1">
      <c r="A3585" s="146" t="s">
        <v>8488</v>
      </c>
      <c r="B3585" s="146">
        <v>518011</v>
      </c>
      <c r="C3585" s="147" t="s">
        <v>6735</v>
      </c>
      <c r="D3585" s="146" t="s">
        <v>6736</v>
      </c>
      <c r="E3585" s="147" t="s">
        <v>8486</v>
      </c>
      <c r="F3585" s="147" t="s">
        <v>8487</v>
      </c>
      <c r="G3585" s="146" t="s">
        <v>6739</v>
      </c>
      <c r="H3585" s="146" t="s">
        <v>54</v>
      </c>
      <c r="I3585" s="147" t="s">
        <v>6740</v>
      </c>
      <c r="J3585" s="147" t="s">
        <v>6741</v>
      </c>
      <c r="K3585" s="148"/>
      <c r="L3585" s="149"/>
      <c r="M3585" s="148"/>
    </row>
    <row r="3586" spans="1:13" ht="15" customHeight="1">
      <c r="A3586" s="142" t="s">
        <v>8489</v>
      </c>
      <c r="B3586" s="142">
        <v>518082</v>
      </c>
      <c r="C3586" s="143" t="s">
        <v>8490</v>
      </c>
      <c r="D3586" s="142" t="s">
        <v>6736</v>
      </c>
      <c r="E3586" s="143" t="s">
        <v>8491</v>
      </c>
      <c r="F3586" s="143" t="s">
        <v>8492</v>
      </c>
      <c r="G3586" s="142" t="s">
        <v>109</v>
      </c>
      <c r="H3586" s="142" t="s">
        <v>54</v>
      </c>
      <c r="I3586" s="143" t="s">
        <v>6740</v>
      </c>
      <c r="J3586" s="143" t="s">
        <v>104</v>
      </c>
      <c r="K3586" s="144"/>
      <c r="L3586" s="145"/>
      <c r="M3586" s="144"/>
    </row>
    <row r="3587" spans="1:13" ht="15" customHeight="1">
      <c r="A3587" s="146" t="s">
        <v>8493</v>
      </c>
      <c r="B3587" s="146">
        <v>518006</v>
      </c>
      <c r="C3587" s="147" t="s">
        <v>8494</v>
      </c>
      <c r="D3587" s="146" t="s">
        <v>6736</v>
      </c>
      <c r="E3587" s="147" t="s">
        <v>8491</v>
      </c>
      <c r="F3587" s="147" t="s">
        <v>8495</v>
      </c>
      <c r="G3587" s="146" t="s">
        <v>109</v>
      </c>
      <c r="H3587" s="146" t="s">
        <v>54</v>
      </c>
      <c r="I3587" s="147" t="s">
        <v>6740</v>
      </c>
      <c r="J3587" s="147" t="s">
        <v>104</v>
      </c>
      <c r="K3587" s="148"/>
      <c r="L3587" s="149"/>
      <c r="M3587" s="148"/>
    </row>
    <row r="3588" spans="1:13" ht="15" customHeight="1">
      <c r="A3588" s="142" t="s">
        <v>8496</v>
      </c>
      <c r="B3588" s="142">
        <v>518007</v>
      </c>
      <c r="C3588" s="143" t="s">
        <v>8497</v>
      </c>
      <c r="D3588" s="142" t="s">
        <v>6736</v>
      </c>
      <c r="E3588" s="143" t="s">
        <v>8491</v>
      </c>
      <c r="F3588" s="143" t="s">
        <v>8495</v>
      </c>
      <c r="G3588" s="142" t="s">
        <v>109</v>
      </c>
      <c r="H3588" s="142" t="s">
        <v>54</v>
      </c>
      <c r="I3588" s="143" t="s">
        <v>6740</v>
      </c>
      <c r="J3588" s="143" t="s">
        <v>104</v>
      </c>
      <c r="K3588" s="144"/>
      <c r="L3588" s="145"/>
      <c r="M3588" s="144"/>
    </row>
    <row r="3589" spans="1:13" ht="15" customHeight="1">
      <c r="A3589" s="146" t="s">
        <v>8498</v>
      </c>
      <c r="B3589" s="146">
        <v>518083</v>
      </c>
      <c r="C3589" s="147" t="s">
        <v>6735</v>
      </c>
      <c r="D3589" s="146" t="s">
        <v>6736</v>
      </c>
      <c r="E3589" s="147" t="s">
        <v>8491</v>
      </c>
      <c r="F3589" s="147" t="s">
        <v>8499</v>
      </c>
      <c r="G3589" s="146" t="s">
        <v>6739</v>
      </c>
      <c r="H3589" s="146" t="s">
        <v>54</v>
      </c>
      <c r="I3589" s="147" t="s">
        <v>6740</v>
      </c>
      <c r="J3589" s="147" t="s">
        <v>6741</v>
      </c>
      <c r="K3589" s="148"/>
      <c r="L3589" s="149"/>
      <c r="M3589" s="148"/>
    </row>
    <row r="3590" spans="1:13" ht="15" customHeight="1">
      <c r="A3590" s="142" t="s">
        <v>8500</v>
      </c>
      <c r="B3590" s="142">
        <v>518042</v>
      </c>
      <c r="C3590" s="143" t="s">
        <v>6735</v>
      </c>
      <c r="D3590" s="142" t="s">
        <v>6736</v>
      </c>
      <c r="E3590" s="143" t="s">
        <v>8491</v>
      </c>
      <c r="F3590" s="143" t="s">
        <v>8491</v>
      </c>
      <c r="G3590" s="142" t="s">
        <v>6739</v>
      </c>
      <c r="H3590" s="142" t="s">
        <v>54</v>
      </c>
      <c r="I3590" s="143" t="s">
        <v>6740</v>
      </c>
      <c r="J3590" s="143" t="s">
        <v>6741</v>
      </c>
      <c r="K3590" s="144"/>
      <c r="L3590" s="145"/>
      <c r="M3590" s="144"/>
    </row>
    <row r="3591" spans="1:13" ht="15" customHeight="1">
      <c r="A3591" s="146" t="s">
        <v>8501</v>
      </c>
      <c r="B3591" s="146">
        <v>518040</v>
      </c>
      <c r="C3591" s="147" t="s">
        <v>6735</v>
      </c>
      <c r="D3591" s="146" t="s">
        <v>6736</v>
      </c>
      <c r="E3591" s="147" t="s">
        <v>8491</v>
      </c>
      <c r="F3591" s="147" t="s">
        <v>8491</v>
      </c>
      <c r="G3591" s="146" t="s">
        <v>6739</v>
      </c>
      <c r="H3591" s="146" t="s">
        <v>54</v>
      </c>
      <c r="I3591" s="147" t="s">
        <v>6740</v>
      </c>
      <c r="J3591" s="147" t="s">
        <v>6741</v>
      </c>
      <c r="K3591" s="148"/>
      <c r="L3591" s="149"/>
      <c r="M3591" s="148"/>
    </row>
    <row r="3592" spans="1:13" ht="15" customHeight="1">
      <c r="A3592" s="142" t="s">
        <v>8502</v>
      </c>
      <c r="B3592" s="142">
        <v>518041</v>
      </c>
      <c r="C3592" s="143" t="s">
        <v>6735</v>
      </c>
      <c r="D3592" s="142" t="s">
        <v>6736</v>
      </c>
      <c r="E3592" s="143" t="s">
        <v>8491</v>
      </c>
      <c r="F3592" s="143" t="s">
        <v>8491</v>
      </c>
      <c r="G3592" s="142" t="s">
        <v>6739</v>
      </c>
      <c r="H3592" s="142" t="s">
        <v>54</v>
      </c>
      <c r="I3592" s="143" t="s">
        <v>6740</v>
      </c>
      <c r="J3592" s="143" t="s">
        <v>6741</v>
      </c>
      <c r="K3592" s="144"/>
      <c r="L3592" s="145"/>
      <c r="M3592" s="144"/>
    </row>
    <row r="3593" spans="1:13" ht="15" customHeight="1">
      <c r="A3593" s="146" t="s">
        <v>8503</v>
      </c>
      <c r="B3593" s="146">
        <v>518038</v>
      </c>
      <c r="C3593" s="147" t="s">
        <v>6735</v>
      </c>
      <c r="D3593" s="146" t="s">
        <v>6736</v>
      </c>
      <c r="E3593" s="147" t="s">
        <v>8491</v>
      </c>
      <c r="F3593" s="147" t="s">
        <v>8491</v>
      </c>
      <c r="G3593" s="146" t="s">
        <v>6739</v>
      </c>
      <c r="H3593" s="146" t="s">
        <v>54</v>
      </c>
      <c r="I3593" s="147" t="s">
        <v>6740</v>
      </c>
      <c r="J3593" s="147" t="s">
        <v>6741</v>
      </c>
      <c r="K3593" s="148"/>
      <c r="L3593" s="149"/>
      <c r="M3593" s="148"/>
    </row>
    <row r="3594" spans="1:13" ht="15" customHeight="1">
      <c r="A3594" s="142" t="s">
        <v>8504</v>
      </c>
      <c r="B3594" s="142">
        <v>518037</v>
      </c>
      <c r="C3594" s="143" t="s">
        <v>6735</v>
      </c>
      <c r="D3594" s="142" t="s">
        <v>6736</v>
      </c>
      <c r="E3594" s="143" t="s">
        <v>8491</v>
      </c>
      <c r="F3594" s="143" t="s">
        <v>8491</v>
      </c>
      <c r="G3594" s="142" t="s">
        <v>6739</v>
      </c>
      <c r="H3594" s="142" t="s">
        <v>54</v>
      </c>
      <c r="I3594" s="143" t="s">
        <v>6740</v>
      </c>
      <c r="J3594" s="143" t="s">
        <v>6741</v>
      </c>
      <c r="K3594" s="144"/>
      <c r="L3594" s="145"/>
      <c r="M3594" s="144"/>
    </row>
    <row r="3595" spans="1:13" ht="15" customHeight="1">
      <c r="A3595" s="146" t="s">
        <v>8505</v>
      </c>
      <c r="B3595" s="146">
        <v>518010</v>
      </c>
      <c r="C3595" s="147" t="s">
        <v>6735</v>
      </c>
      <c r="D3595" s="146" t="s">
        <v>6736</v>
      </c>
      <c r="E3595" s="147" t="s">
        <v>8491</v>
      </c>
      <c r="F3595" s="147" t="s">
        <v>8491</v>
      </c>
      <c r="G3595" s="146" t="s">
        <v>6739</v>
      </c>
      <c r="H3595" s="146" t="s">
        <v>54</v>
      </c>
      <c r="I3595" s="147" t="s">
        <v>6740</v>
      </c>
      <c r="J3595" s="147" t="s">
        <v>6741</v>
      </c>
      <c r="K3595" s="148"/>
      <c r="L3595" s="149"/>
      <c r="M3595" s="148"/>
    </row>
    <row r="3596" spans="1:13" ht="15" customHeight="1">
      <c r="A3596" s="142" t="s">
        <v>8506</v>
      </c>
      <c r="B3596" s="142">
        <v>518480</v>
      </c>
      <c r="C3596" s="143" t="s">
        <v>6735</v>
      </c>
      <c r="D3596" s="142" t="s">
        <v>6736</v>
      </c>
      <c r="E3596" s="143" t="s">
        <v>8491</v>
      </c>
      <c r="F3596" s="143" t="s">
        <v>8491</v>
      </c>
      <c r="G3596" s="142" t="s">
        <v>6739</v>
      </c>
      <c r="H3596" s="142" t="s">
        <v>54</v>
      </c>
      <c r="I3596" s="143" t="s">
        <v>6740</v>
      </c>
      <c r="J3596" s="143" t="s">
        <v>6741</v>
      </c>
      <c r="K3596" s="144"/>
      <c r="L3596" s="145"/>
      <c r="M3596" s="144"/>
    </row>
    <row r="3597" spans="1:13" ht="15" customHeight="1">
      <c r="A3597" s="146" t="s">
        <v>8507</v>
      </c>
      <c r="B3597" s="146">
        <v>518481</v>
      </c>
      <c r="C3597" s="147" t="s">
        <v>6735</v>
      </c>
      <c r="D3597" s="146" t="s">
        <v>6736</v>
      </c>
      <c r="E3597" s="147" t="s">
        <v>8491</v>
      </c>
      <c r="F3597" s="147" t="s">
        <v>8491</v>
      </c>
      <c r="G3597" s="146" t="s">
        <v>6739</v>
      </c>
      <c r="H3597" s="146" t="s">
        <v>54</v>
      </c>
      <c r="I3597" s="147" t="s">
        <v>6740</v>
      </c>
      <c r="J3597" s="147" t="s">
        <v>6741</v>
      </c>
      <c r="K3597" s="148"/>
      <c r="L3597" s="149"/>
      <c r="M3597" s="148"/>
    </row>
    <row r="3598" spans="1:13" ht="15" customHeight="1">
      <c r="A3598" s="142" t="s">
        <v>8508</v>
      </c>
      <c r="B3598" s="142">
        <v>518039</v>
      </c>
      <c r="C3598" s="143" t="s">
        <v>6735</v>
      </c>
      <c r="D3598" s="142" t="s">
        <v>6736</v>
      </c>
      <c r="E3598" s="143" t="s">
        <v>8491</v>
      </c>
      <c r="F3598" s="143" t="s">
        <v>8491</v>
      </c>
      <c r="G3598" s="142" t="s">
        <v>6739</v>
      </c>
      <c r="H3598" s="142" t="s">
        <v>54</v>
      </c>
      <c r="I3598" s="143" t="s">
        <v>6740</v>
      </c>
      <c r="J3598" s="143" t="s">
        <v>6741</v>
      </c>
      <c r="K3598" s="144"/>
      <c r="L3598" s="145"/>
      <c r="M3598" s="144"/>
    </row>
    <row r="3599" spans="1:13" ht="15" customHeight="1">
      <c r="A3599" s="146" t="s">
        <v>8509</v>
      </c>
      <c r="B3599" s="146">
        <v>518482</v>
      </c>
      <c r="C3599" s="147" t="s">
        <v>6735</v>
      </c>
      <c r="D3599" s="146" t="s">
        <v>6736</v>
      </c>
      <c r="E3599" s="147" t="s">
        <v>8491</v>
      </c>
      <c r="F3599" s="147" t="s">
        <v>8491</v>
      </c>
      <c r="G3599" s="146" t="s">
        <v>6739</v>
      </c>
      <c r="H3599" s="146" t="s">
        <v>54</v>
      </c>
      <c r="I3599" s="147" t="s">
        <v>6740</v>
      </c>
      <c r="J3599" s="147" t="s">
        <v>6741</v>
      </c>
      <c r="K3599" s="148"/>
      <c r="L3599" s="149"/>
      <c r="M3599" s="148"/>
    </row>
    <row r="3600" spans="1:13" ht="15" customHeight="1">
      <c r="A3600" s="142" t="s">
        <v>8510</v>
      </c>
      <c r="B3600" s="142">
        <v>518036</v>
      </c>
      <c r="C3600" s="143" t="s">
        <v>6735</v>
      </c>
      <c r="D3600" s="142" t="s">
        <v>6736</v>
      </c>
      <c r="E3600" s="143" t="s">
        <v>8491</v>
      </c>
      <c r="F3600" s="143" t="s">
        <v>8491</v>
      </c>
      <c r="G3600" s="142" t="s">
        <v>6739</v>
      </c>
      <c r="H3600" s="142" t="s">
        <v>54</v>
      </c>
      <c r="I3600" s="143" t="s">
        <v>6740</v>
      </c>
      <c r="J3600" s="143" t="s">
        <v>6741</v>
      </c>
      <c r="K3600" s="144"/>
      <c r="L3600" s="145"/>
      <c r="M3600" s="144"/>
    </row>
    <row r="3601" spans="1:13" ht="15" customHeight="1">
      <c r="A3601" s="146" t="s">
        <v>8511</v>
      </c>
      <c r="B3601" s="146">
        <v>518081</v>
      </c>
      <c r="C3601" s="147" t="s">
        <v>8512</v>
      </c>
      <c r="D3601" s="146" t="s">
        <v>6736</v>
      </c>
      <c r="E3601" s="147" t="s">
        <v>8491</v>
      </c>
      <c r="F3601" s="147" t="s">
        <v>8513</v>
      </c>
      <c r="G3601" s="146" t="s">
        <v>109</v>
      </c>
      <c r="H3601" s="146" t="s">
        <v>54</v>
      </c>
      <c r="I3601" s="147" t="s">
        <v>6740</v>
      </c>
      <c r="J3601" s="147" t="s">
        <v>104</v>
      </c>
      <c r="K3601" s="148"/>
      <c r="L3601" s="149"/>
      <c r="M3601" s="148"/>
    </row>
    <row r="3602" spans="1:13" ht="15" customHeight="1">
      <c r="A3602" s="142" t="s">
        <v>8514</v>
      </c>
      <c r="B3602" s="142">
        <v>518050</v>
      </c>
      <c r="C3602" s="143" t="s">
        <v>6735</v>
      </c>
      <c r="D3602" s="142" t="s">
        <v>6736</v>
      </c>
      <c r="E3602" s="143" t="s">
        <v>8491</v>
      </c>
      <c r="F3602" s="143" t="s">
        <v>686</v>
      </c>
      <c r="G3602" s="142" t="s">
        <v>6739</v>
      </c>
      <c r="H3602" s="142" t="s">
        <v>54</v>
      </c>
      <c r="I3602" s="143" t="s">
        <v>6740</v>
      </c>
      <c r="J3602" s="143" t="s">
        <v>6741</v>
      </c>
      <c r="K3602" s="144"/>
      <c r="L3602" s="145"/>
      <c r="M3602" s="144"/>
    </row>
    <row r="3603" spans="1:13" ht="15" customHeight="1">
      <c r="A3603" s="146" t="s">
        <v>8515</v>
      </c>
      <c r="B3603" s="146">
        <v>517983</v>
      </c>
      <c r="C3603" s="147" t="s">
        <v>8516</v>
      </c>
      <c r="D3603" s="146" t="s">
        <v>6736</v>
      </c>
      <c r="E3603" s="147" t="s">
        <v>947</v>
      </c>
      <c r="F3603" s="147" t="s">
        <v>8516</v>
      </c>
      <c r="G3603" s="146" t="s">
        <v>109</v>
      </c>
      <c r="H3603" s="146" t="s">
        <v>54</v>
      </c>
      <c r="I3603" s="147" t="s">
        <v>6740</v>
      </c>
      <c r="J3603" s="147" t="s">
        <v>104</v>
      </c>
      <c r="K3603" s="148"/>
      <c r="L3603" s="149"/>
      <c r="M3603" s="148"/>
    </row>
    <row r="3604" spans="1:13" ht="15" customHeight="1">
      <c r="A3604" s="142" t="s">
        <v>8517</v>
      </c>
      <c r="B3604" s="142">
        <v>518343</v>
      </c>
      <c r="C3604" s="143" t="s">
        <v>8518</v>
      </c>
      <c r="D3604" s="142" t="s">
        <v>6893</v>
      </c>
      <c r="E3604" s="143" t="s">
        <v>947</v>
      </c>
      <c r="F3604" s="143" t="s">
        <v>8519</v>
      </c>
      <c r="G3604" s="142" t="s">
        <v>109</v>
      </c>
      <c r="H3604" s="142" t="s">
        <v>54</v>
      </c>
      <c r="I3604" s="143" t="s">
        <v>6740</v>
      </c>
      <c r="J3604" s="143" t="s">
        <v>104</v>
      </c>
      <c r="K3604" s="144"/>
      <c r="L3604" s="145"/>
      <c r="M3604" s="144"/>
    </row>
    <row r="3605" spans="1:13" ht="15" customHeight="1">
      <c r="A3605" s="146" t="s">
        <v>8520</v>
      </c>
      <c r="B3605" s="146">
        <v>518080</v>
      </c>
      <c r="C3605" s="147" t="s">
        <v>6735</v>
      </c>
      <c r="D3605" s="146" t="s">
        <v>6736</v>
      </c>
      <c r="E3605" s="147" t="s">
        <v>947</v>
      </c>
      <c r="F3605" s="147" t="s">
        <v>352</v>
      </c>
      <c r="G3605" s="146" t="s">
        <v>6739</v>
      </c>
      <c r="H3605" s="146" t="s">
        <v>54</v>
      </c>
      <c r="I3605" s="147" t="s">
        <v>6740</v>
      </c>
      <c r="J3605" s="147" t="s">
        <v>6741</v>
      </c>
      <c r="K3605" s="148"/>
      <c r="L3605" s="149"/>
      <c r="M3605" s="148"/>
    </row>
    <row r="3606" spans="1:13" ht="15" customHeight="1">
      <c r="A3606" s="142" t="s">
        <v>8521</v>
      </c>
      <c r="B3606" s="142">
        <v>518113</v>
      </c>
      <c r="C3606" s="143" t="s">
        <v>8522</v>
      </c>
      <c r="D3606" s="142" t="s">
        <v>6736</v>
      </c>
      <c r="E3606" s="143" t="s">
        <v>947</v>
      </c>
      <c r="F3606" s="143" t="s">
        <v>8523</v>
      </c>
      <c r="G3606" s="142" t="s">
        <v>109</v>
      </c>
      <c r="H3606" s="142" t="s">
        <v>54</v>
      </c>
      <c r="I3606" s="143" t="s">
        <v>6740</v>
      </c>
      <c r="J3606" s="143" t="s">
        <v>104</v>
      </c>
      <c r="K3606" s="144"/>
      <c r="L3606" s="145"/>
      <c r="M3606" s="144"/>
    </row>
    <row r="3607" spans="1:13" ht="15" customHeight="1">
      <c r="A3607" s="146" t="s">
        <v>8524</v>
      </c>
      <c r="B3607" s="146">
        <v>518008</v>
      </c>
      <c r="C3607" s="147" t="s">
        <v>6735</v>
      </c>
      <c r="D3607" s="146" t="s">
        <v>6736</v>
      </c>
      <c r="E3607" s="147" t="s">
        <v>947</v>
      </c>
      <c r="F3607" s="147" t="s">
        <v>8525</v>
      </c>
      <c r="G3607" s="146" t="s">
        <v>6739</v>
      </c>
      <c r="H3607" s="146" t="s">
        <v>54</v>
      </c>
      <c r="I3607" s="147" t="s">
        <v>6740</v>
      </c>
      <c r="J3607" s="147" t="s">
        <v>6741</v>
      </c>
      <c r="K3607" s="148"/>
      <c r="L3607" s="149"/>
      <c r="M3607" s="148"/>
    </row>
    <row r="3608" spans="1:13" ht="15" customHeight="1">
      <c r="A3608" s="142" t="s">
        <v>8526</v>
      </c>
      <c r="B3608" s="142">
        <v>518009</v>
      </c>
      <c r="C3608" s="143" t="s">
        <v>6735</v>
      </c>
      <c r="D3608" s="142" t="s">
        <v>6736</v>
      </c>
      <c r="E3608" s="143" t="s">
        <v>947</v>
      </c>
      <c r="F3608" s="143" t="s">
        <v>8525</v>
      </c>
      <c r="G3608" s="142" t="s">
        <v>6739</v>
      </c>
      <c r="H3608" s="142" t="s">
        <v>54</v>
      </c>
      <c r="I3608" s="143" t="s">
        <v>6740</v>
      </c>
      <c r="J3608" s="143" t="s">
        <v>6741</v>
      </c>
      <c r="K3608" s="144"/>
      <c r="L3608" s="145"/>
      <c r="M3608" s="144"/>
    </row>
    <row r="3609" spans="1:13" ht="15" customHeight="1">
      <c r="A3609" s="146" t="s">
        <v>8527</v>
      </c>
      <c r="B3609" s="146">
        <v>518112</v>
      </c>
      <c r="C3609" s="147" t="s">
        <v>8528</v>
      </c>
      <c r="D3609" s="146" t="s">
        <v>6736</v>
      </c>
      <c r="E3609" s="147" t="s">
        <v>947</v>
      </c>
      <c r="F3609" s="147" t="s">
        <v>8529</v>
      </c>
      <c r="G3609" s="146" t="s">
        <v>109</v>
      </c>
      <c r="H3609" s="146" t="s">
        <v>54</v>
      </c>
      <c r="I3609" s="147" t="s">
        <v>6740</v>
      </c>
      <c r="J3609" s="147" t="s">
        <v>104</v>
      </c>
      <c r="K3609" s="148"/>
      <c r="L3609" s="149"/>
      <c r="M3609" s="148"/>
    </row>
    <row r="3610" spans="1:13" ht="15" customHeight="1">
      <c r="A3610" s="142" t="s">
        <v>8530</v>
      </c>
      <c r="B3610" s="142">
        <v>517991</v>
      </c>
      <c r="C3610" s="143" t="s">
        <v>8531</v>
      </c>
      <c r="D3610" s="142" t="s">
        <v>6736</v>
      </c>
      <c r="E3610" s="143" t="s">
        <v>8532</v>
      </c>
      <c r="F3610" s="143" t="s">
        <v>8531</v>
      </c>
      <c r="G3610" s="142" t="s">
        <v>109</v>
      </c>
      <c r="H3610" s="142" t="s">
        <v>54</v>
      </c>
      <c r="I3610" s="143" t="s">
        <v>6740</v>
      </c>
      <c r="J3610" s="143" t="s">
        <v>104</v>
      </c>
      <c r="K3610" s="144"/>
      <c r="L3610" s="145"/>
      <c r="M3610" s="144"/>
    </row>
    <row r="3611" spans="1:13" ht="15" customHeight="1">
      <c r="A3611" s="146" t="s">
        <v>8533</v>
      </c>
      <c r="B3611" s="146">
        <v>518069</v>
      </c>
      <c r="C3611" s="147" t="s">
        <v>8534</v>
      </c>
      <c r="D3611" s="146" t="s">
        <v>6736</v>
      </c>
      <c r="E3611" s="147" t="s">
        <v>8532</v>
      </c>
      <c r="F3611" s="147" t="s">
        <v>8535</v>
      </c>
      <c r="G3611" s="146" t="s">
        <v>109</v>
      </c>
      <c r="H3611" s="146" t="s">
        <v>54</v>
      </c>
      <c r="I3611" s="147" t="s">
        <v>6740</v>
      </c>
      <c r="J3611" s="147" t="s">
        <v>104</v>
      </c>
      <c r="K3611" s="148"/>
      <c r="L3611" s="149"/>
      <c r="M3611" s="148"/>
    </row>
    <row r="3612" spans="1:13" ht="15" customHeight="1">
      <c r="A3612" s="142" t="s">
        <v>8536</v>
      </c>
      <c r="B3612" s="142">
        <v>518168</v>
      </c>
      <c r="C3612" s="143" t="s">
        <v>6735</v>
      </c>
      <c r="D3612" s="142" t="s">
        <v>6893</v>
      </c>
      <c r="E3612" s="143" t="s">
        <v>8537</v>
      </c>
      <c r="F3612" s="143" t="s">
        <v>8537</v>
      </c>
      <c r="G3612" s="142" t="s">
        <v>6739</v>
      </c>
      <c r="H3612" s="142" t="s">
        <v>54</v>
      </c>
      <c r="I3612" s="143" t="s">
        <v>6895</v>
      </c>
      <c r="J3612" s="143" t="s">
        <v>6741</v>
      </c>
      <c r="K3612" s="144"/>
      <c r="L3612" s="145"/>
      <c r="M3612" s="144"/>
    </row>
    <row r="3613" spans="1:13" ht="15" customHeight="1">
      <c r="A3613" s="146" t="s">
        <v>8538</v>
      </c>
      <c r="B3613" s="146">
        <v>518169</v>
      </c>
      <c r="C3613" s="147" t="s">
        <v>6735</v>
      </c>
      <c r="D3613" s="146" t="s">
        <v>6893</v>
      </c>
      <c r="E3613" s="147" t="s">
        <v>8537</v>
      </c>
      <c r="F3613" s="147" t="s">
        <v>8537</v>
      </c>
      <c r="G3613" s="146" t="s">
        <v>6739</v>
      </c>
      <c r="H3613" s="146" t="s">
        <v>54</v>
      </c>
      <c r="I3613" s="147" t="s">
        <v>6895</v>
      </c>
      <c r="J3613" s="147" t="s">
        <v>6741</v>
      </c>
      <c r="K3613" s="148" t="s">
        <v>121</v>
      </c>
      <c r="L3613" s="149">
        <v>46151</v>
      </c>
      <c r="M3613" s="148"/>
    </row>
    <row r="3614" spans="1:13" ht="15" customHeight="1">
      <c r="A3614" s="142" t="s">
        <v>8539</v>
      </c>
      <c r="B3614" s="142">
        <v>518299</v>
      </c>
      <c r="C3614" s="143" t="s">
        <v>8540</v>
      </c>
      <c r="D3614" s="142" t="s">
        <v>6893</v>
      </c>
      <c r="E3614" s="143" t="s">
        <v>8537</v>
      </c>
      <c r="F3614" s="143" t="s">
        <v>8541</v>
      </c>
      <c r="G3614" s="142" t="s">
        <v>109</v>
      </c>
      <c r="H3614" s="142" t="s">
        <v>54</v>
      </c>
      <c r="I3614" s="143" t="s">
        <v>6895</v>
      </c>
      <c r="J3614" s="143" t="s">
        <v>104</v>
      </c>
      <c r="K3614" s="144"/>
      <c r="L3614" s="145"/>
      <c r="M3614" s="144"/>
    </row>
    <row r="3615" spans="1:13" ht="15" customHeight="1">
      <c r="A3615" s="146" t="s">
        <v>8542</v>
      </c>
      <c r="B3615" s="146">
        <v>518171</v>
      </c>
      <c r="C3615" s="147" t="s">
        <v>8543</v>
      </c>
      <c r="D3615" s="146" t="s">
        <v>6893</v>
      </c>
      <c r="E3615" s="147" t="s">
        <v>8544</v>
      </c>
      <c r="F3615" s="147" t="s">
        <v>3594</v>
      </c>
      <c r="G3615" s="146" t="s">
        <v>109</v>
      </c>
      <c r="H3615" s="146" t="s">
        <v>54</v>
      </c>
      <c r="I3615" s="147" t="s">
        <v>6895</v>
      </c>
      <c r="J3615" s="147" t="s">
        <v>104</v>
      </c>
      <c r="K3615" s="148"/>
      <c r="L3615" s="149"/>
      <c r="M3615" s="148"/>
    </row>
    <row r="3616" spans="1:13" ht="15" customHeight="1">
      <c r="A3616" s="142" t="s">
        <v>8545</v>
      </c>
      <c r="B3616" s="142">
        <v>518170</v>
      </c>
      <c r="C3616" s="143" t="s">
        <v>6735</v>
      </c>
      <c r="D3616" s="142" t="s">
        <v>6893</v>
      </c>
      <c r="E3616" s="143" t="s">
        <v>8544</v>
      </c>
      <c r="F3616" s="143" t="s">
        <v>8544</v>
      </c>
      <c r="G3616" s="142" t="s">
        <v>6739</v>
      </c>
      <c r="H3616" s="142" t="s">
        <v>54</v>
      </c>
      <c r="I3616" s="143" t="s">
        <v>6895</v>
      </c>
      <c r="J3616" s="143" t="s">
        <v>6741</v>
      </c>
      <c r="K3616" s="144" t="s">
        <v>121</v>
      </c>
      <c r="L3616" s="145">
        <v>46150</v>
      </c>
      <c r="M3616" s="144"/>
    </row>
    <row r="3617" spans="1:13" ht="15" customHeight="1">
      <c r="A3617" s="146" t="s">
        <v>8546</v>
      </c>
      <c r="B3617" s="146">
        <v>518261</v>
      </c>
      <c r="C3617" s="147" t="s">
        <v>8547</v>
      </c>
      <c r="D3617" s="146" t="s">
        <v>6893</v>
      </c>
      <c r="E3617" s="147" t="s">
        <v>8548</v>
      </c>
      <c r="F3617" s="147" t="s">
        <v>8548</v>
      </c>
      <c r="G3617" s="146" t="s">
        <v>109</v>
      </c>
      <c r="H3617" s="146" t="s">
        <v>54</v>
      </c>
      <c r="I3617" s="147" t="s">
        <v>6895</v>
      </c>
      <c r="J3617" s="147" t="s">
        <v>104</v>
      </c>
      <c r="K3617" s="148"/>
      <c r="L3617" s="149"/>
      <c r="M3617" s="148"/>
    </row>
    <row r="3618" spans="1:13" ht="15" customHeight="1">
      <c r="A3618" s="142" t="s">
        <v>8549</v>
      </c>
      <c r="B3618" s="142">
        <v>518274</v>
      </c>
      <c r="C3618" s="143" t="s">
        <v>8550</v>
      </c>
      <c r="D3618" s="142" t="s">
        <v>6893</v>
      </c>
      <c r="E3618" s="143" t="s">
        <v>8551</v>
      </c>
      <c r="F3618" s="143" t="s">
        <v>8551</v>
      </c>
      <c r="G3618" s="142" t="s">
        <v>109</v>
      </c>
      <c r="H3618" s="142" t="s">
        <v>54</v>
      </c>
      <c r="I3618" s="143" t="s">
        <v>6895</v>
      </c>
      <c r="J3618" s="143" t="s">
        <v>104</v>
      </c>
      <c r="K3618" s="144"/>
      <c r="L3618" s="145"/>
      <c r="M3618" s="144"/>
    </row>
    <row r="3619" spans="1:13" ht="15" customHeight="1">
      <c r="A3619" s="146" t="s">
        <v>8552</v>
      </c>
      <c r="B3619" s="146">
        <v>518286</v>
      </c>
      <c r="C3619" s="147" t="s">
        <v>6735</v>
      </c>
      <c r="D3619" s="146" t="s">
        <v>6893</v>
      </c>
      <c r="E3619" s="147" t="s">
        <v>8553</v>
      </c>
      <c r="F3619" s="147" t="s">
        <v>8553</v>
      </c>
      <c r="G3619" s="146" t="s">
        <v>6739</v>
      </c>
      <c r="H3619" s="146" t="s">
        <v>54</v>
      </c>
      <c r="I3619" s="147" t="s">
        <v>6895</v>
      </c>
      <c r="J3619" s="147" t="s">
        <v>6741</v>
      </c>
      <c r="K3619" s="148"/>
      <c r="L3619" s="149"/>
      <c r="M3619" s="148"/>
    </row>
    <row r="3620" spans="1:13" ht="15" customHeight="1">
      <c r="A3620" s="142" t="s">
        <v>8554</v>
      </c>
      <c r="B3620" s="142">
        <v>518271</v>
      </c>
      <c r="C3620" s="143" t="s">
        <v>8555</v>
      </c>
      <c r="D3620" s="142" t="s">
        <v>6893</v>
      </c>
      <c r="E3620" s="143" t="s">
        <v>8556</v>
      </c>
      <c r="F3620" s="143" t="s">
        <v>8557</v>
      </c>
      <c r="G3620" s="142" t="s">
        <v>109</v>
      </c>
      <c r="H3620" s="142" t="s">
        <v>54</v>
      </c>
      <c r="I3620" s="143" t="s">
        <v>6895</v>
      </c>
      <c r="J3620" s="143" t="s">
        <v>104</v>
      </c>
      <c r="K3620" s="144"/>
      <c r="L3620" s="145"/>
      <c r="M3620" s="144"/>
    </row>
    <row r="3621" spans="1:13" ht="15" customHeight="1">
      <c r="A3621" s="146" t="s">
        <v>8558</v>
      </c>
      <c r="B3621" s="146">
        <v>518330</v>
      </c>
      <c r="C3621" s="147" t="s">
        <v>8559</v>
      </c>
      <c r="D3621" s="146" t="s">
        <v>6893</v>
      </c>
      <c r="E3621" s="147" t="s">
        <v>8556</v>
      </c>
      <c r="F3621" s="147" t="s">
        <v>8560</v>
      </c>
      <c r="G3621" s="146" t="s">
        <v>109</v>
      </c>
      <c r="H3621" s="146" t="s">
        <v>54</v>
      </c>
      <c r="I3621" s="147" t="s">
        <v>6895</v>
      </c>
      <c r="J3621" s="147" t="s">
        <v>104</v>
      </c>
      <c r="K3621" s="148"/>
      <c r="L3621" s="149"/>
      <c r="M3621" s="148"/>
    </row>
    <row r="3622" spans="1:13" ht="15" customHeight="1">
      <c r="A3622" s="142" t="s">
        <v>8561</v>
      </c>
      <c r="B3622" s="142">
        <v>518511</v>
      </c>
      <c r="C3622" s="143" t="s">
        <v>6735</v>
      </c>
      <c r="D3622" s="142" t="s">
        <v>6893</v>
      </c>
      <c r="E3622" s="143" t="s">
        <v>8556</v>
      </c>
      <c r="F3622" s="143" t="s">
        <v>8562</v>
      </c>
      <c r="G3622" s="142" t="s">
        <v>6739</v>
      </c>
      <c r="H3622" s="142" t="s">
        <v>54</v>
      </c>
      <c r="I3622" s="143" t="s">
        <v>6895</v>
      </c>
      <c r="J3622" s="143" t="s">
        <v>6741</v>
      </c>
      <c r="K3622" s="144"/>
      <c r="L3622" s="145"/>
      <c r="M3622" s="144"/>
    </row>
    <row r="3623" spans="1:13" ht="15" customHeight="1">
      <c r="A3623" s="146" t="s">
        <v>8563</v>
      </c>
      <c r="B3623" s="146">
        <v>518512</v>
      </c>
      <c r="C3623" s="147" t="s">
        <v>6735</v>
      </c>
      <c r="D3623" s="146" t="s">
        <v>6893</v>
      </c>
      <c r="E3623" s="147" t="s">
        <v>8556</v>
      </c>
      <c r="F3623" s="147" t="s">
        <v>8562</v>
      </c>
      <c r="G3623" s="146" t="s">
        <v>6739</v>
      </c>
      <c r="H3623" s="146" t="s">
        <v>54</v>
      </c>
      <c r="I3623" s="147" t="s">
        <v>6895</v>
      </c>
      <c r="J3623" s="147" t="s">
        <v>6741</v>
      </c>
      <c r="K3623" s="148" t="s">
        <v>121</v>
      </c>
      <c r="L3623" s="149">
        <v>46151</v>
      </c>
      <c r="M3623" s="148"/>
    </row>
    <row r="3624" spans="1:13" ht="15" customHeight="1">
      <c r="A3624" s="142" t="s">
        <v>8564</v>
      </c>
      <c r="B3624" s="142">
        <v>518208</v>
      </c>
      <c r="C3624" s="143" t="s">
        <v>6735</v>
      </c>
      <c r="D3624" s="142" t="s">
        <v>6893</v>
      </c>
      <c r="E3624" s="143" t="s">
        <v>8556</v>
      </c>
      <c r="F3624" s="143" t="s">
        <v>8562</v>
      </c>
      <c r="G3624" s="142" t="s">
        <v>6739</v>
      </c>
      <c r="H3624" s="142" t="s">
        <v>54</v>
      </c>
      <c r="I3624" s="143" t="s">
        <v>6895</v>
      </c>
      <c r="J3624" s="143" t="s">
        <v>6741</v>
      </c>
      <c r="K3624" s="144"/>
      <c r="L3624" s="145"/>
      <c r="M3624" s="144"/>
    </row>
    <row r="3625" spans="1:13" ht="15" customHeight="1">
      <c r="A3625" s="146" t="s">
        <v>8565</v>
      </c>
      <c r="B3625" s="146">
        <v>518513</v>
      </c>
      <c r="C3625" s="147" t="s">
        <v>6735</v>
      </c>
      <c r="D3625" s="146" t="s">
        <v>6893</v>
      </c>
      <c r="E3625" s="147" t="s">
        <v>8556</v>
      </c>
      <c r="F3625" s="147" t="s">
        <v>8562</v>
      </c>
      <c r="G3625" s="146" t="s">
        <v>6739</v>
      </c>
      <c r="H3625" s="146" t="s">
        <v>54</v>
      </c>
      <c r="I3625" s="147" t="s">
        <v>6895</v>
      </c>
      <c r="J3625" s="147" t="s">
        <v>6741</v>
      </c>
      <c r="K3625" s="148" t="s">
        <v>121</v>
      </c>
      <c r="L3625" s="149">
        <v>46151</v>
      </c>
      <c r="M3625" s="148"/>
    </row>
    <row r="3626" spans="1:13" ht="15" customHeight="1">
      <c r="A3626" s="142" t="s">
        <v>8566</v>
      </c>
      <c r="B3626" s="142">
        <v>518333</v>
      </c>
      <c r="C3626" s="143" t="s">
        <v>8567</v>
      </c>
      <c r="D3626" s="142" t="s">
        <v>6893</v>
      </c>
      <c r="E3626" s="143" t="s">
        <v>8556</v>
      </c>
      <c r="F3626" s="143" t="s">
        <v>8568</v>
      </c>
      <c r="G3626" s="142" t="s">
        <v>109</v>
      </c>
      <c r="H3626" s="142" t="s">
        <v>54</v>
      </c>
      <c r="I3626" s="143" t="s">
        <v>6895</v>
      </c>
      <c r="J3626" s="143" t="s">
        <v>104</v>
      </c>
      <c r="K3626" s="144"/>
      <c r="L3626" s="145"/>
      <c r="M3626" s="144"/>
    </row>
    <row r="3627" spans="1:13" ht="15" customHeight="1">
      <c r="A3627" s="146" t="s">
        <v>8569</v>
      </c>
      <c r="B3627" s="146">
        <v>518281</v>
      </c>
      <c r="C3627" s="147" t="s">
        <v>6735</v>
      </c>
      <c r="D3627" s="146" t="s">
        <v>6893</v>
      </c>
      <c r="E3627" s="147" t="s">
        <v>8556</v>
      </c>
      <c r="F3627" s="147" t="s">
        <v>8570</v>
      </c>
      <c r="G3627" s="146" t="s">
        <v>6739</v>
      </c>
      <c r="H3627" s="146" t="s">
        <v>54</v>
      </c>
      <c r="I3627" s="147" t="s">
        <v>6895</v>
      </c>
      <c r="J3627" s="147" t="s">
        <v>6741</v>
      </c>
      <c r="K3627" s="148"/>
      <c r="L3627" s="149"/>
      <c r="M3627" s="148"/>
    </row>
    <row r="3628" spans="1:13" ht="15" customHeight="1">
      <c r="A3628" s="142" t="s">
        <v>8571</v>
      </c>
      <c r="B3628" s="142">
        <v>518272</v>
      </c>
      <c r="C3628" s="143" t="s">
        <v>8572</v>
      </c>
      <c r="D3628" s="142" t="s">
        <v>6893</v>
      </c>
      <c r="E3628" s="143" t="s">
        <v>8556</v>
      </c>
      <c r="F3628" s="143" t="s">
        <v>8573</v>
      </c>
      <c r="G3628" s="142" t="s">
        <v>109</v>
      </c>
      <c r="H3628" s="142" t="s">
        <v>54</v>
      </c>
      <c r="I3628" s="143" t="s">
        <v>6895</v>
      </c>
      <c r="J3628" s="143" t="s">
        <v>104</v>
      </c>
      <c r="K3628" s="144"/>
      <c r="L3628" s="145"/>
      <c r="M3628" s="144"/>
    </row>
    <row r="3629" spans="1:13" ht="15" customHeight="1">
      <c r="A3629" s="146" t="s">
        <v>8574</v>
      </c>
      <c r="B3629" s="146">
        <v>518270</v>
      </c>
      <c r="C3629" s="147" t="s">
        <v>8575</v>
      </c>
      <c r="D3629" s="146" t="s">
        <v>6893</v>
      </c>
      <c r="E3629" s="147" t="s">
        <v>8556</v>
      </c>
      <c r="F3629" s="147" t="s">
        <v>8576</v>
      </c>
      <c r="G3629" s="146" t="s">
        <v>109</v>
      </c>
      <c r="H3629" s="146" t="s">
        <v>54</v>
      </c>
      <c r="I3629" s="147" t="s">
        <v>6895</v>
      </c>
      <c r="J3629" s="147" t="s">
        <v>104</v>
      </c>
      <c r="K3629" s="148"/>
      <c r="L3629" s="149"/>
      <c r="M3629" s="148"/>
    </row>
    <row r="3630" spans="1:13" ht="15" customHeight="1">
      <c r="A3630" s="142" t="s">
        <v>8577</v>
      </c>
      <c r="B3630" s="142">
        <v>518304</v>
      </c>
      <c r="C3630" s="143" t="s">
        <v>1155</v>
      </c>
      <c r="D3630" s="142" t="s">
        <v>6893</v>
      </c>
      <c r="E3630" s="143" t="s">
        <v>8578</v>
      </c>
      <c r="F3630" s="143" t="s">
        <v>8578</v>
      </c>
      <c r="G3630" s="142" t="s">
        <v>109</v>
      </c>
      <c r="H3630" s="142" t="s">
        <v>54</v>
      </c>
      <c r="I3630" s="143" t="s">
        <v>6895</v>
      </c>
      <c r="J3630" s="143" t="s">
        <v>104</v>
      </c>
      <c r="K3630" s="144"/>
      <c r="L3630" s="145"/>
      <c r="M3630" s="144"/>
    </row>
    <row r="3631" spans="1:13" ht="15" customHeight="1">
      <c r="A3631" s="146" t="s">
        <v>8579</v>
      </c>
      <c r="B3631" s="146">
        <v>518305</v>
      </c>
      <c r="C3631" s="147" t="s">
        <v>6735</v>
      </c>
      <c r="D3631" s="146" t="s">
        <v>6893</v>
      </c>
      <c r="E3631" s="147" t="s">
        <v>8578</v>
      </c>
      <c r="F3631" s="147" t="s">
        <v>8578</v>
      </c>
      <c r="G3631" s="146" t="s">
        <v>6739</v>
      </c>
      <c r="H3631" s="146" t="s">
        <v>54</v>
      </c>
      <c r="I3631" s="147" t="s">
        <v>6895</v>
      </c>
      <c r="J3631" s="147" t="s">
        <v>6741</v>
      </c>
      <c r="K3631" s="148"/>
      <c r="L3631" s="149"/>
      <c r="M3631" s="148"/>
    </row>
    <row r="3632" spans="1:13" ht="15" customHeight="1">
      <c r="A3632" s="142" t="s">
        <v>8580</v>
      </c>
      <c r="B3632" s="142">
        <v>518287</v>
      </c>
      <c r="C3632" s="143" t="s">
        <v>8581</v>
      </c>
      <c r="D3632" s="142" t="s">
        <v>6893</v>
      </c>
      <c r="E3632" s="143" t="s">
        <v>8582</v>
      </c>
      <c r="F3632" s="143" t="s">
        <v>8583</v>
      </c>
      <c r="G3632" s="142" t="s">
        <v>102</v>
      </c>
      <c r="H3632" s="142" t="s">
        <v>54</v>
      </c>
      <c r="I3632" s="143" t="s">
        <v>6895</v>
      </c>
      <c r="J3632" s="143" t="s">
        <v>104</v>
      </c>
      <c r="K3632" s="144"/>
      <c r="L3632" s="145"/>
      <c r="M3632" s="144"/>
    </row>
    <row r="3633" spans="1:13" ht="15" customHeight="1">
      <c r="A3633" s="146" t="s">
        <v>8584</v>
      </c>
      <c r="B3633" s="146">
        <v>518221</v>
      </c>
      <c r="C3633" s="147" t="s">
        <v>8585</v>
      </c>
      <c r="D3633" s="146" t="s">
        <v>6893</v>
      </c>
      <c r="E3633" s="147" t="s">
        <v>8586</v>
      </c>
      <c r="F3633" s="147" t="s">
        <v>8586</v>
      </c>
      <c r="G3633" s="146" t="s">
        <v>109</v>
      </c>
      <c r="H3633" s="146" t="s">
        <v>54</v>
      </c>
      <c r="I3633" s="147" t="s">
        <v>6895</v>
      </c>
      <c r="J3633" s="147" t="s">
        <v>104</v>
      </c>
      <c r="K3633" s="148"/>
      <c r="L3633" s="149"/>
      <c r="M3633" s="148"/>
    </row>
    <row r="3634" spans="1:13" ht="15" customHeight="1">
      <c r="A3634" s="142" t="s">
        <v>8587</v>
      </c>
      <c r="B3634" s="142">
        <v>518220</v>
      </c>
      <c r="C3634" s="143" t="s">
        <v>6735</v>
      </c>
      <c r="D3634" s="142" t="s">
        <v>6893</v>
      </c>
      <c r="E3634" s="143" t="s">
        <v>8586</v>
      </c>
      <c r="F3634" s="143" t="s">
        <v>8588</v>
      </c>
      <c r="G3634" s="142" t="s">
        <v>6739</v>
      </c>
      <c r="H3634" s="142" t="s">
        <v>54</v>
      </c>
      <c r="I3634" s="143" t="s">
        <v>6895</v>
      </c>
      <c r="J3634" s="143" t="s">
        <v>6741</v>
      </c>
      <c r="K3634" s="144"/>
      <c r="L3634" s="145"/>
      <c r="M3634" s="144"/>
    </row>
    <row r="3635" spans="1:13" ht="15" customHeight="1">
      <c r="A3635" s="146" t="s">
        <v>8589</v>
      </c>
      <c r="B3635" s="146">
        <v>518219</v>
      </c>
      <c r="C3635" s="147" t="s">
        <v>6735</v>
      </c>
      <c r="D3635" s="146" t="s">
        <v>6893</v>
      </c>
      <c r="E3635" s="147" t="s">
        <v>8586</v>
      </c>
      <c r="F3635" s="147" t="s">
        <v>8532</v>
      </c>
      <c r="G3635" s="146" t="s">
        <v>6739</v>
      </c>
      <c r="H3635" s="146" t="s">
        <v>54</v>
      </c>
      <c r="I3635" s="147" t="s">
        <v>6895</v>
      </c>
      <c r="J3635" s="147" t="s">
        <v>6741</v>
      </c>
      <c r="K3635" s="148"/>
      <c r="L3635" s="149"/>
      <c r="M3635" s="148"/>
    </row>
    <row r="3636" spans="1:13" ht="15" customHeight="1">
      <c r="A3636" s="142" t="s">
        <v>8590</v>
      </c>
      <c r="B3636" s="142">
        <v>518316</v>
      </c>
      <c r="C3636" s="143" t="s">
        <v>8591</v>
      </c>
      <c r="D3636" s="142" t="s">
        <v>6893</v>
      </c>
      <c r="E3636" s="143" t="s">
        <v>8592</v>
      </c>
      <c r="F3636" s="143" t="s">
        <v>8593</v>
      </c>
      <c r="G3636" s="142" t="s">
        <v>109</v>
      </c>
      <c r="H3636" s="142" t="s">
        <v>54</v>
      </c>
      <c r="I3636" s="143" t="s">
        <v>6895</v>
      </c>
      <c r="J3636" s="143" t="s">
        <v>104</v>
      </c>
      <c r="K3636" s="144" t="s">
        <v>162</v>
      </c>
      <c r="L3636" s="145">
        <v>46150</v>
      </c>
      <c r="M3636" s="144"/>
    </row>
    <row r="3637" spans="1:13" ht="15" customHeight="1">
      <c r="A3637" s="146" t="s">
        <v>8594</v>
      </c>
      <c r="B3637" s="146">
        <v>518315</v>
      </c>
      <c r="C3637" s="147" t="s">
        <v>8595</v>
      </c>
      <c r="D3637" s="146" t="s">
        <v>6893</v>
      </c>
      <c r="E3637" s="147" t="s">
        <v>8592</v>
      </c>
      <c r="F3637" s="147" t="s">
        <v>8596</v>
      </c>
      <c r="G3637" s="146" t="s">
        <v>109</v>
      </c>
      <c r="H3637" s="146" t="s">
        <v>54</v>
      </c>
      <c r="I3637" s="147" t="s">
        <v>6895</v>
      </c>
      <c r="J3637" s="147" t="s">
        <v>104</v>
      </c>
      <c r="K3637" s="148" t="s">
        <v>121</v>
      </c>
      <c r="L3637" s="149">
        <v>46150</v>
      </c>
      <c r="M3637" s="148"/>
    </row>
    <row r="3638" spans="1:13" ht="15" customHeight="1">
      <c r="A3638" s="142" t="s">
        <v>8597</v>
      </c>
      <c r="B3638" s="142">
        <v>518222</v>
      </c>
      <c r="C3638" s="143" t="s">
        <v>6735</v>
      </c>
      <c r="D3638" s="142" t="s">
        <v>6893</v>
      </c>
      <c r="E3638" s="143" t="s">
        <v>8598</v>
      </c>
      <c r="F3638" s="143" t="s">
        <v>8599</v>
      </c>
      <c r="G3638" s="142" t="s">
        <v>6739</v>
      </c>
      <c r="H3638" s="142" t="s">
        <v>54</v>
      </c>
      <c r="I3638" s="143" t="s">
        <v>6895</v>
      </c>
      <c r="J3638" s="143" t="s">
        <v>6741</v>
      </c>
      <c r="K3638" s="144"/>
      <c r="L3638" s="145"/>
      <c r="M3638" s="144"/>
    </row>
    <row r="3639" spans="1:13" ht="15" customHeight="1">
      <c r="A3639" s="146" t="s">
        <v>8600</v>
      </c>
      <c r="B3639" s="146">
        <v>518224</v>
      </c>
      <c r="C3639" s="147" t="s">
        <v>6735</v>
      </c>
      <c r="D3639" s="146" t="s">
        <v>6893</v>
      </c>
      <c r="E3639" s="147" t="s">
        <v>8598</v>
      </c>
      <c r="F3639" s="147" t="s">
        <v>8599</v>
      </c>
      <c r="G3639" s="146" t="s">
        <v>6739</v>
      </c>
      <c r="H3639" s="146" t="s">
        <v>54</v>
      </c>
      <c r="I3639" s="147" t="s">
        <v>6895</v>
      </c>
      <c r="J3639" s="147" t="s">
        <v>6741</v>
      </c>
      <c r="K3639" s="148"/>
      <c r="L3639" s="149"/>
      <c r="M3639" s="148"/>
    </row>
    <row r="3640" spans="1:13" ht="15" customHeight="1">
      <c r="A3640" s="142" t="s">
        <v>8601</v>
      </c>
      <c r="B3640" s="142">
        <v>518225</v>
      </c>
      <c r="C3640" s="143" t="s">
        <v>6735</v>
      </c>
      <c r="D3640" s="142" t="s">
        <v>6893</v>
      </c>
      <c r="E3640" s="143" t="s">
        <v>8598</v>
      </c>
      <c r="F3640" s="143" t="s">
        <v>8599</v>
      </c>
      <c r="G3640" s="142" t="s">
        <v>6739</v>
      </c>
      <c r="H3640" s="142" t="s">
        <v>54</v>
      </c>
      <c r="I3640" s="143" t="s">
        <v>6895</v>
      </c>
      <c r="J3640" s="143" t="s">
        <v>6741</v>
      </c>
      <c r="K3640" s="144" t="s">
        <v>121</v>
      </c>
      <c r="L3640" s="145">
        <v>46150</v>
      </c>
      <c r="M3640" s="144"/>
    </row>
    <row r="3641" spans="1:13" ht="15" customHeight="1">
      <c r="A3641" s="146" t="s">
        <v>8602</v>
      </c>
      <c r="B3641" s="146">
        <v>518226</v>
      </c>
      <c r="C3641" s="147" t="s">
        <v>6735</v>
      </c>
      <c r="D3641" s="146" t="s">
        <v>6893</v>
      </c>
      <c r="E3641" s="147" t="s">
        <v>8598</v>
      </c>
      <c r="F3641" s="147" t="s">
        <v>8599</v>
      </c>
      <c r="G3641" s="146" t="s">
        <v>6739</v>
      </c>
      <c r="H3641" s="146" t="s">
        <v>54</v>
      </c>
      <c r="I3641" s="147" t="s">
        <v>6895</v>
      </c>
      <c r="J3641" s="147" t="s">
        <v>6741</v>
      </c>
      <c r="K3641" s="148"/>
      <c r="L3641" s="149"/>
      <c r="M3641" s="148"/>
    </row>
    <row r="3642" spans="1:13" ht="15" customHeight="1">
      <c r="A3642" s="142" t="s">
        <v>8603</v>
      </c>
      <c r="B3642" s="142">
        <v>518223</v>
      </c>
      <c r="C3642" s="143" t="s">
        <v>6735</v>
      </c>
      <c r="D3642" s="142" t="s">
        <v>6893</v>
      </c>
      <c r="E3642" s="143" t="s">
        <v>8598</v>
      </c>
      <c r="F3642" s="143" t="s">
        <v>8599</v>
      </c>
      <c r="G3642" s="142" t="s">
        <v>6739</v>
      </c>
      <c r="H3642" s="142" t="s">
        <v>54</v>
      </c>
      <c r="I3642" s="143" t="s">
        <v>6895</v>
      </c>
      <c r="J3642" s="143" t="s">
        <v>6741</v>
      </c>
      <c r="K3642" s="144"/>
      <c r="L3642" s="145"/>
      <c r="M3642" s="144"/>
    </row>
    <row r="3643" spans="1:13" ht="15" customHeight="1">
      <c r="A3643" s="146" t="s">
        <v>8604</v>
      </c>
      <c r="B3643" s="146">
        <v>518227</v>
      </c>
      <c r="C3643" s="147" t="s">
        <v>6735</v>
      </c>
      <c r="D3643" s="146" t="s">
        <v>6893</v>
      </c>
      <c r="E3643" s="147" t="s">
        <v>8598</v>
      </c>
      <c r="F3643" s="147" t="s">
        <v>8599</v>
      </c>
      <c r="G3643" s="146" t="s">
        <v>6739</v>
      </c>
      <c r="H3643" s="146" t="s">
        <v>54</v>
      </c>
      <c r="I3643" s="147" t="s">
        <v>6895</v>
      </c>
      <c r="J3643" s="147" t="s">
        <v>6741</v>
      </c>
      <c r="K3643" s="148"/>
      <c r="L3643" s="149"/>
      <c r="M3643" s="148"/>
    </row>
    <row r="3644" spans="1:13" ht="15" customHeight="1">
      <c r="A3644" s="142" t="s">
        <v>8605</v>
      </c>
      <c r="B3644" s="142">
        <v>518310</v>
      </c>
      <c r="C3644" s="143" t="s">
        <v>2344</v>
      </c>
      <c r="D3644" s="142" t="s">
        <v>6893</v>
      </c>
      <c r="E3644" s="143" t="s">
        <v>8606</v>
      </c>
      <c r="F3644" s="143" t="s">
        <v>8606</v>
      </c>
      <c r="G3644" s="142" t="s">
        <v>109</v>
      </c>
      <c r="H3644" s="142" t="s">
        <v>54</v>
      </c>
      <c r="I3644" s="143" t="s">
        <v>6895</v>
      </c>
      <c r="J3644" s="143" t="s">
        <v>104</v>
      </c>
      <c r="K3644" s="144"/>
      <c r="L3644" s="145"/>
      <c r="M3644" s="144"/>
    </row>
    <row r="3645" spans="1:13" ht="15" customHeight="1">
      <c r="A3645" s="146" t="s">
        <v>8607</v>
      </c>
      <c r="B3645" s="146">
        <v>518318</v>
      </c>
      <c r="C3645" s="147" t="s">
        <v>8608</v>
      </c>
      <c r="D3645" s="146" t="s">
        <v>6893</v>
      </c>
      <c r="E3645" s="147" t="s">
        <v>8609</v>
      </c>
      <c r="F3645" s="147" t="s">
        <v>8610</v>
      </c>
      <c r="G3645" s="146" t="s">
        <v>109</v>
      </c>
      <c r="H3645" s="146" t="s">
        <v>54</v>
      </c>
      <c r="I3645" s="147" t="s">
        <v>6895</v>
      </c>
      <c r="J3645" s="147" t="s">
        <v>104</v>
      </c>
      <c r="K3645" s="148"/>
      <c r="L3645" s="149"/>
      <c r="M3645" s="148"/>
    </row>
    <row r="3646" spans="1:13" ht="15" customHeight="1">
      <c r="A3646" s="142" t="s">
        <v>8611</v>
      </c>
      <c r="B3646" s="142">
        <v>518311</v>
      </c>
      <c r="C3646" s="143" t="s">
        <v>6735</v>
      </c>
      <c r="D3646" s="142" t="s">
        <v>6893</v>
      </c>
      <c r="E3646" s="143" t="s">
        <v>8609</v>
      </c>
      <c r="F3646" s="143" t="s">
        <v>8609</v>
      </c>
      <c r="G3646" s="142" t="s">
        <v>6739</v>
      </c>
      <c r="H3646" s="142" t="s">
        <v>54</v>
      </c>
      <c r="I3646" s="143" t="s">
        <v>6895</v>
      </c>
      <c r="J3646" s="143" t="s">
        <v>6741</v>
      </c>
      <c r="K3646" s="144" t="s">
        <v>121</v>
      </c>
      <c r="L3646" s="145">
        <v>46150</v>
      </c>
      <c r="M3646" s="144"/>
    </row>
    <row r="3647" spans="1:13" ht="15" customHeight="1">
      <c r="A3647" s="146" t="s">
        <v>8612</v>
      </c>
      <c r="B3647" s="146">
        <v>518213</v>
      </c>
      <c r="C3647" s="147" t="s">
        <v>6735</v>
      </c>
      <c r="D3647" s="146" t="s">
        <v>6893</v>
      </c>
      <c r="E3647" s="147" t="s">
        <v>8613</v>
      </c>
      <c r="F3647" s="147" t="s">
        <v>8613</v>
      </c>
      <c r="G3647" s="146" t="s">
        <v>6739</v>
      </c>
      <c r="H3647" s="146" t="s">
        <v>54</v>
      </c>
      <c r="I3647" s="147" t="s">
        <v>6895</v>
      </c>
      <c r="J3647" s="147" t="s">
        <v>6741</v>
      </c>
      <c r="K3647" s="148"/>
      <c r="L3647" s="149"/>
      <c r="M3647" s="148"/>
    </row>
    <row r="3648" spans="1:13" ht="15" customHeight="1">
      <c r="A3648" s="142" t="s">
        <v>8614</v>
      </c>
      <c r="B3648" s="142">
        <v>518262</v>
      </c>
      <c r="C3648" s="143" t="s">
        <v>3186</v>
      </c>
      <c r="D3648" s="142" t="s">
        <v>6893</v>
      </c>
      <c r="E3648" s="143" t="s">
        <v>3186</v>
      </c>
      <c r="F3648" s="143" t="s">
        <v>3186</v>
      </c>
      <c r="G3648" s="142" t="s">
        <v>109</v>
      </c>
      <c r="H3648" s="142" t="s">
        <v>54</v>
      </c>
      <c r="I3648" s="143" t="s">
        <v>6895</v>
      </c>
      <c r="J3648" s="143" t="s">
        <v>104</v>
      </c>
      <c r="K3648" s="144"/>
      <c r="L3648" s="145"/>
      <c r="M3648" s="144"/>
    </row>
    <row r="3649" spans="1:13" ht="15" customHeight="1">
      <c r="A3649" s="146" t="s">
        <v>8615</v>
      </c>
      <c r="B3649" s="146">
        <v>518263</v>
      </c>
      <c r="C3649" s="147" t="s">
        <v>8616</v>
      </c>
      <c r="D3649" s="146" t="s">
        <v>6893</v>
      </c>
      <c r="E3649" s="147" t="s">
        <v>3186</v>
      </c>
      <c r="F3649" s="147" t="s">
        <v>3186</v>
      </c>
      <c r="G3649" s="146" t="s">
        <v>109</v>
      </c>
      <c r="H3649" s="146" t="s">
        <v>54</v>
      </c>
      <c r="I3649" s="147" t="s">
        <v>6895</v>
      </c>
      <c r="J3649" s="147" t="s">
        <v>104</v>
      </c>
      <c r="K3649" s="148"/>
      <c r="L3649" s="149"/>
      <c r="M3649" s="148"/>
    </row>
    <row r="3650" spans="1:13" ht="15" customHeight="1">
      <c r="A3650" s="142" t="s">
        <v>8617</v>
      </c>
      <c r="B3650" s="142">
        <v>518282</v>
      </c>
      <c r="C3650" s="143" t="s">
        <v>2162</v>
      </c>
      <c r="D3650" s="142" t="s">
        <v>6893</v>
      </c>
      <c r="E3650" s="143" t="s">
        <v>8618</v>
      </c>
      <c r="F3650" s="143" t="s">
        <v>8618</v>
      </c>
      <c r="G3650" s="142" t="s">
        <v>109</v>
      </c>
      <c r="H3650" s="142" t="s">
        <v>54</v>
      </c>
      <c r="I3650" s="143" t="s">
        <v>6895</v>
      </c>
      <c r="J3650" s="143" t="s">
        <v>104</v>
      </c>
      <c r="K3650" s="144"/>
      <c r="L3650" s="145"/>
      <c r="M3650" s="144"/>
    </row>
    <row r="3651" spans="1:13" ht="15" customHeight="1">
      <c r="A3651" s="146" t="s">
        <v>8619</v>
      </c>
      <c r="B3651" s="146">
        <v>518325</v>
      </c>
      <c r="C3651" s="147" t="s">
        <v>8620</v>
      </c>
      <c r="D3651" s="146" t="s">
        <v>6893</v>
      </c>
      <c r="E3651" s="147" t="s">
        <v>8618</v>
      </c>
      <c r="F3651" s="147" t="s">
        <v>8621</v>
      </c>
      <c r="G3651" s="146" t="s">
        <v>109</v>
      </c>
      <c r="H3651" s="146" t="s">
        <v>54</v>
      </c>
      <c r="I3651" s="147" t="s">
        <v>6895</v>
      </c>
      <c r="J3651" s="147" t="s">
        <v>104</v>
      </c>
      <c r="K3651" s="148"/>
      <c r="L3651" s="149"/>
      <c r="M3651" s="148"/>
    </row>
    <row r="3652" spans="1:13" ht="15" customHeight="1">
      <c r="A3652" s="142" t="s">
        <v>8622</v>
      </c>
      <c r="B3652" s="142">
        <v>518327</v>
      </c>
      <c r="C3652" s="143" t="s">
        <v>2959</v>
      </c>
      <c r="D3652" s="142" t="s">
        <v>6893</v>
      </c>
      <c r="E3652" s="143" t="s">
        <v>8618</v>
      </c>
      <c r="F3652" s="143" t="s">
        <v>8621</v>
      </c>
      <c r="G3652" s="142" t="s">
        <v>109</v>
      </c>
      <c r="H3652" s="142" t="s">
        <v>54</v>
      </c>
      <c r="I3652" s="143" t="s">
        <v>6895</v>
      </c>
      <c r="J3652" s="143" t="s">
        <v>104</v>
      </c>
      <c r="K3652" s="144"/>
      <c r="L3652" s="145"/>
      <c r="M3652" s="144"/>
    </row>
    <row r="3653" spans="1:13" ht="15" customHeight="1">
      <c r="A3653" s="146" t="s">
        <v>8623</v>
      </c>
      <c r="B3653" s="146">
        <v>518326</v>
      </c>
      <c r="C3653" s="147" t="s">
        <v>6735</v>
      </c>
      <c r="D3653" s="146" t="s">
        <v>6893</v>
      </c>
      <c r="E3653" s="147" t="s">
        <v>8618</v>
      </c>
      <c r="F3653" s="147" t="s">
        <v>8621</v>
      </c>
      <c r="G3653" s="146" t="s">
        <v>6739</v>
      </c>
      <c r="H3653" s="146" t="s">
        <v>54</v>
      </c>
      <c r="I3653" s="147" t="s">
        <v>6895</v>
      </c>
      <c r="J3653" s="147" t="s">
        <v>6741</v>
      </c>
      <c r="K3653" s="148"/>
      <c r="L3653" s="149"/>
      <c r="M3653" s="148"/>
    </row>
    <row r="3654" spans="1:13" ht="15" customHeight="1">
      <c r="A3654" s="142" t="s">
        <v>8624</v>
      </c>
      <c r="B3654" s="142">
        <v>518345</v>
      </c>
      <c r="C3654" s="143" t="s">
        <v>8625</v>
      </c>
      <c r="D3654" s="142" t="s">
        <v>6893</v>
      </c>
      <c r="E3654" s="143" t="s">
        <v>8626</v>
      </c>
      <c r="F3654" s="143" t="s">
        <v>8627</v>
      </c>
      <c r="G3654" s="142" t="s">
        <v>109</v>
      </c>
      <c r="H3654" s="142" t="s">
        <v>54</v>
      </c>
      <c r="I3654" s="143" t="s">
        <v>6895</v>
      </c>
      <c r="J3654" s="143" t="s">
        <v>104</v>
      </c>
      <c r="K3654" s="144"/>
      <c r="L3654" s="145"/>
      <c r="M3654" s="144"/>
    </row>
    <row r="3655" spans="1:13" ht="15" customHeight="1">
      <c r="A3655" s="146" t="s">
        <v>8628</v>
      </c>
      <c r="B3655" s="146">
        <v>518312</v>
      </c>
      <c r="C3655" s="147" t="s">
        <v>8629</v>
      </c>
      <c r="D3655" s="146" t="s">
        <v>6893</v>
      </c>
      <c r="E3655" s="147" t="s">
        <v>8626</v>
      </c>
      <c r="F3655" s="147" t="s">
        <v>8626</v>
      </c>
      <c r="G3655" s="146" t="s">
        <v>109</v>
      </c>
      <c r="H3655" s="146" t="s">
        <v>54</v>
      </c>
      <c r="I3655" s="147" t="s">
        <v>6895</v>
      </c>
      <c r="J3655" s="147" t="s">
        <v>104</v>
      </c>
      <c r="K3655" s="148"/>
      <c r="L3655" s="149"/>
      <c r="M3655" s="148"/>
    </row>
    <row r="3656" spans="1:13" ht="15" customHeight="1">
      <c r="A3656" s="142" t="s">
        <v>8630</v>
      </c>
      <c r="B3656" s="142">
        <v>518313</v>
      </c>
      <c r="C3656" s="143" t="s">
        <v>2317</v>
      </c>
      <c r="D3656" s="142" t="s">
        <v>6893</v>
      </c>
      <c r="E3656" s="143" t="s">
        <v>8626</v>
      </c>
      <c r="F3656" s="143" t="s">
        <v>8626</v>
      </c>
      <c r="G3656" s="142" t="s">
        <v>109</v>
      </c>
      <c r="H3656" s="142" t="s">
        <v>54</v>
      </c>
      <c r="I3656" s="143" t="s">
        <v>6895</v>
      </c>
      <c r="J3656" s="143" t="s">
        <v>104</v>
      </c>
      <c r="K3656" s="144"/>
      <c r="L3656" s="145"/>
      <c r="M3656" s="144"/>
    </row>
    <row r="3657" spans="1:13" ht="15" customHeight="1">
      <c r="A3657" s="146" t="s">
        <v>8631</v>
      </c>
      <c r="B3657" s="146">
        <v>518323</v>
      </c>
      <c r="C3657" s="147" t="s">
        <v>3003</v>
      </c>
      <c r="D3657" s="146" t="s">
        <v>6893</v>
      </c>
      <c r="E3657" s="147" t="s">
        <v>8632</v>
      </c>
      <c r="F3657" s="147" t="s">
        <v>8633</v>
      </c>
      <c r="G3657" s="146" t="s">
        <v>109</v>
      </c>
      <c r="H3657" s="146" t="s">
        <v>54</v>
      </c>
      <c r="I3657" s="147" t="s">
        <v>6895</v>
      </c>
      <c r="J3657" s="147" t="s">
        <v>104</v>
      </c>
      <c r="K3657" s="148"/>
      <c r="L3657" s="149"/>
      <c r="M3657" s="148"/>
    </row>
    <row r="3658" spans="1:13" ht="15" customHeight="1">
      <c r="A3658" s="142" t="s">
        <v>8634</v>
      </c>
      <c r="B3658" s="142">
        <v>518324</v>
      </c>
      <c r="C3658" s="143" t="s">
        <v>6735</v>
      </c>
      <c r="D3658" s="142" t="s">
        <v>6893</v>
      </c>
      <c r="E3658" s="143" t="s">
        <v>8632</v>
      </c>
      <c r="F3658" s="143" t="s">
        <v>8633</v>
      </c>
      <c r="G3658" s="142" t="s">
        <v>6739</v>
      </c>
      <c r="H3658" s="142" t="s">
        <v>54</v>
      </c>
      <c r="I3658" s="143" t="s">
        <v>6895</v>
      </c>
      <c r="J3658" s="143" t="s">
        <v>6741</v>
      </c>
      <c r="K3658" s="144"/>
      <c r="L3658" s="145"/>
      <c r="M3658" s="144"/>
    </row>
    <row r="3659" spans="1:13" ht="15" customHeight="1">
      <c r="A3659" s="146" t="s">
        <v>8635</v>
      </c>
      <c r="B3659" s="146">
        <v>518319</v>
      </c>
      <c r="C3659" s="147" t="s">
        <v>2105</v>
      </c>
      <c r="D3659" s="146" t="s">
        <v>6893</v>
      </c>
      <c r="E3659" s="147" t="s">
        <v>8632</v>
      </c>
      <c r="F3659" s="147" t="s">
        <v>8636</v>
      </c>
      <c r="G3659" s="146" t="s">
        <v>109</v>
      </c>
      <c r="H3659" s="146" t="s">
        <v>54</v>
      </c>
      <c r="I3659" s="147" t="s">
        <v>6895</v>
      </c>
      <c r="J3659" s="147" t="s">
        <v>104</v>
      </c>
      <c r="K3659" s="148"/>
      <c r="L3659" s="149"/>
      <c r="M3659" s="148"/>
    </row>
    <row r="3660" spans="1:13" ht="15" customHeight="1">
      <c r="A3660" s="142" t="s">
        <v>8637</v>
      </c>
      <c r="B3660" s="142">
        <v>517931</v>
      </c>
      <c r="C3660" s="143" t="s">
        <v>6735</v>
      </c>
      <c r="D3660" s="142" t="s">
        <v>6458</v>
      </c>
      <c r="E3660" s="143" t="s">
        <v>5841</v>
      </c>
      <c r="F3660" s="143" t="s">
        <v>6577</v>
      </c>
      <c r="G3660" s="142" t="s">
        <v>6739</v>
      </c>
      <c r="H3660" s="142" t="s">
        <v>52</v>
      </c>
      <c r="I3660" s="143" t="s">
        <v>2927</v>
      </c>
      <c r="J3660" s="143" t="s">
        <v>6741</v>
      </c>
      <c r="K3660" s="144"/>
      <c r="L3660" s="145"/>
      <c r="M3660" s="144"/>
    </row>
    <row r="3661" spans="1:13" ht="15" customHeight="1">
      <c r="A3661" s="146" t="s">
        <v>8638</v>
      </c>
      <c r="B3661" s="146">
        <v>517819</v>
      </c>
      <c r="C3661" s="147" t="s">
        <v>6735</v>
      </c>
      <c r="D3661" s="146" t="s">
        <v>6458</v>
      </c>
      <c r="E3661" s="147" t="s">
        <v>6516</v>
      </c>
      <c r="F3661" s="147" t="s">
        <v>8639</v>
      </c>
      <c r="G3661" s="146" t="s">
        <v>6739</v>
      </c>
      <c r="H3661" s="146" t="s">
        <v>51</v>
      </c>
      <c r="I3661" s="147" t="s">
        <v>1539</v>
      </c>
      <c r="J3661" s="147" t="s">
        <v>6741</v>
      </c>
      <c r="K3661" s="148"/>
      <c r="L3661" s="149"/>
      <c r="M3661" s="148"/>
    </row>
    <row r="3662" spans="1:13" ht="15" customHeight="1">
      <c r="A3662" s="142" t="s">
        <v>8640</v>
      </c>
      <c r="B3662" s="142">
        <v>517730</v>
      </c>
      <c r="C3662" s="143" t="s">
        <v>6735</v>
      </c>
      <c r="D3662" s="142" t="s">
        <v>6458</v>
      </c>
      <c r="E3662" s="143" t="s">
        <v>6458</v>
      </c>
      <c r="F3662" s="143" t="s">
        <v>6458</v>
      </c>
      <c r="G3662" s="142" t="s">
        <v>6739</v>
      </c>
      <c r="H3662" s="142" t="s">
        <v>51</v>
      </c>
      <c r="I3662" s="143" t="s">
        <v>1539</v>
      </c>
      <c r="J3662" s="143" t="s">
        <v>6741</v>
      </c>
      <c r="K3662" s="144"/>
      <c r="L3662" s="145"/>
      <c r="M3662" s="144"/>
    </row>
    <row r="3663" spans="1:13" ht="15" customHeight="1">
      <c r="A3663" s="146" t="s">
        <v>8641</v>
      </c>
      <c r="B3663" s="146">
        <v>517959</v>
      </c>
      <c r="C3663" s="147" t="s">
        <v>6735</v>
      </c>
      <c r="D3663" s="146" t="s">
        <v>6458</v>
      </c>
      <c r="E3663" s="147" t="s">
        <v>6635</v>
      </c>
      <c r="F3663" s="147" t="s">
        <v>8642</v>
      </c>
      <c r="G3663" s="146" t="s">
        <v>6739</v>
      </c>
      <c r="H3663" s="146" t="s">
        <v>51</v>
      </c>
      <c r="I3663" s="147" t="s">
        <v>1539</v>
      </c>
      <c r="J3663" s="147" t="s">
        <v>6741</v>
      </c>
      <c r="K3663" s="148"/>
      <c r="L3663" s="149"/>
      <c r="M3663" s="148"/>
    </row>
    <row r="3664" spans="1:13" ht="15" customHeight="1">
      <c r="A3664" s="142" t="s">
        <v>8643</v>
      </c>
      <c r="B3664" s="142">
        <v>517944</v>
      </c>
      <c r="C3664" s="143" t="s">
        <v>6735</v>
      </c>
      <c r="D3664" s="142" t="s">
        <v>6458</v>
      </c>
      <c r="E3664" s="143" t="s">
        <v>6477</v>
      </c>
      <c r="F3664" s="143" t="s">
        <v>4755</v>
      </c>
      <c r="G3664" s="142" t="s">
        <v>6739</v>
      </c>
      <c r="H3664" s="142" t="s">
        <v>51</v>
      </c>
      <c r="I3664" s="143" t="s">
        <v>1539</v>
      </c>
      <c r="J3664" s="143" t="s">
        <v>6741</v>
      </c>
      <c r="K3664" s="144"/>
      <c r="L3664" s="145"/>
      <c r="M3664" s="144"/>
    </row>
    <row r="3665" spans="1:13" ht="15" customHeight="1">
      <c r="A3665" s="146" t="s">
        <v>8644</v>
      </c>
      <c r="B3665" s="146">
        <v>517956</v>
      </c>
      <c r="C3665" s="147" t="s">
        <v>6735</v>
      </c>
      <c r="D3665" s="146" t="s">
        <v>6458</v>
      </c>
      <c r="E3665" s="147" t="s">
        <v>438</v>
      </c>
      <c r="F3665" s="147" t="s">
        <v>8645</v>
      </c>
      <c r="G3665" s="146" t="s">
        <v>6739</v>
      </c>
      <c r="H3665" s="146" t="s">
        <v>51</v>
      </c>
      <c r="I3665" s="147" t="s">
        <v>1539</v>
      </c>
      <c r="J3665" s="147" t="s">
        <v>6741</v>
      </c>
      <c r="K3665" s="148"/>
      <c r="L3665" s="149"/>
      <c r="M3665" s="148"/>
    </row>
    <row r="3666" spans="1:13" ht="15" customHeight="1">
      <c r="A3666" s="142" t="s">
        <v>8646</v>
      </c>
      <c r="B3666" s="142">
        <v>517951</v>
      </c>
      <c r="C3666" s="143" t="s">
        <v>6735</v>
      </c>
      <c r="D3666" s="142" t="s">
        <v>6458</v>
      </c>
      <c r="E3666" s="143" t="s">
        <v>6474</v>
      </c>
      <c r="F3666" s="143" t="s">
        <v>6702</v>
      </c>
      <c r="G3666" s="142" t="s">
        <v>6739</v>
      </c>
      <c r="H3666" s="142" t="s">
        <v>51</v>
      </c>
      <c r="I3666" s="143" t="s">
        <v>1539</v>
      </c>
      <c r="J3666" s="143" t="s">
        <v>6741</v>
      </c>
      <c r="K3666" s="144"/>
      <c r="L3666" s="145"/>
      <c r="M3666" s="144"/>
    </row>
    <row r="3667" spans="1:13" ht="15" customHeight="1">
      <c r="A3667" s="146" t="s">
        <v>8647</v>
      </c>
      <c r="B3667" s="146">
        <v>517746</v>
      </c>
      <c r="C3667" s="147" t="s">
        <v>6735</v>
      </c>
      <c r="D3667" s="146" t="s">
        <v>6458</v>
      </c>
      <c r="E3667" s="147" t="s">
        <v>6458</v>
      </c>
      <c r="F3667" s="147" t="s">
        <v>6458</v>
      </c>
      <c r="G3667" s="146" t="s">
        <v>6739</v>
      </c>
      <c r="H3667" s="146" t="s">
        <v>51</v>
      </c>
      <c r="I3667" s="147" t="s">
        <v>1539</v>
      </c>
      <c r="J3667" s="147" t="s">
        <v>6741</v>
      </c>
      <c r="K3667" s="148" t="s">
        <v>121</v>
      </c>
      <c r="L3667" s="149">
        <v>46147</v>
      </c>
      <c r="M3667" s="148"/>
    </row>
    <row r="3668" spans="1:13" ht="15" customHeight="1">
      <c r="A3668" s="142" t="s">
        <v>8648</v>
      </c>
      <c r="B3668" s="142">
        <v>517732</v>
      </c>
      <c r="C3668" s="143" t="s">
        <v>6735</v>
      </c>
      <c r="D3668" s="142" t="s">
        <v>6458</v>
      </c>
      <c r="E3668" s="143" t="s">
        <v>6582</v>
      </c>
      <c r="F3668" s="143" t="s">
        <v>6582</v>
      </c>
      <c r="G3668" s="142" t="s">
        <v>6739</v>
      </c>
      <c r="H3668" s="142" t="s">
        <v>51</v>
      </c>
      <c r="I3668" s="143" t="s">
        <v>1539</v>
      </c>
      <c r="J3668" s="143" t="s">
        <v>6741</v>
      </c>
      <c r="K3668" s="144"/>
      <c r="L3668" s="145"/>
      <c r="M3668" s="144"/>
    </row>
    <row r="3669" spans="1:13" ht="15" customHeight="1">
      <c r="A3669" s="146" t="s">
        <v>8649</v>
      </c>
      <c r="B3669" s="146">
        <v>518359</v>
      </c>
      <c r="C3669" s="147" t="s">
        <v>6735</v>
      </c>
      <c r="D3669" s="146" t="s">
        <v>6458</v>
      </c>
      <c r="E3669" s="147" t="s">
        <v>6582</v>
      </c>
      <c r="F3669" s="147" t="s">
        <v>6582</v>
      </c>
      <c r="G3669" s="146" t="s">
        <v>6739</v>
      </c>
      <c r="H3669" s="146" t="s">
        <v>51</v>
      </c>
      <c r="I3669" s="147" t="s">
        <v>1539</v>
      </c>
      <c r="J3669" s="147" t="s">
        <v>6741</v>
      </c>
      <c r="K3669" s="148"/>
      <c r="L3669" s="149"/>
      <c r="M3669" s="148"/>
    </row>
    <row r="3670" spans="1:13" ht="15" customHeight="1">
      <c r="A3670" s="142" t="s">
        <v>8650</v>
      </c>
      <c r="B3670" s="142">
        <v>517749</v>
      </c>
      <c r="C3670" s="143" t="s">
        <v>6735</v>
      </c>
      <c r="D3670" s="142" t="s">
        <v>6458</v>
      </c>
      <c r="E3670" s="143" t="s">
        <v>6458</v>
      </c>
      <c r="F3670" s="143" t="s">
        <v>6458</v>
      </c>
      <c r="G3670" s="142" t="s">
        <v>6739</v>
      </c>
      <c r="H3670" s="142" t="s">
        <v>51</v>
      </c>
      <c r="I3670" s="143" t="s">
        <v>1539</v>
      </c>
      <c r="J3670" s="143" t="s">
        <v>6741</v>
      </c>
      <c r="K3670" s="144" t="s">
        <v>121</v>
      </c>
      <c r="L3670" s="145">
        <v>46151</v>
      </c>
      <c r="M3670" s="144"/>
    </row>
    <row r="3671" spans="1:13" ht="15" customHeight="1">
      <c r="A3671" s="146" t="s">
        <v>8651</v>
      </c>
      <c r="B3671" s="146">
        <v>517722</v>
      </c>
      <c r="C3671" s="147" t="s">
        <v>6735</v>
      </c>
      <c r="D3671" s="146" t="s">
        <v>6458</v>
      </c>
      <c r="E3671" s="147" t="s">
        <v>6458</v>
      </c>
      <c r="F3671" s="147" t="s">
        <v>6458</v>
      </c>
      <c r="G3671" s="146" t="s">
        <v>6739</v>
      </c>
      <c r="H3671" s="146" t="s">
        <v>51</v>
      </c>
      <c r="I3671" s="147" t="s">
        <v>1539</v>
      </c>
      <c r="J3671" s="147" t="s">
        <v>6741</v>
      </c>
      <c r="K3671" s="148" t="s">
        <v>121</v>
      </c>
      <c r="L3671" s="149">
        <v>46147</v>
      </c>
      <c r="M3671" s="148"/>
    </row>
    <row r="3672" spans="1:13" ht="15" customHeight="1">
      <c r="A3672" s="142" t="s">
        <v>8652</v>
      </c>
      <c r="B3672" s="142">
        <v>517925</v>
      </c>
      <c r="C3672" s="143" t="s">
        <v>6735</v>
      </c>
      <c r="D3672" s="142" t="s">
        <v>6458</v>
      </c>
      <c r="E3672" s="143" t="s">
        <v>6528</v>
      </c>
      <c r="F3672" s="143" t="s">
        <v>6528</v>
      </c>
      <c r="G3672" s="142" t="s">
        <v>6739</v>
      </c>
      <c r="H3672" s="142" t="s">
        <v>51</v>
      </c>
      <c r="I3672" s="143" t="s">
        <v>1539</v>
      </c>
      <c r="J3672" s="143" t="s">
        <v>6741</v>
      </c>
      <c r="K3672" s="144"/>
      <c r="L3672" s="145"/>
      <c r="M3672" s="144"/>
    </row>
    <row r="3673" spans="1:13" ht="15" customHeight="1">
      <c r="A3673" s="146" t="s">
        <v>8653</v>
      </c>
      <c r="B3673" s="146">
        <v>517751</v>
      </c>
      <c r="C3673" s="147" t="s">
        <v>6735</v>
      </c>
      <c r="D3673" s="146" t="s">
        <v>6458</v>
      </c>
      <c r="E3673" s="147" t="s">
        <v>6458</v>
      </c>
      <c r="F3673" s="147" t="s">
        <v>6458</v>
      </c>
      <c r="G3673" s="146" t="s">
        <v>6739</v>
      </c>
      <c r="H3673" s="146" t="s">
        <v>51</v>
      </c>
      <c r="I3673" s="147" t="s">
        <v>1539</v>
      </c>
      <c r="J3673" s="147" t="s">
        <v>6741</v>
      </c>
      <c r="K3673" s="148"/>
      <c r="L3673" s="149"/>
      <c r="M3673" s="148"/>
    </row>
    <row r="3674" spans="1:13" ht="15" customHeight="1">
      <c r="A3674" s="142" t="s">
        <v>8654</v>
      </c>
      <c r="B3674" s="142">
        <v>517731</v>
      </c>
      <c r="C3674" s="143" t="s">
        <v>6735</v>
      </c>
      <c r="D3674" s="142" t="s">
        <v>6458</v>
      </c>
      <c r="E3674" s="143" t="s">
        <v>6458</v>
      </c>
      <c r="F3674" s="143" t="s">
        <v>6458</v>
      </c>
      <c r="G3674" s="142" t="s">
        <v>6739</v>
      </c>
      <c r="H3674" s="142" t="s">
        <v>51</v>
      </c>
      <c r="I3674" s="143" t="s">
        <v>1539</v>
      </c>
      <c r="J3674" s="143" t="s">
        <v>6741</v>
      </c>
      <c r="K3674" s="144"/>
      <c r="L3674" s="145"/>
      <c r="M3674" s="144"/>
    </row>
    <row r="3675" spans="1:13" ht="15" customHeight="1">
      <c r="A3675" s="146" t="s">
        <v>8655</v>
      </c>
      <c r="B3675" s="146">
        <v>518242</v>
      </c>
      <c r="C3675" s="147" t="s">
        <v>8656</v>
      </c>
      <c r="D3675" s="146" t="s">
        <v>6893</v>
      </c>
      <c r="E3675" s="147" t="s">
        <v>8632</v>
      </c>
      <c r="F3675" s="147" t="s">
        <v>8657</v>
      </c>
      <c r="G3675" s="146" t="s">
        <v>109</v>
      </c>
      <c r="H3675" s="146" t="s">
        <v>54</v>
      </c>
      <c r="I3675" s="147" t="s">
        <v>6895</v>
      </c>
      <c r="J3675" s="147" t="s">
        <v>104</v>
      </c>
      <c r="K3675" s="148"/>
      <c r="L3675" s="149"/>
      <c r="M3675" s="148"/>
    </row>
    <row r="3676" spans="1:13" ht="15" customHeight="1">
      <c r="A3676" s="142" t="s">
        <v>8658</v>
      </c>
      <c r="B3676" s="142">
        <v>518344</v>
      </c>
      <c r="C3676" s="143" t="s">
        <v>6735</v>
      </c>
      <c r="D3676" s="142" t="s">
        <v>6893</v>
      </c>
      <c r="E3676" s="143" t="s">
        <v>8632</v>
      </c>
      <c r="F3676" s="143" t="s">
        <v>8659</v>
      </c>
      <c r="G3676" s="142" t="s">
        <v>6739</v>
      </c>
      <c r="H3676" s="142" t="s">
        <v>54</v>
      </c>
      <c r="I3676" s="143" t="s">
        <v>6895</v>
      </c>
      <c r="J3676" s="143" t="s">
        <v>6741</v>
      </c>
      <c r="K3676" s="144"/>
      <c r="L3676" s="145"/>
      <c r="M3676" s="144"/>
    </row>
    <row r="3677" spans="1:13" ht="15" customHeight="1">
      <c r="A3677" s="146" t="s">
        <v>8660</v>
      </c>
      <c r="B3677" s="146">
        <v>518232</v>
      </c>
      <c r="C3677" s="147" t="s">
        <v>6735</v>
      </c>
      <c r="D3677" s="146" t="s">
        <v>6893</v>
      </c>
      <c r="E3677" s="147" t="s">
        <v>8661</v>
      </c>
      <c r="F3677" s="147" t="s">
        <v>8661</v>
      </c>
      <c r="G3677" s="146" t="s">
        <v>6739</v>
      </c>
      <c r="H3677" s="146" t="s">
        <v>54</v>
      </c>
      <c r="I3677" s="147" t="s">
        <v>6895</v>
      </c>
      <c r="J3677" s="147" t="s">
        <v>6741</v>
      </c>
      <c r="K3677" s="148"/>
      <c r="L3677" s="149"/>
      <c r="M3677" s="148"/>
    </row>
    <row r="3678" spans="1:13" ht="15" customHeight="1">
      <c r="A3678" s="142" t="s">
        <v>8662</v>
      </c>
      <c r="B3678" s="142">
        <v>518264</v>
      </c>
      <c r="C3678" s="143" t="s">
        <v>8663</v>
      </c>
      <c r="D3678" s="142" t="s">
        <v>6893</v>
      </c>
      <c r="E3678" s="143" t="s">
        <v>8661</v>
      </c>
      <c r="F3678" s="143" t="s">
        <v>8664</v>
      </c>
      <c r="G3678" s="142" t="s">
        <v>109</v>
      </c>
      <c r="H3678" s="142" t="s">
        <v>54</v>
      </c>
      <c r="I3678" s="143" t="s">
        <v>6895</v>
      </c>
      <c r="J3678" s="143" t="s">
        <v>104</v>
      </c>
      <c r="K3678" s="144"/>
      <c r="L3678" s="145"/>
      <c r="M3678" s="144"/>
    </row>
    <row r="3679" spans="1:13" ht="15" customHeight="1">
      <c r="A3679" s="146" t="s">
        <v>8665</v>
      </c>
      <c r="B3679" s="146">
        <v>518198</v>
      </c>
      <c r="C3679" s="147" t="s">
        <v>6735</v>
      </c>
      <c r="D3679" s="146" t="s">
        <v>6893</v>
      </c>
      <c r="E3679" s="147" t="s">
        <v>8661</v>
      </c>
      <c r="F3679" s="147" t="s">
        <v>8666</v>
      </c>
      <c r="G3679" s="146" t="s">
        <v>6739</v>
      </c>
      <c r="H3679" s="146" t="s">
        <v>54</v>
      </c>
      <c r="I3679" s="147" t="s">
        <v>6895</v>
      </c>
      <c r="J3679" s="147" t="s">
        <v>6741</v>
      </c>
      <c r="K3679" s="148"/>
      <c r="L3679" s="149"/>
      <c r="M3679" s="148"/>
    </row>
    <row r="3680" spans="1:13" ht="15" customHeight="1">
      <c r="A3680" s="142" t="s">
        <v>8667</v>
      </c>
      <c r="B3680" s="142">
        <v>518231</v>
      </c>
      <c r="C3680" s="143" t="s">
        <v>1288</v>
      </c>
      <c r="D3680" s="142" t="s">
        <v>6893</v>
      </c>
      <c r="E3680" s="143" t="s">
        <v>8661</v>
      </c>
      <c r="F3680" s="143" t="s">
        <v>8668</v>
      </c>
      <c r="G3680" s="142" t="s">
        <v>109</v>
      </c>
      <c r="H3680" s="142" t="s">
        <v>54</v>
      </c>
      <c r="I3680" s="143" t="s">
        <v>6895</v>
      </c>
      <c r="J3680" s="143" t="s">
        <v>104</v>
      </c>
      <c r="K3680" s="144"/>
      <c r="L3680" s="145"/>
      <c r="M3680" s="144"/>
    </row>
    <row r="3681" spans="1:13" ht="15" customHeight="1">
      <c r="A3681" s="146" t="s">
        <v>8669</v>
      </c>
      <c r="B3681" s="146">
        <v>518265</v>
      </c>
      <c r="C3681" s="147" t="s">
        <v>6735</v>
      </c>
      <c r="D3681" s="146" t="s">
        <v>6893</v>
      </c>
      <c r="E3681" s="147" t="s">
        <v>8661</v>
      </c>
      <c r="F3681" s="147" t="s">
        <v>8670</v>
      </c>
      <c r="G3681" s="146" t="s">
        <v>6739</v>
      </c>
      <c r="H3681" s="146" t="s">
        <v>54</v>
      </c>
      <c r="I3681" s="147" t="s">
        <v>6895</v>
      </c>
      <c r="J3681" s="147" t="s">
        <v>6741</v>
      </c>
      <c r="K3681" s="148"/>
      <c r="L3681" s="149"/>
      <c r="M3681" s="148"/>
    </row>
    <row r="3682" spans="1:13" ht="15" customHeight="1">
      <c r="A3682" s="142" t="s">
        <v>8671</v>
      </c>
      <c r="B3682" s="142">
        <v>518295</v>
      </c>
      <c r="C3682" s="143" t="s">
        <v>2246</v>
      </c>
      <c r="D3682" s="142" t="s">
        <v>6893</v>
      </c>
      <c r="E3682" s="143" t="s">
        <v>1123</v>
      </c>
      <c r="F3682" s="143" t="s">
        <v>8672</v>
      </c>
      <c r="G3682" s="142" t="s">
        <v>109</v>
      </c>
      <c r="H3682" s="142" t="s">
        <v>54</v>
      </c>
      <c r="I3682" s="143" t="s">
        <v>6895</v>
      </c>
      <c r="J3682" s="143" t="s">
        <v>104</v>
      </c>
      <c r="K3682" s="144"/>
      <c r="L3682" s="145"/>
      <c r="M3682" s="144"/>
    </row>
    <row r="3683" spans="1:13" ht="15" customHeight="1">
      <c r="A3683" s="146" t="s">
        <v>8673</v>
      </c>
      <c r="B3683" s="146">
        <v>518245</v>
      </c>
      <c r="C3683" s="147" t="s">
        <v>6735</v>
      </c>
      <c r="D3683" s="146" t="s">
        <v>6893</v>
      </c>
      <c r="E3683" s="147" t="s">
        <v>8674</v>
      </c>
      <c r="F3683" s="147" t="s">
        <v>8675</v>
      </c>
      <c r="G3683" s="146" t="s">
        <v>6739</v>
      </c>
      <c r="H3683" s="146" t="s">
        <v>54</v>
      </c>
      <c r="I3683" s="147" t="s">
        <v>6895</v>
      </c>
      <c r="J3683" s="147" t="s">
        <v>6741</v>
      </c>
      <c r="K3683" s="148"/>
      <c r="L3683" s="149"/>
      <c r="M3683" s="148"/>
    </row>
    <row r="3684" spans="1:13" ht="15" customHeight="1">
      <c r="A3684" s="142" t="s">
        <v>8676</v>
      </c>
      <c r="B3684" s="142">
        <v>518526</v>
      </c>
      <c r="C3684" s="143" t="s">
        <v>3103</v>
      </c>
      <c r="D3684" s="142" t="s">
        <v>6893</v>
      </c>
      <c r="E3684" s="143" t="s">
        <v>8674</v>
      </c>
      <c r="F3684" s="143" t="s">
        <v>8677</v>
      </c>
      <c r="G3684" s="142" t="s">
        <v>109</v>
      </c>
      <c r="H3684" s="142" t="s">
        <v>54</v>
      </c>
      <c r="I3684" s="143" t="s">
        <v>6895</v>
      </c>
      <c r="J3684" s="143" t="s">
        <v>104</v>
      </c>
      <c r="K3684" s="144"/>
      <c r="L3684" s="145"/>
      <c r="M3684" s="144"/>
    </row>
    <row r="3685" spans="1:13" ht="15" customHeight="1">
      <c r="A3685" s="146" t="s">
        <v>8678</v>
      </c>
      <c r="B3685" s="146">
        <v>518181</v>
      </c>
      <c r="C3685" s="147" t="s">
        <v>6735</v>
      </c>
      <c r="D3685" s="146" t="s">
        <v>6893</v>
      </c>
      <c r="E3685" s="147" t="s">
        <v>8674</v>
      </c>
      <c r="F3685" s="147" t="s">
        <v>8679</v>
      </c>
      <c r="G3685" s="146" t="s">
        <v>6739</v>
      </c>
      <c r="H3685" s="146" t="s">
        <v>54</v>
      </c>
      <c r="I3685" s="147" t="s">
        <v>6895</v>
      </c>
      <c r="J3685" s="147" t="s">
        <v>6741</v>
      </c>
      <c r="K3685" s="148" t="s">
        <v>121</v>
      </c>
      <c r="L3685" s="149">
        <v>46146</v>
      </c>
      <c r="M3685" s="148" t="s">
        <v>8680</v>
      </c>
    </row>
    <row r="3686" spans="1:13" ht="15" customHeight="1">
      <c r="A3686" s="142" t="s">
        <v>8681</v>
      </c>
      <c r="B3686" s="142">
        <v>518187</v>
      </c>
      <c r="C3686" s="143" t="s">
        <v>6735</v>
      </c>
      <c r="D3686" s="142" t="s">
        <v>6893</v>
      </c>
      <c r="E3686" s="143" t="s">
        <v>8674</v>
      </c>
      <c r="F3686" s="143" t="s">
        <v>8679</v>
      </c>
      <c r="G3686" s="142" t="s">
        <v>6739</v>
      </c>
      <c r="H3686" s="142" t="s">
        <v>54</v>
      </c>
      <c r="I3686" s="143" t="s">
        <v>6895</v>
      </c>
      <c r="J3686" s="143" t="s">
        <v>6741</v>
      </c>
      <c r="K3686" s="144" t="s">
        <v>121</v>
      </c>
      <c r="L3686" s="145">
        <v>46150</v>
      </c>
      <c r="M3686" s="144"/>
    </row>
    <row r="3687" spans="1:13" ht="15" customHeight="1">
      <c r="A3687" s="146" t="s">
        <v>8682</v>
      </c>
      <c r="B3687" s="146">
        <v>518182</v>
      </c>
      <c r="C3687" s="147" t="s">
        <v>6735</v>
      </c>
      <c r="D3687" s="146" t="s">
        <v>6893</v>
      </c>
      <c r="E3687" s="147" t="s">
        <v>8674</v>
      </c>
      <c r="F3687" s="147" t="s">
        <v>8679</v>
      </c>
      <c r="G3687" s="146" t="s">
        <v>6739</v>
      </c>
      <c r="H3687" s="146" t="s">
        <v>54</v>
      </c>
      <c r="I3687" s="147" t="s">
        <v>6895</v>
      </c>
      <c r="J3687" s="147" t="s">
        <v>6741</v>
      </c>
      <c r="K3687" s="148"/>
      <c r="L3687" s="149"/>
      <c r="M3687" s="148"/>
    </row>
    <row r="3688" spans="1:13" ht="15" customHeight="1">
      <c r="A3688" s="142" t="s">
        <v>8683</v>
      </c>
      <c r="B3688" s="142">
        <v>518504</v>
      </c>
      <c r="C3688" s="143" t="s">
        <v>6735</v>
      </c>
      <c r="D3688" s="142" t="s">
        <v>6893</v>
      </c>
      <c r="E3688" s="143" t="s">
        <v>8674</v>
      </c>
      <c r="F3688" s="143" t="s">
        <v>8679</v>
      </c>
      <c r="G3688" s="142" t="s">
        <v>6739</v>
      </c>
      <c r="H3688" s="142" t="s">
        <v>54</v>
      </c>
      <c r="I3688" s="143" t="s">
        <v>6895</v>
      </c>
      <c r="J3688" s="143" t="s">
        <v>6741</v>
      </c>
      <c r="K3688" s="144"/>
      <c r="L3688" s="145"/>
      <c r="M3688" s="144"/>
    </row>
    <row r="3689" spans="1:13" ht="15" customHeight="1">
      <c r="A3689" s="146" t="s">
        <v>8684</v>
      </c>
      <c r="B3689" s="146">
        <v>518505</v>
      </c>
      <c r="C3689" s="147" t="s">
        <v>6735</v>
      </c>
      <c r="D3689" s="146" t="s">
        <v>6893</v>
      </c>
      <c r="E3689" s="147" t="s">
        <v>8674</v>
      </c>
      <c r="F3689" s="147" t="s">
        <v>8679</v>
      </c>
      <c r="G3689" s="146" t="s">
        <v>6739</v>
      </c>
      <c r="H3689" s="146" t="s">
        <v>54</v>
      </c>
      <c r="I3689" s="147" t="s">
        <v>6895</v>
      </c>
      <c r="J3689" s="147" t="s">
        <v>6741</v>
      </c>
      <c r="K3689" s="148"/>
      <c r="L3689" s="149"/>
      <c r="M3689" s="148"/>
    </row>
    <row r="3690" spans="1:13" ht="15" customHeight="1">
      <c r="A3690" s="142" t="s">
        <v>8685</v>
      </c>
      <c r="B3690" s="142">
        <v>518175</v>
      </c>
      <c r="C3690" s="143" t="s">
        <v>6735</v>
      </c>
      <c r="D3690" s="142" t="s">
        <v>6893</v>
      </c>
      <c r="E3690" s="143" t="s">
        <v>8674</v>
      </c>
      <c r="F3690" s="143" t="s">
        <v>8679</v>
      </c>
      <c r="G3690" s="142" t="s">
        <v>6739</v>
      </c>
      <c r="H3690" s="142" t="s">
        <v>54</v>
      </c>
      <c r="I3690" s="143" t="s">
        <v>6895</v>
      </c>
      <c r="J3690" s="143" t="s">
        <v>6741</v>
      </c>
      <c r="K3690" s="144" t="s">
        <v>121</v>
      </c>
      <c r="L3690" s="145">
        <v>46147</v>
      </c>
      <c r="M3690" s="181" t="s">
        <v>8686</v>
      </c>
    </row>
    <row r="3691" spans="1:13" ht="15" customHeight="1">
      <c r="A3691" s="146" t="s">
        <v>8687</v>
      </c>
      <c r="B3691" s="146">
        <v>518260</v>
      </c>
      <c r="C3691" s="147" t="s">
        <v>6735</v>
      </c>
      <c r="D3691" s="146" t="s">
        <v>6893</v>
      </c>
      <c r="E3691" s="147" t="s">
        <v>8674</v>
      </c>
      <c r="F3691" s="147" t="s">
        <v>8679</v>
      </c>
      <c r="G3691" s="146" t="s">
        <v>6739</v>
      </c>
      <c r="H3691" s="146" t="s">
        <v>54</v>
      </c>
      <c r="I3691" s="147" t="s">
        <v>6895</v>
      </c>
      <c r="J3691" s="147" t="s">
        <v>6741</v>
      </c>
      <c r="K3691" s="148" t="s">
        <v>121</v>
      </c>
      <c r="L3691" s="149">
        <v>46149</v>
      </c>
      <c r="M3691" s="148"/>
    </row>
    <row r="3692" spans="1:13" ht="15" customHeight="1">
      <c r="A3692" s="142" t="s">
        <v>8688</v>
      </c>
      <c r="B3692" s="142">
        <v>518506</v>
      </c>
      <c r="C3692" s="143" t="s">
        <v>6735</v>
      </c>
      <c r="D3692" s="142" t="s">
        <v>6893</v>
      </c>
      <c r="E3692" s="143" t="s">
        <v>8674</v>
      </c>
      <c r="F3692" s="143" t="s">
        <v>8679</v>
      </c>
      <c r="G3692" s="142" t="s">
        <v>6739</v>
      </c>
      <c r="H3692" s="142" t="s">
        <v>54</v>
      </c>
      <c r="I3692" s="143" t="s">
        <v>6895</v>
      </c>
      <c r="J3692" s="143" t="s">
        <v>6741</v>
      </c>
      <c r="K3692" s="144"/>
      <c r="L3692" s="145"/>
      <c r="M3692" s="144"/>
    </row>
    <row r="3693" spans="1:13" ht="15" customHeight="1">
      <c r="A3693" s="146" t="s">
        <v>8689</v>
      </c>
      <c r="B3693" s="146">
        <v>518176</v>
      </c>
      <c r="C3693" s="147" t="s">
        <v>6735</v>
      </c>
      <c r="D3693" s="146" t="s">
        <v>6893</v>
      </c>
      <c r="E3693" s="147" t="s">
        <v>8674</v>
      </c>
      <c r="F3693" s="147" t="s">
        <v>8679</v>
      </c>
      <c r="G3693" s="146" t="s">
        <v>6739</v>
      </c>
      <c r="H3693" s="146" t="s">
        <v>54</v>
      </c>
      <c r="I3693" s="147" t="s">
        <v>6895</v>
      </c>
      <c r="J3693" s="147" t="s">
        <v>6741</v>
      </c>
      <c r="K3693" s="148"/>
      <c r="L3693" s="149"/>
      <c r="M3693" s="148"/>
    </row>
    <row r="3694" spans="1:13" ht="15" customHeight="1">
      <c r="A3694" s="142" t="s">
        <v>8690</v>
      </c>
      <c r="B3694" s="142">
        <v>518177</v>
      </c>
      <c r="C3694" s="143" t="s">
        <v>6735</v>
      </c>
      <c r="D3694" s="142" t="s">
        <v>6893</v>
      </c>
      <c r="E3694" s="143" t="s">
        <v>8674</v>
      </c>
      <c r="F3694" s="143" t="s">
        <v>8679</v>
      </c>
      <c r="G3694" s="142" t="s">
        <v>6739</v>
      </c>
      <c r="H3694" s="142" t="s">
        <v>54</v>
      </c>
      <c r="I3694" s="143" t="s">
        <v>6895</v>
      </c>
      <c r="J3694" s="143" t="s">
        <v>6741</v>
      </c>
      <c r="K3694" s="144" t="s">
        <v>121</v>
      </c>
      <c r="L3694" s="145">
        <v>46147</v>
      </c>
      <c r="M3694" s="144"/>
    </row>
    <row r="3695" spans="1:13" ht="15" customHeight="1">
      <c r="A3695" s="146" t="s">
        <v>8691</v>
      </c>
      <c r="B3695" s="146">
        <v>518114</v>
      </c>
      <c r="C3695" s="147" t="s">
        <v>6735</v>
      </c>
      <c r="D3695" s="146" t="s">
        <v>6893</v>
      </c>
      <c r="E3695" s="147" t="s">
        <v>8674</v>
      </c>
      <c r="F3695" s="147" t="s">
        <v>8692</v>
      </c>
      <c r="G3695" s="146" t="s">
        <v>6739</v>
      </c>
      <c r="H3695" s="146" t="s">
        <v>54</v>
      </c>
      <c r="I3695" s="147" t="s">
        <v>6895</v>
      </c>
      <c r="J3695" s="147" t="s">
        <v>6741</v>
      </c>
      <c r="K3695" s="148"/>
      <c r="L3695" s="149"/>
      <c r="M3695" s="148"/>
    </row>
    <row r="3696" spans="1:13" ht="15" customHeight="1">
      <c r="A3696" s="142" t="s">
        <v>8693</v>
      </c>
      <c r="B3696" s="142">
        <v>518256</v>
      </c>
      <c r="C3696" s="143" t="s">
        <v>8694</v>
      </c>
      <c r="D3696" s="142" t="s">
        <v>6893</v>
      </c>
      <c r="E3696" s="143" t="s">
        <v>8674</v>
      </c>
      <c r="F3696" s="143" t="s">
        <v>8695</v>
      </c>
      <c r="G3696" s="142" t="s">
        <v>109</v>
      </c>
      <c r="H3696" s="142" t="s">
        <v>54</v>
      </c>
      <c r="I3696" s="143" t="s">
        <v>6895</v>
      </c>
      <c r="J3696" s="143" t="s">
        <v>104</v>
      </c>
      <c r="K3696" s="144" t="s">
        <v>121</v>
      </c>
      <c r="L3696" s="145">
        <v>46148</v>
      </c>
      <c r="M3696" s="144"/>
    </row>
    <row r="3697" spans="1:13" ht="15" customHeight="1">
      <c r="A3697" s="146" t="s">
        <v>8696</v>
      </c>
      <c r="B3697" s="146">
        <v>518258</v>
      </c>
      <c r="C3697" s="147" t="s">
        <v>8697</v>
      </c>
      <c r="D3697" s="146" t="s">
        <v>6893</v>
      </c>
      <c r="E3697" s="147" t="s">
        <v>8674</v>
      </c>
      <c r="F3697" s="147" t="s">
        <v>8698</v>
      </c>
      <c r="G3697" s="146" t="s">
        <v>109</v>
      </c>
      <c r="H3697" s="146" t="s">
        <v>54</v>
      </c>
      <c r="I3697" s="147" t="s">
        <v>6895</v>
      </c>
      <c r="J3697" s="147" t="s">
        <v>104</v>
      </c>
      <c r="K3697" s="148"/>
      <c r="L3697" s="149"/>
      <c r="M3697" s="148"/>
    </row>
    <row r="3698" spans="1:13" ht="15" customHeight="1">
      <c r="A3698" s="142" t="s">
        <v>8699</v>
      </c>
      <c r="B3698" s="142">
        <v>518178</v>
      </c>
      <c r="C3698" s="143" t="s">
        <v>214</v>
      </c>
      <c r="D3698" s="142" t="s">
        <v>6893</v>
      </c>
      <c r="E3698" s="143" t="s">
        <v>8674</v>
      </c>
      <c r="F3698" s="143" t="s">
        <v>8700</v>
      </c>
      <c r="G3698" s="142" t="s">
        <v>109</v>
      </c>
      <c r="H3698" s="142" t="s">
        <v>54</v>
      </c>
      <c r="I3698" s="143" t="s">
        <v>6895</v>
      </c>
      <c r="J3698" s="143" t="s">
        <v>104</v>
      </c>
      <c r="K3698" s="144"/>
      <c r="L3698" s="145"/>
      <c r="M3698" s="144"/>
    </row>
    <row r="3699" spans="1:13" ht="15" customHeight="1">
      <c r="A3699" s="146" t="s">
        <v>8701</v>
      </c>
      <c r="B3699" s="146">
        <v>518524</v>
      </c>
      <c r="C3699" s="147" t="s">
        <v>8702</v>
      </c>
      <c r="D3699" s="146" t="s">
        <v>6893</v>
      </c>
      <c r="E3699" s="147" t="s">
        <v>8674</v>
      </c>
      <c r="F3699" s="147" t="s">
        <v>286</v>
      </c>
      <c r="G3699" s="146" t="s">
        <v>109</v>
      </c>
      <c r="H3699" s="146" t="s">
        <v>54</v>
      </c>
      <c r="I3699" s="147" t="s">
        <v>6895</v>
      </c>
      <c r="J3699" s="147" t="s">
        <v>104</v>
      </c>
      <c r="K3699" s="148"/>
      <c r="L3699" s="149"/>
      <c r="M3699" s="148"/>
    </row>
    <row r="3700" spans="1:13" ht="15" customHeight="1">
      <c r="A3700" s="142" t="s">
        <v>8703</v>
      </c>
      <c r="B3700" s="142">
        <v>518525</v>
      </c>
      <c r="C3700" s="143" t="s">
        <v>8704</v>
      </c>
      <c r="D3700" s="142" t="s">
        <v>6893</v>
      </c>
      <c r="E3700" s="143" t="s">
        <v>8674</v>
      </c>
      <c r="F3700" s="143" t="s">
        <v>286</v>
      </c>
      <c r="G3700" s="142" t="s">
        <v>109</v>
      </c>
      <c r="H3700" s="142" t="s">
        <v>54</v>
      </c>
      <c r="I3700" s="143" t="s">
        <v>6895</v>
      </c>
      <c r="J3700" s="143" t="s">
        <v>104</v>
      </c>
      <c r="K3700" s="144"/>
      <c r="L3700" s="145"/>
      <c r="M3700" s="144"/>
    </row>
    <row r="3701" spans="1:13" ht="15" customHeight="1">
      <c r="A3701" s="146" t="s">
        <v>8705</v>
      </c>
      <c r="B3701" s="146">
        <v>518179</v>
      </c>
      <c r="C3701" s="147" t="s">
        <v>2398</v>
      </c>
      <c r="D3701" s="146" t="s">
        <v>6893</v>
      </c>
      <c r="E3701" s="147" t="s">
        <v>8674</v>
      </c>
      <c r="F3701" s="147" t="s">
        <v>1067</v>
      </c>
      <c r="G3701" s="146" t="s">
        <v>109</v>
      </c>
      <c r="H3701" s="146" t="s">
        <v>54</v>
      </c>
      <c r="I3701" s="147" t="s">
        <v>6895</v>
      </c>
      <c r="J3701" s="147" t="s">
        <v>104</v>
      </c>
      <c r="K3701" s="148"/>
      <c r="L3701" s="149"/>
      <c r="M3701" s="148"/>
    </row>
    <row r="3702" spans="1:13" ht="15" customHeight="1">
      <c r="A3702" s="142" t="s">
        <v>8706</v>
      </c>
      <c r="B3702" s="142">
        <v>518233</v>
      </c>
      <c r="C3702" s="143" t="s">
        <v>8707</v>
      </c>
      <c r="D3702" s="142" t="s">
        <v>6893</v>
      </c>
      <c r="E3702" s="143" t="s">
        <v>8674</v>
      </c>
      <c r="F3702" s="143" t="s">
        <v>8708</v>
      </c>
      <c r="G3702" s="142" t="s">
        <v>109</v>
      </c>
      <c r="H3702" s="142" t="s">
        <v>54</v>
      </c>
      <c r="I3702" s="143" t="s">
        <v>6895</v>
      </c>
      <c r="J3702" s="143" t="s">
        <v>104</v>
      </c>
      <c r="K3702" s="144"/>
      <c r="L3702" s="145"/>
      <c r="M3702" s="144"/>
    </row>
    <row r="3703" spans="1:13" ht="15" customHeight="1">
      <c r="A3703" s="146" t="s">
        <v>8709</v>
      </c>
      <c r="B3703" s="146">
        <v>518243</v>
      </c>
      <c r="C3703" s="147" t="s">
        <v>8710</v>
      </c>
      <c r="D3703" s="146" t="s">
        <v>6893</v>
      </c>
      <c r="E3703" s="147" t="s">
        <v>8674</v>
      </c>
      <c r="F3703" s="147" t="s">
        <v>8711</v>
      </c>
      <c r="G3703" s="146" t="s">
        <v>109</v>
      </c>
      <c r="H3703" s="146" t="s">
        <v>54</v>
      </c>
      <c r="I3703" s="147" t="s">
        <v>6895</v>
      </c>
      <c r="J3703" s="147" t="s">
        <v>104</v>
      </c>
      <c r="K3703" s="148"/>
      <c r="L3703" s="149"/>
      <c r="M3703" s="148"/>
    </row>
    <row r="3704" spans="1:13" ht="15" customHeight="1">
      <c r="A3704" s="142" t="s">
        <v>8712</v>
      </c>
      <c r="B3704" s="142">
        <v>518193</v>
      </c>
      <c r="C3704" s="143" t="s">
        <v>6735</v>
      </c>
      <c r="D3704" s="142" t="s">
        <v>6893</v>
      </c>
      <c r="E3704" s="143" t="s">
        <v>8674</v>
      </c>
      <c r="F3704" s="143" t="s">
        <v>8713</v>
      </c>
      <c r="G3704" s="142" t="s">
        <v>6739</v>
      </c>
      <c r="H3704" s="142" t="s">
        <v>54</v>
      </c>
      <c r="I3704" s="143" t="s">
        <v>6895</v>
      </c>
      <c r="J3704" s="143" t="s">
        <v>6741</v>
      </c>
      <c r="K3704" s="144" t="s">
        <v>121</v>
      </c>
      <c r="L3704" s="145">
        <v>46146</v>
      </c>
      <c r="M3704" s="144" t="s">
        <v>8714</v>
      </c>
    </row>
    <row r="3705" spans="1:13" ht="15" customHeight="1">
      <c r="A3705" s="146" t="s">
        <v>8715</v>
      </c>
      <c r="B3705" s="146">
        <v>518266</v>
      </c>
      <c r="C3705" s="147" t="s">
        <v>8716</v>
      </c>
      <c r="D3705" s="146" t="s">
        <v>6893</v>
      </c>
      <c r="E3705" s="147" t="s">
        <v>8674</v>
      </c>
      <c r="F3705" s="147" t="s">
        <v>8716</v>
      </c>
      <c r="G3705" s="146" t="s">
        <v>109</v>
      </c>
      <c r="H3705" s="146" t="s">
        <v>54</v>
      </c>
      <c r="I3705" s="147" t="s">
        <v>6895</v>
      </c>
      <c r="J3705" s="147" t="s">
        <v>104</v>
      </c>
      <c r="K3705" s="148" t="s">
        <v>121</v>
      </c>
      <c r="L3705" s="149">
        <v>46150</v>
      </c>
      <c r="M3705" s="148"/>
    </row>
    <row r="3706" spans="1:13" ht="15" customHeight="1">
      <c r="A3706" s="142" t="s">
        <v>8717</v>
      </c>
      <c r="B3706" s="142">
        <v>518267</v>
      </c>
      <c r="C3706" s="143" t="s">
        <v>247</v>
      </c>
      <c r="D3706" s="142" t="s">
        <v>6893</v>
      </c>
      <c r="E3706" s="143" t="s">
        <v>8674</v>
      </c>
      <c r="F3706" s="143" t="s">
        <v>8716</v>
      </c>
      <c r="G3706" s="142" t="s">
        <v>109</v>
      </c>
      <c r="H3706" s="142" t="s">
        <v>54</v>
      </c>
      <c r="I3706" s="143" t="s">
        <v>6895</v>
      </c>
      <c r="J3706" s="143" t="s">
        <v>104</v>
      </c>
      <c r="K3706" s="144" t="s">
        <v>121</v>
      </c>
      <c r="L3706" s="145">
        <v>46149</v>
      </c>
      <c r="M3706" s="144"/>
    </row>
    <row r="3707" spans="1:13" ht="15" customHeight="1">
      <c r="A3707" s="146" t="s">
        <v>8718</v>
      </c>
      <c r="B3707" s="146">
        <v>518197</v>
      </c>
      <c r="C3707" s="147" t="s">
        <v>6735</v>
      </c>
      <c r="D3707" s="146" t="s">
        <v>6893</v>
      </c>
      <c r="E3707" s="147" t="s">
        <v>8674</v>
      </c>
      <c r="F3707" s="147" t="s">
        <v>8719</v>
      </c>
      <c r="G3707" s="146" t="s">
        <v>6739</v>
      </c>
      <c r="H3707" s="146" t="s">
        <v>54</v>
      </c>
      <c r="I3707" s="147" t="s">
        <v>6895</v>
      </c>
      <c r="J3707" s="147" t="s">
        <v>6741</v>
      </c>
      <c r="K3707" s="148"/>
      <c r="L3707" s="149"/>
      <c r="M3707" s="148"/>
    </row>
    <row r="3708" spans="1:13" ht="15" customHeight="1">
      <c r="A3708" s="142" t="s">
        <v>8720</v>
      </c>
      <c r="B3708" s="142">
        <v>518257</v>
      </c>
      <c r="C3708" s="143" t="s">
        <v>2155</v>
      </c>
      <c r="D3708" s="142" t="s">
        <v>6893</v>
      </c>
      <c r="E3708" s="143" t="s">
        <v>8674</v>
      </c>
      <c r="F3708" s="143" t="s">
        <v>8721</v>
      </c>
      <c r="G3708" s="142" t="s">
        <v>109</v>
      </c>
      <c r="H3708" s="142" t="s">
        <v>54</v>
      </c>
      <c r="I3708" s="143" t="s">
        <v>6895</v>
      </c>
      <c r="J3708" s="143" t="s">
        <v>104</v>
      </c>
      <c r="K3708" s="144" t="s">
        <v>121</v>
      </c>
      <c r="L3708" s="145">
        <v>46148</v>
      </c>
      <c r="M3708" s="144" t="s">
        <v>8722</v>
      </c>
    </row>
    <row r="3709" spans="1:13" ht="15" customHeight="1">
      <c r="A3709" s="146" t="s">
        <v>8723</v>
      </c>
      <c r="B3709" s="146">
        <v>518269</v>
      </c>
      <c r="C3709" s="147" t="s">
        <v>8724</v>
      </c>
      <c r="D3709" s="146" t="s">
        <v>6893</v>
      </c>
      <c r="E3709" s="147" t="s">
        <v>8674</v>
      </c>
      <c r="F3709" s="147" t="s">
        <v>8725</v>
      </c>
      <c r="G3709" s="146" t="s">
        <v>109</v>
      </c>
      <c r="H3709" s="146" t="s">
        <v>54</v>
      </c>
      <c r="I3709" s="147" t="s">
        <v>6895</v>
      </c>
      <c r="J3709" s="147" t="s">
        <v>104</v>
      </c>
      <c r="K3709" s="148" t="s">
        <v>121</v>
      </c>
      <c r="L3709" s="149">
        <v>46149</v>
      </c>
      <c r="M3709" s="148"/>
    </row>
    <row r="3710" spans="1:13" ht="15" customHeight="1">
      <c r="A3710" s="142" t="s">
        <v>8726</v>
      </c>
      <c r="B3710" s="142">
        <v>518268</v>
      </c>
      <c r="C3710" s="143" t="s">
        <v>6735</v>
      </c>
      <c r="D3710" s="142" t="s">
        <v>6893</v>
      </c>
      <c r="E3710" s="143" t="s">
        <v>8674</v>
      </c>
      <c r="F3710" s="143" t="s">
        <v>8725</v>
      </c>
      <c r="G3710" s="142" t="s">
        <v>6739</v>
      </c>
      <c r="H3710" s="142" t="s">
        <v>54</v>
      </c>
      <c r="I3710" s="143" t="s">
        <v>6895</v>
      </c>
      <c r="J3710" s="143" t="s">
        <v>6741</v>
      </c>
      <c r="K3710" s="144" t="s">
        <v>121</v>
      </c>
      <c r="L3710" s="145">
        <v>46150</v>
      </c>
      <c r="M3710" s="144"/>
    </row>
    <row r="3711" spans="1:13" ht="15" customHeight="1">
      <c r="A3711" s="146" t="s">
        <v>8727</v>
      </c>
      <c r="B3711" s="146">
        <v>518186</v>
      </c>
      <c r="C3711" s="147" t="s">
        <v>8728</v>
      </c>
      <c r="D3711" s="146" t="s">
        <v>6893</v>
      </c>
      <c r="E3711" s="147" t="s">
        <v>8674</v>
      </c>
      <c r="F3711" s="147" t="s">
        <v>8728</v>
      </c>
      <c r="G3711" s="146" t="s">
        <v>109</v>
      </c>
      <c r="H3711" s="146" t="s">
        <v>54</v>
      </c>
      <c r="I3711" s="147" t="s">
        <v>6895</v>
      </c>
      <c r="J3711" s="147" t="s">
        <v>104</v>
      </c>
      <c r="K3711" s="148"/>
      <c r="L3711" s="149"/>
      <c r="M3711" s="148"/>
    </row>
    <row r="3712" spans="1:13" ht="15" customHeight="1">
      <c r="A3712" s="142" t="s">
        <v>8729</v>
      </c>
      <c r="B3712" s="142">
        <v>518527</v>
      </c>
      <c r="C3712" s="143" t="s">
        <v>6735</v>
      </c>
      <c r="D3712" s="142" t="s">
        <v>6893</v>
      </c>
      <c r="E3712" s="143" t="s">
        <v>8674</v>
      </c>
      <c r="F3712" s="143" t="s">
        <v>8730</v>
      </c>
      <c r="G3712" s="142" t="s">
        <v>6739</v>
      </c>
      <c r="H3712" s="142" t="s">
        <v>54</v>
      </c>
      <c r="I3712" s="143" t="s">
        <v>6895</v>
      </c>
      <c r="J3712" s="143" t="s">
        <v>6741</v>
      </c>
      <c r="K3712" s="144" t="s">
        <v>121</v>
      </c>
      <c r="L3712" s="145">
        <v>46147</v>
      </c>
      <c r="M3712" s="144"/>
    </row>
    <row r="3713" spans="1:13" ht="15" customHeight="1">
      <c r="A3713" s="146" t="s">
        <v>8731</v>
      </c>
      <c r="B3713" s="146">
        <v>518248</v>
      </c>
      <c r="C3713" s="147" t="s">
        <v>6735</v>
      </c>
      <c r="D3713" s="146" t="s">
        <v>6893</v>
      </c>
      <c r="E3713" s="147" t="s">
        <v>8674</v>
      </c>
      <c r="F3713" s="147" t="s">
        <v>8732</v>
      </c>
      <c r="G3713" s="146" t="s">
        <v>6739</v>
      </c>
      <c r="H3713" s="146" t="s">
        <v>54</v>
      </c>
      <c r="I3713" s="147" t="s">
        <v>6895</v>
      </c>
      <c r="J3713" s="147" t="s">
        <v>6741</v>
      </c>
      <c r="K3713" s="148"/>
      <c r="L3713" s="149"/>
      <c r="M3713" s="148"/>
    </row>
    <row r="3714" spans="1:13" ht="15" customHeight="1">
      <c r="A3714" s="142" t="s">
        <v>8733</v>
      </c>
      <c r="B3714" s="142">
        <v>518244</v>
      </c>
      <c r="C3714" s="143" t="s">
        <v>6735</v>
      </c>
      <c r="D3714" s="142" t="s">
        <v>6893</v>
      </c>
      <c r="E3714" s="143" t="s">
        <v>8674</v>
      </c>
      <c r="F3714" s="143" t="s">
        <v>8734</v>
      </c>
      <c r="G3714" s="142" t="s">
        <v>6739</v>
      </c>
      <c r="H3714" s="142" t="s">
        <v>54</v>
      </c>
      <c r="I3714" s="143" t="s">
        <v>6895</v>
      </c>
      <c r="J3714" s="143" t="s">
        <v>6741</v>
      </c>
      <c r="K3714" s="144"/>
      <c r="L3714" s="145"/>
      <c r="M3714" s="144"/>
    </row>
    <row r="3715" spans="1:13" ht="15" customHeight="1">
      <c r="A3715" s="146" t="s">
        <v>8735</v>
      </c>
      <c r="B3715" s="146">
        <v>518259</v>
      </c>
      <c r="C3715" s="147" t="s">
        <v>1347</v>
      </c>
      <c r="D3715" s="146" t="s">
        <v>6893</v>
      </c>
      <c r="E3715" s="147" t="s">
        <v>8674</v>
      </c>
      <c r="F3715" s="147" t="s">
        <v>8736</v>
      </c>
      <c r="G3715" s="146" t="s">
        <v>109</v>
      </c>
      <c r="H3715" s="146" t="s">
        <v>54</v>
      </c>
      <c r="I3715" s="147" t="s">
        <v>6895</v>
      </c>
      <c r="J3715" s="147" t="s">
        <v>104</v>
      </c>
      <c r="K3715" s="148"/>
      <c r="L3715" s="149"/>
      <c r="M3715" s="148"/>
    </row>
    <row r="3716" spans="1:13" ht="15" customHeight="1">
      <c r="A3716" s="142" t="s">
        <v>8737</v>
      </c>
      <c r="B3716" s="142">
        <v>518180</v>
      </c>
      <c r="C3716" s="143" t="s">
        <v>245</v>
      </c>
      <c r="D3716" s="142" t="s">
        <v>6893</v>
      </c>
      <c r="E3716" s="143" t="s">
        <v>8674</v>
      </c>
      <c r="F3716" s="143" t="s">
        <v>8738</v>
      </c>
      <c r="G3716" s="142" t="s">
        <v>102</v>
      </c>
      <c r="H3716" s="142" t="s">
        <v>54</v>
      </c>
      <c r="I3716" s="143" t="s">
        <v>6895</v>
      </c>
      <c r="J3716" s="143" t="s">
        <v>104</v>
      </c>
      <c r="K3716" s="144"/>
      <c r="L3716" s="145"/>
      <c r="M3716" s="144"/>
    </row>
    <row r="3717" spans="1:13" ht="15" customHeight="1">
      <c r="A3717" s="146" t="s">
        <v>8739</v>
      </c>
      <c r="B3717" s="146">
        <v>518191</v>
      </c>
      <c r="C3717" s="147" t="s">
        <v>8740</v>
      </c>
      <c r="D3717" s="146" t="s">
        <v>6893</v>
      </c>
      <c r="E3717" s="147" t="s">
        <v>8741</v>
      </c>
      <c r="F3717" s="147" t="s">
        <v>8741</v>
      </c>
      <c r="G3717" s="146" t="s">
        <v>109</v>
      </c>
      <c r="H3717" s="146" t="s">
        <v>54</v>
      </c>
      <c r="I3717" s="147" t="s">
        <v>6895</v>
      </c>
      <c r="J3717" s="147" t="s">
        <v>104</v>
      </c>
      <c r="K3717" s="148"/>
      <c r="L3717" s="149"/>
      <c r="M3717" s="148"/>
    </row>
    <row r="3718" spans="1:13" ht="15" customHeight="1">
      <c r="A3718" s="142" t="s">
        <v>8742</v>
      </c>
      <c r="B3718" s="142">
        <v>518192</v>
      </c>
      <c r="C3718" s="143" t="s">
        <v>6735</v>
      </c>
      <c r="D3718" s="142" t="s">
        <v>6893</v>
      </c>
      <c r="E3718" s="143" t="s">
        <v>8741</v>
      </c>
      <c r="F3718" s="143" t="s">
        <v>8741</v>
      </c>
      <c r="G3718" s="142" t="s">
        <v>6739</v>
      </c>
      <c r="H3718" s="142" t="s">
        <v>54</v>
      </c>
      <c r="I3718" s="143" t="s">
        <v>6895</v>
      </c>
      <c r="J3718" s="143" t="s">
        <v>6741</v>
      </c>
      <c r="K3718" s="144"/>
      <c r="L3718" s="145"/>
      <c r="M3718" s="144"/>
    </row>
    <row r="3719" spans="1:13" ht="15" customHeight="1">
      <c r="A3719" s="146" t="s">
        <v>8743</v>
      </c>
      <c r="B3719" s="146">
        <v>518288</v>
      </c>
      <c r="C3719" s="147" t="s">
        <v>1300</v>
      </c>
      <c r="D3719" s="146" t="s">
        <v>6893</v>
      </c>
      <c r="E3719" s="147" t="s">
        <v>8741</v>
      </c>
      <c r="F3719" s="147" t="s">
        <v>2539</v>
      </c>
      <c r="G3719" s="146" t="s">
        <v>109</v>
      </c>
      <c r="H3719" s="146" t="s">
        <v>54</v>
      </c>
      <c r="I3719" s="147" t="s">
        <v>6895</v>
      </c>
      <c r="J3719" s="147" t="s">
        <v>104</v>
      </c>
      <c r="K3719" s="148"/>
      <c r="L3719" s="149"/>
      <c r="M3719" s="148"/>
    </row>
    <row r="3720" spans="1:13" ht="15" customHeight="1">
      <c r="A3720" s="142" t="s">
        <v>8744</v>
      </c>
      <c r="B3720" s="142">
        <v>518297</v>
      </c>
      <c r="C3720" s="143" t="s">
        <v>8745</v>
      </c>
      <c r="D3720" s="142" t="s">
        <v>6893</v>
      </c>
      <c r="E3720" s="143" t="s">
        <v>8746</v>
      </c>
      <c r="F3720" s="143" t="s">
        <v>8747</v>
      </c>
      <c r="G3720" s="142" t="s">
        <v>109</v>
      </c>
      <c r="H3720" s="142" t="s">
        <v>54</v>
      </c>
      <c r="I3720" s="143" t="s">
        <v>6895</v>
      </c>
      <c r="J3720" s="143" t="s">
        <v>104</v>
      </c>
      <c r="K3720" s="144"/>
      <c r="L3720" s="145"/>
      <c r="M3720" s="144"/>
    </row>
    <row r="3721" spans="1:13" ht="15" customHeight="1">
      <c r="A3721" s="146" t="s">
        <v>8748</v>
      </c>
      <c r="B3721" s="146">
        <v>518298</v>
      </c>
      <c r="C3721" s="147" t="s">
        <v>1186</v>
      </c>
      <c r="D3721" s="146" t="s">
        <v>6893</v>
      </c>
      <c r="E3721" s="147" t="s">
        <v>8746</v>
      </c>
      <c r="F3721" s="147" t="s">
        <v>8749</v>
      </c>
      <c r="G3721" s="146" t="s">
        <v>109</v>
      </c>
      <c r="H3721" s="146" t="s">
        <v>54</v>
      </c>
      <c r="I3721" s="147" t="s">
        <v>6895</v>
      </c>
      <c r="J3721" s="147" t="s">
        <v>104</v>
      </c>
      <c r="K3721" s="148"/>
      <c r="L3721" s="149"/>
      <c r="M3721" s="148"/>
    </row>
    <row r="3722" spans="1:13" ht="15" customHeight="1">
      <c r="A3722" s="142" t="s">
        <v>8750</v>
      </c>
      <c r="B3722" s="142">
        <v>518292</v>
      </c>
      <c r="C3722" s="143" t="s">
        <v>1179</v>
      </c>
      <c r="D3722" s="142" t="s">
        <v>6893</v>
      </c>
      <c r="E3722" s="143" t="s">
        <v>8746</v>
      </c>
      <c r="F3722" s="143" t="s">
        <v>8751</v>
      </c>
      <c r="G3722" s="142" t="s">
        <v>109</v>
      </c>
      <c r="H3722" s="142" t="s">
        <v>54</v>
      </c>
      <c r="I3722" s="143" t="s">
        <v>6895</v>
      </c>
      <c r="J3722" s="143" t="s">
        <v>104</v>
      </c>
      <c r="K3722" s="144"/>
      <c r="L3722" s="145"/>
      <c r="M3722" s="144"/>
    </row>
    <row r="3723" spans="1:13" ht="15" customHeight="1">
      <c r="A3723" s="146" t="s">
        <v>8752</v>
      </c>
      <c r="B3723" s="146">
        <v>518294</v>
      </c>
      <c r="C3723" s="147" t="s">
        <v>6735</v>
      </c>
      <c r="D3723" s="146" t="s">
        <v>6893</v>
      </c>
      <c r="E3723" s="147" t="s">
        <v>8746</v>
      </c>
      <c r="F3723" s="147" t="s">
        <v>8753</v>
      </c>
      <c r="G3723" s="146" t="s">
        <v>6739</v>
      </c>
      <c r="H3723" s="146" t="s">
        <v>54</v>
      </c>
      <c r="I3723" s="147" t="s">
        <v>6895</v>
      </c>
      <c r="J3723" s="147" t="s">
        <v>6741</v>
      </c>
      <c r="K3723" s="148"/>
      <c r="L3723" s="149"/>
      <c r="M3723" s="148"/>
    </row>
    <row r="3724" spans="1:13" ht="15" customHeight="1">
      <c r="A3724" s="142" t="s">
        <v>8754</v>
      </c>
      <c r="B3724" s="142">
        <v>518246</v>
      </c>
      <c r="C3724" s="143" t="s">
        <v>6735</v>
      </c>
      <c r="D3724" s="142" t="s">
        <v>6893</v>
      </c>
      <c r="E3724" s="143" t="s">
        <v>8613</v>
      </c>
      <c r="F3724" s="143" t="s">
        <v>8613</v>
      </c>
      <c r="G3724" s="142" t="s">
        <v>6739</v>
      </c>
      <c r="H3724" s="142" t="s">
        <v>57</v>
      </c>
      <c r="I3724" s="143" t="s">
        <v>103</v>
      </c>
      <c r="J3724" s="143" t="s">
        <v>6741</v>
      </c>
      <c r="K3724" s="144"/>
      <c r="L3724" s="145"/>
      <c r="M3724" s="144"/>
    </row>
    <row r="3725" spans="1:13" ht="15" customHeight="1">
      <c r="A3725" s="146" t="s">
        <v>8755</v>
      </c>
      <c r="B3725" s="146">
        <v>518229</v>
      </c>
      <c r="C3725" s="147" t="s">
        <v>3031</v>
      </c>
      <c r="D3725" s="146" t="s">
        <v>6893</v>
      </c>
      <c r="E3725" s="147" t="s">
        <v>8746</v>
      </c>
      <c r="F3725" s="147" t="s">
        <v>8756</v>
      </c>
      <c r="G3725" s="146" t="s">
        <v>109</v>
      </c>
      <c r="H3725" s="146" t="s">
        <v>54</v>
      </c>
      <c r="I3725" s="147" t="s">
        <v>6895</v>
      </c>
      <c r="J3725" s="147" t="s">
        <v>104</v>
      </c>
      <c r="K3725" s="148"/>
      <c r="L3725" s="149"/>
      <c r="M3725" s="148"/>
    </row>
    <row r="3726" spans="1:13" ht="15" customHeight="1">
      <c r="A3726" s="142" t="s">
        <v>8757</v>
      </c>
      <c r="B3726" s="142">
        <v>513526</v>
      </c>
      <c r="C3726" s="143" t="s">
        <v>6735</v>
      </c>
      <c r="D3726" s="142" t="s">
        <v>6893</v>
      </c>
      <c r="E3726" s="143" t="s">
        <v>6936</v>
      </c>
      <c r="F3726" s="143" t="s">
        <v>8758</v>
      </c>
      <c r="G3726" s="142" t="s">
        <v>6739</v>
      </c>
      <c r="H3726" s="142" t="s">
        <v>57</v>
      </c>
      <c r="I3726" s="143" t="s">
        <v>103</v>
      </c>
      <c r="J3726" s="143" t="s">
        <v>6741</v>
      </c>
      <c r="K3726" s="144"/>
      <c r="L3726" s="145"/>
      <c r="M3726" s="144"/>
    </row>
    <row r="3727" spans="1:13" ht="15" customHeight="1">
      <c r="A3727" s="146" t="s">
        <v>8759</v>
      </c>
      <c r="B3727" s="146">
        <v>518296</v>
      </c>
      <c r="C3727" s="147" t="s">
        <v>8760</v>
      </c>
      <c r="D3727" s="146" t="s">
        <v>6893</v>
      </c>
      <c r="E3727" s="147" t="s">
        <v>8746</v>
      </c>
      <c r="F3727" s="147" t="s">
        <v>8761</v>
      </c>
      <c r="G3727" s="146" t="s">
        <v>109</v>
      </c>
      <c r="H3727" s="146" t="s">
        <v>54</v>
      </c>
      <c r="I3727" s="147" t="s">
        <v>6895</v>
      </c>
      <c r="J3727" s="147" t="s">
        <v>104</v>
      </c>
      <c r="K3727" s="148"/>
      <c r="L3727" s="149"/>
      <c r="M3727" s="148"/>
    </row>
    <row r="3728" spans="1:13" ht="15" customHeight="1">
      <c r="A3728" s="142" t="s">
        <v>8762</v>
      </c>
      <c r="B3728" s="142">
        <v>518173</v>
      </c>
      <c r="C3728" s="143" t="s">
        <v>8763</v>
      </c>
      <c r="D3728" s="142" t="s">
        <v>6893</v>
      </c>
      <c r="E3728" s="143" t="s">
        <v>8746</v>
      </c>
      <c r="F3728" s="143" t="s">
        <v>8764</v>
      </c>
      <c r="G3728" s="142" t="s">
        <v>109</v>
      </c>
      <c r="H3728" s="142" t="s">
        <v>54</v>
      </c>
      <c r="I3728" s="143" t="s">
        <v>6895</v>
      </c>
      <c r="J3728" s="143" t="s">
        <v>104</v>
      </c>
      <c r="K3728" s="144"/>
      <c r="L3728" s="145"/>
      <c r="M3728" s="144"/>
    </row>
    <row r="3729" spans="1:13" ht="15" customHeight="1">
      <c r="A3729" s="146" t="s">
        <v>8765</v>
      </c>
      <c r="B3729" s="146">
        <v>518291</v>
      </c>
      <c r="C3729" s="147" t="s">
        <v>1182</v>
      </c>
      <c r="D3729" s="146" t="s">
        <v>6893</v>
      </c>
      <c r="E3729" s="147" t="s">
        <v>8746</v>
      </c>
      <c r="F3729" s="147" t="s">
        <v>8766</v>
      </c>
      <c r="G3729" s="146" t="s">
        <v>109</v>
      </c>
      <c r="H3729" s="146" t="s">
        <v>54</v>
      </c>
      <c r="I3729" s="147" t="s">
        <v>6895</v>
      </c>
      <c r="J3729" s="147" t="s">
        <v>104</v>
      </c>
      <c r="K3729" s="148"/>
      <c r="L3729" s="149"/>
      <c r="M3729" s="148"/>
    </row>
    <row r="3730" spans="1:13" ht="15" customHeight="1">
      <c r="A3730" s="142" t="s">
        <v>8767</v>
      </c>
      <c r="B3730" s="142">
        <v>518196</v>
      </c>
      <c r="C3730" s="143" t="s">
        <v>2243</v>
      </c>
      <c r="D3730" s="142" t="s">
        <v>6893</v>
      </c>
      <c r="E3730" s="143" t="s">
        <v>8746</v>
      </c>
      <c r="F3730" s="143" t="s">
        <v>363</v>
      </c>
      <c r="G3730" s="142" t="s">
        <v>109</v>
      </c>
      <c r="H3730" s="142" t="s">
        <v>54</v>
      </c>
      <c r="I3730" s="143" t="s">
        <v>6895</v>
      </c>
      <c r="J3730" s="143" t="s">
        <v>104</v>
      </c>
      <c r="K3730" s="144"/>
      <c r="L3730" s="145"/>
      <c r="M3730" s="144"/>
    </row>
    <row r="3731" spans="1:13" ht="15" customHeight="1">
      <c r="A3731" s="146" t="s">
        <v>8768</v>
      </c>
      <c r="B3731" s="146">
        <v>518194</v>
      </c>
      <c r="C3731" s="147" t="s">
        <v>8769</v>
      </c>
      <c r="D3731" s="146" t="s">
        <v>6893</v>
      </c>
      <c r="E3731" s="147" t="s">
        <v>8746</v>
      </c>
      <c r="F3731" s="147" t="s">
        <v>8770</v>
      </c>
      <c r="G3731" s="146" t="s">
        <v>109</v>
      </c>
      <c r="H3731" s="146" t="s">
        <v>54</v>
      </c>
      <c r="I3731" s="147" t="s">
        <v>6895</v>
      </c>
      <c r="J3731" s="147" t="s">
        <v>104</v>
      </c>
      <c r="K3731" s="148"/>
      <c r="L3731" s="149"/>
      <c r="M3731" s="148"/>
    </row>
    <row r="3732" spans="1:13" ht="15" customHeight="1">
      <c r="A3732" s="142" t="s">
        <v>8771</v>
      </c>
      <c r="B3732" s="142">
        <v>518172</v>
      </c>
      <c r="C3732" s="143" t="s">
        <v>3096</v>
      </c>
      <c r="D3732" s="142" t="s">
        <v>6893</v>
      </c>
      <c r="E3732" s="143" t="s">
        <v>8746</v>
      </c>
      <c r="F3732" s="143" t="s">
        <v>8772</v>
      </c>
      <c r="G3732" s="142" t="s">
        <v>109</v>
      </c>
      <c r="H3732" s="142" t="s">
        <v>54</v>
      </c>
      <c r="I3732" s="143" t="s">
        <v>6895</v>
      </c>
      <c r="J3732" s="143" t="s">
        <v>104</v>
      </c>
      <c r="K3732" s="144"/>
      <c r="L3732" s="145"/>
      <c r="M3732" s="144"/>
    </row>
    <row r="3733" spans="1:13" ht="15" customHeight="1">
      <c r="A3733" s="146" t="s">
        <v>8773</v>
      </c>
      <c r="B3733" s="146">
        <v>518293</v>
      </c>
      <c r="C3733" s="147" t="s">
        <v>2376</v>
      </c>
      <c r="D3733" s="146" t="s">
        <v>6893</v>
      </c>
      <c r="E3733" s="147" t="s">
        <v>8746</v>
      </c>
      <c r="F3733" s="147" t="s">
        <v>6837</v>
      </c>
      <c r="G3733" s="146" t="s">
        <v>109</v>
      </c>
      <c r="H3733" s="146" t="s">
        <v>54</v>
      </c>
      <c r="I3733" s="147" t="s">
        <v>6895</v>
      </c>
      <c r="J3733" s="147" t="s">
        <v>104</v>
      </c>
      <c r="K3733" s="148"/>
      <c r="L3733" s="149"/>
      <c r="M3733" s="148"/>
    </row>
    <row r="3734" spans="1:13" ht="15" customHeight="1">
      <c r="A3734" s="142" t="s">
        <v>8774</v>
      </c>
      <c r="B3734" s="142">
        <v>518195</v>
      </c>
      <c r="C3734" s="143" t="s">
        <v>8775</v>
      </c>
      <c r="D3734" s="142" t="s">
        <v>6893</v>
      </c>
      <c r="E3734" s="143" t="s">
        <v>8746</v>
      </c>
      <c r="F3734" s="143" t="s">
        <v>8776</v>
      </c>
      <c r="G3734" s="142" t="s">
        <v>109</v>
      </c>
      <c r="H3734" s="142" t="s">
        <v>54</v>
      </c>
      <c r="I3734" s="143" t="s">
        <v>6895</v>
      </c>
      <c r="J3734" s="143" t="s">
        <v>104</v>
      </c>
      <c r="K3734" s="144"/>
      <c r="L3734" s="145"/>
      <c r="M3734" s="144"/>
    </row>
    <row r="3735" spans="1:13" ht="15" customHeight="1">
      <c r="A3735" s="146" t="s">
        <v>8777</v>
      </c>
      <c r="B3735" s="146">
        <v>518201</v>
      </c>
      <c r="C3735" s="147" t="s">
        <v>6735</v>
      </c>
      <c r="D3735" s="146" t="s">
        <v>6893</v>
      </c>
      <c r="E3735" s="147" t="s">
        <v>8778</v>
      </c>
      <c r="F3735" s="147" t="s">
        <v>8779</v>
      </c>
      <c r="G3735" s="146" t="s">
        <v>6739</v>
      </c>
      <c r="H3735" s="146" t="s">
        <v>54</v>
      </c>
      <c r="I3735" s="147" t="s">
        <v>6895</v>
      </c>
      <c r="J3735" s="147" t="s">
        <v>6741</v>
      </c>
      <c r="K3735" s="148" t="s">
        <v>121</v>
      </c>
      <c r="L3735" s="149">
        <v>46147</v>
      </c>
      <c r="M3735" s="148" t="s">
        <v>8780</v>
      </c>
    </row>
    <row r="3736" spans="1:13" ht="15" customHeight="1">
      <c r="A3736" s="142" t="s">
        <v>8781</v>
      </c>
      <c r="B3736" s="142">
        <v>518202</v>
      </c>
      <c r="C3736" s="143" t="s">
        <v>6735</v>
      </c>
      <c r="D3736" s="142" t="s">
        <v>6893</v>
      </c>
      <c r="E3736" s="143" t="s">
        <v>8778</v>
      </c>
      <c r="F3736" s="143" t="s">
        <v>8779</v>
      </c>
      <c r="G3736" s="142" t="s">
        <v>6739</v>
      </c>
      <c r="H3736" s="142" t="s">
        <v>54</v>
      </c>
      <c r="I3736" s="143" t="s">
        <v>6895</v>
      </c>
      <c r="J3736" s="143" t="s">
        <v>6741</v>
      </c>
      <c r="K3736" s="144" t="s">
        <v>121</v>
      </c>
      <c r="L3736" s="145">
        <v>46147</v>
      </c>
      <c r="M3736" s="181" t="s">
        <v>8782</v>
      </c>
    </row>
    <row r="3737" spans="1:13" ht="15" customHeight="1">
      <c r="A3737" s="146" t="s">
        <v>8783</v>
      </c>
      <c r="B3737" s="146">
        <v>518203</v>
      </c>
      <c r="C3737" s="147" t="s">
        <v>6735</v>
      </c>
      <c r="D3737" s="146" t="s">
        <v>6893</v>
      </c>
      <c r="E3737" s="147" t="s">
        <v>8778</v>
      </c>
      <c r="F3737" s="147" t="s">
        <v>8779</v>
      </c>
      <c r="G3737" s="146" t="s">
        <v>6739</v>
      </c>
      <c r="H3737" s="146" t="s">
        <v>54</v>
      </c>
      <c r="I3737" s="147" t="s">
        <v>6895</v>
      </c>
      <c r="J3737" s="147" t="s">
        <v>6741</v>
      </c>
      <c r="K3737" s="148" t="s">
        <v>121</v>
      </c>
      <c r="L3737" s="149">
        <v>46147</v>
      </c>
      <c r="M3737" s="148"/>
    </row>
    <row r="3738" spans="1:13" ht="15" customHeight="1">
      <c r="A3738" s="142" t="s">
        <v>8784</v>
      </c>
      <c r="B3738" s="142">
        <v>518317</v>
      </c>
      <c r="C3738" s="143" t="s">
        <v>8785</v>
      </c>
      <c r="D3738" s="142" t="s">
        <v>6893</v>
      </c>
      <c r="E3738" s="143" t="s">
        <v>8778</v>
      </c>
      <c r="F3738" s="143" t="s">
        <v>8786</v>
      </c>
      <c r="G3738" s="142" t="s">
        <v>109</v>
      </c>
      <c r="H3738" s="142" t="s">
        <v>54</v>
      </c>
      <c r="I3738" s="143" t="s">
        <v>6895</v>
      </c>
      <c r="J3738" s="143" t="s">
        <v>104</v>
      </c>
      <c r="K3738" s="144" t="s">
        <v>121</v>
      </c>
      <c r="L3738" s="145">
        <v>46149</v>
      </c>
      <c r="M3738" s="144"/>
    </row>
    <row r="3739" spans="1:13" ht="15" customHeight="1">
      <c r="A3739" s="146" t="s">
        <v>8787</v>
      </c>
      <c r="B3739" s="146">
        <v>518340</v>
      </c>
      <c r="C3739" s="147" t="s">
        <v>2406</v>
      </c>
      <c r="D3739" s="146" t="s">
        <v>6893</v>
      </c>
      <c r="E3739" s="147" t="s">
        <v>8778</v>
      </c>
      <c r="F3739" s="147" t="s">
        <v>127</v>
      </c>
      <c r="G3739" s="146" t="s">
        <v>109</v>
      </c>
      <c r="H3739" s="146" t="s">
        <v>54</v>
      </c>
      <c r="I3739" s="147" t="s">
        <v>6895</v>
      </c>
      <c r="J3739" s="147" t="s">
        <v>104</v>
      </c>
      <c r="K3739" s="148" t="s">
        <v>121</v>
      </c>
      <c r="L3739" s="149">
        <v>46150</v>
      </c>
      <c r="M3739" s="148"/>
    </row>
    <row r="3740" spans="1:13" ht="15" customHeight="1">
      <c r="A3740" s="142" t="s">
        <v>8788</v>
      </c>
      <c r="B3740" s="142">
        <v>518199</v>
      </c>
      <c r="C3740" s="143" t="s">
        <v>8789</v>
      </c>
      <c r="D3740" s="142" t="s">
        <v>6893</v>
      </c>
      <c r="E3740" s="143" t="s">
        <v>8778</v>
      </c>
      <c r="F3740" s="143" t="s">
        <v>8790</v>
      </c>
      <c r="G3740" s="142" t="s">
        <v>109</v>
      </c>
      <c r="H3740" s="142" t="s">
        <v>54</v>
      </c>
      <c r="I3740" s="143" t="s">
        <v>6895</v>
      </c>
      <c r="J3740" s="143" t="s">
        <v>104</v>
      </c>
      <c r="K3740" s="144" t="s">
        <v>121</v>
      </c>
      <c r="L3740" s="145">
        <v>46148</v>
      </c>
      <c r="M3740" s="144" t="s">
        <v>8722</v>
      </c>
    </row>
    <row r="3741" spans="1:13" ht="15" customHeight="1">
      <c r="A3741" s="146" t="s">
        <v>8791</v>
      </c>
      <c r="B3741" s="146">
        <v>518200</v>
      </c>
      <c r="C3741" s="147" t="s">
        <v>2220</v>
      </c>
      <c r="D3741" s="146" t="s">
        <v>6893</v>
      </c>
      <c r="E3741" s="147" t="s">
        <v>8778</v>
      </c>
      <c r="F3741" s="147" t="s">
        <v>8792</v>
      </c>
      <c r="G3741" s="146" t="s">
        <v>109</v>
      </c>
      <c r="H3741" s="146" t="s">
        <v>54</v>
      </c>
      <c r="I3741" s="147" t="s">
        <v>6895</v>
      </c>
      <c r="J3741" s="147" t="s">
        <v>104</v>
      </c>
      <c r="K3741" s="148" t="s">
        <v>121</v>
      </c>
      <c r="L3741" s="149">
        <v>46148</v>
      </c>
      <c r="M3741" s="148" t="s">
        <v>8722</v>
      </c>
    </row>
    <row r="3742" spans="1:13" ht="15" customHeight="1">
      <c r="A3742" s="142" t="s">
        <v>8793</v>
      </c>
      <c r="B3742" s="142">
        <v>518338</v>
      </c>
      <c r="C3742" s="143" t="s">
        <v>8794</v>
      </c>
      <c r="D3742" s="142" t="s">
        <v>6893</v>
      </c>
      <c r="E3742" s="143" t="s">
        <v>8778</v>
      </c>
      <c r="F3742" s="143" t="s">
        <v>8795</v>
      </c>
      <c r="G3742" s="142" t="s">
        <v>109</v>
      </c>
      <c r="H3742" s="142" t="s">
        <v>54</v>
      </c>
      <c r="I3742" s="143" t="s">
        <v>6895</v>
      </c>
      <c r="J3742" s="143" t="s">
        <v>104</v>
      </c>
      <c r="K3742" s="144"/>
      <c r="L3742" s="145"/>
      <c r="M3742" s="144"/>
    </row>
    <row r="3743" spans="1:13" ht="15" customHeight="1">
      <c r="A3743" s="146" t="s">
        <v>8796</v>
      </c>
      <c r="B3743" s="146">
        <v>518339</v>
      </c>
      <c r="C3743" s="147" t="s">
        <v>8797</v>
      </c>
      <c r="D3743" s="146" t="s">
        <v>6893</v>
      </c>
      <c r="E3743" s="147" t="s">
        <v>8778</v>
      </c>
      <c r="F3743" s="147" t="s">
        <v>8798</v>
      </c>
      <c r="G3743" s="146" t="s">
        <v>109</v>
      </c>
      <c r="H3743" s="146" t="s">
        <v>54</v>
      </c>
      <c r="I3743" s="147" t="s">
        <v>6895</v>
      </c>
      <c r="J3743" s="147" t="s">
        <v>104</v>
      </c>
      <c r="K3743" s="148"/>
      <c r="L3743" s="149"/>
      <c r="M3743" s="148"/>
    </row>
    <row r="3744" spans="1:13" ht="15" customHeight="1">
      <c r="A3744" s="142" t="s">
        <v>8799</v>
      </c>
      <c r="B3744" s="142">
        <v>518336</v>
      </c>
      <c r="C3744" s="143" t="s">
        <v>8800</v>
      </c>
      <c r="D3744" s="142" t="s">
        <v>6893</v>
      </c>
      <c r="E3744" s="143" t="s">
        <v>8801</v>
      </c>
      <c r="F3744" s="143" t="s">
        <v>8802</v>
      </c>
      <c r="G3744" s="142" t="s">
        <v>109</v>
      </c>
      <c r="H3744" s="142" t="s">
        <v>54</v>
      </c>
      <c r="I3744" s="143" t="s">
        <v>6895</v>
      </c>
      <c r="J3744" s="143" t="s">
        <v>104</v>
      </c>
      <c r="K3744" s="144"/>
      <c r="L3744" s="145"/>
      <c r="M3744" s="144"/>
    </row>
    <row r="3745" spans="1:13" ht="15" customHeight="1">
      <c r="A3745" s="146" t="s">
        <v>8803</v>
      </c>
      <c r="B3745" s="146">
        <v>518334</v>
      </c>
      <c r="C3745" s="147" t="s">
        <v>2128</v>
      </c>
      <c r="D3745" s="146" t="s">
        <v>6893</v>
      </c>
      <c r="E3745" s="147" t="s">
        <v>8801</v>
      </c>
      <c r="F3745" s="147" t="s">
        <v>133</v>
      </c>
      <c r="G3745" s="146" t="s">
        <v>109</v>
      </c>
      <c r="H3745" s="146" t="s">
        <v>54</v>
      </c>
      <c r="I3745" s="147" t="s">
        <v>6895</v>
      </c>
      <c r="J3745" s="147" t="s">
        <v>104</v>
      </c>
      <c r="K3745" s="148"/>
      <c r="L3745" s="149"/>
      <c r="M3745" s="148"/>
    </row>
    <row r="3746" spans="1:13" ht="15" customHeight="1">
      <c r="A3746" s="142" t="s">
        <v>8804</v>
      </c>
      <c r="B3746" s="142">
        <v>518230</v>
      </c>
      <c r="C3746" s="143" t="s">
        <v>6735</v>
      </c>
      <c r="D3746" s="142" t="s">
        <v>6893</v>
      </c>
      <c r="E3746" s="143" t="s">
        <v>8801</v>
      </c>
      <c r="F3746" s="143" t="s">
        <v>8801</v>
      </c>
      <c r="G3746" s="142" t="s">
        <v>6739</v>
      </c>
      <c r="H3746" s="142" t="s">
        <v>54</v>
      </c>
      <c r="I3746" s="143" t="s">
        <v>6895</v>
      </c>
      <c r="J3746" s="143" t="s">
        <v>6741</v>
      </c>
      <c r="K3746" s="144"/>
      <c r="L3746" s="145"/>
      <c r="M3746" s="144"/>
    </row>
    <row r="3747" spans="1:13" ht="15" customHeight="1">
      <c r="A3747" s="146" t="s">
        <v>8805</v>
      </c>
      <c r="B3747" s="146">
        <v>518337</v>
      </c>
      <c r="C3747" s="147" t="s">
        <v>8806</v>
      </c>
      <c r="D3747" s="146" t="s">
        <v>6893</v>
      </c>
      <c r="E3747" s="147" t="s">
        <v>8801</v>
      </c>
      <c r="F3747" s="147" t="s">
        <v>4751</v>
      </c>
      <c r="G3747" s="146" t="s">
        <v>109</v>
      </c>
      <c r="H3747" s="146" t="s">
        <v>54</v>
      </c>
      <c r="I3747" s="147" t="s">
        <v>6895</v>
      </c>
      <c r="J3747" s="147" t="s">
        <v>104</v>
      </c>
      <c r="K3747" s="148"/>
      <c r="L3747" s="149"/>
      <c r="M3747" s="148"/>
    </row>
    <row r="3748" spans="1:13" ht="15" customHeight="1">
      <c r="A3748" s="142" t="s">
        <v>8807</v>
      </c>
      <c r="B3748" s="142">
        <v>518284</v>
      </c>
      <c r="C3748" s="143" t="s">
        <v>2123</v>
      </c>
      <c r="D3748" s="142" t="s">
        <v>6893</v>
      </c>
      <c r="E3748" s="143" t="s">
        <v>8801</v>
      </c>
      <c r="F3748" s="143" t="s">
        <v>8808</v>
      </c>
      <c r="G3748" s="142" t="s">
        <v>109</v>
      </c>
      <c r="H3748" s="142" t="s">
        <v>54</v>
      </c>
      <c r="I3748" s="143" t="s">
        <v>6895</v>
      </c>
      <c r="J3748" s="143" t="s">
        <v>104</v>
      </c>
      <c r="K3748" s="144"/>
      <c r="L3748" s="145"/>
      <c r="M3748" s="144"/>
    </row>
    <row r="3749" spans="1:13" ht="15" customHeight="1">
      <c r="A3749" s="146" t="s">
        <v>8809</v>
      </c>
      <c r="B3749" s="146">
        <v>518249</v>
      </c>
      <c r="C3749" s="147" t="s">
        <v>6735</v>
      </c>
      <c r="D3749" s="146" t="s">
        <v>6893</v>
      </c>
      <c r="E3749" s="147" t="s">
        <v>6936</v>
      </c>
      <c r="F3749" s="147" t="s">
        <v>6936</v>
      </c>
      <c r="G3749" s="146" t="s">
        <v>6739</v>
      </c>
      <c r="H3749" s="146" t="s">
        <v>57</v>
      </c>
      <c r="I3749" s="147" t="s">
        <v>103</v>
      </c>
      <c r="J3749" s="147" t="s">
        <v>6741</v>
      </c>
      <c r="K3749" s="148" t="s">
        <v>162</v>
      </c>
      <c r="L3749" s="149">
        <v>46146</v>
      </c>
      <c r="M3749" s="148" t="s">
        <v>7348</v>
      </c>
    </row>
    <row r="3750" spans="1:13" ht="15" customHeight="1">
      <c r="A3750" s="142" t="s">
        <v>8810</v>
      </c>
      <c r="B3750" s="142">
        <v>518285</v>
      </c>
      <c r="C3750" s="143" t="s">
        <v>6735</v>
      </c>
      <c r="D3750" s="142" t="s">
        <v>6893</v>
      </c>
      <c r="E3750" s="143" t="s">
        <v>8801</v>
      </c>
      <c r="F3750" s="143" t="s">
        <v>8808</v>
      </c>
      <c r="G3750" s="142" t="s">
        <v>6739</v>
      </c>
      <c r="H3750" s="142" t="s">
        <v>54</v>
      </c>
      <c r="I3750" s="143" t="s">
        <v>6895</v>
      </c>
      <c r="J3750" s="143" t="s">
        <v>6741</v>
      </c>
      <c r="K3750" s="144"/>
      <c r="L3750" s="145"/>
      <c r="M3750" s="144"/>
    </row>
    <row r="3751" spans="1:13" ht="15" customHeight="1">
      <c r="A3751" s="146" t="s">
        <v>8811</v>
      </c>
      <c r="B3751" s="146">
        <v>518314</v>
      </c>
      <c r="C3751" s="147" t="s">
        <v>8812</v>
      </c>
      <c r="D3751" s="146" t="s">
        <v>6893</v>
      </c>
      <c r="E3751" s="147" t="s">
        <v>8801</v>
      </c>
      <c r="F3751" s="147" t="s">
        <v>8813</v>
      </c>
      <c r="G3751" s="146" t="s">
        <v>109</v>
      </c>
      <c r="H3751" s="146" t="s">
        <v>54</v>
      </c>
      <c r="I3751" s="147" t="s">
        <v>6895</v>
      </c>
      <c r="J3751" s="147" t="s">
        <v>104</v>
      </c>
      <c r="K3751" s="148"/>
      <c r="L3751" s="149"/>
      <c r="M3751" s="148"/>
    </row>
    <row r="3752" spans="1:13" ht="15" customHeight="1">
      <c r="A3752" s="142" t="s">
        <v>8814</v>
      </c>
      <c r="B3752" s="142">
        <v>518335</v>
      </c>
      <c r="C3752" s="143" t="s">
        <v>8815</v>
      </c>
      <c r="D3752" s="142" t="s">
        <v>6893</v>
      </c>
      <c r="E3752" s="143" t="s">
        <v>8801</v>
      </c>
      <c r="F3752" s="143" t="s">
        <v>8816</v>
      </c>
      <c r="G3752" s="142" t="s">
        <v>109</v>
      </c>
      <c r="H3752" s="142" t="s">
        <v>54</v>
      </c>
      <c r="I3752" s="143" t="s">
        <v>6895</v>
      </c>
      <c r="J3752" s="143" t="s">
        <v>104</v>
      </c>
      <c r="K3752" s="144"/>
      <c r="L3752" s="145"/>
      <c r="M3752" s="144"/>
    </row>
    <row r="3753" spans="1:13" ht="15" customHeight="1">
      <c r="A3753" s="146" t="s">
        <v>8817</v>
      </c>
      <c r="B3753" s="146">
        <v>518289</v>
      </c>
      <c r="C3753" s="147" t="s">
        <v>8818</v>
      </c>
      <c r="D3753" s="146" t="s">
        <v>6893</v>
      </c>
      <c r="E3753" s="147" t="s">
        <v>8819</v>
      </c>
      <c r="F3753" s="147" t="s">
        <v>8820</v>
      </c>
      <c r="G3753" s="146" t="s">
        <v>109</v>
      </c>
      <c r="H3753" s="146" t="s">
        <v>54</v>
      </c>
      <c r="I3753" s="147" t="s">
        <v>6895</v>
      </c>
      <c r="J3753" s="147" t="s">
        <v>104</v>
      </c>
      <c r="K3753" s="148" t="s">
        <v>121</v>
      </c>
      <c r="L3753" s="149">
        <v>46150</v>
      </c>
      <c r="M3753" s="148"/>
    </row>
    <row r="3754" spans="1:13" ht="15" customHeight="1">
      <c r="A3754" s="142" t="s">
        <v>8821</v>
      </c>
      <c r="B3754" s="142">
        <v>518137</v>
      </c>
      <c r="C3754" s="143" t="s">
        <v>8822</v>
      </c>
      <c r="D3754" s="142" t="s">
        <v>6893</v>
      </c>
      <c r="E3754" s="143" t="s">
        <v>8819</v>
      </c>
      <c r="F3754" s="143" t="s">
        <v>8823</v>
      </c>
      <c r="G3754" s="142" t="s">
        <v>109</v>
      </c>
      <c r="H3754" s="142" t="s">
        <v>54</v>
      </c>
      <c r="I3754" s="143" t="s">
        <v>6895</v>
      </c>
      <c r="J3754" s="143" t="s">
        <v>104</v>
      </c>
      <c r="K3754" s="144"/>
      <c r="L3754" s="145"/>
      <c r="M3754" s="144"/>
    </row>
    <row r="3755" spans="1:13" ht="15" customHeight="1">
      <c r="A3755" s="146" t="s">
        <v>8824</v>
      </c>
      <c r="B3755" s="146">
        <v>518240</v>
      </c>
      <c r="C3755" s="147" t="s">
        <v>8825</v>
      </c>
      <c r="D3755" s="146" t="s">
        <v>6893</v>
      </c>
      <c r="E3755" s="147" t="s">
        <v>8819</v>
      </c>
      <c r="F3755" s="147" t="s">
        <v>8826</v>
      </c>
      <c r="G3755" s="146" t="s">
        <v>109</v>
      </c>
      <c r="H3755" s="146" t="s">
        <v>54</v>
      </c>
      <c r="I3755" s="147" t="s">
        <v>6895</v>
      </c>
      <c r="J3755" s="147" t="s">
        <v>104</v>
      </c>
      <c r="K3755" s="148" t="s">
        <v>121</v>
      </c>
      <c r="L3755" s="149">
        <v>46149</v>
      </c>
      <c r="M3755" s="148"/>
    </row>
    <row r="3756" spans="1:13" ht="15" customHeight="1">
      <c r="A3756" s="142" t="s">
        <v>8827</v>
      </c>
      <c r="B3756" s="142">
        <v>513516</v>
      </c>
      <c r="C3756" s="143" t="s">
        <v>8828</v>
      </c>
      <c r="D3756" s="142" t="s">
        <v>6893</v>
      </c>
      <c r="E3756" s="143" t="s">
        <v>8819</v>
      </c>
      <c r="F3756" s="143" t="s">
        <v>8829</v>
      </c>
      <c r="G3756" s="142" t="s">
        <v>109</v>
      </c>
      <c r="H3756" s="142" t="s">
        <v>54</v>
      </c>
      <c r="I3756" s="143" t="s">
        <v>6895</v>
      </c>
      <c r="J3756" s="143" t="s">
        <v>104</v>
      </c>
      <c r="K3756" s="144"/>
      <c r="L3756" s="145"/>
      <c r="M3756" s="144"/>
    </row>
    <row r="3757" spans="1:13" ht="15" customHeight="1">
      <c r="A3757" s="146" t="s">
        <v>8830</v>
      </c>
      <c r="B3757" s="146">
        <v>518247</v>
      </c>
      <c r="C3757" s="147" t="s">
        <v>6735</v>
      </c>
      <c r="D3757" s="146" t="s">
        <v>6893</v>
      </c>
      <c r="E3757" s="147" t="s">
        <v>8613</v>
      </c>
      <c r="F3757" s="147" t="s">
        <v>8613</v>
      </c>
      <c r="G3757" s="146" t="s">
        <v>6739</v>
      </c>
      <c r="H3757" s="146" t="s">
        <v>57</v>
      </c>
      <c r="I3757" s="147" t="s">
        <v>103</v>
      </c>
      <c r="J3757" s="147" t="s">
        <v>6741</v>
      </c>
      <c r="K3757" s="148"/>
      <c r="L3757" s="149"/>
      <c r="M3757" s="148"/>
    </row>
    <row r="3758" spans="1:13" ht="15" customHeight="1">
      <c r="A3758" s="142" t="s">
        <v>8831</v>
      </c>
      <c r="B3758" s="142">
        <v>518250</v>
      </c>
      <c r="C3758" s="143" t="s">
        <v>6735</v>
      </c>
      <c r="D3758" s="142" t="s">
        <v>6893</v>
      </c>
      <c r="E3758" s="143" t="s">
        <v>6936</v>
      </c>
      <c r="F3758" s="143" t="s">
        <v>6936</v>
      </c>
      <c r="G3758" s="142" t="s">
        <v>6739</v>
      </c>
      <c r="H3758" s="142" t="s">
        <v>57</v>
      </c>
      <c r="I3758" s="143" t="s">
        <v>103</v>
      </c>
      <c r="J3758" s="143" t="s">
        <v>6741</v>
      </c>
      <c r="K3758" s="144"/>
      <c r="L3758" s="145"/>
      <c r="M3758" s="144"/>
    </row>
    <row r="3759" spans="1:13" ht="15" customHeight="1">
      <c r="A3759" s="146" t="s">
        <v>8832</v>
      </c>
      <c r="B3759" s="146">
        <v>518214</v>
      </c>
      <c r="C3759" s="147" t="s">
        <v>2102</v>
      </c>
      <c r="D3759" s="146" t="s">
        <v>6893</v>
      </c>
      <c r="E3759" s="147" t="s">
        <v>8819</v>
      </c>
      <c r="F3759" s="147" t="s">
        <v>8833</v>
      </c>
      <c r="G3759" s="146" t="s">
        <v>109</v>
      </c>
      <c r="H3759" s="146" t="s">
        <v>54</v>
      </c>
      <c r="I3759" s="147" t="s">
        <v>6895</v>
      </c>
      <c r="J3759" s="147" t="s">
        <v>104</v>
      </c>
      <c r="K3759" s="148"/>
      <c r="L3759" s="149"/>
      <c r="M3759" s="148"/>
    </row>
    <row r="3760" spans="1:13" ht="15" customHeight="1">
      <c r="A3760" s="142" t="s">
        <v>8834</v>
      </c>
      <c r="B3760" s="142">
        <v>518241</v>
      </c>
      <c r="C3760" s="143" t="s">
        <v>6735</v>
      </c>
      <c r="D3760" s="142" t="s">
        <v>6893</v>
      </c>
      <c r="E3760" s="143" t="s">
        <v>8819</v>
      </c>
      <c r="F3760" s="143" t="s">
        <v>8819</v>
      </c>
      <c r="G3760" s="142" t="s">
        <v>6739</v>
      </c>
      <c r="H3760" s="142" t="s">
        <v>54</v>
      </c>
      <c r="I3760" s="143" t="s">
        <v>6895</v>
      </c>
      <c r="J3760" s="143" t="s">
        <v>6741</v>
      </c>
      <c r="K3760" s="144" t="s">
        <v>162</v>
      </c>
      <c r="L3760" s="145">
        <v>46147</v>
      </c>
      <c r="M3760" s="181" t="s">
        <v>8835</v>
      </c>
    </row>
    <row r="3761" spans="1:13" ht="15" customHeight="1">
      <c r="A3761" s="146" t="s">
        <v>8836</v>
      </c>
      <c r="B3761" s="146">
        <v>518252</v>
      </c>
      <c r="C3761" s="147" t="s">
        <v>6735</v>
      </c>
      <c r="D3761" s="146" t="s">
        <v>6893</v>
      </c>
      <c r="E3761" s="147" t="s">
        <v>8819</v>
      </c>
      <c r="F3761" s="147" t="s">
        <v>8819</v>
      </c>
      <c r="G3761" s="146" t="s">
        <v>6739</v>
      </c>
      <c r="H3761" s="146" t="s">
        <v>54</v>
      </c>
      <c r="I3761" s="147" t="s">
        <v>6895</v>
      </c>
      <c r="J3761" s="147" t="s">
        <v>6741</v>
      </c>
      <c r="K3761" s="148"/>
      <c r="L3761" s="149"/>
      <c r="M3761" s="148"/>
    </row>
    <row r="3762" spans="1:13" ht="15" customHeight="1">
      <c r="A3762" s="142" t="s">
        <v>8837</v>
      </c>
      <c r="B3762" s="142">
        <v>518253</v>
      </c>
      <c r="C3762" s="143" t="s">
        <v>6735</v>
      </c>
      <c r="D3762" s="142" t="s">
        <v>6893</v>
      </c>
      <c r="E3762" s="143" t="s">
        <v>8819</v>
      </c>
      <c r="F3762" s="143" t="s">
        <v>8819</v>
      </c>
      <c r="G3762" s="142" t="s">
        <v>6739</v>
      </c>
      <c r="H3762" s="142" t="s">
        <v>54</v>
      </c>
      <c r="I3762" s="143" t="s">
        <v>6895</v>
      </c>
      <c r="J3762" s="143" t="s">
        <v>6741</v>
      </c>
      <c r="K3762" s="144"/>
      <c r="L3762" s="145"/>
      <c r="M3762" s="144"/>
    </row>
    <row r="3763" spans="1:13" ht="15" customHeight="1">
      <c r="A3763" s="146" t="s">
        <v>8838</v>
      </c>
      <c r="B3763" s="146">
        <v>518254</v>
      </c>
      <c r="C3763" s="147" t="s">
        <v>6735</v>
      </c>
      <c r="D3763" s="146" t="s">
        <v>6893</v>
      </c>
      <c r="E3763" s="147" t="s">
        <v>8819</v>
      </c>
      <c r="F3763" s="147" t="s">
        <v>8819</v>
      </c>
      <c r="G3763" s="146" t="s">
        <v>6739</v>
      </c>
      <c r="H3763" s="146" t="s">
        <v>54</v>
      </c>
      <c r="I3763" s="147" t="s">
        <v>6895</v>
      </c>
      <c r="J3763" s="147" t="s">
        <v>6741</v>
      </c>
      <c r="K3763" s="148"/>
      <c r="L3763" s="149"/>
      <c r="M3763" s="148"/>
    </row>
    <row r="3764" spans="1:13" ht="15" customHeight="1">
      <c r="A3764" s="142" t="s">
        <v>8839</v>
      </c>
      <c r="B3764" s="142">
        <v>518255</v>
      </c>
      <c r="C3764" s="143" t="s">
        <v>6735</v>
      </c>
      <c r="D3764" s="142" t="s">
        <v>6893</v>
      </c>
      <c r="E3764" s="143" t="s">
        <v>8819</v>
      </c>
      <c r="F3764" s="143" t="s">
        <v>8819</v>
      </c>
      <c r="G3764" s="142" t="s">
        <v>6739</v>
      </c>
      <c r="H3764" s="142" t="s">
        <v>54</v>
      </c>
      <c r="I3764" s="143" t="s">
        <v>6895</v>
      </c>
      <c r="J3764" s="143" t="s">
        <v>6741</v>
      </c>
      <c r="K3764" s="144"/>
      <c r="L3764" s="145"/>
      <c r="M3764" s="144"/>
    </row>
    <row r="3765" spans="1:13" ht="15" customHeight="1">
      <c r="A3765" s="146" t="s">
        <v>8840</v>
      </c>
      <c r="B3765" s="146">
        <v>518190</v>
      </c>
      <c r="C3765" s="147" t="s">
        <v>6735</v>
      </c>
      <c r="D3765" s="146" t="s">
        <v>6893</v>
      </c>
      <c r="E3765" s="147" t="s">
        <v>8819</v>
      </c>
      <c r="F3765" s="147" t="s">
        <v>8819</v>
      </c>
      <c r="G3765" s="146" t="s">
        <v>6739</v>
      </c>
      <c r="H3765" s="146" t="s">
        <v>54</v>
      </c>
      <c r="I3765" s="147" t="s">
        <v>6895</v>
      </c>
      <c r="J3765" s="147" t="s">
        <v>6741</v>
      </c>
      <c r="K3765" s="148" t="s">
        <v>121</v>
      </c>
      <c r="L3765" s="149">
        <v>46146</v>
      </c>
      <c r="M3765" s="148" t="s">
        <v>8841</v>
      </c>
    </row>
    <row r="3766" spans="1:13" ht="15" customHeight="1">
      <c r="A3766" s="142" t="s">
        <v>8842</v>
      </c>
      <c r="B3766" s="142">
        <v>518167</v>
      </c>
      <c r="C3766" s="143" t="s">
        <v>8843</v>
      </c>
      <c r="D3766" s="142" t="s">
        <v>6893</v>
      </c>
      <c r="E3766" s="143" t="s">
        <v>8819</v>
      </c>
      <c r="F3766" s="143" t="s">
        <v>8844</v>
      </c>
      <c r="G3766" s="142" t="s">
        <v>109</v>
      </c>
      <c r="H3766" s="142" t="s">
        <v>54</v>
      </c>
      <c r="I3766" s="143" t="s">
        <v>6895</v>
      </c>
      <c r="J3766" s="143" t="s">
        <v>104</v>
      </c>
      <c r="K3766" s="144"/>
      <c r="L3766" s="145"/>
      <c r="M3766" s="144"/>
    </row>
    <row r="3767" spans="1:13" ht="15" customHeight="1">
      <c r="A3767" s="146" t="s">
        <v>8845</v>
      </c>
      <c r="B3767" s="146">
        <v>513476</v>
      </c>
      <c r="C3767" s="147" t="s">
        <v>833</v>
      </c>
      <c r="D3767" s="146" t="s">
        <v>6893</v>
      </c>
      <c r="E3767" s="147" t="s">
        <v>8819</v>
      </c>
      <c r="F3767" s="147" t="s">
        <v>833</v>
      </c>
      <c r="G3767" s="146" t="s">
        <v>109</v>
      </c>
      <c r="H3767" s="146" t="s">
        <v>54</v>
      </c>
      <c r="I3767" s="147" t="s">
        <v>6895</v>
      </c>
      <c r="J3767" s="147" t="s">
        <v>104</v>
      </c>
      <c r="K3767" s="148" t="s">
        <v>121</v>
      </c>
      <c r="L3767" s="149">
        <v>46148</v>
      </c>
      <c r="M3767" s="148"/>
    </row>
    <row r="3768" spans="1:13" ht="15" customHeight="1">
      <c r="A3768" s="142" t="s">
        <v>8846</v>
      </c>
      <c r="B3768" s="142">
        <v>518352</v>
      </c>
      <c r="C3768" s="143" t="s">
        <v>3006</v>
      </c>
      <c r="D3768" s="142" t="s">
        <v>6893</v>
      </c>
      <c r="E3768" s="143" t="s">
        <v>8847</v>
      </c>
      <c r="F3768" s="143" t="s">
        <v>8847</v>
      </c>
      <c r="G3768" s="142" t="s">
        <v>109</v>
      </c>
      <c r="H3768" s="142" t="s">
        <v>54</v>
      </c>
      <c r="I3768" s="143" t="s">
        <v>6895</v>
      </c>
      <c r="J3768" s="143" t="s">
        <v>104</v>
      </c>
      <c r="K3768" s="144"/>
      <c r="L3768" s="145"/>
      <c r="M3768" s="144"/>
    </row>
    <row r="3769" spans="1:13" ht="15" customHeight="1">
      <c r="A3769" s="146" t="s">
        <v>8848</v>
      </c>
      <c r="B3769" s="146">
        <v>518353</v>
      </c>
      <c r="C3769" s="147" t="s">
        <v>6735</v>
      </c>
      <c r="D3769" s="146" t="s">
        <v>6893</v>
      </c>
      <c r="E3769" s="147" t="s">
        <v>8847</v>
      </c>
      <c r="F3769" s="147" t="s">
        <v>8847</v>
      </c>
      <c r="G3769" s="146" t="s">
        <v>6739</v>
      </c>
      <c r="H3769" s="146" t="s">
        <v>54</v>
      </c>
      <c r="I3769" s="147" t="s">
        <v>6895</v>
      </c>
      <c r="J3769" s="147" t="s">
        <v>6741</v>
      </c>
      <c r="K3769" s="148"/>
      <c r="L3769" s="149"/>
      <c r="M3769" s="148"/>
    </row>
    <row r="3770" spans="1:13" ht="15" customHeight="1">
      <c r="A3770" s="142" t="s">
        <v>8849</v>
      </c>
      <c r="B3770" s="142">
        <v>518251</v>
      </c>
      <c r="C3770" s="143" t="s">
        <v>6735</v>
      </c>
      <c r="D3770" s="142" t="s">
        <v>6893</v>
      </c>
      <c r="E3770" s="143" t="s">
        <v>6936</v>
      </c>
      <c r="F3770" s="143" t="s">
        <v>6936</v>
      </c>
      <c r="G3770" s="142" t="s">
        <v>6739</v>
      </c>
      <c r="H3770" s="142" t="s">
        <v>57</v>
      </c>
      <c r="I3770" s="143" t="s">
        <v>103</v>
      </c>
      <c r="J3770" s="143" t="s">
        <v>6741</v>
      </c>
      <c r="K3770" s="144" t="s">
        <v>121</v>
      </c>
      <c r="L3770" s="145">
        <v>46147</v>
      </c>
      <c r="M3770" s="144"/>
    </row>
    <row r="3771" spans="1:13" ht="15" customHeight="1">
      <c r="A3771" s="146" t="s">
        <v>8850</v>
      </c>
      <c r="B3771" s="146">
        <v>518279</v>
      </c>
      <c r="C3771" s="147" t="s">
        <v>8851</v>
      </c>
      <c r="D3771" s="146" t="s">
        <v>6893</v>
      </c>
      <c r="E3771" s="147" t="s">
        <v>8852</v>
      </c>
      <c r="F3771" s="147" t="s">
        <v>8853</v>
      </c>
      <c r="G3771" s="146" t="s">
        <v>109</v>
      </c>
      <c r="H3771" s="146" t="s">
        <v>54</v>
      </c>
      <c r="I3771" s="147" t="s">
        <v>6895</v>
      </c>
      <c r="J3771" s="147" t="s">
        <v>104</v>
      </c>
      <c r="K3771" s="148"/>
      <c r="L3771" s="149"/>
      <c r="M3771" s="148"/>
    </row>
    <row r="3772" spans="1:13" ht="15" customHeight="1">
      <c r="A3772" s="142" t="s">
        <v>8854</v>
      </c>
      <c r="B3772" s="142">
        <v>518278</v>
      </c>
      <c r="C3772" s="143" t="s">
        <v>2340</v>
      </c>
      <c r="D3772" s="142" t="s">
        <v>6893</v>
      </c>
      <c r="E3772" s="143" t="s">
        <v>8852</v>
      </c>
      <c r="F3772" s="143" t="s">
        <v>8855</v>
      </c>
      <c r="G3772" s="142" t="s">
        <v>109</v>
      </c>
      <c r="H3772" s="142" t="s">
        <v>54</v>
      </c>
      <c r="I3772" s="143" t="s">
        <v>6895</v>
      </c>
      <c r="J3772" s="143" t="s">
        <v>104</v>
      </c>
      <c r="K3772" s="144"/>
      <c r="L3772" s="145"/>
      <c r="M3772" s="144"/>
    </row>
    <row r="3773" spans="1:13" ht="15" customHeight="1">
      <c r="A3773" s="146" t="s">
        <v>8856</v>
      </c>
      <c r="B3773" s="146">
        <v>518235</v>
      </c>
      <c r="C3773" s="147" t="s">
        <v>8857</v>
      </c>
      <c r="D3773" s="146" t="s">
        <v>6893</v>
      </c>
      <c r="E3773" s="147" t="s">
        <v>8852</v>
      </c>
      <c r="F3773" s="147" t="s">
        <v>8858</v>
      </c>
      <c r="G3773" s="146" t="s">
        <v>109</v>
      </c>
      <c r="H3773" s="146" t="s">
        <v>54</v>
      </c>
      <c r="I3773" s="147" t="s">
        <v>6895</v>
      </c>
      <c r="J3773" s="147" t="s">
        <v>104</v>
      </c>
      <c r="K3773" s="148"/>
      <c r="L3773" s="149"/>
      <c r="M3773" s="148"/>
    </row>
    <row r="3774" spans="1:13" ht="15" customHeight="1">
      <c r="A3774" s="142" t="s">
        <v>8859</v>
      </c>
      <c r="B3774" s="142">
        <v>518234</v>
      </c>
      <c r="C3774" s="143" t="s">
        <v>1175</v>
      </c>
      <c r="D3774" s="142" t="s">
        <v>6893</v>
      </c>
      <c r="E3774" s="143" t="s">
        <v>8852</v>
      </c>
      <c r="F3774" s="143" t="s">
        <v>8860</v>
      </c>
      <c r="G3774" s="142" t="s">
        <v>109</v>
      </c>
      <c r="H3774" s="142" t="s">
        <v>54</v>
      </c>
      <c r="I3774" s="143" t="s">
        <v>6895</v>
      </c>
      <c r="J3774" s="143" t="s">
        <v>104</v>
      </c>
      <c r="K3774" s="144"/>
      <c r="L3774" s="145"/>
      <c r="M3774" s="144"/>
    </row>
    <row r="3775" spans="1:13" ht="15" customHeight="1">
      <c r="A3775" s="146" t="s">
        <v>8861</v>
      </c>
      <c r="B3775" s="146">
        <v>518735</v>
      </c>
      <c r="C3775" s="147" t="s">
        <v>6735</v>
      </c>
      <c r="D3775" s="146" t="s">
        <v>7142</v>
      </c>
      <c r="E3775" s="147" t="s">
        <v>1558</v>
      </c>
      <c r="F3775" s="147" t="s">
        <v>1558</v>
      </c>
      <c r="G3775" s="146" t="s">
        <v>6739</v>
      </c>
      <c r="H3775" s="146" t="s">
        <v>56</v>
      </c>
      <c r="I3775" s="147" t="s">
        <v>440</v>
      </c>
      <c r="J3775" s="147" t="s">
        <v>6741</v>
      </c>
      <c r="K3775" s="148"/>
      <c r="L3775" s="149"/>
      <c r="M3775" s="148"/>
    </row>
    <row r="3776" spans="1:13" ht="15" customHeight="1">
      <c r="A3776" s="142" t="s">
        <v>8862</v>
      </c>
      <c r="B3776" s="142">
        <v>518733</v>
      </c>
      <c r="C3776" s="143" t="s">
        <v>6735</v>
      </c>
      <c r="D3776" s="142" t="s">
        <v>7142</v>
      </c>
      <c r="E3776" s="143" t="s">
        <v>1558</v>
      </c>
      <c r="F3776" s="143" t="s">
        <v>1558</v>
      </c>
      <c r="G3776" s="142" t="s">
        <v>6739</v>
      </c>
      <c r="H3776" s="142" t="s">
        <v>56</v>
      </c>
      <c r="I3776" s="143" t="s">
        <v>440</v>
      </c>
      <c r="J3776" s="143" t="s">
        <v>6741</v>
      </c>
      <c r="K3776" s="144"/>
      <c r="L3776" s="145"/>
      <c r="M3776" s="144"/>
    </row>
    <row r="3777" spans="1:13" ht="15" customHeight="1">
      <c r="A3777" s="146" t="s">
        <v>8863</v>
      </c>
      <c r="B3777" s="146">
        <v>518745</v>
      </c>
      <c r="C3777" s="147" t="s">
        <v>6735</v>
      </c>
      <c r="D3777" s="146" t="s">
        <v>7142</v>
      </c>
      <c r="E3777" s="147" t="s">
        <v>8864</v>
      </c>
      <c r="F3777" s="147" t="s">
        <v>1086</v>
      </c>
      <c r="G3777" s="146" t="s">
        <v>6739</v>
      </c>
      <c r="H3777" s="146" t="s">
        <v>56</v>
      </c>
      <c r="I3777" s="147" t="s">
        <v>440</v>
      </c>
      <c r="J3777" s="147" t="s">
        <v>6741</v>
      </c>
      <c r="K3777" s="148"/>
      <c r="L3777" s="149"/>
      <c r="M3777" s="148"/>
    </row>
    <row r="3778" spans="1:13" ht="15" customHeight="1">
      <c r="A3778" s="142" t="s">
        <v>8865</v>
      </c>
      <c r="B3778" s="142">
        <v>518652</v>
      </c>
      <c r="C3778" s="143" t="s">
        <v>6735</v>
      </c>
      <c r="D3778" s="142" t="s">
        <v>7142</v>
      </c>
      <c r="E3778" s="143" t="s">
        <v>8866</v>
      </c>
      <c r="F3778" s="143" t="s">
        <v>8867</v>
      </c>
      <c r="G3778" s="142" t="s">
        <v>6739</v>
      </c>
      <c r="H3778" s="142" t="s">
        <v>56</v>
      </c>
      <c r="I3778" s="143" t="s">
        <v>440</v>
      </c>
      <c r="J3778" s="143" t="s">
        <v>6741</v>
      </c>
      <c r="K3778" s="144"/>
      <c r="L3778" s="145"/>
      <c r="M3778" s="144"/>
    </row>
    <row r="3779" spans="1:13" ht="15" customHeight="1">
      <c r="A3779" s="146" t="s">
        <v>8868</v>
      </c>
      <c r="B3779" s="146">
        <v>519081</v>
      </c>
      <c r="C3779" s="147" t="s">
        <v>6735</v>
      </c>
      <c r="D3779" s="146" t="s">
        <v>7142</v>
      </c>
      <c r="E3779" s="147" t="s">
        <v>7172</v>
      </c>
      <c r="F3779" s="147" t="s">
        <v>7172</v>
      </c>
      <c r="G3779" s="146" t="s">
        <v>6739</v>
      </c>
      <c r="H3779" s="146" t="s">
        <v>56</v>
      </c>
      <c r="I3779" s="147" t="s">
        <v>440</v>
      </c>
      <c r="J3779" s="147" t="s">
        <v>6741</v>
      </c>
      <c r="K3779" s="148"/>
      <c r="L3779" s="149"/>
      <c r="M3779" s="148"/>
    </row>
    <row r="3780" spans="1:13" ht="15" customHeight="1">
      <c r="A3780" s="142" t="s">
        <v>8869</v>
      </c>
      <c r="B3780" s="142">
        <v>518654</v>
      </c>
      <c r="C3780" s="143" t="s">
        <v>6735</v>
      </c>
      <c r="D3780" s="142" t="s">
        <v>7142</v>
      </c>
      <c r="E3780" s="143" t="s">
        <v>7157</v>
      </c>
      <c r="F3780" s="143" t="s">
        <v>7221</v>
      </c>
      <c r="G3780" s="142" t="s">
        <v>6739</v>
      </c>
      <c r="H3780" s="142" t="s">
        <v>56</v>
      </c>
      <c r="I3780" s="143" t="s">
        <v>440</v>
      </c>
      <c r="J3780" s="143" t="s">
        <v>6741</v>
      </c>
      <c r="K3780" s="144"/>
      <c r="L3780" s="145"/>
      <c r="M3780" s="144"/>
    </row>
    <row r="3781" spans="1:13" ht="15" customHeight="1">
      <c r="A3781" s="146" t="s">
        <v>8870</v>
      </c>
      <c r="B3781" s="146">
        <v>518681</v>
      </c>
      <c r="C3781" s="147" t="s">
        <v>6735</v>
      </c>
      <c r="D3781" s="146" t="s">
        <v>7142</v>
      </c>
      <c r="E3781" s="147" t="s">
        <v>521</v>
      </c>
      <c r="F3781" s="147" t="s">
        <v>7259</v>
      </c>
      <c r="G3781" s="146" t="s">
        <v>6739</v>
      </c>
      <c r="H3781" s="146" t="s">
        <v>56</v>
      </c>
      <c r="I3781" s="147" t="s">
        <v>440</v>
      </c>
      <c r="J3781" s="147" t="s">
        <v>6741</v>
      </c>
      <c r="K3781" s="148"/>
      <c r="L3781" s="149"/>
      <c r="M3781" s="148"/>
    </row>
    <row r="3782" spans="1:13" ht="15" customHeight="1">
      <c r="A3782" s="142" t="s">
        <v>8871</v>
      </c>
      <c r="B3782" s="142">
        <v>518787</v>
      </c>
      <c r="C3782" s="143" t="s">
        <v>6735</v>
      </c>
      <c r="D3782" s="142" t="s">
        <v>7142</v>
      </c>
      <c r="E3782" s="143" t="s">
        <v>521</v>
      </c>
      <c r="F3782" s="143" t="s">
        <v>7259</v>
      </c>
      <c r="G3782" s="142" t="s">
        <v>6739</v>
      </c>
      <c r="H3782" s="142" t="s">
        <v>56</v>
      </c>
      <c r="I3782" s="143" t="s">
        <v>440</v>
      </c>
      <c r="J3782" s="143" t="s">
        <v>6741</v>
      </c>
      <c r="K3782" s="144"/>
      <c r="L3782" s="145"/>
      <c r="M3782" s="144"/>
    </row>
    <row r="3783" spans="1:13" ht="15" customHeight="1">
      <c r="A3783" s="146" t="s">
        <v>8872</v>
      </c>
      <c r="B3783" s="146">
        <v>518786</v>
      </c>
      <c r="C3783" s="147" t="s">
        <v>6735</v>
      </c>
      <c r="D3783" s="146" t="s">
        <v>7142</v>
      </c>
      <c r="E3783" s="147" t="s">
        <v>521</v>
      </c>
      <c r="F3783" s="147" t="s">
        <v>7259</v>
      </c>
      <c r="G3783" s="146" t="s">
        <v>6739</v>
      </c>
      <c r="H3783" s="146" t="s">
        <v>56</v>
      </c>
      <c r="I3783" s="147" t="s">
        <v>440</v>
      </c>
      <c r="J3783" s="147" t="s">
        <v>6741</v>
      </c>
      <c r="K3783" s="148"/>
      <c r="L3783" s="149"/>
      <c r="M3783" s="148"/>
    </row>
    <row r="3784" spans="1:13" ht="15" customHeight="1">
      <c r="A3784" s="142" t="s">
        <v>8873</v>
      </c>
      <c r="B3784" s="142">
        <v>518677</v>
      </c>
      <c r="C3784" s="143" t="s">
        <v>6735</v>
      </c>
      <c r="D3784" s="142" t="s">
        <v>7142</v>
      </c>
      <c r="E3784" s="143" t="s">
        <v>521</v>
      </c>
      <c r="F3784" s="143" t="s">
        <v>7259</v>
      </c>
      <c r="G3784" s="142" t="s">
        <v>6739</v>
      </c>
      <c r="H3784" s="142" t="s">
        <v>56</v>
      </c>
      <c r="I3784" s="143" t="s">
        <v>440</v>
      </c>
      <c r="J3784" s="143" t="s">
        <v>6741</v>
      </c>
      <c r="K3784" s="144"/>
      <c r="L3784" s="145"/>
      <c r="M3784" s="144"/>
    </row>
    <row r="3785" spans="1:13" ht="15" customHeight="1">
      <c r="A3785" s="146" t="s">
        <v>8874</v>
      </c>
      <c r="B3785" s="146">
        <v>518799</v>
      </c>
      <c r="C3785" s="147" t="s">
        <v>6735</v>
      </c>
      <c r="D3785" s="146" t="s">
        <v>7142</v>
      </c>
      <c r="E3785" s="147" t="s">
        <v>521</v>
      </c>
      <c r="F3785" s="147" t="s">
        <v>7259</v>
      </c>
      <c r="G3785" s="146" t="s">
        <v>6739</v>
      </c>
      <c r="H3785" s="146" t="s">
        <v>56</v>
      </c>
      <c r="I3785" s="147" t="s">
        <v>440</v>
      </c>
      <c r="J3785" s="147" t="s">
        <v>6741</v>
      </c>
      <c r="K3785" s="148" t="s">
        <v>121</v>
      </c>
      <c r="L3785" s="149">
        <v>46153</v>
      </c>
      <c r="M3785" s="148"/>
    </row>
    <row r="3786" spans="1:13" ht="15" customHeight="1">
      <c r="A3786" s="142" t="s">
        <v>8875</v>
      </c>
      <c r="B3786" s="142">
        <v>518763</v>
      </c>
      <c r="C3786" s="143" t="s">
        <v>6735</v>
      </c>
      <c r="D3786" s="142" t="s">
        <v>7142</v>
      </c>
      <c r="E3786" s="143" t="s">
        <v>521</v>
      </c>
      <c r="F3786" s="143" t="s">
        <v>7259</v>
      </c>
      <c r="G3786" s="142" t="s">
        <v>6739</v>
      </c>
      <c r="H3786" s="142" t="s">
        <v>56</v>
      </c>
      <c r="I3786" s="143" t="s">
        <v>440</v>
      </c>
      <c r="J3786" s="143" t="s">
        <v>6741</v>
      </c>
      <c r="K3786" s="144"/>
      <c r="L3786" s="145"/>
      <c r="M3786" s="144"/>
    </row>
    <row r="3787" spans="1:13" ht="15" customHeight="1">
      <c r="A3787" s="146" t="s">
        <v>8876</v>
      </c>
      <c r="B3787" s="146">
        <v>518792</v>
      </c>
      <c r="C3787" s="147" t="s">
        <v>6735</v>
      </c>
      <c r="D3787" s="146" t="s">
        <v>7142</v>
      </c>
      <c r="E3787" s="147" t="s">
        <v>521</v>
      </c>
      <c r="F3787" s="147" t="s">
        <v>7259</v>
      </c>
      <c r="G3787" s="146" t="s">
        <v>6739</v>
      </c>
      <c r="H3787" s="146" t="s">
        <v>56</v>
      </c>
      <c r="I3787" s="147" t="s">
        <v>440</v>
      </c>
      <c r="J3787" s="147" t="s">
        <v>6741</v>
      </c>
      <c r="K3787" s="148"/>
      <c r="L3787" s="149"/>
      <c r="M3787" s="148"/>
    </row>
    <row r="3788" spans="1:13" ht="15" customHeight="1">
      <c r="A3788" s="142" t="s">
        <v>8877</v>
      </c>
      <c r="B3788" s="142">
        <v>518793</v>
      </c>
      <c r="C3788" s="143" t="s">
        <v>6735</v>
      </c>
      <c r="D3788" s="142" t="s">
        <v>7142</v>
      </c>
      <c r="E3788" s="143" t="s">
        <v>521</v>
      </c>
      <c r="F3788" s="143" t="s">
        <v>7259</v>
      </c>
      <c r="G3788" s="142" t="s">
        <v>6739</v>
      </c>
      <c r="H3788" s="142" t="s">
        <v>56</v>
      </c>
      <c r="I3788" s="143" t="s">
        <v>440</v>
      </c>
      <c r="J3788" s="143" t="s">
        <v>6741</v>
      </c>
      <c r="K3788" s="144"/>
      <c r="L3788" s="145"/>
      <c r="M3788" s="144"/>
    </row>
    <row r="3789" spans="1:13" ht="15" customHeight="1">
      <c r="A3789" s="146" t="s">
        <v>8878</v>
      </c>
      <c r="B3789" s="146">
        <v>518800</v>
      </c>
      <c r="C3789" s="147" t="s">
        <v>6735</v>
      </c>
      <c r="D3789" s="146" t="s">
        <v>7142</v>
      </c>
      <c r="E3789" s="147" t="s">
        <v>521</v>
      </c>
      <c r="F3789" s="147" t="s">
        <v>7259</v>
      </c>
      <c r="G3789" s="146" t="s">
        <v>6739</v>
      </c>
      <c r="H3789" s="146" t="s">
        <v>56</v>
      </c>
      <c r="I3789" s="147" t="s">
        <v>440</v>
      </c>
      <c r="J3789" s="147" t="s">
        <v>6741</v>
      </c>
      <c r="K3789" s="148" t="s">
        <v>121</v>
      </c>
      <c r="L3789" s="149">
        <v>46153</v>
      </c>
      <c r="M3789" s="148"/>
    </row>
    <row r="3790" spans="1:13" ht="15" customHeight="1">
      <c r="A3790" s="142" t="s">
        <v>8879</v>
      </c>
      <c r="B3790" s="142">
        <v>518675</v>
      </c>
      <c r="C3790" s="143" t="s">
        <v>6735</v>
      </c>
      <c r="D3790" s="142" t="s">
        <v>7142</v>
      </c>
      <c r="E3790" s="143" t="s">
        <v>521</v>
      </c>
      <c r="F3790" s="143" t="s">
        <v>7259</v>
      </c>
      <c r="G3790" s="142" t="s">
        <v>6739</v>
      </c>
      <c r="H3790" s="142" t="s">
        <v>56</v>
      </c>
      <c r="I3790" s="143" t="s">
        <v>440</v>
      </c>
      <c r="J3790" s="143" t="s">
        <v>6741</v>
      </c>
      <c r="K3790" s="144" t="s">
        <v>121</v>
      </c>
      <c r="L3790" s="145">
        <v>46150</v>
      </c>
      <c r="M3790" s="144"/>
    </row>
    <row r="3791" spans="1:13" ht="15" customHeight="1">
      <c r="A3791" s="146" t="s">
        <v>8880</v>
      </c>
      <c r="B3791" s="146">
        <v>518798</v>
      </c>
      <c r="C3791" s="147" t="s">
        <v>6735</v>
      </c>
      <c r="D3791" s="146" t="s">
        <v>7142</v>
      </c>
      <c r="E3791" s="147" t="s">
        <v>521</v>
      </c>
      <c r="F3791" s="147" t="s">
        <v>8881</v>
      </c>
      <c r="G3791" s="146" t="s">
        <v>6739</v>
      </c>
      <c r="H3791" s="146" t="s">
        <v>56</v>
      </c>
      <c r="I3791" s="147" t="s">
        <v>440</v>
      </c>
      <c r="J3791" s="147" t="s">
        <v>6741</v>
      </c>
      <c r="K3791" s="148"/>
      <c r="L3791" s="149"/>
      <c r="M3791" s="148"/>
    </row>
    <row r="3792" spans="1:13" ht="15" customHeight="1">
      <c r="A3792" s="142" t="s">
        <v>8882</v>
      </c>
      <c r="B3792" s="142">
        <v>518760</v>
      </c>
      <c r="C3792" s="143" t="s">
        <v>6735</v>
      </c>
      <c r="D3792" s="142" t="s">
        <v>7142</v>
      </c>
      <c r="E3792" s="143" t="s">
        <v>521</v>
      </c>
      <c r="F3792" s="143" t="s">
        <v>8883</v>
      </c>
      <c r="G3792" s="142" t="s">
        <v>6739</v>
      </c>
      <c r="H3792" s="142" t="s">
        <v>56</v>
      </c>
      <c r="I3792" s="143" t="s">
        <v>440</v>
      </c>
      <c r="J3792" s="143" t="s">
        <v>6741</v>
      </c>
      <c r="K3792" s="144"/>
      <c r="L3792" s="145"/>
      <c r="M3792" s="144"/>
    </row>
    <row r="3793" spans="1:13" ht="15" customHeight="1">
      <c r="A3793" s="146" t="s">
        <v>8884</v>
      </c>
      <c r="B3793" s="146">
        <v>518801</v>
      </c>
      <c r="C3793" s="147" t="s">
        <v>6735</v>
      </c>
      <c r="D3793" s="146" t="s">
        <v>7142</v>
      </c>
      <c r="E3793" s="147" t="s">
        <v>521</v>
      </c>
      <c r="F3793" s="147" t="s">
        <v>8885</v>
      </c>
      <c r="G3793" s="146" t="s">
        <v>6739</v>
      </c>
      <c r="H3793" s="146" t="s">
        <v>56</v>
      </c>
      <c r="I3793" s="147" t="s">
        <v>440</v>
      </c>
      <c r="J3793" s="147" t="s">
        <v>6741</v>
      </c>
      <c r="K3793" s="148"/>
      <c r="L3793" s="149"/>
      <c r="M3793" s="148"/>
    </row>
    <row r="3794" spans="1:13" ht="15" customHeight="1">
      <c r="A3794" s="142" t="s">
        <v>8886</v>
      </c>
      <c r="B3794" s="142">
        <v>518759</v>
      </c>
      <c r="C3794" s="143" t="s">
        <v>6735</v>
      </c>
      <c r="D3794" s="142" t="s">
        <v>7142</v>
      </c>
      <c r="E3794" s="143" t="s">
        <v>521</v>
      </c>
      <c r="F3794" s="143" t="s">
        <v>8887</v>
      </c>
      <c r="G3794" s="142" t="s">
        <v>6739</v>
      </c>
      <c r="H3794" s="142" t="s">
        <v>56</v>
      </c>
      <c r="I3794" s="143" t="s">
        <v>440</v>
      </c>
      <c r="J3794" s="143" t="s">
        <v>6741</v>
      </c>
      <c r="K3794" s="144"/>
      <c r="L3794" s="145"/>
      <c r="M3794" s="144"/>
    </row>
    <row r="3795" spans="1:13" ht="15" customHeight="1">
      <c r="A3795" s="146" t="s">
        <v>8888</v>
      </c>
      <c r="B3795" s="146">
        <v>518688</v>
      </c>
      <c r="C3795" s="147" t="s">
        <v>6735</v>
      </c>
      <c r="D3795" s="146" t="s">
        <v>7142</v>
      </c>
      <c r="E3795" s="147" t="s">
        <v>7231</v>
      </c>
      <c r="F3795" s="147" t="s">
        <v>7231</v>
      </c>
      <c r="G3795" s="146" t="s">
        <v>6739</v>
      </c>
      <c r="H3795" s="146" t="s">
        <v>56</v>
      </c>
      <c r="I3795" s="147" t="s">
        <v>440</v>
      </c>
      <c r="J3795" s="147" t="s">
        <v>6741</v>
      </c>
      <c r="K3795" s="148"/>
      <c r="L3795" s="149"/>
      <c r="M3795" s="148"/>
    </row>
    <row r="3796" spans="1:13" ht="15" customHeight="1">
      <c r="A3796" s="142" t="s">
        <v>8889</v>
      </c>
      <c r="B3796" s="142">
        <v>518765</v>
      </c>
      <c r="C3796" s="143" t="s">
        <v>6735</v>
      </c>
      <c r="D3796" s="142" t="s">
        <v>7142</v>
      </c>
      <c r="E3796" s="143" t="s">
        <v>7231</v>
      </c>
      <c r="F3796" s="143" t="s">
        <v>7231</v>
      </c>
      <c r="G3796" s="142" t="s">
        <v>6739</v>
      </c>
      <c r="H3796" s="142" t="s">
        <v>56</v>
      </c>
      <c r="I3796" s="143" t="s">
        <v>440</v>
      </c>
      <c r="J3796" s="143" t="s">
        <v>6741</v>
      </c>
      <c r="K3796" s="144"/>
      <c r="L3796" s="145"/>
      <c r="M3796" s="144"/>
    </row>
    <row r="3797" spans="1:13" ht="15" customHeight="1">
      <c r="A3797" s="146" t="s">
        <v>8890</v>
      </c>
      <c r="B3797" s="146">
        <v>518691</v>
      </c>
      <c r="C3797" s="147" t="s">
        <v>6735</v>
      </c>
      <c r="D3797" s="146" t="s">
        <v>7142</v>
      </c>
      <c r="E3797" s="147" t="s">
        <v>7231</v>
      </c>
      <c r="F3797" s="147" t="s">
        <v>7231</v>
      </c>
      <c r="G3797" s="146" t="s">
        <v>6739</v>
      </c>
      <c r="H3797" s="146" t="s">
        <v>56</v>
      </c>
      <c r="I3797" s="147" t="s">
        <v>440</v>
      </c>
      <c r="J3797" s="147" t="s">
        <v>6741</v>
      </c>
      <c r="K3797" s="148"/>
      <c r="L3797" s="149"/>
      <c r="M3797" s="148"/>
    </row>
    <row r="3798" spans="1:13" ht="15" customHeight="1">
      <c r="A3798" s="142" t="s">
        <v>8891</v>
      </c>
      <c r="B3798" s="142">
        <v>518683</v>
      </c>
      <c r="C3798" s="143" t="s">
        <v>6735</v>
      </c>
      <c r="D3798" s="142" t="s">
        <v>7142</v>
      </c>
      <c r="E3798" s="143" t="s">
        <v>7231</v>
      </c>
      <c r="F3798" s="143" t="s">
        <v>7231</v>
      </c>
      <c r="G3798" s="142" t="s">
        <v>6739</v>
      </c>
      <c r="H3798" s="142" t="s">
        <v>56</v>
      </c>
      <c r="I3798" s="143" t="s">
        <v>440</v>
      </c>
      <c r="J3798" s="143" t="s">
        <v>6741</v>
      </c>
      <c r="K3798" s="144"/>
      <c r="L3798" s="145"/>
      <c r="M3798" s="144"/>
    </row>
    <row r="3799" spans="1:13" ht="15" customHeight="1">
      <c r="A3799" s="146" t="s">
        <v>8892</v>
      </c>
      <c r="B3799" s="146">
        <v>518693</v>
      </c>
      <c r="C3799" s="147" t="s">
        <v>6735</v>
      </c>
      <c r="D3799" s="146" t="s">
        <v>7142</v>
      </c>
      <c r="E3799" s="147" t="s">
        <v>7231</v>
      </c>
      <c r="F3799" s="147" t="s">
        <v>7231</v>
      </c>
      <c r="G3799" s="146" t="s">
        <v>6739</v>
      </c>
      <c r="H3799" s="146" t="s">
        <v>56</v>
      </c>
      <c r="I3799" s="147" t="s">
        <v>440</v>
      </c>
      <c r="J3799" s="147" t="s">
        <v>6741</v>
      </c>
      <c r="K3799" s="148"/>
      <c r="L3799" s="149"/>
      <c r="M3799" s="148"/>
    </row>
    <row r="3800" spans="1:13" ht="15" customHeight="1">
      <c r="A3800" s="142" t="s">
        <v>8893</v>
      </c>
      <c r="B3800" s="142">
        <v>518768</v>
      </c>
      <c r="C3800" s="143" t="s">
        <v>6735</v>
      </c>
      <c r="D3800" s="142" t="s">
        <v>7142</v>
      </c>
      <c r="E3800" s="143" t="s">
        <v>7231</v>
      </c>
      <c r="F3800" s="143" t="s">
        <v>7231</v>
      </c>
      <c r="G3800" s="142" t="s">
        <v>6739</v>
      </c>
      <c r="H3800" s="142" t="s">
        <v>56</v>
      </c>
      <c r="I3800" s="143" t="s">
        <v>440</v>
      </c>
      <c r="J3800" s="143" t="s">
        <v>6741</v>
      </c>
      <c r="K3800" s="144"/>
      <c r="L3800" s="145"/>
      <c r="M3800" s="144"/>
    </row>
    <row r="3801" spans="1:13" ht="15" customHeight="1">
      <c r="A3801" s="146" t="s">
        <v>8894</v>
      </c>
      <c r="B3801" s="146">
        <v>518766</v>
      </c>
      <c r="C3801" s="147" t="s">
        <v>6735</v>
      </c>
      <c r="D3801" s="146" t="s">
        <v>7142</v>
      </c>
      <c r="E3801" s="147" t="s">
        <v>7231</v>
      </c>
      <c r="F3801" s="147" t="s">
        <v>7231</v>
      </c>
      <c r="G3801" s="146" t="s">
        <v>6739</v>
      </c>
      <c r="H3801" s="146" t="s">
        <v>56</v>
      </c>
      <c r="I3801" s="147" t="s">
        <v>440</v>
      </c>
      <c r="J3801" s="147" t="s">
        <v>6741</v>
      </c>
      <c r="K3801" s="148"/>
      <c r="L3801" s="149"/>
      <c r="M3801" s="148"/>
    </row>
    <row r="3802" spans="1:13" ht="15" customHeight="1">
      <c r="A3802" s="142" t="s">
        <v>8895</v>
      </c>
      <c r="B3802" s="142">
        <v>518722</v>
      </c>
      <c r="C3802" s="143" t="s">
        <v>6735</v>
      </c>
      <c r="D3802" s="142" t="s">
        <v>7142</v>
      </c>
      <c r="E3802" s="143" t="s">
        <v>7231</v>
      </c>
      <c r="F3802" s="143" t="s">
        <v>7231</v>
      </c>
      <c r="G3802" s="142" t="s">
        <v>6739</v>
      </c>
      <c r="H3802" s="142" t="s">
        <v>56</v>
      </c>
      <c r="I3802" s="143" t="s">
        <v>440</v>
      </c>
      <c r="J3802" s="143" t="s">
        <v>6741</v>
      </c>
      <c r="K3802" s="144"/>
      <c r="L3802" s="145"/>
      <c r="M3802" s="144"/>
    </row>
    <row r="3803" spans="1:13" ht="15" customHeight="1">
      <c r="A3803" s="146" t="s">
        <v>8896</v>
      </c>
      <c r="B3803" s="146">
        <v>518764</v>
      </c>
      <c r="C3803" s="147" t="s">
        <v>6735</v>
      </c>
      <c r="D3803" s="146" t="s">
        <v>7142</v>
      </c>
      <c r="E3803" s="147" t="s">
        <v>7231</v>
      </c>
      <c r="F3803" s="147" t="s">
        <v>7231</v>
      </c>
      <c r="G3803" s="146" t="s">
        <v>6739</v>
      </c>
      <c r="H3803" s="146" t="s">
        <v>56</v>
      </c>
      <c r="I3803" s="147" t="s">
        <v>440</v>
      </c>
      <c r="J3803" s="147" t="s">
        <v>6741</v>
      </c>
      <c r="K3803" s="148"/>
      <c r="L3803" s="149"/>
      <c r="M3803" s="148"/>
    </row>
    <row r="3804" spans="1:13" ht="15" customHeight="1">
      <c r="A3804" s="142" t="s">
        <v>8897</v>
      </c>
      <c r="B3804" s="142">
        <v>518701</v>
      </c>
      <c r="C3804" s="143" t="s">
        <v>6735</v>
      </c>
      <c r="D3804" s="142" t="s">
        <v>7142</v>
      </c>
      <c r="E3804" s="143" t="s">
        <v>7143</v>
      </c>
      <c r="F3804" s="143" t="s">
        <v>7143</v>
      </c>
      <c r="G3804" s="142" t="s">
        <v>6739</v>
      </c>
      <c r="H3804" s="142" t="s">
        <v>56</v>
      </c>
      <c r="I3804" s="143" t="s">
        <v>440</v>
      </c>
      <c r="J3804" s="143" t="s">
        <v>6741</v>
      </c>
      <c r="K3804" s="144"/>
      <c r="L3804" s="145"/>
      <c r="M3804" s="144"/>
    </row>
    <row r="3805" spans="1:13" ht="15" customHeight="1">
      <c r="A3805" s="146" t="s">
        <v>8898</v>
      </c>
      <c r="B3805" s="146">
        <v>518703</v>
      </c>
      <c r="C3805" s="147" t="s">
        <v>6735</v>
      </c>
      <c r="D3805" s="146" t="s">
        <v>7142</v>
      </c>
      <c r="E3805" s="147" t="s">
        <v>7143</v>
      </c>
      <c r="F3805" s="147" t="s">
        <v>7143</v>
      </c>
      <c r="G3805" s="146" t="s">
        <v>6739</v>
      </c>
      <c r="H3805" s="146" t="s">
        <v>56</v>
      </c>
      <c r="I3805" s="147" t="s">
        <v>440</v>
      </c>
      <c r="J3805" s="147" t="s">
        <v>6741</v>
      </c>
      <c r="K3805" s="148"/>
      <c r="L3805" s="149"/>
      <c r="M3805" s="148"/>
    </row>
    <row r="3806" spans="1:13" ht="15" customHeight="1">
      <c r="A3806" s="142" t="s">
        <v>8899</v>
      </c>
      <c r="B3806" s="142">
        <v>518704</v>
      </c>
      <c r="C3806" s="143" t="s">
        <v>6735</v>
      </c>
      <c r="D3806" s="142" t="s">
        <v>7142</v>
      </c>
      <c r="E3806" s="143" t="s">
        <v>7143</v>
      </c>
      <c r="F3806" s="143" t="s">
        <v>7143</v>
      </c>
      <c r="G3806" s="142" t="s">
        <v>6739</v>
      </c>
      <c r="H3806" s="142" t="s">
        <v>56</v>
      </c>
      <c r="I3806" s="143" t="s">
        <v>440</v>
      </c>
      <c r="J3806" s="143" t="s">
        <v>6741</v>
      </c>
      <c r="K3806" s="144" t="s">
        <v>121</v>
      </c>
      <c r="L3806" s="145">
        <v>46150</v>
      </c>
      <c r="M3806" s="144"/>
    </row>
    <row r="3807" spans="1:13" ht="15" customHeight="1">
      <c r="A3807" s="146" t="s">
        <v>8900</v>
      </c>
      <c r="B3807" s="146">
        <v>518699</v>
      </c>
      <c r="C3807" s="147" t="s">
        <v>6735</v>
      </c>
      <c r="D3807" s="146" t="s">
        <v>7142</v>
      </c>
      <c r="E3807" s="147" t="s">
        <v>7143</v>
      </c>
      <c r="F3807" s="147" t="s">
        <v>7143</v>
      </c>
      <c r="G3807" s="146" t="s">
        <v>6739</v>
      </c>
      <c r="H3807" s="146" t="s">
        <v>56</v>
      </c>
      <c r="I3807" s="147" t="s">
        <v>440</v>
      </c>
      <c r="J3807" s="147" t="s">
        <v>6741</v>
      </c>
      <c r="K3807" s="148" t="s">
        <v>121</v>
      </c>
      <c r="L3807" s="149">
        <v>46149</v>
      </c>
      <c r="M3807" s="148"/>
    </row>
    <row r="3808" spans="1:13" ht="15" customHeight="1">
      <c r="A3808" s="142" t="s">
        <v>8901</v>
      </c>
      <c r="B3808" s="142">
        <v>518705</v>
      </c>
      <c r="C3808" s="143" t="s">
        <v>6735</v>
      </c>
      <c r="D3808" s="142" t="s">
        <v>7142</v>
      </c>
      <c r="E3808" s="143" t="s">
        <v>7143</v>
      </c>
      <c r="F3808" s="143" t="s">
        <v>7143</v>
      </c>
      <c r="G3808" s="142" t="s">
        <v>6739</v>
      </c>
      <c r="H3808" s="142" t="s">
        <v>56</v>
      </c>
      <c r="I3808" s="143" t="s">
        <v>440</v>
      </c>
      <c r="J3808" s="143" t="s">
        <v>6741</v>
      </c>
      <c r="K3808" s="144"/>
      <c r="L3808" s="145"/>
      <c r="M3808" s="144"/>
    </row>
    <row r="3809" spans="1:13" ht="15" customHeight="1">
      <c r="A3809" s="146" t="s">
        <v>8902</v>
      </c>
      <c r="B3809" s="146">
        <v>518695</v>
      </c>
      <c r="C3809" s="147" t="s">
        <v>6735</v>
      </c>
      <c r="D3809" s="146" t="s">
        <v>7142</v>
      </c>
      <c r="E3809" s="147" t="s">
        <v>7143</v>
      </c>
      <c r="F3809" s="147" t="s">
        <v>7143</v>
      </c>
      <c r="G3809" s="146" t="s">
        <v>6739</v>
      </c>
      <c r="H3809" s="146" t="s">
        <v>56</v>
      </c>
      <c r="I3809" s="147" t="s">
        <v>440</v>
      </c>
      <c r="J3809" s="147" t="s">
        <v>6741</v>
      </c>
      <c r="K3809" s="148" t="s">
        <v>121</v>
      </c>
      <c r="L3809" s="149">
        <v>46149</v>
      </c>
      <c r="M3809" s="148"/>
    </row>
    <row r="3810" spans="1:13" ht="15" customHeight="1">
      <c r="A3810" s="142" t="s">
        <v>8903</v>
      </c>
      <c r="B3810" s="142">
        <v>518710</v>
      </c>
      <c r="C3810" s="143" t="s">
        <v>6735</v>
      </c>
      <c r="D3810" s="142" t="s">
        <v>7142</v>
      </c>
      <c r="E3810" s="143" t="s">
        <v>7143</v>
      </c>
      <c r="F3810" s="143" t="s">
        <v>7143</v>
      </c>
      <c r="G3810" s="142" t="s">
        <v>6739</v>
      </c>
      <c r="H3810" s="142" t="s">
        <v>56</v>
      </c>
      <c r="I3810" s="143" t="s">
        <v>440</v>
      </c>
      <c r="J3810" s="143" t="s">
        <v>6741</v>
      </c>
      <c r="K3810" s="144" t="s">
        <v>121</v>
      </c>
      <c r="L3810" s="145">
        <v>46153</v>
      </c>
      <c r="M3810" s="144"/>
    </row>
    <row r="3811" spans="1:13" ht="15" customHeight="1">
      <c r="A3811" s="146" t="s">
        <v>8904</v>
      </c>
      <c r="B3811" s="146">
        <v>519101</v>
      </c>
      <c r="C3811" s="147" t="s">
        <v>6735</v>
      </c>
      <c r="D3811" s="146" t="s">
        <v>7142</v>
      </c>
      <c r="E3811" s="147" t="s">
        <v>457</v>
      </c>
      <c r="F3811" s="147" t="s">
        <v>8905</v>
      </c>
      <c r="G3811" s="146" t="s">
        <v>6739</v>
      </c>
      <c r="H3811" s="146" t="s">
        <v>56</v>
      </c>
      <c r="I3811" s="147" t="s">
        <v>440</v>
      </c>
      <c r="J3811" s="147" t="s">
        <v>6741</v>
      </c>
      <c r="K3811" s="148"/>
      <c r="L3811" s="149"/>
      <c r="M3811" s="148"/>
    </row>
    <row r="3812" spans="1:13" ht="15" customHeight="1">
      <c r="A3812" s="142" t="s">
        <v>8906</v>
      </c>
      <c r="B3812" s="142">
        <v>518719</v>
      </c>
      <c r="C3812" s="143" t="s">
        <v>6735</v>
      </c>
      <c r="D3812" s="142" t="s">
        <v>7142</v>
      </c>
      <c r="E3812" s="143" t="s">
        <v>7262</v>
      </c>
      <c r="F3812" s="143" t="s">
        <v>7262</v>
      </c>
      <c r="G3812" s="142" t="s">
        <v>6739</v>
      </c>
      <c r="H3812" s="142" t="s">
        <v>56</v>
      </c>
      <c r="I3812" s="143" t="s">
        <v>440</v>
      </c>
      <c r="J3812" s="143" t="s">
        <v>6741</v>
      </c>
      <c r="K3812" s="144"/>
      <c r="L3812" s="145"/>
      <c r="M3812" s="144"/>
    </row>
    <row r="3813" spans="1:13" ht="15" customHeight="1">
      <c r="A3813" s="146" t="s">
        <v>8907</v>
      </c>
      <c r="B3813" s="146">
        <v>518712</v>
      </c>
      <c r="C3813" s="147" t="s">
        <v>6735</v>
      </c>
      <c r="D3813" s="146" t="s">
        <v>7142</v>
      </c>
      <c r="E3813" s="147" t="s">
        <v>7262</v>
      </c>
      <c r="F3813" s="147" t="s">
        <v>7262</v>
      </c>
      <c r="G3813" s="146" t="s">
        <v>6739</v>
      </c>
      <c r="H3813" s="146" t="s">
        <v>56</v>
      </c>
      <c r="I3813" s="147" t="s">
        <v>440</v>
      </c>
      <c r="J3813" s="147" t="s">
        <v>6741</v>
      </c>
      <c r="K3813" s="148"/>
      <c r="L3813" s="149"/>
      <c r="M3813" s="148"/>
    </row>
    <row r="3814" spans="1:13" ht="15" customHeight="1">
      <c r="A3814" s="142" t="s">
        <v>8908</v>
      </c>
      <c r="B3814" s="142">
        <v>518713</v>
      </c>
      <c r="C3814" s="143" t="s">
        <v>6735</v>
      </c>
      <c r="D3814" s="142" t="s">
        <v>7142</v>
      </c>
      <c r="E3814" s="143" t="s">
        <v>7262</v>
      </c>
      <c r="F3814" s="143" t="s">
        <v>7262</v>
      </c>
      <c r="G3814" s="142" t="s">
        <v>6739</v>
      </c>
      <c r="H3814" s="142" t="s">
        <v>56</v>
      </c>
      <c r="I3814" s="143" t="s">
        <v>440</v>
      </c>
      <c r="J3814" s="143" t="s">
        <v>6741</v>
      </c>
      <c r="K3814" s="144"/>
      <c r="L3814" s="145"/>
      <c r="M3814" s="144"/>
    </row>
    <row r="3815" spans="1:13" ht="15" customHeight="1">
      <c r="A3815" s="146" t="s">
        <v>8909</v>
      </c>
      <c r="B3815" s="146">
        <v>518720</v>
      </c>
      <c r="C3815" s="147" t="s">
        <v>6735</v>
      </c>
      <c r="D3815" s="146" t="s">
        <v>7142</v>
      </c>
      <c r="E3815" s="147" t="s">
        <v>7262</v>
      </c>
      <c r="F3815" s="147" t="s">
        <v>7262</v>
      </c>
      <c r="G3815" s="146" t="s">
        <v>6739</v>
      </c>
      <c r="H3815" s="146" t="s">
        <v>56</v>
      </c>
      <c r="I3815" s="147" t="s">
        <v>440</v>
      </c>
      <c r="J3815" s="147" t="s">
        <v>6741</v>
      </c>
      <c r="K3815" s="148"/>
      <c r="L3815" s="149"/>
      <c r="M3815" s="148"/>
    </row>
    <row r="3816" spans="1:13" ht="15" customHeight="1">
      <c r="A3816" s="142" t="s">
        <v>8910</v>
      </c>
      <c r="B3816" s="142">
        <v>518714</v>
      </c>
      <c r="C3816" s="143" t="s">
        <v>6735</v>
      </c>
      <c r="D3816" s="142" t="s">
        <v>7142</v>
      </c>
      <c r="E3816" s="143" t="s">
        <v>7262</v>
      </c>
      <c r="F3816" s="143" t="s">
        <v>7262</v>
      </c>
      <c r="G3816" s="142" t="s">
        <v>6739</v>
      </c>
      <c r="H3816" s="142" t="s">
        <v>56</v>
      </c>
      <c r="I3816" s="143" t="s">
        <v>440</v>
      </c>
      <c r="J3816" s="143" t="s">
        <v>6741</v>
      </c>
      <c r="K3816" s="144"/>
      <c r="L3816" s="145"/>
      <c r="M3816" s="144"/>
    </row>
    <row r="3817" spans="1:13" ht="15" customHeight="1">
      <c r="A3817" s="146" t="s">
        <v>8911</v>
      </c>
      <c r="B3817" s="146">
        <v>518717</v>
      </c>
      <c r="C3817" s="147" t="s">
        <v>6735</v>
      </c>
      <c r="D3817" s="146" t="s">
        <v>7142</v>
      </c>
      <c r="E3817" s="147" t="s">
        <v>7262</v>
      </c>
      <c r="F3817" s="147" t="s">
        <v>7262</v>
      </c>
      <c r="G3817" s="146" t="s">
        <v>6739</v>
      </c>
      <c r="H3817" s="146" t="s">
        <v>56</v>
      </c>
      <c r="I3817" s="147" t="s">
        <v>440</v>
      </c>
      <c r="J3817" s="147" t="s">
        <v>6741</v>
      </c>
      <c r="K3817" s="148"/>
      <c r="L3817" s="149"/>
      <c r="M3817" s="148"/>
    </row>
    <row r="3818" spans="1:13" ht="15" customHeight="1">
      <c r="A3818" s="142" t="s">
        <v>8912</v>
      </c>
      <c r="B3818" s="142">
        <v>518727</v>
      </c>
      <c r="C3818" s="143" t="s">
        <v>6735</v>
      </c>
      <c r="D3818" s="142" t="s">
        <v>7142</v>
      </c>
      <c r="E3818" s="143" t="s">
        <v>1600</v>
      </c>
      <c r="F3818" s="143" t="s">
        <v>8913</v>
      </c>
      <c r="G3818" s="142" t="s">
        <v>6739</v>
      </c>
      <c r="H3818" s="142" t="s">
        <v>56</v>
      </c>
      <c r="I3818" s="143" t="s">
        <v>440</v>
      </c>
      <c r="J3818" s="143" t="s">
        <v>6741</v>
      </c>
      <c r="K3818" s="144"/>
      <c r="L3818" s="145"/>
      <c r="M3818" s="144"/>
    </row>
    <row r="3819" spans="1:13" ht="15" customHeight="1">
      <c r="A3819" s="146" t="s">
        <v>8914</v>
      </c>
      <c r="B3819" s="146">
        <v>518725</v>
      </c>
      <c r="C3819" s="147" t="s">
        <v>6735</v>
      </c>
      <c r="D3819" s="146" t="s">
        <v>7142</v>
      </c>
      <c r="E3819" s="147" t="s">
        <v>1600</v>
      </c>
      <c r="F3819" s="147" t="s">
        <v>8913</v>
      </c>
      <c r="G3819" s="146" t="s">
        <v>6739</v>
      </c>
      <c r="H3819" s="146" t="s">
        <v>56</v>
      </c>
      <c r="I3819" s="147" t="s">
        <v>440</v>
      </c>
      <c r="J3819" s="147" t="s">
        <v>6741</v>
      </c>
      <c r="K3819" s="148"/>
      <c r="L3819" s="149"/>
      <c r="M3819" s="148"/>
    </row>
    <row r="3820" spans="1:13" ht="15" customHeight="1">
      <c r="A3820" s="142" t="s">
        <v>8915</v>
      </c>
      <c r="B3820" s="142">
        <v>518664</v>
      </c>
      <c r="C3820" s="143" t="s">
        <v>6735</v>
      </c>
      <c r="D3820" s="142" t="s">
        <v>7142</v>
      </c>
      <c r="E3820" s="143" t="s">
        <v>1600</v>
      </c>
      <c r="F3820" s="143" t="s">
        <v>8913</v>
      </c>
      <c r="G3820" s="142" t="s">
        <v>6739</v>
      </c>
      <c r="H3820" s="142" t="s">
        <v>56</v>
      </c>
      <c r="I3820" s="143" t="s">
        <v>440</v>
      </c>
      <c r="J3820" s="143" t="s">
        <v>6741</v>
      </c>
      <c r="K3820" s="144"/>
      <c r="L3820" s="145"/>
      <c r="M3820" s="144"/>
    </row>
    <row r="3821" spans="1:13" ht="15" customHeight="1">
      <c r="A3821" s="146" t="s">
        <v>8916</v>
      </c>
      <c r="B3821" s="146">
        <v>518728</v>
      </c>
      <c r="C3821" s="147" t="s">
        <v>6735</v>
      </c>
      <c r="D3821" s="146" t="s">
        <v>7142</v>
      </c>
      <c r="E3821" s="147" t="s">
        <v>1600</v>
      </c>
      <c r="F3821" s="147" t="s">
        <v>8913</v>
      </c>
      <c r="G3821" s="146" t="s">
        <v>6739</v>
      </c>
      <c r="H3821" s="146" t="s">
        <v>56</v>
      </c>
      <c r="I3821" s="147" t="s">
        <v>440</v>
      </c>
      <c r="J3821" s="147" t="s">
        <v>6741</v>
      </c>
      <c r="K3821" s="148"/>
      <c r="L3821" s="149"/>
      <c r="M3821" s="148"/>
    </row>
    <row r="3822" spans="1:13" ht="15" customHeight="1">
      <c r="A3822" s="142" t="s">
        <v>8917</v>
      </c>
      <c r="B3822" s="142">
        <v>518668</v>
      </c>
      <c r="C3822" s="143" t="s">
        <v>6735</v>
      </c>
      <c r="D3822" s="142" t="s">
        <v>7142</v>
      </c>
      <c r="E3822" s="143" t="s">
        <v>1600</v>
      </c>
      <c r="F3822" s="143" t="s">
        <v>8913</v>
      </c>
      <c r="G3822" s="142" t="s">
        <v>6739</v>
      </c>
      <c r="H3822" s="142" t="s">
        <v>56</v>
      </c>
      <c r="I3822" s="143" t="s">
        <v>440</v>
      </c>
      <c r="J3822" s="143" t="s">
        <v>6741</v>
      </c>
      <c r="K3822" s="144"/>
      <c r="L3822" s="145"/>
      <c r="M3822" s="144"/>
    </row>
    <row r="3823" spans="1:13" ht="15" customHeight="1">
      <c r="A3823" s="146" t="s">
        <v>8918</v>
      </c>
      <c r="B3823" s="146">
        <v>518672</v>
      </c>
      <c r="C3823" s="147" t="s">
        <v>6735</v>
      </c>
      <c r="D3823" s="146" t="s">
        <v>7142</v>
      </c>
      <c r="E3823" s="147" t="s">
        <v>1600</v>
      </c>
      <c r="F3823" s="147" t="s">
        <v>8913</v>
      </c>
      <c r="G3823" s="146" t="s">
        <v>6739</v>
      </c>
      <c r="H3823" s="146" t="s">
        <v>56</v>
      </c>
      <c r="I3823" s="147" t="s">
        <v>440</v>
      </c>
      <c r="J3823" s="147" t="s">
        <v>6741</v>
      </c>
      <c r="K3823" s="148"/>
      <c r="L3823" s="149"/>
      <c r="M3823" s="148"/>
    </row>
    <row r="3824" spans="1:13" ht="15" customHeight="1">
      <c r="A3824" s="142" t="s">
        <v>8919</v>
      </c>
      <c r="B3824" s="142">
        <v>519110</v>
      </c>
      <c r="C3824" s="143" t="s">
        <v>6735</v>
      </c>
      <c r="D3824" s="142" t="s">
        <v>7142</v>
      </c>
      <c r="E3824" s="143" t="s">
        <v>1600</v>
      </c>
      <c r="F3824" s="143" t="s">
        <v>8913</v>
      </c>
      <c r="G3824" s="142" t="s">
        <v>6739</v>
      </c>
      <c r="H3824" s="142" t="s">
        <v>56</v>
      </c>
      <c r="I3824" s="143" t="s">
        <v>440</v>
      </c>
      <c r="J3824" s="143" t="s">
        <v>6741</v>
      </c>
      <c r="K3824" s="144"/>
      <c r="L3824" s="145"/>
      <c r="M3824" s="144"/>
    </row>
    <row r="3825" spans="1:13" ht="15" customHeight="1">
      <c r="A3825" s="146" t="s">
        <v>8920</v>
      </c>
      <c r="B3825" s="146">
        <v>518667</v>
      </c>
      <c r="C3825" s="147" t="s">
        <v>6735</v>
      </c>
      <c r="D3825" s="146" t="s">
        <v>7142</v>
      </c>
      <c r="E3825" s="147" t="s">
        <v>1600</v>
      </c>
      <c r="F3825" s="147" t="s">
        <v>8913</v>
      </c>
      <c r="G3825" s="146" t="s">
        <v>6739</v>
      </c>
      <c r="H3825" s="146" t="s">
        <v>56</v>
      </c>
      <c r="I3825" s="147" t="s">
        <v>440</v>
      </c>
      <c r="J3825" s="147" t="s">
        <v>6741</v>
      </c>
      <c r="K3825" s="148"/>
      <c r="L3825" s="149"/>
      <c r="M3825" s="148"/>
    </row>
    <row r="3826" spans="1:13" ht="15" customHeight="1">
      <c r="A3826" s="142" t="s">
        <v>8921</v>
      </c>
      <c r="B3826" s="142">
        <v>518665</v>
      </c>
      <c r="C3826" s="143" t="s">
        <v>6735</v>
      </c>
      <c r="D3826" s="142" t="s">
        <v>7142</v>
      </c>
      <c r="E3826" s="143" t="s">
        <v>1600</v>
      </c>
      <c r="F3826" s="143" t="s">
        <v>8913</v>
      </c>
      <c r="G3826" s="142" t="s">
        <v>6739</v>
      </c>
      <c r="H3826" s="142" t="s">
        <v>56</v>
      </c>
      <c r="I3826" s="143" t="s">
        <v>440</v>
      </c>
      <c r="J3826" s="143" t="s">
        <v>6741</v>
      </c>
      <c r="K3826" s="144"/>
      <c r="L3826" s="145"/>
      <c r="M3826" s="144"/>
    </row>
    <row r="3827" spans="1:13" ht="15" customHeight="1">
      <c r="A3827" s="146" t="s">
        <v>8922</v>
      </c>
      <c r="B3827" s="146">
        <v>518762</v>
      </c>
      <c r="C3827" s="147" t="s">
        <v>6735</v>
      </c>
      <c r="D3827" s="146" t="s">
        <v>7142</v>
      </c>
      <c r="E3827" s="147" t="s">
        <v>1600</v>
      </c>
      <c r="F3827" s="147" t="s">
        <v>8913</v>
      </c>
      <c r="G3827" s="146" t="s">
        <v>6739</v>
      </c>
      <c r="H3827" s="146" t="s">
        <v>56</v>
      </c>
      <c r="I3827" s="147" t="s">
        <v>440</v>
      </c>
      <c r="J3827" s="147" t="s">
        <v>6741</v>
      </c>
      <c r="K3827" s="148"/>
      <c r="L3827" s="149"/>
      <c r="M3827" s="148"/>
    </row>
    <row r="3828" spans="1:13" ht="15" customHeight="1">
      <c r="A3828" s="142" t="s">
        <v>8923</v>
      </c>
      <c r="B3828" s="142">
        <v>519066</v>
      </c>
      <c r="C3828" s="143" t="s">
        <v>6735</v>
      </c>
      <c r="D3828" s="142" t="s">
        <v>7142</v>
      </c>
      <c r="E3828" s="143" t="s">
        <v>1600</v>
      </c>
      <c r="F3828" s="143" t="s">
        <v>8913</v>
      </c>
      <c r="G3828" s="142" t="s">
        <v>6739</v>
      </c>
      <c r="H3828" s="142" t="s">
        <v>56</v>
      </c>
      <c r="I3828" s="143" t="s">
        <v>440</v>
      </c>
      <c r="J3828" s="143" t="s">
        <v>6741</v>
      </c>
      <c r="K3828" s="144"/>
      <c r="L3828" s="145"/>
      <c r="M3828" s="144"/>
    </row>
    <row r="3829" spans="1:13" ht="15" customHeight="1">
      <c r="A3829" s="146" t="s">
        <v>8924</v>
      </c>
      <c r="B3829" s="146">
        <v>518669</v>
      </c>
      <c r="C3829" s="147" t="s">
        <v>6735</v>
      </c>
      <c r="D3829" s="146" t="s">
        <v>7142</v>
      </c>
      <c r="E3829" s="147" t="s">
        <v>1600</v>
      </c>
      <c r="F3829" s="147" t="s">
        <v>8913</v>
      </c>
      <c r="G3829" s="146" t="s">
        <v>6739</v>
      </c>
      <c r="H3829" s="146" t="s">
        <v>56</v>
      </c>
      <c r="I3829" s="147" t="s">
        <v>440</v>
      </c>
      <c r="J3829" s="147" t="s">
        <v>6741</v>
      </c>
      <c r="K3829" s="148"/>
      <c r="L3829" s="149"/>
      <c r="M3829" s="148"/>
    </row>
    <row r="3830" spans="1:13" ht="15" customHeight="1">
      <c r="A3830" s="142" t="s">
        <v>8925</v>
      </c>
      <c r="B3830" s="142">
        <v>519082</v>
      </c>
      <c r="C3830" s="143" t="s">
        <v>6735</v>
      </c>
      <c r="D3830" s="142" t="s">
        <v>7142</v>
      </c>
      <c r="E3830" s="143" t="s">
        <v>7172</v>
      </c>
      <c r="F3830" s="143" t="s">
        <v>7172</v>
      </c>
      <c r="G3830" s="142" t="s">
        <v>6739</v>
      </c>
      <c r="H3830" s="142" t="s">
        <v>56</v>
      </c>
      <c r="I3830" s="143" t="s">
        <v>440</v>
      </c>
      <c r="J3830" s="143" t="s">
        <v>6741</v>
      </c>
      <c r="K3830" s="144"/>
      <c r="L3830" s="145"/>
      <c r="M3830" s="144"/>
    </row>
    <row r="3831" spans="1:13" ht="15" customHeight="1">
      <c r="A3831" s="146" t="s">
        <v>8926</v>
      </c>
      <c r="B3831" s="146">
        <v>518767</v>
      </c>
      <c r="C3831" s="147" t="s">
        <v>6735</v>
      </c>
      <c r="D3831" s="146" t="s">
        <v>7142</v>
      </c>
      <c r="E3831" s="147" t="s">
        <v>7231</v>
      </c>
      <c r="F3831" s="147" t="s">
        <v>7231</v>
      </c>
      <c r="G3831" s="146" t="s">
        <v>6739</v>
      </c>
      <c r="H3831" s="146" t="s">
        <v>56</v>
      </c>
      <c r="I3831" s="147" t="s">
        <v>440</v>
      </c>
      <c r="J3831" s="147" t="s">
        <v>6741</v>
      </c>
      <c r="K3831" s="148"/>
      <c r="L3831" s="149"/>
      <c r="M3831" s="148"/>
    </row>
    <row r="3832" spans="1:13" ht="15" customHeight="1">
      <c r="A3832" s="142" t="s">
        <v>8927</v>
      </c>
      <c r="B3832" s="142">
        <v>519111</v>
      </c>
      <c r="C3832" s="143" t="s">
        <v>6735</v>
      </c>
      <c r="D3832" s="142" t="s">
        <v>7142</v>
      </c>
      <c r="E3832" s="143" t="s">
        <v>1600</v>
      </c>
      <c r="F3832" s="143" t="s">
        <v>8913</v>
      </c>
      <c r="G3832" s="142" t="s">
        <v>6739</v>
      </c>
      <c r="H3832" s="142" t="s">
        <v>56</v>
      </c>
      <c r="I3832" s="143" t="s">
        <v>440</v>
      </c>
      <c r="J3832" s="143" t="s">
        <v>6741</v>
      </c>
      <c r="K3832" s="144"/>
      <c r="L3832" s="145"/>
      <c r="M3832" s="144"/>
    </row>
    <row r="3833" spans="1:13" ht="15" customHeight="1">
      <c r="A3833" s="146" t="s">
        <v>8928</v>
      </c>
      <c r="B3833" s="146">
        <v>518670</v>
      </c>
      <c r="C3833" s="147" t="s">
        <v>6735</v>
      </c>
      <c r="D3833" s="146" t="s">
        <v>7142</v>
      </c>
      <c r="E3833" s="147" t="s">
        <v>1600</v>
      </c>
      <c r="F3833" s="147" t="s">
        <v>8913</v>
      </c>
      <c r="G3833" s="146" t="s">
        <v>6739</v>
      </c>
      <c r="H3833" s="146" t="s">
        <v>56</v>
      </c>
      <c r="I3833" s="147" t="s">
        <v>440</v>
      </c>
      <c r="J3833" s="147" t="s">
        <v>6741</v>
      </c>
      <c r="K3833" s="148"/>
      <c r="L3833" s="149"/>
      <c r="M3833" s="148"/>
    </row>
    <row r="3834" spans="1:13" ht="15" customHeight="1">
      <c r="A3834" s="142" t="s">
        <v>8929</v>
      </c>
      <c r="B3834" s="142">
        <v>518729</v>
      </c>
      <c r="C3834" s="143" t="s">
        <v>6735</v>
      </c>
      <c r="D3834" s="142" t="s">
        <v>7142</v>
      </c>
      <c r="E3834" s="143" t="s">
        <v>7231</v>
      </c>
      <c r="F3834" s="143" t="s">
        <v>7231</v>
      </c>
      <c r="G3834" s="142" t="s">
        <v>6739</v>
      </c>
      <c r="H3834" s="142" t="s">
        <v>56</v>
      </c>
      <c r="I3834" s="143" t="s">
        <v>440</v>
      </c>
      <c r="J3834" s="143" t="s">
        <v>6741</v>
      </c>
      <c r="K3834" s="144"/>
      <c r="L3834" s="145"/>
      <c r="M3834" s="144"/>
    </row>
    <row r="3835" spans="1:13" ht="15" customHeight="1">
      <c r="A3835" s="146" t="s">
        <v>8930</v>
      </c>
      <c r="B3835" s="146">
        <v>518697</v>
      </c>
      <c r="C3835" s="147" t="s">
        <v>6735</v>
      </c>
      <c r="D3835" s="146" t="s">
        <v>7142</v>
      </c>
      <c r="E3835" s="147" t="s">
        <v>7143</v>
      </c>
      <c r="F3835" s="147" t="s">
        <v>7143</v>
      </c>
      <c r="G3835" s="146" t="s">
        <v>6739</v>
      </c>
      <c r="H3835" s="146" t="s">
        <v>56</v>
      </c>
      <c r="I3835" s="147" t="s">
        <v>440</v>
      </c>
      <c r="J3835" s="147" t="s">
        <v>6741</v>
      </c>
      <c r="K3835" s="148" t="s">
        <v>121</v>
      </c>
      <c r="L3835" s="149">
        <v>46153</v>
      </c>
      <c r="M3835" s="148"/>
    </row>
    <row r="3836" spans="1:13" ht="15" customHeight="1">
      <c r="A3836" s="142" t="s">
        <v>8931</v>
      </c>
      <c r="B3836" s="142">
        <v>518657</v>
      </c>
      <c r="C3836" s="143" t="s">
        <v>6735</v>
      </c>
      <c r="D3836" s="142" t="s">
        <v>7142</v>
      </c>
      <c r="E3836" s="143" t="s">
        <v>457</v>
      </c>
      <c r="F3836" s="143" t="s">
        <v>7252</v>
      </c>
      <c r="G3836" s="142" t="s">
        <v>6739</v>
      </c>
      <c r="H3836" s="142" t="s">
        <v>56</v>
      </c>
      <c r="I3836" s="143" t="s">
        <v>440</v>
      </c>
      <c r="J3836" s="143" t="s">
        <v>6741</v>
      </c>
      <c r="K3836" s="144"/>
      <c r="L3836" s="145"/>
      <c r="M3836" s="144"/>
    </row>
    <row r="3837" spans="1:13" ht="15" customHeight="1">
      <c r="A3837" s="146" t="s">
        <v>8932</v>
      </c>
      <c r="B3837" s="146">
        <v>518750</v>
      </c>
      <c r="C3837" s="147" t="s">
        <v>6735</v>
      </c>
      <c r="D3837" s="146" t="s">
        <v>7142</v>
      </c>
      <c r="E3837" s="147" t="s">
        <v>3260</v>
      </c>
      <c r="F3837" s="147" t="s">
        <v>8933</v>
      </c>
      <c r="G3837" s="146" t="s">
        <v>6739</v>
      </c>
      <c r="H3837" s="146" t="s">
        <v>56</v>
      </c>
      <c r="I3837" s="147" t="s">
        <v>440</v>
      </c>
      <c r="J3837" s="147" t="s">
        <v>6741</v>
      </c>
      <c r="K3837" s="148"/>
      <c r="L3837" s="149"/>
      <c r="M3837" s="148"/>
    </row>
    <row r="3838" spans="1:13" ht="15" customHeight="1">
      <c r="A3838" s="142" t="s">
        <v>8934</v>
      </c>
      <c r="B3838" s="142">
        <v>519067</v>
      </c>
      <c r="C3838" s="143" t="s">
        <v>6735</v>
      </c>
      <c r="D3838" s="142" t="s">
        <v>7142</v>
      </c>
      <c r="E3838" s="143" t="s">
        <v>1600</v>
      </c>
      <c r="F3838" s="143" t="s">
        <v>8913</v>
      </c>
      <c r="G3838" s="142" t="s">
        <v>6739</v>
      </c>
      <c r="H3838" s="142" t="s">
        <v>56</v>
      </c>
      <c r="I3838" s="143" t="s">
        <v>440</v>
      </c>
      <c r="J3838" s="143" t="s">
        <v>6741</v>
      </c>
      <c r="K3838" s="144"/>
      <c r="L3838" s="145"/>
      <c r="M3838" s="144"/>
    </row>
    <row r="3839" spans="1:13" ht="15" customHeight="1">
      <c r="A3839" s="146" t="s">
        <v>8935</v>
      </c>
      <c r="B3839" s="146">
        <v>518772</v>
      </c>
      <c r="C3839" s="147" t="s">
        <v>6735</v>
      </c>
      <c r="D3839" s="146" t="s">
        <v>7142</v>
      </c>
      <c r="E3839" s="147" t="s">
        <v>7177</v>
      </c>
      <c r="F3839" s="147" t="s">
        <v>7177</v>
      </c>
      <c r="G3839" s="146" t="s">
        <v>6739</v>
      </c>
      <c r="H3839" s="146" t="s">
        <v>56</v>
      </c>
      <c r="I3839" s="147" t="s">
        <v>440</v>
      </c>
      <c r="J3839" s="147" t="s">
        <v>6741</v>
      </c>
      <c r="K3839" s="148"/>
      <c r="L3839" s="149"/>
      <c r="M3839" s="148"/>
    </row>
    <row r="3840" spans="1:13" ht="15" customHeight="1">
      <c r="A3840" s="142" t="s">
        <v>8936</v>
      </c>
      <c r="B3840" s="142">
        <v>518673</v>
      </c>
      <c r="C3840" s="143" t="s">
        <v>6735</v>
      </c>
      <c r="D3840" s="142" t="s">
        <v>7142</v>
      </c>
      <c r="E3840" s="143" t="s">
        <v>7231</v>
      </c>
      <c r="F3840" s="143" t="s">
        <v>7231</v>
      </c>
      <c r="G3840" s="142" t="s">
        <v>6739</v>
      </c>
      <c r="H3840" s="142" t="s">
        <v>56</v>
      </c>
      <c r="I3840" s="143" t="s">
        <v>440</v>
      </c>
      <c r="J3840" s="143" t="s">
        <v>6741</v>
      </c>
      <c r="K3840" s="144"/>
      <c r="L3840" s="145"/>
      <c r="M3840" s="144"/>
    </row>
    <row r="3841" spans="1:13" ht="15" customHeight="1">
      <c r="A3841" s="146" t="s">
        <v>8937</v>
      </c>
      <c r="B3841" s="146">
        <v>518684</v>
      </c>
      <c r="C3841" s="147" t="s">
        <v>6735</v>
      </c>
      <c r="D3841" s="146" t="s">
        <v>7142</v>
      </c>
      <c r="E3841" s="147" t="s">
        <v>7231</v>
      </c>
      <c r="F3841" s="147" t="s">
        <v>7231</v>
      </c>
      <c r="G3841" s="146" t="s">
        <v>6739</v>
      </c>
      <c r="H3841" s="146" t="s">
        <v>56</v>
      </c>
      <c r="I3841" s="147" t="s">
        <v>440</v>
      </c>
      <c r="J3841" s="147" t="s">
        <v>6741</v>
      </c>
      <c r="K3841" s="148"/>
      <c r="L3841" s="149"/>
      <c r="M3841" s="148"/>
    </row>
    <row r="3842" spans="1:13" ht="15" customHeight="1">
      <c r="A3842" s="142" t="s">
        <v>8938</v>
      </c>
      <c r="B3842" s="142">
        <v>518656</v>
      </c>
      <c r="C3842" s="143" t="s">
        <v>6735</v>
      </c>
      <c r="D3842" s="142" t="s">
        <v>7142</v>
      </c>
      <c r="E3842" s="143" t="s">
        <v>7157</v>
      </c>
      <c r="F3842" s="143" t="s">
        <v>7221</v>
      </c>
      <c r="G3842" s="142" t="s">
        <v>6739</v>
      </c>
      <c r="H3842" s="142" t="s">
        <v>56</v>
      </c>
      <c r="I3842" s="143" t="s">
        <v>440</v>
      </c>
      <c r="J3842" s="143" t="s">
        <v>6741</v>
      </c>
      <c r="K3842" s="144"/>
      <c r="L3842" s="145"/>
      <c r="M3842" s="144"/>
    </row>
    <row r="3843" spans="1:13" ht="15" customHeight="1">
      <c r="A3843" s="146" t="s">
        <v>8939</v>
      </c>
      <c r="B3843" s="146">
        <v>518751</v>
      </c>
      <c r="C3843" s="147" t="s">
        <v>6735</v>
      </c>
      <c r="D3843" s="146" t="s">
        <v>7142</v>
      </c>
      <c r="E3843" s="147" t="s">
        <v>3260</v>
      </c>
      <c r="F3843" s="147" t="s">
        <v>8933</v>
      </c>
      <c r="G3843" s="146" t="s">
        <v>6739</v>
      </c>
      <c r="H3843" s="146" t="s">
        <v>56</v>
      </c>
      <c r="I3843" s="147" t="s">
        <v>440</v>
      </c>
      <c r="J3843" s="147" t="s">
        <v>6741</v>
      </c>
      <c r="K3843" s="148"/>
      <c r="L3843" s="149"/>
      <c r="M3843" s="148"/>
    </row>
    <row r="3844" spans="1:13" ht="15" customHeight="1">
      <c r="A3844" s="142" t="s">
        <v>8940</v>
      </c>
      <c r="B3844" s="142">
        <v>518676</v>
      </c>
      <c r="C3844" s="143" t="s">
        <v>6735</v>
      </c>
      <c r="D3844" s="142" t="s">
        <v>7142</v>
      </c>
      <c r="E3844" s="143" t="s">
        <v>521</v>
      </c>
      <c r="F3844" s="143" t="s">
        <v>7259</v>
      </c>
      <c r="G3844" s="142" t="s">
        <v>6739</v>
      </c>
      <c r="H3844" s="142" t="s">
        <v>56</v>
      </c>
      <c r="I3844" s="143" t="s">
        <v>440</v>
      </c>
      <c r="J3844" s="143" t="s">
        <v>6741</v>
      </c>
      <c r="K3844" s="144"/>
      <c r="L3844" s="145"/>
      <c r="M3844" s="144"/>
    </row>
    <row r="3845" spans="1:13" ht="15" customHeight="1">
      <c r="A3845" s="146" t="s">
        <v>8941</v>
      </c>
      <c r="B3845" s="146">
        <v>519083</v>
      </c>
      <c r="C3845" s="147" t="s">
        <v>6735</v>
      </c>
      <c r="D3845" s="146" t="s">
        <v>7142</v>
      </c>
      <c r="E3845" s="147" t="s">
        <v>7172</v>
      </c>
      <c r="F3845" s="147" t="s">
        <v>7172</v>
      </c>
      <c r="G3845" s="146" t="s">
        <v>6739</v>
      </c>
      <c r="H3845" s="146" t="s">
        <v>56</v>
      </c>
      <c r="I3845" s="147" t="s">
        <v>440</v>
      </c>
      <c r="J3845" s="147" t="s">
        <v>6741</v>
      </c>
      <c r="K3845" s="148"/>
      <c r="L3845" s="149"/>
      <c r="M3845" s="148"/>
    </row>
    <row r="3846" spans="1:13" ht="15" customHeight="1">
      <c r="A3846" s="142" t="s">
        <v>8942</v>
      </c>
      <c r="B3846" s="142">
        <v>518779</v>
      </c>
      <c r="C3846" s="143" t="s">
        <v>6735</v>
      </c>
      <c r="D3846" s="142" t="s">
        <v>7142</v>
      </c>
      <c r="E3846" s="143" t="s">
        <v>127</v>
      </c>
      <c r="F3846" s="143" t="s">
        <v>127</v>
      </c>
      <c r="G3846" s="142" t="s">
        <v>6739</v>
      </c>
      <c r="H3846" s="142" t="s">
        <v>56</v>
      </c>
      <c r="I3846" s="143" t="s">
        <v>440</v>
      </c>
      <c r="J3846" s="143" t="s">
        <v>6741</v>
      </c>
      <c r="K3846" s="144"/>
      <c r="L3846" s="145"/>
      <c r="M3846" s="144"/>
    </row>
    <row r="3847" spans="1:13" ht="15" customHeight="1">
      <c r="A3847" s="146" t="s">
        <v>8943</v>
      </c>
      <c r="B3847" s="146">
        <v>519068</v>
      </c>
      <c r="C3847" s="147" t="s">
        <v>6735</v>
      </c>
      <c r="D3847" s="146" t="s">
        <v>7142</v>
      </c>
      <c r="E3847" s="147" t="s">
        <v>1600</v>
      </c>
      <c r="F3847" s="147" t="s">
        <v>8913</v>
      </c>
      <c r="G3847" s="146" t="s">
        <v>6739</v>
      </c>
      <c r="H3847" s="146" t="s">
        <v>56</v>
      </c>
      <c r="I3847" s="147" t="s">
        <v>440</v>
      </c>
      <c r="J3847" s="147" t="s">
        <v>6741</v>
      </c>
      <c r="K3847" s="148"/>
      <c r="L3847" s="149"/>
      <c r="M3847" s="148"/>
    </row>
    <row r="3848" spans="1:13" ht="15" customHeight="1">
      <c r="A3848" s="142" t="s">
        <v>8944</v>
      </c>
      <c r="B3848" s="142">
        <v>518780</v>
      </c>
      <c r="C3848" s="143" t="s">
        <v>6735</v>
      </c>
      <c r="D3848" s="142" t="s">
        <v>7142</v>
      </c>
      <c r="E3848" s="143" t="s">
        <v>127</v>
      </c>
      <c r="F3848" s="143" t="s">
        <v>127</v>
      </c>
      <c r="G3848" s="142" t="s">
        <v>6739</v>
      </c>
      <c r="H3848" s="142" t="s">
        <v>56</v>
      </c>
      <c r="I3848" s="143" t="s">
        <v>440</v>
      </c>
      <c r="J3848" s="143" t="s">
        <v>6741</v>
      </c>
      <c r="K3848" s="144"/>
      <c r="L3848" s="145"/>
      <c r="M3848" s="144"/>
    </row>
    <row r="3849" spans="1:13" ht="15" customHeight="1">
      <c r="A3849" s="146" t="s">
        <v>8945</v>
      </c>
      <c r="B3849" s="146">
        <v>518658</v>
      </c>
      <c r="C3849" s="147" t="s">
        <v>6735</v>
      </c>
      <c r="D3849" s="146" t="s">
        <v>7142</v>
      </c>
      <c r="E3849" s="147" t="s">
        <v>457</v>
      </c>
      <c r="F3849" s="147" t="s">
        <v>7252</v>
      </c>
      <c r="G3849" s="146" t="s">
        <v>6739</v>
      </c>
      <c r="H3849" s="146" t="s">
        <v>56</v>
      </c>
      <c r="I3849" s="147" t="s">
        <v>440</v>
      </c>
      <c r="J3849" s="147" t="s">
        <v>6741</v>
      </c>
      <c r="K3849" s="148"/>
      <c r="L3849" s="149"/>
      <c r="M3849" s="148"/>
    </row>
    <row r="3850" spans="1:13" ht="15" customHeight="1">
      <c r="A3850" s="142" t="s">
        <v>8946</v>
      </c>
      <c r="B3850" s="142">
        <v>518696</v>
      </c>
      <c r="C3850" s="143" t="s">
        <v>6735</v>
      </c>
      <c r="D3850" s="142" t="s">
        <v>7142</v>
      </c>
      <c r="E3850" s="143" t="s">
        <v>7143</v>
      </c>
      <c r="F3850" s="143" t="s">
        <v>7143</v>
      </c>
      <c r="G3850" s="142" t="s">
        <v>6739</v>
      </c>
      <c r="H3850" s="142" t="s">
        <v>56</v>
      </c>
      <c r="I3850" s="143" t="s">
        <v>440</v>
      </c>
      <c r="J3850" s="143" t="s">
        <v>6741</v>
      </c>
      <c r="K3850" s="144" t="s">
        <v>121</v>
      </c>
      <c r="L3850" s="145">
        <v>46148</v>
      </c>
      <c r="M3850" s="144"/>
    </row>
    <row r="3851" spans="1:13" ht="15" customHeight="1">
      <c r="A3851" s="146" t="s">
        <v>8947</v>
      </c>
      <c r="B3851" s="146">
        <v>518706</v>
      </c>
      <c r="C3851" s="147" t="s">
        <v>6735</v>
      </c>
      <c r="D3851" s="146" t="s">
        <v>7142</v>
      </c>
      <c r="E3851" s="147" t="s">
        <v>7143</v>
      </c>
      <c r="F3851" s="147" t="s">
        <v>7143</v>
      </c>
      <c r="G3851" s="146" t="s">
        <v>6739</v>
      </c>
      <c r="H3851" s="146" t="s">
        <v>56</v>
      </c>
      <c r="I3851" s="147" t="s">
        <v>440</v>
      </c>
      <c r="J3851" s="147" t="s">
        <v>6741</v>
      </c>
      <c r="K3851" s="148"/>
      <c r="L3851" s="149"/>
      <c r="M3851" s="148"/>
    </row>
    <row r="3852" spans="1:13" ht="15" customHeight="1">
      <c r="A3852" s="142" t="s">
        <v>8948</v>
      </c>
      <c r="B3852" s="142">
        <v>518715</v>
      </c>
      <c r="C3852" s="143" t="s">
        <v>6735</v>
      </c>
      <c r="D3852" s="142" t="s">
        <v>7142</v>
      </c>
      <c r="E3852" s="143" t="s">
        <v>7262</v>
      </c>
      <c r="F3852" s="143" t="s">
        <v>7262</v>
      </c>
      <c r="G3852" s="142" t="s">
        <v>6739</v>
      </c>
      <c r="H3852" s="142" t="s">
        <v>56</v>
      </c>
      <c r="I3852" s="143" t="s">
        <v>440</v>
      </c>
      <c r="J3852" s="143" t="s">
        <v>6741</v>
      </c>
      <c r="K3852" s="144"/>
      <c r="L3852" s="145"/>
      <c r="M3852" s="144"/>
    </row>
    <row r="3853" spans="1:13" ht="15" customHeight="1">
      <c r="A3853" s="146" t="s">
        <v>8949</v>
      </c>
      <c r="B3853" s="146">
        <v>519112</v>
      </c>
      <c r="C3853" s="147" t="s">
        <v>6735</v>
      </c>
      <c r="D3853" s="146" t="s">
        <v>7142</v>
      </c>
      <c r="E3853" s="147" t="s">
        <v>1600</v>
      </c>
      <c r="F3853" s="147" t="s">
        <v>8913</v>
      </c>
      <c r="G3853" s="146" t="s">
        <v>6739</v>
      </c>
      <c r="H3853" s="146" t="s">
        <v>56</v>
      </c>
      <c r="I3853" s="147" t="s">
        <v>440</v>
      </c>
      <c r="J3853" s="147" t="s">
        <v>6741</v>
      </c>
      <c r="K3853" s="148"/>
      <c r="L3853" s="149"/>
      <c r="M3853" s="148"/>
    </row>
    <row r="3854" spans="1:13" ht="15" customHeight="1">
      <c r="A3854" s="142" t="s">
        <v>8950</v>
      </c>
      <c r="B3854" s="142">
        <v>519113</v>
      </c>
      <c r="C3854" s="143" t="s">
        <v>6735</v>
      </c>
      <c r="D3854" s="142" t="s">
        <v>7142</v>
      </c>
      <c r="E3854" s="143" t="s">
        <v>1600</v>
      </c>
      <c r="F3854" s="143" t="s">
        <v>8913</v>
      </c>
      <c r="G3854" s="142" t="s">
        <v>6739</v>
      </c>
      <c r="H3854" s="142" t="s">
        <v>56</v>
      </c>
      <c r="I3854" s="143" t="s">
        <v>440</v>
      </c>
      <c r="J3854" s="143" t="s">
        <v>6741</v>
      </c>
      <c r="K3854" s="144"/>
      <c r="L3854" s="145"/>
      <c r="M3854" s="144"/>
    </row>
    <row r="3855" spans="1:13" ht="15" customHeight="1">
      <c r="A3855" s="146" t="s">
        <v>8951</v>
      </c>
      <c r="B3855" s="146">
        <v>518730</v>
      </c>
      <c r="C3855" s="147" t="s">
        <v>6735</v>
      </c>
      <c r="D3855" s="146" t="s">
        <v>7142</v>
      </c>
      <c r="E3855" s="147" t="s">
        <v>7231</v>
      </c>
      <c r="F3855" s="147" t="s">
        <v>7231</v>
      </c>
      <c r="G3855" s="146" t="s">
        <v>6739</v>
      </c>
      <c r="H3855" s="146" t="s">
        <v>56</v>
      </c>
      <c r="I3855" s="147" t="s">
        <v>440</v>
      </c>
      <c r="J3855" s="147" t="s">
        <v>6741</v>
      </c>
      <c r="K3855" s="148"/>
      <c r="L3855" s="149"/>
      <c r="M3855" s="148"/>
    </row>
    <row r="3856" spans="1:13" ht="15" customHeight="1">
      <c r="A3856" s="142" t="s">
        <v>8952</v>
      </c>
      <c r="B3856" s="142">
        <v>518789</v>
      </c>
      <c r="C3856" s="143" t="s">
        <v>6735</v>
      </c>
      <c r="D3856" s="142" t="s">
        <v>7142</v>
      </c>
      <c r="E3856" s="143" t="s">
        <v>521</v>
      </c>
      <c r="F3856" s="143" t="s">
        <v>7259</v>
      </c>
      <c r="G3856" s="142" t="s">
        <v>6739</v>
      </c>
      <c r="H3856" s="142" t="s">
        <v>56</v>
      </c>
      <c r="I3856" s="143" t="s">
        <v>440</v>
      </c>
      <c r="J3856" s="143" t="s">
        <v>6741</v>
      </c>
      <c r="K3856" s="144"/>
      <c r="L3856" s="145"/>
      <c r="M3856" s="144"/>
    </row>
    <row r="3857" spans="1:13" ht="15" customHeight="1">
      <c r="A3857" s="146" t="s">
        <v>8953</v>
      </c>
      <c r="B3857" s="146">
        <v>519084</v>
      </c>
      <c r="C3857" s="147" t="s">
        <v>6735</v>
      </c>
      <c r="D3857" s="146" t="s">
        <v>7142</v>
      </c>
      <c r="E3857" s="147" t="s">
        <v>7172</v>
      </c>
      <c r="F3857" s="147" t="s">
        <v>7172</v>
      </c>
      <c r="G3857" s="146" t="s">
        <v>6739</v>
      </c>
      <c r="H3857" s="146" t="s">
        <v>56</v>
      </c>
      <c r="I3857" s="147" t="s">
        <v>440</v>
      </c>
      <c r="J3857" s="147" t="s">
        <v>6741</v>
      </c>
      <c r="K3857" s="148"/>
      <c r="L3857" s="149"/>
      <c r="M3857" s="148"/>
    </row>
    <row r="3858" spans="1:13" ht="15" customHeight="1">
      <c r="A3858" s="142" t="s">
        <v>8954</v>
      </c>
      <c r="B3858" s="142">
        <v>518690</v>
      </c>
      <c r="C3858" s="143" t="s">
        <v>6735</v>
      </c>
      <c r="D3858" s="142" t="s">
        <v>7142</v>
      </c>
      <c r="E3858" s="143" t="s">
        <v>7231</v>
      </c>
      <c r="F3858" s="143" t="s">
        <v>7231</v>
      </c>
      <c r="G3858" s="142" t="s">
        <v>6739</v>
      </c>
      <c r="H3858" s="142" t="s">
        <v>56</v>
      </c>
      <c r="I3858" s="143" t="s">
        <v>440</v>
      </c>
      <c r="J3858" s="143" t="s">
        <v>6741</v>
      </c>
      <c r="K3858" s="144"/>
      <c r="L3858" s="145"/>
      <c r="M3858" s="144"/>
    </row>
    <row r="3859" spans="1:13" ht="15" customHeight="1">
      <c r="A3859" s="146" t="s">
        <v>8955</v>
      </c>
      <c r="B3859" s="146">
        <v>518692</v>
      </c>
      <c r="C3859" s="147" t="s">
        <v>6735</v>
      </c>
      <c r="D3859" s="146" t="s">
        <v>7142</v>
      </c>
      <c r="E3859" s="147" t="s">
        <v>7231</v>
      </c>
      <c r="F3859" s="147" t="s">
        <v>7231</v>
      </c>
      <c r="G3859" s="146" t="s">
        <v>6739</v>
      </c>
      <c r="H3859" s="146" t="s">
        <v>56</v>
      </c>
      <c r="I3859" s="147" t="s">
        <v>440</v>
      </c>
      <c r="J3859" s="147" t="s">
        <v>6741</v>
      </c>
      <c r="K3859" s="148"/>
      <c r="L3859" s="149"/>
      <c r="M3859" s="148"/>
    </row>
    <row r="3860" spans="1:13" ht="15" customHeight="1">
      <c r="A3860" s="142" t="s">
        <v>8956</v>
      </c>
      <c r="B3860" s="142">
        <v>518689</v>
      </c>
      <c r="C3860" s="143" t="s">
        <v>6735</v>
      </c>
      <c r="D3860" s="142" t="s">
        <v>7142</v>
      </c>
      <c r="E3860" s="143" t="s">
        <v>7231</v>
      </c>
      <c r="F3860" s="143" t="s">
        <v>7231</v>
      </c>
      <c r="G3860" s="142" t="s">
        <v>6739</v>
      </c>
      <c r="H3860" s="142" t="s">
        <v>56</v>
      </c>
      <c r="I3860" s="143" t="s">
        <v>440</v>
      </c>
      <c r="J3860" s="143" t="s">
        <v>6741</v>
      </c>
      <c r="K3860" s="144"/>
      <c r="L3860" s="145"/>
      <c r="M3860" s="144"/>
    </row>
    <row r="3861" spans="1:13" ht="15" customHeight="1">
      <c r="A3861" s="146" t="s">
        <v>8957</v>
      </c>
      <c r="B3861" s="146">
        <v>518716</v>
      </c>
      <c r="C3861" s="147" t="s">
        <v>6735</v>
      </c>
      <c r="D3861" s="146" t="s">
        <v>7142</v>
      </c>
      <c r="E3861" s="147" t="s">
        <v>7262</v>
      </c>
      <c r="F3861" s="147" t="s">
        <v>7262</v>
      </c>
      <c r="G3861" s="146" t="s">
        <v>6739</v>
      </c>
      <c r="H3861" s="146" t="s">
        <v>56</v>
      </c>
      <c r="I3861" s="147" t="s">
        <v>440</v>
      </c>
      <c r="J3861" s="147" t="s">
        <v>6741</v>
      </c>
      <c r="K3861" s="148"/>
      <c r="L3861" s="149"/>
      <c r="M3861" s="148"/>
    </row>
    <row r="3862" spans="1:13" ht="15" customHeight="1">
      <c r="A3862" s="142" t="s">
        <v>8958</v>
      </c>
      <c r="B3862" s="142">
        <v>518718</v>
      </c>
      <c r="C3862" s="143" t="s">
        <v>6735</v>
      </c>
      <c r="D3862" s="142" t="s">
        <v>7142</v>
      </c>
      <c r="E3862" s="143" t="s">
        <v>7262</v>
      </c>
      <c r="F3862" s="143" t="s">
        <v>7262</v>
      </c>
      <c r="G3862" s="142" t="s">
        <v>6739</v>
      </c>
      <c r="H3862" s="142" t="s">
        <v>56</v>
      </c>
      <c r="I3862" s="143" t="s">
        <v>440</v>
      </c>
      <c r="J3862" s="143" t="s">
        <v>6741</v>
      </c>
      <c r="K3862" s="144"/>
      <c r="L3862" s="145"/>
      <c r="M3862" s="144"/>
    </row>
    <row r="3863" spans="1:13" ht="15" customHeight="1">
      <c r="A3863" s="146" t="s">
        <v>8959</v>
      </c>
      <c r="B3863" s="146">
        <v>518659</v>
      </c>
      <c r="C3863" s="147" t="s">
        <v>6735</v>
      </c>
      <c r="D3863" s="146" t="s">
        <v>7142</v>
      </c>
      <c r="E3863" s="147" t="s">
        <v>457</v>
      </c>
      <c r="F3863" s="147" t="s">
        <v>7252</v>
      </c>
      <c r="G3863" s="146" t="s">
        <v>6739</v>
      </c>
      <c r="H3863" s="146" t="s">
        <v>56</v>
      </c>
      <c r="I3863" s="147" t="s">
        <v>440</v>
      </c>
      <c r="J3863" s="147" t="s">
        <v>6741</v>
      </c>
      <c r="K3863" s="148"/>
      <c r="L3863" s="149"/>
      <c r="M3863" s="148"/>
    </row>
    <row r="3864" spans="1:13" ht="15" customHeight="1">
      <c r="A3864" s="142" t="s">
        <v>8960</v>
      </c>
      <c r="B3864" s="142">
        <v>518700</v>
      </c>
      <c r="C3864" s="143" t="s">
        <v>6735</v>
      </c>
      <c r="D3864" s="142" t="s">
        <v>7142</v>
      </c>
      <c r="E3864" s="143" t="s">
        <v>7143</v>
      </c>
      <c r="F3864" s="143" t="s">
        <v>7143</v>
      </c>
      <c r="G3864" s="142" t="s">
        <v>6739</v>
      </c>
      <c r="H3864" s="142" t="s">
        <v>56</v>
      </c>
      <c r="I3864" s="143" t="s">
        <v>440</v>
      </c>
      <c r="J3864" s="143" t="s">
        <v>6741</v>
      </c>
      <c r="K3864" s="144" t="s">
        <v>121</v>
      </c>
      <c r="L3864" s="145">
        <v>46150</v>
      </c>
      <c r="M3864" s="144"/>
    </row>
    <row r="3865" spans="1:13" ht="15" customHeight="1">
      <c r="A3865" s="146" t="s">
        <v>8961</v>
      </c>
      <c r="B3865" s="146">
        <v>518671</v>
      </c>
      <c r="C3865" s="147" t="s">
        <v>6735</v>
      </c>
      <c r="D3865" s="146" t="s">
        <v>7142</v>
      </c>
      <c r="E3865" s="147" t="s">
        <v>1600</v>
      </c>
      <c r="F3865" s="147" t="s">
        <v>8913</v>
      </c>
      <c r="G3865" s="146" t="s">
        <v>6739</v>
      </c>
      <c r="H3865" s="146" t="s">
        <v>56</v>
      </c>
      <c r="I3865" s="147" t="s">
        <v>440</v>
      </c>
      <c r="J3865" s="147" t="s">
        <v>6741</v>
      </c>
      <c r="K3865" s="148"/>
      <c r="L3865" s="149"/>
      <c r="M3865" s="148"/>
    </row>
    <row r="3866" spans="1:13" ht="15" customHeight="1">
      <c r="A3866" s="142" t="s">
        <v>8962</v>
      </c>
      <c r="B3866" s="142">
        <v>518791</v>
      </c>
      <c r="C3866" s="143" t="s">
        <v>6735</v>
      </c>
      <c r="D3866" s="142" t="s">
        <v>7142</v>
      </c>
      <c r="E3866" s="143" t="s">
        <v>521</v>
      </c>
      <c r="F3866" s="143" t="s">
        <v>7259</v>
      </c>
      <c r="G3866" s="142" t="s">
        <v>6739</v>
      </c>
      <c r="H3866" s="142" t="s">
        <v>56</v>
      </c>
      <c r="I3866" s="143" t="s">
        <v>440</v>
      </c>
      <c r="J3866" s="143" t="s">
        <v>6741</v>
      </c>
      <c r="K3866" s="144"/>
      <c r="L3866" s="145"/>
      <c r="M3866" s="144"/>
    </row>
    <row r="3867" spans="1:13" ht="15" customHeight="1">
      <c r="A3867" s="146" t="s">
        <v>8963</v>
      </c>
      <c r="B3867" s="146">
        <v>518790</v>
      </c>
      <c r="C3867" s="147" t="s">
        <v>6735</v>
      </c>
      <c r="D3867" s="146" t="s">
        <v>7142</v>
      </c>
      <c r="E3867" s="147" t="s">
        <v>521</v>
      </c>
      <c r="F3867" s="147" t="s">
        <v>7259</v>
      </c>
      <c r="G3867" s="146" t="s">
        <v>6739</v>
      </c>
      <c r="H3867" s="146" t="s">
        <v>56</v>
      </c>
      <c r="I3867" s="147" t="s">
        <v>440</v>
      </c>
      <c r="J3867" s="147" t="s">
        <v>6741</v>
      </c>
      <c r="K3867" s="148"/>
      <c r="L3867" s="149"/>
      <c r="M3867" s="148"/>
    </row>
    <row r="3868" spans="1:13" ht="15" customHeight="1">
      <c r="A3868" s="142" t="s">
        <v>8964</v>
      </c>
      <c r="B3868" s="142">
        <v>518741</v>
      </c>
      <c r="C3868" s="143" t="s">
        <v>6735</v>
      </c>
      <c r="D3868" s="142" t="s">
        <v>7142</v>
      </c>
      <c r="E3868" s="143" t="s">
        <v>510</v>
      </c>
      <c r="F3868" s="143" t="s">
        <v>8965</v>
      </c>
      <c r="G3868" s="142" t="s">
        <v>6739</v>
      </c>
      <c r="H3868" s="142" t="s">
        <v>56</v>
      </c>
      <c r="I3868" s="143" t="s">
        <v>440</v>
      </c>
      <c r="J3868" s="143" t="s">
        <v>6741</v>
      </c>
      <c r="K3868" s="144"/>
      <c r="L3868" s="145"/>
      <c r="M3868" s="144"/>
    </row>
    <row r="3869" spans="1:13" ht="15" customHeight="1">
      <c r="A3869" s="146" t="s">
        <v>8966</v>
      </c>
      <c r="B3869" s="146">
        <v>518731</v>
      </c>
      <c r="C3869" s="147" t="s">
        <v>6735</v>
      </c>
      <c r="D3869" s="146" t="s">
        <v>7142</v>
      </c>
      <c r="E3869" s="147" t="s">
        <v>7231</v>
      </c>
      <c r="F3869" s="147" t="s">
        <v>7231</v>
      </c>
      <c r="G3869" s="146" t="s">
        <v>6739</v>
      </c>
      <c r="H3869" s="146" t="s">
        <v>56</v>
      </c>
      <c r="I3869" s="147" t="s">
        <v>440</v>
      </c>
      <c r="J3869" s="147" t="s">
        <v>6741</v>
      </c>
      <c r="K3869" s="148"/>
      <c r="L3869" s="149"/>
      <c r="M3869" s="148"/>
    </row>
    <row r="3870" spans="1:13" ht="15" customHeight="1">
      <c r="A3870" s="142" t="s">
        <v>8967</v>
      </c>
      <c r="B3870" s="142">
        <v>518702</v>
      </c>
      <c r="C3870" s="143" t="s">
        <v>6735</v>
      </c>
      <c r="D3870" s="142" t="s">
        <v>7142</v>
      </c>
      <c r="E3870" s="143" t="s">
        <v>7143</v>
      </c>
      <c r="F3870" s="143" t="s">
        <v>7143</v>
      </c>
      <c r="G3870" s="142" t="s">
        <v>6739</v>
      </c>
      <c r="H3870" s="142" t="s">
        <v>56</v>
      </c>
      <c r="I3870" s="143" t="s">
        <v>440</v>
      </c>
      <c r="J3870" s="143" t="s">
        <v>6741</v>
      </c>
      <c r="K3870" s="144"/>
      <c r="L3870" s="145"/>
      <c r="M3870" s="144"/>
    </row>
    <row r="3871" spans="1:13" ht="15" customHeight="1">
      <c r="A3871" s="146" t="s">
        <v>8968</v>
      </c>
      <c r="B3871" s="146">
        <v>518685</v>
      </c>
      <c r="C3871" s="147" t="s">
        <v>6735</v>
      </c>
      <c r="D3871" s="146" t="s">
        <v>7142</v>
      </c>
      <c r="E3871" s="147" t="s">
        <v>7231</v>
      </c>
      <c r="F3871" s="147" t="s">
        <v>7231</v>
      </c>
      <c r="G3871" s="146" t="s">
        <v>6739</v>
      </c>
      <c r="H3871" s="146" t="s">
        <v>56</v>
      </c>
      <c r="I3871" s="147" t="s">
        <v>440</v>
      </c>
      <c r="J3871" s="147" t="s">
        <v>6741</v>
      </c>
      <c r="K3871" s="148"/>
      <c r="L3871" s="149"/>
      <c r="M3871" s="148"/>
    </row>
    <row r="3872" spans="1:13" ht="15" customHeight="1">
      <c r="A3872" s="142" t="s">
        <v>8969</v>
      </c>
      <c r="B3872" s="142">
        <v>518666</v>
      </c>
      <c r="C3872" s="143" t="s">
        <v>6735</v>
      </c>
      <c r="D3872" s="142" t="s">
        <v>7142</v>
      </c>
      <c r="E3872" s="143" t="s">
        <v>1600</v>
      </c>
      <c r="F3872" s="143" t="s">
        <v>8913</v>
      </c>
      <c r="G3872" s="142" t="s">
        <v>6739</v>
      </c>
      <c r="H3872" s="142" t="s">
        <v>56</v>
      </c>
      <c r="I3872" s="143" t="s">
        <v>440</v>
      </c>
      <c r="J3872" s="143" t="s">
        <v>6741</v>
      </c>
      <c r="K3872" s="144"/>
      <c r="L3872" s="145"/>
      <c r="M3872" s="144"/>
    </row>
    <row r="3873" spans="1:13" ht="15" customHeight="1">
      <c r="A3873" s="146" t="s">
        <v>8970</v>
      </c>
      <c r="B3873" s="146">
        <v>518686</v>
      </c>
      <c r="C3873" s="147" t="s">
        <v>6735</v>
      </c>
      <c r="D3873" s="146" t="s">
        <v>7142</v>
      </c>
      <c r="E3873" s="147" t="s">
        <v>7231</v>
      </c>
      <c r="F3873" s="147" t="s">
        <v>7231</v>
      </c>
      <c r="G3873" s="146" t="s">
        <v>6739</v>
      </c>
      <c r="H3873" s="146" t="s">
        <v>56</v>
      </c>
      <c r="I3873" s="147" t="s">
        <v>440</v>
      </c>
      <c r="J3873" s="147" t="s">
        <v>6741</v>
      </c>
      <c r="K3873" s="148"/>
      <c r="L3873" s="149"/>
      <c r="M3873" s="148"/>
    </row>
    <row r="3874" spans="1:13" ht="15" customHeight="1">
      <c r="A3874" s="142" t="s">
        <v>8971</v>
      </c>
      <c r="B3874" s="142">
        <v>518769</v>
      </c>
      <c r="C3874" s="143" t="s">
        <v>6735</v>
      </c>
      <c r="D3874" s="142" t="s">
        <v>7142</v>
      </c>
      <c r="E3874" s="143" t="s">
        <v>7231</v>
      </c>
      <c r="F3874" s="143" t="s">
        <v>7231</v>
      </c>
      <c r="G3874" s="142" t="s">
        <v>6739</v>
      </c>
      <c r="H3874" s="142" t="s">
        <v>56</v>
      </c>
      <c r="I3874" s="143" t="s">
        <v>440</v>
      </c>
      <c r="J3874" s="143" t="s">
        <v>6741</v>
      </c>
      <c r="K3874" s="144"/>
      <c r="L3874" s="145"/>
      <c r="M3874" s="144"/>
    </row>
    <row r="3875" spans="1:13" ht="15" customHeight="1">
      <c r="A3875" s="146" t="s">
        <v>8972</v>
      </c>
      <c r="B3875" s="146">
        <v>518788</v>
      </c>
      <c r="C3875" s="147" t="s">
        <v>6735</v>
      </c>
      <c r="D3875" s="146" t="s">
        <v>7142</v>
      </c>
      <c r="E3875" s="147" t="s">
        <v>521</v>
      </c>
      <c r="F3875" s="147" t="s">
        <v>7259</v>
      </c>
      <c r="G3875" s="146" t="s">
        <v>6739</v>
      </c>
      <c r="H3875" s="146" t="s">
        <v>56</v>
      </c>
      <c r="I3875" s="147" t="s">
        <v>440</v>
      </c>
      <c r="J3875" s="147" t="s">
        <v>6741</v>
      </c>
      <c r="K3875" s="148"/>
      <c r="L3875" s="149"/>
      <c r="M3875" s="148"/>
    </row>
    <row r="3876" spans="1:13" ht="15" customHeight="1">
      <c r="A3876" s="142" t="s">
        <v>8973</v>
      </c>
      <c r="B3876" s="142">
        <v>518802</v>
      </c>
      <c r="C3876" s="143" t="s">
        <v>6735</v>
      </c>
      <c r="D3876" s="142" t="s">
        <v>7142</v>
      </c>
      <c r="E3876" s="143" t="s">
        <v>521</v>
      </c>
      <c r="F3876" s="143" t="s">
        <v>8885</v>
      </c>
      <c r="G3876" s="142" t="s">
        <v>6739</v>
      </c>
      <c r="H3876" s="142" t="s">
        <v>56</v>
      </c>
      <c r="I3876" s="143" t="s">
        <v>440</v>
      </c>
      <c r="J3876" s="143" t="s">
        <v>6741</v>
      </c>
      <c r="K3876" s="144"/>
      <c r="L3876" s="145"/>
      <c r="M3876" s="144"/>
    </row>
    <row r="3877" spans="1:13" ht="15" customHeight="1">
      <c r="A3877" s="146" t="s">
        <v>8974</v>
      </c>
      <c r="B3877" s="146">
        <v>517928</v>
      </c>
      <c r="C3877" s="147" t="s">
        <v>8975</v>
      </c>
      <c r="D3877" s="146" t="s">
        <v>6458</v>
      </c>
      <c r="E3877" s="147" t="s">
        <v>8976</v>
      </c>
      <c r="F3877" s="147" t="s">
        <v>8977</v>
      </c>
      <c r="G3877" s="146" t="s">
        <v>109</v>
      </c>
      <c r="H3877" s="146" t="s">
        <v>52</v>
      </c>
      <c r="I3877" s="147" t="s">
        <v>2927</v>
      </c>
      <c r="J3877" s="147" t="s">
        <v>104</v>
      </c>
      <c r="K3877" s="148"/>
      <c r="L3877" s="149"/>
      <c r="M3877" s="148"/>
    </row>
    <row r="3878" spans="1:13" ht="15" customHeight="1">
      <c r="A3878" s="142" t="s">
        <v>8978</v>
      </c>
      <c r="B3878" s="142">
        <v>516908</v>
      </c>
      <c r="C3878" s="143" t="s">
        <v>8979</v>
      </c>
      <c r="D3878" s="142" t="s">
        <v>5640</v>
      </c>
      <c r="E3878" s="143" t="s">
        <v>8980</v>
      </c>
      <c r="F3878" s="143" t="s">
        <v>8981</v>
      </c>
      <c r="G3878" s="142" t="s">
        <v>102</v>
      </c>
      <c r="H3878" s="142" t="s">
        <v>52</v>
      </c>
      <c r="I3878" s="143" t="s">
        <v>8982</v>
      </c>
      <c r="J3878" s="143" t="s">
        <v>104</v>
      </c>
      <c r="K3878" s="144" t="s">
        <v>121</v>
      </c>
      <c r="L3878" s="145">
        <v>46148</v>
      </c>
      <c r="M3878" s="144"/>
    </row>
    <row r="3879" spans="1:13" ht="15" customHeight="1">
      <c r="A3879" s="146" t="s">
        <v>8983</v>
      </c>
      <c r="B3879" s="146">
        <v>517481</v>
      </c>
      <c r="C3879" s="147" t="s">
        <v>2787</v>
      </c>
      <c r="D3879" s="146" t="s">
        <v>5640</v>
      </c>
      <c r="E3879" s="147" t="s">
        <v>8984</v>
      </c>
      <c r="F3879" s="147" t="s">
        <v>8985</v>
      </c>
      <c r="G3879" s="146" t="s">
        <v>109</v>
      </c>
      <c r="H3879" s="146" t="s">
        <v>52</v>
      </c>
      <c r="I3879" s="147" t="s">
        <v>8982</v>
      </c>
      <c r="J3879" s="147" t="s">
        <v>104</v>
      </c>
      <c r="K3879" s="148"/>
      <c r="L3879" s="149"/>
      <c r="M3879" s="148"/>
    </row>
    <row r="3880" spans="1:13" ht="15" customHeight="1">
      <c r="A3880" s="142" t="s">
        <v>8986</v>
      </c>
      <c r="B3880" s="142">
        <v>517924</v>
      </c>
      <c r="C3880" s="143" t="s">
        <v>2787</v>
      </c>
      <c r="D3880" s="142" t="s">
        <v>6458</v>
      </c>
      <c r="E3880" s="143" t="s">
        <v>8987</v>
      </c>
      <c r="F3880" s="143" t="s">
        <v>8988</v>
      </c>
      <c r="G3880" s="142" t="s">
        <v>109</v>
      </c>
      <c r="H3880" s="142" t="s">
        <v>52</v>
      </c>
      <c r="I3880" s="143" t="s">
        <v>2927</v>
      </c>
      <c r="J3880" s="143" t="s">
        <v>104</v>
      </c>
      <c r="K3880" s="144"/>
      <c r="L3880" s="145"/>
      <c r="M3880" s="144"/>
    </row>
    <row r="3881" spans="1:13" ht="15" customHeight="1">
      <c r="A3881" s="146" t="s">
        <v>8989</v>
      </c>
      <c r="B3881" s="146">
        <v>516964</v>
      </c>
      <c r="C3881" s="147" t="s">
        <v>3695</v>
      </c>
      <c r="D3881" s="146" t="s">
        <v>5640</v>
      </c>
      <c r="E3881" s="147" t="s">
        <v>8990</v>
      </c>
      <c r="F3881" s="147" t="s">
        <v>8991</v>
      </c>
      <c r="G3881" s="146" t="s">
        <v>109</v>
      </c>
      <c r="H3881" s="146" t="s">
        <v>52</v>
      </c>
      <c r="I3881" s="147" t="s">
        <v>8982</v>
      </c>
      <c r="J3881" s="147" t="s">
        <v>104</v>
      </c>
      <c r="K3881" s="148"/>
      <c r="L3881" s="149"/>
      <c r="M3881" s="148"/>
    </row>
    <row r="3882" spans="1:13" ht="15" customHeight="1">
      <c r="A3882" s="142" t="s">
        <v>8992</v>
      </c>
      <c r="B3882" s="142">
        <v>517443</v>
      </c>
      <c r="C3882" s="143" t="s">
        <v>8993</v>
      </c>
      <c r="D3882" s="142" t="s">
        <v>5640</v>
      </c>
      <c r="E3882" s="143" t="s">
        <v>8980</v>
      </c>
      <c r="F3882" s="143" t="s">
        <v>8994</v>
      </c>
      <c r="G3882" s="142" t="s">
        <v>109</v>
      </c>
      <c r="H3882" s="142" t="s">
        <v>52</v>
      </c>
      <c r="I3882" s="143" t="s">
        <v>8982</v>
      </c>
      <c r="J3882" s="143" t="s">
        <v>104</v>
      </c>
      <c r="K3882" s="144" t="s">
        <v>162</v>
      </c>
      <c r="L3882" s="145">
        <v>46150</v>
      </c>
      <c r="M3882" s="144"/>
    </row>
    <row r="3883" spans="1:13" ht="15" customHeight="1">
      <c r="A3883" s="146" t="s">
        <v>8995</v>
      </c>
      <c r="B3883" s="146">
        <v>517441</v>
      </c>
      <c r="C3883" s="147" t="s">
        <v>8996</v>
      </c>
      <c r="D3883" s="146" t="s">
        <v>5640</v>
      </c>
      <c r="E3883" s="147" t="s">
        <v>8997</v>
      </c>
      <c r="F3883" s="147" t="s">
        <v>8998</v>
      </c>
      <c r="G3883" s="146" t="s">
        <v>109</v>
      </c>
      <c r="H3883" s="146" t="s">
        <v>52</v>
      </c>
      <c r="I3883" s="147" t="s">
        <v>8982</v>
      </c>
      <c r="J3883" s="147" t="s">
        <v>104</v>
      </c>
      <c r="K3883" s="148"/>
      <c r="L3883" s="149"/>
      <c r="M3883" s="148"/>
    </row>
    <row r="3884" spans="1:13" ht="15" customHeight="1">
      <c r="A3884" s="142" t="s">
        <v>8999</v>
      </c>
      <c r="B3884" s="142">
        <v>516917</v>
      </c>
      <c r="C3884" s="143" t="s">
        <v>483</v>
      </c>
      <c r="D3884" s="142" t="s">
        <v>5640</v>
      </c>
      <c r="E3884" s="143" t="s">
        <v>4402</v>
      </c>
      <c r="F3884" s="143" t="s">
        <v>789</v>
      </c>
      <c r="G3884" s="142" t="s">
        <v>109</v>
      </c>
      <c r="H3884" s="142" t="s">
        <v>52</v>
      </c>
      <c r="I3884" s="143" t="s">
        <v>8982</v>
      </c>
      <c r="J3884" s="143" t="s">
        <v>104</v>
      </c>
      <c r="K3884" s="144"/>
      <c r="L3884" s="145"/>
      <c r="M3884" s="144"/>
    </row>
    <row r="3885" spans="1:13" ht="15" customHeight="1">
      <c r="A3885" s="146" t="s">
        <v>9000</v>
      </c>
      <c r="B3885" s="146">
        <v>517229</v>
      </c>
      <c r="C3885" s="147" t="s">
        <v>483</v>
      </c>
      <c r="D3885" s="146" t="s">
        <v>5640</v>
      </c>
      <c r="E3885" s="147" t="s">
        <v>9001</v>
      </c>
      <c r="F3885" s="147" t="s">
        <v>9002</v>
      </c>
      <c r="G3885" s="146" t="s">
        <v>109</v>
      </c>
      <c r="H3885" s="146" t="s">
        <v>52</v>
      </c>
      <c r="I3885" s="147" t="s">
        <v>8982</v>
      </c>
      <c r="J3885" s="147" t="s">
        <v>104</v>
      </c>
      <c r="K3885" s="148"/>
      <c r="L3885" s="149"/>
      <c r="M3885" s="148"/>
    </row>
    <row r="3886" spans="1:13" ht="15" customHeight="1">
      <c r="A3886" s="142" t="s">
        <v>9003</v>
      </c>
      <c r="B3886" s="142">
        <v>517525</v>
      </c>
      <c r="C3886" s="143" t="s">
        <v>483</v>
      </c>
      <c r="D3886" s="142" t="s">
        <v>5640</v>
      </c>
      <c r="E3886" s="143" t="s">
        <v>9004</v>
      </c>
      <c r="F3886" s="143" t="s">
        <v>9005</v>
      </c>
      <c r="G3886" s="142" t="s">
        <v>109</v>
      </c>
      <c r="H3886" s="142" t="s">
        <v>52</v>
      </c>
      <c r="I3886" s="143" t="s">
        <v>8982</v>
      </c>
      <c r="J3886" s="143" t="s">
        <v>104</v>
      </c>
      <c r="K3886" s="144"/>
      <c r="L3886" s="145"/>
      <c r="M3886" s="144"/>
    </row>
    <row r="3887" spans="1:13" ht="15" customHeight="1">
      <c r="A3887" s="146" t="s">
        <v>9006</v>
      </c>
      <c r="B3887" s="146">
        <v>516903</v>
      </c>
      <c r="C3887" s="147" t="s">
        <v>483</v>
      </c>
      <c r="D3887" s="146" t="s">
        <v>5640</v>
      </c>
      <c r="E3887" s="147" t="s">
        <v>8990</v>
      </c>
      <c r="F3887" s="147" t="s">
        <v>8990</v>
      </c>
      <c r="G3887" s="146" t="s">
        <v>102</v>
      </c>
      <c r="H3887" s="146" t="s">
        <v>52</v>
      </c>
      <c r="I3887" s="147" t="s">
        <v>8982</v>
      </c>
      <c r="J3887" s="147" t="s">
        <v>104</v>
      </c>
      <c r="K3887" s="148"/>
      <c r="L3887" s="149"/>
      <c r="M3887" s="148"/>
    </row>
    <row r="3888" spans="1:13" ht="15" customHeight="1">
      <c r="A3888" s="142" t="s">
        <v>9007</v>
      </c>
      <c r="B3888" s="142">
        <v>517406</v>
      </c>
      <c r="C3888" s="143" t="s">
        <v>9008</v>
      </c>
      <c r="D3888" s="142" t="s">
        <v>5640</v>
      </c>
      <c r="E3888" s="143" t="s">
        <v>9009</v>
      </c>
      <c r="F3888" s="143" t="s">
        <v>9010</v>
      </c>
      <c r="G3888" s="142" t="s">
        <v>109</v>
      </c>
      <c r="H3888" s="142" t="s">
        <v>52</v>
      </c>
      <c r="I3888" s="143" t="s">
        <v>8982</v>
      </c>
      <c r="J3888" s="143" t="s">
        <v>104</v>
      </c>
      <c r="K3888" s="144" t="s">
        <v>162</v>
      </c>
      <c r="L3888" s="145">
        <v>46150</v>
      </c>
      <c r="M3888" s="144"/>
    </row>
    <row r="3889" spans="1:13" ht="15" customHeight="1">
      <c r="A3889" s="146" t="s">
        <v>9011</v>
      </c>
      <c r="B3889" s="146">
        <v>517874</v>
      </c>
      <c r="C3889" s="147" t="s">
        <v>9012</v>
      </c>
      <c r="D3889" s="146" t="s">
        <v>6458</v>
      </c>
      <c r="E3889" s="147" t="s">
        <v>9013</v>
      </c>
      <c r="F3889" s="147" t="s">
        <v>9014</v>
      </c>
      <c r="G3889" s="146" t="s">
        <v>109</v>
      </c>
      <c r="H3889" s="146" t="s">
        <v>52</v>
      </c>
      <c r="I3889" s="147" t="s">
        <v>2927</v>
      </c>
      <c r="J3889" s="147" t="s">
        <v>104</v>
      </c>
      <c r="K3889" s="148"/>
      <c r="L3889" s="149"/>
      <c r="M3889" s="148"/>
    </row>
    <row r="3890" spans="1:13" ht="15" customHeight="1">
      <c r="A3890" s="142" t="s">
        <v>9015</v>
      </c>
      <c r="B3890" s="142">
        <v>518002</v>
      </c>
      <c r="C3890" s="143" t="s">
        <v>9016</v>
      </c>
      <c r="D3890" s="142" t="s">
        <v>5640</v>
      </c>
      <c r="E3890" s="143" t="s">
        <v>9017</v>
      </c>
      <c r="F3890" s="143" t="s">
        <v>9018</v>
      </c>
      <c r="G3890" s="142" t="s">
        <v>109</v>
      </c>
      <c r="H3890" s="142" t="s">
        <v>52</v>
      </c>
      <c r="I3890" s="143" t="s">
        <v>8982</v>
      </c>
      <c r="J3890" s="143" t="s">
        <v>104</v>
      </c>
      <c r="K3890" s="144"/>
      <c r="L3890" s="145"/>
      <c r="M3890" s="144"/>
    </row>
    <row r="3891" spans="1:13" ht="15" customHeight="1">
      <c r="A3891" s="146" t="s">
        <v>9019</v>
      </c>
      <c r="B3891" s="146">
        <v>517102</v>
      </c>
      <c r="C3891" s="147" t="s">
        <v>5555</v>
      </c>
      <c r="D3891" s="146" t="s">
        <v>5640</v>
      </c>
      <c r="E3891" s="147" t="s">
        <v>9020</v>
      </c>
      <c r="F3891" s="147" t="s">
        <v>9021</v>
      </c>
      <c r="G3891" s="146" t="s">
        <v>109</v>
      </c>
      <c r="H3891" s="146" t="s">
        <v>52</v>
      </c>
      <c r="I3891" s="147" t="s">
        <v>8982</v>
      </c>
      <c r="J3891" s="147" t="s">
        <v>104</v>
      </c>
      <c r="K3891" s="148"/>
      <c r="L3891" s="149"/>
      <c r="M3891" s="148"/>
    </row>
    <row r="3892" spans="1:13" ht="15" customHeight="1">
      <c r="A3892" s="142" t="s">
        <v>9022</v>
      </c>
      <c r="B3892" s="142">
        <v>517527</v>
      </c>
      <c r="C3892" s="143" t="s">
        <v>5555</v>
      </c>
      <c r="D3892" s="142" t="s">
        <v>5640</v>
      </c>
      <c r="E3892" s="143" t="s">
        <v>8980</v>
      </c>
      <c r="F3892" s="143" t="s">
        <v>9023</v>
      </c>
      <c r="G3892" s="142" t="s">
        <v>109</v>
      </c>
      <c r="H3892" s="142" t="s">
        <v>52</v>
      </c>
      <c r="I3892" s="143" t="s">
        <v>8982</v>
      </c>
      <c r="J3892" s="143" t="s">
        <v>104</v>
      </c>
      <c r="K3892" s="144"/>
      <c r="L3892" s="145"/>
      <c r="M3892" s="144"/>
    </row>
    <row r="3893" spans="1:13" ht="15" customHeight="1">
      <c r="A3893" s="146" t="s">
        <v>9024</v>
      </c>
      <c r="B3893" s="146">
        <v>517857</v>
      </c>
      <c r="C3893" s="147" t="s">
        <v>5555</v>
      </c>
      <c r="D3893" s="146" t="s">
        <v>6458</v>
      </c>
      <c r="E3893" s="147" t="s">
        <v>3341</v>
      </c>
      <c r="F3893" s="147" t="s">
        <v>9025</v>
      </c>
      <c r="G3893" s="146" t="s">
        <v>109</v>
      </c>
      <c r="H3893" s="146" t="s">
        <v>52</v>
      </c>
      <c r="I3893" s="147" t="s">
        <v>2927</v>
      </c>
      <c r="J3893" s="147" t="s">
        <v>104</v>
      </c>
      <c r="K3893" s="148"/>
      <c r="L3893" s="149"/>
      <c r="M3893" s="148"/>
    </row>
    <row r="3894" spans="1:13" ht="15" customHeight="1">
      <c r="A3894" s="142" t="s">
        <v>9026</v>
      </c>
      <c r="B3894" s="142">
        <v>514218</v>
      </c>
      <c r="C3894" s="143" t="s">
        <v>5235</v>
      </c>
      <c r="D3894" s="142" t="s">
        <v>6458</v>
      </c>
      <c r="E3894" s="143" t="s">
        <v>9027</v>
      </c>
      <c r="F3894" s="143" t="s">
        <v>9028</v>
      </c>
      <c r="G3894" s="142" t="s">
        <v>109</v>
      </c>
      <c r="H3894" s="142" t="s">
        <v>52</v>
      </c>
      <c r="I3894" s="143" t="s">
        <v>2927</v>
      </c>
      <c r="J3894" s="143" t="s">
        <v>104</v>
      </c>
      <c r="K3894" s="144"/>
      <c r="L3894" s="145"/>
      <c r="M3894" s="144"/>
    </row>
    <row r="3895" spans="1:13" ht="15" customHeight="1">
      <c r="A3895" s="146" t="s">
        <v>9029</v>
      </c>
      <c r="B3895" s="146">
        <v>517423</v>
      </c>
      <c r="C3895" s="147" t="s">
        <v>1123</v>
      </c>
      <c r="D3895" s="146" t="s">
        <v>5640</v>
      </c>
      <c r="E3895" s="147" t="s">
        <v>9030</v>
      </c>
      <c r="F3895" s="147" t="s">
        <v>9031</v>
      </c>
      <c r="G3895" s="146" t="s">
        <v>109</v>
      </c>
      <c r="H3895" s="146" t="s">
        <v>52</v>
      </c>
      <c r="I3895" s="147" t="s">
        <v>8982</v>
      </c>
      <c r="J3895" s="147" t="s">
        <v>104</v>
      </c>
      <c r="K3895" s="148"/>
      <c r="L3895" s="149"/>
      <c r="M3895" s="148"/>
    </row>
    <row r="3896" spans="1:13" ht="15" customHeight="1">
      <c r="A3896" s="142" t="s">
        <v>9032</v>
      </c>
      <c r="B3896" s="142">
        <v>517427</v>
      </c>
      <c r="C3896" s="143" t="s">
        <v>1123</v>
      </c>
      <c r="D3896" s="142" t="s">
        <v>5640</v>
      </c>
      <c r="E3896" s="143" t="s">
        <v>9033</v>
      </c>
      <c r="F3896" s="143" t="s">
        <v>9034</v>
      </c>
      <c r="G3896" s="142" t="s">
        <v>109</v>
      </c>
      <c r="H3896" s="142" t="s">
        <v>52</v>
      </c>
      <c r="I3896" s="143" t="s">
        <v>8982</v>
      </c>
      <c r="J3896" s="143" t="s">
        <v>104</v>
      </c>
      <c r="K3896" s="144"/>
      <c r="L3896" s="145"/>
      <c r="M3896" s="144"/>
    </row>
    <row r="3897" spans="1:13" ht="15" customHeight="1">
      <c r="A3897" s="146" t="s">
        <v>9035</v>
      </c>
      <c r="B3897" s="146">
        <v>517774</v>
      </c>
      <c r="C3897" s="147" t="s">
        <v>1123</v>
      </c>
      <c r="D3897" s="146" t="s">
        <v>6458</v>
      </c>
      <c r="E3897" s="147" t="s">
        <v>9036</v>
      </c>
      <c r="F3897" s="147" t="s">
        <v>2816</v>
      </c>
      <c r="G3897" s="146" t="s">
        <v>109</v>
      </c>
      <c r="H3897" s="146" t="s">
        <v>52</v>
      </c>
      <c r="I3897" s="147" t="s">
        <v>2927</v>
      </c>
      <c r="J3897" s="147" t="s">
        <v>104</v>
      </c>
      <c r="K3897" s="148"/>
      <c r="L3897" s="149"/>
      <c r="M3897" s="148"/>
    </row>
    <row r="3898" spans="1:13" ht="15" customHeight="1">
      <c r="A3898" s="142" t="s">
        <v>9037</v>
      </c>
      <c r="B3898" s="142">
        <v>517847</v>
      </c>
      <c r="C3898" s="143" t="s">
        <v>1123</v>
      </c>
      <c r="D3898" s="142" t="s">
        <v>6458</v>
      </c>
      <c r="E3898" s="143" t="s">
        <v>9038</v>
      </c>
      <c r="F3898" s="143" t="s">
        <v>9039</v>
      </c>
      <c r="G3898" s="142" t="s">
        <v>109</v>
      </c>
      <c r="H3898" s="142" t="s">
        <v>52</v>
      </c>
      <c r="I3898" s="143" t="s">
        <v>2927</v>
      </c>
      <c r="J3898" s="143" t="s">
        <v>104</v>
      </c>
      <c r="K3898" s="144" t="s">
        <v>121</v>
      </c>
      <c r="L3898" s="145">
        <v>46148</v>
      </c>
      <c r="M3898" s="144"/>
    </row>
    <row r="3899" spans="1:13" ht="15" customHeight="1">
      <c r="A3899" s="146" t="s">
        <v>9040</v>
      </c>
      <c r="B3899" s="146">
        <v>517965</v>
      </c>
      <c r="C3899" s="147" t="s">
        <v>1123</v>
      </c>
      <c r="D3899" s="146" t="s">
        <v>6458</v>
      </c>
      <c r="E3899" s="147" t="s">
        <v>9036</v>
      </c>
      <c r="F3899" s="147" t="s">
        <v>9041</v>
      </c>
      <c r="G3899" s="146" t="s">
        <v>109</v>
      </c>
      <c r="H3899" s="146" t="s">
        <v>52</v>
      </c>
      <c r="I3899" s="147" t="s">
        <v>2927</v>
      </c>
      <c r="J3899" s="147" t="s">
        <v>104</v>
      </c>
      <c r="K3899" s="148"/>
      <c r="L3899" s="149"/>
      <c r="M3899" s="148"/>
    </row>
    <row r="3900" spans="1:13" ht="15" customHeight="1">
      <c r="A3900" s="142" t="s">
        <v>9042</v>
      </c>
      <c r="B3900" s="142">
        <v>517961</v>
      </c>
      <c r="C3900" s="143" t="s">
        <v>1123</v>
      </c>
      <c r="D3900" s="142" t="s">
        <v>6458</v>
      </c>
      <c r="E3900" s="143" t="s">
        <v>3967</v>
      </c>
      <c r="F3900" s="143" t="s">
        <v>1670</v>
      </c>
      <c r="G3900" s="142" t="s">
        <v>109</v>
      </c>
      <c r="H3900" s="142" t="s">
        <v>52</v>
      </c>
      <c r="I3900" s="143" t="s">
        <v>2927</v>
      </c>
      <c r="J3900" s="143" t="s">
        <v>104</v>
      </c>
      <c r="K3900" s="144"/>
      <c r="L3900" s="145"/>
      <c r="M3900" s="144"/>
    </row>
    <row r="3901" spans="1:13" ht="15" customHeight="1">
      <c r="A3901" s="146" t="s">
        <v>9043</v>
      </c>
      <c r="B3901" s="146">
        <v>517815</v>
      </c>
      <c r="C3901" s="147" t="s">
        <v>1123</v>
      </c>
      <c r="D3901" s="146" t="s">
        <v>6458</v>
      </c>
      <c r="E3901" s="147" t="s">
        <v>9044</v>
      </c>
      <c r="F3901" s="147" t="s">
        <v>9045</v>
      </c>
      <c r="G3901" s="146" t="s">
        <v>109</v>
      </c>
      <c r="H3901" s="146" t="s">
        <v>52</v>
      </c>
      <c r="I3901" s="147" t="s">
        <v>2927</v>
      </c>
      <c r="J3901" s="147" t="s">
        <v>104</v>
      </c>
      <c r="K3901" s="148"/>
      <c r="L3901" s="149"/>
      <c r="M3901" s="148"/>
    </row>
    <row r="3902" spans="1:13" ht="15" customHeight="1">
      <c r="A3902" s="142" t="s">
        <v>9046</v>
      </c>
      <c r="B3902" s="142">
        <v>517812</v>
      </c>
      <c r="C3902" s="143" t="s">
        <v>1123</v>
      </c>
      <c r="D3902" s="142" t="s">
        <v>6458</v>
      </c>
      <c r="E3902" s="143" t="s">
        <v>9047</v>
      </c>
      <c r="F3902" s="143" t="s">
        <v>6455</v>
      </c>
      <c r="G3902" s="142" t="s">
        <v>109</v>
      </c>
      <c r="H3902" s="142" t="s">
        <v>52</v>
      </c>
      <c r="I3902" s="143" t="s">
        <v>2927</v>
      </c>
      <c r="J3902" s="143" t="s">
        <v>104</v>
      </c>
      <c r="K3902" s="144"/>
      <c r="L3902" s="145"/>
      <c r="M3902" s="144"/>
    </row>
    <row r="3903" spans="1:13" ht="15" customHeight="1">
      <c r="A3903" s="146" t="s">
        <v>9048</v>
      </c>
      <c r="B3903" s="146">
        <v>517850</v>
      </c>
      <c r="C3903" s="147" t="s">
        <v>9049</v>
      </c>
      <c r="D3903" s="146" t="s">
        <v>6458</v>
      </c>
      <c r="E3903" s="147" t="s">
        <v>5294</v>
      </c>
      <c r="F3903" s="147" t="s">
        <v>9050</v>
      </c>
      <c r="G3903" s="146" t="s">
        <v>109</v>
      </c>
      <c r="H3903" s="146" t="s">
        <v>52</v>
      </c>
      <c r="I3903" s="147" t="s">
        <v>2927</v>
      </c>
      <c r="J3903" s="147" t="s">
        <v>104</v>
      </c>
      <c r="K3903" s="148"/>
      <c r="L3903" s="149"/>
      <c r="M3903" s="148"/>
    </row>
    <row r="3904" spans="1:13" ht="15" customHeight="1">
      <c r="A3904" s="142" t="s">
        <v>9051</v>
      </c>
      <c r="B3904" s="142">
        <v>518632</v>
      </c>
      <c r="C3904" s="143" t="s">
        <v>9052</v>
      </c>
      <c r="D3904" s="142" t="s">
        <v>7142</v>
      </c>
      <c r="E3904" s="143" t="s">
        <v>9053</v>
      </c>
      <c r="F3904" s="143" t="s">
        <v>9053</v>
      </c>
      <c r="G3904" s="142" t="s">
        <v>102</v>
      </c>
      <c r="H3904" s="142" t="s">
        <v>52</v>
      </c>
      <c r="I3904" s="143" t="s">
        <v>2927</v>
      </c>
      <c r="J3904" s="143" t="s">
        <v>104</v>
      </c>
      <c r="K3904" s="144" t="s">
        <v>121</v>
      </c>
      <c r="L3904" s="145">
        <v>46151</v>
      </c>
      <c r="M3904" s="144"/>
    </row>
    <row r="3905" spans="1:13" ht="15" customHeight="1">
      <c r="A3905" s="146" t="s">
        <v>9054</v>
      </c>
      <c r="B3905" s="146">
        <v>518624</v>
      </c>
      <c r="C3905" s="147" t="s">
        <v>9055</v>
      </c>
      <c r="D3905" s="146" t="s">
        <v>7142</v>
      </c>
      <c r="E3905" s="147" t="s">
        <v>9056</v>
      </c>
      <c r="F3905" s="147" t="s">
        <v>9057</v>
      </c>
      <c r="G3905" s="146" t="s">
        <v>109</v>
      </c>
      <c r="H3905" s="146" t="s">
        <v>52</v>
      </c>
      <c r="I3905" s="147" t="s">
        <v>2927</v>
      </c>
      <c r="J3905" s="147" t="s">
        <v>104</v>
      </c>
      <c r="K3905" s="148" t="s">
        <v>121</v>
      </c>
      <c r="L3905" s="149">
        <v>46150</v>
      </c>
      <c r="M3905" s="148"/>
    </row>
    <row r="3906" spans="1:13" ht="15" customHeight="1">
      <c r="A3906" s="142" t="s">
        <v>9058</v>
      </c>
      <c r="B3906" s="142">
        <v>517100</v>
      </c>
      <c r="C3906" s="143" t="s">
        <v>9059</v>
      </c>
      <c r="D3906" s="142" t="s">
        <v>5640</v>
      </c>
      <c r="E3906" s="143" t="s">
        <v>9020</v>
      </c>
      <c r="F3906" s="143" t="s">
        <v>9060</v>
      </c>
      <c r="G3906" s="142" t="s">
        <v>109</v>
      </c>
      <c r="H3906" s="142" t="s">
        <v>52</v>
      </c>
      <c r="I3906" s="143" t="s">
        <v>8982</v>
      </c>
      <c r="J3906" s="143" t="s">
        <v>104</v>
      </c>
      <c r="K3906" s="144"/>
      <c r="L3906" s="145"/>
      <c r="M3906" s="144"/>
    </row>
    <row r="3907" spans="1:13" ht="15" customHeight="1">
      <c r="A3907" s="146" t="s">
        <v>9061</v>
      </c>
      <c r="B3907" s="146">
        <v>517141</v>
      </c>
      <c r="C3907" s="147" t="s">
        <v>9062</v>
      </c>
      <c r="D3907" s="146" t="s">
        <v>5640</v>
      </c>
      <c r="E3907" s="147" t="s">
        <v>9063</v>
      </c>
      <c r="F3907" s="147" t="s">
        <v>9063</v>
      </c>
      <c r="G3907" s="146" t="s">
        <v>102</v>
      </c>
      <c r="H3907" s="146" t="s">
        <v>52</v>
      </c>
      <c r="I3907" s="147" t="s">
        <v>8982</v>
      </c>
      <c r="J3907" s="147" t="s">
        <v>104</v>
      </c>
      <c r="K3907" s="148"/>
      <c r="L3907" s="149"/>
      <c r="M3907" s="148"/>
    </row>
    <row r="3908" spans="1:13" ht="15" customHeight="1">
      <c r="A3908" s="142" t="s">
        <v>9064</v>
      </c>
      <c r="B3908" s="142">
        <v>517932</v>
      </c>
      <c r="C3908" s="143" t="s">
        <v>9065</v>
      </c>
      <c r="D3908" s="142" t="s">
        <v>6458</v>
      </c>
      <c r="E3908" s="143" t="s">
        <v>3341</v>
      </c>
      <c r="F3908" s="143" t="s">
        <v>9066</v>
      </c>
      <c r="G3908" s="142" t="s">
        <v>109</v>
      </c>
      <c r="H3908" s="142" t="s">
        <v>52</v>
      </c>
      <c r="I3908" s="143" t="s">
        <v>2927</v>
      </c>
      <c r="J3908" s="143" t="s">
        <v>104</v>
      </c>
      <c r="K3908" s="144"/>
      <c r="L3908" s="145"/>
      <c r="M3908" s="144"/>
    </row>
    <row r="3909" spans="1:13" ht="15" customHeight="1">
      <c r="A3909" s="146" t="s">
        <v>9067</v>
      </c>
      <c r="B3909" s="146">
        <v>514219</v>
      </c>
      <c r="C3909" s="147" t="s">
        <v>9065</v>
      </c>
      <c r="D3909" s="146" t="s">
        <v>6458</v>
      </c>
      <c r="E3909" s="147" t="s">
        <v>9027</v>
      </c>
      <c r="F3909" s="147" t="s">
        <v>9068</v>
      </c>
      <c r="G3909" s="146" t="s">
        <v>109</v>
      </c>
      <c r="H3909" s="146" t="s">
        <v>52</v>
      </c>
      <c r="I3909" s="147" t="s">
        <v>2927</v>
      </c>
      <c r="J3909" s="147" t="s">
        <v>104</v>
      </c>
      <c r="K3909" s="148"/>
      <c r="L3909" s="149"/>
      <c r="M3909" s="148"/>
    </row>
    <row r="3910" spans="1:13" ht="15" customHeight="1">
      <c r="A3910" s="142" t="s">
        <v>9069</v>
      </c>
      <c r="B3910" s="142">
        <v>517866</v>
      </c>
      <c r="C3910" s="143" t="s">
        <v>9065</v>
      </c>
      <c r="D3910" s="142" t="s">
        <v>6458</v>
      </c>
      <c r="E3910" s="143" t="s">
        <v>9070</v>
      </c>
      <c r="F3910" s="143" t="s">
        <v>9071</v>
      </c>
      <c r="G3910" s="142" t="s">
        <v>109</v>
      </c>
      <c r="H3910" s="142" t="s">
        <v>52</v>
      </c>
      <c r="I3910" s="143" t="s">
        <v>2927</v>
      </c>
      <c r="J3910" s="143" t="s">
        <v>104</v>
      </c>
      <c r="K3910" s="144"/>
      <c r="L3910" s="145"/>
      <c r="M3910" s="144"/>
    </row>
    <row r="3911" spans="1:13" ht="15" customHeight="1">
      <c r="A3911" s="146" t="s">
        <v>9072</v>
      </c>
      <c r="B3911" s="146">
        <v>517422</v>
      </c>
      <c r="C3911" s="147" t="s">
        <v>9073</v>
      </c>
      <c r="D3911" s="146" t="s">
        <v>5640</v>
      </c>
      <c r="E3911" s="147" t="s">
        <v>9074</v>
      </c>
      <c r="F3911" s="147" t="s">
        <v>634</v>
      </c>
      <c r="G3911" s="146" t="s">
        <v>109</v>
      </c>
      <c r="H3911" s="146" t="s">
        <v>52</v>
      </c>
      <c r="I3911" s="147" t="s">
        <v>8982</v>
      </c>
      <c r="J3911" s="147" t="s">
        <v>104</v>
      </c>
      <c r="K3911" s="148"/>
      <c r="L3911" s="149"/>
      <c r="M3911" s="148"/>
    </row>
    <row r="3912" spans="1:13" ht="15" customHeight="1">
      <c r="A3912" s="142" t="s">
        <v>9075</v>
      </c>
      <c r="B3912" s="142">
        <v>517307</v>
      </c>
      <c r="C3912" s="143" t="s">
        <v>9076</v>
      </c>
      <c r="D3912" s="142" t="s">
        <v>5640</v>
      </c>
      <c r="E3912" s="143" t="s">
        <v>9077</v>
      </c>
      <c r="F3912" s="143" t="s">
        <v>9077</v>
      </c>
      <c r="G3912" s="142" t="s">
        <v>109</v>
      </c>
      <c r="H3912" s="142" t="s">
        <v>52</v>
      </c>
      <c r="I3912" s="143" t="s">
        <v>8982</v>
      </c>
      <c r="J3912" s="143" t="s">
        <v>104</v>
      </c>
      <c r="K3912" s="144"/>
      <c r="L3912" s="145"/>
      <c r="M3912" s="144"/>
    </row>
    <row r="3913" spans="1:13" ht="15" customHeight="1">
      <c r="A3913" s="146" t="s">
        <v>9078</v>
      </c>
      <c r="B3913" s="146">
        <v>517798</v>
      </c>
      <c r="C3913" s="147" t="s">
        <v>6707</v>
      </c>
      <c r="D3913" s="146" t="s">
        <v>6458</v>
      </c>
      <c r="E3913" s="147" t="s">
        <v>9070</v>
      </c>
      <c r="F3913" s="147" t="s">
        <v>9079</v>
      </c>
      <c r="G3913" s="146" t="s">
        <v>109</v>
      </c>
      <c r="H3913" s="146" t="s">
        <v>52</v>
      </c>
      <c r="I3913" s="147" t="s">
        <v>2927</v>
      </c>
      <c r="J3913" s="147" t="s">
        <v>104</v>
      </c>
      <c r="K3913" s="148"/>
      <c r="L3913" s="149"/>
      <c r="M3913" s="148"/>
    </row>
    <row r="3914" spans="1:13" ht="15" customHeight="1">
      <c r="A3914" s="142" t="s">
        <v>9080</v>
      </c>
      <c r="B3914" s="142">
        <v>517914</v>
      </c>
      <c r="C3914" s="143" t="s">
        <v>9081</v>
      </c>
      <c r="D3914" s="142" t="s">
        <v>6458</v>
      </c>
      <c r="E3914" s="143" t="s">
        <v>3984</v>
      </c>
      <c r="F3914" s="143" t="s">
        <v>9082</v>
      </c>
      <c r="G3914" s="142" t="s">
        <v>109</v>
      </c>
      <c r="H3914" s="142" t="s">
        <v>52</v>
      </c>
      <c r="I3914" s="143" t="s">
        <v>2927</v>
      </c>
      <c r="J3914" s="143" t="s">
        <v>104</v>
      </c>
      <c r="K3914" s="144"/>
      <c r="L3914" s="145"/>
      <c r="M3914" s="144"/>
    </row>
    <row r="3915" spans="1:13" ht="15" customHeight="1">
      <c r="A3915" s="146" t="s">
        <v>9083</v>
      </c>
      <c r="B3915" s="146">
        <v>517116</v>
      </c>
      <c r="C3915" s="147" t="s">
        <v>9084</v>
      </c>
      <c r="D3915" s="146" t="s">
        <v>5640</v>
      </c>
      <c r="E3915" s="147" t="s">
        <v>1215</v>
      </c>
      <c r="F3915" s="147" t="s">
        <v>9085</v>
      </c>
      <c r="G3915" s="146" t="s">
        <v>109</v>
      </c>
      <c r="H3915" s="146" t="s">
        <v>52</v>
      </c>
      <c r="I3915" s="147" t="s">
        <v>8982</v>
      </c>
      <c r="J3915" s="147" t="s">
        <v>104</v>
      </c>
      <c r="K3915" s="148"/>
      <c r="L3915" s="149"/>
      <c r="M3915" s="148"/>
    </row>
    <row r="3916" spans="1:13" ht="15" customHeight="1">
      <c r="A3916" s="142" t="s">
        <v>9086</v>
      </c>
      <c r="B3916" s="142">
        <v>519814</v>
      </c>
      <c r="C3916" s="143" t="s">
        <v>9087</v>
      </c>
      <c r="D3916" s="142" t="s">
        <v>5640</v>
      </c>
      <c r="E3916" s="143" t="s">
        <v>9088</v>
      </c>
      <c r="F3916" s="143" t="s">
        <v>9089</v>
      </c>
      <c r="G3916" s="142" t="s">
        <v>109</v>
      </c>
      <c r="H3916" s="142" t="s">
        <v>52</v>
      </c>
      <c r="I3916" s="143" t="s">
        <v>8982</v>
      </c>
      <c r="J3916" s="143" t="s">
        <v>104</v>
      </c>
      <c r="K3916" s="144"/>
      <c r="L3916" s="145"/>
      <c r="M3916" s="144"/>
    </row>
    <row r="3917" spans="1:13" ht="15" customHeight="1">
      <c r="A3917" s="146" t="s">
        <v>9090</v>
      </c>
      <c r="B3917" s="146">
        <v>517143</v>
      </c>
      <c r="C3917" s="147" t="s">
        <v>9091</v>
      </c>
      <c r="D3917" s="146" t="s">
        <v>5640</v>
      </c>
      <c r="E3917" s="147" t="s">
        <v>9063</v>
      </c>
      <c r="F3917" s="147" t="s">
        <v>9092</v>
      </c>
      <c r="G3917" s="146" t="s">
        <v>109</v>
      </c>
      <c r="H3917" s="146" t="s">
        <v>52</v>
      </c>
      <c r="I3917" s="147" t="s">
        <v>8982</v>
      </c>
      <c r="J3917" s="147" t="s">
        <v>104</v>
      </c>
      <c r="K3917" s="148"/>
      <c r="L3917" s="149"/>
      <c r="M3917" s="148"/>
    </row>
    <row r="3918" spans="1:13" ht="15" customHeight="1">
      <c r="A3918" s="142" t="s">
        <v>9093</v>
      </c>
      <c r="B3918" s="142">
        <v>517918</v>
      </c>
      <c r="C3918" s="143" t="s">
        <v>6487</v>
      </c>
      <c r="D3918" s="142" t="s">
        <v>6458</v>
      </c>
      <c r="E3918" s="143" t="s">
        <v>9094</v>
      </c>
      <c r="F3918" s="143" t="s">
        <v>9095</v>
      </c>
      <c r="G3918" s="142" t="s">
        <v>109</v>
      </c>
      <c r="H3918" s="142" t="s">
        <v>52</v>
      </c>
      <c r="I3918" s="143" t="s">
        <v>2927</v>
      </c>
      <c r="J3918" s="143" t="s">
        <v>104</v>
      </c>
      <c r="K3918" s="144"/>
      <c r="L3918" s="145"/>
      <c r="M3918" s="144"/>
    </row>
    <row r="3919" spans="1:13" ht="15" customHeight="1">
      <c r="A3919" s="146" t="s">
        <v>9096</v>
      </c>
      <c r="B3919" s="146">
        <v>518414</v>
      </c>
      <c r="C3919" s="147" t="s">
        <v>6487</v>
      </c>
      <c r="D3919" s="146" t="s">
        <v>6458</v>
      </c>
      <c r="E3919" s="147" t="s">
        <v>9097</v>
      </c>
      <c r="F3919" s="147" t="s">
        <v>9098</v>
      </c>
      <c r="G3919" s="146" t="s">
        <v>109</v>
      </c>
      <c r="H3919" s="146" t="s">
        <v>52</v>
      </c>
      <c r="I3919" s="147" t="s">
        <v>2927</v>
      </c>
      <c r="J3919" s="147" t="s">
        <v>104</v>
      </c>
      <c r="K3919" s="148"/>
      <c r="L3919" s="149"/>
      <c r="M3919" s="148"/>
    </row>
    <row r="3920" spans="1:13" ht="15" customHeight="1">
      <c r="A3920" s="142" t="s">
        <v>9099</v>
      </c>
      <c r="B3920" s="142">
        <v>517248</v>
      </c>
      <c r="C3920" s="143" t="s">
        <v>9100</v>
      </c>
      <c r="D3920" s="142" t="s">
        <v>5640</v>
      </c>
      <c r="E3920" s="143" t="s">
        <v>5967</v>
      </c>
      <c r="F3920" s="143" t="s">
        <v>9101</v>
      </c>
      <c r="G3920" s="142" t="s">
        <v>109</v>
      </c>
      <c r="H3920" s="142" t="s">
        <v>52</v>
      </c>
      <c r="I3920" s="143" t="s">
        <v>8982</v>
      </c>
      <c r="J3920" s="143" t="s">
        <v>104</v>
      </c>
      <c r="K3920" s="144"/>
      <c r="L3920" s="145"/>
      <c r="M3920" s="144"/>
    </row>
    <row r="3921" spans="1:13" ht="15" customHeight="1">
      <c r="A3921" s="146" t="s">
        <v>9102</v>
      </c>
      <c r="B3921" s="146">
        <v>517161</v>
      </c>
      <c r="C3921" s="147" t="s">
        <v>5830</v>
      </c>
      <c r="D3921" s="146" t="s">
        <v>5640</v>
      </c>
      <c r="E3921" s="147" t="s">
        <v>9103</v>
      </c>
      <c r="F3921" s="147" t="s">
        <v>9104</v>
      </c>
      <c r="G3921" s="146" t="s">
        <v>109</v>
      </c>
      <c r="H3921" s="146" t="s">
        <v>52</v>
      </c>
      <c r="I3921" s="147" t="s">
        <v>8982</v>
      </c>
      <c r="J3921" s="147" t="s">
        <v>104</v>
      </c>
      <c r="K3921" s="148"/>
      <c r="L3921" s="149"/>
      <c r="M3921" s="148"/>
    </row>
    <row r="3922" spans="1:13" ht="15" customHeight="1">
      <c r="A3922" s="142" t="s">
        <v>9105</v>
      </c>
      <c r="B3922" s="142">
        <v>517247</v>
      </c>
      <c r="C3922" s="143" t="s">
        <v>5830</v>
      </c>
      <c r="D3922" s="142" t="s">
        <v>5640</v>
      </c>
      <c r="E3922" s="143" t="s">
        <v>9074</v>
      </c>
      <c r="F3922" s="143" t="s">
        <v>9106</v>
      </c>
      <c r="G3922" s="142" t="s">
        <v>109</v>
      </c>
      <c r="H3922" s="142" t="s">
        <v>52</v>
      </c>
      <c r="I3922" s="143" t="s">
        <v>8982</v>
      </c>
      <c r="J3922" s="143" t="s">
        <v>104</v>
      </c>
      <c r="K3922" s="144"/>
      <c r="L3922" s="145"/>
      <c r="M3922" s="144"/>
    </row>
    <row r="3923" spans="1:13" ht="15" customHeight="1">
      <c r="A3923" s="146" t="s">
        <v>9107</v>
      </c>
      <c r="B3923" s="146">
        <v>518004</v>
      </c>
      <c r="C3923" s="147" t="s">
        <v>5830</v>
      </c>
      <c r="D3923" s="146" t="s">
        <v>5640</v>
      </c>
      <c r="E3923" s="147" t="s">
        <v>9017</v>
      </c>
      <c r="F3923" s="147" t="s">
        <v>2539</v>
      </c>
      <c r="G3923" s="146" t="s">
        <v>109</v>
      </c>
      <c r="H3923" s="146" t="s">
        <v>52</v>
      </c>
      <c r="I3923" s="147" t="s">
        <v>8982</v>
      </c>
      <c r="J3923" s="147" t="s">
        <v>104</v>
      </c>
      <c r="K3923" s="148"/>
      <c r="L3923" s="149"/>
      <c r="M3923" s="148"/>
    </row>
    <row r="3924" spans="1:13" ht="15" customHeight="1">
      <c r="A3924" s="142" t="s">
        <v>9108</v>
      </c>
      <c r="B3924" s="142">
        <v>517090</v>
      </c>
      <c r="C3924" s="143" t="s">
        <v>9109</v>
      </c>
      <c r="D3924" s="142" t="s">
        <v>5640</v>
      </c>
      <c r="E3924" s="143" t="s">
        <v>9063</v>
      </c>
      <c r="F3924" s="143" t="s">
        <v>9063</v>
      </c>
      <c r="G3924" s="142" t="s">
        <v>102</v>
      </c>
      <c r="H3924" s="142" t="s">
        <v>52</v>
      </c>
      <c r="I3924" s="143" t="s">
        <v>8982</v>
      </c>
      <c r="J3924" s="143" t="s">
        <v>104</v>
      </c>
      <c r="K3924" s="144"/>
      <c r="L3924" s="145"/>
      <c r="M3924" s="144"/>
    </row>
    <row r="3925" spans="1:13" ht="15" customHeight="1">
      <c r="A3925" s="146" t="s">
        <v>9110</v>
      </c>
      <c r="B3925" s="146">
        <v>517838</v>
      </c>
      <c r="C3925" s="147" t="s">
        <v>1527</v>
      </c>
      <c r="D3925" s="146" t="s">
        <v>6458</v>
      </c>
      <c r="E3925" s="147" t="s">
        <v>9036</v>
      </c>
      <c r="F3925" s="147" t="s">
        <v>9111</v>
      </c>
      <c r="G3925" s="146" t="s">
        <v>109</v>
      </c>
      <c r="H3925" s="146" t="s">
        <v>52</v>
      </c>
      <c r="I3925" s="147" t="s">
        <v>2927</v>
      </c>
      <c r="J3925" s="147" t="s">
        <v>104</v>
      </c>
      <c r="K3925" s="148"/>
      <c r="L3925" s="149"/>
      <c r="M3925" s="148"/>
    </row>
    <row r="3926" spans="1:13" ht="15" customHeight="1">
      <c r="A3926" s="142" t="s">
        <v>9112</v>
      </c>
      <c r="B3926" s="142">
        <v>517900</v>
      </c>
      <c r="C3926" s="143" t="s">
        <v>6682</v>
      </c>
      <c r="D3926" s="142" t="s">
        <v>6458</v>
      </c>
      <c r="E3926" s="143" t="s">
        <v>8976</v>
      </c>
      <c r="F3926" s="143" t="s">
        <v>3655</v>
      </c>
      <c r="G3926" s="142" t="s">
        <v>109</v>
      </c>
      <c r="H3926" s="142" t="s">
        <v>52</v>
      </c>
      <c r="I3926" s="143" t="s">
        <v>2927</v>
      </c>
      <c r="J3926" s="143" t="s">
        <v>104</v>
      </c>
      <c r="K3926" s="144"/>
      <c r="L3926" s="145"/>
      <c r="M3926" s="144"/>
    </row>
    <row r="3927" spans="1:13" ht="15" customHeight="1">
      <c r="A3927" s="146" t="s">
        <v>9113</v>
      </c>
      <c r="B3927" s="146">
        <v>517135</v>
      </c>
      <c r="C3927" s="147" t="s">
        <v>6682</v>
      </c>
      <c r="D3927" s="146" t="s">
        <v>5640</v>
      </c>
      <c r="E3927" s="147" t="s">
        <v>1113</v>
      </c>
      <c r="F3927" s="147" t="s">
        <v>9114</v>
      </c>
      <c r="G3927" s="146" t="s">
        <v>102</v>
      </c>
      <c r="H3927" s="146" t="s">
        <v>52</v>
      </c>
      <c r="I3927" s="147" t="s">
        <v>8982</v>
      </c>
      <c r="J3927" s="147" t="s">
        <v>104</v>
      </c>
      <c r="K3927" s="148" t="s">
        <v>121</v>
      </c>
      <c r="L3927" s="149">
        <v>46148</v>
      </c>
      <c r="M3927" s="148"/>
    </row>
    <row r="3928" spans="1:13" ht="15" customHeight="1">
      <c r="A3928" s="142" t="s">
        <v>9115</v>
      </c>
      <c r="B3928" s="142">
        <v>516967</v>
      </c>
      <c r="C3928" s="143" t="s">
        <v>9116</v>
      </c>
      <c r="D3928" s="142" t="s">
        <v>5640</v>
      </c>
      <c r="E3928" s="143" t="s">
        <v>8990</v>
      </c>
      <c r="F3928" s="143" t="s">
        <v>9117</v>
      </c>
      <c r="G3928" s="142" t="s">
        <v>109</v>
      </c>
      <c r="H3928" s="142" t="s">
        <v>52</v>
      </c>
      <c r="I3928" s="143" t="s">
        <v>8982</v>
      </c>
      <c r="J3928" s="143" t="s">
        <v>104</v>
      </c>
      <c r="K3928" s="144"/>
      <c r="L3928" s="145"/>
      <c r="M3928" s="144"/>
    </row>
    <row r="3929" spans="1:13" ht="15" customHeight="1">
      <c r="A3929" s="146" t="s">
        <v>9118</v>
      </c>
      <c r="B3929" s="146">
        <v>517220</v>
      </c>
      <c r="C3929" s="147" t="s">
        <v>9119</v>
      </c>
      <c r="D3929" s="146" t="s">
        <v>5640</v>
      </c>
      <c r="E3929" s="147" t="s">
        <v>9004</v>
      </c>
      <c r="F3929" s="147" t="s">
        <v>9120</v>
      </c>
      <c r="G3929" s="146" t="s">
        <v>102</v>
      </c>
      <c r="H3929" s="146" t="s">
        <v>52</v>
      </c>
      <c r="I3929" s="147" t="s">
        <v>8982</v>
      </c>
      <c r="J3929" s="147" t="s">
        <v>104</v>
      </c>
      <c r="K3929" s="148"/>
      <c r="L3929" s="149"/>
      <c r="M3929" s="148"/>
    </row>
    <row r="3930" spans="1:13" ht="15" customHeight="1">
      <c r="A3930" s="142" t="s">
        <v>9121</v>
      </c>
      <c r="B3930" s="142">
        <v>516904</v>
      </c>
      <c r="C3930" s="143" t="s">
        <v>9122</v>
      </c>
      <c r="D3930" s="142" t="s">
        <v>5640</v>
      </c>
      <c r="E3930" s="143" t="s">
        <v>8990</v>
      </c>
      <c r="F3930" s="143" t="s">
        <v>8990</v>
      </c>
      <c r="G3930" s="142" t="s">
        <v>102</v>
      </c>
      <c r="H3930" s="142" t="s">
        <v>52</v>
      </c>
      <c r="I3930" s="143" t="s">
        <v>8982</v>
      </c>
      <c r="J3930" s="143" t="s">
        <v>104</v>
      </c>
      <c r="K3930" s="144"/>
      <c r="L3930" s="145"/>
      <c r="M3930" s="144"/>
    </row>
    <row r="3931" spans="1:13" ht="15" customHeight="1">
      <c r="A3931" s="146" t="s">
        <v>9123</v>
      </c>
      <c r="B3931" s="146">
        <v>517784</v>
      </c>
      <c r="C3931" s="147" t="s">
        <v>9124</v>
      </c>
      <c r="D3931" s="146" t="s">
        <v>6458</v>
      </c>
      <c r="E3931" s="147" t="s">
        <v>9125</v>
      </c>
      <c r="F3931" s="147" t="s">
        <v>9125</v>
      </c>
      <c r="G3931" s="146" t="s">
        <v>102</v>
      </c>
      <c r="H3931" s="146" t="s">
        <v>52</v>
      </c>
      <c r="I3931" s="147" t="s">
        <v>2927</v>
      </c>
      <c r="J3931" s="147" t="s">
        <v>104</v>
      </c>
      <c r="K3931" s="148"/>
      <c r="L3931" s="149"/>
      <c r="M3931" s="148"/>
    </row>
    <row r="3932" spans="1:13" ht="15" customHeight="1">
      <c r="A3932" s="142" t="s">
        <v>9126</v>
      </c>
      <c r="B3932" s="142">
        <v>517929</v>
      </c>
      <c r="C3932" s="143" t="s">
        <v>6655</v>
      </c>
      <c r="D3932" s="142" t="s">
        <v>6458</v>
      </c>
      <c r="E3932" s="143" t="s">
        <v>8976</v>
      </c>
      <c r="F3932" s="143" t="s">
        <v>4061</v>
      </c>
      <c r="G3932" s="142" t="s">
        <v>109</v>
      </c>
      <c r="H3932" s="142" t="s">
        <v>52</v>
      </c>
      <c r="I3932" s="143" t="s">
        <v>2927</v>
      </c>
      <c r="J3932" s="143" t="s">
        <v>104</v>
      </c>
      <c r="K3932" s="144"/>
      <c r="L3932" s="145"/>
      <c r="M3932" s="144"/>
    </row>
    <row r="3933" spans="1:13" ht="15" customHeight="1">
      <c r="A3933" s="146" t="s">
        <v>9127</v>
      </c>
      <c r="B3933" s="146">
        <v>517321</v>
      </c>
      <c r="C3933" s="147" t="s">
        <v>9128</v>
      </c>
      <c r="D3933" s="146" t="s">
        <v>5640</v>
      </c>
      <c r="E3933" s="147" t="s">
        <v>9017</v>
      </c>
      <c r="F3933" s="147" t="s">
        <v>3875</v>
      </c>
      <c r="G3933" s="146" t="s">
        <v>109</v>
      </c>
      <c r="H3933" s="146" t="s">
        <v>52</v>
      </c>
      <c r="I3933" s="147" t="s">
        <v>8982</v>
      </c>
      <c r="J3933" s="147" t="s">
        <v>104</v>
      </c>
      <c r="K3933" s="148" t="s">
        <v>162</v>
      </c>
      <c r="L3933" s="149">
        <v>46150</v>
      </c>
      <c r="M3933" s="148"/>
    </row>
    <row r="3934" spans="1:13" ht="15" customHeight="1">
      <c r="A3934" s="142" t="s">
        <v>9129</v>
      </c>
      <c r="B3934" s="142">
        <v>517455</v>
      </c>
      <c r="C3934" s="143" t="s">
        <v>9130</v>
      </c>
      <c r="D3934" s="142" t="s">
        <v>5640</v>
      </c>
      <c r="E3934" s="143" t="s">
        <v>1113</v>
      </c>
      <c r="F3934" s="143" t="s">
        <v>254</v>
      </c>
      <c r="G3934" s="142" t="s">
        <v>109</v>
      </c>
      <c r="H3934" s="142" t="s">
        <v>52</v>
      </c>
      <c r="I3934" s="143" t="s">
        <v>8982</v>
      </c>
      <c r="J3934" s="143" t="s">
        <v>104</v>
      </c>
      <c r="K3934" s="144" t="s">
        <v>121</v>
      </c>
      <c r="L3934" s="145">
        <v>46149</v>
      </c>
      <c r="M3934" s="144"/>
    </row>
    <row r="3935" spans="1:13" ht="15" customHeight="1">
      <c r="A3935" s="146" t="s">
        <v>9131</v>
      </c>
      <c r="B3935" s="146">
        <v>517778</v>
      </c>
      <c r="C3935" s="147" t="s">
        <v>9132</v>
      </c>
      <c r="D3935" s="146" t="s">
        <v>553</v>
      </c>
      <c r="E3935" s="147" t="s">
        <v>3052</v>
      </c>
      <c r="F3935" s="147" t="s">
        <v>3052</v>
      </c>
      <c r="G3935" s="146" t="s">
        <v>109</v>
      </c>
      <c r="H3935" s="146" t="s">
        <v>52</v>
      </c>
      <c r="I3935" s="147" t="s">
        <v>2927</v>
      </c>
      <c r="J3935" s="147" t="s">
        <v>104</v>
      </c>
      <c r="K3935" s="148"/>
      <c r="L3935" s="149"/>
      <c r="M3935" s="148"/>
    </row>
    <row r="3936" spans="1:13" ht="15" customHeight="1">
      <c r="A3936" s="142" t="s">
        <v>9133</v>
      </c>
      <c r="B3936" s="142">
        <v>517124</v>
      </c>
      <c r="C3936" s="143" t="s">
        <v>9134</v>
      </c>
      <c r="D3936" s="142" t="s">
        <v>5640</v>
      </c>
      <c r="E3936" s="143" t="s">
        <v>9135</v>
      </c>
      <c r="F3936" s="143" t="s">
        <v>9135</v>
      </c>
      <c r="G3936" s="142" t="s">
        <v>102</v>
      </c>
      <c r="H3936" s="142" t="s">
        <v>52</v>
      </c>
      <c r="I3936" s="143" t="s">
        <v>8982</v>
      </c>
      <c r="J3936" s="143" t="s">
        <v>104</v>
      </c>
      <c r="K3936" s="144"/>
      <c r="L3936" s="145"/>
      <c r="M3936" s="144"/>
    </row>
    <row r="3937" spans="1:13" ht="15" customHeight="1">
      <c r="A3937" s="146" t="s">
        <v>9136</v>
      </c>
      <c r="B3937" s="146">
        <v>517442</v>
      </c>
      <c r="C3937" s="147" t="s">
        <v>9137</v>
      </c>
      <c r="D3937" s="146" t="s">
        <v>5640</v>
      </c>
      <c r="E3937" s="147" t="s">
        <v>8980</v>
      </c>
      <c r="F3937" s="147" t="s">
        <v>8980</v>
      </c>
      <c r="G3937" s="146" t="s">
        <v>102</v>
      </c>
      <c r="H3937" s="146" t="s">
        <v>52</v>
      </c>
      <c r="I3937" s="147" t="s">
        <v>8982</v>
      </c>
      <c r="J3937" s="147" t="s">
        <v>104</v>
      </c>
      <c r="K3937" s="148" t="s">
        <v>162</v>
      </c>
      <c r="L3937" s="149">
        <v>46147</v>
      </c>
      <c r="M3937" s="148" t="s">
        <v>9138</v>
      </c>
    </row>
    <row r="3938" spans="1:13" ht="15" customHeight="1">
      <c r="A3938" s="142" t="s">
        <v>9139</v>
      </c>
      <c r="B3938" s="142">
        <v>517890</v>
      </c>
      <c r="C3938" s="143" t="s">
        <v>1323</v>
      </c>
      <c r="D3938" s="142" t="s">
        <v>6458</v>
      </c>
      <c r="E3938" s="143" t="s">
        <v>3984</v>
      </c>
      <c r="F3938" s="143" t="s">
        <v>9140</v>
      </c>
      <c r="G3938" s="142" t="s">
        <v>109</v>
      </c>
      <c r="H3938" s="142" t="s">
        <v>52</v>
      </c>
      <c r="I3938" s="143" t="s">
        <v>2927</v>
      </c>
      <c r="J3938" s="143" t="s">
        <v>104</v>
      </c>
      <c r="K3938" s="144"/>
      <c r="L3938" s="145"/>
      <c r="M3938" s="144"/>
    </row>
    <row r="3939" spans="1:13" ht="15" customHeight="1">
      <c r="A3939" s="146" t="s">
        <v>9141</v>
      </c>
      <c r="B3939" s="146">
        <v>518426</v>
      </c>
      <c r="C3939" s="147" t="s">
        <v>1323</v>
      </c>
      <c r="D3939" s="146" t="s">
        <v>6458</v>
      </c>
      <c r="E3939" s="147" t="s">
        <v>9142</v>
      </c>
      <c r="F3939" s="147" t="s">
        <v>9143</v>
      </c>
      <c r="G3939" s="146" t="s">
        <v>109</v>
      </c>
      <c r="H3939" s="146" t="s">
        <v>52</v>
      </c>
      <c r="I3939" s="147" t="s">
        <v>2927</v>
      </c>
      <c r="J3939" s="147" t="s">
        <v>104</v>
      </c>
      <c r="K3939" s="148"/>
      <c r="L3939" s="149"/>
      <c r="M3939" s="148"/>
    </row>
    <row r="3940" spans="1:13" ht="15" customHeight="1">
      <c r="A3940" s="142" t="s">
        <v>9144</v>
      </c>
      <c r="B3940" s="142">
        <v>517952</v>
      </c>
      <c r="C3940" s="143" t="s">
        <v>1323</v>
      </c>
      <c r="D3940" s="142" t="s">
        <v>6458</v>
      </c>
      <c r="E3940" s="143" t="s">
        <v>9142</v>
      </c>
      <c r="F3940" s="143" t="s">
        <v>9145</v>
      </c>
      <c r="G3940" s="142" t="s">
        <v>109</v>
      </c>
      <c r="H3940" s="142" t="s">
        <v>52</v>
      </c>
      <c r="I3940" s="143" t="s">
        <v>2927</v>
      </c>
      <c r="J3940" s="143" t="s">
        <v>104</v>
      </c>
      <c r="K3940" s="144"/>
      <c r="L3940" s="145"/>
      <c r="M3940" s="144"/>
    </row>
    <row r="3941" spans="1:13" ht="15" customHeight="1">
      <c r="A3941" s="146" t="s">
        <v>9146</v>
      </c>
      <c r="B3941" s="146">
        <v>517809</v>
      </c>
      <c r="C3941" s="147" t="s">
        <v>9147</v>
      </c>
      <c r="D3941" s="146" t="s">
        <v>553</v>
      </c>
      <c r="E3941" s="147" t="s">
        <v>2926</v>
      </c>
      <c r="F3941" s="147" t="s">
        <v>9148</v>
      </c>
      <c r="G3941" s="146" t="s">
        <v>109</v>
      </c>
      <c r="H3941" s="146" t="s">
        <v>52</v>
      </c>
      <c r="I3941" s="147" t="s">
        <v>2927</v>
      </c>
      <c r="J3941" s="147" t="s">
        <v>104</v>
      </c>
      <c r="K3941" s="148"/>
      <c r="L3941" s="149"/>
      <c r="M3941" s="148"/>
    </row>
    <row r="3942" spans="1:13" ht="15" customHeight="1">
      <c r="A3942" s="142" t="s">
        <v>9149</v>
      </c>
      <c r="B3942" s="142">
        <v>518622</v>
      </c>
      <c r="C3942" s="143" t="s">
        <v>9150</v>
      </c>
      <c r="D3942" s="142" t="s">
        <v>7142</v>
      </c>
      <c r="E3942" s="143" t="s">
        <v>9056</v>
      </c>
      <c r="F3942" s="143" t="s">
        <v>9151</v>
      </c>
      <c r="G3942" s="142" t="s">
        <v>109</v>
      </c>
      <c r="H3942" s="142" t="s">
        <v>52</v>
      </c>
      <c r="I3942" s="143" t="s">
        <v>2927</v>
      </c>
      <c r="J3942" s="143" t="s">
        <v>104</v>
      </c>
      <c r="K3942" s="144" t="s">
        <v>121</v>
      </c>
      <c r="L3942" s="145">
        <v>46149</v>
      </c>
      <c r="M3942" s="144"/>
    </row>
    <row r="3943" spans="1:13" ht="15" customHeight="1">
      <c r="A3943" s="146" t="s">
        <v>9152</v>
      </c>
      <c r="B3943" s="146">
        <v>517872</v>
      </c>
      <c r="C3943" s="147" t="s">
        <v>9153</v>
      </c>
      <c r="D3943" s="146" t="s">
        <v>6458</v>
      </c>
      <c r="E3943" s="147" t="s">
        <v>8987</v>
      </c>
      <c r="F3943" s="147" t="s">
        <v>9154</v>
      </c>
      <c r="G3943" s="146" t="s">
        <v>109</v>
      </c>
      <c r="H3943" s="146" t="s">
        <v>52</v>
      </c>
      <c r="I3943" s="147" t="s">
        <v>2927</v>
      </c>
      <c r="J3943" s="147" t="s">
        <v>104</v>
      </c>
      <c r="K3943" s="148"/>
      <c r="L3943" s="149"/>
      <c r="M3943" s="148"/>
    </row>
    <row r="3944" spans="1:13" ht="15" customHeight="1">
      <c r="A3944" s="142" t="s">
        <v>9155</v>
      </c>
      <c r="B3944" s="142">
        <v>517901</v>
      </c>
      <c r="C3944" s="143" t="s">
        <v>9156</v>
      </c>
      <c r="D3944" s="142" t="s">
        <v>6458</v>
      </c>
      <c r="E3944" s="143" t="s">
        <v>9157</v>
      </c>
      <c r="F3944" s="143" t="s">
        <v>9158</v>
      </c>
      <c r="G3944" s="142" t="s">
        <v>109</v>
      </c>
      <c r="H3944" s="142" t="s">
        <v>52</v>
      </c>
      <c r="I3944" s="143" t="s">
        <v>2927</v>
      </c>
      <c r="J3944" s="143" t="s">
        <v>104</v>
      </c>
      <c r="K3944" s="144"/>
      <c r="L3944" s="145"/>
      <c r="M3944" s="144"/>
    </row>
    <row r="3945" spans="1:13" ht="15" customHeight="1">
      <c r="A3945" s="146" t="s">
        <v>9159</v>
      </c>
      <c r="B3945" s="146">
        <v>517915</v>
      </c>
      <c r="C3945" s="147" t="s">
        <v>6502</v>
      </c>
      <c r="D3945" s="146" t="s">
        <v>6458</v>
      </c>
      <c r="E3945" s="147" t="s">
        <v>3984</v>
      </c>
      <c r="F3945" s="147" t="s">
        <v>9160</v>
      </c>
      <c r="G3945" s="146" t="s">
        <v>109</v>
      </c>
      <c r="H3945" s="146" t="s">
        <v>52</v>
      </c>
      <c r="I3945" s="147" t="s">
        <v>2927</v>
      </c>
      <c r="J3945" s="147" t="s">
        <v>104</v>
      </c>
      <c r="K3945" s="148"/>
      <c r="L3945" s="149"/>
      <c r="M3945" s="148"/>
    </row>
    <row r="3946" spans="1:13" ht="15" customHeight="1">
      <c r="A3946" s="142" t="s">
        <v>9161</v>
      </c>
      <c r="B3946" s="142">
        <v>517806</v>
      </c>
      <c r="C3946" s="143" t="s">
        <v>6502</v>
      </c>
      <c r="D3946" s="142" t="s">
        <v>6458</v>
      </c>
      <c r="E3946" s="143" t="s">
        <v>9162</v>
      </c>
      <c r="F3946" s="143" t="s">
        <v>9163</v>
      </c>
      <c r="G3946" s="142" t="s">
        <v>109</v>
      </c>
      <c r="H3946" s="142" t="s">
        <v>52</v>
      </c>
      <c r="I3946" s="143" t="s">
        <v>2927</v>
      </c>
      <c r="J3946" s="143" t="s">
        <v>104</v>
      </c>
      <c r="K3946" s="144"/>
      <c r="L3946" s="145"/>
      <c r="M3946" s="144"/>
    </row>
    <row r="3947" spans="1:13" ht="15" customHeight="1">
      <c r="A3947" s="146" t="s">
        <v>9164</v>
      </c>
      <c r="B3947" s="146">
        <v>517873</v>
      </c>
      <c r="C3947" s="147" t="s">
        <v>6502</v>
      </c>
      <c r="D3947" s="146" t="s">
        <v>6458</v>
      </c>
      <c r="E3947" s="147" t="s">
        <v>8987</v>
      </c>
      <c r="F3947" s="147" t="s">
        <v>9165</v>
      </c>
      <c r="G3947" s="146" t="s">
        <v>109</v>
      </c>
      <c r="H3947" s="146" t="s">
        <v>52</v>
      </c>
      <c r="I3947" s="147" t="s">
        <v>2927</v>
      </c>
      <c r="J3947" s="147" t="s">
        <v>104</v>
      </c>
      <c r="K3947" s="148"/>
      <c r="L3947" s="149"/>
      <c r="M3947" s="148"/>
    </row>
    <row r="3948" spans="1:13" ht="15" customHeight="1">
      <c r="A3948" s="142" t="s">
        <v>9166</v>
      </c>
      <c r="B3948" s="142">
        <v>517820</v>
      </c>
      <c r="C3948" s="143" t="s">
        <v>6502</v>
      </c>
      <c r="D3948" s="142" t="s">
        <v>6458</v>
      </c>
      <c r="E3948" s="143" t="s">
        <v>9027</v>
      </c>
      <c r="F3948" s="143" t="s">
        <v>9167</v>
      </c>
      <c r="G3948" s="142" t="s">
        <v>102</v>
      </c>
      <c r="H3948" s="142" t="s">
        <v>52</v>
      </c>
      <c r="I3948" s="143" t="s">
        <v>2927</v>
      </c>
      <c r="J3948" s="143" t="s">
        <v>104</v>
      </c>
      <c r="K3948" s="144"/>
      <c r="L3948" s="145"/>
      <c r="M3948" s="144"/>
    </row>
    <row r="3949" spans="1:13" ht="15" customHeight="1">
      <c r="A3949" s="146" t="s">
        <v>9168</v>
      </c>
      <c r="B3949" s="146">
        <v>517390</v>
      </c>
      <c r="C3949" s="147" t="s">
        <v>470</v>
      </c>
      <c r="D3949" s="146" t="s">
        <v>5640</v>
      </c>
      <c r="E3949" s="147" t="s">
        <v>9009</v>
      </c>
      <c r="F3949" s="147" t="s">
        <v>9169</v>
      </c>
      <c r="G3949" s="146" t="s">
        <v>109</v>
      </c>
      <c r="H3949" s="146" t="s">
        <v>52</v>
      </c>
      <c r="I3949" s="147" t="s">
        <v>8982</v>
      </c>
      <c r="J3949" s="147" t="s">
        <v>104</v>
      </c>
      <c r="K3949" s="148" t="s">
        <v>162</v>
      </c>
      <c r="L3949" s="149">
        <v>46150</v>
      </c>
      <c r="M3949" s="148"/>
    </row>
    <row r="3950" spans="1:13" ht="15" customHeight="1">
      <c r="A3950" s="142" t="s">
        <v>9170</v>
      </c>
      <c r="B3950" s="142">
        <v>517352</v>
      </c>
      <c r="C3950" s="143" t="s">
        <v>3443</v>
      </c>
      <c r="D3950" s="142" t="s">
        <v>5640</v>
      </c>
      <c r="E3950" s="143" t="s">
        <v>9171</v>
      </c>
      <c r="F3950" s="143" t="s">
        <v>9172</v>
      </c>
      <c r="G3950" s="142" t="s">
        <v>109</v>
      </c>
      <c r="H3950" s="142" t="s">
        <v>52</v>
      </c>
      <c r="I3950" s="143" t="s">
        <v>8982</v>
      </c>
      <c r="J3950" s="143" t="s">
        <v>104</v>
      </c>
      <c r="K3950" s="144" t="s">
        <v>121</v>
      </c>
      <c r="L3950" s="145">
        <v>46150</v>
      </c>
      <c r="M3950" s="144"/>
    </row>
    <row r="3951" spans="1:13" ht="15" customHeight="1">
      <c r="A3951" s="146" t="s">
        <v>9173</v>
      </c>
      <c r="B3951" s="146">
        <v>517825</v>
      </c>
      <c r="C3951" s="147" t="s">
        <v>3443</v>
      </c>
      <c r="D3951" s="146" t="s">
        <v>6458</v>
      </c>
      <c r="E3951" s="147" t="s">
        <v>9047</v>
      </c>
      <c r="F3951" s="147" t="s">
        <v>9174</v>
      </c>
      <c r="G3951" s="146" t="s">
        <v>109</v>
      </c>
      <c r="H3951" s="146" t="s">
        <v>52</v>
      </c>
      <c r="I3951" s="147" t="s">
        <v>2927</v>
      </c>
      <c r="J3951" s="147" t="s">
        <v>104</v>
      </c>
      <c r="K3951" s="148"/>
      <c r="L3951" s="149"/>
      <c r="M3951" s="148"/>
    </row>
    <row r="3952" spans="1:13" ht="15" customHeight="1">
      <c r="A3952" s="142" t="s">
        <v>9175</v>
      </c>
      <c r="B3952" s="142">
        <v>517167</v>
      </c>
      <c r="C3952" s="143" t="s">
        <v>9176</v>
      </c>
      <c r="D3952" s="142" t="s">
        <v>5640</v>
      </c>
      <c r="E3952" s="143" t="s">
        <v>9030</v>
      </c>
      <c r="F3952" s="143" t="s">
        <v>1292</v>
      </c>
      <c r="G3952" s="142" t="s">
        <v>109</v>
      </c>
      <c r="H3952" s="142" t="s">
        <v>52</v>
      </c>
      <c r="I3952" s="143" t="s">
        <v>8982</v>
      </c>
      <c r="J3952" s="143" t="s">
        <v>104</v>
      </c>
      <c r="K3952" s="144"/>
      <c r="L3952" s="145"/>
      <c r="M3952" s="144"/>
    </row>
    <row r="3953" spans="1:13" ht="15" customHeight="1">
      <c r="A3953" s="146" t="s">
        <v>9177</v>
      </c>
      <c r="B3953" s="146">
        <v>517403</v>
      </c>
      <c r="C3953" s="147" t="s">
        <v>2726</v>
      </c>
      <c r="D3953" s="146" t="s">
        <v>5640</v>
      </c>
      <c r="E3953" s="147" t="s">
        <v>9030</v>
      </c>
      <c r="F3953" s="147" t="s">
        <v>9178</v>
      </c>
      <c r="G3953" s="146" t="s">
        <v>109</v>
      </c>
      <c r="H3953" s="146" t="s">
        <v>52</v>
      </c>
      <c r="I3953" s="147" t="s">
        <v>8982</v>
      </c>
      <c r="J3953" s="147" t="s">
        <v>104</v>
      </c>
      <c r="K3953" s="148"/>
      <c r="L3953" s="149"/>
      <c r="M3953" s="148"/>
    </row>
    <row r="3954" spans="1:13" ht="15" customHeight="1">
      <c r="A3954" s="142" t="s">
        <v>9179</v>
      </c>
      <c r="B3954" s="142">
        <v>514194</v>
      </c>
      <c r="C3954" s="143" t="s">
        <v>2726</v>
      </c>
      <c r="D3954" s="142" t="s">
        <v>5640</v>
      </c>
      <c r="E3954" s="143" t="s">
        <v>9180</v>
      </c>
      <c r="F3954" s="143" t="s">
        <v>9181</v>
      </c>
      <c r="G3954" s="142" t="s">
        <v>109</v>
      </c>
      <c r="H3954" s="142" t="s">
        <v>52</v>
      </c>
      <c r="I3954" s="143" t="s">
        <v>8982</v>
      </c>
      <c r="J3954" s="143" t="s">
        <v>104</v>
      </c>
      <c r="K3954" s="144"/>
      <c r="L3954" s="145"/>
      <c r="M3954" s="144"/>
    </row>
    <row r="3955" spans="1:13" ht="15" customHeight="1">
      <c r="A3955" s="146" t="s">
        <v>9182</v>
      </c>
      <c r="B3955" s="146">
        <v>517245</v>
      </c>
      <c r="C3955" s="147" t="s">
        <v>5751</v>
      </c>
      <c r="D3955" s="146" t="s">
        <v>5640</v>
      </c>
      <c r="E3955" s="147" t="s">
        <v>9030</v>
      </c>
      <c r="F3955" s="147" t="s">
        <v>9183</v>
      </c>
      <c r="G3955" s="146" t="s">
        <v>109</v>
      </c>
      <c r="H3955" s="146" t="s">
        <v>52</v>
      </c>
      <c r="I3955" s="147" t="s">
        <v>8982</v>
      </c>
      <c r="J3955" s="147" t="s">
        <v>104</v>
      </c>
      <c r="K3955" s="148"/>
      <c r="L3955" s="149"/>
      <c r="M3955" s="148"/>
    </row>
    <row r="3956" spans="1:13" ht="15" customHeight="1">
      <c r="A3956" s="142" t="s">
        <v>9184</v>
      </c>
      <c r="B3956" s="142">
        <v>517146</v>
      </c>
      <c r="C3956" s="143" t="s">
        <v>9185</v>
      </c>
      <c r="D3956" s="142" t="s">
        <v>5640</v>
      </c>
      <c r="E3956" s="143" t="s">
        <v>9063</v>
      </c>
      <c r="F3956" s="143" t="s">
        <v>9186</v>
      </c>
      <c r="G3956" s="142" t="s">
        <v>102</v>
      </c>
      <c r="H3956" s="142" t="s">
        <v>52</v>
      </c>
      <c r="I3956" s="143" t="s">
        <v>8982</v>
      </c>
      <c r="J3956" s="143" t="s">
        <v>104</v>
      </c>
      <c r="K3956" s="144"/>
      <c r="L3956" s="145"/>
      <c r="M3956" s="144"/>
    </row>
    <row r="3957" spans="1:13" ht="15" customHeight="1">
      <c r="A3957" s="146" t="s">
        <v>9187</v>
      </c>
      <c r="B3957" s="146">
        <v>517898</v>
      </c>
      <c r="C3957" s="147" t="s">
        <v>9188</v>
      </c>
      <c r="D3957" s="146" t="s">
        <v>6458</v>
      </c>
      <c r="E3957" s="147" t="s">
        <v>3984</v>
      </c>
      <c r="F3957" s="147" t="s">
        <v>9189</v>
      </c>
      <c r="G3957" s="146" t="s">
        <v>109</v>
      </c>
      <c r="H3957" s="146" t="s">
        <v>52</v>
      </c>
      <c r="I3957" s="147" t="s">
        <v>2927</v>
      </c>
      <c r="J3957" s="147" t="s">
        <v>104</v>
      </c>
      <c r="K3957" s="148"/>
      <c r="L3957" s="149"/>
      <c r="M3957" s="148"/>
    </row>
    <row r="3958" spans="1:13" ht="15" customHeight="1">
      <c r="A3958" s="142" t="s">
        <v>9190</v>
      </c>
      <c r="B3958" s="142">
        <v>518620</v>
      </c>
      <c r="C3958" s="143" t="s">
        <v>9191</v>
      </c>
      <c r="D3958" s="142" t="s">
        <v>7142</v>
      </c>
      <c r="E3958" s="143" t="s">
        <v>9056</v>
      </c>
      <c r="F3958" s="143" t="s">
        <v>9056</v>
      </c>
      <c r="G3958" s="142" t="s">
        <v>102</v>
      </c>
      <c r="H3958" s="142" t="s">
        <v>52</v>
      </c>
      <c r="I3958" s="143" t="s">
        <v>2927</v>
      </c>
      <c r="J3958" s="143" t="s">
        <v>104</v>
      </c>
      <c r="K3958" s="144" t="s">
        <v>121</v>
      </c>
      <c r="L3958" s="145">
        <v>46148</v>
      </c>
      <c r="M3958" s="144"/>
    </row>
    <row r="3959" spans="1:13" ht="15" customHeight="1">
      <c r="A3959" s="146" t="s">
        <v>9192</v>
      </c>
      <c r="B3959" s="146">
        <v>518427</v>
      </c>
      <c r="C3959" s="147" t="s">
        <v>9193</v>
      </c>
      <c r="D3959" s="146" t="s">
        <v>6458</v>
      </c>
      <c r="E3959" s="147" t="s">
        <v>9142</v>
      </c>
      <c r="F3959" s="147" t="s">
        <v>9194</v>
      </c>
      <c r="G3959" s="146" t="s">
        <v>109</v>
      </c>
      <c r="H3959" s="146" t="s">
        <v>52</v>
      </c>
      <c r="I3959" s="147" t="s">
        <v>2927</v>
      </c>
      <c r="J3959" s="147" t="s">
        <v>104</v>
      </c>
      <c r="K3959" s="148"/>
      <c r="L3959" s="149"/>
      <c r="M3959" s="148"/>
    </row>
    <row r="3960" spans="1:13" ht="15" customHeight="1">
      <c r="A3960" s="142" t="s">
        <v>9195</v>
      </c>
      <c r="B3960" s="142">
        <v>517817</v>
      </c>
      <c r="C3960" s="143" t="s">
        <v>9193</v>
      </c>
      <c r="D3960" s="142" t="s">
        <v>6458</v>
      </c>
      <c r="E3960" s="143" t="s">
        <v>8987</v>
      </c>
      <c r="F3960" s="143" t="s">
        <v>8790</v>
      </c>
      <c r="G3960" s="142" t="s">
        <v>109</v>
      </c>
      <c r="H3960" s="142" t="s">
        <v>52</v>
      </c>
      <c r="I3960" s="143" t="s">
        <v>2927</v>
      </c>
      <c r="J3960" s="143" t="s">
        <v>104</v>
      </c>
      <c r="K3960" s="144"/>
      <c r="L3960" s="145"/>
      <c r="M3960" s="144"/>
    </row>
    <row r="3961" spans="1:13" ht="15" customHeight="1">
      <c r="A3961" s="146" t="s">
        <v>9196</v>
      </c>
      <c r="B3961" s="146">
        <v>517810</v>
      </c>
      <c r="C3961" s="147" t="s">
        <v>9197</v>
      </c>
      <c r="D3961" s="146" t="s">
        <v>6458</v>
      </c>
      <c r="E3961" s="147" t="s">
        <v>9094</v>
      </c>
      <c r="F3961" s="147" t="s">
        <v>9198</v>
      </c>
      <c r="G3961" s="146" t="s">
        <v>109</v>
      </c>
      <c r="H3961" s="146" t="s">
        <v>52</v>
      </c>
      <c r="I3961" s="147" t="s">
        <v>2927</v>
      </c>
      <c r="J3961" s="147" t="s">
        <v>104</v>
      </c>
      <c r="K3961" s="148"/>
      <c r="L3961" s="149"/>
      <c r="M3961" s="148"/>
    </row>
    <row r="3962" spans="1:13" ht="15" customHeight="1">
      <c r="A3962" s="142" t="s">
        <v>9199</v>
      </c>
      <c r="B3962" s="142">
        <v>517889</v>
      </c>
      <c r="C3962" s="143" t="s">
        <v>9200</v>
      </c>
      <c r="D3962" s="142" t="s">
        <v>6458</v>
      </c>
      <c r="E3962" s="143" t="s">
        <v>3984</v>
      </c>
      <c r="F3962" s="143" t="s">
        <v>9201</v>
      </c>
      <c r="G3962" s="142" t="s">
        <v>109</v>
      </c>
      <c r="H3962" s="142" t="s">
        <v>52</v>
      </c>
      <c r="I3962" s="143" t="s">
        <v>2927</v>
      </c>
      <c r="J3962" s="143" t="s">
        <v>104</v>
      </c>
      <c r="K3962" s="144"/>
      <c r="L3962" s="145"/>
      <c r="M3962" s="144"/>
    </row>
    <row r="3963" spans="1:13" ht="15" customHeight="1">
      <c r="A3963" s="146" t="s">
        <v>9202</v>
      </c>
      <c r="B3963" s="146">
        <v>517776</v>
      </c>
      <c r="C3963" s="147" t="s">
        <v>9203</v>
      </c>
      <c r="D3963" s="146" t="s">
        <v>6458</v>
      </c>
      <c r="E3963" s="147" t="s">
        <v>9094</v>
      </c>
      <c r="F3963" s="147" t="s">
        <v>9204</v>
      </c>
      <c r="G3963" s="146" t="s">
        <v>109</v>
      </c>
      <c r="H3963" s="146" t="s">
        <v>52</v>
      </c>
      <c r="I3963" s="147" t="s">
        <v>2927</v>
      </c>
      <c r="J3963" s="147" t="s">
        <v>104</v>
      </c>
      <c r="K3963" s="148"/>
      <c r="L3963" s="149"/>
      <c r="M3963" s="148"/>
    </row>
    <row r="3964" spans="1:13" ht="15" customHeight="1">
      <c r="A3964" s="142" t="s">
        <v>9205</v>
      </c>
      <c r="B3964" s="142">
        <v>517811</v>
      </c>
      <c r="C3964" s="143" t="s">
        <v>1215</v>
      </c>
      <c r="D3964" s="142" t="s">
        <v>6458</v>
      </c>
      <c r="E3964" s="143" t="s">
        <v>9047</v>
      </c>
      <c r="F3964" s="143" t="s">
        <v>9206</v>
      </c>
      <c r="G3964" s="142" t="s">
        <v>109</v>
      </c>
      <c r="H3964" s="142" t="s">
        <v>52</v>
      </c>
      <c r="I3964" s="143" t="s">
        <v>2927</v>
      </c>
      <c r="J3964" s="143" t="s">
        <v>104</v>
      </c>
      <c r="K3964" s="144"/>
      <c r="L3964" s="145"/>
      <c r="M3964" s="144"/>
    </row>
    <row r="3965" spans="1:13" ht="15" customHeight="1">
      <c r="A3965" s="146" t="s">
        <v>9207</v>
      </c>
      <c r="B3965" s="146">
        <v>517117</v>
      </c>
      <c r="C3965" s="147" t="s">
        <v>1215</v>
      </c>
      <c r="D3965" s="146" t="s">
        <v>5640</v>
      </c>
      <c r="E3965" s="147" t="s">
        <v>1215</v>
      </c>
      <c r="F3965" s="147" t="s">
        <v>1215</v>
      </c>
      <c r="G3965" s="146" t="s">
        <v>102</v>
      </c>
      <c r="H3965" s="146" t="s">
        <v>52</v>
      </c>
      <c r="I3965" s="147" t="s">
        <v>8982</v>
      </c>
      <c r="J3965" s="147" t="s">
        <v>104</v>
      </c>
      <c r="K3965" s="148"/>
      <c r="L3965" s="149"/>
      <c r="M3965" s="148"/>
    </row>
    <row r="3966" spans="1:13" ht="15" customHeight="1">
      <c r="A3966" s="142" t="s">
        <v>9208</v>
      </c>
      <c r="B3966" s="142">
        <v>517510</v>
      </c>
      <c r="C3966" s="143" t="s">
        <v>3676</v>
      </c>
      <c r="D3966" s="142" t="s">
        <v>5640</v>
      </c>
      <c r="E3966" s="143" t="s">
        <v>9135</v>
      </c>
      <c r="F3966" s="143" t="s">
        <v>9209</v>
      </c>
      <c r="G3966" s="142" t="s">
        <v>109</v>
      </c>
      <c r="H3966" s="142" t="s">
        <v>52</v>
      </c>
      <c r="I3966" s="143" t="s">
        <v>8982</v>
      </c>
      <c r="J3966" s="143" t="s">
        <v>104</v>
      </c>
      <c r="K3966" s="144"/>
      <c r="L3966" s="145"/>
      <c r="M3966" s="144"/>
    </row>
    <row r="3967" spans="1:13" ht="15" customHeight="1">
      <c r="A3967" s="146" t="s">
        <v>9210</v>
      </c>
      <c r="B3967" s="146">
        <v>517166</v>
      </c>
      <c r="C3967" s="147" t="s">
        <v>3676</v>
      </c>
      <c r="D3967" s="146" t="s">
        <v>5640</v>
      </c>
      <c r="E3967" s="147" t="s">
        <v>9030</v>
      </c>
      <c r="F3967" s="147" t="s">
        <v>9211</v>
      </c>
      <c r="G3967" s="146" t="s">
        <v>102</v>
      </c>
      <c r="H3967" s="146" t="s">
        <v>52</v>
      </c>
      <c r="I3967" s="147" t="s">
        <v>8982</v>
      </c>
      <c r="J3967" s="147" t="s">
        <v>104</v>
      </c>
      <c r="K3967" s="148"/>
      <c r="L3967" s="149"/>
      <c r="M3967" s="148"/>
    </row>
    <row r="3968" spans="1:13" ht="15" customHeight="1">
      <c r="A3968" s="142" t="s">
        <v>9212</v>
      </c>
      <c r="B3968" s="142">
        <v>517856</v>
      </c>
      <c r="C3968" s="143" t="s">
        <v>6034</v>
      </c>
      <c r="D3968" s="142" t="s">
        <v>6458</v>
      </c>
      <c r="E3968" s="143" t="s">
        <v>3341</v>
      </c>
      <c r="F3968" s="143" t="s">
        <v>3341</v>
      </c>
      <c r="G3968" s="142" t="s">
        <v>109</v>
      </c>
      <c r="H3968" s="142" t="s">
        <v>52</v>
      </c>
      <c r="I3968" s="143" t="s">
        <v>2927</v>
      </c>
      <c r="J3968" s="143" t="s">
        <v>104</v>
      </c>
      <c r="K3968" s="144"/>
      <c r="L3968" s="145"/>
      <c r="M3968" s="144"/>
    </row>
    <row r="3969" spans="1:13" ht="15" customHeight="1">
      <c r="A3969" s="146" t="s">
        <v>9213</v>
      </c>
      <c r="B3969" s="146">
        <v>517474</v>
      </c>
      <c r="C3969" s="147" t="s">
        <v>9214</v>
      </c>
      <c r="D3969" s="146" t="s">
        <v>5640</v>
      </c>
      <c r="E3969" s="147" t="s">
        <v>1113</v>
      </c>
      <c r="F3969" s="147" t="s">
        <v>9215</v>
      </c>
      <c r="G3969" s="146" t="s">
        <v>102</v>
      </c>
      <c r="H3969" s="146" t="s">
        <v>52</v>
      </c>
      <c r="I3969" s="147" t="s">
        <v>8982</v>
      </c>
      <c r="J3969" s="147" t="s">
        <v>104</v>
      </c>
      <c r="K3969" s="148" t="s">
        <v>121</v>
      </c>
      <c r="L3969" s="149">
        <v>46147</v>
      </c>
      <c r="M3969" s="148"/>
    </row>
    <row r="3970" spans="1:13" ht="15" customHeight="1">
      <c r="A3970" s="142" t="s">
        <v>9216</v>
      </c>
      <c r="B3970" s="142">
        <v>514170</v>
      </c>
      <c r="C3970" s="143" t="s">
        <v>9217</v>
      </c>
      <c r="D3970" s="142" t="s">
        <v>5640</v>
      </c>
      <c r="E3970" s="143" t="s">
        <v>9218</v>
      </c>
      <c r="F3970" s="143" t="s">
        <v>1215</v>
      </c>
      <c r="G3970" s="142" t="s">
        <v>109</v>
      </c>
      <c r="H3970" s="142" t="s">
        <v>52</v>
      </c>
      <c r="I3970" s="143" t="s">
        <v>8982</v>
      </c>
      <c r="J3970" s="143" t="s">
        <v>104</v>
      </c>
      <c r="K3970" s="144"/>
      <c r="L3970" s="145"/>
      <c r="M3970" s="144"/>
    </row>
    <row r="3971" spans="1:13" ht="15" customHeight="1">
      <c r="A3971" s="146" t="s">
        <v>9219</v>
      </c>
      <c r="B3971" s="146">
        <v>517024</v>
      </c>
      <c r="C3971" s="147" t="s">
        <v>9217</v>
      </c>
      <c r="D3971" s="146" t="s">
        <v>5640</v>
      </c>
      <c r="E3971" s="147" t="s">
        <v>254</v>
      </c>
      <c r="F3971" s="147" t="s">
        <v>9220</v>
      </c>
      <c r="G3971" s="146" t="s">
        <v>109</v>
      </c>
      <c r="H3971" s="146" t="s">
        <v>52</v>
      </c>
      <c r="I3971" s="147" t="s">
        <v>8982</v>
      </c>
      <c r="J3971" s="147" t="s">
        <v>104</v>
      </c>
      <c r="K3971" s="148"/>
      <c r="L3971" s="149"/>
      <c r="M3971" s="148"/>
    </row>
    <row r="3972" spans="1:13" ht="15" customHeight="1">
      <c r="A3972" s="142" t="s">
        <v>9221</v>
      </c>
      <c r="B3972" s="142">
        <v>517252</v>
      </c>
      <c r="C3972" s="143" t="s">
        <v>5976</v>
      </c>
      <c r="D3972" s="142" t="s">
        <v>5640</v>
      </c>
      <c r="E3972" s="143" t="s">
        <v>3645</v>
      </c>
      <c r="F3972" s="143" t="s">
        <v>3645</v>
      </c>
      <c r="G3972" s="142" t="s">
        <v>109</v>
      </c>
      <c r="H3972" s="142" t="s">
        <v>52</v>
      </c>
      <c r="I3972" s="143" t="s">
        <v>8982</v>
      </c>
      <c r="J3972" s="143" t="s">
        <v>104</v>
      </c>
      <c r="K3972" s="144"/>
      <c r="L3972" s="145"/>
      <c r="M3972" s="144"/>
    </row>
    <row r="3973" spans="1:13" ht="15" customHeight="1">
      <c r="A3973" s="146" t="s">
        <v>9222</v>
      </c>
      <c r="B3973" s="146">
        <v>517126</v>
      </c>
      <c r="C3973" s="147" t="s">
        <v>9223</v>
      </c>
      <c r="D3973" s="146" t="s">
        <v>5640</v>
      </c>
      <c r="E3973" s="147" t="s">
        <v>9224</v>
      </c>
      <c r="F3973" s="147" t="s">
        <v>9225</v>
      </c>
      <c r="G3973" s="146" t="s">
        <v>109</v>
      </c>
      <c r="H3973" s="146" t="s">
        <v>52</v>
      </c>
      <c r="I3973" s="147" t="s">
        <v>8982</v>
      </c>
      <c r="J3973" s="147" t="s">
        <v>104</v>
      </c>
      <c r="K3973" s="148" t="s">
        <v>121</v>
      </c>
      <c r="L3973" s="149">
        <v>46148</v>
      </c>
      <c r="M3973" s="148"/>
    </row>
    <row r="3974" spans="1:13" ht="15" customHeight="1">
      <c r="A3974" s="142" t="s">
        <v>9226</v>
      </c>
      <c r="B3974" s="142">
        <v>517519</v>
      </c>
      <c r="C3974" s="143" t="s">
        <v>6433</v>
      </c>
      <c r="D3974" s="142" t="s">
        <v>5640</v>
      </c>
      <c r="E3974" s="143" t="s">
        <v>9171</v>
      </c>
      <c r="F3974" s="143" t="s">
        <v>9227</v>
      </c>
      <c r="G3974" s="142" t="s">
        <v>109</v>
      </c>
      <c r="H3974" s="142" t="s">
        <v>52</v>
      </c>
      <c r="I3974" s="143" t="s">
        <v>8982</v>
      </c>
      <c r="J3974" s="143" t="s">
        <v>104</v>
      </c>
      <c r="K3974" s="144" t="s">
        <v>121</v>
      </c>
      <c r="L3974" s="145">
        <v>46149</v>
      </c>
      <c r="M3974" s="144"/>
    </row>
    <row r="3975" spans="1:13" ht="15" customHeight="1">
      <c r="A3975" s="146" t="s">
        <v>9228</v>
      </c>
      <c r="B3975" s="146">
        <v>517407</v>
      </c>
      <c r="C3975" s="147" t="s">
        <v>3437</v>
      </c>
      <c r="D3975" s="146" t="s">
        <v>5640</v>
      </c>
      <c r="E3975" s="147" t="s">
        <v>9229</v>
      </c>
      <c r="F3975" s="147" t="s">
        <v>9230</v>
      </c>
      <c r="G3975" s="146" t="s">
        <v>109</v>
      </c>
      <c r="H3975" s="146" t="s">
        <v>52</v>
      </c>
      <c r="I3975" s="147" t="s">
        <v>8982</v>
      </c>
      <c r="J3975" s="147" t="s">
        <v>104</v>
      </c>
      <c r="K3975" s="148" t="s">
        <v>162</v>
      </c>
      <c r="L3975" s="149">
        <v>46149</v>
      </c>
      <c r="M3975" s="148"/>
    </row>
    <row r="3976" spans="1:13" ht="15" customHeight="1">
      <c r="A3976" s="142" t="s">
        <v>9231</v>
      </c>
      <c r="B3976" s="142">
        <v>517308</v>
      </c>
      <c r="C3976" s="143" t="s">
        <v>1002</v>
      </c>
      <c r="D3976" s="142" t="s">
        <v>5640</v>
      </c>
      <c r="E3976" s="143" t="s">
        <v>9077</v>
      </c>
      <c r="F3976" s="143" t="s">
        <v>9232</v>
      </c>
      <c r="G3976" s="142" t="s">
        <v>109</v>
      </c>
      <c r="H3976" s="142" t="s">
        <v>52</v>
      </c>
      <c r="I3976" s="143" t="s">
        <v>8982</v>
      </c>
      <c r="J3976" s="143" t="s">
        <v>104</v>
      </c>
      <c r="K3976" s="144"/>
      <c r="L3976" s="145"/>
      <c r="M3976" s="144"/>
    </row>
    <row r="3977" spans="1:13" ht="15" customHeight="1">
      <c r="A3977" s="146" t="s">
        <v>9233</v>
      </c>
      <c r="B3977" s="146">
        <v>514104</v>
      </c>
      <c r="C3977" s="147" t="s">
        <v>6735</v>
      </c>
      <c r="D3977" s="146" t="s">
        <v>553</v>
      </c>
      <c r="E3977" s="147" t="s">
        <v>9234</v>
      </c>
      <c r="F3977" s="147" t="s">
        <v>9234</v>
      </c>
      <c r="G3977" s="146" t="s">
        <v>6739</v>
      </c>
      <c r="H3977" s="146" t="s">
        <v>52</v>
      </c>
      <c r="I3977" s="147" t="s">
        <v>2927</v>
      </c>
      <c r="J3977" s="147" t="s">
        <v>6741</v>
      </c>
      <c r="K3977" s="148"/>
      <c r="L3977" s="149"/>
      <c r="M3977" s="148"/>
    </row>
    <row r="3978" spans="1:13" ht="15" customHeight="1">
      <c r="A3978" s="142" t="s">
        <v>9235</v>
      </c>
      <c r="B3978" s="142">
        <v>514105</v>
      </c>
      <c r="C3978" s="143" t="s">
        <v>6735</v>
      </c>
      <c r="D3978" s="142" t="s">
        <v>553</v>
      </c>
      <c r="E3978" s="143" t="s">
        <v>9234</v>
      </c>
      <c r="F3978" s="143" t="s">
        <v>9234</v>
      </c>
      <c r="G3978" s="142" t="s">
        <v>6739</v>
      </c>
      <c r="H3978" s="142" t="s">
        <v>52</v>
      </c>
      <c r="I3978" s="143" t="s">
        <v>2927</v>
      </c>
      <c r="J3978" s="143" t="s">
        <v>6741</v>
      </c>
      <c r="K3978" s="144"/>
      <c r="L3978" s="145"/>
      <c r="M3978" s="144"/>
    </row>
    <row r="3979" spans="1:13" ht="15" customHeight="1">
      <c r="A3979" s="146" t="s">
        <v>9236</v>
      </c>
      <c r="B3979" s="146">
        <v>514106</v>
      </c>
      <c r="C3979" s="147" t="s">
        <v>6735</v>
      </c>
      <c r="D3979" s="146" t="s">
        <v>553</v>
      </c>
      <c r="E3979" s="147" t="s">
        <v>2926</v>
      </c>
      <c r="F3979" s="147" t="s">
        <v>9237</v>
      </c>
      <c r="G3979" s="146" t="s">
        <v>6739</v>
      </c>
      <c r="H3979" s="146" t="s">
        <v>52</v>
      </c>
      <c r="I3979" s="147" t="s">
        <v>2927</v>
      </c>
      <c r="J3979" s="147" t="s">
        <v>6741</v>
      </c>
      <c r="K3979" s="148"/>
      <c r="L3979" s="149"/>
      <c r="M3979" s="148"/>
    </row>
    <row r="3980" spans="1:13" ht="15" customHeight="1">
      <c r="A3980" s="142" t="s">
        <v>9238</v>
      </c>
      <c r="B3980" s="142">
        <v>514206</v>
      </c>
      <c r="C3980" s="143" t="s">
        <v>6735</v>
      </c>
      <c r="D3980" s="142" t="s">
        <v>553</v>
      </c>
      <c r="E3980" s="143" t="s">
        <v>3360</v>
      </c>
      <c r="F3980" s="143" t="s">
        <v>9239</v>
      </c>
      <c r="G3980" s="142" t="s">
        <v>6739</v>
      </c>
      <c r="H3980" s="142" t="s">
        <v>52</v>
      </c>
      <c r="I3980" s="143" t="s">
        <v>2927</v>
      </c>
      <c r="J3980" s="143" t="s">
        <v>6741</v>
      </c>
      <c r="K3980" s="144"/>
      <c r="L3980" s="145"/>
      <c r="M3980" s="144"/>
    </row>
    <row r="3981" spans="1:13" ht="15" customHeight="1">
      <c r="A3981" s="146" t="s">
        <v>9240</v>
      </c>
      <c r="B3981" s="146">
        <v>514207</v>
      </c>
      <c r="C3981" s="147" t="s">
        <v>6735</v>
      </c>
      <c r="D3981" s="146" t="s">
        <v>553</v>
      </c>
      <c r="E3981" s="147" t="s">
        <v>3360</v>
      </c>
      <c r="F3981" s="147" t="s">
        <v>3360</v>
      </c>
      <c r="G3981" s="146" t="s">
        <v>6739</v>
      </c>
      <c r="H3981" s="146" t="s">
        <v>52</v>
      </c>
      <c r="I3981" s="147" t="s">
        <v>2927</v>
      </c>
      <c r="J3981" s="147" t="s">
        <v>6741</v>
      </c>
      <c r="K3981" s="148" t="s">
        <v>121</v>
      </c>
      <c r="L3981" s="149">
        <v>46147</v>
      </c>
      <c r="M3981" s="148"/>
    </row>
    <row r="3982" spans="1:13" ht="15" customHeight="1">
      <c r="A3982" s="142" t="s">
        <v>9241</v>
      </c>
      <c r="B3982" s="142">
        <v>514231</v>
      </c>
      <c r="C3982" s="143" t="s">
        <v>6735</v>
      </c>
      <c r="D3982" s="142" t="s">
        <v>553</v>
      </c>
      <c r="E3982" s="143" t="s">
        <v>3360</v>
      </c>
      <c r="F3982" s="143" t="s">
        <v>9242</v>
      </c>
      <c r="G3982" s="142" t="s">
        <v>6739</v>
      </c>
      <c r="H3982" s="142" t="s">
        <v>52</v>
      </c>
      <c r="I3982" s="143" t="s">
        <v>8982</v>
      </c>
      <c r="J3982" s="143" t="s">
        <v>6741</v>
      </c>
      <c r="K3982" s="144"/>
      <c r="L3982" s="145"/>
      <c r="M3982" s="144"/>
    </row>
    <row r="3983" spans="1:13" ht="15" customHeight="1">
      <c r="A3983" s="146" t="s">
        <v>9243</v>
      </c>
      <c r="B3983" s="146">
        <v>514243</v>
      </c>
      <c r="C3983" s="147" t="s">
        <v>6735</v>
      </c>
      <c r="D3983" s="146" t="s">
        <v>553</v>
      </c>
      <c r="E3983" s="147" t="s">
        <v>2933</v>
      </c>
      <c r="F3983" s="147" t="s">
        <v>2933</v>
      </c>
      <c r="G3983" s="146" t="s">
        <v>6739</v>
      </c>
      <c r="H3983" s="146" t="s">
        <v>52</v>
      </c>
      <c r="I3983" s="147" t="s">
        <v>2927</v>
      </c>
      <c r="J3983" s="147" t="s">
        <v>6741</v>
      </c>
      <c r="K3983" s="148"/>
      <c r="L3983" s="149"/>
      <c r="M3983" s="148"/>
    </row>
    <row r="3984" spans="1:13" ht="15" customHeight="1">
      <c r="A3984" s="142" t="s">
        <v>9244</v>
      </c>
      <c r="B3984" s="142">
        <v>514296</v>
      </c>
      <c r="C3984" s="143" t="s">
        <v>6735</v>
      </c>
      <c r="D3984" s="142" t="s">
        <v>553</v>
      </c>
      <c r="E3984" s="143" t="s">
        <v>9245</v>
      </c>
      <c r="F3984" s="143" t="s">
        <v>9245</v>
      </c>
      <c r="G3984" s="142" t="s">
        <v>6739</v>
      </c>
      <c r="H3984" s="142" t="s">
        <v>52</v>
      </c>
      <c r="I3984" s="143" t="s">
        <v>2927</v>
      </c>
      <c r="J3984" s="143" t="s">
        <v>6741</v>
      </c>
      <c r="K3984" s="144"/>
      <c r="L3984" s="145"/>
      <c r="M3984" s="144"/>
    </row>
    <row r="3985" spans="1:13" ht="15" customHeight="1">
      <c r="A3985" s="146" t="s">
        <v>9246</v>
      </c>
      <c r="B3985" s="146">
        <v>516707</v>
      </c>
      <c r="C3985" s="147" t="s">
        <v>6735</v>
      </c>
      <c r="D3985" s="146" t="s">
        <v>5640</v>
      </c>
      <c r="E3985" s="147" t="s">
        <v>9088</v>
      </c>
      <c r="F3985" s="147" t="s">
        <v>9247</v>
      </c>
      <c r="G3985" s="146" t="s">
        <v>6739</v>
      </c>
      <c r="H3985" s="146" t="s">
        <v>52</v>
      </c>
      <c r="I3985" s="147" t="s">
        <v>8982</v>
      </c>
      <c r="J3985" s="147" t="s">
        <v>6741</v>
      </c>
      <c r="K3985" s="148"/>
      <c r="L3985" s="149"/>
      <c r="M3985" s="148"/>
    </row>
    <row r="3986" spans="1:13" ht="15" customHeight="1">
      <c r="A3986" s="142" t="s">
        <v>9248</v>
      </c>
      <c r="B3986" s="142">
        <v>516902</v>
      </c>
      <c r="C3986" s="143" t="s">
        <v>6735</v>
      </c>
      <c r="D3986" s="142" t="s">
        <v>5640</v>
      </c>
      <c r="E3986" s="143" t="s">
        <v>9249</v>
      </c>
      <c r="F3986" s="143" t="s">
        <v>9250</v>
      </c>
      <c r="G3986" s="142" t="s">
        <v>6739</v>
      </c>
      <c r="H3986" s="142" t="s">
        <v>52</v>
      </c>
      <c r="I3986" s="143" t="s">
        <v>8982</v>
      </c>
      <c r="J3986" s="143" t="s">
        <v>6741</v>
      </c>
      <c r="K3986" s="144"/>
      <c r="L3986" s="145"/>
      <c r="M3986" s="144"/>
    </row>
    <row r="3987" spans="1:13" ht="15" customHeight="1">
      <c r="A3987" s="146" t="s">
        <v>9251</v>
      </c>
      <c r="B3987" s="146">
        <v>516905</v>
      </c>
      <c r="C3987" s="147" t="s">
        <v>6735</v>
      </c>
      <c r="D3987" s="146" t="s">
        <v>5640</v>
      </c>
      <c r="E3987" s="147" t="s">
        <v>8990</v>
      </c>
      <c r="F3987" s="147" t="s">
        <v>8990</v>
      </c>
      <c r="G3987" s="146" t="s">
        <v>6739</v>
      </c>
      <c r="H3987" s="146" t="s">
        <v>52</v>
      </c>
      <c r="I3987" s="147" t="s">
        <v>8982</v>
      </c>
      <c r="J3987" s="147" t="s">
        <v>6741</v>
      </c>
      <c r="K3987" s="148"/>
      <c r="L3987" s="149"/>
      <c r="M3987" s="148"/>
    </row>
    <row r="3988" spans="1:13" ht="15" customHeight="1">
      <c r="A3988" s="142" t="s">
        <v>9252</v>
      </c>
      <c r="B3988" s="142">
        <v>516906</v>
      </c>
      <c r="C3988" s="143" t="s">
        <v>6735</v>
      </c>
      <c r="D3988" s="142" t="s">
        <v>5640</v>
      </c>
      <c r="E3988" s="143" t="s">
        <v>8990</v>
      </c>
      <c r="F3988" s="143" t="s">
        <v>8990</v>
      </c>
      <c r="G3988" s="142" t="s">
        <v>6739</v>
      </c>
      <c r="H3988" s="142" t="s">
        <v>52</v>
      </c>
      <c r="I3988" s="143" t="s">
        <v>8982</v>
      </c>
      <c r="J3988" s="143" t="s">
        <v>6741</v>
      </c>
      <c r="K3988" s="144"/>
      <c r="L3988" s="145"/>
      <c r="M3988" s="144"/>
    </row>
    <row r="3989" spans="1:13" ht="15" customHeight="1">
      <c r="A3989" s="146" t="s">
        <v>9253</v>
      </c>
      <c r="B3989" s="146">
        <v>516918</v>
      </c>
      <c r="C3989" s="147" t="s">
        <v>6735</v>
      </c>
      <c r="D3989" s="146" t="s">
        <v>5640</v>
      </c>
      <c r="E3989" s="147" t="s">
        <v>9030</v>
      </c>
      <c r="F3989" s="147" t="s">
        <v>9211</v>
      </c>
      <c r="G3989" s="146" t="s">
        <v>6739</v>
      </c>
      <c r="H3989" s="146" t="s">
        <v>52</v>
      </c>
      <c r="I3989" s="147" t="s">
        <v>8982</v>
      </c>
      <c r="J3989" s="147" t="s">
        <v>6741</v>
      </c>
      <c r="K3989" s="148" t="s">
        <v>121</v>
      </c>
      <c r="L3989" s="149">
        <v>46147</v>
      </c>
      <c r="M3989" s="148"/>
    </row>
    <row r="3990" spans="1:13" ht="15" customHeight="1">
      <c r="A3990" s="142" t="s">
        <v>9254</v>
      </c>
      <c r="B3990" s="142">
        <v>516919</v>
      </c>
      <c r="C3990" s="143" t="s">
        <v>6735</v>
      </c>
      <c r="D3990" s="142" t="s">
        <v>5640</v>
      </c>
      <c r="E3990" s="143" t="s">
        <v>9030</v>
      </c>
      <c r="F3990" s="143" t="s">
        <v>9211</v>
      </c>
      <c r="G3990" s="142" t="s">
        <v>6739</v>
      </c>
      <c r="H3990" s="142" t="s">
        <v>52</v>
      </c>
      <c r="I3990" s="143" t="s">
        <v>8982</v>
      </c>
      <c r="J3990" s="143" t="s">
        <v>6741</v>
      </c>
      <c r="K3990" s="144"/>
      <c r="L3990" s="145"/>
      <c r="M3990" s="144"/>
    </row>
    <row r="3991" spans="1:13" ht="15" customHeight="1">
      <c r="A3991" s="146" t="s">
        <v>9255</v>
      </c>
      <c r="B3991" s="146">
        <v>517013</v>
      </c>
      <c r="C3991" s="147" t="s">
        <v>6735</v>
      </c>
      <c r="D3991" s="146" t="s">
        <v>5640</v>
      </c>
      <c r="E3991" s="147" t="s">
        <v>9256</v>
      </c>
      <c r="F3991" s="147" t="s">
        <v>9256</v>
      </c>
      <c r="G3991" s="146" t="s">
        <v>6739</v>
      </c>
      <c r="H3991" s="146" t="s">
        <v>52</v>
      </c>
      <c r="I3991" s="147" t="s">
        <v>8982</v>
      </c>
      <c r="J3991" s="147" t="s">
        <v>6741</v>
      </c>
      <c r="K3991" s="148"/>
      <c r="L3991" s="149"/>
      <c r="M3991" s="148"/>
    </row>
    <row r="3992" spans="1:13" ht="15" customHeight="1">
      <c r="A3992" s="142" t="s">
        <v>9257</v>
      </c>
      <c r="B3992" s="142">
        <v>517088</v>
      </c>
      <c r="C3992" s="143" t="s">
        <v>6735</v>
      </c>
      <c r="D3992" s="142" t="s">
        <v>5640</v>
      </c>
      <c r="E3992" s="143" t="s">
        <v>9063</v>
      </c>
      <c r="F3992" s="143" t="s">
        <v>9063</v>
      </c>
      <c r="G3992" s="142" t="s">
        <v>6739</v>
      </c>
      <c r="H3992" s="142" t="s">
        <v>52</v>
      </c>
      <c r="I3992" s="143" t="s">
        <v>8982</v>
      </c>
      <c r="J3992" s="143" t="s">
        <v>6741</v>
      </c>
      <c r="K3992" s="144"/>
      <c r="L3992" s="145"/>
      <c r="M3992" s="144"/>
    </row>
    <row r="3993" spans="1:13" ht="15" customHeight="1">
      <c r="A3993" s="146" t="s">
        <v>9258</v>
      </c>
      <c r="B3993" s="146">
        <v>517103</v>
      </c>
      <c r="C3993" s="147" t="s">
        <v>6735</v>
      </c>
      <c r="D3993" s="146" t="s">
        <v>5640</v>
      </c>
      <c r="E3993" s="147" t="s">
        <v>9020</v>
      </c>
      <c r="F3993" s="147" t="s">
        <v>9020</v>
      </c>
      <c r="G3993" s="146" t="s">
        <v>6739</v>
      </c>
      <c r="H3993" s="146" t="s">
        <v>52</v>
      </c>
      <c r="I3993" s="147" t="s">
        <v>8982</v>
      </c>
      <c r="J3993" s="147" t="s">
        <v>6741</v>
      </c>
      <c r="K3993" s="148"/>
      <c r="L3993" s="149"/>
      <c r="M3993" s="148"/>
    </row>
    <row r="3994" spans="1:13" ht="15" customHeight="1">
      <c r="A3994" s="142" t="s">
        <v>9259</v>
      </c>
      <c r="B3994" s="142">
        <v>517104</v>
      </c>
      <c r="C3994" s="143" t="s">
        <v>6735</v>
      </c>
      <c r="D3994" s="142" t="s">
        <v>5640</v>
      </c>
      <c r="E3994" s="143" t="s">
        <v>9020</v>
      </c>
      <c r="F3994" s="143" t="s">
        <v>9020</v>
      </c>
      <c r="G3994" s="142" t="s">
        <v>6739</v>
      </c>
      <c r="H3994" s="142" t="s">
        <v>52</v>
      </c>
      <c r="I3994" s="143" t="s">
        <v>8982</v>
      </c>
      <c r="J3994" s="143" t="s">
        <v>6741</v>
      </c>
      <c r="K3994" s="144"/>
      <c r="L3994" s="145"/>
      <c r="M3994" s="144"/>
    </row>
    <row r="3995" spans="1:13" ht="15" customHeight="1">
      <c r="A3995" s="146" t="s">
        <v>9260</v>
      </c>
      <c r="B3995" s="146">
        <v>517105</v>
      </c>
      <c r="C3995" s="147" t="s">
        <v>6735</v>
      </c>
      <c r="D3995" s="146" t="s">
        <v>5640</v>
      </c>
      <c r="E3995" s="147" t="s">
        <v>9020</v>
      </c>
      <c r="F3995" s="147" t="s">
        <v>9020</v>
      </c>
      <c r="G3995" s="146" t="s">
        <v>6739</v>
      </c>
      <c r="H3995" s="146" t="s">
        <v>52</v>
      </c>
      <c r="I3995" s="147" t="s">
        <v>8982</v>
      </c>
      <c r="J3995" s="147" t="s">
        <v>6741</v>
      </c>
      <c r="K3995" s="148"/>
      <c r="L3995" s="149"/>
      <c r="M3995" s="148"/>
    </row>
    <row r="3996" spans="1:13" ht="15" customHeight="1">
      <c r="A3996" s="142" t="s">
        <v>9261</v>
      </c>
      <c r="B3996" s="142">
        <v>517137</v>
      </c>
      <c r="C3996" s="143" t="s">
        <v>6735</v>
      </c>
      <c r="D3996" s="142" t="s">
        <v>5640</v>
      </c>
      <c r="E3996" s="143" t="s">
        <v>1113</v>
      </c>
      <c r="F3996" s="143" t="s">
        <v>9262</v>
      </c>
      <c r="G3996" s="142" t="s">
        <v>6739</v>
      </c>
      <c r="H3996" s="142" t="s">
        <v>52</v>
      </c>
      <c r="I3996" s="143" t="s">
        <v>8982</v>
      </c>
      <c r="J3996" s="143" t="s">
        <v>6741</v>
      </c>
      <c r="K3996" s="144" t="s">
        <v>121</v>
      </c>
      <c r="L3996" s="145">
        <v>46153</v>
      </c>
      <c r="M3996" s="144"/>
    </row>
    <row r="3997" spans="1:13" ht="15" customHeight="1">
      <c r="A3997" s="146" t="s">
        <v>9263</v>
      </c>
      <c r="B3997" s="146">
        <v>517144</v>
      </c>
      <c r="C3997" s="147" t="s">
        <v>6735</v>
      </c>
      <c r="D3997" s="146" t="s">
        <v>5640</v>
      </c>
      <c r="E3997" s="147" t="s">
        <v>9063</v>
      </c>
      <c r="F3997" s="147" t="s">
        <v>9063</v>
      </c>
      <c r="G3997" s="146" t="s">
        <v>6739</v>
      </c>
      <c r="H3997" s="146" t="s">
        <v>52</v>
      </c>
      <c r="I3997" s="147" t="s">
        <v>8982</v>
      </c>
      <c r="J3997" s="147" t="s">
        <v>6741</v>
      </c>
      <c r="K3997" s="148"/>
      <c r="L3997" s="149"/>
      <c r="M3997" s="148"/>
    </row>
    <row r="3998" spans="1:13" ht="15" customHeight="1">
      <c r="A3998" s="142" t="s">
        <v>9264</v>
      </c>
      <c r="B3998" s="142">
        <v>517227</v>
      </c>
      <c r="C3998" s="143" t="s">
        <v>6735</v>
      </c>
      <c r="D3998" s="142" t="s">
        <v>5640</v>
      </c>
      <c r="E3998" s="143" t="s">
        <v>9004</v>
      </c>
      <c r="F3998" s="143" t="s">
        <v>9265</v>
      </c>
      <c r="G3998" s="142" t="s">
        <v>6739</v>
      </c>
      <c r="H3998" s="142" t="s">
        <v>52</v>
      </c>
      <c r="I3998" s="143" t="s">
        <v>8982</v>
      </c>
      <c r="J3998" s="143" t="s">
        <v>6741</v>
      </c>
      <c r="K3998" s="144"/>
      <c r="L3998" s="145"/>
      <c r="M3998" s="144"/>
    </row>
    <row r="3999" spans="1:13" ht="15" customHeight="1">
      <c r="A3999" s="146" t="s">
        <v>9266</v>
      </c>
      <c r="B3999" s="146">
        <v>517228</v>
      </c>
      <c r="C3999" s="147" t="s">
        <v>6735</v>
      </c>
      <c r="D3999" s="146" t="s">
        <v>5640</v>
      </c>
      <c r="E3999" s="147" t="s">
        <v>9004</v>
      </c>
      <c r="F3999" s="147" t="s">
        <v>9265</v>
      </c>
      <c r="G3999" s="146" t="s">
        <v>6739</v>
      </c>
      <c r="H3999" s="146" t="s">
        <v>52</v>
      </c>
      <c r="I3999" s="147" t="s">
        <v>8982</v>
      </c>
      <c r="J3999" s="147" t="s">
        <v>6741</v>
      </c>
      <c r="K3999" s="148"/>
      <c r="L3999" s="149"/>
      <c r="M3999" s="148"/>
    </row>
    <row r="4000" spans="1:13" ht="15" customHeight="1">
      <c r="A4000" s="142" t="s">
        <v>9267</v>
      </c>
      <c r="B4000" s="142">
        <v>517237</v>
      </c>
      <c r="C4000" s="143" t="s">
        <v>6735</v>
      </c>
      <c r="D4000" s="142" t="s">
        <v>5640</v>
      </c>
      <c r="E4000" s="143" t="s">
        <v>9268</v>
      </c>
      <c r="F4000" s="143" t="s">
        <v>9269</v>
      </c>
      <c r="G4000" s="142" t="s">
        <v>6739</v>
      </c>
      <c r="H4000" s="142" t="s">
        <v>52</v>
      </c>
      <c r="I4000" s="143" t="s">
        <v>8982</v>
      </c>
      <c r="J4000" s="143" t="s">
        <v>6741</v>
      </c>
      <c r="K4000" s="144"/>
      <c r="L4000" s="145"/>
      <c r="M4000" s="144"/>
    </row>
    <row r="4001" spans="1:13" ht="15" customHeight="1">
      <c r="A4001" s="146" t="s">
        <v>9270</v>
      </c>
      <c r="B4001" s="146">
        <v>517242</v>
      </c>
      <c r="C4001" s="147" t="s">
        <v>6735</v>
      </c>
      <c r="D4001" s="146" t="s">
        <v>5640</v>
      </c>
      <c r="E4001" s="147" t="s">
        <v>9256</v>
      </c>
      <c r="F4001" s="147" t="s">
        <v>9271</v>
      </c>
      <c r="G4001" s="146" t="s">
        <v>6739</v>
      </c>
      <c r="H4001" s="146" t="s">
        <v>52</v>
      </c>
      <c r="I4001" s="147" t="s">
        <v>8982</v>
      </c>
      <c r="J4001" s="147" t="s">
        <v>6741</v>
      </c>
      <c r="K4001" s="148"/>
      <c r="L4001" s="149"/>
      <c r="M4001" s="148"/>
    </row>
    <row r="4002" spans="1:13" ht="15" customHeight="1">
      <c r="A4002" s="142" t="s">
        <v>9272</v>
      </c>
      <c r="B4002" s="142">
        <v>517322</v>
      </c>
      <c r="C4002" s="143" t="s">
        <v>6735</v>
      </c>
      <c r="D4002" s="142" t="s">
        <v>5640</v>
      </c>
      <c r="E4002" s="143" t="s">
        <v>9017</v>
      </c>
      <c r="F4002" s="143" t="s">
        <v>3875</v>
      </c>
      <c r="G4002" s="142" t="s">
        <v>6739</v>
      </c>
      <c r="H4002" s="142" t="s">
        <v>52</v>
      </c>
      <c r="I4002" s="143" t="s">
        <v>8982</v>
      </c>
      <c r="J4002" s="143" t="s">
        <v>6741</v>
      </c>
      <c r="K4002" s="144" t="s">
        <v>121</v>
      </c>
      <c r="L4002" s="145">
        <v>46151</v>
      </c>
      <c r="M4002" s="144"/>
    </row>
    <row r="4003" spans="1:13" ht="15" customHeight="1">
      <c r="A4003" s="146" t="s">
        <v>9273</v>
      </c>
      <c r="B4003" s="146">
        <v>517326</v>
      </c>
      <c r="C4003" s="147" t="s">
        <v>6735</v>
      </c>
      <c r="D4003" s="146" t="s">
        <v>5640</v>
      </c>
      <c r="E4003" s="147" t="s">
        <v>9017</v>
      </c>
      <c r="F4003" s="147" t="s">
        <v>9018</v>
      </c>
      <c r="G4003" s="146" t="s">
        <v>6739</v>
      </c>
      <c r="H4003" s="146" t="s">
        <v>52</v>
      </c>
      <c r="I4003" s="147" t="s">
        <v>8982</v>
      </c>
      <c r="J4003" s="147" t="s">
        <v>6741</v>
      </c>
      <c r="K4003" s="148" t="s">
        <v>121</v>
      </c>
      <c r="L4003" s="149">
        <v>46153</v>
      </c>
      <c r="M4003" s="148"/>
    </row>
    <row r="4004" spans="1:13" ht="15" customHeight="1">
      <c r="A4004" s="142" t="s">
        <v>9274</v>
      </c>
      <c r="B4004" s="142">
        <v>517404</v>
      </c>
      <c r="C4004" s="143" t="s">
        <v>6735</v>
      </c>
      <c r="D4004" s="142" t="s">
        <v>5640</v>
      </c>
      <c r="E4004" s="143" t="s">
        <v>9030</v>
      </c>
      <c r="F4004" s="143" t="s">
        <v>9183</v>
      </c>
      <c r="G4004" s="142" t="s">
        <v>6739</v>
      </c>
      <c r="H4004" s="142" t="s">
        <v>52</v>
      </c>
      <c r="I4004" s="143" t="s">
        <v>8982</v>
      </c>
      <c r="J4004" s="143" t="s">
        <v>6741</v>
      </c>
      <c r="K4004" s="144" t="s">
        <v>162</v>
      </c>
      <c r="L4004" s="145">
        <v>46147</v>
      </c>
      <c r="M4004" s="144" t="s">
        <v>9138</v>
      </c>
    </row>
    <row r="4005" spans="1:13" ht="15" customHeight="1">
      <c r="A4005" s="146" t="s">
        <v>9275</v>
      </c>
      <c r="B4005" s="146">
        <v>517428</v>
      </c>
      <c r="C4005" s="147" t="s">
        <v>6735</v>
      </c>
      <c r="D4005" s="146" t="s">
        <v>5640</v>
      </c>
      <c r="E4005" s="147" t="s">
        <v>9033</v>
      </c>
      <c r="F4005" s="147" t="s">
        <v>9033</v>
      </c>
      <c r="G4005" s="146" t="s">
        <v>6739</v>
      </c>
      <c r="H4005" s="146" t="s">
        <v>52</v>
      </c>
      <c r="I4005" s="147" t="s">
        <v>8982</v>
      </c>
      <c r="J4005" s="147" t="s">
        <v>6741</v>
      </c>
      <c r="K4005" s="148"/>
      <c r="L4005" s="149"/>
      <c r="M4005" s="148"/>
    </row>
    <row r="4006" spans="1:13" ht="15" customHeight="1">
      <c r="A4006" s="142" t="s">
        <v>9276</v>
      </c>
      <c r="B4006" s="142">
        <v>517435</v>
      </c>
      <c r="C4006" s="143" t="s">
        <v>6735</v>
      </c>
      <c r="D4006" s="142" t="s">
        <v>5640</v>
      </c>
      <c r="E4006" s="143" t="s">
        <v>9277</v>
      </c>
      <c r="F4006" s="143" t="s">
        <v>9277</v>
      </c>
      <c r="G4006" s="142" t="s">
        <v>6739</v>
      </c>
      <c r="H4006" s="142" t="s">
        <v>52</v>
      </c>
      <c r="I4006" s="143" t="s">
        <v>8982</v>
      </c>
      <c r="J4006" s="143" t="s">
        <v>6741</v>
      </c>
      <c r="K4006" s="144"/>
      <c r="L4006" s="145"/>
      <c r="M4006" s="144"/>
    </row>
    <row r="4007" spans="1:13" ht="15" customHeight="1">
      <c r="A4007" s="146" t="s">
        <v>9278</v>
      </c>
      <c r="B4007" s="146">
        <v>517445</v>
      </c>
      <c r="C4007" s="147" t="s">
        <v>6735</v>
      </c>
      <c r="D4007" s="146" t="s">
        <v>5640</v>
      </c>
      <c r="E4007" s="147" t="s">
        <v>9279</v>
      </c>
      <c r="F4007" s="147" t="s">
        <v>9280</v>
      </c>
      <c r="G4007" s="146" t="s">
        <v>6739</v>
      </c>
      <c r="H4007" s="146" t="s">
        <v>52</v>
      </c>
      <c r="I4007" s="147" t="s">
        <v>8982</v>
      </c>
      <c r="J4007" s="147" t="s">
        <v>6741</v>
      </c>
      <c r="K4007" s="148"/>
      <c r="L4007" s="149"/>
      <c r="M4007" s="148"/>
    </row>
    <row r="4008" spans="1:13" ht="15" customHeight="1">
      <c r="A4008" s="142" t="s">
        <v>9281</v>
      </c>
      <c r="B4008" s="142">
        <v>517448</v>
      </c>
      <c r="C4008" s="143" t="s">
        <v>6735</v>
      </c>
      <c r="D4008" s="142" t="s">
        <v>5640</v>
      </c>
      <c r="E4008" s="143" t="s">
        <v>9229</v>
      </c>
      <c r="F4008" s="143" t="s">
        <v>9229</v>
      </c>
      <c r="G4008" s="142" t="s">
        <v>6739</v>
      </c>
      <c r="H4008" s="142" t="s">
        <v>52</v>
      </c>
      <c r="I4008" s="143" t="s">
        <v>8982</v>
      </c>
      <c r="J4008" s="143" t="s">
        <v>6741</v>
      </c>
      <c r="K4008" s="144"/>
      <c r="L4008" s="145"/>
      <c r="M4008" s="144"/>
    </row>
    <row r="4009" spans="1:13" ht="15" customHeight="1">
      <c r="A4009" s="146" t="s">
        <v>9282</v>
      </c>
      <c r="B4009" s="146">
        <v>517457</v>
      </c>
      <c r="C4009" s="147" t="s">
        <v>6735</v>
      </c>
      <c r="D4009" s="146" t="s">
        <v>5640</v>
      </c>
      <c r="E4009" s="147" t="s">
        <v>1113</v>
      </c>
      <c r="F4009" s="147" t="s">
        <v>1113</v>
      </c>
      <c r="G4009" s="146" t="s">
        <v>6739</v>
      </c>
      <c r="H4009" s="146" t="s">
        <v>52</v>
      </c>
      <c r="I4009" s="147" t="s">
        <v>8982</v>
      </c>
      <c r="J4009" s="147" t="s">
        <v>6741</v>
      </c>
      <c r="K4009" s="148"/>
      <c r="L4009" s="149"/>
      <c r="M4009" s="148"/>
    </row>
    <row r="4010" spans="1:13" ht="15" customHeight="1">
      <c r="A4010" s="142" t="s">
        <v>9283</v>
      </c>
      <c r="B4010" s="142">
        <v>517475</v>
      </c>
      <c r="C4010" s="143" t="s">
        <v>6735</v>
      </c>
      <c r="D4010" s="142" t="s">
        <v>5640</v>
      </c>
      <c r="E4010" s="143" t="s">
        <v>4402</v>
      </c>
      <c r="F4010" s="143" t="s">
        <v>9284</v>
      </c>
      <c r="G4010" s="142" t="s">
        <v>6739</v>
      </c>
      <c r="H4010" s="142" t="s">
        <v>52</v>
      </c>
      <c r="I4010" s="143" t="s">
        <v>8982</v>
      </c>
      <c r="J4010" s="143" t="s">
        <v>6741</v>
      </c>
      <c r="K4010" s="144"/>
      <c r="L4010" s="145"/>
      <c r="M4010" s="144"/>
    </row>
    <row r="4011" spans="1:13" ht="15" customHeight="1">
      <c r="A4011" s="146" t="s">
        <v>9285</v>
      </c>
      <c r="B4011" s="146">
        <v>517482</v>
      </c>
      <c r="C4011" s="147" t="s">
        <v>6735</v>
      </c>
      <c r="D4011" s="146" t="s">
        <v>5640</v>
      </c>
      <c r="E4011" s="147" t="s">
        <v>8984</v>
      </c>
      <c r="F4011" s="147" t="s">
        <v>8985</v>
      </c>
      <c r="G4011" s="146" t="s">
        <v>6739</v>
      </c>
      <c r="H4011" s="146" t="s">
        <v>52</v>
      </c>
      <c r="I4011" s="147" t="s">
        <v>8982</v>
      </c>
      <c r="J4011" s="147" t="s">
        <v>6741</v>
      </c>
      <c r="K4011" s="148"/>
      <c r="L4011" s="149"/>
      <c r="M4011" s="148"/>
    </row>
    <row r="4012" spans="1:13" ht="15" customHeight="1">
      <c r="A4012" s="142" t="s">
        <v>9286</v>
      </c>
      <c r="B4012" s="142">
        <v>517493</v>
      </c>
      <c r="C4012" s="143" t="s">
        <v>6735</v>
      </c>
      <c r="D4012" s="142" t="s">
        <v>5640</v>
      </c>
      <c r="E4012" s="143" t="s">
        <v>9287</v>
      </c>
      <c r="F4012" s="143" t="s">
        <v>9287</v>
      </c>
      <c r="G4012" s="142" t="s">
        <v>6739</v>
      </c>
      <c r="H4012" s="142" t="s">
        <v>52</v>
      </c>
      <c r="I4012" s="143" t="s">
        <v>8982</v>
      </c>
      <c r="J4012" s="143" t="s">
        <v>6741</v>
      </c>
      <c r="K4012" s="144"/>
      <c r="L4012" s="145"/>
      <c r="M4012" s="144"/>
    </row>
    <row r="4013" spans="1:13" ht="15" customHeight="1">
      <c r="A4013" s="146" t="s">
        <v>9288</v>
      </c>
      <c r="B4013" s="146">
        <v>517496</v>
      </c>
      <c r="C4013" s="147" t="s">
        <v>6735</v>
      </c>
      <c r="D4013" s="146" t="s">
        <v>5640</v>
      </c>
      <c r="E4013" s="147" t="s">
        <v>9289</v>
      </c>
      <c r="F4013" s="147" t="s">
        <v>9290</v>
      </c>
      <c r="G4013" s="146" t="s">
        <v>6739</v>
      </c>
      <c r="H4013" s="146" t="s">
        <v>52</v>
      </c>
      <c r="I4013" s="147" t="s">
        <v>8982</v>
      </c>
      <c r="J4013" s="147" t="s">
        <v>6741</v>
      </c>
      <c r="K4013" s="148" t="s">
        <v>121</v>
      </c>
      <c r="L4013" s="149">
        <v>46147</v>
      </c>
      <c r="M4013" s="148"/>
    </row>
    <row r="4014" spans="1:13" ht="15" customHeight="1">
      <c r="A4014" s="142" t="s">
        <v>9291</v>
      </c>
      <c r="B4014" s="142">
        <v>517516</v>
      </c>
      <c r="C4014" s="143" t="s">
        <v>6735</v>
      </c>
      <c r="D4014" s="142" t="s">
        <v>5640</v>
      </c>
      <c r="E4014" s="143" t="s">
        <v>9074</v>
      </c>
      <c r="F4014" s="143" t="s">
        <v>9292</v>
      </c>
      <c r="G4014" s="142" t="s">
        <v>6739</v>
      </c>
      <c r="H4014" s="142" t="s">
        <v>52</v>
      </c>
      <c r="I4014" s="143" t="s">
        <v>8982</v>
      </c>
      <c r="J4014" s="143" t="s">
        <v>6741</v>
      </c>
      <c r="K4014" s="144"/>
      <c r="L4014" s="145"/>
      <c r="M4014" s="144"/>
    </row>
    <row r="4015" spans="1:13" ht="15" customHeight="1">
      <c r="A4015" s="146" t="s">
        <v>9293</v>
      </c>
      <c r="B4015" s="146">
        <v>517521</v>
      </c>
      <c r="C4015" s="147" t="s">
        <v>6735</v>
      </c>
      <c r="D4015" s="146" t="s">
        <v>5640</v>
      </c>
      <c r="E4015" s="147" t="s">
        <v>9020</v>
      </c>
      <c r="F4015" s="147" t="s">
        <v>3927</v>
      </c>
      <c r="G4015" s="146" t="s">
        <v>6739</v>
      </c>
      <c r="H4015" s="146" t="s">
        <v>52</v>
      </c>
      <c r="I4015" s="147" t="s">
        <v>8982</v>
      </c>
      <c r="J4015" s="147" t="s">
        <v>6741</v>
      </c>
      <c r="K4015" s="148"/>
      <c r="L4015" s="149"/>
      <c r="M4015" s="148"/>
    </row>
    <row r="4016" spans="1:13" ht="15" customHeight="1">
      <c r="A4016" s="142" t="s">
        <v>9294</v>
      </c>
      <c r="B4016" s="142">
        <v>517823</v>
      </c>
      <c r="C4016" s="143" t="s">
        <v>6735</v>
      </c>
      <c r="D4016" s="142" t="s">
        <v>5640</v>
      </c>
      <c r="E4016" s="143" t="s">
        <v>9295</v>
      </c>
      <c r="F4016" s="143" t="s">
        <v>9296</v>
      </c>
      <c r="G4016" s="142" t="s">
        <v>6739</v>
      </c>
      <c r="H4016" s="142" t="s">
        <v>52</v>
      </c>
      <c r="I4016" s="143" t="s">
        <v>8982</v>
      </c>
      <c r="J4016" s="143" t="s">
        <v>6741</v>
      </c>
      <c r="K4016" s="144"/>
      <c r="L4016" s="145"/>
      <c r="M4016" s="144"/>
    </row>
    <row r="4017" spans="1:13" ht="15" customHeight="1">
      <c r="A4017" s="146" t="s">
        <v>9297</v>
      </c>
      <c r="B4017" s="146">
        <v>517829</v>
      </c>
      <c r="C4017" s="147" t="s">
        <v>6735</v>
      </c>
      <c r="D4017" s="146" t="s">
        <v>5640</v>
      </c>
      <c r="E4017" s="147" t="s">
        <v>3243</v>
      </c>
      <c r="F4017" s="147" t="s">
        <v>3243</v>
      </c>
      <c r="G4017" s="146" t="s">
        <v>6739</v>
      </c>
      <c r="H4017" s="146" t="s">
        <v>52</v>
      </c>
      <c r="I4017" s="147" t="s">
        <v>8982</v>
      </c>
      <c r="J4017" s="147" t="s">
        <v>6741</v>
      </c>
      <c r="K4017" s="148"/>
      <c r="L4017" s="149"/>
      <c r="M4017" s="148"/>
    </row>
    <row r="4018" spans="1:13" ht="15" customHeight="1">
      <c r="A4018" s="142" t="s">
        <v>9298</v>
      </c>
      <c r="B4018" s="142">
        <v>517836</v>
      </c>
      <c r="C4018" s="143" t="s">
        <v>6735</v>
      </c>
      <c r="D4018" s="142" t="s">
        <v>5640</v>
      </c>
      <c r="E4018" s="143" t="s">
        <v>3243</v>
      </c>
      <c r="F4018" s="143" t="s">
        <v>3243</v>
      </c>
      <c r="G4018" s="142" t="s">
        <v>6739</v>
      </c>
      <c r="H4018" s="142" t="s">
        <v>52</v>
      </c>
      <c r="I4018" s="143" t="s">
        <v>8982</v>
      </c>
      <c r="J4018" s="143" t="s">
        <v>6741</v>
      </c>
      <c r="K4018" s="144"/>
      <c r="L4018" s="145"/>
      <c r="M4018" s="144"/>
    </row>
    <row r="4019" spans="1:13" ht="15" customHeight="1">
      <c r="A4019" s="146" t="s">
        <v>9299</v>
      </c>
      <c r="B4019" s="146">
        <v>518078</v>
      </c>
      <c r="C4019" s="147" t="s">
        <v>6735</v>
      </c>
      <c r="D4019" s="146" t="s">
        <v>5640</v>
      </c>
      <c r="E4019" s="147" t="s">
        <v>5803</v>
      </c>
      <c r="F4019" s="147" t="s">
        <v>9300</v>
      </c>
      <c r="G4019" s="146" t="s">
        <v>6739</v>
      </c>
      <c r="H4019" s="146" t="s">
        <v>52</v>
      </c>
      <c r="I4019" s="147" t="s">
        <v>8982</v>
      </c>
      <c r="J4019" s="147" t="s">
        <v>6741</v>
      </c>
      <c r="K4019" s="148"/>
      <c r="L4019" s="149"/>
      <c r="M4019" s="148"/>
    </row>
    <row r="4020" spans="1:13" ht="15" customHeight="1">
      <c r="A4020" s="142" t="s">
        <v>9301</v>
      </c>
      <c r="B4020" s="142">
        <v>518079</v>
      </c>
      <c r="C4020" s="143" t="s">
        <v>6735</v>
      </c>
      <c r="D4020" s="142" t="s">
        <v>5640</v>
      </c>
      <c r="E4020" s="143" t="s">
        <v>5803</v>
      </c>
      <c r="F4020" s="143" t="s">
        <v>9300</v>
      </c>
      <c r="G4020" s="142" t="s">
        <v>6739</v>
      </c>
      <c r="H4020" s="142" t="s">
        <v>52</v>
      </c>
      <c r="I4020" s="143" t="s">
        <v>8982</v>
      </c>
      <c r="J4020" s="143" t="s">
        <v>6741</v>
      </c>
      <c r="K4020" s="144"/>
      <c r="L4020" s="145"/>
      <c r="M4020" s="144"/>
    </row>
    <row r="4021" spans="1:13" ht="15" customHeight="1">
      <c r="A4021" s="146" t="s">
        <v>9302</v>
      </c>
      <c r="B4021" s="146">
        <v>518185</v>
      </c>
      <c r="C4021" s="147" t="s">
        <v>6735</v>
      </c>
      <c r="D4021" s="146" t="s">
        <v>5640</v>
      </c>
      <c r="E4021" s="147" t="s">
        <v>9303</v>
      </c>
      <c r="F4021" s="147" t="s">
        <v>9304</v>
      </c>
      <c r="G4021" s="146" t="s">
        <v>6739</v>
      </c>
      <c r="H4021" s="146" t="s">
        <v>52</v>
      </c>
      <c r="I4021" s="147" t="s">
        <v>8982</v>
      </c>
      <c r="J4021" s="147" t="s">
        <v>6741</v>
      </c>
      <c r="K4021" s="148"/>
      <c r="L4021" s="149"/>
      <c r="M4021" s="148"/>
    </row>
    <row r="4022" spans="1:13" ht="15" customHeight="1">
      <c r="A4022" s="142" t="s">
        <v>9305</v>
      </c>
      <c r="B4022" s="142">
        <v>519815</v>
      </c>
      <c r="C4022" s="143" t="s">
        <v>6735</v>
      </c>
      <c r="D4022" s="142" t="s">
        <v>5640</v>
      </c>
      <c r="E4022" s="143" t="s">
        <v>9088</v>
      </c>
      <c r="F4022" s="143" t="s">
        <v>9089</v>
      </c>
      <c r="G4022" s="142" t="s">
        <v>6739</v>
      </c>
      <c r="H4022" s="142" t="s">
        <v>52</v>
      </c>
      <c r="I4022" s="143" t="s">
        <v>8982</v>
      </c>
      <c r="J4022" s="143" t="s">
        <v>6741</v>
      </c>
      <c r="K4022" s="144"/>
      <c r="L4022" s="145"/>
      <c r="M4022" s="144"/>
    </row>
    <row r="4023" spans="1:13" ht="15" customHeight="1">
      <c r="A4023" s="146" t="s">
        <v>9306</v>
      </c>
      <c r="B4023" s="146">
        <v>514175</v>
      </c>
      <c r="C4023" s="147" t="s">
        <v>6735</v>
      </c>
      <c r="D4023" s="146" t="s">
        <v>6458</v>
      </c>
      <c r="E4023" s="147" t="s">
        <v>3341</v>
      </c>
      <c r="F4023" s="147" t="s">
        <v>4813</v>
      </c>
      <c r="G4023" s="146" t="s">
        <v>6739</v>
      </c>
      <c r="H4023" s="146" t="s">
        <v>52</v>
      </c>
      <c r="I4023" s="147" t="s">
        <v>2927</v>
      </c>
      <c r="J4023" s="147" t="s">
        <v>6741</v>
      </c>
      <c r="K4023" s="148"/>
      <c r="L4023" s="149"/>
      <c r="M4023" s="148"/>
    </row>
    <row r="4024" spans="1:13" ht="15" customHeight="1">
      <c r="A4024" s="142" t="s">
        <v>9307</v>
      </c>
      <c r="B4024" s="142">
        <v>514217</v>
      </c>
      <c r="C4024" s="143" t="s">
        <v>6735</v>
      </c>
      <c r="D4024" s="142" t="s">
        <v>6458</v>
      </c>
      <c r="E4024" s="143" t="s">
        <v>9027</v>
      </c>
      <c r="F4024" s="143" t="s">
        <v>9308</v>
      </c>
      <c r="G4024" s="142" t="s">
        <v>6739</v>
      </c>
      <c r="H4024" s="142" t="s">
        <v>52</v>
      </c>
      <c r="I4024" s="143" t="s">
        <v>2927</v>
      </c>
      <c r="J4024" s="143" t="s">
        <v>6741</v>
      </c>
      <c r="K4024" s="144"/>
      <c r="L4024" s="145"/>
      <c r="M4024" s="144"/>
    </row>
    <row r="4025" spans="1:13" ht="15" customHeight="1">
      <c r="A4025" s="146" t="s">
        <v>9309</v>
      </c>
      <c r="B4025" s="146">
        <v>517765</v>
      </c>
      <c r="C4025" s="147" t="s">
        <v>6735</v>
      </c>
      <c r="D4025" s="146" t="s">
        <v>6458</v>
      </c>
      <c r="E4025" s="147" t="s">
        <v>9162</v>
      </c>
      <c r="F4025" s="147" t="s">
        <v>9310</v>
      </c>
      <c r="G4025" s="146" t="s">
        <v>6739</v>
      </c>
      <c r="H4025" s="146" t="s">
        <v>52</v>
      </c>
      <c r="I4025" s="147" t="s">
        <v>2927</v>
      </c>
      <c r="J4025" s="147" t="s">
        <v>6741</v>
      </c>
      <c r="K4025" s="148"/>
      <c r="L4025" s="149"/>
      <c r="M4025" s="148"/>
    </row>
    <row r="4026" spans="1:13" ht="15" customHeight="1">
      <c r="A4026" s="142" t="s">
        <v>9311</v>
      </c>
      <c r="B4026" s="142">
        <v>517779</v>
      </c>
      <c r="C4026" s="143" t="s">
        <v>6735</v>
      </c>
      <c r="D4026" s="142" t="s">
        <v>6458</v>
      </c>
      <c r="E4026" s="143" t="s">
        <v>9047</v>
      </c>
      <c r="F4026" s="143" t="s">
        <v>9047</v>
      </c>
      <c r="G4026" s="142" t="s">
        <v>6739</v>
      </c>
      <c r="H4026" s="142" t="s">
        <v>52</v>
      </c>
      <c r="I4026" s="143" t="s">
        <v>2927</v>
      </c>
      <c r="J4026" s="143" t="s">
        <v>6741</v>
      </c>
      <c r="K4026" s="144"/>
      <c r="L4026" s="145"/>
      <c r="M4026" s="144"/>
    </row>
    <row r="4027" spans="1:13" ht="15" customHeight="1">
      <c r="A4027" s="146" t="s">
        <v>9312</v>
      </c>
      <c r="B4027" s="146">
        <v>517790</v>
      </c>
      <c r="C4027" s="147" t="s">
        <v>6735</v>
      </c>
      <c r="D4027" s="146" t="s">
        <v>6458</v>
      </c>
      <c r="E4027" s="147" t="s">
        <v>9036</v>
      </c>
      <c r="F4027" s="147" t="s">
        <v>9036</v>
      </c>
      <c r="G4027" s="146" t="s">
        <v>6739</v>
      </c>
      <c r="H4027" s="146" t="s">
        <v>52</v>
      </c>
      <c r="I4027" s="147" t="s">
        <v>2927</v>
      </c>
      <c r="J4027" s="147" t="s">
        <v>6741</v>
      </c>
      <c r="K4027" s="148" t="s">
        <v>121</v>
      </c>
      <c r="L4027" s="149">
        <v>46151</v>
      </c>
      <c r="M4027" s="148"/>
    </row>
    <row r="4028" spans="1:13" ht="15" customHeight="1">
      <c r="A4028" s="142" t="s">
        <v>9313</v>
      </c>
      <c r="B4028" s="142">
        <v>517799</v>
      </c>
      <c r="C4028" s="143" t="s">
        <v>6735</v>
      </c>
      <c r="D4028" s="142" t="s">
        <v>6458</v>
      </c>
      <c r="E4028" s="143" t="s">
        <v>9070</v>
      </c>
      <c r="F4028" s="143" t="s">
        <v>9314</v>
      </c>
      <c r="G4028" s="142" t="s">
        <v>6739</v>
      </c>
      <c r="H4028" s="142" t="s">
        <v>52</v>
      </c>
      <c r="I4028" s="143" t="s">
        <v>2927</v>
      </c>
      <c r="J4028" s="143" t="s">
        <v>6741</v>
      </c>
      <c r="K4028" s="144"/>
      <c r="L4028" s="145"/>
      <c r="M4028" s="144"/>
    </row>
    <row r="4029" spans="1:13" ht="15" customHeight="1">
      <c r="A4029" s="146" t="s">
        <v>9315</v>
      </c>
      <c r="B4029" s="146">
        <v>517800</v>
      </c>
      <c r="C4029" s="147" t="s">
        <v>6735</v>
      </c>
      <c r="D4029" s="146" t="s">
        <v>6458</v>
      </c>
      <c r="E4029" s="147" t="s">
        <v>9097</v>
      </c>
      <c r="F4029" s="147" t="s">
        <v>5782</v>
      </c>
      <c r="G4029" s="146" t="s">
        <v>6739</v>
      </c>
      <c r="H4029" s="146" t="s">
        <v>52</v>
      </c>
      <c r="I4029" s="147" t="s">
        <v>2927</v>
      </c>
      <c r="J4029" s="147" t="s">
        <v>6741</v>
      </c>
      <c r="K4029" s="148"/>
      <c r="L4029" s="149"/>
      <c r="M4029" s="148"/>
    </row>
    <row r="4030" spans="1:13" ht="15" customHeight="1">
      <c r="A4030" s="142" t="s">
        <v>9316</v>
      </c>
      <c r="B4030" s="142">
        <v>517807</v>
      </c>
      <c r="C4030" s="143" t="s">
        <v>6735</v>
      </c>
      <c r="D4030" s="142" t="s">
        <v>6458</v>
      </c>
      <c r="E4030" s="143" t="s">
        <v>9070</v>
      </c>
      <c r="F4030" s="143" t="s">
        <v>9317</v>
      </c>
      <c r="G4030" s="142" t="s">
        <v>6739</v>
      </c>
      <c r="H4030" s="142" t="s">
        <v>52</v>
      </c>
      <c r="I4030" s="143" t="s">
        <v>2927</v>
      </c>
      <c r="J4030" s="143" t="s">
        <v>6741</v>
      </c>
      <c r="K4030" s="144"/>
      <c r="L4030" s="145"/>
      <c r="M4030" s="144"/>
    </row>
    <row r="4031" spans="1:13" ht="15" customHeight="1">
      <c r="A4031" s="146" t="s">
        <v>9318</v>
      </c>
      <c r="B4031" s="146">
        <v>517816</v>
      </c>
      <c r="C4031" s="147" t="s">
        <v>6735</v>
      </c>
      <c r="D4031" s="146" t="s">
        <v>6458</v>
      </c>
      <c r="E4031" s="147" t="s">
        <v>9097</v>
      </c>
      <c r="F4031" s="147" t="s">
        <v>9319</v>
      </c>
      <c r="G4031" s="146" t="s">
        <v>6739</v>
      </c>
      <c r="H4031" s="146" t="s">
        <v>52</v>
      </c>
      <c r="I4031" s="147" t="s">
        <v>2927</v>
      </c>
      <c r="J4031" s="147" t="s">
        <v>6741</v>
      </c>
      <c r="K4031" s="148"/>
      <c r="L4031" s="149"/>
      <c r="M4031" s="148"/>
    </row>
    <row r="4032" spans="1:13" ht="15" customHeight="1">
      <c r="A4032" s="142" t="s">
        <v>9320</v>
      </c>
      <c r="B4032" s="142">
        <v>517828</v>
      </c>
      <c r="C4032" s="143" t="s">
        <v>6735</v>
      </c>
      <c r="D4032" s="142" t="s">
        <v>6458</v>
      </c>
      <c r="E4032" s="143" t="s">
        <v>9321</v>
      </c>
      <c r="F4032" s="143" t="s">
        <v>9322</v>
      </c>
      <c r="G4032" s="142" t="s">
        <v>6739</v>
      </c>
      <c r="H4032" s="142" t="s">
        <v>52</v>
      </c>
      <c r="I4032" s="143" t="s">
        <v>2927</v>
      </c>
      <c r="J4032" s="143" t="s">
        <v>6741</v>
      </c>
      <c r="K4032" s="144"/>
      <c r="L4032" s="145"/>
      <c r="M4032" s="144"/>
    </row>
    <row r="4033" spans="1:13" ht="15" customHeight="1">
      <c r="A4033" s="146" t="s">
        <v>9323</v>
      </c>
      <c r="B4033" s="146">
        <v>517860</v>
      </c>
      <c r="C4033" s="147" t="s">
        <v>6735</v>
      </c>
      <c r="D4033" s="146" t="s">
        <v>6458</v>
      </c>
      <c r="E4033" s="147" t="s">
        <v>3341</v>
      </c>
      <c r="F4033" s="147" t="s">
        <v>9324</v>
      </c>
      <c r="G4033" s="146" t="s">
        <v>6739</v>
      </c>
      <c r="H4033" s="146" t="s">
        <v>52</v>
      </c>
      <c r="I4033" s="147" t="s">
        <v>2927</v>
      </c>
      <c r="J4033" s="147" t="s">
        <v>6741</v>
      </c>
      <c r="K4033" s="148"/>
      <c r="L4033" s="149"/>
      <c r="M4033" s="148"/>
    </row>
    <row r="4034" spans="1:13" ht="15" customHeight="1">
      <c r="A4034" s="142" t="s">
        <v>9325</v>
      </c>
      <c r="B4034" s="142">
        <v>517861</v>
      </c>
      <c r="C4034" s="143" t="s">
        <v>6735</v>
      </c>
      <c r="D4034" s="142" t="s">
        <v>6458</v>
      </c>
      <c r="E4034" s="143" t="s">
        <v>3341</v>
      </c>
      <c r="F4034" s="143" t="s">
        <v>9326</v>
      </c>
      <c r="G4034" s="142" t="s">
        <v>6739</v>
      </c>
      <c r="H4034" s="142" t="s">
        <v>52</v>
      </c>
      <c r="I4034" s="143" t="s">
        <v>2927</v>
      </c>
      <c r="J4034" s="143" t="s">
        <v>6741</v>
      </c>
      <c r="K4034" s="144"/>
      <c r="L4034" s="145"/>
      <c r="M4034" s="144"/>
    </row>
    <row r="4035" spans="1:13" ht="15" customHeight="1">
      <c r="A4035" s="146" t="s">
        <v>9327</v>
      </c>
      <c r="B4035" s="146">
        <v>517919</v>
      </c>
      <c r="C4035" s="147" t="s">
        <v>6735</v>
      </c>
      <c r="D4035" s="146" t="s">
        <v>6458</v>
      </c>
      <c r="E4035" s="147" t="s">
        <v>9094</v>
      </c>
      <c r="F4035" s="147" t="s">
        <v>9328</v>
      </c>
      <c r="G4035" s="146" t="s">
        <v>6739</v>
      </c>
      <c r="H4035" s="146" t="s">
        <v>52</v>
      </c>
      <c r="I4035" s="147" t="s">
        <v>2927</v>
      </c>
      <c r="J4035" s="147" t="s">
        <v>6741</v>
      </c>
      <c r="K4035" s="148"/>
      <c r="L4035" s="149"/>
      <c r="M4035" s="148"/>
    </row>
    <row r="4036" spans="1:13" ht="15" customHeight="1">
      <c r="A4036" s="142" t="s">
        <v>9329</v>
      </c>
      <c r="B4036" s="142">
        <v>517927</v>
      </c>
      <c r="C4036" s="143" t="s">
        <v>6735</v>
      </c>
      <c r="D4036" s="142" t="s">
        <v>6458</v>
      </c>
      <c r="E4036" s="143" t="s">
        <v>8976</v>
      </c>
      <c r="F4036" s="143" t="s">
        <v>9330</v>
      </c>
      <c r="G4036" s="142" t="s">
        <v>6739</v>
      </c>
      <c r="H4036" s="142" t="s">
        <v>52</v>
      </c>
      <c r="I4036" s="143" t="s">
        <v>2927</v>
      </c>
      <c r="J4036" s="143" t="s">
        <v>6741</v>
      </c>
      <c r="K4036" s="144"/>
      <c r="L4036" s="145"/>
      <c r="M4036" s="144"/>
    </row>
    <row r="4037" spans="1:13" ht="15" customHeight="1">
      <c r="A4037" s="146" t="s">
        <v>9331</v>
      </c>
      <c r="B4037" s="146">
        <v>517477</v>
      </c>
      <c r="C4037" s="147" t="s">
        <v>6735</v>
      </c>
      <c r="D4037" s="146" t="s">
        <v>6458</v>
      </c>
      <c r="E4037" s="147" t="s">
        <v>3341</v>
      </c>
      <c r="F4037" s="147" t="s">
        <v>9066</v>
      </c>
      <c r="G4037" s="146" t="s">
        <v>6739</v>
      </c>
      <c r="H4037" s="146" t="s">
        <v>52</v>
      </c>
      <c r="I4037" s="147" t="s">
        <v>2927</v>
      </c>
      <c r="J4037" s="147" t="s">
        <v>6741</v>
      </c>
      <c r="K4037" s="148"/>
      <c r="L4037" s="149"/>
      <c r="M4037" s="148"/>
    </row>
    <row r="4038" spans="1:13" ht="15" customHeight="1">
      <c r="A4038" s="142" t="s">
        <v>9332</v>
      </c>
      <c r="B4038" s="142">
        <v>517935</v>
      </c>
      <c r="C4038" s="143" t="s">
        <v>6735</v>
      </c>
      <c r="D4038" s="142" t="s">
        <v>6458</v>
      </c>
      <c r="E4038" s="143" t="s">
        <v>3984</v>
      </c>
      <c r="F4038" s="143" t="s">
        <v>9333</v>
      </c>
      <c r="G4038" s="142" t="s">
        <v>6739</v>
      </c>
      <c r="H4038" s="142" t="s">
        <v>52</v>
      </c>
      <c r="I4038" s="143" t="s">
        <v>2927</v>
      </c>
      <c r="J4038" s="143" t="s">
        <v>6741</v>
      </c>
      <c r="K4038" s="144"/>
      <c r="L4038" s="145"/>
      <c r="M4038" s="144"/>
    </row>
    <row r="4039" spans="1:13" ht="15" customHeight="1">
      <c r="A4039" s="146" t="s">
        <v>9334</v>
      </c>
      <c r="B4039" s="146">
        <v>517968</v>
      </c>
      <c r="C4039" s="147" t="s">
        <v>6735</v>
      </c>
      <c r="D4039" s="146" t="s">
        <v>6458</v>
      </c>
      <c r="E4039" s="147" t="s">
        <v>9335</v>
      </c>
      <c r="F4039" s="147" t="s">
        <v>9336</v>
      </c>
      <c r="G4039" s="146" t="s">
        <v>6739</v>
      </c>
      <c r="H4039" s="146" t="s">
        <v>52</v>
      </c>
      <c r="I4039" s="147" t="s">
        <v>2927</v>
      </c>
      <c r="J4039" s="147" t="s">
        <v>6741</v>
      </c>
      <c r="K4039" s="148"/>
      <c r="L4039" s="149"/>
      <c r="M4039" s="148"/>
    </row>
    <row r="4040" spans="1:13" ht="15" customHeight="1">
      <c r="A4040" s="142" t="s">
        <v>9337</v>
      </c>
      <c r="B4040" s="142">
        <v>518379</v>
      </c>
      <c r="C4040" s="143" t="s">
        <v>6735</v>
      </c>
      <c r="D4040" s="142" t="s">
        <v>6458</v>
      </c>
      <c r="E4040" s="143" t="s">
        <v>9036</v>
      </c>
      <c r="F4040" s="143" t="s">
        <v>9036</v>
      </c>
      <c r="G4040" s="142" t="s">
        <v>6739</v>
      </c>
      <c r="H4040" s="142" t="s">
        <v>52</v>
      </c>
      <c r="I4040" s="143" t="s">
        <v>2927</v>
      </c>
      <c r="J4040" s="143" t="s">
        <v>6741</v>
      </c>
      <c r="K4040" s="144"/>
      <c r="L4040" s="145"/>
      <c r="M4040" s="144"/>
    </row>
    <row r="4041" spans="1:13" ht="15" customHeight="1">
      <c r="A4041" s="146" t="s">
        <v>9338</v>
      </c>
      <c r="B4041" s="146">
        <v>518415</v>
      </c>
      <c r="C4041" s="147" t="s">
        <v>6735</v>
      </c>
      <c r="D4041" s="146" t="s">
        <v>6458</v>
      </c>
      <c r="E4041" s="147" t="s">
        <v>9097</v>
      </c>
      <c r="F4041" s="147" t="s">
        <v>9339</v>
      </c>
      <c r="G4041" s="146" t="s">
        <v>6739</v>
      </c>
      <c r="H4041" s="146" t="s">
        <v>52</v>
      </c>
      <c r="I4041" s="147" t="s">
        <v>2927</v>
      </c>
      <c r="J4041" s="147" t="s">
        <v>6741</v>
      </c>
      <c r="K4041" s="148"/>
      <c r="L4041" s="149"/>
      <c r="M4041" s="148"/>
    </row>
    <row r="4042" spans="1:13" ht="15" customHeight="1">
      <c r="A4042" s="142" t="s">
        <v>9340</v>
      </c>
      <c r="B4042" s="142">
        <v>518429</v>
      </c>
      <c r="C4042" s="143" t="s">
        <v>6735</v>
      </c>
      <c r="D4042" s="142" t="s">
        <v>6458</v>
      </c>
      <c r="E4042" s="143" t="s">
        <v>9142</v>
      </c>
      <c r="F4042" s="143" t="s">
        <v>9341</v>
      </c>
      <c r="G4042" s="142" t="s">
        <v>6739</v>
      </c>
      <c r="H4042" s="142" t="s">
        <v>52</v>
      </c>
      <c r="I4042" s="143" t="s">
        <v>2927</v>
      </c>
      <c r="J4042" s="143" t="s">
        <v>6741</v>
      </c>
      <c r="K4042" s="144"/>
      <c r="L4042" s="145"/>
      <c r="M4042" s="144"/>
    </row>
    <row r="4043" spans="1:13" ht="15" customHeight="1">
      <c r="A4043" s="146" t="s">
        <v>9342</v>
      </c>
      <c r="B4043" s="146">
        <v>518616</v>
      </c>
      <c r="C4043" s="147" t="s">
        <v>6735</v>
      </c>
      <c r="D4043" s="146" t="s">
        <v>7142</v>
      </c>
      <c r="E4043" s="147" t="s">
        <v>9053</v>
      </c>
      <c r="F4043" s="147" t="s">
        <v>9053</v>
      </c>
      <c r="G4043" s="146" t="s">
        <v>6739</v>
      </c>
      <c r="H4043" s="146" t="s">
        <v>52</v>
      </c>
      <c r="I4043" s="147" t="s">
        <v>2927</v>
      </c>
      <c r="J4043" s="147" t="s">
        <v>6741</v>
      </c>
      <c r="K4043" s="148" t="s">
        <v>121</v>
      </c>
      <c r="L4043" s="149">
        <v>46148</v>
      </c>
      <c r="M4043" s="148"/>
    </row>
    <row r="4044" spans="1:13" ht="15" customHeight="1">
      <c r="A4044" s="142" t="s">
        <v>9343</v>
      </c>
      <c r="B4044" s="142">
        <v>518617</v>
      </c>
      <c r="C4044" s="143" t="s">
        <v>6735</v>
      </c>
      <c r="D4044" s="142" t="s">
        <v>7142</v>
      </c>
      <c r="E4044" s="143" t="s">
        <v>9344</v>
      </c>
      <c r="F4044" s="143" t="s">
        <v>9344</v>
      </c>
      <c r="G4044" s="142" t="s">
        <v>6739</v>
      </c>
      <c r="H4044" s="142" t="s">
        <v>52</v>
      </c>
      <c r="I4044" s="143" t="s">
        <v>2927</v>
      </c>
      <c r="J4044" s="143" t="s">
        <v>6741</v>
      </c>
      <c r="K4044" s="144" t="s">
        <v>121</v>
      </c>
      <c r="L4044" s="145">
        <v>46146</v>
      </c>
      <c r="M4044" s="144"/>
    </row>
    <row r="4045" spans="1:13" ht="15" customHeight="1">
      <c r="A4045" s="146" t="s">
        <v>9345</v>
      </c>
      <c r="B4045" s="146">
        <v>518618</v>
      </c>
      <c r="C4045" s="147" t="s">
        <v>6735</v>
      </c>
      <c r="D4045" s="146" t="s">
        <v>7142</v>
      </c>
      <c r="E4045" s="147" t="s">
        <v>9344</v>
      </c>
      <c r="F4045" s="147" t="s">
        <v>9344</v>
      </c>
      <c r="G4045" s="146" t="s">
        <v>6739</v>
      </c>
      <c r="H4045" s="146" t="s">
        <v>52</v>
      </c>
      <c r="I4045" s="147" t="s">
        <v>2927</v>
      </c>
      <c r="J4045" s="147" t="s">
        <v>6741</v>
      </c>
      <c r="K4045" s="148" t="s">
        <v>121</v>
      </c>
      <c r="L4045" s="149">
        <v>46146</v>
      </c>
      <c r="M4045" s="148"/>
    </row>
    <row r="4046" spans="1:13" ht="15" customHeight="1">
      <c r="A4046" s="142" t="s">
        <v>9346</v>
      </c>
      <c r="B4046" s="142">
        <v>518621</v>
      </c>
      <c r="C4046" s="143" t="s">
        <v>6735</v>
      </c>
      <c r="D4046" s="142" t="s">
        <v>7142</v>
      </c>
      <c r="E4046" s="143" t="s">
        <v>9056</v>
      </c>
      <c r="F4046" s="143" t="s">
        <v>9151</v>
      </c>
      <c r="G4046" s="142" t="s">
        <v>6739</v>
      </c>
      <c r="H4046" s="142" t="s">
        <v>52</v>
      </c>
      <c r="I4046" s="143" t="s">
        <v>2927</v>
      </c>
      <c r="J4046" s="143" t="s">
        <v>6741</v>
      </c>
      <c r="K4046" s="144" t="s">
        <v>121</v>
      </c>
      <c r="L4046" s="145">
        <v>46139</v>
      </c>
      <c r="M4046" s="144"/>
    </row>
    <row r="4047" spans="1:13" ht="15" customHeight="1">
      <c r="A4047" s="146" t="s">
        <v>9347</v>
      </c>
      <c r="B4047" s="146">
        <v>518623</v>
      </c>
      <c r="C4047" s="147" t="s">
        <v>6735</v>
      </c>
      <c r="D4047" s="146" t="s">
        <v>7142</v>
      </c>
      <c r="E4047" s="147" t="s">
        <v>9053</v>
      </c>
      <c r="F4047" s="147" t="s">
        <v>9053</v>
      </c>
      <c r="G4047" s="146" t="s">
        <v>6739</v>
      </c>
      <c r="H4047" s="146" t="s">
        <v>52</v>
      </c>
      <c r="I4047" s="147" t="s">
        <v>2927</v>
      </c>
      <c r="J4047" s="147" t="s">
        <v>6741</v>
      </c>
      <c r="K4047" s="148" t="s">
        <v>121</v>
      </c>
      <c r="L4047" s="149">
        <v>46150</v>
      </c>
      <c r="M4047" s="148"/>
    </row>
    <row r="4048" spans="1:13" ht="15" customHeight="1">
      <c r="A4048" s="142" t="s">
        <v>9348</v>
      </c>
      <c r="B4048" s="142">
        <v>518626</v>
      </c>
      <c r="C4048" s="143" t="s">
        <v>6735</v>
      </c>
      <c r="D4048" s="142" t="s">
        <v>7142</v>
      </c>
      <c r="E4048" s="143" t="s">
        <v>9056</v>
      </c>
      <c r="F4048" s="143" t="s">
        <v>9151</v>
      </c>
      <c r="G4048" s="142" t="s">
        <v>6739</v>
      </c>
      <c r="H4048" s="142" t="s">
        <v>52</v>
      </c>
      <c r="I4048" s="143" t="s">
        <v>2927</v>
      </c>
      <c r="J4048" s="143" t="s">
        <v>6741</v>
      </c>
      <c r="K4048" s="144" t="s">
        <v>121</v>
      </c>
      <c r="L4048" s="145">
        <v>46148</v>
      </c>
      <c r="M4048" s="144"/>
    </row>
    <row r="4049" spans="1:13" ht="15" customHeight="1">
      <c r="A4049" s="146" t="s">
        <v>9349</v>
      </c>
      <c r="B4049" s="146">
        <v>518627</v>
      </c>
      <c r="C4049" s="147" t="s">
        <v>6735</v>
      </c>
      <c r="D4049" s="146" t="s">
        <v>7142</v>
      </c>
      <c r="E4049" s="147" t="s">
        <v>9056</v>
      </c>
      <c r="F4049" s="147" t="s">
        <v>9151</v>
      </c>
      <c r="G4049" s="146" t="s">
        <v>6739</v>
      </c>
      <c r="H4049" s="146" t="s">
        <v>52</v>
      </c>
      <c r="I4049" s="147" t="s">
        <v>2927</v>
      </c>
      <c r="J4049" s="147" t="s">
        <v>6741</v>
      </c>
      <c r="K4049" s="148" t="s">
        <v>121</v>
      </c>
      <c r="L4049" s="149">
        <v>46147</v>
      </c>
      <c r="M4049" s="148"/>
    </row>
    <row r="4050" spans="1:13" ht="15" customHeight="1">
      <c r="A4050" s="142" t="s">
        <v>9350</v>
      </c>
      <c r="B4050" s="142">
        <v>518628</v>
      </c>
      <c r="C4050" s="143" t="s">
        <v>6735</v>
      </c>
      <c r="D4050" s="142" t="s">
        <v>7142</v>
      </c>
      <c r="E4050" s="143" t="s">
        <v>9056</v>
      </c>
      <c r="F4050" s="143" t="s">
        <v>9151</v>
      </c>
      <c r="G4050" s="142" t="s">
        <v>6739</v>
      </c>
      <c r="H4050" s="142" t="s">
        <v>52</v>
      </c>
      <c r="I4050" s="143" t="s">
        <v>2927</v>
      </c>
      <c r="J4050" s="143" t="s">
        <v>6741</v>
      </c>
      <c r="K4050" s="144" t="s">
        <v>121</v>
      </c>
      <c r="L4050" s="145">
        <v>46147</v>
      </c>
      <c r="M4050" s="144"/>
    </row>
    <row r="4051" spans="1:13" ht="15" customHeight="1">
      <c r="A4051" s="146" t="s">
        <v>9351</v>
      </c>
      <c r="B4051" s="146">
        <v>518633</v>
      </c>
      <c r="C4051" s="147" t="s">
        <v>6735</v>
      </c>
      <c r="D4051" s="146" t="s">
        <v>7142</v>
      </c>
      <c r="E4051" s="147" t="s">
        <v>9053</v>
      </c>
      <c r="F4051" s="147" t="s">
        <v>9053</v>
      </c>
      <c r="G4051" s="146" t="s">
        <v>6739</v>
      </c>
      <c r="H4051" s="146" t="s">
        <v>52</v>
      </c>
      <c r="I4051" s="147" t="s">
        <v>2927</v>
      </c>
      <c r="J4051" s="147" t="s">
        <v>6741</v>
      </c>
      <c r="K4051" s="148" t="s">
        <v>121</v>
      </c>
      <c r="L4051" s="149">
        <v>46147</v>
      </c>
      <c r="M4051" s="148"/>
    </row>
    <row r="4052" spans="1:13" ht="15" customHeight="1">
      <c r="A4052" s="142" t="s">
        <v>9352</v>
      </c>
      <c r="B4052" s="142">
        <v>518634</v>
      </c>
      <c r="C4052" s="143" t="s">
        <v>6735</v>
      </c>
      <c r="D4052" s="142" t="s">
        <v>7142</v>
      </c>
      <c r="E4052" s="143" t="s">
        <v>9053</v>
      </c>
      <c r="F4052" s="143" t="s">
        <v>9053</v>
      </c>
      <c r="G4052" s="142" t="s">
        <v>6739</v>
      </c>
      <c r="H4052" s="142" t="s">
        <v>52</v>
      </c>
      <c r="I4052" s="143" t="s">
        <v>2927</v>
      </c>
      <c r="J4052" s="143" t="s">
        <v>6741</v>
      </c>
      <c r="K4052" s="144" t="s">
        <v>121</v>
      </c>
      <c r="L4052" s="145">
        <v>46151</v>
      </c>
      <c r="M4052" s="144"/>
    </row>
    <row r="4053" spans="1:13" ht="15" customHeight="1">
      <c r="A4053" s="146" t="s">
        <v>9353</v>
      </c>
      <c r="B4053" s="146">
        <v>518635</v>
      </c>
      <c r="C4053" s="147" t="s">
        <v>6735</v>
      </c>
      <c r="D4053" s="146" t="s">
        <v>7142</v>
      </c>
      <c r="E4053" s="147" t="s">
        <v>9344</v>
      </c>
      <c r="F4053" s="147" t="s">
        <v>9344</v>
      </c>
      <c r="G4053" s="146" t="s">
        <v>6739</v>
      </c>
      <c r="H4053" s="146" t="s">
        <v>52</v>
      </c>
      <c r="I4053" s="147" t="s">
        <v>2927</v>
      </c>
      <c r="J4053" s="147" t="s">
        <v>6741</v>
      </c>
      <c r="K4053" s="148" t="s">
        <v>121</v>
      </c>
      <c r="L4053" s="149">
        <v>46147</v>
      </c>
      <c r="M4053" s="148"/>
    </row>
    <row r="4054" spans="1:13" ht="15" customHeight="1">
      <c r="A4054" s="142" t="s">
        <v>9354</v>
      </c>
      <c r="B4054" s="142">
        <v>518636</v>
      </c>
      <c r="C4054" s="143" t="s">
        <v>6735</v>
      </c>
      <c r="D4054" s="142" t="s">
        <v>7142</v>
      </c>
      <c r="E4054" s="143" t="s">
        <v>9053</v>
      </c>
      <c r="F4054" s="143" t="s">
        <v>9053</v>
      </c>
      <c r="G4054" s="142" t="s">
        <v>6739</v>
      </c>
      <c r="H4054" s="142" t="s">
        <v>52</v>
      </c>
      <c r="I4054" s="143" t="s">
        <v>2927</v>
      </c>
      <c r="J4054" s="143" t="s">
        <v>6741</v>
      </c>
      <c r="K4054" s="144" t="s">
        <v>121</v>
      </c>
      <c r="L4054" s="145">
        <v>46149</v>
      </c>
      <c r="M4054" s="144"/>
    </row>
    <row r="4055" spans="1:13" ht="15" customHeight="1">
      <c r="A4055" s="146" t="s">
        <v>9355</v>
      </c>
      <c r="B4055" s="146">
        <v>518637</v>
      </c>
      <c r="C4055" s="147" t="s">
        <v>6735</v>
      </c>
      <c r="D4055" s="146" t="s">
        <v>7142</v>
      </c>
      <c r="E4055" s="147" t="s">
        <v>9053</v>
      </c>
      <c r="F4055" s="147" t="s">
        <v>9053</v>
      </c>
      <c r="G4055" s="146" t="s">
        <v>6739</v>
      </c>
      <c r="H4055" s="146" t="s">
        <v>52</v>
      </c>
      <c r="I4055" s="147" t="s">
        <v>2927</v>
      </c>
      <c r="J4055" s="147" t="s">
        <v>6741</v>
      </c>
      <c r="K4055" s="148" t="s">
        <v>121</v>
      </c>
      <c r="L4055" s="149">
        <v>46149</v>
      </c>
      <c r="M4055" s="148"/>
    </row>
    <row r="4056" spans="1:13" ht="15" customHeight="1">
      <c r="A4056" s="142" t="s">
        <v>9356</v>
      </c>
      <c r="B4056" s="142">
        <v>518638</v>
      </c>
      <c r="C4056" s="143" t="s">
        <v>6735</v>
      </c>
      <c r="D4056" s="142" t="s">
        <v>7142</v>
      </c>
      <c r="E4056" s="143" t="s">
        <v>9053</v>
      </c>
      <c r="F4056" s="143" t="s">
        <v>9053</v>
      </c>
      <c r="G4056" s="142" t="s">
        <v>6739</v>
      </c>
      <c r="H4056" s="142" t="s">
        <v>52</v>
      </c>
      <c r="I4056" s="143" t="s">
        <v>2927</v>
      </c>
      <c r="J4056" s="143" t="s">
        <v>6741</v>
      </c>
      <c r="K4056" s="144" t="s">
        <v>121</v>
      </c>
      <c r="L4056" s="145">
        <v>46150</v>
      </c>
      <c r="M4056" s="144"/>
    </row>
    <row r="4057" spans="1:13" ht="15" customHeight="1">
      <c r="A4057" s="146" t="s">
        <v>9357</v>
      </c>
      <c r="B4057" s="146">
        <v>518639</v>
      </c>
      <c r="C4057" s="147" t="s">
        <v>6735</v>
      </c>
      <c r="D4057" s="146" t="s">
        <v>7142</v>
      </c>
      <c r="E4057" s="147" t="s">
        <v>9053</v>
      </c>
      <c r="F4057" s="147" t="s">
        <v>9053</v>
      </c>
      <c r="G4057" s="146" t="s">
        <v>6739</v>
      </c>
      <c r="H4057" s="146" t="s">
        <v>52</v>
      </c>
      <c r="I4057" s="147" t="s">
        <v>2927</v>
      </c>
      <c r="J4057" s="147" t="s">
        <v>6741</v>
      </c>
      <c r="K4057" s="148" t="s">
        <v>121</v>
      </c>
      <c r="L4057" s="149">
        <v>46150</v>
      </c>
      <c r="M4057" s="148"/>
    </row>
    <row r="4058" spans="1:13" ht="15" customHeight="1">
      <c r="A4058" s="142" t="s">
        <v>9358</v>
      </c>
      <c r="B4058" s="142">
        <v>518640</v>
      </c>
      <c r="C4058" s="143" t="s">
        <v>6735</v>
      </c>
      <c r="D4058" s="142" t="s">
        <v>7142</v>
      </c>
      <c r="E4058" s="143" t="s">
        <v>9053</v>
      </c>
      <c r="F4058" s="143" t="s">
        <v>9053</v>
      </c>
      <c r="G4058" s="142" t="s">
        <v>6739</v>
      </c>
      <c r="H4058" s="142" t="s">
        <v>52</v>
      </c>
      <c r="I4058" s="143" t="s">
        <v>2927</v>
      </c>
      <c r="J4058" s="143" t="s">
        <v>6741</v>
      </c>
      <c r="K4058" s="144" t="s">
        <v>121</v>
      </c>
      <c r="L4058" s="145">
        <v>46149</v>
      </c>
      <c r="M4058" s="144"/>
    </row>
    <row r="4059" spans="1:13" ht="15" customHeight="1">
      <c r="A4059" s="146" t="s">
        <v>9359</v>
      </c>
      <c r="B4059" s="146">
        <v>518641</v>
      </c>
      <c r="C4059" s="147" t="s">
        <v>6735</v>
      </c>
      <c r="D4059" s="146" t="s">
        <v>7142</v>
      </c>
      <c r="E4059" s="147" t="s">
        <v>9053</v>
      </c>
      <c r="F4059" s="147" t="s">
        <v>9053</v>
      </c>
      <c r="G4059" s="146" t="s">
        <v>6739</v>
      </c>
      <c r="H4059" s="146" t="s">
        <v>52</v>
      </c>
      <c r="I4059" s="147" t="s">
        <v>2927</v>
      </c>
      <c r="J4059" s="147" t="s">
        <v>6741</v>
      </c>
      <c r="K4059" s="148" t="s">
        <v>121</v>
      </c>
      <c r="L4059" s="149">
        <v>46149</v>
      </c>
      <c r="M4059" s="148"/>
    </row>
    <row r="4060" spans="1:13" ht="15" customHeight="1">
      <c r="A4060" s="142" t="s">
        <v>9360</v>
      </c>
      <c r="B4060" s="142">
        <v>518642</v>
      </c>
      <c r="C4060" s="143" t="s">
        <v>6735</v>
      </c>
      <c r="D4060" s="142" t="s">
        <v>7142</v>
      </c>
      <c r="E4060" s="143" t="s">
        <v>9053</v>
      </c>
      <c r="F4060" s="143" t="s">
        <v>9053</v>
      </c>
      <c r="G4060" s="142" t="s">
        <v>6739</v>
      </c>
      <c r="H4060" s="142" t="s">
        <v>52</v>
      </c>
      <c r="I4060" s="143" t="s">
        <v>2927</v>
      </c>
      <c r="J4060" s="143" t="s">
        <v>6741</v>
      </c>
      <c r="K4060" s="144" t="s">
        <v>162</v>
      </c>
      <c r="L4060" s="145">
        <v>46148</v>
      </c>
      <c r="M4060" s="144"/>
    </row>
    <row r="4061" spans="1:13" ht="15" customHeight="1">
      <c r="A4061" s="146" t="s">
        <v>9361</v>
      </c>
      <c r="B4061" s="146">
        <v>518644</v>
      </c>
      <c r="C4061" s="147" t="s">
        <v>6735</v>
      </c>
      <c r="D4061" s="146" t="s">
        <v>7142</v>
      </c>
      <c r="E4061" s="147" t="s">
        <v>9056</v>
      </c>
      <c r="F4061" s="147" t="s">
        <v>9151</v>
      </c>
      <c r="G4061" s="146" t="s">
        <v>6739</v>
      </c>
      <c r="H4061" s="146" t="s">
        <v>52</v>
      </c>
      <c r="I4061" s="147" t="s">
        <v>2927</v>
      </c>
      <c r="J4061" s="147" t="s">
        <v>6741</v>
      </c>
      <c r="K4061" s="148" t="s">
        <v>121</v>
      </c>
      <c r="L4061" s="149">
        <v>46146</v>
      </c>
      <c r="M4061" s="148"/>
    </row>
    <row r="4062" spans="1:13" ht="15" customHeight="1">
      <c r="A4062" s="142" t="s">
        <v>9362</v>
      </c>
      <c r="B4062" s="142">
        <v>518646</v>
      </c>
      <c r="C4062" s="143" t="s">
        <v>6735</v>
      </c>
      <c r="D4062" s="142" t="s">
        <v>7142</v>
      </c>
      <c r="E4062" s="143" t="s">
        <v>9056</v>
      </c>
      <c r="F4062" s="143" t="s">
        <v>9056</v>
      </c>
      <c r="G4062" s="142" t="s">
        <v>6739</v>
      </c>
      <c r="H4062" s="142" t="s">
        <v>52</v>
      </c>
      <c r="I4062" s="143" t="s">
        <v>2927</v>
      </c>
      <c r="J4062" s="143" t="s">
        <v>6741</v>
      </c>
      <c r="K4062" s="144" t="s">
        <v>121</v>
      </c>
      <c r="L4062" s="145">
        <v>46149</v>
      </c>
      <c r="M4062" s="144"/>
    </row>
    <row r="4063" spans="1:13" ht="15" customHeight="1">
      <c r="A4063" s="146" t="s">
        <v>9363</v>
      </c>
      <c r="B4063" s="146">
        <v>518647</v>
      </c>
      <c r="C4063" s="147" t="s">
        <v>6735</v>
      </c>
      <c r="D4063" s="146" t="s">
        <v>7142</v>
      </c>
      <c r="E4063" s="147" t="s">
        <v>9053</v>
      </c>
      <c r="F4063" s="147" t="s">
        <v>9053</v>
      </c>
      <c r="G4063" s="146" t="s">
        <v>6739</v>
      </c>
      <c r="H4063" s="146" t="s">
        <v>52</v>
      </c>
      <c r="I4063" s="147" t="s">
        <v>2927</v>
      </c>
      <c r="J4063" s="147" t="s">
        <v>6741</v>
      </c>
      <c r="K4063" s="148" t="s">
        <v>121</v>
      </c>
      <c r="L4063" s="149">
        <v>46147</v>
      </c>
      <c r="M4063" s="148"/>
    </row>
    <row r="4064" spans="1:13" ht="15" customHeight="1">
      <c r="A4064" s="142" t="s">
        <v>9364</v>
      </c>
      <c r="B4064" s="142">
        <v>518648</v>
      </c>
      <c r="C4064" s="143" t="s">
        <v>6735</v>
      </c>
      <c r="D4064" s="142" t="s">
        <v>7142</v>
      </c>
      <c r="E4064" s="143" t="s">
        <v>9344</v>
      </c>
      <c r="F4064" s="143" t="s">
        <v>9344</v>
      </c>
      <c r="G4064" s="142" t="s">
        <v>6739</v>
      </c>
      <c r="H4064" s="142" t="s">
        <v>52</v>
      </c>
      <c r="I4064" s="143" t="s">
        <v>2927</v>
      </c>
      <c r="J4064" s="143" t="s">
        <v>6741</v>
      </c>
      <c r="K4064" s="144" t="s">
        <v>121</v>
      </c>
      <c r="L4064" s="145">
        <v>46146</v>
      </c>
      <c r="M4064" s="144"/>
    </row>
    <row r="4065" spans="1:13" ht="15" customHeight="1">
      <c r="A4065" s="146" t="s">
        <v>9365</v>
      </c>
      <c r="B4065" s="146">
        <v>518753</v>
      </c>
      <c r="C4065" s="147" t="s">
        <v>6735</v>
      </c>
      <c r="D4065" s="146" t="s">
        <v>7142</v>
      </c>
      <c r="E4065" s="147" t="s">
        <v>9056</v>
      </c>
      <c r="F4065" s="147" t="s">
        <v>9366</v>
      </c>
      <c r="G4065" s="146" t="s">
        <v>6739</v>
      </c>
      <c r="H4065" s="146" t="s">
        <v>52</v>
      </c>
      <c r="I4065" s="147" t="s">
        <v>2927</v>
      </c>
      <c r="J4065" s="147" t="s">
        <v>6741</v>
      </c>
      <c r="K4065" s="148" t="s">
        <v>121</v>
      </c>
      <c r="L4065" s="149">
        <v>46147</v>
      </c>
      <c r="M4065" s="148"/>
    </row>
    <row r="4066" spans="1:13" ht="15" customHeight="1">
      <c r="A4066" s="142" t="s">
        <v>9367</v>
      </c>
      <c r="B4066" s="142">
        <v>519062</v>
      </c>
      <c r="C4066" s="143" t="s">
        <v>6735</v>
      </c>
      <c r="D4066" s="142" t="s">
        <v>7142</v>
      </c>
      <c r="E4066" s="143" t="s">
        <v>9053</v>
      </c>
      <c r="F4066" s="143" t="s">
        <v>9053</v>
      </c>
      <c r="G4066" s="142" t="s">
        <v>6739</v>
      </c>
      <c r="H4066" s="142" t="s">
        <v>52</v>
      </c>
      <c r="I4066" s="143" t="s">
        <v>2927</v>
      </c>
      <c r="J4066" s="143" t="s">
        <v>6741</v>
      </c>
      <c r="K4066" s="144" t="s">
        <v>121</v>
      </c>
      <c r="L4066" s="145">
        <v>46148</v>
      </c>
      <c r="M4066" s="144"/>
    </row>
    <row r="4067" spans="1:13" ht="15" customHeight="1">
      <c r="A4067" s="146" t="s">
        <v>9368</v>
      </c>
      <c r="B4067" s="146">
        <v>518003</v>
      </c>
      <c r="C4067" s="147" t="s">
        <v>9369</v>
      </c>
      <c r="D4067" s="146" t="s">
        <v>5640</v>
      </c>
      <c r="E4067" s="147" t="s">
        <v>9017</v>
      </c>
      <c r="F4067" s="147" t="s">
        <v>9370</v>
      </c>
      <c r="G4067" s="146" t="s">
        <v>109</v>
      </c>
      <c r="H4067" s="146" t="s">
        <v>52</v>
      </c>
      <c r="I4067" s="147" t="s">
        <v>8982</v>
      </c>
      <c r="J4067" s="147" t="s">
        <v>104</v>
      </c>
      <c r="K4067" s="148" t="s">
        <v>162</v>
      </c>
      <c r="L4067" s="149">
        <v>46150</v>
      </c>
      <c r="M4067" s="148"/>
    </row>
    <row r="4068" spans="1:13" ht="15" customHeight="1">
      <c r="A4068" s="142" t="s">
        <v>9371</v>
      </c>
      <c r="B4068" s="142">
        <v>517163</v>
      </c>
      <c r="C4068" s="143" t="s">
        <v>9372</v>
      </c>
      <c r="D4068" s="142" t="s">
        <v>5640</v>
      </c>
      <c r="E4068" s="143" t="s">
        <v>9103</v>
      </c>
      <c r="F4068" s="143" t="s">
        <v>9373</v>
      </c>
      <c r="G4068" s="142" t="s">
        <v>109</v>
      </c>
      <c r="H4068" s="142" t="s">
        <v>52</v>
      </c>
      <c r="I4068" s="143" t="s">
        <v>8982</v>
      </c>
      <c r="J4068" s="143" t="s">
        <v>104</v>
      </c>
      <c r="K4068" s="144" t="s">
        <v>121</v>
      </c>
      <c r="L4068" s="145">
        <v>46153</v>
      </c>
      <c r="M4068" s="144"/>
    </row>
    <row r="4069" spans="1:13" ht="15" customHeight="1">
      <c r="A4069" s="146" t="s">
        <v>9374</v>
      </c>
      <c r="B4069" s="146">
        <v>517125</v>
      </c>
      <c r="C4069" s="147" t="s">
        <v>9375</v>
      </c>
      <c r="D4069" s="146" t="s">
        <v>5640</v>
      </c>
      <c r="E4069" s="147" t="s">
        <v>9135</v>
      </c>
      <c r="F4069" s="147" t="s">
        <v>9376</v>
      </c>
      <c r="G4069" s="146" t="s">
        <v>109</v>
      </c>
      <c r="H4069" s="146" t="s">
        <v>52</v>
      </c>
      <c r="I4069" s="147" t="s">
        <v>8982</v>
      </c>
      <c r="J4069" s="147" t="s">
        <v>104</v>
      </c>
      <c r="K4069" s="148" t="s">
        <v>121</v>
      </c>
      <c r="L4069" s="149">
        <v>46153</v>
      </c>
      <c r="M4069" s="148"/>
    </row>
    <row r="4070" spans="1:13" ht="15" customHeight="1">
      <c r="A4070" s="142" t="s">
        <v>9377</v>
      </c>
      <c r="B4070" s="142">
        <v>517848</v>
      </c>
      <c r="C4070" s="143" t="s">
        <v>6561</v>
      </c>
      <c r="D4070" s="142" t="s">
        <v>6458</v>
      </c>
      <c r="E4070" s="143" t="s">
        <v>9013</v>
      </c>
      <c r="F4070" s="143" t="s">
        <v>9378</v>
      </c>
      <c r="G4070" s="142" t="s">
        <v>109</v>
      </c>
      <c r="H4070" s="142" t="s">
        <v>52</v>
      </c>
      <c r="I4070" s="143" t="s">
        <v>2927</v>
      </c>
      <c r="J4070" s="143" t="s">
        <v>104</v>
      </c>
      <c r="K4070" s="144"/>
      <c r="L4070" s="145"/>
      <c r="M4070" s="144"/>
    </row>
    <row r="4071" spans="1:13" ht="15" customHeight="1">
      <c r="A4071" s="146" t="s">
        <v>9379</v>
      </c>
      <c r="B4071" s="146">
        <v>517526</v>
      </c>
      <c r="C4071" s="147" t="s">
        <v>2682</v>
      </c>
      <c r="D4071" s="146" t="s">
        <v>5640</v>
      </c>
      <c r="E4071" s="147" t="s">
        <v>8980</v>
      </c>
      <c r="F4071" s="147" t="s">
        <v>9380</v>
      </c>
      <c r="G4071" s="146" t="s">
        <v>109</v>
      </c>
      <c r="H4071" s="146" t="s">
        <v>52</v>
      </c>
      <c r="I4071" s="147" t="s">
        <v>8982</v>
      </c>
      <c r="J4071" s="147" t="s">
        <v>104</v>
      </c>
      <c r="K4071" s="148"/>
      <c r="L4071" s="149"/>
      <c r="M4071" s="148"/>
    </row>
    <row r="4072" spans="1:13" ht="15" customHeight="1">
      <c r="A4072" s="142" t="s">
        <v>9381</v>
      </c>
      <c r="B4072" s="142">
        <v>517424</v>
      </c>
      <c r="C4072" s="143" t="s">
        <v>2682</v>
      </c>
      <c r="D4072" s="142" t="s">
        <v>5640</v>
      </c>
      <c r="E4072" s="143" t="s">
        <v>9229</v>
      </c>
      <c r="F4072" s="143" t="s">
        <v>9382</v>
      </c>
      <c r="G4072" s="142" t="s">
        <v>109</v>
      </c>
      <c r="H4072" s="142" t="s">
        <v>52</v>
      </c>
      <c r="I4072" s="143" t="s">
        <v>8982</v>
      </c>
      <c r="J4072" s="143" t="s">
        <v>104</v>
      </c>
      <c r="K4072" s="144"/>
      <c r="L4072" s="145"/>
      <c r="M4072" s="144"/>
    </row>
    <row r="4073" spans="1:13" ht="15" customHeight="1">
      <c r="A4073" s="146" t="s">
        <v>9383</v>
      </c>
      <c r="B4073" s="146">
        <v>517826</v>
      </c>
      <c r="C4073" s="147" t="s">
        <v>2682</v>
      </c>
      <c r="D4073" s="146" t="s">
        <v>6458</v>
      </c>
      <c r="E4073" s="147" t="s">
        <v>9047</v>
      </c>
      <c r="F4073" s="147" t="s">
        <v>9384</v>
      </c>
      <c r="G4073" s="146" t="s">
        <v>109</v>
      </c>
      <c r="H4073" s="146" t="s">
        <v>52</v>
      </c>
      <c r="I4073" s="147" t="s">
        <v>2927</v>
      </c>
      <c r="J4073" s="147" t="s">
        <v>104</v>
      </c>
      <c r="K4073" s="148"/>
      <c r="L4073" s="149"/>
      <c r="M4073" s="148"/>
    </row>
    <row r="4074" spans="1:13" ht="15" customHeight="1">
      <c r="A4074" s="142" t="s">
        <v>9385</v>
      </c>
      <c r="B4074" s="142">
        <v>517520</v>
      </c>
      <c r="C4074" s="143" t="s">
        <v>9386</v>
      </c>
      <c r="D4074" s="142" t="s">
        <v>5640</v>
      </c>
      <c r="E4074" s="143" t="s">
        <v>9020</v>
      </c>
      <c r="F4074" s="143" t="s">
        <v>3927</v>
      </c>
      <c r="G4074" s="142" t="s">
        <v>109</v>
      </c>
      <c r="H4074" s="142" t="s">
        <v>52</v>
      </c>
      <c r="I4074" s="143" t="s">
        <v>8982</v>
      </c>
      <c r="J4074" s="143" t="s">
        <v>104</v>
      </c>
      <c r="K4074" s="144"/>
      <c r="L4074" s="145"/>
      <c r="M4074" s="144"/>
    </row>
    <row r="4075" spans="1:13" ht="15" customHeight="1">
      <c r="A4075" s="146" t="s">
        <v>9387</v>
      </c>
      <c r="B4075" s="146">
        <v>517877</v>
      </c>
      <c r="C4075" s="147" t="s">
        <v>6690</v>
      </c>
      <c r="D4075" s="146" t="s">
        <v>6458</v>
      </c>
      <c r="E4075" s="147" t="s">
        <v>9038</v>
      </c>
      <c r="F4075" s="147" t="s">
        <v>9388</v>
      </c>
      <c r="G4075" s="146" t="s">
        <v>109</v>
      </c>
      <c r="H4075" s="146" t="s">
        <v>52</v>
      </c>
      <c r="I4075" s="147" t="s">
        <v>2927</v>
      </c>
      <c r="J4075" s="147" t="s">
        <v>104</v>
      </c>
      <c r="K4075" s="148" t="s">
        <v>121</v>
      </c>
      <c r="L4075" s="149">
        <v>46149</v>
      </c>
      <c r="M4075" s="148"/>
    </row>
    <row r="4076" spans="1:13" ht="15" customHeight="1">
      <c r="A4076" s="142" t="s">
        <v>9389</v>
      </c>
      <c r="B4076" s="142">
        <v>517028</v>
      </c>
      <c r="C4076" s="143" t="s">
        <v>9390</v>
      </c>
      <c r="D4076" s="142" t="s">
        <v>5640</v>
      </c>
      <c r="E4076" s="143" t="s">
        <v>9218</v>
      </c>
      <c r="F4076" s="143" t="s">
        <v>9391</v>
      </c>
      <c r="G4076" s="142" t="s">
        <v>109</v>
      </c>
      <c r="H4076" s="142" t="s">
        <v>52</v>
      </c>
      <c r="I4076" s="143" t="s">
        <v>8982</v>
      </c>
      <c r="J4076" s="143" t="s">
        <v>104</v>
      </c>
      <c r="K4076" s="144"/>
      <c r="L4076" s="145"/>
      <c r="M4076" s="144"/>
    </row>
    <row r="4077" spans="1:13" ht="15" customHeight="1">
      <c r="A4077" s="146" t="s">
        <v>9392</v>
      </c>
      <c r="B4077" s="146">
        <v>517136</v>
      </c>
      <c r="C4077" s="147" t="s">
        <v>9393</v>
      </c>
      <c r="D4077" s="146" t="s">
        <v>5640</v>
      </c>
      <c r="E4077" s="147" t="s">
        <v>1113</v>
      </c>
      <c r="F4077" s="147" t="s">
        <v>3280</v>
      </c>
      <c r="G4077" s="146" t="s">
        <v>109</v>
      </c>
      <c r="H4077" s="146" t="s">
        <v>52</v>
      </c>
      <c r="I4077" s="147" t="s">
        <v>8982</v>
      </c>
      <c r="J4077" s="147" t="s">
        <v>104</v>
      </c>
      <c r="K4077" s="148" t="s">
        <v>121</v>
      </c>
      <c r="L4077" s="149">
        <v>46149</v>
      </c>
      <c r="M4077" s="148"/>
    </row>
    <row r="4078" spans="1:13" ht="15" customHeight="1">
      <c r="A4078" s="142" t="s">
        <v>9394</v>
      </c>
      <c r="B4078" s="142">
        <v>517101</v>
      </c>
      <c r="C4078" s="143" t="s">
        <v>9395</v>
      </c>
      <c r="D4078" s="142" t="s">
        <v>5640</v>
      </c>
      <c r="E4078" s="143" t="s">
        <v>9020</v>
      </c>
      <c r="F4078" s="143" t="s">
        <v>9020</v>
      </c>
      <c r="G4078" s="142" t="s">
        <v>102</v>
      </c>
      <c r="H4078" s="142" t="s">
        <v>52</v>
      </c>
      <c r="I4078" s="143" t="s">
        <v>8982</v>
      </c>
      <c r="J4078" s="143" t="s">
        <v>104</v>
      </c>
      <c r="K4078" s="144"/>
      <c r="L4078" s="145"/>
      <c r="M4078" s="144"/>
    </row>
    <row r="4079" spans="1:13" ht="15" customHeight="1">
      <c r="A4079" s="146" t="s">
        <v>9396</v>
      </c>
      <c r="B4079" s="146">
        <v>517169</v>
      </c>
      <c r="C4079" s="147" t="s">
        <v>2790</v>
      </c>
      <c r="D4079" s="146" t="s">
        <v>5640</v>
      </c>
      <c r="E4079" s="147" t="s">
        <v>9218</v>
      </c>
      <c r="F4079" s="147" t="s">
        <v>9397</v>
      </c>
      <c r="G4079" s="146" t="s">
        <v>109</v>
      </c>
      <c r="H4079" s="146" t="s">
        <v>52</v>
      </c>
      <c r="I4079" s="147" t="s">
        <v>8982</v>
      </c>
      <c r="J4079" s="147" t="s">
        <v>104</v>
      </c>
      <c r="K4079" s="148"/>
      <c r="L4079" s="149"/>
      <c r="M4079" s="148"/>
    </row>
    <row r="4080" spans="1:13" ht="15" customHeight="1">
      <c r="A4080" s="142" t="s">
        <v>9398</v>
      </c>
      <c r="B4080" s="142">
        <v>517138</v>
      </c>
      <c r="C4080" s="143" t="s">
        <v>9399</v>
      </c>
      <c r="D4080" s="142" t="s">
        <v>5640</v>
      </c>
      <c r="E4080" s="143" t="s">
        <v>1113</v>
      </c>
      <c r="F4080" s="143" t="s">
        <v>4244</v>
      </c>
      <c r="G4080" s="142" t="s">
        <v>109</v>
      </c>
      <c r="H4080" s="142" t="s">
        <v>52</v>
      </c>
      <c r="I4080" s="143" t="s">
        <v>8982</v>
      </c>
      <c r="J4080" s="143" t="s">
        <v>104</v>
      </c>
      <c r="K4080" s="144" t="s">
        <v>162</v>
      </c>
      <c r="L4080" s="145">
        <v>46146</v>
      </c>
      <c r="M4080" s="144" t="s">
        <v>9400</v>
      </c>
    </row>
    <row r="4081" spans="1:13" ht="15" customHeight="1">
      <c r="A4081" s="146" t="s">
        <v>9401</v>
      </c>
      <c r="B4081" s="146">
        <v>517429</v>
      </c>
      <c r="C4081" s="147" t="s">
        <v>9402</v>
      </c>
      <c r="D4081" s="146" t="s">
        <v>5640</v>
      </c>
      <c r="E4081" s="147" t="s">
        <v>9033</v>
      </c>
      <c r="F4081" s="147" t="s">
        <v>9033</v>
      </c>
      <c r="G4081" s="146" t="s">
        <v>109</v>
      </c>
      <c r="H4081" s="146" t="s">
        <v>52</v>
      </c>
      <c r="I4081" s="147" t="s">
        <v>8982</v>
      </c>
      <c r="J4081" s="147" t="s">
        <v>104</v>
      </c>
      <c r="K4081" s="148"/>
      <c r="L4081" s="149"/>
      <c r="M4081" s="148"/>
    </row>
    <row r="4082" spans="1:13" ht="15" customHeight="1">
      <c r="A4082" s="142" t="s">
        <v>9403</v>
      </c>
      <c r="B4082" s="142">
        <v>517524</v>
      </c>
      <c r="C4082" s="143" t="s">
        <v>9404</v>
      </c>
      <c r="D4082" s="142" t="s">
        <v>5640</v>
      </c>
      <c r="E4082" s="143" t="s">
        <v>9405</v>
      </c>
      <c r="F4082" s="143" t="s">
        <v>9405</v>
      </c>
      <c r="G4082" s="142" t="s">
        <v>109</v>
      </c>
      <c r="H4082" s="142" t="s">
        <v>52</v>
      </c>
      <c r="I4082" s="143" t="s">
        <v>8982</v>
      </c>
      <c r="J4082" s="143" t="s">
        <v>104</v>
      </c>
      <c r="K4082" s="144"/>
      <c r="L4082" s="145"/>
      <c r="M4082" s="144"/>
    </row>
    <row r="4083" spans="1:13" ht="15" customHeight="1">
      <c r="A4083" s="146" t="s">
        <v>9406</v>
      </c>
      <c r="B4083" s="146">
        <v>517162</v>
      </c>
      <c r="C4083" s="147" t="s">
        <v>5249</v>
      </c>
      <c r="D4083" s="146" t="s">
        <v>5640</v>
      </c>
      <c r="E4083" s="147" t="s">
        <v>9103</v>
      </c>
      <c r="F4083" s="147" t="s">
        <v>2948</v>
      </c>
      <c r="G4083" s="146" t="s">
        <v>109</v>
      </c>
      <c r="H4083" s="146" t="s">
        <v>52</v>
      </c>
      <c r="I4083" s="147" t="s">
        <v>8982</v>
      </c>
      <c r="J4083" s="147" t="s">
        <v>104</v>
      </c>
      <c r="K4083" s="148"/>
      <c r="L4083" s="149"/>
      <c r="M4083" s="148"/>
    </row>
    <row r="4084" spans="1:13" ht="15" customHeight="1">
      <c r="A4084" s="142" t="s">
        <v>9407</v>
      </c>
      <c r="B4084" s="142">
        <v>517381</v>
      </c>
      <c r="C4084" s="143" t="s">
        <v>9408</v>
      </c>
      <c r="D4084" s="142" t="s">
        <v>5640</v>
      </c>
      <c r="E4084" s="143" t="s">
        <v>254</v>
      </c>
      <c r="F4084" s="143" t="s">
        <v>9409</v>
      </c>
      <c r="G4084" s="142" t="s">
        <v>109</v>
      </c>
      <c r="H4084" s="142" t="s">
        <v>52</v>
      </c>
      <c r="I4084" s="143" t="s">
        <v>8982</v>
      </c>
      <c r="J4084" s="143" t="s">
        <v>104</v>
      </c>
      <c r="K4084" s="144"/>
      <c r="L4084" s="145"/>
      <c r="M4084" s="144"/>
    </row>
    <row r="4085" spans="1:13" ht="15" customHeight="1">
      <c r="A4085" s="146" t="s">
        <v>9410</v>
      </c>
      <c r="B4085" s="146">
        <v>517858</v>
      </c>
      <c r="C4085" s="147" t="s">
        <v>1204</v>
      </c>
      <c r="D4085" s="146" t="s">
        <v>6458</v>
      </c>
      <c r="E4085" s="147" t="s">
        <v>3341</v>
      </c>
      <c r="F4085" s="147" t="s">
        <v>9411</v>
      </c>
      <c r="G4085" s="146" t="s">
        <v>109</v>
      </c>
      <c r="H4085" s="146" t="s">
        <v>52</v>
      </c>
      <c r="I4085" s="147" t="s">
        <v>2927</v>
      </c>
      <c r="J4085" s="147" t="s">
        <v>104</v>
      </c>
      <c r="K4085" s="148"/>
      <c r="L4085" s="149"/>
      <c r="M4085" s="148"/>
    </row>
    <row r="4086" spans="1:13" ht="15" customHeight="1">
      <c r="A4086" s="142" t="s">
        <v>9412</v>
      </c>
      <c r="B4086" s="142">
        <v>518184</v>
      </c>
      <c r="C4086" s="143" t="s">
        <v>9413</v>
      </c>
      <c r="D4086" s="142" t="s">
        <v>5640</v>
      </c>
      <c r="E4086" s="143" t="s">
        <v>9303</v>
      </c>
      <c r="F4086" s="143" t="s">
        <v>9304</v>
      </c>
      <c r="G4086" s="142" t="s">
        <v>109</v>
      </c>
      <c r="H4086" s="142" t="s">
        <v>52</v>
      </c>
      <c r="I4086" s="143" t="s">
        <v>8982</v>
      </c>
      <c r="J4086" s="143" t="s">
        <v>104</v>
      </c>
      <c r="K4086" s="144"/>
      <c r="L4086" s="145"/>
      <c r="M4086" s="144"/>
    </row>
    <row r="4087" spans="1:13" ht="15" customHeight="1">
      <c r="A4087" s="146" t="s">
        <v>9414</v>
      </c>
      <c r="B4087" s="146">
        <v>517131</v>
      </c>
      <c r="C4087" s="147" t="s">
        <v>9415</v>
      </c>
      <c r="D4087" s="146" t="s">
        <v>5640</v>
      </c>
      <c r="E4087" s="147" t="s">
        <v>9416</v>
      </c>
      <c r="F4087" s="147" t="s">
        <v>9417</v>
      </c>
      <c r="G4087" s="146" t="s">
        <v>109</v>
      </c>
      <c r="H4087" s="146" t="s">
        <v>52</v>
      </c>
      <c r="I4087" s="147" t="s">
        <v>8982</v>
      </c>
      <c r="J4087" s="147" t="s">
        <v>104</v>
      </c>
      <c r="K4087" s="148"/>
      <c r="L4087" s="149"/>
      <c r="M4087" s="148"/>
    </row>
    <row r="4088" spans="1:13" ht="15" customHeight="1">
      <c r="A4088" s="142" t="s">
        <v>9418</v>
      </c>
      <c r="B4088" s="142">
        <v>517822</v>
      </c>
      <c r="C4088" s="143" t="s">
        <v>9419</v>
      </c>
      <c r="D4088" s="142" t="s">
        <v>6458</v>
      </c>
      <c r="E4088" s="143" t="s">
        <v>9038</v>
      </c>
      <c r="F4088" s="143" t="s">
        <v>9420</v>
      </c>
      <c r="G4088" s="142" t="s">
        <v>109</v>
      </c>
      <c r="H4088" s="142" t="s">
        <v>52</v>
      </c>
      <c r="I4088" s="143" t="s">
        <v>2927</v>
      </c>
      <c r="J4088" s="143" t="s">
        <v>104</v>
      </c>
      <c r="K4088" s="144" t="s">
        <v>121</v>
      </c>
      <c r="L4088" s="145">
        <v>46150</v>
      </c>
      <c r="M4088" s="144"/>
    </row>
    <row r="4089" spans="1:13" ht="15" customHeight="1">
      <c r="A4089" s="146" t="s">
        <v>9421</v>
      </c>
      <c r="B4089" s="146">
        <v>518629</v>
      </c>
      <c r="C4089" s="147" t="s">
        <v>9422</v>
      </c>
      <c r="D4089" s="146" t="s">
        <v>7142</v>
      </c>
      <c r="E4089" s="147" t="s">
        <v>9056</v>
      </c>
      <c r="F4089" s="147" t="s">
        <v>1295</v>
      </c>
      <c r="G4089" s="146" t="s">
        <v>109</v>
      </c>
      <c r="H4089" s="146" t="s">
        <v>52</v>
      </c>
      <c r="I4089" s="147" t="s">
        <v>2927</v>
      </c>
      <c r="J4089" s="147" t="s">
        <v>104</v>
      </c>
      <c r="K4089" s="148" t="s">
        <v>121</v>
      </c>
      <c r="L4089" s="149">
        <v>46147</v>
      </c>
      <c r="M4089" s="148"/>
    </row>
    <row r="4090" spans="1:13" ht="15" customHeight="1">
      <c r="A4090" s="142" t="s">
        <v>9423</v>
      </c>
      <c r="B4090" s="142">
        <v>517480</v>
      </c>
      <c r="C4090" s="143" t="s">
        <v>9424</v>
      </c>
      <c r="D4090" s="142" t="s">
        <v>5640</v>
      </c>
      <c r="E4090" s="143" t="s">
        <v>9020</v>
      </c>
      <c r="F4090" s="143" t="s">
        <v>9425</v>
      </c>
      <c r="G4090" s="142" t="s">
        <v>109</v>
      </c>
      <c r="H4090" s="142" t="s">
        <v>52</v>
      </c>
      <c r="I4090" s="143" t="s">
        <v>8982</v>
      </c>
      <c r="J4090" s="143" t="s">
        <v>104</v>
      </c>
      <c r="K4090" s="144"/>
      <c r="L4090" s="145"/>
      <c r="M4090" s="144"/>
    </row>
    <row r="4091" spans="1:13" ht="15" customHeight="1">
      <c r="A4091" s="146" t="s">
        <v>9426</v>
      </c>
      <c r="B4091" s="146">
        <v>517115</v>
      </c>
      <c r="C4091" s="147" t="s">
        <v>9427</v>
      </c>
      <c r="D4091" s="146" t="s">
        <v>5640</v>
      </c>
      <c r="E4091" s="147" t="s">
        <v>1215</v>
      </c>
      <c r="F4091" s="147" t="s">
        <v>9428</v>
      </c>
      <c r="G4091" s="146" t="s">
        <v>109</v>
      </c>
      <c r="H4091" s="146" t="s">
        <v>52</v>
      </c>
      <c r="I4091" s="147" t="s">
        <v>8982</v>
      </c>
      <c r="J4091" s="147" t="s">
        <v>104</v>
      </c>
      <c r="K4091" s="148"/>
      <c r="L4091" s="149"/>
      <c r="M4091" s="148"/>
    </row>
    <row r="4092" spans="1:13" ht="15" customHeight="1">
      <c r="A4092" s="142" t="s">
        <v>9429</v>
      </c>
      <c r="B4092" s="142">
        <v>517501</v>
      </c>
      <c r="C4092" s="143" t="s">
        <v>2256</v>
      </c>
      <c r="D4092" s="142" t="s">
        <v>5640</v>
      </c>
      <c r="E4092" s="143" t="s">
        <v>1113</v>
      </c>
      <c r="F4092" s="143" t="s">
        <v>9430</v>
      </c>
      <c r="G4092" s="142" t="s">
        <v>109</v>
      </c>
      <c r="H4092" s="142" t="s">
        <v>52</v>
      </c>
      <c r="I4092" s="143" t="s">
        <v>8982</v>
      </c>
      <c r="J4092" s="143" t="s">
        <v>104</v>
      </c>
      <c r="K4092" s="144" t="s">
        <v>121</v>
      </c>
      <c r="L4092" s="145">
        <v>46149</v>
      </c>
      <c r="M4092" s="144"/>
    </row>
    <row r="4093" spans="1:13" ht="15" customHeight="1">
      <c r="A4093" s="146" t="s">
        <v>9431</v>
      </c>
      <c r="B4093" s="146">
        <v>517362</v>
      </c>
      <c r="C4093" s="147" t="s">
        <v>2256</v>
      </c>
      <c r="D4093" s="146" t="s">
        <v>5640</v>
      </c>
      <c r="E4093" s="147" t="s">
        <v>8984</v>
      </c>
      <c r="F4093" s="147" t="s">
        <v>9432</v>
      </c>
      <c r="G4093" s="146" t="s">
        <v>109</v>
      </c>
      <c r="H4093" s="146" t="s">
        <v>52</v>
      </c>
      <c r="I4093" s="147" t="s">
        <v>8982</v>
      </c>
      <c r="J4093" s="147" t="s">
        <v>104</v>
      </c>
      <c r="K4093" s="148"/>
      <c r="L4093" s="149"/>
      <c r="M4093" s="148"/>
    </row>
    <row r="4094" spans="1:13" ht="15" customHeight="1">
      <c r="A4094" s="142" t="s">
        <v>9433</v>
      </c>
      <c r="B4094" s="142">
        <v>517808</v>
      </c>
      <c r="C4094" s="143" t="s">
        <v>2256</v>
      </c>
      <c r="D4094" s="142" t="s">
        <v>6458</v>
      </c>
      <c r="E4094" s="143" t="s">
        <v>9027</v>
      </c>
      <c r="F4094" s="143" t="s">
        <v>9434</v>
      </c>
      <c r="G4094" s="142" t="s">
        <v>109</v>
      </c>
      <c r="H4094" s="142" t="s">
        <v>52</v>
      </c>
      <c r="I4094" s="143" t="s">
        <v>2927</v>
      </c>
      <c r="J4094" s="143" t="s">
        <v>104</v>
      </c>
      <c r="K4094" s="144"/>
      <c r="L4094" s="145"/>
      <c r="M4094" s="144"/>
    </row>
    <row r="4095" spans="1:13" ht="15" customHeight="1">
      <c r="A4095" s="146" t="s">
        <v>9435</v>
      </c>
      <c r="B4095" s="146">
        <v>517478</v>
      </c>
      <c r="C4095" s="147" t="s">
        <v>3500</v>
      </c>
      <c r="D4095" s="146" t="s">
        <v>5640</v>
      </c>
      <c r="E4095" s="147" t="s">
        <v>8984</v>
      </c>
      <c r="F4095" s="147" t="s">
        <v>9436</v>
      </c>
      <c r="G4095" s="146" t="s">
        <v>109</v>
      </c>
      <c r="H4095" s="146" t="s">
        <v>52</v>
      </c>
      <c r="I4095" s="147" t="s">
        <v>8982</v>
      </c>
      <c r="J4095" s="147" t="s">
        <v>104</v>
      </c>
      <c r="K4095" s="148"/>
      <c r="L4095" s="149"/>
      <c r="M4095" s="148"/>
    </row>
    <row r="4096" spans="1:13" ht="15" customHeight="1">
      <c r="A4096" s="142" t="s">
        <v>9437</v>
      </c>
      <c r="B4096" s="142">
        <v>517266</v>
      </c>
      <c r="C4096" s="143" t="s">
        <v>3500</v>
      </c>
      <c r="D4096" s="142" t="s">
        <v>5640</v>
      </c>
      <c r="E4096" s="143" t="s">
        <v>9256</v>
      </c>
      <c r="F4096" s="143" t="s">
        <v>9438</v>
      </c>
      <c r="G4096" s="142" t="s">
        <v>109</v>
      </c>
      <c r="H4096" s="142" t="s">
        <v>52</v>
      </c>
      <c r="I4096" s="143" t="s">
        <v>8982</v>
      </c>
      <c r="J4096" s="143" t="s">
        <v>104</v>
      </c>
      <c r="K4096" s="144"/>
      <c r="L4096" s="145"/>
      <c r="M4096" s="144"/>
    </row>
    <row r="4097" spans="1:13" ht="15" customHeight="1">
      <c r="A4097" s="146" t="s">
        <v>9439</v>
      </c>
      <c r="B4097" s="146">
        <v>517916</v>
      </c>
      <c r="C4097" s="147" t="s">
        <v>3500</v>
      </c>
      <c r="D4097" s="146" t="s">
        <v>6458</v>
      </c>
      <c r="E4097" s="147" t="s">
        <v>9125</v>
      </c>
      <c r="F4097" s="147" t="s">
        <v>9440</v>
      </c>
      <c r="G4097" s="146" t="s">
        <v>109</v>
      </c>
      <c r="H4097" s="146" t="s">
        <v>52</v>
      </c>
      <c r="I4097" s="147" t="s">
        <v>2927</v>
      </c>
      <c r="J4097" s="147" t="s">
        <v>104</v>
      </c>
      <c r="K4097" s="148"/>
      <c r="L4097" s="149"/>
      <c r="M4097" s="148"/>
    </row>
    <row r="4098" spans="1:13" ht="15" customHeight="1">
      <c r="A4098" s="142" t="s">
        <v>9441</v>
      </c>
      <c r="B4098" s="142">
        <v>517813</v>
      </c>
      <c r="C4098" s="143" t="s">
        <v>3500</v>
      </c>
      <c r="D4098" s="142" t="s">
        <v>6458</v>
      </c>
      <c r="E4098" s="143" t="s">
        <v>9157</v>
      </c>
      <c r="F4098" s="143" t="s">
        <v>4755</v>
      </c>
      <c r="G4098" s="142" t="s">
        <v>109</v>
      </c>
      <c r="H4098" s="142" t="s">
        <v>52</v>
      </c>
      <c r="I4098" s="143" t="s">
        <v>2927</v>
      </c>
      <c r="J4098" s="143" t="s">
        <v>104</v>
      </c>
      <c r="K4098" s="144"/>
      <c r="L4098" s="145"/>
      <c r="M4098" s="144"/>
    </row>
    <row r="4099" spans="1:13" ht="15" customHeight="1">
      <c r="A4099" s="146" t="s">
        <v>9442</v>
      </c>
      <c r="B4099" s="146">
        <v>517241</v>
      </c>
      <c r="C4099" s="147" t="s">
        <v>9443</v>
      </c>
      <c r="D4099" s="146" t="s">
        <v>5640</v>
      </c>
      <c r="E4099" s="147" t="s">
        <v>9256</v>
      </c>
      <c r="F4099" s="147" t="s">
        <v>9271</v>
      </c>
      <c r="G4099" s="146" t="s">
        <v>109</v>
      </c>
      <c r="H4099" s="146" t="s">
        <v>52</v>
      </c>
      <c r="I4099" s="147" t="s">
        <v>8982</v>
      </c>
      <c r="J4099" s="147" t="s">
        <v>104</v>
      </c>
      <c r="K4099" s="148"/>
      <c r="L4099" s="149"/>
      <c r="M4099" s="148"/>
    </row>
    <row r="4100" spans="1:13" ht="15" customHeight="1">
      <c r="A4100" s="142" t="s">
        <v>9444</v>
      </c>
      <c r="B4100" s="142">
        <v>517380</v>
      </c>
      <c r="C4100" s="143" t="s">
        <v>9443</v>
      </c>
      <c r="D4100" s="142" t="s">
        <v>5640</v>
      </c>
      <c r="E4100" s="143" t="s">
        <v>9033</v>
      </c>
      <c r="F4100" s="143" t="s">
        <v>9445</v>
      </c>
      <c r="G4100" s="142" t="s">
        <v>109</v>
      </c>
      <c r="H4100" s="142" t="s">
        <v>52</v>
      </c>
      <c r="I4100" s="143" t="s">
        <v>8982</v>
      </c>
      <c r="J4100" s="143" t="s">
        <v>104</v>
      </c>
      <c r="K4100" s="144"/>
      <c r="L4100" s="145"/>
      <c r="M4100" s="144"/>
    </row>
    <row r="4101" spans="1:13" ht="15" customHeight="1">
      <c r="A4101" s="146" t="s">
        <v>9446</v>
      </c>
      <c r="B4101" s="146">
        <v>517797</v>
      </c>
      <c r="C4101" s="147" t="s">
        <v>9447</v>
      </c>
      <c r="D4101" s="146" t="s">
        <v>6458</v>
      </c>
      <c r="E4101" s="147" t="s">
        <v>9448</v>
      </c>
      <c r="F4101" s="147" t="s">
        <v>9449</v>
      </c>
      <c r="G4101" s="146" t="s">
        <v>109</v>
      </c>
      <c r="H4101" s="146" t="s">
        <v>52</v>
      </c>
      <c r="I4101" s="147" t="s">
        <v>2927</v>
      </c>
      <c r="J4101" s="147" t="s">
        <v>104</v>
      </c>
      <c r="K4101" s="148"/>
      <c r="L4101" s="149"/>
      <c r="M4101" s="148"/>
    </row>
    <row r="4102" spans="1:13" ht="15" customHeight="1">
      <c r="A4102" s="142" t="s">
        <v>9450</v>
      </c>
      <c r="B4102" s="142">
        <v>517523</v>
      </c>
      <c r="C4102" s="143" t="s">
        <v>9451</v>
      </c>
      <c r="D4102" s="142" t="s">
        <v>5640</v>
      </c>
      <c r="E4102" s="143" t="s">
        <v>9009</v>
      </c>
      <c r="F4102" s="143" t="s">
        <v>4061</v>
      </c>
      <c r="G4102" s="142" t="s">
        <v>109</v>
      </c>
      <c r="H4102" s="142" t="s">
        <v>52</v>
      </c>
      <c r="I4102" s="143" t="s">
        <v>8982</v>
      </c>
      <c r="J4102" s="143" t="s">
        <v>104</v>
      </c>
      <c r="K4102" s="144"/>
      <c r="L4102" s="145"/>
      <c r="M4102" s="144"/>
    </row>
    <row r="4103" spans="1:13" ht="15" customHeight="1">
      <c r="A4103" s="146" t="s">
        <v>9452</v>
      </c>
      <c r="B4103" s="146">
        <v>518645</v>
      </c>
      <c r="C4103" s="147" t="s">
        <v>9453</v>
      </c>
      <c r="D4103" s="146" t="s">
        <v>7142</v>
      </c>
      <c r="E4103" s="147" t="s">
        <v>9056</v>
      </c>
      <c r="F4103" s="147" t="s">
        <v>9454</v>
      </c>
      <c r="G4103" s="146" t="s">
        <v>109</v>
      </c>
      <c r="H4103" s="146" t="s">
        <v>52</v>
      </c>
      <c r="I4103" s="147" t="s">
        <v>2927</v>
      </c>
      <c r="J4103" s="147" t="s">
        <v>104</v>
      </c>
      <c r="K4103" s="148" t="s">
        <v>121</v>
      </c>
      <c r="L4103" s="149">
        <v>46148</v>
      </c>
      <c r="M4103" s="148"/>
    </row>
    <row r="4104" spans="1:13" ht="15" customHeight="1">
      <c r="A4104" s="142" t="s">
        <v>9455</v>
      </c>
      <c r="B4104" s="142">
        <v>517421</v>
      </c>
      <c r="C4104" s="143" t="s">
        <v>2265</v>
      </c>
      <c r="D4104" s="142" t="s">
        <v>5640</v>
      </c>
      <c r="E4104" s="143" t="s">
        <v>9030</v>
      </c>
      <c r="F4104" s="143" t="s">
        <v>9456</v>
      </c>
      <c r="G4104" s="142" t="s">
        <v>109</v>
      </c>
      <c r="H4104" s="142" t="s">
        <v>52</v>
      </c>
      <c r="I4104" s="143" t="s">
        <v>8982</v>
      </c>
      <c r="J4104" s="143" t="s">
        <v>104</v>
      </c>
      <c r="K4104" s="144"/>
      <c r="L4104" s="145"/>
      <c r="M4104" s="144"/>
    </row>
    <row r="4105" spans="1:13" ht="15" customHeight="1">
      <c r="A4105" s="146" t="s">
        <v>9457</v>
      </c>
      <c r="B4105" s="146">
        <v>517782</v>
      </c>
      <c r="C4105" s="147" t="s">
        <v>9458</v>
      </c>
      <c r="D4105" s="146" t="s">
        <v>6458</v>
      </c>
      <c r="E4105" s="147" t="s">
        <v>9125</v>
      </c>
      <c r="F4105" s="147" t="s">
        <v>9459</v>
      </c>
      <c r="G4105" s="146" t="s">
        <v>102</v>
      </c>
      <c r="H4105" s="146" t="s">
        <v>52</v>
      </c>
      <c r="I4105" s="147" t="s">
        <v>2927</v>
      </c>
      <c r="J4105" s="147" t="s">
        <v>104</v>
      </c>
      <c r="K4105" s="148"/>
      <c r="L4105" s="149"/>
      <c r="M4105" s="148"/>
    </row>
    <row r="4106" spans="1:13" ht="15" customHeight="1">
      <c r="A4106" s="142" t="s">
        <v>9460</v>
      </c>
      <c r="B4106" s="142">
        <v>517142</v>
      </c>
      <c r="C4106" s="143" t="s">
        <v>9461</v>
      </c>
      <c r="D4106" s="142" t="s">
        <v>5640</v>
      </c>
      <c r="E4106" s="143" t="s">
        <v>9063</v>
      </c>
      <c r="F4106" s="143" t="s">
        <v>9462</v>
      </c>
      <c r="G4106" s="142" t="s">
        <v>109</v>
      </c>
      <c r="H4106" s="142" t="s">
        <v>52</v>
      </c>
      <c r="I4106" s="143" t="s">
        <v>8982</v>
      </c>
      <c r="J4106" s="143" t="s">
        <v>104</v>
      </c>
      <c r="K4106" s="144"/>
      <c r="L4106" s="145"/>
      <c r="M4106" s="144"/>
    </row>
    <row r="4107" spans="1:13" ht="15" customHeight="1">
      <c r="A4107" s="146" t="s">
        <v>9463</v>
      </c>
      <c r="B4107" s="146">
        <v>518077</v>
      </c>
      <c r="C4107" s="147" t="s">
        <v>3369</v>
      </c>
      <c r="D4107" s="146" t="s">
        <v>5640</v>
      </c>
      <c r="E4107" s="147" t="s">
        <v>5803</v>
      </c>
      <c r="F4107" s="147" t="s">
        <v>9300</v>
      </c>
      <c r="G4107" s="146" t="s">
        <v>109</v>
      </c>
      <c r="H4107" s="146" t="s">
        <v>52</v>
      </c>
      <c r="I4107" s="147" t="s">
        <v>8982</v>
      </c>
      <c r="J4107" s="147" t="s">
        <v>104</v>
      </c>
      <c r="K4107" s="148"/>
      <c r="L4107" s="149"/>
      <c r="M4107" s="148"/>
    </row>
    <row r="4108" spans="1:13" ht="15" customHeight="1">
      <c r="A4108" s="142" t="s">
        <v>9464</v>
      </c>
      <c r="B4108" s="142">
        <v>517456</v>
      </c>
      <c r="C4108" s="143" t="s">
        <v>3369</v>
      </c>
      <c r="D4108" s="142" t="s">
        <v>5640</v>
      </c>
      <c r="E4108" s="143" t="s">
        <v>1113</v>
      </c>
      <c r="F4108" s="143" t="s">
        <v>9465</v>
      </c>
      <c r="G4108" s="142" t="s">
        <v>102</v>
      </c>
      <c r="H4108" s="142" t="s">
        <v>52</v>
      </c>
      <c r="I4108" s="143" t="s">
        <v>8982</v>
      </c>
      <c r="J4108" s="143" t="s">
        <v>104</v>
      </c>
      <c r="K4108" s="144" t="s">
        <v>121</v>
      </c>
      <c r="L4108" s="145">
        <v>46149</v>
      </c>
      <c r="M4108" s="144"/>
    </row>
    <row r="4109" spans="1:13" ht="15" customHeight="1">
      <c r="A4109" s="146" t="s">
        <v>9466</v>
      </c>
      <c r="B4109" s="146">
        <v>517216</v>
      </c>
      <c r="C4109" s="147" t="s">
        <v>6470</v>
      </c>
      <c r="D4109" s="146" t="s">
        <v>5640</v>
      </c>
      <c r="E4109" s="147" t="s">
        <v>9004</v>
      </c>
      <c r="F4109" s="147" t="s">
        <v>9467</v>
      </c>
      <c r="G4109" s="146" t="s">
        <v>109</v>
      </c>
      <c r="H4109" s="146" t="s">
        <v>52</v>
      </c>
      <c r="I4109" s="147" t="s">
        <v>8982</v>
      </c>
      <c r="J4109" s="147" t="s">
        <v>104</v>
      </c>
      <c r="K4109" s="148"/>
      <c r="L4109" s="149"/>
      <c r="M4109" s="148"/>
    </row>
    <row r="4110" spans="1:13" ht="15" customHeight="1">
      <c r="A4110" s="142" t="s">
        <v>9468</v>
      </c>
      <c r="B4110" s="142">
        <v>517862</v>
      </c>
      <c r="C4110" s="143" t="s">
        <v>6470</v>
      </c>
      <c r="D4110" s="142" t="s">
        <v>6458</v>
      </c>
      <c r="E4110" s="143" t="s">
        <v>9142</v>
      </c>
      <c r="F4110" s="143" t="s">
        <v>5022</v>
      </c>
      <c r="G4110" s="142" t="s">
        <v>109</v>
      </c>
      <c r="H4110" s="142" t="s">
        <v>52</v>
      </c>
      <c r="I4110" s="143" t="s">
        <v>2927</v>
      </c>
      <c r="J4110" s="143" t="s">
        <v>104</v>
      </c>
      <c r="K4110" s="144"/>
      <c r="L4110" s="145"/>
      <c r="M4110" s="144"/>
    </row>
    <row r="4111" spans="1:13" ht="15" customHeight="1">
      <c r="A4111" s="146" t="s">
        <v>9469</v>
      </c>
      <c r="B4111" s="146">
        <v>517805</v>
      </c>
      <c r="C4111" s="147" t="s">
        <v>6470</v>
      </c>
      <c r="D4111" s="146" t="s">
        <v>6458</v>
      </c>
      <c r="E4111" s="147" t="s">
        <v>9335</v>
      </c>
      <c r="F4111" s="147" t="s">
        <v>1086</v>
      </c>
      <c r="G4111" s="146" t="s">
        <v>109</v>
      </c>
      <c r="H4111" s="146" t="s">
        <v>52</v>
      </c>
      <c r="I4111" s="147" t="s">
        <v>2927</v>
      </c>
      <c r="J4111" s="147" t="s">
        <v>104</v>
      </c>
      <c r="K4111" s="148"/>
      <c r="L4111" s="149"/>
      <c r="M4111" s="148"/>
    </row>
    <row r="4112" spans="1:13" ht="15" customHeight="1">
      <c r="A4112" s="142" t="s">
        <v>9470</v>
      </c>
      <c r="B4112" s="142">
        <v>517893</v>
      </c>
      <c r="C4112" s="143" t="s">
        <v>1337</v>
      </c>
      <c r="D4112" s="142" t="s">
        <v>6458</v>
      </c>
      <c r="E4112" s="143" t="s">
        <v>9094</v>
      </c>
      <c r="F4112" s="143" t="s">
        <v>9471</v>
      </c>
      <c r="G4112" s="142" t="s">
        <v>109</v>
      </c>
      <c r="H4112" s="142" t="s">
        <v>52</v>
      </c>
      <c r="I4112" s="143" t="s">
        <v>2927</v>
      </c>
      <c r="J4112" s="143" t="s">
        <v>104</v>
      </c>
      <c r="K4112" s="144"/>
      <c r="L4112" s="145"/>
      <c r="M4112" s="144"/>
    </row>
    <row r="4113" spans="1:13" ht="15" customHeight="1">
      <c r="A4113" s="146" t="s">
        <v>9472</v>
      </c>
      <c r="B4113" s="146">
        <v>517876</v>
      </c>
      <c r="C4113" s="147" t="s">
        <v>1337</v>
      </c>
      <c r="D4113" s="146" t="s">
        <v>6458</v>
      </c>
      <c r="E4113" s="147" t="s">
        <v>9038</v>
      </c>
      <c r="F4113" s="147" t="s">
        <v>9473</v>
      </c>
      <c r="G4113" s="146" t="s">
        <v>109</v>
      </c>
      <c r="H4113" s="146" t="s">
        <v>52</v>
      </c>
      <c r="I4113" s="147" t="s">
        <v>2927</v>
      </c>
      <c r="J4113" s="147" t="s">
        <v>104</v>
      </c>
      <c r="K4113" s="148" t="s">
        <v>121</v>
      </c>
      <c r="L4113" s="149">
        <v>46147</v>
      </c>
      <c r="M4113" s="148"/>
    </row>
    <row r="4114" spans="1:13" ht="15" customHeight="1">
      <c r="A4114" s="142" t="s">
        <v>9474</v>
      </c>
      <c r="B4114" s="142">
        <v>517892</v>
      </c>
      <c r="C4114" s="143" t="s">
        <v>9475</v>
      </c>
      <c r="D4114" s="142" t="s">
        <v>6458</v>
      </c>
      <c r="E4114" s="143" t="s">
        <v>9036</v>
      </c>
      <c r="F4114" s="143" t="s">
        <v>9476</v>
      </c>
      <c r="G4114" s="142" t="s">
        <v>109</v>
      </c>
      <c r="H4114" s="142" t="s">
        <v>52</v>
      </c>
      <c r="I4114" s="143" t="s">
        <v>2927</v>
      </c>
      <c r="J4114" s="143" t="s">
        <v>104</v>
      </c>
      <c r="K4114" s="144"/>
      <c r="L4114" s="145"/>
      <c r="M4114" s="144"/>
    </row>
    <row r="4115" spans="1:13" ht="15" customHeight="1">
      <c r="A4115" s="146" t="s">
        <v>9477</v>
      </c>
      <c r="B4115" s="146">
        <v>517835</v>
      </c>
      <c r="C4115" s="147" t="s">
        <v>9478</v>
      </c>
      <c r="D4115" s="146" t="s">
        <v>5640</v>
      </c>
      <c r="E4115" s="147" t="s">
        <v>3243</v>
      </c>
      <c r="F4115" s="147" t="s">
        <v>9479</v>
      </c>
      <c r="G4115" s="146" t="s">
        <v>109</v>
      </c>
      <c r="H4115" s="146" t="s">
        <v>52</v>
      </c>
      <c r="I4115" s="147" t="s">
        <v>8982</v>
      </c>
      <c r="J4115" s="147" t="s">
        <v>104</v>
      </c>
      <c r="K4115" s="148"/>
      <c r="L4115" s="149"/>
      <c r="M4115" s="148"/>
    </row>
    <row r="4116" spans="1:13" ht="15" customHeight="1">
      <c r="A4116" s="142" t="s">
        <v>9480</v>
      </c>
      <c r="B4116" s="142">
        <v>517153</v>
      </c>
      <c r="C4116" s="143" t="s">
        <v>1086</v>
      </c>
      <c r="D4116" s="142" t="s">
        <v>5640</v>
      </c>
      <c r="E4116" s="143" t="s">
        <v>9229</v>
      </c>
      <c r="F4116" s="143" t="s">
        <v>2756</v>
      </c>
      <c r="G4116" s="142" t="s">
        <v>109</v>
      </c>
      <c r="H4116" s="142" t="s">
        <v>52</v>
      </c>
      <c r="I4116" s="143" t="s">
        <v>8982</v>
      </c>
      <c r="J4116" s="143" t="s">
        <v>104</v>
      </c>
      <c r="K4116" s="144"/>
      <c r="L4116" s="145"/>
      <c r="M4116" s="144"/>
    </row>
    <row r="4117" spans="1:13" ht="15" customHeight="1">
      <c r="A4117" s="146" t="s">
        <v>9481</v>
      </c>
      <c r="B4117" s="146">
        <v>517882</v>
      </c>
      <c r="C4117" s="147" t="s">
        <v>1086</v>
      </c>
      <c r="D4117" s="146" t="s">
        <v>6458</v>
      </c>
      <c r="E4117" s="147" t="s">
        <v>9036</v>
      </c>
      <c r="F4117" s="147" t="s">
        <v>9482</v>
      </c>
      <c r="G4117" s="146" t="s">
        <v>109</v>
      </c>
      <c r="H4117" s="146" t="s">
        <v>52</v>
      </c>
      <c r="I4117" s="147" t="s">
        <v>2927</v>
      </c>
      <c r="J4117" s="147" t="s">
        <v>104</v>
      </c>
      <c r="K4117" s="148"/>
      <c r="L4117" s="149"/>
      <c r="M4117" s="148"/>
    </row>
    <row r="4118" spans="1:13" ht="15" customHeight="1">
      <c r="A4118" s="142" t="s">
        <v>9483</v>
      </c>
      <c r="B4118" s="142">
        <v>517327</v>
      </c>
      <c r="C4118" s="143" t="s">
        <v>348</v>
      </c>
      <c r="D4118" s="142" t="s">
        <v>5640</v>
      </c>
      <c r="E4118" s="143" t="s">
        <v>9295</v>
      </c>
      <c r="F4118" s="143" t="s">
        <v>9295</v>
      </c>
      <c r="G4118" s="142" t="s">
        <v>109</v>
      </c>
      <c r="H4118" s="142" t="s">
        <v>52</v>
      </c>
      <c r="I4118" s="143" t="s">
        <v>8982</v>
      </c>
      <c r="J4118" s="143" t="s">
        <v>104</v>
      </c>
      <c r="K4118" s="144"/>
      <c r="L4118" s="145"/>
      <c r="M4118" s="144"/>
    </row>
    <row r="4119" spans="1:13" ht="15" customHeight="1">
      <c r="A4119" s="146" t="s">
        <v>9484</v>
      </c>
      <c r="B4119" s="146">
        <v>517786</v>
      </c>
      <c r="C4119" s="147" t="s">
        <v>348</v>
      </c>
      <c r="D4119" s="146" t="s">
        <v>6458</v>
      </c>
      <c r="E4119" s="147" t="s">
        <v>9321</v>
      </c>
      <c r="F4119" s="147" t="s">
        <v>9485</v>
      </c>
      <c r="G4119" s="146" t="s">
        <v>109</v>
      </c>
      <c r="H4119" s="146" t="s">
        <v>52</v>
      </c>
      <c r="I4119" s="147" t="s">
        <v>2927</v>
      </c>
      <c r="J4119" s="147" t="s">
        <v>104</v>
      </c>
      <c r="K4119" s="148"/>
      <c r="L4119" s="149"/>
      <c r="M4119" s="148"/>
    </row>
    <row r="4120" spans="1:13" ht="15" customHeight="1">
      <c r="A4120" s="142" t="s">
        <v>9486</v>
      </c>
      <c r="B4120" s="142">
        <v>517814</v>
      </c>
      <c r="C4120" s="143" t="s">
        <v>348</v>
      </c>
      <c r="D4120" s="142" t="s">
        <v>6458</v>
      </c>
      <c r="E4120" s="143" t="s">
        <v>9044</v>
      </c>
      <c r="F4120" s="143" t="s">
        <v>9487</v>
      </c>
      <c r="G4120" s="142" t="s">
        <v>109</v>
      </c>
      <c r="H4120" s="142" t="s">
        <v>52</v>
      </c>
      <c r="I4120" s="143" t="s">
        <v>2927</v>
      </c>
      <c r="J4120" s="143" t="s">
        <v>104</v>
      </c>
      <c r="K4120" s="144"/>
      <c r="L4120" s="145"/>
      <c r="M4120" s="144"/>
    </row>
    <row r="4121" spans="1:13" ht="15" customHeight="1">
      <c r="A4121" s="146" t="s">
        <v>9488</v>
      </c>
      <c r="B4121" s="146">
        <v>517168</v>
      </c>
      <c r="C4121" s="147" t="s">
        <v>4977</v>
      </c>
      <c r="D4121" s="146" t="s">
        <v>5640</v>
      </c>
      <c r="E4121" s="147" t="s">
        <v>9074</v>
      </c>
      <c r="F4121" s="147" t="s">
        <v>9489</v>
      </c>
      <c r="G4121" s="146" t="s">
        <v>109</v>
      </c>
      <c r="H4121" s="146" t="s">
        <v>52</v>
      </c>
      <c r="I4121" s="147" t="s">
        <v>8982</v>
      </c>
      <c r="J4121" s="147" t="s">
        <v>104</v>
      </c>
      <c r="K4121" s="148"/>
      <c r="L4121" s="149"/>
      <c r="M4121" s="148"/>
    </row>
    <row r="4122" spans="1:13" ht="15" customHeight="1">
      <c r="A4122" s="142" t="s">
        <v>9490</v>
      </c>
      <c r="B4122" s="142">
        <v>521596</v>
      </c>
      <c r="C4122" s="143" t="s">
        <v>4977</v>
      </c>
      <c r="D4122" s="142" t="s">
        <v>5640</v>
      </c>
      <c r="E4122" s="143" t="s">
        <v>3023</v>
      </c>
      <c r="F4122" s="143" t="s">
        <v>9491</v>
      </c>
      <c r="G4122" s="142" t="s">
        <v>109</v>
      </c>
      <c r="H4122" s="142" t="s">
        <v>52</v>
      </c>
      <c r="I4122" s="143" t="s">
        <v>8982</v>
      </c>
      <c r="J4122" s="143" t="s">
        <v>104</v>
      </c>
      <c r="K4122" s="144"/>
      <c r="L4122" s="145"/>
      <c r="M4122" s="144"/>
    </row>
    <row r="4123" spans="1:13" ht="15" customHeight="1">
      <c r="A4123" s="146" t="s">
        <v>9492</v>
      </c>
      <c r="B4123" s="146">
        <v>517402</v>
      </c>
      <c r="C4123" s="147" t="s">
        <v>9493</v>
      </c>
      <c r="D4123" s="146" t="s">
        <v>5640</v>
      </c>
      <c r="E4123" s="147" t="s">
        <v>9030</v>
      </c>
      <c r="F4123" s="147" t="s">
        <v>9494</v>
      </c>
      <c r="G4123" s="146" t="s">
        <v>109</v>
      </c>
      <c r="H4123" s="146" t="s">
        <v>52</v>
      </c>
      <c r="I4123" s="147" t="s">
        <v>8982</v>
      </c>
      <c r="J4123" s="147" t="s">
        <v>104</v>
      </c>
      <c r="K4123" s="148"/>
      <c r="L4123" s="149"/>
      <c r="M4123" s="148"/>
    </row>
    <row r="4124" spans="1:13" ht="15" customHeight="1">
      <c r="A4124" s="142" t="s">
        <v>9495</v>
      </c>
      <c r="B4124" s="142">
        <v>517933</v>
      </c>
      <c r="C4124" s="143" t="s">
        <v>3570</v>
      </c>
      <c r="D4124" s="142" t="s">
        <v>6458</v>
      </c>
      <c r="E4124" s="143" t="s">
        <v>8976</v>
      </c>
      <c r="F4124" s="143" t="s">
        <v>9496</v>
      </c>
      <c r="G4124" s="142" t="s">
        <v>109</v>
      </c>
      <c r="H4124" s="142" t="s">
        <v>52</v>
      </c>
      <c r="I4124" s="143" t="s">
        <v>2927</v>
      </c>
      <c r="J4124" s="143" t="s">
        <v>104</v>
      </c>
      <c r="K4124" s="144"/>
      <c r="L4124" s="145"/>
      <c r="M4124" s="144"/>
    </row>
    <row r="4125" spans="1:13" ht="15" customHeight="1">
      <c r="A4125" s="146" t="s">
        <v>9497</v>
      </c>
      <c r="B4125" s="146">
        <v>517865</v>
      </c>
      <c r="C4125" s="147" t="s">
        <v>3570</v>
      </c>
      <c r="D4125" s="146" t="s">
        <v>6458</v>
      </c>
      <c r="E4125" s="147" t="s">
        <v>9335</v>
      </c>
      <c r="F4125" s="147" t="s">
        <v>9498</v>
      </c>
      <c r="G4125" s="146" t="s">
        <v>109</v>
      </c>
      <c r="H4125" s="146" t="s">
        <v>52</v>
      </c>
      <c r="I4125" s="147" t="s">
        <v>2927</v>
      </c>
      <c r="J4125" s="147" t="s">
        <v>104</v>
      </c>
      <c r="K4125" s="148"/>
      <c r="L4125" s="149"/>
      <c r="M4125" s="148"/>
    </row>
    <row r="4126" spans="1:13" ht="15" customHeight="1">
      <c r="A4126" s="142" t="s">
        <v>9499</v>
      </c>
      <c r="B4126" s="142">
        <v>517221</v>
      </c>
      <c r="C4126" s="143" t="s">
        <v>3570</v>
      </c>
      <c r="D4126" s="142" t="s">
        <v>5640</v>
      </c>
      <c r="E4126" s="143" t="s">
        <v>9004</v>
      </c>
      <c r="F4126" s="143" t="s">
        <v>9500</v>
      </c>
      <c r="G4126" s="142" t="s">
        <v>102</v>
      </c>
      <c r="H4126" s="142" t="s">
        <v>52</v>
      </c>
      <c r="I4126" s="143" t="s">
        <v>8982</v>
      </c>
      <c r="J4126" s="143" t="s">
        <v>104</v>
      </c>
      <c r="K4126" s="144"/>
      <c r="L4126" s="145"/>
      <c r="M4126" s="144"/>
    </row>
    <row r="4127" spans="1:13" ht="15" customHeight="1">
      <c r="A4127" s="146" t="s">
        <v>9501</v>
      </c>
      <c r="B4127" s="146">
        <v>517849</v>
      </c>
      <c r="C4127" s="147" t="s">
        <v>6493</v>
      </c>
      <c r="D4127" s="146" t="s">
        <v>6458</v>
      </c>
      <c r="E4127" s="147" t="s">
        <v>5294</v>
      </c>
      <c r="F4127" s="147" t="s">
        <v>9502</v>
      </c>
      <c r="G4127" s="146" t="s">
        <v>109</v>
      </c>
      <c r="H4127" s="146" t="s">
        <v>52</v>
      </c>
      <c r="I4127" s="147" t="s">
        <v>2927</v>
      </c>
      <c r="J4127" s="147" t="s">
        <v>104</v>
      </c>
      <c r="K4127" s="148"/>
      <c r="L4127" s="149"/>
      <c r="M4127" s="148"/>
    </row>
    <row r="4128" spans="1:13" ht="15" customHeight="1">
      <c r="A4128" s="142" t="s">
        <v>9503</v>
      </c>
      <c r="B4128" s="142">
        <v>517818</v>
      </c>
      <c r="C4128" s="143" t="s">
        <v>6493</v>
      </c>
      <c r="D4128" s="142" t="s">
        <v>6458</v>
      </c>
      <c r="E4128" s="143" t="s">
        <v>8987</v>
      </c>
      <c r="F4128" s="143" t="s">
        <v>9504</v>
      </c>
      <c r="G4128" s="142" t="s">
        <v>109</v>
      </c>
      <c r="H4128" s="142" t="s">
        <v>52</v>
      </c>
      <c r="I4128" s="143" t="s">
        <v>2927</v>
      </c>
      <c r="J4128" s="143" t="s">
        <v>104</v>
      </c>
      <c r="K4128" s="144"/>
      <c r="L4128" s="145"/>
      <c r="M4128" s="144"/>
    </row>
    <row r="4129" spans="1:13" ht="15" customHeight="1">
      <c r="A4129" s="146" t="s">
        <v>9505</v>
      </c>
      <c r="B4129" s="146">
        <v>517967</v>
      </c>
      <c r="C4129" s="147" t="s">
        <v>9506</v>
      </c>
      <c r="D4129" s="146" t="s">
        <v>6458</v>
      </c>
      <c r="E4129" s="147" t="s">
        <v>9335</v>
      </c>
      <c r="F4129" s="147" t="s">
        <v>9507</v>
      </c>
      <c r="G4129" s="146" t="s">
        <v>109</v>
      </c>
      <c r="H4129" s="146" t="s">
        <v>52</v>
      </c>
      <c r="I4129" s="147" t="s">
        <v>2927</v>
      </c>
      <c r="J4129" s="147" t="s">
        <v>104</v>
      </c>
      <c r="K4129" s="148"/>
      <c r="L4129" s="149"/>
      <c r="M4129" s="148"/>
    </row>
    <row r="4130" spans="1:13" ht="15" customHeight="1">
      <c r="A4130" s="142" t="s">
        <v>9508</v>
      </c>
      <c r="B4130" s="142">
        <v>517864</v>
      </c>
      <c r="C4130" s="143" t="s">
        <v>9509</v>
      </c>
      <c r="D4130" s="142" t="s">
        <v>6458</v>
      </c>
      <c r="E4130" s="143" t="s">
        <v>9142</v>
      </c>
      <c r="F4130" s="143" t="s">
        <v>9510</v>
      </c>
      <c r="G4130" s="142" t="s">
        <v>109</v>
      </c>
      <c r="H4130" s="142" t="s">
        <v>52</v>
      </c>
      <c r="I4130" s="143" t="s">
        <v>2927</v>
      </c>
      <c r="J4130" s="143" t="s">
        <v>104</v>
      </c>
      <c r="K4130" s="144"/>
      <c r="L4130" s="145"/>
      <c r="M4130" s="144"/>
    </row>
    <row r="4131" spans="1:13" ht="15" customHeight="1">
      <c r="A4131" s="146" t="s">
        <v>9511</v>
      </c>
      <c r="B4131" s="146">
        <v>517239</v>
      </c>
      <c r="C4131" s="147" t="s">
        <v>9512</v>
      </c>
      <c r="D4131" s="146" t="s">
        <v>5640</v>
      </c>
      <c r="E4131" s="147" t="s">
        <v>9268</v>
      </c>
      <c r="F4131" s="147" t="s">
        <v>9513</v>
      </c>
      <c r="G4131" s="146" t="s">
        <v>109</v>
      </c>
      <c r="H4131" s="146" t="s">
        <v>52</v>
      </c>
      <c r="I4131" s="147" t="s">
        <v>8982</v>
      </c>
      <c r="J4131" s="147" t="s">
        <v>104</v>
      </c>
      <c r="K4131" s="148"/>
      <c r="L4131" s="149"/>
      <c r="M4131" s="148"/>
    </row>
    <row r="4132" spans="1:13" ht="15" customHeight="1">
      <c r="A4132" s="142" t="s">
        <v>9514</v>
      </c>
      <c r="B4132" s="142">
        <v>517884</v>
      </c>
      <c r="C4132" s="143" t="s">
        <v>9515</v>
      </c>
      <c r="D4132" s="142" t="s">
        <v>5640</v>
      </c>
      <c r="E4132" s="143" t="s">
        <v>9516</v>
      </c>
      <c r="F4132" s="143" t="s">
        <v>9517</v>
      </c>
      <c r="G4132" s="142" t="s">
        <v>109</v>
      </c>
      <c r="H4132" s="142" t="s">
        <v>52</v>
      </c>
      <c r="I4132" s="143" t="s">
        <v>8982</v>
      </c>
      <c r="J4132" s="143" t="s">
        <v>104</v>
      </c>
      <c r="K4132" s="144"/>
      <c r="L4132" s="145"/>
      <c r="M4132" s="144"/>
    </row>
    <row r="4133" spans="1:13" ht="15" customHeight="1">
      <c r="A4133" s="146" t="s">
        <v>9518</v>
      </c>
      <c r="B4133" s="146">
        <v>517498</v>
      </c>
      <c r="C4133" s="147" t="s">
        <v>5001</v>
      </c>
      <c r="D4133" s="146" t="s">
        <v>5640</v>
      </c>
      <c r="E4133" s="147" t="s">
        <v>9103</v>
      </c>
      <c r="F4133" s="147" t="s">
        <v>9519</v>
      </c>
      <c r="G4133" s="146" t="s">
        <v>109</v>
      </c>
      <c r="H4133" s="146" t="s">
        <v>52</v>
      </c>
      <c r="I4133" s="147" t="s">
        <v>8982</v>
      </c>
      <c r="J4133" s="147" t="s">
        <v>104</v>
      </c>
      <c r="K4133" s="148"/>
      <c r="L4133" s="149"/>
      <c r="M4133" s="148"/>
    </row>
    <row r="4134" spans="1:13" ht="15" customHeight="1">
      <c r="A4134" s="142" t="s">
        <v>9520</v>
      </c>
      <c r="B4134" s="142">
        <v>517204</v>
      </c>
      <c r="C4134" s="143" t="s">
        <v>9521</v>
      </c>
      <c r="D4134" s="142" t="s">
        <v>5640</v>
      </c>
      <c r="E4134" s="143" t="s">
        <v>8980</v>
      </c>
      <c r="F4134" s="143" t="s">
        <v>9522</v>
      </c>
      <c r="G4134" s="142" t="s">
        <v>109</v>
      </c>
      <c r="H4134" s="142" t="s">
        <v>52</v>
      </c>
      <c r="I4134" s="143" t="s">
        <v>8982</v>
      </c>
      <c r="J4134" s="143" t="s">
        <v>104</v>
      </c>
      <c r="K4134" s="144" t="s">
        <v>121</v>
      </c>
      <c r="L4134" s="145">
        <v>46149</v>
      </c>
      <c r="M4134" s="144"/>
    </row>
    <row r="4135" spans="1:13" ht="15" customHeight="1">
      <c r="A4135" s="146" t="s">
        <v>7188</v>
      </c>
      <c r="B4135" s="146">
        <v>518749</v>
      </c>
      <c r="C4135" s="147" t="s">
        <v>7189</v>
      </c>
      <c r="D4135" s="146" t="s">
        <v>7142</v>
      </c>
      <c r="E4135" s="147" t="s">
        <v>7190</v>
      </c>
      <c r="F4135" s="147" t="s">
        <v>7191</v>
      </c>
      <c r="G4135" s="146" t="s">
        <v>109</v>
      </c>
      <c r="H4135" s="146" t="s">
        <v>52</v>
      </c>
      <c r="I4135" s="147" t="s">
        <v>2927</v>
      </c>
      <c r="J4135" s="147" t="s">
        <v>104</v>
      </c>
      <c r="K4135" s="148"/>
      <c r="L4135" s="149"/>
      <c r="M4135" s="148"/>
    </row>
    <row r="4136" spans="1:13" ht="15" customHeight="1">
      <c r="A4136" s="142" t="s">
        <v>9523</v>
      </c>
      <c r="B4136" s="142">
        <v>517446</v>
      </c>
      <c r="C4136" s="143" t="s">
        <v>9524</v>
      </c>
      <c r="D4136" s="142" t="s">
        <v>5640</v>
      </c>
      <c r="E4136" s="143" t="s">
        <v>9063</v>
      </c>
      <c r="F4136" s="143" t="s">
        <v>9525</v>
      </c>
      <c r="G4136" s="142" t="s">
        <v>109</v>
      </c>
      <c r="H4136" s="142" t="s">
        <v>52</v>
      </c>
      <c r="I4136" s="143" t="s">
        <v>8982</v>
      </c>
      <c r="J4136" s="143" t="s">
        <v>104</v>
      </c>
      <c r="K4136" s="144"/>
      <c r="L4136" s="145"/>
      <c r="M4136" s="144"/>
    </row>
    <row r="4137" spans="1:13" ht="15" customHeight="1">
      <c r="A4137" s="146" t="s">
        <v>9526</v>
      </c>
      <c r="B4137" s="146">
        <v>517494</v>
      </c>
      <c r="C4137" s="147" t="s">
        <v>9527</v>
      </c>
      <c r="D4137" s="146" t="s">
        <v>5640</v>
      </c>
      <c r="E4137" s="147" t="s">
        <v>4402</v>
      </c>
      <c r="F4137" s="147" t="s">
        <v>4402</v>
      </c>
      <c r="G4137" s="146" t="s">
        <v>109</v>
      </c>
      <c r="H4137" s="146" t="s">
        <v>52</v>
      </c>
      <c r="I4137" s="147" t="s">
        <v>8982</v>
      </c>
      <c r="J4137" s="147" t="s">
        <v>104</v>
      </c>
      <c r="K4137" s="148"/>
      <c r="L4137" s="149"/>
      <c r="M4137" s="148"/>
    </row>
    <row r="4138" spans="1:13" ht="15" customHeight="1">
      <c r="A4138" s="142" t="s">
        <v>9528</v>
      </c>
      <c r="B4138" s="142">
        <v>518428</v>
      </c>
      <c r="C4138" s="143" t="s">
        <v>6693</v>
      </c>
      <c r="D4138" s="142" t="s">
        <v>6458</v>
      </c>
      <c r="E4138" s="143" t="s">
        <v>9142</v>
      </c>
      <c r="F4138" s="143" t="s">
        <v>9341</v>
      </c>
      <c r="G4138" s="142" t="s">
        <v>109</v>
      </c>
      <c r="H4138" s="142" t="s">
        <v>52</v>
      </c>
      <c r="I4138" s="143" t="s">
        <v>2927</v>
      </c>
      <c r="J4138" s="143" t="s">
        <v>104</v>
      </c>
      <c r="K4138" s="144"/>
      <c r="L4138" s="145"/>
      <c r="M4138" s="144"/>
    </row>
    <row r="4139" spans="1:13" ht="15" customHeight="1">
      <c r="A4139" s="146" t="s">
        <v>9529</v>
      </c>
      <c r="B4139" s="146">
        <v>517447</v>
      </c>
      <c r="C4139" s="147" t="s">
        <v>9530</v>
      </c>
      <c r="D4139" s="146" t="s">
        <v>5640</v>
      </c>
      <c r="E4139" s="147" t="s">
        <v>9279</v>
      </c>
      <c r="F4139" s="147" t="s">
        <v>1292</v>
      </c>
      <c r="G4139" s="146" t="s">
        <v>109</v>
      </c>
      <c r="H4139" s="146" t="s">
        <v>52</v>
      </c>
      <c r="I4139" s="147" t="s">
        <v>8982</v>
      </c>
      <c r="J4139" s="147" t="s">
        <v>104</v>
      </c>
      <c r="K4139" s="148"/>
      <c r="L4139" s="149"/>
      <c r="M4139" s="148"/>
    </row>
    <row r="4140" spans="1:13" ht="15" customHeight="1">
      <c r="A4140" s="142" t="s">
        <v>9531</v>
      </c>
      <c r="B4140" s="142">
        <v>517528</v>
      </c>
      <c r="C4140" s="143" t="s">
        <v>9532</v>
      </c>
      <c r="D4140" s="142" t="s">
        <v>5640</v>
      </c>
      <c r="E4140" s="143" t="s">
        <v>9513</v>
      </c>
      <c r="F4140" s="143" t="s">
        <v>4397</v>
      </c>
      <c r="G4140" s="142" t="s">
        <v>109</v>
      </c>
      <c r="H4140" s="142" t="s">
        <v>52</v>
      </c>
      <c r="I4140" s="143" t="s">
        <v>8982</v>
      </c>
      <c r="J4140" s="143" t="s">
        <v>104</v>
      </c>
      <c r="K4140" s="144"/>
      <c r="L4140" s="145"/>
      <c r="M4140" s="144"/>
    </row>
    <row r="4141" spans="1:13" ht="15" customHeight="1">
      <c r="A4141" s="146" t="s">
        <v>9533</v>
      </c>
      <c r="B4141" s="146">
        <v>517926</v>
      </c>
      <c r="C4141" s="147" t="s">
        <v>9534</v>
      </c>
      <c r="D4141" s="146" t="s">
        <v>6458</v>
      </c>
      <c r="E4141" s="147" t="s">
        <v>9094</v>
      </c>
      <c r="F4141" s="147" t="s">
        <v>9535</v>
      </c>
      <c r="G4141" s="146" t="s">
        <v>109</v>
      </c>
      <c r="H4141" s="146" t="s">
        <v>52</v>
      </c>
      <c r="I4141" s="147" t="s">
        <v>2927</v>
      </c>
      <c r="J4141" s="147" t="s">
        <v>104</v>
      </c>
      <c r="K4141" s="148"/>
      <c r="L4141" s="149"/>
      <c r="M4141" s="148"/>
    </row>
    <row r="4142" spans="1:13" ht="15" customHeight="1">
      <c r="A4142" s="142" t="s">
        <v>9536</v>
      </c>
      <c r="B4142" s="142">
        <v>517878</v>
      </c>
      <c r="C4142" s="143" t="s">
        <v>9537</v>
      </c>
      <c r="D4142" s="142" t="s">
        <v>6458</v>
      </c>
      <c r="E4142" s="143" t="s">
        <v>9038</v>
      </c>
      <c r="F4142" s="143" t="s">
        <v>9538</v>
      </c>
      <c r="G4142" s="142" t="s">
        <v>109</v>
      </c>
      <c r="H4142" s="142" t="s">
        <v>52</v>
      </c>
      <c r="I4142" s="143" t="s">
        <v>2927</v>
      </c>
      <c r="J4142" s="143" t="s">
        <v>104</v>
      </c>
      <c r="K4142" s="144" t="s">
        <v>121</v>
      </c>
      <c r="L4142" s="145">
        <v>46150</v>
      </c>
      <c r="M4142" s="144"/>
    </row>
    <row r="4143" spans="1:13" ht="15" customHeight="1">
      <c r="A4143" s="146" t="s">
        <v>9539</v>
      </c>
      <c r="B4143" s="146">
        <v>517842</v>
      </c>
      <c r="C4143" s="147" t="s">
        <v>4751</v>
      </c>
      <c r="D4143" s="146" t="s">
        <v>6458</v>
      </c>
      <c r="E4143" s="147" t="s">
        <v>9038</v>
      </c>
      <c r="F4143" s="147" t="s">
        <v>9540</v>
      </c>
      <c r="G4143" s="146" t="s">
        <v>109</v>
      </c>
      <c r="H4143" s="146" t="s">
        <v>52</v>
      </c>
      <c r="I4143" s="147" t="s">
        <v>2927</v>
      </c>
      <c r="J4143" s="147" t="s">
        <v>104</v>
      </c>
      <c r="K4143" s="148" t="s">
        <v>121</v>
      </c>
      <c r="L4143" s="149">
        <v>46148</v>
      </c>
      <c r="M4143" s="148"/>
    </row>
    <row r="4144" spans="1:13" ht="15" customHeight="1">
      <c r="A4144" s="142" t="s">
        <v>9541</v>
      </c>
      <c r="B4144" s="142">
        <v>517796</v>
      </c>
      <c r="C4144" s="143" t="s">
        <v>4751</v>
      </c>
      <c r="D4144" s="142" t="s">
        <v>6458</v>
      </c>
      <c r="E4144" s="143" t="s">
        <v>9448</v>
      </c>
      <c r="F4144" s="143" t="s">
        <v>9542</v>
      </c>
      <c r="G4144" s="142" t="s">
        <v>109</v>
      </c>
      <c r="H4144" s="142" t="s">
        <v>52</v>
      </c>
      <c r="I4144" s="143" t="s">
        <v>2927</v>
      </c>
      <c r="J4144" s="143" t="s">
        <v>104</v>
      </c>
      <c r="K4144" s="144"/>
      <c r="L4144" s="145"/>
      <c r="M4144" s="144"/>
    </row>
    <row r="4145" spans="1:13" ht="15" customHeight="1">
      <c r="A4145" s="146" t="s">
        <v>9543</v>
      </c>
      <c r="B4145" s="146">
        <v>517164</v>
      </c>
      <c r="C4145" s="147" t="s">
        <v>3370</v>
      </c>
      <c r="D4145" s="146" t="s">
        <v>5640</v>
      </c>
      <c r="E4145" s="147" t="s">
        <v>9030</v>
      </c>
      <c r="F4145" s="147" t="s">
        <v>1790</v>
      </c>
      <c r="G4145" s="146" t="s">
        <v>109</v>
      </c>
      <c r="H4145" s="146" t="s">
        <v>52</v>
      </c>
      <c r="I4145" s="147" t="s">
        <v>8982</v>
      </c>
      <c r="J4145" s="147" t="s">
        <v>104</v>
      </c>
      <c r="K4145" s="148"/>
      <c r="L4145" s="149"/>
      <c r="M4145" s="148"/>
    </row>
    <row r="4146" spans="1:13" ht="15" customHeight="1">
      <c r="A4146" s="142" t="s">
        <v>9544</v>
      </c>
      <c r="B4146" s="142">
        <v>517405</v>
      </c>
      <c r="C4146" s="143" t="s">
        <v>745</v>
      </c>
      <c r="D4146" s="142" t="s">
        <v>5640</v>
      </c>
      <c r="E4146" s="143" t="s">
        <v>9545</v>
      </c>
      <c r="F4146" s="143" t="s">
        <v>9546</v>
      </c>
      <c r="G4146" s="142" t="s">
        <v>109</v>
      </c>
      <c r="H4146" s="142" t="s">
        <v>52</v>
      </c>
      <c r="I4146" s="143" t="s">
        <v>8982</v>
      </c>
      <c r="J4146" s="143" t="s">
        <v>104</v>
      </c>
      <c r="K4146" s="144"/>
      <c r="L4146" s="145"/>
      <c r="M4146" s="144"/>
    </row>
    <row r="4147" spans="1:13" ht="15" customHeight="1">
      <c r="A4147" s="146" t="s">
        <v>9547</v>
      </c>
      <c r="B4147" s="146">
        <v>517787</v>
      </c>
      <c r="C4147" s="147" t="s">
        <v>745</v>
      </c>
      <c r="D4147" s="146" t="s">
        <v>6458</v>
      </c>
      <c r="E4147" s="147" t="s">
        <v>9321</v>
      </c>
      <c r="F4147" s="147" t="s">
        <v>9548</v>
      </c>
      <c r="G4147" s="146" t="s">
        <v>109</v>
      </c>
      <c r="H4147" s="146" t="s">
        <v>52</v>
      </c>
      <c r="I4147" s="147" t="s">
        <v>2927</v>
      </c>
      <c r="J4147" s="147" t="s">
        <v>104</v>
      </c>
      <c r="K4147" s="148"/>
      <c r="L4147" s="149"/>
      <c r="M4147" s="148"/>
    </row>
    <row r="4148" spans="1:13" ht="15" customHeight="1">
      <c r="A4148" s="142" t="s">
        <v>9549</v>
      </c>
      <c r="B4148" s="142">
        <v>517783</v>
      </c>
      <c r="C4148" s="143" t="s">
        <v>745</v>
      </c>
      <c r="D4148" s="142" t="s">
        <v>6458</v>
      </c>
      <c r="E4148" s="143" t="s">
        <v>9125</v>
      </c>
      <c r="F4148" s="143" t="s">
        <v>9550</v>
      </c>
      <c r="G4148" s="142" t="s">
        <v>109</v>
      </c>
      <c r="H4148" s="142" t="s">
        <v>52</v>
      </c>
      <c r="I4148" s="143" t="s">
        <v>2927</v>
      </c>
      <c r="J4148" s="143" t="s">
        <v>104</v>
      </c>
      <c r="K4148" s="144"/>
      <c r="L4148" s="145"/>
      <c r="M4148" s="144"/>
    </row>
    <row r="4149" spans="1:13" ht="15" customHeight="1">
      <c r="A4149" s="146" t="s">
        <v>9551</v>
      </c>
      <c r="B4149" s="146">
        <v>517160</v>
      </c>
      <c r="C4149" s="147" t="s">
        <v>3454</v>
      </c>
      <c r="D4149" s="146" t="s">
        <v>5640</v>
      </c>
      <c r="E4149" s="147" t="s">
        <v>9103</v>
      </c>
      <c r="F4149" s="147" t="s">
        <v>9552</v>
      </c>
      <c r="G4149" s="146" t="s">
        <v>109</v>
      </c>
      <c r="H4149" s="146" t="s">
        <v>52</v>
      </c>
      <c r="I4149" s="147" t="s">
        <v>8982</v>
      </c>
      <c r="J4149" s="147" t="s">
        <v>104</v>
      </c>
      <c r="K4149" s="148" t="s">
        <v>162</v>
      </c>
      <c r="L4149" s="149">
        <v>46153</v>
      </c>
      <c r="M4149" s="148"/>
    </row>
    <row r="4150" spans="1:13" ht="15" customHeight="1">
      <c r="A4150" s="142" t="s">
        <v>9553</v>
      </c>
      <c r="B4150" s="142">
        <v>516916</v>
      </c>
      <c r="C4150" s="143" t="s">
        <v>3454</v>
      </c>
      <c r="D4150" s="142" t="s">
        <v>5640</v>
      </c>
      <c r="E4150" s="143" t="s">
        <v>9030</v>
      </c>
      <c r="F4150" s="143" t="s">
        <v>3655</v>
      </c>
      <c r="G4150" s="142" t="s">
        <v>102</v>
      </c>
      <c r="H4150" s="142" t="s">
        <v>52</v>
      </c>
      <c r="I4150" s="143" t="s">
        <v>8982</v>
      </c>
      <c r="J4150" s="143" t="s">
        <v>104</v>
      </c>
      <c r="K4150" s="144"/>
      <c r="L4150" s="145"/>
      <c r="M4150" s="144"/>
    </row>
    <row r="4151" spans="1:13" ht="15" customHeight="1">
      <c r="A4151" s="146" t="s">
        <v>9554</v>
      </c>
      <c r="B4151" s="146">
        <v>517356</v>
      </c>
      <c r="C4151" s="147" t="s">
        <v>4041</v>
      </c>
      <c r="D4151" s="146" t="s">
        <v>5640</v>
      </c>
      <c r="E4151" s="147" t="s">
        <v>9171</v>
      </c>
      <c r="F4151" s="147" t="s">
        <v>4041</v>
      </c>
      <c r="G4151" s="146" t="s">
        <v>109</v>
      </c>
      <c r="H4151" s="146" t="s">
        <v>52</v>
      </c>
      <c r="I4151" s="147" t="s">
        <v>8982</v>
      </c>
      <c r="J4151" s="147" t="s">
        <v>104</v>
      </c>
      <c r="K4151" s="148" t="s">
        <v>121</v>
      </c>
      <c r="L4151" s="149">
        <v>46149</v>
      </c>
      <c r="M4151" s="148"/>
    </row>
    <row r="4152" spans="1:13" ht="15" customHeight="1">
      <c r="A4152" s="142" t="s">
        <v>9555</v>
      </c>
      <c r="B4152" s="142">
        <v>517420</v>
      </c>
      <c r="C4152" s="143" t="s">
        <v>3426</v>
      </c>
      <c r="D4152" s="142" t="s">
        <v>5640</v>
      </c>
      <c r="E4152" s="143" t="s">
        <v>9545</v>
      </c>
      <c r="F4152" s="143" t="s">
        <v>9556</v>
      </c>
      <c r="G4152" s="142" t="s">
        <v>109</v>
      </c>
      <c r="H4152" s="142" t="s">
        <v>52</v>
      </c>
      <c r="I4152" s="143" t="s">
        <v>8982</v>
      </c>
      <c r="J4152" s="143" t="s">
        <v>104</v>
      </c>
      <c r="K4152" s="144"/>
      <c r="L4152" s="145"/>
      <c r="M4152" s="144"/>
    </row>
    <row r="4153" spans="1:13" ht="15" customHeight="1">
      <c r="A4153" s="146" t="s">
        <v>9557</v>
      </c>
      <c r="B4153" s="146">
        <v>517060</v>
      </c>
      <c r="C4153" s="147" t="s">
        <v>1313</v>
      </c>
      <c r="D4153" s="146" t="s">
        <v>5640</v>
      </c>
      <c r="E4153" s="147" t="s">
        <v>9171</v>
      </c>
      <c r="F4153" s="147" t="s">
        <v>9558</v>
      </c>
      <c r="G4153" s="146" t="s">
        <v>109</v>
      </c>
      <c r="H4153" s="146" t="s">
        <v>52</v>
      </c>
      <c r="I4153" s="147" t="s">
        <v>8982</v>
      </c>
      <c r="J4153" s="147" t="s">
        <v>104</v>
      </c>
      <c r="K4153" s="148"/>
      <c r="L4153" s="149"/>
      <c r="M4153" s="148"/>
    </row>
    <row r="4154" spans="1:13" ht="15" customHeight="1">
      <c r="A4154" s="142" t="s">
        <v>9559</v>
      </c>
      <c r="B4154" s="142">
        <v>517256</v>
      </c>
      <c r="C4154" s="143" t="s">
        <v>5657</v>
      </c>
      <c r="D4154" s="142" t="s">
        <v>5640</v>
      </c>
      <c r="E4154" s="143" t="s">
        <v>5657</v>
      </c>
      <c r="F4154" s="143" t="s">
        <v>5657</v>
      </c>
      <c r="G4154" s="142" t="s">
        <v>109</v>
      </c>
      <c r="H4154" s="142" t="s">
        <v>52</v>
      </c>
      <c r="I4154" s="143" t="s">
        <v>8982</v>
      </c>
      <c r="J4154" s="143" t="s">
        <v>104</v>
      </c>
      <c r="K4154" s="144"/>
      <c r="L4154" s="145"/>
      <c r="M4154" s="144"/>
    </row>
    <row r="4155" spans="1:13" ht="15" customHeight="1">
      <c r="A4155" s="146" t="s">
        <v>9560</v>
      </c>
      <c r="B4155" s="146">
        <v>517518</v>
      </c>
      <c r="C4155" s="147" t="s">
        <v>1348</v>
      </c>
      <c r="D4155" s="146" t="s">
        <v>5640</v>
      </c>
      <c r="E4155" s="147" t="s">
        <v>9020</v>
      </c>
      <c r="F4155" s="147" t="s">
        <v>9561</v>
      </c>
      <c r="G4155" s="146" t="s">
        <v>109</v>
      </c>
      <c r="H4155" s="146" t="s">
        <v>52</v>
      </c>
      <c r="I4155" s="147" t="s">
        <v>8982</v>
      </c>
      <c r="J4155" s="147" t="s">
        <v>104</v>
      </c>
      <c r="K4155" s="148"/>
      <c r="L4155" s="149"/>
      <c r="M4155" s="148"/>
    </row>
    <row r="4156" spans="1:13" ht="15" customHeight="1">
      <c r="A4156" s="142" t="s">
        <v>9562</v>
      </c>
      <c r="B4156" s="142">
        <v>517295</v>
      </c>
      <c r="C4156" s="143" t="s">
        <v>1348</v>
      </c>
      <c r="D4156" s="142" t="s">
        <v>5640</v>
      </c>
      <c r="E4156" s="143" t="s">
        <v>5803</v>
      </c>
      <c r="F4156" s="143" t="s">
        <v>9563</v>
      </c>
      <c r="G4156" s="142" t="s">
        <v>109</v>
      </c>
      <c r="H4156" s="142" t="s">
        <v>52</v>
      </c>
      <c r="I4156" s="143" t="s">
        <v>8982</v>
      </c>
      <c r="J4156" s="143" t="s">
        <v>104</v>
      </c>
      <c r="K4156" s="144"/>
      <c r="L4156" s="145"/>
      <c r="M4156" s="144"/>
    </row>
    <row r="4157" spans="1:13" ht="15" customHeight="1">
      <c r="A4157" s="146" t="s">
        <v>9564</v>
      </c>
      <c r="B4157" s="146">
        <v>517827</v>
      </c>
      <c r="C4157" s="147" t="s">
        <v>1348</v>
      </c>
      <c r="D4157" s="146" t="s">
        <v>6458</v>
      </c>
      <c r="E4157" s="147" t="s">
        <v>9094</v>
      </c>
      <c r="F4157" s="147" t="s">
        <v>9565</v>
      </c>
      <c r="G4157" s="146" t="s">
        <v>109</v>
      </c>
      <c r="H4157" s="146" t="s">
        <v>52</v>
      </c>
      <c r="I4157" s="147" t="s">
        <v>2927</v>
      </c>
      <c r="J4157" s="147" t="s">
        <v>104</v>
      </c>
      <c r="K4157" s="148"/>
      <c r="L4157" s="149"/>
      <c r="M4157" s="148"/>
    </row>
    <row r="4158" spans="1:13" ht="15" customHeight="1">
      <c r="A4158" s="142" t="s">
        <v>9566</v>
      </c>
      <c r="B4158" s="142">
        <v>517936</v>
      </c>
      <c r="C4158" s="143" t="s">
        <v>1348</v>
      </c>
      <c r="D4158" s="142" t="s">
        <v>6458</v>
      </c>
      <c r="E4158" s="143" t="s">
        <v>3341</v>
      </c>
      <c r="F4158" s="143" t="s">
        <v>9567</v>
      </c>
      <c r="G4158" s="142" t="s">
        <v>109</v>
      </c>
      <c r="H4158" s="142" t="s">
        <v>52</v>
      </c>
      <c r="I4158" s="143" t="s">
        <v>2927</v>
      </c>
      <c r="J4158" s="143" t="s">
        <v>104</v>
      </c>
      <c r="K4158" s="144"/>
      <c r="L4158" s="145"/>
      <c r="M4158" s="144"/>
    </row>
    <row r="4159" spans="1:13" ht="15" customHeight="1">
      <c r="A4159" s="146" t="s">
        <v>9568</v>
      </c>
      <c r="B4159" s="146">
        <v>521597</v>
      </c>
      <c r="C4159" s="147" t="s">
        <v>9569</v>
      </c>
      <c r="D4159" s="146" t="s">
        <v>5640</v>
      </c>
      <c r="E4159" s="147" t="s">
        <v>5962</v>
      </c>
      <c r="F4159" s="147" t="s">
        <v>9570</v>
      </c>
      <c r="G4159" s="146" t="s">
        <v>109</v>
      </c>
      <c r="H4159" s="146" t="s">
        <v>52</v>
      </c>
      <c r="I4159" s="147" t="s">
        <v>8982</v>
      </c>
      <c r="J4159" s="147" t="s">
        <v>104</v>
      </c>
      <c r="K4159" s="148"/>
      <c r="L4159" s="149"/>
      <c r="M4159" s="148"/>
    </row>
    <row r="4160" spans="1:13" ht="15" customHeight="1">
      <c r="A4160" s="142" t="s">
        <v>9571</v>
      </c>
      <c r="B4160" s="142">
        <v>517152</v>
      </c>
      <c r="C4160" s="143" t="s">
        <v>9569</v>
      </c>
      <c r="D4160" s="142" t="s">
        <v>5640</v>
      </c>
      <c r="E4160" s="143" t="s">
        <v>9229</v>
      </c>
      <c r="F4160" s="143" t="s">
        <v>9572</v>
      </c>
      <c r="G4160" s="142" t="s">
        <v>109</v>
      </c>
      <c r="H4160" s="142" t="s">
        <v>52</v>
      </c>
      <c r="I4160" s="143" t="s">
        <v>8982</v>
      </c>
      <c r="J4160" s="143" t="s">
        <v>104</v>
      </c>
      <c r="K4160" s="144"/>
      <c r="L4160" s="145"/>
      <c r="M4160" s="144"/>
    </row>
    <row r="4161" spans="1:13" ht="15" customHeight="1">
      <c r="A4161" s="146" t="s">
        <v>9573</v>
      </c>
      <c r="B4161" s="146">
        <v>517418</v>
      </c>
      <c r="C4161" s="147" t="s">
        <v>1374</v>
      </c>
      <c r="D4161" s="146" t="s">
        <v>5640</v>
      </c>
      <c r="E4161" s="147" t="s">
        <v>8990</v>
      </c>
      <c r="F4161" s="147" t="s">
        <v>9574</v>
      </c>
      <c r="G4161" s="146" t="s">
        <v>109</v>
      </c>
      <c r="H4161" s="146" t="s">
        <v>52</v>
      </c>
      <c r="I4161" s="147" t="s">
        <v>8982</v>
      </c>
      <c r="J4161" s="147" t="s">
        <v>104</v>
      </c>
      <c r="K4161" s="148"/>
      <c r="L4161" s="149"/>
      <c r="M4161" s="148"/>
    </row>
    <row r="4162" spans="1:13" ht="15" customHeight="1">
      <c r="A4162" s="142" t="s">
        <v>9575</v>
      </c>
      <c r="B4162" s="142">
        <v>517175</v>
      </c>
      <c r="C4162" s="143" t="s">
        <v>1374</v>
      </c>
      <c r="D4162" s="142" t="s">
        <v>5640</v>
      </c>
      <c r="E4162" s="143" t="s">
        <v>9576</v>
      </c>
      <c r="F4162" s="143" t="s">
        <v>9577</v>
      </c>
      <c r="G4162" s="142" t="s">
        <v>109</v>
      </c>
      <c r="H4162" s="142" t="s">
        <v>52</v>
      </c>
      <c r="I4162" s="143" t="s">
        <v>8982</v>
      </c>
      <c r="J4162" s="143" t="s">
        <v>104</v>
      </c>
      <c r="K4162" s="144"/>
      <c r="L4162" s="145"/>
      <c r="M4162" s="144"/>
    </row>
    <row r="4163" spans="1:13" ht="15" customHeight="1">
      <c r="A4163" s="146" t="s">
        <v>9578</v>
      </c>
      <c r="B4163" s="146">
        <v>517238</v>
      </c>
      <c r="C4163" s="147" t="s">
        <v>1374</v>
      </c>
      <c r="D4163" s="146" t="s">
        <v>5640</v>
      </c>
      <c r="E4163" s="147" t="s">
        <v>9268</v>
      </c>
      <c r="F4163" s="147" t="s">
        <v>9579</v>
      </c>
      <c r="G4163" s="146" t="s">
        <v>109</v>
      </c>
      <c r="H4163" s="146" t="s">
        <v>52</v>
      </c>
      <c r="I4163" s="147" t="s">
        <v>8982</v>
      </c>
      <c r="J4163" s="147" t="s">
        <v>104</v>
      </c>
      <c r="K4163" s="148"/>
      <c r="L4163" s="149"/>
      <c r="M4163" s="148"/>
    </row>
    <row r="4164" spans="1:13" ht="15" customHeight="1">
      <c r="A4164" s="142" t="s">
        <v>9580</v>
      </c>
      <c r="B4164" s="142">
        <v>514233</v>
      </c>
      <c r="C4164" s="143" t="s">
        <v>9581</v>
      </c>
      <c r="D4164" s="142" t="s">
        <v>553</v>
      </c>
      <c r="E4164" s="143" t="s">
        <v>3227</v>
      </c>
      <c r="F4164" s="143" t="s">
        <v>9581</v>
      </c>
      <c r="G4164" s="142" t="s">
        <v>109</v>
      </c>
      <c r="H4164" s="142" t="s">
        <v>52</v>
      </c>
      <c r="I4164" s="143" t="s">
        <v>8982</v>
      </c>
      <c r="J4164" s="143" t="s">
        <v>104</v>
      </c>
      <c r="K4164" s="144"/>
      <c r="L4164" s="145"/>
      <c r="M4164" s="144"/>
    </row>
    <row r="4165" spans="1:13" ht="15" customHeight="1">
      <c r="A4165" s="146" t="s">
        <v>9582</v>
      </c>
      <c r="B4165" s="146">
        <v>517159</v>
      </c>
      <c r="C4165" s="147" t="s">
        <v>9583</v>
      </c>
      <c r="D4165" s="146" t="s">
        <v>5640</v>
      </c>
      <c r="E4165" s="147" t="s">
        <v>9030</v>
      </c>
      <c r="F4165" s="147" t="s">
        <v>9584</v>
      </c>
      <c r="G4165" s="146" t="s">
        <v>109</v>
      </c>
      <c r="H4165" s="146" t="s">
        <v>52</v>
      </c>
      <c r="I4165" s="147" t="s">
        <v>8982</v>
      </c>
      <c r="J4165" s="147" t="s">
        <v>104</v>
      </c>
      <c r="K4165" s="148" t="s">
        <v>121</v>
      </c>
      <c r="L4165" s="149">
        <v>46150</v>
      </c>
      <c r="M4165" s="148"/>
    </row>
    <row r="4166" spans="1:13" ht="15" customHeight="1">
      <c r="A4166" s="142" t="s">
        <v>9585</v>
      </c>
      <c r="B4166" s="142">
        <v>517883</v>
      </c>
      <c r="C4166" s="143" t="s">
        <v>9586</v>
      </c>
      <c r="D4166" s="142" t="s">
        <v>6458</v>
      </c>
      <c r="E4166" s="143" t="s">
        <v>9036</v>
      </c>
      <c r="F4166" s="143" t="s">
        <v>9587</v>
      </c>
      <c r="G4166" s="142" t="s">
        <v>109</v>
      </c>
      <c r="H4166" s="142" t="s">
        <v>52</v>
      </c>
      <c r="I4166" s="143" t="s">
        <v>2927</v>
      </c>
      <c r="J4166" s="143" t="s">
        <v>104</v>
      </c>
      <c r="K4166" s="144"/>
      <c r="L4166" s="145"/>
      <c r="M4166" s="144"/>
    </row>
    <row r="4167" spans="1:13" ht="15" customHeight="1">
      <c r="A4167" s="146" t="s">
        <v>9588</v>
      </c>
      <c r="B4167" s="146">
        <v>517859</v>
      </c>
      <c r="C4167" s="147" t="s">
        <v>9589</v>
      </c>
      <c r="D4167" s="146" t="s">
        <v>6458</v>
      </c>
      <c r="E4167" s="147" t="s">
        <v>3341</v>
      </c>
      <c r="F4167" s="147" t="s">
        <v>3341</v>
      </c>
      <c r="G4167" s="146" t="s">
        <v>102</v>
      </c>
      <c r="H4167" s="146" t="s">
        <v>52</v>
      </c>
      <c r="I4167" s="147" t="s">
        <v>2927</v>
      </c>
      <c r="J4167" s="147" t="s">
        <v>104</v>
      </c>
      <c r="K4167" s="148"/>
      <c r="L4167" s="149"/>
      <c r="M4167" s="148"/>
    </row>
    <row r="4168" spans="1:13" ht="15" customHeight="1">
      <c r="A4168" s="142" t="s">
        <v>9590</v>
      </c>
      <c r="B4168" s="142">
        <v>517844</v>
      </c>
      <c r="C4168" s="143" t="s">
        <v>6649</v>
      </c>
      <c r="D4168" s="142" t="s">
        <v>6458</v>
      </c>
      <c r="E4168" s="143" t="s">
        <v>9036</v>
      </c>
      <c r="F4168" s="143" t="s">
        <v>2787</v>
      </c>
      <c r="G4168" s="142" t="s">
        <v>109</v>
      </c>
      <c r="H4168" s="142" t="s">
        <v>52</v>
      </c>
      <c r="I4168" s="143" t="s">
        <v>2927</v>
      </c>
      <c r="J4168" s="143" t="s">
        <v>104</v>
      </c>
      <c r="K4168" s="144"/>
      <c r="L4168" s="145"/>
      <c r="M4168" s="144"/>
    </row>
    <row r="4169" spans="1:13" ht="15" customHeight="1">
      <c r="A4169" s="146" t="s">
        <v>9591</v>
      </c>
      <c r="B4169" s="146">
        <v>517780</v>
      </c>
      <c r="C4169" s="147" t="s">
        <v>9592</v>
      </c>
      <c r="D4169" s="146" t="s">
        <v>6458</v>
      </c>
      <c r="E4169" s="147" t="s">
        <v>9125</v>
      </c>
      <c r="F4169" s="147" t="s">
        <v>9593</v>
      </c>
      <c r="G4169" s="146" t="s">
        <v>109</v>
      </c>
      <c r="H4169" s="146" t="s">
        <v>52</v>
      </c>
      <c r="I4169" s="147" t="s">
        <v>2927</v>
      </c>
      <c r="J4169" s="147" t="s">
        <v>104</v>
      </c>
      <c r="K4169" s="148"/>
      <c r="L4169" s="149"/>
      <c r="M4169" s="148"/>
    </row>
    <row r="4170" spans="1:13" ht="15" customHeight="1">
      <c r="A4170" s="142" t="s">
        <v>9594</v>
      </c>
      <c r="B4170" s="142">
        <v>518619</v>
      </c>
      <c r="C4170" s="143" t="s">
        <v>9595</v>
      </c>
      <c r="D4170" s="142" t="s">
        <v>7142</v>
      </c>
      <c r="E4170" s="143" t="s">
        <v>9056</v>
      </c>
      <c r="F4170" s="143" t="s">
        <v>9151</v>
      </c>
      <c r="G4170" s="142" t="s">
        <v>102</v>
      </c>
      <c r="H4170" s="142" t="s">
        <v>52</v>
      </c>
      <c r="I4170" s="143" t="s">
        <v>2927</v>
      </c>
      <c r="J4170" s="143" t="s">
        <v>104</v>
      </c>
      <c r="K4170" s="144" t="s">
        <v>121</v>
      </c>
      <c r="L4170" s="145">
        <v>46149</v>
      </c>
      <c r="M4170" s="144"/>
    </row>
    <row r="4171" spans="1:13" ht="15" customHeight="1">
      <c r="A4171" s="146" t="s">
        <v>9596</v>
      </c>
      <c r="B4171" s="146">
        <v>518625</v>
      </c>
      <c r="C4171" s="147" t="s">
        <v>9597</v>
      </c>
      <c r="D4171" s="146" t="s">
        <v>7142</v>
      </c>
      <c r="E4171" s="147" t="s">
        <v>9056</v>
      </c>
      <c r="F4171" s="147" t="s">
        <v>9598</v>
      </c>
      <c r="G4171" s="146" t="s">
        <v>109</v>
      </c>
      <c r="H4171" s="146" t="s">
        <v>52</v>
      </c>
      <c r="I4171" s="147" t="s">
        <v>2927</v>
      </c>
      <c r="J4171" s="147" t="s">
        <v>104</v>
      </c>
      <c r="K4171" s="148" t="s">
        <v>121</v>
      </c>
      <c r="L4171" s="149">
        <v>46150</v>
      </c>
      <c r="M4171" s="148"/>
    </row>
    <row r="4172" spans="1:13" ht="15" customHeight="1">
      <c r="A4172" s="142" t="s">
        <v>9599</v>
      </c>
      <c r="B4172" s="142">
        <v>517855</v>
      </c>
      <c r="C4172" s="143" t="s">
        <v>9600</v>
      </c>
      <c r="D4172" s="142" t="s">
        <v>6458</v>
      </c>
      <c r="E4172" s="143" t="s">
        <v>9125</v>
      </c>
      <c r="F4172" s="143" t="s">
        <v>9601</v>
      </c>
      <c r="G4172" s="142" t="s">
        <v>109</v>
      </c>
      <c r="H4172" s="142" t="s">
        <v>52</v>
      </c>
      <c r="I4172" s="143" t="s">
        <v>2927</v>
      </c>
      <c r="J4172" s="143" t="s">
        <v>104</v>
      </c>
      <c r="K4172" s="144"/>
      <c r="L4172" s="145"/>
      <c r="M4172" s="144"/>
    </row>
    <row r="4173" spans="1:13" ht="15" customHeight="1">
      <c r="A4173" s="146" t="s">
        <v>9602</v>
      </c>
      <c r="B4173" s="146">
        <v>517357</v>
      </c>
      <c r="C4173" s="147" t="s">
        <v>9603</v>
      </c>
      <c r="D4173" s="146" t="s">
        <v>5640</v>
      </c>
      <c r="E4173" s="147" t="s">
        <v>5803</v>
      </c>
      <c r="F4173" s="147" t="s">
        <v>9604</v>
      </c>
      <c r="G4173" s="146" t="s">
        <v>109</v>
      </c>
      <c r="H4173" s="146" t="s">
        <v>52</v>
      </c>
      <c r="I4173" s="147" t="s">
        <v>8982</v>
      </c>
      <c r="J4173" s="147" t="s">
        <v>104</v>
      </c>
      <c r="K4173" s="148"/>
      <c r="L4173" s="149"/>
      <c r="M4173" s="148"/>
    </row>
    <row r="4174" spans="1:13" ht="15" customHeight="1">
      <c r="A4174" s="142" t="s">
        <v>9605</v>
      </c>
      <c r="B4174" s="142">
        <v>517089</v>
      </c>
      <c r="C4174" s="143" t="s">
        <v>9606</v>
      </c>
      <c r="D4174" s="142" t="s">
        <v>5640</v>
      </c>
      <c r="E4174" s="143" t="s">
        <v>9063</v>
      </c>
      <c r="F4174" s="143" t="s">
        <v>9607</v>
      </c>
      <c r="G4174" s="142" t="s">
        <v>109</v>
      </c>
      <c r="H4174" s="142" t="s">
        <v>52</v>
      </c>
      <c r="I4174" s="143" t="s">
        <v>8982</v>
      </c>
      <c r="J4174" s="143" t="s">
        <v>104</v>
      </c>
      <c r="K4174" s="144" t="s">
        <v>121</v>
      </c>
      <c r="L4174" s="145">
        <v>46151</v>
      </c>
      <c r="M4174" s="144"/>
    </row>
    <row r="4175" spans="1:13" ht="15" customHeight="1">
      <c r="A4175" s="146" t="s">
        <v>9608</v>
      </c>
      <c r="B4175" s="146">
        <v>517419</v>
      </c>
      <c r="C4175" s="147" t="s">
        <v>9609</v>
      </c>
      <c r="D4175" s="146" t="s">
        <v>5640</v>
      </c>
      <c r="E4175" s="147" t="s">
        <v>9009</v>
      </c>
      <c r="F4175" s="147" t="s">
        <v>4199</v>
      </c>
      <c r="G4175" s="146" t="s">
        <v>109</v>
      </c>
      <c r="H4175" s="146" t="s">
        <v>52</v>
      </c>
      <c r="I4175" s="147" t="s">
        <v>8982</v>
      </c>
      <c r="J4175" s="147" t="s">
        <v>104</v>
      </c>
      <c r="K4175" s="148"/>
      <c r="L4175" s="149"/>
      <c r="M4175" s="148"/>
    </row>
    <row r="4176" spans="1:13" ht="15" customHeight="1">
      <c r="A4176" s="142" t="s">
        <v>9610</v>
      </c>
      <c r="B4176" s="142">
        <v>517515</v>
      </c>
      <c r="C4176" s="143" t="s">
        <v>1295</v>
      </c>
      <c r="D4176" s="142" t="s">
        <v>5640</v>
      </c>
      <c r="E4176" s="143" t="s">
        <v>9074</v>
      </c>
      <c r="F4176" s="143" t="s">
        <v>9611</v>
      </c>
      <c r="G4176" s="142" t="s">
        <v>109</v>
      </c>
      <c r="H4176" s="142" t="s">
        <v>52</v>
      </c>
      <c r="I4176" s="143" t="s">
        <v>8982</v>
      </c>
      <c r="J4176" s="143" t="s">
        <v>104</v>
      </c>
      <c r="K4176" s="144"/>
      <c r="L4176" s="145"/>
      <c r="M4176" s="144"/>
    </row>
    <row r="4177" spans="1:13" ht="15" customHeight="1">
      <c r="A4177" s="146" t="s">
        <v>9612</v>
      </c>
      <c r="B4177" s="146">
        <v>517243</v>
      </c>
      <c r="C4177" s="147" t="s">
        <v>1295</v>
      </c>
      <c r="D4177" s="146" t="s">
        <v>5640</v>
      </c>
      <c r="E4177" s="147" t="s">
        <v>9256</v>
      </c>
      <c r="F4177" s="147" t="s">
        <v>9613</v>
      </c>
      <c r="G4177" s="146" t="s">
        <v>109</v>
      </c>
      <c r="H4177" s="146" t="s">
        <v>52</v>
      </c>
      <c r="I4177" s="147" t="s">
        <v>8982</v>
      </c>
      <c r="J4177" s="147" t="s">
        <v>104</v>
      </c>
      <c r="K4177" s="148"/>
      <c r="L4177" s="149"/>
      <c r="M4177" s="148"/>
    </row>
    <row r="4178" spans="1:13" ht="15" customHeight="1">
      <c r="A4178" s="142" t="s">
        <v>9614</v>
      </c>
      <c r="B4178" s="142">
        <v>517843</v>
      </c>
      <c r="C4178" s="143" t="s">
        <v>1295</v>
      </c>
      <c r="D4178" s="142" t="s">
        <v>6458</v>
      </c>
      <c r="E4178" s="143" t="s">
        <v>9038</v>
      </c>
      <c r="F4178" s="143" t="s">
        <v>9615</v>
      </c>
      <c r="G4178" s="142" t="s">
        <v>109</v>
      </c>
      <c r="H4178" s="142" t="s">
        <v>52</v>
      </c>
      <c r="I4178" s="143" t="s">
        <v>2927</v>
      </c>
      <c r="J4178" s="143" t="s">
        <v>104</v>
      </c>
      <c r="K4178" s="144" t="s">
        <v>121</v>
      </c>
      <c r="L4178" s="145">
        <v>46148</v>
      </c>
      <c r="M4178" s="144"/>
    </row>
    <row r="4179" spans="1:13" ht="15" customHeight="1">
      <c r="A4179" s="146" t="s">
        <v>9616</v>
      </c>
      <c r="B4179" s="146">
        <v>516914</v>
      </c>
      <c r="C4179" s="147" t="s">
        <v>5728</v>
      </c>
      <c r="D4179" s="146" t="s">
        <v>5640</v>
      </c>
      <c r="E4179" s="147" t="s">
        <v>8980</v>
      </c>
      <c r="F4179" s="147" t="s">
        <v>9617</v>
      </c>
      <c r="G4179" s="146" t="s">
        <v>109</v>
      </c>
      <c r="H4179" s="146" t="s">
        <v>52</v>
      </c>
      <c r="I4179" s="147" t="s">
        <v>8982</v>
      </c>
      <c r="J4179" s="147" t="s">
        <v>104</v>
      </c>
      <c r="K4179" s="148" t="s">
        <v>162</v>
      </c>
      <c r="L4179" s="149">
        <v>46147</v>
      </c>
      <c r="M4179" s="148" t="s">
        <v>9138</v>
      </c>
    </row>
    <row r="4180" spans="1:13" ht="15" customHeight="1">
      <c r="A4180" s="142" t="s">
        <v>9618</v>
      </c>
      <c r="B4180" s="142">
        <v>517099</v>
      </c>
      <c r="C4180" s="143" t="s">
        <v>2367</v>
      </c>
      <c r="D4180" s="142" t="s">
        <v>5640</v>
      </c>
      <c r="E4180" s="143" t="s">
        <v>9020</v>
      </c>
      <c r="F4180" s="143" t="s">
        <v>9619</v>
      </c>
      <c r="G4180" s="142" t="s">
        <v>109</v>
      </c>
      <c r="H4180" s="142" t="s">
        <v>52</v>
      </c>
      <c r="I4180" s="143" t="s">
        <v>8982</v>
      </c>
      <c r="J4180" s="143" t="s">
        <v>104</v>
      </c>
      <c r="K4180" s="144"/>
      <c r="L4180" s="145"/>
      <c r="M4180" s="144"/>
    </row>
    <row r="4181" spans="1:13" ht="15" customHeight="1">
      <c r="A4181" s="146" t="s">
        <v>9620</v>
      </c>
      <c r="B4181" s="146">
        <v>517863</v>
      </c>
      <c r="C4181" s="147" t="s">
        <v>9621</v>
      </c>
      <c r="D4181" s="146" t="s">
        <v>6458</v>
      </c>
      <c r="E4181" s="147" t="s">
        <v>9448</v>
      </c>
      <c r="F4181" s="147" t="s">
        <v>2756</v>
      </c>
      <c r="G4181" s="146" t="s">
        <v>109</v>
      </c>
      <c r="H4181" s="146" t="s">
        <v>52</v>
      </c>
      <c r="I4181" s="147" t="s">
        <v>2927</v>
      </c>
      <c r="J4181" s="147" t="s">
        <v>104</v>
      </c>
      <c r="K4181" s="148"/>
      <c r="L4181" s="149"/>
      <c r="M4181" s="148"/>
    </row>
    <row r="4182" spans="1:13" ht="15" customHeight="1">
      <c r="A4182" s="142" t="s">
        <v>9622</v>
      </c>
      <c r="B4182" s="142">
        <v>517934</v>
      </c>
      <c r="C4182" s="143" t="s">
        <v>2622</v>
      </c>
      <c r="D4182" s="142" t="s">
        <v>6458</v>
      </c>
      <c r="E4182" s="143" t="s">
        <v>9125</v>
      </c>
      <c r="F4182" s="143" t="s">
        <v>2622</v>
      </c>
      <c r="G4182" s="142" t="s">
        <v>109</v>
      </c>
      <c r="H4182" s="142" t="s">
        <v>52</v>
      </c>
      <c r="I4182" s="143" t="s">
        <v>2927</v>
      </c>
      <c r="J4182" s="143" t="s">
        <v>104</v>
      </c>
      <c r="K4182" s="144"/>
      <c r="L4182" s="145"/>
      <c r="M4182" s="144"/>
    </row>
    <row r="4183" spans="1:13" ht="15" customHeight="1">
      <c r="A4183" s="146" t="s">
        <v>9623</v>
      </c>
      <c r="B4183" s="146">
        <v>517413</v>
      </c>
      <c r="C4183" s="147" t="s">
        <v>9624</v>
      </c>
      <c r="D4183" s="146" t="s">
        <v>5640</v>
      </c>
      <c r="E4183" s="147" t="s">
        <v>9009</v>
      </c>
      <c r="F4183" s="147" t="s">
        <v>9625</v>
      </c>
      <c r="G4183" s="146" t="s">
        <v>109</v>
      </c>
      <c r="H4183" s="146" t="s">
        <v>52</v>
      </c>
      <c r="I4183" s="147" t="s">
        <v>8982</v>
      </c>
      <c r="J4183" s="147" t="s">
        <v>104</v>
      </c>
      <c r="K4183" s="148"/>
      <c r="L4183" s="149"/>
      <c r="M4183" s="148"/>
    </row>
    <row r="4184" spans="1:13" ht="15" customHeight="1">
      <c r="A4184" s="142" t="s">
        <v>9626</v>
      </c>
      <c r="B4184" s="142">
        <v>517409</v>
      </c>
      <c r="C4184" s="143" t="s">
        <v>437</v>
      </c>
      <c r="D4184" s="142" t="s">
        <v>5640</v>
      </c>
      <c r="E4184" s="143" t="s">
        <v>4402</v>
      </c>
      <c r="F4184" s="143" t="s">
        <v>9627</v>
      </c>
      <c r="G4184" s="142" t="s">
        <v>109</v>
      </c>
      <c r="H4184" s="142" t="s">
        <v>52</v>
      </c>
      <c r="I4184" s="143" t="s">
        <v>8982</v>
      </c>
      <c r="J4184" s="143" t="s">
        <v>104</v>
      </c>
      <c r="K4184" s="144"/>
      <c r="L4184" s="145"/>
      <c r="M4184" s="144"/>
    </row>
    <row r="4185" spans="1:13" ht="15" customHeight="1">
      <c r="A4185" s="146" t="s">
        <v>9628</v>
      </c>
      <c r="B4185" s="146">
        <v>517236</v>
      </c>
      <c r="C4185" s="147" t="s">
        <v>9629</v>
      </c>
      <c r="D4185" s="146" t="s">
        <v>5640</v>
      </c>
      <c r="E4185" s="147" t="s">
        <v>9268</v>
      </c>
      <c r="F4185" s="147" t="s">
        <v>9269</v>
      </c>
      <c r="G4185" s="146" t="s">
        <v>109</v>
      </c>
      <c r="H4185" s="146" t="s">
        <v>52</v>
      </c>
      <c r="I4185" s="147" t="s">
        <v>8982</v>
      </c>
      <c r="J4185" s="147" t="s">
        <v>104</v>
      </c>
      <c r="K4185" s="148"/>
      <c r="L4185" s="149"/>
      <c r="M4185" s="148"/>
    </row>
    <row r="4186" spans="1:13" ht="15" customHeight="1">
      <c r="A4186" s="142" t="s">
        <v>9630</v>
      </c>
      <c r="B4186" s="142">
        <v>516910</v>
      </c>
      <c r="C4186" s="143" t="s">
        <v>9631</v>
      </c>
      <c r="D4186" s="142" t="s">
        <v>5640</v>
      </c>
      <c r="E4186" s="143" t="s">
        <v>8980</v>
      </c>
      <c r="F4186" s="143" t="s">
        <v>9632</v>
      </c>
      <c r="G4186" s="142" t="s">
        <v>109</v>
      </c>
      <c r="H4186" s="142" t="s">
        <v>52</v>
      </c>
      <c r="I4186" s="143" t="s">
        <v>8982</v>
      </c>
      <c r="J4186" s="143" t="s">
        <v>104</v>
      </c>
      <c r="K4186" s="144" t="s">
        <v>121</v>
      </c>
      <c r="L4186" s="145">
        <v>46148</v>
      </c>
      <c r="M4186" s="144"/>
    </row>
    <row r="4187" spans="1:13" ht="15" customHeight="1">
      <c r="A4187" s="146" t="s">
        <v>9633</v>
      </c>
      <c r="B4187" s="146">
        <v>517114</v>
      </c>
      <c r="C4187" s="147" t="s">
        <v>9634</v>
      </c>
      <c r="D4187" s="146" t="s">
        <v>5640</v>
      </c>
      <c r="E4187" s="147" t="s">
        <v>1215</v>
      </c>
      <c r="F4187" s="147" t="s">
        <v>9635</v>
      </c>
      <c r="G4187" s="146" t="s">
        <v>109</v>
      </c>
      <c r="H4187" s="146" t="s">
        <v>52</v>
      </c>
      <c r="I4187" s="147" t="s">
        <v>8982</v>
      </c>
      <c r="J4187" s="147" t="s">
        <v>104</v>
      </c>
      <c r="K4187" s="148"/>
      <c r="L4187" s="149"/>
      <c r="M4187" s="148"/>
    </row>
    <row r="4188" spans="1:13" ht="15" customHeight="1">
      <c r="A4188" s="142" t="s">
        <v>9636</v>
      </c>
      <c r="B4188" s="142">
        <v>516909</v>
      </c>
      <c r="C4188" s="143" t="s">
        <v>9637</v>
      </c>
      <c r="D4188" s="142" t="s">
        <v>5640</v>
      </c>
      <c r="E4188" s="143" t="s">
        <v>8980</v>
      </c>
      <c r="F4188" s="143" t="s">
        <v>9638</v>
      </c>
      <c r="G4188" s="142" t="s">
        <v>109</v>
      </c>
      <c r="H4188" s="142" t="s">
        <v>52</v>
      </c>
      <c r="I4188" s="143" t="s">
        <v>8982</v>
      </c>
      <c r="J4188" s="143" t="s">
        <v>104</v>
      </c>
      <c r="K4188" s="144" t="s">
        <v>121</v>
      </c>
      <c r="L4188" s="145">
        <v>46147</v>
      </c>
      <c r="M4188" s="144"/>
    </row>
    <row r="4189" spans="1:13" ht="15" customHeight="1">
      <c r="A4189" s="146" t="s">
        <v>9639</v>
      </c>
      <c r="B4189" s="146">
        <v>517215</v>
      </c>
      <c r="C4189" s="147" t="s">
        <v>9640</v>
      </c>
      <c r="D4189" s="146" t="s">
        <v>5640</v>
      </c>
      <c r="E4189" s="147" t="s">
        <v>9004</v>
      </c>
      <c r="F4189" s="147" t="s">
        <v>9467</v>
      </c>
      <c r="G4189" s="146" t="s">
        <v>109</v>
      </c>
      <c r="H4189" s="146" t="s">
        <v>52</v>
      </c>
      <c r="I4189" s="147" t="s">
        <v>8982</v>
      </c>
      <c r="J4189" s="147" t="s">
        <v>104</v>
      </c>
      <c r="K4189" s="148"/>
      <c r="L4189" s="149"/>
      <c r="M4189" s="148"/>
    </row>
    <row r="4190" spans="1:13" ht="15" customHeight="1">
      <c r="A4190" s="142" t="s">
        <v>9641</v>
      </c>
      <c r="B4190" s="142">
        <v>517517</v>
      </c>
      <c r="C4190" s="143" t="s">
        <v>9642</v>
      </c>
      <c r="D4190" s="142" t="s">
        <v>5640</v>
      </c>
      <c r="E4190" s="143" t="s">
        <v>9256</v>
      </c>
      <c r="F4190" s="143" t="s">
        <v>9643</v>
      </c>
      <c r="G4190" s="142" t="s">
        <v>109</v>
      </c>
      <c r="H4190" s="142" t="s">
        <v>52</v>
      </c>
      <c r="I4190" s="143" t="s">
        <v>8982</v>
      </c>
      <c r="J4190" s="143" t="s">
        <v>104</v>
      </c>
      <c r="K4190" s="144"/>
      <c r="L4190" s="145"/>
      <c r="M4190" s="144"/>
    </row>
    <row r="4191" spans="1:13" ht="15" customHeight="1">
      <c r="A4191" s="146" t="s">
        <v>9644</v>
      </c>
      <c r="B4191" s="146">
        <v>516861</v>
      </c>
      <c r="C4191" s="147" t="s">
        <v>9645</v>
      </c>
      <c r="D4191" s="146" t="s">
        <v>5640</v>
      </c>
      <c r="E4191" s="147" t="s">
        <v>9646</v>
      </c>
      <c r="F4191" s="147" t="s">
        <v>9647</v>
      </c>
      <c r="G4191" s="146" t="s">
        <v>109</v>
      </c>
      <c r="H4191" s="146" t="s">
        <v>52</v>
      </c>
      <c r="I4191" s="147" t="s">
        <v>8982</v>
      </c>
      <c r="J4191" s="147" t="s">
        <v>104</v>
      </c>
      <c r="K4191" s="148"/>
      <c r="L4191" s="149"/>
      <c r="M4191" s="148"/>
    </row>
    <row r="4192" spans="1:13" ht="15" customHeight="1">
      <c r="A4192" s="142" t="s">
        <v>9648</v>
      </c>
      <c r="B4192" s="142">
        <v>521594</v>
      </c>
      <c r="C4192" s="143" t="s">
        <v>9649</v>
      </c>
      <c r="D4192" s="142" t="s">
        <v>5640</v>
      </c>
      <c r="E4192" s="143" t="s">
        <v>9249</v>
      </c>
      <c r="F4192" s="143" t="s">
        <v>9650</v>
      </c>
      <c r="G4192" s="142" t="s">
        <v>109</v>
      </c>
      <c r="H4192" s="142" t="s">
        <v>52</v>
      </c>
      <c r="I4192" s="143" t="s">
        <v>8982</v>
      </c>
      <c r="J4192" s="143" t="s">
        <v>104</v>
      </c>
      <c r="K4192" s="144"/>
      <c r="L4192" s="145"/>
      <c r="M4192" s="144"/>
    </row>
    <row r="4193" spans="1:13" ht="15" customHeight="1">
      <c r="A4193" s="146" t="s">
        <v>9651</v>
      </c>
      <c r="B4193" s="146">
        <v>517244</v>
      </c>
      <c r="C4193" s="147" t="s">
        <v>9652</v>
      </c>
      <c r="D4193" s="146" t="s">
        <v>5640</v>
      </c>
      <c r="E4193" s="147" t="s">
        <v>9256</v>
      </c>
      <c r="F4193" s="147" t="s">
        <v>9613</v>
      </c>
      <c r="G4193" s="146" t="s">
        <v>109</v>
      </c>
      <c r="H4193" s="146" t="s">
        <v>52</v>
      </c>
      <c r="I4193" s="147" t="s">
        <v>8982</v>
      </c>
      <c r="J4193" s="147" t="s">
        <v>104</v>
      </c>
      <c r="K4193" s="148"/>
      <c r="L4193" s="149"/>
      <c r="M4193" s="148"/>
    </row>
    <row r="4194" spans="1:13" ht="15" customHeight="1">
      <c r="A4194" s="142" t="s">
        <v>9653</v>
      </c>
      <c r="B4194" s="142">
        <v>518630</v>
      </c>
      <c r="C4194" s="143" t="s">
        <v>9654</v>
      </c>
      <c r="D4194" s="142" t="s">
        <v>7142</v>
      </c>
      <c r="E4194" s="143" t="s">
        <v>9056</v>
      </c>
      <c r="F4194" s="143" t="s">
        <v>9655</v>
      </c>
      <c r="G4194" s="142" t="s">
        <v>109</v>
      </c>
      <c r="H4194" s="142" t="s">
        <v>52</v>
      </c>
      <c r="I4194" s="143" t="s">
        <v>2927</v>
      </c>
      <c r="J4194" s="143" t="s">
        <v>104</v>
      </c>
      <c r="K4194" s="144" t="s">
        <v>121</v>
      </c>
      <c r="L4194" s="145">
        <v>46150</v>
      </c>
      <c r="M4194" s="144"/>
    </row>
    <row r="4195" spans="1:13" ht="15" customHeight="1">
      <c r="A4195" s="146" t="s">
        <v>9656</v>
      </c>
      <c r="B4195" s="146">
        <v>521593</v>
      </c>
      <c r="C4195" s="147" t="s">
        <v>9657</v>
      </c>
      <c r="D4195" s="146" t="s">
        <v>5640</v>
      </c>
      <c r="E4195" s="147" t="s">
        <v>9004</v>
      </c>
      <c r="F4195" s="147" t="s">
        <v>9658</v>
      </c>
      <c r="G4195" s="146" t="s">
        <v>109</v>
      </c>
      <c r="H4195" s="146" t="s">
        <v>52</v>
      </c>
      <c r="I4195" s="147" t="s">
        <v>8982</v>
      </c>
      <c r="J4195" s="147" t="s">
        <v>104</v>
      </c>
      <c r="K4195" s="148"/>
      <c r="L4195" s="149"/>
      <c r="M4195" s="148"/>
    </row>
    <row r="4196" spans="1:13" ht="15" customHeight="1">
      <c r="A4196" s="142" t="s">
        <v>9659</v>
      </c>
      <c r="B4196" s="142">
        <v>518183</v>
      </c>
      <c r="C4196" s="143" t="s">
        <v>3874</v>
      </c>
      <c r="D4196" s="142" t="s">
        <v>5640</v>
      </c>
      <c r="E4196" s="143" t="s">
        <v>9303</v>
      </c>
      <c r="F4196" s="143" t="s">
        <v>1790</v>
      </c>
      <c r="G4196" s="142" t="s">
        <v>109</v>
      </c>
      <c r="H4196" s="142" t="s">
        <v>52</v>
      </c>
      <c r="I4196" s="143" t="s">
        <v>8982</v>
      </c>
      <c r="J4196" s="143" t="s">
        <v>104</v>
      </c>
      <c r="K4196" s="144"/>
      <c r="L4196" s="145"/>
      <c r="M4196" s="144"/>
    </row>
    <row r="4197" spans="1:13" ht="15" customHeight="1">
      <c r="A4197" s="146" t="s">
        <v>9660</v>
      </c>
      <c r="B4197" s="146">
        <v>521595</v>
      </c>
      <c r="C4197" s="147" t="s">
        <v>9661</v>
      </c>
      <c r="D4197" s="146" t="s">
        <v>5640</v>
      </c>
      <c r="E4197" s="147" t="s">
        <v>9268</v>
      </c>
      <c r="F4197" s="147" t="s">
        <v>9662</v>
      </c>
      <c r="G4197" s="146" t="s">
        <v>109</v>
      </c>
      <c r="H4197" s="146" t="s">
        <v>52</v>
      </c>
      <c r="I4197" s="147" t="s">
        <v>8982</v>
      </c>
      <c r="J4197" s="147" t="s">
        <v>104</v>
      </c>
      <c r="K4197" s="148"/>
      <c r="L4197" s="149"/>
      <c r="M4197" s="148"/>
    </row>
    <row r="4198" spans="1:13" ht="15" customHeight="1">
      <c r="A4198" s="142" t="s">
        <v>9663</v>
      </c>
      <c r="B4198" s="142">
        <v>514216</v>
      </c>
      <c r="C4198" s="143" t="s">
        <v>9664</v>
      </c>
      <c r="D4198" s="142" t="s">
        <v>553</v>
      </c>
      <c r="E4198" s="143" t="s">
        <v>3130</v>
      </c>
      <c r="F4198" s="143" t="s">
        <v>9665</v>
      </c>
      <c r="G4198" s="142" t="s">
        <v>109</v>
      </c>
      <c r="H4198" s="142" t="s">
        <v>52</v>
      </c>
      <c r="I4198" s="143" t="s">
        <v>2927</v>
      </c>
      <c r="J4198" s="143" t="s">
        <v>104</v>
      </c>
      <c r="K4198" s="144"/>
      <c r="L4198" s="145"/>
      <c r="M4198" s="144"/>
    </row>
    <row r="4199" spans="1:13" ht="15" customHeight="1">
      <c r="A4199" s="146" t="s">
        <v>9666</v>
      </c>
      <c r="B4199" s="146">
        <v>517417</v>
      </c>
      <c r="C4199" s="147" t="s">
        <v>9667</v>
      </c>
      <c r="D4199" s="146" t="s">
        <v>5640</v>
      </c>
      <c r="E4199" s="147" t="s">
        <v>9103</v>
      </c>
      <c r="F4199" s="147" t="s">
        <v>9668</v>
      </c>
      <c r="G4199" s="146" t="s">
        <v>109</v>
      </c>
      <c r="H4199" s="146" t="s">
        <v>52</v>
      </c>
      <c r="I4199" s="147" t="s">
        <v>8982</v>
      </c>
      <c r="J4199" s="147" t="s">
        <v>104</v>
      </c>
      <c r="K4199" s="148"/>
      <c r="L4199" s="149"/>
      <c r="M4199" s="148"/>
    </row>
    <row r="4200" spans="1:13" ht="15" customHeight="1">
      <c r="A4200" s="142" t="s">
        <v>9669</v>
      </c>
      <c r="B4200" s="142">
        <v>514302</v>
      </c>
      <c r="C4200" s="143" t="s">
        <v>9670</v>
      </c>
      <c r="D4200" s="142" t="s">
        <v>553</v>
      </c>
      <c r="E4200" s="143" t="s">
        <v>3227</v>
      </c>
      <c r="F4200" s="143" t="s">
        <v>9671</v>
      </c>
      <c r="G4200" s="142" t="s">
        <v>109</v>
      </c>
      <c r="H4200" s="142" t="s">
        <v>52</v>
      </c>
      <c r="I4200" s="143" t="s">
        <v>8982</v>
      </c>
      <c r="J4200" s="143" t="s">
        <v>104</v>
      </c>
      <c r="K4200" s="144"/>
      <c r="L4200" s="145"/>
      <c r="M4200" s="144"/>
    </row>
    <row r="4201" spans="1:13" ht="15" customHeight="1">
      <c r="A4201" s="146" t="s">
        <v>9672</v>
      </c>
      <c r="B4201" s="146">
        <v>514228</v>
      </c>
      <c r="C4201" s="147" t="s">
        <v>129</v>
      </c>
      <c r="D4201" s="146" t="s">
        <v>553</v>
      </c>
      <c r="E4201" s="147" t="s">
        <v>9673</v>
      </c>
      <c r="F4201" s="147" t="s">
        <v>9674</v>
      </c>
      <c r="G4201" s="146" t="s">
        <v>109</v>
      </c>
      <c r="H4201" s="146" t="s">
        <v>52</v>
      </c>
      <c r="I4201" s="147" t="s">
        <v>8982</v>
      </c>
      <c r="J4201" s="147" t="s">
        <v>104</v>
      </c>
      <c r="K4201" s="148"/>
      <c r="L4201" s="149"/>
      <c r="M4201" s="148"/>
    </row>
    <row r="4202" spans="1:13" ht="15" customHeight="1">
      <c r="A4202" s="142" t="s">
        <v>9675</v>
      </c>
      <c r="B4202" s="142">
        <v>513067</v>
      </c>
      <c r="C4202" s="143" t="s">
        <v>2212</v>
      </c>
      <c r="D4202" s="142" t="s">
        <v>553</v>
      </c>
      <c r="E4202" s="143" t="s">
        <v>2926</v>
      </c>
      <c r="F4202" s="143" t="s">
        <v>9676</v>
      </c>
      <c r="G4202" s="142" t="s">
        <v>109</v>
      </c>
      <c r="H4202" s="142" t="s">
        <v>52</v>
      </c>
      <c r="I4202" s="143" t="s">
        <v>2927</v>
      </c>
      <c r="J4202" s="143" t="s">
        <v>104</v>
      </c>
      <c r="K4202" s="144"/>
      <c r="L4202" s="145"/>
      <c r="M4202" s="144"/>
    </row>
    <row r="4203" spans="1:13" ht="15" customHeight="1">
      <c r="A4203" s="146" t="s">
        <v>9677</v>
      </c>
      <c r="B4203" s="146">
        <v>514303</v>
      </c>
      <c r="C4203" s="147" t="s">
        <v>8775</v>
      </c>
      <c r="D4203" s="146" t="s">
        <v>553</v>
      </c>
      <c r="E4203" s="147" t="s">
        <v>3227</v>
      </c>
      <c r="F4203" s="147" t="s">
        <v>9678</v>
      </c>
      <c r="G4203" s="146" t="s">
        <v>109</v>
      </c>
      <c r="H4203" s="146" t="s">
        <v>52</v>
      </c>
      <c r="I4203" s="147" t="s">
        <v>8982</v>
      </c>
      <c r="J4203" s="147" t="s">
        <v>104</v>
      </c>
      <c r="K4203" s="148"/>
      <c r="L4203" s="149"/>
      <c r="M4203" s="148"/>
    </row>
    <row r="4204" spans="1:13" ht="15" customHeight="1">
      <c r="A4204" s="142" t="s">
        <v>9679</v>
      </c>
      <c r="B4204" s="142">
        <v>514223</v>
      </c>
      <c r="C4204" s="143" t="s">
        <v>2273</v>
      </c>
      <c r="D4204" s="142" t="s">
        <v>553</v>
      </c>
      <c r="E4204" s="143" t="s">
        <v>3130</v>
      </c>
      <c r="F4204" s="143" t="s">
        <v>9680</v>
      </c>
      <c r="G4204" s="142" t="s">
        <v>109</v>
      </c>
      <c r="H4204" s="142" t="s">
        <v>52</v>
      </c>
      <c r="I4204" s="143" t="s">
        <v>2927</v>
      </c>
      <c r="J4204" s="143" t="s">
        <v>104</v>
      </c>
      <c r="K4204" s="144"/>
      <c r="L4204" s="145"/>
      <c r="M4204" s="144"/>
    </row>
    <row r="4205" spans="1:13" ht="15" customHeight="1">
      <c r="A4205" s="146" t="s">
        <v>9681</v>
      </c>
      <c r="B4205" s="146">
        <v>514229</v>
      </c>
      <c r="C4205" s="147" t="s">
        <v>9682</v>
      </c>
      <c r="D4205" s="146" t="s">
        <v>553</v>
      </c>
      <c r="E4205" s="147" t="s">
        <v>3360</v>
      </c>
      <c r="F4205" s="147" t="s">
        <v>9683</v>
      </c>
      <c r="G4205" s="146" t="s">
        <v>109</v>
      </c>
      <c r="H4205" s="146" t="s">
        <v>52</v>
      </c>
      <c r="I4205" s="147" t="s">
        <v>8982</v>
      </c>
      <c r="J4205" s="147" t="s">
        <v>104</v>
      </c>
      <c r="K4205" s="148"/>
      <c r="L4205" s="149"/>
      <c r="M4205" s="148"/>
    </row>
    <row r="4206" spans="1:13" ht="15" customHeight="1">
      <c r="A4206" s="142" t="s">
        <v>9684</v>
      </c>
      <c r="B4206" s="142">
        <v>514258</v>
      </c>
      <c r="C4206" s="143" t="s">
        <v>1116</v>
      </c>
      <c r="D4206" s="142" t="s">
        <v>553</v>
      </c>
      <c r="E4206" s="143" t="s">
        <v>9685</v>
      </c>
      <c r="F4206" s="143" t="s">
        <v>9686</v>
      </c>
      <c r="G4206" s="142" t="s">
        <v>109</v>
      </c>
      <c r="H4206" s="142" t="s">
        <v>52</v>
      </c>
      <c r="I4206" s="143" t="s">
        <v>2927</v>
      </c>
      <c r="J4206" s="143" t="s">
        <v>104</v>
      </c>
      <c r="K4206" s="144" t="s">
        <v>121</v>
      </c>
      <c r="L4206" s="145">
        <v>46148</v>
      </c>
      <c r="M4206" s="144"/>
    </row>
    <row r="4207" spans="1:13" ht="15" customHeight="1">
      <c r="A4207" s="146" t="s">
        <v>9687</v>
      </c>
      <c r="B4207" s="146">
        <v>514214</v>
      </c>
      <c r="C4207" s="147" t="s">
        <v>9688</v>
      </c>
      <c r="D4207" s="146" t="s">
        <v>553</v>
      </c>
      <c r="E4207" s="147" t="s">
        <v>3130</v>
      </c>
      <c r="F4207" s="147" t="s">
        <v>9689</v>
      </c>
      <c r="G4207" s="146" t="s">
        <v>109</v>
      </c>
      <c r="H4207" s="146" t="s">
        <v>52</v>
      </c>
      <c r="I4207" s="147" t="s">
        <v>2927</v>
      </c>
      <c r="J4207" s="147" t="s">
        <v>104</v>
      </c>
      <c r="K4207" s="148"/>
      <c r="L4207" s="149"/>
      <c r="M4207" s="148"/>
    </row>
    <row r="4208" spans="1:13" ht="15" customHeight="1">
      <c r="A4208" s="142" t="s">
        <v>9690</v>
      </c>
      <c r="B4208" s="142">
        <v>514259</v>
      </c>
      <c r="C4208" s="143" t="s">
        <v>9691</v>
      </c>
      <c r="D4208" s="142" t="s">
        <v>553</v>
      </c>
      <c r="E4208" s="143" t="s">
        <v>9685</v>
      </c>
      <c r="F4208" s="143" t="s">
        <v>9692</v>
      </c>
      <c r="G4208" s="142" t="s">
        <v>109</v>
      </c>
      <c r="H4208" s="142" t="s">
        <v>52</v>
      </c>
      <c r="I4208" s="143" t="s">
        <v>2927</v>
      </c>
      <c r="J4208" s="143" t="s">
        <v>104</v>
      </c>
      <c r="K4208" s="144" t="s">
        <v>121</v>
      </c>
      <c r="L4208" s="145">
        <v>46150</v>
      </c>
      <c r="M4208" s="144"/>
    </row>
    <row r="4209" spans="1:13" ht="15" customHeight="1">
      <c r="A4209" s="146" t="s">
        <v>9693</v>
      </c>
      <c r="B4209" s="146">
        <v>514234</v>
      </c>
      <c r="C4209" s="147" t="s">
        <v>9694</v>
      </c>
      <c r="D4209" s="146" t="s">
        <v>553</v>
      </c>
      <c r="E4209" s="147" t="s">
        <v>3360</v>
      </c>
      <c r="F4209" s="147" t="s">
        <v>9695</v>
      </c>
      <c r="G4209" s="146" t="s">
        <v>109</v>
      </c>
      <c r="H4209" s="146" t="s">
        <v>52</v>
      </c>
      <c r="I4209" s="147" t="s">
        <v>8982</v>
      </c>
      <c r="J4209" s="147" t="s">
        <v>104</v>
      </c>
      <c r="K4209" s="148"/>
      <c r="L4209" s="149"/>
      <c r="M4209" s="148"/>
    </row>
    <row r="4210" spans="1:13" ht="15" customHeight="1">
      <c r="A4210" s="142" t="s">
        <v>9696</v>
      </c>
      <c r="B4210" s="142">
        <v>514277</v>
      </c>
      <c r="C4210" s="143" t="s">
        <v>9697</v>
      </c>
      <c r="D4210" s="142" t="s">
        <v>553</v>
      </c>
      <c r="E4210" s="143" t="s">
        <v>9685</v>
      </c>
      <c r="F4210" s="143" t="s">
        <v>9698</v>
      </c>
      <c r="G4210" s="142" t="s">
        <v>109</v>
      </c>
      <c r="H4210" s="142" t="s">
        <v>52</v>
      </c>
      <c r="I4210" s="143" t="s">
        <v>2927</v>
      </c>
      <c r="J4210" s="143" t="s">
        <v>104</v>
      </c>
      <c r="K4210" s="144" t="s">
        <v>121</v>
      </c>
      <c r="L4210" s="145">
        <v>46149</v>
      </c>
      <c r="M4210" s="144"/>
    </row>
    <row r="4211" spans="1:13" ht="15" customHeight="1">
      <c r="A4211" s="146" t="s">
        <v>9699</v>
      </c>
      <c r="B4211" s="146">
        <v>514215</v>
      </c>
      <c r="C4211" s="147" t="s">
        <v>9700</v>
      </c>
      <c r="D4211" s="146" t="s">
        <v>553</v>
      </c>
      <c r="E4211" s="147" t="s">
        <v>3130</v>
      </c>
      <c r="F4211" s="147" t="s">
        <v>9665</v>
      </c>
      <c r="G4211" s="146" t="s">
        <v>109</v>
      </c>
      <c r="H4211" s="146" t="s">
        <v>52</v>
      </c>
      <c r="I4211" s="147" t="s">
        <v>2927</v>
      </c>
      <c r="J4211" s="147" t="s">
        <v>104</v>
      </c>
      <c r="K4211" s="148"/>
      <c r="L4211" s="149"/>
      <c r="M4211" s="148"/>
    </row>
    <row r="4212" spans="1:13" ht="15" customHeight="1">
      <c r="A4212" s="142" t="s">
        <v>9701</v>
      </c>
      <c r="B4212" s="142">
        <v>514310</v>
      </c>
      <c r="C4212" s="143" t="s">
        <v>2639</v>
      </c>
      <c r="D4212" s="142" t="s">
        <v>553</v>
      </c>
      <c r="E4212" s="143" t="s">
        <v>3052</v>
      </c>
      <c r="F4212" s="143" t="s">
        <v>9702</v>
      </c>
      <c r="G4212" s="142" t="s">
        <v>109</v>
      </c>
      <c r="H4212" s="142" t="s">
        <v>52</v>
      </c>
      <c r="I4212" s="143" t="s">
        <v>2927</v>
      </c>
      <c r="J4212" s="143" t="s">
        <v>104</v>
      </c>
      <c r="K4212" s="144"/>
      <c r="L4212" s="145"/>
      <c r="M4212" s="144"/>
    </row>
    <row r="4213" spans="1:13" ht="15" customHeight="1">
      <c r="A4213" s="146" t="s">
        <v>9703</v>
      </c>
      <c r="B4213" s="146">
        <v>514309</v>
      </c>
      <c r="C4213" s="147" t="s">
        <v>9704</v>
      </c>
      <c r="D4213" s="146" t="s">
        <v>553</v>
      </c>
      <c r="E4213" s="147" t="s">
        <v>3130</v>
      </c>
      <c r="F4213" s="147" t="s">
        <v>9705</v>
      </c>
      <c r="G4213" s="146" t="s">
        <v>109</v>
      </c>
      <c r="H4213" s="146" t="s">
        <v>52</v>
      </c>
      <c r="I4213" s="147" t="s">
        <v>2927</v>
      </c>
      <c r="J4213" s="147" t="s">
        <v>104</v>
      </c>
      <c r="K4213" s="148"/>
      <c r="L4213" s="149"/>
      <c r="M4213" s="148"/>
    </row>
    <row r="4214" spans="1:13" ht="15" customHeight="1">
      <c r="A4214" s="142" t="s">
        <v>9706</v>
      </c>
      <c r="B4214" s="142">
        <v>514230</v>
      </c>
      <c r="C4214" s="143" t="s">
        <v>2746</v>
      </c>
      <c r="D4214" s="142" t="s">
        <v>553</v>
      </c>
      <c r="E4214" s="143" t="s">
        <v>3360</v>
      </c>
      <c r="F4214" s="143" t="s">
        <v>9242</v>
      </c>
      <c r="G4214" s="142" t="s">
        <v>109</v>
      </c>
      <c r="H4214" s="142" t="s">
        <v>52</v>
      </c>
      <c r="I4214" s="143" t="s">
        <v>8982</v>
      </c>
      <c r="J4214" s="143" t="s">
        <v>104</v>
      </c>
      <c r="K4214" s="144"/>
      <c r="L4214" s="145"/>
      <c r="M4214" s="144"/>
    </row>
    <row r="4215" spans="1:13" ht="15" customHeight="1">
      <c r="A4215" s="146" t="s">
        <v>9707</v>
      </c>
      <c r="B4215" s="146">
        <v>514176</v>
      </c>
      <c r="C4215" s="147" t="s">
        <v>9708</v>
      </c>
      <c r="D4215" s="146" t="s">
        <v>553</v>
      </c>
      <c r="E4215" s="147" t="s">
        <v>9673</v>
      </c>
      <c r="F4215" s="147" t="s">
        <v>9673</v>
      </c>
      <c r="G4215" s="146" t="s">
        <v>109</v>
      </c>
      <c r="H4215" s="146" t="s">
        <v>52</v>
      </c>
      <c r="I4215" s="147" t="s">
        <v>8982</v>
      </c>
      <c r="J4215" s="147" t="s">
        <v>104</v>
      </c>
      <c r="K4215" s="148"/>
      <c r="L4215" s="149"/>
      <c r="M4215" s="148"/>
    </row>
    <row r="4216" spans="1:13" ht="15" customHeight="1">
      <c r="A4216" s="142" t="s">
        <v>9709</v>
      </c>
      <c r="B4216" s="142">
        <v>517145</v>
      </c>
      <c r="C4216" s="143" t="s">
        <v>9710</v>
      </c>
      <c r="D4216" s="142" t="s">
        <v>5640</v>
      </c>
      <c r="E4216" s="143" t="s">
        <v>9279</v>
      </c>
      <c r="F4216" s="143" t="s">
        <v>9711</v>
      </c>
      <c r="G4216" s="142" t="s">
        <v>109</v>
      </c>
      <c r="H4216" s="142" t="s">
        <v>52</v>
      </c>
      <c r="I4216" s="143" t="s">
        <v>8982</v>
      </c>
      <c r="J4216" s="143" t="s">
        <v>104</v>
      </c>
      <c r="K4216" s="144"/>
      <c r="L4216" s="145"/>
      <c r="M4216" s="144"/>
    </row>
    <row r="4217" spans="1:13" ht="15" customHeight="1">
      <c r="A4217" s="146" t="s">
        <v>9712</v>
      </c>
      <c r="B4217" s="146">
        <v>517769</v>
      </c>
      <c r="C4217" s="147" t="s">
        <v>459</v>
      </c>
      <c r="D4217" s="146" t="s">
        <v>6458</v>
      </c>
      <c r="E4217" s="147" t="s">
        <v>9335</v>
      </c>
      <c r="F4217" s="147" t="s">
        <v>9335</v>
      </c>
      <c r="G4217" s="146" t="s">
        <v>109</v>
      </c>
      <c r="H4217" s="146" t="s">
        <v>52</v>
      </c>
      <c r="I4217" s="147" t="s">
        <v>2927</v>
      </c>
      <c r="J4217" s="147" t="s">
        <v>104</v>
      </c>
      <c r="K4217" s="148"/>
      <c r="L4217" s="149"/>
      <c r="M4217" s="148"/>
    </row>
    <row r="4218" spans="1:13" ht="15" customHeight="1">
      <c r="A4218" s="142" t="s">
        <v>9713</v>
      </c>
      <c r="B4218" s="142">
        <v>517184</v>
      </c>
      <c r="C4218" s="143" t="s">
        <v>9714</v>
      </c>
      <c r="D4218" s="142" t="s">
        <v>5640</v>
      </c>
      <c r="E4218" s="143" t="s">
        <v>9277</v>
      </c>
      <c r="F4218" s="143" t="s">
        <v>9715</v>
      </c>
      <c r="G4218" s="142" t="s">
        <v>109</v>
      </c>
      <c r="H4218" s="142" t="s">
        <v>52</v>
      </c>
      <c r="I4218" s="143" t="s">
        <v>8982</v>
      </c>
      <c r="J4218" s="143" t="s">
        <v>104</v>
      </c>
      <c r="K4218" s="144"/>
      <c r="L4218" s="145"/>
      <c r="M4218" s="144"/>
    </row>
    <row r="4219" spans="1:13" ht="15" customHeight="1">
      <c r="A4219" s="146" t="s">
        <v>9716</v>
      </c>
      <c r="B4219" s="146">
        <v>517500</v>
      </c>
      <c r="C4219" s="147" t="s">
        <v>9717</v>
      </c>
      <c r="D4219" s="146" t="s">
        <v>5640</v>
      </c>
      <c r="E4219" s="147" t="s">
        <v>1113</v>
      </c>
      <c r="F4219" s="147" t="s">
        <v>6596</v>
      </c>
      <c r="G4219" s="146" t="s">
        <v>109</v>
      </c>
      <c r="H4219" s="146" t="s">
        <v>52</v>
      </c>
      <c r="I4219" s="147" t="s">
        <v>8982</v>
      </c>
      <c r="J4219" s="147" t="s">
        <v>104</v>
      </c>
      <c r="K4219" s="148"/>
      <c r="L4219" s="149"/>
      <c r="M4219" s="148"/>
    </row>
    <row r="4220" spans="1:13" ht="15" customHeight="1">
      <c r="A4220" s="142" t="s">
        <v>9718</v>
      </c>
      <c r="B4220" s="142">
        <v>519724</v>
      </c>
      <c r="C4220" s="143" t="s">
        <v>9719</v>
      </c>
      <c r="D4220" s="142" t="s">
        <v>5640</v>
      </c>
      <c r="E4220" s="143" t="s">
        <v>9720</v>
      </c>
      <c r="F4220" s="143" t="s">
        <v>9721</v>
      </c>
      <c r="G4220" s="142" t="s">
        <v>109</v>
      </c>
      <c r="H4220" s="142" t="s">
        <v>52</v>
      </c>
      <c r="I4220" s="143" t="s">
        <v>8982</v>
      </c>
      <c r="J4220" s="143" t="s">
        <v>104</v>
      </c>
      <c r="K4220" s="144"/>
      <c r="L4220" s="145"/>
      <c r="M4220" s="144"/>
    </row>
    <row r="4221" spans="1:13" ht="15" customHeight="1">
      <c r="A4221" s="146" t="s">
        <v>9722</v>
      </c>
      <c r="B4221" s="146">
        <v>516965</v>
      </c>
      <c r="C4221" s="147" t="s">
        <v>1113</v>
      </c>
      <c r="D4221" s="146" t="s">
        <v>5640</v>
      </c>
      <c r="E4221" s="147" t="s">
        <v>8990</v>
      </c>
      <c r="F4221" s="147" t="s">
        <v>9723</v>
      </c>
      <c r="G4221" s="146" t="s">
        <v>109</v>
      </c>
      <c r="H4221" s="146" t="s">
        <v>52</v>
      </c>
      <c r="I4221" s="147" t="s">
        <v>8982</v>
      </c>
      <c r="J4221" s="147" t="s">
        <v>104</v>
      </c>
      <c r="K4221" s="148"/>
      <c r="L4221" s="149"/>
      <c r="M4221" s="148"/>
    </row>
    <row r="4222" spans="1:13" ht="15" customHeight="1">
      <c r="A4222" s="142" t="s">
        <v>9724</v>
      </c>
      <c r="B4222" s="142">
        <v>517906</v>
      </c>
      <c r="C4222" s="143" t="s">
        <v>1113</v>
      </c>
      <c r="D4222" s="142" t="s">
        <v>6458</v>
      </c>
      <c r="E4222" s="143" t="s">
        <v>9094</v>
      </c>
      <c r="F4222" s="143" t="s">
        <v>9725</v>
      </c>
      <c r="G4222" s="142" t="s">
        <v>109</v>
      </c>
      <c r="H4222" s="142" t="s">
        <v>52</v>
      </c>
      <c r="I4222" s="143" t="s">
        <v>2927</v>
      </c>
      <c r="J4222" s="143" t="s">
        <v>104</v>
      </c>
      <c r="K4222" s="144"/>
      <c r="L4222" s="145"/>
      <c r="M4222" s="144"/>
    </row>
    <row r="4223" spans="1:13" ht="15" customHeight="1">
      <c r="A4223" s="146" t="s">
        <v>9726</v>
      </c>
      <c r="B4223" s="146">
        <v>518752</v>
      </c>
      <c r="C4223" s="147" t="s">
        <v>1113</v>
      </c>
      <c r="D4223" s="146" t="s">
        <v>7142</v>
      </c>
      <c r="E4223" s="147" t="s">
        <v>9056</v>
      </c>
      <c r="F4223" s="147" t="s">
        <v>9366</v>
      </c>
      <c r="G4223" s="146" t="s">
        <v>109</v>
      </c>
      <c r="H4223" s="146" t="s">
        <v>52</v>
      </c>
      <c r="I4223" s="147" t="s">
        <v>2927</v>
      </c>
      <c r="J4223" s="147" t="s">
        <v>104</v>
      </c>
      <c r="K4223" s="148" t="s">
        <v>121</v>
      </c>
      <c r="L4223" s="149">
        <v>46147</v>
      </c>
      <c r="M4223" s="148"/>
    </row>
    <row r="4224" spans="1:13" ht="15" customHeight="1">
      <c r="A4224" s="142" t="s">
        <v>9727</v>
      </c>
      <c r="B4224" s="142">
        <v>517416</v>
      </c>
      <c r="C4224" s="143" t="s">
        <v>254</v>
      </c>
      <c r="D4224" s="142" t="s">
        <v>5640</v>
      </c>
      <c r="E4224" s="143" t="s">
        <v>9103</v>
      </c>
      <c r="F4224" s="143" t="s">
        <v>9728</v>
      </c>
      <c r="G4224" s="142" t="s">
        <v>109</v>
      </c>
      <c r="H4224" s="142" t="s">
        <v>52</v>
      </c>
      <c r="I4224" s="143" t="s">
        <v>8982</v>
      </c>
      <c r="J4224" s="143" t="s">
        <v>104</v>
      </c>
      <c r="K4224" s="144"/>
      <c r="L4224" s="145"/>
      <c r="M4224" s="144"/>
    </row>
    <row r="4225" spans="1:13" ht="15" customHeight="1">
      <c r="A4225" s="146" t="s">
        <v>9729</v>
      </c>
      <c r="B4225" s="146">
        <v>516915</v>
      </c>
      <c r="C4225" s="147" t="s">
        <v>254</v>
      </c>
      <c r="D4225" s="146" t="s">
        <v>5640</v>
      </c>
      <c r="E4225" s="147" t="s">
        <v>9030</v>
      </c>
      <c r="F4225" s="147" t="s">
        <v>9730</v>
      </c>
      <c r="G4225" s="146" t="s">
        <v>109</v>
      </c>
      <c r="H4225" s="146" t="s">
        <v>52</v>
      </c>
      <c r="I4225" s="147" t="s">
        <v>8982</v>
      </c>
      <c r="J4225" s="147" t="s">
        <v>104</v>
      </c>
      <c r="K4225" s="148"/>
      <c r="L4225" s="149"/>
      <c r="M4225" s="148"/>
    </row>
    <row r="4226" spans="1:13" ht="15" customHeight="1">
      <c r="A4226" s="142" t="s">
        <v>9731</v>
      </c>
      <c r="B4226" s="142">
        <v>517309</v>
      </c>
      <c r="C4226" s="143" t="s">
        <v>254</v>
      </c>
      <c r="D4226" s="142" t="s">
        <v>5640</v>
      </c>
      <c r="E4226" s="143" t="s">
        <v>9249</v>
      </c>
      <c r="F4226" s="143" t="s">
        <v>9732</v>
      </c>
      <c r="G4226" s="142" t="s">
        <v>109</v>
      </c>
      <c r="H4226" s="142" t="s">
        <v>52</v>
      </c>
      <c r="I4226" s="143" t="s">
        <v>8982</v>
      </c>
      <c r="J4226" s="143" t="s">
        <v>104</v>
      </c>
      <c r="K4226" s="144"/>
      <c r="L4226" s="145"/>
      <c r="M4226" s="144"/>
    </row>
    <row r="4227" spans="1:13" ht="15" customHeight="1">
      <c r="A4227" s="146" t="s">
        <v>9733</v>
      </c>
      <c r="B4227" s="146">
        <v>517226</v>
      </c>
      <c r="C4227" s="147" t="s">
        <v>254</v>
      </c>
      <c r="D4227" s="146" t="s">
        <v>5640</v>
      </c>
      <c r="E4227" s="147" t="s">
        <v>9004</v>
      </c>
      <c r="F4227" s="147" t="s">
        <v>9734</v>
      </c>
      <c r="G4227" s="146" t="s">
        <v>109</v>
      </c>
      <c r="H4227" s="146" t="s">
        <v>52</v>
      </c>
      <c r="I4227" s="147" t="s">
        <v>8982</v>
      </c>
      <c r="J4227" s="147" t="s">
        <v>104</v>
      </c>
      <c r="K4227" s="148"/>
      <c r="L4227" s="149"/>
      <c r="M4227" s="148"/>
    </row>
    <row r="4228" spans="1:13" ht="15" customHeight="1">
      <c r="A4228" s="142" t="s">
        <v>9735</v>
      </c>
      <c r="B4228" s="142">
        <v>517969</v>
      </c>
      <c r="C4228" s="143" t="s">
        <v>254</v>
      </c>
      <c r="D4228" s="142" t="s">
        <v>6458</v>
      </c>
      <c r="E4228" s="143" t="s">
        <v>9013</v>
      </c>
      <c r="F4228" s="143" t="s">
        <v>9736</v>
      </c>
      <c r="G4228" s="142" t="s">
        <v>109</v>
      </c>
      <c r="H4228" s="142" t="s">
        <v>52</v>
      </c>
      <c r="I4228" s="143" t="s">
        <v>2927</v>
      </c>
      <c r="J4228" s="143" t="s">
        <v>104</v>
      </c>
      <c r="K4228" s="144"/>
      <c r="L4228" s="145"/>
      <c r="M4228" s="144"/>
    </row>
    <row r="4229" spans="1:13" ht="15" customHeight="1">
      <c r="A4229" s="146" t="s">
        <v>9737</v>
      </c>
      <c r="B4229" s="146">
        <v>517165</v>
      </c>
      <c r="C4229" s="147" t="s">
        <v>254</v>
      </c>
      <c r="D4229" s="146" t="s">
        <v>5640</v>
      </c>
      <c r="E4229" s="147" t="s">
        <v>9030</v>
      </c>
      <c r="F4229" s="147" t="s">
        <v>9211</v>
      </c>
      <c r="G4229" s="146" t="s">
        <v>102</v>
      </c>
      <c r="H4229" s="146" t="s">
        <v>52</v>
      </c>
      <c r="I4229" s="147" t="s">
        <v>8982</v>
      </c>
      <c r="J4229" s="147" t="s">
        <v>104</v>
      </c>
      <c r="K4229" s="148" t="s">
        <v>121</v>
      </c>
      <c r="L4229" s="149">
        <v>46150</v>
      </c>
      <c r="M4229" s="148"/>
    </row>
    <row r="4230" spans="1:13" ht="15" customHeight="1">
      <c r="A4230" s="142" t="s">
        <v>9738</v>
      </c>
      <c r="B4230" s="142">
        <v>517444</v>
      </c>
      <c r="C4230" s="143" t="s">
        <v>9739</v>
      </c>
      <c r="D4230" s="142" t="s">
        <v>5640</v>
      </c>
      <c r="E4230" s="143" t="s">
        <v>9279</v>
      </c>
      <c r="F4230" s="143" t="s">
        <v>9280</v>
      </c>
      <c r="G4230" s="142" t="s">
        <v>109</v>
      </c>
      <c r="H4230" s="142" t="s">
        <v>52</v>
      </c>
      <c r="I4230" s="143" t="s">
        <v>8982</v>
      </c>
      <c r="J4230" s="143" t="s">
        <v>104</v>
      </c>
      <c r="K4230" s="144"/>
      <c r="L4230" s="145"/>
      <c r="M4230" s="144"/>
    </row>
    <row r="4231" spans="1:13" ht="15" customHeight="1">
      <c r="A4231" s="146" t="s">
        <v>9740</v>
      </c>
      <c r="B4231" s="146">
        <v>517351</v>
      </c>
      <c r="C4231" s="147" t="s">
        <v>9741</v>
      </c>
      <c r="D4231" s="146" t="s">
        <v>5640</v>
      </c>
      <c r="E4231" s="147" t="s">
        <v>9279</v>
      </c>
      <c r="F4231" s="147" t="s">
        <v>9742</v>
      </c>
      <c r="G4231" s="146" t="s">
        <v>109</v>
      </c>
      <c r="H4231" s="146" t="s">
        <v>52</v>
      </c>
      <c r="I4231" s="147" t="s">
        <v>8982</v>
      </c>
      <c r="J4231" s="147" t="s">
        <v>104</v>
      </c>
      <c r="K4231" s="148"/>
      <c r="L4231" s="149"/>
      <c r="M4231" s="148"/>
    </row>
    <row r="4232" spans="1:13" ht="15" customHeight="1">
      <c r="A4232" s="142" t="s">
        <v>9743</v>
      </c>
      <c r="B4232" s="142">
        <v>516873</v>
      </c>
      <c r="C4232" s="143" t="s">
        <v>9744</v>
      </c>
      <c r="D4232" s="142" t="s">
        <v>5640</v>
      </c>
      <c r="E4232" s="143" t="s">
        <v>3023</v>
      </c>
      <c r="F4232" s="143" t="s">
        <v>9745</v>
      </c>
      <c r="G4232" s="142" t="s">
        <v>109</v>
      </c>
      <c r="H4232" s="142" t="s">
        <v>52</v>
      </c>
      <c r="I4232" s="143" t="s">
        <v>8982</v>
      </c>
      <c r="J4232" s="143" t="s">
        <v>104</v>
      </c>
      <c r="K4232" s="144"/>
      <c r="L4232" s="145"/>
      <c r="M4232" s="144"/>
    </row>
    <row r="4233" spans="1:13" ht="15" customHeight="1">
      <c r="A4233" s="146" t="s">
        <v>9746</v>
      </c>
      <c r="B4233" s="146">
        <v>517899</v>
      </c>
      <c r="C4233" s="147" t="s">
        <v>5850</v>
      </c>
      <c r="D4233" s="146" t="s">
        <v>6458</v>
      </c>
      <c r="E4233" s="147" t="s">
        <v>1714</v>
      </c>
      <c r="F4233" s="147" t="s">
        <v>9747</v>
      </c>
      <c r="G4233" s="146" t="s">
        <v>109</v>
      </c>
      <c r="H4233" s="146" t="s">
        <v>52</v>
      </c>
      <c r="I4233" s="147" t="s">
        <v>2927</v>
      </c>
      <c r="J4233" s="147" t="s">
        <v>104</v>
      </c>
      <c r="K4233" s="148"/>
      <c r="L4233" s="149"/>
      <c r="M4233" s="148"/>
    </row>
    <row r="4234" spans="1:13" ht="15" customHeight="1">
      <c r="A4234" s="142" t="s">
        <v>9748</v>
      </c>
      <c r="B4234" s="142">
        <v>517891</v>
      </c>
      <c r="C4234" s="143" t="s">
        <v>9749</v>
      </c>
      <c r="D4234" s="142" t="s">
        <v>6458</v>
      </c>
      <c r="E4234" s="143" t="s">
        <v>1714</v>
      </c>
      <c r="F4234" s="143" t="s">
        <v>1714</v>
      </c>
      <c r="G4234" s="142" t="s">
        <v>109</v>
      </c>
      <c r="H4234" s="142" t="s">
        <v>52</v>
      </c>
      <c r="I4234" s="143" t="s">
        <v>2927</v>
      </c>
      <c r="J4234" s="143" t="s">
        <v>104</v>
      </c>
      <c r="K4234" s="144"/>
      <c r="L4234" s="145"/>
      <c r="M4234" s="144"/>
    </row>
    <row r="4235" spans="1:13" ht="15" customHeight="1">
      <c r="A4235" s="155" t="s">
        <v>9750</v>
      </c>
      <c r="B4235" s="155">
        <v>517964</v>
      </c>
      <c r="C4235" s="156" t="s">
        <v>3643</v>
      </c>
      <c r="D4235" s="155" t="s">
        <v>6458</v>
      </c>
      <c r="E4235" s="156" t="s">
        <v>1714</v>
      </c>
      <c r="F4235" s="156" t="s">
        <v>9751</v>
      </c>
      <c r="G4235" s="155" t="s">
        <v>109</v>
      </c>
      <c r="H4235" s="155" t="s">
        <v>52</v>
      </c>
      <c r="I4235" s="156" t="s">
        <v>2927</v>
      </c>
      <c r="J4235" s="156" t="s">
        <v>104</v>
      </c>
      <c r="K4235" s="157"/>
      <c r="L4235" s="158"/>
      <c r="M4235" s="157"/>
    </row>
  </sheetData>
  <mergeCells count="3">
    <mergeCell ref="A1:M2"/>
    <mergeCell ref="A3:M3"/>
    <mergeCell ref="A4:M4"/>
  </mergeCells>
  <conditionalFormatting sqref="K6:K4235">
    <cfRule type="expression" dxfId="59" priority="1">
      <formula>EXACT($K6,"INSTALADO - OPERANDO")</formula>
    </cfRule>
    <cfRule type="expression" dxfId="58" priority="2">
      <formula>EXACT($K6,"INSTALADO - SIN SEÑAL")</formula>
    </cfRule>
    <cfRule type="expression" dxfId="57" priority="3">
      <formula>EXACT($K6,"EQUIPO EN ALMACÉN")</formula>
    </cfRule>
    <cfRule type="expression" dxfId="56" priority="4">
      <formula>EXACT($K6,"PROGRAMADO")</formula>
    </cfRule>
    <cfRule type="expression" dxfId="55" priority="5">
      <formula>EXACT($K6,"VISITADO")</formula>
    </cfRule>
    <cfRule type="expression" dxfId="54" priority="6">
      <formula>EXACT($K6,"SIN INMUEBLE")</formula>
    </cfRule>
  </conditionalFormatting>
  <dataValidations count="1">
    <dataValidation type="list" allowBlank="1" showErrorMessage="1" errorTitle="Estatus inválido" error="Selecciona un valor de la lista." sqref="K6:K4235" xr:uid="{20404A19-DC7D-42EE-8D26-B1D8D6650F3D}">
      <formula1>"INSTALADO - OPERANDO,INSTALADO - SIN SEÑAL,EQUIPO EN ALMACÉN,PROGRAMADO,VISITADO,SIN INMUEBLE"</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C6312-82F9-49F7-AB5C-33B45DA93F92}">
  <dimension ref="A1:C4231"/>
  <sheetViews>
    <sheetView workbookViewId="0"/>
  </sheetViews>
  <sheetFormatPr defaultColWidth="8.85546875" defaultRowHeight="15"/>
  <cols>
    <col min="1" max="1" width="16.140625" customWidth="1"/>
    <col min="2" max="2" width="13.7109375" customWidth="1"/>
    <col min="3" max="3" width="19.85546875" customWidth="1"/>
  </cols>
  <sheetData>
    <row r="1" spans="1:3">
      <c r="A1" s="183" t="s">
        <v>84</v>
      </c>
      <c r="B1" s="183" t="s">
        <v>9752</v>
      </c>
      <c r="C1" s="183" t="s">
        <v>9753</v>
      </c>
    </row>
    <row r="2" spans="1:3">
      <c r="A2" s="184" t="s">
        <v>97</v>
      </c>
      <c r="B2" s="184">
        <v>32.520721100000003</v>
      </c>
      <c r="C2" s="184">
        <v>-116.973457</v>
      </c>
    </row>
    <row r="3" spans="1:3">
      <c r="A3" s="184" t="s">
        <v>105</v>
      </c>
      <c r="B3" s="184">
        <v>30.694011960000001</v>
      </c>
      <c r="C3" s="184">
        <v>-116.0011569</v>
      </c>
    </row>
    <row r="4" spans="1:3">
      <c r="A4" s="184" t="s">
        <v>110</v>
      </c>
      <c r="B4" s="184">
        <v>31.827450899999999</v>
      </c>
      <c r="C4" s="184">
        <v>-116.5854393</v>
      </c>
    </row>
    <row r="5" spans="1:3">
      <c r="A5" s="184" t="s">
        <v>113</v>
      </c>
      <c r="B5" s="184">
        <v>30.041073999999998</v>
      </c>
      <c r="C5" s="184">
        <v>-115.7379753</v>
      </c>
    </row>
    <row r="6" spans="1:3">
      <c r="A6" s="184" t="s">
        <v>116</v>
      </c>
      <c r="B6" s="184">
        <v>30.465363100000001</v>
      </c>
      <c r="C6" s="184">
        <v>-115.91857779999999</v>
      </c>
    </row>
    <row r="7" spans="1:3">
      <c r="A7" s="184" t="s">
        <v>119</v>
      </c>
      <c r="B7" s="184">
        <v>32.467778989999999</v>
      </c>
      <c r="C7" s="184">
        <v>-116.78183110000001</v>
      </c>
    </row>
    <row r="8" spans="1:3">
      <c r="A8" s="184" t="s">
        <v>122</v>
      </c>
      <c r="B8" s="184">
        <v>32.54817465</v>
      </c>
      <c r="C8" s="184">
        <v>-116.6502136</v>
      </c>
    </row>
    <row r="9" spans="1:3">
      <c r="A9" s="184" t="s">
        <v>125</v>
      </c>
      <c r="B9" s="184">
        <v>31.799396999999999</v>
      </c>
      <c r="C9" s="184">
        <v>-116.5909546</v>
      </c>
    </row>
    <row r="10" spans="1:3">
      <c r="A10" s="184" t="s">
        <v>128</v>
      </c>
      <c r="B10" s="184">
        <v>31.28797342</v>
      </c>
      <c r="C10" s="184">
        <v>-116.2136337</v>
      </c>
    </row>
    <row r="11" spans="1:3">
      <c r="A11" s="184" t="s">
        <v>131</v>
      </c>
      <c r="B11" s="184">
        <v>31.86806421</v>
      </c>
      <c r="C11" s="184">
        <v>-116.5886143</v>
      </c>
    </row>
    <row r="12" spans="1:3">
      <c r="A12" s="184" t="s">
        <v>134</v>
      </c>
      <c r="B12" s="184">
        <v>32.422114000000001</v>
      </c>
      <c r="C12" s="184">
        <v>-116.883067</v>
      </c>
    </row>
    <row r="13" spans="1:3">
      <c r="A13" s="184" t="s">
        <v>136</v>
      </c>
      <c r="B13" s="184">
        <v>32.526991279999997</v>
      </c>
      <c r="C13" s="184">
        <v>-116.8275696</v>
      </c>
    </row>
    <row r="14" spans="1:3">
      <c r="A14" s="184" t="s">
        <v>139</v>
      </c>
      <c r="B14" s="184">
        <v>32.413130000000002</v>
      </c>
      <c r="C14" s="184">
        <v>-116.9831118</v>
      </c>
    </row>
    <row r="15" spans="1:3">
      <c r="A15" s="184" t="s">
        <v>142</v>
      </c>
      <c r="B15" s="184">
        <v>32.268286809999999</v>
      </c>
      <c r="C15" s="184">
        <v>-116.95794309999999</v>
      </c>
    </row>
    <row r="16" spans="1:3">
      <c r="A16" s="184" t="s">
        <v>145</v>
      </c>
      <c r="B16" s="184">
        <v>32.6659924</v>
      </c>
      <c r="C16" s="184">
        <v>-115.41417</v>
      </c>
    </row>
    <row r="17" spans="1:3">
      <c r="A17" s="184" t="s">
        <v>149</v>
      </c>
      <c r="B17" s="184">
        <v>32.481112199999998</v>
      </c>
      <c r="C17" s="184">
        <v>-117.0741561</v>
      </c>
    </row>
    <row r="18" spans="1:3">
      <c r="A18" s="184" t="s">
        <v>151</v>
      </c>
      <c r="B18" s="184">
        <v>31.88490977</v>
      </c>
      <c r="C18" s="184">
        <v>-116.5376631</v>
      </c>
    </row>
    <row r="19" spans="1:3">
      <c r="A19" s="184" t="s">
        <v>153</v>
      </c>
      <c r="B19" s="184">
        <v>32.540522160000002</v>
      </c>
      <c r="C19" s="184">
        <v>-115.5265311</v>
      </c>
    </row>
    <row r="20" spans="1:3">
      <c r="A20" s="184" t="s">
        <v>156</v>
      </c>
      <c r="B20" s="184">
        <v>32.469145099999999</v>
      </c>
      <c r="C20" s="184">
        <v>-114.9692342</v>
      </c>
    </row>
    <row r="21" spans="1:3">
      <c r="A21" s="184" t="s">
        <v>159</v>
      </c>
      <c r="B21" s="184">
        <v>32.241164740000002</v>
      </c>
      <c r="C21" s="184">
        <v>-115.0997146</v>
      </c>
    </row>
    <row r="22" spans="1:3">
      <c r="A22" s="184" t="s">
        <v>163</v>
      </c>
      <c r="B22" s="184">
        <v>32.533110880000002</v>
      </c>
      <c r="C22" s="184">
        <v>-116.4028943</v>
      </c>
    </row>
    <row r="23" spans="1:3">
      <c r="A23" s="184" t="s">
        <v>166</v>
      </c>
      <c r="B23" s="184">
        <v>32.48989942</v>
      </c>
      <c r="C23" s="184">
        <v>-117.0868298</v>
      </c>
    </row>
    <row r="24" spans="1:3">
      <c r="A24" s="184" t="s">
        <v>169</v>
      </c>
      <c r="B24" s="184">
        <v>32.505463489999997</v>
      </c>
      <c r="C24" s="184">
        <v>-117.0917948</v>
      </c>
    </row>
    <row r="25" spans="1:3">
      <c r="A25" s="184" t="s">
        <v>171</v>
      </c>
      <c r="B25" s="184">
        <v>32.443311909999998</v>
      </c>
      <c r="C25" s="184">
        <v>-116.9802363</v>
      </c>
    </row>
    <row r="26" spans="1:3">
      <c r="A26" s="184" t="s">
        <v>173</v>
      </c>
      <c r="B26" s="184">
        <v>32.471335789999998</v>
      </c>
      <c r="C26" s="184">
        <v>-116.98208630000001</v>
      </c>
    </row>
    <row r="27" spans="1:3">
      <c r="A27" s="184" t="s">
        <v>175</v>
      </c>
      <c r="B27" s="184">
        <v>31.584430050000002</v>
      </c>
      <c r="C27" s="184">
        <v>-116.42555780000001</v>
      </c>
    </row>
    <row r="28" spans="1:3">
      <c r="A28" s="184" t="s">
        <v>178</v>
      </c>
      <c r="B28" s="184">
        <v>32.079802049999998</v>
      </c>
      <c r="C28" s="184">
        <v>-116.570268</v>
      </c>
    </row>
    <row r="29" spans="1:3">
      <c r="A29" s="184" t="s">
        <v>180</v>
      </c>
      <c r="B29" s="184">
        <v>32.486003439999998</v>
      </c>
      <c r="C29" s="184">
        <v>-116.5865551</v>
      </c>
    </row>
    <row r="30" spans="1:3">
      <c r="A30" s="184" t="s">
        <v>183</v>
      </c>
      <c r="B30" s="184">
        <v>31.8667427</v>
      </c>
      <c r="C30" s="184">
        <v>-116.5963713</v>
      </c>
    </row>
    <row r="31" spans="1:3">
      <c r="A31" s="184" t="s">
        <v>186</v>
      </c>
      <c r="B31" s="184">
        <v>32.462905169999999</v>
      </c>
      <c r="C31" s="184">
        <v>-116.9821109</v>
      </c>
    </row>
    <row r="32" spans="1:3">
      <c r="A32" s="184" t="s">
        <v>188</v>
      </c>
      <c r="B32" s="184">
        <v>31.91473169</v>
      </c>
      <c r="C32" s="184">
        <v>-116.2025103</v>
      </c>
    </row>
    <row r="33" spans="1:3">
      <c r="A33" s="184" t="s">
        <v>191</v>
      </c>
      <c r="B33" s="184">
        <v>31.8825766</v>
      </c>
      <c r="C33" s="184">
        <v>-116.6165843</v>
      </c>
    </row>
    <row r="34" spans="1:3">
      <c r="A34" s="184" t="s">
        <v>194</v>
      </c>
      <c r="B34" s="184">
        <v>32.636927999999997</v>
      </c>
      <c r="C34" s="184">
        <v>-115.3892352</v>
      </c>
    </row>
    <row r="35" spans="1:3">
      <c r="A35" s="184" t="s">
        <v>197</v>
      </c>
      <c r="B35" s="184">
        <v>32.47135462</v>
      </c>
      <c r="C35" s="184">
        <v>-116.8610087</v>
      </c>
    </row>
    <row r="36" spans="1:3">
      <c r="A36" s="184" t="s">
        <v>200</v>
      </c>
      <c r="B36" s="184">
        <v>31.873433599999998</v>
      </c>
      <c r="C36" s="184">
        <v>-116.588544</v>
      </c>
    </row>
    <row r="37" spans="1:3">
      <c r="A37" s="184" t="s">
        <v>203</v>
      </c>
      <c r="B37" s="184">
        <v>31.807656099999999</v>
      </c>
      <c r="C37" s="184">
        <v>-116.59398830000001</v>
      </c>
    </row>
    <row r="38" spans="1:3">
      <c r="A38" s="184" t="s">
        <v>206</v>
      </c>
      <c r="B38" s="184">
        <v>32.343826</v>
      </c>
      <c r="C38" s="184">
        <v>-117.012657</v>
      </c>
    </row>
    <row r="39" spans="1:3">
      <c r="A39" s="184" t="s">
        <v>209</v>
      </c>
      <c r="B39" s="184">
        <v>32.471068199999998</v>
      </c>
      <c r="C39" s="184">
        <v>-116.9822278</v>
      </c>
    </row>
    <row r="40" spans="1:3">
      <c r="A40" s="184" t="s">
        <v>211</v>
      </c>
      <c r="B40" s="184">
        <v>31.866973909999999</v>
      </c>
      <c r="C40" s="184">
        <v>-116.6165147</v>
      </c>
    </row>
    <row r="41" spans="1:3">
      <c r="A41" s="184" t="s">
        <v>213</v>
      </c>
      <c r="B41" s="184">
        <v>31.789410620000002</v>
      </c>
      <c r="C41" s="184">
        <v>-116.5871391</v>
      </c>
    </row>
    <row r="42" spans="1:3">
      <c r="A42" s="184" t="s">
        <v>215</v>
      </c>
      <c r="B42" s="184">
        <v>31.971894670000001</v>
      </c>
      <c r="C42" s="184">
        <v>-116.6552126</v>
      </c>
    </row>
    <row r="43" spans="1:3">
      <c r="A43" s="184" t="s">
        <v>218</v>
      </c>
      <c r="B43" s="184">
        <v>32.529856299999999</v>
      </c>
      <c r="C43" s="184">
        <v>-117.1144396</v>
      </c>
    </row>
    <row r="44" spans="1:3">
      <c r="A44" s="184" t="s">
        <v>221</v>
      </c>
      <c r="B44" s="184">
        <v>32.53297319</v>
      </c>
      <c r="C44" s="184">
        <v>-116.9537775</v>
      </c>
    </row>
    <row r="45" spans="1:3">
      <c r="A45" s="184" t="s">
        <v>224</v>
      </c>
      <c r="B45" s="184">
        <v>32.4595348</v>
      </c>
      <c r="C45" s="184">
        <v>-117.0363885</v>
      </c>
    </row>
    <row r="46" spans="1:3">
      <c r="A46" s="184" t="s">
        <v>226</v>
      </c>
      <c r="B46" s="184">
        <v>32.471356129999997</v>
      </c>
      <c r="C46" s="184">
        <v>-116.98202790000001</v>
      </c>
    </row>
    <row r="47" spans="1:3">
      <c r="A47" s="184" t="s">
        <v>228</v>
      </c>
      <c r="B47" s="184">
        <v>30.47702073</v>
      </c>
      <c r="C47" s="184">
        <v>-115.92013609999999</v>
      </c>
    </row>
    <row r="48" spans="1:3">
      <c r="A48" s="184" t="s">
        <v>231</v>
      </c>
      <c r="B48" s="184">
        <v>28.66959087</v>
      </c>
      <c r="C48" s="184">
        <v>-114.23800060000001</v>
      </c>
    </row>
    <row r="49" spans="1:3">
      <c r="A49" s="184" t="s">
        <v>234</v>
      </c>
      <c r="B49" s="184">
        <v>30.57994897</v>
      </c>
      <c r="C49" s="184">
        <v>-115.944875</v>
      </c>
    </row>
    <row r="50" spans="1:3">
      <c r="A50" s="184" t="s">
        <v>236</v>
      </c>
      <c r="B50" s="184">
        <v>31.32976201</v>
      </c>
      <c r="C50" s="184">
        <v>-115.5403135</v>
      </c>
    </row>
    <row r="51" spans="1:3">
      <c r="A51" s="184" t="s">
        <v>239</v>
      </c>
      <c r="B51" s="184">
        <v>32.539570589999997</v>
      </c>
      <c r="C51" s="184">
        <v>-116.8797253</v>
      </c>
    </row>
    <row r="52" spans="1:3">
      <c r="A52" s="184" t="s">
        <v>241</v>
      </c>
      <c r="B52" s="184">
        <v>32.591540070000001</v>
      </c>
      <c r="C52" s="184">
        <v>-116.18892889999999</v>
      </c>
    </row>
    <row r="53" spans="1:3">
      <c r="A53" s="184" t="s">
        <v>244</v>
      </c>
      <c r="B53" s="184">
        <v>32.506685990000001</v>
      </c>
      <c r="C53" s="184">
        <v>-116.7939562</v>
      </c>
    </row>
    <row r="54" spans="1:3">
      <c r="A54" s="184" t="s">
        <v>246</v>
      </c>
      <c r="B54" s="184">
        <v>32.627558399999998</v>
      </c>
      <c r="C54" s="184">
        <v>-115.21764659999999</v>
      </c>
    </row>
    <row r="55" spans="1:3">
      <c r="A55" s="184" t="s">
        <v>249</v>
      </c>
      <c r="B55" s="184">
        <v>32.540549499999997</v>
      </c>
      <c r="C55" s="184">
        <v>-115.52627510000001</v>
      </c>
    </row>
    <row r="56" spans="1:3">
      <c r="A56" s="184" t="s">
        <v>252</v>
      </c>
      <c r="B56" s="184">
        <v>30.67872706</v>
      </c>
      <c r="C56" s="184">
        <v>-115.9747296</v>
      </c>
    </row>
    <row r="57" spans="1:3">
      <c r="A57" s="184" t="s">
        <v>255</v>
      </c>
      <c r="B57" s="184">
        <v>32.499247199999999</v>
      </c>
      <c r="C57" s="184">
        <v>-116.88220010000001</v>
      </c>
    </row>
    <row r="58" spans="1:3">
      <c r="A58" s="184" t="s">
        <v>258</v>
      </c>
      <c r="B58" s="184">
        <v>32.488834300000001</v>
      </c>
      <c r="C58" s="184">
        <v>-117.0872541</v>
      </c>
    </row>
    <row r="59" spans="1:3">
      <c r="A59" s="184" t="s">
        <v>260</v>
      </c>
      <c r="B59" s="184">
        <v>32.499381550000003</v>
      </c>
      <c r="C59" s="184">
        <v>-117.0677441</v>
      </c>
    </row>
    <row r="60" spans="1:3">
      <c r="A60" s="184" t="s">
        <v>263</v>
      </c>
      <c r="B60" s="184">
        <v>30.525917840000002</v>
      </c>
      <c r="C60" s="184">
        <v>-115.9459828</v>
      </c>
    </row>
    <row r="61" spans="1:3">
      <c r="A61" s="184" t="s">
        <v>266</v>
      </c>
      <c r="B61" s="184">
        <v>31.828700099999999</v>
      </c>
      <c r="C61" s="184">
        <v>-116.6033803</v>
      </c>
    </row>
    <row r="62" spans="1:3">
      <c r="A62" s="184" t="s">
        <v>269</v>
      </c>
      <c r="B62" s="184">
        <v>32.630997000000001</v>
      </c>
      <c r="C62" s="184">
        <v>-115.3513231</v>
      </c>
    </row>
    <row r="63" spans="1:3">
      <c r="A63" s="184" t="s">
        <v>272</v>
      </c>
      <c r="B63" s="184">
        <v>32.641260709999997</v>
      </c>
      <c r="C63" s="184">
        <v>-115.405027</v>
      </c>
    </row>
    <row r="64" spans="1:3">
      <c r="A64" s="184" t="s">
        <v>275</v>
      </c>
      <c r="B64" s="184">
        <v>32.241276409999998</v>
      </c>
      <c r="C64" s="184">
        <v>-115.0996732</v>
      </c>
    </row>
    <row r="65" spans="1:3">
      <c r="A65" s="184" t="s">
        <v>279</v>
      </c>
      <c r="B65" s="184">
        <v>32.53440148</v>
      </c>
      <c r="C65" s="184">
        <v>-116.40814159999999</v>
      </c>
    </row>
    <row r="66" spans="1:3">
      <c r="A66" s="184" t="s">
        <v>282</v>
      </c>
      <c r="B66" s="184">
        <v>30.579855899999998</v>
      </c>
      <c r="C66" s="184">
        <v>-115.9440046</v>
      </c>
    </row>
    <row r="67" spans="1:3">
      <c r="A67" s="184" t="s">
        <v>284</v>
      </c>
      <c r="B67" s="184">
        <v>30.44301656</v>
      </c>
      <c r="C67" s="184">
        <v>-115.87898559999999</v>
      </c>
    </row>
    <row r="68" spans="1:3">
      <c r="A68" s="184" t="s">
        <v>287</v>
      </c>
      <c r="B68" s="184">
        <v>31.887988799999999</v>
      </c>
      <c r="C68" s="184">
        <v>-116.5677688</v>
      </c>
    </row>
    <row r="69" spans="1:3">
      <c r="A69" s="184" t="s">
        <v>289</v>
      </c>
      <c r="B69" s="184">
        <v>32.474878199999999</v>
      </c>
      <c r="C69" s="184">
        <v>-116.8109522</v>
      </c>
    </row>
    <row r="70" spans="1:3">
      <c r="A70" s="184" t="s">
        <v>292</v>
      </c>
      <c r="B70" s="184">
        <v>32.531053610000001</v>
      </c>
      <c r="C70" s="184">
        <v>-116.8646159</v>
      </c>
    </row>
    <row r="71" spans="1:3">
      <c r="A71" s="184" t="s">
        <v>294</v>
      </c>
      <c r="B71" s="184">
        <v>31.885399960000001</v>
      </c>
      <c r="C71" s="184">
        <v>-116.53778610000001</v>
      </c>
    </row>
    <row r="72" spans="1:3">
      <c r="A72" s="184" t="s">
        <v>295</v>
      </c>
      <c r="B72" s="184">
        <v>32.5172594</v>
      </c>
      <c r="C72" s="184">
        <v>-116.9165807</v>
      </c>
    </row>
    <row r="73" spans="1:3">
      <c r="A73" s="184" t="s">
        <v>297</v>
      </c>
      <c r="B73" s="184">
        <v>32.632442619999999</v>
      </c>
      <c r="C73" s="184">
        <v>-115.47675630000001</v>
      </c>
    </row>
    <row r="74" spans="1:3">
      <c r="A74" s="184" t="s">
        <v>300</v>
      </c>
      <c r="B74" s="184">
        <v>31.909478400000001</v>
      </c>
      <c r="C74" s="184">
        <v>-116.5983744</v>
      </c>
    </row>
    <row r="75" spans="1:3">
      <c r="A75" s="184" t="s">
        <v>303</v>
      </c>
      <c r="B75" s="184">
        <v>32.639036079999997</v>
      </c>
      <c r="C75" s="184">
        <v>-115.4977418</v>
      </c>
    </row>
    <row r="76" spans="1:3">
      <c r="A76" s="184" t="s">
        <v>305</v>
      </c>
      <c r="B76" s="184">
        <v>31.897300000000001</v>
      </c>
      <c r="C76" s="184">
        <v>-116.57210000000001</v>
      </c>
    </row>
    <row r="77" spans="1:3">
      <c r="A77" s="184" t="s">
        <v>308</v>
      </c>
      <c r="B77" s="184">
        <v>32.489440139999999</v>
      </c>
      <c r="C77" s="184">
        <v>-116.9293512</v>
      </c>
    </row>
    <row r="78" spans="1:3">
      <c r="A78" s="184" t="s">
        <v>310</v>
      </c>
      <c r="B78" s="184">
        <v>30.5040151</v>
      </c>
      <c r="C78" s="184">
        <v>-115.9342826</v>
      </c>
    </row>
    <row r="79" spans="1:3">
      <c r="A79" s="184" t="s">
        <v>312</v>
      </c>
      <c r="B79" s="184">
        <v>30.776387289999999</v>
      </c>
      <c r="C79" s="184">
        <v>-116.0091055</v>
      </c>
    </row>
    <row r="80" spans="1:3">
      <c r="A80" s="184" t="s">
        <v>315</v>
      </c>
      <c r="B80" s="184">
        <v>30.52141688</v>
      </c>
      <c r="C80" s="184">
        <v>-115.9540275</v>
      </c>
    </row>
    <row r="81" spans="1:3">
      <c r="A81" s="184" t="s">
        <v>318</v>
      </c>
      <c r="B81" s="184">
        <v>31.029385319999999</v>
      </c>
      <c r="C81" s="184">
        <v>-114.83912100000001</v>
      </c>
    </row>
    <row r="82" spans="1:3">
      <c r="A82" s="184" t="s">
        <v>321</v>
      </c>
      <c r="B82" s="184">
        <v>24.093950299999999</v>
      </c>
      <c r="C82" s="184">
        <v>-110.3373378</v>
      </c>
    </row>
    <row r="83" spans="1:3">
      <c r="A83" s="184" t="s">
        <v>326</v>
      </c>
      <c r="B83" s="184">
        <v>23.934346619999999</v>
      </c>
      <c r="C83" s="184">
        <v>-110.26885679999999</v>
      </c>
    </row>
    <row r="84" spans="1:3">
      <c r="A84" s="184" t="s">
        <v>329</v>
      </c>
      <c r="B84" s="184">
        <v>25.0348185</v>
      </c>
      <c r="C84" s="184">
        <v>-111.6427966</v>
      </c>
    </row>
    <row r="85" spans="1:3">
      <c r="A85" s="184" t="s">
        <v>333</v>
      </c>
      <c r="B85" s="184">
        <v>26.017792</v>
      </c>
      <c r="C85" s="184">
        <v>-111.3423872</v>
      </c>
    </row>
    <row r="86" spans="1:3">
      <c r="A86" s="184" t="s">
        <v>336</v>
      </c>
      <c r="B86" s="184">
        <v>26.8030893</v>
      </c>
      <c r="C86" s="184">
        <v>-113.7359587</v>
      </c>
    </row>
    <row r="87" spans="1:3">
      <c r="A87" s="184" t="s">
        <v>340</v>
      </c>
      <c r="B87" s="184">
        <v>23.843225709999999</v>
      </c>
      <c r="C87" s="184">
        <v>-109.7480382</v>
      </c>
    </row>
    <row r="88" spans="1:3">
      <c r="A88" s="184" t="s">
        <v>343</v>
      </c>
      <c r="B88" s="184">
        <v>22.915310330000001</v>
      </c>
      <c r="C88" s="184">
        <v>-109.9281146</v>
      </c>
    </row>
    <row r="89" spans="1:3">
      <c r="A89" s="184" t="s">
        <v>347</v>
      </c>
      <c r="B89" s="184">
        <v>23.1545992</v>
      </c>
      <c r="C89" s="184">
        <v>-109.7064768</v>
      </c>
    </row>
    <row r="90" spans="1:3">
      <c r="A90" s="184" t="s">
        <v>350</v>
      </c>
      <c r="B90" s="184">
        <v>24.101356819999999</v>
      </c>
      <c r="C90" s="184">
        <v>-110.3724442</v>
      </c>
    </row>
    <row r="91" spans="1:3">
      <c r="A91" s="184" t="s">
        <v>353</v>
      </c>
      <c r="B91" s="184">
        <v>24.021557300000001</v>
      </c>
      <c r="C91" s="184">
        <v>-110.27958599999999</v>
      </c>
    </row>
    <row r="92" spans="1:3">
      <c r="A92" s="184" t="s">
        <v>355</v>
      </c>
      <c r="B92" s="184">
        <v>23.095280200000001</v>
      </c>
      <c r="C92" s="184">
        <v>-109.7091387</v>
      </c>
    </row>
    <row r="93" spans="1:3">
      <c r="A93" s="184" t="s">
        <v>357</v>
      </c>
      <c r="B93" s="184">
        <v>24.112745199999999</v>
      </c>
      <c r="C93" s="184">
        <v>-110.2979447</v>
      </c>
    </row>
    <row r="94" spans="1:3">
      <c r="A94" s="184" t="s">
        <v>359</v>
      </c>
      <c r="B94" s="184">
        <v>24.147056200000002</v>
      </c>
      <c r="C94" s="184">
        <v>-110.26740839999999</v>
      </c>
    </row>
    <row r="95" spans="1:3">
      <c r="A95" s="184" t="s">
        <v>361</v>
      </c>
      <c r="B95" s="184">
        <v>26.80148458</v>
      </c>
      <c r="C95" s="184">
        <v>-113.7146987</v>
      </c>
    </row>
    <row r="96" spans="1:3">
      <c r="A96" s="184" t="s">
        <v>365</v>
      </c>
      <c r="B96" s="184">
        <v>24.057499889999999</v>
      </c>
      <c r="C96" s="184">
        <v>-110.31304110000001</v>
      </c>
    </row>
    <row r="97" spans="1:3">
      <c r="A97" s="184" t="s">
        <v>368</v>
      </c>
      <c r="B97" s="184">
        <v>23.1166713</v>
      </c>
      <c r="C97" s="184">
        <v>-109.72346349999999</v>
      </c>
    </row>
    <row r="98" spans="1:3">
      <c r="A98" s="184" t="s">
        <v>370</v>
      </c>
      <c r="B98" s="184">
        <v>24.026709260000001</v>
      </c>
      <c r="C98" s="184">
        <v>-110.3072717</v>
      </c>
    </row>
    <row r="99" spans="1:3">
      <c r="A99" s="184" t="s">
        <v>372</v>
      </c>
      <c r="B99" s="184">
        <v>22.945720600000001</v>
      </c>
      <c r="C99" s="184">
        <v>-109.9447285</v>
      </c>
    </row>
    <row r="100" spans="1:3">
      <c r="A100" s="184" t="s">
        <v>374</v>
      </c>
      <c r="B100" s="184">
        <v>24.052653800000002</v>
      </c>
      <c r="C100" s="184">
        <v>-110.29151950000001</v>
      </c>
    </row>
    <row r="101" spans="1:3">
      <c r="A101" s="184" t="s">
        <v>378</v>
      </c>
      <c r="B101" s="184">
        <v>27.160415589999999</v>
      </c>
      <c r="C101" s="184">
        <v>-112.1588266</v>
      </c>
    </row>
    <row r="102" spans="1:3">
      <c r="A102" s="184" t="s">
        <v>380</v>
      </c>
      <c r="B102" s="184">
        <v>23.934200830000002</v>
      </c>
      <c r="C102" s="184">
        <v>-110.2690537</v>
      </c>
    </row>
    <row r="103" spans="1:3">
      <c r="A103" s="184" t="s">
        <v>382</v>
      </c>
      <c r="B103" s="184">
        <v>24.113451690000002</v>
      </c>
      <c r="C103" s="184">
        <v>-110.29869119999999</v>
      </c>
    </row>
    <row r="104" spans="1:3">
      <c r="A104" s="184" t="s">
        <v>384</v>
      </c>
      <c r="B104" s="184">
        <v>24.101357879999998</v>
      </c>
      <c r="C104" s="184">
        <v>-110.3723196</v>
      </c>
    </row>
    <row r="105" spans="1:3">
      <c r="A105" s="184" t="s">
        <v>386</v>
      </c>
      <c r="B105" s="184">
        <v>24.021692030000001</v>
      </c>
      <c r="C105" s="184">
        <v>-110.2797083</v>
      </c>
    </row>
    <row r="106" spans="1:3">
      <c r="A106" s="184" t="s">
        <v>389</v>
      </c>
      <c r="B106" s="184">
        <v>24.093784299999999</v>
      </c>
      <c r="C106" s="184">
        <v>-110.31722689999999</v>
      </c>
    </row>
    <row r="107" spans="1:3">
      <c r="A107" s="184" t="s">
        <v>392</v>
      </c>
      <c r="B107" s="184">
        <v>24.056501910000001</v>
      </c>
      <c r="C107" s="184">
        <v>-110.31353850000001</v>
      </c>
    </row>
    <row r="108" spans="1:3">
      <c r="A108" s="184" t="s">
        <v>394</v>
      </c>
      <c r="B108" s="184">
        <v>22.902247540000001</v>
      </c>
      <c r="C108" s="184">
        <v>-109.9486048</v>
      </c>
    </row>
    <row r="109" spans="1:3">
      <c r="A109" s="184" t="s">
        <v>396</v>
      </c>
      <c r="B109" s="184">
        <v>22.9019546</v>
      </c>
      <c r="C109" s="184">
        <v>-109.9486725</v>
      </c>
    </row>
    <row r="110" spans="1:3">
      <c r="A110" s="184" t="s">
        <v>399</v>
      </c>
      <c r="B110" s="184">
        <v>22.944270899999999</v>
      </c>
      <c r="C110" s="184">
        <v>-109.9233031</v>
      </c>
    </row>
    <row r="111" spans="1:3">
      <c r="A111" s="184" t="s">
        <v>401</v>
      </c>
      <c r="B111" s="184">
        <v>23.191253490000001</v>
      </c>
      <c r="C111" s="184">
        <v>-109.7053779</v>
      </c>
    </row>
    <row r="112" spans="1:3">
      <c r="A112" s="184" t="s">
        <v>404</v>
      </c>
      <c r="B112" s="184">
        <v>23.068723339999998</v>
      </c>
      <c r="C112" s="184">
        <v>-109.6697016</v>
      </c>
    </row>
    <row r="113" spans="1:3">
      <c r="A113" s="184" t="s">
        <v>407</v>
      </c>
      <c r="B113" s="184">
        <v>26.718136350000002</v>
      </c>
      <c r="C113" s="184">
        <v>-113.5731365</v>
      </c>
    </row>
    <row r="114" spans="1:3">
      <c r="A114" s="184" t="s">
        <v>410</v>
      </c>
      <c r="B114" s="184">
        <v>24.096098699999999</v>
      </c>
      <c r="C114" s="184">
        <v>-110.3060365</v>
      </c>
    </row>
    <row r="115" spans="1:3">
      <c r="A115" s="184" t="s">
        <v>413</v>
      </c>
      <c r="B115" s="184">
        <v>24.065990759999998</v>
      </c>
      <c r="C115" s="184">
        <v>-110.3008068</v>
      </c>
    </row>
    <row r="116" spans="1:3">
      <c r="A116" s="184" t="s">
        <v>415</v>
      </c>
      <c r="B116" s="184">
        <v>24.070178590000001</v>
      </c>
      <c r="C116" s="184">
        <v>-110.3186958</v>
      </c>
    </row>
    <row r="117" spans="1:3">
      <c r="A117" s="184" t="s">
        <v>417</v>
      </c>
      <c r="B117" s="184">
        <v>22.936999</v>
      </c>
      <c r="C117" s="184">
        <v>-109.9256819</v>
      </c>
    </row>
    <row r="118" spans="1:3">
      <c r="A118" s="184" t="s">
        <v>419</v>
      </c>
      <c r="B118" s="184">
        <v>22.91943418</v>
      </c>
      <c r="C118" s="184">
        <v>-109.93091320000001</v>
      </c>
    </row>
    <row r="119" spans="1:3">
      <c r="A119" s="184" t="s">
        <v>422</v>
      </c>
      <c r="B119" s="184">
        <v>23.099199859999999</v>
      </c>
      <c r="C119" s="184">
        <v>-109.7378896</v>
      </c>
    </row>
    <row r="120" spans="1:3">
      <c r="A120" s="184" t="s">
        <v>424</v>
      </c>
      <c r="B120" s="184">
        <v>23.1175046</v>
      </c>
      <c r="C120" s="184">
        <v>-109.7111511</v>
      </c>
    </row>
    <row r="121" spans="1:3">
      <c r="A121" s="184" t="s">
        <v>426</v>
      </c>
      <c r="B121" s="184">
        <v>23.10208355</v>
      </c>
      <c r="C121" s="184">
        <v>-109.71341219999999</v>
      </c>
    </row>
    <row r="122" spans="1:3">
      <c r="A122" s="184" t="s">
        <v>428</v>
      </c>
      <c r="B122" s="184">
        <v>23.05694626</v>
      </c>
      <c r="C122" s="184">
        <v>-109.69974569999999</v>
      </c>
    </row>
    <row r="123" spans="1:3">
      <c r="A123" s="184" t="s">
        <v>430</v>
      </c>
      <c r="B123" s="184">
        <v>25.33561654</v>
      </c>
      <c r="C123" s="184">
        <v>-101.8387664</v>
      </c>
    </row>
    <row r="124" spans="1:3">
      <c r="A124" s="184" t="s">
        <v>436</v>
      </c>
      <c r="B124" s="184">
        <v>28.753832360000001</v>
      </c>
      <c r="C124" s="184">
        <v>-101.0839864</v>
      </c>
    </row>
    <row r="125" spans="1:3">
      <c r="A125" s="184" t="s">
        <v>441</v>
      </c>
      <c r="B125" s="184">
        <v>25.413052740000001</v>
      </c>
      <c r="C125" s="184">
        <v>-101.00793520000001</v>
      </c>
    </row>
    <row r="126" spans="1:3">
      <c r="A126" s="184" t="s">
        <v>444</v>
      </c>
      <c r="B126" s="184">
        <v>25.40300349</v>
      </c>
      <c r="C126" s="184">
        <v>-100.9976631</v>
      </c>
    </row>
    <row r="127" spans="1:3">
      <c r="A127" s="184" t="s">
        <v>446</v>
      </c>
      <c r="B127" s="184">
        <v>27.818775259999999</v>
      </c>
      <c r="C127" s="184">
        <v>-101.3918133</v>
      </c>
    </row>
    <row r="128" spans="1:3">
      <c r="A128" s="184" t="s">
        <v>450</v>
      </c>
      <c r="B128" s="184">
        <v>25.539681940000001</v>
      </c>
      <c r="C128" s="184">
        <v>-101.0136222</v>
      </c>
    </row>
    <row r="129" spans="1:3">
      <c r="A129" s="184" t="s">
        <v>454</v>
      </c>
      <c r="B129" s="184">
        <v>28.314262809999999</v>
      </c>
      <c r="C129" s="184">
        <v>-100.91698940000001</v>
      </c>
    </row>
    <row r="130" spans="1:3">
      <c r="A130" s="184" t="s">
        <v>458</v>
      </c>
      <c r="B130" s="184">
        <v>28.882560250000001</v>
      </c>
      <c r="C130" s="184">
        <v>-100.62832179999999</v>
      </c>
    </row>
    <row r="131" spans="1:3">
      <c r="A131" s="184" t="s">
        <v>462</v>
      </c>
      <c r="B131" s="184">
        <v>25.429475369999999</v>
      </c>
      <c r="C131" s="184">
        <v>-101.005133</v>
      </c>
    </row>
    <row r="132" spans="1:3">
      <c r="A132" s="184" t="s">
        <v>464</v>
      </c>
      <c r="B132" s="184">
        <v>29.232045039999999</v>
      </c>
      <c r="C132" s="184">
        <v>-100.89443489999999</v>
      </c>
    </row>
    <row r="133" spans="1:3">
      <c r="A133" s="184" t="s">
        <v>468</v>
      </c>
      <c r="B133" s="184">
        <v>25.775867000000002</v>
      </c>
      <c r="C133" s="184">
        <v>-103.2713749</v>
      </c>
    </row>
    <row r="134" spans="1:3">
      <c r="A134" s="184" t="s">
        <v>472</v>
      </c>
      <c r="B134" s="184">
        <v>25.446417929999999</v>
      </c>
      <c r="C134" s="184">
        <v>-101.0536173</v>
      </c>
    </row>
    <row r="135" spans="1:3">
      <c r="A135" s="184" t="s">
        <v>475</v>
      </c>
      <c r="B135" s="184">
        <v>25.765599259999998</v>
      </c>
      <c r="C135" s="184">
        <v>-102.9688316</v>
      </c>
    </row>
    <row r="136" spans="1:3">
      <c r="A136" s="184" t="s">
        <v>476</v>
      </c>
      <c r="B136" s="184">
        <v>25.564625979999999</v>
      </c>
      <c r="C136" s="184">
        <v>-103.4435165</v>
      </c>
    </row>
    <row r="137" spans="1:3">
      <c r="A137" s="184" t="s">
        <v>479</v>
      </c>
      <c r="B137" s="184">
        <v>25.596196030000002</v>
      </c>
      <c r="C137" s="184">
        <v>-103.3222025</v>
      </c>
    </row>
    <row r="138" spans="1:3">
      <c r="A138" s="184" t="s">
        <v>482</v>
      </c>
      <c r="B138" s="184">
        <v>25.403512490000001</v>
      </c>
      <c r="C138" s="184">
        <v>-101.0211242</v>
      </c>
    </row>
    <row r="139" spans="1:3">
      <c r="A139" s="184" t="s">
        <v>485</v>
      </c>
      <c r="B139" s="184">
        <v>25.71778604</v>
      </c>
      <c r="C139" s="184">
        <v>-102.9520835</v>
      </c>
    </row>
    <row r="140" spans="1:3">
      <c r="A140" s="184" t="s">
        <v>488</v>
      </c>
      <c r="B140" s="184">
        <v>28.309381569999999</v>
      </c>
      <c r="C140" s="184">
        <v>-100.9433666</v>
      </c>
    </row>
    <row r="141" spans="1:3">
      <c r="A141" s="184" t="s">
        <v>489</v>
      </c>
      <c r="B141" s="184">
        <v>27.816943999999999</v>
      </c>
      <c r="C141" s="184">
        <v>-101.3911111</v>
      </c>
    </row>
    <row r="142" spans="1:3">
      <c r="A142" s="184" t="s">
        <v>492</v>
      </c>
      <c r="B142" s="184">
        <v>29.232722500000001</v>
      </c>
      <c r="C142" s="184">
        <v>-100.89426419999999</v>
      </c>
    </row>
    <row r="143" spans="1:3">
      <c r="A143" s="184" t="s">
        <v>495</v>
      </c>
      <c r="B143" s="184">
        <v>25.3780626</v>
      </c>
      <c r="C143" s="184">
        <v>-101.0146297</v>
      </c>
    </row>
    <row r="144" spans="1:3">
      <c r="A144" s="184" t="s">
        <v>497</v>
      </c>
      <c r="B144" s="184">
        <v>25.428287839999999</v>
      </c>
      <c r="C144" s="184">
        <v>-101.02633969999999</v>
      </c>
    </row>
    <row r="145" spans="1:3">
      <c r="A145" s="184" t="s">
        <v>499</v>
      </c>
      <c r="B145" s="184">
        <v>28.692729719999999</v>
      </c>
      <c r="C145" s="184">
        <v>-100.5138405</v>
      </c>
    </row>
    <row r="146" spans="1:3">
      <c r="A146" s="184" t="s">
        <v>501</v>
      </c>
      <c r="B146" s="184">
        <v>29.0652796</v>
      </c>
      <c r="C146" s="184">
        <v>-100.6798162</v>
      </c>
    </row>
    <row r="147" spans="1:3">
      <c r="A147" s="184" t="s">
        <v>505</v>
      </c>
      <c r="B147" s="184">
        <v>28.753406999999999</v>
      </c>
      <c r="C147" s="184">
        <v>-101.0779773</v>
      </c>
    </row>
    <row r="148" spans="1:3">
      <c r="A148" s="184" t="s">
        <v>508</v>
      </c>
      <c r="B148" s="184">
        <v>28.202400000000001</v>
      </c>
      <c r="C148" s="184">
        <v>-100.626</v>
      </c>
    </row>
    <row r="149" spans="1:3">
      <c r="A149" s="184" t="s">
        <v>512</v>
      </c>
      <c r="B149" s="184">
        <v>27.030874579999999</v>
      </c>
      <c r="C149" s="184">
        <v>-101.6019383</v>
      </c>
    </row>
    <row r="150" spans="1:3">
      <c r="A150" s="184" t="s">
        <v>515</v>
      </c>
      <c r="B150" s="184">
        <v>26.991418830000001</v>
      </c>
      <c r="C150" s="184">
        <v>-101.4985123</v>
      </c>
    </row>
    <row r="151" spans="1:3">
      <c r="A151" s="184" t="s">
        <v>519</v>
      </c>
      <c r="B151" s="184">
        <v>25.755470420000002</v>
      </c>
      <c r="C151" s="184">
        <v>-103.0053643</v>
      </c>
    </row>
    <row r="152" spans="1:3">
      <c r="A152" s="184" t="s">
        <v>522</v>
      </c>
      <c r="B152" s="184">
        <v>25.431244800000002</v>
      </c>
      <c r="C152" s="184">
        <v>-100.96148479999999</v>
      </c>
    </row>
    <row r="153" spans="1:3">
      <c r="A153" s="184" t="s">
        <v>525</v>
      </c>
      <c r="B153" s="184">
        <v>25.53451321</v>
      </c>
      <c r="C153" s="184">
        <v>-103.3104749</v>
      </c>
    </row>
    <row r="154" spans="1:3">
      <c r="A154" s="184" t="s">
        <v>528</v>
      </c>
      <c r="B154" s="184">
        <v>25.39653242</v>
      </c>
      <c r="C154" s="184">
        <v>-101.04333219999999</v>
      </c>
    </row>
    <row r="155" spans="1:3">
      <c r="A155" s="184" t="s">
        <v>530</v>
      </c>
      <c r="B155" s="184">
        <v>25.667510320000002</v>
      </c>
      <c r="C155" s="184">
        <v>-102.3619688</v>
      </c>
    </row>
    <row r="156" spans="1:3">
      <c r="A156" s="184" t="s">
        <v>533</v>
      </c>
      <c r="B156" s="184">
        <v>25.601857599999999</v>
      </c>
      <c r="C156" s="184">
        <v>-103.34511980000001</v>
      </c>
    </row>
    <row r="157" spans="1:3">
      <c r="A157" s="184" t="s">
        <v>536</v>
      </c>
      <c r="B157" s="184">
        <v>25.774438799999999</v>
      </c>
      <c r="C157" s="184">
        <v>-103.3253526</v>
      </c>
    </row>
    <row r="158" spans="1:3">
      <c r="A158" s="184" t="s">
        <v>539</v>
      </c>
      <c r="B158" s="184">
        <v>26.78653302</v>
      </c>
      <c r="C158" s="184">
        <v>-101.44174580000001</v>
      </c>
    </row>
    <row r="159" spans="1:3">
      <c r="A159" s="184" t="s">
        <v>541</v>
      </c>
      <c r="B159" s="184">
        <v>26.878039999999999</v>
      </c>
      <c r="C159" s="184">
        <v>-101.427132</v>
      </c>
    </row>
    <row r="160" spans="1:3">
      <c r="A160" s="184" t="s">
        <v>544</v>
      </c>
      <c r="B160" s="184">
        <v>25.530193400000002</v>
      </c>
      <c r="C160" s="184">
        <v>-103.3702924</v>
      </c>
    </row>
    <row r="161" spans="1:3">
      <c r="A161" s="184" t="s">
        <v>547</v>
      </c>
      <c r="B161" s="184">
        <v>25.882020600000001</v>
      </c>
      <c r="C161" s="184">
        <v>-103.1349582</v>
      </c>
    </row>
    <row r="162" spans="1:3">
      <c r="A162" s="184" t="s">
        <v>549</v>
      </c>
      <c r="B162" s="184">
        <v>25.375699999999998</v>
      </c>
      <c r="C162" s="184">
        <v>-101.361</v>
      </c>
    </row>
    <row r="163" spans="1:3">
      <c r="A163" s="184" t="s">
        <v>551</v>
      </c>
      <c r="B163" s="184">
        <v>25.487189000000001</v>
      </c>
      <c r="C163" s="184">
        <v>-103.14219679999999</v>
      </c>
    </row>
    <row r="164" spans="1:3">
      <c r="A164" s="184" t="s">
        <v>554</v>
      </c>
      <c r="B164" s="184">
        <v>25.450151099999999</v>
      </c>
      <c r="C164" s="184">
        <v>-103.25109689999999</v>
      </c>
    </row>
    <row r="165" spans="1:3">
      <c r="A165" s="184" t="s">
        <v>557</v>
      </c>
      <c r="B165" s="184">
        <v>28.692871449999998</v>
      </c>
      <c r="C165" s="184">
        <v>-100.5393321</v>
      </c>
    </row>
    <row r="166" spans="1:3">
      <c r="A166" s="184" t="s">
        <v>559</v>
      </c>
      <c r="B166" s="184">
        <v>28.691618200000001</v>
      </c>
      <c r="C166" s="184">
        <v>-100.54086220000001</v>
      </c>
    </row>
    <row r="167" spans="1:3">
      <c r="A167" s="184" t="s">
        <v>561</v>
      </c>
      <c r="B167" s="184">
        <v>27.309369910000001</v>
      </c>
      <c r="C167" s="184">
        <v>-102.39630649999999</v>
      </c>
    </row>
    <row r="168" spans="1:3">
      <c r="A168" s="184" t="s">
        <v>564</v>
      </c>
      <c r="B168" s="184">
        <v>26.785388019999999</v>
      </c>
      <c r="C168" s="184">
        <v>-101.4303666</v>
      </c>
    </row>
    <row r="169" spans="1:3">
      <c r="A169" s="184" t="s">
        <v>566</v>
      </c>
      <c r="B169" s="184">
        <v>27.923637979999999</v>
      </c>
      <c r="C169" s="184">
        <v>-101.1718759</v>
      </c>
    </row>
    <row r="170" spans="1:3">
      <c r="A170" s="184" t="s">
        <v>570</v>
      </c>
      <c r="B170" s="184">
        <v>27.841081710000001</v>
      </c>
      <c r="C170" s="184">
        <v>-101.1088597</v>
      </c>
    </row>
    <row r="171" spans="1:3">
      <c r="A171" s="184" t="s">
        <v>572</v>
      </c>
      <c r="B171" s="184">
        <v>25.470576049999998</v>
      </c>
      <c r="C171" s="184">
        <v>-100.99845569999999</v>
      </c>
    </row>
    <row r="172" spans="1:3">
      <c r="A172" s="184" t="s">
        <v>574</v>
      </c>
      <c r="B172" s="184">
        <v>25.348648130000001</v>
      </c>
      <c r="C172" s="184">
        <v>-101.0102416</v>
      </c>
    </row>
    <row r="173" spans="1:3">
      <c r="A173" s="184" t="s">
        <v>577</v>
      </c>
      <c r="B173" s="184">
        <v>25.404463190000001</v>
      </c>
      <c r="C173" s="184">
        <v>-100.9964951</v>
      </c>
    </row>
    <row r="174" spans="1:3">
      <c r="A174" s="184" t="s">
        <v>579</v>
      </c>
      <c r="B174" s="184">
        <v>25.421368430000001</v>
      </c>
      <c r="C174" s="184">
        <v>-101.0125948</v>
      </c>
    </row>
    <row r="175" spans="1:3">
      <c r="A175" s="184" t="s">
        <v>580</v>
      </c>
      <c r="B175" s="184">
        <v>25.446384089999999</v>
      </c>
      <c r="C175" s="184">
        <v>-101.0541872</v>
      </c>
    </row>
    <row r="176" spans="1:3">
      <c r="A176" s="184" t="s">
        <v>582</v>
      </c>
      <c r="B176" s="184">
        <v>25.760975259999999</v>
      </c>
      <c r="C176" s="184">
        <v>-102.97560679999999</v>
      </c>
    </row>
    <row r="177" spans="1:3">
      <c r="A177" s="184" t="s">
        <v>584</v>
      </c>
      <c r="B177" s="184">
        <v>25.742836499999999</v>
      </c>
      <c r="C177" s="184">
        <v>-102.9821037</v>
      </c>
    </row>
    <row r="178" spans="1:3">
      <c r="A178" s="184" t="s">
        <v>586</v>
      </c>
      <c r="B178" s="184">
        <v>25.6403614</v>
      </c>
      <c r="C178" s="184">
        <v>-103.40667790000001</v>
      </c>
    </row>
    <row r="179" spans="1:3">
      <c r="A179" s="184" t="s">
        <v>590</v>
      </c>
      <c r="B179" s="184">
        <v>25.542774000000001</v>
      </c>
      <c r="C179" s="184">
        <v>-103.38100729999999</v>
      </c>
    </row>
    <row r="180" spans="1:3">
      <c r="A180" s="184" t="s">
        <v>593</v>
      </c>
      <c r="B180" s="184">
        <v>25.542844299999999</v>
      </c>
      <c r="C180" s="184">
        <v>-103.40678610000001</v>
      </c>
    </row>
    <row r="181" spans="1:3">
      <c r="A181" s="184" t="s">
        <v>597</v>
      </c>
      <c r="B181" s="184">
        <v>25.548606899999999</v>
      </c>
      <c r="C181" s="184">
        <v>-103.3909891</v>
      </c>
    </row>
    <row r="182" spans="1:3">
      <c r="A182" s="184" t="s">
        <v>600</v>
      </c>
      <c r="B182" s="184">
        <v>25.551691129999998</v>
      </c>
      <c r="C182" s="184">
        <v>-103.4119311</v>
      </c>
    </row>
    <row r="183" spans="1:3">
      <c r="A183" s="184" t="s">
        <v>602</v>
      </c>
      <c r="B183" s="184">
        <v>25.49361154</v>
      </c>
      <c r="C183" s="184">
        <v>-103.3454651</v>
      </c>
    </row>
    <row r="184" spans="1:3">
      <c r="A184" s="184" t="s">
        <v>604</v>
      </c>
      <c r="B184" s="184">
        <v>25.537901099999999</v>
      </c>
      <c r="C184" s="184">
        <v>-103.36205649999999</v>
      </c>
    </row>
    <row r="185" spans="1:3">
      <c r="A185" s="184" t="s">
        <v>606</v>
      </c>
      <c r="B185" s="184">
        <v>25.51062319</v>
      </c>
      <c r="C185" s="184">
        <v>-103.430967</v>
      </c>
    </row>
    <row r="186" spans="1:3">
      <c r="A186" s="184" t="s">
        <v>608</v>
      </c>
      <c r="B186" s="184">
        <v>25.542844299999999</v>
      </c>
      <c r="C186" s="184">
        <v>-103.40678610000001</v>
      </c>
    </row>
    <row r="187" spans="1:3">
      <c r="A187" s="184" t="s">
        <v>611</v>
      </c>
      <c r="B187" s="184">
        <v>25.577795500000001</v>
      </c>
      <c r="C187" s="184">
        <v>-103.4347767</v>
      </c>
    </row>
    <row r="188" spans="1:3">
      <c r="A188" s="184" t="s">
        <v>613</v>
      </c>
      <c r="B188" s="184">
        <v>25.5332051</v>
      </c>
      <c r="C188" s="184">
        <v>-103.4695298</v>
      </c>
    </row>
    <row r="189" spans="1:3">
      <c r="A189" s="184" t="s">
        <v>616</v>
      </c>
      <c r="B189" s="184">
        <v>25.500493559999999</v>
      </c>
      <c r="C189" s="184">
        <v>-103.4192058</v>
      </c>
    </row>
    <row r="190" spans="1:3">
      <c r="A190" s="184" t="s">
        <v>618</v>
      </c>
      <c r="B190" s="184">
        <v>29.33525822</v>
      </c>
      <c r="C190" s="184">
        <v>-101.0098816</v>
      </c>
    </row>
    <row r="191" spans="1:3">
      <c r="A191" s="184" t="s">
        <v>621</v>
      </c>
      <c r="B191" s="184">
        <v>27.922351710000001</v>
      </c>
      <c r="C191" s="184">
        <v>-101.30637830000001</v>
      </c>
    </row>
    <row r="192" spans="1:3">
      <c r="A192" s="184" t="s">
        <v>625</v>
      </c>
      <c r="B192" s="184">
        <v>29.023806199999999</v>
      </c>
      <c r="C192" s="184">
        <v>-100.9016811</v>
      </c>
    </row>
    <row r="193" spans="1:3">
      <c r="A193" s="184" t="s">
        <v>628</v>
      </c>
      <c r="B193" s="184">
        <v>25.52753998</v>
      </c>
      <c r="C193" s="184">
        <v>-100.93670059999999</v>
      </c>
    </row>
    <row r="194" spans="1:3">
      <c r="A194" s="184" t="s">
        <v>630</v>
      </c>
      <c r="B194" s="184">
        <v>25.78243526</v>
      </c>
      <c r="C194" s="184">
        <v>-103.274462</v>
      </c>
    </row>
    <row r="195" spans="1:3">
      <c r="A195" s="184" t="s">
        <v>633</v>
      </c>
      <c r="B195" s="184">
        <v>25.541799999999999</v>
      </c>
      <c r="C195" s="184">
        <v>-103.453</v>
      </c>
    </row>
    <row r="196" spans="1:3">
      <c r="A196" s="184" t="s">
        <v>635</v>
      </c>
      <c r="B196" s="184">
        <v>25.54780315</v>
      </c>
      <c r="C196" s="184">
        <v>-103.39233230000001</v>
      </c>
    </row>
    <row r="197" spans="1:3">
      <c r="A197" s="184" t="s">
        <v>637</v>
      </c>
      <c r="B197" s="184">
        <v>25.514334640000001</v>
      </c>
      <c r="C197" s="184">
        <v>-103.3823312</v>
      </c>
    </row>
    <row r="198" spans="1:3">
      <c r="A198" s="184" t="s">
        <v>639</v>
      </c>
      <c r="B198" s="184">
        <v>25.528918269999998</v>
      </c>
      <c r="C198" s="184">
        <v>-103.45400309999999</v>
      </c>
    </row>
    <row r="199" spans="1:3">
      <c r="A199" s="184" t="s">
        <v>641</v>
      </c>
      <c r="B199" s="184">
        <v>25.528775419999999</v>
      </c>
      <c r="C199" s="184">
        <v>-103.47891989999999</v>
      </c>
    </row>
    <row r="200" spans="1:3">
      <c r="A200" s="184" t="s">
        <v>643</v>
      </c>
      <c r="B200" s="184">
        <v>27.6431203</v>
      </c>
      <c r="C200" s="184">
        <v>-101.3472069</v>
      </c>
    </row>
    <row r="201" spans="1:3">
      <c r="A201" s="184" t="s">
        <v>646</v>
      </c>
      <c r="B201" s="184">
        <v>27.917749499999999</v>
      </c>
      <c r="C201" s="184">
        <v>-101.5495475</v>
      </c>
    </row>
    <row r="202" spans="1:3">
      <c r="A202" s="184" t="s">
        <v>649</v>
      </c>
      <c r="B202" s="184">
        <v>27.92427992</v>
      </c>
      <c r="C202" s="184">
        <v>-101.234566</v>
      </c>
    </row>
    <row r="203" spans="1:3">
      <c r="A203" s="184" t="s">
        <v>652</v>
      </c>
      <c r="B203" s="184">
        <v>27.946026759999999</v>
      </c>
      <c r="C203" s="184">
        <v>-101.2186681</v>
      </c>
    </row>
    <row r="204" spans="1:3">
      <c r="A204" s="184" t="s">
        <v>654</v>
      </c>
      <c r="B204" s="184">
        <v>27.864927890000001</v>
      </c>
      <c r="C204" s="184">
        <v>-101.1413208</v>
      </c>
    </row>
    <row r="205" spans="1:3">
      <c r="A205" s="184" t="s">
        <v>656</v>
      </c>
      <c r="B205" s="184">
        <v>28.4101</v>
      </c>
      <c r="C205" s="184">
        <v>-100.887</v>
      </c>
    </row>
    <row r="206" spans="1:3">
      <c r="A206" s="184" t="s">
        <v>660</v>
      </c>
      <c r="B206" s="184">
        <v>29.062242699999999</v>
      </c>
      <c r="C206" s="184">
        <v>-100.68319579999999</v>
      </c>
    </row>
    <row r="207" spans="1:3">
      <c r="A207" s="184" t="s">
        <v>661</v>
      </c>
      <c r="B207" s="184">
        <v>27.877292799999999</v>
      </c>
      <c r="C207" s="184">
        <v>-101.4829818</v>
      </c>
    </row>
    <row r="208" spans="1:3">
      <c r="A208" s="184" t="s">
        <v>664</v>
      </c>
      <c r="B208" s="184">
        <v>27.92427004</v>
      </c>
      <c r="C208" s="184">
        <v>-101.21051249999999</v>
      </c>
    </row>
    <row r="209" spans="1:3">
      <c r="A209" s="184" t="s">
        <v>666</v>
      </c>
      <c r="B209" s="184">
        <v>27.897082900000001</v>
      </c>
      <c r="C209" s="184">
        <v>-101.16762900000001</v>
      </c>
    </row>
    <row r="210" spans="1:3">
      <c r="A210" s="184" t="s">
        <v>669</v>
      </c>
      <c r="B210" s="184">
        <v>27.8349914</v>
      </c>
      <c r="C210" s="184">
        <v>-101.1263507</v>
      </c>
    </row>
    <row r="211" spans="1:3">
      <c r="A211" s="184" t="s">
        <v>673</v>
      </c>
      <c r="B211" s="184">
        <v>29.295193560000001</v>
      </c>
      <c r="C211" s="184">
        <v>-100.97046330000001</v>
      </c>
    </row>
    <row r="212" spans="1:3">
      <c r="A212" s="184" t="s">
        <v>676</v>
      </c>
      <c r="B212" s="184">
        <v>25.7767038</v>
      </c>
      <c r="C212" s="184">
        <v>-103.1111396</v>
      </c>
    </row>
    <row r="213" spans="1:3">
      <c r="A213" s="184" t="s">
        <v>679</v>
      </c>
      <c r="B213" s="184">
        <v>25.5725193</v>
      </c>
      <c r="C213" s="184">
        <v>-103.4350487</v>
      </c>
    </row>
    <row r="214" spans="1:3">
      <c r="A214" s="184" t="s">
        <v>681</v>
      </c>
      <c r="B214" s="184">
        <v>28.625720479999998</v>
      </c>
      <c r="C214" s="184">
        <v>-100.5600582</v>
      </c>
    </row>
    <row r="215" spans="1:3">
      <c r="A215" s="184" t="s">
        <v>684</v>
      </c>
      <c r="B215" s="184">
        <v>28.214714300000001</v>
      </c>
      <c r="C215" s="184">
        <v>-100.7224545</v>
      </c>
    </row>
    <row r="216" spans="1:3">
      <c r="A216" s="184" t="s">
        <v>687</v>
      </c>
      <c r="B216" s="184">
        <v>28.636436</v>
      </c>
      <c r="C216" s="184">
        <v>-107.49218399999999</v>
      </c>
    </row>
    <row r="217" spans="1:3">
      <c r="A217" s="184" t="s">
        <v>690</v>
      </c>
      <c r="B217" s="184">
        <v>28.45262</v>
      </c>
      <c r="C217" s="184">
        <v>-107.742904</v>
      </c>
    </row>
    <row r="218" spans="1:3">
      <c r="A218" s="184" t="s">
        <v>693</v>
      </c>
      <c r="B218" s="184">
        <v>26.95560983</v>
      </c>
      <c r="C218" s="184">
        <v>-106.61887160000001</v>
      </c>
    </row>
    <row r="219" spans="1:3">
      <c r="A219" s="184" t="s">
        <v>697</v>
      </c>
      <c r="B219" s="184">
        <v>28.413085899999999</v>
      </c>
      <c r="C219" s="184">
        <v>-106.1650075</v>
      </c>
    </row>
    <row r="220" spans="1:3">
      <c r="A220" s="184" t="s">
        <v>700</v>
      </c>
      <c r="B220" s="184">
        <v>30.615147820000001</v>
      </c>
      <c r="C220" s="184">
        <v>-106.51464009999999</v>
      </c>
    </row>
    <row r="221" spans="1:3">
      <c r="A221" s="184" t="s">
        <v>704</v>
      </c>
      <c r="B221" s="184">
        <v>31.61072128</v>
      </c>
      <c r="C221" s="184">
        <v>-106.5252382</v>
      </c>
    </row>
    <row r="222" spans="1:3">
      <c r="A222" s="184" t="s">
        <v>707</v>
      </c>
      <c r="B222" s="184">
        <v>26.933419600000001</v>
      </c>
      <c r="C222" s="184">
        <v>-105.3951714</v>
      </c>
    </row>
    <row r="223" spans="1:3">
      <c r="A223" s="184" t="s">
        <v>709</v>
      </c>
      <c r="B223" s="184">
        <v>28.407156799999999</v>
      </c>
      <c r="C223" s="184">
        <v>-106.876853</v>
      </c>
    </row>
    <row r="224" spans="1:3">
      <c r="A224" s="184" t="s">
        <v>713</v>
      </c>
      <c r="B224" s="184">
        <v>27.576037759999998</v>
      </c>
      <c r="C224" s="184">
        <v>-108.09271750000001</v>
      </c>
    </row>
    <row r="225" spans="1:3">
      <c r="A225" s="184" t="s">
        <v>717</v>
      </c>
      <c r="B225" s="184">
        <v>30.610737090000001</v>
      </c>
      <c r="C225" s="184">
        <v>-106.5241949</v>
      </c>
    </row>
    <row r="226" spans="1:3">
      <c r="A226" s="184" t="s">
        <v>719</v>
      </c>
      <c r="B226" s="184">
        <v>27.394815080000001</v>
      </c>
      <c r="C226" s="184">
        <v>-108.53544789999999</v>
      </c>
    </row>
    <row r="227" spans="1:3">
      <c r="A227" s="184" t="s">
        <v>723</v>
      </c>
      <c r="B227" s="184">
        <v>28.39723519</v>
      </c>
      <c r="C227" s="184">
        <v>-107.00407319999999</v>
      </c>
    </row>
    <row r="228" spans="1:3">
      <c r="A228" s="184" t="s">
        <v>727</v>
      </c>
      <c r="B228" s="184">
        <v>26.930370199999999</v>
      </c>
      <c r="C228" s="184">
        <v>-105.6821752</v>
      </c>
    </row>
    <row r="229" spans="1:3">
      <c r="A229" s="184" t="s">
        <v>729</v>
      </c>
      <c r="B229" s="184">
        <v>30.565967000000001</v>
      </c>
      <c r="C229" s="184">
        <v>-107.9408444</v>
      </c>
    </row>
    <row r="230" spans="1:3">
      <c r="A230" s="184" t="s">
        <v>733</v>
      </c>
      <c r="B230" s="184">
        <v>28.035082639999999</v>
      </c>
      <c r="C230" s="184">
        <v>-105.3168258</v>
      </c>
    </row>
    <row r="231" spans="1:3">
      <c r="A231" s="184" t="s">
        <v>736</v>
      </c>
      <c r="B231" s="184">
        <v>28.2702262</v>
      </c>
      <c r="C231" s="184">
        <v>-105.4855716</v>
      </c>
    </row>
    <row r="232" spans="1:3">
      <c r="A232" s="184" t="s">
        <v>739</v>
      </c>
      <c r="B232" s="184">
        <v>26.932642900000001</v>
      </c>
      <c r="C232" s="184">
        <v>-105.39669840000001</v>
      </c>
    </row>
    <row r="233" spans="1:3">
      <c r="A233" s="184" t="s">
        <v>742</v>
      </c>
      <c r="B233" s="184">
        <v>31.713020480000001</v>
      </c>
      <c r="C233" s="184">
        <v>-106.5198379</v>
      </c>
    </row>
    <row r="234" spans="1:3">
      <c r="A234" s="184" t="s">
        <v>744</v>
      </c>
      <c r="B234" s="184">
        <v>27.739379700000001</v>
      </c>
      <c r="C234" s="184">
        <v>-107.6385701</v>
      </c>
    </row>
    <row r="235" spans="1:3">
      <c r="A235" s="184" t="s">
        <v>747</v>
      </c>
      <c r="B235" s="184">
        <v>26.928742400000001</v>
      </c>
      <c r="C235" s="184">
        <v>-105.644032</v>
      </c>
    </row>
    <row r="236" spans="1:3">
      <c r="A236" s="184" t="s">
        <v>749</v>
      </c>
      <c r="B236" s="184">
        <v>28.1795638</v>
      </c>
      <c r="C236" s="184">
        <v>-105.46559619999999</v>
      </c>
    </row>
    <row r="237" spans="1:3">
      <c r="A237" s="184" t="s">
        <v>751</v>
      </c>
      <c r="B237" s="184">
        <v>28.78312644</v>
      </c>
      <c r="C237" s="184">
        <v>-106.1542869</v>
      </c>
    </row>
    <row r="238" spans="1:3">
      <c r="A238" s="184" t="s">
        <v>754</v>
      </c>
      <c r="B238" s="184">
        <v>28.7090329</v>
      </c>
      <c r="C238" s="184">
        <v>-106.1132432</v>
      </c>
    </row>
    <row r="239" spans="1:3">
      <c r="A239" s="184" t="s">
        <v>756</v>
      </c>
      <c r="B239" s="184">
        <v>27.917000000000002</v>
      </c>
      <c r="C239" s="184">
        <v>-107.05500000000001</v>
      </c>
    </row>
    <row r="240" spans="1:3">
      <c r="A240" s="184" t="s">
        <v>759</v>
      </c>
      <c r="B240" s="184">
        <v>28.4102788</v>
      </c>
      <c r="C240" s="184">
        <v>-106.9084538</v>
      </c>
    </row>
    <row r="241" spans="1:3">
      <c r="A241" s="184" t="s">
        <v>761</v>
      </c>
      <c r="B241" s="184">
        <v>28.788250999999999</v>
      </c>
      <c r="C241" s="184">
        <v>-106.14819</v>
      </c>
    </row>
    <row r="242" spans="1:3">
      <c r="A242" s="184" t="s">
        <v>762</v>
      </c>
      <c r="B242" s="184">
        <v>28.464706199999998</v>
      </c>
      <c r="C242" s="184">
        <v>-106.7441276</v>
      </c>
    </row>
    <row r="243" spans="1:3">
      <c r="A243" s="184" t="s">
        <v>765</v>
      </c>
      <c r="B243" s="184">
        <v>27.913028700000002</v>
      </c>
      <c r="C243" s="184">
        <v>-107.0573109</v>
      </c>
    </row>
    <row r="244" spans="1:3">
      <c r="A244" s="184" t="s">
        <v>768</v>
      </c>
      <c r="B244" s="184">
        <v>28.139889</v>
      </c>
      <c r="C244" s="184">
        <v>-105.53094400000001</v>
      </c>
    </row>
    <row r="245" spans="1:3">
      <c r="A245" s="184" t="s">
        <v>772</v>
      </c>
      <c r="B245" s="184">
        <v>28.188611000000002</v>
      </c>
      <c r="C245" s="184">
        <v>-108.28277799999999</v>
      </c>
    </row>
    <row r="246" spans="1:3">
      <c r="A246" s="184" t="s">
        <v>775</v>
      </c>
      <c r="B246" s="184">
        <v>28.284179699999999</v>
      </c>
      <c r="C246" s="184">
        <v>-107.4066442</v>
      </c>
    </row>
    <row r="247" spans="1:3">
      <c r="A247" s="184" t="s">
        <v>778</v>
      </c>
      <c r="B247" s="184">
        <v>29.071691099999999</v>
      </c>
      <c r="C247" s="184">
        <v>-106.25207349999999</v>
      </c>
    </row>
    <row r="248" spans="1:3">
      <c r="A248" s="184" t="s">
        <v>781</v>
      </c>
      <c r="B248" s="184">
        <v>27.27199568</v>
      </c>
      <c r="C248" s="184">
        <v>-107.1373667</v>
      </c>
    </row>
    <row r="249" spans="1:3">
      <c r="A249" s="184" t="s">
        <v>784</v>
      </c>
      <c r="B249" s="184">
        <v>27.858349749999999</v>
      </c>
      <c r="C249" s="184">
        <v>-107.99267570000001</v>
      </c>
    </row>
    <row r="250" spans="1:3">
      <c r="A250" s="184" t="s">
        <v>787</v>
      </c>
      <c r="B250" s="184">
        <v>27.863999809999999</v>
      </c>
      <c r="C250" s="184">
        <v>-105.19598980000001</v>
      </c>
    </row>
    <row r="251" spans="1:3">
      <c r="A251" s="184" t="s">
        <v>790</v>
      </c>
      <c r="B251" s="184">
        <v>27.584465399999999</v>
      </c>
      <c r="C251" s="184">
        <v>-105.33016739999999</v>
      </c>
    </row>
    <row r="252" spans="1:3">
      <c r="A252" s="184" t="s">
        <v>793</v>
      </c>
      <c r="B252" s="184">
        <v>28.426472199999999</v>
      </c>
      <c r="C252" s="184">
        <v>-105.4364722</v>
      </c>
    </row>
    <row r="253" spans="1:3">
      <c r="A253" s="184" t="s">
        <v>796</v>
      </c>
      <c r="B253" s="184">
        <v>26.760464670000001</v>
      </c>
      <c r="C253" s="184">
        <v>-105.58653700000001</v>
      </c>
    </row>
    <row r="254" spans="1:3">
      <c r="A254" s="184" t="s">
        <v>799</v>
      </c>
      <c r="B254" s="184">
        <v>28.6819843</v>
      </c>
      <c r="C254" s="184">
        <v>-106.1308487</v>
      </c>
    </row>
    <row r="255" spans="1:3">
      <c r="A255" s="184" t="s">
        <v>801</v>
      </c>
      <c r="B255" s="184">
        <v>28.613035199999999</v>
      </c>
      <c r="C255" s="184">
        <v>-106.05714949999999</v>
      </c>
    </row>
    <row r="256" spans="1:3">
      <c r="A256" s="184" t="s">
        <v>803</v>
      </c>
      <c r="B256" s="184">
        <v>29.101724600000001</v>
      </c>
      <c r="C256" s="184">
        <v>-103.90523690000001</v>
      </c>
    </row>
    <row r="257" spans="1:3">
      <c r="A257" s="184" t="s">
        <v>806</v>
      </c>
      <c r="B257" s="184">
        <v>26.956500999999999</v>
      </c>
      <c r="C257" s="184">
        <v>-106.62400100000001</v>
      </c>
    </row>
    <row r="258" spans="1:3">
      <c r="A258" s="184" t="s">
        <v>808</v>
      </c>
      <c r="B258" s="184">
        <v>27.927448900000002</v>
      </c>
      <c r="C258" s="184">
        <v>-106.3933894</v>
      </c>
    </row>
    <row r="259" spans="1:3">
      <c r="A259" s="184" t="s">
        <v>812</v>
      </c>
      <c r="B259" s="184">
        <v>29.463267500000001</v>
      </c>
      <c r="C259" s="184">
        <v>-105.09454100000001</v>
      </c>
    </row>
    <row r="260" spans="1:3">
      <c r="A260" s="184" t="s">
        <v>816</v>
      </c>
      <c r="B260" s="184">
        <v>27.056683700000001</v>
      </c>
      <c r="C260" s="184">
        <v>-106.1836251</v>
      </c>
    </row>
    <row r="261" spans="1:3">
      <c r="A261" s="184" t="s">
        <v>819</v>
      </c>
      <c r="B261" s="184">
        <v>31.338971999999998</v>
      </c>
      <c r="C261" s="184">
        <v>-106.47802799999999</v>
      </c>
    </row>
    <row r="262" spans="1:3">
      <c r="A262" s="184" t="s">
        <v>822</v>
      </c>
      <c r="B262" s="184">
        <v>28.421944</v>
      </c>
      <c r="C262" s="184">
        <v>-108.3775</v>
      </c>
    </row>
    <row r="263" spans="1:3">
      <c r="A263" s="184" t="s">
        <v>826</v>
      </c>
      <c r="B263" s="184">
        <v>26.740908300000001</v>
      </c>
      <c r="C263" s="184">
        <v>-105.1616575</v>
      </c>
    </row>
    <row r="264" spans="1:3">
      <c r="A264" s="184" t="s">
        <v>829</v>
      </c>
      <c r="B264" s="184">
        <v>28.876512999999999</v>
      </c>
      <c r="C264" s="184">
        <v>-106.23348660000001</v>
      </c>
    </row>
    <row r="265" spans="1:3">
      <c r="A265" s="184" t="s">
        <v>831</v>
      </c>
      <c r="B265" s="184">
        <v>28.125404870000001</v>
      </c>
      <c r="C265" s="184">
        <v>-105.5804909</v>
      </c>
    </row>
    <row r="266" spans="1:3">
      <c r="A266" s="184" t="s">
        <v>835</v>
      </c>
      <c r="B266" s="184">
        <v>31.630003299999998</v>
      </c>
      <c r="C266" s="184">
        <v>-106.3125093</v>
      </c>
    </row>
    <row r="267" spans="1:3">
      <c r="A267" s="184" t="s">
        <v>837</v>
      </c>
      <c r="B267" s="184">
        <v>31.749085300000001</v>
      </c>
      <c r="C267" s="184">
        <v>-106.5199358</v>
      </c>
    </row>
    <row r="268" spans="1:3">
      <c r="A268" s="184" t="s">
        <v>839</v>
      </c>
      <c r="B268" s="184">
        <v>28.329888</v>
      </c>
      <c r="C268" s="184">
        <v>-105.59598819999999</v>
      </c>
    </row>
    <row r="269" spans="1:3">
      <c r="A269" s="184" t="s">
        <v>843</v>
      </c>
      <c r="B269" s="184">
        <v>28.413332199999999</v>
      </c>
      <c r="C269" s="184">
        <v>-106.16484</v>
      </c>
    </row>
    <row r="270" spans="1:3">
      <c r="A270" s="184" t="s">
        <v>845</v>
      </c>
      <c r="B270" s="184">
        <v>28.496775599999999</v>
      </c>
      <c r="C270" s="184">
        <v>-105.5476151</v>
      </c>
    </row>
    <row r="271" spans="1:3">
      <c r="A271" s="184" t="s">
        <v>848</v>
      </c>
      <c r="B271" s="184">
        <v>28.150888900000002</v>
      </c>
      <c r="C271" s="184">
        <v>-105.397732</v>
      </c>
    </row>
    <row r="272" spans="1:3">
      <c r="A272" s="184" t="s">
        <v>851</v>
      </c>
      <c r="B272" s="184">
        <v>29.0665285</v>
      </c>
      <c r="C272" s="184">
        <v>-105.1459241</v>
      </c>
    </row>
    <row r="273" spans="1:3">
      <c r="A273" s="184" t="s">
        <v>855</v>
      </c>
      <c r="B273" s="184">
        <v>28.18947464</v>
      </c>
      <c r="C273" s="184">
        <v>-105.55724549999999</v>
      </c>
    </row>
    <row r="274" spans="1:3">
      <c r="A274" s="184" t="s">
        <v>857</v>
      </c>
      <c r="B274" s="184">
        <v>31.727486500000001</v>
      </c>
      <c r="C274" s="184">
        <v>-106.5289258</v>
      </c>
    </row>
    <row r="275" spans="1:3">
      <c r="A275" s="184" t="s">
        <v>859</v>
      </c>
      <c r="B275" s="184">
        <v>28.387405000000001</v>
      </c>
      <c r="C275" s="184">
        <v>-106.89456370000001</v>
      </c>
    </row>
    <row r="276" spans="1:3">
      <c r="A276" s="184" t="s">
        <v>862</v>
      </c>
      <c r="B276" s="184">
        <v>30.296854700000001</v>
      </c>
      <c r="C276" s="184">
        <v>-108.0653263</v>
      </c>
    </row>
    <row r="277" spans="1:3">
      <c r="A277" s="184" t="s">
        <v>866</v>
      </c>
      <c r="B277" s="184">
        <v>29.91958048</v>
      </c>
      <c r="C277" s="184">
        <v>-106.80342039999999</v>
      </c>
    </row>
    <row r="278" spans="1:3">
      <c r="A278" s="184" t="s">
        <v>870</v>
      </c>
      <c r="B278" s="184">
        <v>29.642648229999999</v>
      </c>
      <c r="C278" s="184">
        <v>-108.448881</v>
      </c>
    </row>
    <row r="279" spans="1:3">
      <c r="A279" s="184" t="s">
        <v>874</v>
      </c>
      <c r="B279" s="184">
        <v>27.973140999999998</v>
      </c>
      <c r="C279" s="184">
        <v>-107.6080185</v>
      </c>
    </row>
    <row r="280" spans="1:3">
      <c r="A280" s="184" t="s">
        <v>878</v>
      </c>
      <c r="B280" s="184">
        <v>32.534999999999997</v>
      </c>
      <c r="C280" s="184">
        <v>-117.04259999999999</v>
      </c>
    </row>
    <row r="281" spans="1:3">
      <c r="A281" s="184" t="s">
        <v>881</v>
      </c>
      <c r="B281" s="184">
        <v>25.766258530000002</v>
      </c>
      <c r="C281" s="184">
        <v>-106.6524182</v>
      </c>
    </row>
    <row r="282" spans="1:3">
      <c r="A282" s="184" t="s">
        <v>883</v>
      </c>
      <c r="B282" s="184">
        <v>28.477433470000001</v>
      </c>
      <c r="C282" s="184">
        <v>-107.80441</v>
      </c>
    </row>
    <row r="283" spans="1:3">
      <c r="A283" s="184" t="s">
        <v>886</v>
      </c>
      <c r="B283" s="184">
        <v>27.965934099999998</v>
      </c>
      <c r="C283" s="184">
        <v>-107.60818310000001</v>
      </c>
    </row>
    <row r="284" spans="1:3">
      <c r="A284" s="184" t="s">
        <v>889</v>
      </c>
      <c r="B284" s="184">
        <v>27.867700620000001</v>
      </c>
      <c r="C284" s="184">
        <v>-108.2144517</v>
      </c>
    </row>
    <row r="285" spans="1:3">
      <c r="A285" s="184" t="s">
        <v>893</v>
      </c>
      <c r="B285" s="184">
        <v>31.6985265</v>
      </c>
      <c r="C285" s="184">
        <v>-106.4761412</v>
      </c>
    </row>
    <row r="286" spans="1:3">
      <c r="A286" s="184" t="s">
        <v>895</v>
      </c>
      <c r="B286" s="184">
        <v>26.985214190000001</v>
      </c>
      <c r="C286" s="184">
        <v>-105.3258254</v>
      </c>
    </row>
    <row r="287" spans="1:3">
      <c r="A287" s="184" t="s">
        <v>898</v>
      </c>
      <c r="B287" s="184">
        <v>27.110208409999998</v>
      </c>
      <c r="C287" s="184">
        <v>-107.6640791</v>
      </c>
    </row>
    <row r="288" spans="1:3">
      <c r="A288" s="184" t="s">
        <v>901</v>
      </c>
      <c r="B288" s="184">
        <v>27.972994799999999</v>
      </c>
      <c r="C288" s="184">
        <v>-107.60343880000001</v>
      </c>
    </row>
    <row r="289" spans="1:3">
      <c r="A289" s="184" t="s">
        <v>904</v>
      </c>
      <c r="B289" s="184">
        <v>27.715630910000002</v>
      </c>
      <c r="C289" s="184">
        <v>-105.1979379</v>
      </c>
    </row>
    <row r="290" spans="1:3">
      <c r="A290" s="184" t="s">
        <v>908</v>
      </c>
      <c r="B290" s="184">
        <v>19.484323289999999</v>
      </c>
      <c r="C290" s="184">
        <v>-99.193773460000003</v>
      </c>
    </row>
    <row r="291" spans="1:3">
      <c r="A291" s="184" t="s">
        <v>911</v>
      </c>
      <c r="B291" s="184">
        <v>28.767945300000001</v>
      </c>
      <c r="C291" s="184">
        <v>-106.1542015</v>
      </c>
    </row>
    <row r="292" spans="1:3">
      <c r="A292" s="184" t="s">
        <v>914</v>
      </c>
      <c r="B292" s="184">
        <v>28.224778229999998</v>
      </c>
      <c r="C292" s="184">
        <v>-105.36525260000001</v>
      </c>
    </row>
    <row r="293" spans="1:3">
      <c r="A293" s="184" t="s">
        <v>917</v>
      </c>
      <c r="B293" s="184">
        <v>28.12194955</v>
      </c>
      <c r="C293" s="184">
        <v>-105.4685329</v>
      </c>
    </row>
    <row r="294" spans="1:3">
      <c r="A294" s="184" t="s">
        <v>920</v>
      </c>
      <c r="B294" s="184">
        <v>28.083603830000001</v>
      </c>
      <c r="C294" s="184">
        <v>-105.37557769999999</v>
      </c>
    </row>
    <row r="295" spans="1:3">
      <c r="A295" s="184" t="s">
        <v>923</v>
      </c>
      <c r="B295" s="184">
        <v>31.629437150000001</v>
      </c>
      <c r="C295" s="184">
        <v>-106.3111212</v>
      </c>
    </row>
    <row r="296" spans="1:3">
      <c r="A296" s="184" t="s">
        <v>925</v>
      </c>
      <c r="B296" s="184">
        <v>27.573822329999999</v>
      </c>
      <c r="C296" s="184">
        <v>-108.08501870000001</v>
      </c>
    </row>
    <row r="297" spans="1:3">
      <c r="A297" s="184" t="s">
        <v>927</v>
      </c>
      <c r="B297" s="184">
        <v>28.539682930000001</v>
      </c>
      <c r="C297" s="184">
        <v>-107.21738449999999</v>
      </c>
    </row>
    <row r="298" spans="1:3">
      <c r="A298" s="184" t="s">
        <v>930</v>
      </c>
      <c r="B298" s="184">
        <v>31.698535010000001</v>
      </c>
      <c r="C298" s="184">
        <v>-106.47604629999999</v>
      </c>
    </row>
    <row r="299" spans="1:3">
      <c r="A299" s="184" t="s">
        <v>932</v>
      </c>
      <c r="B299" s="184">
        <v>27.03782562</v>
      </c>
      <c r="C299" s="184">
        <v>-105.1982515</v>
      </c>
    </row>
    <row r="300" spans="1:3">
      <c r="A300" s="184" t="s">
        <v>936</v>
      </c>
      <c r="B300" s="184">
        <v>28.384110549999999</v>
      </c>
      <c r="C300" s="184">
        <v>-105.5152598</v>
      </c>
    </row>
    <row r="301" spans="1:3">
      <c r="A301" s="184" t="s">
        <v>938</v>
      </c>
      <c r="B301" s="184">
        <v>28.927891330000001</v>
      </c>
      <c r="C301" s="184">
        <v>-107.5076509</v>
      </c>
    </row>
    <row r="302" spans="1:3">
      <c r="A302" s="184" t="s">
        <v>941</v>
      </c>
      <c r="B302" s="184">
        <v>30.495145489999999</v>
      </c>
      <c r="C302" s="184">
        <v>-107.9032553</v>
      </c>
    </row>
    <row r="303" spans="1:3">
      <c r="A303" s="184" t="s">
        <v>945</v>
      </c>
      <c r="B303" s="184">
        <v>27.137496930000001</v>
      </c>
      <c r="C303" s="184">
        <v>-106.31513769999999</v>
      </c>
    </row>
    <row r="304" spans="1:3">
      <c r="A304" s="184" t="s">
        <v>949</v>
      </c>
      <c r="B304" s="184">
        <v>27.9646945</v>
      </c>
      <c r="C304" s="184">
        <v>-105.230788</v>
      </c>
    </row>
    <row r="305" spans="1:3">
      <c r="A305" s="184" t="s">
        <v>951</v>
      </c>
      <c r="B305" s="184">
        <v>28.16142821</v>
      </c>
      <c r="C305" s="184">
        <v>-105.33830039999999</v>
      </c>
    </row>
    <row r="306" spans="1:3">
      <c r="A306" s="184" t="s">
        <v>954</v>
      </c>
      <c r="B306" s="184">
        <v>27.969965160000001</v>
      </c>
      <c r="C306" s="184">
        <v>-105.2885928</v>
      </c>
    </row>
    <row r="307" spans="1:3">
      <c r="A307" s="184" t="s">
        <v>957</v>
      </c>
      <c r="B307" s="184">
        <v>28.3875946</v>
      </c>
      <c r="C307" s="184">
        <v>-106.89492199999999</v>
      </c>
    </row>
    <row r="308" spans="1:3">
      <c r="A308" s="184" t="s">
        <v>959</v>
      </c>
      <c r="B308" s="184">
        <v>31.732064900000001</v>
      </c>
      <c r="C308" s="184">
        <v>-106.4995004</v>
      </c>
    </row>
    <row r="309" spans="1:3">
      <c r="A309" s="184" t="s">
        <v>960</v>
      </c>
      <c r="B309" s="184">
        <v>26.864154599999999</v>
      </c>
      <c r="C309" s="184">
        <v>-105.8477888</v>
      </c>
    </row>
    <row r="310" spans="1:3">
      <c r="A310" s="184" t="s">
        <v>963</v>
      </c>
      <c r="B310" s="184">
        <v>28.329267000000002</v>
      </c>
      <c r="C310" s="184">
        <v>-105.597616</v>
      </c>
    </row>
    <row r="311" spans="1:3">
      <c r="A311" s="184" t="s">
        <v>966</v>
      </c>
      <c r="B311" s="184">
        <v>28.088727599999999</v>
      </c>
      <c r="C311" s="184">
        <v>-105.5256066</v>
      </c>
    </row>
    <row r="312" spans="1:3">
      <c r="A312" s="184" t="s">
        <v>968</v>
      </c>
      <c r="B312" s="184">
        <v>28.181899999999999</v>
      </c>
      <c r="C312" s="184">
        <v>-105.337</v>
      </c>
    </row>
    <row r="313" spans="1:3">
      <c r="A313" s="184" t="s">
        <v>971</v>
      </c>
      <c r="B313" s="184">
        <v>27.299501599999999</v>
      </c>
      <c r="C313" s="184">
        <v>-105.1739759</v>
      </c>
    </row>
    <row r="314" spans="1:3">
      <c r="A314" s="184" t="s">
        <v>974</v>
      </c>
      <c r="B314" s="184">
        <v>29.4559088</v>
      </c>
      <c r="C314" s="184">
        <v>-105.0918197</v>
      </c>
    </row>
    <row r="315" spans="1:3">
      <c r="A315" s="184" t="s">
        <v>976</v>
      </c>
      <c r="B315" s="184">
        <v>28.609106100000002</v>
      </c>
      <c r="C315" s="184">
        <v>-106.030242</v>
      </c>
    </row>
    <row r="316" spans="1:3">
      <c r="A316" s="184" t="s">
        <v>978</v>
      </c>
      <c r="B316" s="184">
        <v>28.284534600000001</v>
      </c>
      <c r="C316" s="184">
        <v>-107.4034867</v>
      </c>
    </row>
    <row r="317" spans="1:3">
      <c r="A317" s="184" t="s">
        <v>980</v>
      </c>
      <c r="B317" s="184">
        <v>28.056526170000001</v>
      </c>
      <c r="C317" s="184">
        <v>-107.0285976</v>
      </c>
    </row>
    <row r="318" spans="1:3">
      <c r="A318" s="184" t="s">
        <v>983</v>
      </c>
      <c r="B318" s="184">
        <v>26.935110099999999</v>
      </c>
      <c r="C318" s="184">
        <v>-105.64200460000001</v>
      </c>
    </row>
    <row r="319" spans="1:3">
      <c r="A319" s="184" t="s">
        <v>986</v>
      </c>
      <c r="B319" s="184">
        <v>28.3913473</v>
      </c>
      <c r="C319" s="184">
        <v>-106.8923583</v>
      </c>
    </row>
    <row r="320" spans="1:3">
      <c r="A320" s="184" t="s">
        <v>989</v>
      </c>
      <c r="B320" s="184">
        <v>28.714658100000001</v>
      </c>
      <c r="C320" s="184">
        <v>-106.1198699</v>
      </c>
    </row>
    <row r="321" spans="1:3">
      <c r="A321" s="184" t="s">
        <v>991</v>
      </c>
      <c r="B321" s="184">
        <v>28.193300000000001</v>
      </c>
      <c r="C321" s="184">
        <v>-105.471</v>
      </c>
    </row>
    <row r="322" spans="1:3">
      <c r="A322" s="184" t="s">
        <v>993</v>
      </c>
      <c r="B322" s="184">
        <v>28.204330550000002</v>
      </c>
      <c r="C322" s="184">
        <v>-105.4066985</v>
      </c>
    </row>
    <row r="323" spans="1:3">
      <c r="A323" s="184" t="s">
        <v>996</v>
      </c>
      <c r="B323" s="184">
        <v>29.992699999999999</v>
      </c>
      <c r="C323" s="184">
        <v>-107.553</v>
      </c>
    </row>
    <row r="324" spans="1:3">
      <c r="A324" s="184" t="s">
        <v>1000</v>
      </c>
      <c r="B324" s="184">
        <v>29.7041</v>
      </c>
      <c r="C324" s="184">
        <v>-107.804</v>
      </c>
    </row>
    <row r="325" spans="1:3">
      <c r="A325" s="184" t="s">
        <v>1004</v>
      </c>
      <c r="B325" s="184">
        <v>28.76010509</v>
      </c>
      <c r="C325" s="184">
        <v>-107.69815079999999</v>
      </c>
    </row>
    <row r="326" spans="1:3">
      <c r="A326" s="184" t="s">
        <v>1008</v>
      </c>
      <c r="B326" s="184">
        <v>28.41213913</v>
      </c>
      <c r="C326" s="184">
        <v>-105.45154359999999</v>
      </c>
    </row>
    <row r="327" spans="1:3">
      <c r="A327" s="184" t="s">
        <v>1011</v>
      </c>
      <c r="B327" s="184">
        <v>29.035724800000001</v>
      </c>
      <c r="C327" s="184">
        <v>-107.4757632</v>
      </c>
    </row>
    <row r="328" spans="1:3">
      <c r="A328" s="184" t="s">
        <v>1013</v>
      </c>
      <c r="B328" s="184">
        <v>27.585353090000002</v>
      </c>
      <c r="C328" s="184">
        <v>-105.33097170000001</v>
      </c>
    </row>
    <row r="329" spans="1:3">
      <c r="A329" s="184" t="s">
        <v>1016</v>
      </c>
      <c r="B329" s="184">
        <v>27.809059000000001</v>
      </c>
      <c r="C329" s="184">
        <v>-105.1671863</v>
      </c>
    </row>
    <row r="330" spans="1:3">
      <c r="A330" s="184" t="s">
        <v>1019</v>
      </c>
      <c r="B330" s="184">
        <v>28.663248200000002</v>
      </c>
      <c r="C330" s="184">
        <v>-106.09930249999999</v>
      </c>
    </row>
    <row r="331" spans="1:3">
      <c r="A331" s="184" t="s">
        <v>1022</v>
      </c>
      <c r="B331" s="184">
        <v>27.776758300000001</v>
      </c>
      <c r="C331" s="184">
        <v>-105.7289318</v>
      </c>
    </row>
    <row r="332" spans="1:3">
      <c r="A332" s="184" t="s">
        <v>1025</v>
      </c>
      <c r="B332" s="184">
        <v>27.05468978</v>
      </c>
      <c r="C332" s="184">
        <v>-106.32773039999999</v>
      </c>
    </row>
    <row r="333" spans="1:3">
      <c r="A333" s="184" t="s">
        <v>1028</v>
      </c>
      <c r="B333" s="184">
        <v>26.186836700000001</v>
      </c>
      <c r="C333" s="184">
        <v>-106.61637</v>
      </c>
    </row>
    <row r="334" spans="1:3">
      <c r="A334" s="184" t="s">
        <v>1031</v>
      </c>
      <c r="B334" s="184">
        <v>28.757242139999999</v>
      </c>
      <c r="C334" s="184">
        <v>-106.13317499999999</v>
      </c>
    </row>
    <row r="335" spans="1:3">
      <c r="A335" s="184" t="s">
        <v>1035</v>
      </c>
      <c r="B335" s="184">
        <v>28.7351204</v>
      </c>
      <c r="C335" s="184">
        <v>-106.1509453</v>
      </c>
    </row>
    <row r="336" spans="1:3">
      <c r="A336" s="184" t="s">
        <v>1037</v>
      </c>
      <c r="B336" s="184">
        <v>28.658014990000002</v>
      </c>
      <c r="C336" s="184">
        <v>-106.0063578</v>
      </c>
    </row>
    <row r="337" spans="1:3">
      <c r="A337" s="184" t="s">
        <v>1039</v>
      </c>
      <c r="B337" s="184">
        <v>28.20296926</v>
      </c>
      <c r="C337" s="184">
        <v>-105.4742621</v>
      </c>
    </row>
    <row r="338" spans="1:3">
      <c r="A338" s="184" t="s">
        <v>1041</v>
      </c>
      <c r="B338" s="184">
        <v>30.304774800000001</v>
      </c>
      <c r="C338" s="184">
        <v>-108.07278789999999</v>
      </c>
    </row>
    <row r="339" spans="1:3">
      <c r="A339" s="184" t="s">
        <v>1044</v>
      </c>
      <c r="B339" s="184">
        <v>26.929051600000001</v>
      </c>
      <c r="C339" s="184">
        <v>-105.64961510000001</v>
      </c>
    </row>
    <row r="340" spans="1:3">
      <c r="A340" s="184" t="s">
        <v>1047</v>
      </c>
      <c r="B340" s="184">
        <v>28.599758399999999</v>
      </c>
      <c r="C340" s="184">
        <v>-105.9976676</v>
      </c>
    </row>
    <row r="341" spans="1:3">
      <c r="A341" s="184" t="s">
        <v>1049</v>
      </c>
      <c r="B341" s="184">
        <v>31.716147200000002</v>
      </c>
      <c r="C341" s="184">
        <v>-106.4828928</v>
      </c>
    </row>
    <row r="342" spans="1:3">
      <c r="A342" s="184" t="s">
        <v>1053</v>
      </c>
      <c r="B342" s="184">
        <v>28.24221524</v>
      </c>
      <c r="C342" s="184">
        <v>-105.443409</v>
      </c>
    </row>
    <row r="343" spans="1:3">
      <c r="A343" s="184" t="s">
        <v>1056</v>
      </c>
      <c r="B343" s="184">
        <v>30.0031392</v>
      </c>
      <c r="C343" s="184">
        <v>-107.5625165</v>
      </c>
    </row>
    <row r="344" spans="1:3">
      <c r="A344" s="184" t="s">
        <v>1059</v>
      </c>
      <c r="B344" s="184">
        <v>29.554777600000001</v>
      </c>
      <c r="C344" s="184">
        <v>-104.4154226</v>
      </c>
    </row>
    <row r="345" spans="1:3">
      <c r="A345" s="184" t="s">
        <v>1062</v>
      </c>
      <c r="B345" s="184">
        <v>28.595967399999999</v>
      </c>
      <c r="C345" s="184">
        <v>-106.113764</v>
      </c>
    </row>
    <row r="346" spans="1:3">
      <c r="A346" s="184" t="s">
        <v>1065</v>
      </c>
      <c r="B346" s="184">
        <v>30.4255593</v>
      </c>
      <c r="C346" s="184">
        <v>-107.9192384</v>
      </c>
    </row>
    <row r="347" spans="1:3">
      <c r="A347" s="184" t="s">
        <v>1068</v>
      </c>
      <c r="B347" s="184">
        <v>30.369266799999998</v>
      </c>
      <c r="C347" s="184">
        <v>-107.95821599999999</v>
      </c>
    </row>
    <row r="348" spans="1:3">
      <c r="A348" s="184" t="s">
        <v>1072</v>
      </c>
      <c r="B348" s="184">
        <v>30.850661809999998</v>
      </c>
      <c r="C348" s="184">
        <v>-108.28228060000001</v>
      </c>
    </row>
    <row r="349" spans="1:3">
      <c r="A349" s="184" t="s">
        <v>1075</v>
      </c>
      <c r="B349" s="184">
        <v>28.688453599999999</v>
      </c>
      <c r="C349" s="184">
        <v>-106.1018287</v>
      </c>
    </row>
    <row r="350" spans="1:3">
      <c r="A350" s="184" t="s">
        <v>1077</v>
      </c>
      <c r="B350" s="184">
        <v>31.471937310000001</v>
      </c>
      <c r="C350" s="184">
        <v>-107.609309</v>
      </c>
    </row>
    <row r="351" spans="1:3">
      <c r="A351" s="184" t="s">
        <v>1081</v>
      </c>
      <c r="B351" s="184">
        <v>28.87566404</v>
      </c>
      <c r="C351" s="184">
        <v>-106.2370858</v>
      </c>
    </row>
    <row r="352" spans="1:3">
      <c r="A352" s="184" t="s">
        <v>1084</v>
      </c>
      <c r="B352" s="184">
        <v>29.106323209999999</v>
      </c>
      <c r="C352" s="184">
        <v>-107.0254808</v>
      </c>
    </row>
    <row r="353" spans="1:3">
      <c r="A353" s="184" t="s">
        <v>1087</v>
      </c>
      <c r="B353" s="184">
        <v>26.705960900000001</v>
      </c>
      <c r="C353" s="184">
        <v>-107.2494579</v>
      </c>
    </row>
    <row r="354" spans="1:3">
      <c r="A354" s="184" t="s">
        <v>1090</v>
      </c>
      <c r="B354" s="184">
        <v>28.629525600000001</v>
      </c>
      <c r="C354" s="184">
        <v>-106.0755836</v>
      </c>
    </row>
    <row r="355" spans="1:3">
      <c r="A355" s="184" t="s">
        <v>1094</v>
      </c>
      <c r="B355" s="184">
        <v>28.429136199999999</v>
      </c>
      <c r="C355" s="184">
        <v>-106.84208219999999</v>
      </c>
    </row>
    <row r="356" spans="1:3">
      <c r="A356" s="184" t="s">
        <v>1097</v>
      </c>
      <c r="B356" s="184">
        <v>28.579360470000001</v>
      </c>
      <c r="C356" s="184">
        <v>-106.03635060000001</v>
      </c>
    </row>
    <row r="357" spans="1:3">
      <c r="A357" s="184" t="s">
        <v>1099</v>
      </c>
      <c r="B357" s="184">
        <v>31.60192795</v>
      </c>
      <c r="C357" s="184">
        <v>-106.3695682</v>
      </c>
    </row>
    <row r="358" spans="1:3">
      <c r="A358" s="184" t="s">
        <v>1101</v>
      </c>
      <c r="B358" s="184">
        <v>27.399028099999999</v>
      </c>
      <c r="C358" s="184">
        <v>-108.5382582</v>
      </c>
    </row>
    <row r="359" spans="1:3">
      <c r="A359" s="184" t="s">
        <v>1103</v>
      </c>
      <c r="B359" s="184">
        <v>28.393001000000002</v>
      </c>
      <c r="C359" s="184">
        <v>-106.9058053</v>
      </c>
    </row>
    <row r="360" spans="1:3">
      <c r="A360" s="184" t="s">
        <v>1105</v>
      </c>
      <c r="B360" s="184">
        <v>19.452319729999999</v>
      </c>
      <c r="C360" s="184">
        <v>-99.053021360000002</v>
      </c>
    </row>
    <row r="361" spans="1:3">
      <c r="A361" s="184" t="s">
        <v>1111</v>
      </c>
      <c r="B361" s="184">
        <v>19.41901511</v>
      </c>
      <c r="C361" s="184">
        <v>-99.114969930000001</v>
      </c>
    </row>
    <row r="362" spans="1:3">
      <c r="A362" s="184" t="s">
        <v>1115</v>
      </c>
      <c r="B362" s="184">
        <v>19.46032808</v>
      </c>
      <c r="C362" s="184">
        <v>-99.092137469999997</v>
      </c>
    </row>
    <row r="363" spans="1:3">
      <c r="A363" s="184" t="s">
        <v>1117</v>
      </c>
      <c r="B363" s="184">
        <v>19.330909479999999</v>
      </c>
      <c r="C363" s="184">
        <v>-99.172080649999998</v>
      </c>
    </row>
    <row r="364" spans="1:3">
      <c r="A364" s="184" t="s">
        <v>1121</v>
      </c>
      <c r="B364" s="184">
        <v>19.368939480000002</v>
      </c>
      <c r="C364" s="184">
        <v>-99.142599540000006</v>
      </c>
    </row>
    <row r="365" spans="1:3">
      <c r="A365" s="184" t="s">
        <v>1124</v>
      </c>
      <c r="B365" s="184">
        <v>19.323122340000001</v>
      </c>
      <c r="C365" s="184">
        <v>-99.157796640000001</v>
      </c>
    </row>
    <row r="366" spans="1:3">
      <c r="A366" s="184" t="s">
        <v>1127</v>
      </c>
      <c r="B366" s="184">
        <v>19.473538869999999</v>
      </c>
      <c r="C366" s="184">
        <v>-99.063596050000001</v>
      </c>
    </row>
    <row r="367" spans="1:3">
      <c r="A367" s="184" t="s">
        <v>1129</v>
      </c>
      <c r="B367" s="184">
        <v>19.342247459999999</v>
      </c>
      <c r="C367" s="184">
        <v>-99.005914270000005</v>
      </c>
    </row>
    <row r="368" spans="1:3">
      <c r="A368" s="184" t="s">
        <v>1132</v>
      </c>
      <c r="B368" s="184">
        <v>19.478660519999998</v>
      </c>
      <c r="C368" s="184">
        <v>-99.070414459999995</v>
      </c>
    </row>
    <row r="369" spans="1:3">
      <c r="A369" s="184" t="s">
        <v>1134</v>
      </c>
      <c r="B369" s="184">
        <v>19.355991020000001</v>
      </c>
      <c r="C369" s="184">
        <v>-99.095803610000004</v>
      </c>
    </row>
    <row r="370" spans="1:3">
      <c r="A370" s="184" t="s">
        <v>1136</v>
      </c>
      <c r="B370" s="184">
        <v>19.36432739</v>
      </c>
      <c r="C370" s="184">
        <v>-98.999084460000006</v>
      </c>
    </row>
    <row r="371" spans="1:3">
      <c r="A371" s="184" t="s">
        <v>1138</v>
      </c>
      <c r="B371" s="184">
        <v>19.432004599999999</v>
      </c>
      <c r="C371" s="184">
        <v>-99.109568400000001</v>
      </c>
    </row>
    <row r="372" spans="1:3">
      <c r="A372" s="184" t="s">
        <v>1140</v>
      </c>
      <c r="B372" s="184">
        <v>19.386119000000001</v>
      </c>
      <c r="C372" s="184">
        <v>-99.097813270000003</v>
      </c>
    </row>
    <row r="373" spans="1:3">
      <c r="A373" s="184" t="s">
        <v>1143</v>
      </c>
      <c r="B373" s="184">
        <v>19.37730509</v>
      </c>
      <c r="C373" s="184">
        <v>-99.038777830000001</v>
      </c>
    </row>
    <row r="374" spans="1:3">
      <c r="A374" s="184" t="s">
        <v>1145</v>
      </c>
      <c r="B374" s="184">
        <v>19.490534629999999</v>
      </c>
      <c r="C374" s="184">
        <v>-99.197536069999998</v>
      </c>
    </row>
    <row r="375" spans="1:3">
      <c r="A375" s="184" t="s">
        <v>1149</v>
      </c>
      <c r="B375" s="184">
        <v>19.3174891</v>
      </c>
      <c r="C375" s="184">
        <v>-99.163667919999995</v>
      </c>
    </row>
    <row r="376" spans="1:3">
      <c r="A376" s="184" t="s">
        <v>1151</v>
      </c>
      <c r="B376" s="184">
        <v>19.48900892</v>
      </c>
      <c r="C376" s="184">
        <v>-99.145168330000004</v>
      </c>
    </row>
    <row r="377" spans="1:3">
      <c r="A377" s="184" t="s">
        <v>1154</v>
      </c>
      <c r="B377" s="184">
        <v>19.31549313</v>
      </c>
      <c r="C377" s="184">
        <v>-99.222473370000003</v>
      </c>
    </row>
    <row r="378" spans="1:3">
      <c r="A378" s="184" t="s">
        <v>1158</v>
      </c>
      <c r="B378" s="184">
        <v>19.38844091</v>
      </c>
      <c r="C378" s="184">
        <v>-99.116197159999999</v>
      </c>
    </row>
    <row r="379" spans="1:3">
      <c r="A379" s="184" t="s">
        <v>1160</v>
      </c>
      <c r="B379" s="184">
        <v>19.506409649999998</v>
      </c>
      <c r="C379" s="184">
        <v>-99.12326856</v>
      </c>
    </row>
    <row r="380" spans="1:3">
      <c r="A380" s="184" t="s">
        <v>1163</v>
      </c>
      <c r="B380" s="184">
        <v>19.288040070000001</v>
      </c>
      <c r="C380" s="184">
        <v>-99.180637520000005</v>
      </c>
    </row>
    <row r="381" spans="1:3">
      <c r="A381" s="184" t="s">
        <v>1166</v>
      </c>
      <c r="B381" s="184">
        <v>19.36242816</v>
      </c>
      <c r="C381" s="184">
        <v>-99.090718379999998</v>
      </c>
    </row>
    <row r="382" spans="1:3">
      <c r="A382" s="184" t="s">
        <v>1168</v>
      </c>
      <c r="B382" s="184">
        <v>19.451527559999999</v>
      </c>
      <c r="C382" s="184">
        <v>-99.131888590000003</v>
      </c>
    </row>
    <row r="383" spans="1:3">
      <c r="A383" s="184" t="s">
        <v>1169</v>
      </c>
      <c r="B383" s="184">
        <v>19.37923425</v>
      </c>
      <c r="C383" s="184">
        <v>-99.146886140000007</v>
      </c>
    </row>
    <row r="384" spans="1:3">
      <c r="A384" s="184" t="s">
        <v>1171</v>
      </c>
      <c r="B384" s="184">
        <v>19.24673902</v>
      </c>
      <c r="C384" s="184">
        <v>-99.010416559999996</v>
      </c>
    </row>
    <row r="385" spans="1:3">
      <c r="A385" s="184" t="s">
        <v>1174</v>
      </c>
      <c r="B385" s="184">
        <v>19.370151400000001</v>
      </c>
      <c r="C385" s="184">
        <v>-99.165832339999994</v>
      </c>
    </row>
    <row r="386" spans="1:3">
      <c r="A386" s="184" t="s">
        <v>1176</v>
      </c>
      <c r="B386" s="184">
        <v>19.359083080000001</v>
      </c>
      <c r="C386" s="184">
        <v>-99.057498980000005</v>
      </c>
    </row>
    <row r="387" spans="1:3">
      <c r="A387" s="184" t="s">
        <v>1178</v>
      </c>
      <c r="B387" s="184">
        <v>19.47792918</v>
      </c>
      <c r="C387" s="184">
        <v>-99.081855959999999</v>
      </c>
    </row>
    <row r="388" spans="1:3">
      <c r="A388" s="184" t="s">
        <v>1181</v>
      </c>
      <c r="B388" s="184">
        <v>19.50106182</v>
      </c>
      <c r="C388" s="184">
        <v>-99.114877280000002</v>
      </c>
    </row>
    <row r="389" spans="1:3">
      <c r="A389" s="184" t="s">
        <v>1185</v>
      </c>
      <c r="B389" s="184">
        <v>19.546466580000001</v>
      </c>
      <c r="C389" s="184">
        <v>-99.124467809999999</v>
      </c>
    </row>
    <row r="390" spans="1:3">
      <c r="A390" s="184" t="s">
        <v>1188</v>
      </c>
      <c r="B390" s="184">
        <v>19.207052650000001</v>
      </c>
      <c r="C390" s="184">
        <v>-99.067328329999995</v>
      </c>
    </row>
    <row r="391" spans="1:3">
      <c r="A391" s="184" t="s">
        <v>1192</v>
      </c>
      <c r="B391" s="184">
        <v>19.38702704</v>
      </c>
      <c r="C391" s="184">
        <v>-99.259837959999999</v>
      </c>
    </row>
    <row r="392" spans="1:3">
      <c r="A392" s="184" t="s">
        <v>1195</v>
      </c>
      <c r="B392" s="184">
        <v>19.293553360000001</v>
      </c>
      <c r="C392" s="184">
        <v>-98.994348009999996</v>
      </c>
    </row>
    <row r="393" spans="1:3">
      <c r="A393" s="184" t="s">
        <v>1198</v>
      </c>
      <c r="B393" s="184">
        <v>23.96290578</v>
      </c>
      <c r="C393" s="184">
        <v>-104.69949010000001</v>
      </c>
    </row>
    <row r="394" spans="1:3">
      <c r="A394" s="184" t="s">
        <v>1202</v>
      </c>
      <c r="B394" s="184">
        <v>24.076343189999999</v>
      </c>
      <c r="C394" s="184">
        <v>-104.6548105</v>
      </c>
    </row>
    <row r="395" spans="1:3">
      <c r="A395" s="184" t="s">
        <v>1205</v>
      </c>
      <c r="B395" s="184">
        <v>23.9635006</v>
      </c>
      <c r="C395" s="184">
        <v>-104.5234052</v>
      </c>
    </row>
    <row r="396" spans="1:3">
      <c r="A396" s="184" t="s">
        <v>1208</v>
      </c>
      <c r="B396" s="184">
        <v>22.864738429999999</v>
      </c>
      <c r="C396" s="184">
        <v>-104.52497700000001</v>
      </c>
    </row>
    <row r="397" spans="1:3">
      <c r="A397" s="184" t="s">
        <v>1210</v>
      </c>
      <c r="B397" s="184">
        <v>23.955101509999999</v>
      </c>
      <c r="C397" s="184">
        <v>-104.63381459999999</v>
      </c>
    </row>
    <row r="398" spans="1:3">
      <c r="A398" s="184" t="s">
        <v>1213</v>
      </c>
      <c r="B398" s="184">
        <v>24.320298480000002</v>
      </c>
      <c r="C398" s="184">
        <v>-104.0812032</v>
      </c>
    </row>
    <row r="399" spans="1:3">
      <c r="A399" s="184" t="s">
        <v>1217</v>
      </c>
      <c r="B399" s="184">
        <v>24.335577000000001</v>
      </c>
      <c r="C399" s="184">
        <v>-104.0165075</v>
      </c>
    </row>
    <row r="400" spans="1:3">
      <c r="A400" s="184" t="s">
        <v>1220</v>
      </c>
      <c r="B400" s="184">
        <v>23.774070210000001</v>
      </c>
      <c r="C400" s="184">
        <v>-103.97877579999999</v>
      </c>
    </row>
    <row r="401" spans="1:3">
      <c r="A401" s="184" t="s">
        <v>1223</v>
      </c>
      <c r="B401" s="184">
        <v>23.669981159999999</v>
      </c>
      <c r="C401" s="184">
        <v>-104.0412378</v>
      </c>
    </row>
    <row r="402" spans="1:3">
      <c r="A402" s="184" t="s">
        <v>1226</v>
      </c>
      <c r="B402" s="184">
        <v>24.87276765</v>
      </c>
      <c r="C402" s="184">
        <v>-105.0664223</v>
      </c>
    </row>
    <row r="403" spans="1:3">
      <c r="A403" s="184" t="s">
        <v>1230</v>
      </c>
      <c r="B403" s="184">
        <v>23.650832999999999</v>
      </c>
      <c r="C403" s="184">
        <v>-105.73445270000001</v>
      </c>
    </row>
    <row r="404" spans="1:3">
      <c r="A404" s="184" t="s">
        <v>1234</v>
      </c>
      <c r="B404" s="184">
        <v>23.380840859999999</v>
      </c>
      <c r="C404" s="184">
        <v>-105.36913130000001</v>
      </c>
    </row>
    <row r="405" spans="1:3">
      <c r="A405" s="184" t="s">
        <v>1236</v>
      </c>
      <c r="B405" s="184">
        <v>23.81329977</v>
      </c>
      <c r="C405" s="184">
        <v>-105.54772370000001</v>
      </c>
    </row>
    <row r="406" spans="1:3">
      <c r="A406" s="184" t="s">
        <v>1239</v>
      </c>
      <c r="B406" s="184">
        <v>24.720308549999999</v>
      </c>
      <c r="C406" s="184">
        <v>-104.8815019</v>
      </c>
    </row>
    <row r="407" spans="1:3">
      <c r="A407" s="184" t="s">
        <v>1243</v>
      </c>
      <c r="B407" s="184">
        <v>23.793089479999999</v>
      </c>
      <c r="C407" s="184">
        <v>-104.4867744</v>
      </c>
    </row>
    <row r="408" spans="1:3">
      <c r="A408" s="184" t="s">
        <v>1245</v>
      </c>
      <c r="B408" s="184">
        <v>23.958754469999999</v>
      </c>
      <c r="C408" s="184">
        <v>-104.0760784</v>
      </c>
    </row>
    <row r="409" spans="1:3">
      <c r="A409" s="184" t="s">
        <v>1249</v>
      </c>
      <c r="B409" s="184">
        <v>24.880449729999999</v>
      </c>
      <c r="C409" s="184">
        <v>-104.4475254</v>
      </c>
    </row>
    <row r="410" spans="1:3">
      <c r="A410" s="184" t="s">
        <v>1253</v>
      </c>
      <c r="B410" s="184">
        <v>24.90503056</v>
      </c>
      <c r="C410" s="184">
        <v>-104.4549966</v>
      </c>
    </row>
    <row r="411" spans="1:3">
      <c r="A411" s="184" t="s">
        <v>1256</v>
      </c>
      <c r="B411" s="184">
        <v>24.55447255</v>
      </c>
      <c r="C411" s="184">
        <v>-103.4811255</v>
      </c>
    </row>
    <row r="412" spans="1:3">
      <c r="A412" s="184" t="s">
        <v>1260</v>
      </c>
      <c r="B412" s="184">
        <v>23.722089100000002</v>
      </c>
      <c r="C412" s="184">
        <v>-104.0282577</v>
      </c>
    </row>
    <row r="413" spans="1:3">
      <c r="A413" s="184" t="s">
        <v>1263</v>
      </c>
      <c r="B413" s="184">
        <v>24.035324939999999</v>
      </c>
      <c r="C413" s="184">
        <v>-104.65444309999999</v>
      </c>
    </row>
    <row r="414" spans="1:3">
      <c r="A414" s="184" t="s">
        <v>1266</v>
      </c>
      <c r="B414" s="184">
        <v>24.041588149999999</v>
      </c>
      <c r="C414" s="184">
        <v>-104.6751421</v>
      </c>
    </row>
    <row r="415" spans="1:3">
      <c r="A415" s="184" t="s">
        <v>1269</v>
      </c>
      <c r="B415" s="184">
        <v>24.017516910000001</v>
      </c>
      <c r="C415" s="184">
        <v>-104.6407609</v>
      </c>
    </row>
    <row r="416" spans="1:3">
      <c r="A416" s="184" t="s">
        <v>1272</v>
      </c>
      <c r="B416" s="184">
        <v>26.381165599999999</v>
      </c>
      <c r="C416" s="184">
        <v>-105.3710172</v>
      </c>
    </row>
    <row r="417" spans="1:3">
      <c r="A417" s="184" t="s">
        <v>1275</v>
      </c>
      <c r="B417" s="184">
        <v>26.507975810000001</v>
      </c>
      <c r="C417" s="184">
        <v>-105.649118</v>
      </c>
    </row>
    <row r="418" spans="1:3">
      <c r="A418" s="184" t="s">
        <v>1277</v>
      </c>
      <c r="B418" s="184">
        <v>26.372028019999998</v>
      </c>
      <c r="C418" s="184">
        <v>-105.2748082</v>
      </c>
    </row>
    <row r="419" spans="1:3">
      <c r="A419" s="184" t="s">
        <v>1280</v>
      </c>
      <c r="B419" s="184">
        <v>25.268317419999999</v>
      </c>
      <c r="C419" s="184">
        <v>-104.6195859</v>
      </c>
    </row>
    <row r="420" spans="1:3">
      <c r="A420" s="184" t="s">
        <v>1284</v>
      </c>
      <c r="B420" s="184">
        <v>25.137964289999999</v>
      </c>
      <c r="C420" s="184">
        <v>-103.3859396</v>
      </c>
    </row>
    <row r="421" spans="1:3">
      <c r="A421" s="184" t="s">
        <v>1287</v>
      </c>
      <c r="B421" s="184">
        <v>25.139489170000001</v>
      </c>
      <c r="C421" s="184">
        <v>-103.3866745</v>
      </c>
    </row>
    <row r="422" spans="1:3">
      <c r="A422" s="184" t="s">
        <v>1290</v>
      </c>
      <c r="B422" s="184">
        <v>23.66696898</v>
      </c>
      <c r="C422" s="184">
        <v>-105.032246</v>
      </c>
    </row>
    <row r="423" spans="1:3">
      <c r="A423" s="184" t="s">
        <v>1293</v>
      </c>
      <c r="B423" s="184">
        <v>24.456142369999998</v>
      </c>
      <c r="C423" s="184">
        <v>-104.53446049999999</v>
      </c>
    </row>
    <row r="424" spans="1:3">
      <c r="A424" s="184" t="s">
        <v>1296</v>
      </c>
      <c r="B424" s="184">
        <v>23.969365109999998</v>
      </c>
      <c r="C424" s="184">
        <v>-104.7191346</v>
      </c>
    </row>
    <row r="425" spans="1:3">
      <c r="A425" s="184" t="s">
        <v>1299</v>
      </c>
      <c r="B425" s="184">
        <v>23.9595494</v>
      </c>
      <c r="C425" s="184">
        <v>-104.664326</v>
      </c>
    </row>
    <row r="426" spans="1:3">
      <c r="A426" s="184" t="s">
        <v>1302</v>
      </c>
      <c r="B426" s="184">
        <v>25.591637550000002</v>
      </c>
      <c r="C426" s="184">
        <v>-103.44645970000001</v>
      </c>
    </row>
    <row r="427" spans="1:3">
      <c r="A427" s="184" t="s">
        <v>1306</v>
      </c>
      <c r="B427" s="184">
        <v>25.635492129999999</v>
      </c>
      <c r="C427" s="184">
        <v>-103.5216516</v>
      </c>
    </row>
    <row r="428" spans="1:3">
      <c r="A428" s="184" t="s">
        <v>1309</v>
      </c>
      <c r="B428" s="184">
        <v>24.912070050000001</v>
      </c>
      <c r="C428" s="184">
        <v>-104.2168094</v>
      </c>
    </row>
    <row r="429" spans="1:3">
      <c r="A429" s="184" t="s">
        <v>1311</v>
      </c>
      <c r="B429" s="184">
        <v>24.012493549999999</v>
      </c>
      <c r="C429" s="184">
        <v>-103.9677208</v>
      </c>
    </row>
    <row r="430" spans="1:3">
      <c r="A430" s="184" t="s">
        <v>1314</v>
      </c>
      <c r="B430" s="184">
        <v>25.561415629999999</v>
      </c>
      <c r="C430" s="184">
        <v>-104.29138039999999</v>
      </c>
    </row>
    <row r="431" spans="1:3">
      <c r="A431" s="184" t="s">
        <v>1317</v>
      </c>
      <c r="B431" s="184">
        <v>25.243688120000002</v>
      </c>
      <c r="C431" s="184">
        <v>-106.4211811</v>
      </c>
    </row>
    <row r="432" spans="1:3">
      <c r="A432" s="184" t="s">
        <v>1320</v>
      </c>
      <c r="B432" s="184">
        <v>26.326136300000002</v>
      </c>
      <c r="C432" s="184">
        <v>-104.35199849999999</v>
      </c>
    </row>
    <row r="433" spans="1:3">
      <c r="A433" s="184" t="s">
        <v>1324</v>
      </c>
      <c r="B433" s="184">
        <v>24.427591369999998</v>
      </c>
      <c r="C433" s="184">
        <v>-104.3611003</v>
      </c>
    </row>
    <row r="434" spans="1:3">
      <c r="A434" s="184" t="s">
        <v>1328</v>
      </c>
      <c r="B434" s="184">
        <v>24.52166948</v>
      </c>
      <c r="C434" s="184">
        <v>-105.1962978</v>
      </c>
    </row>
    <row r="435" spans="1:3">
      <c r="A435" s="184" t="s">
        <v>1331</v>
      </c>
      <c r="B435" s="184">
        <v>24.100629999999999</v>
      </c>
      <c r="C435" s="184">
        <v>-104.57306</v>
      </c>
    </row>
    <row r="436" spans="1:3">
      <c r="A436" s="184" t="s">
        <v>1334</v>
      </c>
      <c r="B436" s="184">
        <v>23.977846249999999</v>
      </c>
      <c r="C436" s="184">
        <v>-104.69954060000001</v>
      </c>
    </row>
    <row r="437" spans="1:3">
      <c r="A437" s="184" t="s">
        <v>1336</v>
      </c>
      <c r="B437" s="184">
        <v>25.862132030000001</v>
      </c>
      <c r="C437" s="184">
        <v>-105.3905808</v>
      </c>
    </row>
    <row r="438" spans="1:3">
      <c r="A438" s="184" t="s">
        <v>1340</v>
      </c>
      <c r="B438" s="184">
        <v>25.63082253</v>
      </c>
      <c r="C438" s="184">
        <v>-103.4424901</v>
      </c>
    </row>
    <row r="439" spans="1:3">
      <c r="A439" s="184" t="s">
        <v>1343</v>
      </c>
      <c r="B439" s="184">
        <v>25.790015700000001</v>
      </c>
      <c r="C439" s="184">
        <v>-103.62016989999999</v>
      </c>
    </row>
    <row r="440" spans="1:3">
      <c r="A440" s="184" t="s">
        <v>1346</v>
      </c>
      <c r="B440" s="184">
        <v>25.26771463</v>
      </c>
      <c r="C440" s="184">
        <v>-104.6196726</v>
      </c>
    </row>
    <row r="441" spans="1:3">
      <c r="A441" s="184" t="s">
        <v>1349</v>
      </c>
      <c r="B441" s="184">
        <v>24.558800900000001</v>
      </c>
      <c r="C441" s="184">
        <v>-103.42699399999999</v>
      </c>
    </row>
    <row r="442" spans="1:3">
      <c r="A442" s="184" t="s">
        <v>1352</v>
      </c>
      <c r="B442" s="184">
        <v>24.824578519999999</v>
      </c>
      <c r="C442" s="184">
        <v>-104.4723205</v>
      </c>
    </row>
    <row r="443" spans="1:3">
      <c r="A443" s="184" t="s">
        <v>1355</v>
      </c>
      <c r="B443" s="184">
        <v>23.620348499999999</v>
      </c>
      <c r="C443" s="184">
        <v>-103.92190720000001</v>
      </c>
    </row>
    <row r="444" spans="1:3">
      <c r="A444" s="184" t="s">
        <v>1359</v>
      </c>
      <c r="B444" s="184">
        <v>26.100837469999998</v>
      </c>
      <c r="C444" s="184">
        <v>-103.3978291</v>
      </c>
    </row>
    <row r="445" spans="1:3">
      <c r="A445" s="184" t="s">
        <v>1363</v>
      </c>
      <c r="B445" s="184">
        <v>25.502629079999998</v>
      </c>
      <c r="C445" s="184">
        <v>-103.53469</v>
      </c>
    </row>
    <row r="446" spans="1:3">
      <c r="A446" s="184" t="s">
        <v>1367</v>
      </c>
      <c r="B446" s="184">
        <v>24.040547449999998</v>
      </c>
      <c r="C446" s="184">
        <v>-104.62141750000001</v>
      </c>
    </row>
    <row r="447" spans="1:3">
      <c r="A447" s="184" t="s">
        <v>1370</v>
      </c>
      <c r="B447" s="184">
        <v>25.77371608</v>
      </c>
      <c r="C447" s="184">
        <v>-103.3537718</v>
      </c>
    </row>
    <row r="448" spans="1:3">
      <c r="A448" s="184" t="s">
        <v>1373</v>
      </c>
      <c r="B448" s="184">
        <v>24.4672281</v>
      </c>
      <c r="C448" s="184">
        <v>-104.1475094</v>
      </c>
    </row>
    <row r="449" spans="1:3">
      <c r="A449" s="184" t="s">
        <v>1376</v>
      </c>
      <c r="B449" s="184">
        <v>25.267235530000001</v>
      </c>
      <c r="C449" s="184">
        <v>-104.095923</v>
      </c>
    </row>
    <row r="450" spans="1:3">
      <c r="A450" s="184" t="s">
        <v>1380</v>
      </c>
      <c r="B450" s="184">
        <v>25.69151922</v>
      </c>
      <c r="C450" s="184">
        <v>-103.5435756</v>
      </c>
    </row>
    <row r="451" spans="1:3">
      <c r="A451" s="184" t="s">
        <v>1383</v>
      </c>
      <c r="B451" s="184">
        <v>23.43603225</v>
      </c>
      <c r="C451" s="184">
        <v>-104.134452</v>
      </c>
    </row>
    <row r="452" spans="1:3">
      <c r="A452" s="184" t="s">
        <v>1386</v>
      </c>
      <c r="B452" s="184">
        <v>24.82967721</v>
      </c>
      <c r="C452" s="184">
        <v>-105.33476570000001</v>
      </c>
    </row>
    <row r="453" spans="1:3">
      <c r="A453" s="184" t="s">
        <v>1390</v>
      </c>
      <c r="B453" s="184">
        <v>23.118758840000002</v>
      </c>
      <c r="C453" s="184">
        <v>-105.102373</v>
      </c>
    </row>
    <row r="454" spans="1:3">
      <c r="A454" s="184" t="s">
        <v>1393</v>
      </c>
      <c r="B454" s="184">
        <v>25.616431120000001</v>
      </c>
      <c r="C454" s="184">
        <v>-103.460195</v>
      </c>
    </row>
    <row r="455" spans="1:3">
      <c r="A455" s="184" t="s">
        <v>1396</v>
      </c>
      <c r="B455" s="184">
        <v>25.677486909999999</v>
      </c>
      <c r="C455" s="184">
        <v>-103.4588316</v>
      </c>
    </row>
    <row r="456" spans="1:3">
      <c r="A456" s="184" t="s">
        <v>1399</v>
      </c>
      <c r="B456" s="184">
        <v>26.24687402</v>
      </c>
      <c r="C456" s="184">
        <v>-104.91513500000001</v>
      </c>
    </row>
    <row r="457" spans="1:3">
      <c r="A457" s="184" t="s">
        <v>1402</v>
      </c>
      <c r="B457" s="184">
        <v>22.864654980000001</v>
      </c>
      <c r="C457" s="184">
        <v>-104.5239571</v>
      </c>
    </row>
    <row r="458" spans="1:3">
      <c r="A458" s="184" t="s">
        <v>1405</v>
      </c>
      <c r="B458" s="184">
        <v>24.019866199999999</v>
      </c>
      <c r="C458" s="184">
        <v>-104.67746440000001</v>
      </c>
    </row>
    <row r="459" spans="1:3">
      <c r="A459" s="184" t="s">
        <v>1408</v>
      </c>
      <c r="B459" s="184">
        <v>25.065238369999999</v>
      </c>
      <c r="C459" s="184">
        <v>-105.4284681</v>
      </c>
    </row>
    <row r="460" spans="1:3">
      <c r="A460" s="184" t="s">
        <v>1411</v>
      </c>
      <c r="B460" s="184">
        <v>26.438094639999999</v>
      </c>
      <c r="C460" s="184">
        <v>-105.50362509999999</v>
      </c>
    </row>
    <row r="461" spans="1:3">
      <c r="A461" s="184" t="s">
        <v>1414</v>
      </c>
      <c r="B461" s="184">
        <v>23.71802125</v>
      </c>
      <c r="C461" s="184">
        <v>-105.03576320000001</v>
      </c>
    </row>
    <row r="462" spans="1:3">
      <c r="A462" s="184" t="s">
        <v>1417</v>
      </c>
      <c r="B462" s="184">
        <v>24.019666770000001</v>
      </c>
      <c r="C462" s="184">
        <v>-104.58339410000001</v>
      </c>
    </row>
    <row r="463" spans="1:3">
      <c r="A463" s="184" t="s">
        <v>1420</v>
      </c>
      <c r="B463" s="184">
        <v>23.961509150000001</v>
      </c>
      <c r="C463" s="184">
        <v>-104.74159539999999</v>
      </c>
    </row>
    <row r="464" spans="1:3">
      <c r="A464" s="184" t="s">
        <v>1423</v>
      </c>
      <c r="B464" s="184">
        <v>24.897592800000002</v>
      </c>
      <c r="C464" s="184">
        <v>-104.4343593</v>
      </c>
    </row>
    <row r="465" spans="1:3">
      <c r="A465" s="184" t="s">
        <v>1426</v>
      </c>
      <c r="B465" s="184">
        <v>23.6469612</v>
      </c>
      <c r="C465" s="184">
        <v>-104.04417239999999</v>
      </c>
    </row>
    <row r="466" spans="1:3">
      <c r="A466" s="184" t="s">
        <v>1429</v>
      </c>
      <c r="B466" s="184">
        <v>24.059368899999999</v>
      </c>
      <c r="C466" s="184">
        <v>-104.600266</v>
      </c>
    </row>
    <row r="467" spans="1:3">
      <c r="A467" s="184" t="s">
        <v>1432</v>
      </c>
      <c r="B467" s="184">
        <v>23.980717930000001</v>
      </c>
      <c r="C467" s="184">
        <v>-104.5946793</v>
      </c>
    </row>
    <row r="468" spans="1:3">
      <c r="A468" s="184" t="s">
        <v>1435</v>
      </c>
      <c r="B468" s="184">
        <v>24.04857114</v>
      </c>
      <c r="C468" s="184">
        <v>-104.65714560000001</v>
      </c>
    </row>
    <row r="469" spans="1:3">
      <c r="A469" s="184" t="s">
        <v>1438</v>
      </c>
      <c r="B469" s="184">
        <v>25.243903280000001</v>
      </c>
      <c r="C469" s="184">
        <v>-104.1279072</v>
      </c>
    </row>
    <row r="470" spans="1:3">
      <c r="A470" s="184" t="s">
        <v>1441</v>
      </c>
      <c r="B470" s="184">
        <v>22.611072650000001</v>
      </c>
      <c r="C470" s="184">
        <v>-104.2958454</v>
      </c>
    </row>
    <row r="471" spans="1:3">
      <c r="A471" s="184" t="s">
        <v>1444</v>
      </c>
      <c r="B471" s="184">
        <v>24.04564736</v>
      </c>
      <c r="C471" s="184">
        <v>-104.6918033</v>
      </c>
    </row>
    <row r="472" spans="1:3">
      <c r="A472" s="184" t="s">
        <v>1447</v>
      </c>
      <c r="B472" s="184">
        <v>23.332791</v>
      </c>
      <c r="C472" s="184">
        <v>-104.71296599999999</v>
      </c>
    </row>
    <row r="473" spans="1:3">
      <c r="A473" s="184" t="s">
        <v>1450</v>
      </c>
      <c r="B473" s="184">
        <v>24.024723130000002</v>
      </c>
      <c r="C473" s="184">
        <v>-104.6612231</v>
      </c>
    </row>
    <row r="474" spans="1:3">
      <c r="A474" s="184" t="s">
        <v>1453</v>
      </c>
      <c r="B474" s="184">
        <v>24.205365149999999</v>
      </c>
      <c r="C474" s="184">
        <v>-105.0580429</v>
      </c>
    </row>
    <row r="475" spans="1:3">
      <c r="A475" s="184" t="s">
        <v>1456</v>
      </c>
      <c r="B475" s="184">
        <v>24.06806855</v>
      </c>
      <c r="C475" s="184">
        <v>-104.60942110000001</v>
      </c>
    </row>
    <row r="476" spans="1:3">
      <c r="A476" s="184" t="s">
        <v>1458</v>
      </c>
      <c r="B476" s="184">
        <v>25.758005099999998</v>
      </c>
      <c r="C476" s="184">
        <v>-103.5684438</v>
      </c>
    </row>
    <row r="477" spans="1:3">
      <c r="A477" s="184" t="s">
        <v>1461</v>
      </c>
      <c r="B477" s="184">
        <v>25.58215667</v>
      </c>
      <c r="C477" s="184">
        <v>-103.4789431</v>
      </c>
    </row>
    <row r="478" spans="1:3">
      <c r="A478" s="184" t="s">
        <v>1464</v>
      </c>
      <c r="B478" s="184">
        <v>25.675144509999999</v>
      </c>
      <c r="C478" s="184">
        <v>-103.36848329999999</v>
      </c>
    </row>
    <row r="479" spans="1:3">
      <c r="A479" s="184" t="s">
        <v>1468</v>
      </c>
      <c r="B479" s="184">
        <v>24.025100859999998</v>
      </c>
      <c r="C479" s="184">
        <v>-104.5753156</v>
      </c>
    </row>
    <row r="480" spans="1:3">
      <c r="A480" s="184" t="s">
        <v>1471</v>
      </c>
      <c r="B480" s="184">
        <v>24.46002309</v>
      </c>
      <c r="C480" s="184">
        <v>-104.53363899999999</v>
      </c>
    </row>
    <row r="481" spans="1:3">
      <c r="A481" s="184" t="s">
        <v>1473</v>
      </c>
      <c r="B481" s="184">
        <v>25.67895828</v>
      </c>
      <c r="C481" s="184">
        <v>-103.46285829999999</v>
      </c>
    </row>
    <row r="482" spans="1:3">
      <c r="A482" s="184" t="s">
        <v>1475</v>
      </c>
      <c r="B482" s="184">
        <v>22.864499420000001</v>
      </c>
      <c r="C482" s="184">
        <v>-104.52466699999999</v>
      </c>
    </row>
    <row r="483" spans="1:3">
      <c r="A483" s="184" t="s">
        <v>1477</v>
      </c>
      <c r="B483" s="184">
        <v>22.91903108</v>
      </c>
      <c r="C483" s="184">
        <v>-104.6016545</v>
      </c>
    </row>
    <row r="484" spans="1:3">
      <c r="A484" s="184" t="s">
        <v>1480</v>
      </c>
      <c r="B484" s="184">
        <v>24.311410550000002</v>
      </c>
      <c r="C484" s="184">
        <v>-104.76825719999999</v>
      </c>
    </row>
    <row r="485" spans="1:3">
      <c r="A485" s="184" t="s">
        <v>1483</v>
      </c>
      <c r="B485" s="184">
        <v>23.79093714</v>
      </c>
      <c r="C485" s="184">
        <v>-104.486636</v>
      </c>
    </row>
    <row r="486" spans="1:3">
      <c r="A486" s="184" t="s">
        <v>1485</v>
      </c>
      <c r="B486" s="184">
        <v>25.1387374</v>
      </c>
      <c r="C486" s="184">
        <v>-103.3870751</v>
      </c>
    </row>
    <row r="487" spans="1:3">
      <c r="A487" s="184" t="s">
        <v>1487</v>
      </c>
      <c r="B487" s="184">
        <v>24.903162170000002</v>
      </c>
      <c r="C487" s="184">
        <v>-103.2381106</v>
      </c>
    </row>
    <row r="488" spans="1:3">
      <c r="A488" s="184" t="s">
        <v>1490</v>
      </c>
      <c r="B488" s="184">
        <v>24.3352261</v>
      </c>
      <c r="C488" s="184">
        <v>-104.0160156</v>
      </c>
    </row>
    <row r="489" spans="1:3">
      <c r="A489" s="184" t="s">
        <v>1492</v>
      </c>
      <c r="B489" s="184">
        <v>25.839086219999999</v>
      </c>
      <c r="C489" s="184">
        <v>-103.6248315</v>
      </c>
    </row>
    <row r="490" spans="1:3">
      <c r="A490" s="184" t="s">
        <v>1495</v>
      </c>
      <c r="B490" s="184">
        <v>24.911795940000001</v>
      </c>
      <c r="C490" s="184">
        <v>-104.21937800000001</v>
      </c>
    </row>
    <row r="491" spans="1:3">
      <c r="A491" s="184" t="s">
        <v>1497</v>
      </c>
      <c r="B491" s="184">
        <v>24.541932549999999</v>
      </c>
      <c r="C491" s="184">
        <v>-102.6288361</v>
      </c>
    </row>
    <row r="492" spans="1:3">
      <c r="A492" s="184" t="s">
        <v>1499</v>
      </c>
      <c r="B492" s="184">
        <v>23.668280530000001</v>
      </c>
      <c r="C492" s="184">
        <v>-104.0488995</v>
      </c>
    </row>
    <row r="493" spans="1:3">
      <c r="A493" s="184" t="s">
        <v>1501</v>
      </c>
      <c r="B493" s="184">
        <v>23.963299760000002</v>
      </c>
      <c r="C493" s="184">
        <v>-104.52351640000001</v>
      </c>
    </row>
    <row r="494" spans="1:3">
      <c r="A494" s="184" t="s">
        <v>1504</v>
      </c>
      <c r="B494" s="184">
        <v>23.925636820000001</v>
      </c>
      <c r="C494" s="184">
        <v>-104.6006835</v>
      </c>
    </row>
    <row r="495" spans="1:3">
      <c r="A495" s="184" t="s">
        <v>1507</v>
      </c>
      <c r="B495" s="184">
        <v>23.955061629999999</v>
      </c>
      <c r="C495" s="184">
        <v>-104.6338356</v>
      </c>
    </row>
    <row r="496" spans="1:3">
      <c r="A496" s="184" t="s">
        <v>1509</v>
      </c>
      <c r="B496" s="184">
        <v>25.591992170000001</v>
      </c>
      <c r="C496" s="184">
        <v>-103.44682400000001</v>
      </c>
    </row>
    <row r="497" spans="1:3">
      <c r="A497" s="184" t="s">
        <v>1512</v>
      </c>
      <c r="B497" s="184">
        <v>25.652345629999999</v>
      </c>
      <c r="C497" s="184">
        <v>-103.40281969999999</v>
      </c>
    </row>
    <row r="498" spans="1:3">
      <c r="A498" s="184" t="s">
        <v>1515</v>
      </c>
      <c r="B498" s="184">
        <v>24.315331230000002</v>
      </c>
      <c r="C498" s="184">
        <v>-104.08444679999999</v>
      </c>
    </row>
    <row r="499" spans="1:3">
      <c r="A499" s="184" t="s">
        <v>1518</v>
      </c>
      <c r="B499" s="184">
        <v>24.427019699999999</v>
      </c>
      <c r="C499" s="184">
        <v>-105.712148</v>
      </c>
    </row>
    <row r="500" spans="1:3">
      <c r="A500" s="184" t="s">
        <v>1522</v>
      </c>
      <c r="B500" s="184">
        <v>25.15825577</v>
      </c>
      <c r="C500" s="184">
        <v>-105.501541</v>
      </c>
    </row>
    <row r="501" spans="1:3">
      <c r="A501" s="184" t="s">
        <v>1525</v>
      </c>
      <c r="B501" s="184">
        <v>24.015772729999998</v>
      </c>
      <c r="C501" s="184">
        <v>-104.6018784</v>
      </c>
    </row>
    <row r="502" spans="1:3">
      <c r="A502" s="184" t="s">
        <v>1528</v>
      </c>
      <c r="B502" s="184">
        <v>20.547890420000002</v>
      </c>
      <c r="C502" s="184">
        <v>-100.7874862</v>
      </c>
    </row>
    <row r="503" spans="1:3">
      <c r="A503" s="184" t="s">
        <v>1533</v>
      </c>
      <c r="B503" s="184">
        <v>20.50375507</v>
      </c>
      <c r="C503" s="184">
        <v>-100.79816219999999</v>
      </c>
    </row>
    <row r="504" spans="1:3">
      <c r="A504" s="184" t="s">
        <v>1535</v>
      </c>
      <c r="B504" s="184">
        <v>20.606269770000001</v>
      </c>
      <c r="C504" s="184">
        <v>-101.4248556</v>
      </c>
    </row>
    <row r="505" spans="1:3">
      <c r="A505" s="184" t="s">
        <v>1540</v>
      </c>
      <c r="B505" s="184">
        <v>20.975063429999999</v>
      </c>
      <c r="C505" s="184">
        <v>-101.4501425</v>
      </c>
    </row>
    <row r="506" spans="1:3">
      <c r="A506" s="184" t="s">
        <v>1544</v>
      </c>
      <c r="B506" s="184">
        <v>21.139797040000001</v>
      </c>
      <c r="C506" s="184">
        <v>-101.6977114</v>
      </c>
    </row>
    <row r="507" spans="1:3">
      <c r="A507" s="184" t="s">
        <v>1547</v>
      </c>
      <c r="B507" s="184">
        <v>20.592301240000001</v>
      </c>
      <c r="C507" s="184">
        <v>-101.1268621</v>
      </c>
    </row>
    <row r="508" spans="1:3">
      <c r="A508" s="184" t="s">
        <v>1551</v>
      </c>
      <c r="B508" s="184">
        <v>21.109340570000001</v>
      </c>
      <c r="C508" s="184">
        <v>-101.63022290000001</v>
      </c>
    </row>
    <row r="509" spans="1:3">
      <c r="A509" s="184" t="s">
        <v>1553</v>
      </c>
      <c r="B509" s="184">
        <v>21.175819730000001</v>
      </c>
      <c r="C509" s="184">
        <v>-101.67446839999999</v>
      </c>
    </row>
    <row r="510" spans="1:3">
      <c r="A510" s="184" t="s">
        <v>1556</v>
      </c>
      <c r="B510" s="184">
        <v>21.14743503</v>
      </c>
      <c r="C510" s="184">
        <v>-101.6444608</v>
      </c>
    </row>
    <row r="511" spans="1:3">
      <c r="A511" s="184" t="s">
        <v>1559</v>
      </c>
      <c r="B511" s="184">
        <v>21.10426446</v>
      </c>
      <c r="C511" s="184">
        <v>-101.70834170000001</v>
      </c>
    </row>
    <row r="512" spans="1:3">
      <c r="A512" s="184" t="s">
        <v>1561</v>
      </c>
      <c r="B512" s="184">
        <v>21.132464930000001</v>
      </c>
      <c r="C512" s="184">
        <v>-101.6485139</v>
      </c>
    </row>
    <row r="513" spans="1:3">
      <c r="A513" s="184" t="s">
        <v>1563</v>
      </c>
      <c r="B513" s="184">
        <v>21.1716418</v>
      </c>
      <c r="C513" s="184">
        <v>-101.6438471</v>
      </c>
    </row>
    <row r="514" spans="1:3">
      <c r="A514" s="184" t="s">
        <v>1566</v>
      </c>
      <c r="B514" s="184">
        <v>21.08223585</v>
      </c>
      <c r="C514" s="184">
        <v>-101.5186515</v>
      </c>
    </row>
    <row r="515" spans="1:3">
      <c r="A515" s="184" t="s">
        <v>1569</v>
      </c>
      <c r="B515" s="184">
        <v>20.814007610000001</v>
      </c>
      <c r="C515" s="184">
        <v>-101.3372723</v>
      </c>
    </row>
    <row r="516" spans="1:3">
      <c r="A516" s="184" t="s">
        <v>1572</v>
      </c>
      <c r="B516" s="184">
        <v>20.68204158</v>
      </c>
      <c r="C516" s="184">
        <v>-101.3286074</v>
      </c>
    </row>
    <row r="517" spans="1:3">
      <c r="A517" s="184" t="s">
        <v>1574</v>
      </c>
      <c r="B517" s="184">
        <v>20.44184843</v>
      </c>
      <c r="C517" s="184">
        <v>-100.80076579999999</v>
      </c>
    </row>
    <row r="518" spans="1:3">
      <c r="A518" s="184" t="s">
        <v>1576</v>
      </c>
      <c r="B518" s="184">
        <v>20.337435599999999</v>
      </c>
      <c r="C518" s="184">
        <v>-100.49896990000001</v>
      </c>
    </row>
    <row r="519" spans="1:3">
      <c r="A519" s="184" t="s">
        <v>1580</v>
      </c>
      <c r="B519" s="184">
        <v>21.022544499999999</v>
      </c>
      <c r="C519" s="184">
        <v>-101.8565066</v>
      </c>
    </row>
    <row r="520" spans="1:3">
      <c r="A520" s="184" t="s">
        <v>1584</v>
      </c>
      <c r="B520" s="184">
        <v>20.296510519999998</v>
      </c>
      <c r="C520" s="184">
        <v>-101.84325819999999</v>
      </c>
    </row>
    <row r="521" spans="1:3">
      <c r="A521" s="184" t="s">
        <v>1588</v>
      </c>
      <c r="B521" s="184">
        <v>20.564502439999998</v>
      </c>
      <c r="C521" s="184">
        <v>-101.3669295</v>
      </c>
    </row>
    <row r="522" spans="1:3">
      <c r="A522" s="184" t="s">
        <v>1591</v>
      </c>
      <c r="B522" s="184">
        <v>21.61249544</v>
      </c>
      <c r="C522" s="184">
        <v>-101.19053529999999</v>
      </c>
    </row>
    <row r="523" spans="1:3">
      <c r="A523" s="184" t="s">
        <v>1594</v>
      </c>
      <c r="B523" s="184">
        <v>21.058303389999999</v>
      </c>
      <c r="C523" s="184">
        <v>-100.3658611</v>
      </c>
    </row>
    <row r="524" spans="1:3">
      <c r="A524" s="184" t="s">
        <v>1598</v>
      </c>
      <c r="B524" s="184">
        <v>21.283162600000001</v>
      </c>
      <c r="C524" s="184">
        <v>-100.31470779999999</v>
      </c>
    </row>
    <row r="525" spans="1:3">
      <c r="A525" s="184" t="s">
        <v>1602</v>
      </c>
      <c r="B525" s="184">
        <v>20.351444040000001</v>
      </c>
      <c r="C525" s="184">
        <v>-101.5983634</v>
      </c>
    </row>
    <row r="526" spans="1:3">
      <c r="A526" s="184" t="s">
        <v>1605</v>
      </c>
      <c r="B526" s="184">
        <v>20.36944493</v>
      </c>
      <c r="C526" s="184">
        <v>-100.60812610000001</v>
      </c>
    </row>
    <row r="527" spans="1:3">
      <c r="A527" s="184" t="s">
        <v>1608</v>
      </c>
      <c r="B527" s="184">
        <v>20.60722852</v>
      </c>
      <c r="C527" s="184">
        <v>-101.4689767</v>
      </c>
    </row>
    <row r="528" spans="1:3">
      <c r="A528" s="184" t="s">
        <v>1611</v>
      </c>
      <c r="B528" s="184">
        <v>20.665462900000001</v>
      </c>
      <c r="C528" s="184">
        <v>-101.34887980000001</v>
      </c>
    </row>
    <row r="529" spans="1:3">
      <c r="A529" s="184" t="s">
        <v>1614</v>
      </c>
      <c r="B529" s="184">
        <v>20.956582600000001</v>
      </c>
      <c r="C529" s="184">
        <v>-101.6372525</v>
      </c>
    </row>
    <row r="530" spans="1:3">
      <c r="A530" s="184" t="s">
        <v>1617</v>
      </c>
      <c r="B530" s="184">
        <v>21.039639409999999</v>
      </c>
      <c r="C530" s="184">
        <v>-101.76872419999999</v>
      </c>
    </row>
    <row r="531" spans="1:3">
      <c r="A531" s="184" t="s">
        <v>1620</v>
      </c>
      <c r="B531" s="184">
        <v>20.673732309999998</v>
      </c>
      <c r="C531" s="184">
        <v>-101.8947627</v>
      </c>
    </row>
    <row r="532" spans="1:3">
      <c r="A532" s="184" t="s">
        <v>1623</v>
      </c>
      <c r="B532" s="184">
        <v>21.0221415</v>
      </c>
      <c r="C532" s="184">
        <v>-105.27779099999999</v>
      </c>
    </row>
    <row r="533" spans="1:3">
      <c r="A533" s="184" t="s">
        <v>1626</v>
      </c>
      <c r="B533" s="184">
        <v>20.5553664</v>
      </c>
      <c r="C533" s="184">
        <v>-100.67968</v>
      </c>
    </row>
    <row r="534" spans="1:3">
      <c r="A534" s="184" t="s">
        <v>1630</v>
      </c>
      <c r="B534" s="184">
        <v>20.463195450000001</v>
      </c>
      <c r="C534" s="184">
        <v>-101.48772769999999</v>
      </c>
    </row>
    <row r="535" spans="1:3">
      <c r="A535" s="184" t="s">
        <v>1632</v>
      </c>
      <c r="B535" s="184">
        <v>20.494468479999998</v>
      </c>
      <c r="C535" s="184">
        <v>-101.443895</v>
      </c>
    </row>
    <row r="536" spans="1:3">
      <c r="A536" s="184" t="s">
        <v>1635</v>
      </c>
      <c r="B536" s="184">
        <v>20.546700900000001</v>
      </c>
      <c r="C536" s="184">
        <v>-100.7765218</v>
      </c>
    </row>
    <row r="537" spans="1:3">
      <c r="A537" s="184" t="s">
        <v>1637</v>
      </c>
      <c r="B537" s="184">
        <v>20.654889870000002</v>
      </c>
      <c r="C537" s="184">
        <v>-100.58802439999999</v>
      </c>
    </row>
    <row r="538" spans="1:3">
      <c r="A538" s="184" t="s">
        <v>1641</v>
      </c>
      <c r="B538" s="184">
        <v>20.417819290000001</v>
      </c>
      <c r="C538" s="184">
        <v>-100.83696399999999</v>
      </c>
    </row>
    <row r="539" spans="1:3">
      <c r="A539" s="184" t="s">
        <v>1644</v>
      </c>
      <c r="B539" s="184">
        <v>20.9055292</v>
      </c>
      <c r="C539" s="184">
        <v>-101.2467116</v>
      </c>
    </row>
    <row r="540" spans="1:3">
      <c r="A540" s="184" t="s">
        <v>1648</v>
      </c>
      <c r="B540" s="184">
        <v>21.16240689</v>
      </c>
      <c r="C540" s="184">
        <v>-100.4380611</v>
      </c>
    </row>
    <row r="541" spans="1:3">
      <c r="A541" s="184" t="s">
        <v>1651</v>
      </c>
      <c r="B541" s="184">
        <v>20.132659199999999</v>
      </c>
      <c r="C541" s="184">
        <v>-101.1810304</v>
      </c>
    </row>
    <row r="542" spans="1:3">
      <c r="A542" s="184" t="s">
        <v>1655</v>
      </c>
      <c r="B542" s="184">
        <v>21.151406699999999</v>
      </c>
      <c r="C542" s="184">
        <v>-100.949619</v>
      </c>
    </row>
    <row r="543" spans="1:3">
      <c r="A543" s="184" t="s">
        <v>1658</v>
      </c>
      <c r="B543" s="184">
        <v>20.34318227</v>
      </c>
      <c r="C543" s="184">
        <v>-101.5607885</v>
      </c>
    </row>
    <row r="544" spans="1:3">
      <c r="A544" s="184" t="s">
        <v>1662</v>
      </c>
      <c r="B544" s="184">
        <v>20.026795499999999</v>
      </c>
      <c r="C544" s="184">
        <v>-100.4823768</v>
      </c>
    </row>
    <row r="545" spans="1:3">
      <c r="A545" s="184" t="s">
        <v>1665</v>
      </c>
      <c r="B545" s="184">
        <v>20.337496999999999</v>
      </c>
      <c r="C545" s="184">
        <v>-100.5804519</v>
      </c>
    </row>
    <row r="546" spans="1:3">
      <c r="A546" s="184" t="s">
        <v>1668</v>
      </c>
      <c r="B546" s="184">
        <v>20.05041031</v>
      </c>
      <c r="C546" s="184">
        <v>-100.39779660000001</v>
      </c>
    </row>
    <row r="547" spans="1:3">
      <c r="A547" s="184" t="s">
        <v>1671</v>
      </c>
      <c r="B547" s="184">
        <v>20.370656230000002</v>
      </c>
      <c r="C547" s="184">
        <v>-101.8076075</v>
      </c>
    </row>
    <row r="548" spans="1:3">
      <c r="A548" s="184" t="s">
        <v>1674</v>
      </c>
      <c r="B548" s="184">
        <v>21.023745099999999</v>
      </c>
      <c r="C548" s="184">
        <v>-101.857687</v>
      </c>
    </row>
    <row r="549" spans="1:3">
      <c r="A549" s="184" t="s">
        <v>1678</v>
      </c>
      <c r="B549" s="184">
        <v>20.634829360000001</v>
      </c>
      <c r="C549" s="184">
        <v>-101.1800102</v>
      </c>
    </row>
    <row r="550" spans="1:3">
      <c r="A550" s="184" t="s">
        <v>1681</v>
      </c>
      <c r="B550" s="184">
        <v>20.111830999999999</v>
      </c>
      <c r="C550" s="184">
        <v>-100.92068089999999</v>
      </c>
    </row>
    <row r="551" spans="1:3">
      <c r="A551" s="184" t="s">
        <v>1685</v>
      </c>
      <c r="B551" s="184">
        <v>21.453209600000001</v>
      </c>
      <c r="C551" s="184">
        <v>-100.88284160000001</v>
      </c>
    </row>
    <row r="552" spans="1:3">
      <c r="A552" s="184" t="s">
        <v>1688</v>
      </c>
      <c r="B552" s="184">
        <v>21.347198299999999</v>
      </c>
      <c r="C552" s="184">
        <v>-100.8790171</v>
      </c>
    </row>
    <row r="553" spans="1:3">
      <c r="A553" s="184" t="s">
        <v>1691</v>
      </c>
      <c r="B553" s="184">
        <v>21.343752940000002</v>
      </c>
      <c r="C553" s="184">
        <v>-101.5107084</v>
      </c>
    </row>
    <row r="554" spans="1:3">
      <c r="A554" s="184" t="s">
        <v>1693</v>
      </c>
      <c r="B554" s="184">
        <v>21.56847926</v>
      </c>
      <c r="C554" s="184">
        <v>-101.26364</v>
      </c>
    </row>
    <row r="555" spans="1:3">
      <c r="A555" s="184" t="s">
        <v>1696</v>
      </c>
      <c r="B555" s="184">
        <v>21.603503180000001</v>
      </c>
      <c r="C555" s="184">
        <v>-101.15400649999999</v>
      </c>
    </row>
    <row r="556" spans="1:3">
      <c r="A556" s="184" t="s">
        <v>1699</v>
      </c>
      <c r="B556" s="184">
        <v>21.040446809999999</v>
      </c>
      <c r="C556" s="184">
        <v>-100.4685473</v>
      </c>
    </row>
    <row r="557" spans="1:3">
      <c r="A557" s="184" t="s">
        <v>1702</v>
      </c>
      <c r="B557" s="184">
        <v>20.969449000000001</v>
      </c>
      <c r="C557" s="184">
        <v>-100.436646</v>
      </c>
    </row>
    <row r="558" spans="1:3">
      <c r="A558" s="184" t="s">
        <v>1705</v>
      </c>
      <c r="B558" s="184">
        <v>21.3211914</v>
      </c>
      <c r="C558" s="184">
        <v>-100.6251489</v>
      </c>
    </row>
    <row r="559" spans="1:3">
      <c r="A559" s="184" t="s">
        <v>1708</v>
      </c>
      <c r="B559" s="184">
        <v>20.821024730000001</v>
      </c>
      <c r="C559" s="184">
        <v>-100.825784</v>
      </c>
    </row>
    <row r="560" spans="1:3">
      <c r="A560" s="184" t="s">
        <v>1712</v>
      </c>
      <c r="B560" s="184">
        <v>21.214618300000001</v>
      </c>
      <c r="C560" s="184">
        <v>-100.2199662</v>
      </c>
    </row>
    <row r="561" spans="1:3">
      <c r="A561" s="184" t="s">
        <v>1717</v>
      </c>
      <c r="B561" s="184">
        <v>20.591529990000002</v>
      </c>
      <c r="C561" s="184">
        <v>-101.0403579</v>
      </c>
    </row>
    <row r="562" spans="1:3">
      <c r="A562" s="184" t="s">
        <v>1721</v>
      </c>
      <c r="B562" s="184">
        <v>20.748280000000001</v>
      </c>
      <c r="C562" s="184">
        <v>-101.075928</v>
      </c>
    </row>
    <row r="563" spans="1:3">
      <c r="A563" s="184" t="s">
        <v>1724</v>
      </c>
      <c r="B563" s="184">
        <v>20.964966400000002</v>
      </c>
      <c r="C563" s="184">
        <v>-101.3055488</v>
      </c>
    </row>
    <row r="564" spans="1:3">
      <c r="A564" s="184" t="s">
        <v>1726</v>
      </c>
      <c r="B564" s="184">
        <v>21.056690759999999</v>
      </c>
      <c r="C564" s="184">
        <v>-101.4489294</v>
      </c>
    </row>
    <row r="565" spans="1:3">
      <c r="A565" s="184" t="s">
        <v>1729</v>
      </c>
      <c r="B565" s="184">
        <v>20.084114</v>
      </c>
      <c r="C565" s="184">
        <v>-101.127281</v>
      </c>
    </row>
    <row r="566" spans="1:3">
      <c r="A566" s="184" t="s">
        <v>1732</v>
      </c>
      <c r="B566" s="184">
        <v>20.409716169999999</v>
      </c>
      <c r="C566" s="184">
        <v>-101.17538879999999</v>
      </c>
    </row>
    <row r="567" spans="1:3">
      <c r="A567" s="184" t="s">
        <v>1737</v>
      </c>
      <c r="B567" s="184">
        <v>20.305805800000002</v>
      </c>
      <c r="C567" s="184">
        <v>-101.38799280000001</v>
      </c>
    </row>
    <row r="568" spans="1:3">
      <c r="A568" s="184" t="s">
        <v>1741</v>
      </c>
      <c r="B568" s="184">
        <v>20.498479280000002</v>
      </c>
      <c r="C568" s="184">
        <v>-101.300828</v>
      </c>
    </row>
    <row r="569" spans="1:3">
      <c r="A569" s="184" t="s">
        <v>1744</v>
      </c>
      <c r="B569" s="184">
        <v>21.2284896</v>
      </c>
      <c r="C569" s="184">
        <v>-100.2499779</v>
      </c>
    </row>
    <row r="570" spans="1:3">
      <c r="A570" s="184" t="s">
        <v>1747</v>
      </c>
      <c r="B570" s="184">
        <v>21.251958380000001</v>
      </c>
      <c r="C570" s="184">
        <v>-99.921461059999999</v>
      </c>
    </row>
    <row r="571" spans="1:3">
      <c r="A571" s="184" t="s">
        <v>1751</v>
      </c>
      <c r="B571" s="184">
        <v>20.286937649999999</v>
      </c>
      <c r="C571" s="184">
        <v>-101.30245530000001</v>
      </c>
    </row>
    <row r="572" spans="1:3">
      <c r="A572" s="184" t="s">
        <v>1754</v>
      </c>
      <c r="B572" s="184">
        <v>19.965035709999999</v>
      </c>
      <c r="C572" s="184">
        <v>-100.99932579999999</v>
      </c>
    </row>
    <row r="573" spans="1:3">
      <c r="A573" s="184" t="s">
        <v>1758</v>
      </c>
      <c r="B573" s="184">
        <v>19.604523919999998</v>
      </c>
      <c r="C573" s="184">
        <v>-99.079479419999998</v>
      </c>
    </row>
    <row r="574" spans="1:3">
      <c r="A574" s="184" t="s">
        <v>1760</v>
      </c>
      <c r="B574" s="184">
        <v>20.57348898</v>
      </c>
      <c r="C574" s="184">
        <v>-100.6220234</v>
      </c>
    </row>
    <row r="575" spans="1:3">
      <c r="A575" s="184" t="s">
        <v>1763</v>
      </c>
      <c r="B575" s="184">
        <v>20.37896971</v>
      </c>
      <c r="C575" s="184">
        <v>-101.2499548</v>
      </c>
    </row>
    <row r="576" spans="1:3">
      <c r="A576" s="184" t="s">
        <v>1766</v>
      </c>
      <c r="B576" s="184">
        <v>21.0894133</v>
      </c>
      <c r="C576" s="184">
        <v>-101.69018749999999</v>
      </c>
    </row>
    <row r="577" spans="1:3">
      <c r="A577" s="184" t="s">
        <v>1769</v>
      </c>
      <c r="B577" s="184">
        <v>20.637118130000001</v>
      </c>
      <c r="C577" s="184">
        <v>-101.12589250000001</v>
      </c>
    </row>
    <row r="578" spans="1:3">
      <c r="A578" s="184" t="s">
        <v>1772</v>
      </c>
      <c r="B578" s="184">
        <v>21.487560899999998</v>
      </c>
      <c r="C578" s="184">
        <v>-100.72252210000001</v>
      </c>
    </row>
    <row r="579" spans="1:3">
      <c r="A579" s="184" t="s">
        <v>1775</v>
      </c>
      <c r="B579" s="184">
        <v>21.7161884</v>
      </c>
      <c r="C579" s="184">
        <v>-100.97752850000001</v>
      </c>
    </row>
    <row r="580" spans="1:3">
      <c r="A580" s="184" t="s">
        <v>1778</v>
      </c>
      <c r="B580" s="184">
        <v>21.62667248</v>
      </c>
      <c r="C580" s="184">
        <v>-100.98233449999999</v>
      </c>
    </row>
    <row r="581" spans="1:3">
      <c r="A581" s="184" t="s">
        <v>1780</v>
      </c>
      <c r="B581" s="184">
        <v>21.079654399999999</v>
      </c>
      <c r="C581" s="184">
        <v>-101.6201216</v>
      </c>
    </row>
    <row r="582" spans="1:3">
      <c r="A582" s="184" t="s">
        <v>1782</v>
      </c>
      <c r="B582" s="184">
        <v>21.411564299999998</v>
      </c>
      <c r="C582" s="184">
        <v>-100.11464580000001</v>
      </c>
    </row>
    <row r="583" spans="1:3">
      <c r="A583" s="184" t="s">
        <v>1785</v>
      </c>
      <c r="B583" s="184">
        <v>20.688457</v>
      </c>
      <c r="C583" s="184">
        <v>-101.11970100000001</v>
      </c>
    </row>
    <row r="584" spans="1:3">
      <c r="A584" s="184" t="s">
        <v>1788</v>
      </c>
      <c r="B584" s="184">
        <v>21.409731000000001</v>
      </c>
      <c r="C584" s="184">
        <v>-100.897812</v>
      </c>
    </row>
    <row r="585" spans="1:3">
      <c r="A585" s="184" t="s">
        <v>1791</v>
      </c>
      <c r="B585" s="184">
        <v>21.0645861</v>
      </c>
      <c r="C585" s="184">
        <v>-101.4713608</v>
      </c>
    </row>
    <row r="586" spans="1:3">
      <c r="A586" s="184" t="s">
        <v>1794</v>
      </c>
      <c r="B586" s="184">
        <v>20.873215999999999</v>
      </c>
      <c r="C586" s="184">
        <v>-101.0368512</v>
      </c>
    </row>
    <row r="587" spans="1:3">
      <c r="A587" s="184" t="s">
        <v>1797</v>
      </c>
      <c r="B587" s="184">
        <v>20.565232179999999</v>
      </c>
      <c r="C587" s="184">
        <v>-101.5899976</v>
      </c>
    </row>
    <row r="588" spans="1:3">
      <c r="A588" s="184" t="s">
        <v>1800</v>
      </c>
      <c r="B588" s="184">
        <v>20.589655369999999</v>
      </c>
      <c r="C588" s="184">
        <v>-101.534441</v>
      </c>
    </row>
    <row r="589" spans="1:3">
      <c r="A589" s="184" t="s">
        <v>1802</v>
      </c>
      <c r="B589" s="184">
        <v>21.017789700000002</v>
      </c>
      <c r="C589" s="184">
        <v>-101.2603032</v>
      </c>
    </row>
    <row r="590" spans="1:3">
      <c r="A590" s="184" t="s">
        <v>1805</v>
      </c>
      <c r="B590" s="184">
        <v>20.333145290000001</v>
      </c>
      <c r="C590" s="184">
        <v>-101.4749261</v>
      </c>
    </row>
    <row r="591" spans="1:3">
      <c r="A591" s="184" t="s">
        <v>1808</v>
      </c>
      <c r="B591" s="184">
        <v>20.3753326</v>
      </c>
      <c r="C591" s="184">
        <v>-101.5258882</v>
      </c>
    </row>
    <row r="592" spans="1:3">
      <c r="A592" s="184" t="s">
        <v>1811</v>
      </c>
      <c r="B592" s="184">
        <v>20.711585079999999</v>
      </c>
      <c r="C592" s="184">
        <v>-101.4376449</v>
      </c>
    </row>
    <row r="593" spans="1:3">
      <c r="A593" s="184" t="s">
        <v>1813</v>
      </c>
      <c r="B593" s="184">
        <v>20.535631939999998</v>
      </c>
      <c r="C593" s="184">
        <v>-101.4654862</v>
      </c>
    </row>
    <row r="594" spans="1:3">
      <c r="A594" s="184" t="s">
        <v>1815</v>
      </c>
      <c r="B594" s="184">
        <v>20.548915839999999</v>
      </c>
      <c r="C594" s="184">
        <v>-101.4226506</v>
      </c>
    </row>
    <row r="595" spans="1:3">
      <c r="A595" s="184" t="s">
        <v>1817</v>
      </c>
      <c r="B595" s="184">
        <v>20.307860099999999</v>
      </c>
      <c r="C595" s="184">
        <v>-101.01061009999999</v>
      </c>
    </row>
    <row r="596" spans="1:3">
      <c r="A596" s="184" t="s">
        <v>1821</v>
      </c>
      <c r="B596" s="184">
        <v>20.658096690000001</v>
      </c>
      <c r="C596" s="184">
        <v>-101.3926481</v>
      </c>
    </row>
    <row r="597" spans="1:3">
      <c r="A597" s="184" t="s">
        <v>1823</v>
      </c>
      <c r="B597" s="184">
        <v>20.995143649999999</v>
      </c>
      <c r="C597" s="184">
        <v>-101.2928252</v>
      </c>
    </row>
    <row r="598" spans="1:3">
      <c r="A598" s="184" t="s">
        <v>1826</v>
      </c>
      <c r="B598" s="184">
        <v>20.454808700000001</v>
      </c>
      <c r="C598" s="184">
        <v>-101.0063693</v>
      </c>
    </row>
    <row r="599" spans="1:3">
      <c r="A599" s="184" t="s">
        <v>1829</v>
      </c>
      <c r="B599" s="184">
        <v>20.4959053</v>
      </c>
      <c r="C599" s="184">
        <v>-100.9468049</v>
      </c>
    </row>
    <row r="600" spans="1:3">
      <c r="A600" s="184" t="s">
        <v>1832</v>
      </c>
      <c r="B600" s="184">
        <v>20.403210390000002</v>
      </c>
      <c r="C600" s="184">
        <v>-100.99949410000001</v>
      </c>
    </row>
    <row r="601" spans="1:3">
      <c r="A601" s="184" t="s">
        <v>1835</v>
      </c>
      <c r="B601" s="184">
        <v>20.694047220000002</v>
      </c>
      <c r="C601" s="184">
        <v>-101.7069699</v>
      </c>
    </row>
    <row r="602" spans="1:3">
      <c r="A602" s="184" t="s">
        <v>1837</v>
      </c>
      <c r="B602" s="184">
        <v>21.115442000000002</v>
      </c>
      <c r="C602" s="184">
        <v>-100.459305</v>
      </c>
    </row>
    <row r="603" spans="1:3">
      <c r="A603" s="184" t="s">
        <v>1840</v>
      </c>
      <c r="B603" s="184">
        <v>20.591681000000001</v>
      </c>
      <c r="C603" s="184">
        <v>-100.39752</v>
      </c>
    </row>
    <row r="604" spans="1:3">
      <c r="A604" s="184" t="s">
        <v>1843</v>
      </c>
      <c r="B604" s="184">
        <v>21.277520540000001</v>
      </c>
      <c r="C604" s="184">
        <v>-100.9214723</v>
      </c>
    </row>
    <row r="605" spans="1:3">
      <c r="A605" s="184" t="s">
        <v>1846</v>
      </c>
      <c r="B605" s="184">
        <v>19.95230913</v>
      </c>
      <c r="C605" s="184">
        <v>-100.8634022</v>
      </c>
    </row>
    <row r="606" spans="1:3">
      <c r="A606" s="184" t="s">
        <v>1848</v>
      </c>
      <c r="B606" s="184">
        <v>20.441674160000002</v>
      </c>
      <c r="C606" s="184">
        <v>-100.55771129999999</v>
      </c>
    </row>
    <row r="607" spans="1:3">
      <c r="A607" s="184" t="s">
        <v>1850</v>
      </c>
      <c r="B607" s="184">
        <v>20.368777770000001</v>
      </c>
      <c r="C607" s="184">
        <v>-100.55495000000001</v>
      </c>
    </row>
    <row r="608" spans="1:3">
      <c r="A608" s="184" t="s">
        <v>1853</v>
      </c>
      <c r="B608" s="184">
        <v>19.62322249</v>
      </c>
      <c r="C608" s="184">
        <v>-99.133805089999996</v>
      </c>
    </row>
    <row r="609" spans="1:3">
      <c r="A609" s="184" t="s">
        <v>1856</v>
      </c>
      <c r="B609" s="184">
        <v>20.63060883</v>
      </c>
      <c r="C609" s="184">
        <v>-100.6426651</v>
      </c>
    </row>
    <row r="610" spans="1:3">
      <c r="A610" s="184" t="s">
        <v>1859</v>
      </c>
      <c r="B610" s="184">
        <v>20.410721559999999</v>
      </c>
      <c r="C610" s="184">
        <v>-100.8023192</v>
      </c>
    </row>
    <row r="611" spans="1:3">
      <c r="A611" s="184" t="s">
        <v>1862</v>
      </c>
      <c r="B611" s="184">
        <v>20.651369859999999</v>
      </c>
      <c r="C611" s="184">
        <v>-100.7101297</v>
      </c>
    </row>
    <row r="612" spans="1:3">
      <c r="A612" s="184" t="s">
        <v>1865</v>
      </c>
      <c r="B612" s="184">
        <v>20.5237035</v>
      </c>
      <c r="C612" s="184">
        <v>-100.8133898</v>
      </c>
    </row>
    <row r="613" spans="1:3">
      <c r="A613" s="184" t="s">
        <v>1868</v>
      </c>
      <c r="B613" s="184">
        <v>20.693297560000001</v>
      </c>
      <c r="C613" s="184">
        <v>-100.8947017</v>
      </c>
    </row>
    <row r="614" spans="1:3">
      <c r="A614" s="184" t="s">
        <v>1872</v>
      </c>
      <c r="B614" s="184">
        <v>20.004799999999999</v>
      </c>
      <c r="C614" s="184">
        <v>-100.53</v>
      </c>
    </row>
    <row r="615" spans="1:3">
      <c r="A615" s="184" t="s">
        <v>1875</v>
      </c>
      <c r="B615" s="184">
        <v>20.225653489999999</v>
      </c>
      <c r="C615" s="184">
        <v>-100.5700502</v>
      </c>
    </row>
    <row r="616" spans="1:3">
      <c r="A616" s="184" t="s">
        <v>1878</v>
      </c>
      <c r="B616" s="184">
        <v>21.179880099999998</v>
      </c>
      <c r="C616" s="184">
        <v>-101.7504436</v>
      </c>
    </row>
    <row r="617" spans="1:3">
      <c r="A617" s="184" t="s">
        <v>1881</v>
      </c>
      <c r="B617" s="184">
        <v>21.1323677</v>
      </c>
      <c r="C617" s="184">
        <v>-101.6271655</v>
      </c>
    </row>
    <row r="618" spans="1:3">
      <c r="A618" s="184" t="s">
        <v>1884</v>
      </c>
      <c r="B618" s="184">
        <v>20.315124000000001</v>
      </c>
      <c r="C618" s="184">
        <v>-101.6458836</v>
      </c>
    </row>
    <row r="619" spans="1:3">
      <c r="A619" s="184" t="s">
        <v>1887</v>
      </c>
      <c r="B619" s="184">
        <v>19.431666</v>
      </c>
      <c r="C619" s="184">
        <v>-99.100846020000006</v>
      </c>
    </row>
    <row r="620" spans="1:3">
      <c r="A620" s="184" t="s">
        <v>1890</v>
      </c>
      <c r="B620" s="184">
        <v>21.069712790000001</v>
      </c>
      <c r="C620" s="184">
        <v>-101.7224858</v>
      </c>
    </row>
    <row r="621" spans="1:3">
      <c r="A621" s="184" t="s">
        <v>1892</v>
      </c>
      <c r="B621" s="184">
        <v>20.5589607</v>
      </c>
      <c r="C621" s="184">
        <v>-101.3970788</v>
      </c>
    </row>
    <row r="622" spans="1:3">
      <c r="A622" s="184" t="s">
        <v>1895</v>
      </c>
      <c r="B622" s="184">
        <v>21.103600700000001</v>
      </c>
      <c r="C622" s="184">
        <v>-101.66961860000001</v>
      </c>
    </row>
    <row r="623" spans="1:3">
      <c r="A623" s="184" t="s">
        <v>1897</v>
      </c>
      <c r="B623" s="184">
        <v>20.952956700000001</v>
      </c>
      <c r="C623" s="184">
        <v>-101.5810556</v>
      </c>
    </row>
    <row r="624" spans="1:3">
      <c r="A624" s="184" t="s">
        <v>1900</v>
      </c>
      <c r="B624" s="184">
        <v>21.08165344</v>
      </c>
      <c r="C624" s="184">
        <v>-101.6205937</v>
      </c>
    </row>
    <row r="625" spans="1:3">
      <c r="A625" s="184" t="s">
        <v>1902</v>
      </c>
      <c r="B625" s="184">
        <v>21.020672000000001</v>
      </c>
      <c r="C625" s="184">
        <v>-101.87571199999999</v>
      </c>
    </row>
    <row r="626" spans="1:3">
      <c r="A626" s="184" t="s">
        <v>1904</v>
      </c>
      <c r="B626" s="184">
        <v>19.35135202</v>
      </c>
      <c r="C626" s="184">
        <v>-99.015702059999995</v>
      </c>
    </row>
    <row r="627" spans="1:3">
      <c r="A627" s="184" t="s">
        <v>1907</v>
      </c>
      <c r="B627" s="184">
        <v>20.15232</v>
      </c>
      <c r="C627" s="184">
        <v>-101.1941376</v>
      </c>
    </row>
    <row r="628" spans="1:3">
      <c r="A628" s="184" t="s">
        <v>1911</v>
      </c>
      <c r="B628" s="184">
        <v>20.57116912</v>
      </c>
      <c r="C628" s="184">
        <v>-101.29781819999999</v>
      </c>
    </row>
    <row r="629" spans="1:3">
      <c r="A629" s="184" t="s">
        <v>1913</v>
      </c>
      <c r="B629" s="184">
        <v>20.47658886</v>
      </c>
      <c r="C629" s="184">
        <v>-101.20041639999999</v>
      </c>
    </row>
    <row r="630" spans="1:3">
      <c r="A630" s="184" t="s">
        <v>1915</v>
      </c>
      <c r="B630" s="184">
        <v>21.378515159999999</v>
      </c>
      <c r="C630" s="184">
        <v>-100.6699787</v>
      </c>
    </row>
    <row r="631" spans="1:3">
      <c r="A631" s="184" t="s">
        <v>1918</v>
      </c>
      <c r="B631" s="184">
        <v>21.577082489999999</v>
      </c>
      <c r="C631" s="184">
        <v>-101.3430596</v>
      </c>
    </row>
    <row r="632" spans="1:3">
      <c r="A632" s="184" t="s">
        <v>1921</v>
      </c>
      <c r="B632" s="184">
        <v>21.320200610000001</v>
      </c>
      <c r="C632" s="184">
        <v>-101.1053816</v>
      </c>
    </row>
    <row r="633" spans="1:3">
      <c r="A633" s="184" t="s">
        <v>1924</v>
      </c>
      <c r="B633" s="184">
        <v>20.911833300000001</v>
      </c>
      <c r="C633" s="184">
        <v>-100.74078950000001</v>
      </c>
    </row>
    <row r="634" spans="1:3">
      <c r="A634" s="184" t="s">
        <v>1926</v>
      </c>
      <c r="B634" s="184">
        <v>21.1386368</v>
      </c>
      <c r="C634" s="184">
        <v>-100.3257856</v>
      </c>
    </row>
    <row r="635" spans="1:3">
      <c r="A635" s="184" t="s">
        <v>1928</v>
      </c>
      <c r="B635" s="184">
        <v>21.302452720000002</v>
      </c>
      <c r="C635" s="184">
        <v>-100.6591371</v>
      </c>
    </row>
    <row r="636" spans="1:3">
      <c r="A636" s="184" t="s">
        <v>1931</v>
      </c>
      <c r="B636" s="184">
        <v>21.344906819999999</v>
      </c>
      <c r="C636" s="184">
        <v>-100.9979565</v>
      </c>
    </row>
    <row r="637" spans="1:3">
      <c r="A637" s="184" t="s">
        <v>1934</v>
      </c>
      <c r="B637" s="184">
        <v>21.234688689999999</v>
      </c>
      <c r="C637" s="184">
        <v>-100.4133971</v>
      </c>
    </row>
    <row r="638" spans="1:3">
      <c r="A638" s="184" t="s">
        <v>1937</v>
      </c>
      <c r="B638" s="184">
        <v>20.906937070000001</v>
      </c>
      <c r="C638" s="184">
        <v>-100.72025549999999</v>
      </c>
    </row>
    <row r="639" spans="1:3">
      <c r="A639" s="184" t="s">
        <v>1939</v>
      </c>
      <c r="B639" s="184">
        <v>20.8843198</v>
      </c>
      <c r="C639" s="184">
        <v>-100.7609786</v>
      </c>
    </row>
    <row r="640" spans="1:3">
      <c r="A640" s="184" t="s">
        <v>1942</v>
      </c>
      <c r="B640" s="184">
        <v>19.44979592</v>
      </c>
      <c r="C640" s="184">
        <v>-99.130371859999997</v>
      </c>
    </row>
    <row r="641" spans="1:3">
      <c r="A641" s="184" t="s">
        <v>1945</v>
      </c>
      <c r="B641" s="184">
        <v>20.653202</v>
      </c>
      <c r="C641" s="184">
        <v>-101.039986</v>
      </c>
    </row>
    <row r="642" spans="1:3">
      <c r="A642" s="184" t="s">
        <v>1947</v>
      </c>
      <c r="B642" s="184">
        <v>20.143667820000001</v>
      </c>
      <c r="C642" s="184">
        <v>-101.0238629</v>
      </c>
    </row>
    <row r="643" spans="1:3">
      <c r="A643" s="184" t="s">
        <v>1951</v>
      </c>
      <c r="B643" s="184">
        <v>20.974430089999998</v>
      </c>
      <c r="C643" s="184">
        <v>-101.45017199999999</v>
      </c>
    </row>
    <row r="644" spans="1:3">
      <c r="A644" s="184" t="s">
        <v>1953</v>
      </c>
      <c r="B644" s="184">
        <v>20.62049425</v>
      </c>
      <c r="C644" s="184">
        <v>-101.2532294</v>
      </c>
    </row>
    <row r="645" spans="1:3">
      <c r="A645" s="184" t="s">
        <v>1956</v>
      </c>
      <c r="B645" s="184">
        <v>20.148565659999999</v>
      </c>
      <c r="C645" s="184">
        <v>-100.9045842</v>
      </c>
    </row>
    <row r="646" spans="1:3">
      <c r="A646" s="184" t="s">
        <v>1958</v>
      </c>
      <c r="B646" s="184">
        <v>20.100163800000001</v>
      </c>
      <c r="C646" s="184">
        <v>-100.8270886</v>
      </c>
    </row>
    <row r="647" spans="1:3">
      <c r="A647" s="184" t="s">
        <v>1961</v>
      </c>
      <c r="B647" s="184">
        <v>19.96927135</v>
      </c>
      <c r="C647" s="184">
        <v>-100.52155860000001</v>
      </c>
    </row>
    <row r="648" spans="1:3">
      <c r="A648" s="184" t="s">
        <v>1964</v>
      </c>
      <c r="B648" s="184">
        <v>20.19136494</v>
      </c>
      <c r="C648" s="184">
        <v>-100.75861740000001</v>
      </c>
    </row>
    <row r="649" spans="1:3">
      <c r="A649" s="184" t="s">
        <v>1968</v>
      </c>
      <c r="B649" s="184">
        <v>20.102311289999999</v>
      </c>
      <c r="C649" s="184">
        <v>-101.1615673</v>
      </c>
    </row>
    <row r="650" spans="1:3">
      <c r="A650" s="184" t="s">
        <v>1971</v>
      </c>
      <c r="B650" s="184">
        <v>20.450508800000001</v>
      </c>
      <c r="C650" s="184">
        <v>-101.285888</v>
      </c>
    </row>
    <row r="651" spans="1:3">
      <c r="A651" s="184" t="s">
        <v>1974</v>
      </c>
      <c r="B651" s="184">
        <v>21.356313199999999</v>
      </c>
      <c r="C651" s="184">
        <v>-100.1475432</v>
      </c>
    </row>
    <row r="652" spans="1:3">
      <c r="A652" s="184" t="s">
        <v>1977</v>
      </c>
      <c r="B652" s="184">
        <v>20.519147499999999</v>
      </c>
      <c r="C652" s="184">
        <v>-100.9217821</v>
      </c>
    </row>
    <row r="653" spans="1:3">
      <c r="A653" s="184" t="s">
        <v>1981</v>
      </c>
      <c r="B653" s="184">
        <v>21.260105899999999</v>
      </c>
      <c r="C653" s="184">
        <v>-99.931244100000001</v>
      </c>
    </row>
    <row r="654" spans="1:3">
      <c r="A654" s="184" t="s">
        <v>1984</v>
      </c>
      <c r="B654" s="184">
        <v>20.182006220000002</v>
      </c>
      <c r="C654" s="184">
        <v>-101.3043175</v>
      </c>
    </row>
    <row r="655" spans="1:3">
      <c r="A655" s="184" t="s">
        <v>1987</v>
      </c>
      <c r="B655" s="184">
        <v>20.143271800000001</v>
      </c>
      <c r="C655" s="184">
        <v>-101.2763582</v>
      </c>
    </row>
    <row r="656" spans="1:3">
      <c r="A656" s="184" t="s">
        <v>1990</v>
      </c>
      <c r="B656" s="184">
        <v>20.226531680000001</v>
      </c>
      <c r="C656" s="184">
        <v>-101.8345577</v>
      </c>
    </row>
    <row r="657" spans="1:3">
      <c r="A657" s="184" t="s">
        <v>1992</v>
      </c>
      <c r="B657" s="184">
        <v>20.722771359999999</v>
      </c>
      <c r="C657" s="184">
        <v>-100.8997772</v>
      </c>
    </row>
    <row r="658" spans="1:3">
      <c r="A658" s="184" t="s">
        <v>1994</v>
      </c>
      <c r="B658" s="184">
        <v>20.488584719999999</v>
      </c>
      <c r="C658" s="184">
        <v>-101.1350197</v>
      </c>
    </row>
    <row r="659" spans="1:3">
      <c r="A659" s="184" t="s">
        <v>1996</v>
      </c>
      <c r="B659" s="184">
        <v>20.927292900000001</v>
      </c>
      <c r="C659" s="184">
        <v>-101.43053980000001</v>
      </c>
    </row>
    <row r="660" spans="1:3">
      <c r="A660" s="184" t="s">
        <v>1998</v>
      </c>
      <c r="B660" s="184">
        <v>20.328392239999999</v>
      </c>
      <c r="C660" s="184">
        <v>-101.1816852</v>
      </c>
    </row>
    <row r="661" spans="1:3">
      <c r="A661" s="184" t="s">
        <v>2000</v>
      </c>
      <c r="B661" s="184">
        <v>20.55264669</v>
      </c>
      <c r="C661" s="184">
        <v>-100.943512</v>
      </c>
    </row>
    <row r="662" spans="1:3">
      <c r="A662" s="184" t="s">
        <v>2003</v>
      </c>
      <c r="B662" s="184">
        <v>20.13250339</v>
      </c>
      <c r="C662" s="184">
        <v>-101.28746870000001</v>
      </c>
    </row>
    <row r="663" spans="1:3">
      <c r="A663" s="184" t="s">
        <v>2005</v>
      </c>
      <c r="B663" s="184">
        <v>20.950641699999998</v>
      </c>
      <c r="C663" s="184">
        <v>-101.3938239</v>
      </c>
    </row>
    <row r="664" spans="1:3">
      <c r="A664" s="184" t="s">
        <v>2007</v>
      </c>
      <c r="B664" s="184">
        <v>21.149636399999999</v>
      </c>
      <c r="C664" s="184">
        <v>-100.95676779999999</v>
      </c>
    </row>
    <row r="665" spans="1:3">
      <c r="A665" s="184" t="s">
        <v>2009</v>
      </c>
      <c r="B665" s="184">
        <v>20.938031649999999</v>
      </c>
      <c r="C665" s="184">
        <v>-101.2975059</v>
      </c>
    </row>
    <row r="666" spans="1:3">
      <c r="A666" s="184" t="s">
        <v>2011</v>
      </c>
      <c r="B666" s="184">
        <v>20.955405710000001</v>
      </c>
      <c r="C666" s="184">
        <v>-101.3189359</v>
      </c>
    </row>
    <row r="667" spans="1:3">
      <c r="A667" s="184" t="s">
        <v>2014</v>
      </c>
      <c r="B667" s="184">
        <v>21.039802649999999</v>
      </c>
      <c r="C667" s="184">
        <v>-101.2571866</v>
      </c>
    </row>
    <row r="668" spans="1:3">
      <c r="A668" s="184" t="s">
        <v>2017</v>
      </c>
      <c r="B668" s="184">
        <v>20.66061831</v>
      </c>
      <c r="C668" s="184">
        <v>-101.45952320000001</v>
      </c>
    </row>
    <row r="669" spans="1:3">
      <c r="A669" s="184" t="s">
        <v>2020</v>
      </c>
      <c r="B669" s="184">
        <v>20.724793529999999</v>
      </c>
      <c r="C669" s="184">
        <v>-101.25164890000001</v>
      </c>
    </row>
    <row r="670" spans="1:3">
      <c r="A670" s="184" t="s">
        <v>2023</v>
      </c>
      <c r="B670" s="184">
        <v>21.701764699999998</v>
      </c>
      <c r="C670" s="184">
        <v>-101.0426715</v>
      </c>
    </row>
    <row r="671" spans="1:3">
      <c r="A671" s="184" t="s">
        <v>2025</v>
      </c>
      <c r="B671" s="184">
        <v>20.8058494</v>
      </c>
      <c r="C671" s="184">
        <v>-101.71282549999999</v>
      </c>
    </row>
    <row r="672" spans="1:3">
      <c r="A672" s="184" t="s">
        <v>2029</v>
      </c>
      <c r="B672" s="184">
        <v>20.930342</v>
      </c>
      <c r="C672" s="184">
        <v>-100.60536399999999</v>
      </c>
    </row>
    <row r="673" spans="1:3">
      <c r="A673" s="184" t="s">
        <v>2032</v>
      </c>
      <c r="B673" s="184">
        <v>21.103624109999998</v>
      </c>
      <c r="C673" s="184">
        <v>-100.6637817</v>
      </c>
    </row>
    <row r="674" spans="1:3">
      <c r="A674" s="184" t="s">
        <v>2035</v>
      </c>
      <c r="B674" s="184">
        <v>20.62007114</v>
      </c>
      <c r="C674" s="184">
        <v>-100.8963021</v>
      </c>
    </row>
    <row r="675" spans="1:3">
      <c r="A675" s="184" t="s">
        <v>2038</v>
      </c>
      <c r="B675" s="184">
        <v>20.66136354</v>
      </c>
      <c r="C675" s="184">
        <v>-101.3378115</v>
      </c>
    </row>
    <row r="676" spans="1:3">
      <c r="A676" s="184" t="s">
        <v>2041</v>
      </c>
      <c r="B676" s="184">
        <v>20.74468336</v>
      </c>
      <c r="C676" s="184">
        <v>-101.3020751</v>
      </c>
    </row>
    <row r="677" spans="1:3">
      <c r="A677" s="184" t="s">
        <v>2044</v>
      </c>
      <c r="B677" s="184">
        <v>21.206433520000001</v>
      </c>
      <c r="C677" s="184">
        <v>-100.2138465</v>
      </c>
    </row>
    <row r="678" spans="1:3">
      <c r="A678" s="184" t="s">
        <v>2046</v>
      </c>
      <c r="B678" s="184">
        <v>20.489331159999999</v>
      </c>
      <c r="C678" s="184">
        <v>-100.6548593</v>
      </c>
    </row>
    <row r="679" spans="1:3">
      <c r="A679" s="184" t="s">
        <v>2048</v>
      </c>
      <c r="B679" s="184">
        <v>21.030444370000001</v>
      </c>
      <c r="C679" s="184">
        <v>-101.7050484</v>
      </c>
    </row>
    <row r="680" spans="1:3">
      <c r="A680" s="184" t="s">
        <v>2051</v>
      </c>
      <c r="B680" s="184">
        <v>21.000388839999999</v>
      </c>
      <c r="C680" s="184">
        <v>-101.60548129999999</v>
      </c>
    </row>
    <row r="681" spans="1:3">
      <c r="A681" s="184" t="s">
        <v>2054</v>
      </c>
      <c r="B681" s="184">
        <v>21.10836587</v>
      </c>
      <c r="C681" s="184">
        <v>-101.5523752</v>
      </c>
    </row>
    <row r="682" spans="1:3">
      <c r="A682" s="184" t="s">
        <v>2057</v>
      </c>
      <c r="B682" s="184">
        <v>21.008737360000001</v>
      </c>
      <c r="C682" s="184">
        <v>-101.6204542</v>
      </c>
    </row>
    <row r="683" spans="1:3">
      <c r="A683" s="184" t="s">
        <v>2059</v>
      </c>
      <c r="B683" s="184">
        <v>21.0225379</v>
      </c>
      <c r="C683" s="184">
        <v>-101.8549699</v>
      </c>
    </row>
    <row r="684" spans="1:3">
      <c r="A684" s="184" t="s">
        <v>2062</v>
      </c>
      <c r="B684" s="184">
        <v>20.574660600000001</v>
      </c>
      <c r="C684" s="184">
        <v>-101.26394809999999</v>
      </c>
    </row>
    <row r="685" spans="1:3">
      <c r="A685" s="184" t="s">
        <v>2065</v>
      </c>
      <c r="B685" s="184">
        <v>20.891441050000001</v>
      </c>
      <c r="C685" s="184">
        <v>-100.5141351</v>
      </c>
    </row>
    <row r="686" spans="1:3">
      <c r="A686" s="184" t="s">
        <v>2067</v>
      </c>
      <c r="B686" s="184">
        <v>20.17686136</v>
      </c>
      <c r="C686" s="184">
        <v>-101.1851862</v>
      </c>
    </row>
    <row r="687" spans="1:3">
      <c r="A687" s="184" t="s">
        <v>2070</v>
      </c>
      <c r="B687" s="184">
        <v>20.146251899999999</v>
      </c>
      <c r="C687" s="184">
        <v>-101.16431559999999</v>
      </c>
    </row>
    <row r="688" spans="1:3">
      <c r="A688" s="184" t="s">
        <v>2072</v>
      </c>
      <c r="B688" s="184">
        <v>20.2895036</v>
      </c>
      <c r="C688" s="184">
        <v>-101.14811570000001</v>
      </c>
    </row>
    <row r="689" spans="1:3">
      <c r="A689" s="184" t="s">
        <v>2075</v>
      </c>
      <c r="B689" s="184">
        <v>20.378072849999999</v>
      </c>
      <c r="C689" s="184">
        <v>-101.16143700000001</v>
      </c>
    </row>
    <row r="690" spans="1:3">
      <c r="A690" s="184" t="s">
        <v>2078</v>
      </c>
      <c r="B690" s="184">
        <v>20.2785346</v>
      </c>
      <c r="C690" s="184">
        <v>-101.35423539999999</v>
      </c>
    </row>
    <row r="691" spans="1:3">
      <c r="A691" s="184" t="s">
        <v>2081</v>
      </c>
      <c r="B691" s="184">
        <v>20.36897707</v>
      </c>
      <c r="C691" s="184">
        <v>-101.1149295</v>
      </c>
    </row>
    <row r="692" spans="1:3">
      <c r="A692" s="184" t="s">
        <v>2084</v>
      </c>
      <c r="B692" s="184">
        <v>20.670054400000001</v>
      </c>
      <c r="C692" s="184">
        <v>-101.3547008</v>
      </c>
    </row>
    <row r="693" spans="1:3">
      <c r="A693" s="184" t="s">
        <v>2086</v>
      </c>
      <c r="B693" s="184">
        <v>20.935404599999998</v>
      </c>
      <c r="C693" s="184">
        <v>-101.4187857</v>
      </c>
    </row>
    <row r="694" spans="1:3">
      <c r="A694" s="184" t="s">
        <v>2089</v>
      </c>
      <c r="B694" s="184">
        <v>20.667827939999999</v>
      </c>
      <c r="C694" s="184">
        <v>-101.3513846</v>
      </c>
    </row>
    <row r="695" spans="1:3">
      <c r="A695" s="184" t="s">
        <v>2090</v>
      </c>
      <c r="B695" s="184">
        <v>20.69501047</v>
      </c>
      <c r="C695" s="184">
        <v>-101.3711965</v>
      </c>
    </row>
    <row r="696" spans="1:3">
      <c r="A696" s="184" t="s">
        <v>2092</v>
      </c>
      <c r="B696" s="184">
        <v>20.485989060000001</v>
      </c>
      <c r="C696" s="184">
        <v>-101.25406049999999</v>
      </c>
    </row>
    <row r="697" spans="1:3">
      <c r="A697" s="184" t="s">
        <v>2095</v>
      </c>
      <c r="B697" s="184">
        <v>20.541219510000001</v>
      </c>
      <c r="C697" s="184">
        <v>-101.1271666</v>
      </c>
    </row>
    <row r="698" spans="1:3">
      <c r="A698" s="184" t="s">
        <v>2098</v>
      </c>
      <c r="B698" s="184">
        <v>20.630017460000001</v>
      </c>
      <c r="C698" s="184">
        <v>-101.2186085</v>
      </c>
    </row>
    <row r="699" spans="1:3">
      <c r="A699" s="184" t="s">
        <v>2101</v>
      </c>
      <c r="B699" s="184">
        <v>20.592067849999999</v>
      </c>
      <c r="C699" s="184">
        <v>-101.1271577</v>
      </c>
    </row>
    <row r="700" spans="1:3">
      <c r="A700" s="184" t="s">
        <v>2104</v>
      </c>
      <c r="B700" s="184">
        <v>20.559313790000001</v>
      </c>
      <c r="C700" s="184">
        <v>-101.30019110000001</v>
      </c>
    </row>
    <row r="701" spans="1:3">
      <c r="A701" s="184" t="s">
        <v>2107</v>
      </c>
      <c r="B701" s="184">
        <v>20.49586991</v>
      </c>
      <c r="C701" s="184">
        <v>-100.853557</v>
      </c>
    </row>
    <row r="702" spans="1:3">
      <c r="A702" s="184" t="s">
        <v>2110</v>
      </c>
      <c r="B702" s="184">
        <v>20.423754039999999</v>
      </c>
      <c r="C702" s="184">
        <v>-100.75822359999999</v>
      </c>
    </row>
    <row r="703" spans="1:3">
      <c r="A703" s="184" t="s">
        <v>2113</v>
      </c>
      <c r="B703" s="184">
        <v>20.475538069999999</v>
      </c>
      <c r="C703" s="184">
        <v>-100.7471216</v>
      </c>
    </row>
    <row r="704" spans="1:3">
      <c r="A704" s="184" t="s">
        <v>2116</v>
      </c>
      <c r="B704" s="184">
        <v>20.619552500000001</v>
      </c>
      <c r="C704" s="184">
        <v>-100.7591285</v>
      </c>
    </row>
    <row r="705" spans="1:3">
      <c r="A705" s="184" t="s">
        <v>2119</v>
      </c>
      <c r="B705" s="184">
        <v>20.591202580000001</v>
      </c>
      <c r="C705" s="184">
        <v>-100.72074790000001</v>
      </c>
    </row>
    <row r="706" spans="1:3">
      <c r="A706" s="184" t="s">
        <v>2122</v>
      </c>
      <c r="B706" s="184">
        <v>20.961477240000001</v>
      </c>
      <c r="C706" s="184">
        <v>-101.5829213</v>
      </c>
    </row>
    <row r="707" spans="1:3">
      <c r="A707" s="184" t="s">
        <v>2124</v>
      </c>
      <c r="B707" s="184">
        <v>20.444169769999998</v>
      </c>
      <c r="C707" s="184">
        <v>-101.3946703</v>
      </c>
    </row>
    <row r="708" spans="1:3">
      <c r="A708" s="184" t="s">
        <v>2127</v>
      </c>
      <c r="B708" s="184">
        <v>20.598762350000001</v>
      </c>
      <c r="C708" s="184">
        <v>-101.5427413</v>
      </c>
    </row>
    <row r="709" spans="1:3">
      <c r="A709" s="184" t="s">
        <v>2129</v>
      </c>
      <c r="B709" s="184">
        <v>20.93470391</v>
      </c>
      <c r="C709" s="184">
        <v>-101.30001970000001</v>
      </c>
    </row>
    <row r="710" spans="1:3">
      <c r="A710" s="184" t="s">
        <v>2131</v>
      </c>
      <c r="B710" s="184">
        <v>21.011304840000001</v>
      </c>
      <c r="C710" s="184">
        <v>-101.8144137</v>
      </c>
    </row>
    <row r="711" spans="1:3">
      <c r="A711" s="184" t="s">
        <v>2133</v>
      </c>
      <c r="B711" s="184">
        <v>21.099268200000001</v>
      </c>
      <c r="C711" s="184">
        <v>-101.67703710000001</v>
      </c>
    </row>
    <row r="712" spans="1:3">
      <c r="A712" s="184" t="s">
        <v>2135</v>
      </c>
      <c r="B712" s="184">
        <v>21.134030889999998</v>
      </c>
      <c r="C712" s="184">
        <v>-101.6605773</v>
      </c>
    </row>
    <row r="713" spans="1:3">
      <c r="A713" s="184" t="s">
        <v>2137</v>
      </c>
      <c r="B713" s="184">
        <v>21.09083558</v>
      </c>
      <c r="C713" s="184">
        <v>-101.6685822</v>
      </c>
    </row>
    <row r="714" spans="1:3">
      <c r="A714" s="184" t="s">
        <v>2139</v>
      </c>
      <c r="B714" s="184">
        <v>21.094593969999998</v>
      </c>
      <c r="C714" s="184">
        <v>-101.6587127</v>
      </c>
    </row>
    <row r="715" spans="1:3">
      <c r="A715" s="184" t="s">
        <v>2141</v>
      </c>
      <c r="B715" s="184">
        <v>21.094300870000001</v>
      </c>
      <c r="C715" s="184">
        <v>-101.6704818</v>
      </c>
    </row>
    <row r="716" spans="1:3">
      <c r="A716" s="184" t="s">
        <v>2143</v>
      </c>
      <c r="B716" s="184">
        <v>21.123395330000001</v>
      </c>
      <c r="C716" s="184">
        <v>-101.6605215</v>
      </c>
    </row>
    <row r="717" spans="1:3">
      <c r="A717" s="184" t="s">
        <v>2144</v>
      </c>
      <c r="B717" s="184">
        <v>21.129371039999999</v>
      </c>
      <c r="C717" s="184">
        <v>-101.6762616</v>
      </c>
    </row>
    <row r="718" spans="1:3">
      <c r="A718" s="184" t="s">
        <v>2146</v>
      </c>
      <c r="B718" s="184">
        <v>21.132506060000001</v>
      </c>
      <c r="C718" s="184">
        <v>-101.6484779</v>
      </c>
    </row>
    <row r="719" spans="1:3">
      <c r="A719" s="184" t="s">
        <v>2148</v>
      </c>
      <c r="B719" s="184">
        <v>21.13638546</v>
      </c>
      <c r="C719" s="184">
        <v>-101.66014439999999</v>
      </c>
    </row>
    <row r="720" spans="1:3">
      <c r="A720" s="184" t="s">
        <v>2150</v>
      </c>
      <c r="B720" s="184">
        <v>21.1752447</v>
      </c>
      <c r="C720" s="184">
        <v>-101.6679561</v>
      </c>
    </row>
    <row r="721" spans="1:3">
      <c r="A721" s="184" t="s">
        <v>2152</v>
      </c>
      <c r="B721" s="184">
        <v>21.140542610000001</v>
      </c>
      <c r="C721" s="184">
        <v>-101.69767450000001</v>
      </c>
    </row>
    <row r="722" spans="1:3">
      <c r="A722" s="184" t="s">
        <v>2154</v>
      </c>
      <c r="B722" s="184">
        <v>21.120606460000001</v>
      </c>
      <c r="C722" s="184">
        <v>-101.71282960000001</v>
      </c>
    </row>
    <row r="723" spans="1:3">
      <c r="A723" s="184" t="s">
        <v>2156</v>
      </c>
      <c r="B723" s="184">
        <v>21.069668440000001</v>
      </c>
      <c r="C723" s="184">
        <v>-101.7226051</v>
      </c>
    </row>
    <row r="724" spans="1:3">
      <c r="A724" s="184" t="s">
        <v>2158</v>
      </c>
      <c r="B724" s="184">
        <v>20.747353230000002</v>
      </c>
      <c r="C724" s="184">
        <v>-101.60841139999999</v>
      </c>
    </row>
    <row r="725" spans="1:3">
      <c r="A725" s="184" t="s">
        <v>2161</v>
      </c>
      <c r="B725" s="184">
        <v>20.65289091</v>
      </c>
      <c r="C725" s="184">
        <v>-101.5157277</v>
      </c>
    </row>
    <row r="726" spans="1:3">
      <c r="A726" s="184" t="s">
        <v>2164</v>
      </c>
      <c r="B726" s="184">
        <v>20.351693600000001</v>
      </c>
      <c r="C726" s="184">
        <v>-101.5984804</v>
      </c>
    </row>
    <row r="727" spans="1:3">
      <c r="A727" s="184" t="s">
        <v>2166</v>
      </c>
      <c r="B727" s="184">
        <v>20.09866435</v>
      </c>
      <c r="C727" s="184">
        <v>-100.827744</v>
      </c>
    </row>
    <row r="728" spans="1:3">
      <c r="A728" s="184" t="s">
        <v>2168</v>
      </c>
      <c r="B728" s="184">
        <v>20.48745941</v>
      </c>
      <c r="C728" s="184">
        <v>-100.65318600000001</v>
      </c>
    </row>
    <row r="729" spans="1:3">
      <c r="A729" s="184" t="s">
        <v>2170</v>
      </c>
      <c r="B729" s="184">
        <v>20.46765289</v>
      </c>
      <c r="C729" s="184">
        <v>-100.8255319</v>
      </c>
    </row>
    <row r="730" spans="1:3">
      <c r="A730" s="184" t="s">
        <v>2172</v>
      </c>
      <c r="B730" s="184">
        <v>20.555624829999999</v>
      </c>
      <c r="C730" s="184">
        <v>-100.8921593</v>
      </c>
    </row>
    <row r="731" spans="1:3">
      <c r="A731" s="184" t="s">
        <v>2175</v>
      </c>
      <c r="B731" s="184">
        <v>20.46231702</v>
      </c>
      <c r="C731" s="184">
        <v>-101.03946240000001</v>
      </c>
    </row>
    <row r="732" spans="1:3">
      <c r="A732" s="184" t="s">
        <v>2178</v>
      </c>
      <c r="B732" s="184">
        <v>21.208079810000001</v>
      </c>
      <c r="C732" s="184">
        <v>-100.925414</v>
      </c>
    </row>
    <row r="733" spans="1:3">
      <c r="A733" s="184" t="s">
        <v>2181</v>
      </c>
      <c r="B733" s="184">
        <v>20.932678280000001</v>
      </c>
      <c r="C733" s="184">
        <v>-101.2800589</v>
      </c>
    </row>
    <row r="734" spans="1:3">
      <c r="A734" s="184" t="s">
        <v>2184</v>
      </c>
      <c r="B734" s="184">
        <v>20.955587250000001</v>
      </c>
      <c r="C734" s="184">
        <v>-101.3187064</v>
      </c>
    </row>
    <row r="735" spans="1:3">
      <c r="A735" s="184" t="s">
        <v>2186</v>
      </c>
      <c r="B735" s="184">
        <v>21.038246829999999</v>
      </c>
      <c r="C735" s="184">
        <v>-101.2602997</v>
      </c>
    </row>
    <row r="736" spans="1:3">
      <c r="A736" s="184" t="s">
        <v>2188</v>
      </c>
      <c r="B736" s="184">
        <v>20.401127540000001</v>
      </c>
      <c r="C736" s="184">
        <v>-101.4856786</v>
      </c>
    </row>
    <row r="737" spans="1:3">
      <c r="A737" s="184" t="s">
        <v>2190</v>
      </c>
      <c r="B737" s="184">
        <v>20.723533459999999</v>
      </c>
      <c r="C737" s="184">
        <v>-101.3697372</v>
      </c>
    </row>
    <row r="738" spans="1:3">
      <c r="A738" s="184" t="s">
        <v>2192</v>
      </c>
      <c r="B738" s="184">
        <v>20.800832700000001</v>
      </c>
      <c r="C738" s="184">
        <v>-101.3304236</v>
      </c>
    </row>
    <row r="739" spans="1:3">
      <c r="A739" s="184" t="s">
        <v>2195</v>
      </c>
      <c r="B739" s="184">
        <v>20.738144739999999</v>
      </c>
      <c r="C739" s="184">
        <v>-101.33863100000001</v>
      </c>
    </row>
    <row r="740" spans="1:3">
      <c r="A740" s="184" t="s">
        <v>2198</v>
      </c>
      <c r="B740" s="184">
        <v>20.623347750000001</v>
      </c>
      <c r="C740" s="184">
        <v>-101.28034940000001</v>
      </c>
    </row>
    <row r="741" spans="1:3">
      <c r="A741" s="184" t="s">
        <v>2201</v>
      </c>
      <c r="B741" s="184">
        <v>20.66103378</v>
      </c>
      <c r="C741" s="184">
        <v>-101.4599699</v>
      </c>
    </row>
    <row r="742" spans="1:3">
      <c r="A742" s="184" t="s">
        <v>2203</v>
      </c>
      <c r="B742" s="184">
        <v>20.608099979999999</v>
      </c>
      <c r="C742" s="184">
        <v>-101.46722080000001</v>
      </c>
    </row>
    <row r="743" spans="1:3">
      <c r="A743" s="184" t="s">
        <v>2204</v>
      </c>
      <c r="B743" s="184">
        <v>20.541519409999999</v>
      </c>
      <c r="C743" s="184">
        <v>-101.4831351</v>
      </c>
    </row>
    <row r="744" spans="1:3">
      <c r="A744" s="184" t="s">
        <v>2206</v>
      </c>
      <c r="B744" s="184">
        <v>20.76129972</v>
      </c>
      <c r="C744" s="184">
        <v>-101.3422624</v>
      </c>
    </row>
    <row r="745" spans="1:3">
      <c r="A745" s="184" t="s">
        <v>2209</v>
      </c>
      <c r="B745" s="184">
        <v>20.68923642</v>
      </c>
      <c r="C745" s="184">
        <v>-101.2952829</v>
      </c>
    </row>
    <row r="746" spans="1:3">
      <c r="A746" s="184" t="s">
        <v>2211</v>
      </c>
      <c r="B746" s="184">
        <v>20.745445700000001</v>
      </c>
      <c r="C746" s="184">
        <v>-101.3011855</v>
      </c>
    </row>
    <row r="747" spans="1:3">
      <c r="A747" s="184" t="s">
        <v>2213</v>
      </c>
      <c r="B747" s="184">
        <v>20.077906970000001</v>
      </c>
      <c r="C747" s="184">
        <v>-100.4503704</v>
      </c>
    </row>
    <row r="748" spans="1:3">
      <c r="A748" s="184" t="s">
        <v>2216</v>
      </c>
      <c r="B748" s="184">
        <v>21.08300393</v>
      </c>
      <c r="C748" s="184">
        <v>-101.5184587</v>
      </c>
    </row>
    <row r="749" spans="1:3">
      <c r="A749" s="184" t="s">
        <v>2218</v>
      </c>
      <c r="B749" s="184">
        <v>21.047908849999999</v>
      </c>
      <c r="C749" s="184">
        <v>-101.5701669</v>
      </c>
    </row>
    <row r="750" spans="1:3">
      <c r="A750" s="184" t="s">
        <v>2219</v>
      </c>
      <c r="B750" s="184">
        <v>21.071182289999999</v>
      </c>
      <c r="C750" s="184">
        <v>-101.5494346</v>
      </c>
    </row>
    <row r="751" spans="1:3">
      <c r="A751" s="184" t="s">
        <v>2222</v>
      </c>
      <c r="B751" s="184">
        <v>20.956988389999999</v>
      </c>
      <c r="C751" s="184">
        <v>-101.6377098</v>
      </c>
    </row>
    <row r="752" spans="1:3">
      <c r="A752" s="184" t="s">
        <v>2223</v>
      </c>
      <c r="B752" s="184">
        <v>21.039609370000001</v>
      </c>
      <c r="C752" s="184">
        <v>-101.76864380000001</v>
      </c>
    </row>
    <row r="753" spans="1:3">
      <c r="A753" s="184" t="s">
        <v>2225</v>
      </c>
      <c r="B753" s="184">
        <v>21.02140619</v>
      </c>
      <c r="C753" s="184">
        <v>-101.6453985</v>
      </c>
    </row>
    <row r="754" spans="1:3">
      <c r="A754" s="184" t="s">
        <v>2228</v>
      </c>
      <c r="B754" s="184">
        <v>21.076322170000001</v>
      </c>
      <c r="C754" s="184">
        <v>-101.6107693</v>
      </c>
    </row>
    <row r="755" spans="1:3">
      <c r="A755" s="184" t="s">
        <v>2230</v>
      </c>
      <c r="B755" s="184">
        <v>21.024414579999998</v>
      </c>
      <c r="C755" s="184">
        <v>-101.5408924</v>
      </c>
    </row>
    <row r="756" spans="1:3">
      <c r="A756" s="184" t="s">
        <v>2233</v>
      </c>
      <c r="B756" s="184">
        <v>20.137920059999999</v>
      </c>
      <c r="C756" s="184">
        <v>-101.2571657</v>
      </c>
    </row>
    <row r="757" spans="1:3">
      <c r="A757" s="184" t="s">
        <v>2236</v>
      </c>
      <c r="B757" s="184">
        <v>20.284410260000001</v>
      </c>
      <c r="C757" s="184">
        <v>-101.6347494</v>
      </c>
    </row>
    <row r="758" spans="1:3">
      <c r="A758" s="184" t="s">
        <v>2239</v>
      </c>
      <c r="B758" s="184">
        <v>20.237477349999999</v>
      </c>
      <c r="C758" s="184">
        <v>-101.90048280000001</v>
      </c>
    </row>
    <row r="759" spans="1:3">
      <c r="A759" s="184" t="s">
        <v>2242</v>
      </c>
      <c r="B759" s="184">
        <v>20.506776349999999</v>
      </c>
      <c r="C759" s="184">
        <v>-101.6304117</v>
      </c>
    </row>
    <row r="760" spans="1:3">
      <c r="A760" s="184" t="s">
        <v>2245</v>
      </c>
      <c r="B760" s="184">
        <v>20.292420180000001</v>
      </c>
      <c r="C760" s="184">
        <v>-101.8436731</v>
      </c>
    </row>
    <row r="761" spans="1:3">
      <c r="A761" s="184" t="s">
        <v>2248</v>
      </c>
      <c r="B761" s="184">
        <v>20.21496973</v>
      </c>
      <c r="C761" s="184">
        <v>-101.7326845</v>
      </c>
    </row>
    <row r="762" spans="1:3">
      <c r="A762" s="184" t="s">
        <v>2251</v>
      </c>
      <c r="B762" s="184">
        <v>20.35084895</v>
      </c>
      <c r="C762" s="184">
        <v>-101.6737881</v>
      </c>
    </row>
    <row r="763" spans="1:3">
      <c r="A763" s="184" t="s">
        <v>2253</v>
      </c>
      <c r="B763" s="184">
        <v>20.301319459999998</v>
      </c>
      <c r="C763" s="184">
        <v>-101.79146849999999</v>
      </c>
    </row>
    <row r="764" spans="1:3">
      <c r="A764" s="184" t="s">
        <v>2255</v>
      </c>
      <c r="B764" s="184">
        <v>20.970220390000001</v>
      </c>
      <c r="C764" s="184">
        <v>-101.86742719999999</v>
      </c>
    </row>
    <row r="765" spans="1:3">
      <c r="A765" s="184" t="s">
        <v>2258</v>
      </c>
      <c r="B765" s="184">
        <v>20.684058539999999</v>
      </c>
      <c r="C765" s="184">
        <v>-101.2625034</v>
      </c>
    </row>
    <row r="766" spans="1:3">
      <c r="A766" s="184" t="s">
        <v>2261</v>
      </c>
      <c r="B766" s="184">
        <v>20.516258310000001</v>
      </c>
      <c r="C766" s="184">
        <v>-101.18132060000001</v>
      </c>
    </row>
    <row r="767" spans="1:3">
      <c r="A767" s="184" t="s">
        <v>2264</v>
      </c>
      <c r="B767" s="184">
        <v>20.856417350000001</v>
      </c>
      <c r="C767" s="184">
        <v>-101.8579191</v>
      </c>
    </row>
    <row r="768" spans="1:3">
      <c r="A768" s="184" t="s">
        <v>2267</v>
      </c>
      <c r="B768" s="184">
        <v>20.966855859999999</v>
      </c>
      <c r="C768" s="184">
        <v>-101.85396919999999</v>
      </c>
    </row>
    <row r="769" spans="1:3">
      <c r="A769" s="184" t="s">
        <v>2269</v>
      </c>
      <c r="B769" s="184">
        <v>21.04382463</v>
      </c>
      <c r="C769" s="184">
        <v>-100.3215089</v>
      </c>
    </row>
    <row r="770" spans="1:3">
      <c r="A770" s="184" t="s">
        <v>2272</v>
      </c>
      <c r="B770" s="184">
        <v>21.01535324</v>
      </c>
      <c r="C770" s="184">
        <v>-100.31770539999999</v>
      </c>
    </row>
    <row r="771" spans="1:3">
      <c r="A771" s="184" t="s">
        <v>2275</v>
      </c>
      <c r="B771" s="184">
        <v>21.017975249999999</v>
      </c>
      <c r="C771" s="184">
        <v>-100.330592</v>
      </c>
    </row>
    <row r="772" spans="1:3">
      <c r="A772" s="184" t="s">
        <v>2277</v>
      </c>
      <c r="B772" s="184">
        <v>21.221254259999998</v>
      </c>
      <c r="C772" s="184">
        <v>-100.49748649999999</v>
      </c>
    </row>
    <row r="773" spans="1:3">
      <c r="A773" s="184" t="s">
        <v>2280</v>
      </c>
      <c r="B773" s="184">
        <v>20.58239356</v>
      </c>
      <c r="C773" s="184">
        <v>-100.91119550000001</v>
      </c>
    </row>
    <row r="774" spans="1:3">
      <c r="A774" s="184" t="s">
        <v>2283</v>
      </c>
      <c r="B774" s="184">
        <v>20.98662775</v>
      </c>
      <c r="C774" s="184">
        <v>-101.48837589999999</v>
      </c>
    </row>
    <row r="775" spans="1:3">
      <c r="A775" s="184" t="s">
        <v>2286</v>
      </c>
      <c r="B775" s="184">
        <v>21.038316699999999</v>
      </c>
      <c r="C775" s="184">
        <v>-101.4434808</v>
      </c>
    </row>
    <row r="776" spans="1:3">
      <c r="A776" s="184" t="s">
        <v>2289</v>
      </c>
      <c r="B776" s="184">
        <v>20.222762899999999</v>
      </c>
      <c r="C776" s="184">
        <v>-100.74027599999999</v>
      </c>
    </row>
    <row r="777" spans="1:3">
      <c r="A777" s="184" t="s">
        <v>2292</v>
      </c>
      <c r="B777" s="184">
        <v>20.191715139999999</v>
      </c>
      <c r="C777" s="184">
        <v>-100.7591242</v>
      </c>
    </row>
    <row r="778" spans="1:3">
      <c r="A778" s="184" t="s">
        <v>2294</v>
      </c>
      <c r="B778" s="184">
        <v>20.082647080000001</v>
      </c>
      <c r="C778" s="184">
        <v>-101.1273666</v>
      </c>
    </row>
    <row r="779" spans="1:3">
      <c r="A779" s="184" t="s">
        <v>2296</v>
      </c>
      <c r="B779" s="184">
        <v>20.38579142</v>
      </c>
      <c r="C779" s="184">
        <v>-101.19148610000001</v>
      </c>
    </row>
    <row r="780" spans="1:3">
      <c r="A780" s="184" t="s">
        <v>2299</v>
      </c>
      <c r="B780" s="184">
        <v>20.478598649999999</v>
      </c>
      <c r="C780" s="184">
        <v>-101.3434348</v>
      </c>
    </row>
    <row r="781" spans="1:3">
      <c r="A781" s="184" t="s">
        <v>2302</v>
      </c>
      <c r="B781" s="184">
        <v>20.378959389999999</v>
      </c>
      <c r="C781" s="184">
        <v>-101.27580399999999</v>
      </c>
    </row>
    <row r="782" spans="1:3">
      <c r="A782" s="184" t="s">
        <v>2305</v>
      </c>
      <c r="B782" s="184">
        <v>20.426674040000002</v>
      </c>
      <c r="C782" s="184">
        <v>-101.2960518</v>
      </c>
    </row>
    <row r="783" spans="1:3">
      <c r="A783" s="184" t="s">
        <v>2308</v>
      </c>
      <c r="B783" s="184">
        <v>20.389497129999999</v>
      </c>
      <c r="C783" s="184">
        <v>-101.3950605</v>
      </c>
    </row>
    <row r="784" spans="1:3">
      <c r="A784" s="184" t="s">
        <v>2311</v>
      </c>
      <c r="B784" s="184">
        <v>20.45050925</v>
      </c>
      <c r="C784" s="184">
        <v>-101.2955066</v>
      </c>
    </row>
    <row r="785" spans="1:3">
      <c r="A785" s="184" t="s">
        <v>2313</v>
      </c>
      <c r="B785" s="184">
        <v>20.426451620000002</v>
      </c>
      <c r="C785" s="184">
        <v>-101.20943459999999</v>
      </c>
    </row>
    <row r="786" spans="1:3">
      <c r="A786" s="184" t="s">
        <v>2316</v>
      </c>
      <c r="B786" s="184">
        <v>20.422842459999998</v>
      </c>
      <c r="C786" s="184">
        <v>-101.2758223</v>
      </c>
    </row>
    <row r="787" spans="1:3">
      <c r="A787" s="184" t="s">
        <v>2319</v>
      </c>
      <c r="B787" s="184">
        <v>20.528866610000001</v>
      </c>
      <c r="C787" s="184">
        <v>-101.0732014</v>
      </c>
    </row>
    <row r="788" spans="1:3">
      <c r="A788" s="184" t="s">
        <v>2322</v>
      </c>
      <c r="B788" s="184">
        <v>20.524020270000001</v>
      </c>
      <c r="C788" s="184">
        <v>-101.060552</v>
      </c>
    </row>
    <row r="789" spans="1:3">
      <c r="A789" s="184" t="s">
        <v>2325</v>
      </c>
      <c r="B789" s="184">
        <v>20.127868530000001</v>
      </c>
      <c r="C789" s="184">
        <v>-101.28864059999999</v>
      </c>
    </row>
    <row r="790" spans="1:3">
      <c r="A790" s="184" t="s">
        <v>2327</v>
      </c>
      <c r="B790" s="184">
        <v>20.02186352</v>
      </c>
      <c r="C790" s="184">
        <v>-100.7352927</v>
      </c>
    </row>
    <row r="791" spans="1:3">
      <c r="A791" s="184" t="s">
        <v>2329</v>
      </c>
      <c r="B791" s="184">
        <v>20.391654620000001</v>
      </c>
      <c r="C791" s="184">
        <v>-100.6272591</v>
      </c>
    </row>
    <row r="792" spans="1:3">
      <c r="A792" s="184" t="s">
        <v>2332</v>
      </c>
      <c r="B792" s="184">
        <v>20.747842970000001</v>
      </c>
      <c r="C792" s="184">
        <v>-101.8210469</v>
      </c>
    </row>
    <row r="793" spans="1:3">
      <c r="A793" s="184" t="s">
        <v>2334</v>
      </c>
      <c r="B793" s="184">
        <v>20.415889870000001</v>
      </c>
      <c r="C793" s="184">
        <v>-100.71472900000001</v>
      </c>
    </row>
    <row r="794" spans="1:3">
      <c r="A794" s="184" t="s">
        <v>2337</v>
      </c>
      <c r="B794" s="184">
        <v>20.442359570000001</v>
      </c>
      <c r="C794" s="184">
        <v>-100.7984458</v>
      </c>
    </row>
    <row r="795" spans="1:3">
      <c r="A795" s="184" t="s">
        <v>2339</v>
      </c>
      <c r="B795" s="184">
        <v>20.25447209</v>
      </c>
      <c r="C795" s="184">
        <v>-100.33506629999999</v>
      </c>
    </row>
    <row r="796" spans="1:3">
      <c r="A796" s="184" t="s">
        <v>2343</v>
      </c>
      <c r="B796" s="184">
        <v>21.119670079999999</v>
      </c>
      <c r="C796" s="184">
        <v>-100.7874873</v>
      </c>
    </row>
    <row r="797" spans="1:3">
      <c r="A797" s="184" t="s">
        <v>2346</v>
      </c>
      <c r="B797" s="184">
        <v>21.245079929999999</v>
      </c>
      <c r="C797" s="184">
        <v>-100.8893126</v>
      </c>
    </row>
    <row r="798" spans="1:3">
      <c r="A798" s="184" t="s">
        <v>2349</v>
      </c>
      <c r="B798" s="184">
        <v>21.61544331</v>
      </c>
      <c r="C798" s="184">
        <v>-101.4306916</v>
      </c>
    </row>
    <row r="799" spans="1:3">
      <c r="A799" s="184" t="s">
        <v>2351</v>
      </c>
      <c r="B799" s="184">
        <v>20.221389949999999</v>
      </c>
      <c r="C799" s="184">
        <v>-101.7964077</v>
      </c>
    </row>
    <row r="800" spans="1:3">
      <c r="A800" s="184" t="s">
        <v>2353</v>
      </c>
      <c r="B800" s="184">
        <v>20.882967149999999</v>
      </c>
      <c r="C800" s="184">
        <v>-101.66304700000001</v>
      </c>
    </row>
    <row r="801" spans="1:3">
      <c r="A801" s="184" t="s">
        <v>2357</v>
      </c>
      <c r="B801" s="184">
        <v>20.484988739999999</v>
      </c>
      <c r="C801" s="184">
        <v>-101.2559179</v>
      </c>
    </row>
    <row r="802" spans="1:3">
      <c r="A802" s="184" t="s">
        <v>2360</v>
      </c>
      <c r="B802" s="184">
        <v>21.446804279999998</v>
      </c>
      <c r="C802" s="184">
        <v>-101.1257363</v>
      </c>
    </row>
    <row r="803" spans="1:3">
      <c r="A803" s="184" t="s">
        <v>2363</v>
      </c>
      <c r="B803" s="184">
        <v>20.90615395</v>
      </c>
      <c r="C803" s="184">
        <v>-101.47936249999999</v>
      </c>
    </row>
    <row r="804" spans="1:3">
      <c r="A804" s="184" t="s">
        <v>2366</v>
      </c>
      <c r="B804" s="184">
        <v>21.03631421</v>
      </c>
      <c r="C804" s="184">
        <v>-101.45580870000001</v>
      </c>
    </row>
    <row r="805" spans="1:3">
      <c r="A805" s="184" t="s">
        <v>2369</v>
      </c>
      <c r="B805" s="184">
        <v>20.952010430000001</v>
      </c>
      <c r="C805" s="184">
        <v>-101.4973439</v>
      </c>
    </row>
    <row r="806" spans="1:3">
      <c r="A806" s="184" t="s">
        <v>2372</v>
      </c>
      <c r="B806" s="184">
        <v>20.233480230000001</v>
      </c>
      <c r="C806" s="184">
        <v>-100.7818568</v>
      </c>
    </row>
    <row r="807" spans="1:3">
      <c r="A807" s="184" t="s">
        <v>2375</v>
      </c>
      <c r="B807" s="184">
        <v>20.364829010000001</v>
      </c>
      <c r="C807" s="184">
        <v>-100.6848105</v>
      </c>
    </row>
    <row r="808" spans="1:3">
      <c r="A808" s="184" t="s">
        <v>2378</v>
      </c>
      <c r="B808" s="184">
        <v>20.10057363</v>
      </c>
      <c r="C808" s="184">
        <v>-101.1597113</v>
      </c>
    </row>
    <row r="809" spans="1:3">
      <c r="A809" s="184" t="s">
        <v>2380</v>
      </c>
      <c r="B809" s="184">
        <v>20.27826542</v>
      </c>
      <c r="C809" s="184">
        <v>-101.3576224</v>
      </c>
    </row>
    <row r="810" spans="1:3">
      <c r="A810" s="184" t="s">
        <v>2382</v>
      </c>
      <c r="B810" s="184">
        <v>20.504606460000002</v>
      </c>
      <c r="C810" s="184">
        <v>-100.63036750000001</v>
      </c>
    </row>
    <row r="811" spans="1:3">
      <c r="A811" s="184" t="s">
        <v>2384</v>
      </c>
      <c r="B811" s="184">
        <v>20.670329899999999</v>
      </c>
      <c r="C811" s="184">
        <v>-101.84973460000001</v>
      </c>
    </row>
    <row r="812" spans="1:3">
      <c r="A812" s="184" t="s">
        <v>2387</v>
      </c>
      <c r="B812" s="184">
        <v>20.45439588</v>
      </c>
      <c r="C812" s="184">
        <v>-101.0063663</v>
      </c>
    </row>
    <row r="813" spans="1:3">
      <c r="A813" s="184" t="s">
        <v>2390</v>
      </c>
      <c r="B813" s="184">
        <v>21.020015440000002</v>
      </c>
      <c r="C813" s="184">
        <v>-101.2534565</v>
      </c>
    </row>
    <row r="814" spans="1:3">
      <c r="A814" s="184" t="s">
        <v>2391</v>
      </c>
      <c r="B814" s="184">
        <v>21.10977596</v>
      </c>
      <c r="C814" s="184">
        <v>-101.6302282</v>
      </c>
    </row>
    <row r="815" spans="1:3">
      <c r="A815" s="184" t="s">
        <v>2393</v>
      </c>
      <c r="B815" s="184">
        <v>20.324603310000001</v>
      </c>
      <c r="C815" s="184">
        <v>-101.8519652</v>
      </c>
    </row>
    <row r="816" spans="1:3">
      <c r="A816" s="184" t="s">
        <v>2395</v>
      </c>
      <c r="B816" s="184">
        <v>20.227351909999999</v>
      </c>
      <c r="C816" s="184">
        <v>-101.832071</v>
      </c>
    </row>
    <row r="817" spans="1:3">
      <c r="A817" s="184" t="s">
        <v>2397</v>
      </c>
      <c r="B817" s="184">
        <v>21.299206040000001</v>
      </c>
      <c r="C817" s="184">
        <v>-100.62388300000001</v>
      </c>
    </row>
    <row r="818" spans="1:3">
      <c r="A818" s="184" t="s">
        <v>2400</v>
      </c>
      <c r="B818" s="184">
        <v>20.520128939999999</v>
      </c>
      <c r="C818" s="184">
        <v>-101.3119793</v>
      </c>
    </row>
    <row r="819" spans="1:3">
      <c r="A819" s="184" t="s">
        <v>2403</v>
      </c>
      <c r="B819" s="184">
        <v>20.311966089999999</v>
      </c>
      <c r="C819" s="184">
        <v>-101.184293</v>
      </c>
    </row>
    <row r="820" spans="1:3">
      <c r="A820" s="184" t="s">
        <v>2405</v>
      </c>
      <c r="B820" s="184">
        <v>20.181722820000001</v>
      </c>
      <c r="C820" s="184">
        <v>-101.304768</v>
      </c>
    </row>
    <row r="821" spans="1:3">
      <c r="A821" s="184" t="s">
        <v>2407</v>
      </c>
      <c r="B821" s="184">
        <v>20.552544529999999</v>
      </c>
      <c r="C821" s="184">
        <v>-100.9428403</v>
      </c>
    </row>
    <row r="822" spans="1:3">
      <c r="A822" s="184" t="s">
        <v>2409</v>
      </c>
      <c r="B822" s="184">
        <v>20.62161613</v>
      </c>
      <c r="C822" s="184">
        <v>-101.5318031</v>
      </c>
    </row>
    <row r="823" spans="1:3">
      <c r="A823" s="184" t="s">
        <v>2412</v>
      </c>
      <c r="B823" s="184">
        <v>20.466949119999999</v>
      </c>
      <c r="C823" s="184">
        <v>-101.40226370000001</v>
      </c>
    </row>
    <row r="824" spans="1:3">
      <c r="A824" s="184" t="s">
        <v>2415</v>
      </c>
      <c r="B824" s="184">
        <v>20.462663760000002</v>
      </c>
      <c r="C824" s="184">
        <v>-101.4880271</v>
      </c>
    </row>
    <row r="825" spans="1:3">
      <c r="A825" s="184" t="s">
        <v>2417</v>
      </c>
      <c r="B825" s="184">
        <v>20.528138739999999</v>
      </c>
      <c r="C825" s="184">
        <v>-101.5971387</v>
      </c>
    </row>
    <row r="826" spans="1:3">
      <c r="A826" s="184" t="s">
        <v>2419</v>
      </c>
      <c r="B826" s="184">
        <v>20.92722341</v>
      </c>
      <c r="C826" s="184">
        <v>-100.7458513</v>
      </c>
    </row>
    <row r="827" spans="1:3">
      <c r="A827" s="184" t="s">
        <v>2421</v>
      </c>
      <c r="B827" s="184">
        <v>20.555665699999999</v>
      </c>
      <c r="C827" s="184">
        <v>-100.6862277</v>
      </c>
    </row>
    <row r="828" spans="1:3">
      <c r="A828" s="184" t="s">
        <v>2424</v>
      </c>
      <c r="B828" s="184">
        <v>20.77700454</v>
      </c>
      <c r="C828" s="184">
        <v>-101.8633442</v>
      </c>
    </row>
    <row r="829" spans="1:3">
      <c r="A829" s="184" t="s">
        <v>2426</v>
      </c>
      <c r="B829" s="184">
        <v>20.0895303</v>
      </c>
      <c r="C829" s="184">
        <v>-100.7515003</v>
      </c>
    </row>
    <row r="830" spans="1:3">
      <c r="A830" s="184" t="s">
        <v>2428</v>
      </c>
      <c r="B830" s="184">
        <v>20.33322368</v>
      </c>
      <c r="C830" s="184">
        <v>-101.4766655</v>
      </c>
    </row>
    <row r="831" spans="1:3">
      <c r="A831" s="184" t="s">
        <v>2430</v>
      </c>
      <c r="B831" s="184">
        <v>21.088457389999999</v>
      </c>
      <c r="C831" s="184">
        <v>-101.6903023</v>
      </c>
    </row>
    <row r="832" spans="1:3">
      <c r="A832" s="184" t="s">
        <v>2432</v>
      </c>
      <c r="B832" s="184">
        <v>20.366213550000001</v>
      </c>
      <c r="C832" s="184">
        <v>-101.8070767</v>
      </c>
    </row>
    <row r="833" spans="1:3">
      <c r="A833" s="184" t="s">
        <v>2435</v>
      </c>
      <c r="B833" s="184">
        <v>20.39914301</v>
      </c>
      <c r="C833" s="184">
        <v>-102.02305629999999</v>
      </c>
    </row>
    <row r="834" spans="1:3">
      <c r="A834" s="184" t="s">
        <v>2438</v>
      </c>
      <c r="B834" s="184">
        <v>20.082949549999999</v>
      </c>
      <c r="C834" s="184">
        <v>-100.83080630000001</v>
      </c>
    </row>
    <row r="835" spans="1:3">
      <c r="A835" s="184" t="s">
        <v>2441</v>
      </c>
      <c r="B835" s="184">
        <v>20.884245190000001</v>
      </c>
      <c r="C835" s="184">
        <v>-101.97977760000001</v>
      </c>
    </row>
    <row r="836" spans="1:3">
      <c r="A836" s="184" t="s">
        <v>2444</v>
      </c>
      <c r="B836" s="184">
        <v>20.686293209999999</v>
      </c>
      <c r="C836" s="184">
        <v>-101.1177818</v>
      </c>
    </row>
    <row r="837" spans="1:3">
      <c r="A837" s="184" t="s">
        <v>2446</v>
      </c>
      <c r="B837" s="184">
        <v>20.110925040000001</v>
      </c>
      <c r="C837" s="184">
        <v>-100.920356</v>
      </c>
    </row>
    <row r="838" spans="1:3">
      <c r="A838" s="184" t="s">
        <v>2448</v>
      </c>
      <c r="B838" s="184">
        <v>20.20897209</v>
      </c>
      <c r="C838" s="184">
        <v>-100.8818508</v>
      </c>
    </row>
    <row r="839" spans="1:3">
      <c r="A839" s="184" t="s">
        <v>2450</v>
      </c>
      <c r="B839" s="184">
        <v>21.486168209999999</v>
      </c>
      <c r="C839" s="184">
        <v>-100.7221029</v>
      </c>
    </row>
    <row r="840" spans="1:3">
      <c r="A840" s="184" t="s">
        <v>2453</v>
      </c>
      <c r="B840" s="184">
        <v>20.661783339999999</v>
      </c>
      <c r="C840" s="184">
        <v>-100.9972382</v>
      </c>
    </row>
    <row r="841" spans="1:3">
      <c r="A841" s="184" t="s">
        <v>2454</v>
      </c>
      <c r="B841" s="184">
        <v>20.691262170000002</v>
      </c>
      <c r="C841" s="184">
        <v>-101.2150206</v>
      </c>
    </row>
    <row r="842" spans="1:3">
      <c r="A842" s="184" t="s">
        <v>2457</v>
      </c>
      <c r="B842" s="184">
        <v>20.2144355</v>
      </c>
      <c r="C842" s="184">
        <v>-100.87160849999999</v>
      </c>
    </row>
    <row r="843" spans="1:3">
      <c r="A843" s="184" t="s">
        <v>2458</v>
      </c>
      <c r="B843" s="184">
        <v>20.560269739999999</v>
      </c>
      <c r="C843" s="184">
        <v>-100.556438</v>
      </c>
    </row>
    <row r="844" spans="1:3">
      <c r="A844" s="184" t="s">
        <v>2461</v>
      </c>
      <c r="B844" s="184">
        <v>20.58139006</v>
      </c>
      <c r="C844" s="184">
        <v>-100.4929454</v>
      </c>
    </row>
    <row r="845" spans="1:3">
      <c r="A845" s="184" t="s">
        <v>2464</v>
      </c>
      <c r="B845" s="184">
        <v>20.55334148</v>
      </c>
      <c r="C845" s="184">
        <v>-100.5172357</v>
      </c>
    </row>
    <row r="846" spans="1:3">
      <c r="A846" s="184" t="s">
        <v>2467</v>
      </c>
      <c r="B846" s="184">
        <v>20.780430490000001</v>
      </c>
      <c r="C846" s="184">
        <v>-101.3595452</v>
      </c>
    </row>
    <row r="847" spans="1:3">
      <c r="A847" s="184" t="s">
        <v>2470</v>
      </c>
      <c r="B847" s="184">
        <v>21.28955513</v>
      </c>
      <c r="C847" s="184">
        <v>-100.7042424</v>
      </c>
    </row>
    <row r="848" spans="1:3">
      <c r="A848" s="184" t="s">
        <v>2473</v>
      </c>
      <c r="B848" s="184">
        <v>20.822735439999999</v>
      </c>
      <c r="C848" s="184">
        <v>-100.8297541</v>
      </c>
    </row>
    <row r="849" spans="1:3">
      <c r="A849" s="184" t="s">
        <v>2475</v>
      </c>
      <c r="B849" s="184">
        <v>21.603618340000001</v>
      </c>
      <c r="C849" s="184">
        <v>-101.1513758</v>
      </c>
    </row>
    <row r="850" spans="1:3">
      <c r="A850" s="184" t="s">
        <v>2478</v>
      </c>
      <c r="B850" s="184">
        <v>20.47633759</v>
      </c>
      <c r="C850" s="184">
        <v>-101.19969759999999</v>
      </c>
    </row>
    <row r="851" spans="1:3">
      <c r="A851" s="184" t="s">
        <v>2480</v>
      </c>
      <c r="B851" s="184">
        <v>20.55270994</v>
      </c>
      <c r="C851" s="184">
        <v>-101.231585</v>
      </c>
    </row>
    <row r="852" spans="1:3">
      <c r="A852" s="184" t="s">
        <v>2483</v>
      </c>
      <c r="B852" s="184">
        <v>21.12977394</v>
      </c>
      <c r="C852" s="184">
        <v>-101.60038179999999</v>
      </c>
    </row>
    <row r="853" spans="1:3">
      <c r="A853" s="184" t="s">
        <v>2486</v>
      </c>
      <c r="B853" s="184">
        <v>21.115301670000001</v>
      </c>
      <c r="C853" s="184">
        <v>-101.58341710000001</v>
      </c>
    </row>
    <row r="854" spans="1:3">
      <c r="A854" s="184" t="s">
        <v>2488</v>
      </c>
      <c r="B854" s="184">
        <v>20.96110908</v>
      </c>
      <c r="C854" s="184">
        <v>-101.42285219999999</v>
      </c>
    </row>
    <row r="855" spans="1:3">
      <c r="A855" s="184" t="s">
        <v>2491</v>
      </c>
      <c r="B855" s="184">
        <v>20.507072999999998</v>
      </c>
      <c r="C855" s="184">
        <v>-100.81906480000001</v>
      </c>
    </row>
    <row r="856" spans="1:3">
      <c r="A856" s="184" t="s">
        <v>2492</v>
      </c>
      <c r="B856" s="184">
        <v>20.510590260000001</v>
      </c>
      <c r="C856" s="184">
        <v>-100.9563915</v>
      </c>
    </row>
    <row r="857" spans="1:3">
      <c r="A857" s="184" t="s">
        <v>2495</v>
      </c>
      <c r="B857" s="184">
        <v>20.667791170000001</v>
      </c>
      <c r="C857" s="184">
        <v>-101.3516884</v>
      </c>
    </row>
    <row r="858" spans="1:3">
      <c r="A858" s="184" t="s">
        <v>2497</v>
      </c>
      <c r="B858" s="184">
        <v>21.134483289999999</v>
      </c>
      <c r="C858" s="184">
        <v>-101.66036630000001</v>
      </c>
    </row>
    <row r="859" spans="1:3">
      <c r="A859" s="184" t="s">
        <v>2499</v>
      </c>
      <c r="B859" s="184">
        <v>21.176290779999999</v>
      </c>
      <c r="C859" s="184">
        <v>-101.66840620000001</v>
      </c>
    </row>
    <row r="860" spans="1:3">
      <c r="A860" s="184" t="s">
        <v>2501</v>
      </c>
      <c r="B860" s="184">
        <v>21.098964410000001</v>
      </c>
      <c r="C860" s="184">
        <v>-101.6767255</v>
      </c>
    </row>
    <row r="861" spans="1:3">
      <c r="A861" s="184" t="s">
        <v>2503</v>
      </c>
      <c r="B861" s="184">
        <v>21.121223740000001</v>
      </c>
      <c r="C861" s="184">
        <v>-101.7136612</v>
      </c>
    </row>
    <row r="862" spans="1:3">
      <c r="A862" s="184" t="s">
        <v>2505</v>
      </c>
      <c r="B862" s="184">
        <v>20.50375507</v>
      </c>
      <c r="C862" s="184">
        <v>-100.79816219999999</v>
      </c>
    </row>
    <row r="863" spans="1:3">
      <c r="A863" s="184" t="s">
        <v>2507</v>
      </c>
      <c r="B863" s="184">
        <v>20.664689330000002</v>
      </c>
      <c r="C863" s="184">
        <v>-101.3517744</v>
      </c>
    </row>
    <row r="864" spans="1:3">
      <c r="A864" s="184" t="s">
        <v>2509</v>
      </c>
      <c r="B864" s="184">
        <v>20.920741599999999</v>
      </c>
      <c r="C864" s="184">
        <v>-101.3985938</v>
      </c>
    </row>
    <row r="865" spans="1:3">
      <c r="A865" s="184" t="s">
        <v>2512</v>
      </c>
      <c r="B865" s="184">
        <v>20.58259704</v>
      </c>
      <c r="C865" s="184">
        <v>-100.83490980000001</v>
      </c>
    </row>
    <row r="866" spans="1:3">
      <c r="A866" s="184" t="s">
        <v>2515</v>
      </c>
      <c r="B866" s="184">
        <v>20.723478400000001</v>
      </c>
      <c r="C866" s="184">
        <v>-100.9019965</v>
      </c>
    </row>
    <row r="867" spans="1:3">
      <c r="A867" s="184" t="s">
        <v>2517</v>
      </c>
      <c r="B867" s="184">
        <v>20.377178109999999</v>
      </c>
      <c r="C867" s="184">
        <v>-101.1047581</v>
      </c>
    </row>
    <row r="868" spans="1:3">
      <c r="A868" s="184" t="s">
        <v>2520</v>
      </c>
      <c r="B868" s="184">
        <v>20.398973609999999</v>
      </c>
      <c r="C868" s="184">
        <v>-101.6967805</v>
      </c>
    </row>
    <row r="869" spans="1:3">
      <c r="A869" s="184" t="s">
        <v>2523</v>
      </c>
      <c r="B869" s="184">
        <v>20.939543969999999</v>
      </c>
      <c r="C869" s="184">
        <v>-101.41931030000001</v>
      </c>
    </row>
    <row r="870" spans="1:3">
      <c r="A870" s="184" t="s">
        <v>2525</v>
      </c>
      <c r="B870" s="184">
        <v>20.378021029999999</v>
      </c>
      <c r="C870" s="184">
        <v>-101.3180153</v>
      </c>
    </row>
    <row r="871" spans="1:3">
      <c r="A871" s="184" t="s">
        <v>2528</v>
      </c>
      <c r="B871" s="184">
        <v>20.552224389999999</v>
      </c>
      <c r="C871" s="184">
        <v>-101.0370698</v>
      </c>
    </row>
    <row r="872" spans="1:3">
      <c r="A872" s="184" t="s">
        <v>2530</v>
      </c>
      <c r="B872" s="184">
        <v>20.513106279999999</v>
      </c>
      <c r="C872" s="184">
        <v>-101.0062507</v>
      </c>
    </row>
    <row r="873" spans="1:3">
      <c r="A873" s="184" t="s">
        <v>2532</v>
      </c>
      <c r="B873" s="184">
        <v>20.556839180000001</v>
      </c>
      <c r="C873" s="184">
        <v>-100.64079359999999</v>
      </c>
    </row>
    <row r="874" spans="1:3">
      <c r="A874" s="184" t="s">
        <v>2535</v>
      </c>
      <c r="B874" s="184">
        <v>20.45136836</v>
      </c>
      <c r="C874" s="184">
        <v>-100.6076042</v>
      </c>
    </row>
    <row r="875" spans="1:3">
      <c r="A875" s="184" t="s">
        <v>2537</v>
      </c>
      <c r="B875" s="184">
        <v>20.514919190000001</v>
      </c>
      <c r="C875" s="184">
        <v>-100.6985315</v>
      </c>
    </row>
    <row r="876" spans="1:3">
      <c r="A876" s="184" t="s">
        <v>2540</v>
      </c>
      <c r="B876" s="184">
        <v>20.518779720000001</v>
      </c>
      <c r="C876" s="184">
        <v>-100.9223727</v>
      </c>
    </row>
    <row r="877" spans="1:3">
      <c r="A877" s="184" t="s">
        <v>2542</v>
      </c>
      <c r="B877" s="184">
        <v>21.046646760000002</v>
      </c>
      <c r="C877" s="184">
        <v>-101.8481094</v>
      </c>
    </row>
    <row r="878" spans="1:3">
      <c r="A878" s="184" t="s">
        <v>2544</v>
      </c>
      <c r="B878" s="184">
        <v>20.14618574</v>
      </c>
      <c r="C878" s="184">
        <v>-101.1642581</v>
      </c>
    </row>
    <row r="879" spans="1:3">
      <c r="A879" s="184" t="s">
        <v>2546</v>
      </c>
      <c r="B879" s="184">
        <v>20.398872399999998</v>
      </c>
      <c r="C879" s="184">
        <v>-101.20835599999999</v>
      </c>
    </row>
    <row r="880" spans="1:3">
      <c r="A880" s="184" t="s">
        <v>2548</v>
      </c>
      <c r="B880" s="184">
        <v>21.137937229999999</v>
      </c>
      <c r="C880" s="184">
        <v>-101.7490377</v>
      </c>
    </row>
    <row r="881" spans="1:3">
      <c r="A881" s="184" t="s">
        <v>2550</v>
      </c>
      <c r="B881" s="184">
        <v>20.654161980000001</v>
      </c>
      <c r="C881" s="184">
        <v>-100.5888769</v>
      </c>
    </row>
    <row r="882" spans="1:3">
      <c r="A882" s="184" t="s">
        <v>2553</v>
      </c>
      <c r="B882" s="184">
        <v>20.709561799999999</v>
      </c>
      <c r="C882" s="184">
        <v>-100.6349822</v>
      </c>
    </row>
    <row r="883" spans="1:3">
      <c r="A883" s="184" t="s">
        <v>2556</v>
      </c>
      <c r="B883" s="184">
        <v>21.062114189999999</v>
      </c>
      <c r="C883" s="184">
        <v>-101.6223675</v>
      </c>
    </row>
    <row r="884" spans="1:3">
      <c r="A884" s="184" t="s">
        <v>2558</v>
      </c>
      <c r="B884" s="184">
        <v>20.000412669999999</v>
      </c>
      <c r="C884" s="184">
        <v>-100.7650738</v>
      </c>
    </row>
    <row r="885" spans="1:3">
      <c r="A885" s="184" t="s">
        <v>2561</v>
      </c>
      <c r="B885" s="184">
        <v>20.909927410000002</v>
      </c>
      <c r="C885" s="184">
        <v>-100.76205640000001</v>
      </c>
    </row>
    <row r="886" spans="1:3">
      <c r="A886" s="184" t="s">
        <v>2564</v>
      </c>
      <c r="B886" s="184">
        <v>20.748779580000001</v>
      </c>
      <c r="C886" s="184">
        <v>-101.35958290000001</v>
      </c>
    </row>
    <row r="887" spans="1:3">
      <c r="A887" s="184" t="s">
        <v>2566</v>
      </c>
      <c r="B887" s="184">
        <v>20.580007139999999</v>
      </c>
      <c r="C887" s="184">
        <v>-101.2506369</v>
      </c>
    </row>
    <row r="888" spans="1:3">
      <c r="A888" s="184" t="s">
        <v>2569</v>
      </c>
      <c r="B888" s="184">
        <v>20.65159946</v>
      </c>
      <c r="C888" s="184">
        <v>-100.98847619999999</v>
      </c>
    </row>
    <row r="889" spans="1:3">
      <c r="A889" s="184" t="s">
        <v>2572</v>
      </c>
      <c r="B889" s="184">
        <v>20.639246669999999</v>
      </c>
      <c r="C889" s="184">
        <v>-100.8641518</v>
      </c>
    </row>
    <row r="890" spans="1:3">
      <c r="A890" s="184" t="s">
        <v>2574</v>
      </c>
      <c r="B890" s="184">
        <v>20.649306540000001</v>
      </c>
      <c r="C890" s="184">
        <v>-101.3291866</v>
      </c>
    </row>
    <row r="891" spans="1:3">
      <c r="A891" s="184" t="s">
        <v>2576</v>
      </c>
      <c r="B891" s="184">
        <v>20.029128589999999</v>
      </c>
      <c r="C891" s="184">
        <v>-100.86215660000001</v>
      </c>
    </row>
    <row r="892" spans="1:3">
      <c r="A892" s="184" t="s">
        <v>2578</v>
      </c>
      <c r="B892" s="184">
        <v>20.43348757</v>
      </c>
      <c r="C892" s="184">
        <v>-100.5790652</v>
      </c>
    </row>
    <row r="893" spans="1:3">
      <c r="A893" s="184" t="s">
        <v>2581</v>
      </c>
      <c r="B893" s="184">
        <v>21.142270509999999</v>
      </c>
      <c r="C893" s="184">
        <v>-100.8840907</v>
      </c>
    </row>
    <row r="894" spans="1:3">
      <c r="A894" s="184" t="s">
        <v>2583</v>
      </c>
      <c r="B894" s="184">
        <v>21.03111857</v>
      </c>
      <c r="C894" s="184">
        <v>-101.715316</v>
      </c>
    </row>
    <row r="895" spans="1:3">
      <c r="A895" s="184" t="s">
        <v>2586</v>
      </c>
      <c r="B895" s="184">
        <v>21.093682130000001</v>
      </c>
      <c r="C895" s="184">
        <v>-101.60455380000001</v>
      </c>
    </row>
    <row r="896" spans="1:3">
      <c r="A896" s="184" t="s">
        <v>2588</v>
      </c>
      <c r="B896" s="184">
        <v>21.516081740000001</v>
      </c>
      <c r="C896" s="184">
        <v>-100.7797503</v>
      </c>
    </row>
    <row r="897" spans="1:3">
      <c r="A897" s="184" t="s">
        <v>2591</v>
      </c>
      <c r="B897" s="184">
        <v>20.436768959999998</v>
      </c>
      <c r="C897" s="184">
        <v>-101.3099161</v>
      </c>
    </row>
    <row r="898" spans="1:3">
      <c r="A898" s="184" t="s">
        <v>2594</v>
      </c>
      <c r="B898" s="184">
        <v>20.416829</v>
      </c>
      <c r="C898" s="184">
        <v>-101.1201599</v>
      </c>
    </row>
    <row r="899" spans="1:3">
      <c r="A899" s="184" t="s">
        <v>2597</v>
      </c>
      <c r="B899" s="184">
        <v>20.560073769999999</v>
      </c>
      <c r="C899" s="184">
        <v>-100.95834170000001</v>
      </c>
    </row>
    <row r="900" spans="1:3">
      <c r="A900" s="184" t="s">
        <v>2600</v>
      </c>
      <c r="B900" s="184">
        <v>20.424915710000001</v>
      </c>
      <c r="C900" s="184">
        <v>-100.5938433</v>
      </c>
    </row>
    <row r="901" spans="1:3">
      <c r="A901" s="184" t="s">
        <v>2603</v>
      </c>
      <c r="B901" s="184">
        <v>20.534052190000001</v>
      </c>
      <c r="C901" s="184">
        <v>-100.70201539999999</v>
      </c>
    </row>
    <row r="902" spans="1:3">
      <c r="A902" s="184" t="s">
        <v>2606</v>
      </c>
      <c r="B902" s="184">
        <v>20.58326855</v>
      </c>
      <c r="C902" s="184">
        <v>-100.66892369999999</v>
      </c>
    </row>
    <row r="903" spans="1:3">
      <c r="A903" s="184" t="s">
        <v>2609</v>
      </c>
      <c r="B903" s="184">
        <v>20.477237030000001</v>
      </c>
      <c r="C903" s="184">
        <v>-100.9550993</v>
      </c>
    </row>
    <row r="904" spans="1:3">
      <c r="A904" s="184" t="s">
        <v>2611</v>
      </c>
      <c r="B904" s="184">
        <v>21.150404869999999</v>
      </c>
      <c r="C904" s="184">
        <v>-100.991702</v>
      </c>
    </row>
    <row r="905" spans="1:3">
      <c r="A905" s="184" t="s">
        <v>2614</v>
      </c>
      <c r="B905" s="184">
        <v>21.141083479999999</v>
      </c>
      <c r="C905" s="184">
        <v>-100.9097756</v>
      </c>
    </row>
    <row r="906" spans="1:3">
      <c r="A906" s="184" t="s">
        <v>2617</v>
      </c>
      <c r="B906" s="184">
        <v>20.970732890000001</v>
      </c>
      <c r="C906" s="184">
        <v>-101.2743289</v>
      </c>
    </row>
    <row r="907" spans="1:3">
      <c r="A907" s="184" t="s">
        <v>2620</v>
      </c>
      <c r="B907" s="184">
        <v>20.832434899999999</v>
      </c>
      <c r="C907" s="184">
        <v>-101.3387621</v>
      </c>
    </row>
    <row r="908" spans="1:3">
      <c r="A908" s="184" t="s">
        <v>2623</v>
      </c>
      <c r="B908" s="184">
        <v>21.008925399999999</v>
      </c>
      <c r="C908" s="184">
        <v>-101.6203677</v>
      </c>
    </row>
    <row r="909" spans="1:3">
      <c r="A909" s="184" t="s">
        <v>2625</v>
      </c>
      <c r="B909" s="184">
        <v>20.604788200000002</v>
      </c>
      <c r="C909" s="184">
        <v>-101.08250219999999</v>
      </c>
    </row>
    <row r="910" spans="1:3">
      <c r="A910" s="184" t="s">
        <v>2628</v>
      </c>
      <c r="B910" s="184">
        <v>20.98038081</v>
      </c>
      <c r="C910" s="184">
        <v>-101.4160459</v>
      </c>
    </row>
    <row r="911" spans="1:3">
      <c r="A911" s="184" t="s">
        <v>2631</v>
      </c>
      <c r="B911" s="184">
        <v>20.935116390000001</v>
      </c>
      <c r="C911" s="184">
        <v>-101.4208003</v>
      </c>
    </row>
    <row r="912" spans="1:3">
      <c r="A912" s="184" t="s">
        <v>2633</v>
      </c>
      <c r="B912" s="184">
        <v>21.323983949999999</v>
      </c>
      <c r="C912" s="184">
        <v>-99.946591900000001</v>
      </c>
    </row>
    <row r="913" spans="1:3">
      <c r="A913" s="184" t="s">
        <v>2636</v>
      </c>
      <c r="B913" s="184">
        <v>20.199858899999999</v>
      </c>
      <c r="C913" s="184">
        <v>-101.1388808</v>
      </c>
    </row>
    <row r="914" spans="1:3">
      <c r="A914" s="184" t="s">
        <v>2638</v>
      </c>
      <c r="B914" s="184">
        <v>20.218117110000001</v>
      </c>
      <c r="C914" s="184">
        <v>-101.3484196</v>
      </c>
    </row>
    <row r="915" spans="1:3">
      <c r="A915" s="184" t="s">
        <v>2641</v>
      </c>
      <c r="B915" s="184">
        <v>21.612633809999998</v>
      </c>
      <c r="C915" s="184">
        <v>-101.19069570000001</v>
      </c>
    </row>
    <row r="916" spans="1:3">
      <c r="A916" s="184" t="s">
        <v>2643</v>
      </c>
      <c r="B916" s="184">
        <v>20.696859079999999</v>
      </c>
      <c r="C916" s="184">
        <v>-101.9034327</v>
      </c>
    </row>
    <row r="917" spans="1:3">
      <c r="A917" s="184" t="s">
        <v>2646</v>
      </c>
      <c r="B917" s="184">
        <v>20.336591640000002</v>
      </c>
      <c r="C917" s="184">
        <v>-101.4989612</v>
      </c>
    </row>
    <row r="918" spans="1:3">
      <c r="A918" s="184" t="s">
        <v>2649</v>
      </c>
      <c r="B918" s="184">
        <v>20.75237388</v>
      </c>
      <c r="C918" s="184">
        <v>-101.36054059999999</v>
      </c>
    </row>
    <row r="919" spans="1:3">
      <c r="A919" s="184" t="s">
        <v>2652</v>
      </c>
      <c r="B919" s="184">
        <v>20.574526859999999</v>
      </c>
      <c r="C919" s="184">
        <v>-101.2643059</v>
      </c>
    </row>
    <row r="920" spans="1:3">
      <c r="A920" s="184" t="s">
        <v>2655</v>
      </c>
      <c r="B920" s="184">
        <v>20.57130476</v>
      </c>
      <c r="C920" s="184">
        <v>-101.2978852</v>
      </c>
    </row>
    <row r="921" spans="1:3">
      <c r="A921" s="184" t="s">
        <v>2658</v>
      </c>
      <c r="B921" s="184">
        <v>20.382647989999999</v>
      </c>
      <c r="C921" s="184">
        <v>-101.4098808</v>
      </c>
    </row>
    <row r="922" spans="1:3">
      <c r="A922" s="184" t="s">
        <v>2661</v>
      </c>
      <c r="B922" s="184">
        <v>20.29752388</v>
      </c>
      <c r="C922" s="184">
        <v>-101.3887713</v>
      </c>
    </row>
    <row r="923" spans="1:3">
      <c r="A923" s="184" t="s">
        <v>2663</v>
      </c>
      <c r="B923" s="184">
        <v>21.228565280000002</v>
      </c>
      <c r="C923" s="184">
        <v>-101.70548239999999</v>
      </c>
    </row>
    <row r="924" spans="1:3">
      <c r="A924" s="184" t="s">
        <v>2666</v>
      </c>
      <c r="B924" s="184">
        <v>20.985332759999999</v>
      </c>
      <c r="C924" s="184">
        <v>-101.90382649999999</v>
      </c>
    </row>
    <row r="925" spans="1:3">
      <c r="A925" s="184" t="s">
        <v>2668</v>
      </c>
      <c r="B925" s="184">
        <v>20.902624750000001</v>
      </c>
      <c r="C925" s="184">
        <v>-101.91790349999999</v>
      </c>
    </row>
    <row r="926" spans="1:3">
      <c r="A926" s="184" t="s">
        <v>2670</v>
      </c>
      <c r="B926" s="184">
        <v>20.629584210000001</v>
      </c>
      <c r="C926" s="184">
        <v>-100.64174490000001</v>
      </c>
    </row>
    <row r="927" spans="1:3">
      <c r="A927" s="184" t="s">
        <v>2673</v>
      </c>
      <c r="B927" s="184">
        <v>20.56447198</v>
      </c>
      <c r="C927" s="184">
        <v>-100.71048469999999</v>
      </c>
    </row>
    <row r="928" spans="1:3">
      <c r="A928" s="184" t="s">
        <v>2676</v>
      </c>
      <c r="B928" s="184">
        <v>20.537155439999999</v>
      </c>
      <c r="C928" s="184">
        <v>-100.6116657</v>
      </c>
    </row>
    <row r="929" spans="1:3">
      <c r="A929" s="184" t="s">
        <v>2678</v>
      </c>
      <c r="B929" s="184">
        <v>20.274367940000001</v>
      </c>
      <c r="C929" s="184">
        <v>-100.499815</v>
      </c>
    </row>
    <row r="930" spans="1:3">
      <c r="A930" s="184" t="s">
        <v>2681</v>
      </c>
      <c r="B930" s="184">
        <v>20.594668559999999</v>
      </c>
      <c r="C930" s="184">
        <v>-101.04187330000001</v>
      </c>
    </row>
    <row r="931" spans="1:3">
      <c r="A931" s="184" t="s">
        <v>2684</v>
      </c>
      <c r="B931" s="184">
        <v>20.53247614</v>
      </c>
      <c r="C931" s="184">
        <v>-101.02004599999999</v>
      </c>
    </row>
    <row r="932" spans="1:3">
      <c r="A932" s="184" t="s">
        <v>2687</v>
      </c>
      <c r="B932" s="184">
        <v>21.07147763</v>
      </c>
      <c r="C932" s="184">
        <v>-101.6321866</v>
      </c>
    </row>
    <row r="933" spans="1:3">
      <c r="A933" s="184" t="s">
        <v>2689</v>
      </c>
      <c r="B933" s="184">
        <v>21.4585273</v>
      </c>
      <c r="C933" s="184">
        <v>-101.2372518</v>
      </c>
    </row>
    <row r="934" spans="1:3">
      <c r="A934" s="184" t="s">
        <v>2692</v>
      </c>
      <c r="B934" s="184">
        <v>21.57009497</v>
      </c>
      <c r="C934" s="184">
        <v>-101.2638888</v>
      </c>
    </row>
    <row r="935" spans="1:3">
      <c r="A935" s="184" t="s">
        <v>2694</v>
      </c>
      <c r="B935" s="184">
        <v>20.87493272</v>
      </c>
      <c r="C935" s="184">
        <v>-101.4839309</v>
      </c>
    </row>
    <row r="936" spans="1:3">
      <c r="A936" s="184" t="s">
        <v>2697</v>
      </c>
      <c r="B936" s="184">
        <v>20.65226856</v>
      </c>
      <c r="C936" s="184">
        <v>-100.6244511</v>
      </c>
    </row>
    <row r="937" spans="1:3">
      <c r="A937" s="184" t="s">
        <v>2700</v>
      </c>
      <c r="B937" s="184">
        <v>21.10831718</v>
      </c>
      <c r="C937" s="184">
        <v>-101.5523402</v>
      </c>
    </row>
    <row r="938" spans="1:3">
      <c r="A938" s="184" t="s">
        <v>2702</v>
      </c>
      <c r="B938" s="184">
        <v>20.15720168</v>
      </c>
      <c r="C938" s="184">
        <v>-100.3698217</v>
      </c>
    </row>
    <row r="939" spans="1:3">
      <c r="A939" s="184" t="s">
        <v>2705</v>
      </c>
      <c r="B939" s="184">
        <v>21.252852990000001</v>
      </c>
      <c r="C939" s="184">
        <v>-99.921367540000006</v>
      </c>
    </row>
    <row r="940" spans="1:3">
      <c r="A940" s="184" t="s">
        <v>2707</v>
      </c>
      <c r="B940" s="184">
        <v>21.20867415</v>
      </c>
      <c r="C940" s="184">
        <v>-101.6733122</v>
      </c>
    </row>
    <row r="941" spans="1:3">
      <c r="A941" s="184" t="s">
        <v>2709</v>
      </c>
      <c r="B941" s="184">
        <v>20.42992486</v>
      </c>
      <c r="C941" s="184">
        <v>-101.3910556</v>
      </c>
    </row>
    <row r="942" spans="1:3">
      <c r="A942" s="184" t="s">
        <v>2711</v>
      </c>
      <c r="B942" s="184">
        <v>20.565194900000002</v>
      </c>
      <c r="C942" s="184">
        <v>-101.58989870000001</v>
      </c>
    </row>
    <row r="943" spans="1:3">
      <c r="A943" s="184" t="s">
        <v>2713</v>
      </c>
      <c r="B943" s="184">
        <v>20.724293759999998</v>
      </c>
      <c r="C943" s="184">
        <v>-101.6174802</v>
      </c>
    </row>
    <row r="944" spans="1:3">
      <c r="A944" s="184" t="s">
        <v>2716</v>
      </c>
      <c r="B944" s="184">
        <v>20.731960480000001</v>
      </c>
      <c r="C944" s="184">
        <v>-101.9094126</v>
      </c>
    </row>
    <row r="945" spans="1:3">
      <c r="A945" s="184" t="s">
        <v>2719</v>
      </c>
      <c r="B945" s="184">
        <v>20.743206570000002</v>
      </c>
      <c r="C945" s="184">
        <v>-101.907644</v>
      </c>
    </row>
    <row r="946" spans="1:3">
      <c r="A946" s="184" t="s">
        <v>2722</v>
      </c>
      <c r="B946" s="184">
        <v>20.35327332</v>
      </c>
      <c r="C946" s="184">
        <v>-101.52912139999999</v>
      </c>
    </row>
    <row r="947" spans="1:3">
      <c r="A947" s="184" t="s">
        <v>2725</v>
      </c>
      <c r="B947" s="184">
        <v>20.778344000000001</v>
      </c>
      <c r="C947" s="184">
        <v>-101.3347771</v>
      </c>
    </row>
    <row r="948" spans="1:3">
      <c r="A948" s="184" t="s">
        <v>2728</v>
      </c>
      <c r="B948" s="184">
        <v>20.409129289999999</v>
      </c>
      <c r="C948" s="184">
        <v>-101.7385546</v>
      </c>
    </row>
    <row r="949" spans="1:3">
      <c r="A949" s="184" t="s">
        <v>2731</v>
      </c>
      <c r="B949" s="184">
        <v>20.424963720000001</v>
      </c>
      <c r="C949" s="184">
        <v>-101.6944955</v>
      </c>
    </row>
    <row r="950" spans="1:3">
      <c r="A950" s="184" t="s">
        <v>2734</v>
      </c>
      <c r="B950" s="184">
        <v>20.574769400000001</v>
      </c>
      <c r="C950" s="184">
        <v>-101.19646520000001</v>
      </c>
    </row>
    <row r="951" spans="1:3">
      <c r="A951" s="184" t="s">
        <v>2737</v>
      </c>
      <c r="B951" s="184">
        <v>20.637371529999999</v>
      </c>
      <c r="C951" s="184">
        <v>-101.1257221</v>
      </c>
    </row>
    <row r="952" spans="1:3">
      <c r="A952" s="184" t="s">
        <v>2740</v>
      </c>
      <c r="B952" s="184">
        <v>20.557220229999999</v>
      </c>
      <c r="C952" s="184">
        <v>-101.18277519999999</v>
      </c>
    </row>
    <row r="953" spans="1:3">
      <c r="A953" s="184" t="s">
        <v>2742</v>
      </c>
      <c r="B953" s="184">
        <v>20.461020170000001</v>
      </c>
      <c r="C953" s="184">
        <v>-101.0762168</v>
      </c>
    </row>
    <row r="954" spans="1:3">
      <c r="A954" s="184" t="s">
        <v>2745</v>
      </c>
      <c r="B954" s="184">
        <v>21.147389329999999</v>
      </c>
      <c r="C954" s="184">
        <v>-101.60557350000001</v>
      </c>
    </row>
    <row r="955" spans="1:3">
      <c r="A955" s="184" t="s">
        <v>2748</v>
      </c>
      <c r="B955" s="184">
        <v>21.18071291</v>
      </c>
      <c r="C955" s="184">
        <v>-101.6583064</v>
      </c>
    </row>
    <row r="956" spans="1:3">
      <c r="A956" s="184" t="s">
        <v>2750</v>
      </c>
      <c r="B956" s="184">
        <v>21.030408699999999</v>
      </c>
      <c r="C956" s="184">
        <v>-101.7047306</v>
      </c>
    </row>
    <row r="957" spans="1:3">
      <c r="A957" s="184" t="s">
        <v>2752</v>
      </c>
      <c r="B957" s="184">
        <v>21.17569117</v>
      </c>
      <c r="C957" s="184">
        <v>-101.6740454</v>
      </c>
    </row>
    <row r="958" spans="1:3">
      <c r="A958" s="184" t="s">
        <v>2754</v>
      </c>
      <c r="B958" s="184">
        <v>21.046019130000001</v>
      </c>
      <c r="C958" s="184">
        <v>-101.795416</v>
      </c>
    </row>
    <row r="959" spans="1:3">
      <c r="A959" s="184" t="s">
        <v>2757</v>
      </c>
      <c r="B959" s="184">
        <v>20.974449589999999</v>
      </c>
      <c r="C959" s="184">
        <v>-100.7339319</v>
      </c>
    </row>
    <row r="960" spans="1:3">
      <c r="A960" s="184" t="s">
        <v>2760</v>
      </c>
      <c r="B960" s="184">
        <v>21.554667909999999</v>
      </c>
      <c r="C960" s="184">
        <v>-101.4066354</v>
      </c>
    </row>
    <row r="961" spans="1:3">
      <c r="A961" s="184" t="s">
        <v>2763</v>
      </c>
      <c r="B961" s="184">
        <v>21.03408422</v>
      </c>
      <c r="C961" s="184">
        <v>-100.35486299999999</v>
      </c>
    </row>
    <row r="962" spans="1:3">
      <c r="A962" s="184" t="s">
        <v>2765</v>
      </c>
      <c r="B962" s="184">
        <v>21.321072560000001</v>
      </c>
      <c r="C962" s="184">
        <v>-100.6254038</v>
      </c>
    </row>
    <row r="963" spans="1:3">
      <c r="A963" s="184" t="s">
        <v>2767</v>
      </c>
      <c r="B963" s="184">
        <v>20.468478829999999</v>
      </c>
      <c r="C963" s="184">
        <v>-100.5455381</v>
      </c>
    </row>
    <row r="964" spans="1:3">
      <c r="A964" s="184" t="s">
        <v>2769</v>
      </c>
      <c r="B964" s="184">
        <v>20.573080780000002</v>
      </c>
      <c r="C964" s="184">
        <v>-100.6215175</v>
      </c>
    </row>
    <row r="965" spans="1:3">
      <c r="A965" s="184" t="s">
        <v>2771</v>
      </c>
      <c r="B965" s="184">
        <v>20.6438782</v>
      </c>
      <c r="C965" s="184">
        <v>-100.6756602</v>
      </c>
    </row>
    <row r="966" spans="1:3">
      <c r="A966" s="184" t="s">
        <v>2774</v>
      </c>
      <c r="B966" s="184">
        <v>20.702618919999999</v>
      </c>
      <c r="C966" s="184">
        <v>-100.9154999</v>
      </c>
    </row>
    <row r="967" spans="1:3">
      <c r="A967" s="184" t="s">
        <v>2777</v>
      </c>
      <c r="B967" s="184">
        <v>20.416382840000001</v>
      </c>
      <c r="C967" s="184">
        <v>-100.8370595</v>
      </c>
    </row>
    <row r="968" spans="1:3">
      <c r="A968" s="184" t="s">
        <v>2780</v>
      </c>
      <c r="B968" s="184">
        <v>20.42729538</v>
      </c>
      <c r="C968" s="184">
        <v>-101.0716946</v>
      </c>
    </row>
    <row r="969" spans="1:3">
      <c r="A969" s="184" t="s">
        <v>2783</v>
      </c>
      <c r="B969" s="184">
        <v>20.967633429999999</v>
      </c>
      <c r="C969" s="184">
        <v>-101.30279539999999</v>
      </c>
    </row>
    <row r="970" spans="1:3">
      <c r="A970" s="184" t="s">
        <v>2786</v>
      </c>
      <c r="B970" s="184">
        <v>20.715529140000001</v>
      </c>
      <c r="C970" s="184">
        <v>-101.6877083</v>
      </c>
    </row>
    <row r="971" spans="1:3">
      <c r="A971" s="184" t="s">
        <v>2789</v>
      </c>
      <c r="B971" s="184">
        <v>21.006722010000001</v>
      </c>
      <c r="C971" s="184">
        <v>-101.4377174</v>
      </c>
    </row>
    <row r="972" spans="1:3">
      <c r="A972" s="184" t="s">
        <v>2791</v>
      </c>
      <c r="B972" s="184">
        <v>20.682049580000001</v>
      </c>
      <c r="C972" s="184">
        <v>-101.3285834</v>
      </c>
    </row>
    <row r="973" spans="1:3">
      <c r="A973" s="184" t="s">
        <v>2793</v>
      </c>
      <c r="B973" s="184">
        <v>21.26640845</v>
      </c>
      <c r="C973" s="184">
        <v>-99.720125780000004</v>
      </c>
    </row>
    <row r="974" spans="1:3">
      <c r="A974" s="184" t="s">
        <v>2795</v>
      </c>
      <c r="B974" s="184">
        <v>20.650812590000001</v>
      </c>
      <c r="C974" s="184">
        <v>-100.7093132</v>
      </c>
    </row>
    <row r="975" spans="1:3">
      <c r="A975" s="184" t="s">
        <v>2798</v>
      </c>
      <c r="B975" s="184">
        <v>20.469743189999999</v>
      </c>
      <c r="C975" s="184">
        <v>-101.6174293</v>
      </c>
    </row>
    <row r="976" spans="1:3">
      <c r="A976" s="184" t="s">
        <v>2801</v>
      </c>
      <c r="B976" s="184">
        <v>20.94987347</v>
      </c>
      <c r="C976" s="184">
        <v>-101.9081676</v>
      </c>
    </row>
    <row r="977" spans="1:3">
      <c r="A977" s="184" t="s">
        <v>2804</v>
      </c>
      <c r="B977" s="184">
        <v>20.131551129999998</v>
      </c>
      <c r="C977" s="184">
        <v>-101.1613323</v>
      </c>
    </row>
    <row r="978" spans="1:3">
      <c r="A978" s="184" t="s">
        <v>2806</v>
      </c>
      <c r="B978" s="184">
        <v>20.54668272</v>
      </c>
      <c r="C978" s="184">
        <v>-100.8064165</v>
      </c>
    </row>
    <row r="979" spans="1:3">
      <c r="A979" s="184" t="s">
        <v>2808</v>
      </c>
      <c r="B979" s="184">
        <v>20.484779700000001</v>
      </c>
      <c r="C979" s="184">
        <v>-101.16597539999999</v>
      </c>
    </row>
    <row r="980" spans="1:3">
      <c r="A980" s="184" t="s">
        <v>2811</v>
      </c>
      <c r="B980" s="184">
        <v>20.50446711</v>
      </c>
      <c r="C980" s="184">
        <v>-101.2058629</v>
      </c>
    </row>
    <row r="981" spans="1:3">
      <c r="A981" s="184" t="s">
        <v>2814</v>
      </c>
      <c r="B981" s="184">
        <v>20.056431669999998</v>
      </c>
      <c r="C981" s="184">
        <v>-100.99453200000001</v>
      </c>
    </row>
    <row r="982" spans="1:3">
      <c r="A982" s="184" t="s">
        <v>2817</v>
      </c>
      <c r="B982" s="184">
        <v>21.11902353</v>
      </c>
      <c r="C982" s="184">
        <v>-101.601595</v>
      </c>
    </row>
    <row r="983" spans="1:3">
      <c r="A983" s="184" t="s">
        <v>2819</v>
      </c>
      <c r="B983" s="184">
        <v>21.473535699999999</v>
      </c>
      <c r="C983" s="184">
        <v>-100.8687214</v>
      </c>
    </row>
    <row r="984" spans="1:3">
      <c r="A984" s="184" t="s">
        <v>2821</v>
      </c>
      <c r="B984" s="184">
        <v>20.95189182</v>
      </c>
      <c r="C984" s="184">
        <v>-100.6431695</v>
      </c>
    </row>
    <row r="985" spans="1:3">
      <c r="A985" s="184" t="s">
        <v>2824</v>
      </c>
      <c r="B985" s="184">
        <v>20.952450420000002</v>
      </c>
      <c r="C985" s="184">
        <v>-101.30142859999999</v>
      </c>
    </row>
    <row r="986" spans="1:3">
      <c r="A986" s="184" t="s">
        <v>2827</v>
      </c>
      <c r="B986" s="184">
        <v>20.37817008</v>
      </c>
      <c r="C986" s="184">
        <v>-101.211477</v>
      </c>
    </row>
    <row r="987" spans="1:3">
      <c r="A987" s="184" t="s">
        <v>2829</v>
      </c>
      <c r="B987" s="184">
        <v>20.859658400000001</v>
      </c>
      <c r="C987" s="184">
        <v>-101.0334057</v>
      </c>
    </row>
    <row r="988" spans="1:3">
      <c r="A988" s="184" t="s">
        <v>2831</v>
      </c>
      <c r="B988" s="184">
        <v>21.633255640000002</v>
      </c>
      <c r="C988" s="184">
        <v>-101.4064576</v>
      </c>
    </row>
    <row r="989" spans="1:3">
      <c r="A989" s="184" t="s">
        <v>2834</v>
      </c>
      <c r="B989" s="184">
        <v>21.131478609999998</v>
      </c>
      <c r="C989" s="184">
        <v>-100.01759269999999</v>
      </c>
    </row>
    <row r="990" spans="1:3">
      <c r="A990" s="184" t="s">
        <v>2836</v>
      </c>
      <c r="B990" s="184">
        <v>20.865006340000001</v>
      </c>
      <c r="C990" s="184">
        <v>-101.5248182</v>
      </c>
    </row>
    <row r="991" spans="1:3">
      <c r="A991" s="184" t="s">
        <v>2837</v>
      </c>
      <c r="B991" s="184">
        <v>21.316378100000001</v>
      </c>
      <c r="C991" s="184">
        <v>-100.5402093</v>
      </c>
    </row>
    <row r="992" spans="1:3">
      <c r="A992" s="184" t="s">
        <v>2840</v>
      </c>
      <c r="B992" s="184">
        <v>21.275898900000001</v>
      </c>
      <c r="C992" s="184">
        <v>-100.92085830000001</v>
      </c>
    </row>
    <row r="993" spans="1:3">
      <c r="A993" s="184" t="s">
        <v>2842</v>
      </c>
      <c r="B993" s="184">
        <v>21.09531278</v>
      </c>
      <c r="C993" s="184">
        <v>-101.67214180000001</v>
      </c>
    </row>
    <row r="994" spans="1:3">
      <c r="A994" s="184" t="s">
        <v>2844</v>
      </c>
      <c r="B994" s="184">
        <v>21.102947839999999</v>
      </c>
      <c r="C994" s="184">
        <v>-100.66249000000001</v>
      </c>
    </row>
    <row r="995" spans="1:3">
      <c r="A995" s="184" t="s">
        <v>2846</v>
      </c>
      <c r="B995" s="184">
        <v>21.192495999999998</v>
      </c>
      <c r="C995" s="184">
        <v>-100.90236779999999</v>
      </c>
    </row>
    <row r="996" spans="1:3">
      <c r="A996" s="184" t="s">
        <v>2849</v>
      </c>
      <c r="B996" s="184">
        <v>20.655154629999998</v>
      </c>
      <c r="C996" s="184">
        <v>-100.99680720000001</v>
      </c>
    </row>
    <row r="997" spans="1:3">
      <c r="A997" s="184" t="s">
        <v>2851</v>
      </c>
      <c r="B997" s="184">
        <v>21.584735299999998</v>
      </c>
      <c r="C997" s="184">
        <v>-101.15410749999999</v>
      </c>
    </row>
    <row r="998" spans="1:3">
      <c r="A998" s="184" t="s">
        <v>2853</v>
      </c>
      <c r="B998" s="184">
        <v>20.985835900000001</v>
      </c>
      <c r="C998" s="184">
        <v>-101.4851838</v>
      </c>
    </row>
    <row r="999" spans="1:3">
      <c r="A999" s="184" t="s">
        <v>2855</v>
      </c>
      <c r="B999" s="184">
        <v>21.190160049999999</v>
      </c>
      <c r="C999" s="184">
        <v>-101.6206213</v>
      </c>
    </row>
    <row r="1000" spans="1:3">
      <c r="A1000" s="184" t="s">
        <v>2858</v>
      </c>
      <c r="B1000" s="184">
        <v>21.13802548</v>
      </c>
      <c r="C1000" s="184">
        <v>-101.7491909</v>
      </c>
    </row>
    <row r="1001" spans="1:3">
      <c r="A1001" s="184" t="s">
        <v>2861</v>
      </c>
      <c r="B1001" s="184">
        <v>21.143215609999999</v>
      </c>
      <c r="C1001" s="184">
        <v>-101.7379876</v>
      </c>
    </row>
    <row r="1002" spans="1:3">
      <c r="A1002" s="184" t="s">
        <v>2863</v>
      </c>
      <c r="B1002" s="184">
        <v>21.113287</v>
      </c>
      <c r="C1002" s="184">
        <v>-101.5569172</v>
      </c>
    </row>
    <row r="1003" spans="1:3">
      <c r="A1003" s="184" t="s">
        <v>2866</v>
      </c>
      <c r="B1003" s="184">
        <v>21.061797689999999</v>
      </c>
      <c r="C1003" s="184">
        <v>-101.62122239999999</v>
      </c>
    </row>
    <row r="1004" spans="1:3">
      <c r="A1004" s="184" t="s">
        <v>2868</v>
      </c>
      <c r="B1004" s="184">
        <v>20.36494227</v>
      </c>
      <c r="C1004" s="184">
        <v>-100.46898729999999</v>
      </c>
    </row>
    <row r="1005" spans="1:3">
      <c r="A1005" s="184" t="s">
        <v>2871</v>
      </c>
      <c r="B1005" s="184">
        <v>20.723829460000001</v>
      </c>
      <c r="C1005" s="184">
        <v>-101.3722161</v>
      </c>
    </row>
    <row r="1006" spans="1:3">
      <c r="A1006" s="184" t="s">
        <v>2873</v>
      </c>
      <c r="B1006" s="184">
        <v>20.40116574</v>
      </c>
      <c r="C1006" s="184">
        <v>-100.6257215</v>
      </c>
    </row>
    <row r="1007" spans="1:3">
      <c r="A1007" s="184" t="s">
        <v>2876</v>
      </c>
      <c r="B1007" s="184">
        <v>20.96489004</v>
      </c>
      <c r="C1007" s="184">
        <v>-101.4206294</v>
      </c>
    </row>
    <row r="1008" spans="1:3">
      <c r="A1008" s="184" t="s">
        <v>2877</v>
      </c>
      <c r="B1008" s="184">
        <v>21.11538908</v>
      </c>
      <c r="C1008" s="184">
        <v>-101.5835335</v>
      </c>
    </row>
    <row r="1009" spans="1:3">
      <c r="A1009" s="184" t="s">
        <v>2880</v>
      </c>
      <c r="B1009" s="184">
        <v>20.603511699999999</v>
      </c>
      <c r="C1009" s="184">
        <v>-101.0836973</v>
      </c>
    </row>
    <row r="1010" spans="1:3">
      <c r="A1010" s="184" t="s">
        <v>2882</v>
      </c>
      <c r="B1010" s="184">
        <v>20.928921599999999</v>
      </c>
      <c r="C1010" s="184">
        <v>-100.75832320000001</v>
      </c>
    </row>
    <row r="1011" spans="1:3">
      <c r="A1011" s="184" t="s">
        <v>2884</v>
      </c>
      <c r="B1011" s="184">
        <v>21.613598459999999</v>
      </c>
      <c r="C1011" s="184">
        <v>-101.06870720000001</v>
      </c>
    </row>
    <row r="1012" spans="1:3">
      <c r="A1012" s="184" t="s">
        <v>2887</v>
      </c>
      <c r="B1012" s="184">
        <v>20.99929637</v>
      </c>
      <c r="C1012" s="184">
        <v>-101.6063955</v>
      </c>
    </row>
    <row r="1013" spans="1:3">
      <c r="A1013" s="184" t="s">
        <v>2889</v>
      </c>
      <c r="B1013" s="184">
        <v>21.071711130000001</v>
      </c>
      <c r="C1013" s="184">
        <v>-101.5488091</v>
      </c>
    </row>
    <row r="1014" spans="1:3">
      <c r="A1014" s="184" t="s">
        <v>2891</v>
      </c>
      <c r="B1014" s="184">
        <v>20.864844990000002</v>
      </c>
      <c r="C1014" s="184">
        <v>-101.5244811</v>
      </c>
    </row>
    <row r="1015" spans="1:3">
      <c r="A1015" s="184" t="s">
        <v>2893</v>
      </c>
      <c r="B1015" s="184">
        <v>21.185072040000001</v>
      </c>
      <c r="C1015" s="184">
        <v>-100.19996879999999</v>
      </c>
    </row>
    <row r="1016" spans="1:3">
      <c r="A1016" s="184" t="s">
        <v>2896</v>
      </c>
      <c r="B1016" s="184">
        <v>20.356132909999999</v>
      </c>
      <c r="C1016" s="184">
        <v>-101.7514862</v>
      </c>
    </row>
    <row r="1017" spans="1:3">
      <c r="A1017" s="184" t="s">
        <v>2899</v>
      </c>
      <c r="B1017" s="184">
        <v>20.664542839999999</v>
      </c>
      <c r="C1017" s="184">
        <v>-101.35176319999999</v>
      </c>
    </row>
    <row r="1018" spans="1:3">
      <c r="A1018" s="184" t="s">
        <v>2901</v>
      </c>
      <c r="B1018" s="184">
        <v>21.084418549999999</v>
      </c>
      <c r="C1018" s="184">
        <v>-101.5529892</v>
      </c>
    </row>
    <row r="1019" spans="1:3">
      <c r="A1019" s="184" t="s">
        <v>2904</v>
      </c>
      <c r="B1019" s="184">
        <v>20.660306680000001</v>
      </c>
      <c r="C1019" s="184">
        <v>-100.9958347</v>
      </c>
    </row>
    <row r="1020" spans="1:3">
      <c r="A1020" s="184" t="s">
        <v>2906</v>
      </c>
      <c r="B1020" s="184">
        <v>21.12842582</v>
      </c>
      <c r="C1020" s="184">
        <v>-101.71722490000001</v>
      </c>
    </row>
    <row r="1021" spans="1:3">
      <c r="A1021" s="184" t="s">
        <v>2908</v>
      </c>
      <c r="B1021" s="184">
        <v>20.911348719999999</v>
      </c>
      <c r="C1021" s="184">
        <v>-101.45480809999999</v>
      </c>
    </row>
    <row r="1022" spans="1:3">
      <c r="A1022" s="184" t="s">
        <v>2911</v>
      </c>
      <c r="B1022" s="184">
        <v>21.025061449999999</v>
      </c>
      <c r="C1022" s="184">
        <v>-101.74552749999999</v>
      </c>
    </row>
    <row r="1023" spans="1:3">
      <c r="A1023" s="184" t="s">
        <v>2914</v>
      </c>
      <c r="B1023" s="184">
        <v>21.129851970000001</v>
      </c>
      <c r="C1023" s="184">
        <v>-100.9504755</v>
      </c>
    </row>
    <row r="1024" spans="1:3">
      <c r="A1024" s="184" t="s">
        <v>2917</v>
      </c>
      <c r="B1024" s="184">
        <v>20.649346319999999</v>
      </c>
      <c r="C1024" s="184">
        <v>-101.3292459</v>
      </c>
    </row>
    <row r="1025" spans="1:3">
      <c r="A1025" s="184" t="s">
        <v>2920</v>
      </c>
      <c r="B1025" s="184">
        <v>20.164090089999998</v>
      </c>
      <c r="C1025" s="184">
        <v>-99.100671430000006</v>
      </c>
    </row>
    <row r="1026" spans="1:3">
      <c r="A1026" s="184" t="s">
        <v>2924</v>
      </c>
      <c r="B1026" s="184">
        <v>20.987785540000001</v>
      </c>
      <c r="C1026" s="184">
        <v>-98.660489499999997</v>
      </c>
    </row>
    <row r="1027" spans="1:3">
      <c r="A1027" s="184" t="s">
        <v>2928</v>
      </c>
      <c r="B1027" s="184">
        <v>20.019803599999999</v>
      </c>
      <c r="C1027" s="184">
        <v>-98.634865520000005</v>
      </c>
    </row>
    <row r="1028" spans="1:3">
      <c r="A1028" s="184" t="s">
        <v>2931</v>
      </c>
      <c r="B1028" s="184">
        <v>20.965680339999999</v>
      </c>
      <c r="C1028" s="184">
        <v>-98.470820340000003</v>
      </c>
    </row>
    <row r="1029" spans="1:3">
      <c r="A1029" s="184" t="s">
        <v>2935</v>
      </c>
      <c r="B1029" s="184">
        <v>20.1737036</v>
      </c>
      <c r="C1029" s="184">
        <v>-99.327155410000003</v>
      </c>
    </row>
    <row r="1030" spans="1:3">
      <c r="A1030" s="184" t="s">
        <v>2938</v>
      </c>
      <c r="B1030" s="184">
        <v>21.13085551</v>
      </c>
      <c r="C1030" s="184">
        <v>-98.986194249999997</v>
      </c>
    </row>
    <row r="1031" spans="1:3">
      <c r="A1031" s="184" t="s">
        <v>2942</v>
      </c>
      <c r="B1031" s="184">
        <v>20.154019139999999</v>
      </c>
      <c r="C1031" s="184">
        <v>-98.209947450000001</v>
      </c>
    </row>
    <row r="1032" spans="1:3">
      <c r="A1032" s="184" t="s">
        <v>2945</v>
      </c>
      <c r="B1032" s="184">
        <v>20.02961591</v>
      </c>
      <c r="C1032" s="184">
        <v>-98.308547739999995</v>
      </c>
    </row>
    <row r="1033" spans="1:3">
      <c r="A1033" s="184" t="s">
        <v>2949</v>
      </c>
      <c r="B1033" s="184">
        <v>20.013999599999998</v>
      </c>
      <c r="C1033" s="184">
        <v>-98.84220895</v>
      </c>
    </row>
    <row r="1034" spans="1:3">
      <c r="A1034" s="184" t="s">
        <v>2953</v>
      </c>
      <c r="B1034" s="184">
        <v>20.3351793</v>
      </c>
      <c r="C1034" s="184">
        <v>-98.227879250000001</v>
      </c>
    </row>
    <row r="1035" spans="1:3">
      <c r="A1035" s="184" t="s">
        <v>2955</v>
      </c>
      <c r="B1035" s="184">
        <v>20.19356346</v>
      </c>
      <c r="C1035" s="184">
        <v>-99.266527249999996</v>
      </c>
    </row>
    <row r="1036" spans="1:3">
      <c r="A1036" s="184" t="s">
        <v>2958</v>
      </c>
      <c r="B1036" s="184">
        <v>19.791059229999998</v>
      </c>
      <c r="C1036" s="184">
        <v>-98.553603989999999</v>
      </c>
    </row>
    <row r="1037" spans="1:3">
      <c r="A1037" s="184" t="s">
        <v>2961</v>
      </c>
      <c r="B1037" s="184">
        <v>20.532267820000001</v>
      </c>
      <c r="C1037" s="184">
        <v>-98.640839889999995</v>
      </c>
    </row>
    <row r="1038" spans="1:3">
      <c r="A1038" s="184" t="s">
        <v>2963</v>
      </c>
      <c r="B1038" s="184">
        <v>20.683640059999998</v>
      </c>
      <c r="C1038" s="184">
        <v>-98.589557720000002</v>
      </c>
    </row>
    <row r="1039" spans="1:3">
      <c r="A1039" s="184" t="s">
        <v>2967</v>
      </c>
      <c r="B1039" s="184">
        <v>20.65100846</v>
      </c>
      <c r="C1039" s="184">
        <v>-98.574650779999999</v>
      </c>
    </row>
    <row r="1040" spans="1:3">
      <c r="A1040" s="184" t="s">
        <v>2970</v>
      </c>
      <c r="B1040" s="184">
        <v>20.888536309999999</v>
      </c>
      <c r="C1040" s="184">
        <v>-98.486782770000005</v>
      </c>
    </row>
    <row r="1041" spans="1:3">
      <c r="A1041" s="184" t="s">
        <v>2973</v>
      </c>
      <c r="B1041" s="184">
        <v>20.22741589</v>
      </c>
      <c r="C1041" s="184">
        <v>-99.257530090000003</v>
      </c>
    </row>
    <row r="1042" spans="1:3">
      <c r="A1042" s="184" t="s">
        <v>2975</v>
      </c>
      <c r="B1042" s="184">
        <v>20.21921811</v>
      </c>
      <c r="C1042" s="184">
        <v>-99.501907220000007</v>
      </c>
    </row>
    <row r="1043" spans="1:3">
      <c r="A1043" s="184" t="s">
        <v>2979</v>
      </c>
      <c r="B1043" s="184">
        <v>20.36037383</v>
      </c>
      <c r="C1043" s="184">
        <v>-98.16267569</v>
      </c>
    </row>
    <row r="1044" spans="1:3">
      <c r="A1044" s="184" t="s">
        <v>2981</v>
      </c>
      <c r="B1044" s="184">
        <v>20.205676069999999</v>
      </c>
      <c r="C1044" s="184">
        <v>-99.587904350000002</v>
      </c>
    </row>
    <row r="1045" spans="1:3">
      <c r="A1045" s="184" t="s">
        <v>2983</v>
      </c>
      <c r="B1045" s="184">
        <v>20.106852199999999</v>
      </c>
      <c r="C1045" s="184">
        <v>-98.149283929999996</v>
      </c>
    </row>
    <row r="1046" spans="1:3">
      <c r="A1046" s="184" t="s">
        <v>2985</v>
      </c>
      <c r="B1046" s="184">
        <v>20.187499290000002</v>
      </c>
      <c r="C1046" s="184">
        <v>-99.247934810000004</v>
      </c>
    </row>
    <row r="1047" spans="1:3">
      <c r="A1047" s="184" t="s">
        <v>2987</v>
      </c>
      <c r="B1047" s="184">
        <v>20.033912369999999</v>
      </c>
      <c r="C1047" s="184">
        <v>-98.529982239999995</v>
      </c>
    </row>
    <row r="1048" spans="1:3">
      <c r="A1048" s="184" t="s">
        <v>2990</v>
      </c>
      <c r="B1048" s="184">
        <v>20.405642010000001</v>
      </c>
      <c r="C1048" s="184">
        <v>-98.718737290000007</v>
      </c>
    </row>
    <row r="1049" spans="1:3">
      <c r="A1049" s="184" t="s">
        <v>2994</v>
      </c>
      <c r="B1049" s="184">
        <v>20.241478069999999</v>
      </c>
      <c r="C1049" s="184">
        <v>-99.295563110000003</v>
      </c>
    </row>
    <row r="1050" spans="1:3">
      <c r="A1050" s="184" t="s">
        <v>2998</v>
      </c>
      <c r="B1050" s="184">
        <v>19.896738200000001</v>
      </c>
      <c r="C1050" s="184">
        <v>-98.928837290000004</v>
      </c>
    </row>
    <row r="1051" spans="1:3">
      <c r="A1051" s="184" t="s">
        <v>3002</v>
      </c>
      <c r="B1051" s="184">
        <v>20.144688729999999</v>
      </c>
      <c r="C1051" s="184">
        <v>-98.672449920000005</v>
      </c>
    </row>
    <row r="1052" spans="1:3">
      <c r="A1052" s="184" t="s">
        <v>3005</v>
      </c>
      <c r="B1052" s="184">
        <v>20.173880570000001</v>
      </c>
      <c r="C1052" s="184">
        <v>-98.645742740000003</v>
      </c>
    </row>
    <row r="1053" spans="1:3">
      <c r="A1053" s="184" t="s">
        <v>3008</v>
      </c>
      <c r="B1053" s="184">
        <v>20.412700489999999</v>
      </c>
      <c r="C1053" s="184">
        <v>-99.217866999999998</v>
      </c>
    </row>
    <row r="1054" spans="1:3">
      <c r="A1054" s="184" t="s">
        <v>3012</v>
      </c>
      <c r="B1054" s="184">
        <v>19.95354592</v>
      </c>
      <c r="C1054" s="184">
        <v>-98.323431020000001</v>
      </c>
    </row>
    <row r="1055" spans="1:3">
      <c r="A1055" s="184" t="s">
        <v>3016</v>
      </c>
      <c r="B1055" s="184">
        <v>20.21790069</v>
      </c>
      <c r="C1055" s="184">
        <v>-98.455891609999995</v>
      </c>
    </row>
    <row r="1056" spans="1:3">
      <c r="A1056" s="184" t="s">
        <v>3020</v>
      </c>
      <c r="B1056" s="184">
        <v>20.124794009999999</v>
      </c>
      <c r="C1056" s="184">
        <v>-98.121296330000007</v>
      </c>
    </row>
    <row r="1057" spans="1:3">
      <c r="A1057" s="184" t="s">
        <v>3022</v>
      </c>
      <c r="B1057" s="184">
        <v>20.890513519999999</v>
      </c>
      <c r="C1057" s="184">
        <v>-98.643709540000003</v>
      </c>
    </row>
    <row r="1058" spans="1:3">
      <c r="A1058" s="184" t="s">
        <v>3024</v>
      </c>
      <c r="B1058" s="184">
        <v>19.640769169999999</v>
      </c>
      <c r="C1058" s="184">
        <v>-98.475756469999993</v>
      </c>
    </row>
    <row r="1059" spans="1:3">
      <c r="A1059" s="184" t="s">
        <v>3026</v>
      </c>
      <c r="B1059" s="184">
        <v>19.87565957</v>
      </c>
      <c r="C1059" s="184">
        <v>-99.349181830000006</v>
      </c>
    </row>
    <row r="1060" spans="1:3">
      <c r="A1060" s="184" t="s">
        <v>3030</v>
      </c>
      <c r="B1060" s="184">
        <v>19.811126000000002</v>
      </c>
      <c r="C1060" s="184">
        <v>-98.265034</v>
      </c>
    </row>
    <row r="1061" spans="1:3">
      <c r="A1061" s="184" t="s">
        <v>3033</v>
      </c>
      <c r="B1061" s="184">
        <v>19.683464520000001</v>
      </c>
      <c r="C1061" s="184">
        <v>-98.576242859999994</v>
      </c>
    </row>
    <row r="1062" spans="1:3">
      <c r="A1062" s="184" t="s">
        <v>3035</v>
      </c>
      <c r="B1062" s="184">
        <v>19.804211670000001</v>
      </c>
      <c r="C1062" s="184">
        <v>-98.516719859999995</v>
      </c>
    </row>
    <row r="1063" spans="1:3">
      <c r="A1063" s="184" t="s">
        <v>3038</v>
      </c>
      <c r="B1063" s="184">
        <v>20.81672786</v>
      </c>
      <c r="C1063" s="184">
        <v>-98.466734900000006</v>
      </c>
    </row>
    <row r="1064" spans="1:3">
      <c r="A1064" s="184" t="s">
        <v>3042</v>
      </c>
      <c r="B1064" s="184">
        <v>20.980949800000001</v>
      </c>
      <c r="C1064" s="184">
        <v>-99.343594800000005</v>
      </c>
    </row>
    <row r="1065" spans="1:3">
      <c r="A1065" s="184" t="s">
        <v>3046</v>
      </c>
      <c r="B1065" s="184">
        <v>20.9435766</v>
      </c>
      <c r="C1065" s="184">
        <v>-99.164553789999999</v>
      </c>
    </row>
    <row r="1066" spans="1:3">
      <c r="A1066" s="184" t="s">
        <v>3050</v>
      </c>
      <c r="B1066" s="184">
        <v>20.98162516</v>
      </c>
      <c r="C1066" s="184">
        <v>-98.734118859999995</v>
      </c>
    </row>
    <row r="1067" spans="1:3">
      <c r="A1067" s="184" t="s">
        <v>3054</v>
      </c>
      <c r="B1067" s="184">
        <v>20.64455907</v>
      </c>
      <c r="C1067" s="184">
        <v>-98.720763770000005</v>
      </c>
    </row>
    <row r="1068" spans="1:3">
      <c r="A1068" s="184" t="s">
        <v>3058</v>
      </c>
      <c r="B1068" s="184">
        <v>20.215047200000001</v>
      </c>
      <c r="C1068" s="184">
        <v>-98.696839969999999</v>
      </c>
    </row>
    <row r="1069" spans="1:3">
      <c r="A1069" s="184" t="s">
        <v>3062</v>
      </c>
      <c r="B1069" s="184">
        <v>20.108914219999999</v>
      </c>
      <c r="C1069" s="184">
        <v>-98.827844440000007</v>
      </c>
    </row>
    <row r="1070" spans="1:3">
      <c r="A1070" s="184" t="s">
        <v>3066</v>
      </c>
      <c r="B1070" s="184">
        <v>19.87279968</v>
      </c>
      <c r="C1070" s="184">
        <v>-98.405846629999999</v>
      </c>
    </row>
    <row r="1071" spans="1:3">
      <c r="A1071" s="184" t="s">
        <v>3067</v>
      </c>
      <c r="B1071" s="184">
        <v>19.84261901</v>
      </c>
      <c r="C1071" s="184">
        <v>-98.946920219999996</v>
      </c>
    </row>
    <row r="1072" spans="1:3">
      <c r="A1072" s="184" t="s">
        <v>3071</v>
      </c>
      <c r="B1072" s="184">
        <v>21.0533708</v>
      </c>
      <c r="C1072" s="184">
        <v>-98.724299000000002</v>
      </c>
    </row>
    <row r="1073" spans="1:3">
      <c r="A1073" s="184" t="s">
        <v>3074</v>
      </c>
      <c r="B1073" s="184">
        <v>20.225089350000001</v>
      </c>
      <c r="C1073" s="184">
        <v>-99.141142970000004</v>
      </c>
    </row>
    <row r="1074" spans="1:3">
      <c r="A1074" s="184" t="s">
        <v>3077</v>
      </c>
      <c r="B1074" s="184">
        <v>20.296210720000001</v>
      </c>
      <c r="C1074" s="184">
        <v>-99.17949376</v>
      </c>
    </row>
    <row r="1075" spans="1:3">
      <c r="A1075" s="184" t="s">
        <v>3081</v>
      </c>
      <c r="B1075" s="184">
        <v>20.84575512</v>
      </c>
      <c r="C1075" s="184">
        <v>-98.873582499999998</v>
      </c>
    </row>
    <row r="1076" spans="1:3">
      <c r="A1076" s="184" t="s">
        <v>3085</v>
      </c>
      <c r="B1076" s="184">
        <v>20.949600669999999</v>
      </c>
      <c r="C1076" s="184">
        <v>-98.548732580000006</v>
      </c>
    </row>
    <row r="1077" spans="1:3">
      <c r="A1077" s="184" t="s">
        <v>3088</v>
      </c>
      <c r="B1077" s="184">
        <v>21.041472280000001</v>
      </c>
      <c r="C1077" s="184">
        <v>-98.610273179999993</v>
      </c>
    </row>
    <row r="1078" spans="1:3">
      <c r="A1078" s="184" t="s">
        <v>3090</v>
      </c>
      <c r="B1078" s="184">
        <v>21.084674029999999</v>
      </c>
      <c r="C1078" s="184">
        <v>-98.690310299999993</v>
      </c>
    </row>
    <row r="1079" spans="1:3">
      <c r="A1079" s="184" t="s">
        <v>3093</v>
      </c>
      <c r="B1079" s="184">
        <v>20.172757390000001</v>
      </c>
      <c r="C1079" s="184">
        <v>-98.6909986</v>
      </c>
    </row>
    <row r="1080" spans="1:3">
      <c r="A1080" s="184" t="s">
        <v>3095</v>
      </c>
      <c r="B1080" s="184">
        <v>20.276199470000002</v>
      </c>
      <c r="C1080" s="184">
        <v>-99.056673320000002</v>
      </c>
    </row>
    <row r="1081" spans="1:3">
      <c r="A1081" s="184" t="s">
        <v>3099</v>
      </c>
      <c r="B1081" s="184">
        <v>19.996664849999998</v>
      </c>
      <c r="C1081" s="184">
        <v>-99.365845640000003</v>
      </c>
    </row>
    <row r="1082" spans="1:3">
      <c r="A1082" s="184" t="s">
        <v>3102</v>
      </c>
      <c r="B1082" s="184">
        <v>20.06469366</v>
      </c>
      <c r="C1082" s="184">
        <v>-99.319930630000002</v>
      </c>
    </row>
    <row r="1083" spans="1:3">
      <c r="A1083" s="184" t="s">
        <v>3106</v>
      </c>
      <c r="B1083" s="184">
        <v>20.51311068</v>
      </c>
      <c r="C1083" s="184">
        <v>-98.999745259999997</v>
      </c>
    </row>
    <row r="1084" spans="1:3">
      <c r="A1084" s="184" t="s">
        <v>3108</v>
      </c>
      <c r="B1084" s="184">
        <v>20.598368879999999</v>
      </c>
      <c r="C1084" s="184">
        <v>-98.999487759999994</v>
      </c>
    </row>
    <row r="1085" spans="1:3">
      <c r="A1085" s="184" t="s">
        <v>3110</v>
      </c>
      <c r="B1085" s="184">
        <v>21.064196299999999</v>
      </c>
      <c r="C1085" s="184">
        <v>-98.742809219999998</v>
      </c>
    </row>
    <row r="1086" spans="1:3">
      <c r="A1086" s="184" t="s">
        <v>3113</v>
      </c>
      <c r="B1086" s="184">
        <v>20.1496013</v>
      </c>
      <c r="C1086" s="184">
        <v>-99.172330579999993</v>
      </c>
    </row>
    <row r="1087" spans="1:3">
      <c r="A1087" s="184" t="s">
        <v>3117</v>
      </c>
      <c r="B1087" s="184">
        <v>19.883838359999999</v>
      </c>
      <c r="C1087" s="184">
        <v>-99.230475709999993</v>
      </c>
    </row>
    <row r="1088" spans="1:3">
      <c r="A1088" s="184" t="s">
        <v>3121</v>
      </c>
      <c r="B1088" s="184">
        <v>20.216974879999999</v>
      </c>
      <c r="C1088" s="184">
        <v>-99.173865919999997</v>
      </c>
    </row>
    <row r="1089" spans="1:3">
      <c r="A1089" s="184" t="s">
        <v>3124</v>
      </c>
      <c r="B1089" s="184">
        <v>20.072061980000001</v>
      </c>
      <c r="C1089" s="184">
        <v>-98.698130160000005</v>
      </c>
    </row>
    <row r="1090" spans="1:3">
      <c r="A1090" s="184" t="s">
        <v>3128</v>
      </c>
      <c r="B1090" s="184">
        <v>21.126723850000001</v>
      </c>
      <c r="C1090" s="184">
        <v>-98.653101320000005</v>
      </c>
    </row>
    <row r="1091" spans="1:3">
      <c r="A1091" s="184" t="s">
        <v>3132</v>
      </c>
      <c r="B1091" s="184">
        <v>20.08066436</v>
      </c>
      <c r="C1091" s="184">
        <v>-98.361117210000003</v>
      </c>
    </row>
    <row r="1092" spans="1:3">
      <c r="A1092" s="184" t="s">
        <v>3135</v>
      </c>
      <c r="B1092" s="184">
        <v>20.664339420000001</v>
      </c>
      <c r="C1092" s="184">
        <v>-98.690633039999994</v>
      </c>
    </row>
    <row r="1093" spans="1:3">
      <c r="A1093" s="184" t="s">
        <v>3138</v>
      </c>
      <c r="B1093" s="184">
        <v>20.49278618</v>
      </c>
      <c r="C1093" s="184">
        <v>-99.190176539999996</v>
      </c>
    </row>
    <row r="1094" spans="1:3">
      <c r="A1094" s="184" t="s">
        <v>3141</v>
      </c>
      <c r="B1094" s="184">
        <v>20.664861429999998</v>
      </c>
      <c r="C1094" s="184">
        <v>-98.743220429999994</v>
      </c>
    </row>
    <row r="1095" spans="1:3">
      <c r="A1095" s="184" t="s">
        <v>3143</v>
      </c>
      <c r="B1095" s="184">
        <v>21.001056470000002</v>
      </c>
      <c r="C1095" s="184">
        <v>-99.071718200000007</v>
      </c>
    </row>
    <row r="1096" spans="1:3">
      <c r="A1096" s="184" t="s">
        <v>3146</v>
      </c>
      <c r="B1096" s="184">
        <v>20.172980339999999</v>
      </c>
      <c r="C1096" s="184">
        <v>-99.342015340000003</v>
      </c>
    </row>
    <row r="1097" spans="1:3">
      <c r="A1097" s="184" t="s">
        <v>3149</v>
      </c>
      <c r="B1097" s="184">
        <v>20.167956490000002</v>
      </c>
      <c r="C1097" s="184">
        <v>-98.393905759999996</v>
      </c>
    </row>
    <row r="1098" spans="1:3">
      <c r="A1098" s="184" t="s">
        <v>3152</v>
      </c>
      <c r="B1098" s="184">
        <v>21.127264910000001</v>
      </c>
      <c r="C1098" s="184">
        <v>-98.781335540000001</v>
      </c>
    </row>
    <row r="1099" spans="1:3">
      <c r="A1099" s="184" t="s">
        <v>3156</v>
      </c>
      <c r="B1099" s="184">
        <v>19.71044959</v>
      </c>
      <c r="C1099" s="184">
        <v>-98.531528280000003</v>
      </c>
    </row>
    <row r="1100" spans="1:3">
      <c r="A1100" s="184" t="s">
        <v>3158</v>
      </c>
      <c r="B1100" s="184">
        <v>20.676472260000001</v>
      </c>
      <c r="C1100" s="184">
        <v>-98.512575620000007</v>
      </c>
    </row>
    <row r="1101" spans="1:3">
      <c r="A1101" s="184" t="s">
        <v>3161</v>
      </c>
      <c r="B1101" s="184">
        <v>20.341343129999998</v>
      </c>
      <c r="C1101" s="184">
        <v>-99.311456340000007</v>
      </c>
    </row>
    <row r="1102" spans="1:3">
      <c r="A1102" s="184" t="s">
        <v>3165</v>
      </c>
      <c r="B1102" s="184">
        <v>20.298791949999998</v>
      </c>
      <c r="C1102" s="184">
        <v>-98.689487319999998</v>
      </c>
    </row>
    <row r="1103" spans="1:3">
      <c r="A1103" s="184" t="s">
        <v>3169</v>
      </c>
      <c r="B1103" s="184">
        <v>20.261687909999999</v>
      </c>
      <c r="C1103" s="184">
        <v>-99.468401069999999</v>
      </c>
    </row>
    <row r="1104" spans="1:3">
      <c r="A1104" s="184" t="s">
        <v>3171</v>
      </c>
      <c r="B1104" s="184">
        <v>21.2342975</v>
      </c>
      <c r="C1104" s="184">
        <v>-99.022079349999998</v>
      </c>
    </row>
    <row r="1105" spans="1:3">
      <c r="A1105" s="184" t="s">
        <v>3175</v>
      </c>
      <c r="B1105" s="184">
        <v>21.020818899999998</v>
      </c>
      <c r="C1105" s="184">
        <v>-99.161510890000002</v>
      </c>
    </row>
    <row r="1106" spans="1:3">
      <c r="A1106" s="184" t="s">
        <v>3178</v>
      </c>
      <c r="B1106" s="184">
        <v>19.732558390000001</v>
      </c>
      <c r="C1106" s="184">
        <v>-98.595527720000007</v>
      </c>
    </row>
    <row r="1107" spans="1:3">
      <c r="A1107" s="184" t="s">
        <v>3181</v>
      </c>
      <c r="B1107" s="184">
        <v>20.170000000000002</v>
      </c>
      <c r="C1107" s="184">
        <v>-99.31</v>
      </c>
    </row>
    <row r="1108" spans="1:3">
      <c r="A1108" s="184" t="s">
        <v>3183</v>
      </c>
      <c r="B1108" s="184">
        <v>20.306048820000001</v>
      </c>
      <c r="C1108" s="184">
        <v>-98.218141970000005</v>
      </c>
    </row>
    <row r="1109" spans="1:3">
      <c r="A1109" s="184" t="s">
        <v>3184</v>
      </c>
      <c r="B1109" s="184">
        <v>19.81077707</v>
      </c>
      <c r="C1109" s="184">
        <v>-98.395662220000006</v>
      </c>
    </row>
    <row r="1110" spans="1:3">
      <c r="A1110" s="184" t="s">
        <v>3187</v>
      </c>
      <c r="B1110" s="184">
        <v>21.120218820000002</v>
      </c>
      <c r="C1110" s="184">
        <v>-98.825463900000003</v>
      </c>
    </row>
    <row r="1111" spans="1:3">
      <c r="A1111" s="184" t="s">
        <v>3190</v>
      </c>
      <c r="B1111" s="184">
        <v>21.000160099999999</v>
      </c>
      <c r="C1111" s="184">
        <v>-98.79967431</v>
      </c>
    </row>
    <row r="1112" spans="1:3">
      <c r="A1112" s="184" t="s">
        <v>3193</v>
      </c>
      <c r="B1112" s="184">
        <v>20.8375761</v>
      </c>
      <c r="C1112" s="184">
        <v>-98.613229700000005</v>
      </c>
    </row>
    <row r="1113" spans="1:3">
      <c r="A1113" s="184" t="s">
        <v>3197</v>
      </c>
      <c r="B1113" s="184">
        <v>20.655150509999999</v>
      </c>
      <c r="C1113" s="184">
        <v>-98.603127000000001</v>
      </c>
    </row>
    <row r="1114" spans="1:3">
      <c r="A1114" s="184" t="s">
        <v>3199</v>
      </c>
      <c r="B1114" s="184">
        <v>19.795315129999999</v>
      </c>
      <c r="C1114" s="184">
        <v>-98.383240119999996</v>
      </c>
    </row>
    <row r="1115" spans="1:3">
      <c r="A1115" s="184" t="s">
        <v>3202</v>
      </c>
      <c r="B1115" s="184">
        <v>20.195834130000001</v>
      </c>
      <c r="C1115" s="184">
        <v>-99.472247359999997</v>
      </c>
    </row>
    <row r="1116" spans="1:3">
      <c r="A1116" s="184" t="s">
        <v>3205</v>
      </c>
      <c r="B1116" s="184">
        <v>21.10500408</v>
      </c>
      <c r="C1116" s="184">
        <v>-98.972332589999994</v>
      </c>
    </row>
    <row r="1117" spans="1:3">
      <c r="A1117" s="184" t="s">
        <v>3208</v>
      </c>
      <c r="B1117" s="184">
        <v>20.933009699999999</v>
      </c>
      <c r="C1117" s="184">
        <v>-98.727320829999996</v>
      </c>
    </row>
    <row r="1118" spans="1:3">
      <c r="A1118" s="184" t="s">
        <v>3211</v>
      </c>
      <c r="B1118" s="184">
        <v>20.241675539999999</v>
      </c>
      <c r="C1118" s="184">
        <v>-99.607503249999993</v>
      </c>
    </row>
    <row r="1119" spans="1:3">
      <c r="A1119" s="184" t="s">
        <v>3214</v>
      </c>
      <c r="B1119" s="184">
        <v>20.3668567</v>
      </c>
      <c r="C1119" s="184">
        <v>-98.124334390000001</v>
      </c>
    </row>
    <row r="1120" spans="1:3">
      <c r="A1120" s="184" t="s">
        <v>3217</v>
      </c>
      <c r="B1120" s="184">
        <v>20.385170250000002</v>
      </c>
      <c r="C1120" s="184">
        <v>-98.139130320000007</v>
      </c>
    </row>
    <row r="1121" spans="1:3">
      <c r="A1121" s="184" t="s">
        <v>3219</v>
      </c>
      <c r="B1121" s="184">
        <v>19.783811839999998</v>
      </c>
      <c r="C1121" s="184">
        <v>-98.507480889999997</v>
      </c>
    </row>
    <row r="1122" spans="1:3">
      <c r="A1122" s="184" t="s">
        <v>3222</v>
      </c>
      <c r="B1122" s="184">
        <v>20.936348030000001</v>
      </c>
      <c r="C1122" s="184">
        <v>-98.998302050000007</v>
      </c>
    </row>
    <row r="1123" spans="1:3">
      <c r="A1123" s="184" t="s">
        <v>3225</v>
      </c>
      <c r="B1123" s="184">
        <v>20.880870819999998</v>
      </c>
      <c r="C1123" s="184">
        <v>-98.307189919999999</v>
      </c>
    </row>
    <row r="1124" spans="1:3">
      <c r="A1124" s="184" t="s">
        <v>3229</v>
      </c>
      <c r="B1124" s="184">
        <v>20.629247190000001</v>
      </c>
      <c r="C1124" s="184">
        <v>-98.559739579999999</v>
      </c>
    </row>
    <row r="1125" spans="1:3">
      <c r="A1125" s="184" t="s">
        <v>3231</v>
      </c>
      <c r="B1125" s="184">
        <v>20.34257955</v>
      </c>
      <c r="C1125" s="184">
        <v>-98.202102359999998</v>
      </c>
    </row>
    <row r="1126" spans="1:3">
      <c r="A1126" s="184" t="s">
        <v>3233</v>
      </c>
      <c r="B1126" s="184">
        <v>20.050593589999998</v>
      </c>
      <c r="C1126" s="184">
        <v>-98.791900440000006</v>
      </c>
    </row>
    <row r="1127" spans="1:3">
      <c r="A1127" s="184" t="s">
        <v>3235</v>
      </c>
      <c r="B1127" s="184">
        <v>21.100255229999998</v>
      </c>
      <c r="C1127" s="184">
        <v>-98.893676619999994</v>
      </c>
    </row>
    <row r="1128" spans="1:3">
      <c r="A1128" s="184" t="s">
        <v>3238</v>
      </c>
      <c r="B1128" s="184">
        <v>20.157245629999998</v>
      </c>
      <c r="C1128" s="184">
        <v>-98.224764280000002</v>
      </c>
    </row>
    <row r="1129" spans="1:3">
      <c r="A1129" s="184" t="s">
        <v>3241</v>
      </c>
      <c r="B1129" s="184">
        <v>20.489273090000001</v>
      </c>
      <c r="C1129" s="184">
        <v>-98.033241200000006</v>
      </c>
    </row>
    <row r="1130" spans="1:3">
      <c r="A1130" s="184" t="s">
        <v>3245</v>
      </c>
      <c r="B1130" s="184">
        <v>21.221656419999999</v>
      </c>
      <c r="C1130" s="184">
        <v>-99.027830010000002</v>
      </c>
    </row>
    <row r="1131" spans="1:3">
      <c r="A1131" s="184" t="s">
        <v>3248</v>
      </c>
      <c r="B1131" s="184">
        <v>19.996488289999998</v>
      </c>
      <c r="C1131" s="184">
        <v>-99.341888359999999</v>
      </c>
    </row>
    <row r="1132" spans="1:3">
      <c r="A1132" s="184" t="s">
        <v>3251</v>
      </c>
      <c r="B1132" s="184">
        <v>20.1274999</v>
      </c>
      <c r="C1132" s="184">
        <v>-98.748648000000003</v>
      </c>
    </row>
    <row r="1133" spans="1:3">
      <c r="A1133" s="184" t="s">
        <v>3253</v>
      </c>
      <c r="B1133" s="184">
        <v>20.07421059</v>
      </c>
      <c r="C1133" s="184">
        <v>-99.314060490000003</v>
      </c>
    </row>
    <row r="1134" spans="1:3">
      <c r="A1134" s="184" t="s">
        <v>3256</v>
      </c>
      <c r="B1134" s="184">
        <v>20.52729677</v>
      </c>
      <c r="C1134" s="184">
        <v>-99.218050809999994</v>
      </c>
    </row>
    <row r="1135" spans="1:3">
      <c r="A1135" s="184" t="s">
        <v>3258</v>
      </c>
      <c r="B1135" s="184">
        <v>20.87527193</v>
      </c>
      <c r="C1135" s="184">
        <v>-98.540862919999995</v>
      </c>
    </row>
    <row r="1136" spans="1:3">
      <c r="A1136" s="184" t="s">
        <v>3261</v>
      </c>
      <c r="B1136" s="184">
        <v>21.084500139999999</v>
      </c>
      <c r="C1136" s="184">
        <v>-98.888711619999995</v>
      </c>
    </row>
    <row r="1137" spans="1:3">
      <c r="A1137" s="184" t="s">
        <v>3264</v>
      </c>
      <c r="B1137" s="184">
        <v>20.13909477</v>
      </c>
      <c r="C1137" s="184">
        <v>-98.125415970000006</v>
      </c>
    </row>
    <row r="1138" spans="1:3">
      <c r="A1138" s="184" t="s">
        <v>3267</v>
      </c>
      <c r="B1138" s="184">
        <v>20.085482859999999</v>
      </c>
      <c r="C1138" s="184">
        <v>-98.786857889999993</v>
      </c>
    </row>
    <row r="1139" spans="1:3">
      <c r="A1139" s="184" t="s">
        <v>3270</v>
      </c>
      <c r="B1139" s="184">
        <v>20.222240230000001</v>
      </c>
      <c r="C1139" s="184">
        <v>-99.290365379999997</v>
      </c>
    </row>
    <row r="1140" spans="1:3">
      <c r="A1140" s="184" t="s">
        <v>3273</v>
      </c>
      <c r="B1140" s="184">
        <v>20.549179219999999</v>
      </c>
      <c r="C1140" s="184">
        <v>-98.027936159999996</v>
      </c>
    </row>
    <row r="1141" spans="1:3">
      <c r="A1141" s="184" t="s">
        <v>3275</v>
      </c>
      <c r="B1141" s="184">
        <v>20.898796870000002</v>
      </c>
      <c r="C1141" s="184">
        <v>-98.646566820000004</v>
      </c>
    </row>
    <row r="1142" spans="1:3">
      <c r="A1142" s="184" t="s">
        <v>3278</v>
      </c>
      <c r="B1142" s="184">
        <v>21.25765664</v>
      </c>
      <c r="C1142" s="184">
        <v>-99.037142639999999</v>
      </c>
    </row>
    <row r="1143" spans="1:3">
      <c r="A1143" s="184" t="s">
        <v>3281</v>
      </c>
      <c r="B1143" s="184">
        <v>20.38749958</v>
      </c>
      <c r="C1143" s="184">
        <v>-98.177490410000004</v>
      </c>
    </row>
    <row r="1144" spans="1:3">
      <c r="A1144" s="184" t="s">
        <v>3284</v>
      </c>
      <c r="B1144" s="184">
        <v>20.48701986</v>
      </c>
      <c r="C1144" s="184">
        <v>-99.205035429999995</v>
      </c>
    </row>
    <row r="1145" spans="1:3">
      <c r="A1145" s="184" t="s">
        <v>3286</v>
      </c>
      <c r="B1145" s="184">
        <v>20.132777730000001</v>
      </c>
      <c r="C1145" s="184">
        <v>-98.212779299999994</v>
      </c>
    </row>
    <row r="1146" spans="1:3">
      <c r="A1146" s="184" t="s">
        <v>3289</v>
      </c>
      <c r="B1146" s="184">
        <v>20.592158619999999</v>
      </c>
      <c r="C1146" s="184">
        <v>-98.346019429999998</v>
      </c>
    </row>
    <row r="1147" spans="1:3">
      <c r="A1147" s="184" t="s">
        <v>3291</v>
      </c>
      <c r="B1147" s="184">
        <v>20.28894605</v>
      </c>
      <c r="C1147" s="184">
        <v>-98.463567249999997</v>
      </c>
    </row>
    <row r="1148" spans="1:3">
      <c r="A1148" s="184" t="s">
        <v>3294</v>
      </c>
      <c r="B1148" s="184">
        <v>20.0910963</v>
      </c>
      <c r="C1148" s="184">
        <v>-98.762387399999994</v>
      </c>
    </row>
    <row r="1149" spans="1:3">
      <c r="A1149" s="184" t="s">
        <v>3296</v>
      </c>
      <c r="B1149" s="184">
        <v>20.21910969</v>
      </c>
      <c r="C1149" s="184">
        <v>-98.455871400000007</v>
      </c>
    </row>
    <row r="1150" spans="1:3">
      <c r="A1150" s="184" t="s">
        <v>3298</v>
      </c>
      <c r="B1150" s="184">
        <v>20.095362300000001</v>
      </c>
      <c r="C1150" s="184">
        <v>-98.742328799999996</v>
      </c>
    </row>
    <row r="1151" spans="1:3">
      <c r="A1151" s="184" t="s">
        <v>3300</v>
      </c>
      <c r="B1151" s="184">
        <v>20.128514320000001</v>
      </c>
      <c r="C1151" s="184">
        <v>-98.124307450000003</v>
      </c>
    </row>
    <row r="1152" spans="1:3">
      <c r="A1152" s="184" t="s">
        <v>3302</v>
      </c>
      <c r="B1152" s="184">
        <v>20.207916999999998</v>
      </c>
      <c r="C1152" s="184">
        <v>-99.095818300000005</v>
      </c>
    </row>
    <row r="1153" spans="1:3">
      <c r="A1153" s="184" t="s">
        <v>3304</v>
      </c>
      <c r="B1153" s="184">
        <v>20.482587200000001</v>
      </c>
      <c r="C1153" s="184">
        <v>-99.203750799999995</v>
      </c>
    </row>
    <row r="1154" spans="1:3">
      <c r="A1154" s="184" t="s">
        <v>3307</v>
      </c>
      <c r="B1154" s="184">
        <v>19.81183051</v>
      </c>
      <c r="C1154" s="184">
        <v>-98.269021719999998</v>
      </c>
    </row>
    <row r="1155" spans="1:3">
      <c r="A1155" s="184" t="s">
        <v>3309</v>
      </c>
      <c r="B1155" s="184">
        <v>19.709042570000001</v>
      </c>
      <c r="C1155" s="184">
        <v>-98.532410920000004</v>
      </c>
    </row>
    <row r="1156" spans="1:3">
      <c r="A1156" s="184" t="s">
        <v>3311</v>
      </c>
      <c r="B1156" s="184">
        <v>20.0522271</v>
      </c>
      <c r="C1156" s="184">
        <v>-98.398732800000005</v>
      </c>
    </row>
    <row r="1157" spans="1:3">
      <c r="A1157" s="184" t="s">
        <v>3314</v>
      </c>
      <c r="B1157" s="184">
        <v>20.380430650000001</v>
      </c>
      <c r="C1157" s="184">
        <v>-98.577391009999999</v>
      </c>
    </row>
    <row r="1158" spans="1:3">
      <c r="A1158" s="184" t="s">
        <v>3316</v>
      </c>
      <c r="B1158" s="184">
        <v>21.11588364</v>
      </c>
      <c r="C1158" s="184">
        <v>-98.941991439999995</v>
      </c>
    </row>
    <row r="1159" spans="1:3">
      <c r="A1159" s="184" t="s">
        <v>3318</v>
      </c>
      <c r="B1159" s="184">
        <v>19.349399999999999</v>
      </c>
      <c r="C1159" s="184">
        <v>-99.1935</v>
      </c>
    </row>
    <row r="1160" spans="1:3">
      <c r="A1160" s="184" t="s">
        <v>3321</v>
      </c>
      <c r="B1160" s="184">
        <v>20.384860499999998</v>
      </c>
      <c r="C1160" s="184">
        <v>-99.645282199999997</v>
      </c>
    </row>
    <row r="1161" spans="1:3">
      <c r="A1161" s="184" t="s">
        <v>3324</v>
      </c>
      <c r="B1161" s="184">
        <v>20.85314322</v>
      </c>
      <c r="C1161" s="184">
        <v>-98.87539701</v>
      </c>
    </row>
    <row r="1162" spans="1:3">
      <c r="A1162" s="184" t="s">
        <v>3326</v>
      </c>
      <c r="B1162" s="184">
        <v>21.0867042</v>
      </c>
      <c r="C1162" s="184">
        <v>-99.072141209999998</v>
      </c>
    </row>
    <row r="1163" spans="1:3">
      <c r="A1163" s="184" t="s">
        <v>3329</v>
      </c>
      <c r="B1163" s="184">
        <v>20.20280576</v>
      </c>
      <c r="C1163" s="184">
        <v>-99.578453969999998</v>
      </c>
    </row>
    <row r="1164" spans="1:3">
      <c r="A1164" s="184" t="s">
        <v>3331</v>
      </c>
      <c r="B1164" s="184">
        <v>19.418316799999999</v>
      </c>
      <c r="C1164" s="184">
        <v>-99.152691200000007</v>
      </c>
    </row>
    <row r="1165" spans="1:3">
      <c r="A1165" s="184" t="s">
        <v>3333</v>
      </c>
      <c r="B1165" s="184">
        <v>20.52926317</v>
      </c>
      <c r="C1165" s="184">
        <v>-99.523275740000003</v>
      </c>
    </row>
    <row r="1166" spans="1:3">
      <c r="A1166" s="184" t="s">
        <v>3337</v>
      </c>
      <c r="B1166" s="184">
        <v>20.596958099999998</v>
      </c>
      <c r="C1166" s="184">
        <v>-99.518410599999996</v>
      </c>
    </row>
    <row r="1167" spans="1:3">
      <c r="A1167" s="184" t="s">
        <v>3339</v>
      </c>
      <c r="B1167" s="184">
        <v>21.628551900000001</v>
      </c>
      <c r="C1167" s="184">
        <v>-97.743198000000007</v>
      </c>
    </row>
    <row r="1168" spans="1:3">
      <c r="A1168" s="184" t="s">
        <v>3342</v>
      </c>
      <c r="B1168" s="184">
        <v>20.636738000000001</v>
      </c>
      <c r="C1168" s="184">
        <v>-98.659504699999999</v>
      </c>
    </row>
    <row r="1169" spans="1:3">
      <c r="A1169" s="184" t="s">
        <v>3345</v>
      </c>
      <c r="B1169" s="184">
        <v>20.191343499999999</v>
      </c>
      <c r="C1169" s="184">
        <v>-99.272319800000005</v>
      </c>
    </row>
    <row r="1170" spans="1:3">
      <c r="A1170" s="184" t="s">
        <v>3347</v>
      </c>
      <c r="B1170" s="184">
        <v>20.988545720000001</v>
      </c>
      <c r="C1170" s="184">
        <v>-98.657226559999998</v>
      </c>
    </row>
    <row r="1171" spans="1:3">
      <c r="A1171" s="184" t="s">
        <v>3349</v>
      </c>
      <c r="B1171" s="184">
        <v>20.573752079999998</v>
      </c>
      <c r="C1171" s="184">
        <v>-98.031074779999997</v>
      </c>
    </row>
    <row r="1172" spans="1:3">
      <c r="A1172" s="185" t="s">
        <v>3352</v>
      </c>
      <c r="B1172" s="184">
        <v>19.434700800000002</v>
      </c>
      <c r="C1172" s="184">
        <v>-99.139583999999999</v>
      </c>
    </row>
    <row r="1173" spans="1:3">
      <c r="A1173" s="184" t="s">
        <v>3355</v>
      </c>
      <c r="B1173" s="184">
        <v>20.999918999999998</v>
      </c>
      <c r="C1173" s="184">
        <v>-98.914446299999994</v>
      </c>
    </row>
    <row r="1174" spans="1:3">
      <c r="A1174" s="184" t="s">
        <v>3358</v>
      </c>
      <c r="B1174" s="184">
        <v>20.87164048</v>
      </c>
      <c r="C1174" s="184">
        <v>-98.421753699999996</v>
      </c>
    </row>
    <row r="1175" spans="1:3">
      <c r="A1175" s="184" t="s">
        <v>3362</v>
      </c>
      <c r="B1175" s="184">
        <v>20.036803599999999</v>
      </c>
      <c r="C1175" s="184">
        <v>-98.317056899999997</v>
      </c>
    </row>
    <row r="1176" spans="1:3">
      <c r="A1176" s="184" t="s">
        <v>3363</v>
      </c>
      <c r="B1176" s="184">
        <v>20.4851682</v>
      </c>
      <c r="C1176" s="184">
        <v>-98.154864759999995</v>
      </c>
    </row>
    <row r="1177" spans="1:3">
      <c r="A1177" s="184" t="s">
        <v>3366</v>
      </c>
      <c r="B1177" s="184">
        <v>20.946066340000002</v>
      </c>
      <c r="C1177" s="184">
        <v>-99.166249089999994</v>
      </c>
    </row>
    <row r="1178" spans="1:3">
      <c r="A1178" s="184" t="s">
        <v>3368</v>
      </c>
      <c r="B1178" s="184">
        <v>19.306319640000002</v>
      </c>
      <c r="C1178" s="184">
        <v>-99.392735669999993</v>
      </c>
    </row>
    <row r="1179" spans="1:3">
      <c r="A1179" s="184" t="s">
        <v>3373</v>
      </c>
      <c r="B1179" s="184">
        <v>19.535069180000001</v>
      </c>
      <c r="C1179" s="184">
        <v>-99.094007000000005</v>
      </c>
    </row>
    <row r="1180" spans="1:3">
      <c r="A1180" s="184" t="s">
        <v>3377</v>
      </c>
      <c r="B1180" s="184">
        <v>19.460049349999998</v>
      </c>
      <c r="C1180" s="184">
        <v>-99.238478459999996</v>
      </c>
    </row>
    <row r="1181" spans="1:3">
      <c r="A1181" s="184" t="s">
        <v>3380</v>
      </c>
      <c r="B1181" s="184">
        <v>19.713096839999999</v>
      </c>
      <c r="C1181" s="184">
        <v>-99.186146660000006</v>
      </c>
    </row>
    <row r="1182" spans="1:3">
      <c r="A1182" s="184" t="s">
        <v>3383</v>
      </c>
      <c r="B1182" s="184">
        <v>19.538048960000001</v>
      </c>
      <c r="C1182" s="184">
        <v>-99.020557530000005</v>
      </c>
    </row>
    <row r="1183" spans="1:3">
      <c r="A1183" s="184" t="s">
        <v>3387</v>
      </c>
      <c r="B1183" s="184">
        <v>19.236724299999999</v>
      </c>
      <c r="C1183" s="184">
        <v>-99.809736209999997</v>
      </c>
    </row>
    <row r="1184" spans="1:3">
      <c r="A1184" s="184" t="s">
        <v>3393</v>
      </c>
      <c r="B1184" s="184">
        <v>19.416018569999999</v>
      </c>
      <c r="C1184" s="184">
        <v>-98.908668919999997</v>
      </c>
    </row>
    <row r="1185" spans="1:3">
      <c r="A1185" s="184" t="s">
        <v>3396</v>
      </c>
      <c r="B1185" s="184">
        <v>19.67514358</v>
      </c>
      <c r="C1185" s="184">
        <v>-99.289255280000006</v>
      </c>
    </row>
    <row r="1186" spans="1:3">
      <c r="A1186" s="184" t="s">
        <v>3400</v>
      </c>
      <c r="B1186" s="184">
        <v>19.531005929999999</v>
      </c>
      <c r="C1186" s="184">
        <v>-99.073091419999997</v>
      </c>
    </row>
    <row r="1187" spans="1:3">
      <c r="A1187" s="184" t="s">
        <v>3402</v>
      </c>
      <c r="B1187" s="184">
        <v>19.41780885</v>
      </c>
      <c r="C1187" s="184">
        <v>-98.948309230000007</v>
      </c>
    </row>
    <row r="1188" spans="1:3">
      <c r="A1188" s="184" t="s">
        <v>3405</v>
      </c>
      <c r="B1188" s="184">
        <v>19.593686940000001</v>
      </c>
      <c r="C1188" s="184">
        <v>-99.033331820000001</v>
      </c>
    </row>
    <row r="1189" spans="1:3">
      <c r="A1189" s="184" t="s">
        <v>3407</v>
      </c>
      <c r="B1189" s="184">
        <v>19.12234381</v>
      </c>
      <c r="C1189" s="184">
        <v>-99.585041390000001</v>
      </c>
    </row>
    <row r="1190" spans="1:3">
      <c r="A1190" s="184" t="s">
        <v>3410</v>
      </c>
      <c r="B1190" s="184">
        <v>19.212945139999999</v>
      </c>
      <c r="C1190" s="184">
        <v>-99.433463250000003</v>
      </c>
    </row>
    <row r="1191" spans="1:3">
      <c r="A1191" s="184" t="s">
        <v>3414</v>
      </c>
      <c r="B1191" s="184">
        <v>19.33763647</v>
      </c>
      <c r="C1191" s="184">
        <v>-99.694612320000005</v>
      </c>
    </row>
    <row r="1192" spans="1:3">
      <c r="A1192" s="184" t="s">
        <v>3418</v>
      </c>
      <c r="B1192" s="184">
        <v>19.42461428</v>
      </c>
      <c r="C1192" s="184">
        <v>-99.046500980000005</v>
      </c>
    </row>
    <row r="1193" spans="1:3">
      <c r="A1193" s="184" t="s">
        <v>3422</v>
      </c>
      <c r="B1193" s="184">
        <v>19.50304891</v>
      </c>
      <c r="C1193" s="184">
        <v>-99.061302060000003</v>
      </c>
    </row>
    <row r="1194" spans="1:3">
      <c r="A1194" s="184" t="s">
        <v>3425</v>
      </c>
      <c r="B1194" s="184">
        <v>19.2635206</v>
      </c>
      <c r="C1194" s="184">
        <v>-99.660529409999995</v>
      </c>
    </row>
    <row r="1195" spans="1:3">
      <c r="A1195" s="184" t="s">
        <v>3427</v>
      </c>
      <c r="B1195" s="184">
        <v>19.673687480000002</v>
      </c>
      <c r="C1195" s="184">
        <v>-99.000282729999995</v>
      </c>
    </row>
    <row r="1196" spans="1:3">
      <c r="A1196" s="184" t="s">
        <v>3431</v>
      </c>
      <c r="B1196" s="184">
        <v>19.762521809999999</v>
      </c>
      <c r="C1196" s="184">
        <v>-98.963820470000002</v>
      </c>
    </row>
    <row r="1197" spans="1:3">
      <c r="A1197" s="184" t="s">
        <v>3433</v>
      </c>
      <c r="B1197" s="184">
        <v>19.383563240000001</v>
      </c>
      <c r="C1197" s="184">
        <v>-98.991206860000005</v>
      </c>
    </row>
    <row r="1198" spans="1:3">
      <c r="A1198" s="184" t="s">
        <v>3436</v>
      </c>
      <c r="B1198" s="184">
        <v>19.25272653</v>
      </c>
      <c r="C1198" s="184">
        <v>-99.707465130000003</v>
      </c>
    </row>
    <row r="1199" spans="1:3">
      <c r="A1199" s="184" t="s">
        <v>3439</v>
      </c>
      <c r="B1199" s="184">
        <v>19.40233194</v>
      </c>
      <c r="C1199" s="184">
        <v>-99.022096099999999</v>
      </c>
    </row>
    <row r="1200" spans="1:3">
      <c r="A1200" s="184" t="s">
        <v>3442</v>
      </c>
      <c r="B1200" s="184">
        <v>19.20461865</v>
      </c>
      <c r="C1200" s="184">
        <v>-98.801409579999998</v>
      </c>
    </row>
    <row r="1201" spans="1:3">
      <c r="A1201" s="184" t="s">
        <v>3446</v>
      </c>
      <c r="B1201" s="184">
        <v>19.61504579</v>
      </c>
      <c r="C1201" s="184">
        <v>-98.960165939999996</v>
      </c>
    </row>
    <row r="1202" spans="1:3">
      <c r="A1202" s="186" t="s">
        <v>3450</v>
      </c>
      <c r="B1202" s="184">
        <v>19.287499409999999</v>
      </c>
      <c r="C1202" s="184">
        <v>-99.767877990000002</v>
      </c>
    </row>
    <row r="1203" spans="1:3">
      <c r="A1203" s="184" t="s">
        <v>3453</v>
      </c>
      <c r="B1203" s="184">
        <v>19.701034289999999</v>
      </c>
      <c r="C1203" s="184">
        <v>-98.776564410000006</v>
      </c>
    </row>
    <row r="1204" spans="1:3">
      <c r="A1204" s="184" t="s">
        <v>3457</v>
      </c>
      <c r="B1204" s="184">
        <v>19.51344594</v>
      </c>
      <c r="C1204" s="184">
        <v>-99.108090959999998</v>
      </c>
    </row>
    <row r="1205" spans="1:3">
      <c r="A1205" s="184" t="s">
        <v>3459</v>
      </c>
      <c r="B1205" s="184">
        <v>18.936905729999999</v>
      </c>
      <c r="C1205" s="184">
        <v>-99.612660219999995</v>
      </c>
    </row>
    <row r="1206" spans="1:3">
      <c r="A1206" s="184" t="s">
        <v>3462</v>
      </c>
      <c r="B1206" s="184">
        <v>18.92366552</v>
      </c>
      <c r="C1206" s="184">
        <v>-99.584048659999993</v>
      </c>
    </row>
    <row r="1207" spans="1:3">
      <c r="A1207" s="184" t="s">
        <v>3464</v>
      </c>
      <c r="B1207" s="184">
        <v>19.19361447</v>
      </c>
      <c r="C1207" s="184">
        <v>-99.630275109999999</v>
      </c>
    </row>
    <row r="1208" spans="1:3">
      <c r="A1208" s="184" t="s">
        <v>3467</v>
      </c>
      <c r="B1208" s="184">
        <v>19.471142780000001</v>
      </c>
      <c r="C1208" s="184">
        <v>-99.215799509999997</v>
      </c>
    </row>
    <row r="1209" spans="1:3">
      <c r="A1209" s="184" t="s">
        <v>3469</v>
      </c>
      <c r="B1209" s="184">
        <v>19.679182749999999</v>
      </c>
      <c r="C1209" s="184">
        <v>-98.838961220000002</v>
      </c>
    </row>
    <row r="1210" spans="1:3">
      <c r="A1210" s="184" t="s">
        <v>3474</v>
      </c>
      <c r="B1210" s="184">
        <v>19.517293939999998</v>
      </c>
      <c r="C1210" s="184">
        <v>-99.213285319999997</v>
      </c>
    </row>
    <row r="1211" spans="1:3">
      <c r="A1211" s="184" t="s">
        <v>3476</v>
      </c>
      <c r="B1211" s="184">
        <v>19.405833820000002</v>
      </c>
      <c r="C1211" s="184">
        <v>-99.028497009999995</v>
      </c>
    </row>
    <row r="1212" spans="1:3">
      <c r="A1212" s="184" t="s">
        <v>3479</v>
      </c>
      <c r="B1212" s="184">
        <v>19.308675569999998</v>
      </c>
      <c r="C1212" s="184">
        <v>-98.939608559999996</v>
      </c>
    </row>
    <row r="1213" spans="1:3">
      <c r="A1213" s="184" t="s">
        <v>3483</v>
      </c>
      <c r="B1213" s="184">
        <v>19.227494660000001</v>
      </c>
      <c r="C1213" s="184">
        <v>-99.671639639999995</v>
      </c>
    </row>
    <row r="1214" spans="1:3">
      <c r="A1214" s="184" t="s">
        <v>3485</v>
      </c>
      <c r="B1214" s="184">
        <v>19.398472609999999</v>
      </c>
      <c r="C1214" s="184">
        <v>-99.470653380000002</v>
      </c>
    </row>
    <row r="1215" spans="1:3">
      <c r="A1215" s="184" t="s">
        <v>3487</v>
      </c>
      <c r="B1215" s="184">
        <v>19.31456142</v>
      </c>
      <c r="C1215" s="184">
        <v>-99.648686600000005</v>
      </c>
    </row>
    <row r="1216" spans="1:3">
      <c r="A1216" s="184" t="s">
        <v>3489</v>
      </c>
      <c r="B1216" s="184">
        <v>19.416314079999999</v>
      </c>
      <c r="C1216" s="184">
        <v>-99.497302099999999</v>
      </c>
    </row>
    <row r="1217" spans="1:3">
      <c r="A1217" s="184" t="s">
        <v>3492</v>
      </c>
      <c r="B1217" s="184">
        <v>18.957063059999999</v>
      </c>
      <c r="C1217" s="184">
        <v>-98.752879309999997</v>
      </c>
    </row>
    <row r="1218" spans="1:3">
      <c r="A1218" s="184" t="s">
        <v>3495</v>
      </c>
      <c r="B1218" s="184">
        <v>19.392733239999998</v>
      </c>
      <c r="C1218" s="184">
        <v>-99.470456990000002</v>
      </c>
    </row>
    <row r="1219" spans="1:3">
      <c r="A1219" s="184" t="s">
        <v>3497</v>
      </c>
      <c r="B1219" s="184">
        <v>19.777747529999999</v>
      </c>
      <c r="C1219" s="184">
        <v>-98.980508310000005</v>
      </c>
    </row>
    <row r="1220" spans="1:3">
      <c r="A1220" s="184" t="s">
        <v>3499</v>
      </c>
      <c r="B1220" s="184">
        <v>19.531243499999999</v>
      </c>
      <c r="C1220" s="184">
        <v>-99.048397199999997</v>
      </c>
    </row>
    <row r="1221" spans="1:3">
      <c r="A1221" s="184" t="s">
        <v>3501</v>
      </c>
      <c r="B1221" s="184">
        <v>19.53984737</v>
      </c>
      <c r="C1221" s="184">
        <v>-99.165441060000006</v>
      </c>
    </row>
    <row r="1222" spans="1:3">
      <c r="A1222" s="184" t="s">
        <v>3503</v>
      </c>
      <c r="B1222" s="184">
        <v>19.475673830000002</v>
      </c>
      <c r="C1222" s="184">
        <v>-98.891877339999994</v>
      </c>
    </row>
    <row r="1223" spans="1:3">
      <c r="A1223" s="184" t="s">
        <v>3507</v>
      </c>
      <c r="B1223" s="184">
        <v>19.53166293</v>
      </c>
      <c r="C1223" s="184">
        <v>-98.860529650000004</v>
      </c>
    </row>
    <row r="1224" spans="1:3">
      <c r="A1224" s="184" t="s">
        <v>3510</v>
      </c>
      <c r="B1224" s="184">
        <v>19.47923553</v>
      </c>
      <c r="C1224" s="184">
        <v>-98.803496789999997</v>
      </c>
    </row>
    <row r="1225" spans="1:3">
      <c r="A1225" s="184" t="s">
        <v>3513</v>
      </c>
      <c r="B1225" s="184">
        <v>19.626542839999999</v>
      </c>
      <c r="C1225" s="184">
        <v>-99.208852730000004</v>
      </c>
    </row>
    <row r="1226" spans="1:3">
      <c r="A1226" s="184" t="s">
        <v>3516</v>
      </c>
      <c r="B1226" s="184">
        <v>19.243666730000001</v>
      </c>
      <c r="C1226" s="184">
        <v>-99.397029110000005</v>
      </c>
    </row>
    <row r="1227" spans="1:3">
      <c r="A1227" s="184" t="s">
        <v>3519</v>
      </c>
      <c r="B1227" s="184">
        <v>19.2667526</v>
      </c>
      <c r="C1227" s="184">
        <v>-99.458829550000004</v>
      </c>
    </row>
    <row r="1228" spans="1:3">
      <c r="A1228" s="184" t="s">
        <v>3521</v>
      </c>
      <c r="B1228" s="184">
        <v>19.396229999999999</v>
      </c>
      <c r="C1228" s="184">
        <v>-99.040409999999994</v>
      </c>
    </row>
    <row r="1229" spans="1:3">
      <c r="A1229" s="184" t="s">
        <v>3523</v>
      </c>
      <c r="B1229" s="184">
        <v>19.565889599999998</v>
      </c>
      <c r="C1229" s="184">
        <v>-99.051710600000007</v>
      </c>
    </row>
    <row r="1230" spans="1:3">
      <c r="A1230" s="184" t="s">
        <v>3526</v>
      </c>
      <c r="B1230" s="184">
        <v>19.655346160000001</v>
      </c>
      <c r="C1230" s="184">
        <v>-98.900426859999996</v>
      </c>
    </row>
    <row r="1231" spans="1:3">
      <c r="A1231" s="184" t="s">
        <v>3529</v>
      </c>
      <c r="B1231" s="184">
        <v>18.951145189999998</v>
      </c>
      <c r="C1231" s="184">
        <v>-99.588362070000002</v>
      </c>
    </row>
    <row r="1232" spans="1:3">
      <c r="A1232" s="184" t="s">
        <v>3531</v>
      </c>
      <c r="B1232" s="184">
        <v>19.537385749999999</v>
      </c>
      <c r="C1232" s="184">
        <v>-98.830376400000006</v>
      </c>
    </row>
    <row r="1233" spans="1:3">
      <c r="A1233" s="184" t="s">
        <v>3533</v>
      </c>
      <c r="B1233" s="184">
        <v>19.540435859999999</v>
      </c>
      <c r="C1233" s="184">
        <v>-99.182963369999996</v>
      </c>
    </row>
    <row r="1234" spans="1:3">
      <c r="A1234" s="184" t="s">
        <v>3535</v>
      </c>
      <c r="B1234" s="184">
        <v>19.518640319999999</v>
      </c>
      <c r="C1234" s="184">
        <v>-99.218532280000005</v>
      </c>
    </row>
    <row r="1235" spans="1:3">
      <c r="A1235" s="184" t="s">
        <v>3537</v>
      </c>
      <c r="B1235" s="184">
        <v>19.471732240000001</v>
      </c>
      <c r="C1235" s="184">
        <v>-98.824396609999994</v>
      </c>
    </row>
    <row r="1236" spans="1:3">
      <c r="A1236" s="184" t="s">
        <v>3539</v>
      </c>
      <c r="B1236" s="184">
        <v>19.638869419999999</v>
      </c>
      <c r="C1236" s="184">
        <v>-99.293127389999995</v>
      </c>
    </row>
    <row r="1237" spans="1:3">
      <c r="A1237" s="184" t="s">
        <v>3542</v>
      </c>
      <c r="B1237" s="184">
        <v>19.39655127</v>
      </c>
      <c r="C1237" s="184">
        <v>-99.034868130000007</v>
      </c>
    </row>
    <row r="1238" spans="1:3">
      <c r="A1238" s="184" t="s">
        <v>3543</v>
      </c>
      <c r="B1238" s="184">
        <v>19.57441914</v>
      </c>
      <c r="C1238" s="184">
        <v>-99.188840819999996</v>
      </c>
    </row>
    <row r="1239" spans="1:3">
      <c r="A1239" s="184" t="s">
        <v>3546</v>
      </c>
      <c r="B1239" s="184">
        <v>19.245338610000001</v>
      </c>
      <c r="C1239" s="184">
        <v>-99.529554270000006</v>
      </c>
    </row>
    <row r="1240" spans="1:3">
      <c r="A1240" s="184" t="s">
        <v>3549</v>
      </c>
      <c r="B1240" s="184">
        <v>19.582780540000002</v>
      </c>
      <c r="C1240" s="184">
        <v>-99.047248420000003</v>
      </c>
    </row>
    <row r="1241" spans="1:3">
      <c r="A1241" s="184" t="s">
        <v>3550</v>
      </c>
      <c r="B1241" s="184">
        <v>19.635232219999999</v>
      </c>
      <c r="C1241" s="184">
        <v>-99.084033820000002</v>
      </c>
    </row>
    <row r="1242" spans="1:3">
      <c r="A1242" s="184" t="s">
        <v>3553</v>
      </c>
      <c r="B1242" s="184">
        <v>19.653519589999998</v>
      </c>
      <c r="C1242" s="184">
        <v>-99.383473390000006</v>
      </c>
    </row>
    <row r="1243" spans="1:3">
      <c r="A1243" s="184" t="s">
        <v>3556</v>
      </c>
      <c r="B1243" s="184">
        <v>19.559127589999999</v>
      </c>
      <c r="C1243" s="184">
        <v>-99.264880070000004</v>
      </c>
    </row>
    <row r="1244" spans="1:3">
      <c r="A1244" s="184" t="s">
        <v>3560</v>
      </c>
      <c r="B1244" s="184">
        <v>19.31500978</v>
      </c>
      <c r="C1244" s="184">
        <v>-98.934566000000004</v>
      </c>
    </row>
    <row r="1245" spans="1:3">
      <c r="A1245" s="184" t="s">
        <v>3563</v>
      </c>
      <c r="B1245" s="184">
        <v>19.06973417</v>
      </c>
      <c r="C1245" s="184">
        <v>-99.605387660000005</v>
      </c>
    </row>
    <row r="1246" spans="1:3">
      <c r="A1246" s="184" t="s">
        <v>3566</v>
      </c>
      <c r="B1246" s="184">
        <v>19.320368890000001</v>
      </c>
      <c r="C1246" s="184">
        <v>-99.462081859999998</v>
      </c>
    </row>
    <row r="1247" spans="1:3">
      <c r="A1247" s="184" t="s">
        <v>3569</v>
      </c>
      <c r="B1247" s="184">
        <v>19.58806607</v>
      </c>
      <c r="C1247" s="184">
        <v>-98.908932730000004</v>
      </c>
    </row>
    <row r="1248" spans="1:3">
      <c r="A1248" s="184" t="s">
        <v>3573</v>
      </c>
      <c r="B1248" s="184">
        <v>19.64341288</v>
      </c>
      <c r="C1248" s="184">
        <v>-98.883832060000003</v>
      </c>
    </row>
    <row r="1249" spans="1:3">
      <c r="A1249" s="184" t="s">
        <v>3575</v>
      </c>
      <c r="B1249" s="184">
        <v>19.112408299999998</v>
      </c>
      <c r="C1249" s="184">
        <v>-99.521924139999996</v>
      </c>
    </row>
    <row r="1250" spans="1:3">
      <c r="A1250" s="184" t="s">
        <v>3578</v>
      </c>
      <c r="B1250" s="184">
        <v>19.635363219999999</v>
      </c>
      <c r="C1250" s="184">
        <v>-98.92361056</v>
      </c>
    </row>
    <row r="1251" spans="1:3">
      <c r="A1251" s="184" t="s">
        <v>3580</v>
      </c>
      <c r="B1251" s="184">
        <v>19.762530600000002</v>
      </c>
      <c r="C1251" s="184">
        <v>-98.648811879999997</v>
      </c>
    </row>
    <row r="1252" spans="1:3">
      <c r="A1252" s="184" t="s">
        <v>3584</v>
      </c>
      <c r="B1252" s="184">
        <v>18.91950894</v>
      </c>
      <c r="C1252" s="184">
        <v>-99.557541040000004</v>
      </c>
    </row>
    <row r="1253" spans="1:3">
      <c r="A1253" s="184" t="s">
        <v>3586</v>
      </c>
      <c r="B1253" s="184">
        <v>19.052970070000001</v>
      </c>
      <c r="C1253" s="184">
        <v>-98.765934380000004</v>
      </c>
    </row>
    <row r="1254" spans="1:3">
      <c r="A1254" s="184" t="s">
        <v>3589</v>
      </c>
      <c r="B1254" s="184">
        <v>19.612185879999998</v>
      </c>
      <c r="C1254" s="184">
        <v>-99.303641970000001</v>
      </c>
    </row>
    <row r="1255" spans="1:3">
      <c r="A1255" s="184" t="s">
        <v>3592</v>
      </c>
      <c r="B1255" s="184">
        <v>19.405940309999998</v>
      </c>
      <c r="C1255" s="184">
        <v>-99.028844309999997</v>
      </c>
    </row>
    <row r="1256" spans="1:3">
      <c r="A1256" s="184" t="s">
        <v>3593</v>
      </c>
      <c r="B1256" s="184">
        <v>19.717704149999999</v>
      </c>
      <c r="C1256" s="184">
        <v>-99.344785389999998</v>
      </c>
    </row>
    <row r="1257" spans="1:3">
      <c r="A1257" s="184" t="s">
        <v>3596</v>
      </c>
      <c r="B1257" s="184">
        <v>19.13918717</v>
      </c>
      <c r="C1257" s="184">
        <v>-99.428043700000003</v>
      </c>
    </row>
    <row r="1258" spans="1:3">
      <c r="A1258" s="184" t="s">
        <v>3600</v>
      </c>
      <c r="B1258" s="184">
        <v>19.57881639</v>
      </c>
      <c r="C1258" s="184">
        <v>-99.039705299999994</v>
      </c>
    </row>
    <row r="1259" spans="1:3">
      <c r="A1259" s="184" t="s">
        <v>3603</v>
      </c>
      <c r="B1259" s="184">
        <v>19.488925689999999</v>
      </c>
      <c r="C1259" s="184">
        <v>-99.339307309999995</v>
      </c>
    </row>
    <row r="1260" spans="1:3">
      <c r="A1260" s="184" t="s">
        <v>3606</v>
      </c>
      <c r="B1260" s="184">
        <v>19.743543240000001</v>
      </c>
      <c r="C1260" s="184">
        <v>-98.951713990000002</v>
      </c>
    </row>
    <row r="1261" spans="1:3">
      <c r="A1261" s="184" t="s">
        <v>3609</v>
      </c>
      <c r="B1261" s="184">
        <v>19.510708319999999</v>
      </c>
      <c r="C1261" s="184">
        <v>-99.076556289999999</v>
      </c>
    </row>
    <row r="1262" spans="1:3">
      <c r="A1262" s="184" t="s">
        <v>3611</v>
      </c>
      <c r="B1262" s="184">
        <v>19.48051362</v>
      </c>
      <c r="C1262" s="184">
        <v>-99.046177420000006</v>
      </c>
    </row>
    <row r="1263" spans="1:3">
      <c r="A1263" s="184" t="s">
        <v>3614</v>
      </c>
      <c r="B1263" s="184">
        <v>19.456968549999999</v>
      </c>
      <c r="C1263" s="184">
        <v>-99.488998640000005</v>
      </c>
    </row>
    <row r="1264" spans="1:3">
      <c r="A1264" s="184" t="s">
        <v>3617</v>
      </c>
      <c r="B1264" s="184">
        <v>19.687057859999999</v>
      </c>
      <c r="C1264" s="184">
        <v>-99.094702589999997</v>
      </c>
    </row>
    <row r="1265" spans="1:3">
      <c r="A1265" s="184" t="s">
        <v>3619</v>
      </c>
      <c r="B1265" s="184">
        <v>19.389260149999998</v>
      </c>
      <c r="C1265" s="184">
        <v>-99.445347389999995</v>
      </c>
    </row>
    <row r="1266" spans="1:3">
      <c r="A1266" s="184" t="s">
        <v>3621</v>
      </c>
      <c r="B1266" s="184">
        <v>19.472823760000001</v>
      </c>
      <c r="C1266" s="184">
        <v>-99.055631869999999</v>
      </c>
    </row>
    <row r="1267" spans="1:3">
      <c r="A1267" s="184" t="s">
        <v>3623</v>
      </c>
      <c r="B1267" s="184">
        <v>19.111627720000001</v>
      </c>
      <c r="C1267" s="184">
        <v>-99.535879679999994</v>
      </c>
    </row>
    <row r="1268" spans="1:3">
      <c r="A1268" s="184" t="s">
        <v>3626</v>
      </c>
      <c r="B1268" s="184">
        <v>19.421594689999999</v>
      </c>
      <c r="C1268" s="184">
        <v>-99.032649579999998</v>
      </c>
    </row>
    <row r="1269" spans="1:3">
      <c r="A1269" s="184" t="s">
        <v>3628</v>
      </c>
      <c r="B1269" s="184">
        <v>19.41034209</v>
      </c>
      <c r="C1269" s="184">
        <v>-99.007865519999996</v>
      </c>
    </row>
    <row r="1270" spans="1:3">
      <c r="A1270" s="184" t="s">
        <v>3630</v>
      </c>
      <c r="B1270" s="184">
        <v>19.510320029999999</v>
      </c>
      <c r="C1270" s="184">
        <v>-99.08244019</v>
      </c>
    </row>
    <row r="1271" spans="1:3">
      <c r="A1271" s="184" t="s">
        <v>3632</v>
      </c>
      <c r="B1271" s="184">
        <v>19.27102365</v>
      </c>
      <c r="C1271" s="184">
        <v>-99.773703010000006</v>
      </c>
    </row>
    <row r="1272" spans="1:3">
      <c r="A1272" s="184" t="s">
        <v>3634</v>
      </c>
      <c r="B1272" s="184">
        <v>19.005606279999999</v>
      </c>
      <c r="C1272" s="184">
        <v>-99.550826970000003</v>
      </c>
    </row>
    <row r="1273" spans="1:3">
      <c r="A1273" s="184" t="s">
        <v>3636</v>
      </c>
      <c r="B1273" s="184">
        <v>19.576906449999999</v>
      </c>
      <c r="C1273" s="184">
        <v>-99.253541179999999</v>
      </c>
    </row>
    <row r="1274" spans="1:3">
      <c r="A1274" s="184" t="s">
        <v>3639</v>
      </c>
      <c r="B1274" s="184">
        <v>19.347684789999999</v>
      </c>
      <c r="C1274" s="184">
        <v>-98.979459590000005</v>
      </c>
    </row>
    <row r="1275" spans="1:3">
      <c r="A1275" s="184" t="s">
        <v>3642</v>
      </c>
      <c r="B1275" s="184">
        <v>19.399739690000001</v>
      </c>
      <c r="C1275" s="184">
        <v>-99.307424549999993</v>
      </c>
    </row>
    <row r="1276" spans="1:3">
      <c r="A1276" s="184" t="s">
        <v>3646</v>
      </c>
      <c r="B1276" s="184">
        <v>19.619945789999999</v>
      </c>
      <c r="C1276" s="184">
        <v>-99.092840269999996</v>
      </c>
    </row>
    <row r="1277" spans="1:3">
      <c r="A1277" s="184" t="s">
        <v>3649</v>
      </c>
      <c r="B1277" s="184">
        <v>19.273669569999999</v>
      </c>
      <c r="C1277" s="184">
        <v>-99.620142369999996</v>
      </c>
    </row>
    <row r="1278" spans="1:3">
      <c r="A1278" s="184" t="s">
        <v>3652</v>
      </c>
      <c r="B1278" s="184">
        <v>19.3051663</v>
      </c>
      <c r="C1278" s="184">
        <v>-99.592894369999996</v>
      </c>
    </row>
    <row r="1279" spans="1:3">
      <c r="A1279" s="184" t="s">
        <v>3654</v>
      </c>
      <c r="B1279" s="184">
        <v>19.653362349999998</v>
      </c>
      <c r="C1279" s="184">
        <v>-99.007230640000003</v>
      </c>
    </row>
    <row r="1280" spans="1:3">
      <c r="A1280" s="184" t="s">
        <v>3656</v>
      </c>
      <c r="B1280" s="184">
        <v>19.662080960000001</v>
      </c>
      <c r="C1280" s="184">
        <v>-99.068031520000005</v>
      </c>
    </row>
    <row r="1281" spans="1:3">
      <c r="A1281" s="184" t="s">
        <v>3660</v>
      </c>
      <c r="B1281" s="184">
        <v>19.567953169999999</v>
      </c>
      <c r="C1281" s="184">
        <v>-99.056200770000004</v>
      </c>
    </row>
    <row r="1282" spans="1:3">
      <c r="A1282" s="184" t="s">
        <v>3663</v>
      </c>
      <c r="B1282" s="184">
        <v>20.024997639999999</v>
      </c>
      <c r="C1282" s="184">
        <v>-99.963675550000005</v>
      </c>
    </row>
    <row r="1283" spans="1:3">
      <c r="A1283" s="184" t="s">
        <v>3665</v>
      </c>
      <c r="B1283" s="184">
        <v>19.451453000000001</v>
      </c>
      <c r="C1283" s="184">
        <v>-98.903334999999998</v>
      </c>
    </row>
    <row r="1284" spans="1:3">
      <c r="A1284" s="184" t="s">
        <v>3667</v>
      </c>
      <c r="B1284" s="184">
        <v>18.861792529999999</v>
      </c>
      <c r="C1284" s="184">
        <v>-99.553673079999996</v>
      </c>
    </row>
    <row r="1285" spans="1:3">
      <c r="A1285" s="184" t="s">
        <v>3670</v>
      </c>
      <c r="B1285" s="184">
        <v>18.901976779999998</v>
      </c>
      <c r="C1285" s="184">
        <v>-99.606856100000002</v>
      </c>
    </row>
    <row r="1286" spans="1:3">
      <c r="A1286" s="184" t="s">
        <v>3673</v>
      </c>
      <c r="B1286" s="184">
        <v>19.418789570000001</v>
      </c>
      <c r="C1286" s="184">
        <v>-99.269874639999998</v>
      </c>
    </row>
    <row r="1287" spans="1:3">
      <c r="A1287" s="184" t="s">
        <v>3675</v>
      </c>
      <c r="B1287" s="184">
        <v>19.60538919</v>
      </c>
      <c r="C1287" s="184">
        <v>-99.280601439999998</v>
      </c>
    </row>
    <row r="1288" spans="1:3">
      <c r="A1288" s="184" t="s">
        <v>3678</v>
      </c>
      <c r="B1288" s="184">
        <v>19.542226209999999</v>
      </c>
      <c r="C1288" s="184">
        <v>-99.090322310000005</v>
      </c>
    </row>
    <row r="1289" spans="1:3">
      <c r="A1289" s="184" t="s">
        <v>3679</v>
      </c>
      <c r="B1289" s="184">
        <v>19.563895070000001</v>
      </c>
      <c r="C1289" s="184">
        <v>-99.018304279999995</v>
      </c>
    </row>
    <row r="1290" spans="1:3">
      <c r="A1290" s="184" t="s">
        <v>3681</v>
      </c>
      <c r="B1290" s="184">
        <v>19.49433239</v>
      </c>
      <c r="C1290" s="184">
        <v>-99.841900330000001</v>
      </c>
    </row>
    <row r="1291" spans="1:3">
      <c r="A1291" s="184" t="s">
        <v>3683</v>
      </c>
      <c r="B1291" s="184">
        <v>19.656347520000001</v>
      </c>
      <c r="C1291" s="184">
        <v>-99.117673730000007</v>
      </c>
    </row>
    <row r="1292" spans="1:3">
      <c r="A1292" s="184" t="s">
        <v>3687</v>
      </c>
      <c r="B1292" s="184">
        <v>18.962860429999999</v>
      </c>
      <c r="C1292" s="184">
        <v>-99.558394489999998</v>
      </c>
    </row>
    <row r="1293" spans="1:3">
      <c r="A1293" s="184" t="s">
        <v>3689</v>
      </c>
      <c r="B1293" s="184">
        <v>19.597428239999999</v>
      </c>
      <c r="C1293" s="184">
        <v>-99.28710615</v>
      </c>
    </row>
    <row r="1294" spans="1:3">
      <c r="A1294" s="184" t="s">
        <v>3691</v>
      </c>
      <c r="B1294" s="184">
        <v>19.535400800000001</v>
      </c>
      <c r="C1294" s="184">
        <v>-99.041145709999995</v>
      </c>
    </row>
    <row r="1295" spans="1:3">
      <c r="A1295" s="184" t="s">
        <v>3694</v>
      </c>
      <c r="B1295" s="184">
        <v>19.62082491</v>
      </c>
      <c r="C1295" s="184">
        <v>-99.773712649999993</v>
      </c>
    </row>
    <row r="1296" spans="1:3">
      <c r="A1296" s="184" t="s">
        <v>3698</v>
      </c>
      <c r="B1296" s="184">
        <v>18.96160261</v>
      </c>
      <c r="C1296" s="184">
        <v>-99.962207390000003</v>
      </c>
    </row>
    <row r="1297" spans="1:3">
      <c r="A1297" s="184" t="s">
        <v>3701</v>
      </c>
      <c r="B1297" s="184">
        <v>18.879980010000001</v>
      </c>
      <c r="C1297" s="184">
        <v>-99.426799160000002</v>
      </c>
    </row>
    <row r="1298" spans="1:3">
      <c r="A1298" s="184" t="s">
        <v>3705</v>
      </c>
      <c r="B1298" s="184">
        <v>18.913874379999999</v>
      </c>
      <c r="C1298" s="184">
        <v>-99.486770730000003</v>
      </c>
    </row>
    <row r="1299" spans="1:3">
      <c r="A1299" s="184" t="s">
        <v>3709</v>
      </c>
      <c r="B1299" s="184">
        <v>19.595631180000002</v>
      </c>
      <c r="C1299" s="184">
        <v>-99.246775380000003</v>
      </c>
    </row>
    <row r="1300" spans="1:3">
      <c r="A1300" s="184" t="s">
        <v>3710</v>
      </c>
      <c r="B1300" s="184">
        <v>18.913881159999999</v>
      </c>
      <c r="C1300" s="184">
        <v>-99.917028259999995</v>
      </c>
    </row>
    <row r="1301" spans="1:3">
      <c r="A1301" s="184" t="s">
        <v>3712</v>
      </c>
      <c r="B1301" s="184">
        <v>19.22420018</v>
      </c>
      <c r="C1301" s="184">
        <v>-98.807663450000007</v>
      </c>
    </row>
    <row r="1302" spans="1:3">
      <c r="A1302" s="184" t="s">
        <v>3716</v>
      </c>
      <c r="B1302" s="184">
        <v>18.869712450000002</v>
      </c>
      <c r="C1302" s="184">
        <v>-99.962696930000007</v>
      </c>
    </row>
    <row r="1303" spans="1:3">
      <c r="A1303" s="184" t="s">
        <v>3720</v>
      </c>
      <c r="B1303" s="184">
        <v>19.773420170000001</v>
      </c>
      <c r="C1303" s="184">
        <v>-98.999856719999997</v>
      </c>
    </row>
    <row r="1304" spans="1:3">
      <c r="A1304" s="184" t="s">
        <v>3723</v>
      </c>
      <c r="B1304" s="184">
        <v>19.867212429999999</v>
      </c>
      <c r="C1304" s="184">
        <v>-99.133506310000001</v>
      </c>
    </row>
    <row r="1305" spans="1:3">
      <c r="A1305" s="184" t="s">
        <v>3725</v>
      </c>
      <c r="B1305" s="184">
        <v>19.61203802</v>
      </c>
      <c r="C1305" s="184">
        <v>-98.964166899999995</v>
      </c>
    </row>
    <row r="1306" spans="1:3">
      <c r="A1306" s="184" t="s">
        <v>3726</v>
      </c>
      <c r="B1306" s="184">
        <v>19.661310870000001</v>
      </c>
      <c r="C1306" s="184">
        <v>-99.370424159999999</v>
      </c>
    </row>
    <row r="1307" spans="1:3">
      <c r="A1307" s="184" t="s">
        <v>3727</v>
      </c>
      <c r="B1307" s="184">
        <v>19.056200109999999</v>
      </c>
      <c r="C1307" s="184">
        <v>-98.794217090000004</v>
      </c>
    </row>
    <row r="1308" spans="1:3">
      <c r="A1308" s="184" t="s">
        <v>3730</v>
      </c>
      <c r="B1308" s="184">
        <v>19.27082377</v>
      </c>
      <c r="C1308" s="184">
        <v>-98.902667280000003</v>
      </c>
    </row>
    <row r="1309" spans="1:3">
      <c r="A1309" s="184" t="s">
        <v>3732</v>
      </c>
      <c r="B1309" s="184">
        <v>19.625248060000001</v>
      </c>
      <c r="C1309" s="184">
        <v>-99.299340259999994</v>
      </c>
    </row>
    <row r="1310" spans="1:3">
      <c r="A1310" s="184" t="s">
        <v>3733</v>
      </c>
      <c r="B1310" s="184">
        <v>18.844309450000001</v>
      </c>
      <c r="C1310" s="184">
        <v>-99.850209879999994</v>
      </c>
    </row>
    <row r="1311" spans="1:3">
      <c r="A1311" s="184" t="s">
        <v>3737</v>
      </c>
      <c r="B1311" s="184">
        <v>20.006309340000001</v>
      </c>
      <c r="C1311" s="184">
        <v>-99.880944339999999</v>
      </c>
    </row>
    <row r="1312" spans="1:3">
      <c r="A1312" s="184" t="s">
        <v>3739</v>
      </c>
      <c r="B1312" s="184">
        <v>19.603030830000002</v>
      </c>
      <c r="C1312" s="184">
        <v>-99.254881100000006</v>
      </c>
    </row>
    <row r="1313" spans="1:3">
      <c r="A1313" s="184" t="s">
        <v>3742</v>
      </c>
      <c r="B1313" s="184">
        <v>19.2625721</v>
      </c>
      <c r="C1313" s="184">
        <v>-99.695133729999995</v>
      </c>
    </row>
    <row r="1314" spans="1:3">
      <c r="A1314" s="184" t="s">
        <v>3744</v>
      </c>
      <c r="B1314" s="184">
        <v>19.89420501</v>
      </c>
      <c r="C1314" s="184">
        <v>-98.884240730000002</v>
      </c>
    </row>
    <row r="1315" spans="1:3">
      <c r="A1315" s="184" t="s">
        <v>3748</v>
      </c>
      <c r="B1315" s="184">
        <v>19.939233900000001</v>
      </c>
      <c r="C1315" s="184">
        <v>-98.986985750000002</v>
      </c>
    </row>
    <row r="1316" spans="1:3">
      <c r="A1316" s="184" t="s">
        <v>3751</v>
      </c>
      <c r="B1316" s="184">
        <v>18.901608370000002</v>
      </c>
      <c r="C1316" s="184">
        <v>-99.776021869999994</v>
      </c>
    </row>
    <row r="1317" spans="1:3">
      <c r="A1317" s="184" t="s">
        <v>3755</v>
      </c>
      <c r="B1317" s="184">
        <v>19.143363470000001</v>
      </c>
      <c r="C1317" s="184">
        <v>-98.844039760000001</v>
      </c>
    </row>
    <row r="1318" spans="1:3">
      <c r="A1318" s="184" t="s">
        <v>3757</v>
      </c>
      <c r="B1318" s="184">
        <v>18.804664769999999</v>
      </c>
      <c r="C1318" s="184">
        <v>-99.456427120000001</v>
      </c>
    </row>
    <row r="1319" spans="1:3">
      <c r="A1319" s="184" t="s">
        <v>3758</v>
      </c>
      <c r="B1319" s="184">
        <v>19.061306349999999</v>
      </c>
      <c r="C1319" s="184">
        <v>-98.782005889999994</v>
      </c>
    </row>
    <row r="1320" spans="1:3">
      <c r="A1320" s="184" t="s">
        <v>3761</v>
      </c>
      <c r="B1320" s="184">
        <v>19.71956625</v>
      </c>
      <c r="C1320" s="184">
        <v>-99.083114320000007</v>
      </c>
    </row>
    <row r="1321" spans="1:3">
      <c r="A1321" s="184" t="s">
        <v>3764</v>
      </c>
      <c r="B1321" s="184">
        <v>19.566884869999999</v>
      </c>
      <c r="C1321" s="184">
        <v>-99.086701750000003</v>
      </c>
    </row>
    <row r="1322" spans="1:3">
      <c r="A1322" s="184" t="s">
        <v>3766</v>
      </c>
      <c r="B1322" s="184">
        <v>19.73382595</v>
      </c>
      <c r="C1322" s="184">
        <v>-98.639518159999994</v>
      </c>
    </row>
    <row r="1323" spans="1:3">
      <c r="A1323" s="184" t="s">
        <v>3769</v>
      </c>
      <c r="B1323" s="184">
        <v>19.872414899999999</v>
      </c>
      <c r="C1323" s="184">
        <v>-99.114154740000004</v>
      </c>
    </row>
    <row r="1324" spans="1:3">
      <c r="A1324" s="184" t="s">
        <v>3772</v>
      </c>
      <c r="B1324" s="184">
        <v>19.1398276</v>
      </c>
      <c r="C1324" s="184">
        <v>-98.800081919999997</v>
      </c>
    </row>
    <row r="1325" spans="1:3">
      <c r="A1325" s="184" t="s">
        <v>3776</v>
      </c>
      <c r="B1325" s="184">
        <v>19.568604000000001</v>
      </c>
      <c r="C1325" s="184">
        <v>-99.603753400000002</v>
      </c>
    </row>
    <row r="1326" spans="1:3">
      <c r="A1326" s="184" t="s">
        <v>3780</v>
      </c>
      <c r="B1326" s="184">
        <v>19.355112559999998</v>
      </c>
      <c r="C1326" s="184">
        <v>-99.388287719999994</v>
      </c>
    </row>
    <row r="1327" spans="1:3">
      <c r="A1327" s="184" t="s">
        <v>3783</v>
      </c>
      <c r="B1327" s="184">
        <v>19.611593500000001</v>
      </c>
      <c r="C1327" s="184">
        <v>-99.749348900000001</v>
      </c>
    </row>
    <row r="1328" spans="1:3">
      <c r="A1328" s="184" t="s">
        <v>3786</v>
      </c>
      <c r="B1328" s="184">
        <v>19.969612000000001</v>
      </c>
      <c r="C1328" s="184">
        <v>-99.886353</v>
      </c>
    </row>
    <row r="1329" spans="1:3">
      <c r="A1329" s="184" t="s">
        <v>3789</v>
      </c>
      <c r="B1329" s="184">
        <v>19.938505880000001</v>
      </c>
      <c r="C1329" s="184">
        <v>-99.786521010000001</v>
      </c>
    </row>
    <row r="1330" spans="1:3">
      <c r="A1330" s="184" t="s">
        <v>3792</v>
      </c>
      <c r="B1330" s="184">
        <v>19.668383259999999</v>
      </c>
      <c r="C1330" s="184">
        <v>-98.933849600000002</v>
      </c>
    </row>
    <row r="1331" spans="1:3">
      <c r="A1331" s="184" t="s">
        <v>3795</v>
      </c>
      <c r="B1331" s="184">
        <v>20.146827819999999</v>
      </c>
      <c r="C1331" s="184">
        <v>-99.796102329999997</v>
      </c>
    </row>
    <row r="1332" spans="1:3">
      <c r="A1332" s="184" t="s">
        <v>3799</v>
      </c>
      <c r="B1332" s="184">
        <v>18.89927801</v>
      </c>
      <c r="C1332" s="184">
        <v>-99.918335200000001</v>
      </c>
    </row>
    <row r="1333" spans="1:3">
      <c r="A1333" s="184" t="s">
        <v>3802</v>
      </c>
      <c r="B1333" s="184">
        <v>18.827871630000001</v>
      </c>
      <c r="C1333" s="184">
        <v>-99.819530330000006</v>
      </c>
    </row>
    <row r="1334" spans="1:3">
      <c r="A1334" s="184" t="s">
        <v>3805</v>
      </c>
      <c r="B1334" s="184">
        <v>18.8351556</v>
      </c>
      <c r="C1334" s="184">
        <v>-99.808729299999996</v>
      </c>
    </row>
    <row r="1335" spans="1:3">
      <c r="A1335" s="186" t="s">
        <v>3808</v>
      </c>
      <c r="B1335" s="184">
        <v>19.482326799999999</v>
      </c>
      <c r="C1335" s="184">
        <v>-99.867040900000006</v>
      </c>
    </row>
    <row r="1336" spans="1:3">
      <c r="A1336" s="186" t="s">
        <v>3811</v>
      </c>
      <c r="B1336" s="184">
        <v>19.388272239999999</v>
      </c>
      <c r="C1336" s="184">
        <v>-99.746203249999994</v>
      </c>
    </row>
    <row r="1337" spans="1:3">
      <c r="A1337" s="186" t="s">
        <v>3814</v>
      </c>
      <c r="B1337" s="184">
        <v>19.3932021</v>
      </c>
      <c r="C1337" s="184">
        <v>-99.771852699999997</v>
      </c>
    </row>
    <row r="1338" spans="1:3">
      <c r="A1338" s="184" t="s">
        <v>3817</v>
      </c>
      <c r="B1338" s="184">
        <v>19.48508459</v>
      </c>
      <c r="C1338" s="184">
        <v>-99.796652440000003</v>
      </c>
    </row>
    <row r="1339" spans="1:3">
      <c r="A1339" s="186" t="s">
        <v>3820</v>
      </c>
      <c r="B1339" s="184">
        <v>19.248837219999999</v>
      </c>
      <c r="C1339" s="184">
        <v>-100.0576612</v>
      </c>
    </row>
    <row r="1340" spans="1:3">
      <c r="A1340" s="184" t="s">
        <v>3823</v>
      </c>
      <c r="B1340" s="184">
        <v>19.271536579999999</v>
      </c>
      <c r="C1340" s="184">
        <v>-99.949746880000006</v>
      </c>
    </row>
    <row r="1341" spans="1:3">
      <c r="A1341" s="186" t="s">
        <v>3826</v>
      </c>
      <c r="B1341" s="184">
        <v>19.232931000000001</v>
      </c>
      <c r="C1341" s="184">
        <v>-100.1141332</v>
      </c>
    </row>
    <row r="1342" spans="1:3">
      <c r="A1342" s="184" t="s">
        <v>3829</v>
      </c>
      <c r="B1342" s="184">
        <v>19.392843500000001</v>
      </c>
      <c r="C1342" s="184">
        <v>-99.143381919999996</v>
      </c>
    </row>
    <row r="1343" spans="1:3">
      <c r="A1343" s="184" t="s">
        <v>3830</v>
      </c>
      <c r="B1343" s="184">
        <v>18.679182000000001</v>
      </c>
      <c r="C1343" s="184">
        <v>-100.331147</v>
      </c>
    </row>
    <row r="1344" spans="1:3">
      <c r="A1344" s="184" t="s">
        <v>3834</v>
      </c>
      <c r="B1344" s="184">
        <v>18.700144080000001</v>
      </c>
      <c r="C1344" s="184">
        <v>-100.3733692</v>
      </c>
    </row>
    <row r="1345" spans="1:3">
      <c r="A1345" s="184" t="s">
        <v>3837</v>
      </c>
      <c r="B1345" s="184">
        <v>18.7917345</v>
      </c>
      <c r="C1345" s="184">
        <v>-100.17807070000001</v>
      </c>
    </row>
    <row r="1346" spans="1:3">
      <c r="A1346" s="184" t="s">
        <v>3840</v>
      </c>
      <c r="B1346" s="184">
        <v>19.144553699999999</v>
      </c>
      <c r="C1346" s="184">
        <v>-98.786826899999994</v>
      </c>
    </row>
    <row r="1347" spans="1:3">
      <c r="A1347" s="184" t="s">
        <v>3844</v>
      </c>
      <c r="B1347" s="184">
        <v>19.1989622</v>
      </c>
      <c r="C1347" s="184">
        <v>-98.869371599999994</v>
      </c>
    </row>
    <row r="1348" spans="1:3">
      <c r="A1348" s="184" t="s">
        <v>3847</v>
      </c>
      <c r="B1348" s="184">
        <v>19.578953340000002</v>
      </c>
      <c r="C1348" s="184">
        <v>-98.925536930000007</v>
      </c>
    </row>
    <row r="1349" spans="1:3">
      <c r="A1349" s="184" t="s">
        <v>3851</v>
      </c>
      <c r="B1349" s="184">
        <v>19.577992999999999</v>
      </c>
      <c r="C1349" s="184">
        <v>-99.256084000000001</v>
      </c>
    </row>
    <row r="1350" spans="1:3">
      <c r="A1350" s="184" t="s">
        <v>3854</v>
      </c>
      <c r="B1350" s="184">
        <v>19.88152822</v>
      </c>
      <c r="C1350" s="184">
        <v>-99.922642760000002</v>
      </c>
    </row>
    <row r="1351" spans="1:3">
      <c r="A1351" s="184" t="s">
        <v>3858</v>
      </c>
      <c r="B1351" s="184">
        <v>19.874091100000001</v>
      </c>
      <c r="C1351" s="184">
        <v>-98.778584199999997</v>
      </c>
    </row>
    <row r="1352" spans="1:3">
      <c r="A1352" s="184" t="s">
        <v>3861</v>
      </c>
      <c r="B1352" s="184">
        <v>19.706531900000002</v>
      </c>
      <c r="C1352" s="184">
        <v>-98.829470900000004</v>
      </c>
    </row>
    <row r="1353" spans="1:3">
      <c r="A1353" s="184" t="s">
        <v>3864</v>
      </c>
      <c r="B1353" s="184">
        <v>19.763615600000001</v>
      </c>
      <c r="C1353" s="184">
        <v>-98.647397400000003</v>
      </c>
    </row>
    <row r="1354" spans="1:3">
      <c r="A1354" s="184" t="s">
        <v>3867</v>
      </c>
      <c r="B1354" s="184">
        <v>19.188893799999999</v>
      </c>
      <c r="C1354" s="184">
        <v>-99.556232800000004</v>
      </c>
    </row>
    <row r="1355" spans="1:3">
      <c r="A1355" s="184" t="s">
        <v>3870</v>
      </c>
      <c r="B1355" s="184">
        <v>19.387639450000002</v>
      </c>
      <c r="C1355" s="184">
        <v>-98.958238289999997</v>
      </c>
    </row>
    <row r="1356" spans="1:3">
      <c r="A1356" s="184" t="s">
        <v>3873</v>
      </c>
      <c r="B1356" s="184">
        <v>19.625219999999999</v>
      </c>
      <c r="C1356" s="184">
        <v>-99.107161099999999</v>
      </c>
    </row>
    <row r="1357" spans="1:3">
      <c r="A1357" s="184" t="s">
        <v>3876</v>
      </c>
      <c r="B1357" s="184">
        <v>18.877754400000001</v>
      </c>
      <c r="C1357" s="184">
        <v>-99.751140399999997</v>
      </c>
    </row>
    <row r="1358" spans="1:3">
      <c r="A1358" s="184" t="s">
        <v>3878</v>
      </c>
      <c r="B1358" s="184">
        <v>18.906084400000001</v>
      </c>
      <c r="C1358" s="184">
        <v>-99.788609300000005</v>
      </c>
    </row>
    <row r="1359" spans="1:3">
      <c r="A1359" s="184" t="s">
        <v>3881</v>
      </c>
      <c r="B1359" s="184">
        <v>19.009179769999999</v>
      </c>
      <c r="C1359" s="184">
        <v>-99.786644240000001</v>
      </c>
    </row>
    <row r="1360" spans="1:3">
      <c r="A1360" s="184" t="s">
        <v>3884</v>
      </c>
      <c r="B1360" s="184">
        <v>19.268629399999998</v>
      </c>
      <c r="C1360" s="184">
        <v>-99.671726199999995</v>
      </c>
    </row>
    <row r="1361" spans="1:3">
      <c r="A1361" s="184" t="s">
        <v>3887</v>
      </c>
      <c r="B1361" s="184">
        <v>19.431424</v>
      </c>
      <c r="C1361" s="184">
        <v>-100.3618304</v>
      </c>
    </row>
    <row r="1362" spans="1:3">
      <c r="A1362" s="184" t="s">
        <v>3891</v>
      </c>
      <c r="B1362" s="184">
        <v>19.325877970000001</v>
      </c>
      <c r="C1362" s="184">
        <v>-100.0916533</v>
      </c>
    </row>
    <row r="1363" spans="1:3">
      <c r="A1363" s="184" t="s">
        <v>3894</v>
      </c>
      <c r="B1363" s="184">
        <v>19.554448470000001</v>
      </c>
      <c r="C1363" s="184">
        <v>-99.016257280000005</v>
      </c>
    </row>
    <row r="1364" spans="1:3">
      <c r="A1364" s="184" t="s">
        <v>3896</v>
      </c>
      <c r="B1364" s="184">
        <v>19.493392320000002</v>
      </c>
      <c r="C1364" s="184">
        <v>-99.025622519999999</v>
      </c>
    </row>
    <row r="1365" spans="1:3">
      <c r="A1365" s="184" t="s">
        <v>3898</v>
      </c>
      <c r="B1365" s="184">
        <v>19.833385119999999</v>
      </c>
      <c r="C1365" s="184">
        <v>-99.191420199999996</v>
      </c>
    </row>
    <row r="1366" spans="1:3">
      <c r="A1366" s="184" t="s">
        <v>3901</v>
      </c>
      <c r="B1366" s="184">
        <v>19.9334226</v>
      </c>
      <c r="C1366" s="184">
        <v>-99.00855396</v>
      </c>
    </row>
    <row r="1367" spans="1:3">
      <c r="A1367" s="184" t="s">
        <v>3904</v>
      </c>
      <c r="B1367" s="184">
        <v>19.361000000000001</v>
      </c>
      <c r="C1367" s="184">
        <v>-99.35</v>
      </c>
    </row>
    <row r="1368" spans="1:3">
      <c r="A1368" s="184" t="s">
        <v>3907</v>
      </c>
      <c r="B1368" s="184">
        <v>19.318194429999998</v>
      </c>
      <c r="C1368" s="184">
        <v>-98.913919340000007</v>
      </c>
    </row>
    <row r="1369" spans="1:3">
      <c r="A1369" s="184" t="s">
        <v>3910</v>
      </c>
      <c r="B1369" s="184">
        <v>19.2984787</v>
      </c>
      <c r="C1369" s="184">
        <v>-98.922420500000001</v>
      </c>
    </row>
    <row r="1370" spans="1:3">
      <c r="A1370" s="184" t="s">
        <v>3913</v>
      </c>
      <c r="B1370" s="184">
        <v>19.597405299999998</v>
      </c>
      <c r="C1370" s="184">
        <v>-99.825967800000001</v>
      </c>
    </row>
    <row r="1371" spans="1:3">
      <c r="A1371" s="184" t="s">
        <v>3916</v>
      </c>
      <c r="B1371" s="184">
        <v>19.48929158</v>
      </c>
      <c r="C1371" s="184">
        <v>-99.728197519999995</v>
      </c>
    </row>
    <row r="1372" spans="1:3">
      <c r="A1372" s="184" t="s">
        <v>3919</v>
      </c>
      <c r="B1372" s="184">
        <v>19.956747239999999</v>
      </c>
      <c r="C1372" s="184">
        <v>-99.650998549999997</v>
      </c>
    </row>
    <row r="1373" spans="1:3">
      <c r="A1373" s="184" t="s">
        <v>3923</v>
      </c>
      <c r="B1373" s="184">
        <v>19.984275090000001</v>
      </c>
      <c r="C1373" s="184">
        <v>-99.669439690000004</v>
      </c>
    </row>
    <row r="1374" spans="1:3">
      <c r="A1374" s="187" t="s">
        <v>3925</v>
      </c>
      <c r="B1374" s="184">
        <v>19.434700800000002</v>
      </c>
      <c r="C1374" s="184">
        <v>-99.139583999999999</v>
      </c>
    </row>
    <row r="1375" spans="1:3">
      <c r="A1375" s="184" t="s">
        <v>3929</v>
      </c>
      <c r="B1375" s="184">
        <v>19.418582829999998</v>
      </c>
      <c r="C1375" s="184">
        <v>-99.408575540000001</v>
      </c>
    </row>
    <row r="1376" spans="1:3">
      <c r="A1376" s="184" t="s">
        <v>3932</v>
      </c>
      <c r="B1376" s="184">
        <v>18.982019269999999</v>
      </c>
      <c r="C1376" s="184">
        <v>-100.2627888</v>
      </c>
    </row>
    <row r="1377" spans="1:3">
      <c r="A1377" s="184" t="s">
        <v>3935</v>
      </c>
      <c r="B1377" s="184">
        <v>18.924190200000002</v>
      </c>
      <c r="C1377" s="184">
        <v>-100.4566281</v>
      </c>
    </row>
    <row r="1378" spans="1:3">
      <c r="A1378" s="184" t="s">
        <v>3938</v>
      </c>
      <c r="B1378" s="184">
        <v>19.05385643</v>
      </c>
      <c r="C1378" s="184">
        <v>-100.3473281</v>
      </c>
    </row>
    <row r="1379" spans="1:3">
      <c r="A1379" s="184" t="s">
        <v>3940</v>
      </c>
      <c r="B1379" s="184">
        <v>19.49228067</v>
      </c>
      <c r="C1379" s="184">
        <v>-99.277843509999997</v>
      </c>
    </row>
    <row r="1380" spans="1:3">
      <c r="A1380" s="184" t="s">
        <v>3943</v>
      </c>
      <c r="B1380" s="184">
        <v>19.46835329</v>
      </c>
      <c r="C1380" s="184">
        <v>-99.271810079999995</v>
      </c>
    </row>
    <row r="1381" spans="1:3">
      <c r="A1381" s="184" t="s">
        <v>3946</v>
      </c>
      <c r="B1381" s="184">
        <v>19.577378320000001</v>
      </c>
      <c r="C1381" s="184">
        <v>-99.414157579999994</v>
      </c>
    </row>
    <row r="1382" spans="1:3">
      <c r="A1382" s="184" t="s">
        <v>3949</v>
      </c>
      <c r="B1382" s="184">
        <v>19.656942489999999</v>
      </c>
      <c r="C1382" s="184">
        <v>-98.77585526</v>
      </c>
    </row>
    <row r="1383" spans="1:3">
      <c r="A1383" s="184" t="s">
        <v>3952</v>
      </c>
      <c r="B1383" s="184">
        <v>19.634371439999999</v>
      </c>
      <c r="C1383" s="184">
        <v>-98.800716359999996</v>
      </c>
    </row>
    <row r="1384" spans="1:3">
      <c r="A1384" s="184" t="s">
        <v>3955</v>
      </c>
      <c r="B1384" s="184">
        <v>19.68521921</v>
      </c>
      <c r="C1384" s="184">
        <v>-98.732439339999999</v>
      </c>
    </row>
    <row r="1385" spans="1:3">
      <c r="A1385" s="186" t="s">
        <v>3958</v>
      </c>
      <c r="B1385" s="184">
        <v>19.134524930000001</v>
      </c>
      <c r="C1385" s="184">
        <v>-100.213156</v>
      </c>
    </row>
    <row r="1386" spans="1:3">
      <c r="A1386" s="184" t="s">
        <v>3962</v>
      </c>
      <c r="B1386" s="184">
        <v>19.2526805</v>
      </c>
      <c r="C1386" s="184">
        <v>-99.667559400000002</v>
      </c>
    </row>
    <row r="1387" spans="1:3">
      <c r="A1387" s="184" t="s">
        <v>3965</v>
      </c>
      <c r="B1387" s="184">
        <v>19.13212772</v>
      </c>
      <c r="C1387" s="184">
        <v>-99.574794690000004</v>
      </c>
    </row>
    <row r="1388" spans="1:3">
      <c r="A1388" s="184" t="s">
        <v>3969</v>
      </c>
      <c r="B1388" s="184">
        <v>19.434700800000002</v>
      </c>
      <c r="C1388" s="184">
        <v>-99.139583999999999</v>
      </c>
    </row>
    <row r="1389" spans="1:3">
      <c r="A1389" s="184" t="s">
        <v>3973</v>
      </c>
      <c r="B1389" s="184">
        <v>19.752817100000001</v>
      </c>
      <c r="C1389" s="184">
        <v>-100.0222773</v>
      </c>
    </row>
    <row r="1390" spans="1:3">
      <c r="A1390" s="184" t="s">
        <v>3976</v>
      </c>
      <c r="B1390" s="184">
        <v>19.712030970000001</v>
      </c>
      <c r="C1390" s="184">
        <v>-98.788242030000006</v>
      </c>
    </row>
    <row r="1391" spans="1:3">
      <c r="A1391" s="184" t="s">
        <v>3980</v>
      </c>
      <c r="B1391" s="184">
        <v>18.742948380000001</v>
      </c>
      <c r="C1391" s="184">
        <v>-100.0506331</v>
      </c>
    </row>
    <row r="1392" spans="1:3">
      <c r="A1392" s="184" t="s">
        <v>3982</v>
      </c>
      <c r="B1392" s="184">
        <v>18.859331959999999</v>
      </c>
      <c r="C1392" s="184">
        <v>-99.966666459999999</v>
      </c>
    </row>
    <row r="1393" spans="1:3">
      <c r="A1393" s="184" t="s">
        <v>3985</v>
      </c>
      <c r="B1393" s="184">
        <v>19.761686709999999</v>
      </c>
      <c r="C1393" s="184">
        <v>-98.947995899999995</v>
      </c>
    </row>
    <row r="1394" spans="1:3">
      <c r="A1394" s="184" t="s">
        <v>3988</v>
      </c>
      <c r="B1394" s="184">
        <v>19.03423609</v>
      </c>
      <c r="C1394" s="184">
        <v>-100.04822129999999</v>
      </c>
    </row>
    <row r="1395" spans="1:3">
      <c r="A1395" s="184" t="s">
        <v>3992</v>
      </c>
      <c r="B1395" s="184">
        <v>19.256123500000001</v>
      </c>
      <c r="C1395" s="184">
        <v>-99.519460199999997</v>
      </c>
    </row>
    <row r="1396" spans="1:3">
      <c r="A1396" s="184" t="s">
        <v>3995</v>
      </c>
      <c r="B1396" s="184">
        <v>19.2127859</v>
      </c>
      <c r="C1396" s="184">
        <v>-99.417272800000006</v>
      </c>
    </row>
    <row r="1397" spans="1:3">
      <c r="A1397" s="184" t="s">
        <v>3997</v>
      </c>
      <c r="B1397" s="184">
        <v>19.84408444</v>
      </c>
      <c r="C1397" s="184">
        <v>-98.863843349999996</v>
      </c>
    </row>
    <row r="1398" spans="1:3">
      <c r="A1398" s="184" t="s">
        <v>4000</v>
      </c>
      <c r="B1398" s="184">
        <v>18.995829100000002</v>
      </c>
      <c r="C1398" s="184">
        <v>-99.571537899999996</v>
      </c>
    </row>
    <row r="1399" spans="1:3">
      <c r="A1399" s="184" t="s">
        <v>4003</v>
      </c>
      <c r="B1399" s="184">
        <v>19.140796999999999</v>
      </c>
      <c r="C1399" s="184">
        <v>-98.854769300000001</v>
      </c>
    </row>
    <row r="1400" spans="1:3">
      <c r="A1400" s="184" t="s">
        <v>4006</v>
      </c>
      <c r="B1400" s="184">
        <v>19.1529484</v>
      </c>
      <c r="C1400" s="184">
        <v>-98.856279999999998</v>
      </c>
    </row>
    <row r="1401" spans="1:3">
      <c r="A1401" s="184" t="s">
        <v>4009</v>
      </c>
      <c r="B1401" s="184">
        <v>19.772564299999999</v>
      </c>
      <c r="C1401" s="184">
        <v>-99.226922700000003</v>
      </c>
    </row>
    <row r="1402" spans="1:3">
      <c r="A1402" s="184" t="s">
        <v>4012</v>
      </c>
      <c r="B1402" s="184">
        <v>19.698609149999999</v>
      </c>
      <c r="C1402" s="184">
        <v>-98.930889309999998</v>
      </c>
    </row>
    <row r="1403" spans="1:3">
      <c r="A1403" s="184" t="s">
        <v>4015</v>
      </c>
      <c r="B1403" s="184">
        <v>19.53136692</v>
      </c>
      <c r="C1403" s="184">
        <v>-98.725554579999994</v>
      </c>
    </row>
    <row r="1404" spans="1:3">
      <c r="A1404" s="184" t="s">
        <v>4019</v>
      </c>
      <c r="B1404" s="184">
        <v>18.954603500000001</v>
      </c>
      <c r="C1404" s="184">
        <v>-99.931089999999998</v>
      </c>
    </row>
    <row r="1405" spans="1:3">
      <c r="A1405" s="184" t="s">
        <v>4022</v>
      </c>
      <c r="B1405" s="184">
        <v>19.51483275</v>
      </c>
      <c r="C1405" s="184">
        <v>-98.724037850000002</v>
      </c>
    </row>
    <row r="1406" spans="1:3">
      <c r="A1406" s="184" t="s">
        <v>4025</v>
      </c>
      <c r="B1406" s="184">
        <v>19.485316399999999</v>
      </c>
      <c r="C1406" s="184">
        <v>-98.812794289999999</v>
      </c>
    </row>
    <row r="1407" spans="1:3">
      <c r="A1407" s="184" t="s">
        <v>4028</v>
      </c>
      <c r="B1407" s="184">
        <v>19.202413020000002</v>
      </c>
      <c r="C1407" s="184">
        <v>-99.441343849999996</v>
      </c>
    </row>
    <row r="1408" spans="1:3">
      <c r="A1408" s="184" t="s">
        <v>4031</v>
      </c>
      <c r="B1408" s="184">
        <v>19.951977299999999</v>
      </c>
      <c r="C1408" s="184">
        <v>-99.6628489</v>
      </c>
    </row>
    <row r="1409" spans="1:3">
      <c r="A1409" s="184" t="s">
        <v>4035</v>
      </c>
      <c r="B1409" s="184">
        <v>19.222639690000001</v>
      </c>
      <c r="C1409" s="184">
        <v>-98.804343630000005</v>
      </c>
    </row>
    <row r="1410" spans="1:3">
      <c r="A1410" s="184" t="s">
        <v>4038</v>
      </c>
      <c r="B1410" s="184">
        <v>18.488043099999999</v>
      </c>
      <c r="C1410" s="184">
        <v>-100.2245566</v>
      </c>
    </row>
    <row r="1411" spans="1:3">
      <c r="A1411" s="184" t="s">
        <v>4042</v>
      </c>
      <c r="B1411" s="184">
        <v>19.550653369999999</v>
      </c>
      <c r="C1411" s="184">
        <v>-98.738419399999998</v>
      </c>
    </row>
    <row r="1412" spans="1:3">
      <c r="A1412" s="184" t="s">
        <v>4045</v>
      </c>
      <c r="B1412" s="184">
        <v>19.324333559999999</v>
      </c>
      <c r="C1412" s="184">
        <v>-99.659819240000004</v>
      </c>
    </row>
    <row r="1413" spans="1:3">
      <c r="A1413" s="184" t="s">
        <v>4048</v>
      </c>
      <c r="B1413" s="184">
        <v>19.193855599999999</v>
      </c>
      <c r="C1413" s="184">
        <v>-100.0973944</v>
      </c>
    </row>
    <row r="1414" spans="1:3">
      <c r="A1414" s="184" t="s">
        <v>4052</v>
      </c>
      <c r="B1414" s="184">
        <v>19.19599818</v>
      </c>
      <c r="C1414" s="184">
        <v>-100.13223259999999</v>
      </c>
    </row>
    <row r="1415" spans="1:3">
      <c r="A1415" s="184" t="s">
        <v>4055</v>
      </c>
      <c r="B1415" s="184">
        <v>19.813506499999999</v>
      </c>
      <c r="C1415" s="184">
        <v>-99.460409100000007</v>
      </c>
    </row>
    <row r="1416" spans="1:3">
      <c r="A1416" s="184" t="s">
        <v>4059</v>
      </c>
      <c r="B1416" s="184">
        <v>19.789286019999999</v>
      </c>
      <c r="C1416" s="184">
        <v>-99.468023360000004</v>
      </c>
    </row>
    <row r="1417" spans="1:3">
      <c r="A1417" s="184" t="s">
        <v>4062</v>
      </c>
      <c r="B1417" s="184">
        <v>18.9631066</v>
      </c>
      <c r="C1417" s="184">
        <v>-99.636919000000006</v>
      </c>
    </row>
    <row r="1418" spans="1:3">
      <c r="A1418" s="184" t="s">
        <v>4066</v>
      </c>
      <c r="B1418" s="184">
        <v>19.302107769999999</v>
      </c>
      <c r="C1418" s="184">
        <v>-99.106339270000007</v>
      </c>
    </row>
    <row r="1419" spans="1:3">
      <c r="A1419" s="184" t="s">
        <v>4069</v>
      </c>
      <c r="B1419" s="184">
        <v>19.13668461</v>
      </c>
      <c r="C1419" s="184">
        <v>-99.292129750000001</v>
      </c>
    </row>
    <row r="1420" spans="1:3">
      <c r="A1420" s="184" t="s">
        <v>4072</v>
      </c>
      <c r="B1420" s="184">
        <v>18.792454899999999</v>
      </c>
      <c r="C1420" s="184">
        <v>-99.821544720000006</v>
      </c>
    </row>
    <row r="1421" spans="1:3">
      <c r="A1421" s="184" t="s">
        <v>4076</v>
      </c>
      <c r="B1421" s="184">
        <v>19.2081178</v>
      </c>
      <c r="C1421" s="184">
        <v>-99.815208920000003</v>
      </c>
    </row>
    <row r="1422" spans="1:3">
      <c r="A1422" s="184" t="s">
        <v>4078</v>
      </c>
      <c r="B1422" s="184">
        <v>19.863856200000001</v>
      </c>
      <c r="C1422" s="184">
        <v>-99.085686300000006</v>
      </c>
    </row>
    <row r="1423" spans="1:3">
      <c r="A1423" s="184" t="s">
        <v>4080</v>
      </c>
      <c r="B1423" s="184">
        <v>19.767308100000001</v>
      </c>
      <c r="C1423" s="184">
        <v>-99.046400169999998</v>
      </c>
    </row>
    <row r="1424" spans="1:3">
      <c r="A1424" s="184" t="s">
        <v>4082</v>
      </c>
      <c r="B1424" s="184">
        <v>19.959714470000002</v>
      </c>
      <c r="C1424" s="184">
        <v>-99.951162949999997</v>
      </c>
    </row>
    <row r="1425" spans="1:3">
      <c r="A1425" s="184" t="s">
        <v>4085</v>
      </c>
      <c r="B1425" s="184">
        <v>19.965089670000001</v>
      </c>
      <c r="C1425" s="184">
        <v>-99.914475499999995</v>
      </c>
    </row>
    <row r="1426" spans="1:3">
      <c r="A1426" s="184" t="s">
        <v>4088</v>
      </c>
      <c r="B1426" s="184">
        <v>20.107475139999998</v>
      </c>
      <c r="C1426" s="184">
        <v>-99.897302080000003</v>
      </c>
    </row>
    <row r="1427" spans="1:3">
      <c r="A1427" s="184" t="s">
        <v>4091</v>
      </c>
      <c r="B1427" s="184">
        <v>18.7628275</v>
      </c>
      <c r="C1427" s="184">
        <v>-100.14826170000001</v>
      </c>
    </row>
    <row r="1428" spans="1:3">
      <c r="A1428" s="184" t="s">
        <v>4093</v>
      </c>
      <c r="B1428" s="184">
        <v>19.857582359999999</v>
      </c>
      <c r="C1428" s="184">
        <v>-99.63262039</v>
      </c>
    </row>
    <row r="1429" spans="1:3">
      <c r="A1429" s="184" t="s">
        <v>4097</v>
      </c>
      <c r="B1429" s="184">
        <v>19.541690500000001</v>
      </c>
      <c r="C1429" s="184">
        <v>-99.090298000000004</v>
      </c>
    </row>
    <row r="1430" spans="1:3">
      <c r="A1430" s="184" t="s">
        <v>4101</v>
      </c>
      <c r="B1430" s="184">
        <v>19.376487399999998</v>
      </c>
      <c r="C1430" s="184">
        <v>-98.957576099999997</v>
      </c>
    </row>
    <row r="1431" spans="1:3">
      <c r="A1431" s="184" t="s">
        <v>4104</v>
      </c>
      <c r="B1431" s="184">
        <v>19.40891006</v>
      </c>
      <c r="C1431" s="184">
        <v>-98.962901459999998</v>
      </c>
    </row>
    <row r="1432" spans="1:3">
      <c r="A1432" s="184" t="s">
        <v>4107</v>
      </c>
      <c r="B1432" s="184">
        <v>18.915114500000001</v>
      </c>
      <c r="C1432" s="184">
        <v>-99.749925599999997</v>
      </c>
    </row>
    <row r="1433" spans="1:3">
      <c r="A1433" s="184" t="s">
        <v>4110</v>
      </c>
      <c r="B1433" s="184">
        <v>18.9600303</v>
      </c>
      <c r="C1433" s="184">
        <v>-99.785114500000006</v>
      </c>
    </row>
    <row r="1434" spans="1:3">
      <c r="A1434" s="184" t="s">
        <v>4113</v>
      </c>
      <c r="B1434" s="184">
        <v>19.219085920000001</v>
      </c>
      <c r="C1434" s="184">
        <v>-98.837109859999998</v>
      </c>
    </row>
    <row r="1435" spans="1:3">
      <c r="A1435" s="184" t="s">
        <v>4117</v>
      </c>
      <c r="B1435" s="184">
        <v>19.674803300000001</v>
      </c>
      <c r="C1435" s="184">
        <v>-99.178657400000006</v>
      </c>
    </row>
    <row r="1436" spans="1:3">
      <c r="A1436" s="184" t="s">
        <v>4120</v>
      </c>
      <c r="B1436" s="184">
        <v>19.589651799999999</v>
      </c>
      <c r="C1436" s="184">
        <v>-99.193170800000004</v>
      </c>
    </row>
    <row r="1437" spans="1:3">
      <c r="A1437" s="184" t="s">
        <v>4122</v>
      </c>
      <c r="B1437" s="184">
        <v>19.555409699999998</v>
      </c>
      <c r="C1437" s="184">
        <v>-99.418242199999995</v>
      </c>
    </row>
    <row r="1438" spans="1:3">
      <c r="A1438" s="184" t="s">
        <v>4126</v>
      </c>
      <c r="B1438" s="184">
        <v>20.037261999999998</v>
      </c>
      <c r="C1438" s="184">
        <v>-99.533985200000004</v>
      </c>
    </row>
    <row r="1439" spans="1:3">
      <c r="A1439" s="184" t="s">
        <v>4129</v>
      </c>
      <c r="B1439" s="184">
        <v>19.54809453</v>
      </c>
      <c r="C1439" s="184">
        <v>-99.314597230000004</v>
      </c>
    </row>
    <row r="1440" spans="1:3">
      <c r="A1440" s="184" t="s">
        <v>4132</v>
      </c>
      <c r="B1440" s="184">
        <v>19.715126250000001</v>
      </c>
      <c r="C1440" s="184">
        <v>-99.735779660000006</v>
      </c>
    </row>
    <row r="1441" spans="1:3">
      <c r="A1441" s="184" t="s">
        <v>4136</v>
      </c>
      <c r="B1441" s="184">
        <v>19.027937810000001</v>
      </c>
      <c r="C1441" s="184">
        <v>-99.553512799999993</v>
      </c>
    </row>
    <row r="1442" spans="1:3">
      <c r="A1442" s="184" t="s">
        <v>4139</v>
      </c>
      <c r="B1442" s="184">
        <v>19.013635449999999</v>
      </c>
      <c r="C1442" s="184">
        <v>-100.4347408</v>
      </c>
    </row>
    <row r="1443" spans="1:3">
      <c r="A1443" s="184" t="s">
        <v>4142</v>
      </c>
      <c r="B1443" s="184">
        <v>19.488914600000001</v>
      </c>
      <c r="C1443" s="184">
        <v>-99.339558800000006</v>
      </c>
    </row>
    <row r="1444" spans="1:3">
      <c r="A1444" s="184" t="s">
        <v>4144</v>
      </c>
      <c r="B1444" s="184">
        <v>19.634427980000002</v>
      </c>
      <c r="C1444" s="184">
        <v>-99.441314340000005</v>
      </c>
    </row>
    <row r="1445" spans="1:3">
      <c r="A1445" s="184" t="s">
        <v>4147</v>
      </c>
      <c r="B1445" s="184">
        <v>19.605027710000002</v>
      </c>
      <c r="C1445" s="184">
        <v>-99.305626450000005</v>
      </c>
    </row>
    <row r="1446" spans="1:3">
      <c r="A1446" s="184" t="s">
        <v>4149</v>
      </c>
      <c r="B1446" s="184">
        <v>19.600361719999999</v>
      </c>
      <c r="C1446" s="184">
        <v>-99.416370450000002</v>
      </c>
    </row>
    <row r="1447" spans="1:3">
      <c r="A1447" s="184" t="s">
        <v>4151</v>
      </c>
      <c r="B1447" s="184">
        <v>19.636301639999999</v>
      </c>
      <c r="C1447" s="184">
        <v>-99.335126410000001</v>
      </c>
    </row>
    <row r="1448" spans="1:3">
      <c r="A1448" s="184" t="s">
        <v>4153</v>
      </c>
      <c r="B1448" s="184">
        <v>19.687266050000002</v>
      </c>
      <c r="C1448" s="184">
        <v>-99.354120629999997</v>
      </c>
    </row>
    <row r="1449" spans="1:3">
      <c r="A1449" s="184" t="s">
        <v>4156</v>
      </c>
      <c r="B1449" s="184">
        <v>19.2842077</v>
      </c>
      <c r="C1449" s="184">
        <v>-99.466036900000006</v>
      </c>
    </row>
    <row r="1450" spans="1:3">
      <c r="A1450" s="184" t="s">
        <v>4158</v>
      </c>
      <c r="B1450" s="184">
        <v>19.27701836</v>
      </c>
      <c r="C1450" s="184">
        <v>-99.495212949999996</v>
      </c>
    </row>
    <row r="1451" spans="1:3">
      <c r="A1451" s="184" t="s">
        <v>4161</v>
      </c>
      <c r="B1451" s="184">
        <v>19.515553109999999</v>
      </c>
      <c r="C1451" s="184">
        <v>-100.14528660000001</v>
      </c>
    </row>
    <row r="1452" spans="1:3">
      <c r="A1452" s="184" t="s">
        <v>4165</v>
      </c>
      <c r="B1452" s="184">
        <v>19.71480841</v>
      </c>
      <c r="C1452" s="184">
        <v>-100.1271563</v>
      </c>
    </row>
    <row r="1453" spans="1:3">
      <c r="A1453" s="184" t="s">
        <v>4168</v>
      </c>
      <c r="B1453" s="184">
        <v>19.305610089999998</v>
      </c>
      <c r="C1453" s="184">
        <v>-99.544558469999998</v>
      </c>
    </row>
    <row r="1454" spans="1:3">
      <c r="A1454" s="184" t="s">
        <v>4170</v>
      </c>
      <c r="B1454" s="184">
        <v>19.29112211</v>
      </c>
      <c r="C1454" s="184">
        <v>-99.562266579999999</v>
      </c>
    </row>
    <row r="1455" spans="1:3">
      <c r="A1455" s="184" t="s">
        <v>4173</v>
      </c>
      <c r="B1455" s="184">
        <v>18.83079</v>
      </c>
      <c r="C1455" s="184">
        <v>-99.987077999999997</v>
      </c>
    </row>
    <row r="1456" spans="1:3">
      <c r="A1456" s="184" t="s">
        <v>4175</v>
      </c>
      <c r="B1456" s="184">
        <v>18.832709059999999</v>
      </c>
      <c r="C1456" s="184">
        <v>-100.0141623</v>
      </c>
    </row>
    <row r="1457" spans="1:3">
      <c r="A1457" s="184" t="s">
        <v>4178</v>
      </c>
      <c r="B1457" s="184">
        <v>18.858080439999998</v>
      </c>
      <c r="C1457" s="184">
        <v>-99.970083360000004</v>
      </c>
    </row>
    <row r="1458" spans="1:3">
      <c r="A1458" s="184" t="s">
        <v>4180</v>
      </c>
      <c r="B1458" s="184">
        <v>18.923520889999999</v>
      </c>
      <c r="C1458" s="184">
        <v>-100.1390261</v>
      </c>
    </row>
    <row r="1459" spans="1:3">
      <c r="A1459" s="184" t="s">
        <v>4183</v>
      </c>
      <c r="B1459" s="184">
        <v>19.390218569999998</v>
      </c>
      <c r="C1459" s="184">
        <v>-99.114922340000007</v>
      </c>
    </row>
    <row r="1460" spans="1:3">
      <c r="A1460" s="184" t="s">
        <v>4187</v>
      </c>
      <c r="B1460" s="184">
        <v>19.961649000000001</v>
      </c>
      <c r="C1460" s="184">
        <v>-100.072424</v>
      </c>
    </row>
    <row r="1461" spans="1:3">
      <c r="A1461" s="184" t="s">
        <v>4190</v>
      </c>
      <c r="B1461" s="184">
        <v>19.936707479999999</v>
      </c>
      <c r="C1461" s="184">
        <v>-100.00296419999999</v>
      </c>
    </row>
    <row r="1462" spans="1:3">
      <c r="A1462" s="184" t="s">
        <v>4193</v>
      </c>
      <c r="B1462" s="184">
        <v>19.055855300000001</v>
      </c>
      <c r="C1462" s="184">
        <v>-100.0064728</v>
      </c>
    </row>
    <row r="1463" spans="1:3">
      <c r="A1463" s="184" t="s">
        <v>4197</v>
      </c>
      <c r="B1463" s="184">
        <v>18.92323202</v>
      </c>
      <c r="C1463" s="184">
        <v>-99.618090300000006</v>
      </c>
    </row>
    <row r="1464" spans="1:3">
      <c r="A1464" s="184" t="s">
        <v>4200</v>
      </c>
      <c r="B1464" s="184">
        <v>19.1156507</v>
      </c>
      <c r="C1464" s="184">
        <v>-99.592432299999999</v>
      </c>
    </row>
    <row r="1465" spans="1:3">
      <c r="A1465" s="184" t="s">
        <v>4203</v>
      </c>
      <c r="B1465" s="184">
        <v>19.13587909</v>
      </c>
      <c r="C1465" s="184">
        <v>-99.616508390000007</v>
      </c>
    </row>
    <row r="1466" spans="1:3">
      <c r="A1466" s="184" t="s">
        <v>4205</v>
      </c>
      <c r="B1466" s="184">
        <v>19.131832899999999</v>
      </c>
      <c r="C1466" s="184">
        <v>-99.632810399999997</v>
      </c>
    </row>
    <row r="1467" spans="1:3">
      <c r="A1467" s="184" t="s">
        <v>4208</v>
      </c>
      <c r="B1467" s="184">
        <v>19.568058619999999</v>
      </c>
      <c r="C1467" s="184">
        <v>-98.782341840000001</v>
      </c>
    </row>
    <row r="1468" spans="1:3">
      <c r="A1468" s="184" t="s">
        <v>4211</v>
      </c>
      <c r="B1468" s="184">
        <v>18.929409249999999</v>
      </c>
      <c r="C1468" s="184">
        <v>-99.936983900000001</v>
      </c>
    </row>
    <row r="1469" spans="1:3">
      <c r="A1469" s="184" t="s">
        <v>4213</v>
      </c>
      <c r="B1469" s="184">
        <v>18.945519300000001</v>
      </c>
      <c r="C1469" s="184">
        <v>-99.954763799999995</v>
      </c>
    </row>
    <row r="1470" spans="1:3">
      <c r="A1470" s="184" t="s">
        <v>4216</v>
      </c>
      <c r="B1470" s="184">
        <v>18.929468799999999</v>
      </c>
      <c r="C1470" s="184">
        <v>-99.92861053</v>
      </c>
    </row>
    <row r="1471" spans="1:3">
      <c r="A1471" s="184" t="s">
        <v>4219</v>
      </c>
      <c r="B1471" s="184">
        <v>18.910123209999998</v>
      </c>
      <c r="C1471" s="184">
        <v>-99.930344489999996</v>
      </c>
    </row>
    <row r="1472" spans="1:3">
      <c r="A1472" s="184" t="s">
        <v>4221</v>
      </c>
      <c r="B1472" s="184">
        <v>19.570685999999998</v>
      </c>
      <c r="C1472" s="184">
        <v>-99.190871999999999</v>
      </c>
    </row>
    <row r="1473" spans="1:3">
      <c r="A1473" s="184" t="s">
        <v>4224</v>
      </c>
      <c r="B1473" s="184">
        <v>18.579370000000001</v>
      </c>
      <c r="C1473" s="184">
        <v>-100.4098183</v>
      </c>
    </row>
    <row r="1474" spans="1:3">
      <c r="A1474" s="184" t="s">
        <v>4226</v>
      </c>
      <c r="B1474" s="184">
        <v>19.252671769999999</v>
      </c>
      <c r="C1474" s="184">
        <v>-99.704331300000007</v>
      </c>
    </row>
    <row r="1475" spans="1:3">
      <c r="A1475" s="184" t="s">
        <v>4228</v>
      </c>
      <c r="B1475" s="184">
        <v>19.26512232</v>
      </c>
      <c r="C1475" s="184">
        <v>-99.652964710000006</v>
      </c>
    </row>
    <row r="1476" spans="1:3">
      <c r="A1476" s="184" t="s">
        <v>4231</v>
      </c>
      <c r="B1476" s="184">
        <v>19.247038960000001</v>
      </c>
      <c r="C1476" s="184">
        <v>-99.677337800000004</v>
      </c>
    </row>
    <row r="1477" spans="1:3">
      <c r="A1477" s="184" t="s">
        <v>4233</v>
      </c>
      <c r="B1477" s="184">
        <v>19.283324069999999</v>
      </c>
      <c r="C1477" s="184">
        <v>-99.618610919999995</v>
      </c>
    </row>
    <row r="1478" spans="1:3">
      <c r="A1478" s="184" t="s">
        <v>4236</v>
      </c>
      <c r="B1478" s="184">
        <v>19.377138930000001</v>
      </c>
      <c r="C1478" s="184">
        <v>-100.02291049999999</v>
      </c>
    </row>
    <row r="1479" spans="1:3">
      <c r="A1479" s="184" t="s">
        <v>4240</v>
      </c>
      <c r="B1479" s="184">
        <v>19.415040000000001</v>
      </c>
      <c r="C1479" s="184">
        <v>-99.155968000000001</v>
      </c>
    </row>
    <row r="1480" spans="1:3">
      <c r="A1480" s="184" t="s">
        <v>4242</v>
      </c>
      <c r="B1480" s="184">
        <v>18.9631066</v>
      </c>
      <c r="C1480" s="184">
        <v>-99.636919000000006</v>
      </c>
    </row>
    <row r="1481" spans="1:3">
      <c r="A1481" s="184" t="s">
        <v>4245</v>
      </c>
      <c r="B1481" s="184">
        <v>19.171944</v>
      </c>
      <c r="C1481" s="184">
        <v>-99.402302700000007</v>
      </c>
    </row>
    <row r="1482" spans="1:3">
      <c r="A1482" s="184" t="s">
        <v>4248</v>
      </c>
      <c r="B1482" s="184">
        <v>19.413977200000001</v>
      </c>
      <c r="C1482" s="184">
        <v>-99.487660899999995</v>
      </c>
    </row>
    <row r="1483" spans="1:3">
      <c r="A1483" s="184" t="s">
        <v>4250</v>
      </c>
      <c r="B1483" s="184">
        <v>19.2676655</v>
      </c>
      <c r="C1483" s="184">
        <v>-99.761636699999997</v>
      </c>
    </row>
    <row r="1484" spans="1:3">
      <c r="A1484" s="184" t="s">
        <v>4252</v>
      </c>
      <c r="B1484" s="184">
        <v>19.605386039999999</v>
      </c>
      <c r="C1484" s="184">
        <v>-99.291818169999999</v>
      </c>
    </row>
    <row r="1485" spans="1:3">
      <c r="A1485" s="184" t="s">
        <v>4255</v>
      </c>
      <c r="B1485" s="184">
        <v>19.337932850000001</v>
      </c>
      <c r="C1485" s="184">
        <v>-99.692340740000006</v>
      </c>
    </row>
    <row r="1486" spans="1:3">
      <c r="A1486" s="186" t="s">
        <v>4257</v>
      </c>
      <c r="B1486" s="184">
        <v>19.304936300000001</v>
      </c>
      <c r="C1486" s="184">
        <v>-99.599705499999999</v>
      </c>
    </row>
    <row r="1487" spans="1:3">
      <c r="A1487" s="184" t="s">
        <v>4260</v>
      </c>
      <c r="B1487" s="184">
        <v>19.733800080000002</v>
      </c>
      <c r="C1487" s="184">
        <v>-98.640077399999996</v>
      </c>
    </row>
    <row r="1488" spans="1:3">
      <c r="A1488" s="184" t="s">
        <v>4262</v>
      </c>
      <c r="B1488" s="184">
        <v>19.7117994</v>
      </c>
      <c r="C1488" s="184">
        <v>-99.820540289999997</v>
      </c>
    </row>
    <row r="1489" spans="1:3">
      <c r="A1489" s="184" t="s">
        <v>4264</v>
      </c>
      <c r="B1489" s="184">
        <v>19.6887641</v>
      </c>
      <c r="C1489" s="184">
        <v>-98.979757399999997</v>
      </c>
    </row>
    <row r="1490" spans="1:3">
      <c r="A1490" s="184" t="s">
        <v>4266</v>
      </c>
      <c r="B1490" s="184">
        <v>19.672971879999999</v>
      </c>
      <c r="C1490" s="184">
        <v>-99.024124560000004</v>
      </c>
    </row>
    <row r="1491" spans="1:3">
      <c r="A1491" s="184" t="s">
        <v>4268</v>
      </c>
      <c r="B1491" s="184">
        <v>19.56312351</v>
      </c>
      <c r="C1491" s="184">
        <v>-99.214523740000004</v>
      </c>
    </row>
    <row r="1492" spans="1:3">
      <c r="A1492" s="184" t="s">
        <v>4271</v>
      </c>
      <c r="B1492" s="184">
        <v>19.556596200000001</v>
      </c>
      <c r="C1492" s="184">
        <v>-99.180473269999993</v>
      </c>
    </row>
    <row r="1493" spans="1:3">
      <c r="A1493" s="184" t="s">
        <v>4273</v>
      </c>
      <c r="B1493" s="184">
        <v>19.177711129999999</v>
      </c>
      <c r="C1493" s="184">
        <v>-100.0400348</v>
      </c>
    </row>
    <row r="1494" spans="1:3">
      <c r="A1494" s="184" t="s">
        <v>4276</v>
      </c>
      <c r="B1494" s="184">
        <v>19.282810229999999</v>
      </c>
      <c r="C1494" s="184">
        <v>-99.618708589999997</v>
      </c>
    </row>
    <row r="1495" spans="1:3">
      <c r="A1495" s="184" t="s">
        <v>4278</v>
      </c>
      <c r="B1495" s="184">
        <v>19.284240260000001</v>
      </c>
      <c r="C1495" s="184">
        <v>-99.465939039999995</v>
      </c>
    </row>
    <row r="1496" spans="1:3">
      <c r="A1496" s="184" t="s">
        <v>4280</v>
      </c>
      <c r="B1496" s="184">
        <v>19.247236359999999</v>
      </c>
      <c r="C1496" s="184">
        <v>-99.473708060000007</v>
      </c>
    </row>
    <row r="1497" spans="1:3">
      <c r="A1497" s="184" t="s">
        <v>4283</v>
      </c>
      <c r="B1497" s="184">
        <v>19.418241290000001</v>
      </c>
      <c r="C1497" s="184">
        <v>-99.408666729999993</v>
      </c>
    </row>
    <row r="1498" spans="1:3">
      <c r="A1498" s="184" t="s">
        <v>4285</v>
      </c>
      <c r="B1498" s="184">
        <v>19.358206859999999</v>
      </c>
      <c r="C1498" s="184">
        <v>-99.571265490000002</v>
      </c>
    </row>
    <row r="1499" spans="1:3">
      <c r="A1499" s="184" t="s">
        <v>4288</v>
      </c>
      <c r="B1499" s="184">
        <v>19.090478340000001</v>
      </c>
      <c r="C1499" s="184">
        <v>-98.761913539999995</v>
      </c>
    </row>
    <row r="1500" spans="1:3">
      <c r="A1500" s="184" t="s">
        <v>4291</v>
      </c>
      <c r="B1500" s="184">
        <v>19.201199299999999</v>
      </c>
      <c r="C1500" s="184">
        <v>-98.760810800000002</v>
      </c>
    </row>
    <row r="1501" spans="1:3">
      <c r="A1501" s="184" t="s">
        <v>4294</v>
      </c>
      <c r="B1501" s="184">
        <v>19.577547339999999</v>
      </c>
      <c r="C1501" s="184">
        <v>-99.413933060000005</v>
      </c>
    </row>
    <row r="1502" spans="1:3">
      <c r="A1502" s="184" t="s">
        <v>4296</v>
      </c>
      <c r="B1502" s="184">
        <v>19.775850460000001</v>
      </c>
      <c r="C1502" s="184">
        <v>-100.0083813</v>
      </c>
    </row>
    <row r="1503" spans="1:3">
      <c r="A1503" s="184" t="s">
        <v>4299</v>
      </c>
      <c r="B1503" s="184">
        <v>18.899381179999999</v>
      </c>
      <c r="C1503" s="184">
        <v>-99.917142010000006</v>
      </c>
    </row>
    <row r="1504" spans="1:3">
      <c r="A1504" s="184" t="s">
        <v>4301</v>
      </c>
      <c r="B1504" s="184">
        <v>18.945555500000001</v>
      </c>
      <c r="C1504" s="184">
        <v>-99.954638669999994</v>
      </c>
    </row>
    <row r="1505" spans="1:3">
      <c r="A1505" s="184" t="s">
        <v>4303</v>
      </c>
      <c r="B1505" s="184">
        <v>19.810235080000002</v>
      </c>
      <c r="C1505" s="184">
        <v>-98.887642290000002</v>
      </c>
    </row>
    <row r="1506" spans="1:3">
      <c r="A1506" s="184" t="s">
        <v>4306</v>
      </c>
      <c r="B1506" s="184">
        <v>19.840779019999999</v>
      </c>
      <c r="C1506" s="184">
        <v>-98.857747459999999</v>
      </c>
    </row>
    <row r="1507" spans="1:3">
      <c r="A1507" s="184" t="s">
        <v>4309</v>
      </c>
      <c r="B1507" s="184">
        <v>19.664523379999999</v>
      </c>
      <c r="C1507" s="184">
        <v>-98.874827069999995</v>
      </c>
    </row>
    <row r="1508" spans="1:3">
      <c r="A1508" s="184" t="s">
        <v>4311</v>
      </c>
      <c r="B1508" s="184">
        <v>19.656736939999998</v>
      </c>
      <c r="C1508" s="184">
        <v>-98.775826120000005</v>
      </c>
    </row>
    <row r="1509" spans="1:3">
      <c r="A1509" s="184" t="s">
        <v>4313</v>
      </c>
      <c r="B1509" s="184">
        <v>19.634401440000001</v>
      </c>
      <c r="C1509" s="184">
        <v>-98.802205169999993</v>
      </c>
    </row>
    <row r="1510" spans="1:3">
      <c r="A1510" s="184" t="s">
        <v>4315</v>
      </c>
      <c r="B1510" s="184">
        <v>19.43272545</v>
      </c>
      <c r="C1510" s="184">
        <v>-99.045942499999995</v>
      </c>
    </row>
    <row r="1511" spans="1:3">
      <c r="A1511" s="184" t="s">
        <v>4318</v>
      </c>
      <c r="B1511" s="184">
        <v>19.53132205</v>
      </c>
      <c r="C1511" s="184">
        <v>-98.725527080000006</v>
      </c>
    </row>
    <row r="1512" spans="1:3">
      <c r="A1512" s="184" t="s">
        <v>4320</v>
      </c>
      <c r="B1512" s="184">
        <v>19.4853691</v>
      </c>
      <c r="C1512" s="184">
        <v>-98.812920449999993</v>
      </c>
    </row>
    <row r="1513" spans="1:3">
      <c r="A1513" s="186" t="s">
        <v>4322</v>
      </c>
      <c r="B1513" s="184">
        <v>19.482369370000001</v>
      </c>
      <c r="C1513" s="184">
        <v>-99.867327889999999</v>
      </c>
    </row>
    <row r="1514" spans="1:3">
      <c r="A1514" s="184" t="s">
        <v>4324</v>
      </c>
      <c r="B1514" s="184">
        <v>19.218564579999999</v>
      </c>
      <c r="C1514" s="184">
        <v>-99.770693519999995</v>
      </c>
    </row>
    <row r="1515" spans="1:3">
      <c r="A1515" s="184" t="s">
        <v>4326</v>
      </c>
      <c r="B1515" s="184">
        <v>19.171882180000001</v>
      </c>
      <c r="C1515" s="184">
        <v>-99.402432180000005</v>
      </c>
    </row>
    <row r="1516" spans="1:3">
      <c r="A1516" s="184" t="s">
        <v>4328</v>
      </c>
      <c r="B1516" s="184">
        <v>19.26036423</v>
      </c>
      <c r="C1516" s="184">
        <v>-98.822975790000001</v>
      </c>
    </row>
    <row r="1517" spans="1:3">
      <c r="A1517" s="184" t="s">
        <v>4331</v>
      </c>
      <c r="B1517" s="184">
        <v>19.59860359</v>
      </c>
      <c r="C1517" s="184">
        <v>-98.896571910000006</v>
      </c>
    </row>
    <row r="1518" spans="1:3">
      <c r="A1518" s="184" t="s">
        <v>4333</v>
      </c>
      <c r="B1518" s="184">
        <v>18.995260420000001</v>
      </c>
      <c r="C1518" s="184">
        <v>-98.795587639999994</v>
      </c>
    </row>
    <row r="1519" spans="1:3">
      <c r="A1519" s="184" t="s">
        <v>4336</v>
      </c>
      <c r="B1519" s="184">
        <v>19.141124260000002</v>
      </c>
      <c r="C1519" s="184">
        <v>-98.854742459999997</v>
      </c>
    </row>
    <row r="1520" spans="1:3">
      <c r="A1520" s="184" t="s">
        <v>4338</v>
      </c>
      <c r="B1520" s="184">
        <v>19.568088880000001</v>
      </c>
      <c r="C1520" s="184">
        <v>-98.782266629999995</v>
      </c>
    </row>
    <row r="1521" spans="1:3">
      <c r="A1521" s="184" t="s">
        <v>4340</v>
      </c>
      <c r="B1521" s="184">
        <v>19.15869013</v>
      </c>
      <c r="C1521" s="184">
        <v>-98.771226369999994</v>
      </c>
    </row>
    <row r="1522" spans="1:3">
      <c r="A1522" s="184" t="s">
        <v>4343</v>
      </c>
      <c r="B1522" s="184">
        <v>19.221915599999999</v>
      </c>
      <c r="C1522" s="184">
        <v>-98.805678029999996</v>
      </c>
    </row>
    <row r="1523" spans="1:3">
      <c r="A1523" s="184" t="s">
        <v>4345</v>
      </c>
      <c r="B1523" s="184">
        <v>19.668383259999999</v>
      </c>
      <c r="C1523" s="184">
        <v>-98.933884469999995</v>
      </c>
    </row>
    <row r="1524" spans="1:3">
      <c r="A1524" s="184" t="s">
        <v>4347</v>
      </c>
      <c r="B1524" s="184">
        <v>19.528780359999999</v>
      </c>
      <c r="C1524" s="184">
        <v>-99.389414000000002</v>
      </c>
    </row>
    <row r="1525" spans="1:3">
      <c r="A1525" s="184" t="s">
        <v>4349</v>
      </c>
      <c r="B1525" s="184">
        <v>19.939141280000001</v>
      </c>
      <c r="C1525" s="184">
        <v>-99.909838250000007</v>
      </c>
    </row>
    <row r="1526" spans="1:3">
      <c r="A1526" s="184" t="s">
        <v>4350</v>
      </c>
      <c r="B1526" s="184">
        <v>19.611566100000001</v>
      </c>
      <c r="C1526" s="184">
        <v>-99.749304019999997</v>
      </c>
    </row>
    <row r="1527" spans="1:3">
      <c r="A1527" s="184" t="s">
        <v>4352</v>
      </c>
      <c r="B1527" s="184">
        <v>19.46531255</v>
      </c>
      <c r="C1527" s="184">
        <v>-99.531055230000007</v>
      </c>
    </row>
    <row r="1528" spans="1:3">
      <c r="A1528" s="184" t="s">
        <v>4355</v>
      </c>
      <c r="B1528" s="184">
        <v>19.379404390000001</v>
      </c>
      <c r="C1528" s="184">
        <v>-99.489916649999998</v>
      </c>
    </row>
    <row r="1529" spans="1:3">
      <c r="A1529" s="184" t="s">
        <v>4358</v>
      </c>
      <c r="B1529" s="184">
        <v>19.393709779999998</v>
      </c>
      <c r="C1529" s="184">
        <v>-99.502876360000002</v>
      </c>
    </row>
    <row r="1530" spans="1:3">
      <c r="A1530" s="184" t="s">
        <v>4361</v>
      </c>
      <c r="B1530" s="184">
        <v>18.904484660000001</v>
      </c>
      <c r="C1530" s="184">
        <v>-99.787337089999994</v>
      </c>
    </row>
    <row r="1531" spans="1:3">
      <c r="A1531" s="184" t="s">
        <v>4363</v>
      </c>
      <c r="B1531" s="184">
        <v>18.861946</v>
      </c>
      <c r="C1531" s="184">
        <v>-100.45313</v>
      </c>
    </row>
    <row r="1532" spans="1:3">
      <c r="A1532" s="184" t="s">
        <v>4366</v>
      </c>
      <c r="B1532" s="184">
        <v>18.827980799999999</v>
      </c>
      <c r="C1532" s="184">
        <v>-99.819616159999995</v>
      </c>
    </row>
    <row r="1533" spans="1:3">
      <c r="A1533" s="184" t="s">
        <v>4368</v>
      </c>
      <c r="B1533" s="184">
        <v>19.144646229999999</v>
      </c>
      <c r="C1533" s="184">
        <v>-98.786832360000005</v>
      </c>
    </row>
    <row r="1534" spans="1:3">
      <c r="A1534" s="184" t="s">
        <v>4370</v>
      </c>
      <c r="B1534" s="184">
        <v>19.992455369999998</v>
      </c>
      <c r="C1534" s="184">
        <v>-99.841774509999993</v>
      </c>
    </row>
    <row r="1535" spans="1:3">
      <c r="A1535" s="184" t="s">
        <v>4373</v>
      </c>
      <c r="B1535" s="184">
        <v>19.954926830000002</v>
      </c>
      <c r="C1535" s="184">
        <v>-99.187130909999993</v>
      </c>
    </row>
    <row r="1536" spans="1:3">
      <c r="A1536" s="184" t="s">
        <v>4377</v>
      </c>
      <c r="B1536" s="184">
        <v>19.838486880000001</v>
      </c>
      <c r="C1536" s="184">
        <v>-99.922977430000003</v>
      </c>
    </row>
    <row r="1537" spans="1:3">
      <c r="A1537" s="184" t="s">
        <v>4380</v>
      </c>
      <c r="B1537" s="184">
        <v>18.915141949999999</v>
      </c>
      <c r="C1537" s="184">
        <v>-99.749807619999999</v>
      </c>
    </row>
    <row r="1538" spans="1:3">
      <c r="A1538" s="184" t="s">
        <v>4382</v>
      </c>
      <c r="B1538" s="184">
        <v>18.897066540000001</v>
      </c>
      <c r="C1538" s="184">
        <v>-99.768716710000007</v>
      </c>
    </row>
    <row r="1539" spans="1:3">
      <c r="A1539" s="184" t="s">
        <v>4385</v>
      </c>
      <c r="B1539" s="184">
        <v>19.589842730000001</v>
      </c>
      <c r="C1539" s="184">
        <v>-99.193168139999997</v>
      </c>
    </row>
    <row r="1540" spans="1:3">
      <c r="A1540" s="184" t="s">
        <v>4388</v>
      </c>
      <c r="B1540" s="184">
        <v>19.153120779999998</v>
      </c>
      <c r="C1540" s="184">
        <v>-98.856044280000006</v>
      </c>
    </row>
    <row r="1541" spans="1:3">
      <c r="A1541" s="184" t="s">
        <v>4390</v>
      </c>
      <c r="B1541" s="184">
        <v>19.292034529999999</v>
      </c>
      <c r="C1541" s="184">
        <v>-98.942223420000005</v>
      </c>
    </row>
    <row r="1542" spans="1:3">
      <c r="A1542" s="184" t="s">
        <v>4392</v>
      </c>
      <c r="B1542" s="184">
        <v>19.285723579999999</v>
      </c>
      <c r="C1542" s="184">
        <v>-98.911058319999995</v>
      </c>
    </row>
    <row r="1543" spans="1:3">
      <c r="A1543" s="184" t="s">
        <v>4395</v>
      </c>
      <c r="B1543" s="184">
        <v>19.437100000000001</v>
      </c>
      <c r="C1543" s="184">
        <v>-99.011099999999999</v>
      </c>
    </row>
    <row r="1544" spans="1:3">
      <c r="A1544" s="184" t="s">
        <v>4398</v>
      </c>
      <c r="B1544" s="184">
        <v>19.93372518</v>
      </c>
      <c r="C1544" s="184">
        <v>-99.052821140000006</v>
      </c>
    </row>
    <row r="1545" spans="1:3">
      <c r="A1545" s="184" t="s">
        <v>4400</v>
      </c>
      <c r="B1545" s="184">
        <v>19.298353299999999</v>
      </c>
      <c r="C1545" s="184">
        <v>-98.922425259999997</v>
      </c>
    </row>
    <row r="1546" spans="1:3">
      <c r="A1546" s="184" t="s">
        <v>4403</v>
      </c>
      <c r="B1546" s="184">
        <v>19.279892270000001</v>
      </c>
      <c r="C1546" s="184">
        <v>-99.685174200000006</v>
      </c>
    </row>
    <row r="1547" spans="1:3">
      <c r="A1547" s="184" t="s">
        <v>4405</v>
      </c>
      <c r="B1547" s="184">
        <v>18.969937470000001</v>
      </c>
      <c r="C1547" s="184">
        <v>-99.493818020000006</v>
      </c>
    </row>
    <row r="1548" spans="1:3">
      <c r="A1548" s="184" t="s">
        <v>4407</v>
      </c>
      <c r="B1548" s="184">
        <v>19.492366969999999</v>
      </c>
      <c r="C1548" s="184">
        <v>-99.277750479999995</v>
      </c>
    </row>
    <row r="1549" spans="1:3">
      <c r="A1549" s="184" t="s">
        <v>4409</v>
      </c>
      <c r="B1549" s="184">
        <v>19.420380550000001</v>
      </c>
      <c r="C1549" s="184">
        <v>-99.578905270000007</v>
      </c>
    </row>
    <row r="1550" spans="1:3">
      <c r="A1550" s="184" t="s">
        <v>4411</v>
      </c>
      <c r="B1550" s="184">
        <v>19.51632657</v>
      </c>
      <c r="C1550" s="184">
        <v>-100.1444073</v>
      </c>
    </row>
    <row r="1551" spans="1:3">
      <c r="A1551" s="184" t="s">
        <v>4414</v>
      </c>
      <c r="B1551" s="184">
        <v>19.772933800000001</v>
      </c>
      <c r="C1551" s="184">
        <v>-98.950581130000003</v>
      </c>
    </row>
    <row r="1552" spans="1:3">
      <c r="A1552" s="184" t="s">
        <v>4416</v>
      </c>
      <c r="B1552" s="184">
        <v>19.041093459999999</v>
      </c>
      <c r="C1552" s="184">
        <v>-100.3393753</v>
      </c>
    </row>
    <row r="1553" spans="1:3">
      <c r="A1553" s="184" t="s">
        <v>4419</v>
      </c>
      <c r="B1553" s="184">
        <v>20.006853119999999</v>
      </c>
      <c r="C1553" s="184">
        <v>-100.0876877</v>
      </c>
    </row>
    <row r="1554" spans="1:3">
      <c r="A1554" s="184" t="s">
        <v>4421</v>
      </c>
      <c r="B1554" s="184">
        <v>18.99606382</v>
      </c>
      <c r="C1554" s="184">
        <v>-99.571602080000005</v>
      </c>
    </row>
    <row r="1555" spans="1:3">
      <c r="A1555" s="184" t="s">
        <v>4423</v>
      </c>
      <c r="B1555" s="184">
        <v>19.772001400000001</v>
      </c>
      <c r="C1555" s="184">
        <v>-99.22651286</v>
      </c>
    </row>
    <row r="1556" spans="1:3">
      <c r="A1556" s="184" t="s">
        <v>4425</v>
      </c>
      <c r="B1556" s="184">
        <v>19.698680800000002</v>
      </c>
      <c r="C1556" s="184">
        <v>-98.930999610000001</v>
      </c>
    </row>
    <row r="1557" spans="1:3">
      <c r="A1557" s="184" t="s">
        <v>4427</v>
      </c>
      <c r="B1557" s="184">
        <v>19.20229501</v>
      </c>
      <c r="C1557" s="184">
        <v>-99.441474049999997</v>
      </c>
    </row>
    <row r="1558" spans="1:3">
      <c r="A1558" s="184" t="s">
        <v>4429</v>
      </c>
      <c r="B1558" s="184">
        <v>19.57092454</v>
      </c>
      <c r="C1558" s="184">
        <v>-99.190998300000004</v>
      </c>
    </row>
    <row r="1559" spans="1:3">
      <c r="A1559" s="184" t="s">
        <v>4431</v>
      </c>
      <c r="B1559" s="184">
        <v>19.555757809999999</v>
      </c>
      <c r="C1559" s="184">
        <v>-99.1656768</v>
      </c>
    </row>
    <row r="1560" spans="1:3">
      <c r="A1560" s="184" t="s">
        <v>4433</v>
      </c>
      <c r="B1560" s="184">
        <v>19.324165000000001</v>
      </c>
      <c r="C1560" s="184">
        <v>-99.659690999999995</v>
      </c>
    </row>
    <row r="1561" spans="1:3">
      <c r="A1561" s="184" t="s">
        <v>4436</v>
      </c>
      <c r="B1561" s="184">
        <v>19.193964099999999</v>
      </c>
      <c r="C1561" s="184">
        <v>-100.0972968</v>
      </c>
    </row>
    <row r="1562" spans="1:3">
      <c r="A1562" s="184" t="s">
        <v>4438</v>
      </c>
      <c r="B1562" s="184">
        <v>19.781716249999999</v>
      </c>
      <c r="C1562" s="184">
        <v>-99.472416330000001</v>
      </c>
    </row>
    <row r="1563" spans="1:3">
      <c r="A1563" s="184" t="s">
        <v>4441</v>
      </c>
      <c r="B1563" s="184">
        <v>19.577998180000002</v>
      </c>
      <c r="C1563" s="184">
        <v>-99.256094640000001</v>
      </c>
    </row>
    <row r="1564" spans="1:3">
      <c r="A1564" s="186" t="s">
        <v>4444</v>
      </c>
      <c r="B1564" s="184">
        <v>19.268451280000001</v>
      </c>
      <c r="C1564" s="184">
        <v>-99.757373639999997</v>
      </c>
    </row>
    <row r="1565" spans="1:3">
      <c r="A1565" s="184" t="s">
        <v>4447</v>
      </c>
      <c r="B1565" s="184">
        <v>19.295330979999999</v>
      </c>
      <c r="C1565" s="184">
        <v>-99.651742229999996</v>
      </c>
    </row>
    <row r="1566" spans="1:3">
      <c r="A1566" s="184" t="s">
        <v>4449</v>
      </c>
      <c r="B1566" s="184">
        <v>19.393264139999999</v>
      </c>
      <c r="C1566" s="184">
        <v>-99.771869080000002</v>
      </c>
    </row>
    <row r="1567" spans="1:3">
      <c r="A1567" s="184" t="s">
        <v>4452</v>
      </c>
      <c r="B1567" s="184">
        <v>19.231006910000001</v>
      </c>
      <c r="C1567" s="184">
        <v>-99.424297820000007</v>
      </c>
    </row>
    <row r="1568" spans="1:3">
      <c r="A1568" s="184" t="s">
        <v>4455</v>
      </c>
      <c r="B1568" s="184">
        <v>18.95894419</v>
      </c>
      <c r="C1568" s="184">
        <v>-99.931424070000006</v>
      </c>
    </row>
    <row r="1569" spans="1:3">
      <c r="A1569" s="184" t="s">
        <v>4458</v>
      </c>
      <c r="B1569" s="184">
        <v>20.146659410000002</v>
      </c>
      <c r="C1569" s="184">
        <v>-99.796103189999997</v>
      </c>
    </row>
    <row r="1570" spans="1:3">
      <c r="A1570" s="184" t="s">
        <v>4460</v>
      </c>
      <c r="B1570" s="184">
        <v>19.269797969999999</v>
      </c>
      <c r="C1570" s="184">
        <v>-98.863398129999993</v>
      </c>
    </row>
    <row r="1571" spans="1:3">
      <c r="A1571" s="184" t="s">
        <v>4463</v>
      </c>
      <c r="B1571" s="184">
        <v>19.446600610000001</v>
      </c>
      <c r="C1571" s="184">
        <v>-98.947032489999998</v>
      </c>
    </row>
    <row r="1572" spans="1:3">
      <c r="A1572" s="184" t="s">
        <v>4466</v>
      </c>
      <c r="B1572" s="184">
        <v>19.554355770000001</v>
      </c>
      <c r="C1572" s="184">
        <v>-99.016239760000005</v>
      </c>
    </row>
    <row r="1573" spans="1:3">
      <c r="A1573" s="184" t="s">
        <v>4468</v>
      </c>
      <c r="B1573" s="184">
        <v>19.493289919999999</v>
      </c>
      <c r="C1573" s="184">
        <v>-99.025863909999998</v>
      </c>
    </row>
    <row r="1574" spans="1:3">
      <c r="A1574" s="184" t="s">
        <v>4469</v>
      </c>
      <c r="B1574" s="184">
        <v>19.832956190000001</v>
      </c>
      <c r="C1574" s="184">
        <v>-99.189859150000004</v>
      </c>
    </row>
    <row r="1575" spans="1:3">
      <c r="A1575" s="184" t="s">
        <v>4471</v>
      </c>
      <c r="B1575" s="184">
        <v>19.4685524</v>
      </c>
      <c r="C1575" s="184">
        <v>-99.271762069999994</v>
      </c>
    </row>
    <row r="1576" spans="1:3">
      <c r="A1576" s="184" t="s">
        <v>4473</v>
      </c>
      <c r="B1576" s="184">
        <v>19.686809520000001</v>
      </c>
      <c r="C1576" s="184">
        <v>-98.975921839999998</v>
      </c>
    </row>
    <row r="1577" spans="1:3">
      <c r="A1577" s="184" t="s">
        <v>4476</v>
      </c>
      <c r="B1577" s="184">
        <v>19.749525370000001</v>
      </c>
      <c r="C1577" s="184">
        <v>-98.935932129999998</v>
      </c>
    </row>
    <row r="1578" spans="1:3">
      <c r="A1578" s="184" t="s">
        <v>4479</v>
      </c>
      <c r="B1578" s="184">
        <v>19.863959130000001</v>
      </c>
      <c r="C1578" s="184">
        <v>-99.085428769999993</v>
      </c>
    </row>
    <row r="1579" spans="1:3">
      <c r="A1579" s="184" t="s">
        <v>4482</v>
      </c>
      <c r="B1579" s="184">
        <v>18.940059080000001</v>
      </c>
      <c r="C1579" s="184">
        <v>-99.941360470000006</v>
      </c>
    </row>
    <row r="1580" spans="1:3">
      <c r="A1580" s="184" t="s">
        <v>4484</v>
      </c>
      <c r="B1580" s="184">
        <v>18.948177300000001</v>
      </c>
      <c r="C1580" s="184">
        <v>-99.931902899999997</v>
      </c>
    </row>
    <row r="1581" spans="1:3">
      <c r="A1581" s="184" t="s">
        <v>4486</v>
      </c>
      <c r="B1581" s="184">
        <v>19.936380270000001</v>
      </c>
      <c r="C1581" s="184">
        <v>-100.00248310000001</v>
      </c>
    </row>
    <row r="1582" spans="1:3">
      <c r="A1582" s="184" t="s">
        <v>4488</v>
      </c>
      <c r="B1582" s="184">
        <v>19.982593510000001</v>
      </c>
      <c r="C1582" s="184">
        <v>-99.671015650000001</v>
      </c>
    </row>
    <row r="1583" spans="1:3">
      <c r="A1583" s="184" t="s">
        <v>4490</v>
      </c>
      <c r="B1583" s="184">
        <v>19.772674940000002</v>
      </c>
      <c r="C1583" s="184">
        <v>-99.18130189</v>
      </c>
    </row>
    <row r="1584" spans="1:3">
      <c r="A1584" s="184" t="s">
        <v>4493</v>
      </c>
      <c r="B1584" s="184">
        <v>19.738203970000001</v>
      </c>
      <c r="C1584" s="184">
        <v>-99.096621159999998</v>
      </c>
    </row>
    <row r="1585" spans="1:3">
      <c r="A1585" s="184" t="s">
        <v>4496</v>
      </c>
      <c r="B1585" s="184">
        <v>19.18833717</v>
      </c>
      <c r="C1585" s="184">
        <v>-99.561601080000003</v>
      </c>
    </row>
    <row r="1586" spans="1:3">
      <c r="A1586" s="184" t="s">
        <v>4499</v>
      </c>
      <c r="B1586" s="184">
        <v>19.385642270000002</v>
      </c>
      <c r="C1586" s="184">
        <v>-99.277843840000003</v>
      </c>
    </row>
    <row r="1587" spans="1:3">
      <c r="A1587" s="184" t="s">
        <v>4501</v>
      </c>
      <c r="B1587" s="184">
        <v>19.376763870000001</v>
      </c>
      <c r="C1587" s="184">
        <v>-99.292758660000004</v>
      </c>
    </row>
    <row r="1588" spans="1:3">
      <c r="A1588" s="184" t="s">
        <v>4504</v>
      </c>
      <c r="B1588" s="184">
        <v>19.461595679999999</v>
      </c>
      <c r="C1588" s="184">
        <v>-99.269880389999997</v>
      </c>
    </row>
    <row r="1589" spans="1:3">
      <c r="A1589" s="184" t="s">
        <v>4507</v>
      </c>
      <c r="B1589" s="184">
        <v>19.620127350000001</v>
      </c>
      <c r="C1589" s="184">
        <v>-99.174212850000004</v>
      </c>
    </row>
    <row r="1590" spans="1:3">
      <c r="A1590" s="184" t="s">
        <v>4509</v>
      </c>
      <c r="B1590" s="184">
        <v>19.265995069999999</v>
      </c>
      <c r="C1590" s="184">
        <v>-99.677047470000005</v>
      </c>
    </row>
    <row r="1591" spans="1:3">
      <c r="A1591" s="184" t="s">
        <v>4512</v>
      </c>
      <c r="B1591" s="184">
        <v>19.767133149999999</v>
      </c>
      <c r="C1591" s="184">
        <v>-99.046358179999999</v>
      </c>
    </row>
    <row r="1592" spans="1:3">
      <c r="A1592" s="184" t="s">
        <v>4515</v>
      </c>
      <c r="B1592" s="184">
        <v>19.803647850000001</v>
      </c>
      <c r="C1592" s="184">
        <v>-99.093855289999993</v>
      </c>
    </row>
    <row r="1593" spans="1:3">
      <c r="A1593" s="184" t="s">
        <v>4518</v>
      </c>
      <c r="B1593" s="184">
        <v>19.556168719999999</v>
      </c>
      <c r="C1593" s="184">
        <v>-98.848095819999998</v>
      </c>
    </row>
    <row r="1594" spans="1:3">
      <c r="A1594" s="184" t="s">
        <v>4521</v>
      </c>
      <c r="B1594" s="184">
        <v>19.290711439999999</v>
      </c>
      <c r="C1594" s="184">
        <v>-99.562684919999995</v>
      </c>
    </row>
    <row r="1595" spans="1:3">
      <c r="A1595" s="184" t="s">
        <v>4523</v>
      </c>
      <c r="B1595" s="184">
        <v>19.115564339999999</v>
      </c>
      <c r="C1595" s="184">
        <v>-99.592627530000001</v>
      </c>
    </row>
    <row r="1596" spans="1:3">
      <c r="A1596" s="184" t="s">
        <v>4525</v>
      </c>
      <c r="B1596" s="184">
        <v>19.2687086</v>
      </c>
      <c r="C1596" s="184">
        <v>-99.654849729999995</v>
      </c>
    </row>
    <row r="1597" spans="1:3">
      <c r="A1597" s="184" t="s">
        <v>4527</v>
      </c>
      <c r="B1597" s="184">
        <v>19.027695560000002</v>
      </c>
      <c r="C1597" s="184">
        <v>-99.553433330000004</v>
      </c>
    </row>
    <row r="1598" spans="1:3">
      <c r="A1598" s="184" t="s">
        <v>4529</v>
      </c>
      <c r="B1598" s="184">
        <v>19.64208343</v>
      </c>
      <c r="C1598" s="184">
        <v>-98.902705310000002</v>
      </c>
    </row>
    <row r="1599" spans="1:3">
      <c r="A1599" s="184" t="s">
        <v>4531</v>
      </c>
      <c r="B1599" s="184">
        <v>19.605301749999999</v>
      </c>
      <c r="C1599" s="184">
        <v>-99.307274359999994</v>
      </c>
    </row>
    <row r="1600" spans="1:3">
      <c r="A1600" s="184" t="s">
        <v>4534</v>
      </c>
      <c r="B1600" s="184">
        <v>18.758447870000001</v>
      </c>
      <c r="C1600" s="184">
        <v>-100.10109439999999</v>
      </c>
    </row>
    <row r="1601" spans="1:3">
      <c r="A1601" s="184" t="s">
        <v>4537</v>
      </c>
      <c r="B1601" s="184">
        <v>19.26887726</v>
      </c>
      <c r="C1601" s="184">
        <v>-98.927147360000006</v>
      </c>
    </row>
    <row r="1602" spans="1:3">
      <c r="A1602" s="184" t="s">
        <v>4539</v>
      </c>
      <c r="B1602" s="184">
        <v>18.623983089999999</v>
      </c>
      <c r="C1602" s="184">
        <v>-100.4169606</v>
      </c>
    </row>
    <row r="1603" spans="1:3">
      <c r="A1603" s="184" t="s">
        <v>4542</v>
      </c>
      <c r="B1603" s="184">
        <v>19.355077779999998</v>
      </c>
      <c r="C1603" s="184">
        <v>-99.38827397</v>
      </c>
    </row>
    <row r="1604" spans="1:3">
      <c r="A1604" s="184" t="s">
        <v>4544</v>
      </c>
      <c r="B1604" s="184">
        <v>19.162937899999999</v>
      </c>
      <c r="C1604" s="184">
        <v>-100.0800462</v>
      </c>
    </row>
    <row r="1605" spans="1:3">
      <c r="A1605" s="184" t="s">
        <v>4546</v>
      </c>
      <c r="B1605" s="184">
        <v>19.71102058</v>
      </c>
      <c r="C1605" s="184">
        <v>-99.733966480000007</v>
      </c>
    </row>
    <row r="1606" spans="1:3">
      <c r="A1606" s="184" t="s">
        <v>4548</v>
      </c>
      <c r="B1606" s="184">
        <v>19.387659880000001</v>
      </c>
      <c r="C1606" s="184">
        <v>-98.958215530000004</v>
      </c>
    </row>
    <row r="1607" spans="1:3">
      <c r="A1607" s="184" t="s">
        <v>4551</v>
      </c>
      <c r="B1607" s="184">
        <v>18.835240169999999</v>
      </c>
      <c r="C1607" s="184">
        <v>-99.808793379999997</v>
      </c>
    </row>
    <row r="1608" spans="1:3">
      <c r="A1608" s="184" t="s">
        <v>4553</v>
      </c>
      <c r="B1608" s="184">
        <v>20.145825609999999</v>
      </c>
      <c r="C1608" s="184">
        <v>-99.925840780000001</v>
      </c>
    </row>
    <row r="1609" spans="1:3">
      <c r="A1609" s="184" t="s">
        <v>4556</v>
      </c>
      <c r="B1609" s="184">
        <v>19.247556419999999</v>
      </c>
      <c r="C1609" s="184">
        <v>-99.630011469999999</v>
      </c>
    </row>
    <row r="1610" spans="1:3">
      <c r="A1610" s="184" t="s">
        <v>4558</v>
      </c>
      <c r="B1610" s="184">
        <v>19.87960288</v>
      </c>
      <c r="C1610" s="184">
        <v>-100.01212219999999</v>
      </c>
    </row>
    <row r="1611" spans="1:3">
      <c r="A1611" s="184" t="s">
        <v>4561</v>
      </c>
      <c r="B1611" s="184">
        <v>19.79860038</v>
      </c>
      <c r="C1611" s="184">
        <v>-99.950767799999994</v>
      </c>
    </row>
    <row r="1612" spans="1:3">
      <c r="A1612" s="184" t="s">
        <v>4564</v>
      </c>
      <c r="B1612" s="184">
        <v>19.861724509999998</v>
      </c>
      <c r="C1612" s="184">
        <v>-99.905530780000007</v>
      </c>
    </row>
    <row r="1613" spans="1:3">
      <c r="A1613" s="184" t="s">
        <v>4567</v>
      </c>
      <c r="B1613" s="184">
        <v>19.265995530000001</v>
      </c>
      <c r="C1613" s="184">
        <v>-99.677046290000007</v>
      </c>
    </row>
    <row r="1614" spans="1:3">
      <c r="A1614" s="184" t="s">
        <v>4569</v>
      </c>
      <c r="B1614" s="184">
        <v>19.664508229999999</v>
      </c>
      <c r="C1614" s="184">
        <v>-98.874823719999995</v>
      </c>
    </row>
    <row r="1615" spans="1:3">
      <c r="A1615" s="184" t="s">
        <v>4571</v>
      </c>
      <c r="B1615" s="184">
        <v>19.431546350000001</v>
      </c>
      <c r="C1615" s="184">
        <v>-98.937541060000001</v>
      </c>
    </row>
    <row r="1616" spans="1:3">
      <c r="A1616" s="184" t="s">
        <v>4573</v>
      </c>
      <c r="B1616" s="184">
        <v>19.287987860000001</v>
      </c>
      <c r="C1616" s="184">
        <v>-98.903147320000002</v>
      </c>
    </row>
    <row r="1617" spans="1:3">
      <c r="A1617" s="184" t="s">
        <v>4575</v>
      </c>
      <c r="B1617" s="184">
        <v>19.17733862</v>
      </c>
      <c r="C1617" s="184">
        <v>-100.04035620000001</v>
      </c>
    </row>
    <row r="1618" spans="1:3">
      <c r="A1618" s="184" t="s">
        <v>4577</v>
      </c>
      <c r="B1618" s="184">
        <v>19.960076130000001</v>
      </c>
      <c r="C1618" s="184">
        <v>-99.95255453</v>
      </c>
    </row>
    <row r="1619" spans="1:3">
      <c r="A1619" s="184" t="s">
        <v>4580</v>
      </c>
      <c r="B1619" s="184">
        <v>19.568287789999999</v>
      </c>
      <c r="C1619" s="184">
        <v>-99.603470079999994</v>
      </c>
    </row>
    <row r="1620" spans="1:3">
      <c r="A1620" s="184" t="s">
        <v>4583</v>
      </c>
      <c r="B1620" s="184">
        <v>19.190558939999999</v>
      </c>
      <c r="C1620" s="184">
        <v>-99.414486940000003</v>
      </c>
    </row>
    <row r="1621" spans="1:3">
      <c r="A1621" s="184" t="s">
        <v>4586</v>
      </c>
      <c r="B1621" s="184">
        <v>19.611267290000001</v>
      </c>
      <c r="C1621" s="184">
        <v>-99.070879579999996</v>
      </c>
    </row>
    <row r="1622" spans="1:3">
      <c r="A1622" s="184" t="s">
        <v>4588</v>
      </c>
      <c r="B1622" s="184">
        <v>19.090618930000002</v>
      </c>
      <c r="C1622" s="184">
        <v>-100.0681707</v>
      </c>
    </row>
    <row r="1623" spans="1:3">
      <c r="A1623" s="186" t="s">
        <v>4591</v>
      </c>
      <c r="B1623" s="184">
        <v>19.135561030000002</v>
      </c>
      <c r="C1623" s="184">
        <v>-100.213047</v>
      </c>
    </row>
    <row r="1624" spans="1:3">
      <c r="A1624" s="184" t="s">
        <v>4593</v>
      </c>
      <c r="B1624" s="184">
        <v>19.150183649999999</v>
      </c>
      <c r="C1624" s="184">
        <v>-100.1103136</v>
      </c>
    </row>
    <row r="1625" spans="1:3">
      <c r="A1625" s="184" t="s">
        <v>4596</v>
      </c>
      <c r="B1625" s="184">
        <v>19.349399999999999</v>
      </c>
      <c r="C1625" s="184">
        <v>-99.193500999999998</v>
      </c>
    </row>
    <row r="1626" spans="1:3">
      <c r="A1626" s="184" t="s">
        <v>4598</v>
      </c>
      <c r="B1626" s="184">
        <v>19.611166220000001</v>
      </c>
      <c r="C1626" s="184">
        <v>-99.070858119999997</v>
      </c>
    </row>
    <row r="1627" spans="1:3">
      <c r="A1627" s="184" t="s">
        <v>4600</v>
      </c>
      <c r="B1627" s="184">
        <v>19.70834447</v>
      </c>
      <c r="C1627" s="184">
        <v>-100.1611013</v>
      </c>
    </row>
    <row r="1628" spans="1:3">
      <c r="A1628" s="184" t="s">
        <v>4603</v>
      </c>
      <c r="B1628" s="184">
        <v>19.2967382</v>
      </c>
      <c r="C1628" s="184">
        <v>-98.943123819999997</v>
      </c>
    </row>
    <row r="1629" spans="1:3">
      <c r="A1629" s="184" t="s">
        <v>4605</v>
      </c>
      <c r="B1629" s="184">
        <v>19.425935299999999</v>
      </c>
      <c r="C1629" s="184">
        <v>-99.269775109999998</v>
      </c>
    </row>
    <row r="1630" spans="1:3">
      <c r="A1630" s="184" t="s">
        <v>4608</v>
      </c>
      <c r="B1630" s="184">
        <v>18.922900689999999</v>
      </c>
      <c r="C1630" s="184">
        <v>-99.61838942</v>
      </c>
    </row>
    <row r="1631" spans="1:3">
      <c r="A1631" s="184" t="s">
        <v>4610</v>
      </c>
      <c r="B1631" s="184">
        <v>19.738256849999999</v>
      </c>
      <c r="C1631" s="184">
        <v>-99.096624039999995</v>
      </c>
    </row>
    <row r="1632" spans="1:3">
      <c r="A1632" s="184" t="s">
        <v>4613</v>
      </c>
      <c r="B1632" s="184">
        <v>19.62012622</v>
      </c>
      <c r="C1632" s="184">
        <v>-99.174213940000001</v>
      </c>
    </row>
    <row r="1633" spans="1:3">
      <c r="A1633" s="184" t="s">
        <v>4616</v>
      </c>
      <c r="B1633" s="184">
        <v>19.72580863</v>
      </c>
      <c r="C1633" s="184">
        <v>-99.529813709999999</v>
      </c>
    </row>
    <row r="1634" spans="1:3">
      <c r="A1634" s="184" t="s">
        <v>4618</v>
      </c>
      <c r="B1634" s="184">
        <v>19.465181040000001</v>
      </c>
      <c r="C1634" s="184">
        <v>-99.53088357</v>
      </c>
    </row>
    <row r="1635" spans="1:3">
      <c r="A1635" s="184" t="s">
        <v>4620</v>
      </c>
      <c r="B1635" s="184">
        <v>18.699969629999998</v>
      </c>
      <c r="C1635" s="184">
        <v>-100.37343370000001</v>
      </c>
    </row>
    <row r="1636" spans="1:3">
      <c r="A1636" s="184" t="s">
        <v>4622</v>
      </c>
      <c r="B1636" s="184">
        <v>19.000904330000001</v>
      </c>
      <c r="C1636" s="184">
        <v>-99.82812989</v>
      </c>
    </row>
    <row r="1637" spans="1:3">
      <c r="A1637" s="184" t="s">
        <v>4624</v>
      </c>
      <c r="B1637" s="184">
        <v>19.600248220000001</v>
      </c>
      <c r="C1637" s="184">
        <v>-99.416388470000001</v>
      </c>
    </row>
    <row r="1638" spans="1:3">
      <c r="A1638" s="184" t="s">
        <v>4626</v>
      </c>
      <c r="B1638" s="184">
        <v>19.943931920000001</v>
      </c>
      <c r="C1638" s="184">
        <v>-99.936617420000005</v>
      </c>
    </row>
    <row r="1639" spans="1:3">
      <c r="A1639" s="184" t="s">
        <v>4628</v>
      </c>
      <c r="B1639" s="184">
        <v>19.13128021</v>
      </c>
      <c r="C1639" s="184">
        <v>-100.1454603</v>
      </c>
    </row>
    <row r="1640" spans="1:3">
      <c r="A1640" s="184" t="s">
        <v>4630</v>
      </c>
      <c r="B1640" s="184">
        <v>18.86017395</v>
      </c>
      <c r="C1640" s="184">
        <v>-99.844027280000006</v>
      </c>
    </row>
    <row r="1641" spans="1:3">
      <c r="A1641" s="184" t="s">
        <v>4633</v>
      </c>
      <c r="B1641" s="184">
        <v>18.981429689999999</v>
      </c>
      <c r="C1641" s="184">
        <v>-99.913326470000001</v>
      </c>
    </row>
    <row r="1642" spans="1:3">
      <c r="A1642" s="184" t="s">
        <v>4636</v>
      </c>
      <c r="B1642" s="184">
        <v>19.26191635</v>
      </c>
      <c r="C1642" s="184">
        <v>-98.948277559999994</v>
      </c>
    </row>
    <row r="1643" spans="1:3">
      <c r="A1643" s="184" t="s">
        <v>4638</v>
      </c>
      <c r="B1643" s="184">
        <v>19.803595479999998</v>
      </c>
      <c r="C1643" s="184">
        <v>-99.093968610000005</v>
      </c>
    </row>
    <row r="1644" spans="1:3">
      <c r="A1644" s="184" t="s">
        <v>4639</v>
      </c>
      <c r="B1644" s="184">
        <v>19.337436069999999</v>
      </c>
      <c r="C1644" s="184">
        <v>-100.2481777</v>
      </c>
    </row>
    <row r="1645" spans="1:3">
      <c r="A1645" s="184" t="s">
        <v>4642</v>
      </c>
      <c r="B1645" s="184">
        <v>19.36401175</v>
      </c>
      <c r="C1645" s="184">
        <v>-98.940919120000004</v>
      </c>
    </row>
    <row r="1646" spans="1:3">
      <c r="A1646" s="184" t="s">
        <v>4643</v>
      </c>
      <c r="B1646" s="184">
        <v>19.288417110000001</v>
      </c>
      <c r="C1646" s="184">
        <v>-98.956421969999994</v>
      </c>
    </row>
    <row r="1647" spans="1:3">
      <c r="A1647" s="184" t="s">
        <v>4645</v>
      </c>
      <c r="B1647" s="184">
        <v>18.988513640000001</v>
      </c>
      <c r="C1647" s="184">
        <v>-99.447220560000005</v>
      </c>
    </row>
    <row r="1648" spans="1:3">
      <c r="A1648" s="184" t="s">
        <v>4648</v>
      </c>
      <c r="B1648" s="184">
        <v>19.305545540000001</v>
      </c>
      <c r="C1648" s="184">
        <v>-99.544579679999998</v>
      </c>
    </row>
    <row r="1649" spans="1:3">
      <c r="A1649" s="184" t="s">
        <v>4650</v>
      </c>
      <c r="B1649" s="184">
        <v>19.616380190000001</v>
      </c>
      <c r="C1649" s="184">
        <v>-99.008705939999999</v>
      </c>
    </row>
    <row r="1650" spans="1:3">
      <c r="A1650" s="184" t="s">
        <v>4653</v>
      </c>
      <c r="B1650" s="184">
        <v>19.753350449999999</v>
      </c>
      <c r="C1650" s="184">
        <v>-100.02154229999999</v>
      </c>
    </row>
    <row r="1651" spans="1:3">
      <c r="A1651" s="184" t="s">
        <v>4655</v>
      </c>
      <c r="B1651" s="184">
        <v>19.0995776</v>
      </c>
      <c r="C1651" s="184">
        <v>-99.530025640000005</v>
      </c>
    </row>
    <row r="1652" spans="1:3">
      <c r="A1652" s="184" t="s">
        <v>4658</v>
      </c>
      <c r="B1652" s="184">
        <v>19.44666131</v>
      </c>
      <c r="C1652" s="184">
        <v>-98.947043219999998</v>
      </c>
    </row>
    <row r="1653" spans="1:3">
      <c r="A1653" s="184" t="s">
        <v>4660</v>
      </c>
      <c r="B1653" s="184">
        <v>19.29568051</v>
      </c>
      <c r="C1653" s="184">
        <v>-98.908474560000002</v>
      </c>
    </row>
    <row r="1654" spans="1:3">
      <c r="A1654" s="184" t="s">
        <v>4663</v>
      </c>
      <c r="B1654" s="184">
        <v>19.400228720000001</v>
      </c>
      <c r="C1654" s="184">
        <v>-98.907839629999998</v>
      </c>
    </row>
    <row r="1655" spans="1:3">
      <c r="A1655" s="184" t="s">
        <v>4666</v>
      </c>
      <c r="B1655" s="184">
        <v>19.392362330000001</v>
      </c>
      <c r="C1655" s="184">
        <v>-98.935599890000006</v>
      </c>
    </row>
    <row r="1656" spans="1:3">
      <c r="A1656" s="184" t="s">
        <v>4669</v>
      </c>
      <c r="B1656" s="184">
        <v>19.27700372</v>
      </c>
      <c r="C1656" s="184">
        <v>-99.494873740000003</v>
      </c>
    </row>
    <row r="1657" spans="1:3">
      <c r="A1657" s="184" t="s">
        <v>4671</v>
      </c>
      <c r="B1657" s="184">
        <v>19.358218239999999</v>
      </c>
      <c r="C1657" s="184">
        <v>-99.571264819999996</v>
      </c>
    </row>
    <row r="1658" spans="1:3">
      <c r="A1658" s="184" t="s">
        <v>4674</v>
      </c>
      <c r="B1658" s="184">
        <v>18.912529729999999</v>
      </c>
      <c r="C1658" s="184">
        <v>-99.788544880000003</v>
      </c>
    </row>
    <row r="1659" spans="1:3">
      <c r="A1659" s="184" t="s">
        <v>4677</v>
      </c>
      <c r="B1659" s="184">
        <v>19.268646260000001</v>
      </c>
      <c r="C1659" s="184">
        <v>-99.662878750000004</v>
      </c>
    </row>
    <row r="1660" spans="1:3">
      <c r="A1660" s="184" t="s">
        <v>4679</v>
      </c>
      <c r="B1660" s="184">
        <v>19.371553540000001</v>
      </c>
      <c r="C1660" s="184">
        <v>-98.912839959999999</v>
      </c>
    </row>
    <row r="1661" spans="1:3">
      <c r="A1661" s="184" t="s">
        <v>4682</v>
      </c>
      <c r="B1661" s="184">
        <v>18.810715829999999</v>
      </c>
      <c r="C1661" s="184">
        <v>-100.14624139999999</v>
      </c>
    </row>
    <row r="1662" spans="1:3">
      <c r="A1662" s="184" t="s">
        <v>4685</v>
      </c>
      <c r="B1662" s="184">
        <v>19.423861639999998</v>
      </c>
      <c r="C1662" s="184">
        <v>-98.901208080000004</v>
      </c>
    </row>
    <row r="1663" spans="1:3">
      <c r="A1663" s="184" t="s">
        <v>4688</v>
      </c>
      <c r="B1663" s="184">
        <v>19.897035979999998</v>
      </c>
      <c r="C1663" s="184">
        <v>-100.9822692</v>
      </c>
    </row>
    <row r="1664" spans="1:3">
      <c r="A1664" s="184" t="s">
        <v>4694</v>
      </c>
      <c r="B1664" s="184">
        <v>20.114166999999998</v>
      </c>
      <c r="C1664" s="184">
        <v>-101.787222</v>
      </c>
    </row>
    <row r="1665" spans="1:3">
      <c r="A1665" s="184" t="s">
        <v>4698</v>
      </c>
      <c r="B1665" s="184">
        <v>18.299444000000001</v>
      </c>
      <c r="C1665" s="184">
        <v>-103.133056</v>
      </c>
    </row>
    <row r="1666" spans="1:3">
      <c r="A1666" s="184" t="s">
        <v>4702</v>
      </c>
      <c r="B1666" s="184">
        <v>18.508299999999998</v>
      </c>
      <c r="C1666" s="184">
        <v>-103.358</v>
      </c>
    </row>
    <row r="1667" spans="1:3">
      <c r="A1667" s="184" t="s">
        <v>4706</v>
      </c>
      <c r="B1667" s="184">
        <v>19.821536900000002</v>
      </c>
      <c r="C1667" s="184">
        <v>-101.679773</v>
      </c>
    </row>
    <row r="1668" spans="1:3">
      <c r="A1668" s="184" t="s">
        <v>4710</v>
      </c>
      <c r="B1668" s="184">
        <v>19.952360299999999</v>
      </c>
      <c r="C1668" s="184">
        <v>-100.15754579999999</v>
      </c>
    </row>
    <row r="1669" spans="1:3">
      <c r="A1669" s="184" t="s">
        <v>4713</v>
      </c>
      <c r="B1669" s="184">
        <v>20.060337000000001</v>
      </c>
      <c r="C1669" s="184">
        <v>-101.1476928</v>
      </c>
    </row>
    <row r="1670" spans="1:3">
      <c r="A1670" s="184" t="s">
        <v>4717</v>
      </c>
      <c r="B1670" s="184">
        <v>19.967644</v>
      </c>
      <c r="C1670" s="184">
        <v>-101.064311</v>
      </c>
    </row>
    <row r="1671" spans="1:3">
      <c r="A1671" s="184" t="s">
        <v>4720</v>
      </c>
      <c r="B1671" s="184">
        <v>19.265288000000002</v>
      </c>
      <c r="C1671" s="184">
        <v>-102.067401</v>
      </c>
    </row>
    <row r="1672" spans="1:3">
      <c r="A1672" s="184" t="s">
        <v>4724</v>
      </c>
      <c r="B1672" s="184">
        <v>19.153041999999999</v>
      </c>
      <c r="C1672" s="184">
        <v>-101.953164</v>
      </c>
    </row>
    <row r="1673" spans="1:3">
      <c r="A1673" s="184" t="s">
        <v>4727</v>
      </c>
      <c r="B1673" s="184">
        <v>18.725000999999999</v>
      </c>
      <c r="C1673" s="184">
        <v>-101.83103300000001</v>
      </c>
    </row>
    <row r="1674" spans="1:3">
      <c r="A1674" s="184" t="s">
        <v>4731</v>
      </c>
      <c r="B1674" s="184">
        <v>18.958677999999999</v>
      </c>
      <c r="C1674" s="184">
        <v>-101.714191</v>
      </c>
    </row>
    <row r="1675" spans="1:3">
      <c r="A1675" s="184" t="s">
        <v>4734</v>
      </c>
      <c r="B1675" s="184">
        <v>19.993557899999999</v>
      </c>
      <c r="C1675" s="184">
        <v>-102.87322899999999</v>
      </c>
    </row>
    <row r="1676" spans="1:3">
      <c r="A1676" s="184" t="s">
        <v>4738</v>
      </c>
      <c r="B1676" s="184">
        <v>20.280704149999998</v>
      </c>
      <c r="C1676" s="184">
        <v>-101.47118469999999</v>
      </c>
    </row>
    <row r="1677" spans="1:3">
      <c r="A1677" s="184" t="s">
        <v>4742</v>
      </c>
      <c r="B1677" s="184">
        <v>19.6555301</v>
      </c>
      <c r="C1677" s="184">
        <v>-101.314701</v>
      </c>
    </row>
    <row r="1678" spans="1:3">
      <c r="A1678" s="184" t="s">
        <v>4746</v>
      </c>
      <c r="B1678" s="184">
        <v>19.981667000000002</v>
      </c>
      <c r="C1678" s="184">
        <v>-101.50916700000001</v>
      </c>
    </row>
    <row r="1679" spans="1:3">
      <c r="A1679" s="184" t="s">
        <v>4748</v>
      </c>
      <c r="B1679" s="184">
        <v>19.035682000000001</v>
      </c>
      <c r="C1679" s="184">
        <v>-101.255194</v>
      </c>
    </row>
    <row r="1680" spans="1:3">
      <c r="A1680" s="184" t="s">
        <v>4752</v>
      </c>
      <c r="B1680" s="184">
        <v>19.068587999999998</v>
      </c>
      <c r="C1680" s="184">
        <v>-102.24787600000001</v>
      </c>
    </row>
    <row r="1681" spans="1:3">
      <c r="A1681" s="184" t="s">
        <v>4756</v>
      </c>
      <c r="B1681" s="184">
        <v>20.188147399999998</v>
      </c>
      <c r="C1681" s="184">
        <v>-101.87555020000001</v>
      </c>
    </row>
    <row r="1682" spans="1:3">
      <c r="A1682" s="184" t="s">
        <v>4760</v>
      </c>
      <c r="B1682" s="184">
        <v>20.255700000000001</v>
      </c>
      <c r="C1682" s="184">
        <v>-102.1366</v>
      </c>
    </row>
    <row r="1683" spans="1:3">
      <c r="A1683" s="184" t="s">
        <v>4764</v>
      </c>
      <c r="B1683" s="184">
        <v>20.218146789999999</v>
      </c>
      <c r="C1683" s="184">
        <v>-101.42028809999999</v>
      </c>
    </row>
    <row r="1684" spans="1:3">
      <c r="A1684" s="184" t="s">
        <v>4768</v>
      </c>
      <c r="B1684" s="184">
        <v>19.777706940000002</v>
      </c>
      <c r="C1684" s="184">
        <v>-100.8198165</v>
      </c>
    </row>
    <row r="1685" spans="1:3">
      <c r="A1685" s="184" t="s">
        <v>4772</v>
      </c>
      <c r="B1685" s="184">
        <v>19.733945800000001</v>
      </c>
      <c r="C1685" s="184">
        <v>-102.2966261</v>
      </c>
    </row>
    <row r="1686" spans="1:3">
      <c r="A1686" s="184" t="s">
        <v>4774</v>
      </c>
      <c r="B1686" s="184">
        <v>19.603888999999999</v>
      </c>
      <c r="C1686" s="184">
        <v>-102.33805599999999</v>
      </c>
    </row>
    <row r="1687" spans="1:3">
      <c r="A1687" s="184" t="s">
        <v>4776</v>
      </c>
      <c r="B1687" s="184">
        <v>20.062107000000001</v>
      </c>
      <c r="C1687" s="184">
        <v>-101.11043189999999</v>
      </c>
    </row>
    <row r="1688" spans="1:3">
      <c r="A1688" s="184" t="s">
        <v>4780</v>
      </c>
      <c r="B1688" s="184">
        <v>19.287213900000001</v>
      </c>
      <c r="C1688" s="184">
        <v>-100.3513463</v>
      </c>
    </row>
    <row r="1689" spans="1:3">
      <c r="A1689" s="184" t="s">
        <v>4784</v>
      </c>
      <c r="B1689" s="184">
        <v>19.239490249999999</v>
      </c>
      <c r="C1689" s="184">
        <v>-102.3636518</v>
      </c>
    </row>
    <row r="1690" spans="1:3">
      <c r="A1690" s="184" t="s">
        <v>4788</v>
      </c>
      <c r="B1690" s="184">
        <v>19.33125613</v>
      </c>
      <c r="C1690" s="184">
        <v>-102.45054639999999</v>
      </c>
    </row>
    <row r="1691" spans="1:3">
      <c r="A1691" s="184" t="s">
        <v>4791</v>
      </c>
      <c r="B1691" s="184">
        <v>19.830898000000001</v>
      </c>
      <c r="C1691" s="184">
        <v>-101.09968499999999</v>
      </c>
    </row>
    <row r="1692" spans="1:3">
      <c r="A1692" s="184" t="s">
        <v>4795</v>
      </c>
      <c r="B1692" s="184">
        <v>18.917542999999998</v>
      </c>
      <c r="C1692" s="184">
        <v>-100.59286590000001</v>
      </c>
    </row>
    <row r="1693" spans="1:3">
      <c r="A1693" s="184" t="s">
        <v>4799</v>
      </c>
      <c r="B1693" s="184">
        <v>19.022894470000001</v>
      </c>
      <c r="C1693" s="184">
        <v>-101.378838</v>
      </c>
    </row>
    <row r="1694" spans="1:3">
      <c r="A1694" s="184" t="s">
        <v>4803</v>
      </c>
      <c r="B1694" s="184">
        <v>19.328333300000001</v>
      </c>
      <c r="C1694" s="184">
        <v>-100.6113888</v>
      </c>
    </row>
    <row r="1695" spans="1:3">
      <c r="A1695" s="184" t="s">
        <v>4806</v>
      </c>
      <c r="B1695" s="184">
        <v>19.385145999999999</v>
      </c>
      <c r="C1695" s="184">
        <v>-100.825666</v>
      </c>
    </row>
    <row r="1696" spans="1:3">
      <c r="A1696" s="184" t="s">
        <v>4810</v>
      </c>
      <c r="B1696" s="184">
        <v>19.283300000000001</v>
      </c>
      <c r="C1696" s="184">
        <v>-101.967</v>
      </c>
    </row>
    <row r="1697" spans="1:3">
      <c r="A1697" s="184" t="s">
        <v>4814</v>
      </c>
      <c r="B1697" s="184">
        <v>19.949016490000002</v>
      </c>
      <c r="C1697" s="184">
        <v>-102.55390010000001</v>
      </c>
    </row>
    <row r="1698" spans="1:3">
      <c r="A1698" s="184" t="s">
        <v>4818</v>
      </c>
      <c r="B1698" s="184">
        <v>20.310491899999999</v>
      </c>
      <c r="C1698" s="184">
        <v>-102.167586</v>
      </c>
    </row>
    <row r="1699" spans="1:3">
      <c r="A1699" s="184" t="s">
        <v>4822</v>
      </c>
      <c r="B1699" s="184">
        <v>20.092106600000001</v>
      </c>
      <c r="C1699" s="184">
        <v>-102.34653830000001</v>
      </c>
    </row>
    <row r="1700" spans="1:3">
      <c r="A1700" s="184" t="s">
        <v>4826</v>
      </c>
      <c r="B1700" s="184">
        <v>19.423746000000001</v>
      </c>
      <c r="C1700" s="184">
        <v>-100.362684</v>
      </c>
    </row>
    <row r="1701" spans="1:3">
      <c r="A1701" s="184" t="s">
        <v>4830</v>
      </c>
      <c r="B1701" s="184">
        <v>19.68332989</v>
      </c>
      <c r="C1701" s="184">
        <v>-101.7433645</v>
      </c>
    </row>
    <row r="1702" spans="1:3">
      <c r="A1702" s="184" t="s">
        <v>4834</v>
      </c>
      <c r="B1702" s="184">
        <v>20.318888999999999</v>
      </c>
      <c r="C1702" s="184">
        <v>-101.52555599999999</v>
      </c>
    </row>
    <row r="1703" spans="1:3">
      <c r="A1703" s="184" t="s">
        <v>4837</v>
      </c>
      <c r="B1703" s="184">
        <v>19.63916386</v>
      </c>
      <c r="C1703" s="184">
        <v>-101.232161</v>
      </c>
    </row>
    <row r="1704" spans="1:3">
      <c r="A1704" s="184" t="s">
        <v>4839</v>
      </c>
      <c r="B1704" s="184">
        <v>19.024667000000001</v>
      </c>
      <c r="C1704" s="184">
        <v>-101.2486846</v>
      </c>
    </row>
    <row r="1705" spans="1:3">
      <c r="A1705" s="184" t="s">
        <v>4842</v>
      </c>
      <c r="B1705" s="184">
        <v>20.053936180000001</v>
      </c>
      <c r="C1705" s="184">
        <v>-102.4082366</v>
      </c>
    </row>
    <row r="1706" spans="1:3">
      <c r="A1706" s="184" t="s">
        <v>4845</v>
      </c>
      <c r="B1706" s="184">
        <v>19.8455689</v>
      </c>
      <c r="C1706" s="184">
        <v>-102.09823400000001</v>
      </c>
    </row>
    <row r="1707" spans="1:3">
      <c r="A1707" s="184" t="s">
        <v>4849</v>
      </c>
      <c r="B1707" s="184">
        <v>19.023445899999999</v>
      </c>
      <c r="C1707" s="184">
        <v>-100.8183015</v>
      </c>
    </row>
    <row r="1708" spans="1:3">
      <c r="A1708" s="184" t="s">
        <v>4852</v>
      </c>
      <c r="B1708" s="184">
        <v>19.857608689999999</v>
      </c>
      <c r="C1708" s="184">
        <v>-102.1561926</v>
      </c>
    </row>
    <row r="1709" spans="1:3">
      <c r="A1709" s="184" t="s">
        <v>4855</v>
      </c>
      <c r="B1709" s="184">
        <v>19.135990939999999</v>
      </c>
      <c r="C1709" s="184">
        <v>-102.4398647</v>
      </c>
    </row>
    <row r="1710" spans="1:3">
      <c r="A1710" s="184" t="s">
        <v>4858</v>
      </c>
      <c r="B1710" s="184">
        <v>19.663487490000001</v>
      </c>
      <c r="C1710" s="184">
        <v>-101.63796790000001</v>
      </c>
    </row>
    <row r="1711" spans="1:3">
      <c r="A1711" s="184" t="s">
        <v>4862</v>
      </c>
      <c r="B1711" s="184">
        <v>19.702350819999999</v>
      </c>
      <c r="C1711" s="184">
        <v>-102.0109542</v>
      </c>
    </row>
    <row r="1712" spans="1:3">
      <c r="A1712" s="184" t="s">
        <v>4866</v>
      </c>
      <c r="B1712" s="184">
        <v>19.818499289999998</v>
      </c>
      <c r="C1712" s="184">
        <v>-101.8729639</v>
      </c>
    </row>
    <row r="1713" spans="1:3">
      <c r="A1713" s="184" t="s">
        <v>4870</v>
      </c>
      <c r="B1713" s="184">
        <v>19.0020852</v>
      </c>
      <c r="C1713" s="184">
        <v>-102.19080460000001</v>
      </c>
    </row>
    <row r="1714" spans="1:3">
      <c r="A1714" s="184" t="s">
        <v>4874</v>
      </c>
      <c r="B1714" s="184">
        <v>20.06476322</v>
      </c>
      <c r="C1714" s="184">
        <v>-102.49106020000001</v>
      </c>
    </row>
    <row r="1715" spans="1:3">
      <c r="A1715" s="184" t="s">
        <v>4877</v>
      </c>
      <c r="B1715" s="184">
        <v>19.16411008</v>
      </c>
      <c r="C1715" s="184">
        <v>-101.9155679</v>
      </c>
    </row>
    <row r="1716" spans="1:3">
      <c r="A1716" s="184" t="s">
        <v>4881</v>
      </c>
      <c r="B1716" s="184">
        <v>19.91125882</v>
      </c>
      <c r="C1716" s="184">
        <v>-102.1404541</v>
      </c>
    </row>
    <row r="1717" spans="1:3">
      <c r="A1717" s="184" t="s">
        <v>4885</v>
      </c>
      <c r="B1717" s="184">
        <v>19.097989070000001</v>
      </c>
      <c r="C1717" s="184">
        <v>-102.4988127</v>
      </c>
    </row>
    <row r="1718" spans="1:3">
      <c r="A1718" s="184" t="s">
        <v>4888</v>
      </c>
      <c r="B1718" s="184">
        <v>20.187842669999998</v>
      </c>
      <c r="C1718" s="184">
        <v>-101.70347580000001</v>
      </c>
    </row>
    <row r="1719" spans="1:3">
      <c r="A1719" s="184" t="s">
        <v>4891</v>
      </c>
      <c r="B1719" s="184">
        <v>19.84721248</v>
      </c>
      <c r="C1719" s="184">
        <v>-102.0986638</v>
      </c>
    </row>
    <row r="1720" spans="1:3">
      <c r="A1720" s="184" t="s">
        <v>4893</v>
      </c>
      <c r="B1720" s="184">
        <v>19.99174081</v>
      </c>
      <c r="C1720" s="184">
        <v>-102.87229499999999</v>
      </c>
    </row>
    <row r="1721" spans="1:3">
      <c r="A1721" s="184" t="s">
        <v>4896</v>
      </c>
      <c r="B1721" s="184">
        <v>20.18626875</v>
      </c>
      <c r="C1721" s="184">
        <v>-101.92726020000001</v>
      </c>
    </row>
    <row r="1722" spans="1:3">
      <c r="A1722" s="184" t="s">
        <v>4900</v>
      </c>
      <c r="B1722" s="184">
        <v>19.67158835</v>
      </c>
      <c r="C1722" s="184">
        <v>-101.21985309999999</v>
      </c>
    </row>
    <row r="1723" spans="1:3">
      <c r="A1723" s="184" t="s">
        <v>4903</v>
      </c>
      <c r="B1723" s="184">
        <v>20.371106220000001</v>
      </c>
      <c r="C1723" s="184">
        <v>-102.06724610000001</v>
      </c>
    </row>
    <row r="1724" spans="1:3">
      <c r="A1724" s="184" t="s">
        <v>4905</v>
      </c>
      <c r="B1724" s="184">
        <v>19.664448239999999</v>
      </c>
      <c r="C1724" s="184">
        <v>-101.6358456</v>
      </c>
    </row>
    <row r="1725" spans="1:3">
      <c r="A1725" s="184" t="s">
        <v>4908</v>
      </c>
      <c r="B1725" s="184">
        <v>20.27463062</v>
      </c>
      <c r="C1725" s="184">
        <v>-101.47724409999999</v>
      </c>
    </row>
    <row r="1726" spans="1:3">
      <c r="A1726" s="184" t="s">
        <v>4909</v>
      </c>
      <c r="B1726" s="184">
        <v>19.953651650000001</v>
      </c>
      <c r="C1726" s="184">
        <v>-100.1575448</v>
      </c>
    </row>
    <row r="1727" spans="1:3">
      <c r="A1727" s="184" t="s">
        <v>4911</v>
      </c>
      <c r="B1727" s="184">
        <v>20.05910849</v>
      </c>
      <c r="C1727" s="184">
        <v>-101.14912870000001</v>
      </c>
    </row>
    <row r="1728" spans="1:3">
      <c r="A1728" s="184" t="s">
        <v>4913</v>
      </c>
      <c r="B1728" s="184">
        <v>20.055645429999998</v>
      </c>
      <c r="C1728" s="184">
        <v>-102.4094904</v>
      </c>
    </row>
    <row r="1729" spans="1:3">
      <c r="A1729" s="184" t="s">
        <v>4915</v>
      </c>
      <c r="B1729" s="184">
        <v>20.227232740000002</v>
      </c>
      <c r="C1729" s="184">
        <v>-102.20961610000001</v>
      </c>
    </row>
    <row r="1730" spans="1:3">
      <c r="A1730" s="184" t="s">
        <v>4918</v>
      </c>
      <c r="B1730" s="184">
        <v>19.153057310000001</v>
      </c>
      <c r="C1730" s="184">
        <v>-101.9529658</v>
      </c>
    </row>
    <row r="1731" spans="1:3">
      <c r="A1731" s="184" t="s">
        <v>4919</v>
      </c>
      <c r="B1731" s="184">
        <v>18.534907029999999</v>
      </c>
      <c r="C1731" s="184">
        <v>-101.32439429999999</v>
      </c>
    </row>
    <row r="1732" spans="1:3">
      <c r="A1732" s="184" t="s">
        <v>4922</v>
      </c>
      <c r="B1732" s="184">
        <v>19.598854280000001</v>
      </c>
      <c r="C1732" s="184">
        <v>-101.29000689999999</v>
      </c>
    </row>
    <row r="1733" spans="1:3">
      <c r="A1733" s="184" t="s">
        <v>4925</v>
      </c>
      <c r="B1733" s="184">
        <v>19.16563683</v>
      </c>
      <c r="C1733" s="184">
        <v>-101.91609269999999</v>
      </c>
    </row>
    <row r="1734" spans="1:3">
      <c r="A1734" s="184" t="s">
        <v>4928</v>
      </c>
      <c r="B1734" s="184">
        <v>20.29889897</v>
      </c>
      <c r="C1734" s="184">
        <v>-101.9629322</v>
      </c>
    </row>
    <row r="1735" spans="1:3">
      <c r="A1735" s="184" t="s">
        <v>4931</v>
      </c>
      <c r="B1735" s="184">
        <v>20.199416020000001</v>
      </c>
      <c r="C1735" s="184">
        <v>-101.80949099999999</v>
      </c>
    </row>
    <row r="1736" spans="1:3">
      <c r="A1736" s="184" t="s">
        <v>4934</v>
      </c>
      <c r="B1736" s="184">
        <v>20.135654899999999</v>
      </c>
      <c r="C1736" s="184">
        <v>-101.8962258</v>
      </c>
    </row>
    <row r="1737" spans="1:3">
      <c r="A1737" s="184" t="s">
        <v>4936</v>
      </c>
      <c r="B1737" s="184">
        <v>20.127571159999999</v>
      </c>
      <c r="C1737" s="184">
        <v>-101.86893670000001</v>
      </c>
    </row>
    <row r="1738" spans="1:3">
      <c r="A1738" s="184" t="s">
        <v>4939</v>
      </c>
      <c r="B1738" s="184">
        <v>20.203800869999998</v>
      </c>
      <c r="C1738" s="184">
        <v>-101.8268163</v>
      </c>
    </row>
    <row r="1739" spans="1:3">
      <c r="A1739" s="184" t="s">
        <v>4942</v>
      </c>
      <c r="B1739" s="184">
        <v>19.45499319</v>
      </c>
      <c r="C1739" s="184">
        <v>-101.7317084</v>
      </c>
    </row>
    <row r="1740" spans="1:3">
      <c r="A1740" s="184" t="s">
        <v>4946</v>
      </c>
      <c r="B1740" s="184">
        <v>19.84490941</v>
      </c>
      <c r="C1740" s="184">
        <v>-102.10578</v>
      </c>
    </row>
    <row r="1741" spans="1:3">
      <c r="A1741" s="184" t="s">
        <v>4949</v>
      </c>
      <c r="B1741" s="184">
        <v>19.323823449999999</v>
      </c>
      <c r="C1741" s="184">
        <v>-102.4399942</v>
      </c>
    </row>
    <row r="1742" spans="1:3">
      <c r="A1742" s="184" t="s">
        <v>4951</v>
      </c>
      <c r="B1742" s="184">
        <v>19.920596589999999</v>
      </c>
      <c r="C1742" s="184">
        <v>-102.1629781</v>
      </c>
    </row>
    <row r="1743" spans="1:3">
      <c r="A1743" s="184" t="s">
        <v>4954</v>
      </c>
      <c r="B1743" s="184">
        <v>19.856359940000001</v>
      </c>
      <c r="C1743" s="184">
        <v>-102.0572622</v>
      </c>
    </row>
    <row r="1744" spans="1:3">
      <c r="A1744" s="184" t="s">
        <v>4958</v>
      </c>
      <c r="B1744" s="184">
        <v>19.831078179999999</v>
      </c>
      <c r="C1744" s="184">
        <v>-101.1000887</v>
      </c>
    </row>
    <row r="1745" spans="1:3">
      <c r="A1745" s="184" t="s">
        <v>4960</v>
      </c>
      <c r="B1745" s="184">
        <v>19.550459459999999</v>
      </c>
      <c r="C1745" s="184">
        <v>-102.2232169</v>
      </c>
    </row>
    <row r="1746" spans="1:3">
      <c r="A1746" s="184" t="s">
        <v>4963</v>
      </c>
      <c r="B1746" s="184">
        <v>19.292136729999999</v>
      </c>
      <c r="C1746" s="184">
        <v>-101.9710858</v>
      </c>
    </row>
    <row r="1747" spans="1:3">
      <c r="A1747" s="184" t="s">
        <v>4965</v>
      </c>
      <c r="B1747" s="184">
        <v>19.863800699999999</v>
      </c>
      <c r="C1747" s="184">
        <v>-100.8797098</v>
      </c>
    </row>
    <row r="1748" spans="1:3">
      <c r="A1748" s="184" t="s">
        <v>4968</v>
      </c>
      <c r="B1748" s="184">
        <v>20.311080960000002</v>
      </c>
      <c r="C1748" s="184">
        <v>-101.5025165</v>
      </c>
    </row>
    <row r="1749" spans="1:3">
      <c r="A1749" s="184" t="s">
        <v>4970</v>
      </c>
      <c r="B1749" s="184">
        <v>20.250092389999999</v>
      </c>
      <c r="C1749" s="184">
        <v>-101.5525042</v>
      </c>
    </row>
    <row r="1750" spans="1:3">
      <c r="A1750" s="184" t="s">
        <v>4973</v>
      </c>
      <c r="B1750" s="184">
        <v>20.263618529999999</v>
      </c>
      <c r="C1750" s="184">
        <v>-101.62589509999999</v>
      </c>
    </row>
    <row r="1751" spans="1:3">
      <c r="A1751" s="184" t="s">
        <v>4976</v>
      </c>
      <c r="B1751" s="184">
        <v>19.670391760000001</v>
      </c>
      <c r="C1751" s="184">
        <v>-101.7398455</v>
      </c>
    </row>
    <row r="1752" spans="1:3">
      <c r="A1752" s="184" t="s">
        <v>4979</v>
      </c>
      <c r="B1752" s="184">
        <v>19.528038890000001</v>
      </c>
      <c r="C1752" s="184">
        <v>-101.6770542</v>
      </c>
    </row>
    <row r="1753" spans="1:3">
      <c r="A1753" s="184" t="s">
        <v>4981</v>
      </c>
      <c r="B1753" s="184">
        <v>19.43145414</v>
      </c>
      <c r="C1753" s="184">
        <v>-100.338875</v>
      </c>
    </row>
    <row r="1754" spans="1:3">
      <c r="A1754" s="184" t="s">
        <v>4983</v>
      </c>
      <c r="B1754" s="184">
        <v>19.894502630000002</v>
      </c>
      <c r="C1754" s="184">
        <v>-100.9848123</v>
      </c>
    </row>
    <row r="1755" spans="1:3">
      <c r="A1755" s="184" t="s">
        <v>4985</v>
      </c>
      <c r="B1755" s="184">
        <v>18.956373889999998</v>
      </c>
      <c r="C1755" s="184">
        <v>-102.46177779999999</v>
      </c>
    </row>
    <row r="1756" spans="1:3">
      <c r="A1756" s="184" t="s">
        <v>4988</v>
      </c>
      <c r="B1756" s="184">
        <v>19.110226900000001</v>
      </c>
      <c r="C1756" s="184">
        <v>-102.4147337</v>
      </c>
    </row>
    <row r="1757" spans="1:3">
      <c r="A1757" s="184" t="s">
        <v>4991</v>
      </c>
      <c r="B1757" s="184">
        <v>18.93063218</v>
      </c>
      <c r="C1757" s="184">
        <v>-103.3360339</v>
      </c>
    </row>
    <row r="1758" spans="1:3">
      <c r="A1758" s="184" t="s">
        <v>4995</v>
      </c>
      <c r="B1758" s="184">
        <v>19.964208540000001</v>
      </c>
      <c r="C1758" s="184">
        <v>-101.06502949999999</v>
      </c>
    </row>
    <row r="1759" spans="1:3">
      <c r="A1759" s="184" t="s">
        <v>4997</v>
      </c>
      <c r="B1759" s="184">
        <v>19.952075579999999</v>
      </c>
      <c r="C1759" s="184">
        <v>-100.1620068</v>
      </c>
    </row>
    <row r="1760" spans="1:3">
      <c r="A1760" s="184" t="s">
        <v>5000</v>
      </c>
      <c r="B1760" s="184">
        <v>19.851621130000002</v>
      </c>
      <c r="C1760" s="184">
        <v>-102.1513842</v>
      </c>
    </row>
    <row r="1761" spans="1:3">
      <c r="A1761" s="184" t="s">
        <v>5002</v>
      </c>
      <c r="B1761" s="184">
        <v>20.03291119</v>
      </c>
      <c r="C1761" s="184">
        <v>-101.14829140000001</v>
      </c>
    </row>
    <row r="1762" spans="1:3">
      <c r="A1762" s="184" t="s">
        <v>5005</v>
      </c>
      <c r="B1762" s="184">
        <v>19.504938299999999</v>
      </c>
      <c r="C1762" s="184">
        <v>-101.4911585</v>
      </c>
    </row>
    <row r="1763" spans="1:3">
      <c r="A1763" s="184" t="s">
        <v>5009</v>
      </c>
      <c r="B1763" s="184">
        <v>19.527502630000001</v>
      </c>
      <c r="C1763" s="184">
        <v>-101.69911260000001</v>
      </c>
    </row>
    <row r="1764" spans="1:3">
      <c r="A1764" s="184" t="s">
        <v>5011</v>
      </c>
      <c r="B1764" s="184">
        <v>19.887317530000001</v>
      </c>
      <c r="C1764" s="184">
        <v>-101.5544359</v>
      </c>
    </row>
    <row r="1765" spans="1:3">
      <c r="A1765" s="184" t="s">
        <v>5015</v>
      </c>
      <c r="B1765" s="184">
        <v>19.822340480000001</v>
      </c>
      <c r="C1765" s="184">
        <v>-100.9925813</v>
      </c>
    </row>
    <row r="1766" spans="1:3">
      <c r="A1766" s="184" t="s">
        <v>5018</v>
      </c>
      <c r="B1766" s="184">
        <v>19.745161759999998</v>
      </c>
      <c r="C1766" s="184">
        <v>-101.13142879999999</v>
      </c>
    </row>
    <row r="1767" spans="1:3">
      <c r="A1767" s="184" t="s">
        <v>5020</v>
      </c>
      <c r="B1767" s="184">
        <v>19.762863119999999</v>
      </c>
      <c r="C1767" s="184">
        <v>-101.1937416</v>
      </c>
    </row>
    <row r="1768" spans="1:3">
      <c r="A1768" s="184" t="s">
        <v>5023</v>
      </c>
      <c r="B1768" s="184">
        <v>19.697146</v>
      </c>
      <c r="C1768" s="184">
        <v>-101.25386399999999</v>
      </c>
    </row>
    <row r="1769" spans="1:3">
      <c r="A1769" s="184" t="s">
        <v>5025</v>
      </c>
      <c r="B1769" s="184">
        <v>19.774334</v>
      </c>
      <c r="C1769" s="184">
        <v>-101.330798</v>
      </c>
    </row>
    <row r="1770" spans="1:3">
      <c r="A1770" s="184" t="s">
        <v>5028</v>
      </c>
      <c r="B1770" s="184">
        <v>19.695354479999999</v>
      </c>
      <c r="C1770" s="184">
        <v>-101.2495954</v>
      </c>
    </row>
    <row r="1771" spans="1:3">
      <c r="A1771" s="184" t="s">
        <v>5031</v>
      </c>
      <c r="B1771" s="184">
        <v>20.247080440000001</v>
      </c>
      <c r="C1771" s="184">
        <v>-102.2398441</v>
      </c>
    </row>
    <row r="1772" spans="1:3">
      <c r="A1772" s="184" t="s">
        <v>5035</v>
      </c>
      <c r="B1772" s="184">
        <v>19.64847331</v>
      </c>
      <c r="C1772" s="184">
        <v>-101.311564</v>
      </c>
    </row>
    <row r="1773" spans="1:3">
      <c r="A1773" s="184" t="s">
        <v>5038</v>
      </c>
      <c r="B1773" s="184">
        <v>19.748617029999998</v>
      </c>
      <c r="C1773" s="184">
        <v>-101.2032296</v>
      </c>
    </row>
    <row r="1774" spans="1:3">
      <c r="A1774" s="184" t="s">
        <v>5040</v>
      </c>
      <c r="B1774" s="184">
        <v>19.981365490000002</v>
      </c>
      <c r="C1774" s="184">
        <v>-101.5100923</v>
      </c>
    </row>
    <row r="1775" spans="1:3">
      <c r="A1775" s="184" t="s">
        <v>5042</v>
      </c>
      <c r="B1775" s="184">
        <v>18.86161212</v>
      </c>
      <c r="C1775" s="184">
        <v>-102.1190927</v>
      </c>
    </row>
    <row r="1776" spans="1:3">
      <c r="A1776" s="184" t="s">
        <v>5044</v>
      </c>
      <c r="B1776" s="184">
        <v>19.571211000000002</v>
      </c>
      <c r="C1776" s="184">
        <v>-101.90865599999999</v>
      </c>
    </row>
    <row r="1777" spans="1:3">
      <c r="A1777" s="184" t="s">
        <v>5048</v>
      </c>
      <c r="B1777" s="184">
        <v>19.417373779999998</v>
      </c>
      <c r="C1777" s="184">
        <v>-100.32027770000001</v>
      </c>
    </row>
    <row r="1778" spans="1:3">
      <c r="A1778" s="184" t="s">
        <v>5049</v>
      </c>
      <c r="B1778" s="184">
        <v>20.259573289999999</v>
      </c>
      <c r="C1778" s="184">
        <v>-102.1422321</v>
      </c>
    </row>
    <row r="1779" spans="1:3">
      <c r="A1779" s="184" t="s">
        <v>5050</v>
      </c>
      <c r="B1779" s="184">
        <v>19.776933039999999</v>
      </c>
      <c r="C1779" s="184">
        <v>-100.81495959999999</v>
      </c>
    </row>
    <row r="1780" spans="1:3">
      <c r="A1780" s="184" t="s">
        <v>5052</v>
      </c>
      <c r="B1780" s="184">
        <v>20.042870069999999</v>
      </c>
      <c r="C1780" s="184">
        <v>-101.022474</v>
      </c>
    </row>
    <row r="1781" spans="1:3">
      <c r="A1781" s="184" t="s">
        <v>5055</v>
      </c>
      <c r="B1781" s="184">
        <v>20.057557580000001</v>
      </c>
      <c r="C1781" s="184">
        <v>-101.09663140000001</v>
      </c>
    </row>
    <row r="1782" spans="1:3">
      <c r="A1782" s="184" t="s">
        <v>5057</v>
      </c>
      <c r="B1782" s="184">
        <v>20.021511879999998</v>
      </c>
      <c r="C1782" s="184">
        <v>-100.98005070000001</v>
      </c>
    </row>
    <row r="1783" spans="1:3">
      <c r="A1783" s="184" t="s">
        <v>5060</v>
      </c>
      <c r="B1783" s="184">
        <v>19.291855389999998</v>
      </c>
      <c r="C1783" s="184">
        <v>-102.3042708</v>
      </c>
    </row>
    <row r="1784" spans="1:3">
      <c r="A1784" s="184" t="s">
        <v>5063</v>
      </c>
      <c r="B1784" s="184">
        <v>19.786360160000001</v>
      </c>
      <c r="C1784" s="184">
        <v>-101.1342331</v>
      </c>
    </row>
    <row r="1785" spans="1:3">
      <c r="A1785" s="184" t="s">
        <v>5066</v>
      </c>
      <c r="B1785" s="184">
        <v>19.77611271</v>
      </c>
      <c r="C1785" s="184">
        <v>-100.8646561</v>
      </c>
    </row>
    <row r="1786" spans="1:3">
      <c r="A1786" s="184" t="s">
        <v>5068</v>
      </c>
      <c r="B1786" s="184">
        <v>18.968482959999999</v>
      </c>
      <c r="C1786" s="184">
        <v>-100.63092349999999</v>
      </c>
    </row>
    <row r="1787" spans="1:3">
      <c r="A1787" s="184" t="s">
        <v>5070</v>
      </c>
      <c r="B1787" s="184">
        <v>19.326642459999999</v>
      </c>
      <c r="C1787" s="184">
        <v>-100.6107366</v>
      </c>
    </row>
    <row r="1788" spans="1:3">
      <c r="A1788" s="184" t="s">
        <v>5072</v>
      </c>
      <c r="B1788" s="184">
        <v>19.366331429999999</v>
      </c>
      <c r="C1788" s="184">
        <v>-102.1348543</v>
      </c>
    </row>
    <row r="1789" spans="1:3">
      <c r="A1789" s="184" t="s">
        <v>5075</v>
      </c>
      <c r="B1789" s="184">
        <v>20.021465020000001</v>
      </c>
      <c r="C1789" s="184">
        <v>-102.2535002</v>
      </c>
    </row>
    <row r="1790" spans="1:3">
      <c r="A1790" s="184" t="s">
        <v>5078</v>
      </c>
      <c r="B1790" s="184">
        <v>18.74500901</v>
      </c>
      <c r="C1790" s="184">
        <v>-101.16503760000001</v>
      </c>
    </row>
    <row r="1791" spans="1:3">
      <c r="A1791" s="184" t="s">
        <v>5081</v>
      </c>
      <c r="B1791" s="184">
        <v>19.894512710000001</v>
      </c>
      <c r="C1791" s="184">
        <v>-100.874151</v>
      </c>
    </row>
    <row r="1792" spans="1:3">
      <c r="A1792" s="184" t="s">
        <v>5083</v>
      </c>
      <c r="B1792" s="184">
        <v>19.896381300000002</v>
      </c>
      <c r="C1792" s="184">
        <v>-100.8790983</v>
      </c>
    </row>
    <row r="1793" spans="1:3">
      <c r="A1793" s="184" t="s">
        <v>5086</v>
      </c>
      <c r="B1793" s="184">
        <v>19.90887815</v>
      </c>
      <c r="C1793" s="184">
        <v>-102.4933041</v>
      </c>
    </row>
    <row r="1794" spans="1:3">
      <c r="A1794" s="184" t="s">
        <v>5089</v>
      </c>
      <c r="B1794" s="184">
        <v>19.363134420000002</v>
      </c>
      <c r="C1794" s="184">
        <v>-100.4589022</v>
      </c>
    </row>
    <row r="1795" spans="1:3">
      <c r="A1795" s="184" t="s">
        <v>5092</v>
      </c>
      <c r="B1795" s="184">
        <v>19.780634939999999</v>
      </c>
      <c r="C1795" s="184">
        <v>-101.7048459</v>
      </c>
    </row>
    <row r="1796" spans="1:3">
      <c r="A1796" s="184" t="s">
        <v>5094</v>
      </c>
      <c r="B1796" s="184">
        <v>18.844399450000001</v>
      </c>
      <c r="C1796" s="184">
        <v>-102.1395749</v>
      </c>
    </row>
    <row r="1797" spans="1:3">
      <c r="A1797" s="184" t="s">
        <v>5097</v>
      </c>
      <c r="B1797" s="184">
        <v>19.69753038</v>
      </c>
      <c r="C1797" s="184">
        <v>-100.472447</v>
      </c>
    </row>
    <row r="1798" spans="1:3">
      <c r="A1798" s="184" t="s">
        <v>5100</v>
      </c>
      <c r="B1798" s="184">
        <v>19.735606709999999</v>
      </c>
      <c r="C1798" s="184">
        <v>-100.2048364</v>
      </c>
    </row>
    <row r="1799" spans="1:3">
      <c r="A1799" s="184" t="s">
        <v>5103</v>
      </c>
      <c r="B1799" s="184">
        <v>19.680127819999999</v>
      </c>
      <c r="C1799" s="184">
        <v>-101.1607826</v>
      </c>
    </row>
    <row r="1800" spans="1:3">
      <c r="A1800" s="184" t="s">
        <v>5105</v>
      </c>
      <c r="B1800" s="184">
        <v>19.850079780000002</v>
      </c>
      <c r="C1800" s="184">
        <v>-101.0902342</v>
      </c>
    </row>
    <row r="1801" spans="1:3">
      <c r="A1801" s="184" t="s">
        <v>5107</v>
      </c>
      <c r="B1801" s="184">
        <v>19.770637579999999</v>
      </c>
      <c r="C1801" s="184">
        <v>-101.14247020000001</v>
      </c>
    </row>
    <row r="1802" spans="1:3">
      <c r="A1802" s="184" t="s">
        <v>5109</v>
      </c>
      <c r="B1802" s="184">
        <v>19.040887390000002</v>
      </c>
      <c r="C1802" s="184">
        <v>-101.6531238</v>
      </c>
    </row>
    <row r="1803" spans="1:3">
      <c r="A1803" s="184" t="s">
        <v>5113</v>
      </c>
      <c r="B1803" s="184">
        <v>19.606385929999998</v>
      </c>
      <c r="C1803" s="184">
        <v>-101.64909590000001</v>
      </c>
    </row>
    <row r="1804" spans="1:3">
      <c r="A1804" s="184" t="s">
        <v>5117</v>
      </c>
      <c r="B1804" s="184">
        <v>20.188946139999999</v>
      </c>
      <c r="C1804" s="184">
        <v>-101.87466089999999</v>
      </c>
    </row>
    <row r="1805" spans="1:3">
      <c r="A1805" s="184" t="s">
        <v>5119</v>
      </c>
      <c r="B1805" s="184">
        <v>20.300472379999999</v>
      </c>
      <c r="C1805" s="184">
        <v>-102.1175128</v>
      </c>
    </row>
    <row r="1806" spans="1:3">
      <c r="A1806" s="184" t="s">
        <v>5122</v>
      </c>
      <c r="B1806" s="184">
        <v>19.799022099999998</v>
      </c>
      <c r="C1806" s="184">
        <v>-102.22554700000001</v>
      </c>
    </row>
    <row r="1807" spans="1:3">
      <c r="A1807" s="184" t="s">
        <v>5126</v>
      </c>
      <c r="B1807" s="184">
        <v>19.593610999999999</v>
      </c>
      <c r="C1807" s="184">
        <v>-101.999444</v>
      </c>
    </row>
    <row r="1808" spans="1:3">
      <c r="A1808" s="184" t="s">
        <v>5129</v>
      </c>
      <c r="B1808" s="184">
        <v>19.416488229999999</v>
      </c>
      <c r="C1808" s="184">
        <v>-102.0425176</v>
      </c>
    </row>
    <row r="1809" spans="1:3">
      <c r="A1809" s="184" t="s">
        <v>5132</v>
      </c>
      <c r="B1809" s="184">
        <v>19.406963959999999</v>
      </c>
      <c r="C1809" s="184">
        <v>-101.9538834</v>
      </c>
    </row>
    <row r="1810" spans="1:3">
      <c r="A1810" s="184" t="s">
        <v>5136</v>
      </c>
      <c r="B1810" s="184">
        <v>19.374284729999999</v>
      </c>
      <c r="C1810" s="184">
        <v>-102.0791346</v>
      </c>
    </row>
    <row r="1811" spans="1:3">
      <c r="A1811" s="184" t="s">
        <v>5139</v>
      </c>
      <c r="B1811" s="184">
        <v>19.4160994</v>
      </c>
      <c r="C1811" s="184">
        <v>-102.0081892</v>
      </c>
    </row>
    <row r="1812" spans="1:3">
      <c r="A1812" s="184" t="s">
        <v>5142</v>
      </c>
      <c r="B1812" s="184">
        <v>19.92497865</v>
      </c>
      <c r="C1812" s="184">
        <v>-101.76827400000001</v>
      </c>
    </row>
    <row r="1813" spans="1:3">
      <c r="A1813" s="184" t="s">
        <v>5144</v>
      </c>
      <c r="B1813" s="184">
        <v>20.06470654</v>
      </c>
      <c r="C1813" s="184">
        <v>-102.4871637</v>
      </c>
    </row>
    <row r="1814" spans="1:3">
      <c r="A1814" s="184" t="s">
        <v>5146</v>
      </c>
      <c r="B1814" s="184">
        <v>19.422033649999999</v>
      </c>
      <c r="C1814" s="184">
        <v>-100.3659905</v>
      </c>
    </row>
    <row r="1815" spans="1:3">
      <c r="A1815" s="184" t="s">
        <v>5148</v>
      </c>
      <c r="B1815" s="184">
        <v>19.989575380000002</v>
      </c>
      <c r="C1815" s="184">
        <v>-102.7188866</v>
      </c>
    </row>
    <row r="1816" spans="1:3">
      <c r="A1816" s="184" t="s">
        <v>5150</v>
      </c>
      <c r="B1816" s="184">
        <v>19.357013259999999</v>
      </c>
      <c r="C1816" s="184">
        <v>-100.5035515</v>
      </c>
    </row>
    <row r="1817" spans="1:3">
      <c r="A1817" s="184" t="s">
        <v>5153</v>
      </c>
      <c r="B1817" s="184">
        <v>19.792377999999999</v>
      </c>
      <c r="C1817" s="184">
        <v>-101.40391700000001</v>
      </c>
    </row>
    <row r="1818" spans="1:3">
      <c r="A1818" s="184" t="s">
        <v>5156</v>
      </c>
      <c r="B1818" s="184">
        <v>19.7369944</v>
      </c>
      <c r="C1818" s="184">
        <v>-101.2237119</v>
      </c>
    </row>
    <row r="1819" spans="1:3">
      <c r="A1819" s="184" t="s">
        <v>5158</v>
      </c>
      <c r="B1819" s="184">
        <v>20.069730610000001</v>
      </c>
      <c r="C1819" s="184">
        <v>-102.7456516</v>
      </c>
    </row>
    <row r="1820" spans="1:3">
      <c r="A1820" s="184" t="s">
        <v>5162</v>
      </c>
      <c r="B1820" s="184">
        <v>19.574060750000001</v>
      </c>
      <c r="C1820" s="184">
        <v>-100.45216449999999</v>
      </c>
    </row>
    <row r="1821" spans="1:3">
      <c r="A1821" s="184" t="s">
        <v>5165</v>
      </c>
      <c r="B1821" s="184">
        <v>19.41916002</v>
      </c>
      <c r="C1821" s="184">
        <v>-100.3593386</v>
      </c>
    </row>
    <row r="1822" spans="1:3">
      <c r="A1822" s="184" t="s">
        <v>5166</v>
      </c>
      <c r="B1822" s="184">
        <v>20.114187919999999</v>
      </c>
      <c r="C1822" s="184">
        <v>-101.78726</v>
      </c>
    </row>
    <row r="1823" spans="1:3">
      <c r="A1823" s="184" t="s">
        <v>5168</v>
      </c>
      <c r="B1823" s="184">
        <v>20.19701031</v>
      </c>
      <c r="C1823" s="184">
        <v>-101.7688698</v>
      </c>
    </row>
    <row r="1824" spans="1:3">
      <c r="A1824" s="184" t="s">
        <v>5170</v>
      </c>
      <c r="B1824" s="184">
        <v>19.94400023</v>
      </c>
      <c r="C1824" s="184">
        <v>-100.2191981</v>
      </c>
    </row>
    <row r="1825" spans="1:3">
      <c r="A1825" s="184" t="s">
        <v>5172</v>
      </c>
      <c r="B1825" s="184">
        <v>19.84061655</v>
      </c>
      <c r="C1825" s="184">
        <v>-102.0749249</v>
      </c>
    </row>
    <row r="1826" spans="1:3">
      <c r="A1826" s="184" t="s">
        <v>5175</v>
      </c>
      <c r="B1826" s="184">
        <v>20.218779999999999</v>
      </c>
      <c r="C1826" s="184">
        <v>-100.24737500000001</v>
      </c>
    </row>
    <row r="1827" spans="1:3">
      <c r="A1827" s="184" t="s">
        <v>5178</v>
      </c>
      <c r="B1827" s="184">
        <v>18.92956788</v>
      </c>
      <c r="C1827" s="184">
        <v>-101.73269449999999</v>
      </c>
    </row>
    <row r="1828" spans="1:3">
      <c r="A1828" s="184" t="s">
        <v>5180</v>
      </c>
      <c r="B1828" s="184">
        <v>18.668891649999999</v>
      </c>
      <c r="C1828" s="184">
        <v>-101.9723982</v>
      </c>
    </row>
    <row r="1829" spans="1:3">
      <c r="A1829" s="184" t="s">
        <v>5183</v>
      </c>
      <c r="B1829" s="184">
        <v>19.736178379999998</v>
      </c>
      <c r="C1829" s="184">
        <v>-102.29676689999999</v>
      </c>
    </row>
    <row r="1830" spans="1:3">
      <c r="A1830" s="184" t="s">
        <v>5185</v>
      </c>
      <c r="B1830" s="184">
        <v>19.989066000000001</v>
      </c>
      <c r="C1830" s="184">
        <v>-100.578047</v>
      </c>
    </row>
    <row r="1831" spans="1:3">
      <c r="A1831" s="184" t="s">
        <v>5186</v>
      </c>
      <c r="B1831" s="184">
        <v>20.000095640000001</v>
      </c>
      <c r="C1831" s="184">
        <v>-102.9419118</v>
      </c>
    </row>
    <row r="1832" spans="1:3">
      <c r="A1832" s="184" t="s">
        <v>5189</v>
      </c>
      <c r="B1832" s="184">
        <v>19.677724779999998</v>
      </c>
      <c r="C1832" s="184">
        <v>-101.2793348</v>
      </c>
    </row>
    <row r="1833" spans="1:3">
      <c r="A1833" s="184" t="s">
        <v>5191</v>
      </c>
      <c r="B1833" s="184">
        <v>19.997702090000001</v>
      </c>
      <c r="C1833" s="184">
        <v>-101.3357867</v>
      </c>
    </row>
    <row r="1834" spans="1:3">
      <c r="A1834" s="184" t="s">
        <v>5194</v>
      </c>
      <c r="B1834" s="184">
        <v>19.021912319999998</v>
      </c>
      <c r="C1834" s="184">
        <v>-102.2374428</v>
      </c>
    </row>
    <row r="1835" spans="1:3">
      <c r="A1835" s="184" t="s">
        <v>5196</v>
      </c>
      <c r="B1835" s="184">
        <v>18.891381939999999</v>
      </c>
      <c r="C1835" s="184">
        <v>-102.1598518</v>
      </c>
    </row>
    <row r="1836" spans="1:3">
      <c r="A1836" s="184" t="s">
        <v>5198</v>
      </c>
      <c r="B1836" s="184">
        <v>19.431018460000001</v>
      </c>
      <c r="C1836" s="184">
        <v>-101.559552</v>
      </c>
    </row>
    <row r="1837" spans="1:3">
      <c r="A1837" s="184" t="s">
        <v>5200</v>
      </c>
      <c r="B1837" s="184">
        <v>20.213173659999999</v>
      </c>
      <c r="C1837" s="184">
        <v>-101.4012093</v>
      </c>
    </row>
    <row r="1838" spans="1:3">
      <c r="A1838" s="184" t="s">
        <v>5203</v>
      </c>
      <c r="B1838" s="184">
        <v>19.89775221</v>
      </c>
      <c r="C1838" s="184">
        <v>-102.49739099999999</v>
      </c>
    </row>
    <row r="1839" spans="1:3">
      <c r="A1839" s="184" t="s">
        <v>5205</v>
      </c>
      <c r="B1839" s="184">
        <v>19.30758857</v>
      </c>
      <c r="C1839" s="184">
        <v>-101.38725820000001</v>
      </c>
    </row>
    <row r="1840" spans="1:3">
      <c r="A1840" s="184" t="s">
        <v>5209</v>
      </c>
      <c r="B1840" s="184">
        <v>19.14301794</v>
      </c>
      <c r="C1840" s="184">
        <v>-101.42209560000001</v>
      </c>
    </row>
    <row r="1841" spans="1:3">
      <c r="A1841" s="184" t="s">
        <v>5212</v>
      </c>
      <c r="B1841" s="184">
        <v>19.068237409999998</v>
      </c>
      <c r="C1841" s="184">
        <v>-102.9084551</v>
      </c>
    </row>
    <row r="1842" spans="1:3">
      <c r="A1842" s="184" t="s">
        <v>5216</v>
      </c>
      <c r="B1842" s="184">
        <v>19.074042540000001</v>
      </c>
      <c r="C1842" s="184">
        <v>-102.88605320000001</v>
      </c>
    </row>
    <row r="1843" spans="1:3">
      <c r="A1843" s="184" t="s">
        <v>5219</v>
      </c>
      <c r="B1843" s="184">
        <v>19.757418260000001</v>
      </c>
      <c r="C1843" s="184">
        <v>-100.2577081</v>
      </c>
    </row>
    <row r="1844" spans="1:3">
      <c r="A1844" s="184" t="s">
        <v>5221</v>
      </c>
      <c r="B1844" s="184">
        <v>18.297512659999999</v>
      </c>
      <c r="C1844" s="184">
        <v>-103.41231790000001</v>
      </c>
    </row>
    <row r="1845" spans="1:3">
      <c r="A1845" s="184" t="s">
        <v>5224</v>
      </c>
      <c r="B1845" s="184">
        <v>18.393701660000001</v>
      </c>
      <c r="C1845" s="184">
        <v>-103.31854199999999</v>
      </c>
    </row>
    <row r="1846" spans="1:3">
      <c r="A1846" s="184" t="s">
        <v>5227</v>
      </c>
      <c r="B1846" s="184">
        <v>17.968611200000002</v>
      </c>
      <c r="C1846" s="184">
        <v>-102.2232528</v>
      </c>
    </row>
    <row r="1847" spans="1:3">
      <c r="A1847" s="184" t="s">
        <v>5230</v>
      </c>
      <c r="B1847" s="184">
        <v>18.496585920000001</v>
      </c>
      <c r="C1847" s="184">
        <v>-100.85845689999999</v>
      </c>
    </row>
    <row r="1848" spans="1:3">
      <c r="A1848" s="184" t="s">
        <v>5233</v>
      </c>
      <c r="B1848" s="184">
        <v>19.871109109999999</v>
      </c>
      <c r="C1848" s="184">
        <v>-100.97083170000001</v>
      </c>
    </row>
    <row r="1849" spans="1:3">
      <c r="A1849" s="184" t="s">
        <v>5236</v>
      </c>
      <c r="B1849" s="184">
        <v>19.082817970000001</v>
      </c>
      <c r="C1849" s="184">
        <v>-102.352172</v>
      </c>
    </row>
    <row r="1850" spans="1:3">
      <c r="A1850" s="184" t="s">
        <v>5238</v>
      </c>
      <c r="B1850" s="184">
        <v>19.687969389999999</v>
      </c>
      <c r="C1850" s="184">
        <v>-101.12793430000001</v>
      </c>
    </row>
    <row r="1851" spans="1:3">
      <c r="A1851" s="184" t="s">
        <v>5241</v>
      </c>
      <c r="B1851" s="184">
        <v>19.60190897</v>
      </c>
      <c r="C1851" s="184">
        <v>-101.0179198</v>
      </c>
    </row>
    <row r="1852" spans="1:3">
      <c r="A1852" s="184" t="s">
        <v>5245</v>
      </c>
      <c r="B1852" s="184">
        <v>19.5473781</v>
      </c>
      <c r="C1852" s="184">
        <v>-101.5814384</v>
      </c>
    </row>
    <row r="1853" spans="1:3">
      <c r="A1853" s="184" t="s">
        <v>5248</v>
      </c>
      <c r="B1853" s="184">
        <v>19.79862194</v>
      </c>
      <c r="C1853" s="184">
        <v>-101.6911178</v>
      </c>
    </row>
    <row r="1854" spans="1:3">
      <c r="A1854" s="184" t="s">
        <v>5251</v>
      </c>
      <c r="B1854" s="184">
        <v>19.446925159999999</v>
      </c>
      <c r="C1854" s="184">
        <v>-100.3575058</v>
      </c>
    </row>
    <row r="1855" spans="1:3">
      <c r="A1855" s="184" t="s">
        <v>5253</v>
      </c>
      <c r="B1855" s="184">
        <v>19.403130040000001</v>
      </c>
      <c r="C1855" s="184">
        <v>-102.0437342</v>
      </c>
    </row>
    <row r="1856" spans="1:3">
      <c r="A1856" s="184" t="s">
        <v>5256</v>
      </c>
      <c r="B1856" s="184">
        <v>19.727716000000001</v>
      </c>
      <c r="C1856" s="184">
        <v>-101.38308499999999</v>
      </c>
    </row>
    <row r="1857" spans="1:3">
      <c r="A1857" s="184" t="s">
        <v>5259</v>
      </c>
      <c r="B1857" s="184">
        <v>19.66237005</v>
      </c>
      <c r="C1857" s="184">
        <v>-101.1918541</v>
      </c>
    </row>
    <row r="1858" spans="1:3">
      <c r="A1858" s="184" t="s">
        <v>5262</v>
      </c>
      <c r="B1858" s="184">
        <v>20.00565203</v>
      </c>
      <c r="C1858" s="184">
        <v>-101.4218407</v>
      </c>
    </row>
    <row r="1859" spans="1:3">
      <c r="A1859" s="184" t="s">
        <v>5263</v>
      </c>
      <c r="B1859" s="184">
        <v>19.67161853</v>
      </c>
      <c r="C1859" s="184">
        <v>-101.5587206</v>
      </c>
    </row>
    <row r="1860" spans="1:3">
      <c r="A1860" s="184" t="s">
        <v>5265</v>
      </c>
      <c r="B1860" s="184">
        <v>19.800016100000001</v>
      </c>
      <c r="C1860" s="184">
        <v>-101.05375960000001</v>
      </c>
    </row>
    <row r="1861" spans="1:3">
      <c r="A1861" s="184" t="s">
        <v>5268</v>
      </c>
      <c r="B1861" s="184">
        <v>18.66465054</v>
      </c>
      <c r="C1861" s="184">
        <v>-100.89147</v>
      </c>
    </row>
    <row r="1862" spans="1:3">
      <c r="A1862" s="184" t="s">
        <v>5271</v>
      </c>
      <c r="B1862" s="184">
        <v>19.7840281</v>
      </c>
      <c r="C1862" s="184">
        <v>-101.214277</v>
      </c>
    </row>
    <row r="1863" spans="1:3">
      <c r="A1863" s="184" t="s">
        <v>5274</v>
      </c>
      <c r="B1863" s="184">
        <v>20.319135150000001</v>
      </c>
      <c r="C1863" s="184">
        <v>-101.5246582</v>
      </c>
    </row>
    <row r="1864" spans="1:3">
      <c r="A1864" s="184" t="s">
        <v>5275</v>
      </c>
      <c r="B1864" s="184">
        <v>19.100363250000001</v>
      </c>
      <c r="C1864" s="184">
        <v>-101.5761911</v>
      </c>
    </row>
    <row r="1865" spans="1:3">
      <c r="A1865" s="184" t="s">
        <v>5277</v>
      </c>
      <c r="B1865" s="184">
        <v>19.417014890000001</v>
      </c>
      <c r="C1865" s="184">
        <v>-101.7500103</v>
      </c>
    </row>
    <row r="1866" spans="1:3">
      <c r="A1866" s="184" t="s">
        <v>5279</v>
      </c>
      <c r="B1866" s="184">
        <v>19.899748800000001</v>
      </c>
      <c r="C1866" s="184">
        <v>-101.3119908</v>
      </c>
    </row>
    <row r="1867" spans="1:3">
      <c r="A1867" s="184" t="s">
        <v>5283</v>
      </c>
      <c r="B1867" s="184">
        <v>18.95041513</v>
      </c>
      <c r="C1867" s="184">
        <v>-102.4457101</v>
      </c>
    </row>
    <row r="1868" spans="1:3">
      <c r="A1868" s="184" t="s">
        <v>5286</v>
      </c>
      <c r="B1868" s="184">
        <v>19.211355879999999</v>
      </c>
      <c r="C1868" s="184">
        <v>-101.6771401</v>
      </c>
    </row>
    <row r="1869" spans="1:3">
      <c r="A1869" s="184" t="s">
        <v>5289</v>
      </c>
      <c r="B1869" s="184">
        <v>19.796074659999999</v>
      </c>
      <c r="C1869" s="184">
        <v>-100.9346285</v>
      </c>
    </row>
    <row r="1870" spans="1:3">
      <c r="A1870" s="184" t="s">
        <v>5292</v>
      </c>
      <c r="B1870" s="184">
        <v>19.584654430000001</v>
      </c>
      <c r="C1870" s="184">
        <v>-101.4549244</v>
      </c>
    </row>
    <row r="1871" spans="1:3">
      <c r="A1871" s="184" t="s">
        <v>5295</v>
      </c>
      <c r="B1871" s="184">
        <v>20.1068955</v>
      </c>
      <c r="C1871" s="184">
        <v>-102.5200818</v>
      </c>
    </row>
    <row r="1872" spans="1:3">
      <c r="A1872" s="184" t="s">
        <v>5299</v>
      </c>
      <c r="B1872" s="184">
        <v>19.480279329999998</v>
      </c>
      <c r="C1872" s="184">
        <v>-101.49423350000001</v>
      </c>
    </row>
    <row r="1873" spans="1:3">
      <c r="A1873" s="184" t="s">
        <v>5301</v>
      </c>
      <c r="B1873" s="184">
        <v>20.278099000000001</v>
      </c>
      <c r="C1873" s="184">
        <v>-102.23827199999999</v>
      </c>
    </row>
    <row r="1874" spans="1:3">
      <c r="A1874" s="184" t="s">
        <v>5304</v>
      </c>
      <c r="B1874" s="184">
        <v>19.650276600000002</v>
      </c>
      <c r="C1874" s="184">
        <v>-101.1826476</v>
      </c>
    </row>
    <row r="1875" spans="1:3">
      <c r="A1875" s="184" t="s">
        <v>5306</v>
      </c>
      <c r="B1875" s="184">
        <v>19.66570132</v>
      </c>
      <c r="C1875" s="184">
        <v>-101.1999643</v>
      </c>
    </row>
    <row r="1876" spans="1:3">
      <c r="A1876" s="184" t="s">
        <v>5309</v>
      </c>
      <c r="B1876" s="184">
        <v>19.572766819999998</v>
      </c>
      <c r="C1876" s="184">
        <v>-101.7169655</v>
      </c>
    </row>
    <row r="1877" spans="1:3">
      <c r="A1877" s="184" t="s">
        <v>5312</v>
      </c>
      <c r="B1877" s="184">
        <v>19.742157899999999</v>
      </c>
      <c r="C1877" s="184">
        <v>-101.2096488</v>
      </c>
    </row>
    <row r="1878" spans="1:3">
      <c r="A1878" s="184" t="s">
        <v>5314</v>
      </c>
      <c r="B1878" s="184">
        <v>19.328027649999999</v>
      </c>
      <c r="C1878" s="184">
        <v>-102.28224640000001</v>
      </c>
    </row>
    <row r="1879" spans="1:3">
      <c r="A1879" s="184" t="s">
        <v>5317</v>
      </c>
      <c r="B1879" s="184">
        <v>18.79765518</v>
      </c>
      <c r="C1879" s="184">
        <v>-102.0229095</v>
      </c>
    </row>
    <row r="1880" spans="1:3">
      <c r="A1880" s="184" t="s">
        <v>5319</v>
      </c>
      <c r="B1880" s="184">
        <v>19.247552970000001</v>
      </c>
      <c r="C1880" s="184">
        <v>-100.4175654</v>
      </c>
    </row>
    <row r="1881" spans="1:3">
      <c r="A1881" s="184" t="s">
        <v>5321</v>
      </c>
      <c r="B1881" s="184">
        <v>19.91383076</v>
      </c>
      <c r="C1881" s="184">
        <v>-101.72108780000001</v>
      </c>
    </row>
    <row r="1882" spans="1:3">
      <c r="A1882" s="184" t="s">
        <v>5324</v>
      </c>
      <c r="B1882" s="184">
        <v>19.72667169</v>
      </c>
      <c r="C1882" s="184">
        <v>-101.1882485</v>
      </c>
    </row>
    <row r="1883" spans="1:3">
      <c r="A1883" s="184" t="s">
        <v>5327</v>
      </c>
      <c r="B1883" s="184">
        <v>19.72084211</v>
      </c>
      <c r="C1883" s="184">
        <v>-101.1700979</v>
      </c>
    </row>
    <row r="1884" spans="1:3">
      <c r="A1884" s="184" t="s">
        <v>5329</v>
      </c>
      <c r="B1884" s="184">
        <v>19.57017892</v>
      </c>
      <c r="C1884" s="184">
        <v>-100.46452410000001</v>
      </c>
    </row>
    <row r="1885" spans="1:3">
      <c r="A1885" s="184" t="s">
        <v>5332</v>
      </c>
      <c r="B1885" s="184">
        <v>19.243033</v>
      </c>
      <c r="C1885" s="184">
        <v>-101.43848699999999</v>
      </c>
    </row>
    <row r="1886" spans="1:3">
      <c r="A1886" s="184" t="s">
        <v>5334</v>
      </c>
      <c r="B1886" s="184">
        <v>19.851913140000001</v>
      </c>
      <c r="C1886" s="184">
        <v>-102.0706094</v>
      </c>
    </row>
    <row r="1887" spans="1:3">
      <c r="A1887" s="184" t="s">
        <v>5337</v>
      </c>
      <c r="B1887" s="184">
        <v>19.971465569999999</v>
      </c>
      <c r="C1887" s="184">
        <v>-100.4513264</v>
      </c>
    </row>
    <row r="1888" spans="1:3">
      <c r="A1888" s="184" t="s">
        <v>5340</v>
      </c>
      <c r="B1888" s="184">
        <v>19.39886723</v>
      </c>
      <c r="C1888" s="184">
        <v>-101.65563659999999</v>
      </c>
    </row>
    <row r="1889" spans="1:3">
      <c r="A1889" s="184" t="s">
        <v>5343</v>
      </c>
      <c r="B1889" s="184">
        <v>19.764807000000001</v>
      </c>
      <c r="C1889" s="184">
        <v>-101.21451399999999</v>
      </c>
    </row>
    <row r="1890" spans="1:3">
      <c r="A1890" s="184" t="s">
        <v>5345</v>
      </c>
      <c r="B1890" s="184">
        <v>18.72183953</v>
      </c>
      <c r="C1890" s="184">
        <v>-101.8222588</v>
      </c>
    </row>
    <row r="1891" spans="1:3">
      <c r="A1891" s="184" t="s">
        <v>5346</v>
      </c>
      <c r="B1891" s="184">
        <v>19.247261000000002</v>
      </c>
      <c r="C1891" s="184">
        <v>-101.499926</v>
      </c>
    </row>
    <row r="1892" spans="1:3">
      <c r="A1892" s="184" t="s">
        <v>5349</v>
      </c>
      <c r="B1892" s="184">
        <v>20.218917390000001</v>
      </c>
      <c r="C1892" s="184">
        <v>-101.4139861</v>
      </c>
    </row>
    <row r="1893" spans="1:3">
      <c r="A1893" s="184" t="s">
        <v>5350</v>
      </c>
      <c r="B1893" s="184">
        <v>19.879568849999998</v>
      </c>
      <c r="C1893" s="184">
        <v>-100.9115547</v>
      </c>
    </row>
    <row r="1894" spans="1:3">
      <c r="A1894" s="184" t="s">
        <v>5351</v>
      </c>
      <c r="B1894" s="184">
        <v>19.402686289999998</v>
      </c>
      <c r="C1894" s="184">
        <v>-101.54204249999999</v>
      </c>
    </row>
    <row r="1895" spans="1:3">
      <c r="A1895" s="184" t="s">
        <v>5353</v>
      </c>
      <c r="B1895" s="184">
        <v>18.556109729999999</v>
      </c>
      <c r="C1895" s="184">
        <v>-100.8975027</v>
      </c>
    </row>
    <row r="1896" spans="1:3">
      <c r="A1896" s="184" t="s">
        <v>5355</v>
      </c>
      <c r="B1896" s="184">
        <v>19.817033840000001</v>
      </c>
      <c r="C1896" s="184">
        <v>-101.90725019999999</v>
      </c>
    </row>
    <row r="1897" spans="1:3">
      <c r="A1897" s="184" t="s">
        <v>5357</v>
      </c>
      <c r="B1897" s="184">
        <v>18.932728640000001</v>
      </c>
      <c r="C1897" s="184">
        <v>-102.11415340000001</v>
      </c>
    </row>
    <row r="1898" spans="1:3">
      <c r="A1898" s="184" t="s">
        <v>5360</v>
      </c>
      <c r="B1898" s="184">
        <v>20.137837579999999</v>
      </c>
      <c r="C1898" s="184">
        <v>-100.2973657</v>
      </c>
    </row>
    <row r="1899" spans="1:3">
      <c r="A1899" s="184" t="s">
        <v>5362</v>
      </c>
      <c r="B1899" s="184">
        <v>19.821111479999999</v>
      </c>
      <c r="C1899" s="184">
        <v>-101.1398164</v>
      </c>
    </row>
    <row r="1900" spans="1:3">
      <c r="A1900" s="184" t="s">
        <v>5365</v>
      </c>
      <c r="B1900" s="184">
        <v>19.738143969999999</v>
      </c>
      <c r="C1900" s="184">
        <v>-101.0807884</v>
      </c>
    </row>
    <row r="1901" spans="1:3">
      <c r="A1901" s="184" t="s">
        <v>5368</v>
      </c>
      <c r="B1901" s="184">
        <v>20.030859700000001</v>
      </c>
      <c r="C1901" s="184">
        <v>-102.3791993</v>
      </c>
    </row>
    <row r="1902" spans="1:3">
      <c r="A1902" s="184" t="s">
        <v>5370</v>
      </c>
      <c r="B1902" s="184">
        <v>18.341672939999999</v>
      </c>
      <c r="C1902" s="184">
        <v>-103.3073411</v>
      </c>
    </row>
    <row r="1903" spans="1:3">
      <c r="A1903" s="184" t="s">
        <v>5373</v>
      </c>
      <c r="B1903" s="184">
        <v>18.35278181</v>
      </c>
      <c r="C1903" s="184">
        <v>-103.504057</v>
      </c>
    </row>
    <row r="1904" spans="1:3">
      <c r="A1904" s="184" t="s">
        <v>5376</v>
      </c>
      <c r="B1904" s="184">
        <v>19.574060750000001</v>
      </c>
      <c r="C1904" s="184">
        <v>-100.45216449999999</v>
      </c>
    </row>
    <row r="1905" spans="1:3">
      <c r="A1905" s="184" t="s">
        <v>5377</v>
      </c>
      <c r="B1905" s="184">
        <v>19.742183310000001</v>
      </c>
      <c r="C1905" s="184">
        <v>-101.16627579999999</v>
      </c>
    </row>
    <row r="1906" spans="1:3">
      <c r="A1906" s="184" t="s">
        <v>5381</v>
      </c>
      <c r="B1906" s="184">
        <v>19.761178000000001</v>
      </c>
      <c r="C1906" s="184">
        <v>-101.39845800000001</v>
      </c>
    </row>
    <row r="1907" spans="1:3">
      <c r="A1907" s="184" t="s">
        <v>5384</v>
      </c>
      <c r="B1907" s="184">
        <v>19.07755581</v>
      </c>
      <c r="C1907" s="184">
        <v>-102.5416606</v>
      </c>
    </row>
    <row r="1908" spans="1:3">
      <c r="A1908" s="184" t="s">
        <v>5386</v>
      </c>
      <c r="B1908" s="184">
        <v>19.64650438</v>
      </c>
      <c r="C1908" s="184">
        <v>-102.0616615</v>
      </c>
    </row>
    <row r="1909" spans="1:3">
      <c r="A1909" s="184" t="s">
        <v>5389</v>
      </c>
      <c r="B1909" s="184">
        <v>19.882216240000002</v>
      </c>
      <c r="C1909" s="184">
        <v>-101.19058699999999</v>
      </c>
    </row>
    <row r="1910" spans="1:3">
      <c r="A1910" s="184" t="s">
        <v>5393</v>
      </c>
      <c r="B1910" s="184">
        <v>19.671201010000001</v>
      </c>
      <c r="C1910" s="184">
        <v>-101.3605755</v>
      </c>
    </row>
    <row r="1911" spans="1:3">
      <c r="A1911" s="184" t="s">
        <v>5395</v>
      </c>
      <c r="B1911" s="184">
        <v>19.51590208</v>
      </c>
      <c r="C1911" s="184">
        <v>-101.4899461</v>
      </c>
    </row>
    <row r="1912" spans="1:3">
      <c r="A1912" s="184" t="s">
        <v>5397</v>
      </c>
      <c r="B1912" s="184">
        <v>19.531535340000001</v>
      </c>
      <c r="C1912" s="184">
        <v>-101.56171639999999</v>
      </c>
    </row>
    <row r="1913" spans="1:3">
      <c r="A1913" s="184" t="s">
        <v>5399</v>
      </c>
      <c r="B1913" s="184">
        <v>19.706995249999999</v>
      </c>
      <c r="C1913" s="184">
        <v>-102.3235311</v>
      </c>
    </row>
    <row r="1914" spans="1:3">
      <c r="A1914" s="184" t="s">
        <v>5402</v>
      </c>
      <c r="B1914" s="184">
        <v>19.557238810000001</v>
      </c>
      <c r="C1914" s="184">
        <v>-101.3868607</v>
      </c>
    </row>
    <row r="1915" spans="1:3">
      <c r="A1915" s="184" t="s">
        <v>5405</v>
      </c>
      <c r="B1915" s="184">
        <v>19.092512800000002</v>
      </c>
      <c r="C1915" s="184">
        <v>-102.352902</v>
      </c>
    </row>
    <row r="1916" spans="1:3">
      <c r="A1916" s="184" t="s">
        <v>5408</v>
      </c>
      <c r="B1916" s="184">
        <v>19.641282950000001</v>
      </c>
      <c r="C1916" s="184">
        <v>-101.2625012</v>
      </c>
    </row>
    <row r="1917" spans="1:3">
      <c r="A1917" s="184" t="s">
        <v>5410</v>
      </c>
      <c r="B1917" s="184">
        <v>19.680560230000001</v>
      </c>
      <c r="C1917" s="184">
        <v>-101.208539</v>
      </c>
    </row>
    <row r="1918" spans="1:3">
      <c r="A1918" s="184" t="s">
        <v>5413</v>
      </c>
      <c r="B1918" s="184">
        <v>19.500438219999999</v>
      </c>
      <c r="C1918" s="184">
        <v>-101.85290209999999</v>
      </c>
    </row>
    <row r="1919" spans="1:3">
      <c r="A1919" s="184" t="s">
        <v>5416</v>
      </c>
      <c r="B1919" s="184">
        <v>19.828661100000001</v>
      </c>
      <c r="C1919" s="184">
        <v>-101.9733827</v>
      </c>
    </row>
    <row r="1920" spans="1:3">
      <c r="A1920" s="184" t="s">
        <v>5418</v>
      </c>
      <c r="B1920" s="184">
        <v>19.10920286</v>
      </c>
      <c r="C1920" s="184">
        <v>-102.3432013</v>
      </c>
    </row>
    <row r="1921" spans="1:3">
      <c r="A1921" s="184" t="s">
        <v>5421</v>
      </c>
      <c r="B1921" s="184">
        <v>19.342604000000001</v>
      </c>
      <c r="C1921" s="184">
        <v>-102.0509945</v>
      </c>
    </row>
    <row r="1922" spans="1:3">
      <c r="A1922" s="184" t="s">
        <v>5424</v>
      </c>
      <c r="B1922" s="184">
        <v>19.379819430000001</v>
      </c>
      <c r="C1922" s="184">
        <v>-100.4691511</v>
      </c>
    </row>
    <row r="1923" spans="1:3">
      <c r="A1923" s="184" t="s">
        <v>5427</v>
      </c>
      <c r="B1923" s="184">
        <v>18.530566180000001</v>
      </c>
      <c r="C1923" s="184">
        <v>-103.00335149999999</v>
      </c>
    </row>
    <row r="1924" spans="1:3">
      <c r="A1924" s="184" t="s">
        <v>5430</v>
      </c>
      <c r="B1924" s="184">
        <v>20.09117728</v>
      </c>
      <c r="C1924" s="184">
        <v>-101.7383373</v>
      </c>
    </row>
    <row r="1925" spans="1:3">
      <c r="A1925" s="184" t="s">
        <v>5432</v>
      </c>
      <c r="B1925" s="184">
        <v>19.41175312</v>
      </c>
      <c r="C1925" s="184">
        <v>-102.1397675</v>
      </c>
    </row>
    <row r="1926" spans="1:3">
      <c r="A1926" s="184" t="s">
        <v>5435</v>
      </c>
      <c r="B1926" s="184">
        <v>19.720343</v>
      </c>
      <c r="C1926" s="184">
        <v>-102.29689569999999</v>
      </c>
    </row>
    <row r="1927" spans="1:3">
      <c r="A1927" s="184" t="s">
        <v>5438</v>
      </c>
      <c r="B1927" s="184">
        <v>19.567590979999999</v>
      </c>
      <c r="C1927" s="184">
        <v>-100.4576576</v>
      </c>
    </row>
    <row r="1928" spans="1:3">
      <c r="A1928" s="184" t="s">
        <v>5441</v>
      </c>
      <c r="B1928" s="184">
        <v>18.36142834</v>
      </c>
      <c r="C1928" s="184">
        <v>-102.2858406</v>
      </c>
    </row>
    <row r="1929" spans="1:3">
      <c r="A1929" s="184" t="s">
        <v>5444</v>
      </c>
      <c r="B1929" s="184">
        <v>19.434227050000001</v>
      </c>
      <c r="C1929" s="184">
        <v>-100.3518443</v>
      </c>
    </row>
    <row r="1930" spans="1:3">
      <c r="A1930" s="184" t="s">
        <v>5447</v>
      </c>
      <c r="B1930" s="184">
        <v>19.421653379999999</v>
      </c>
      <c r="C1930" s="184">
        <v>-100.34256619999999</v>
      </c>
    </row>
    <row r="1931" spans="1:3">
      <c r="A1931" s="184" t="s">
        <v>5449</v>
      </c>
      <c r="B1931" s="184">
        <v>18.39667811</v>
      </c>
      <c r="C1931" s="184">
        <v>-101.8983971</v>
      </c>
    </row>
    <row r="1932" spans="1:3">
      <c r="A1932" s="184" t="s">
        <v>5452</v>
      </c>
      <c r="B1932" s="184">
        <v>20.006044930000002</v>
      </c>
      <c r="C1932" s="184">
        <v>-101.02951590000001</v>
      </c>
    </row>
    <row r="1933" spans="1:3">
      <c r="A1933" s="184" t="s">
        <v>5454</v>
      </c>
      <c r="B1933" s="184">
        <v>19.679474190000001</v>
      </c>
      <c r="C1933" s="184">
        <v>-101.08363300000001</v>
      </c>
    </row>
    <row r="1934" spans="1:3">
      <c r="A1934" s="184" t="s">
        <v>5457</v>
      </c>
      <c r="B1934" s="184">
        <v>19.392531040000001</v>
      </c>
      <c r="C1934" s="184">
        <v>-101.5363107</v>
      </c>
    </row>
    <row r="1935" spans="1:3">
      <c r="A1935" s="184" t="s">
        <v>5460</v>
      </c>
      <c r="B1935" s="184">
        <v>19.848986650000001</v>
      </c>
      <c r="C1935" s="184">
        <v>-102.09091909999999</v>
      </c>
    </row>
    <row r="1936" spans="1:3">
      <c r="A1936" s="184" t="s">
        <v>5463</v>
      </c>
      <c r="B1936" s="184">
        <v>19.674086620000001</v>
      </c>
      <c r="C1936" s="184">
        <v>-100.55900219999999</v>
      </c>
    </row>
    <row r="1937" spans="1:3">
      <c r="A1937" s="184" t="s">
        <v>5466</v>
      </c>
      <c r="B1937" s="184">
        <v>19.049375430000001</v>
      </c>
      <c r="C1937" s="184">
        <v>-101.16185969999999</v>
      </c>
    </row>
    <row r="1938" spans="1:3">
      <c r="A1938" s="184" t="s">
        <v>5469</v>
      </c>
      <c r="B1938" s="184">
        <v>19.423641150000002</v>
      </c>
      <c r="C1938" s="184">
        <v>-102.0781435</v>
      </c>
    </row>
    <row r="1939" spans="1:3">
      <c r="A1939" s="184" t="s">
        <v>5471</v>
      </c>
      <c r="B1939" s="184">
        <v>19.229115140000001</v>
      </c>
      <c r="C1939" s="184">
        <v>-102.5672229</v>
      </c>
    </row>
    <row r="1940" spans="1:3">
      <c r="A1940" s="184" t="s">
        <v>5474</v>
      </c>
      <c r="B1940" s="184">
        <v>19.39430561</v>
      </c>
      <c r="C1940" s="184">
        <v>-102.0247657</v>
      </c>
    </row>
    <row r="1941" spans="1:3">
      <c r="A1941" s="184" t="s">
        <v>5477</v>
      </c>
      <c r="B1941" s="184">
        <v>20.279785950000001</v>
      </c>
      <c r="C1941" s="184">
        <v>-101.5274513</v>
      </c>
    </row>
    <row r="1942" spans="1:3">
      <c r="A1942" s="184" t="s">
        <v>5480</v>
      </c>
      <c r="B1942" s="184">
        <v>19.691118240000002</v>
      </c>
      <c r="C1942" s="184">
        <v>-100.60889760000001</v>
      </c>
    </row>
    <row r="1943" spans="1:3">
      <c r="A1943" s="184" t="s">
        <v>5483</v>
      </c>
      <c r="B1943" s="184">
        <v>19.62988446</v>
      </c>
      <c r="C1943" s="184">
        <v>-102.3501686</v>
      </c>
    </row>
    <row r="1944" spans="1:3">
      <c r="A1944" s="184" t="s">
        <v>5486</v>
      </c>
      <c r="B1944" s="184">
        <v>20.27108205</v>
      </c>
      <c r="C1944" s="184">
        <v>-101.4819559</v>
      </c>
    </row>
    <row r="1945" spans="1:3">
      <c r="A1945" s="184" t="s">
        <v>5489</v>
      </c>
      <c r="B1945" s="184">
        <v>19.643149730000001</v>
      </c>
      <c r="C1945" s="184">
        <v>-101.2788857</v>
      </c>
    </row>
    <row r="1946" spans="1:3">
      <c r="A1946" s="184" t="s">
        <v>5492</v>
      </c>
      <c r="B1946" s="184">
        <v>20.256900000000002</v>
      </c>
      <c r="C1946" s="184">
        <v>-102.24</v>
      </c>
    </row>
    <row r="1947" spans="1:3">
      <c r="A1947" s="184" t="s">
        <v>5494</v>
      </c>
      <c r="B1947" s="184">
        <v>19.910585000000001</v>
      </c>
      <c r="C1947" s="184">
        <v>-100.52936099999999</v>
      </c>
    </row>
    <row r="1948" spans="1:3">
      <c r="A1948" s="184" t="s">
        <v>5497</v>
      </c>
      <c r="B1948" s="184">
        <v>19.754485729999999</v>
      </c>
      <c r="C1948" s="184">
        <v>-101.181212</v>
      </c>
    </row>
    <row r="1949" spans="1:3">
      <c r="A1949" s="184" t="s">
        <v>5500</v>
      </c>
      <c r="B1949" s="184">
        <v>19.72667169</v>
      </c>
      <c r="C1949" s="184">
        <v>-101.20472789999999</v>
      </c>
    </row>
    <row r="1950" spans="1:3">
      <c r="A1950" s="184" t="s">
        <v>5503</v>
      </c>
      <c r="B1950" s="184">
        <v>19.746575969999999</v>
      </c>
      <c r="C1950" s="184">
        <v>-101.1460251</v>
      </c>
    </row>
    <row r="1951" spans="1:3">
      <c r="A1951" s="184" t="s">
        <v>5506</v>
      </c>
      <c r="B1951" s="184">
        <v>18.003462129999999</v>
      </c>
      <c r="C1951" s="184">
        <v>-102.2489368</v>
      </c>
    </row>
    <row r="1952" spans="1:3">
      <c r="A1952" s="184" t="s">
        <v>5510</v>
      </c>
      <c r="B1952" s="184">
        <v>19.83983795</v>
      </c>
      <c r="C1952" s="184">
        <v>-101.7691042</v>
      </c>
    </row>
    <row r="1953" spans="1:3">
      <c r="A1953" s="184" t="s">
        <v>5513</v>
      </c>
      <c r="B1953" s="184">
        <v>19.190723999999999</v>
      </c>
      <c r="C1953" s="184">
        <v>-102.84573399999999</v>
      </c>
    </row>
    <row r="1954" spans="1:3">
      <c r="A1954" s="184" t="s">
        <v>5515</v>
      </c>
      <c r="B1954" s="184">
        <v>23.340924820000001</v>
      </c>
      <c r="C1954" s="184">
        <v>-100.18696989999999</v>
      </c>
    </row>
    <row r="1955" spans="1:3">
      <c r="A1955" s="184" t="s">
        <v>5520</v>
      </c>
      <c r="B1955" s="184">
        <v>23.924316739999998</v>
      </c>
      <c r="C1955" s="184">
        <v>-100.4807248</v>
      </c>
    </row>
    <row r="1956" spans="1:3">
      <c r="A1956" s="184" t="s">
        <v>5524</v>
      </c>
      <c r="B1956" s="184">
        <v>25.531166259999999</v>
      </c>
      <c r="C1956" s="184">
        <v>-100.06095500000001</v>
      </c>
    </row>
    <row r="1957" spans="1:3">
      <c r="A1957" s="184" t="s">
        <v>5528</v>
      </c>
      <c r="B1957" s="184">
        <v>23.946335470000001</v>
      </c>
      <c r="C1957" s="184">
        <v>-99.939400129999996</v>
      </c>
    </row>
    <row r="1958" spans="1:3">
      <c r="A1958" s="184" t="s">
        <v>5531</v>
      </c>
      <c r="B1958" s="184">
        <v>25.613183960000001</v>
      </c>
      <c r="C1958" s="184">
        <v>-100.1418074</v>
      </c>
    </row>
    <row r="1959" spans="1:3">
      <c r="A1959" s="184" t="s">
        <v>5534</v>
      </c>
      <c r="B1959" s="184">
        <v>25.729710730000001</v>
      </c>
      <c r="C1959" s="184">
        <v>-100.0846279</v>
      </c>
    </row>
    <row r="1960" spans="1:3">
      <c r="A1960" s="184" t="s">
        <v>5538</v>
      </c>
      <c r="B1960" s="184">
        <v>25.54754174</v>
      </c>
      <c r="C1960" s="184">
        <v>-100.1212293</v>
      </c>
    </row>
    <row r="1961" spans="1:3">
      <c r="A1961" s="184" t="s">
        <v>5541</v>
      </c>
      <c r="B1961" s="184">
        <v>25.689845349999999</v>
      </c>
      <c r="C1961" s="184">
        <v>-100.18847</v>
      </c>
    </row>
    <row r="1962" spans="1:3">
      <c r="A1962" s="184" t="s">
        <v>5544</v>
      </c>
      <c r="B1962" s="184">
        <v>24.89490902</v>
      </c>
      <c r="C1962" s="184">
        <v>-99.469786940000006</v>
      </c>
    </row>
    <row r="1963" spans="1:3">
      <c r="A1963" s="184" t="s">
        <v>5548</v>
      </c>
      <c r="B1963" s="184">
        <v>25.794810999999999</v>
      </c>
      <c r="C1963" s="184">
        <v>-100.46444</v>
      </c>
    </row>
    <row r="1964" spans="1:3">
      <c r="A1964" s="184" t="s">
        <v>5552</v>
      </c>
      <c r="B1964" s="184">
        <v>26.6630857</v>
      </c>
      <c r="C1964" s="184">
        <v>-99.987535410000007</v>
      </c>
    </row>
    <row r="1965" spans="1:3">
      <c r="A1965" s="184" t="s">
        <v>5556</v>
      </c>
      <c r="B1965" s="184">
        <v>25.330617709999999</v>
      </c>
      <c r="C1965" s="184">
        <v>-100.0270132</v>
      </c>
    </row>
    <row r="1966" spans="1:3">
      <c r="A1966" s="184" t="s">
        <v>5559</v>
      </c>
      <c r="B1966" s="184">
        <v>25.06548372</v>
      </c>
      <c r="C1966" s="184">
        <v>-100.71814860000001</v>
      </c>
    </row>
    <row r="1967" spans="1:3">
      <c r="A1967" s="184" t="s">
        <v>5562</v>
      </c>
      <c r="B1967" s="184">
        <v>25.793868700000001</v>
      </c>
      <c r="C1967" s="184">
        <v>-100.2316589</v>
      </c>
    </row>
    <row r="1968" spans="1:3">
      <c r="A1968" s="184" t="s">
        <v>5566</v>
      </c>
      <c r="B1968" s="184">
        <v>25.24897975</v>
      </c>
      <c r="C1968" s="184">
        <v>-100.02654649999999</v>
      </c>
    </row>
    <row r="1969" spans="1:3">
      <c r="A1969" s="184" t="s">
        <v>5570</v>
      </c>
      <c r="B1969" s="184">
        <v>24.586672</v>
      </c>
      <c r="C1969" s="184">
        <v>-99.798327999999998</v>
      </c>
    </row>
    <row r="1970" spans="1:3">
      <c r="A1970" s="184" t="s">
        <v>5574</v>
      </c>
      <c r="B1970" s="184">
        <v>23.600673480000001</v>
      </c>
      <c r="C1970" s="184">
        <v>-100.07100730000001</v>
      </c>
    </row>
    <row r="1971" spans="1:3">
      <c r="A1971" s="184" t="s">
        <v>5577</v>
      </c>
      <c r="B1971" s="184">
        <v>25.92221206</v>
      </c>
      <c r="C1971" s="184">
        <v>-99.180735679999998</v>
      </c>
    </row>
    <row r="1972" spans="1:3">
      <c r="A1972" s="184" t="s">
        <v>5581</v>
      </c>
      <c r="B1972" s="184">
        <v>25.9079728</v>
      </c>
      <c r="C1972" s="184">
        <v>-99.409703969999995</v>
      </c>
    </row>
    <row r="1973" spans="1:3">
      <c r="A1973" s="184" t="s">
        <v>5584</v>
      </c>
      <c r="B1973" s="184">
        <v>23.337009900000002</v>
      </c>
      <c r="C1973" s="184">
        <v>-100.1854166</v>
      </c>
    </row>
    <row r="1974" spans="1:3">
      <c r="A1974" s="184" t="s">
        <v>5587</v>
      </c>
      <c r="B1974" s="184">
        <v>24.98754366</v>
      </c>
      <c r="C1974" s="184">
        <v>-100.6197162</v>
      </c>
    </row>
    <row r="1975" spans="1:3">
      <c r="A1975" s="184" t="s">
        <v>5590</v>
      </c>
      <c r="B1975" s="184">
        <v>23.33704367</v>
      </c>
      <c r="C1975" s="184">
        <v>-100.1855947</v>
      </c>
    </row>
    <row r="1976" spans="1:3">
      <c r="A1976" s="184" t="s">
        <v>5592</v>
      </c>
      <c r="B1976" s="184">
        <v>23.5443161</v>
      </c>
      <c r="C1976" s="184">
        <v>-100.1803881</v>
      </c>
    </row>
    <row r="1977" spans="1:3">
      <c r="A1977" s="184" t="s">
        <v>5595</v>
      </c>
      <c r="B1977" s="184">
        <v>23.924739110000001</v>
      </c>
      <c r="C1977" s="184">
        <v>-100.48570359999999</v>
      </c>
    </row>
    <row r="1978" spans="1:3">
      <c r="A1978" s="184" t="s">
        <v>5597</v>
      </c>
      <c r="B1978" s="184">
        <v>23.61814876</v>
      </c>
      <c r="C1978" s="184">
        <v>-100.2311555</v>
      </c>
    </row>
    <row r="1979" spans="1:3">
      <c r="A1979" s="184" t="s">
        <v>5599</v>
      </c>
      <c r="B1979" s="184">
        <v>24.85065372</v>
      </c>
      <c r="C1979" s="184">
        <v>-100.1592679</v>
      </c>
    </row>
    <row r="1980" spans="1:3">
      <c r="A1980" s="184" t="s">
        <v>5600</v>
      </c>
      <c r="B1980" s="184">
        <v>24.959281499999999</v>
      </c>
      <c r="C1980" s="184">
        <v>-100.5265957</v>
      </c>
    </row>
    <row r="1981" spans="1:3">
      <c r="A1981" s="184" t="s">
        <v>5602</v>
      </c>
      <c r="B1981" s="184">
        <v>24.592739380000001</v>
      </c>
      <c r="C1981" s="184">
        <v>-99.99637817</v>
      </c>
    </row>
    <row r="1982" spans="1:3">
      <c r="A1982" s="184" t="s">
        <v>5605</v>
      </c>
      <c r="B1982" s="184">
        <v>23.520716709999999</v>
      </c>
      <c r="C1982" s="184">
        <v>-100.23062830000001</v>
      </c>
    </row>
    <row r="1983" spans="1:3">
      <c r="A1983" s="184" t="s">
        <v>5607</v>
      </c>
      <c r="B1983" s="184">
        <v>25.224880509999998</v>
      </c>
      <c r="C1983" s="184">
        <v>-99.936479090000006</v>
      </c>
    </row>
    <row r="1984" spans="1:3">
      <c r="A1984" s="184" t="s">
        <v>5609</v>
      </c>
      <c r="B1984" s="184">
        <v>25.221341850000002</v>
      </c>
      <c r="C1984" s="184">
        <v>-99.998539769999994</v>
      </c>
    </row>
    <row r="1985" spans="1:3">
      <c r="A1985" s="184" t="s">
        <v>5611</v>
      </c>
      <c r="B1985" s="184">
        <v>25.32411407</v>
      </c>
      <c r="C1985" s="184">
        <v>-100.0287955</v>
      </c>
    </row>
    <row r="1986" spans="1:3">
      <c r="A1986" s="184" t="s">
        <v>5615</v>
      </c>
      <c r="B1986" s="184">
        <v>24.107973550000001</v>
      </c>
      <c r="C1986" s="184">
        <v>-99.927634940000004</v>
      </c>
    </row>
    <row r="1987" spans="1:3">
      <c r="A1987" s="184" t="s">
        <v>5617</v>
      </c>
      <c r="B1987" s="184">
        <v>25.543797099999999</v>
      </c>
      <c r="C1987" s="184">
        <v>-99.841997899999996</v>
      </c>
    </row>
    <row r="1988" spans="1:3">
      <c r="A1988" s="184" t="s">
        <v>5619</v>
      </c>
      <c r="B1988" s="184">
        <v>23.69747512</v>
      </c>
      <c r="C1988" s="184">
        <v>-100.2202952</v>
      </c>
    </row>
    <row r="1989" spans="1:3">
      <c r="A1989" s="184" t="s">
        <v>5622</v>
      </c>
      <c r="B1989" s="184">
        <v>23.593651439999999</v>
      </c>
      <c r="C1989" s="184">
        <v>-100.15291809999999</v>
      </c>
    </row>
    <row r="1990" spans="1:3">
      <c r="A1990" s="184" t="s">
        <v>5624</v>
      </c>
      <c r="B1990" s="184">
        <v>26.218457260000001</v>
      </c>
      <c r="C1990" s="184">
        <v>-99.486452150000005</v>
      </c>
    </row>
    <row r="1991" spans="1:3">
      <c r="A1991" s="184" t="s">
        <v>5628</v>
      </c>
      <c r="B1991" s="184">
        <v>25.954236290000001</v>
      </c>
      <c r="C1991" s="184">
        <v>-100.0141174</v>
      </c>
    </row>
    <row r="1992" spans="1:3">
      <c r="A1992" s="184" t="s">
        <v>5631</v>
      </c>
      <c r="B1992" s="184">
        <v>26.05785036</v>
      </c>
      <c r="C1992" s="184">
        <v>-99.544307619999998</v>
      </c>
    </row>
    <row r="1993" spans="1:3">
      <c r="A1993" s="184" t="s">
        <v>5633</v>
      </c>
      <c r="B1993" s="184">
        <v>25.72976719</v>
      </c>
      <c r="C1993" s="184">
        <v>-100.08451890000001</v>
      </c>
    </row>
    <row r="1994" spans="1:3">
      <c r="A1994" s="184" t="s">
        <v>5635</v>
      </c>
      <c r="B1994" s="184">
        <v>25.732110800000001</v>
      </c>
      <c r="C1994" s="184">
        <v>-99.819265380000004</v>
      </c>
    </row>
    <row r="1995" spans="1:3">
      <c r="A1995" s="184" t="s">
        <v>5637</v>
      </c>
      <c r="B1995" s="184">
        <v>26.476897109999999</v>
      </c>
      <c r="C1995" s="184">
        <v>-99.911827380000005</v>
      </c>
    </row>
    <row r="1996" spans="1:3">
      <c r="A1996" s="184" t="s">
        <v>5639</v>
      </c>
      <c r="B1996" s="184">
        <v>18.37220903</v>
      </c>
      <c r="C1996" s="184">
        <v>-98.689471699999999</v>
      </c>
    </row>
    <row r="1997" spans="1:3">
      <c r="A1997" s="184" t="s">
        <v>5642</v>
      </c>
      <c r="B1997" s="184">
        <v>19.31856398</v>
      </c>
      <c r="C1997" s="184">
        <v>-98.492532019999999</v>
      </c>
    </row>
    <row r="1998" spans="1:3">
      <c r="A1998" s="184" t="s">
        <v>5645</v>
      </c>
      <c r="B1998" s="184">
        <v>19.081297230000001</v>
      </c>
      <c r="C1998" s="184">
        <v>-98.247280149999995</v>
      </c>
    </row>
    <row r="1999" spans="1:3">
      <c r="A1999" s="184" t="s">
        <v>5648</v>
      </c>
      <c r="B1999" s="184">
        <v>19.433336669999999</v>
      </c>
      <c r="C1999" s="184">
        <v>-97.389261189999999</v>
      </c>
    </row>
    <row r="2000" spans="1:3">
      <c r="A2000" s="184" t="s">
        <v>5651</v>
      </c>
      <c r="B2000" s="184">
        <v>19.10021742</v>
      </c>
      <c r="C2000" s="184">
        <v>-98.194035119999995</v>
      </c>
    </row>
    <row r="2001" spans="1:3">
      <c r="A2001" s="184" t="s">
        <v>5653</v>
      </c>
      <c r="B2001" s="184">
        <v>19.299978169999999</v>
      </c>
      <c r="C2001" s="184">
        <v>-98.475478530000004</v>
      </c>
    </row>
    <row r="2002" spans="1:3">
      <c r="A2002" s="184" t="s">
        <v>5656</v>
      </c>
      <c r="B2002" s="184">
        <v>18.838316689999999</v>
      </c>
      <c r="C2002" s="184">
        <v>-97.550813610000006</v>
      </c>
    </row>
    <row r="2003" spans="1:3">
      <c r="A2003" s="184" t="s">
        <v>5659</v>
      </c>
      <c r="B2003" s="184">
        <v>19.264130210000001</v>
      </c>
      <c r="C2003" s="184">
        <v>-98.448775999999995</v>
      </c>
    </row>
    <row r="2004" spans="1:3">
      <c r="A2004" s="184" t="s">
        <v>5663</v>
      </c>
      <c r="B2004" s="184">
        <v>19.266953650000001</v>
      </c>
      <c r="C2004" s="184">
        <v>-98.51207565</v>
      </c>
    </row>
    <row r="2005" spans="1:3">
      <c r="A2005" s="184" t="s">
        <v>5664</v>
      </c>
      <c r="B2005" s="184">
        <v>19.167577130000002</v>
      </c>
      <c r="C2005" s="184">
        <v>-98.309138379999993</v>
      </c>
    </row>
    <row r="2006" spans="1:3">
      <c r="A2006" s="184" t="s">
        <v>5666</v>
      </c>
      <c r="B2006" s="184">
        <v>19.20360226</v>
      </c>
      <c r="C2006" s="184">
        <v>-98.468749180000003</v>
      </c>
    </row>
    <row r="2007" spans="1:3">
      <c r="A2007" s="184" t="s">
        <v>5669</v>
      </c>
      <c r="B2007" s="184">
        <v>18.594606039999999</v>
      </c>
      <c r="C2007" s="184">
        <v>-98.069290620000004</v>
      </c>
    </row>
    <row r="2008" spans="1:3">
      <c r="A2008" s="184" t="s">
        <v>5672</v>
      </c>
      <c r="B2008" s="184">
        <v>19.12054281</v>
      </c>
      <c r="C2008" s="184">
        <v>-97.415880369999996</v>
      </c>
    </row>
    <row r="2009" spans="1:3">
      <c r="A2009" s="184" t="s">
        <v>5674</v>
      </c>
      <c r="B2009" s="184">
        <v>19.057062120000001</v>
      </c>
      <c r="C2009" s="184">
        <v>-98.173181170000007</v>
      </c>
    </row>
    <row r="2010" spans="1:3">
      <c r="A2010" s="184" t="s">
        <v>5676</v>
      </c>
      <c r="B2010" s="184">
        <v>18.961937639999999</v>
      </c>
      <c r="C2010" s="184">
        <v>-98.154023300000006</v>
      </c>
    </row>
    <row r="2011" spans="1:3">
      <c r="A2011" s="184" t="s">
        <v>5678</v>
      </c>
      <c r="B2011" s="184">
        <v>19.170135810000001</v>
      </c>
      <c r="C2011" s="184">
        <v>-98.343217769999995</v>
      </c>
    </row>
    <row r="2012" spans="1:3">
      <c r="A2012" s="184" t="s">
        <v>5681</v>
      </c>
      <c r="B2012" s="184">
        <v>19.054883870000001</v>
      </c>
      <c r="C2012" s="184">
        <v>-98.061468660000003</v>
      </c>
    </row>
    <row r="2013" spans="1:3">
      <c r="A2013" s="184" t="s">
        <v>5685</v>
      </c>
      <c r="B2013" s="184">
        <v>18.489382299999999</v>
      </c>
      <c r="C2013" s="184">
        <v>-97.4272074</v>
      </c>
    </row>
    <row r="2014" spans="1:3">
      <c r="A2014" s="184" t="s">
        <v>5689</v>
      </c>
      <c r="B2014" s="184">
        <v>18.515268070000001</v>
      </c>
      <c r="C2014" s="184">
        <v>-98.578368170000005</v>
      </c>
    </row>
    <row r="2015" spans="1:3">
      <c r="A2015" s="184" t="s">
        <v>5692</v>
      </c>
      <c r="B2015" s="184">
        <v>19.135225340000002</v>
      </c>
      <c r="C2015" s="184">
        <v>-97.708475770000007</v>
      </c>
    </row>
    <row r="2016" spans="1:3">
      <c r="A2016" s="184" t="s">
        <v>5696</v>
      </c>
      <c r="B2016" s="184">
        <v>19.089920419999999</v>
      </c>
      <c r="C2016" s="184">
        <v>-98.301518389999998</v>
      </c>
    </row>
    <row r="2017" spans="1:3">
      <c r="A2017" s="184" t="s">
        <v>5699</v>
      </c>
      <c r="B2017" s="184">
        <v>19.105275379999998</v>
      </c>
      <c r="C2017" s="184">
        <v>-98.466065470000004</v>
      </c>
    </row>
    <row r="2018" spans="1:3">
      <c r="A2018" s="184" t="s">
        <v>5702</v>
      </c>
      <c r="B2018" s="184">
        <v>19.123040660000001</v>
      </c>
      <c r="C2018" s="184">
        <v>-97.69924838</v>
      </c>
    </row>
    <row r="2019" spans="1:3">
      <c r="A2019" s="184" t="s">
        <v>5704</v>
      </c>
      <c r="B2019" s="184">
        <v>19.079243309999999</v>
      </c>
      <c r="C2019" s="184">
        <v>-98.277514170000003</v>
      </c>
    </row>
    <row r="2020" spans="1:3">
      <c r="A2020" s="184" t="s">
        <v>5707</v>
      </c>
      <c r="B2020" s="184">
        <v>18.482892920000001</v>
      </c>
      <c r="C2020" s="184">
        <v>-98.664198859999999</v>
      </c>
    </row>
    <row r="2021" spans="1:3">
      <c r="A2021" s="184" t="s">
        <v>5709</v>
      </c>
      <c r="B2021" s="184">
        <v>18.56064735</v>
      </c>
      <c r="C2021" s="184">
        <v>-98.48525334</v>
      </c>
    </row>
    <row r="2022" spans="1:3">
      <c r="A2022" s="184" t="s">
        <v>5712</v>
      </c>
      <c r="B2022" s="184">
        <v>19.21310837</v>
      </c>
      <c r="C2022" s="184">
        <v>-97.820391729999997</v>
      </c>
    </row>
    <row r="2023" spans="1:3">
      <c r="A2023" s="184" t="s">
        <v>5715</v>
      </c>
      <c r="B2023" s="184">
        <v>19.033741249999999</v>
      </c>
      <c r="C2023" s="184">
        <v>-98.249058739999995</v>
      </c>
    </row>
    <row r="2024" spans="1:3">
      <c r="A2024" s="184" t="s">
        <v>5718</v>
      </c>
      <c r="B2024" s="184">
        <v>18.614213320000001</v>
      </c>
      <c r="C2024" s="184">
        <v>-97.412789770000003</v>
      </c>
    </row>
    <row r="2025" spans="1:3">
      <c r="A2025" s="184" t="s">
        <v>5720</v>
      </c>
      <c r="B2025" s="184">
        <v>19.048146280000001</v>
      </c>
      <c r="C2025" s="184">
        <v>-98.153256679999998</v>
      </c>
    </row>
    <row r="2026" spans="1:3">
      <c r="A2026" s="184" t="s">
        <v>5722</v>
      </c>
      <c r="B2026" s="184">
        <v>19.155096950000001</v>
      </c>
      <c r="C2026" s="184">
        <v>-98.296006559999995</v>
      </c>
    </row>
    <row r="2027" spans="1:3">
      <c r="A2027" s="184" t="s">
        <v>5725</v>
      </c>
      <c r="B2027" s="184">
        <v>18.912436469999999</v>
      </c>
      <c r="C2027" s="184">
        <v>-98.173442960000003</v>
      </c>
    </row>
    <row r="2028" spans="1:3">
      <c r="A2028" s="184" t="s">
        <v>5727</v>
      </c>
      <c r="B2028" s="184">
        <v>19.469669849999999</v>
      </c>
      <c r="C2028" s="184">
        <v>-97.686538920000004</v>
      </c>
    </row>
    <row r="2029" spans="1:3">
      <c r="A2029" s="184" t="s">
        <v>5730</v>
      </c>
      <c r="B2029" s="184">
        <v>19.02358705</v>
      </c>
      <c r="C2029" s="184">
        <v>-97.931664029999993</v>
      </c>
    </row>
    <row r="2030" spans="1:3">
      <c r="A2030" s="184" t="s">
        <v>5733</v>
      </c>
      <c r="B2030" s="184">
        <v>19.004835549999999</v>
      </c>
      <c r="C2030" s="184">
        <v>-97.862462399999998</v>
      </c>
    </row>
    <row r="2031" spans="1:3">
      <c r="A2031" s="184" t="s">
        <v>5736</v>
      </c>
      <c r="B2031" s="184">
        <v>18.756164510000001</v>
      </c>
      <c r="C2031" s="184">
        <v>-98.101053329999999</v>
      </c>
    </row>
    <row r="2032" spans="1:3">
      <c r="A2032" s="184" t="s">
        <v>5739</v>
      </c>
      <c r="B2032" s="184">
        <v>18.677238859999999</v>
      </c>
      <c r="C2032" s="184">
        <v>-98.447234760000001</v>
      </c>
    </row>
    <row r="2033" spans="1:3">
      <c r="A2033" s="184" t="s">
        <v>5741</v>
      </c>
      <c r="B2033" s="184">
        <v>18.222281110000001</v>
      </c>
      <c r="C2033" s="184">
        <v>-97.903784479999999</v>
      </c>
    </row>
    <row r="2034" spans="1:3">
      <c r="A2034" s="184" t="s">
        <v>5743</v>
      </c>
      <c r="B2034" s="184">
        <v>18.544110539999998</v>
      </c>
      <c r="C2034" s="184">
        <v>-98.510858999999996</v>
      </c>
    </row>
    <row r="2035" spans="1:3">
      <c r="A2035" s="184" t="s">
        <v>5745</v>
      </c>
      <c r="B2035" s="184">
        <v>18.98336566</v>
      </c>
      <c r="C2035" s="184">
        <v>-98.358305200000004</v>
      </c>
    </row>
    <row r="2036" spans="1:3">
      <c r="A2036" s="184" t="s">
        <v>5748</v>
      </c>
      <c r="B2036" s="184">
        <v>19.08118013</v>
      </c>
      <c r="C2036" s="184">
        <v>-98.304676720000003</v>
      </c>
    </row>
    <row r="2037" spans="1:3">
      <c r="A2037" s="184" t="s">
        <v>5750</v>
      </c>
      <c r="B2037" s="184">
        <v>18.168055500000001</v>
      </c>
      <c r="C2037" s="184">
        <v>-97.955865489999994</v>
      </c>
    </row>
    <row r="2038" spans="1:3">
      <c r="A2038" s="184" t="s">
        <v>5752</v>
      </c>
      <c r="B2038" s="184">
        <v>18.114446010000002</v>
      </c>
      <c r="C2038" s="184">
        <v>-98.241116570000003</v>
      </c>
    </row>
    <row r="2039" spans="1:3">
      <c r="A2039" s="184" t="s">
        <v>5756</v>
      </c>
      <c r="B2039" s="184">
        <v>18.727051299999999</v>
      </c>
      <c r="C2039" s="184">
        <v>-98.520768079999996</v>
      </c>
    </row>
    <row r="2040" spans="1:3">
      <c r="A2040" s="184" t="s">
        <v>5759</v>
      </c>
      <c r="B2040" s="184">
        <v>18.612512089999999</v>
      </c>
      <c r="C2040" s="184">
        <v>-98.377788219999999</v>
      </c>
    </row>
    <row r="2041" spans="1:3">
      <c r="A2041" s="184" t="s">
        <v>5763</v>
      </c>
      <c r="B2041" s="184">
        <v>18.063868729999999</v>
      </c>
      <c r="C2041" s="184">
        <v>-98.079713159999997</v>
      </c>
    </row>
    <row r="2042" spans="1:3">
      <c r="A2042" s="184" t="s">
        <v>5766</v>
      </c>
      <c r="B2042" s="184">
        <v>18.995146689999999</v>
      </c>
      <c r="C2042" s="184">
        <v>-98.178761980000004</v>
      </c>
    </row>
    <row r="2043" spans="1:3">
      <c r="A2043" s="184" t="s">
        <v>5767</v>
      </c>
      <c r="B2043" s="184">
        <v>18.005799400000001</v>
      </c>
      <c r="C2043" s="184">
        <v>-98.173179610000005</v>
      </c>
    </row>
    <row r="2044" spans="1:3">
      <c r="A2044" s="184" t="s">
        <v>5769</v>
      </c>
      <c r="B2044" s="184">
        <v>19.62437396</v>
      </c>
      <c r="C2044" s="184">
        <v>-97.813767810000002</v>
      </c>
    </row>
    <row r="2045" spans="1:3">
      <c r="A2045" s="184" t="s">
        <v>5772</v>
      </c>
      <c r="B2045" s="184">
        <v>19.784798800000001</v>
      </c>
      <c r="C2045" s="184">
        <v>-98.129527449999998</v>
      </c>
    </row>
    <row r="2046" spans="1:3">
      <c r="A2046" s="184" t="s">
        <v>5775</v>
      </c>
      <c r="B2046" s="184">
        <v>19.038807649999999</v>
      </c>
      <c r="C2046" s="184">
        <v>-98.130178849999993</v>
      </c>
    </row>
    <row r="2047" spans="1:3">
      <c r="A2047" s="184" t="s">
        <v>5776</v>
      </c>
      <c r="B2047" s="184">
        <v>18.056315999999999</v>
      </c>
      <c r="C2047" s="184">
        <v>-98.181632269999994</v>
      </c>
    </row>
    <row r="2048" spans="1:3">
      <c r="A2048" s="184" t="s">
        <v>5779</v>
      </c>
      <c r="B2048" s="184">
        <v>19.262271040000002</v>
      </c>
      <c r="C2048" s="184">
        <v>-98.505848850000007</v>
      </c>
    </row>
    <row r="2049" spans="1:3">
      <c r="A2049" s="184" t="s">
        <v>5781</v>
      </c>
      <c r="B2049" s="184">
        <v>18.826212529999999</v>
      </c>
      <c r="C2049" s="184">
        <v>-97.572614610000002</v>
      </c>
    </row>
    <row r="2050" spans="1:3">
      <c r="A2050" s="184" t="s">
        <v>5783</v>
      </c>
      <c r="B2050" s="184">
        <v>18.203489510000001</v>
      </c>
      <c r="C2050" s="184">
        <v>-98.025544069999995</v>
      </c>
    </row>
    <row r="2051" spans="1:3">
      <c r="A2051" s="184" t="s">
        <v>5784</v>
      </c>
      <c r="B2051" s="184">
        <v>18.9575</v>
      </c>
      <c r="C2051" s="184">
        <v>-98.424300000000002</v>
      </c>
    </row>
    <row r="2052" spans="1:3">
      <c r="A2052" s="184" t="s">
        <v>5788</v>
      </c>
      <c r="B2052" s="184">
        <v>18.533979309999999</v>
      </c>
      <c r="C2052" s="184">
        <v>-98.621561029999995</v>
      </c>
    </row>
    <row r="2053" spans="1:3">
      <c r="A2053" s="184" t="s">
        <v>5790</v>
      </c>
      <c r="B2053" s="184">
        <v>19.519769870000001</v>
      </c>
      <c r="C2053" s="184">
        <v>-97.673071640000003</v>
      </c>
    </row>
    <row r="2054" spans="1:3">
      <c r="A2054" s="184" t="s">
        <v>5792</v>
      </c>
      <c r="B2054" s="184">
        <v>19.029911160000001</v>
      </c>
      <c r="C2054" s="184">
        <v>-97.87867396</v>
      </c>
    </row>
    <row r="2055" spans="1:3">
      <c r="A2055" s="184" t="s">
        <v>5795</v>
      </c>
      <c r="B2055" s="184">
        <v>18.351425089999999</v>
      </c>
      <c r="C2055" s="184">
        <v>-97.623602489999996</v>
      </c>
    </row>
    <row r="2056" spans="1:3">
      <c r="A2056" s="184" t="s">
        <v>5798</v>
      </c>
      <c r="B2056" s="184">
        <v>18.437433179999999</v>
      </c>
      <c r="C2056" s="184">
        <v>-97.405715900000004</v>
      </c>
    </row>
    <row r="2057" spans="1:3">
      <c r="A2057" s="184" t="s">
        <v>5800</v>
      </c>
      <c r="B2057" s="184">
        <v>18.511556089999999</v>
      </c>
      <c r="C2057" s="184">
        <v>-98.607806539999999</v>
      </c>
    </row>
    <row r="2058" spans="1:3">
      <c r="A2058" s="184" t="s">
        <v>5802</v>
      </c>
      <c r="B2058" s="184">
        <v>18.400273169999998</v>
      </c>
      <c r="C2058" s="184">
        <v>-97.046788640000003</v>
      </c>
    </row>
    <row r="2059" spans="1:3">
      <c r="A2059" s="184" t="s">
        <v>5805</v>
      </c>
      <c r="B2059" s="184">
        <v>18.432112369999999</v>
      </c>
      <c r="C2059" s="184">
        <v>-97.121195479999997</v>
      </c>
    </row>
    <row r="2060" spans="1:3">
      <c r="A2060" s="184" t="s">
        <v>5807</v>
      </c>
      <c r="B2060" s="184">
        <v>18.606026709999998</v>
      </c>
      <c r="C2060" s="184">
        <v>-97.408571429999995</v>
      </c>
    </row>
    <row r="2061" spans="1:3">
      <c r="A2061" s="184" t="s">
        <v>5809</v>
      </c>
      <c r="B2061" s="184">
        <v>18.610228840000001</v>
      </c>
      <c r="C2061" s="184">
        <v>-98.451146080000001</v>
      </c>
    </row>
    <row r="2062" spans="1:3">
      <c r="A2062" s="184" t="s">
        <v>5810</v>
      </c>
      <c r="B2062" s="184">
        <v>18.763622779999999</v>
      </c>
      <c r="C2062" s="184">
        <v>-97.405054100000001</v>
      </c>
    </row>
    <row r="2063" spans="1:3">
      <c r="A2063" s="184" t="s">
        <v>5813</v>
      </c>
      <c r="B2063" s="184">
        <v>18.932285180000001</v>
      </c>
      <c r="C2063" s="184">
        <v>-98.454805329999999</v>
      </c>
    </row>
    <row r="2064" spans="1:3">
      <c r="A2064" s="184" t="s">
        <v>5815</v>
      </c>
      <c r="B2064" s="184">
        <v>18.894488590000002</v>
      </c>
      <c r="C2064" s="184">
        <v>-97.658314630000007</v>
      </c>
    </row>
    <row r="2065" spans="1:3">
      <c r="A2065" s="184" t="s">
        <v>5818</v>
      </c>
      <c r="B2065" s="184">
        <v>18.7883332</v>
      </c>
      <c r="C2065" s="184">
        <v>-98.450576960000006</v>
      </c>
    </row>
    <row r="2066" spans="1:3">
      <c r="A2066" s="184" t="s">
        <v>5820</v>
      </c>
      <c r="B2066" s="184">
        <v>18.596491610000001</v>
      </c>
      <c r="C2066" s="184">
        <v>-98.489521859999996</v>
      </c>
    </row>
    <row r="2067" spans="1:3">
      <c r="A2067" s="184" t="s">
        <v>5821</v>
      </c>
      <c r="B2067" s="184">
        <v>18.014090249999999</v>
      </c>
      <c r="C2067" s="184">
        <v>-98.240705019999993</v>
      </c>
    </row>
    <row r="2068" spans="1:3">
      <c r="A2068" s="184" t="s">
        <v>5823</v>
      </c>
      <c r="B2068" s="184">
        <v>18.051676700000002</v>
      </c>
      <c r="C2068" s="184">
        <v>-98.373098420000005</v>
      </c>
    </row>
    <row r="2069" spans="1:3">
      <c r="A2069" s="184" t="s">
        <v>5826</v>
      </c>
      <c r="B2069" s="184">
        <v>18.24545766</v>
      </c>
      <c r="C2069" s="184">
        <v>-96.957124149999999</v>
      </c>
    </row>
    <row r="2070" spans="1:3">
      <c r="A2070" s="184" t="s">
        <v>5829</v>
      </c>
      <c r="B2070" s="184">
        <v>18.865494009999999</v>
      </c>
      <c r="C2070" s="184">
        <v>-98.426299200000003</v>
      </c>
    </row>
    <row r="2071" spans="1:3">
      <c r="A2071" s="184" t="s">
        <v>5832</v>
      </c>
      <c r="B2071" s="184">
        <v>18.176292230000001</v>
      </c>
      <c r="C2071" s="184">
        <v>-98.048449989999995</v>
      </c>
    </row>
    <row r="2072" spans="1:3">
      <c r="A2072" s="184" t="s">
        <v>5835</v>
      </c>
      <c r="B2072" s="184">
        <v>19.264736289999998</v>
      </c>
      <c r="C2072" s="184">
        <v>-98.493030910000002</v>
      </c>
    </row>
    <row r="2073" spans="1:3">
      <c r="A2073" s="184" t="s">
        <v>5838</v>
      </c>
      <c r="B2073" s="184">
        <v>19.91334449</v>
      </c>
      <c r="C2073" s="184">
        <v>-98.178782499999997</v>
      </c>
    </row>
    <row r="2074" spans="1:3">
      <c r="A2074" s="184" t="s">
        <v>5840</v>
      </c>
      <c r="B2074" s="184">
        <v>18.23977588</v>
      </c>
      <c r="C2074" s="184">
        <v>-97.090587040000003</v>
      </c>
    </row>
    <row r="2075" spans="1:3">
      <c r="A2075" s="184" t="s">
        <v>5843</v>
      </c>
      <c r="B2075" s="184">
        <v>18.695021300000001</v>
      </c>
      <c r="C2075" s="184">
        <v>-98.595655359999995</v>
      </c>
    </row>
    <row r="2076" spans="1:3">
      <c r="A2076" s="184" t="s">
        <v>5845</v>
      </c>
      <c r="B2076" s="184">
        <v>18.064063099999998</v>
      </c>
      <c r="C2076" s="184">
        <v>-97.994186170000006</v>
      </c>
    </row>
    <row r="2077" spans="1:3">
      <c r="A2077" s="184" t="s">
        <v>5849</v>
      </c>
      <c r="B2077" s="184">
        <v>18.42451908</v>
      </c>
      <c r="C2077" s="184">
        <v>-97.045428439999995</v>
      </c>
    </row>
    <row r="2078" spans="1:3">
      <c r="A2078" s="184" t="s">
        <v>5852</v>
      </c>
      <c r="B2078" s="184">
        <v>18.660809400000002</v>
      </c>
      <c r="C2078" s="184">
        <v>-97.577505819999999</v>
      </c>
    </row>
    <row r="2079" spans="1:3">
      <c r="A2079" s="184" t="s">
        <v>5855</v>
      </c>
      <c r="B2079" s="184">
        <v>18.626245449999999</v>
      </c>
      <c r="C2079" s="184">
        <v>-97.571370590000001</v>
      </c>
    </row>
    <row r="2080" spans="1:3">
      <c r="A2080" s="184" t="s">
        <v>5857</v>
      </c>
      <c r="B2080" s="184">
        <v>18.30585104</v>
      </c>
      <c r="C2080" s="184">
        <v>-97.089464160000006</v>
      </c>
    </row>
    <row r="2081" spans="1:3">
      <c r="A2081" s="184" t="s">
        <v>5860</v>
      </c>
      <c r="B2081" s="184">
        <v>19.098172659999999</v>
      </c>
      <c r="C2081" s="184">
        <v>-98.312550790000003</v>
      </c>
    </row>
    <row r="2082" spans="1:3">
      <c r="A2082" s="184" t="s">
        <v>5863</v>
      </c>
      <c r="B2082" s="184">
        <v>18.942468860000002</v>
      </c>
      <c r="C2082" s="184">
        <v>-98.550655430000006</v>
      </c>
    </row>
    <row r="2083" spans="1:3">
      <c r="A2083" s="184" t="s">
        <v>5866</v>
      </c>
      <c r="B2083" s="184">
        <v>18.505423140000001</v>
      </c>
      <c r="C2083" s="184">
        <v>-97.400281969999995</v>
      </c>
    </row>
    <row r="2084" spans="1:3">
      <c r="A2084" s="184" t="s">
        <v>5870</v>
      </c>
      <c r="B2084" s="184">
        <v>18.780111649999998</v>
      </c>
      <c r="C2084" s="184">
        <v>-97.406057599999997</v>
      </c>
    </row>
    <row r="2085" spans="1:3">
      <c r="A2085" s="184" t="s">
        <v>5874</v>
      </c>
      <c r="B2085" s="184">
        <v>19.442026200000001</v>
      </c>
      <c r="C2085" s="184">
        <v>-99.117325600000001</v>
      </c>
    </row>
    <row r="2086" spans="1:3">
      <c r="A2086" s="184" t="s">
        <v>5877</v>
      </c>
      <c r="B2086" s="184">
        <v>18.051666999999998</v>
      </c>
      <c r="C2086" s="184">
        <v>-98.373056000000005</v>
      </c>
    </row>
    <row r="2087" spans="1:3">
      <c r="A2087" s="184" t="s">
        <v>5879</v>
      </c>
      <c r="B2087" s="184">
        <v>18.82281566</v>
      </c>
      <c r="C2087" s="184">
        <v>-98.447660229999997</v>
      </c>
    </row>
    <row r="2088" spans="1:3">
      <c r="A2088" s="184" t="s">
        <v>5882</v>
      </c>
      <c r="B2088" s="184">
        <v>18.970816299999999</v>
      </c>
      <c r="C2088" s="184">
        <v>-97.355254990000006</v>
      </c>
    </row>
    <row r="2089" spans="1:3">
      <c r="A2089" s="184" t="s">
        <v>5886</v>
      </c>
      <c r="B2089" s="184">
        <v>18.981649440000002</v>
      </c>
      <c r="C2089" s="184">
        <v>-97.355172159999995</v>
      </c>
    </row>
    <row r="2090" spans="1:3">
      <c r="A2090" s="184" t="s">
        <v>5890</v>
      </c>
      <c r="B2090" s="184">
        <v>18.01759174</v>
      </c>
      <c r="C2090" s="184">
        <v>-98.702025469999995</v>
      </c>
    </row>
    <row r="2091" spans="1:3">
      <c r="A2091" s="184" t="s">
        <v>5894</v>
      </c>
      <c r="B2091" s="184">
        <v>19.521123190000001</v>
      </c>
      <c r="C2091" s="184">
        <v>-97.671722610000003</v>
      </c>
    </row>
    <row r="2092" spans="1:3">
      <c r="A2092" s="184" t="s">
        <v>5896</v>
      </c>
      <c r="B2092" s="184">
        <v>18.984166819999999</v>
      </c>
      <c r="C2092" s="184">
        <v>-98.275460080000002</v>
      </c>
    </row>
    <row r="2093" spans="1:3">
      <c r="A2093" s="184" t="s">
        <v>5898</v>
      </c>
      <c r="B2093" s="184">
        <v>18.894573279999999</v>
      </c>
      <c r="C2093" s="184">
        <v>-97.658328049999994</v>
      </c>
    </row>
    <row r="2094" spans="1:3">
      <c r="A2094" s="184" t="s">
        <v>5900</v>
      </c>
      <c r="B2094" s="184">
        <v>19.053614069999998</v>
      </c>
      <c r="C2094" s="184">
        <v>-98.346417639999999</v>
      </c>
    </row>
    <row r="2095" spans="1:3">
      <c r="A2095" s="184" t="s">
        <v>5903</v>
      </c>
      <c r="B2095" s="184">
        <v>18.063203170000001</v>
      </c>
      <c r="C2095" s="184">
        <v>-98.080364939999995</v>
      </c>
    </row>
    <row r="2096" spans="1:3">
      <c r="A2096" s="184" t="s">
        <v>5906</v>
      </c>
      <c r="B2096" s="184">
        <v>19.076161389999999</v>
      </c>
      <c r="C2096" s="184">
        <v>-97.601373839999994</v>
      </c>
    </row>
    <row r="2097" spans="1:3">
      <c r="A2097" s="184" t="s">
        <v>5910</v>
      </c>
      <c r="B2097" s="184">
        <v>18.434996649999999</v>
      </c>
      <c r="C2097" s="184">
        <v>-97.408116849999999</v>
      </c>
    </row>
    <row r="2098" spans="1:3">
      <c r="A2098" s="184" t="s">
        <v>5913</v>
      </c>
      <c r="B2098" s="184">
        <v>19.053614750000001</v>
      </c>
      <c r="C2098" s="184">
        <v>-97.353669969999999</v>
      </c>
    </row>
    <row r="2099" spans="1:3">
      <c r="A2099" s="184" t="s">
        <v>5916</v>
      </c>
      <c r="B2099" s="184">
        <v>18.676623559999999</v>
      </c>
      <c r="C2099" s="184">
        <v>-97.605813650000002</v>
      </c>
    </row>
    <row r="2100" spans="1:3">
      <c r="A2100" s="184" t="s">
        <v>5919</v>
      </c>
      <c r="B2100" s="184">
        <v>17.978333200000002</v>
      </c>
      <c r="C2100" s="184">
        <v>-98.386388800000006</v>
      </c>
    </row>
    <row r="2101" spans="1:3">
      <c r="A2101" s="184" t="s">
        <v>5923</v>
      </c>
      <c r="B2101" s="184">
        <v>18.502187589999998</v>
      </c>
      <c r="C2101" s="184">
        <v>-97.430334040000005</v>
      </c>
    </row>
    <row r="2102" spans="1:3">
      <c r="A2102" s="184" t="s">
        <v>5926</v>
      </c>
      <c r="B2102" s="184">
        <v>18.905327920000001</v>
      </c>
      <c r="C2102" s="184">
        <v>-98.373206210000006</v>
      </c>
    </row>
    <row r="2103" spans="1:3">
      <c r="A2103" s="184" t="s">
        <v>5929</v>
      </c>
      <c r="B2103" s="184">
        <v>18.961754549999998</v>
      </c>
      <c r="C2103" s="184">
        <v>-98.245398629999997</v>
      </c>
    </row>
    <row r="2104" spans="1:3">
      <c r="A2104" s="184" t="s">
        <v>5931</v>
      </c>
      <c r="B2104" s="184">
        <v>19.0698495</v>
      </c>
      <c r="C2104" s="184">
        <v>-97.451975169999997</v>
      </c>
    </row>
    <row r="2105" spans="1:3">
      <c r="A2105" s="184" t="s">
        <v>5934</v>
      </c>
      <c r="B2105" s="184">
        <v>19.909893610000001</v>
      </c>
      <c r="C2105" s="184">
        <v>-98.178118350000005</v>
      </c>
    </row>
    <row r="2106" spans="1:3">
      <c r="A2106" s="184" t="s">
        <v>5936</v>
      </c>
      <c r="B2106" s="184">
        <v>18.98775741</v>
      </c>
      <c r="C2106" s="184">
        <v>-98.320537860000002</v>
      </c>
    </row>
    <row r="2107" spans="1:3">
      <c r="A2107" s="184" t="s">
        <v>5940</v>
      </c>
      <c r="B2107" s="184">
        <v>18.504065369999999</v>
      </c>
      <c r="C2107" s="184">
        <v>-97.400468599999996</v>
      </c>
    </row>
    <row r="2108" spans="1:3">
      <c r="A2108" s="184" t="s">
        <v>5942</v>
      </c>
      <c r="B2108" s="184">
        <v>19.076927489999999</v>
      </c>
      <c r="C2108" s="184">
        <v>-97.945960139999997</v>
      </c>
    </row>
    <row r="2109" spans="1:3">
      <c r="A2109" s="184" t="s">
        <v>5945</v>
      </c>
      <c r="B2109" s="184">
        <v>19.047583629999998</v>
      </c>
      <c r="C2109" s="184">
        <v>-98.331489000000005</v>
      </c>
    </row>
    <row r="2110" spans="1:3">
      <c r="A2110" s="184" t="s">
        <v>5948</v>
      </c>
      <c r="B2110" s="184">
        <v>18.93584354</v>
      </c>
      <c r="C2110" s="184">
        <v>-98.399452060000002</v>
      </c>
    </row>
    <row r="2111" spans="1:3">
      <c r="A2111" s="184" t="s">
        <v>5951</v>
      </c>
      <c r="B2111" s="184">
        <v>19.93498949</v>
      </c>
      <c r="C2111" s="184">
        <v>-98.210337050000007</v>
      </c>
    </row>
    <row r="2112" spans="1:3">
      <c r="A2112" s="184" t="s">
        <v>5954</v>
      </c>
      <c r="B2112" s="184">
        <v>19.893781329999999</v>
      </c>
      <c r="C2112" s="184">
        <v>-98.137754830000006</v>
      </c>
    </row>
    <row r="2113" spans="1:3">
      <c r="A2113" s="184" t="s">
        <v>5957</v>
      </c>
      <c r="B2113" s="184">
        <v>19.714558910000001</v>
      </c>
      <c r="C2113" s="184">
        <v>-98.184609300000005</v>
      </c>
    </row>
    <row r="2114" spans="1:3">
      <c r="A2114" s="184" t="s">
        <v>5960</v>
      </c>
      <c r="B2114" s="184">
        <v>20.002080530000001</v>
      </c>
      <c r="C2114" s="184">
        <v>-97.794670229999994</v>
      </c>
    </row>
    <row r="2115" spans="1:3">
      <c r="A2115" s="184" t="s">
        <v>5963</v>
      </c>
      <c r="B2115" s="184">
        <v>18.909773319999999</v>
      </c>
      <c r="C2115" s="184">
        <v>-98.468258879999993</v>
      </c>
    </row>
    <row r="2116" spans="1:3">
      <c r="A2116" s="184" t="s">
        <v>5966</v>
      </c>
      <c r="B2116" s="184">
        <v>19.692207740000001</v>
      </c>
      <c r="C2116" s="184">
        <v>-98.017506940000004</v>
      </c>
    </row>
    <row r="2117" spans="1:3">
      <c r="A2117" s="184" t="s">
        <v>5969</v>
      </c>
      <c r="B2117" s="184">
        <v>18.83336847</v>
      </c>
      <c r="C2117" s="184">
        <v>-98.454537490000007</v>
      </c>
    </row>
    <row r="2118" spans="1:3">
      <c r="A2118" s="184" t="s">
        <v>5972</v>
      </c>
      <c r="B2118" s="184">
        <v>18.894313799999999</v>
      </c>
      <c r="C2118" s="184">
        <v>-98.514576730000002</v>
      </c>
    </row>
    <row r="2119" spans="1:3">
      <c r="A2119" s="184" t="s">
        <v>5975</v>
      </c>
      <c r="B2119" s="184">
        <v>18.949746810000001</v>
      </c>
      <c r="C2119" s="184">
        <v>-98.54138657</v>
      </c>
    </row>
    <row r="2120" spans="1:3">
      <c r="A2120" s="184" t="s">
        <v>5978</v>
      </c>
      <c r="B2120" s="184">
        <v>19.101591490000001</v>
      </c>
      <c r="C2120" s="184">
        <v>-98.478406649999997</v>
      </c>
    </row>
    <row r="2121" spans="1:3">
      <c r="A2121" s="184" t="s">
        <v>5981</v>
      </c>
      <c r="B2121" s="184">
        <v>19.130851589999999</v>
      </c>
      <c r="C2121" s="184">
        <v>-98.308268279999993</v>
      </c>
    </row>
    <row r="2122" spans="1:3">
      <c r="A2122" s="184" t="s">
        <v>5984</v>
      </c>
      <c r="B2122" s="184">
        <v>19.101549380000002</v>
      </c>
      <c r="C2122" s="184">
        <v>-98.258791059999993</v>
      </c>
    </row>
    <row r="2123" spans="1:3">
      <c r="A2123" s="184" t="s">
        <v>5988</v>
      </c>
      <c r="B2123" s="184">
        <v>19.145272599999998</v>
      </c>
      <c r="C2123" s="184">
        <v>-98.228427890000006</v>
      </c>
    </row>
    <row r="2124" spans="1:3">
      <c r="A2124" s="184" t="s">
        <v>5991</v>
      </c>
      <c r="B2124" s="184">
        <v>19.057922789999999</v>
      </c>
      <c r="C2124" s="184">
        <v>-98.248702280000003</v>
      </c>
    </row>
    <row r="2125" spans="1:3">
      <c r="A2125" s="184" t="s">
        <v>5993</v>
      </c>
      <c r="B2125" s="184">
        <v>19.142398920000002</v>
      </c>
      <c r="C2125" s="184">
        <v>-98.453527510000001</v>
      </c>
    </row>
    <row r="2126" spans="1:3">
      <c r="A2126" s="184" t="s">
        <v>5995</v>
      </c>
      <c r="B2126" s="184">
        <v>19.15860627</v>
      </c>
      <c r="C2126" s="184">
        <v>-98.440859309999993</v>
      </c>
    </row>
    <row r="2127" spans="1:3">
      <c r="A2127" s="184" t="s">
        <v>5999</v>
      </c>
      <c r="B2127" s="184">
        <v>19.110971790000001</v>
      </c>
      <c r="C2127" s="184">
        <v>-98.331171080000004</v>
      </c>
    </row>
    <row r="2128" spans="1:3">
      <c r="A2128" s="184" t="s">
        <v>6002</v>
      </c>
      <c r="B2128" s="184">
        <v>18.9770459</v>
      </c>
      <c r="C2128" s="184">
        <v>-98.302370969999998</v>
      </c>
    </row>
    <row r="2129" spans="1:3">
      <c r="A2129" s="184" t="s">
        <v>6005</v>
      </c>
      <c r="B2129" s="184">
        <v>18.94811752</v>
      </c>
      <c r="C2129" s="184">
        <v>-98.301582780000004</v>
      </c>
    </row>
    <row r="2130" spans="1:3">
      <c r="A2130" s="184" t="s">
        <v>6008</v>
      </c>
      <c r="B2130" s="184">
        <v>18.989220079999999</v>
      </c>
      <c r="C2130" s="184">
        <v>-98.333591889999994</v>
      </c>
    </row>
    <row r="2131" spans="1:3">
      <c r="A2131" s="184" t="s">
        <v>6011</v>
      </c>
      <c r="B2131" s="184">
        <v>18.980204390000001</v>
      </c>
      <c r="C2131" s="184">
        <v>-98.248967089999994</v>
      </c>
    </row>
    <row r="2132" spans="1:3">
      <c r="A2132" s="184" t="s">
        <v>6013</v>
      </c>
      <c r="B2132" s="184">
        <v>19.09806318</v>
      </c>
      <c r="C2132" s="184">
        <v>-98.162078190000003</v>
      </c>
    </row>
    <row r="2133" spans="1:3">
      <c r="A2133" s="184" t="s">
        <v>6016</v>
      </c>
      <c r="B2133" s="184">
        <v>19.09117255</v>
      </c>
      <c r="C2133" s="184">
        <v>-98.214933430000002</v>
      </c>
    </row>
    <row r="2134" spans="1:3">
      <c r="A2134" s="184" t="s">
        <v>6019</v>
      </c>
      <c r="B2134" s="184">
        <v>19.093020580000001</v>
      </c>
      <c r="C2134" s="184">
        <v>-98.066431170000001</v>
      </c>
    </row>
    <row r="2135" spans="1:3">
      <c r="A2135" s="184" t="s">
        <v>6022</v>
      </c>
      <c r="B2135" s="184">
        <v>19.00013732</v>
      </c>
      <c r="C2135" s="184">
        <v>-98.235626800000006</v>
      </c>
    </row>
    <row r="2136" spans="1:3">
      <c r="A2136" s="184" t="s">
        <v>6025</v>
      </c>
      <c r="B2136" s="184">
        <v>19.026116089999999</v>
      </c>
      <c r="C2136" s="184">
        <v>-98.306909439999998</v>
      </c>
    </row>
    <row r="2137" spans="1:3">
      <c r="A2137" s="184" t="s">
        <v>6028</v>
      </c>
      <c r="B2137" s="184">
        <v>19.002619060000001</v>
      </c>
      <c r="C2137" s="184">
        <v>-98.299786879999999</v>
      </c>
    </row>
    <row r="2138" spans="1:3">
      <c r="A2138" s="184" t="s">
        <v>6030</v>
      </c>
      <c r="B2138" s="184">
        <v>19.03852058</v>
      </c>
      <c r="C2138" s="184">
        <v>-98.313728519999998</v>
      </c>
    </row>
    <row r="2139" spans="1:3">
      <c r="A2139" s="184" t="s">
        <v>6033</v>
      </c>
      <c r="B2139" s="184">
        <v>19.016078870000001</v>
      </c>
      <c r="C2139" s="184">
        <v>-98.343851900000004</v>
      </c>
    </row>
    <row r="2140" spans="1:3">
      <c r="A2140" s="184" t="s">
        <v>6036</v>
      </c>
      <c r="B2140" s="184">
        <v>19.303805149999999</v>
      </c>
      <c r="C2140" s="184">
        <v>-98.456888570000004</v>
      </c>
    </row>
    <row r="2141" spans="1:3">
      <c r="A2141" s="184" t="s">
        <v>6039</v>
      </c>
      <c r="B2141" s="184">
        <v>18.40142221</v>
      </c>
      <c r="C2141" s="184">
        <v>-97.736394669999996</v>
      </c>
    </row>
    <row r="2142" spans="1:3">
      <c r="A2142" s="184" t="s">
        <v>6042</v>
      </c>
      <c r="B2142" s="184">
        <v>19.084807290000001</v>
      </c>
      <c r="C2142" s="184">
        <v>-98.318329210000002</v>
      </c>
    </row>
    <row r="2143" spans="1:3">
      <c r="A2143" s="184" t="s">
        <v>6045</v>
      </c>
      <c r="B2143" s="184">
        <v>18.353425049999998</v>
      </c>
      <c r="C2143" s="184">
        <v>-97.732820219999994</v>
      </c>
    </row>
    <row r="2144" spans="1:3">
      <c r="A2144" s="184" t="s">
        <v>6048</v>
      </c>
      <c r="B2144" s="184">
        <v>19.096750149999998</v>
      </c>
      <c r="C2144" s="184">
        <v>-98.351612160000002</v>
      </c>
    </row>
    <row r="2145" spans="1:3">
      <c r="A2145" s="184" t="s">
        <v>6051</v>
      </c>
      <c r="B2145" s="184">
        <v>19.052394039999999</v>
      </c>
      <c r="C2145" s="184">
        <v>-98.35028346</v>
      </c>
    </row>
    <row r="2146" spans="1:3">
      <c r="A2146" s="184" t="s">
        <v>6053</v>
      </c>
      <c r="B2146" s="184">
        <v>18.184334589999999</v>
      </c>
      <c r="C2146" s="184">
        <v>-97.481260289999994</v>
      </c>
    </row>
    <row r="2147" spans="1:3">
      <c r="A2147" s="184" t="s">
        <v>6056</v>
      </c>
      <c r="B2147" s="184">
        <v>18.22646919</v>
      </c>
      <c r="C2147" s="184">
        <v>-97.580000659999996</v>
      </c>
    </row>
    <row r="2148" spans="1:3">
      <c r="A2148" s="184" t="s">
        <v>6059</v>
      </c>
      <c r="B2148" s="184">
        <v>18.187737689999999</v>
      </c>
      <c r="C2148" s="184">
        <v>-97.425222460000001</v>
      </c>
    </row>
    <row r="2149" spans="1:3">
      <c r="A2149" s="184" t="s">
        <v>6062</v>
      </c>
      <c r="B2149" s="184">
        <v>18.888434289999999</v>
      </c>
      <c r="C2149" s="184">
        <v>-97.860535560000002</v>
      </c>
    </row>
    <row r="2150" spans="1:3">
      <c r="A2150" s="184" t="s">
        <v>6065</v>
      </c>
      <c r="B2150" s="184">
        <v>18.797033129999999</v>
      </c>
      <c r="C2150" s="184">
        <v>-97.763359469999997</v>
      </c>
    </row>
    <row r="2151" spans="1:3">
      <c r="A2151" s="184" t="s">
        <v>6069</v>
      </c>
      <c r="B2151" s="184">
        <v>18.891008889999998</v>
      </c>
      <c r="C2151" s="184">
        <v>-97.755871580000004</v>
      </c>
    </row>
    <row r="2152" spans="1:3">
      <c r="A2152" s="184" t="s">
        <v>6072</v>
      </c>
      <c r="B2152" s="184">
        <v>18.920631319999998</v>
      </c>
      <c r="C2152" s="184">
        <v>-97.733579879999994</v>
      </c>
    </row>
    <row r="2153" spans="1:3">
      <c r="A2153" s="184" t="s">
        <v>6075</v>
      </c>
      <c r="B2153" s="184">
        <v>18.880714489999999</v>
      </c>
      <c r="C2153" s="184">
        <v>-97.78242084</v>
      </c>
    </row>
    <row r="2154" spans="1:3">
      <c r="A2154" s="184" t="s">
        <v>6077</v>
      </c>
      <c r="B2154" s="184">
        <v>18.846174380000001</v>
      </c>
      <c r="C2154" s="184">
        <v>-97.706712659999994</v>
      </c>
    </row>
    <row r="2155" spans="1:3">
      <c r="A2155" s="184" t="s">
        <v>6079</v>
      </c>
      <c r="B2155" s="184">
        <v>18.78410135</v>
      </c>
      <c r="C2155" s="184">
        <v>-97.406341560000001</v>
      </c>
    </row>
    <row r="2156" spans="1:3">
      <c r="A2156" s="184" t="s">
        <v>6081</v>
      </c>
      <c r="B2156" s="184">
        <v>18.79585526</v>
      </c>
      <c r="C2156" s="184">
        <v>-97.413675069999996</v>
      </c>
    </row>
    <row r="2157" spans="1:3">
      <c r="A2157" s="184" t="s">
        <v>6083</v>
      </c>
      <c r="B2157" s="184">
        <v>18.84824514</v>
      </c>
      <c r="C2157" s="184">
        <v>-97.46468788</v>
      </c>
    </row>
    <row r="2158" spans="1:3">
      <c r="A2158" s="184" t="s">
        <v>6085</v>
      </c>
      <c r="B2158" s="184">
        <v>18.870919270000002</v>
      </c>
      <c r="C2158" s="184">
        <v>-97.609083620000007</v>
      </c>
    </row>
    <row r="2159" spans="1:3">
      <c r="A2159" s="184" t="s">
        <v>6088</v>
      </c>
      <c r="B2159" s="184">
        <v>18.865265170000001</v>
      </c>
      <c r="C2159" s="184">
        <v>-97.713644579999993</v>
      </c>
    </row>
    <row r="2160" spans="1:3">
      <c r="A2160" s="184" t="s">
        <v>6091</v>
      </c>
      <c r="B2160" s="184">
        <v>18.839963040000001</v>
      </c>
      <c r="C2160" s="184">
        <v>-97.726415689999996</v>
      </c>
    </row>
    <row r="2161" spans="1:3">
      <c r="A2161" s="184" t="s">
        <v>6093</v>
      </c>
      <c r="B2161" s="184">
        <v>18.435135209999999</v>
      </c>
      <c r="C2161" s="184">
        <v>-97.408161239999998</v>
      </c>
    </row>
    <row r="2162" spans="1:3">
      <c r="A2162" s="184" t="s">
        <v>6095</v>
      </c>
      <c r="B2162" s="184">
        <v>18.440722999999998</v>
      </c>
      <c r="C2162" s="184">
        <v>-97.369538370000001</v>
      </c>
    </row>
    <row r="2163" spans="1:3">
      <c r="A2163" s="184" t="s">
        <v>6098</v>
      </c>
      <c r="B2163" s="184">
        <v>18.489259220000001</v>
      </c>
      <c r="C2163" s="184">
        <v>-97.407632789999994</v>
      </c>
    </row>
    <row r="2164" spans="1:3">
      <c r="A2164" s="184" t="s">
        <v>6100</v>
      </c>
      <c r="B2164" s="184">
        <v>18.471926530000001</v>
      </c>
      <c r="C2164" s="184">
        <v>-97.380079859999995</v>
      </c>
    </row>
    <row r="2165" spans="1:3">
      <c r="A2165" s="184" t="s">
        <v>6103</v>
      </c>
      <c r="B2165" s="184">
        <v>18.380238980000001</v>
      </c>
      <c r="C2165" s="184">
        <v>-97.582615709999999</v>
      </c>
    </row>
    <row r="2166" spans="1:3">
      <c r="A2166" s="184" t="s">
        <v>6106</v>
      </c>
      <c r="B2166" s="184">
        <v>18.406780820000002</v>
      </c>
      <c r="C2166" s="184">
        <v>-97.326994859999999</v>
      </c>
    </row>
    <row r="2167" spans="1:3">
      <c r="A2167" s="184" t="s">
        <v>6109</v>
      </c>
      <c r="B2167" s="184">
        <v>18.48019605</v>
      </c>
      <c r="C2167" s="184">
        <v>-97.387615909999994</v>
      </c>
    </row>
    <row r="2168" spans="1:3">
      <c r="A2168" s="184" t="s">
        <v>6111</v>
      </c>
      <c r="B2168" s="184">
        <v>18.475328300000001</v>
      </c>
      <c r="C2168" s="184">
        <v>-97.430223319999996</v>
      </c>
    </row>
    <row r="2169" spans="1:3">
      <c r="A2169" s="184" t="s">
        <v>6114</v>
      </c>
      <c r="B2169" s="184">
        <v>18.493055399999999</v>
      </c>
      <c r="C2169" s="184">
        <v>-97.464401480000006</v>
      </c>
    </row>
    <row r="2170" spans="1:3">
      <c r="A2170" s="184" t="s">
        <v>6118</v>
      </c>
      <c r="B2170" s="184">
        <v>18.587272030000001</v>
      </c>
      <c r="C2170" s="184">
        <v>-97.588641949999996</v>
      </c>
    </row>
    <row r="2171" spans="1:3">
      <c r="A2171" s="184" t="s">
        <v>6121</v>
      </c>
      <c r="B2171" s="184">
        <v>18.4874422</v>
      </c>
      <c r="C2171" s="184">
        <v>-97.52244503</v>
      </c>
    </row>
    <row r="2172" spans="1:3">
      <c r="A2172" s="184" t="s">
        <v>6124</v>
      </c>
      <c r="B2172" s="184">
        <v>18.935861360000001</v>
      </c>
      <c r="C2172" s="184">
        <v>-98.042585729999999</v>
      </c>
    </row>
    <row r="2173" spans="1:3">
      <c r="A2173" s="184" t="s">
        <v>6127</v>
      </c>
      <c r="B2173" s="184">
        <v>18.606886599999999</v>
      </c>
      <c r="C2173" s="184">
        <v>-97.659196840000007</v>
      </c>
    </row>
    <row r="2174" spans="1:3">
      <c r="A2174" s="184" t="s">
        <v>6130</v>
      </c>
      <c r="B2174" s="184">
        <v>18.854484830000001</v>
      </c>
      <c r="C2174" s="184">
        <v>-97.862900920000001</v>
      </c>
    </row>
    <row r="2175" spans="1:3">
      <c r="A2175" s="184" t="s">
        <v>6134</v>
      </c>
      <c r="B2175" s="184">
        <v>18.888563080000001</v>
      </c>
      <c r="C2175" s="184">
        <v>-97.817316390000002</v>
      </c>
    </row>
    <row r="2176" spans="1:3">
      <c r="A2176" s="184" t="s">
        <v>6137</v>
      </c>
      <c r="B2176" s="184">
        <v>18.796964920000001</v>
      </c>
      <c r="C2176" s="184">
        <v>-97.665181099999998</v>
      </c>
    </row>
    <row r="2177" spans="1:3">
      <c r="A2177" s="184" t="s">
        <v>6141</v>
      </c>
      <c r="B2177" s="184">
        <v>18.765242749999999</v>
      </c>
      <c r="C2177" s="184">
        <v>-97.701842819999996</v>
      </c>
    </row>
    <row r="2178" spans="1:3">
      <c r="A2178" s="184" t="s">
        <v>6144</v>
      </c>
      <c r="B2178" s="184">
        <v>18.158044830000001</v>
      </c>
      <c r="C2178" s="184">
        <v>-97.585759170000003</v>
      </c>
    </row>
    <row r="2179" spans="1:3">
      <c r="A2179" s="184" t="s">
        <v>6148</v>
      </c>
      <c r="B2179" s="184">
        <v>19.05666368</v>
      </c>
      <c r="C2179" s="184">
        <v>-97.990910170000006</v>
      </c>
    </row>
    <row r="2180" spans="1:3">
      <c r="A2180" s="184" t="s">
        <v>6151</v>
      </c>
      <c r="B2180" s="184">
        <v>19.06109103</v>
      </c>
      <c r="C2180" s="184">
        <v>-97.715780870000003</v>
      </c>
    </row>
    <row r="2181" spans="1:3">
      <c r="A2181" s="184" t="s">
        <v>6154</v>
      </c>
      <c r="B2181" s="184">
        <v>19.058520000000001</v>
      </c>
      <c r="C2181" s="184">
        <v>-98.045750999999996</v>
      </c>
    </row>
    <row r="2182" spans="1:3">
      <c r="A2182" s="184" t="s">
        <v>6157</v>
      </c>
      <c r="B2182" s="184">
        <v>18.913114929999999</v>
      </c>
      <c r="C2182" s="184">
        <v>-97.81811519</v>
      </c>
    </row>
    <row r="2183" spans="1:3">
      <c r="A2183" s="184" t="s">
        <v>6160</v>
      </c>
      <c r="B2183" s="184">
        <v>18.914364280000001</v>
      </c>
      <c r="C2183" s="184">
        <v>-97.823878919999999</v>
      </c>
    </row>
    <row r="2184" spans="1:3">
      <c r="A2184" s="184" t="s">
        <v>6161</v>
      </c>
      <c r="B2184" s="184">
        <v>18.95586462</v>
      </c>
      <c r="C2184" s="184">
        <v>-98.024198510000005</v>
      </c>
    </row>
    <row r="2185" spans="1:3">
      <c r="A2185" s="184" t="s">
        <v>6163</v>
      </c>
      <c r="B2185" s="184">
        <v>18.900320919999999</v>
      </c>
      <c r="C2185" s="184">
        <v>-97.43367533</v>
      </c>
    </row>
    <row r="2186" spans="1:3">
      <c r="A2186" s="184" t="s">
        <v>6166</v>
      </c>
      <c r="B2186" s="184">
        <v>18.997589019999999</v>
      </c>
      <c r="C2186" s="184">
        <v>-97.415221740000007</v>
      </c>
    </row>
    <row r="2187" spans="1:3">
      <c r="A2187" s="184" t="s">
        <v>6169</v>
      </c>
      <c r="B2187" s="184">
        <v>19.065588640000001</v>
      </c>
      <c r="C2187" s="184">
        <v>-97.45603423</v>
      </c>
    </row>
    <row r="2188" spans="1:3">
      <c r="A2188" s="184" t="s">
        <v>6171</v>
      </c>
      <c r="B2188" s="184">
        <v>18.957214239999999</v>
      </c>
      <c r="C2188" s="184">
        <v>-97.473007249999995</v>
      </c>
    </row>
    <row r="2189" spans="1:3">
      <c r="A2189" s="184" t="s">
        <v>6173</v>
      </c>
      <c r="B2189" s="184">
        <v>19.007739569999998</v>
      </c>
      <c r="C2189" s="184">
        <v>-97.681229290000005</v>
      </c>
    </row>
    <row r="2190" spans="1:3">
      <c r="A2190" s="184" t="s">
        <v>6176</v>
      </c>
      <c r="B2190" s="184">
        <v>19.489074129999999</v>
      </c>
      <c r="C2190" s="184">
        <v>-97.673945750000001</v>
      </c>
    </row>
    <row r="2191" spans="1:3">
      <c r="A2191" s="184" t="s">
        <v>6179</v>
      </c>
      <c r="B2191" s="184">
        <v>19.37681998</v>
      </c>
      <c r="C2191" s="184">
        <v>-97.625716299999993</v>
      </c>
    </row>
    <row r="2192" spans="1:3">
      <c r="A2192" s="184" t="s">
        <v>6182</v>
      </c>
      <c r="B2192" s="184">
        <v>18.9533053</v>
      </c>
      <c r="C2192" s="184">
        <v>-97.661540160000001</v>
      </c>
    </row>
    <row r="2193" spans="1:3">
      <c r="A2193" s="184" t="s">
        <v>6184</v>
      </c>
      <c r="B2193" s="184">
        <v>19.263860869999998</v>
      </c>
      <c r="C2193" s="184">
        <v>-97.829141770000007</v>
      </c>
    </row>
    <row r="2194" spans="1:3">
      <c r="A2194" s="184" t="s">
        <v>6187</v>
      </c>
      <c r="B2194" s="184">
        <v>18.94744528</v>
      </c>
      <c r="C2194" s="184">
        <v>-97.801074940000007</v>
      </c>
    </row>
    <row r="2195" spans="1:3">
      <c r="A2195" s="184" t="s">
        <v>6189</v>
      </c>
      <c r="B2195" s="184">
        <v>18.943386220000001</v>
      </c>
      <c r="C2195" s="184">
        <v>-97.827596630000002</v>
      </c>
    </row>
    <row r="2196" spans="1:3">
      <c r="A2196" s="184" t="s">
        <v>6192</v>
      </c>
      <c r="B2196" s="184">
        <v>19.309024340000001</v>
      </c>
      <c r="C2196" s="184">
        <v>-97.511361769999993</v>
      </c>
    </row>
    <row r="2197" spans="1:3">
      <c r="A2197" s="184" t="s">
        <v>6195</v>
      </c>
      <c r="B2197" s="184">
        <v>19.070610599999998</v>
      </c>
      <c r="C2197" s="184">
        <v>-97.611285559999999</v>
      </c>
    </row>
    <row r="2198" spans="1:3">
      <c r="A2198" s="184" t="s">
        <v>6197</v>
      </c>
      <c r="B2198" s="184">
        <v>19.000449549999999</v>
      </c>
      <c r="C2198" s="184">
        <v>-97.93452327</v>
      </c>
    </row>
    <row r="2199" spans="1:3">
      <c r="A2199" s="184" t="s">
        <v>6199</v>
      </c>
      <c r="B2199" s="184">
        <v>19.43183926</v>
      </c>
      <c r="C2199" s="184">
        <v>-97.558476400000004</v>
      </c>
    </row>
    <row r="2200" spans="1:3">
      <c r="A2200" s="184" t="s">
        <v>6201</v>
      </c>
      <c r="B2200" s="184">
        <v>19.062243420000001</v>
      </c>
      <c r="C2200" s="184">
        <v>-98.168061230000006</v>
      </c>
    </row>
    <row r="2201" spans="1:3">
      <c r="A2201" s="184" t="s">
        <v>6203</v>
      </c>
      <c r="B2201" s="184">
        <v>18.206298919999998</v>
      </c>
      <c r="C2201" s="184">
        <v>-98.806876829999993</v>
      </c>
    </row>
    <row r="2202" spans="1:3">
      <c r="A2202" s="184" t="s">
        <v>6207</v>
      </c>
      <c r="B2202" s="184">
        <v>18.210418189999999</v>
      </c>
      <c r="C2202" s="184">
        <v>-98.802765280000003</v>
      </c>
    </row>
    <row r="2203" spans="1:3">
      <c r="A2203" s="184" t="s">
        <v>6209</v>
      </c>
      <c r="B2203" s="184">
        <v>19.14300218</v>
      </c>
      <c r="C2203" s="184">
        <v>-97.40053365</v>
      </c>
    </row>
    <row r="2204" spans="1:3">
      <c r="A2204" s="184" t="s">
        <v>6211</v>
      </c>
      <c r="B2204" s="184">
        <v>18.237284219999999</v>
      </c>
      <c r="C2204" s="184">
        <v>-98.709814499999993</v>
      </c>
    </row>
    <row r="2205" spans="1:3">
      <c r="A2205" s="184" t="s">
        <v>6214</v>
      </c>
      <c r="B2205" s="184">
        <v>18.357192099999999</v>
      </c>
      <c r="C2205" s="184">
        <v>-98.577514410000006</v>
      </c>
    </row>
    <row r="2206" spans="1:3">
      <c r="A2206" s="184" t="s">
        <v>6217</v>
      </c>
      <c r="B2206" s="184">
        <v>18.01812228</v>
      </c>
      <c r="C2206" s="184">
        <v>-98.701950370000006</v>
      </c>
    </row>
    <row r="2207" spans="1:3">
      <c r="A2207" s="184" t="s">
        <v>6218</v>
      </c>
      <c r="B2207" s="184">
        <v>18.42828141</v>
      </c>
      <c r="C2207" s="184">
        <v>-98.701876569999996</v>
      </c>
    </row>
    <row r="2208" spans="1:3">
      <c r="A2208" s="184" t="s">
        <v>6221</v>
      </c>
      <c r="B2208" s="184">
        <v>18.459314840000001</v>
      </c>
      <c r="C2208" s="184">
        <v>-98.635273909999995</v>
      </c>
    </row>
    <row r="2209" spans="1:3">
      <c r="A2209" s="184" t="s">
        <v>6224</v>
      </c>
      <c r="B2209" s="184">
        <v>18.513251950000001</v>
      </c>
      <c r="C2209" s="184">
        <v>-98.575363109999998</v>
      </c>
    </row>
    <row r="2210" spans="1:3">
      <c r="A2210" s="184" t="s">
        <v>6226</v>
      </c>
      <c r="B2210" s="184">
        <v>18.517768879999998</v>
      </c>
      <c r="C2210" s="184">
        <v>-98.333711390000005</v>
      </c>
    </row>
    <row r="2211" spans="1:3">
      <c r="A2211" s="184" t="s">
        <v>6229</v>
      </c>
      <c r="B2211" s="184">
        <v>18.562908029999999</v>
      </c>
      <c r="C2211" s="184">
        <v>-98.472847130000005</v>
      </c>
    </row>
    <row r="2212" spans="1:3">
      <c r="A2212" s="184" t="s">
        <v>6232</v>
      </c>
      <c r="B2212" s="184">
        <v>17.98007041</v>
      </c>
      <c r="C2212" s="184">
        <v>-97.914946380000004</v>
      </c>
    </row>
    <row r="2213" spans="1:3">
      <c r="A2213" s="184" t="s">
        <v>6235</v>
      </c>
      <c r="B2213" s="184">
        <v>18.106397869999999</v>
      </c>
      <c r="C2213" s="184">
        <v>-98.483031929999996</v>
      </c>
    </row>
    <row r="2214" spans="1:3">
      <c r="A2214" s="184" t="s">
        <v>6237</v>
      </c>
      <c r="B2214" s="184">
        <v>18.14485882</v>
      </c>
      <c r="C2214" s="184">
        <v>-98.472946829999998</v>
      </c>
    </row>
    <row r="2215" spans="1:3">
      <c r="A2215" s="184" t="s">
        <v>6240</v>
      </c>
      <c r="B2215" s="184">
        <v>18.246813549999999</v>
      </c>
      <c r="C2215" s="184">
        <v>-98.267273410000001</v>
      </c>
    </row>
    <row r="2216" spans="1:3">
      <c r="A2216" s="184" t="s">
        <v>6243</v>
      </c>
      <c r="B2216" s="184">
        <v>18.156081749999998</v>
      </c>
      <c r="C2216" s="184">
        <v>-98.31157254</v>
      </c>
    </row>
    <row r="2217" spans="1:3">
      <c r="A2217" s="184" t="s">
        <v>6246</v>
      </c>
      <c r="B2217" s="184">
        <v>18.742909640000001</v>
      </c>
      <c r="C2217" s="184">
        <v>-98.0256148</v>
      </c>
    </row>
    <row r="2218" spans="1:3">
      <c r="A2218" s="184" t="s">
        <v>6249</v>
      </c>
      <c r="B2218" s="184">
        <v>17.998938819999999</v>
      </c>
      <c r="C2218" s="184">
        <v>-97.780854219999995</v>
      </c>
    </row>
    <row r="2219" spans="1:3">
      <c r="A2219" s="184" t="s">
        <v>6251</v>
      </c>
      <c r="B2219" s="184">
        <v>19.09637889</v>
      </c>
      <c r="C2219" s="184">
        <v>-98.16399036</v>
      </c>
    </row>
    <row r="2220" spans="1:3">
      <c r="A2220" s="184" t="s">
        <v>6253</v>
      </c>
      <c r="B2220" s="184">
        <v>18.73878715</v>
      </c>
      <c r="C2220" s="184">
        <v>-98.167035119999994</v>
      </c>
    </row>
    <row r="2221" spans="1:3">
      <c r="A2221" s="184" t="s">
        <v>6257</v>
      </c>
      <c r="B2221" s="184">
        <v>18.85258542</v>
      </c>
      <c r="C2221" s="184">
        <v>-97.914266589999997</v>
      </c>
    </row>
    <row r="2222" spans="1:3">
      <c r="A2222" s="184" t="s">
        <v>6261</v>
      </c>
      <c r="B2222" s="184">
        <v>18.323033840000001</v>
      </c>
      <c r="C2222" s="184">
        <v>-98.197702710000002</v>
      </c>
    </row>
    <row r="2223" spans="1:3">
      <c r="A2223" s="184" t="s">
        <v>6265</v>
      </c>
      <c r="B2223" s="184">
        <v>18.6375268</v>
      </c>
      <c r="C2223" s="184">
        <v>-98.630477290000002</v>
      </c>
    </row>
    <row r="2224" spans="1:3">
      <c r="A2224" s="184" t="s">
        <v>6268</v>
      </c>
      <c r="B2224" s="184">
        <v>18.590113209999998</v>
      </c>
      <c r="C2224" s="184">
        <v>-98.554176889999994</v>
      </c>
    </row>
    <row r="2225" spans="1:3">
      <c r="A2225" s="184" t="s">
        <v>6271</v>
      </c>
      <c r="B2225" s="184">
        <v>18.581815070000001</v>
      </c>
      <c r="C2225" s="184">
        <v>-98.511733620000001</v>
      </c>
    </row>
    <row r="2226" spans="1:3">
      <c r="A2226" s="184" t="s">
        <v>6274</v>
      </c>
      <c r="B2226" s="184">
        <v>18.61809611</v>
      </c>
      <c r="C2226" s="184">
        <v>-98.545336329999998</v>
      </c>
    </row>
    <row r="2227" spans="1:3">
      <c r="A2227" s="184" t="s">
        <v>6277</v>
      </c>
      <c r="B2227" s="184">
        <v>18.698997739999999</v>
      </c>
      <c r="C2227" s="184">
        <v>-98.540156620000005</v>
      </c>
    </row>
    <row r="2228" spans="1:3">
      <c r="A2228" s="184" t="s">
        <v>6280</v>
      </c>
      <c r="B2228" s="184">
        <v>18.66526026</v>
      </c>
      <c r="C2228" s="184">
        <v>-98.529237679999994</v>
      </c>
    </row>
    <row r="2229" spans="1:3">
      <c r="A2229" s="184" t="s">
        <v>6283</v>
      </c>
      <c r="B2229" s="184">
        <v>17.912263960000001</v>
      </c>
      <c r="C2229" s="184">
        <v>-98.424042549999996</v>
      </c>
    </row>
    <row r="2230" spans="1:3">
      <c r="A2230" s="184" t="s">
        <v>6286</v>
      </c>
      <c r="B2230" s="184">
        <v>18.06009924</v>
      </c>
      <c r="C2230" s="184">
        <v>-98.522473910000002</v>
      </c>
    </row>
    <row r="2231" spans="1:3">
      <c r="A2231" s="184" t="s">
        <v>6288</v>
      </c>
      <c r="B2231" s="184">
        <v>18.068994289999999</v>
      </c>
      <c r="C2231" s="184">
        <v>-98.666017019999998</v>
      </c>
    </row>
    <row r="2232" spans="1:3">
      <c r="A2232" s="184" t="s">
        <v>6290</v>
      </c>
      <c r="B2232" s="184">
        <v>18.45188581</v>
      </c>
      <c r="C2232" s="184">
        <v>-98.760150109999998</v>
      </c>
    </row>
    <row r="2233" spans="1:3">
      <c r="A2233" s="184" t="s">
        <v>6293</v>
      </c>
      <c r="B2233" s="184">
        <v>18.028039</v>
      </c>
      <c r="C2233" s="184">
        <v>-98.695641820000006</v>
      </c>
    </row>
    <row r="2234" spans="1:3">
      <c r="A2234" s="184" t="s">
        <v>6296</v>
      </c>
      <c r="B2234" s="184">
        <v>17.961943999999999</v>
      </c>
      <c r="C2234" s="184">
        <v>-98.618333000000007</v>
      </c>
    </row>
    <row r="2235" spans="1:3">
      <c r="A2235" s="184" t="s">
        <v>6299</v>
      </c>
      <c r="B2235" s="184">
        <v>19.253631980000002</v>
      </c>
      <c r="C2235" s="184">
        <v>-98.533558529999993</v>
      </c>
    </row>
    <row r="2236" spans="1:3">
      <c r="A2236" s="184" t="s">
        <v>6301</v>
      </c>
      <c r="B2236" s="184">
        <v>18.977436319999999</v>
      </c>
      <c r="C2236" s="184">
        <v>-98.339383789999999</v>
      </c>
    </row>
    <row r="2237" spans="1:3">
      <c r="A2237" s="184" t="s">
        <v>6304</v>
      </c>
      <c r="B2237" s="184">
        <v>19.03990477</v>
      </c>
      <c r="C2237" s="184">
        <v>-98.037584440000003</v>
      </c>
    </row>
    <row r="2238" spans="1:3">
      <c r="A2238" s="184" t="s">
        <v>6306</v>
      </c>
      <c r="B2238" s="184">
        <v>18.01073066</v>
      </c>
      <c r="C2238" s="184">
        <v>-98.539439189999996</v>
      </c>
    </row>
    <row r="2239" spans="1:3">
      <c r="A2239" s="184" t="s">
        <v>6309</v>
      </c>
      <c r="B2239" s="184">
        <v>19.075544449999999</v>
      </c>
      <c r="C2239" s="184">
        <v>-98.191898080000001</v>
      </c>
    </row>
    <row r="2240" spans="1:3">
      <c r="A2240" s="184" t="s">
        <v>6311</v>
      </c>
      <c r="B2240" s="184">
        <v>19.00807425</v>
      </c>
      <c r="C2240" s="184">
        <v>-98.231473730000005</v>
      </c>
    </row>
    <row r="2241" spans="1:3">
      <c r="A2241" s="184" t="s">
        <v>6313</v>
      </c>
      <c r="B2241" s="184">
        <v>18.48043045</v>
      </c>
      <c r="C2241" s="184">
        <v>-98.625929099999993</v>
      </c>
    </row>
    <row r="2242" spans="1:3">
      <c r="A2242" s="184" t="s">
        <v>6316</v>
      </c>
      <c r="B2242" s="184">
        <v>18.883089630000001</v>
      </c>
      <c r="C2242" s="184">
        <v>-98.088488100000006</v>
      </c>
    </row>
    <row r="2243" spans="1:3">
      <c r="A2243" s="184" t="s">
        <v>6319</v>
      </c>
      <c r="B2243" s="184">
        <v>19.746926009999999</v>
      </c>
      <c r="C2243" s="184">
        <v>-98.150298480000004</v>
      </c>
    </row>
    <row r="2244" spans="1:3">
      <c r="A2244" s="184" t="s">
        <v>6322</v>
      </c>
      <c r="B2244" s="184">
        <v>18.60641665</v>
      </c>
      <c r="C2244" s="184">
        <v>-98.476869980000004</v>
      </c>
    </row>
    <row r="2245" spans="1:3">
      <c r="A2245" s="184" t="s">
        <v>6325</v>
      </c>
      <c r="B2245" s="184">
        <v>19.035404199999999</v>
      </c>
      <c r="C2245" s="184">
        <v>-98.075863609999999</v>
      </c>
    </row>
    <row r="2246" spans="1:3">
      <c r="A2246" s="184" t="s">
        <v>6327</v>
      </c>
      <c r="B2246" s="184">
        <v>18.007602689999999</v>
      </c>
      <c r="C2246" s="184">
        <v>-98.236323470000002</v>
      </c>
    </row>
    <row r="2247" spans="1:3">
      <c r="A2247" s="184" t="s">
        <v>6329</v>
      </c>
      <c r="B2247" s="184">
        <v>19.114153829999999</v>
      </c>
      <c r="C2247" s="184">
        <v>-97.316855599999997</v>
      </c>
    </row>
    <row r="2248" spans="1:3">
      <c r="A2248" s="184" t="s">
        <v>6332</v>
      </c>
      <c r="B2248" s="184">
        <v>18.83948234</v>
      </c>
      <c r="C2248" s="184">
        <v>-98.442933389999993</v>
      </c>
    </row>
    <row r="2249" spans="1:3">
      <c r="A2249" s="184" t="s">
        <v>6334</v>
      </c>
      <c r="B2249" s="184">
        <v>18.610395650000001</v>
      </c>
      <c r="C2249" s="184">
        <v>-98.472722059999995</v>
      </c>
    </row>
    <row r="2250" spans="1:3">
      <c r="A2250" s="184" t="s">
        <v>6336</v>
      </c>
      <c r="B2250" s="184">
        <v>19.920251579999999</v>
      </c>
      <c r="C2250" s="184">
        <v>-98.121296799999996</v>
      </c>
    </row>
    <row r="2251" spans="1:3">
      <c r="A2251" s="184" t="s">
        <v>6339</v>
      </c>
      <c r="B2251" s="184">
        <v>19.418423570000002</v>
      </c>
      <c r="C2251" s="184">
        <v>-98.524032109999993</v>
      </c>
    </row>
    <row r="2252" spans="1:3">
      <c r="A2252" s="184" t="s">
        <v>6343</v>
      </c>
      <c r="B2252" s="184">
        <v>19.25169026</v>
      </c>
      <c r="C2252" s="184">
        <v>-98.427770510000002</v>
      </c>
    </row>
    <row r="2253" spans="1:3">
      <c r="A2253" s="184" t="s">
        <v>6346</v>
      </c>
      <c r="B2253" s="184">
        <v>19.036278060000001</v>
      </c>
      <c r="C2253" s="184">
        <v>-98.270330860000001</v>
      </c>
    </row>
    <row r="2254" spans="1:3">
      <c r="A2254" s="184" t="s">
        <v>6348</v>
      </c>
      <c r="B2254" s="184">
        <v>18.572743599999999</v>
      </c>
      <c r="C2254" s="184">
        <v>-98.526324829999993</v>
      </c>
    </row>
    <row r="2255" spans="1:3">
      <c r="A2255" s="184" t="s">
        <v>6350</v>
      </c>
      <c r="B2255" s="184">
        <v>19.593082620000001</v>
      </c>
      <c r="C2255" s="184">
        <v>-97.756796219999998</v>
      </c>
    </row>
    <row r="2256" spans="1:3">
      <c r="A2256" s="184" t="s">
        <v>6352</v>
      </c>
      <c r="B2256" s="184">
        <v>19.070588770000001</v>
      </c>
      <c r="C2256" s="184">
        <v>-98.11743525</v>
      </c>
    </row>
    <row r="2257" spans="1:3">
      <c r="A2257" s="184" t="s">
        <v>6354</v>
      </c>
      <c r="B2257" s="184">
        <v>18.833324149999999</v>
      </c>
      <c r="C2257" s="184">
        <v>-98.308497130000006</v>
      </c>
    </row>
    <row r="2258" spans="1:3">
      <c r="A2258" s="184" t="s">
        <v>6357</v>
      </c>
      <c r="B2258" s="184">
        <v>18.480892430000001</v>
      </c>
      <c r="C2258" s="184">
        <v>-98.178168350000007</v>
      </c>
    </row>
    <row r="2259" spans="1:3">
      <c r="A2259" s="184" t="s">
        <v>6361</v>
      </c>
      <c r="B2259" s="184">
        <v>18.981898919999999</v>
      </c>
      <c r="C2259" s="184">
        <v>-98.32342534</v>
      </c>
    </row>
    <row r="2260" spans="1:3">
      <c r="A2260" s="184" t="s">
        <v>6362</v>
      </c>
      <c r="B2260" s="184">
        <v>19.026875560000001</v>
      </c>
      <c r="C2260" s="184">
        <v>-98.138135700000007</v>
      </c>
    </row>
    <row r="2261" spans="1:3">
      <c r="A2261" s="184" t="s">
        <v>6363</v>
      </c>
      <c r="B2261" s="184">
        <v>19.91053922</v>
      </c>
      <c r="C2261" s="184">
        <v>-98.164160140000007</v>
      </c>
    </row>
    <row r="2262" spans="1:3">
      <c r="A2262" s="184" t="s">
        <v>6366</v>
      </c>
      <c r="B2262" s="184">
        <v>18.30762112</v>
      </c>
      <c r="C2262" s="184">
        <v>-98.60093827</v>
      </c>
    </row>
    <row r="2263" spans="1:3">
      <c r="A2263" s="184" t="s">
        <v>6368</v>
      </c>
      <c r="B2263" s="184">
        <v>18.699158650000001</v>
      </c>
      <c r="C2263" s="184">
        <v>-97.700438000000005</v>
      </c>
    </row>
    <row r="2264" spans="1:3">
      <c r="A2264" s="184" t="s">
        <v>6370</v>
      </c>
      <c r="B2264" s="184">
        <v>19.85167766</v>
      </c>
      <c r="C2264" s="184">
        <v>-98.124055749999997</v>
      </c>
    </row>
    <row r="2265" spans="1:3">
      <c r="A2265" s="184" t="s">
        <v>6372</v>
      </c>
      <c r="B2265" s="184">
        <v>18.725127430000001</v>
      </c>
      <c r="C2265" s="184">
        <v>-98.574709609999999</v>
      </c>
    </row>
    <row r="2266" spans="1:3">
      <c r="A2266" s="184" t="s">
        <v>6374</v>
      </c>
      <c r="B2266" s="184">
        <v>18.39382191</v>
      </c>
      <c r="C2266" s="184">
        <v>-98.01803142</v>
      </c>
    </row>
    <row r="2267" spans="1:3">
      <c r="A2267" s="184" t="s">
        <v>6378</v>
      </c>
      <c r="B2267" s="184">
        <v>19.039341520000001</v>
      </c>
      <c r="C2267" s="184">
        <v>-98.169921160000001</v>
      </c>
    </row>
    <row r="2268" spans="1:3">
      <c r="A2268" s="184" t="s">
        <v>6381</v>
      </c>
      <c r="B2268" s="184">
        <v>19.84799993</v>
      </c>
      <c r="C2268" s="184">
        <v>-98.033138859999994</v>
      </c>
    </row>
    <row r="2269" spans="1:3">
      <c r="A2269" s="184" t="s">
        <v>6383</v>
      </c>
      <c r="B2269" s="184">
        <v>19.14963337</v>
      </c>
      <c r="C2269" s="184">
        <v>-98.438672409999995</v>
      </c>
    </row>
    <row r="2270" spans="1:3">
      <c r="A2270" s="184" t="s">
        <v>6386</v>
      </c>
      <c r="B2270" s="184">
        <v>18.489679089999999</v>
      </c>
      <c r="C2270" s="184">
        <v>-98.633011240000002</v>
      </c>
    </row>
    <row r="2271" spans="1:3">
      <c r="A2271" s="184" t="s">
        <v>6388</v>
      </c>
      <c r="B2271" s="184">
        <v>19.107404030000001</v>
      </c>
      <c r="C2271" s="184">
        <v>-98.438023240000007</v>
      </c>
    </row>
    <row r="2272" spans="1:3">
      <c r="A2272" s="184" t="s">
        <v>6391</v>
      </c>
      <c r="B2272" s="184">
        <v>19.24794254</v>
      </c>
      <c r="C2272" s="184">
        <v>-98.437426459999998</v>
      </c>
    </row>
    <row r="2273" spans="1:3">
      <c r="A2273" s="184" t="s">
        <v>6393</v>
      </c>
      <c r="B2273" s="184">
        <v>17.975717459999998</v>
      </c>
      <c r="C2273" s="184">
        <v>-98.386000499999994</v>
      </c>
    </row>
    <row r="2274" spans="1:3">
      <c r="A2274" s="184" t="s">
        <v>6395</v>
      </c>
      <c r="B2274" s="184">
        <v>19.116665579999999</v>
      </c>
      <c r="C2274" s="184">
        <v>-98.211973610000001</v>
      </c>
    </row>
    <row r="2275" spans="1:3">
      <c r="A2275" s="184" t="s">
        <v>6398</v>
      </c>
      <c r="B2275" s="184">
        <v>19.544601740000001</v>
      </c>
      <c r="C2275" s="184">
        <v>-97.745155440000005</v>
      </c>
    </row>
    <row r="2276" spans="1:3">
      <c r="A2276" s="184" t="s">
        <v>6401</v>
      </c>
      <c r="B2276" s="184">
        <v>19.071307619999999</v>
      </c>
      <c r="C2276" s="184">
        <v>-98.325652550000001</v>
      </c>
    </row>
    <row r="2277" spans="1:3">
      <c r="A2277" s="184" t="s">
        <v>6403</v>
      </c>
      <c r="B2277" s="184">
        <v>18.515320249999998</v>
      </c>
      <c r="C2277" s="184">
        <v>-98.516195300000007</v>
      </c>
    </row>
    <row r="2278" spans="1:3">
      <c r="A2278" s="184" t="s">
        <v>6404</v>
      </c>
      <c r="B2278" s="184">
        <v>18.738340569999998</v>
      </c>
      <c r="C2278" s="184">
        <v>-98.629932580000002</v>
      </c>
    </row>
    <row r="2279" spans="1:3">
      <c r="A2279" s="184" t="s">
        <v>6407</v>
      </c>
      <c r="B2279" s="184">
        <v>18.580854989999999</v>
      </c>
      <c r="C2279" s="184">
        <v>-98.579276859999993</v>
      </c>
    </row>
    <row r="2280" spans="1:3">
      <c r="A2280" s="184" t="s">
        <v>6409</v>
      </c>
      <c r="B2280" s="184">
        <v>18.97269936</v>
      </c>
      <c r="C2280" s="184">
        <v>-97.358355680000003</v>
      </c>
    </row>
    <row r="2281" spans="1:3">
      <c r="A2281" s="184" t="s">
        <v>6410</v>
      </c>
      <c r="B2281" s="184">
        <v>19.194108249999999</v>
      </c>
      <c r="C2281" s="184">
        <v>-98.423946599999994</v>
      </c>
    </row>
    <row r="2282" spans="1:3">
      <c r="A2282" s="184" t="s">
        <v>6412</v>
      </c>
      <c r="B2282" s="184">
        <v>19.757498179999999</v>
      </c>
      <c r="C2282" s="184">
        <v>-98.124248870000002</v>
      </c>
    </row>
    <row r="2283" spans="1:3">
      <c r="A2283" s="184" t="s">
        <v>6414</v>
      </c>
      <c r="B2283" s="184">
        <v>18.915037519999998</v>
      </c>
      <c r="C2283" s="184">
        <v>-98.419568560000002</v>
      </c>
    </row>
    <row r="2284" spans="1:3">
      <c r="A2284" s="184" t="s">
        <v>6416</v>
      </c>
      <c r="B2284" s="184">
        <v>18.30587148</v>
      </c>
      <c r="C2284" s="184">
        <v>-98.321159420000001</v>
      </c>
    </row>
    <row r="2285" spans="1:3">
      <c r="A2285" s="184" t="s">
        <v>6418</v>
      </c>
      <c r="B2285" s="184">
        <v>19.93212505</v>
      </c>
      <c r="C2285" s="184">
        <v>-98.157615550000003</v>
      </c>
    </row>
    <row r="2286" spans="1:3">
      <c r="A2286" s="184" t="s">
        <v>6421</v>
      </c>
      <c r="B2286" s="184">
        <v>19.276969980000001</v>
      </c>
      <c r="C2286" s="184">
        <v>-98.416462319999994</v>
      </c>
    </row>
    <row r="2287" spans="1:3">
      <c r="A2287" s="184" t="s">
        <v>6424</v>
      </c>
      <c r="B2287" s="184">
        <v>19.0637148</v>
      </c>
      <c r="C2287" s="184">
        <v>-98.143139619999999</v>
      </c>
    </row>
    <row r="2288" spans="1:3">
      <c r="A2288" s="184" t="s">
        <v>6425</v>
      </c>
      <c r="B2288" s="184">
        <v>19.370610339999999</v>
      </c>
      <c r="C2288" s="184">
        <v>-98.478053389999999</v>
      </c>
    </row>
    <row r="2289" spans="1:3">
      <c r="A2289" s="184" t="s">
        <v>6427</v>
      </c>
      <c r="B2289" s="184">
        <v>18.866267019999999</v>
      </c>
      <c r="C2289" s="184">
        <v>-98.479464680000007</v>
      </c>
    </row>
    <row r="2290" spans="1:3">
      <c r="A2290" s="184" t="s">
        <v>6428</v>
      </c>
      <c r="B2290" s="184">
        <v>19.882522059999999</v>
      </c>
      <c r="C2290" s="184">
        <v>-98.275834950000004</v>
      </c>
    </row>
    <row r="2291" spans="1:3">
      <c r="A2291" s="184" t="s">
        <v>6431</v>
      </c>
      <c r="B2291" s="184">
        <v>18.591219989999999</v>
      </c>
      <c r="C2291" s="184">
        <v>-98.470202610000001</v>
      </c>
    </row>
    <row r="2292" spans="1:3">
      <c r="A2292" s="184" t="s">
        <v>6432</v>
      </c>
      <c r="B2292" s="184">
        <v>19.092803329999999</v>
      </c>
      <c r="C2292" s="184">
        <v>-98.061842909999996</v>
      </c>
    </row>
    <row r="2293" spans="1:3">
      <c r="A2293" s="184" t="s">
        <v>6435</v>
      </c>
      <c r="B2293" s="184">
        <v>19.1586514</v>
      </c>
      <c r="C2293" s="184">
        <v>-98.440829559999997</v>
      </c>
    </row>
    <row r="2294" spans="1:3">
      <c r="A2294" s="184" t="s">
        <v>6437</v>
      </c>
      <c r="B2294" s="184">
        <v>18.46019682</v>
      </c>
      <c r="C2294" s="184">
        <v>-97.428618400000005</v>
      </c>
    </row>
    <row r="2295" spans="1:3">
      <c r="A2295" s="184" t="s">
        <v>6439</v>
      </c>
      <c r="B2295" s="184">
        <v>18.979007769999999</v>
      </c>
      <c r="C2295" s="184">
        <v>-98.270446609999993</v>
      </c>
    </row>
    <row r="2296" spans="1:3">
      <c r="A2296" s="184" t="s">
        <v>6441</v>
      </c>
      <c r="B2296" s="184">
        <v>19.027228940000001</v>
      </c>
      <c r="C2296" s="184">
        <v>-98.03059107</v>
      </c>
    </row>
    <row r="2297" spans="1:3">
      <c r="A2297" s="184" t="s">
        <v>6443</v>
      </c>
      <c r="B2297" s="184">
        <v>18.93365159</v>
      </c>
      <c r="C2297" s="184">
        <v>-98.103055400000002</v>
      </c>
    </row>
    <row r="2298" spans="1:3">
      <c r="A2298" s="184" t="s">
        <v>6445</v>
      </c>
      <c r="B2298" s="184">
        <v>18.967096340000001</v>
      </c>
      <c r="C2298" s="184">
        <v>-98.276260570000005</v>
      </c>
    </row>
    <row r="2299" spans="1:3">
      <c r="A2299" s="184" t="s">
        <v>6446</v>
      </c>
      <c r="B2299" s="184">
        <v>18.638018590000001</v>
      </c>
      <c r="C2299" s="184">
        <v>-98.633684209999998</v>
      </c>
    </row>
    <row r="2300" spans="1:3">
      <c r="A2300" s="184" t="s">
        <v>6448</v>
      </c>
      <c r="B2300" s="184">
        <v>18.656693350000001</v>
      </c>
      <c r="C2300" s="184">
        <v>-97.668127740000003</v>
      </c>
    </row>
    <row r="2301" spans="1:3">
      <c r="A2301" s="184" t="s">
        <v>6451</v>
      </c>
      <c r="B2301" s="184">
        <v>19.07115581</v>
      </c>
      <c r="C2301" s="184">
        <v>-97.38418978</v>
      </c>
    </row>
    <row r="2302" spans="1:3">
      <c r="A2302" s="184" t="s">
        <v>6453</v>
      </c>
      <c r="B2302" s="184">
        <v>18.79940367</v>
      </c>
      <c r="C2302" s="184">
        <v>-97.736623679999994</v>
      </c>
    </row>
    <row r="2303" spans="1:3">
      <c r="A2303" s="184" t="s">
        <v>6456</v>
      </c>
      <c r="B2303" s="184">
        <v>22.561178550000001</v>
      </c>
      <c r="C2303" s="184">
        <v>-101.0057214</v>
      </c>
    </row>
    <row r="2304" spans="1:3">
      <c r="A2304" s="184" t="s">
        <v>6460</v>
      </c>
      <c r="B2304" s="184">
        <v>21.8187842</v>
      </c>
      <c r="C2304" s="184">
        <v>-101.092651</v>
      </c>
    </row>
    <row r="2305" spans="1:3">
      <c r="A2305" s="184" t="s">
        <v>6464</v>
      </c>
      <c r="B2305" s="184">
        <v>21.7689597</v>
      </c>
      <c r="C2305" s="184">
        <v>-101.0254954</v>
      </c>
    </row>
    <row r="2306" spans="1:3">
      <c r="A2306" s="184" t="s">
        <v>6466</v>
      </c>
      <c r="B2306" s="184">
        <v>21.787715729999999</v>
      </c>
      <c r="C2306" s="184">
        <v>-101.0050019</v>
      </c>
    </row>
    <row r="2307" spans="1:3">
      <c r="A2307" s="184" t="s">
        <v>6469</v>
      </c>
      <c r="B2307" s="184">
        <v>21.83882788</v>
      </c>
      <c r="C2307" s="184">
        <v>-101.1188796</v>
      </c>
    </row>
    <row r="2308" spans="1:3">
      <c r="A2308" s="184" t="s">
        <v>6472</v>
      </c>
      <c r="B2308" s="184">
        <v>22.645002080000001</v>
      </c>
      <c r="C2308" s="184">
        <v>-100.72941520000001</v>
      </c>
    </row>
    <row r="2309" spans="1:3">
      <c r="A2309" s="184" t="s">
        <v>6476</v>
      </c>
      <c r="B2309" s="184">
        <v>22.43861193</v>
      </c>
      <c r="C2309" s="184">
        <v>-100.6538144</v>
      </c>
    </row>
    <row r="2310" spans="1:3">
      <c r="A2310" s="184" t="s">
        <v>6479</v>
      </c>
      <c r="B2310" s="184">
        <v>22.248011399999999</v>
      </c>
      <c r="C2310" s="184">
        <v>-100.86848639999999</v>
      </c>
    </row>
    <row r="2311" spans="1:3">
      <c r="A2311" s="184" t="s">
        <v>6481</v>
      </c>
      <c r="B2311" s="184">
        <v>22.108343600000001</v>
      </c>
      <c r="C2311" s="184">
        <v>-101.054779</v>
      </c>
    </row>
    <row r="2312" spans="1:3">
      <c r="A2312" s="184" t="s">
        <v>6483</v>
      </c>
      <c r="B2312" s="184">
        <v>22.78383487</v>
      </c>
      <c r="C2312" s="184">
        <v>-101.9181469</v>
      </c>
    </row>
    <row r="2313" spans="1:3">
      <c r="A2313" s="184" t="s">
        <v>6486</v>
      </c>
      <c r="B2313" s="184">
        <v>22.89458814</v>
      </c>
      <c r="C2313" s="184">
        <v>-101.6850259</v>
      </c>
    </row>
    <row r="2314" spans="1:3">
      <c r="A2314" s="184" t="s">
        <v>6489</v>
      </c>
      <c r="B2314" s="184">
        <v>21.9561481</v>
      </c>
      <c r="C2314" s="184">
        <v>-100.0087322</v>
      </c>
    </row>
    <row r="2315" spans="1:3">
      <c r="A2315" s="184" t="s">
        <v>6492</v>
      </c>
      <c r="B2315" s="184">
        <v>21.97721658</v>
      </c>
      <c r="C2315" s="184">
        <v>-100.0537116</v>
      </c>
    </row>
    <row r="2316" spans="1:3">
      <c r="A2316" s="184" t="s">
        <v>6495</v>
      </c>
      <c r="B2316" s="184">
        <v>22.071266439999999</v>
      </c>
      <c r="C2316" s="184">
        <v>-100.3160805</v>
      </c>
    </row>
    <row r="2317" spans="1:3">
      <c r="A2317" s="184" t="s">
        <v>6498</v>
      </c>
      <c r="B2317" s="184">
        <v>22.10729503</v>
      </c>
      <c r="C2317" s="184">
        <v>-100.34190340000001</v>
      </c>
    </row>
    <row r="2318" spans="1:3">
      <c r="A2318" s="184" t="s">
        <v>6499</v>
      </c>
      <c r="B2318" s="184">
        <v>22.084050609999998</v>
      </c>
      <c r="C2318" s="184">
        <v>-100.32551770000001</v>
      </c>
    </row>
    <row r="2319" spans="1:3">
      <c r="A2319" s="184" t="s">
        <v>6501</v>
      </c>
      <c r="B2319" s="184">
        <v>23.076464390000002</v>
      </c>
      <c r="C2319" s="184">
        <v>-101.1000433</v>
      </c>
    </row>
    <row r="2320" spans="1:3">
      <c r="A2320" s="184" t="s">
        <v>6505</v>
      </c>
      <c r="B2320" s="184">
        <v>22.989244459999998</v>
      </c>
      <c r="C2320" s="184">
        <v>-101.4113206</v>
      </c>
    </row>
    <row r="2321" spans="1:3">
      <c r="A2321" s="184" t="s">
        <v>6507</v>
      </c>
      <c r="B2321" s="184">
        <v>23.33831108</v>
      </c>
      <c r="C2321" s="184">
        <v>-101.191063</v>
      </c>
    </row>
    <row r="2322" spans="1:3">
      <c r="A2322" s="184" t="s">
        <v>6508</v>
      </c>
      <c r="B2322" s="184">
        <v>23.187804700000001</v>
      </c>
      <c r="C2322" s="184">
        <v>-100.9769543</v>
      </c>
    </row>
    <row r="2323" spans="1:3">
      <c r="A2323" s="184" t="s">
        <v>6510</v>
      </c>
      <c r="B2323" s="184">
        <v>23.372694849999998</v>
      </c>
      <c r="C2323" s="184">
        <v>-102.21951</v>
      </c>
    </row>
    <row r="2324" spans="1:3">
      <c r="A2324" s="184" t="s">
        <v>6512</v>
      </c>
      <c r="B2324" s="184">
        <v>22.914677730000001</v>
      </c>
      <c r="C2324" s="184">
        <v>-101.31514319999999</v>
      </c>
    </row>
    <row r="2325" spans="1:3">
      <c r="A2325" s="184" t="s">
        <v>6514</v>
      </c>
      <c r="B2325" s="184">
        <v>22.321682150000001</v>
      </c>
      <c r="C2325" s="184">
        <v>-101.1847844</v>
      </c>
    </row>
    <row r="2326" spans="1:3">
      <c r="A2326" s="184" t="s">
        <v>6518</v>
      </c>
      <c r="B2326" s="184">
        <v>22.19367454</v>
      </c>
      <c r="C2326" s="184">
        <v>-101.0525725</v>
      </c>
    </row>
    <row r="2327" spans="1:3">
      <c r="A2327" s="184" t="s">
        <v>6520</v>
      </c>
      <c r="B2327" s="184">
        <v>22.201772299999998</v>
      </c>
      <c r="C2327" s="184">
        <v>-101.036965</v>
      </c>
    </row>
    <row r="2328" spans="1:3">
      <c r="A2328" s="184" t="s">
        <v>6523</v>
      </c>
      <c r="B2328" s="184">
        <v>22.425030039999999</v>
      </c>
      <c r="C2328" s="184">
        <v>-101.074684</v>
      </c>
    </row>
    <row r="2329" spans="1:3">
      <c r="A2329" s="184" t="s">
        <v>6525</v>
      </c>
      <c r="B2329" s="184">
        <v>22.371870479999998</v>
      </c>
      <c r="C2329" s="184">
        <v>-101.08710550000001</v>
      </c>
    </row>
    <row r="2330" spans="1:3">
      <c r="A2330" s="184" t="s">
        <v>6527</v>
      </c>
      <c r="B2330" s="184">
        <v>22.353000089999998</v>
      </c>
      <c r="C2330" s="184">
        <v>-100.5839782</v>
      </c>
    </row>
    <row r="2331" spans="1:3">
      <c r="A2331" s="184" t="s">
        <v>6530</v>
      </c>
      <c r="B2331" s="184">
        <v>22.30779991</v>
      </c>
      <c r="C2331" s="184">
        <v>-100.6087883</v>
      </c>
    </row>
    <row r="2332" spans="1:3">
      <c r="A2332" s="184" t="s">
        <v>6532</v>
      </c>
      <c r="B2332" s="184">
        <v>22.647028500000001</v>
      </c>
      <c r="C2332" s="184">
        <v>-101.7877897</v>
      </c>
    </row>
    <row r="2333" spans="1:3">
      <c r="A2333" s="184" t="s">
        <v>6536</v>
      </c>
      <c r="B2333" s="184">
        <v>22.479110089999999</v>
      </c>
      <c r="C2333" s="184">
        <v>-101.79481579999999</v>
      </c>
    </row>
    <row r="2334" spans="1:3">
      <c r="A2334" s="184" t="s">
        <v>6538</v>
      </c>
      <c r="B2334" s="184">
        <v>22.599071989999999</v>
      </c>
      <c r="C2334" s="184">
        <v>-101.7742405</v>
      </c>
    </row>
    <row r="2335" spans="1:3">
      <c r="A2335" s="184" t="s">
        <v>6540</v>
      </c>
      <c r="B2335" s="184">
        <v>22.710012450000001</v>
      </c>
      <c r="C2335" s="184">
        <v>-101.7958814</v>
      </c>
    </row>
    <row r="2336" spans="1:3">
      <c r="A2336" s="184" t="s">
        <v>6542</v>
      </c>
      <c r="B2336" s="184">
        <v>22.823984020000001</v>
      </c>
      <c r="C2336" s="184">
        <v>-100.32398379999999</v>
      </c>
    </row>
    <row r="2337" spans="1:3">
      <c r="A2337" s="184" t="s">
        <v>6545</v>
      </c>
      <c r="B2337" s="184">
        <v>23.006114499999999</v>
      </c>
      <c r="C2337" s="184">
        <v>-100.2659963</v>
      </c>
    </row>
    <row r="2338" spans="1:3">
      <c r="A2338" s="184" t="s">
        <v>6547</v>
      </c>
      <c r="B2338" s="184">
        <v>22.926353339999999</v>
      </c>
      <c r="C2338" s="184">
        <v>-100.3391737</v>
      </c>
    </row>
    <row r="2339" spans="1:3">
      <c r="A2339" s="184" t="s">
        <v>6549</v>
      </c>
      <c r="B2339" s="184">
        <v>22.458121899999998</v>
      </c>
      <c r="C2339" s="184">
        <v>-101.1452354</v>
      </c>
    </row>
    <row r="2340" spans="1:3">
      <c r="A2340" s="184" t="s">
        <v>6551</v>
      </c>
      <c r="B2340" s="184">
        <v>22.3813341</v>
      </c>
      <c r="C2340" s="184">
        <v>-101.1705884</v>
      </c>
    </row>
    <row r="2341" spans="1:3">
      <c r="A2341" s="184" t="s">
        <v>6553</v>
      </c>
      <c r="B2341" s="184">
        <v>22.45107835</v>
      </c>
      <c r="C2341" s="184">
        <v>-101.13003089999999</v>
      </c>
    </row>
    <row r="2342" spans="1:3">
      <c r="A2342" s="184" t="s">
        <v>6555</v>
      </c>
      <c r="B2342" s="184">
        <v>23.527936239999999</v>
      </c>
      <c r="C2342" s="184">
        <v>-100.93912039999999</v>
      </c>
    </row>
    <row r="2343" spans="1:3">
      <c r="A2343" s="184" t="s">
        <v>6558</v>
      </c>
      <c r="B2343" s="184">
        <v>23.730320670000001</v>
      </c>
      <c r="C2343" s="184">
        <v>-101.2254247</v>
      </c>
    </row>
    <row r="2344" spans="1:3">
      <c r="A2344" s="184" t="s">
        <v>6560</v>
      </c>
      <c r="B2344" s="184">
        <v>22.459617160000001</v>
      </c>
      <c r="C2344" s="184">
        <v>-101.114198</v>
      </c>
    </row>
    <row r="2345" spans="1:3">
      <c r="A2345" s="184" t="s">
        <v>6562</v>
      </c>
      <c r="B2345" s="184">
        <v>23.643995400000001</v>
      </c>
      <c r="C2345" s="184">
        <v>-100.66138719999999</v>
      </c>
    </row>
    <row r="2346" spans="1:3">
      <c r="A2346" s="184" t="s">
        <v>6565</v>
      </c>
      <c r="B2346" s="184">
        <v>23.158870589999999</v>
      </c>
      <c r="C2346" s="184">
        <v>-100.6062829</v>
      </c>
    </row>
    <row r="2347" spans="1:3">
      <c r="A2347" s="184" t="s">
        <v>6567</v>
      </c>
      <c r="B2347" s="184">
        <v>23.614600289999998</v>
      </c>
      <c r="C2347" s="184">
        <v>-100.6763864</v>
      </c>
    </row>
    <row r="2348" spans="1:3">
      <c r="A2348" s="184" t="s">
        <v>6570</v>
      </c>
      <c r="B2348" s="184">
        <v>23.699435959999999</v>
      </c>
      <c r="C2348" s="184">
        <v>-100.606725</v>
      </c>
    </row>
    <row r="2349" spans="1:3">
      <c r="A2349" s="184" t="s">
        <v>6572</v>
      </c>
      <c r="B2349" s="184">
        <v>22.14801757</v>
      </c>
      <c r="C2349" s="184">
        <v>-100.8171023</v>
      </c>
    </row>
    <row r="2350" spans="1:3">
      <c r="A2350" s="184" t="s">
        <v>6574</v>
      </c>
      <c r="B2350" s="184">
        <v>21.477328279999998</v>
      </c>
      <c r="C2350" s="184">
        <v>-98.922732710000005</v>
      </c>
    </row>
    <row r="2351" spans="1:3">
      <c r="A2351" s="184" t="s">
        <v>6576</v>
      </c>
      <c r="B2351" s="184">
        <v>21.49813576</v>
      </c>
      <c r="C2351" s="184">
        <v>-98.898078310000002</v>
      </c>
    </row>
    <row r="2352" spans="1:3">
      <c r="A2352" s="184" t="s">
        <v>6578</v>
      </c>
      <c r="B2352" s="184">
        <v>22.1067663</v>
      </c>
      <c r="C2352" s="184">
        <v>-100.513097</v>
      </c>
    </row>
    <row r="2353" spans="1:3">
      <c r="A2353" s="184" t="s">
        <v>6580</v>
      </c>
      <c r="B2353" s="184">
        <v>22.228676029999999</v>
      </c>
      <c r="C2353" s="184">
        <v>-100.8710858</v>
      </c>
    </row>
    <row r="2354" spans="1:3">
      <c r="A2354" s="184" t="s">
        <v>6584</v>
      </c>
      <c r="B2354" s="184">
        <v>22.196014989999998</v>
      </c>
      <c r="C2354" s="184">
        <v>-100.9122672</v>
      </c>
    </row>
    <row r="2355" spans="1:3">
      <c r="A2355" s="184" t="s">
        <v>6586</v>
      </c>
      <c r="B2355" s="184">
        <v>22.429113220000001</v>
      </c>
      <c r="C2355" s="184">
        <v>-100.87692300000001</v>
      </c>
    </row>
    <row r="2356" spans="1:3">
      <c r="A2356" s="184" t="s">
        <v>6588</v>
      </c>
      <c r="B2356" s="184">
        <v>22.057897050000001</v>
      </c>
      <c r="C2356" s="184">
        <v>-100.90122359999999</v>
      </c>
    </row>
    <row r="2357" spans="1:3">
      <c r="A2357" s="184" t="s">
        <v>6591</v>
      </c>
      <c r="B2357" s="184">
        <v>22.149018170000002</v>
      </c>
      <c r="C2357" s="184">
        <v>-100.880295</v>
      </c>
    </row>
    <row r="2358" spans="1:3">
      <c r="A2358" s="184" t="s">
        <v>6593</v>
      </c>
      <c r="B2358" s="184">
        <v>22.043718980000001</v>
      </c>
      <c r="C2358" s="184">
        <v>-100.91080599999999</v>
      </c>
    </row>
    <row r="2359" spans="1:3">
      <c r="A2359" s="184" t="s">
        <v>6595</v>
      </c>
      <c r="B2359" s="184">
        <v>22.135282159999999</v>
      </c>
      <c r="C2359" s="184">
        <v>-100.8942066</v>
      </c>
    </row>
    <row r="2360" spans="1:3">
      <c r="A2360" s="184" t="s">
        <v>6597</v>
      </c>
      <c r="B2360" s="184">
        <v>22.095121710000001</v>
      </c>
      <c r="C2360" s="184">
        <v>-100.9381163</v>
      </c>
    </row>
    <row r="2361" spans="1:3">
      <c r="A2361" s="184" t="s">
        <v>6599</v>
      </c>
      <c r="B2361" s="184">
        <v>22.128478829999999</v>
      </c>
      <c r="C2361" s="184">
        <v>-100.8272592</v>
      </c>
    </row>
    <row r="2362" spans="1:3">
      <c r="A2362" s="184" t="s">
        <v>6601</v>
      </c>
      <c r="B2362" s="184">
        <v>22.110623449999999</v>
      </c>
      <c r="C2362" s="184">
        <v>-100.9819902</v>
      </c>
    </row>
    <row r="2363" spans="1:3">
      <c r="A2363" s="184" t="s">
        <v>6604</v>
      </c>
      <c r="B2363" s="184">
        <v>21.711466980000001</v>
      </c>
      <c r="C2363" s="184">
        <v>-100.66293760000001</v>
      </c>
    </row>
    <row r="2364" spans="1:3">
      <c r="A2364" s="184" t="s">
        <v>6607</v>
      </c>
      <c r="B2364" s="184">
        <v>21.78894077</v>
      </c>
      <c r="C2364" s="184">
        <v>-100.69516520000001</v>
      </c>
    </row>
    <row r="2365" spans="1:3">
      <c r="A2365" s="184" t="s">
        <v>6609</v>
      </c>
      <c r="B2365" s="184">
        <v>22.079983680000002</v>
      </c>
      <c r="C2365" s="184">
        <v>-100.700057</v>
      </c>
    </row>
    <row r="2366" spans="1:3">
      <c r="A2366" s="184" t="s">
        <v>6611</v>
      </c>
      <c r="B2366" s="184">
        <v>22.94254595</v>
      </c>
      <c r="C2366" s="184">
        <v>-102.17025580000001</v>
      </c>
    </row>
    <row r="2367" spans="1:3">
      <c r="A2367" s="184" t="s">
        <v>6613</v>
      </c>
      <c r="B2367" s="184">
        <v>23.738432360000001</v>
      </c>
      <c r="C2367" s="184">
        <v>-100.743447</v>
      </c>
    </row>
    <row r="2368" spans="1:3">
      <c r="A2368" s="184" t="s">
        <v>6616</v>
      </c>
      <c r="B2368" s="184">
        <v>22.319869480000001</v>
      </c>
      <c r="C2368" s="184">
        <v>-101.201882</v>
      </c>
    </row>
    <row r="2369" spans="1:3">
      <c r="A2369" s="184" t="s">
        <v>6618</v>
      </c>
      <c r="B2369" s="184">
        <v>21.683776730000002</v>
      </c>
      <c r="C2369" s="184">
        <v>-100.7629345</v>
      </c>
    </row>
    <row r="2370" spans="1:3">
      <c r="A2370" s="184" t="s">
        <v>6620</v>
      </c>
      <c r="B2370" s="184">
        <v>23.16280875</v>
      </c>
      <c r="C2370" s="184">
        <v>-101.891706</v>
      </c>
    </row>
    <row r="2371" spans="1:3">
      <c r="A2371" s="184" t="s">
        <v>6621</v>
      </c>
      <c r="B2371" s="184">
        <v>24.076555670000001</v>
      </c>
      <c r="C2371" s="184">
        <v>-101.1389343</v>
      </c>
    </row>
    <row r="2372" spans="1:3">
      <c r="A2372" s="184" t="s">
        <v>6624</v>
      </c>
      <c r="B2372" s="184">
        <v>22.378407899999999</v>
      </c>
      <c r="C2372" s="184">
        <v>-100.6627562</v>
      </c>
    </row>
    <row r="2373" spans="1:3">
      <c r="A2373" s="184" t="s">
        <v>6627</v>
      </c>
      <c r="B2373" s="184">
        <v>22.0009859</v>
      </c>
      <c r="C2373" s="184">
        <v>-100.8961268</v>
      </c>
    </row>
    <row r="2374" spans="1:3">
      <c r="A2374" s="184" t="s">
        <v>6629</v>
      </c>
      <c r="B2374" s="184">
        <v>22.667051489999999</v>
      </c>
      <c r="C2374" s="184">
        <v>-100.9130766</v>
      </c>
    </row>
    <row r="2375" spans="1:3">
      <c r="A2375" s="184" t="s">
        <v>6632</v>
      </c>
      <c r="B2375" s="184">
        <v>22.504916420000001</v>
      </c>
      <c r="C2375" s="184">
        <v>-101.7909963</v>
      </c>
    </row>
    <row r="2376" spans="1:3">
      <c r="A2376" s="184" t="s">
        <v>6634</v>
      </c>
      <c r="B2376" s="184">
        <v>22.087529079999999</v>
      </c>
      <c r="C2376" s="184">
        <v>-101.31308249999999</v>
      </c>
    </row>
    <row r="2377" spans="1:3">
      <c r="A2377" s="184" t="s">
        <v>6636</v>
      </c>
      <c r="B2377" s="184">
        <v>23.116368040000001</v>
      </c>
      <c r="C2377" s="184">
        <v>-100.5887549</v>
      </c>
    </row>
    <row r="2378" spans="1:3">
      <c r="A2378" s="184" t="s">
        <v>6638</v>
      </c>
      <c r="B2378" s="184">
        <v>22.546387299999999</v>
      </c>
      <c r="C2378" s="184">
        <v>-101.0650124</v>
      </c>
    </row>
    <row r="2379" spans="1:3">
      <c r="A2379" s="184" t="s">
        <v>6641</v>
      </c>
      <c r="B2379" s="184">
        <v>23.01803992</v>
      </c>
      <c r="C2379" s="184">
        <v>-100.3285954</v>
      </c>
    </row>
    <row r="2380" spans="1:3">
      <c r="A2380" s="184" t="s">
        <v>6642</v>
      </c>
      <c r="B2380" s="184">
        <v>22.627624140000002</v>
      </c>
      <c r="C2380" s="184">
        <v>-100.93420930000001</v>
      </c>
    </row>
    <row r="2381" spans="1:3">
      <c r="A2381" s="184" t="s">
        <v>6644</v>
      </c>
      <c r="B2381" s="184">
        <v>22.475005880000001</v>
      </c>
      <c r="C2381" s="184">
        <v>-100.9692314</v>
      </c>
    </row>
    <row r="2382" spans="1:3">
      <c r="A2382" s="184" t="s">
        <v>6646</v>
      </c>
      <c r="B2382" s="184">
        <v>22.35039986</v>
      </c>
      <c r="C2382" s="184">
        <v>-101.08439439999999</v>
      </c>
    </row>
    <row r="2383" spans="1:3">
      <c r="A2383" s="184" t="s">
        <v>6648</v>
      </c>
      <c r="B2383" s="184">
        <v>22.798447809999999</v>
      </c>
      <c r="C2383" s="184">
        <v>-100.97047480000001</v>
      </c>
    </row>
    <row r="2384" spans="1:3">
      <c r="A2384" s="184" t="s">
        <v>6651</v>
      </c>
      <c r="B2384" s="184">
        <v>22.913522879999999</v>
      </c>
      <c r="C2384" s="184">
        <v>-101.0473896</v>
      </c>
    </row>
    <row r="2385" spans="1:3">
      <c r="A2385" s="184" t="s">
        <v>6653</v>
      </c>
      <c r="B2385" s="184">
        <v>22.416863660000001</v>
      </c>
      <c r="C2385" s="184">
        <v>-100.6377612</v>
      </c>
    </row>
    <row r="2386" spans="1:3">
      <c r="A2386" s="184" t="s">
        <v>6654</v>
      </c>
      <c r="B2386" s="184">
        <v>21.974111189999999</v>
      </c>
      <c r="C2386" s="184">
        <v>-101.29696850000001</v>
      </c>
    </row>
    <row r="2387" spans="1:3">
      <c r="A2387" s="184" t="s">
        <v>6657</v>
      </c>
      <c r="B2387" s="184">
        <v>22.43279291</v>
      </c>
      <c r="C2387" s="184">
        <v>-101.10252130000001</v>
      </c>
    </row>
    <row r="2388" spans="1:3">
      <c r="A2388" s="184" t="s">
        <v>6659</v>
      </c>
      <c r="B2388" s="184">
        <v>22.47595737</v>
      </c>
      <c r="C2388" s="184">
        <v>-101.1413254</v>
      </c>
    </row>
    <row r="2389" spans="1:3">
      <c r="A2389" s="184" t="s">
        <v>6662</v>
      </c>
      <c r="B2389" s="184">
        <v>21.507402160000002</v>
      </c>
      <c r="C2389" s="184">
        <v>-98.934441629999995</v>
      </c>
    </row>
    <row r="2390" spans="1:3">
      <c r="A2390" s="184" t="s">
        <v>6664</v>
      </c>
      <c r="B2390" s="184">
        <v>22.148616959999998</v>
      </c>
      <c r="C2390" s="184">
        <v>-100.9909237</v>
      </c>
    </row>
    <row r="2391" spans="1:3">
      <c r="A2391" s="184" t="s">
        <v>6665</v>
      </c>
      <c r="B2391" s="184">
        <v>22.114477149999999</v>
      </c>
      <c r="C2391" s="184">
        <v>-100.7116403</v>
      </c>
    </row>
    <row r="2392" spans="1:3">
      <c r="A2392" s="184" t="s">
        <v>6667</v>
      </c>
      <c r="B2392" s="184">
        <v>22.58664241</v>
      </c>
      <c r="C2392" s="184">
        <v>-101.1961368</v>
      </c>
    </row>
    <row r="2393" spans="1:3">
      <c r="A2393" s="184" t="s">
        <v>6670</v>
      </c>
      <c r="B2393" s="184">
        <v>22.209853849999998</v>
      </c>
      <c r="C2393" s="184">
        <v>-100.9231424</v>
      </c>
    </row>
    <row r="2394" spans="1:3">
      <c r="A2394" s="184" t="s">
        <v>6671</v>
      </c>
      <c r="B2394" s="184">
        <v>22.06633566</v>
      </c>
      <c r="C2394" s="184">
        <v>-101.29220429999999</v>
      </c>
    </row>
    <row r="2395" spans="1:3">
      <c r="A2395" s="184" t="s">
        <v>6673</v>
      </c>
      <c r="B2395" s="184">
        <v>22.161618000000001</v>
      </c>
      <c r="C2395" s="184">
        <v>-100.9035499</v>
      </c>
    </row>
    <row r="2396" spans="1:3">
      <c r="A2396" s="184" t="s">
        <v>6675</v>
      </c>
      <c r="B2396" s="184">
        <v>22.725650170000002</v>
      </c>
      <c r="C2396" s="184">
        <v>-100.9338462</v>
      </c>
    </row>
    <row r="2397" spans="1:3">
      <c r="A2397" s="184" t="s">
        <v>6677</v>
      </c>
      <c r="B2397" s="184">
        <v>22.173794569999998</v>
      </c>
      <c r="C2397" s="184">
        <v>-100.9420786</v>
      </c>
    </row>
    <row r="2398" spans="1:3">
      <c r="A2398" s="184" t="s">
        <v>6679</v>
      </c>
      <c r="B2398" s="184">
        <v>22.270753259999999</v>
      </c>
      <c r="C2398" s="184">
        <v>-101.0077264</v>
      </c>
    </row>
    <row r="2399" spans="1:3">
      <c r="A2399" s="184" t="s">
        <v>6681</v>
      </c>
      <c r="B2399" s="184">
        <v>22.189998790000001</v>
      </c>
      <c r="C2399" s="184">
        <v>-100.99103940000001</v>
      </c>
    </row>
    <row r="2400" spans="1:3">
      <c r="A2400" s="184" t="s">
        <v>6683</v>
      </c>
      <c r="B2400" s="184">
        <v>22.210506469999999</v>
      </c>
      <c r="C2400" s="184">
        <v>-100.9889809</v>
      </c>
    </row>
    <row r="2401" spans="1:3">
      <c r="A2401" s="184" t="s">
        <v>6684</v>
      </c>
      <c r="B2401" s="184">
        <v>22.42056363</v>
      </c>
      <c r="C2401" s="184">
        <v>-100.8859812</v>
      </c>
    </row>
    <row r="2402" spans="1:3">
      <c r="A2402" s="184" t="s">
        <v>6686</v>
      </c>
      <c r="B2402" s="184">
        <v>22.203106909999999</v>
      </c>
      <c r="C2402" s="184">
        <v>-101.05118179999999</v>
      </c>
    </row>
    <row r="2403" spans="1:3">
      <c r="A2403" s="184" t="s">
        <v>6689</v>
      </c>
      <c r="B2403" s="184">
        <v>22.172969569999999</v>
      </c>
      <c r="C2403" s="184">
        <v>-101.0522926</v>
      </c>
    </row>
    <row r="2404" spans="1:3">
      <c r="A2404" s="184" t="s">
        <v>6692</v>
      </c>
      <c r="B2404" s="184">
        <v>21.92740148</v>
      </c>
      <c r="C2404" s="184">
        <v>-100.92339490000001</v>
      </c>
    </row>
    <row r="2405" spans="1:3">
      <c r="A2405" s="184" t="s">
        <v>6695</v>
      </c>
      <c r="B2405" s="184">
        <v>22.19443137</v>
      </c>
      <c r="C2405" s="184">
        <v>-100.93211839999999</v>
      </c>
    </row>
    <row r="2406" spans="1:3">
      <c r="A2406" s="184" t="s">
        <v>6697</v>
      </c>
      <c r="B2406" s="184">
        <v>22.113548789999999</v>
      </c>
      <c r="C2406" s="184">
        <v>-100.96327119999999</v>
      </c>
    </row>
    <row r="2407" spans="1:3">
      <c r="A2407" s="184" t="s">
        <v>6698</v>
      </c>
      <c r="B2407" s="184">
        <v>22.165998940000001</v>
      </c>
      <c r="C2407" s="184">
        <v>-100.9316711</v>
      </c>
    </row>
    <row r="2408" spans="1:3">
      <c r="A2408" s="184" t="s">
        <v>6700</v>
      </c>
      <c r="B2408" s="184">
        <v>22.705928740000001</v>
      </c>
      <c r="C2408" s="184">
        <v>-100.8302877</v>
      </c>
    </row>
    <row r="2409" spans="1:3">
      <c r="A2409" s="184" t="s">
        <v>6703</v>
      </c>
      <c r="B2409" s="184">
        <v>23.01741337</v>
      </c>
      <c r="C2409" s="184">
        <v>-100.9149013</v>
      </c>
    </row>
    <row r="2410" spans="1:3">
      <c r="A2410" s="184" t="s">
        <v>6704</v>
      </c>
      <c r="B2410" s="184">
        <v>23.502365229999999</v>
      </c>
      <c r="C2410" s="184">
        <v>-101.7018405</v>
      </c>
    </row>
    <row r="2411" spans="1:3">
      <c r="A2411" s="184" t="s">
        <v>6706</v>
      </c>
      <c r="B2411" s="184">
        <v>22.923256869999999</v>
      </c>
      <c r="C2411" s="184">
        <v>-101.0973585</v>
      </c>
    </row>
    <row r="2412" spans="1:3">
      <c r="A2412" s="184" t="s">
        <v>6708</v>
      </c>
      <c r="B2412" s="184">
        <v>21.927749630000001</v>
      </c>
      <c r="C2412" s="184">
        <v>-100.04201620000001</v>
      </c>
    </row>
    <row r="2413" spans="1:3">
      <c r="A2413" s="184" t="s">
        <v>6709</v>
      </c>
      <c r="B2413" s="184">
        <v>22.171268139999999</v>
      </c>
      <c r="C2413" s="184">
        <v>-100.8782736</v>
      </c>
    </row>
    <row r="2414" spans="1:3">
      <c r="A2414" s="184" t="s">
        <v>6712</v>
      </c>
      <c r="B2414" s="184">
        <v>23.644802899999998</v>
      </c>
      <c r="C2414" s="184">
        <v>-100.64279000000001</v>
      </c>
    </row>
    <row r="2415" spans="1:3">
      <c r="A2415" s="184" t="s">
        <v>6714</v>
      </c>
      <c r="B2415" s="184">
        <v>23.75964235</v>
      </c>
      <c r="C2415" s="184">
        <v>-100.6839746</v>
      </c>
    </row>
    <row r="2416" spans="1:3">
      <c r="A2416" s="184" t="s">
        <v>6716</v>
      </c>
      <c r="B2416" s="184">
        <v>22.125981670000002</v>
      </c>
      <c r="C2416" s="184">
        <v>-100.9265889</v>
      </c>
    </row>
    <row r="2417" spans="1:3">
      <c r="A2417" s="184" t="s">
        <v>6718</v>
      </c>
      <c r="B2417" s="184">
        <v>23.004272879999998</v>
      </c>
      <c r="C2417" s="184">
        <v>-101.9292378</v>
      </c>
    </row>
    <row r="2418" spans="1:3">
      <c r="A2418" s="184" t="s">
        <v>6720</v>
      </c>
      <c r="B2418" s="184">
        <v>23.655219200000001</v>
      </c>
      <c r="C2418" s="184">
        <v>-100.663296</v>
      </c>
    </row>
    <row r="2419" spans="1:3">
      <c r="A2419" s="184" t="s">
        <v>6722</v>
      </c>
      <c r="B2419" s="184">
        <v>22.1775512</v>
      </c>
      <c r="C2419" s="184">
        <v>-101.0226942</v>
      </c>
    </row>
    <row r="2420" spans="1:3">
      <c r="A2420" s="184" t="s">
        <v>6725</v>
      </c>
      <c r="B2420" s="184">
        <v>22.645307370000001</v>
      </c>
      <c r="C2420" s="184">
        <v>-100.7293057</v>
      </c>
    </row>
    <row r="2421" spans="1:3">
      <c r="A2421" s="184" t="s">
        <v>6727</v>
      </c>
      <c r="B2421" s="184">
        <v>23.651942399999999</v>
      </c>
      <c r="C2421" s="184">
        <v>-100.6370816</v>
      </c>
    </row>
    <row r="2422" spans="1:3">
      <c r="A2422" s="184" t="s">
        <v>6730</v>
      </c>
      <c r="B2422" s="184">
        <v>22.429566550000001</v>
      </c>
      <c r="C2422" s="184">
        <v>-100.8771797</v>
      </c>
    </row>
    <row r="2423" spans="1:3">
      <c r="A2423" s="184" t="s">
        <v>6731</v>
      </c>
      <c r="B2423" s="184">
        <v>22.914706259999999</v>
      </c>
      <c r="C2423" s="184">
        <v>-100.3371886</v>
      </c>
    </row>
    <row r="2424" spans="1:3">
      <c r="A2424" s="184" t="s">
        <v>6732</v>
      </c>
      <c r="B2424" s="184">
        <v>23.116000939999999</v>
      </c>
      <c r="C2424" s="184">
        <v>-100.58605420000001</v>
      </c>
    </row>
    <row r="2425" spans="1:3">
      <c r="A2425" s="184" t="s">
        <v>6734</v>
      </c>
      <c r="B2425" s="184">
        <v>25.238499999999998</v>
      </c>
      <c r="C2425" s="184">
        <v>-108.087</v>
      </c>
    </row>
    <row r="2426" spans="1:3">
      <c r="A2426" s="184" t="s">
        <v>6742</v>
      </c>
      <c r="B2426" s="184">
        <v>25.3627</v>
      </c>
      <c r="C2426" s="184">
        <v>-107.54900000000001</v>
      </c>
    </row>
    <row r="2427" spans="1:3">
      <c r="A2427" s="184" t="s">
        <v>6744</v>
      </c>
      <c r="B2427" s="184">
        <v>25.258516830000001</v>
      </c>
      <c r="C2427" s="184">
        <v>-107.54296290000001</v>
      </c>
    </row>
    <row r="2428" spans="1:3">
      <c r="A2428" s="184" t="s">
        <v>6747</v>
      </c>
      <c r="B2428" s="184">
        <v>25.386705500000001</v>
      </c>
      <c r="C2428" s="184">
        <v>-107.33506439999999</v>
      </c>
    </row>
    <row r="2429" spans="1:3">
      <c r="A2429" s="184" t="s">
        <v>6750</v>
      </c>
      <c r="B2429" s="184">
        <v>25.962650379999999</v>
      </c>
      <c r="C2429" s="184">
        <v>-107.3693165</v>
      </c>
    </row>
    <row r="2430" spans="1:3">
      <c r="A2430" s="184" t="s">
        <v>6753</v>
      </c>
      <c r="B2430" s="184">
        <v>25.418390890000001</v>
      </c>
      <c r="C2430" s="184">
        <v>-107.6570351</v>
      </c>
    </row>
    <row r="2431" spans="1:3">
      <c r="A2431" s="184" t="s">
        <v>6756</v>
      </c>
      <c r="B2431" s="184">
        <v>25.463114969999999</v>
      </c>
      <c r="C2431" s="184">
        <v>-107.5808511</v>
      </c>
    </row>
    <row r="2432" spans="1:3">
      <c r="A2432" s="184" t="s">
        <v>6758</v>
      </c>
      <c r="B2432" s="184">
        <v>25.804176949999999</v>
      </c>
      <c r="C2432" s="184">
        <v>-107.5618316</v>
      </c>
    </row>
    <row r="2433" spans="1:3">
      <c r="A2433" s="184" t="s">
        <v>6761</v>
      </c>
      <c r="B2433" s="184">
        <v>24.61675649</v>
      </c>
      <c r="C2433" s="184">
        <v>-106.82073130000001</v>
      </c>
    </row>
    <row r="2434" spans="1:3">
      <c r="A2434" s="184" t="s">
        <v>6765</v>
      </c>
      <c r="B2434" s="184">
        <v>24.410060260000002</v>
      </c>
      <c r="C2434" s="184">
        <v>-106.6902328</v>
      </c>
    </row>
    <row r="2435" spans="1:3">
      <c r="A2435" s="184" t="s">
        <v>6768</v>
      </c>
      <c r="B2435" s="184">
        <v>24.433810999999999</v>
      </c>
      <c r="C2435" s="184">
        <v>-107.02895580000001</v>
      </c>
    </row>
    <row r="2436" spans="1:3">
      <c r="A2436" s="184" t="s">
        <v>6771</v>
      </c>
      <c r="B2436" s="184">
        <v>24.432500000000001</v>
      </c>
      <c r="C2436" s="184">
        <v>-107.029</v>
      </c>
    </row>
    <row r="2437" spans="1:3">
      <c r="A2437" s="184" t="s">
        <v>6772</v>
      </c>
      <c r="B2437" s="184">
        <v>24.93661887</v>
      </c>
      <c r="C2437" s="184">
        <v>-107.38433329999999</v>
      </c>
    </row>
    <row r="2438" spans="1:3">
      <c r="A2438" s="184" t="s">
        <v>6775</v>
      </c>
      <c r="B2438" s="184">
        <v>24.715033999999999</v>
      </c>
      <c r="C2438" s="184">
        <v>-107.4711303</v>
      </c>
    </row>
    <row r="2439" spans="1:3">
      <c r="A2439" s="184" t="s">
        <v>6778</v>
      </c>
      <c r="B2439" s="184">
        <v>24.270959090000002</v>
      </c>
      <c r="C2439" s="184">
        <v>-107.2056659</v>
      </c>
    </row>
    <row r="2440" spans="1:3">
      <c r="A2440" s="184" t="s">
        <v>6780</v>
      </c>
      <c r="B2440" s="184">
        <v>24.726286640000001</v>
      </c>
      <c r="C2440" s="184">
        <v>-107.0769203</v>
      </c>
    </row>
    <row r="2441" spans="1:3">
      <c r="A2441" s="184" t="s">
        <v>6782</v>
      </c>
      <c r="B2441" s="184">
        <v>24.794292899999999</v>
      </c>
      <c r="C2441" s="184">
        <v>-107.3866778</v>
      </c>
    </row>
    <row r="2442" spans="1:3">
      <c r="A2442" s="184" t="s">
        <v>6785</v>
      </c>
      <c r="B2442" s="184">
        <v>24.8168142</v>
      </c>
      <c r="C2442" s="184">
        <v>-107.4280536</v>
      </c>
    </row>
    <row r="2443" spans="1:3">
      <c r="A2443" s="184" t="s">
        <v>6786</v>
      </c>
      <c r="B2443" s="184">
        <v>24.7668</v>
      </c>
      <c r="C2443" s="184">
        <v>-107.43</v>
      </c>
    </row>
    <row r="2444" spans="1:3">
      <c r="A2444" s="184" t="s">
        <v>6787</v>
      </c>
      <c r="B2444" s="184">
        <v>24.788789999999999</v>
      </c>
      <c r="C2444" s="184">
        <v>-107.416365</v>
      </c>
    </row>
    <row r="2445" spans="1:3">
      <c r="A2445" s="184" t="s">
        <v>6788</v>
      </c>
      <c r="B2445" s="184">
        <v>24.809200000000001</v>
      </c>
      <c r="C2445" s="184">
        <v>-107.364</v>
      </c>
    </row>
    <row r="2446" spans="1:3">
      <c r="A2446" s="184" t="s">
        <v>6789</v>
      </c>
      <c r="B2446" s="184">
        <v>24.771899999999999</v>
      </c>
      <c r="C2446" s="184">
        <v>-107.374</v>
      </c>
    </row>
    <row r="2447" spans="1:3">
      <c r="A2447" s="184" t="s">
        <v>6790</v>
      </c>
      <c r="B2447" s="184">
        <v>24.797477900000001</v>
      </c>
      <c r="C2447" s="184">
        <v>-107.3888578</v>
      </c>
    </row>
    <row r="2448" spans="1:3">
      <c r="A2448" s="184" t="s">
        <v>6791</v>
      </c>
      <c r="B2448" s="184">
        <v>24.7974</v>
      </c>
      <c r="C2448" s="184">
        <v>-107.39879999999999</v>
      </c>
    </row>
    <row r="2449" spans="1:3">
      <c r="A2449" s="184" t="s">
        <v>6792</v>
      </c>
      <c r="B2449" s="184">
        <v>24.797422000000001</v>
      </c>
      <c r="C2449" s="184">
        <v>-107.399052</v>
      </c>
    </row>
    <row r="2450" spans="1:3">
      <c r="A2450" s="184" t="s">
        <v>6793</v>
      </c>
      <c r="B2450" s="184">
        <v>24.796419</v>
      </c>
      <c r="C2450" s="184">
        <v>-107.449972</v>
      </c>
    </row>
    <row r="2451" spans="1:3">
      <c r="A2451" s="184" t="s">
        <v>6794</v>
      </c>
      <c r="B2451" s="184">
        <v>24.848600000000001</v>
      </c>
      <c r="C2451" s="184">
        <v>-107.3809</v>
      </c>
    </row>
    <row r="2452" spans="1:3">
      <c r="A2452" s="184" t="s">
        <v>6795</v>
      </c>
      <c r="B2452" s="184">
        <v>24.783899999999999</v>
      </c>
      <c r="C2452" s="184">
        <v>-107.386</v>
      </c>
    </row>
    <row r="2453" spans="1:3">
      <c r="A2453" s="184" t="s">
        <v>6796</v>
      </c>
      <c r="B2453" s="184">
        <v>24.794899999999998</v>
      </c>
      <c r="C2453" s="184">
        <v>-107.38800000000001</v>
      </c>
    </row>
    <row r="2454" spans="1:3">
      <c r="A2454" s="184" t="s">
        <v>6797</v>
      </c>
      <c r="B2454" s="184">
        <v>24.795667000000002</v>
      </c>
      <c r="C2454" s="184">
        <v>-107.45043200000001</v>
      </c>
    </row>
    <row r="2455" spans="1:3">
      <c r="A2455" s="184" t="s">
        <v>6798</v>
      </c>
      <c r="B2455" s="184">
        <v>24.816600000000001</v>
      </c>
      <c r="C2455" s="184">
        <v>-107.428</v>
      </c>
    </row>
    <row r="2456" spans="1:3">
      <c r="A2456" s="184" t="s">
        <v>6799</v>
      </c>
      <c r="B2456" s="184">
        <v>24.816600000000001</v>
      </c>
      <c r="C2456" s="184">
        <v>-107.428</v>
      </c>
    </row>
    <row r="2457" spans="1:3">
      <c r="A2457" s="184" t="s">
        <v>6800</v>
      </c>
      <c r="B2457" s="184">
        <v>24.822500000000002</v>
      </c>
      <c r="C2457" s="184">
        <v>-107.53400000000001</v>
      </c>
    </row>
    <row r="2458" spans="1:3">
      <c r="A2458" s="184" t="s">
        <v>6802</v>
      </c>
      <c r="B2458" s="184">
        <v>24.641767000000002</v>
      </c>
      <c r="C2458" s="184">
        <v>-107.4416404</v>
      </c>
    </row>
    <row r="2459" spans="1:3">
      <c r="A2459" s="184" t="s">
        <v>6805</v>
      </c>
      <c r="B2459" s="184">
        <v>24.704123559999999</v>
      </c>
      <c r="C2459" s="184">
        <v>-107.38160240000001</v>
      </c>
    </row>
    <row r="2460" spans="1:3">
      <c r="A2460" s="184" t="s">
        <v>6807</v>
      </c>
      <c r="B2460" s="184">
        <v>24.79996834</v>
      </c>
      <c r="C2460" s="184">
        <v>-107.405981</v>
      </c>
    </row>
    <row r="2461" spans="1:3">
      <c r="A2461" s="184" t="s">
        <v>6810</v>
      </c>
      <c r="B2461" s="184">
        <v>24.73</v>
      </c>
      <c r="C2461" s="184">
        <v>-107.449</v>
      </c>
    </row>
    <row r="2462" spans="1:3">
      <c r="A2462" s="184" t="s">
        <v>6812</v>
      </c>
      <c r="B2462" s="184">
        <v>24.38353631</v>
      </c>
      <c r="C2462" s="184">
        <v>-107.2929513</v>
      </c>
    </row>
    <row r="2463" spans="1:3">
      <c r="A2463" s="184" t="s">
        <v>6815</v>
      </c>
      <c r="B2463" s="184">
        <v>24.727051190000001</v>
      </c>
      <c r="C2463" s="184">
        <v>-107.0769066</v>
      </c>
    </row>
    <row r="2464" spans="1:3">
      <c r="A2464" s="184" t="s">
        <v>6817</v>
      </c>
      <c r="B2464" s="184">
        <v>24.910326609999998</v>
      </c>
      <c r="C2464" s="184">
        <v>-107.2571567</v>
      </c>
    </row>
    <row r="2465" spans="1:3">
      <c r="A2465" s="184" t="s">
        <v>6819</v>
      </c>
      <c r="B2465" s="184">
        <v>25.088515000000001</v>
      </c>
      <c r="C2465" s="184">
        <v>-107.45205300000001</v>
      </c>
    </row>
    <row r="2466" spans="1:3">
      <c r="A2466" s="184" t="s">
        <v>6821</v>
      </c>
      <c r="B2466" s="184">
        <v>24.726982660000001</v>
      </c>
      <c r="C2466" s="184">
        <v>-107.07689929999999</v>
      </c>
    </row>
    <row r="2467" spans="1:3">
      <c r="A2467" s="184" t="s">
        <v>6824</v>
      </c>
      <c r="B2467" s="184">
        <v>24.909199999999998</v>
      </c>
      <c r="C2467" s="184">
        <v>-107.452</v>
      </c>
    </row>
    <row r="2468" spans="1:3">
      <c r="A2468" s="184" t="s">
        <v>6826</v>
      </c>
      <c r="B2468" s="184">
        <v>24.292300000000001</v>
      </c>
      <c r="C2468" s="184">
        <v>-107.15</v>
      </c>
    </row>
    <row r="2469" spans="1:3">
      <c r="A2469" s="184" t="s">
        <v>6828</v>
      </c>
      <c r="B2469" s="184">
        <v>24.2915204</v>
      </c>
      <c r="C2469" s="184">
        <v>-107.1508884</v>
      </c>
    </row>
    <row r="2470" spans="1:3">
      <c r="A2470" s="184" t="s">
        <v>6829</v>
      </c>
      <c r="B2470" s="184">
        <v>24.790299999999998</v>
      </c>
      <c r="C2470" s="184">
        <v>-107.3062</v>
      </c>
    </row>
    <row r="2471" spans="1:3">
      <c r="A2471" s="184" t="s">
        <v>6833</v>
      </c>
      <c r="B2471" s="184">
        <v>25.111019679999998</v>
      </c>
      <c r="C2471" s="184">
        <v>-107.6221582</v>
      </c>
    </row>
    <row r="2472" spans="1:3">
      <c r="A2472" s="184" t="s">
        <v>6836</v>
      </c>
      <c r="B2472" s="184">
        <v>24.743400000000001</v>
      </c>
      <c r="C2472" s="184">
        <v>-107.7437</v>
      </c>
    </row>
    <row r="2473" spans="1:3">
      <c r="A2473" s="184" t="s">
        <v>6839</v>
      </c>
      <c r="B2473" s="184">
        <v>24.76239687</v>
      </c>
      <c r="C2473" s="184">
        <v>-107.4537248</v>
      </c>
    </row>
    <row r="2474" spans="1:3">
      <c r="A2474" s="184" t="s">
        <v>6842</v>
      </c>
      <c r="B2474" s="184">
        <v>24.748743999999999</v>
      </c>
      <c r="C2474" s="184">
        <v>-107.5456112</v>
      </c>
    </row>
    <row r="2475" spans="1:3">
      <c r="A2475" s="184" t="s">
        <v>6844</v>
      </c>
      <c r="B2475" s="184">
        <v>24.821043209999999</v>
      </c>
      <c r="C2475" s="184">
        <v>-107.8914596</v>
      </c>
    </row>
    <row r="2476" spans="1:3">
      <c r="A2476" s="184" t="s">
        <v>6847</v>
      </c>
      <c r="B2476" s="184">
        <v>24.724243510000001</v>
      </c>
      <c r="C2476" s="184">
        <v>-107.6340458</v>
      </c>
    </row>
    <row r="2477" spans="1:3">
      <c r="A2477" s="184" t="s">
        <v>6850</v>
      </c>
      <c r="B2477" s="184">
        <v>24.808658900000001</v>
      </c>
      <c r="C2477" s="184">
        <v>-107.46011009999999</v>
      </c>
    </row>
    <row r="2478" spans="1:3">
      <c r="A2478" s="184" t="s">
        <v>6854</v>
      </c>
      <c r="B2478" s="184">
        <v>24.757525300000001</v>
      </c>
      <c r="C2478" s="184">
        <v>-107.6331447</v>
      </c>
    </row>
    <row r="2479" spans="1:3">
      <c r="A2479" s="184" t="s">
        <v>6857</v>
      </c>
      <c r="B2479" s="184">
        <v>24.657</v>
      </c>
      <c r="C2479" s="184">
        <v>-107.545</v>
      </c>
    </row>
    <row r="2480" spans="1:3">
      <c r="A2480" s="184" t="s">
        <v>6859</v>
      </c>
      <c r="B2480" s="184">
        <v>24.660900000000002</v>
      </c>
      <c r="C2480" s="184">
        <v>-107.54</v>
      </c>
    </row>
    <row r="2481" spans="1:3">
      <c r="A2481" s="184" t="s">
        <v>6860</v>
      </c>
      <c r="B2481" s="184">
        <v>24.680849219999999</v>
      </c>
      <c r="C2481" s="184">
        <v>-107.543426</v>
      </c>
    </row>
    <row r="2482" spans="1:3">
      <c r="A2482" s="184" t="s">
        <v>6863</v>
      </c>
      <c r="B2482" s="184">
        <v>24.759699999999999</v>
      </c>
      <c r="C2482" s="184">
        <v>-107.685</v>
      </c>
    </row>
    <row r="2483" spans="1:3">
      <c r="A2483" s="184" t="s">
        <v>6864</v>
      </c>
      <c r="B2483" s="184">
        <v>24.767455349999999</v>
      </c>
      <c r="C2483" s="184">
        <v>-107.608554</v>
      </c>
    </row>
    <row r="2484" spans="1:3">
      <c r="A2484" s="184" t="s">
        <v>6866</v>
      </c>
      <c r="B2484" s="184">
        <v>25.588508560000001</v>
      </c>
      <c r="C2484" s="184">
        <v>-108.15627929999999</v>
      </c>
    </row>
    <row r="2485" spans="1:3">
      <c r="A2485" s="184" t="s">
        <v>6870</v>
      </c>
      <c r="B2485" s="184">
        <v>25.479099999999999</v>
      </c>
      <c r="C2485" s="184">
        <v>-108.16800000000001</v>
      </c>
    </row>
    <row r="2486" spans="1:3">
      <c r="A2486" s="184" t="s">
        <v>6871</v>
      </c>
      <c r="B2486" s="184">
        <v>25.334016989999999</v>
      </c>
      <c r="C2486" s="184">
        <v>-107.9513585</v>
      </c>
    </row>
    <row r="2487" spans="1:3">
      <c r="A2487" s="184" t="s">
        <v>6874</v>
      </c>
      <c r="B2487" s="184">
        <v>25.58511356</v>
      </c>
      <c r="C2487" s="184">
        <v>-108.0567635</v>
      </c>
    </row>
    <row r="2488" spans="1:3">
      <c r="A2488" s="184" t="s">
        <v>6877</v>
      </c>
      <c r="B2488" s="184">
        <v>25.58532782</v>
      </c>
      <c r="C2488" s="184">
        <v>-108.0560682</v>
      </c>
    </row>
    <row r="2489" spans="1:3">
      <c r="A2489" s="184" t="s">
        <v>6878</v>
      </c>
      <c r="B2489" s="184">
        <v>25.584299999999999</v>
      </c>
      <c r="C2489" s="184">
        <v>-108.057</v>
      </c>
    </row>
    <row r="2490" spans="1:3">
      <c r="A2490" s="184" t="s">
        <v>6879</v>
      </c>
      <c r="B2490" s="184">
        <v>25.41230346</v>
      </c>
      <c r="C2490" s="184">
        <v>-108.0419899</v>
      </c>
    </row>
    <row r="2491" spans="1:3">
      <c r="A2491" s="184" t="s">
        <v>6881</v>
      </c>
      <c r="B2491" s="184">
        <v>25.455795999999999</v>
      </c>
      <c r="C2491" s="184">
        <v>-108.064143</v>
      </c>
    </row>
    <row r="2492" spans="1:3">
      <c r="A2492" s="184" t="s">
        <v>6883</v>
      </c>
      <c r="B2492" s="184">
        <v>25.457100000000001</v>
      </c>
      <c r="C2492" s="184">
        <v>-108.092</v>
      </c>
    </row>
    <row r="2493" spans="1:3">
      <c r="A2493" s="184" t="s">
        <v>6884</v>
      </c>
      <c r="B2493" s="184">
        <v>25.460999999999999</v>
      </c>
      <c r="C2493" s="184">
        <v>-108.09</v>
      </c>
    </row>
    <row r="2494" spans="1:3">
      <c r="A2494" s="184" t="s">
        <v>6885</v>
      </c>
      <c r="B2494" s="184">
        <v>25.462599999999998</v>
      </c>
      <c r="C2494" s="184">
        <v>-108.0823</v>
      </c>
    </row>
    <row r="2495" spans="1:3">
      <c r="A2495" s="184" t="s">
        <v>6886</v>
      </c>
      <c r="B2495" s="184">
        <v>25.603313369999999</v>
      </c>
      <c r="C2495" s="184">
        <v>-108.12398210000001</v>
      </c>
    </row>
    <row r="2496" spans="1:3">
      <c r="A2496" s="184" t="s">
        <v>6889</v>
      </c>
      <c r="B2496" s="184">
        <v>25.470566399999999</v>
      </c>
      <c r="C2496" s="184">
        <v>-108.068864</v>
      </c>
    </row>
    <row r="2497" spans="1:3">
      <c r="A2497" s="184" t="s">
        <v>6891</v>
      </c>
      <c r="B2497" s="184">
        <v>29.828219669999999</v>
      </c>
      <c r="C2497" s="184">
        <v>-110.22286560000001</v>
      </c>
    </row>
    <row r="2498" spans="1:3">
      <c r="A2498" s="184" t="s">
        <v>6896</v>
      </c>
      <c r="B2498" s="184">
        <v>29.808499999999999</v>
      </c>
      <c r="C2498" s="184">
        <v>-109.14100000000001</v>
      </c>
    </row>
    <row r="2499" spans="1:3">
      <c r="A2499" s="184" t="s">
        <v>6898</v>
      </c>
      <c r="B2499" s="184">
        <v>31.326243760000001</v>
      </c>
      <c r="C2499" s="184">
        <v>-110.9426577</v>
      </c>
    </row>
    <row r="2500" spans="1:3">
      <c r="A2500" s="184" t="s">
        <v>6900</v>
      </c>
      <c r="B2500" s="184">
        <v>28.981999999999999</v>
      </c>
      <c r="C2500" s="184">
        <v>-109.4</v>
      </c>
    </row>
    <row r="2501" spans="1:3">
      <c r="A2501" s="184" t="s">
        <v>6901</v>
      </c>
      <c r="B2501" s="184">
        <v>30.632482039999999</v>
      </c>
      <c r="C2501" s="184">
        <v>-109.96883819999999</v>
      </c>
    </row>
    <row r="2502" spans="1:3">
      <c r="A2502" s="184" t="s">
        <v>6904</v>
      </c>
      <c r="B2502" s="184">
        <v>30.63244164</v>
      </c>
      <c r="C2502" s="184">
        <v>-109.9637567</v>
      </c>
    </row>
    <row r="2503" spans="1:3">
      <c r="A2503" s="184" t="s">
        <v>6906</v>
      </c>
      <c r="B2503" s="184">
        <v>29.994335</v>
      </c>
      <c r="C2503" s="184">
        <v>-109.782675</v>
      </c>
    </row>
    <row r="2504" spans="1:3">
      <c r="A2504" s="184" t="s">
        <v>6908</v>
      </c>
      <c r="B2504" s="184">
        <v>29.939403200000001</v>
      </c>
      <c r="C2504" s="184">
        <v>-109.739766</v>
      </c>
    </row>
    <row r="2505" spans="1:3">
      <c r="A2505" s="184" t="s">
        <v>6910</v>
      </c>
      <c r="B2505" s="184">
        <v>29.993683040000001</v>
      </c>
      <c r="C2505" s="184">
        <v>-109.7985813</v>
      </c>
    </row>
    <row r="2506" spans="1:3">
      <c r="A2506" s="184" t="s">
        <v>6913</v>
      </c>
      <c r="B2506" s="184">
        <v>29.611626390000001</v>
      </c>
      <c r="C2506" s="184">
        <v>-109.47149520000001</v>
      </c>
    </row>
    <row r="2507" spans="1:3">
      <c r="A2507" s="184" t="s">
        <v>6916</v>
      </c>
      <c r="B2507" s="184">
        <v>28.822900000000001</v>
      </c>
      <c r="C2507" s="184">
        <v>-111.941</v>
      </c>
    </row>
    <row r="2508" spans="1:3">
      <c r="A2508" s="184" t="s">
        <v>6919</v>
      </c>
      <c r="B2508" s="184">
        <v>28.979599019999998</v>
      </c>
      <c r="C2508" s="184">
        <v>-111.70496919999999</v>
      </c>
    </row>
    <row r="2509" spans="1:3">
      <c r="A2509" s="184" t="s">
        <v>6922</v>
      </c>
      <c r="B2509" s="184">
        <v>28.319400000000002</v>
      </c>
      <c r="C2509" s="184">
        <v>-111.453</v>
      </c>
    </row>
    <row r="2510" spans="1:3">
      <c r="A2510" s="184" t="s">
        <v>6924</v>
      </c>
      <c r="B2510" s="184">
        <v>29.142900000000001</v>
      </c>
      <c r="C2510" s="184">
        <v>-110.88296200000001</v>
      </c>
    </row>
    <row r="2511" spans="1:3">
      <c r="A2511" s="184" t="s">
        <v>6926</v>
      </c>
      <c r="B2511" s="184">
        <v>29.2592885</v>
      </c>
      <c r="C2511" s="184">
        <v>-110.8863963</v>
      </c>
    </row>
    <row r="2512" spans="1:3">
      <c r="A2512" s="184" t="s">
        <v>6929</v>
      </c>
      <c r="B2512" s="184">
        <v>29.089679319999998</v>
      </c>
      <c r="C2512" s="184">
        <v>-111.04678699999999</v>
      </c>
    </row>
    <row r="2513" spans="1:3">
      <c r="A2513" s="184" t="s">
        <v>6931</v>
      </c>
      <c r="B2513" s="184">
        <v>29.07601343</v>
      </c>
      <c r="C2513" s="184">
        <v>-110.9403023</v>
      </c>
    </row>
    <row r="2514" spans="1:3">
      <c r="A2514" s="184" t="s">
        <v>6932</v>
      </c>
      <c r="B2514" s="184">
        <v>29.099540000000001</v>
      </c>
      <c r="C2514" s="184">
        <v>-110.975088</v>
      </c>
    </row>
    <row r="2515" spans="1:3">
      <c r="A2515" s="184" t="s">
        <v>6933</v>
      </c>
      <c r="B2515" s="184">
        <v>29.116381100000002</v>
      </c>
      <c r="C2515" s="184">
        <v>-110.9718024</v>
      </c>
    </row>
    <row r="2516" spans="1:3">
      <c r="A2516" s="184" t="s">
        <v>6934</v>
      </c>
      <c r="B2516" s="184">
        <v>32.321115919999997</v>
      </c>
      <c r="C2516" s="184">
        <v>-114.8900867</v>
      </c>
    </row>
    <row r="2517" spans="1:3">
      <c r="A2517" s="184" t="s">
        <v>6938</v>
      </c>
      <c r="B2517" s="184">
        <v>29.0813168</v>
      </c>
      <c r="C2517" s="184">
        <v>-111.0050473</v>
      </c>
    </row>
    <row r="2518" spans="1:3">
      <c r="A2518" s="184" t="s">
        <v>6939</v>
      </c>
      <c r="B2518" s="184">
        <v>29.071741599999999</v>
      </c>
      <c r="C2518" s="184">
        <v>-110.955854</v>
      </c>
    </row>
    <row r="2519" spans="1:3">
      <c r="A2519" s="184" t="s">
        <v>6940</v>
      </c>
      <c r="B2519" s="184">
        <v>29.118303000000001</v>
      </c>
      <c r="C2519" s="184">
        <v>-110.98538000000001</v>
      </c>
    </row>
    <row r="2520" spans="1:3">
      <c r="A2520" s="184" t="s">
        <v>6941</v>
      </c>
      <c r="B2520" s="184">
        <v>29.006554600000001</v>
      </c>
      <c r="C2520" s="184">
        <v>-110.92118739999999</v>
      </c>
    </row>
    <row r="2521" spans="1:3">
      <c r="A2521" s="184" t="s">
        <v>6942</v>
      </c>
      <c r="B2521" s="184">
        <v>29.129276699999998</v>
      </c>
      <c r="C2521" s="184">
        <v>-110.9972253</v>
      </c>
    </row>
    <row r="2522" spans="1:3">
      <c r="A2522" s="184" t="s">
        <v>6943</v>
      </c>
      <c r="B2522" s="184">
        <v>29.031845000000001</v>
      </c>
      <c r="C2522" s="184">
        <v>-110.976832</v>
      </c>
    </row>
    <row r="2523" spans="1:3">
      <c r="A2523" s="184" t="s">
        <v>6944</v>
      </c>
      <c r="B2523" s="184">
        <v>29.045400000000001</v>
      </c>
      <c r="C2523" s="184">
        <v>-110.99354200000001</v>
      </c>
    </row>
    <row r="2524" spans="1:3">
      <c r="A2524" s="184" t="s">
        <v>6945</v>
      </c>
      <c r="B2524" s="184">
        <v>29.049299999999999</v>
      </c>
      <c r="C2524" s="184">
        <v>-110.96299999999999</v>
      </c>
    </row>
    <row r="2525" spans="1:3">
      <c r="A2525" s="184" t="s">
        <v>6946</v>
      </c>
      <c r="B2525" s="184">
        <v>29.141964999999999</v>
      </c>
      <c r="C2525" s="184">
        <v>-110.985</v>
      </c>
    </row>
    <row r="2526" spans="1:3">
      <c r="A2526" s="184" t="s">
        <v>6947</v>
      </c>
      <c r="B2526" s="184">
        <v>29.086656000000001</v>
      </c>
      <c r="C2526" s="184">
        <v>-110.953357</v>
      </c>
    </row>
    <row r="2527" spans="1:3">
      <c r="A2527" s="184" t="s">
        <v>6948</v>
      </c>
      <c r="B2527" s="184">
        <v>29.077431000000001</v>
      </c>
      <c r="C2527" s="184">
        <v>-110.92699</v>
      </c>
    </row>
    <row r="2528" spans="1:3">
      <c r="A2528" s="184" t="s">
        <v>6949</v>
      </c>
      <c r="B2528" s="184">
        <v>29.101803</v>
      </c>
      <c r="C2528" s="184">
        <v>-111.00559199999999</v>
      </c>
    </row>
    <row r="2529" spans="1:3">
      <c r="A2529" s="184" t="s">
        <v>6950</v>
      </c>
      <c r="B2529" s="184">
        <v>29.130520000000001</v>
      </c>
      <c r="C2529" s="184">
        <v>-110.976826</v>
      </c>
    </row>
    <row r="2530" spans="1:3">
      <c r="A2530" s="184" t="s">
        <v>6951</v>
      </c>
      <c r="B2530" s="184">
        <v>29.0995381</v>
      </c>
      <c r="C2530" s="184">
        <v>-110.97535619999999</v>
      </c>
    </row>
    <row r="2531" spans="1:3">
      <c r="A2531" s="184" t="s">
        <v>6952</v>
      </c>
      <c r="B2531" s="184">
        <v>29.099332400000002</v>
      </c>
      <c r="C2531" s="184">
        <v>-110.9749341</v>
      </c>
    </row>
    <row r="2532" spans="1:3">
      <c r="A2532" s="184" t="s">
        <v>6953</v>
      </c>
      <c r="B2532" s="184">
        <v>29.030528</v>
      </c>
      <c r="C2532" s="184">
        <v>-110.955832</v>
      </c>
    </row>
    <row r="2533" spans="1:3">
      <c r="A2533" s="184" t="s">
        <v>6954</v>
      </c>
      <c r="B2533" s="184">
        <v>29.124889</v>
      </c>
      <c r="C2533" s="184">
        <v>-111.020098</v>
      </c>
    </row>
    <row r="2534" spans="1:3">
      <c r="A2534" s="184" t="s">
        <v>6955</v>
      </c>
      <c r="B2534" s="184">
        <v>29.124752000000001</v>
      </c>
      <c r="C2534" s="184">
        <v>-111.020876</v>
      </c>
    </row>
    <row r="2535" spans="1:3">
      <c r="A2535" s="184" t="s">
        <v>6956</v>
      </c>
      <c r="B2535" s="184">
        <v>29.062974000000001</v>
      </c>
      <c r="C2535" s="184">
        <v>-110.963668</v>
      </c>
    </row>
    <row r="2536" spans="1:3">
      <c r="A2536" s="184" t="s">
        <v>6957</v>
      </c>
      <c r="B2536" s="184">
        <v>29.124836999999999</v>
      </c>
      <c r="C2536" s="184">
        <v>-111.020585</v>
      </c>
    </row>
    <row r="2537" spans="1:3">
      <c r="A2537" s="184" t="s">
        <v>6958</v>
      </c>
      <c r="B2537" s="184">
        <v>29.124893</v>
      </c>
      <c r="C2537" s="184">
        <v>-111.019818</v>
      </c>
    </row>
    <row r="2538" spans="1:3">
      <c r="A2538" s="184" t="s">
        <v>6959</v>
      </c>
      <c r="B2538" s="184">
        <v>29.063002999999998</v>
      </c>
      <c r="C2538" s="184">
        <v>-110.964191</v>
      </c>
    </row>
    <row r="2539" spans="1:3">
      <c r="A2539" s="184" t="s">
        <v>6960</v>
      </c>
      <c r="B2539" s="184">
        <v>29.13483888</v>
      </c>
      <c r="C2539" s="184">
        <v>-111.0488197</v>
      </c>
    </row>
    <row r="2540" spans="1:3">
      <c r="A2540" s="184" t="s">
        <v>6962</v>
      </c>
      <c r="B2540" s="184">
        <v>29.124500999999999</v>
      </c>
      <c r="C2540" s="184">
        <v>-110.89124099999999</v>
      </c>
    </row>
    <row r="2541" spans="1:3">
      <c r="A2541" s="184" t="s">
        <v>6965</v>
      </c>
      <c r="B2541" s="184">
        <v>29.124915040000001</v>
      </c>
      <c r="C2541" s="184">
        <v>-110.8914528</v>
      </c>
    </row>
    <row r="2542" spans="1:3">
      <c r="A2542" s="184" t="s">
        <v>6967</v>
      </c>
      <c r="B2542" s="184">
        <v>29.108396939999999</v>
      </c>
      <c r="C2542" s="184">
        <v>-110.8363686</v>
      </c>
    </row>
    <row r="2543" spans="1:3">
      <c r="A2543" s="184" t="s">
        <v>6970</v>
      </c>
      <c r="B2543" s="184">
        <v>28.748447689999999</v>
      </c>
      <c r="C2543" s="184">
        <v>-111.6427363</v>
      </c>
    </row>
    <row r="2544" spans="1:3">
      <c r="A2544" s="184" t="s">
        <v>6972</v>
      </c>
      <c r="B2544" s="184">
        <v>29.201700599999999</v>
      </c>
      <c r="C2544" s="184">
        <v>-110.7668761</v>
      </c>
    </row>
    <row r="2545" spans="1:3">
      <c r="A2545" s="184" t="s">
        <v>6975</v>
      </c>
      <c r="B2545" s="184">
        <v>29.014779860000001</v>
      </c>
      <c r="C2545" s="184">
        <v>-112.1584404</v>
      </c>
    </row>
    <row r="2546" spans="1:3">
      <c r="A2546" s="184" t="s">
        <v>6978</v>
      </c>
      <c r="B2546" s="184">
        <v>29.016472279999999</v>
      </c>
      <c r="C2546" s="184">
        <v>-112.1590178</v>
      </c>
    </row>
    <row r="2547" spans="1:3">
      <c r="A2547" s="184" t="s">
        <v>6980</v>
      </c>
      <c r="B2547" s="184">
        <v>29.014040999999999</v>
      </c>
      <c r="C2547" s="184">
        <v>-112.160841</v>
      </c>
    </row>
    <row r="2548" spans="1:3">
      <c r="A2548" s="184" t="s">
        <v>6981</v>
      </c>
      <c r="B2548" s="184">
        <v>29.17655302</v>
      </c>
      <c r="C2548" s="184">
        <v>-110.8817906</v>
      </c>
    </row>
    <row r="2549" spans="1:3">
      <c r="A2549" s="184" t="s">
        <v>6984</v>
      </c>
      <c r="B2549" s="184">
        <v>29.1782</v>
      </c>
      <c r="C2549" s="184">
        <v>-110.884</v>
      </c>
    </row>
    <row r="2550" spans="1:3">
      <c r="A2550" s="184" t="s">
        <v>6986</v>
      </c>
      <c r="B2550" s="184">
        <v>30.204536560000001</v>
      </c>
      <c r="C2550" s="184">
        <v>-108.9602831</v>
      </c>
    </row>
    <row r="2551" spans="1:3">
      <c r="A2551" s="184" t="s">
        <v>6989</v>
      </c>
      <c r="B2551" s="184">
        <v>29.802230000000002</v>
      </c>
      <c r="C2551" s="184">
        <v>-109.6813356</v>
      </c>
    </row>
    <row r="2552" spans="1:3">
      <c r="A2552" s="184" t="s">
        <v>6990</v>
      </c>
      <c r="B2552" s="184">
        <v>29.632917450000001</v>
      </c>
      <c r="C2552" s="184">
        <v>-108.9878291</v>
      </c>
    </row>
    <row r="2553" spans="1:3">
      <c r="A2553" s="184" t="s">
        <v>6993</v>
      </c>
      <c r="B2553" s="184">
        <v>30.374199999999998</v>
      </c>
      <c r="C2553" s="184">
        <v>-109.68600000000001</v>
      </c>
    </row>
    <row r="2554" spans="1:3">
      <c r="A2554" s="184" t="s">
        <v>6995</v>
      </c>
      <c r="B2554" s="184">
        <v>28.461977350000002</v>
      </c>
      <c r="C2554" s="184">
        <v>-109.5296436</v>
      </c>
    </row>
    <row r="2555" spans="1:3">
      <c r="A2555" s="184" t="s">
        <v>6998</v>
      </c>
      <c r="B2555" s="184">
        <v>28.46271806</v>
      </c>
      <c r="C2555" s="184">
        <v>-109.5264825</v>
      </c>
    </row>
    <row r="2556" spans="1:3">
      <c r="A2556" s="184" t="s">
        <v>6999</v>
      </c>
      <c r="B2556" s="184">
        <v>29.86500925</v>
      </c>
      <c r="C2556" s="184">
        <v>-110.23788810000001</v>
      </c>
    </row>
    <row r="2557" spans="1:3">
      <c r="A2557" s="184" t="s">
        <v>7001</v>
      </c>
      <c r="B2557" s="184">
        <v>29.484460550000001</v>
      </c>
      <c r="C2557" s="184">
        <v>-110.7259351</v>
      </c>
    </row>
    <row r="2558" spans="1:3">
      <c r="A2558" s="184" t="s">
        <v>7003</v>
      </c>
      <c r="B2558" s="184">
        <v>29.486799999999999</v>
      </c>
      <c r="C2558" s="184">
        <v>-110.72499999999999</v>
      </c>
    </row>
    <row r="2559" spans="1:3">
      <c r="A2559" s="184" t="s">
        <v>7004</v>
      </c>
      <c r="B2559" s="184">
        <v>29.532709489999998</v>
      </c>
      <c r="C2559" s="184">
        <v>-109.527079</v>
      </c>
    </row>
    <row r="2560" spans="1:3">
      <c r="A2560" s="184" t="s">
        <v>7007</v>
      </c>
      <c r="B2560" s="184">
        <v>29.20627374</v>
      </c>
      <c r="C2560" s="184">
        <v>-110.1440257</v>
      </c>
    </row>
    <row r="2561" spans="1:3">
      <c r="A2561" s="184" t="s">
        <v>7010</v>
      </c>
      <c r="B2561" s="184">
        <v>25.919499999999999</v>
      </c>
      <c r="C2561" s="184">
        <v>-109.176</v>
      </c>
    </row>
    <row r="2562" spans="1:3">
      <c r="A2562" s="184" t="s">
        <v>7012</v>
      </c>
      <c r="B2562" s="184">
        <v>26.112200000000001</v>
      </c>
      <c r="C2562" s="184">
        <v>-109.173</v>
      </c>
    </row>
    <row r="2563" spans="1:3">
      <c r="A2563" s="184" t="s">
        <v>7014</v>
      </c>
      <c r="B2563" s="184">
        <v>25.750900000000001</v>
      </c>
      <c r="C2563" s="184">
        <v>-109.029</v>
      </c>
    </row>
    <row r="2564" spans="1:3">
      <c r="A2564" s="184" t="s">
        <v>7016</v>
      </c>
      <c r="B2564" s="184">
        <v>25.716143750000001</v>
      </c>
      <c r="C2564" s="184">
        <v>-108.9768327</v>
      </c>
    </row>
    <row r="2565" spans="1:3">
      <c r="A2565" s="184" t="s">
        <v>7019</v>
      </c>
      <c r="B2565" s="184">
        <v>25.950557079999999</v>
      </c>
      <c r="C2565" s="184">
        <v>-109.0472058</v>
      </c>
    </row>
    <row r="2566" spans="1:3">
      <c r="A2566" s="184" t="s">
        <v>7022</v>
      </c>
      <c r="B2566" s="184">
        <v>26.2662908</v>
      </c>
      <c r="C2566" s="184">
        <v>-109.03464200000001</v>
      </c>
    </row>
    <row r="2567" spans="1:3">
      <c r="A2567" s="184" t="s">
        <v>7024</v>
      </c>
      <c r="B2567" s="184">
        <v>26.08411547</v>
      </c>
      <c r="C2567" s="184">
        <v>-109.3785227</v>
      </c>
    </row>
    <row r="2568" spans="1:3">
      <c r="A2568" s="184" t="s">
        <v>7026</v>
      </c>
      <c r="B2568" s="184">
        <v>25.771093100000002</v>
      </c>
      <c r="C2568" s="184">
        <v>-108.988561</v>
      </c>
    </row>
    <row r="2569" spans="1:3">
      <c r="A2569" s="184" t="s">
        <v>7028</v>
      </c>
      <c r="B2569" s="184">
        <v>25.771899999999999</v>
      </c>
      <c r="C2569" s="184">
        <v>-108.989</v>
      </c>
    </row>
    <row r="2570" spans="1:3">
      <c r="A2570" s="184" t="s">
        <v>7029</v>
      </c>
      <c r="B2570" s="184">
        <v>25.777899999999999</v>
      </c>
      <c r="C2570" s="184">
        <v>-108.99299999999999</v>
      </c>
    </row>
    <row r="2571" spans="1:3">
      <c r="A2571" s="184" t="s">
        <v>7030</v>
      </c>
      <c r="B2571" s="184">
        <v>25.7775</v>
      </c>
      <c r="C2571" s="184">
        <v>-108.99299999999999</v>
      </c>
    </row>
    <row r="2572" spans="1:3">
      <c r="A2572" s="184" t="s">
        <v>7031</v>
      </c>
      <c r="B2572" s="184">
        <v>25.796700000000001</v>
      </c>
      <c r="C2572" s="184">
        <v>-109.021</v>
      </c>
    </row>
    <row r="2573" spans="1:3">
      <c r="A2573" s="184" t="s">
        <v>7032</v>
      </c>
      <c r="B2573" s="184">
        <v>25.716757529999999</v>
      </c>
      <c r="C2573" s="184">
        <v>-108.97696879999999</v>
      </c>
    </row>
    <row r="2574" spans="1:3">
      <c r="A2574" s="184" t="s">
        <v>7035</v>
      </c>
      <c r="B2574" s="184">
        <v>26.051502679999999</v>
      </c>
      <c r="C2574" s="184">
        <v>-109.2779931</v>
      </c>
    </row>
    <row r="2575" spans="1:3">
      <c r="A2575" s="184" t="s">
        <v>7036</v>
      </c>
      <c r="B2575" s="184">
        <v>26.622341899999999</v>
      </c>
      <c r="C2575" s="184">
        <v>-108.32197290000001</v>
      </c>
    </row>
    <row r="2576" spans="1:3">
      <c r="A2576" s="184" t="s">
        <v>7039</v>
      </c>
      <c r="B2576" s="184">
        <v>26.619547170000001</v>
      </c>
      <c r="C2576" s="184">
        <v>-108.3222403</v>
      </c>
    </row>
    <row r="2577" spans="1:3">
      <c r="A2577" s="184" t="s">
        <v>7040</v>
      </c>
      <c r="B2577" s="184">
        <v>26.735099999999999</v>
      </c>
      <c r="C2577" s="184">
        <v>-108.57599999999999</v>
      </c>
    </row>
    <row r="2578" spans="1:3">
      <c r="A2578" s="184" t="s">
        <v>7042</v>
      </c>
      <c r="B2578" s="184">
        <v>26.781779</v>
      </c>
      <c r="C2578" s="184">
        <v>-108.27174789999999</v>
      </c>
    </row>
    <row r="2579" spans="1:3">
      <c r="A2579" s="184" t="s">
        <v>7044</v>
      </c>
      <c r="B2579" s="184">
        <v>26.401132090000001</v>
      </c>
      <c r="C2579" s="184">
        <v>-108.65318190000001</v>
      </c>
    </row>
    <row r="2580" spans="1:3">
      <c r="A2580" s="184" t="s">
        <v>7047</v>
      </c>
      <c r="B2580" s="184">
        <v>25.9618</v>
      </c>
      <c r="C2580" s="184">
        <v>-108.9061</v>
      </c>
    </row>
    <row r="2581" spans="1:3">
      <c r="A2581" s="184" t="s">
        <v>7049</v>
      </c>
      <c r="B2581" s="184">
        <v>25.979399999999998</v>
      </c>
      <c r="C2581" s="184">
        <v>-108.928</v>
      </c>
    </row>
    <row r="2582" spans="1:3">
      <c r="A2582" s="184" t="s">
        <v>7051</v>
      </c>
      <c r="B2582" s="184">
        <v>25.933072379999999</v>
      </c>
      <c r="C2582" s="184">
        <v>-108.8523813</v>
      </c>
    </row>
    <row r="2583" spans="1:3">
      <c r="A2583" s="184" t="s">
        <v>7054</v>
      </c>
      <c r="B2583" s="184">
        <v>25.820491969999999</v>
      </c>
      <c r="C2583" s="184">
        <v>-108.8662065</v>
      </c>
    </row>
    <row r="2584" spans="1:3">
      <c r="A2584" s="184" t="s">
        <v>7057</v>
      </c>
      <c r="B2584" s="184">
        <v>25.820324289999999</v>
      </c>
      <c r="C2584" s="184">
        <v>-108.8661884</v>
      </c>
    </row>
    <row r="2585" spans="1:3">
      <c r="A2585" s="184" t="s">
        <v>7059</v>
      </c>
      <c r="B2585" s="184">
        <v>26.048618050000002</v>
      </c>
      <c r="C2585" s="184">
        <v>-108.7982715</v>
      </c>
    </row>
    <row r="2586" spans="1:3">
      <c r="A2586" s="184" t="s">
        <v>7062</v>
      </c>
      <c r="B2586" s="184">
        <v>26.4254</v>
      </c>
      <c r="C2586" s="184">
        <v>-108.515</v>
      </c>
    </row>
    <row r="2587" spans="1:3">
      <c r="A2587" s="184" t="s">
        <v>7064</v>
      </c>
      <c r="B2587" s="184">
        <v>26.157555110000001</v>
      </c>
      <c r="C2587" s="184">
        <v>-108.7601018</v>
      </c>
    </row>
    <row r="2588" spans="1:3">
      <c r="A2588" s="184" t="s">
        <v>7067</v>
      </c>
      <c r="B2588" s="184">
        <v>26.150190800000001</v>
      </c>
      <c r="C2588" s="184">
        <v>-108.736068</v>
      </c>
    </row>
    <row r="2589" spans="1:3">
      <c r="A2589" s="184" t="s">
        <v>7070</v>
      </c>
      <c r="B2589" s="184">
        <v>25.706099999999999</v>
      </c>
      <c r="C2589" s="184">
        <v>-108.345</v>
      </c>
    </row>
    <row r="2590" spans="1:3">
      <c r="A2590" s="184" t="s">
        <v>7073</v>
      </c>
      <c r="B2590" s="184">
        <v>25.533190470000001</v>
      </c>
      <c r="C2590" s="184">
        <v>-108.70226409999999</v>
      </c>
    </row>
    <row r="2591" spans="1:3">
      <c r="A2591" s="184" t="s">
        <v>7075</v>
      </c>
      <c r="B2591" s="184">
        <v>25.656301500000001</v>
      </c>
      <c r="C2591" s="184">
        <v>-108.6457546</v>
      </c>
    </row>
    <row r="2592" spans="1:3">
      <c r="A2592" s="184" t="s">
        <v>7078</v>
      </c>
      <c r="B2592" s="184">
        <v>25.539400000000001</v>
      </c>
      <c r="C2592" s="184">
        <v>-108.4111</v>
      </c>
    </row>
    <row r="2593" spans="1:3">
      <c r="A2593" s="184" t="s">
        <v>7080</v>
      </c>
      <c r="B2593" s="184">
        <v>25.495612529999999</v>
      </c>
      <c r="C2593" s="184">
        <v>-108.7447241</v>
      </c>
    </row>
    <row r="2594" spans="1:3">
      <c r="A2594" s="184" t="s">
        <v>7083</v>
      </c>
      <c r="B2594" s="184">
        <v>25.493600000000001</v>
      </c>
      <c r="C2594" s="184">
        <v>-108.746</v>
      </c>
    </row>
    <row r="2595" spans="1:3">
      <c r="A2595" s="184" t="s">
        <v>7084</v>
      </c>
      <c r="B2595" s="184">
        <v>25.479900000000001</v>
      </c>
      <c r="C2595" s="184">
        <v>-108.5172</v>
      </c>
    </row>
    <row r="2596" spans="1:3">
      <c r="A2596" s="184" t="s">
        <v>7086</v>
      </c>
      <c r="B2596" s="184">
        <v>25.660900000000002</v>
      </c>
      <c r="C2596" s="184">
        <v>-108.6202</v>
      </c>
    </row>
    <row r="2597" spans="1:3">
      <c r="A2597" s="184" t="s">
        <v>7088</v>
      </c>
      <c r="B2597" s="184">
        <v>25.5530893</v>
      </c>
      <c r="C2597" s="184">
        <v>-108.4751021</v>
      </c>
    </row>
    <row r="2598" spans="1:3">
      <c r="A2598" s="184" t="s">
        <v>7089</v>
      </c>
      <c r="B2598" s="184">
        <v>32.450511570000003</v>
      </c>
      <c r="C2598" s="184">
        <v>-114.8646227</v>
      </c>
    </row>
    <row r="2599" spans="1:3">
      <c r="A2599" s="184" t="s">
        <v>7092</v>
      </c>
      <c r="B2599" s="184">
        <v>25.761800000000001</v>
      </c>
      <c r="C2599" s="184">
        <v>-108.819</v>
      </c>
    </row>
    <row r="2600" spans="1:3">
      <c r="A2600" s="184" t="s">
        <v>7094</v>
      </c>
      <c r="B2600" s="184">
        <v>25.53681078</v>
      </c>
      <c r="C2600" s="184">
        <v>-108.5465241</v>
      </c>
    </row>
    <row r="2601" spans="1:3">
      <c r="A2601" s="184" t="s">
        <v>7096</v>
      </c>
      <c r="B2601" s="184">
        <v>25.407554520000001</v>
      </c>
      <c r="C2601" s="184">
        <v>-108.3584094</v>
      </c>
    </row>
    <row r="2602" spans="1:3">
      <c r="A2602" s="184" t="s">
        <v>7099</v>
      </c>
      <c r="B2602" s="184">
        <v>25.3841961</v>
      </c>
      <c r="C2602" s="184">
        <v>-108.5408</v>
      </c>
    </row>
    <row r="2603" spans="1:3">
      <c r="A2603" s="184" t="s">
        <v>7101</v>
      </c>
      <c r="B2603" s="184">
        <v>25.7319</v>
      </c>
      <c r="C2603" s="184">
        <v>-108.346</v>
      </c>
    </row>
    <row r="2604" spans="1:3">
      <c r="A2604" s="184" t="s">
        <v>7104</v>
      </c>
      <c r="B2604" s="184">
        <v>25.577541419999999</v>
      </c>
      <c r="C2604" s="184">
        <v>-108.5441065</v>
      </c>
    </row>
    <row r="2605" spans="1:3">
      <c r="A2605" s="184" t="s">
        <v>7107</v>
      </c>
      <c r="B2605" s="184">
        <v>25.548100000000002</v>
      </c>
      <c r="C2605" s="184">
        <v>-108.33499999999999</v>
      </c>
    </row>
    <row r="2606" spans="1:3">
      <c r="A2606" s="184" t="s">
        <v>7109</v>
      </c>
      <c r="B2606" s="184">
        <v>25.594050200000002</v>
      </c>
      <c r="C2606" s="184">
        <v>-108.47040269999999</v>
      </c>
    </row>
    <row r="2607" spans="1:3">
      <c r="A2607" s="184" t="s">
        <v>7112</v>
      </c>
      <c r="B2607" s="184">
        <v>25.870225520000002</v>
      </c>
      <c r="C2607" s="184">
        <v>-107.9881219</v>
      </c>
    </row>
    <row r="2608" spans="1:3">
      <c r="A2608" s="184" t="s">
        <v>7115</v>
      </c>
      <c r="B2608" s="184">
        <v>25.867831599999999</v>
      </c>
      <c r="C2608" s="184">
        <v>-107.9859853</v>
      </c>
    </row>
    <row r="2609" spans="1:3">
      <c r="A2609" s="184" t="s">
        <v>7117</v>
      </c>
      <c r="B2609" s="184">
        <v>26.144853999999999</v>
      </c>
      <c r="C2609" s="184">
        <v>-107.89179439999999</v>
      </c>
    </row>
    <row r="2610" spans="1:3">
      <c r="A2610" s="184" t="s">
        <v>7120</v>
      </c>
      <c r="B2610" s="184">
        <v>25.706985700000001</v>
      </c>
      <c r="C2610" s="184">
        <v>-108.3454861</v>
      </c>
    </row>
    <row r="2611" spans="1:3">
      <c r="A2611" s="184" t="s">
        <v>7122</v>
      </c>
      <c r="B2611" s="184">
        <v>23.437200000000001</v>
      </c>
      <c r="C2611" s="184">
        <v>-105.81100000000001</v>
      </c>
    </row>
    <row r="2612" spans="1:3">
      <c r="A2612" s="184" t="s">
        <v>7124</v>
      </c>
      <c r="B2612" s="184">
        <v>23.2853976</v>
      </c>
      <c r="C2612" s="184">
        <v>-106.066862</v>
      </c>
    </row>
    <row r="2613" spans="1:3">
      <c r="A2613" s="184" t="s">
        <v>7126</v>
      </c>
      <c r="B2613" s="184">
        <v>23.2879</v>
      </c>
      <c r="C2613" s="184">
        <v>-106.071</v>
      </c>
    </row>
    <row r="2614" spans="1:3">
      <c r="A2614" s="184" t="s">
        <v>7127</v>
      </c>
      <c r="B2614" s="184">
        <v>23.432066379999998</v>
      </c>
      <c r="C2614" s="184">
        <v>-105.8086734</v>
      </c>
    </row>
    <row r="2615" spans="1:3">
      <c r="A2615" s="184" t="s">
        <v>7130</v>
      </c>
      <c r="B2615" s="184">
        <v>23.4267</v>
      </c>
      <c r="C2615" s="184">
        <v>-105.803</v>
      </c>
    </row>
    <row r="2616" spans="1:3">
      <c r="A2616" s="184" t="s">
        <v>7131</v>
      </c>
      <c r="B2616" s="184">
        <v>23.426661920000001</v>
      </c>
      <c r="C2616" s="184">
        <v>-105.8031994</v>
      </c>
    </row>
    <row r="2617" spans="1:3">
      <c r="A2617" s="184" t="s">
        <v>7133</v>
      </c>
      <c r="B2617" s="184">
        <v>23.292294640000001</v>
      </c>
      <c r="C2617" s="184">
        <v>-106.0618501</v>
      </c>
    </row>
    <row r="2618" spans="1:3">
      <c r="A2618" s="184" t="s">
        <v>7136</v>
      </c>
      <c r="B2618" s="184">
        <v>23.293106699999999</v>
      </c>
      <c r="C2618" s="184">
        <v>-106.05227309999999</v>
      </c>
    </row>
    <row r="2619" spans="1:3">
      <c r="A2619" s="184" t="s">
        <v>7138</v>
      </c>
      <c r="B2619" s="184">
        <v>23.2886636</v>
      </c>
      <c r="C2619" s="184">
        <v>-106.06742850000001</v>
      </c>
    </row>
    <row r="2620" spans="1:3">
      <c r="A2620" s="184" t="s">
        <v>7140</v>
      </c>
      <c r="B2620" s="184">
        <v>26.015265299999999</v>
      </c>
      <c r="C2620" s="184">
        <v>-98.286781129999994</v>
      </c>
    </row>
    <row r="2621" spans="1:3">
      <c r="A2621" s="184" t="s">
        <v>7144</v>
      </c>
      <c r="B2621" s="184">
        <v>26.031677030000001</v>
      </c>
      <c r="C2621" s="184">
        <v>-98.202365540000002</v>
      </c>
    </row>
    <row r="2622" spans="1:3">
      <c r="A2622" s="184" t="s">
        <v>7147</v>
      </c>
      <c r="B2622" s="184">
        <v>26.14582635</v>
      </c>
      <c r="C2622" s="184">
        <v>-98.347518969999996</v>
      </c>
    </row>
    <row r="2623" spans="1:3">
      <c r="A2623" s="184" t="s">
        <v>7149</v>
      </c>
      <c r="B2623" s="184">
        <v>23.306823059999999</v>
      </c>
      <c r="C2623" s="184">
        <v>-99.547063010000002</v>
      </c>
    </row>
    <row r="2624" spans="1:3">
      <c r="A2624" s="184" t="s">
        <v>7151</v>
      </c>
      <c r="B2624" s="184">
        <v>26.105154120000002</v>
      </c>
      <c r="C2624" s="184">
        <v>-98.322912329999994</v>
      </c>
    </row>
    <row r="2625" spans="1:3">
      <c r="A2625" s="184" t="s">
        <v>7152</v>
      </c>
      <c r="B2625" s="184">
        <v>22.99250962</v>
      </c>
      <c r="C2625" s="184">
        <v>-99.870894759999999</v>
      </c>
    </row>
    <row r="2626" spans="1:3">
      <c r="A2626" s="184" t="s">
        <v>7155</v>
      </c>
      <c r="B2626" s="184">
        <v>22.39134902</v>
      </c>
      <c r="C2626" s="184">
        <v>-98.772991730000001</v>
      </c>
    </row>
    <row r="2627" spans="1:3">
      <c r="A2627" s="184" t="s">
        <v>7159</v>
      </c>
      <c r="B2627" s="184">
        <v>22.968926069999998</v>
      </c>
      <c r="C2627" s="184">
        <v>-100.0578809</v>
      </c>
    </row>
    <row r="2628" spans="1:3">
      <c r="A2628" s="184" t="s">
        <v>7160</v>
      </c>
      <c r="B2628" s="184">
        <v>25.611264970000001</v>
      </c>
      <c r="C2628" s="184">
        <v>-97.67551478</v>
      </c>
    </row>
    <row r="2629" spans="1:3">
      <c r="A2629" s="184" t="s">
        <v>7163</v>
      </c>
      <c r="B2629" s="184">
        <v>25.041327500000001</v>
      </c>
      <c r="C2629" s="184">
        <v>-98.80043766</v>
      </c>
    </row>
    <row r="2630" spans="1:3">
      <c r="A2630" s="184" t="s">
        <v>7167</v>
      </c>
      <c r="B2630" s="184">
        <v>25.665655709999999</v>
      </c>
      <c r="C2630" s="184">
        <v>-97.681715859999997</v>
      </c>
    </row>
    <row r="2631" spans="1:3">
      <c r="A2631" s="184" t="s">
        <v>7169</v>
      </c>
      <c r="B2631" s="184">
        <v>22.951143259999998</v>
      </c>
      <c r="C2631" s="184">
        <v>-99.769453110000001</v>
      </c>
    </row>
    <row r="2632" spans="1:3">
      <c r="A2632" s="184" t="s">
        <v>7171</v>
      </c>
      <c r="B2632" s="184">
        <v>23.45220162</v>
      </c>
      <c r="C2632" s="184">
        <v>-99.558357999999998</v>
      </c>
    </row>
    <row r="2633" spans="1:3">
      <c r="A2633" s="184" t="s">
        <v>7174</v>
      </c>
      <c r="B2633" s="184">
        <v>23.783379660000001</v>
      </c>
      <c r="C2633" s="184">
        <v>-99.099847710000006</v>
      </c>
    </row>
    <row r="2634" spans="1:3">
      <c r="A2634" s="184" t="s">
        <v>7176</v>
      </c>
      <c r="B2634" s="184">
        <v>23.371584179999999</v>
      </c>
      <c r="C2634" s="184">
        <v>-100.0821868</v>
      </c>
    </row>
    <row r="2635" spans="1:3">
      <c r="A2635" s="184" t="s">
        <v>7179</v>
      </c>
      <c r="B2635" s="184">
        <v>26.025916989999999</v>
      </c>
      <c r="C2635" s="184">
        <v>-97.80728302</v>
      </c>
    </row>
    <row r="2636" spans="1:3">
      <c r="A2636" s="184" t="s">
        <v>7182</v>
      </c>
      <c r="B2636" s="184">
        <v>22.844943319999999</v>
      </c>
      <c r="C2636" s="184">
        <v>-99.335682930000004</v>
      </c>
    </row>
    <row r="2637" spans="1:3">
      <c r="A2637" s="184" t="s">
        <v>7185</v>
      </c>
      <c r="B2637" s="184">
        <v>23.537270500000002</v>
      </c>
      <c r="C2637" s="184">
        <v>-99.936980070000004</v>
      </c>
    </row>
    <row r="2638" spans="1:3">
      <c r="A2638" s="184" t="s">
        <v>7188</v>
      </c>
      <c r="B2638" s="184">
        <v>22.608809569999998</v>
      </c>
      <c r="C2638" s="184">
        <v>-99.053696930000001</v>
      </c>
    </row>
    <row r="2639" spans="1:3">
      <c r="A2639" s="184" t="s">
        <v>7192</v>
      </c>
      <c r="B2639" s="184">
        <v>26.062617419999999</v>
      </c>
      <c r="C2639" s="184">
        <v>-98.387092789999997</v>
      </c>
    </row>
    <row r="2640" spans="1:3">
      <c r="A2640" s="184" t="s">
        <v>7194</v>
      </c>
      <c r="B2640" s="184">
        <v>24.469799349999999</v>
      </c>
      <c r="C2640" s="184">
        <v>-99.049742050000006</v>
      </c>
    </row>
    <row r="2641" spans="1:3">
      <c r="A2641" s="184" t="s">
        <v>7197</v>
      </c>
      <c r="B2641" s="184">
        <v>26.347207969999999</v>
      </c>
      <c r="C2641" s="184">
        <v>-98.90077273</v>
      </c>
    </row>
    <row r="2642" spans="1:3">
      <c r="A2642" s="184" t="s">
        <v>7200</v>
      </c>
      <c r="B2642" s="184">
        <v>26.03472296</v>
      </c>
      <c r="C2642" s="184">
        <v>-98.252474030000002</v>
      </c>
    </row>
    <row r="2643" spans="1:3">
      <c r="A2643" s="184" t="s">
        <v>7202</v>
      </c>
      <c r="B2643" s="184">
        <v>22.929446949999999</v>
      </c>
      <c r="C2643" s="184">
        <v>-99.819743689999996</v>
      </c>
    </row>
    <row r="2644" spans="1:3">
      <c r="A2644" s="184" t="s">
        <v>7205</v>
      </c>
      <c r="B2644" s="184">
        <v>22.76176001</v>
      </c>
      <c r="C2644" s="184">
        <v>-99.980719149999999</v>
      </c>
    </row>
    <row r="2645" spans="1:3">
      <c r="A2645" s="184" t="s">
        <v>7207</v>
      </c>
      <c r="B2645" s="184">
        <v>23.820575600000002</v>
      </c>
      <c r="C2645" s="184">
        <v>-99.127061019999999</v>
      </c>
    </row>
    <row r="2646" spans="1:3">
      <c r="A2646" s="184" t="s">
        <v>7210</v>
      </c>
      <c r="B2646" s="184">
        <v>23.706827270000002</v>
      </c>
      <c r="C2646" s="184">
        <v>-99.138658840000005</v>
      </c>
    </row>
    <row r="2647" spans="1:3">
      <c r="A2647" s="184" t="s">
        <v>7213</v>
      </c>
      <c r="B2647" s="184">
        <v>22.848878249999999</v>
      </c>
      <c r="C2647" s="184">
        <v>-98.728590199999999</v>
      </c>
    </row>
    <row r="2648" spans="1:3">
      <c r="A2648" s="184" t="s">
        <v>7216</v>
      </c>
      <c r="B2648" s="184">
        <v>26.191944400000001</v>
      </c>
      <c r="C2648" s="184">
        <v>-98.506196930000002</v>
      </c>
    </row>
    <row r="2649" spans="1:3">
      <c r="A2649" s="184" t="s">
        <v>7219</v>
      </c>
      <c r="B2649" s="184">
        <v>22.706929970000001</v>
      </c>
      <c r="C2649" s="184">
        <v>-98.979412229999994</v>
      </c>
    </row>
    <row r="2650" spans="1:3">
      <c r="A2650" s="184" t="s">
        <v>7222</v>
      </c>
      <c r="B2650" s="184">
        <v>23.484173330000001</v>
      </c>
      <c r="C2650" s="184">
        <v>-98.116728309999999</v>
      </c>
    </row>
    <row r="2651" spans="1:3">
      <c r="A2651" s="184" t="s">
        <v>7226</v>
      </c>
      <c r="B2651" s="184">
        <v>25.940424879999998</v>
      </c>
      <c r="C2651" s="184">
        <v>-98.128468819999995</v>
      </c>
    </row>
    <row r="2652" spans="1:3">
      <c r="A2652" s="184" t="s">
        <v>7229</v>
      </c>
      <c r="B2652" s="184">
        <v>27.539565639999999</v>
      </c>
      <c r="C2652" s="184">
        <v>-99.572370710000001</v>
      </c>
    </row>
    <row r="2653" spans="1:3">
      <c r="A2653" s="184" t="s">
        <v>7232</v>
      </c>
      <c r="B2653" s="184">
        <v>25.833090590000001</v>
      </c>
      <c r="C2653" s="184">
        <v>-97.399535959999994</v>
      </c>
    </row>
    <row r="2654" spans="1:3">
      <c r="A2654" s="184" t="s">
        <v>7235</v>
      </c>
      <c r="B2654" s="184">
        <v>22.712275980000001</v>
      </c>
      <c r="C2654" s="184">
        <v>-98.945674580000002</v>
      </c>
    </row>
    <row r="2655" spans="1:3">
      <c r="A2655" s="184" t="s">
        <v>7238</v>
      </c>
      <c r="B2655" s="184">
        <v>23.04266513</v>
      </c>
      <c r="C2655" s="184">
        <v>-99.061892850000007</v>
      </c>
    </row>
    <row r="2656" spans="1:3">
      <c r="A2656" s="184" t="s">
        <v>7241</v>
      </c>
      <c r="B2656" s="184">
        <v>26.043205189999998</v>
      </c>
      <c r="C2656" s="184">
        <v>-98.240769409999999</v>
      </c>
    </row>
    <row r="2657" spans="1:3">
      <c r="A2657" s="184" t="s">
        <v>7243</v>
      </c>
      <c r="B2657" s="184">
        <v>26.023370629999999</v>
      </c>
      <c r="C2657" s="184">
        <v>-97.808073359999995</v>
      </c>
    </row>
    <row r="2658" spans="1:3">
      <c r="A2658" s="184" t="s">
        <v>7246</v>
      </c>
      <c r="B2658" s="184">
        <v>24.06549253</v>
      </c>
      <c r="C2658" s="184">
        <v>-99.083338859999998</v>
      </c>
    </row>
    <row r="2659" spans="1:3">
      <c r="A2659" s="184" t="s">
        <v>7250</v>
      </c>
      <c r="B2659" s="184">
        <v>25.985250440000002</v>
      </c>
      <c r="C2659" s="184">
        <v>-98.052131619999997</v>
      </c>
    </row>
    <row r="2660" spans="1:3">
      <c r="A2660" s="184" t="s">
        <v>7253</v>
      </c>
      <c r="B2660" s="184">
        <v>25.981603880000002</v>
      </c>
      <c r="C2660" s="184">
        <v>-98.090234850000002</v>
      </c>
    </row>
    <row r="2661" spans="1:3">
      <c r="A2661" s="184" t="s">
        <v>7254</v>
      </c>
      <c r="B2661" s="184">
        <v>25.986052239999999</v>
      </c>
      <c r="C2661" s="184">
        <v>-98.221143280000007</v>
      </c>
    </row>
    <row r="2662" spans="1:3">
      <c r="A2662" s="184" t="s">
        <v>7257</v>
      </c>
      <c r="B2662" s="184">
        <v>25.879705950000002</v>
      </c>
      <c r="C2662" s="184">
        <v>-97.504196719999996</v>
      </c>
    </row>
    <row r="2663" spans="1:3">
      <c r="A2663" s="184" t="s">
        <v>7260</v>
      </c>
      <c r="B2663" s="184">
        <v>25.210156000000001</v>
      </c>
      <c r="C2663" s="184">
        <v>-97.944293999999999</v>
      </c>
    </row>
    <row r="2664" spans="1:3">
      <c r="A2664" s="184" t="s">
        <v>7263</v>
      </c>
      <c r="B2664" s="184">
        <v>23.930171649999998</v>
      </c>
      <c r="C2664" s="184">
        <v>-99.193296059999994</v>
      </c>
    </row>
    <row r="2665" spans="1:3">
      <c r="A2665" s="184" t="s">
        <v>7266</v>
      </c>
      <c r="B2665" s="184">
        <v>26.141039899999999</v>
      </c>
      <c r="C2665" s="184">
        <v>-98.338943499999999</v>
      </c>
    </row>
    <row r="2666" spans="1:3">
      <c r="A2666" s="184" t="s">
        <v>7268</v>
      </c>
      <c r="B2666" s="184">
        <v>25.834149</v>
      </c>
      <c r="C2666" s="184">
        <v>-97.410713700000002</v>
      </c>
    </row>
    <row r="2667" spans="1:3">
      <c r="A2667" s="184" t="s">
        <v>7271</v>
      </c>
      <c r="B2667" s="184">
        <v>23.301915999999999</v>
      </c>
      <c r="C2667" s="184">
        <v>-99.547878400000002</v>
      </c>
    </row>
    <row r="2668" spans="1:3">
      <c r="A2668" s="184" t="s">
        <v>7274</v>
      </c>
      <c r="B2668" s="184">
        <v>23.434934599999998</v>
      </c>
      <c r="C2668" s="184">
        <v>-99.755322100000001</v>
      </c>
    </row>
    <row r="2669" spans="1:3">
      <c r="A2669" s="184" t="s">
        <v>7277</v>
      </c>
      <c r="B2669" s="184">
        <v>24.0592842</v>
      </c>
      <c r="C2669" s="184">
        <v>-98.377212</v>
      </c>
    </row>
    <row r="2670" spans="1:3">
      <c r="A2670" s="184" t="s">
        <v>7280</v>
      </c>
      <c r="B2670" s="184">
        <v>25.986031499999999</v>
      </c>
      <c r="C2670" s="184">
        <v>-98.095632800000004</v>
      </c>
    </row>
    <row r="2671" spans="1:3">
      <c r="A2671" s="184" t="s">
        <v>7283</v>
      </c>
      <c r="B2671" s="184">
        <v>25.937322300000002</v>
      </c>
      <c r="C2671" s="184">
        <v>-97.929217699999995</v>
      </c>
    </row>
    <row r="2672" spans="1:3">
      <c r="A2672" s="184" t="s">
        <v>7286</v>
      </c>
      <c r="B2672" s="184">
        <v>24.583648700000001</v>
      </c>
      <c r="C2672" s="184">
        <v>-98.941080400000004</v>
      </c>
    </row>
    <row r="2673" spans="1:3">
      <c r="A2673" s="184" t="s">
        <v>7289</v>
      </c>
      <c r="B2673" s="184">
        <v>24.583648700000001</v>
      </c>
      <c r="C2673" s="184">
        <v>-98.941080400000004</v>
      </c>
    </row>
    <row r="2674" spans="1:3">
      <c r="A2674" s="184" t="s">
        <v>7292</v>
      </c>
      <c r="B2674" s="184">
        <v>23.791239999999998</v>
      </c>
      <c r="C2674" s="184">
        <v>-99.094341999999997</v>
      </c>
    </row>
    <row r="2675" spans="1:3">
      <c r="A2675" s="184" t="s">
        <v>7295</v>
      </c>
      <c r="B2675" s="184">
        <v>23.683055499999998</v>
      </c>
      <c r="C2675" s="184">
        <v>-99.111111100000002</v>
      </c>
    </row>
    <row r="2676" spans="1:3">
      <c r="A2676" s="184" t="s">
        <v>7298</v>
      </c>
      <c r="B2676" s="184">
        <v>25.981674600000002</v>
      </c>
      <c r="C2676" s="184">
        <v>-98.220025100000001</v>
      </c>
    </row>
    <row r="2677" spans="1:3">
      <c r="A2677" s="184" t="s">
        <v>7300</v>
      </c>
      <c r="B2677" s="184">
        <v>26.0498321</v>
      </c>
      <c r="C2677" s="184">
        <v>-97.951113699999993</v>
      </c>
    </row>
    <row r="2678" spans="1:3">
      <c r="A2678" s="184" t="s">
        <v>7303</v>
      </c>
      <c r="B2678" s="184">
        <v>23.69527008</v>
      </c>
      <c r="C2678" s="184">
        <v>-99.601316260000004</v>
      </c>
    </row>
    <row r="2679" spans="1:3">
      <c r="A2679" s="184" t="s">
        <v>7305</v>
      </c>
      <c r="B2679" s="184">
        <v>22.788152759999999</v>
      </c>
      <c r="C2679" s="184">
        <v>-99.934113080000003</v>
      </c>
    </row>
    <row r="2680" spans="1:3">
      <c r="A2680" s="184" t="s">
        <v>7308</v>
      </c>
      <c r="B2680" s="184">
        <v>31.876346999999999</v>
      </c>
      <c r="C2680" s="184">
        <v>-116.62066299999999</v>
      </c>
    </row>
    <row r="2681" spans="1:3">
      <c r="A2681" s="184" t="s">
        <v>7309</v>
      </c>
      <c r="B2681" s="184">
        <v>31.876346999999999</v>
      </c>
      <c r="C2681" s="184">
        <v>-116.62066299999999</v>
      </c>
    </row>
    <row r="2682" spans="1:3">
      <c r="A2682" s="184" t="s">
        <v>7310</v>
      </c>
      <c r="B2682" s="184">
        <v>31.876346999999999</v>
      </c>
      <c r="C2682" s="184">
        <v>-116.62066299999999</v>
      </c>
    </row>
    <row r="2683" spans="1:3">
      <c r="A2683" s="184" t="s">
        <v>7311</v>
      </c>
      <c r="B2683" s="184">
        <v>31.882300000000001</v>
      </c>
      <c r="C2683" s="184">
        <v>-116.63030000000001</v>
      </c>
    </row>
    <row r="2684" spans="1:3">
      <c r="A2684" s="184" t="s">
        <v>7312</v>
      </c>
      <c r="B2684" s="184">
        <v>31.8943102</v>
      </c>
      <c r="C2684" s="184">
        <v>-116.5739097</v>
      </c>
    </row>
    <row r="2685" spans="1:3">
      <c r="A2685" s="184" t="s">
        <v>7313</v>
      </c>
      <c r="B2685" s="184">
        <v>31.8766225</v>
      </c>
      <c r="C2685" s="184">
        <v>-116.6207658</v>
      </c>
    </row>
    <row r="2686" spans="1:3">
      <c r="A2686" s="184" t="s">
        <v>7315</v>
      </c>
      <c r="B2686" s="184">
        <v>31.8784952</v>
      </c>
      <c r="C2686" s="184">
        <v>-116.566253</v>
      </c>
    </row>
    <row r="2687" spans="1:3">
      <c r="A2687" s="184" t="s">
        <v>7316</v>
      </c>
      <c r="B2687" s="184">
        <v>31.887308000000001</v>
      </c>
      <c r="C2687" s="184">
        <v>-116.588352</v>
      </c>
    </row>
    <row r="2688" spans="1:3">
      <c r="A2688" s="184" t="s">
        <v>7317</v>
      </c>
      <c r="B2688" s="184">
        <v>31.861965000000001</v>
      </c>
      <c r="C2688" s="184">
        <v>-116.615211</v>
      </c>
    </row>
    <row r="2689" spans="1:3">
      <c r="A2689" s="184" t="s">
        <v>7318</v>
      </c>
      <c r="B2689" s="184">
        <v>31.719591000000001</v>
      </c>
      <c r="C2689" s="184">
        <v>-116.57271299999999</v>
      </c>
    </row>
    <row r="2690" spans="1:3">
      <c r="A2690" s="184" t="s">
        <v>7320</v>
      </c>
      <c r="B2690" s="184">
        <v>30.060497999999999</v>
      </c>
      <c r="C2690" s="184">
        <v>-115.723506</v>
      </c>
    </row>
    <row r="2691" spans="1:3">
      <c r="A2691" s="184" t="s">
        <v>7322</v>
      </c>
      <c r="B2691" s="184">
        <v>31.966977</v>
      </c>
      <c r="C2691" s="184">
        <v>-116.6519</v>
      </c>
    </row>
    <row r="2692" spans="1:3">
      <c r="A2692" s="184" t="s">
        <v>7324</v>
      </c>
      <c r="B2692" s="184">
        <v>30.765902000000001</v>
      </c>
      <c r="C2692" s="184">
        <v>-116.010411</v>
      </c>
    </row>
    <row r="2693" spans="1:3">
      <c r="A2693" s="184" t="s">
        <v>7325</v>
      </c>
      <c r="B2693" s="184">
        <v>31.672761000000001</v>
      </c>
      <c r="C2693" s="184">
        <v>-116.51468300000001</v>
      </c>
    </row>
    <row r="2694" spans="1:3">
      <c r="A2694" s="184" t="s">
        <v>7327</v>
      </c>
      <c r="B2694" s="184">
        <v>32.623859000000003</v>
      </c>
      <c r="C2694" s="184">
        <v>-115.440302</v>
      </c>
    </row>
    <row r="2695" spans="1:3">
      <c r="A2695" s="184" t="s">
        <v>7328</v>
      </c>
      <c r="B2695" s="184">
        <v>32.662886200000003</v>
      </c>
      <c r="C2695" s="184">
        <v>-115.4033032</v>
      </c>
    </row>
    <row r="2696" spans="1:3">
      <c r="A2696" s="184" t="s">
        <v>7329</v>
      </c>
      <c r="B2696" s="184">
        <v>32.610863000000002</v>
      </c>
      <c r="C2696" s="184">
        <v>-115.50757900000001</v>
      </c>
    </row>
    <row r="2697" spans="1:3">
      <c r="A2697" s="184" t="s">
        <v>7330</v>
      </c>
      <c r="B2697" s="184">
        <v>32.610413100000002</v>
      </c>
      <c r="C2697" s="184">
        <v>-115.44544329999999</v>
      </c>
    </row>
    <row r="2698" spans="1:3">
      <c r="A2698" s="184" t="s">
        <v>7331</v>
      </c>
      <c r="B2698" s="184">
        <v>32.620849700000001</v>
      </c>
      <c r="C2698" s="184">
        <v>-115.4190649</v>
      </c>
    </row>
    <row r="2699" spans="1:3">
      <c r="A2699" s="184" t="s">
        <v>7332</v>
      </c>
      <c r="B2699" s="184">
        <v>32.573715</v>
      </c>
      <c r="C2699" s="184">
        <v>-115.405299</v>
      </c>
    </row>
    <row r="2700" spans="1:3">
      <c r="A2700" s="184" t="s">
        <v>7333</v>
      </c>
      <c r="B2700" s="184">
        <v>32.583490500000003</v>
      </c>
      <c r="C2700" s="184">
        <v>-115.430153</v>
      </c>
    </row>
    <row r="2701" spans="1:3">
      <c r="A2701" s="184" t="s">
        <v>7334</v>
      </c>
      <c r="B2701" s="184">
        <v>32.636837</v>
      </c>
      <c r="C2701" s="184">
        <v>-115.5163874</v>
      </c>
    </row>
    <row r="2702" spans="1:3">
      <c r="A2702" s="184" t="s">
        <v>7335</v>
      </c>
      <c r="B2702" s="184">
        <v>32.6446641</v>
      </c>
      <c r="C2702" s="184">
        <v>-115.4322509</v>
      </c>
    </row>
    <row r="2703" spans="1:3">
      <c r="A2703" s="184" t="s">
        <v>7336</v>
      </c>
      <c r="B2703" s="184">
        <v>32.603275099999998</v>
      </c>
      <c r="C2703" s="184">
        <v>-115.39152199999999</v>
      </c>
    </row>
    <row r="2704" spans="1:3">
      <c r="A2704" s="184" t="s">
        <v>7337</v>
      </c>
      <c r="B2704" s="184">
        <v>32.651136000000001</v>
      </c>
      <c r="C2704" s="184">
        <v>-115.467173</v>
      </c>
    </row>
    <row r="2705" spans="1:3">
      <c r="A2705" s="184" t="s">
        <v>7338</v>
      </c>
      <c r="B2705" s="184">
        <v>32.716867899999997</v>
      </c>
      <c r="C2705" s="184">
        <v>-114.7325261</v>
      </c>
    </row>
    <row r="2706" spans="1:3">
      <c r="A2706" s="184" t="s">
        <v>7340</v>
      </c>
      <c r="B2706" s="184">
        <v>32.356082499999999</v>
      </c>
      <c r="C2706" s="184">
        <v>-115.1973697</v>
      </c>
    </row>
    <row r="2707" spans="1:3">
      <c r="A2707" s="184" t="s">
        <v>7342</v>
      </c>
      <c r="B2707" s="184">
        <v>32.282071000000002</v>
      </c>
      <c r="C2707" s="184">
        <v>-115.093941</v>
      </c>
    </row>
    <row r="2708" spans="1:3">
      <c r="A2708" s="184" t="s">
        <v>7344</v>
      </c>
      <c r="B2708" s="184">
        <v>32.511733</v>
      </c>
      <c r="C2708" s="184">
        <v>-114.923258</v>
      </c>
    </row>
    <row r="2709" spans="1:3">
      <c r="A2709" s="184" t="s">
        <v>7346</v>
      </c>
      <c r="B2709" s="184">
        <v>32.409376999999999</v>
      </c>
      <c r="C2709" s="184">
        <v>-115.1910906</v>
      </c>
    </row>
    <row r="2710" spans="1:3">
      <c r="A2710" s="184" t="s">
        <v>7347</v>
      </c>
      <c r="B2710" s="184">
        <v>32.582657300000001</v>
      </c>
      <c r="C2710" s="184">
        <v>-115.5835751</v>
      </c>
    </row>
    <row r="2711" spans="1:3">
      <c r="A2711" s="184" t="s">
        <v>7349</v>
      </c>
      <c r="B2711" s="184">
        <v>32.571864400000003</v>
      </c>
      <c r="C2711" s="184">
        <v>-115.34985949999999</v>
      </c>
    </row>
    <row r="2712" spans="1:3">
      <c r="A2712" s="184" t="s">
        <v>7350</v>
      </c>
      <c r="B2712" s="184">
        <v>31.023106200000001</v>
      </c>
      <c r="C2712" s="184">
        <v>-114.839476</v>
      </c>
    </row>
    <row r="2713" spans="1:3">
      <c r="A2713" s="184" t="s">
        <v>7351</v>
      </c>
      <c r="B2713" s="184">
        <v>32.629867900000001</v>
      </c>
      <c r="C2713" s="184">
        <v>-115.5758309</v>
      </c>
    </row>
    <row r="2714" spans="1:3">
      <c r="A2714" s="184" t="s">
        <v>7352</v>
      </c>
      <c r="B2714" s="184">
        <v>32.463200000000001</v>
      </c>
      <c r="C2714" s="184">
        <v>-116.9096</v>
      </c>
    </row>
    <row r="2715" spans="1:3">
      <c r="A2715" s="184" t="s">
        <v>7353</v>
      </c>
      <c r="B2715" s="184">
        <v>32.370170999999999</v>
      </c>
      <c r="C2715" s="184">
        <v>-116.619738</v>
      </c>
    </row>
    <row r="2716" spans="1:3">
      <c r="A2716" s="184" t="s">
        <v>7355</v>
      </c>
      <c r="B2716" s="184">
        <v>32.463200000000001</v>
      </c>
      <c r="C2716" s="184">
        <v>-116.9096</v>
      </c>
    </row>
    <row r="2717" spans="1:3">
      <c r="A2717" s="184" t="s">
        <v>7356</v>
      </c>
      <c r="B2717" s="184">
        <v>32.463200000000001</v>
      </c>
      <c r="C2717" s="184">
        <v>-116.9096</v>
      </c>
    </row>
    <row r="2718" spans="1:3">
      <c r="A2718" s="184" t="s">
        <v>7357</v>
      </c>
      <c r="B2718" s="184">
        <v>32.463200000000001</v>
      </c>
      <c r="C2718" s="184">
        <v>-116.9096</v>
      </c>
    </row>
    <row r="2719" spans="1:3">
      <c r="A2719" s="184" t="s">
        <v>7358</v>
      </c>
      <c r="B2719" s="184">
        <v>32.463200000000001</v>
      </c>
      <c r="C2719" s="184">
        <v>-116.9096</v>
      </c>
    </row>
    <row r="2720" spans="1:3">
      <c r="A2720" s="184" t="s">
        <v>7359</v>
      </c>
      <c r="B2720" s="184">
        <v>32.463200000000001</v>
      </c>
      <c r="C2720" s="184">
        <v>-116.9096</v>
      </c>
    </row>
    <row r="2721" spans="1:3">
      <c r="A2721" s="184" t="s">
        <v>7360</v>
      </c>
      <c r="B2721" s="184">
        <v>31.876346999999999</v>
      </c>
      <c r="C2721" s="184">
        <v>-116.62066299999999</v>
      </c>
    </row>
    <row r="2722" spans="1:3">
      <c r="A2722" s="184" t="s">
        <v>7361</v>
      </c>
      <c r="B2722" s="184">
        <v>32.463200000000001</v>
      </c>
      <c r="C2722" s="184">
        <v>-116.9096</v>
      </c>
    </row>
    <row r="2723" spans="1:3">
      <c r="A2723" s="184" t="s">
        <v>7362</v>
      </c>
      <c r="B2723" s="184">
        <v>32.463200000000001</v>
      </c>
      <c r="C2723" s="184">
        <v>-116.9096</v>
      </c>
    </row>
    <row r="2724" spans="1:3">
      <c r="A2724" s="184" t="s">
        <v>7363</v>
      </c>
      <c r="B2724" s="184">
        <v>32.463200000000001</v>
      </c>
      <c r="C2724" s="184">
        <v>-116.9096</v>
      </c>
    </row>
    <row r="2725" spans="1:3">
      <c r="A2725" s="184" t="s">
        <v>7364</v>
      </c>
      <c r="B2725" s="184">
        <v>32.463200000000001</v>
      </c>
      <c r="C2725" s="184">
        <v>-116.9096</v>
      </c>
    </row>
    <row r="2726" spans="1:3">
      <c r="A2726" s="184" t="s">
        <v>7365</v>
      </c>
      <c r="B2726" s="184">
        <v>32.422201000000001</v>
      </c>
      <c r="C2726" s="184">
        <v>-116.960202</v>
      </c>
    </row>
    <row r="2727" spans="1:3">
      <c r="A2727" s="184" t="s">
        <v>7366</v>
      </c>
      <c r="B2727" s="184">
        <v>32.524681999999999</v>
      </c>
      <c r="C2727" s="184">
        <v>-117.099874</v>
      </c>
    </row>
    <row r="2728" spans="1:3">
      <c r="A2728" s="184" t="s">
        <v>7368</v>
      </c>
      <c r="B2728" s="184">
        <v>32.540054599999998</v>
      </c>
      <c r="C2728" s="184">
        <v>-116.88099750000001</v>
      </c>
    </row>
    <row r="2729" spans="1:3">
      <c r="A2729" s="184" t="s">
        <v>7369</v>
      </c>
      <c r="B2729" s="184">
        <v>32.495078999999997</v>
      </c>
      <c r="C2729" s="184">
        <v>-116.967958</v>
      </c>
    </row>
    <row r="2730" spans="1:3">
      <c r="A2730" s="184" t="s">
        <v>7370</v>
      </c>
      <c r="B2730" s="184">
        <v>32.529181000000001</v>
      </c>
      <c r="C2730" s="184">
        <v>-117.064759</v>
      </c>
    </row>
    <row r="2731" spans="1:3">
      <c r="A2731" s="184" t="s">
        <v>7371</v>
      </c>
      <c r="B2731" s="184">
        <v>32.5234886</v>
      </c>
      <c r="C2731" s="184">
        <v>-116.93552200000001</v>
      </c>
    </row>
    <row r="2732" spans="1:3">
      <c r="A2732" s="184" t="s">
        <v>7372</v>
      </c>
      <c r="B2732" s="184">
        <v>32.504671000000002</v>
      </c>
      <c r="C2732" s="184">
        <v>-116.79313</v>
      </c>
    </row>
    <row r="2733" spans="1:3">
      <c r="A2733" s="184" t="s">
        <v>7374</v>
      </c>
      <c r="B2733" s="184">
        <v>32.534032099999997</v>
      </c>
      <c r="C2733" s="184">
        <v>-116.98966849999999</v>
      </c>
    </row>
    <row r="2734" spans="1:3">
      <c r="A2734" s="184" t="s">
        <v>7375</v>
      </c>
      <c r="B2734" s="184">
        <v>32.483141000000003</v>
      </c>
      <c r="C2734" s="184">
        <v>-117.07780700000001</v>
      </c>
    </row>
    <row r="2735" spans="1:3">
      <c r="A2735" s="184" t="s">
        <v>7376</v>
      </c>
      <c r="B2735" s="184">
        <v>32.4762658</v>
      </c>
      <c r="C2735" s="184">
        <v>-116.8811195</v>
      </c>
    </row>
    <row r="2736" spans="1:3">
      <c r="A2736" s="184" t="s">
        <v>7377</v>
      </c>
      <c r="B2736" s="184">
        <v>32.4746588</v>
      </c>
      <c r="C2736" s="184">
        <v>-116.9761128</v>
      </c>
    </row>
    <row r="2737" spans="1:3">
      <c r="A2737" s="184" t="s">
        <v>7378</v>
      </c>
      <c r="B2737" s="184">
        <v>32.467868299999999</v>
      </c>
      <c r="C2737" s="184">
        <v>-116.97066839999999</v>
      </c>
    </row>
    <row r="2738" spans="1:3">
      <c r="A2738" s="184" t="s">
        <v>7379</v>
      </c>
      <c r="B2738" s="184">
        <v>32.455062699999999</v>
      </c>
      <c r="C2738" s="184">
        <v>-116.918487</v>
      </c>
    </row>
    <row r="2739" spans="1:3">
      <c r="A2739" s="184" t="s">
        <v>7380</v>
      </c>
      <c r="B2739" s="184">
        <v>32.475922699999998</v>
      </c>
      <c r="C2739" s="184">
        <v>-116.8560876</v>
      </c>
    </row>
    <row r="2740" spans="1:3">
      <c r="A2740" s="184" t="s">
        <v>7381</v>
      </c>
      <c r="B2740" s="184">
        <v>32.518818000000003</v>
      </c>
      <c r="C2740" s="184">
        <v>-116.8730833</v>
      </c>
    </row>
    <row r="2741" spans="1:3">
      <c r="A2741" s="184" t="s">
        <v>7382</v>
      </c>
      <c r="B2741" s="184">
        <v>32.4786766</v>
      </c>
      <c r="C2741" s="184">
        <v>-117.03737769999999</v>
      </c>
    </row>
    <row r="2742" spans="1:3">
      <c r="A2742" s="184" t="s">
        <v>7384</v>
      </c>
      <c r="B2742" s="184">
        <v>32.510862699999997</v>
      </c>
      <c r="C2742" s="184">
        <v>-117.0555655</v>
      </c>
    </row>
    <row r="2743" spans="1:3">
      <c r="A2743" s="184" t="s">
        <v>7385</v>
      </c>
      <c r="B2743" s="184">
        <v>32.463200000000001</v>
      </c>
      <c r="C2743" s="184">
        <v>-116.9096</v>
      </c>
    </row>
    <row r="2744" spans="1:3">
      <c r="A2744" s="184" t="s">
        <v>7386</v>
      </c>
      <c r="B2744" s="184">
        <v>32.405593600000003</v>
      </c>
      <c r="C2744" s="184">
        <v>-117.0459362</v>
      </c>
    </row>
    <row r="2745" spans="1:3">
      <c r="A2745" s="184" t="s">
        <v>7387</v>
      </c>
      <c r="B2745" s="184">
        <v>32.221545900000002</v>
      </c>
      <c r="C2745" s="184">
        <v>-116.91712320000001</v>
      </c>
    </row>
    <row r="2746" spans="1:3">
      <c r="A2746" s="184" t="s">
        <v>7389</v>
      </c>
      <c r="B2746" s="184">
        <v>31.876346999999999</v>
      </c>
      <c r="C2746" s="184">
        <v>-116.62066299999999</v>
      </c>
    </row>
    <row r="2747" spans="1:3">
      <c r="A2747" s="184" t="s">
        <v>7390</v>
      </c>
      <c r="B2747" s="184">
        <v>31.876346999999999</v>
      </c>
      <c r="C2747" s="184">
        <v>-116.62066299999999</v>
      </c>
    </row>
    <row r="2748" spans="1:3">
      <c r="A2748" s="184" t="s">
        <v>7391</v>
      </c>
      <c r="B2748" s="184">
        <v>32.623859000000003</v>
      </c>
      <c r="C2748" s="184">
        <v>-115.440302</v>
      </c>
    </row>
    <row r="2749" spans="1:3">
      <c r="A2749" s="184" t="s">
        <v>7392</v>
      </c>
      <c r="B2749" s="184">
        <v>32.623859000000003</v>
      </c>
      <c r="C2749" s="184">
        <v>-115.440302</v>
      </c>
    </row>
    <row r="2750" spans="1:3">
      <c r="A2750" s="184" t="s">
        <v>7393</v>
      </c>
      <c r="B2750" s="184">
        <v>32.463200000000001</v>
      </c>
      <c r="C2750" s="184">
        <v>-116.9096</v>
      </c>
    </row>
    <row r="2751" spans="1:3">
      <c r="A2751" s="184" t="s">
        <v>7394</v>
      </c>
      <c r="B2751" s="184">
        <v>32.463200000000001</v>
      </c>
      <c r="C2751" s="184">
        <v>-116.9096</v>
      </c>
    </row>
    <row r="2752" spans="1:3">
      <c r="A2752" s="184" t="s">
        <v>7395</v>
      </c>
      <c r="B2752" s="184">
        <v>32.463200000000001</v>
      </c>
      <c r="C2752" s="184">
        <v>-116.9096</v>
      </c>
    </row>
    <row r="2753" spans="1:3">
      <c r="A2753" s="184" t="s">
        <v>7396</v>
      </c>
      <c r="B2753" s="184">
        <v>32.463200000000001</v>
      </c>
      <c r="C2753" s="184">
        <v>-116.9096</v>
      </c>
    </row>
    <row r="2754" spans="1:3">
      <c r="A2754" s="184" t="s">
        <v>7397</v>
      </c>
      <c r="B2754" s="184">
        <v>32.463200000000001</v>
      </c>
      <c r="C2754" s="184">
        <v>-116.9096</v>
      </c>
    </row>
    <row r="2755" spans="1:3">
      <c r="A2755" s="184" t="s">
        <v>7398</v>
      </c>
      <c r="B2755" s="184">
        <v>32.463200000000001</v>
      </c>
      <c r="C2755" s="184">
        <v>-116.9096</v>
      </c>
    </row>
    <row r="2756" spans="1:3">
      <c r="A2756" s="184" t="s">
        <v>7399</v>
      </c>
      <c r="B2756" s="184">
        <v>32.463200000000001</v>
      </c>
      <c r="C2756" s="184">
        <v>-116.9096</v>
      </c>
    </row>
    <row r="2757" spans="1:3">
      <c r="A2757" s="184" t="s">
        <v>7400</v>
      </c>
      <c r="B2757" s="184">
        <v>32.463200000000001</v>
      </c>
      <c r="C2757" s="184">
        <v>-116.9096</v>
      </c>
    </row>
    <row r="2758" spans="1:3">
      <c r="A2758" s="184" t="s">
        <v>7401</v>
      </c>
      <c r="B2758" s="184">
        <v>32.463200000000001</v>
      </c>
      <c r="C2758" s="184">
        <v>-116.9096</v>
      </c>
    </row>
    <row r="2759" spans="1:3">
      <c r="A2759" s="184" t="s">
        <v>7402</v>
      </c>
      <c r="B2759" s="184">
        <v>32.463200000000001</v>
      </c>
      <c r="C2759" s="184">
        <v>-116.9096</v>
      </c>
    </row>
    <row r="2760" spans="1:3">
      <c r="A2760" s="184" t="s">
        <v>7403</v>
      </c>
      <c r="B2760" s="184">
        <v>32.463200000000001</v>
      </c>
      <c r="C2760" s="184">
        <v>-116.9096</v>
      </c>
    </row>
    <row r="2761" spans="1:3">
      <c r="A2761" s="184" t="s">
        <v>7404</v>
      </c>
      <c r="B2761" s="184">
        <v>32.471905999999997</v>
      </c>
      <c r="C2761" s="184">
        <v>-116.84884599999999</v>
      </c>
    </row>
    <row r="2762" spans="1:3">
      <c r="A2762" s="184" t="s">
        <v>7405</v>
      </c>
      <c r="B2762" s="184">
        <v>32.463200000000001</v>
      </c>
      <c r="C2762" s="184">
        <v>-116.9096</v>
      </c>
    </row>
    <row r="2763" spans="1:3">
      <c r="A2763" s="184" t="s">
        <v>7406</v>
      </c>
      <c r="B2763" s="184">
        <v>32.623859000000003</v>
      </c>
      <c r="C2763" s="184">
        <v>-115.440302</v>
      </c>
    </row>
    <row r="2764" spans="1:3">
      <c r="A2764" s="184" t="s">
        <v>7407</v>
      </c>
      <c r="B2764" s="184">
        <v>32.463200000000001</v>
      </c>
      <c r="C2764" s="184">
        <v>-116.9096</v>
      </c>
    </row>
    <row r="2765" spans="1:3">
      <c r="A2765" s="184" t="s">
        <v>7408</v>
      </c>
      <c r="B2765" s="184">
        <v>32.474899999999998</v>
      </c>
      <c r="C2765" s="184">
        <v>-117.0341</v>
      </c>
    </row>
    <row r="2766" spans="1:3">
      <c r="A2766" s="184" t="s">
        <v>7409</v>
      </c>
      <c r="B2766" s="184">
        <v>31.8278</v>
      </c>
      <c r="C2766" s="184">
        <v>-116.5949</v>
      </c>
    </row>
    <row r="2767" spans="1:3">
      <c r="A2767" s="184" t="s">
        <v>7410</v>
      </c>
      <c r="B2767" s="184">
        <v>32.489581000000001</v>
      </c>
      <c r="C2767" s="184">
        <v>-116.92895</v>
      </c>
    </row>
    <row r="2768" spans="1:3">
      <c r="A2768" s="184" t="s">
        <v>7411</v>
      </c>
      <c r="B2768" s="184">
        <v>31.876346999999999</v>
      </c>
      <c r="C2768" s="184">
        <v>-116.62066299999999</v>
      </c>
    </row>
    <row r="2769" spans="1:3">
      <c r="A2769" s="184" t="s">
        <v>7412</v>
      </c>
      <c r="B2769" s="184">
        <v>32.463200000000001</v>
      </c>
      <c r="C2769" s="184">
        <v>-116.9093</v>
      </c>
    </row>
    <row r="2770" spans="1:3">
      <c r="A2770" s="184" t="s">
        <v>7413</v>
      </c>
      <c r="B2770" s="184">
        <v>32.463200000000001</v>
      </c>
      <c r="C2770" s="184">
        <v>-116.9093</v>
      </c>
    </row>
    <row r="2771" spans="1:3">
      <c r="A2771" s="184" t="s">
        <v>7414</v>
      </c>
      <c r="B2771" s="184">
        <v>32.463200000000001</v>
      </c>
      <c r="C2771" s="184">
        <v>-116.9093</v>
      </c>
    </row>
    <row r="2772" spans="1:3">
      <c r="A2772" s="184" t="s">
        <v>7415</v>
      </c>
      <c r="B2772" s="184">
        <v>32.572133800000003</v>
      </c>
      <c r="C2772" s="184">
        <v>-115.3500466</v>
      </c>
    </row>
    <row r="2773" spans="1:3">
      <c r="A2773" s="184" t="s">
        <v>7416</v>
      </c>
      <c r="B2773" s="184">
        <v>31.879974000000001</v>
      </c>
      <c r="C2773" s="184">
        <v>-116.544156</v>
      </c>
    </row>
    <row r="2774" spans="1:3">
      <c r="A2774" s="184" t="s">
        <v>7417</v>
      </c>
      <c r="B2774" s="184">
        <v>32.363599999999998</v>
      </c>
      <c r="C2774" s="184">
        <v>-117.05540000000001</v>
      </c>
    </row>
    <row r="2775" spans="1:3">
      <c r="A2775" s="184" t="s">
        <v>7418</v>
      </c>
      <c r="B2775" s="184">
        <v>31.890628800000002</v>
      </c>
      <c r="C2775" s="184">
        <v>-116.68797669999999</v>
      </c>
    </row>
    <row r="2776" spans="1:3">
      <c r="A2776" s="184" t="s">
        <v>7420</v>
      </c>
      <c r="B2776" s="184">
        <v>32.461939000000001</v>
      </c>
      <c r="C2776" s="184">
        <v>-116.967766</v>
      </c>
    </row>
    <row r="2777" spans="1:3">
      <c r="A2777" s="184" t="s">
        <v>7421</v>
      </c>
      <c r="B2777" s="184">
        <v>31.780929</v>
      </c>
      <c r="C2777" s="184">
        <v>-116.58168999999999</v>
      </c>
    </row>
    <row r="2778" spans="1:3">
      <c r="A2778" s="184" t="s">
        <v>7422</v>
      </c>
      <c r="B2778" s="184">
        <v>30.523799</v>
      </c>
      <c r="C2778" s="184">
        <v>-115.94326700000001</v>
      </c>
    </row>
    <row r="2779" spans="1:3">
      <c r="A2779" s="184" t="s">
        <v>7423</v>
      </c>
      <c r="B2779" s="184">
        <v>32.634711299999999</v>
      </c>
      <c r="C2779" s="184">
        <v>-115.5612768</v>
      </c>
    </row>
    <row r="2780" spans="1:3">
      <c r="A2780" s="184" t="s">
        <v>7424</v>
      </c>
      <c r="B2780" s="184">
        <v>32.463200000000001</v>
      </c>
      <c r="C2780" s="184">
        <v>-116.9096</v>
      </c>
    </row>
    <row r="2781" spans="1:3">
      <c r="A2781" s="184" t="s">
        <v>7425</v>
      </c>
      <c r="B2781" s="184">
        <v>32.463200000000001</v>
      </c>
      <c r="C2781" s="184">
        <v>-116.9096</v>
      </c>
    </row>
    <row r="2782" spans="1:3">
      <c r="A2782" s="184" t="s">
        <v>7426</v>
      </c>
      <c r="B2782" s="184">
        <v>32.463200000000001</v>
      </c>
      <c r="C2782" s="184">
        <v>-116.9096</v>
      </c>
    </row>
    <row r="2783" spans="1:3">
      <c r="A2783" s="184" t="s">
        <v>7427</v>
      </c>
      <c r="B2783" s="184">
        <v>32.463200000000001</v>
      </c>
      <c r="C2783" s="184">
        <v>-116.9096</v>
      </c>
    </row>
    <row r="2784" spans="1:3">
      <c r="A2784" s="184" t="s">
        <v>7428</v>
      </c>
      <c r="B2784" s="184">
        <v>32.463200000000001</v>
      </c>
      <c r="C2784" s="184">
        <v>-116.9096</v>
      </c>
    </row>
    <row r="2785" spans="1:3">
      <c r="A2785" s="184" t="s">
        <v>7429</v>
      </c>
      <c r="B2785" s="184">
        <v>32.487793000000003</v>
      </c>
      <c r="C2785" s="184">
        <v>-117.090248</v>
      </c>
    </row>
    <row r="2786" spans="1:3">
      <c r="A2786" s="184" t="s">
        <v>7430</v>
      </c>
      <c r="B2786" s="184">
        <v>32.623859000000003</v>
      </c>
      <c r="C2786" s="184">
        <v>-115.440302</v>
      </c>
    </row>
    <row r="2787" spans="1:3">
      <c r="A2787" s="184" t="s">
        <v>7431</v>
      </c>
      <c r="B2787" s="184">
        <v>32.563482</v>
      </c>
      <c r="C2787" s="184">
        <v>-116.589384</v>
      </c>
    </row>
    <row r="2788" spans="1:3">
      <c r="A2788" s="184" t="s">
        <v>7432</v>
      </c>
      <c r="B2788" s="184">
        <v>32.463200000000001</v>
      </c>
      <c r="C2788" s="184">
        <v>-116.9096</v>
      </c>
    </row>
    <row r="2789" spans="1:3">
      <c r="A2789" s="184" t="s">
        <v>7433</v>
      </c>
      <c r="B2789" s="184">
        <v>32.527386</v>
      </c>
      <c r="C2789" s="184">
        <v>-117.03782</v>
      </c>
    </row>
    <row r="2790" spans="1:3">
      <c r="A2790" s="184" t="s">
        <v>7435</v>
      </c>
      <c r="B2790" s="184">
        <v>32.397419999999997</v>
      </c>
      <c r="C2790" s="184">
        <v>-117.060862</v>
      </c>
    </row>
    <row r="2791" spans="1:3">
      <c r="A2791" s="184" t="s">
        <v>7436</v>
      </c>
      <c r="B2791" s="184">
        <v>32.40598</v>
      </c>
      <c r="C2791" s="184">
        <v>-116.96486</v>
      </c>
    </row>
    <row r="2792" spans="1:3">
      <c r="A2792" s="184" t="s">
        <v>7437</v>
      </c>
      <c r="B2792" s="184">
        <v>32.623859000000003</v>
      </c>
      <c r="C2792" s="184">
        <v>-115.440302</v>
      </c>
    </row>
    <row r="2793" spans="1:3">
      <c r="A2793" s="184" t="s">
        <v>7438</v>
      </c>
      <c r="B2793" s="184">
        <v>32.47195</v>
      </c>
      <c r="C2793" s="184">
        <v>-116.84953</v>
      </c>
    </row>
    <row r="2794" spans="1:3">
      <c r="A2794" s="184" t="s">
        <v>7439</v>
      </c>
      <c r="B2794" s="184">
        <v>27.338570000000001</v>
      </c>
      <c r="C2794" s="184">
        <v>-112.267476</v>
      </c>
    </row>
    <row r="2795" spans="1:3">
      <c r="A2795" s="184" t="s">
        <v>7440</v>
      </c>
      <c r="B2795" s="184">
        <v>24.162460800000002</v>
      </c>
      <c r="C2795" s="184">
        <v>-110.2923165</v>
      </c>
    </row>
    <row r="2796" spans="1:3">
      <c r="A2796" s="184" t="s">
        <v>7441</v>
      </c>
      <c r="B2796" s="184">
        <v>24.113825200000001</v>
      </c>
      <c r="C2796" s="184">
        <v>-110.3145289</v>
      </c>
    </row>
    <row r="2797" spans="1:3">
      <c r="A2797" s="184" t="s">
        <v>7442</v>
      </c>
      <c r="B2797" s="184">
        <v>24.128302999999999</v>
      </c>
      <c r="C2797" s="184">
        <v>-110.29976189999999</v>
      </c>
    </row>
    <row r="2798" spans="1:3">
      <c r="A2798" s="184" t="s">
        <v>7443</v>
      </c>
      <c r="B2798" s="184">
        <v>24.096813399999998</v>
      </c>
      <c r="C2798" s="184">
        <v>-110.3085816</v>
      </c>
    </row>
    <row r="2799" spans="1:3">
      <c r="A2799" s="184" t="s">
        <v>7444</v>
      </c>
      <c r="B2799" s="184">
        <v>24.145948300000001</v>
      </c>
      <c r="C2799" s="184">
        <v>-110.282338</v>
      </c>
    </row>
    <row r="2800" spans="1:3">
      <c r="A2800" s="184" t="s">
        <v>7445</v>
      </c>
      <c r="B2800" s="184">
        <v>24.101677599999999</v>
      </c>
      <c r="C2800" s="184">
        <v>-110.4123938</v>
      </c>
    </row>
    <row r="2801" spans="1:3">
      <c r="A2801" s="184" t="s">
        <v>7447</v>
      </c>
      <c r="B2801" s="184">
        <v>24.102432700000001</v>
      </c>
      <c r="C2801" s="184">
        <v>-110.3729079</v>
      </c>
    </row>
    <row r="2802" spans="1:3">
      <c r="A2802" s="184" t="s">
        <v>7448</v>
      </c>
      <c r="B2802" s="184">
        <v>24.022503799999999</v>
      </c>
      <c r="C2802" s="184">
        <v>-110.2792602</v>
      </c>
    </row>
    <row r="2803" spans="1:3">
      <c r="A2803" s="184" t="s">
        <v>7449</v>
      </c>
      <c r="B2803" s="184">
        <v>23.061752200000001</v>
      </c>
      <c r="C2803" s="184">
        <v>-109.7082831</v>
      </c>
    </row>
    <row r="2804" spans="1:3">
      <c r="A2804" s="184" t="s">
        <v>7450</v>
      </c>
      <c r="B2804" s="184">
        <v>23.060864500000001</v>
      </c>
      <c r="C2804" s="184">
        <v>-109.70175709999999</v>
      </c>
    </row>
    <row r="2805" spans="1:3">
      <c r="A2805" s="184" t="s">
        <v>7452</v>
      </c>
      <c r="B2805" s="184">
        <v>22.897345399999999</v>
      </c>
      <c r="C2805" s="184">
        <v>-109.9392919</v>
      </c>
    </row>
    <row r="2806" spans="1:3">
      <c r="A2806" s="184" t="s">
        <v>7453</v>
      </c>
      <c r="B2806" s="184">
        <v>23.062068</v>
      </c>
      <c r="C2806" s="184">
        <v>-109.6699747</v>
      </c>
    </row>
    <row r="2807" spans="1:3">
      <c r="A2807" s="184" t="s">
        <v>7454</v>
      </c>
      <c r="B2807" s="184">
        <v>23.1170784</v>
      </c>
      <c r="C2807" s="184">
        <v>-109.710686</v>
      </c>
    </row>
    <row r="2808" spans="1:3">
      <c r="A2808" s="184" t="s">
        <v>7455</v>
      </c>
      <c r="B2808" s="184">
        <v>23.180461600000001</v>
      </c>
      <c r="C2808" s="184">
        <v>-109.7012168</v>
      </c>
    </row>
    <row r="2809" spans="1:3">
      <c r="A2809" s="184" t="s">
        <v>7456</v>
      </c>
      <c r="B2809" s="184">
        <v>22.915873099999999</v>
      </c>
      <c r="C2809" s="184">
        <v>-109.92889289999999</v>
      </c>
    </row>
    <row r="2810" spans="1:3">
      <c r="A2810" s="184" t="s">
        <v>7457</v>
      </c>
      <c r="B2810" s="184">
        <v>23.090271699999999</v>
      </c>
      <c r="C2810" s="184">
        <v>-109.70490599999999</v>
      </c>
    </row>
    <row r="2811" spans="1:3">
      <c r="A2811" s="184" t="s">
        <v>7458</v>
      </c>
      <c r="B2811" s="184">
        <v>24.152892999999999</v>
      </c>
      <c r="C2811" s="184">
        <v>-110.2654802</v>
      </c>
    </row>
    <row r="2812" spans="1:3">
      <c r="A2812" s="184" t="s">
        <v>7459</v>
      </c>
      <c r="B2812" s="184">
        <v>26.007201999999999</v>
      </c>
      <c r="C2812" s="184">
        <v>-111.364929</v>
      </c>
    </row>
    <row r="2813" spans="1:3">
      <c r="A2813" s="184" t="s">
        <v>7460</v>
      </c>
      <c r="B2813" s="184">
        <v>22.9381141</v>
      </c>
      <c r="C2813" s="184">
        <v>-109.9306382</v>
      </c>
    </row>
    <row r="2814" spans="1:3">
      <c r="A2814" s="184" t="s">
        <v>7461</v>
      </c>
      <c r="B2814" s="184">
        <v>24.162437000000001</v>
      </c>
      <c r="C2814" s="184">
        <v>-110.2925043</v>
      </c>
    </row>
    <row r="2815" spans="1:3">
      <c r="A2815" s="184" t="s">
        <v>7462</v>
      </c>
      <c r="B2815" s="184">
        <v>26.007122200000001</v>
      </c>
      <c r="C2815" s="184">
        <v>-111.35064560000001</v>
      </c>
    </row>
    <row r="2816" spans="1:3">
      <c r="A2816" s="184" t="s">
        <v>7463</v>
      </c>
      <c r="B2816" s="184">
        <v>23.060994900000001</v>
      </c>
      <c r="C2816" s="184">
        <v>-109.7015203</v>
      </c>
    </row>
    <row r="2817" spans="1:3">
      <c r="A2817" s="184" t="s">
        <v>7464</v>
      </c>
      <c r="B2817" s="184">
        <v>22.902767600000001</v>
      </c>
      <c r="C2817" s="184">
        <v>-109.9248226</v>
      </c>
    </row>
    <row r="2818" spans="1:3">
      <c r="A2818" s="184" t="s">
        <v>7465</v>
      </c>
      <c r="B2818" s="184">
        <v>24.159411899999998</v>
      </c>
      <c r="C2818" s="184">
        <v>-110.3094613</v>
      </c>
    </row>
    <row r="2819" spans="1:3">
      <c r="A2819" s="184" t="s">
        <v>7466</v>
      </c>
      <c r="B2819" s="184">
        <v>23.0611508</v>
      </c>
      <c r="C2819" s="184">
        <v>-109.7017678</v>
      </c>
    </row>
    <row r="2820" spans="1:3">
      <c r="A2820" s="184" t="s">
        <v>7467</v>
      </c>
      <c r="B2820" s="184">
        <v>24.111446699999998</v>
      </c>
      <c r="C2820" s="184">
        <v>-110.29690789999999</v>
      </c>
    </row>
    <row r="2821" spans="1:3">
      <c r="A2821" s="184" t="s">
        <v>7468</v>
      </c>
      <c r="B2821" s="184">
        <v>24.0960416</v>
      </c>
      <c r="C2821" s="184">
        <v>-110.3191765</v>
      </c>
    </row>
    <row r="2822" spans="1:3">
      <c r="A2822" s="184" t="s">
        <v>7469</v>
      </c>
      <c r="B2822" s="184">
        <v>24.1527046</v>
      </c>
      <c r="C2822" s="184">
        <v>-110.3101161</v>
      </c>
    </row>
    <row r="2823" spans="1:3">
      <c r="A2823" s="184" t="s">
        <v>7470</v>
      </c>
      <c r="B2823" s="184">
        <v>24.152213</v>
      </c>
      <c r="C2823" s="184">
        <v>-110.309246</v>
      </c>
    </row>
    <row r="2824" spans="1:3">
      <c r="A2824" s="184" t="s">
        <v>7471</v>
      </c>
      <c r="B2824" s="184">
        <v>22.947055899999999</v>
      </c>
      <c r="C2824" s="184">
        <v>-109.9227595</v>
      </c>
    </row>
    <row r="2825" spans="1:3">
      <c r="A2825" s="184" t="s">
        <v>7472</v>
      </c>
      <c r="B2825" s="184">
        <v>24.152489899999999</v>
      </c>
      <c r="C2825" s="184">
        <v>-110.3097719</v>
      </c>
    </row>
    <row r="2826" spans="1:3">
      <c r="A2826" s="184" t="s">
        <v>7473</v>
      </c>
      <c r="B2826" s="184">
        <v>22.903115</v>
      </c>
      <c r="C2826" s="184">
        <v>-109.92418499999999</v>
      </c>
    </row>
    <row r="2827" spans="1:3">
      <c r="A2827" s="184" t="s">
        <v>7474</v>
      </c>
      <c r="B2827" s="184">
        <v>19.486000000000001</v>
      </c>
      <c r="C2827" s="184">
        <v>-99.181799999999996</v>
      </c>
    </row>
    <row r="2828" spans="1:3">
      <c r="A2828" s="184" t="s">
        <v>7475</v>
      </c>
      <c r="B2828" s="184">
        <v>19.474900000000002</v>
      </c>
      <c r="C2828" s="184">
        <v>-99.2042</v>
      </c>
    </row>
    <row r="2829" spans="1:3">
      <c r="A2829" s="184" t="s">
        <v>7476</v>
      </c>
      <c r="B2829" s="184">
        <v>19.490737599999999</v>
      </c>
      <c r="C2829" s="184">
        <v>-99.177054499999997</v>
      </c>
    </row>
    <row r="2830" spans="1:3">
      <c r="A2830" s="184" t="s">
        <v>7477</v>
      </c>
      <c r="B2830" s="184">
        <v>19.492362</v>
      </c>
      <c r="C2830" s="184">
        <v>-99.1847791</v>
      </c>
    </row>
    <row r="2831" spans="1:3">
      <c r="A2831" s="184" t="s">
        <v>7478</v>
      </c>
      <c r="B2831" s="184">
        <v>19.3045805</v>
      </c>
      <c r="C2831" s="184">
        <v>-99.143567899999994</v>
      </c>
    </row>
    <row r="2832" spans="1:3">
      <c r="A2832" s="184" t="s">
        <v>7479</v>
      </c>
      <c r="B2832" s="184">
        <v>19.3192469</v>
      </c>
      <c r="C2832" s="184">
        <v>-99.169830700000006</v>
      </c>
    </row>
    <row r="2833" spans="1:3">
      <c r="A2833" s="184" t="s">
        <v>7480</v>
      </c>
      <c r="B2833" s="184">
        <v>19.322092399999999</v>
      </c>
      <c r="C2833" s="184">
        <v>-99.153046200000006</v>
      </c>
    </row>
    <row r="2834" spans="1:3">
      <c r="A2834" s="184" t="s">
        <v>7481</v>
      </c>
      <c r="B2834" s="184">
        <v>19.3369441</v>
      </c>
      <c r="C2834" s="184">
        <v>-99.122972500000003</v>
      </c>
    </row>
    <row r="2835" spans="1:3">
      <c r="A2835" s="184" t="s">
        <v>7482</v>
      </c>
      <c r="B2835" s="184">
        <v>19.368796199999998</v>
      </c>
      <c r="C2835" s="184">
        <v>-99.289307300000004</v>
      </c>
    </row>
    <row r="2836" spans="1:3">
      <c r="A2836" s="184" t="s">
        <v>7483</v>
      </c>
      <c r="B2836" s="184">
        <v>19.361014900000001</v>
      </c>
      <c r="C2836" s="184">
        <v>-99.286032399999996</v>
      </c>
    </row>
    <row r="2837" spans="1:3">
      <c r="A2837" s="184" t="s">
        <v>7484</v>
      </c>
      <c r="B2837" s="184">
        <v>19.382899099999999</v>
      </c>
      <c r="C2837" s="184">
        <v>-99.255287800000005</v>
      </c>
    </row>
    <row r="2838" spans="1:3">
      <c r="A2838" s="184" t="s">
        <v>7485</v>
      </c>
      <c r="B2838" s="184">
        <v>19.390590499999998</v>
      </c>
      <c r="C2838" s="184">
        <v>-99.263852299999996</v>
      </c>
    </row>
    <row r="2839" spans="1:3">
      <c r="A2839" s="184" t="s">
        <v>7486</v>
      </c>
      <c r="B2839" s="184">
        <v>19.375307299999999</v>
      </c>
      <c r="C2839" s="184">
        <v>-99.283425100000002</v>
      </c>
    </row>
    <row r="2840" spans="1:3">
      <c r="A2840" s="184" t="s">
        <v>7487</v>
      </c>
      <c r="B2840" s="184">
        <v>19.3566109</v>
      </c>
      <c r="C2840" s="184">
        <v>-99.297390399999998</v>
      </c>
    </row>
    <row r="2841" spans="1:3">
      <c r="A2841" s="184" t="s">
        <v>7488</v>
      </c>
      <c r="B2841" s="184">
        <v>19.467500000000001</v>
      </c>
      <c r="C2841" s="184">
        <v>-99.068399999999997</v>
      </c>
    </row>
    <row r="2842" spans="1:3">
      <c r="A2842" s="184" t="s">
        <v>7489</v>
      </c>
      <c r="B2842" s="184">
        <v>19.459165680000002</v>
      </c>
      <c r="C2842" s="184">
        <v>-99.103063199999994</v>
      </c>
    </row>
    <row r="2843" spans="1:3">
      <c r="A2843" s="184" t="s">
        <v>7490</v>
      </c>
      <c r="B2843" s="184">
        <v>19.463971399999998</v>
      </c>
      <c r="C2843" s="184">
        <v>-99.093511899999996</v>
      </c>
    </row>
    <row r="2844" spans="1:3">
      <c r="A2844" s="184" t="s">
        <v>7491</v>
      </c>
      <c r="B2844" s="184">
        <v>19.4540845</v>
      </c>
      <c r="C2844" s="184">
        <v>-99.058487200000002</v>
      </c>
    </row>
    <row r="2845" spans="1:3">
      <c r="A2845" s="184" t="s">
        <v>7492</v>
      </c>
      <c r="B2845" s="184">
        <v>19.503217800000002</v>
      </c>
      <c r="C2845" s="184">
        <v>-99.079372300000003</v>
      </c>
    </row>
    <row r="2846" spans="1:3">
      <c r="A2846" s="184" t="s">
        <v>7493</v>
      </c>
      <c r="B2846" s="184">
        <v>19.484378599999999</v>
      </c>
      <c r="C2846" s="184">
        <v>-99.07235</v>
      </c>
    </row>
    <row r="2847" spans="1:3">
      <c r="A2847" s="184" t="s">
        <v>7494</v>
      </c>
      <c r="B2847" s="184">
        <v>19.5239099</v>
      </c>
      <c r="C2847" s="184">
        <v>-99.137667899999997</v>
      </c>
    </row>
    <row r="2848" spans="1:3">
      <c r="A2848" s="184" t="s">
        <v>7495</v>
      </c>
      <c r="B2848" s="184">
        <v>19.4864</v>
      </c>
      <c r="C2848" s="184">
        <v>-99.112799999999993</v>
      </c>
    </row>
    <row r="2849" spans="1:3">
      <c r="A2849" s="184" t="s">
        <v>7496</v>
      </c>
      <c r="B2849" s="184">
        <v>19.386199999999999</v>
      </c>
      <c r="C2849" s="184">
        <v>-99.095500000000001</v>
      </c>
    </row>
    <row r="2850" spans="1:3">
      <c r="A2850" s="184" t="s">
        <v>7497</v>
      </c>
      <c r="B2850" s="184">
        <v>19.384360699999998</v>
      </c>
      <c r="C2850" s="184">
        <v>-99.117573300000004</v>
      </c>
    </row>
    <row r="2851" spans="1:3">
      <c r="A2851" s="184" t="s">
        <v>7498</v>
      </c>
      <c r="B2851" s="184">
        <v>19.356541799999999</v>
      </c>
      <c r="C2851" s="184">
        <v>-99.107591799999994</v>
      </c>
    </row>
    <row r="2852" spans="1:3">
      <c r="A2852" s="184" t="s">
        <v>7499</v>
      </c>
      <c r="B2852" s="184">
        <v>19.372499999999999</v>
      </c>
      <c r="C2852" s="184">
        <v>-99.101799999999997</v>
      </c>
    </row>
    <row r="2853" spans="1:3">
      <c r="A2853" s="184" t="s">
        <v>7500</v>
      </c>
      <c r="B2853" s="184">
        <v>19.327594099999999</v>
      </c>
      <c r="C2853" s="184">
        <v>-99.044990799999994</v>
      </c>
    </row>
    <row r="2854" spans="1:3">
      <c r="A2854" s="184" t="s">
        <v>7501</v>
      </c>
      <c r="B2854" s="184">
        <v>19.303059019999999</v>
      </c>
      <c r="C2854" s="184">
        <v>-99.26974835</v>
      </c>
    </row>
    <row r="2855" spans="1:3">
      <c r="A2855" s="184" t="s">
        <v>7502</v>
      </c>
      <c r="B2855" s="184">
        <v>19.297999999999998</v>
      </c>
      <c r="C2855" s="184">
        <v>-99.243499999999997</v>
      </c>
    </row>
    <row r="2856" spans="1:3">
      <c r="A2856" s="184" t="s">
        <v>7503</v>
      </c>
      <c r="B2856" s="184">
        <v>19.305399999999999</v>
      </c>
      <c r="C2856" s="184">
        <v>-99.250200000000007</v>
      </c>
    </row>
    <row r="2857" spans="1:3">
      <c r="A2857" s="184" t="s">
        <v>7504</v>
      </c>
      <c r="B2857" s="184">
        <v>19.192299999999999</v>
      </c>
      <c r="C2857" s="184">
        <v>-99.007099999999994</v>
      </c>
    </row>
    <row r="2858" spans="1:3">
      <c r="A2858" s="184" t="s">
        <v>7506</v>
      </c>
      <c r="B2858" s="184">
        <v>19.196200000000001</v>
      </c>
      <c r="C2858" s="184">
        <v>-99.005700000000004</v>
      </c>
    </row>
    <row r="2859" spans="1:3">
      <c r="A2859" s="184" t="s">
        <v>7507</v>
      </c>
      <c r="B2859" s="184">
        <v>19.341485899999999</v>
      </c>
      <c r="C2859" s="184">
        <v>-99.230629500000006</v>
      </c>
    </row>
    <row r="2860" spans="1:3">
      <c r="A2860" s="184" t="s">
        <v>7508</v>
      </c>
      <c r="B2860" s="184">
        <v>19.3618086</v>
      </c>
      <c r="C2860" s="184">
        <v>-99.238493599999998</v>
      </c>
    </row>
    <row r="2861" spans="1:3">
      <c r="A2861" s="184" t="s">
        <v>7509</v>
      </c>
      <c r="B2861" s="184">
        <v>19.353186000000001</v>
      </c>
      <c r="C2861" s="184">
        <v>-99.219106499999995</v>
      </c>
    </row>
    <row r="2862" spans="1:3">
      <c r="A2862" s="184" t="s">
        <v>7510</v>
      </c>
      <c r="B2862" s="184">
        <v>19.329111099999999</v>
      </c>
      <c r="C2862" s="184">
        <v>-99.272474500000001</v>
      </c>
    </row>
    <row r="2863" spans="1:3">
      <c r="A2863" s="184" t="s">
        <v>7511</v>
      </c>
      <c r="B2863" s="184">
        <v>19.3108</v>
      </c>
      <c r="C2863" s="184">
        <v>-99.036000000000001</v>
      </c>
    </row>
    <row r="2864" spans="1:3">
      <c r="A2864" s="184" t="s">
        <v>7512</v>
      </c>
      <c r="B2864" s="184">
        <v>19.285204190000002</v>
      </c>
      <c r="C2864" s="184">
        <v>-98.995461910000003</v>
      </c>
    </row>
    <row r="2865" spans="1:3">
      <c r="A2865" s="184" t="s">
        <v>7513</v>
      </c>
      <c r="B2865" s="184">
        <v>19.2255</v>
      </c>
      <c r="C2865" s="184">
        <v>-98.951499999999996</v>
      </c>
    </row>
    <row r="2866" spans="1:3">
      <c r="A2866" s="184" t="s">
        <v>7515</v>
      </c>
      <c r="B2866" s="184">
        <v>19.276</v>
      </c>
      <c r="C2866" s="184">
        <v>-98.996099999999998</v>
      </c>
    </row>
    <row r="2867" spans="1:3">
      <c r="A2867" s="184" t="s">
        <v>7516</v>
      </c>
      <c r="B2867" s="184">
        <v>19.233499999999999</v>
      </c>
      <c r="C2867" s="184">
        <v>-99.179900000000004</v>
      </c>
    </row>
    <row r="2868" spans="1:3">
      <c r="A2868" s="184" t="s">
        <v>7517</v>
      </c>
      <c r="B2868" s="184">
        <v>19.284700000000001</v>
      </c>
      <c r="C2868" s="184">
        <v>-99.195599999999999</v>
      </c>
    </row>
    <row r="2869" spans="1:3">
      <c r="A2869" s="184" t="s">
        <v>7518</v>
      </c>
      <c r="B2869" s="184">
        <v>19.256</v>
      </c>
      <c r="C2869" s="184">
        <v>-99.182900000000004</v>
      </c>
    </row>
    <row r="2870" spans="1:3">
      <c r="A2870" s="184" t="s">
        <v>7519</v>
      </c>
      <c r="B2870" s="184">
        <v>19.289200000000001</v>
      </c>
      <c r="C2870" s="184">
        <v>-99.237799999999993</v>
      </c>
    </row>
    <row r="2871" spans="1:3">
      <c r="A2871" s="184" t="s">
        <v>7520</v>
      </c>
      <c r="B2871" s="184">
        <v>19.291211199999999</v>
      </c>
      <c r="C2871" s="184">
        <v>-99.223084999999998</v>
      </c>
    </row>
    <row r="2872" spans="1:3">
      <c r="A2872" s="184" t="s">
        <v>7521</v>
      </c>
      <c r="B2872" s="184">
        <v>19.220400000000001</v>
      </c>
      <c r="C2872" s="184">
        <v>-99.2042</v>
      </c>
    </row>
    <row r="2873" spans="1:3">
      <c r="A2873" s="184" t="s">
        <v>7523</v>
      </c>
      <c r="B2873" s="184">
        <v>19.203052700000001</v>
      </c>
      <c r="C2873" s="184">
        <v>-99.146845400000004</v>
      </c>
    </row>
    <row r="2874" spans="1:3">
      <c r="A2874" s="184" t="s">
        <v>7525</v>
      </c>
      <c r="B2874" s="184">
        <v>19.275902930000001</v>
      </c>
      <c r="C2874" s="184">
        <v>-99.221963509999995</v>
      </c>
    </row>
    <row r="2875" spans="1:3">
      <c r="A2875" s="184" t="s">
        <v>7526</v>
      </c>
      <c r="B2875" s="184">
        <v>19.195799999999998</v>
      </c>
      <c r="C2875" s="184">
        <v>-99.121899999999997</v>
      </c>
    </row>
    <row r="2876" spans="1:3">
      <c r="A2876" s="184" t="s">
        <v>7527</v>
      </c>
      <c r="B2876" s="184">
        <v>19.235399999999998</v>
      </c>
      <c r="C2876" s="184">
        <v>-99.105999999999995</v>
      </c>
    </row>
    <row r="2877" spans="1:3">
      <c r="A2877" s="184" t="s">
        <v>7528</v>
      </c>
      <c r="B2877" s="184">
        <v>19.257100000000001</v>
      </c>
      <c r="C2877" s="184">
        <v>-99.064499999999995</v>
      </c>
    </row>
    <row r="2878" spans="1:3">
      <c r="A2878" s="184" t="s">
        <v>7529</v>
      </c>
      <c r="B2878" s="184">
        <v>19.2468</v>
      </c>
      <c r="C2878" s="184">
        <v>-99.094700000000003</v>
      </c>
    </row>
    <row r="2879" spans="1:3">
      <c r="A2879" s="184" t="s">
        <v>7530</v>
      </c>
      <c r="B2879" s="184">
        <v>19.255400000000002</v>
      </c>
      <c r="C2879" s="184">
        <v>-99.010999999999996</v>
      </c>
    </row>
    <row r="2880" spans="1:3">
      <c r="A2880" s="184" t="s">
        <v>7531</v>
      </c>
      <c r="B2880" s="184">
        <v>19.228000000000002</v>
      </c>
      <c r="C2880" s="184">
        <v>-99.119699999999995</v>
      </c>
    </row>
    <row r="2881" spans="1:3">
      <c r="A2881" s="184" t="s">
        <v>7532</v>
      </c>
      <c r="B2881" s="184">
        <v>19.427</v>
      </c>
      <c r="C2881" s="184">
        <v>-99.143699999999995</v>
      </c>
    </row>
    <row r="2882" spans="1:3">
      <c r="A2882" s="184" t="s">
        <v>7533</v>
      </c>
      <c r="B2882" s="184">
        <v>19.444099999999999</v>
      </c>
      <c r="C2882" s="184">
        <v>-99.135300000000001</v>
      </c>
    </row>
    <row r="2883" spans="1:3">
      <c r="A2883" s="184" t="s">
        <v>7534</v>
      </c>
      <c r="B2883" s="184">
        <v>19.45112</v>
      </c>
      <c r="C2883" s="184">
        <v>-99.169314999999997</v>
      </c>
    </row>
    <row r="2884" spans="1:3">
      <c r="A2884" s="184" t="s">
        <v>7535</v>
      </c>
      <c r="B2884" s="184">
        <v>19.480653799999999</v>
      </c>
      <c r="C2884" s="184">
        <v>-99.124137099999999</v>
      </c>
    </row>
    <row r="2885" spans="1:3">
      <c r="A2885" s="184" t="s">
        <v>7536</v>
      </c>
      <c r="B2885" s="184">
        <v>19.427299999999999</v>
      </c>
      <c r="C2885" s="184">
        <v>-99.065100000000001</v>
      </c>
    </row>
    <row r="2886" spans="1:3">
      <c r="A2886" s="184" t="s">
        <v>7537</v>
      </c>
      <c r="B2886" s="184">
        <v>19.432062219999999</v>
      </c>
      <c r="C2886" s="184">
        <v>-99.109474329999998</v>
      </c>
    </row>
    <row r="2887" spans="1:3">
      <c r="A2887" s="184" t="s">
        <v>7538</v>
      </c>
      <c r="B2887" s="184">
        <v>19.436</v>
      </c>
      <c r="C2887" s="184">
        <v>-99.106499999999997</v>
      </c>
    </row>
    <row r="2888" spans="1:3">
      <c r="A2888" s="184" t="s">
        <v>7539</v>
      </c>
      <c r="B2888" s="184">
        <v>19.4452</v>
      </c>
      <c r="C2888" s="184">
        <v>-99.112200000000001</v>
      </c>
    </row>
    <row r="2889" spans="1:3">
      <c r="A2889" s="184" t="s">
        <v>7540</v>
      </c>
      <c r="B2889" s="184">
        <v>19.332028999999999</v>
      </c>
      <c r="C2889" s="184">
        <v>-99.031529000000006</v>
      </c>
    </row>
    <row r="2890" spans="1:3">
      <c r="A2890" s="184" t="s">
        <v>7541</v>
      </c>
      <c r="B2890" s="184">
        <v>19.3428</v>
      </c>
      <c r="C2890" s="184">
        <v>-99.05</v>
      </c>
    </row>
    <row r="2891" spans="1:3">
      <c r="A2891" s="184" t="s">
        <v>7542</v>
      </c>
      <c r="B2891" s="184">
        <v>19.469268799999998</v>
      </c>
      <c r="C2891" s="184">
        <v>-99.159394500000005</v>
      </c>
    </row>
    <row r="2892" spans="1:3">
      <c r="A2892" s="184" t="s">
        <v>7543</v>
      </c>
      <c r="B2892" s="184">
        <v>19.524347599999999</v>
      </c>
      <c r="C2892" s="184">
        <v>-99.140138399999998</v>
      </c>
    </row>
    <row r="2893" spans="1:3">
      <c r="A2893" s="184" t="s">
        <v>7544</v>
      </c>
      <c r="B2893" s="184">
        <v>19.312301000000001</v>
      </c>
      <c r="C2893" s="184">
        <v>-99.260149799999994</v>
      </c>
    </row>
    <row r="2894" spans="1:3">
      <c r="A2894" s="184" t="s">
        <v>7545</v>
      </c>
      <c r="B2894" s="184">
        <v>19.373601600000001</v>
      </c>
      <c r="C2894" s="184">
        <v>-99.028485599999996</v>
      </c>
    </row>
    <row r="2895" spans="1:3">
      <c r="A2895" s="184" t="s">
        <v>7546</v>
      </c>
      <c r="B2895" s="184">
        <v>19.267219799999999</v>
      </c>
      <c r="C2895" s="184">
        <v>-99.130492200000006</v>
      </c>
    </row>
    <row r="2896" spans="1:3">
      <c r="A2896" s="184" t="s">
        <v>7547</v>
      </c>
      <c r="B2896" s="184">
        <v>19.4329</v>
      </c>
      <c r="C2896" s="184">
        <v>-99.153400000000005</v>
      </c>
    </row>
    <row r="2897" spans="1:3">
      <c r="A2897" s="184" t="s">
        <v>7548</v>
      </c>
      <c r="B2897" s="184">
        <v>19.322647100000001</v>
      </c>
      <c r="C2897" s="184">
        <v>-99.048272400000002</v>
      </c>
    </row>
    <row r="2898" spans="1:3">
      <c r="A2898" s="184" t="s">
        <v>7549</v>
      </c>
      <c r="B2898" s="184">
        <v>19.3476344</v>
      </c>
      <c r="C2898" s="184">
        <v>-98.990431200000003</v>
      </c>
    </row>
    <row r="2899" spans="1:3">
      <c r="A2899" s="184" t="s">
        <v>7550</v>
      </c>
      <c r="B2899" s="184">
        <v>19.327673000000001</v>
      </c>
      <c r="C2899" s="184">
        <v>-99.277803000000006</v>
      </c>
    </row>
    <row r="2900" spans="1:3">
      <c r="A2900" s="184" t="s">
        <v>7551</v>
      </c>
      <c r="B2900" s="184">
        <v>19.32283</v>
      </c>
      <c r="C2900" s="184">
        <v>-99.033439000000001</v>
      </c>
    </row>
    <row r="2901" spans="1:3">
      <c r="A2901" s="184" t="s">
        <v>7552</v>
      </c>
      <c r="B2901" s="184">
        <v>19.271124799999999</v>
      </c>
      <c r="C2901" s="184">
        <v>-99.247915899999995</v>
      </c>
    </row>
    <row r="2902" spans="1:3">
      <c r="A2902" s="184" t="s">
        <v>7553</v>
      </c>
      <c r="B2902" s="184">
        <v>19.202400000000001</v>
      </c>
      <c r="C2902" s="184">
        <v>-99.149500000000003</v>
      </c>
    </row>
    <row r="2903" spans="1:3">
      <c r="A2903" s="184" t="s">
        <v>7554</v>
      </c>
      <c r="B2903" s="184">
        <v>19.3154</v>
      </c>
      <c r="C2903" s="184">
        <v>-99.040199999999999</v>
      </c>
    </row>
    <row r="2904" spans="1:3">
      <c r="A2904" s="184" t="s">
        <v>7555</v>
      </c>
      <c r="B2904" s="184">
        <v>19.317599999999999</v>
      </c>
      <c r="C2904" s="184">
        <v>-99.331400000000002</v>
      </c>
    </row>
    <row r="2905" spans="1:3">
      <c r="A2905" s="184" t="s">
        <v>7557</v>
      </c>
      <c r="B2905" s="184">
        <v>19.3063</v>
      </c>
      <c r="C2905" s="184">
        <v>-99.055599999999998</v>
      </c>
    </row>
    <row r="2906" spans="1:3">
      <c r="A2906" s="184" t="s">
        <v>7558</v>
      </c>
      <c r="B2906" s="184">
        <v>19.3261702</v>
      </c>
      <c r="C2906" s="184">
        <v>-99.258861899999999</v>
      </c>
    </row>
    <row r="2907" spans="1:3">
      <c r="A2907" s="184" t="s">
        <v>7559</v>
      </c>
      <c r="B2907" s="184">
        <v>19.547599999999999</v>
      </c>
      <c r="C2907" s="184">
        <v>-99.143600000000006</v>
      </c>
    </row>
    <row r="2908" spans="1:3">
      <c r="A2908" s="184" t="s">
        <v>7560</v>
      </c>
      <c r="B2908" s="184">
        <v>19.387799999999999</v>
      </c>
      <c r="C2908" s="184">
        <v>-99.0916</v>
      </c>
    </row>
    <row r="2909" spans="1:3">
      <c r="A2909" s="184" t="s">
        <v>7561</v>
      </c>
      <c r="B2909" s="184">
        <v>19.3098308</v>
      </c>
      <c r="C2909" s="184">
        <v>-99.258398999999997</v>
      </c>
    </row>
    <row r="2910" spans="1:3">
      <c r="A2910" s="184" t="s">
        <v>7562</v>
      </c>
      <c r="B2910" s="184">
        <v>19.314251200000001</v>
      </c>
      <c r="C2910" s="184">
        <v>-99.257235800000004</v>
      </c>
    </row>
    <row r="2911" spans="1:3">
      <c r="A2911" s="184" t="s">
        <v>7563</v>
      </c>
      <c r="B2911" s="184">
        <v>19.2545</v>
      </c>
      <c r="C2911" s="184">
        <v>-99.011399999999995</v>
      </c>
    </row>
    <row r="2912" spans="1:3">
      <c r="A2912" s="184" t="s">
        <v>7564</v>
      </c>
      <c r="B2912" s="184">
        <v>19.448599999999999</v>
      </c>
      <c r="C2912" s="184">
        <v>-99.181799999999996</v>
      </c>
    </row>
    <row r="2913" spans="1:3">
      <c r="A2913" s="184" t="s">
        <v>7565</v>
      </c>
      <c r="B2913" s="184">
        <v>19.257300000000001</v>
      </c>
      <c r="C2913" s="184">
        <v>-99.064800000000005</v>
      </c>
    </row>
    <row r="2914" spans="1:3">
      <c r="A2914" s="184" t="s">
        <v>7566</v>
      </c>
      <c r="B2914" s="184">
        <v>19.247326399999999</v>
      </c>
      <c r="C2914" s="184">
        <v>-99.127050299999993</v>
      </c>
    </row>
    <row r="2915" spans="1:3">
      <c r="A2915" s="184" t="s">
        <v>7567</v>
      </c>
      <c r="B2915" s="184">
        <v>19.210752200000002</v>
      </c>
      <c r="C2915" s="184">
        <v>-98.971437100000003</v>
      </c>
    </row>
    <row r="2916" spans="1:3">
      <c r="A2916" s="184" t="s">
        <v>7569</v>
      </c>
      <c r="B2916" s="184">
        <v>19.373586</v>
      </c>
      <c r="C2916" s="184">
        <v>-99.095608999999996</v>
      </c>
    </row>
    <row r="2917" spans="1:3">
      <c r="A2917" s="184" t="s">
        <v>7570</v>
      </c>
      <c r="B2917" s="184">
        <v>21.0613651</v>
      </c>
      <c r="C2917" s="184">
        <v>-101.5767015</v>
      </c>
    </row>
    <row r="2918" spans="1:3">
      <c r="A2918" s="184" t="s">
        <v>7571</v>
      </c>
      <c r="B2918" s="184">
        <v>20.349485999999999</v>
      </c>
      <c r="C2918" s="184">
        <v>-98.355711999999997</v>
      </c>
    </row>
    <row r="2919" spans="1:3">
      <c r="A2919" s="184" t="s">
        <v>7573</v>
      </c>
      <c r="B2919" s="184">
        <v>20.598703</v>
      </c>
      <c r="C2919" s="184">
        <v>-98.999675999999994</v>
      </c>
    </row>
    <row r="2920" spans="1:3">
      <c r="A2920" s="184" t="s">
        <v>7574</v>
      </c>
      <c r="B2920" s="184">
        <v>20.037616</v>
      </c>
      <c r="C2920" s="184">
        <v>-98.306824000000006</v>
      </c>
    </row>
    <row r="2921" spans="1:3">
      <c r="A2921" s="184" t="s">
        <v>7575</v>
      </c>
      <c r="B2921" s="184">
        <v>20.045487000000001</v>
      </c>
      <c r="C2921" s="184">
        <v>-98.183175000000006</v>
      </c>
    </row>
    <row r="2922" spans="1:3">
      <c r="A2922" s="184" t="s">
        <v>7576</v>
      </c>
      <c r="B2922" s="184">
        <v>21.114993999999999</v>
      </c>
      <c r="C2922" s="184">
        <v>-98.939631000000006</v>
      </c>
    </row>
    <row r="2923" spans="1:3">
      <c r="A2923" s="184" t="s">
        <v>7577</v>
      </c>
      <c r="B2923" s="184">
        <v>19.665105000000001</v>
      </c>
      <c r="C2923" s="184">
        <v>-98.568218000000002</v>
      </c>
    </row>
    <row r="2924" spans="1:3">
      <c r="A2924" s="184" t="s">
        <v>7578</v>
      </c>
      <c r="B2924" s="184">
        <v>19.698754999999998</v>
      </c>
      <c r="C2924" s="184">
        <v>-98.578361000000001</v>
      </c>
    </row>
    <row r="2925" spans="1:3">
      <c r="A2925" s="184" t="s">
        <v>7579</v>
      </c>
      <c r="B2925" s="184">
        <v>20.850425999999999</v>
      </c>
      <c r="C2925" s="184">
        <v>-98.876464999999996</v>
      </c>
    </row>
    <row r="2926" spans="1:3">
      <c r="A2926" s="184" t="s">
        <v>7580</v>
      </c>
      <c r="B2926" s="184">
        <v>20.213529999999999</v>
      </c>
      <c r="C2926" s="184">
        <v>-98.697310000000002</v>
      </c>
    </row>
    <row r="2927" spans="1:3">
      <c r="A2927" s="184" t="s">
        <v>7581</v>
      </c>
      <c r="B2927" s="184">
        <v>20.241610399999999</v>
      </c>
      <c r="C2927" s="184">
        <v>-99.607051100000007</v>
      </c>
    </row>
    <row r="2928" spans="1:3">
      <c r="A2928" s="184" t="s">
        <v>7583</v>
      </c>
      <c r="B2928" s="184">
        <v>20.113759999999999</v>
      </c>
      <c r="C2928" s="184">
        <v>-98.722854999999996</v>
      </c>
    </row>
    <row r="2929" spans="1:3">
      <c r="A2929" s="184" t="s">
        <v>7584</v>
      </c>
      <c r="B2929" s="184">
        <v>20.129603700000001</v>
      </c>
      <c r="C2929" s="184">
        <v>-98.757720000000006</v>
      </c>
    </row>
    <row r="2930" spans="1:3">
      <c r="A2930" s="184" t="s">
        <v>7585</v>
      </c>
      <c r="B2930" s="184">
        <v>20.122327899999998</v>
      </c>
      <c r="C2930" s="184">
        <v>-98.720966899999993</v>
      </c>
    </row>
    <row r="2931" spans="1:3">
      <c r="A2931" s="184" t="s">
        <v>7586</v>
      </c>
      <c r="B2931" s="184">
        <v>20.1284964</v>
      </c>
      <c r="C2931" s="184">
        <v>-98.741626299999993</v>
      </c>
    </row>
    <row r="2932" spans="1:3">
      <c r="A2932" s="184" t="s">
        <v>7587</v>
      </c>
      <c r="B2932" s="184">
        <v>20.120605099999999</v>
      </c>
      <c r="C2932" s="184">
        <v>-98.751652699999994</v>
      </c>
    </row>
    <row r="2933" spans="1:3">
      <c r="A2933" s="184" t="s">
        <v>7588</v>
      </c>
      <c r="B2933" s="184">
        <v>20.132681000000002</v>
      </c>
      <c r="C2933" s="184">
        <v>-98.727361999999999</v>
      </c>
    </row>
    <row r="2934" spans="1:3">
      <c r="A2934" s="184" t="s">
        <v>7589</v>
      </c>
      <c r="B2934" s="184">
        <v>20.135254</v>
      </c>
      <c r="C2934" s="184">
        <v>-98.730384999999998</v>
      </c>
    </row>
    <row r="2935" spans="1:3">
      <c r="A2935" s="184" t="s">
        <v>7590</v>
      </c>
      <c r="B2935" s="184">
        <v>20.111132000000001</v>
      </c>
      <c r="C2935" s="184">
        <v>-98.733620000000002</v>
      </c>
    </row>
    <row r="2936" spans="1:3">
      <c r="A2936" s="184" t="s">
        <v>7591</v>
      </c>
      <c r="B2936" s="184">
        <v>20.117751699999999</v>
      </c>
      <c r="C2936" s="184">
        <v>-98.730430999999996</v>
      </c>
    </row>
    <row r="2937" spans="1:3">
      <c r="A2937" s="184" t="s">
        <v>7592</v>
      </c>
      <c r="B2937" s="184">
        <v>20.10239</v>
      </c>
      <c r="C2937" s="184">
        <v>-98.833341000000004</v>
      </c>
    </row>
    <row r="2938" spans="1:3">
      <c r="A2938" s="184" t="s">
        <v>7593</v>
      </c>
      <c r="B2938" s="184">
        <v>21.192477</v>
      </c>
      <c r="C2938" s="184">
        <v>-99.001886999999996</v>
      </c>
    </row>
    <row r="2939" spans="1:3">
      <c r="A2939" s="184" t="s">
        <v>7594</v>
      </c>
      <c r="B2939" s="184">
        <v>20.035333000000001</v>
      </c>
      <c r="C2939" s="184">
        <v>-98.359356000000005</v>
      </c>
    </row>
    <row r="2940" spans="1:3">
      <c r="A2940" s="184" t="s">
        <v>7597</v>
      </c>
      <c r="B2940" s="184">
        <v>20.065487000000001</v>
      </c>
      <c r="C2940" s="184">
        <v>-98.408231999999998</v>
      </c>
    </row>
    <row r="2941" spans="1:3">
      <c r="A2941" s="184" t="s">
        <v>7599</v>
      </c>
      <c r="B2941" s="184">
        <v>19.944293999999999</v>
      </c>
      <c r="C2941" s="184">
        <v>-98.392249000000007</v>
      </c>
    </row>
    <row r="2942" spans="1:3">
      <c r="A2942" s="184" t="s">
        <v>7600</v>
      </c>
      <c r="B2942" s="184">
        <v>20.565110000000001</v>
      </c>
      <c r="C2942" s="184">
        <v>-99.310059999999993</v>
      </c>
    </row>
    <row r="2943" spans="1:3">
      <c r="A2943" s="184" t="s">
        <v>7603</v>
      </c>
      <c r="B2943" s="184">
        <v>19.732088000000001</v>
      </c>
      <c r="C2943" s="184">
        <v>-98.595804000000001</v>
      </c>
    </row>
    <row r="2944" spans="1:3">
      <c r="A2944" s="184" t="s">
        <v>7604</v>
      </c>
      <c r="B2944" s="184">
        <v>19.874328999999999</v>
      </c>
      <c r="C2944" s="184">
        <v>-98.405536999999995</v>
      </c>
    </row>
    <row r="2945" spans="1:3">
      <c r="A2945" s="184" t="s">
        <v>7605</v>
      </c>
      <c r="B2945" s="184">
        <v>19.833186000000001</v>
      </c>
      <c r="C2945" s="184">
        <v>-98.435353000000006</v>
      </c>
    </row>
    <row r="2946" spans="1:3">
      <c r="A2946" s="184" t="s">
        <v>7607</v>
      </c>
      <c r="B2946" s="184">
        <v>21.013642000000001</v>
      </c>
      <c r="C2946" s="184">
        <v>-98.841750000000005</v>
      </c>
    </row>
    <row r="2947" spans="1:3">
      <c r="A2947" s="184" t="s">
        <v>7608</v>
      </c>
      <c r="B2947" s="184">
        <v>21.014931000000001</v>
      </c>
      <c r="C2947" s="184">
        <v>-98.887011000000001</v>
      </c>
    </row>
    <row r="2948" spans="1:3">
      <c r="A2948" s="184" t="s">
        <v>7610</v>
      </c>
      <c r="B2948" s="184">
        <v>19.921652999999999</v>
      </c>
      <c r="C2948" s="184">
        <v>-99.342286999999999</v>
      </c>
    </row>
    <row r="2949" spans="1:3">
      <c r="A2949" s="184" t="s">
        <v>7611</v>
      </c>
      <c r="B2949" s="184">
        <v>19.855747999999998</v>
      </c>
      <c r="C2949" s="184">
        <v>-99.348071000000004</v>
      </c>
    </row>
    <row r="2950" spans="1:3">
      <c r="A2950" s="184" t="s">
        <v>7613</v>
      </c>
      <c r="B2950" s="184">
        <v>19.870560999999999</v>
      </c>
      <c r="C2950" s="184">
        <v>-99.350505999999996</v>
      </c>
    </row>
    <row r="2951" spans="1:3">
      <c r="A2951" s="184" t="s">
        <v>7614</v>
      </c>
      <c r="B2951" s="184">
        <v>19.889451999999999</v>
      </c>
      <c r="C2951" s="184">
        <v>-98.804407999999995</v>
      </c>
    </row>
    <row r="2952" spans="1:3">
      <c r="A2952" s="184" t="s">
        <v>7616</v>
      </c>
      <c r="B2952" s="184">
        <v>19.8711102</v>
      </c>
      <c r="C2952" s="184">
        <v>-98.9421198</v>
      </c>
    </row>
    <row r="2953" spans="1:3">
      <c r="A2953" s="184" t="s">
        <v>7618</v>
      </c>
      <c r="B2953" s="184">
        <v>19.815370000000001</v>
      </c>
      <c r="C2953" s="184">
        <v>-98.601282999999995</v>
      </c>
    </row>
    <row r="2954" spans="1:3">
      <c r="A2954" s="184" t="s">
        <v>7620</v>
      </c>
      <c r="B2954" s="184">
        <v>19.824767000000001</v>
      </c>
      <c r="C2954" s="184">
        <v>-98.617694</v>
      </c>
    </row>
    <row r="2955" spans="1:3">
      <c r="A2955" s="184" t="s">
        <v>7622</v>
      </c>
      <c r="B2955" s="184">
        <v>21.0505</v>
      </c>
      <c r="C2955" s="184">
        <v>-98.725931000000003</v>
      </c>
    </row>
    <row r="2956" spans="1:3">
      <c r="A2956" s="184" t="s">
        <v>7624</v>
      </c>
      <c r="B2956" s="184">
        <v>20.070039999999999</v>
      </c>
      <c r="C2956" s="184">
        <v>-98.415391</v>
      </c>
    </row>
    <row r="2957" spans="1:3">
      <c r="A2957" s="184" t="s">
        <v>7626</v>
      </c>
      <c r="B2957" s="184">
        <v>20.077688999999999</v>
      </c>
      <c r="C2957" s="184">
        <v>-98.353167999999997</v>
      </c>
    </row>
    <row r="2958" spans="1:3">
      <c r="A2958" s="184" t="s">
        <v>7628</v>
      </c>
      <c r="B2958" s="184">
        <v>20.110910000000001</v>
      </c>
      <c r="C2958" s="184">
        <v>-98.710819999999998</v>
      </c>
    </row>
    <row r="2959" spans="1:3">
      <c r="A2959" s="184" t="s">
        <v>7629</v>
      </c>
      <c r="B2959" s="184">
        <v>20.489153000000002</v>
      </c>
      <c r="C2959" s="184">
        <v>-99.191838000000004</v>
      </c>
    </row>
    <row r="2960" spans="1:3">
      <c r="A2960" s="184" t="s">
        <v>7630</v>
      </c>
      <c r="B2960" s="184">
        <v>20.121925000000001</v>
      </c>
      <c r="C2960" s="184">
        <v>-98.716526799999997</v>
      </c>
    </row>
    <row r="2961" spans="1:3">
      <c r="A2961" s="184" t="s">
        <v>7631</v>
      </c>
      <c r="B2961" s="184">
        <v>20.117775000000002</v>
      </c>
      <c r="C2961" s="184">
        <v>-98.729855999999998</v>
      </c>
    </row>
    <row r="2962" spans="1:3">
      <c r="A2962" s="184" t="s">
        <v>7632</v>
      </c>
      <c r="B2962" s="184">
        <v>20.031490000000002</v>
      </c>
      <c r="C2962" s="184">
        <v>-98.715100000000007</v>
      </c>
    </row>
    <row r="2963" spans="1:3">
      <c r="A2963" s="184" t="s">
        <v>7634</v>
      </c>
      <c r="B2963" s="184">
        <v>21.125688</v>
      </c>
      <c r="C2963" s="184">
        <v>-99.089352000000005</v>
      </c>
    </row>
    <row r="2964" spans="1:3">
      <c r="A2964" s="184" t="s">
        <v>7636</v>
      </c>
      <c r="B2964" s="184">
        <v>19.793005999999998</v>
      </c>
      <c r="C2964" s="184">
        <v>-98.558017000000007</v>
      </c>
    </row>
    <row r="2965" spans="1:3">
      <c r="A2965" s="184" t="s">
        <v>7637</v>
      </c>
      <c r="B2965" s="184">
        <v>20.124030000000001</v>
      </c>
      <c r="C2965" s="184">
        <v>-98.741640000000004</v>
      </c>
    </row>
    <row r="2966" spans="1:3">
      <c r="A2966" s="184" t="s">
        <v>7638</v>
      </c>
      <c r="B2966" s="184">
        <v>20.1188693</v>
      </c>
      <c r="C2966" s="184">
        <v>-98.727908299999996</v>
      </c>
    </row>
    <row r="2967" spans="1:3">
      <c r="A2967" s="184" t="s">
        <v>7639</v>
      </c>
      <c r="B2967" s="184">
        <v>20.124030000000001</v>
      </c>
      <c r="C2967" s="184">
        <v>-98.741640000000004</v>
      </c>
    </row>
    <row r="2968" spans="1:3">
      <c r="A2968" s="184" t="s">
        <v>7640</v>
      </c>
      <c r="B2968" s="184">
        <v>20.304652000000001</v>
      </c>
      <c r="C2968" s="184">
        <v>-98.683037999999996</v>
      </c>
    </row>
    <row r="2969" spans="1:3">
      <c r="A2969" s="184" t="s">
        <v>7641</v>
      </c>
      <c r="B2969" s="184">
        <v>20.304652000000001</v>
      </c>
      <c r="C2969" s="184">
        <v>-98.683037999999996</v>
      </c>
    </row>
    <row r="2970" spans="1:3">
      <c r="A2970" s="184" t="s">
        <v>7642</v>
      </c>
      <c r="B2970" s="184">
        <v>20.593689999999999</v>
      </c>
      <c r="C2970" s="184">
        <v>-98.760170000000002</v>
      </c>
    </row>
    <row r="2971" spans="1:3">
      <c r="A2971" s="184" t="s">
        <v>7643</v>
      </c>
      <c r="B2971" s="184">
        <v>20.593689999999999</v>
      </c>
      <c r="C2971" s="184">
        <v>-98.760170000000002</v>
      </c>
    </row>
    <row r="2972" spans="1:3">
      <c r="A2972" s="184" t="s">
        <v>7644</v>
      </c>
      <c r="B2972" s="184">
        <v>21.099951000000001</v>
      </c>
      <c r="C2972" s="184">
        <v>-99.121772000000007</v>
      </c>
    </row>
    <row r="2973" spans="1:3">
      <c r="A2973" s="184" t="s">
        <v>7645</v>
      </c>
      <c r="B2973" s="184">
        <v>21.192477</v>
      </c>
      <c r="C2973" s="184">
        <v>-99.001886999999996</v>
      </c>
    </row>
    <row r="2974" spans="1:3">
      <c r="A2974" s="184" t="s">
        <v>7646</v>
      </c>
      <c r="B2974" s="184">
        <v>21.013642000000001</v>
      </c>
      <c r="C2974" s="184">
        <v>-98.841750000000005</v>
      </c>
    </row>
    <row r="2975" spans="1:3">
      <c r="A2975" s="184" t="s">
        <v>7647</v>
      </c>
      <c r="B2975" s="184">
        <v>20.349644000000001</v>
      </c>
      <c r="C2975" s="184">
        <v>-98.355706999999995</v>
      </c>
    </row>
    <row r="2976" spans="1:3">
      <c r="A2976" s="184" t="s">
        <v>7648</v>
      </c>
      <c r="B2976" s="184">
        <v>20.460816000000001</v>
      </c>
      <c r="C2976" s="184">
        <v>-98.078351999999995</v>
      </c>
    </row>
    <row r="2977" spans="1:3">
      <c r="A2977" s="184" t="s">
        <v>7649</v>
      </c>
      <c r="B2977" s="184">
        <v>20.118856000000001</v>
      </c>
      <c r="C2977" s="184">
        <v>-98.727727999999999</v>
      </c>
    </row>
    <row r="2978" spans="1:3">
      <c r="A2978" s="184" t="s">
        <v>7650</v>
      </c>
      <c r="B2978" s="184">
        <v>20.160377</v>
      </c>
      <c r="C2978" s="184">
        <v>-98.203659000000002</v>
      </c>
    </row>
    <row r="2979" spans="1:3">
      <c r="A2979" s="184" t="s">
        <v>7651</v>
      </c>
      <c r="B2979" s="184">
        <v>20.612500000000001</v>
      </c>
      <c r="C2979" s="184">
        <v>-99.116667000000007</v>
      </c>
    </row>
    <row r="2980" spans="1:3">
      <c r="A2980" s="184" t="s">
        <v>7652</v>
      </c>
      <c r="B2980" s="184">
        <v>20.160502999999999</v>
      </c>
      <c r="C2980" s="184">
        <v>-98.203501000000003</v>
      </c>
    </row>
    <row r="2981" spans="1:3">
      <c r="A2981" s="184" t="s">
        <v>7653</v>
      </c>
      <c r="B2981" s="184">
        <v>20.005193599999998</v>
      </c>
      <c r="C2981" s="184">
        <v>-99.719649799999999</v>
      </c>
    </row>
    <row r="2982" spans="1:3">
      <c r="A2982" s="184" t="s">
        <v>7655</v>
      </c>
      <c r="B2982" s="184">
        <v>19.924731000000001</v>
      </c>
      <c r="C2982" s="184">
        <v>-99.902153999999996</v>
      </c>
    </row>
    <row r="2983" spans="1:3">
      <c r="A2983" s="184" t="s">
        <v>7656</v>
      </c>
      <c r="B2983" s="184">
        <v>19.635994</v>
      </c>
      <c r="C2983" s="184">
        <v>-98.911456999999999</v>
      </c>
    </row>
    <row r="2984" spans="1:3">
      <c r="A2984" s="184" t="s">
        <v>7658</v>
      </c>
      <c r="B2984" s="184">
        <v>19.670701000000001</v>
      </c>
      <c r="C2984" s="184">
        <v>-98.930801000000002</v>
      </c>
    </row>
    <row r="2985" spans="1:3">
      <c r="A2985" s="184" t="s">
        <v>7660</v>
      </c>
      <c r="B2985" s="184">
        <v>19.643587</v>
      </c>
      <c r="C2985" s="184">
        <v>-98.882896000000002</v>
      </c>
    </row>
    <row r="2986" spans="1:3">
      <c r="A2986" s="184" t="s">
        <v>7661</v>
      </c>
      <c r="B2986" s="184">
        <v>20.146446999999998</v>
      </c>
      <c r="C2986" s="184">
        <v>-99.925040999999993</v>
      </c>
    </row>
    <row r="2987" spans="1:3">
      <c r="A2987" s="184" t="s">
        <v>7662</v>
      </c>
      <c r="B2987" s="184">
        <v>18.898007</v>
      </c>
      <c r="C2987" s="184">
        <v>-99.918312</v>
      </c>
    </row>
    <row r="2988" spans="1:3">
      <c r="A2988" s="184" t="s">
        <v>7663</v>
      </c>
      <c r="B2988" s="184">
        <v>19.367889999999999</v>
      </c>
      <c r="C2988" s="184">
        <v>-99.755585999999994</v>
      </c>
    </row>
    <row r="2989" spans="1:3">
      <c r="A2989" s="184" t="s">
        <v>7665</v>
      </c>
      <c r="B2989" s="184">
        <v>19.366332</v>
      </c>
      <c r="C2989" s="184">
        <v>-99.765855000000002</v>
      </c>
    </row>
    <row r="2990" spans="1:3">
      <c r="A2990" s="184" t="s">
        <v>7667</v>
      </c>
      <c r="B2990" s="184">
        <v>19.467869</v>
      </c>
      <c r="C2990" s="184">
        <v>-99.866051999999996</v>
      </c>
    </row>
    <row r="2991" spans="1:3">
      <c r="A2991" s="184" t="s">
        <v>7669</v>
      </c>
      <c r="B2991" s="184">
        <v>19.386568</v>
      </c>
      <c r="C2991" s="184">
        <v>-99.737082999999998</v>
      </c>
    </row>
    <row r="2992" spans="1:3">
      <c r="A2992" s="184" t="s">
        <v>7670</v>
      </c>
      <c r="B2992" s="184">
        <v>18.698801</v>
      </c>
      <c r="C2992" s="184">
        <v>-100.36894100000001</v>
      </c>
    </row>
    <row r="2993" spans="1:3">
      <c r="A2993" s="184" t="s">
        <v>7672</v>
      </c>
      <c r="B2993" s="184">
        <v>18.746745000000001</v>
      </c>
      <c r="C2993" s="184">
        <v>-100.173524</v>
      </c>
    </row>
    <row r="2994" spans="1:3">
      <c r="A2994" s="184" t="s">
        <v>7674</v>
      </c>
      <c r="B2994" s="184">
        <v>18.698801</v>
      </c>
      <c r="C2994" s="184">
        <v>-100.36894100000001</v>
      </c>
    </row>
    <row r="2995" spans="1:3">
      <c r="A2995" s="184" t="s">
        <v>7675</v>
      </c>
      <c r="B2995" s="184">
        <v>19.081637000000001</v>
      </c>
      <c r="C2995" s="184">
        <v>-98.730733000000001</v>
      </c>
    </row>
    <row r="2996" spans="1:3">
      <c r="A2996" s="184" t="s">
        <v>7677</v>
      </c>
      <c r="B2996" s="184">
        <v>19.582210100000001</v>
      </c>
      <c r="C2996" s="184">
        <v>-98.946000999999995</v>
      </c>
    </row>
    <row r="2997" spans="1:3">
      <c r="A2997" s="184" t="s">
        <v>7679</v>
      </c>
      <c r="B2997" s="184">
        <v>19.565107000000001</v>
      </c>
      <c r="C2997" s="184">
        <v>-99.243431000000001</v>
      </c>
    </row>
    <row r="2998" spans="1:3">
      <c r="A2998" s="184" t="s">
        <v>7681</v>
      </c>
      <c r="B2998" s="184">
        <v>19.546222</v>
      </c>
      <c r="C2998" s="184">
        <v>-99.237508000000005</v>
      </c>
    </row>
    <row r="2999" spans="1:3">
      <c r="A2999" s="184" t="s">
        <v>7682</v>
      </c>
      <c r="B2999" s="184">
        <v>19.5814801</v>
      </c>
      <c r="C2999" s="184">
        <v>-99.226080100000004</v>
      </c>
    </row>
    <row r="3000" spans="1:3">
      <c r="A3000" s="184" t="s">
        <v>7683</v>
      </c>
      <c r="B3000" s="184">
        <v>19.5861901</v>
      </c>
      <c r="C3000" s="184">
        <v>-99.265082300000003</v>
      </c>
    </row>
    <row r="3001" spans="1:3">
      <c r="A3001" s="184" t="s">
        <v>7684</v>
      </c>
      <c r="B3001" s="184">
        <v>19.6059901</v>
      </c>
      <c r="C3001" s="184">
        <v>-99.251560100000006</v>
      </c>
    </row>
    <row r="3002" spans="1:3">
      <c r="A3002" s="184" t="s">
        <v>7685</v>
      </c>
      <c r="B3002" s="184">
        <v>19.574525000000001</v>
      </c>
      <c r="C3002" s="184">
        <v>-99.243758999999997</v>
      </c>
    </row>
    <row r="3003" spans="1:3">
      <c r="A3003" s="184" t="s">
        <v>7686</v>
      </c>
      <c r="B3003" s="184">
        <v>19.798416199999998</v>
      </c>
      <c r="C3003" s="184">
        <v>-99.879930400000006</v>
      </c>
    </row>
    <row r="3004" spans="1:3">
      <c r="A3004" s="184" t="s">
        <v>7688</v>
      </c>
      <c r="B3004" s="184">
        <v>19.763663999999999</v>
      </c>
      <c r="C3004" s="184">
        <v>-98.647651999999994</v>
      </c>
    </row>
    <row r="3005" spans="1:3">
      <c r="A3005" s="184" t="s">
        <v>7689</v>
      </c>
      <c r="B3005" s="184">
        <v>19.126825</v>
      </c>
      <c r="C3005" s="184">
        <v>-98.800946999999994</v>
      </c>
    </row>
    <row r="3006" spans="1:3">
      <c r="A3006" s="184" t="s">
        <v>7691</v>
      </c>
      <c r="B3006" s="184">
        <v>19.160572999999999</v>
      </c>
      <c r="C3006" s="184">
        <v>-99.615602999999993</v>
      </c>
    </row>
    <row r="3007" spans="1:3">
      <c r="A3007" s="184" t="s">
        <v>7693</v>
      </c>
      <c r="B3007" s="184">
        <v>19.182556000000002</v>
      </c>
      <c r="C3007" s="184">
        <v>-99.567295999999999</v>
      </c>
    </row>
    <row r="3008" spans="1:3">
      <c r="A3008" s="184" t="s">
        <v>7695</v>
      </c>
      <c r="B3008" s="184">
        <v>19.200389600000001</v>
      </c>
      <c r="C3008" s="184">
        <v>-99.630076799999998</v>
      </c>
    </row>
    <row r="3009" spans="1:3">
      <c r="A3009" s="184" t="s">
        <v>7696</v>
      </c>
      <c r="B3009" s="184">
        <v>19.210992000000001</v>
      </c>
      <c r="C3009" s="184">
        <v>-99.626411000000004</v>
      </c>
    </row>
    <row r="3010" spans="1:3">
      <c r="A3010" s="184" t="s">
        <v>7698</v>
      </c>
      <c r="B3010" s="184">
        <v>19.1509523</v>
      </c>
      <c r="C3010" s="184">
        <v>-99.646037699999994</v>
      </c>
    </row>
    <row r="3011" spans="1:3">
      <c r="A3011" s="184" t="s">
        <v>7700</v>
      </c>
      <c r="B3011" s="184">
        <v>19.206998500000001</v>
      </c>
      <c r="C3011" s="184">
        <v>-99.443805400000002</v>
      </c>
    </row>
    <row r="3012" spans="1:3">
      <c r="A3012" s="184" t="s">
        <v>7701</v>
      </c>
      <c r="B3012" s="184">
        <v>19.227969000000002</v>
      </c>
      <c r="C3012" s="184">
        <v>-99.466131000000004</v>
      </c>
    </row>
    <row r="3013" spans="1:3">
      <c r="A3013" s="184" t="s">
        <v>7703</v>
      </c>
      <c r="B3013" s="184">
        <v>19.630174</v>
      </c>
      <c r="C3013" s="184">
        <v>-99.105176999999998</v>
      </c>
    </row>
    <row r="3014" spans="1:3">
      <c r="A3014" s="184" t="s">
        <v>7704</v>
      </c>
      <c r="B3014" s="184">
        <v>18.904678000000001</v>
      </c>
      <c r="C3014" s="184">
        <v>-99.787541000000004</v>
      </c>
    </row>
    <row r="3015" spans="1:3">
      <c r="A3015" s="184" t="s">
        <v>7705</v>
      </c>
      <c r="B3015" s="184">
        <v>18.884423999999999</v>
      </c>
      <c r="C3015" s="184">
        <v>-99.759184000000005</v>
      </c>
    </row>
    <row r="3016" spans="1:3">
      <c r="A3016" s="184" t="s">
        <v>7707</v>
      </c>
      <c r="B3016" s="184">
        <v>19.270284</v>
      </c>
      <c r="C3016" s="184">
        <v>-98.863670099999993</v>
      </c>
    </row>
    <row r="3017" spans="1:3">
      <c r="A3017" s="184" t="s">
        <v>7708</v>
      </c>
      <c r="B3017" s="184">
        <v>19.231225999999999</v>
      </c>
      <c r="C3017" s="184">
        <v>-98.926201000000006</v>
      </c>
    </row>
    <row r="3018" spans="1:3">
      <c r="A3018" s="184" t="s">
        <v>7710</v>
      </c>
      <c r="B3018" s="184">
        <v>19.225194999999999</v>
      </c>
      <c r="C3018" s="184">
        <v>-98.815775000000002</v>
      </c>
    </row>
    <row r="3019" spans="1:3">
      <c r="A3019" s="184" t="s">
        <v>7712</v>
      </c>
      <c r="B3019" s="184">
        <v>19.209589000000001</v>
      </c>
      <c r="C3019" s="184">
        <v>-98.929659000000001</v>
      </c>
    </row>
    <row r="3020" spans="1:3">
      <c r="A3020" s="184" t="s">
        <v>7714</v>
      </c>
      <c r="B3020" s="184">
        <v>19.568010000000001</v>
      </c>
      <c r="C3020" s="184">
        <v>-98.889302999999998</v>
      </c>
    </row>
    <row r="3021" spans="1:3">
      <c r="A3021" s="184" t="s">
        <v>7716</v>
      </c>
      <c r="B3021" s="184">
        <v>19.553595000000001</v>
      </c>
      <c r="C3021" s="184">
        <v>-98.868538000000001</v>
      </c>
    </row>
    <row r="3022" spans="1:3">
      <c r="A3022" s="184" t="s">
        <v>7717</v>
      </c>
      <c r="B3022" s="184">
        <v>19.397850099999999</v>
      </c>
      <c r="C3022" s="184">
        <v>-98.929523000000003</v>
      </c>
    </row>
    <row r="3023" spans="1:3">
      <c r="A3023" s="184" t="s">
        <v>7718</v>
      </c>
      <c r="B3023" s="184">
        <v>19.420801000000001</v>
      </c>
      <c r="C3023" s="184">
        <v>-98.901701000000003</v>
      </c>
    </row>
    <row r="3024" spans="1:3">
      <c r="A3024" s="184" t="s">
        <v>7719</v>
      </c>
      <c r="B3024" s="184">
        <v>19.558145</v>
      </c>
      <c r="C3024" s="184">
        <v>-98.892646999999997</v>
      </c>
    </row>
    <row r="3025" spans="1:3">
      <c r="A3025" s="184" t="s">
        <v>7721</v>
      </c>
      <c r="B3025" s="184">
        <v>19.421285999999998</v>
      </c>
      <c r="C3025" s="184">
        <v>-98.947638999999995</v>
      </c>
    </row>
    <row r="3026" spans="1:3">
      <c r="A3026" s="184" t="s">
        <v>7722</v>
      </c>
      <c r="B3026" s="184">
        <v>19.444807999999998</v>
      </c>
      <c r="C3026" s="184">
        <v>-98.951774999999998</v>
      </c>
    </row>
    <row r="3027" spans="1:3">
      <c r="A3027" s="184" t="s">
        <v>7723</v>
      </c>
      <c r="B3027" s="184">
        <v>19.642075999999999</v>
      </c>
      <c r="C3027" s="184">
        <v>-98.985558999999995</v>
      </c>
    </row>
    <row r="3028" spans="1:3">
      <c r="A3028" s="184" t="s">
        <v>7724</v>
      </c>
      <c r="B3028" s="184">
        <v>19.530100999999998</v>
      </c>
      <c r="C3028" s="184">
        <v>-99.050900999999996</v>
      </c>
    </row>
    <row r="3029" spans="1:3">
      <c r="A3029" s="184" t="s">
        <v>7725</v>
      </c>
      <c r="B3029" s="184">
        <v>19.536301000000002</v>
      </c>
      <c r="C3029" s="184">
        <v>-99.081901000000002</v>
      </c>
    </row>
    <row r="3030" spans="1:3">
      <c r="A3030" s="184" t="s">
        <v>7726</v>
      </c>
      <c r="B3030" s="184">
        <v>19.499200999999999</v>
      </c>
      <c r="C3030" s="184">
        <v>-99.056500999999997</v>
      </c>
    </row>
    <row r="3031" spans="1:3">
      <c r="A3031" s="184" t="s">
        <v>7727</v>
      </c>
      <c r="B3031" s="184">
        <v>19.540106000000002</v>
      </c>
      <c r="C3031" s="184">
        <v>-99.067054999999996</v>
      </c>
    </row>
    <row r="3032" spans="1:3">
      <c r="A3032" s="184" t="s">
        <v>7728</v>
      </c>
      <c r="B3032" s="184">
        <v>19.517700999999999</v>
      </c>
      <c r="C3032" s="184">
        <v>-99.087401</v>
      </c>
    </row>
    <row r="3033" spans="1:3">
      <c r="A3033" s="184" t="s">
        <v>7729</v>
      </c>
      <c r="B3033" s="184">
        <v>19.634201000000001</v>
      </c>
      <c r="C3033" s="184">
        <v>-99.000701000000007</v>
      </c>
    </row>
    <row r="3034" spans="1:3">
      <c r="A3034" s="184" t="s">
        <v>7730</v>
      </c>
      <c r="B3034" s="184">
        <v>18.957480100000001</v>
      </c>
      <c r="C3034" s="184">
        <v>-98.753703000000002</v>
      </c>
    </row>
    <row r="3035" spans="1:3">
      <c r="A3035" s="184" t="s">
        <v>7732</v>
      </c>
      <c r="B3035" s="184">
        <v>19.833722000000002</v>
      </c>
      <c r="C3035" s="184">
        <v>-99.193100999999999</v>
      </c>
    </row>
    <row r="3036" spans="1:3">
      <c r="A3036" s="184" t="s">
        <v>7733</v>
      </c>
      <c r="B3036" s="184">
        <v>19.867211000000001</v>
      </c>
      <c r="C3036" s="184">
        <v>-99.048276999999999</v>
      </c>
    </row>
    <row r="3037" spans="1:3">
      <c r="A3037" s="184" t="s">
        <v>7734</v>
      </c>
      <c r="B3037" s="184">
        <v>19.9774101</v>
      </c>
      <c r="C3037" s="184">
        <v>-99.044599000000005</v>
      </c>
    </row>
    <row r="3038" spans="1:3">
      <c r="A3038" s="184" t="s">
        <v>7735</v>
      </c>
      <c r="B3038" s="184">
        <v>19.414631</v>
      </c>
      <c r="C3038" s="184">
        <v>-99.272133999999994</v>
      </c>
    </row>
    <row r="3039" spans="1:3">
      <c r="A3039" s="184" t="s">
        <v>7736</v>
      </c>
      <c r="B3039" s="184">
        <v>19.388898999999999</v>
      </c>
      <c r="C3039" s="184">
        <v>-99.282892000000004</v>
      </c>
    </row>
    <row r="3040" spans="1:3">
      <c r="A3040" s="184" t="s">
        <v>7737</v>
      </c>
      <c r="B3040" s="184">
        <v>19.404295999999999</v>
      </c>
      <c r="C3040" s="184">
        <v>-99.333455000000001</v>
      </c>
    </row>
    <row r="3041" spans="1:3">
      <c r="A3041" s="184" t="s">
        <v>7739</v>
      </c>
      <c r="B3041" s="184">
        <v>19.385774999999999</v>
      </c>
      <c r="C3041" s="184">
        <v>-99.302520999999999</v>
      </c>
    </row>
    <row r="3042" spans="1:3">
      <c r="A3042" s="184" t="s">
        <v>7741</v>
      </c>
      <c r="B3042" s="184">
        <v>19.555201</v>
      </c>
      <c r="C3042" s="184">
        <v>-99.418920099999994</v>
      </c>
    </row>
    <row r="3043" spans="1:3">
      <c r="A3043" s="184" t="s">
        <v>7743</v>
      </c>
      <c r="B3043" s="184">
        <v>19.296203999999999</v>
      </c>
      <c r="C3043" s="184">
        <v>-98.906671000000003</v>
      </c>
    </row>
    <row r="3044" spans="1:3">
      <c r="A3044" s="184" t="s">
        <v>7744</v>
      </c>
      <c r="B3044" s="184">
        <v>19.3112168</v>
      </c>
      <c r="C3044" s="184">
        <v>-98.930936099999997</v>
      </c>
    </row>
    <row r="3045" spans="1:3">
      <c r="A3045" s="184" t="s">
        <v>7745</v>
      </c>
      <c r="B3045" s="184">
        <v>19.319451999999998</v>
      </c>
      <c r="C3045" s="184">
        <v>-98.912200999999996</v>
      </c>
    </row>
    <row r="3046" spans="1:3">
      <c r="A3046" s="184" t="s">
        <v>7746</v>
      </c>
      <c r="B3046" s="184">
        <v>19.306654000000002</v>
      </c>
      <c r="C3046" s="184">
        <v>-98.910137000000006</v>
      </c>
    </row>
    <row r="3047" spans="1:3">
      <c r="A3047" s="184" t="s">
        <v>7747</v>
      </c>
      <c r="B3047" s="184">
        <v>19.352666599999999</v>
      </c>
      <c r="C3047" s="184">
        <v>-98.673310099999995</v>
      </c>
    </row>
    <row r="3048" spans="1:3">
      <c r="A3048" s="184" t="s">
        <v>7749</v>
      </c>
      <c r="B3048" s="184">
        <v>19.632656999999998</v>
      </c>
      <c r="C3048" s="184">
        <v>-99.839433999999997</v>
      </c>
    </row>
    <row r="3049" spans="1:3">
      <c r="A3049" s="184" t="s">
        <v>7751</v>
      </c>
      <c r="B3049" s="184">
        <v>19.673286000000001</v>
      </c>
      <c r="C3049" s="184">
        <v>-99.831515999999993</v>
      </c>
    </row>
    <row r="3050" spans="1:3">
      <c r="A3050" s="184" t="s">
        <v>7753</v>
      </c>
      <c r="B3050" s="184">
        <v>19.678265</v>
      </c>
      <c r="C3050" s="184">
        <v>-99.844541000000007</v>
      </c>
    </row>
    <row r="3051" spans="1:3">
      <c r="A3051" s="184" t="s">
        <v>7754</v>
      </c>
      <c r="B3051" s="184">
        <v>19.687501000000001</v>
      </c>
      <c r="C3051" s="184">
        <v>-99.053023999999994</v>
      </c>
    </row>
    <row r="3052" spans="1:3">
      <c r="A3052" s="184" t="s">
        <v>7757</v>
      </c>
      <c r="B3052" s="184">
        <v>19.541001000000001</v>
      </c>
      <c r="C3052" s="184">
        <v>-99.394744599999996</v>
      </c>
    </row>
    <row r="3053" spans="1:3">
      <c r="A3053" s="184" t="s">
        <v>7758</v>
      </c>
      <c r="B3053" s="184">
        <v>19.6989144</v>
      </c>
      <c r="C3053" s="184">
        <v>-99.749684700000003</v>
      </c>
    </row>
    <row r="3054" spans="1:3">
      <c r="A3054" s="184" t="s">
        <v>7760</v>
      </c>
      <c r="B3054" s="184">
        <v>19.725892000000002</v>
      </c>
      <c r="C3054" s="184">
        <v>-99.816192999999998</v>
      </c>
    </row>
    <row r="3055" spans="1:3">
      <c r="A3055" s="184" t="s">
        <v>7762</v>
      </c>
      <c r="B3055" s="184">
        <v>19.786391999999999</v>
      </c>
      <c r="C3055" s="184">
        <v>-99.971091999999999</v>
      </c>
    </row>
    <row r="3056" spans="1:3">
      <c r="A3056" s="184" t="s">
        <v>7764</v>
      </c>
      <c r="B3056" s="184">
        <v>19.714729200000001</v>
      </c>
      <c r="C3056" s="184">
        <v>-99.737286900000001</v>
      </c>
    </row>
    <row r="3057" spans="1:3">
      <c r="A3057" s="184" t="s">
        <v>7765</v>
      </c>
      <c r="B3057" s="184">
        <v>19.049917000000001</v>
      </c>
      <c r="C3057" s="184">
        <v>-99.532432999999997</v>
      </c>
    </row>
    <row r="3058" spans="1:3">
      <c r="A3058" s="184" t="s">
        <v>7767</v>
      </c>
      <c r="B3058" s="184">
        <v>19.082201000000001</v>
      </c>
      <c r="C3058" s="184">
        <v>-98.849401</v>
      </c>
    </row>
    <row r="3059" spans="1:3">
      <c r="A3059" s="184" t="s">
        <v>7770</v>
      </c>
      <c r="B3059" s="184">
        <v>19.393458500000001</v>
      </c>
      <c r="C3059" s="184">
        <v>-99.448359400000001</v>
      </c>
    </row>
    <row r="3060" spans="1:3">
      <c r="A3060" s="184" t="s">
        <v>7772</v>
      </c>
      <c r="B3060" s="184">
        <v>19.3034657</v>
      </c>
      <c r="C3060" s="184">
        <v>-99.458778800000005</v>
      </c>
    </row>
    <row r="3061" spans="1:3">
      <c r="A3061" s="184" t="s">
        <v>7774</v>
      </c>
      <c r="B3061" s="184">
        <v>19.3895625</v>
      </c>
      <c r="C3061" s="184">
        <v>-99.483848499999993</v>
      </c>
    </row>
    <row r="3062" spans="1:3">
      <c r="A3062" s="184" t="s">
        <v>7776</v>
      </c>
      <c r="B3062" s="184">
        <v>19.256519000000001</v>
      </c>
      <c r="C3062" s="184">
        <v>-99.612238000000005</v>
      </c>
    </row>
    <row r="3063" spans="1:3">
      <c r="A3063" s="184" t="s">
        <v>7777</v>
      </c>
      <c r="B3063" s="184">
        <v>19.226672000000001</v>
      </c>
      <c r="C3063" s="184">
        <v>-99.631945000000002</v>
      </c>
    </row>
    <row r="3064" spans="1:3">
      <c r="A3064" s="184" t="s">
        <v>7779</v>
      </c>
      <c r="B3064" s="184">
        <v>19.208238000000001</v>
      </c>
      <c r="C3064" s="184">
        <v>-99.586969999999994</v>
      </c>
    </row>
    <row r="3065" spans="1:3">
      <c r="A3065" s="184" t="s">
        <v>7782</v>
      </c>
      <c r="B3065" s="184">
        <v>19.468121</v>
      </c>
      <c r="C3065" s="184">
        <v>-99.234601999999995</v>
      </c>
    </row>
    <row r="3066" spans="1:3">
      <c r="A3066" s="184" t="s">
        <v>7783</v>
      </c>
      <c r="B3066" s="184">
        <v>19.433401</v>
      </c>
      <c r="C3066" s="184">
        <v>-99.268601000000004</v>
      </c>
    </row>
    <row r="3067" spans="1:3">
      <c r="A3067" s="184" t="s">
        <v>7784</v>
      </c>
      <c r="B3067" s="184">
        <v>19.459600999999999</v>
      </c>
      <c r="C3067" s="184">
        <v>-99.270301000000003</v>
      </c>
    </row>
    <row r="3068" spans="1:3">
      <c r="A3068" s="184" t="s">
        <v>7785</v>
      </c>
      <c r="B3068" s="184">
        <v>19.441500999999999</v>
      </c>
      <c r="C3068" s="184">
        <v>-99.338801000000004</v>
      </c>
    </row>
    <row r="3069" spans="1:3">
      <c r="A3069" s="184" t="s">
        <v>7787</v>
      </c>
      <c r="B3069" s="184">
        <v>19.487000999999999</v>
      </c>
      <c r="C3069" s="184">
        <v>-99.342701000000005</v>
      </c>
    </row>
    <row r="3070" spans="1:3">
      <c r="A3070" s="184" t="s">
        <v>7789</v>
      </c>
      <c r="B3070" s="184">
        <v>19.374023999999999</v>
      </c>
      <c r="C3070" s="184">
        <v>-98.992035999999999</v>
      </c>
    </row>
    <row r="3071" spans="1:3">
      <c r="A3071" s="184" t="s">
        <v>7790</v>
      </c>
      <c r="B3071" s="184">
        <v>19.4229436</v>
      </c>
      <c r="C3071" s="184">
        <v>-99.026256000000004</v>
      </c>
    </row>
    <row r="3072" spans="1:3">
      <c r="A3072" s="184" t="s">
        <v>7791</v>
      </c>
      <c r="B3072" s="184">
        <v>19.480882699999999</v>
      </c>
      <c r="C3072" s="184">
        <v>-99.046677000000003</v>
      </c>
    </row>
    <row r="3073" spans="1:3">
      <c r="A3073" s="184" t="s">
        <v>7792</v>
      </c>
      <c r="B3073" s="184">
        <v>19.416007</v>
      </c>
      <c r="C3073" s="184">
        <v>-99.049528199999997</v>
      </c>
    </row>
    <row r="3074" spans="1:3">
      <c r="A3074" s="184" t="s">
        <v>7794</v>
      </c>
      <c r="B3074" s="184">
        <v>19.410175599999999</v>
      </c>
      <c r="C3074" s="184">
        <v>-99.006231099999994</v>
      </c>
    </row>
    <row r="3075" spans="1:3">
      <c r="A3075" s="184" t="s">
        <v>7795</v>
      </c>
      <c r="B3075" s="184">
        <v>19.388110900000001</v>
      </c>
      <c r="C3075" s="184">
        <v>-98.984786799999995</v>
      </c>
    </row>
    <row r="3076" spans="1:3">
      <c r="A3076" s="184" t="s">
        <v>7796</v>
      </c>
      <c r="B3076" s="184">
        <v>19.477886000000002</v>
      </c>
      <c r="C3076" s="184">
        <v>-99.058687000000006</v>
      </c>
    </row>
    <row r="3077" spans="1:3">
      <c r="A3077" s="184" t="s">
        <v>7798</v>
      </c>
      <c r="B3077" s="184">
        <v>19.377047000000001</v>
      </c>
      <c r="C3077" s="184">
        <v>-98.993548000000004</v>
      </c>
    </row>
    <row r="3078" spans="1:3">
      <c r="A3078" s="184" t="s">
        <v>7799</v>
      </c>
      <c r="B3078" s="184">
        <v>19.393631800000001</v>
      </c>
      <c r="C3078" s="184">
        <v>-99.028620399999994</v>
      </c>
    </row>
    <row r="3079" spans="1:3">
      <c r="A3079" s="184" t="s">
        <v>7800</v>
      </c>
      <c r="B3079" s="184">
        <v>19.625170099999998</v>
      </c>
      <c r="C3079" s="184">
        <v>-99.295530099999993</v>
      </c>
    </row>
    <row r="3080" spans="1:3">
      <c r="A3080" s="184" t="s">
        <v>7801</v>
      </c>
      <c r="B3080" s="184">
        <v>19.635390000000001</v>
      </c>
      <c r="C3080" s="184">
        <v>-99.307900000000004</v>
      </c>
    </row>
    <row r="3081" spans="1:3">
      <c r="A3081" s="184" t="s">
        <v>7802</v>
      </c>
      <c r="B3081" s="184">
        <v>19.632491699999999</v>
      </c>
      <c r="C3081" s="184">
        <v>-99.318855999999997</v>
      </c>
    </row>
    <row r="3082" spans="1:3">
      <c r="A3082" s="184" t="s">
        <v>7803</v>
      </c>
      <c r="B3082" s="184">
        <v>19.600650099999999</v>
      </c>
      <c r="C3082" s="184">
        <v>-99.2927301</v>
      </c>
    </row>
    <row r="3083" spans="1:3">
      <c r="A3083" s="184" t="s">
        <v>7804</v>
      </c>
      <c r="B3083" s="184">
        <v>19.6884801</v>
      </c>
      <c r="C3083" s="184">
        <v>-99.358470100000005</v>
      </c>
    </row>
    <row r="3084" spans="1:3">
      <c r="A3084" s="184" t="s">
        <v>7805</v>
      </c>
      <c r="B3084" s="184">
        <v>19.653260100000001</v>
      </c>
      <c r="C3084" s="184">
        <v>-99.3843301</v>
      </c>
    </row>
    <row r="3085" spans="1:3">
      <c r="A3085" s="184" t="s">
        <v>7806</v>
      </c>
      <c r="B3085" s="184">
        <v>19.576720099999999</v>
      </c>
      <c r="C3085" s="184">
        <v>-99.412910100000005</v>
      </c>
    </row>
    <row r="3086" spans="1:3">
      <c r="A3086" s="184" t="s">
        <v>7807</v>
      </c>
      <c r="B3086" s="184">
        <v>19.2676281</v>
      </c>
      <c r="C3086" s="184">
        <v>-99.482922200000004</v>
      </c>
    </row>
    <row r="3087" spans="1:3">
      <c r="A3087" s="184" t="s">
        <v>7808</v>
      </c>
      <c r="B3087" s="184">
        <v>18.979096999999999</v>
      </c>
      <c r="C3087" s="184">
        <v>-99.417993999999993</v>
      </c>
    </row>
    <row r="3088" spans="1:3">
      <c r="A3088" s="184" t="s">
        <v>7810</v>
      </c>
      <c r="B3088" s="184">
        <v>19.701093</v>
      </c>
      <c r="C3088" s="184">
        <v>-98.750687999999997</v>
      </c>
    </row>
    <row r="3089" spans="1:3">
      <c r="A3089" s="184" t="s">
        <v>7812</v>
      </c>
      <c r="B3089" s="184">
        <v>19.634360999999998</v>
      </c>
      <c r="C3089" s="184">
        <v>-98.796104</v>
      </c>
    </row>
    <row r="3090" spans="1:3">
      <c r="A3090" s="184" t="s">
        <v>7813</v>
      </c>
      <c r="B3090" s="184">
        <v>19.387994299999999</v>
      </c>
      <c r="C3090" s="184">
        <v>-99.579791400000005</v>
      </c>
    </row>
    <row r="3091" spans="1:3">
      <c r="A3091" s="184" t="s">
        <v>7815</v>
      </c>
      <c r="B3091" s="184">
        <v>19.461811000000001</v>
      </c>
      <c r="C3091" s="184">
        <v>-99.552070999999998</v>
      </c>
    </row>
    <row r="3092" spans="1:3">
      <c r="A3092" s="184" t="s">
        <v>7817</v>
      </c>
      <c r="B3092" s="184">
        <v>19.455376000000001</v>
      </c>
      <c r="C3092" s="184">
        <v>-99.487419000000003</v>
      </c>
    </row>
    <row r="3093" spans="1:3">
      <c r="A3093" s="184" t="s">
        <v>7818</v>
      </c>
      <c r="B3093" s="184">
        <v>19.561693000000002</v>
      </c>
      <c r="C3093" s="184">
        <v>-98.858830100000006</v>
      </c>
    </row>
    <row r="3094" spans="1:3">
      <c r="A3094" s="184" t="s">
        <v>7820</v>
      </c>
      <c r="B3094" s="184">
        <v>19.350430100000001</v>
      </c>
      <c r="C3094" s="184">
        <v>-98.949350999999993</v>
      </c>
    </row>
    <row r="3095" spans="1:3">
      <c r="A3095" s="184" t="s">
        <v>7822</v>
      </c>
      <c r="B3095" s="184">
        <v>19.365891000000001</v>
      </c>
      <c r="C3095" s="184">
        <v>-98.986452999999997</v>
      </c>
    </row>
    <row r="3096" spans="1:3">
      <c r="A3096" s="184" t="s">
        <v>7823</v>
      </c>
      <c r="B3096" s="184">
        <v>19.370550099999999</v>
      </c>
      <c r="C3096" s="184">
        <v>-98.955697999999998</v>
      </c>
    </row>
    <row r="3097" spans="1:3">
      <c r="A3097" s="184" t="s">
        <v>7825</v>
      </c>
      <c r="B3097" s="184">
        <v>19.129932</v>
      </c>
      <c r="C3097" s="184">
        <v>-99.571425000000005</v>
      </c>
    </row>
    <row r="3098" spans="1:3">
      <c r="A3098" s="184" t="s">
        <v>7826</v>
      </c>
      <c r="B3098" s="184">
        <v>19.612877999999998</v>
      </c>
      <c r="C3098" s="184">
        <v>-99.907679000000002</v>
      </c>
    </row>
    <row r="3099" spans="1:3">
      <c r="A3099" s="184" t="s">
        <v>7828</v>
      </c>
      <c r="B3099" s="184">
        <v>19.246721900000001</v>
      </c>
      <c r="C3099" s="184">
        <v>-99.531887299999994</v>
      </c>
    </row>
    <row r="3100" spans="1:3">
      <c r="A3100" s="184" t="s">
        <v>7829</v>
      </c>
      <c r="B3100" s="184">
        <v>19.281574899999999</v>
      </c>
      <c r="C3100" s="184">
        <v>-99.549725600000002</v>
      </c>
    </row>
    <row r="3101" spans="1:3">
      <c r="A3101" s="186" t="s">
        <v>7830</v>
      </c>
      <c r="B3101" s="184">
        <v>19.165717999999998</v>
      </c>
      <c r="C3101" s="184">
        <v>-100.219954</v>
      </c>
    </row>
    <row r="3102" spans="1:3">
      <c r="A3102" s="184" t="s">
        <v>7832</v>
      </c>
      <c r="B3102" s="184">
        <v>20.015173000000001</v>
      </c>
      <c r="C3102" s="184">
        <v>-99.531293000000005</v>
      </c>
    </row>
    <row r="3103" spans="1:3">
      <c r="A3103" s="184" t="s">
        <v>7835</v>
      </c>
      <c r="B3103" s="184">
        <v>18.858986000000002</v>
      </c>
      <c r="C3103" s="184">
        <v>-99.967138000000006</v>
      </c>
    </row>
    <row r="3104" spans="1:3">
      <c r="A3104" s="184" t="s">
        <v>7837</v>
      </c>
      <c r="B3104" s="184">
        <v>19.772383999999999</v>
      </c>
      <c r="C3104" s="184">
        <v>-98.982176999999993</v>
      </c>
    </row>
    <row r="3105" spans="1:3">
      <c r="A3105" s="184" t="s">
        <v>7838</v>
      </c>
      <c r="B3105" s="184">
        <v>19.202960399999998</v>
      </c>
      <c r="C3105" s="184">
        <v>-98.869022700000002</v>
      </c>
    </row>
    <row r="3106" spans="1:3">
      <c r="A3106" s="184" t="s">
        <v>7840</v>
      </c>
      <c r="B3106" s="184">
        <v>19.765440999999999</v>
      </c>
      <c r="C3106" s="184">
        <v>-98.891763999999995</v>
      </c>
    </row>
    <row r="3107" spans="1:3">
      <c r="A3107" s="184" t="s">
        <v>7842</v>
      </c>
      <c r="B3107" s="184">
        <v>19.837856500000001</v>
      </c>
      <c r="C3107" s="184">
        <v>-99.984180600000002</v>
      </c>
    </row>
    <row r="3108" spans="1:3">
      <c r="A3108" s="184" t="s">
        <v>7844</v>
      </c>
      <c r="B3108" s="184">
        <v>19.040592</v>
      </c>
      <c r="C3108" s="184">
        <v>-100.006681</v>
      </c>
    </row>
    <row r="3109" spans="1:3">
      <c r="A3109" s="184" t="s">
        <v>7846</v>
      </c>
      <c r="B3109" s="184">
        <v>19.411483199999999</v>
      </c>
      <c r="C3109" s="184">
        <v>-99.579013399999994</v>
      </c>
    </row>
    <row r="3110" spans="1:3">
      <c r="A3110" s="184" t="s">
        <v>7849</v>
      </c>
      <c r="B3110" s="184">
        <v>19.4354865</v>
      </c>
      <c r="C3110" s="184">
        <v>-99.635117899999997</v>
      </c>
    </row>
    <row r="3111" spans="1:3">
      <c r="A3111" s="184" t="s">
        <v>7851</v>
      </c>
      <c r="B3111" s="184">
        <v>18.961404999999999</v>
      </c>
      <c r="C3111" s="184">
        <v>-99.585693000000006</v>
      </c>
    </row>
    <row r="3112" spans="1:3">
      <c r="A3112" s="184" t="s">
        <v>7852</v>
      </c>
      <c r="B3112" s="184">
        <v>19.017813</v>
      </c>
      <c r="C3112" s="184">
        <v>-99.539241000000004</v>
      </c>
    </row>
    <row r="3113" spans="1:3">
      <c r="A3113" s="184" t="s">
        <v>7854</v>
      </c>
      <c r="B3113" s="184">
        <v>19.012384999999998</v>
      </c>
      <c r="C3113" s="184">
        <v>-99.551682</v>
      </c>
    </row>
    <row r="3114" spans="1:3">
      <c r="A3114" s="184" t="s">
        <v>7856</v>
      </c>
      <c r="B3114" s="184">
        <v>19.156881800000001</v>
      </c>
      <c r="C3114" s="184">
        <v>-98.864267100000006</v>
      </c>
    </row>
    <row r="3115" spans="1:3">
      <c r="A3115" s="184" t="s">
        <v>7857</v>
      </c>
      <c r="B3115" s="184">
        <v>19.137941000000001</v>
      </c>
      <c r="C3115" s="184">
        <v>-98.843143999999995</v>
      </c>
    </row>
    <row r="3116" spans="1:3">
      <c r="A3116" s="184" t="s">
        <v>7859</v>
      </c>
      <c r="B3116" s="184">
        <v>19.069994999999999</v>
      </c>
      <c r="C3116" s="184">
        <v>-99.605822000000003</v>
      </c>
    </row>
    <row r="3117" spans="1:3">
      <c r="A3117" s="184" t="s">
        <v>7860</v>
      </c>
      <c r="B3117" s="184">
        <v>19.064318</v>
      </c>
      <c r="C3117" s="184">
        <v>-99.546272000000002</v>
      </c>
    </row>
    <row r="3118" spans="1:3">
      <c r="A3118" s="184" t="s">
        <v>7862</v>
      </c>
      <c r="B3118" s="184">
        <v>19.073556</v>
      </c>
      <c r="C3118" s="184">
        <v>-99.650452000000001</v>
      </c>
    </row>
    <row r="3119" spans="1:3">
      <c r="A3119" s="184" t="s">
        <v>7864</v>
      </c>
      <c r="B3119" s="184">
        <v>19.744956999999999</v>
      </c>
      <c r="C3119" s="184">
        <v>-99.182073000000003</v>
      </c>
    </row>
    <row r="3120" spans="1:3">
      <c r="A3120" s="184" t="s">
        <v>7865</v>
      </c>
      <c r="B3120" s="184">
        <v>19.731691999999999</v>
      </c>
      <c r="C3120" s="184">
        <v>-99.161026000000007</v>
      </c>
    </row>
    <row r="3121" spans="1:3">
      <c r="A3121" s="184" t="s">
        <v>7866</v>
      </c>
      <c r="B3121" s="184">
        <v>19.685258999999999</v>
      </c>
      <c r="C3121" s="184">
        <v>-98.872849000000002</v>
      </c>
    </row>
    <row r="3122" spans="1:3">
      <c r="A3122" s="184" t="s">
        <v>7868</v>
      </c>
      <c r="B3122" s="184">
        <v>19.6713901</v>
      </c>
      <c r="C3122" s="184">
        <v>-98.902058999999994</v>
      </c>
    </row>
    <row r="3123" spans="1:3">
      <c r="A3123" s="184" t="s">
        <v>7870</v>
      </c>
      <c r="B3123" s="184">
        <v>19.692195000000002</v>
      </c>
      <c r="C3123" s="184">
        <v>-98.832902000000004</v>
      </c>
    </row>
    <row r="3124" spans="1:3">
      <c r="A3124" s="184" t="s">
        <v>7872</v>
      </c>
      <c r="B3124" s="184">
        <v>19.666558999999999</v>
      </c>
      <c r="C3124" s="184">
        <v>-98.872405999999998</v>
      </c>
    </row>
    <row r="3125" spans="1:3">
      <c r="A3125" s="184" t="s">
        <v>7873</v>
      </c>
      <c r="B3125" s="184">
        <v>19.575624000000001</v>
      </c>
      <c r="C3125" s="184">
        <v>-98.817682000000005</v>
      </c>
    </row>
    <row r="3126" spans="1:3">
      <c r="A3126" s="184" t="s">
        <v>7875</v>
      </c>
      <c r="B3126" s="184">
        <v>19.584105000000001</v>
      </c>
      <c r="C3126" s="184">
        <v>-98.845882000000003</v>
      </c>
    </row>
    <row r="3127" spans="1:3">
      <c r="A3127" s="184" t="s">
        <v>7877</v>
      </c>
      <c r="B3127" s="184">
        <v>19.561457000000001</v>
      </c>
      <c r="C3127" s="184">
        <v>-98.788850999999994</v>
      </c>
    </row>
    <row r="3128" spans="1:3">
      <c r="A3128" s="184" t="s">
        <v>7879</v>
      </c>
      <c r="B3128" s="184">
        <v>19.541652299999999</v>
      </c>
      <c r="C3128" s="184">
        <v>-98.746679099999994</v>
      </c>
    </row>
    <row r="3129" spans="1:3">
      <c r="A3129" s="184" t="s">
        <v>7881</v>
      </c>
      <c r="B3129" s="184">
        <v>19.029802</v>
      </c>
      <c r="C3129" s="184">
        <v>-98.817108000000005</v>
      </c>
    </row>
    <row r="3130" spans="1:3">
      <c r="A3130" s="184" t="s">
        <v>7883</v>
      </c>
      <c r="B3130" s="184">
        <v>19.684317</v>
      </c>
      <c r="C3130" s="184">
        <v>-99.285207999999997</v>
      </c>
    </row>
    <row r="3131" spans="1:3">
      <c r="A3131" s="184" t="s">
        <v>7884</v>
      </c>
      <c r="B3131" s="184">
        <v>19.932234000000001</v>
      </c>
      <c r="C3131" s="184">
        <v>-99.095988000000006</v>
      </c>
    </row>
    <row r="3132" spans="1:3">
      <c r="A3132" s="184" t="s">
        <v>7886</v>
      </c>
      <c r="B3132" s="184">
        <v>18.925802999999998</v>
      </c>
      <c r="C3132" s="184">
        <v>-99.942142000000004</v>
      </c>
    </row>
    <row r="3133" spans="1:3">
      <c r="A3133" s="184" t="s">
        <v>7887</v>
      </c>
      <c r="B3133" s="184">
        <v>18.941096999999999</v>
      </c>
      <c r="C3133" s="184">
        <v>-99.940651000000003</v>
      </c>
    </row>
    <row r="3134" spans="1:3">
      <c r="A3134" s="184" t="s">
        <v>7888</v>
      </c>
      <c r="B3134" s="184">
        <v>19.477008000000001</v>
      </c>
      <c r="C3134" s="184">
        <v>-98.898978999999997</v>
      </c>
    </row>
    <row r="3135" spans="1:3">
      <c r="A3135" s="184" t="s">
        <v>7889</v>
      </c>
      <c r="B3135" s="184">
        <v>19.5189089</v>
      </c>
      <c r="C3135" s="184">
        <v>-98.764008899999993</v>
      </c>
    </row>
    <row r="3136" spans="1:3">
      <c r="A3136" s="184" t="s">
        <v>7891</v>
      </c>
      <c r="B3136" s="184">
        <v>19.450506000000001</v>
      </c>
      <c r="C3136" s="184">
        <v>-98.869400999999996</v>
      </c>
    </row>
    <row r="3137" spans="1:3">
      <c r="A3137" s="184" t="s">
        <v>7893</v>
      </c>
      <c r="B3137" s="184">
        <v>19.510035999999999</v>
      </c>
      <c r="C3137" s="184">
        <v>-98.813557000000003</v>
      </c>
    </row>
    <row r="3138" spans="1:3">
      <c r="A3138" s="184" t="s">
        <v>7895</v>
      </c>
      <c r="B3138" s="184">
        <v>19.495570099999998</v>
      </c>
      <c r="C3138" s="184">
        <v>-98.782026999999999</v>
      </c>
    </row>
    <row r="3139" spans="1:3">
      <c r="A3139" s="184" t="s">
        <v>7897</v>
      </c>
      <c r="B3139" s="184">
        <v>19.479859000000001</v>
      </c>
      <c r="C3139" s="184">
        <v>-98.818887399999994</v>
      </c>
    </row>
    <row r="3140" spans="1:3">
      <c r="A3140" s="184" t="s">
        <v>7898</v>
      </c>
      <c r="B3140" s="184">
        <v>19.532450999999998</v>
      </c>
      <c r="C3140" s="184">
        <v>-98.878985</v>
      </c>
    </row>
    <row r="3141" spans="1:3">
      <c r="A3141" s="184" t="s">
        <v>7900</v>
      </c>
      <c r="B3141" s="184">
        <v>19.201207</v>
      </c>
      <c r="C3141" s="184">
        <v>-99.501908</v>
      </c>
    </row>
    <row r="3142" spans="1:3">
      <c r="A3142" s="184" t="s">
        <v>7902</v>
      </c>
      <c r="B3142" s="184">
        <v>19.220923299999999</v>
      </c>
      <c r="C3142" s="184">
        <v>-98.804009500000006</v>
      </c>
    </row>
    <row r="3143" spans="1:3">
      <c r="A3143" s="184" t="s">
        <v>7903</v>
      </c>
      <c r="B3143" s="184">
        <v>19.511203999999999</v>
      </c>
      <c r="C3143" s="184">
        <v>-99.166274999999999</v>
      </c>
    </row>
    <row r="3144" spans="1:3">
      <c r="A3144" s="184" t="s">
        <v>7904</v>
      </c>
      <c r="B3144" s="184">
        <v>19.521515000000001</v>
      </c>
      <c r="C3144" s="184">
        <v>-99.173782000000003</v>
      </c>
    </row>
    <row r="3145" spans="1:3">
      <c r="A3145" s="184" t="s">
        <v>7905</v>
      </c>
      <c r="B3145" s="184">
        <v>19.555904000000002</v>
      </c>
      <c r="C3145" s="184">
        <v>-99.173018999999996</v>
      </c>
    </row>
    <row r="3146" spans="1:3">
      <c r="A3146" s="184" t="s">
        <v>7906</v>
      </c>
      <c r="B3146" s="184">
        <v>19.539092</v>
      </c>
      <c r="C3146" s="184">
        <v>-99.156357999999997</v>
      </c>
    </row>
    <row r="3147" spans="1:3">
      <c r="A3147" s="184" t="s">
        <v>7907</v>
      </c>
      <c r="B3147" s="184">
        <v>19.255928999999998</v>
      </c>
      <c r="C3147" s="184">
        <v>-99.705364000000003</v>
      </c>
    </row>
    <row r="3148" spans="1:3">
      <c r="A3148" s="184" t="s">
        <v>7908</v>
      </c>
      <c r="B3148" s="184">
        <v>19.221726</v>
      </c>
      <c r="C3148" s="184">
        <v>-99.660196999999997</v>
      </c>
    </row>
    <row r="3149" spans="1:3">
      <c r="A3149" s="184" t="s">
        <v>7910</v>
      </c>
      <c r="B3149" s="184">
        <v>19.228605000000002</v>
      </c>
      <c r="C3149" s="184">
        <v>-99.673186999999999</v>
      </c>
    </row>
    <row r="3150" spans="1:3">
      <c r="A3150" s="184" t="s">
        <v>7911</v>
      </c>
      <c r="B3150" s="184">
        <v>19.462662999999999</v>
      </c>
      <c r="C3150" s="184">
        <v>-99.66028</v>
      </c>
    </row>
    <row r="3151" spans="1:3">
      <c r="A3151" s="184" t="s">
        <v>7913</v>
      </c>
      <c r="B3151" s="184">
        <v>19.357305</v>
      </c>
      <c r="C3151" s="184">
        <v>-99.657289000000006</v>
      </c>
    </row>
    <row r="3152" spans="1:3">
      <c r="A3152" s="184" t="s">
        <v>7915</v>
      </c>
      <c r="B3152" s="184">
        <v>19.663488999999998</v>
      </c>
      <c r="C3152" s="184">
        <v>-99.090153999999998</v>
      </c>
    </row>
    <row r="3153" spans="1:3">
      <c r="A3153" s="184" t="s">
        <v>7916</v>
      </c>
      <c r="B3153" s="184">
        <v>19.203205000000001</v>
      </c>
      <c r="C3153" s="184">
        <v>-100.13526</v>
      </c>
    </row>
    <row r="3154" spans="1:3">
      <c r="A3154" s="184" t="s">
        <v>7917</v>
      </c>
      <c r="B3154" s="184">
        <v>19.729461000000001</v>
      </c>
      <c r="C3154" s="184">
        <v>-99.463973999999993</v>
      </c>
    </row>
    <row r="3155" spans="1:3">
      <c r="A3155" s="184" t="s">
        <v>7918</v>
      </c>
      <c r="B3155" s="184">
        <v>18.927685</v>
      </c>
      <c r="C3155" s="184">
        <v>-99.728043999999997</v>
      </c>
    </row>
    <row r="3156" spans="1:3">
      <c r="A3156" s="184" t="s">
        <v>7920</v>
      </c>
      <c r="B3156" s="184">
        <v>19.411707</v>
      </c>
      <c r="C3156" s="184">
        <v>-99.494800999999995</v>
      </c>
    </row>
    <row r="3157" spans="1:3">
      <c r="A3157" s="184" t="s">
        <v>7921</v>
      </c>
      <c r="B3157" s="184">
        <v>19.288264999999999</v>
      </c>
      <c r="C3157" s="184">
        <v>-99.722381999999996</v>
      </c>
    </row>
    <row r="3158" spans="1:3">
      <c r="A3158" s="184" t="s">
        <v>7923</v>
      </c>
      <c r="B3158" s="184">
        <v>19.293576999999999</v>
      </c>
      <c r="C3158" s="184">
        <v>-99.819539000000006</v>
      </c>
    </row>
    <row r="3159" spans="1:3">
      <c r="A3159" s="184" t="s">
        <v>7925</v>
      </c>
      <c r="B3159" s="184">
        <v>19.299368000000001</v>
      </c>
      <c r="C3159" s="184">
        <v>-99.824753000000001</v>
      </c>
    </row>
    <row r="3160" spans="1:3">
      <c r="A3160" s="184" t="s">
        <v>7927</v>
      </c>
      <c r="B3160" s="184">
        <v>18.90361</v>
      </c>
      <c r="C3160" s="184">
        <v>-99.605124000000004</v>
      </c>
    </row>
    <row r="3161" spans="1:3">
      <c r="A3161" s="184" t="s">
        <v>7928</v>
      </c>
      <c r="B3161" s="184">
        <v>19.8164801</v>
      </c>
      <c r="C3161" s="184">
        <v>-99.006180999999998</v>
      </c>
    </row>
    <row r="3162" spans="1:3">
      <c r="A3162" s="184" t="s">
        <v>7930</v>
      </c>
      <c r="B3162" s="184">
        <v>19.782927999999998</v>
      </c>
      <c r="C3162" s="184">
        <v>-99.055505999999994</v>
      </c>
    </row>
    <row r="3163" spans="1:3">
      <c r="A3163" s="184" t="s">
        <v>7931</v>
      </c>
      <c r="B3163" s="184">
        <v>19.684580100000002</v>
      </c>
      <c r="C3163" s="184">
        <v>-99.250127000000006</v>
      </c>
    </row>
    <row r="3164" spans="1:3">
      <c r="A3164" s="184" t="s">
        <v>7933</v>
      </c>
      <c r="B3164" s="184">
        <v>19.644797000000001</v>
      </c>
      <c r="C3164" s="184">
        <v>-99.253084999999999</v>
      </c>
    </row>
    <row r="3165" spans="1:3">
      <c r="A3165" s="184" t="s">
        <v>7934</v>
      </c>
      <c r="B3165" s="184">
        <v>19.298601000000001</v>
      </c>
      <c r="C3165" s="184">
        <v>-98.942100999999994</v>
      </c>
    </row>
    <row r="3166" spans="1:3">
      <c r="A3166" s="184" t="s">
        <v>7936</v>
      </c>
      <c r="B3166" s="184">
        <v>19.285655999999999</v>
      </c>
      <c r="C3166" s="184">
        <v>-98.929320099999998</v>
      </c>
    </row>
    <row r="3167" spans="1:3">
      <c r="A3167" s="184" t="s">
        <v>7937</v>
      </c>
      <c r="B3167" s="184">
        <v>19.710788000000001</v>
      </c>
      <c r="C3167" s="184">
        <v>-100.14752300000001</v>
      </c>
    </row>
    <row r="3168" spans="1:3">
      <c r="A3168" s="184" t="s">
        <v>7939</v>
      </c>
      <c r="B3168" s="184">
        <v>19.705818000000001</v>
      </c>
      <c r="C3168" s="184">
        <v>-100.12671</v>
      </c>
    </row>
    <row r="3169" spans="1:3">
      <c r="A3169" s="184" t="s">
        <v>7941</v>
      </c>
      <c r="B3169" s="184">
        <v>19.662288</v>
      </c>
      <c r="C3169" s="184">
        <v>-100.22619400000001</v>
      </c>
    </row>
    <row r="3170" spans="1:3">
      <c r="A3170" s="184" t="s">
        <v>7942</v>
      </c>
      <c r="B3170" s="184">
        <v>19.516090999999999</v>
      </c>
      <c r="C3170" s="184">
        <v>-100.145566</v>
      </c>
    </row>
    <row r="3171" spans="1:3">
      <c r="A3171" s="184" t="s">
        <v>7943</v>
      </c>
      <c r="B3171" s="184">
        <v>19.183315400000001</v>
      </c>
      <c r="C3171" s="184">
        <v>-99.452646299999998</v>
      </c>
    </row>
    <row r="3172" spans="1:3">
      <c r="A3172" s="184" t="s">
        <v>7945</v>
      </c>
      <c r="B3172" s="184">
        <v>19.249053</v>
      </c>
      <c r="C3172" s="184">
        <v>-99.659661999999997</v>
      </c>
    </row>
    <row r="3173" spans="1:3">
      <c r="A3173" s="184" t="s">
        <v>7947</v>
      </c>
      <c r="B3173" s="184">
        <v>19.265421</v>
      </c>
      <c r="C3173" s="184">
        <v>-99.656204000000002</v>
      </c>
    </row>
    <row r="3174" spans="1:3">
      <c r="A3174" s="184" t="s">
        <v>7948</v>
      </c>
      <c r="B3174" s="184">
        <v>19.306190999999998</v>
      </c>
      <c r="C3174" s="184">
        <v>-99.625895999999997</v>
      </c>
    </row>
    <row r="3175" spans="1:3">
      <c r="A3175" s="184" t="s">
        <v>7950</v>
      </c>
      <c r="B3175" s="184">
        <v>19.314706999999999</v>
      </c>
      <c r="C3175" s="184">
        <v>-99.656648000000004</v>
      </c>
    </row>
    <row r="3176" spans="1:3">
      <c r="A3176" s="184" t="s">
        <v>7952</v>
      </c>
      <c r="B3176" s="184">
        <v>19.326133800000001</v>
      </c>
      <c r="C3176" s="184">
        <v>-99.4600844</v>
      </c>
    </row>
    <row r="3177" spans="1:3">
      <c r="A3177" s="184" t="s">
        <v>7954</v>
      </c>
      <c r="B3177" s="184">
        <v>18.992042000000001</v>
      </c>
      <c r="C3177" s="184">
        <v>-100.3712</v>
      </c>
    </row>
    <row r="3178" spans="1:3">
      <c r="A3178" s="184" t="s">
        <v>7956</v>
      </c>
      <c r="B3178" s="184">
        <v>19.5947301</v>
      </c>
      <c r="C3178" s="184">
        <v>-99.250680099999997</v>
      </c>
    </row>
    <row r="3179" spans="1:3">
      <c r="A3179" s="184" t="s">
        <v>7957</v>
      </c>
      <c r="B3179" s="184">
        <v>19.5986601</v>
      </c>
      <c r="C3179" s="184">
        <v>-99.280800999999997</v>
      </c>
    </row>
    <row r="3180" spans="1:3">
      <c r="A3180" s="184" t="s">
        <v>7958</v>
      </c>
      <c r="B3180" s="184">
        <v>19.564850100000001</v>
      </c>
      <c r="C3180" s="184">
        <v>-99.243250099999997</v>
      </c>
    </row>
    <row r="3181" spans="1:3">
      <c r="A3181" s="184" t="s">
        <v>7959</v>
      </c>
      <c r="B3181" s="184">
        <v>19.614526999999999</v>
      </c>
      <c r="C3181" s="184">
        <v>-98.959136999999998</v>
      </c>
    </row>
    <row r="3182" spans="1:3">
      <c r="A3182" s="184" t="s">
        <v>7960</v>
      </c>
      <c r="B3182" s="184">
        <v>19.612908999999998</v>
      </c>
      <c r="C3182" s="184">
        <v>-98.904739000000006</v>
      </c>
    </row>
    <row r="3183" spans="1:3">
      <c r="A3183" s="184" t="s">
        <v>7961</v>
      </c>
      <c r="B3183" s="184">
        <v>19.883581</v>
      </c>
      <c r="C3183" s="184">
        <v>-99.261573999999996</v>
      </c>
    </row>
    <row r="3184" spans="1:3">
      <c r="A3184" s="184" t="s">
        <v>7963</v>
      </c>
      <c r="B3184" s="184">
        <v>19.741077000000001</v>
      </c>
      <c r="C3184" s="184">
        <v>-98.955184000000003</v>
      </c>
    </row>
    <row r="3185" spans="1:3">
      <c r="A3185" s="184" t="s">
        <v>7964</v>
      </c>
      <c r="B3185" s="184">
        <v>19.778369000000001</v>
      </c>
      <c r="C3185" s="184">
        <v>-99.003563</v>
      </c>
    </row>
    <row r="3186" spans="1:3">
      <c r="A3186" s="184" t="s">
        <v>7965</v>
      </c>
      <c r="B3186" s="184">
        <v>19.764441999999999</v>
      </c>
      <c r="C3186" s="184">
        <v>-98.954083999999995</v>
      </c>
    </row>
    <row r="3187" spans="1:3">
      <c r="A3187" s="184" t="s">
        <v>7966</v>
      </c>
      <c r="B3187" s="184">
        <v>19.903172000000001</v>
      </c>
      <c r="C3187" s="184">
        <v>-99.154335000000003</v>
      </c>
    </row>
    <row r="3188" spans="1:3">
      <c r="A3188" s="184" t="s">
        <v>7967</v>
      </c>
      <c r="B3188" s="184">
        <v>19.774985999999998</v>
      </c>
      <c r="C3188" s="184">
        <v>-99.108622999999994</v>
      </c>
    </row>
    <row r="3189" spans="1:3">
      <c r="A3189" s="184" t="s">
        <v>7969</v>
      </c>
      <c r="B3189" s="184">
        <v>19.388717</v>
      </c>
      <c r="C3189" s="184">
        <v>-98.960813999999999</v>
      </c>
    </row>
    <row r="3190" spans="1:3">
      <c r="A3190" s="184" t="s">
        <v>7970</v>
      </c>
      <c r="B3190" s="184">
        <v>19.5420871</v>
      </c>
      <c r="C3190" s="184">
        <v>-98.815858599999999</v>
      </c>
    </row>
    <row r="3191" spans="1:3">
      <c r="A3191" s="184" t="s">
        <v>7972</v>
      </c>
      <c r="B3191" s="184">
        <v>19.495502399999999</v>
      </c>
      <c r="C3191" s="184">
        <v>-98.837396799999993</v>
      </c>
    </row>
    <row r="3192" spans="1:3">
      <c r="A3192" s="184" t="s">
        <v>7973</v>
      </c>
      <c r="B3192" s="184">
        <v>19.522252000000002</v>
      </c>
      <c r="C3192" s="184">
        <v>-98.906816000000006</v>
      </c>
    </row>
    <row r="3193" spans="1:3">
      <c r="A3193" s="184" t="s">
        <v>7975</v>
      </c>
      <c r="B3193" s="184">
        <v>19.472232999999999</v>
      </c>
      <c r="C3193" s="184">
        <v>-98.881501</v>
      </c>
    </row>
    <row r="3194" spans="1:3">
      <c r="A3194" s="184" t="s">
        <v>7977</v>
      </c>
      <c r="B3194" s="184">
        <v>19.9436158</v>
      </c>
      <c r="C3194" s="184">
        <v>-99.868368399999994</v>
      </c>
    </row>
    <row r="3195" spans="1:3">
      <c r="A3195" s="184" t="s">
        <v>7979</v>
      </c>
      <c r="B3195" s="184">
        <v>19.319683999999999</v>
      </c>
      <c r="C3195" s="184">
        <v>-99.633145999999996</v>
      </c>
    </row>
    <row r="3196" spans="1:3">
      <c r="A3196" s="184" t="s">
        <v>7980</v>
      </c>
      <c r="B3196" s="184">
        <v>19.424983999999998</v>
      </c>
      <c r="C3196" s="184">
        <v>-98.889551999999995</v>
      </c>
    </row>
    <row r="3197" spans="1:3">
      <c r="A3197" s="184" t="s">
        <v>7981</v>
      </c>
      <c r="B3197" s="184">
        <v>19.674965</v>
      </c>
      <c r="C3197" s="184">
        <v>-99.761180999999993</v>
      </c>
    </row>
    <row r="3198" spans="1:3">
      <c r="A3198" s="184" t="s">
        <v>7982</v>
      </c>
      <c r="B3198" s="184">
        <v>19.547701</v>
      </c>
      <c r="C3198" s="184">
        <v>-99.237020099999995</v>
      </c>
    </row>
    <row r="3199" spans="1:3">
      <c r="A3199" s="184" t="s">
        <v>7983</v>
      </c>
      <c r="B3199" s="184">
        <v>19.964236</v>
      </c>
      <c r="C3199" s="184">
        <v>-99.940211000000005</v>
      </c>
    </row>
    <row r="3200" spans="1:3">
      <c r="A3200" s="184" t="s">
        <v>7985</v>
      </c>
      <c r="B3200" s="184">
        <v>19.326934999999999</v>
      </c>
      <c r="C3200" s="184">
        <v>-99.476313000000005</v>
      </c>
    </row>
    <row r="3201" spans="1:3">
      <c r="A3201" s="184" t="s">
        <v>7986</v>
      </c>
      <c r="B3201" s="184">
        <v>19.454329399999999</v>
      </c>
      <c r="C3201" s="184">
        <v>-98.872573799999998</v>
      </c>
    </row>
    <row r="3202" spans="1:3">
      <c r="A3202" s="184" t="s">
        <v>7987</v>
      </c>
      <c r="B3202" s="184">
        <v>19.685146</v>
      </c>
      <c r="C3202" s="184">
        <v>-98.970302000000004</v>
      </c>
    </row>
    <row r="3203" spans="1:3">
      <c r="A3203" s="184" t="s">
        <v>7988</v>
      </c>
      <c r="B3203" s="184">
        <v>19.656991999999999</v>
      </c>
      <c r="C3203" s="184">
        <v>-98.993320100000005</v>
      </c>
    </row>
    <row r="3204" spans="1:3">
      <c r="A3204" s="184" t="s">
        <v>7990</v>
      </c>
      <c r="B3204" s="184">
        <v>19.728026</v>
      </c>
      <c r="C3204" s="184">
        <v>-99.479425000000006</v>
      </c>
    </row>
    <row r="3205" spans="1:3">
      <c r="A3205" s="184" t="s">
        <v>7991</v>
      </c>
      <c r="B3205" s="184">
        <v>19.234593</v>
      </c>
      <c r="C3205" s="184">
        <v>-98.920975999999996</v>
      </c>
    </row>
    <row r="3206" spans="1:3">
      <c r="A3206" s="184" t="s">
        <v>7993</v>
      </c>
      <c r="B3206" s="184">
        <v>18.818252000000001</v>
      </c>
      <c r="C3206" s="184">
        <v>-99.667608999999999</v>
      </c>
    </row>
    <row r="3207" spans="1:3">
      <c r="A3207" s="184" t="s">
        <v>7995</v>
      </c>
      <c r="B3207" s="184">
        <v>19.158172</v>
      </c>
      <c r="C3207" s="184">
        <v>-98.761426999999998</v>
      </c>
    </row>
    <row r="3208" spans="1:3">
      <c r="A3208" s="184" t="s">
        <v>7997</v>
      </c>
      <c r="B3208" s="184">
        <v>19.718074999999999</v>
      </c>
      <c r="C3208" s="184">
        <v>-99.156171999999998</v>
      </c>
    </row>
    <row r="3209" spans="1:3">
      <c r="A3209" s="184" t="s">
        <v>8000</v>
      </c>
      <c r="B3209" s="184">
        <v>19.718146000000001</v>
      </c>
      <c r="C3209" s="184">
        <v>-99.155770099999998</v>
      </c>
    </row>
    <row r="3210" spans="1:3">
      <c r="A3210" s="184" t="s">
        <v>8001</v>
      </c>
      <c r="B3210" s="184">
        <v>19.398431500000001</v>
      </c>
      <c r="C3210" s="184">
        <v>-99.490140600000004</v>
      </c>
    </row>
    <row r="3211" spans="1:3">
      <c r="A3211" s="184" t="s">
        <v>8002</v>
      </c>
      <c r="B3211" s="184">
        <v>19.717673999999999</v>
      </c>
      <c r="C3211" s="184">
        <v>-99.156030099999995</v>
      </c>
    </row>
    <row r="3212" spans="1:3">
      <c r="A3212" s="184" t="s">
        <v>8003</v>
      </c>
      <c r="B3212" s="184">
        <v>19.6674601</v>
      </c>
      <c r="C3212" s="184">
        <v>-99.118371999999994</v>
      </c>
    </row>
    <row r="3213" spans="1:3">
      <c r="A3213" s="184" t="s">
        <v>8005</v>
      </c>
      <c r="B3213" s="184">
        <v>19.112798900000001</v>
      </c>
      <c r="C3213" s="184">
        <v>-99.524050700000004</v>
      </c>
    </row>
    <row r="3214" spans="1:3">
      <c r="A3214" s="184" t="s">
        <v>8006</v>
      </c>
      <c r="B3214" s="184">
        <v>18.992121999999998</v>
      </c>
      <c r="C3214" s="184">
        <v>-99.568814000000003</v>
      </c>
    </row>
    <row r="3215" spans="1:3">
      <c r="A3215" s="184" t="s">
        <v>8007</v>
      </c>
      <c r="B3215" s="184">
        <v>19.571791999999999</v>
      </c>
      <c r="C3215" s="184">
        <v>-99.183488999999994</v>
      </c>
    </row>
    <row r="3216" spans="1:3">
      <c r="A3216" s="184" t="s">
        <v>8008</v>
      </c>
      <c r="B3216" s="184">
        <v>19.296043000000001</v>
      </c>
      <c r="C3216" s="184">
        <v>-99.674266000000003</v>
      </c>
    </row>
    <row r="3217" spans="1:3">
      <c r="A3217" s="184" t="s">
        <v>8009</v>
      </c>
      <c r="B3217" s="184">
        <v>19.5986601</v>
      </c>
      <c r="C3217" s="184">
        <v>-99.280800099999993</v>
      </c>
    </row>
    <row r="3218" spans="1:3">
      <c r="A3218" s="184" t="s">
        <v>8010</v>
      </c>
      <c r="B3218" s="184">
        <v>18.886567800000002</v>
      </c>
      <c r="C3218" s="184">
        <v>-99.968462799999998</v>
      </c>
    </row>
    <row r="3219" spans="1:3">
      <c r="A3219" s="184" t="s">
        <v>8012</v>
      </c>
      <c r="B3219" s="184">
        <v>19.304542999999999</v>
      </c>
      <c r="C3219" s="184">
        <v>-99.827477999999999</v>
      </c>
    </row>
    <row r="3220" spans="1:3">
      <c r="A3220" s="184" t="s">
        <v>8014</v>
      </c>
      <c r="B3220" s="184">
        <v>19.470040999999998</v>
      </c>
      <c r="C3220" s="184">
        <v>-99.238838000000001</v>
      </c>
    </row>
    <row r="3221" spans="1:3">
      <c r="A3221" s="184" t="s">
        <v>8015</v>
      </c>
      <c r="B3221" s="184">
        <v>18.698801</v>
      </c>
      <c r="C3221" s="184">
        <v>-100.36894100000001</v>
      </c>
    </row>
    <row r="3222" spans="1:3">
      <c r="A3222" s="184" t="s">
        <v>8016</v>
      </c>
      <c r="B3222" s="184">
        <v>19.517606000000001</v>
      </c>
      <c r="C3222" s="184">
        <v>-99.087607000000006</v>
      </c>
    </row>
    <row r="3223" spans="1:3">
      <c r="A3223" s="184" t="s">
        <v>8017</v>
      </c>
      <c r="B3223" s="184">
        <v>19.490666999999998</v>
      </c>
      <c r="C3223" s="184">
        <v>-99.031281000000007</v>
      </c>
    </row>
    <row r="3224" spans="1:3">
      <c r="A3224" s="184" t="s">
        <v>8018</v>
      </c>
      <c r="B3224" s="184">
        <v>19.570713000000001</v>
      </c>
      <c r="C3224" s="184">
        <v>-99.058548000000002</v>
      </c>
    </row>
    <row r="3225" spans="1:3">
      <c r="A3225" s="184" t="s">
        <v>8019</v>
      </c>
      <c r="B3225" s="184">
        <v>19.552744000000001</v>
      </c>
      <c r="C3225" s="184">
        <v>-99.073353999999995</v>
      </c>
    </row>
    <row r="3226" spans="1:3">
      <c r="A3226" s="184" t="s">
        <v>8020</v>
      </c>
      <c r="B3226" s="184">
        <v>19.421118</v>
      </c>
      <c r="C3226" s="184">
        <v>-98.947467000000003</v>
      </c>
    </row>
    <row r="3227" spans="1:3">
      <c r="A3227" s="184" t="s">
        <v>8021</v>
      </c>
      <c r="B3227" s="184">
        <v>19.421118</v>
      </c>
      <c r="C3227" s="184">
        <v>-98.947467000000003</v>
      </c>
    </row>
    <row r="3228" spans="1:3">
      <c r="A3228" s="184" t="s">
        <v>8022</v>
      </c>
      <c r="B3228" s="184">
        <v>19.663549</v>
      </c>
      <c r="C3228" s="184">
        <v>-99.177869000000001</v>
      </c>
    </row>
    <row r="3229" spans="1:3">
      <c r="A3229" s="184" t="s">
        <v>8023</v>
      </c>
      <c r="B3229" s="184">
        <v>19.427716</v>
      </c>
      <c r="C3229" s="184">
        <v>-98.977265000000003</v>
      </c>
    </row>
    <row r="3230" spans="1:3">
      <c r="A3230" s="184" t="s">
        <v>8024</v>
      </c>
      <c r="B3230" s="184">
        <v>19.663549</v>
      </c>
      <c r="C3230" s="184">
        <v>-99.177869000000001</v>
      </c>
    </row>
    <row r="3231" spans="1:3">
      <c r="A3231" s="184" t="s">
        <v>8025</v>
      </c>
      <c r="B3231" s="184">
        <v>19.202887</v>
      </c>
      <c r="C3231" s="184">
        <v>-98.869310999999996</v>
      </c>
    </row>
    <row r="3232" spans="1:3">
      <c r="A3232" s="184" t="s">
        <v>8026</v>
      </c>
      <c r="B3232" s="184">
        <v>19.663549</v>
      </c>
      <c r="C3232" s="184">
        <v>-99.177869000000001</v>
      </c>
    </row>
    <row r="3233" spans="1:3">
      <c r="A3233" s="184" t="s">
        <v>8027</v>
      </c>
      <c r="B3233" s="184">
        <v>19.249783999999998</v>
      </c>
      <c r="C3233" s="184">
        <v>-99.574043000000003</v>
      </c>
    </row>
    <row r="3234" spans="1:3">
      <c r="A3234" s="184" t="s">
        <v>8029</v>
      </c>
      <c r="B3234" s="184">
        <v>19.469822000000001</v>
      </c>
      <c r="C3234" s="184">
        <v>-99.270971000000003</v>
      </c>
    </row>
    <row r="3235" spans="1:3">
      <c r="A3235" s="184" t="s">
        <v>8030</v>
      </c>
      <c r="B3235" s="184">
        <v>18.818436999999999</v>
      </c>
      <c r="C3235" s="184">
        <v>-99.667573000000004</v>
      </c>
    </row>
    <row r="3236" spans="1:3">
      <c r="A3236" s="184" t="s">
        <v>8031</v>
      </c>
      <c r="B3236" s="184">
        <v>19.663549</v>
      </c>
      <c r="C3236" s="184">
        <v>-99.177869000000001</v>
      </c>
    </row>
    <row r="3237" spans="1:3">
      <c r="A3237" s="184" t="s">
        <v>8032</v>
      </c>
      <c r="B3237" s="184">
        <v>19.621545000000001</v>
      </c>
      <c r="C3237" s="184">
        <v>-99.774411999999998</v>
      </c>
    </row>
    <row r="3238" spans="1:3">
      <c r="A3238" s="184" t="s">
        <v>8034</v>
      </c>
      <c r="B3238" s="184">
        <v>19.651320999999999</v>
      </c>
      <c r="C3238" s="184">
        <v>-99.870846999999998</v>
      </c>
    </row>
    <row r="3239" spans="1:3">
      <c r="A3239" s="184" t="s">
        <v>8036</v>
      </c>
      <c r="B3239" s="184">
        <v>19.470040999999998</v>
      </c>
      <c r="C3239" s="184">
        <v>-99.238838000000001</v>
      </c>
    </row>
    <row r="3240" spans="1:3">
      <c r="A3240" s="184" t="s">
        <v>8037</v>
      </c>
      <c r="B3240" s="184">
        <v>19.570713000000001</v>
      </c>
      <c r="C3240" s="184">
        <v>-99.058548000000002</v>
      </c>
    </row>
    <row r="3241" spans="1:3">
      <c r="A3241" s="184" t="s">
        <v>8038</v>
      </c>
      <c r="B3241" s="184">
        <v>19.427716</v>
      </c>
      <c r="C3241" s="184">
        <v>-98.977265000000003</v>
      </c>
    </row>
    <row r="3242" spans="1:3">
      <c r="A3242" s="184" t="s">
        <v>8039</v>
      </c>
      <c r="B3242" s="184">
        <v>19.663549</v>
      </c>
      <c r="C3242" s="184">
        <v>-99.177869000000001</v>
      </c>
    </row>
    <row r="3243" spans="1:3">
      <c r="A3243" s="184" t="s">
        <v>8040</v>
      </c>
      <c r="B3243" s="184">
        <v>20.144627</v>
      </c>
      <c r="C3243" s="184">
        <v>-99.882920999999996</v>
      </c>
    </row>
    <row r="3244" spans="1:3">
      <c r="A3244" s="184" t="s">
        <v>8042</v>
      </c>
      <c r="B3244" s="184">
        <v>19.148249700000001</v>
      </c>
      <c r="C3244" s="184">
        <v>-99.581059600000003</v>
      </c>
    </row>
    <row r="3245" spans="1:3">
      <c r="A3245" s="184" t="s">
        <v>8044</v>
      </c>
      <c r="B3245" s="184">
        <v>19.814115999999999</v>
      </c>
      <c r="C3245" s="184">
        <v>-99.895104000000003</v>
      </c>
    </row>
    <row r="3246" spans="1:3">
      <c r="A3246" s="184" t="s">
        <v>8046</v>
      </c>
      <c r="B3246" s="184">
        <v>19.647100999999999</v>
      </c>
      <c r="C3246" s="184">
        <v>-98.994701000000006</v>
      </c>
    </row>
    <row r="3247" spans="1:3">
      <c r="A3247" s="184" t="s">
        <v>8047</v>
      </c>
      <c r="B3247" s="184">
        <v>19.296168999999999</v>
      </c>
      <c r="C3247" s="184">
        <v>-98.906659000000005</v>
      </c>
    </row>
    <row r="3248" spans="1:3">
      <c r="A3248" s="184" t="s">
        <v>8048</v>
      </c>
      <c r="B3248" s="184">
        <v>19.377082000000001</v>
      </c>
      <c r="C3248" s="184">
        <v>-98.993414000000001</v>
      </c>
    </row>
    <row r="3249" spans="1:3">
      <c r="A3249" s="184" t="s">
        <v>8049</v>
      </c>
      <c r="B3249" s="184">
        <v>19.370981</v>
      </c>
      <c r="C3249" s="184">
        <v>-98.9556501</v>
      </c>
    </row>
    <row r="3250" spans="1:3">
      <c r="A3250" s="184" t="s">
        <v>8050</v>
      </c>
      <c r="B3250" s="184">
        <v>19.358753</v>
      </c>
      <c r="C3250" s="184">
        <v>-99.642735999999999</v>
      </c>
    </row>
    <row r="3251" spans="1:3">
      <c r="A3251" s="184" t="s">
        <v>8051</v>
      </c>
      <c r="B3251" s="184">
        <v>18.925793299999999</v>
      </c>
      <c r="C3251" s="184">
        <v>-99.766023599999997</v>
      </c>
    </row>
    <row r="3252" spans="1:3">
      <c r="A3252" s="184" t="s">
        <v>8052</v>
      </c>
      <c r="B3252" s="184">
        <v>19.729346</v>
      </c>
      <c r="C3252" s="184">
        <v>-99.464512999999997</v>
      </c>
    </row>
    <row r="3253" spans="1:3">
      <c r="A3253" s="184" t="s">
        <v>8053</v>
      </c>
      <c r="B3253" s="184">
        <v>19.183161999999999</v>
      </c>
      <c r="C3253" s="184">
        <v>-99.452738999999994</v>
      </c>
    </row>
    <row r="3254" spans="1:3">
      <c r="A3254" s="184" t="s">
        <v>8054</v>
      </c>
      <c r="B3254" s="184">
        <v>19.556640099999999</v>
      </c>
      <c r="C3254" s="184">
        <v>-99.250990099999996</v>
      </c>
    </row>
    <row r="3255" spans="1:3">
      <c r="A3255" s="184" t="s">
        <v>8055</v>
      </c>
      <c r="B3255" s="184">
        <v>19.514175000000002</v>
      </c>
      <c r="C3255" s="184">
        <v>-99.093665999999999</v>
      </c>
    </row>
    <row r="3256" spans="1:3">
      <c r="A3256" s="184" t="s">
        <v>8056</v>
      </c>
      <c r="B3256" s="184">
        <v>19.641880100000002</v>
      </c>
      <c r="C3256" s="184">
        <v>-98.985305999999994</v>
      </c>
    </row>
    <row r="3257" spans="1:3">
      <c r="A3257" s="184" t="s">
        <v>8057</v>
      </c>
      <c r="B3257" s="184">
        <v>19.645436</v>
      </c>
      <c r="C3257" s="184">
        <v>-98.994797000000005</v>
      </c>
    </row>
    <row r="3258" spans="1:3">
      <c r="A3258" s="184" t="s">
        <v>8058</v>
      </c>
      <c r="B3258" s="184">
        <v>19.598495</v>
      </c>
      <c r="C3258" s="184">
        <v>-98.998260099999996</v>
      </c>
    </row>
    <row r="3259" spans="1:3">
      <c r="A3259" s="184" t="s">
        <v>8059</v>
      </c>
      <c r="B3259" s="184">
        <v>19.517606000000001</v>
      </c>
      <c r="C3259" s="184">
        <v>-99.087607000000006</v>
      </c>
    </row>
    <row r="3260" spans="1:3">
      <c r="A3260" s="184" t="s">
        <v>8060</v>
      </c>
      <c r="B3260" s="184">
        <v>19.533002</v>
      </c>
      <c r="C3260" s="184">
        <v>-99.030140099999997</v>
      </c>
    </row>
    <row r="3261" spans="1:3">
      <c r="A3261" s="184" t="s">
        <v>8061</v>
      </c>
      <c r="B3261" s="184">
        <v>19.634121</v>
      </c>
      <c r="C3261" s="184">
        <v>-99.000373999999994</v>
      </c>
    </row>
    <row r="3262" spans="1:3">
      <c r="A3262" s="184" t="s">
        <v>8062</v>
      </c>
      <c r="B3262" s="184">
        <v>19.634121</v>
      </c>
      <c r="C3262" s="184">
        <v>-99.000373999999994</v>
      </c>
    </row>
    <row r="3263" spans="1:3">
      <c r="A3263" s="184" t="s">
        <v>8063</v>
      </c>
      <c r="B3263" s="184">
        <v>19.552744000000001</v>
      </c>
      <c r="C3263" s="184">
        <v>-99.073353999999995</v>
      </c>
    </row>
    <row r="3264" spans="1:3">
      <c r="A3264" s="184" t="s">
        <v>8064</v>
      </c>
      <c r="B3264" s="184">
        <v>19.499390099999999</v>
      </c>
      <c r="C3264" s="184">
        <v>-99.055908000000002</v>
      </c>
    </row>
    <row r="3265" spans="1:3">
      <c r="A3265" s="184" t="s">
        <v>8065</v>
      </c>
      <c r="B3265" s="184">
        <v>19.470040999999998</v>
      </c>
      <c r="C3265" s="184">
        <v>-99.238838000000001</v>
      </c>
    </row>
    <row r="3266" spans="1:3">
      <c r="A3266" s="184" t="s">
        <v>8066</v>
      </c>
      <c r="B3266" s="184">
        <v>19.470040999999998</v>
      </c>
      <c r="C3266" s="184">
        <v>-99.238838000000001</v>
      </c>
    </row>
    <row r="3267" spans="1:3">
      <c r="A3267" s="184" t="s">
        <v>8067</v>
      </c>
      <c r="B3267" s="184">
        <v>19.470040999999998</v>
      </c>
      <c r="C3267" s="184">
        <v>-99.238838000000001</v>
      </c>
    </row>
    <row r="3268" spans="1:3">
      <c r="A3268" s="184" t="s">
        <v>8068</v>
      </c>
      <c r="B3268" s="184">
        <v>19.470040999999998</v>
      </c>
      <c r="C3268" s="184">
        <v>-99.238838000000001</v>
      </c>
    </row>
    <row r="3269" spans="1:3">
      <c r="A3269" s="184" t="s">
        <v>8069</v>
      </c>
      <c r="B3269" s="184">
        <v>19.470040999999998</v>
      </c>
      <c r="C3269" s="184">
        <v>-99.238838000000001</v>
      </c>
    </row>
    <row r="3270" spans="1:3">
      <c r="A3270" s="184" t="s">
        <v>8070</v>
      </c>
      <c r="B3270" s="184">
        <v>19.616243000000001</v>
      </c>
      <c r="C3270" s="184">
        <v>-98.889490100000003</v>
      </c>
    </row>
    <row r="3271" spans="1:3">
      <c r="A3271" s="184" t="s">
        <v>8071</v>
      </c>
      <c r="B3271" s="184">
        <v>19.437870100000001</v>
      </c>
      <c r="C3271" s="184">
        <v>-98.931736999999998</v>
      </c>
    </row>
    <row r="3272" spans="1:3">
      <c r="A3272" s="184" t="s">
        <v>8072</v>
      </c>
      <c r="B3272" s="184">
        <v>19.874122</v>
      </c>
      <c r="C3272" s="184">
        <v>-99.913335000000004</v>
      </c>
    </row>
    <row r="3273" spans="1:3">
      <c r="A3273" s="184" t="s">
        <v>8074</v>
      </c>
      <c r="B3273" s="184">
        <v>19.800052999999998</v>
      </c>
      <c r="C3273" s="184">
        <v>-99.951048999999998</v>
      </c>
    </row>
    <row r="3274" spans="1:3">
      <c r="A3274" s="184" t="s">
        <v>8075</v>
      </c>
      <c r="B3274" s="184">
        <v>19.815842</v>
      </c>
      <c r="C3274" s="184">
        <v>-99.887164999999996</v>
      </c>
    </row>
    <row r="3275" spans="1:3">
      <c r="A3275" s="184" t="s">
        <v>8077</v>
      </c>
      <c r="B3275" s="184">
        <v>19.294732</v>
      </c>
      <c r="C3275" s="184">
        <v>-99.646141</v>
      </c>
    </row>
    <row r="3276" spans="1:3">
      <c r="A3276" s="184" t="s">
        <v>8078</v>
      </c>
      <c r="B3276" s="184">
        <v>18.791817999999999</v>
      </c>
      <c r="C3276" s="184">
        <v>-100.17921800000001</v>
      </c>
    </row>
    <row r="3277" spans="1:3">
      <c r="A3277" s="184" t="s">
        <v>8079</v>
      </c>
      <c r="B3277" s="184">
        <v>19.514057000000001</v>
      </c>
      <c r="C3277" s="184">
        <v>-98.871977000000001</v>
      </c>
    </row>
    <row r="3278" spans="1:3">
      <c r="A3278" s="184" t="s">
        <v>8081</v>
      </c>
      <c r="B3278" s="184">
        <v>19.827553999999999</v>
      </c>
      <c r="C3278" s="184">
        <v>-99.206935999999999</v>
      </c>
    </row>
    <row r="3279" spans="1:3">
      <c r="A3279" s="184" t="s">
        <v>8082</v>
      </c>
      <c r="B3279" s="184">
        <v>19.213963</v>
      </c>
      <c r="C3279" s="184">
        <v>-98.922724000000002</v>
      </c>
    </row>
    <row r="3280" spans="1:3">
      <c r="A3280" s="184" t="s">
        <v>8083</v>
      </c>
      <c r="B3280" s="184">
        <v>19.560430100000001</v>
      </c>
      <c r="C3280" s="184">
        <v>-99.415730100000005</v>
      </c>
    </row>
    <row r="3281" spans="1:3">
      <c r="A3281" s="184" t="s">
        <v>8084</v>
      </c>
      <c r="B3281" s="184">
        <v>19.306601000000001</v>
      </c>
      <c r="C3281" s="184">
        <v>-98.910301000000004</v>
      </c>
    </row>
    <row r="3282" spans="1:3">
      <c r="A3282" s="184" t="s">
        <v>8085</v>
      </c>
      <c r="B3282" s="184">
        <v>19.374755</v>
      </c>
      <c r="C3282" s="184">
        <v>-98.944597000000002</v>
      </c>
    </row>
    <row r="3283" spans="1:3">
      <c r="A3283" s="184" t="s">
        <v>8086</v>
      </c>
      <c r="B3283" s="184">
        <v>19.639880099999999</v>
      </c>
      <c r="C3283" s="184">
        <v>-99.377540100000004</v>
      </c>
    </row>
    <row r="3284" spans="1:3">
      <c r="A3284" s="184" t="s">
        <v>8088</v>
      </c>
      <c r="B3284" s="184">
        <v>19.519400999999998</v>
      </c>
      <c r="C3284" s="184">
        <v>-99.378400999999997</v>
      </c>
    </row>
    <row r="3285" spans="1:3">
      <c r="A3285" s="184" t="s">
        <v>8090</v>
      </c>
      <c r="B3285" s="184">
        <v>19.432469000000001</v>
      </c>
      <c r="C3285" s="184">
        <v>-98.966696999999996</v>
      </c>
    </row>
    <row r="3286" spans="1:3">
      <c r="A3286" s="184" t="s">
        <v>8091</v>
      </c>
      <c r="B3286" s="184">
        <v>19.439416999999999</v>
      </c>
      <c r="C3286" s="184">
        <v>-98.975285999999997</v>
      </c>
    </row>
    <row r="3287" spans="1:3">
      <c r="A3287" s="184" t="s">
        <v>8092</v>
      </c>
      <c r="B3287" s="184">
        <v>19.371149500000001</v>
      </c>
      <c r="C3287" s="184">
        <v>-98.955755499999995</v>
      </c>
    </row>
    <row r="3288" spans="1:3">
      <c r="A3288" s="184" t="s">
        <v>8093</v>
      </c>
      <c r="B3288" s="184">
        <v>19.556640099999999</v>
      </c>
      <c r="C3288" s="184">
        <v>-99.250990099999996</v>
      </c>
    </row>
    <row r="3289" spans="1:3">
      <c r="A3289" s="184" t="s">
        <v>8094</v>
      </c>
      <c r="B3289" s="184">
        <v>19.439416999999999</v>
      </c>
      <c r="C3289" s="184">
        <v>-98.975285999999997</v>
      </c>
    </row>
    <row r="3290" spans="1:3">
      <c r="A3290" s="184" t="s">
        <v>8095</v>
      </c>
      <c r="B3290" s="184">
        <v>19.591802000000001</v>
      </c>
      <c r="C3290" s="184">
        <v>-98.917672999999994</v>
      </c>
    </row>
    <row r="3291" spans="1:3">
      <c r="A3291" s="184" t="s">
        <v>8096</v>
      </c>
      <c r="B3291" s="184">
        <v>19.268256999999998</v>
      </c>
      <c r="C3291" s="184">
        <v>-99.654843</v>
      </c>
    </row>
    <row r="3292" spans="1:3">
      <c r="A3292" s="184" t="s">
        <v>8097</v>
      </c>
      <c r="B3292" s="184">
        <v>19.271601799999999</v>
      </c>
      <c r="C3292" s="184">
        <v>-99.660760400000001</v>
      </c>
    </row>
    <row r="3293" spans="1:3">
      <c r="A3293" s="184" t="s">
        <v>8098</v>
      </c>
      <c r="B3293" s="184">
        <v>19.267143600000001</v>
      </c>
      <c r="C3293" s="184">
        <v>-99.661424199999999</v>
      </c>
    </row>
    <row r="3294" spans="1:3">
      <c r="A3294" s="184" t="s">
        <v>8099</v>
      </c>
      <c r="B3294" s="184">
        <v>19.2725574</v>
      </c>
      <c r="C3294" s="184">
        <v>-99.661015300000003</v>
      </c>
    </row>
    <row r="3295" spans="1:3">
      <c r="A3295" s="184" t="s">
        <v>8100</v>
      </c>
      <c r="B3295" s="184">
        <v>19.498183000000001</v>
      </c>
      <c r="C3295" s="184">
        <v>-101.33426300000001</v>
      </c>
    </row>
    <row r="3296" spans="1:3">
      <c r="A3296" s="184" t="s">
        <v>8102</v>
      </c>
      <c r="B3296" s="184">
        <v>19.821553999999999</v>
      </c>
      <c r="C3296" s="184">
        <v>-101.04274100000001</v>
      </c>
    </row>
    <row r="3297" spans="1:3">
      <c r="A3297" s="184" t="s">
        <v>8103</v>
      </c>
      <c r="B3297" s="184">
        <v>19.800493800000002</v>
      </c>
      <c r="C3297" s="184">
        <v>-101.0547997</v>
      </c>
    </row>
    <row r="3298" spans="1:3">
      <c r="A3298" s="184" t="s">
        <v>8104</v>
      </c>
      <c r="B3298" s="184">
        <v>20.148026399999999</v>
      </c>
      <c r="C3298" s="184">
        <v>-101.712244</v>
      </c>
    </row>
    <row r="3299" spans="1:3">
      <c r="A3299" s="184" t="s">
        <v>8106</v>
      </c>
      <c r="B3299" s="184">
        <v>20.14528</v>
      </c>
      <c r="C3299" s="184">
        <v>-101.67685299999999</v>
      </c>
    </row>
    <row r="3300" spans="1:3">
      <c r="A3300" s="184" t="s">
        <v>8108</v>
      </c>
      <c r="B3300" s="184">
        <v>19.204588000000001</v>
      </c>
      <c r="C3300" s="184">
        <v>-101.710899</v>
      </c>
    </row>
    <row r="3301" spans="1:3">
      <c r="A3301" s="184" t="s">
        <v>8110</v>
      </c>
      <c r="B3301" s="184">
        <v>18.357019999999999</v>
      </c>
      <c r="C3301" s="184">
        <v>-102.289435</v>
      </c>
    </row>
    <row r="3302" spans="1:3">
      <c r="A3302" s="184" t="s">
        <v>8111</v>
      </c>
      <c r="B3302" s="184">
        <v>18.357019999999999</v>
      </c>
      <c r="C3302" s="184">
        <v>-102.289435</v>
      </c>
    </row>
    <row r="3303" spans="1:3">
      <c r="A3303" s="184" t="s">
        <v>8112</v>
      </c>
      <c r="B3303" s="184">
        <v>18.357019999999999</v>
      </c>
      <c r="C3303" s="184">
        <v>-102.289435</v>
      </c>
    </row>
    <row r="3304" spans="1:3">
      <c r="A3304" s="184" t="s">
        <v>8113</v>
      </c>
      <c r="B3304" s="184">
        <v>18.292899999999999</v>
      </c>
      <c r="C3304" s="184">
        <v>-101.90097</v>
      </c>
    </row>
    <row r="3305" spans="1:3">
      <c r="A3305" s="184" t="s">
        <v>8115</v>
      </c>
      <c r="B3305" s="184">
        <v>19.170093000000001</v>
      </c>
      <c r="C3305" s="184">
        <v>-102.7063</v>
      </c>
    </row>
    <row r="3306" spans="1:3">
      <c r="A3306" s="184" t="s">
        <v>8117</v>
      </c>
      <c r="B3306" s="184">
        <v>19.015851999999999</v>
      </c>
      <c r="C3306" s="184">
        <v>-101.12611699999999</v>
      </c>
    </row>
    <row r="3307" spans="1:3">
      <c r="A3307" s="184" t="s">
        <v>8120</v>
      </c>
      <c r="B3307" s="184">
        <v>19.015851999999999</v>
      </c>
      <c r="C3307" s="184">
        <v>-101.12611699999999</v>
      </c>
    </row>
    <row r="3308" spans="1:3">
      <c r="A3308" s="184" t="s">
        <v>8121</v>
      </c>
      <c r="B3308" s="184">
        <v>19.783041999999998</v>
      </c>
      <c r="C3308" s="184">
        <v>-101.7046898</v>
      </c>
    </row>
    <row r="3309" spans="1:3">
      <c r="A3309" s="184" t="s">
        <v>8122</v>
      </c>
      <c r="B3309" s="184">
        <v>19.913145400000001</v>
      </c>
      <c r="C3309" s="184">
        <v>-100.2288635</v>
      </c>
    </row>
    <row r="3310" spans="1:3">
      <c r="A3310" s="184" t="s">
        <v>8123</v>
      </c>
      <c r="B3310" s="184">
        <v>19.961334999999998</v>
      </c>
      <c r="C3310" s="184">
        <v>-101.072777</v>
      </c>
    </row>
    <row r="3311" spans="1:3">
      <c r="A3311" s="184" t="s">
        <v>8125</v>
      </c>
      <c r="B3311" s="184">
        <v>20.003838999999999</v>
      </c>
      <c r="C3311" s="184">
        <v>-102.46237000000001</v>
      </c>
    </row>
    <row r="3312" spans="1:3">
      <c r="A3312" s="184" t="s">
        <v>8126</v>
      </c>
      <c r="B3312" s="184">
        <v>18.758469999999999</v>
      </c>
      <c r="C3312" s="184">
        <v>-103.37349</v>
      </c>
    </row>
    <row r="3313" spans="1:3">
      <c r="A3313" s="184" t="s">
        <v>8127</v>
      </c>
      <c r="B3313" s="184">
        <v>19.902946</v>
      </c>
      <c r="C3313" s="184">
        <v>-101.311036</v>
      </c>
    </row>
    <row r="3314" spans="1:3">
      <c r="A3314" s="184" t="s">
        <v>8128</v>
      </c>
      <c r="B3314" s="184">
        <v>19.588039999999999</v>
      </c>
      <c r="C3314" s="184">
        <v>-101.71886000000001</v>
      </c>
    </row>
    <row r="3315" spans="1:3">
      <c r="A3315" s="184" t="s">
        <v>8129</v>
      </c>
      <c r="B3315" s="184">
        <v>19.545950000000001</v>
      </c>
      <c r="C3315" s="184">
        <v>-101.43574</v>
      </c>
    </row>
    <row r="3316" spans="1:3">
      <c r="A3316" s="184" t="s">
        <v>8130</v>
      </c>
      <c r="B3316" s="184">
        <v>19.953420000000001</v>
      </c>
      <c r="C3316" s="184">
        <v>-102.312</v>
      </c>
    </row>
    <row r="3317" spans="1:3">
      <c r="A3317" s="184" t="s">
        <v>8133</v>
      </c>
      <c r="B3317" s="184">
        <v>19.917629999999999</v>
      </c>
      <c r="C3317" s="184">
        <v>-101.74655</v>
      </c>
    </row>
    <row r="3318" spans="1:3">
      <c r="A3318" s="184" t="s">
        <v>8135</v>
      </c>
      <c r="B3318" s="184">
        <v>19.458349999999999</v>
      </c>
      <c r="C3318" s="184">
        <v>-100.49464999999999</v>
      </c>
    </row>
    <row r="3319" spans="1:3">
      <c r="A3319" s="184" t="s">
        <v>8137</v>
      </c>
      <c r="B3319" s="184">
        <v>19.565241</v>
      </c>
      <c r="C3319" s="184">
        <v>-101.416605</v>
      </c>
    </row>
    <row r="3320" spans="1:3">
      <c r="A3320" s="184" t="s">
        <v>8138</v>
      </c>
      <c r="B3320" s="184">
        <v>19.390585000000002</v>
      </c>
      <c r="C3320" s="184">
        <v>-101.278398</v>
      </c>
    </row>
    <row r="3321" spans="1:3">
      <c r="A3321" s="184" t="s">
        <v>8140</v>
      </c>
      <c r="B3321" s="184">
        <v>19.390585000000002</v>
      </c>
      <c r="C3321" s="184">
        <v>-101.278398</v>
      </c>
    </row>
    <row r="3322" spans="1:3">
      <c r="A3322" s="184" t="s">
        <v>8141</v>
      </c>
      <c r="B3322" s="184">
        <v>19.390585000000002</v>
      </c>
      <c r="C3322" s="184">
        <v>-101.278398</v>
      </c>
    </row>
    <row r="3323" spans="1:3">
      <c r="A3323" s="184" t="s">
        <v>8142</v>
      </c>
      <c r="B3323" s="184">
        <v>19.390585000000002</v>
      </c>
      <c r="C3323" s="184">
        <v>-101.278398</v>
      </c>
    </row>
    <row r="3324" spans="1:3">
      <c r="A3324" s="184" t="s">
        <v>8143</v>
      </c>
      <c r="B3324" s="184">
        <v>17.967017999999999</v>
      </c>
      <c r="C3324" s="184">
        <v>-102.201409</v>
      </c>
    </row>
    <row r="3325" spans="1:3">
      <c r="A3325" s="184" t="s">
        <v>8145</v>
      </c>
      <c r="B3325" s="184">
        <v>19.692886000000001</v>
      </c>
      <c r="C3325" s="184">
        <v>-101.154067</v>
      </c>
    </row>
    <row r="3326" spans="1:3">
      <c r="A3326" s="184" t="s">
        <v>8146</v>
      </c>
      <c r="B3326" s="184">
        <v>19.6999058</v>
      </c>
      <c r="C3326" s="184">
        <v>-101.1825135</v>
      </c>
    </row>
    <row r="3327" spans="1:3">
      <c r="A3327" s="184" t="s">
        <v>8147</v>
      </c>
      <c r="B3327" s="184">
        <v>19.693043899999999</v>
      </c>
      <c r="C3327" s="184">
        <v>-101.1554807</v>
      </c>
    </row>
    <row r="3328" spans="1:3">
      <c r="A3328" s="184" t="s">
        <v>8148</v>
      </c>
      <c r="B3328" s="184">
        <v>19.732973999999999</v>
      </c>
      <c r="C3328" s="184">
        <v>-101.183425</v>
      </c>
    </row>
    <row r="3329" spans="1:3">
      <c r="A3329" s="184" t="s">
        <v>8149</v>
      </c>
      <c r="B3329" s="184">
        <v>19.719270999999999</v>
      </c>
      <c r="C3329" s="184">
        <v>-101.213683</v>
      </c>
    </row>
    <row r="3330" spans="1:3">
      <c r="A3330" s="184" t="s">
        <v>8150</v>
      </c>
      <c r="B3330" s="184">
        <v>19.666613999999999</v>
      </c>
      <c r="C3330" s="184">
        <v>-101.185847</v>
      </c>
    </row>
    <row r="3331" spans="1:3">
      <c r="A3331" s="184" t="s">
        <v>8151</v>
      </c>
      <c r="B3331" s="184">
        <v>19.665039</v>
      </c>
      <c r="C3331" s="184">
        <v>-101.19247900000001</v>
      </c>
    </row>
    <row r="3332" spans="1:3">
      <c r="A3332" s="184" t="s">
        <v>8152</v>
      </c>
      <c r="B3332" s="184">
        <v>19.698070999999999</v>
      </c>
      <c r="C3332" s="184">
        <v>-101.167264</v>
      </c>
    </row>
    <row r="3333" spans="1:3">
      <c r="A3333" s="184" t="s">
        <v>8153</v>
      </c>
      <c r="B3333" s="184">
        <v>19.715793000000001</v>
      </c>
      <c r="C3333" s="184">
        <v>-101.222978</v>
      </c>
    </row>
    <row r="3334" spans="1:3">
      <c r="A3334" s="184" t="s">
        <v>8154</v>
      </c>
      <c r="B3334" s="184">
        <v>19.700853800000001</v>
      </c>
      <c r="C3334" s="184">
        <v>-101.2683064</v>
      </c>
    </row>
    <row r="3335" spans="1:3">
      <c r="A3335" s="184" t="s">
        <v>8155</v>
      </c>
      <c r="B3335" s="184">
        <v>19.707785000000001</v>
      </c>
      <c r="C3335" s="184">
        <v>-101.18471</v>
      </c>
    </row>
    <row r="3336" spans="1:3">
      <c r="A3336" s="184" t="s">
        <v>8156</v>
      </c>
      <c r="B3336" s="184">
        <v>19.6457561</v>
      </c>
      <c r="C3336" s="184">
        <v>-101.2389402</v>
      </c>
    </row>
    <row r="3337" spans="1:3">
      <c r="A3337" s="184" t="s">
        <v>8157</v>
      </c>
      <c r="B3337" s="184">
        <v>19.045860999999999</v>
      </c>
      <c r="C3337" s="184">
        <v>-101.16234609999999</v>
      </c>
    </row>
    <row r="3338" spans="1:3">
      <c r="A3338" s="184" t="s">
        <v>8159</v>
      </c>
      <c r="B3338" s="184">
        <v>19.045860999999999</v>
      </c>
      <c r="C3338" s="184">
        <v>-101.16234609999999</v>
      </c>
    </row>
    <row r="3339" spans="1:3">
      <c r="A3339" s="184" t="s">
        <v>8160</v>
      </c>
      <c r="B3339" s="184">
        <v>19.16581</v>
      </c>
      <c r="C3339" s="184">
        <v>-101.86826000000001</v>
      </c>
    </row>
    <row r="3340" spans="1:3">
      <c r="A3340" s="184" t="s">
        <v>8161</v>
      </c>
      <c r="B3340" s="184">
        <v>20.116489000000001</v>
      </c>
      <c r="C3340" s="184">
        <v>-102.568786</v>
      </c>
    </row>
    <row r="3341" spans="1:3">
      <c r="A3341" s="184" t="s">
        <v>8162</v>
      </c>
      <c r="B3341" s="184">
        <v>20.106622000000002</v>
      </c>
      <c r="C3341" s="184">
        <v>-101.93437400000001</v>
      </c>
    </row>
    <row r="3342" spans="1:3">
      <c r="A3342" s="184" t="s">
        <v>8164</v>
      </c>
      <c r="B3342" s="184">
        <v>20.119188000000001</v>
      </c>
      <c r="C3342" s="184">
        <v>-102.84864899999999</v>
      </c>
    </row>
    <row r="3343" spans="1:3">
      <c r="A3343" s="184" t="s">
        <v>8166</v>
      </c>
      <c r="B3343" s="184">
        <v>19.405519000000002</v>
      </c>
      <c r="C3343" s="184">
        <v>-101.64303099999999</v>
      </c>
    </row>
    <row r="3344" spans="1:3">
      <c r="A3344" s="184" t="s">
        <v>8168</v>
      </c>
      <c r="B3344" s="184">
        <v>19.735401</v>
      </c>
      <c r="C3344" s="184">
        <v>-100.3544</v>
      </c>
    </row>
    <row r="3345" spans="1:3">
      <c r="A3345" s="184" t="s">
        <v>8170</v>
      </c>
      <c r="B3345" s="184">
        <v>19.959173</v>
      </c>
      <c r="C3345" s="184">
        <v>-102.431071</v>
      </c>
    </row>
    <row r="3346" spans="1:3">
      <c r="A3346" s="184" t="s">
        <v>8172</v>
      </c>
      <c r="B3346" s="184">
        <v>19.794264999999999</v>
      </c>
      <c r="C3346" s="184">
        <v>-101.176057</v>
      </c>
    </row>
    <row r="3347" spans="1:3">
      <c r="A3347" s="184" t="s">
        <v>8173</v>
      </c>
      <c r="B3347" s="184">
        <v>19.786151</v>
      </c>
      <c r="C3347" s="184">
        <v>-101.13664300000001</v>
      </c>
    </row>
    <row r="3348" spans="1:3">
      <c r="A3348" s="184" t="s">
        <v>8174</v>
      </c>
      <c r="B3348" s="184">
        <v>19.790350199999999</v>
      </c>
      <c r="C3348" s="184">
        <v>-101.0887388</v>
      </c>
    </row>
    <row r="3349" spans="1:3">
      <c r="A3349" s="184" t="s">
        <v>8175</v>
      </c>
      <c r="B3349" s="184">
        <v>18.901035</v>
      </c>
      <c r="C3349" s="184">
        <v>-100.73633599999999</v>
      </c>
    </row>
    <row r="3350" spans="1:3">
      <c r="A3350" s="184" t="s">
        <v>8177</v>
      </c>
      <c r="B3350" s="184">
        <v>18.529368000000002</v>
      </c>
      <c r="C3350" s="184">
        <v>-102.37648799999999</v>
      </c>
    </row>
    <row r="3351" spans="1:3">
      <c r="A3351" s="184" t="s">
        <v>8180</v>
      </c>
      <c r="B3351" s="184">
        <v>18.529368000000002</v>
      </c>
      <c r="C3351" s="184">
        <v>-102.37648799999999</v>
      </c>
    </row>
    <row r="3352" spans="1:3">
      <c r="A3352" s="184" t="s">
        <v>8181</v>
      </c>
      <c r="B3352" s="184">
        <v>19.418698800000001</v>
      </c>
      <c r="C3352" s="184">
        <v>-100.9084794</v>
      </c>
    </row>
    <row r="3353" spans="1:3">
      <c r="A3353" s="184" t="s">
        <v>8183</v>
      </c>
      <c r="B3353" s="184">
        <v>19.390540999999999</v>
      </c>
      <c r="C3353" s="184">
        <v>-102.024055</v>
      </c>
    </row>
    <row r="3354" spans="1:3">
      <c r="A3354" s="184" t="s">
        <v>8184</v>
      </c>
      <c r="B3354" s="184">
        <v>19.414035999999999</v>
      </c>
      <c r="C3354" s="184">
        <v>-102.057626</v>
      </c>
    </row>
    <row r="3355" spans="1:3">
      <c r="A3355" s="184" t="s">
        <v>8185</v>
      </c>
      <c r="B3355" s="184">
        <v>19.430271000000001</v>
      </c>
      <c r="C3355" s="184">
        <v>-102.00665499999999</v>
      </c>
    </row>
    <row r="3356" spans="1:3">
      <c r="A3356" s="184" t="s">
        <v>8187</v>
      </c>
      <c r="B3356" s="184">
        <v>20.020337999999999</v>
      </c>
      <c r="C3356" s="184">
        <v>-102.599357</v>
      </c>
    </row>
    <row r="3357" spans="1:3">
      <c r="A3357" s="184" t="s">
        <v>8188</v>
      </c>
      <c r="B3357" s="184">
        <v>20.263838</v>
      </c>
      <c r="C3357" s="184">
        <v>-102.474465</v>
      </c>
    </row>
    <row r="3358" spans="1:3">
      <c r="A3358" s="184" t="s">
        <v>8190</v>
      </c>
      <c r="B3358" s="184">
        <v>20.342279999999999</v>
      </c>
      <c r="C3358" s="184">
        <v>-102.284786</v>
      </c>
    </row>
    <row r="3359" spans="1:3">
      <c r="A3359" s="184" t="s">
        <v>8191</v>
      </c>
      <c r="B3359" s="184">
        <v>19.812775500000001</v>
      </c>
      <c r="C3359" s="184">
        <v>-101.7882802</v>
      </c>
    </row>
    <row r="3360" spans="1:3">
      <c r="A3360" s="184" t="s">
        <v>8192</v>
      </c>
      <c r="B3360" s="184">
        <v>19.989744000000002</v>
      </c>
      <c r="C3360" s="184">
        <v>-102.279183</v>
      </c>
    </row>
    <row r="3361" spans="1:3">
      <c r="A3361" s="184" t="s">
        <v>8194</v>
      </c>
      <c r="B3361" s="184">
        <v>19.982858</v>
      </c>
      <c r="C3361" s="184">
        <v>-102.280473</v>
      </c>
    </row>
    <row r="3362" spans="1:3">
      <c r="A3362" s="184" t="s">
        <v>8195</v>
      </c>
      <c r="B3362" s="184">
        <v>20.026326000000001</v>
      </c>
      <c r="C3362" s="184">
        <v>-102.34814799999999</v>
      </c>
    </row>
    <row r="3363" spans="1:3">
      <c r="A3363" s="184" t="s">
        <v>8197</v>
      </c>
      <c r="B3363" s="184">
        <v>20.095939000000001</v>
      </c>
      <c r="C3363" s="184">
        <v>-102.34583499999999</v>
      </c>
    </row>
    <row r="3364" spans="1:3">
      <c r="A3364" s="184" t="s">
        <v>8198</v>
      </c>
      <c r="B3364" s="184">
        <v>20.180333999999998</v>
      </c>
      <c r="C3364" s="184">
        <v>-101.99347400000001</v>
      </c>
    </row>
    <row r="3365" spans="1:3">
      <c r="A3365" s="184" t="s">
        <v>8200</v>
      </c>
      <c r="B3365" s="184">
        <v>19.860565000000001</v>
      </c>
      <c r="C3365" s="184">
        <v>-100.830454</v>
      </c>
    </row>
    <row r="3366" spans="1:3">
      <c r="A3366" s="184" t="s">
        <v>8202</v>
      </c>
      <c r="B3366" s="184">
        <v>19.432554</v>
      </c>
      <c r="C3366" s="184">
        <v>-100.36944269999999</v>
      </c>
    </row>
    <row r="3367" spans="1:3">
      <c r="A3367" s="184" t="s">
        <v>8204</v>
      </c>
      <c r="B3367" s="184">
        <v>19.436731999999999</v>
      </c>
      <c r="C3367" s="184">
        <v>-100.35535</v>
      </c>
    </row>
    <row r="3368" spans="1:3">
      <c r="A3368" s="184" t="s">
        <v>8205</v>
      </c>
      <c r="B3368" s="184">
        <v>20.301666399999998</v>
      </c>
      <c r="C3368" s="184">
        <v>-101.5990833</v>
      </c>
    </row>
    <row r="3369" spans="1:3">
      <c r="A3369" s="184" t="s">
        <v>8207</v>
      </c>
      <c r="B3369" s="184">
        <v>20.311800000000002</v>
      </c>
      <c r="C3369" s="184">
        <v>-101.503618</v>
      </c>
    </row>
    <row r="3370" spans="1:3">
      <c r="A3370" s="184" t="s">
        <v>8209</v>
      </c>
      <c r="B3370" s="184">
        <v>19.821802999999999</v>
      </c>
      <c r="C3370" s="184">
        <v>-101.04293800000001</v>
      </c>
    </row>
    <row r="3371" spans="1:3">
      <c r="A3371" s="184" t="s">
        <v>8210</v>
      </c>
      <c r="B3371" s="184">
        <v>19.735885199999998</v>
      </c>
      <c r="C3371" s="184">
        <v>-101.2124915</v>
      </c>
    </row>
    <row r="3372" spans="1:3">
      <c r="A3372" s="184" t="s">
        <v>8211</v>
      </c>
      <c r="B3372" s="184">
        <v>19.966472</v>
      </c>
      <c r="C3372" s="184">
        <v>-102.44949800000001</v>
      </c>
    </row>
    <row r="3373" spans="1:3">
      <c r="A3373" s="184" t="s">
        <v>8213</v>
      </c>
      <c r="B3373" s="184">
        <v>19.366226000000001</v>
      </c>
      <c r="C3373" s="184">
        <v>-102.134477</v>
      </c>
    </row>
    <row r="3374" spans="1:3">
      <c r="A3374" s="184" t="s">
        <v>8215</v>
      </c>
      <c r="B3374" s="184">
        <v>19.421717000000001</v>
      </c>
      <c r="C3374" s="184">
        <v>-100.33748900000001</v>
      </c>
    </row>
    <row r="3375" spans="1:3">
      <c r="A3375" s="184" t="s">
        <v>8216</v>
      </c>
      <c r="B3375" s="184">
        <v>19.971129000000001</v>
      </c>
      <c r="C3375" s="184">
        <v>-102.46846499999999</v>
      </c>
    </row>
    <row r="3376" spans="1:3">
      <c r="A3376" s="184" t="s">
        <v>8218</v>
      </c>
      <c r="B3376" s="184">
        <v>19.731490999999998</v>
      </c>
      <c r="C3376" s="184">
        <v>-101.105271</v>
      </c>
    </row>
    <row r="3377" spans="1:3">
      <c r="A3377" s="184" t="s">
        <v>8220</v>
      </c>
      <c r="B3377" s="184">
        <v>19.732880999999999</v>
      </c>
      <c r="C3377" s="184">
        <v>-101.166191</v>
      </c>
    </row>
    <row r="3378" spans="1:3">
      <c r="A3378" s="184" t="s">
        <v>8221</v>
      </c>
      <c r="B3378" s="184">
        <v>18.615876</v>
      </c>
      <c r="C3378" s="184">
        <v>-100.906836</v>
      </c>
    </row>
    <row r="3379" spans="1:3">
      <c r="A3379" s="184" t="s">
        <v>8223</v>
      </c>
      <c r="B3379" s="184">
        <v>19.423469999999998</v>
      </c>
      <c r="C3379" s="184">
        <v>-100.366378</v>
      </c>
    </row>
    <row r="3380" spans="1:3">
      <c r="A3380" s="184" t="s">
        <v>8224</v>
      </c>
      <c r="B3380" s="184">
        <v>18.615765</v>
      </c>
      <c r="C3380" s="184">
        <v>-100.90669</v>
      </c>
    </row>
    <row r="3381" spans="1:3">
      <c r="A3381" s="184" t="s">
        <v>8225</v>
      </c>
      <c r="B3381" s="184">
        <v>19.732402</v>
      </c>
      <c r="C3381" s="184">
        <v>-101.102766</v>
      </c>
    </row>
    <row r="3382" spans="1:3">
      <c r="A3382" s="184" t="s">
        <v>8226</v>
      </c>
      <c r="B3382" s="184">
        <v>19.692744999999999</v>
      </c>
      <c r="C3382" s="184">
        <v>-101.154967</v>
      </c>
    </row>
    <row r="3383" spans="1:3">
      <c r="A3383" s="184" t="s">
        <v>8227</v>
      </c>
      <c r="B3383" s="184">
        <v>19.691492</v>
      </c>
      <c r="C3383" s="184">
        <v>-101.1556045</v>
      </c>
    </row>
    <row r="3384" spans="1:3">
      <c r="A3384" s="184" t="s">
        <v>8228</v>
      </c>
      <c r="B3384" s="184">
        <v>20.075195399999998</v>
      </c>
      <c r="C3384" s="184">
        <v>-102.71954270000001</v>
      </c>
    </row>
    <row r="3385" spans="1:3">
      <c r="A3385" s="184" t="s">
        <v>8230</v>
      </c>
      <c r="B3385" s="184">
        <v>19.896135000000001</v>
      </c>
      <c r="C3385" s="184">
        <v>-100.984936</v>
      </c>
    </row>
    <row r="3386" spans="1:3">
      <c r="A3386" s="184" t="s">
        <v>8231</v>
      </c>
      <c r="B3386" s="184">
        <v>19.919688000000001</v>
      </c>
      <c r="C3386" s="184">
        <v>-101.579454</v>
      </c>
    </row>
    <row r="3387" spans="1:3">
      <c r="A3387" s="184" t="s">
        <v>8233</v>
      </c>
      <c r="B3387" s="184">
        <v>19.402987</v>
      </c>
      <c r="C3387" s="184">
        <v>-101.957122</v>
      </c>
    </row>
    <row r="3388" spans="1:3">
      <c r="A3388" s="184" t="s">
        <v>8234</v>
      </c>
      <c r="B3388" s="184">
        <v>20.316403000000001</v>
      </c>
      <c r="C3388" s="184">
        <v>-101.51988900000001</v>
      </c>
    </row>
    <row r="3389" spans="1:3">
      <c r="A3389" s="184" t="s">
        <v>8235</v>
      </c>
      <c r="B3389" s="184">
        <v>20.002891300000002</v>
      </c>
      <c r="C3389" s="184">
        <v>-102.2928805</v>
      </c>
    </row>
    <row r="3390" spans="1:3">
      <c r="A3390" s="184" t="s">
        <v>8236</v>
      </c>
      <c r="B3390" s="184">
        <v>19.4059676</v>
      </c>
      <c r="C3390" s="184">
        <v>-101.6430426</v>
      </c>
    </row>
    <row r="3391" spans="1:3">
      <c r="A3391" s="184" t="s">
        <v>8237</v>
      </c>
      <c r="B3391" s="184">
        <v>18.879897</v>
      </c>
      <c r="C3391" s="184">
        <v>-101.97184300000001</v>
      </c>
    </row>
    <row r="3392" spans="1:3">
      <c r="A3392" s="184" t="s">
        <v>8239</v>
      </c>
      <c r="B3392" s="184">
        <v>20.309148</v>
      </c>
      <c r="C3392" s="184">
        <v>-102.211877</v>
      </c>
    </row>
    <row r="3393" spans="1:3">
      <c r="A3393" s="184" t="s">
        <v>8241</v>
      </c>
      <c r="B3393" s="184">
        <v>19.984538000000001</v>
      </c>
      <c r="C3393" s="184">
        <v>-102.715525</v>
      </c>
    </row>
    <row r="3394" spans="1:3">
      <c r="A3394" s="184" t="s">
        <v>8243</v>
      </c>
      <c r="B3394" s="184">
        <v>19.957155</v>
      </c>
      <c r="C3394" s="184">
        <v>-100.16499</v>
      </c>
    </row>
    <row r="3395" spans="1:3">
      <c r="A3395" s="184" t="s">
        <v>8244</v>
      </c>
      <c r="B3395" s="184">
        <v>19.215240999999999</v>
      </c>
      <c r="C3395" s="184">
        <v>-100.408051</v>
      </c>
    </row>
    <row r="3396" spans="1:3">
      <c r="A3396" s="184" t="s">
        <v>8246</v>
      </c>
      <c r="B3396" s="184">
        <v>19.3930513</v>
      </c>
      <c r="C3396" s="184">
        <v>-101.2793697</v>
      </c>
    </row>
    <row r="3397" spans="1:3">
      <c r="A3397" s="184" t="s">
        <v>8247</v>
      </c>
      <c r="B3397" s="184">
        <v>19.398197</v>
      </c>
      <c r="C3397" s="184">
        <v>-102.05220799999999</v>
      </c>
    </row>
    <row r="3398" spans="1:3">
      <c r="A3398" s="184" t="s">
        <v>8248</v>
      </c>
      <c r="B3398" s="184">
        <v>18.780664000000002</v>
      </c>
      <c r="C3398" s="184">
        <v>-103.160044</v>
      </c>
    </row>
    <row r="3399" spans="1:3">
      <c r="A3399" s="184" t="s">
        <v>8249</v>
      </c>
      <c r="B3399" s="184">
        <v>18.357019999999999</v>
      </c>
      <c r="C3399" s="184">
        <v>-102.289435</v>
      </c>
    </row>
    <row r="3400" spans="1:3">
      <c r="A3400" s="184" t="s">
        <v>8250</v>
      </c>
      <c r="B3400" s="184">
        <v>19.693728</v>
      </c>
      <c r="C3400" s="184">
        <v>-101.155655</v>
      </c>
    </row>
    <row r="3401" spans="1:3">
      <c r="A3401" s="184" t="s">
        <v>8251</v>
      </c>
      <c r="B3401" s="184">
        <v>19.426366000000002</v>
      </c>
      <c r="C3401" s="184">
        <v>-100.3609</v>
      </c>
    </row>
    <row r="3402" spans="1:3">
      <c r="A3402" s="184" t="s">
        <v>8252</v>
      </c>
      <c r="B3402" s="184">
        <v>19.421491</v>
      </c>
      <c r="C3402" s="184">
        <v>-102.079097</v>
      </c>
    </row>
    <row r="3403" spans="1:3">
      <c r="A3403" s="184" t="s">
        <v>8253</v>
      </c>
      <c r="B3403" s="184">
        <v>19.093045</v>
      </c>
      <c r="C3403" s="184">
        <v>-102.353964</v>
      </c>
    </row>
    <row r="3404" spans="1:3">
      <c r="A3404" s="184" t="s">
        <v>8255</v>
      </c>
      <c r="B3404" s="184">
        <v>19.206996</v>
      </c>
      <c r="C3404" s="184">
        <v>-102.585589</v>
      </c>
    </row>
    <row r="3405" spans="1:3">
      <c r="A3405" s="184" t="s">
        <v>8257</v>
      </c>
      <c r="B3405" s="184">
        <v>19.029256199999999</v>
      </c>
      <c r="C3405" s="184">
        <v>-102.08839500000001</v>
      </c>
    </row>
    <row r="3406" spans="1:3">
      <c r="A3406" s="184" t="s">
        <v>8259</v>
      </c>
      <c r="B3406" s="184">
        <v>19.984030000000001</v>
      </c>
      <c r="C3406" s="184">
        <v>-102.7159503</v>
      </c>
    </row>
    <row r="3407" spans="1:3">
      <c r="A3407" s="184" t="s">
        <v>8260</v>
      </c>
      <c r="B3407" s="184">
        <v>20.116489000000001</v>
      </c>
      <c r="C3407" s="184">
        <v>-102.568786</v>
      </c>
    </row>
    <row r="3408" spans="1:3">
      <c r="A3408" s="184" t="s">
        <v>8261</v>
      </c>
      <c r="B3408" s="184">
        <v>20.020337999999999</v>
      </c>
      <c r="C3408" s="184">
        <v>-102.599357</v>
      </c>
    </row>
    <row r="3409" spans="1:3">
      <c r="A3409" s="184" t="s">
        <v>8262</v>
      </c>
      <c r="B3409" s="184">
        <v>19.982666999999999</v>
      </c>
      <c r="C3409" s="184">
        <v>-102.281217</v>
      </c>
    </row>
    <row r="3410" spans="1:3">
      <c r="A3410" s="184" t="s">
        <v>8263</v>
      </c>
      <c r="B3410" s="184">
        <v>19.398197</v>
      </c>
      <c r="C3410" s="184">
        <v>-102.05220799999999</v>
      </c>
    </row>
    <row r="3411" spans="1:3">
      <c r="A3411" s="184" t="s">
        <v>8264</v>
      </c>
      <c r="B3411" s="184">
        <v>19.291643000000001</v>
      </c>
      <c r="C3411" s="184">
        <v>-102.30605799999999</v>
      </c>
    </row>
    <row r="3412" spans="1:3">
      <c r="A3412" s="184" t="s">
        <v>8265</v>
      </c>
      <c r="B3412" s="184">
        <v>19.169307</v>
      </c>
      <c r="C3412" s="184">
        <v>-101.874702</v>
      </c>
    </row>
    <row r="3413" spans="1:3">
      <c r="A3413" s="184" t="s">
        <v>8266</v>
      </c>
      <c r="B3413" s="184">
        <v>19.52216</v>
      </c>
      <c r="C3413" s="184">
        <v>-102.414643</v>
      </c>
    </row>
    <row r="3414" spans="1:3">
      <c r="A3414" s="184" t="s">
        <v>8269</v>
      </c>
      <c r="B3414" s="184">
        <v>19.398197</v>
      </c>
      <c r="C3414" s="184">
        <v>-102.05220799999999</v>
      </c>
    </row>
    <row r="3415" spans="1:3">
      <c r="A3415" s="184" t="s">
        <v>8270</v>
      </c>
      <c r="B3415" s="184">
        <v>19.398197</v>
      </c>
      <c r="C3415" s="184">
        <v>-102.05220799999999</v>
      </c>
    </row>
    <row r="3416" spans="1:3">
      <c r="A3416" s="184" t="s">
        <v>8271</v>
      </c>
      <c r="B3416" s="184">
        <v>18.615876</v>
      </c>
      <c r="C3416" s="184">
        <v>-100.906836</v>
      </c>
    </row>
    <row r="3417" spans="1:3">
      <c r="A3417" s="184" t="s">
        <v>8272</v>
      </c>
      <c r="B3417" s="184">
        <v>20.301870000000001</v>
      </c>
      <c r="C3417" s="184">
        <v>-101.599069</v>
      </c>
    </row>
    <row r="3418" spans="1:3">
      <c r="A3418" s="184" t="s">
        <v>8273</v>
      </c>
      <c r="B3418" s="184">
        <v>20.341910200000001</v>
      </c>
      <c r="C3418" s="184">
        <v>-102.2845784</v>
      </c>
    </row>
    <row r="3419" spans="1:3">
      <c r="A3419" s="184" t="s">
        <v>8274</v>
      </c>
      <c r="B3419" s="184">
        <v>20.002723</v>
      </c>
      <c r="C3419" s="184">
        <v>-101.415496</v>
      </c>
    </row>
    <row r="3420" spans="1:3">
      <c r="A3420" s="184" t="s">
        <v>8276</v>
      </c>
      <c r="B3420" s="184">
        <v>20.002723</v>
      </c>
      <c r="C3420" s="184">
        <v>-101.415496</v>
      </c>
    </row>
    <row r="3421" spans="1:3">
      <c r="A3421" s="184" t="s">
        <v>8277</v>
      </c>
      <c r="B3421" s="184">
        <v>20.148043999999999</v>
      </c>
      <c r="C3421" s="184">
        <v>-101.712124</v>
      </c>
    </row>
    <row r="3422" spans="1:3">
      <c r="A3422" s="184" t="s">
        <v>8278</v>
      </c>
      <c r="B3422" s="184">
        <v>20.337130999999999</v>
      </c>
      <c r="C3422" s="184">
        <v>-102.022687</v>
      </c>
    </row>
    <row r="3423" spans="1:3">
      <c r="A3423" s="184" t="s">
        <v>8280</v>
      </c>
      <c r="B3423" s="184">
        <v>19.794204000000001</v>
      </c>
      <c r="C3423" s="184">
        <v>-101.175579</v>
      </c>
    </row>
    <row r="3424" spans="1:3">
      <c r="A3424" s="184" t="s">
        <v>8281</v>
      </c>
      <c r="B3424" s="184">
        <v>19.048444100000001</v>
      </c>
      <c r="C3424" s="184">
        <v>-97.970486399999999</v>
      </c>
    </row>
    <row r="3425" spans="1:3">
      <c r="A3425" s="184" t="s">
        <v>8283</v>
      </c>
      <c r="B3425" s="184">
        <v>18.367971900000001</v>
      </c>
      <c r="C3425" s="184">
        <v>-97.300854999999999</v>
      </c>
    </row>
    <row r="3426" spans="1:3">
      <c r="A3426" s="184" t="s">
        <v>8285</v>
      </c>
      <c r="B3426" s="184">
        <v>18.9890106</v>
      </c>
      <c r="C3426" s="184">
        <v>-97.449621899999997</v>
      </c>
    </row>
    <row r="3427" spans="1:3">
      <c r="A3427" s="184" t="s">
        <v>8287</v>
      </c>
      <c r="B3427" s="184">
        <v>18.233648200000001</v>
      </c>
      <c r="C3427" s="184">
        <v>-98.705964600000001</v>
      </c>
    </row>
    <row r="3428" spans="1:3">
      <c r="A3428" s="184" t="s">
        <v>8289</v>
      </c>
      <c r="B3428" s="184">
        <v>18.484757999999999</v>
      </c>
      <c r="C3428" s="184">
        <v>-98.6350944</v>
      </c>
    </row>
    <row r="3429" spans="1:3">
      <c r="A3429" s="184" t="s">
        <v>8290</v>
      </c>
      <c r="B3429" s="184">
        <v>18.4855254</v>
      </c>
      <c r="C3429" s="184">
        <v>-98.660680400000004</v>
      </c>
    </row>
    <row r="3430" spans="1:3">
      <c r="A3430" s="184" t="s">
        <v>8291</v>
      </c>
      <c r="B3430" s="184">
        <v>18.616596900000001</v>
      </c>
      <c r="C3430" s="184">
        <v>-98.384452199999998</v>
      </c>
    </row>
    <row r="3431" spans="1:3">
      <c r="A3431" s="184" t="s">
        <v>8292</v>
      </c>
      <c r="B3431" s="184">
        <v>18.542910599999999</v>
      </c>
      <c r="C3431" s="184">
        <v>-98.505010299999995</v>
      </c>
    </row>
    <row r="3432" spans="1:3">
      <c r="A3432" s="184" t="s">
        <v>8294</v>
      </c>
      <c r="B3432" s="184">
        <v>18.578757100000001</v>
      </c>
      <c r="C3432" s="184">
        <v>-98.556351800000002</v>
      </c>
    </row>
    <row r="3433" spans="1:3">
      <c r="A3433" s="184" t="s">
        <v>8296</v>
      </c>
      <c r="B3433" s="184">
        <v>18.506680899999999</v>
      </c>
      <c r="C3433" s="184">
        <v>-98.479523299999997</v>
      </c>
    </row>
    <row r="3434" spans="1:3">
      <c r="A3434" s="184" t="s">
        <v>8298</v>
      </c>
      <c r="B3434" s="184">
        <v>18.5568454</v>
      </c>
      <c r="C3434" s="184">
        <v>-98.490609500000005</v>
      </c>
    </row>
    <row r="3435" spans="1:3">
      <c r="A3435" s="184" t="s">
        <v>8299</v>
      </c>
      <c r="B3435" s="184">
        <v>19.116696999999998</v>
      </c>
      <c r="C3435" s="184">
        <v>-98.371297299999995</v>
      </c>
    </row>
    <row r="3436" spans="1:3">
      <c r="A3436" s="184" t="s">
        <v>8301</v>
      </c>
      <c r="B3436" s="184">
        <v>19.457643900000001</v>
      </c>
      <c r="C3436" s="184">
        <v>-97.680264800000003</v>
      </c>
    </row>
    <row r="3437" spans="1:3">
      <c r="A3437" s="184" t="s">
        <v>8303</v>
      </c>
      <c r="B3437" s="184">
        <v>18.978736399999999</v>
      </c>
      <c r="C3437" s="184">
        <v>-98.3032422</v>
      </c>
    </row>
    <row r="3438" spans="1:3">
      <c r="A3438" s="184" t="s">
        <v>8304</v>
      </c>
      <c r="B3438" s="184">
        <v>18.824774000000001</v>
      </c>
      <c r="C3438" s="184">
        <v>-97.509792000000004</v>
      </c>
    </row>
    <row r="3439" spans="1:3">
      <c r="A3439" s="184" t="s">
        <v>8306</v>
      </c>
      <c r="B3439" s="184">
        <v>18.9862587</v>
      </c>
      <c r="C3439" s="184">
        <v>-98.242134199999995</v>
      </c>
    </row>
    <row r="3440" spans="1:3">
      <c r="A3440" s="184" t="s">
        <v>8307</v>
      </c>
      <c r="B3440" s="184">
        <v>18.988149100000001</v>
      </c>
      <c r="C3440" s="184">
        <v>-98.182584800000001</v>
      </c>
    </row>
    <row r="3441" spans="1:3">
      <c r="A3441" s="184" t="s">
        <v>8308</v>
      </c>
      <c r="B3441" s="184">
        <v>18.947796700000001</v>
      </c>
      <c r="C3441" s="184">
        <v>-98.235445999999996</v>
      </c>
    </row>
    <row r="3442" spans="1:3">
      <c r="A3442" s="184" t="s">
        <v>8309</v>
      </c>
      <c r="B3442" s="184">
        <v>19.040451000000001</v>
      </c>
      <c r="C3442" s="184">
        <v>-98.134271600000005</v>
      </c>
    </row>
    <row r="3443" spans="1:3">
      <c r="A3443" s="186" t="s">
        <v>8310</v>
      </c>
      <c r="B3443" s="184">
        <v>19.076640699999999</v>
      </c>
      <c r="C3443" s="184">
        <v>-98.1914108</v>
      </c>
    </row>
    <row r="3444" spans="1:3">
      <c r="A3444" s="184" t="s">
        <v>8311</v>
      </c>
      <c r="B3444" s="184">
        <v>18.990652300000001</v>
      </c>
      <c r="C3444" s="184">
        <v>-98.178887399999994</v>
      </c>
    </row>
    <row r="3445" spans="1:3">
      <c r="A3445" s="184" t="s">
        <v>8312</v>
      </c>
      <c r="B3445" s="184">
        <v>19.016364599999999</v>
      </c>
      <c r="C3445" s="184">
        <v>-98.229249199999998</v>
      </c>
    </row>
    <row r="3446" spans="1:3">
      <c r="A3446" s="184" t="s">
        <v>8313</v>
      </c>
      <c r="B3446" s="184">
        <v>19.051450200000001</v>
      </c>
      <c r="C3446" s="184">
        <v>-98.164690100000001</v>
      </c>
    </row>
    <row r="3447" spans="1:3">
      <c r="A3447" s="184" t="s">
        <v>8314</v>
      </c>
      <c r="B3447" s="184">
        <v>19.068752400000001</v>
      </c>
      <c r="C3447" s="184">
        <v>-98.233264300000002</v>
      </c>
    </row>
    <row r="3448" spans="1:3">
      <c r="A3448" s="184" t="s">
        <v>8315</v>
      </c>
      <c r="B3448" s="184">
        <v>19.037231999999999</v>
      </c>
      <c r="C3448" s="184">
        <v>-98.194717499999996</v>
      </c>
    </row>
    <row r="3449" spans="1:3">
      <c r="A3449" s="184" t="s">
        <v>8316</v>
      </c>
      <c r="B3449" s="184">
        <v>18.996848100000001</v>
      </c>
      <c r="C3449" s="184">
        <v>-98.235467600000007</v>
      </c>
    </row>
    <row r="3450" spans="1:3">
      <c r="A3450" s="184" t="s">
        <v>8317</v>
      </c>
      <c r="B3450" s="184">
        <v>18.962031499999998</v>
      </c>
      <c r="C3450" s="184">
        <v>-98.153021699999996</v>
      </c>
    </row>
    <row r="3451" spans="1:3">
      <c r="A3451" s="184" t="s">
        <v>8318</v>
      </c>
      <c r="B3451" s="184">
        <v>18.9409001</v>
      </c>
      <c r="C3451" s="184">
        <v>-98.157550900000004</v>
      </c>
    </row>
    <row r="3452" spans="1:3">
      <c r="A3452" s="184" t="s">
        <v>8320</v>
      </c>
      <c r="B3452" s="184">
        <v>19.226918099999999</v>
      </c>
      <c r="C3452" s="184">
        <v>-97.809915500000002</v>
      </c>
    </row>
    <row r="3453" spans="1:3">
      <c r="A3453" s="184" t="s">
        <v>8322</v>
      </c>
      <c r="B3453" s="184">
        <v>19.264446400000001</v>
      </c>
      <c r="C3453" s="184">
        <v>-97.825127100000003</v>
      </c>
    </row>
    <row r="3454" spans="1:3">
      <c r="A3454" s="184" t="s">
        <v>8323</v>
      </c>
      <c r="B3454" s="184">
        <v>18.947979499999999</v>
      </c>
      <c r="C3454" s="184">
        <v>-97.811435200000005</v>
      </c>
    </row>
    <row r="3455" spans="1:3">
      <c r="A3455" s="184" t="s">
        <v>8324</v>
      </c>
      <c r="B3455" s="184">
        <v>19.0078265</v>
      </c>
      <c r="C3455" s="184">
        <v>-97.857614699999999</v>
      </c>
    </row>
    <row r="3456" spans="1:3">
      <c r="A3456" s="184" t="s">
        <v>8325</v>
      </c>
      <c r="B3456" s="184">
        <v>19.048197999999999</v>
      </c>
      <c r="C3456" s="184">
        <v>-98.294703499999997</v>
      </c>
    </row>
    <row r="3457" spans="1:3">
      <c r="A3457" s="184" t="s">
        <v>8326</v>
      </c>
      <c r="B3457" s="184">
        <v>19.2681702</v>
      </c>
      <c r="C3457" s="184">
        <v>-98.434539999999998</v>
      </c>
    </row>
    <row r="3458" spans="1:3">
      <c r="A3458" s="184" t="s">
        <v>8328</v>
      </c>
      <c r="B3458" s="184">
        <v>19.2427353</v>
      </c>
      <c r="C3458" s="184">
        <v>-98.421584699999997</v>
      </c>
    </row>
    <row r="3459" spans="1:3">
      <c r="A3459" s="184" t="s">
        <v>8329</v>
      </c>
      <c r="B3459" s="184">
        <v>19.291794800000002</v>
      </c>
      <c r="C3459" s="184">
        <v>-98.465752100000003</v>
      </c>
    </row>
    <row r="3460" spans="1:3">
      <c r="A3460" s="184" t="s">
        <v>8331</v>
      </c>
      <c r="B3460" s="184">
        <v>19.110888299999999</v>
      </c>
      <c r="C3460" s="184">
        <v>-97.592348299999998</v>
      </c>
    </row>
    <row r="3461" spans="1:3">
      <c r="A3461" s="184" t="s">
        <v>8333</v>
      </c>
      <c r="B3461" s="184">
        <v>19.3077121</v>
      </c>
      <c r="C3461" s="184">
        <v>-98.473270799999995</v>
      </c>
    </row>
    <row r="3462" spans="1:3">
      <c r="A3462" s="184" t="s">
        <v>8334</v>
      </c>
      <c r="B3462" s="184">
        <v>18.880104599999999</v>
      </c>
      <c r="C3462" s="184">
        <v>-97.726723699999994</v>
      </c>
    </row>
    <row r="3463" spans="1:3">
      <c r="A3463" s="184" t="s">
        <v>8335</v>
      </c>
      <c r="B3463" s="184">
        <v>18.845440400000001</v>
      </c>
      <c r="C3463" s="184">
        <v>-97.705334399999998</v>
      </c>
    </row>
    <row r="3464" spans="1:3">
      <c r="A3464" s="184" t="s">
        <v>8337</v>
      </c>
      <c r="B3464" s="184">
        <v>18.4720297</v>
      </c>
      <c r="C3464" s="184">
        <v>-98.778419900000003</v>
      </c>
    </row>
    <row r="3465" spans="1:3">
      <c r="A3465" s="184" t="s">
        <v>8339</v>
      </c>
      <c r="B3465" s="184">
        <v>18.9226043</v>
      </c>
      <c r="C3465" s="184">
        <v>-97.866464300000004</v>
      </c>
    </row>
    <row r="3466" spans="1:3">
      <c r="A3466" s="184" t="s">
        <v>8341</v>
      </c>
      <c r="B3466" s="184">
        <v>18.470408899999999</v>
      </c>
      <c r="C3466" s="184">
        <v>-97.9211217</v>
      </c>
    </row>
    <row r="3467" spans="1:3">
      <c r="A3467" s="184" t="s">
        <v>8343</v>
      </c>
      <c r="B3467" s="184">
        <v>18.815868500000001</v>
      </c>
      <c r="C3467" s="184">
        <v>-97.876255499999999</v>
      </c>
    </row>
    <row r="3468" spans="1:3">
      <c r="A3468" s="184" t="s">
        <v>8345</v>
      </c>
      <c r="B3468" s="184">
        <v>18.591062900000001</v>
      </c>
      <c r="C3468" s="184">
        <v>-98.555604599999995</v>
      </c>
    </row>
    <row r="3469" spans="1:3">
      <c r="A3469" s="184" t="s">
        <v>8346</v>
      </c>
      <c r="B3469" s="184">
        <v>19.293755399999998</v>
      </c>
      <c r="C3469" s="184">
        <v>-98.529700500000004</v>
      </c>
    </row>
    <row r="3470" spans="1:3">
      <c r="A3470" s="184" t="s">
        <v>8348</v>
      </c>
      <c r="B3470" s="184">
        <v>19.292068400000002</v>
      </c>
      <c r="C3470" s="184">
        <v>-98.558715699999993</v>
      </c>
    </row>
    <row r="3471" spans="1:3">
      <c r="A3471" s="184" t="s">
        <v>8350</v>
      </c>
      <c r="B3471" s="184">
        <v>19.012722700000001</v>
      </c>
      <c r="C3471" s="184">
        <v>-98.296454999999995</v>
      </c>
    </row>
    <row r="3472" spans="1:3">
      <c r="A3472" s="184" t="s">
        <v>8351</v>
      </c>
      <c r="B3472" s="184">
        <v>19.038559899999999</v>
      </c>
      <c r="C3472" s="184">
        <v>-98.3138462</v>
      </c>
    </row>
    <row r="3473" spans="1:3">
      <c r="A3473" s="184" t="s">
        <v>8352</v>
      </c>
      <c r="B3473" s="184">
        <v>19.0469741</v>
      </c>
      <c r="C3473" s="184">
        <v>-98.097458399999994</v>
      </c>
    </row>
    <row r="3474" spans="1:3">
      <c r="A3474" s="184" t="s">
        <v>8354</v>
      </c>
      <c r="B3474" s="184">
        <v>18.993027099999999</v>
      </c>
      <c r="C3474" s="184">
        <v>-97.909449300000006</v>
      </c>
    </row>
    <row r="3475" spans="1:3">
      <c r="A3475" s="184" t="s">
        <v>8356</v>
      </c>
      <c r="B3475" s="184">
        <v>19.133406600000001</v>
      </c>
      <c r="C3475" s="184">
        <v>-97.707543200000003</v>
      </c>
    </row>
    <row r="3476" spans="1:3">
      <c r="A3476" s="184" t="s">
        <v>8357</v>
      </c>
      <c r="B3476" s="184">
        <v>19.3059291</v>
      </c>
      <c r="C3476" s="184">
        <v>-98.450207899999995</v>
      </c>
    </row>
    <row r="3477" spans="1:3">
      <c r="A3477" s="184" t="s">
        <v>8358</v>
      </c>
      <c r="B3477" s="184">
        <v>19.040488</v>
      </c>
      <c r="C3477" s="184">
        <v>-97.700644999999994</v>
      </c>
    </row>
    <row r="3478" spans="1:3">
      <c r="A3478" s="184" t="s">
        <v>8360</v>
      </c>
      <c r="B3478" s="184">
        <v>18.406955199999999</v>
      </c>
      <c r="C3478" s="184">
        <v>-97.327354</v>
      </c>
    </row>
    <row r="3479" spans="1:3">
      <c r="A3479" s="184" t="s">
        <v>8361</v>
      </c>
      <c r="B3479" s="184">
        <v>18.910532199999999</v>
      </c>
      <c r="C3479" s="184">
        <v>-98.590241700000007</v>
      </c>
    </row>
    <row r="3480" spans="1:3">
      <c r="A3480" s="184" t="s">
        <v>8364</v>
      </c>
      <c r="B3480" s="184">
        <v>18.986057200000001</v>
      </c>
      <c r="C3480" s="184">
        <v>-98.240833499999994</v>
      </c>
    </row>
    <row r="3481" spans="1:3">
      <c r="A3481" s="184" t="s">
        <v>8365</v>
      </c>
      <c r="B3481" s="184">
        <v>18.988103800000001</v>
      </c>
      <c r="C3481" s="184">
        <v>-98.183809699999998</v>
      </c>
    </row>
    <row r="3482" spans="1:3">
      <c r="A3482" s="184" t="s">
        <v>8366</v>
      </c>
      <c r="B3482" s="184">
        <v>18.985352299999999</v>
      </c>
      <c r="C3482" s="184">
        <v>-98.241913999999994</v>
      </c>
    </row>
    <row r="3483" spans="1:3">
      <c r="A3483" s="184" t="s">
        <v>8367</v>
      </c>
      <c r="B3483" s="184">
        <v>19.2483553</v>
      </c>
      <c r="C3483" s="184">
        <v>-98.437415799999997</v>
      </c>
    </row>
    <row r="3484" spans="1:3">
      <c r="A3484" s="184" t="s">
        <v>8368</v>
      </c>
      <c r="B3484" s="184">
        <v>18.375695400000001</v>
      </c>
      <c r="C3484" s="184">
        <v>-98.694167800000002</v>
      </c>
    </row>
    <row r="3485" spans="1:3">
      <c r="A3485" s="184" t="s">
        <v>8369</v>
      </c>
      <c r="B3485" s="184">
        <v>18.514991599999998</v>
      </c>
      <c r="C3485" s="184">
        <v>-98.603785999999999</v>
      </c>
    </row>
    <row r="3486" spans="1:3">
      <c r="A3486" s="184" t="s">
        <v>8370</v>
      </c>
      <c r="B3486" s="184">
        <v>18.226447799999999</v>
      </c>
      <c r="C3486" s="184">
        <v>-98.034298000000007</v>
      </c>
    </row>
    <row r="3487" spans="1:3">
      <c r="A3487" s="184" t="s">
        <v>8372</v>
      </c>
      <c r="B3487" s="184">
        <v>18.0806182</v>
      </c>
      <c r="C3487" s="184">
        <v>-97.917479</v>
      </c>
    </row>
    <row r="3488" spans="1:3">
      <c r="A3488" s="184" t="s">
        <v>8373</v>
      </c>
      <c r="B3488" s="184">
        <v>19.084488400000001</v>
      </c>
      <c r="C3488" s="184">
        <v>-98.185999800000005</v>
      </c>
    </row>
    <row r="3489" spans="1:3">
      <c r="A3489" s="184" t="s">
        <v>8374</v>
      </c>
      <c r="B3489" s="184">
        <v>19.042512500000001</v>
      </c>
      <c r="C3489" s="184">
        <v>-98.073521799999995</v>
      </c>
    </row>
    <row r="3490" spans="1:3">
      <c r="A3490" s="184" t="s">
        <v>8375</v>
      </c>
      <c r="B3490" s="184">
        <v>19.0795028</v>
      </c>
      <c r="C3490" s="184">
        <v>-98.109693199999995</v>
      </c>
    </row>
    <row r="3491" spans="1:3">
      <c r="A3491" s="184" t="s">
        <v>8376</v>
      </c>
      <c r="B3491" s="184">
        <v>19.039235399999999</v>
      </c>
      <c r="C3491" s="184">
        <v>-98.2712322</v>
      </c>
    </row>
    <row r="3492" spans="1:3">
      <c r="A3492" s="184" t="s">
        <v>8378</v>
      </c>
      <c r="B3492" s="184">
        <v>18.649576100000001</v>
      </c>
      <c r="C3492" s="184">
        <v>-98.371745099999998</v>
      </c>
    </row>
    <row r="3493" spans="1:3">
      <c r="A3493" s="184" t="s">
        <v>8380</v>
      </c>
      <c r="B3493" s="184">
        <v>18.970939699999999</v>
      </c>
      <c r="C3493" s="184">
        <v>-98.185375899999997</v>
      </c>
    </row>
    <row r="3494" spans="1:3">
      <c r="A3494" s="184" t="s">
        <v>8381</v>
      </c>
      <c r="B3494" s="184">
        <v>19.139329100000001</v>
      </c>
      <c r="C3494" s="184">
        <v>-98.236799300000001</v>
      </c>
    </row>
    <row r="3495" spans="1:3">
      <c r="A3495" s="184" t="s">
        <v>8382</v>
      </c>
      <c r="B3495" s="184">
        <v>18.621818600000001</v>
      </c>
      <c r="C3495" s="184">
        <v>-97.409353999999993</v>
      </c>
    </row>
    <row r="3496" spans="1:3">
      <c r="A3496" s="184" t="s">
        <v>8383</v>
      </c>
      <c r="B3496" s="184">
        <v>18.616267000000001</v>
      </c>
      <c r="C3496" s="184">
        <v>-98.4688515</v>
      </c>
    </row>
    <row r="3497" spans="1:3">
      <c r="A3497" s="184" t="s">
        <v>8384</v>
      </c>
      <c r="B3497" s="184">
        <v>18.953809700000001</v>
      </c>
      <c r="C3497" s="184">
        <v>-98.387108900000001</v>
      </c>
    </row>
    <row r="3498" spans="1:3">
      <c r="A3498" s="184" t="s">
        <v>8386</v>
      </c>
      <c r="B3498" s="184">
        <v>18.226447799999999</v>
      </c>
      <c r="C3498" s="184">
        <v>-98.034298000000007</v>
      </c>
    </row>
    <row r="3499" spans="1:3">
      <c r="A3499" s="184" t="s">
        <v>8387</v>
      </c>
      <c r="B3499" s="184">
        <v>19.1198728</v>
      </c>
      <c r="C3499" s="184">
        <v>-97.665311700000004</v>
      </c>
    </row>
    <row r="3500" spans="1:3">
      <c r="A3500" s="184" t="s">
        <v>8389</v>
      </c>
      <c r="B3500" s="184">
        <v>19.016862100000001</v>
      </c>
      <c r="C3500" s="184">
        <v>-98.265913800000007</v>
      </c>
    </row>
    <row r="3501" spans="1:3">
      <c r="A3501" s="184" t="s">
        <v>8390</v>
      </c>
      <c r="B3501" s="184">
        <v>19.053431700000001</v>
      </c>
      <c r="C3501" s="184">
        <v>-98.346536799999996</v>
      </c>
    </row>
    <row r="3502" spans="1:3">
      <c r="A3502" s="184" t="s">
        <v>8391</v>
      </c>
      <c r="B3502" s="184">
        <v>18.478958800000001</v>
      </c>
      <c r="C3502" s="184">
        <v>-97.420687000000001</v>
      </c>
    </row>
    <row r="3503" spans="1:3">
      <c r="A3503" s="184" t="s">
        <v>8392</v>
      </c>
      <c r="B3503" s="184">
        <v>19.037410999999999</v>
      </c>
      <c r="C3503" s="184">
        <v>-98.023035699999994</v>
      </c>
    </row>
    <row r="3504" spans="1:3">
      <c r="A3504" s="184" t="s">
        <v>8393</v>
      </c>
      <c r="B3504" s="184">
        <v>19.0110791</v>
      </c>
      <c r="C3504" s="184">
        <v>-97.671759399999999</v>
      </c>
    </row>
    <row r="3505" spans="1:3">
      <c r="A3505" s="184" t="s">
        <v>8394</v>
      </c>
      <c r="B3505" s="184">
        <v>18.973334399999999</v>
      </c>
      <c r="C3505" s="184">
        <v>-98.2466656</v>
      </c>
    </row>
    <row r="3506" spans="1:3">
      <c r="A3506" s="184" t="s">
        <v>8395</v>
      </c>
      <c r="B3506" s="184">
        <v>18.422071599999999</v>
      </c>
      <c r="C3506" s="184">
        <v>-97.340024799999995</v>
      </c>
    </row>
    <row r="3507" spans="1:3">
      <c r="A3507" s="184" t="s">
        <v>8397</v>
      </c>
      <c r="B3507" s="184">
        <v>18.954252</v>
      </c>
      <c r="C3507" s="184">
        <v>-97.896398000000005</v>
      </c>
    </row>
    <row r="3508" spans="1:3">
      <c r="A3508" s="184" t="s">
        <v>8398</v>
      </c>
      <c r="B3508" s="184">
        <v>19.0691667</v>
      </c>
      <c r="C3508" s="184">
        <v>-98.318888200000004</v>
      </c>
    </row>
    <row r="3509" spans="1:3">
      <c r="A3509" s="184" t="s">
        <v>8400</v>
      </c>
      <c r="B3509" s="184">
        <v>19.035013200000002</v>
      </c>
      <c r="C3509" s="184">
        <v>-98.244393900000006</v>
      </c>
    </row>
    <row r="3510" spans="1:3">
      <c r="A3510" s="184" t="s">
        <v>8401</v>
      </c>
      <c r="B3510" s="184">
        <v>19.102848900000001</v>
      </c>
      <c r="C3510" s="184">
        <v>-98.454146399999999</v>
      </c>
    </row>
    <row r="3511" spans="1:3">
      <c r="A3511" s="184" t="s">
        <v>8402</v>
      </c>
      <c r="B3511" s="184">
        <v>19.166172199999998</v>
      </c>
      <c r="C3511" s="184">
        <v>-98.347840700000006</v>
      </c>
    </row>
    <row r="3512" spans="1:3">
      <c r="A3512" s="184" t="s">
        <v>8403</v>
      </c>
      <c r="B3512" s="184">
        <v>19.0673332</v>
      </c>
      <c r="C3512" s="184">
        <v>-98.044308999999998</v>
      </c>
    </row>
    <row r="3513" spans="1:3">
      <c r="A3513" s="184" t="s">
        <v>8404</v>
      </c>
      <c r="B3513" s="184">
        <v>19.1392168</v>
      </c>
      <c r="C3513" s="184">
        <v>-98.380429399999997</v>
      </c>
    </row>
    <row r="3514" spans="1:3">
      <c r="A3514" s="184" t="s">
        <v>8406</v>
      </c>
      <c r="B3514" s="184">
        <v>18.311956500000001</v>
      </c>
      <c r="C3514" s="184">
        <v>-98.616741200000007</v>
      </c>
    </row>
    <row r="3515" spans="1:3">
      <c r="A3515" s="184" t="s">
        <v>8408</v>
      </c>
      <c r="B3515" s="184">
        <v>18.6163542</v>
      </c>
      <c r="C3515" s="184">
        <v>-98.468839599999995</v>
      </c>
    </row>
    <row r="3516" spans="1:3">
      <c r="A3516" s="184" t="s">
        <v>8409</v>
      </c>
      <c r="B3516" s="184">
        <v>19.024010499999999</v>
      </c>
      <c r="C3516" s="184">
        <v>-97.969063000000006</v>
      </c>
    </row>
    <row r="3517" spans="1:3">
      <c r="A3517" s="184" t="s">
        <v>8411</v>
      </c>
      <c r="B3517" s="184">
        <v>18.914426500000001</v>
      </c>
      <c r="C3517" s="184">
        <v>-97.822058499999997</v>
      </c>
    </row>
    <row r="3518" spans="1:3">
      <c r="A3518" s="184" t="s">
        <v>8412</v>
      </c>
      <c r="B3518" s="184">
        <v>19.276386500000001</v>
      </c>
      <c r="C3518" s="184">
        <v>-98.442501699999994</v>
      </c>
    </row>
    <row r="3519" spans="1:3">
      <c r="A3519" s="184" t="s">
        <v>8413</v>
      </c>
      <c r="B3519" s="184">
        <v>19.069895500000001</v>
      </c>
      <c r="C3519" s="184">
        <v>-98.247452999999993</v>
      </c>
    </row>
    <row r="3520" spans="1:3">
      <c r="A3520" s="184" t="s">
        <v>8414</v>
      </c>
      <c r="B3520" s="184">
        <v>18.961331999999999</v>
      </c>
      <c r="C3520" s="184">
        <v>-98.170582199999998</v>
      </c>
    </row>
    <row r="3521" spans="1:3">
      <c r="A3521" s="184" t="s">
        <v>8415</v>
      </c>
      <c r="B3521" s="184">
        <v>19.073969999999999</v>
      </c>
      <c r="C3521" s="184">
        <v>-98.206486999999996</v>
      </c>
    </row>
    <row r="3522" spans="1:3">
      <c r="A3522" s="184" t="s">
        <v>8416</v>
      </c>
      <c r="B3522" s="184">
        <v>19.0052992</v>
      </c>
      <c r="C3522" s="184">
        <v>-98.184151900000003</v>
      </c>
    </row>
    <row r="3523" spans="1:3">
      <c r="A3523" s="184" t="s">
        <v>8417</v>
      </c>
      <c r="B3523" s="184">
        <v>19.382421999999998</v>
      </c>
      <c r="C3523" s="184">
        <v>-97.619522399999994</v>
      </c>
    </row>
    <row r="3524" spans="1:3">
      <c r="A3524" s="184" t="s">
        <v>8418</v>
      </c>
      <c r="B3524" s="184">
        <v>19.0866662</v>
      </c>
      <c r="C3524" s="184">
        <v>-98.198704899999996</v>
      </c>
    </row>
    <row r="3525" spans="1:3">
      <c r="A3525" s="184" t="s">
        <v>8419</v>
      </c>
      <c r="B3525" s="184">
        <v>18.838848200000001</v>
      </c>
      <c r="C3525" s="184">
        <v>-97.725516600000006</v>
      </c>
    </row>
    <row r="3526" spans="1:3">
      <c r="A3526" s="184" t="s">
        <v>8420</v>
      </c>
      <c r="B3526" s="184">
        <v>19.0519356</v>
      </c>
      <c r="C3526" s="184">
        <v>-98.333943899999994</v>
      </c>
    </row>
    <row r="3527" spans="1:3">
      <c r="A3527" s="184" t="s">
        <v>8421</v>
      </c>
      <c r="B3527" s="184">
        <v>19.075051999999999</v>
      </c>
      <c r="C3527" s="184">
        <v>-98.271164900000002</v>
      </c>
    </row>
    <row r="3528" spans="1:3">
      <c r="A3528" s="184" t="s">
        <v>8423</v>
      </c>
      <c r="B3528" s="184">
        <v>19.088472400000001</v>
      </c>
      <c r="C3528" s="184">
        <v>-98.304349700000003</v>
      </c>
    </row>
    <row r="3529" spans="1:3">
      <c r="A3529" s="184" t="s">
        <v>8424</v>
      </c>
      <c r="B3529" s="184">
        <v>19.079308000000001</v>
      </c>
      <c r="C3529" s="184">
        <v>-98.185216600000004</v>
      </c>
    </row>
    <row r="3530" spans="1:3">
      <c r="A3530" s="184" t="s">
        <v>8425</v>
      </c>
      <c r="B3530" s="184">
        <v>18.960178200000001</v>
      </c>
      <c r="C3530" s="184">
        <v>-97.6562603</v>
      </c>
    </row>
    <row r="3531" spans="1:3">
      <c r="A3531" s="184" t="s">
        <v>8426</v>
      </c>
      <c r="B3531" s="184">
        <v>18.9592958</v>
      </c>
      <c r="C3531" s="184">
        <v>-98.262910700000006</v>
      </c>
    </row>
    <row r="3532" spans="1:3">
      <c r="A3532" s="184" t="s">
        <v>8427</v>
      </c>
      <c r="B3532" s="184">
        <v>18.993343299999999</v>
      </c>
      <c r="C3532" s="184">
        <v>-97.904352900000006</v>
      </c>
    </row>
    <row r="3533" spans="1:3">
      <c r="A3533" s="184" t="s">
        <v>8428</v>
      </c>
      <c r="B3533" s="184">
        <v>18.551635699999999</v>
      </c>
      <c r="C3533" s="184">
        <v>-98.5032006</v>
      </c>
    </row>
    <row r="3534" spans="1:3">
      <c r="A3534" s="184" t="s">
        <v>8429</v>
      </c>
      <c r="B3534" s="184">
        <v>19.048030600000001</v>
      </c>
      <c r="C3534" s="184">
        <v>-97.943037099999998</v>
      </c>
    </row>
    <row r="3535" spans="1:3">
      <c r="A3535" s="184" t="s">
        <v>8431</v>
      </c>
      <c r="B3535" s="184">
        <v>17.971400299999999</v>
      </c>
      <c r="C3535" s="184">
        <v>-97.862092099999998</v>
      </c>
    </row>
    <row r="3536" spans="1:3">
      <c r="A3536" s="184" t="s">
        <v>8432</v>
      </c>
      <c r="B3536" s="184">
        <v>18.4012843</v>
      </c>
      <c r="C3536" s="184">
        <v>-97.737218900000002</v>
      </c>
    </row>
    <row r="3537" spans="1:3">
      <c r="A3537" s="184" t="s">
        <v>8434</v>
      </c>
      <c r="B3537" s="184">
        <v>18.3990683</v>
      </c>
      <c r="C3537" s="184">
        <v>-97.0489757</v>
      </c>
    </row>
    <row r="3538" spans="1:3">
      <c r="A3538" s="184" t="s">
        <v>8435</v>
      </c>
      <c r="B3538" s="184">
        <v>18.985623</v>
      </c>
      <c r="C3538" s="184">
        <v>-98.239772000000002</v>
      </c>
    </row>
    <row r="3539" spans="1:3">
      <c r="A3539" s="184" t="s">
        <v>8436</v>
      </c>
      <c r="B3539" s="184">
        <v>18.9849663</v>
      </c>
      <c r="C3539" s="184">
        <v>-98.242892800000007</v>
      </c>
    </row>
    <row r="3540" spans="1:3">
      <c r="A3540" s="184" t="s">
        <v>8437</v>
      </c>
      <c r="B3540" s="184">
        <v>19.457538799999998</v>
      </c>
      <c r="C3540" s="184">
        <v>-97.680670599999999</v>
      </c>
    </row>
    <row r="3541" spans="1:3">
      <c r="A3541" s="184" t="s">
        <v>8438</v>
      </c>
      <c r="B3541" s="184">
        <v>19.268461200000001</v>
      </c>
      <c r="C3541" s="184">
        <v>-98.434454299999999</v>
      </c>
    </row>
    <row r="3542" spans="1:3">
      <c r="A3542" s="184" t="s">
        <v>8439</v>
      </c>
      <c r="B3542" s="184">
        <v>19.069241099999999</v>
      </c>
      <c r="C3542" s="184">
        <v>-98.318834100000004</v>
      </c>
    </row>
    <row r="3543" spans="1:3">
      <c r="A3543" s="184" t="s">
        <v>8440</v>
      </c>
      <c r="B3543" s="184">
        <v>18.4487086</v>
      </c>
      <c r="C3543" s="184">
        <v>-97.419521200000005</v>
      </c>
    </row>
    <row r="3544" spans="1:3">
      <c r="A3544" s="184" t="s">
        <v>8441</v>
      </c>
      <c r="B3544" s="184">
        <v>18.993809599999999</v>
      </c>
      <c r="C3544" s="184">
        <v>-97.904961400000005</v>
      </c>
    </row>
    <row r="3545" spans="1:3">
      <c r="A3545" s="184" t="s">
        <v>8442</v>
      </c>
      <c r="B3545" s="184">
        <v>19.077488899999999</v>
      </c>
      <c r="C3545" s="184">
        <v>-98.183256999999998</v>
      </c>
    </row>
    <row r="3546" spans="1:3">
      <c r="A3546" s="184" t="s">
        <v>8443</v>
      </c>
      <c r="B3546" s="184">
        <v>18.4487256</v>
      </c>
      <c r="C3546" s="184">
        <v>-97.4193432</v>
      </c>
    </row>
    <row r="3547" spans="1:3">
      <c r="A3547" s="184" t="s">
        <v>8444</v>
      </c>
      <c r="B3547" s="184">
        <v>19.07705</v>
      </c>
      <c r="C3547" s="184">
        <v>-98.229346699999994</v>
      </c>
    </row>
    <row r="3548" spans="1:3">
      <c r="A3548" s="184" t="s">
        <v>8445</v>
      </c>
      <c r="B3548" s="184">
        <v>19.136101</v>
      </c>
      <c r="C3548" s="184">
        <v>-97.640604400000001</v>
      </c>
    </row>
    <row r="3549" spans="1:3">
      <c r="A3549" s="184" t="s">
        <v>8447</v>
      </c>
      <c r="B3549" s="184">
        <v>18.989599999999999</v>
      </c>
      <c r="C3549" s="184">
        <v>-97.451378500000004</v>
      </c>
    </row>
    <row r="3550" spans="1:3">
      <c r="A3550" s="184" t="s">
        <v>8448</v>
      </c>
      <c r="B3550" s="184">
        <v>19.0632947</v>
      </c>
      <c r="C3550" s="184">
        <v>-98.306429699999995</v>
      </c>
    </row>
    <row r="3551" spans="1:3">
      <c r="A3551" s="184" t="s">
        <v>8449</v>
      </c>
      <c r="B3551" s="184">
        <v>19.016199799999999</v>
      </c>
      <c r="C3551" s="184">
        <v>-98.210604599999996</v>
      </c>
    </row>
    <row r="3552" spans="1:3">
      <c r="A3552" s="184" t="s">
        <v>8450</v>
      </c>
      <c r="B3552" s="184">
        <v>19.016199799999999</v>
      </c>
      <c r="C3552" s="184">
        <v>-98.210604599999996</v>
      </c>
    </row>
    <row r="3553" spans="1:3">
      <c r="A3553" s="184" t="s">
        <v>8451</v>
      </c>
      <c r="B3553" s="184">
        <v>19.016199799999999</v>
      </c>
      <c r="C3553" s="184">
        <v>-98.210604599999996</v>
      </c>
    </row>
    <row r="3554" spans="1:3">
      <c r="A3554" s="184" t="s">
        <v>8452</v>
      </c>
      <c r="B3554" s="184">
        <v>19.016199799999999</v>
      </c>
      <c r="C3554" s="184">
        <v>-98.210604599999996</v>
      </c>
    </row>
    <row r="3555" spans="1:3">
      <c r="A3555" s="184" t="s">
        <v>8453</v>
      </c>
      <c r="B3555" s="184">
        <v>19.016199799999999</v>
      </c>
      <c r="C3555" s="184">
        <v>-98.210604599999996</v>
      </c>
    </row>
    <row r="3556" spans="1:3">
      <c r="A3556" s="184" t="s">
        <v>8454</v>
      </c>
      <c r="B3556" s="184">
        <v>19.016199799999999</v>
      </c>
      <c r="C3556" s="184">
        <v>-98.210604599999996</v>
      </c>
    </row>
    <row r="3557" spans="1:3">
      <c r="A3557" s="184" t="s">
        <v>8455</v>
      </c>
      <c r="B3557" s="184">
        <v>19.016199799999999</v>
      </c>
      <c r="C3557" s="184">
        <v>-98.210604599999996</v>
      </c>
    </row>
    <row r="3558" spans="1:3">
      <c r="A3558" s="184" t="s">
        <v>8456</v>
      </c>
      <c r="B3558" s="184">
        <v>19.016199799999999</v>
      </c>
      <c r="C3558" s="184">
        <v>-98.210604599999996</v>
      </c>
    </row>
    <row r="3559" spans="1:3">
      <c r="A3559" s="184" t="s">
        <v>8457</v>
      </c>
      <c r="B3559" s="184">
        <v>19.016199799999999</v>
      </c>
      <c r="C3559" s="184">
        <v>-98.210604599999996</v>
      </c>
    </row>
    <row r="3560" spans="1:3">
      <c r="A3560" s="184" t="s">
        <v>8458</v>
      </c>
      <c r="B3560" s="184">
        <v>19.016199799999999</v>
      </c>
      <c r="C3560" s="184">
        <v>-98.210604599999996</v>
      </c>
    </row>
    <row r="3561" spans="1:3">
      <c r="A3561" s="184" t="s">
        <v>8459</v>
      </c>
      <c r="B3561" s="184">
        <v>19.016199799999999</v>
      </c>
      <c r="C3561" s="184">
        <v>-98.210604599999996</v>
      </c>
    </row>
    <row r="3562" spans="1:3">
      <c r="A3562" s="184" t="s">
        <v>8460</v>
      </c>
      <c r="B3562" s="184">
        <v>19.016199799999999</v>
      </c>
      <c r="C3562" s="184">
        <v>-98.210604599999996</v>
      </c>
    </row>
    <row r="3563" spans="1:3">
      <c r="A3563" s="184" t="s">
        <v>8461</v>
      </c>
      <c r="B3563" s="184">
        <v>18.599900000000002</v>
      </c>
      <c r="C3563" s="184">
        <v>-98.488005099999995</v>
      </c>
    </row>
    <row r="3564" spans="1:3">
      <c r="A3564" s="184" t="s">
        <v>8462</v>
      </c>
      <c r="B3564" s="184">
        <v>18.599900000000002</v>
      </c>
      <c r="C3564" s="184">
        <v>-98.488005099999995</v>
      </c>
    </row>
    <row r="3565" spans="1:3">
      <c r="A3565" s="184" t="s">
        <v>8463</v>
      </c>
      <c r="B3565" s="184">
        <v>18.226447799999999</v>
      </c>
      <c r="C3565" s="184">
        <v>-98.034298000000007</v>
      </c>
    </row>
    <row r="3566" spans="1:3">
      <c r="A3566" s="184" t="s">
        <v>8464</v>
      </c>
      <c r="B3566" s="184">
        <v>18.974898499999998</v>
      </c>
      <c r="C3566" s="184">
        <v>-98.161745600000003</v>
      </c>
    </row>
    <row r="3567" spans="1:3">
      <c r="A3567" s="184" t="s">
        <v>8465</v>
      </c>
      <c r="B3567" s="184">
        <v>19.062245699999998</v>
      </c>
      <c r="C3567" s="184">
        <v>-97.725707</v>
      </c>
    </row>
    <row r="3568" spans="1:3">
      <c r="A3568" s="184" t="s">
        <v>8466</v>
      </c>
      <c r="B3568" s="184">
        <v>19.3202006</v>
      </c>
      <c r="C3568" s="184">
        <v>-98.504300700000002</v>
      </c>
    </row>
    <row r="3569" spans="1:3">
      <c r="A3569" s="184" t="s">
        <v>8467</v>
      </c>
      <c r="B3569" s="184">
        <v>18.879314900000001</v>
      </c>
      <c r="C3569" s="184">
        <v>-97.714111700000004</v>
      </c>
    </row>
    <row r="3570" spans="1:3">
      <c r="A3570" s="184" t="s">
        <v>8468</v>
      </c>
      <c r="B3570" s="184">
        <v>19.053875099999999</v>
      </c>
      <c r="C3570" s="184">
        <v>-97.995715799999999</v>
      </c>
    </row>
    <row r="3571" spans="1:3">
      <c r="A3571" s="184" t="s">
        <v>8470</v>
      </c>
      <c r="B3571" s="184">
        <v>19.101308400000001</v>
      </c>
      <c r="C3571" s="184">
        <v>-98.261197600000003</v>
      </c>
    </row>
    <row r="3572" spans="1:3">
      <c r="A3572" s="184" t="s">
        <v>8471</v>
      </c>
      <c r="B3572" s="184">
        <v>19.254584099999999</v>
      </c>
      <c r="C3572" s="184">
        <v>-98.537115400000005</v>
      </c>
    </row>
    <row r="3573" spans="1:3">
      <c r="A3573" s="184" t="s">
        <v>8472</v>
      </c>
      <c r="B3573" s="184">
        <v>18.7684763</v>
      </c>
      <c r="C3573" s="184">
        <v>-98.537934699999994</v>
      </c>
    </row>
    <row r="3574" spans="1:3">
      <c r="A3574" s="184" t="s">
        <v>8473</v>
      </c>
      <c r="B3574" s="184">
        <v>18.947037999999999</v>
      </c>
      <c r="C3574" s="184">
        <v>-98.301323699999998</v>
      </c>
    </row>
    <row r="3575" spans="1:3">
      <c r="A3575" s="184" t="s">
        <v>8474</v>
      </c>
      <c r="B3575" s="184">
        <v>19.068528499999999</v>
      </c>
      <c r="C3575" s="184">
        <v>-98.233398699999995</v>
      </c>
    </row>
    <row r="3576" spans="1:3">
      <c r="A3576" s="184" t="s">
        <v>8475</v>
      </c>
      <c r="B3576" s="184">
        <v>24.015004919999999</v>
      </c>
      <c r="C3576" s="184">
        <v>-106.8526605</v>
      </c>
    </row>
    <row r="3577" spans="1:3">
      <c r="A3577" s="184" t="s">
        <v>8479</v>
      </c>
      <c r="B3577" s="184">
        <v>23.918800000000001</v>
      </c>
      <c r="C3577" s="184">
        <v>-106.89400000000001</v>
      </c>
    </row>
    <row r="3578" spans="1:3">
      <c r="A3578" s="184" t="s">
        <v>8480</v>
      </c>
      <c r="B3578" s="184">
        <v>24.802099200000001</v>
      </c>
      <c r="C3578" s="184">
        <v>-107.39712</v>
      </c>
    </row>
    <row r="3579" spans="1:3">
      <c r="A3579" s="184" t="s">
        <v>8483</v>
      </c>
      <c r="B3579" s="184">
        <v>24.127669170000001</v>
      </c>
      <c r="C3579" s="184">
        <v>-106.9239182</v>
      </c>
    </row>
    <row r="3580" spans="1:3">
      <c r="A3580" s="184" t="s">
        <v>8485</v>
      </c>
      <c r="B3580" s="184">
        <v>22.827100000000002</v>
      </c>
      <c r="C3580" s="184">
        <v>-105.782</v>
      </c>
    </row>
    <row r="3581" spans="1:3">
      <c r="A3581" s="184" t="s">
        <v>8488</v>
      </c>
      <c r="B3581" s="184">
        <v>22.831477799999998</v>
      </c>
      <c r="C3581" s="184">
        <v>-105.77733449999999</v>
      </c>
    </row>
    <row r="3582" spans="1:3">
      <c r="A3582" s="184" t="s">
        <v>8489</v>
      </c>
      <c r="B3582" s="184">
        <v>23.328803990000001</v>
      </c>
      <c r="C3582" s="184">
        <v>-106.25866430000001</v>
      </c>
    </row>
    <row r="3583" spans="1:3">
      <c r="A3583" s="184" t="s">
        <v>8493</v>
      </c>
      <c r="B3583" s="184">
        <v>23.203798540000001</v>
      </c>
      <c r="C3583" s="184">
        <v>-106.2623416</v>
      </c>
    </row>
    <row r="3584" spans="1:3">
      <c r="A3584" s="184" t="s">
        <v>8496</v>
      </c>
      <c r="B3584" s="184">
        <v>23.203804529999999</v>
      </c>
      <c r="C3584" s="184">
        <v>-106.2623056</v>
      </c>
    </row>
    <row r="3585" spans="1:3">
      <c r="A3585" s="184" t="s">
        <v>8498</v>
      </c>
      <c r="B3585" s="184">
        <v>23.2728</v>
      </c>
      <c r="C3585" s="184">
        <v>-106.246</v>
      </c>
    </row>
    <row r="3586" spans="1:3">
      <c r="A3586" s="184" t="s">
        <v>8500</v>
      </c>
      <c r="B3586" s="184">
        <v>23.196000000000002</v>
      </c>
      <c r="C3586" s="184">
        <v>-106.404</v>
      </c>
    </row>
    <row r="3587" spans="1:3">
      <c r="A3587" s="184" t="s">
        <v>8501</v>
      </c>
      <c r="B3587" s="184">
        <v>23.2437</v>
      </c>
      <c r="C3587" s="184">
        <v>-106.408</v>
      </c>
    </row>
    <row r="3588" spans="1:3">
      <c r="A3588" s="184" t="s">
        <v>8502</v>
      </c>
      <c r="B3588" s="184">
        <v>23.210799999999999</v>
      </c>
      <c r="C3588" s="184">
        <v>-106.41200000000001</v>
      </c>
    </row>
    <row r="3589" spans="1:3">
      <c r="A3589" s="184" t="s">
        <v>8503</v>
      </c>
      <c r="B3589" s="184">
        <v>23.203800000000001</v>
      </c>
      <c r="C3589" s="184">
        <v>-106.4221</v>
      </c>
    </row>
    <row r="3590" spans="1:3">
      <c r="A3590" s="184" t="s">
        <v>8504</v>
      </c>
      <c r="B3590" s="184">
        <v>23.259799999999998</v>
      </c>
      <c r="C3590" s="184">
        <v>-106.3991</v>
      </c>
    </row>
    <row r="3591" spans="1:3">
      <c r="A3591" s="184" t="s">
        <v>8505</v>
      </c>
      <c r="B3591" s="184">
        <v>23.259308999999998</v>
      </c>
      <c r="C3591" s="184">
        <v>-106.43429</v>
      </c>
    </row>
    <row r="3592" spans="1:3">
      <c r="A3592" s="184" t="s">
        <v>8506</v>
      </c>
      <c r="B3592" s="184">
        <v>23.238199999999999</v>
      </c>
      <c r="C3592" s="184">
        <v>-106.4</v>
      </c>
    </row>
    <row r="3593" spans="1:3">
      <c r="A3593" s="184" t="s">
        <v>8507</v>
      </c>
      <c r="B3593" s="184">
        <v>23.238299999999999</v>
      </c>
      <c r="C3593" s="184">
        <v>-106.4</v>
      </c>
    </row>
    <row r="3594" spans="1:3">
      <c r="A3594" s="184" t="s">
        <v>8508</v>
      </c>
      <c r="B3594" s="184">
        <v>23.203900000000001</v>
      </c>
      <c r="C3594" s="184">
        <v>-106.422</v>
      </c>
    </row>
    <row r="3595" spans="1:3">
      <c r="A3595" s="184" t="s">
        <v>8509</v>
      </c>
      <c r="B3595" s="184">
        <v>23.238199999999999</v>
      </c>
      <c r="C3595" s="184">
        <v>-106.4</v>
      </c>
    </row>
    <row r="3596" spans="1:3">
      <c r="A3596" s="184" t="s">
        <v>8510</v>
      </c>
      <c r="B3596" s="184">
        <v>23.255700000000001</v>
      </c>
      <c r="C3596" s="184">
        <v>-106.39700000000001</v>
      </c>
    </row>
    <row r="3597" spans="1:3">
      <c r="A3597" s="184" t="s">
        <v>8511</v>
      </c>
      <c r="B3597" s="184">
        <v>23.33945464</v>
      </c>
      <c r="C3597" s="184">
        <v>-106.2395561</v>
      </c>
    </row>
    <row r="3598" spans="1:3">
      <c r="A3598" s="184" t="s">
        <v>8514</v>
      </c>
      <c r="B3598" s="184">
        <v>23.187200000000001</v>
      </c>
      <c r="C3598" s="184">
        <v>-106.22199999999999</v>
      </c>
    </row>
    <row r="3599" spans="1:3">
      <c r="A3599" s="184" t="s">
        <v>8515</v>
      </c>
      <c r="B3599" s="184">
        <v>24.816550039999999</v>
      </c>
      <c r="C3599" s="184">
        <v>-107.44449280000001</v>
      </c>
    </row>
    <row r="3600" spans="1:3">
      <c r="A3600" s="184" t="s">
        <v>8517</v>
      </c>
      <c r="B3600" s="184">
        <v>27.760268870000001</v>
      </c>
      <c r="C3600" s="184">
        <v>-109.2883363</v>
      </c>
    </row>
    <row r="3601" spans="1:3">
      <c r="A3601" s="184" t="s">
        <v>8520</v>
      </c>
      <c r="B3601" s="184">
        <v>22.8809</v>
      </c>
      <c r="C3601" s="184">
        <v>-105.95529999999999</v>
      </c>
    </row>
    <row r="3602" spans="1:3">
      <c r="A3602" s="184" t="s">
        <v>8521</v>
      </c>
      <c r="B3602" s="184">
        <v>23.078192099999999</v>
      </c>
      <c r="C3602" s="184">
        <v>-105.99076650000001</v>
      </c>
    </row>
    <row r="3603" spans="1:3">
      <c r="A3603" s="184" t="s">
        <v>8524</v>
      </c>
      <c r="B3603" s="184">
        <v>22.994930799999999</v>
      </c>
      <c r="C3603" s="184">
        <v>-105.8566385</v>
      </c>
    </row>
    <row r="3604" spans="1:3">
      <c r="A3604" s="184" t="s">
        <v>8526</v>
      </c>
      <c r="B3604" s="184">
        <v>22.987500000000001</v>
      </c>
      <c r="C3604" s="184">
        <v>-105.87</v>
      </c>
    </row>
    <row r="3605" spans="1:3">
      <c r="A3605" s="184" t="s">
        <v>8527</v>
      </c>
      <c r="B3605" s="184">
        <v>23.075611349999999</v>
      </c>
      <c r="C3605" s="184">
        <v>-105.98847670000001</v>
      </c>
    </row>
    <row r="3606" spans="1:3">
      <c r="A3606" s="184" t="s">
        <v>8530</v>
      </c>
      <c r="B3606" s="184">
        <v>24.7747013</v>
      </c>
      <c r="C3606" s="184">
        <v>-107.4383763</v>
      </c>
    </row>
    <row r="3607" spans="1:3">
      <c r="A3607" s="184" t="s">
        <v>8533</v>
      </c>
      <c r="B3607" s="184">
        <v>23.9392344</v>
      </c>
      <c r="C3607" s="184">
        <v>-106.4282025</v>
      </c>
    </row>
    <row r="3608" spans="1:3">
      <c r="A3608" s="184" t="s">
        <v>8536</v>
      </c>
      <c r="B3608" s="184">
        <v>31.296654</v>
      </c>
      <c r="C3608" s="184">
        <v>-109.55486999999999</v>
      </c>
    </row>
    <row r="3609" spans="1:3">
      <c r="A3609" s="184" t="s">
        <v>8538</v>
      </c>
      <c r="B3609" s="184">
        <v>31.296626</v>
      </c>
      <c r="C3609" s="184">
        <v>-109.55509499999999</v>
      </c>
    </row>
    <row r="3610" spans="1:3">
      <c r="A3610" s="184" t="s">
        <v>8539</v>
      </c>
      <c r="B3610" s="184">
        <v>31.005237839999999</v>
      </c>
      <c r="C3610" s="184">
        <v>-109.2830143</v>
      </c>
    </row>
    <row r="3611" spans="1:3">
      <c r="A3611" s="184" t="s">
        <v>8542</v>
      </c>
      <c r="B3611" s="184">
        <v>30.70763573</v>
      </c>
      <c r="C3611" s="184">
        <v>-111.92269810000001</v>
      </c>
    </row>
    <row r="3612" spans="1:3">
      <c r="A3612" s="184" t="s">
        <v>8545</v>
      </c>
      <c r="B3612" s="184">
        <v>30.715214799999998</v>
      </c>
      <c r="C3612" s="184">
        <v>-111.8347831</v>
      </c>
    </row>
    <row r="3613" spans="1:3">
      <c r="A3613" s="184" t="s">
        <v>8546</v>
      </c>
      <c r="B3613" s="184">
        <v>30.844527469999999</v>
      </c>
      <c r="C3613" s="184">
        <v>-111.58312479999999</v>
      </c>
    </row>
    <row r="3614" spans="1:3">
      <c r="A3614" s="184" t="s">
        <v>8549</v>
      </c>
      <c r="B3614" s="184">
        <v>30.011989610000001</v>
      </c>
      <c r="C3614" s="184">
        <v>-110.212411</v>
      </c>
    </row>
    <row r="3615" spans="1:3">
      <c r="A3615" s="184" t="s">
        <v>8552</v>
      </c>
      <c r="B3615" s="184">
        <v>30.168475000000001</v>
      </c>
      <c r="C3615" s="184">
        <v>-111.11777499999999</v>
      </c>
    </row>
    <row r="3616" spans="1:3">
      <c r="A3616" s="184" t="s">
        <v>8554</v>
      </c>
      <c r="B3616" s="184">
        <v>30.732480290000002</v>
      </c>
      <c r="C3616" s="184">
        <v>-112.39552020000001</v>
      </c>
    </row>
    <row r="3617" spans="1:3">
      <c r="A3617" s="184" t="s">
        <v>8558</v>
      </c>
      <c r="B3617" s="184">
        <v>30.78577744</v>
      </c>
      <c r="C3617" s="184">
        <v>-112.84184999999999</v>
      </c>
    </row>
    <row r="3618" spans="1:3">
      <c r="A3618" s="184" t="s">
        <v>8561</v>
      </c>
      <c r="B3618" s="184">
        <v>30.717533</v>
      </c>
      <c r="C3618" s="184">
        <v>-112.179106</v>
      </c>
    </row>
    <row r="3619" spans="1:3">
      <c r="A3619" s="184" t="s">
        <v>8563</v>
      </c>
      <c r="B3619" s="184">
        <v>30.717427000000001</v>
      </c>
      <c r="C3619" s="184">
        <v>-112.179531</v>
      </c>
    </row>
    <row r="3620" spans="1:3">
      <c r="A3620" s="184" t="s">
        <v>8564</v>
      </c>
      <c r="B3620" s="184">
        <v>30.715599999999998</v>
      </c>
      <c r="C3620" s="184">
        <v>-112.15900000000001</v>
      </c>
    </row>
    <row r="3621" spans="1:3">
      <c r="A3621" s="184" t="s">
        <v>8565</v>
      </c>
      <c r="B3621" s="184">
        <v>30.717448999999998</v>
      </c>
      <c r="C3621" s="184">
        <v>-112.179768</v>
      </c>
    </row>
    <row r="3622" spans="1:3">
      <c r="A3622" s="184" t="s">
        <v>8566</v>
      </c>
      <c r="B3622" s="184">
        <v>30.935979849999999</v>
      </c>
      <c r="C3622" s="184">
        <v>-113.007114</v>
      </c>
    </row>
    <row r="3623" spans="1:3">
      <c r="A3623" s="184" t="s">
        <v>8569</v>
      </c>
      <c r="B3623" s="184">
        <v>30.805434000000002</v>
      </c>
      <c r="C3623" s="184">
        <v>-112.713149</v>
      </c>
    </row>
    <row r="3624" spans="1:3">
      <c r="A3624" s="184" t="s">
        <v>8571</v>
      </c>
      <c r="B3624" s="184">
        <v>30.70543146</v>
      </c>
      <c r="C3624" s="184">
        <v>-112.4348782</v>
      </c>
    </row>
    <row r="3625" spans="1:3">
      <c r="A3625" s="184" t="s">
        <v>8574</v>
      </c>
      <c r="B3625" s="184">
        <v>30.74572921</v>
      </c>
      <c r="C3625" s="184">
        <v>-112.4535331</v>
      </c>
    </row>
    <row r="3626" spans="1:3">
      <c r="A3626" s="184" t="s">
        <v>8577</v>
      </c>
      <c r="B3626" s="184">
        <v>30.331679520000002</v>
      </c>
      <c r="C3626" s="184">
        <v>-110.70407899999999</v>
      </c>
    </row>
    <row r="3627" spans="1:3">
      <c r="A3627" s="184" t="s">
        <v>8579</v>
      </c>
      <c r="B3627" s="184">
        <v>30.329163999999999</v>
      </c>
      <c r="C3627" s="184">
        <v>-110.7062</v>
      </c>
    </row>
    <row r="3628" spans="1:3">
      <c r="A3628" s="184" t="s">
        <v>8580</v>
      </c>
      <c r="B3628" s="184">
        <v>30.772871139999999</v>
      </c>
      <c r="C3628" s="184">
        <v>-110.8739388</v>
      </c>
    </row>
    <row r="3629" spans="1:3">
      <c r="A3629" s="184" t="s">
        <v>8584</v>
      </c>
      <c r="B3629" s="184">
        <v>30.631461569999999</v>
      </c>
      <c r="C3629" s="184">
        <v>-110.9840655</v>
      </c>
    </row>
    <row r="3630" spans="1:3">
      <c r="A3630" s="184" t="s">
        <v>8587</v>
      </c>
      <c r="B3630" s="184">
        <v>30.6420274</v>
      </c>
      <c r="C3630" s="184">
        <v>-110.9547019</v>
      </c>
    </row>
    <row r="3631" spans="1:3">
      <c r="A3631" s="184" t="s">
        <v>8589</v>
      </c>
      <c r="B3631" s="184">
        <v>30.695499999999999</v>
      </c>
      <c r="C3631" s="184">
        <v>-110.92100000000001</v>
      </c>
    </row>
    <row r="3632" spans="1:3">
      <c r="A3632" s="184" t="s">
        <v>8590</v>
      </c>
      <c r="B3632" s="184">
        <v>31.164520799999998</v>
      </c>
      <c r="C3632" s="184">
        <v>-109.97239620000001</v>
      </c>
    </row>
    <row r="3633" spans="1:3">
      <c r="A3633" s="184" t="s">
        <v>8594</v>
      </c>
      <c r="B3633" s="184">
        <v>31.164525390000001</v>
      </c>
      <c r="C3633" s="184">
        <v>-109.97183560000001</v>
      </c>
    </row>
    <row r="3634" spans="1:3">
      <c r="A3634" s="184" t="s">
        <v>8597</v>
      </c>
      <c r="B3634" s="184">
        <v>31.31607</v>
      </c>
      <c r="C3634" s="184">
        <v>-110.94977400000001</v>
      </c>
    </row>
    <row r="3635" spans="1:3">
      <c r="A3635" s="184" t="s">
        <v>8600</v>
      </c>
      <c r="B3635" s="184">
        <v>31.309418000000001</v>
      </c>
      <c r="C3635" s="184">
        <v>-110.944518</v>
      </c>
    </row>
    <row r="3636" spans="1:3">
      <c r="A3636" s="184" t="s">
        <v>8601</v>
      </c>
      <c r="B3636" s="184">
        <v>31.289493</v>
      </c>
      <c r="C3636" s="184">
        <v>-110.957854</v>
      </c>
    </row>
    <row r="3637" spans="1:3">
      <c r="A3637" s="184" t="s">
        <v>8602</v>
      </c>
      <c r="B3637" s="184">
        <v>31.289760999999999</v>
      </c>
      <c r="C3637" s="184">
        <v>-110.95774299999999</v>
      </c>
    </row>
    <row r="3638" spans="1:3">
      <c r="A3638" s="184" t="s">
        <v>8603</v>
      </c>
      <c r="B3638" s="184">
        <v>31.316099000000001</v>
      </c>
      <c r="C3638" s="184">
        <v>-110.95012800000001</v>
      </c>
    </row>
    <row r="3639" spans="1:3">
      <c r="A3639" s="184" t="s">
        <v>8604</v>
      </c>
      <c r="B3639" s="184">
        <v>31.289871999999999</v>
      </c>
      <c r="C3639" s="184">
        <v>-110.957908</v>
      </c>
    </row>
    <row r="3640" spans="1:3">
      <c r="A3640" s="184" t="s">
        <v>8605</v>
      </c>
      <c r="B3640" s="184">
        <v>29.92643975</v>
      </c>
      <c r="C3640" s="184">
        <v>-110.6268711</v>
      </c>
    </row>
    <row r="3641" spans="1:3">
      <c r="A3641" s="184" t="s">
        <v>8607</v>
      </c>
      <c r="B3641" s="184">
        <v>29.50571691</v>
      </c>
      <c r="C3641" s="184">
        <v>-112.3973941</v>
      </c>
    </row>
    <row r="3642" spans="1:3">
      <c r="A3642" s="184" t="s">
        <v>8611</v>
      </c>
      <c r="B3642" s="184">
        <v>30.675851000000002</v>
      </c>
      <c r="C3642" s="184">
        <v>-112.05185400000001</v>
      </c>
    </row>
    <row r="3643" spans="1:3">
      <c r="A3643" s="184" t="s">
        <v>8612</v>
      </c>
      <c r="B3643" s="184">
        <v>31.341422999999999</v>
      </c>
      <c r="C3643" s="184">
        <v>-113.51633699999999</v>
      </c>
    </row>
    <row r="3644" spans="1:3">
      <c r="A3644" s="184" t="s">
        <v>8614</v>
      </c>
      <c r="B3644" s="184">
        <v>31.232793359999999</v>
      </c>
      <c r="C3644" s="184">
        <v>-110.5971966</v>
      </c>
    </row>
    <row r="3645" spans="1:3">
      <c r="A3645" s="184" t="s">
        <v>8615</v>
      </c>
      <c r="B3645" s="184">
        <v>31.23745357</v>
      </c>
      <c r="C3645" s="184">
        <v>-110.5960808</v>
      </c>
    </row>
    <row r="3646" spans="1:3">
      <c r="A3646" s="184" t="s">
        <v>8617</v>
      </c>
      <c r="B3646" s="184">
        <v>31.10295532</v>
      </c>
      <c r="C3646" s="184">
        <v>-111.3826265</v>
      </c>
    </row>
    <row r="3647" spans="1:3">
      <c r="A3647" s="184" t="s">
        <v>8619</v>
      </c>
      <c r="B3647" s="184">
        <v>31.473447100000001</v>
      </c>
      <c r="C3647" s="184">
        <v>-111.54398740000001</v>
      </c>
    </row>
    <row r="3648" spans="1:3">
      <c r="A3648" s="184" t="s">
        <v>8622</v>
      </c>
      <c r="B3648" s="184">
        <v>31.471513210000001</v>
      </c>
      <c r="C3648" s="184">
        <v>-111.5452327</v>
      </c>
    </row>
    <row r="3649" spans="1:3">
      <c r="A3649" s="184" t="s">
        <v>8623</v>
      </c>
      <c r="B3649" s="184">
        <v>31.472076000000001</v>
      </c>
      <c r="C3649" s="184">
        <v>-111.547212</v>
      </c>
    </row>
    <row r="3650" spans="1:3">
      <c r="A3650" s="184" t="s">
        <v>8624</v>
      </c>
      <c r="B3650" s="184">
        <v>30.572781670000001</v>
      </c>
      <c r="C3650" s="184">
        <v>-111.4463398</v>
      </c>
    </row>
    <row r="3651" spans="1:3">
      <c r="A3651" s="184" t="s">
        <v>8628</v>
      </c>
      <c r="B3651" s="184">
        <v>30.3989391</v>
      </c>
      <c r="C3651" s="184">
        <v>-111.533474</v>
      </c>
    </row>
    <row r="3652" spans="1:3">
      <c r="A3652" s="184" t="s">
        <v>8630</v>
      </c>
      <c r="B3652" s="184">
        <v>30.39926024</v>
      </c>
      <c r="C3652" s="184">
        <v>-111.5325138</v>
      </c>
    </row>
    <row r="3653" spans="1:3">
      <c r="A3653" s="184" t="s">
        <v>8631</v>
      </c>
      <c r="B3653" s="184">
        <v>27.211063710000001</v>
      </c>
      <c r="C3653" s="184">
        <v>-108.89055209999999</v>
      </c>
    </row>
    <row r="3654" spans="1:3">
      <c r="A3654" s="184" t="s">
        <v>8634</v>
      </c>
      <c r="B3654" s="184">
        <v>27.210599999999999</v>
      </c>
      <c r="C3654" s="184">
        <v>-108.89400000000001</v>
      </c>
    </row>
    <row r="3655" spans="1:3">
      <c r="A3655" s="184" t="s">
        <v>8635</v>
      </c>
      <c r="B3655" s="184">
        <v>27.215687540000001</v>
      </c>
      <c r="C3655" s="184">
        <v>-109.0982075</v>
      </c>
    </row>
    <row r="3656" spans="1:3">
      <c r="A3656" s="184" t="s">
        <v>8637</v>
      </c>
      <c r="B3656" s="184">
        <v>21.495709999999999</v>
      </c>
      <c r="C3656" s="184">
        <v>-98.897835000000001</v>
      </c>
    </row>
    <row r="3657" spans="1:3">
      <c r="A3657" s="184" t="s">
        <v>8638</v>
      </c>
      <c r="B3657" s="184">
        <v>22.234119</v>
      </c>
      <c r="C3657" s="184">
        <v>-101.19712699999999</v>
      </c>
    </row>
    <row r="3658" spans="1:3">
      <c r="A3658" s="184" t="s">
        <v>8640</v>
      </c>
      <c r="B3658" s="184">
        <v>22.140561999999999</v>
      </c>
      <c r="C3658" s="184">
        <v>-100.972944</v>
      </c>
    </row>
    <row r="3659" spans="1:3">
      <c r="A3659" s="184" t="s">
        <v>8641</v>
      </c>
      <c r="B3659" s="184">
        <v>21.9404</v>
      </c>
      <c r="C3659" s="184">
        <v>-101.2641</v>
      </c>
    </row>
    <row r="3660" spans="1:3">
      <c r="A3660" s="184" t="s">
        <v>8643</v>
      </c>
      <c r="B3660" s="184">
        <v>22.415500000000002</v>
      </c>
      <c r="C3660" s="184">
        <v>-100.6331</v>
      </c>
    </row>
    <row r="3661" spans="1:3">
      <c r="A3661" s="184" t="s">
        <v>8644</v>
      </c>
      <c r="B3661" s="184">
        <v>22.082533999999999</v>
      </c>
      <c r="C3661" s="184">
        <v>-100.70040299999999</v>
      </c>
    </row>
    <row r="3662" spans="1:3">
      <c r="A3662" s="184" t="s">
        <v>8646</v>
      </c>
      <c r="B3662" s="184">
        <v>22.705811000000001</v>
      </c>
      <c r="C3662" s="184">
        <v>-100.82702399999999</v>
      </c>
    </row>
    <row r="3663" spans="1:3">
      <c r="A3663" s="184" t="s">
        <v>8647</v>
      </c>
      <c r="B3663" s="184">
        <v>22.111332999999998</v>
      </c>
      <c r="C3663" s="184">
        <v>-100.794212</v>
      </c>
    </row>
    <row r="3664" spans="1:3">
      <c r="A3664" s="184" t="s">
        <v>8648</v>
      </c>
      <c r="B3664" s="184">
        <v>22.147925999999998</v>
      </c>
      <c r="C3664" s="184">
        <v>-100.92504599999999</v>
      </c>
    </row>
    <row r="3665" spans="1:3">
      <c r="A3665" s="184" t="s">
        <v>8649</v>
      </c>
      <c r="B3665" s="184">
        <v>22.161864999999999</v>
      </c>
      <c r="C3665" s="184">
        <v>-100.941975</v>
      </c>
    </row>
    <row r="3666" spans="1:3">
      <c r="A3666" s="184" t="s">
        <v>8650</v>
      </c>
      <c r="B3666" s="184">
        <v>22.096387</v>
      </c>
      <c r="C3666" s="184">
        <v>-100.878742</v>
      </c>
    </row>
    <row r="3667" spans="1:3">
      <c r="A3667" s="184" t="s">
        <v>8651</v>
      </c>
      <c r="B3667" s="184">
        <v>22.179600000000001</v>
      </c>
      <c r="C3667" s="184">
        <v>-100.97405999999999</v>
      </c>
    </row>
    <row r="3668" spans="1:3">
      <c r="A3668" s="184" t="s">
        <v>8652</v>
      </c>
      <c r="B3668" s="184">
        <v>22.241785</v>
      </c>
      <c r="C3668" s="184">
        <v>-100.65292100000001</v>
      </c>
    </row>
    <row r="3669" spans="1:3">
      <c r="A3669" s="184" t="s">
        <v>8653</v>
      </c>
      <c r="B3669" s="184">
        <v>22.126843000000001</v>
      </c>
      <c r="C3669" s="184">
        <v>-100.950841</v>
      </c>
    </row>
    <row r="3670" spans="1:3">
      <c r="A3670" s="184" t="s">
        <v>8654</v>
      </c>
      <c r="B3670" s="184">
        <v>22.116387199999998</v>
      </c>
      <c r="C3670" s="184">
        <v>-100.9859955</v>
      </c>
    </row>
    <row r="3671" spans="1:3">
      <c r="A3671" s="184" t="s">
        <v>8655</v>
      </c>
      <c r="B3671" s="184">
        <v>27.075852829999999</v>
      </c>
      <c r="C3671" s="184">
        <v>-109.431371</v>
      </c>
    </row>
    <row r="3672" spans="1:3">
      <c r="A3672" s="184" t="s">
        <v>8658</v>
      </c>
      <c r="B3672" s="184">
        <v>26.666294000000001</v>
      </c>
      <c r="C3672" s="184">
        <v>-108.863514</v>
      </c>
    </row>
    <row r="3673" spans="1:3">
      <c r="A3673" s="184" t="s">
        <v>8660</v>
      </c>
      <c r="B3673" s="184">
        <v>27.556699999999999</v>
      </c>
      <c r="C3673" s="184">
        <v>-110.08799999999999</v>
      </c>
    </row>
    <row r="3674" spans="1:3">
      <c r="A3674" s="184" t="s">
        <v>8662</v>
      </c>
      <c r="B3674" s="184">
        <v>27.383900189999999</v>
      </c>
      <c r="C3674" s="184">
        <v>-110.1218544</v>
      </c>
    </row>
    <row r="3675" spans="1:3">
      <c r="A3675" s="184" t="s">
        <v>8665</v>
      </c>
      <c r="B3675" s="184">
        <v>27.459099999999999</v>
      </c>
      <c r="C3675" s="184">
        <v>-110.113</v>
      </c>
    </row>
    <row r="3676" spans="1:3">
      <c r="A3676" s="184" t="s">
        <v>8667</v>
      </c>
      <c r="B3676" s="184">
        <v>27.58678647</v>
      </c>
      <c r="C3676" s="184">
        <v>-110.0878749</v>
      </c>
    </row>
    <row r="3677" spans="1:3">
      <c r="A3677" s="184" t="s">
        <v>8669</v>
      </c>
      <c r="B3677" s="184">
        <v>27.386399999999998</v>
      </c>
      <c r="C3677" s="184">
        <v>-110.122</v>
      </c>
    </row>
    <row r="3678" spans="1:3">
      <c r="A3678" s="184" t="s">
        <v>8671</v>
      </c>
      <c r="B3678" s="184">
        <v>27.114141719999999</v>
      </c>
      <c r="C3678" s="184">
        <v>-109.7330963</v>
      </c>
    </row>
    <row r="3679" spans="1:3">
      <c r="A3679" s="184" t="s">
        <v>8673</v>
      </c>
      <c r="B3679" s="184">
        <v>27.295100000000001</v>
      </c>
      <c r="C3679" s="184">
        <v>-110.039</v>
      </c>
    </row>
    <row r="3680" spans="1:3">
      <c r="A3680" s="184" t="s">
        <v>8676</v>
      </c>
      <c r="B3680" s="184">
        <v>27.35202172</v>
      </c>
      <c r="C3680" s="184">
        <v>-109.8526454</v>
      </c>
    </row>
    <row r="3681" spans="1:3">
      <c r="A3681" s="184" t="s">
        <v>8678</v>
      </c>
      <c r="B3681" s="184">
        <v>27.487064</v>
      </c>
      <c r="C3681" s="184">
        <v>-109.93911900000001</v>
      </c>
    </row>
    <row r="3682" spans="1:3">
      <c r="A3682" s="184" t="s">
        <v>8681</v>
      </c>
      <c r="B3682" s="184">
        <v>27.458041999999999</v>
      </c>
      <c r="C3682" s="184">
        <v>-109.92402199999999</v>
      </c>
    </row>
    <row r="3683" spans="1:3">
      <c r="A3683" s="184" t="s">
        <v>8682</v>
      </c>
      <c r="B3683" s="184">
        <v>27.487020999999999</v>
      </c>
      <c r="C3683" s="184">
        <v>-109.939599</v>
      </c>
    </row>
    <row r="3684" spans="1:3">
      <c r="A3684" s="184" t="s">
        <v>8683</v>
      </c>
      <c r="B3684" s="184">
        <v>27.484772</v>
      </c>
      <c r="C3684" s="184">
        <v>-109.953754</v>
      </c>
    </row>
    <row r="3685" spans="1:3">
      <c r="A3685" s="184" t="s">
        <v>8684</v>
      </c>
      <c r="B3685" s="184">
        <v>27.484772</v>
      </c>
      <c r="C3685" s="184">
        <v>-109.953754</v>
      </c>
    </row>
    <row r="3686" spans="1:3">
      <c r="A3686" s="184" t="s">
        <v>8685</v>
      </c>
      <c r="B3686" s="184">
        <v>27.45543</v>
      </c>
      <c r="C3686" s="184">
        <v>-109.943213</v>
      </c>
    </row>
    <row r="3687" spans="1:3">
      <c r="A3687" s="184" t="s">
        <v>8687</v>
      </c>
      <c r="B3687" s="184">
        <v>27.512076</v>
      </c>
      <c r="C3687" s="184">
        <v>-109.92157899999999</v>
      </c>
    </row>
    <row r="3688" spans="1:3">
      <c r="A3688" s="184" t="s">
        <v>8688</v>
      </c>
      <c r="B3688" s="184">
        <v>27.484772</v>
      </c>
      <c r="C3688" s="184">
        <v>-109.953754</v>
      </c>
    </row>
    <row r="3689" spans="1:3">
      <c r="A3689" s="184" t="s">
        <v>8689</v>
      </c>
      <c r="B3689" s="184">
        <v>27.455570000000002</v>
      </c>
      <c r="C3689" s="184">
        <v>-109.94314</v>
      </c>
    </row>
    <row r="3690" spans="1:3">
      <c r="A3690" s="184" t="s">
        <v>8690</v>
      </c>
      <c r="B3690" s="184">
        <v>27.455718000000001</v>
      </c>
      <c r="C3690" s="184">
        <v>-109.943281</v>
      </c>
    </row>
    <row r="3691" spans="1:3">
      <c r="A3691" s="184" t="s">
        <v>8691</v>
      </c>
      <c r="B3691" s="184">
        <v>27.428100000000001</v>
      </c>
      <c r="C3691" s="184">
        <v>-110.01900000000001</v>
      </c>
    </row>
    <row r="3692" spans="1:3">
      <c r="A3692" s="184" t="s">
        <v>8693</v>
      </c>
      <c r="B3692" s="184">
        <v>27.53846197</v>
      </c>
      <c r="C3692" s="184">
        <v>-109.9809434</v>
      </c>
    </row>
    <row r="3693" spans="1:3">
      <c r="A3693" s="184" t="s">
        <v>8696</v>
      </c>
      <c r="B3693" s="184">
        <v>27.525072659999999</v>
      </c>
      <c r="C3693" s="184">
        <v>-109.93070059999999</v>
      </c>
    </row>
    <row r="3694" spans="1:3">
      <c r="A3694" s="184" t="s">
        <v>8699</v>
      </c>
      <c r="B3694" s="184">
        <v>27.430039600000001</v>
      </c>
      <c r="C3694" s="184">
        <v>-110.0185711</v>
      </c>
    </row>
    <row r="3695" spans="1:3">
      <c r="A3695" s="184" t="s">
        <v>8701</v>
      </c>
      <c r="B3695" s="184">
        <v>27.372091229999999</v>
      </c>
      <c r="C3695" s="184">
        <v>-109.812038</v>
      </c>
    </row>
    <row r="3696" spans="1:3">
      <c r="A3696" s="184" t="s">
        <v>8703</v>
      </c>
      <c r="B3696" s="184">
        <v>27.371772060000001</v>
      </c>
      <c r="C3696" s="184">
        <v>-109.8124376</v>
      </c>
    </row>
    <row r="3697" spans="1:3">
      <c r="A3697" s="184" t="s">
        <v>8705</v>
      </c>
      <c r="B3697" s="184">
        <v>27.418796700000001</v>
      </c>
      <c r="C3697" s="184">
        <v>-109.9769943</v>
      </c>
    </row>
    <row r="3698" spans="1:3">
      <c r="A3698" s="184" t="s">
        <v>8706</v>
      </c>
      <c r="B3698" s="184">
        <v>27.51112818</v>
      </c>
      <c r="C3698" s="184">
        <v>-110.0557809</v>
      </c>
    </row>
    <row r="3699" spans="1:3">
      <c r="A3699" s="184" t="s">
        <v>8709</v>
      </c>
      <c r="B3699" s="184">
        <v>27.521419059999999</v>
      </c>
      <c r="C3699" s="184">
        <v>-109.8619581</v>
      </c>
    </row>
    <row r="3700" spans="1:3">
      <c r="A3700" s="184" t="s">
        <v>8712</v>
      </c>
      <c r="B3700" s="184">
        <v>27.582193</v>
      </c>
      <c r="C3700" s="184">
        <v>-109.92977999999999</v>
      </c>
    </row>
    <row r="3701" spans="1:3">
      <c r="A3701" s="184" t="s">
        <v>8715</v>
      </c>
      <c r="B3701" s="184">
        <v>27.6294073</v>
      </c>
      <c r="C3701" s="184">
        <v>-109.9662056</v>
      </c>
    </row>
    <row r="3702" spans="1:3">
      <c r="A3702" s="184" t="s">
        <v>8717</v>
      </c>
      <c r="B3702" s="184">
        <v>27.629692460000001</v>
      </c>
      <c r="C3702" s="184">
        <v>-109.9666026</v>
      </c>
    </row>
    <row r="3703" spans="1:3">
      <c r="A3703" s="184" t="s">
        <v>8718</v>
      </c>
      <c r="B3703" s="184">
        <v>27.4832</v>
      </c>
      <c r="C3703" s="184">
        <v>-110.057</v>
      </c>
    </row>
    <row r="3704" spans="1:3">
      <c r="A3704" s="184" t="s">
        <v>8720</v>
      </c>
      <c r="B3704" s="184">
        <v>27.553331320000002</v>
      </c>
      <c r="C3704" s="184">
        <v>-110.0126132</v>
      </c>
    </row>
    <row r="3705" spans="1:3">
      <c r="A3705" s="184" t="s">
        <v>8723</v>
      </c>
      <c r="B3705" s="184">
        <v>27.609781359999999</v>
      </c>
      <c r="C3705" s="184">
        <v>-109.98668859999999</v>
      </c>
    </row>
    <row r="3706" spans="1:3">
      <c r="A3706" s="184" t="s">
        <v>8726</v>
      </c>
      <c r="B3706" s="184">
        <v>27.614276100000001</v>
      </c>
      <c r="C3706" s="184">
        <v>-109.98436220000001</v>
      </c>
    </row>
    <row r="3707" spans="1:3">
      <c r="A3707" s="184" t="s">
        <v>8727</v>
      </c>
      <c r="B3707" s="184">
        <v>27.482744889999999</v>
      </c>
      <c r="C3707" s="184">
        <v>-109.9563182</v>
      </c>
    </row>
    <row r="3708" spans="1:3">
      <c r="A3708" s="184" t="s">
        <v>8729</v>
      </c>
      <c r="B3708" s="184">
        <v>27.367583</v>
      </c>
      <c r="C3708" s="184">
        <v>-109.888374</v>
      </c>
    </row>
    <row r="3709" spans="1:3">
      <c r="A3709" s="184" t="s">
        <v>8731</v>
      </c>
      <c r="B3709" s="184">
        <v>27.278395</v>
      </c>
      <c r="C3709" s="184">
        <v>-109.99680499999999</v>
      </c>
    </row>
    <row r="3710" spans="1:3">
      <c r="A3710" s="184" t="s">
        <v>8733</v>
      </c>
      <c r="B3710" s="184">
        <v>27.356200000000001</v>
      </c>
      <c r="C3710" s="184">
        <v>-110.038</v>
      </c>
    </row>
    <row r="3711" spans="1:3">
      <c r="A3711" s="184" t="s">
        <v>8735</v>
      </c>
      <c r="B3711" s="184">
        <v>27.542574399999999</v>
      </c>
      <c r="C3711" s="184">
        <v>-109.9259428</v>
      </c>
    </row>
    <row r="3712" spans="1:3">
      <c r="A3712" s="184" t="s">
        <v>8737</v>
      </c>
      <c r="B3712" s="184">
        <v>27.42000127</v>
      </c>
      <c r="C3712" s="184">
        <v>-109.8310362</v>
      </c>
    </row>
    <row r="3713" spans="1:3">
      <c r="A3713" s="184" t="s">
        <v>8739</v>
      </c>
      <c r="B3713" s="184">
        <v>27.965486420000001</v>
      </c>
      <c r="C3713" s="184">
        <v>-110.7896537</v>
      </c>
    </row>
    <row r="3714" spans="1:3">
      <c r="A3714" s="184" t="s">
        <v>8742</v>
      </c>
      <c r="B3714" s="184">
        <v>27.958549999999999</v>
      </c>
      <c r="C3714" s="184">
        <v>-110.7824</v>
      </c>
    </row>
    <row r="3715" spans="1:3">
      <c r="A3715" s="184" t="s">
        <v>8743</v>
      </c>
      <c r="B3715" s="184">
        <v>28.051565419999999</v>
      </c>
      <c r="C3715" s="184">
        <v>-110.702656</v>
      </c>
    </row>
    <row r="3716" spans="1:3">
      <c r="A3716" s="184" t="s">
        <v>8744</v>
      </c>
      <c r="B3716" s="184">
        <v>27.075029749999999</v>
      </c>
      <c r="C3716" s="184">
        <v>-109.6520201</v>
      </c>
    </row>
    <row r="3717" spans="1:3">
      <c r="A3717" s="184" t="s">
        <v>8748</v>
      </c>
      <c r="B3717" s="184">
        <v>27.061707510000002</v>
      </c>
      <c r="C3717" s="184">
        <v>-109.6860331</v>
      </c>
    </row>
    <row r="3718" spans="1:3">
      <c r="A3718" s="184" t="s">
        <v>8750</v>
      </c>
      <c r="B3718" s="184">
        <v>27.0041744</v>
      </c>
      <c r="C3718" s="184">
        <v>-109.5838459</v>
      </c>
    </row>
    <row r="3719" spans="1:3">
      <c r="A3719" s="184" t="s">
        <v>8752</v>
      </c>
      <c r="B3719" s="184">
        <v>27.034099999999999</v>
      </c>
      <c r="C3719" s="184">
        <v>-109.5852</v>
      </c>
    </row>
    <row r="3720" spans="1:3">
      <c r="A3720" s="184" t="s">
        <v>8754</v>
      </c>
      <c r="B3720" s="184">
        <v>31.319739999999999</v>
      </c>
      <c r="C3720" s="184">
        <v>-113.537074</v>
      </c>
    </row>
    <row r="3721" spans="1:3">
      <c r="A3721" s="184" t="s">
        <v>8755</v>
      </c>
      <c r="B3721" s="184">
        <v>26.86543782</v>
      </c>
      <c r="C3721" s="184">
        <v>-109.6176682</v>
      </c>
    </row>
    <row r="3722" spans="1:3">
      <c r="A3722" s="184" t="s">
        <v>8757</v>
      </c>
      <c r="B3722" s="184">
        <v>32.200806999999998</v>
      </c>
      <c r="C3722" s="184">
        <v>-115.000418</v>
      </c>
    </row>
    <row r="3723" spans="1:3">
      <c r="A3723" s="184" t="s">
        <v>8759</v>
      </c>
      <c r="B3723" s="184">
        <v>27.0943887</v>
      </c>
      <c r="C3723" s="184">
        <v>-109.6582231</v>
      </c>
    </row>
    <row r="3724" spans="1:3">
      <c r="A3724" s="184" t="s">
        <v>8762</v>
      </c>
      <c r="B3724" s="184">
        <v>26.966768649999999</v>
      </c>
      <c r="C3724" s="184">
        <v>-109.6478146</v>
      </c>
    </row>
    <row r="3725" spans="1:3">
      <c r="A3725" s="184" t="s">
        <v>8765</v>
      </c>
      <c r="B3725" s="184">
        <v>27.064302519999998</v>
      </c>
      <c r="C3725" s="184">
        <v>-109.6075132</v>
      </c>
    </row>
    <row r="3726" spans="1:3">
      <c r="A3726" s="184" t="s">
        <v>8767</v>
      </c>
      <c r="B3726" s="184">
        <v>26.887067519999999</v>
      </c>
      <c r="C3726" s="184">
        <v>-109.6677273</v>
      </c>
    </row>
    <row r="3727" spans="1:3">
      <c r="A3727" s="184" t="s">
        <v>8768</v>
      </c>
      <c r="B3727" s="184">
        <v>26.935052079999998</v>
      </c>
      <c r="C3727" s="184">
        <v>-109.61440140000001</v>
      </c>
    </row>
    <row r="3728" spans="1:3">
      <c r="A3728" s="184" t="s">
        <v>8771</v>
      </c>
      <c r="B3728" s="184">
        <v>26.98678834</v>
      </c>
      <c r="C3728" s="184">
        <v>-109.6112902</v>
      </c>
    </row>
    <row r="3729" spans="1:3">
      <c r="A3729" s="184" t="s">
        <v>8773</v>
      </c>
      <c r="B3729" s="184">
        <v>27.033611000000001</v>
      </c>
      <c r="C3729" s="184">
        <v>-109.567525</v>
      </c>
    </row>
    <row r="3730" spans="1:3">
      <c r="A3730" s="184" t="s">
        <v>8774</v>
      </c>
      <c r="B3730" s="184">
        <v>26.87938643</v>
      </c>
      <c r="C3730" s="184">
        <v>-109.574698</v>
      </c>
    </row>
    <row r="3731" spans="1:3">
      <c r="A3731" s="184" t="s">
        <v>8777</v>
      </c>
      <c r="B3731" s="184">
        <v>27.918989400000001</v>
      </c>
      <c r="C3731" s="184">
        <v>-110.8996277</v>
      </c>
    </row>
    <row r="3732" spans="1:3">
      <c r="A3732" s="184" t="s">
        <v>8781</v>
      </c>
      <c r="B3732" s="184">
        <v>27.946466999999998</v>
      </c>
      <c r="C3732" s="184">
        <v>-110.928997</v>
      </c>
    </row>
    <row r="3733" spans="1:3">
      <c r="A3733" s="184" t="s">
        <v>8783</v>
      </c>
      <c r="B3733" s="184">
        <v>27.946300000000001</v>
      </c>
      <c r="C3733" s="184">
        <v>-110.929463</v>
      </c>
    </row>
    <row r="3734" spans="1:3">
      <c r="A3734" s="184" t="s">
        <v>8784</v>
      </c>
      <c r="B3734" s="184">
        <v>28.376575750000001</v>
      </c>
      <c r="C3734" s="184">
        <v>-110.5353786</v>
      </c>
    </row>
    <row r="3735" spans="1:3">
      <c r="A3735" s="184" t="s">
        <v>8787</v>
      </c>
      <c r="B3735" s="184">
        <v>27.977602350000002</v>
      </c>
      <c r="C3735" s="184">
        <v>-111.02593039999999</v>
      </c>
    </row>
    <row r="3736" spans="1:3">
      <c r="A3736" s="184" t="s">
        <v>8788</v>
      </c>
      <c r="B3736" s="184">
        <v>27.986724580000001</v>
      </c>
      <c r="C3736" s="184">
        <v>-110.88706569999999</v>
      </c>
    </row>
    <row r="3737" spans="1:3">
      <c r="A3737" s="184" t="s">
        <v>8791</v>
      </c>
      <c r="B3737" s="184">
        <v>27.986707410000001</v>
      </c>
      <c r="C3737" s="184">
        <v>-110.8871797</v>
      </c>
    </row>
    <row r="3738" spans="1:3">
      <c r="A3738" s="184" t="s">
        <v>8793</v>
      </c>
      <c r="B3738" s="184">
        <v>27.579463929999999</v>
      </c>
      <c r="C3738" s="184">
        <v>-110.2227644</v>
      </c>
    </row>
    <row r="3739" spans="1:3">
      <c r="A3739" s="184" t="s">
        <v>8796</v>
      </c>
      <c r="B3739" s="184">
        <v>27.58277326</v>
      </c>
      <c r="C3739" s="184">
        <v>-110.32314340000001</v>
      </c>
    </row>
    <row r="3740" spans="1:3">
      <c r="A3740" s="184" t="s">
        <v>8799</v>
      </c>
      <c r="B3740" s="184">
        <v>26.506696030000001</v>
      </c>
      <c r="C3740" s="184">
        <v>-109.1500705</v>
      </c>
    </row>
    <row r="3741" spans="1:3">
      <c r="A3741" s="184" t="s">
        <v>8803</v>
      </c>
      <c r="B3741" s="184">
        <v>26.60339269</v>
      </c>
      <c r="C3741" s="184">
        <v>-109.1755428</v>
      </c>
    </row>
    <row r="3742" spans="1:3">
      <c r="A3742" s="184" t="s">
        <v>8804</v>
      </c>
      <c r="B3742" s="184">
        <v>26.835806999999999</v>
      </c>
      <c r="C3742" s="184">
        <v>-109.639349</v>
      </c>
    </row>
    <row r="3743" spans="1:3">
      <c r="A3743" s="184" t="s">
        <v>8805</v>
      </c>
      <c r="B3743" s="184">
        <v>26.535385609999999</v>
      </c>
      <c r="C3743" s="184">
        <v>-109.1719772</v>
      </c>
    </row>
    <row r="3744" spans="1:3">
      <c r="A3744" s="184" t="s">
        <v>8807</v>
      </c>
      <c r="B3744" s="184">
        <v>26.737595720000002</v>
      </c>
      <c r="C3744" s="184">
        <v>-109.6147878</v>
      </c>
    </row>
    <row r="3745" spans="1:3">
      <c r="A3745" s="184" t="s">
        <v>8809</v>
      </c>
      <c r="B3745" s="184">
        <v>32.457045000000001</v>
      </c>
      <c r="C3745" s="184">
        <v>-114.747024</v>
      </c>
    </row>
    <row r="3746" spans="1:3">
      <c r="A3746" s="184" t="s">
        <v>8810</v>
      </c>
      <c r="B3746" s="184">
        <v>26.732500000000002</v>
      </c>
      <c r="C3746" s="184">
        <v>-109.61499999999999</v>
      </c>
    </row>
    <row r="3747" spans="1:3">
      <c r="A3747" s="184" t="s">
        <v>8811</v>
      </c>
      <c r="B3747" s="184">
        <v>26.64226631</v>
      </c>
      <c r="C3747" s="184">
        <v>-109.2321374</v>
      </c>
    </row>
    <row r="3748" spans="1:3">
      <c r="A3748" s="184" t="s">
        <v>8814</v>
      </c>
      <c r="B3748" s="184">
        <v>26.462174269999998</v>
      </c>
      <c r="C3748" s="184">
        <v>-109.131812</v>
      </c>
    </row>
    <row r="3749" spans="1:3">
      <c r="A3749" s="184" t="s">
        <v>8817</v>
      </c>
      <c r="B3749" s="184">
        <v>27.0247514</v>
      </c>
      <c r="C3749" s="184">
        <v>-109.5297087</v>
      </c>
    </row>
    <row r="3750" spans="1:3">
      <c r="A3750" s="184" t="s">
        <v>8821</v>
      </c>
      <c r="B3750" s="184">
        <v>29.0848768</v>
      </c>
      <c r="C3750" s="184">
        <v>-110.9983232</v>
      </c>
    </row>
    <row r="3751" spans="1:3">
      <c r="A3751" s="184" t="s">
        <v>8824</v>
      </c>
      <c r="B3751" s="184">
        <v>27.073559769999999</v>
      </c>
      <c r="C3751" s="184">
        <v>-109.5259966</v>
      </c>
    </row>
    <row r="3752" spans="1:3">
      <c r="A3752" s="184" t="s">
        <v>8827</v>
      </c>
      <c r="B3752" s="184">
        <v>27.33021415</v>
      </c>
      <c r="C3752" s="184">
        <v>-109.737824</v>
      </c>
    </row>
    <row r="3753" spans="1:3">
      <c r="A3753" s="184" t="s">
        <v>8830</v>
      </c>
      <c r="B3753" s="184">
        <v>31.319662000000001</v>
      </c>
      <c r="C3753" s="184">
        <v>-113.536677</v>
      </c>
    </row>
    <row r="3754" spans="1:3">
      <c r="A3754" s="184" t="s">
        <v>8831</v>
      </c>
      <c r="B3754" s="184">
        <v>32.456896</v>
      </c>
      <c r="C3754" s="184">
        <v>-114.747135</v>
      </c>
    </row>
    <row r="3755" spans="1:3">
      <c r="A3755" s="184" t="s">
        <v>8832</v>
      </c>
      <c r="B3755" s="184">
        <v>27.361787459999999</v>
      </c>
      <c r="C3755" s="184">
        <v>-109.72246490000001</v>
      </c>
    </row>
    <row r="3756" spans="1:3">
      <c r="A3756" s="184" t="s">
        <v>8834</v>
      </c>
      <c r="B3756" s="184">
        <v>27.069946000000002</v>
      </c>
      <c r="C3756" s="184">
        <v>-109.48678</v>
      </c>
    </row>
    <row r="3757" spans="1:3">
      <c r="A3757" s="184" t="s">
        <v>8836</v>
      </c>
      <c r="B3757" s="184">
        <v>27.081678</v>
      </c>
      <c r="C3757" s="184">
        <v>-109.440656</v>
      </c>
    </row>
    <row r="3758" spans="1:3">
      <c r="A3758" s="184" t="s">
        <v>8837</v>
      </c>
      <c r="B3758" s="184">
        <v>27.081678</v>
      </c>
      <c r="C3758" s="184">
        <v>-109.440656</v>
      </c>
    </row>
    <row r="3759" spans="1:3">
      <c r="A3759" s="184" t="s">
        <v>8838</v>
      </c>
      <c r="B3759" s="184">
        <v>27.081678</v>
      </c>
      <c r="C3759" s="184">
        <v>-109.440656</v>
      </c>
    </row>
    <row r="3760" spans="1:3">
      <c r="A3760" s="184" t="s">
        <v>8839</v>
      </c>
      <c r="B3760" s="184">
        <v>27.081678</v>
      </c>
      <c r="C3760" s="184">
        <v>-109.440656</v>
      </c>
    </row>
    <row r="3761" spans="1:3">
      <c r="A3761" s="184" t="s">
        <v>8840</v>
      </c>
      <c r="B3761" s="184">
        <v>27.067899000000001</v>
      </c>
      <c r="C3761" s="184">
        <v>-109.45021800000001</v>
      </c>
    </row>
    <row r="3762" spans="1:3">
      <c r="A3762" s="184" t="s">
        <v>8842</v>
      </c>
      <c r="B3762" s="184">
        <v>27.206280119999999</v>
      </c>
      <c r="C3762" s="184">
        <v>-109.55336130000001</v>
      </c>
    </row>
    <row r="3763" spans="1:3">
      <c r="A3763" s="184" t="s">
        <v>8845</v>
      </c>
      <c r="B3763" s="184">
        <v>27.133773519999998</v>
      </c>
      <c r="C3763" s="184">
        <v>-109.43766460000001</v>
      </c>
    </row>
    <row r="3764" spans="1:3">
      <c r="A3764" s="184" t="s">
        <v>8846</v>
      </c>
      <c r="B3764" s="184">
        <v>27.521500270000001</v>
      </c>
      <c r="C3764" s="184">
        <v>-109.2548316</v>
      </c>
    </row>
    <row r="3765" spans="1:3">
      <c r="A3765" s="184" t="s">
        <v>8848</v>
      </c>
      <c r="B3765" s="184">
        <v>27.520199999999999</v>
      </c>
      <c r="C3765" s="184">
        <v>-109.252</v>
      </c>
    </row>
    <row r="3766" spans="1:3">
      <c r="A3766" s="184" t="s">
        <v>8849</v>
      </c>
      <c r="B3766" s="184">
        <v>32.456809999999997</v>
      </c>
      <c r="C3766" s="184">
        <v>-114.746861</v>
      </c>
    </row>
    <row r="3767" spans="1:3">
      <c r="A3767" s="184" t="s">
        <v>8850</v>
      </c>
      <c r="B3767" s="184">
        <v>27.275894529999999</v>
      </c>
      <c r="C3767" s="184">
        <v>-110.261323</v>
      </c>
    </row>
    <row r="3768" spans="1:3">
      <c r="A3768" s="184" t="s">
        <v>8854</v>
      </c>
      <c r="B3768" s="184">
        <v>27.287874349999999</v>
      </c>
      <c r="C3768" s="184">
        <v>-110.2055385</v>
      </c>
    </row>
    <row r="3769" spans="1:3">
      <c r="A3769" s="184" t="s">
        <v>8856</v>
      </c>
      <c r="B3769" s="184">
        <v>27.372997470000001</v>
      </c>
      <c r="C3769" s="184">
        <v>-110.20846400000001</v>
      </c>
    </row>
    <row r="3770" spans="1:3">
      <c r="A3770" s="184" t="s">
        <v>8859</v>
      </c>
      <c r="B3770" s="184">
        <v>27.443642480000001</v>
      </c>
      <c r="C3770" s="184">
        <v>-110.2340809</v>
      </c>
    </row>
    <row r="3771" spans="1:3">
      <c r="A3771" s="184" t="s">
        <v>8861</v>
      </c>
      <c r="B3771" s="184">
        <v>24.056052000000001</v>
      </c>
      <c r="C3771" s="184">
        <v>-98.376564000000002</v>
      </c>
    </row>
    <row r="3772" spans="1:3">
      <c r="A3772" s="184" t="s">
        <v>8862</v>
      </c>
      <c r="B3772" s="184">
        <v>24.065135999999999</v>
      </c>
      <c r="C3772" s="184">
        <v>-98.391698000000005</v>
      </c>
    </row>
    <row r="3773" spans="1:3">
      <c r="A3773" s="184" t="s">
        <v>8863</v>
      </c>
      <c r="B3773" s="184">
        <v>23.597498999999999</v>
      </c>
      <c r="C3773" s="184">
        <v>-98.942043999999996</v>
      </c>
    </row>
    <row r="3774" spans="1:3">
      <c r="A3774" s="184" t="s">
        <v>8865</v>
      </c>
      <c r="B3774" s="184">
        <v>26.228977</v>
      </c>
      <c r="C3774" s="184">
        <v>-98.602181999999999</v>
      </c>
    </row>
    <row r="3775" spans="1:3">
      <c r="A3775" s="184" t="s">
        <v>8868</v>
      </c>
      <c r="B3775" s="184">
        <v>23.407157000000002</v>
      </c>
      <c r="C3775" s="184">
        <v>-99.381067999999999</v>
      </c>
    </row>
    <row r="3776" spans="1:3">
      <c r="A3776" s="184" t="s">
        <v>8869</v>
      </c>
      <c r="B3776" s="184">
        <v>22.752388</v>
      </c>
      <c r="C3776" s="184">
        <v>-98.958951999999996</v>
      </c>
    </row>
    <row r="3777" spans="1:3">
      <c r="A3777" s="184" t="s">
        <v>8870</v>
      </c>
      <c r="B3777" s="184">
        <v>25.887730999999999</v>
      </c>
      <c r="C3777" s="184">
        <v>-97.538398999999998</v>
      </c>
    </row>
    <row r="3778" spans="1:3">
      <c r="A3778" s="184" t="s">
        <v>8871</v>
      </c>
      <c r="B3778" s="184">
        <v>25.847003999999998</v>
      </c>
      <c r="C3778" s="184">
        <v>-97.476118999999997</v>
      </c>
    </row>
    <row r="3779" spans="1:3">
      <c r="A3779" s="184" t="s">
        <v>8872</v>
      </c>
      <c r="B3779" s="184">
        <v>25.846446</v>
      </c>
      <c r="C3779" s="184">
        <v>-97.468818999999996</v>
      </c>
    </row>
    <row r="3780" spans="1:3">
      <c r="A3780" s="184" t="s">
        <v>8873</v>
      </c>
      <c r="B3780" s="184">
        <v>25.854455000000002</v>
      </c>
      <c r="C3780" s="184">
        <v>-97.515456</v>
      </c>
    </row>
    <row r="3781" spans="1:3">
      <c r="A3781" s="184" t="s">
        <v>8874</v>
      </c>
      <c r="B3781" s="184">
        <v>25.867111000000001</v>
      </c>
      <c r="C3781" s="184">
        <v>-97.521077000000005</v>
      </c>
    </row>
    <row r="3782" spans="1:3">
      <c r="A3782" s="184" t="s">
        <v>8875</v>
      </c>
      <c r="B3782" s="184">
        <v>25.839175999999998</v>
      </c>
      <c r="C3782" s="184">
        <v>-97.471442999999994</v>
      </c>
    </row>
    <row r="3783" spans="1:3">
      <c r="A3783" s="184" t="s">
        <v>8876</v>
      </c>
      <c r="B3783" s="184">
        <v>25.865684999999999</v>
      </c>
      <c r="C3783" s="184">
        <v>-97.469883999999993</v>
      </c>
    </row>
    <row r="3784" spans="1:3">
      <c r="A3784" s="184" t="s">
        <v>8877</v>
      </c>
      <c r="B3784" s="184">
        <v>25.832146000000002</v>
      </c>
      <c r="C3784" s="184">
        <v>-97.456095000000005</v>
      </c>
    </row>
    <row r="3785" spans="1:3">
      <c r="A3785" s="184" t="s">
        <v>8878</v>
      </c>
      <c r="B3785" s="184">
        <v>25.870706999999999</v>
      </c>
      <c r="C3785" s="184">
        <v>-97.525446000000002</v>
      </c>
    </row>
    <row r="3786" spans="1:3">
      <c r="A3786" s="184" t="s">
        <v>8879</v>
      </c>
      <c r="B3786" s="184">
        <v>25.859231000000001</v>
      </c>
      <c r="C3786" s="184">
        <v>-97.503601000000003</v>
      </c>
    </row>
    <row r="3787" spans="1:3">
      <c r="A3787" s="184" t="s">
        <v>8880</v>
      </c>
      <c r="B3787" s="184">
        <v>25.699891000000001</v>
      </c>
      <c r="C3787" s="184">
        <v>-97.638186000000005</v>
      </c>
    </row>
    <row r="3788" spans="1:3">
      <c r="A3788" s="184" t="s">
        <v>8882</v>
      </c>
      <c r="B3788" s="184">
        <v>25.959005999999999</v>
      </c>
      <c r="C3788" s="184">
        <v>-97.813248000000002</v>
      </c>
    </row>
    <row r="3789" spans="1:3">
      <c r="A3789" s="184" t="s">
        <v>8884</v>
      </c>
      <c r="B3789" s="184">
        <v>25.762121</v>
      </c>
      <c r="C3789" s="184">
        <v>-97.544503000000006</v>
      </c>
    </row>
    <row r="3790" spans="1:3">
      <c r="A3790" s="184" t="s">
        <v>8886</v>
      </c>
      <c r="B3790" s="184">
        <v>25.948550999999998</v>
      </c>
      <c r="C3790" s="184">
        <v>-97.771827000000002</v>
      </c>
    </row>
    <row r="3791" spans="1:3">
      <c r="A3791" s="184" t="s">
        <v>8888</v>
      </c>
      <c r="B3791" s="184">
        <v>27.485904000000001</v>
      </c>
      <c r="C3791" s="184">
        <v>-99.504271000000003</v>
      </c>
    </row>
    <row r="3792" spans="1:3">
      <c r="A3792" s="184" t="s">
        <v>8889</v>
      </c>
      <c r="B3792" s="184">
        <v>27.493243</v>
      </c>
      <c r="C3792" s="184">
        <v>-99.531614000000005</v>
      </c>
    </row>
    <row r="3793" spans="1:3">
      <c r="A3793" s="184" t="s">
        <v>8890</v>
      </c>
      <c r="B3793" s="184">
        <v>27.466887</v>
      </c>
      <c r="C3793" s="184">
        <v>-99.537199000000001</v>
      </c>
    </row>
    <row r="3794" spans="1:3">
      <c r="A3794" s="184" t="s">
        <v>8891</v>
      </c>
      <c r="B3794" s="184">
        <v>27.465523000000001</v>
      </c>
      <c r="C3794" s="184">
        <v>-99.552682000000004</v>
      </c>
    </row>
    <row r="3795" spans="1:3">
      <c r="A3795" s="184" t="s">
        <v>8892</v>
      </c>
      <c r="B3795" s="184">
        <v>27.490950999999999</v>
      </c>
      <c r="C3795" s="184">
        <v>-99.552785</v>
      </c>
    </row>
    <row r="3796" spans="1:3">
      <c r="A3796" s="184" t="s">
        <v>8893</v>
      </c>
      <c r="B3796" s="184">
        <v>27.475221999999999</v>
      </c>
      <c r="C3796" s="184">
        <v>-99.527645000000007</v>
      </c>
    </row>
    <row r="3797" spans="1:3">
      <c r="A3797" s="184" t="s">
        <v>8894</v>
      </c>
      <c r="B3797" s="184">
        <v>27.503944000000001</v>
      </c>
      <c r="C3797" s="184">
        <v>-99.547506999999996</v>
      </c>
    </row>
    <row r="3798" spans="1:3">
      <c r="A3798" s="184" t="s">
        <v>8895</v>
      </c>
      <c r="B3798" s="184">
        <v>27.480127</v>
      </c>
      <c r="C3798" s="184">
        <v>-99.554796999999994</v>
      </c>
    </row>
    <row r="3799" spans="1:3">
      <c r="A3799" s="184" t="s">
        <v>8896</v>
      </c>
      <c r="B3799" s="184">
        <v>27.495173999999999</v>
      </c>
      <c r="C3799" s="184">
        <v>-99.521255999999994</v>
      </c>
    </row>
    <row r="3800" spans="1:3">
      <c r="A3800" s="184" t="s">
        <v>8897</v>
      </c>
      <c r="B3800" s="184">
        <v>26.075709</v>
      </c>
      <c r="C3800" s="184">
        <v>-98.265463999999994</v>
      </c>
    </row>
    <row r="3801" spans="1:3">
      <c r="A3801" s="184" t="s">
        <v>8898</v>
      </c>
      <c r="B3801" s="184">
        <v>26.058916</v>
      </c>
      <c r="C3801" s="184">
        <v>-98.283658000000003</v>
      </c>
    </row>
    <row r="3802" spans="1:3">
      <c r="A3802" s="184" t="s">
        <v>8899</v>
      </c>
      <c r="B3802" s="184">
        <v>26.055613000000001</v>
      </c>
      <c r="C3802" s="184">
        <v>-98.380279999999999</v>
      </c>
    </row>
    <row r="3803" spans="1:3">
      <c r="A3803" s="184" t="s">
        <v>8900</v>
      </c>
      <c r="B3803" s="184">
        <v>26.024653000000001</v>
      </c>
      <c r="C3803" s="184">
        <v>-98.272233</v>
      </c>
    </row>
    <row r="3804" spans="1:3">
      <c r="A3804" s="184" t="s">
        <v>8901</v>
      </c>
      <c r="B3804" s="184">
        <v>26.028565</v>
      </c>
      <c r="C3804" s="184">
        <v>-98.226847000000006</v>
      </c>
    </row>
    <row r="3805" spans="1:3">
      <c r="A3805" s="184" t="s">
        <v>8902</v>
      </c>
      <c r="B3805" s="184">
        <v>26.041398000000001</v>
      </c>
      <c r="C3805" s="184">
        <v>-98.306267000000005</v>
      </c>
    </row>
    <row r="3806" spans="1:3">
      <c r="A3806" s="184" t="s">
        <v>8903</v>
      </c>
      <c r="B3806" s="184">
        <v>26.103884000000001</v>
      </c>
      <c r="C3806" s="184">
        <v>-98.326037999999997</v>
      </c>
    </row>
    <row r="3807" spans="1:3">
      <c r="A3807" s="184" t="s">
        <v>8904</v>
      </c>
      <c r="B3807" s="184">
        <v>26.054075000000001</v>
      </c>
      <c r="C3807" s="184">
        <v>-97.952934999999997</v>
      </c>
    </row>
    <row r="3808" spans="1:3">
      <c r="A3808" s="184" t="s">
        <v>8906</v>
      </c>
      <c r="B3808" s="184">
        <v>24.853304000000001</v>
      </c>
      <c r="C3808" s="184">
        <v>-98.152894000000003</v>
      </c>
    </row>
    <row r="3809" spans="1:3">
      <c r="A3809" s="184" t="s">
        <v>8907</v>
      </c>
      <c r="B3809" s="184">
        <v>24.838663</v>
      </c>
      <c r="C3809" s="184">
        <v>-98.142769000000001</v>
      </c>
    </row>
    <row r="3810" spans="1:3">
      <c r="A3810" s="184" t="s">
        <v>8908</v>
      </c>
      <c r="B3810" s="184">
        <v>24.833178</v>
      </c>
      <c r="C3810" s="184">
        <v>-98.150212999999994</v>
      </c>
    </row>
    <row r="3811" spans="1:3">
      <c r="A3811" s="184" t="s">
        <v>8909</v>
      </c>
      <c r="B3811" s="184">
        <v>24.845068999999999</v>
      </c>
      <c r="C3811" s="184">
        <v>-98.165208000000007</v>
      </c>
    </row>
    <row r="3812" spans="1:3">
      <c r="A3812" s="184" t="s">
        <v>8910</v>
      </c>
      <c r="B3812" s="184">
        <v>24.853981000000001</v>
      </c>
      <c r="C3812" s="184">
        <v>-98.133212</v>
      </c>
    </row>
    <row r="3813" spans="1:3">
      <c r="A3813" s="184" t="s">
        <v>8911</v>
      </c>
      <c r="B3813" s="184">
        <v>24.856857000000002</v>
      </c>
      <c r="C3813" s="184">
        <v>-98.157441000000006</v>
      </c>
    </row>
    <row r="3814" spans="1:3">
      <c r="A3814" s="184" t="s">
        <v>8912</v>
      </c>
      <c r="B3814" s="184">
        <v>23.721793999999999</v>
      </c>
      <c r="C3814" s="184">
        <v>-99.163718000000003</v>
      </c>
    </row>
    <row r="3815" spans="1:3">
      <c r="A3815" s="184" t="s">
        <v>8914</v>
      </c>
      <c r="B3815" s="184">
        <v>23.728095</v>
      </c>
      <c r="C3815" s="184">
        <v>-99.157252999999997</v>
      </c>
    </row>
    <row r="3816" spans="1:3">
      <c r="A3816" s="184" t="s">
        <v>8915</v>
      </c>
      <c r="B3816" s="184">
        <v>23.748325999999999</v>
      </c>
      <c r="C3816" s="184">
        <v>-99.137855000000002</v>
      </c>
    </row>
    <row r="3817" spans="1:3">
      <c r="A3817" s="184" t="s">
        <v>8916</v>
      </c>
      <c r="B3817" s="184">
        <v>23.709329</v>
      </c>
      <c r="C3817" s="184">
        <v>-99.162907000000004</v>
      </c>
    </row>
    <row r="3818" spans="1:3">
      <c r="A3818" s="184" t="s">
        <v>8917</v>
      </c>
      <c r="B3818" s="184">
        <v>23.702629000000002</v>
      </c>
      <c r="C3818" s="184">
        <v>-99.178196999999997</v>
      </c>
    </row>
    <row r="3819" spans="1:3">
      <c r="A3819" s="184" t="s">
        <v>8918</v>
      </c>
      <c r="B3819" s="184">
        <v>23.727001999999999</v>
      </c>
      <c r="C3819" s="184">
        <v>-99.171352999999996</v>
      </c>
    </row>
    <row r="3820" spans="1:3">
      <c r="A3820" s="184" t="s">
        <v>8919</v>
      </c>
      <c r="B3820" s="184">
        <v>23.751211999999999</v>
      </c>
      <c r="C3820" s="184">
        <v>-99.114176999999998</v>
      </c>
    </row>
    <row r="3821" spans="1:3">
      <c r="A3821" s="184" t="s">
        <v>8920</v>
      </c>
      <c r="B3821" s="184">
        <v>23.713771000000001</v>
      </c>
      <c r="C3821" s="184">
        <v>-99.182760999999999</v>
      </c>
    </row>
    <row r="3822" spans="1:3">
      <c r="A3822" s="184" t="s">
        <v>8921</v>
      </c>
      <c r="B3822" s="184">
        <v>23.742930999999999</v>
      </c>
      <c r="C3822" s="184">
        <v>-99.121602999999993</v>
      </c>
    </row>
    <row r="3823" spans="1:3">
      <c r="A3823" s="184" t="s">
        <v>8922</v>
      </c>
      <c r="B3823" s="184">
        <v>23.761987000000001</v>
      </c>
      <c r="C3823" s="184">
        <v>-99.163172000000003</v>
      </c>
    </row>
    <row r="3824" spans="1:3">
      <c r="A3824" s="184" t="s">
        <v>8923</v>
      </c>
      <c r="B3824" s="184">
        <v>23.720206000000001</v>
      </c>
      <c r="C3824" s="184">
        <v>-99.148805999999993</v>
      </c>
    </row>
    <row r="3825" spans="1:3">
      <c r="A3825" s="184" t="s">
        <v>8924</v>
      </c>
      <c r="B3825" s="184">
        <v>23.741765000000001</v>
      </c>
      <c r="C3825" s="184">
        <v>-99.105583999999993</v>
      </c>
    </row>
    <row r="3826" spans="1:3">
      <c r="A3826" s="184" t="s">
        <v>8925</v>
      </c>
      <c r="B3826" s="184">
        <v>23.407349</v>
      </c>
      <c r="C3826" s="184">
        <v>-99.381046999999995</v>
      </c>
    </row>
    <row r="3827" spans="1:3">
      <c r="A3827" s="184" t="s">
        <v>8926</v>
      </c>
      <c r="B3827" s="184">
        <v>27.515727999999999</v>
      </c>
      <c r="C3827" s="184">
        <v>-99.568483999999998</v>
      </c>
    </row>
    <row r="3828" spans="1:3">
      <c r="A3828" s="184" t="s">
        <v>8927</v>
      </c>
      <c r="B3828" s="184">
        <v>23.747738999999999</v>
      </c>
      <c r="C3828" s="184">
        <v>-99.105592000000001</v>
      </c>
    </row>
    <row r="3829" spans="1:3">
      <c r="A3829" s="184" t="s">
        <v>8928</v>
      </c>
      <c r="B3829" s="184">
        <v>23.733747999999999</v>
      </c>
      <c r="C3829" s="184">
        <v>-99.113208999999998</v>
      </c>
    </row>
    <row r="3830" spans="1:3">
      <c r="A3830" s="184" t="s">
        <v>8929</v>
      </c>
      <c r="B3830" s="184">
        <v>27.461697999999998</v>
      </c>
      <c r="C3830" s="184">
        <v>-99.529336000000001</v>
      </c>
    </row>
    <row r="3831" spans="1:3">
      <c r="A3831" s="184" t="s">
        <v>8930</v>
      </c>
      <c r="B3831" s="184">
        <v>26.070914999999999</v>
      </c>
      <c r="C3831" s="184">
        <v>-98.347016999999994</v>
      </c>
    </row>
    <row r="3832" spans="1:3">
      <c r="A3832" s="184" t="s">
        <v>8931</v>
      </c>
      <c r="B3832" s="184">
        <v>25.991873999999999</v>
      </c>
      <c r="C3832" s="184">
        <v>-98.114997000000002</v>
      </c>
    </row>
    <row r="3833" spans="1:3">
      <c r="A3833" s="184" t="s">
        <v>8932</v>
      </c>
      <c r="B3833" s="184">
        <v>23.005233</v>
      </c>
      <c r="C3833" s="184">
        <v>-99.703643999999997</v>
      </c>
    </row>
    <row r="3834" spans="1:3">
      <c r="A3834" s="184" t="s">
        <v>8934</v>
      </c>
      <c r="B3834" s="184">
        <v>23.720206000000001</v>
      </c>
      <c r="C3834" s="184">
        <v>-99.148805999999993</v>
      </c>
    </row>
    <row r="3835" spans="1:3">
      <c r="A3835" s="184" t="s">
        <v>8935</v>
      </c>
      <c r="B3835" s="184">
        <v>23.435158999999999</v>
      </c>
      <c r="C3835" s="184">
        <v>-99.758152999999993</v>
      </c>
    </row>
    <row r="3836" spans="1:3">
      <c r="A3836" s="184" t="s">
        <v>8936</v>
      </c>
      <c r="B3836" s="184">
        <v>27.509945999999999</v>
      </c>
      <c r="C3836" s="184">
        <v>-99.601671999999994</v>
      </c>
    </row>
    <row r="3837" spans="1:3">
      <c r="A3837" s="184" t="s">
        <v>8937</v>
      </c>
      <c r="B3837" s="184">
        <v>27.476752999999999</v>
      </c>
      <c r="C3837" s="184">
        <v>-99.546486000000002</v>
      </c>
    </row>
    <row r="3838" spans="1:3">
      <c r="A3838" s="184" t="s">
        <v>8938</v>
      </c>
      <c r="B3838" s="184">
        <v>22.727022000000002</v>
      </c>
      <c r="C3838" s="184">
        <v>-98.969549000000001</v>
      </c>
    </row>
    <row r="3839" spans="1:3">
      <c r="A3839" s="184" t="s">
        <v>8939</v>
      </c>
      <c r="B3839" s="184">
        <v>23.005331000000002</v>
      </c>
      <c r="C3839" s="184">
        <v>-99.703710999999998</v>
      </c>
    </row>
    <row r="3840" spans="1:3">
      <c r="A3840" s="184" t="s">
        <v>8940</v>
      </c>
      <c r="B3840" s="184">
        <v>25.859461</v>
      </c>
      <c r="C3840" s="184">
        <v>-97.503243999999995</v>
      </c>
    </row>
    <row r="3841" spans="1:3">
      <c r="A3841" s="184" t="s">
        <v>8941</v>
      </c>
      <c r="B3841" s="184">
        <v>23.407126999999999</v>
      </c>
      <c r="C3841" s="184">
        <v>-99.381088000000005</v>
      </c>
    </row>
    <row r="3842" spans="1:3">
      <c r="A3842" s="184" t="s">
        <v>8942</v>
      </c>
      <c r="B3842" s="184">
        <v>24.582910999999999</v>
      </c>
      <c r="C3842" s="184">
        <v>-98.943489</v>
      </c>
    </row>
    <row r="3843" spans="1:3">
      <c r="A3843" s="184" t="s">
        <v>8943</v>
      </c>
      <c r="B3843" s="184">
        <v>23.720206000000001</v>
      </c>
      <c r="C3843" s="184">
        <v>-99.148805999999993</v>
      </c>
    </row>
    <row r="3844" spans="1:3">
      <c r="A3844" s="184" t="s">
        <v>8944</v>
      </c>
      <c r="B3844" s="184">
        <v>24.582910999999999</v>
      </c>
      <c r="C3844" s="184">
        <v>-98.943489</v>
      </c>
    </row>
    <row r="3845" spans="1:3">
      <c r="A3845" s="184" t="s">
        <v>8945</v>
      </c>
      <c r="B3845" s="184">
        <v>25.992025000000002</v>
      </c>
      <c r="C3845" s="184">
        <v>-98.115251000000001</v>
      </c>
    </row>
    <row r="3846" spans="1:3">
      <c r="A3846" s="184" t="s">
        <v>8946</v>
      </c>
      <c r="B3846" s="184">
        <v>26.013586</v>
      </c>
      <c r="C3846" s="184">
        <v>-98.262271999999996</v>
      </c>
    </row>
    <row r="3847" spans="1:3">
      <c r="A3847" s="184" t="s">
        <v>8947</v>
      </c>
      <c r="B3847" s="184">
        <v>26.028666999999999</v>
      </c>
      <c r="C3847" s="184">
        <v>-98.226583000000005</v>
      </c>
    </row>
    <row r="3848" spans="1:3">
      <c r="A3848" s="184" t="s">
        <v>8948</v>
      </c>
      <c r="B3848" s="184">
        <v>24.853258</v>
      </c>
      <c r="C3848" s="184">
        <v>-98.134798000000004</v>
      </c>
    </row>
    <row r="3849" spans="1:3">
      <c r="A3849" s="184" t="s">
        <v>8949</v>
      </c>
      <c r="B3849" s="184">
        <v>23.751415999999999</v>
      </c>
      <c r="C3849" s="184">
        <v>-99.113924999999995</v>
      </c>
    </row>
    <row r="3850" spans="1:3">
      <c r="A3850" s="184" t="s">
        <v>8950</v>
      </c>
      <c r="B3850" s="184">
        <v>23.751484999999999</v>
      </c>
      <c r="C3850" s="184">
        <v>-99.113714999999999</v>
      </c>
    </row>
    <row r="3851" spans="1:3">
      <c r="A3851" s="184" t="s">
        <v>8951</v>
      </c>
      <c r="B3851" s="184">
        <v>27.461966</v>
      </c>
      <c r="C3851" s="184">
        <v>-99.529336999999998</v>
      </c>
    </row>
    <row r="3852" spans="1:3">
      <c r="A3852" s="184" t="s">
        <v>8952</v>
      </c>
      <c r="B3852" s="184">
        <v>25.818124999999998</v>
      </c>
      <c r="C3852" s="184">
        <v>-97.523301000000004</v>
      </c>
    </row>
    <row r="3853" spans="1:3">
      <c r="A3853" s="184" t="s">
        <v>8953</v>
      </c>
      <c r="B3853" s="184">
        <v>23.407816</v>
      </c>
      <c r="C3853" s="184">
        <v>-99.381038000000004</v>
      </c>
    </row>
    <row r="3854" spans="1:3">
      <c r="A3854" s="184" t="s">
        <v>8954</v>
      </c>
      <c r="B3854" s="184">
        <v>27.467317000000001</v>
      </c>
      <c r="C3854" s="184">
        <v>-99.591730999999996</v>
      </c>
    </row>
    <row r="3855" spans="1:3">
      <c r="A3855" s="184" t="s">
        <v>8955</v>
      </c>
      <c r="B3855" s="184">
        <v>27.462755000000001</v>
      </c>
      <c r="C3855" s="184">
        <v>-99.552688000000003</v>
      </c>
    </row>
    <row r="3856" spans="1:3">
      <c r="A3856" s="184" t="s">
        <v>8956</v>
      </c>
      <c r="B3856" s="184">
        <v>27.481013000000001</v>
      </c>
      <c r="C3856" s="184">
        <v>-99.584022000000004</v>
      </c>
    </row>
    <row r="3857" spans="1:3">
      <c r="A3857" s="184" t="s">
        <v>8957</v>
      </c>
      <c r="B3857" s="184">
        <v>24.843513000000002</v>
      </c>
      <c r="C3857" s="184">
        <v>-98.125635000000003</v>
      </c>
    </row>
    <row r="3858" spans="1:3">
      <c r="A3858" s="184" t="s">
        <v>8958</v>
      </c>
      <c r="B3858" s="184">
        <v>24.861208999999999</v>
      </c>
      <c r="C3858" s="184">
        <v>-98.168453999999997</v>
      </c>
    </row>
    <row r="3859" spans="1:3">
      <c r="A3859" s="184" t="s">
        <v>8959</v>
      </c>
      <c r="B3859" s="184">
        <v>25.994527000000001</v>
      </c>
      <c r="C3859" s="184">
        <v>-98.123613000000006</v>
      </c>
    </row>
    <row r="3860" spans="1:3">
      <c r="A3860" s="184" t="s">
        <v>8960</v>
      </c>
      <c r="B3860" s="184">
        <v>26.035399000000002</v>
      </c>
      <c r="C3860" s="184">
        <v>-98.384809000000004</v>
      </c>
    </row>
    <row r="3861" spans="1:3">
      <c r="A3861" s="184" t="s">
        <v>8961</v>
      </c>
      <c r="B3861" s="184">
        <v>23.736395000000002</v>
      </c>
      <c r="C3861" s="184">
        <v>-99.114391999999995</v>
      </c>
    </row>
    <row r="3862" spans="1:3">
      <c r="A3862" s="184" t="s">
        <v>8962</v>
      </c>
      <c r="B3862" s="184">
        <v>25.808416000000001</v>
      </c>
      <c r="C3862" s="184">
        <v>-97.508824000000004</v>
      </c>
    </row>
    <row r="3863" spans="1:3">
      <c r="A3863" s="184" t="s">
        <v>8963</v>
      </c>
      <c r="B3863" s="184">
        <v>25.818114000000001</v>
      </c>
      <c r="C3863" s="184">
        <v>-97.523122999999998</v>
      </c>
    </row>
    <row r="3864" spans="1:3">
      <c r="A3864" s="184" t="s">
        <v>8964</v>
      </c>
      <c r="B3864" s="184">
        <v>26.563224999999999</v>
      </c>
      <c r="C3864" s="184">
        <v>-99.229516000000004</v>
      </c>
    </row>
    <row r="3865" spans="1:3">
      <c r="A3865" s="184" t="s">
        <v>8966</v>
      </c>
      <c r="B3865" s="184">
        <v>27.462036000000001</v>
      </c>
      <c r="C3865" s="184">
        <v>-99.529347999999999</v>
      </c>
    </row>
    <row r="3866" spans="1:3">
      <c r="A3866" s="184" t="s">
        <v>8967</v>
      </c>
      <c r="B3866" s="184">
        <v>26.071628</v>
      </c>
      <c r="C3866" s="184">
        <v>-98.286754000000002</v>
      </c>
    </row>
    <row r="3867" spans="1:3">
      <c r="A3867" s="184" t="s">
        <v>8968</v>
      </c>
      <c r="B3867" s="184">
        <v>27.476659000000001</v>
      </c>
      <c r="C3867" s="184">
        <v>-99.546701999999996</v>
      </c>
    </row>
    <row r="3868" spans="1:3">
      <c r="A3868" s="184" t="s">
        <v>8969</v>
      </c>
      <c r="B3868" s="184">
        <v>23.735256</v>
      </c>
      <c r="C3868" s="184">
        <v>-99.152237</v>
      </c>
    </row>
    <row r="3869" spans="1:3">
      <c r="A3869" s="184" t="s">
        <v>8970</v>
      </c>
      <c r="B3869" s="184">
        <v>27.477285999999999</v>
      </c>
      <c r="C3869" s="184">
        <v>-99.547320999999997</v>
      </c>
    </row>
    <row r="3870" spans="1:3">
      <c r="A3870" s="184" t="s">
        <v>8971</v>
      </c>
      <c r="B3870" s="184">
        <v>27.465955999999998</v>
      </c>
      <c r="C3870" s="184">
        <v>-99.528291999999993</v>
      </c>
    </row>
    <row r="3871" spans="1:3">
      <c r="A3871" s="184" t="s">
        <v>8972</v>
      </c>
      <c r="B3871" s="184">
        <v>25.807561</v>
      </c>
      <c r="C3871" s="184">
        <v>-97.493981000000005</v>
      </c>
    </row>
    <row r="3872" spans="1:3">
      <c r="A3872" s="184" t="s">
        <v>8973</v>
      </c>
      <c r="B3872" s="184">
        <v>25.762121</v>
      </c>
      <c r="C3872" s="184">
        <v>-97.544503000000006</v>
      </c>
    </row>
    <row r="3873" spans="1:3">
      <c r="A3873" s="184" t="s">
        <v>8974</v>
      </c>
      <c r="B3873" s="184">
        <v>22.06814455</v>
      </c>
      <c r="C3873" s="184">
        <v>-99.626579620000001</v>
      </c>
    </row>
    <row r="3874" spans="1:3">
      <c r="A3874" s="184" t="s">
        <v>8978</v>
      </c>
      <c r="B3874" s="184">
        <v>19.85777075</v>
      </c>
      <c r="C3874" s="184">
        <v>-97.494934319999999</v>
      </c>
    </row>
    <row r="3875" spans="1:3">
      <c r="A3875" s="184" t="s">
        <v>8983</v>
      </c>
      <c r="B3875" s="184">
        <v>20.143096450000002</v>
      </c>
      <c r="C3875" s="184">
        <v>-97.945378289999994</v>
      </c>
    </row>
    <row r="3876" spans="1:3">
      <c r="A3876" s="184" t="s">
        <v>8986</v>
      </c>
      <c r="B3876" s="184">
        <v>21.54605652</v>
      </c>
      <c r="C3876" s="184">
        <v>-98.967103499999993</v>
      </c>
    </row>
    <row r="3877" spans="1:3">
      <c r="A3877" s="184" t="s">
        <v>8989</v>
      </c>
      <c r="B3877" s="184">
        <v>20.14563746</v>
      </c>
      <c r="C3877" s="184">
        <v>-98.035106830000004</v>
      </c>
    </row>
    <row r="3878" spans="1:3">
      <c r="A3878" s="184" t="s">
        <v>8992</v>
      </c>
      <c r="B3878" s="184">
        <v>19.82907827</v>
      </c>
      <c r="C3878" s="184">
        <v>-97.506021869999998</v>
      </c>
    </row>
    <row r="3879" spans="1:3">
      <c r="A3879" s="184" t="s">
        <v>8995</v>
      </c>
      <c r="B3879" s="184">
        <v>20.22361325</v>
      </c>
      <c r="C3879" s="184">
        <v>-98.118394409999993</v>
      </c>
    </row>
    <row r="3880" spans="1:3">
      <c r="A3880" s="184" t="s">
        <v>8999</v>
      </c>
      <c r="B3880" s="184">
        <v>20.2753464</v>
      </c>
      <c r="C3880" s="184">
        <v>-97.958835840000006</v>
      </c>
    </row>
    <row r="3881" spans="1:3">
      <c r="A3881" s="184" t="s">
        <v>9000</v>
      </c>
      <c r="B3881" s="184">
        <v>19.916260340000001</v>
      </c>
      <c r="C3881" s="184">
        <v>-97.63960247</v>
      </c>
    </row>
    <row r="3882" spans="1:3">
      <c r="A3882" s="184" t="s">
        <v>9003</v>
      </c>
      <c r="B3882" s="184">
        <v>19.82623744</v>
      </c>
      <c r="C3882" s="184">
        <v>-97.555581119999999</v>
      </c>
    </row>
    <row r="3883" spans="1:3">
      <c r="A3883" s="184" t="s">
        <v>9006</v>
      </c>
      <c r="B3883" s="184">
        <v>20.165775929999999</v>
      </c>
      <c r="C3883" s="184">
        <v>-98.055966100000006</v>
      </c>
    </row>
    <row r="3884" spans="1:3">
      <c r="A3884" s="184" t="s">
        <v>9007</v>
      </c>
      <c r="B3884" s="184">
        <v>19.878391239999999</v>
      </c>
      <c r="C3884" s="184">
        <v>-97.846339229999998</v>
      </c>
    </row>
    <row r="3885" spans="1:3">
      <c r="A3885" s="184" t="s">
        <v>9011</v>
      </c>
      <c r="B3885" s="184">
        <v>21.509992</v>
      </c>
      <c r="C3885" s="184">
        <v>-99.025353510000002</v>
      </c>
    </row>
    <row r="3886" spans="1:3">
      <c r="A3886" s="184" t="s">
        <v>9015</v>
      </c>
      <c r="B3886" s="184">
        <v>19.76183125</v>
      </c>
      <c r="C3886" s="184">
        <v>-97.332560419999993</v>
      </c>
    </row>
    <row r="3887" spans="1:3">
      <c r="A3887" s="184" t="s">
        <v>9019</v>
      </c>
      <c r="B3887" s="184">
        <v>19.91</v>
      </c>
      <c r="C3887" s="184">
        <v>-97.96</v>
      </c>
    </row>
    <row r="3888" spans="1:3">
      <c r="A3888" s="184" t="s">
        <v>9022</v>
      </c>
      <c r="B3888" s="184">
        <v>19.91992407</v>
      </c>
      <c r="C3888" s="184">
        <v>-97.50461378</v>
      </c>
    </row>
    <row r="3889" spans="1:3">
      <c r="A3889" s="184" t="s">
        <v>9024</v>
      </c>
      <c r="B3889" s="184">
        <v>21.380423789999998</v>
      </c>
      <c r="C3889" s="184">
        <v>-98.958101009999993</v>
      </c>
    </row>
    <row r="3890" spans="1:3">
      <c r="A3890" s="184" t="s">
        <v>9026</v>
      </c>
      <c r="B3890" s="184">
        <v>21.288297499999999</v>
      </c>
      <c r="C3890" s="184">
        <v>-98.658665889999995</v>
      </c>
    </row>
    <row r="3891" spans="1:3">
      <c r="A3891" s="184" t="s">
        <v>9029</v>
      </c>
      <c r="B3891" s="184">
        <v>20.26545673</v>
      </c>
      <c r="C3891" s="184">
        <v>-97.889672129999994</v>
      </c>
    </row>
    <row r="3892" spans="1:3">
      <c r="A3892" s="184" t="s">
        <v>9032</v>
      </c>
      <c r="B3892" s="184">
        <v>19.982607340000001</v>
      </c>
      <c r="C3892" s="184">
        <v>-97.840407389999996</v>
      </c>
    </row>
    <row r="3893" spans="1:3">
      <c r="A3893" s="184" t="s">
        <v>9035</v>
      </c>
      <c r="B3893" s="184">
        <v>22.015468970000001</v>
      </c>
      <c r="C3893" s="184">
        <v>-99.062102999999993</v>
      </c>
    </row>
    <row r="3894" spans="1:3">
      <c r="A3894" s="184" t="s">
        <v>9037</v>
      </c>
      <c r="B3894" s="184">
        <v>22.07358022</v>
      </c>
      <c r="C3894" s="184">
        <v>-98.810291570000004</v>
      </c>
    </row>
    <row r="3895" spans="1:3">
      <c r="A3895" s="184" t="s">
        <v>9040</v>
      </c>
      <c r="B3895" s="184">
        <v>22.08658604</v>
      </c>
      <c r="C3895" s="184">
        <v>-99.244253020000002</v>
      </c>
    </row>
    <row r="3896" spans="1:3">
      <c r="A3896" s="184" t="s">
        <v>9042</v>
      </c>
      <c r="B3896" s="184">
        <v>21.939186800000002</v>
      </c>
      <c r="C3896" s="184">
        <v>-99.510406750000001</v>
      </c>
    </row>
    <row r="3897" spans="1:3">
      <c r="A3897" s="184" t="s">
        <v>9043</v>
      </c>
      <c r="B3897" s="184">
        <v>21.439611330000002</v>
      </c>
      <c r="C3897" s="184">
        <v>-98.8009165</v>
      </c>
    </row>
    <row r="3898" spans="1:3">
      <c r="A3898" s="184" t="s">
        <v>9046</v>
      </c>
      <c r="B3898" s="184">
        <v>21.246627799999999</v>
      </c>
      <c r="C3898" s="184">
        <v>-98.729138320000004</v>
      </c>
    </row>
    <row r="3899" spans="1:3">
      <c r="A3899" s="184" t="s">
        <v>9048</v>
      </c>
      <c r="B3899" s="184">
        <v>21.590063990000001</v>
      </c>
      <c r="C3899" s="184">
        <v>-99.706060710000003</v>
      </c>
    </row>
    <row r="3900" spans="1:3">
      <c r="A3900" s="184" t="s">
        <v>9051</v>
      </c>
      <c r="B3900" s="184">
        <v>22.315657099999999</v>
      </c>
      <c r="C3900" s="184">
        <v>-97.894048060000003</v>
      </c>
    </row>
    <row r="3901" spans="1:3">
      <c r="A3901" s="184" t="s">
        <v>9054</v>
      </c>
      <c r="B3901" s="184">
        <v>22.397309289999999</v>
      </c>
      <c r="C3901" s="184">
        <v>-97.881493849999998</v>
      </c>
    </row>
    <row r="3902" spans="1:3">
      <c r="A3902" s="184" t="s">
        <v>9058</v>
      </c>
      <c r="B3902" s="184">
        <v>19.9198904</v>
      </c>
      <c r="C3902" s="184">
        <v>-97.964510880000006</v>
      </c>
    </row>
    <row r="3903" spans="1:3">
      <c r="A3903" s="184" t="s">
        <v>9061</v>
      </c>
      <c r="B3903" s="184">
        <v>19.841372929999999</v>
      </c>
      <c r="C3903" s="184">
        <v>-97.351828850000004</v>
      </c>
    </row>
    <row r="3904" spans="1:3">
      <c r="A3904" s="184" t="s">
        <v>9064</v>
      </c>
      <c r="B3904" s="184">
        <v>21.381182200000001</v>
      </c>
      <c r="C3904" s="184">
        <v>-99.033346359999996</v>
      </c>
    </row>
    <row r="3905" spans="1:3">
      <c r="A3905" s="184" t="s">
        <v>9067</v>
      </c>
      <c r="B3905" s="184">
        <v>21.319908430000002</v>
      </c>
      <c r="C3905" s="184">
        <v>-98.670613410000001</v>
      </c>
    </row>
    <row r="3906" spans="1:3">
      <c r="A3906" s="184" t="s">
        <v>9069</v>
      </c>
      <c r="B3906" s="184">
        <v>21.317894290000002</v>
      </c>
      <c r="C3906" s="184">
        <v>-98.882924860000003</v>
      </c>
    </row>
    <row r="3907" spans="1:3">
      <c r="A3907" s="184" t="s">
        <v>9072</v>
      </c>
      <c r="B3907" s="184">
        <v>20.26058493</v>
      </c>
      <c r="C3907" s="184">
        <v>-97.870132819999995</v>
      </c>
    </row>
    <row r="3908" spans="1:3">
      <c r="A3908" s="184" t="s">
        <v>9075</v>
      </c>
      <c r="B3908" s="184">
        <v>20.516640989999999</v>
      </c>
      <c r="C3908" s="184">
        <v>-97.938893770000007</v>
      </c>
    </row>
    <row r="3909" spans="1:3">
      <c r="A3909" s="184" t="s">
        <v>9078</v>
      </c>
      <c r="B3909" s="184">
        <v>21.29585982</v>
      </c>
      <c r="C3909" s="184">
        <v>-98.817325719999999</v>
      </c>
    </row>
    <row r="3910" spans="1:3">
      <c r="A3910" s="184" t="s">
        <v>9080</v>
      </c>
      <c r="B3910" s="184">
        <v>22.591186669999999</v>
      </c>
      <c r="C3910" s="184">
        <v>-99.455069359999996</v>
      </c>
    </row>
    <row r="3911" spans="1:3">
      <c r="A3911" s="184" t="s">
        <v>9083</v>
      </c>
      <c r="B3911" s="184">
        <v>19.332558720000002</v>
      </c>
      <c r="C3911" s="184">
        <v>-97.412347199999999</v>
      </c>
    </row>
    <row r="3912" spans="1:3">
      <c r="A3912" s="184" t="s">
        <v>9086</v>
      </c>
      <c r="B3912" s="184">
        <v>18.422767749999998</v>
      </c>
      <c r="C3912" s="184">
        <v>-96.772574030000001</v>
      </c>
    </row>
    <row r="3913" spans="1:3">
      <c r="A3913" s="184" t="s">
        <v>9090</v>
      </c>
      <c r="B3913" s="184">
        <v>19.808021669999999</v>
      </c>
      <c r="C3913" s="184">
        <v>-97.347174690000003</v>
      </c>
    </row>
    <row r="3914" spans="1:3">
      <c r="A3914" s="184" t="s">
        <v>9093</v>
      </c>
      <c r="B3914" s="184">
        <v>22.530089799999999</v>
      </c>
      <c r="C3914" s="184">
        <v>-99.697079680000002</v>
      </c>
    </row>
    <row r="3915" spans="1:3">
      <c r="A3915" s="184" t="s">
        <v>9096</v>
      </c>
      <c r="B3915" s="184">
        <v>21.413274640000001</v>
      </c>
      <c r="C3915" s="184">
        <v>-98.846962570000002</v>
      </c>
    </row>
    <row r="3916" spans="1:3">
      <c r="A3916" s="184" t="s">
        <v>9099</v>
      </c>
      <c r="B3916" s="184">
        <v>20.08476185</v>
      </c>
      <c r="C3916" s="184">
        <v>-97.756100649999993</v>
      </c>
    </row>
    <row r="3917" spans="1:3">
      <c r="A3917" s="184" t="s">
        <v>9102</v>
      </c>
      <c r="B3917" s="184">
        <v>20.35943473</v>
      </c>
      <c r="C3917" s="184">
        <v>-98.002745399999995</v>
      </c>
    </row>
    <row r="3918" spans="1:3">
      <c r="A3918" s="184" t="s">
        <v>9105</v>
      </c>
      <c r="B3918" s="184">
        <v>20.339166500000001</v>
      </c>
      <c r="C3918" s="184">
        <v>-97.751154020000001</v>
      </c>
    </row>
    <row r="3919" spans="1:3">
      <c r="A3919" s="184" t="s">
        <v>9107</v>
      </c>
      <c r="B3919" s="184">
        <v>19.738361780000002</v>
      </c>
      <c r="C3919" s="184">
        <v>-97.326775679999997</v>
      </c>
    </row>
    <row r="3920" spans="1:3">
      <c r="A3920" s="184" t="s">
        <v>9108</v>
      </c>
      <c r="B3920" s="184">
        <v>19.800469939999999</v>
      </c>
      <c r="C3920" s="184">
        <v>-97.369690790000007</v>
      </c>
    </row>
    <row r="3921" spans="1:3">
      <c r="A3921" s="184" t="s">
        <v>9110</v>
      </c>
      <c r="B3921" s="184">
        <v>22.122017679999999</v>
      </c>
      <c r="C3921" s="184">
        <v>-99.136756270000006</v>
      </c>
    </row>
    <row r="3922" spans="1:3">
      <c r="A3922" s="184" t="s">
        <v>9112</v>
      </c>
      <c r="B3922" s="184">
        <v>22.137253099999999</v>
      </c>
      <c r="C3922" s="184">
        <v>-99.546871370000005</v>
      </c>
    </row>
    <row r="3923" spans="1:3">
      <c r="A3923" s="184" t="s">
        <v>9113</v>
      </c>
      <c r="B3923" s="184">
        <v>20.45947499</v>
      </c>
      <c r="C3923" s="184">
        <v>-97.699649469999997</v>
      </c>
    </row>
    <row r="3924" spans="1:3">
      <c r="A3924" s="184" t="s">
        <v>9115</v>
      </c>
      <c r="B3924" s="184">
        <v>20.147198679999999</v>
      </c>
      <c r="C3924" s="184">
        <v>-98.117729600000004</v>
      </c>
    </row>
    <row r="3925" spans="1:3">
      <c r="A3925" s="184" t="s">
        <v>9118</v>
      </c>
      <c r="B3925" s="184">
        <v>19.868783359999998</v>
      </c>
      <c r="C3925" s="184">
        <v>-97.574656989999994</v>
      </c>
    </row>
    <row r="3926" spans="1:3">
      <c r="A3926" s="184" t="s">
        <v>9121</v>
      </c>
      <c r="B3926" s="184">
        <v>20.165993</v>
      </c>
      <c r="C3926" s="184">
        <v>-98.058610880000003</v>
      </c>
    </row>
    <row r="3927" spans="1:3">
      <c r="A3927" s="184" t="s">
        <v>9123</v>
      </c>
      <c r="B3927" s="184">
        <v>21.927254860000001</v>
      </c>
      <c r="C3927" s="184">
        <v>-99.984284070000001</v>
      </c>
    </row>
    <row r="3928" spans="1:3">
      <c r="A3928" s="184" t="s">
        <v>9126</v>
      </c>
      <c r="B3928" s="184">
        <v>22.06439876</v>
      </c>
      <c r="C3928" s="184">
        <v>-99.559446359999995</v>
      </c>
    </row>
    <row r="3929" spans="1:3">
      <c r="A3929" s="184" t="s">
        <v>9127</v>
      </c>
      <c r="B3929" s="184">
        <v>19.776309659999999</v>
      </c>
      <c r="C3929" s="184">
        <v>-97.32881605</v>
      </c>
    </row>
    <row r="3930" spans="1:3">
      <c r="A3930" s="184" t="s">
        <v>9129</v>
      </c>
      <c r="B3930" s="184">
        <v>20.464161690000001</v>
      </c>
      <c r="C3930" s="184">
        <v>-97.660915689999996</v>
      </c>
    </row>
    <row r="3931" spans="1:3">
      <c r="A3931" s="184" t="s">
        <v>9131</v>
      </c>
      <c r="B3931" s="184">
        <v>21.2566016</v>
      </c>
      <c r="C3931" s="184">
        <v>-98.782412800000003</v>
      </c>
    </row>
    <row r="3932" spans="1:3">
      <c r="A3932" s="184" t="s">
        <v>9133</v>
      </c>
      <c r="B3932" s="184">
        <v>19.88309044</v>
      </c>
      <c r="C3932" s="184">
        <v>-97.442138400000005</v>
      </c>
    </row>
    <row r="3933" spans="1:3">
      <c r="A3933" s="184" t="s">
        <v>9136</v>
      </c>
      <c r="B3933" s="184">
        <v>19.844839360000002</v>
      </c>
      <c r="C3933" s="184">
        <v>-97.498423239999994</v>
      </c>
    </row>
    <row r="3934" spans="1:3">
      <c r="A3934" s="184" t="s">
        <v>9139</v>
      </c>
      <c r="B3934" s="184">
        <v>22.568812210000001</v>
      </c>
      <c r="C3934" s="184">
        <v>-99.339497010000002</v>
      </c>
    </row>
    <row r="3935" spans="1:3">
      <c r="A3935" s="184" t="s">
        <v>9141</v>
      </c>
      <c r="B3935" s="184">
        <v>21.674664839999998</v>
      </c>
      <c r="C3935" s="184">
        <v>-98.855360570000002</v>
      </c>
    </row>
    <row r="3936" spans="1:3">
      <c r="A3936" s="184" t="s">
        <v>9144</v>
      </c>
      <c r="B3936" s="184">
        <v>21.719843969999999</v>
      </c>
      <c r="C3936" s="184">
        <v>-98.877209780000001</v>
      </c>
    </row>
    <row r="3937" spans="1:3">
      <c r="A3937" s="184" t="s">
        <v>9146</v>
      </c>
      <c r="B3937" s="184">
        <v>21.17532568</v>
      </c>
      <c r="C3937" s="184">
        <v>-98.706235890000002</v>
      </c>
    </row>
    <row r="3938" spans="1:3">
      <c r="A3938" s="184" t="s">
        <v>9149</v>
      </c>
      <c r="B3938" s="184">
        <v>22.3600031</v>
      </c>
      <c r="C3938" s="184">
        <v>-97.890541889999994</v>
      </c>
    </row>
    <row r="3939" spans="1:3">
      <c r="A3939" s="184" t="s">
        <v>9152</v>
      </c>
      <c r="B3939" s="184">
        <v>21.54256466</v>
      </c>
      <c r="C3939" s="184">
        <v>-99.002709929999995</v>
      </c>
    </row>
    <row r="3940" spans="1:3">
      <c r="A3940" s="184" t="s">
        <v>9155</v>
      </c>
      <c r="B3940" s="184">
        <v>21.82550762</v>
      </c>
      <c r="C3940" s="184">
        <v>-99.358735769999996</v>
      </c>
    </row>
    <row r="3941" spans="1:3">
      <c r="A3941" s="184" t="s">
        <v>9159</v>
      </c>
      <c r="B3941" s="184">
        <v>22.591986039999998</v>
      </c>
      <c r="C3941" s="184">
        <v>-99.476953940000001</v>
      </c>
    </row>
    <row r="3942" spans="1:3">
      <c r="A3942" s="184" t="s">
        <v>9161</v>
      </c>
      <c r="B3942" s="184">
        <v>21.622106710000001</v>
      </c>
      <c r="C3942" s="184">
        <v>-98.785546780000004</v>
      </c>
    </row>
    <row r="3943" spans="1:3">
      <c r="A3943" s="184" t="s">
        <v>9164</v>
      </c>
      <c r="B3943" s="184">
        <v>21.525512160000002</v>
      </c>
      <c r="C3943" s="184">
        <v>-99.006677870000004</v>
      </c>
    </row>
    <row r="3944" spans="1:3">
      <c r="A3944" s="184" t="s">
        <v>9166</v>
      </c>
      <c r="B3944" s="184">
        <v>21.48223067</v>
      </c>
      <c r="C3944" s="184">
        <v>-98.598476649999995</v>
      </c>
    </row>
    <row r="3945" spans="1:3">
      <c r="A3945" s="184" t="s">
        <v>9168</v>
      </c>
      <c r="B3945" s="184">
        <v>19.82210255</v>
      </c>
      <c r="C3945" s="184">
        <v>-97.741167720000007</v>
      </c>
    </row>
    <row r="3946" spans="1:3">
      <c r="A3946" s="184" t="s">
        <v>9170</v>
      </c>
      <c r="B3946" s="184">
        <v>20.693090489999999</v>
      </c>
      <c r="C3946" s="184">
        <v>-97.895539580000005</v>
      </c>
    </row>
    <row r="3947" spans="1:3">
      <c r="A3947" s="184" t="s">
        <v>9173</v>
      </c>
      <c r="B3947" s="184">
        <v>21.22320109</v>
      </c>
      <c r="C3947" s="184">
        <v>-98.841460749999996</v>
      </c>
    </row>
    <row r="3948" spans="1:3">
      <c r="A3948" s="184" t="s">
        <v>9175</v>
      </c>
      <c r="B3948" s="184">
        <v>20.24389665</v>
      </c>
      <c r="C3948" s="184">
        <v>-97.956984849999998</v>
      </c>
    </row>
    <row r="3949" spans="1:3">
      <c r="A3949" s="184" t="s">
        <v>9177</v>
      </c>
      <c r="B3949" s="184">
        <v>20.312230400000001</v>
      </c>
      <c r="C3949" s="184">
        <v>-97.901345109999994</v>
      </c>
    </row>
    <row r="3950" spans="1:3">
      <c r="A3950" s="184" t="s">
        <v>9179</v>
      </c>
      <c r="B3950" s="184">
        <v>20.099143000000002</v>
      </c>
      <c r="C3950" s="184">
        <v>-98.107618819999999</v>
      </c>
    </row>
    <row r="3951" spans="1:3">
      <c r="A3951" s="184" t="s">
        <v>9182</v>
      </c>
      <c r="B3951" s="184">
        <v>20.315067760000002</v>
      </c>
      <c r="C3951" s="184">
        <v>-97.872720569999998</v>
      </c>
    </row>
    <row r="3952" spans="1:3">
      <c r="A3952" s="184" t="s">
        <v>9184</v>
      </c>
      <c r="B3952" s="184">
        <v>19.823237410000001</v>
      </c>
      <c r="C3952" s="184">
        <v>-97.369202639999997</v>
      </c>
    </row>
    <row r="3953" spans="1:3">
      <c r="A3953" s="184" t="s">
        <v>9187</v>
      </c>
      <c r="B3953" s="184">
        <v>22.401644180000002</v>
      </c>
      <c r="C3953" s="184">
        <v>-99.336805400000003</v>
      </c>
    </row>
    <row r="3954" spans="1:3">
      <c r="A3954" s="184" t="s">
        <v>9190</v>
      </c>
      <c r="B3954" s="184">
        <v>22.42109572</v>
      </c>
      <c r="C3954" s="184">
        <v>-97.927485189999999</v>
      </c>
    </row>
    <row r="3955" spans="1:3">
      <c r="A3955" s="184" t="s">
        <v>9192</v>
      </c>
      <c r="B3955" s="184">
        <v>21.6878989</v>
      </c>
      <c r="C3955" s="184">
        <v>-98.848020840000004</v>
      </c>
    </row>
    <row r="3956" spans="1:3">
      <c r="A3956" s="184" t="s">
        <v>9195</v>
      </c>
      <c r="B3956" s="184">
        <v>21.549864339999999</v>
      </c>
      <c r="C3956" s="184">
        <v>-98.985446080000003</v>
      </c>
    </row>
    <row r="3957" spans="1:3">
      <c r="A3957" s="184" t="s">
        <v>9196</v>
      </c>
      <c r="B3957" s="184">
        <v>22.25687039</v>
      </c>
      <c r="C3957" s="184">
        <v>-99.861153119999997</v>
      </c>
    </row>
    <row r="3958" spans="1:3">
      <c r="A3958" s="184" t="s">
        <v>9199</v>
      </c>
      <c r="B3958" s="184">
        <v>22.454272849999999</v>
      </c>
      <c r="C3958" s="184">
        <v>-99.314382129999998</v>
      </c>
    </row>
    <row r="3959" spans="1:3">
      <c r="A3959" s="184" t="s">
        <v>9202</v>
      </c>
      <c r="B3959" s="184">
        <v>23.648665600000001</v>
      </c>
      <c r="C3959" s="184">
        <v>-100.63380479999999</v>
      </c>
    </row>
    <row r="3960" spans="1:3">
      <c r="A3960" s="184" t="s">
        <v>9205</v>
      </c>
      <c r="B3960" s="184">
        <v>21.294527370000001</v>
      </c>
      <c r="C3960" s="184">
        <v>-98.748667940000004</v>
      </c>
    </row>
    <row r="3961" spans="1:3">
      <c r="A3961" s="184" t="s">
        <v>9207</v>
      </c>
      <c r="B3961" s="184">
        <v>19.288555840000001</v>
      </c>
      <c r="C3961" s="184">
        <v>-97.340190050000004</v>
      </c>
    </row>
    <row r="3962" spans="1:3">
      <c r="A3962" s="184" t="s">
        <v>9208</v>
      </c>
      <c r="B3962" s="184">
        <v>19.883893650000001</v>
      </c>
      <c r="C3962" s="184">
        <v>-97.423312629999998</v>
      </c>
    </row>
    <row r="3963" spans="1:3">
      <c r="A3963" s="184" t="s">
        <v>9210</v>
      </c>
      <c r="B3963" s="184">
        <v>20.266926519999998</v>
      </c>
      <c r="C3963" s="184">
        <v>-97.971140950000006</v>
      </c>
    </row>
    <row r="3964" spans="1:3">
      <c r="A3964" s="184" t="s">
        <v>9212</v>
      </c>
      <c r="B3964" s="184">
        <v>21.38637134</v>
      </c>
      <c r="C3964" s="184">
        <v>-98.995421730000004</v>
      </c>
    </row>
    <row r="3965" spans="1:3">
      <c r="A3965" s="184" t="s">
        <v>9213</v>
      </c>
      <c r="B3965" s="184">
        <v>20.461684779999999</v>
      </c>
      <c r="C3965" s="184">
        <v>-97.741404459999998</v>
      </c>
    </row>
    <row r="3966" spans="1:3">
      <c r="A3966" s="184" t="s">
        <v>9216</v>
      </c>
      <c r="B3966" s="184">
        <v>19.63951849</v>
      </c>
      <c r="C3966" s="184">
        <v>-98.533726200000004</v>
      </c>
    </row>
    <row r="3967" spans="1:3">
      <c r="A3967" s="184" t="s">
        <v>9219</v>
      </c>
      <c r="B3967" s="184">
        <v>18.43910258</v>
      </c>
      <c r="C3967" s="184">
        <v>-97.362421049999995</v>
      </c>
    </row>
    <row r="3968" spans="1:3">
      <c r="A3968" s="184" t="s">
        <v>9221</v>
      </c>
      <c r="B3968" s="184">
        <v>20.06199191</v>
      </c>
      <c r="C3968" s="184">
        <v>-97.732844110000002</v>
      </c>
    </row>
    <row r="3969" spans="1:3">
      <c r="A3969" s="184" t="s">
        <v>9222</v>
      </c>
      <c r="B3969" s="184">
        <v>19.883218639999999</v>
      </c>
      <c r="C3969" s="184">
        <v>-97.460777179999994</v>
      </c>
    </row>
    <row r="3970" spans="1:3">
      <c r="A3970" s="184" t="s">
        <v>9226</v>
      </c>
      <c r="B3970" s="184">
        <v>20.6080094</v>
      </c>
      <c r="C3970" s="184">
        <v>-97.743032170000006</v>
      </c>
    </row>
    <row r="3971" spans="1:3">
      <c r="A3971" s="184" t="s">
        <v>9228</v>
      </c>
      <c r="B3971" s="184">
        <v>19.287709039999999</v>
      </c>
      <c r="C3971" s="184">
        <v>-97.082726940000001</v>
      </c>
    </row>
    <row r="3972" spans="1:3">
      <c r="A3972" s="184" t="s">
        <v>9231</v>
      </c>
      <c r="B3972" s="184">
        <v>20.52208619</v>
      </c>
      <c r="C3972" s="184">
        <v>-97.939918750000004</v>
      </c>
    </row>
    <row r="3973" spans="1:3">
      <c r="A3973" s="184" t="s">
        <v>9233</v>
      </c>
      <c r="B3973" s="184">
        <v>21.137374000000001</v>
      </c>
      <c r="C3973" s="184">
        <v>-98.422673000000003</v>
      </c>
    </row>
    <row r="3974" spans="1:3">
      <c r="A3974" s="184" t="s">
        <v>9235</v>
      </c>
      <c r="B3974" s="184">
        <v>21.137219000000002</v>
      </c>
      <c r="C3974" s="184">
        <v>-98.422706000000005</v>
      </c>
    </row>
    <row r="3975" spans="1:3">
      <c r="A3975" s="184" t="s">
        <v>9236</v>
      </c>
      <c r="B3975" s="184">
        <v>21.002611000000002</v>
      </c>
      <c r="C3975" s="184">
        <v>-98.660777999999993</v>
      </c>
    </row>
    <row r="3976" spans="1:3">
      <c r="A3976" s="184" t="s">
        <v>9238</v>
      </c>
      <c r="B3976" s="184">
        <v>20.969850999999998</v>
      </c>
      <c r="C3976" s="184">
        <v>-98.402009000000007</v>
      </c>
    </row>
    <row r="3977" spans="1:3">
      <c r="A3977" s="184" t="s">
        <v>9240</v>
      </c>
      <c r="B3977" s="184">
        <v>20.950232</v>
      </c>
      <c r="C3977" s="184">
        <v>-98.381831000000005</v>
      </c>
    </row>
    <row r="3978" spans="1:3">
      <c r="A3978" s="184" t="s">
        <v>9241</v>
      </c>
      <c r="B3978" s="184">
        <v>20.916671000000001</v>
      </c>
      <c r="C3978" s="184">
        <v>-98.326357000000002</v>
      </c>
    </row>
    <row r="3979" spans="1:3">
      <c r="A3979" s="184" t="s">
        <v>9243</v>
      </c>
      <c r="B3979" s="184">
        <v>20.979538999999999</v>
      </c>
      <c r="C3979" s="184">
        <v>-98.507681000000005</v>
      </c>
    </row>
    <row r="3980" spans="1:3">
      <c r="A3980" s="184" t="s">
        <v>9244</v>
      </c>
      <c r="B3980" s="184">
        <v>21.136552600000002</v>
      </c>
      <c r="C3980" s="184">
        <v>-98.536586900000003</v>
      </c>
    </row>
    <row r="3981" spans="1:3">
      <c r="A3981" s="184" t="s">
        <v>9246</v>
      </c>
      <c r="B3981" s="184">
        <v>18.260805399999999</v>
      </c>
      <c r="C3981" s="184">
        <v>-96.853605000000002</v>
      </c>
    </row>
    <row r="3982" spans="1:3">
      <c r="A3982" s="184" t="s">
        <v>9248</v>
      </c>
      <c r="B3982" s="184">
        <v>20.009822700000001</v>
      </c>
      <c r="C3982" s="184">
        <v>-97.531135000000006</v>
      </c>
    </row>
    <row r="3983" spans="1:3">
      <c r="A3983" s="184" t="s">
        <v>9251</v>
      </c>
      <c r="B3983" s="184">
        <v>20.168496999999999</v>
      </c>
      <c r="C3983" s="184">
        <v>-98.078099499999993</v>
      </c>
    </row>
    <row r="3984" spans="1:3">
      <c r="A3984" s="184" t="s">
        <v>9252</v>
      </c>
      <c r="B3984" s="184">
        <v>20.168496999999999</v>
      </c>
      <c r="C3984" s="184">
        <v>-98.078099499999993</v>
      </c>
    </row>
    <row r="3985" spans="1:3">
      <c r="A3985" s="184" t="s">
        <v>9253</v>
      </c>
      <c r="B3985" s="184">
        <v>20.264102099999999</v>
      </c>
      <c r="C3985" s="184">
        <v>-97.962795499999999</v>
      </c>
    </row>
    <row r="3986" spans="1:3">
      <c r="A3986" s="184" t="s">
        <v>9254</v>
      </c>
      <c r="B3986" s="184">
        <v>20.256616900000001</v>
      </c>
      <c r="C3986" s="184">
        <v>-97.965180399999994</v>
      </c>
    </row>
    <row r="3987" spans="1:3">
      <c r="A3987" s="184" t="s">
        <v>9255</v>
      </c>
      <c r="B3987" s="184">
        <v>20.096687800000002</v>
      </c>
      <c r="C3987" s="184">
        <v>-97.940113100000005</v>
      </c>
    </row>
    <row r="3988" spans="1:3">
      <c r="A3988" s="184" t="s">
        <v>9257</v>
      </c>
      <c r="B3988" s="184">
        <v>19.803973500000001</v>
      </c>
      <c r="C3988" s="184">
        <v>-97.365186800000004</v>
      </c>
    </row>
    <row r="3989" spans="1:3">
      <c r="A3989" s="184" t="s">
        <v>9258</v>
      </c>
      <c r="B3989" s="184">
        <v>19.928976500000001</v>
      </c>
      <c r="C3989" s="184">
        <v>-97.961280599999995</v>
      </c>
    </row>
    <row r="3990" spans="1:3">
      <c r="A3990" s="184" t="s">
        <v>9259</v>
      </c>
      <c r="B3990" s="184">
        <v>19.919967</v>
      </c>
      <c r="C3990" s="184">
        <v>-97.962584399999997</v>
      </c>
    </row>
    <row r="3991" spans="1:3">
      <c r="A3991" s="184" t="s">
        <v>9260</v>
      </c>
      <c r="B3991" s="184">
        <v>19.9201552</v>
      </c>
      <c r="C3991" s="184">
        <v>-97.962871199999995</v>
      </c>
    </row>
    <row r="3992" spans="1:3">
      <c r="A3992" s="184" t="s">
        <v>9261</v>
      </c>
      <c r="B3992" s="184">
        <v>20.456977200000001</v>
      </c>
      <c r="C3992" s="184">
        <v>-97.698240900000002</v>
      </c>
    </row>
    <row r="3993" spans="1:3">
      <c r="A3993" s="184" t="s">
        <v>9263</v>
      </c>
      <c r="B3993" s="184">
        <v>19.822223300000001</v>
      </c>
      <c r="C3993" s="184">
        <v>-97.357220799999993</v>
      </c>
    </row>
    <row r="3994" spans="1:3">
      <c r="A3994" s="184" t="s">
        <v>9264</v>
      </c>
      <c r="B3994" s="184">
        <v>19.9058478</v>
      </c>
      <c r="C3994" s="184">
        <v>-97.590424100000007</v>
      </c>
    </row>
    <row r="3995" spans="1:3">
      <c r="A3995" s="184" t="s">
        <v>9266</v>
      </c>
      <c r="B3995" s="184">
        <v>19.899813099999999</v>
      </c>
      <c r="C3995" s="184">
        <v>-97.589125199999998</v>
      </c>
    </row>
    <row r="3996" spans="1:3">
      <c r="A3996" s="184" t="s">
        <v>9267</v>
      </c>
      <c r="B3996" s="184">
        <v>19.7153153</v>
      </c>
      <c r="C3996" s="184">
        <v>-97.672392599999995</v>
      </c>
    </row>
    <row r="3997" spans="1:3">
      <c r="A3997" s="184" t="s">
        <v>9270</v>
      </c>
      <c r="B3997" s="184">
        <v>20.087142799999999</v>
      </c>
      <c r="C3997" s="184">
        <v>-97.998964200000003</v>
      </c>
    </row>
    <row r="3998" spans="1:3">
      <c r="A3998" s="184" t="s">
        <v>9272</v>
      </c>
      <c r="B3998" s="184">
        <v>19.7761101</v>
      </c>
      <c r="C3998" s="184">
        <v>-97.326922100000004</v>
      </c>
    </row>
    <row r="3999" spans="1:3">
      <c r="A3999" s="184" t="s">
        <v>9273</v>
      </c>
      <c r="B3999" s="184">
        <v>19.765856899999999</v>
      </c>
      <c r="C3999" s="184">
        <v>-97.339076500000004</v>
      </c>
    </row>
    <row r="4000" spans="1:3">
      <c r="A4000" s="184" t="s">
        <v>9274</v>
      </c>
      <c r="B4000" s="184">
        <v>20.3159192</v>
      </c>
      <c r="C4000" s="184">
        <v>-97.876594600000004</v>
      </c>
    </row>
    <row r="4001" spans="1:3">
      <c r="A4001" s="184" t="s">
        <v>9275</v>
      </c>
      <c r="B4001" s="184">
        <v>19.969987</v>
      </c>
      <c r="C4001" s="184">
        <v>-97.840293500000001</v>
      </c>
    </row>
    <row r="4002" spans="1:3">
      <c r="A4002" s="184" t="s">
        <v>9276</v>
      </c>
      <c r="B4002" s="184">
        <v>18.336400600000001</v>
      </c>
      <c r="C4002" s="184">
        <v>-97.018099399999997</v>
      </c>
    </row>
    <row r="4003" spans="1:3">
      <c r="A4003" s="184" t="s">
        <v>9278</v>
      </c>
      <c r="B4003" s="184">
        <v>19.799098699999998</v>
      </c>
      <c r="C4003" s="184">
        <v>-97.395324200000005</v>
      </c>
    </row>
    <row r="4004" spans="1:3">
      <c r="A4004" s="184" t="s">
        <v>9281</v>
      </c>
      <c r="B4004" s="184">
        <v>19.253694899999999</v>
      </c>
      <c r="C4004" s="184">
        <v>-97.134978500000003</v>
      </c>
    </row>
    <row r="4005" spans="1:3">
      <c r="A4005" s="184" t="s">
        <v>9282</v>
      </c>
      <c r="B4005" s="184">
        <v>20.505315100000001</v>
      </c>
      <c r="C4005" s="184">
        <v>-97.6674845</v>
      </c>
    </row>
    <row r="4006" spans="1:3">
      <c r="A4006" s="184" t="s">
        <v>9283</v>
      </c>
      <c r="B4006" s="184">
        <v>20.1452442</v>
      </c>
      <c r="C4006" s="184">
        <v>-97.8032477</v>
      </c>
    </row>
    <row r="4007" spans="1:3">
      <c r="A4007" s="184" t="s">
        <v>9285</v>
      </c>
      <c r="B4007" s="184">
        <v>20.1429586</v>
      </c>
      <c r="C4007" s="184">
        <v>-97.944372000000001</v>
      </c>
    </row>
    <row r="4008" spans="1:3">
      <c r="A4008" s="184" t="s">
        <v>9286</v>
      </c>
      <c r="B4008" s="184">
        <v>19.200994099999999</v>
      </c>
      <c r="C4008" s="184">
        <v>-97.066601800000001</v>
      </c>
    </row>
    <row r="4009" spans="1:3">
      <c r="A4009" s="184" t="s">
        <v>9288</v>
      </c>
      <c r="B4009" s="184">
        <v>19.871472199999999</v>
      </c>
      <c r="C4009" s="184">
        <v>-97.661687999999998</v>
      </c>
    </row>
    <row r="4010" spans="1:3">
      <c r="A4010" s="184" t="s">
        <v>9291</v>
      </c>
      <c r="B4010" s="184">
        <v>20.278193699999999</v>
      </c>
      <c r="C4010" s="184">
        <v>-97.827379199999996</v>
      </c>
    </row>
    <row r="4011" spans="1:3">
      <c r="A4011" s="184" t="s">
        <v>9293</v>
      </c>
      <c r="B4011" s="184">
        <v>20.031364199999999</v>
      </c>
      <c r="C4011" s="184">
        <v>-97.902750999999995</v>
      </c>
    </row>
    <row r="4012" spans="1:3">
      <c r="A4012" s="184" t="s">
        <v>9294</v>
      </c>
      <c r="B4012" s="184">
        <v>20.130948100000001</v>
      </c>
      <c r="C4012" s="184">
        <v>-97.645074399999999</v>
      </c>
    </row>
    <row r="4013" spans="1:3">
      <c r="A4013" s="184" t="s">
        <v>9297</v>
      </c>
      <c r="B4013" s="184">
        <v>20.1074147</v>
      </c>
      <c r="C4013" s="184">
        <v>-97.6236119</v>
      </c>
    </row>
    <row r="4014" spans="1:3">
      <c r="A4014" s="184" t="s">
        <v>9298</v>
      </c>
      <c r="B4014" s="184">
        <v>20.0959121</v>
      </c>
      <c r="C4014" s="184">
        <v>-97.624335200000004</v>
      </c>
    </row>
    <row r="4015" spans="1:3">
      <c r="A4015" s="184" t="s">
        <v>9299</v>
      </c>
      <c r="B4015" s="184">
        <v>18.422359199999999</v>
      </c>
      <c r="C4015" s="184">
        <v>-97.057778600000006</v>
      </c>
    </row>
    <row r="4016" spans="1:3">
      <c r="A4016" s="184" t="s">
        <v>9301</v>
      </c>
      <c r="B4016" s="184">
        <v>18.423101899999999</v>
      </c>
      <c r="C4016" s="184">
        <v>-97.057512299999999</v>
      </c>
    </row>
    <row r="4017" spans="1:3">
      <c r="A4017" s="184" t="s">
        <v>9302</v>
      </c>
      <c r="B4017" s="184">
        <v>19.2528839</v>
      </c>
      <c r="C4017" s="184">
        <v>-97.181663499999999</v>
      </c>
    </row>
    <row r="4018" spans="1:3">
      <c r="A4018" s="184" t="s">
        <v>9305</v>
      </c>
      <c r="B4018" s="184">
        <v>18.424703000000001</v>
      </c>
      <c r="C4018" s="184">
        <v>-96.775300599999994</v>
      </c>
    </row>
    <row r="4019" spans="1:3">
      <c r="A4019" s="184" t="s">
        <v>9306</v>
      </c>
      <c r="B4019" s="184">
        <v>21.318517</v>
      </c>
      <c r="C4019" s="184">
        <v>-98.970474899999999</v>
      </c>
    </row>
    <row r="4020" spans="1:3">
      <c r="A4020" s="184" t="s">
        <v>9307</v>
      </c>
      <c r="B4020" s="184">
        <v>21.284500000000001</v>
      </c>
      <c r="C4020" s="184">
        <v>-98.637600000000006</v>
      </c>
    </row>
    <row r="4021" spans="1:3">
      <c r="A4021" s="184" t="s">
        <v>9309</v>
      </c>
      <c r="B4021" s="184">
        <v>21.57713</v>
      </c>
      <c r="C4021" s="184">
        <v>-98.789778600000005</v>
      </c>
    </row>
    <row r="4022" spans="1:3">
      <c r="A4022" s="184" t="s">
        <v>9311</v>
      </c>
      <c r="B4022" s="184">
        <v>21.248427</v>
      </c>
      <c r="C4022" s="184">
        <v>-98.791809000000001</v>
      </c>
    </row>
    <row r="4023" spans="1:3">
      <c r="A4023" s="184" t="s">
        <v>9312</v>
      </c>
      <c r="B4023" s="184">
        <v>22.010850999999999</v>
      </c>
      <c r="C4023" s="184">
        <v>-99.025906000000006</v>
      </c>
    </row>
    <row r="4024" spans="1:3">
      <c r="A4024" s="184" t="s">
        <v>9313</v>
      </c>
      <c r="B4024" s="184">
        <v>21.344069000000001</v>
      </c>
      <c r="C4024" s="184">
        <v>-98.839395999999994</v>
      </c>
    </row>
    <row r="4025" spans="1:3">
      <c r="A4025" s="184" t="s">
        <v>9315</v>
      </c>
      <c r="B4025" s="184">
        <v>21.464500000000001</v>
      </c>
      <c r="C4025" s="184">
        <v>-98.895799999999994</v>
      </c>
    </row>
    <row r="4026" spans="1:3">
      <c r="A4026" s="184" t="s">
        <v>9316</v>
      </c>
      <c r="B4026" s="184">
        <v>21.318085</v>
      </c>
      <c r="C4026" s="184">
        <v>-98.789340999999993</v>
      </c>
    </row>
    <row r="4027" spans="1:3">
      <c r="A4027" s="184" t="s">
        <v>9318</v>
      </c>
      <c r="B4027" s="184">
        <v>21.4559</v>
      </c>
      <c r="C4027" s="184">
        <v>-98.839600000000004</v>
      </c>
    </row>
    <row r="4028" spans="1:3">
      <c r="A4028" s="184" t="s">
        <v>9320</v>
      </c>
      <c r="B4028" s="184">
        <v>22.1923444</v>
      </c>
      <c r="C4028" s="184">
        <v>-98.5631889</v>
      </c>
    </row>
    <row r="4029" spans="1:3">
      <c r="A4029" s="184" t="s">
        <v>9323</v>
      </c>
      <c r="B4029" s="184">
        <v>21.3611</v>
      </c>
      <c r="C4029" s="184">
        <v>-98.976100000000002</v>
      </c>
    </row>
    <row r="4030" spans="1:3">
      <c r="A4030" s="184" t="s">
        <v>9325</v>
      </c>
      <c r="B4030" s="184">
        <v>21.458328999999999</v>
      </c>
      <c r="C4030" s="184">
        <v>-99.010046000000003</v>
      </c>
    </row>
    <row r="4031" spans="1:3">
      <c r="A4031" s="184" t="s">
        <v>9327</v>
      </c>
      <c r="B4031" s="184">
        <v>22.530260899999998</v>
      </c>
      <c r="C4031" s="184">
        <v>-99.696247700000001</v>
      </c>
    </row>
    <row r="4032" spans="1:3">
      <c r="A4032" s="184" t="s">
        <v>9329</v>
      </c>
      <c r="B4032" s="184">
        <v>22.0700574</v>
      </c>
      <c r="C4032" s="184">
        <v>-99.625136600000005</v>
      </c>
    </row>
    <row r="4033" spans="1:3">
      <c r="A4033" s="184" t="s">
        <v>9331</v>
      </c>
      <c r="B4033" s="184">
        <v>21.3800344</v>
      </c>
      <c r="C4033" s="184">
        <v>-99.032527200000004</v>
      </c>
    </row>
    <row r="4034" spans="1:3">
      <c r="A4034" s="184" t="s">
        <v>9332</v>
      </c>
      <c r="B4034" s="184">
        <v>22.5172639</v>
      </c>
      <c r="C4034" s="184">
        <v>-99.371769400000005</v>
      </c>
    </row>
    <row r="4035" spans="1:3">
      <c r="A4035" s="184" t="s">
        <v>9334</v>
      </c>
      <c r="B4035" s="184">
        <v>21.793880000000001</v>
      </c>
      <c r="C4035" s="184">
        <v>-98.637974999999997</v>
      </c>
    </row>
    <row r="4036" spans="1:3">
      <c r="A4036" s="184" t="s">
        <v>9337</v>
      </c>
      <c r="B4036" s="184">
        <v>21.991990000000001</v>
      </c>
      <c r="C4036" s="184">
        <v>-98.993189999999998</v>
      </c>
    </row>
    <row r="4037" spans="1:3">
      <c r="A4037" s="184" t="s">
        <v>9338</v>
      </c>
      <c r="B4037" s="184">
        <v>21.421199999999999</v>
      </c>
      <c r="C4037" s="184">
        <v>-98.860100000000003</v>
      </c>
    </row>
    <row r="4038" spans="1:3">
      <c r="A4038" s="184" t="s">
        <v>9340</v>
      </c>
      <c r="B4038" s="184">
        <v>21.695101999999999</v>
      </c>
      <c r="C4038" s="184">
        <v>-98.873312999999996</v>
      </c>
    </row>
    <row r="4039" spans="1:3">
      <c r="A4039" s="184" t="s">
        <v>9342</v>
      </c>
      <c r="B4039" s="184">
        <v>22.237707</v>
      </c>
      <c r="C4039" s="184">
        <v>-97.859206999999998</v>
      </c>
    </row>
    <row r="4040" spans="1:3">
      <c r="A4040" s="184" t="s">
        <v>9343</v>
      </c>
      <c r="B4040" s="184">
        <v>22.254024000000001</v>
      </c>
      <c r="C4040" s="184">
        <v>-97.823415999999995</v>
      </c>
    </row>
    <row r="4041" spans="1:3">
      <c r="A4041" s="184" t="s">
        <v>9345</v>
      </c>
      <c r="B4041" s="184">
        <v>22.254712000000001</v>
      </c>
      <c r="C4041" s="184">
        <v>-97.823188999999999</v>
      </c>
    </row>
    <row r="4042" spans="1:3">
      <c r="A4042" s="184" t="s">
        <v>9346</v>
      </c>
      <c r="B4042" s="184">
        <v>22.379024999999999</v>
      </c>
      <c r="C4042" s="184">
        <v>-97.913601</v>
      </c>
    </row>
    <row r="4043" spans="1:3">
      <c r="A4043" s="184" t="s">
        <v>9347</v>
      </c>
      <c r="B4043" s="184">
        <v>22.303957</v>
      </c>
      <c r="C4043" s="184">
        <v>-97.893620999999996</v>
      </c>
    </row>
    <row r="4044" spans="1:3">
      <c r="A4044" s="184" t="s">
        <v>9348</v>
      </c>
      <c r="B4044" s="184">
        <v>22.340381000000001</v>
      </c>
      <c r="C4044" s="184">
        <v>-97.869028</v>
      </c>
    </row>
    <row r="4045" spans="1:3">
      <c r="A4045" s="184" t="s">
        <v>9349</v>
      </c>
      <c r="B4045" s="184">
        <v>22.361549</v>
      </c>
      <c r="C4045" s="184">
        <v>-97.884912999999997</v>
      </c>
    </row>
    <row r="4046" spans="1:3">
      <c r="A4046" s="184" t="s">
        <v>9350</v>
      </c>
      <c r="B4046" s="184">
        <v>22.361753</v>
      </c>
      <c r="C4046" s="184">
        <v>-97.884945000000002</v>
      </c>
    </row>
    <row r="4047" spans="1:3">
      <c r="A4047" s="184" t="s">
        <v>9351</v>
      </c>
      <c r="B4047" s="184">
        <v>22.313901000000001</v>
      </c>
      <c r="C4047" s="184">
        <v>-97.886556999999996</v>
      </c>
    </row>
    <row r="4048" spans="1:3">
      <c r="A4048" s="184" t="s">
        <v>9352</v>
      </c>
      <c r="B4048" s="184">
        <v>22.306702000000001</v>
      </c>
      <c r="C4048" s="184">
        <v>-97.882491000000002</v>
      </c>
    </row>
    <row r="4049" spans="1:3">
      <c r="A4049" s="184" t="s">
        <v>9353</v>
      </c>
      <c r="B4049" s="184">
        <v>22.320755999999999</v>
      </c>
      <c r="C4049" s="184">
        <v>-97.853406000000007</v>
      </c>
    </row>
    <row r="4050" spans="1:3">
      <c r="A4050" s="184" t="s">
        <v>9354</v>
      </c>
      <c r="B4050" s="184">
        <v>22.312141</v>
      </c>
      <c r="C4050" s="184">
        <v>-97.867351999999997</v>
      </c>
    </row>
    <row r="4051" spans="1:3">
      <c r="A4051" s="184" t="s">
        <v>9355</v>
      </c>
      <c r="B4051" s="184">
        <v>22.311958000000001</v>
      </c>
      <c r="C4051" s="184">
        <v>-97.867548999999997</v>
      </c>
    </row>
    <row r="4052" spans="1:3">
      <c r="A4052" s="184" t="s">
        <v>9356</v>
      </c>
      <c r="B4052" s="184">
        <v>22.283190999999999</v>
      </c>
      <c r="C4052" s="184">
        <v>-97.893139000000005</v>
      </c>
    </row>
    <row r="4053" spans="1:3">
      <c r="A4053" s="184" t="s">
        <v>9357</v>
      </c>
      <c r="B4053" s="184">
        <v>22.291875000000001</v>
      </c>
      <c r="C4053" s="184">
        <v>-97.890266999999994</v>
      </c>
    </row>
    <row r="4054" spans="1:3">
      <c r="A4054" s="184" t="s">
        <v>9358</v>
      </c>
      <c r="B4054" s="184">
        <v>22.296319</v>
      </c>
      <c r="C4054" s="184">
        <v>-97.857928000000001</v>
      </c>
    </row>
    <row r="4055" spans="1:3">
      <c r="A4055" s="184" t="s">
        <v>9359</v>
      </c>
      <c r="B4055" s="184">
        <v>22.303408000000001</v>
      </c>
      <c r="C4055" s="184">
        <v>-97.861682999999999</v>
      </c>
    </row>
    <row r="4056" spans="1:3">
      <c r="A4056" s="184" t="s">
        <v>9360</v>
      </c>
      <c r="B4056" s="184">
        <v>22.222541</v>
      </c>
      <c r="C4056" s="184">
        <v>-97.877469000000005</v>
      </c>
    </row>
    <row r="4057" spans="1:3">
      <c r="A4057" s="184" t="s">
        <v>9361</v>
      </c>
      <c r="B4057" s="184">
        <v>22.325741000000001</v>
      </c>
      <c r="C4057" s="184">
        <v>-97.876756999999998</v>
      </c>
    </row>
    <row r="4058" spans="1:3">
      <c r="A4058" s="184" t="s">
        <v>9362</v>
      </c>
      <c r="B4058" s="184">
        <v>22.430921000000001</v>
      </c>
      <c r="C4058" s="184">
        <v>-97.971293000000003</v>
      </c>
    </row>
    <row r="4059" spans="1:3">
      <c r="A4059" s="184" t="s">
        <v>9363</v>
      </c>
      <c r="B4059" s="184">
        <v>22.318611000000001</v>
      </c>
      <c r="C4059" s="184">
        <v>-97.893418999999994</v>
      </c>
    </row>
    <row r="4060" spans="1:3">
      <c r="A4060" s="184" t="s">
        <v>9364</v>
      </c>
      <c r="B4060" s="184">
        <v>22.313399</v>
      </c>
      <c r="C4060" s="184">
        <v>-97.850521999999998</v>
      </c>
    </row>
    <row r="4061" spans="1:3">
      <c r="A4061" s="184" t="s">
        <v>9365</v>
      </c>
      <c r="B4061" s="184">
        <v>22.518547000000002</v>
      </c>
      <c r="C4061" s="184">
        <v>-97.899234000000007</v>
      </c>
    </row>
    <row r="4062" spans="1:3">
      <c r="A4062" s="184" t="s">
        <v>9367</v>
      </c>
      <c r="B4062" s="184">
        <v>22.252148999999999</v>
      </c>
      <c r="C4062" s="184">
        <v>-97.859071</v>
      </c>
    </row>
    <row r="4063" spans="1:3">
      <c r="A4063" s="184" t="s">
        <v>9368</v>
      </c>
      <c r="B4063" s="184">
        <v>19.744261550000001</v>
      </c>
      <c r="C4063" s="184">
        <v>-97.330178610000004</v>
      </c>
    </row>
    <row r="4064" spans="1:3">
      <c r="A4064" s="184" t="s">
        <v>9371</v>
      </c>
      <c r="B4064" s="184">
        <v>20.33468186</v>
      </c>
      <c r="C4064" s="184">
        <v>-97.981420020000002</v>
      </c>
    </row>
    <row r="4065" spans="1:3">
      <c r="A4065" s="184" t="s">
        <v>9374</v>
      </c>
      <c r="B4065" s="184">
        <v>19.887260659999999</v>
      </c>
      <c r="C4065" s="184">
        <v>-97.430581540000006</v>
      </c>
    </row>
    <row r="4066" spans="1:3">
      <c r="A4066" s="184" t="s">
        <v>9377</v>
      </c>
      <c r="B4066" s="184">
        <v>21.600901790000002</v>
      </c>
      <c r="C4066" s="184">
        <v>-99.009917290000004</v>
      </c>
    </row>
    <row r="4067" spans="1:3">
      <c r="A4067" s="184" t="s">
        <v>9379</v>
      </c>
      <c r="B4067" s="184">
        <v>19.945443950000001</v>
      </c>
      <c r="C4067" s="184">
        <v>-97.497997690000005</v>
      </c>
    </row>
    <row r="4068" spans="1:3">
      <c r="A4068" s="184" t="s">
        <v>9381</v>
      </c>
      <c r="B4068" s="184">
        <v>19.286720689999999</v>
      </c>
      <c r="C4068" s="184">
        <v>-97.012930839999996</v>
      </c>
    </row>
    <row r="4069" spans="1:3">
      <c r="A4069" s="184" t="s">
        <v>9383</v>
      </c>
      <c r="B4069" s="184">
        <v>21.223368610000001</v>
      </c>
      <c r="C4069" s="184">
        <v>-98.843196169999999</v>
      </c>
    </row>
    <row r="4070" spans="1:3">
      <c r="A4070" s="184" t="s">
        <v>9385</v>
      </c>
      <c r="B4070" s="184">
        <v>20.027713089999999</v>
      </c>
      <c r="C4070" s="184">
        <v>-97.905384269999999</v>
      </c>
    </row>
    <row r="4071" spans="1:3">
      <c r="A4071" s="184" t="s">
        <v>9387</v>
      </c>
      <c r="B4071" s="184">
        <v>21.958142729999999</v>
      </c>
      <c r="C4071" s="184">
        <v>-98.648663479999996</v>
      </c>
    </row>
    <row r="4072" spans="1:3">
      <c r="A4072" s="184" t="s">
        <v>9389</v>
      </c>
      <c r="B4072" s="184">
        <v>19.592410919999999</v>
      </c>
      <c r="C4072" s="184">
        <v>-97.534562899999997</v>
      </c>
    </row>
    <row r="4073" spans="1:3">
      <c r="A4073" s="184" t="s">
        <v>9392</v>
      </c>
      <c r="B4073" s="184">
        <v>20.459498799999999</v>
      </c>
      <c r="C4073" s="184">
        <v>-97.699712579999996</v>
      </c>
    </row>
    <row r="4074" spans="1:3">
      <c r="A4074" s="184" t="s">
        <v>9394</v>
      </c>
      <c r="B4074" s="184">
        <v>19.927366330000002</v>
      </c>
      <c r="C4074" s="184">
        <v>-97.963461550000005</v>
      </c>
    </row>
    <row r="4075" spans="1:3">
      <c r="A4075" s="184" t="s">
        <v>9396</v>
      </c>
      <c r="B4075" s="184">
        <v>19.623046989999999</v>
      </c>
      <c r="C4075" s="184">
        <v>-97.605692610000006</v>
      </c>
    </row>
    <row r="4076" spans="1:3">
      <c r="A4076" s="184" t="s">
        <v>9398</v>
      </c>
      <c r="B4076" s="184">
        <v>20.469210149999999</v>
      </c>
      <c r="C4076" s="184">
        <v>-97.719184369999994</v>
      </c>
    </row>
    <row r="4077" spans="1:3">
      <c r="A4077" s="184" t="s">
        <v>9401</v>
      </c>
      <c r="B4077" s="184">
        <v>19.96732089</v>
      </c>
      <c r="C4077" s="184">
        <v>-97.839077009999997</v>
      </c>
    </row>
    <row r="4078" spans="1:3">
      <c r="A4078" s="184" t="s">
        <v>9403</v>
      </c>
      <c r="B4078" s="184">
        <v>20.037122320000002</v>
      </c>
      <c r="C4078" s="184">
        <v>-97.760168890000003</v>
      </c>
    </row>
    <row r="4079" spans="1:3">
      <c r="A4079" s="184" t="s">
        <v>9406</v>
      </c>
      <c r="B4079" s="184">
        <v>20.338654420000001</v>
      </c>
      <c r="C4079" s="184">
        <v>-98.042876719999995</v>
      </c>
    </row>
    <row r="4080" spans="1:3">
      <c r="A4080" s="184" t="s">
        <v>9407</v>
      </c>
      <c r="B4080" s="184">
        <v>18.603881520000002</v>
      </c>
      <c r="C4080" s="184">
        <v>-97.272511100000003</v>
      </c>
    </row>
    <row r="4081" spans="1:3">
      <c r="A4081" s="184" t="s">
        <v>9410</v>
      </c>
      <c r="B4081" s="184">
        <v>21.367853419999999</v>
      </c>
      <c r="C4081" s="184">
        <v>-98.965659500000001</v>
      </c>
    </row>
    <row r="4082" spans="1:3">
      <c r="A4082" s="184" t="s">
        <v>9412</v>
      </c>
      <c r="B4082" s="184">
        <v>19.257817029999998</v>
      </c>
      <c r="C4082" s="184">
        <v>-97.183493670000004</v>
      </c>
    </row>
    <row r="4083" spans="1:3">
      <c r="A4083" s="184" t="s">
        <v>9414</v>
      </c>
      <c r="B4083" s="184">
        <v>20.40238579</v>
      </c>
      <c r="C4083" s="184">
        <v>-97.848187800000005</v>
      </c>
    </row>
    <row r="4084" spans="1:3">
      <c r="A4084" s="184" t="s">
        <v>9418</v>
      </c>
      <c r="B4084" s="184">
        <v>22.324215070000001</v>
      </c>
      <c r="C4084" s="184">
        <v>-98.819811139999999</v>
      </c>
    </row>
    <row r="4085" spans="1:3">
      <c r="A4085" s="184" t="s">
        <v>9421</v>
      </c>
      <c r="B4085" s="184">
        <v>22.452234659999998</v>
      </c>
      <c r="C4085" s="184">
        <v>-97.906038480000007</v>
      </c>
    </row>
    <row r="4086" spans="1:3">
      <c r="A4086" s="184" t="s">
        <v>9423</v>
      </c>
      <c r="B4086" s="184">
        <v>20.029435070000002</v>
      </c>
      <c r="C4086" s="184">
        <v>-97.957968280000003</v>
      </c>
    </row>
    <row r="4087" spans="1:3">
      <c r="A4087" s="184" t="s">
        <v>9426</v>
      </c>
      <c r="B4087" s="184">
        <v>19.29056576</v>
      </c>
      <c r="C4087" s="184">
        <v>-97.343800029999997</v>
      </c>
    </row>
    <row r="4088" spans="1:3">
      <c r="A4088" s="184" t="s">
        <v>9429</v>
      </c>
      <c r="B4088" s="184">
        <v>20.451134069999998</v>
      </c>
      <c r="C4088" s="184">
        <v>-97.641861270000007</v>
      </c>
    </row>
    <row r="4089" spans="1:3">
      <c r="A4089" s="184" t="s">
        <v>9431</v>
      </c>
      <c r="B4089" s="184">
        <v>20.136676999999999</v>
      </c>
      <c r="C4089" s="184">
        <v>-97.923759430000004</v>
      </c>
    </row>
    <row r="4090" spans="1:3">
      <c r="A4090" s="184" t="s">
        <v>9433</v>
      </c>
      <c r="B4090" s="184">
        <v>21.483708889999999</v>
      </c>
      <c r="C4090" s="184">
        <v>-98.65237553</v>
      </c>
    </row>
    <row r="4091" spans="1:3">
      <c r="A4091" s="184" t="s">
        <v>9435</v>
      </c>
      <c r="B4091" s="184">
        <v>20.167561240000001</v>
      </c>
      <c r="C4091" s="184">
        <v>-97.915031119999995</v>
      </c>
    </row>
    <row r="4092" spans="1:3">
      <c r="A4092" s="184" t="s">
        <v>9437</v>
      </c>
      <c r="B4092" s="184">
        <v>20.057495930000002</v>
      </c>
      <c r="C4092" s="184">
        <v>-97.962356189999994</v>
      </c>
    </row>
    <row r="4093" spans="1:3">
      <c r="A4093" s="184" t="s">
        <v>9439</v>
      </c>
      <c r="B4093" s="184">
        <v>21.9828701</v>
      </c>
      <c r="C4093" s="184">
        <v>-99.843863600000006</v>
      </c>
    </row>
    <row r="4094" spans="1:3">
      <c r="A4094" s="184" t="s">
        <v>9441</v>
      </c>
      <c r="B4094" s="184">
        <v>21.754662490000001</v>
      </c>
      <c r="C4094" s="184">
        <v>-99.277640180000006</v>
      </c>
    </row>
    <row r="4095" spans="1:3">
      <c r="A4095" s="184" t="s">
        <v>9442</v>
      </c>
      <c r="B4095" s="184">
        <v>20.086205870000001</v>
      </c>
      <c r="C4095" s="184">
        <v>-97.997063979999993</v>
      </c>
    </row>
    <row r="4096" spans="1:3">
      <c r="A4096" s="184" t="s">
        <v>9444</v>
      </c>
      <c r="B4096" s="184">
        <v>19.941322450000001</v>
      </c>
      <c r="C4096" s="184">
        <v>-97.863624590000001</v>
      </c>
    </row>
    <row r="4097" spans="1:3">
      <c r="A4097" s="184" t="s">
        <v>9446</v>
      </c>
      <c r="B4097" s="184">
        <v>21.598995299999999</v>
      </c>
      <c r="C4097" s="184">
        <v>-98.65354644</v>
      </c>
    </row>
    <row r="4098" spans="1:3">
      <c r="A4098" s="184" t="s">
        <v>9450</v>
      </c>
      <c r="B4098" s="184">
        <v>19.792262480000002</v>
      </c>
      <c r="C4098" s="184">
        <v>-97.815277699999996</v>
      </c>
    </row>
    <row r="4099" spans="1:3">
      <c r="A4099" s="184" t="s">
        <v>9452</v>
      </c>
      <c r="B4099" s="184">
        <v>22.431587140000001</v>
      </c>
      <c r="C4099" s="184">
        <v>-97.965067820000002</v>
      </c>
    </row>
    <row r="4100" spans="1:3">
      <c r="A4100" s="184" t="s">
        <v>9455</v>
      </c>
      <c r="B4100" s="184">
        <v>20.30620103</v>
      </c>
      <c r="C4100" s="184">
        <v>-97.912820170000003</v>
      </c>
    </row>
    <row r="4101" spans="1:3">
      <c r="A4101" s="184" t="s">
        <v>9457</v>
      </c>
      <c r="B4101" s="184">
        <v>21.947158000000002</v>
      </c>
      <c r="C4101" s="184">
        <v>-99.988339530000005</v>
      </c>
    </row>
    <row r="4102" spans="1:3">
      <c r="A4102" s="184" t="s">
        <v>9460</v>
      </c>
      <c r="B4102" s="184">
        <v>19.85403045</v>
      </c>
      <c r="C4102" s="184">
        <v>-97.355283580000005</v>
      </c>
    </row>
    <row r="4103" spans="1:3">
      <c r="A4103" s="184" t="s">
        <v>9463</v>
      </c>
      <c r="B4103" s="184">
        <v>18.423073680000002</v>
      </c>
      <c r="C4103" s="184">
        <v>-97.057509109999998</v>
      </c>
    </row>
    <row r="4104" spans="1:3">
      <c r="A4104" s="184" t="s">
        <v>9464</v>
      </c>
      <c r="B4104" s="184">
        <v>20.508759470000001</v>
      </c>
      <c r="C4104" s="184">
        <v>-97.681101080000005</v>
      </c>
    </row>
    <row r="4105" spans="1:3">
      <c r="A4105" s="184" t="s">
        <v>9466</v>
      </c>
      <c r="B4105" s="184">
        <v>19.856836130000001</v>
      </c>
      <c r="C4105" s="184">
        <v>-97.598110230000003</v>
      </c>
    </row>
    <row r="4106" spans="1:3">
      <c r="A4106" s="184" t="s">
        <v>9468</v>
      </c>
      <c r="B4106" s="184">
        <v>21.689473240000002</v>
      </c>
      <c r="C4106" s="184">
        <v>-98.803271030000005</v>
      </c>
    </row>
    <row r="4107" spans="1:3">
      <c r="A4107" s="184" t="s">
        <v>9469</v>
      </c>
      <c r="B4107" s="184">
        <v>21.812784560000001</v>
      </c>
      <c r="C4107" s="184">
        <v>-98.667129650000007</v>
      </c>
    </row>
    <row r="4108" spans="1:3">
      <c r="A4108" s="184" t="s">
        <v>9470</v>
      </c>
      <c r="B4108" s="184">
        <v>22.37183272</v>
      </c>
      <c r="C4108" s="184">
        <v>-99.455530429999996</v>
      </c>
    </row>
    <row r="4109" spans="1:3">
      <c r="A4109" s="184" t="s">
        <v>9472</v>
      </c>
      <c r="B4109" s="184">
        <v>22.024760959999998</v>
      </c>
      <c r="C4109" s="184">
        <v>-98.636512940000003</v>
      </c>
    </row>
    <row r="4110" spans="1:3">
      <c r="A4110" s="184" t="s">
        <v>9474</v>
      </c>
      <c r="B4110" s="184">
        <v>22.29111932</v>
      </c>
      <c r="C4110" s="184">
        <v>-99.149089810000007</v>
      </c>
    </row>
    <row r="4111" spans="1:3">
      <c r="A4111" s="184" t="s">
        <v>9477</v>
      </c>
      <c r="B4111" s="184">
        <v>20.081629079999999</v>
      </c>
      <c r="C4111" s="184">
        <v>-97.629367979999998</v>
      </c>
    </row>
    <row r="4112" spans="1:3">
      <c r="A4112" s="184" t="s">
        <v>9480</v>
      </c>
      <c r="B4112" s="184">
        <v>19.253272920000001</v>
      </c>
      <c r="C4112" s="184">
        <v>-97.069198510000007</v>
      </c>
    </row>
    <row r="4113" spans="1:3">
      <c r="A4113" s="184" t="s">
        <v>9481</v>
      </c>
      <c r="B4113" s="184">
        <v>21.831254619999999</v>
      </c>
      <c r="C4113" s="184">
        <v>-98.853930570000003</v>
      </c>
    </row>
    <row r="4114" spans="1:3">
      <c r="A4114" s="184" t="s">
        <v>9483</v>
      </c>
      <c r="B4114" s="184">
        <v>20.100423039999999</v>
      </c>
      <c r="C4114" s="184">
        <v>-97.684066759999993</v>
      </c>
    </row>
    <row r="4115" spans="1:3">
      <c r="A4115" s="184" t="s">
        <v>9484</v>
      </c>
      <c r="B4115" s="184">
        <v>22.231614889999999</v>
      </c>
      <c r="C4115" s="184">
        <v>-98.367888579999999</v>
      </c>
    </row>
    <row r="4116" spans="1:3">
      <c r="A4116" s="184" t="s">
        <v>9486</v>
      </c>
      <c r="B4116" s="184">
        <v>21.42846316</v>
      </c>
      <c r="C4116" s="184">
        <v>-98.802191179999994</v>
      </c>
    </row>
    <row r="4117" spans="1:3">
      <c r="A4117" s="184" t="s">
        <v>9488</v>
      </c>
      <c r="B4117" s="184">
        <v>20.225121829999999</v>
      </c>
      <c r="C4117" s="184">
        <v>-97.919807329999998</v>
      </c>
    </row>
    <row r="4118" spans="1:3">
      <c r="A4118" s="184" t="s">
        <v>9490</v>
      </c>
      <c r="B4118" s="184">
        <v>20.038174000000001</v>
      </c>
      <c r="C4118" s="184">
        <v>-97.846395999999999</v>
      </c>
    </row>
    <row r="4119" spans="1:3">
      <c r="A4119" s="184" t="s">
        <v>9492</v>
      </c>
      <c r="B4119" s="184">
        <v>20.312290770000001</v>
      </c>
      <c r="C4119" s="184">
        <v>-97.901302189999996</v>
      </c>
    </row>
    <row r="4120" spans="1:3">
      <c r="A4120" s="184" t="s">
        <v>9495</v>
      </c>
      <c r="B4120" s="184">
        <v>22.093835500000001</v>
      </c>
      <c r="C4120" s="184">
        <v>-99.577198150000001</v>
      </c>
    </row>
    <row r="4121" spans="1:3">
      <c r="A4121" s="184" t="s">
        <v>9497</v>
      </c>
      <c r="B4121" s="184">
        <v>21.729440490000002</v>
      </c>
      <c r="C4121" s="184">
        <v>-98.715703989999994</v>
      </c>
    </row>
    <row r="4122" spans="1:3">
      <c r="A4122" s="184" t="s">
        <v>9499</v>
      </c>
      <c r="B4122" s="184">
        <v>19.87483671</v>
      </c>
      <c r="C4122" s="184">
        <v>-97.590146910000001</v>
      </c>
    </row>
    <row r="4123" spans="1:3">
      <c r="A4123" s="184" t="s">
        <v>9501</v>
      </c>
      <c r="B4123" s="184">
        <v>21.595892589999998</v>
      </c>
      <c r="C4123" s="184">
        <v>-99.671209809999993</v>
      </c>
    </row>
    <row r="4124" spans="1:3">
      <c r="A4124" s="184" t="s">
        <v>9503</v>
      </c>
      <c r="B4124" s="184">
        <v>21.515267720000001</v>
      </c>
      <c r="C4124" s="184">
        <v>-98.98217889</v>
      </c>
    </row>
    <row r="4125" spans="1:3">
      <c r="A4125" s="184" t="s">
        <v>9505</v>
      </c>
      <c r="B4125" s="184">
        <v>21.776126659999999</v>
      </c>
      <c r="C4125" s="184">
        <v>-98.632849949999994</v>
      </c>
    </row>
    <row r="4126" spans="1:3">
      <c r="A4126" s="184" t="s">
        <v>9508</v>
      </c>
      <c r="B4126" s="184">
        <v>21.68936957</v>
      </c>
      <c r="C4126" s="184">
        <v>-98.68424555</v>
      </c>
    </row>
    <row r="4127" spans="1:3">
      <c r="A4127" s="184" t="s">
        <v>9511</v>
      </c>
      <c r="B4127" s="184">
        <v>19.723672409999999</v>
      </c>
      <c r="C4127" s="184">
        <v>-97.694536549999995</v>
      </c>
    </row>
    <row r="4128" spans="1:3">
      <c r="A4128" s="184" t="s">
        <v>9514</v>
      </c>
      <c r="B4128" s="184">
        <v>20.30011992</v>
      </c>
      <c r="C4128" s="184">
        <v>-98.164065469999997</v>
      </c>
    </row>
    <row r="4129" spans="1:3">
      <c r="A4129" s="184" t="s">
        <v>9518</v>
      </c>
      <c r="B4129" s="184">
        <v>20.361640009999999</v>
      </c>
      <c r="C4129" s="184">
        <v>-97.952735829999995</v>
      </c>
    </row>
    <row r="4130" spans="1:3">
      <c r="A4130" s="184" t="s">
        <v>9520</v>
      </c>
      <c r="B4130" s="184">
        <v>19.806140989999999</v>
      </c>
      <c r="C4130" s="184">
        <v>-97.551146110000005</v>
      </c>
    </row>
    <row r="4131" spans="1:3">
      <c r="A4131" s="184" t="s">
        <v>7188</v>
      </c>
      <c r="B4131" s="184">
        <v>22.608809569999998</v>
      </c>
      <c r="C4131" s="184">
        <v>-99.053696930000001</v>
      </c>
    </row>
    <row r="4132" spans="1:3">
      <c r="A4132" s="184" t="s">
        <v>9523</v>
      </c>
      <c r="B4132" s="184">
        <v>19.788046949999998</v>
      </c>
      <c r="C4132" s="184">
        <v>-97.384114960000005</v>
      </c>
    </row>
    <row r="4133" spans="1:3">
      <c r="A4133" s="184" t="s">
        <v>9526</v>
      </c>
      <c r="B4133" s="184">
        <v>20.119307899999999</v>
      </c>
      <c r="C4133" s="184">
        <v>-97.846067199999993</v>
      </c>
    </row>
    <row r="4134" spans="1:3">
      <c r="A4134" s="184" t="s">
        <v>9528</v>
      </c>
      <c r="B4134" s="184">
        <v>21.695247800000001</v>
      </c>
      <c r="C4134" s="184">
        <v>-98.873063930000001</v>
      </c>
    </row>
    <row r="4135" spans="1:3">
      <c r="A4135" s="184" t="s">
        <v>9529</v>
      </c>
      <c r="B4135" s="184">
        <v>19.794754609999998</v>
      </c>
      <c r="C4135" s="184">
        <v>-97.387712579999999</v>
      </c>
    </row>
    <row r="4136" spans="1:3">
      <c r="A4136" s="184" t="s">
        <v>9531</v>
      </c>
      <c r="B4136" s="184">
        <v>20.19045053</v>
      </c>
      <c r="C4136" s="184">
        <v>-97.349211080000003</v>
      </c>
    </row>
    <row r="4137" spans="1:3">
      <c r="A4137" s="184" t="s">
        <v>9533</v>
      </c>
      <c r="B4137" s="184">
        <v>22.47470208</v>
      </c>
      <c r="C4137" s="184">
        <v>-99.595189680000004</v>
      </c>
    </row>
    <row r="4138" spans="1:3">
      <c r="A4138" s="184" t="s">
        <v>9536</v>
      </c>
      <c r="B4138" s="184">
        <v>22.004636550000001</v>
      </c>
      <c r="C4138" s="184">
        <v>-98.684173110000003</v>
      </c>
    </row>
    <row r="4139" spans="1:3">
      <c r="A4139" s="184" t="s">
        <v>9539</v>
      </c>
      <c r="B4139" s="184">
        <v>21.91186342</v>
      </c>
      <c r="C4139" s="184">
        <v>-98.855270200000007</v>
      </c>
    </row>
    <row r="4140" spans="1:3">
      <c r="A4140" s="184" t="s">
        <v>9541</v>
      </c>
      <c r="B4140" s="184">
        <v>21.657908429999999</v>
      </c>
      <c r="C4140" s="184">
        <v>-98.663891680000006</v>
      </c>
    </row>
    <row r="4141" spans="1:3">
      <c r="A4141" s="184" t="s">
        <v>9543</v>
      </c>
      <c r="B4141" s="184">
        <v>20.247354120000001</v>
      </c>
      <c r="C4141" s="184">
        <v>-97.947100259999999</v>
      </c>
    </row>
    <row r="4142" spans="1:3">
      <c r="A4142" s="184" t="s">
        <v>9544</v>
      </c>
      <c r="B4142" s="184">
        <v>19.904226609999998</v>
      </c>
      <c r="C4142" s="184">
        <v>-97.816126659999995</v>
      </c>
    </row>
    <row r="4143" spans="1:3">
      <c r="A4143" s="184" t="s">
        <v>9547</v>
      </c>
      <c r="B4143" s="184">
        <v>22.229140789999999</v>
      </c>
      <c r="C4143" s="184">
        <v>-98.389521759999994</v>
      </c>
    </row>
    <row r="4144" spans="1:3">
      <c r="A4144" s="184" t="s">
        <v>9549</v>
      </c>
      <c r="B4144" s="184">
        <v>21.942499009999999</v>
      </c>
      <c r="C4144" s="184">
        <v>-99.974167679999994</v>
      </c>
    </row>
    <row r="4145" spans="1:3">
      <c r="A4145" s="184" t="s">
        <v>9551</v>
      </c>
      <c r="B4145" s="184">
        <v>20.332215919999999</v>
      </c>
      <c r="C4145" s="184">
        <v>-97.999746799999997</v>
      </c>
    </row>
    <row r="4146" spans="1:3">
      <c r="A4146" s="184" t="s">
        <v>9553</v>
      </c>
      <c r="B4146" s="184">
        <v>20.283737210000002</v>
      </c>
      <c r="C4146" s="184">
        <v>-97.950089930000004</v>
      </c>
    </row>
    <row r="4147" spans="1:3">
      <c r="A4147" s="184" t="s">
        <v>9554</v>
      </c>
      <c r="B4147" s="184">
        <v>20.703040130000002</v>
      </c>
      <c r="C4147" s="184">
        <v>-97.813692290000006</v>
      </c>
    </row>
    <row r="4148" spans="1:3">
      <c r="A4148" s="184" t="s">
        <v>9555</v>
      </c>
      <c r="B4148" s="184">
        <v>19.886612110000002</v>
      </c>
      <c r="C4148" s="184">
        <v>-97.822800000000001</v>
      </c>
    </row>
    <row r="4149" spans="1:3">
      <c r="A4149" s="184" t="s">
        <v>9557</v>
      </c>
      <c r="B4149" s="184">
        <v>20.71969902</v>
      </c>
      <c r="C4149" s="184">
        <v>-97.852895459999999</v>
      </c>
    </row>
    <row r="4150" spans="1:3">
      <c r="A4150" s="184" t="s">
        <v>9559</v>
      </c>
      <c r="B4150" s="184">
        <v>18.619895920000001</v>
      </c>
      <c r="C4150" s="184">
        <v>-97.310134969999993</v>
      </c>
    </row>
    <row r="4151" spans="1:3">
      <c r="A4151" s="184" t="s">
        <v>9560</v>
      </c>
      <c r="B4151" s="184">
        <v>20.0700939</v>
      </c>
      <c r="C4151" s="184">
        <v>-97.907605129999993</v>
      </c>
    </row>
    <row r="4152" spans="1:3">
      <c r="A4152" s="184" t="s">
        <v>9562</v>
      </c>
      <c r="B4152" s="184">
        <v>18.456324710000001</v>
      </c>
      <c r="C4152" s="184">
        <v>-96.940524319999994</v>
      </c>
    </row>
    <row r="4153" spans="1:3">
      <c r="A4153" s="184" t="s">
        <v>9564</v>
      </c>
      <c r="B4153" s="184">
        <v>22.620959249999999</v>
      </c>
      <c r="C4153" s="184">
        <v>-99.663795719999996</v>
      </c>
    </row>
    <row r="4154" spans="1:3">
      <c r="A4154" s="184" t="s">
        <v>9566</v>
      </c>
      <c r="B4154" s="184">
        <v>21.33367294</v>
      </c>
      <c r="C4154" s="184">
        <v>-98.992353850000001</v>
      </c>
    </row>
    <row r="4155" spans="1:3">
      <c r="A4155" s="184" t="s">
        <v>9568</v>
      </c>
      <c r="B4155" s="184">
        <v>19.997183</v>
      </c>
      <c r="C4155" s="184">
        <v>-97.747489000000002</v>
      </c>
    </row>
    <row r="4156" spans="1:3">
      <c r="A4156" s="184" t="s">
        <v>9571</v>
      </c>
      <c r="B4156" s="184">
        <v>19.269764559999999</v>
      </c>
      <c r="C4156" s="184">
        <v>-97.106330479999997</v>
      </c>
    </row>
    <row r="4157" spans="1:3">
      <c r="A4157" s="184" t="s">
        <v>9573</v>
      </c>
      <c r="B4157" s="184">
        <v>20.25450274</v>
      </c>
      <c r="C4157" s="184">
        <v>-98.033143449999997</v>
      </c>
    </row>
    <row r="4158" spans="1:3">
      <c r="A4158" s="184" t="s">
        <v>9575</v>
      </c>
      <c r="B4158" s="184">
        <v>20.12356316</v>
      </c>
      <c r="C4158" s="184">
        <v>-97.780340550000005</v>
      </c>
    </row>
    <row r="4159" spans="1:3">
      <c r="A4159" s="184" t="s">
        <v>9578</v>
      </c>
      <c r="B4159" s="184">
        <v>19.668318190000001</v>
      </c>
      <c r="C4159" s="184">
        <v>-97.71337638</v>
      </c>
    </row>
    <row r="4160" spans="1:3">
      <c r="A4160" s="184" t="s">
        <v>9580</v>
      </c>
      <c r="B4160" s="184">
        <v>20.892730889999999</v>
      </c>
      <c r="C4160" s="184">
        <v>-98.262755960000007</v>
      </c>
    </row>
    <row r="4161" spans="1:3">
      <c r="A4161" s="184" t="s">
        <v>9582</v>
      </c>
      <c r="B4161" s="184">
        <v>20.374318509999998</v>
      </c>
      <c r="C4161" s="184">
        <v>-97.917695850000001</v>
      </c>
    </row>
    <row r="4162" spans="1:3">
      <c r="A4162" s="184" t="s">
        <v>9585</v>
      </c>
      <c r="B4162" s="184">
        <v>21.813439259999999</v>
      </c>
      <c r="C4162" s="184">
        <v>-98.915300729999998</v>
      </c>
    </row>
    <row r="4163" spans="1:3">
      <c r="A4163" s="184" t="s">
        <v>9588</v>
      </c>
      <c r="B4163" s="184">
        <v>21.38656932</v>
      </c>
      <c r="C4163" s="184">
        <v>-98.988331979999998</v>
      </c>
    </row>
    <row r="4164" spans="1:3">
      <c r="A4164" s="184" t="s">
        <v>9590</v>
      </c>
      <c r="B4164" s="184">
        <v>21.885092839999999</v>
      </c>
      <c r="C4164" s="184">
        <v>-98.903088600000004</v>
      </c>
    </row>
    <row r="4165" spans="1:3">
      <c r="A4165" s="184" t="s">
        <v>9591</v>
      </c>
      <c r="B4165" s="184">
        <v>21.920330100000001</v>
      </c>
      <c r="C4165" s="184">
        <v>-99.998122769999995</v>
      </c>
    </row>
    <row r="4166" spans="1:3">
      <c r="A4166" s="184" t="s">
        <v>9594</v>
      </c>
      <c r="B4166" s="184">
        <v>22.346245549999999</v>
      </c>
      <c r="C4166" s="184">
        <v>-97.855617580000001</v>
      </c>
    </row>
    <row r="4167" spans="1:3">
      <c r="A4167" s="184" t="s">
        <v>9596</v>
      </c>
      <c r="B4167" s="184">
        <v>22.398362519999999</v>
      </c>
      <c r="C4167" s="184">
        <v>-97.884445490000004</v>
      </c>
    </row>
    <row r="4168" spans="1:3">
      <c r="A4168" s="184" t="s">
        <v>9599</v>
      </c>
      <c r="B4168" s="184">
        <v>21.960793519999999</v>
      </c>
      <c r="C4168" s="184">
        <v>-100.1509021</v>
      </c>
    </row>
    <row r="4169" spans="1:3">
      <c r="A4169" s="184" t="s">
        <v>9602</v>
      </c>
      <c r="B4169" s="184">
        <v>18.46199365</v>
      </c>
      <c r="C4169" s="184">
        <v>-96.99429481</v>
      </c>
    </row>
    <row r="4170" spans="1:3">
      <c r="A4170" s="184" t="s">
        <v>9605</v>
      </c>
      <c r="B4170" s="184">
        <v>19.80090556</v>
      </c>
      <c r="C4170" s="184">
        <v>-97.354159480000007</v>
      </c>
    </row>
    <row r="4171" spans="1:3">
      <c r="A4171" s="184" t="s">
        <v>9608</v>
      </c>
      <c r="B4171" s="184">
        <v>19.902537370000001</v>
      </c>
      <c r="C4171" s="184">
        <v>-97.830261320000005</v>
      </c>
    </row>
    <row r="4172" spans="1:3">
      <c r="A4172" s="184" t="s">
        <v>9610</v>
      </c>
      <c r="B4172" s="184">
        <v>20.279425490000001</v>
      </c>
      <c r="C4172" s="184">
        <v>-97.831637760000007</v>
      </c>
    </row>
    <row r="4173" spans="1:3">
      <c r="A4173" s="184" t="s">
        <v>9612</v>
      </c>
      <c r="B4173" s="184">
        <v>20.064334429999999</v>
      </c>
      <c r="C4173" s="184">
        <v>-97.947927730000004</v>
      </c>
    </row>
    <row r="4174" spans="1:3">
      <c r="A4174" s="184" t="s">
        <v>9614</v>
      </c>
      <c r="B4174" s="184">
        <v>21.88519415</v>
      </c>
      <c r="C4174" s="184">
        <v>-98.816942460000007</v>
      </c>
    </row>
    <row r="4175" spans="1:3">
      <c r="A4175" s="184" t="s">
        <v>9616</v>
      </c>
      <c r="B4175" s="184">
        <v>19.846108860000001</v>
      </c>
      <c r="C4175" s="184">
        <v>-97.503681740000005</v>
      </c>
    </row>
    <row r="4176" spans="1:3">
      <c r="A4176" s="184" t="s">
        <v>9618</v>
      </c>
      <c r="B4176" s="184">
        <v>19.91179649</v>
      </c>
      <c r="C4176" s="184">
        <v>-97.936867579999998</v>
      </c>
    </row>
    <row r="4177" spans="1:3">
      <c r="A4177" s="184" t="s">
        <v>9620</v>
      </c>
      <c r="B4177" s="184">
        <v>21.78726507</v>
      </c>
      <c r="C4177" s="184">
        <v>-98.712790940000005</v>
      </c>
    </row>
    <row r="4178" spans="1:3">
      <c r="A4178" s="184" t="s">
        <v>9622</v>
      </c>
      <c r="B4178" s="184">
        <v>21.965371560000001</v>
      </c>
      <c r="C4178" s="184">
        <v>-99.766892249999998</v>
      </c>
    </row>
    <row r="4179" spans="1:3">
      <c r="A4179" s="184" t="s">
        <v>9623</v>
      </c>
      <c r="B4179" s="184">
        <v>19.83730117</v>
      </c>
      <c r="C4179" s="184">
        <v>-97.722356809999994</v>
      </c>
    </row>
    <row r="4180" spans="1:3">
      <c r="A4180" s="184" t="s">
        <v>9626</v>
      </c>
      <c r="B4180" s="184">
        <v>20.18023844</v>
      </c>
      <c r="C4180" s="184">
        <v>-97.827869840000005</v>
      </c>
    </row>
    <row r="4181" spans="1:3">
      <c r="A4181" s="184" t="s">
        <v>9628</v>
      </c>
      <c r="B4181" s="184">
        <v>19.716204090000002</v>
      </c>
      <c r="C4181" s="184">
        <v>-97.674634280000006</v>
      </c>
    </row>
    <row r="4182" spans="1:3">
      <c r="A4182" s="184" t="s">
        <v>9630</v>
      </c>
      <c r="B4182" s="184">
        <v>19.853112299999999</v>
      </c>
      <c r="C4182" s="184">
        <v>-97.496300300000001</v>
      </c>
    </row>
    <row r="4183" spans="1:3">
      <c r="A4183" s="184" t="s">
        <v>9633</v>
      </c>
      <c r="B4183" s="184">
        <v>19.33212666</v>
      </c>
      <c r="C4183" s="184">
        <v>-97.413261779999999</v>
      </c>
    </row>
    <row r="4184" spans="1:3">
      <c r="A4184" s="184" t="s">
        <v>9636</v>
      </c>
      <c r="B4184" s="184">
        <v>19.8546482</v>
      </c>
      <c r="C4184" s="184">
        <v>-97.494947100000005</v>
      </c>
    </row>
    <row r="4185" spans="1:3">
      <c r="A4185" s="184" t="s">
        <v>9639</v>
      </c>
      <c r="B4185" s="184">
        <v>19.858211019999999</v>
      </c>
      <c r="C4185" s="184">
        <v>-97.598161189999999</v>
      </c>
    </row>
    <row r="4186" spans="1:3">
      <c r="A4186" s="184" t="s">
        <v>9641</v>
      </c>
      <c r="B4186" s="184">
        <v>20.076037670000002</v>
      </c>
      <c r="C4186" s="184">
        <v>-97.917322749999997</v>
      </c>
    </row>
    <row r="4187" spans="1:3">
      <c r="A4187" s="184" t="s">
        <v>9644</v>
      </c>
      <c r="B4187" s="184">
        <v>19.003847870000001</v>
      </c>
      <c r="C4187" s="184">
        <v>-98.224100500000006</v>
      </c>
    </row>
    <row r="4188" spans="1:3">
      <c r="A4188" s="184" t="s">
        <v>9648</v>
      </c>
      <c r="B4188" s="184">
        <v>19.442026200000001</v>
      </c>
      <c r="C4188" s="184">
        <v>-99.117325600000001</v>
      </c>
    </row>
    <row r="4189" spans="1:3">
      <c r="A4189" s="184" t="s">
        <v>9651</v>
      </c>
      <c r="B4189" s="184">
        <v>20.065802550000001</v>
      </c>
      <c r="C4189" s="184">
        <v>-97.944984140000003</v>
      </c>
    </row>
    <row r="4190" spans="1:3">
      <c r="A4190" s="184" t="s">
        <v>9653</v>
      </c>
      <c r="B4190" s="184">
        <v>22.451082100000001</v>
      </c>
      <c r="C4190" s="184">
        <v>-97.906033199999996</v>
      </c>
    </row>
    <row r="4191" spans="1:3">
      <c r="A4191" s="184" t="s">
        <v>9656</v>
      </c>
      <c r="B4191" s="184">
        <v>19.442026200000001</v>
      </c>
      <c r="C4191" s="184">
        <v>-99.117325600000001</v>
      </c>
    </row>
    <row r="4192" spans="1:3">
      <c r="A4192" s="184" t="s">
        <v>9659</v>
      </c>
      <c r="B4192" s="184">
        <v>19.269707449999999</v>
      </c>
      <c r="C4192" s="184">
        <v>-97.188780300000005</v>
      </c>
    </row>
    <row r="4193" spans="1:3">
      <c r="A4193" s="184" t="s">
        <v>9660</v>
      </c>
      <c r="B4193" s="184">
        <v>19.442026200000001</v>
      </c>
      <c r="C4193" s="184">
        <v>-99.117325600000001</v>
      </c>
    </row>
    <row r="4194" spans="1:3">
      <c r="A4194" s="184" t="s">
        <v>9663</v>
      </c>
      <c r="B4194" s="184">
        <v>21.33137499</v>
      </c>
      <c r="C4194" s="184">
        <v>-98.642826360000001</v>
      </c>
    </row>
    <row r="4195" spans="1:3">
      <c r="A4195" s="184" t="s">
        <v>9666</v>
      </c>
      <c r="B4195" s="184">
        <v>20.361560659999999</v>
      </c>
      <c r="C4195" s="184">
        <v>-98.108737210000001</v>
      </c>
    </row>
    <row r="4196" spans="1:3">
      <c r="A4196" s="184" t="s">
        <v>9669</v>
      </c>
      <c r="B4196" s="184">
        <v>20.911060689999999</v>
      </c>
      <c r="C4196" s="184">
        <v>-98.265583500000005</v>
      </c>
    </row>
    <row r="4197" spans="1:3">
      <c r="A4197" s="184" t="s">
        <v>9672</v>
      </c>
      <c r="B4197" s="184">
        <v>21.045914629999999</v>
      </c>
      <c r="C4197" s="184">
        <v>-98.160971669999995</v>
      </c>
    </row>
    <row r="4198" spans="1:3">
      <c r="A4198" s="184" t="s">
        <v>9675</v>
      </c>
      <c r="B4198" s="184">
        <v>21.052086150000001</v>
      </c>
      <c r="C4198" s="184">
        <v>-98.575104060000001</v>
      </c>
    </row>
    <row r="4199" spans="1:3">
      <c r="A4199" s="184" t="s">
        <v>9677</v>
      </c>
      <c r="B4199" s="184">
        <v>20.9181156</v>
      </c>
      <c r="C4199" s="184">
        <v>-98.250771929999999</v>
      </c>
    </row>
    <row r="4200" spans="1:3">
      <c r="A4200" s="184" t="s">
        <v>9679</v>
      </c>
      <c r="B4200" s="184">
        <v>21.270804609999999</v>
      </c>
      <c r="C4200" s="184">
        <v>-98.557443019999994</v>
      </c>
    </row>
    <row r="4201" spans="1:3">
      <c r="A4201" s="184" t="s">
        <v>9681</v>
      </c>
      <c r="B4201" s="184">
        <v>20.916418629999999</v>
      </c>
      <c r="C4201" s="184">
        <v>-98.325427020000006</v>
      </c>
    </row>
    <row r="4202" spans="1:3">
      <c r="A4202" s="184" t="s">
        <v>9684</v>
      </c>
      <c r="B4202" s="184">
        <v>20.981198200000001</v>
      </c>
      <c r="C4202" s="184">
        <v>-98.367917629999994</v>
      </c>
    </row>
    <row r="4203" spans="1:3">
      <c r="A4203" s="184" t="s">
        <v>9687</v>
      </c>
      <c r="B4203" s="184">
        <v>21.347668720000001</v>
      </c>
      <c r="C4203" s="184">
        <v>-98.637501599999993</v>
      </c>
    </row>
    <row r="4204" spans="1:3">
      <c r="A4204" s="184" t="s">
        <v>9690</v>
      </c>
      <c r="B4204" s="184">
        <v>20.99389047</v>
      </c>
      <c r="C4204" s="184">
        <v>-98.393791949999994</v>
      </c>
    </row>
    <row r="4205" spans="1:3">
      <c r="A4205" s="184" t="s">
        <v>9693</v>
      </c>
      <c r="B4205" s="184">
        <v>20.905170930000001</v>
      </c>
      <c r="C4205" s="184">
        <v>-98.334084599999997</v>
      </c>
    </row>
    <row r="4206" spans="1:3">
      <c r="A4206" s="184" t="s">
        <v>9696</v>
      </c>
      <c r="B4206" s="184">
        <v>21.061727770000001</v>
      </c>
      <c r="C4206" s="184">
        <v>-98.349438939999999</v>
      </c>
    </row>
    <row r="4207" spans="1:3">
      <c r="A4207" s="184" t="s">
        <v>9699</v>
      </c>
      <c r="B4207" s="184">
        <v>21.332303490000001</v>
      </c>
      <c r="C4207" s="184">
        <v>-98.642863669999997</v>
      </c>
    </row>
    <row r="4208" spans="1:3">
      <c r="A4208" s="184" t="s">
        <v>9701</v>
      </c>
      <c r="B4208" s="184">
        <v>21.035970030000001</v>
      </c>
      <c r="C4208" s="184">
        <v>-98.753065989999996</v>
      </c>
    </row>
    <row r="4209" spans="1:3">
      <c r="A4209" s="184" t="s">
        <v>9703</v>
      </c>
      <c r="B4209" s="184">
        <v>21.33171862</v>
      </c>
      <c r="C4209" s="184">
        <v>-98.549698460000002</v>
      </c>
    </row>
    <row r="4210" spans="1:3">
      <c r="A4210" s="184" t="s">
        <v>9706</v>
      </c>
      <c r="B4210" s="184">
        <v>20.91527335</v>
      </c>
      <c r="C4210" s="184">
        <v>-98.324729050000002</v>
      </c>
    </row>
    <row r="4211" spans="1:3">
      <c r="A4211" s="184" t="s">
        <v>9707</v>
      </c>
      <c r="B4211" s="184">
        <v>21.037192340000001</v>
      </c>
      <c r="C4211" s="184">
        <v>-98.281364969999998</v>
      </c>
    </row>
    <row r="4212" spans="1:3">
      <c r="A4212" s="184" t="s">
        <v>9709</v>
      </c>
      <c r="B4212" s="184">
        <v>19.831874880000001</v>
      </c>
      <c r="C4212" s="184">
        <v>-97.377594490000007</v>
      </c>
    </row>
    <row r="4213" spans="1:3">
      <c r="A4213" s="184" t="s">
        <v>9712</v>
      </c>
      <c r="B4213" s="184">
        <v>21.717304899999998</v>
      </c>
      <c r="C4213" s="184">
        <v>-98.578815230000004</v>
      </c>
    </row>
    <row r="4214" spans="1:3">
      <c r="A4214" s="184" t="s">
        <v>9713</v>
      </c>
      <c r="B4214" s="184">
        <v>18.414352149999999</v>
      </c>
      <c r="C4214" s="184">
        <v>-96.883723110000005</v>
      </c>
    </row>
    <row r="4215" spans="1:3">
      <c r="A4215" s="184" t="s">
        <v>9716</v>
      </c>
      <c r="B4215" s="184">
        <v>20.452589209999999</v>
      </c>
      <c r="C4215" s="184">
        <v>-97.689719030000006</v>
      </c>
    </row>
    <row r="4216" spans="1:3">
      <c r="A4216" s="184" t="s">
        <v>9718</v>
      </c>
      <c r="B4216" s="184">
        <v>20.063647549999999</v>
      </c>
      <c r="C4216" s="184">
        <v>-97.575905289999994</v>
      </c>
    </row>
    <row r="4217" spans="1:3">
      <c r="A4217" s="184" t="s">
        <v>9722</v>
      </c>
      <c r="B4217" s="184">
        <v>20.118681259999999</v>
      </c>
      <c r="C4217" s="184">
        <v>-98.098642999999996</v>
      </c>
    </row>
    <row r="4218" spans="1:3">
      <c r="A4218" s="184" t="s">
        <v>9724</v>
      </c>
      <c r="B4218" s="184">
        <v>22.507245489999999</v>
      </c>
      <c r="C4218" s="184">
        <v>-99.655819449999996</v>
      </c>
    </row>
    <row r="4219" spans="1:3">
      <c r="A4219" s="184" t="s">
        <v>9726</v>
      </c>
      <c r="B4219" s="184">
        <v>22.51802468</v>
      </c>
      <c r="C4219" s="184">
        <v>-97.900737219999996</v>
      </c>
    </row>
    <row r="4220" spans="1:3">
      <c r="A4220" s="184" t="s">
        <v>9727</v>
      </c>
      <c r="B4220" s="184">
        <v>20.362804879999999</v>
      </c>
      <c r="C4220" s="184">
        <v>-98.109833370000004</v>
      </c>
    </row>
    <row r="4221" spans="1:3">
      <c r="A4221" s="184" t="s">
        <v>9729</v>
      </c>
      <c r="B4221" s="184">
        <v>20.280452409999999</v>
      </c>
      <c r="C4221" s="184">
        <v>-97.95612654</v>
      </c>
    </row>
    <row r="4222" spans="1:3">
      <c r="A4222" s="184" t="s">
        <v>9731</v>
      </c>
      <c r="B4222" s="184">
        <v>20.073512640000001</v>
      </c>
      <c r="C4222" s="184">
        <v>-97.519164799999999</v>
      </c>
    </row>
    <row r="4223" spans="1:3">
      <c r="A4223" s="184" t="s">
        <v>9733</v>
      </c>
      <c r="B4223" s="184">
        <v>19.919024520000001</v>
      </c>
      <c r="C4223" s="184">
        <v>-97.583819419999998</v>
      </c>
    </row>
    <row r="4224" spans="1:3">
      <c r="A4224" s="184" t="s">
        <v>9735</v>
      </c>
      <c r="B4224" s="184">
        <v>21.689792059999998</v>
      </c>
      <c r="C4224" s="184">
        <v>-99.178869030000001</v>
      </c>
    </row>
    <row r="4225" spans="1:3">
      <c r="A4225" s="184" t="s">
        <v>9737</v>
      </c>
      <c r="B4225" s="184">
        <v>20.283059399999999</v>
      </c>
      <c r="C4225" s="184">
        <v>-97.964901420000004</v>
      </c>
    </row>
    <row r="4226" spans="1:3">
      <c r="A4226" s="184" t="s">
        <v>9738</v>
      </c>
      <c r="B4226" s="184">
        <v>19.79989952</v>
      </c>
      <c r="C4226" s="184">
        <v>-97.394569160000003</v>
      </c>
    </row>
    <row r="4227" spans="1:3">
      <c r="A4227" s="184" t="s">
        <v>9740</v>
      </c>
      <c r="B4227" s="184">
        <v>19.67915781</v>
      </c>
      <c r="C4227" s="184">
        <v>-97.455877229999999</v>
      </c>
    </row>
    <row r="4228" spans="1:3">
      <c r="A4228" s="184" t="s">
        <v>9743</v>
      </c>
      <c r="B4228" s="184">
        <v>19.0491569</v>
      </c>
      <c r="C4228" s="184">
        <v>-98.152229800000001</v>
      </c>
    </row>
    <row r="4229" spans="1:3">
      <c r="A4229" s="188" t="s">
        <v>9746</v>
      </c>
      <c r="B4229" s="189">
        <v>21.604871840000001</v>
      </c>
      <c r="C4229" s="189">
        <v>-99.368017370000004</v>
      </c>
    </row>
    <row r="4230" spans="1:3">
      <c r="A4230" s="190" t="s">
        <v>9748</v>
      </c>
      <c r="B4230" s="191">
        <v>21.65806852</v>
      </c>
      <c r="C4230" s="191">
        <v>-99.496767640000002</v>
      </c>
    </row>
    <row r="4231" spans="1:3">
      <c r="A4231" s="190" t="s">
        <v>9750</v>
      </c>
      <c r="B4231" s="191">
        <v>21.68749116</v>
      </c>
      <c r="C4231" s="191">
        <v>-99.499701979999998</v>
      </c>
    </row>
  </sheetData>
  <conditionalFormatting sqref="A1:A5968">
    <cfRule type="duplicateValues" dxfId="53"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5C35"/>
  </sheetPr>
  <dimension ref="A1:O13"/>
  <sheetViews>
    <sheetView showGridLines="0" zoomScaleNormal="100" workbookViewId="0">
      <selection activeCell="H22" sqref="H22"/>
    </sheetView>
  </sheetViews>
  <sheetFormatPr defaultColWidth="8.7109375" defaultRowHeight="15"/>
  <cols>
    <col min="1" max="1" width="24" customWidth="1"/>
    <col min="2" max="2" width="10" customWidth="1"/>
    <col min="3" max="5" width="13" customWidth="1"/>
    <col min="6" max="6" width="16.42578125" customWidth="1"/>
    <col min="7" max="7" width="12" customWidth="1"/>
    <col min="8" max="8" width="13" customWidth="1"/>
    <col min="9" max="9" width="14" customWidth="1"/>
    <col min="10" max="11" width="13" customWidth="1"/>
    <col min="12" max="13" width="14" customWidth="1"/>
    <col min="14" max="14" width="16" customWidth="1"/>
    <col min="15" max="15" width="12" customWidth="1"/>
  </cols>
  <sheetData>
    <row r="1" spans="1:15" ht="33.75" customHeight="1">
      <c r="A1" s="236" t="s">
        <v>9754</v>
      </c>
      <c r="B1" s="260"/>
      <c r="C1" s="260"/>
      <c r="D1" s="260"/>
      <c r="E1" s="260"/>
      <c r="F1" s="260"/>
      <c r="G1" s="260"/>
      <c r="H1" s="260"/>
      <c r="I1" s="260"/>
      <c r="J1" s="260"/>
      <c r="K1" s="260"/>
      <c r="L1" s="260"/>
    </row>
    <row r="2" spans="1:15" ht="3.75" customHeight="1">
      <c r="A2" s="260"/>
      <c r="B2" s="260"/>
      <c r="C2" s="260"/>
      <c r="D2" s="260"/>
      <c r="E2" s="260"/>
      <c r="F2" s="260"/>
      <c r="G2" s="260"/>
      <c r="H2" s="260"/>
      <c r="I2" s="260"/>
      <c r="J2" s="260"/>
      <c r="K2" s="260"/>
      <c r="L2" s="260"/>
    </row>
    <row r="4" spans="1:15" ht="31.5" customHeight="1">
      <c r="A4" s="66" t="s">
        <v>91</v>
      </c>
      <c r="B4" s="66" t="s">
        <v>42</v>
      </c>
      <c r="C4" s="66" t="s">
        <v>9755</v>
      </c>
      <c r="D4" s="66" t="s">
        <v>9756</v>
      </c>
      <c r="E4" s="66" t="s">
        <v>47</v>
      </c>
      <c r="F4" s="66" t="s">
        <v>15</v>
      </c>
      <c r="G4" s="66" t="s">
        <v>18</v>
      </c>
      <c r="H4" s="66" t="s">
        <v>46</v>
      </c>
      <c r="I4" s="66" t="s">
        <v>9757</v>
      </c>
      <c r="J4" s="66" t="s">
        <v>9758</v>
      </c>
      <c r="K4" s="66" t="s">
        <v>9759</v>
      </c>
      <c r="L4" s="66" t="s">
        <v>9760</v>
      </c>
      <c r="M4" s="66" t="s">
        <v>9761</v>
      </c>
      <c r="N4" s="66" t="s">
        <v>9762</v>
      </c>
      <c r="O4" s="66" t="s">
        <v>64</v>
      </c>
    </row>
    <row r="5" spans="1:15" ht="18" customHeight="1">
      <c r="A5" s="95" t="s">
        <v>50</v>
      </c>
      <c r="B5" s="96">
        <v>1130</v>
      </c>
      <c r="C5" s="97">
        <f>COUNTIF('GRT Central'!K6:K1135,"INSTALADO - OPERANDO")</f>
        <v>769</v>
      </c>
      <c r="D5" s="97">
        <f>COUNTIF('GRT Central'!K6:K1135,"INSTALADO - SIN SEÑAL")</f>
        <v>89</v>
      </c>
      <c r="E5" s="97">
        <f>MAX(0,ENTREGA_ALMACÉN!C37-CONSOLIDADO!C5-CONSOLIDADO!D5)</f>
        <v>265</v>
      </c>
      <c r="F5" s="97">
        <f>COUNTIF('GRT Central'!K6:K1135,"PROGRAMADO")</f>
        <v>0</v>
      </c>
      <c r="G5" s="97">
        <f>COUNTIF('GRT Central'!K6:K1135,"VISITADO")</f>
        <v>20</v>
      </c>
      <c r="H5" s="97">
        <f>COUNTIF('GRT Central'!K6:K1135,"SIN INMUEBLE")</f>
        <v>0</v>
      </c>
      <c r="I5" s="96">
        <f t="shared" ref="I5:I12" si="0">SUM(C5:H5)</f>
        <v>1143</v>
      </c>
      <c r="J5" s="98">
        <f t="shared" ref="J5:J12" si="1">IF(B5=0,0,(C5+D5)/B5)</f>
        <v>0.75929203539823009</v>
      </c>
      <c r="K5" s="98">
        <f t="shared" ref="K5:K13" si="2">IF(B5=0,0,I5/B5)</f>
        <v>1.011504424778761</v>
      </c>
      <c r="L5" s="97">
        <f t="shared" ref="L5:L12" si="3">B5-I5</f>
        <v>-13</v>
      </c>
      <c r="M5" s="94">
        <f>ENTREGA_ALMACÉN!C37</f>
        <v>1123</v>
      </c>
      <c r="N5" s="42">
        <f t="shared" ref="N5:N13" si="4">E5-M5</f>
        <v>-858</v>
      </c>
      <c r="O5" s="99">
        <f>COUNTIF('GRT Central'!K6:K1135,"CANCELADO")</f>
        <v>0</v>
      </c>
    </row>
    <row r="6" spans="1:15" ht="18" customHeight="1">
      <c r="A6" s="100" t="s">
        <v>51</v>
      </c>
      <c r="B6" s="101">
        <v>779</v>
      </c>
      <c r="C6" s="102">
        <f>COUNTIF('GRT Occidente'!K6:K784,"INSTALADO - OPERANDO")</f>
        <v>80</v>
      </c>
      <c r="D6" s="102">
        <f>COUNTIF('GRT Occidente'!K6:K784,"INSTALADO - SIN SEÑAL")</f>
        <v>20</v>
      </c>
      <c r="E6" s="102">
        <f>MAX(0,ENTREGA_ALMACÉN!C38-CONSOLIDADO!C6-CONSOLIDADO!D6)</f>
        <v>631</v>
      </c>
      <c r="F6" s="102">
        <f>COUNTIF('GRT Occidente'!K6:K784,"PROGRAMADO")</f>
        <v>0</v>
      </c>
      <c r="G6" s="102">
        <f>COUNTIF('GRT Occidente'!K6:K784,"VISITADO")</f>
        <v>0</v>
      </c>
      <c r="H6" s="102">
        <f>COUNTIF('GRT Occidente'!K6:K784,"SIN INMUEBLE")</f>
        <v>0</v>
      </c>
      <c r="I6" s="101">
        <f t="shared" si="0"/>
        <v>731</v>
      </c>
      <c r="J6" s="103">
        <f t="shared" si="1"/>
        <v>0.12836970474967907</v>
      </c>
      <c r="K6" s="103">
        <f t="shared" si="2"/>
        <v>0.93838254172015401</v>
      </c>
      <c r="L6" s="102">
        <f t="shared" si="3"/>
        <v>48</v>
      </c>
      <c r="M6" s="94">
        <f>ENTREGA_ALMACÉN!C38</f>
        <v>731</v>
      </c>
      <c r="N6" s="39">
        <f t="shared" si="4"/>
        <v>-100</v>
      </c>
      <c r="O6" s="104">
        <f>COUNTIF('GRT Occidente'!K6:K784,"CANCELADO")</f>
        <v>0</v>
      </c>
    </row>
    <row r="7" spans="1:15" ht="18" customHeight="1">
      <c r="A7" s="105" t="s">
        <v>52</v>
      </c>
      <c r="B7" s="96">
        <v>395</v>
      </c>
      <c r="C7" s="97">
        <f>COUNTIF('GRT Oriente'!K6:K400,"INSTALADO - OPERANDO")</f>
        <v>72</v>
      </c>
      <c r="D7" s="97">
        <f>COUNTIF('GRT Oriente'!K6:K400,"INSTALADO - SIN SEÑAL")</f>
        <v>12</v>
      </c>
      <c r="E7" s="97">
        <f>MAX(0,ENTREGA_ALMACÉN!C39-CONSOLIDADO!C7-CONSOLIDADO!D7)</f>
        <v>275</v>
      </c>
      <c r="F7" s="97">
        <f>COUNTIF('GRT Oriente'!K6:K400,"PROGRAMADO")</f>
        <v>0</v>
      </c>
      <c r="G7" s="97">
        <f>COUNTIF('GRT Oriente'!K6:K400,"VISITADO")</f>
        <v>0</v>
      </c>
      <c r="H7" s="97">
        <f>COUNTIF('GRT Oriente'!K6:K400,"SIN INMUEBLE")</f>
        <v>0</v>
      </c>
      <c r="I7" s="96">
        <f t="shared" si="0"/>
        <v>359</v>
      </c>
      <c r="J7" s="98">
        <f t="shared" si="1"/>
        <v>0.21265822784810126</v>
      </c>
      <c r="K7" s="98">
        <f t="shared" si="2"/>
        <v>0.90886075949367084</v>
      </c>
      <c r="L7" s="97">
        <f t="shared" si="3"/>
        <v>36</v>
      </c>
      <c r="M7" s="94">
        <f>ENTREGA_ALMACÉN!C39</f>
        <v>359</v>
      </c>
      <c r="N7" s="42">
        <f t="shared" si="4"/>
        <v>-84</v>
      </c>
      <c r="O7" s="99">
        <f>COUNTIF('GRT Oriente'!K6:K400,"CANCELADO")</f>
        <v>0</v>
      </c>
    </row>
    <row r="8" spans="1:15" ht="18" customHeight="1">
      <c r="A8" s="106" t="s">
        <v>53</v>
      </c>
      <c r="B8" s="101">
        <v>735</v>
      </c>
      <c r="C8" s="102">
        <f>COUNTIF('GRT Valle de México'!K6:K740,"INSTALADO - OPERANDO")</f>
        <v>74</v>
      </c>
      <c r="D8" s="102">
        <f>COUNTIF('GRT Valle de México'!K6:K740,"INSTALADO - SIN SEÑAL")</f>
        <v>3</v>
      </c>
      <c r="E8" s="102">
        <f>MAX(0,ENTREGA_ALMACÉN!C40-CONSOLIDADO!C8-CONSOLIDADO!D8)</f>
        <v>460</v>
      </c>
      <c r="F8" s="102">
        <f>COUNTIF('GRT Valle de México'!K6:K740,"PROGRAMADO")</f>
        <v>0</v>
      </c>
      <c r="G8" s="102">
        <f>COUNTIF('GRT Valle de México'!K6:K740,"VISITADO")</f>
        <v>0</v>
      </c>
      <c r="H8" s="102">
        <f>COUNTIF('GRT Valle de México'!K6:K740,"SIN INMUEBLE")</f>
        <v>0</v>
      </c>
      <c r="I8" s="101">
        <f t="shared" si="0"/>
        <v>537</v>
      </c>
      <c r="J8" s="103">
        <f t="shared" si="1"/>
        <v>0.10476190476190476</v>
      </c>
      <c r="K8" s="103">
        <f t="shared" si="2"/>
        <v>0.73061224489795917</v>
      </c>
      <c r="L8" s="102">
        <f t="shared" si="3"/>
        <v>198</v>
      </c>
      <c r="M8" s="94">
        <f>ENTREGA_ALMACÉN!C40</f>
        <v>537</v>
      </c>
      <c r="N8" s="39">
        <f t="shared" si="4"/>
        <v>-77</v>
      </c>
      <c r="O8" s="104">
        <f>COUNTIF('GRT Valle de México'!K6:K740,"CANCELADO")</f>
        <v>0</v>
      </c>
    </row>
    <row r="9" spans="1:15" ht="18" customHeight="1">
      <c r="A9" s="107" t="s">
        <v>54</v>
      </c>
      <c r="B9" s="96">
        <v>367</v>
      </c>
      <c r="C9" s="97">
        <f>COUNTIF('GRT Noroeste'!K6:K372,"INSTALADO - OPERANDO")</f>
        <v>60</v>
      </c>
      <c r="D9" s="97">
        <f>COUNTIF('GRT Noroeste'!K6:K372,"INSTALADO - SIN SEÑAL")</f>
        <v>3</v>
      </c>
      <c r="E9" s="97">
        <f>MAX(0,ENTREGA_ALMACÉN!C41-CONSOLIDADO!C9-CONSOLIDADO!D9)</f>
        <v>284</v>
      </c>
      <c r="F9" s="97">
        <f>COUNTIF('GRT Noroeste'!K6:K372,"PROGRAMADO")</f>
        <v>0</v>
      </c>
      <c r="G9" s="97">
        <f>COUNTIF('GRT Noroeste'!K6:K372,"VISITADO")</f>
        <v>0</v>
      </c>
      <c r="H9" s="97">
        <f>COUNTIF('GRT Noroeste'!K6:K372,"SIN INMUEBLE")</f>
        <v>2</v>
      </c>
      <c r="I9" s="96">
        <f t="shared" si="0"/>
        <v>349</v>
      </c>
      <c r="J9" s="98">
        <f t="shared" si="1"/>
        <v>0.17166212534059946</v>
      </c>
      <c r="K9" s="98">
        <f t="shared" si="2"/>
        <v>0.95095367847411449</v>
      </c>
      <c r="L9" s="97">
        <f t="shared" si="3"/>
        <v>18</v>
      </c>
      <c r="M9" s="94">
        <f>ENTREGA_ALMACÉN!C41</f>
        <v>347</v>
      </c>
      <c r="N9" s="42">
        <f t="shared" si="4"/>
        <v>-63</v>
      </c>
      <c r="O9" s="99">
        <f>COUNTIF('GRT Noroeste'!K6:K372,"CANCELADO")</f>
        <v>0</v>
      </c>
    </row>
    <row r="10" spans="1:15" ht="18" customHeight="1">
      <c r="A10" s="108" t="s">
        <v>55</v>
      </c>
      <c r="B10" s="101">
        <v>291</v>
      </c>
      <c r="C10" s="102">
        <f>COUNTIF('GRT Norte'!K6:K296,"INSTALADO - OPERANDO")</f>
        <v>19</v>
      </c>
      <c r="D10" s="102">
        <f>COUNTIF('GRT Norte'!K6:K296,"INSTALADO - SIN SEÑAL")</f>
        <v>3</v>
      </c>
      <c r="E10" s="102">
        <f>MAX(0,ENTREGA_ALMACÉN!C42-CONSOLIDADO!C10-CONSOLIDADO!D10)</f>
        <v>269</v>
      </c>
      <c r="F10" s="102">
        <f>COUNTIF('GRT Norte'!K6:K296,"PROGRAMADO")</f>
        <v>0</v>
      </c>
      <c r="G10" s="102">
        <f>COUNTIF('GRT Norte'!K6:K296,"VISITADO")</f>
        <v>0</v>
      </c>
      <c r="H10" s="102">
        <f>COUNTIF('GRT Norte'!K6:K296,"SIN INMUEBLE")</f>
        <v>0</v>
      </c>
      <c r="I10" s="101">
        <f t="shared" si="0"/>
        <v>291</v>
      </c>
      <c r="J10" s="103">
        <f t="shared" si="1"/>
        <v>7.560137457044673E-2</v>
      </c>
      <c r="K10" s="103">
        <f t="shared" si="2"/>
        <v>1</v>
      </c>
      <c r="L10" s="102">
        <f t="shared" si="3"/>
        <v>0</v>
      </c>
      <c r="M10" s="94">
        <f>ENTREGA_ALMACÉN!C42</f>
        <v>291</v>
      </c>
      <c r="N10" s="39">
        <f t="shared" si="4"/>
        <v>-22</v>
      </c>
      <c r="O10" s="104">
        <f>COUNTIF('GRT Norte'!K6:K296,"CANCELADO")</f>
        <v>0</v>
      </c>
    </row>
    <row r="11" spans="1:15" ht="18" customHeight="1">
      <c r="A11" s="109" t="s">
        <v>56</v>
      </c>
      <c r="B11" s="96">
        <v>257</v>
      </c>
      <c r="C11" s="97">
        <f>COUNTIF('GRT Noreste'!K6:K262,"INSTALADO - OPERANDO")</f>
        <v>42</v>
      </c>
      <c r="D11" s="97">
        <f>COUNTIF('GRT Noreste'!K6:K262,"INSTALADO - SIN SEÑAL")</f>
        <v>0</v>
      </c>
      <c r="E11" s="97">
        <f>MAX(0,ENTREGA_ALMACÉN!C43-CONSOLIDADO!C11-CONSOLIDADO!D11)</f>
        <v>203</v>
      </c>
      <c r="F11" s="97">
        <f>COUNTIF('GRT Noreste'!K6:K262,"PROGRAMADO")</f>
        <v>0</v>
      </c>
      <c r="G11" s="97">
        <f>COUNTIF('GRT Noreste'!K6:K262,"VISITADO")</f>
        <v>1</v>
      </c>
      <c r="H11" s="97">
        <f>COUNTIF('GRT Noreste'!K6:K262,"SIN INMUEBLE")</f>
        <v>1</v>
      </c>
      <c r="I11" s="96">
        <f t="shared" si="0"/>
        <v>247</v>
      </c>
      <c r="J11" s="98">
        <f t="shared" si="1"/>
        <v>0.16342412451361868</v>
      </c>
      <c r="K11" s="98">
        <f t="shared" si="2"/>
        <v>0.96108949416342415</v>
      </c>
      <c r="L11" s="97">
        <f t="shared" si="3"/>
        <v>10</v>
      </c>
      <c r="M11" s="94">
        <f>ENTREGA_ALMACÉN!C43</f>
        <v>245</v>
      </c>
      <c r="N11" s="42">
        <f t="shared" si="4"/>
        <v>-42</v>
      </c>
      <c r="O11" s="99">
        <f>COUNTIF('GRT Noreste'!K6:K262,"CANCELADO")</f>
        <v>0</v>
      </c>
    </row>
    <row r="12" spans="1:15" ht="18" customHeight="1">
      <c r="A12" s="110" t="s">
        <v>57</v>
      </c>
      <c r="B12" s="101">
        <v>276</v>
      </c>
      <c r="C12" s="102">
        <f>COUNTIF('GRT Baja California'!K6:K281,"INSTALADO - OPERANDO")</f>
        <v>29</v>
      </c>
      <c r="D12" s="102">
        <f>COUNTIF('GRT Baja California'!K6:K281,"INSTALADO - SIN SEÑAL")</f>
        <v>14</v>
      </c>
      <c r="E12" s="102">
        <f>MAX(0,ENTREGA_ALMACÉN!C44-CONSOLIDADO!C12-CONSOLIDADO!D12)</f>
        <v>184</v>
      </c>
      <c r="F12" s="102">
        <f>COUNTIF('GRT Baja California'!K6:K281,"PROGRAMADO")</f>
        <v>0</v>
      </c>
      <c r="G12" s="102">
        <f>COUNTIF('GRT Baja California'!K6:K281,"VISITADO")</f>
        <v>0</v>
      </c>
      <c r="H12" s="102">
        <f>COUNTIF('GRT Baja California'!K6:K281,"SIN INMUEBLE")</f>
        <v>0</v>
      </c>
      <c r="I12" s="101">
        <f t="shared" si="0"/>
        <v>227</v>
      </c>
      <c r="J12" s="103">
        <f t="shared" si="1"/>
        <v>0.15579710144927536</v>
      </c>
      <c r="K12" s="103">
        <f t="shared" si="2"/>
        <v>0.82246376811594202</v>
      </c>
      <c r="L12" s="102">
        <f t="shared" si="3"/>
        <v>49</v>
      </c>
      <c r="M12" s="94">
        <f>ENTREGA_ALMACÉN!C44</f>
        <v>227</v>
      </c>
      <c r="N12" s="39">
        <f t="shared" si="4"/>
        <v>-43</v>
      </c>
      <c r="O12" s="104">
        <f>COUNTIF('GRT Baja California'!K6:K281,"CANCELADO")</f>
        <v>0</v>
      </c>
    </row>
    <row r="13" spans="1:15" ht="21.75" customHeight="1">
      <c r="A13" s="111" t="s">
        <v>69</v>
      </c>
      <c r="B13" s="111">
        <f t="shared" ref="B13:I13" si="5">SUM(B5:B12)</f>
        <v>4230</v>
      </c>
      <c r="C13" s="111">
        <f t="shared" si="5"/>
        <v>1145</v>
      </c>
      <c r="D13" s="111">
        <f t="shared" si="5"/>
        <v>144</v>
      </c>
      <c r="E13" s="111">
        <f t="shared" si="5"/>
        <v>2571</v>
      </c>
      <c r="F13" s="111">
        <f t="shared" si="5"/>
        <v>0</v>
      </c>
      <c r="G13" s="111">
        <f t="shared" si="5"/>
        <v>21</v>
      </c>
      <c r="H13" s="111">
        <f t="shared" si="5"/>
        <v>3</v>
      </c>
      <c r="I13" s="111">
        <f t="shared" si="5"/>
        <v>3884</v>
      </c>
      <c r="J13" s="112">
        <f>IF(B13=0,0,C13/B13)</f>
        <v>0.2706855791962175</v>
      </c>
      <c r="K13" s="112">
        <f t="shared" si="2"/>
        <v>0.91820330969267139</v>
      </c>
      <c r="L13" s="111">
        <f>SUM(L5:L12)</f>
        <v>346</v>
      </c>
      <c r="M13" s="113">
        <f>SUM(M5:M12)</f>
        <v>3860</v>
      </c>
      <c r="N13" s="113">
        <f t="shared" si="4"/>
        <v>-1289</v>
      </c>
      <c r="O13" s="114">
        <f>SUM(O5:O12)</f>
        <v>0</v>
      </c>
    </row>
  </sheetData>
  <mergeCells count="1">
    <mergeCell ref="A1:L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B5E20"/>
  </sheetPr>
  <dimension ref="A1:P46"/>
  <sheetViews>
    <sheetView showGridLines="0" zoomScaleNormal="100" workbookViewId="0">
      <selection activeCell="B14" sqref="B14"/>
    </sheetView>
  </sheetViews>
  <sheetFormatPr defaultColWidth="8.7109375" defaultRowHeight="15"/>
  <cols>
    <col min="1" max="1" width="5" customWidth="1"/>
    <col min="2" max="3" width="13" customWidth="1"/>
    <col min="4" max="4" width="12" customWidth="1"/>
    <col min="5" max="5" width="13" customWidth="1"/>
    <col min="6" max="6" width="12" customWidth="1"/>
    <col min="7" max="7" width="13" customWidth="1"/>
    <col min="8" max="8" width="12" customWidth="1"/>
    <col min="9" max="9" width="11" customWidth="1"/>
    <col min="10" max="11" width="12" customWidth="1"/>
    <col min="12" max="13" width="13" customWidth="1"/>
    <col min="14" max="14" width="11" customWidth="1"/>
    <col min="15" max="15" width="30" customWidth="1"/>
  </cols>
  <sheetData>
    <row r="1" spans="1:16" ht="30" customHeight="1">
      <c r="A1" s="237" t="s">
        <v>9763</v>
      </c>
      <c r="B1" s="260"/>
      <c r="C1" s="260"/>
      <c r="D1" s="260"/>
      <c r="E1" s="260"/>
      <c r="F1" s="260"/>
      <c r="G1" s="260"/>
      <c r="H1" s="260"/>
      <c r="I1" s="260"/>
      <c r="J1" s="260"/>
      <c r="K1" s="260"/>
      <c r="L1" s="260"/>
      <c r="M1" s="260"/>
      <c r="N1" s="260"/>
      <c r="O1" s="260"/>
      <c r="P1" s="260"/>
    </row>
    <row r="2" spans="1:16" ht="3.75" customHeight="1">
      <c r="A2" s="260"/>
      <c r="B2" s="260"/>
      <c r="C2" s="260"/>
      <c r="D2" s="260"/>
      <c r="E2" s="260"/>
      <c r="F2" s="260"/>
      <c r="G2" s="260"/>
      <c r="H2" s="260"/>
      <c r="I2" s="260"/>
      <c r="J2" s="260"/>
      <c r="K2" s="260"/>
      <c r="L2" s="260"/>
      <c r="M2" s="260"/>
      <c r="N2" s="260"/>
      <c r="O2" s="260"/>
      <c r="P2" s="260"/>
    </row>
    <row r="3" spans="1:16" ht="19.5" customHeight="1">
      <c r="A3" s="238" t="s">
        <v>9764</v>
      </c>
      <c r="B3" s="260"/>
      <c r="C3" s="260"/>
      <c r="D3" s="260"/>
      <c r="E3" s="260"/>
      <c r="F3" s="260"/>
      <c r="G3" s="260"/>
      <c r="H3" s="260"/>
      <c r="I3" s="260"/>
      <c r="J3" s="260"/>
      <c r="K3" s="260"/>
      <c r="L3" s="260"/>
      <c r="M3" s="260"/>
      <c r="N3" s="260"/>
      <c r="O3" s="260"/>
      <c r="P3" s="260"/>
    </row>
    <row r="5" spans="1:16" ht="31.5" customHeight="1">
      <c r="A5" s="48" t="s">
        <v>9765</v>
      </c>
      <c r="B5" s="48" t="s">
        <v>9766</v>
      </c>
      <c r="C5" s="48" t="s">
        <v>9767</v>
      </c>
      <c r="D5" s="48" t="s">
        <v>50</v>
      </c>
      <c r="E5" s="48" t="s">
        <v>51</v>
      </c>
      <c r="F5" s="48" t="s">
        <v>52</v>
      </c>
      <c r="G5" s="48" t="s">
        <v>9768</v>
      </c>
      <c r="H5" s="48" t="s">
        <v>54</v>
      </c>
      <c r="I5" s="48" t="s">
        <v>55</v>
      </c>
      <c r="J5" s="48" t="s">
        <v>56</v>
      </c>
      <c r="K5" s="48" t="s">
        <v>9769</v>
      </c>
      <c r="L5" s="48" t="s">
        <v>9770</v>
      </c>
      <c r="M5" s="48" t="s">
        <v>9771</v>
      </c>
      <c r="N5" s="48" t="s">
        <v>9772</v>
      </c>
      <c r="O5" s="48" t="s">
        <v>9773</v>
      </c>
    </row>
    <row r="6" spans="1:16" ht="18" customHeight="1">
      <c r="A6" s="49">
        <v>1</v>
      </c>
      <c r="B6" s="50">
        <v>46096</v>
      </c>
      <c r="C6" s="50">
        <v>46102</v>
      </c>
      <c r="D6" s="41">
        <f>SUMPRODUCT(((ISNUMBER('GRT Central'!L6:L1135))*('GRT Central'!L6:L1135&gt;=B6)*('GRT Central'!L6:L1135&lt;=C6))*(('GRT Central'!K6:K1135="INSTALADO - OPERANDO")+('GRT Central'!K6:K1135="INSTALADO - SIN SEÑAL")&gt;0))</f>
        <v>16</v>
      </c>
      <c r="E6" s="41">
        <f>SUMPRODUCT(((ISNUMBER('GRT Occidente'!L6:L784))*('GRT Occidente'!L6:L784&gt;=B6)*('GRT Occidente'!L6:L784&lt;=C6))*(('GRT Occidente'!K6:K784="INSTALADO - OPERANDO")+('GRT Occidente'!K6:K784="INSTALADO - SIN SEÑAL")&gt;0))</f>
        <v>0</v>
      </c>
      <c r="F6" s="41">
        <f>SUMPRODUCT(((ISNUMBER('GRT Oriente'!L6:L400))*('GRT Oriente'!L6:L400&gt;=B6)*('GRT Oriente'!L6:L400&lt;=C6))*(('GRT Oriente'!K6:K400="INSTALADO - OPERANDO")+('GRT Oriente'!K6:K400="INSTALADO - SIN SEÑAL")&gt;0))</f>
        <v>0</v>
      </c>
      <c r="G6" s="41">
        <f>SUMPRODUCT(((ISNUMBER('GRT Valle de México'!L6:L740))*('GRT Valle de México'!L6:L740&gt;=B6)*('GRT Valle de México'!L6:L740&lt;=C6))*(('GRT Valle de México'!K6:K740="INSTALADO - OPERANDO")+('GRT Valle de México'!K6:K740="INSTALADO - SIN SEÑAL")&gt;0))</f>
        <v>0</v>
      </c>
      <c r="H6" s="41">
        <f>SUMPRODUCT(((ISNUMBER('GRT Noroeste'!L6:L372))*('GRT Noroeste'!L6:L372&gt;=B6)*('GRT Noroeste'!L6:L372&lt;=C6))*(('GRT Noroeste'!K6:K372="INSTALADO - OPERANDO")+('GRT Noroeste'!K6:K372="INSTALADO - SIN SEÑAL")&gt;0))</f>
        <v>0</v>
      </c>
      <c r="I6" s="41">
        <f>SUMPRODUCT(((ISNUMBER('GRT Norte'!L6:L296))*('GRT Norte'!L6:L296&gt;=B6)*('GRT Norte'!L6:L296&lt;=C6))*(('GRT Norte'!K6:K296="INSTALADO - OPERANDO")+('GRT Norte'!K6:K296="INSTALADO - SIN SEÑAL")&gt;0))</f>
        <v>0</v>
      </c>
      <c r="J6" s="41">
        <f>SUMPRODUCT(((ISNUMBER('GRT Noreste'!L6:L262))*('GRT Noreste'!L6:L262&gt;=B6)*('GRT Noreste'!L6:L262&lt;=C6))*(('GRT Noreste'!K6:K262="INSTALADO - OPERANDO")+('GRT Noreste'!K6:K262="INSTALADO - SIN SEÑAL")&gt;0))</f>
        <v>0</v>
      </c>
      <c r="K6" s="41">
        <f>SUMPRODUCT(((ISNUMBER('GRT Baja California'!L6:L281))*('GRT Baja California'!L6:L281&gt;=B6)*('GRT Baja California'!L6:L281&lt;=C6))*(('GRT Baja California'!K6:K281="INSTALADO - OPERANDO")+('GRT Baja California'!K6:K281="INSTALADO - SIN SEÑAL")&gt;0))</f>
        <v>0</v>
      </c>
      <c r="L6" s="51">
        <f t="shared" ref="L6:L36" si="0">SUM(D6:K6)</f>
        <v>16</v>
      </c>
      <c r="M6" s="49">
        <f>L6</f>
        <v>16</v>
      </c>
      <c r="N6" s="52">
        <f t="shared" ref="N6:N36" si="1">IF(M6=0,"",M6/4230)</f>
        <v>3.7825059101654845E-3</v>
      </c>
      <c r="O6" s="53"/>
    </row>
    <row r="7" spans="1:16" ht="18" customHeight="1">
      <c r="A7" s="54">
        <v>2</v>
      </c>
      <c r="B7" s="55">
        <v>46103</v>
      </c>
      <c r="C7" s="55">
        <v>46109</v>
      </c>
      <c r="D7" s="44">
        <f>SUMPRODUCT(((ISNUMBER('GRT Central'!L6:L1135))*('GRT Central'!L6:L1135&gt;=B7)*('GRT Central'!L6:L1135&lt;=C7))*(('GRT Central'!K6:K1135="INSTALADO - OPERANDO")+('GRT Central'!K6:K1135="INSTALADO - SIN SEÑAL")&gt;0))</f>
        <v>46</v>
      </c>
      <c r="E7" s="44">
        <f>SUMPRODUCT(((ISNUMBER('GRT Occidente'!L6:L784))*('GRT Occidente'!L6:L784&gt;=B7)*('GRT Occidente'!L6:L784&lt;=C7))*(('GRT Occidente'!K6:K784="INSTALADO - OPERANDO")+('GRT Occidente'!K6:K784="INSTALADO - SIN SEÑAL")&gt;0))</f>
        <v>0</v>
      </c>
      <c r="F7" s="44">
        <f>SUMPRODUCT(((ISNUMBER('GRT Oriente'!L6:L400))*('GRT Oriente'!L6:L400&gt;=B7)*('GRT Oriente'!L6:L400&lt;=C7))*(('GRT Oriente'!K6:K400="INSTALADO - OPERANDO")+('GRT Oriente'!K6:K400="INSTALADO - SIN SEÑAL")&gt;0))</f>
        <v>0</v>
      </c>
      <c r="G7" s="44">
        <f>SUMPRODUCT(((ISNUMBER('GRT Valle de México'!L6:L740))*('GRT Valle de México'!L6:L740&gt;=B7)*('GRT Valle de México'!L6:L740&lt;=C7))*(('GRT Valle de México'!K6:K740="INSTALADO - OPERANDO")+('GRT Valle de México'!K6:K740="INSTALADO - SIN SEÑAL")&gt;0))</f>
        <v>0</v>
      </c>
      <c r="H7" s="44">
        <f>SUMPRODUCT(((ISNUMBER('GRT Noroeste'!L6:L372))*('GRT Noroeste'!L6:L372&gt;=B7)*('GRT Noroeste'!L6:L372&lt;=C7))*(('GRT Noroeste'!K6:K372="INSTALADO - OPERANDO")+('GRT Noroeste'!K6:K372="INSTALADO - SIN SEÑAL")&gt;0))</f>
        <v>0</v>
      </c>
      <c r="I7" s="44">
        <f>SUMPRODUCT(((ISNUMBER('GRT Norte'!L6:L296))*('GRT Norte'!L6:L296&gt;=B7)*('GRT Norte'!L6:L296&lt;=C7))*(('GRT Norte'!K6:K296="INSTALADO - OPERANDO")+('GRT Norte'!K6:K296="INSTALADO - SIN SEÑAL")&gt;0))</f>
        <v>0</v>
      </c>
      <c r="J7" s="44">
        <f>SUMPRODUCT(((ISNUMBER('GRT Noreste'!L6:L262))*('GRT Noreste'!L6:L262&gt;=B7)*('GRT Noreste'!L6:L262&lt;=C7))*(('GRT Noreste'!K6:K262="INSTALADO - OPERANDO")+('GRT Noreste'!K6:K262="INSTALADO - SIN SEÑAL")&gt;0))</f>
        <v>0</v>
      </c>
      <c r="K7" s="44">
        <f>SUMPRODUCT(((ISNUMBER('GRT Baja California'!L6:L281))*('GRT Baja California'!L6:L281&gt;=B7)*('GRT Baja California'!L6:L281&lt;=C7))*(('GRT Baja California'!K6:K281="INSTALADO - OPERANDO")+('GRT Baja California'!K6:K281="INSTALADO - SIN SEÑAL")&gt;0))</f>
        <v>0</v>
      </c>
      <c r="L7" s="56">
        <f t="shared" si="0"/>
        <v>46</v>
      </c>
      <c r="M7" s="54">
        <f t="shared" ref="M7:M36" si="2">M6+L7</f>
        <v>62</v>
      </c>
      <c r="N7" s="57">
        <f t="shared" si="1"/>
        <v>1.4657210401891253E-2</v>
      </c>
      <c r="O7" s="58"/>
    </row>
    <row r="8" spans="1:16" ht="18" customHeight="1">
      <c r="A8" s="49">
        <v>3</v>
      </c>
      <c r="B8" s="50">
        <v>46110</v>
      </c>
      <c r="C8" s="50">
        <v>46116</v>
      </c>
      <c r="D8" s="41">
        <f>SUMPRODUCT(((ISNUMBER('GRT Central'!L6:L1135))*('GRT Central'!L6:L1135&gt;=B8)*('GRT Central'!L6:L1135&lt;=C8))*(('GRT Central'!K6:K1135="INSTALADO - OPERANDO")+('GRT Central'!K6:K1135="INSTALADO - SIN SEÑAL")&gt;0))</f>
        <v>52</v>
      </c>
      <c r="E8" s="41">
        <f>SUMPRODUCT(((ISNUMBER('GRT Occidente'!L6:L784))*('GRT Occidente'!L6:L784&gt;=B8)*('GRT Occidente'!L6:L784&lt;=C8))*(('GRT Occidente'!K6:K784="INSTALADO - OPERANDO")+('GRT Occidente'!K6:K784="INSTALADO - SIN SEÑAL")&gt;0))</f>
        <v>0</v>
      </c>
      <c r="F8" s="41">
        <f>SUMPRODUCT(((ISNUMBER('GRT Oriente'!L6:L400))*('GRT Oriente'!L6:L400&gt;=B8)*('GRT Oriente'!L6:L400&lt;=C8))*(('GRT Oriente'!K6:K400="INSTALADO - OPERANDO")+('GRT Oriente'!K6:K400="INSTALADO - SIN SEÑAL")&gt;0))</f>
        <v>0</v>
      </c>
      <c r="G8" s="41">
        <f>SUMPRODUCT(((ISNUMBER('GRT Valle de México'!L6:L740))*('GRT Valle de México'!L6:L740&gt;=B8)*('GRT Valle de México'!L6:L740&lt;=C8))*(('GRT Valle de México'!K6:K740="INSTALADO - OPERANDO")+('GRT Valle de México'!K6:K740="INSTALADO - SIN SEÑAL")&gt;0))</f>
        <v>0</v>
      </c>
      <c r="H8" s="41">
        <f>SUMPRODUCT(((ISNUMBER('GRT Noroeste'!L6:L372))*('GRT Noroeste'!L6:L372&gt;=B8)*('GRT Noroeste'!L6:L372&lt;=C8))*(('GRT Noroeste'!K6:K372="INSTALADO - OPERANDO")+('GRT Noroeste'!K6:K372="INSTALADO - SIN SEÑAL")&gt;0))</f>
        <v>0</v>
      </c>
      <c r="I8" s="41">
        <f>SUMPRODUCT(((ISNUMBER('GRT Norte'!L6:L296))*('GRT Norte'!L6:L296&gt;=B8)*('GRT Norte'!L6:L296&lt;=C8))*(('GRT Norte'!K6:K296="INSTALADO - OPERANDO")+('GRT Norte'!K6:K296="INSTALADO - SIN SEÑAL")&gt;0))</f>
        <v>0</v>
      </c>
      <c r="J8" s="41">
        <f>SUMPRODUCT(((ISNUMBER('GRT Noreste'!L6:L262))*('GRT Noreste'!L6:L262&gt;=B8)*('GRT Noreste'!L6:L262&lt;=C8))*(('GRT Noreste'!K6:K262="INSTALADO - OPERANDO")+('GRT Noreste'!K6:K262="INSTALADO - SIN SEÑAL")&gt;0))</f>
        <v>0</v>
      </c>
      <c r="K8" s="41">
        <f>SUMPRODUCT(((ISNUMBER('GRT Baja California'!L6:L281))*('GRT Baja California'!L6:L281&gt;=B8)*('GRT Baja California'!L6:L281&lt;=C8))*(('GRT Baja California'!K6:K281="INSTALADO - OPERANDO")+('GRT Baja California'!K6:K281="INSTALADO - SIN SEÑAL")&gt;0))</f>
        <v>0</v>
      </c>
      <c r="L8" s="51">
        <f t="shared" si="0"/>
        <v>52</v>
      </c>
      <c r="M8" s="49">
        <f t="shared" si="2"/>
        <v>114</v>
      </c>
      <c r="N8" s="52">
        <f t="shared" si="1"/>
        <v>2.6950354609929079E-2</v>
      </c>
      <c r="O8" s="53"/>
    </row>
    <row r="9" spans="1:16" ht="18" customHeight="1">
      <c r="A9" s="54">
        <v>4</v>
      </c>
      <c r="B9" s="55">
        <v>46117</v>
      </c>
      <c r="C9" s="55">
        <v>46123</v>
      </c>
      <c r="D9" s="44">
        <f>SUMPRODUCT(((ISNUMBER('GRT Central'!L6:L1135))*('GRT Central'!L6:L1135&gt;=B9)*('GRT Central'!L6:L1135&lt;=C9))*(('GRT Central'!K6:K1135="INSTALADO - OPERANDO")+('GRT Central'!K6:K1135="INSTALADO - SIN SEÑAL")&gt;0))</f>
        <v>52</v>
      </c>
      <c r="E9" s="44">
        <f>SUMPRODUCT(((ISNUMBER('GRT Occidente'!L6:L784))*('GRT Occidente'!L6:L784&gt;=B9)*('GRT Occidente'!L6:L784&lt;=C9))*(('GRT Occidente'!K6:K784="INSTALADO - OPERANDO")+('GRT Occidente'!K6:K784="INSTALADO - SIN SEÑAL")&gt;0))</f>
        <v>0</v>
      </c>
      <c r="F9" s="44">
        <f>SUMPRODUCT(((ISNUMBER('GRT Oriente'!L6:L400))*('GRT Oriente'!L6:L400&gt;=B9)*('GRT Oriente'!L6:L400&lt;=C9))*(('GRT Oriente'!K6:K400="INSTALADO - OPERANDO")+('GRT Oriente'!K6:K400="INSTALADO - SIN SEÑAL")&gt;0))</f>
        <v>0</v>
      </c>
      <c r="G9" s="44">
        <f>SUMPRODUCT(((ISNUMBER('GRT Valle de México'!L6:L740))*('GRT Valle de México'!L6:L740&gt;=B9)*('GRT Valle de México'!L6:L740&lt;=C9))*(('GRT Valle de México'!K6:K740="INSTALADO - OPERANDO")+('GRT Valle de México'!K6:K740="INSTALADO - SIN SEÑAL")&gt;0))</f>
        <v>0</v>
      </c>
      <c r="H9" s="44">
        <f>SUMPRODUCT(((ISNUMBER('GRT Noroeste'!L6:L372))*('GRT Noroeste'!L6:L372&gt;=B9)*('GRT Noroeste'!L6:L372&lt;=C9))*(('GRT Noroeste'!K6:K372="INSTALADO - OPERANDO")+('GRT Noroeste'!K6:K372="INSTALADO - SIN SEÑAL")&gt;0))</f>
        <v>0</v>
      </c>
      <c r="I9" s="44">
        <f>SUMPRODUCT(((ISNUMBER('GRT Norte'!L6:L296))*('GRT Norte'!L6:L296&gt;=B9)*('GRT Norte'!L6:L296&lt;=C9))*(('GRT Norte'!K6:K296="INSTALADO - OPERANDO")+('GRT Norte'!K6:K296="INSTALADO - SIN SEÑAL")&gt;0))</f>
        <v>0</v>
      </c>
      <c r="J9" s="44">
        <f>SUMPRODUCT(((ISNUMBER('GRT Noreste'!L6:L262))*('GRT Noreste'!L6:L262&gt;=B9)*('GRT Noreste'!L6:L262&lt;=C9))*(('GRT Noreste'!K6:K262="INSTALADO - OPERANDO")+('GRT Noreste'!K6:K262="INSTALADO - SIN SEÑAL")&gt;0))</f>
        <v>0</v>
      </c>
      <c r="K9" s="44">
        <f>SUMPRODUCT(((ISNUMBER('GRT Baja California'!L6:L281))*('GRT Baja California'!L6:L281&gt;=B9)*('GRT Baja California'!L6:L281&lt;=C9))*(('GRT Baja California'!K6:K281="INSTALADO - OPERANDO")+('GRT Baja California'!K6:K281="INSTALADO - SIN SEÑAL")&gt;0))</f>
        <v>0</v>
      </c>
      <c r="L9" s="56">
        <f t="shared" si="0"/>
        <v>52</v>
      </c>
      <c r="M9" s="54">
        <f t="shared" si="2"/>
        <v>166</v>
      </c>
      <c r="N9" s="57">
        <f t="shared" si="1"/>
        <v>3.9243498817966904E-2</v>
      </c>
      <c r="O9" s="58"/>
    </row>
    <row r="10" spans="1:16" ht="18" customHeight="1">
      <c r="A10" s="49">
        <v>5</v>
      </c>
      <c r="B10" s="50">
        <v>46124</v>
      </c>
      <c r="C10" s="50">
        <v>46130</v>
      </c>
      <c r="D10" s="41">
        <f>SUMPRODUCT(((ISNUMBER('GRT Central'!L6:L1135))*('GRT Central'!L6:L1135&gt;=B10)*('GRT Central'!L6:L1135&lt;=C10))*(('GRT Central'!K6:K1135="INSTALADO - OPERANDO")+('GRT Central'!K6:K1135="INSTALADO - SIN SEÑAL")&gt;0))</f>
        <v>105</v>
      </c>
      <c r="E10" s="41">
        <f>SUMPRODUCT(((ISNUMBER('GRT Occidente'!L6:L784))*('GRT Occidente'!L6:L784&gt;=B10)*('GRT Occidente'!L6:L784&lt;=C10))*(('GRT Occidente'!K6:K784="INSTALADO - OPERANDO")+('GRT Occidente'!K6:K784="INSTALADO - SIN SEÑAL")&gt;0))</f>
        <v>0</v>
      </c>
      <c r="F10" s="41">
        <f>SUMPRODUCT(((ISNUMBER('GRT Oriente'!L6:L400))*('GRT Oriente'!L6:L400&gt;=B10)*('GRT Oriente'!L6:L400&lt;=C10))*(('GRT Oriente'!K6:K400="INSTALADO - OPERANDO")+('GRT Oriente'!K6:K400="INSTALADO - SIN SEÑAL")&gt;0))</f>
        <v>0</v>
      </c>
      <c r="G10" s="41">
        <f>SUMPRODUCT(((ISNUMBER('GRT Valle de México'!L6:L740))*('GRT Valle de México'!L6:L740&gt;=B10)*('GRT Valle de México'!L6:L740&lt;=C10))*(('GRT Valle de México'!K6:K740="INSTALADO - OPERANDO")+('GRT Valle de México'!K6:K740="INSTALADO - SIN SEÑAL")&gt;0))</f>
        <v>0</v>
      </c>
      <c r="H10" s="41">
        <f>SUMPRODUCT(((ISNUMBER('GRT Noroeste'!L6:L372))*('GRT Noroeste'!L6:L372&gt;=B10)*('GRT Noroeste'!L6:L372&lt;=C10))*(('GRT Noroeste'!K6:K372="INSTALADO - OPERANDO")+('GRT Noroeste'!K6:K372="INSTALADO - SIN SEÑAL")&gt;0))</f>
        <v>0</v>
      </c>
      <c r="I10" s="41">
        <f>SUMPRODUCT(((ISNUMBER('GRT Norte'!L6:L296))*('GRT Norte'!L6:L296&gt;=B10)*('GRT Norte'!L6:L296&lt;=C10))*(('GRT Norte'!K6:K296="INSTALADO - OPERANDO")+('GRT Norte'!K6:K296="INSTALADO - SIN SEÑAL")&gt;0))</f>
        <v>0</v>
      </c>
      <c r="J10" s="41">
        <f>SUMPRODUCT(((ISNUMBER('GRT Noreste'!L6:L262))*('GRT Noreste'!L6:L262&gt;=B10)*('GRT Noreste'!L6:L262&lt;=C10))*(('GRT Noreste'!K6:K262="INSTALADO - OPERANDO")+('GRT Noreste'!K6:K262="INSTALADO - SIN SEÑAL")&gt;0))</f>
        <v>0</v>
      </c>
      <c r="K10" s="41">
        <f>SUMPRODUCT(((ISNUMBER('GRT Baja California'!L6:L281))*('GRT Baja California'!L6:L281&gt;=B10)*('GRT Baja California'!L6:L281&lt;=C10))*(('GRT Baja California'!K6:K281="INSTALADO - OPERANDO")+('GRT Baja California'!K6:K281="INSTALADO - SIN SEÑAL")&gt;0))</f>
        <v>0</v>
      </c>
      <c r="L10" s="51">
        <f t="shared" si="0"/>
        <v>105</v>
      </c>
      <c r="M10" s="49">
        <f t="shared" si="2"/>
        <v>271</v>
      </c>
      <c r="N10" s="52">
        <f t="shared" si="1"/>
        <v>6.4066193853427891E-2</v>
      </c>
      <c r="O10" s="53"/>
    </row>
    <row r="11" spans="1:16" ht="18" customHeight="1">
      <c r="A11" s="54">
        <v>6</v>
      </c>
      <c r="B11" s="55">
        <v>46131</v>
      </c>
      <c r="C11" s="55">
        <v>46137</v>
      </c>
      <c r="D11" s="44">
        <f>SUMPRODUCT(((ISNUMBER('GRT Central'!L6:L1135))*('GRT Central'!L6:L1135&gt;=B11)*('GRT Central'!L6:L1135&lt;=C11))*(('GRT Central'!K6:K1135="INSTALADO - OPERANDO")+('GRT Central'!K6:K1135="INSTALADO - SIN SEÑAL")&gt;0))</f>
        <v>84</v>
      </c>
      <c r="E11" s="44">
        <f>SUMPRODUCT(((ISNUMBER('GRT Occidente'!L6:L784))*('GRT Occidente'!L6:L784&gt;=B11)*('GRT Occidente'!L6:L784&lt;=C11))*(('GRT Occidente'!K6:K784="INSTALADO - OPERANDO")+('GRT Occidente'!K6:K784="INSTALADO - SIN SEÑAL")&gt;0))</f>
        <v>0</v>
      </c>
      <c r="F11" s="44">
        <f>SUMPRODUCT(((ISNUMBER('GRT Oriente'!L6:L400))*('GRT Oriente'!L6:L400&gt;=B11)*('GRT Oriente'!L6:L400&lt;=C11))*(('GRT Oriente'!K6:K400="INSTALADO - OPERANDO")+('GRT Oriente'!K6:K400="INSTALADO - SIN SEÑAL")&gt;0))</f>
        <v>0</v>
      </c>
      <c r="G11" s="44">
        <f>SUMPRODUCT(((ISNUMBER('GRT Valle de México'!L6:L740))*('GRT Valle de México'!L6:L740&gt;=B11)*('GRT Valle de México'!L6:L740&lt;=C11))*(('GRT Valle de México'!K6:K740="INSTALADO - OPERANDO")+('GRT Valle de México'!K6:K740="INSTALADO - SIN SEÑAL")&gt;0))</f>
        <v>4</v>
      </c>
      <c r="H11" s="44">
        <f>SUMPRODUCT(((ISNUMBER('GRT Noroeste'!L6:L372))*('GRT Noroeste'!L6:L372&gt;=B11)*('GRT Noroeste'!L6:L372&lt;=C11))*(('GRT Noroeste'!K6:K372="INSTALADO - OPERANDO")+('GRT Noroeste'!K6:K372="INSTALADO - SIN SEÑAL")&gt;0))</f>
        <v>0</v>
      </c>
      <c r="I11" s="44">
        <f>SUMPRODUCT(((ISNUMBER('GRT Norte'!L6:L296))*('GRT Norte'!L6:L296&gt;=B11)*('GRT Norte'!L6:L296&lt;=C11))*(('GRT Norte'!K6:K296="INSTALADO - OPERANDO")+('GRT Norte'!K6:K296="INSTALADO - SIN SEÑAL")&gt;0))</f>
        <v>0</v>
      </c>
      <c r="J11" s="44">
        <f>SUMPRODUCT(((ISNUMBER('GRT Noreste'!L6:L262))*('GRT Noreste'!L6:L262&gt;=B11)*('GRT Noreste'!L6:L262&lt;=C11))*(('GRT Noreste'!K6:K262="INSTALADO - OPERANDO")+('GRT Noreste'!K6:K262="INSTALADO - SIN SEÑAL")&gt;0))</f>
        <v>0</v>
      </c>
      <c r="K11" s="44">
        <f>SUMPRODUCT(((ISNUMBER('GRT Baja California'!L6:L281))*('GRT Baja California'!L6:L281&gt;=B11)*('GRT Baja California'!L6:L281&lt;=C11))*(('GRT Baja California'!K6:K281="INSTALADO - OPERANDO")+('GRT Baja California'!K6:K281="INSTALADO - SIN SEÑAL")&gt;0))</f>
        <v>0</v>
      </c>
      <c r="L11" s="56">
        <f t="shared" si="0"/>
        <v>88</v>
      </c>
      <c r="M11" s="54">
        <f t="shared" si="2"/>
        <v>359</v>
      </c>
      <c r="N11" s="57">
        <f t="shared" si="1"/>
        <v>8.4869976359338059E-2</v>
      </c>
      <c r="O11" s="58"/>
    </row>
    <row r="12" spans="1:16" ht="18" customHeight="1">
      <c r="A12" s="49">
        <v>7</v>
      </c>
      <c r="B12" s="50">
        <v>46138</v>
      </c>
      <c r="C12" s="50">
        <v>46144</v>
      </c>
      <c r="D12" s="41">
        <f>SUMPRODUCT(((ISNUMBER('GRT Central'!L6:L1135))*('GRT Central'!L6:L1135&gt;=B12)*('GRT Central'!L6:L1135&lt;=C12))*(('GRT Central'!K6:K1135="INSTALADO - OPERANDO")+('GRT Central'!K6:K1135="INSTALADO - SIN SEÑAL")&gt;0))</f>
        <v>210</v>
      </c>
      <c r="E12" s="41">
        <f>SUMPRODUCT(((ISNUMBER('GRT Occidente'!L6:L784))*('GRT Occidente'!L6:L784&gt;=B12)*('GRT Occidente'!L6:L784&lt;=C12))*(('GRT Occidente'!K6:K784="INSTALADO - OPERANDO")+('GRT Occidente'!K6:K784="INSTALADO - SIN SEÑAL")&gt;0))</f>
        <v>2</v>
      </c>
      <c r="F12" s="41">
        <f>SUMPRODUCT(((ISNUMBER('GRT Oriente'!L6:L400))*('GRT Oriente'!L6:L400&gt;=B12)*('GRT Oriente'!L6:L400&lt;=C12))*(('GRT Oriente'!K6:K400="INSTALADO - OPERANDO")+('GRT Oriente'!K6:K400="INSTALADO - SIN SEÑAL")&gt;0))</f>
        <v>1</v>
      </c>
      <c r="G12" s="41">
        <f>SUMPRODUCT(((ISNUMBER('GRT Valle de México'!L6:L740))*('GRT Valle de México'!L6:L740&gt;=B12)*('GRT Valle de México'!L6:L740&lt;=C12))*(('GRT Valle de México'!K6:K740="INSTALADO - OPERANDO")+('GRT Valle de México'!K6:K740="INSTALADO - SIN SEÑAL")&gt;0))</f>
        <v>13</v>
      </c>
      <c r="H12" s="41">
        <f>SUMPRODUCT(((ISNUMBER('GRT Noroeste'!L6:L372))*('GRT Noroeste'!L6:L372&gt;=B12)*('GRT Noroeste'!L6:L372&lt;=C12))*(('GRT Noroeste'!K6:K372="INSTALADO - OPERANDO")+('GRT Noroeste'!K6:K372="INSTALADO - SIN SEÑAL")&gt;0))</f>
        <v>0</v>
      </c>
      <c r="I12" s="41">
        <f>SUMPRODUCT(((ISNUMBER('GRT Norte'!L6:L296))*('GRT Norte'!L6:L296&gt;=B12)*('GRT Norte'!L6:L296&lt;=C12))*(('GRT Norte'!K6:K296="INSTALADO - OPERANDO")+('GRT Norte'!K6:K296="INSTALADO - SIN SEÑAL")&gt;0))</f>
        <v>0</v>
      </c>
      <c r="J12" s="41">
        <f>SUMPRODUCT(((ISNUMBER('GRT Noreste'!L6:L262))*('GRT Noreste'!L6:L262&gt;=B12)*('GRT Noreste'!L6:L262&lt;=C12))*(('GRT Noreste'!K6:K262="INSTALADO - OPERANDO")+('GRT Noreste'!K6:K262="INSTALADO - SIN SEÑAL")&gt;0))</f>
        <v>0</v>
      </c>
      <c r="K12" s="41">
        <f>SUMPRODUCT(((ISNUMBER('GRT Baja California'!L6:L281))*('GRT Baja California'!L6:L281&gt;=B12)*('GRT Baja California'!L6:L281&lt;=C12))*(('GRT Baja California'!K6:K281="INSTALADO - OPERANDO")+('GRT Baja California'!K6:K281="INSTALADO - SIN SEÑAL")&gt;0))</f>
        <v>1</v>
      </c>
      <c r="L12" s="51">
        <f t="shared" si="0"/>
        <v>227</v>
      </c>
      <c r="M12" s="49">
        <f t="shared" si="2"/>
        <v>586</v>
      </c>
      <c r="N12" s="52">
        <f t="shared" si="1"/>
        <v>0.13853427895981088</v>
      </c>
      <c r="O12" s="53"/>
    </row>
    <row r="13" spans="1:16" ht="18" customHeight="1">
      <c r="A13" s="54">
        <v>8</v>
      </c>
      <c r="B13" s="55">
        <v>46145</v>
      </c>
      <c r="C13" s="55">
        <v>46151</v>
      </c>
      <c r="D13" s="44">
        <f>SUMPRODUCT(((ISNUMBER('GRT Central'!L6:L1135))*('GRT Central'!L6:L1135&gt;=B13)*('GRT Central'!L6:L1135&lt;=C13))*(('GRT Central'!K6:K1135="INSTALADO - OPERANDO")+('GRT Central'!K6:K1135="INSTALADO - SIN SEÑAL")&gt;0))</f>
        <v>266</v>
      </c>
      <c r="E13" s="44">
        <f>SUMPRODUCT(((ISNUMBER('GRT Occidente'!L6:L784))*('GRT Occidente'!L6:L784&gt;=B13)*('GRT Occidente'!L6:L784&lt;=C13))*(('GRT Occidente'!K6:K784="INSTALADO - OPERANDO")+('GRT Occidente'!K6:K784="INSTALADO - SIN SEÑAL")&gt;0))</f>
        <v>98</v>
      </c>
      <c r="F13" s="44">
        <f>SUMPRODUCT(((ISNUMBER('GRT Oriente'!L6:L400))*('GRT Oriente'!L6:L400&gt;=B13)*('GRT Oriente'!L6:L400&lt;=C13))*(('GRT Oriente'!K6:K400="INSTALADO - OPERANDO")+('GRT Oriente'!K6:K400="INSTALADO - SIN SEÑAL")&gt;0))</f>
        <v>78</v>
      </c>
      <c r="G13" s="44">
        <f>SUMPRODUCT(((ISNUMBER('GRT Valle de México'!L6:L740))*('GRT Valle de México'!L6:L740&gt;=B13)*('GRT Valle de México'!L6:L740&lt;=C13))*(('GRT Valle de México'!K6:K740="INSTALADO - OPERANDO")+('GRT Valle de México'!K6:K740="INSTALADO - SIN SEÑAL")&gt;0))</f>
        <v>60</v>
      </c>
      <c r="H13" s="44">
        <f>SUMPRODUCT(((ISNUMBER('GRT Noroeste'!L6:L372))*('GRT Noroeste'!L6:L372&gt;=B13)*('GRT Noroeste'!L6:L372&lt;=C13))*(('GRT Noroeste'!K6:K372="INSTALADO - OPERANDO")+('GRT Noroeste'!K6:K372="INSTALADO - SIN SEÑAL")&gt;0))</f>
        <v>63</v>
      </c>
      <c r="I13" s="44">
        <f>SUMPRODUCT(((ISNUMBER('GRT Norte'!L6:L296))*('GRT Norte'!L6:L296&gt;=B13)*('GRT Norte'!L6:L296&lt;=C13))*(('GRT Norte'!K6:K296="INSTALADO - OPERANDO")+('GRT Norte'!K6:K296="INSTALADO - SIN SEÑAL")&gt;0))</f>
        <v>17</v>
      </c>
      <c r="J13" s="44">
        <f>SUMPRODUCT(((ISNUMBER('GRT Noreste'!L6:L262))*('GRT Noreste'!L6:L262&gt;=B13)*('GRT Noreste'!L6:L262&lt;=C13))*(('GRT Noreste'!K6:K262="INSTALADO - OPERANDO")+('GRT Noreste'!K6:K262="INSTALADO - SIN SEÑAL")&gt;0))</f>
        <v>26</v>
      </c>
      <c r="K13" s="44">
        <f>SUMPRODUCT(((ISNUMBER('GRT Baja California'!L6:L281))*('GRT Baja California'!L6:L281&gt;=B13)*('GRT Baja California'!L6:L281&lt;=C13))*(('GRT Baja California'!K6:K281="INSTALADO - OPERANDO")+('GRT Baja California'!K6:K281="INSTALADO - SIN SEÑAL")&gt;0))</f>
        <v>42</v>
      </c>
      <c r="L13" s="56">
        <f t="shared" si="0"/>
        <v>650</v>
      </c>
      <c r="M13" s="54">
        <f t="shared" si="2"/>
        <v>1236</v>
      </c>
      <c r="N13" s="57">
        <f t="shared" si="1"/>
        <v>0.29219858156028367</v>
      </c>
      <c r="O13" s="58"/>
    </row>
    <row r="14" spans="1:16" ht="18" customHeight="1">
      <c r="A14" s="49">
        <v>9</v>
      </c>
      <c r="B14" s="50">
        <v>46152</v>
      </c>
      <c r="C14" s="50">
        <v>46158</v>
      </c>
      <c r="D14" s="41">
        <f>SUMPRODUCT(((ISNUMBER('GRT Central'!L6:L1135))*('GRT Central'!L6:L1135&gt;=B14)*('GRT Central'!L6:L1135&lt;=C14))*(('GRT Central'!K6:K1135="INSTALADO - OPERANDO")+('GRT Central'!K6:K1135="INSTALADO - SIN SEÑAL")&gt;0))</f>
        <v>27</v>
      </c>
      <c r="E14" s="41">
        <f>SUMPRODUCT(((ISNUMBER('GRT Occidente'!L6:L784))*('GRT Occidente'!L6:L784&gt;=B14)*('GRT Occidente'!L6:L784&lt;=C14))*(('GRT Occidente'!K6:K784="INSTALADO - OPERANDO")+('GRT Occidente'!K6:K784="INSTALADO - SIN SEÑAL")&gt;0))</f>
        <v>0</v>
      </c>
      <c r="F14" s="41">
        <f>SUMPRODUCT(((ISNUMBER('GRT Oriente'!L6:L400))*('GRT Oriente'!L6:L400&gt;=B14)*('GRT Oriente'!L6:L400&lt;=C14))*(('GRT Oriente'!K6:K400="INSTALADO - OPERANDO")+('GRT Oriente'!K6:K400="INSTALADO - SIN SEÑAL")&gt;0))</f>
        <v>5</v>
      </c>
      <c r="G14" s="41">
        <f>SUMPRODUCT(((ISNUMBER('GRT Valle de México'!L6:L740))*('GRT Valle de México'!L6:L740&gt;=B14)*('GRT Valle de México'!L6:L740&lt;=C14))*(('GRT Valle de México'!K6:K740="INSTALADO - OPERANDO")+('GRT Valle de México'!K6:K740="INSTALADO - SIN SEÑAL")&gt;0))</f>
        <v>0</v>
      </c>
      <c r="H14" s="41">
        <f>SUMPRODUCT(((ISNUMBER('GRT Noroeste'!L6:L372))*('GRT Noroeste'!L6:L372&gt;=B14)*('GRT Noroeste'!L6:L372&lt;=C14))*(('GRT Noroeste'!K6:K372="INSTALADO - OPERANDO")+('GRT Noroeste'!K6:K372="INSTALADO - SIN SEÑAL")&gt;0))</f>
        <v>0</v>
      </c>
      <c r="I14" s="41">
        <f>SUMPRODUCT(((ISNUMBER('GRT Norte'!L6:L296))*('GRT Norte'!L6:L296&gt;=B14)*('GRT Norte'!L6:L296&lt;=C14))*(('GRT Norte'!K6:K296="INSTALADO - OPERANDO")+('GRT Norte'!K6:K296="INSTALADO - SIN SEÑAL")&gt;0))</f>
        <v>5</v>
      </c>
      <c r="J14" s="41">
        <f>SUMPRODUCT(((ISNUMBER('GRT Noreste'!L6:L262))*('GRT Noreste'!L6:L262&gt;=B14)*('GRT Noreste'!L6:L262&lt;=C14))*(('GRT Noreste'!K6:K262="INSTALADO - OPERANDO")+('GRT Noreste'!K6:K262="INSTALADO - SIN SEÑAL")&gt;0))</f>
        <v>16</v>
      </c>
      <c r="K14" s="41">
        <f>SUMPRODUCT(((ISNUMBER('GRT Baja California'!L6:L281))*('GRT Baja California'!L6:L281&gt;=B14)*('GRT Baja California'!L6:L281&lt;=C14))*(('GRT Baja California'!K6:K281="INSTALADO - OPERANDO")+('GRT Baja California'!K6:K281="INSTALADO - SIN SEÑAL")&gt;0))</f>
        <v>0</v>
      </c>
      <c r="L14" s="51">
        <f t="shared" si="0"/>
        <v>53</v>
      </c>
      <c r="M14" s="49">
        <f t="shared" si="2"/>
        <v>1289</v>
      </c>
      <c r="N14" s="52">
        <f t="shared" si="1"/>
        <v>0.30472813238770685</v>
      </c>
      <c r="O14" s="53"/>
    </row>
    <row r="15" spans="1:16" ht="18" customHeight="1">
      <c r="A15" s="54">
        <v>10</v>
      </c>
      <c r="B15" s="55">
        <v>46159</v>
      </c>
      <c r="C15" s="55">
        <v>46165</v>
      </c>
      <c r="D15" s="44">
        <f>SUMPRODUCT(((ISNUMBER('GRT Central'!L6:L1135))*('GRT Central'!L6:L1135&gt;=B15)*('GRT Central'!L6:L1135&lt;=C15))*(('GRT Central'!K6:K1135="INSTALADO - OPERANDO")+('GRT Central'!K6:K1135="INSTALADO - SIN SEÑAL")&gt;0))</f>
        <v>0</v>
      </c>
      <c r="E15" s="44">
        <f>SUMPRODUCT(((ISNUMBER('GRT Occidente'!L6:L784))*('GRT Occidente'!L6:L784&gt;=B15)*('GRT Occidente'!L6:L784&lt;=C15))*(('GRT Occidente'!K6:K784="INSTALADO - OPERANDO")+('GRT Occidente'!K6:K784="INSTALADO - SIN SEÑAL")&gt;0))</f>
        <v>0</v>
      </c>
      <c r="F15" s="44">
        <f>SUMPRODUCT(((ISNUMBER('GRT Oriente'!L6:L400))*('GRT Oriente'!L6:L400&gt;=B15)*('GRT Oriente'!L6:L400&lt;=C15))*(('GRT Oriente'!K6:K400="INSTALADO - OPERANDO")+('GRT Oriente'!K6:K400="INSTALADO - SIN SEÑAL")&gt;0))</f>
        <v>0</v>
      </c>
      <c r="G15" s="44">
        <f>SUMPRODUCT(((ISNUMBER('GRT Valle de México'!L6:L740))*('GRT Valle de México'!L6:L740&gt;=B15)*('GRT Valle de México'!L6:L740&lt;=C15))*(('GRT Valle de México'!K6:K740="INSTALADO - OPERANDO")+('GRT Valle de México'!K6:K740="INSTALADO - SIN SEÑAL")&gt;0))</f>
        <v>0</v>
      </c>
      <c r="H15" s="44">
        <f>SUMPRODUCT(((ISNUMBER('GRT Noroeste'!L6:L372))*('GRT Noroeste'!L6:L372&gt;=B15)*('GRT Noroeste'!L6:L372&lt;=C15))*(('GRT Noroeste'!K6:K372="INSTALADO - OPERANDO")+('GRT Noroeste'!K6:K372="INSTALADO - SIN SEÑAL")&gt;0))</f>
        <v>0</v>
      </c>
      <c r="I15" s="44">
        <f>SUMPRODUCT(((ISNUMBER('GRT Norte'!L6:L296))*('GRT Norte'!L6:L296&gt;=B15)*('GRT Norte'!L6:L296&lt;=C15))*(('GRT Norte'!K6:K296="INSTALADO - OPERANDO")+('GRT Norte'!K6:K296="INSTALADO - SIN SEÑAL")&gt;0))</f>
        <v>0</v>
      </c>
      <c r="J15" s="44">
        <f>SUMPRODUCT(((ISNUMBER('GRT Noreste'!L6:L262))*('GRT Noreste'!L6:L262&gt;=B15)*('GRT Noreste'!L6:L262&lt;=C15))*(('GRT Noreste'!K6:K262="INSTALADO - OPERANDO")+('GRT Noreste'!K6:K262="INSTALADO - SIN SEÑAL")&gt;0))</f>
        <v>0</v>
      </c>
      <c r="K15" s="44">
        <f>SUMPRODUCT(((ISNUMBER('GRT Baja California'!L6:L281))*('GRT Baja California'!L6:L281&gt;=B15)*('GRT Baja California'!L6:L281&lt;=C15))*(('GRT Baja California'!K6:K281="INSTALADO - OPERANDO")+('GRT Baja California'!K6:K281="INSTALADO - SIN SEÑAL")&gt;0))</f>
        <v>0</v>
      </c>
      <c r="L15" s="56">
        <f t="shared" si="0"/>
        <v>0</v>
      </c>
      <c r="M15" s="54">
        <f t="shared" si="2"/>
        <v>1289</v>
      </c>
      <c r="N15" s="57">
        <f t="shared" si="1"/>
        <v>0.30472813238770685</v>
      </c>
      <c r="O15" s="58"/>
    </row>
    <row r="16" spans="1:16" ht="18" customHeight="1">
      <c r="A16" s="49">
        <v>11</v>
      </c>
      <c r="B16" s="50">
        <v>46166</v>
      </c>
      <c r="C16" s="50">
        <v>46172</v>
      </c>
      <c r="D16" s="41">
        <f>SUMPRODUCT(((ISNUMBER('GRT Central'!L6:L1135))*('GRT Central'!L6:L1135&gt;=B16)*('GRT Central'!L6:L1135&lt;=C16))*(('GRT Central'!K6:K1135="INSTALADO - OPERANDO")+('GRT Central'!K6:K1135="INSTALADO - SIN SEÑAL")&gt;0))</f>
        <v>0</v>
      </c>
      <c r="E16" s="41">
        <f>SUMPRODUCT(((ISNUMBER('GRT Occidente'!L6:L784))*('GRT Occidente'!L6:L784&gt;=B16)*('GRT Occidente'!L6:L784&lt;=C16))*(('GRT Occidente'!K6:K784="INSTALADO - OPERANDO")+('GRT Occidente'!K6:K784="INSTALADO - SIN SEÑAL")&gt;0))</f>
        <v>0</v>
      </c>
      <c r="F16" s="41">
        <f>SUMPRODUCT(((ISNUMBER('GRT Oriente'!L6:L400))*('GRT Oriente'!L6:L400&gt;=B16)*('GRT Oriente'!L6:L400&lt;=C16))*(('GRT Oriente'!K6:K400="INSTALADO - OPERANDO")+('GRT Oriente'!K6:K400="INSTALADO - SIN SEÑAL")&gt;0))</f>
        <v>0</v>
      </c>
      <c r="G16" s="41">
        <f>SUMPRODUCT(((ISNUMBER('GRT Valle de México'!L6:L740))*('GRT Valle de México'!L6:L740&gt;=B16)*('GRT Valle de México'!L6:L740&lt;=C16))*(('GRT Valle de México'!K6:K740="INSTALADO - OPERANDO")+('GRT Valle de México'!K6:K740="INSTALADO - SIN SEÑAL")&gt;0))</f>
        <v>0</v>
      </c>
      <c r="H16" s="41">
        <f>SUMPRODUCT(((ISNUMBER('GRT Noroeste'!L6:L372))*('GRT Noroeste'!L6:L372&gt;=B16)*('GRT Noroeste'!L6:L372&lt;=C16))*(('GRT Noroeste'!K6:K372="INSTALADO - OPERANDO")+('GRT Noroeste'!K6:K372="INSTALADO - SIN SEÑAL")&gt;0))</f>
        <v>0</v>
      </c>
      <c r="I16" s="41">
        <f>SUMPRODUCT(((ISNUMBER('GRT Norte'!L6:L296))*('GRT Norte'!L6:L296&gt;=B16)*('GRT Norte'!L6:L296&lt;=C16))*(('GRT Norte'!K6:K296="INSTALADO - OPERANDO")+('GRT Norte'!K6:K296="INSTALADO - SIN SEÑAL")&gt;0))</f>
        <v>0</v>
      </c>
      <c r="J16" s="41">
        <f>SUMPRODUCT(((ISNUMBER('GRT Noreste'!L6:L262))*('GRT Noreste'!L6:L262&gt;=B16)*('GRT Noreste'!L6:L262&lt;=C16))*(('GRT Noreste'!K6:K262="INSTALADO - OPERANDO")+('GRT Noreste'!K6:K262="INSTALADO - SIN SEÑAL")&gt;0))</f>
        <v>0</v>
      </c>
      <c r="K16" s="41">
        <f>SUMPRODUCT(((ISNUMBER('GRT Baja California'!L6:L281))*('GRT Baja California'!L6:L281&gt;=B16)*('GRT Baja California'!L6:L281&lt;=C16))*(('GRT Baja California'!K6:K281="INSTALADO - OPERANDO")+('GRT Baja California'!K6:K281="INSTALADO - SIN SEÑAL")&gt;0))</f>
        <v>0</v>
      </c>
      <c r="L16" s="51">
        <f t="shared" si="0"/>
        <v>0</v>
      </c>
      <c r="M16" s="49">
        <f t="shared" si="2"/>
        <v>1289</v>
      </c>
      <c r="N16" s="52">
        <f t="shared" si="1"/>
        <v>0.30472813238770685</v>
      </c>
      <c r="O16" s="53"/>
    </row>
    <row r="17" spans="1:15" ht="18" customHeight="1">
      <c r="A17" s="54">
        <v>12</v>
      </c>
      <c r="B17" s="55">
        <v>46173</v>
      </c>
      <c r="C17" s="55">
        <v>46179</v>
      </c>
      <c r="D17" s="44">
        <f>SUMPRODUCT(((ISNUMBER('GRT Central'!L6:L1135))*('GRT Central'!L6:L1135&gt;=B17)*('GRT Central'!L6:L1135&lt;=C17))*(('GRT Central'!K6:K1135="INSTALADO - OPERANDO")+('GRT Central'!K6:K1135="INSTALADO - SIN SEÑAL")&gt;0))</f>
        <v>0</v>
      </c>
      <c r="E17" s="44">
        <f>SUMPRODUCT(((ISNUMBER('GRT Occidente'!L6:L784))*('GRT Occidente'!L6:L784&gt;=B17)*('GRT Occidente'!L6:L784&lt;=C17))*(('GRT Occidente'!K6:K784="INSTALADO - OPERANDO")+('GRT Occidente'!K6:K784="INSTALADO - SIN SEÑAL")&gt;0))</f>
        <v>0</v>
      </c>
      <c r="F17" s="44">
        <f>SUMPRODUCT(((ISNUMBER('GRT Oriente'!L6:L400))*('GRT Oriente'!L6:L400&gt;=B17)*('GRT Oriente'!L6:L400&lt;=C17))*(('GRT Oriente'!K6:K400="INSTALADO - OPERANDO")+('GRT Oriente'!K6:K400="INSTALADO - SIN SEÑAL")&gt;0))</f>
        <v>0</v>
      </c>
      <c r="G17" s="44">
        <f>SUMPRODUCT(((ISNUMBER('GRT Valle de México'!L6:L740))*('GRT Valle de México'!L6:L740&gt;=B17)*('GRT Valle de México'!L6:L740&lt;=C17))*(('GRT Valle de México'!K6:K740="INSTALADO - OPERANDO")+('GRT Valle de México'!K6:K740="INSTALADO - SIN SEÑAL")&gt;0))</f>
        <v>0</v>
      </c>
      <c r="H17" s="44">
        <f>SUMPRODUCT(((ISNUMBER('GRT Noroeste'!L6:L372))*('GRT Noroeste'!L6:L372&gt;=B17)*('GRT Noroeste'!L6:L372&lt;=C17))*(('GRT Noroeste'!K6:K372="INSTALADO - OPERANDO")+('GRT Noroeste'!K6:K372="INSTALADO - SIN SEÑAL")&gt;0))</f>
        <v>0</v>
      </c>
      <c r="I17" s="44">
        <f>SUMPRODUCT(((ISNUMBER('GRT Norte'!L6:L296))*('GRT Norte'!L6:L296&gt;=B17)*('GRT Norte'!L6:L296&lt;=C17))*(('GRT Norte'!K6:K296="INSTALADO - OPERANDO")+('GRT Norte'!K6:K296="INSTALADO - SIN SEÑAL")&gt;0))</f>
        <v>0</v>
      </c>
      <c r="J17" s="44">
        <f>SUMPRODUCT(((ISNUMBER('GRT Noreste'!L6:L262))*('GRT Noreste'!L6:L262&gt;=B17)*('GRT Noreste'!L6:L262&lt;=C17))*(('GRT Noreste'!K6:K262="INSTALADO - OPERANDO")+('GRT Noreste'!K6:K262="INSTALADO - SIN SEÑAL")&gt;0))</f>
        <v>0</v>
      </c>
      <c r="K17" s="44">
        <f>SUMPRODUCT(((ISNUMBER('GRT Baja California'!L6:L281))*('GRT Baja California'!L6:L281&gt;=B17)*('GRT Baja California'!L6:L281&lt;=C17))*(('GRT Baja California'!K6:K281="INSTALADO - OPERANDO")+('GRT Baja California'!K6:K281="INSTALADO - SIN SEÑAL")&gt;0))</f>
        <v>0</v>
      </c>
      <c r="L17" s="56">
        <f t="shared" si="0"/>
        <v>0</v>
      </c>
      <c r="M17" s="54">
        <f t="shared" si="2"/>
        <v>1289</v>
      </c>
      <c r="N17" s="57">
        <f t="shared" si="1"/>
        <v>0.30472813238770685</v>
      </c>
      <c r="O17" s="58"/>
    </row>
    <row r="18" spans="1:15" ht="18" customHeight="1">
      <c r="A18" s="49">
        <v>13</v>
      </c>
      <c r="B18" s="50">
        <v>46180</v>
      </c>
      <c r="C18" s="50">
        <v>46186</v>
      </c>
      <c r="D18" s="41">
        <f>SUMPRODUCT(((ISNUMBER('GRT Central'!L6:L1135))*('GRT Central'!L6:L1135&gt;=B18)*('GRT Central'!L6:L1135&lt;=C18))*(('GRT Central'!K6:K1135="INSTALADO - OPERANDO")+('GRT Central'!K6:K1135="INSTALADO - SIN SEÑAL")&gt;0))</f>
        <v>0</v>
      </c>
      <c r="E18" s="41">
        <f>SUMPRODUCT(((ISNUMBER('GRT Occidente'!L6:L784))*('GRT Occidente'!L6:L784&gt;=B18)*('GRT Occidente'!L6:L784&lt;=C18))*(('GRT Occidente'!K6:K784="INSTALADO - OPERANDO")+('GRT Occidente'!K6:K784="INSTALADO - SIN SEÑAL")&gt;0))</f>
        <v>0</v>
      </c>
      <c r="F18" s="41">
        <f>SUMPRODUCT(((ISNUMBER('GRT Oriente'!L6:L400))*('GRT Oriente'!L6:L400&gt;=B18)*('GRT Oriente'!L6:L400&lt;=C18))*(('GRT Oriente'!K6:K400="INSTALADO - OPERANDO")+('GRT Oriente'!K6:K400="INSTALADO - SIN SEÑAL")&gt;0))</f>
        <v>0</v>
      </c>
      <c r="G18" s="41">
        <f>SUMPRODUCT(((ISNUMBER('GRT Valle de México'!L6:L740))*('GRT Valle de México'!L6:L740&gt;=B18)*('GRT Valle de México'!L6:L740&lt;=C18))*(('GRT Valle de México'!K6:K740="INSTALADO - OPERANDO")+('GRT Valle de México'!K6:K740="INSTALADO - SIN SEÑAL")&gt;0))</f>
        <v>0</v>
      </c>
      <c r="H18" s="41">
        <f>SUMPRODUCT(((ISNUMBER('GRT Noroeste'!L6:L372))*('GRT Noroeste'!L6:L372&gt;=B18)*('GRT Noroeste'!L6:L372&lt;=C18))*(('GRT Noroeste'!K6:K372="INSTALADO - OPERANDO")+('GRT Noroeste'!K6:K372="INSTALADO - SIN SEÑAL")&gt;0))</f>
        <v>0</v>
      </c>
      <c r="I18" s="41">
        <f>SUMPRODUCT(((ISNUMBER('GRT Norte'!L6:L296))*('GRT Norte'!L6:L296&gt;=B18)*('GRT Norte'!L6:L296&lt;=C18))*(('GRT Norte'!K6:K296="INSTALADO - OPERANDO")+('GRT Norte'!K6:K296="INSTALADO - SIN SEÑAL")&gt;0))</f>
        <v>0</v>
      </c>
      <c r="J18" s="41">
        <f>SUMPRODUCT(((ISNUMBER('GRT Noreste'!L6:L262))*('GRT Noreste'!L6:L262&gt;=B18)*('GRT Noreste'!L6:L262&lt;=C18))*(('GRT Noreste'!K6:K262="INSTALADO - OPERANDO")+('GRT Noreste'!K6:K262="INSTALADO - SIN SEÑAL")&gt;0))</f>
        <v>0</v>
      </c>
      <c r="K18" s="41">
        <f>SUMPRODUCT(((ISNUMBER('GRT Baja California'!L6:L281))*('GRT Baja California'!L6:L281&gt;=B18)*('GRT Baja California'!L6:L281&lt;=C18))*(('GRT Baja California'!K6:K281="INSTALADO - OPERANDO")+('GRT Baja California'!K6:K281="INSTALADO - SIN SEÑAL")&gt;0))</f>
        <v>0</v>
      </c>
      <c r="L18" s="51">
        <f t="shared" si="0"/>
        <v>0</v>
      </c>
      <c r="M18" s="49">
        <f t="shared" si="2"/>
        <v>1289</v>
      </c>
      <c r="N18" s="52">
        <f t="shared" si="1"/>
        <v>0.30472813238770685</v>
      </c>
      <c r="O18" s="53"/>
    </row>
    <row r="19" spans="1:15" ht="18" customHeight="1">
      <c r="A19" s="54">
        <v>14</v>
      </c>
      <c r="B19" s="55">
        <v>46187</v>
      </c>
      <c r="C19" s="55">
        <v>46193</v>
      </c>
      <c r="D19" s="44">
        <f>SUMPRODUCT(((ISNUMBER('GRT Central'!L6:L1135))*('GRT Central'!L6:L1135&gt;=B19)*('GRT Central'!L6:L1135&lt;=C19))*(('GRT Central'!K6:K1135="INSTALADO - OPERANDO")+('GRT Central'!K6:K1135="INSTALADO - SIN SEÑAL")&gt;0))</f>
        <v>0</v>
      </c>
      <c r="E19" s="44">
        <f>SUMPRODUCT(((ISNUMBER('GRT Occidente'!L6:L784))*('GRT Occidente'!L6:L784&gt;=B19)*('GRT Occidente'!L6:L784&lt;=C19))*(('GRT Occidente'!K6:K784="INSTALADO - OPERANDO")+('GRT Occidente'!K6:K784="INSTALADO - SIN SEÑAL")&gt;0))</f>
        <v>0</v>
      </c>
      <c r="F19" s="44">
        <f>SUMPRODUCT(((ISNUMBER('GRT Oriente'!L6:L400))*('GRT Oriente'!L6:L400&gt;=B19)*('GRT Oriente'!L6:L400&lt;=C19))*(('GRT Oriente'!K6:K400="INSTALADO - OPERANDO")+('GRT Oriente'!K6:K400="INSTALADO - SIN SEÑAL")&gt;0))</f>
        <v>0</v>
      </c>
      <c r="G19" s="44">
        <f>SUMPRODUCT(((ISNUMBER('GRT Valle de México'!L6:L740))*('GRT Valle de México'!L6:L740&gt;=B19)*('GRT Valle de México'!L6:L740&lt;=C19))*(('GRT Valle de México'!K6:K740="INSTALADO - OPERANDO")+('GRT Valle de México'!K6:K740="INSTALADO - SIN SEÑAL")&gt;0))</f>
        <v>0</v>
      </c>
      <c r="H19" s="44">
        <f>SUMPRODUCT(((ISNUMBER('GRT Noroeste'!L6:L372))*('GRT Noroeste'!L6:L372&gt;=B19)*('GRT Noroeste'!L6:L372&lt;=C19))*(('GRT Noroeste'!K6:K372="INSTALADO - OPERANDO")+('GRT Noroeste'!K6:K372="INSTALADO - SIN SEÑAL")&gt;0))</f>
        <v>0</v>
      </c>
      <c r="I19" s="44">
        <f>SUMPRODUCT(((ISNUMBER('GRT Norte'!L6:L296))*('GRT Norte'!L6:L296&gt;=B19)*('GRT Norte'!L6:L296&lt;=C19))*(('GRT Norte'!K6:K296="INSTALADO - OPERANDO")+('GRT Norte'!K6:K296="INSTALADO - SIN SEÑAL")&gt;0))</f>
        <v>0</v>
      </c>
      <c r="J19" s="44">
        <f>SUMPRODUCT(((ISNUMBER('GRT Noreste'!L6:L262))*('GRT Noreste'!L6:L262&gt;=B19)*('GRT Noreste'!L6:L262&lt;=C19))*(('GRT Noreste'!K6:K262="INSTALADO - OPERANDO")+('GRT Noreste'!K6:K262="INSTALADO - SIN SEÑAL")&gt;0))</f>
        <v>0</v>
      </c>
      <c r="K19" s="44">
        <f>SUMPRODUCT(((ISNUMBER('GRT Baja California'!L6:L281))*('GRT Baja California'!L6:L281&gt;=B19)*('GRT Baja California'!L6:L281&lt;=C19))*(('GRT Baja California'!K6:K281="INSTALADO - OPERANDO")+('GRT Baja California'!K6:K281="INSTALADO - SIN SEÑAL")&gt;0))</f>
        <v>0</v>
      </c>
      <c r="L19" s="56">
        <f t="shared" si="0"/>
        <v>0</v>
      </c>
      <c r="M19" s="54">
        <f t="shared" si="2"/>
        <v>1289</v>
      </c>
      <c r="N19" s="57">
        <f t="shared" si="1"/>
        <v>0.30472813238770685</v>
      </c>
      <c r="O19" s="58"/>
    </row>
    <row r="20" spans="1:15" ht="18" customHeight="1">
      <c r="A20" s="49">
        <v>15</v>
      </c>
      <c r="B20" s="50">
        <v>46194</v>
      </c>
      <c r="C20" s="50">
        <v>46200</v>
      </c>
      <c r="D20" s="41">
        <f>SUMPRODUCT(((ISNUMBER('GRT Central'!L6:L1135))*('GRT Central'!L6:L1135&gt;=B20)*('GRT Central'!L6:L1135&lt;=C20))*(('GRT Central'!K6:K1135="INSTALADO - OPERANDO")+('GRT Central'!K6:K1135="INSTALADO - SIN SEÑAL")&gt;0))</f>
        <v>0</v>
      </c>
      <c r="E20" s="41">
        <f>SUMPRODUCT(((ISNUMBER('GRT Occidente'!L6:L784))*('GRT Occidente'!L6:L784&gt;=B20)*('GRT Occidente'!L6:L784&lt;=C20))*(('GRT Occidente'!K6:K784="INSTALADO - OPERANDO")+('GRT Occidente'!K6:K784="INSTALADO - SIN SEÑAL")&gt;0))</f>
        <v>0</v>
      </c>
      <c r="F20" s="41">
        <f>SUMPRODUCT(((ISNUMBER('GRT Oriente'!L6:L400))*('GRT Oriente'!L6:L400&gt;=B20)*('GRT Oriente'!L6:L400&lt;=C20))*(('GRT Oriente'!K6:K400="INSTALADO - OPERANDO")+('GRT Oriente'!K6:K400="INSTALADO - SIN SEÑAL")&gt;0))</f>
        <v>0</v>
      </c>
      <c r="G20" s="41">
        <f>SUMPRODUCT(((ISNUMBER('GRT Valle de México'!L6:L740))*('GRT Valle de México'!L6:L740&gt;=B20)*('GRT Valle de México'!L6:L740&lt;=C20))*(('GRT Valle de México'!K6:K740="INSTALADO - OPERANDO")+('GRT Valle de México'!K6:K740="INSTALADO - SIN SEÑAL")&gt;0))</f>
        <v>0</v>
      </c>
      <c r="H20" s="41">
        <f>SUMPRODUCT(((ISNUMBER('GRT Noroeste'!L6:L372))*('GRT Noroeste'!L6:L372&gt;=B20)*('GRT Noroeste'!L6:L372&lt;=C20))*(('GRT Noroeste'!K6:K372="INSTALADO - OPERANDO")+('GRT Noroeste'!K6:K372="INSTALADO - SIN SEÑAL")&gt;0))</f>
        <v>0</v>
      </c>
      <c r="I20" s="41">
        <f>SUMPRODUCT(((ISNUMBER('GRT Norte'!L6:L296))*('GRT Norte'!L6:L296&gt;=B20)*('GRT Norte'!L6:L296&lt;=C20))*(('GRT Norte'!K6:K296="INSTALADO - OPERANDO")+('GRT Norte'!K6:K296="INSTALADO - SIN SEÑAL")&gt;0))</f>
        <v>0</v>
      </c>
      <c r="J20" s="41">
        <f>SUMPRODUCT(((ISNUMBER('GRT Noreste'!L6:L262))*('GRT Noreste'!L6:L262&gt;=B20)*('GRT Noreste'!L6:L262&lt;=C20))*(('GRT Noreste'!K6:K262="INSTALADO - OPERANDO")+('GRT Noreste'!K6:K262="INSTALADO - SIN SEÑAL")&gt;0))</f>
        <v>0</v>
      </c>
      <c r="K20" s="41">
        <f>SUMPRODUCT(((ISNUMBER('GRT Baja California'!L6:L281))*('GRT Baja California'!L6:L281&gt;=B20)*('GRT Baja California'!L6:L281&lt;=C20))*(('GRT Baja California'!K6:K281="INSTALADO - OPERANDO")+('GRT Baja California'!K6:K281="INSTALADO - SIN SEÑAL")&gt;0))</f>
        <v>0</v>
      </c>
      <c r="L20" s="51">
        <f t="shared" si="0"/>
        <v>0</v>
      </c>
      <c r="M20" s="49">
        <f t="shared" si="2"/>
        <v>1289</v>
      </c>
      <c r="N20" s="52">
        <f t="shared" si="1"/>
        <v>0.30472813238770685</v>
      </c>
      <c r="O20" s="53"/>
    </row>
    <row r="21" spans="1:15" ht="18" customHeight="1">
      <c r="A21" s="54">
        <v>16</v>
      </c>
      <c r="B21" s="55">
        <v>46201</v>
      </c>
      <c r="C21" s="55">
        <v>46207</v>
      </c>
      <c r="D21" s="44">
        <f>SUMPRODUCT(((ISNUMBER('GRT Central'!L6:L1135))*('GRT Central'!L6:L1135&gt;=B21)*('GRT Central'!L6:L1135&lt;=C21))*(('GRT Central'!K6:K1135="INSTALADO - OPERANDO")+('GRT Central'!K6:K1135="INSTALADO - SIN SEÑAL")&gt;0))</f>
        <v>0</v>
      </c>
      <c r="E21" s="44">
        <f>SUMPRODUCT(((ISNUMBER('GRT Occidente'!L6:L784))*('GRT Occidente'!L6:L784&gt;=B21)*('GRT Occidente'!L6:L784&lt;=C21))*(('GRT Occidente'!K6:K784="INSTALADO - OPERANDO")+('GRT Occidente'!K6:K784="INSTALADO - SIN SEÑAL")&gt;0))</f>
        <v>0</v>
      </c>
      <c r="F21" s="44">
        <f>SUMPRODUCT(((ISNUMBER('GRT Oriente'!L6:L400))*('GRT Oriente'!L6:L400&gt;=B21)*('GRT Oriente'!L6:L400&lt;=C21))*(('GRT Oriente'!K6:K400="INSTALADO - OPERANDO")+('GRT Oriente'!K6:K400="INSTALADO - SIN SEÑAL")&gt;0))</f>
        <v>0</v>
      </c>
      <c r="G21" s="44">
        <f>SUMPRODUCT(((ISNUMBER('GRT Valle de México'!L6:L740))*('GRT Valle de México'!L6:L740&gt;=B21)*('GRT Valle de México'!L6:L740&lt;=C21))*(('GRT Valle de México'!K6:K740="INSTALADO - OPERANDO")+('GRT Valle de México'!K6:K740="INSTALADO - SIN SEÑAL")&gt;0))</f>
        <v>0</v>
      </c>
      <c r="H21" s="44">
        <f>SUMPRODUCT(((ISNUMBER('GRT Noroeste'!L6:L372))*('GRT Noroeste'!L6:L372&gt;=B21)*('GRT Noroeste'!L6:L372&lt;=C21))*(('GRT Noroeste'!K6:K372="INSTALADO - OPERANDO")+('GRT Noroeste'!K6:K372="INSTALADO - SIN SEÑAL")&gt;0))</f>
        <v>0</v>
      </c>
      <c r="I21" s="44">
        <f>SUMPRODUCT(((ISNUMBER('GRT Norte'!L6:L296))*('GRT Norte'!L6:L296&gt;=B21)*('GRT Norte'!L6:L296&lt;=C21))*(('GRT Norte'!K6:K296="INSTALADO - OPERANDO")+('GRT Norte'!K6:K296="INSTALADO - SIN SEÑAL")&gt;0))</f>
        <v>0</v>
      </c>
      <c r="J21" s="44">
        <f>SUMPRODUCT(((ISNUMBER('GRT Noreste'!L6:L262))*('GRT Noreste'!L6:L262&gt;=B21)*('GRT Noreste'!L6:L262&lt;=C21))*(('GRT Noreste'!K6:K262="INSTALADO - OPERANDO")+('GRT Noreste'!K6:K262="INSTALADO - SIN SEÑAL")&gt;0))</f>
        <v>0</v>
      </c>
      <c r="K21" s="44">
        <f>SUMPRODUCT(((ISNUMBER('GRT Baja California'!L6:L281))*('GRT Baja California'!L6:L281&gt;=B21)*('GRT Baja California'!L6:L281&lt;=C21))*(('GRT Baja California'!K6:K281="INSTALADO - OPERANDO")+('GRT Baja California'!K6:K281="INSTALADO - SIN SEÑAL")&gt;0))</f>
        <v>0</v>
      </c>
      <c r="L21" s="56">
        <f t="shared" si="0"/>
        <v>0</v>
      </c>
      <c r="M21" s="54">
        <f t="shared" si="2"/>
        <v>1289</v>
      </c>
      <c r="N21" s="57">
        <f t="shared" si="1"/>
        <v>0.30472813238770685</v>
      </c>
      <c r="O21" s="58"/>
    </row>
    <row r="22" spans="1:15" ht="18" customHeight="1">
      <c r="A22" s="49">
        <v>17</v>
      </c>
      <c r="B22" s="50">
        <v>46208</v>
      </c>
      <c r="C22" s="50">
        <v>46214</v>
      </c>
      <c r="D22" s="41">
        <f>SUMPRODUCT(((ISNUMBER('GRT Central'!L6:L1135))*('GRT Central'!L6:L1135&gt;=B22)*('GRT Central'!L6:L1135&lt;=C22))*(('GRT Central'!K6:K1135="INSTALADO - OPERANDO")+('GRT Central'!K6:K1135="INSTALADO - SIN SEÑAL")&gt;0))</f>
        <v>0</v>
      </c>
      <c r="E22" s="41">
        <f>SUMPRODUCT(((ISNUMBER('GRT Occidente'!L6:L784))*('GRT Occidente'!L6:L784&gt;=B22)*('GRT Occidente'!L6:L784&lt;=C22))*(('GRT Occidente'!K6:K784="INSTALADO - OPERANDO")+('GRT Occidente'!K6:K784="INSTALADO - SIN SEÑAL")&gt;0))</f>
        <v>0</v>
      </c>
      <c r="F22" s="41">
        <f>SUMPRODUCT(((ISNUMBER('GRT Oriente'!L6:L400))*('GRT Oriente'!L6:L400&gt;=B22)*('GRT Oriente'!L6:L400&lt;=C22))*(('GRT Oriente'!K6:K400="INSTALADO - OPERANDO")+('GRT Oriente'!K6:K400="INSTALADO - SIN SEÑAL")&gt;0))</f>
        <v>0</v>
      </c>
      <c r="G22" s="41">
        <f>SUMPRODUCT(((ISNUMBER('GRT Valle de México'!L6:L740))*('GRT Valle de México'!L6:L740&gt;=B22)*('GRT Valle de México'!L6:L740&lt;=C22))*(('GRT Valle de México'!K6:K740="INSTALADO - OPERANDO")+('GRT Valle de México'!K6:K740="INSTALADO - SIN SEÑAL")&gt;0))</f>
        <v>0</v>
      </c>
      <c r="H22" s="41">
        <f>SUMPRODUCT(((ISNUMBER('GRT Noroeste'!L6:L372))*('GRT Noroeste'!L6:L372&gt;=B22)*('GRT Noroeste'!L6:L372&lt;=C22))*(('GRT Noroeste'!K6:K372="INSTALADO - OPERANDO")+('GRT Noroeste'!K6:K372="INSTALADO - SIN SEÑAL")&gt;0))</f>
        <v>0</v>
      </c>
      <c r="I22" s="41">
        <f>SUMPRODUCT(((ISNUMBER('GRT Norte'!L6:L296))*('GRT Norte'!L6:L296&gt;=B22)*('GRT Norte'!L6:L296&lt;=C22))*(('GRT Norte'!K6:K296="INSTALADO - OPERANDO")+('GRT Norte'!K6:K296="INSTALADO - SIN SEÑAL")&gt;0))</f>
        <v>0</v>
      </c>
      <c r="J22" s="41">
        <f>SUMPRODUCT(((ISNUMBER('GRT Noreste'!L6:L262))*('GRT Noreste'!L6:L262&gt;=B22)*('GRT Noreste'!L6:L262&lt;=C22))*(('GRT Noreste'!K6:K262="INSTALADO - OPERANDO")+('GRT Noreste'!K6:K262="INSTALADO - SIN SEÑAL")&gt;0))</f>
        <v>0</v>
      </c>
      <c r="K22" s="41">
        <f>SUMPRODUCT(((ISNUMBER('GRT Baja California'!L6:L281))*('GRT Baja California'!L6:L281&gt;=B22)*('GRT Baja California'!L6:L281&lt;=C22))*(('GRT Baja California'!K6:K281="INSTALADO - OPERANDO")+('GRT Baja California'!K6:K281="INSTALADO - SIN SEÑAL")&gt;0))</f>
        <v>0</v>
      </c>
      <c r="L22" s="51">
        <f t="shared" si="0"/>
        <v>0</v>
      </c>
      <c r="M22" s="49">
        <f t="shared" si="2"/>
        <v>1289</v>
      </c>
      <c r="N22" s="52">
        <f t="shared" si="1"/>
        <v>0.30472813238770685</v>
      </c>
      <c r="O22" s="53"/>
    </row>
    <row r="23" spans="1:15" ht="18" customHeight="1">
      <c r="A23" s="54">
        <v>18</v>
      </c>
      <c r="B23" s="55">
        <v>46215</v>
      </c>
      <c r="C23" s="55">
        <v>46221</v>
      </c>
      <c r="D23" s="44">
        <f>SUMPRODUCT(((ISNUMBER('GRT Central'!L6:L1135))*('GRT Central'!L6:L1135&gt;=B23)*('GRT Central'!L6:L1135&lt;=C23))*(('GRT Central'!K6:K1135="INSTALADO - OPERANDO")+('GRT Central'!K6:K1135="INSTALADO - SIN SEÑAL")&gt;0))</f>
        <v>0</v>
      </c>
      <c r="E23" s="44">
        <f>SUMPRODUCT(((ISNUMBER('GRT Occidente'!L6:L784))*('GRT Occidente'!L6:L784&gt;=B23)*('GRT Occidente'!L6:L784&lt;=C23))*(('GRT Occidente'!K6:K784="INSTALADO - OPERANDO")+('GRT Occidente'!K6:K784="INSTALADO - SIN SEÑAL")&gt;0))</f>
        <v>0</v>
      </c>
      <c r="F23" s="44">
        <f>SUMPRODUCT(((ISNUMBER('GRT Oriente'!L6:L400))*('GRT Oriente'!L6:L400&gt;=B23)*('GRT Oriente'!L6:L400&lt;=C23))*(('GRT Oriente'!K6:K400="INSTALADO - OPERANDO")+('GRT Oriente'!K6:K400="INSTALADO - SIN SEÑAL")&gt;0))</f>
        <v>0</v>
      </c>
      <c r="G23" s="44">
        <f>SUMPRODUCT(((ISNUMBER('GRT Valle de México'!L6:L740))*('GRT Valle de México'!L6:L740&gt;=B23)*('GRT Valle de México'!L6:L740&lt;=C23))*(('GRT Valle de México'!K6:K740="INSTALADO - OPERANDO")+('GRT Valle de México'!K6:K740="INSTALADO - SIN SEÑAL")&gt;0))</f>
        <v>0</v>
      </c>
      <c r="H23" s="44">
        <f>SUMPRODUCT(((ISNUMBER('GRT Noroeste'!L6:L372))*('GRT Noroeste'!L6:L372&gt;=B23)*('GRT Noroeste'!L6:L372&lt;=C23))*(('GRT Noroeste'!K6:K372="INSTALADO - OPERANDO")+('GRT Noroeste'!K6:K372="INSTALADO - SIN SEÑAL")&gt;0))</f>
        <v>0</v>
      </c>
      <c r="I23" s="44">
        <f>SUMPRODUCT(((ISNUMBER('GRT Norte'!L6:L296))*('GRT Norte'!L6:L296&gt;=B23)*('GRT Norte'!L6:L296&lt;=C23))*(('GRT Norte'!K6:K296="INSTALADO - OPERANDO")+('GRT Norte'!K6:K296="INSTALADO - SIN SEÑAL")&gt;0))</f>
        <v>0</v>
      </c>
      <c r="J23" s="44">
        <f>SUMPRODUCT(((ISNUMBER('GRT Noreste'!L6:L262))*('GRT Noreste'!L6:L262&gt;=B23)*('GRT Noreste'!L6:L262&lt;=C23))*(('GRT Noreste'!K6:K262="INSTALADO - OPERANDO")+('GRT Noreste'!K6:K262="INSTALADO - SIN SEÑAL")&gt;0))</f>
        <v>0</v>
      </c>
      <c r="K23" s="44">
        <f>SUMPRODUCT(((ISNUMBER('GRT Baja California'!L6:L281))*('GRT Baja California'!L6:L281&gt;=B23)*('GRT Baja California'!L6:L281&lt;=C23))*(('GRT Baja California'!K6:K281="INSTALADO - OPERANDO")+('GRT Baja California'!K6:K281="INSTALADO - SIN SEÑAL")&gt;0))</f>
        <v>0</v>
      </c>
      <c r="L23" s="56">
        <f t="shared" si="0"/>
        <v>0</v>
      </c>
      <c r="M23" s="54">
        <f t="shared" si="2"/>
        <v>1289</v>
      </c>
      <c r="N23" s="57">
        <f t="shared" si="1"/>
        <v>0.30472813238770685</v>
      </c>
      <c r="O23" s="58"/>
    </row>
    <row r="24" spans="1:15" ht="18" customHeight="1">
      <c r="A24" s="49">
        <v>19</v>
      </c>
      <c r="B24" s="50">
        <v>46222</v>
      </c>
      <c r="C24" s="50">
        <v>46228</v>
      </c>
      <c r="D24" s="41">
        <f>SUMPRODUCT(((ISNUMBER('GRT Central'!L6:L1135))*('GRT Central'!L6:L1135&gt;=B24)*('GRT Central'!L6:L1135&lt;=C24))*(('GRT Central'!K6:K1135="INSTALADO - OPERANDO")+('GRT Central'!K6:K1135="INSTALADO - SIN SEÑAL")&gt;0))</f>
        <v>0</v>
      </c>
      <c r="E24" s="41">
        <f>SUMPRODUCT(((ISNUMBER('GRT Occidente'!L6:L784))*('GRT Occidente'!L6:L784&gt;=B24)*('GRT Occidente'!L6:L784&lt;=C24))*(('GRT Occidente'!K6:K784="INSTALADO - OPERANDO")+('GRT Occidente'!K6:K784="INSTALADO - SIN SEÑAL")&gt;0))</f>
        <v>0</v>
      </c>
      <c r="F24" s="41">
        <f>SUMPRODUCT(((ISNUMBER('GRT Oriente'!L6:L400))*('GRT Oriente'!L6:L400&gt;=B24)*('GRT Oriente'!L6:L400&lt;=C24))*(('GRT Oriente'!K6:K400="INSTALADO - OPERANDO")+('GRT Oriente'!K6:K400="INSTALADO - SIN SEÑAL")&gt;0))</f>
        <v>0</v>
      </c>
      <c r="G24" s="41">
        <f>SUMPRODUCT(((ISNUMBER('GRT Valle de México'!L6:L740))*('GRT Valle de México'!L6:L740&gt;=B24)*('GRT Valle de México'!L6:L740&lt;=C24))*(('GRT Valle de México'!K6:K740="INSTALADO - OPERANDO")+('GRT Valle de México'!K6:K740="INSTALADO - SIN SEÑAL")&gt;0))</f>
        <v>0</v>
      </c>
      <c r="H24" s="41">
        <f>SUMPRODUCT(((ISNUMBER('GRT Noroeste'!L6:L372))*('GRT Noroeste'!L6:L372&gt;=B24)*('GRT Noroeste'!L6:L372&lt;=C24))*(('GRT Noroeste'!K6:K372="INSTALADO - OPERANDO")+('GRT Noroeste'!K6:K372="INSTALADO - SIN SEÑAL")&gt;0))</f>
        <v>0</v>
      </c>
      <c r="I24" s="41">
        <f>SUMPRODUCT(((ISNUMBER('GRT Norte'!L6:L296))*('GRT Norte'!L6:L296&gt;=B24)*('GRT Norte'!L6:L296&lt;=C24))*(('GRT Norte'!K6:K296="INSTALADO - OPERANDO")+('GRT Norte'!K6:K296="INSTALADO - SIN SEÑAL")&gt;0))</f>
        <v>0</v>
      </c>
      <c r="J24" s="41">
        <f>SUMPRODUCT(((ISNUMBER('GRT Noreste'!L6:L262))*('GRT Noreste'!L6:L262&gt;=B24)*('GRT Noreste'!L6:L262&lt;=C24))*(('GRT Noreste'!K6:K262="INSTALADO - OPERANDO")+('GRT Noreste'!K6:K262="INSTALADO - SIN SEÑAL")&gt;0))</f>
        <v>0</v>
      </c>
      <c r="K24" s="41">
        <f>SUMPRODUCT(((ISNUMBER('GRT Baja California'!L6:L281))*('GRT Baja California'!L6:L281&gt;=B24)*('GRT Baja California'!L6:L281&lt;=C24))*(('GRT Baja California'!K6:K281="INSTALADO - OPERANDO")+('GRT Baja California'!K6:K281="INSTALADO - SIN SEÑAL")&gt;0))</f>
        <v>0</v>
      </c>
      <c r="L24" s="51">
        <f t="shared" si="0"/>
        <v>0</v>
      </c>
      <c r="M24" s="49">
        <f t="shared" si="2"/>
        <v>1289</v>
      </c>
      <c r="N24" s="52">
        <f t="shared" si="1"/>
        <v>0.30472813238770685</v>
      </c>
      <c r="O24" s="53"/>
    </row>
    <row r="25" spans="1:15" ht="18" customHeight="1">
      <c r="A25" s="54">
        <v>20</v>
      </c>
      <c r="B25" s="55">
        <v>46229</v>
      </c>
      <c r="C25" s="55">
        <v>46235</v>
      </c>
      <c r="D25" s="44">
        <f>SUMPRODUCT(((ISNUMBER('GRT Central'!L6:L1135))*('GRT Central'!L6:L1135&gt;=B25)*('GRT Central'!L6:L1135&lt;=C25))*(('GRT Central'!K6:K1135="INSTALADO - OPERANDO")+('GRT Central'!K6:K1135="INSTALADO - SIN SEÑAL")&gt;0))</f>
        <v>0</v>
      </c>
      <c r="E25" s="44">
        <f>SUMPRODUCT(((ISNUMBER('GRT Occidente'!L6:L784))*('GRT Occidente'!L6:L784&gt;=B25)*('GRT Occidente'!L6:L784&lt;=C25))*(('GRT Occidente'!K6:K784="INSTALADO - OPERANDO")+('GRT Occidente'!K6:K784="INSTALADO - SIN SEÑAL")&gt;0))</f>
        <v>0</v>
      </c>
      <c r="F25" s="44">
        <f>SUMPRODUCT(((ISNUMBER('GRT Oriente'!L6:L400))*('GRT Oriente'!L6:L400&gt;=B25)*('GRT Oriente'!L6:L400&lt;=C25))*(('GRT Oriente'!K6:K400="INSTALADO - OPERANDO")+('GRT Oriente'!K6:K400="INSTALADO - SIN SEÑAL")&gt;0))</f>
        <v>0</v>
      </c>
      <c r="G25" s="44">
        <f>SUMPRODUCT(((ISNUMBER('GRT Valle de México'!L6:L740))*('GRT Valle de México'!L6:L740&gt;=B25)*('GRT Valle de México'!L6:L740&lt;=C25))*(('GRT Valle de México'!K6:K740="INSTALADO - OPERANDO")+('GRT Valle de México'!K6:K740="INSTALADO - SIN SEÑAL")&gt;0))</f>
        <v>0</v>
      </c>
      <c r="H25" s="44">
        <f>SUMPRODUCT(((ISNUMBER('GRT Noroeste'!L6:L372))*('GRT Noroeste'!L6:L372&gt;=B25)*('GRT Noroeste'!L6:L372&lt;=C25))*(('GRT Noroeste'!K6:K372="INSTALADO - OPERANDO")+('GRT Noroeste'!K6:K372="INSTALADO - SIN SEÑAL")&gt;0))</f>
        <v>0</v>
      </c>
      <c r="I25" s="44">
        <f>SUMPRODUCT(((ISNUMBER('GRT Norte'!L6:L296))*('GRT Norte'!L6:L296&gt;=B25)*('GRT Norte'!L6:L296&lt;=C25))*(('GRT Norte'!K6:K296="INSTALADO - OPERANDO")+('GRT Norte'!K6:K296="INSTALADO - SIN SEÑAL")&gt;0))</f>
        <v>0</v>
      </c>
      <c r="J25" s="44">
        <f>SUMPRODUCT(((ISNUMBER('GRT Noreste'!L6:L262))*('GRT Noreste'!L6:L262&gt;=B25)*('GRT Noreste'!L6:L262&lt;=C25))*(('GRT Noreste'!K6:K262="INSTALADO - OPERANDO")+('GRT Noreste'!K6:K262="INSTALADO - SIN SEÑAL")&gt;0))</f>
        <v>0</v>
      </c>
      <c r="K25" s="44">
        <f>SUMPRODUCT(((ISNUMBER('GRT Baja California'!L6:L281))*('GRT Baja California'!L6:L281&gt;=B25)*('GRT Baja California'!L6:L281&lt;=C25))*(('GRT Baja California'!K6:K281="INSTALADO - OPERANDO")+('GRT Baja California'!K6:K281="INSTALADO - SIN SEÑAL")&gt;0))</f>
        <v>0</v>
      </c>
      <c r="L25" s="56">
        <f t="shared" si="0"/>
        <v>0</v>
      </c>
      <c r="M25" s="54">
        <f t="shared" si="2"/>
        <v>1289</v>
      </c>
      <c r="N25" s="57">
        <f t="shared" si="1"/>
        <v>0.30472813238770685</v>
      </c>
      <c r="O25" s="58"/>
    </row>
    <row r="26" spans="1:15" ht="18" customHeight="1">
      <c r="A26" s="49">
        <v>21</v>
      </c>
      <c r="B26" s="50">
        <v>46236</v>
      </c>
      <c r="C26" s="50">
        <v>46242</v>
      </c>
      <c r="D26" s="41">
        <f>SUMPRODUCT(((ISNUMBER('GRT Central'!L6:L1135))*('GRT Central'!L6:L1135&gt;=B26)*('GRT Central'!L6:L1135&lt;=C26))*(('GRT Central'!K6:K1135="INSTALADO - OPERANDO")+('GRT Central'!K6:K1135="INSTALADO - SIN SEÑAL")&gt;0))</f>
        <v>0</v>
      </c>
      <c r="E26" s="41">
        <f>SUMPRODUCT(((ISNUMBER('GRT Occidente'!L6:L784))*('GRT Occidente'!L6:L784&gt;=B26)*('GRT Occidente'!L6:L784&lt;=C26))*(('GRT Occidente'!K6:K784="INSTALADO - OPERANDO")+('GRT Occidente'!K6:K784="INSTALADO - SIN SEÑAL")&gt;0))</f>
        <v>0</v>
      </c>
      <c r="F26" s="41">
        <f>SUMPRODUCT(((ISNUMBER('GRT Oriente'!L6:L400))*('GRT Oriente'!L6:L400&gt;=B26)*('GRT Oriente'!L6:L400&lt;=C26))*(('GRT Oriente'!K6:K400="INSTALADO - OPERANDO")+('GRT Oriente'!K6:K400="INSTALADO - SIN SEÑAL")&gt;0))</f>
        <v>0</v>
      </c>
      <c r="G26" s="41">
        <f>SUMPRODUCT(((ISNUMBER('GRT Valle de México'!L6:L740))*('GRT Valle de México'!L6:L740&gt;=B26)*('GRT Valle de México'!L6:L740&lt;=C26))*(('GRT Valle de México'!K6:K740="INSTALADO - OPERANDO")+('GRT Valle de México'!K6:K740="INSTALADO - SIN SEÑAL")&gt;0))</f>
        <v>0</v>
      </c>
      <c r="H26" s="41">
        <f>SUMPRODUCT(((ISNUMBER('GRT Noroeste'!L6:L372))*('GRT Noroeste'!L6:L372&gt;=B26)*('GRT Noroeste'!L6:L372&lt;=C26))*(('GRT Noroeste'!K6:K372="INSTALADO - OPERANDO")+('GRT Noroeste'!K6:K372="INSTALADO - SIN SEÑAL")&gt;0))</f>
        <v>0</v>
      </c>
      <c r="I26" s="41">
        <f>SUMPRODUCT(((ISNUMBER('GRT Norte'!L6:L296))*('GRT Norte'!L6:L296&gt;=B26)*('GRT Norte'!L6:L296&lt;=C26))*(('GRT Norte'!K6:K296="INSTALADO - OPERANDO")+('GRT Norte'!K6:K296="INSTALADO - SIN SEÑAL")&gt;0))</f>
        <v>0</v>
      </c>
      <c r="J26" s="41">
        <f>SUMPRODUCT(((ISNUMBER('GRT Noreste'!L6:L262))*('GRT Noreste'!L6:L262&gt;=B26)*('GRT Noreste'!L6:L262&lt;=C26))*(('GRT Noreste'!K6:K262="INSTALADO - OPERANDO")+('GRT Noreste'!K6:K262="INSTALADO - SIN SEÑAL")&gt;0))</f>
        <v>0</v>
      </c>
      <c r="K26" s="41">
        <f>SUMPRODUCT(((ISNUMBER('GRT Baja California'!L6:L281))*('GRT Baja California'!L6:L281&gt;=B26)*('GRT Baja California'!L6:L281&lt;=C26))*(('GRT Baja California'!K6:K281="INSTALADO - OPERANDO")+('GRT Baja California'!K6:K281="INSTALADO - SIN SEÑAL")&gt;0))</f>
        <v>0</v>
      </c>
      <c r="L26" s="51">
        <f t="shared" si="0"/>
        <v>0</v>
      </c>
      <c r="M26" s="49">
        <f t="shared" si="2"/>
        <v>1289</v>
      </c>
      <c r="N26" s="52">
        <f t="shared" si="1"/>
        <v>0.30472813238770685</v>
      </c>
      <c r="O26" s="53"/>
    </row>
    <row r="27" spans="1:15" ht="18" customHeight="1">
      <c r="A27" s="54">
        <v>22</v>
      </c>
      <c r="B27" s="55">
        <v>46243</v>
      </c>
      <c r="C27" s="55">
        <v>46249</v>
      </c>
      <c r="D27" s="44">
        <f>SUMPRODUCT(((ISNUMBER('GRT Central'!L6:L1135))*('GRT Central'!L6:L1135&gt;=B27)*('GRT Central'!L6:L1135&lt;=C27))*(('GRT Central'!K6:K1135="INSTALADO - OPERANDO")+('GRT Central'!K6:K1135="INSTALADO - SIN SEÑAL")&gt;0))</f>
        <v>0</v>
      </c>
      <c r="E27" s="44">
        <f>SUMPRODUCT(((ISNUMBER('GRT Occidente'!L6:L784))*('GRT Occidente'!L6:L784&gt;=B27)*('GRT Occidente'!L6:L784&lt;=C27))*(('GRT Occidente'!K6:K784="INSTALADO - OPERANDO")+('GRT Occidente'!K6:K784="INSTALADO - SIN SEÑAL")&gt;0))</f>
        <v>0</v>
      </c>
      <c r="F27" s="44">
        <f>SUMPRODUCT(((ISNUMBER('GRT Oriente'!L6:L400))*('GRT Oriente'!L6:L400&gt;=B27)*('GRT Oriente'!L6:L400&lt;=C27))*(('GRT Oriente'!K6:K400="INSTALADO - OPERANDO")+('GRT Oriente'!K6:K400="INSTALADO - SIN SEÑAL")&gt;0))</f>
        <v>0</v>
      </c>
      <c r="G27" s="44">
        <f>SUMPRODUCT(((ISNUMBER('GRT Valle de México'!L6:L740))*('GRT Valle de México'!L6:L740&gt;=B27)*('GRT Valle de México'!L6:L740&lt;=C27))*(('GRT Valle de México'!K6:K740="INSTALADO - OPERANDO")+('GRT Valle de México'!K6:K740="INSTALADO - SIN SEÑAL")&gt;0))</f>
        <v>0</v>
      </c>
      <c r="H27" s="44">
        <f>SUMPRODUCT(((ISNUMBER('GRT Noroeste'!L6:L372))*('GRT Noroeste'!L6:L372&gt;=B27)*('GRT Noroeste'!L6:L372&lt;=C27))*(('GRT Noroeste'!K6:K372="INSTALADO - OPERANDO")+('GRT Noroeste'!K6:K372="INSTALADO - SIN SEÑAL")&gt;0))</f>
        <v>0</v>
      </c>
      <c r="I27" s="44">
        <f>SUMPRODUCT(((ISNUMBER('GRT Norte'!L6:L296))*('GRT Norte'!L6:L296&gt;=B27)*('GRT Norte'!L6:L296&lt;=C27))*(('GRT Norte'!K6:K296="INSTALADO - OPERANDO")+('GRT Norte'!K6:K296="INSTALADO - SIN SEÑAL")&gt;0))</f>
        <v>0</v>
      </c>
      <c r="J27" s="44">
        <f>SUMPRODUCT(((ISNUMBER('GRT Noreste'!L6:L262))*('GRT Noreste'!L6:L262&gt;=B27)*('GRT Noreste'!L6:L262&lt;=C27))*(('GRT Noreste'!K6:K262="INSTALADO - OPERANDO")+('GRT Noreste'!K6:K262="INSTALADO - SIN SEÑAL")&gt;0))</f>
        <v>0</v>
      </c>
      <c r="K27" s="44">
        <f>SUMPRODUCT(((ISNUMBER('GRT Baja California'!L6:L281))*('GRT Baja California'!L6:L281&gt;=B27)*('GRT Baja California'!L6:L281&lt;=C27))*(('GRT Baja California'!K6:K281="INSTALADO - OPERANDO")+('GRT Baja California'!K6:K281="INSTALADO - SIN SEÑAL")&gt;0))</f>
        <v>0</v>
      </c>
      <c r="L27" s="56">
        <f t="shared" si="0"/>
        <v>0</v>
      </c>
      <c r="M27" s="54">
        <f t="shared" si="2"/>
        <v>1289</v>
      </c>
      <c r="N27" s="57">
        <f t="shared" si="1"/>
        <v>0.30472813238770685</v>
      </c>
      <c r="O27" s="58"/>
    </row>
    <row r="28" spans="1:15" ht="18" customHeight="1">
      <c r="A28" s="49">
        <v>23</v>
      </c>
      <c r="B28" s="50">
        <v>46250</v>
      </c>
      <c r="C28" s="50">
        <v>46256</v>
      </c>
      <c r="D28" s="41">
        <f>SUMPRODUCT(((ISNUMBER('GRT Central'!L6:L1135))*('GRT Central'!L6:L1135&gt;=B28)*('GRT Central'!L6:L1135&lt;=C28))*(('GRT Central'!K6:K1135="INSTALADO - OPERANDO")+('GRT Central'!K6:K1135="INSTALADO - SIN SEÑAL")&gt;0))</f>
        <v>0</v>
      </c>
      <c r="E28" s="41">
        <f>SUMPRODUCT(((ISNUMBER('GRT Occidente'!L6:L784))*('GRT Occidente'!L6:L784&gt;=B28)*('GRT Occidente'!L6:L784&lt;=C28))*(('GRT Occidente'!K6:K784="INSTALADO - OPERANDO")+('GRT Occidente'!K6:K784="INSTALADO - SIN SEÑAL")&gt;0))</f>
        <v>0</v>
      </c>
      <c r="F28" s="41">
        <f>SUMPRODUCT(((ISNUMBER('GRT Oriente'!L6:L400))*('GRT Oriente'!L6:L400&gt;=B28)*('GRT Oriente'!L6:L400&lt;=C28))*(('GRT Oriente'!K6:K400="INSTALADO - OPERANDO")+('GRT Oriente'!K6:K400="INSTALADO - SIN SEÑAL")&gt;0))</f>
        <v>0</v>
      </c>
      <c r="G28" s="41">
        <f>SUMPRODUCT(((ISNUMBER('GRT Valle de México'!L6:L740))*('GRT Valle de México'!L6:L740&gt;=B28)*('GRT Valle de México'!L6:L740&lt;=C28))*(('GRT Valle de México'!K6:K740="INSTALADO - OPERANDO")+('GRT Valle de México'!K6:K740="INSTALADO - SIN SEÑAL")&gt;0))</f>
        <v>0</v>
      </c>
      <c r="H28" s="41">
        <f>SUMPRODUCT(((ISNUMBER('GRT Noroeste'!L6:L372))*('GRT Noroeste'!L6:L372&gt;=B28)*('GRT Noroeste'!L6:L372&lt;=C28))*(('GRT Noroeste'!K6:K372="INSTALADO - OPERANDO")+('GRT Noroeste'!K6:K372="INSTALADO - SIN SEÑAL")&gt;0))</f>
        <v>0</v>
      </c>
      <c r="I28" s="41">
        <f>SUMPRODUCT(((ISNUMBER('GRT Norte'!L6:L296))*('GRT Norte'!L6:L296&gt;=B28)*('GRT Norte'!L6:L296&lt;=C28))*(('GRT Norte'!K6:K296="INSTALADO - OPERANDO")+('GRT Norte'!K6:K296="INSTALADO - SIN SEÑAL")&gt;0))</f>
        <v>0</v>
      </c>
      <c r="J28" s="41">
        <f>SUMPRODUCT(((ISNUMBER('GRT Noreste'!L6:L262))*('GRT Noreste'!L6:L262&gt;=B28)*('GRT Noreste'!L6:L262&lt;=C28))*(('GRT Noreste'!K6:K262="INSTALADO - OPERANDO")+('GRT Noreste'!K6:K262="INSTALADO - SIN SEÑAL")&gt;0))</f>
        <v>0</v>
      </c>
      <c r="K28" s="41">
        <f>SUMPRODUCT(((ISNUMBER('GRT Baja California'!L6:L281))*('GRT Baja California'!L6:L281&gt;=B28)*('GRT Baja California'!L6:L281&lt;=C28))*(('GRT Baja California'!K6:K281="INSTALADO - OPERANDO")+('GRT Baja California'!K6:K281="INSTALADO - SIN SEÑAL")&gt;0))</f>
        <v>0</v>
      </c>
      <c r="L28" s="51">
        <f t="shared" si="0"/>
        <v>0</v>
      </c>
      <c r="M28" s="49">
        <f t="shared" si="2"/>
        <v>1289</v>
      </c>
      <c r="N28" s="52">
        <f t="shared" si="1"/>
        <v>0.30472813238770685</v>
      </c>
      <c r="O28" s="53"/>
    </row>
    <row r="29" spans="1:15" ht="18" customHeight="1">
      <c r="A29" s="54">
        <v>24</v>
      </c>
      <c r="B29" s="55">
        <v>46257</v>
      </c>
      <c r="C29" s="55">
        <v>46263</v>
      </c>
      <c r="D29" s="44">
        <f>SUMPRODUCT(((ISNUMBER('GRT Central'!L6:L1135))*('GRT Central'!L6:L1135&gt;=B29)*('GRT Central'!L6:L1135&lt;=C29))*(('GRT Central'!K6:K1135="INSTALADO - OPERANDO")+('GRT Central'!K6:K1135="INSTALADO - SIN SEÑAL")&gt;0))</f>
        <v>0</v>
      </c>
      <c r="E29" s="44">
        <f>SUMPRODUCT(((ISNUMBER('GRT Occidente'!L6:L784))*('GRT Occidente'!L6:L784&gt;=B29)*('GRT Occidente'!L6:L784&lt;=C29))*(('GRT Occidente'!K6:K784="INSTALADO - OPERANDO")+('GRT Occidente'!K6:K784="INSTALADO - SIN SEÑAL")&gt;0))</f>
        <v>0</v>
      </c>
      <c r="F29" s="44">
        <f>SUMPRODUCT(((ISNUMBER('GRT Oriente'!L6:L400))*('GRT Oriente'!L6:L400&gt;=B29)*('GRT Oriente'!L6:L400&lt;=C29))*(('GRT Oriente'!K6:K400="INSTALADO - OPERANDO")+('GRT Oriente'!K6:K400="INSTALADO - SIN SEÑAL")&gt;0))</f>
        <v>0</v>
      </c>
      <c r="G29" s="44">
        <f>SUMPRODUCT(((ISNUMBER('GRT Valle de México'!L6:L740))*('GRT Valle de México'!L6:L740&gt;=B29)*('GRT Valle de México'!L6:L740&lt;=C29))*(('GRT Valle de México'!K6:K740="INSTALADO - OPERANDO")+('GRT Valle de México'!K6:K740="INSTALADO - SIN SEÑAL")&gt;0))</f>
        <v>0</v>
      </c>
      <c r="H29" s="44">
        <f>SUMPRODUCT(((ISNUMBER('GRT Noroeste'!L6:L372))*('GRT Noroeste'!L6:L372&gt;=B29)*('GRT Noroeste'!L6:L372&lt;=C29))*(('GRT Noroeste'!K6:K372="INSTALADO - OPERANDO")+('GRT Noroeste'!K6:K372="INSTALADO - SIN SEÑAL")&gt;0))</f>
        <v>0</v>
      </c>
      <c r="I29" s="44">
        <f>SUMPRODUCT(((ISNUMBER('GRT Norte'!L6:L296))*('GRT Norte'!L6:L296&gt;=B29)*('GRT Norte'!L6:L296&lt;=C29))*(('GRT Norte'!K6:K296="INSTALADO - OPERANDO")+('GRT Norte'!K6:K296="INSTALADO - SIN SEÑAL")&gt;0))</f>
        <v>0</v>
      </c>
      <c r="J29" s="44">
        <f>SUMPRODUCT(((ISNUMBER('GRT Noreste'!L6:L262))*('GRT Noreste'!L6:L262&gt;=B29)*('GRT Noreste'!L6:L262&lt;=C29))*(('GRT Noreste'!K6:K262="INSTALADO - OPERANDO")+('GRT Noreste'!K6:K262="INSTALADO - SIN SEÑAL")&gt;0))</f>
        <v>0</v>
      </c>
      <c r="K29" s="44">
        <f>SUMPRODUCT(((ISNUMBER('GRT Baja California'!L6:L281))*('GRT Baja California'!L6:L281&gt;=B29)*('GRT Baja California'!L6:L281&lt;=C29))*(('GRT Baja California'!K6:K281="INSTALADO - OPERANDO")+('GRT Baja California'!K6:K281="INSTALADO - SIN SEÑAL")&gt;0))</f>
        <v>0</v>
      </c>
      <c r="L29" s="56">
        <f t="shared" si="0"/>
        <v>0</v>
      </c>
      <c r="M29" s="54">
        <f t="shared" si="2"/>
        <v>1289</v>
      </c>
      <c r="N29" s="57">
        <f t="shared" si="1"/>
        <v>0.30472813238770685</v>
      </c>
      <c r="O29" s="58"/>
    </row>
    <row r="30" spans="1:15" ht="18" customHeight="1">
      <c r="A30" s="49">
        <v>25</v>
      </c>
      <c r="B30" s="50">
        <v>46264</v>
      </c>
      <c r="C30" s="50">
        <v>46270</v>
      </c>
      <c r="D30" s="41">
        <f>SUMPRODUCT(((ISNUMBER('GRT Central'!L6:L1135))*('GRT Central'!L6:L1135&gt;=B30)*('GRT Central'!L6:L1135&lt;=C30))*(('GRT Central'!K6:K1135="INSTALADO - OPERANDO")+('GRT Central'!K6:K1135="INSTALADO - SIN SEÑAL")&gt;0))</f>
        <v>0</v>
      </c>
      <c r="E30" s="41">
        <f>SUMPRODUCT(((ISNUMBER('GRT Occidente'!L6:L784))*('GRT Occidente'!L6:L784&gt;=B30)*('GRT Occidente'!L6:L784&lt;=C30))*(('GRT Occidente'!K6:K784="INSTALADO - OPERANDO")+('GRT Occidente'!K6:K784="INSTALADO - SIN SEÑAL")&gt;0))</f>
        <v>0</v>
      </c>
      <c r="F30" s="41">
        <f>SUMPRODUCT(((ISNUMBER('GRT Oriente'!L6:L400))*('GRT Oriente'!L6:L400&gt;=B30)*('GRT Oriente'!L6:L400&lt;=C30))*(('GRT Oriente'!K6:K400="INSTALADO - OPERANDO")+('GRT Oriente'!K6:K400="INSTALADO - SIN SEÑAL")&gt;0))</f>
        <v>0</v>
      </c>
      <c r="G30" s="41">
        <f>SUMPRODUCT(((ISNUMBER('GRT Valle de México'!L6:L740))*('GRT Valle de México'!L6:L740&gt;=B30)*('GRT Valle de México'!L6:L740&lt;=C30))*(('GRT Valle de México'!K6:K740="INSTALADO - OPERANDO")+('GRT Valle de México'!K6:K740="INSTALADO - SIN SEÑAL")&gt;0))</f>
        <v>0</v>
      </c>
      <c r="H30" s="41">
        <f>SUMPRODUCT(((ISNUMBER('GRT Noroeste'!L6:L372))*('GRT Noroeste'!L6:L372&gt;=B30)*('GRT Noroeste'!L6:L372&lt;=C30))*(('GRT Noroeste'!K6:K372="INSTALADO - OPERANDO")+('GRT Noroeste'!K6:K372="INSTALADO - SIN SEÑAL")&gt;0))</f>
        <v>0</v>
      </c>
      <c r="I30" s="41">
        <f>SUMPRODUCT(((ISNUMBER('GRT Norte'!L6:L296))*('GRT Norte'!L6:L296&gt;=B30)*('GRT Norte'!L6:L296&lt;=C30))*(('GRT Norte'!K6:K296="INSTALADO - OPERANDO")+('GRT Norte'!K6:K296="INSTALADO - SIN SEÑAL")&gt;0))</f>
        <v>0</v>
      </c>
      <c r="J30" s="41">
        <f>SUMPRODUCT(((ISNUMBER('GRT Noreste'!L6:L262))*('GRT Noreste'!L6:L262&gt;=B30)*('GRT Noreste'!L6:L262&lt;=C30))*(('GRT Noreste'!K6:K262="INSTALADO - OPERANDO")+('GRT Noreste'!K6:K262="INSTALADO - SIN SEÑAL")&gt;0))</f>
        <v>0</v>
      </c>
      <c r="K30" s="41">
        <f>SUMPRODUCT(((ISNUMBER('GRT Baja California'!L6:L281))*('GRT Baja California'!L6:L281&gt;=B30)*('GRT Baja California'!L6:L281&lt;=C30))*(('GRT Baja California'!K6:K281="INSTALADO - OPERANDO")+('GRT Baja California'!K6:K281="INSTALADO - SIN SEÑAL")&gt;0))</f>
        <v>0</v>
      </c>
      <c r="L30" s="51">
        <f t="shared" si="0"/>
        <v>0</v>
      </c>
      <c r="M30" s="49">
        <f t="shared" si="2"/>
        <v>1289</v>
      </c>
      <c r="N30" s="52">
        <f t="shared" si="1"/>
        <v>0.30472813238770685</v>
      </c>
      <c r="O30" s="53"/>
    </row>
    <row r="31" spans="1:15" ht="18" customHeight="1">
      <c r="A31" s="54">
        <v>26</v>
      </c>
      <c r="B31" s="55">
        <v>46271</v>
      </c>
      <c r="C31" s="55">
        <v>46277</v>
      </c>
      <c r="D31" s="44">
        <f>SUMPRODUCT(((ISNUMBER('GRT Central'!L6:L1135))*('GRT Central'!L6:L1135&gt;=B31)*('GRT Central'!L6:L1135&lt;=C31))*(('GRT Central'!K6:K1135="INSTALADO - OPERANDO")+('GRT Central'!K6:K1135="INSTALADO - SIN SEÑAL")&gt;0))</f>
        <v>0</v>
      </c>
      <c r="E31" s="44">
        <f>SUMPRODUCT(((ISNUMBER('GRT Occidente'!L6:L784))*('GRT Occidente'!L6:L784&gt;=B31)*('GRT Occidente'!L6:L784&lt;=C31))*(('GRT Occidente'!K6:K784="INSTALADO - OPERANDO")+('GRT Occidente'!K6:K784="INSTALADO - SIN SEÑAL")&gt;0))</f>
        <v>0</v>
      </c>
      <c r="F31" s="44">
        <f>SUMPRODUCT(((ISNUMBER('GRT Oriente'!L6:L400))*('GRT Oriente'!L6:L400&gt;=B31)*('GRT Oriente'!L6:L400&lt;=C31))*(('GRT Oriente'!K6:K400="INSTALADO - OPERANDO")+('GRT Oriente'!K6:K400="INSTALADO - SIN SEÑAL")&gt;0))</f>
        <v>0</v>
      </c>
      <c r="G31" s="44">
        <f>SUMPRODUCT(((ISNUMBER('GRT Valle de México'!L6:L740))*('GRT Valle de México'!L6:L740&gt;=B31)*('GRT Valle de México'!L6:L740&lt;=C31))*(('GRT Valle de México'!K6:K740="INSTALADO - OPERANDO")+('GRT Valle de México'!K6:K740="INSTALADO - SIN SEÑAL")&gt;0))</f>
        <v>0</v>
      </c>
      <c r="H31" s="44">
        <f>SUMPRODUCT(((ISNUMBER('GRT Noroeste'!L6:L372))*('GRT Noroeste'!L6:L372&gt;=B31)*('GRT Noroeste'!L6:L372&lt;=C31))*(('GRT Noroeste'!K6:K372="INSTALADO - OPERANDO")+('GRT Noroeste'!K6:K372="INSTALADO - SIN SEÑAL")&gt;0))</f>
        <v>0</v>
      </c>
      <c r="I31" s="44">
        <f>SUMPRODUCT(((ISNUMBER('GRT Norte'!L6:L296))*('GRT Norte'!L6:L296&gt;=B31)*('GRT Norte'!L6:L296&lt;=C31))*(('GRT Norte'!K6:K296="INSTALADO - OPERANDO")+('GRT Norte'!K6:K296="INSTALADO - SIN SEÑAL")&gt;0))</f>
        <v>0</v>
      </c>
      <c r="J31" s="44">
        <f>SUMPRODUCT(((ISNUMBER('GRT Noreste'!L6:L262))*('GRT Noreste'!L6:L262&gt;=B31)*('GRT Noreste'!L6:L262&lt;=C31))*(('GRT Noreste'!K6:K262="INSTALADO - OPERANDO")+('GRT Noreste'!K6:K262="INSTALADO - SIN SEÑAL")&gt;0))</f>
        <v>0</v>
      </c>
      <c r="K31" s="44">
        <f>SUMPRODUCT(((ISNUMBER('GRT Baja California'!L6:L281))*('GRT Baja California'!L6:L281&gt;=B31)*('GRT Baja California'!L6:L281&lt;=C31))*(('GRT Baja California'!K6:K281="INSTALADO - OPERANDO")+('GRT Baja California'!K6:K281="INSTALADO - SIN SEÑAL")&gt;0))</f>
        <v>0</v>
      </c>
      <c r="L31" s="56">
        <f t="shared" si="0"/>
        <v>0</v>
      </c>
      <c r="M31" s="54">
        <f t="shared" si="2"/>
        <v>1289</v>
      </c>
      <c r="N31" s="57">
        <f t="shared" si="1"/>
        <v>0.30472813238770685</v>
      </c>
      <c r="O31" s="58"/>
    </row>
    <row r="32" spans="1:15" ht="18" customHeight="1">
      <c r="A32" s="49">
        <v>27</v>
      </c>
      <c r="B32" s="50">
        <v>46278</v>
      </c>
      <c r="C32" s="50">
        <v>46284</v>
      </c>
      <c r="D32" s="41">
        <f>SUMPRODUCT(((ISNUMBER('GRT Central'!L6:L1135))*('GRT Central'!L6:L1135&gt;=B32)*('GRT Central'!L6:L1135&lt;=C32))*(('GRT Central'!K6:K1135="INSTALADO - OPERANDO")+('GRT Central'!K6:K1135="INSTALADO - SIN SEÑAL")&gt;0))</f>
        <v>0</v>
      </c>
      <c r="E32" s="41">
        <f>SUMPRODUCT(((ISNUMBER('GRT Occidente'!L6:L784))*('GRT Occidente'!L6:L784&gt;=B32)*('GRT Occidente'!L6:L784&lt;=C32))*(('GRT Occidente'!K6:K784="INSTALADO - OPERANDO")+('GRT Occidente'!K6:K784="INSTALADO - SIN SEÑAL")&gt;0))</f>
        <v>0</v>
      </c>
      <c r="F32" s="41">
        <f>SUMPRODUCT(((ISNUMBER('GRT Oriente'!L6:L400))*('GRT Oriente'!L6:L400&gt;=B32)*('GRT Oriente'!L6:L400&lt;=C32))*(('GRT Oriente'!K6:K400="INSTALADO - OPERANDO")+('GRT Oriente'!K6:K400="INSTALADO - SIN SEÑAL")&gt;0))</f>
        <v>0</v>
      </c>
      <c r="G32" s="41">
        <f>SUMPRODUCT(((ISNUMBER('GRT Valle de México'!L6:L740))*('GRT Valle de México'!L6:L740&gt;=B32)*('GRT Valle de México'!L6:L740&lt;=C32))*(('GRT Valle de México'!K6:K740="INSTALADO - OPERANDO")+('GRT Valle de México'!K6:K740="INSTALADO - SIN SEÑAL")&gt;0))</f>
        <v>0</v>
      </c>
      <c r="H32" s="41">
        <f>SUMPRODUCT(((ISNUMBER('GRT Noroeste'!L6:L372))*('GRT Noroeste'!L6:L372&gt;=B32)*('GRT Noroeste'!L6:L372&lt;=C32))*(('GRT Noroeste'!K6:K372="INSTALADO - OPERANDO")+('GRT Noroeste'!K6:K372="INSTALADO - SIN SEÑAL")&gt;0))</f>
        <v>0</v>
      </c>
      <c r="I32" s="41">
        <f>SUMPRODUCT(((ISNUMBER('GRT Norte'!L6:L296))*('GRT Norte'!L6:L296&gt;=B32)*('GRT Norte'!L6:L296&lt;=C32))*(('GRT Norte'!K6:K296="INSTALADO - OPERANDO")+('GRT Norte'!K6:K296="INSTALADO - SIN SEÑAL")&gt;0))</f>
        <v>0</v>
      </c>
      <c r="J32" s="41">
        <f>SUMPRODUCT(((ISNUMBER('GRT Noreste'!L6:L262))*('GRT Noreste'!L6:L262&gt;=B32)*('GRT Noreste'!L6:L262&lt;=C32))*(('GRT Noreste'!K6:K262="INSTALADO - OPERANDO")+('GRT Noreste'!K6:K262="INSTALADO - SIN SEÑAL")&gt;0))</f>
        <v>0</v>
      </c>
      <c r="K32" s="41">
        <f>SUMPRODUCT(((ISNUMBER('GRT Baja California'!L6:L281))*('GRT Baja California'!L6:L281&gt;=B32)*('GRT Baja California'!L6:L281&lt;=C32))*(('GRT Baja California'!K6:K281="INSTALADO - OPERANDO")+('GRT Baja California'!K6:K281="INSTALADO - SIN SEÑAL")&gt;0))</f>
        <v>0</v>
      </c>
      <c r="L32" s="51">
        <f t="shared" si="0"/>
        <v>0</v>
      </c>
      <c r="M32" s="49">
        <f t="shared" si="2"/>
        <v>1289</v>
      </c>
      <c r="N32" s="52">
        <f t="shared" si="1"/>
        <v>0.30472813238770685</v>
      </c>
      <c r="O32" s="53"/>
    </row>
    <row r="33" spans="1:15" ht="18" customHeight="1">
      <c r="A33" s="54">
        <v>28</v>
      </c>
      <c r="B33" s="55">
        <v>46285</v>
      </c>
      <c r="C33" s="55">
        <v>46291</v>
      </c>
      <c r="D33" s="44">
        <f>SUMPRODUCT(((ISNUMBER('GRT Central'!L6:L1135))*('GRT Central'!L6:L1135&gt;=B33)*('GRT Central'!L6:L1135&lt;=C33))*(('GRT Central'!K6:K1135="INSTALADO - OPERANDO")+('GRT Central'!K6:K1135="INSTALADO - SIN SEÑAL")&gt;0))</f>
        <v>0</v>
      </c>
      <c r="E33" s="44">
        <f>SUMPRODUCT(((ISNUMBER('GRT Occidente'!L6:L784))*('GRT Occidente'!L6:L784&gt;=B33)*('GRT Occidente'!L6:L784&lt;=C33))*(('GRT Occidente'!K6:K784="INSTALADO - OPERANDO")+('GRT Occidente'!K6:K784="INSTALADO - SIN SEÑAL")&gt;0))</f>
        <v>0</v>
      </c>
      <c r="F33" s="44">
        <f>SUMPRODUCT(((ISNUMBER('GRT Oriente'!L6:L400))*('GRT Oriente'!L6:L400&gt;=B33)*('GRT Oriente'!L6:L400&lt;=C33))*(('GRT Oriente'!K6:K400="INSTALADO - OPERANDO")+('GRT Oriente'!K6:K400="INSTALADO - SIN SEÑAL")&gt;0))</f>
        <v>0</v>
      </c>
      <c r="G33" s="44">
        <f>SUMPRODUCT(((ISNUMBER('GRT Valle de México'!L6:L740))*('GRT Valle de México'!L6:L740&gt;=B33)*('GRT Valle de México'!L6:L740&lt;=C33))*(('GRT Valle de México'!K6:K740="INSTALADO - OPERANDO")+('GRT Valle de México'!K6:K740="INSTALADO - SIN SEÑAL")&gt;0))</f>
        <v>0</v>
      </c>
      <c r="H33" s="44">
        <f>SUMPRODUCT(((ISNUMBER('GRT Noroeste'!L6:L372))*('GRT Noroeste'!L6:L372&gt;=B33)*('GRT Noroeste'!L6:L372&lt;=C33))*(('GRT Noroeste'!K6:K372="INSTALADO - OPERANDO")+('GRT Noroeste'!K6:K372="INSTALADO - SIN SEÑAL")&gt;0))</f>
        <v>0</v>
      </c>
      <c r="I33" s="44">
        <f>SUMPRODUCT(((ISNUMBER('GRT Norte'!L6:L296))*('GRT Norte'!L6:L296&gt;=B33)*('GRT Norte'!L6:L296&lt;=C33))*(('GRT Norte'!K6:K296="INSTALADO - OPERANDO")+('GRT Norte'!K6:K296="INSTALADO - SIN SEÑAL")&gt;0))</f>
        <v>0</v>
      </c>
      <c r="J33" s="44">
        <f>SUMPRODUCT(((ISNUMBER('GRT Noreste'!L6:L262))*('GRT Noreste'!L6:L262&gt;=B33)*('GRT Noreste'!L6:L262&lt;=C33))*(('GRT Noreste'!K6:K262="INSTALADO - OPERANDO")+('GRT Noreste'!K6:K262="INSTALADO - SIN SEÑAL")&gt;0))</f>
        <v>0</v>
      </c>
      <c r="K33" s="44">
        <f>SUMPRODUCT(((ISNUMBER('GRT Baja California'!L6:L281))*('GRT Baja California'!L6:L281&gt;=B33)*('GRT Baja California'!L6:L281&lt;=C33))*(('GRT Baja California'!K6:K281="INSTALADO - OPERANDO")+('GRT Baja California'!K6:K281="INSTALADO - SIN SEÑAL")&gt;0))</f>
        <v>0</v>
      </c>
      <c r="L33" s="56">
        <f t="shared" si="0"/>
        <v>0</v>
      </c>
      <c r="M33" s="54">
        <f t="shared" si="2"/>
        <v>1289</v>
      </c>
      <c r="N33" s="57">
        <f t="shared" si="1"/>
        <v>0.30472813238770685</v>
      </c>
      <c r="O33" s="58"/>
    </row>
    <row r="34" spans="1:15" ht="18" customHeight="1">
      <c r="A34" s="49">
        <v>29</v>
      </c>
      <c r="B34" s="50">
        <v>46292</v>
      </c>
      <c r="C34" s="50">
        <v>46298</v>
      </c>
      <c r="D34" s="41">
        <f>SUMPRODUCT(((ISNUMBER('GRT Central'!L6:L1135))*('GRT Central'!L6:L1135&gt;=B34)*('GRT Central'!L6:L1135&lt;=C34))*(('GRT Central'!K6:K1135="INSTALADO - OPERANDO")+('GRT Central'!K6:K1135="INSTALADO - SIN SEÑAL")&gt;0))</f>
        <v>0</v>
      </c>
      <c r="E34" s="41">
        <f>SUMPRODUCT(((ISNUMBER('GRT Occidente'!L6:L784))*('GRT Occidente'!L6:L784&gt;=B34)*('GRT Occidente'!L6:L784&lt;=C34))*(('GRT Occidente'!K6:K784="INSTALADO - OPERANDO")+('GRT Occidente'!K6:K784="INSTALADO - SIN SEÑAL")&gt;0))</f>
        <v>0</v>
      </c>
      <c r="F34" s="41">
        <f>SUMPRODUCT(((ISNUMBER('GRT Oriente'!L6:L400))*('GRT Oriente'!L6:L400&gt;=B34)*('GRT Oriente'!L6:L400&lt;=C34))*(('GRT Oriente'!K6:K400="INSTALADO - OPERANDO")+('GRT Oriente'!K6:K400="INSTALADO - SIN SEÑAL")&gt;0))</f>
        <v>0</v>
      </c>
      <c r="G34" s="41">
        <f>SUMPRODUCT(((ISNUMBER('GRT Valle de México'!L6:L740))*('GRT Valle de México'!L6:L740&gt;=B34)*('GRT Valle de México'!L6:L740&lt;=C34))*(('GRT Valle de México'!K6:K740="INSTALADO - OPERANDO")+('GRT Valle de México'!K6:K740="INSTALADO - SIN SEÑAL")&gt;0))</f>
        <v>0</v>
      </c>
      <c r="H34" s="41">
        <f>SUMPRODUCT(((ISNUMBER('GRT Noroeste'!L6:L372))*('GRT Noroeste'!L6:L372&gt;=B34)*('GRT Noroeste'!L6:L372&lt;=C34))*(('GRT Noroeste'!K6:K372="INSTALADO - OPERANDO")+('GRT Noroeste'!K6:K372="INSTALADO - SIN SEÑAL")&gt;0))</f>
        <v>0</v>
      </c>
      <c r="I34" s="41">
        <f>SUMPRODUCT(((ISNUMBER('GRT Norte'!L6:L296))*('GRT Norte'!L6:L296&gt;=B34)*('GRT Norte'!L6:L296&lt;=C34))*(('GRT Norte'!K6:K296="INSTALADO - OPERANDO")+('GRT Norte'!K6:K296="INSTALADO - SIN SEÑAL")&gt;0))</f>
        <v>0</v>
      </c>
      <c r="J34" s="41">
        <f>SUMPRODUCT(((ISNUMBER('GRT Noreste'!L6:L262))*('GRT Noreste'!L6:L262&gt;=B34)*('GRT Noreste'!L6:L262&lt;=C34))*(('GRT Noreste'!K6:K262="INSTALADO - OPERANDO")+('GRT Noreste'!K6:K262="INSTALADO - SIN SEÑAL")&gt;0))</f>
        <v>0</v>
      </c>
      <c r="K34" s="41">
        <f>SUMPRODUCT(((ISNUMBER('GRT Baja California'!L6:L281))*('GRT Baja California'!L6:L281&gt;=B34)*('GRT Baja California'!L6:L281&lt;=C34))*(('GRT Baja California'!K6:K281="INSTALADO - OPERANDO")+('GRT Baja California'!K6:K281="INSTALADO - SIN SEÑAL")&gt;0))</f>
        <v>0</v>
      </c>
      <c r="L34" s="51">
        <f t="shared" si="0"/>
        <v>0</v>
      </c>
      <c r="M34" s="49">
        <f t="shared" si="2"/>
        <v>1289</v>
      </c>
      <c r="N34" s="52">
        <f t="shared" si="1"/>
        <v>0.30472813238770685</v>
      </c>
      <c r="O34" s="53"/>
    </row>
    <row r="35" spans="1:15" ht="18" customHeight="1">
      <c r="A35" s="54">
        <v>30</v>
      </c>
      <c r="B35" s="55">
        <v>46299</v>
      </c>
      <c r="C35" s="55">
        <v>46305</v>
      </c>
      <c r="D35" s="44">
        <f>SUMPRODUCT(((ISNUMBER('GRT Central'!L6:L1135))*('GRT Central'!L6:L1135&gt;=B35)*('GRT Central'!L6:L1135&lt;=C35))*(('GRT Central'!K6:K1135="INSTALADO - OPERANDO")+('GRT Central'!K6:K1135="INSTALADO - SIN SEÑAL")&gt;0))</f>
        <v>0</v>
      </c>
      <c r="E35" s="44">
        <f>SUMPRODUCT(((ISNUMBER('GRT Occidente'!L6:L784))*('GRT Occidente'!L6:L784&gt;=B35)*('GRT Occidente'!L6:L784&lt;=C35))*(('GRT Occidente'!K6:K784="INSTALADO - OPERANDO")+('GRT Occidente'!K6:K784="INSTALADO - SIN SEÑAL")&gt;0))</f>
        <v>0</v>
      </c>
      <c r="F35" s="44">
        <f>SUMPRODUCT(((ISNUMBER('GRT Oriente'!L6:L400))*('GRT Oriente'!L6:L400&gt;=B35)*('GRT Oriente'!L6:L400&lt;=C35))*(('GRT Oriente'!K6:K400="INSTALADO - OPERANDO")+('GRT Oriente'!K6:K400="INSTALADO - SIN SEÑAL")&gt;0))</f>
        <v>0</v>
      </c>
      <c r="G35" s="44">
        <f>SUMPRODUCT(((ISNUMBER('GRT Valle de México'!L6:L740))*('GRT Valle de México'!L6:L740&gt;=B35)*('GRT Valle de México'!L6:L740&lt;=C35))*(('GRT Valle de México'!K6:K740="INSTALADO - OPERANDO")+('GRT Valle de México'!K6:K740="INSTALADO - SIN SEÑAL")&gt;0))</f>
        <v>0</v>
      </c>
      <c r="H35" s="44">
        <f>SUMPRODUCT(((ISNUMBER('GRT Noroeste'!L6:L372))*('GRT Noroeste'!L6:L372&gt;=B35)*('GRT Noroeste'!L6:L372&lt;=C35))*(('GRT Noroeste'!K6:K372="INSTALADO - OPERANDO")+('GRT Noroeste'!K6:K372="INSTALADO - SIN SEÑAL")&gt;0))</f>
        <v>0</v>
      </c>
      <c r="I35" s="44">
        <f>SUMPRODUCT(((ISNUMBER('GRT Norte'!L6:L296))*('GRT Norte'!L6:L296&gt;=B35)*('GRT Norte'!L6:L296&lt;=C35))*(('GRT Norte'!K6:K296="INSTALADO - OPERANDO")+('GRT Norte'!K6:K296="INSTALADO - SIN SEÑAL")&gt;0))</f>
        <v>0</v>
      </c>
      <c r="J35" s="44">
        <f>SUMPRODUCT(((ISNUMBER('GRT Noreste'!L6:L262))*('GRT Noreste'!L6:L262&gt;=B35)*('GRT Noreste'!L6:L262&lt;=C35))*(('GRT Noreste'!K6:K262="INSTALADO - OPERANDO")+('GRT Noreste'!K6:K262="INSTALADO - SIN SEÑAL")&gt;0))</f>
        <v>0</v>
      </c>
      <c r="K35" s="44">
        <f>SUMPRODUCT(((ISNUMBER('GRT Baja California'!L6:L281))*('GRT Baja California'!L6:L281&gt;=B35)*('GRT Baja California'!L6:L281&lt;=C35))*(('GRT Baja California'!K6:K281="INSTALADO - OPERANDO")+('GRT Baja California'!K6:K281="INSTALADO - SIN SEÑAL")&gt;0))</f>
        <v>0</v>
      </c>
      <c r="L35" s="56">
        <f t="shared" si="0"/>
        <v>0</v>
      </c>
      <c r="M35" s="54">
        <f t="shared" si="2"/>
        <v>1289</v>
      </c>
      <c r="N35" s="57">
        <f t="shared" si="1"/>
        <v>0.30472813238770685</v>
      </c>
      <c r="O35" s="58"/>
    </row>
    <row r="36" spans="1:15" ht="18" customHeight="1">
      <c r="A36" s="59" t="s">
        <v>58</v>
      </c>
      <c r="B36" s="60"/>
      <c r="C36" s="61"/>
      <c r="D36" s="59">
        <f>SUMPRODUCT(((ISNUMBER('GRT Central'!L6:L1135))*('GRT Central'!L6:L1135&gt;=B36)*('GRT Central'!L6:L1135&lt;=C36))*(('GRT Central'!K6:K1135="INSTALADO - OPERANDO")+('GRT Central'!K6:K1135="INSTALADO - SIN SEÑAL")&gt;0))</f>
        <v>0</v>
      </c>
      <c r="E36" s="59">
        <f>SUMPRODUCT(((ISNUMBER('GRT Occidente'!L6:L784))*('GRT Occidente'!L6:L784&gt;=B36)*('GRT Occidente'!L6:L784&lt;=C36))*(('GRT Occidente'!K6:K784="INSTALADO - OPERANDO")+('GRT Occidente'!K6:K784="INSTALADO - SIN SEÑAL")&gt;0))</f>
        <v>0</v>
      </c>
      <c r="F36" s="59">
        <f>SUMPRODUCT(((ISNUMBER('GRT Oriente'!L6:L400))*('GRT Oriente'!L6:L400&gt;=B36)*('GRT Oriente'!L6:L400&lt;=C36))*(('GRT Oriente'!K6:K400="INSTALADO - OPERANDO")+('GRT Oriente'!K6:K400="INSTALADO - SIN SEÑAL")&gt;0))</f>
        <v>0</v>
      </c>
      <c r="G36" s="59">
        <f>SUMPRODUCT(((ISNUMBER('GRT Valle de México'!L6:L740))*('GRT Valle de México'!L6:L740&gt;=B36)*('GRT Valle de México'!L6:L740&lt;=C36))*(('GRT Valle de México'!K6:K740="INSTALADO - OPERANDO")+('GRT Valle de México'!K6:K740="INSTALADO - SIN SEÑAL")&gt;0))</f>
        <v>0</v>
      </c>
      <c r="H36" s="59">
        <f>SUMPRODUCT(((ISNUMBER('GRT Noroeste'!L6:L372))*('GRT Noroeste'!L6:L372&gt;=B36)*('GRT Noroeste'!L6:L372&lt;=C36))*(('GRT Noroeste'!K6:K372="INSTALADO - OPERANDO")+('GRT Noroeste'!K6:K372="INSTALADO - SIN SEÑAL")&gt;0))</f>
        <v>0</v>
      </c>
      <c r="I36" s="59">
        <f>SUMPRODUCT(((ISNUMBER('GRT Norte'!L6:L296))*('GRT Norte'!L6:L296&gt;=B36)*('GRT Norte'!L6:L296&lt;=C36))*(('GRT Norte'!K6:K296="INSTALADO - OPERANDO")+('GRT Norte'!K6:K296="INSTALADO - SIN SEÑAL")&gt;0))</f>
        <v>0</v>
      </c>
      <c r="J36" s="59">
        <f>SUMPRODUCT(((ISNUMBER('GRT Noreste'!L6:L262))*('GRT Noreste'!L6:L262&gt;=B36)*('GRT Noreste'!L6:L262&lt;=C36))*(('GRT Noreste'!K6:K262="INSTALADO - OPERANDO")+('GRT Noreste'!K6:K262="INSTALADO - SIN SEÑAL")&gt;0))</f>
        <v>0</v>
      </c>
      <c r="K36" s="59">
        <f>SUMPRODUCT(((ISNUMBER('GRT Baja California'!L6:L281))*('GRT Baja California'!L6:L281&gt;=B36)*('GRT Baja California'!L6:L281&lt;=C36))*(('GRT Baja California'!K6:K281="INSTALADO - OPERANDO")+('GRT Baja California'!K6:K281="INSTALADO - SIN SEÑAL")&gt;0))</f>
        <v>0</v>
      </c>
      <c r="L36" s="59">
        <f t="shared" si="0"/>
        <v>0</v>
      </c>
      <c r="M36" s="59">
        <f t="shared" si="2"/>
        <v>1289</v>
      </c>
      <c r="N36" s="62">
        <f t="shared" si="1"/>
        <v>0.30472813238770685</v>
      </c>
    </row>
    <row r="37" spans="1:15" ht="18" customHeight="1"/>
    <row r="38" spans="1:15" ht="18" customHeight="1"/>
    <row r="39" spans="1:15" ht="18" customHeight="1"/>
    <row r="40" spans="1:15" ht="18" customHeight="1"/>
    <row r="41" spans="1:15" ht="18" customHeight="1"/>
    <row r="42" spans="1:15" ht="18" customHeight="1"/>
    <row r="43" spans="1:15" ht="18" customHeight="1"/>
    <row r="44" spans="1:15" ht="18" customHeight="1"/>
    <row r="45" spans="1:15" ht="18" customHeight="1"/>
    <row r="46" spans="1:15" ht="21.75" customHeight="1">
      <c r="A46" s="260"/>
      <c r="B46" s="260"/>
      <c r="C46" s="260"/>
    </row>
  </sheetData>
  <mergeCells count="3">
    <mergeCell ref="A46:C46"/>
    <mergeCell ref="A1:P2"/>
    <mergeCell ref="A3:P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D32"/>
  </sheetPr>
  <dimension ref="A1:N275"/>
  <sheetViews>
    <sheetView showGridLines="0" topLeftCell="A49" zoomScaleNormal="100" workbookViewId="0">
      <selection activeCell="A57" sqref="A57:J57"/>
    </sheetView>
  </sheetViews>
  <sheetFormatPr defaultColWidth="8.7109375" defaultRowHeight="15"/>
  <cols>
    <col min="1" max="1" width="14" customWidth="1"/>
    <col min="2" max="2" width="12" customWidth="1"/>
    <col min="3" max="3" width="13" customWidth="1"/>
    <col min="4" max="4" width="12" customWidth="1"/>
    <col min="5" max="5" width="13" customWidth="1"/>
    <col min="6" max="6" width="12" customWidth="1"/>
    <col min="7" max="7" width="11" customWidth="1"/>
    <col min="8" max="11" width="12" customWidth="1"/>
    <col min="12" max="12" width="11" customWidth="1"/>
    <col min="13" max="13" width="28" customWidth="1"/>
  </cols>
  <sheetData>
    <row r="1" spans="1:14" ht="30" customHeight="1">
      <c r="A1" s="239" t="s">
        <v>9774</v>
      </c>
      <c r="B1" s="260"/>
      <c r="C1" s="260"/>
      <c r="D1" s="260"/>
      <c r="E1" s="260"/>
      <c r="F1" s="260"/>
      <c r="G1" s="260"/>
      <c r="H1" s="260"/>
      <c r="I1" s="260"/>
      <c r="J1" s="260"/>
      <c r="K1" s="260"/>
      <c r="L1" s="260"/>
      <c r="M1" s="260"/>
      <c r="N1" s="260"/>
    </row>
    <row r="2" spans="1:14" ht="3.75" customHeight="1">
      <c r="A2" s="260"/>
      <c r="B2" s="260"/>
      <c r="C2" s="260"/>
      <c r="D2" s="260"/>
      <c r="E2" s="260"/>
      <c r="F2" s="260"/>
      <c r="G2" s="260"/>
      <c r="H2" s="260"/>
      <c r="I2" s="260"/>
      <c r="J2" s="260"/>
      <c r="K2" s="260"/>
      <c r="L2" s="260"/>
      <c r="M2" s="260"/>
      <c r="N2" s="260"/>
    </row>
    <row r="3" spans="1:14" ht="19.5" customHeight="1">
      <c r="A3" s="240" t="s">
        <v>9775</v>
      </c>
      <c r="B3" s="260"/>
      <c r="C3" s="260"/>
      <c r="D3" s="260"/>
      <c r="E3" s="260"/>
      <c r="F3" s="260"/>
      <c r="G3" s="260"/>
      <c r="H3" s="260"/>
      <c r="I3" s="260"/>
      <c r="J3" s="260"/>
      <c r="K3" s="260"/>
      <c r="L3" s="260"/>
      <c r="M3" s="260"/>
      <c r="N3" s="260"/>
    </row>
    <row r="5" spans="1:14" ht="31.5" customHeight="1">
      <c r="A5" s="63" t="s">
        <v>9776</v>
      </c>
      <c r="B5" s="63" t="s">
        <v>50</v>
      </c>
      <c r="C5" s="63" t="s">
        <v>51</v>
      </c>
      <c r="D5" s="63" t="s">
        <v>52</v>
      </c>
      <c r="E5" s="63" t="s">
        <v>9768</v>
      </c>
      <c r="F5" s="63" t="s">
        <v>54</v>
      </c>
      <c r="G5" s="63" t="s">
        <v>55</v>
      </c>
      <c r="H5" s="63" t="s">
        <v>56</v>
      </c>
      <c r="I5" s="63" t="s">
        <v>9769</v>
      </c>
      <c r="J5" s="63" t="s">
        <v>9777</v>
      </c>
      <c r="K5" s="63" t="s">
        <v>9778</v>
      </c>
      <c r="L5" s="63" t="s">
        <v>9779</v>
      </c>
      <c r="M5" s="63" t="s">
        <v>9773</v>
      </c>
    </row>
    <row r="6" spans="1:14" ht="15" customHeight="1">
      <c r="A6" s="55">
        <v>46098</v>
      </c>
      <c r="B6" s="44">
        <f>SUMPRODUCT(((ISNUMBER('GRT Central'!L6:L1135))*('GRT Central'!L6:L1135=A6))*(('GRT Central'!K6:K1135="INSTALADO - OPERANDO")+('GRT Central'!K6:K1135="INSTALADO - SIN SEÑAL")&gt;0))</f>
        <v>2</v>
      </c>
      <c r="C6" s="44">
        <f>SUMPRODUCT(((ISNUMBER('GRT Occidente'!L6:L784))*('GRT Occidente'!L6:L784=A6))*(('GRT Occidente'!K6:K784="INSTALADO - OPERANDO")+('GRT Occidente'!K6:K784="INSTALADO - SIN SEÑAL")&gt;0))</f>
        <v>0</v>
      </c>
      <c r="D6" s="44">
        <f>SUMPRODUCT(((ISNUMBER('GRT Oriente'!L6:L400))*('GRT Oriente'!L6:L400=A6))*(('GRT Oriente'!K6:K400="INSTALADO - OPERANDO")+('GRT Oriente'!K6:K400="INSTALADO - SIN SEÑAL")&gt;0))</f>
        <v>0</v>
      </c>
      <c r="E6" s="44">
        <f>SUMPRODUCT(((ISNUMBER('GRT Valle de México'!L6:L740))*('GRT Valle de México'!L6:L740=A6))*(('GRT Valle de México'!K6:K740="INSTALADO - OPERANDO")+('GRT Valle de México'!K6:K740="INSTALADO - SIN SEÑAL")&gt;0))</f>
        <v>0</v>
      </c>
      <c r="F6" s="44">
        <f>SUMPRODUCT(((ISNUMBER('GRT Noroeste'!L6:L372))*('GRT Noroeste'!L6:L372=A6))*(('GRT Noroeste'!K6:K372="INSTALADO - OPERANDO")+('GRT Noroeste'!K6:K372="INSTALADO - SIN SEÑAL")&gt;0))</f>
        <v>0</v>
      </c>
      <c r="G6" s="44">
        <f>SUMPRODUCT(((ISNUMBER('GRT Norte'!L6:L296))*('GRT Norte'!L6:L296=A6))*(('GRT Norte'!K6:K296="INSTALADO - OPERANDO")+('GRT Norte'!K6:K296="INSTALADO - SIN SEÑAL")&gt;0))</f>
        <v>0</v>
      </c>
      <c r="H6" s="44">
        <f>SUMPRODUCT(((ISNUMBER('GRT Noreste'!L6:L262))*('GRT Noreste'!L6:L262=A6))*(('GRT Noreste'!K6:K262="INSTALADO - OPERANDO")+('GRT Noreste'!K6:K262="INSTALADO - SIN SEÑAL")&gt;0))</f>
        <v>0</v>
      </c>
      <c r="I6" s="44">
        <f>SUMPRODUCT(((ISNUMBER('GRT Baja California'!L6:L281))*('GRT Baja California'!L6:L281=A6))*(('GRT Baja California'!K6:K281="INSTALADO - OPERANDO")+('GRT Baja California'!K6:K281="INSTALADO - SIN SEÑAL")&gt;0))</f>
        <v>0</v>
      </c>
      <c r="J6" s="64">
        <f t="shared" ref="J6:J37" si="0">SUM(B6:I6)</f>
        <v>2</v>
      </c>
      <c r="K6" s="54">
        <f>J6</f>
        <v>2</v>
      </c>
      <c r="L6" s="57">
        <f t="shared" ref="L6:L37" si="1">IF(K6=0,"",K6/4230)</f>
        <v>4.7281323877068556E-4</v>
      </c>
      <c r="M6" s="58"/>
    </row>
    <row r="7" spans="1:14" ht="15" customHeight="1">
      <c r="A7" s="50">
        <v>46099</v>
      </c>
      <c r="B7" s="41">
        <f>SUMPRODUCT(((ISNUMBER('GRT Central'!L6:L1135))*('GRT Central'!L6:L1135=A7))*(('GRT Central'!K6:K1135="INSTALADO - OPERANDO")+('GRT Central'!K6:K1135="INSTALADO - SIN SEÑAL")&gt;0))</f>
        <v>4</v>
      </c>
      <c r="C7" s="41">
        <f>SUMPRODUCT(((ISNUMBER('GRT Occidente'!L6:L784))*('GRT Occidente'!L6:L784=A7))*(('GRT Occidente'!K6:K784="INSTALADO - OPERANDO")+('GRT Occidente'!K6:K784="INSTALADO - SIN SEÑAL")&gt;0))</f>
        <v>0</v>
      </c>
      <c r="D7" s="41">
        <f>SUMPRODUCT(((ISNUMBER('GRT Oriente'!L6:L400))*('GRT Oriente'!L6:L400=A7))*(('GRT Oriente'!K6:K400="INSTALADO - OPERANDO")+('GRT Oriente'!K6:K400="INSTALADO - SIN SEÑAL")&gt;0))</f>
        <v>0</v>
      </c>
      <c r="E7" s="41">
        <f>SUMPRODUCT(((ISNUMBER('GRT Valle de México'!L6:L740))*('GRT Valle de México'!L6:L740=A7))*(('GRT Valle de México'!K6:K740="INSTALADO - OPERANDO")+('GRT Valle de México'!K6:K740="INSTALADO - SIN SEÑAL")&gt;0))</f>
        <v>0</v>
      </c>
      <c r="F7" s="41">
        <f>SUMPRODUCT(((ISNUMBER('GRT Noroeste'!L6:L372))*('GRT Noroeste'!L6:L372=A7))*(('GRT Noroeste'!K6:K372="INSTALADO - OPERANDO")+('GRT Noroeste'!K6:K372="INSTALADO - SIN SEÑAL")&gt;0))</f>
        <v>0</v>
      </c>
      <c r="G7" s="41">
        <f>SUMPRODUCT(((ISNUMBER('GRT Norte'!L6:L296))*('GRT Norte'!L6:L296=A7))*(('GRT Norte'!K6:K296="INSTALADO - OPERANDO")+('GRT Norte'!K6:K296="INSTALADO - SIN SEÑAL")&gt;0))</f>
        <v>0</v>
      </c>
      <c r="H7" s="41">
        <f>SUMPRODUCT(((ISNUMBER('GRT Noreste'!L6:L262))*('GRT Noreste'!L6:L262=A7))*(('GRT Noreste'!K6:K262="INSTALADO - OPERANDO")+('GRT Noreste'!K6:K262="INSTALADO - SIN SEÑAL")&gt;0))</f>
        <v>0</v>
      </c>
      <c r="I7" s="41">
        <f>SUMPRODUCT(((ISNUMBER('GRT Baja California'!L6:L281))*('GRT Baja California'!L6:L281=A7))*(('GRT Baja California'!K6:K281="INSTALADO - OPERANDO")+('GRT Baja California'!K6:K281="INSTALADO - SIN SEÑAL")&gt;0))</f>
        <v>0</v>
      </c>
      <c r="J7" s="65">
        <f t="shared" si="0"/>
        <v>4</v>
      </c>
      <c r="K7" s="49">
        <f t="shared" ref="K7:K38" si="2">K6+J7</f>
        <v>6</v>
      </c>
      <c r="L7" s="52">
        <f t="shared" si="1"/>
        <v>1.4184397163120568E-3</v>
      </c>
      <c r="M7" s="53"/>
    </row>
    <row r="8" spans="1:14" ht="15" customHeight="1">
      <c r="A8" s="55">
        <v>46100</v>
      </c>
      <c r="B8" s="44">
        <f>SUMPRODUCT(((ISNUMBER('GRT Central'!L6:L1135))*('GRT Central'!L6:L1135=A8))*(('GRT Central'!K6:K1135="INSTALADO - OPERANDO")+('GRT Central'!K6:K1135="INSTALADO - SIN SEÑAL")&gt;0))</f>
        <v>7</v>
      </c>
      <c r="C8" s="44">
        <f>SUMPRODUCT(((ISNUMBER('GRT Occidente'!L6:L784))*('GRT Occidente'!L6:L784=A8))*(('GRT Occidente'!K6:K784="INSTALADO - OPERANDO")+('GRT Occidente'!K6:K784="INSTALADO - SIN SEÑAL")&gt;0))</f>
        <v>0</v>
      </c>
      <c r="D8" s="44">
        <f>SUMPRODUCT(((ISNUMBER('GRT Oriente'!L6:L400))*('GRT Oriente'!L6:L400=A8))*(('GRT Oriente'!K6:K400="INSTALADO - OPERANDO")+('GRT Oriente'!K6:K400="INSTALADO - SIN SEÑAL")&gt;0))</f>
        <v>0</v>
      </c>
      <c r="E8" s="44">
        <f>SUMPRODUCT(((ISNUMBER('GRT Valle de México'!L6:L740))*('GRT Valle de México'!L6:L740=A8))*(('GRT Valle de México'!K6:K740="INSTALADO - OPERANDO")+('GRT Valle de México'!K6:K740="INSTALADO - SIN SEÑAL")&gt;0))</f>
        <v>0</v>
      </c>
      <c r="F8" s="44">
        <f>SUMPRODUCT(((ISNUMBER('GRT Noroeste'!L6:L372))*('GRT Noroeste'!L6:L372=A8))*(('GRT Noroeste'!K6:K372="INSTALADO - OPERANDO")+('GRT Noroeste'!K6:K372="INSTALADO - SIN SEÑAL")&gt;0))</f>
        <v>0</v>
      </c>
      <c r="G8" s="44">
        <f>SUMPRODUCT(((ISNUMBER('GRT Norte'!L6:L296))*('GRT Norte'!L6:L296=A8))*(('GRT Norte'!K6:K296="INSTALADO - OPERANDO")+('GRT Norte'!K6:K296="INSTALADO - SIN SEÑAL")&gt;0))</f>
        <v>0</v>
      </c>
      <c r="H8" s="44">
        <f>SUMPRODUCT(((ISNUMBER('GRT Noreste'!L6:L262))*('GRT Noreste'!L6:L262=A8))*(('GRT Noreste'!K6:K262="INSTALADO - OPERANDO")+('GRT Noreste'!K6:K262="INSTALADO - SIN SEÑAL")&gt;0))</f>
        <v>0</v>
      </c>
      <c r="I8" s="44">
        <f>SUMPRODUCT(((ISNUMBER('GRT Baja California'!L6:L281))*('GRT Baja California'!L6:L281=A8))*(('GRT Baja California'!K6:K281="INSTALADO - OPERANDO")+('GRT Baja California'!K6:K281="INSTALADO - SIN SEÑAL")&gt;0))</f>
        <v>0</v>
      </c>
      <c r="J8" s="64">
        <f t="shared" si="0"/>
        <v>7</v>
      </c>
      <c r="K8" s="54">
        <f t="shared" si="2"/>
        <v>13</v>
      </c>
      <c r="L8" s="57">
        <f t="shared" si="1"/>
        <v>3.0732860520094564E-3</v>
      </c>
      <c r="M8" s="58"/>
    </row>
    <row r="9" spans="1:14" ht="15" customHeight="1">
      <c r="A9" s="50">
        <v>46101</v>
      </c>
      <c r="B9" s="41">
        <f>SUMPRODUCT(((ISNUMBER('GRT Central'!L6:L1135))*('GRT Central'!L6:L1135=A9))*(('GRT Central'!K6:K1135="INSTALADO - OPERANDO")+('GRT Central'!K6:K1135="INSTALADO - SIN SEÑAL")&gt;0))</f>
        <v>3</v>
      </c>
      <c r="C9" s="41">
        <f>SUMPRODUCT(((ISNUMBER('GRT Occidente'!L6:L784))*('GRT Occidente'!L6:L784=A9))*(('GRT Occidente'!K6:K784="INSTALADO - OPERANDO")+('GRT Occidente'!K6:K784="INSTALADO - SIN SEÑAL")&gt;0))</f>
        <v>0</v>
      </c>
      <c r="D9" s="41">
        <f>SUMPRODUCT(((ISNUMBER('GRT Oriente'!L6:L400))*('GRT Oriente'!L6:L400=A9))*(('GRT Oriente'!K6:K400="INSTALADO - OPERANDO")+('GRT Oriente'!K6:K400="INSTALADO - SIN SEÑAL")&gt;0))</f>
        <v>0</v>
      </c>
      <c r="E9" s="41">
        <f>SUMPRODUCT(((ISNUMBER('GRT Valle de México'!L6:L740))*('GRT Valle de México'!L6:L740=A9))*(('GRT Valle de México'!K6:K740="INSTALADO - OPERANDO")+('GRT Valle de México'!K6:K740="INSTALADO - SIN SEÑAL")&gt;0))</f>
        <v>0</v>
      </c>
      <c r="F9" s="41">
        <f>SUMPRODUCT(((ISNUMBER('GRT Noroeste'!L6:L372))*('GRT Noroeste'!L6:L372=A9))*(('GRT Noroeste'!K6:K372="INSTALADO - OPERANDO")+('GRT Noroeste'!K6:K372="INSTALADO - SIN SEÑAL")&gt;0))</f>
        <v>0</v>
      </c>
      <c r="G9" s="41">
        <f>SUMPRODUCT(((ISNUMBER('GRT Norte'!L6:L296))*('GRT Norte'!L6:L296=A9))*(('GRT Norte'!K6:K296="INSTALADO - OPERANDO")+('GRT Norte'!K6:K296="INSTALADO - SIN SEÑAL")&gt;0))</f>
        <v>0</v>
      </c>
      <c r="H9" s="41">
        <f>SUMPRODUCT(((ISNUMBER('GRT Noreste'!L6:L262))*('GRT Noreste'!L6:L262=A9))*(('GRT Noreste'!K6:K262="INSTALADO - OPERANDO")+('GRT Noreste'!K6:K262="INSTALADO - SIN SEÑAL")&gt;0))</f>
        <v>0</v>
      </c>
      <c r="I9" s="41">
        <f>SUMPRODUCT(((ISNUMBER('GRT Baja California'!L6:L281))*('GRT Baja California'!L6:L281=A9))*(('GRT Baja California'!K6:K281="INSTALADO - OPERANDO")+('GRT Baja California'!K6:K281="INSTALADO - SIN SEÑAL")&gt;0))</f>
        <v>0</v>
      </c>
      <c r="J9" s="65">
        <f t="shared" si="0"/>
        <v>3</v>
      </c>
      <c r="K9" s="49">
        <f t="shared" si="2"/>
        <v>16</v>
      </c>
      <c r="L9" s="52">
        <f t="shared" si="1"/>
        <v>3.7825059101654845E-3</v>
      </c>
      <c r="M9" s="53"/>
    </row>
    <row r="10" spans="1:14" ht="15" customHeight="1">
      <c r="A10" s="55">
        <v>46102</v>
      </c>
      <c r="B10" s="44">
        <f>SUMPRODUCT(((ISNUMBER('GRT Central'!L6:L1135))*('GRT Central'!L6:L1135=A10))*(('GRT Central'!K6:K1135="INSTALADO - OPERANDO")+('GRT Central'!K6:K1135="INSTALADO - SIN SEÑAL")&gt;0))</f>
        <v>0</v>
      </c>
      <c r="C10" s="44">
        <f>SUMPRODUCT(((ISNUMBER('GRT Occidente'!L6:L784))*('GRT Occidente'!L6:L784=A10))*(('GRT Occidente'!K6:K784="INSTALADO - OPERANDO")+('GRT Occidente'!K6:K784="INSTALADO - SIN SEÑAL")&gt;0))</f>
        <v>0</v>
      </c>
      <c r="D10" s="44">
        <f>SUMPRODUCT(((ISNUMBER('GRT Oriente'!L6:L400))*('GRT Oriente'!L6:L400=A10))*(('GRT Oriente'!K6:K400="INSTALADO - OPERANDO")+('GRT Oriente'!K6:K400="INSTALADO - SIN SEÑAL")&gt;0))</f>
        <v>0</v>
      </c>
      <c r="E10" s="44">
        <f>SUMPRODUCT(((ISNUMBER('GRT Valle de México'!L6:L740))*('GRT Valle de México'!L6:L740=A10))*(('GRT Valle de México'!K6:K740="INSTALADO - OPERANDO")+('GRT Valle de México'!K6:K740="INSTALADO - SIN SEÑAL")&gt;0))</f>
        <v>0</v>
      </c>
      <c r="F10" s="44">
        <f>SUMPRODUCT(((ISNUMBER('GRT Noroeste'!L6:L372))*('GRT Noroeste'!L6:L372=A10))*(('GRT Noroeste'!K6:K372="INSTALADO - OPERANDO")+('GRT Noroeste'!K6:K372="INSTALADO - SIN SEÑAL")&gt;0))</f>
        <v>0</v>
      </c>
      <c r="G10" s="44">
        <f>SUMPRODUCT(((ISNUMBER('GRT Norte'!L6:L296))*('GRT Norte'!L6:L296=A10))*(('GRT Norte'!K6:K296="INSTALADO - OPERANDO")+('GRT Norte'!K6:K296="INSTALADO - SIN SEÑAL")&gt;0))</f>
        <v>0</v>
      </c>
      <c r="H10" s="44">
        <f>SUMPRODUCT(((ISNUMBER('GRT Noreste'!L6:L262))*('GRT Noreste'!L6:L262=A10))*(('GRT Noreste'!K6:K262="INSTALADO - OPERANDO")+('GRT Noreste'!K6:K262="INSTALADO - SIN SEÑAL")&gt;0))</f>
        <v>0</v>
      </c>
      <c r="I10" s="44">
        <f>SUMPRODUCT(((ISNUMBER('GRT Baja California'!L6:L281))*('GRT Baja California'!L6:L281=A10))*(('GRT Baja California'!K6:K281="INSTALADO - OPERANDO")+('GRT Baja California'!K6:K281="INSTALADO - SIN SEÑAL")&gt;0))</f>
        <v>0</v>
      </c>
      <c r="J10" s="64">
        <f t="shared" si="0"/>
        <v>0</v>
      </c>
      <c r="K10" s="54">
        <f t="shared" si="2"/>
        <v>16</v>
      </c>
      <c r="L10" s="57">
        <f t="shared" si="1"/>
        <v>3.7825059101654845E-3</v>
      </c>
      <c r="M10" s="58"/>
    </row>
    <row r="11" spans="1:14" ht="15" customHeight="1">
      <c r="A11" s="50">
        <v>46103</v>
      </c>
      <c r="B11" s="41">
        <f>SUMPRODUCT(((ISNUMBER('GRT Central'!L6:L1135))*('GRT Central'!L6:L1135=A11))*(('GRT Central'!K6:K1135="INSTALADO - OPERANDO")+('GRT Central'!K6:K1135="INSTALADO - SIN SEÑAL")&gt;0))</f>
        <v>0</v>
      </c>
      <c r="C11" s="41">
        <f>SUMPRODUCT(((ISNUMBER('GRT Occidente'!L6:L784))*('GRT Occidente'!L6:L784=A11))*(('GRT Occidente'!K6:K784="INSTALADO - OPERANDO")+('GRT Occidente'!K6:K784="INSTALADO - SIN SEÑAL")&gt;0))</f>
        <v>0</v>
      </c>
      <c r="D11" s="41">
        <f>SUMPRODUCT(((ISNUMBER('GRT Oriente'!L6:L400))*('GRT Oriente'!L6:L400=A11))*(('GRT Oriente'!K6:K400="INSTALADO - OPERANDO")+('GRT Oriente'!K6:K400="INSTALADO - SIN SEÑAL")&gt;0))</f>
        <v>0</v>
      </c>
      <c r="E11" s="41">
        <f>SUMPRODUCT(((ISNUMBER('GRT Valle de México'!L6:L740))*('GRT Valle de México'!L6:L740=A11))*(('GRT Valle de México'!K6:K740="INSTALADO - OPERANDO")+('GRT Valle de México'!K6:K740="INSTALADO - SIN SEÑAL")&gt;0))</f>
        <v>0</v>
      </c>
      <c r="F11" s="41">
        <f>SUMPRODUCT(((ISNUMBER('GRT Noroeste'!L6:L372))*('GRT Noroeste'!L6:L372=A11))*(('GRT Noroeste'!K6:K372="INSTALADO - OPERANDO")+('GRT Noroeste'!K6:K372="INSTALADO - SIN SEÑAL")&gt;0))</f>
        <v>0</v>
      </c>
      <c r="G11" s="41">
        <f>SUMPRODUCT(((ISNUMBER('GRT Norte'!L6:L296))*('GRT Norte'!L6:L296=A11))*(('GRT Norte'!K6:K296="INSTALADO - OPERANDO")+('GRT Norte'!K6:K296="INSTALADO - SIN SEÑAL")&gt;0))</f>
        <v>0</v>
      </c>
      <c r="H11" s="41">
        <f>SUMPRODUCT(((ISNUMBER('GRT Noreste'!L6:L262))*('GRT Noreste'!L6:L262=A11))*(('GRT Noreste'!K6:K262="INSTALADO - OPERANDO")+('GRT Noreste'!K6:K262="INSTALADO - SIN SEÑAL")&gt;0))</f>
        <v>0</v>
      </c>
      <c r="I11" s="41">
        <f>SUMPRODUCT(((ISNUMBER('GRT Baja California'!L6:L281))*('GRT Baja California'!L6:L281=A11))*(('GRT Baja California'!K6:K281="INSTALADO - OPERANDO")+('GRT Baja California'!K6:K281="INSTALADO - SIN SEÑAL")&gt;0))</f>
        <v>0</v>
      </c>
      <c r="J11" s="65">
        <f t="shared" si="0"/>
        <v>0</v>
      </c>
      <c r="K11" s="49">
        <f t="shared" si="2"/>
        <v>16</v>
      </c>
      <c r="L11" s="52">
        <f t="shared" si="1"/>
        <v>3.7825059101654845E-3</v>
      </c>
      <c r="M11" s="53"/>
    </row>
    <row r="12" spans="1:14" ht="15" customHeight="1">
      <c r="A12" s="55">
        <v>46104</v>
      </c>
      <c r="B12" s="44">
        <f>SUMPRODUCT(((ISNUMBER('GRT Central'!L6:L1135))*('GRT Central'!L6:L1135=A12))*(('GRT Central'!K6:K1135="INSTALADO - OPERANDO")+('GRT Central'!K6:K1135="INSTALADO - SIN SEÑAL")&gt;0))</f>
        <v>7</v>
      </c>
      <c r="C12" s="44">
        <f>SUMPRODUCT(((ISNUMBER('GRT Occidente'!L6:L784))*('GRT Occidente'!L6:L784=A12))*(('GRT Occidente'!K6:K784="INSTALADO - OPERANDO")+('GRT Occidente'!K6:K784="INSTALADO - SIN SEÑAL")&gt;0))</f>
        <v>0</v>
      </c>
      <c r="D12" s="44">
        <f>SUMPRODUCT(((ISNUMBER('GRT Oriente'!L6:L400))*('GRT Oriente'!L6:L400=A12))*(('GRT Oriente'!K6:K400="INSTALADO - OPERANDO")+('GRT Oriente'!K6:K400="INSTALADO - SIN SEÑAL")&gt;0))</f>
        <v>0</v>
      </c>
      <c r="E12" s="44">
        <f>SUMPRODUCT(((ISNUMBER('GRT Valle de México'!L6:L740))*('GRT Valle de México'!L6:L740=A12))*(('GRT Valle de México'!K6:K740="INSTALADO - OPERANDO")+('GRT Valle de México'!K6:K740="INSTALADO - SIN SEÑAL")&gt;0))</f>
        <v>0</v>
      </c>
      <c r="F12" s="44">
        <f>SUMPRODUCT(((ISNUMBER('GRT Noroeste'!L6:L372))*('GRT Noroeste'!L6:L372=A12))*(('GRT Noroeste'!K6:K372="INSTALADO - OPERANDO")+('GRT Noroeste'!K6:K372="INSTALADO - SIN SEÑAL")&gt;0))</f>
        <v>0</v>
      </c>
      <c r="G12" s="44">
        <f>SUMPRODUCT(((ISNUMBER('GRT Norte'!L6:L296))*('GRT Norte'!L6:L296=A12))*(('GRT Norte'!K6:K296="INSTALADO - OPERANDO")+('GRT Norte'!K6:K296="INSTALADO - SIN SEÑAL")&gt;0))</f>
        <v>0</v>
      </c>
      <c r="H12" s="44">
        <f>SUMPRODUCT(((ISNUMBER('GRT Noreste'!L6:L262))*('GRT Noreste'!L6:L262=A12))*(('GRT Noreste'!K6:K262="INSTALADO - OPERANDO")+('GRT Noreste'!K6:K262="INSTALADO - SIN SEÑAL")&gt;0))</f>
        <v>0</v>
      </c>
      <c r="I12" s="44">
        <f>SUMPRODUCT(((ISNUMBER('GRT Baja California'!L6:L281))*('GRT Baja California'!L6:L281=A12))*(('GRT Baja California'!K6:K281="INSTALADO - OPERANDO")+('GRT Baja California'!K6:K281="INSTALADO - SIN SEÑAL")&gt;0))</f>
        <v>0</v>
      </c>
      <c r="J12" s="64">
        <f t="shared" si="0"/>
        <v>7</v>
      </c>
      <c r="K12" s="54">
        <f t="shared" si="2"/>
        <v>23</v>
      </c>
      <c r="L12" s="57">
        <f t="shared" si="1"/>
        <v>5.4373522458628842E-3</v>
      </c>
      <c r="M12" s="58"/>
    </row>
    <row r="13" spans="1:14" ht="15" customHeight="1">
      <c r="A13" s="50">
        <v>46105</v>
      </c>
      <c r="B13" s="41">
        <f>SUMPRODUCT(((ISNUMBER('GRT Central'!L6:L1135))*('GRT Central'!L6:L1135=A13))*(('GRT Central'!K6:K1135="INSTALADO - OPERANDO")+('GRT Central'!K6:K1135="INSTALADO - SIN SEÑAL")&gt;0))</f>
        <v>8</v>
      </c>
      <c r="C13" s="41">
        <f>SUMPRODUCT(((ISNUMBER('GRT Occidente'!L6:L784))*('GRT Occidente'!L6:L784=A13))*(('GRT Occidente'!K6:K784="INSTALADO - OPERANDO")+('GRT Occidente'!K6:K784="INSTALADO - SIN SEÑAL")&gt;0))</f>
        <v>0</v>
      </c>
      <c r="D13" s="41">
        <f>SUMPRODUCT(((ISNUMBER('GRT Oriente'!L6:L400))*('GRT Oriente'!L6:L400=A13))*(('GRT Oriente'!K6:K400="INSTALADO - OPERANDO")+('GRT Oriente'!K6:K400="INSTALADO - SIN SEÑAL")&gt;0))</f>
        <v>0</v>
      </c>
      <c r="E13" s="41">
        <f>SUMPRODUCT(((ISNUMBER('GRT Valle de México'!L6:L740))*('GRT Valle de México'!L6:L740=A13))*(('GRT Valle de México'!K6:K740="INSTALADO - OPERANDO")+('GRT Valle de México'!K6:K740="INSTALADO - SIN SEÑAL")&gt;0))</f>
        <v>0</v>
      </c>
      <c r="F13" s="41">
        <f>SUMPRODUCT(((ISNUMBER('GRT Noroeste'!L6:L372))*('GRT Noroeste'!L6:L372=A13))*(('GRT Noroeste'!K6:K372="INSTALADO - OPERANDO")+('GRT Noroeste'!K6:K372="INSTALADO - SIN SEÑAL")&gt;0))</f>
        <v>0</v>
      </c>
      <c r="G13" s="41">
        <f>SUMPRODUCT(((ISNUMBER('GRT Norte'!L6:L296))*('GRT Norte'!L6:L296=A13))*(('GRT Norte'!K6:K296="INSTALADO - OPERANDO")+('GRT Norte'!K6:K296="INSTALADO - SIN SEÑAL")&gt;0))</f>
        <v>0</v>
      </c>
      <c r="H13" s="41">
        <f>SUMPRODUCT(((ISNUMBER('GRT Noreste'!L6:L262))*('GRT Noreste'!L6:L262=A13))*(('GRT Noreste'!K6:K262="INSTALADO - OPERANDO")+('GRT Noreste'!K6:K262="INSTALADO - SIN SEÑAL")&gt;0))</f>
        <v>0</v>
      </c>
      <c r="I13" s="41">
        <f>SUMPRODUCT(((ISNUMBER('GRT Baja California'!L6:L281))*('GRT Baja California'!L6:L281=A13))*(('GRT Baja California'!K6:K281="INSTALADO - OPERANDO")+('GRT Baja California'!K6:K281="INSTALADO - SIN SEÑAL")&gt;0))</f>
        <v>0</v>
      </c>
      <c r="J13" s="65">
        <f t="shared" si="0"/>
        <v>8</v>
      </c>
      <c r="K13" s="49">
        <f t="shared" si="2"/>
        <v>31</v>
      </c>
      <c r="L13" s="52">
        <f t="shared" si="1"/>
        <v>7.3286052009456266E-3</v>
      </c>
      <c r="M13" s="53"/>
    </row>
    <row r="14" spans="1:14" ht="15" customHeight="1">
      <c r="A14" s="55">
        <v>46106</v>
      </c>
      <c r="B14" s="44">
        <f>SUMPRODUCT(((ISNUMBER('GRT Central'!L6:L1135))*('GRT Central'!L6:L1135=A14))*(('GRT Central'!K6:K1135="INSTALADO - OPERANDO")+('GRT Central'!K6:K1135="INSTALADO - SIN SEÑAL")&gt;0))</f>
        <v>5</v>
      </c>
      <c r="C14" s="44">
        <f>SUMPRODUCT(((ISNUMBER('GRT Occidente'!L6:L784))*('GRT Occidente'!L6:L784=A14))*(('GRT Occidente'!K6:K784="INSTALADO - OPERANDO")+('GRT Occidente'!K6:K784="INSTALADO - SIN SEÑAL")&gt;0))</f>
        <v>0</v>
      </c>
      <c r="D14" s="44">
        <f>SUMPRODUCT(((ISNUMBER('GRT Oriente'!L6:L400))*('GRT Oriente'!L6:L400=A14))*(('GRT Oriente'!K6:K400="INSTALADO - OPERANDO")+('GRT Oriente'!K6:K400="INSTALADO - SIN SEÑAL")&gt;0))</f>
        <v>0</v>
      </c>
      <c r="E14" s="44">
        <f>SUMPRODUCT(((ISNUMBER('GRT Valle de México'!L6:L740))*('GRT Valle de México'!L6:L740=A14))*(('GRT Valle de México'!K6:K740="INSTALADO - OPERANDO")+('GRT Valle de México'!K6:K740="INSTALADO - SIN SEÑAL")&gt;0))</f>
        <v>0</v>
      </c>
      <c r="F14" s="44">
        <f>SUMPRODUCT(((ISNUMBER('GRT Noroeste'!L6:L372))*('GRT Noroeste'!L6:L372=A14))*(('GRT Noroeste'!K6:K372="INSTALADO - OPERANDO")+('GRT Noroeste'!K6:K372="INSTALADO - SIN SEÑAL")&gt;0))</f>
        <v>0</v>
      </c>
      <c r="G14" s="44">
        <f>SUMPRODUCT(((ISNUMBER('GRT Norte'!L6:L296))*('GRT Norte'!L6:L296=A14))*(('GRT Norte'!K6:K296="INSTALADO - OPERANDO")+('GRT Norte'!K6:K296="INSTALADO - SIN SEÑAL")&gt;0))</f>
        <v>0</v>
      </c>
      <c r="H14" s="44">
        <f>SUMPRODUCT(((ISNUMBER('GRT Noreste'!L6:L262))*('GRT Noreste'!L6:L262=A14))*(('GRT Noreste'!K6:K262="INSTALADO - OPERANDO")+('GRT Noreste'!K6:K262="INSTALADO - SIN SEÑAL")&gt;0))</f>
        <v>0</v>
      </c>
      <c r="I14" s="44">
        <f>SUMPRODUCT(((ISNUMBER('GRT Baja California'!L6:L281))*('GRT Baja California'!L6:L281=A14))*(('GRT Baja California'!K6:K281="INSTALADO - OPERANDO")+('GRT Baja California'!K6:K281="INSTALADO - SIN SEÑAL")&gt;0))</f>
        <v>0</v>
      </c>
      <c r="J14" s="64">
        <f t="shared" si="0"/>
        <v>5</v>
      </c>
      <c r="K14" s="54">
        <f t="shared" si="2"/>
        <v>36</v>
      </c>
      <c r="L14" s="57">
        <f t="shared" si="1"/>
        <v>8.5106382978723406E-3</v>
      </c>
      <c r="M14" s="58"/>
    </row>
    <row r="15" spans="1:14" ht="15" customHeight="1">
      <c r="A15" s="50">
        <v>46107</v>
      </c>
      <c r="B15" s="41">
        <f>SUMPRODUCT(((ISNUMBER('GRT Central'!L6:L1135))*('GRT Central'!L6:L1135=A15))*(('GRT Central'!K6:K1135="INSTALADO - OPERANDO")+('GRT Central'!K6:K1135="INSTALADO - SIN SEÑAL")&gt;0))</f>
        <v>13</v>
      </c>
      <c r="C15" s="41">
        <f>SUMPRODUCT(((ISNUMBER('GRT Occidente'!L6:L784))*('GRT Occidente'!L6:L784=A15))*(('GRT Occidente'!K6:K784="INSTALADO - OPERANDO")+('GRT Occidente'!K6:K784="INSTALADO - SIN SEÑAL")&gt;0))</f>
        <v>0</v>
      </c>
      <c r="D15" s="41">
        <f>SUMPRODUCT(((ISNUMBER('GRT Oriente'!L6:L400))*('GRT Oriente'!L6:L400=A15))*(('GRT Oriente'!K6:K400="INSTALADO - OPERANDO")+('GRT Oriente'!K6:K400="INSTALADO - SIN SEÑAL")&gt;0))</f>
        <v>0</v>
      </c>
      <c r="E15" s="41">
        <f>SUMPRODUCT(((ISNUMBER('GRT Valle de México'!L6:L740))*('GRT Valle de México'!L6:L740=A15))*(('GRT Valle de México'!K6:K740="INSTALADO - OPERANDO")+('GRT Valle de México'!K6:K740="INSTALADO - SIN SEÑAL")&gt;0))</f>
        <v>0</v>
      </c>
      <c r="F15" s="41">
        <f>SUMPRODUCT(((ISNUMBER('GRT Noroeste'!L6:L372))*('GRT Noroeste'!L6:L372=A15))*(('GRT Noroeste'!K6:K372="INSTALADO - OPERANDO")+('GRT Noroeste'!K6:K372="INSTALADO - SIN SEÑAL")&gt;0))</f>
        <v>0</v>
      </c>
      <c r="G15" s="41">
        <f>SUMPRODUCT(((ISNUMBER('GRT Norte'!L6:L296))*('GRT Norte'!L6:L296=A15))*(('GRT Norte'!K6:K296="INSTALADO - OPERANDO")+('GRT Norte'!K6:K296="INSTALADO - SIN SEÑAL")&gt;0))</f>
        <v>0</v>
      </c>
      <c r="H15" s="41">
        <f>SUMPRODUCT(((ISNUMBER('GRT Noreste'!L6:L262))*('GRT Noreste'!L6:L262=A15))*(('GRT Noreste'!K6:K262="INSTALADO - OPERANDO")+('GRT Noreste'!K6:K262="INSTALADO - SIN SEÑAL")&gt;0))</f>
        <v>0</v>
      </c>
      <c r="I15" s="41">
        <f>SUMPRODUCT(((ISNUMBER('GRT Baja California'!L6:L281))*('GRT Baja California'!L6:L281=A15))*(('GRT Baja California'!K6:K281="INSTALADO - OPERANDO")+('GRT Baja California'!K6:K281="INSTALADO - SIN SEÑAL")&gt;0))</f>
        <v>0</v>
      </c>
      <c r="J15" s="65">
        <f t="shared" si="0"/>
        <v>13</v>
      </c>
      <c r="K15" s="49">
        <f t="shared" si="2"/>
        <v>49</v>
      </c>
      <c r="L15" s="52">
        <f t="shared" si="1"/>
        <v>1.1583924349881796E-2</v>
      </c>
      <c r="M15" s="53"/>
    </row>
    <row r="16" spans="1:14" ht="15" customHeight="1">
      <c r="A16" s="55">
        <v>46108</v>
      </c>
      <c r="B16" s="44">
        <f>SUMPRODUCT(((ISNUMBER('GRT Central'!L6:L1135))*('GRT Central'!L6:L1135=A16))*(('GRT Central'!K6:K1135="INSTALADO - OPERANDO")+('GRT Central'!K6:K1135="INSTALADO - SIN SEÑAL")&gt;0))</f>
        <v>13</v>
      </c>
      <c r="C16" s="44">
        <f>SUMPRODUCT(((ISNUMBER('GRT Occidente'!L6:L784))*('GRT Occidente'!L6:L784=A16))*(('GRT Occidente'!K6:K784="INSTALADO - OPERANDO")+('GRT Occidente'!K6:K784="INSTALADO - SIN SEÑAL")&gt;0))</f>
        <v>0</v>
      </c>
      <c r="D16" s="44">
        <f>SUMPRODUCT(((ISNUMBER('GRT Oriente'!L6:L400))*('GRT Oriente'!L6:L400=A16))*(('GRT Oriente'!K6:K400="INSTALADO - OPERANDO")+('GRT Oriente'!K6:K400="INSTALADO - SIN SEÑAL")&gt;0))</f>
        <v>0</v>
      </c>
      <c r="E16" s="44">
        <f>SUMPRODUCT(((ISNUMBER('GRT Valle de México'!L6:L740))*('GRT Valle de México'!L6:L740=A16))*(('GRT Valle de México'!K6:K740="INSTALADO - OPERANDO")+('GRT Valle de México'!K6:K740="INSTALADO - SIN SEÑAL")&gt;0))</f>
        <v>0</v>
      </c>
      <c r="F16" s="44">
        <f>SUMPRODUCT(((ISNUMBER('GRT Noroeste'!L6:L372))*('GRT Noroeste'!L6:L372=A16))*(('GRT Noroeste'!K6:K372="INSTALADO - OPERANDO")+('GRT Noroeste'!K6:K372="INSTALADO - SIN SEÑAL")&gt;0))</f>
        <v>0</v>
      </c>
      <c r="G16" s="44">
        <f>SUMPRODUCT(((ISNUMBER('GRT Norte'!L6:L296))*('GRT Norte'!L6:L296=A16))*(('GRT Norte'!K6:K296="INSTALADO - OPERANDO")+('GRT Norte'!K6:K296="INSTALADO - SIN SEÑAL")&gt;0))</f>
        <v>0</v>
      </c>
      <c r="H16" s="44">
        <f>SUMPRODUCT(((ISNUMBER('GRT Noreste'!L6:L262))*('GRT Noreste'!L6:L262=A16))*(('GRT Noreste'!K6:K262="INSTALADO - OPERANDO")+('GRT Noreste'!K6:K262="INSTALADO - SIN SEÑAL")&gt;0))</f>
        <v>0</v>
      </c>
      <c r="I16" s="44">
        <f>SUMPRODUCT(((ISNUMBER('GRT Baja California'!L6:L281))*('GRT Baja California'!L6:L281=A16))*(('GRT Baja California'!K6:K281="INSTALADO - OPERANDO")+('GRT Baja California'!K6:K281="INSTALADO - SIN SEÑAL")&gt;0))</f>
        <v>0</v>
      </c>
      <c r="J16" s="64">
        <f t="shared" si="0"/>
        <v>13</v>
      </c>
      <c r="K16" s="54">
        <f t="shared" si="2"/>
        <v>62</v>
      </c>
      <c r="L16" s="57">
        <f t="shared" si="1"/>
        <v>1.4657210401891253E-2</v>
      </c>
      <c r="M16" s="58"/>
    </row>
    <row r="17" spans="1:13" ht="15" customHeight="1">
      <c r="A17" s="50">
        <v>46109</v>
      </c>
      <c r="B17" s="41">
        <f>SUMPRODUCT(((ISNUMBER('GRT Central'!L6:L1135))*('GRT Central'!L6:L1135=A17))*(('GRT Central'!K6:K1135="INSTALADO - OPERANDO")+('GRT Central'!K6:K1135="INSTALADO - SIN SEÑAL")&gt;0))</f>
        <v>0</v>
      </c>
      <c r="C17" s="41">
        <f>SUMPRODUCT(((ISNUMBER('GRT Occidente'!L6:L784))*('GRT Occidente'!L6:L784=A17))*(('GRT Occidente'!K6:K784="INSTALADO - OPERANDO")+('GRT Occidente'!K6:K784="INSTALADO - SIN SEÑAL")&gt;0))</f>
        <v>0</v>
      </c>
      <c r="D17" s="41">
        <f>SUMPRODUCT(((ISNUMBER('GRT Oriente'!L6:L400))*('GRT Oriente'!L6:L400=A17))*(('GRT Oriente'!K6:K400="INSTALADO - OPERANDO")+('GRT Oriente'!K6:K400="INSTALADO - SIN SEÑAL")&gt;0))</f>
        <v>0</v>
      </c>
      <c r="E17" s="41">
        <f>SUMPRODUCT(((ISNUMBER('GRT Valle de México'!L6:L740))*('GRT Valle de México'!L6:L740=A17))*(('GRT Valle de México'!K6:K740="INSTALADO - OPERANDO")+('GRT Valle de México'!K6:K740="INSTALADO - SIN SEÑAL")&gt;0))</f>
        <v>0</v>
      </c>
      <c r="F17" s="41">
        <f>SUMPRODUCT(((ISNUMBER('GRT Noroeste'!L6:L372))*('GRT Noroeste'!L6:L372=A17))*(('GRT Noroeste'!K6:K372="INSTALADO - OPERANDO")+('GRT Noroeste'!K6:K372="INSTALADO - SIN SEÑAL")&gt;0))</f>
        <v>0</v>
      </c>
      <c r="G17" s="41">
        <f>SUMPRODUCT(((ISNUMBER('GRT Norte'!L6:L296))*('GRT Norte'!L6:L296=A17))*(('GRT Norte'!K6:K296="INSTALADO - OPERANDO")+('GRT Norte'!K6:K296="INSTALADO - SIN SEÑAL")&gt;0))</f>
        <v>0</v>
      </c>
      <c r="H17" s="41">
        <f>SUMPRODUCT(((ISNUMBER('GRT Noreste'!L6:L262))*('GRT Noreste'!L6:L262=A17))*(('GRT Noreste'!K6:K262="INSTALADO - OPERANDO")+('GRT Noreste'!K6:K262="INSTALADO - SIN SEÑAL")&gt;0))</f>
        <v>0</v>
      </c>
      <c r="I17" s="41">
        <f>SUMPRODUCT(((ISNUMBER('GRT Baja California'!L6:L281))*('GRT Baja California'!L6:L281=A17))*(('GRT Baja California'!K6:K281="INSTALADO - OPERANDO")+('GRT Baja California'!K6:K281="INSTALADO - SIN SEÑAL")&gt;0))</f>
        <v>0</v>
      </c>
      <c r="J17" s="65">
        <f t="shared" si="0"/>
        <v>0</v>
      </c>
      <c r="K17" s="49">
        <f t="shared" si="2"/>
        <v>62</v>
      </c>
      <c r="L17" s="52">
        <f t="shared" si="1"/>
        <v>1.4657210401891253E-2</v>
      </c>
      <c r="M17" s="53"/>
    </row>
    <row r="18" spans="1:13" ht="15" customHeight="1">
      <c r="A18" s="55">
        <v>46110</v>
      </c>
      <c r="B18" s="44">
        <f>SUMPRODUCT(((ISNUMBER('GRT Central'!L6:L1135))*('GRT Central'!L6:L1135=A18))*(('GRT Central'!K6:K1135="INSTALADO - OPERANDO")+('GRT Central'!K6:K1135="INSTALADO - SIN SEÑAL")&gt;0))</f>
        <v>0</v>
      </c>
      <c r="C18" s="44">
        <f>SUMPRODUCT(((ISNUMBER('GRT Occidente'!L6:L784))*('GRT Occidente'!L6:L784=A18))*(('GRT Occidente'!K6:K784="INSTALADO - OPERANDO")+('GRT Occidente'!K6:K784="INSTALADO - SIN SEÑAL")&gt;0))</f>
        <v>0</v>
      </c>
      <c r="D18" s="44">
        <f>SUMPRODUCT(((ISNUMBER('GRT Oriente'!L6:L400))*('GRT Oriente'!L6:L400=A18))*(('GRT Oriente'!K6:K400="INSTALADO - OPERANDO")+('GRT Oriente'!K6:K400="INSTALADO - SIN SEÑAL")&gt;0))</f>
        <v>0</v>
      </c>
      <c r="E18" s="44">
        <f>SUMPRODUCT(((ISNUMBER('GRT Valle de México'!L6:L740))*('GRT Valle de México'!L6:L740=A18))*(('GRT Valle de México'!K6:K740="INSTALADO - OPERANDO")+('GRT Valle de México'!K6:K740="INSTALADO - SIN SEÑAL")&gt;0))</f>
        <v>0</v>
      </c>
      <c r="F18" s="44">
        <f>SUMPRODUCT(((ISNUMBER('GRT Noroeste'!L6:L372))*('GRT Noroeste'!L6:L372=A18))*(('GRT Noroeste'!K6:K372="INSTALADO - OPERANDO")+('GRT Noroeste'!K6:K372="INSTALADO - SIN SEÑAL")&gt;0))</f>
        <v>0</v>
      </c>
      <c r="G18" s="44">
        <f>SUMPRODUCT(((ISNUMBER('GRT Norte'!L6:L296))*('GRT Norte'!L6:L296=A18))*(('GRT Norte'!K6:K296="INSTALADO - OPERANDO")+('GRT Norte'!K6:K296="INSTALADO - SIN SEÑAL")&gt;0))</f>
        <v>0</v>
      </c>
      <c r="H18" s="44">
        <f>SUMPRODUCT(((ISNUMBER('GRT Noreste'!L6:L262))*('GRT Noreste'!L6:L262=A18))*(('GRT Noreste'!K6:K262="INSTALADO - OPERANDO")+('GRT Noreste'!K6:K262="INSTALADO - SIN SEÑAL")&gt;0))</f>
        <v>0</v>
      </c>
      <c r="I18" s="44">
        <f>SUMPRODUCT(((ISNUMBER('GRT Baja California'!L6:L281))*('GRT Baja California'!L6:L281=A18))*(('GRT Baja California'!K6:K281="INSTALADO - OPERANDO")+('GRT Baja California'!K6:K281="INSTALADO - SIN SEÑAL")&gt;0))</f>
        <v>0</v>
      </c>
      <c r="J18" s="64">
        <f t="shared" si="0"/>
        <v>0</v>
      </c>
      <c r="K18" s="54">
        <f t="shared" si="2"/>
        <v>62</v>
      </c>
      <c r="L18" s="57">
        <f t="shared" si="1"/>
        <v>1.4657210401891253E-2</v>
      </c>
      <c r="M18" s="58"/>
    </row>
    <row r="19" spans="1:13" ht="15" customHeight="1">
      <c r="A19" s="50">
        <v>46111</v>
      </c>
      <c r="B19" s="41">
        <f>SUMPRODUCT(((ISNUMBER('GRT Central'!L6:L1135))*('GRT Central'!L6:L1135=A19))*(('GRT Central'!K6:K1135="INSTALADO - OPERANDO")+('GRT Central'!K6:K1135="INSTALADO - SIN SEÑAL")&gt;0))</f>
        <v>18</v>
      </c>
      <c r="C19" s="41">
        <f>SUMPRODUCT(((ISNUMBER('GRT Occidente'!L6:L784))*('GRT Occidente'!L6:L784=A19))*(('GRT Occidente'!K6:K784="INSTALADO - OPERANDO")+('GRT Occidente'!K6:K784="INSTALADO - SIN SEÑAL")&gt;0))</f>
        <v>0</v>
      </c>
      <c r="D19" s="41">
        <f>SUMPRODUCT(((ISNUMBER('GRT Oriente'!L6:L400))*('GRT Oriente'!L6:L400=A19))*(('GRT Oriente'!K6:K400="INSTALADO - OPERANDO")+('GRT Oriente'!K6:K400="INSTALADO - SIN SEÑAL")&gt;0))</f>
        <v>0</v>
      </c>
      <c r="E19" s="41">
        <f>SUMPRODUCT(((ISNUMBER('GRT Valle de México'!L6:L740))*('GRT Valle de México'!L6:L740=A19))*(('GRT Valle de México'!K6:K740="INSTALADO - OPERANDO")+('GRT Valle de México'!K6:K740="INSTALADO - SIN SEÑAL")&gt;0))</f>
        <v>0</v>
      </c>
      <c r="F19" s="41">
        <f>SUMPRODUCT(((ISNUMBER('GRT Noroeste'!L6:L372))*('GRT Noroeste'!L6:L372=A19))*(('GRT Noroeste'!K6:K372="INSTALADO - OPERANDO")+('GRT Noroeste'!K6:K372="INSTALADO - SIN SEÑAL")&gt;0))</f>
        <v>0</v>
      </c>
      <c r="G19" s="41">
        <f>SUMPRODUCT(((ISNUMBER('GRT Norte'!L6:L296))*('GRT Norte'!L6:L296=A19))*(('GRT Norte'!K6:K296="INSTALADO - OPERANDO")+('GRT Norte'!K6:K296="INSTALADO - SIN SEÑAL")&gt;0))</f>
        <v>0</v>
      </c>
      <c r="H19" s="41">
        <f>SUMPRODUCT(((ISNUMBER('GRT Noreste'!L6:L262))*('GRT Noreste'!L6:L262=A19))*(('GRT Noreste'!K6:K262="INSTALADO - OPERANDO")+('GRT Noreste'!K6:K262="INSTALADO - SIN SEÑAL")&gt;0))</f>
        <v>0</v>
      </c>
      <c r="I19" s="41">
        <f>SUMPRODUCT(((ISNUMBER('GRT Baja California'!L6:L281))*('GRT Baja California'!L6:L281=A19))*(('GRT Baja California'!K6:K281="INSTALADO - OPERANDO")+('GRT Baja California'!K6:K281="INSTALADO - SIN SEÑAL")&gt;0))</f>
        <v>0</v>
      </c>
      <c r="J19" s="65">
        <f t="shared" si="0"/>
        <v>18</v>
      </c>
      <c r="K19" s="49">
        <f t="shared" si="2"/>
        <v>80</v>
      </c>
      <c r="L19" s="52">
        <f t="shared" si="1"/>
        <v>1.8912529550827423E-2</v>
      </c>
      <c r="M19" s="53"/>
    </row>
    <row r="20" spans="1:13" ht="15" customHeight="1">
      <c r="A20" s="55">
        <v>46112</v>
      </c>
      <c r="B20" s="44">
        <f>SUMPRODUCT(((ISNUMBER('GRT Central'!L6:L1135))*('GRT Central'!L6:L1135=A20))*(('GRT Central'!K6:K1135="INSTALADO - OPERANDO")+('GRT Central'!K6:K1135="INSTALADO - SIN SEÑAL")&gt;0))</f>
        <v>23</v>
      </c>
      <c r="C20" s="44">
        <f>SUMPRODUCT(((ISNUMBER('GRT Occidente'!L6:L784))*('GRT Occidente'!L6:L784=A20))*(('GRT Occidente'!K6:K784="INSTALADO - OPERANDO")+('GRT Occidente'!K6:K784="INSTALADO - SIN SEÑAL")&gt;0))</f>
        <v>0</v>
      </c>
      <c r="D20" s="44">
        <f>SUMPRODUCT(((ISNUMBER('GRT Oriente'!L6:L400))*('GRT Oriente'!L6:L400=A20))*(('GRT Oriente'!K6:K400="INSTALADO - OPERANDO")+('GRT Oriente'!K6:K400="INSTALADO - SIN SEÑAL")&gt;0))</f>
        <v>0</v>
      </c>
      <c r="E20" s="44">
        <f>SUMPRODUCT(((ISNUMBER('GRT Valle de México'!L6:L740))*('GRT Valle de México'!L6:L740=A20))*(('GRT Valle de México'!K6:K740="INSTALADO - OPERANDO")+('GRT Valle de México'!K6:K740="INSTALADO - SIN SEÑAL")&gt;0))</f>
        <v>0</v>
      </c>
      <c r="F20" s="44">
        <f>SUMPRODUCT(((ISNUMBER('GRT Noroeste'!L6:L372))*('GRT Noroeste'!L6:L372=A20))*(('GRT Noroeste'!K6:K372="INSTALADO - OPERANDO")+('GRT Noroeste'!K6:K372="INSTALADO - SIN SEÑAL")&gt;0))</f>
        <v>0</v>
      </c>
      <c r="G20" s="44">
        <f>SUMPRODUCT(((ISNUMBER('GRT Norte'!L6:L296))*('GRT Norte'!L6:L296=A20))*(('GRT Norte'!K6:K296="INSTALADO - OPERANDO")+('GRT Norte'!K6:K296="INSTALADO - SIN SEÑAL")&gt;0))</f>
        <v>0</v>
      </c>
      <c r="H20" s="44">
        <f>SUMPRODUCT(((ISNUMBER('GRT Noreste'!L6:L262))*('GRT Noreste'!L6:L262=A20))*(('GRT Noreste'!K6:K262="INSTALADO - OPERANDO")+('GRT Noreste'!K6:K262="INSTALADO - SIN SEÑAL")&gt;0))</f>
        <v>0</v>
      </c>
      <c r="I20" s="44">
        <f>SUMPRODUCT(((ISNUMBER('GRT Baja California'!L6:L281))*('GRT Baja California'!L6:L281=A20))*(('GRT Baja California'!K6:K281="INSTALADO - OPERANDO")+('GRT Baja California'!K6:K281="INSTALADO - SIN SEÑAL")&gt;0))</f>
        <v>0</v>
      </c>
      <c r="J20" s="64">
        <f t="shared" si="0"/>
        <v>23</v>
      </c>
      <c r="K20" s="54">
        <f t="shared" si="2"/>
        <v>103</v>
      </c>
      <c r="L20" s="57">
        <f t="shared" si="1"/>
        <v>2.4349881796690308E-2</v>
      </c>
      <c r="M20" s="58"/>
    </row>
    <row r="21" spans="1:13" ht="15" customHeight="1">
      <c r="A21" s="50">
        <v>46113</v>
      </c>
      <c r="B21" s="41">
        <f>SUMPRODUCT(((ISNUMBER('GRT Central'!L6:L1135))*('GRT Central'!L6:L1135=A21))*(('GRT Central'!K6:K1135="INSTALADO - OPERANDO")+('GRT Central'!K6:K1135="INSTALADO - SIN SEÑAL")&gt;0))</f>
        <v>11</v>
      </c>
      <c r="C21" s="41">
        <f>SUMPRODUCT(((ISNUMBER('GRT Occidente'!L6:L784))*('GRT Occidente'!L6:L784=A21))*(('GRT Occidente'!K6:K784="INSTALADO - OPERANDO")+('GRT Occidente'!K6:K784="INSTALADO - SIN SEÑAL")&gt;0))</f>
        <v>0</v>
      </c>
      <c r="D21" s="41">
        <f>SUMPRODUCT(((ISNUMBER('GRT Oriente'!L6:L400))*('GRT Oriente'!L6:L400=A21))*(('GRT Oriente'!K6:K400="INSTALADO - OPERANDO")+('GRT Oriente'!K6:K400="INSTALADO - SIN SEÑAL")&gt;0))</f>
        <v>0</v>
      </c>
      <c r="E21" s="41">
        <f>SUMPRODUCT(((ISNUMBER('GRT Valle de México'!L6:L740))*('GRT Valle de México'!L6:L740=A21))*(('GRT Valle de México'!K6:K740="INSTALADO - OPERANDO")+('GRT Valle de México'!K6:K740="INSTALADO - SIN SEÑAL")&gt;0))</f>
        <v>0</v>
      </c>
      <c r="F21" s="41">
        <f>SUMPRODUCT(((ISNUMBER('GRT Noroeste'!L6:L372))*('GRT Noroeste'!L6:L372=A21))*(('GRT Noroeste'!K6:K372="INSTALADO - OPERANDO")+('GRT Noroeste'!K6:K372="INSTALADO - SIN SEÑAL")&gt;0))</f>
        <v>0</v>
      </c>
      <c r="G21" s="41">
        <f>SUMPRODUCT(((ISNUMBER('GRT Norte'!L6:L296))*('GRT Norte'!L6:L296=A21))*(('GRT Norte'!K6:K296="INSTALADO - OPERANDO")+('GRT Norte'!K6:K296="INSTALADO - SIN SEÑAL")&gt;0))</f>
        <v>0</v>
      </c>
      <c r="H21" s="41">
        <f>SUMPRODUCT(((ISNUMBER('GRT Noreste'!L6:L262))*('GRT Noreste'!L6:L262=A21))*(('GRT Noreste'!K6:K262="INSTALADO - OPERANDO")+('GRT Noreste'!K6:K262="INSTALADO - SIN SEÑAL")&gt;0))</f>
        <v>0</v>
      </c>
      <c r="I21" s="41">
        <f>SUMPRODUCT(((ISNUMBER('GRT Baja California'!L6:L281))*('GRT Baja California'!L6:L281=A21))*(('GRT Baja California'!K6:K281="INSTALADO - OPERANDO")+('GRT Baja California'!K6:K281="INSTALADO - SIN SEÑAL")&gt;0))</f>
        <v>0</v>
      </c>
      <c r="J21" s="65">
        <f t="shared" si="0"/>
        <v>11</v>
      </c>
      <c r="K21" s="49">
        <f t="shared" si="2"/>
        <v>114</v>
      </c>
      <c r="L21" s="52">
        <f t="shared" si="1"/>
        <v>2.6950354609929079E-2</v>
      </c>
      <c r="M21" s="53"/>
    </row>
    <row r="22" spans="1:13" ht="15" customHeight="1">
      <c r="A22" s="55">
        <v>46114</v>
      </c>
      <c r="B22" s="44">
        <f>SUMPRODUCT(((ISNUMBER('GRT Central'!L6:L1135))*('GRT Central'!L6:L1135=A22))*(('GRT Central'!K6:K1135="INSTALADO - OPERANDO")+('GRT Central'!K6:K1135="INSTALADO - SIN SEÑAL")&gt;0))</f>
        <v>0</v>
      </c>
      <c r="C22" s="44">
        <f>SUMPRODUCT(((ISNUMBER('GRT Occidente'!L6:L784))*('GRT Occidente'!L6:L784=A22))*(('GRT Occidente'!K6:K784="INSTALADO - OPERANDO")+('GRT Occidente'!K6:K784="INSTALADO - SIN SEÑAL")&gt;0))</f>
        <v>0</v>
      </c>
      <c r="D22" s="44">
        <f>SUMPRODUCT(((ISNUMBER('GRT Oriente'!L6:L400))*('GRT Oriente'!L6:L400=A22))*(('GRT Oriente'!K6:K400="INSTALADO - OPERANDO")+('GRT Oriente'!K6:K400="INSTALADO - SIN SEÑAL")&gt;0))</f>
        <v>0</v>
      </c>
      <c r="E22" s="44">
        <f>SUMPRODUCT(((ISNUMBER('GRT Valle de México'!L6:L740))*('GRT Valle de México'!L6:L740=A22))*(('GRT Valle de México'!K6:K740="INSTALADO - OPERANDO")+('GRT Valle de México'!K6:K740="INSTALADO - SIN SEÑAL")&gt;0))</f>
        <v>0</v>
      </c>
      <c r="F22" s="44">
        <f>SUMPRODUCT(((ISNUMBER('GRT Noroeste'!L6:L372))*('GRT Noroeste'!L6:L372=A22))*(('GRT Noroeste'!K6:K372="INSTALADO - OPERANDO")+('GRT Noroeste'!K6:K372="INSTALADO - SIN SEÑAL")&gt;0))</f>
        <v>0</v>
      </c>
      <c r="G22" s="44">
        <f>SUMPRODUCT(((ISNUMBER('GRT Norte'!L6:L296))*('GRT Norte'!L6:L296=A22))*(('GRT Norte'!K6:K296="INSTALADO - OPERANDO")+('GRT Norte'!K6:K296="INSTALADO - SIN SEÑAL")&gt;0))</f>
        <v>0</v>
      </c>
      <c r="H22" s="44">
        <f>SUMPRODUCT(((ISNUMBER('GRT Noreste'!L6:L262))*('GRT Noreste'!L6:L262=A22))*(('GRT Noreste'!K6:K262="INSTALADO - OPERANDO")+('GRT Noreste'!K6:K262="INSTALADO - SIN SEÑAL")&gt;0))</f>
        <v>0</v>
      </c>
      <c r="I22" s="44">
        <f>SUMPRODUCT(((ISNUMBER('GRT Baja California'!L6:L281))*('GRT Baja California'!L6:L281=A22))*(('GRT Baja California'!K6:K281="INSTALADO - OPERANDO")+('GRT Baja California'!K6:K281="INSTALADO - SIN SEÑAL")&gt;0))</f>
        <v>0</v>
      </c>
      <c r="J22" s="64">
        <f t="shared" si="0"/>
        <v>0</v>
      </c>
      <c r="K22" s="54">
        <f t="shared" si="2"/>
        <v>114</v>
      </c>
      <c r="L22" s="57">
        <f t="shared" si="1"/>
        <v>2.6950354609929079E-2</v>
      </c>
      <c r="M22" s="58"/>
    </row>
    <row r="23" spans="1:13" ht="15" customHeight="1">
      <c r="A23" s="50">
        <v>46115</v>
      </c>
      <c r="B23" s="41">
        <f>SUMPRODUCT(((ISNUMBER('GRT Central'!L6:L1135))*('GRT Central'!L6:L1135=A23))*(('GRT Central'!K6:K1135="INSTALADO - OPERANDO")+('GRT Central'!K6:K1135="INSTALADO - SIN SEÑAL")&gt;0))</f>
        <v>0</v>
      </c>
      <c r="C23" s="41">
        <f>SUMPRODUCT(((ISNUMBER('GRT Occidente'!L6:L784))*('GRT Occidente'!L6:L784=A23))*(('GRT Occidente'!K6:K784="INSTALADO - OPERANDO")+('GRT Occidente'!K6:K784="INSTALADO - SIN SEÑAL")&gt;0))</f>
        <v>0</v>
      </c>
      <c r="D23" s="41">
        <f>SUMPRODUCT(((ISNUMBER('GRT Oriente'!L6:L400))*('GRT Oriente'!L6:L400=A23))*(('GRT Oriente'!K6:K400="INSTALADO - OPERANDO")+('GRT Oriente'!K6:K400="INSTALADO - SIN SEÑAL")&gt;0))</f>
        <v>0</v>
      </c>
      <c r="E23" s="41">
        <f>SUMPRODUCT(((ISNUMBER('GRT Valle de México'!L6:L740))*('GRT Valle de México'!L6:L740=A23))*(('GRT Valle de México'!K6:K740="INSTALADO - OPERANDO")+('GRT Valle de México'!K6:K740="INSTALADO - SIN SEÑAL")&gt;0))</f>
        <v>0</v>
      </c>
      <c r="F23" s="41">
        <f>SUMPRODUCT(((ISNUMBER('GRT Noroeste'!L6:L372))*('GRT Noroeste'!L6:L372=A23))*(('GRT Noroeste'!K6:K372="INSTALADO - OPERANDO")+('GRT Noroeste'!K6:K372="INSTALADO - SIN SEÑAL")&gt;0))</f>
        <v>0</v>
      </c>
      <c r="G23" s="41">
        <f>SUMPRODUCT(((ISNUMBER('GRT Norte'!L6:L296))*('GRT Norte'!L6:L296=A23))*(('GRT Norte'!K6:K296="INSTALADO - OPERANDO")+('GRT Norte'!K6:K296="INSTALADO - SIN SEÑAL")&gt;0))</f>
        <v>0</v>
      </c>
      <c r="H23" s="41">
        <f>SUMPRODUCT(((ISNUMBER('GRT Noreste'!L6:L262))*('GRT Noreste'!L6:L262=A23))*(('GRT Noreste'!K6:K262="INSTALADO - OPERANDO")+('GRT Noreste'!K6:K262="INSTALADO - SIN SEÑAL")&gt;0))</f>
        <v>0</v>
      </c>
      <c r="I23" s="41">
        <f>SUMPRODUCT(((ISNUMBER('GRT Baja California'!L6:L281))*('GRT Baja California'!L6:L281=A23))*(('GRT Baja California'!K6:K281="INSTALADO - OPERANDO")+('GRT Baja California'!K6:K281="INSTALADO - SIN SEÑAL")&gt;0))</f>
        <v>0</v>
      </c>
      <c r="J23" s="65">
        <f t="shared" si="0"/>
        <v>0</v>
      </c>
      <c r="K23" s="49">
        <f t="shared" si="2"/>
        <v>114</v>
      </c>
      <c r="L23" s="52">
        <f t="shared" si="1"/>
        <v>2.6950354609929079E-2</v>
      </c>
      <c r="M23" s="53"/>
    </row>
    <row r="24" spans="1:13" ht="15" customHeight="1">
      <c r="A24" s="55">
        <v>46116</v>
      </c>
      <c r="B24" s="44">
        <f>SUMPRODUCT(((ISNUMBER('GRT Central'!L6:L1135))*('GRT Central'!L6:L1135=A24))*(('GRT Central'!K6:K1135="INSTALADO - OPERANDO")+('GRT Central'!K6:K1135="INSTALADO - SIN SEÑAL")&gt;0))</f>
        <v>0</v>
      </c>
      <c r="C24" s="44">
        <f>SUMPRODUCT(((ISNUMBER('GRT Occidente'!L6:L784))*('GRT Occidente'!L6:L784=A24))*(('GRT Occidente'!K6:K784="INSTALADO - OPERANDO")+('GRT Occidente'!K6:K784="INSTALADO - SIN SEÑAL")&gt;0))</f>
        <v>0</v>
      </c>
      <c r="D24" s="44">
        <f>SUMPRODUCT(((ISNUMBER('GRT Oriente'!L6:L400))*('GRT Oriente'!L6:L400=A24))*(('GRT Oriente'!K6:K400="INSTALADO - OPERANDO")+('GRT Oriente'!K6:K400="INSTALADO - SIN SEÑAL")&gt;0))</f>
        <v>0</v>
      </c>
      <c r="E24" s="44">
        <f>SUMPRODUCT(((ISNUMBER('GRT Valle de México'!L6:L740))*('GRT Valle de México'!L6:L740=A24))*(('GRT Valle de México'!K6:K740="INSTALADO - OPERANDO")+('GRT Valle de México'!K6:K740="INSTALADO - SIN SEÑAL")&gt;0))</f>
        <v>0</v>
      </c>
      <c r="F24" s="44">
        <f>SUMPRODUCT(((ISNUMBER('GRT Noroeste'!L6:L372))*('GRT Noroeste'!L6:L372=A24))*(('GRT Noroeste'!K6:K372="INSTALADO - OPERANDO")+('GRT Noroeste'!K6:K372="INSTALADO - SIN SEÑAL")&gt;0))</f>
        <v>0</v>
      </c>
      <c r="G24" s="44">
        <f>SUMPRODUCT(((ISNUMBER('GRT Norte'!L6:L296))*('GRT Norte'!L6:L296=A24))*(('GRT Norte'!K6:K296="INSTALADO - OPERANDO")+('GRT Norte'!K6:K296="INSTALADO - SIN SEÑAL")&gt;0))</f>
        <v>0</v>
      </c>
      <c r="H24" s="44">
        <f>SUMPRODUCT(((ISNUMBER('GRT Noreste'!L6:L262))*('GRT Noreste'!L6:L262=A24))*(('GRT Noreste'!K6:K262="INSTALADO - OPERANDO")+('GRT Noreste'!K6:K262="INSTALADO - SIN SEÑAL")&gt;0))</f>
        <v>0</v>
      </c>
      <c r="I24" s="44">
        <f>SUMPRODUCT(((ISNUMBER('GRT Baja California'!L6:L281))*('GRT Baja California'!L6:L281=A24))*(('GRT Baja California'!K6:K281="INSTALADO - OPERANDO")+('GRT Baja California'!K6:K281="INSTALADO - SIN SEÑAL")&gt;0))</f>
        <v>0</v>
      </c>
      <c r="J24" s="64">
        <f t="shared" si="0"/>
        <v>0</v>
      </c>
      <c r="K24" s="54">
        <f t="shared" si="2"/>
        <v>114</v>
      </c>
      <c r="L24" s="57">
        <f t="shared" si="1"/>
        <v>2.6950354609929079E-2</v>
      </c>
      <c r="M24" s="58"/>
    </row>
    <row r="25" spans="1:13" ht="15" customHeight="1">
      <c r="A25" s="50">
        <v>46117</v>
      </c>
      <c r="B25" s="41">
        <f>SUMPRODUCT(((ISNUMBER('GRT Central'!L6:L1135))*('GRT Central'!L6:L1135=A25))*(('GRT Central'!K6:K1135="INSTALADO - OPERANDO")+('GRT Central'!K6:K1135="INSTALADO - SIN SEÑAL")&gt;0))</f>
        <v>0</v>
      </c>
      <c r="C25" s="41">
        <f>SUMPRODUCT(((ISNUMBER('GRT Occidente'!L6:L784))*('GRT Occidente'!L6:L784=A25))*(('GRT Occidente'!K6:K784="INSTALADO - OPERANDO")+('GRT Occidente'!K6:K784="INSTALADO - SIN SEÑAL")&gt;0))</f>
        <v>0</v>
      </c>
      <c r="D25" s="41">
        <f>SUMPRODUCT(((ISNUMBER('GRT Oriente'!L6:L400))*('GRT Oriente'!L6:L400=A25))*(('GRT Oriente'!K6:K400="INSTALADO - OPERANDO")+('GRT Oriente'!K6:K400="INSTALADO - SIN SEÑAL")&gt;0))</f>
        <v>0</v>
      </c>
      <c r="E25" s="41">
        <f>SUMPRODUCT(((ISNUMBER('GRT Valle de México'!L6:L740))*('GRT Valle de México'!L6:L740=A25))*(('GRT Valle de México'!K6:K740="INSTALADO - OPERANDO")+('GRT Valle de México'!K6:K740="INSTALADO - SIN SEÑAL")&gt;0))</f>
        <v>0</v>
      </c>
      <c r="F25" s="41">
        <f>SUMPRODUCT(((ISNUMBER('GRT Noroeste'!L6:L372))*('GRT Noroeste'!L6:L372=A25))*(('GRT Noroeste'!K6:K372="INSTALADO - OPERANDO")+('GRT Noroeste'!K6:K372="INSTALADO - SIN SEÑAL")&gt;0))</f>
        <v>0</v>
      </c>
      <c r="G25" s="41">
        <f>SUMPRODUCT(((ISNUMBER('GRT Norte'!L6:L296))*('GRT Norte'!L6:L296=A25))*(('GRT Norte'!K6:K296="INSTALADO - OPERANDO")+('GRT Norte'!K6:K296="INSTALADO - SIN SEÑAL")&gt;0))</f>
        <v>0</v>
      </c>
      <c r="H25" s="41">
        <f>SUMPRODUCT(((ISNUMBER('GRT Noreste'!L6:L262))*('GRT Noreste'!L6:L262=A25))*(('GRT Noreste'!K6:K262="INSTALADO - OPERANDO")+('GRT Noreste'!K6:K262="INSTALADO - SIN SEÑAL")&gt;0))</f>
        <v>0</v>
      </c>
      <c r="I25" s="41">
        <f>SUMPRODUCT(((ISNUMBER('GRT Baja California'!L6:L281))*('GRT Baja California'!L6:L281=A25))*(('GRT Baja California'!K6:K281="INSTALADO - OPERANDO")+('GRT Baja California'!K6:K281="INSTALADO - SIN SEÑAL")&gt;0))</f>
        <v>0</v>
      </c>
      <c r="J25" s="65">
        <f t="shared" si="0"/>
        <v>0</v>
      </c>
      <c r="K25" s="49">
        <f t="shared" si="2"/>
        <v>114</v>
      </c>
      <c r="L25" s="52">
        <f t="shared" si="1"/>
        <v>2.6950354609929079E-2</v>
      </c>
      <c r="M25" s="53"/>
    </row>
    <row r="26" spans="1:13" ht="15" customHeight="1">
      <c r="A26" s="55">
        <v>46118</v>
      </c>
      <c r="B26" s="44">
        <f>SUMPRODUCT(((ISNUMBER('GRT Central'!L6:L1135))*('GRT Central'!L6:L1135=A26))*(('GRT Central'!K6:K1135="INSTALADO - OPERANDO")+('GRT Central'!K6:K1135="INSTALADO - SIN SEÑAL")&gt;0))</f>
        <v>7</v>
      </c>
      <c r="C26" s="44">
        <f>SUMPRODUCT(((ISNUMBER('GRT Occidente'!L6:L784))*('GRT Occidente'!L6:L784=A26))*(('GRT Occidente'!K6:K784="INSTALADO - OPERANDO")+('GRT Occidente'!K6:K784="INSTALADO - SIN SEÑAL")&gt;0))</f>
        <v>0</v>
      </c>
      <c r="D26" s="44">
        <f>SUMPRODUCT(((ISNUMBER('GRT Oriente'!L6:L400))*('GRT Oriente'!L6:L400=A26))*(('GRT Oriente'!K6:K400="INSTALADO - OPERANDO")+('GRT Oriente'!K6:K400="INSTALADO - SIN SEÑAL")&gt;0))</f>
        <v>0</v>
      </c>
      <c r="E26" s="44">
        <f>SUMPRODUCT(((ISNUMBER('GRT Valle de México'!L6:L740))*('GRT Valle de México'!L6:L740=A26))*(('GRT Valle de México'!K6:K740="INSTALADO - OPERANDO")+('GRT Valle de México'!K6:K740="INSTALADO - SIN SEÑAL")&gt;0))</f>
        <v>0</v>
      </c>
      <c r="F26" s="44">
        <f>SUMPRODUCT(((ISNUMBER('GRT Noroeste'!L6:L372))*('GRT Noroeste'!L6:L372=A26))*(('GRT Noroeste'!K6:K372="INSTALADO - OPERANDO")+('GRT Noroeste'!K6:K372="INSTALADO - SIN SEÑAL")&gt;0))</f>
        <v>0</v>
      </c>
      <c r="G26" s="44">
        <f>SUMPRODUCT(((ISNUMBER('GRT Norte'!L6:L296))*('GRT Norte'!L6:L296=A26))*(('GRT Norte'!K6:K296="INSTALADO - OPERANDO")+('GRT Norte'!K6:K296="INSTALADO - SIN SEÑAL")&gt;0))</f>
        <v>0</v>
      </c>
      <c r="H26" s="44">
        <f>SUMPRODUCT(((ISNUMBER('GRT Noreste'!L6:L262))*('GRT Noreste'!L6:L262=A26))*(('GRT Noreste'!K6:K262="INSTALADO - OPERANDO")+('GRT Noreste'!K6:K262="INSTALADO - SIN SEÑAL")&gt;0))</f>
        <v>0</v>
      </c>
      <c r="I26" s="44">
        <f>SUMPRODUCT(((ISNUMBER('GRT Baja California'!L6:L281))*('GRT Baja California'!L6:L281=A26))*(('GRT Baja California'!K6:K281="INSTALADO - OPERANDO")+('GRT Baja California'!K6:K281="INSTALADO - SIN SEÑAL")&gt;0))</f>
        <v>0</v>
      </c>
      <c r="J26" s="64">
        <f t="shared" si="0"/>
        <v>7</v>
      </c>
      <c r="K26" s="54">
        <f t="shared" si="2"/>
        <v>121</v>
      </c>
      <c r="L26" s="57">
        <f t="shared" si="1"/>
        <v>2.8605200945626477E-2</v>
      </c>
      <c r="M26" s="58"/>
    </row>
    <row r="27" spans="1:13" ht="15" customHeight="1">
      <c r="A27" s="50">
        <v>46119</v>
      </c>
      <c r="B27" s="41">
        <f>SUMPRODUCT(((ISNUMBER('GRT Central'!L6:L1135))*('GRT Central'!L6:L1135=A27))*(('GRT Central'!K6:K1135="INSTALADO - OPERANDO")+('GRT Central'!K6:K1135="INSTALADO - SIN SEÑAL")&gt;0))</f>
        <v>10</v>
      </c>
      <c r="C27" s="41">
        <f>SUMPRODUCT(((ISNUMBER('GRT Occidente'!L6:L784))*('GRT Occidente'!L6:L784=A27))*(('GRT Occidente'!K6:K784="INSTALADO - OPERANDO")+('GRT Occidente'!K6:K784="INSTALADO - SIN SEÑAL")&gt;0))</f>
        <v>0</v>
      </c>
      <c r="D27" s="41">
        <f>SUMPRODUCT(((ISNUMBER('GRT Oriente'!L6:L400))*('GRT Oriente'!L6:L400=A27))*(('GRT Oriente'!K6:K400="INSTALADO - OPERANDO")+('GRT Oriente'!K6:K400="INSTALADO - SIN SEÑAL")&gt;0))</f>
        <v>0</v>
      </c>
      <c r="E27" s="41">
        <f>SUMPRODUCT(((ISNUMBER('GRT Valle de México'!L6:L740))*('GRT Valle de México'!L6:L740=A27))*(('GRT Valle de México'!K6:K740="INSTALADO - OPERANDO")+('GRT Valle de México'!K6:K740="INSTALADO - SIN SEÑAL")&gt;0))</f>
        <v>0</v>
      </c>
      <c r="F27" s="41">
        <f>SUMPRODUCT(((ISNUMBER('GRT Noroeste'!L6:L372))*('GRT Noroeste'!L6:L372=A27))*(('GRT Noroeste'!K6:K372="INSTALADO - OPERANDO")+('GRT Noroeste'!K6:K372="INSTALADO - SIN SEÑAL")&gt;0))</f>
        <v>0</v>
      </c>
      <c r="G27" s="41">
        <f>SUMPRODUCT(((ISNUMBER('GRT Norte'!L6:L296))*('GRT Norte'!L6:L296=A27))*(('GRT Norte'!K6:K296="INSTALADO - OPERANDO")+('GRT Norte'!K6:K296="INSTALADO - SIN SEÑAL")&gt;0))</f>
        <v>0</v>
      </c>
      <c r="H27" s="41">
        <f>SUMPRODUCT(((ISNUMBER('GRT Noreste'!L6:L262))*('GRT Noreste'!L6:L262=A27))*(('GRT Noreste'!K6:K262="INSTALADO - OPERANDO")+('GRT Noreste'!K6:K262="INSTALADO - SIN SEÑAL")&gt;0))</f>
        <v>0</v>
      </c>
      <c r="I27" s="41">
        <f>SUMPRODUCT(((ISNUMBER('GRT Baja California'!L6:L281))*('GRT Baja California'!L6:L281=A27))*(('GRT Baja California'!K6:K281="INSTALADO - OPERANDO")+('GRT Baja California'!K6:K281="INSTALADO - SIN SEÑAL")&gt;0))</f>
        <v>0</v>
      </c>
      <c r="J27" s="65">
        <f t="shared" si="0"/>
        <v>10</v>
      </c>
      <c r="K27" s="49">
        <f t="shared" si="2"/>
        <v>131</v>
      </c>
      <c r="L27" s="52">
        <f t="shared" si="1"/>
        <v>3.0969267139479905E-2</v>
      </c>
      <c r="M27" s="53"/>
    </row>
    <row r="28" spans="1:13" ht="15" customHeight="1">
      <c r="A28" s="55">
        <v>46120</v>
      </c>
      <c r="B28" s="44">
        <f>SUMPRODUCT(((ISNUMBER('GRT Central'!L6:L1135))*('GRT Central'!L6:L1135=A28))*(('GRT Central'!K6:K1135="INSTALADO - OPERANDO")+('GRT Central'!K6:K1135="INSTALADO - SIN SEÑAL")&gt;0))</f>
        <v>14</v>
      </c>
      <c r="C28" s="44">
        <f>SUMPRODUCT(((ISNUMBER('GRT Occidente'!L6:L784))*('GRT Occidente'!L6:L784=A28))*(('GRT Occidente'!K6:K784="INSTALADO - OPERANDO")+('GRT Occidente'!K6:K784="INSTALADO - SIN SEÑAL")&gt;0))</f>
        <v>0</v>
      </c>
      <c r="D28" s="44">
        <f>SUMPRODUCT(((ISNUMBER('GRT Oriente'!L6:L400))*('GRT Oriente'!L6:L400=A28))*(('GRT Oriente'!K6:K400="INSTALADO - OPERANDO")+('GRT Oriente'!K6:K400="INSTALADO - SIN SEÑAL")&gt;0))</f>
        <v>0</v>
      </c>
      <c r="E28" s="44">
        <f>SUMPRODUCT(((ISNUMBER('GRT Valle de México'!L6:L740))*('GRT Valle de México'!L6:L740=A28))*(('GRT Valle de México'!K6:K740="INSTALADO - OPERANDO")+('GRT Valle de México'!K6:K740="INSTALADO - SIN SEÑAL")&gt;0))</f>
        <v>0</v>
      </c>
      <c r="F28" s="44">
        <f>SUMPRODUCT(((ISNUMBER('GRT Noroeste'!L6:L372))*('GRT Noroeste'!L6:L372=A28))*(('GRT Noroeste'!K6:K372="INSTALADO - OPERANDO")+('GRT Noroeste'!K6:K372="INSTALADO - SIN SEÑAL")&gt;0))</f>
        <v>0</v>
      </c>
      <c r="G28" s="44">
        <f>SUMPRODUCT(((ISNUMBER('GRT Norte'!L6:L296))*('GRT Norte'!L6:L296=A28))*(('GRT Norte'!K6:K296="INSTALADO - OPERANDO")+('GRT Norte'!K6:K296="INSTALADO - SIN SEÑAL")&gt;0))</f>
        <v>0</v>
      </c>
      <c r="H28" s="44">
        <f>SUMPRODUCT(((ISNUMBER('GRT Noreste'!L6:L262))*('GRT Noreste'!L6:L262=A28))*(('GRT Noreste'!K6:K262="INSTALADO - OPERANDO")+('GRT Noreste'!K6:K262="INSTALADO - SIN SEÑAL")&gt;0))</f>
        <v>0</v>
      </c>
      <c r="I28" s="44">
        <f>SUMPRODUCT(((ISNUMBER('GRT Baja California'!L6:L281))*('GRT Baja California'!L6:L281=A28))*(('GRT Baja California'!K6:K281="INSTALADO - OPERANDO")+('GRT Baja California'!K6:K281="INSTALADO - SIN SEÑAL")&gt;0))</f>
        <v>0</v>
      </c>
      <c r="J28" s="64">
        <f t="shared" si="0"/>
        <v>14</v>
      </c>
      <c r="K28" s="54">
        <f t="shared" si="2"/>
        <v>145</v>
      </c>
      <c r="L28" s="57">
        <f t="shared" si="1"/>
        <v>3.4278959810874705E-2</v>
      </c>
      <c r="M28" s="58"/>
    </row>
    <row r="29" spans="1:13" ht="15" customHeight="1">
      <c r="A29" s="50">
        <v>46121</v>
      </c>
      <c r="B29" s="41">
        <f>SUMPRODUCT(((ISNUMBER('GRT Central'!L6:L1135))*('GRT Central'!L6:L1135=A29))*(('GRT Central'!K6:K1135="INSTALADO - OPERANDO")+('GRT Central'!K6:K1135="INSTALADO - SIN SEÑAL")&gt;0))</f>
        <v>14</v>
      </c>
      <c r="C29" s="41">
        <f>SUMPRODUCT(((ISNUMBER('GRT Occidente'!L6:L784))*('GRT Occidente'!L6:L784=A29))*(('GRT Occidente'!K6:K784="INSTALADO - OPERANDO")+('GRT Occidente'!K6:K784="INSTALADO - SIN SEÑAL")&gt;0))</f>
        <v>0</v>
      </c>
      <c r="D29" s="41">
        <f>SUMPRODUCT(((ISNUMBER('GRT Oriente'!L6:L400))*('GRT Oriente'!L6:L400=A29))*(('GRT Oriente'!K6:K400="INSTALADO - OPERANDO")+('GRT Oriente'!K6:K400="INSTALADO - SIN SEÑAL")&gt;0))</f>
        <v>0</v>
      </c>
      <c r="E29" s="41">
        <f>SUMPRODUCT(((ISNUMBER('GRT Valle de México'!L6:L740))*('GRT Valle de México'!L6:L740=A29))*(('GRT Valle de México'!K6:K740="INSTALADO - OPERANDO")+('GRT Valle de México'!K6:K740="INSTALADO - SIN SEÑAL")&gt;0))</f>
        <v>0</v>
      </c>
      <c r="F29" s="41">
        <f>SUMPRODUCT(((ISNUMBER('GRT Noroeste'!L6:L372))*('GRT Noroeste'!L6:L372=A29))*(('GRT Noroeste'!K6:K372="INSTALADO - OPERANDO")+('GRT Noroeste'!K6:K372="INSTALADO - SIN SEÑAL")&gt;0))</f>
        <v>0</v>
      </c>
      <c r="G29" s="41">
        <f>SUMPRODUCT(((ISNUMBER('GRT Norte'!L6:L296))*('GRT Norte'!L6:L296=A29))*(('GRT Norte'!K6:K296="INSTALADO - OPERANDO")+('GRT Norte'!K6:K296="INSTALADO - SIN SEÑAL")&gt;0))</f>
        <v>0</v>
      </c>
      <c r="H29" s="41">
        <f>SUMPRODUCT(((ISNUMBER('GRT Noreste'!L6:L262))*('GRT Noreste'!L6:L262=A29))*(('GRT Noreste'!K6:K262="INSTALADO - OPERANDO")+('GRT Noreste'!K6:K262="INSTALADO - SIN SEÑAL")&gt;0))</f>
        <v>0</v>
      </c>
      <c r="I29" s="41">
        <f>SUMPRODUCT(((ISNUMBER('GRT Baja California'!L6:L281))*('GRT Baja California'!L6:L281=A29))*(('GRT Baja California'!K6:K281="INSTALADO - OPERANDO")+('GRT Baja California'!K6:K281="INSTALADO - SIN SEÑAL")&gt;0))</f>
        <v>0</v>
      </c>
      <c r="J29" s="65">
        <f t="shared" si="0"/>
        <v>14</v>
      </c>
      <c r="K29" s="49">
        <f t="shared" si="2"/>
        <v>159</v>
      </c>
      <c r="L29" s="52">
        <f t="shared" si="1"/>
        <v>3.7588652482269502E-2</v>
      </c>
      <c r="M29" s="53"/>
    </row>
    <row r="30" spans="1:13" ht="15" customHeight="1">
      <c r="A30" s="55">
        <v>46122</v>
      </c>
      <c r="B30" s="44">
        <f>SUMPRODUCT(((ISNUMBER('GRT Central'!L6:L1135))*('GRT Central'!L6:L1135=A30))*(('GRT Central'!K6:K1135="INSTALADO - OPERANDO")+('GRT Central'!K6:K1135="INSTALADO - SIN SEÑAL")&gt;0))</f>
        <v>7</v>
      </c>
      <c r="C30" s="44">
        <f>SUMPRODUCT(((ISNUMBER('GRT Occidente'!L6:L784))*('GRT Occidente'!L6:L784=A30))*(('GRT Occidente'!K6:K784="INSTALADO - OPERANDO")+('GRT Occidente'!K6:K784="INSTALADO - SIN SEÑAL")&gt;0))</f>
        <v>0</v>
      </c>
      <c r="D30" s="44">
        <f>SUMPRODUCT(((ISNUMBER('GRT Oriente'!L6:L400))*('GRT Oriente'!L6:L400=A30))*(('GRT Oriente'!K6:K400="INSTALADO - OPERANDO")+('GRT Oriente'!K6:K400="INSTALADO - SIN SEÑAL")&gt;0))</f>
        <v>0</v>
      </c>
      <c r="E30" s="44">
        <f>SUMPRODUCT(((ISNUMBER('GRT Valle de México'!L6:L740))*('GRT Valle de México'!L6:L740=A30))*(('GRT Valle de México'!K6:K740="INSTALADO - OPERANDO")+('GRT Valle de México'!K6:K740="INSTALADO - SIN SEÑAL")&gt;0))</f>
        <v>0</v>
      </c>
      <c r="F30" s="44">
        <f>SUMPRODUCT(((ISNUMBER('GRT Noroeste'!L6:L372))*('GRT Noroeste'!L6:L372=A30))*(('GRT Noroeste'!K6:K372="INSTALADO - OPERANDO")+('GRT Noroeste'!K6:K372="INSTALADO - SIN SEÑAL")&gt;0))</f>
        <v>0</v>
      </c>
      <c r="G30" s="44">
        <f>SUMPRODUCT(((ISNUMBER('GRT Norte'!L6:L296))*('GRT Norte'!L6:L296=A30))*(('GRT Norte'!K6:K296="INSTALADO - OPERANDO")+('GRT Norte'!K6:K296="INSTALADO - SIN SEÑAL")&gt;0))</f>
        <v>0</v>
      </c>
      <c r="H30" s="44">
        <f>SUMPRODUCT(((ISNUMBER('GRT Noreste'!L6:L262))*('GRT Noreste'!L6:L262=A30))*(('GRT Noreste'!K6:K262="INSTALADO - OPERANDO")+('GRT Noreste'!K6:K262="INSTALADO - SIN SEÑAL")&gt;0))</f>
        <v>0</v>
      </c>
      <c r="I30" s="44">
        <f>SUMPRODUCT(((ISNUMBER('GRT Baja California'!L6:L281))*('GRT Baja California'!L6:L281=A30))*(('GRT Baja California'!K6:K281="INSTALADO - OPERANDO")+('GRT Baja California'!K6:K281="INSTALADO - SIN SEÑAL")&gt;0))</f>
        <v>0</v>
      </c>
      <c r="J30" s="64">
        <f t="shared" si="0"/>
        <v>7</v>
      </c>
      <c r="K30" s="54">
        <f t="shared" si="2"/>
        <v>166</v>
      </c>
      <c r="L30" s="57">
        <f t="shared" si="1"/>
        <v>3.9243498817966904E-2</v>
      </c>
      <c r="M30" s="58"/>
    </row>
    <row r="31" spans="1:13" ht="15" customHeight="1">
      <c r="A31" s="50">
        <v>46123</v>
      </c>
      <c r="B31" s="41">
        <f>SUMPRODUCT(((ISNUMBER('GRT Central'!L6:L1135))*('GRT Central'!L6:L1135=A31))*(('GRT Central'!K6:K1135="INSTALADO - OPERANDO")+('GRT Central'!K6:K1135="INSTALADO - SIN SEÑAL")&gt;0))</f>
        <v>0</v>
      </c>
      <c r="C31" s="41">
        <f>SUMPRODUCT(((ISNUMBER('GRT Occidente'!L6:L784))*('GRT Occidente'!L6:L784=A31))*(('GRT Occidente'!K6:K784="INSTALADO - OPERANDO")+('GRT Occidente'!K6:K784="INSTALADO - SIN SEÑAL")&gt;0))</f>
        <v>0</v>
      </c>
      <c r="D31" s="41">
        <f>SUMPRODUCT(((ISNUMBER('GRT Oriente'!L6:L400))*('GRT Oriente'!L6:L400=A31))*(('GRT Oriente'!K6:K400="INSTALADO - OPERANDO")+('GRT Oriente'!K6:K400="INSTALADO - SIN SEÑAL")&gt;0))</f>
        <v>0</v>
      </c>
      <c r="E31" s="41">
        <f>SUMPRODUCT(((ISNUMBER('GRT Valle de México'!L6:L740))*('GRT Valle de México'!L6:L740=A31))*(('GRT Valle de México'!K6:K740="INSTALADO - OPERANDO")+('GRT Valle de México'!K6:K740="INSTALADO - SIN SEÑAL")&gt;0))</f>
        <v>0</v>
      </c>
      <c r="F31" s="41">
        <f>SUMPRODUCT(((ISNUMBER('GRT Noroeste'!L6:L372))*('GRT Noroeste'!L6:L372=A31))*(('GRT Noroeste'!K6:K372="INSTALADO - OPERANDO")+('GRT Noroeste'!K6:K372="INSTALADO - SIN SEÑAL")&gt;0))</f>
        <v>0</v>
      </c>
      <c r="G31" s="41">
        <f>SUMPRODUCT(((ISNUMBER('GRT Norte'!L6:L296))*('GRT Norte'!L6:L296=A31))*(('GRT Norte'!K6:K296="INSTALADO - OPERANDO")+('GRT Norte'!K6:K296="INSTALADO - SIN SEÑAL")&gt;0))</f>
        <v>0</v>
      </c>
      <c r="H31" s="41">
        <f>SUMPRODUCT(((ISNUMBER('GRT Noreste'!L6:L262))*('GRT Noreste'!L6:L262=A31))*(('GRT Noreste'!K6:K262="INSTALADO - OPERANDO")+('GRT Noreste'!K6:K262="INSTALADO - SIN SEÑAL")&gt;0))</f>
        <v>0</v>
      </c>
      <c r="I31" s="41">
        <f>SUMPRODUCT(((ISNUMBER('GRT Baja California'!L6:L281))*('GRT Baja California'!L6:L281=A31))*(('GRT Baja California'!K6:K281="INSTALADO - OPERANDO")+('GRT Baja California'!K6:K281="INSTALADO - SIN SEÑAL")&gt;0))</f>
        <v>0</v>
      </c>
      <c r="J31" s="65">
        <f t="shared" si="0"/>
        <v>0</v>
      </c>
      <c r="K31" s="49">
        <f t="shared" si="2"/>
        <v>166</v>
      </c>
      <c r="L31" s="52">
        <f t="shared" si="1"/>
        <v>3.9243498817966904E-2</v>
      </c>
      <c r="M31" s="53"/>
    </row>
    <row r="32" spans="1:13" ht="15" customHeight="1">
      <c r="A32" s="55">
        <v>46124</v>
      </c>
      <c r="B32" s="44">
        <f>SUMPRODUCT(((ISNUMBER('GRT Central'!L6:L1135))*('GRT Central'!L6:L1135=A32))*(('GRT Central'!K6:K1135="INSTALADO - OPERANDO")+('GRT Central'!K6:K1135="INSTALADO - SIN SEÑAL")&gt;0))</f>
        <v>0</v>
      </c>
      <c r="C32" s="44">
        <f>SUMPRODUCT(((ISNUMBER('GRT Occidente'!L6:L784))*('GRT Occidente'!L6:L784=A32))*(('GRT Occidente'!K6:K784="INSTALADO - OPERANDO")+('GRT Occidente'!K6:K784="INSTALADO - SIN SEÑAL")&gt;0))</f>
        <v>0</v>
      </c>
      <c r="D32" s="44">
        <f>SUMPRODUCT(((ISNUMBER('GRT Oriente'!L6:L400))*('GRT Oriente'!L6:L400=A32))*(('GRT Oriente'!K6:K400="INSTALADO - OPERANDO")+('GRT Oriente'!K6:K400="INSTALADO - SIN SEÑAL")&gt;0))</f>
        <v>0</v>
      </c>
      <c r="E32" s="44">
        <f>SUMPRODUCT(((ISNUMBER('GRT Valle de México'!L6:L740))*('GRT Valle de México'!L6:L740=A32))*(('GRT Valle de México'!K6:K740="INSTALADO - OPERANDO")+('GRT Valle de México'!K6:K740="INSTALADO - SIN SEÑAL")&gt;0))</f>
        <v>0</v>
      </c>
      <c r="F32" s="44">
        <f>SUMPRODUCT(((ISNUMBER('GRT Noroeste'!L6:L372))*('GRT Noroeste'!L6:L372=A32))*(('GRT Noroeste'!K6:K372="INSTALADO - OPERANDO")+('GRT Noroeste'!K6:K372="INSTALADO - SIN SEÑAL")&gt;0))</f>
        <v>0</v>
      </c>
      <c r="G32" s="44">
        <f>SUMPRODUCT(((ISNUMBER('GRT Norte'!L6:L296))*('GRT Norte'!L6:L296=A32))*(('GRT Norte'!K6:K296="INSTALADO - OPERANDO")+('GRT Norte'!K6:K296="INSTALADO - SIN SEÑAL")&gt;0))</f>
        <v>0</v>
      </c>
      <c r="H32" s="44">
        <f>SUMPRODUCT(((ISNUMBER('GRT Noreste'!L6:L262))*('GRT Noreste'!L6:L262=A32))*(('GRT Noreste'!K6:K262="INSTALADO - OPERANDO")+('GRT Noreste'!K6:K262="INSTALADO - SIN SEÑAL")&gt;0))</f>
        <v>0</v>
      </c>
      <c r="I32" s="44">
        <f>SUMPRODUCT(((ISNUMBER('GRT Baja California'!L6:L281))*('GRT Baja California'!L6:L281=A32))*(('GRT Baja California'!K6:K281="INSTALADO - OPERANDO")+('GRT Baja California'!K6:K281="INSTALADO - SIN SEÑAL")&gt;0))</f>
        <v>0</v>
      </c>
      <c r="J32" s="64">
        <f t="shared" si="0"/>
        <v>0</v>
      </c>
      <c r="K32" s="54">
        <f t="shared" si="2"/>
        <v>166</v>
      </c>
      <c r="L32" s="57">
        <f t="shared" si="1"/>
        <v>3.9243498817966904E-2</v>
      </c>
      <c r="M32" s="58"/>
    </row>
    <row r="33" spans="1:13" ht="15" customHeight="1">
      <c r="A33" s="50">
        <v>46125</v>
      </c>
      <c r="B33" s="41">
        <f>SUMPRODUCT(((ISNUMBER('GRT Central'!L6:L1135))*('GRT Central'!L6:L1135=A33))*(('GRT Central'!K6:K1135="INSTALADO - OPERANDO")+('GRT Central'!K6:K1135="INSTALADO - SIN SEÑAL")&gt;0))</f>
        <v>30</v>
      </c>
      <c r="C33" s="41">
        <f>SUMPRODUCT(((ISNUMBER('GRT Occidente'!L6:L784))*('GRT Occidente'!L6:L784=A33))*(('GRT Occidente'!K6:K784="INSTALADO - OPERANDO")+('GRT Occidente'!K6:K784="INSTALADO - SIN SEÑAL")&gt;0))</f>
        <v>0</v>
      </c>
      <c r="D33" s="41">
        <f>SUMPRODUCT(((ISNUMBER('GRT Oriente'!L6:L400))*('GRT Oriente'!L6:L400=A33))*(('GRT Oriente'!K6:K400="INSTALADO - OPERANDO")+('GRT Oriente'!K6:K400="INSTALADO - SIN SEÑAL")&gt;0))</f>
        <v>0</v>
      </c>
      <c r="E33" s="41">
        <f>SUMPRODUCT(((ISNUMBER('GRT Valle de México'!L6:L740))*('GRT Valle de México'!L6:L740=A33))*(('GRT Valle de México'!K6:K740="INSTALADO - OPERANDO")+('GRT Valle de México'!K6:K740="INSTALADO - SIN SEÑAL")&gt;0))</f>
        <v>0</v>
      </c>
      <c r="F33" s="41">
        <f>SUMPRODUCT(((ISNUMBER('GRT Noroeste'!L6:L372))*('GRT Noroeste'!L6:L372=A33))*(('GRT Noroeste'!K6:K372="INSTALADO - OPERANDO")+('GRT Noroeste'!K6:K372="INSTALADO - SIN SEÑAL")&gt;0))</f>
        <v>0</v>
      </c>
      <c r="G33" s="41">
        <f>SUMPRODUCT(((ISNUMBER('GRT Norte'!L6:L296))*('GRT Norte'!L6:L296=A33))*(('GRT Norte'!K6:K296="INSTALADO - OPERANDO")+('GRT Norte'!K6:K296="INSTALADO - SIN SEÑAL")&gt;0))</f>
        <v>0</v>
      </c>
      <c r="H33" s="41">
        <f>SUMPRODUCT(((ISNUMBER('GRT Noreste'!L6:L262))*('GRT Noreste'!L6:L262=A33))*(('GRT Noreste'!K6:K262="INSTALADO - OPERANDO")+('GRT Noreste'!K6:K262="INSTALADO - SIN SEÑAL")&gt;0))</f>
        <v>0</v>
      </c>
      <c r="I33" s="41">
        <f>SUMPRODUCT(((ISNUMBER('GRT Baja California'!L6:L281))*('GRT Baja California'!L6:L281=A33))*(('GRT Baja California'!K6:K281="INSTALADO - OPERANDO")+('GRT Baja California'!K6:K281="INSTALADO - SIN SEÑAL")&gt;0))</f>
        <v>0</v>
      </c>
      <c r="J33" s="65">
        <f t="shared" si="0"/>
        <v>30</v>
      </c>
      <c r="K33" s="49">
        <f t="shared" si="2"/>
        <v>196</v>
      </c>
      <c r="L33" s="52">
        <f t="shared" si="1"/>
        <v>4.6335697399527184E-2</v>
      </c>
      <c r="M33" s="53"/>
    </row>
    <row r="34" spans="1:13" ht="15" customHeight="1">
      <c r="A34" s="55">
        <v>46126</v>
      </c>
      <c r="B34" s="44">
        <f>SUMPRODUCT(((ISNUMBER('GRT Central'!L6:L1135))*('GRT Central'!L6:L1135=A34))*(('GRT Central'!K6:K1135="INSTALADO - OPERANDO")+('GRT Central'!K6:K1135="INSTALADO - SIN SEÑAL")&gt;0))</f>
        <v>22</v>
      </c>
      <c r="C34" s="44">
        <f>SUMPRODUCT(((ISNUMBER('GRT Occidente'!L6:L784))*('GRT Occidente'!L6:L784=A34))*(('GRT Occidente'!K6:K784="INSTALADO - OPERANDO")+('GRT Occidente'!K6:K784="INSTALADO - SIN SEÑAL")&gt;0))</f>
        <v>0</v>
      </c>
      <c r="D34" s="44">
        <f>SUMPRODUCT(((ISNUMBER('GRT Oriente'!L6:L400))*('GRT Oriente'!L6:L400=A34))*(('GRT Oriente'!K6:K400="INSTALADO - OPERANDO")+('GRT Oriente'!K6:K400="INSTALADO - SIN SEÑAL")&gt;0))</f>
        <v>0</v>
      </c>
      <c r="E34" s="44">
        <f>SUMPRODUCT(((ISNUMBER('GRT Valle de México'!L6:L740))*('GRT Valle de México'!L6:L740=A34))*(('GRT Valle de México'!K6:K740="INSTALADO - OPERANDO")+('GRT Valle de México'!K6:K740="INSTALADO - SIN SEÑAL")&gt;0))</f>
        <v>0</v>
      </c>
      <c r="F34" s="44">
        <f>SUMPRODUCT(((ISNUMBER('GRT Noroeste'!L6:L372))*('GRT Noroeste'!L6:L372=A34))*(('GRT Noroeste'!K6:K372="INSTALADO - OPERANDO")+('GRT Noroeste'!K6:K372="INSTALADO - SIN SEÑAL")&gt;0))</f>
        <v>0</v>
      </c>
      <c r="G34" s="44">
        <f>SUMPRODUCT(((ISNUMBER('GRT Norte'!L6:L296))*('GRT Norte'!L6:L296=A34))*(('GRT Norte'!K6:K296="INSTALADO - OPERANDO")+('GRT Norte'!K6:K296="INSTALADO - SIN SEÑAL")&gt;0))</f>
        <v>0</v>
      </c>
      <c r="H34" s="44">
        <f>SUMPRODUCT(((ISNUMBER('GRT Noreste'!L6:L262))*('GRT Noreste'!L6:L262=A34))*(('GRT Noreste'!K6:K262="INSTALADO - OPERANDO")+('GRT Noreste'!K6:K262="INSTALADO - SIN SEÑAL")&gt;0))</f>
        <v>0</v>
      </c>
      <c r="I34" s="44">
        <f>SUMPRODUCT(((ISNUMBER('GRT Baja California'!L6:L281))*('GRT Baja California'!L6:L281=A34))*(('GRT Baja California'!K6:K281="INSTALADO - OPERANDO")+('GRT Baja California'!K6:K281="INSTALADO - SIN SEÑAL")&gt;0))</f>
        <v>0</v>
      </c>
      <c r="J34" s="64">
        <f t="shared" si="0"/>
        <v>22</v>
      </c>
      <c r="K34" s="54">
        <f t="shared" si="2"/>
        <v>218</v>
      </c>
      <c r="L34" s="57">
        <f t="shared" si="1"/>
        <v>5.1536643026004726E-2</v>
      </c>
      <c r="M34" s="58"/>
    </row>
    <row r="35" spans="1:13" ht="15" customHeight="1">
      <c r="A35" s="50">
        <v>46127</v>
      </c>
      <c r="B35" s="41">
        <f>SUMPRODUCT(((ISNUMBER('GRT Central'!L6:L1135))*('GRT Central'!L6:L1135=A35))*(('GRT Central'!K6:K1135="INSTALADO - OPERANDO")+('GRT Central'!K6:K1135="INSTALADO - SIN SEÑAL")&gt;0))</f>
        <v>20</v>
      </c>
      <c r="C35" s="41">
        <f>SUMPRODUCT(((ISNUMBER('GRT Occidente'!L6:L784))*('GRT Occidente'!L6:L784=A35))*(('GRT Occidente'!K6:K784="INSTALADO - OPERANDO")+('GRT Occidente'!K6:K784="INSTALADO - SIN SEÑAL")&gt;0))</f>
        <v>0</v>
      </c>
      <c r="D35" s="41">
        <f>SUMPRODUCT(((ISNUMBER('GRT Oriente'!L6:L400))*('GRT Oriente'!L6:L400=A35))*(('GRT Oriente'!K6:K400="INSTALADO - OPERANDO")+('GRT Oriente'!K6:K400="INSTALADO - SIN SEÑAL")&gt;0))</f>
        <v>0</v>
      </c>
      <c r="E35" s="41">
        <f>SUMPRODUCT(((ISNUMBER('GRT Valle de México'!L6:L740))*('GRT Valle de México'!L6:L740=A35))*(('GRT Valle de México'!K6:K740="INSTALADO - OPERANDO")+('GRT Valle de México'!K6:K740="INSTALADO - SIN SEÑAL")&gt;0))</f>
        <v>0</v>
      </c>
      <c r="F35" s="41">
        <f>SUMPRODUCT(((ISNUMBER('GRT Noroeste'!L6:L372))*('GRT Noroeste'!L6:L372=A35))*(('GRT Noroeste'!K6:K372="INSTALADO - OPERANDO")+('GRT Noroeste'!K6:K372="INSTALADO - SIN SEÑAL")&gt;0))</f>
        <v>0</v>
      </c>
      <c r="G35" s="41">
        <f>SUMPRODUCT(((ISNUMBER('GRT Norte'!L6:L296))*('GRT Norte'!L6:L296=A35))*(('GRT Norte'!K6:K296="INSTALADO - OPERANDO")+('GRT Norte'!K6:K296="INSTALADO - SIN SEÑAL")&gt;0))</f>
        <v>0</v>
      </c>
      <c r="H35" s="41">
        <f>SUMPRODUCT(((ISNUMBER('GRT Noreste'!L6:L262))*('GRT Noreste'!L6:L262=A35))*(('GRT Noreste'!K6:K262="INSTALADO - OPERANDO")+('GRT Noreste'!K6:K262="INSTALADO - SIN SEÑAL")&gt;0))</f>
        <v>0</v>
      </c>
      <c r="I35" s="41">
        <f>SUMPRODUCT(((ISNUMBER('GRT Baja California'!L6:L281))*('GRT Baja California'!L6:L281=A35))*(('GRT Baja California'!K6:K281="INSTALADO - OPERANDO")+('GRT Baja California'!K6:K281="INSTALADO - SIN SEÑAL")&gt;0))</f>
        <v>0</v>
      </c>
      <c r="J35" s="65">
        <f t="shared" si="0"/>
        <v>20</v>
      </c>
      <c r="K35" s="49">
        <f t="shared" si="2"/>
        <v>238</v>
      </c>
      <c r="L35" s="52">
        <f t="shared" si="1"/>
        <v>5.6264775413711582E-2</v>
      </c>
      <c r="M35" s="53"/>
    </row>
    <row r="36" spans="1:13" ht="15" customHeight="1">
      <c r="A36" s="55">
        <v>46128</v>
      </c>
      <c r="B36" s="44">
        <f>SUMPRODUCT(((ISNUMBER('GRT Central'!L6:L1135))*('GRT Central'!L6:L1135=A36))*(('GRT Central'!K6:K1135="INSTALADO - OPERANDO")+('GRT Central'!K6:K1135="INSTALADO - SIN SEÑAL")&gt;0))</f>
        <v>14</v>
      </c>
      <c r="C36" s="44">
        <f>SUMPRODUCT(((ISNUMBER('GRT Occidente'!L6:L784))*('GRT Occidente'!L6:L784=A36))*(('GRT Occidente'!K6:K784="INSTALADO - OPERANDO")+('GRT Occidente'!K6:K784="INSTALADO - SIN SEÑAL")&gt;0))</f>
        <v>0</v>
      </c>
      <c r="D36" s="44">
        <f>SUMPRODUCT(((ISNUMBER('GRT Oriente'!L6:L400))*('GRT Oriente'!L6:L400=A36))*(('GRT Oriente'!K6:K400="INSTALADO - OPERANDO")+('GRT Oriente'!K6:K400="INSTALADO - SIN SEÑAL")&gt;0))</f>
        <v>0</v>
      </c>
      <c r="E36" s="44">
        <f>SUMPRODUCT(((ISNUMBER('GRT Valle de México'!L6:L740))*('GRT Valle de México'!L6:L740=A36))*(('GRT Valle de México'!K6:K740="INSTALADO - OPERANDO")+('GRT Valle de México'!K6:K740="INSTALADO - SIN SEÑAL")&gt;0))</f>
        <v>0</v>
      </c>
      <c r="F36" s="44">
        <f>SUMPRODUCT(((ISNUMBER('GRT Noroeste'!L6:L372))*('GRT Noroeste'!L6:L372=A36))*(('GRT Noroeste'!K6:K372="INSTALADO - OPERANDO")+('GRT Noroeste'!K6:K372="INSTALADO - SIN SEÑAL")&gt;0))</f>
        <v>0</v>
      </c>
      <c r="G36" s="44">
        <f>SUMPRODUCT(((ISNUMBER('GRT Norte'!L6:L296))*('GRT Norte'!L6:L296=A36))*(('GRT Norte'!K6:K296="INSTALADO - OPERANDO")+('GRT Norte'!K6:K296="INSTALADO - SIN SEÑAL")&gt;0))</f>
        <v>0</v>
      </c>
      <c r="H36" s="44">
        <f>SUMPRODUCT(((ISNUMBER('GRT Noreste'!L6:L262))*('GRT Noreste'!L6:L262=A36))*(('GRT Noreste'!K6:K262="INSTALADO - OPERANDO")+('GRT Noreste'!K6:K262="INSTALADO - SIN SEÑAL")&gt;0))</f>
        <v>0</v>
      </c>
      <c r="I36" s="44">
        <f>SUMPRODUCT(((ISNUMBER('GRT Baja California'!L6:L281))*('GRT Baja California'!L6:L281=A36))*(('GRT Baja California'!K6:K281="INSTALADO - OPERANDO")+('GRT Baja California'!K6:K281="INSTALADO - SIN SEÑAL")&gt;0))</f>
        <v>0</v>
      </c>
      <c r="J36" s="64">
        <f t="shared" si="0"/>
        <v>14</v>
      </c>
      <c r="K36" s="54">
        <f t="shared" si="2"/>
        <v>252</v>
      </c>
      <c r="L36" s="57">
        <f t="shared" si="1"/>
        <v>5.9574468085106386E-2</v>
      </c>
      <c r="M36" s="58"/>
    </row>
    <row r="37" spans="1:13" ht="15" customHeight="1">
      <c r="A37" s="50">
        <v>46129</v>
      </c>
      <c r="B37" s="41">
        <f>SUMPRODUCT(((ISNUMBER('GRT Central'!L6:L1135))*('GRT Central'!L6:L1135=A37))*(('GRT Central'!K6:K1135="INSTALADO - OPERANDO")+('GRT Central'!K6:K1135="INSTALADO - SIN SEÑAL")&gt;0))</f>
        <v>19</v>
      </c>
      <c r="C37" s="41">
        <f>SUMPRODUCT(((ISNUMBER('GRT Occidente'!L6:L784))*('GRT Occidente'!L6:L784=A37))*(('GRT Occidente'!K6:K784="INSTALADO - OPERANDO")+('GRT Occidente'!K6:K784="INSTALADO - SIN SEÑAL")&gt;0))</f>
        <v>0</v>
      </c>
      <c r="D37" s="41">
        <f>SUMPRODUCT(((ISNUMBER('GRT Oriente'!L6:L400))*('GRT Oriente'!L6:L400=A37))*(('GRT Oriente'!K6:K400="INSTALADO - OPERANDO")+('GRT Oriente'!K6:K400="INSTALADO - SIN SEÑAL")&gt;0))</f>
        <v>0</v>
      </c>
      <c r="E37" s="41">
        <f>SUMPRODUCT(((ISNUMBER('GRT Valle de México'!L6:L740))*('GRT Valle de México'!L6:L740=A37))*(('GRT Valle de México'!K6:K740="INSTALADO - OPERANDO")+('GRT Valle de México'!K6:K740="INSTALADO - SIN SEÑAL")&gt;0))</f>
        <v>0</v>
      </c>
      <c r="F37" s="41">
        <f>SUMPRODUCT(((ISNUMBER('GRT Noroeste'!L6:L372))*('GRT Noroeste'!L6:L372=A37))*(('GRT Noroeste'!K6:K372="INSTALADO - OPERANDO")+('GRT Noroeste'!K6:K372="INSTALADO - SIN SEÑAL")&gt;0))</f>
        <v>0</v>
      </c>
      <c r="G37" s="41">
        <f>SUMPRODUCT(((ISNUMBER('GRT Norte'!L6:L296))*('GRT Norte'!L6:L296=A37))*(('GRT Norte'!K6:K296="INSTALADO - OPERANDO")+('GRT Norte'!K6:K296="INSTALADO - SIN SEÑAL")&gt;0))</f>
        <v>0</v>
      </c>
      <c r="H37" s="41">
        <f>SUMPRODUCT(((ISNUMBER('GRT Noreste'!L6:L262))*('GRT Noreste'!L6:L262=A37))*(('GRT Noreste'!K6:K262="INSTALADO - OPERANDO")+('GRT Noreste'!K6:K262="INSTALADO - SIN SEÑAL")&gt;0))</f>
        <v>0</v>
      </c>
      <c r="I37" s="41">
        <f>SUMPRODUCT(((ISNUMBER('GRT Baja California'!L6:L281))*('GRT Baja California'!L6:L281=A37))*(('GRT Baja California'!K6:K281="INSTALADO - OPERANDO")+('GRT Baja California'!K6:K281="INSTALADO - SIN SEÑAL")&gt;0))</f>
        <v>0</v>
      </c>
      <c r="J37" s="65">
        <f t="shared" si="0"/>
        <v>19</v>
      </c>
      <c r="K37" s="49">
        <f t="shared" si="2"/>
        <v>271</v>
      </c>
      <c r="L37" s="52">
        <f t="shared" si="1"/>
        <v>6.4066193853427891E-2</v>
      </c>
      <c r="M37" s="53"/>
    </row>
    <row r="38" spans="1:13" ht="15" customHeight="1">
      <c r="A38" s="55">
        <v>46130</v>
      </c>
      <c r="B38" s="44">
        <f>SUMPRODUCT(((ISNUMBER('GRT Central'!L6:L1135))*('GRT Central'!L6:L1135=A38))*(('GRT Central'!K6:K1135="INSTALADO - OPERANDO")+('GRT Central'!K6:K1135="INSTALADO - SIN SEÑAL")&gt;0))</f>
        <v>0</v>
      </c>
      <c r="C38" s="44">
        <f>SUMPRODUCT(((ISNUMBER('GRT Occidente'!L6:L784))*('GRT Occidente'!L6:L784=A38))*(('GRT Occidente'!K6:K784="INSTALADO - OPERANDO")+('GRT Occidente'!K6:K784="INSTALADO - SIN SEÑAL")&gt;0))</f>
        <v>0</v>
      </c>
      <c r="D38" s="44">
        <f>SUMPRODUCT(((ISNUMBER('GRT Oriente'!L6:L400))*('GRT Oriente'!L6:L400=A38))*(('GRT Oriente'!K6:K400="INSTALADO - OPERANDO")+('GRT Oriente'!K6:K400="INSTALADO - SIN SEÑAL")&gt;0))</f>
        <v>0</v>
      </c>
      <c r="E38" s="44">
        <f>SUMPRODUCT(((ISNUMBER('GRT Valle de México'!L6:L740))*('GRT Valle de México'!L6:L740=A38))*(('GRT Valle de México'!K6:K740="INSTALADO - OPERANDO")+('GRT Valle de México'!K6:K740="INSTALADO - SIN SEÑAL")&gt;0))</f>
        <v>0</v>
      </c>
      <c r="F38" s="44">
        <f>SUMPRODUCT(((ISNUMBER('GRT Noroeste'!L6:L372))*('GRT Noroeste'!L6:L372=A38))*(('GRT Noroeste'!K6:K372="INSTALADO - OPERANDO")+('GRT Noroeste'!K6:K372="INSTALADO - SIN SEÑAL")&gt;0))</f>
        <v>0</v>
      </c>
      <c r="G38" s="44">
        <f>SUMPRODUCT(((ISNUMBER('GRT Norte'!L6:L296))*('GRT Norte'!L6:L296=A38))*(('GRT Norte'!K6:K296="INSTALADO - OPERANDO")+('GRT Norte'!K6:K296="INSTALADO - SIN SEÑAL")&gt;0))</f>
        <v>0</v>
      </c>
      <c r="H38" s="44">
        <f>SUMPRODUCT(((ISNUMBER('GRT Noreste'!L6:L262))*('GRT Noreste'!L6:L262=A38))*(('GRT Noreste'!K6:K262="INSTALADO - OPERANDO")+('GRT Noreste'!K6:K262="INSTALADO - SIN SEÑAL")&gt;0))</f>
        <v>0</v>
      </c>
      <c r="I38" s="44">
        <f>SUMPRODUCT(((ISNUMBER('GRT Baja California'!L6:L281))*('GRT Baja California'!L6:L281=A38))*(('GRT Baja California'!K6:K281="INSTALADO - OPERANDO")+('GRT Baja California'!K6:K281="INSTALADO - SIN SEÑAL")&gt;0))</f>
        <v>0</v>
      </c>
      <c r="J38" s="64">
        <f t="shared" ref="J38:J69" si="3">SUM(B38:I38)</f>
        <v>0</v>
      </c>
      <c r="K38" s="54">
        <f t="shared" si="2"/>
        <v>271</v>
      </c>
      <c r="L38" s="57">
        <f t="shared" ref="L38:L69" si="4">IF(K38=0,"",K38/4230)</f>
        <v>6.4066193853427891E-2</v>
      </c>
      <c r="M38" s="58"/>
    </row>
    <row r="39" spans="1:13" ht="15" customHeight="1">
      <c r="A39" s="50">
        <v>46131</v>
      </c>
      <c r="B39" s="41">
        <f>SUMPRODUCT(((ISNUMBER('GRT Central'!L6:L1135))*('GRT Central'!L6:L1135=A39))*(('GRT Central'!K6:K1135="INSTALADO - OPERANDO")+('GRT Central'!K6:K1135="INSTALADO - SIN SEÑAL")&gt;0))</f>
        <v>0</v>
      </c>
      <c r="C39" s="41">
        <f>SUMPRODUCT(((ISNUMBER('GRT Occidente'!L6:L784))*('GRT Occidente'!L6:L784=A39))*(('GRT Occidente'!K6:K784="INSTALADO - OPERANDO")+('GRT Occidente'!K6:K784="INSTALADO - SIN SEÑAL")&gt;0))</f>
        <v>0</v>
      </c>
      <c r="D39" s="41">
        <f>SUMPRODUCT(((ISNUMBER('GRT Oriente'!L6:L400))*('GRT Oriente'!L6:L400=A39))*(('GRT Oriente'!K6:K400="INSTALADO - OPERANDO")+('GRT Oriente'!K6:K400="INSTALADO - SIN SEÑAL")&gt;0))</f>
        <v>0</v>
      </c>
      <c r="E39" s="41">
        <f>SUMPRODUCT(((ISNUMBER('GRT Valle de México'!L6:L740))*('GRT Valle de México'!L6:L740=A39))*(('GRT Valle de México'!K6:K740="INSTALADO - OPERANDO")+('GRT Valle de México'!K6:K740="INSTALADO - SIN SEÑAL")&gt;0))</f>
        <v>0</v>
      </c>
      <c r="F39" s="41">
        <f>SUMPRODUCT(((ISNUMBER('GRT Noroeste'!L6:L372))*('GRT Noroeste'!L6:L372=A39))*(('GRT Noroeste'!K6:K372="INSTALADO - OPERANDO")+('GRT Noroeste'!K6:K372="INSTALADO - SIN SEÑAL")&gt;0))</f>
        <v>0</v>
      </c>
      <c r="G39" s="41">
        <f>SUMPRODUCT(((ISNUMBER('GRT Norte'!L6:L296))*('GRT Norte'!L6:L296=A39))*(('GRT Norte'!K6:K296="INSTALADO - OPERANDO")+('GRT Norte'!K6:K296="INSTALADO - SIN SEÑAL")&gt;0))</f>
        <v>0</v>
      </c>
      <c r="H39" s="41">
        <f>SUMPRODUCT(((ISNUMBER('GRT Noreste'!L6:L262))*('GRT Noreste'!L6:L262=A39))*(('GRT Noreste'!K6:K262="INSTALADO - OPERANDO")+('GRT Noreste'!K6:K262="INSTALADO - SIN SEÑAL")&gt;0))</f>
        <v>0</v>
      </c>
      <c r="I39" s="41">
        <f>SUMPRODUCT(((ISNUMBER('GRT Baja California'!L6:L281))*('GRT Baja California'!L6:L281=A39))*(('GRT Baja California'!K6:K281="INSTALADO - OPERANDO")+('GRT Baja California'!K6:K281="INSTALADO - SIN SEÑAL")&gt;0))</f>
        <v>0</v>
      </c>
      <c r="J39" s="65">
        <f t="shared" si="3"/>
        <v>0</v>
      </c>
      <c r="K39" s="49">
        <f t="shared" ref="K39:K70" si="5">K38+J39</f>
        <v>271</v>
      </c>
      <c r="L39" s="52">
        <f t="shared" si="4"/>
        <v>6.4066193853427891E-2</v>
      </c>
      <c r="M39" s="53"/>
    </row>
    <row r="40" spans="1:13" ht="15" customHeight="1">
      <c r="A40" s="55">
        <v>46132</v>
      </c>
      <c r="B40" s="44">
        <f>SUMPRODUCT(((ISNUMBER('GRT Central'!L6:L1135))*('GRT Central'!L6:L1135=A40))*(('GRT Central'!K6:K1135="INSTALADO - OPERANDO")+('GRT Central'!K6:K1135="INSTALADO - SIN SEÑAL")&gt;0))</f>
        <v>20</v>
      </c>
      <c r="C40" s="44">
        <f>SUMPRODUCT(((ISNUMBER('GRT Occidente'!L6:L784))*('GRT Occidente'!L6:L784=A40))*(('GRT Occidente'!K6:K784="INSTALADO - OPERANDO")+('GRT Occidente'!K6:K784="INSTALADO - SIN SEÑAL")&gt;0))</f>
        <v>0</v>
      </c>
      <c r="D40" s="44">
        <f>SUMPRODUCT(((ISNUMBER('GRT Oriente'!L6:L400))*('GRT Oriente'!L6:L400=A40))*(('GRT Oriente'!K6:K400="INSTALADO - OPERANDO")+('GRT Oriente'!K6:K400="INSTALADO - SIN SEÑAL")&gt;0))</f>
        <v>0</v>
      </c>
      <c r="E40" s="44">
        <f>SUMPRODUCT(((ISNUMBER('GRT Valle de México'!L6:L740))*('GRT Valle de México'!L6:L740=A40))*(('GRT Valle de México'!K6:K740="INSTALADO - OPERANDO")+('GRT Valle de México'!K6:K740="INSTALADO - SIN SEÑAL")&gt;0))</f>
        <v>0</v>
      </c>
      <c r="F40" s="44">
        <f>SUMPRODUCT(((ISNUMBER('GRT Noroeste'!L6:L372))*('GRT Noroeste'!L6:L372=A40))*(('GRT Noroeste'!K6:K372="INSTALADO - OPERANDO")+('GRT Noroeste'!K6:K372="INSTALADO - SIN SEÑAL")&gt;0))</f>
        <v>0</v>
      </c>
      <c r="G40" s="44">
        <f>SUMPRODUCT(((ISNUMBER('GRT Norte'!L6:L296))*('GRT Norte'!L6:L296=A40))*(('GRT Norte'!K6:K296="INSTALADO - OPERANDO")+('GRT Norte'!K6:K296="INSTALADO - SIN SEÑAL")&gt;0))</f>
        <v>0</v>
      </c>
      <c r="H40" s="44">
        <f>SUMPRODUCT(((ISNUMBER('GRT Noreste'!L6:L262))*('GRT Noreste'!L6:L262=A40))*(('GRT Noreste'!K6:K262="INSTALADO - OPERANDO")+('GRT Noreste'!K6:K262="INSTALADO - SIN SEÑAL")&gt;0))</f>
        <v>0</v>
      </c>
      <c r="I40" s="44">
        <f>SUMPRODUCT(((ISNUMBER('GRT Baja California'!L6:L281))*('GRT Baja California'!L6:L281=A40))*(('GRT Baja California'!K6:K281="INSTALADO - OPERANDO")+('GRT Baja California'!K6:K281="INSTALADO - SIN SEÑAL")&gt;0))</f>
        <v>0</v>
      </c>
      <c r="J40" s="64">
        <f t="shared" si="3"/>
        <v>20</v>
      </c>
      <c r="K40" s="54">
        <f t="shared" si="5"/>
        <v>291</v>
      </c>
      <c r="L40" s="57">
        <f t="shared" si="4"/>
        <v>6.8794326241134754E-2</v>
      </c>
      <c r="M40" s="58"/>
    </row>
    <row r="41" spans="1:13" ht="15" customHeight="1">
      <c r="A41" s="50">
        <v>46133</v>
      </c>
      <c r="B41" s="41">
        <f>SUMPRODUCT(((ISNUMBER('GRT Central'!L6:L1135))*('GRT Central'!L6:L1135=A41))*(('GRT Central'!K6:K1135="INSTALADO - OPERANDO")+('GRT Central'!K6:K1135="INSTALADO - SIN SEÑAL")&gt;0))</f>
        <v>18</v>
      </c>
      <c r="C41" s="41">
        <f>SUMPRODUCT(((ISNUMBER('GRT Occidente'!L6:L784))*('GRT Occidente'!L6:L784=A41))*(('GRT Occidente'!K6:K784="INSTALADO - OPERANDO")+('GRT Occidente'!K6:K784="INSTALADO - SIN SEÑAL")&gt;0))</f>
        <v>0</v>
      </c>
      <c r="D41" s="41">
        <f>SUMPRODUCT(((ISNUMBER('GRT Oriente'!L6:L400))*('GRT Oriente'!L6:L400=A41))*(('GRT Oriente'!K6:K400="INSTALADO - OPERANDO")+('GRT Oriente'!K6:K400="INSTALADO - SIN SEÑAL")&gt;0))</f>
        <v>0</v>
      </c>
      <c r="E41" s="41">
        <f>SUMPRODUCT(((ISNUMBER('GRT Valle de México'!L6:L740))*('GRT Valle de México'!L6:L740=A41))*(('GRT Valle de México'!K6:K740="INSTALADO - OPERANDO")+('GRT Valle de México'!K6:K740="INSTALADO - SIN SEÑAL")&gt;0))</f>
        <v>0</v>
      </c>
      <c r="F41" s="41">
        <f>SUMPRODUCT(((ISNUMBER('GRT Noroeste'!L6:L372))*('GRT Noroeste'!L6:L372=A41))*(('GRT Noroeste'!K6:K372="INSTALADO - OPERANDO")+('GRT Noroeste'!K6:K372="INSTALADO - SIN SEÑAL")&gt;0))</f>
        <v>0</v>
      </c>
      <c r="G41" s="41">
        <f>SUMPRODUCT(((ISNUMBER('GRT Norte'!L6:L296))*('GRT Norte'!L6:L296=A41))*(('GRT Norte'!K6:K296="INSTALADO - OPERANDO")+('GRT Norte'!K6:K296="INSTALADO - SIN SEÑAL")&gt;0))</f>
        <v>0</v>
      </c>
      <c r="H41" s="41">
        <f>SUMPRODUCT(((ISNUMBER('GRT Noreste'!L6:L262))*('GRT Noreste'!L6:L262=A41))*(('GRT Noreste'!K6:K262="INSTALADO - OPERANDO")+('GRT Noreste'!K6:K262="INSTALADO - SIN SEÑAL")&gt;0))</f>
        <v>0</v>
      </c>
      <c r="I41" s="41">
        <f>SUMPRODUCT(((ISNUMBER('GRT Baja California'!L6:L281))*('GRT Baja California'!L6:L281=A41))*(('GRT Baja California'!K6:K281="INSTALADO - OPERANDO")+('GRT Baja California'!K6:K281="INSTALADO - SIN SEÑAL")&gt;0))</f>
        <v>0</v>
      </c>
      <c r="J41" s="65">
        <f t="shared" si="3"/>
        <v>18</v>
      </c>
      <c r="K41" s="49">
        <f t="shared" si="5"/>
        <v>309</v>
      </c>
      <c r="L41" s="52">
        <f t="shared" si="4"/>
        <v>7.3049645390070916E-2</v>
      </c>
      <c r="M41" s="53"/>
    </row>
    <row r="42" spans="1:13" ht="15" customHeight="1">
      <c r="A42" s="55">
        <v>46134</v>
      </c>
      <c r="B42" s="44">
        <f>SUMPRODUCT(((ISNUMBER('GRT Central'!L6:L1135))*('GRT Central'!L6:L1135=A42))*(('GRT Central'!K6:K1135="INSTALADO - OPERANDO")+('GRT Central'!K6:K1135="INSTALADO - SIN SEÑAL")&gt;0))</f>
        <v>17</v>
      </c>
      <c r="C42" s="44">
        <f>SUMPRODUCT(((ISNUMBER('GRT Occidente'!L6:L784))*('GRT Occidente'!L6:L784=A42))*(('GRT Occidente'!K6:K784="INSTALADO - OPERANDO")+('GRT Occidente'!K6:K784="INSTALADO - SIN SEÑAL")&gt;0))</f>
        <v>0</v>
      </c>
      <c r="D42" s="44">
        <f>SUMPRODUCT(((ISNUMBER('GRT Oriente'!L6:L400))*('GRT Oriente'!L6:L400=A42))*(('GRT Oriente'!K6:K400="INSTALADO - OPERANDO")+('GRT Oriente'!K6:K400="INSTALADO - SIN SEÑAL")&gt;0))</f>
        <v>0</v>
      </c>
      <c r="E42" s="44">
        <f>SUMPRODUCT(((ISNUMBER('GRT Valle de México'!L6:L740))*('GRT Valle de México'!L6:L740=A42))*(('GRT Valle de México'!K6:K740="INSTALADO - OPERANDO")+('GRT Valle de México'!K6:K740="INSTALADO - SIN SEÑAL")&gt;0))</f>
        <v>3</v>
      </c>
      <c r="F42" s="44">
        <f>SUMPRODUCT(((ISNUMBER('GRT Noroeste'!L6:L372))*('GRT Noroeste'!L6:L372=A42))*(('GRT Noroeste'!K6:K372="INSTALADO - OPERANDO")+('GRT Noroeste'!K6:K372="INSTALADO - SIN SEÑAL")&gt;0))</f>
        <v>0</v>
      </c>
      <c r="G42" s="44">
        <f>SUMPRODUCT(((ISNUMBER('GRT Norte'!L6:L296))*('GRT Norte'!L6:L296=A42))*(('GRT Norte'!K6:K296="INSTALADO - OPERANDO")+('GRT Norte'!K6:K296="INSTALADO - SIN SEÑAL")&gt;0))</f>
        <v>0</v>
      </c>
      <c r="H42" s="44">
        <f>SUMPRODUCT(((ISNUMBER('GRT Noreste'!L6:L262))*('GRT Noreste'!L6:L262=A42))*(('GRT Noreste'!K6:K262="INSTALADO - OPERANDO")+('GRT Noreste'!K6:K262="INSTALADO - SIN SEÑAL")&gt;0))</f>
        <v>0</v>
      </c>
      <c r="I42" s="44">
        <f>SUMPRODUCT(((ISNUMBER('GRT Baja California'!L6:L281))*('GRT Baja California'!L6:L281=A42))*(('GRT Baja California'!K6:K281="INSTALADO - OPERANDO")+('GRT Baja California'!K6:K281="INSTALADO - SIN SEÑAL")&gt;0))</f>
        <v>0</v>
      </c>
      <c r="J42" s="64">
        <f t="shared" si="3"/>
        <v>20</v>
      </c>
      <c r="K42" s="54">
        <f t="shared" si="5"/>
        <v>329</v>
      </c>
      <c r="L42" s="57">
        <f t="shared" si="4"/>
        <v>7.7777777777777779E-2</v>
      </c>
      <c r="M42" s="58"/>
    </row>
    <row r="43" spans="1:13" ht="15" customHeight="1">
      <c r="A43" s="50">
        <v>46135</v>
      </c>
      <c r="B43" s="41">
        <f>SUMPRODUCT(((ISNUMBER('GRT Central'!L6:L1135))*('GRT Central'!L6:L1135=A43))*(('GRT Central'!K6:K1135="INSTALADO - OPERANDO")+('GRT Central'!K6:K1135="INSTALADO - SIN SEÑAL")&gt;0))</f>
        <v>17</v>
      </c>
      <c r="C43" s="41">
        <f>SUMPRODUCT(((ISNUMBER('GRT Occidente'!L6:L784))*('GRT Occidente'!L6:L784=A43))*(('GRT Occidente'!K6:K784="INSTALADO - OPERANDO")+('GRT Occidente'!K6:K784="INSTALADO - SIN SEÑAL")&gt;0))</f>
        <v>0</v>
      </c>
      <c r="D43" s="41">
        <f>SUMPRODUCT(((ISNUMBER('GRT Oriente'!L6:L400))*('GRT Oriente'!L6:L400=A43))*(('GRT Oriente'!K6:K400="INSTALADO - OPERANDO")+('GRT Oriente'!K6:K400="INSTALADO - SIN SEÑAL")&gt;0))</f>
        <v>0</v>
      </c>
      <c r="E43" s="41">
        <f>SUMPRODUCT(((ISNUMBER('GRT Valle de México'!L6:L740))*('GRT Valle de México'!L6:L740=A43))*(('GRT Valle de México'!K6:K740="INSTALADO - OPERANDO")+('GRT Valle de México'!K6:K740="INSTALADO - SIN SEÑAL")&gt;0))</f>
        <v>1</v>
      </c>
      <c r="F43" s="41">
        <f>SUMPRODUCT(((ISNUMBER('GRT Noroeste'!L6:L372))*('GRT Noroeste'!L6:L372=A43))*(('GRT Noroeste'!K6:K372="INSTALADO - OPERANDO")+('GRT Noroeste'!K6:K372="INSTALADO - SIN SEÑAL")&gt;0))</f>
        <v>0</v>
      </c>
      <c r="G43" s="41">
        <f>SUMPRODUCT(((ISNUMBER('GRT Norte'!L6:L296))*('GRT Norte'!L6:L296=A43))*(('GRT Norte'!K6:K296="INSTALADO - OPERANDO")+('GRT Norte'!K6:K296="INSTALADO - SIN SEÑAL")&gt;0))</f>
        <v>0</v>
      </c>
      <c r="H43" s="41">
        <f>SUMPRODUCT(((ISNUMBER('GRT Noreste'!L6:L262))*('GRT Noreste'!L6:L262=A43))*(('GRT Noreste'!K6:K262="INSTALADO - OPERANDO")+('GRT Noreste'!K6:K262="INSTALADO - SIN SEÑAL")&gt;0))</f>
        <v>0</v>
      </c>
      <c r="I43" s="41">
        <f>SUMPRODUCT(((ISNUMBER('GRT Baja California'!L6:L281))*('GRT Baja California'!L6:L281=A43))*(('GRT Baja California'!K6:K281="INSTALADO - OPERANDO")+('GRT Baja California'!K6:K281="INSTALADO - SIN SEÑAL")&gt;0))</f>
        <v>0</v>
      </c>
      <c r="J43" s="65">
        <f t="shared" si="3"/>
        <v>18</v>
      </c>
      <c r="K43" s="49">
        <f t="shared" si="5"/>
        <v>347</v>
      </c>
      <c r="L43" s="52">
        <f t="shared" si="4"/>
        <v>8.2033096926713941E-2</v>
      </c>
      <c r="M43" s="53"/>
    </row>
    <row r="44" spans="1:13" ht="15" customHeight="1">
      <c r="A44" s="55">
        <v>46136</v>
      </c>
      <c r="B44" s="44">
        <f>SUMPRODUCT(((ISNUMBER('GRT Central'!L6:L1135))*('GRT Central'!L6:L1135=A44))*(('GRT Central'!K6:K1135="INSTALADO - OPERANDO")+('GRT Central'!K6:K1135="INSTALADO - SIN SEÑAL")&gt;0))</f>
        <v>12</v>
      </c>
      <c r="C44" s="44">
        <f>SUMPRODUCT(((ISNUMBER('GRT Occidente'!L6:L784))*('GRT Occidente'!L6:L784=A44))*(('GRT Occidente'!K6:K784="INSTALADO - OPERANDO")+('GRT Occidente'!K6:K784="INSTALADO - SIN SEÑAL")&gt;0))</f>
        <v>0</v>
      </c>
      <c r="D44" s="44">
        <f>SUMPRODUCT(((ISNUMBER('GRT Oriente'!L6:L400))*('GRT Oriente'!L6:L400=A44))*(('GRT Oriente'!K6:K400="INSTALADO - OPERANDO")+('GRT Oriente'!K6:K400="INSTALADO - SIN SEÑAL")&gt;0))</f>
        <v>0</v>
      </c>
      <c r="E44" s="44">
        <f>SUMPRODUCT(((ISNUMBER('GRT Valle de México'!L6:L740))*('GRT Valle de México'!L6:L740=A44))*(('GRT Valle de México'!K6:K740="INSTALADO - OPERANDO")+('GRT Valle de México'!K6:K740="INSTALADO - SIN SEÑAL")&gt;0))</f>
        <v>0</v>
      </c>
      <c r="F44" s="44">
        <f>SUMPRODUCT(((ISNUMBER('GRT Noroeste'!L6:L372))*('GRT Noroeste'!L6:L372=A44))*(('GRT Noroeste'!K6:K372="INSTALADO - OPERANDO")+('GRT Noroeste'!K6:K372="INSTALADO - SIN SEÑAL")&gt;0))</f>
        <v>0</v>
      </c>
      <c r="G44" s="44">
        <f>SUMPRODUCT(((ISNUMBER('GRT Norte'!L6:L296))*('GRT Norte'!L6:L296=A44))*(('GRT Norte'!K6:K296="INSTALADO - OPERANDO")+('GRT Norte'!K6:K296="INSTALADO - SIN SEÑAL")&gt;0))</f>
        <v>0</v>
      </c>
      <c r="H44" s="44">
        <f>SUMPRODUCT(((ISNUMBER('GRT Noreste'!L6:L262))*('GRT Noreste'!L6:L262=A44))*(('GRT Noreste'!K6:K262="INSTALADO - OPERANDO")+('GRT Noreste'!K6:K262="INSTALADO - SIN SEÑAL")&gt;0))</f>
        <v>0</v>
      </c>
      <c r="I44" s="44">
        <f>SUMPRODUCT(((ISNUMBER('GRT Baja California'!L6:L281))*('GRT Baja California'!L6:L281=A44))*(('GRT Baja California'!K6:K281="INSTALADO - OPERANDO")+('GRT Baja California'!K6:K281="INSTALADO - SIN SEÑAL")&gt;0))</f>
        <v>0</v>
      </c>
      <c r="J44" s="64">
        <f t="shared" si="3"/>
        <v>12</v>
      </c>
      <c r="K44" s="54">
        <f t="shared" si="5"/>
        <v>359</v>
      </c>
      <c r="L44" s="57">
        <f t="shared" si="4"/>
        <v>8.4869976359338059E-2</v>
      </c>
      <c r="M44" s="58"/>
    </row>
    <row r="45" spans="1:13" ht="15" customHeight="1">
      <c r="A45" s="50">
        <v>46137</v>
      </c>
      <c r="B45" s="41">
        <f>SUMPRODUCT(((ISNUMBER('GRT Central'!L6:L1135))*('GRT Central'!L6:L1135=A45))*(('GRT Central'!K6:K1135="INSTALADO - OPERANDO")+('GRT Central'!K6:K1135="INSTALADO - SIN SEÑAL")&gt;0))</f>
        <v>0</v>
      </c>
      <c r="C45" s="41">
        <f>SUMPRODUCT(((ISNUMBER('GRT Occidente'!L6:L784))*('GRT Occidente'!L6:L784=A45))*(('GRT Occidente'!K6:K784="INSTALADO - OPERANDO")+('GRT Occidente'!K6:K784="INSTALADO - SIN SEÑAL")&gt;0))</f>
        <v>0</v>
      </c>
      <c r="D45" s="41">
        <f>SUMPRODUCT(((ISNUMBER('GRT Oriente'!L6:L400))*('GRT Oriente'!L6:L400=A45))*(('GRT Oriente'!K6:K400="INSTALADO - OPERANDO")+('GRT Oriente'!K6:K400="INSTALADO - SIN SEÑAL")&gt;0))</f>
        <v>0</v>
      </c>
      <c r="E45" s="41">
        <f>SUMPRODUCT(((ISNUMBER('GRT Valle de México'!L6:L740))*('GRT Valle de México'!L6:L740=A45))*(('GRT Valle de México'!K6:K740="INSTALADO - OPERANDO")+('GRT Valle de México'!K6:K740="INSTALADO - SIN SEÑAL")&gt;0))</f>
        <v>0</v>
      </c>
      <c r="F45" s="41">
        <f>SUMPRODUCT(((ISNUMBER('GRT Noroeste'!L6:L372))*('GRT Noroeste'!L6:L372=A45))*(('GRT Noroeste'!K6:K372="INSTALADO - OPERANDO")+('GRT Noroeste'!K6:K372="INSTALADO - SIN SEÑAL")&gt;0))</f>
        <v>0</v>
      </c>
      <c r="G45" s="41">
        <f>SUMPRODUCT(((ISNUMBER('GRT Norte'!L6:L296))*('GRT Norte'!L6:L296=A45))*(('GRT Norte'!K6:K296="INSTALADO - OPERANDO")+('GRT Norte'!K6:K296="INSTALADO - SIN SEÑAL")&gt;0))</f>
        <v>0</v>
      </c>
      <c r="H45" s="41">
        <f>SUMPRODUCT(((ISNUMBER('GRT Noreste'!L6:L262))*('GRT Noreste'!L6:L262=A45))*(('GRT Noreste'!K6:K262="INSTALADO - OPERANDO")+('GRT Noreste'!K6:K262="INSTALADO - SIN SEÑAL")&gt;0))</f>
        <v>0</v>
      </c>
      <c r="I45" s="41">
        <f>SUMPRODUCT(((ISNUMBER('GRT Baja California'!L6:L281))*('GRT Baja California'!L6:L281=A45))*(('GRT Baja California'!K6:K281="INSTALADO - OPERANDO")+('GRT Baja California'!K6:K281="INSTALADO - SIN SEÑAL")&gt;0))</f>
        <v>0</v>
      </c>
      <c r="J45" s="65">
        <f t="shared" si="3"/>
        <v>0</v>
      </c>
      <c r="K45" s="49">
        <f t="shared" si="5"/>
        <v>359</v>
      </c>
      <c r="L45" s="52">
        <f t="shared" si="4"/>
        <v>8.4869976359338059E-2</v>
      </c>
      <c r="M45" s="53"/>
    </row>
    <row r="46" spans="1:13" ht="15" customHeight="1">
      <c r="A46" s="55">
        <v>46138</v>
      </c>
      <c r="B46" s="44">
        <f>SUMPRODUCT(((ISNUMBER('GRT Central'!L6:L1135))*('GRT Central'!L6:L1135=A46))*(('GRT Central'!K6:K1135="INSTALADO - OPERANDO")+('GRT Central'!K6:K1135="INSTALADO - SIN SEÑAL")&gt;0))</f>
        <v>0</v>
      </c>
      <c r="C46" s="44">
        <f>SUMPRODUCT(((ISNUMBER('GRT Occidente'!L6:L784))*('GRT Occidente'!L6:L784=A46))*(('GRT Occidente'!K6:K784="INSTALADO - OPERANDO")+('GRT Occidente'!K6:K784="INSTALADO - SIN SEÑAL")&gt;0))</f>
        <v>0</v>
      </c>
      <c r="D46" s="44">
        <f>SUMPRODUCT(((ISNUMBER('GRT Oriente'!L6:L400))*('GRT Oriente'!L6:L400=A46))*(('GRT Oriente'!K6:K400="INSTALADO - OPERANDO")+('GRT Oriente'!K6:K400="INSTALADO - SIN SEÑAL")&gt;0))</f>
        <v>0</v>
      </c>
      <c r="E46" s="44">
        <f>SUMPRODUCT(((ISNUMBER('GRT Valle de México'!L6:L740))*('GRT Valle de México'!L6:L740=A46))*(('GRT Valle de México'!K6:K740="INSTALADO - OPERANDO")+('GRT Valle de México'!K6:K740="INSTALADO - SIN SEÑAL")&gt;0))</f>
        <v>0</v>
      </c>
      <c r="F46" s="44">
        <f>SUMPRODUCT(((ISNUMBER('GRT Noroeste'!L6:L372))*('GRT Noroeste'!L6:L372=A46))*(('GRT Noroeste'!K6:K372="INSTALADO - OPERANDO")+('GRT Noroeste'!K6:K372="INSTALADO - SIN SEÑAL")&gt;0))</f>
        <v>0</v>
      </c>
      <c r="G46" s="44">
        <f>SUMPRODUCT(((ISNUMBER('GRT Norte'!L6:L296))*('GRT Norte'!L6:L296=A46))*(('GRT Norte'!K6:K296="INSTALADO - OPERANDO")+('GRT Norte'!K6:K296="INSTALADO - SIN SEÑAL")&gt;0))</f>
        <v>0</v>
      </c>
      <c r="H46" s="44">
        <f>SUMPRODUCT(((ISNUMBER('GRT Noreste'!L6:L262))*('GRT Noreste'!L6:L262=A46))*(('GRT Noreste'!K6:K262="INSTALADO - OPERANDO")+('GRT Noreste'!K6:K262="INSTALADO - SIN SEÑAL")&gt;0))</f>
        <v>0</v>
      </c>
      <c r="I46" s="44">
        <f>SUMPRODUCT(((ISNUMBER('GRT Baja California'!L6:L281))*('GRT Baja California'!L6:L281=A46))*(('GRT Baja California'!K6:K281="INSTALADO - OPERANDO")+('GRT Baja California'!K6:K281="INSTALADO - SIN SEÑAL")&gt;0))</f>
        <v>0</v>
      </c>
      <c r="J46" s="64">
        <f t="shared" si="3"/>
        <v>0</v>
      </c>
      <c r="K46" s="54">
        <f t="shared" si="5"/>
        <v>359</v>
      </c>
      <c r="L46" s="57">
        <f t="shared" si="4"/>
        <v>8.4869976359338059E-2</v>
      </c>
      <c r="M46" s="58"/>
    </row>
    <row r="47" spans="1:13" ht="15" customHeight="1">
      <c r="A47" s="50">
        <v>46139</v>
      </c>
      <c r="B47" s="41">
        <f>SUMPRODUCT(((ISNUMBER('GRT Central'!L6:L1135))*('GRT Central'!L6:L1135=A47))*(('GRT Central'!K6:K1135="INSTALADO - OPERANDO")+('GRT Central'!K6:K1135="INSTALADO - SIN SEÑAL")&gt;0))</f>
        <v>30</v>
      </c>
      <c r="C47" s="41">
        <f>SUMPRODUCT(((ISNUMBER('GRT Occidente'!L6:L784))*('GRT Occidente'!L6:L784=A47))*(('GRT Occidente'!K6:K784="INSTALADO - OPERANDO")+('GRT Occidente'!K6:K784="INSTALADO - SIN SEÑAL")&gt;0))</f>
        <v>0</v>
      </c>
      <c r="D47" s="41">
        <f>SUMPRODUCT(((ISNUMBER('GRT Oriente'!L6:L400))*('GRT Oriente'!L6:L400=A47))*(('GRT Oriente'!K6:K400="INSTALADO - OPERANDO")+('GRT Oriente'!K6:K400="INSTALADO - SIN SEÑAL")&gt;0))</f>
        <v>1</v>
      </c>
      <c r="E47" s="41">
        <f>SUMPRODUCT(((ISNUMBER('GRT Valle de México'!L6:L740))*('GRT Valle de México'!L6:L740=A47))*(('GRT Valle de México'!K6:K740="INSTALADO - OPERANDO")+('GRT Valle de México'!K6:K740="INSTALADO - SIN SEÑAL")&gt;0))</f>
        <v>1</v>
      </c>
      <c r="F47" s="41">
        <f>SUMPRODUCT(((ISNUMBER('GRT Noroeste'!L6:L372))*('GRT Noroeste'!L6:L372=A47))*(('GRT Noroeste'!K6:K372="INSTALADO - OPERANDO")+('GRT Noroeste'!K6:K372="INSTALADO - SIN SEÑAL")&gt;0))</f>
        <v>0</v>
      </c>
      <c r="G47" s="41">
        <f>SUMPRODUCT(((ISNUMBER('GRT Norte'!L6:L296))*('GRT Norte'!L6:L296=A47))*(('GRT Norte'!K6:K296="INSTALADO - OPERANDO")+('GRT Norte'!K6:K296="INSTALADO - SIN SEÑAL")&gt;0))</f>
        <v>0</v>
      </c>
      <c r="H47" s="41">
        <f>SUMPRODUCT(((ISNUMBER('GRT Noreste'!L6:L262))*('GRT Noreste'!L6:L262=A47))*(('GRT Noreste'!K6:K262="INSTALADO - OPERANDO")+('GRT Noreste'!K6:K262="INSTALADO - SIN SEÑAL")&gt;0))</f>
        <v>0</v>
      </c>
      <c r="I47" s="41">
        <f>SUMPRODUCT(((ISNUMBER('GRT Baja California'!L6:L281))*('GRT Baja California'!L6:L281=A47))*(('GRT Baja California'!K6:K281="INSTALADO - OPERANDO")+('GRT Baja California'!K6:K281="INSTALADO - SIN SEÑAL")&gt;0))</f>
        <v>0</v>
      </c>
      <c r="J47" s="65">
        <f t="shared" si="3"/>
        <v>32</v>
      </c>
      <c r="K47" s="49">
        <f t="shared" si="5"/>
        <v>391</v>
      </c>
      <c r="L47" s="52">
        <f t="shared" si="4"/>
        <v>9.2434988179669025E-2</v>
      </c>
      <c r="M47" s="53"/>
    </row>
    <row r="48" spans="1:13" ht="15" customHeight="1">
      <c r="A48" s="55">
        <v>46140</v>
      </c>
      <c r="B48" s="44">
        <f>SUMPRODUCT(((ISNUMBER('GRT Central'!L6:L1135))*('GRT Central'!L6:L1135=A48))*(('GRT Central'!K6:K1135="INSTALADO - OPERANDO")+('GRT Central'!K6:K1135="INSTALADO - SIN SEÑAL")&gt;0))</f>
        <v>51</v>
      </c>
      <c r="C48" s="44">
        <f>SUMPRODUCT(((ISNUMBER('GRT Occidente'!L6:L784))*('GRT Occidente'!L6:L784=A48))*(('GRT Occidente'!K6:K784="INSTALADO - OPERANDO")+('GRT Occidente'!K6:K784="INSTALADO - SIN SEÑAL")&gt;0))</f>
        <v>1</v>
      </c>
      <c r="D48" s="44">
        <f>SUMPRODUCT(((ISNUMBER('GRT Oriente'!L6:L400))*('GRT Oriente'!L6:L400=A48))*(('GRT Oriente'!K6:K400="INSTALADO - OPERANDO")+('GRT Oriente'!K6:K400="INSTALADO - SIN SEÑAL")&gt;0))</f>
        <v>0</v>
      </c>
      <c r="E48" s="44">
        <f>SUMPRODUCT(((ISNUMBER('GRT Valle de México'!L6:L740))*('GRT Valle de México'!L6:L740=A48))*(('GRT Valle de México'!K6:K740="INSTALADO - OPERANDO")+('GRT Valle de México'!K6:K740="INSTALADO - SIN SEÑAL")&gt;0))</f>
        <v>4</v>
      </c>
      <c r="F48" s="44">
        <f>SUMPRODUCT(((ISNUMBER('GRT Noroeste'!L6:L372))*('GRT Noroeste'!L6:L372=A48))*(('GRT Noroeste'!K6:K372="INSTALADO - OPERANDO")+('GRT Noroeste'!K6:K372="INSTALADO - SIN SEÑAL")&gt;0))</f>
        <v>0</v>
      </c>
      <c r="G48" s="44">
        <f>SUMPRODUCT(((ISNUMBER('GRT Norte'!L6:L296))*('GRT Norte'!L6:L296=A48))*(('GRT Norte'!K6:K296="INSTALADO - OPERANDO")+('GRT Norte'!K6:K296="INSTALADO - SIN SEÑAL")&gt;0))</f>
        <v>0</v>
      </c>
      <c r="H48" s="44">
        <f>SUMPRODUCT(((ISNUMBER('GRT Noreste'!L6:L262))*('GRT Noreste'!L6:L262=A48))*(('GRT Noreste'!K6:K262="INSTALADO - OPERANDO")+('GRT Noreste'!K6:K262="INSTALADO - SIN SEÑAL")&gt;0))</f>
        <v>0</v>
      </c>
      <c r="I48" s="44">
        <f>SUMPRODUCT(((ISNUMBER('GRT Baja California'!L6:L281))*('GRT Baja California'!L6:L281=A48))*(('GRT Baja California'!K6:K281="INSTALADO - OPERANDO")+('GRT Baja California'!K6:K281="INSTALADO - SIN SEÑAL")&gt;0))</f>
        <v>0</v>
      </c>
      <c r="J48" s="64">
        <f t="shared" si="3"/>
        <v>56</v>
      </c>
      <c r="K48" s="54">
        <f t="shared" si="5"/>
        <v>447</v>
      </c>
      <c r="L48" s="57">
        <f t="shared" si="4"/>
        <v>0.10567375886524823</v>
      </c>
      <c r="M48" s="58"/>
    </row>
    <row r="49" spans="1:13" ht="15" customHeight="1">
      <c r="A49" s="50">
        <v>46141</v>
      </c>
      <c r="B49" s="41">
        <f>SUMPRODUCT(((ISNUMBER('GRT Central'!L6:L1135))*('GRT Central'!L6:L1135=A49))*(('GRT Central'!K6:K1135="INSTALADO - OPERANDO")+('GRT Central'!K6:K1135="INSTALADO - SIN SEÑAL")&gt;0))</f>
        <v>47</v>
      </c>
      <c r="C49" s="41">
        <f>SUMPRODUCT(((ISNUMBER('GRT Occidente'!L6:L784))*('GRT Occidente'!L6:L784=A49))*(('GRT Occidente'!K6:K784="INSTALADO - OPERANDO")+('GRT Occidente'!K6:K784="INSTALADO - SIN SEÑAL")&gt;0))</f>
        <v>1</v>
      </c>
      <c r="D49" s="41">
        <f>SUMPRODUCT(((ISNUMBER('GRT Oriente'!L6:L400))*('GRT Oriente'!L6:L400=A49))*(('GRT Oriente'!K6:K400="INSTALADO - OPERANDO")+('GRT Oriente'!K6:K400="INSTALADO - SIN SEÑAL")&gt;0))</f>
        <v>0</v>
      </c>
      <c r="E49" s="41">
        <f>SUMPRODUCT(((ISNUMBER('GRT Valle de México'!L6:L740))*('GRT Valle de México'!L6:L740=A49))*(('GRT Valle de México'!K6:K740="INSTALADO - OPERANDO")+('GRT Valle de México'!K6:K740="INSTALADO - SIN SEÑAL")&gt;0))</f>
        <v>4</v>
      </c>
      <c r="F49" s="41">
        <f>SUMPRODUCT(((ISNUMBER('GRT Noroeste'!L6:L372))*('GRT Noroeste'!L6:L372=A49))*(('GRT Noroeste'!K6:K372="INSTALADO - OPERANDO")+('GRT Noroeste'!K6:K372="INSTALADO - SIN SEÑAL")&gt;0))</f>
        <v>0</v>
      </c>
      <c r="G49" s="41">
        <f>SUMPRODUCT(((ISNUMBER('GRT Norte'!L6:L296))*('GRT Norte'!L6:L296=A49))*(('GRT Norte'!K6:K296="INSTALADO - OPERANDO")+('GRT Norte'!K6:K296="INSTALADO - SIN SEÑAL")&gt;0))</f>
        <v>0</v>
      </c>
      <c r="H49" s="41">
        <f>SUMPRODUCT(((ISNUMBER('GRT Noreste'!L6:L262))*('GRT Noreste'!L6:L262=A49))*(('GRT Noreste'!K6:K262="INSTALADO - OPERANDO")+('GRT Noreste'!K6:K262="INSTALADO - SIN SEÑAL")&gt;0))</f>
        <v>0</v>
      </c>
      <c r="I49" s="41">
        <f>SUMPRODUCT(((ISNUMBER('GRT Baja California'!L6:L281))*('GRT Baja California'!L6:L281=A49))*(('GRT Baja California'!K6:K281="INSTALADO - OPERANDO")+('GRT Baja California'!K6:K281="INSTALADO - SIN SEÑAL")&gt;0))</f>
        <v>1</v>
      </c>
      <c r="J49" s="65">
        <f t="shared" si="3"/>
        <v>53</v>
      </c>
      <c r="K49" s="49">
        <f t="shared" si="5"/>
        <v>500</v>
      </c>
      <c r="L49" s="52">
        <f t="shared" si="4"/>
        <v>0.1182033096926714</v>
      </c>
      <c r="M49" s="53"/>
    </row>
    <row r="50" spans="1:13" ht="15" customHeight="1">
      <c r="A50" s="55">
        <v>46142</v>
      </c>
      <c r="B50" s="44">
        <f>SUMPRODUCT(((ISNUMBER('GRT Central'!L6:L1135))*('GRT Central'!L6:L1135=A50))*(('GRT Central'!K6:K1135="INSTALADO - OPERANDO")+('GRT Central'!K6:K1135="INSTALADO - SIN SEÑAL")&gt;0))</f>
        <v>59</v>
      </c>
      <c r="C50" s="44">
        <f>SUMPRODUCT(((ISNUMBER('GRT Occidente'!L6:L784))*('GRT Occidente'!L6:L784=A50))*(('GRT Occidente'!K6:K784="INSTALADO - OPERANDO")+('GRT Occidente'!K6:K784="INSTALADO - SIN SEÑAL")&gt;0))</f>
        <v>0</v>
      </c>
      <c r="D50" s="44">
        <f>SUMPRODUCT(((ISNUMBER('GRT Oriente'!L6:L400))*('GRT Oriente'!L6:L400=A50))*(('GRT Oriente'!K6:K400="INSTALADO - OPERANDO")+('GRT Oriente'!K6:K400="INSTALADO - SIN SEÑAL")&gt;0))</f>
        <v>0</v>
      </c>
      <c r="E50" s="44">
        <f>SUMPRODUCT(((ISNUMBER('GRT Valle de México'!L6:L740))*('GRT Valle de México'!L6:L740=A50))*(('GRT Valle de México'!K6:K740="INSTALADO - OPERANDO")+('GRT Valle de México'!K6:K740="INSTALADO - SIN SEÑAL")&gt;0))</f>
        <v>4</v>
      </c>
      <c r="F50" s="44">
        <f>SUMPRODUCT(((ISNUMBER('GRT Noroeste'!L6:L372))*('GRT Noroeste'!L6:L372=A50))*(('GRT Noroeste'!K6:K372="INSTALADO - OPERANDO")+('GRT Noroeste'!K6:K372="INSTALADO - SIN SEÑAL")&gt;0))</f>
        <v>0</v>
      </c>
      <c r="G50" s="44">
        <f>SUMPRODUCT(((ISNUMBER('GRT Norte'!L6:L296))*('GRT Norte'!L6:L296=A50))*(('GRT Norte'!K6:K296="INSTALADO - OPERANDO")+('GRT Norte'!K6:K296="INSTALADO - SIN SEÑAL")&gt;0))</f>
        <v>0</v>
      </c>
      <c r="H50" s="44">
        <f>SUMPRODUCT(((ISNUMBER('GRT Noreste'!L6:L262))*('GRT Noreste'!L6:L262=A50))*(('GRT Noreste'!K6:K262="INSTALADO - OPERANDO")+('GRT Noreste'!K6:K262="INSTALADO - SIN SEÑAL")&gt;0))</f>
        <v>0</v>
      </c>
      <c r="I50" s="44">
        <f>SUMPRODUCT(((ISNUMBER('GRT Baja California'!L6:L281))*('GRT Baja California'!L6:L281=A50))*(('GRT Baja California'!K6:K281="INSTALADO - OPERANDO")+('GRT Baja California'!K6:K281="INSTALADO - SIN SEÑAL")&gt;0))</f>
        <v>0</v>
      </c>
      <c r="J50" s="64">
        <f t="shared" si="3"/>
        <v>63</v>
      </c>
      <c r="K50" s="54">
        <f t="shared" si="5"/>
        <v>563</v>
      </c>
      <c r="L50" s="57">
        <f t="shared" si="4"/>
        <v>0.13309692671394799</v>
      </c>
      <c r="M50" s="58"/>
    </row>
    <row r="51" spans="1:13" ht="15" customHeight="1">
      <c r="A51" s="50">
        <v>46143</v>
      </c>
      <c r="B51" s="41">
        <f>SUMPRODUCT(((ISNUMBER('GRT Central'!L6:L1135))*('GRT Central'!L6:L1135=A51))*(('GRT Central'!K6:K1135="INSTALADO - OPERANDO")+('GRT Central'!K6:K1135="INSTALADO - SIN SEÑAL")&gt;0))</f>
        <v>23</v>
      </c>
      <c r="C51" s="41">
        <f>SUMPRODUCT(((ISNUMBER('GRT Occidente'!L6:L784))*('GRT Occidente'!L6:L784=A51))*(('GRT Occidente'!K6:K784="INSTALADO - OPERANDO")+('GRT Occidente'!K6:K784="INSTALADO - SIN SEÑAL")&gt;0))</f>
        <v>0</v>
      </c>
      <c r="D51" s="41">
        <f>SUMPRODUCT(((ISNUMBER('GRT Oriente'!L6:L400))*('GRT Oriente'!L6:L400=A51))*(('GRT Oriente'!K6:K400="INSTALADO - OPERANDO")+('GRT Oriente'!K6:K400="INSTALADO - SIN SEÑAL")&gt;0))</f>
        <v>0</v>
      </c>
      <c r="E51" s="41">
        <f>SUMPRODUCT(((ISNUMBER('GRT Valle de México'!L6:L740))*('GRT Valle de México'!L6:L740=A51))*(('GRT Valle de México'!K6:K740="INSTALADO - OPERANDO")+('GRT Valle de México'!K6:K740="INSTALADO - SIN SEÑAL")&gt;0))</f>
        <v>0</v>
      </c>
      <c r="F51" s="41">
        <f>SUMPRODUCT(((ISNUMBER('GRT Noroeste'!L6:L372))*('GRT Noroeste'!L6:L372=A51))*(('GRT Noroeste'!K6:K372="INSTALADO - OPERANDO")+('GRT Noroeste'!K6:K372="INSTALADO - SIN SEÑAL")&gt;0))</f>
        <v>0</v>
      </c>
      <c r="G51" s="41">
        <f>SUMPRODUCT(((ISNUMBER('GRT Norte'!L6:L296))*('GRT Norte'!L6:L296=A51))*(('GRT Norte'!K6:K296="INSTALADO - OPERANDO")+('GRT Norte'!K6:K296="INSTALADO - SIN SEÑAL")&gt;0))</f>
        <v>0</v>
      </c>
      <c r="H51" s="41">
        <f>SUMPRODUCT(((ISNUMBER('GRT Noreste'!L6:L262))*('GRT Noreste'!L6:L262=A51))*(('GRT Noreste'!K6:K262="INSTALADO - OPERANDO")+('GRT Noreste'!K6:K262="INSTALADO - SIN SEÑAL")&gt;0))</f>
        <v>0</v>
      </c>
      <c r="I51" s="41">
        <f>SUMPRODUCT(((ISNUMBER('GRT Baja California'!L6:L281))*('GRT Baja California'!L6:L281=A51))*(('GRT Baja California'!K6:K281="INSTALADO - OPERANDO")+('GRT Baja California'!K6:K281="INSTALADO - SIN SEÑAL")&gt;0))</f>
        <v>0</v>
      </c>
      <c r="J51" s="65">
        <f t="shared" si="3"/>
        <v>23</v>
      </c>
      <c r="K51" s="49">
        <f t="shared" si="5"/>
        <v>586</v>
      </c>
      <c r="L51" s="52">
        <f t="shared" si="4"/>
        <v>0.13853427895981088</v>
      </c>
      <c r="M51" s="53"/>
    </row>
    <row r="52" spans="1:13" ht="15" customHeight="1">
      <c r="A52" s="55">
        <v>46144</v>
      </c>
      <c r="B52" s="44">
        <f>SUMPRODUCT(((ISNUMBER('GRT Central'!L6:L1135))*('GRT Central'!L6:L1135=A52))*(('GRT Central'!K6:K1135="INSTALADO - OPERANDO")+('GRT Central'!K6:K1135="INSTALADO - SIN SEÑAL")&gt;0))</f>
        <v>0</v>
      </c>
      <c r="C52" s="44">
        <f>SUMPRODUCT(((ISNUMBER('GRT Occidente'!L6:L784))*('GRT Occidente'!L6:L784=A52))*(('GRT Occidente'!K6:K784="INSTALADO - OPERANDO")+('GRT Occidente'!K6:K784="INSTALADO - SIN SEÑAL")&gt;0))</f>
        <v>0</v>
      </c>
      <c r="D52" s="44">
        <f>SUMPRODUCT(((ISNUMBER('GRT Oriente'!L6:L400))*('GRT Oriente'!L6:L400=A52))*(('GRT Oriente'!K6:K400="INSTALADO - OPERANDO")+('GRT Oriente'!K6:K400="INSTALADO - SIN SEÑAL")&gt;0))</f>
        <v>0</v>
      </c>
      <c r="E52" s="44">
        <f>SUMPRODUCT(((ISNUMBER('GRT Valle de México'!L6:L740))*('GRT Valle de México'!L6:L740=A52))*(('GRT Valle de México'!K6:K740="INSTALADO - OPERANDO")+('GRT Valle de México'!K6:K740="INSTALADO - SIN SEÑAL")&gt;0))</f>
        <v>0</v>
      </c>
      <c r="F52" s="44">
        <f>SUMPRODUCT(((ISNUMBER('GRT Noroeste'!L6:L372))*('GRT Noroeste'!L6:L372=A52))*(('GRT Noroeste'!K6:K372="INSTALADO - OPERANDO")+('GRT Noroeste'!K6:K372="INSTALADO - SIN SEÑAL")&gt;0))</f>
        <v>0</v>
      </c>
      <c r="G52" s="44">
        <f>SUMPRODUCT(((ISNUMBER('GRT Norte'!L6:L296))*('GRT Norte'!L6:L296=A52))*(('GRT Norte'!K6:K296="INSTALADO - OPERANDO")+('GRT Norte'!K6:K296="INSTALADO - SIN SEÑAL")&gt;0))</f>
        <v>0</v>
      </c>
      <c r="H52" s="44">
        <f>SUMPRODUCT(((ISNUMBER('GRT Noreste'!L6:L262))*('GRT Noreste'!L6:L262=A52))*(('GRT Noreste'!K6:K262="INSTALADO - OPERANDO")+('GRT Noreste'!K6:K262="INSTALADO - SIN SEÑAL")&gt;0))</f>
        <v>0</v>
      </c>
      <c r="I52" s="44">
        <f>SUMPRODUCT(((ISNUMBER('GRT Baja California'!L6:L281))*('GRT Baja California'!L6:L281=A52))*(('GRT Baja California'!K6:K281="INSTALADO - OPERANDO")+('GRT Baja California'!K6:K281="INSTALADO - SIN SEÑAL")&gt;0))</f>
        <v>0</v>
      </c>
      <c r="J52" s="64">
        <f t="shared" si="3"/>
        <v>0</v>
      </c>
      <c r="K52" s="54">
        <f t="shared" si="5"/>
        <v>586</v>
      </c>
      <c r="L52" s="57">
        <f t="shared" si="4"/>
        <v>0.13853427895981088</v>
      </c>
      <c r="M52" s="58"/>
    </row>
    <row r="53" spans="1:13" ht="15" customHeight="1">
      <c r="A53" s="50">
        <v>46145</v>
      </c>
      <c r="B53" s="41">
        <f>SUMPRODUCT(((ISNUMBER('GRT Central'!L6:L1135))*('GRT Central'!L6:L1135=A53))*(('GRT Central'!K6:K1135="INSTALADO - OPERANDO")+('GRT Central'!K6:K1135="INSTALADO - SIN SEÑAL")&gt;0))</f>
        <v>0</v>
      </c>
      <c r="C53" s="41">
        <f>SUMPRODUCT(((ISNUMBER('GRT Occidente'!L6:L784))*('GRT Occidente'!L6:L784=A53))*(('GRT Occidente'!K6:K784="INSTALADO - OPERANDO")+('GRT Occidente'!K6:K784="INSTALADO - SIN SEÑAL")&gt;0))</f>
        <v>0</v>
      </c>
      <c r="D53" s="41">
        <f>SUMPRODUCT(((ISNUMBER('GRT Oriente'!L6:L400))*('GRT Oriente'!L6:L400=A53))*(('GRT Oriente'!K6:K400="INSTALADO - OPERANDO")+('GRT Oriente'!K6:K400="INSTALADO - SIN SEÑAL")&gt;0))</f>
        <v>0</v>
      </c>
      <c r="E53" s="41">
        <f>SUMPRODUCT(((ISNUMBER('GRT Valle de México'!L6:L740))*('GRT Valle de México'!L6:L740=A53))*(('GRT Valle de México'!K6:K740="INSTALADO - OPERANDO")+('GRT Valle de México'!K6:K740="INSTALADO - SIN SEÑAL")&gt;0))</f>
        <v>0</v>
      </c>
      <c r="F53" s="41">
        <f>SUMPRODUCT(((ISNUMBER('GRT Noroeste'!L6:L372))*('GRT Noroeste'!L6:L372=A53))*(('GRT Noroeste'!K6:K372="INSTALADO - OPERANDO")+('GRT Noroeste'!K6:K372="INSTALADO - SIN SEÑAL")&gt;0))</f>
        <v>0</v>
      </c>
      <c r="G53" s="41">
        <f>SUMPRODUCT(((ISNUMBER('GRT Norte'!L6:L296))*('GRT Norte'!L6:L296=A53))*(('GRT Norte'!K6:K296="INSTALADO - OPERANDO")+('GRT Norte'!K6:K296="INSTALADO - SIN SEÑAL")&gt;0))</f>
        <v>0</v>
      </c>
      <c r="H53" s="41">
        <f>SUMPRODUCT(((ISNUMBER('GRT Noreste'!L6:L262))*('GRT Noreste'!L6:L262=A53))*(('GRT Noreste'!K6:K262="INSTALADO - OPERANDO")+('GRT Noreste'!K6:K262="INSTALADO - SIN SEÑAL")&gt;0))</f>
        <v>0</v>
      </c>
      <c r="I53" s="41">
        <f>SUMPRODUCT(((ISNUMBER('GRT Baja California'!L6:L281))*('GRT Baja California'!L6:L281=A53))*(('GRT Baja California'!K6:K281="INSTALADO - OPERANDO")+('GRT Baja California'!K6:K281="INSTALADO - SIN SEÑAL")&gt;0))</f>
        <v>0</v>
      </c>
      <c r="J53" s="65">
        <f t="shared" si="3"/>
        <v>0</v>
      </c>
      <c r="K53" s="49">
        <f t="shared" si="5"/>
        <v>586</v>
      </c>
      <c r="L53" s="52">
        <f t="shared" si="4"/>
        <v>0.13853427895981088</v>
      </c>
      <c r="M53" s="53"/>
    </row>
    <row r="54" spans="1:13" ht="15" customHeight="1">
      <c r="A54" s="55">
        <v>46146</v>
      </c>
      <c r="B54" s="44">
        <f>SUMPRODUCT(((ISNUMBER('GRT Central'!L6:L1135))*('GRT Central'!L6:L1135=A54))*(('GRT Central'!K6:K1135="INSTALADO - OPERANDO")+('GRT Central'!K6:K1135="INSTALADO - SIN SEÑAL")&gt;0))</f>
        <v>40</v>
      </c>
      <c r="C54" s="44">
        <f>SUMPRODUCT(((ISNUMBER('GRT Occidente'!L6:L784))*('GRT Occidente'!L6:L784=A54))*(('GRT Occidente'!K6:K784="INSTALADO - OPERANDO")+('GRT Occidente'!K6:K784="INSTALADO - SIN SEÑAL")&gt;0))</f>
        <v>0</v>
      </c>
      <c r="D54" s="44">
        <f>SUMPRODUCT(((ISNUMBER('GRT Oriente'!L6:L400))*('GRT Oriente'!L6:L400=A54))*(('GRT Oriente'!K6:K400="INSTALADO - OPERANDO")+('GRT Oriente'!K6:K400="INSTALADO - SIN SEÑAL")&gt;0))</f>
        <v>5</v>
      </c>
      <c r="E54" s="44">
        <f>SUMPRODUCT(((ISNUMBER('GRT Valle de México'!L6:L740))*('GRT Valle de México'!L6:L740=A54))*(('GRT Valle de México'!K6:K740="INSTALADO - OPERANDO")+('GRT Valle de México'!K6:K740="INSTALADO - SIN SEÑAL")&gt;0))</f>
        <v>1</v>
      </c>
      <c r="F54" s="44">
        <f>SUMPRODUCT(((ISNUMBER('GRT Noroeste'!L6:L372))*('GRT Noroeste'!L6:L372=A54))*(('GRT Noroeste'!K6:K372="INSTALADO - OPERANDO")+('GRT Noroeste'!K6:K372="INSTALADO - SIN SEÑAL")&gt;0))</f>
        <v>3</v>
      </c>
      <c r="G54" s="44">
        <f>SUMPRODUCT(((ISNUMBER('GRT Norte'!L6:L296))*('GRT Norte'!L6:L296=A54))*(('GRT Norte'!K6:K296="INSTALADO - OPERANDO")+('GRT Norte'!K6:K296="INSTALADO - SIN SEÑAL")&gt;0))</f>
        <v>0</v>
      </c>
      <c r="H54" s="44">
        <f>SUMPRODUCT(((ISNUMBER('GRT Noreste'!L6:L262))*('GRT Noreste'!L6:L262=A54))*(('GRT Noreste'!K6:K262="INSTALADO - OPERANDO")+('GRT Noreste'!K6:K262="INSTALADO - SIN SEÑAL")&gt;0))</f>
        <v>4</v>
      </c>
      <c r="I54" s="44">
        <f>SUMPRODUCT(((ISNUMBER('GRT Baja California'!L6:L281))*('GRT Baja California'!L6:L281=A54))*(('GRT Baja California'!K6:K281="INSTALADO - OPERANDO")+('GRT Baja California'!K6:K281="INSTALADO - SIN SEÑAL")&gt;0))</f>
        <v>7</v>
      </c>
      <c r="J54" s="64">
        <f t="shared" si="3"/>
        <v>60</v>
      </c>
      <c r="K54" s="54">
        <f t="shared" si="5"/>
        <v>646</v>
      </c>
      <c r="L54" s="57">
        <f t="shared" si="4"/>
        <v>0.15271867612293144</v>
      </c>
      <c r="M54" s="58"/>
    </row>
    <row r="55" spans="1:13" ht="15" customHeight="1">
      <c r="A55" s="50">
        <v>46147</v>
      </c>
      <c r="B55" s="41">
        <f>SUMPRODUCT(((ISNUMBER('GRT Central'!L6:L1135))*('GRT Central'!L6:L1135=A55))*(('GRT Central'!K6:K1135="INSTALADO - OPERANDO")+('GRT Central'!K6:K1135="INSTALADO - SIN SEÑAL")&gt;0))</f>
        <v>43</v>
      </c>
      <c r="C55" s="41">
        <f>SUMPRODUCT(((ISNUMBER('GRT Occidente'!L6:L784))*('GRT Occidente'!L6:L784=A55))*(('GRT Occidente'!K6:K784="INSTALADO - OPERANDO")+('GRT Occidente'!K6:K784="INSTALADO - SIN SEÑAL")&gt;0))</f>
        <v>9</v>
      </c>
      <c r="D55" s="41">
        <f>SUMPRODUCT(((ISNUMBER('GRT Oriente'!L6:L400))*('GRT Oriente'!L6:L400=A55))*(('GRT Oriente'!K6:K400="INSTALADO - OPERANDO")+('GRT Oriente'!K6:K400="INSTALADO - SIN SEÑAL")&gt;0))</f>
        <v>17</v>
      </c>
      <c r="E55" s="41">
        <f>SUMPRODUCT(((ISNUMBER('GRT Valle de México'!L6:L740))*('GRT Valle de México'!L6:L740=A55))*(('GRT Valle de México'!K6:K740="INSTALADO - OPERANDO")+('GRT Valle de México'!K6:K740="INSTALADO - SIN SEÑAL")&gt;0))</f>
        <v>3</v>
      </c>
      <c r="F55" s="41">
        <f>SUMPRODUCT(((ISNUMBER('GRT Noroeste'!L6:L372))*('GRT Noroeste'!L6:L372=A55))*(('GRT Noroeste'!K6:K372="INSTALADO - OPERANDO")+('GRT Noroeste'!K6:K372="INSTALADO - SIN SEÑAL")&gt;0))</f>
        <v>7</v>
      </c>
      <c r="G55" s="41">
        <f>SUMPRODUCT(((ISNUMBER('GRT Norte'!L6:L296))*('GRT Norte'!L6:L296=A55))*(('GRT Norte'!K6:K296="INSTALADO - OPERANDO")+('GRT Norte'!K6:K296="INSTALADO - SIN SEÑAL")&gt;0))</f>
        <v>0</v>
      </c>
      <c r="H55" s="41">
        <f>SUMPRODUCT(((ISNUMBER('GRT Noreste'!L6:L262))*('GRT Noreste'!L6:L262=A55))*(('GRT Noreste'!K6:K262="INSTALADO - OPERANDO")+('GRT Noreste'!K6:K262="INSTALADO - SIN SEÑAL")&gt;0))</f>
        <v>0</v>
      </c>
      <c r="I55" s="41">
        <f>SUMPRODUCT(((ISNUMBER('GRT Baja California'!L6:L281))*('GRT Baja California'!L6:L281=A55))*(('GRT Baja California'!K6:K281="INSTALADO - OPERANDO")+('GRT Baja California'!K6:K281="INSTALADO - SIN SEÑAL")&gt;0))</f>
        <v>8</v>
      </c>
      <c r="J55" s="65">
        <f t="shared" si="3"/>
        <v>87</v>
      </c>
      <c r="K55" s="49">
        <f t="shared" si="5"/>
        <v>733</v>
      </c>
      <c r="L55" s="52">
        <f t="shared" si="4"/>
        <v>0.17328605200945627</v>
      </c>
      <c r="M55" s="53"/>
    </row>
    <row r="56" spans="1:13" ht="15" customHeight="1">
      <c r="A56" s="55">
        <v>46148</v>
      </c>
      <c r="B56" s="44">
        <f>SUMPRODUCT(((ISNUMBER('GRT Central'!L6:L1135))*('GRT Central'!L6:L1135=A56))*(('GRT Central'!K6:K1135="INSTALADO - OPERANDO")+('GRT Central'!K6:K1135="INSTALADO - SIN SEÑAL")&gt;0))</f>
        <v>59</v>
      </c>
      <c r="C56" s="44">
        <f>SUMPRODUCT(((ISNUMBER('GRT Occidente'!L6:L784))*('GRT Occidente'!L6:L784=A56))*(('GRT Occidente'!K6:K784="INSTALADO - OPERANDO")+('GRT Occidente'!K6:K784="INSTALADO - SIN SEÑAL")&gt;0))</f>
        <v>27</v>
      </c>
      <c r="D56" s="44">
        <f>SUMPRODUCT(((ISNUMBER('GRT Oriente'!L6:L400))*('GRT Oriente'!L6:L400=A56))*(('GRT Oriente'!K6:K400="INSTALADO - OPERANDO")+('GRT Oriente'!K6:K400="INSTALADO - SIN SEÑAL")&gt;0))</f>
        <v>14</v>
      </c>
      <c r="E56" s="44">
        <f>SUMPRODUCT(((ISNUMBER('GRT Valle de México'!L6:L740))*('GRT Valle de México'!L6:L740=A56))*(('GRT Valle de México'!K6:K740="INSTALADO - OPERANDO")+('GRT Valle de México'!K6:K740="INSTALADO - SIN SEÑAL")&gt;0))</f>
        <v>26</v>
      </c>
      <c r="F56" s="44">
        <f>SUMPRODUCT(((ISNUMBER('GRT Noroeste'!L6:L372))*('GRT Noroeste'!L6:L372=A56))*(('GRT Noroeste'!K6:K372="INSTALADO - OPERANDO")+('GRT Noroeste'!K6:K372="INSTALADO - SIN SEÑAL")&gt;0))</f>
        <v>12</v>
      </c>
      <c r="G56" s="44">
        <f>SUMPRODUCT(((ISNUMBER('GRT Norte'!L6:L296))*('GRT Norte'!L6:L296=A56))*(('GRT Norte'!K6:K296="INSTALADO - OPERANDO")+('GRT Norte'!K6:K296="INSTALADO - SIN SEÑAL")&gt;0))</f>
        <v>0</v>
      </c>
      <c r="H56" s="44">
        <f>SUMPRODUCT(((ISNUMBER('GRT Noreste'!L6:L262))*('GRT Noreste'!L6:L262=A56))*(('GRT Noreste'!K6:K262="INSTALADO - OPERANDO")+('GRT Noreste'!K6:K262="INSTALADO - SIN SEÑAL")&gt;0))</f>
        <v>6</v>
      </c>
      <c r="I56" s="44">
        <f>SUMPRODUCT(((ISNUMBER('GRT Baja California'!L6:L281))*('GRT Baja California'!L6:L281=A56))*(('GRT Baja California'!K6:K281="INSTALADO - OPERANDO")+('GRT Baja California'!K6:K281="INSTALADO - SIN SEÑAL")&gt;0))</f>
        <v>9</v>
      </c>
      <c r="J56" s="64">
        <f t="shared" si="3"/>
        <v>153</v>
      </c>
      <c r="K56" s="54">
        <f t="shared" si="5"/>
        <v>886</v>
      </c>
      <c r="L56" s="57">
        <f t="shared" si="4"/>
        <v>0.20945626477541371</v>
      </c>
      <c r="M56" s="58"/>
    </row>
    <row r="57" spans="1:13" ht="15" customHeight="1">
      <c r="A57" s="50">
        <v>46149</v>
      </c>
      <c r="B57" s="41">
        <f>SUMPRODUCT(((ISNUMBER('GRT Central'!L6:L1135))*('GRT Central'!L6:L1135=A57))*(('GRT Central'!K6:K1135="INSTALADO - OPERANDO")+('GRT Central'!K6:K1135="INSTALADO - SIN SEÑAL")&gt;0))</f>
        <v>60</v>
      </c>
      <c r="C57" s="41">
        <f>SUMPRODUCT(((ISNUMBER('GRT Occidente'!L6:L784))*('GRT Occidente'!L6:L784=A57))*(('GRT Occidente'!K6:K784="INSTALADO - OPERANDO")+('GRT Occidente'!K6:K784="INSTALADO - SIN SEÑAL")&gt;0))</f>
        <v>35</v>
      </c>
      <c r="D57" s="41">
        <f>SUMPRODUCT(((ISNUMBER('GRT Oriente'!L6:L400))*('GRT Oriente'!L6:L400=A57))*(('GRT Oriente'!K6:K400="INSTALADO - OPERANDO")+('GRT Oriente'!K6:K400="INSTALADO - SIN SEÑAL")&gt;0))</f>
        <v>19</v>
      </c>
      <c r="E57" s="41">
        <f>SUMPRODUCT(((ISNUMBER('GRT Valle de México'!L6:L740))*('GRT Valle de México'!L6:L740=A57))*(('GRT Valle de México'!K6:K740="INSTALADO - OPERANDO")+('GRT Valle de México'!K6:K740="INSTALADO - SIN SEÑAL")&gt;0))</f>
        <v>24</v>
      </c>
      <c r="F57" s="41">
        <f>SUMPRODUCT(((ISNUMBER('GRT Noroeste'!L6:L372))*('GRT Noroeste'!L6:L372=A57))*(('GRT Noroeste'!K6:K372="INSTALADO - OPERANDO")+('GRT Noroeste'!K6:K372="INSTALADO - SIN SEÑAL")&gt;0))</f>
        <v>13</v>
      </c>
      <c r="G57" s="41">
        <f>SUMPRODUCT(((ISNUMBER('GRT Norte'!L6:L296))*('GRT Norte'!L6:L296=A57))*(('GRT Norte'!K6:K296="INSTALADO - OPERANDO")+('GRT Norte'!K6:K296="INSTALADO - SIN SEÑAL")&gt;0))</f>
        <v>2</v>
      </c>
      <c r="H57" s="41">
        <f>SUMPRODUCT(((ISNUMBER('GRT Noreste'!L6:L262))*('GRT Noreste'!L6:L262=A57))*(('GRT Noreste'!K6:K262="INSTALADO - OPERANDO")+('GRT Noreste'!K6:K262="INSTALADO - SIN SEÑAL")&gt;0))</f>
        <v>6</v>
      </c>
      <c r="I57" s="41">
        <f>SUMPRODUCT(((ISNUMBER('GRT Baja California'!L6:L281))*('GRT Baja California'!L6:L281=A57))*(('GRT Baja California'!K6:K281="INSTALADO - OPERANDO")+('GRT Baja California'!K6:K281="INSTALADO - SIN SEÑAL")&gt;0))</f>
        <v>7</v>
      </c>
      <c r="J57" s="65">
        <f t="shared" si="3"/>
        <v>166</v>
      </c>
      <c r="K57" s="49">
        <f t="shared" si="5"/>
        <v>1052</v>
      </c>
      <c r="L57" s="52">
        <f t="shared" si="4"/>
        <v>0.24869976359338061</v>
      </c>
      <c r="M57" s="53"/>
    </row>
    <row r="58" spans="1:13" ht="15" customHeight="1">
      <c r="A58" s="55">
        <v>46150</v>
      </c>
      <c r="B58" s="44">
        <f>SUMPRODUCT(((ISNUMBER('GRT Central'!L6:L1135))*('GRT Central'!L6:L1135=A58))*(('GRT Central'!K6:K1135="INSTALADO - OPERANDO")+('GRT Central'!K6:K1135="INSTALADO - SIN SEÑAL")&gt;0))</f>
        <v>64</v>
      </c>
      <c r="C58" s="44">
        <f>SUMPRODUCT(((ISNUMBER('GRT Occidente'!L6:L784))*('GRT Occidente'!L6:L784=A58))*(('GRT Occidente'!K6:K784="INSTALADO - OPERANDO")+('GRT Occidente'!K6:K784="INSTALADO - SIN SEÑAL")&gt;0))</f>
        <v>22</v>
      </c>
      <c r="D58" s="44">
        <f>SUMPRODUCT(((ISNUMBER('GRT Oriente'!L6:L400))*('GRT Oriente'!L6:L400=A58))*(('GRT Oriente'!K6:K400="INSTALADO - OPERANDO")+('GRT Oriente'!K6:K400="INSTALADO - SIN SEÑAL")&gt;0))</f>
        <v>18</v>
      </c>
      <c r="E58" s="44">
        <f>SUMPRODUCT(((ISNUMBER('GRT Valle de México'!L6:L740))*('GRT Valle de México'!L6:L740=A58))*(('GRT Valle de México'!K6:K740="INSTALADO - OPERANDO")+('GRT Valle de México'!K6:K740="INSTALADO - SIN SEÑAL")&gt;0))</f>
        <v>6</v>
      </c>
      <c r="F58" s="44">
        <f>SUMPRODUCT(((ISNUMBER('GRT Noroeste'!L6:L372))*('GRT Noroeste'!L6:L372=A58))*(('GRT Noroeste'!K6:K372="INSTALADO - OPERANDO")+('GRT Noroeste'!K6:K372="INSTALADO - SIN SEÑAL")&gt;0))</f>
        <v>17</v>
      </c>
      <c r="G58" s="44">
        <f>SUMPRODUCT(((ISNUMBER('GRT Norte'!L6:L296))*('GRT Norte'!L6:L296=A58))*(('GRT Norte'!K6:K296="INSTALADO - OPERANDO")+('GRT Norte'!K6:K296="INSTALADO - SIN SEÑAL")&gt;0))</f>
        <v>7</v>
      </c>
      <c r="H58" s="44">
        <f>SUMPRODUCT(((ISNUMBER('GRT Noreste'!L6:L262))*('GRT Noreste'!L6:L262=A58))*(('GRT Noreste'!K6:K262="INSTALADO - OPERANDO")+('GRT Noreste'!K6:K262="INSTALADO - SIN SEÑAL")&gt;0))</f>
        <v>10</v>
      </c>
      <c r="I58" s="44">
        <f>SUMPRODUCT(((ISNUMBER('GRT Baja California'!L6:L281))*('GRT Baja California'!L6:L281=A58))*(('GRT Baja California'!K6:K281="INSTALADO - OPERANDO")+('GRT Baja California'!K6:K281="INSTALADO - SIN SEÑAL")&gt;0))</f>
        <v>10</v>
      </c>
      <c r="J58" s="64">
        <f t="shared" si="3"/>
        <v>154</v>
      </c>
      <c r="K58" s="54">
        <f t="shared" si="5"/>
        <v>1206</v>
      </c>
      <c r="L58" s="57">
        <f t="shared" si="4"/>
        <v>0.28510638297872343</v>
      </c>
      <c r="M58" s="58"/>
    </row>
    <row r="59" spans="1:13" ht="15" customHeight="1">
      <c r="A59" s="50">
        <v>46151</v>
      </c>
      <c r="B59" s="41">
        <f>SUMPRODUCT(((ISNUMBER('GRT Central'!L6:L1135))*('GRT Central'!L6:L1135=A59))*(('GRT Central'!K6:K1135="INSTALADO - OPERANDO")+('GRT Central'!K6:K1135="INSTALADO - SIN SEÑAL")&gt;0))</f>
        <v>0</v>
      </c>
      <c r="C59" s="41">
        <f>SUMPRODUCT(((ISNUMBER('GRT Occidente'!L6:L784))*('GRT Occidente'!L6:L784=A59))*(('GRT Occidente'!K6:K784="INSTALADO - OPERANDO")+('GRT Occidente'!K6:K784="INSTALADO - SIN SEÑAL")&gt;0))</f>
        <v>5</v>
      </c>
      <c r="D59" s="41">
        <f>SUMPRODUCT(((ISNUMBER('GRT Oriente'!L6:L400))*('GRT Oriente'!L6:L400=A59))*(('GRT Oriente'!K6:K400="INSTALADO - OPERANDO")+('GRT Oriente'!K6:K400="INSTALADO - SIN SEÑAL")&gt;0))</f>
        <v>5</v>
      </c>
      <c r="E59" s="41">
        <f>SUMPRODUCT(((ISNUMBER('GRT Valle de México'!L6:L740))*('GRT Valle de México'!L6:L740=A59))*(('GRT Valle de México'!K6:K740="INSTALADO - OPERANDO")+('GRT Valle de México'!K6:K740="INSTALADO - SIN SEÑAL")&gt;0))</f>
        <v>0</v>
      </c>
      <c r="F59" s="41">
        <f>SUMPRODUCT(((ISNUMBER('GRT Noroeste'!L6:L372))*('GRT Noroeste'!L6:L372=A59))*(('GRT Noroeste'!K6:K372="INSTALADO - OPERANDO")+('GRT Noroeste'!K6:K372="INSTALADO - SIN SEÑAL")&gt;0))</f>
        <v>11</v>
      </c>
      <c r="G59" s="41">
        <f>SUMPRODUCT(((ISNUMBER('GRT Norte'!L6:L296))*('GRT Norte'!L6:L296=A59))*(('GRT Norte'!K6:K296="INSTALADO - OPERANDO")+('GRT Norte'!K6:K296="INSTALADO - SIN SEÑAL")&gt;0))</f>
        <v>8</v>
      </c>
      <c r="H59" s="41">
        <f>SUMPRODUCT(((ISNUMBER('GRT Noreste'!L6:L262))*('GRT Noreste'!L6:L262=A59))*(('GRT Noreste'!K6:K262="INSTALADO - OPERANDO")+('GRT Noreste'!K6:K262="INSTALADO - SIN SEÑAL")&gt;0))</f>
        <v>0</v>
      </c>
      <c r="I59" s="41">
        <f>SUMPRODUCT(((ISNUMBER('GRT Baja California'!L6:L281))*('GRT Baja California'!L6:L281=A59))*(('GRT Baja California'!K6:K281="INSTALADO - OPERANDO")+('GRT Baja California'!K6:K281="INSTALADO - SIN SEÑAL")&gt;0))</f>
        <v>1</v>
      </c>
      <c r="J59" s="65">
        <f t="shared" si="3"/>
        <v>30</v>
      </c>
      <c r="K59" s="49">
        <f t="shared" si="5"/>
        <v>1236</v>
      </c>
      <c r="L59" s="52">
        <f t="shared" si="4"/>
        <v>0.29219858156028367</v>
      </c>
      <c r="M59" s="53"/>
    </row>
    <row r="60" spans="1:13" ht="15" customHeight="1">
      <c r="A60" s="55">
        <v>46152</v>
      </c>
      <c r="B60" s="44">
        <f>SUMPRODUCT(((ISNUMBER('GRT Central'!L6:L1135))*('GRT Central'!L6:L1135=A60))*(('GRT Central'!K6:K1135="INSTALADO - OPERANDO")+('GRT Central'!K6:K1135="INSTALADO - SIN SEÑAL")&gt;0))</f>
        <v>0</v>
      </c>
      <c r="C60" s="44">
        <f>SUMPRODUCT(((ISNUMBER('GRT Occidente'!L6:L784))*('GRT Occidente'!L6:L784=A60))*(('GRT Occidente'!K6:K784="INSTALADO - OPERANDO")+('GRT Occidente'!K6:K784="INSTALADO - SIN SEÑAL")&gt;0))</f>
        <v>0</v>
      </c>
      <c r="D60" s="44">
        <f>SUMPRODUCT(((ISNUMBER('GRT Oriente'!L6:L400))*('GRT Oriente'!L6:L400=A60))*(('GRT Oriente'!K6:K400="INSTALADO - OPERANDO")+('GRT Oriente'!K6:K400="INSTALADO - SIN SEÑAL")&gt;0))</f>
        <v>0</v>
      </c>
      <c r="E60" s="44">
        <f>SUMPRODUCT(((ISNUMBER('GRT Valle de México'!L6:L740))*('GRT Valle de México'!L6:L740=A60))*(('GRT Valle de México'!K6:K740="INSTALADO - OPERANDO")+('GRT Valle de México'!K6:K740="INSTALADO - SIN SEÑAL")&gt;0))</f>
        <v>0</v>
      </c>
      <c r="F60" s="44">
        <f>SUMPRODUCT(((ISNUMBER('GRT Noroeste'!L6:L372))*('GRT Noroeste'!L6:L372=A60))*(('GRT Noroeste'!K6:K372="INSTALADO - OPERANDO")+('GRT Noroeste'!K6:K372="INSTALADO - SIN SEÑAL")&gt;0))</f>
        <v>0</v>
      </c>
      <c r="G60" s="44">
        <f>SUMPRODUCT(((ISNUMBER('GRT Norte'!L6:L296))*('GRT Norte'!L6:L296=A60))*(('GRT Norte'!K6:K296="INSTALADO - OPERANDO")+('GRT Norte'!K6:K296="INSTALADO - SIN SEÑAL")&gt;0))</f>
        <v>0</v>
      </c>
      <c r="H60" s="44">
        <f>SUMPRODUCT(((ISNUMBER('GRT Noreste'!L6:L262))*('GRT Noreste'!L6:L262=A60))*(('GRT Noreste'!K6:K262="INSTALADO - OPERANDO")+('GRT Noreste'!K6:K262="INSTALADO - SIN SEÑAL")&gt;0))</f>
        <v>0</v>
      </c>
      <c r="I60" s="44">
        <f>SUMPRODUCT(((ISNUMBER('GRT Baja California'!L6:L281))*('GRT Baja California'!L6:L281=A60))*(('GRT Baja California'!K6:K281="INSTALADO - OPERANDO")+('GRT Baja California'!K6:K281="INSTALADO - SIN SEÑAL")&gt;0))</f>
        <v>0</v>
      </c>
      <c r="J60" s="64">
        <f t="shared" si="3"/>
        <v>0</v>
      </c>
      <c r="K60" s="54">
        <f t="shared" si="5"/>
        <v>1236</v>
      </c>
      <c r="L60" s="57">
        <f t="shared" si="4"/>
        <v>0.29219858156028367</v>
      </c>
      <c r="M60" s="58"/>
    </row>
    <row r="61" spans="1:13" ht="15" customHeight="1">
      <c r="A61" s="50">
        <v>46153</v>
      </c>
      <c r="B61" s="41">
        <f>SUMPRODUCT(((ISNUMBER('GRT Central'!L6:L1135))*('GRT Central'!L6:L1135=A61))*(('GRT Central'!K6:K1135="INSTALADO - OPERANDO")+('GRT Central'!K6:K1135="INSTALADO - SIN SEÑAL")&gt;0))</f>
        <v>27</v>
      </c>
      <c r="C61" s="41">
        <f>SUMPRODUCT(((ISNUMBER('GRT Occidente'!L6:L784))*('GRT Occidente'!L6:L784=A61))*(('GRT Occidente'!K6:K784="INSTALADO - OPERANDO")+('GRT Occidente'!K6:K784="INSTALADO - SIN SEÑAL")&gt;0))</f>
        <v>0</v>
      </c>
      <c r="D61" s="41">
        <f>SUMPRODUCT(((ISNUMBER('GRT Oriente'!L6:L400))*('GRT Oriente'!L6:L400=A61))*(('GRT Oriente'!K6:K400="INSTALADO - OPERANDO")+('GRT Oriente'!K6:K400="INSTALADO - SIN SEÑAL")&gt;0))</f>
        <v>5</v>
      </c>
      <c r="E61" s="41">
        <f>SUMPRODUCT(((ISNUMBER('GRT Valle de México'!L6:L740))*('GRT Valle de México'!L6:L740=A61))*(('GRT Valle de México'!K6:K740="INSTALADO - OPERANDO")+('GRT Valle de México'!K6:K740="INSTALADO - SIN SEÑAL")&gt;0))</f>
        <v>0</v>
      </c>
      <c r="F61" s="41">
        <f>SUMPRODUCT(((ISNUMBER('GRT Noroeste'!L6:L372))*('GRT Noroeste'!L6:L372=A61))*(('GRT Noroeste'!K6:K372="INSTALADO - OPERANDO")+('GRT Noroeste'!K6:K372="INSTALADO - SIN SEÑAL")&gt;0))</f>
        <v>0</v>
      </c>
      <c r="G61" s="41">
        <f>SUMPRODUCT(((ISNUMBER('GRT Norte'!L6:L296))*('GRT Norte'!L6:L296=A61))*(('GRT Norte'!K6:K296="INSTALADO - OPERANDO")+('GRT Norte'!K6:K296="INSTALADO - SIN SEÑAL")&gt;0))</f>
        <v>5</v>
      </c>
      <c r="H61" s="41">
        <f>SUMPRODUCT(((ISNUMBER('GRT Noreste'!L6:L262))*('GRT Noreste'!L6:L262=A61))*(('GRT Noreste'!K6:K262="INSTALADO - OPERANDO")+('GRT Noreste'!K6:K262="INSTALADO - SIN SEÑAL")&gt;0))</f>
        <v>16</v>
      </c>
      <c r="I61" s="41">
        <f>SUMPRODUCT(((ISNUMBER('GRT Baja California'!L6:L281))*('GRT Baja California'!L6:L281=A61))*(('GRT Baja California'!K6:K281="INSTALADO - OPERANDO")+('GRT Baja California'!K6:K281="INSTALADO - SIN SEÑAL")&gt;0))</f>
        <v>0</v>
      </c>
      <c r="J61" s="65">
        <f t="shared" si="3"/>
        <v>53</v>
      </c>
      <c r="K61" s="49">
        <f t="shared" si="5"/>
        <v>1289</v>
      </c>
      <c r="L61" s="52">
        <f t="shared" si="4"/>
        <v>0.30472813238770685</v>
      </c>
      <c r="M61" s="53"/>
    </row>
    <row r="62" spans="1:13" ht="15" customHeight="1">
      <c r="A62" s="55">
        <v>46154</v>
      </c>
      <c r="B62" s="44">
        <f>SUMPRODUCT(((ISNUMBER('GRT Central'!L6:L1135))*('GRT Central'!L6:L1135=A62))*(('GRT Central'!K6:K1135="INSTALADO - OPERANDO")+('GRT Central'!K6:K1135="INSTALADO - SIN SEÑAL")&gt;0))</f>
        <v>0</v>
      </c>
      <c r="C62" s="44">
        <f>SUMPRODUCT(((ISNUMBER('GRT Occidente'!L6:L784))*('GRT Occidente'!L6:L784=A62))*(('GRT Occidente'!K6:K784="INSTALADO - OPERANDO")+('GRT Occidente'!K6:K784="INSTALADO - SIN SEÑAL")&gt;0))</f>
        <v>0</v>
      </c>
      <c r="D62" s="44">
        <f>SUMPRODUCT(((ISNUMBER('GRT Oriente'!L6:L400))*('GRT Oriente'!L6:L400=A62))*(('GRT Oriente'!K6:K400="INSTALADO - OPERANDO")+('GRT Oriente'!K6:K400="INSTALADO - SIN SEÑAL")&gt;0))</f>
        <v>0</v>
      </c>
      <c r="E62" s="44">
        <f>SUMPRODUCT(((ISNUMBER('GRT Valle de México'!L6:L740))*('GRT Valle de México'!L6:L740=A62))*(('GRT Valle de México'!K6:K740="INSTALADO - OPERANDO")+('GRT Valle de México'!K6:K740="INSTALADO - SIN SEÑAL")&gt;0))</f>
        <v>0</v>
      </c>
      <c r="F62" s="44">
        <f>SUMPRODUCT(((ISNUMBER('GRT Noroeste'!L6:L372))*('GRT Noroeste'!L6:L372=A62))*(('GRT Noroeste'!K6:K372="INSTALADO - OPERANDO")+('GRT Noroeste'!K6:K372="INSTALADO - SIN SEÑAL")&gt;0))</f>
        <v>0</v>
      </c>
      <c r="G62" s="44">
        <f>SUMPRODUCT(((ISNUMBER('GRT Norte'!L6:L296))*('GRT Norte'!L6:L296=A62))*(('GRT Norte'!K6:K296="INSTALADO - OPERANDO")+('GRT Norte'!K6:K296="INSTALADO - SIN SEÑAL")&gt;0))</f>
        <v>0</v>
      </c>
      <c r="H62" s="44">
        <f>SUMPRODUCT(((ISNUMBER('GRT Noreste'!L6:L262))*('GRT Noreste'!L6:L262=A62))*(('GRT Noreste'!K6:K262="INSTALADO - OPERANDO")+('GRT Noreste'!K6:K262="INSTALADO - SIN SEÑAL")&gt;0))</f>
        <v>0</v>
      </c>
      <c r="I62" s="44">
        <f>SUMPRODUCT(((ISNUMBER('GRT Baja California'!L6:L281))*('GRT Baja California'!L6:L281=A62))*(('GRT Baja California'!K6:K281="INSTALADO - OPERANDO")+('GRT Baja California'!K6:K281="INSTALADO - SIN SEÑAL")&gt;0))</f>
        <v>0</v>
      </c>
      <c r="J62" s="64">
        <f t="shared" si="3"/>
        <v>0</v>
      </c>
      <c r="K62" s="54">
        <f t="shared" si="5"/>
        <v>1289</v>
      </c>
      <c r="L62" s="57">
        <f t="shared" si="4"/>
        <v>0.30472813238770685</v>
      </c>
      <c r="M62" s="58"/>
    </row>
    <row r="63" spans="1:13" ht="15" customHeight="1">
      <c r="A63" s="50">
        <v>46155</v>
      </c>
      <c r="B63" s="41">
        <f>SUMPRODUCT(((ISNUMBER('GRT Central'!L6:L1135))*('GRT Central'!L6:L1135=A63))*(('GRT Central'!K6:K1135="INSTALADO - OPERANDO")+('GRT Central'!K6:K1135="INSTALADO - SIN SEÑAL")&gt;0))</f>
        <v>0</v>
      </c>
      <c r="C63" s="41">
        <f>SUMPRODUCT(((ISNUMBER('GRT Occidente'!L6:L784))*('GRT Occidente'!L6:L784=A63))*(('GRT Occidente'!K6:K784="INSTALADO - OPERANDO")+('GRT Occidente'!K6:K784="INSTALADO - SIN SEÑAL")&gt;0))</f>
        <v>0</v>
      </c>
      <c r="D63" s="41">
        <f>SUMPRODUCT(((ISNUMBER('GRT Oriente'!L6:L400))*('GRT Oriente'!L6:L400=A63))*(('GRT Oriente'!K6:K400="INSTALADO - OPERANDO")+('GRT Oriente'!K6:K400="INSTALADO - SIN SEÑAL")&gt;0))</f>
        <v>0</v>
      </c>
      <c r="E63" s="41">
        <f>SUMPRODUCT(((ISNUMBER('GRT Valle de México'!L6:L740))*('GRT Valle de México'!L6:L740=A63))*(('GRT Valle de México'!K6:K740="INSTALADO - OPERANDO")+('GRT Valle de México'!K6:K740="INSTALADO - SIN SEÑAL")&gt;0))</f>
        <v>0</v>
      </c>
      <c r="F63" s="41">
        <f>SUMPRODUCT(((ISNUMBER('GRT Noroeste'!L6:L372))*('GRT Noroeste'!L6:L372=A63))*(('GRT Noroeste'!K6:K372="INSTALADO - OPERANDO")+('GRT Noroeste'!K6:K372="INSTALADO - SIN SEÑAL")&gt;0))</f>
        <v>0</v>
      </c>
      <c r="G63" s="41">
        <f>SUMPRODUCT(((ISNUMBER('GRT Norte'!L6:L296))*('GRT Norte'!L6:L296=A63))*(('GRT Norte'!K6:K296="INSTALADO - OPERANDO")+('GRT Norte'!K6:K296="INSTALADO - SIN SEÑAL")&gt;0))</f>
        <v>0</v>
      </c>
      <c r="H63" s="41">
        <f>SUMPRODUCT(((ISNUMBER('GRT Noreste'!L6:L262))*('GRT Noreste'!L6:L262=A63))*(('GRT Noreste'!K6:K262="INSTALADO - OPERANDO")+('GRT Noreste'!K6:K262="INSTALADO - SIN SEÑAL")&gt;0))</f>
        <v>0</v>
      </c>
      <c r="I63" s="41">
        <f>SUMPRODUCT(((ISNUMBER('GRT Baja California'!L6:L281))*('GRT Baja California'!L6:L281=A63))*(('GRT Baja California'!K6:K281="INSTALADO - OPERANDO")+('GRT Baja California'!K6:K281="INSTALADO - SIN SEÑAL")&gt;0))</f>
        <v>0</v>
      </c>
      <c r="J63" s="65">
        <f t="shared" si="3"/>
        <v>0</v>
      </c>
      <c r="K63" s="49">
        <f t="shared" si="5"/>
        <v>1289</v>
      </c>
      <c r="L63" s="52">
        <f t="shared" si="4"/>
        <v>0.30472813238770685</v>
      </c>
      <c r="M63" s="53"/>
    </row>
    <row r="64" spans="1:13" ht="15" customHeight="1">
      <c r="A64" s="55">
        <v>46156</v>
      </c>
      <c r="B64" s="44">
        <f>SUMPRODUCT(((ISNUMBER('GRT Central'!L6:L1135))*('GRT Central'!L6:L1135=A64))*(('GRT Central'!K6:K1135="INSTALADO - OPERANDO")+('GRT Central'!K6:K1135="INSTALADO - SIN SEÑAL")&gt;0))</f>
        <v>0</v>
      </c>
      <c r="C64" s="44">
        <f>SUMPRODUCT(((ISNUMBER('GRT Occidente'!L6:L784))*('GRT Occidente'!L6:L784=A64))*(('GRT Occidente'!K6:K784="INSTALADO - OPERANDO")+('GRT Occidente'!K6:K784="INSTALADO - SIN SEÑAL")&gt;0))</f>
        <v>0</v>
      </c>
      <c r="D64" s="44">
        <f>SUMPRODUCT(((ISNUMBER('GRT Oriente'!L6:L400))*('GRT Oriente'!L6:L400=A64))*(('GRT Oriente'!K6:K400="INSTALADO - OPERANDO")+('GRT Oriente'!K6:K400="INSTALADO - SIN SEÑAL")&gt;0))</f>
        <v>0</v>
      </c>
      <c r="E64" s="44">
        <f>SUMPRODUCT(((ISNUMBER('GRT Valle de México'!L6:L740))*('GRT Valle de México'!L6:L740=A64))*(('GRT Valle de México'!K6:K740="INSTALADO - OPERANDO")+('GRT Valle de México'!K6:K740="INSTALADO - SIN SEÑAL")&gt;0))</f>
        <v>0</v>
      </c>
      <c r="F64" s="44">
        <f>SUMPRODUCT(((ISNUMBER('GRT Noroeste'!L6:L372))*('GRT Noroeste'!L6:L372=A64))*(('GRT Noroeste'!K6:K372="INSTALADO - OPERANDO")+('GRT Noroeste'!K6:K372="INSTALADO - SIN SEÑAL")&gt;0))</f>
        <v>0</v>
      </c>
      <c r="G64" s="44">
        <f>SUMPRODUCT(((ISNUMBER('GRT Norte'!L6:L296))*('GRT Norte'!L6:L296=A64))*(('GRT Norte'!K6:K296="INSTALADO - OPERANDO")+('GRT Norte'!K6:K296="INSTALADO - SIN SEÑAL")&gt;0))</f>
        <v>0</v>
      </c>
      <c r="H64" s="44">
        <f>SUMPRODUCT(((ISNUMBER('GRT Noreste'!L6:L262))*('GRT Noreste'!L6:L262=A64))*(('GRT Noreste'!K6:K262="INSTALADO - OPERANDO")+('GRT Noreste'!K6:K262="INSTALADO - SIN SEÑAL")&gt;0))</f>
        <v>0</v>
      </c>
      <c r="I64" s="44">
        <f>SUMPRODUCT(((ISNUMBER('GRT Baja California'!L6:L281))*('GRT Baja California'!L6:L281=A64))*(('GRT Baja California'!K6:K281="INSTALADO - OPERANDO")+('GRT Baja California'!K6:K281="INSTALADO - SIN SEÑAL")&gt;0))</f>
        <v>0</v>
      </c>
      <c r="J64" s="64">
        <f t="shared" si="3"/>
        <v>0</v>
      </c>
      <c r="K64" s="54">
        <f t="shared" si="5"/>
        <v>1289</v>
      </c>
      <c r="L64" s="57">
        <f t="shared" si="4"/>
        <v>0.30472813238770685</v>
      </c>
      <c r="M64" s="58"/>
    </row>
    <row r="65" spans="1:13" ht="15" customHeight="1">
      <c r="A65" s="50">
        <v>46157</v>
      </c>
      <c r="B65" s="41">
        <f>SUMPRODUCT(((ISNUMBER('GRT Central'!L6:L1135))*('GRT Central'!L6:L1135=A65))*(('GRT Central'!K6:K1135="INSTALADO - OPERANDO")+('GRT Central'!K6:K1135="INSTALADO - SIN SEÑAL")&gt;0))</f>
        <v>0</v>
      </c>
      <c r="C65" s="41">
        <f>SUMPRODUCT(((ISNUMBER('GRT Occidente'!L6:L784))*('GRT Occidente'!L6:L784=A65))*(('GRT Occidente'!K6:K784="INSTALADO - OPERANDO")+('GRT Occidente'!K6:K784="INSTALADO - SIN SEÑAL")&gt;0))</f>
        <v>0</v>
      </c>
      <c r="D65" s="41">
        <f>SUMPRODUCT(((ISNUMBER('GRT Oriente'!L6:L400))*('GRT Oriente'!L6:L400=A65))*(('GRT Oriente'!K6:K400="INSTALADO - OPERANDO")+('GRT Oriente'!K6:K400="INSTALADO - SIN SEÑAL")&gt;0))</f>
        <v>0</v>
      </c>
      <c r="E65" s="41">
        <f>SUMPRODUCT(((ISNUMBER('GRT Valle de México'!L6:L740))*('GRT Valle de México'!L6:L740=A65))*(('GRT Valle de México'!K6:K740="INSTALADO - OPERANDO")+('GRT Valle de México'!K6:K740="INSTALADO - SIN SEÑAL")&gt;0))</f>
        <v>0</v>
      </c>
      <c r="F65" s="41">
        <f>SUMPRODUCT(((ISNUMBER('GRT Noroeste'!L6:L372))*('GRT Noroeste'!L6:L372=A65))*(('GRT Noroeste'!K6:K372="INSTALADO - OPERANDO")+('GRT Noroeste'!K6:K372="INSTALADO - SIN SEÑAL")&gt;0))</f>
        <v>0</v>
      </c>
      <c r="G65" s="41">
        <f>SUMPRODUCT(((ISNUMBER('GRT Norte'!L6:L296))*('GRT Norte'!L6:L296=A65))*(('GRT Norte'!K6:K296="INSTALADO - OPERANDO")+('GRT Norte'!K6:K296="INSTALADO - SIN SEÑAL")&gt;0))</f>
        <v>0</v>
      </c>
      <c r="H65" s="41">
        <f>SUMPRODUCT(((ISNUMBER('GRT Noreste'!L6:L262))*('GRT Noreste'!L6:L262=A65))*(('GRT Noreste'!K6:K262="INSTALADO - OPERANDO")+('GRT Noreste'!K6:K262="INSTALADO - SIN SEÑAL")&gt;0))</f>
        <v>0</v>
      </c>
      <c r="I65" s="41">
        <f>SUMPRODUCT(((ISNUMBER('GRT Baja California'!L6:L281))*('GRT Baja California'!L6:L281=A65))*(('GRT Baja California'!K6:K281="INSTALADO - OPERANDO")+('GRT Baja California'!K6:K281="INSTALADO - SIN SEÑAL")&gt;0))</f>
        <v>0</v>
      </c>
      <c r="J65" s="65">
        <f t="shared" si="3"/>
        <v>0</v>
      </c>
      <c r="K65" s="49">
        <f t="shared" si="5"/>
        <v>1289</v>
      </c>
      <c r="L65" s="52">
        <f t="shared" si="4"/>
        <v>0.30472813238770685</v>
      </c>
      <c r="M65" s="53"/>
    </row>
    <row r="66" spans="1:13" ht="15" customHeight="1">
      <c r="A66" s="55">
        <v>46158</v>
      </c>
      <c r="B66" s="44">
        <f>SUMPRODUCT(((ISNUMBER('GRT Central'!L6:L1135))*('GRT Central'!L6:L1135=A66))*(('GRT Central'!K6:K1135="INSTALADO - OPERANDO")+('GRT Central'!K6:K1135="INSTALADO - SIN SEÑAL")&gt;0))</f>
        <v>0</v>
      </c>
      <c r="C66" s="44">
        <f>SUMPRODUCT(((ISNUMBER('GRT Occidente'!L6:L784))*('GRT Occidente'!L6:L784=A66))*(('GRT Occidente'!K6:K784="INSTALADO - OPERANDO")+('GRT Occidente'!K6:K784="INSTALADO - SIN SEÑAL")&gt;0))</f>
        <v>0</v>
      </c>
      <c r="D66" s="44">
        <f>SUMPRODUCT(((ISNUMBER('GRT Oriente'!L6:L400))*('GRT Oriente'!L6:L400=A66))*(('GRT Oriente'!K6:K400="INSTALADO - OPERANDO")+('GRT Oriente'!K6:K400="INSTALADO - SIN SEÑAL")&gt;0))</f>
        <v>0</v>
      </c>
      <c r="E66" s="44">
        <f>SUMPRODUCT(((ISNUMBER('GRT Valle de México'!L6:L740))*('GRT Valle de México'!L6:L740=A66))*(('GRT Valle de México'!K6:K740="INSTALADO - OPERANDO")+('GRT Valle de México'!K6:K740="INSTALADO - SIN SEÑAL")&gt;0))</f>
        <v>0</v>
      </c>
      <c r="F66" s="44">
        <f>SUMPRODUCT(((ISNUMBER('GRT Noroeste'!L6:L372))*('GRT Noroeste'!L6:L372=A66))*(('GRT Noroeste'!K6:K372="INSTALADO - OPERANDO")+('GRT Noroeste'!K6:K372="INSTALADO - SIN SEÑAL")&gt;0))</f>
        <v>0</v>
      </c>
      <c r="G66" s="44">
        <f>SUMPRODUCT(((ISNUMBER('GRT Norte'!L6:L296))*('GRT Norte'!L6:L296=A66))*(('GRT Norte'!K6:K296="INSTALADO - OPERANDO")+('GRT Norte'!K6:K296="INSTALADO - SIN SEÑAL")&gt;0))</f>
        <v>0</v>
      </c>
      <c r="H66" s="44">
        <f>SUMPRODUCT(((ISNUMBER('GRT Noreste'!L6:L262))*('GRT Noreste'!L6:L262=A66))*(('GRT Noreste'!K6:K262="INSTALADO - OPERANDO")+('GRT Noreste'!K6:K262="INSTALADO - SIN SEÑAL")&gt;0))</f>
        <v>0</v>
      </c>
      <c r="I66" s="44">
        <f>SUMPRODUCT(((ISNUMBER('GRT Baja California'!L6:L281))*('GRT Baja California'!L6:L281=A66))*(('GRT Baja California'!K6:K281="INSTALADO - OPERANDO")+('GRT Baja California'!K6:K281="INSTALADO - SIN SEÑAL")&gt;0))</f>
        <v>0</v>
      </c>
      <c r="J66" s="64">
        <f t="shared" si="3"/>
        <v>0</v>
      </c>
      <c r="K66" s="54">
        <f t="shared" si="5"/>
        <v>1289</v>
      </c>
      <c r="L66" s="57">
        <f t="shared" si="4"/>
        <v>0.30472813238770685</v>
      </c>
      <c r="M66" s="58"/>
    </row>
    <row r="67" spans="1:13" ht="15" customHeight="1">
      <c r="A67" s="50">
        <v>46159</v>
      </c>
      <c r="B67" s="41">
        <f>SUMPRODUCT(((ISNUMBER('GRT Central'!L6:L1135))*('GRT Central'!L6:L1135=A67))*(('GRT Central'!K6:K1135="INSTALADO - OPERANDO")+('GRT Central'!K6:K1135="INSTALADO - SIN SEÑAL")&gt;0))</f>
        <v>0</v>
      </c>
      <c r="C67" s="41">
        <f>SUMPRODUCT(((ISNUMBER('GRT Occidente'!L6:L784))*('GRT Occidente'!L6:L784=A67))*(('GRT Occidente'!K6:K784="INSTALADO - OPERANDO")+('GRT Occidente'!K6:K784="INSTALADO - SIN SEÑAL")&gt;0))</f>
        <v>0</v>
      </c>
      <c r="D67" s="41">
        <f>SUMPRODUCT(((ISNUMBER('GRT Oriente'!L6:L400))*('GRT Oriente'!L6:L400=A67))*(('GRT Oriente'!K6:K400="INSTALADO - OPERANDO")+('GRT Oriente'!K6:K400="INSTALADO - SIN SEÑAL")&gt;0))</f>
        <v>0</v>
      </c>
      <c r="E67" s="41">
        <f>SUMPRODUCT(((ISNUMBER('GRT Valle de México'!L6:L740))*('GRT Valle de México'!L6:L740=A67))*(('GRT Valle de México'!K6:K740="INSTALADO - OPERANDO")+('GRT Valle de México'!K6:K740="INSTALADO - SIN SEÑAL")&gt;0))</f>
        <v>0</v>
      </c>
      <c r="F67" s="41">
        <f>SUMPRODUCT(((ISNUMBER('GRT Noroeste'!L6:L372))*('GRT Noroeste'!L6:L372=A67))*(('GRT Noroeste'!K6:K372="INSTALADO - OPERANDO")+('GRT Noroeste'!K6:K372="INSTALADO - SIN SEÑAL")&gt;0))</f>
        <v>0</v>
      </c>
      <c r="G67" s="41">
        <f>SUMPRODUCT(((ISNUMBER('GRT Norte'!L6:L296))*('GRT Norte'!L6:L296=A67))*(('GRT Norte'!K6:K296="INSTALADO - OPERANDO")+('GRT Norte'!K6:K296="INSTALADO - SIN SEÑAL")&gt;0))</f>
        <v>0</v>
      </c>
      <c r="H67" s="41">
        <f>SUMPRODUCT(((ISNUMBER('GRT Noreste'!L6:L262))*('GRT Noreste'!L6:L262=A67))*(('GRT Noreste'!K6:K262="INSTALADO - OPERANDO")+('GRT Noreste'!K6:K262="INSTALADO - SIN SEÑAL")&gt;0))</f>
        <v>0</v>
      </c>
      <c r="I67" s="41">
        <f>SUMPRODUCT(((ISNUMBER('GRT Baja California'!L6:L281))*('GRT Baja California'!L6:L281=A67))*(('GRT Baja California'!K6:K281="INSTALADO - OPERANDO")+('GRT Baja California'!K6:K281="INSTALADO - SIN SEÑAL")&gt;0))</f>
        <v>0</v>
      </c>
      <c r="J67" s="65">
        <f t="shared" si="3"/>
        <v>0</v>
      </c>
      <c r="K67" s="49">
        <f t="shared" si="5"/>
        <v>1289</v>
      </c>
      <c r="L67" s="52">
        <f t="shared" si="4"/>
        <v>0.30472813238770685</v>
      </c>
      <c r="M67" s="53"/>
    </row>
    <row r="68" spans="1:13" ht="15" customHeight="1">
      <c r="A68" s="55">
        <v>46160</v>
      </c>
      <c r="B68" s="44">
        <f>SUMPRODUCT(((ISNUMBER('GRT Central'!L6:L1135))*('GRT Central'!L6:L1135=A68))*(('GRT Central'!K6:K1135="INSTALADO - OPERANDO")+('GRT Central'!K6:K1135="INSTALADO - SIN SEÑAL")&gt;0))</f>
        <v>0</v>
      </c>
      <c r="C68" s="44">
        <f>SUMPRODUCT(((ISNUMBER('GRT Occidente'!L6:L784))*('GRT Occidente'!L6:L784=A68))*(('GRT Occidente'!K6:K784="INSTALADO - OPERANDO")+('GRT Occidente'!K6:K784="INSTALADO - SIN SEÑAL")&gt;0))</f>
        <v>0</v>
      </c>
      <c r="D68" s="44">
        <f>SUMPRODUCT(((ISNUMBER('GRT Oriente'!L6:L400))*('GRT Oriente'!L6:L400=A68))*(('GRT Oriente'!K6:K400="INSTALADO - OPERANDO")+('GRT Oriente'!K6:K400="INSTALADO - SIN SEÑAL")&gt;0))</f>
        <v>0</v>
      </c>
      <c r="E68" s="44">
        <f>SUMPRODUCT(((ISNUMBER('GRT Valle de México'!L6:L740))*('GRT Valle de México'!L6:L740=A68))*(('GRT Valle de México'!K6:K740="INSTALADO - OPERANDO")+('GRT Valle de México'!K6:K740="INSTALADO - SIN SEÑAL")&gt;0))</f>
        <v>0</v>
      </c>
      <c r="F68" s="44">
        <f>SUMPRODUCT(((ISNUMBER('GRT Noroeste'!L6:L372))*('GRT Noroeste'!L6:L372=A68))*(('GRT Noroeste'!K6:K372="INSTALADO - OPERANDO")+('GRT Noroeste'!K6:K372="INSTALADO - SIN SEÑAL")&gt;0))</f>
        <v>0</v>
      </c>
      <c r="G68" s="44">
        <f>SUMPRODUCT(((ISNUMBER('GRT Norte'!L6:L296))*('GRT Norte'!L6:L296=A68))*(('GRT Norte'!K6:K296="INSTALADO - OPERANDO")+('GRT Norte'!K6:K296="INSTALADO - SIN SEÑAL")&gt;0))</f>
        <v>0</v>
      </c>
      <c r="H68" s="44">
        <f>SUMPRODUCT(((ISNUMBER('GRT Noreste'!L6:L262))*('GRT Noreste'!L6:L262=A68))*(('GRT Noreste'!K6:K262="INSTALADO - OPERANDO")+('GRT Noreste'!K6:K262="INSTALADO - SIN SEÑAL")&gt;0))</f>
        <v>0</v>
      </c>
      <c r="I68" s="44">
        <f>SUMPRODUCT(((ISNUMBER('GRT Baja California'!L6:L281))*('GRT Baja California'!L6:L281=A68))*(('GRT Baja California'!K6:K281="INSTALADO - OPERANDO")+('GRT Baja California'!K6:K281="INSTALADO - SIN SEÑAL")&gt;0))</f>
        <v>0</v>
      </c>
      <c r="J68" s="64">
        <f t="shared" si="3"/>
        <v>0</v>
      </c>
      <c r="K68" s="54">
        <f t="shared" si="5"/>
        <v>1289</v>
      </c>
      <c r="L68" s="57">
        <f t="shared" si="4"/>
        <v>0.30472813238770685</v>
      </c>
      <c r="M68" s="58"/>
    </row>
    <row r="69" spans="1:13" ht="15" customHeight="1">
      <c r="A69" s="50">
        <v>46161</v>
      </c>
      <c r="B69" s="41">
        <f>SUMPRODUCT(((ISNUMBER('GRT Central'!L6:L1135))*('GRT Central'!L6:L1135=A69))*(('GRT Central'!K6:K1135="INSTALADO - OPERANDO")+('GRT Central'!K6:K1135="INSTALADO - SIN SEÑAL")&gt;0))</f>
        <v>0</v>
      </c>
      <c r="C69" s="41">
        <f>SUMPRODUCT(((ISNUMBER('GRT Occidente'!L6:L784))*('GRT Occidente'!L6:L784=A69))*(('GRT Occidente'!K6:K784="INSTALADO - OPERANDO")+('GRT Occidente'!K6:K784="INSTALADO - SIN SEÑAL")&gt;0))</f>
        <v>0</v>
      </c>
      <c r="D69" s="41">
        <f>SUMPRODUCT(((ISNUMBER('GRT Oriente'!L6:L400))*('GRT Oriente'!L6:L400=A69))*(('GRT Oriente'!K6:K400="INSTALADO - OPERANDO")+('GRT Oriente'!K6:K400="INSTALADO - SIN SEÑAL")&gt;0))</f>
        <v>0</v>
      </c>
      <c r="E69" s="41">
        <f>SUMPRODUCT(((ISNUMBER('GRT Valle de México'!L6:L740))*('GRT Valle de México'!L6:L740=A69))*(('GRT Valle de México'!K6:K740="INSTALADO - OPERANDO")+('GRT Valle de México'!K6:K740="INSTALADO - SIN SEÑAL")&gt;0))</f>
        <v>0</v>
      </c>
      <c r="F69" s="41">
        <f>SUMPRODUCT(((ISNUMBER('GRT Noroeste'!L6:L372))*('GRT Noroeste'!L6:L372=A69))*(('GRT Noroeste'!K6:K372="INSTALADO - OPERANDO")+('GRT Noroeste'!K6:K372="INSTALADO - SIN SEÑAL")&gt;0))</f>
        <v>0</v>
      </c>
      <c r="G69" s="41">
        <f>SUMPRODUCT(((ISNUMBER('GRT Norte'!L6:L296))*('GRT Norte'!L6:L296=A69))*(('GRT Norte'!K6:K296="INSTALADO - OPERANDO")+('GRT Norte'!K6:K296="INSTALADO - SIN SEÑAL")&gt;0))</f>
        <v>0</v>
      </c>
      <c r="H69" s="41">
        <f>SUMPRODUCT(((ISNUMBER('GRT Noreste'!L6:L262))*('GRT Noreste'!L6:L262=A69))*(('GRT Noreste'!K6:K262="INSTALADO - OPERANDO")+('GRT Noreste'!K6:K262="INSTALADO - SIN SEÑAL")&gt;0))</f>
        <v>0</v>
      </c>
      <c r="I69" s="41">
        <f>SUMPRODUCT(((ISNUMBER('GRT Baja California'!L6:L281))*('GRT Baja California'!L6:L281=A69))*(('GRT Baja California'!K6:K281="INSTALADO - OPERANDO")+('GRT Baja California'!K6:K281="INSTALADO - SIN SEÑAL")&gt;0))</f>
        <v>0</v>
      </c>
      <c r="J69" s="65">
        <f t="shared" si="3"/>
        <v>0</v>
      </c>
      <c r="K69" s="49">
        <f t="shared" si="5"/>
        <v>1289</v>
      </c>
      <c r="L69" s="52">
        <f t="shared" si="4"/>
        <v>0.30472813238770685</v>
      </c>
      <c r="M69" s="53"/>
    </row>
    <row r="70" spans="1:13" ht="15" customHeight="1">
      <c r="A70" s="55">
        <v>46162</v>
      </c>
      <c r="B70" s="44">
        <f>SUMPRODUCT(((ISNUMBER('GRT Central'!L6:L1135))*('GRT Central'!L6:L1135=A70))*(('GRT Central'!K6:K1135="INSTALADO - OPERANDO")+('GRT Central'!K6:K1135="INSTALADO - SIN SEÑAL")&gt;0))</f>
        <v>0</v>
      </c>
      <c r="C70" s="44">
        <f>SUMPRODUCT(((ISNUMBER('GRT Occidente'!L6:L784))*('GRT Occidente'!L6:L784=A70))*(('GRT Occidente'!K6:K784="INSTALADO - OPERANDO")+('GRT Occidente'!K6:K784="INSTALADO - SIN SEÑAL")&gt;0))</f>
        <v>0</v>
      </c>
      <c r="D70" s="44">
        <f>SUMPRODUCT(((ISNUMBER('GRT Oriente'!L6:L400))*('GRT Oriente'!L6:L400=A70))*(('GRT Oriente'!K6:K400="INSTALADO - OPERANDO")+('GRT Oriente'!K6:K400="INSTALADO - SIN SEÑAL")&gt;0))</f>
        <v>0</v>
      </c>
      <c r="E70" s="44">
        <f>SUMPRODUCT(((ISNUMBER('GRT Valle de México'!L6:L740))*('GRT Valle de México'!L6:L740=A70))*(('GRT Valle de México'!K6:K740="INSTALADO - OPERANDO")+('GRT Valle de México'!K6:K740="INSTALADO - SIN SEÑAL")&gt;0))</f>
        <v>0</v>
      </c>
      <c r="F70" s="44">
        <f>SUMPRODUCT(((ISNUMBER('GRT Noroeste'!L6:L372))*('GRT Noroeste'!L6:L372=A70))*(('GRT Noroeste'!K6:K372="INSTALADO - OPERANDO")+('GRT Noroeste'!K6:K372="INSTALADO - SIN SEÑAL")&gt;0))</f>
        <v>0</v>
      </c>
      <c r="G70" s="44">
        <f>SUMPRODUCT(((ISNUMBER('GRT Norte'!L6:L296))*('GRT Norte'!L6:L296=A70))*(('GRT Norte'!K6:K296="INSTALADO - OPERANDO")+('GRT Norte'!K6:K296="INSTALADO - SIN SEÑAL")&gt;0))</f>
        <v>0</v>
      </c>
      <c r="H70" s="44">
        <f>SUMPRODUCT(((ISNUMBER('GRT Noreste'!L6:L262))*('GRT Noreste'!L6:L262=A70))*(('GRT Noreste'!K6:K262="INSTALADO - OPERANDO")+('GRT Noreste'!K6:K262="INSTALADO - SIN SEÑAL")&gt;0))</f>
        <v>0</v>
      </c>
      <c r="I70" s="44">
        <f>SUMPRODUCT(((ISNUMBER('GRT Baja California'!L6:L281))*('GRT Baja California'!L6:L281=A70))*(('GRT Baja California'!K6:K281="INSTALADO - OPERANDO")+('GRT Baja California'!K6:K281="INSTALADO - SIN SEÑAL")&gt;0))</f>
        <v>0</v>
      </c>
      <c r="J70" s="64">
        <f t="shared" ref="J70:J101" si="6">SUM(B70:I70)</f>
        <v>0</v>
      </c>
      <c r="K70" s="54">
        <f t="shared" si="5"/>
        <v>1289</v>
      </c>
      <c r="L70" s="57">
        <f t="shared" ref="L70:L101" si="7">IF(K70=0,"",K70/4230)</f>
        <v>0.30472813238770685</v>
      </c>
      <c r="M70" s="58"/>
    </row>
    <row r="71" spans="1:13" ht="15" customHeight="1">
      <c r="A71" s="50">
        <v>46163</v>
      </c>
      <c r="B71" s="41">
        <f>SUMPRODUCT(((ISNUMBER('GRT Central'!L6:L1135))*('GRT Central'!L6:L1135=A71))*(('GRT Central'!K6:K1135="INSTALADO - OPERANDO")+('GRT Central'!K6:K1135="INSTALADO - SIN SEÑAL")&gt;0))</f>
        <v>0</v>
      </c>
      <c r="C71" s="41">
        <f>SUMPRODUCT(((ISNUMBER('GRT Occidente'!L6:L784))*('GRT Occidente'!L6:L784=A71))*(('GRT Occidente'!K6:K784="INSTALADO - OPERANDO")+('GRT Occidente'!K6:K784="INSTALADO - SIN SEÑAL")&gt;0))</f>
        <v>0</v>
      </c>
      <c r="D71" s="41">
        <f>SUMPRODUCT(((ISNUMBER('GRT Oriente'!L6:L400))*('GRT Oriente'!L6:L400=A71))*(('GRT Oriente'!K6:K400="INSTALADO - OPERANDO")+('GRT Oriente'!K6:K400="INSTALADO - SIN SEÑAL")&gt;0))</f>
        <v>0</v>
      </c>
      <c r="E71" s="41">
        <f>SUMPRODUCT(((ISNUMBER('GRT Valle de México'!L6:L740))*('GRT Valle de México'!L6:L740=A71))*(('GRT Valle de México'!K6:K740="INSTALADO - OPERANDO")+('GRT Valle de México'!K6:K740="INSTALADO - SIN SEÑAL")&gt;0))</f>
        <v>0</v>
      </c>
      <c r="F71" s="41">
        <f>SUMPRODUCT(((ISNUMBER('GRT Noroeste'!L6:L372))*('GRT Noroeste'!L6:L372=A71))*(('GRT Noroeste'!K6:K372="INSTALADO - OPERANDO")+('GRT Noroeste'!K6:K372="INSTALADO - SIN SEÑAL")&gt;0))</f>
        <v>0</v>
      </c>
      <c r="G71" s="41">
        <f>SUMPRODUCT(((ISNUMBER('GRT Norte'!L6:L296))*('GRT Norte'!L6:L296=A71))*(('GRT Norte'!K6:K296="INSTALADO - OPERANDO")+('GRT Norte'!K6:K296="INSTALADO - SIN SEÑAL")&gt;0))</f>
        <v>0</v>
      </c>
      <c r="H71" s="41">
        <f>SUMPRODUCT(((ISNUMBER('GRT Noreste'!L6:L262))*('GRT Noreste'!L6:L262=A71))*(('GRT Noreste'!K6:K262="INSTALADO - OPERANDO")+('GRT Noreste'!K6:K262="INSTALADO - SIN SEÑAL")&gt;0))</f>
        <v>0</v>
      </c>
      <c r="I71" s="41">
        <f>SUMPRODUCT(((ISNUMBER('GRT Baja California'!L6:L281))*('GRT Baja California'!L6:L281=A71))*(('GRT Baja California'!K6:K281="INSTALADO - OPERANDO")+('GRT Baja California'!K6:K281="INSTALADO - SIN SEÑAL")&gt;0))</f>
        <v>0</v>
      </c>
      <c r="J71" s="65">
        <f t="shared" si="6"/>
        <v>0</v>
      </c>
      <c r="K71" s="49">
        <f t="shared" ref="K71:K102" si="8">K70+J71</f>
        <v>1289</v>
      </c>
      <c r="L71" s="52">
        <f t="shared" si="7"/>
        <v>0.30472813238770685</v>
      </c>
      <c r="M71" s="53"/>
    </row>
    <row r="72" spans="1:13" ht="15" customHeight="1">
      <c r="A72" s="55">
        <v>46164</v>
      </c>
      <c r="B72" s="44">
        <f>SUMPRODUCT(((ISNUMBER('GRT Central'!L6:L1135))*('GRT Central'!L6:L1135=A72))*(('GRT Central'!K6:K1135="INSTALADO - OPERANDO")+('GRT Central'!K6:K1135="INSTALADO - SIN SEÑAL")&gt;0))</f>
        <v>0</v>
      </c>
      <c r="C72" s="44">
        <f>SUMPRODUCT(((ISNUMBER('GRT Occidente'!L6:L784))*('GRT Occidente'!L6:L784=A72))*(('GRT Occidente'!K6:K784="INSTALADO - OPERANDO")+('GRT Occidente'!K6:K784="INSTALADO - SIN SEÑAL")&gt;0))</f>
        <v>0</v>
      </c>
      <c r="D72" s="44">
        <f>SUMPRODUCT(((ISNUMBER('GRT Oriente'!L6:L400))*('GRT Oriente'!L6:L400=A72))*(('GRT Oriente'!K6:K400="INSTALADO - OPERANDO")+('GRT Oriente'!K6:K400="INSTALADO - SIN SEÑAL")&gt;0))</f>
        <v>0</v>
      </c>
      <c r="E72" s="44">
        <f>SUMPRODUCT(((ISNUMBER('GRT Valle de México'!L6:L740))*('GRT Valle de México'!L6:L740=A72))*(('GRT Valle de México'!K6:K740="INSTALADO - OPERANDO")+('GRT Valle de México'!K6:K740="INSTALADO - SIN SEÑAL")&gt;0))</f>
        <v>0</v>
      </c>
      <c r="F72" s="44">
        <f>SUMPRODUCT(((ISNUMBER('GRT Noroeste'!L6:L372))*('GRT Noroeste'!L6:L372=A72))*(('GRT Noroeste'!K6:K372="INSTALADO - OPERANDO")+('GRT Noroeste'!K6:K372="INSTALADO - SIN SEÑAL")&gt;0))</f>
        <v>0</v>
      </c>
      <c r="G72" s="44">
        <f>SUMPRODUCT(((ISNUMBER('GRT Norte'!L6:L296))*('GRT Norte'!L6:L296=A72))*(('GRT Norte'!K6:K296="INSTALADO - OPERANDO")+('GRT Norte'!K6:K296="INSTALADO - SIN SEÑAL")&gt;0))</f>
        <v>0</v>
      </c>
      <c r="H72" s="44">
        <f>SUMPRODUCT(((ISNUMBER('GRT Noreste'!L6:L262))*('GRT Noreste'!L6:L262=A72))*(('GRT Noreste'!K6:K262="INSTALADO - OPERANDO")+('GRT Noreste'!K6:K262="INSTALADO - SIN SEÑAL")&gt;0))</f>
        <v>0</v>
      </c>
      <c r="I72" s="44">
        <f>SUMPRODUCT(((ISNUMBER('GRT Baja California'!L6:L281))*('GRT Baja California'!L6:L281=A72))*(('GRT Baja California'!K6:K281="INSTALADO - OPERANDO")+('GRT Baja California'!K6:K281="INSTALADO - SIN SEÑAL")&gt;0))</f>
        <v>0</v>
      </c>
      <c r="J72" s="64">
        <f t="shared" si="6"/>
        <v>0</v>
      </c>
      <c r="K72" s="54">
        <f t="shared" si="8"/>
        <v>1289</v>
      </c>
      <c r="L72" s="57">
        <f t="shared" si="7"/>
        <v>0.30472813238770685</v>
      </c>
      <c r="M72" s="58"/>
    </row>
    <row r="73" spans="1:13" ht="15" customHeight="1">
      <c r="A73" s="50">
        <v>46165</v>
      </c>
      <c r="B73" s="41">
        <f>SUMPRODUCT(((ISNUMBER('GRT Central'!L6:L1135))*('GRT Central'!L6:L1135=A73))*(('GRT Central'!K6:K1135="INSTALADO - OPERANDO")+('GRT Central'!K6:K1135="INSTALADO - SIN SEÑAL")&gt;0))</f>
        <v>0</v>
      </c>
      <c r="C73" s="41">
        <f>SUMPRODUCT(((ISNUMBER('GRT Occidente'!L6:L784))*('GRT Occidente'!L6:L784=A73))*(('GRT Occidente'!K6:K784="INSTALADO - OPERANDO")+('GRT Occidente'!K6:K784="INSTALADO - SIN SEÑAL")&gt;0))</f>
        <v>0</v>
      </c>
      <c r="D73" s="41">
        <f>SUMPRODUCT(((ISNUMBER('GRT Oriente'!L6:L400))*('GRT Oriente'!L6:L400=A73))*(('GRT Oriente'!K6:K400="INSTALADO - OPERANDO")+('GRT Oriente'!K6:K400="INSTALADO - SIN SEÑAL")&gt;0))</f>
        <v>0</v>
      </c>
      <c r="E73" s="41">
        <f>SUMPRODUCT(((ISNUMBER('GRT Valle de México'!L6:L740))*('GRT Valle de México'!L6:L740=A73))*(('GRT Valle de México'!K6:K740="INSTALADO - OPERANDO")+('GRT Valle de México'!K6:K740="INSTALADO - SIN SEÑAL")&gt;0))</f>
        <v>0</v>
      </c>
      <c r="F73" s="41">
        <f>SUMPRODUCT(((ISNUMBER('GRT Noroeste'!L6:L372))*('GRT Noroeste'!L6:L372=A73))*(('GRT Noroeste'!K6:K372="INSTALADO - OPERANDO")+('GRT Noroeste'!K6:K372="INSTALADO - SIN SEÑAL")&gt;0))</f>
        <v>0</v>
      </c>
      <c r="G73" s="41">
        <f>SUMPRODUCT(((ISNUMBER('GRT Norte'!L6:L296))*('GRT Norte'!L6:L296=A73))*(('GRT Norte'!K6:K296="INSTALADO - OPERANDO")+('GRT Norte'!K6:K296="INSTALADO - SIN SEÑAL")&gt;0))</f>
        <v>0</v>
      </c>
      <c r="H73" s="41">
        <f>SUMPRODUCT(((ISNUMBER('GRT Noreste'!L6:L262))*('GRT Noreste'!L6:L262=A73))*(('GRT Noreste'!K6:K262="INSTALADO - OPERANDO")+('GRT Noreste'!K6:K262="INSTALADO - SIN SEÑAL")&gt;0))</f>
        <v>0</v>
      </c>
      <c r="I73" s="41">
        <f>SUMPRODUCT(((ISNUMBER('GRT Baja California'!L6:L281))*('GRT Baja California'!L6:L281=A73))*(('GRT Baja California'!K6:K281="INSTALADO - OPERANDO")+('GRT Baja California'!K6:K281="INSTALADO - SIN SEÑAL")&gt;0))</f>
        <v>0</v>
      </c>
      <c r="J73" s="65">
        <f t="shared" si="6"/>
        <v>0</v>
      </c>
      <c r="K73" s="49">
        <f t="shared" si="8"/>
        <v>1289</v>
      </c>
      <c r="L73" s="52">
        <f t="shared" si="7"/>
        <v>0.30472813238770685</v>
      </c>
      <c r="M73" s="53"/>
    </row>
    <row r="74" spans="1:13" ht="15" customHeight="1">
      <c r="A74" s="55">
        <v>46166</v>
      </c>
      <c r="B74" s="44">
        <f>SUMPRODUCT(((ISNUMBER('GRT Central'!L6:L1135))*('GRT Central'!L6:L1135=A74))*(('GRT Central'!K6:K1135="INSTALADO - OPERANDO")+('GRT Central'!K6:K1135="INSTALADO - SIN SEÑAL")&gt;0))</f>
        <v>0</v>
      </c>
      <c r="C74" s="44">
        <f>SUMPRODUCT(((ISNUMBER('GRT Occidente'!L6:L784))*('GRT Occidente'!L6:L784=A74))*(('GRT Occidente'!K6:K784="INSTALADO - OPERANDO")+('GRT Occidente'!K6:K784="INSTALADO - SIN SEÑAL")&gt;0))</f>
        <v>0</v>
      </c>
      <c r="D74" s="44">
        <f>SUMPRODUCT(((ISNUMBER('GRT Oriente'!L6:L400))*('GRT Oriente'!L6:L400=A74))*(('GRT Oriente'!K6:K400="INSTALADO - OPERANDO")+('GRT Oriente'!K6:K400="INSTALADO - SIN SEÑAL")&gt;0))</f>
        <v>0</v>
      </c>
      <c r="E74" s="44">
        <f>SUMPRODUCT(((ISNUMBER('GRT Valle de México'!L6:L740))*('GRT Valle de México'!L6:L740=A74))*(('GRT Valle de México'!K6:K740="INSTALADO - OPERANDO")+('GRT Valle de México'!K6:K740="INSTALADO - SIN SEÑAL")&gt;0))</f>
        <v>0</v>
      </c>
      <c r="F74" s="44">
        <f>SUMPRODUCT(((ISNUMBER('GRT Noroeste'!L6:L372))*('GRT Noroeste'!L6:L372=A74))*(('GRT Noroeste'!K6:K372="INSTALADO - OPERANDO")+('GRT Noroeste'!K6:K372="INSTALADO - SIN SEÑAL")&gt;0))</f>
        <v>0</v>
      </c>
      <c r="G74" s="44">
        <f>SUMPRODUCT(((ISNUMBER('GRT Norte'!L6:L296))*('GRT Norte'!L6:L296=A74))*(('GRT Norte'!K6:K296="INSTALADO - OPERANDO")+('GRT Norte'!K6:K296="INSTALADO - SIN SEÑAL")&gt;0))</f>
        <v>0</v>
      </c>
      <c r="H74" s="44">
        <f>SUMPRODUCT(((ISNUMBER('GRT Noreste'!L6:L262))*('GRT Noreste'!L6:L262=A74))*(('GRT Noreste'!K6:K262="INSTALADO - OPERANDO")+('GRT Noreste'!K6:K262="INSTALADO - SIN SEÑAL")&gt;0))</f>
        <v>0</v>
      </c>
      <c r="I74" s="44">
        <f>SUMPRODUCT(((ISNUMBER('GRT Baja California'!L6:L281))*('GRT Baja California'!L6:L281=A74))*(('GRT Baja California'!K6:K281="INSTALADO - OPERANDO")+('GRT Baja California'!K6:K281="INSTALADO - SIN SEÑAL")&gt;0))</f>
        <v>0</v>
      </c>
      <c r="J74" s="64">
        <f t="shared" si="6"/>
        <v>0</v>
      </c>
      <c r="K74" s="54">
        <f t="shared" si="8"/>
        <v>1289</v>
      </c>
      <c r="L74" s="57">
        <f t="shared" si="7"/>
        <v>0.30472813238770685</v>
      </c>
      <c r="M74" s="58"/>
    </row>
    <row r="75" spans="1:13" ht="15" customHeight="1">
      <c r="A75" s="50">
        <v>46167</v>
      </c>
      <c r="B75" s="41">
        <f>SUMPRODUCT(((ISNUMBER('GRT Central'!L6:L1135))*('GRT Central'!L6:L1135=A75))*(('GRT Central'!K6:K1135="INSTALADO - OPERANDO")+('GRT Central'!K6:K1135="INSTALADO - SIN SEÑAL")&gt;0))</f>
        <v>0</v>
      </c>
      <c r="C75" s="41">
        <f>SUMPRODUCT(((ISNUMBER('GRT Occidente'!L6:L784))*('GRT Occidente'!L6:L784=A75))*(('GRT Occidente'!K6:K784="INSTALADO - OPERANDO")+('GRT Occidente'!K6:K784="INSTALADO - SIN SEÑAL")&gt;0))</f>
        <v>0</v>
      </c>
      <c r="D75" s="41">
        <f>SUMPRODUCT(((ISNUMBER('GRT Oriente'!L6:L400))*('GRT Oriente'!L6:L400=A75))*(('GRT Oriente'!K6:K400="INSTALADO - OPERANDO")+('GRT Oriente'!K6:K400="INSTALADO - SIN SEÑAL")&gt;0))</f>
        <v>0</v>
      </c>
      <c r="E75" s="41">
        <f>SUMPRODUCT(((ISNUMBER('GRT Valle de México'!L6:L740))*('GRT Valle de México'!L6:L740=A75))*(('GRT Valle de México'!K6:K740="INSTALADO - OPERANDO")+('GRT Valle de México'!K6:K740="INSTALADO - SIN SEÑAL")&gt;0))</f>
        <v>0</v>
      </c>
      <c r="F75" s="41">
        <f>SUMPRODUCT(((ISNUMBER('GRT Noroeste'!L6:L372))*('GRT Noroeste'!L6:L372=A75))*(('GRT Noroeste'!K6:K372="INSTALADO - OPERANDO")+('GRT Noroeste'!K6:K372="INSTALADO - SIN SEÑAL")&gt;0))</f>
        <v>0</v>
      </c>
      <c r="G75" s="41">
        <f>SUMPRODUCT(((ISNUMBER('GRT Norte'!L6:L296))*('GRT Norte'!L6:L296=A75))*(('GRT Norte'!K6:K296="INSTALADO - OPERANDO")+('GRT Norte'!K6:K296="INSTALADO - SIN SEÑAL")&gt;0))</f>
        <v>0</v>
      </c>
      <c r="H75" s="41">
        <f>SUMPRODUCT(((ISNUMBER('GRT Noreste'!L6:L262))*('GRT Noreste'!L6:L262=A75))*(('GRT Noreste'!K6:K262="INSTALADO - OPERANDO")+('GRT Noreste'!K6:K262="INSTALADO - SIN SEÑAL")&gt;0))</f>
        <v>0</v>
      </c>
      <c r="I75" s="41">
        <f>SUMPRODUCT(((ISNUMBER('GRT Baja California'!L6:L281))*('GRT Baja California'!L6:L281=A75))*(('GRT Baja California'!K6:K281="INSTALADO - OPERANDO")+('GRT Baja California'!K6:K281="INSTALADO - SIN SEÑAL")&gt;0))</f>
        <v>0</v>
      </c>
      <c r="J75" s="65">
        <f t="shared" si="6"/>
        <v>0</v>
      </c>
      <c r="K75" s="49">
        <f t="shared" si="8"/>
        <v>1289</v>
      </c>
      <c r="L75" s="52">
        <f t="shared" si="7"/>
        <v>0.30472813238770685</v>
      </c>
      <c r="M75" s="53"/>
    </row>
    <row r="76" spans="1:13" ht="15" customHeight="1">
      <c r="A76" s="55">
        <v>46168</v>
      </c>
      <c r="B76" s="44">
        <f>SUMPRODUCT(((ISNUMBER('GRT Central'!L6:L1135))*('GRT Central'!L6:L1135=A76))*(('GRT Central'!K6:K1135="INSTALADO - OPERANDO")+('GRT Central'!K6:K1135="INSTALADO - SIN SEÑAL")&gt;0))</f>
        <v>0</v>
      </c>
      <c r="C76" s="44">
        <f>SUMPRODUCT(((ISNUMBER('GRT Occidente'!L6:L784))*('GRT Occidente'!L6:L784=A76))*(('GRT Occidente'!K6:K784="INSTALADO - OPERANDO")+('GRT Occidente'!K6:K784="INSTALADO - SIN SEÑAL")&gt;0))</f>
        <v>0</v>
      </c>
      <c r="D76" s="44">
        <f>SUMPRODUCT(((ISNUMBER('GRT Oriente'!L6:L400))*('GRT Oriente'!L6:L400=A76))*(('GRT Oriente'!K6:K400="INSTALADO - OPERANDO")+('GRT Oriente'!K6:K400="INSTALADO - SIN SEÑAL")&gt;0))</f>
        <v>0</v>
      </c>
      <c r="E76" s="44">
        <f>SUMPRODUCT(((ISNUMBER('GRT Valle de México'!L6:L740))*('GRT Valle de México'!L6:L740=A76))*(('GRT Valle de México'!K6:K740="INSTALADO - OPERANDO")+('GRT Valle de México'!K6:K740="INSTALADO - SIN SEÑAL")&gt;0))</f>
        <v>0</v>
      </c>
      <c r="F76" s="44">
        <f>SUMPRODUCT(((ISNUMBER('GRT Noroeste'!L6:L372))*('GRT Noroeste'!L6:L372=A76))*(('GRT Noroeste'!K6:K372="INSTALADO - OPERANDO")+('GRT Noroeste'!K6:K372="INSTALADO - SIN SEÑAL")&gt;0))</f>
        <v>0</v>
      </c>
      <c r="G76" s="44">
        <f>SUMPRODUCT(((ISNUMBER('GRT Norte'!L6:L296))*('GRT Norte'!L6:L296=A76))*(('GRT Norte'!K6:K296="INSTALADO - OPERANDO")+('GRT Norte'!K6:K296="INSTALADO - SIN SEÑAL")&gt;0))</f>
        <v>0</v>
      </c>
      <c r="H76" s="44">
        <f>SUMPRODUCT(((ISNUMBER('GRT Noreste'!L6:L262))*('GRT Noreste'!L6:L262=A76))*(('GRT Noreste'!K6:K262="INSTALADO - OPERANDO")+('GRT Noreste'!K6:K262="INSTALADO - SIN SEÑAL")&gt;0))</f>
        <v>0</v>
      </c>
      <c r="I76" s="44">
        <f>SUMPRODUCT(((ISNUMBER('GRT Baja California'!L6:L281))*('GRT Baja California'!L6:L281=A76))*(('GRT Baja California'!K6:K281="INSTALADO - OPERANDO")+('GRT Baja California'!K6:K281="INSTALADO - SIN SEÑAL")&gt;0))</f>
        <v>0</v>
      </c>
      <c r="J76" s="64">
        <f t="shared" si="6"/>
        <v>0</v>
      </c>
      <c r="K76" s="54">
        <f t="shared" si="8"/>
        <v>1289</v>
      </c>
      <c r="L76" s="57">
        <f t="shared" si="7"/>
        <v>0.30472813238770685</v>
      </c>
      <c r="M76" s="58"/>
    </row>
    <row r="77" spans="1:13" ht="15" customHeight="1">
      <c r="A77" s="50">
        <v>46169</v>
      </c>
      <c r="B77" s="41">
        <f>SUMPRODUCT(((ISNUMBER('GRT Central'!L6:L1135))*('GRT Central'!L6:L1135=A77))*(('GRT Central'!K6:K1135="INSTALADO - OPERANDO")+('GRT Central'!K6:K1135="INSTALADO - SIN SEÑAL")&gt;0))</f>
        <v>0</v>
      </c>
      <c r="C77" s="41">
        <f>SUMPRODUCT(((ISNUMBER('GRT Occidente'!L6:L784))*('GRT Occidente'!L6:L784=A77))*(('GRT Occidente'!K6:K784="INSTALADO - OPERANDO")+('GRT Occidente'!K6:K784="INSTALADO - SIN SEÑAL")&gt;0))</f>
        <v>0</v>
      </c>
      <c r="D77" s="41">
        <f>SUMPRODUCT(((ISNUMBER('GRT Oriente'!L6:L400))*('GRT Oriente'!L6:L400=A77))*(('GRT Oriente'!K6:K400="INSTALADO - OPERANDO")+('GRT Oriente'!K6:K400="INSTALADO - SIN SEÑAL")&gt;0))</f>
        <v>0</v>
      </c>
      <c r="E77" s="41">
        <f>SUMPRODUCT(((ISNUMBER('GRT Valle de México'!L6:L740))*('GRT Valle de México'!L6:L740=A77))*(('GRT Valle de México'!K6:K740="INSTALADO - OPERANDO")+('GRT Valle de México'!K6:K740="INSTALADO - SIN SEÑAL")&gt;0))</f>
        <v>0</v>
      </c>
      <c r="F77" s="41">
        <f>SUMPRODUCT(((ISNUMBER('GRT Noroeste'!L6:L372))*('GRT Noroeste'!L6:L372=A77))*(('GRT Noroeste'!K6:K372="INSTALADO - OPERANDO")+('GRT Noroeste'!K6:K372="INSTALADO - SIN SEÑAL")&gt;0))</f>
        <v>0</v>
      </c>
      <c r="G77" s="41">
        <f>SUMPRODUCT(((ISNUMBER('GRT Norte'!L6:L296))*('GRT Norte'!L6:L296=A77))*(('GRT Norte'!K6:K296="INSTALADO - OPERANDO")+('GRT Norte'!K6:K296="INSTALADO - SIN SEÑAL")&gt;0))</f>
        <v>0</v>
      </c>
      <c r="H77" s="41">
        <f>SUMPRODUCT(((ISNUMBER('GRT Noreste'!L6:L262))*('GRT Noreste'!L6:L262=A77))*(('GRT Noreste'!K6:K262="INSTALADO - OPERANDO")+('GRT Noreste'!K6:K262="INSTALADO - SIN SEÑAL")&gt;0))</f>
        <v>0</v>
      </c>
      <c r="I77" s="41">
        <f>SUMPRODUCT(((ISNUMBER('GRT Baja California'!L6:L281))*('GRT Baja California'!L6:L281=A77))*(('GRT Baja California'!K6:K281="INSTALADO - OPERANDO")+('GRT Baja California'!K6:K281="INSTALADO - SIN SEÑAL")&gt;0))</f>
        <v>0</v>
      </c>
      <c r="J77" s="65">
        <f t="shared" si="6"/>
        <v>0</v>
      </c>
      <c r="K77" s="49">
        <f t="shared" si="8"/>
        <v>1289</v>
      </c>
      <c r="L77" s="52">
        <f t="shared" si="7"/>
        <v>0.30472813238770685</v>
      </c>
      <c r="M77" s="53"/>
    </row>
    <row r="78" spans="1:13" ht="15" customHeight="1">
      <c r="A78" s="55">
        <v>46170</v>
      </c>
      <c r="B78" s="44">
        <f>SUMPRODUCT(((ISNUMBER('GRT Central'!L6:L1135))*('GRT Central'!L6:L1135=A78))*(('GRT Central'!K6:K1135="INSTALADO - OPERANDO")+('GRT Central'!K6:K1135="INSTALADO - SIN SEÑAL")&gt;0))</f>
        <v>0</v>
      </c>
      <c r="C78" s="44">
        <f>SUMPRODUCT(((ISNUMBER('GRT Occidente'!L6:L784))*('GRT Occidente'!L6:L784=A78))*(('GRT Occidente'!K6:K784="INSTALADO - OPERANDO")+('GRT Occidente'!K6:K784="INSTALADO - SIN SEÑAL")&gt;0))</f>
        <v>0</v>
      </c>
      <c r="D78" s="44">
        <f>SUMPRODUCT(((ISNUMBER('GRT Oriente'!L6:L400))*('GRT Oriente'!L6:L400=A78))*(('GRT Oriente'!K6:K400="INSTALADO - OPERANDO")+('GRT Oriente'!K6:K400="INSTALADO - SIN SEÑAL")&gt;0))</f>
        <v>0</v>
      </c>
      <c r="E78" s="44">
        <f>SUMPRODUCT(((ISNUMBER('GRT Valle de México'!L6:L740))*('GRT Valle de México'!L6:L740=A78))*(('GRT Valle de México'!K6:K740="INSTALADO - OPERANDO")+('GRT Valle de México'!K6:K740="INSTALADO - SIN SEÑAL")&gt;0))</f>
        <v>0</v>
      </c>
      <c r="F78" s="44">
        <f>SUMPRODUCT(((ISNUMBER('GRT Noroeste'!L6:L372))*('GRT Noroeste'!L6:L372=A78))*(('GRT Noroeste'!K6:K372="INSTALADO - OPERANDO")+('GRT Noroeste'!K6:K372="INSTALADO - SIN SEÑAL")&gt;0))</f>
        <v>0</v>
      </c>
      <c r="G78" s="44">
        <f>SUMPRODUCT(((ISNUMBER('GRT Norte'!L6:L296))*('GRT Norte'!L6:L296=A78))*(('GRT Norte'!K6:K296="INSTALADO - OPERANDO")+('GRT Norte'!K6:K296="INSTALADO - SIN SEÑAL")&gt;0))</f>
        <v>0</v>
      </c>
      <c r="H78" s="44">
        <f>SUMPRODUCT(((ISNUMBER('GRT Noreste'!L6:L262))*('GRT Noreste'!L6:L262=A78))*(('GRT Noreste'!K6:K262="INSTALADO - OPERANDO")+('GRT Noreste'!K6:K262="INSTALADO - SIN SEÑAL")&gt;0))</f>
        <v>0</v>
      </c>
      <c r="I78" s="44">
        <f>SUMPRODUCT(((ISNUMBER('GRT Baja California'!L6:L281))*('GRT Baja California'!L6:L281=A78))*(('GRT Baja California'!K6:K281="INSTALADO - OPERANDO")+('GRT Baja California'!K6:K281="INSTALADO - SIN SEÑAL")&gt;0))</f>
        <v>0</v>
      </c>
      <c r="J78" s="64">
        <f t="shared" si="6"/>
        <v>0</v>
      </c>
      <c r="K78" s="54">
        <f t="shared" si="8"/>
        <v>1289</v>
      </c>
      <c r="L78" s="57">
        <f t="shared" si="7"/>
        <v>0.30472813238770685</v>
      </c>
      <c r="M78" s="58"/>
    </row>
    <row r="79" spans="1:13" ht="15" customHeight="1">
      <c r="A79" s="50">
        <v>46171</v>
      </c>
      <c r="B79" s="41">
        <f>SUMPRODUCT(((ISNUMBER('GRT Central'!L6:L1135))*('GRT Central'!L6:L1135=A79))*(('GRT Central'!K6:K1135="INSTALADO - OPERANDO")+('GRT Central'!K6:K1135="INSTALADO - SIN SEÑAL")&gt;0))</f>
        <v>0</v>
      </c>
      <c r="C79" s="41">
        <f>SUMPRODUCT(((ISNUMBER('GRT Occidente'!L6:L784))*('GRT Occidente'!L6:L784=A79))*(('GRT Occidente'!K6:K784="INSTALADO - OPERANDO")+('GRT Occidente'!K6:K784="INSTALADO - SIN SEÑAL")&gt;0))</f>
        <v>0</v>
      </c>
      <c r="D79" s="41">
        <f>SUMPRODUCT(((ISNUMBER('GRT Oriente'!L6:L400))*('GRT Oriente'!L6:L400=A79))*(('GRT Oriente'!K6:K400="INSTALADO - OPERANDO")+('GRT Oriente'!K6:K400="INSTALADO - SIN SEÑAL")&gt;0))</f>
        <v>0</v>
      </c>
      <c r="E79" s="41">
        <f>SUMPRODUCT(((ISNUMBER('GRT Valle de México'!L6:L740))*('GRT Valle de México'!L6:L740=A79))*(('GRT Valle de México'!K6:K740="INSTALADO - OPERANDO")+('GRT Valle de México'!K6:K740="INSTALADO - SIN SEÑAL")&gt;0))</f>
        <v>0</v>
      </c>
      <c r="F79" s="41">
        <f>SUMPRODUCT(((ISNUMBER('GRT Noroeste'!L6:L372))*('GRT Noroeste'!L6:L372=A79))*(('GRT Noroeste'!K6:K372="INSTALADO - OPERANDO")+('GRT Noroeste'!K6:K372="INSTALADO - SIN SEÑAL")&gt;0))</f>
        <v>0</v>
      </c>
      <c r="G79" s="41">
        <f>SUMPRODUCT(((ISNUMBER('GRT Norte'!L6:L296))*('GRT Norte'!L6:L296=A79))*(('GRT Norte'!K6:K296="INSTALADO - OPERANDO")+('GRT Norte'!K6:K296="INSTALADO - SIN SEÑAL")&gt;0))</f>
        <v>0</v>
      </c>
      <c r="H79" s="41">
        <f>SUMPRODUCT(((ISNUMBER('GRT Noreste'!L6:L262))*('GRT Noreste'!L6:L262=A79))*(('GRT Noreste'!K6:K262="INSTALADO - OPERANDO")+('GRT Noreste'!K6:K262="INSTALADO - SIN SEÑAL")&gt;0))</f>
        <v>0</v>
      </c>
      <c r="I79" s="41">
        <f>SUMPRODUCT(((ISNUMBER('GRT Baja California'!L6:L281))*('GRT Baja California'!L6:L281=A79))*(('GRT Baja California'!K6:K281="INSTALADO - OPERANDO")+('GRT Baja California'!K6:K281="INSTALADO - SIN SEÑAL")&gt;0))</f>
        <v>0</v>
      </c>
      <c r="J79" s="65">
        <f t="shared" si="6"/>
        <v>0</v>
      </c>
      <c r="K79" s="49">
        <f t="shared" si="8"/>
        <v>1289</v>
      </c>
      <c r="L79" s="52">
        <f t="shared" si="7"/>
        <v>0.30472813238770685</v>
      </c>
      <c r="M79" s="53"/>
    </row>
    <row r="80" spans="1:13" ht="15" customHeight="1">
      <c r="A80" s="55">
        <v>46172</v>
      </c>
      <c r="B80" s="44">
        <f>SUMPRODUCT(((ISNUMBER('GRT Central'!L6:L1135))*('GRT Central'!L6:L1135=A80))*(('GRT Central'!K6:K1135="INSTALADO - OPERANDO")+('GRT Central'!K6:K1135="INSTALADO - SIN SEÑAL")&gt;0))</f>
        <v>0</v>
      </c>
      <c r="C80" s="44">
        <f>SUMPRODUCT(((ISNUMBER('GRT Occidente'!L6:L784))*('GRT Occidente'!L6:L784=A80))*(('GRT Occidente'!K6:K784="INSTALADO - OPERANDO")+('GRT Occidente'!K6:K784="INSTALADO - SIN SEÑAL")&gt;0))</f>
        <v>0</v>
      </c>
      <c r="D80" s="44">
        <f>SUMPRODUCT(((ISNUMBER('GRT Oriente'!L6:L400))*('GRT Oriente'!L6:L400=A80))*(('GRT Oriente'!K6:K400="INSTALADO - OPERANDO")+('GRT Oriente'!K6:K400="INSTALADO - SIN SEÑAL")&gt;0))</f>
        <v>0</v>
      </c>
      <c r="E80" s="44">
        <f>SUMPRODUCT(((ISNUMBER('GRT Valle de México'!L6:L740))*('GRT Valle de México'!L6:L740=A80))*(('GRT Valle de México'!K6:K740="INSTALADO - OPERANDO")+('GRT Valle de México'!K6:K740="INSTALADO - SIN SEÑAL")&gt;0))</f>
        <v>0</v>
      </c>
      <c r="F80" s="44">
        <f>SUMPRODUCT(((ISNUMBER('GRT Noroeste'!L6:L372))*('GRT Noroeste'!L6:L372=A80))*(('GRT Noroeste'!K6:K372="INSTALADO - OPERANDO")+('GRT Noroeste'!K6:K372="INSTALADO - SIN SEÑAL")&gt;0))</f>
        <v>0</v>
      </c>
      <c r="G80" s="44">
        <f>SUMPRODUCT(((ISNUMBER('GRT Norte'!L6:L296))*('GRT Norte'!L6:L296=A80))*(('GRT Norte'!K6:K296="INSTALADO - OPERANDO")+('GRT Norte'!K6:K296="INSTALADO - SIN SEÑAL")&gt;0))</f>
        <v>0</v>
      </c>
      <c r="H80" s="44">
        <f>SUMPRODUCT(((ISNUMBER('GRT Noreste'!L6:L262))*('GRT Noreste'!L6:L262=A80))*(('GRT Noreste'!K6:K262="INSTALADO - OPERANDO")+('GRT Noreste'!K6:K262="INSTALADO - SIN SEÑAL")&gt;0))</f>
        <v>0</v>
      </c>
      <c r="I80" s="44">
        <f>SUMPRODUCT(((ISNUMBER('GRT Baja California'!L6:L281))*('GRT Baja California'!L6:L281=A80))*(('GRT Baja California'!K6:K281="INSTALADO - OPERANDO")+('GRT Baja California'!K6:K281="INSTALADO - SIN SEÑAL")&gt;0))</f>
        <v>0</v>
      </c>
      <c r="J80" s="64">
        <f t="shared" si="6"/>
        <v>0</v>
      </c>
      <c r="K80" s="54">
        <f t="shared" si="8"/>
        <v>1289</v>
      </c>
      <c r="L80" s="57">
        <f t="shared" si="7"/>
        <v>0.30472813238770685</v>
      </c>
      <c r="M80" s="58"/>
    </row>
    <row r="81" spans="1:13" ht="15" customHeight="1">
      <c r="A81" s="50">
        <v>46173</v>
      </c>
      <c r="B81" s="41">
        <f>SUMPRODUCT(((ISNUMBER('GRT Central'!L6:L1135))*('GRT Central'!L6:L1135=A81))*(('GRT Central'!K6:K1135="INSTALADO - OPERANDO")+('GRT Central'!K6:K1135="INSTALADO - SIN SEÑAL")&gt;0))</f>
        <v>0</v>
      </c>
      <c r="C81" s="41">
        <f>SUMPRODUCT(((ISNUMBER('GRT Occidente'!L6:L784))*('GRT Occidente'!L6:L784=A81))*(('GRT Occidente'!K6:K784="INSTALADO - OPERANDO")+('GRT Occidente'!K6:K784="INSTALADO - SIN SEÑAL")&gt;0))</f>
        <v>0</v>
      </c>
      <c r="D81" s="41">
        <f>SUMPRODUCT(((ISNUMBER('GRT Oriente'!L6:L400))*('GRT Oriente'!L6:L400=A81))*(('GRT Oriente'!K6:K400="INSTALADO - OPERANDO")+('GRT Oriente'!K6:K400="INSTALADO - SIN SEÑAL")&gt;0))</f>
        <v>0</v>
      </c>
      <c r="E81" s="41">
        <f>SUMPRODUCT(((ISNUMBER('GRT Valle de México'!L6:L740))*('GRT Valle de México'!L6:L740=A81))*(('GRT Valle de México'!K6:K740="INSTALADO - OPERANDO")+('GRT Valle de México'!K6:K740="INSTALADO - SIN SEÑAL")&gt;0))</f>
        <v>0</v>
      </c>
      <c r="F81" s="41">
        <f>SUMPRODUCT(((ISNUMBER('GRT Noroeste'!L6:L372))*('GRT Noroeste'!L6:L372=A81))*(('GRT Noroeste'!K6:K372="INSTALADO - OPERANDO")+('GRT Noroeste'!K6:K372="INSTALADO - SIN SEÑAL")&gt;0))</f>
        <v>0</v>
      </c>
      <c r="G81" s="41">
        <f>SUMPRODUCT(((ISNUMBER('GRT Norte'!L6:L296))*('GRT Norte'!L6:L296=A81))*(('GRT Norte'!K6:K296="INSTALADO - OPERANDO")+('GRT Norte'!K6:K296="INSTALADO - SIN SEÑAL")&gt;0))</f>
        <v>0</v>
      </c>
      <c r="H81" s="41">
        <f>SUMPRODUCT(((ISNUMBER('GRT Noreste'!L6:L262))*('GRT Noreste'!L6:L262=A81))*(('GRT Noreste'!K6:K262="INSTALADO - OPERANDO")+('GRT Noreste'!K6:K262="INSTALADO - SIN SEÑAL")&gt;0))</f>
        <v>0</v>
      </c>
      <c r="I81" s="41">
        <f>SUMPRODUCT(((ISNUMBER('GRT Baja California'!L6:L281))*('GRT Baja California'!L6:L281=A81))*(('GRT Baja California'!K6:K281="INSTALADO - OPERANDO")+('GRT Baja California'!K6:K281="INSTALADO - SIN SEÑAL")&gt;0))</f>
        <v>0</v>
      </c>
      <c r="J81" s="65">
        <f t="shared" si="6"/>
        <v>0</v>
      </c>
      <c r="K81" s="49">
        <f t="shared" si="8"/>
        <v>1289</v>
      </c>
      <c r="L81" s="52">
        <f t="shared" si="7"/>
        <v>0.30472813238770685</v>
      </c>
      <c r="M81" s="53"/>
    </row>
    <row r="82" spans="1:13" ht="15" customHeight="1">
      <c r="A82" s="55">
        <v>46174</v>
      </c>
      <c r="B82" s="44">
        <f>SUMPRODUCT(((ISNUMBER('GRT Central'!L6:L1135))*('GRT Central'!L6:L1135=A82))*(('GRT Central'!K6:K1135="INSTALADO - OPERANDO")+('GRT Central'!K6:K1135="INSTALADO - SIN SEÑAL")&gt;0))</f>
        <v>0</v>
      </c>
      <c r="C82" s="44">
        <f>SUMPRODUCT(((ISNUMBER('GRT Occidente'!L6:L784))*('GRT Occidente'!L6:L784=A82))*(('GRT Occidente'!K6:K784="INSTALADO - OPERANDO")+('GRT Occidente'!K6:K784="INSTALADO - SIN SEÑAL")&gt;0))</f>
        <v>0</v>
      </c>
      <c r="D82" s="44">
        <f>SUMPRODUCT(((ISNUMBER('GRT Oriente'!L6:L400))*('GRT Oriente'!L6:L400=A82))*(('GRT Oriente'!K6:K400="INSTALADO - OPERANDO")+('GRT Oriente'!K6:K400="INSTALADO - SIN SEÑAL")&gt;0))</f>
        <v>0</v>
      </c>
      <c r="E82" s="44">
        <f>SUMPRODUCT(((ISNUMBER('GRT Valle de México'!L6:L740))*('GRT Valle de México'!L6:L740=A82))*(('GRT Valle de México'!K6:K740="INSTALADO - OPERANDO")+('GRT Valle de México'!K6:K740="INSTALADO - SIN SEÑAL")&gt;0))</f>
        <v>0</v>
      </c>
      <c r="F82" s="44">
        <f>SUMPRODUCT(((ISNUMBER('GRT Noroeste'!L6:L372))*('GRT Noroeste'!L6:L372=A82))*(('GRT Noroeste'!K6:K372="INSTALADO - OPERANDO")+('GRT Noroeste'!K6:K372="INSTALADO - SIN SEÑAL")&gt;0))</f>
        <v>0</v>
      </c>
      <c r="G82" s="44">
        <f>SUMPRODUCT(((ISNUMBER('GRT Norte'!L6:L296))*('GRT Norte'!L6:L296=A82))*(('GRT Norte'!K6:K296="INSTALADO - OPERANDO")+('GRT Norte'!K6:K296="INSTALADO - SIN SEÑAL")&gt;0))</f>
        <v>0</v>
      </c>
      <c r="H82" s="44">
        <f>SUMPRODUCT(((ISNUMBER('GRT Noreste'!L6:L262))*('GRT Noreste'!L6:L262=A82))*(('GRT Noreste'!K6:K262="INSTALADO - OPERANDO")+('GRT Noreste'!K6:K262="INSTALADO - SIN SEÑAL")&gt;0))</f>
        <v>0</v>
      </c>
      <c r="I82" s="44">
        <f>SUMPRODUCT(((ISNUMBER('GRT Baja California'!L6:L281))*('GRT Baja California'!L6:L281=A82))*(('GRT Baja California'!K6:K281="INSTALADO - OPERANDO")+('GRT Baja California'!K6:K281="INSTALADO - SIN SEÑAL")&gt;0))</f>
        <v>0</v>
      </c>
      <c r="J82" s="64">
        <f t="shared" si="6"/>
        <v>0</v>
      </c>
      <c r="K82" s="54">
        <f t="shared" si="8"/>
        <v>1289</v>
      </c>
      <c r="L82" s="57">
        <f t="shared" si="7"/>
        <v>0.30472813238770685</v>
      </c>
      <c r="M82" s="58"/>
    </row>
    <row r="83" spans="1:13" ht="15" customHeight="1">
      <c r="A83" s="50">
        <v>46175</v>
      </c>
      <c r="B83" s="41">
        <f>SUMPRODUCT(((ISNUMBER('GRT Central'!L6:L1135))*('GRT Central'!L6:L1135=A83))*(('GRT Central'!K6:K1135="INSTALADO - OPERANDO")+('GRT Central'!K6:K1135="INSTALADO - SIN SEÑAL")&gt;0))</f>
        <v>0</v>
      </c>
      <c r="C83" s="41">
        <f>SUMPRODUCT(((ISNUMBER('GRT Occidente'!L6:L784))*('GRT Occidente'!L6:L784=A83))*(('GRT Occidente'!K6:K784="INSTALADO - OPERANDO")+('GRT Occidente'!K6:K784="INSTALADO - SIN SEÑAL")&gt;0))</f>
        <v>0</v>
      </c>
      <c r="D83" s="41">
        <f>SUMPRODUCT(((ISNUMBER('GRT Oriente'!L6:L400))*('GRT Oriente'!L6:L400=A83))*(('GRT Oriente'!K6:K400="INSTALADO - OPERANDO")+('GRT Oriente'!K6:K400="INSTALADO - SIN SEÑAL")&gt;0))</f>
        <v>0</v>
      </c>
      <c r="E83" s="41">
        <f>SUMPRODUCT(((ISNUMBER('GRT Valle de México'!L6:L740))*('GRT Valle de México'!L6:L740=A83))*(('GRT Valle de México'!K6:K740="INSTALADO - OPERANDO")+('GRT Valle de México'!K6:K740="INSTALADO - SIN SEÑAL")&gt;0))</f>
        <v>0</v>
      </c>
      <c r="F83" s="41">
        <f>SUMPRODUCT(((ISNUMBER('GRT Noroeste'!L6:L372))*('GRT Noroeste'!L6:L372=A83))*(('GRT Noroeste'!K6:K372="INSTALADO - OPERANDO")+('GRT Noroeste'!K6:K372="INSTALADO - SIN SEÑAL")&gt;0))</f>
        <v>0</v>
      </c>
      <c r="G83" s="41">
        <f>SUMPRODUCT(((ISNUMBER('GRT Norte'!L6:L296))*('GRT Norte'!L6:L296=A83))*(('GRT Norte'!K6:K296="INSTALADO - OPERANDO")+('GRT Norte'!K6:K296="INSTALADO - SIN SEÑAL")&gt;0))</f>
        <v>0</v>
      </c>
      <c r="H83" s="41">
        <f>SUMPRODUCT(((ISNUMBER('GRT Noreste'!L6:L262))*('GRT Noreste'!L6:L262=A83))*(('GRT Noreste'!K6:K262="INSTALADO - OPERANDO")+('GRT Noreste'!K6:K262="INSTALADO - SIN SEÑAL")&gt;0))</f>
        <v>0</v>
      </c>
      <c r="I83" s="41">
        <f>SUMPRODUCT(((ISNUMBER('GRT Baja California'!L6:L281))*('GRT Baja California'!L6:L281=A83))*(('GRT Baja California'!K6:K281="INSTALADO - OPERANDO")+('GRT Baja California'!K6:K281="INSTALADO - SIN SEÑAL")&gt;0))</f>
        <v>0</v>
      </c>
      <c r="J83" s="65">
        <f t="shared" si="6"/>
        <v>0</v>
      </c>
      <c r="K83" s="49">
        <f t="shared" si="8"/>
        <v>1289</v>
      </c>
      <c r="L83" s="52">
        <f t="shared" si="7"/>
        <v>0.30472813238770685</v>
      </c>
      <c r="M83" s="53"/>
    </row>
    <row r="84" spans="1:13" ht="15" customHeight="1">
      <c r="A84" s="55">
        <v>46176</v>
      </c>
      <c r="B84" s="44">
        <f>SUMPRODUCT(((ISNUMBER('GRT Central'!L6:L1135))*('GRT Central'!L6:L1135=A84))*(('GRT Central'!K6:K1135="INSTALADO - OPERANDO")+('GRT Central'!K6:K1135="INSTALADO - SIN SEÑAL")&gt;0))</f>
        <v>0</v>
      </c>
      <c r="C84" s="44">
        <f>SUMPRODUCT(((ISNUMBER('GRT Occidente'!L6:L784))*('GRT Occidente'!L6:L784=A84))*(('GRT Occidente'!K6:K784="INSTALADO - OPERANDO")+('GRT Occidente'!K6:K784="INSTALADO - SIN SEÑAL")&gt;0))</f>
        <v>0</v>
      </c>
      <c r="D84" s="44">
        <f>SUMPRODUCT(((ISNUMBER('GRT Oriente'!L6:L400))*('GRT Oriente'!L6:L400=A84))*(('GRT Oriente'!K6:K400="INSTALADO - OPERANDO")+('GRT Oriente'!K6:K400="INSTALADO - SIN SEÑAL")&gt;0))</f>
        <v>0</v>
      </c>
      <c r="E84" s="44">
        <f>SUMPRODUCT(((ISNUMBER('GRT Valle de México'!L6:L740))*('GRT Valle de México'!L6:L740=A84))*(('GRT Valle de México'!K6:K740="INSTALADO - OPERANDO")+('GRT Valle de México'!K6:K740="INSTALADO - SIN SEÑAL")&gt;0))</f>
        <v>0</v>
      </c>
      <c r="F84" s="44">
        <f>SUMPRODUCT(((ISNUMBER('GRT Noroeste'!L6:L372))*('GRT Noroeste'!L6:L372=A84))*(('GRT Noroeste'!K6:K372="INSTALADO - OPERANDO")+('GRT Noroeste'!K6:K372="INSTALADO - SIN SEÑAL")&gt;0))</f>
        <v>0</v>
      </c>
      <c r="G84" s="44">
        <f>SUMPRODUCT(((ISNUMBER('GRT Norte'!L6:L296))*('GRT Norte'!L6:L296=A84))*(('GRT Norte'!K6:K296="INSTALADO - OPERANDO")+('GRT Norte'!K6:K296="INSTALADO - SIN SEÑAL")&gt;0))</f>
        <v>0</v>
      </c>
      <c r="H84" s="44">
        <f>SUMPRODUCT(((ISNUMBER('GRT Noreste'!L6:L262))*('GRT Noreste'!L6:L262=A84))*(('GRT Noreste'!K6:K262="INSTALADO - OPERANDO")+('GRT Noreste'!K6:K262="INSTALADO - SIN SEÑAL")&gt;0))</f>
        <v>0</v>
      </c>
      <c r="I84" s="44">
        <f>SUMPRODUCT(((ISNUMBER('GRT Baja California'!L6:L281))*('GRT Baja California'!L6:L281=A84))*(('GRT Baja California'!K6:K281="INSTALADO - OPERANDO")+('GRT Baja California'!K6:K281="INSTALADO - SIN SEÑAL")&gt;0))</f>
        <v>0</v>
      </c>
      <c r="J84" s="64">
        <f t="shared" si="6"/>
        <v>0</v>
      </c>
      <c r="K84" s="54">
        <f t="shared" si="8"/>
        <v>1289</v>
      </c>
      <c r="L84" s="57">
        <f t="shared" si="7"/>
        <v>0.30472813238770685</v>
      </c>
      <c r="M84" s="58"/>
    </row>
    <row r="85" spans="1:13" ht="15" customHeight="1">
      <c r="A85" s="50">
        <v>46177</v>
      </c>
      <c r="B85" s="41">
        <f>SUMPRODUCT(((ISNUMBER('GRT Central'!L6:L1135))*('GRT Central'!L6:L1135=A85))*(('GRT Central'!K6:K1135="INSTALADO - OPERANDO")+('GRT Central'!K6:K1135="INSTALADO - SIN SEÑAL")&gt;0))</f>
        <v>0</v>
      </c>
      <c r="C85" s="41">
        <f>SUMPRODUCT(((ISNUMBER('GRT Occidente'!L6:L784))*('GRT Occidente'!L6:L784=A85))*(('GRT Occidente'!K6:K784="INSTALADO - OPERANDO")+('GRT Occidente'!K6:K784="INSTALADO - SIN SEÑAL")&gt;0))</f>
        <v>0</v>
      </c>
      <c r="D85" s="41">
        <f>SUMPRODUCT(((ISNUMBER('GRT Oriente'!L6:L400))*('GRT Oriente'!L6:L400=A85))*(('GRT Oriente'!K6:K400="INSTALADO - OPERANDO")+('GRT Oriente'!K6:K400="INSTALADO - SIN SEÑAL")&gt;0))</f>
        <v>0</v>
      </c>
      <c r="E85" s="41">
        <f>SUMPRODUCT(((ISNUMBER('GRT Valle de México'!L6:L740))*('GRT Valle de México'!L6:L740=A85))*(('GRT Valle de México'!K6:K740="INSTALADO - OPERANDO")+('GRT Valle de México'!K6:K740="INSTALADO - SIN SEÑAL")&gt;0))</f>
        <v>0</v>
      </c>
      <c r="F85" s="41">
        <f>SUMPRODUCT(((ISNUMBER('GRT Noroeste'!L6:L372))*('GRT Noroeste'!L6:L372=A85))*(('GRT Noroeste'!K6:K372="INSTALADO - OPERANDO")+('GRT Noroeste'!K6:K372="INSTALADO - SIN SEÑAL")&gt;0))</f>
        <v>0</v>
      </c>
      <c r="G85" s="41">
        <f>SUMPRODUCT(((ISNUMBER('GRT Norte'!L6:L296))*('GRT Norte'!L6:L296=A85))*(('GRT Norte'!K6:K296="INSTALADO - OPERANDO")+('GRT Norte'!K6:K296="INSTALADO - SIN SEÑAL")&gt;0))</f>
        <v>0</v>
      </c>
      <c r="H85" s="41">
        <f>SUMPRODUCT(((ISNUMBER('GRT Noreste'!L6:L262))*('GRT Noreste'!L6:L262=A85))*(('GRT Noreste'!K6:K262="INSTALADO - OPERANDO")+('GRT Noreste'!K6:K262="INSTALADO - SIN SEÑAL")&gt;0))</f>
        <v>0</v>
      </c>
      <c r="I85" s="41">
        <f>SUMPRODUCT(((ISNUMBER('GRT Baja California'!L6:L281))*('GRT Baja California'!L6:L281=A85))*(('GRT Baja California'!K6:K281="INSTALADO - OPERANDO")+('GRT Baja California'!K6:K281="INSTALADO - SIN SEÑAL")&gt;0))</f>
        <v>0</v>
      </c>
      <c r="J85" s="65">
        <f t="shared" si="6"/>
        <v>0</v>
      </c>
      <c r="K85" s="49">
        <f t="shared" si="8"/>
        <v>1289</v>
      </c>
      <c r="L85" s="52">
        <f t="shared" si="7"/>
        <v>0.30472813238770685</v>
      </c>
      <c r="M85" s="53"/>
    </row>
    <row r="86" spans="1:13" ht="15" customHeight="1">
      <c r="A86" s="55">
        <v>46178</v>
      </c>
      <c r="B86" s="44">
        <f>SUMPRODUCT(((ISNUMBER('GRT Central'!L6:L1135))*('GRT Central'!L6:L1135=A86))*(('GRT Central'!K6:K1135="INSTALADO - OPERANDO")+('GRT Central'!K6:K1135="INSTALADO - SIN SEÑAL")&gt;0))</f>
        <v>0</v>
      </c>
      <c r="C86" s="44">
        <f>SUMPRODUCT(((ISNUMBER('GRT Occidente'!L6:L784))*('GRT Occidente'!L6:L784=A86))*(('GRT Occidente'!K6:K784="INSTALADO - OPERANDO")+('GRT Occidente'!K6:K784="INSTALADO - SIN SEÑAL")&gt;0))</f>
        <v>0</v>
      </c>
      <c r="D86" s="44">
        <f>SUMPRODUCT(((ISNUMBER('GRT Oriente'!L6:L400))*('GRT Oriente'!L6:L400=A86))*(('GRT Oriente'!K6:K400="INSTALADO - OPERANDO")+('GRT Oriente'!K6:K400="INSTALADO - SIN SEÑAL")&gt;0))</f>
        <v>0</v>
      </c>
      <c r="E86" s="44">
        <f>SUMPRODUCT(((ISNUMBER('GRT Valle de México'!L6:L740))*('GRT Valle de México'!L6:L740=A86))*(('GRT Valle de México'!K6:K740="INSTALADO - OPERANDO")+('GRT Valle de México'!K6:K740="INSTALADO - SIN SEÑAL")&gt;0))</f>
        <v>0</v>
      </c>
      <c r="F86" s="44">
        <f>SUMPRODUCT(((ISNUMBER('GRT Noroeste'!L6:L372))*('GRT Noroeste'!L6:L372=A86))*(('GRT Noroeste'!K6:K372="INSTALADO - OPERANDO")+('GRT Noroeste'!K6:K372="INSTALADO - SIN SEÑAL")&gt;0))</f>
        <v>0</v>
      </c>
      <c r="G86" s="44">
        <f>SUMPRODUCT(((ISNUMBER('GRT Norte'!L6:L296))*('GRT Norte'!L6:L296=A86))*(('GRT Norte'!K6:K296="INSTALADO - OPERANDO")+('GRT Norte'!K6:K296="INSTALADO - SIN SEÑAL")&gt;0))</f>
        <v>0</v>
      </c>
      <c r="H86" s="44">
        <f>SUMPRODUCT(((ISNUMBER('GRT Noreste'!L6:L262))*('GRT Noreste'!L6:L262=A86))*(('GRT Noreste'!K6:K262="INSTALADO - OPERANDO")+('GRT Noreste'!K6:K262="INSTALADO - SIN SEÑAL")&gt;0))</f>
        <v>0</v>
      </c>
      <c r="I86" s="44">
        <f>SUMPRODUCT(((ISNUMBER('GRT Baja California'!L6:L281))*('GRT Baja California'!L6:L281=A86))*(('GRT Baja California'!K6:K281="INSTALADO - OPERANDO")+('GRT Baja California'!K6:K281="INSTALADO - SIN SEÑAL")&gt;0))</f>
        <v>0</v>
      </c>
      <c r="J86" s="64">
        <f t="shared" si="6"/>
        <v>0</v>
      </c>
      <c r="K86" s="54">
        <f t="shared" si="8"/>
        <v>1289</v>
      </c>
      <c r="L86" s="57">
        <f t="shared" si="7"/>
        <v>0.30472813238770685</v>
      </c>
      <c r="M86" s="58"/>
    </row>
    <row r="87" spans="1:13" ht="15" customHeight="1">
      <c r="A87" s="50">
        <v>46179</v>
      </c>
      <c r="B87" s="41">
        <f>SUMPRODUCT(((ISNUMBER('GRT Central'!L6:L1135))*('GRT Central'!L6:L1135=A87))*(('GRT Central'!K6:K1135="INSTALADO - OPERANDO")+('GRT Central'!K6:K1135="INSTALADO - SIN SEÑAL")&gt;0))</f>
        <v>0</v>
      </c>
      <c r="C87" s="41">
        <f>SUMPRODUCT(((ISNUMBER('GRT Occidente'!L6:L784))*('GRT Occidente'!L6:L784=A87))*(('GRT Occidente'!K6:K784="INSTALADO - OPERANDO")+('GRT Occidente'!K6:K784="INSTALADO - SIN SEÑAL")&gt;0))</f>
        <v>0</v>
      </c>
      <c r="D87" s="41">
        <f>SUMPRODUCT(((ISNUMBER('GRT Oriente'!L6:L400))*('GRT Oriente'!L6:L400=A87))*(('GRT Oriente'!K6:K400="INSTALADO - OPERANDO")+('GRT Oriente'!K6:K400="INSTALADO - SIN SEÑAL")&gt;0))</f>
        <v>0</v>
      </c>
      <c r="E87" s="41">
        <f>SUMPRODUCT(((ISNUMBER('GRT Valle de México'!L6:L740))*('GRT Valle de México'!L6:L740=A87))*(('GRT Valle de México'!K6:K740="INSTALADO - OPERANDO")+('GRT Valle de México'!K6:K740="INSTALADO - SIN SEÑAL")&gt;0))</f>
        <v>0</v>
      </c>
      <c r="F87" s="41">
        <f>SUMPRODUCT(((ISNUMBER('GRT Noroeste'!L6:L372))*('GRT Noroeste'!L6:L372=A87))*(('GRT Noroeste'!K6:K372="INSTALADO - OPERANDO")+('GRT Noroeste'!K6:K372="INSTALADO - SIN SEÑAL")&gt;0))</f>
        <v>0</v>
      </c>
      <c r="G87" s="41">
        <f>SUMPRODUCT(((ISNUMBER('GRT Norte'!L6:L296))*('GRT Norte'!L6:L296=A87))*(('GRT Norte'!K6:K296="INSTALADO - OPERANDO")+('GRT Norte'!K6:K296="INSTALADO - SIN SEÑAL")&gt;0))</f>
        <v>0</v>
      </c>
      <c r="H87" s="41">
        <f>SUMPRODUCT(((ISNUMBER('GRT Noreste'!L6:L262))*('GRT Noreste'!L6:L262=A87))*(('GRT Noreste'!K6:K262="INSTALADO - OPERANDO")+('GRT Noreste'!K6:K262="INSTALADO - SIN SEÑAL")&gt;0))</f>
        <v>0</v>
      </c>
      <c r="I87" s="41">
        <f>SUMPRODUCT(((ISNUMBER('GRT Baja California'!L6:L281))*('GRT Baja California'!L6:L281=A87))*(('GRT Baja California'!K6:K281="INSTALADO - OPERANDO")+('GRT Baja California'!K6:K281="INSTALADO - SIN SEÑAL")&gt;0))</f>
        <v>0</v>
      </c>
      <c r="J87" s="65">
        <f t="shared" si="6"/>
        <v>0</v>
      </c>
      <c r="K87" s="49">
        <f t="shared" si="8"/>
        <v>1289</v>
      </c>
      <c r="L87" s="52">
        <f t="shared" si="7"/>
        <v>0.30472813238770685</v>
      </c>
      <c r="M87" s="53"/>
    </row>
    <row r="88" spans="1:13" ht="15" customHeight="1">
      <c r="A88" s="55">
        <v>46180</v>
      </c>
      <c r="B88" s="44">
        <f>SUMPRODUCT(((ISNUMBER('GRT Central'!L6:L1135))*('GRT Central'!L6:L1135=A88))*(('GRT Central'!K6:K1135="INSTALADO - OPERANDO")+('GRT Central'!K6:K1135="INSTALADO - SIN SEÑAL")&gt;0))</f>
        <v>0</v>
      </c>
      <c r="C88" s="44">
        <f>SUMPRODUCT(((ISNUMBER('GRT Occidente'!L6:L784))*('GRT Occidente'!L6:L784=A88))*(('GRT Occidente'!K6:K784="INSTALADO - OPERANDO")+('GRT Occidente'!K6:K784="INSTALADO - SIN SEÑAL")&gt;0))</f>
        <v>0</v>
      </c>
      <c r="D88" s="44">
        <f>SUMPRODUCT(((ISNUMBER('GRT Oriente'!L6:L400))*('GRT Oriente'!L6:L400=A88))*(('GRT Oriente'!K6:K400="INSTALADO - OPERANDO")+('GRT Oriente'!K6:K400="INSTALADO - SIN SEÑAL")&gt;0))</f>
        <v>0</v>
      </c>
      <c r="E88" s="44">
        <f>SUMPRODUCT(((ISNUMBER('GRT Valle de México'!L6:L740))*('GRT Valle de México'!L6:L740=A88))*(('GRT Valle de México'!K6:K740="INSTALADO - OPERANDO")+('GRT Valle de México'!K6:K740="INSTALADO - SIN SEÑAL")&gt;0))</f>
        <v>0</v>
      </c>
      <c r="F88" s="44">
        <f>SUMPRODUCT(((ISNUMBER('GRT Noroeste'!L6:L372))*('GRT Noroeste'!L6:L372=A88))*(('GRT Noroeste'!K6:K372="INSTALADO - OPERANDO")+('GRT Noroeste'!K6:K372="INSTALADO - SIN SEÑAL")&gt;0))</f>
        <v>0</v>
      </c>
      <c r="G88" s="44">
        <f>SUMPRODUCT(((ISNUMBER('GRT Norte'!L6:L296))*('GRT Norte'!L6:L296=A88))*(('GRT Norte'!K6:K296="INSTALADO - OPERANDO")+('GRT Norte'!K6:K296="INSTALADO - SIN SEÑAL")&gt;0))</f>
        <v>0</v>
      </c>
      <c r="H88" s="44">
        <f>SUMPRODUCT(((ISNUMBER('GRT Noreste'!L6:L262))*('GRT Noreste'!L6:L262=A88))*(('GRT Noreste'!K6:K262="INSTALADO - OPERANDO")+('GRT Noreste'!K6:K262="INSTALADO - SIN SEÑAL")&gt;0))</f>
        <v>0</v>
      </c>
      <c r="I88" s="44">
        <f>SUMPRODUCT(((ISNUMBER('GRT Baja California'!L6:L281))*('GRT Baja California'!L6:L281=A88))*(('GRT Baja California'!K6:K281="INSTALADO - OPERANDO")+('GRT Baja California'!K6:K281="INSTALADO - SIN SEÑAL")&gt;0))</f>
        <v>0</v>
      </c>
      <c r="J88" s="64">
        <f t="shared" si="6"/>
        <v>0</v>
      </c>
      <c r="K88" s="54">
        <f t="shared" si="8"/>
        <v>1289</v>
      </c>
      <c r="L88" s="57">
        <f t="shared" si="7"/>
        <v>0.30472813238770685</v>
      </c>
      <c r="M88" s="58"/>
    </row>
    <row r="89" spans="1:13" ht="15" customHeight="1">
      <c r="A89" s="50">
        <v>46181</v>
      </c>
      <c r="B89" s="41">
        <f>SUMPRODUCT(((ISNUMBER('GRT Central'!L6:L1135))*('GRT Central'!L6:L1135=A89))*(('GRT Central'!K6:K1135="INSTALADO - OPERANDO")+('GRT Central'!K6:K1135="INSTALADO - SIN SEÑAL")&gt;0))</f>
        <v>0</v>
      </c>
      <c r="C89" s="41">
        <f>SUMPRODUCT(((ISNUMBER('GRT Occidente'!L6:L784))*('GRT Occidente'!L6:L784=A89))*(('GRT Occidente'!K6:K784="INSTALADO - OPERANDO")+('GRT Occidente'!K6:K784="INSTALADO - SIN SEÑAL")&gt;0))</f>
        <v>0</v>
      </c>
      <c r="D89" s="41">
        <f>SUMPRODUCT(((ISNUMBER('GRT Oriente'!L6:L400))*('GRT Oriente'!L6:L400=A89))*(('GRT Oriente'!K6:K400="INSTALADO - OPERANDO")+('GRT Oriente'!K6:K400="INSTALADO - SIN SEÑAL")&gt;0))</f>
        <v>0</v>
      </c>
      <c r="E89" s="41">
        <f>SUMPRODUCT(((ISNUMBER('GRT Valle de México'!L6:L740))*('GRT Valle de México'!L6:L740=A89))*(('GRT Valle de México'!K6:K740="INSTALADO - OPERANDO")+('GRT Valle de México'!K6:K740="INSTALADO - SIN SEÑAL")&gt;0))</f>
        <v>0</v>
      </c>
      <c r="F89" s="41">
        <f>SUMPRODUCT(((ISNUMBER('GRT Noroeste'!L6:L372))*('GRT Noroeste'!L6:L372=A89))*(('GRT Noroeste'!K6:K372="INSTALADO - OPERANDO")+('GRT Noroeste'!K6:K372="INSTALADO - SIN SEÑAL")&gt;0))</f>
        <v>0</v>
      </c>
      <c r="G89" s="41">
        <f>SUMPRODUCT(((ISNUMBER('GRT Norte'!L6:L296))*('GRT Norte'!L6:L296=A89))*(('GRT Norte'!K6:K296="INSTALADO - OPERANDO")+('GRT Norte'!K6:K296="INSTALADO - SIN SEÑAL")&gt;0))</f>
        <v>0</v>
      </c>
      <c r="H89" s="41">
        <f>SUMPRODUCT(((ISNUMBER('GRT Noreste'!L6:L262))*('GRT Noreste'!L6:L262=A89))*(('GRT Noreste'!K6:K262="INSTALADO - OPERANDO")+('GRT Noreste'!K6:K262="INSTALADO - SIN SEÑAL")&gt;0))</f>
        <v>0</v>
      </c>
      <c r="I89" s="41">
        <f>SUMPRODUCT(((ISNUMBER('GRT Baja California'!L6:L281))*('GRT Baja California'!L6:L281=A89))*(('GRT Baja California'!K6:K281="INSTALADO - OPERANDO")+('GRT Baja California'!K6:K281="INSTALADO - SIN SEÑAL")&gt;0))</f>
        <v>0</v>
      </c>
      <c r="J89" s="65">
        <f t="shared" si="6"/>
        <v>0</v>
      </c>
      <c r="K89" s="49">
        <f t="shared" si="8"/>
        <v>1289</v>
      </c>
      <c r="L89" s="52">
        <f t="shared" si="7"/>
        <v>0.30472813238770685</v>
      </c>
      <c r="M89" s="53"/>
    </row>
    <row r="90" spans="1:13" ht="15" customHeight="1">
      <c r="A90" s="55">
        <v>46182</v>
      </c>
      <c r="B90" s="44">
        <f>SUMPRODUCT(((ISNUMBER('GRT Central'!L6:L1135))*('GRT Central'!L6:L1135=A90))*(('GRT Central'!K6:K1135="INSTALADO - OPERANDO")+('GRT Central'!K6:K1135="INSTALADO - SIN SEÑAL")&gt;0))</f>
        <v>0</v>
      </c>
      <c r="C90" s="44">
        <f>SUMPRODUCT(((ISNUMBER('GRT Occidente'!L6:L784))*('GRT Occidente'!L6:L784=A90))*(('GRT Occidente'!K6:K784="INSTALADO - OPERANDO")+('GRT Occidente'!K6:K784="INSTALADO - SIN SEÑAL")&gt;0))</f>
        <v>0</v>
      </c>
      <c r="D90" s="44">
        <f>SUMPRODUCT(((ISNUMBER('GRT Oriente'!L6:L400))*('GRT Oriente'!L6:L400=A90))*(('GRT Oriente'!K6:K400="INSTALADO - OPERANDO")+('GRT Oriente'!K6:K400="INSTALADO - SIN SEÑAL")&gt;0))</f>
        <v>0</v>
      </c>
      <c r="E90" s="44">
        <f>SUMPRODUCT(((ISNUMBER('GRT Valle de México'!L6:L740))*('GRT Valle de México'!L6:L740=A90))*(('GRT Valle de México'!K6:K740="INSTALADO - OPERANDO")+('GRT Valle de México'!K6:K740="INSTALADO - SIN SEÑAL")&gt;0))</f>
        <v>0</v>
      </c>
      <c r="F90" s="44">
        <f>SUMPRODUCT(((ISNUMBER('GRT Noroeste'!L6:L372))*('GRT Noroeste'!L6:L372=A90))*(('GRT Noroeste'!K6:K372="INSTALADO - OPERANDO")+('GRT Noroeste'!K6:K372="INSTALADO - SIN SEÑAL")&gt;0))</f>
        <v>0</v>
      </c>
      <c r="G90" s="44">
        <f>SUMPRODUCT(((ISNUMBER('GRT Norte'!L6:L296))*('GRT Norte'!L6:L296=A90))*(('GRT Norte'!K6:K296="INSTALADO - OPERANDO")+('GRT Norte'!K6:K296="INSTALADO - SIN SEÑAL")&gt;0))</f>
        <v>0</v>
      </c>
      <c r="H90" s="44">
        <f>SUMPRODUCT(((ISNUMBER('GRT Noreste'!L6:L262))*('GRT Noreste'!L6:L262=A90))*(('GRT Noreste'!K6:K262="INSTALADO - OPERANDO")+('GRT Noreste'!K6:K262="INSTALADO - SIN SEÑAL")&gt;0))</f>
        <v>0</v>
      </c>
      <c r="I90" s="44">
        <f>SUMPRODUCT(((ISNUMBER('GRT Baja California'!L6:L281))*('GRT Baja California'!L6:L281=A90))*(('GRT Baja California'!K6:K281="INSTALADO - OPERANDO")+('GRT Baja California'!K6:K281="INSTALADO - SIN SEÑAL")&gt;0))</f>
        <v>0</v>
      </c>
      <c r="J90" s="64">
        <f t="shared" si="6"/>
        <v>0</v>
      </c>
      <c r="K90" s="54">
        <f t="shared" si="8"/>
        <v>1289</v>
      </c>
      <c r="L90" s="57">
        <f t="shared" si="7"/>
        <v>0.30472813238770685</v>
      </c>
      <c r="M90" s="58"/>
    </row>
    <row r="91" spans="1:13" ht="15" customHeight="1">
      <c r="A91" s="50">
        <v>46183</v>
      </c>
      <c r="B91" s="41">
        <f>SUMPRODUCT(((ISNUMBER('GRT Central'!L6:L1135))*('GRT Central'!L6:L1135=A91))*(('GRT Central'!K6:K1135="INSTALADO - OPERANDO")+('GRT Central'!K6:K1135="INSTALADO - SIN SEÑAL")&gt;0))</f>
        <v>0</v>
      </c>
      <c r="C91" s="41">
        <f>SUMPRODUCT(((ISNUMBER('GRT Occidente'!L6:L784))*('GRT Occidente'!L6:L784=A91))*(('GRT Occidente'!K6:K784="INSTALADO - OPERANDO")+('GRT Occidente'!K6:K784="INSTALADO - SIN SEÑAL")&gt;0))</f>
        <v>0</v>
      </c>
      <c r="D91" s="41">
        <f>SUMPRODUCT(((ISNUMBER('GRT Oriente'!L6:L400))*('GRT Oriente'!L6:L400=A91))*(('GRT Oriente'!K6:K400="INSTALADO - OPERANDO")+('GRT Oriente'!K6:K400="INSTALADO - SIN SEÑAL")&gt;0))</f>
        <v>0</v>
      </c>
      <c r="E91" s="41">
        <f>SUMPRODUCT(((ISNUMBER('GRT Valle de México'!L6:L740))*('GRT Valle de México'!L6:L740=A91))*(('GRT Valle de México'!K6:K740="INSTALADO - OPERANDO")+('GRT Valle de México'!K6:K740="INSTALADO - SIN SEÑAL")&gt;0))</f>
        <v>0</v>
      </c>
      <c r="F91" s="41">
        <f>SUMPRODUCT(((ISNUMBER('GRT Noroeste'!L6:L372))*('GRT Noroeste'!L6:L372=A91))*(('GRT Noroeste'!K6:K372="INSTALADO - OPERANDO")+('GRT Noroeste'!K6:K372="INSTALADO - SIN SEÑAL")&gt;0))</f>
        <v>0</v>
      </c>
      <c r="G91" s="41">
        <f>SUMPRODUCT(((ISNUMBER('GRT Norte'!L6:L296))*('GRT Norte'!L6:L296=A91))*(('GRT Norte'!K6:K296="INSTALADO - OPERANDO")+('GRT Norte'!K6:K296="INSTALADO - SIN SEÑAL")&gt;0))</f>
        <v>0</v>
      </c>
      <c r="H91" s="41">
        <f>SUMPRODUCT(((ISNUMBER('GRT Noreste'!L6:L262))*('GRT Noreste'!L6:L262=A91))*(('GRT Noreste'!K6:K262="INSTALADO - OPERANDO")+('GRT Noreste'!K6:K262="INSTALADO - SIN SEÑAL")&gt;0))</f>
        <v>0</v>
      </c>
      <c r="I91" s="41">
        <f>SUMPRODUCT(((ISNUMBER('GRT Baja California'!L6:L281))*('GRT Baja California'!L6:L281=A91))*(('GRT Baja California'!K6:K281="INSTALADO - OPERANDO")+('GRT Baja California'!K6:K281="INSTALADO - SIN SEÑAL")&gt;0))</f>
        <v>0</v>
      </c>
      <c r="J91" s="65">
        <f t="shared" si="6"/>
        <v>0</v>
      </c>
      <c r="K91" s="49">
        <f t="shared" si="8"/>
        <v>1289</v>
      </c>
      <c r="L91" s="52">
        <f t="shared" si="7"/>
        <v>0.30472813238770685</v>
      </c>
      <c r="M91" s="53"/>
    </row>
    <row r="92" spans="1:13" ht="15" customHeight="1">
      <c r="A92" s="55">
        <v>46184</v>
      </c>
      <c r="B92" s="44">
        <f>SUMPRODUCT(((ISNUMBER('GRT Central'!L6:L1135))*('GRT Central'!L6:L1135=A92))*(('GRT Central'!K6:K1135="INSTALADO - OPERANDO")+('GRT Central'!K6:K1135="INSTALADO - SIN SEÑAL")&gt;0))</f>
        <v>0</v>
      </c>
      <c r="C92" s="44">
        <f>SUMPRODUCT(((ISNUMBER('GRT Occidente'!L6:L784))*('GRT Occidente'!L6:L784=A92))*(('GRT Occidente'!K6:K784="INSTALADO - OPERANDO")+('GRT Occidente'!K6:K784="INSTALADO - SIN SEÑAL")&gt;0))</f>
        <v>0</v>
      </c>
      <c r="D92" s="44">
        <f>SUMPRODUCT(((ISNUMBER('GRT Oriente'!L6:L400))*('GRT Oriente'!L6:L400=A92))*(('GRT Oriente'!K6:K400="INSTALADO - OPERANDO")+('GRT Oriente'!K6:K400="INSTALADO - SIN SEÑAL")&gt;0))</f>
        <v>0</v>
      </c>
      <c r="E92" s="44">
        <f>SUMPRODUCT(((ISNUMBER('GRT Valle de México'!L6:L740))*('GRT Valle de México'!L6:L740=A92))*(('GRT Valle de México'!K6:K740="INSTALADO - OPERANDO")+('GRT Valle de México'!K6:K740="INSTALADO - SIN SEÑAL")&gt;0))</f>
        <v>0</v>
      </c>
      <c r="F92" s="44">
        <f>SUMPRODUCT(((ISNUMBER('GRT Noroeste'!L6:L372))*('GRT Noroeste'!L6:L372=A92))*(('GRT Noroeste'!K6:K372="INSTALADO - OPERANDO")+('GRT Noroeste'!K6:K372="INSTALADO - SIN SEÑAL")&gt;0))</f>
        <v>0</v>
      </c>
      <c r="G92" s="44">
        <f>SUMPRODUCT(((ISNUMBER('GRT Norte'!L6:L296))*('GRT Norte'!L6:L296=A92))*(('GRT Norte'!K6:K296="INSTALADO - OPERANDO")+('GRT Norte'!K6:K296="INSTALADO - SIN SEÑAL")&gt;0))</f>
        <v>0</v>
      </c>
      <c r="H92" s="44">
        <f>SUMPRODUCT(((ISNUMBER('GRT Noreste'!L6:L262))*('GRT Noreste'!L6:L262=A92))*(('GRT Noreste'!K6:K262="INSTALADO - OPERANDO")+('GRT Noreste'!K6:K262="INSTALADO - SIN SEÑAL")&gt;0))</f>
        <v>0</v>
      </c>
      <c r="I92" s="44">
        <f>SUMPRODUCT(((ISNUMBER('GRT Baja California'!L6:L281))*('GRT Baja California'!L6:L281=A92))*(('GRT Baja California'!K6:K281="INSTALADO - OPERANDO")+('GRT Baja California'!K6:K281="INSTALADO - SIN SEÑAL")&gt;0))</f>
        <v>0</v>
      </c>
      <c r="J92" s="64">
        <f t="shared" si="6"/>
        <v>0</v>
      </c>
      <c r="K92" s="54">
        <f t="shared" si="8"/>
        <v>1289</v>
      </c>
      <c r="L92" s="57">
        <f t="shared" si="7"/>
        <v>0.30472813238770685</v>
      </c>
      <c r="M92" s="58"/>
    </row>
    <row r="93" spans="1:13" ht="15" customHeight="1">
      <c r="A93" s="50">
        <v>46185</v>
      </c>
      <c r="B93" s="41">
        <f>SUMPRODUCT(((ISNUMBER('GRT Central'!L6:L1135))*('GRT Central'!L6:L1135=A93))*(('GRT Central'!K6:K1135="INSTALADO - OPERANDO")+('GRT Central'!K6:K1135="INSTALADO - SIN SEÑAL")&gt;0))</f>
        <v>0</v>
      </c>
      <c r="C93" s="41">
        <f>SUMPRODUCT(((ISNUMBER('GRT Occidente'!L6:L784))*('GRT Occidente'!L6:L784=A93))*(('GRT Occidente'!K6:K784="INSTALADO - OPERANDO")+('GRT Occidente'!K6:K784="INSTALADO - SIN SEÑAL")&gt;0))</f>
        <v>0</v>
      </c>
      <c r="D93" s="41">
        <f>SUMPRODUCT(((ISNUMBER('GRT Oriente'!L6:L400))*('GRT Oriente'!L6:L400=A93))*(('GRT Oriente'!K6:K400="INSTALADO - OPERANDO")+('GRT Oriente'!K6:K400="INSTALADO - SIN SEÑAL")&gt;0))</f>
        <v>0</v>
      </c>
      <c r="E93" s="41">
        <f>SUMPRODUCT(((ISNUMBER('GRT Valle de México'!L6:L740))*('GRT Valle de México'!L6:L740=A93))*(('GRT Valle de México'!K6:K740="INSTALADO - OPERANDO")+('GRT Valle de México'!K6:K740="INSTALADO - SIN SEÑAL")&gt;0))</f>
        <v>0</v>
      </c>
      <c r="F93" s="41">
        <f>SUMPRODUCT(((ISNUMBER('GRT Noroeste'!L6:L372))*('GRT Noroeste'!L6:L372=A93))*(('GRT Noroeste'!K6:K372="INSTALADO - OPERANDO")+('GRT Noroeste'!K6:K372="INSTALADO - SIN SEÑAL")&gt;0))</f>
        <v>0</v>
      </c>
      <c r="G93" s="41">
        <f>SUMPRODUCT(((ISNUMBER('GRT Norte'!L6:L296))*('GRT Norte'!L6:L296=A93))*(('GRT Norte'!K6:K296="INSTALADO - OPERANDO")+('GRT Norte'!K6:K296="INSTALADO - SIN SEÑAL")&gt;0))</f>
        <v>0</v>
      </c>
      <c r="H93" s="41">
        <f>SUMPRODUCT(((ISNUMBER('GRT Noreste'!L6:L262))*('GRT Noreste'!L6:L262=A93))*(('GRT Noreste'!K6:K262="INSTALADO - OPERANDO")+('GRT Noreste'!K6:K262="INSTALADO - SIN SEÑAL")&gt;0))</f>
        <v>0</v>
      </c>
      <c r="I93" s="41">
        <f>SUMPRODUCT(((ISNUMBER('GRT Baja California'!L6:L281))*('GRT Baja California'!L6:L281=A93))*(('GRT Baja California'!K6:K281="INSTALADO - OPERANDO")+('GRT Baja California'!K6:K281="INSTALADO - SIN SEÑAL")&gt;0))</f>
        <v>0</v>
      </c>
      <c r="J93" s="65">
        <f t="shared" si="6"/>
        <v>0</v>
      </c>
      <c r="K93" s="49">
        <f t="shared" si="8"/>
        <v>1289</v>
      </c>
      <c r="L93" s="52">
        <f t="shared" si="7"/>
        <v>0.30472813238770685</v>
      </c>
      <c r="M93" s="53"/>
    </row>
    <row r="94" spans="1:13" ht="15" customHeight="1">
      <c r="A94" s="55">
        <v>46186</v>
      </c>
      <c r="B94" s="44">
        <f>SUMPRODUCT(((ISNUMBER('GRT Central'!L6:L1135))*('GRT Central'!L6:L1135=A94))*(('GRT Central'!K6:K1135="INSTALADO - OPERANDO")+('GRT Central'!K6:K1135="INSTALADO - SIN SEÑAL")&gt;0))</f>
        <v>0</v>
      </c>
      <c r="C94" s="44">
        <f>SUMPRODUCT(((ISNUMBER('GRT Occidente'!L6:L784))*('GRT Occidente'!L6:L784=A94))*(('GRT Occidente'!K6:K784="INSTALADO - OPERANDO")+('GRT Occidente'!K6:K784="INSTALADO - SIN SEÑAL")&gt;0))</f>
        <v>0</v>
      </c>
      <c r="D94" s="44">
        <f>SUMPRODUCT(((ISNUMBER('GRT Oriente'!L6:L400))*('GRT Oriente'!L6:L400=A94))*(('GRT Oriente'!K6:K400="INSTALADO - OPERANDO")+('GRT Oriente'!K6:K400="INSTALADO - SIN SEÑAL")&gt;0))</f>
        <v>0</v>
      </c>
      <c r="E94" s="44">
        <f>SUMPRODUCT(((ISNUMBER('GRT Valle de México'!L6:L740))*('GRT Valle de México'!L6:L740=A94))*(('GRT Valle de México'!K6:K740="INSTALADO - OPERANDO")+('GRT Valle de México'!K6:K740="INSTALADO - SIN SEÑAL")&gt;0))</f>
        <v>0</v>
      </c>
      <c r="F94" s="44">
        <f>SUMPRODUCT(((ISNUMBER('GRT Noroeste'!L6:L372))*('GRT Noroeste'!L6:L372=A94))*(('GRT Noroeste'!K6:K372="INSTALADO - OPERANDO")+('GRT Noroeste'!K6:K372="INSTALADO - SIN SEÑAL")&gt;0))</f>
        <v>0</v>
      </c>
      <c r="G94" s="44">
        <f>SUMPRODUCT(((ISNUMBER('GRT Norte'!L6:L296))*('GRT Norte'!L6:L296=A94))*(('GRT Norte'!K6:K296="INSTALADO - OPERANDO")+('GRT Norte'!K6:K296="INSTALADO - SIN SEÑAL")&gt;0))</f>
        <v>0</v>
      </c>
      <c r="H94" s="44">
        <f>SUMPRODUCT(((ISNUMBER('GRT Noreste'!L6:L262))*('GRT Noreste'!L6:L262=A94))*(('GRT Noreste'!K6:K262="INSTALADO - OPERANDO")+('GRT Noreste'!K6:K262="INSTALADO - SIN SEÑAL")&gt;0))</f>
        <v>0</v>
      </c>
      <c r="I94" s="44">
        <f>SUMPRODUCT(((ISNUMBER('GRT Baja California'!L6:L281))*('GRT Baja California'!L6:L281=A94))*(('GRT Baja California'!K6:K281="INSTALADO - OPERANDO")+('GRT Baja California'!K6:K281="INSTALADO - SIN SEÑAL")&gt;0))</f>
        <v>0</v>
      </c>
      <c r="J94" s="64">
        <f t="shared" si="6"/>
        <v>0</v>
      </c>
      <c r="K94" s="54">
        <f t="shared" si="8"/>
        <v>1289</v>
      </c>
      <c r="L94" s="57">
        <f t="shared" si="7"/>
        <v>0.30472813238770685</v>
      </c>
      <c r="M94" s="58"/>
    </row>
    <row r="95" spans="1:13" ht="15" customHeight="1">
      <c r="A95" s="50">
        <v>46187</v>
      </c>
      <c r="B95" s="41">
        <f>SUMPRODUCT(((ISNUMBER('GRT Central'!L6:L1135))*('GRT Central'!L6:L1135=A95))*(('GRT Central'!K6:K1135="INSTALADO - OPERANDO")+('GRT Central'!K6:K1135="INSTALADO - SIN SEÑAL")&gt;0))</f>
        <v>0</v>
      </c>
      <c r="C95" s="41">
        <f>SUMPRODUCT(((ISNUMBER('GRT Occidente'!L6:L784))*('GRT Occidente'!L6:L784=A95))*(('GRT Occidente'!K6:K784="INSTALADO - OPERANDO")+('GRT Occidente'!K6:K784="INSTALADO - SIN SEÑAL")&gt;0))</f>
        <v>0</v>
      </c>
      <c r="D95" s="41">
        <f>SUMPRODUCT(((ISNUMBER('GRT Oriente'!L6:L400))*('GRT Oriente'!L6:L400=A95))*(('GRT Oriente'!K6:K400="INSTALADO - OPERANDO")+('GRT Oriente'!K6:K400="INSTALADO - SIN SEÑAL")&gt;0))</f>
        <v>0</v>
      </c>
      <c r="E95" s="41">
        <f>SUMPRODUCT(((ISNUMBER('GRT Valle de México'!L6:L740))*('GRT Valle de México'!L6:L740=A95))*(('GRT Valle de México'!K6:K740="INSTALADO - OPERANDO")+('GRT Valle de México'!K6:K740="INSTALADO - SIN SEÑAL")&gt;0))</f>
        <v>0</v>
      </c>
      <c r="F95" s="41">
        <f>SUMPRODUCT(((ISNUMBER('GRT Noroeste'!L6:L372))*('GRT Noroeste'!L6:L372=A95))*(('GRT Noroeste'!K6:K372="INSTALADO - OPERANDO")+('GRT Noroeste'!K6:K372="INSTALADO - SIN SEÑAL")&gt;0))</f>
        <v>0</v>
      </c>
      <c r="G95" s="41">
        <f>SUMPRODUCT(((ISNUMBER('GRT Norte'!L6:L296))*('GRT Norte'!L6:L296=A95))*(('GRT Norte'!K6:K296="INSTALADO - OPERANDO")+('GRT Norte'!K6:K296="INSTALADO - SIN SEÑAL")&gt;0))</f>
        <v>0</v>
      </c>
      <c r="H95" s="41">
        <f>SUMPRODUCT(((ISNUMBER('GRT Noreste'!L6:L262))*('GRT Noreste'!L6:L262=A95))*(('GRT Noreste'!K6:K262="INSTALADO - OPERANDO")+('GRT Noreste'!K6:K262="INSTALADO - SIN SEÑAL")&gt;0))</f>
        <v>0</v>
      </c>
      <c r="I95" s="41">
        <f>SUMPRODUCT(((ISNUMBER('GRT Baja California'!L6:L281))*('GRT Baja California'!L6:L281=A95))*(('GRT Baja California'!K6:K281="INSTALADO - OPERANDO")+('GRT Baja California'!K6:K281="INSTALADO - SIN SEÑAL")&gt;0))</f>
        <v>0</v>
      </c>
      <c r="J95" s="65">
        <f t="shared" si="6"/>
        <v>0</v>
      </c>
      <c r="K95" s="49">
        <f t="shared" si="8"/>
        <v>1289</v>
      </c>
      <c r="L95" s="52">
        <f t="shared" si="7"/>
        <v>0.30472813238770685</v>
      </c>
      <c r="M95" s="53"/>
    </row>
    <row r="96" spans="1:13" ht="15" customHeight="1">
      <c r="A96" s="55">
        <v>46188</v>
      </c>
      <c r="B96" s="44">
        <f>SUMPRODUCT(((ISNUMBER('GRT Central'!L6:L1135))*('GRT Central'!L6:L1135=A96))*(('GRT Central'!K6:K1135="INSTALADO - OPERANDO")+('GRT Central'!K6:K1135="INSTALADO - SIN SEÑAL")&gt;0))</f>
        <v>0</v>
      </c>
      <c r="C96" s="44">
        <f>SUMPRODUCT(((ISNUMBER('GRT Occidente'!L6:L784))*('GRT Occidente'!L6:L784=A96))*(('GRT Occidente'!K6:K784="INSTALADO - OPERANDO")+('GRT Occidente'!K6:K784="INSTALADO - SIN SEÑAL")&gt;0))</f>
        <v>0</v>
      </c>
      <c r="D96" s="44">
        <f>SUMPRODUCT(((ISNUMBER('GRT Oriente'!L6:L400))*('GRT Oriente'!L6:L400=A96))*(('GRT Oriente'!K6:K400="INSTALADO - OPERANDO")+('GRT Oriente'!K6:K400="INSTALADO - SIN SEÑAL")&gt;0))</f>
        <v>0</v>
      </c>
      <c r="E96" s="44">
        <f>SUMPRODUCT(((ISNUMBER('GRT Valle de México'!L6:L740))*('GRT Valle de México'!L6:L740=A96))*(('GRT Valle de México'!K6:K740="INSTALADO - OPERANDO")+('GRT Valle de México'!K6:K740="INSTALADO - SIN SEÑAL")&gt;0))</f>
        <v>0</v>
      </c>
      <c r="F96" s="44">
        <f>SUMPRODUCT(((ISNUMBER('GRT Noroeste'!L6:L372))*('GRT Noroeste'!L6:L372=A96))*(('GRT Noroeste'!K6:K372="INSTALADO - OPERANDO")+('GRT Noroeste'!K6:K372="INSTALADO - SIN SEÑAL")&gt;0))</f>
        <v>0</v>
      </c>
      <c r="G96" s="44">
        <f>SUMPRODUCT(((ISNUMBER('GRT Norte'!L6:L296))*('GRT Norte'!L6:L296=A96))*(('GRT Norte'!K6:K296="INSTALADO - OPERANDO")+('GRT Norte'!K6:K296="INSTALADO - SIN SEÑAL")&gt;0))</f>
        <v>0</v>
      </c>
      <c r="H96" s="44">
        <f>SUMPRODUCT(((ISNUMBER('GRT Noreste'!L6:L262))*('GRT Noreste'!L6:L262=A96))*(('GRT Noreste'!K6:K262="INSTALADO - OPERANDO")+('GRT Noreste'!K6:K262="INSTALADO - SIN SEÑAL")&gt;0))</f>
        <v>0</v>
      </c>
      <c r="I96" s="44">
        <f>SUMPRODUCT(((ISNUMBER('GRT Baja California'!L6:L281))*('GRT Baja California'!L6:L281=A96))*(('GRT Baja California'!K6:K281="INSTALADO - OPERANDO")+('GRT Baja California'!K6:K281="INSTALADO - SIN SEÑAL")&gt;0))</f>
        <v>0</v>
      </c>
      <c r="J96" s="64">
        <f t="shared" si="6"/>
        <v>0</v>
      </c>
      <c r="K96" s="54">
        <f t="shared" si="8"/>
        <v>1289</v>
      </c>
      <c r="L96" s="57">
        <f t="shared" si="7"/>
        <v>0.30472813238770685</v>
      </c>
      <c r="M96" s="58"/>
    </row>
    <row r="97" spans="1:13" ht="15" customHeight="1">
      <c r="A97" s="50">
        <v>46189</v>
      </c>
      <c r="B97" s="41">
        <f>SUMPRODUCT(((ISNUMBER('GRT Central'!L6:L1135))*('GRT Central'!L6:L1135=A97))*(('GRT Central'!K6:K1135="INSTALADO - OPERANDO")+('GRT Central'!K6:K1135="INSTALADO - SIN SEÑAL")&gt;0))</f>
        <v>0</v>
      </c>
      <c r="C97" s="41">
        <f>SUMPRODUCT(((ISNUMBER('GRT Occidente'!L6:L784))*('GRT Occidente'!L6:L784=A97))*(('GRT Occidente'!K6:K784="INSTALADO - OPERANDO")+('GRT Occidente'!K6:K784="INSTALADO - SIN SEÑAL")&gt;0))</f>
        <v>0</v>
      </c>
      <c r="D97" s="41">
        <f>SUMPRODUCT(((ISNUMBER('GRT Oriente'!L6:L400))*('GRT Oriente'!L6:L400=A97))*(('GRT Oriente'!K6:K400="INSTALADO - OPERANDO")+('GRT Oriente'!K6:K400="INSTALADO - SIN SEÑAL")&gt;0))</f>
        <v>0</v>
      </c>
      <c r="E97" s="41">
        <f>SUMPRODUCT(((ISNUMBER('GRT Valle de México'!L6:L740))*('GRT Valle de México'!L6:L740=A97))*(('GRT Valle de México'!K6:K740="INSTALADO - OPERANDO")+('GRT Valle de México'!K6:K740="INSTALADO - SIN SEÑAL")&gt;0))</f>
        <v>0</v>
      </c>
      <c r="F97" s="41">
        <f>SUMPRODUCT(((ISNUMBER('GRT Noroeste'!L6:L372))*('GRT Noroeste'!L6:L372=A97))*(('GRT Noroeste'!K6:K372="INSTALADO - OPERANDO")+('GRT Noroeste'!K6:K372="INSTALADO - SIN SEÑAL")&gt;0))</f>
        <v>0</v>
      </c>
      <c r="G97" s="41">
        <f>SUMPRODUCT(((ISNUMBER('GRT Norte'!L6:L296))*('GRT Norte'!L6:L296=A97))*(('GRT Norte'!K6:K296="INSTALADO - OPERANDO")+('GRT Norte'!K6:K296="INSTALADO - SIN SEÑAL")&gt;0))</f>
        <v>0</v>
      </c>
      <c r="H97" s="41">
        <f>SUMPRODUCT(((ISNUMBER('GRT Noreste'!L6:L262))*('GRT Noreste'!L6:L262=A97))*(('GRT Noreste'!K6:K262="INSTALADO - OPERANDO")+('GRT Noreste'!K6:K262="INSTALADO - SIN SEÑAL")&gt;0))</f>
        <v>0</v>
      </c>
      <c r="I97" s="41">
        <f>SUMPRODUCT(((ISNUMBER('GRT Baja California'!L6:L281))*('GRT Baja California'!L6:L281=A97))*(('GRT Baja California'!K6:K281="INSTALADO - OPERANDO")+('GRT Baja California'!K6:K281="INSTALADO - SIN SEÑAL")&gt;0))</f>
        <v>0</v>
      </c>
      <c r="J97" s="65">
        <f t="shared" si="6"/>
        <v>0</v>
      </c>
      <c r="K97" s="49">
        <f t="shared" si="8"/>
        <v>1289</v>
      </c>
      <c r="L97" s="52">
        <f t="shared" si="7"/>
        <v>0.30472813238770685</v>
      </c>
      <c r="M97" s="53"/>
    </row>
    <row r="98" spans="1:13" ht="15" customHeight="1">
      <c r="A98" s="55">
        <v>46190</v>
      </c>
      <c r="B98" s="44">
        <f>SUMPRODUCT(((ISNUMBER('GRT Central'!L6:L1135))*('GRT Central'!L6:L1135=A98))*(('GRT Central'!K6:K1135="INSTALADO - OPERANDO")+('GRT Central'!K6:K1135="INSTALADO - SIN SEÑAL")&gt;0))</f>
        <v>0</v>
      </c>
      <c r="C98" s="44">
        <f>SUMPRODUCT(((ISNUMBER('GRT Occidente'!L6:L784))*('GRT Occidente'!L6:L784=A98))*(('GRT Occidente'!K6:K784="INSTALADO - OPERANDO")+('GRT Occidente'!K6:K784="INSTALADO - SIN SEÑAL")&gt;0))</f>
        <v>0</v>
      </c>
      <c r="D98" s="44">
        <f>SUMPRODUCT(((ISNUMBER('GRT Oriente'!L6:L400))*('GRT Oriente'!L6:L400=A98))*(('GRT Oriente'!K6:K400="INSTALADO - OPERANDO")+('GRT Oriente'!K6:K400="INSTALADO - SIN SEÑAL")&gt;0))</f>
        <v>0</v>
      </c>
      <c r="E98" s="44">
        <f>SUMPRODUCT(((ISNUMBER('GRT Valle de México'!L6:L740))*('GRT Valle de México'!L6:L740=A98))*(('GRT Valle de México'!K6:K740="INSTALADO - OPERANDO")+('GRT Valle de México'!K6:K740="INSTALADO - SIN SEÑAL")&gt;0))</f>
        <v>0</v>
      </c>
      <c r="F98" s="44">
        <f>SUMPRODUCT(((ISNUMBER('GRT Noroeste'!L6:L372))*('GRT Noroeste'!L6:L372=A98))*(('GRT Noroeste'!K6:K372="INSTALADO - OPERANDO")+('GRT Noroeste'!K6:K372="INSTALADO - SIN SEÑAL")&gt;0))</f>
        <v>0</v>
      </c>
      <c r="G98" s="44">
        <f>SUMPRODUCT(((ISNUMBER('GRT Norte'!L6:L296))*('GRT Norte'!L6:L296=A98))*(('GRT Norte'!K6:K296="INSTALADO - OPERANDO")+('GRT Norte'!K6:K296="INSTALADO - SIN SEÑAL")&gt;0))</f>
        <v>0</v>
      </c>
      <c r="H98" s="44">
        <f>SUMPRODUCT(((ISNUMBER('GRT Noreste'!L6:L262))*('GRT Noreste'!L6:L262=A98))*(('GRT Noreste'!K6:K262="INSTALADO - OPERANDO")+('GRT Noreste'!K6:K262="INSTALADO - SIN SEÑAL")&gt;0))</f>
        <v>0</v>
      </c>
      <c r="I98" s="44">
        <f>SUMPRODUCT(((ISNUMBER('GRT Baja California'!L6:L281))*('GRT Baja California'!L6:L281=A98))*(('GRT Baja California'!K6:K281="INSTALADO - OPERANDO")+('GRT Baja California'!K6:K281="INSTALADO - SIN SEÑAL")&gt;0))</f>
        <v>0</v>
      </c>
      <c r="J98" s="64">
        <f t="shared" si="6"/>
        <v>0</v>
      </c>
      <c r="K98" s="54">
        <f t="shared" si="8"/>
        <v>1289</v>
      </c>
      <c r="L98" s="57">
        <f t="shared" si="7"/>
        <v>0.30472813238770685</v>
      </c>
      <c r="M98" s="58"/>
    </row>
    <row r="99" spans="1:13" ht="15" customHeight="1">
      <c r="A99" s="50">
        <v>46191</v>
      </c>
      <c r="B99" s="41">
        <f>SUMPRODUCT(((ISNUMBER('GRT Central'!L6:L1135))*('GRT Central'!L6:L1135=A99))*(('GRT Central'!K6:K1135="INSTALADO - OPERANDO")+('GRT Central'!K6:K1135="INSTALADO - SIN SEÑAL")&gt;0))</f>
        <v>0</v>
      </c>
      <c r="C99" s="41">
        <f>SUMPRODUCT(((ISNUMBER('GRT Occidente'!L6:L784))*('GRT Occidente'!L6:L784=A99))*(('GRT Occidente'!K6:K784="INSTALADO - OPERANDO")+('GRT Occidente'!K6:K784="INSTALADO - SIN SEÑAL")&gt;0))</f>
        <v>0</v>
      </c>
      <c r="D99" s="41">
        <f>SUMPRODUCT(((ISNUMBER('GRT Oriente'!L6:L400))*('GRT Oriente'!L6:L400=A99))*(('GRT Oriente'!K6:K400="INSTALADO - OPERANDO")+('GRT Oriente'!K6:K400="INSTALADO - SIN SEÑAL")&gt;0))</f>
        <v>0</v>
      </c>
      <c r="E99" s="41">
        <f>SUMPRODUCT(((ISNUMBER('GRT Valle de México'!L6:L740))*('GRT Valle de México'!L6:L740=A99))*(('GRT Valle de México'!K6:K740="INSTALADO - OPERANDO")+('GRT Valle de México'!K6:K740="INSTALADO - SIN SEÑAL")&gt;0))</f>
        <v>0</v>
      </c>
      <c r="F99" s="41">
        <f>SUMPRODUCT(((ISNUMBER('GRT Noroeste'!L6:L372))*('GRT Noroeste'!L6:L372=A99))*(('GRT Noroeste'!K6:K372="INSTALADO - OPERANDO")+('GRT Noroeste'!K6:K372="INSTALADO - SIN SEÑAL")&gt;0))</f>
        <v>0</v>
      </c>
      <c r="G99" s="41">
        <f>SUMPRODUCT(((ISNUMBER('GRT Norte'!L6:L296))*('GRT Norte'!L6:L296=A99))*(('GRT Norte'!K6:K296="INSTALADO - OPERANDO")+('GRT Norte'!K6:K296="INSTALADO - SIN SEÑAL")&gt;0))</f>
        <v>0</v>
      </c>
      <c r="H99" s="41">
        <f>SUMPRODUCT(((ISNUMBER('GRT Noreste'!L6:L262))*('GRT Noreste'!L6:L262=A99))*(('GRT Noreste'!K6:K262="INSTALADO - OPERANDO")+('GRT Noreste'!K6:K262="INSTALADO - SIN SEÑAL")&gt;0))</f>
        <v>0</v>
      </c>
      <c r="I99" s="41">
        <f>SUMPRODUCT(((ISNUMBER('GRT Baja California'!L6:L281))*('GRT Baja California'!L6:L281=A99))*(('GRT Baja California'!K6:K281="INSTALADO - OPERANDO")+('GRT Baja California'!K6:K281="INSTALADO - SIN SEÑAL")&gt;0))</f>
        <v>0</v>
      </c>
      <c r="J99" s="65">
        <f t="shared" si="6"/>
        <v>0</v>
      </c>
      <c r="K99" s="49">
        <f t="shared" si="8"/>
        <v>1289</v>
      </c>
      <c r="L99" s="52">
        <f t="shared" si="7"/>
        <v>0.30472813238770685</v>
      </c>
      <c r="M99" s="53"/>
    </row>
    <row r="100" spans="1:13" ht="15" customHeight="1">
      <c r="A100" s="55">
        <v>46192</v>
      </c>
      <c r="B100" s="44">
        <f>SUMPRODUCT(((ISNUMBER('GRT Central'!L6:L1135))*('GRT Central'!L6:L1135=A100))*(('GRT Central'!K6:K1135="INSTALADO - OPERANDO")+('GRT Central'!K6:K1135="INSTALADO - SIN SEÑAL")&gt;0))</f>
        <v>0</v>
      </c>
      <c r="C100" s="44">
        <f>SUMPRODUCT(((ISNUMBER('GRT Occidente'!L6:L784))*('GRT Occidente'!L6:L784=A100))*(('GRT Occidente'!K6:K784="INSTALADO - OPERANDO")+('GRT Occidente'!K6:K784="INSTALADO - SIN SEÑAL")&gt;0))</f>
        <v>0</v>
      </c>
      <c r="D100" s="44">
        <f>SUMPRODUCT(((ISNUMBER('GRT Oriente'!L6:L400))*('GRT Oriente'!L6:L400=A100))*(('GRT Oriente'!K6:K400="INSTALADO - OPERANDO")+('GRT Oriente'!K6:K400="INSTALADO - SIN SEÑAL")&gt;0))</f>
        <v>0</v>
      </c>
      <c r="E100" s="44">
        <f>SUMPRODUCT(((ISNUMBER('GRT Valle de México'!L6:L740))*('GRT Valle de México'!L6:L740=A100))*(('GRT Valle de México'!K6:K740="INSTALADO - OPERANDO")+('GRT Valle de México'!K6:K740="INSTALADO - SIN SEÑAL")&gt;0))</f>
        <v>0</v>
      </c>
      <c r="F100" s="44">
        <f>SUMPRODUCT(((ISNUMBER('GRT Noroeste'!L6:L372))*('GRT Noroeste'!L6:L372=A100))*(('GRT Noroeste'!K6:K372="INSTALADO - OPERANDO")+('GRT Noroeste'!K6:K372="INSTALADO - SIN SEÑAL")&gt;0))</f>
        <v>0</v>
      </c>
      <c r="G100" s="44">
        <f>SUMPRODUCT(((ISNUMBER('GRT Norte'!L6:L296))*('GRT Norte'!L6:L296=A100))*(('GRT Norte'!K6:K296="INSTALADO - OPERANDO")+('GRT Norte'!K6:K296="INSTALADO - SIN SEÑAL")&gt;0))</f>
        <v>0</v>
      </c>
      <c r="H100" s="44">
        <f>SUMPRODUCT(((ISNUMBER('GRT Noreste'!L6:L262))*('GRT Noreste'!L6:L262=A100))*(('GRT Noreste'!K6:K262="INSTALADO - OPERANDO")+('GRT Noreste'!K6:K262="INSTALADO - SIN SEÑAL")&gt;0))</f>
        <v>0</v>
      </c>
      <c r="I100" s="44">
        <f>SUMPRODUCT(((ISNUMBER('GRT Baja California'!L6:L281))*('GRT Baja California'!L6:L281=A100))*(('GRT Baja California'!K6:K281="INSTALADO - OPERANDO")+('GRT Baja California'!K6:K281="INSTALADO - SIN SEÑAL")&gt;0))</f>
        <v>0</v>
      </c>
      <c r="J100" s="64">
        <f t="shared" si="6"/>
        <v>0</v>
      </c>
      <c r="K100" s="54">
        <f t="shared" si="8"/>
        <v>1289</v>
      </c>
      <c r="L100" s="57">
        <f t="shared" si="7"/>
        <v>0.30472813238770685</v>
      </c>
      <c r="M100" s="58"/>
    </row>
    <row r="101" spans="1:13" ht="15" customHeight="1">
      <c r="A101" s="50">
        <v>46193</v>
      </c>
      <c r="B101" s="41">
        <f>SUMPRODUCT(((ISNUMBER('GRT Central'!L6:L1135))*('GRT Central'!L6:L1135=A101))*(('GRT Central'!K6:K1135="INSTALADO - OPERANDO")+('GRT Central'!K6:K1135="INSTALADO - SIN SEÑAL")&gt;0))</f>
        <v>0</v>
      </c>
      <c r="C101" s="41">
        <f>SUMPRODUCT(((ISNUMBER('GRT Occidente'!L6:L784))*('GRT Occidente'!L6:L784=A101))*(('GRT Occidente'!K6:K784="INSTALADO - OPERANDO")+('GRT Occidente'!K6:K784="INSTALADO - SIN SEÑAL")&gt;0))</f>
        <v>0</v>
      </c>
      <c r="D101" s="41">
        <f>SUMPRODUCT(((ISNUMBER('GRT Oriente'!L6:L400))*('GRT Oriente'!L6:L400=A101))*(('GRT Oriente'!K6:K400="INSTALADO - OPERANDO")+('GRT Oriente'!K6:K400="INSTALADO - SIN SEÑAL")&gt;0))</f>
        <v>0</v>
      </c>
      <c r="E101" s="41">
        <f>SUMPRODUCT(((ISNUMBER('GRT Valle de México'!L6:L740))*('GRT Valle de México'!L6:L740=A101))*(('GRT Valle de México'!K6:K740="INSTALADO - OPERANDO")+('GRT Valle de México'!K6:K740="INSTALADO - SIN SEÑAL")&gt;0))</f>
        <v>0</v>
      </c>
      <c r="F101" s="41">
        <f>SUMPRODUCT(((ISNUMBER('GRT Noroeste'!L6:L372))*('GRT Noroeste'!L6:L372=A101))*(('GRT Noroeste'!K6:K372="INSTALADO - OPERANDO")+('GRT Noroeste'!K6:K372="INSTALADO - SIN SEÑAL")&gt;0))</f>
        <v>0</v>
      </c>
      <c r="G101" s="41">
        <f>SUMPRODUCT(((ISNUMBER('GRT Norte'!L6:L296))*('GRT Norte'!L6:L296=A101))*(('GRT Norte'!K6:K296="INSTALADO - OPERANDO")+('GRT Norte'!K6:K296="INSTALADO - SIN SEÑAL")&gt;0))</f>
        <v>0</v>
      </c>
      <c r="H101" s="41">
        <f>SUMPRODUCT(((ISNUMBER('GRT Noreste'!L6:L262))*('GRT Noreste'!L6:L262=A101))*(('GRT Noreste'!K6:K262="INSTALADO - OPERANDO")+('GRT Noreste'!K6:K262="INSTALADO - SIN SEÑAL")&gt;0))</f>
        <v>0</v>
      </c>
      <c r="I101" s="41">
        <f>SUMPRODUCT(((ISNUMBER('GRT Baja California'!L6:L281))*('GRT Baja California'!L6:L281=A101))*(('GRT Baja California'!K6:K281="INSTALADO - OPERANDO")+('GRT Baja California'!K6:K281="INSTALADO - SIN SEÑAL")&gt;0))</f>
        <v>0</v>
      </c>
      <c r="J101" s="65">
        <f t="shared" si="6"/>
        <v>0</v>
      </c>
      <c r="K101" s="49">
        <f t="shared" si="8"/>
        <v>1289</v>
      </c>
      <c r="L101" s="52">
        <f t="shared" si="7"/>
        <v>0.30472813238770685</v>
      </c>
      <c r="M101" s="53"/>
    </row>
    <row r="102" spans="1:13" ht="15" customHeight="1">
      <c r="A102" s="55">
        <v>46194</v>
      </c>
      <c r="B102" s="44">
        <f>SUMPRODUCT(((ISNUMBER('GRT Central'!L6:L1135))*('GRT Central'!L6:L1135=A102))*(('GRT Central'!K6:K1135="INSTALADO - OPERANDO")+('GRT Central'!K6:K1135="INSTALADO - SIN SEÑAL")&gt;0))</f>
        <v>0</v>
      </c>
      <c r="C102" s="44">
        <f>SUMPRODUCT(((ISNUMBER('GRT Occidente'!L6:L784))*('GRT Occidente'!L6:L784=A102))*(('GRT Occidente'!K6:K784="INSTALADO - OPERANDO")+('GRT Occidente'!K6:K784="INSTALADO - SIN SEÑAL")&gt;0))</f>
        <v>0</v>
      </c>
      <c r="D102" s="44">
        <f>SUMPRODUCT(((ISNUMBER('GRT Oriente'!L6:L400))*('GRT Oriente'!L6:L400=A102))*(('GRT Oriente'!K6:K400="INSTALADO - OPERANDO")+('GRT Oriente'!K6:K400="INSTALADO - SIN SEÑAL")&gt;0))</f>
        <v>0</v>
      </c>
      <c r="E102" s="44">
        <f>SUMPRODUCT(((ISNUMBER('GRT Valle de México'!L6:L740))*('GRT Valle de México'!L6:L740=A102))*(('GRT Valle de México'!K6:K740="INSTALADO - OPERANDO")+('GRT Valle de México'!K6:K740="INSTALADO - SIN SEÑAL")&gt;0))</f>
        <v>0</v>
      </c>
      <c r="F102" s="44">
        <f>SUMPRODUCT(((ISNUMBER('GRT Noroeste'!L6:L372))*('GRT Noroeste'!L6:L372=A102))*(('GRT Noroeste'!K6:K372="INSTALADO - OPERANDO")+('GRT Noroeste'!K6:K372="INSTALADO - SIN SEÑAL")&gt;0))</f>
        <v>0</v>
      </c>
      <c r="G102" s="44">
        <f>SUMPRODUCT(((ISNUMBER('GRT Norte'!L6:L296))*('GRT Norte'!L6:L296=A102))*(('GRT Norte'!K6:K296="INSTALADO - OPERANDO")+('GRT Norte'!K6:K296="INSTALADO - SIN SEÑAL")&gt;0))</f>
        <v>0</v>
      </c>
      <c r="H102" s="44">
        <f>SUMPRODUCT(((ISNUMBER('GRT Noreste'!L6:L262))*('GRT Noreste'!L6:L262=A102))*(('GRT Noreste'!K6:K262="INSTALADO - OPERANDO")+('GRT Noreste'!K6:K262="INSTALADO - SIN SEÑAL")&gt;0))</f>
        <v>0</v>
      </c>
      <c r="I102" s="44">
        <f>SUMPRODUCT(((ISNUMBER('GRT Baja California'!L6:L281))*('GRT Baja California'!L6:L281=A102))*(('GRT Baja California'!K6:K281="INSTALADO - OPERANDO")+('GRT Baja California'!K6:K281="INSTALADO - SIN SEÑAL")&gt;0))</f>
        <v>0</v>
      </c>
      <c r="J102" s="64">
        <f t="shared" ref="J102:J133" si="9">SUM(B102:I102)</f>
        <v>0</v>
      </c>
      <c r="K102" s="54">
        <f t="shared" si="8"/>
        <v>1289</v>
      </c>
      <c r="L102" s="57">
        <f t="shared" ref="L102:L133" si="10">IF(K102=0,"",K102/4230)</f>
        <v>0.30472813238770685</v>
      </c>
      <c r="M102" s="58"/>
    </row>
    <row r="103" spans="1:13" ht="15" customHeight="1">
      <c r="A103" s="50">
        <v>46195</v>
      </c>
      <c r="B103" s="41">
        <f>SUMPRODUCT(((ISNUMBER('GRT Central'!L6:L1135))*('GRT Central'!L6:L1135=A103))*(('GRT Central'!K6:K1135="INSTALADO - OPERANDO")+('GRT Central'!K6:K1135="INSTALADO - SIN SEÑAL")&gt;0))</f>
        <v>0</v>
      </c>
      <c r="C103" s="41">
        <f>SUMPRODUCT(((ISNUMBER('GRT Occidente'!L6:L784))*('GRT Occidente'!L6:L784=A103))*(('GRT Occidente'!K6:K784="INSTALADO - OPERANDO")+('GRT Occidente'!K6:K784="INSTALADO - SIN SEÑAL")&gt;0))</f>
        <v>0</v>
      </c>
      <c r="D103" s="41">
        <f>SUMPRODUCT(((ISNUMBER('GRT Oriente'!L6:L400))*('GRT Oriente'!L6:L400=A103))*(('GRT Oriente'!K6:K400="INSTALADO - OPERANDO")+('GRT Oriente'!K6:K400="INSTALADO - SIN SEÑAL")&gt;0))</f>
        <v>0</v>
      </c>
      <c r="E103" s="41">
        <f>SUMPRODUCT(((ISNUMBER('GRT Valle de México'!L6:L740))*('GRT Valle de México'!L6:L740=A103))*(('GRT Valle de México'!K6:K740="INSTALADO - OPERANDO")+('GRT Valle de México'!K6:K740="INSTALADO - SIN SEÑAL")&gt;0))</f>
        <v>0</v>
      </c>
      <c r="F103" s="41">
        <f>SUMPRODUCT(((ISNUMBER('GRT Noroeste'!L6:L372))*('GRT Noroeste'!L6:L372=A103))*(('GRT Noroeste'!K6:K372="INSTALADO - OPERANDO")+('GRT Noroeste'!K6:K372="INSTALADO - SIN SEÑAL")&gt;0))</f>
        <v>0</v>
      </c>
      <c r="G103" s="41">
        <f>SUMPRODUCT(((ISNUMBER('GRT Norte'!L6:L296))*('GRT Norte'!L6:L296=A103))*(('GRT Norte'!K6:K296="INSTALADO - OPERANDO")+('GRT Norte'!K6:K296="INSTALADO - SIN SEÑAL")&gt;0))</f>
        <v>0</v>
      </c>
      <c r="H103" s="41">
        <f>SUMPRODUCT(((ISNUMBER('GRT Noreste'!L6:L262))*('GRT Noreste'!L6:L262=A103))*(('GRT Noreste'!K6:K262="INSTALADO - OPERANDO")+('GRT Noreste'!K6:K262="INSTALADO - SIN SEÑAL")&gt;0))</f>
        <v>0</v>
      </c>
      <c r="I103" s="41">
        <f>SUMPRODUCT(((ISNUMBER('GRT Baja California'!L6:L281))*('GRT Baja California'!L6:L281=A103))*(('GRT Baja California'!K6:K281="INSTALADO - OPERANDO")+('GRT Baja California'!K6:K281="INSTALADO - SIN SEÑAL")&gt;0))</f>
        <v>0</v>
      </c>
      <c r="J103" s="65">
        <f t="shared" si="9"/>
        <v>0</v>
      </c>
      <c r="K103" s="49">
        <f t="shared" ref="K103:K134" si="11">K102+J103</f>
        <v>1289</v>
      </c>
      <c r="L103" s="52">
        <f t="shared" si="10"/>
        <v>0.30472813238770685</v>
      </c>
      <c r="M103" s="53"/>
    </row>
    <row r="104" spans="1:13" ht="15" customHeight="1">
      <c r="A104" s="55">
        <v>46196</v>
      </c>
      <c r="B104" s="44">
        <f>SUMPRODUCT(((ISNUMBER('GRT Central'!L6:L1135))*('GRT Central'!L6:L1135=A104))*(('GRT Central'!K6:K1135="INSTALADO - OPERANDO")+('GRT Central'!K6:K1135="INSTALADO - SIN SEÑAL")&gt;0))</f>
        <v>0</v>
      </c>
      <c r="C104" s="44">
        <f>SUMPRODUCT(((ISNUMBER('GRT Occidente'!L6:L784))*('GRT Occidente'!L6:L784=A104))*(('GRT Occidente'!K6:K784="INSTALADO - OPERANDO")+('GRT Occidente'!K6:K784="INSTALADO - SIN SEÑAL")&gt;0))</f>
        <v>0</v>
      </c>
      <c r="D104" s="44">
        <f>SUMPRODUCT(((ISNUMBER('GRT Oriente'!L6:L400))*('GRT Oriente'!L6:L400=A104))*(('GRT Oriente'!K6:K400="INSTALADO - OPERANDO")+('GRT Oriente'!K6:K400="INSTALADO - SIN SEÑAL")&gt;0))</f>
        <v>0</v>
      </c>
      <c r="E104" s="44">
        <f>SUMPRODUCT(((ISNUMBER('GRT Valle de México'!L6:L740))*('GRT Valle de México'!L6:L740=A104))*(('GRT Valle de México'!K6:K740="INSTALADO - OPERANDO")+('GRT Valle de México'!K6:K740="INSTALADO - SIN SEÑAL")&gt;0))</f>
        <v>0</v>
      </c>
      <c r="F104" s="44">
        <f>SUMPRODUCT(((ISNUMBER('GRT Noroeste'!L6:L372))*('GRT Noroeste'!L6:L372=A104))*(('GRT Noroeste'!K6:K372="INSTALADO - OPERANDO")+('GRT Noroeste'!K6:K372="INSTALADO - SIN SEÑAL")&gt;0))</f>
        <v>0</v>
      </c>
      <c r="G104" s="44">
        <f>SUMPRODUCT(((ISNUMBER('GRT Norte'!L6:L296))*('GRT Norte'!L6:L296=A104))*(('GRT Norte'!K6:K296="INSTALADO - OPERANDO")+('GRT Norte'!K6:K296="INSTALADO - SIN SEÑAL")&gt;0))</f>
        <v>0</v>
      </c>
      <c r="H104" s="44">
        <f>SUMPRODUCT(((ISNUMBER('GRT Noreste'!L6:L262))*('GRT Noreste'!L6:L262=A104))*(('GRT Noreste'!K6:K262="INSTALADO - OPERANDO")+('GRT Noreste'!K6:K262="INSTALADO - SIN SEÑAL")&gt;0))</f>
        <v>0</v>
      </c>
      <c r="I104" s="44">
        <f>SUMPRODUCT(((ISNUMBER('GRT Baja California'!L6:L281))*('GRT Baja California'!L6:L281=A104))*(('GRT Baja California'!K6:K281="INSTALADO - OPERANDO")+('GRT Baja California'!K6:K281="INSTALADO - SIN SEÑAL")&gt;0))</f>
        <v>0</v>
      </c>
      <c r="J104" s="64">
        <f t="shared" si="9"/>
        <v>0</v>
      </c>
      <c r="K104" s="54">
        <f t="shared" si="11"/>
        <v>1289</v>
      </c>
      <c r="L104" s="57">
        <f t="shared" si="10"/>
        <v>0.30472813238770685</v>
      </c>
      <c r="M104" s="58"/>
    </row>
    <row r="105" spans="1:13" ht="15" customHeight="1">
      <c r="A105" s="50">
        <v>46197</v>
      </c>
      <c r="B105" s="41">
        <f>SUMPRODUCT(((ISNUMBER('GRT Central'!L6:L1135))*('GRT Central'!L6:L1135=A105))*(('GRT Central'!K6:K1135="INSTALADO - OPERANDO")+('GRT Central'!K6:K1135="INSTALADO - SIN SEÑAL")&gt;0))</f>
        <v>0</v>
      </c>
      <c r="C105" s="41">
        <f>SUMPRODUCT(((ISNUMBER('GRT Occidente'!L6:L784))*('GRT Occidente'!L6:L784=A105))*(('GRT Occidente'!K6:K784="INSTALADO - OPERANDO")+('GRT Occidente'!K6:K784="INSTALADO - SIN SEÑAL")&gt;0))</f>
        <v>0</v>
      </c>
      <c r="D105" s="41">
        <f>SUMPRODUCT(((ISNUMBER('GRT Oriente'!L6:L400))*('GRT Oriente'!L6:L400=A105))*(('GRT Oriente'!K6:K400="INSTALADO - OPERANDO")+('GRT Oriente'!K6:K400="INSTALADO - SIN SEÑAL")&gt;0))</f>
        <v>0</v>
      </c>
      <c r="E105" s="41">
        <f>SUMPRODUCT(((ISNUMBER('GRT Valle de México'!L6:L740))*('GRT Valle de México'!L6:L740=A105))*(('GRT Valle de México'!K6:K740="INSTALADO - OPERANDO")+('GRT Valle de México'!K6:K740="INSTALADO - SIN SEÑAL")&gt;0))</f>
        <v>0</v>
      </c>
      <c r="F105" s="41">
        <f>SUMPRODUCT(((ISNUMBER('GRT Noroeste'!L6:L372))*('GRT Noroeste'!L6:L372=A105))*(('GRT Noroeste'!K6:K372="INSTALADO - OPERANDO")+('GRT Noroeste'!K6:K372="INSTALADO - SIN SEÑAL")&gt;0))</f>
        <v>0</v>
      </c>
      <c r="G105" s="41">
        <f>SUMPRODUCT(((ISNUMBER('GRT Norte'!L6:L296))*('GRT Norte'!L6:L296=A105))*(('GRT Norte'!K6:K296="INSTALADO - OPERANDO")+('GRT Norte'!K6:K296="INSTALADO - SIN SEÑAL")&gt;0))</f>
        <v>0</v>
      </c>
      <c r="H105" s="41">
        <f>SUMPRODUCT(((ISNUMBER('GRT Noreste'!L6:L262))*('GRT Noreste'!L6:L262=A105))*(('GRT Noreste'!K6:K262="INSTALADO - OPERANDO")+('GRT Noreste'!K6:K262="INSTALADO - SIN SEÑAL")&gt;0))</f>
        <v>0</v>
      </c>
      <c r="I105" s="41">
        <f>SUMPRODUCT(((ISNUMBER('GRT Baja California'!L6:L281))*('GRT Baja California'!L6:L281=A105))*(('GRT Baja California'!K6:K281="INSTALADO - OPERANDO")+('GRT Baja California'!K6:K281="INSTALADO - SIN SEÑAL")&gt;0))</f>
        <v>0</v>
      </c>
      <c r="J105" s="65">
        <f t="shared" si="9"/>
        <v>0</v>
      </c>
      <c r="K105" s="49">
        <f t="shared" si="11"/>
        <v>1289</v>
      </c>
      <c r="L105" s="52">
        <f t="shared" si="10"/>
        <v>0.30472813238770685</v>
      </c>
      <c r="M105" s="53"/>
    </row>
    <row r="106" spans="1:13" ht="15" customHeight="1">
      <c r="A106" s="55">
        <v>46198</v>
      </c>
      <c r="B106" s="44">
        <f>SUMPRODUCT(((ISNUMBER('GRT Central'!L6:L1135))*('GRT Central'!L6:L1135=A106))*(('GRT Central'!K6:K1135="INSTALADO - OPERANDO")+('GRT Central'!K6:K1135="INSTALADO - SIN SEÑAL")&gt;0))</f>
        <v>0</v>
      </c>
      <c r="C106" s="44">
        <f>SUMPRODUCT(((ISNUMBER('GRT Occidente'!L6:L784))*('GRT Occidente'!L6:L784=A106))*(('GRT Occidente'!K6:K784="INSTALADO - OPERANDO")+('GRT Occidente'!K6:K784="INSTALADO - SIN SEÑAL")&gt;0))</f>
        <v>0</v>
      </c>
      <c r="D106" s="44">
        <f>SUMPRODUCT(((ISNUMBER('GRT Oriente'!L6:L400))*('GRT Oriente'!L6:L400=A106))*(('GRT Oriente'!K6:K400="INSTALADO - OPERANDO")+('GRT Oriente'!K6:K400="INSTALADO - SIN SEÑAL")&gt;0))</f>
        <v>0</v>
      </c>
      <c r="E106" s="44">
        <f>SUMPRODUCT(((ISNUMBER('GRT Valle de México'!L6:L740))*('GRT Valle de México'!L6:L740=A106))*(('GRT Valle de México'!K6:K740="INSTALADO - OPERANDO")+('GRT Valle de México'!K6:K740="INSTALADO - SIN SEÑAL")&gt;0))</f>
        <v>0</v>
      </c>
      <c r="F106" s="44">
        <f>SUMPRODUCT(((ISNUMBER('GRT Noroeste'!L6:L372))*('GRT Noroeste'!L6:L372=A106))*(('GRT Noroeste'!K6:K372="INSTALADO - OPERANDO")+('GRT Noroeste'!K6:K372="INSTALADO - SIN SEÑAL")&gt;0))</f>
        <v>0</v>
      </c>
      <c r="G106" s="44">
        <f>SUMPRODUCT(((ISNUMBER('GRT Norte'!L6:L296))*('GRT Norte'!L6:L296=A106))*(('GRT Norte'!K6:K296="INSTALADO - OPERANDO")+('GRT Norte'!K6:K296="INSTALADO - SIN SEÑAL")&gt;0))</f>
        <v>0</v>
      </c>
      <c r="H106" s="44">
        <f>SUMPRODUCT(((ISNUMBER('GRT Noreste'!L6:L262))*('GRT Noreste'!L6:L262=A106))*(('GRT Noreste'!K6:K262="INSTALADO - OPERANDO")+('GRT Noreste'!K6:K262="INSTALADO - SIN SEÑAL")&gt;0))</f>
        <v>0</v>
      </c>
      <c r="I106" s="44">
        <f>SUMPRODUCT(((ISNUMBER('GRT Baja California'!L6:L281))*('GRT Baja California'!L6:L281=A106))*(('GRT Baja California'!K6:K281="INSTALADO - OPERANDO")+('GRT Baja California'!K6:K281="INSTALADO - SIN SEÑAL")&gt;0))</f>
        <v>0</v>
      </c>
      <c r="J106" s="64">
        <f t="shared" si="9"/>
        <v>0</v>
      </c>
      <c r="K106" s="54">
        <f t="shared" si="11"/>
        <v>1289</v>
      </c>
      <c r="L106" s="57">
        <f t="shared" si="10"/>
        <v>0.30472813238770685</v>
      </c>
      <c r="M106" s="58"/>
    </row>
    <row r="107" spans="1:13" ht="15" customHeight="1">
      <c r="A107" s="50">
        <v>46199</v>
      </c>
      <c r="B107" s="41">
        <f>SUMPRODUCT(((ISNUMBER('GRT Central'!L6:L1135))*('GRT Central'!L6:L1135=A107))*(('GRT Central'!K6:K1135="INSTALADO - OPERANDO")+('GRT Central'!K6:K1135="INSTALADO - SIN SEÑAL")&gt;0))</f>
        <v>0</v>
      </c>
      <c r="C107" s="41">
        <f>SUMPRODUCT(((ISNUMBER('GRT Occidente'!L6:L784))*('GRT Occidente'!L6:L784=A107))*(('GRT Occidente'!K6:K784="INSTALADO - OPERANDO")+('GRT Occidente'!K6:K784="INSTALADO - SIN SEÑAL")&gt;0))</f>
        <v>0</v>
      </c>
      <c r="D107" s="41">
        <f>SUMPRODUCT(((ISNUMBER('GRT Oriente'!L6:L400))*('GRT Oriente'!L6:L400=A107))*(('GRT Oriente'!K6:K400="INSTALADO - OPERANDO")+('GRT Oriente'!K6:K400="INSTALADO - SIN SEÑAL")&gt;0))</f>
        <v>0</v>
      </c>
      <c r="E107" s="41">
        <f>SUMPRODUCT(((ISNUMBER('GRT Valle de México'!L6:L740))*('GRT Valle de México'!L6:L740=A107))*(('GRT Valle de México'!K6:K740="INSTALADO - OPERANDO")+('GRT Valle de México'!K6:K740="INSTALADO - SIN SEÑAL")&gt;0))</f>
        <v>0</v>
      </c>
      <c r="F107" s="41">
        <f>SUMPRODUCT(((ISNUMBER('GRT Noroeste'!L6:L372))*('GRT Noroeste'!L6:L372=A107))*(('GRT Noroeste'!K6:K372="INSTALADO - OPERANDO")+('GRT Noroeste'!K6:K372="INSTALADO - SIN SEÑAL")&gt;0))</f>
        <v>0</v>
      </c>
      <c r="G107" s="41">
        <f>SUMPRODUCT(((ISNUMBER('GRT Norte'!L6:L296))*('GRT Norte'!L6:L296=A107))*(('GRT Norte'!K6:K296="INSTALADO - OPERANDO")+('GRT Norte'!K6:K296="INSTALADO - SIN SEÑAL")&gt;0))</f>
        <v>0</v>
      </c>
      <c r="H107" s="41">
        <f>SUMPRODUCT(((ISNUMBER('GRT Noreste'!L6:L262))*('GRT Noreste'!L6:L262=A107))*(('GRT Noreste'!K6:K262="INSTALADO - OPERANDO")+('GRT Noreste'!K6:K262="INSTALADO - SIN SEÑAL")&gt;0))</f>
        <v>0</v>
      </c>
      <c r="I107" s="41">
        <f>SUMPRODUCT(((ISNUMBER('GRT Baja California'!L6:L281))*('GRT Baja California'!L6:L281=A107))*(('GRT Baja California'!K6:K281="INSTALADO - OPERANDO")+('GRT Baja California'!K6:K281="INSTALADO - SIN SEÑAL")&gt;0))</f>
        <v>0</v>
      </c>
      <c r="J107" s="65">
        <f t="shared" si="9"/>
        <v>0</v>
      </c>
      <c r="K107" s="49">
        <f t="shared" si="11"/>
        <v>1289</v>
      </c>
      <c r="L107" s="52">
        <f t="shared" si="10"/>
        <v>0.30472813238770685</v>
      </c>
      <c r="M107" s="53"/>
    </row>
    <row r="108" spans="1:13" ht="15" customHeight="1">
      <c r="A108" s="55">
        <v>46200</v>
      </c>
      <c r="B108" s="44">
        <f>SUMPRODUCT(((ISNUMBER('GRT Central'!L6:L1135))*('GRT Central'!L6:L1135=A108))*(('GRT Central'!K6:K1135="INSTALADO - OPERANDO")+('GRT Central'!K6:K1135="INSTALADO - SIN SEÑAL")&gt;0))</f>
        <v>0</v>
      </c>
      <c r="C108" s="44">
        <f>SUMPRODUCT(((ISNUMBER('GRT Occidente'!L6:L784))*('GRT Occidente'!L6:L784=A108))*(('GRT Occidente'!K6:K784="INSTALADO - OPERANDO")+('GRT Occidente'!K6:K784="INSTALADO - SIN SEÑAL")&gt;0))</f>
        <v>0</v>
      </c>
      <c r="D108" s="44">
        <f>SUMPRODUCT(((ISNUMBER('GRT Oriente'!L6:L400))*('GRT Oriente'!L6:L400=A108))*(('GRT Oriente'!K6:K400="INSTALADO - OPERANDO")+('GRT Oriente'!K6:K400="INSTALADO - SIN SEÑAL")&gt;0))</f>
        <v>0</v>
      </c>
      <c r="E108" s="44">
        <f>SUMPRODUCT(((ISNUMBER('GRT Valle de México'!L6:L740))*('GRT Valle de México'!L6:L740=A108))*(('GRT Valle de México'!K6:K740="INSTALADO - OPERANDO")+('GRT Valle de México'!K6:K740="INSTALADO - SIN SEÑAL")&gt;0))</f>
        <v>0</v>
      </c>
      <c r="F108" s="44">
        <f>SUMPRODUCT(((ISNUMBER('GRT Noroeste'!L6:L372))*('GRT Noroeste'!L6:L372=A108))*(('GRT Noroeste'!K6:K372="INSTALADO - OPERANDO")+('GRT Noroeste'!K6:K372="INSTALADO - SIN SEÑAL")&gt;0))</f>
        <v>0</v>
      </c>
      <c r="G108" s="44">
        <f>SUMPRODUCT(((ISNUMBER('GRT Norte'!L6:L296))*('GRT Norte'!L6:L296=A108))*(('GRT Norte'!K6:K296="INSTALADO - OPERANDO")+('GRT Norte'!K6:K296="INSTALADO - SIN SEÑAL")&gt;0))</f>
        <v>0</v>
      </c>
      <c r="H108" s="44">
        <f>SUMPRODUCT(((ISNUMBER('GRT Noreste'!L6:L262))*('GRT Noreste'!L6:L262=A108))*(('GRT Noreste'!K6:K262="INSTALADO - OPERANDO")+('GRT Noreste'!K6:K262="INSTALADO - SIN SEÑAL")&gt;0))</f>
        <v>0</v>
      </c>
      <c r="I108" s="44">
        <f>SUMPRODUCT(((ISNUMBER('GRT Baja California'!L6:L281))*('GRT Baja California'!L6:L281=A108))*(('GRT Baja California'!K6:K281="INSTALADO - OPERANDO")+('GRT Baja California'!K6:K281="INSTALADO - SIN SEÑAL")&gt;0))</f>
        <v>0</v>
      </c>
      <c r="J108" s="64">
        <f t="shared" si="9"/>
        <v>0</v>
      </c>
      <c r="K108" s="54">
        <f t="shared" si="11"/>
        <v>1289</v>
      </c>
      <c r="L108" s="57">
        <f t="shared" si="10"/>
        <v>0.30472813238770685</v>
      </c>
      <c r="M108" s="58"/>
    </row>
    <row r="109" spans="1:13" ht="15" customHeight="1">
      <c r="A109" s="50">
        <v>46201</v>
      </c>
      <c r="B109" s="41">
        <f>SUMPRODUCT(((ISNUMBER('GRT Central'!L6:L1135))*('GRT Central'!L6:L1135=A109))*(('GRT Central'!K6:K1135="INSTALADO - OPERANDO")+('GRT Central'!K6:K1135="INSTALADO - SIN SEÑAL")&gt;0))</f>
        <v>0</v>
      </c>
      <c r="C109" s="41">
        <f>SUMPRODUCT(((ISNUMBER('GRT Occidente'!L6:L784))*('GRT Occidente'!L6:L784=A109))*(('GRT Occidente'!K6:K784="INSTALADO - OPERANDO")+('GRT Occidente'!K6:K784="INSTALADO - SIN SEÑAL")&gt;0))</f>
        <v>0</v>
      </c>
      <c r="D109" s="41">
        <f>SUMPRODUCT(((ISNUMBER('GRT Oriente'!L6:L400))*('GRT Oriente'!L6:L400=A109))*(('GRT Oriente'!K6:K400="INSTALADO - OPERANDO")+('GRT Oriente'!K6:K400="INSTALADO - SIN SEÑAL")&gt;0))</f>
        <v>0</v>
      </c>
      <c r="E109" s="41">
        <f>SUMPRODUCT(((ISNUMBER('GRT Valle de México'!L6:L740))*('GRT Valle de México'!L6:L740=A109))*(('GRT Valle de México'!K6:K740="INSTALADO - OPERANDO")+('GRT Valle de México'!K6:K740="INSTALADO - SIN SEÑAL")&gt;0))</f>
        <v>0</v>
      </c>
      <c r="F109" s="41">
        <f>SUMPRODUCT(((ISNUMBER('GRT Noroeste'!L6:L372))*('GRT Noroeste'!L6:L372=A109))*(('GRT Noroeste'!K6:K372="INSTALADO - OPERANDO")+('GRT Noroeste'!K6:K372="INSTALADO - SIN SEÑAL")&gt;0))</f>
        <v>0</v>
      </c>
      <c r="G109" s="41">
        <f>SUMPRODUCT(((ISNUMBER('GRT Norte'!L6:L296))*('GRT Norte'!L6:L296=A109))*(('GRT Norte'!K6:K296="INSTALADO - OPERANDO")+('GRT Norte'!K6:K296="INSTALADO - SIN SEÑAL")&gt;0))</f>
        <v>0</v>
      </c>
      <c r="H109" s="41">
        <f>SUMPRODUCT(((ISNUMBER('GRT Noreste'!L6:L262))*('GRT Noreste'!L6:L262=A109))*(('GRT Noreste'!K6:K262="INSTALADO - OPERANDO")+('GRT Noreste'!K6:K262="INSTALADO - SIN SEÑAL")&gt;0))</f>
        <v>0</v>
      </c>
      <c r="I109" s="41">
        <f>SUMPRODUCT(((ISNUMBER('GRT Baja California'!L6:L281))*('GRT Baja California'!L6:L281=A109))*(('GRT Baja California'!K6:K281="INSTALADO - OPERANDO")+('GRT Baja California'!K6:K281="INSTALADO - SIN SEÑAL")&gt;0))</f>
        <v>0</v>
      </c>
      <c r="J109" s="65">
        <f t="shared" si="9"/>
        <v>0</v>
      </c>
      <c r="K109" s="49">
        <f t="shared" si="11"/>
        <v>1289</v>
      </c>
      <c r="L109" s="52">
        <f t="shared" si="10"/>
        <v>0.30472813238770685</v>
      </c>
      <c r="M109" s="53"/>
    </row>
    <row r="110" spans="1:13" ht="15" customHeight="1">
      <c r="A110" s="55">
        <v>46202</v>
      </c>
      <c r="B110" s="44">
        <f>SUMPRODUCT(((ISNUMBER('GRT Central'!L6:L1135))*('GRT Central'!L6:L1135=A110))*(('GRT Central'!K6:K1135="INSTALADO - OPERANDO")+('GRT Central'!K6:K1135="INSTALADO - SIN SEÑAL")&gt;0))</f>
        <v>0</v>
      </c>
      <c r="C110" s="44">
        <f>SUMPRODUCT(((ISNUMBER('GRT Occidente'!L6:L784))*('GRT Occidente'!L6:L784=A110))*(('GRT Occidente'!K6:K784="INSTALADO - OPERANDO")+('GRT Occidente'!K6:K784="INSTALADO - SIN SEÑAL")&gt;0))</f>
        <v>0</v>
      </c>
      <c r="D110" s="44">
        <f>SUMPRODUCT(((ISNUMBER('GRT Oriente'!L6:L400))*('GRT Oriente'!L6:L400=A110))*(('GRT Oriente'!K6:K400="INSTALADO - OPERANDO")+('GRT Oriente'!K6:K400="INSTALADO - SIN SEÑAL")&gt;0))</f>
        <v>0</v>
      </c>
      <c r="E110" s="44">
        <f>SUMPRODUCT(((ISNUMBER('GRT Valle de México'!L6:L740))*('GRT Valle de México'!L6:L740=A110))*(('GRT Valle de México'!K6:K740="INSTALADO - OPERANDO")+('GRT Valle de México'!K6:K740="INSTALADO - SIN SEÑAL")&gt;0))</f>
        <v>0</v>
      </c>
      <c r="F110" s="44">
        <f>SUMPRODUCT(((ISNUMBER('GRT Noroeste'!L6:L372))*('GRT Noroeste'!L6:L372=A110))*(('GRT Noroeste'!K6:K372="INSTALADO - OPERANDO")+('GRT Noroeste'!K6:K372="INSTALADO - SIN SEÑAL")&gt;0))</f>
        <v>0</v>
      </c>
      <c r="G110" s="44">
        <f>SUMPRODUCT(((ISNUMBER('GRT Norte'!L6:L296))*('GRT Norte'!L6:L296=A110))*(('GRT Norte'!K6:K296="INSTALADO - OPERANDO")+('GRT Norte'!K6:K296="INSTALADO - SIN SEÑAL")&gt;0))</f>
        <v>0</v>
      </c>
      <c r="H110" s="44">
        <f>SUMPRODUCT(((ISNUMBER('GRT Noreste'!L6:L262))*('GRT Noreste'!L6:L262=A110))*(('GRT Noreste'!K6:K262="INSTALADO - OPERANDO")+('GRT Noreste'!K6:K262="INSTALADO - SIN SEÑAL")&gt;0))</f>
        <v>0</v>
      </c>
      <c r="I110" s="44">
        <f>SUMPRODUCT(((ISNUMBER('GRT Baja California'!L6:L281))*('GRT Baja California'!L6:L281=A110))*(('GRT Baja California'!K6:K281="INSTALADO - OPERANDO")+('GRT Baja California'!K6:K281="INSTALADO - SIN SEÑAL")&gt;0))</f>
        <v>0</v>
      </c>
      <c r="J110" s="64">
        <f t="shared" si="9"/>
        <v>0</v>
      </c>
      <c r="K110" s="54">
        <f t="shared" si="11"/>
        <v>1289</v>
      </c>
      <c r="L110" s="57">
        <f t="shared" si="10"/>
        <v>0.30472813238770685</v>
      </c>
      <c r="M110" s="58"/>
    </row>
    <row r="111" spans="1:13" ht="15" customHeight="1">
      <c r="A111" s="50">
        <v>46203</v>
      </c>
      <c r="B111" s="41">
        <f>SUMPRODUCT(((ISNUMBER('GRT Central'!L6:L1135))*('GRT Central'!L6:L1135=A111))*(('GRT Central'!K6:K1135="INSTALADO - OPERANDO")+('GRT Central'!K6:K1135="INSTALADO - SIN SEÑAL")&gt;0))</f>
        <v>0</v>
      </c>
      <c r="C111" s="41">
        <f>SUMPRODUCT(((ISNUMBER('GRT Occidente'!L6:L784))*('GRT Occidente'!L6:L784=A111))*(('GRT Occidente'!K6:K784="INSTALADO - OPERANDO")+('GRT Occidente'!K6:K784="INSTALADO - SIN SEÑAL")&gt;0))</f>
        <v>0</v>
      </c>
      <c r="D111" s="41">
        <f>SUMPRODUCT(((ISNUMBER('GRT Oriente'!L6:L400))*('GRT Oriente'!L6:L400=A111))*(('GRT Oriente'!K6:K400="INSTALADO - OPERANDO")+('GRT Oriente'!K6:K400="INSTALADO - SIN SEÑAL")&gt;0))</f>
        <v>0</v>
      </c>
      <c r="E111" s="41">
        <f>SUMPRODUCT(((ISNUMBER('GRT Valle de México'!L6:L740))*('GRT Valle de México'!L6:L740=A111))*(('GRT Valle de México'!K6:K740="INSTALADO - OPERANDO")+('GRT Valle de México'!K6:K740="INSTALADO - SIN SEÑAL")&gt;0))</f>
        <v>0</v>
      </c>
      <c r="F111" s="41">
        <f>SUMPRODUCT(((ISNUMBER('GRT Noroeste'!L6:L372))*('GRT Noroeste'!L6:L372=A111))*(('GRT Noroeste'!K6:K372="INSTALADO - OPERANDO")+('GRT Noroeste'!K6:K372="INSTALADO - SIN SEÑAL")&gt;0))</f>
        <v>0</v>
      </c>
      <c r="G111" s="41">
        <f>SUMPRODUCT(((ISNUMBER('GRT Norte'!L6:L296))*('GRT Norte'!L6:L296=A111))*(('GRT Norte'!K6:K296="INSTALADO - OPERANDO")+('GRT Norte'!K6:K296="INSTALADO - SIN SEÑAL")&gt;0))</f>
        <v>0</v>
      </c>
      <c r="H111" s="41">
        <f>SUMPRODUCT(((ISNUMBER('GRT Noreste'!L6:L262))*('GRT Noreste'!L6:L262=A111))*(('GRT Noreste'!K6:K262="INSTALADO - OPERANDO")+('GRT Noreste'!K6:K262="INSTALADO - SIN SEÑAL")&gt;0))</f>
        <v>0</v>
      </c>
      <c r="I111" s="41">
        <f>SUMPRODUCT(((ISNUMBER('GRT Baja California'!L6:L281))*('GRT Baja California'!L6:L281=A111))*(('GRT Baja California'!K6:K281="INSTALADO - OPERANDO")+('GRT Baja California'!K6:K281="INSTALADO - SIN SEÑAL")&gt;0))</f>
        <v>0</v>
      </c>
      <c r="J111" s="65">
        <f t="shared" si="9"/>
        <v>0</v>
      </c>
      <c r="K111" s="49">
        <f t="shared" si="11"/>
        <v>1289</v>
      </c>
      <c r="L111" s="52">
        <f t="shared" si="10"/>
        <v>0.30472813238770685</v>
      </c>
      <c r="M111" s="53"/>
    </row>
    <row r="112" spans="1:13" ht="15" customHeight="1">
      <c r="A112" s="55">
        <v>46204</v>
      </c>
      <c r="B112" s="44">
        <f>SUMPRODUCT(((ISNUMBER('GRT Central'!L6:L1135))*('GRT Central'!L6:L1135=A112))*(('GRT Central'!K6:K1135="INSTALADO - OPERANDO")+('GRT Central'!K6:K1135="INSTALADO - SIN SEÑAL")&gt;0))</f>
        <v>0</v>
      </c>
      <c r="C112" s="44">
        <f>SUMPRODUCT(((ISNUMBER('GRT Occidente'!L6:L784))*('GRT Occidente'!L6:L784=A112))*(('GRT Occidente'!K6:K784="INSTALADO - OPERANDO")+('GRT Occidente'!K6:K784="INSTALADO - SIN SEÑAL")&gt;0))</f>
        <v>0</v>
      </c>
      <c r="D112" s="44">
        <f>SUMPRODUCT(((ISNUMBER('GRT Oriente'!L6:L400))*('GRT Oriente'!L6:L400=A112))*(('GRT Oriente'!K6:K400="INSTALADO - OPERANDO")+('GRT Oriente'!K6:K400="INSTALADO - SIN SEÑAL")&gt;0))</f>
        <v>0</v>
      </c>
      <c r="E112" s="44">
        <f>SUMPRODUCT(((ISNUMBER('GRT Valle de México'!L6:L740))*('GRT Valle de México'!L6:L740=A112))*(('GRT Valle de México'!K6:K740="INSTALADO - OPERANDO")+('GRT Valle de México'!K6:K740="INSTALADO - SIN SEÑAL")&gt;0))</f>
        <v>0</v>
      </c>
      <c r="F112" s="44">
        <f>SUMPRODUCT(((ISNUMBER('GRT Noroeste'!L6:L372))*('GRT Noroeste'!L6:L372=A112))*(('GRT Noroeste'!K6:K372="INSTALADO - OPERANDO")+('GRT Noroeste'!K6:K372="INSTALADO - SIN SEÑAL")&gt;0))</f>
        <v>0</v>
      </c>
      <c r="G112" s="44">
        <f>SUMPRODUCT(((ISNUMBER('GRT Norte'!L6:L296))*('GRT Norte'!L6:L296=A112))*(('GRT Norte'!K6:K296="INSTALADO - OPERANDO")+('GRT Norte'!K6:K296="INSTALADO - SIN SEÑAL")&gt;0))</f>
        <v>0</v>
      </c>
      <c r="H112" s="44">
        <f>SUMPRODUCT(((ISNUMBER('GRT Noreste'!L6:L262))*('GRT Noreste'!L6:L262=A112))*(('GRT Noreste'!K6:K262="INSTALADO - OPERANDO")+('GRT Noreste'!K6:K262="INSTALADO - SIN SEÑAL")&gt;0))</f>
        <v>0</v>
      </c>
      <c r="I112" s="44">
        <f>SUMPRODUCT(((ISNUMBER('GRT Baja California'!L6:L281))*('GRT Baja California'!L6:L281=A112))*(('GRT Baja California'!K6:K281="INSTALADO - OPERANDO")+('GRT Baja California'!K6:K281="INSTALADO - SIN SEÑAL")&gt;0))</f>
        <v>0</v>
      </c>
      <c r="J112" s="64">
        <f t="shared" si="9"/>
        <v>0</v>
      </c>
      <c r="K112" s="54">
        <f t="shared" si="11"/>
        <v>1289</v>
      </c>
      <c r="L112" s="57">
        <f t="shared" si="10"/>
        <v>0.30472813238770685</v>
      </c>
      <c r="M112" s="58"/>
    </row>
    <row r="113" spans="1:13" ht="15" customHeight="1">
      <c r="A113" s="50">
        <v>46205</v>
      </c>
      <c r="B113" s="41">
        <f>SUMPRODUCT(((ISNUMBER('GRT Central'!L6:L1135))*('GRT Central'!L6:L1135=A113))*(('GRT Central'!K6:K1135="INSTALADO - OPERANDO")+('GRT Central'!K6:K1135="INSTALADO - SIN SEÑAL")&gt;0))</f>
        <v>0</v>
      </c>
      <c r="C113" s="41">
        <f>SUMPRODUCT(((ISNUMBER('GRT Occidente'!L6:L784))*('GRT Occidente'!L6:L784=A113))*(('GRT Occidente'!K6:K784="INSTALADO - OPERANDO")+('GRT Occidente'!K6:K784="INSTALADO - SIN SEÑAL")&gt;0))</f>
        <v>0</v>
      </c>
      <c r="D113" s="41">
        <f>SUMPRODUCT(((ISNUMBER('GRT Oriente'!L6:L400))*('GRT Oriente'!L6:L400=A113))*(('GRT Oriente'!K6:K400="INSTALADO - OPERANDO")+('GRT Oriente'!K6:K400="INSTALADO - SIN SEÑAL")&gt;0))</f>
        <v>0</v>
      </c>
      <c r="E113" s="41">
        <f>SUMPRODUCT(((ISNUMBER('GRT Valle de México'!L6:L740))*('GRT Valle de México'!L6:L740=A113))*(('GRT Valle de México'!K6:K740="INSTALADO - OPERANDO")+('GRT Valle de México'!K6:K740="INSTALADO - SIN SEÑAL")&gt;0))</f>
        <v>0</v>
      </c>
      <c r="F113" s="41">
        <f>SUMPRODUCT(((ISNUMBER('GRT Noroeste'!L6:L372))*('GRT Noroeste'!L6:L372=A113))*(('GRT Noroeste'!K6:K372="INSTALADO - OPERANDO")+('GRT Noroeste'!K6:K372="INSTALADO - SIN SEÑAL")&gt;0))</f>
        <v>0</v>
      </c>
      <c r="G113" s="41">
        <f>SUMPRODUCT(((ISNUMBER('GRT Norte'!L6:L296))*('GRT Norte'!L6:L296=A113))*(('GRT Norte'!K6:K296="INSTALADO - OPERANDO")+('GRT Norte'!K6:K296="INSTALADO - SIN SEÑAL")&gt;0))</f>
        <v>0</v>
      </c>
      <c r="H113" s="41">
        <f>SUMPRODUCT(((ISNUMBER('GRT Noreste'!L6:L262))*('GRT Noreste'!L6:L262=A113))*(('GRT Noreste'!K6:K262="INSTALADO - OPERANDO")+('GRT Noreste'!K6:K262="INSTALADO - SIN SEÑAL")&gt;0))</f>
        <v>0</v>
      </c>
      <c r="I113" s="41">
        <f>SUMPRODUCT(((ISNUMBER('GRT Baja California'!L6:L281))*('GRT Baja California'!L6:L281=A113))*(('GRT Baja California'!K6:K281="INSTALADO - OPERANDO")+('GRT Baja California'!K6:K281="INSTALADO - SIN SEÑAL")&gt;0))</f>
        <v>0</v>
      </c>
      <c r="J113" s="65">
        <f t="shared" si="9"/>
        <v>0</v>
      </c>
      <c r="K113" s="49">
        <f t="shared" si="11"/>
        <v>1289</v>
      </c>
      <c r="L113" s="52">
        <f t="shared" si="10"/>
        <v>0.30472813238770685</v>
      </c>
      <c r="M113" s="53"/>
    </row>
    <row r="114" spans="1:13" ht="15" customHeight="1">
      <c r="A114" s="55">
        <v>46206</v>
      </c>
      <c r="B114" s="44">
        <f>SUMPRODUCT(((ISNUMBER('GRT Central'!L6:L1135))*('GRT Central'!L6:L1135=A114))*(('GRT Central'!K6:K1135="INSTALADO - OPERANDO")+('GRT Central'!K6:K1135="INSTALADO - SIN SEÑAL")&gt;0))</f>
        <v>0</v>
      </c>
      <c r="C114" s="44">
        <f>SUMPRODUCT(((ISNUMBER('GRT Occidente'!L6:L784))*('GRT Occidente'!L6:L784=A114))*(('GRT Occidente'!K6:K784="INSTALADO - OPERANDO")+('GRT Occidente'!K6:K784="INSTALADO - SIN SEÑAL")&gt;0))</f>
        <v>0</v>
      </c>
      <c r="D114" s="44">
        <f>SUMPRODUCT(((ISNUMBER('GRT Oriente'!L6:L400))*('GRT Oriente'!L6:L400=A114))*(('GRT Oriente'!K6:K400="INSTALADO - OPERANDO")+('GRT Oriente'!K6:K400="INSTALADO - SIN SEÑAL")&gt;0))</f>
        <v>0</v>
      </c>
      <c r="E114" s="44">
        <f>SUMPRODUCT(((ISNUMBER('GRT Valle de México'!L6:L740))*('GRT Valle de México'!L6:L740=A114))*(('GRT Valle de México'!K6:K740="INSTALADO - OPERANDO")+('GRT Valle de México'!K6:K740="INSTALADO - SIN SEÑAL")&gt;0))</f>
        <v>0</v>
      </c>
      <c r="F114" s="44">
        <f>SUMPRODUCT(((ISNUMBER('GRT Noroeste'!L6:L372))*('GRT Noroeste'!L6:L372=A114))*(('GRT Noroeste'!K6:K372="INSTALADO - OPERANDO")+('GRT Noroeste'!K6:K372="INSTALADO - SIN SEÑAL")&gt;0))</f>
        <v>0</v>
      </c>
      <c r="G114" s="44">
        <f>SUMPRODUCT(((ISNUMBER('GRT Norte'!L6:L296))*('GRT Norte'!L6:L296=A114))*(('GRT Norte'!K6:K296="INSTALADO - OPERANDO")+('GRT Norte'!K6:K296="INSTALADO - SIN SEÑAL")&gt;0))</f>
        <v>0</v>
      </c>
      <c r="H114" s="44">
        <f>SUMPRODUCT(((ISNUMBER('GRT Noreste'!L6:L262))*('GRT Noreste'!L6:L262=A114))*(('GRT Noreste'!K6:K262="INSTALADO - OPERANDO")+('GRT Noreste'!K6:K262="INSTALADO - SIN SEÑAL")&gt;0))</f>
        <v>0</v>
      </c>
      <c r="I114" s="44">
        <f>SUMPRODUCT(((ISNUMBER('GRT Baja California'!L6:L281))*('GRT Baja California'!L6:L281=A114))*(('GRT Baja California'!K6:K281="INSTALADO - OPERANDO")+('GRT Baja California'!K6:K281="INSTALADO - SIN SEÑAL")&gt;0))</f>
        <v>0</v>
      </c>
      <c r="J114" s="64">
        <f t="shared" si="9"/>
        <v>0</v>
      </c>
      <c r="K114" s="54">
        <f t="shared" si="11"/>
        <v>1289</v>
      </c>
      <c r="L114" s="57">
        <f t="shared" si="10"/>
        <v>0.30472813238770685</v>
      </c>
      <c r="M114" s="58"/>
    </row>
    <row r="115" spans="1:13" ht="15" customHeight="1">
      <c r="A115" s="50">
        <v>46207</v>
      </c>
      <c r="B115" s="41">
        <f>SUMPRODUCT(((ISNUMBER('GRT Central'!L6:L1135))*('GRT Central'!L6:L1135=A115))*(('GRT Central'!K6:K1135="INSTALADO - OPERANDO")+('GRT Central'!K6:K1135="INSTALADO - SIN SEÑAL")&gt;0))</f>
        <v>0</v>
      </c>
      <c r="C115" s="41">
        <f>SUMPRODUCT(((ISNUMBER('GRT Occidente'!L6:L784))*('GRT Occidente'!L6:L784=A115))*(('GRT Occidente'!K6:K784="INSTALADO - OPERANDO")+('GRT Occidente'!K6:K784="INSTALADO - SIN SEÑAL")&gt;0))</f>
        <v>0</v>
      </c>
      <c r="D115" s="41">
        <f>SUMPRODUCT(((ISNUMBER('GRT Oriente'!L6:L400))*('GRT Oriente'!L6:L400=A115))*(('GRT Oriente'!K6:K400="INSTALADO - OPERANDO")+('GRT Oriente'!K6:K400="INSTALADO - SIN SEÑAL")&gt;0))</f>
        <v>0</v>
      </c>
      <c r="E115" s="41">
        <f>SUMPRODUCT(((ISNUMBER('GRT Valle de México'!L6:L740))*('GRT Valle de México'!L6:L740=A115))*(('GRT Valle de México'!K6:K740="INSTALADO - OPERANDO")+('GRT Valle de México'!K6:K740="INSTALADO - SIN SEÑAL")&gt;0))</f>
        <v>0</v>
      </c>
      <c r="F115" s="41">
        <f>SUMPRODUCT(((ISNUMBER('GRT Noroeste'!L6:L372))*('GRT Noroeste'!L6:L372=A115))*(('GRT Noroeste'!K6:K372="INSTALADO - OPERANDO")+('GRT Noroeste'!K6:K372="INSTALADO - SIN SEÑAL")&gt;0))</f>
        <v>0</v>
      </c>
      <c r="G115" s="41">
        <f>SUMPRODUCT(((ISNUMBER('GRT Norte'!L6:L296))*('GRT Norte'!L6:L296=A115))*(('GRT Norte'!K6:K296="INSTALADO - OPERANDO")+('GRT Norte'!K6:K296="INSTALADO - SIN SEÑAL")&gt;0))</f>
        <v>0</v>
      </c>
      <c r="H115" s="41">
        <f>SUMPRODUCT(((ISNUMBER('GRT Noreste'!L6:L262))*('GRT Noreste'!L6:L262=A115))*(('GRT Noreste'!K6:K262="INSTALADO - OPERANDO")+('GRT Noreste'!K6:K262="INSTALADO - SIN SEÑAL")&gt;0))</f>
        <v>0</v>
      </c>
      <c r="I115" s="41">
        <f>SUMPRODUCT(((ISNUMBER('GRT Baja California'!L6:L281))*('GRT Baja California'!L6:L281=A115))*(('GRT Baja California'!K6:K281="INSTALADO - OPERANDO")+('GRT Baja California'!K6:K281="INSTALADO - SIN SEÑAL")&gt;0))</f>
        <v>0</v>
      </c>
      <c r="J115" s="65">
        <f t="shared" si="9"/>
        <v>0</v>
      </c>
      <c r="K115" s="49">
        <f t="shared" si="11"/>
        <v>1289</v>
      </c>
      <c r="L115" s="52">
        <f t="shared" si="10"/>
        <v>0.30472813238770685</v>
      </c>
      <c r="M115" s="53"/>
    </row>
    <row r="116" spans="1:13" ht="15" customHeight="1">
      <c r="A116" s="55">
        <v>46208</v>
      </c>
      <c r="B116" s="44">
        <f>SUMPRODUCT(((ISNUMBER('GRT Central'!L6:L1135))*('GRT Central'!L6:L1135=A116))*(('GRT Central'!K6:K1135="INSTALADO - OPERANDO")+('GRT Central'!K6:K1135="INSTALADO - SIN SEÑAL")&gt;0))</f>
        <v>0</v>
      </c>
      <c r="C116" s="44">
        <f>SUMPRODUCT(((ISNUMBER('GRT Occidente'!L6:L784))*('GRT Occidente'!L6:L784=A116))*(('GRT Occidente'!K6:K784="INSTALADO - OPERANDO")+('GRT Occidente'!K6:K784="INSTALADO - SIN SEÑAL")&gt;0))</f>
        <v>0</v>
      </c>
      <c r="D116" s="44">
        <f>SUMPRODUCT(((ISNUMBER('GRT Oriente'!L6:L400))*('GRT Oriente'!L6:L400=A116))*(('GRT Oriente'!K6:K400="INSTALADO - OPERANDO")+('GRT Oriente'!K6:K400="INSTALADO - SIN SEÑAL")&gt;0))</f>
        <v>0</v>
      </c>
      <c r="E116" s="44">
        <f>SUMPRODUCT(((ISNUMBER('GRT Valle de México'!L6:L740))*('GRT Valle de México'!L6:L740=A116))*(('GRT Valle de México'!K6:K740="INSTALADO - OPERANDO")+('GRT Valle de México'!K6:K740="INSTALADO - SIN SEÑAL")&gt;0))</f>
        <v>0</v>
      </c>
      <c r="F116" s="44">
        <f>SUMPRODUCT(((ISNUMBER('GRT Noroeste'!L6:L372))*('GRT Noroeste'!L6:L372=A116))*(('GRT Noroeste'!K6:K372="INSTALADO - OPERANDO")+('GRT Noroeste'!K6:K372="INSTALADO - SIN SEÑAL")&gt;0))</f>
        <v>0</v>
      </c>
      <c r="G116" s="44">
        <f>SUMPRODUCT(((ISNUMBER('GRT Norte'!L6:L296))*('GRT Norte'!L6:L296=A116))*(('GRT Norte'!K6:K296="INSTALADO - OPERANDO")+('GRT Norte'!K6:K296="INSTALADO - SIN SEÑAL")&gt;0))</f>
        <v>0</v>
      </c>
      <c r="H116" s="44">
        <f>SUMPRODUCT(((ISNUMBER('GRT Noreste'!L6:L262))*('GRT Noreste'!L6:L262=A116))*(('GRT Noreste'!K6:K262="INSTALADO - OPERANDO")+('GRT Noreste'!K6:K262="INSTALADO - SIN SEÑAL")&gt;0))</f>
        <v>0</v>
      </c>
      <c r="I116" s="44">
        <f>SUMPRODUCT(((ISNUMBER('GRT Baja California'!L6:L281))*('GRT Baja California'!L6:L281=A116))*(('GRT Baja California'!K6:K281="INSTALADO - OPERANDO")+('GRT Baja California'!K6:K281="INSTALADO - SIN SEÑAL")&gt;0))</f>
        <v>0</v>
      </c>
      <c r="J116" s="64">
        <f t="shared" si="9"/>
        <v>0</v>
      </c>
      <c r="K116" s="54">
        <f t="shared" si="11"/>
        <v>1289</v>
      </c>
      <c r="L116" s="57">
        <f t="shared" si="10"/>
        <v>0.30472813238770685</v>
      </c>
      <c r="M116" s="58"/>
    </row>
    <row r="117" spans="1:13" ht="15" customHeight="1">
      <c r="A117" s="50">
        <v>46209</v>
      </c>
      <c r="B117" s="41">
        <f>SUMPRODUCT(((ISNUMBER('GRT Central'!L6:L1135))*('GRT Central'!L6:L1135=A117))*(('GRT Central'!K6:K1135="INSTALADO - OPERANDO")+('GRT Central'!K6:K1135="INSTALADO - SIN SEÑAL")&gt;0))</f>
        <v>0</v>
      </c>
      <c r="C117" s="41">
        <f>SUMPRODUCT(((ISNUMBER('GRT Occidente'!L6:L784))*('GRT Occidente'!L6:L784=A117))*(('GRT Occidente'!K6:K784="INSTALADO - OPERANDO")+('GRT Occidente'!K6:K784="INSTALADO - SIN SEÑAL")&gt;0))</f>
        <v>0</v>
      </c>
      <c r="D117" s="41">
        <f>SUMPRODUCT(((ISNUMBER('GRT Oriente'!L6:L400))*('GRT Oriente'!L6:L400=A117))*(('GRT Oriente'!K6:K400="INSTALADO - OPERANDO")+('GRT Oriente'!K6:K400="INSTALADO - SIN SEÑAL")&gt;0))</f>
        <v>0</v>
      </c>
      <c r="E117" s="41">
        <f>SUMPRODUCT(((ISNUMBER('GRT Valle de México'!L6:L740))*('GRT Valle de México'!L6:L740=A117))*(('GRT Valle de México'!K6:K740="INSTALADO - OPERANDO")+('GRT Valle de México'!K6:K740="INSTALADO - SIN SEÑAL")&gt;0))</f>
        <v>0</v>
      </c>
      <c r="F117" s="41">
        <f>SUMPRODUCT(((ISNUMBER('GRT Noroeste'!L6:L372))*('GRT Noroeste'!L6:L372=A117))*(('GRT Noroeste'!K6:K372="INSTALADO - OPERANDO")+('GRT Noroeste'!K6:K372="INSTALADO - SIN SEÑAL")&gt;0))</f>
        <v>0</v>
      </c>
      <c r="G117" s="41">
        <f>SUMPRODUCT(((ISNUMBER('GRT Norte'!L6:L296))*('GRT Norte'!L6:L296=A117))*(('GRT Norte'!K6:K296="INSTALADO - OPERANDO")+('GRT Norte'!K6:K296="INSTALADO - SIN SEÑAL")&gt;0))</f>
        <v>0</v>
      </c>
      <c r="H117" s="41">
        <f>SUMPRODUCT(((ISNUMBER('GRT Noreste'!L6:L262))*('GRT Noreste'!L6:L262=A117))*(('GRT Noreste'!K6:K262="INSTALADO - OPERANDO")+('GRT Noreste'!K6:K262="INSTALADO - SIN SEÑAL")&gt;0))</f>
        <v>0</v>
      </c>
      <c r="I117" s="41">
        <f>SUMPRODUCT(((ISNUMBER('GRT Baja California'!L6:L281))*('GRT Baja California'!L6:L281=A117))*(('GRT Baja California'!K6:K281="INSTALADO - OPERANDO")+('GRT Baja California'!K6:K281="INSTALADO - SIN SEÑAL")&gt;0))</f>
        <v>0</v>
      </c>
      <c r="J117" s="65">
        <f t="shared" si="9"/>
        <v>0</v>
      </c>
      <c r="K117" s="49">
        <f t="shared" si="11"/>
        <v>1289</v>
      </c>
      <c r="L117" s="52">
        <f t="shared" si="10"/>
        <v>0.30472813238770685</v>
      </c>
      <c r="M117" s="53"/>
    </row>
    <row r="118" spans="1:13" ht="15" customHeight="1">
      <c r="A118" s="55">
        <v>46210</v>
      </c>
      <c r="B118" s="44">
        <f>SUMPRODUCT(((ISNUMBER('GRT Central'!L6:L1135))*('GRT Central'!L6:L1135=A118))*(('GRT Central'!K6:K1135="INSTALADO - OPERANDO")+('GRT Central'!K6:K1135="INSTALADO - SIN SEÑAL")&gt;0))</f>
        <v>0</v>
      </c>
      <c r="C118" s="44">
        <f>SUMPRODUCT(((ISNUMBER('GRT Occidente'!L6:L784))*('GRT Occidente'!L6:L784=A118))*(('GRT Occidente'!K6:K784="INSTALADO - OPERANDO")+('GRT Occidente'!K6:K784="INSTALADO - SIN SEÑAL")&gt;0))</f>
        <v>0</v>
      </c>
      <c r="D118" s="44">
        <f>SUMPRODUCT(((ISNUMBER('GRT Oriente'!L6:L400))*('GRT Oriente'!L6:L400=A118))*(('GRT Oriente'!K6:K400="INSTALADO - OPERANDO")+('GRT Oriente'!K6:K400="INSTALADO - SIN SEÑAL")&gt;0))</f>
        <v>0</v>
      </c>
      <c r="E118" s="44">
        <f>SUMPRODUCT(((ISNUMBER('GRT Valle de México'!L6:L740))*('GRT Valle de México'!L6:L740=A118))*(('GRT Valle de México'!K6:K740="INSTALADO - OPERANDO")+('GRT Valle de México'!K6:K740="INSTALADO - SIN SEÑAL")&gt;0))</f>
        <v>0</v>
      </c>
      <c r="F118" s="44">
        <f>SUMPRODUCT(((ISNUMBER('GRT Noroeste'!L6:L372))*('GRT Noroeste'!L6:L372=A118))*(('GRT Noroeste'!K6:K372="INSTALADO - OPERANDO")+('GRT Noroeste'!K6:K372="INSTALADO - SIN SEÑAL")&gt;0))</f>
        <v>0</v>
      </c>
      <c r="G118" s="44">
        <f>SUMPRODUCT(((ISNUMBER('GRT Norte'!L6:L296))*('GRT Norte'!L6:L296=A118))*(('GRT Norte'!K6:K296="INSTALADO - OPERANDO")+('GRT Norte'!K6:K296="INSTALADO - SIN SEÑAL")&gt;0))</f>
        <v>0</v>
      </c>
      <c r="H118" s="44">
        <f>SUMPRODUCT(((ISNUMBER('GRT Noreste'!L6:L262))*('GRT Noreste'!L6:L262=A118))*(('GRT Noreste'!K6:K262="INSTALADO - OPERANDO")+('GRT Noreste'!K6:K262="INSTALADO - SIN SEÑAL")&gt;0))</f>
        <v>0</v>
      </c>
      <c r="I118" s="44">
        <f>SUMPRODUCT(((ISNUMBER('GRT Baja California'!L6:L281))*('GRT Baja California'!L6:L281=A118))*(('GRT Baja California'!K6:K281="INSTALADO - OPERANDO")+('GRT Baja California'!K6:K281="INSTALADO - SIN SEÑAL")&gt;0))</f>
        <v>0</v>
      </c>
      <c r="J118" s="64">
        <f t="shared" si="9"/>
        <v>0</v>
      </c>
      <c r="K118" s="54">
        <f t="shared" si="11"/>
        <v>1289</v>
      </c>
      <c r="L118" s="57">
        <f t="shared" si="10"/>
        <v>0.30472813238770685</v>
      </c>
      <c r="M118" s="58"/>
    </row>
    <row r="119" spans="1:13" ht="15" customHeight="1">
      <c r="A119" s="50">
        <v>46211</v>
      </c>
      <c r="B119" s="41">
        <f>SUMPRODUCT(((ISNUMBER('GRT Central'!L6:L1135))*('GRT Central'!L6:L1135=A119))*(('GRT Central'!K6:K1135="INSTALADO - OPERANDO")+('GRT Central'!K6:K1135="INSTALADO - SIN SEÑAL")&gt;0))</f>
        <v>0</v>
      </c>
      <c r="C119" s="41">
        <f>SUMPRODUCT(((ISNUMBER('GRT Occidente'!L6:L784))*('GRT Occidente'!L6:L784=A119))*(('GRT Occidente'!K6:K784="INSTALADO - OPERANDO")+('GRT Occidente'!K6:K784="INSTALADO - SIN SEÑAL")&gt;0))</f>
        <v>0</v>
      </c>
      <c r="D119" s="41">
        <f>SUMPRODUCT(((ISNUMBER('GRT Oriente'!L6:L400))*('GRT Oriente'!L6:L400=A119))*(('GRT Oriente'!K6:K400="INSTALADO - OPERANDO")+('GRT Oriente'!K6:K400="INSTALADO - SIN SEÑAL")&gt;0))</f>
        <v>0</v>
      </c>
      <c r="E119" s="41">
        <f>SUMPRODUCT(((ISNUMBER('GRT Valle de México'!L6:L740))*('GRT Valle de México'!L6:L740=A119))*(('GRT Valle de México'!K6:K740="INSTALADO - OPERANDO")+('GRT Valle de México'!K6:K740="INSTALADO - SIN SEÑAL")&gt;0))</f>
        <v>0</v>
      </c>
      <c r="F119" s="41">
        <f>SUMPRODUCT(((ISNUMBER('GRT Noroeste'!L6:L372))*('GRT Noroeste'!L6:L372=A119))*(('GRT Noroeste'!K6:K372="INSTALADO - OPERANDO")+('GRT Noroeste'!K6:K372="INSTALADO - SIN SEÑAL")&gt;0))</f>
        <v>0</v>
      </c>
      <c r="G119" s="41">
        <f>SUMPRODUCT(((ISNUMBER('GRT Norte'!L6:L296))*('GRT Norte'!L6:L296=A119))*(('GRT Norte'!K6:K296="INSTALADO - OPERANDO")+('GRT Norte'!K6:K296="INSTALADO - SIN SEÑAL")&gt;0))</f>
        <v>0</v>
      </c>
      <c r="H119" s="41">
        <f>SUMPRODUCT(((ISNUMBER('GRT Noreste'!L6:L262))*('GRT Noreste'!L6:L262=A119))*(('GRT Noreste'!K6:K262="INSTALADO - OPERANDO")+('GRT Noreste'!K6:K262="INSTALADO - SIN SEÑAL")&gt;0))</f>
        <v>0</v>
      </c>
      <c r="I119" s="41">
        <f>SUMPRODUCT(((ISNUMBER('GRT Baja California'!L6:L281))*('GRT Baja California'!L6:L281=A119))*(('GRT Baja California'!K6:K281="INSTALADO - OPERANDO")+('GRT Baja California'!K6:K281="INSTALADO - SIN SEÑAL")&gt;0))</f>
        <v>0</v>
      </c>
      <c r="J119" s="65">
        <f t="shared" si="9"/>
        <v>0</v>
      </c>
      <c r="K119" s="49">
        <f t="shared" si="11"/>
        <v>1289</v>
      </c>
      <c r="L119" s="52">
        <f t="shared" si="10"/>
        <v>0.30472813238770685</v>
      </c>
      <c r="M119" s="53"/>
    </row>
    <row r="120" spans="1:13" ht="15" customHeight="1">
      <c r="A120" s="55">
        <v>46212</v>
      </c>
      <c r="B120" s="44">
        <f>SUMPRODUCT(((ISNUMBER('GRT Central'!L6:L1135))*('GRT Central'!L6:L1135=A120))*(('GRT Central'!K6:K1135="INSTALADO - OPERANDO")+('GRT Central'!K6:K1135="INSTALADO - SIN SEÑAL")&gt;0))</f>
        <v>0</v>
      </c>
      <c r="C120" s="44">
        <f>SUMPRODUCT(((ISNUMBER('GRT Occidente'!L6:L784))*('GRT Occidente'!L6:L784=A120))*(('GRT Occidente'!K6:K784="INSTALADO - OPERANDO")+('GRT Occidente'!K6:K784="INSTALADO - SIN SEÑAL")&gt;0))</f>
        <v>0</v>
      </c>
      <c r="D120" s="44">
        <f>SUMPRODUCT(((ISNUMBER('GRT Oriente'!L6:L400))*('GRT Oriente'!L6:L400=A120))*(('GRT Oriente'!K6:K400="INSTALADO - OPERANDO")+('GRT Oriente'!K6:K400="INSTALADO - SIN SEÑAL")&gt;0))</f>
        <v>0</v>
      </c>
      <c r="E120" s="44">
        <f>SUMPRODUCT(((ISNUMBER('GRT Valle de México'!L6:L740))*('GRT Valle de México'!L6:L740=A120))*(('GRT Valle de México'!K6:K740="INSTALADO - OPERANDO")+('GRT Valle de México'!K6:K740="INSTALADO - SIN SEÑAL")&gt;0))</f>
        <v>0</v>
      </c>
      <c r="F120" s="44">
        <f>SUMPRODUCT(((ISNUMBER('GRT Noroeste'!L6:L372))*('GRT Noroeste'!L6:L372=A120))*(('GRT Noroeste'!K6:K372="INSTALADO - OPERANDO")+('GRT Noroeste'!K6:K372="INSTALADO - SIN SEÑAL")&gt;0))</f>
        <v>0</v>
      </c>
      <c r="G120" s="44">
        <f>SUMPRODUCT(((ISNUMBER('GRT Norte'!L6:L296))*('GRT Norte'!L6:L296=A120))*(('GRT Norte'!K6:K296="INSTALADO - OPERANDO")+('GRT Norte'!K6:K296="INSTALADO - SIN SEÑAL")&gt;0))</f>
        <v>0</v>
      </c>
      <c r="H120" s="44">
        <f>SUMPRODUCT(((ISNUMBER('GRT Noreste'!L6:L262))*('GRT Noreste'!L6:L262=A120))*(('GRT Noreste'!K6:K262="INSTALADO - OPERANDO")+('GRT Noreste'!K6:K262="INSTALADO - SIN SEÑAL")&gt;0))</f>
        <v>0</v>
      </c>
      <c r="I120" s="44">
        <f>SUMPRODUCT(((ISNUMBER('GRT Baja California'!L6:L281))*('GRT Baja California'!L6:L281=A120))*(('GRT Baja California'!K6:K281="INSTALADO - OPERANDO")+('GRT Baja California'!K6:K281="INSTALADO - SIN SEÑAL")&gt;0))</f>
        <v>0</v>
      </c>
      <c r="J120" s="64">
        <f t="shared" si="9"/>
        <v>0</v>
      </c>
      <c r="K120" s="54">
        <f t="shared" si="11"/>
        <v>1289</v>
      </c>
      <c r="L120" s="57">
        <f t="shared" si="10"/>
        <v>0.30472813238770685</v>
      </c>
      <c r="M120" s="58"/>
    </row>
    <row r="121" spans="1:13" ht="15" customHeight="1">
      <c r="A121" s="50">
        <v>46213</v>
      </c>
      <c r="B121" s="41">
        <f>SUMPRODUCT(((ISNUMBER('GRT Central'!L6:L1135))*('GRT Central'!L6:L1135=A121))*(('GRT Central'!K6:K1135="INSTALADO - OPERANDO")+('GRT Central'!K6:K1135="INSTALADO - SIN SEÑAL")&gt;0))</f>
        <v>0</v>
      </c>
      <c r="C121" s="41">
        <f>SUMPRODUCT(((ISNUMBER('GRT Occidente'!L6:L784))*('GRT Occidente'!L6:L784=A121))*(('GRT Occidente'!K6:K784="INSTALADO - OPERANDO")+('GRT Occidente'!K6:K784="INSTALADO - SIN SEÑAL")&gt;0))</f>
        <v>0</v>
      </c>
      <c r="D121" s="41">
        <f>SUMPRODUCT(((ISNUMBER('GRT Oriente'!L6:L400))*('GRT Oriente'!L6:L400=A121))*(('GRT Oriente'!K6:K400="INSTALADO - OPERANDO")+('GRT Oriente'!K6:K400="INSTALADO - SIN SEÑAL")&gt;0))</f>
        <v>0</v>
      </c>
      <c r="E121" s="41">
        <f>SUMPRODUCT(((ISNUMBER('GRT Valle de México'!L6:L740))*('GRT Valle de México'!L6:L740=A121))*(('GRT Valle de México'!K6:K740="INSTALADO - OPERANDO")+('GRT Valle de México'!K6:K740="INSTALADO - SIN SEÑAL")&gt;0))</f>
        <v>0</v>
      </c>
      <c r="F121" s="41">
        <f>SUMPRODUCT(((ISNUMBER('GRT Noroeste'!L6:L372))*('GRT Noroeste'!L6:L372=A121))*(('GRT Noroeste'!K6:K372="INSTALADO - OPERANDO")+('GRT Noroeste'!K6:K372="INSTALADO - SIN SEÑAL")&gt;0))</f>
        <v>0</v>
      </c>
      <c r="G121" s="41">
        <f>SUMPRODUCT(((ISNUMBER('GRT Norte'!L6:L296))*('GRT Norte'!L6:L296=A121))*(('GRT Norte'!K6:K296="INSTALADO - OPERANDO")+('GRT Norte'!K6:K296="INSTALADO - SIN SEÑAL")&gt;0))</f>
        <v>0</v>
      </c>
      <c r="H121" s="41">
        <f>SUMPRODUCT(((ISNUMBER('GRT Noreste'!L6:L262))*('GRT Noreste'!L6:L262=A121))*(('GRT Noreste'!K6:K262="INSTALADO - OPERANDO")+('GRT Noreste'!K6:K262="INSTALADO - SIN SEÑAL")&gt;0))</f>
        <v>0</v>
      </c>
      <c r="I121" s="41">
        <f>SUMPRODUCT(((ISNUMBER('GRT Baja California'!L6:L281))*('GRT Baja California'!L6:L281=A121))*(('GRT Baja California'!K6:K281="INSTALADO - OPERANDO")+('GRT Baja California'!K6:K281="INSTALADO - SIN SEÑAL")&gt;0))</f>
        <v>0</v>
      </c>
      <c r="J121" s="65">
        <f t="shared" si="9"/>
        <v>0</v>
      </c>
      <c r="K121" s="49">
        <f t="shared" si="11"/>
        <v>1289</v>
      </c>
      <c r="L121" s="52">
        <f t="shared" si="10"/>
        <v>0.30472813238770685</v>
      </c>
      <c r="M121" s="53"/>
    </row>
    <row r="122" spans="1:13" ht="15" customHeight="1">
      <c r="A122" s="55">
        <v>46214</v>
      </c>
      <c r="B122" s="44">
        <f>SUMPRODUCT(((ISNUMBER('GRT Central'!L6:L1135))*('GRT Central'!L6:L1135=A122))*(('GRT Central'!K6:K1135="INSTALADO - OPERANDO")+('GRT Central'!K6:K1135="INSTALADO - SIN SEÑAL")&gt;0))</f>
        <v>0</v>
      </c>
      <c r="C122" s="44">
        <f>SUMPRODUCT(((ISNUMBER('GRT Occidente'!L6:L784))*('GRT Occidente'!L6:L784=A122))*(('GRT Occidente'!K6:K784="INSTALADO - OPERANDO")+('GRT Occidente'!K6:K784="INSTALADO - SIN SEÑAL")&gt;0))</f>
        <v>0</v>
      </c>
      <c r="D122" s="44">
        <f>SUMPRODUCT(((ISNUMBER('GRT Oriente'!L6:L400))*('GRT Oriente'!L6:L400=A122))*(('GRT Oriente'!K6:K400="INSTALADO - OPERANDO")+('GRT Oriente'!K6:K400="INSTALADO - SIN SEÑAL")&gt;0))</f>
        <v>0</v>
      </c>
      <c r="E122" s="44">
        <f>SUMPRODUCT(((ISNUMBER('GRT Valle de México'!L6:L740))*('GRT Valle de México'!L6:L740=A122))*(('GRT Valle de México'!K6:K740="INSTALADO - OPERANDO")+('GRT Valle de México'!K6:K740="INSTALADO - SIN SEÑAL")&gt;0))</f>
        <v>0</v>
      </c>
      <c r="F122" s="44">
        <f>SUMPRODUCT(((ISNUMBER('GRT Noroeste'!L6:L372))*('GRT Noroeste'!L6:L372=A122))*(('GRT Noroeste'!K6:K372="INSTALADO - OPERANDO")+('GRT Noroeste'!K6:K372="INSTALADO - SIN SEÑAL")&gt;0))</f>
        <v>0</v>
      </c>
      <c r="G122" s="44">
        <f>SUMPRODUCT(((ISNUMBER('GRT Norte'!L6:L296))*('GRT Norte'!L6:L296=A122))*(('GRT Norte'!K6:K296="INSTALADO - OPERANDO")+('GRT Norte'!K6:K296="INSTALADO - SIN SEÑAL")&gt;0))</f>
        <v>0</v>
      </c>
      <c r="H122" s="44">
        <f>SUMPRODUCT(((ISNUMBER('GRT Noreste'!L6:L262))*('GRT Noreste'!L6:L262=A122))*(('GRT Noreste'!K6:K262="INSTALADO - OPERANDO")+('GRT Noreste'!K6:K262="INSTALADO - SIN SEÑAL")&gt;0))</f>
        <v>0</v>
      </c>
      <c r="I122" s="44">
        <f>SUMPRODUCT(((ISNUMBER('GRT Baja California'!L6:L281))*('GRT Baja California'!L6:L281=A122))*(('GRT Baja California'!K6:K281="INSTALADO - OPERANDO")+('GRT Baja California'!K6:K281="INSTALADO - SIN SEÑAL")&gt;0))</f>
        <v>0</v>
      </c>
      <c r="J122" s="64">
        <f t="shared" si="9"/>
        <v>0</v>
      </c>
      <c r="K122" s="54">
        <f t="shared" si="11"/>
        <v>1289</v>
      </c>
      <c r="L122" s="57">
        <f t="shared" si="10"/>
        <v>0.30472813238770685</v>
      </c>
      <c r="M122" s="58"/>
    </row>
    <row r="123" spans="1:13" ht="15" customHeight="1">
      <c r="A123" s="50">
        <v>46215</v>
      </c>
      <c r="B123" s="41">
        <f>SUMPRODUCT(((ISNUMBER('GRT Central'!L6:L1135))*('GRT Central'!L6:L1135=A123))*(('GRT Central'!K6:K1135="INSTALADO - OPERANDO")+('GRT Central'!K6:K1135="INSTALADO - SIN SEÑAL")&gt;0))</f>
        <v>0</v>
      </c>
      <c r="C123" s="41">
        <f>SUMPRODUCT(((ISNUMBER('GRT Occidente'!L6:L784))*('GRT Occidente'!L6:L784=A123))*(('GRT Occidente'!K6:K784="INSTALADO - OPERANDO")+('GRT Occidente'!K6:K784="INSTALADO - SIN SEÑAL")&gt;0))</f>
        <v>0</v>
      </c>
      <c r="D123" s="41">
        <f>SUMPRODUCT(((ISNUMBER('GRT Oriente'!L6:L400))*('GRT Oriente'!L6:L400=A123))*(('GRT Oriente'!K6:K400="INSTALADO - OPERANDO")+('GRT Oriente'!K6:K400="INSTALADO - SIN SEÑAL")&gt;0))</f>
        <v>0</v>
      </c>
      <c r="E123" s="41">
        <f>SUMPRODUCT(((ISNUMBER('GRT Valle de México'!L6:L740))*('GRT Valle de México'!L6:L740=A123))*(('GRT Valle de México'!K6:K740="INSTALADO - OPERANDO")+('GRT Valle de México'!K6:K740="INSTALADO - SIN SEÑAL")&gt;0))</f>
        <v>0</v>
      </c>
      <c r="F123" s="41">
        <f>SUMPRODUCT(((ISNUMBER('GRT Noroeste'!L6:L372))*('GRT Noroeste'!L6:L372=A123))*(('GRT Noroeste'!K6:K372="INSTALADO - OPERANDO")+('GRT Noroeste'!K6:K372="INSTALADO - SIN SEÑAL")&gt;0))</f>
        <v>0</v>
      </c>
      <c r="G123" s="41">
        <f>SUMPRODUCT(((ISNUMBER('GRT Norte'!L6:L296))*('GRT Norte'!L6:L296=A123))*(('GRT Norte'!K6:K296="INSTALADO - OPERANDO")+('GRT Norte'!K6:K296="INSTALADO - SIN SEÑAL")&gt;0))</f>
        <v>0</v>
      </c>
      <c r="H123" s="41">
        <f>SUMPRODUCT(((ISNUMBER('GRT Noreste'!L6:L262))*('GRT Noreste'!L6:L262=A123))*(('GRT Noreste'!K6:K262="INSTALADO - OPERANDO")+('GRT Noreste'!K6:K262="INSTALADO - SIN SEÑAL")&gt;0))</f>
        <v>0</v>
      </c>
      <c r="I123" s="41">
        <f>SUMPRODUCT(((ISNUMBER('GRT Baja California'!L6:L281))*('GRT Baja California'!L6:L281=A123))*(('GRT Baja California'!K6:K281="INSTALADO - OPERANDO")+('GRT Baja California'!K6:K281="INSTALADO - SIN SEÑAL")&gt;0))</f>
        <v>0</v>
      </c>
      <c r="J123" s="65">
        <f t="shared" si="9"/>
        <v>0</v>
      </c>
      <c r="K123" s="49">
        <f t="shared" si="11"/>
        <v>1289</v>
      </c>
      <c r="L123" s="52">
        <f t="shared" si="10"/>
        <v>0.30472813238770685</v>
      </c>
      <c r="M123" s="53"/>
    </row>
    <row r="124" spans="1:13" ht="15" customHeight="1">
      <c r="A124" s="55">
        <v>46216</v>
      </c>
      <c r="B124" s="44">
        <f>SUMPRODUCT(((ISNUMBER('GRT Central'!L6:L1135))*('GRT Central'!L6:L1135=A124))*(('GRT Central'!K6:K1135="INSTALADO - OPERANDO")+('GRT Central'!K6:K1135="INSTALADO - SIN SEÑAL")&gt;0))</f>
        <v>0</v>
      </c>
      <c r="C124" s="44">
        <f>SUMPRODUCT(((ISNUMBER('GRT Occidente'!L6:L784))*('GRT Occidente'!L6:L784=A124))*(('GRT Occidente'!K6:K784="INSTALADO - OPERANDO")+('GRT Occidente'!K6:K784="INSTALADO - SIN SEÑAL")&gt;0))</f>
        <v>0</v>
      </c>
      <c r="D124" s="44">
        <f>SUMPRODUCT(((ISNUMBER('GRT Oriente'!L6:L400))*('GRT Oriente'!L6:L400=A124))*(('GRT Oriente'!K6:K400="INSTALADO - OPERANDO")+('GRT Oriente'!K6:K400="INSTALADO - SIN SEÑAL")&gt;0))</f>
        <v>0</v>
      </c>
      <c r="E124" s="44">
        <f>SUMPRODUCT(((ISNUMBER('GRT Valle de México'!L6:L740))*('GRT Valle de México'!L6:L740=A124))*(('GRT Valle de México'!K6:K740="INSTALADO - OPERANDO")+('GRT Valle de México'!K6:K740="INSTALADO - SIN SEÑAL")&gt;0))</f>
        <v>0</v>
      </c>
      <c r="F124" s="44">
        <f>SUMPRODUCT(((ISNUMBER('GRT Noroeste'!L6:L372))*('GRT Noroeste'!L6:L372=A124))*(('GRT Noroeste'!K6:K372="INSTALADO - OPERANDO")+('GRT Noroeste'!K6:K372="INSTALADO - SIN SEÑAL")&gt;0))</f>
        <v>0</v>
      </c>
      <c r="G124" s="44">
        <f>SUMPRODUCT(((ISNUMBER('GRT Norte'!L6:L296))*('GRT Norte'!L6:L296=A124))*(('GRT Norte'!K6:K296="INSTALADO - OPERANDO")+('GRT Norte'!K6:K296="INSTALADO - SIN SEÑAL")&gt;0))</f>
        <v>0</v>
      </c>
      <c r="H124" s="44">
        <f>SUMPRODUCT(((ISNUMBER('GRT Noreste'!L6:L262))*('GRT Noreste'!L6:L262=A124))*(('GRT Noreste'!K6:K262="INSTALADO - OPERANDO")+('GRT Noreste'!K6:K262="INSTALADO - SIN SEÑAL")&gt;0))</f>
        <v>0</v>
      </c>
      <c r="I124" s="44">
        <f>SUMPRODUCT(((ISNUMBER('GRT Baja California'!L6:L281))*('GRT Baja California'!L6:L281=A124))*(('GRT Baja California'!K6:K281="INSTALADO - OPERANDO")+('GRT Baja California'!K6:K281="INSTALADO - SIN SEÑAL")&gt;0))</f>
        <v>0</v>
      </c>
      <c r="J124" s="64">
        <f t="shared" si="9"/>
        <v>0</v>
      </c>
      <c r="K124" s="54">
        <f t="shared" si="11"/>
        <v>1289</v>
      </c>
      <c r="L124" s="57">
        <f t="shared" si="10"/>
        <v>0.30472813238770685</v>
      </c>
      <c r="M124" s="58"/>
    </row>
    <row r="125" spans="1:13" ht="15" customHeight="1">
      <c r="A125" s="50">
        <v>46217</v>
      </c>
      <c r="B125" s="41">
        <f>SUMPRODUCT(((ISNUMBER('GRT Central'!L6:L1135))*('GRT Central'!L6:L1135=A125))*(('GRT Central'!K6:K1135="INSTALADO - OPERANDO")+('GRT Central'!K6:K1135="INSTALADO - SIN SEÑAL")&gt;0))</f>
        <v>0</v>
      </c>
      <c r="C125" s="41">
        <f>SUMPRODUCT(((ISNUMBER('GRT Occidente'!L6:L784))*('GRT Occidente'!L6:L784=A125))*(('GRT Occidente'!K6:K784="INSTALADO - OPERANDO")+('GRT Occidente'!K6:K784="INSTALADO - SIN SEÑAL")&gt;0))</f>
        <v>0</v>
      </c>
      <c r="D125" s="41">
        <f>SUMPRODUCT(((ISNUMBER('GRT Oriente'!L6:L400))*('GRT Oriente'!L6:L400=A125))*(('GRT Oriente'!K6:K400="INSTALADO - OPERANDO")+('GRT Oriente'!K6:K400="INSTALADO - SIN SEÑAL")&gt;0))</f>
        <v>0</v>
      </c>
      <c r="E125" s="41">
        <f>SUMPRODUCT(((ISNUMBER('GRT Valle de México'!L6:L740))*('GRT Valle de México'!L6:L740=A125))*(('GRT Valle de México'!K6:K740="INSTALADO - OPERANDO")+('GRT Valle de México'!K6:K740="INSTALADO - SIN SEÑAL")&gt;0))</f>
        <v>0</v>
      </c>
      <c r="F125" s="41">
        <f>SUMPRODUCT(((ISNUMBER('GRT Noroeste'!L6:L372))*('GRT Noroeste'!L6:L372=A125))*(('GRT Noroeste'!K6:K372="INSTALADO - OPERANDO")+('GRT Noroeste'!K6:K372="INSTALADO - SIN SEÑAL")&gt;0))</f>
        <v>0</v>
      </c>
      <c r="G125" s="41">
        <f>SUMPRODUCT(((ISNUMBER('GRT Norte'!L6:L296))*('GRT Norte'!L6:L296=A125))*(('GRT Norte'!K6:K296="INSTALADO - OPERANDO")+('GRT Norte'!K6:K296="INSTALADO - SIN SEÑAL")&gt;0))</f>
        <v>0</v>
      </c>
      <c r="H125" s="41">
        <f>SUMPRODUCT(((ISNUMBER('GRT Noreste'!L6:L262))*('GRT Noreste'!L6:L262=A125))*(('GRT Noreste'!K6:K262="INSTALADO - OPERANDO")+('GRT Noreste'!K6:K262="INSTALADO - SIN SEÑAL")&gt;0))</f>
        <v>0</v>
      </c>
      <c r="I125" s="41">
        <f>SUMPRODUCT(((ISNUMBER('GRT Baja California'!L6:L281))*('GRT Baja California'!L6:L281=A125))*(('GRT Baja California'!K6:K281="INSTALADO - OPERANDO")+('GRT Baja California'!K6:K281="INSTALADO - SIN SEÑAL")&gt;0))</f>
        <v>0</v>
      </c>
      <c r="J125" s="65">
        <f t="shared" si="9"/>
        <v>0</v>
      </c>
      <c r="K125" s="49">
        <f t="shared" si="11"/>
        <v>1289</v>
      </c>
      <c r="L125" s="52">
        <f t="shared" si="10"/>
        <v>0.30472813238770685</v>
      </c>
      <c r="M125" s="53"/>
    </row>
    <row r="126" spans="1:13" ht="15" customHeight="1">
      <c r="A126" s="55">
        <v>46218</v>
      </c>
      <c r="B126" s="44">
        <f>SUMPRODUCT(((ISNUMBER('GRT Central'!L6:L1135))*('GRT Central'!L6:L1135=A126))*(('GRT Central'!K6:K1135="INSTALADO - OPERANDO")+('GRT Central'!K6:K1135="INSTALADO - SIN SEÑAL")&gt;0))</f>
        <v>0</v>
      </c>
      <c r="C126" s="44">
        <f>SUMPRODUCT(((ISNUMBER('GRT Occidente'!L6:L784))*('GRT Occidente'!L6:L784=A126))*(('GRT Occidente'!K6:K784="INSTALADO - OPERANDO")+('GRT Occidente'!K6:K784="INSTALADO - SIN SEÑAL")&gt;0))</f>
        <v>0</v>
      </c>
      <c r="D126" s="44">
        <f>SUMPRODUCT(((ISNUMBER('GRT Oriente'!L6:L400))*('GRT Oriente'!L6:L400=A126))*(('GRT Oriente'!K6:K400="INSTALADO - OPERANDO")+('GRT Oriente'!K6:K400="INSTALADO - SIN SEÑAL")&gt;0))</f>
        <v>0</v>
      </c>
      <c r="E126" s="44">
        <f>SUMPRODUCT(((ISNUMBER('GRT Valle de México'!L6:L740))*('GRT Valle de México'!L6:L740=A126))*(('GRT Valle de México'!K6:K740="INSTALADO - OPERANDO")+('GRT Valle de México'!K6:K740="INSTALADO - SIN SEÑAL")&gt;0))</f>
        <v>0</v>
      </c>
      <c r="F126" s="44">
        <f>SUMPRODUCT(((ISNUMBER('GRT Noroeste'!L6:L372))*('GRT Noroeste'!L6:L372=A126))*(('GRT Noroeste'!K6:K372="INSTALADO - OPERANDO")+('GRT Noroeste'!K6:K372="INSTALADO - SIN SEÑAL")&gt;0))</f>
        <v>0</v>
      </c>
      <c r="G126" s="44">
        <f>SUMPRODUCT(((ISNUMBER('GRT Norte'!L6:L296))*('GRT Norte'!L6:L296=A126))*(('GRT Norte'!K6:K296="INSTALADO - OPERANDO")+('GRT Norte'!K6:K296="INSTALADO - SIN SEÑAL")&gt;0))</f>
        <v>0</v>
      </c>
      <c r="H126" s="44">
        <f>SUMPRODUCT(((ISNUMBER('GRT Noreste'!L6:L262))*('GRT Noreste'!L6:L262=A126))*(('GRT Noreste'!K6:K262="INSTALADO - OPERANDO")+('GRT Noreste'!K6:K262="INSTALADO - SIN SEÑAL")&gt;0))</f>
        <v>0</v>
      </c>
      <c r="I126" s="44">
        <f>SUMPRODUCT(((ISNUMBER('GRT Baja California'!L6:L281))*('GRT Baja California'!L6:L281=A126))*(('GRT Baja California'!K6:K281="INSTALADO - OPERANDO")+('GRT Baja California'!K6:K281="INSTALADO - SIN SEÑAL")&gt;0))</f>
        <v>0</v>
      </c>
      <c r="J126" s="64">
        <f t="shared" si="9"/>
        <v>0</v>
      </c>
      <c r="K126" s="54">
        <f t="shared" si="11"/>
        <v>1289</v>
      </c>
      <c r="L126" s="57">
        <f t="shared" si="10"/>
        <v>0.30472813238770685</v>
      </c>
      <c r="M126" s="58"/>
    </row>
    <row r="127" spans="1:13" ht="15" customHeight="1">
      <c r="A127" s="50">
        <v>46219</v>
      </c>
      <c r="B127" s="41">
        <f>SUMPRODUCT(((ISNUMBER('GRT Central'!L6:L1135))*('GRT Central'!L6:L1135=A127))*(('GRT Central'!K6:K1135="INSTALADO - OPERANDO")+('GRT Central'!K6:K1135="INSTALADO - SIN SEÑAL")&gt;0))</f>
        <v>0</v>
      </c>
      <c r="C127" s="41">
        <f>SUMPRODUCT(((ISNUMBER('GRT Occidente'!L6:L784))*('GRT Occidente'!L6:L784=A127))*(('GRT Occidente'!K6:K784="INSTALADO - OPERANDO")+('GRT Occidente'!K6:K784="INSTALADO - SIN SEÑAL")&gt;0))</f>
        <v>0</v>
      </c>
      <c r="D127" s="41">
        <f>SUMPRODUCT(((ISNUMBER('GRT Oriente'!L6:L400))*('GRT Oriente'!L6:L400=A127))*(('GRT Oriente'!K6:K400="INSTALADO - OPERANDO")+('GRT Oriente'!K6:K400="INSTALADO - SIN SEÑAL")&gt;0))</f>
        <v>0</v>
      </c>
      <c r="E127" s="41">
        <f>SUMPRODUCT(((ISNUMBER('GRT Valle de México'!L6:L740))*('GRT Valle de México'!L6:L740=A127))*(('GRT Valle de México'!K6:K740="INSTALADO - OPERANDO")+('GRT Valle de México'!K6:K740="INSTALADO - SIN SEÑAL")&gt;0))</f>
        <v>0</v>
      </c>
      <c r="F127" s="41">
        <f>SUMPRODUCT(((ISNUMBER('GRT Noroeste'!L6:L372))*('GRT Noroeste'!L6:L372=A127))*(('GRT Noroeste'!K6:K372="INSTALADO - OPERANDO")+('GRT Noroeste'!K6:K372="INSTALADO - SIN SEÑAL")&gt;0))</f>
        <v>0</v>
      </c>
      <c r="G127" s="41">
        <f>SUMPRODUCT(((ISNUMBER('GRT Norte'!L6:L296))*('GRT Norte'!L6:L296=A127))*(('GRT Norte'!K6:K296="INSTALADO - OPERANDO")+('GRT Norte'!K6:K296="INSTALADO - SIN SEÑAL")&gt;0))</f>
        <v>0</v>
      </c>
      <c r="H127" s="41">
        <f>SUMPRODUCT(((ISNUMBER('GRT Noreste'!L6:L262))*('GRT Noreste'!L6:L262=A127))*(('GRT Noreste'!K6:K262="INSTALADO - OPERANDO")+('GRT Noreste'!K6:K262="INSTALADO - SIN SEÑAL")&gt;0))</f>
        <v>0</v>
      </c>
      <c r="I127" s="41">
        <f>SUMPRODUCT(((ISNUMBER('GRT Baja California'!L6:L281))*('GRT Baja California'!L6:L281=A127))*(('GRT Baja California'!K6:K281="INSTALADO - OPERANDO")+('GRT Baja California'!K6:K281="INSTALADO - SIN SEÑAL")&gt;0))</f>
        <v>0</v>
      </c>
      <c r="J127" s="65">
        <f t="shared" si="9"/>
        <v>0</v>
      </c>
      <c r="K127" s="49">
        <f t="shared" si="11"/>
        <v>1289</v>
      </c>
      <c r="L127" s="52">
        <f t="shared" si="10"/>
        <v>0.30472813238770685</v>
      </c>
      <c r="M127" s="53"/>
    </row>
    <row r="128" spans="1:13" ht="15" customHeight="1">
      <c r="A128" s="55">
        <v>46220</v>
      </c>
      <c r="B128" s="44">
        <f>SUMPRODUCT(((ISNUMBER('GRT Central'!L6:L1135))*('GRT Central'!L6:L1135=A128))*(('GRT Central'!K6:K1135="INSTALADO - OPERANDO")+('GRT Central'!K6:K1135="INSTALADO - SIN SEÑAL")&gt;0))</f>
        <v>0</v>
      </c>
      <c r="C128" s="44">
        <f>SUMPRODUCT(((ISNUMBER('GRT Occidente'!L6:L784))*('GRT Occidente'!L6:L784=A128))*(('GRT Occidente'!K6:K784="INSTALADO - OPERANDO")+('GRT Occidente'!K6:K784="INSTALADO - SIN SEÑAL")&gt;0))</f>
        <v>0</v>
      </c>
      <c r="D128" s="44">
        <f>SUMPRODUCT(((ISNUMBER('GRT Oriente'!L6:L400))*('GRT Oriente'!L6:L400=A128))*(('GRT Oriente'!K6:K400="INSTALADO - OPERANDO")+('GRT Oriente'!K6:K400="INSTALADO - SIN SEÑAL")&gt;0))</f>
        <v>0</v>
      </c>
      <c r="E128" s="44">
        <f>SUMPRODUCT(((ISNUMBER('GRT Valle de México'!L6:L740))*('GRT Valle de México'!L6:L740=A128))*(('GRT Valle de México'!K6:K740="INSTALADO - OPERANDO")+('GRT Valle de México'!K6:K740="INSTALADO - SIN SEÑAL")&gt;0))</f>
        <v>0</v>
      </c>
      <c r="F128" s="44">
        <f>SUMPRODUCT(((ISNUMBER('GRT Noroeste'!L6:L372))*('GRT Noroeste'!L6:L372=A128))*(('GRT Noroeste'!K6:K372="INSTALADO - OPERANDO")+('GRT Noroeste'!K6:K372="INSTALADO - SIN SEÑAL")&gt;0))</f>
        <v>0</v>
      </c>
      <c r="G128" s="44">
        <f>SUMPRODUCT(((ISNUMBER('GRT Norte'!L6:L296))*('GRT Norte'!L6:L296=A128))*(('GRT Norte'!K6:K296="INSTALADO - OPERANDO")+('GRT Norte'!K6:K296="INSTALADO - SIN SEÑAL")&gt;0))</f>
        <v>0</v>
      </c>
      <c r="H128" s="44">
        <f>SUMPRODUCT(((ISNUMBER('GRT Noreste'!L6:L262))*('GRT Noreste'!L6:L262=A128))*(('GRT Noreste'!K6:K262="INSTALADO - OPERANDO")+('GRT Noreste'!K6:K262="INSTALADO - SIN SEÑAL")&gt;0))</f>
        <v>0</v>
      </c>
      <c r="I128" s="44">
        <f>SUMPRODUCT(((ISNUMBER('GRT Baja California'!L6:L281))*('GRT Baja California'!L6:L281=A128))*(('GRT Baja California'!K6:K281="INSTALADO - OPERANDO")+('GRT Baja California'!K6:K281="INSTALADO - SIN SEÑAL")&gt;0))</f>
        <v>0</v>
      </c>
      <c r="J128" s="64">
        <f t="shared" si="9"/>
        <v>0</v>
      </c>
      <c r="K128" s="54">
        <f t="shared" si="11"/>
        <v>1289</v>
      </c>
      <c r="L128" s="57">
        <f t="shared" si="10"/>
        <v>0.30472813238770685</v>
      </c>
      <c r="M128" s="58"/>
    </row>
    <row r="129" spans="1:13" ht="15" customHeight="1">
      <c r="A129" s="50">
        <v>46221</v>
      </c>
      <c r="B129" s="41">
        <f>SUMPRODUCT(((ISNUMBER('GRT Central'!L6:L1135))*('GRT Central'!L6:L1135=A129))*(('GRT Central'!K6:K1135="INSTALADO - OPERANDO")+('GRT Central'!K6:K1135="INSTALADO - SIN SEÑAL")&gt;0))</f>
        <v>0</v>
      </c>
      <c r="C129" s="41">
        <f>SUMPRODUCT(((ISNUMBER('GRT Occidente'!L6:L784))*('GRT Occidente'!L6:L784=A129))*(('GRT Occidente'!K6:K784="INSTALADO - OPERANDO")+('GRT Occidente'!K6:K784="INSTALADO - SIN SEÑAL")&gt;0))</f>
        <v>0</v>
      </c>
      <c r="D129" s="41">
        <f>SUMPRODUCT(((ISNUMBER('GRT Oriente'!L6:L400))*('GRT Oriente'!L6:L400=A129))*(('GRT Oriente'!K6:K400="INSTALADO - OPERANDO")+('GRT Oriente'!K6:K400="INSTALADO - SIN SEÑAL")&gt;0))</f>
        <v>0</v>
      </c>
      <c r="E129" s="41">
        <f>SUMPRODUCT(((ISNUMBER('GRT Valle de México'!L6:L740))*('GRT Valle de México'!L6:L740=A129))*(('GRT Valle de México'!K6:K740="INSTALADO - OPERANDO")+('GRT Valle de México'!K6:K740="INSTALADO - SIN SEÑAL")&gt;0))</f>
        <v>0</v>
      </c>
      <c r="F129" s="41">
        <f>SUMPRODUCT(((ISNUMBER('GRT Noroeste'!L6:L372))*('GRT Noroeste'!L6:L372=A129))*(('GRT Noroeste'!K6:K372="INSTALADO - OPERANDO")+('GRT Noroeste'!K6:K372="INSTALADO - SIN SEÑAL")&gt;0))</f>
        <v>0</v>
      </c>
      <c r="G129" s="41">
        <f>SUMPRODUCT(((ISNUMBER('GRT Norte'!L6:L296))*('GRT Norte'!L6:L296=A129))*(('GRT Norte'!K6:K296="INSTALADO - OPERANDO")+('GRT Norte'!K6:K296="INSTALADO - SIN SEÑAL")&gt;0))</f>
        <v>0</v>
      </c>
      <c r="H129" s="41">
        <f>SUMPRODUCT(((ISNUMBER('GRT Noreste'!L6:L262))*('GRT Noreste'!L6:L262=A129))*(('GRT Noreste'!K6:K262="INSTALADO - OPERANDO")+('GRT Noreste'!K6:K262="INSTALADO - SIN SEÑAL")&gt;0))</f>
        <v>0</v>
      </c>
      <c r="I129" s="41">
        <f>SUMPRODUCT(((ISNUMBER('GRT Baja California'!L6:L281))*('GRT Baja California'!L6:L281=A129))*(('GRT Baja California'!K6:K281="INSTALADO - OPERANDO")+('GRT Baja California'!K6:K281="INSTALADO - SIN SEÑAL")&gt;0))</f>
        <v>0</v>
      </c>
      <c r="J129" s="65">
        <f t="shared" si="9"/>
        <v>0</v>
      </c>
      <c r="K129" s="49">
        <f t="shared" si="11"/>
        <v>1289</v>
      </c>
      <c r="L129" s="52">
        <f t="shared" si="10"/>
        <v>0.30472813238770685</v>
      </c>
      <c r="M129" s="53"/>
    </row>
    <row r="130" spans="1:13" ht="15" customHeight="1">
      <c r="A130" s="55">
        <v>46222</v>
      </c>
      <c r="B130" s="44">
        <f>SUMPRODUCT(((ISNUMBER('GRT Central'!L6:L1135))*('GRT Central'!L6:L1135=A130))*(('GRT Central'!K6:K1135="INSTALADO - OPERANDO")+('GRT Central'!K6:K1135="INSTALADO - SIN SEÑAL")&gt;0))</f>
        <v>0</v>
      </c>
      <c r="C130" s="44">
        <f>SUMPRODUCT(((ISNUMBER('GRT Occidente'!L6:L784))*('GRT Occidente'!L6:L784=A130))*(('GRT Occidente'!K6:K784="INSTALADO - OPERANDO")+('GRT Occidente'!K6:K784="INSTALADO - SIN SEÑAL")&gt;0))</f>
        <v>0</v>
      </c>
      <c r="D130" s="44">
        <f>SUMPRODUCT(((ISNUMBER('GRT Oriente'!L6:L400))*('GRT Oriente'!L6:L400=A130))*(('GRT Oriente'!K6:K400="INSTALADO - OPERANDO")+('GRT Oriente'!K6:K400="INSTALADO - SIN SEÑAL")&gt;0))</f>
        <v>0</v>
      </c>
      <c r="E130" s="44">
        <f>SUMPRODUCT(((ISNUMBER('GRT Valle de México'!L6:L740))*('GRT Valle de México'!L6:L740=A130))*(('GRT Valle de México'!K6:K740="INSTALADO - OPERANDO")+('GRT Valle de México'!K6:K740="INSTALADO - SIN SEÑAL")&gt;0))</f>
        <v>0</v>
      </c>
      <c r="F130" s="44">
        <f>SUMPRODUCT(((ISNUMBER('GRT Noroeste'!L6:L372))*('GRT Noroeste'!L6:L372=A130))*(('GRT Noroeste'!K6:K372="INSTALADO - OPERANDO")+('GRT Noroeste'!K6:K372="INSTALADO - SIN SEÑAL")&gt;0))</f>
        <v>0</v>
      </c>
      <c r="G130" s="44">
        <f>SUMPRODUCT(((ISNUMBER('GRT Norte'!L6:L296))*('GRT Norte'!L6:L296=A130))*(('GRT Norte'!K6:K296="INSTALADO - OPERANDO")+('GRT Norte'!K6:K296="INSTALADO - SIN SEÑAL")&gt;0))</f>
        <v>0</v>
      </c>
      <c r="H130" s="44">
        <f>SUMPRODUCT(((ISNUMBER('GRT Noreste'!L6:L262))*('GRT Noreste'!L6:L262=A130))*(('GRT Noreste'!K6:K262="INSTALADO - OPERANDO")+('GRT Noreste'!K6:K262="INSTALADO - SIN SEÑAL")&gt;0))</f>
        <v>0</v>
      </c>
      <c r="I130" s="44">
        <f>SUMPRODUCT(((ISNUMBER('GRT Baja California'!L6:L281))*('GRT Baja California'!L6:L281=A130))*(('GRT Baja California'!K6:K281="INSTALADO - OPERANDO")+('GRT Baja California'!K6:K281="INSTALADO - SIN SEÑAL")&gt;0))</f>
        <v>0</v>
      </c>
      <c r="J130" s="64">
        <f t="shared" si="9"/>
        <v>0</v>
      </c>
      <c r="K130" s="54">
        <f t="shared" si="11"/>
        <v>1289</v>
      </c>
      <c r="L130" s="57">
        <f t="shared" si="10"/>
        <v>0.30472813238770685</v>
      </c>
      <c r="M130" s="58"/>
    </row>
    <row r="131" spans="1:13" ht="15" customHeight="1">
      <c r="A131" s="50">
        <v>46223</v>
      </c>
      <c r="B131" s="41">
        <f>SUMPRODUCT(((ISNUMBER('GRT Central'!L6:L1135))*('GRT Central'!L6:L1135=A131))*(('GRT Central'!K6:K1135="INSTALADO - OPERANDO")+('GRT Central'!K6:K1135="INSTALADO - SIN SEÑAL")&gt;0))</f>
        <v>0</v>
      </c>
      <c r="C131" s="41">
        <f>SUMPRODUCT(((ISNUMBER('GRT Occidente'!L6:L784))*('GRT Occidente'!L6:L784=A131))*(('GRT Occidente'!K6:K784="INSTALADO - OPERANDO")+('GRT Occidente'!K6:K784="INSTALADO - SIN SEÑAL")&gt;0))</f>
        <v>0</v>
      </c>
      <c r="D131" s="41">
        <f>SUMPRODUCT(((ISNUMBER('GRT Oriente'!L6:L400))*('GRT Oriente'!L6:L400=A131))*(('GRT Oriente'!K6:K400="INSTALADO - OPERANDO")+('GRT Oriente'!K6:K400="INSTALADO - SIN SEÑAL")&gt;0))</f>
        <v>0</v>
      </c>
      <c r="E131" s="41">
        <f>SUMPRODUCT(((ISNUMBER('GRT Valle de México'!L6:L740))*('GRT Valle de México'!L6:L740=A131))*(('GRT Valle de México'!K6:K740="INSTALADO - OPERANDO")+('GRT Valle de México'!K6:K740="INSTALADO - SIN SEÑAL")&gt;0))</f>
        <v>0</v>
      </c>
      <c r="F131" s="41">
        <f>SUMPRODUCT(((ISNUMBER('GRT Noroeste'!L6:L372))*('GRT Noroeste'!L6:L372=A131))*(('GRT Noroeste'!K6:K372="INSTALADO - OPERANDO")+('GRT Noroeste'!K6:K372="INSTALADO - SIN SEÑAL")&gt;0))</f>
        <v>0</v>
      </c>
      <c r="G131" s="41">
        <f>SUMPRODUCT(((ISNUMBER('GRT Norte'!L6:L296))*('GRT Norte'!L6:L296=A131))*(('GRT Norte'!K6:K296="INSTALADO - OPERANDO")+('GRT Norte'!K6:K296="INSTALADO - SIN SEÑAL")&gt;0))</f>
        <v>0</v>
      </c>
      <c r="H131" s="41">
        <f>SUMPRODUCT(((ISNUMBER('GRT Noreste'!L6:L262))*('GRT Noreste'!L6:L262=A131))*(('GRT Noreste'!K6:K262="INSTALADO - OPERANDO")+('GRT Noreste'!K6:K262="INSTALADO - SIN SEÑAL")&gt;0))</f>
        <v>0</v>
      </c>
      <c r="I131" s="41">
        <f>SUMPRODUCT(((ISNUMBER('GRT Baja California'!L6:L281))*('GRT Baja California'!L6:L281=A131))*(('GRT Baja California'!K6:K281="INSTALADO - OPERANDO")+('GRT Baja California'!K6:K281="INSTALADO - SIN SEÑAL")&gt;0))</f>
        <v>0</v>
      </c>
      <c r="J131" s="65">
        <f t="shared" si="9"/>
        <v>0</v>
      </c>
      <c r="K131" s="49">
        <f t="shared" si="11"/>
        <v>1289</v>
      </c>
      <c r="L131" s="52">
        <f t="shared" si="10"/>
        <v>0.30472813238770685</v>
      </c>
      <c r="M131" s="53"/>
    </row>
    <row r="132" spans="1:13" ht="15" customHeight="1">
      <c r="A132" s="55">
        <v>46224</v>
      </c>
      <c r="B132" s="44">
        <f>SUMPRODUCT(((ISNUMBER('GRT Central'!L6:L1135))*('GRT Central'!L6:L1135=A132))*(('GRT Central'!K6:K1135="INSTALADO - OPERANDO")+('GRT Central'!K6:K1135="INSTALADO - SIN SEÑAL")&gt;0))</f>
        <v>0</v>
      </c>
      <c r="C132" s="44">
        <f>SUMPRODUCT(((ISNUMBER('GRT Occidente'!L6:L784))*('GRT Occidente'!L6:L784=A132))*(('GRT Occidente'!K6:K784="INSTALADO - OPERANDO")+('GRT Occidente'!K6:K784="INSTALADO - SIN SEÑAL")&gt;0))</f>
        <v>0</v>
      </c>
      <c r="D132" s="44">
        <f>SUMPRODUCT(((ISNUMBER('GRT Oriente'!L6:L400))*('GRT Oriente'!L6:L400=A132))*(('GRT Oriente'!K6:K400="INSTALADO - OPERANDO")+('GRT Oriente'!K6:K400="INSTALADO - SIN SEÑAL")&gt;0))</f>
        <v>0</v>
      </c>
      <c r="E132" s="44">
        <f>SUMPRODUCT(((ISNUMBER('GRT Valle de México'!L6:L740))*('GRT Valle de México'!L6:L740=A132))*(('GRT Valle de México'!K6:K740="INSTALADO - OPERANDO")+('GRT Valle de México'!K6:K740="INSTALADO - SIN SEÑAL")&gt;0))</f>
        <v>0</v>
      </c>
      <c r="F132" s="44">
        <f>SUMPRODUCT(((ISNUMBER('GRT Noroeste'!L6:L372))*('GRT Noroeste'!L6:L372=A132))*(('GRT Noroeste'!K6:K372="INSTALADO - OPERANDO")+('GRT Noroeste'!K6:K372="INSTALADO - SIN SEÑAL")&gt;0))</f>
        <v>0</v>
      </c>
      <c r="G132" s="44">
        <f>SUMPRODUCT(((ISNUMBER('GRT Norte'!L6:L296))*('GRT Norte'!L6:L296=A132))*(('GRT Norte'!K6:K296="INSTALADO - OPERANDO")+('GRT Norte'!K6:K296="INSTALADO - SIN SEÑAL")&gt;0))</f>
        <v>0</v>
      </c>
      <c r="H132" s="44">
        <f>SUMPRODUCT(((ISNUMBER('GRT Noreste'!L6:L262))*('GRT Noreste'!L6:L262=A132))*(('GRT Noreste'!K6:K262="INSTALADO - OPERANDO")+('GRT Noreste'!K6:K262="INSTALADO - SIN SEÑAL")&gt;0))</f>
        <v>0</v>
      </c>
      <c r="I132" s="44">
        <f>SUMPRODUCT(((ISNUMBER('GRT Baja California'!L6:L281))*('GRT Baja California'!L6:L281=A132))*(('GRT Baja California'!K6:K281="INSTALADO - OPERANDO")+('GRT Baja California'!K6:K281="INSTALADO - SIN SEÑAL")&gt;0))</f>
        <v>0</v>
      </c>
      <c r="J132" s="64">
        <f t="shared" si="9"/>
        <v>0</v>
      </c>
      <c r="K132" s="54">
        <f t="shared" si="11"/>
        <v>1289</v>
      </c>
      <c r="L132" s="57">
        <f t="shared" si="10"/>
        <v>0.30472813238770685</v>
      </c>
      <c r="M132" s="58"/>
    </row>
    <row r="133" spans="1:13" ht="15" customHeight="1">
      <c r="A133" s="50">
        <v>46225</v>
      </c>
      <c r="B133" s="41">
        <f>SUMPRODUCT(((ISNUMBER('GRT Central'!L6:L1135))*('GRT Central'!L6:L1135=A133))*(('GRT Central'!K6:K1135="INSTALADO - OPERANDO")+('GRT Central'!K6:K1135="INSTALADO - SIN SEÑAL")&gt;0))</f>
        <v>0</v>
      </c>
      <c r="C133" s="41">
        <f>SUMPRODUCT(((ISNUMBER('GRT Occidente'!L6:L784))*('GRT Occidente'!L6:L784=A133))*(('GRT Occidente'!K6:K784="INSTALADO - OPERANDO")+('GRT Occidente'!K6:K784="INSTALADO - SIN SEÑAL")&gt;0))</f>
        <v>0</v>
      </c>
      <c r="D133" s="41">
        <f>SUMPRODUCT(((ISNUMBER('GRT Oriente'!L6:L400))*('GRT Oriente'!L6:L400=A133))*(('GRT Oriente'!K6:K400="INSTALADO - OPERANDO")+('GRT Oriente'!K6:K400="INSTALADO - SIN SEÑAL")&gt;0))</f>
        <v>0</v>
      </c>
      <c r="E133" s="41">
        <f>SUMPRODUCT(((ISNUMBER('GRT Valle de México'!L6:L740))*('GRT Valle de México'!L6:L740=A133))*(('GRT Valle de México'!K6:K740="INSTALADO - OPERANDO")+('GRT Valle de México'!K6:K740="INSTALADO - SIN SEÑAL")&gt;0))</f>
        <v>0</v>
      </c>
      <c r="F133" s="41">
        <f>SUMPRODUCT(((ISNUMBER('GRT Noroeste'!L6:L372))*('GRT Noroeste'!L6:L372=A133))*(('GRT Noroeste'!K6:K372="INSTALADO - OPERANDO")+('GRT Noroeste'!K6:K372="INSTALADO - SIN SEÑAL")&gt;0))</f>
        <v>0</v>
      </c>
      <c r="G133" s="41">
        <f>SUMPRODUCT(((ISNUMBER('GRT Norte'!L6:L296))*('GRT Norte'!L6:L296=A133))*(('GRT Norte'!K6:K296="INSTALADO - OPERANDO")+('GRT Norte'!K6:K296="INSTALADO - SIN SEÑAL")&gt;0))</f>
        <v>0</v>
      </c>
      <c r="H133" s="41">
        <f>SUMPRODUCT(((ISNUMBER('GRT Noreste'!L6:L262))*('GRT Noreste'!L6:L262=A133))*(('GRT Noreste'!K6:K262="INSTALADO - OPERANDO")+('GRT Noreste'!K6:K262="INSTALADO - SIN SEÑAL")&gt;0))</f>
        <v>0</v>
      </c>
      <c r="I133" s="41">
        <f>SUMPRODUCT(((ISNUMBER('GRT Baja California'!L6:L281))*('GRT Baja California'!L6:L281=A133))*(('GRT Baja California'!K6:K281="INSTALADO - OPERANDO")+('GRT Baja California'!K6:K281="INSTALADO - SIN SEÑAL")&gt;0))</f>
        <v>0</v>
      </c>
      <c r="J133" s="65">
        <f t="shared" si="9"/>
        <v>0</v>
      </c>
      <c r="K133" s="49">
        <f t="shared" si="11"/>
        <v>1289</v>
      </c>
      <c r="L133" s="52">
        <f t="shared" si="10"/>
        <v>0.30472813238770685</v>
      </c>
      <c r="M133" s="53"/>
    </row>
    <row r="134" spans="1:13" ht="15" customHeight="1">
      <c r="A134" s="55">
        <v>46226</v>
      </c>
      <c r="B134" s="44">
        <f>SUMPRODUCT(((ISNUMBER('GRT Central'!L6:L1135))*('GRT Central'!L6:L1135=A134))*(('GRT Central'!K6:K1135="INSTALADO - OPERANDO")+('GRT Central'!K6:K1135="INSTALADO - SIN SEÑAL")&gt;0))</f>
        <v>0</v>
      </c>
      <c r="C134" s="44">
        <f>SUMPRODUCT(((ISNUMBER('GRT Occidente'!L6:L784))*('GRT Occidente'!L6:L784=A134))*(('GRT Occidente'!K6:K784="INSTALADO - OPERANDO")+('GRT Occidente'!K6:K784="INSTALADO - SIN SEÑAL")&gt;0))</f>
        <v>0</v>
      </c>
      <c r="D134" s="44">
        <f>SUMPRODUCT(((ISNUMBER('GRT Oriente'!L6:L400))*('GRT Oriente'!L6:L400=A134))*(('GRT Oriente'!K6:K400="INSTALADO - OPERANDO")+('GRT Oriente'!K6:K400="INSTALADO - SIN SEÑAL")&gt;0))</f>
        <v>0</v>
      </c>
      <c r="E134" s="44">
        <f>SUMPRODUCT(((ISNUMBER('GRT Valle de México'!L6:L740))*('GRT Valle de México'!L6:L740=A134))*(('GRT Valle de México'!K6:K740="INSTALADO - OPERANDO")+('GRT Valle de México'!K6:K740="INSTALADO - SIN SEÑAL")&gt;0))</f>
        <v>0</v>
      </c>
      <c r="F134" s="44">
        <f>SUMPRODUCT(((ISNUMBER('GRT Noroeste'!L6:L372))*('GRT Noroeste'!L6:L372=A134))*(('GRT Noroeste'!K6:K372="INSTALADO - OPERANDO")+('GRT Noroeste'!K6:K372="INSTALADO - SIN SEÑAL")&gt;0))</f>
        <v>0</v>
      </c>
      <c r="G134" s="44">
        <f>SUMPRODUCT(((ISNUMBER('GRT Norte'!L6:L296))*('GRT Norte'!L6:L296=A134))*(('GRT Norte'!K6:K296="INSTALADO - OPERANDO")+('GRT Norte'!K6:K296="INSTALADO - SIN SEÑAL")&gt;0))</f>
        <v>0</v>
      </c>
      <c r="H134" s="44">
        <f>SUMPRODUCT(((ISNUMBER('GRT Noreste'!L6:L262))*('GRT Noreste'!L6:L262=A134))*(('GRT Noreste'!K6:K262="INSTALADO - OPERANDO")+('GRT Noreste'!K6:K262="INSTALADO - SIN SEÑAL")&gt;0))</f>
        <v>0</v>
      </c>
      <c r="I134" s="44">
        <f>SUMPRODUCT(((ISNUMBER('GRT Baja California'!L6:L281))*('GRT Baja California'!L6:L281=A134))*(('GRT Baja California'!K6:K281="INSTALADO - OPERANDO")+('GRT Baja California'!K6:K281="INSTALADO - SIN SEÑAL")&gt;0))</f>
        <v>0</v>
      </c>
      <c r="J134" s="64">
        <f t="shared" ref="J134:J165" si="12">SUM(B134:I134)</f>
        <v>0</v>
      </c>
      <c r="K134" s="54">
        <f t="shared" si="11"/>
        <v>1289</v>
      </c>
      <c r="L134" s="57">
        <f t="shared" ref="L134:L165" si="13">IF(K134=0,"",K134/4230)</f>
        <v>0.30472813238770685</v>
      </c>
      <c r="M134" s="58"/>
    </row>
    <row r="135" spans="1:13" ht="15" customHeight="1">
      <c r="A135" s="50">
        <v>46227</v>
      </c>
      <c r="B135" s="41">
        <f>SUMPRODUCT(((ISNUMBER('GRT Central'!L6:L1135))*('GRT Central'!L6:L1135=A135))*(('GRT Central'!K6:K1135="INSTALADO - OPERANDO")+('GRT Central'!K6:K1135="INSTALADO - SIN SEÑAL")&gt;0))</f>
        <v>0</v>
      </c>
      <c r="C135" s="41">
        <f>SUMPRODUCT(((ISNUMBER('GRT Occidente'!L6:L784))*('GRT Occidente'!L6:L784=A135))*(('GRT Occidente'!K6:K784="INSTALADO - OPERANDO")+('GRT Occidente'!K6:K784="INSTALADO - SIN SEÑAL")&gt;0))</f>
        <v>0</v>
      </c>
      <c r="D135" s="41">
        <f>SUMPRODUCT(((ISNUMBER('GRT Oriente'!L6:L400))*('GRT Oriente'!L6:L400=A135))*(('GRT Oriente'!K6:K400="INSTALADO - OPERANDO")+('GRT Oriente'!K6:K400="INSTALADO - SIN SEÑAL")&gt;0))</f>
        <v>0</v>
      </c>
      <c r="E135" s="41">
        <f>SUMPRODUCT(((ISNUMBER('GRT Valle de México'!L6:L740))*('GRT Valle de México'!L6:L740=A135))*(('GRT Valle de México'!K6:K740="INSTALADO - OPERANDO")+('GRT Valle de México'!K6:K740="INSTALADO - SIN SEÑAL")&gt;0))</f>
        <v>0</v>
      </c>
      <c r="F135" s="41">
        <f>SUMPRODUCT(((ISNUMBER('GRT Noroeste'!L6:L372))*('GRT Noroeste'!L6:L372=A135))*(('GRT Noroeste'!K6:K372="INSTALADO - OPERANDO")+('GRT Noroeste'!K6:K372="INSTALADO - SIN SEÑAL")&gt;0))</f>
        <v>0</v>
      </c>
      <c r="G135" s="41">
        <f>SUMPRODUCT(((ISNUMBER('GRT Norte'!L6:L296))*('GRT Norte'!L6:L296=A135))*(('GRT Norte'!K6:K296="INSTALADO - OPERANDO")+('GRT Norte'!K6:K296="INSTALADO - SIN SEÑAL")&gt;0))</f>
        <v>0</v>
      </c>
      <c r="H135" s="41">
        <f>SUMPRODUCT(((ISNUMBER('GRT Noreste'!L6:L262))*('GRT Noreste'!L6:L262=A135))*(('GRT Noreste'!K6:K262="INSTALADO - OPERANDO")+('GRT Noreste'!K6:K262="INSTALADO - SIN SEÑAL")&gt;0))</f>
        <v>0</v>
      </c>
      <c r="I135" s="41">
        <f>SUMPRODUCT(((ISNUMBER('GRT Baja California'!L6:L281))*('GRT Baja California'!L6:L281=A135))*(('GRT Baja California'!K6:K281="INSTALADO - OPERANDO")+('GRT Baja California'!K6:K281="INSTALADO - SIN SEÑAL")&gt;0))</f>
        <v>0</v>
      </c>
      <c r="J135" s="65">
        <f t="shared" si="12"/>
        <v>0</v>
      </c>
      <c r="K135" s="49">
        <f t="shared" ref="K135:K166" si="14">K134+J135</f>
        <v>1289</v>
      </c>
      <c r="L135" s="52">
        <f t="shared" si="13"/>
        <v>0.30472813238770685</v>
      </c>
      <c r="M135" s="53"/>
    </row>
    <row r="136" spans="1:13" ht="15" customHeight="1">
      <c r="A136" s="55">
        <v>46228</v>
      </c>
      <c r="B136" s="44">
        <f>SUMPRODUCT(((ISNUMBER('GRT Central'!L6:L1135))*('GRT Central'!L6:L1135=A136))*(('GRT Central'!K6:K1135="INSTALADO - OPERANDO")+('GRT Central'!K6:K1135="INSTALADO - SIN SEÑAL")&gt;0))</f>
        <v>0</v>
      </c>
      <c r="C136" s="44">
        <f>SUMPRODUCT(((ISNUMBER('GRT Occidente'!L6:L784))*('GRT Occidente'!L6:L784=A136))*(('GRT Occidente'!K6:K784="INSTALADO - OPERANDO")+('GRT Occidente'!K6:K784="INSTALADO - SIN SEÑAL")&gt;0))</f>
        <v>0</v>
      </c>
      <c r="D136" s="44">
        <f>SUMPRODUCT(((ISNUMBER('GRT Oriente'!L6:L400))*('GRT Oriente'!L6:L400=A136))*(('GRT Oriente'!K6:K400="INSTALADO - OPERANDO")+('GRT Oriente'!K6:K400="INSTALADO - SIN SEÑAL")&gt;0))</f>
        <v>0</v>
      </c>
      <c r="E136" s="44">
        <f>SUMPRODUCT(((ISNUMBER('GRT Valle de México'!L6:L740))*('GRT Valle de México'!L6:L740=A136))*(('GRT Valle de México'!K6:K740="INSTALADO - OPERANDO")+('GRT Valle de México'!K6:K740="INSTALADO - SIN SEÑAL")&gt;0))</f>
        <v>0</v>
      </c>
      <c r="F136" s="44">
        <f>SUMPRODUCT(((ISNUMBER('GRT Noroeste'!L6:L372))*('GRT Noroeste'!L6:L372=A136))*(('GRT Noroeste'!K6:K372="INSTALADO - OPERANDO")+('GRT Noroeste'!K6:K372="INSTALADO - SIN SEÑAL")&gt;0))</f>
        <v>0</v>
      </c>
      <c r="G136" s="44">
        <f>SUMPRODUCT(((ISNUMBER('GRT Norte'!L6:L296))*('GRT Norte'!L6:L296=A136))*(('GRT Norte'!K6:K296="INSTALADO - OPERANDO")+('GRT Norte'!K6:K296="INSTALADO - SIN SEÑAL")&gt;0))</f>
        <v>0</v>
      </c>
      <c r="H136" s="44">
        <f>SUMPRODUCT(((ISNUMBER('GRT Noreste'!L6:L262))*('GRT Noreste'!L6:L262=A136))*(('GRT Noreste'!K6:K262="INSTALADO - OPERANDO")+('GRT Noreste'!K6:K262="INSTALADO - SIN SEÑAL")&gt;0))</f>
        <v>0</v>
      </c>
      <c r="I136" s="44">
        <f>SUMPRODUCT(((ISNUMBER('GRT Baja California'!L6:L281))*('GRT Baja California'!L6:L281=A136))*(('GRT Baja California'!K6:K281="INSTALADO - OPERANDO")+('GRT Baja California'!K6:K281="INSTALADO - SIN SEÑAL")&gt;0))</f>
        <v>0</v>
      </c>
      <c r="J136" s="64">
        <f t="shared" si="12"/>
        <v>0</v>
      </c>
      <c r="K136" s="54">
        <f t="shared" si="14"/>
        <v>1289</v>
      </c>
      <c r="L136" s="57">
        <f t="shared" si="13"/>
        <v>0.30472813238770685</v>
      </c>
      <c r="M136" s="58"/>
    </row>
    <row r="137" spans="1:13" ht="15" customHeight="1">
      <c r="A137" s="50">
        <v>46229</v>
      </c>
      <c r="B137" s="41">
        <f>SUMPRODUCT(((ISNUMBER('GRT Central'!L6:L1135))*('GRT Central'!L6:L1135=A137))*(('GRT Central'!K6:K1135="INSTALADO - OPERANDO")+('GRT Central'!K6:K1135="INSTALADO - SIN SEÑAL")&gt;0))</f>
        <v>0</v>
      </c>
      <c r="C137" s="41">
        <f>SUMPRODUCT(((ISNUMBER('GRT Occidente'!L6:L784))*('GRT Occidente'!L6:L784=A137))*(('GRT Occidente'!K6:K784="INSTALADO - OPERANDO")+('GRT Occidente'!K6:K784="INSTALADO - SIN SEÑAL")&gt;0))</f>
        <v>0</v>
      </c>
      <c r="D137" s="41">
        <f>SUMPRODUCT(((ISNUMBER('GRT Oriente'!L6:L400))*('GRT Oriente'!L6:L400=A137))*(('GRT Oriente'!K6:K400="INSTALADO - OPERANDO")+('GRT Oriente'!K6:K400="INSTALADO - SIN SEÑAL")&gt;0))</f>
        <v>0</v>
      </c>
      <c r="E137" s="41">
        <f>SUMPRODUCT(((ISNUMBER('GRT Valle de México'!L6:L740))*('GRT Valle de México'!L6:L740=A137))*(('GRT Valle de México'!K6:K740="INSTALADO - OPERANDO")+('GRT Valle de México'!K6:K740="INSTALADO - SIN SEÑAL")&gt;0))</f>
        <v>0</v>
      </c>
      <c r="F137" s="41">
        <f>SUMPRODUCT(((ISNUMBER('GRT Noroeste'!L6:L372))*('GRT Noroeste'!L6:L372=A137))*(('GRT Noroeste'!K6:K372="INSTALADO - OPERANDO")+('GRT Noroeste'!K6:K372="INSTALADO - SIN SEÑAL")&gt;0))</f>
        <v>0</v>
      </c>
      <c r="G137" s="41">
        <f>SUMPRODUCT(((ISNUMBER('GRT Norte'!L6:L296))*('GRT Norte'!L6:L296=A137))*(('GRT Norte'!K6:K296="INSTALADO - OPERANDO")+('GRT Norte'!K6:K296="INSTALADO - SIN SEÑAL")&gt;0))</f>
        <v>0</v>
      </c>
      <c r="H137" s="41">
        <f>SUMPRODUCT(((ISNUMBER('GRT Noreste'!L6:L262))*('GRT Noreste'!L6:L262=A137))*(('GRT Noreste'!K6:K262="INSTALADO - OPERANDO")+('GRT Noreste'!K6:K262="INSTALADO - SIN SEÑAL")&gt;0))</f>
        <v>0</v>
      </c>
      <c r="I137" s="41">
        <f>SUMPRODUCT(((ISNUMBER('GRT Baja California'!L6:L281))*('GRT Baja California'!L6:L281=A137))*(('GRT Baja California'!K6:K281="INSTALADO - OPERANDO")+('GRT Baja California'!K6:K281="INSTALADO - SIN SEÑAL")&gt;0))</f>
        <v>0</v>
      </c>
      <c r="J137" s="65">
        <f t="shared" si="12"/>
        <v>0</v>
      </c>
      <c r="K137" s="49">
        <f t="shared" si="14"/>
        <v>1289</v>
      </c>
      <c r="L137" s="52">
        <f t="shared" si="13"/>
        <v>0.30472813238770685</v>
      </c>
      <c r="M137" s="53"/>
    </row>
    <row r="138" spans="1:13" ht="15" customHeight="1">
      <c r="A138" s="55">
        <v>46230</v>
      </c>
      <c r="B138" s="44">
        <f>SUMPRODUCT(((ISNUMBER('GRT Central'!L6:L1135))*('GRT Central'!L6:L1135=A138))*(('GRT Central'!K6:K1135="INSTALADO - OPERANDO")+('GRT Central'!K6:K1135="INSTALADO - SIN SEÑAL")&gt;0))</f>
        <v>0</v>
      </c>
      <c r="C138" s="44">
        <f>SUMPRODUCT(((ISNUMBER('GRT Occidente'!L6:L784))*('GRT Occidente'!L6:L784=A138))*(('GRT Occidente'!K6:K784="INSTALADO - OPERANDO")+('GRT Occidente'!K6:K784="INSTALADO - SIN SEÑAL")&gt;0))</f>
        <v>0</v>
      </c>
      <c r="D138" s="44">
        <f>SUMPRODUCT(((ISNUMBER('GRT Oriente'!L6:L400))*('GRT Oriente'!L6:L400=A138))*(('GRT Oriente'!K6:K400="INSTALADO - OPERANDO")+('GRT Oriente'!K6:K400="INSTALADO - SIN SEÑAL")&gt;0))</f>
        <v>0</v>
      </c>
      <c r="E138" s="44">
        <f>SUMPRODUCT(((ISNUMBER('GRT Valle de México'!L6:L740))*('GRT Valle de México'!L6:L740=A138))*(('GRT Valle de México'!K6:K740="INSTALADO - OPERANDO")+('GRT Valle de México'!K6:K740="INSTALADO - SIN SEÑAL")&gt;0))</f>
        <v>0</v>
      </c>
      <c r="F138" s="44">
        <f>SUMPRODUCT(((ISNUMBER('GRT Noroeste'!L6:L372))*('GRT Noroeste'!L6:L372=A138))*(('GRT Noroeste'!K6:K372="INSTALADO - OPERANDO")+('GRT Noroeste'!K6:K372="INSTALADO - SIN SEÑAL")&gt;0))</f>
        <v>0</v>
      </c>
      <c r="G138" s="44">
        <f>SUMPRODUCT(((ISNUMBER('GRT Norte'!L6:L296))*('GRT Norte'!L6:L296=A138))*(('GRT Norte'!K6:K296="INSTALADO - OPERANDO")+('GRT Norte'!K6:K296="INSTALADO - SIN SEÑAL")&gt;0))</f>
        <v>0</v>
      </c>
      <c r="H138" s="44">
        <f>SUMPRODUCT(((ISNUMBER('GRT Noreste'!L6:L262))*('GRT Noreste'!L6:L262=A138))*(('GRT Noreste'!K6:K262="INSTALADO - OPERANDO")+('GRT Noreste'!K6:K262="INSTALADO - SIN SEÑAL")&gt;0))</f>
        <v>0</v>
      </c>
      <c r="I138" s="44">
        <f>SUMPRODUCT(((ISNUMBER('GRT Baja California'!L6:L281))*('GRT Baja California'!L6:L281=A138))*(('GRT Baja California'!K6:K281="INSTALADO - OPERANDO")+('GRT Baja California'!K6:K281="INSTALADO - SIN SEÑAL")&gt;0))</f>
        <v>0</v>
      </c>
      <c r="J138" s="64">
        <f t="shared" si="12"/>
        <v>0</v>
      </c>
      <c r="K138" s="54">
        <f t="shared" si="14"/>
        <v>1289</v>
      </c>
      <c r="L138" s="57">
        <f t="shared" si="13"/>
        <v>0.30472813238770685</v>
      </c>
      <c r="M138" s="58"/>
    </row>
    <row r="139" spans="1:13" ht="15" customHeight="1">
      <c r="A139" s="50">
        <v>46231</v>
      </c>
      <c r="B139" s="41">
        <f>SUMPRODUCT(((ISNUMBER('GRT Central'!L6:L1135))*('GRT Central'!L6:L1135=A139))*(('GRT Central'!K6:K1135="INSTALADO - OPERANDO")+('GRT Central'!K6:K1135="INSTALADO - SIN SEÑAL")&gt;0))</f>
        <v>0</v>
      </c>
      <c r="C139" s="41">
        <f>SUMPRODUCT(((ISNUMBER('GRT Occidente'!L6:L784))*('GRT Occidente'!L6:L784=A139))*(('GRT Occidente'!K6:K784="INSTALADO - OPERANDO")+('GRT Occidente'!K6:K784="INSTALADO - SIN SEÑAL")&gt;0))</f>
        <v>0</v>
      </c>
      <c r="D139" s="41">
        <f>SUMPRODUCT(((ISNUMBER('GRT Oriente'!L6:L400))*('GRT Oriente'!L6:L400=A139))*(('GRT Oriente'!K6:K400="INSTALADO - OPERANDO")+('GRT Oriente'!K6:K400="INSTALADO - SIN SEÑAL")&gt;0))</f>
        <v>0</v>
      </c>
      <c r="E139" s="41">
        <f>SUMPRODUCT(((ISNUMBER('GRT Valle de México'!L6:L740))*('GRT Valle de México'!L6:L740=A139))*(('GRT Valle de México'!K6:K740="INSTALADO - OPERANDO")+('GRT Valle de México'!K6:K740="INSTALADO - SIN SEÑAL")&gt;0))</f>
        <v>0</v>
      </c>
      <c r="F139" s="41">
        <f>SUMPRODUCT(((ISNUMBER('GRT Noroeste'!L6:L372))*('GRT Noroeste'!L6:L372=A139))*(('GRT Noroeste'!K6:K372="INSTALADO - OPERANDO")+('GRT Noroeste'!K6:K372="INSTALADO - SIN SEÑAL")&gt;0))</f>
        <v>0</v>
      </c>
      <c r="G139" s="41">
        <f>SUMPRODUCT(((ISNUMBER('GRT Norte'!L6:L296))*('GRT Norte'!L6:L296=A139))*(('GRT Norte'!K6:K296="INSTALADO - OPERANDO")+('GRT Norte'!K6:K296="INSTALADO - SIN SEÑAL")&gt;0))</f>
        <v>0</v>
      </c>
      <c r="H139" s="41">
        <f>SUMPRODUCT(((ISNUMBER('GRT Noreste'!L6:L262))*('GRT Noreste'!L6:L262=A139))*(('GRT Noreste'!K6:K262="INSTALADO - OPERANDO")+('GRT Noreste'!K6:K262="INSTALADO - SIN SEÑAL")&gt;0))</f>
        <v>0</v>
      </c>
      <c r="I139" s="41">
        <f>SUMPRODUCT(((ISNUMBER('GRT Baja California'!L6:L281))*('GRT Baja California'!L6:L281=A139))*(('GRT Baja California'!K6:K281="INSTALADO - OPERANDO")+('GRT Baja California'!K6:K281="INSTALADO - SIN SEÑAL")&gt;0))</f>
        <v>0</v>
      </c>
      <c r="J139" s="65">
        <f t="shared" si="12"/>
        <v>0</v>
      </c>
      <c r="K139" s="49">
        <f t="shared" si="14"/>
        <v>1289</v>
      </c>
      <c r="L139" s="52">
        <f t="shared" si="13"/>
        <v>0.30472813238770685</v>
      </c>
      <c r="M139" s="53"/>
    </row>
    <row r="140" spans="1:13" ht="15" customHeight="1">
      <c r="A140" s="55">
        <v>46232</v>
      </c>
      <c r="B140" s="44">
        <f>SUMPRODUCT(((ISNUMBER('GRT Central'!L6:L1135))*('GRT Central'!L6:L1135=A140))*(('GRT Central'!K6:K1135="INSTALADO - OPERANDO")+('GRT Central'!K6:K1135="INSTALADO - SIN SEÑAL")&gt;0))</f>
        <v>0</v>
      </c>
      <c r="C140" s="44">
        <f>SUMPRODUCT(((ISNUMBER('GRT Occidente'!L6:L784))*('GRT Occidente'!L6:L784=A140))*(('GRT Occidente'!K6:K784="INSTALADO - OPERANDO")+('GRT Occidente'!K6:K784="INSTALADO - SIN SEÑAL")&gt;0))</f>
        <v>0</v>
      </c>
      <c r="D140" s="44">
        <f>SUMPRODUCT(((ISNUMBER('GRT Oriente'!L6:L400))*('GRT Oriente'!L6:L400=A140))*(('GRT Oriente'!K6:K400="INSTALADO - OPERANDO")+('GRT Oriente'!K6:K400="INSTALADO - SIN SEÑAL")&gt;0))</f>
        <v>0</v>
      </c>
      <c r="E140" s="44">
        <f>SUMPRODUCT(((ISNUMBER('GRT Valle de México'!L6:L740))*('GRT Valle de México'!L6:L740=A140))*(('GRT Valle de México'!K6:K740="INSTALADO - OPERANDO")+('GRT Valle de México'!K6:K740="INSTALADO - SIN SEÑAL")&gt;0))</f>
        <v>0</v>
      </c>
      <c r="F140" s="44">
        <f>SUMPRODUCT(((ISNUMBER('GRT Noroeste'!L6:L372))*('GRT Noroeste'!L6:L372=A140))*(('GRT Noroeste'!K6:K372="INSTALADO - OPERANDO")+('GRT Noroeste'!K6:K372="INSTALADO - SIN SEÑAL")&gt;0))</f>
        <v>0</v>
      </c>
      <c r="G140" s="44">
        <f>SUMPRODUCT(((ISNUMBER('GRT Norte'!L6:L296))*('GRT Norte'!L6:L296=A140))*(('GRT Norte'!K6:K296="INSTALADO - OPERANDO")+('GRT Norte'!K6:K296="INSTALADO - SIN SEÑAL")&gt;0))</f>
        <v>0</v>
      </c>
      <c r="H140" s="44">
        <f>SUMPRODUCT(((ISNUMBER('GRT Noreste'!L6:L262))*('GRT Noreste'!L6:L262=A140))*(('GRT Noreste'!K6:K262="INSTALADO - OPERANDO")+('GRT Noreste'!K6:K262="INSTALADO - SIN SEÑAL")&gt;0))</f>
        <v>0</v>
      </c>
      <c r="I140" s="44">
        <f>SUMPRODUCT(((ISNUMBER('GRT Baja California'!L6:L281))*('GRT Baja California'!L6:L281=A140))*(('GRT Baja California'!K6:K281="INSTALADO - OPERANDO")+('GRT Baja California'!K6:K281="INSTALADO - SIN SEÑAL")&gt;0))</f>
        <v>0</v>
      </c>
      <c r="J140" s="64">
        <f t="shared" si="12"/>
        <v>0</v>
      </c>
      <c r="K140" s="54">
        <f t="shared" si="14"/>
        <v>1289</v>
      </c>
      <c r="L140" s="57">
        <f t="shared" si="13"/>
        <v>0.30472813238770685</v>
      </c>
      <c r="M140" s="58"/>
    </row>
    <row r="141" spans="1:13" ht="15" customHeight="1">
      <c r="A141" s="50">
        <v>46233</v>
      </c>
      <c r="B141" s="41">
        <f>SUMPRODUCT(((ISNUMBER('GRT Central'!L6:L1135))*('GRT Central'!L6:L1135=A141))*(('GRT Central'!K6:K1135="INSTALADO - OPERANDO")+('GRT Central'!K6:K1135="INSTALADO - SIN SEÑAL")&gt;0))</f>
        <v>0</v>
      </c>
      <c r="C141" s="41">
        <f>SUMPRODUCT(((ISNUMBER('GRT Occidente'!L6:L784))*('GRT Occidente'!L6:L784=A141))*(('GRT Occidente'!K6:K784="INSTALADO - OPERANDO")+('GRT Occidente'!K6:K784="INSTALADO - SIN SEÑAL")&gt;0))</f>
        <v>0</v>
      </c>
      <c r="D141" s="41">
        <f>SUMPRODUCT(((ISNUMBER('GRT Oriente'!L6:L400))*('GRT Oriente'!L6:L400=A141))*(('GRT Oriente'!K6:K400="INSTALADO - OPERANDO")+('GRT Oriente'!K6:K400="INSTALADO - SIN SEÑAL")&gt;0))</f>
        <v>0</v>
      </c>
      <c r="E141" s="41">
        <f>SUMPRODUCT(((ISNUMBER('GRT Valle de México'!L6:L740))*('GRT Valle de México'!L6:L740=A141))*(('GRT Valle de México'!K6:K740="INSTALADO - OPERANDO")+('GRT Valle de México'!K6:K740="INSTALADO - SIN SEÑAL")&gt;0))</f>
        <v>0</v>
      </c>
      <c r="F141" s="41">
        <f>SUMPRODUCT(((ISNUMBER('GRT Noroeste'!L6:L372))*('GRT Noroeste'!L6:L372=A141))*(('GRT Noroeste'!K6:K372="INSTALADO - OPERANDO")+('GRT Noroeste'!K6:K372="INSTALADO - SIN SEÑAL")&gt;0))</f>
        <v>0</v>
      </c>
      <c r="G141" s="41">
        <f>SUMPRODUCT(((ISNUMBER('GRT Norte'!L6:L296))*('GRT Norte'!L6:L296=A141))*(('GRT Norte'!K6:K296="INSTALADO - OPERANDO")+('GRT Norte'!K6:K296="INSTALADO - SIN SEÑAL")&gt;0))</f>
        <v>0</v>
      </c>
      <c r="H141" s="41">
        <f>SUMPRODUCT(((ISNUMBER('GRT Noreste'!L6:L262))*('GRT Noreste'!L6:L262=A141))*(('GRT Noreste'!K6:K262="INSTALADO - OPERANDO")+('GRT Noreste'!K6:K262="INSTALADO - SIN SEÑAL")&gt;0))</f>
        <v>0</v>
      </c>
      <c r="I141" s="41">
        <f>SUMPRODUCT(((ISNUMBER('GRT Baja California'!L6:L281))*('GRT Baja California'!L6:L281=A141))*(('GRT Baja California'!K6:K281="INSTALADO - OPERANDO")+('GRT Baja California'!K6:K281="INSTALADO - SIN SEÑAL")&gt;0))</f>
        <v>0</v>
      </c>
      <c r="J141" s="65">
        <f t="shared" si="12"/>
        <v>0</v>
      </c>
      <c r="K141" s="49">
        <f t="shared" si="14"/>
        <v>1289</v>
      </c>
      <c r="L141" s="52">
        <f t="shared" si="13"/>
        <v>0.30472813238770685</v>
      </c>
      <c r="M141" s="53"/>
    </row>
    <row r="142" spans="1:13" ht="15" customHeight="1">
      <c r="A142" s="55">
        <v>46234</v>
      </c>
      <c r="B142" s="44">
        <f>SUMPRODUCT(((ISNUMBER('GRT Central'!L6:L1135))*('GRT Central'!L6:L1135=A142))*(('GRT Central'!K6:K1135="INSTALADO - OPERANDO")+('GRT Central'!K6:K1135="INSTALADO - SIN SEÑAL")&gt;0))</f>
        <v>0</v>
      </c>
      <c r="C142" s="44">
        <f>SUMPRODUCT(((ISNUMBER('GRT Occidente'!L6:L784))*('GRT Occidente'!L6:L784=A142))*(('GRT Occidente'!K6:K784="INSTALADO - OPERANDO")+('GRT Occidente'!K6:K784="INSTALADO - SIN SEÑAL")&gt;0))</f>
        <v>0</v>
      </c>
      <c r="D142" s="44">
        <f>SUMPRODUCT(((ISNUMBER('GRT Oriente'!L6:L400))*('GRT Oriente'!L6:L400=A142))*(('GRT Oriente'!K6:K400="INSTALADO - OPERANDO")+('GRT Oriente'!K6:K400="INSTALADO - SIN SEÑAL")&gt;0))</f>
        <v>0</v>
      </c>
      <c r="E142" s="44">
        <f>SUMPRODUCT(((ISNUMBER('GRT Valle de México'!L6:L740))*('GRT Valle de México'!L6:L740=A142))*(('GRT Valle de México'!K6:K740="INSTALADO - OPERANDO")+('GRT Valle de México'!K6:K740="INSTALADO - SIN SEÑAL")&gt;0))</f>
        <v>0</v>
      </c>
      <c r="F142" s="44">
        <f>SUMPRODUCT(((ISNUMBER('GRT Noroeste'!L6:L372))*('GRT Noroeste'!L6:L372=A142))*(('GRT Noroeste'!K6:K372="INSTALADO - OPERANDO")+('GRT Noroeste'!K6:K372="INSTALADO - SIN SEÑAL")&gt;0))</f>
        <v>0</v>
      </c>
      <c r="G142" s="44">
        <f>SUMPRODUCT(((ISNUMBER('GRT Norte'!L6:L296))*('GRT Norte'!L6:L296=A142))*(('GRT Norte'!K6:K296="INSTALADO - OPERANDO")+('GRT Norte'!K6:K296="INSTALADO - SIN SEÑAL")&gt;0))</f>
        <v>0</v>
      </c>
      <c r="H142" s="44">
        <f>SUMPRODUCT(((ISNUMBER('GRT Noreste'!L6:L262))*('GRT Noreste'!L6:L262=A142))*(('GRT Noreste'!K6:K262="INSTALADO - OPERANDO")+('GRT Noreste'!K6:K262="INSTALADO - SIN SEÑAL")&gt;0))</f>
        <v>0</v>
      </c>
      <c r="I142" s="44">
        <f>SUMPRODUCT(((ISNUMBER('GRT Baja California'!L6:L281))*('GRT Baja California'!L6:L281=A142))*(('GRT Baja California'!K6:K281="INSTALADO - OPERANDO")+('GRT Baja California'!K6:K281="INSTALADO - SIN SEÑAL")&gt;0))</f>
        <v>0</v>
      </c>
      <c r="J142" s="64">
        <f t="shared" si="12"/>
        <v>0</v>
      </c>
      <c r="K142" s="54">
        <f t="shared" si="14"/>
        <v>1289</v>
      </c>
      <c r="L142" s="57">
        <f t="shared" si="13"/>
        <v>0.30472813238770685</v>
      </c>
      <c r="M142" s="58"/>
    </row>
    <row r="143" spans="1:13" ht="15" customHeight="1">
      <c r="A143" s="50">
        <v>46235</v>
      </c>
      <c r="B143" s="41">
        <f>SUMPRODUCT(((ISNUMBER('GRT Central'!L6:L1135))*('GRT Central'!L6:L1135=A143))*(('GRT Central'!K6:K1135="INSTALADO - OPERANDO")+('GRT Central'!K6:K1135="INSTALADO - SIN SEÑAL")&gt;0))</f>
        <v>0</v>
      </c>
      <c r="C143" s="41">
        <f>SUMPRODUCT(((ISNUMBER('GRT Occidente'!L6:L784))*('GRT Occidente'!L6:L784=A143))*(('GRT Occidente'!K6:K784="INSTALADO - OPERANDO")+('GRT Occidente'!K6:K784="INSTALADO - SIN SEÑAL")&gt;0))</f>
        <v>0</v>
      </c>
      <c r="D143" s="41">
        <f>SUMPRODUCT(((ISNUMBER('GRT Oriente'!L6:L400))*('GRT Oriente'!L6:L400=A143))*(('GRT Oriente'!K6:K400="INSTALADO - OPERANDO")+('GRT Oriente'!K6:K400="INSTALADO - SIN SEÑAL")&gt;0))</f>
        <v>0</v>
      </c>
      <c r="E143" s="41">
        <f>SUMPRODUCT(((ISNUMBER('GRT Valle de México'!L6:L740))*('GRT Valle de México'!L6:L740=A143))*(('GRT Valle de México'!K6:K740="INSTALADO - OPERANDO")+('GRT Valle de México'!K6:K740="INSTALADO - SIN SEÑAL")&gt;0))</f>
        <v>0</v>
      </c>
      <c r="F143" s="41">
        <f>SUMPRODUCT(((ISNUMBER('GRT Noroeste'!L6:L372))*('GRT Noroeste'!L6:L372=A143))*(('GRT Noroeste'!K6:K372="INSTALADO - OPERANDO")+('GRT Noroeste'!K6:K372="INSTALADO - SIN SEÑAL")&gt;0))</f>
        <v>0</v>
      </c>
      <c r="G143" s="41">
        <f>SUMPRODUCT(((ISNUMBER('GRT Norte'!L6:L296))*('GRT Norte'!L6:L296=A143))*(('GRT Norte'!K6:K296="INSTALADO - OPERANDO")+('GRT Norte'!K6:K296="INSTALADO - SIN SEÑAL")&gt;0))</f>
        <v>0</v>
      </c>
      <c r="H143" s="41">
        <f>SUMPRODUCT(((ISNUMBER('GRT Noreste'!L6:L262))*('GRT Noreste'!L6:L262=A143))*(('GRT Noreste'!K6:K262="INSTALADO - OPERANDO")+('GRT Noreste'!K6:K262="INSTALADO - SIN SEÑAL")&gt;0))</f>
        <v>0</v>
      </c>
      <c r="I143" s="41">
        <f>SUMPRODUCT(((ISNUMBER('GRT Baja California'!L6:L281))*('GRT Baja California'!L6:L281=A143))*(('GRT Baja California'!K6:K281="INSTALADO - OPERANDO")+('GRT Baja California'!K6:K281="INSTALADO - SIN SEÑAL")&gt;0))</f>
        <v>0</v>
      </c>
      <c r="J143" s="65">
        <f t="shared" si="12"/>
        <v>0</v>
      </c>
      <c r="K143" s="49">
        <f t="shared" si="14"/>
        <v>1289</v>
      </c>
      <c r="L143" s="52">
        <f t="shared" si="13"/>
        <v>0.30472813238770685</v>
      </c>
      <c r="M143" s="53"/>
    </row>
    <row r="144" spans="1:13" ht="15" customHeight="1">
      <c r="A144" s="55">
        <v>46236</v>
      </c>
      <c r="B144" s="44">
        <f>SUMPRODUCT(((ISNUMBER('GRT Central'!L6:L1135))*('GRT Central'!L6:L1135=A144))*(('GRT Central'!K6:K1135="INSTALADO - OPERANDO")+('GRT Central'!K6:K1135="INSTALADO - SIN SEÑAL")&gt;0))</f>
        <v>0</v>
      </c>
      <c r="C144" s="44">
        <f>SUMPRODUCT(((ISNUMBER('GRT Occidente'!L6:L784))*('GRT Occidente'!L6:L784=A144))*(('GRT Occidente'!K6:K784="INSTALADO - OPERANDO")+('GRT Occidente'!K6:K784="INSTALADO - SIN SEÑAL")&gt;0))</f>
        <v>0</v>
      </c>
      <c r="D144" s="44">
        <f>SUMPRODUCT(((ISNUMBER('GRT Oriente'!L6:L400))*('GRT Oriente'!L6:L400=A144))*(('GRT Oriente'!K6:K400="INSTALADO - OPERANDO")+('GRT Oriente'!K6:K400="INSTALADO - SIN SEÑAL")&gt;0))</f>
        <v>0</v>
      </c>
      <c r="E144" s="44">
        <f>SUMPRODUCT(((ISNUMBER('GRT Valle de México'!L6:L740))*('GRT Valle de México'!L6:L740=A144))*(('GRT Valle de México'!K6:K740="INSTALADO - OPERANDO")+('GRT Valle de México'!K6:K740="INSTALADO - SIN SEÑAL")&gt;0))</f>
        <v>0</v>
      </c>
      <c r="F144" s="44">
        <f>SUMPRODUCT(((ISNUMBER('GRT Noroeste'!L6:L372))*('GRT Noroeste'!L6:L372=A144))*(('GRT Noroeste'!K6:K372="INSTALADO - OPERANDO")+('GRT Noroeste'!K6:K372="INSTALADO - SIN SEÑAL")&gt;0))</f>
        <v>0</v>
      </c>
      <c r="G144" s="44">
        <f>SUMPRODUCT(((ISNUMBER('GRT Norte'!L6:L296))*('GRT Norte'!L6:L296=A144))*(('GRT Norte'!K6:K296="INSTALADO - OPERANDO")+('GRT Norte'!K6:K296="INSTALADO - SIN SEÑAL")&gt;0))</f>
        <v>0</v>
      </c>
      <c r="H144" s="44">
        <f>SUMPRODUCT(((ISNUMBER('GRT Noreste'!L6:L262))*('GRT Noreste'!L6:L262=A144))*(('GRT Noreste'!K6:K262="INSTALADO - OPERANDO")+('GRT Noreste'!K6:K262="INSTALADO - SIN SEÑAL")&gt;0))</f>
        <v>0</v>
      </c>
      <c r="I144" s="44">
        <f>SUMPRODUCT(((ISNUMBER('GRT Baja California'!L6:L281))*('GRT Baja California'!L6:L281=A144))*(('GRT Baja California'!K6:K281="INSTALADO - OPERANDO")+('GRT Baja California'!K6:K281="INSTALADO - SIN SEÑAL")&gt;0))</f>
        <v>0</v>
      </c>
      <c r="J144" s="64">
        <f t="shared" si="12"/>
        <v>0</v>
      </c>
      <c r="K144" s="54">
        <f t="shared" si="14"/>
        <v>1289</v>
      </c>
      <c r="L144" s="57">
        <f t="shared" si="13"/>
        <v>0.30472813238770685</v>
      </c>
      <c r="M144" s="58"/>
    </row>
    <row r="145" spans="1:13" ht="15" customHeight="1">
      <c r="A145" s="50">
        <v>46237</v>
      </c>
      <c r="B145" s="41">
        <f>SUMPRODUCT(((ISNUMBER('GRT Central'!L6:L1135))*('GRT Central'!L6:L1135=A145))*(('GRT Central'!K6:K1135="INSTALADO - OPERANDO")+('GRT Central'!K6:K1135="INSTALADO - SIN SEÑAL")&gt;0))</f>
        <v>0</v>
      </c>
      <c r="C145" s="41">
        <f>SUMPRODUCT(((ISNUMBER('GRT Occidente'!L6:L784))*('GRT Occidente'!L6:L784=A145))*(('GRT Occidente'!K6:K784="INSTALADO - OPERANDO")+('GRT Occidente'!K6:K784="INSTALADO - SIN SEÑAL")&gt;0))</f>
        <v>0</v>
      </c>
      <c r="D145" s="41">
        <f>SUMPRODUCT(((ISNUMBER('GRT Oriente'!L6:L400))*('GRT Oriente'!L6:L400=A145))*(('GRT Oriente'!K6:K400="INSTALADO - OPERANDO")+('GRT Oriente'!K6:K400="INSTALADO - SIN SEÑAL")&gt;0))</f>
        <v>0</v>
      </c>
      <c r="E145" s="41">
        <f>SUMPRODUCT(((ISNUMBER('GRT Valle de México'!L6:L740))*('GRT Valle de México'!L6:L740=A145))*(('GRT Valle de México'!K6:K740="INSTALADO - OPERANDO")+('GRT Valle de México'!K6:K740="INSTALADO - SIN SEÑAL")&gt;0))</f>
        <v>0</v>
      </c>
      <c r="F145" s="41">
        <f>SUMPRODUCT(((ISNUMBER('GRT Noroeste'!L6:L372))*('GRT Noroeste'!L6:L372=A145))*(('GRT Noroeste'!K6:K372="INSTALADO - OPERANDO")+('GRT Noroeste'!K6:K372="INSTALADO - SIN SEÑAL")&gt;0))</f>
        <v>0</v>
      </c>
      <c r="G145" s="41">
        <f>SUMPRODUCT(((ISNUMBER('GRT Norte'!L6:L296))*('GRT Norte'!L6:L296=A145))*(('GRT Norte'!K6:K296="INSTALADO - OPERANDO")+('GRT Norte'!K6:K296="INSTALADO - SIN SEÑAL")&gt;0))</f>
        <v>0</v>
      </c>
      <c r="H145" s="41">
        <f>SUMPRODUCT(((ISNUMBER('GRT Noreste'!L6:L262))*('GRT Noreste'!L6:L262=A145))*(('GRT Noreste'!K6:K262="INSTALADO - OPERANDO")+('GRT Noreste'!K6:K262="INSTALADO - SIN SEÑAL")&gt;0))</f>
        <v>0</v>
      </c>
      <c r="I145" s="41">
        <f>SUMPRODUCT(((ISNUMBER('GRT Baja California'!L6:L281))*('GRT Baja California'!L6:L281=A145))*(('GRT Baja California'!K6:K281="INSTALADO - OPERANDO")+('GRT Baja California'!K6:K281="INSTALADO - SIN SEÑAL")&gt;0))</f>
        <v>0</v>
      </c>
      <c r="J145" s="65">
        <f t="shared" si="12"/>
        <v>0</v>
      </c>
      <c r="K145" s="49">
        <f t="shared" si="14"/>
        <v>1289</v>
      </c>
      <c r="L145" s="52">
        <f t="shared" si="13"/>
        <v>0.30472813238770685</v>
      </c>
      <c r="M145" s="53"/>
    </row>
    <row r="146" spans="1:13" ht="15" customHeight="1">
      <c r="A146" s="55">
        <v>46238</v>
      </c>
      <c r="B146" s="44">
        <f>SUMPRODUCT(((ISNUMBER('GRT Central'!L6:L1135))*('GRT Central'!L6:L1135=A146))*(('GRT Central'!K6:K1135="INSTALADO - OPERANDO")+('GRT Central'!K6:K1135="INSTALADO - SIN SEÑAL")&gt;0))</f>
        <v>0</v>
      </c>
      <c r="C146" s="44">
        <f>SUMPRODUCT(((ISNUMBER('GRT Occidente'!L6:L784))*('GRT Occidente'!L6:L784=A146))*(('GRT Occidente'!K6:K784="INSTALADO - OPERANDO")+('GRT Occidente'!K6:K784="INSTALADO - SIN SEÑAL")&gt;0))</f>
        <v>0</v>
      </c>
      <c r="D146" s="44">
        <f>SUMPRODUCT(((ISNUMBER('GRT Oriente'!L6:L400))*('GRT Oriente'!L6:L400=A146))*(('GRT Oriente'!K6:K400="INSTALADO - OPERANDO")+('GRT Oriente'!K6:K400="INSTALADO - SIN SEÑAL")&gt;0))</f>
        <v>0</v>
      </c>
      <c r="E146" s="44">
        <f>SUMPRODUCT(((ISNUMBER('GRT Valle de México'!L6:L740))*('GRT Valle de México'!L6:L740=A146))*(('GRT Valle de México'!K6:K740="INSTALADO - OPERANDO")+('GRT Valle de México'!K6:K740="INSTALADO - SIN SEÑAL")&gt;0))</f>
        <v>0</v>
      </c>
      <c r="F146" s="44">
        <f>SUMPRODUCT(((ISNUMBER('GRT Noroeste'!L6:L372))*('GRT Noroeste'!L6:L372=A146))*(('GRT Noroeste'!K6:K372="INSTALADO - OPERANDO")+('GRT Noroeste'!K6:K372="INSTALADO - SIN SEÑAL")&gt;0))</f>
        <v>0</v>
      </c>
      <c r="G146" s="44">
        <f>SUMPRODUCT(((ISNUMBER('GRT Norte'!L6:L296))*('GRT Norte'!L6:L296=A146))*(('GRT Norte'!K6:K296="INSTALADO - OPERANDO")+('GRT Norte'!K6:K296="INSTALADO - SIN SEÑAL")&gt;0))</f>
        <v>0</v>
      </c>
      <c r="H146" s="44">
        <f>SUMPRODUCT(((ISNUMBER('GRT Noreste'!L6:L262))*('GRT Noreste'!L6:L262=A146))*(('GRT Noreste'!K6:K262="INSTALADO - OPERANDO")+('GRT Noreste'!K6:K262="INSTALADO - SIN SEÑAL")&gt;0))</f>
        <v>0</v>
      </c>
      <c r="I146" s="44">
        <f>SUMPRODUCT(((ISNUMBER('GRT Baja California'!L6:L281))*('GRT Baja California'!L6:L281=A146))*(('GRT Baja California'!K6:K281="INSTALADO - OPERANDO")+('GRT Baja California'!K6:K281="INSTALADO - SIN SEÑAL")&gt;0))</f>
        <v>0</v>
      </c>
      <c r="J146" s="64">
        <f t="shared" si="12"/>
        <v>0</v>
      </c>
      <c r="K146" s="54">
        <f t="shared" si="14"/>
        <v>1289</v>
      </c>
      <c r="L146" s="57">
        <f t="shared" si="13"/>
        <v>0.30472813238770685</v>
      </c>
      <c r="M146" s="58"/>
    </row>
    <row r="147" spans="1:13" ht="15" customHeight="1">
      <c r="A147" s="50">
        <v>46239</v>
      </c>
      <c r="B147" s="41">
        <f>SUMPRODUCT(((ISNUMBER('GRT Central'!L6:L1135))*('GRT Central'!L6:L1135=A147))*(('GRT Central'!K6:K1135="INSTALADO - OPERANDO")+('GRT Central'!K6:K1135="INSTALADO - SIN SEÑAL")&gt;0))</f>
        <v>0</v>
      </c>
      <c r="C147" s="41">
        <f>SUMPRODUCT(((ISNUMBER('GRT Occidente'!L6:L784))*('GRT Occidente'!L6:L784=A147))*(('GRT Occidente'!K6:K784="INSTALADO - OPERANDO")+('GRT Occidente'!K6:K784="INSTALADO - SIN SEÑAL")&gt;0))</f>
        <v>0</v>
      </c>
      <c r="D147" s="41">
        <f>SUMPRODUCT(((ISNUMBER('GRT Oriente'!L6:L400))*('GRT Oriente'!L6:L400=A147))*(('GRT Oriente'!K6:K400="INSTALADO - OPERANDO")+('GRT Oriente'!K6:K400="INSTALADO - SIN SEÑAL")&gt;0))</f>
        <v>0</v>
      </c>
      <c r="E147" s="41">
        <f>SUMPRODUCT(((ISNUMBER('GRT Valle de México'!L6:L740))*('GRT Valle de México'!L6:L740=A147))*(('GRT Valle de México'!K6:K740="INSTALADO - OPERANDO")+('GRT Valle de México'!K6:K740="INSTALADO - SIN SEÑAL")&gt;0))</f>
        <v>0</v>
      </c>
      <c r="F147" s="41">
        <f>SUMPRODUCT(((ISNUMBER('GRT Noroeste'!L6:L372))*('GRT Noroeste'!L6:L372=A147))*(('GRT Noroeste'!K6:K372="INSTALADO - OPERANDO")+('GRT Noroeste'!K6:K372="INSTALADO - SIN SEÑAL")&gt;0))</f>
        <v>0</v>
      </c>
      <c r="G147" s="41">
        <f>SUMPRODUCT(((ISNUMBER('GRT Norte'!L6:L296))*('GRT Norte'!L6:L296=A147))*(('GRT Norte'!K6:K296="INSTALADO - OPERANDO")+('GRT Norte'!K6:K296="INSTALADO - SIN SEÑAL")&gt;0))</f>
        <v>0</v>
      </c>
      <c r="H147" s="41">
        <f>SUMPRODUCT(((ISNUMBER('GRT Noreste'!L6:L262))*('GRT Noreste'!L6:L262=A147))*(('GRT Noreste'!K6:K262="INSTALADO - OPERANDO")+('GRT Noreste'!K6:K262="INSTALADO - SIN SEÑAL")&gt;0))</f>
        <v>0</v>
      </c>
      <c r="I147" s="41">
        <f>SUMPRODUCT(((ISNUMBER('GRT Baja California'!L6:L281))*('GRT Baja California'!L6:L281=A147))*(('GRT Baja California'!K6:K281="INSTALADO - OPERANDO")+('GRT Baja California'!K6:K281="INSTALADO - SIN SEÑAL")&gt;0))</f>
        <v>0</v>
      </c>
      <c r="J147" s="65">
        <f t="shared" si="12"/>
        <v>0</v>
      </c>
      <c r="K147" s="49">
        <f t="shared" si="14"/>
        <v>1289</v>
      </c>
      <c r="L147" s="52">
        <f t="shared" si="13"/>
        <v>0.30472813238770685</v>
      </c>
      <c r="M147" s="53"/>
    </row>
    <row r="148" spans="1:13" ht="15" customHeight="1">
      <c r="A148" s="55">
        <v>46240</v>
      </c>
      <c r="B148" s="44">
        <f>SUMPRODUCT(((ISNUMBER('GRT Central'!L6:L1135))*('GRT Central'!L6:L1135=A148))*(('GRT Central'!K6:K1135="INSTALADO - OPERANDO")+('GRT Central'!K6:K1135="INSTALADO - SIN SEÑAL")&gt;0))</f>
        <v>0</v>
      </c>
      <c r="C148" s="44">
        <f>SUMPRODUCT(((ISNUMBER('GRT Occidente'!L6:L784))*('GRT Occidente'!L6:L784=A148))*(('GRT Occidente'!K6:K784="INSTALADO - OPERANDO")+('GRT Occidente'!K6:K784="INSTALADO - SIN SEÑAL")&gt;0))</f>
        <v>0</v>
      </c>
      <c r="D148" s="44">
        <f>SUMPRODUCT(((ISNUMBER('GRT Oriente'!L6:L400))*('GRT Oriente'!L6:L400=A148))*(('GRT Oriente'!K6:K400="INSTALADO - OPERANDO")+('GRT Oriente'!K6:K400="INSTALADO - SIN SEÑAL")&gt;0))</f>
        <v>0</v>
      </c>
      <c r="E148" s="44">
        <f>SUMPRODUCT(((ISNUMBER('GRT Valle de México'!L6:L740))*('GRT Valle de México'!L6:L740=A148))*(('GRT Valle de México'!K6:K740="INSTALADO - OPERANDO")+('GRT Valle de México'!K6:K740="INSTALADO - SIN SEÑAL")&gt;0))</f>
        <v>0</v>
      </c>
      <c r="F148" s="44">
        <f>SUMPRODUCT(((ISNUMBER('GRT Noroeste'!L6:L372))*('GRT Noroeste'!L6:L372=A148))*(('GRT Noroeste'!K6:K372="INSTALADO - OPERANDO")+('GRT Noroeste'!K6:K372="INSTALADO - SIN SEÑAL")&gt;0))</f>
        <v>0</v>
      </c>
      <c r="G148" s="44">
        <f>SUMPRODUCT(((ISNUMBER('GRT Norte'!L6:L296))*('GRT Norte'!L6:L296=A148))*(('GRT Norte'!K6:K296="INSTALADO - OPERANDO")+('GRT Norte'!K6:K296="INSTALADO - SIN SEÑAL")&gt;0))</f>
        <v>0</v>
      </c>
      <c r="H148" s="44">
        <f>SUMPRODUCT(((ISNUMBER('GRT Noreste'!L6:L262))*('GRT Noreste'!L6:L262=A148))*(('GRT Noreste'!K6:K262="INSTALADO - OPERANDO")+('GRT Noreste'!K6:K262="INSTALADO - SIN SEÑAL")&gt;0))</f>
        <v>0</v>
      </c>
      <c r="I148" s="44">
        <f>SUMPRODUCT(((ISNUMBER('GRT Baja California'!L6:L281))*('GRT Baja California'!L6:L281=A148))*(('GRT Baja California'!K6:K281="INSTALADO - OPERANDO")+('GRT Baja California'!K6:K281="INSTALADO - SIN SEÑAL")&gt;0))</f>
        <v>0</v>
      </c>
      <c r="J148" s="64">
        <f t="shared" si="12"/>
        <v>0</v>
      </c>
      <c r="K148" s="54">
        <f t="shared" si="14"/>
        <v>1289</v>
      </c>
      <c r="L148" s="57">
        <f t="shared" si="13"/>
        <v>0.30472813238770685</v>
      </c>
      <c r="M148" s="58"/>
    </row>
    <row r="149" spans="1:13" ht="15" customHeight="1">
      <c r="A149" s="50">
        <v>46241</v>
      </c>
      <c r="B149" s="41">
        <f>SUMPRODUCT(((ISNUMBER('GRT Central'!L6:L1135))*('GRT Central'!L6:L1135=A149))*(('GRT Central'!K6:K1135="INSTALADO - OPERANDO")+('GRT Central'!K6:K1135="INSTALADO - SIN SEÑAL")&gt;0))</f>
        <v>0</v>
      </c>
      <c r="C149" s="41">
        <f>SUMPRODUCT(((ISNUMBER('GRT Occidente'!L6:L784))*('GRT Occidente'!L6:L784=A149))*(('GRT Occidente'!K6:K784="INSTALADO - OPERANDO")+('GRT Occidente'!K6:K784="INSTALADO - SIN SEÑAL")&gt;0))</f>
        <v>0</v>
      </c>
      <c r="D149" s="41">
        <f>SUMPRODUCT(((ISNUMBER('GRT Oriente'!L6:L400))*('GRT Oriente'!L6:L400=A149))*(('GRT Oriente'!K6:K400="INSTALADO - OPERANDO")+('GRT Oriente'!K6:K400="INSTALADO - SIN SEÑAL")&gt;0))</f>
        <v>0</v>
      </c>
      <c r="E149" s="41">
        <f>SUMPRODUCT(((ISNUMBER('GRT Valle de México'!L6:L740))*('GRT Valle de México'!L6:L740=A149))*(('GRT Valle de México'!K6:K740="INSTALADO - OPERANDO")+('GRT Valle de México'!K6:K740="INSTALADO - SIN SEÑAL")&gt;0))</f>
        <v>0</v>
      </c>
      <c r="F149" s="41">
        <f>SUMPRODUCT(((ISNUMBER('GRT Noroeste'!L6:L372))*('GRT Noroeste'!L6:L372=A149))*(('GRT Noroeste'!K6:K372="INSTALADO - OPERANDO")+('GRT Noroeste'!K6:K372="INSTALADO - SIN SEÑAL")&gt;0))</f>
        <v>0</v>
      </c>
      <c r="G149" s="41">
        <f>SUMPRODUCT(((ISNUMBER('GRT Norte'!L6:L296))*('GRT Norte'!L6:L296=A149))*(('GRT Norte'!K6:K296="INSTALADO - OPERANDO")+('GRT Norte'!K6:K296="INSTALADO - SIN SEÑAL")&gt;0))</f>
        <v>0</v>
      </c>
      <c r="H149" s="41">
        <f>SUMPRODUCT(((ISNUMBER('GRT Noreste'!L6:L262))*('GRT Noreste'!L6:L262=A149))*(('GRT Noreste'!K6:K262="INSTALADO - OPERANDO")+('GRT Noreste'!K6:K262="INSTALADO - SIN SEÑAL")&gt;0))</f>
        <v>0</v>
      </c>
      <c r="I149" s="41">
        <f>SUMPRODUCT(((ISNUMBER('GRT Baja California'!L6:L281))*('GRT Baja California'!L6:L281=A149))*(('GRT Baja California'!K6:K281="INSTALADO - OPERANDO")+('GRT Baja California'!K6:K281="INSTALADO - SIN SEÑAL")&gt;0))</f>
        <v>0</v>
      </c>
      <c r="J149" s="65">
        <f t="shared" si="12"/>
        <v>0</v>
      </c>
      <c r="K149" s="49">
        <f t="shared" si="14"/>
        <v>1289</v>
      </c>
      <c r="L149" s="52">
        <f t="shared" si="13"/>
        <v>0.30472813238770685</v>
      </c>
      <c r="M149" s="53"/>
    </row>
    <row r="150" spans="1:13" ht="15" customHeight="1">
      <c r="A150" s="55">
        <v>46242</v>
      </c>
      <c r="B150" s="44">
        <f>SUMPRODUCT(((ISNUMBER('GRT Central'!L6:L1135))*('GRT Central'!L6:L1135=A150))*(('GRT Central'!K6:K1135="INSTALADO - OPERANDO")+('GRT Central'!K6:K1135="INSTALADO - SIN SEÑAL")&gt;0))</f>
        <v>0</v>
      </c>
      <c r="C150" s="44">
        <f>SUMPRODUCT(((ISNUMBER('GRT Occidente'!L6:L784))*('GRT Occidente'!L6:L784=A150))*(('GRT Occidente'!K6:K784="INSTALADO - OPERANDO")+('GRT Occidente'!K6:K784="INSTALADO - SIN SEÑAL")&gt;0))</f>
        <v>0</v>
      </c>
      <c r="D150" s="44">
        <f>SUMPRODUCT(((ISNUMBER('GRT Oriente'!L6:L400))*('GRT Oriente'!L6:L400=A150))*(('GRT Oriente'!K6:K400="INSTALADO - OPERANDO")+('GRT Oriente'!K6:K400="INSTALADO - SIN SEÑAL")&gt;0))</f>
        <v>0</v>
      </c>
      <c r="E150" s="44">
        <f>SUMPRODUCT(((ISNUMBER('GRT Valle de México'!L6:L740))*('GRT Valle de México'!L6:L740=A150))*(('GRT Valle de México'!K6:K740="INSTALADO - OPERANDO")+('GRT Valle de México'!K6:K740="INSTALADO - SIN SEÑAL")&gt;0))</f>
        <v>0</v>
      </c>
      <c r="F150" s="44">
        <f>SUMPRODUCT(((ISNUMBER('GRT Noroeste'!L6:L372))*('GRT Noroeste'!L6:L372=A150))*(('GRT Noroeste'!K6:K372="INSTALADO - OPERANDO")+('GRT Noroeste'!K6:K372="INSTALADO - SIN SEÑAL")&gt;0))</f>
        <v>0</v>
      </c>
      <c r="G150" s="44">
        <f>SUMPRODUCT(((ISNUMBER('GRT Norte'!L6:L296))*('GRT Norte'!L6:L296=A150))*(('GRT Norte'!K6:K296="INSTALADO - OPERANDO")+('GRT Norte'!K6:K296="INSTALADO - SIN SEÑAL")&gt;0))</f>
        <v>0</v>
      </c>
      <c r="H150" s="44">
        <f>SUMPRODUCT(((ISNUMBER('GRT Noreste'!L6:L262))*('GRT Noreste'!L6:L262=A150))*(('GRT Noreste'!K6:K262="INSTALADO - OPERANDO")+('GRT Noreste'!K6:K262="INSTALADO - SIN SEÑAL")&gt;0))</f>
        <v>0</v>
      </c>
      <c r="I150" s="44">
        <f>SUMPRODUCT(((ISNUMBER('GRT Baja California'!L6:L281))*('GRT Baja California'!L6:L281=A150))*(('GRT Baja California'!K6:K281="INSTALADO - OPERANDO")+('GRT Baja California'!K6:K281="INSTALADO - SIN SEÑAL")&gt;0))</f>
        <v>0</v>
      </c>
      <c r="J150" s="64">
        <f t="shared" si="12"/>
        <v>0</v>
      </c>
      <c r="K150" s="54">
        <f t="shared" si="14"/>
        <v>1289</v>
      </c>
      <c r="L150" s="57">
        <f t="shared" si="13"/>
        <v>0.30472813238770685</v>
      </c>
      <c r="M150" s="58"/>
    </row>
    <row r="151" spans="1:13" ht="15" customHeight="1">
      <c r="A151" s="50">
        <v>46243</v>
      </c>
      <c r="B151" s="41">
        <f>SUMPRODUCT(((ISNUMBER('GRT Central'!L6:L1135))*('GRT Central'!L6:L1135=A151))*(('GRT Central'!K6:K1135="INSTALADO - OPERANDO")+('GRT Central'!K6:K1135="INSTALADO - SIN SEÑAL")&gt;0))</f>
        <v>0</v>
      </c>
      <c r="C151" s="41">
        <f>SUMPRODUCT(((ISNUMBER('GRT Occidente'!L6:L784))*('GRT Occidente'!L6:L784=A151))*(('GRT Occidente'!K6:K784="INSTALADO - OPERANDO")+('GRT Occidente'!K6:K784="INSTALADO - SIN SEÑAL")&gt;0))</f>
        <v>0</v>
      </c>
      <c r="D151" s="41">
        <f>SUMPRODUCT(((ISNUMBER('GRT Oriente'!L6:L400))*('GRT Oriente'!L6:L400=A151))*(('GRT Oriente'!K6:K400="INSTALADO - OPERANDO")+('GRT Oriente'!K6:K400="INSTALADO - SIN SEÑAL")&gt;0))</f>
        <v>0</v>
      </c>
      <c r="E151" s="41">
        <f>SUMPRODUCT(((ISNUMBER('GRT Valle de México'!L6:L740))*('GRT Valle de México'!L6:L740=A151))*(('GRT Valle de México'!K6:K740="INSTALADO - OPERANDO")+('GRT Valle de México'!K6:K740="INSTALADO - SIN SEÑAL")&gt;0))</f>
        <v>0</v>
      </c>
      <c r="F151" s="41">
        <f>SUMPRODUCT(((ISNUMBER('GRT Noroeste'!L6:L372))*('GRT Noroeste'!L6:L372=A151))*(('GRT Noroeste'!K6:K372="INSTALADO - OPERANDO")+('GRT Noroeste'!K6:K372="INSTALADO - SIN SEÑAL")&gt;0))</f>
        <v>0</v>
      </c>
      <c r="G151" s="41">
        <f>SUMPRODUCT(((ISNUMBER('GRT Norte'!L6:L296))*('GRT Norte'!L6:L296=A151))*(('GRT Norte'!K6:K296="INSTALADO - OPERANDO")+('GRT Norte'!K6:K296="INSTALADO - SIN SEÑAL")&gt;0))</f>
        <v>0</v>
      </c>
      <c r="H151" s="41">
        <f>SUMPRODUCT(((ISNUMBER('GRT Noreste'!L6:L262))*('GRT Noreste'!L6:L262=A151))*(('GRT Noreste'!K6:K262="INSTALADO - OPERANDO")+('GRT Noreste'!K6:K262="INSTALADO - SIN SEÑAL")&gt;0))</f>
        <v>0</v>
      </c>
      <c r="I151" s="41">
        <f>SUMPRODUCT(((ISNUMBER('GRT Baja California'!L6:L281))*('GRT Baja California'!L6:L281=A151))*(('GRT Baja California'!K6:K281="INSTALADO - OPERANDO")+('GRT Baja California'!K6:K281="INSTALADO - SIN SEÑAL")&gt;0))</f>
        <v>0</v>
      </c>
      <c r="J151" s="65">
        <f t="shared" si="12"/>
        <v>0</v>
      </c>
      <c r="K151" s="49">
        <f t="shared" si="14"/>
        <v>1289</v>
      </c>
      <c r="L151" s="52">
        <f t="shared" si="13"/>
        <v>0.30472813238770685</v>
      </c>
      <c r="M151" s="53"/>
    </row>
    <row r="152" spans="1:13" ht="15" customHeight="1">
      <c r="A152" s="55">
        <v>46244</v>
      </c>
      <c r="B152" s="44">
        <f>SUMPRODUCT(((ISNUMBER('GRT Central'!L6:L1135))*('GRT Central'!L6:L1135=A152))*(('GRT Central'!K6:K1135="INSTALADO - OPERANDO")+('GRT Central'!K6:K1135="INSTALADO - SIN SEÑAL")&gt;0))</f>
        <v>0</v>
      </c>
      <c r="C152" s="44">
        <f>SUMPRODUCT(((ISNUMBER('GRT Occidente'!L6:L784))*('GRT Occidente'!L6:L784=A152))*(('GRT Occidente'!K6:K784="INSTALADO - OPERANDO")+('GRT Occidente'!K6:K784="INSTALADO - SIN SEÑAL")&gt;0))</f>
        <v>0</v>
      </c>
      <c r="D152" s="44">
        <f>SUMPRODUCT(((ISNUMBER('GRT Oriente'!L6:L400))*('GRT Oriente'!L6:L400=A152))*(('GRT Oriente'!K6:K400="INSTALADO - OPERANDO")+('GRT Oriente'!K6:K400="INSTALADO - SIN SEÑAL")&gt;0))</f>
        <v>0</v>
      </c>
      <c r="E152" s="44">
        <f>SUMPRODUCT(((ISNUMBER('GRT Valle de México'!L6:L740))*('GRT Valle de México'!L6:L740=A152))*(('GRT Valle de México'!K6:K740="INSTALADO - OPERANDO")+('GRT Valle de México'!K6:K740="INSTALADO - SIN SEÑAL")&gt;0))</f>
        <v>0</v>
      </c>
      <c r="F152" s="44">
        <f>SUMPRODUCT(((ISNUMBER('GRT Noroeste'!L6:L372))*('GRT Noroeste'!L6:L372=A152))*(('GRT Noroeste'!K6:K372="INSTALADO - OPERANDO")+('GRT Noroeste'!K6:K372="INSTALADO - SIN SEÑAL")&gt;0))</f>
        <v>0</v>
      </c>
      <c r="G152" s="44">
        <f>SUMPRODUCT(((ISNUMBER('GRT Norte'!L6:L296))*('GRT Norte'!L6:L296=A152))*(('GRT Norte'!K6:K296="INSTALADO - OPERANDO")+('GRT Norte'!K6:K296="INSTALADO - SIN SEÑAL")&gt;0))</f>
        <v>0</v>
      </c>
      <c r="H152" s="44">
        <f>SUMPRODUCT(((ISNUMBER('GRT Noreste'!L6:L262))*('GRT Noreste'!L6:L262=A152))*(('GRT Noreste'!K6:K262="INSTALADO - OPERANDO")+('GRT Noreste'!K6:K262="INSTALADO - SIN SEÑAL")&gt;0))</f>
        <v>0</v>
      </c>
      <c r="I152" s="44">
        <f>SUMPRODUCT(((ISNUMBER('GRT Baja California'!L6:L281))*('GRT Baja California'!L6:L281=A152))*(('GRT Baja California'!K6:K281="INSTALADO - OPERANDO")+('GRT Baja California'!K6:K281="INSTALADO - SIN SEÑAL")&gt;0))</f>
        <v>0</v>
      </c>
      <c r="J152" s="64">
        <f t="shared" si="12"/>
        <v>0</v>
      </c>
      <c r="K152" s="54">
        <f t="shared" si="14"/>
        <v>1289</v>
      </c>
      <c r="L152" s="57">
        <f t="shared" si="13"/>
        <v>0.30472813238770685</v>
      </c>
      <c r="M152" s="58"/>
    </row>
    <row r="153" spans="1:13" ht="15" customHeight="1">
      <c r="A153" s="50">
        <v>46245</v>
      </c>
      <c r="B153" s="41">
        <f>SUMPRODUCT(((ISNUMBER('GRT Central'!L6:L1135))*('GRT Central'!L6:L1135=A153))*(('GRT Central'!K6:K1135="INSTALADO - OPERANDO")+('GRT Central'!K6:K1135="INSTALADO - SIN SEÑAL")&gt;0))</f>
        <v>0</v>
      </c>
      <c r="C153" s="41">
        <f>SUMPRODUCT(((ISNUMBER('GRT Occidente'!L6:L784))*('GRT Occidente'!L6:L784=A153))*(('GRT Occidente'!K6:K784="INSTALADO - OPERANDO")+('GRT Occidente'!K6:K784="INSTALADO - SIN SEÑAL")&gt;0))</f>
        <v>0</v>
      </c>
      <c r="D153" s="41">
        <f>SUMPRODUCT(((ISNUMBER('GRT Oriente'!L6:L400))*('GRT Oriente'!L6:L400=A153))*(('GRT Oriente'!K6:K400="INSTALADO - OPERANDO")+('GRT Oriente'!K6:K400="INSTALADO - SIN SEÑAL")&gt;0))</f>
        <v>0</v>
      </c>
      <c r="E153" s="41">
        <f>SUMPRODUCT(((ISNUMBER('GRT Valle de México'!L6:L740))*('GRT Valle de México'!L6:L740=A153))*(('GRT Valle de México'!K6:K740="INSTALADO - OPERANDO")+('GRT Valle de México'!K6:K740="INSTALADO - SIN SEÑAL")&gt;0))</f>
        <v>0</v>
      </c>
      <c r="F153" s="41">
        <f>SUMPRODUCT(((ISNUMBER('GRT Noroeste'!L6:L372))*('GRT Noroeste'!L6:L372=A153))*(('GRT Noroeste'!K6:K372="INSTALADO - OPERANDO")+('GRT Noroeste'!K6:K372="INSTALADO - SIN SEÑAL")&gt;0))</f>
        <v>0</v>
      </c>
      <c r="G153" s="41">
        <f>SUMPRODUCT(((ISNUMBER('GRT Norte'!L6:L296))*('GRT Norte'!L6:L296=A153))*(('GRT Norte'!K6:K296="INSTALADO - OPERANDO")+('GRT Norte'!K6:K296="INSTALADO - SIN SEÑAL")&gt;0))</f>
        <v>0</v>
      </c>
      <c r="H153" s="41">
        <f>SUMPRODUCT(((ISNUMBER('GRT Noreste'!L6:L262))*('GRT Noreste'!L6:L262=A153))*(('GRT Noreste'!K6:K262="INSTALADO - OPERANDO")+('GRT Noreste'!K6:K262="INSTALADO - SIN SEÑAL")&gt;0))</f>
        <v>0</v>
      </c>
      <c r="I153" s="41">
        <f>SUMPRODUCT(((ISNUMBER('GRT Baja California'!L6:L281))*('GRT Baja California'!L6:L281=A153))*(('GRT Baja California'!K6:K281="INSTALADO - OPERANDO")+('GRT Baja California'!K6:K281="INSTALADO - SIN SEÑAL")&gt;0))</f>
        <v>0</v>
      </c>
      <c r="J153" s="65">
        <f t="shared" si="12"/>
        <v>0</v>
      </c>
      <c r="K153" s="49">
        <f t="shared" si="14"/>
        <v>1289</v>
      </c>
      <c r="L153" s="52">
        <f t="shared" si="13"/>
        <v>0.30472813238770685</v>
      </c>
      <c r="M153" s="53"/>
    </row>
    <row r="154" spans="1:13" ht="15" customHeight="1">
      <c r="A154" s="55">
        <v>46246</v>
      </c>
      <c r="B154" s="44">
        <f>SUMPRODUCT(((ISNUMBER('GRT Central'!L6:L1135))*('GRT Central'!L6:L1135=A154))*(('GRT Central'!K6:K1135="INSTALADO - OPERANDO")+('GRT Central'!K6:K1135="INSTALADO - SIN SEÑAL")&gt;0))</f>
        <v>0</v>
      </c>
      <c r="C154" s="44">
        <f>SUMPRODUCT(((ISNUMBER('GRT Occidente'!L6:L784))*('GRT Occidente'!L6:L784=A154))*(('GRT Occidente'!K6:K784="INSTALADO - OPERANDO")+('GRT Occidente'!K6:K784="INSTALADO - SIN SEÑAL")&gt;0))</f>
        <v>0</v>
      </c>
      <c r="D154" s="44">
        <f>SUMPRODUCT(((ISNUMBER('GRT Oriente'!L6:L400))*('GRT Oriente'!L6:L400=A154))*(('GRT Oriente'!K6:K400="INSTALADO - OPERANDO")+('GRT Oriente'!K6:K400="INSTALADO - SIN SEÑAL")&gt;0))</f>
        <v>0</v>
      </c>
      <c r="E154" s="44">
        <f>SUMPRODUCT(((ISNUMBER('GRT Valle de México'!L6:L740))*('GRT Valle de México'!L6:L740=A154))*(('GRT Valle de México'!K6:K740="INSTALADO - OPERANDO")+('GRT Valle de México'!K6:K740="INSTALADO - SIN SEÑAL")&gt;0))</f>
        <v>0</v>
      </c>
      <c r="F154" s="44">
        <f>SUMPRODUCT(((ISNUMBER('GRT Noroeste'!L6:L372))*('GRT Noroeste'!L6:L372=A154))*(('GRT Noroeste'!K6:K372="INSTALADO - OPERANDO")+('GRT Noroeste'!K6:K372="INSTALADO - SIN SEÑAL")&gt;0))</f>
        <v>0</v>
      </c>
      <c r="G154" s="44">
        <f>SUMPRODUCT(((ISNUMBER('GRT Norte'!L6:L296))*('GRT Norte'!L6:L296=A154))*(('GRT Norte'!K6:K296="INSTALADO - OPERANDO")+('GRT Norte'!K6:K296="INSTALADO - SIN SEÑAL")&gt;0))</f>
        <v>0</v>
      </c>
      <c r="H154" s="44">
        <f>SUMPRODUCT(((ISNUMBER('GRT Noreste'!L6:L262))*('GRT Noreste'!L6:L262=A154))*(('GRT Noreste'!K6:K262="INSTALADO - OPERANDO")+('GRT Noreste'!K6:K262="INSTALADO - SIN SEÑAL")&gt;0))</f>
        <v>0</v>
      </c>
      <c r="I154" s="44">
        <f>SUMPRODUCT(((ISNUMBER('GRT Baja California'!L6:L281))*('GRT Baja California'!L6:L281=A154))*(('GRT Baja California'!K6:K281="INSTALADO - OPERANDO")+('GRT Baja California'!K6:K281="INSTALADO - SIN SEÑAL")&gt;0))</f>
        <v>0</v>
      </c>
      <c r="J154" s="64">
        <f t="shared" si="12"/>
        <v>0</v>
      </c>
      <c r="K154" s="54">
        <f t="shared" si="14"/>
        <v>1289</v>
      </c>
      <c r="L154" s="57">
        <f t="shared" si="13"/>
        <v>0.30472813238770685</v>
      </c>
      <c r="M154" s="58"/>
    </row>
    <row r="155" spans="1:13" ht="15" customHeight="1">
      <c r="A155" s="50">
        <v>46247</v>
      </c>
      <c r="B155" s="41">
        <f>SUMPRODUCT(((ISNUMBER('GRT Central'!L6:L1135))*('GRT Central'!L6:L1135=A155))*(('GRT Central'!K6:K1135="INSTALADO - OPERANDO")+('GRT Central'!K6:K1135="INSTALADO - SIN SEÑAL")&gt;0))</f>
        <v>0</v>
      </c>
      <c r="C155" s="41">
        <f>SUMPRODUCT(((ISNUMBER('GRT Occidente'!L6:L784))*('GRT Occidente'!L6:L784=A155))*(('GRT Occidente'!K6:K784="INSTALADO - OPERANDO")+('GRT Occidente'!K6:K784="INSTALADO - SIN SEÑAL")&gt;0))</f>
        <v>0</v>
      </c>
      <c r="D155" s="41">
        <f>SUMPRODUCT(((ISNUMBER('GRT Oriente'!L6:L400))*('GRT Oriente'!L6:L400=A155))*(('GRT Oriente'!K6:K400="INSTALADO - OPERANDO")+('GRT Oriente'!K6:K400="INSTALADO - SIN SEÑAL")&gt;0))</f>
        <v>0</v>
      </c>
      <c r="E155" s="41">
        <f>SUMPRODUCT(((ISNUMBER('GRT Valle de México'!L6:L740))*('GRT Valle de México'!L6:L740=A155))*(('GRT Valle de México'!K6:K740="INSTALADO - OPERANDO")+('GRT Valle de México'!K6:K740="INSTALADO - SIN SEÑAL")&gt;0))</f>
        <v>0</v>
      </c>
      <c r="F155" s="41">
        <f>SUMPRODUCT(((ISNUMBER('GRT Noroeste'!L6:L372))*('GRT Noroeste'!L6:L372=A155))*(('GRT Noroeste'!K6:K372="INSTALADO - OPERANDO")+('GRT Noroeste'!K6:K372="INSTALADO - SIN SEÑAL")&gt;0))</f>
        <v>0</v>
      </c>
      <c r="G155" s="41">
        <f>SUMPRODUCT(((ISNUMBER('GRT Norte'!L6:L296))*('GRT Norte'!L6:L296=A155))*(('GRT Norte'!K6:K296="INSTALADO - OPERANDO")+('GRT Norte'!K6:K296="INSTALADO - SIN SEÑAL")&gt;0))</f>
        <v>0</v>
      </c>
      <c r="H155" s="41">
        <f>SUMPRODUCT(((ISNUMBER('GRT Noreste'!L6:L262))*('GRT Noreste'!L6:L262=A155))*(('GRT Noreste'!K6:K262="INSTALADO - OPERANDO")+('GRT Noreste'!K6:K262="INSTALADO - SIN SEÑAL")&gt;0))</f>
        <v>0</v>
      </c>
      <c r="I155" s="41">
        <f>SUMPRODUCT(((ISNUMBER('GRT Baja California'!L6:L281))*('GRT Baja California'!L6:L281=A155))*(('GRT Baja California'!K6:K281="INSTALADO - OPERANDO")+('GRT Baja California'!K6:K281="INSTALADO - SIN SEÑAL")&gt;0))</f>
        <v>0</v>
      </c>
      <c r="J155" s="65">
        <f t="shared" si="12"/>
        <v>0</v>
      </c>
      <c r="K155" s="49">
        <f t="shared" si="14"/>
        <v>1289</v>
      </c>
      <c r="L155" s="52">
        <f t="shared" si="13"/>
        <v>0.30472813238770685</v>
      </c>
      <c r="M155" s="53"/>
    </row>
    <row r="156" spans="1:13" ht="15" customHeight="1">
      <c r="A156" s="55">
        <v>46248</v>
      </c>
      <c r="B156" s="44">
        <f>SUMPRODUCT(((ISNUMBER('GRT Central'!L6:L1135))*('GRT Central'!L6:L1135=A156))*(('GRT Central'!K6:K1135="INSTALADO - OPERANDO")+('GRT Central'!K6:K1135="INSTALADO - SIN SEÑAL")&gt;0))</f>
        <v>0</v>
      </c>
      <c r="C156" s="44">
        <f>SUMPRODUCT(((ISNUMBER('GRT Occidente'!L6:L784))*('GRT Occidente'!L6:L784=A156))*(('GRT Occidente'!K6:K784="INSTALADO - OPERANDO")+('GRT Occidente'!K6:K784="INSTALADO - SIN SEÑAL")&gt;0))</f>
        <v>0</v>
      </c>
      <c r="D156" s="44">
        <f>SUMPRODUCT(((ISNUMBER('GRT Oriente'!L6:L400))*('GRT Oriente'!L6:L400=A156))*(('GRT Oriente'!K6:K400="INSTALADO - OPERANDO")+('GRT Oriente'!K6:K400="INSTALADO - SIN SEÑAL")&gt;0))</f>
        <v>0</v>
      </c>
      <c r="E156" s="44">
        <f>SUMPRODUCT(((ISNUMBER('GRT Valle de México'!L6:L740))*('GRT Valle de México'!L6:L740=A156))*(('GRT Valle de México'!K6:K740="INSTALADO - OPERANDO")+('GRT Valle de México'!K6:K740="INSTALADO - SIN SEÑAL")&gt;0))</f>
        <v>0</v>
      </c>
      <c r="F156" s="44">
        <f>SUMPRODUCT(((ISNUMBER('GRT Noroeste'!L6:L372))*('GRT Noroeste'!L6:L372=A156))*(('GRT Noroeste'!K6:K372="INSTALADO - OPERANDO")+('GRT Noroeste'!K6:K372="INSTALADO - SIN SEÑAL")&gt;0))</f>
        <v>0</v>
      </c>
      <c r="G156" s="44">
        <f>SUMPRODUCT(((ISNUMBER('GRT Norte'!L6:L296))*('GRT Norte'!L6:L296=A156))*(('GRT Norte'!K6:K296="INSTALADO - OPERANDO")+('GRT Norte'!K6:K296="INSTALADO - SIN SEÑAL")&gt;0))</f>
        <v>0</v>
      </c>
      <c r="H156" s="44">
        <f>SUMPRODUCT(((ISNUMBER('GRT Noreste'!L6:L262))*('GRT Noreste'!L6:L262=A156))*(('GRT Noreste'!K6:K262="INSTALADO - OPERANDO")+('GRT Noreste'!K6:K262="INSTALADO - SIN SEÑAL")&gt;0))</f>
        <v>0</v>
      </c>
      <c r="I156" s="44">
        <f>SUMPRODUCT(((ISNUMBER('GRT Baja California'!L6:L281))*('GRT Baja California'!L6:L281=A156))*(('GRT Baja California'!K6:K281="INSTALADO - OPERANDO")+('GRT Baja California'!K6:K281="INSTALADO - SIN SEÑAL")&gt;0))</f>
        <v>0</v>
      </c>
      <c r="J156" s="64">
        <f t="shared" si="12"/>
        <v>0</v>
      </c>
      <c r="K156" s="54">
        <f t="shared" si="14"/>
        <v>1289</v>
      </c>
      <c r="L156" s="57">
        <f t="shared" si="13"/>
        <v>0.30472813238770685</v>
      </c>
      <c r="M156" s="58"/>
    </row>
    <row r="157" spans="1:13" ht="15" customHeight="1">
      <c r="A157" s="50">
        <v>46249</v>
      </c>
      <c r="B157" s="41">
        <f>SUMPRODUCT(((ISNUMBER('GRT Central'!L6:L1135))*('GRT Central'!L6:L1135=A157))*(('GRT Central'!K6:K1135="INSTALADO - OPERANDO")+('GRT Central'!K6:K1135="INSTALADO - SIN SEÑAL")&gt;0))</f>
        <v>0</v>
      </c>
      <c r="C157" s="41">
        <f>SUMPRODUCT(((ISNUMBER('GRT Occidente'!L6:L784))*('GRT Occidente'!L6:L784=A157))*(('GRT Occidente'!K6:K784="INSTALADO - OPERANDO")+('GRT Occidente'!K6:K784="INSTALADO - SIN SEÑAL")&gt;0))</f>
        <v>0</v>
      </c>
      <c r="D157" s="41">
        <f>SUMPRODUCT(((ISNUMBER('GRT Oriente'!L6:L400))*('GRT Oriente'!L6:L400=A157))*(('GRT Oriente'!K6:K400="INSTALADO - OPERANDO")+('GRT Oriente'!K6:K400="INSTALADO - SIN SEÑAL")&gt;0))</f>
        <v>0</v>
      </c>
      <c r="E157" s="41">
        <f>SUMPRODUCT(((ISNUMBER('GRT Valle de México'!L6:L740))*('GRT Valle de México'!L6:L740=A157))*(('GRT Valle de México'!K6:K740="INSTALADO - OPERANDO")+('GRT Valle de México'!K6:K740="INSTALADO - SIN SEÑAL")&gt;0))</f>
        <v>0</v>
      </c>
      <c r="F157" s="41">
        <f>SUMPRODUCT(((ISNUMBER('GRT Noroeste'!L6:L372))*('GRT Noroeste'!L6:L372=A157))*(('GRT Noroeste'!K6:K372="INSTALADO - OPERANDO")+('GRT Noroeste'!K6:K372="INSTALADO - SIN SEÑAL")&gt;0))</f>
        <v>0</v>
      </c>
      <c r="G157" s="41">
        <f>SUMPRODUCT(((ISNUMBER('GRT Norte'!L6:L296))*('GRT Norte'!L6:L296=A157))*(('GRT Norte'!K6:K296="INSTALADO - OPERANDO")+('GRT Norte'!K6:K296="INSTALADO - SIN SEÑAL")&gt;0))</f>
        <v>0</v>
      </c>
      <c r="H157" s="41">
        <f>SUMPRODUCT(((ISNUMBER('GRT Noreste'!L6:L262))*('GRT Noreste'!L6:L262=A157))*(('GRT Noreste'!K6:K262="INSTALADO - OPERANDO")+('GRT Noreste'!K6:K262="INSTALADO - SIN SEÑAL")&gt;0))</f>
        <v>0</v>
      </c>
      <c r="I157" s="41">
        <f>SUMPRODUCT(((ISNUMBER('GRT Baja California'!L6:L281))*('GRT Baja California'!L6:L281=A157))*(('GRT Baja California'!K6:K281="INSTALADO - OPERANDO")+('GRT Baja California'!K6:K281="INSTALADO - SIN SEÑAL")&gt;0))</f>
        <v>0</v>
      </c>
      <c r="J157" s="65">
        <f t="shared" si="12"/>
        <v>0</v>
      </c>
      <c r="K157" s="49">
        <f t="shared" si="14"/>
        <v>1289</v>
      </c>
      <c r="L157" s="52">
        <f t="shared" si="13"/>
        <v>0.30472813238770685</v>
      </c>
      <c r="M157" s="53"/>
    </row>
    <row r="158" spans="1:13" ht="15" customHeight="1">
      <c r="A158" s="55">
        <v>46250</v>
      </c>
      <c r="B158" s="44">
        <f>SUMPRODUCT(((ISNUMBER('GRT Central'!L6:L1135))*('GRT Central'!L6:L1135=A158))*(('GRT Central'!K6:K1135="INSTALADO - OPERANDO")+('GRT Central'!K6:K1135="INSTALADO - SIN SEÑAL")&gt;0))</f>
        <v>0</v>
      </c>
      <c r="C158" s="44">
        <f>SUMPRODUCT(((ISNUMBER('GRT Occidente'!L6:L784))*('GRT Occidente'!L6:L784=A158))*(('GRT Occidente'!K6:K784="INSTALADO - OPERANDO")+('GRT Occidente'!K6:K784="INSTALADO - SIN SEÑAL")&gt;0))</f>
        <v>0</v>
      </c>
      <c r="D158" s="44">
        <f>SUMPRODUCT(((ISNUMBER('GRT Oriente'!L6:L400))*('GRT Oriente'!L6:L400=A158))*(('GRT Oriente'!K6:K400="INSTALADO - OPERANDO")+('GRT Oriente'!K6:K400="INSTALADO - SIN SEÑAL")&gt;0))</f>
        <v>0</v>
      </c>
      <c r="E158" s="44">
        <f>SUMPRODUCT(((ISNUMBER('GRT Valle de México'!L6:L740))*('GRT Valle de México'!L6:L740=A158))*(('GRT Valle de México'!K6:K740="INSTALADO - OPERANDO")+('GRT Valle de México'!K6:K740="INSTALADO - SIN SEÑAL")&gt;0))</f>
        <v>0</v>
      </c>
      <c r="F158" s="44">
        <f>SUMPRODUCT(((ISNUMBER('GRT Noroeste'!L6:L372))*('GRT Noroeste'!L6:L372=A158))*(('GRT Noroeste'!K6:K372="INSTALADO - OPERANDO")+('GRT Noroeste'!K6:K372="INSTALADO - SIN SEÑAL")&gt;0))</f>
        <v>0</v>
      </c>
      <c r="G158" s="44">
        <f>SUMPRODUCT(((ISNUMBER('GRT Norte'!L6:L296))*('GRT Norte'!L6:L296=A158))*(('GRT Norte'!K6:K296="INSTALADO - OPERANDO")+('GRT Norte'!K6:K296="INSTALADO - SIN SEÑAL")&gt;0))</f>
        <v>0</v>
      </c>
      <c r="H158" s="44">
        <f>SUMPRODUCT(((ISNUMBER('GRT Noreste'!L6:L262))*('GRT Noreste'!L6:L262=A158))*(('GRT Noreste'!K6:K262="INSTALADO - OPERANDO")+('GRT Noreste'!K6:K262="INSTALADO - SIN SEÑAL")&gt;0))</f>
        <v>0</v>
      </c>
      <c r="I158" s="44">
        <f>SUMPRODUCT(((ISNUMBER('GRT Baja California'!L6:L281))*('GRT Baja California'!L6:L281=A158))*(('GRT Baja California'!K6:K281="INSTALADO - OPERANDO")+('GRT Baja California'!K6:K281="INSTALADO - SIN SEÑAL")&gt;0))</f>
        <v>0</v>
      </c>
      <c r="J158" s="64">
        <f t="shared" si="12"/>
        <v>0</v>
      </c>
      <c r="K158" s="54">
        <f t="shared" si="14"/>
        <v>1289</v>
      </c>
      <c r="L158" s="57">
        <f t="shared" si="13"/>
        <v>0.30472813238770685</v>
      </c>
      <c r="M158" s="58"/>
    </row>
    <row r="159" spans="1:13" ht="15" customHeight="1">
      <c r="A159" s="50">
        <v>46251</v>
      </c>
      <c r="B159" s="41">
        <f>SUMPRODUCT(((ISNUMBER('GRT Central'!L6:L1135))*('GRT Central'!L6:L1135=A159))*(('GRT Central'!K6:K1135="INSTALADO - OPERANDO")+('GRT Central'!K6:K1135="INSTALADO - SIN SEÑAL")&gt;0))</f>
        <v>0</v>
      </c>
      <c r="C159" s="41">
        <f>SUMPRODUCT(((ISNUMBER('GRT Occidente'!L6:L784))*('GRT Occidente'!L6:L784=A159))*(('GRT Occidente'!K6:K784="INSTALADO - OPERANDO")+('GRT Occidente'!K6:K784="INSTALADO - SIN SEÑAL")&gt;0))</f>
        <v>0</v>
      </c>
      <c r="D159" s="41">
        <f>SUMPRODUCT(((ISNUMBER('GRT Oriente'!L6:L400))*('GRT Oriente'!L6:L400=A159))*(('GRT Oriente'!K6:K400="INSTALADO - OPERANDO")+('GRT Oriente'!K6:K400="INSTALADO - SIN SEÑAL")&gt;0))</f>
        <v>0</v>
      </c>
      <c r="E159" s="41">
        <f>SUMPRODUCT(((ISNUMBER('GRT Valle de México'!L6:L740))*('GRT Valle de México'!L6:L740=A159))*(('GRT Valle de México'!K6:K740="INSTALADO - OPERANDO")+('GRT Valle de México'!K6:K740="INSTALADO - SIN SEÑAL")&gt;0))</f>
        <v>0</v>
      </c>
      <c r="F159" s="41">
        <f>SUMPRODUCT(((ISNUMBER('GRT Noroeste'!L6:L372))*('GRT Noroeste'!L6:L372=A159))*(('GRT Noroeste'!K6:K372="INSTALADO - OPERANDO")+('GRT Noroeste'!K6:K372="INSTALADO - SIN SEÑAL")&gt;0))</f>
        <v>0</v>
      </c>
      <c r="G159" s="41">
        <f>SUMPRODUCT(((ISNUMBER('GRT Norte'!L6:L296))*('GRT Norte'!L6:L296=A159))*(('GRT Norte'!K6:K296="INSTALADO - OPERANDO")+('GRT Norte'!K6:K296="INSTALADO - SIN SEÑAL")&gt;0))</f>
        <v>0</v>
      </c>
      <c r="H159" s="41">
        <f>SUMPRODUCT(((ISNUMBER('GRT Noreste'!L6:L262))*('GRT Noreste'!L6:L262=A159))*(('GRT Noreste'!K6:K262="INSTALADO - OPERANDO")+('GRT Noreste'!K6:K262="INSTALADO - SIN SEÑAL")&gt;0))</f>
        <v>0</v>
      </c>
      <c r="I159" s="41">
        <f>SUMPRODUCT(((ISNUMBER('GRT Baja California'!L6:L281))*('GRT Baja California'!L6:L281=A159))*(('GRT Baja California'!K6:K281="INSTALADO - OPERANDO")+('GRT Baja California'!K6:K281="INSTALADO - SIN SEÑAL")&gt;0))</f>
        <v>0</v>
      </c>
      <c r="J159" s="65">
        <f t="shared" si="12"/>
        <v>0</v>
      </c>
      <c r="K159" s="49">
        <f t="shared" si="14"/>
        <v>1289</v>
      </c>
      <c r="L159" s="52">
        <f t="shared" si="13"/>
        <v>0.30472813238770685</v>
      </c>
      <c r="M159" s="53"/>
    </row>
    <row r="160" spans="1:13" ht="15" customHeight="1">
      <c r="A160" s="55">
        <v>46252</v>
      </c>
      <c r="B160" s="44">
        <f>SUMPRODUCT(((ISNUMBER('GRT Central'!L6:L1135))*('GRT Central'!L6:L1135=A160))*(('GRT Central'!K6:K1135="INSTALADO - OPERANDO")+('GRT Central'!K6:K1135="INSTALADO - SIN SEÑAL")&gt;0))</f>
        <v>0</v>
      </c>
      <c r="C160" s="44">
        <f>SUMPRODUCT(((ISNUMBER('GRT Occidente'!L6:L784))*('GRT Occidente'!L6:L784=A160))*(('GRT Occidente'!K6:K784="INSTALADO - OPERANDO")+('GRT Occidente'!K6:K784="INSTALADO - SIN SEÑAL")&gt;0))</f>
        <v>0</v>
      </c>
      <c r="D160" s="44">
        <f>SUMPRODUCT(((ISNUMBER('GRT Oriente'!L6:L400))*('GRT Oriente'!L6:L400=A160))*(('GRT Oriente'!K6:K400="INSTALADO - OPERANDO")+('GRT Oriente'!K6:K400="INSTALADO - SIN SEÑAL")&gt;0))</f>
        <v>0</v>
      </c>
      <c r="E160" s="44">
        <f>SUMPRODUCT(((ISNUMBER('GRT Valle de México'!L6:L740))*('GRT Valle de México'!L6:L740=A160))*(('GRT Valle de México'!K6:K740="INSTALADO - OPERANDO")+('GRT Valle de México'!K6:K740="INSTALADO - SIN SEÑAL")&gt;0))</f>
        <v>0</v>
      </c>
      <c r="F160" s="44">
        <f>SUMPRODUCT(((ISNUMBER('GRT Noroeste'!L6:L372))*('GRT Noroeste'!L6:L372=A160))*(('GRT Noroeste'!K6:K372="INSTALADO - OPERANDO")+('GRT Noroeste'!K6:K372="INSTALADO - SIN SEÑAL")&gt;0))</f>
        <v>0</v>
      </c>
      <c r="G160" s="44">
        <f>SUMPRODUCT(((ISNUMBER('GRT Norte'!L6:L296))*('GRT Norte'!L6:L296=A160))*(('GRT Norte'!K6:K296="INSTALADO - OPERANDO")+('GRT Norte'!K6:K296="INSTALADO - SIN SEÑAL")&gt;0))</f>
        <v>0</v>
      </c>
      <c r="H160" s="44">
        <f>SUMPRODUCT(((ISNUMBER('GRT Noreste'!L6:L262))*('GRT Noreste'!L6:L262=A160))*(('GRT Noreste'!K6:K262="INSTALADO - OPERANDO")+('GRT Noreste'!K6:K262="INSTALADO - SIN SEÑAL")&gt;0))</f>
        <v>0</v>
      </c>
      <c r="I160" s="44">
        <f>SUMPRODUCT(((ISNUMBER('GRT Baja California'!L6:L281))*('GRT Baja California'!L6:L281=A160))*(('GRT Baja California'!K6:K281="INSTALADO - OPERANDO")+('GRT Baja California'!K6:K281="INSTALADO - SIN SEÑAL")&gt;0))</f>
        <v>0</v>
      </c>
      <c r="J160" s="64">
        <f t="shared" si="12"/>
        <v>0</v>
      </c>
      <c r="K160" s="54">
        <f t="shared" si="14"/>
        <v>1289</v>
      </c>
      <c r="L160" s="57">
        <f t="shared" si="13"/>
        <v>0.30472813238770685</v>
      </c>
      <c r="M160" s="58"/>
    </row>
    <row r="161" spans="1:13" ht="15" customHeight="1">
      <c r="A161" s="50">
        <v>46253</v>
      </c>
      <c r="B161" s="41">
        <f>SUMPRODUCT(((ISNUMBER('GRT Central'!L6:L1135))*('GRT Central'!L6:L1135=A161))*(('GRT Central'!K6:K1135="INSTALADO - OPERANDO")+('GRT Central'!K6:K1135="INSTALADO - SIN SEÑAL")&gt;0))</f>
        <v>0</v>
      </c>
      <c r="C161" s="41">
        <f>SUMPRODUCT(((ISNUMBER('GRT Occidente'!L6:L784))*('GRT Occidente'!L6:L784=A161))*(('GRT Occidente'!K6:K784="INSTALADO - OPERANDO")+('GRT Occidente'!K6:K784="INSTALADO - SIN SEÑAL")&gt;0))</f>
        <v>0</v>
      </c>
      <c r="D161" s="41">
        <f>SUMPRODUCT(((ISNUMBER('GRT Oriente'!L6:L400))*('GRT Oriente'!L6:L400=A161))*(('GRT Oriente'!K6:K400="INSTALADO - OPERANDO")+('GRT Oriente'!K6:K400="INSTALADO - SIN SEÑAL")&gt;0))</f>
        <v>0</v>
      </c>
      <c r="E161" s="41">
        <f>SUMPRODUCT(((ISNUMBER('GRT Valle de México'!L6:L740))*('GRT Valle de México'!L6:L740=A161))*(('GRT Valle de México'!K6:K740="INSTALADO - OPERANDO")+('GRT Valle de México'!K6:K740="INSTALADO - SIN SEÑAL")&gt;0))</f>
        <v>0</v>
      </c>
      <c r="F161" s="41">
        <f>SUMPRODUCT(((ISNUMBER('GRT Noroeste'!L6:L372))*('GRT Noroeste'!L6:L372=A161))*(('GRT Noroeste'!K6:K372="INSTALADO - OPERANDO")+('GRT Noroeste'!K6:K372="INSTALADO - SIN SEÑAL")&gt;0))</f>
        <v>0</v>
      </c>
      <c r="G161" s="41">
        <f>SUMPRODUCT(((ISNUMBER('GRT Norte'!L6:L296))*('GRT Norte'!L6:L296=A161))*(('GRT Norte'!K6:K296="INSTALADO - OPERANDO")+('GRT Norte'!K6:K296="INSTALADO - SIN SEÑAL")&gt;0))</f>
        <v>0</v>
      </c>
      <c r="H161" s="41">
        <f>SUMPRODUCT(((ISNUMBER('GRT Noreste'!L6:L262))*('GRT Noreste'!L6:L262=A161))*(('GRT Noreste'!K6:K262="INSTALADO - OPERANDO")+('GRT Noreste'!K6:K262="INSTALADO - SIN SEÑAL")&gt;0))</f>
        <v>0</v>
      </c>
      <c r="I161" s="41">
        <f>SUMPRODUCT(((ISNUMBER('GRT Baja California'!L6:L281))*('GRT Baja California'!L6:L281=A161))*(('GRT Baja California'!K6:K281="INSTALADO - OPERANDO")+('GRT Baja California'!K6:K281="INSTALADO - SIN SEÑAL")&gt;0))</f>
        <v>0</v>
      </c>
      <c r="J161" s="65">
        <f t="shared" si="12"/>
        <v>0</v>
      </c>
      <c r="K161" s="49">
        <f t="shared" si="14"/>
        <v>1289</v>
      </c>
      <c r="L161" s="52">
        <f t="shared" si="13"/>
        <v>0.30472813238770685</v>
      </c>
      <c r="M161" s="53"/>
    </row>
    <row r="162" spans="1:13" ht="15" customHeight="1">
      <c r="A162" s="55">
        <v>46254</v>
      </c>
      <c r="B162" s="44">
        <f>SUMPRODUCT(((ISNUMBER('GRT Central'!L6:L1135))*('GRT Central'!L6:L1135=A162))*(('GRT Central'!K6:K1135="INSTALADO - OPERANDO")+('GRT Central'!K6:K1135="INSTALADO - SIN SEÑAL")&gt;0))</f>
        <v>0</v>
      </c>
      <c r="C162" s="44">
        <f>SUMPRODUCT(((ISNUMBER('GRT Occidente'!L6:L784))*('GRT Occidente'!L6:L784=A162))*(('GRT Occidente'!K6:K784="INSTALADO - OPERANDO")+('GRT Occidente'!K6:K784="INSTALADO - SIN SEÑAL")&gt;0))</f>
        <v>0</v>
      </c>
      <c r="D162" s="44">
        <f>SUMPRODUCT(((ISNUMBER('GRT Oriente'!L6:L400))*('GRT Oriente'!L6:L400=A162))*(('GRT Oriente'!K6:K400="INSTALADO - OPERANDO")+('GRT Oriente'!K6:K400="INSTALADO - SIN SEÑAL")&gt;0))</f>
        <v>0</v>
      </c>
      <c r="E162" s="44">
        <f>SUMPRODUCT(((ISNUMBER('GRT Valle de México'!L6:L740))*('GRT Valle de México'!L6:L740=A162))*(('GRT Valle de México'!K6:K740="INSTALADO - OPERANDO")+('GRT Valle de México'!K6:K740="INSTALADO - SIN SEÑAL")&gt;0))</f>
        <v>0</v>
      </c>
      <c r="F162" s="44">
        <f>SUMPRODUCT(((ISNUMBER('GRT Noroeste'!L6:L372))*('GRT Noroeste'!L6:L372=A162))*(('GRT Noroeste'!K6:K372="INSTALADO - OPERANDO")+('GRT Noroeste'!K6:K372="INSTALADO - SIN SEÑAL")&gt;0))</f>
        <v>0</v>
      </c>
      <c r="G162" s="44">
        <f>SUMPRODUCT(((ISNUMBER('GRT Norte'!L6:L296))*('GRT Norte'!L6:L296=A162))*(('GRT Norte'!K6:K296="INSTALADO - OPERANDO")+('GRT Norte'!K6:K296="INSTALADO - SIN SEÑAL")&gt;0))</f>
        <v>0</v>
      </c>
      <c r="H162" s="44">
        <f>SUMPRODUCT(((ISNUMBER('GRT Noreste'!L6:L262))*('GRT Noreste'!L6:L262=A162))*(('GRT Noreste'!K6:K262="INSTALADO - OPERANDO")+('GRT Noreste'!K6:K262="INSTALADO - SIN SEÑAL")&gt;0))</f>
        <v>0</v>
      </c>
      <c r="I162" s="44">
        <f>SUMPRODUCT(((ISNUMBER('GRT Baja California'!L6:L281))*('GRT Baja California'!L6:L281=A162))*(('GRT Baja California'!K6:K281="INSTALADO - OPERANDO")+('GRT Baja California'!K6:K281="INSTALADO - SIN SEÑAL")&gt;0))</f>
        <v>0</v>
      </c>
      <c r="J162" s="64">
        <f t="shared" si="12"/>
        <v>0</v>
      </c>
      <c r="K162" s="54">
        <f t="shared" si="14"/>
        <v>1289</v>
      </c>
      <c r="L162" s="57">
        <f t="shared" si="13"/>
        <v>0.30472813238770685</v>
      </c>
      <c r="M162" s="58"/>
    </row>
    <row r="163" spans="1:13" ht="15" customHeight="1">
      <c r="A163" s="50">
        <v>46255</v>
      </c>
      <c r="B163" s="41">
        <f>SUMPRODUCT(((ISNUMBER('GRT Central'!L6:L1135))*('GRT Central'!L6:L1135=A163))*(('GRT Central'!K6:K1135="INSTALADO - OPERANDO")+('GRT Central'!K6:K1135="INSTALADO - SIN SEÑAL")&gt;0))</f>
        <v>0</v>
      </c>
      <c r="C163" s="41">
        <f>SUMPRODUCT(((ISNUMBER('GRT Occidente'!L6:L784))*('GRT Occidente'!L6:L784=A163))*(('GRT Occidente'!K6:K784="INSTALADO - OPERANDO")+('GRT Occidente'!K6:K784="INSTALADO - SIN SEÑAL")&gt;0))</f>
        <v>0</v>
      </c>
      <c r="D163" s="41">
        <f>SUMPRODUCT(((ISNUMBER('GRT Oriente'!L6:L400))*('GRT Oriente'!L6:L400=A163))*(('GRT Oriente'!K6:K400="INSTALADO - OPERANDO")+('GRT Oriente'!K6:K400="INSTALADO - SIN SEÑAL")&gt;0))</f>
        <v>0</v>
      </c>
      <c r="E163" s="41">
        <f>SUMPRODUCT(((ISNUMBER('GRT Valle de México'!L6:L740))*('GRT Valle de México'!L6:L740=A163))*(('GRT Valle de México'!K6:K740="INSTALADO - OPERANDO")+('GRT Valle de México'!K6:K740="INSTALADO - SIN SEÑAL")&gt;0))</f>
        <v>0</v>
      </c>
      <c r="F163" s="41">
        <f>SUMPRODUCT(((ISNUMBER('GRT Noroeste'!L6:L372))*('GRT Noroeste'!L6:L372=A163))*(('GRT Noroeste'!K6:K372="INSTALADO - OPERANDO")+('GRT Noroeste'!K6:K372="INSTALADO - SIN SEÑAL")&gt;0))</f>
        <v>0</v>
      </c>
      <c r="G163" s="41">
        <f>SUMPRODUCT(((ISNUMBER('GRT Norte'!L6:L296))*('GRT Norte'!L6:L296=A163))*(('GRT Norte'!K6:K296="INSTALADO - OPERANDO")+('GRT Norte'!K6:K296="INSTALADO - SIN SEÑAL")&gt;0))</f>
        <v>0</v>
      </c>
      <c r="H163" s="41">
        <f>SUMPRODUCT(((ISNUMBER('GRT Noreste'!L6:L262))*('GRT Noreste'!L6:L262=A163))*(('GRT Noreste'!K6:K262="INSTALADO - OPERANDO")+('GRT Noreste'!K6:K262="INSTALADO - SIN SEÑAL")&gt;0))</f>
        <v>0</v>
      </c>
      <c r="I163" s="41">
        <f>SUMPRODUCT(((ISNUMBER('GRT Baja California'!L6:L281))*('GRT Baja California'!L6:L281=A163))*(('GRT Baja California'!K6:K281="INSTALADO - OPERANDO")+('GRT Baja California'!K6:K281="INSTALADO - SIN SEÑAL")&gt;0))</f>
        <v>0</v>
      </c>
      <c r="J163" s="65">
        <f t="shared" si="12"/>
        <v>0</v>
      </c>
      <c r="K163" s="49">
        <f t="shared" si="14"/>
        <v>1289</v>
      </c>
      <c r="L163" s="52">
        <f t="shared" si="13"/>
        <v>0.30472813238770685</v>
      </c>
      <c r="M163" s="53"/>
    </row>
    <row r="164" spans="1:13" ht="15" customHeight="1">
      <c r="A164" s="55">
        <v>46256</v>
      </c>
      <c r="B164" s="44">
        <f>SUMPRODUCT(((ISNUMBER('GRT Central'!L6:L1135))*('GRT Central'!L6:L1135=A164))*(('GRT Central'!K6:K1135="INSTALADO - OPERANDO")+('GRT Central'!K6:K1135="INSTALADO - SIN SEÑAL")&gt;0))</f>
        <v>0</v>
      </c>
      <c r="C164" s="44">
        <f>SUMPRODUCT(((ISNUMBER('GRT Occidente'!L6:L784))*('GRT Occidente'!L6:L784=A164))*(('GRT Occidente'!K6:K784="INSTALADO - OPERANDO")+('GRT Occidente'!K6:K784="INSTALADO - SIN SEÑAL")&gt;0))</f>
        <v>0</v>
      </c>
      <c r="D164" s="44">
        <f>SUMPRODUCT(((ISNUMBER('GRT Oriente'!L6:L400))*('GRT Oriente'!L6:L400=A164))*(('GRT Oriente'!K6:K400="INSTALADO - OPERANDO")+('GRT Oriente'!K6:K400="INSTALADO - SIN SEÑAL")&gt;0))</f>
        <v>0</v>
      </c>
      <c r="E164" s="44">
        <f>SUMPRODUCT(((ISNUMBER('GRT Valle de México'!L6:L740))*('GRT Valle de México'!L6:L740=A164))*(('GRT Valle de México'!K6:K740="INSTALADO - OPERANDO")+('GRT Valle de México'!K6:K740="INSTALADO - SIN SEÑAL")&gt;0))</f>
        <v>0</v>
      </c>
      <c r="F164" s="44">
        <f>SUMPRODUCT(((ISNUMBER('GRT Noroeste'!L6:L372))*('GRT Noroeste'!L6:L372=A164))*(('GRT Noroeste'!K6:K372="INSTALADO - OPERANDO")+('GRT Noroeste'!K6:K372="INSTALADO - SIN SEÑAL")&gt;0))</f>
        <v>0</v>
      </c>
      <c r="G164" s="44">
        <f>SUMPRODUCT(((ISNUMBER('GRT Norte'!L6:L296))*('GRT Norte'!L6:L296=A164))*(('GRT Norte'!K6:K296="INSTALADO - OPERANDO")+('GRT Norte'!K6:K296="INSTALADO - SIN SEÑAL")&gt;0))</f>
        <v>0</v>
      </c>
      <c r="H164" s="44">
        <f>SUMPRODUCT(((ISNUMBER('GRT Noreste'!L6:L262))*('GRT Noreste'!L6:L262=A164))*(('GRT Noreste'!K6:K262="INSTALADO - OPERANDO")+('GRT Noreste'!K6:K262="INSTALADO - SIN SEÑAL")&gt;0))</f>
        <v>0</v>
      </c>
      <c r="I164" s="44">
        <f>SUMPRODUCT(((ISNUMBER('GRT Baja California'!L6:L281))*('GRT Baja California'!L6:L281=A164))*(('GRT Baja California'!K6:K281="INSTALADO - OPERANDO")+('GRT Baja California'!K6:K281="INSTALADO - SIN SEÑAL")&gt;0))</f>
        <v>0</v>
      </c>
      <c r="J164" s="64">
        <f t="shared" si="12"/>
        <v>0</v>
      </c>
      <c r="K164" s="54">
        <f t="shared" si="14"/>
        <v>1289</v>
      </c>
      <c r="L164" s="57">
        <f t="shared" si="13"/>
        <v>0.30472813238770685</v>
      </c>
      <c r="M164" s="58"/>
    </row>
    <row r="165" spans="1:13" ht="15" customHeight="1">
      <c r="A165" s="50">
        <v>46257</v>
      </c>
      <c r="B165" s="41">
        <f>SUMPRODUCT(((ISNUMBER('GRT Central'!L6:L1135))*('GRT Central'!L6:L1135=A165))*(('GRT Central'!K6:K1135="INSTALADO - OPERANDO")+('GRT Central'!K6:K1135="INSTALADO - SIN SEÑAL")&gt;0))</f>
        <v>0</v>
      </c>
      <c r="C165" s="41">
        <f>SUMPRODUCT(((ISNUMBER('GRT Occidente'!L6:L784))*('GRT Occidente'!L6:L784=A165))*(('GRT Occidente'!K6:K784="INSTALADO - OPERANDO")+('GRT Occidente'!K6:K784="INSTALADO - SIN SEÑAL")&gt;0))</f>
        <v>0</v>
      </c>
      <c r="D165" s="41">
        <f>SUMPRODUCT(((ISNUMBER('GRT Oriente'!L6:L400))*('GRT Oriente'!L6:L400=A165))*(('GRT Oriente'!K6:K400="INSTALADO - OPERANDO")+('GRT Oriente'!K6:K400="INSTALADO - SIN SEÑAL")&gt;0))</f>
        <v>0</v>
      </c>
      <c r="E165" s="41">
        <f>SUMPRODUCT(((ISNUMBER('GRT Valle de México'!L6:L740))*('GRT Valle de México'!L6:L740=A165))*(('GRT Valle de México'!K6:K740="INSTALADO - OPERANDO")+('GRT Valle de México'!K6:K740="INSTALADO - SIN SEÑAL")&gt;0))</f>
        <v>0</v>
      </c>
      <c r="F165" s="41">
        <f>SUMPRODUCT(((ISNUMBER('GRT Noroeste'!L6:L372))*('GRT Noroeste'!L6:L372=A165))*(('GRT Noroeste'!K6:K372="INSTALADO - OPERANDO")+('GRT Noroeste'!K6:K372="INSTALADO - SIN SEÑAL")&gt;0))</f>
        <v>0</v>
      </c>
      <c r="G165" s="41">
        <f>SUMPRODUCT(((ISNUMBER('GRT Norte'!L6:L296))*('GRT Norte'!L6:L296=A165))*(('GRT Norte'!K6:K296="INSTALADO - OPERANDO")+('GRT Norte'!K6:K296="INSTALADO - SIN SEÑAL")&gt;0))</f>
        <v>0</v>
      </c>
      <c r="H165" s="41">
        <f>SUMPRODUCT(((ISNUMBER('GRT Noreste'!L6:L262))*('GRT Noreste'!L6:L262=A165))*(('GRT Noreste'!K6:K262="INSTALADO - OPERANDO")+('GRT Noreste'!K6:K262="INSTALADO - SIN SEÑAL")&gt;0))</f>
        <v>0</v>
      </c>
      <c r="I165" s="41">
        <f>SUMPRODUCT(((ISNUMBER('GRT Baja California'!L6:L281))*('GRT Baja California'!L6:L281=A165))*(('GRT Baja California'!K6:K281="INSTALADO - OPERANDO")+('GRT Baja California'!K6:K281="INSTALADO - SIN SEÑAL")&gt;0))</f>
        <v>0</v>
      </c>
      <c r="J165" s="65">
        <f t="shared" si="12"/>
        <v>0</v>
      </c>
      <c r="K165" s="49">
        <f t="shared" si="14"/>
        <v>1289</v>
      </c>
      <c r="L165" s="52">
        <f t="shared" si="13"/>
        <v>0.30472813238770685</v>
      </c>
      <c r="M165" s="53"/>
    </row>
    <row r="166" spans="1:13" ht="15" customHeight="1">
      <c r="A166" s="55">
        <v>46258</v>
      </c>
      <c r="B166" s="44">
        <f>SUMPRODUCT(((ISNUMBER('GRT Central'!L6:L1135))*('GRT Central'!L6:L1135=A166))*(('GRT Central'!K6:K1135="INSTALADO - OPERANDO")+('GRT Central'!K6:K1135="INSTALADO - SIN SEÑAL")&gt;0))</f>
        <v>0</v>
      </c>
      <c r="C166" s="44">
        <f>SUMPRODUCT(((ISNUMBER('GRT Occidente'!L6:L784))*('GRT Occidente'!L6:L784=A166))*(('GRT Occidente'!K6:K784="INSTALADO - OPERANDO")+('GRT Occidente'!K6:K784="INSTALADO - SIN SEÑAL")&gt;0))</f>
        <v>0</v>
      </c>
      <c r="D166" s="44">
        <f>SUMPRODUCT(((ISNUMBER('GRT Oriente'!L6:L400))*('GRT Oriente'!L6:L400=A166))*(('GRT Oriente'!K6:K400="INSTALADO - OPERANDO")+('GRT Oriente'!K6:K400="INSTALADO - SIN SEÑAL")&gt;0))</f>
        <v>0</v>
      </c>
      <c r="E166" s="44">
        <f>SUMPRODUCT(((ISNUMBER('GRT Valle de México'!L6:L740))*('GRT Valle de México'!L6:L740=A166))*(('GRT Valle de México'!K6:K740="INSTALADO - OPERANDO")+('GRT Valle de México'!K6:K740="INSTALADO - SIN SEÑAL")&gt;0))</f>
        <v>0</v>
      </c>
      <c r="F166" s="44">
        <f>SUMPRODUCT(((ISNUMBER('GRT Noroeste'!L6:L372))*('GRT Noroeste'!L6:L372=A166))*(('GRT Noroeste'!K6:K372="INSTALADO - OPERANDO")+('GRT Noroeste'!K6:K372="INSTALADO - SIN SEÑAL")&gt;0))</f>
        <v>0</v>
      </c>
      <c r="G166" s="44">
        <f>SUMPRODUCT(((ISNUMBER('GRT Norte'!L6:L296))*('GRT Norte'!L6:L296=A166))*(('GRT Norte'!K6:K296="INSTALADO - OPERANDO")+('GRT Norte'!K6:K296="INSTALADO - SIN SEÑAL")&gt;0))</f>
        <v>0</v>
      </c>
      <c r="H166" s="44">
        <f>SUMPRODUCT(((ISNUMBER('GRT Noreste'!L6:L262))*('GRT Noreste'!L6:L262=A166))*(('GRT Noreste'!K6:K262="INSTALADO - OPERANDO")+('GRT Noreste'!K6:K262="INSTALADO - SIN SEÑAL")&gt;0))</f>
        <v>0</v>
      </c>
      <c r="I166" s="44">
        <f>SUMPRODUCT(((ISNUMBER('GRT Baja California'!L6:L281))*('GRT Baja California'!L6:L281=A166))*(('GRT Baja California'!K6:K281="INSTALADO - OPERANDO")+('GRT Baja California'!K6:K281="INSTALADO - SIN SEÑAL")&gt;0))</f>
        <v>0</v>
      </c>
      <c r="J166" s="64">
        <f t="shared" ref="J166:J197" si="15">SUM(B166:I166)</f>
        <v>0</v>
      </c>
      <c r="K166" s="54">
        <f t="shared" si="14"/>
        <v>1289</v>
      </c>
      <c r="L166" s="57">
        <f t="shared" ref="L166:L197" si="16">IF(K166=0,"",K166/4230)</f>
        <v>0.30472813238770685</v>
      </c>
      <c r="M166" s="58"/>
    </row>
    <row r="167" spans="1:13" ht="15" customHeight="1">
      <c r="A167" s="50">
        <v>46259</v>
      </c>
      <c r="B167" s="41">
        <f>SUMPRODUCT(((ISNUMBER('GRT Central'!L6:L1135))*('GRT Central'!L6:L1135=A167))*(('GRT Central'!K6:K1135="INSTALADO - OPERANDO")+('GRT Central'!K6:K1135="INSTALADO - SIN SEÑAL")&gt;0))</f>
        <v>0</v>
      </c>
      <c r="C167" s="41">
        <f>SUMPRODUCT(((ISNUMBER('GRT Occidente'!L6:L784))*('GRT Occidente'!L6:L784=A167))*(('GRT Occidente'!K6:K784="INSTALADO - OPERANDO")+('GRT Occidente'!K6:K784="INSTALADO - SIN SEÑAL")&gt;0))</f>
        <v>0</v>
      </c>
      <c r="D167" s="41">
        <f>SUMPRODUCT(((ISNUMBER('GRT Oriente'!L6:L400))*('GRT Oriente'!L6:L400=A167))*(('GRT Oriente'!K6:K400="INSTALADO - OPERANDO")+('GRT Oriente'!K6:K400="INSTALADO - SIN SEÑAL")&gt;0))</f>
        <v>0</v>
      </c>
      <c r="E167" s="41">
        <f>SUMPRODUCT(((ISNUMBER('GRT Valle de México'!L6:L740))*('GRT Valle de México'!L6:L740=A167))*(('GRT Valle de México'!K6:K740="INSTALADO - OPERANDO")+('GRT Valle de México'!K6:K740="INSTALADO - SIN SEÑAL")&gt;0))</f>
        <v>0</v>
      </c>
      <c r="F167" s="41">
        <f>SUMPRODUCT(((ISNUMBER('GRT Noroeste'!L6:L372))*('GRT Noroeste'!L6:L372=A167))*(('GRT Noroeste'!K6:K372="INSTALADO - OPERANDO")+('GRT Noroeste'!K6:K372="INSTALADO - SIN SEÑAL")&gt;0))</f>
        <v>0</v>
      </c>
      <c r="G167" s="41">
        <f>SUMPRODUCT(((ISNUMBER('GRT Norte'!L6:L296))*('GRT Norte'!L6:L296=A167))*(('GRT Norte'!K6:K296="INSTALADO - OPERANDO")+('GRT Norte'!K6:K296="INSTALADO - SIN SEÑAL")&gt;0))</f>
        <v>0</v>
      </c>
      <c r="H167" s="41">
        <f>SUMPRODUCT(((ISNUMBER('GRT Noreste'!L6:L262))*('GRT Noreste'!L6:L262=A167))*(('GRT Noreste'!K6:K262="INSTALADO - OPERANDO")+('GRT Noreste'!K6:K262="INSTALADO - SIN SEÑAL")&gt;0))</f>
        <v>0</v>
      </c>
      <c r="I167" s="41">
        <f>SUMPRODUCT(((ISNUMBER('GRT Baja California'!L6:L281))*('GRT Baja California'!L6:L281=A167))*(('GRT Baja California'!K6:K281="INSTALADO - OPERANDO")+('GRT Baja California'!K6:K281="INSTALADO - SIN SEÑAL")&gt;0))</f>
        <v>0</v>
      </c>
      <c r="J167" s="65">
        <f t="shared" si="15"/>
        <v>0</v>
      </c>
      <c r="K167" s="49">
        <f t="shared" ref="K167:K198" si="17">K166+J167</f>
        <v>1289</v>
      </c>
      <c r="L167" s="52">
        <f t="shared" si="16"/>
        <v>0.30472813238770685</v>
      </c>
      <c r="M167" s="53"/>
    </row>
    <row r="168" spans="1:13" ht="15" customHeight="1">
      <c r="A168" s="55">
        <v>46260</v>
      </c>
      <c r="B168" s="44">
        <f>SUMPRODUCT(((ISNUMBER('GRT Central'!L6:L1135))*('GRT Central'!L6:L1135=A168))*(('GRT Central'!K6:K1135="INSTALADO - OPERANDO")+('GRT Central'!K6:K1135="INSTALADO - SIN SEÑAL")&gt;0))</f>
        <v>0</v>
      </c>
      <c r="C168" s="44">
        <f>SUMPRODUCT(((ISNUMBER('GRT Occidente'!L6:L784))*('GRT Occidente'!L6:L784=A168))*(('GRT Occidente'!K6:K784="INSTALADO - OPERANDO")+('GRT Occidente'!K6:K784="INSTALADO - SIN SEÑAL")&gt;0))</f>
        <v>0</v>
      </c>
      <c r="D168" s="44">
        <f>SUMPRODUCT(((ISNUMBER('GRT Oriente'!L6:L400))*('GRT Oriente'!L6:L400=A168))*(('GRT Oriente'!K6:K400="INSTALADO - OPERANDO")+('GRT Oriente'!K6:K400="INSTALADO - SIN SEÑAL")&gt;0))</f>
        <v>0</v>
      </c>
      <c r="E168" s="44">
        <f>SUMPRODUCT(((ISNUMBER('GRT Valle de México'!L6:L740))*('GRT Valle de México'!L6:L740=A168))*(('GRT Valle de México'!K6:K740="INSTALADO - OPERANDO")+('GRT Valle de México'!K6:K740="INSTALADO - SIN SEÑAL")&gt;0))</f>
        <v>0</v>
      </c>
      <c r="F168" s="44">
        <f>SUMPRODUCT(((ISNUMBER('GRT Noroeste'!L6:L372))*('GRT Noroeste'!L6:L372=A168))*(('GRT Noroeste'!K6:K372="INSTALADO - OPERANDO")+('GRT Noroeste'!K6:K372="INSTALADO - SIN SEÑAL")&gt;0))</f>
        <v>0</v>
      </c>
      <c r="G168" s="44">
        <f>SUMPRODUCT(((ISNUMBER('GRT Norte'!L6:L296))*('GRT Norte'!L6:L296=A168))*(('GRT Norte'!K6:K296="INSTALADO - OPERANDO")+('GRT Norte'!K6:K296="INSTALADO - SIN SEÑAL")&gt;0))</f>
        <v>0</v>
      </c>
      <c r="H168" s="44">
        <f>SUMPRODUCT(((ISNUMBER('GRT Noreste'!L6:L262))*('GRT Noreste'!L6:L262=A168))*(('GRT Noreste'!K6:K262="INSTALADO - OPERANDO")+('GRT Noreste'!K6:K262="INSTALADO - SIN SEÑAL")&gt;0))</f>
        <v>0</v>
      </c>
      <c r="I168" s="44">
        <f>SUMPRODUCT(((ISNUMBER('GRT Baja California'!L6:L281))*('GRT Baja California'!L6:L281=A168))*(('GRT Baja California'!K6:K281="INSTALADO - OPERANDO")+('GRT Baja California'!K6:K281="INSTALADO - SIN SEÑAL")&gt;0))</f>
        <v>0</v>
      </c>
      <c r="J168" s="64">
        <f t="shared" si="15"/>
        <v>0</v>
      </c>
      <c r="K168" s="54">
        <f t="shared" si="17"/>
        <v>1289</v>
      </c>
      <c r="L168" s="57">
        <f t="shared" si="16"/>
        <v>0.30472813238770685</v>
      </c>
      <c r="M168" s="58"/>
    </row>
    <row r="169" spans="1:13" ht="15" customHeight="1">
      <c r="A169" s="50">
        <v>46261</v>
      </c>
      <c r="B169" s="41">
        <f>SUMPRODUCT(((ISNUMBER('GRT Central'!L6:L1135))*('GRT Central'!L6:L1135=A169))*(('GRT Central'!K6:K1135="INSTALADO - OPERANDO")+('GRT Central'!K6:K1135="INSTALADO - SIN SEÑAL")&gt;0))</f>
        <v>0</v>
      </c>
      <c r="C169" s="41">
        <f>SUMPRODUCT(((ISNUMBER('GRT Occidente'!L6:L784))*('GRT Occidente'!L6:L784=A169))*(('GRT Occidente'!K6:K784="INSTALADO - OPERANDO")+('GRT Occidente'!K6:K784="INSTALADO - SIN SEÑAL")&gt;0))</f>
        <v>0</v>
      </c>
      <c r="D169" s="41">
        <f>SUMPRODUCT(((ISNUMBER('GRT Oriente'!L6:L400))*('GRT Oriente'!L6:L400=A169))*(('GRT Oriente'!K6:K400="INSTALADO - OPERANDO")+('GRT Oriente'!K6:K400="INSTALADO - SIN SEÑAL")&gt;0))</f>
        <v>0</v>
      </c>
      <c r="E169" s="41">
        <f>SUMPRODUCT(((ISNUMBER('GRT Valle de México'!L6:L740))*('GRT Valle de México'!L6:L740=A169))*(('GRT Valle de México'!K6:K740="INSTALADO - OPERANDO")+('GRT Valle de México'!K6:K740="INSTALADO - SIN SEÑAL")&gt;0))</f>
        <v>0</v>
      </c>
      <c r="F169" s="41">
        <f>SUMPRODUCT(((ISNUMBER('GRT Noroeste'!L6:L372))*('GRT Noroeste'!L6:L372=A169))*(('GRT Noroeste'!K6:K372="INSTALADO - OPERANDO")+('GRT Noroeste'!K6:K372="INSTALADO - SIN SEÑAL")&gt;0))</f>
        <v>0</v>
      </c>
      <c r="G169" s="41">
        <f>SUMPRODUCT(((ISNUMBER('GRT Norte'!L6:L296))*('GRT Norte'!L6:L296=A169))*(('GRT Norte'!K6:K296="INSTALADO - OPERANDO")+('GRT Norte'!K6:K296="INSTALADO - SIN SEÑAL")&gt;0))</f>
        <v>0</v>
      </c>
      <c r="H169" s="41">
        <f>SUMPRODUCT(((ISNUMBER('GRT Noreste'!L6:L262))*('GRT Noreste'!L6:L262=A169))*(('GRT Noreste'!K6:K262="INSTALADO - OPERANDO")+('GRT Noreste'!K6:K262="INSTALADO - SIN SEÑAL")&gt;0))</f>
        <v>0</v>
      </c>
      <c r="I169" s="41">
        <f>SUMPRODUCT(((ISNUMBER('GRT Baja California'!L6:L281))*('GRT Baja California'!L6:L281=A169))*(('GRT Baja California'!K6:K281="INSTALADO - OPERANDO")+('GRT Baja California'!K6:K281="INSTALADO - SIN SEÑAL")&gt;0))</f>
        <v>0</v>
      </c>
      <c r="J169" s="65">
        <f t="shared" si="15"/>
        <v>0</v>
      </c>
      <c r="K169" s="49">
        <f t="shared" si="17"/>
        <v>1289</v>
      </c>
      <c r="L169" s="52">
        <f t="shared" si="16"/>
        <v>0.30472813238770685</v>
      </c>
      <c r="M169" s="53"/>
    </row>
    <row r="170" spans="1:13" ht="15" customHeight="1">
      <c r="A170" s="55">
        <v>46262</v>
      </c>
      <c r="B170" s="44">
        <f>SUMPRODUCT(((ISNUMBER('GRT Central'!L6:L1135))*('GRT Central'!L6:L1135=A170))*(('GRT Central'!K6:K1135="INSTALADO - OPERANDO")+('GRT Central'!K6:K1135="INSTALADO - SIN SEÑAL")&gt;0))</f>
        <v>0</v>
      </c>
      <c r="C170" s="44">
        <f>SUMPRODUCT(((ISNUMBER('GRT Occidente'!L6:L784))*('GRT Occidente'!L6:L784=A170))*(('GRT Occidente'!K6:K784="INSTALADO - OPERANDO")+('GRT Occidente'!K6:K784="INSTALADO - SIN SEÑAL")&gt;0))</f>
        <v>0</v>
      </c>
      <c r="D170" s="44">
        <f>SUMPRODUCT(((ISNUMBER('GRT Oriente'!L6:L400))*('GRT Oriente'!L6:L400=A170))*(('GRT Oriente'!K6:K400="INSTALADO - OPERANDO")+('GRT Oriente'!K6:K400="INSTALADO - SIN SEÑAL")&gt;0))</f>
        <v>0</v>
      </c>
      <c r="E170" s="44">
        <f>SUMPRODUCT(((ISNUMBER('GRT Valle de México'!L6:L740))*('GRT Valle de México'!L6:L740=A170))*(('GRT Valle de México'!K6:K740="INSTALADO - OPERANDO")+('GRT Valle de México'!K6:K740="INSTALADO - SIN SEÑAL")&gt;0))</f>
        <v>0</v>
      </c>
      <c r="F170" s="44">
        <f>SUMPRODUCT(((ISNUMBER('GRT Noroeste'!L6:L372))*('GRT Noroeste'!L6:L372=A170))*(('GRT Noroeste'!K6:K372="INSTALADO - OPERANDO")+('GRT Noroeste'!K6:K372="INSTALADO - SIN SEÑAL")&gt;0))</f>
        <v>0</v>
      </c>
      <c r="G170" s="44">
        <f>SUMPRODUCT(((ISNUMBER('GRT Norte'!L6:L296))*('GRT Norte'!L6:L296=A170))*(('GRT Norte'!K6:K296="INSTALADO - OPERANDO")+('GRT Norte'!K6:K296="INSTALADO - SIN SEÑAL")&gt;0))</f>
        <v>0</v>
      </c>
      <c r="H170" s="44">
        <f>SUMPRODUCT(((ISNUMBER('GRT Noreste'!L6:L262))*('GRT Noreste'!L6:L262=A170))*(('GRT Noreste'!K6:K262="INSTALADO - OPERANDO")+('GRT Noreste'!K6:K262="INSTALADO - SIN SEÑAL")&gt;0))</f>
        <v>0</v>
      </c>
      <c r="I170" s="44">
        <f>SUMPRODUCT(((ISNUMBER('GRT Baja California'!L6:L281))*('GRT Baja California'!L6:L281=A170))*(('GRT Baja California'!K6:K281="INSTALADO - OPERANDO")+('GRT Baja California'!K6:K281="INSTALADO - SIN SEÑAL")&gt;0))</f>
        <v>0</v>
      </c>
      <c r="J170" s="64">
        <f t="shared" si="15"/>
        <v>0</v>
      </c>
      <c r="K170" s="54">
        <f t="shared" si="17"/>
        <v>1289</v>
      </c>
      <c r="L170" s="57">
        <f t="shared" si="16"/>
        <v>0.30472813238770685</v>
      </c>
      <c r="M170" s="58"/>
    </row>
    <row r="171" spans="1:13" ht="15" customHeight="1">
      <c r="A171" s="50">
        <v>46263</v>
      </c>
      <c r="B171" s="41">
        <f>SUMPRODUCT(((ISNUMBER('GRT Central'!L6:L1135))*('GRT Central'!L6:L1135=A171))*(('GRT Central'!K6:K1135="INSTALADO - OPERANDO")+('GRT Central'!K6:K1135="INSTALADO - SIN SEÑAL")&gt;0))</f>
        <v>0</v>
      </c>
      <c r="C171" s="41">
        <f>SUMPRODUCT(((ISNUMBER('GRT Occidente'!L6:L784))*('GRT Occidente'!L6:L784=A171))*(('GRT Occidente'!K6:K784="INSTALADO - OPERANDO")+('GRT Occidente'!K6:K784="INSTALADO - SIN SEÑAL")&gt;0))</f>
        <v>0</v>
      </c>
      <c r="D171" s="41">
        <f>SUMPRODUCT(((ISNUMBER('GRT Oriente'!L6:L400))*('GRT Oriente'!L6:L400=A171))*(('GRT Oriente'!K6:K400="INSTALADO - OPERANDO")+('GRT Oriente'!K6:K400="INSTALADO - SIN SEÑAL")&gt;0))</f>
        <v>0</v>
      </c>
      <c r="E171" s="41">
        <f>SUMPRODUCT(((ISNUMBER('GRT Valle de México'!L6:L740))*('GRT Valle de México'!L6:L740=A171))*(('GRT Valle de México'!K6:K740="INSTALADO - OPERANDO")+('GRT Valle de México'!K6:K740="INSTALADO - SIN SEÑAL")&gt;0))</f>
        <v>0</v>
      </c>
      <c r="F171" s="41">
        <f>SUMPRODUCT(((ISNUMBER('GRT Noroeste'!L6:L372))*('GRT Noroeste'!L6:L372=A171))*(('GRT Noroeste'!K6:K372="INSTALADO - OPERANDO")+('GRT Noroeste'!K6:K372="INSTALADO - SIN SEÑAL")&gt;0))</f>
        <v>0</v>
      </c>
      <c r="G171" s="41">
        <f>SUMPRODUCT(((ISNUMBER('GRT Norte'!L6:L296))*('GRT Norte'!L6:L296=A171))*(('GRT Norte'!K6:K296="INSTALADO - OPERANDO")+('GRT Norte'!K6:K296="INSTALADO - SIN SEÑAL")&gt;0))</f>
        <v>0</v>
      </c>
      <c r="H171" s="41">
        <f>SUMPRODUCT(((ISNUMBER('GRT Noreste'!L6:L262))*('GRT Noreste'!L6:L262=A171))*(('GRT Noreste'!K6:K262="INSTALADO - OPERANDO")+('GRT Noreste'!K6:K262="INSTALADO - SIN SEÑAL")&gt;0))</f>
        <v>0</v>
      </c>
      <c r="I171" s="41">
        <f>SUMPRODUCT(((ISNUMBER('GRT Baja California'!L6:L281))*('GRT Baja California'!L6:L281=A171))*(('GRT Baja California'!K6:K281="INSTALADO - OPERANDO")+('GRT Baja California'!K6:K281="INSTALADO - SIN SEÑAL")&gt;0))</f>
        <v>0</v>
      </c>
      <c r="J171" s="65">
        <f t="shared" si="15"/>
        <v>0</v>
      </c>
      <c r="K171" s="49">
        <f t="shared" si="17"/>
        <v>1289</v>
      </c>
      <c r="L171" s="52">
        <f t="shared" si="16"/>
        <v>0.30472813238770685</v>
      </c>
      <c r="M171" s="53"/>
    </row>
    <row r="172" spans="1:13" ht="15" customHeight="1">
      <c r="A172" s="55">
        <v>46264</v>
      </c>
      <c r="B172" s="44">
        <f>SUMPRODUCT(((ISNUMBER('GRT Central'!L6:L1135))*('GRT Central'!L6:L1135=A172))*(('GRT Central'!K6:K1135="INSTALADO - OPERANDO")+('GRT Central'!K6:K1135="INSTALADO - SIN SEÑAL")&gt;0))</f>
        <v>0</v>
      </c>
      <c r="C172" s="44">
        <f>SUMPRODUCT(((ISNUMBER('GRT Occidente'!L6:L784))*('GRT Occidente'!L6:L784=A172))*(('GRT Occidente'!K6:K784="INSTALADO - OPERANDO")+('GRT Occidente'!K6:K784="INSTALADO - SIN SEÑAL")&gt;0))</f>
        <v>0</v>
      </c>
      <c r="D172" s="44">
        <f>SUMPRODUCT(((ISNUMBER('GRT Oriente'!L6:L400))*('GRT Oriente'!L6:L400=A172))*(('GRT Oriente'!K6:K400="INSTALADO - OPERANDO")+('GRT Oriente'!K6:K400="INSTALADO - SIN SEÑAL")&gt;0))</f>
        <v>0</v>
      </c>
      <c r="E172" s="44">
        <f>SUMPRODUCT(((ISNUMBER('GRT Valle de México'!L6:L740))*('GRT Valle de México'!L6:L740=A172))*(('GRT Valle de México'!K6:K740="INSTALADO - OPERANDO")+('GRT Valle de México'!K6:K740="INSTALADO - SIN SEÑAL")&gt;0))</f>
        <v>0</v>
      </c>
      <c r="F172" s="44">
        <f>SUMPRODUCT(((ISNUMBER('GRT Noroeste'!L6:L372))*('GRT Noroeste'!L6:L372=A172))*(('GRT Noroeste'!K6:K372="INSTALADO - OPERANDO")+('GRT Noroeste'!K6:K372="INSTALADO - SIN SEÑAL")&gt;0))</f>
        <v>0</v>
      </c>
      <c r="G172" s="44">
        <f>SUMPRODUCT(((ISNUMBER('GRT Norte'!L6:L296))*('GRT Norte'!L6:L296=A172))*(('GRT Norte'!K6:K296="INSTALADO - OPERANDO")+('GRT Norte'!K6:K296="INSTALADO - SIN SEÑAL")&gt;0))</f>
        <v>0</v>
      </c>
      <c r="H172" s="44">
        <f>SUMPRODUCT(((ISNUMBER('GRT Noreste'!L6:L262))*('GRT Noreste'!L6:L262=A172))*(('GRT Noreste'!K6:K262="INSTALADO - OPERANDO")+('GRT Noreste'!K6:K262="INSTALADO - SIN SEÑAL")&gt;0))</f>
        <v>0</v>
      </c>
      <c r="I172" s="44">
        <f>SUMPRODUCT(((ISNUMBER('GRT Baja California'!L6:L281))*('GRT Baja California'!L6:L281=A172))*(('GRT Baja California'!K6:K281="INSTALADO - OPERANDO")+('GRT Baja California'!K6:K281="INSTALADO - SIN SEÑAL")&gt;0))</f>
        <v>0</v>
      </c>
      <c r="J172" s="64">
        <f t="shared" si="15"/>
        <v>0</v>
      </c>
      <c r="K172" s="54">
        <f t="shared" si="17"/>
        <v>1289</v>
      </c>
      <c r="L172" s="57">
        <f t="shared" si="16"/>
        <v>0.30472813238770685</v>
      </c>
      <c r="M172" s="58"/>
    </row>
    <row r="173" spans="1:13" ht="15" customHeight="1">
      <c r="A173" s="50">
        <v>46265</v>
      </c>
      <c r="B173" s="41">
        <f>SUMPRODUCT(((ISNUMBER('GRT Central'!L6:L1135))*('GRT Central'!L6:L1135=A173))*(('GRT Central'!K6:K1135="INSTALADO - OPERANDO")+('GRT Central'!K6:K1135="INSTALADO - SIN SEÑAL")&gt;0))</f>
        <v>0</v>
      </c>
      <c r="C173" s="41">
        <f>SUMPRODUCT(((ISNUMBER('GRT Occidente'!L6:L784))*('GRT Occidente'!L6:L784=A173))*(('GRT Occidente'!K6:K784="INSTALADO - OPERANDO")+('GRT Occidente'!K6:K784="INSTALADO - SIN SEÑAL")&gt;0))</f>
        <v>0</v>
      </c>
      <c r="D173" s="41">
        <f>SUMPRODUCT(((ISNUMBER('GRT Oriente'!L6:L400))*('GRT Oriente'!L6:L400=A173))*(('GRT Oriente'!K6:K400="INSTALADO - OPERANDO")+('GRT Oriente'!K6:K400="INSTALADO - SIN SEÑAL")&gt;0))</f>
        <v>0</v>
      </c>
      <c r="E173" s="41">
        <f>SUMPRODUCT(((ISNUMBER('GRT Valle de México'!L6:L740))*('GRT Valle de México'!L6:L740=A173))*(('GRT Valle de México'!K6:K740="INSTALADO - OPERANDO")+('GRT Valle de México'!K6:K740="INSTALADO - SIN SEÑAL")&gt;0))</f>
        <v>0</v>
      </c>
      <c r="F173" s="41">
        <f>SUMPRODUCT(((ISNUMBER('GRT Noroeste'!L6:L372))*('GRT Noroeste'!L6:L372=A173))*(('GRT Noroeste'!K6:K372="INSTALADO - OPERANDO")+('GRT Noroeste'!K6:K372="INSTALADO - SIN SEÑAL")&gt;0))</f>
        <v>0</v>
      </c>
      <c r="G173" s="41">
        <f>SUMPRODUCT(((ISNUMBER('GRT Norte'!L6:L296))*('GRT Norte'!L6:L296=A173))*(('GRT Norte'!K6:K296="INSTALADO - OPERANDO")+('GRT Norte'!K6:K296="INSTALADO - SIN SEÑAL")&gt;0))</f>
        <v>0</v>
      </c>
      <c r="H173" s="41">
        <f>SUMPRODUCT(((ISNUMBER('GRT Noreste'!L6:L262))*('GRT Noreste'!L6:L262=A173))*(('GRT Noreste'!K6:K262="INSTALADO - OPERANDO")+('GRT Noreste'!K6:K262="INSTALADO - SIN SEÑAL")&gt;0))</f>
        <v>0</v>
      </c>
      <c r="I173" s="41">
        <f>SUMPRODUCT(((ISNUMBER('GRT Baja California'!L6:L281))*('GRT Baja California'!L6:L281=A173))*(('GRT Baja California'!K6:K281="INSTALADO - OPERANDO")+('GRT Baja California'!K6:K281="INSTALADO - SIN SEÑAL")&gt;0))</f>
        <v>0</v>
      </c>
      <c r="J173" s="65">
        <f t="shared" si="15"/>
        <v>0</v>
      </c>
      <c r="K173" s="49">
        <f t="shared" si="17"/>
        <v>1289</v>
      </c>
      <c r="L173" s="52">
        <f t="shared" si="16"/>
        <v>0.30472813238770685</v>
      </c>
      <c r="M173" s="53"/>
    </row>
    <row r="174" spans="1:13" ht="15" customHeight="1">
      <c r="A174" s="55">
        <v>46266</v>
      </c>
      <c r="B174" s="44">
        <f>SUMPRODUCT(((ISNUMBER('GRT Central'!L6:L1135))*('GRT Central'!L6:L1135=A174))*(('GRT Central'!K6:K1135="INSTALADO - OPERANDO")+('GRT Central'!K6:K1135="INSTALADO - SIN SEÑAL")&gt;0))</f>
        <v>0</v>
      </c>
      <c r="C174" s="44">
        <f>SUMPRODUCT(((ISNUMBER('GRT Occidente'!L6:L784))*('GRT Occidente'!L6:L784=A174))*(('GRT Occidente'!K6:K784="INSTALADO - OPERANDO")+('GRT Occidente'!K6:K784="INSTALADO - SIN SEÑAL")&gt;0))</f>
        <v>0</v>
      </c>
      <c r="D174" s="44">
        <f>SUMPRODUCT(((ISNUMBER('GRT Oriente'!L6:L400))*('GRT Oriente'!L6:L400=A174))*(('GRT Oriente'!K6:K400="INSTALADO - OPERANDO")+('GRT Oriente'!K6:K400="INSTALADO - SIN SEÑAL")&gt;0))</f>
        <v>0</v>
      </c>
      <c r="E174" s="44">
        <f>SUMPRODUCT(((ISNUMBER('GRT Valle de México'!L6:L740))*('GRT Valle de México'!L6:L740=A174))*(('GRT Valle de México'!K6:K740="INSTALADO - OPERANDO")+('GRT Valle de México'!K6:K740="INSTALADO - SIN SEÑAL")&gt;0))</f>
        <v>0</v>
      </c>
      <c r="F174" s="44">
        <f>SUMPRODUCT(((ISNUMBER('GRT Noroeste'!L6:L372))*('GRT Noroeste'!L6:L372=A174))*(('GRT Noroeste'!K6:K372="INSTALADO - OPERANDO")+('GRT Noroeste'!K6:K372="INSTALADO - SIN SEÑAL")&gt;0))</f>
        <v>0</v>
      </c>
      <c r="G174" s="44">
        <f>SUMPRODUCT(((ISNUMBER('GRT Norte'!L6:L296))*('GRT Norte'!L6:L296=A174))*(('GRT Norte'!K6:K296="INSTALADO - OPERANDO")+('GRT Norte'!K6:K296="INSTALADO - SIN SEÑAL")&gt;0))</f>
        <v>0</v>
      </c>
      <c r="H174" s="44">
        <f>SUMPRODUCT(((ISNUMBER('GRT Noreste'!L6:L262))*('GRT Noreste'!L6:L262=A174))*(('GRT Noreste'!K6:K262="INSTALADO - OPERANDO")+('GRT Noreste'!K6:K262="INSTALADO - SIN SEÑAL")&gt;0))</f>
        <v>0</v>
      </c>
      <c r="I174" s="44">
        <f>SUMPRODUCT(((ISNUMBER('GRT Baja California'!L6:L281))*('GRT Baja California'!L6:L281=A174))*(('GRT Baja California'!K6:K281="INSTALADO - OPERANDO")+('GRT Baja California'!K6:K281="INSTALADO - SIN SEÑAL")&gt;0))</f>
        <v>0</v>
      </c>
      <c r="J174" s="64">
        <f t="shared" si="15"/>
        <v>0</v>
      </c>
      <c r="K174" s="54">
        <f t="shared" si="17"/>
        <v>1289</v>
      </c>
      <c r="L174" s="57">
        <f t="shared" si="16"/>
        <v>0.30472813238770685</v>
      </c>
      <c r="M174" s="58"/>
    </row>
    <row r="175" spans="1:13" ht="15" customHeight="1">
      <c r="A175" s="50">
        <v>46267</v>
      </c>
      <c r="B175" s="41">
        <f>SUMPRODUCT(((ISNUMBER('GRT Central'!L6:L1135))*('GRT Central'!L6:L1135=A175))*(('GRT Central'!K6:K1135="INSTALADO - OPERANDO")+('GRT Central'!K6:K1135="INSTALADO - SIN SEÑAL")&gt;0))</f>
        <v>0</v>
      </c>
      <c r="C175" s="41">
        <f>SUMPRODUCT(((ISNUMBER('GRT Occidente'!L6:L784))*('GRT Occidente'!L6:L784=A175))*(('GRT Occidente'!K6:K784="INSTALADO - OPERANDO")+('GRT Occidente'!K6:K784="INSTALADO - SIN SEÑAL")&gt;0))</f>
        <v>0</v>
      </c>
      <c r="D175" s="41">
        <f>SUMPRODUCT(((ISNUMBER('GRT Oriente'!L6:L400))*('GRT Oriente'!L6:L400=A175))*(('GRT Oriente'!K6:K400="INSTALADO - OPERANDO")+('GRT Oriente'!K6:K400="INSTALADO - SIN SEÑAL")&gt;0))</f>
        <v>0</v>
      </c>
      <c r="E175" s="41">
        <f>SUMPRODUCT(((ISNUMBER('GRT Valle de México'!L6:L740))*('GRT Valle de México'!L6:L740=A175))*(('GRT Valle de México'!K6:K740="INSTALADO - OPERANDO")+('GRT Valle de México'!K6:K740="INSTALADO - SIN SEÑAL")&gt;0))</f>
        <v>0</v>
      </c>
      <c r="F175" s="41">
        <f>SUMPRODUCT(((ISNUMBER('GRT Noroeste'!L6:L372))*('GRT Noroeste'!L6:L372=A175))*(('GRT Noroeste'!K6:K372="INSTALADO - OPERANDO")+('GRT Noroeste'!K6:K372="INSTALADO - SIN SEÑAL")&gt;0))</f>
        <v>0</v>
      </c>
      <c r="G175" s="41">
        <f>SUMPRODUCT(((ISNUMBER('GRT Norte'!L6:L296))*('GRT Norte'!L6:L296=A175))*(('GRT Norte'!K6:K296="INSTALADO - OPERANDO")+('GRT Norte'!K6:K296="INSTALADO - SIN SEÑAL")&gt;0))</f>
        <v>0</v>
      </c>
      <c r="H175" s="41">
        <f>SUMPRODUCT(((ISNUMBER('GRT Noreste'!L6:L262))*('GRT Noreste'!L6:L262=A175))*(('GRT Noreste'!K6:K262="INSTALADO - OPERANDO")+('GRT Noreste'!K6:K262="INSTALADO - SIN SEÑAL")&gt;0))</f>
        <v>0</v>
      </c>
      <c r="I175" s="41">
        <f>SUMPRODUCT(((ISNUMBER('GRT Baja California'!L6:L281))*('GRT Baja California'!L6:L281=A175))*(('GRT Baja California'!K6:K281="INSTALADO - OPERANDO")+('GRT Baja California'!K6:K281="INSTALADO - SIN SEÑAL")&gt;0))</f>
        <v>0</v>
      </c>
      <c r="J175" s="65">
        <f t="shared" si="15"/>
        <v>0</v>
      </c>
      <c r="K175" s="49">
        <f t="shared" si="17"/>
        <v>1289</v>
      </c>
      <c r="L175" s="52">
        <f t="shared" si="16"/>
        <v>0.30472813238770685</v>
      </c>
      <c r="M175" s="53"/>
    </row>
    <row r="176" spans="1:13" ht="15" customHeight="1">
      <c r="A176" s="55">
        <v>46268</v>
      </c>
      <c r="B176" s="44">
        <f>SUMPRODUCT(((ISNUMBER('GRT Central'!L6:L1135))*('GRT Central'!L6:L1135=A176))*(('GRT Central'!K6:K1135="INSTALADO - OPERANDO")+('GRT Central'!K6:K1135="INSTALADO - SIN SEÑAL")&gt;0))</f>
        <v>0</v>
      </c>
      <c r="C176" s="44">
        <f>SUMPRODUCT(((ISNUMBER('GRT Occidente'!L6:L784))*('GRT Occidente'!L6:L784=A176))*(('GRT Occidente'!K6:K784="INSTALADO - OPERANDO")+('GRT Occidente'!K6:K784="INSTALADO - SIN SEÑAL")&gt;0))</f>
        <v>0</v>
      </c>
      <c r="D176" s="44">
        <f>SUMPRODUCT(((ISNUMBER('GRT Oriente'!L6:L400))*('GRT Oriente'!L6:L400=A176))*(('GRT Oriente'!K6:K400="INSTALADO - OPERANDO")+('GRT Oriente'!K6:K400="INSTALADO - SIN SEÑAL")&gt;0))</f>
        <v>0</v>
      </c>
      <c r="E176" s="44">
        <f>SUMPRODUCT(((ISNUMBER('GRT Valle de México'!L6:L740))*('GRT Valle de México'!L6:L740=A176))*(('GRT Valle de México'!K6:K740="INSTALADO - OPERANDO")+('GRT Valle de México'!K6:K740="INSTALADO - SIN SEÑAL")&gt;0))</f>
        <v>0</v>
      </c>
      <c r="F176" s="44">
        <f>SUMPRODUCT(((ISNUMBER('GRT Noroeste'!L6:L372))*('GRT Noroeste'!L6:L372=A176))*(('GRT Noroeste'!K6:K372="INSTALADO - OPERANDO")+('GRT Noroeste'!K6:K372="INSTALADO - SIN SEÑAL")&gt;0))</f>
        <v>0</v>
      </c>
      <c r="G176" s="44">
        <f>SUMPRODUCT(((ISNUMBER('GRT Norte'!L6:L296))*('GRT Norte'!L6:L296=A176))*(('GRT Norte'!K6:K296="INSTALADO - OPERANDO")+('GRT Norte'!K6:K296="INSTALADO - SIN SEÑAL")&gt;0))</f>
        <v>0</v>
      </c>
      <c r="H176" s="44">
        <f>SUMPRODUCT(((ISNUMBER('GRT Noreste'!L6:L262))*('GRT Noreste'!L6:L262=A176))*(('GRT Noreste'!K6:K262="INSTALADO - OPERANDO")+('GRT Noreste'!K6:K262="INSTALADO - SIN SEÑAL")&gt;0))</f>
        <v>0</v>
      </c>
      <c r="I176" s="44">
        <f>SUMPRODUCT(((ISNUMBER('GRT Baja California'!L6:L281))*('GRT Baja California'!L6:L281=A176))*(('GRT Baja California'!K6:K281="INSTALADO - OPERANDO")+('GRT Baja California'!K6:K281="INSTALADO - SIN SEÑAL")&gt;0))</f>
        <v>0</v>
      </c>
      <c r="J176" s="64">
        <f t="shared" si="15"/>
        <v>0</v>
      </c>
      <c r="K176" s="54">
        <f t="shared" si="17"/>
        <v>1289</v>
      </c>
      <c r="L176" s="57">
        <f t="shared" si="16"/>
        <v>0.30472813238770685</v>
      </c>
      <c r="M176" s="58"/>
    </row>
    <row r="177" spans="1:13" ht="15" customHeight="1">
      <c r="A177" s="50">
        <v>46269</v>
      </c>
      <c r="B177" s="41">
        <f>SUMPRODUCT(((ISNUMBER('GRT Central'!L6:L1135))*('GRT Central'!L6:L1135=A177))*(('GRT Central'!K6:K1135="INSTALADO - OPERANDO")+('GRT Central'!K6:K1135="INSTALADO - SIN SEÑAL")&gt;0))</f>
        <v>0</v>
      </c>
      <c r="C177" s="41">
        <f>SUMPRODUCT(((ISNUMBER('GRT Occidente'!L6:L784))*('GRT Occidente'!L6:L784=A177))*(('GRT Occidente'!K6:K784="INSTALADO - OPERANDO")+('GRT Occidente'!K6:K784="INSTALADO - SIN SEÑAL")&gt;0))</f>
        <v>0</v>
      </c>
      <c r="D177" s="41">
        <f>SUMPRODUCT(((ISNUMBER('GRT Oriente'!L6:L400))*('GRT Oriente'!L6:L400=A177))*(('GRT Oriente'!K6:K400="INSTALADO - OPERANDO")+('GRT Oriente'!K6:K400="INSTALADO - SIN SEÑAL")&gt;0))</f>
        <v>0</v>
      </c>
      <c r="E177" s="41">
        <f>SUMPRODUCT(((ISNUMBER('GRT Valle de México'!L6:L740))*('GRT Valle de México'!L6:L740=A177))*(('GRT Valle de México'!K6:K740="INSTALADO - OPERANDO")+('GRT Valle de México'!K6:K740="INSTALADO - SIN SEÑAL")&gt;0))</f>
        <v>0</v>
      </c>
      <c r="F177" s="41">
        <f>SUMPRODUCT(((ISNUMBER('GRT Noroeste'!L6:L372))*('GRT Noroeste'!L6:L372=A177))*(('GRT Noroeste'!K6:K372="INSTALADO - OPERANDO")+('GRT Noroeste'!K6:K372="INSTALADO - SIN SEÑAL")&gt;0))</f>
        <v>0</v>
      </c>
      <c r="G177" s="41">
        <f>SUMPRODUCT(((ISNUMBER('GRT Norte'!L6:L296))*('GRT Norte'!L6:L296=A177))*(('GRT Norte'!K6:K296="INSTALADO - OPERANDO")+('GRT Norte'!K6:K296="INSTALADO - SIN SEÑAL")&gt;0))</f>
        <v>0</v>
      </c>
      <c r="H177" s="41">
        <f>SUMPRODUCT(((ISNUMBER('GRT Noreste'!L6:L262))*('GRT Noreste'!L6:L262=A177))*(('GRT Noreste'!K6:K262="INSTALADO - OPERANDO")+('GRT Noreste'!K6:K262="INSTALADO - SIN SEÑAL")&gt;0))</f>
        <v>0</v>
      </c>
      <c r="I177" s="41">
        <f>SUMPRODUCT(((ISNUMBER('GRT Baja California'!L6:L281))*('GRT Baja California'!L6:L281=A177))*(('GRT Baja California'!K6:K281="INSTALADO - OPERANDO")+('GRT Baja California'!K6:K281="INSTALADO - SIN SEÑAL")&gt;0))</f>
        <v>0</v>
      </c>
      <c r="J177" s="65">
        <f t="shared" si="15"/>
        <v>0</v>
      </c>
      <c r="K177" s="49">
        <f t="shared" si="17"/>
        <v>1289</v>
      </c>
      <c r="L177" s="52">
        <f t="shared" si="16"/>
        <v>0.30472813238770685</v>
      </c>
      <c r="M177" s="53"/>
    </row>
    <row r="178" spans="1:13" ht="15" customHeight="1">
      <c r="A178" s="55">
        <v>46270</v>
      </c>
      <c r="B178" s="44">
        <f>SUMPRODUCT(((ISNUMBER('GRT Central'!L6:L1135))*('GRT Central'!L6:L1135=A178))*(('GRT Central'!K6:K1135="INSTALADO - OPERANDO")+('GRT Central'!K6:K1135="INSTALADO - SIN SEÑAL")&gt;0))</f>
        <v>0</v>
      </c>
      <c r="C178" s="44">
        <f>SUMPRODUCT(((ISNUMBER('GRT Occidente'!L6:L784))*('GRT Occidente'!L6:L784=A178))*(('GRT Occidente'!K6:K784="INSTALADO - OPERANDO")+('GRT Occidente'!K6:K784="INSTALADO - SIN SEÑAL")&gt;0))</f>
        <v>0</v>
      </c>
      <c r="D178" s="44">
        <f>SUMPRODUCT(((ISNUMBER('GRT Oriente'!L6:L400))*('GRT Oriente'!L6:L400=A178))*(('GRT Oriente'!K6:K400="INSTALADO - OPERANDO")+('GRT Oriente'!K6:K400="INSTALADO - SIN SEÑAL")&gt;0))</f>
        <v>0</v>
      </c>
      <c r="E178" s="44">
        <f>SUMPRODUCT(((ISNUMBER('GRT Valle de México'!L6:L740))*('GRT Valle de México'!L6:L740=A178))*(('GRT Valle de México'!K6:K740="INSTALADO - OPERANDO")+('GRT Valle de México'!K6:K740="INSTALADO - SIN SEÑAL")&gt;0))</f>
        <v>0</v>
      </c>
      <c r="F178" s="44">
        <f>SUMPRODUCT(((ISNUMBER('GRT Noroeste'!L6:L372))*('GRT Noroeste'!L6:L372=A178))*(('GRT Noroeste'!K6:K372="INSTALADO - OPERANDO")+('GRT Noroeste'!K6:K372="INSTALADO - SIN SEÑAL")&gt;0))</f>
        <v>0</v>
      </c>
      <c r="G178" s="44">
        <f>SUMPRODUCT(((ISNUMBER('GRT Norte'!L6:L296))*('GRT Norte'!L6:L296=A178))*(('GRT Norte'!K6:K296="INSTALADO - OPERANDO")+('GRT Norte'!K6:K296="INSTALADO - SIN SEÑAL")&gt;0))</f>
        <v>0</v>
      </c>
      <c r="H178" s="44">
        <f>SUMPRODUCT(((ISNUMBER('GRT Noreste'!L6:L262))*('GRT Noreste'!L6:L262=A178))*(('GRT Noreste'!K6:K262="INSTALADO - OPERANDO")+('GRT Noreste'!K6:K262="INSTALADO - SIN SEÑAL")&gt;0))</f>
        <v>0</v>
      </c>
      <c r="I178" s="44">
        <f>SUMPRODUCT(((ISNUMBER('GRT Baja California'!L6:L281))*('GRT Baja California'!L6:L281=A178))*(('GRT Baja California'!K6:K281="INSTALADO - OPERANDO")+('GRT Baja California'!K6:K281="INSTALADO - SIN SEÑAL")&gt;0))</f>
        <v>0</v>
      </c>
      <c r="J178" s="64">
        <f t="shared" si="15"/>
        <v>0</v>
      </c>
      <c r="K178" s="54">
        <f t="shared" si="17"/>
        <v>1289</v>
      </c>
      <c r="L178" s="57">
        <f t="shared" si="16"/>
        <v>0.30472813238770685</v>
      </c>
      <c r="M178" s="58"/>
    </row>
    <row r="179" spans="1:13" ht="15" customHeight="1">
      <c r="A179" s="50">
        <v>46271</v>
      </c>
      <c r="B179" s="41">
        <f>SUMPRODUCT(((ISNUMBER('GRT Central'!L6:L1135))*('GRT Central'!L6:L1135=A179))*(('GRT Central'!K6:K1135="INSTALADO - OPERANDO")+('GRT Central'!K6:K1135="INSTALADO - SIN SEÑAL")&gt;0))</f>
        <v>0</v>
      </c>
      <c r="C179" s="41">
        <f>SUMPRODUCT(((ISNUMBER('GRT Occidente'!L6:L784))*('GRT Occidente'!L6:L784=A179))*(('GRT Occidente'!K6:K784="INSTALADO - OPERANDO")+('GRT Occidente'!K6:K784="INSTALADO - SIN SEÑAL")&gt;0))</f>
        <v>0</v>
      </c>
      <c r="D179" s="41">
        <f>SUMPRODUCT(((ISNUMBER('GRT Oriente'!L6:L400))*('GRT Oriente'!L6:L400=A179))*(('GRT Oriente'!K6:K400="INSTALADO - OPERANDO")+('GRT Oriente'!K6:K400="INSTALADO - SIN SEÑAL")&gt;0))</f>
        <v>0</v>
      </c>
      <c r="E179" s="41">
        <f>SUMPRODUCT(((ISNUMBER('GRT Valle de México'!L6:L740))*('GRT Valle de México'!L6:L740=A179))*(('GRT Valle de México'!K6:K740="INSTALADO - OPERANDO")+('GRT Valle de México'!K6:K740="INSTALADO - SIN SEÑAL")&gt;0))</f>
        <v>0</v>
      </c>
      <c r="F179" s="41">
        <f>SUMPRODUCT(((ISNUMBER('GRT Noroeste'!L6:L372))*('GRT Noroeste'!L6:L372=A179))*(('GRT Noroeste'!K6:K372="INSTALADO - OPERANDO")+('GRT Noroeste'!K6:K372="INSTALADO - SIN SEÑAL")&gt;0))</f>
        <v>0</v>
      </c>
      <c r="G179" s="41">
        <f>SUMPRODUCT(((ISNUMBER('GRT Norte'!L6:L296))*('GRT Norte'!L6:L296=A179))*(('GRT Norte'!K6:K296="INSTALADO - OPERANDO")+('GRT Norte'!K6:K296="INSTALADO - SIN SEÑAL")&gt;0))</f>
        <v>0</v>
      </c>
      <c r="H179" s="41">
        <f>SUMPRODUCT(((ISNUMBER('GRT Noreste'!L6:L262))*('GRT Noreste'!L6:L262=A179))*(('GRT Noreste'!K6:K262="INSTALADO - OPERANDO")+('GRT Noreste'!K6:K262="INSTALADO - SIN SEÑAL")&gt;0))</f>
        <v>0</v>
      </c>
      <c r="I179" s="41">
        <f>SUMPRODUCT(((ISNUMBER('GRT Baja California'!L6:L281))*('GRT Baja California'!L6:L281=A179))*(('GRT Baja California'!K6:K281="INSTALADO - OPERANDO")+('GRT Baja California'!K6:K281="INSTALADO - SIN SEÑAL")&gt;0))</f>
        <v>0</v>
      </c>
      <c r="J179" s="65">
        <f t="shared" si="15"/>
        <v>0</v>
      </c>
      <c r="K179" s="49">
        <f t="shared" si="17"/>
        <v>1289</v>
      </c>
      <c r="L179" s="52">
        <f t="shared" si="16"/>
        <v>0.30472813238770685</v>
      </c>
      <c r="M179" s="53"/>
    </row>
    <row r="180" spans="1:13" ht="15" customHeight="1">
      <c r="A180" s="55">
        <v>46272</v>
      </c>
      <c r="B180" s="44">
        <f>SUMPRODUCT(((ISNUMBER('GRT Central'!L6:L1135))*('GRT Central'!L6:L1135=A180))*(('GRT Central'!K6:K1135="INSTALADO - OPERANDO")+('GRT Central'!K6:K1135="INSTALADO - SIN SEÑAL")&gt;0))</f>
        <v>0</v>
      </c>
      <c r="C180" s="44">
        <f>SUMPRODUCT(((ISNUMBER('GRT Occidente'!L6:L784))*('GRT Occidente'!L6:L784=A180))*(('GRT Occidente'!K6:K784="INSTALADO - OPERANDO")+('GRT Occidente'!K6:K784="INSTALADO - SIN SEÑAL")&gt;0))</f>
        <v>0</v>
      </c>
      <c r="D180" s="44">
        <f>SUMPRODUCT(((ISNUMBER('GRT Oriente'!L6:L400))*('GRT Oriente'!L6:L400=A180))*(('GRT Oriente'!K6:K400="INSTALADO - OPERANDO")+('GRT Oriente'!K6:K400="INSTALADO - SIN SEÑAL")&gt;0))</f>
        <v>0</v>
      </c>
      <c r="E180" s="44">
        <f>SUMPRODUCT(((ISNUMBER('GRT Valle de México'!L6:L740))*('GRT Valle de México'!L6:L740=A180))*(('GRT Valle de México'!K6:K740="INSTALADO - OPERANDO")+('GRT Valle de México'!K6:K740="INSTALADO - SIN SEÑAL")&gt;0))</f>
        <v>0</v>
      </c>
      <c r="F180" s="44">
        <f>SUMPRODUCT(((ISNUMBER('GRT Noroeste'!L6:L372))*('GRT Noroeste'!L6:L372=A180))*(('GRT Noroeste'!K6:K372="INSTALADO - OPERANDO")+('GRT Noroeste'!K6:K372="INSTALADO - SIN SEÑAL")&gt;0))</f>
        <v>0</v>
      </c>
      <c r="G180" s="44">
        <f>SUMPRODUCT(((ISNUMBER('GRT Norte'!L6:L296))*('GRT Norte'!L6:L296=A180))*(('GRT Norte'!K6:K296="INSTALADO - OPERANDO")+('GRT Norte'!K6:K296="INSTALADO - SIN SEÑAL")&gt;0))</f>
        <v>0</v>
      </c>
      <c r="H180" s="44">
        <f>SUMPRODUCT(((ISNUMBER('GRT Noreste'!L6:L262))*('GRT Noreste'!L6:L262=A180))*(('GRT Noreste'!K6:K262="INSTALADO - OPERANDO")+('GRT Noreste'!K6:K262="INSTALADO - SIN SEÑAL")&gt;0))</f>
        <v>0</v>
      </c>
      <c r="I180" s="44">
        <f>SUMPRODUCT(((ISNUMBER('GRT Baja California'!L6:L281))*('GRT Baja California'!L6:L281=A180))*(('GRT Baja California'!K6:K281="INSTALADO - OPERANDO")+('GRT Baja California'!K6:K281="INSTALADO - SIN SEÑAL")&gt;0))</f>
        <v>0</v>
      </c>
      <c r="J180" s="64">
        <f t="shared" si="15"/>
        <v>0</v>
      </c>
      <c r="K180" s="54">
        <f t="shared" si="17"/>
        <v>1289</v>
      </c>
      <c r="L180" s="57">
        <f t="shared" si="16"/>
        <v>0.30472813238770685</v>
      </c>
      <c r="M180" s="58"/>
    </row>
    <row r="181" spans="1:13" ht="15" customHeight="1">
      <c r="A181" s="50">
        <v>46273</v>
      </c>
      <c r="B181" s="41">
        <f>SUMPRODUCT(((ISNUMBER('GRT Central'!L6:L1135))*('GRT Central'!L6:L1135=A181))*(('GRT Central'!K6:K1135="INSTALADO - OPERANDO")+('GRT Central'!K6:K1135="INSTALADO - SIN SEÑAL")&gt;0))</f>
        <v>0</v>
      </c>
      <c r="C181" s="41">
        <f>SUMPRODUCT(((ISNUMBER('GRT Occidente'!L6:L784))*('GRT Occidente'!L6:L784=A181))*(('GRT Occidente'!K6:K784="INSTALADO - OPERANDO")+('GRT Occidente'!K6:K784="INSTALADO - SIN SEÑAL")&gt;0))</f>
        <v>0</v>
      </c>
      <c r="D181" s="41">
        <f>SUMPRODUCT(((ISNUMBER('GRT Oriente'!L6:L400))*('GRT Oriente'!L6:L400=A181))*(('GRT Oriente'!K6:K400="INSTALADO - OPERANDO")+('GRT Oriente'!K6:K400="INSTALADO - SIN SEÑAL")&gt;0))</f>
        <v>0</v>
      </c>
      <c r="E181" s="41">
        <f>SUMPRODUCT(((ISNUMBER('GRT Valle de México'!L6:L740))*('GRT Valle de México'!L6:L740=A181))*(('GRT Valle de México'!K6:K740="INSTALADO - OPERANDO")+('GRT Valle de México'!K6:K740="INSTALADO - SIN SEÑAL")&gt;0))</f>
        <v>0</v>
      </c>
      <c r="F181" s="41">
        <f>SUMPRODUCT(((ISNUMBER('GRT Noroeste'!L6:L372))*('GRT Noroeste'!L6:L372=A181))*(('GRT Noroeste'!K6:K372="INSTALADO - OPERANDO")+('GRT Noroeste'!K6:K372="INSTALADO - SIN SEÑAL")&gt;0))</f>
        <v>0</v>
      </c>
      <c r="G181" s="41">
        <f>SUMPRODUCT(((ISNUMBER('GRT Norte'!L6:L296))*('GRT Norte'!L6:L296=A181))*(('GRT Norte'!K6:K296="INSTALADO - OPERANDO")+('GRT Norte'!K6:K296="INSTALADO - SIN SEÑAL")&gt;0))</f>
        <v>0</v>
      </c>
      <c r="H181" s="41">
        <f>SUMPRODUCT(((ISNUMBER('GRT Noreste'!L6:L262))*('GRT Noreste'!L6:L262=A181))*(('GRT Noreste'!K6:K262="INSTALADO - OPERANDO")+('GRT Noreste'!K6:K262="INSTALADO - SIN SEÑAL")&gt;0))</f>
        <v>0</v>
      </c>
      <c r="I181" s="41">
        <f>SUMPRODUCT(((ISNUMBER('GRT Baja California'!L6:L281))*('GRT Baja California'!L6:L281=A181))*(('GRT Baja California'!K6:K281="INSTALADO - OPERANDO")+('GRT Baja California'!K6:K281="INSTALADO - SIN SEÑAL")&gt;0))</f>
        <v>0</v>
      </c>
      <c r="J181" s="65">
        <f t="shared" si="15"/>
        <v>0</v>
      </c>
      <c r="K181" s="49">
        <f t="shared" si="17"/>
        <v>1289</v>
      </c>
      <c r="L181" s="52">
        <f t="shared" si="16"/>
        <v>0.30472813238770685</v>
      </c>
      <c r="M181" s="53"/>
    </row>
    <row r="182" spans="1:13" ht="15" customHeight="1">
      <c r="A182" s="55">
        <v>46274</v>
      </c>
      <c r="B182" s="44">
        <f>SUMPRODUCT(((ISNUMBER('GRT Central'!L6:L1135))*('GRT Central'!L6:L1135=A182))*(('GRT Central'!K6:K1135="INSTALADO - OPERANDO")+('GRT Central'!K6:K1135="INSTALADO - SIN SEÑAL")&gt;0))</f>
        <v>0</v>
      </c>
      <c r="C182" s="44">
        <f>SUMPRODUCT(((ISNUMBER('GRT Occidente'!L6:L784))*('GRT Occidente'!L6:L784=A182))*(('GRT Occidente'!K6:K784="INSTALADO - OPERANDO")+('GRT Occidente'!K6:K784="INSTALADO - SIN SEÑAL")&gt;0))</f>
        <v>0</v>
      </c>
      <c r="D182" s="44">
        <f>SUMPRODUCT(((ISNUMBER('GRT Oriente'!L6:L400))*('GRT Oriente'!L6:L400=A182))*(('GRT Oriente'!K6:K400="INSTALADO - OPERANDO")+('GRT Oriente'!K6:K400="INSTALADO - SIN SEÑAL")&gt;0))</f>
        <v>0</v>
      </c>
      <c r="E182" s="44">
        <f>SUMPRODUCT(((ISNUMBER('GRT Valle de México'!L6:L740))*('GRT Valle de México'!L6:L740=A182))*(('GRT Valle de México'!K6:K740="INSTALADO - OPERANDO")+('GRT Valle de México'!K6:K740="INSTALADO - SIN SEÑAL")&gt;0))</f>
        <v>0</v>
      </c>
      <c r="F182" s="44">
        <f>SUMPRODUCT(((ISNUMBER('GRT Noroeste'!L6:L372))*('GRT Noroeste'!L6:L372=A182))*(('GRT Noroeste'!K6:K372="INSTALADO - OPERANDO")+('GRT Noroeste'!K6:K372="INSTALADO - SIN SEÑAL")&gt;0))</f>
        <v>0</v>
      </c>
      <c r="G182" s="44">
        <f>SUMPRODUCT(((ISNUMBER('GRT Norte'!L6:L296))*('GRT Norte'!L6:L296=A182))*(('GRT Norte'!K6:K296="INSTALADO - OPERANDO")+('GRT Norte'!K6:K296="INSTALADO - SIN SEÑAL")&gt;0))</f>
        <v>0</v>
      </c>
      <c r="H182" s="44">
        <f>SUMPRODUCT(((ISNUMBER('GRT Noreste'!L6:L262))*('GRT Noreste'!L6:L262=A182))*(('GRT Noreste'!K6:K262="INSTALADO - OPERANDO")+('GRT Noreste'!K6:K262="INSTALADO - SIN SEÑAL")&gt;0))</f>
        <v>0</v>
      </c>
      <c r="I182" s="44">
        <f>SUMPRODUCT(((ISNUMBER('GRT Baja California'!L6:L281))*('GRT Baja California'!L6:L281=A182))*(('GRT Baja California'!K6:K281="INSTALADO - OPERANDO")+('GRT Baja California'!K6:K281="INSTALADO - SIN SEÑAL")&gt;0))</f>
        <v>0</v>
      </c>
      <c r="J182" s="64">
        <f t="shared" si="15"/>
        <v>0</v>
      </c>
      <c r="K182" s="54">
        <f t="shared" si="17"/>
        <v>1289</v>
      </c>
      <c r="L182" s="57">
        <f t="shared" si="16"/>
        <v>0.30472813238770685</v>
      </c>
      <c r="M182" s="58"/>
    </row>
    <row r="183" spans="1:13" ht="15" customHeight="1">
      <c r="A183" s="50">
        <v>46275</v>
      </c>
      <c r="B183" s="41">
        <f>SUMPRODUCT(((ISNUMBER('GRT Central'!L6:L1135))*('GRT Central'!L6:L1135=A183))*(('GRT Central'!K6:K1135="INSTALADO - OPERANDO")+('GRT Central'!K6:K1135="INSTALADO - SIN SEÑAL")&gt;0))</f>
        <v>0</v>
      </c>
      <c r="C183" s="41">
        <f>SUMPRODUCT(((ISNUMBER('GRT Occidente'!L6:L784))*('GRT Occidente'!L6:L784=A183))*(('GRT Occidente'!K6:K784="INSTALADO - OPERANDO")+('GRT Occidente'!K6:K784="INSTALADO - SIN SEÑAL")&gt;0))</f>
        <v>0</v>
      </c>
      <c r="D183" s="41">
        <f>SUMPRODUCT(((ISNUMBER('GRT Oriente'!L6:L400))*('GRT Oriente'!L6:L400=A183))*(('GRT Oriente'!K6:K400="INSTALADO - OPERANDO")+('GRT Oriente'!K6:K400="INSTALADO - SIN SEÑAL")&gt;0))</f>
        <v>0</v>
      </c>
      <c r="E183" s="41">
        <f>SUMPRODUCT(((ISNUMBER('GRT Valle de México'!L6:L740))*('GRT Valle de México'!L6:L740=A183))*(('GRT Valle de México'!K6:K740="INSTALADO - OPERANDO")+('GRT Valle de México'!K6:K740="INSTALADO - SIN SEÑAL")&gt;0))</f>
        <v>0</v>
      </c>
      <c r="F183" s="41">
        <f>SUMPRODUCT(((ISNUMBER('GRT Noroeste'!L6:L372))*('GRT Noroeste'!L6:L372=A183))*(('GRT Noroeste'!K6:K372="INSTALADO - OPERANDO")+('GRT Noroeste'!K6:K372="INSTALADO - SIN SEÑAL")&gt;0))</f>
        <v>0</v>
      </c>
      <c r="G183" s="41">
        <f>SUMPRODUCT(((ISNUMBER('GRT Norte'!L6:L296))*('GRT Norte'!L6:L296=A183))*(('GRT Norte'!K6:K296="INSTALADO - OPERANDO")+('GRT Norte'!K6:K296="INSTALADO - SIN SEÑAL")&gt;0))</f>
        <v>0</v>
      </c>
      <c r="H183" s="41">
        <f>SUMPRODUCT(((ISNUMBER('GRT Noreste'!L6:L262))*('GRT Noreste'!L6:L262=A183))*(('GRT Noreste'!K6:K262="INSTALADO - OPERANDO")+('GRT Noreste'!K6:K262="INSTALADO - SIN SEÑAL")&gt;0))</f>
        <v>0</v>
      </c>
      <c r="I183" s="41">
        <f>SUMPRODUCT(((ISNUMBER('GRT Baja California'!L6:L281))*('GRT Baja California'!L6:L281=A183))*(('GRT Baja California'!K6:K281="INSTALADO - OPERANDO")+('GRT Baja California'!K6:K281="INSTALADO - SIN SEÑAL")&gt;0))</f>
        <v>0</v>
      </c>
      <c r="J183" s="65">
        <f t="shared" si="15"/>
        <v>0</v>
      </c>
      <c r="K183" s="49">
        <f t="shared" si="17"/>
        <v>1289</v>
      </c>
      <c r="L183" s="52">
        <f t="shared" si="16"/>
        <v>0.30472813238770685</v>
      </c>
      <c r="M183" s="53"/>
    </row>
    <row r="184" spans="1:13" ht="15" customHeight="1">
      <c r="A184" s="55">
        <v>46276</v>
      </c>
      <c r="B184" s="44">
        <f>SUMPRODUCT(((ISNUMBER('GRT Central'!L6:L1135))*('GRT Central'!L6:L1135=A184))*(('GRT Central'!K6:K1135="INSTALADO - OPERANDO")+('GRT Central'!K6:K1135="INSTALADO - SIN SEÑAL")&gt;0))</f>
        <v>0</v>
      </c>
      <c r="C184" s="44">
        <f>SUMPRODUCT(((ISNUMBER('GRT Occidente'!L6:L784))*('GRT Occidente'!L6:L784=A184))*(('GRT Occidente'!K6:K784="INSTALADO - OPERANDO")+('GRT Occidente'!K6:K784="INSTALADO - SIN SEÑAL")&gt;0))</f>
        <v>0</v>
      </c>
      <c r="D184" s="44">
        <f>SUMPRODUCT(((ISNUMBER('GRT Oriente'!L6:L400))*('GRT Oriente'!L6:L400=A184))*(('GRT Oriente'!K6:K400="INSTALADO - OPERANDO")+('GRT Oriente'!K6:K400="INSTALADO - SIN SEÑAL")&gt;0))</f>
        <v>0</v>
      </c>
      <c r="E184" s="44">
        <f>SUMPRODUCT(((ISNUMBER('GRT Valle de México'!L6:L740))*('GRT Valle de México'!L6:L740=A184))*(('GRT Valle de México'!K6:K740="INSTALADO - OPERANDO")+('GRT Valle de México'!K6:K740="INSTALADO - SIN SEÑAL")&gt;0))</f>
        <v>0</v>
      </c>
      <c r="F184" s="44">
        <f>SUMPRODUCT(((ISNUMBER('GRT Noroeste'!L6:L372))*('GRT Noroeste'!L6:L372=A184))*(('GRT Noroeste'!K6:K372="INSTALADO - OPERANDO")+('GRT Noroeste'!K6:K372="INSTALADO - SIN SEÑAL")&gt;0))</f>
        <v>0</v>
      </c>
      <c r="G184" s="44">
        <f>SUMPRODUCT(((ISNUMBER('GRT Norte'!L6:L296))*('GRT Norte'!L6:L296=A184))*(('GRT Norte'!K6:K296="INSTALADO - OPERANDO")+('GRT Norte'!K6:K296="INSTALADO - SIN SEÑAL")&gt;0))</f>
        <v>0</v>
      </c>
      <c r="H184" s="44">
        <f>SUMPRODUCT(((ISNUMBER('GRT Noreste'!L6:L262))*('GRT Noreste'!L6:L262=A184))*(('GRT Noreste'!K6:K262="INSTALADO - OPERANDO")+('GRT Noreste'!K6:K262="INSTALADO - SIN SEÑAL")&gt;0))</f>
        <v>0</v>
      </c>
      <c r="I184" s="44">
        <f>SUMPRODUCT(((ISNUMBER('GRT Baja California'!L6:L281))*('GRT Baja California'!L6:L281=A184))*(('GRT Baja California'!K6:K281="INSTALADO - OPERANDO")+('GRT Baja California'!K6:K281="INSTALADO - SIN SEÑAL")&gt;0))</f>
        <v>0</v>
      </c>
      <c r="J184" s="64">
        <f t="shared" si="15"/>
        <v>0</v>
      </c>
      <c r="K184" s="54">
        <f t="shared" si="17"/>
        <v>1289</v>
      </c>
      <c r="L184" s="57">
        <f t="shared" si="16"/>
        <v>0.30472813238770685</v>
      </c>
      <c r="M184" s="58"/>
    </row>
    <row r="185" spans="1:13" ht="15" customHeight="1">
      <c r="A185" s="50">
        <v>46277</v>
      </c>
      <c r="B185" s="41">
        <f>SUMPRODUCT(((ISNUMBER('GRT Central'!L6:L1135))*('GRT Central'!L6:L1135=A185))*(('GRT Central'!K6:K1135="INSTALADO - OPERANDO")+('GRT Central'!K6:K1135="INSTALADO - SIN SEÑAL")&gt;0))</f>
        <v>0</v>
      </c>
      <c r="C185" s="41">
        <f>SUMPRODUCT(((ISNUMBER('GRT Occidente'!L6:L784))*('GRT Occidente'!L6:L784=A185))*(('GRT Occidente'!K6:K784="INSTALADO - OPERANDO")+('GRT Occidente'!K6:K784="INSTALADO - SIN SEÑAL")&gt;0))</f>
        <v>0</v>
      </c>
      <c r="D185" s="41">
        <f>SUMPRODUCT(((ISNUMBER('GRT Oriente'!L6:L400))*('GRT Oriente'!L6:L400=A185))*(('GRT Oriente'!K6:K400="INSTALADO - OPERANDO")+('GRT Oriente'!K6:K400="INSTALADO - SIN SEÑAL")&gt;0))</f>
        <v>0</v>
      </c>
      <c r="E185" s="41">
        <f>SUMPRODUCT(((ISNUMBER('GRT Valle de México'!L6:L740))*('GRT Valle de México'!L6:L740=A185))*(('GRT Valle de México'!K6:K740="INSTALADO - OPERANDO")+('GRT Valle de México'!K6:K740="INSTALADO - SIN SEÑAL")&gt;0))</f>
        <v>0</v>
      </c>
      <c r="F185" s="41">
        <f>SUMPRODUCT(((ISNUMBER('GRT Noroeste'!L6:L372))*('GRT Noroeste'!L6:L372=A185))*(('GRT Noroeste'!K6:K372="INSTALADO - OPERANDO")+('GRT Noroeste'!K6:K372="INSTALADO - SIN SEÑAL")&gt;0))</f>
        <v>0</v>
      </c>
      <c r="G185" s="41">
        <f>SUMPRODUCT(((ISNUMBER('GRT Norte'!L6:L296))*('GRT Norte'!L6:L296=A185))*(('GRT Norte'!K6:K296="INSTALADO - OPERANDO")+('GRT Norte'!K6:K296="INSTALADO - SIN SEÑAL")&gt;0))</f>
        <v>0</v>
      </c>
      <c r="H185" s="41">
        <f>SUMPRODUCT(((ISNUMBER('GRT Noreste'!L6:L262))*('GRT Noreste'!L6:L262=A185))*(('GRT Noreste'!K6:K262="INSTALADO - OPERANDO")+('GRT Noreste'!K6:K262="INSTALADO - SIN SEÑAL")&gt;0))</f>
        <v>0</v>
      </c>
      <c r="I185" s="41">
        <f>SUMPRODUCT(((ISNUMBER('GRT Baja California'!L6:L281))*('GRT Baja California'!L6:L281=A185))*(('GRT Baja California'!K6:K281="INSTALADO - OPERANDO")+('GRT Baja California'!K6:K281="INSTALADO - SIN SEÑAL")&gt;0))</f>
        <v>0</v>
      </c>
      <c r="J185" s="65">
        <f t="shared" si="15"/>
        <v>0</v>
      </c>
      <c r="K185" s="49">
        <f t="shared" si="17"/>
        <v>1289</v>
      </c>
      <c r="L185" s="52">
        <f t="shared" si="16"/>
        <v>0.30472813238770685</v>
      </c>
      <c r="M185" s="53"/>
    </row>
    <row r="186" spans="1:13" ht="15" customHeight="1">
      <c r="A186" s="55">
        <v>46278</v>
      </c>
      <c r="B186" s="44">
        <f>SUMPRODUCT(((ISNUMBER('GRT Central'!L6:L1135))*('GRT Central'!L6:L1135=A186))*(('GRT Central'!K6:K1135="INSTALADO - OPERANDO")+('GRT Central'!K6:K1135="INSTALADO - SIN SEÑAL")&gt;0))</f>
        <v>0</v>
      </c>
      <c r="C186" s="44">
        <f>SUMPRODUCT(((ISNUMBER('GRT Occidente'!L6:L784))*('GRT Occidente'!L6:L784=A186))*(('GRT Occidente'!K6:K784="INSTALADO - OPERANDO")+('GRT Occidente'!K6:K784="INSTALADO - SIN SEÑAL")&gt;0))</f>
        <v>0</v>
      </c>
      <c r="D186" s="44">
        <f>SUMPRODUCT(((ISNUMBER('GRT Oriente'!L6:L400))*('GRT Oriente'!L6:L400=A186))*(('GRT Oriente'!K6:K400="INSTALADO - OPERANDO")+('GRT Oriente'!K6:K400="INSTALADO - SIN SEÑAL")&gt;0))</f>
        <v>0</v>
      </c>
      <c r="E186" s="44">
        <f>SUMPRODUCT(((ISNUMBER('GRT Valle de México'!L6:L740))*('GRT Valle de México'!L6:L740=A186))*(('GRT Valle de México'!K6:K740="INSTALADO - OPERANDO")+('GRT Valle de México'!K6:K740="INSTALADO - SIN SEÑAL")&gt;0))</f>
        <v>0</v>
      </c>
      <c r="F186" s="44">
        <f>SUMPRODUCT(((ISNUMBER('GRT Noroeste'!L6:L372))*('GRT Noroeste'!L6:L372=A186))*(('GRT Noroeste'!K6:K372="INSTALADO - OPERANDO")+('GRT Noroeste'!K6:K372="INSTALADO - SIN SEÑAL")&gt;0))</f>
        <v>0</v>
      </c>
      <c r="G186" s="44">
        <f>SUMPRODUCT(((ISNUMBER('GRT Norte'!L6:L296))*('GRT Norte'!L6:L296=A186))*(('GRT Norte'!K6:K296="INSTALADO - OPERANDO")+('GRT Norte'!K6:K296="INSTALADO - SIN SEÑAL")&gt;0))</f>
        <v>0</v>
      </c>
      <c r="H186" s="44">
        <f>SUMPRODUCT(((ISNUMBER('GRT Noreste'!L6:L262))*('GRT Noreste'!L6:L262=A186))*(('GRT Noreste'!K6:K262="INSTALADO - OPERANDO")+('GRT Noreste'!K6:K262="INSTALADO - SIN SEÑAL")&gt;0))</f>
        <v>0</v>
      </c>
      <c r="I186" s="44">
        <f>SUMPRODUCT(((ISNUMBER('GRT Baja California'!L6:L281))*('GRT Baja California'!L6:L281=A186))*(('GRT Baja California'!K6:K281="INSTALADO - OPERANDO")+('GRT Baja California'!K6:K281="INSTALADO - SIN SEÑAL")&gt;0))</f>
        <v>0</v>
      </c>
      <c r="J186" s="64">
        <f t="shared" si="15"/>
        <v>0</v>
      </c>
      <c r="K186" s="54">
        <f t="shared" si="17"/>
        <v>1289</v>
      </c>
      <c r="L186" s="57">
        <f t="shared" si="16"/>
        <v>0.30472813238770685</v>
      </c>
      <c r="M186" s="58"/>
    </row>
    <row r="187" spans="1:13" ht="15" customHeight="1">
      <c r="A187" s="50">
        <v>46279</v>
      </c>
      <c r="B187" s="41">
        <f>SUMPRODUCT(((ISNUMBER('GRT Central'!L6:L1135))*('GRT Central'!L6:L1135=A187))*(('GRT Central'!K6:K1135="INSTALADO - OPERANDO")+('GRT Central'!K6:K1135="INSTALADO - SIN SEÑAL")&gt;0))</f>
        <v>0</v>
      </c>
      <c r="C187" s="41">
        <f>SUMPRODUCT(((ISNUMBER('GRT Occidente'!L6:L784))*('GRT Occidente'!L6:L784=A187))*(('GRT Occidente'!K6:K784="INSTALADO - OPERANDO")+('GRT Occidente'!K6:K784="INSTALADO - SIN SEÑAL")&gt;0))</f>
        <v>0</v>
      </c>
      <c r="D187" s="41">
        <f>SUMPRODUCT(((ISNUMBER('GRT Oriente'!L6:L400))*('GRT Oriente'!L6:L400=A187))*(('GRT Oriente'!K6:K400="INSTALADO - OPERANDO")+('GRT Oriente'!K6:K400="INSTALADO - SIN SEÑAL")&gt;0))</f>
        <v>0</v>
      </c>
      <c r="E187" s="41">
        <f>SUMPRODUCT(((ISNUMBER('GRT Valle de México'!L6:L740))*('GRT Valle de México'!L6:L740=A187))*(('GRT Valle de México'!K6:K740="INSTALADO - OPERANDO")+('GRT Valle de México'!K6:K740="INSTALADO - SIN SEÑAL")&gt;0))</f>
        <v>0</v>
      </c>
      <c r="F187" s="41">
        <f>SUMPRODUCT(((ISNUMBER('GRT Noroeste'!L6:L372))*('GRT Noroeste'!L6:L372=A187))*(('GRT Noroeste'!K6:K372="INSTALADO - OPERANDO")+('GRT Noroeste'!K6:K372="INSTALADO - SIN SEÑAL")&gt;0))</f>
        <v>0</v>
      </c>
      <c r="G187" s="41">
        <f>SUMPRODUCT(((ISNUMBER('GRT Norte'!L6:L296))*('GRT Norte'!L6:L296=A187))*(('GRT Norte'!K6:K296="INSTALADO - OPERANDO")+('GRT Norte'!K6:K296="INSTALADO - SIN SEÑAL")&gt;0))</f>
        <v>0</v>
      </c>
      <c r="H187" s="41">
        <f>SUMPRODUCT(((ISNUMBER('GRT Noreste'!L6:L262))*('GRT Noreste'!L6:L262=A187))*(('GRT Noreste'!K6:K262="INSTALADO - OPERANDO")+('GRT Noreste'!K6:K262="INSTALADO - SIN SEÑAL")&gt;0))</f>
        <v>0</v>
      </c>
      <c r="I187" s="41">
        <f>SUMPRODUCT(((ISNUMBER('GRT Baja California'!L6:L281))*('GRT Baja California'!L6:L281=A187))*(('GRT Baja California'!K6:K281="INSTALADO - OPERANDO")+('GRT Baja California'!K6:K281="INSTALADO - SIN SEÑAL")&gt;0))</f>
        <v>0</v>
      </c>
      <c r="J187" s="65">
        <f t="shared" si="15"/>
        <v>0</v>
      </c>
      <c r="K187" s="49">
        <f t="shared" si="17"/>
        <v>1289</v>
      </c>
      <c r="L187" s="52">
        <f t="shared" si="16"/>
        <v>0.30472813238770685</v>
      </c>
      <c r="M187" s="53"/>
    </row>
    <row r="188" spans="1:13" ht="15" customHeight="1">
      <c r="A188" s="55">
        <v>46280</v>
      </c>
      <c r="B188" s="44">
        <f>SUMPRODUCT(((ISNUMBER('GRT Central'!L6:L1135))*('GRT Central'!L6:L1135=A188))*(('GRT Central'!K6:K1135="INSTALADO - OPERANDO")+('GRT Central'!K6:K1135="INSTALADO - SIN SEÑAL")&gt;0))</f>
        <v>0</v>
      </c>
      <c r="C188" s="44">
        <f>SUMPRODUCT(((ISNUMBER('GRT Occidente'!L6:L784))*('GRT Occidente'!L6:L784=A188))*(('GRT Occidente'!K6:K784="INSTALADO - OPERANDO")+('GRT Occidente'!K6:K784="INSTALADO - SIN SEÑAL")&gt;0))</f>
        <v>0</v>
      </c>
      <c r="D188" s="44">
        <f>SUMPRODUCT(((ISNUMBER('GRT Oriente'!L6:L400))*('GRT Oriente'!L6:L400=A188))*(('GRT Oriente'!K6:K400="INSTALADO - OPERANDO")+('GRT Oriente'!K6:K400="INSTALADO - SIN SEÑAL")&gt;0))</f>
        <v>0</v>
      </c>
      <c r="E188" s="44">
        <f>SUMPRODUCT(((ISNUMBER('GRT Valle de México'!L6:L740))*('GRT Valle de México'!L6:L740=A188))*(('GRT Valle de México'!K6:K740="INSTALADO - OPERANDO")+('GRT Valle de México'!K6:K740="INSTALADO - SIN SEÑAL")&gt;0))</f>
        <v>0</v>
      </c>
      <c r="F188" s="44">
        <f>SUMPRODUCT(((ISNUMBER('GRT Noroeste'!L6:L372))*('GRT Noroeste'!L6:L372=A188))*(('GRT Noroeste'!K6:K372="INSTALADO - OPERANDO")+('GRT Noroeste'!K6:K372="INSTALADO - SIN SEÑAL")&gt;0))</f>
        <v>0</v>
      </c>
      <c r="G188" s="44">
        <f>SUMPRODUCT(((ISNUMBER('GRT Norte'!L6:L296))*('GRT Norte'!L6:L296=A188))*(('GRT Norte'!K6:K296="INSTALADO - OPERANDO")+('GRT Norte'!K6:K296="INSTALADO - SIN SEÑAL")&gt;0))</f>
        <v>0</v>
      </c>
      <c r="H188" s="44">
        <f>SUMPRODUCT(((ISNUMBER('GRT Noreste'!L6:L262))*('GRT Noreste'!L6:L262=A188))*(('GRT Noreste'!K6:K262="INSTALADO - OPERANDO")+('GRT Noreste'!K6:K262="INSTALADO - SIN SEÑAL")&gt;0))</f>
        <v>0</v>
      </c>
      <c r="I188" s="44">
        <f>SUMPRODUCT(((ISNUMBER('GRT Baja California'!L6:L281))*('GRT Baja California'!L6:L281=A188))*(('GRT Baja California'!K6:K281="INSTALADO - OPERANDO")+('GRT Baja California'!K6:K281="INSTALADO - SIN SEÑAL")&gt;0))</f>
        <v>0</v>
      </c>
      <c r="J188" s="64">
        <f t="shared" si="15"/>
        <v>0</v>
      </c>
      <c r="K188" s="54">
        <f t="shared" si="17"/>
        <v>1289</v>
      </c>
      <c r="L188" s="57">
        <f t="shared" si="16"/>
        <v>0.30472813238770685</v>
      </c>
      <c r="M188" s="58"/>
    </row>
    <row r="189" spans="1:13" ht="15" customHeight="1">
      <c r="A189" s="50">
        <v>46281</v>
      </c>
      <c r="B189" s="41">
        <f>SUMPRODUCT(((ISNUMBER('GRT Central'!L6:L1135))*('GRT Central'!L6:L1135=A189))*(('GRT Central'!K6:K1135="INSTALADO - OPERANDO")+('GRT Central'!K6:K1135="INSTALADO - SIN SEÑAL")&gt;0))</f>
        <v>0</v>
      </c>
      <c r="C189" s="41">
        <f>SUMPRODUCT(((ISNUMBER('GRT Occidente'!L6:L784))*('GRT Occidente'!L6:L784=A189))*(('GRT Occidente'!K6:K784="INSTALADO - OPERANDO")+('GRT Occidente'!K6:K784="INSTALADO - SIN SEÑAL")&gt;0))</f>
        <v>0</v>
      </c>
      <c r="D189" s="41">
        <f>SUMPRODUCT(((ISNUMBER('GRT Oriente'!L6:L400))*('GRT Oriente'!L6:L400=A189))*(('GRT Oriente'!K6:K400="INSTALADO - OPERANDO")+('GRT Oriente'!K6:K400="INSTALADO - SIN SEÑAL")&gt;0))</f>
        <v>0</v>
      </c>
      <c r="E189" s="41">
        <f>SUMPRODUCT(((ISNUMBER('GRT Valle de México'!L6:L740))*('GRT Valle de México'!L6:L740=A189))*(('GRT Valle de México'!K6:K740="INSTALADO - OPERANDO")+('GRT Valle de México'!K6:K740="INSTALADO - SIN SEÑAL")&gt;0))</f>
        <v>0</v>
      </c>
      <c r="F189" s="41">
        <f>SUMPRODUCT(((ISNUMBER('GRT Noroeste'!L6:L372))*('GRT Noroeste'!L6:L372=A189))*(('GRT Noroeste'!K6:K372="INSTALADO - OPERANDO")+('GRT Noroeste'!K6:K372="INSTALADO - SIN SEÑAL")&gt;0))</f>
        <v>0</v>
      </c>
      <c r="G189" s="41">
        <f>SUMPRODUCT(((ISNUMBER('GRT Norte'!L6:L296))*('GRT Norte'!L6:L296=A189))*(('GRT Norte'!K6:K296="INSTALADO - OPERANDO")+('GRT Norte'!K6:K296="INSTALADO - SIN SEÑAL")&gt;0))</f>
        <v>0</v>
      </c>
      <c r="H189" s="41">
        <f>SUMPRODUCT(((ISNUMBER('GRT Noreste'!L6:L262))*('GRT Noreste'!L6:L262=A189))*(('GRT Noreste'!K6:K262="INSTALADO - OPERANDO")+('GRT Noreste'!K6:K262="INSTALADO - SIN SEÑAL")&gt;0))</f>
        <v>0</v>
      </c>
      <c r="I189" s="41">
        <f>SUMPRODUCT(((ISNUMBER('GRT Baja California'!L6:L281))*('GRT Baja California'!L6:L281=A189))*(('GRT Baja California'!K6:K281="INSTALADO - OPERANDO")+('GRT Baja California'!K6:K281="INSTALADO - SIN SEÑAL")&gt;0))</f>
        <v>0</v>
      </c>
      <c r="J189" s="65">
        <f t="shared" si="15"/>
        <v>0</v>
      </c>
      <c r="K189" s="49">
        <f t="shared" si="17"/>
        <v>1289</v>
      </c>
      <c r="L189" s="52">
        <f t="shared" si="16"/>
        <v>0.30472813238770685</v>
      </c>
      <c r="M189" s="53"/>
    </row>
    <row r="190" spans="1:13" ht="15" customHeight="1">
      <c r="A190" s="55">
        <v>46282</v>
      </c>
      <c r="B190" s="44">
        <f>SUMPRODUCT(((ISNUMBER('GRT Central'!L6:L1135))*('GRT Central'!L6:L1135=A190))*(('GRT Central'!K6:K1135="INSTALADO - OPERANDO")+('GRT Central'!K6:K1135="INSTALADO - SIN SEÑAL")&gt;0))</f>
        <v>0</v>
      </c>
      <c r="C190" s="44">
        <f>SUMPRODUCT(((ISNUMBER('GRT Occidente'!L6:L784))*('GRT Occidente'!L6:L784=A190))*(('GRT Occidente'!K6:K784="INSTALADO - OPERANDO")+('GRT Occidente'!K6:K784="INSTALADO - SIN SEÑAL")&gt;0))</f>
        <v>0</v>
      </c>
      <c r="D190" s="44">
        <f>SUMPRODUCT(((ISNUMBER('GRT Oriente'!L6:L400))*('GRT Oriente'!L6:L400=A190))*(('GRT Oriente'!K6:K400="INSTALADO - OPERANDO")+('GRT Oriente'!K6:K400="INSTALADO - SIN SEÑAL")&gt;0))</f>
        <v>0</v>
      </c>
      <c r="E190" s="44">
        <f>SUMPRODUCT(((ISNUMBER('GRT Valle de México'!L6:L740))*('GRT Valle de México'!L6:L740=A190))*(('GRT Valle de México'!K6:K740="INSTALADO - OPERANDO")+('GRT Valle de México'!K6:K740="INSTALADO - SIN SEÑAL")&gt;0))</f>
        <v>0</v>
      </c>
      <c r="F190" s="44">
        <f>SUMPRODUCT(((ISNUMBER('GRT Noroeste'!L6:L372))*('GRT Noroeste'!L6:L372=A190))*(('GRT Noroeste'!K6:K372="INSTALADO - OPERANDO")+('GRT Noroeste'!K6:K372="INSTALADO - SIN SEÑAL")&gt;0))</f>
        <v>0</v>
      </c>
      <c r="G190" s="44">
        <f>SUMPRODUCT(((ISNUMBER('GRT Norte'!L6:L296))*('GRT Norte'!L6:L296=A190))*(('GRT Norte'!K6:K296="INSTALADO - OPERANDO")+('GRT Norte'!K6:K296="INSTALADO - SIN SEÑAL")&gt;0))</f>
        <v>0</v>
      </c>
      <c r="H190" s="44">
        <f>SUMPRODUCT(((ISNUMBER('GRT Noreste'!L6:L262))*('GRT Noreste'!L6:L262=A190))*(('GRT Noreste'!K6:K262="INSTALADO - OPERANDO")+('GRT Noreste'!K6:K262="INSTALADO - SIN SEÑAL")&gt;0))</f>
        <v>0</v>
      </c>
      <c r="I190" s="44">
        <f>SUMPRODUCT(((ISNUMBER('GRT Baja California'!L6:L281))*('GRT Baja California'!L6:L281=A190))*(('GRT Baja California'!K6:K281="INSTALADO - OPERANDO")+('GRT Baja California'!K6:K281="INSTALADO - SIN SEÑAL")&gt;0))</f>
        <v>0</v>
      </c>
      <c r="J190" s="64">
        <f t="shared" si="15"/>
        <v>0</v>
      </c>
      <c r="K190" s="54">
        <f t="shared" si="17"/>
        <v>1289</v>
      </c>
      <c r="L190" s="57">
        <f t="shared" si="16"/>
        <v>0.30472813238770685</v>
      </c>
      <c r="M190" s="58"/>
    </row>
    <row r="191" spans="1:13" ht="15" customHeight="1">
      <c r="A191" s="50">
        <v>46283</v>
      </c>
      <c r="B191" s="41">
        <f>SUMPRODUCT(((ISNUMBER('GRT Central'!L6:L1135))*('GRT Central'!L6:L1135=A191))*(('GRT Central'!K6:K1135="INSTALADO - OPERANDO")+('GRT Central'!K6:K1135="INSTALADO - SIN SEÑAL")&gt;0))</f>
        <v>0</v>
      </c>
      <c r="C191" s="41">
        <f>SUMPRODUCT(((ISNUMBER('GRT Occidente'!L6:L784))*('GRT Occidente'!L6:L784=A191))*(('GRT Occidente'!K6:K784="INSTALADO - OPERANDO")+('GRT Occidente'!K6:K784="INSTALADO - SIN SEÑAL")&gt;0))</f>
        <v>0</v>
      </c>
      <c r="D191" s="41">
        <f>SUMPRODUCT(((ISNUMBER('GRT Oriente'!L6:L400))*('GRT Oriente'!L6:L400=A191))*(('GRT Oriente'!K6:K400="INSTALADO - OPERANDO")+('GRT Oriente'!K6:K400="INSTALADO - SIN SEÑAL")&gt;0))</f>
        <v>0</v>
      </c>
      <c r="E191" s="41">
        <f>SUMPRODUCT(((ISNUMBER('GRT Valle de México'!L6:L740))*('GRT Valle de México'!L6:L740=A191))*(('GRT Valle de México'!K6:K740="INSTALADO - OPERANDO")+('GRT Valle de México'!K6:K740="INSTALADO - SIN SEÑAL")&gt;0))</f>
        <v>0</v>
      </c>
      <c r="F191" s="41">
        <f>SUMPRODUCT(((ISNUMBER('GRT Noroeste'!L6:L372))*('GRT Noroeste'!L6:L372=A191))*(('GRT Noroeste'!K6:K372="INSTALADO - OPERANDO")+('GRT Noroeste'!K6:K372="INSTALADO - SIN SEÑAL")&gt;0))</f>
        <v>0</v>
      </c>
      <c r="G191" s="41">
        <f>SUMPRODUCT(((ISNUMBER('GRT Norte'!L6:L296))*('GRT Norte'!L6:L296=A191))*(('GRT Norte'!K6:K296="INSTALADO - OPERANDO")+('GRT Norte'!K6:K296="INSTALADO - SIN SEÑAL")&gt;0))</f>
        <v>0</v>
      </c>
      <c r="H191" s="41">
        <f>SUMPRODUCT(((ISNUMBER('GRT Noreste'!L6:L262))*('GRT Noreste'!L6:L262=A191))*(('GRT Noreste'!K6:K262="INSTALADO - OPERANDO")+('GRT Noreste'!K6:K262="INSTALADO - SIN SEÑAL")&gt;0))</f>
        <v>0</v>
      </c>
      <c r="I191" s="41">
        <f>SUMPRODUCT(((ISNUMBER('GRT Baja California'!L6:L281))*('GRT Baja California'!L6:L281=A191))*(('GRT Baja California'!K6:K281="INSTALADO - OPERANDO")+('GRT Baja California'!K6:K281="INSTALADO - SIN SEÑAL")&gt;0))</f>
        <v>0</v>
      </c>
      <c r="J191" s="65">
        <f t="shared" si="15"/>
        <v>0</v>
      </c>
      <c r="K191" s="49">
        <f t="shared" si="17"/>
        <v>1289</v>
      </c>
      <c r="L191" s="52">
        <f t="shared" si="16"/>
        <v>0.30472813238770685</v>
      </c>
      <c r="M191" s="53"/>
    </row>
    <row r="192" spans="1:13" ht="15" customHeight="1">
      <c r="A192" s="55">
        <v>46284</v>
      </c>
      <c r="B192" s="44">
        <f>SUMPRODUCT(((ISNUMBER('GRT Central'!L6:L1135))*('GRT Central'!L6:L1135=A192))*(('GRT Central'!K6:K1135="INSTALADO - OPERANDO")+('GRT Central'!K6:K1135="INSTALADO - SIN SEÑAL")&gt;0))</f>
        <v>0</v>
      </c>
      <c r="C192" s="44">
        <f>SUMPRODUCT(((ISNUMBER('GRT Occidente'!L6:L784))*('GRT Occidente'!L6:L784=A192))*(('GRT Occidente'!K6:K784="INSTALADO - OPERANDO")+('GRT Occidente'!K6:K784="INSTALADO - SIN SEÑAL")&gt;0))</f>
        <v>0</v>
      </c>
      <c r="D192" s="44">
        <f>SUMPRODUCT(((ISNUMBER('GRT Oriente'!L6:L400))*('GRT Oriente'!L6:L400=A192))*(('GRT Oriente'!K6:K400="INSTALADO - OPERANDO")+('GRT Oriente'!K6:K400="INSTALADO - SIN SEÑAL")&gt;0))</f>
        <v>0</v>
      </c>
      <c r="E192" s="44">
        <f>SUMPRODUCT(((ISNUMBER('GRT Valle de México'!L6:L740))*('GRT Valle de México'!L6:L740=A192))*(('GRT Valle de México'!K6:K740="INSTALADO - OPERANDO")+('GRT Valle de México'!K6:K740="INSTALADO - SIN SEÑAL")&gt;0))</f>
        <v>0</v>
      </c>
      <c r="F192" s="44">
        <f>SUMPRODUCT(((ISNUMBER('GRT Noroeste'!L6:L372))*('GRT Noroeste'!L6:L372=A192))*(('GRT Noroeste'!K6:K372="INSTALADO - OPERANDO")+('GRT Noroeste'!K6:K372="INSTALADO - SIN SEÑAL")&gt;0))</f>
        <v>0</v>
      </c>
      <c r="G192" s="44">
        <f>SUMPRODUCT(((ISNUMBER('GRT Norte'!L6:L296))*('GRT Norte'!L6:L296=A192))*(('GRT Norte'!K6:K296="INSTALADO - OPERANDO")+('GRT Norte'!K6:K296="INSTALADO - SIN SEÑAL")&gt;0))</f>
        <v>0</v>
      </c>
      <c r="H192" s="44">
        <f>SUMPRODUCT(((ISNUMBER('GRT Noreste'!L6:L262))*('GRT Noreste'!L6:L262=A192))*(('GRT Noreste'!K6:K262="INSTALADO - OPERANDO")+('GRT Noreste'!K6:K262="INSTALADO - SIN SEÑAL")&gt;0))</f>
        <v>0</v>
      </c>
      <c r="I192" s="44">
        <f>SUMPRODUCT(((ISNUMBER('GRT Baja California'!L6:L281))*('GRT Baja California'!L6:L281=A192))*(('GRT Baja California'!K6:K281="INSTALADO - OPERANDO")+('GRT Baja California'!K6:K281="INSTALADO - SIN SEÑAL")&gt;0))</f>
        <v>0</v>
      </c>
      <c r="J192" s="64">
        <f t="shared" si="15"/>
        <v>0</v>
      </c>
      <c r="K192" s="54">
        <f t="shared" si="17"/>
        <v>1289</v>
      </c>
      <c r="L192" s="57">
        <f t="shared" si="16"/>
        <v>0.30472813238770685</v>
      </c>
      <c r="M192" s="58"/>
    </row>
    <row r="193" spans="1:13" ht="15" customHeight="1">
      <c r="A193" s="50">
        <v>46285</v>
      </c>
      <c r="B193" s="41">
        <f>SUMPRODUCT(((ISNUMBER('GRT Central'!L6:L1135))*('GRT Central'!L6:L1135=A193))*(('GRT Central'!K6:K1135="INSTALADO - OPERANDO")+('GRT Central'!K6:K1135="INSTALADO - SIN SEÑAL")&gt;0))</f>
        <v>0</v>
      </c>
      <c r="C193" s="41">
        <f>SUMPRODUCT(((ISNUMBER('GRT Occidente'!L6:L784))*('GRT Occidente'!L6:L784=A193))*(('GRT Occidente'!K6:K784="INSTALADO - OPERANDO")+('GRT Occidente'!K6:K784="INSTALADO - SIN SEÑAL")&gt;0))</f>
        <v>0</v>
      </c>
      <c r="D193" s="41">
        <f>SUMPRODUCT(((ISNUMBER('GRT Oriente'!L6:L400))*('GRT Oriente'!L6:L400=A193))*(('GRT Oriente'!K6:K400="INSTALADO - OPERANDO")+('GRT Oriente'!K6:K400="INSTALADO - SIN SEÑAL")&gt;0))</f>
        <v>0</v>
      </c>
      <c r="E193" s="41">
        <f>SUMPRODUCT(((ISNUMBER('GRT Valle de México'!L6:L740))*('GRT Valle de México'!L6:L740=A193))*(('GRT Valle de México'!K6:K740="INSTALADO - OPERANDO")+('GRT Valle de México'!K6:K740="INSTALADO - SIN SEÑAL")&gt;0))</f>
        <v>0</v>
      </c>
      <c r="F193" s="41">
        <f>SUMPRODUCT(((ISNUMBER('GRT Noroeste'!L6:L372))*('GRT Noroeste'!L6:L372=A193))*(('GRT Noroeste'!K6:K372="INSTALADO - OPERANDO")+('GRT Noroeste'!K6:K372="INSTALADO - SIN SEÑAL")&gt;0))</f>
        <v>0</v>
      </c>
      <c r="G193" s="41">
        <f>SUMPRODUCT(((ISNUMBER('GRT Norte'!L6:L296))*('GRT Norte'!L6:L296=A193))*(('GRT Norte'!K6:K296="INSTALADO - OPERANDO")+('GRT Norte'!K6:K296="INSTALADO - SIN SEÑAL")&gt;0))</f>
        <v>0</v>
      </c>
      <c r="H193" s="41">
        <f>SUMPRODUCT(((ISNUMBER('GRT Noreste'!L6:L262))*('GRT Noreste'!L6:L262=A193))*(('GRT Noreste'!K6:K262="INSTALADO - OPERANDO")+('GRT Noreste'!K6:K262="INSTALADO - SIN SEÑAL")&gt;0))</f>
        <v>0</v>
      </c>
      <c r="I193" s="41">
        <f>SUMPRODUCT(((ISNUMBER('GRT Baja California'!L6:L281))*('GRT Baja California'!L6:L281=A193))*(('GRT Baja California'!K6:K281="INSTALADO - OPERANDO")+('GRT Baja California'!K6:K281="INSTALADO - SIN SEÑAL")&gt;0))</f>
        <v>0</v>
      </c>
      <c r="J193" s="65">
        <f t="shared" si="15"/>
        <v>0</v>
      </c>
      <c r="K193" s="49">
        <f t="shared" si="17"/>
        <v>1289</v>
      </c>
      <c r="L193" s="52">
        <f t="shared" si="16"/>
        <v>0.30472813238770685</v>
      </c>
      <c r="M193" s="53"/>
    </row>
    <row r="194" spans="1:13" ht="15" customHeight="1">
      <c r="A194" s="55">
        <v>46286</v>
      </c>
      <c r="B194" s="44">
        <f>SUMPRODUCT(((ISNUMBER('GRT Central'!L6:L1135))*('GRT Central'!L6:L1135=A194))*(('GRT Central'!K6:K1135="INSTALADO - OPERANDO")+('GRT Central'!K6:K1135="INSTALADO - SIN SEÑAL")&gt;0))</f>
        <v>0</v>
      </c>
      <c r="C194" s="44">
        <f>SUMPRODUCT(((ISNUMBER('GRT Occidente'!L6:L784))*('GRT Occidente'!L6:L784=A194))*(('GRT Occidente'!K6:K784="INSTALADO - OPERANDO")+('GRT Occidente'!K6:K784="INSTALADO - SIN SEÑAL")&gt;0))</f>
        <v>0</v>
      </c>
      <c r="D194" s="44">
        <f>SUMPRODUCT(((ISNUMBER('GRT Oriente'!L6:L400))*('GRT Oriente'!L6:L400=A194))*(('GRT Oriente'!K6:K400="INSTALADO - OPERANDO")+('GRT Oriente'!K6:K400="INSTALADO - SIN SEÑAL")&gt;0))</f>
        <v>0</v>
      </c>
      <c r="E194" s="44">
        <f>SUMPRODUCT(((ISNUMBER('GRT Valle de México'!L6:L740))*('GRT Valle de México'!L6:L740=A194))*(('GRT Valle de México'!K6:K740="INSTALADO - OPERANDO")+('GRT Valle de México'!K6:K740="INSTALADO - SIN SEÑAL")&gt;0))</f>
        <v>0</v>
      </c>
      <c r="F194" s="44">
        <f>SUMPRODUCT(((ISNUMBER('GRT Noroeste'!L6:L372))*('GRT Noroeste'!L6:L372=A194))*(('GRT Noroeste'!K6:K372="INSTALADO - OPERANDO")+('GRT Noroeste'!K6:K372="INSTALADO - SIN SEÑAL")&gt;0))</f>
        <v>0</v>
      </c>
      <c r="G194" s="44">
        <f>SUMPRODUCT(((ISNUMBER('GRT Norte'!L6:L296))*('GRT Norte'!L6:L296=A194))*(('GRT Norte'!K6:K296="INSTALADO - OPERANDO")+('GRT Norte'!K6:K296="INSTALADO - SIN SEÑAL")&gt;0))</f>
        <v>0</v>
      </c>
      <c r="H194" s="44">
        <f>SUMPRODUCT(((ISNUMBER('GRT Noreste'!L6:L262))*('GRT Noreste'!L6:L262=A194))*(('GRT Noreste'!K6:K262="INSTALADO - OPERANDO")+('GRT Noreste'!K6:K262="INSTALADO - SIN SEÑAL")&gt;0))</f>
        <v>0</v>
      </c>
      <c r="I194" s="44">
        <f>SUMPRODUCT(((ISNUMBER('GRT Baja California'!L6:L281))*('GRT Baja California'!L6:L281=A194))*(('GRT Baja California'!K6:K281="INSTALADO - OPERANDO")+('GRT Baja California'!K6:K281="INSTALADO - SIN SEÑAL")&gt;0))</f>
        <v>0</v>
      </c>
      <c r="J194" s="64">
        <f t="shared" si="15"/>
        <v>0</v>
      </c>
      <c r="K194" s="54">
        <f t="shared" si="17"/>
        <v>1289</v>
      </c>
      <c r="L194" s="57">
        <f t="shared" si="16"/>
        <v>0.30472813238770685</v>
      </c>
      <c r="M194" s="58"/>
    </row>
    <row r="195" spans="1:13" ht="15" customHeight="1">
      <c r="A195" s="50">
        <v>46287</v>
      </c>
      <c r="B195" s="41">
        <f>SUMPRODUCT(((ISNUMBER('GRT Central'!L6:L1135))*('GRT Central'!L6:L1135=A195))*(('GRT Central'!K6:K1135="INSTALADO - OPERANDO")+('GRT Central'!K6:K1135="INSTALADO - SIN SEÑAL")&gt;0))</f>
        <v>0</v>
      </c>
      <c r="C195" s="41">
        <f>SUMPRODUCT(((ISNUMBER('GRT Occidente'!L6:L784))*('GRT Occidente'!L6:L784=A195))*(('GRT Occidente'!K6:K784="INSTALADO - OPERANDO")+('GRT Occidente'!K6:K784="INSTALADO - SIN SEÑAL")&gt;0))</f>
        <v>0</v>
      </c>
      <c r="D195" s="41">
        <f>SUMPRODUCT(((ISNUMBER('GRT Oriente'!L6:L400))*('GRT Oriente'!L6:L400=A195))*(('GRT Oriente'!K6:K400="INSTALADO - OPERANDO")+('GRT Oriente'!K6:K400="INSTALADO - SIN SEÑAL")&gt;0))</f>
        <v>0</v>
      </c>
      <c r="E195" s="41">
        <f>SUMPRODUCT(((ISNUMBER('GRT Valle de México'!L6:L740))*('GRT Valle de México'!L6:L740=A195))*(('GRT Valle de México'!K6:K740="INSTALADO - OPERANDO")+('GRT Valle de México'!K6:K740="INSTALADO - SIN SEÑAL")&gt;0))</f>
        <v>0</v>
      </c>
      <c r="F195" s="41">
        <f>SUMPRODUCT(((ISNUMBER('GRT Noroeste'!L6:L372))*('GRT Noroeste'!L6:L372=A195))*(('GRT Noroeste'!K6:K372="INSTALADO - OPERANDO")+('GRT Noroeste'!K6:K372="INSTALADO - SIN SEÑAL")&gt;0))</f>
        <v>0</v>
      </c>
      <c r="G195" s="41">
        <f>SUMPRODUCT(((ISNUMBER('GRT Norte'!L6:L296))*('GRT Norte'!L6:L296=A195))*(('GRT Norte'!K6:K296="INSTALADO - OPERANDO")+('GRT Norte'!K6:K296="INSTALADO - SIN SEÑAL")&gt;0))</f>
        <v>0</v>
      </c>
      <c r="H195" s="41">
        <f>SUMPRODUCT(((ISNUMBER('GRT Noreste'!L6:L262))*('GRT Noreste'!L6:L262=A195))*(('GRT Noreste'!K6:K262="INSTALADO - OPERANDO")+('GRT Noreste'!K6:K262="INSTALADO - SIN SEÑAL")&gt;0))</f>
        <v>0</v>
      </c>
      <c r="I195" s="41">
        <f>SUMPRODUCT(((ISNUMBER('GRT Baja California'!L6:L281))*('GRT Baja California'!L6:L281=A195))*(('GRT Baja California'!K6:K281="INSTALADO - OPERANDO")+('GRT Baja California'!K6:K281="INSTALADO - SIN SEÑAL")&gt;0))</f>
        <v>0</v>
      </c>
      <c r="J195" s="65">
        <f t="shared" si="15"/>
        <v>0</v>
      </c>
      <c r="K195" s="49">
        <f t="shared" si="17"/>
        <v>1289</v>
      </c>
      <c r="L195" s="52">
        <f t="shared" si="16"/>
        <v>0.30472813238770685</v>
      </c>
      <c r="M195" s="53"/>
    </row>
    <row r="196" spans="1:13" ht="15" customHeight="1">
      <c r="A196" s="55">
        <v>46288</v>
      </c>
      <c r="B196" s="44">
        <f>SUMPRODUCT(((ISNUMBER('GRT Central'!L6:L1135))*('GRT Central'!L6:L1135=A196))*(('GRT Central'!K6:K1135="INSTALADO - OPERANDO")+('GRT Central'!K6:K1135="INSTALADO - SIN SEÑAL")&gt;0))</f>
        <v>0</v>
      </c>
      <c r="C196" s="44">
        <f>SUMPRODUCT(((ISNUMBER('GRT Occidente'!L6:L784))*('GRT Occidente'!L6:L784=A196))*(('GRT Occidente'!K6:K784="INSTALADO - OPERANDO")+('GRT Occidente'!K6:K784="INSTALADO - SIN SEÑAL")&gt;0))</f>
        <v>0</v>
      </c>
      <c r="D196" s="44">
        <f>SUMPRODUCT(((ISNUMBER('GRT Oriente'!L6:L400))*('GRT Oriente'!L6:L400=A196))*(('GRT Oriente'!K6:K400="INSTALADO - OPERANDO")+('GRT Oriente'!K6:K400="INSTALADO - SIN SEÑAL")&gt;0))</f>
        <v>0</v>
      </c>
      <c r="E196" s="44">
        <f>SUMPRODUCT(((ISNUMBER('GRT Valle de México'!L6:L740))*('GRT Valle de México'!L6:L740=A196))*(('GRT Valle de México'!K6:K740="INSTALADO - OPERANDO")+('GRT Valle de México'!K6:K740="INSTALADO - SIN SEÑAL")&gt;0))</f>
        <v>0</v>
      </c>
      <c r="F196" s="44">
        <f>SUMPRODUCT(((ISNUMBER('GRT Noroeste'!L6:L372))*('GRT Noroeste'!L6:L372=A196))*(('GRT Noroeste'!K6:K372="INSTALADO - OPERANDO")+('GRT Noroeste'!K6:K372="INSTALADO - SIN SEÑAL")&gt;0))</f>
        <v>0</v>
      </c>
      <c r="G196" s="44">
        <f>SUMPRODUCT(((ISNUMBER('GRT Norte'!L6:L296))*('GRT Norte'!L6:L296=A196))*(('GRT Norte'!K6:K296="INSTALADO - OPERANDO")+('GRT Norte'!K6:K296="INSTALADO - SIN SEÑAL")&gt;0))</f>
        <v>0</v>
      </c>
      <c r="H196" s="44">
        <f>SUMPRODUCT(((ISNUMBER('GRT Noreste'!L6:L262))*('GRT Noreste'!L6:L262=A196))*(('GRT Noreste'!K6:K262="INSTALADO - OPERANDO")+('GRT Noreste'!K6:K262="INSTALADO - SIN SEÑAL")&gt;0))</f>
        <v>0</v>
      </c>
      <c r="I196" s="44">
        <f>SUMPRODUCT(((ISNUMBER('GRT Baja California'!L6:L281))*('GRT Baja California'!L6:L281=A196))*(('GRT Baja California'!K6:K281="INSTALADO - OPERANDO")+('GRT Baja California'!K6:K281="INSTALADO - SIN SEÑAL")&gt;0))</f>
        <v>0</v>
      </c>
      <c r="J196" s="64">
        <f t="shared" si="15"/>
        <v>0</v>
      </c>
      <c r="K196" s="54">
        <f t="shared" si="17"/>
        <v>1289</v>
      </c>
      <c r="L196" s="57">
        <f t="shared" si="16"/>
        <v>0.30472813238770685</v>
      </c>
      <c r="M196" s="58"/>
    </row>
    <row r="197" spans="1:13" ht="15" customHeight="1">
      <c r="A197" s="50">
        <v>46289</v>
      </c>
      <c r="B197" s="41">
        <f>SUMPRODUCT(((ISNUMBER('GRT Central'!L6:L1135))*('GRT Central'!L6:L1135=A197))*(('GRT Central'!K6:K1135="INSTALADO - OPERANDO")+('GRT Central'!K6:K1135="INSTALADO - SIN SEÑAL")&gt;0))</f>
        <v>0</v>
      </c>
      <c r="C197" s="41">
        <f>SUMPRODUCT(((ISNUMBER('GRT Occidente'!L6:L784))*('GRT Occidente'!L6:L784=A197))*(('GRT Occidente'!K6:K784="INSTALADO - OPERANDO")+('GRT Occidente'!K6:K784="INSTALADO - SIN SEÑAL")&gt;0))</f>
        <v>0</v>
      </c>
      <c r="D197" s="41">
        <f>SUMPRODUCT(((ISNUMBER('GRT Oriente'!L6:L400))*('GRT Oriente'!L6:L400=A197))*(('GRT Oriente'!K6:K400="INSTALADO - OPERANDO")+('GRT Oriente'!K6:K400="INSTALADO - SIN SEÑAL")&gt;0))</f>
        <v>0</v>
      </c>
      <c r="E197" s="41">
        <f>SUMPRODUCT(((ISNUMBER('GRT Valle de México'!L6:L740))*('GRT Valle de México'!L6:L740=A197))*(('GRT Valle de México'!K6:K740="INSTALADO - OPERANDO")+('GRT Valle de México'!K6:K740="INSTALADO - SIN SEÑAL")&gt;0))</f>
        <v>0</v>
      </c>
      <c r="F197" s="41">
        <f>SUMPRODUCT(((ISNUMBER('GRT Noroeste'!L6:L372))*('GRT Noroeste'!L6:L372=A197))*(('GRT Noroeste'!K6:K372="INSTALADO - OPERANDO")+('GRT Noroeste'!K6:K372="INSTALADO - SIN SEÑAL")&gt;0))</f>
        <v>0</v>
      </c>
      <c r="G197" s="41">
        <f>SUMPRODUCT(((ISNUMBER('GRT Norte'!L6:L296))*('GRT Norte'!L6:L296=A197))*(('GRT Norte'!K6:K296="INSTALADO - OPERANDO")+('GRT Norte'!K6:K296="INSTALADO - SIN SEÑAL")&gt;0))</f>
        <v>0</v>
      </c>
      <c r="H197" s="41">
        <f>SUMPRODUCT(((ISNUMBER('GRT Noreste'!L6:L262))*('GRT Noreste'!L6:L262=A197))*(('GRT Noreste'!K6:K262="INSTALADO - OPERANDO")+('GRT Noreste'!K6:K262="INSTALADO - SIN SEÑAL")&gt;0))</f>
        <v>0</v>
      </c>
      <c r="I197" s="41">
        <f>SUMPRODUCT(((ISNUMBER('GRT Baja California'!L6:L281))*('GRT Baja California'!L6:L281=A197))*(('GRT Baja California'!K6:K281="INSTALADO - OPERANDO")+('GRT Baja California'!K6:K281="INSTALADO - SIN SEÑAL")&gt;0))</f>
        <v>0</v>
      </c>
      <c r="J197" s="65">
        <f t="shared" si="15"/>
        <v>0</v>
      </c>
      <c r="K197" s="49">
        <f t="shared" si="17"/>
        <v>1289</v>
      </c>
      <c r="L197" s="52">
        <f t="shared" si="16"/>
        <v>0.30472813238770685</v>
      </c>
      <c r="M197" s="53"/>
    </row>
    <row r="198" spans="1:13" ht="15" customHeight="1">
      <c r="A198" s="55">
        <v>46290</v>
      </c>
      <c r="B198" s="44">
        <f>SUMPRODUCT(((ISNUMBER('GRT Central'!L6:L1135))*('GRT Central'!L6:L1135=A198))*(('GRT Central'!K6:K1135="INSTALADO - OPERANDO")+('GRT Central'!K6:K1135="INSTALADO - SIN SEÑAL")&gt;0))</f>
        <v>0</v>
      </c>
      <c r="C198" s="44">
        <f>SUMPRODUCT(((ISNUMBER('GRT Occidente'!L6:L784))*('GRT Occidente'!L6:L784=A198))*(('GRT Occidente'!K6:K784="INSTALADO - OPERANDO")+('GRT Occidente'!K6:K784="INSTALADO - SIN SEÑAL")&gt;0))</f>
        <v>0</v>
      </c>
      <c r="D198" s="44">
        <f>SUMPRODUCT(((ISNUMBER('GRT Oriente'!L6:L400))*('GRT Oriente'!L6:L400=A198))*(('GRT Oriente'!K6:K400="INSTALADO - OPERANDO")+('GRT Oriente'!K6:K400="INSTALADO - SIN SEÑAL")&gt;0))</f>
        <v>0</v>
      </c>
      <c r="E198" s="44">
        <f>SUMPRODUCT(((ISNUMBER('GRT Valle de México'!L6:L740))*('GRT Valle de México'!L6:L740=A198))*(('GRT Valle de México'!K6:K740="INSTALADO - OPERANDO")+('GRT Valle de México'!K6:K740="INSTALADO - SIN SEÑAL")&gt;0))</f>
        <v>0</v>
      </c>
      <c r="F198" s="44">
        <f>SUMPRODUCT(((ISNUMBER('GRT Noroeste'!L6:L372))*('GRT Noroeste'!L6:L372=A198))*(('GRT Noroeste'!K6:K372="INSTALADO - OPERANDO")+('GRT Noroeste'!K6:K372="INSTALADO - SIN SEÑAL")&gt;0))</f>
        <v>0</v>
      </c>
      <c r="G198" s="44">
        <f>SUMPRODUCT(((ISNUMBER('GRT Norte'!L6:L296))*('GRT Norte'!L6:L296=A198))*(('GRT Norte'!K6:K296="INSTALADO - OPERANDO")+('GRT Norte'!K6:K296="INSTALADO - SIN SEÑAL")&gt;0))</f>
        <v>0</v>
      </c>
      <c r="H198" s="44">
        <f>SUMPRODUCT(((ISNUMBER('GRT Noreste'!L6:L262))*('GRT Noreste'!L6:L262=A198))*(('GRT Noreste'!K6:K262="INSTALADO - OPERANDO")+('GRT Noreste'!K6:K262="INSTALADO - SIN SEÑAL")&gt;0))</f>
        <v>0</v>
      </c>
      <c r="I198" s="44">
        <f>SUMPRODUCT(((ISNUMBER('GRT Baja California'!L6:L281))*('GRT Baja California'!L6:L281=A198))*(('GRT Baja California'!K6:K281="INSTALADO - OPERANDO")+('GRT Baja California'!K6:K281="INSTALADO - SIN SEÑAL")&gt;0))</f>
        <v>0</v>
      </c>
      <c r="J198" s="64">
        <f t="shared" ref="J198:J204" si="18">SUM(B198:I198)</f>
        <v>0</v>
      </c>
      <c r="K198" s="54">
        <f t="shared" si="17"/>
        <v>1289</v>
      </c>
      <c r="L198" s="57">
        <f t="shared" ref="L198:L204" si="19">IF(K198=0,"",K198/4230)</f>
        <v>0.30472813238770685</v>
      </c>
      <c r="M198" s="58"/>
    </row>
    <row r="199" spans="1:13" ht="15" customHeight="1">
      <c r="A199" s="50">
        <v>46291</v>
      </c>
      <c r="B199" s="41">
        <f>SUMPRODUCT(((ISNUMBER('GRT Central'!L6:L1135))*('GRT Central'!L6:L1135=A199))*(('GRT Central'!K6:K1135="INSTALADO - OPERANDO")+('GRT Central'!K6:K1135="INSTALADO - SIN SEÑAL")&gt;0))</f>
        <v>0</v>
      </c>
      <c r="C199" s="41">
        <f>SUMPRODUCT(((ISNUMBER('GRT Occidente'!L6:L784))*('GRT Occidente'!L6:L784=A199))*(('GRT Occidente'!K6:K784="INSTALADO - OPERANDO")+('GRT Occidente'!K6:K784="INSTALADO - SIN SEÑAL")&gt;0))</f>
        <v>0</v>
      </c>
      <c r="D199" s="41">
        <f>SUMPRODUCT(((ISNUMBER('GRT Oriente'!L6:L400))*('GRT Oriente'!L6:L400=A199))*(('GRT Oriente'!K6:K400="INSTALADO - OPERANDO")+('GRT Oriente'!K6:K400="INSTALADO - SIN SEÑAL")&gt;0))</f>
        <v>0</v>
      </c>
      <c r="E199" s="41">
        <f>SUMPRODUCT(((ISNUMBER('GRT Valle de México'!L6:L740))*('GRT Valle de México'!L6:L740=A199))*(('GRT Valle de México'!K6:K740="INSTALADO - OPERANDO")+('GRT Valle de México'!K6:K740="INSTALADO - SIN SEÑAL")&gt;0))</f>
        <v>0</v>
      </c>
      <c r="F199" s="41">
        <f>SUMPRODUCT(((ISNUMBER('GRT Noroeste'!L6:L372))*('GRT Noroeste'!L6:L372=A199))*(('GRT Noroeste'!K6:K372="INSTALADO - OPERANDO")+('GRT Noroeste'!K6:K372="INSTALADO - SIN SEÑAL")&gt;0))</f>
        <v>0</v>
      </c>
      <c r="G199" s="41">
        <f>SUMPRODUCT(((ISNUMBER('GRT Norte'!L6:L296))*('GRT Norte'!L6:L296=A199))*(('GRT Norte'!K6:K296="INSTALADO - OPERANDO")+('GRT Norte'!K6:K296="INSTALADO - SIN SEÑAL")&gt;0))</f>
        <v>0</v>
      </c>
      <c r="H199" s="41">
        <f>SUMPRODUCT(((ISNUMBER('GRT Noreste'!L6:L262))*('GRT Noreste'!L6:L262=A199))*(('GRT Noreste'!K6:K262="INSTALADO - OPERANDO")+('GRT Noreste'!K6:K262="INSTALADO - SIN SEÑAL")&gt;0))</f>
        <v>0</v>
      </c>
      <c r="I199" s="41">
        <f>SUMPRODUCT(((ISNUMBER('GRT Baja California'!L6:L281))*('GRT Baja California'!L6:L281=A199))*(('GRT Baja California'!K6:K281="INSTALADO - OPERANDO")+('GRT Baja California'!K6:K281="INSTALADO - SIN SEÑAL")&gt;0))</f>
        <v>0</v>
      </c>
      <c r="J199" s="65">
        <f t="shared" si="18"/>
        <v>0</v>
      </c>
      <c r="K199" s="49">
        <f t="shared" ref="K199:K204" si="20">K198+J199</f>
        <v>1289</v>
      </c>
      <c r="L199" s="52">
        <f t="shared" si="19"/>
        <v>0.30472813238770685</v>
      </c>
      <c r="M199" s="53"/>
    </row>
    <row r="200" spans="1:13" ht="15" customHeight="1">
      <c r="A200" s="55">
        <v>46292</v>
      </c>
      <c r="B200" s="44">
        <f>SUMPRODUCT(((ISNUMBER('GRT Central'!L6:L1135))*('GRT Central'!L6:L1135=A200))*(('GRT Central'!K6:K1135="INSTALADO - OPERANDO")+('GRT Central'!K6:K1135="INSTALADO - SIN SEÑAL")&gt;0))</f>
        <v>0</v>
      </c>
      <c r="C200" s="44">
        <f>SUMPRODUCT(((ISNUMBER('GRT Occidente'!L6:L784))*('GRT Occidente'!L6:L784=A200))*(('GRT Occidente'!K6:K784="INSTALADO - OPERANDO")+('GRT Occidente'!K6:K784="INSTALADO - SIN SEÑAL")&gt;0))</f>
        <v>0</v>
      </c>
      <c r="D200" s="44">
        <f>SUMPRODUCT(((ISNUMBER('GRT Oriente'!L6:L400))*('GRT Oriente'!L6:L400=A200))*(('GRT Oriente'!K6:K400="INSTALADO - OPERANDO")+('GRT Oriente'!K6:K400="INSTALADO - SIN SEÑAL")&gt;0))</f>
        <v>0</v>
      </c>
      <c r="E200" s="44">
        <f>SUMPRODUCT(((ISNUMBER('GRT Valle de México'!L6:L740))*('GRT Valle de México'!L6:L740=A200))*(('GRT Valle de México'!K6:K740="INSTALADO - OPERANDO")+('GRT Valle de México'!K6:K740="INSTALADO - SIN SEÑAL")&gt;0))</f>
        <v>0</v>
      </c>
      <c r="F200" s="44">
        <f>SUMPRODUCT(((ISNUMBER('GRT Noroeste'!L6:L372))*('GRT Noroeste'!L6:L372=A200))*(('GRT Noroeste'!K6:K372="INSTALADO - OPERANDO")+('GRT Noroeste'!K6:K372="INSTALADO - SIN SEÑAL")&gt;0))</f>
        <v>0</v>
      </c>
      <c r="G200" s="44">
        <f>SUMPRODUCT(((ISNUMBER('GRT Norte'!L6:L296))*('GRT Norte'!L6:L296=A200))*(('GRT Norte'!K6:K296="INSTALADO - OPERANDO")+('GRT Norte'!K6:K296="INSTALADO - SIN SEÑAL")&gt;0))</f>
        <v>0</v>
      </c>
      <c r="H200" s="44">
        <f>SUMPRODUCT(((ISNUMBER('GRT Noreste'!L6:L262))*('GRT Noreste'!L6:L262=A200))*(('GRT Noreste'!K6:K262="INSTALADO - OPERANDO")+('GRT Noreste'!K6:K262="INSTALADO - SIN SEÑAL")&gt;0))</f>
        <v>0</v>
      </c>
      <c r="I200" s="44">
        <f>SUMPRODUCT(((ISNUMBER('GRT Baja California'!L6:L281))*('GRT Baja California'!L6:L281=A200))*(('GRT Baja California'!K6:K281="INSTALADO - OPERANDO")+('GRT Baja California'!K6:K281="INSTALADO - SIN SEÑAL")&gt;0))</f>
        <v>0</v>
      </c>
      <c r="J200" s="64">
        <f t="shared" si="18"/>
        <v>0</v>
      </c>
      <c r="K200" s="54">
        <f t="shared" si="20"/>
        <v>1289</v>
      </c>
      <c r="L200" s="57">
        <f t="shared" si="19"/>
        <v>0.30472813238770685</v>
      </c>
      <c r="M200" s="58"/>
    </row>
    <row r="201" spans="1:13" ht="15" customHeight="1">
      <c r="A201" s="50">
        <v>46293</v>
      </c>
      <c r="B201" s="41">
        <f>SUMPRODUCT(((ISNUMBER('GRT Central'!L6:L1135))*('GRT Central'!L6:L1135=A201))*(('GRT Central'!K6:K1135="INSTALADO - OPERANDO")+('GRT Central'!K6:K1135="INSTALADO - SIN SEÑAL")&gt;0))</f>
        <v>0</v>
      </c>
      <c r="C201" s="41">
        <f>SUMPRODUCT(((ISNUMBER('GRT Occidente'!L6:L784))*('GRT Occidente'!L6:L784=A201))*(('GRT Occidente'!K6:K784="INSTALADO - OPERANDO")+('GRT Occidente'!K6:K784="INSTALADO - SIN SEÑAL")&gt;0))</f>
        <v>0</v>
      </c>
      <c r="D201" s="41">
        <f>SUMPRODUCT(((ISNUMBER('GRT Oriente'!L6:L400))*('GRT Oriente'!L6:L400=A201))*(('GRT Oriente'!K6:K400="INSTALADO - OPERANDO")+('GRT Oriente'!K6:K400="INSTALADO - SIN SEÑAL")&gt;0))</f>
        <v>0</v>
      </c>
      <c r="E201" s="41">
        <f>SUMPRODUCT(((ISNUMBER('GRT Valle de México'!L6:L740))*('GRT Valle de México'!L6:L740=A201))*(('GRT Valle de México'!K6:K740="INSTALADO - OPERANDO")+('GRT Valle de México'!K6:K740="INSTALADO - SIN SEÑAL")&gt;0))</f>
        <v>0</v>
      </c>
      <c r="F201" s="41">
        <f>SUMPRODUCT(((ISNUMBER('GRT Noroeste'!L6:L372))*('GRT Noroeste'!L6:L372=A201))*(('GRT Noroeste'!K6:K372="INSTALADO - OPERANDO")+('GRT Noroeste'!K6:K372="INSTALADO - SIN SEÑAL")&gt;0))</f>
        <v>0</v>
      </c>
      <c r="G201" s="41">
        <f>SUMPRODUCT(((ISNUMBER('GRT Norte'!L6:L296))*('GRT Norte'!L6:L296=A201))*(('GRT Norte'!K6:K296="INSTALADO - OPERANDO")+('GRT Norte'!K6:K296="INSTALADO - SIN SEÑAL")&gt;0))</f>
        <v>0</v>
      </c>
      <c r="H201" s="41">
        <f>SUMPRODUCT(((ISNUMBER('GRT Noreste'!L6:L262))*('GRT Noreste'!L6:L262=A201))*(('GRT Noreste'!K6:K262="INSTALADO - OPERANDO")+('GRT Noreste'!K6:K262="INSTALADO - SIN SEÑAL")&gt;0))</f>
        <v>0</v>
      </c>
      <c r="I201" s="41">
        <f>SUMPRODUCT(((ISNUMBER('GRT Baja California'!L6:L281))*('GRT Baja California'!L6:L281=A201))*(('GRT Baja California'!K6:K281="INSTALADO - OPERANDO")+('GRT Baja California'!K6:K281="INSTALADO - SIN SEÑAL")&gt;0))</f>
        <v>0</v>
      </c>
      <c r="J201" s="65">
        <f t="shared" si="18"/>
        <v>0</v>
      </c>
      <c r="K201" s="49">
        <f t="shared" si="20"/>
        <v>1289</v>
      </c>
      <c r="L201" s="52">
        <f t="shared" si="19"/>
        <v>0.30472813238770685</v>
      </c>
      <c r="M201" s="53"/>
    </row>
    <row r="202" spans="1:13" ht="15" customHeight="1">
      <c r="A202" s="55">
        <v>46294</v>
      </c>
      <c r="B202" s="44">
        <f>SUMPRODUCT(((ISNUMBER('GRT Central'!L6:L1135))*('GRT Central'!L6:L1135=A202))*(('GRT Central'!K6:K1135="INSTALADO - OPERANDO")+('GRT Central'!K6:K1135="INSTALADO - SIN SEÑAL")&gt;0))</f>
        <v>0</v>
      </c>
      <c r="C202" s="44">
        <f>SUMPRODUCT(((ISNUMBER('GRT Occidente'!L6:L784))*('GRT Occidente'!L6:L784=A202))*(('GRT Occidente'!K6:K784="INSTALADO - OPERANDO")+('GRT Occidente'!K6:K784="INSTALADO - SIN SEÑAL")&gt;0))</f>
        <v>0</v>
      </c>
      <c r="D202" s="44">
        <f>SUMPRODUCT(((ISNUMBER('GRT Oriente'!L6:L400))*('GRT Oriente'!L6:L400=A202))*(('GRT Oriente'!K6:K400="INSTALADO - OPERANDO")+('GRT Oriente'!K6:K400="INSTALADO - SIN SEÑAL")&gt;0))</f>
        <v>0</v>
      </c>
      <c r="E202" s="44">
        <f>SUMPRODUCT(((ISNUMBER('GRT Valle de México'!L6:L740))*('GRT Valle de México'!L6:L740=A202))*(('GRT Valle de México'!K6:K740="INSTALADO - OPERANDO")+('GRT Valle de México'!K6:K740="INSTALADO - SIN SEÑAL")&gt;0))</f>
        <v>0</v>
      </c>
      <c r="F202" s="44">
        <f>SUMPRODUCT(((ISNUMBER('GRT Noroeste'!L6:L372))*('GRT Noroeste'!L6:L372=A202))*(('GRT Noroeste'!K6:K372="INSTALADO - OPERANDO")+('GRT Noroeste'!K6:K372="INSTALADO - SIN SEÑAL")&gt;0))</f>
        <v>0</v>
      </c>
      <c r="G202" s="44">
        <f>SUMPRODUCT(((ISNUMBER('GRT Norte'!L6:L296))*('GRT Norte'!L6:L296=A202))*(('GRT Norte'!K6:K296="INSTALADO - OPERANDO")+('GRT Norte'!K6:K296="INSTALADO - SIN SEÑAL")&gt;0))</f>
        <v>0</v>
      </c>
      <c r="H202" s="44">
        <f>SUMPRODUCT(((ISNUMBER('GRT Noreste'!L6:L262))*('GRT Noreste'!L6:L262=A202))*(('GRT Noreste'!K6:K262="INSTALADO - OPERANDO")+('GRT Noreste'!K6:K262="INSTALADO - SIN SEÑAL")&gt;0))</f>
        <v>0</v>
      </c>
      <c r="I202" s="44">
        <f>SUMPRODUCT(((ISNUMBER('GRT Baja California'!L6:L281))*('GRT Baja California'!L6:L281=A202))*(('GRT Baja California'!K6:K281="INSTALADO - OPERANDO")+('GRT Baja California'!K6:K281="INSTALADO - SIN SEÑAL")&gt;0))</f>
        <v>0</v>
      </c>
      <c r="J202" s="64">
        <f t="shared" si="18"/>
        <v>0</v>
      </c>
      <c r="K202" s="54">
        <f t="shared" si="20"/>
        <v>1289</v>
      </c>
      <c r="L202" s="57">
        <f t="shared" si="19"/>
        <v>0.30472813238770685</v>
      </c>
      <c r="M202" s="58"/>
    </row>
    <row r="203" spans="1:13" ht="15" customHeight="1">
      <c r="A203" s="50">
        <v>46295</v>
      </c>
      <c r="B203" s="41">
        <f>SUMPRODUCT(((ISNUMBER('GRT Central'!L6:L1135))*('GRT Central'!L6:L1135=A203))*(('GRT Central'!K6:K1135="INSTALADO - OPERANDO")+('GRT Central'!K6:K1135="INSTALADO - SIN SEÑAL")&gt;0))</f>
        <v>0</v>
      </c>
      <c r="C203" s="41">
        <f>SUMPRODUCT(((ISNUMBER('GRT Occidente'!L6:L784))*('GRT Occidente'!L6:L784=A203))*(('GRT Occidente'!K6:K784="INSTALADO - OPERANDO")+('GRT Occidente'!K6:K784="INSTALADO - SIN SEÑAL")&gt;0))</f>
        <v>0</v>
      </c>
      <c r="D203" s="41">
        <f>SUMPRODUCT(((ISNUMBER('GRT Oriente'!L6:L400))*('GRT Oriente'!L6:L400=A203))*(('GRT Oriente'!K6:K400="INSTALADO - OPERANDO")+('GRT Oriente'!K6:K400="INSTALADO - SIN SEÑAL")&gt;0))</f>
        <v>0</v>
      </c>
      <c r="E203" s="41">
        <f>SUMPRODUCT(((ISNUMBER('GRT Valle de México'!L6:L740))*('GRT Valle de México'!L6:L740=A203))*(('GRT Valle de México'!K6:K740="INSTALADO - OPERANDO")+('GRT Valle de México'!K6:K740="INSTALADO - SIN SEÑAL")&gt;0))</f>
        <v>0</v>
      </c>
      <c r="F203" s="41">
        <f>SUMPRODUCT(((ISNUMBER('GRT Noroeste'!L6:L372))*('GRT Noroeste'!L6:L372=A203))*(('GRT Noroeste'!K6:K372="INSTALADO - OPERANDO")+('GRT Noroeste'!K6:K372="INSTALADO - SIN SEÑAL")&gt;0))</f>
        <v>0</v>
      </c>
      <c r="G203" s="41">
        <f>SUMPRODUCT(((ISNUMBER('GRT Norte'!L6:L296))*('GRT Norte'!L6:L296=A203))*(('GRT Norte'!K6:K296="INSTALADO - OPERANDO")+('GRT Norte'!K6:K296="INSTALADO - SIN SEÑAL")&gt;0))</f>
        <v>0</v>
      </c>
      <c r="H203" s="41">
        <f>SUMPRODUCT(((ISNUMBER('GRT Noreste'!L6:L262))*('GRT Noreste'!L6:L262=A203))*(('GRT Noreste'!K6:K262="INSTALADO - OPERANDO")+('GRT Noreste'!K6:K262="INSTALADO - SIN SEÑAL")&gt;0))</f>
        <v>0</v>
      </c>
      <c r="I203" s="41">
        <f>SUMPRODUCT(((ISNUMBER('GRT Baja California'!L6:L281))*('GRT Baja California'!L6:L281=A203))*(('GRT Baja California'!K6:K281="INSTALADO - OPERANDO")+('GRT Baja California'!K6:K281="INSTALADO - SIN SEÑAL")&gt;0))</f>
        <v>0</v>
      </c>
      <c r="J203" s="65">
        <f t="shared" si="18"/>
        <v>0</v>
      </c>
      <c r="K203" s="49">
        <f t="shared" si="20"/>
        <v>1289</v>
      </c>
      <c r="L203" s="52">
        <f t="shared" si="19"/>
        <v>0.30472813238770685</v>
      </c>
      <c r="M203" s="53"/>
    </row>
    <row r="204" spans="1:13" ht="15" customHeight="1">
      <c r="A204" s="55">
        <v>46296</v>
      </c>
      <c r="B204" s="44">
        <f>SUMPRODUCT(((ISNUMBER('GRT Central'!L6:L1135))*('GRT Central'!L6:L1135=A204))*(('GRT Central'!K6:K1135="INSTALADO - OPERANDO")+('GRT Central'!K6:K1135="INSTALADO - SIN SEÑAL")&gt;0))</f>
        <v>0</v>
      </c>
      <c r="C204" s="44">
        <f>SUMPRODUCT(((ISNUMBER('GRT Occidente'!L6:L784))*('GRT Occidente'!L6:L784=A204))*(('GRT Occidente'!K6:K784="INSTALADO - OPERANDO")+('GRT Occidente'!K6:K784="INSTALADO - SIN SEÑAL")&gt;0))</f>
        <v>0</v>
      </c>
      <c r="D204" s="44">
        <f>SUMPRODUCT(((ISNUMBER('GRT Oriente'!L6:L400))*('GRT Oriente'!L6:L400=A204))*(('GRT Oriente'!K6:K400="INSTALADO - OPERANDO")+('GRT Oriente'!K6:K400="INSTALADO - SIN SEÑAL")&gt;0))</f>
        <v>0</v>
      </c>
      <c r="E204" s="44">
        <f>SUMPRODUCT(((ISNUMBER('GRT Valle de México'!L6:L740))*('GRT Valle de México'!L6:L740=A204))*(('GRT Valle de México'!K6:K740="INSTALADO - OPERANDO")+('GRT Valle de México'!K6:K740="INSTALADO - SIN SEÑAL")&gt;0))</f>
        <v>0</v>
      </c>
      <c r="F204" s="44">
        <f>SUMPRODUCT(((ISNUMBER('GRT Noroeste'!L6:L372))*('GRT Noroeste'!L6:L372=A204))*(('GRT Noroeste'!K6:K372="INSTALADO - OPERANDO")+('GRT Noroeste'!K6:K372="INSTALADO - SIN SEÑAL")&gt;0))</f>
        <v>0</v>
      </c>
      <c r="G204" s="44">
        <f>SUMPRODUCT(((ISNUMBER('GRT Norte'!L6:L296))*('GRT Norte'!L6:L296=A204))*(('GRT Norte'!K6:K296="INSTALADO - OPERANDO")+('GRT Norte'!K6:K296="INSTALADO - SIN SEÑAL")&gt;0))</f>
        <v>0</v>
      </c>
      <c r="H204" s="44">
        <f>SUMPRODUCT(((ISNUMBER('GRT Noreste'!L6:L262))*('GRT Noreste'!L6:L262=A204))*(('GRT Noreste'!K6:K262="INSTALADO - OPERANDO")+('GRT Noreste'!K6:K262="INSTALADO - SIN SEÑAL")&gt;0))</f>
        <v>0</v>
      </c>
      <c r="I204" s="44">
        <f>SUMPRODUCT(((ISNUMBER('GRT Baja California'!L6:L281))*('GRT Baja California'!L6:L281=A204))*(('GRT Baja California'!K6:K281="INSTALADO - OPERANDO")+('GRT Baja California'!K6:K281="INSTALADO - SIN SEÑAL")&gt;0))</f>
        <v>0</v>
      </c>
      <c r="J204" s="64">
        <f t="shared" si="18"/>
        <v>0</v>
      </c>
      <c r="K204" s="54">
        <f t="shared" si="20"/>
        <v>1289</v>
      </c>
      <c r="L204" s="57">
        <f t="shared" si="19"/>
        <v>0.30472813238770685</v>
      </c>
      <c r="M204" s="58"/>
    </row>
    <row r="205" spans="1:13" ht="15" customHeight="1"/>
    <row r="206" spans="1:13" ht="15" customHeight="1"/>
    <row r="207" spans="1:13" ht="15" customHeight="1"/>
    <row r="208" spans="1:13"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sheetData>
  <mergeCells count="2">
    <mergeCell ref="A1:N2"/>
    <mergeCell ref="A3:N3"/>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96B"/>
  </sheetPr>
  <dimension ref="A1:O45"/>
  <sheetViews>
    <sheetView showGridLines="0" zoomScaleNormal="100" workbookViewId="0">
      <pane ySplit="6" topLeftCell="A13" activePane="bottomLeft" state="frozen"/>
      <selection pane="bottomLeft" activeCell="I28" sqref="I28"/>
    </sheetView>
  </sheetViews>
  <sheetFormatPr defaultColWidth="8.7109375" defaultRowHeight="15"/>
  <cols>
    <col min="1" max="1" width="5" customWidth="1"/>
    <col min="2" max="2" width="11" customWidth="1"/>
    <col min="3" max="3" width="22" customWidth="1"/>
    <col min="4" max="4" width="28" customWidth="1"/>
    <col min="5" max="6" width="12" customWidth="1"/>
    <col min="7" max="8" width="13" customWidth="1"/>
    <col min="9" max="10" width="16" customWidth="1"/>
    <col min="11" max="11" width="8" customWidth="1"/>
    <col min="12" max="12" width="10" customWidth="1"/>
    <col min="13" max="13" width="12" customWidth="1"/>
    <col min="14" max="14" width="14" customWidth="1"/>
    <col min="15" max="15" width="22" customWidth="1"/>
  </cols>
  <sheetData>
    <row r="1" spans="1:15" ht="33.75" customHeight="1">
      <c r="A1" s="242" t="s">
        <v>9780</v>
      </c>
      <c r="B1" s="260"/>
      <c r="C1" s="260"/>
      <c r="D1" s="260"/>
      <c r="E1" s="260"/>
      <c r="F1" s="260"/>
      <c r="G1" s="260"/>
      <c r="H1" s="260"/>
      <c r="I1" s="260"/>
      <c r="J1" s="260"/>
      <c r="K1" s="260"/>
      <c r="L1" s="260"/>
      <c r="M1" s="260"/>
      <c r="N1" s="260"/>
      <c r="O1" s="260"/>
    </row>
    <row r="2" spans="1:15" ht="4.5" customHeight="1">
      <c r="A2" s="260"/>
      <c r="B2" s="260"/>
      <c r="C2" s="260"/>
      <c r="D2" s="260"/>
      <c r="E2" s="260"/>
      <c r="F2" s="260"/>
      <c r="G2" s="260"/>
      <c r="H2" s="260"/>
      <c r="I2" s="260"/>
      <c r="J2" s="260"/>
      <c r="K2" s="260"/>
      <c r="L2" s="260"/>
      <c r="M2" s="260"/>
      <c r="N2" s="260"/>
      <c r="O2" s="260"/>
    </row>
    <row r="3" spans="1:15" ht="18" customHeight="1">
      <c r="A3" s="245" t="s">
        <v>9781</v>
      </c>
      <c r="B3" s="260"/>
      <c r="C3" s="260"/>
      <c r="D3" s="260"/>
      <c r="E3" s="260"/>
      <c r="F3" s="260"/>
      <c r="G3" s="260"/>
      <c r="H3" s="260"/>
      <c r="I3" s="260"/>
      <c r="J3" s="260"/>
      <c r="K3" s="260"/>
      <c r="L3" s="260"/>
      <c r="M3" s="260"/>
      <c r="N3" s="260"/>
      <c r="O3" s="260"/>
    </row>
    <row r="4" spans="1:15" ht="15.75" customHeight="1">
      <c r="A4" s="244" t="s">
        <v>9782</v>
      </c>
      <c r="B4" s="260"/>
      <c r="C4" s="260"/>
      <c r="D4" s="260"/>
      <c r="E4" s="260"/>
      <c r="F4" s="260"/>
      <c r="G4" s="260"/>
      <c r="H4" s="260"/>
      <c r="I4" s="260"/>
      <c r="J4" s="260"/>
      <c r="K4" s="260"/>
      <c r="L4" s="260"/>
      <c r="M4" s="260"/>
      <c r="N4" s="260"/>
      <c r="O4" s="260"/>
    </row>
    <row r="5" spans="1:15" ht="4.5" customHeight="1"/>
    <row r="6" spans="1:15" ht="31.5" customHeight="1">
      <c r="A6" s="66" t="s">
        <v>9783</v>
      </c>
      <c r="B6" s="66" t="s">
        <v>9784</v>
      </c>
      <c r="C6" s="66" t="s">
        <v>91</v>
      </c>
      <c r="D6" s="66" t="s">
        <v>9785</v>
      </c>
      <c r="E6" s="66" t="s">
        <v>9786</v>
      </c>
      <c r="F6" s="66" t="s">
        <v>9787</v>
      </c>
      <c r="G6" s="66" t="s">
        <v>9788</v>
      </c>
      <c r="H6" s="66" t="s">
        <v>9789</v>
      </c>
      <c r="I6" s="66" t="s">
        <v>94</v>
      </c>
      <c r="J6" s="66" t="s">
        <v>9790</v>
      </c>
      <c r="K6" s="66" t="s">
        <v>9791</v>
      </c>
      <c r="L6" s="66" t="s">
        <v>9792</v>
      </c>
      <c r="M6" s="66" t="s">
        <v>9793</v>
      </c>
      <c r="N6" s="66" t="s">
        <v>9794</v>
      </c>
      <c r="O6" s="66" t="s">
        <v>9773</v>
      </c>
    </row>
    <row r="7" spans="1:15" ht="18" customHeight="1">
      <c r="A7" s="42">
        <v>1</v>
      </c>
      <c r="B7" s="54" t="s">
        <v>9795</v>
      </c>
      <c r="C7" s="67" t="s">
        <v>50</v>
      </c>
      <c r="D7" s="43" t="s">
        <v>9796</v>
      </c>
      <c r="E7" s="68">
        <v>139</v>
      </c>
      <c r="F7" s="69">
        <v>139</v>
      </c>
      <c r="G7" s="180">
        <v>46086</v>
      </c>
      <c r="H7" s="55">
        <v>46087</v>
      </c>
      <c r="I7" s="70" t="s">
        <v>9797</v>
      </c>
      <c r="J7" s="55">
        <v>46087</v>
      </c>
      <c r="K7" s="71" t="s">
        <v>9798</v>
      </c>
      <c r="L7" s="71" t="s">
        <v>9798</v>
      </c>
      <c r="M7" s="71">
        <f t="shared" ref="M7:M32" si="0">IF(I7="ENTREGADO",E7-F7,E7)</f>
        <v>0</v>
      </c>
      <c r="N7" s="72">
        <f t="shared" ref="N7:N32" si="1">IF(OR(E7=0,F7=""),"",(IF(ISNUMBER(F7),F7,0)/E7))</f>
        <v>1</v>
      </c>
      <c r="O7" s="73"/>
    </row>
    <row r="8" spans="1:15" ht="18" customHeight="1">
      <c r="A8" s="39">
        <v>2</v>
      </c>
      <c r="B8" s="49" t="s">
        <v>9795</v>
      </c>
      <c r="C8" s="67" t="s">
        <v>50</v>
      </c>
      <c r="D8" s="40" t="s">
        <v>5640</v>
      </c>
      <c r="E8" s="68">
        <v>227</v>
      </c>
      <c r="F8" s="69">
        <v>227</v>
      </c>
      <c r="G8" s="179">
        <v>46086</v>
      </c>
      <c r="H8" s="50">
        <v>46087</v>
      </c>
      <c r="I8" s="70" t="s">
        <v>9797</v>
      </c>
      <c r="J8" s="50">
        <v>46087</v>
      </c>
      <c r="K8" s="74" t="s">
        <v>9798</v>
      </c>
      <c r="L8" s="74" t="s">
        <v>9798</v>
      </c>
      <c r="M8" s="74">
        <f t="shared" si="0"/>
        <v>0</v>
      </c>
      <c r="N8" s="75">
        <f t="shared" si="1"/>
        <v>1</v>
      </c>
      <c r="O8" s="73"/>
    </row>
    <row r="9" spans="1:15" ht="18" customHeight="1">
      <c r="A9" s="42">
        <v>3</v>
      </c>
      <c r="B9" s="54" t="s">
        <v>9799</v>
      </c>
      <c r="C9" s="67" t="s">
        <v>50</v>
      </c>
      <c r="D9" s="43" t="s">
        <v>5640</v>
      </c>
      <c r="E9" s="68">
        <v>231</v>
      </c>
      <c r="F9" s="69">
        <v>231</v>
      </c>
      <c r="G9" s="180">
        <v>46093</v>
      </c>
      <c r="H9" s="55">
        <v>46094</v>
      </c>
      <c r="I9" s="70" t="s">
        <v>9797</v>
      </c>
      <c r="J9" s="55">
        <v>46094</v>
      </c>
      <c r="K9" s="71" t="s">
        <v>9798</v>
      </c>
      <c r="L9" s="71" t="s">
        <v>9798</v>
      </c>
      <c r="M9" s="71">
        <f t="shared" si="0"/>
        <v>0</v>
      </c>
      <c r="N9" s="72">
        <f t="shared" si="1"/>
        <v>1</v>
      </c>
      <c r="O9" s="73"/>
    </row>
    <row r="10" spans="1:15" ht="18" customHeight="1">
      <c r="A10" s="39">
        <v>4</v>
      </c>
      <c r="B10" s="49" t="s">
        <v>9799</v>
      </c>
      <c r="C10" s="67" t="s">
        <v>50</v>
      </c>
      <c r="D10" s="40" t="s">
        <v>9796</v>
      </c>
      <c r="E10" s="68">
        <v>63</v>
      </c>
      <c r="F10" s="69">
        <v>63</v>
      </c>
      <c r="G10" s="179">
        <v>46097</v>
      </c>
      <c r="H10" s="50">
        <v>46098</v>
      </c>
      <c r="I10" s="70" t="s">
        <v>9797</v>
      </c>
      <c r="J10" s="50">
        <v>46098</v>
      </c>
      <c r="K10" s="74" t="s">
        <v>9798</v>
      </c>
      <c r="L10" s="74" t="s">
        <v>9798</v>
      </c>
      <c r="M10" s="74">
        <f t="shared" si="0"/>
        <v>0</v>
      </c>
      <c r="N10" s="75">
        <f t="shared" si="1"/>
        <v>1</v>
      </c>
      <c r="O10" s="73"/>
    </row>
    <row r="11" spans="1:15" ht="18" customHeight="1">
      <c r="A11" s="42">
        <v>5</v>
      </c>
      <c r="B11" s="54" t="s">
        <v>9800</v>
      </c>
      <c r="C11" s="76" t="s">
        <v>53</v>
      </c>
      <c r="D11" s="43" t="s">
        <v>1110</v>
      </c>
      <c r="E11" s="68">
        <v>45</v>
      </c>
      <c r="F11" s="69">
        <v>45</v>
      </c>
      <c r="G11" s="180">
        <v>46126</v>
      </c>
      <c r="H11" s="55">
        <v>46126</v>
      </c>
      <c r="I11" s="70" t="s">
        <v>9797</v>
      </c>
      <c r="J11" s="55">
        <v>46127</v>
      </c>
      <c r="K11" s="71" t="s">
        <v>9798</v>
      </c>
      <c r="L11" s="71" t="s">
        <v>9798</v>
      </c>
      <c r="M11" s="71">
        <f t="shared" si="0"/>
        <v>0</v>
      </c>
      <c r="N11" s="72">
        <f t="shared" si="1"/>
        <v>1</v>
      </c>
      <c r="O11" s="73"/>
    </row>
    <row r="12" spans="1:15" ht="18" customHeight="1">
      <c r="A12" s="39">
        <v>6</v>
      </c>
      <c r="B12" s="49" t="s">
        <v>9800</v>
      </c>
      <c r="C12" s="77" t="s">
        <v>52</v>
      </c>
      <c r="D12" s="40" t="s">
        <v>8982</v>
      </c>
      <c r="E12" s="68">
        <v>197</v>
      </c>
      <c r="F12" s="69">
        <v>183</v>
      </c>
      <c r="G12" s="179">
        <v>46126</v>
      </c>
      <c r="H12" s="50">
        <v>46128</v>
      </c>
      <c r="I12" s="70" t="s">
        <v>9797</v>
      </c>
      <c r="J12" s="50">
        <v>46128</v>
      </c>
      <c r="K12" s="74" t="s">
        <v>9798</v>
      </c>
      <c r="L12" s="74" t="s">
        <v>9798</v>
      </c>
      <c r="M12" s="74">
        <f t="shared" si="0"/>
        <v>14</v>
      </c>
      <c r="N12" s="75">
        <f t="shared" si="1"/>
        <v>0.92893401015228427</v>
      </c>
      <c r="O12" s="73"/>
    </row>
    <row r="13" spans="1:15" ht="18" customHeight="1">
      <c r="A13" s="42">
        <v>7</v>
      </c>
      <c r="B13" s="54" t="s">
        <v>9801</v>
      </c>
      <c r="C13" s="76" t="s">
        <v>53</v>
      </c>
      <c r="D13" s="43" t="s">
        <v>1184</v>
      </c>
      <c r="E13" s="68">
        <v>121</v>
      </c>
      <c r="F13" s="69">
        <v>121</v>
      </c>
      <c r="G13" s="180">
        <v>46132</v>
      </c>
      <c r="H13" s="55">
        <v>46132</v>
      </c>
      <c r="I13" s="70" t="s">
        <v>9797</v>
      </c>
      <c r="J13" s="55">
        <v>46132</v>
      </c>
      <c r="K13" s="71" t="s">
        <v>9798</v>
      </c>
      <c r="L13" s="71" t="s">
        <v>9798</v>
      </c>
      <c r="M13" s="71">
        <f t="shared" si="0"/>
        <v>0</v>
      </c>
      <c r="N13" s="72">
        <f t="shared" si="1"/>
        <v>1</v>
      </c>
      <c r="O13" s="73"/>
    </row>
    <row r="14" spans="1:15" ht="18" customHeight="1">
      <c r="A14" s="39">
        <v>8</v>
      </c>
      <c r="B14" s="49" t="s">
        <v>9802</v>
      </c>
      <c r="C14" s="76" t="s">
        <v>53</v>
      </c>
      <c r="D14" s="40" t="s">
        <v>1110</v>
      </c>
      <c r="E14" s="68">
        <v>240</v>
      </c>
      <c r="F14" s="69">
        <v>247</v>
      </c>
      <c r="G14" s="179">
        <v>46132</v>
      </c>
      <c r="H14" s="50">
        <v>46132</v>
      </c>
      <c r="I14" s="70" t="s">
        <v>9797</v>
      </c>
      <c r="J14" s="50">
        <v>46132</v>
      </c>
      <c r="K14" s="74" t="s">
        <v>9798</v>
      </c>
      <c r="L14" s="74" t="s">
        <v>9798</v>
      </c>
      <c r="M14" s="74">
        <f t="shared" si="0"/>
        <v>-7</v>
      </c>
      <c r="N14" s="75">
        <f t="shared" si="1"/>
        <v>1.0291666666666666</v>
      </c>
      <c r="O14" s="73"/>
    </row>
    <row r="15" spans="1:15" ht="18" customHeight="1">
      <c r="A15" s="42">
        <v>9</v>
      </c>
      <c r="B15" s="54" t="s">
        <v>9803</v>
      </c>
      <c r="C15" s="76" t="s">
        <v>53</v>
      </c>
      <c r="D15" s="43" t="s">
        <v>1110</v>
      </c>
      <c r="E15" s="68">
        <v>54</v>
      </c>
      <c r="F15" s="69">
        <v>0</v>
      </c>
      <c r="G15" s="180">
        <v>46132</v>
      </c>
      <c r="H15" s="55">
        <v>46132</v>
      </c>
      <c r="I15" s="70" t="s">
        <v>9797</v>
      </c>
      <c r="J15" s="55">
        <v>46132</v>
      </c>
      <c r="K15" s="45" t="s">
        <v>9804</v>
      </c>
      <c r="L15" s="45" t="s">
        <v>9804</v>
      </c>
      <c r="M15" s="71">
        <f t="shared" si="0"/>
        <v>54</v>
      </c>
      <c r="N15" s="72">
        <f t="shared" si="1"/>
        <v>0</v>
      </c>
      <c r="O15" s="73"/>
    </row>
    <row r="16" spans="1:15" ht="18" customHeight="1">
      <c r="A16" s="39">
        <v>10</v>
      </c>
      <c r="B16" s="49" t="s">
        <v>9805</v>
      </c>
      <c r="C16" s="78" t="s">
        <v>51</v>
      </c>
      <c r="D16" s="40" t="s">
        <v>1539</v>
      </c>
      <c r="E16" s="68">
        <v>329</v>
      </c>
      <c r="F16" s="69">
        <v>336</v>
      </c>
      <c r="G16" s="179">
        <v>46132</v>
      </c>
      <c r="H16" s="50">
        <v>46133</v>
      </c>
      <c r="I16" s="70" t="s">
        <v>9797</v>
      </c>
      <c r="J16" s="50">
        <v>46133</v>
      </c>
      <c r="K16" s="74" t="s">
        <v>9798</v>
      </c>
      <c r="L16" s="74" t="s">
        <v>9798</v>
      </c>
      <c r="M16" s="74">
        <f t="shared" si="0"/>
        <v>-7</v>
      </c>
      <c r="N16" s="75">
        <f t="shared" si="1"/>
        <v>1.0212765957446808</v>
      </c>
      <c r="O16" s="73"/>
    </row>
    <row r="17" spans="1:15" ht="18" customHeight="1">
      <c r="A17" s="42">
        <v>11</v>
      </c>
      <c r="B17" s="54" t="s">
        <v>9801</v>
      </c>
      <c r="C17" s="67" t="s">
        <v>50</v>
      </c>
      <c r="D17" s="43" t="s">
        <v>1532</v>
      </c>
      <c r="E17" s="68">
        <v>400</v>
      </c>
      <c r="F17" s="69">
        <v>396</v>
      </c>
      <c r="G17" s="180">
        <v>46132</v>
      </c>
      <c r="H17" s="55">
        <v>46133</v>
      </c>
      <c r="I17" s="70" t="s">
        <v>9797</v>
      </c>
      <c r="J17" s="55">
        <v>46133</v>
      </c>
      <c r="K17" s="71" t="s">
        <v>9798</v>
      </c>
      <c r="L17" s="71" t="s">
        <v>9798</v>
      </c>
      <c r="M17" s="71">
        <f t="shared" si="0"/>
        <v>4</v>
      </c>
      <c r="N17" s="72">
        <f t="shared" si="1"/>
        <v>0.99</v>
      </c>
      <c r="O17" s="73"/>
    </row>
    <row r="18" spans="1:15" ht="18" customHeight="1">
      <c r="A18" s="39">
        <v>12</v>
      </c>
      <c r="B18" s="49" t="s">
        <v>9801</v>
      </c>
      <c r="C18" s="78" t="s">
        <v>51</v>
      </c>
      <c r="D18" s="40" t="s">
        <v>1539</v>
      </c>
      <c r="E18" s="68">
        <v>59</v>
      </c>
      <c r="F18" s="69">
        <v>44</v>
      </c>
      <c r="G18" s="179">
        <v>46132</v>
      </c>
      <c r="H18" s="50">
        <v>46134</v>
      </c>
      <c r="I18" s="70" t="s">
        <v>9797</v>
      </c>
      <c r="J18" s="50">
        <v>46134</v>
      </c>
      <c r="K18" s="74" t="s">
        <v>9798</v>
      </c>
      <c r="L18" s="74" t="s">
        <v>9798</v>
      </c>
      <c r="M18" s="74">
        <f t="shared" si="0"/>
        <v>15</v>
      </c>
      <c r="N18" s="75">
        <f t="shared" si="1"/>
        <v>0.74576271186440679</v>
      </c>
      <c r="O18" s="73"/>
    </row>
    <row r="19" spans="1:15" ht="18" customHeight="1">
      <c r="A19" s="42">
        <v>13</v>
      </c>
      <c r="B19" s="54" t="s">
        <v>9806</v>
      </c>
      <c r="C19" s="67" t="s">
        <v>50</v>
      </c>
      <c r="D19" s="43" t="s">
        <v>3449</v>
      </c>
      <c r="E19" s="68">
        <v>55</v>
      </c>
      <c r="F19" s="159">
        <v>55</v>
      </c>
      <c r="G19" s="180">
        <v>46133</v>
      </c>
      <c r="H19" s="55">
        <v>46147</v>
      </c>
      <c r="I19" s="70" t="s">
        <v>9797</v>
      </c>
      <c r="J19" s="161" t="s">
        <v>9807</v>
      </c>
      <c r="K19" s="71" t="s">
        <v>9798</v>
      </c>
      <c r="L19" s="71" t="s">
        <v>9798</v>
      </c>
      <c r="M19" s="71">
        <f t="shared" si="0"/>
        <v>0</v>
      </c>
      <c r="N19" s="72">
        <f t="shared" si="1"/>
        <v>1</v>
      </c>
      <c r="O19" s="73"/>
    </row>
    <row r="20" spans="1:15" ht="18" customHeight="1">
      <c r="A20" s="39">
        <v>14</v>
      </c>
      <c r="B20" s="49" t="s">
        <v>9808</v>
      </c>
      <c r="C20" s="78" t="s">
        <v>51</v>
      </c>
      <c r="D20" s="40" t="s">
        <v>4693</v>
      </c>
      <c r="E20" s="68">
        <v>74</v>
      </c>
      <c r="F20" s="160">
        <v>74</v>
      </c>
      <c r="G20" s="179">
        <v>46135</v>
      </c>
      <c r="H20" s="50">
        <v>46136</v>
      </c>
      <c r="I20" s="70" t="s">
        <v>9797</v>
      </c>
      <c r="J20" s="162" t="s">
        <v>9809</v>
      </c>
      <c r="K20" s="74" t="s">
        <v>9798</v>
      </c>
      <c r="L20" s="74" t="s">
        <v>9798</v>
      </c>
      <c r="M20" s="74">
        <f t="shared" si="0"/>
        <v>0</v>
      </c>
      <c r="N20" s="75">
        <f t="shared" si="1"/>
        <v>1</v>
      </c>
      <c r="O20" s="73"/>
    </row>
    <row r="21" spans="1:15" ht="18" customHeight="1">
      <c r="A21" s="42">
        <v>15</v>
      </c>
      <c r="B21" s="54" t="s">
        <v>9810</v>
      </c>
      <c r="C21" s="79" t="s">
        <v>54</v>
      </c>
      <c r="D21" s="43" t="s">
        <v>6740</v>
      </c>
      <c r="E21" s="68">
        <v>63</v>
      </c>
      <c r="F21" s="160">
        <v>90</v>
      </c>
      <c r="G21" s="180">
        <v>46135</v>
      </c>
      <c r="H21" s="55">
        <v>46142</v>
      </c>
      <c r="I21" s="80" t="s">
        <v>9797</v>
      </c>
      <c r="J21" s="163" t="s">
        <v>9811</v>
      </c>
      <c r="K21" s="71" t="s">
        <v>9798</v>
      </c>
      <c r="L21" s="71" t="s">
        <v>9798</v>
      </c>
      <c r="M21" s="81">
        <f t="shared" si="0"/>
        <v>-27</v>
      </c>
      <c r="N21" s="72">
        <f t="shared" si="1"/>
        <v>1.4285714285714286</v>
      </c>
      <c r="O21" s="73"/>
    </row>
    <row r="22" spans="1:15" ht="18" customHeight="1">
      <c r="A22" s="39">
        <v>16</v>
      </c>
      <c r="B22" s="49" t="s">
        <v>9812</v>
      </c>
      <c r="C22" s="79" t="s">
        <v>54</v>
      </c>
      <c r="D22" s="40" t="s">
        <v>6740</v>
      </c>
      <c r="E22" s="68">
        <v>99</v>
      </c>
      <c r="F22" s="160">
        <v>63</v>
      </c>
      <c r="G22" s="179">
        <v>46136</v>
      </c>
      <c r="H22" s="50">
        <v>46139</v>
      </c>
      <c r="I22" s="82" t="s">
        <v>9797</v>
      </c>
      <c r="J22" s="162" t="s">
        <v>9813</v>
      </c>
      <c r="K22" s="71" t="s">
        <v>9798</v>
      </c>
      <c r="L22" s="71" t="s">
        <v>9798</v>
      </c>
      <c r="M22" s="83">
        <f t="shared" si="0"/>
        <v>36</v>
      </c>
      <c r="N22" s="75">
        <f t="shared" si="1"/>
        <v>0.63636363636363635</v>
      </c>
      <c r="O22" s="73"/>
    </row>
    <row r="23" spans="1:15" ht="18" customHeight="1">
      <c r="A23" s="42">
        <v>17</v>
      </c>
      <c r="B23" s="54" t="s">
        <v>9812</v>
      </c>
      <c r="C23" s="79" t="s">
        <v>54</v>
      </c>
      <c r="D23" s="43" t="s">
        <v>6895</v>
      </c>
      <c r="E23" s="68">
        <v>205</v>
      </c>
      <c r="F23" s="160">
        <v>194</v>
      </c>
      <c r="G23" s="180">
        <v>46136</v>
      </c>
      <c r="H23" s="55">
        <v>46140</v>
      </c>
      <c r="I23" s="82" t="s">
        <v>9797</v>
      </c>
      <c r="J23" s="162" t="s">
        <v>9813</v>
      </c>
      <c r="K23" s="71" t="s">
        <v>9798</v>
      </c>
      <c r="L23" s="71" t="s">
        <v>9798</v>
      </c>
      <c r="M23" s="81">
        <f t="shared" si="0"/>
        <v>11</v>
      </c>
      <c r="N23" s="72">
        <f t="shared" si="1"/>
        <v>0.9463414634146341</v>
      </c>
      <c r="O23" s="73"/>
    </row>
    <row r="24" spans="1:15" ht="18" customHeight="1">
      <c r="A24" s="39">
        <v>18</v>
      </c>
      <c r="B24" s="49" t="s">
        <v>9812</v>
      </c>
      <c r="C24" s="84" t="s">
        <v>57</v>
      </c>
      <c r="D24" s="40" t="s">
        <v>103</v>
      </c>
      <c r="E24" s="68">
        <v>276</v>
      </c>
      <c r="F24" s="160">
        <v>227</v>
      </c>
      <c r="G24" s="50">
        <v>46136</v>
      </c>
      <c r="H24" s="50">
        <v>46142</v>
      </c>
      <c r="I24" s="82" t="s">
        <v>9797</v>
      </c>
      <c r="J24" s="162" t="s">
        <v>9814</v>
      </c>
      <c r="K24" s="46" t="s">
        <v>9804</v>
      </c>
      <c r="L24" s="46" t="s">
        <v>9804</v>
      </c>
      <c r="M24" s="83">
        <f t="shared" si="0"/>
        <v>49</v>
      </c>
      <c r="N24" s="75">
        <f t="shared" si="1"/>
        <v>0.82246376811594202</v>
      </c>
      <c r="O24" s="73"/>
    </row>
    <row r="25" spans="1:15" ht="18" customHeight="1">
      <c r="A25" s="42">
        <v>19</v>
      </c>
      <c r="B25" s="54" t="s">
        <v>9815</v>
      </c>
      <c r="C25" s="85" t="s">
        <v>55</v>
      </c>
      <c r="D25" s="43" t="s">
        <v>435</v>
      </c>
      <c r="E25" s="68">
        <v>291</v>
      </c>
      <c r="F25" s="160">
        <v>291</v>
      </c>
      <c r="G25" s="55">
        <v>46139</v>
      </c>
      <c r="H25" s="55">
        <v>46142</v>
      </c>
      <c r="I25" s="82" t="s">
        <v>9797</v>
      </c>
      <c r="J25" s="162" t="s">
        <v>9814</v>
      </c>
      <c r="K25" s="45" t="s">
        <v>9804</v>
      </c>
      <c r="L25" s="45" t="s">
        <v>9804</v>
      </c>
      <c r="M25" s="81">
        <f t="shared" si="0"/>
        <v>0</v>
      </c>
      <c r="N25" s="72">
        <f t="shared" si="1"/>
        <v>1</v>
      </c>
      <c r="O25" s="73"/>
    </row>
    <row r="26" spans="1:15" ht="18" customHeight="1">
      <c r="A26" s="39">
        <v>20</v>
      </c>
      <c r="B26" s="49" t="s">
        <v>9816</v>
      </c>
      <c r="C26" s="76" t="s">
        <v>53</v>
      </c>
      <c r="D26" s="40" t="s">
        <v>1184</v>
      </c>
      <c r="E26" s="68">
        <v>158</v>
      </c>
      <c r="F26" s="160">
        <v>124</v>
      </c>
      <c r="G26" s="179">
        <v>46139</v>
      </c>
      <c r="H26" s="50">
        <v>46140</v>
      </c>
      <c r="I26" s="82" t="s">
        <v>9797</v>
      </c>
      <c r="J26" s="162" t="s">
        <v>9813</v>
      </c>
      <c r="K26" s="71" t="s">
        <v>9798</v>
      </c>
      <c r="L26" s="71" t="s">
        <v>9798</v>
      </c>
      <c r="M26" s="83">
        <f t="shared" si="0"/>
        <v>34</v>
      </c>
      <c r="N26" s="75">
        <f t="shared" si="1"/>
        <v>0.78481012658227844</v>
      </c>
      <c r="O26" s="73"/>
    </row>
    <row r="27" spans="1:15" ht="18" customHeight="1">
      <c r="A27" s="42">
        <v>21</v>
      </c>
      <c r="B27" s="54" t="s">
        <v>9816</v>
      </c>
      <c r="C27" s="67" t="s">
        <v>50</v>
      </c>
      <c r="D27" s="43" t="s">
        <v>3391</v>
      </c>
      <c r="E27" s="68">
        <v>15</v>
      </c>
      <c r="F27" s="160">
        <v>12</v>
      </c>
      <c r="G27" s="55">
        <v>46139</v>
      </c>
      <c r="H27" s="55">
        <v>46141</v>
      </c>
      <c r="I27" s="82" t="s">
        <v>9797</v>
      </c>
      <c r="J27" s="162" t="s">
        <v>9813</v>
      </c>
      <c r="K27" s="71" t="s">
        <v>9798</v>
      </c>
      <c r="L27" s="71" t="s">
        <v>9798</v>
      </c>
      <c r="M27" s="81">
        <f t="shared" si="0"/>
        <v>3</v>
      </c>
      <c r="N27" s="72">
        <f t="shared" si="1"/>
        <v>0.8</v>
      </c>
      <c r="O27" s="73"/>
    </row>
    <row r="28" spans="1:15" ht="18" customHeight="1">
      <c r="A28" s="39">
        <v>22</v>
      </c>
      <c r="B28" s="49" t="s">
        <v>9816</v>
      </c>
      <c r="C28" s="78" t="s">
        <v>51</v>
      </c>
      <c r="D28" s="40" t="s">
        <v>4693</v>
      </c>
      <c r="E28" s="68">
        <v>317</v>
      </c>
      <c r="F28" s="160">
        <v>277</v>
      </c>
      <c r="G28" s="50">
        <v>46139</v>
      </c>
      <c r="H28" s="50">
        <v>46142</v>
      </c>
      <c r="I28" s="82" t="s">
        <v>9797</v>
      </c>
      <c r="J28" s="162" t="s">
        <v>9814</v>
      </c>
      <c r="K28" s="46" t="s">
        <v>9804</v>
      </c>
      <c r="L28" s="46" t="s">
        <v>9804</v>
      </c>
      <c r="M28" s="83">
        <f t="shared" si="0"/>
        <v>40</v>
      </c>
      <c r="N28" s="75">
        <f t="shared" si="1"/>
        <v>0.87381703470031546</v>
      </c>
      <c r="O28" s="73"/>
    </row>
    <row r="29" spans="1:15" ht="18" customHeight="1">
      <c r="A29" s="42">
        <v>23</v>
      </c>
      <c r="B29" s="54" t="s">
        <v>9817</v>
      </c>
      <c r="C29" s="77" t="s">
        <v>52</v>
      </c>
      <c r="D29" s="43" t="s">
        <v>2927</v>
      </c>
      <c r="E29" s="68">
        <v>198</v>
      </c>
      <c r="F29" s="160">
        <v>176</v>
      </c>
      <c r="G29" s="180">
        <v>46139</v>
      </c>
      <c r="H29" s="55">
        <v>46142</v>
      </c>
      <c r="I29" s="82" t="s">
        <v>9797</v>
      </c>
      <c r="J29" s="162" t="s">
        <v>9813</v>
      </c>
      <c r="K29" s="45" t="s">
        <v>9804</v>
      </c>
      <c r="L29" s="45" t="s">
        <v>9804</v>
      </c>
      <c r="M29" s="81">
        <f t="shared" si="0"/>
        <v>22</v>
      </c>
      <c r="N29" s="72">
        <f t="shared" si="1"/>
        <v>0.88888888888888884</v>
      </c>
      <c r="O29" s="73"/>
    </row>
    <row r="30" spans="1:15" ht="18" customHeight="1">
      <c r="A30" s="39">
        <v>24</v>
      </c>
      <c r="B30" s="49" t="s">
        <v>9818</v>
      </c>
      <c r="C30" s="86" t="s">
        <v>56</v>
      </c>
      <c r="D30" s="40" t="s">
        <v>440</v>
      </c>
      <c r="E30" s="68">
        <v>257</v>
      </c>
      <c r="F30" s="160">
        <v>245</v>
      </c>
      <c r="G30" s="50">
        <v>46139</v>
      </c>
      <c r="H30" s="50">
        <v>46142</v>
      </c>
      <c r="I30" s="82" t="s">
        <v>9797</v>
      </c>
      <c r="J30" s="162" t="s">
        <v>9819</v>
      </c>
      <c r="K30" s="46" t="s">
        <v>9804</v>
      </c>
      <c r="L30" s="46" t="s">
        <v>9804</v>
      </c>
      <c r="M30" s="83">
        <f t="shared" si="0"/>
        <v>12</v>
      </c>
      <c r="N30" s="75">
        <f t="shared" si="1"/>
        <v>0.953307392996109</v>
      </c>
      <c r="O30" s="73"/>
    </row>
    <row r="31" spans="1:15" ht="18" customHeight="1">
      <c r="A31" s="42">
        <v>25</v>
      </c>
      <c r="B31" s="54" t="s">
        <v>9816</v>
      </c>
      <c r="C31" s="76" t="s">
        <v>53</v>
      </c>
      <c r="D31" s="43" t="s">
        <v>1110</v>
      </c>
      <c r="E31" s="68">
        <v>90</v>
      </c>
      <c r="F31" s="160">
        <v>0</v>
      </c>
      <c r="G31" s="55"/>
      <c r="H31" s="55">
        <v>46142</v>
      </c>
      <c r="I31" s="82" t="s">
        <v>9820</v>
      </c>
      <c r="J31" s="178" t="s">
        <v>9821</v>
      </c>
      <c r="K31" s="45" t="s">
        <v>9822</v>
      </c>
      <c r="L31" s="45" t="s">
        <v>9822</v>
      </c>
      <c r="M31" s="81">
        <f t="shared" si="0"/>
        <v>90</v>
      </c>
      <c r="N31" s="72">
        <f t="shared" si="1"/>
        <v>0</v>
      </c>
      <c r="O31" s="73"/>
    </row>
    <row r="32" spans="1:15" ht="18" customHeight="1">
      <c r="A32" s="39">
        <v>26</v>
      </c>
      <c r="B32" s="49" t="s">
        <v>9823</v>
      </c>
      <c r="C32" s="76" t="s">
        <v>53</v>
      </c>
      <c r="D32" s="40" t="s">
        <v>1110</v>
      </c>
      <c r="E32" s="68">
        <v>27</v>
      </c>
      <c r="F32" s="160">
        <v>0</v>
      </c>
      <c r="G32" s="50"/>
      <c r="H32" s="50">
        <v>46142</v>
      </c>
      <c r="I32" s="82" t="s">
        <v>9820</v>
      </c>
      <c r="J32" s="162" t="s">
        <v>9824</v>
      </c>
      <c r="K32" s="46" t="s">
        <v>9822</v>
      </c>
      <c r="L32" s="46" t="s">
        <v>9822</v>
      </c>
      <c r="M32" s="83">
        <f t="shared" si="0"/>
        <v>27</v>
      </c>
      <c r="N32" s="75">
        <f t="shared" si="1"/>
        <v>0</v>
      </c>
      <c r="O32" s="73"/>
    </row>
    <row r="33" spans="1:15" ht="24" customHeight="1">
      <c r="A33" s="243" t="s">
        <v>69</v>
      </c>
      <c r="B33" s="290"/>
      <c r="C33" s="290"/>
      <c r="D33" s="290"/>
      <c r="E33" s="87">
        <f>SUM(E7:E32)</f>
        <v>4230</v>
      </c>
      <c r="F33" s="88">
        <f>SUM(F7:F32)</f>
        <v>3860</v>
      </c>
      <c r="G33" s="89"/>
      <c r="H33" s="89"/>
      <c r="I33" s="89"/>
      <c r="J33" s="89"/>
      <c r="K33" s="89"/>
      <c r="L33" s="89"/>
      <c r="M33" s="90">
        <f>E33-F33</f>
        <v>370</v>
      </c>
      <c r="N33" s="91">
        <f>IF(E33=0,"",F33/E33)</f>
        <v>0.91252955082742315</v>
      </c>
      <c r="O33" s="92"/>
    </row>
    <row r="35" spans="1:15" ht="21.75" customHeight="1">
      <c r="A35" s="241" t="s">
        <v>9825</v>
      </c>
      <c r="B35" s="260"/>
      <c r="C35" s="260"/>
      <c r="D35" s="260"/>
      <c r="E35" s="260"/>
      <c r="F35" s="260"/>
      <c r="G35" s="260"/>
      <c r="H35" s="260"/>
      <c r="I35" s="260"/>
      <c r="J35" s="260"/>
      <c r="K35" s="260"/>
      <c r="L35" s="260"/>
      <c r="M35" s="260"/>
      <c r="N35" s="260"/>
      <c r="O35" s="260"/>
    </row>
    <row r="36" spans="1:15" ht="27.75" customHeight="1">
      <c r="A36" s="93" t="s">
        <v>41</v>
      </c>
      <c r="B36" s="93" t="s">
        <v>9826</v>
      </c>
      <c r="C36" s="93" t="s">
        <v>9827</v>
      </c>
      <c r="D36" s="93" t="s">
        <v>9828</v>
      </c>
      <c r="E36" s="93" t="s">
        <v>9829</v>
      </c>
      <c r="F36" s="93" t="s">
        <v>9830</v>
      </c>
    </row>
    <row r="37" spans="1:15" ht="18" customHeight="1">
      <c r="A37" s="67" t="s">
        <v>50</v>
      </c>
      <c r="B37" s="54">
        <f>SUMIF(C7:C32,"GRT Central",E7:E32)</f>
        <v>1130</v>
      </c>
      <c r="C37" s="94">
        <f>SUMPRODUCT((C7:C32="GRT Central")*(I7:I32="ENTREGADO")*F7:F32)</f>
        <v>1123</v>
      </c>
      <c r="D37" s="81">
        <f t="shared" ref="D37:D44" si="2">B37-C37</f>
        <v>7</v>
      </c>
      <c r="E37" s="72">
        <f t="shared" ref="E37:E45" si="3">IF(B37=0,"",C37/B37)</f>
        <v>0.99380530973451331</v>
      </c>
      <c r="F37" s="42">
        <f>COUNTIF(C7:C32,"GRT Central")</f>
        <v>7</v>
      </c>
    </row>
    <row r="38" spans="1:15" ht="18" customHeight="1">
      <c r="A38" s="78" t="s">
        <v>51</v>
      </c>
      <c r="B38" s="49">
        <f>SUMIF(C7:C32,"GRT Occidente",E7:E32)</f>
        <v>779</v>
      </c>
      <c r="C38" s="94">
        <f>SUMPRODUCT((C7:C32="GRT Occidente")*(I7:I32="ENTREGADO")*F7:F32)</f>
        <v>731</v>
      </c>
      <c r="D38" s="83">
        <f t="shared" si="2"/>
        <v>48</v>
      </c>
      <c r="E38" s="75">
        <f t="shared" si="3"/>
        <v>0.93838254172015401</v>
      </c>
      <c r="F38" s="39">
        <f>COUNTIF(C7:C32,"GRT Occidente")</f>
        <v>4</v>
      </c>
    </row>
    <row r="39" spans="1:15" ht="18" customHeight="1">
      <c r="A39" s="77" t="s">
        <v>52</v>
      </c>
      <c r="B39" s="54">
        <f>SUMIF(C7:C32,"GRT Oriente",E7:E32)</f>
        <v>395</v>
      </c>
      <c r="C39" s="94">
        <f>SUMPRODUCT((C7:C32="GRT Oriente")*(I7:I32="ENTREGADO")*F7:F32)</f>
        <v>359</v>
      </c>
      <c r="D39" s="81">
        <f t="shared" si="2"/>
        <v>36</v>
      </c>
      <c r="E39" s="72">
        <f t="shared" si="3"/>
        <v>0.90886075949367084</v>
      </c>
      <c r="F39" s="42">
        <f>COUNTIF(C7:C32,"GRT Oriente")</f>
        <v>2</v>
      </c>
    </row>
    <row r="40" spans="1:15" ht="18" customHeight="1">
      <c r="A40" s="76" t="s">
        <v>53</v>
      </c>
      <c r="B40" s="49">
        <f>SUMIF(C7:C32,"GRT Valle de México",E7:E32)</f>
        <v>735</v>
      </c>
      <c r="C40" s="94">
        <f>SUMPRODUCT((C7:C32="GRT Valle de México")*(I7:I32="ENTREGADO")*F7:F32)</f>
        <v>537</v>
      </c>
      <c r="D40" s="83">
        <f t="shared" si="2"/>
        <v>198</v>
      </c>
      <c r="E40" s="75">
        <f t="shared" si="3"/>
        <v>0.73061224489795917</v>
      </c>
      <c r="F40" s="39">
        <f>COUNTIF(C7:C32,"GRT Valle de México")</f>
        <v>7</v>
      </c>
    </row>
    <row r="41" spans="1:15" ht="18" customHeight="1">
      <c r="A41" s="79" t="s">
        <v>54</v>
      </c>
      <c r="B41" s="54">
        <f>SUMIF(C7:C32,"GRT Noroeste",E7:E32)</f>
        <v>367</v>
      </c>
      <c r="C41" s="94">
        <f>SUMPRODUCT((C7:C32="GRT Noroeste")*(I7:I32="ENTREGADO")*F7:F32)</f>
        <v>347</v>
      </c>
      <c r="D41" s="81">
        <f t="shared" si="2"/>
        <v>20</v>
      </c>
      <c r="E41" s="72">
        <f t="shared" si="3"/>
        <v>0.94550408719346046</v>
      </c>
      <c r="F41" s="42">
        <f>COUNTIF(C7:C32,"GRT Noroeste")</f>
        <v>3</v>
      </c>
    </row>
    <row r="42" spans="1:15" ht="18" customHeight="1">
      <c r="A42" s="85" t="s">
        <v>55</v>
      </c>
      <c r="B42" s="49">
        <f>SUMIF(C7:C32,"GRT Norte",E7:E32)</f>
        <v>291</v>
      </c>
      <c r="C42" s="94" cm="1">
        <f t="array" ref="C42">SUMPRODUCT((C7:C32="GRT Norte")*(I7:I32="ENTREGADO")*F7:F32)</f>
        <v>291</v>
      </c>
      <c r="D42" s="83">
        <f t="shared" si="2"/>
        <v>0</v>
      </c>
      <c r="E42" s="75">
        <f t="shared" si="3"/>
        <v>1</v>
      </c>
      <c r="F42" s="39">
        <f>COUNTIF(C7:C32,"GRT Norte")</f>
        <v>1</v>
      </c>
    </row>
    <row r="43" spans="1:15" ht="18" customHeight="1">
      <c r="A43" s="86" t="s">
        <v>56</v>
      </c>
      <c r="B43" s="54">
        <f>SUMIF(C7:C32,"GRT Noreste",E7:E32)</f>
        <v>257</v>
      </c>
      <c r="C43" s="94">
        <f>SUMPRODUCT((C7:C32="GRT Noreste")*(I7:I32="ENTREGADO")*F7:F32)</f>
        <v>245</v>
      </c>
      <c r="D43" s="81">
        <f t="shared" si="2"/>
        <v>12</v>
      </c>
      <c r="E43" s="72">
        <f t="shared" si="3"/>
        <v>0.953307392996109</v>
      </c>
      <c r="F43" s="42">
        <f>COUNTIF(C7:C32,"GRT Noreste")</f>
        <v>1</v>
      </c>
    </row>
    <row r="44" spans="1:15" ht="18" customHeight="1">
      <c r="A44" s="84" t="s">
        <v>57</v>
      </c>
      <c r="B44" s="49">
        <f>SUMIF(C7:C32,"GRT Baja California",E7:E32)</f>
        <v>276</v>
      </c>
      <c r="C44" s="94">
        <f>SUMPRODUCT((C7:C32="GRT Baja California")*(I7:I32="ENTREGADO")*F7:F32)</f>
        <v>227</v>
      </c>
      <c r="D44" s="83">
        <f t="shared" si="2"/>
        <v>49</v>
      </c>
      <c r="E44" s="75">
        <f t="shared" si="3"/>
        <v>0.82246376811594202</v>
      </c>
      <c r="F44" s="39">
        <f>COUNTIF(C7:C32,"GRT Baja California")</f>
        <v>1</v>
      </c>
    </row>
    <row r="45" spans="1:15" ht="21.75" customHeight="1">
      <c r="A45" s="87" t="s">
        <v>58</v>
      </c>
      <c r="B45" s="87">
        <f>SUM(B37:B44)</f>
        <v>4230</v>
      </c>
      <c r="C45" s="87">
        <f>SUM(C37:C44)</f>
        <v>3860</v>
      </c>
      <c r="D45" s="87">
        <f>SUM(D37:D44)</f>
        <v>370</v>
      </c>
      <c r="E45" s="91">
        <f t="shared" si="3"/>
        <v>0.91252955082742315</v>
      </c>
      <c r="F45" s="87">
        <f>SUM(F37:F44)</f>
        <v>26</v>
      </c>
    </row>
  </sheetData>
  <mergeCells count="5">
    <mergeCell ref="A35:O35"/>
    <mergeCell ref="A1:O2"/>
    <mergeCell ref="A33:D33"/>
    <mergeCell ref="A4:O4"/>
    <mergeCell ref="A3:O3"/>
  </mergeCells>
  <conditionalFormatting sqref="I7:I32">
    <cfRule type="expression" dxfId="52" priority="2">
      <formula>EXACT($I7,"ENTREGADO")</formula>
    </cfRule>
    <cfRule type="expression" dxfId="51" priority="3">
      <formula>EXACT($I7,"INICIADO")</formula>
    </cfRule>
    <cfRule type="expression" dxfId="50" priority="4">
      <formula>EXACT($I7,"NO INICIADO")</formula>
    </cfRule>
    <cfRule type="expression" dxfId="49" priority="5">
      <formula>EXACT($I7,"EN TRÁNSITO")</formula>
    </cfRule>
  </conditionalFormatting>
  <conditionalFormatting sqref="M7:M32">
    <cfRule type="expression" dxfId="48" priority="6">
      <formula>AND($M7&gt;0,$I7="ENTREGADO")</formula>
    </cfRule>
  </conditionalFormatting>
  <dataValidations count="1">
    <dataValidation type="list" allowBlank="1" showErrorMessage="1" errorTitle="Estatus inválido" error="Selecciona: ENTREGADO, EN TRÁNSITO, INICIADO o NO INICIADO" sqref="I7:I32" xr:uid="{00000000-0002-0000-0800-000000000000}">
      <formula1>"ENTREGADO,EN TRÁNSITO,INICIADO,NO INICIADO"</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897B"/>
  </sheetPr>
  <dimension ref="A1:M281"/>
  <sheetViews>
    <sheetView showGridLines="0" zoomScaleNormal="100" workbookViewId="0">
      <pane ySplit="5" topLeftCell="A134" activePane="bottomLeft" state="frozen"/>
      <selection pane="bottomLeft" activeCell="B134" sqref="B134:B281"/>
    </sheetView>
  </sheetViews>
  <sheetFormatPr defaultColWidth="8.7109375" defaultRowHeight="15"/>
  <cols>
    <col min="1" max="1" width="5" customWidth="1"/>
    <col min="2" max="2" width="14" customWidth="1"/>
    <col min="3" max="3" width="36" customWidth="1"/>
    <col min="4" max="5" width="18" customWidth="1"/>
    <col min="6" max="6" width="16" customWidth="1"/>
    <col min="7" max="7" width="9" customWidth="1"/>
    <col min="8" max="8" width="20" customWidth="1"/>
    <col min="9" max="10" width="14" customWidth="1"/>
    <col min="11" max="11" width="26" customWidth="1"/>
    <col min="12" max="12" width="18" customWidth="1"/>
    <col min="13" max="13" width="30" customWidth="1"/>
  </cols>
  <sheetData>
    <row r="1" spans="1:13" ht="30" customHeight="1">
      <c r="A1" s="246" t="s">
        <v>9831</v>
      </c>
      <c r="B1" s="260"/>
      <c r="C1" s="260"/>
      <c r="D1" s="260"/>
      <c r="E1" s="260"/>
      <c r="F1" s="260"/>
      <c r="G1" s="260"/>
      <c r="H1" s="260"/>
      <c r="I1" s="260"/>
      <c r="J1" s="260"/>
      <c r="K1" s="260"/>
      <c r="L1" s="260"/>
      <c r="M1" s="260"/>
    </row>
    <row r="2" spans="1:13" ht="3.75" customHeight="1">
      <c r="A2" s="260"/>
      <c r="B2" s="260"/>
      <c r="C2" s="260"/>
      <c r="D2" s="260"/>
      <c r="E2" s="260"/>
      <c r="F2" s="260"/>
      <c r="G2" s="260"/>
      <c r="H2" s="260"/>
      <c r="I2" s="260"/>
      <c r="J2" s="260"/>
      <c r="K2" s="260"/>
      <c r="L2" s="260"/>
      <c r="M2" s="260"/>
    </row>
    <row r="3" spans="1:13" ht="15.75" customHeight="1">
      <c r="A3" s="193" t="s">
        <v>9832</v>
      </c>
      <c r="B3" s="260"/>
      <c r="C3" s="260"/>
      <c r="D3" s="260"/>
      <c r="E3" s="260"/>
      <c r="F3" s="260"/>
      <c r="G3" s="260"/>
      <c r="H3" s="260"/>
      <c r="I3" s="260"/>
      <c r="J3" s="260"/>
      <c r="K3" s="260"/>
      <c r="L3" s="260"/>
      <c r="M3" s="260"/>
    </row>
    <row r="4" spans="1:13" ht="3" customHeight="1">
      <c r="A4" s="247"/>
      <c r="B4" s="260"/>
      <c r="C4" s="260"/>
      <c r="D4" s="260"/>
      <c r="E4" s="260"/>
      <c r="F4" s="260"/>
      <c r="G4" s="260"/>
      <c r="H4" s="260"/>
      <c r="I4" s="260"/>
      <c r="J4" s="260"/>
      <c r="K4" s="260"/>
      <c r="L4" s="260"/>
      <c r="M4" s="260"/>
    </row>
    <row r="5" spans="1:13" ht="21.75" customHeight="1">
      <c r="A5" s="115" t="s">
        <v>9783</v>
      </c>
      <c r="B5" s="115" t="s">
        <v>84</v>
      </c>
      <c r="C5" s="115" t="s">
        <v>86</v>
      </c>
      <c r="D5" s="115" t="s">
        <v>87</v>
      </c>
      <c r="E5" s="115" t="s">
        <v>88</v>
      </c>
      <c r="F5" s="115" t="s">
        <v>89</v>
      </c>
      <c r="G5" s="115" t="s">
        <v>90</v>
      </c>
      <c r="H5" s="115" t="s">
        <v>92</v>
      </c>
      <c r="I5" s="115" t="s">
        <v>93</v>
      </c>
      <c r="J5" s="115" t="s">
        <v>9833</v>
      </c>
      <c r="K5" s="115" t="s">
        <v>94</v>
      </c>
      <c r="L5" s="115" t="s">
        <v>95</v>
      </c>
      <c r="M5" s="115" t="s">
        <v>96</v>
      </c>
    </row>
    <row r="6" spans="1:13" ht="15" customHeight="1">
      <c r="A6" s="39">
        <v>1</v>
      </c>
      <c r="B6" s="39" t="s">
        <v>97</v>
      </c>
      <c r="C6" s="40" t="s">
        <v>98</v>
      </c>
      <c r="D6" s="39" t="s">
        <v>99</v>
      </c>
      <c r="E6" s="40" t="s">
        <v>100</v>
      </c>
      <c r="F6" s="40" t="s">
        <v>101</v>
      </c>
      <c r="G6" s="39" t="s">
        <v>102</v>
      </c>
      <c r="H6" s="40" t="s">
        <v>103</v>
      </c>
      <c r="I6" s="40" t="s">
        <v>104</v>
      </c>
      <c r="J6" s="50"/>
      <c r="K6" s="116">
        <f>IFERROR(VLOOKUP(B6,BD_CONTROL!$A$5:$M$4235,11,0),"")</f>
        <v>0</v>
      </c>
      <c r="L6" s="117">
        <f>IFERROR(VLOOKUP(B6,BD_CONTROL!$A$5:$M$4235,12,0),"")</f>
        <v>0</v>
      </c>
      <c r="M6" s="118">
        <f>IFERROR(VLOOKUP(B6,BD_CONTROL!$A$5:$M$4235,13,0),"")</f>
        <v>0</v>
      </c>
    </row>
    <row r="7" spans="1:13" ht="15" customHeight="1">
      <c r="A7" s="42">
        <v>2</v>
      </c>
      <c r="B7" s="42" t="s">
        <v>105</v>
      </c>
      <c r="C7" s="43" t="s">
        <v>106</v>
      </c>
      <c r="D7" s="42" t="s">
        <v>99</v>
      </c>
      <c r="E7" s="43" t="s">
        <v>107</v>
      </c>
      <c r="F7" s="43" t="s">
        <v>108</v>
      </c>
      <c r="G7" s="42" t="s">
        <v>109</v>
      </c>
      <c r="H7" s="43" t="s">
        <v>103</v>
      </c>
      <c r="I7" s="43" t="s">
        <v>104</v>
      </c>
      <c r="J7" s="55"/>
      <c r="K7" s="119">
        <f>IFERROR(VLOOKUP(B7,BD_CONTROL!$A$5:$M$4235,11,0),"")</f>
        <v>0</v>
      </c>
      <c r="L7" s="120">
        <f>IFERROR(VLOOKUP(B7,BD_CONTROL!$A$5:$M$4235,12,0),"")</f>
        <v>0</v>
      </c>
      <c r="M7" s="121">
        <f>IFERROR(VLOOKUP(B7,BD_CONTROL!$A$5:$M$4235,13,0),"")</f>
        <v>0</v>
      </c>
    </row>
    <row r="8" spans="1:13" ht="15" customHeight="1">
      <c r="A8" s="39">
        <v>3</v>
      </c>
      <c r="B8" s="39" t="s">
        <v>110</v>
      </c>
      <c r="C8" s="40" t="s">
        <v>111</v>
      </c>
      <c r="D8" s="39" t="s">
        <v>99</v>
      </c>
      <c r="E8" s="40" t="s">
        <v>107</v>
      </c>
      <c r="F8" s="40" t="s">
        <v>112</v>
      </c>
      <c r="G8" s="39" t="s">
        <v>109</v>
      </c>
      <c r="H8" s="40" t="s">
        <v>103</v>
      </c>
      <c r="I8" s="40" t="s">
        <v>104</v>
      </c>
      <c r="J8" s="50"/>
      <c r="K8" s="116">
        <f>IFERROR(VLOOKUP(B8,BD_CONTROL!$A$5:$M$4235,11,0),"")</f>
        <v>0</v>
      </c>
      <c r="L8" s="117">
        <f>IFERROR(VLOOKUP(B8,BD_CONTROL!$A$5:$M$4235,12,0),"")</f>
        <v>0</v>
      </c>
      <c r="M8" s="118">
        <f>IFERROR(VLOOKUP(B8,BD_CONTROL!$A$5:$M$4235,13,0),"")</f>
        <v>0</v>
      </c>
    </row>
    <row r="9" spans="1:13" ht="15" customHeight="1">
      <c r="A9" s="42">
        <v>4</v>
      </c>
      <c r="B9" s="42" t="s">
        <v>113</v>
      </c>
      <c r="C9" s="43" t="s">
        <v>114</v>
      </c>
      <c r="D9" s="42" t="s">
        <v>99</v>
      </c>
      <c r="E9" s="43" t="s">
        <v>107</v>
      </c>
      <c r="F9" s="43" t="s">
        <v>115</v>
      </c>
      <c r="G9" s="42" t="s">
        <v>109</v>
      </c>
      <c r="H9" s="43" t="s">
        <v>103</v>
      </c>
      <c r="I9" s="43" t="s">
        <v>104</v>
      </c>
      <c r="J9" s="55"/>
      <c r="K9" s="119">
        <f>IFERROR(VLOOKUP(B9,BD_CONTROL!$A$5:$M$4235,11,0),"")</f>
        <v>0</v>
      </c>
      <c r="L9" s="120">
        <f>IFERROR(VLOOKUP(B9,BD_CONTROL!$A$5:$M$4235,12,0),"")</f>
        <v>0</v>
      </c>
      <c r="M9" s="121">
        <f>IFERROR(VLOOKUP(B9,BD_CONTROL!$A$5:$M$4235,13,0),"")</f>
        <v>0</v>
      </c>
    </row>
    <row r="10" spans="1:13" ht="15" customHeight="1">
      <c r="A10" s="39">
        <v>5</v>
      </c>
      <c r="B10" s="39" t="s">
        <v>116</v>
      </c>
      <c r="C10" s="40" t="s">
        <v>117</v>
      </c>
      <c r="D10" s="39" t="s">
        <v>99</v>
      </c>
      <c r="E10" s="40" t="s">
        <v>107</v>
      </c>
      <c r="F10" s="40" t="s">
        <v>118</v>
      </c>
      <c r="G10" s="39" t="s">
        <v>109</v>
      </c>
      <c r="H10" s="40" t="s">
        <v>103</v>
      </c>
      <c r="I10" s="40" t="s">
        <v>104</v>
      </c>
      <c r="J10" s="50"/>
      <c r="K10" s="116">
        <f>IFERROR(VLOOKUP(B10,BD_CONTROL!$A$5:$M$4235,11,0),"")</f>
        <v>0</v>
      </c>
      <c r="L10" s="117">
        <f>IFERROR(VLOOKUP(B10,BD_CONTROL!$A$5:$M$4235,12,0),"")</f>
        <v>0</v>
      </c>
      <c r="M10" s="118">
        <f>IFERROR(VLOOKUP(B10,BD_CONTROL!$A$5:$M$4235,13,0),"")</f>
        <v>0</v>
      </c>
    </row>
    <row r="11" spans="1:13" ht="15" customHeight="1">
      <c r="A11" s="42">
        <v>6</v>
      </c>
      <c r="B11" s="42" t="s">
        <v>119</v>
      </c>
      <c r="C11" s="43" t="s">
        <v>120</v>
      </c>
      <c r="D11" s="42" t="s">
        <v>99</v>
      </c>
      <c r="E11" s="43" t="s">
        <v>100</v>
      </c>
      <c r="F11" s="43" t="s">
        <v>100</v>
      </c>
      <c r="G11" s="42" t="s">
        <v>109</v>
      </c>
      <c r="H11" s="43" t="s">
        <v>103</v>
      </c>
      <c r="I11" s="43" t="s">
        <v>104</v>
      </c>
      <c r="J11" s="55"/>
      <c r="K11" s="119" t="str">
        <f>IFERROR(VLOOKUP(B11,BD_CONTROL!$A$5:$M$4235,11,0),"")</f>
        <v>Instalado - Operando</v>
      </c>
      <c r="L11" s="120">
        <f>IFERROR(VLOOKUP(B11,BD_CONTROL!$A$5:$M$4235,12,0),"")</f>
        <v>46150</v>
      </c>
      <c r="M11" s="121">
        <f>IFERROR(VLOOKUP(B11,BD_CONTROL!$A$5:$M$4235,13,0),"")</f>
        <v>0</v>
      </c>
    </row>
    <row r="12" spans="1:13" ht="15" customHeight="1">
      <c r="A12" s="39">
        <v>7</v>
      </c>
      <c r="B12" s="39" t="s">
        <v>122</v>
      </c>
      <c r="C12" s="40" t="s">
        <v>123</v>
      </c>
      <c r="D12" s="39" t="s">
        <v>99</v>
      </c>
      <c r="E12" s="40" t="s">
        <v>124</v>
      </c>
      <c r="F12" s="40" t="s">
        <v>124</v>
      </c>
      <c r="G12" s="39" t="s">
        <v>102</v>
      </c>
      <c r="H12" s="40" t="s">
        <v>103</v>
      </c>
      <c r="I12" s="40" t="s">
        <v>104</v>
      </c>
      <c r="J12" s="50"/>
      <c r="K12" s="116">
        <f>IFERROR(VLOOKUP(B12,BD_CONTROL!$A$5:$M$4235,11,0),"")</f>
        <v>0</v>
      </c>
      <c r="L12" s="117">
        <f>IFERROR(VLOOKUP(B12,BD_CONTROL!$A$5:$M$4235,12,0),"")</f>
        <v>0</v>
      </c>
      <c r="M12" s="118">
        <f>IFERROR(VLOOKUP(B12,BD_CONTROL!$A$5:$M$4235,13,0),"")</f>
        <v>0</v>
      </c>
    </row>
    <row r="13" spans="1:13" ht="15" customHeight="1">
      <c r="A13" s="42">
        <v>8</v>
      </c>
      <c r="B13" s="42" t="s">
        <v>125</v>
      </c>
      <c r="C13" s="43" t="s">
        <v>126</v>
      </c>
      <c r="D13" s="42" t="s">
        <v>99</v>
      </c>
      <c r="E13" s="43" t="s">
        <v>107</v>
      </c>
      <c r="F13" s="43" t="s">
        <v>127</v>
      </c>
      <c r="G13" s="42" t="s">
        <v>109</v>
      </c>
      <c r="H13" s="43" t="s">
        <v>103</v>
      </c>
      <c r="I13" s="43" t="s">
        <v>104</v>
      </c>
      <c r="J13" s="55"/>
      <c r="K13" s="119">
        <f>IFERROR(VLOOKUP(B13,BD_CONTROL!$A$5:$M$4235,11,0),"")</f>
        <v>0</v>
      </c>
      <c r="L13" s="120">
        <f>IFERROR(VLOOKUP(B13,BD_CONTROL!$A$5:$M$4235,12,0),"")</f>
        <v>0</v>
      </c>
      <c r="M13" s="121">
        <f>IFERROR(VLOOKUP(B13,BD_CONTROL!$A$5:$M$4235,13,0),"")</f>
        <v>0</v>
      </c>
    </row>
    <row r="14" spans="1:13" ht="15" customHeight="1">
      <c r="A14" s="39">
        <v>9</v>
      </c>
      <c r="B14" s="39" t="s">
        <v>128</v>
      </c>
      <c r="C14" s="40" t="s">
        <v>129</v>
      </c>
      <c r="D14" s="39" t="s">
        <v>99</v>
      </c>
      <c r="E14" s="40" t="s">
        <v>107</v>
      </c>
      <c r="F14" s="40" t="s">
        <v>130</v>
      </c>
      <c r="G14" s="39" t="s">
        <v>109</v>
      </c>
      <c r="H14" s="40" t="s">
        <v>103</v>
      </c>
      <c r="I14" s="40" t="s">
        <v>104</v>
      </c>
      <c r="J14" s="50"/>
      <c r="K14" s="116">
        <f>IFERROR(VLOOKUP(B14,BD_CONTROL!$A$5:$M$4235,11,0),"")</f>
        <v>0</v>
      </c>
      <c r="L14" s="117">
        <f>IFERROR(VLOOKUP(B14,BD_CONTROL!$A$5:$M$4235,12,0),"")</f>
        <v>0</v>
      </c>
      <c r="M14" s="118">
        <f>IFERROR(VLOOKUP(B14,BD_CONTROL!$A$5:$M$4235,13,0),"")</f>
        <v>0</v>
      </c>
    </row>
    <row r="15" spans="1:13" ht="15" customHeight="1">
      <c r="A15" s="42">
        <v>10</v>
      </c>
      <c r="B15" s="42" t="s">
        <v>131</v>
      </c>
      <c r="C15" s="43" t="s">
        <v>132</v>
      </c>
      <c r="D15" s="42" t="s">
        <v>99</v>
      </c>
      <c r="E15" s="43" t="s">
        <v>107</v>
      </c>
      <c r="F15" s="43" t="s">
        <v>133</v>
      </c>
      <c r="G15" s="42" t="s">
        <v>109</v>
      </c>
      <c r="H15" s="43" t="s">
        <v>103</v>
      </c>
      <c r="I15" s="43" t="s">
        <v>104</v>
      </c>
      <c r="J15" s="55"/>
      <c r="K15" s="119">
        <f>IFERROR(VLOOKUP(B15,BD_CONTROL!$A$5:$M$4235,11,0),"")</f>
        <v>0</v>
      </c>
      <c r="L15" s="120">
        <f>IFERROR(VLOOKUP(B15,BD_CONTROL!$A$5:$M$4235,12,0),"")</f>
        <v>0</v>
      </c>
      <c r="M15" s="121">
        <f>IFERROR(VLOOKUP(B15,BD_CONTROL!$A$5:$M$4235,13,0),"")</f>
        <v>0</v>
      </c>
    </row>
    <row r="16" spans="1:13" ht="15" customHeight="1">
      <c r="A16" s="39">
        <v>11</v>
      </c>
      <c r="B16" s="39" t="s">
        <v>134</v>
      </c>
      <c r="C16" s="40" t="s">
        <v>135</v>
      </c>
      <c r="D16" s="39" t="s">
        <v>99</v>
      </c>
      <c r="E16" s="40" t="s">
        <v>100</v>
      </c>
      <c r="F16" s="40" t="s">
        <v>100</v>
      </c>
      <c r="G16" s="39" t="s">
        <v>109</v>
      </c>
      <c r="H16" s="40" t="s">
        <v>103</v>
      </c>
      <c r="I16" s="40" t="s">
        <v>104</v>
      </c>
      <c r="J16" s="50"/>
      <c r="K16" s="116">
        <f>IFERROR(VLOOKUP(B16,BD_CONTROL!$A$5:$M$4235,11,0),"")</f>
        <v>0</v>
      </c>
      <c r="L16" s="117">
        <f>IFERROR(VLOOKUP(B16,BD_CONTROL!$A$5:$M$4235,12,0),"")</f>
        <v>0</v>
      </c>
      <c r="M16" s="118">
        <f>IFERROR(VLOOKUP(B16,BD_CONTROL!$A$5:$M$4235,13,0),"")</f>
        <v>0</v>
      </c>
    </row>
    <row r="17" spans="1:13" ht="15" customHeight="1">
      <c r="A17" s="42">
        <v>12</v>
      </c>
      <c r="B17" s="42" t="s">
        <v>136</v>
      </c>
      <c r="C17" s="43" t="s">
        <v>137</v>
      </c>
      <c r="D17" s="42" t="s">
        <v>99</v>
      </c>
      <c r="E17" s="43" t="s">
        <v>100</v>
      </c>
      <c r="F17" s="43" t="s">
        <v>138</v>
      </c>
      <c r="G17" s="42" t="s">
        <v>109</v>
      </c>
      <c r="H17" s="43" t="s">
        <v>103</v>
      </c>
      <c r="I17" s="43" t="s">
        <v>104</v>
      </c>
      <c r="J17" s="55"/>
      <c r="K17" s="119">
        <f>IFERROR(VLOOKUP(B17,BD_CONTROL!$A$5:$M$4235,11,0),"")</f>
        <v>0</v>
      </c>
      <c r="L17" s="120">
        <f>IFERROR(VLOOKUP(B17,BD_CONTROL!$A$5:$M$4235,12,0),"")</f>
        <v>0</v>
      </c>
      <c r="M17" s="121">
        <f>IFERROR(VLOOKUP(B17,BD_CONTROL!$A$5:$M$4235,13,0),"")</f>
        <v>0</v>
      </c>
    </row>
    <row r="18" spans="1:13" ht="15" customHeight="1">
      <c r="A18" s="39">
        <v>13</v>
      </c>
      <c r="B18" s="39" t="s">
        <v>139</v>
      </c>
      <c r="C18" s="40" t="s">
        <v>140</v>
      </c>
      <c r="D18" s="39" t="s">
        <v>99</v>
      </c>
      <c r="E18" s="40" t="s">
        <v>100</v>
      </c>
      <c r="F18" s="40" t="s">
        <v>141</v>
      </c>
      <c r="G18" s="39" t="s">
        <v>109</v>
      </c>
      <c r="H18" s="40" t="s">
        <v>103</v>
      </c>
      <c r="I18" s="40" t="s">
        <v>104</v>
      </c>
      <c r="J18" s="50"/>
      <c r="K18" s="116">
        <f>IFERROR(VLOOKUP(B18,BD_CONTROL!$A$5:$M$4235,11,0),"")</f>
        <v>0</v>
      </c>
      <c r="L18" s="117">
        <f>IFERROR(VLOOKUP(B18,BD_CONTROL!$A$5:$M$4235,12,0),"")</f>
        <v>0</v>
      </c>
      <c r="M18" s="118">
        <f>IFERROR(VLOOKUP(B18,BD_CONTROL!$A$5:$M$4235,13,0),"")</f>
        <v>0</v>
      </c>
    </row>
    <row r="19" spans="1:13" ht="15" customHeight="1">
      <c r="A19" s="42">
        <v>14</v>
      </c>
      <c r="B19" s="42" t="s">
        <v>142</v>
      </c>
      <c r="C19" s="43" t="s">
        <v>143</v>
      </c>
      <c r="D19" s="42" t="s">
        <v>99</v>
      </c>
      <c r="E19" s="43" t="s">
        <v>144</v>
      </c>
      <c r="F19" s="43" t="s">
        <v>144</v>
      </c>
      <c r="G19" s="42" t="s">
        <v>109</v>
      </c>
      <c r="H19" s="43" t="s">
        <v>103</v>
      </c>
      <c r="I19" s="43" t="s">
        <v>104</v>
      </c>
      <c r="J19" s="55"/>
      <c r="K19" s="119">
        <f>IFERROR(VLOOKUP(B19,BD_CONTROL!$A$5:$M$4235,11,0),"")</f>
        <v>0</v>
      </c>
      <c r="L19" s="120">
        <f>IFERROR(VLOOKUP(B19,BD_CONTROL!$A$5:$M$4235,12,0),"")</f>
        <v>0</v>
      </c>
      <c r="M19" s="121">
        <f>IFERROR(VLOOKUP(B19,BD_CONTROL!$A$5:$M$4235,13,0),"")</f>
        <v>0</v>
      </c>
    </row>
    <row r="20" spans="1:13" ht="15" customHeight="1">
      <c r="A20" s="39">
        <v>15</v>
      </c>
      <c r="B20" s="39" t="s">
        <v>145</v>
      </c>
      <c r="C20" s="40" t="s">
        <v>146</v>
      </c>
      <c r="D20" s="39" t="s">
        <v>99</v>
      </c>
      <c r="E20" s="40" t="s">
        <v>147</v>
      </c>
      <c r="F20" s="40" t="s">
        <v>148</v>
      </c>
      <c r="G20" s="39" t="s">
        <v>109</v>
      </c>
      <c r="H20" s="40" t="s">
        <v>103</v>
      </c>
      <c r="I20" s="40" t="s">
        <v>104</v>
      </c>
      <c r="J20" s="50"/>
      <c r="K20" s="116">
        <f>IFERROR(VLOOKUP(B20,BD_CONTROL!$A$5:$M$4235,11,0),"")</f>
        <v>0</v>
      </c>
      <c r="L20" s="117">
        <f>IFERROR(VLOOKUP(B20,BD_CONTROL!$A$5:$M$4235,12,0),"")</f>
        <v>0</v>
      </c>
      <c r="M20" s="118">
        <f>IFERROR(VLOOKUP(B20,BD_CONTROL!$A$5:$M$4235,13,0),"")</f>
        <v>0</v>
      </c>
    </row>
    <row r="21" spans="1:13" ht="15" customHeight="1">
      <c r="A21" s="42">
        <v>16</v>
      </c>
      <c r="B21" s="42" t="s">
        <v>149</v>
      </c>
      <c r="C21" s="43" t="s">
        <v>150</v>
      </c>
      <c r="D21" s="42" t="s">
        <v>99</v>
      </c>
      <c r="E21" s="43" t="s">
        <v>100</v>
      </c>
      <c r="F21" s="43" t="s">
        <v>100</v>
      </c>
      <c r="G21" s="42" t="s">
        <v>102</v>
      </c>
      <c r="H21" s="43" t="s">
        <v>103</v>
      </c>
      <c r="I21" s="43" t="s">
        <v>104</v>
      </c>
      <c r="J21" s="55"/>
      <c r="K21" s="119">
        <f>IFERROR(VLOOKUP(B21,BD_CONTROL!$A$5:$M$4235,11,0),"")</f>
        <v>0</v>
      </c>
      <c r="L21" s="120">
        <f>IFERROR(VLOOKUP(B21,BD_CONTROL!$A$5:$M$4235,12,0),"")</f>
        <v>0</v>
      </c>
      <c r="M21" s="121">
        <f>IFERROR(VLOOKUP(B21,BD_CONTROL!$A$5:$M$4235,13,0),"")</f>
        <v>0</v>
      </c>
    </row>
    <row r="22" spans="1:13" ht="15" customHeight="1">
      <c r="A22" s="39">
        <v>17</v>
      </c>
      <c r="B22" s="39" t="s">
        <v>151</v>
      </c>
      <c r="C22" s="40" t="s">
        <v>152</v>
      </c>
      <c r="D22" s="39" t="s">
        <v>99</v>
      </c>
      <c r="E22" s="40" t="s">
        <v>107</v>
      </c>
      <c r="F22" s="40" t="s">
        <v>107</v>
      </c>
      <c r="G22" s="39" t="s">
        <v>109</v>
      </c>
      <c r="H22" s="40" t="s">
        <v>103</v>
      </c>
      <c r="I22" s="40" t="s">
        <v>104</v>
      </c>
      <c r="J22" s="50"/>
      <c r="K22" s="116">
        <f>IFERROR(VLOOKUP(B22,BD_CONTROL!$A$5:$M$4235,11,0),"")</f>
        <v>0</v>
      </c>
      <c r="L22" s="117">
        <f>IFERROR(VLOOKUP(B22,BD_CONTROL!$A$5:$M$4235,12,0),"")</f>
        <v>0</v>
      </c>
      <c r="M22" s="118">
        <f>IFERROR(VLOOKUP(B22,BD_CONTROL!$A$5:$M$4235,13,0),"")</f>
        <v>0</v>
      </c>
    </row>
    <row r="23" spans="1:13" ht="15" customHeight="1">
      <c r="A23" s="42">
        <v>18</v>
      </c>
      <c r="B23" s="42" t="s">
        <v>153</v>
      </c>
      <c r="C23" s="43" t="s">
        <v>154</v>
      </c>
      <c r="D23" s="42" t="s">
        <v>99</v>
      </c>
      <c r="E23" s="43" t="s">
        <v>147</v>
      </c>
      <c r="F23" s="43" t="s">
        <v>155</v>
      </c>
      <c r="G23" s="42" t="s">
        <v>109</v>
      </c>
      <c r="H23" s="43" t="s">
        <v>103</v>
      </c>
      <c r="I23" s="43" t="s">
        <v>104</v>
      </c>
      <c r="J23" s="55"/>
      <c r="K23" s="119" t="str">
        <f>IFERROR(VLOOKUP(B23,BD_CONTROL!$A$5:$M$4235,11,0),"")</f>
        <v>Instalado - Operando</v>
      </c>
      <c r="L23" s="120">
        <f>IFERROR(VLOOKUP(B23,BD_CONTROL!$A$5:$M$4235,12,0),"")</f>
        <v>46150</v>
      </c>
      <c r="M23" s="121">
        <f>IFERROR(VLOOKUP(B23,BD_CONTROL!$A$5:$M$4235,13,0),"")</f>
        <v>0</v>
      </c>
    </row>
    <row r="24" spans="1:13" ht="15" customHeight="1">
      <c r="A24" s="39">
        <v>19</v>
      </c>
      <c r="B24" s="39" t="s">
        <v>156</v>
      </c>
      <c r="C24" s="40" t="s">
        <v>157</v>
      </c>
      <c r="D24" s="39" t="s">
        <v>99</v>
      </c>
      <c r="E24" s="40" t="s">
        <v>147</v>
      </c>
      <c r="F24" s="40" t="s">
        <v>158</v>
      </c>
      <c r="G24" s="39" t="s">
        <v>109</v>
      </c>
      <c r="H24" s="40" t="s">
        <v>103</v>
      </c>
      <c r="I24" s="40" t="s">
        <v>104</v>
      </c>
      <c r="J24" s="50"/>
      <c r="K24" s="116">
        <f>IFERROR(VLOOKUP(B24,BD_CONTROL!$A$5:$M$4235,11,0),"")</f>
        <v>0</v>
      </c>
      <c r="L24" s="117">
        <f>IFERROR(VLOOKUP(B24,BD_CONTROL!$A$5:$M$4235,12,0),"")</f>
        <v>0</v>
      </c>
      <c r="M24" s="118">
        <f>IFERROR(VLOOKUP(B24,BD_CONTROL!$A$5:$M$4235,13,0),"")</f>
        <v>0</v>
      </c>
    </row>
    <row r="25" spans="1:13" ht="15" customHeight="1">
      <c r="A25" s="42">
        <v>20</v>
      </c>
      <c r="B25" s="42" t="s">
        <v>159</v>
      </c>
      <c r="C25" s="43" t="s">
        <v>160</v>
      </c>
      <c r="D25" s="42" t="s">
        <v>99</v>
      </c>
      <c r="E25" s="43" t="s">
        <v>147</v>
      </c>
      <c r="F25" s="43" t="s">
        <v>161</v>
      </c>
      <c r="G25" s="42" t="s">
        <v>109</v>
      </c>
      <c r="H25" s="43" t="s">
        <v>103</v>
      </c>
      <c r="I25" s="43" t="s">
        <v>104</v>
      </c>
      <c r="J25" s="55"/>
      <c r="K25" s="119" t="str">
        <f>IFERROR(VLOOKUP(B25,BD_CONTROL!$A$5:$M$4235,11,0),"")</f>
        <v>Instalado - Sin Señal</v>
      </c>
      <c r="L25" s="120">
        <f>IFERROR(VLOOKUP(B25,BD_CONTROL!$A$5:$M$4235,12,0),"")</f>
        <v>46148</v>
      </c>
      <c r="M25" s="121">
        <f>IFERROR(VLOOKUP(B25,BD_CONTROL!$A$5:$M$4235,13,0),"")</f>
        <v>0</v>
      </c>
    </row>
    <row r="26" spans="1:13" ht="15" customHeight="1">
      <c r="A26" s="39">
        <v>21</v>
      </c>
      <c r="B26" s="39" t="s">
        <v>163</v>
      </c>
      <c r="C26" s="40" t="s">
        <v>164</v>
      </c>
      <c r="D26" s="39" t="s">
        <v>99</v>
      </c>
      <c r="E26" s="40" t="s">
        <v>124</v>
      </c>
      <c r="F26" s="40" t="s">
        <v>165</v>
      </c>
      <c r="G26" s="39" t="s">
        <v>109</v>
      </c>
      <c r="H26" s="40" t="s">
        <v>103</v>
      </c>
      <c r="I26" s="40" t="s">
        <v>104</v>
      </c>
      <c r="J26" s="50"/>
      <c r="K26" s="116">
        <f>IFERROR(VLOOKUP(B26,BD_CONTROL!$A$5:$M$4235,11,0),"")</f>
        <v>0</v>
      </c>
      <c r="L26" s="117">
        <f>IFERROR(VLOOKUP(B26,BD_CONTROL!$A$5:$M$4235,12,0),"")</f>
        <v>0</v>
      </c>
      <c r="M26" s="118">
        <f>IFERROR(VLOOKUP(B26,BD_CONTROL!$A$5:$M$4235,13,0),"")</f>
        <v>0</v>
      </c>
    </row>
    <row r="27" spans="1:13" ht="15" customHeight="1">
      <c r="A27" s="42">
        <v>22</v>
      </c>
      <c r="B27" s="42" t="s">
        <v>166</v>
      </c>
      <c r="C27" s="43" t="s">
        <v>167</v>
      </c>
      <c r="D27" s="42" t="s">
        <v>99</v>
      </c>
      <c r="E27" s="43" t="s">
        <v>100</v>
      </c>
      <c r="F27" s="43" t="s">
        <v>168</v>
      </c>
      <c r="G27" s="42" t="s">
        <v>102</v>
      </c>
      <c r="H27" s="43" t="s">
        <v>103</v>
      </c>
      <c r="I27" s="43" t="s">
        <v>104</v>
      </c>
      <c r="J27" s="55"/>
      <c r="K27" s="119">
        <f>IFERROR(VLOOKUP(B27,BD_CONTROL!$A$5:$M$4235,11,0),"")</f>
        <v>0</v>
      </c>
      <c r="L27" s="120">
        <f>IFERROR(VLOOKUP(B27,BD_CONTROL!$A$5:$M$4235,12,0),"")</f>
        <v>0</v>
      </c>
      <c r="M27" s="121">
        <f>IFERROR(VLOOKUP(B27,BD_CONTROL!$A$5:$M$4235,13,0),"")</f>
        <v>0</v>
      </c>
    </row>
    <row r="28" spans="1:13" ht="15" customHeight="1">
      <c r="A28" s="39">
        <v>23</v>
      </c>
      <c r="B28" s="39" t="s">
        <v>169</v>
      </c>
      <c r="C28" s="40" t="s">
        <v>170</v>
      </c>
      <c r="D28" s="39" t="s">
        <v>99</v>
      </c>
      <c r="E28" s="40" t="s">
        <v>100</v>
      </c>
      <c r="F28" s="40" t="s">
        <v>100</v>
      </c>
      <c r="G28" s="39" t="s">
        <v>109</v>
      </c>
      <c r="H28" s="40" t="s">
        <v>103</v>
      </c>
      <c r="I28" s="40" t="s">
        <v>104</v>
      </c>
      <c r="J28" s="50"/>
      <c r="K28" s="116">
        <f>IFERROR(VLOOKUP(B28,BD_CONTROL!$A$5:$M$4235,11,0),"")</f>
        <v>0</v>
      </c>
      <c r="L28" s="117">
        <f>IFERROR(VLOOKUP(B28,BD_CONTROL!$A$5:$M$4235,12,0),"")</f>
        <v>0</v>
      </c>
      <c r="M28" s="118">
        <f>IFERROR(VLOOKUP(B28,BD_CONTROL!$A$5:$M$4235,13,0),"")</f>
        <v>0</v>
      </c>
    </row>
    <row r="29" spans="1:13" ht="15" customHeight="1">
      <c r="A29" s="42">
        <v>24</v>
      </c>
      <c r="B29" s="42" t="s">
        <v>171</v>
      </c>
      <c r="C29" s="43" t="s">
        <v>172</v>
      </c>
      <c r="D29" s="42" t="s">
        <v>99</v>
      </c>
      <c r="E29" s="43" t="s">
        <v>100</v>
      </c>
      <c r="F29" s="43" t="s">
        <v>100</v>
      </c>
      <c r="G29" s="42" t="s">
        <v>109</v>
      </c>
      <c r="H29" s="43" t="s">
        <v>103</v>
      </c>
      <c r="I29" s="43" t="s">
        <v>104</v>
      </c>
      <c r="J29" s="55"/>
      <c r="K29" s="119">
        <f>IFERROR(VLOOKUP(B29,BD_CONTROL!$A$5:$M$4235,11,0),"")</f>
        <v>0</v>
      </c>
      <c r="L29" s="120">
        <f>IFERROR(VLOOKUP(B29,BD_CONTROL!$A$5:$M$4235,12,0),"")</f>
        <v>0</v>
      </c>
      <c r="M29" s="121">
        <f>IFERROR(VLOOKUP(B29,BD_CONTROL!$A$5:$M$4235,13,0),"")</f>
        <v>0</v>
      </c>
    </row>
    <row r="30" spans="1:13" ht="15" customHeight="1">
      <c r="A30" s="39">
        <v>25</v>
      </c>
      <c r="B30" s="39" t="s">
        <v>173</v>
      </c>
      <c r="C30" s="40" t="s">
        <v>174</v>
      </c>
      <c r="D30" s="39" t="s">
        <v>99</v>
      </c>
      <c r="E30" s="40" t="s">
        <v>100</v>
      </c>
      <c r="F30" s="40" t="s">
        <v>100</v>
      </c>
      <c r="G30" s="39" t="s">
        <v>102</v>
      </c>
      <c r="H30" s="40" t="s">
        <v>103</v>
      </c>
      <c r="I30" s="40" t="s">
        <v>104</v>
      </c>
      <c r="J30" s="50"/>
      <c r="K30" s="116">
        <f>IFERROR(VLOOKUP(B30,BD_CONTROL!$A$5:$M$4235,11,0),"")</f>
        <v>0</v>
      </c>
      <c r="L30" s="117">
        <f>IFERROR(VLOOKUP(B30,BD_CONTROL!$A$5:$M$4235,12,0),"")</f>
        <v>0</v>
      </c>
      <c r="M30" s="118">
        <f>IFERROR(VLOOKUP(B30,BD_CONTROL!$A$5:$M$4235,13,0),"")</f>
        <v>0</v>
      </c>
    </row>
    <row r="31" spans="1:13" ht="15" customHeight="1">
      <c r="A31" s="42">
        <v>26</v>
      </c>
      <c r="B31" s="42" t="s">
        <v>175</v>
      </c>
      <c r="C31" s="43" t="s">
        <v>176</v>
      </c>
      <c r="D31" s="42" t="s">
        <v>99</v>
      </c>
      <c r="E31" s="43" t="s">
        <v>107</v>
      </c>
      <c r="F31" s="43" t="s">
        <v>177</v>
      </c>
      <c r="G31" s="42" t="s">
        <v>109</v>
      </c>
      <c r="H31" s="43" t="s">
        <v>103</v>
      </c>
      <c r="I31" s="43" t="s">
        <v>104</v>
      </c>
      <c r="J31" s="55"/>
      <c r="K31" s="119">
        <f>IFERROR(VLOOKUP(B31,BD_CONTROL!$A$5:$M$4235,11,0),"")</f>
        <v>0</v>
      </c>
      <c r="L31" s="120">
        <f>IFERROR(VLOOKUP(B31,BD_CONTROL!$A$5:$M$4235,12,0),"")</f>
        <v>0</v>
      </c>
      <c r="M31" s="121">
        <f>IFERROR(VLOOKUP(B31,BD_CONTROL!$A$5:$M$4235,13,0),"")</f>
        <v>0</v>
      </c>
    </row>
    <row r="32" spans="1:13" ht="15" customHeight="1">
      <c r="A32" s="39">
        <v>27</v>
      </c>
      <c r="B32" s="39" t="s">
        <v>178</v>
      </c>
      <c r="C32" s="40" t="s">
        <v>179</v>
      </c>
      <c r="D32" s="39" t="s">
        <v>99</v>
      </c>
      <c r="E32" s="40" t="s">
        <v>107</v>
      </c>
      <c r="F32" s="40" t="s">
        <v>107</v>
      </c>
      <c r="G32" s="39" t="s">
        <v>109</v>
      </c>
      <c r="H32" s="40" t="s">
        <v>103</v>
      </c>
      <c r="I32" s="40" t="s">
        <v>104</v>
      </c>
      <c r="J32" s="50"/>
      <c r="K32" s="116">
        <f>IFERROR(VLOOKUP(B32,BD_CONTROL!$A$5:$M$4235,11,0),"")</f>
        <v>0</v>
      </c>
      <c r="L32" s="117">
        <f>IFERROR(VLOOKUP(B32,BD_CONTROL!$A$5:$M$4235,12,0),"")</f>
        <v>0</v>
      </c>
      <c r="M32" s="118">
        <f>IFERROR(VLOOKUP(B32,BD_CONTROL!$A$5:$M$4235,13,0),"")</f>
        <v>0</v>
      </c>
    </row>
    <row r="33" spans="1:13" ht="15" customHeight="1">
      <c r="A33" s="42">
        <v>28</v>
      </c>
      <c r="B33" s="42" t="s">
        <v>180</v>
      </c>
      <c r="C33" s="43" t="s">
        <v>181</v>
      </c>
      <c r="D33" s="42" t="s">
        <v>99</v>
      </c>
      <c r="E33" s="43" t="s">
        <v>124</v>
      </c>
      <c r="F33" s="43" t="s">
        <v>182</v>
      </c>
      <c r="G33" s="42" t="s">
        <v>109</v>
      </c>
      <c r="H33" s="43" t="s">
        <v>103</v>
      </c>
      <c r="I33" s="43" t="s">
        <v>104</v>
      </c>
      <c r="J33" s="55"/>
      <c r="K33" s="119">
        <f>IFERROR(VLOOKUP(B33,BD_CONTROL!$A$5:$M$4235,11,0),"")</f>
        <v>0</v>
      </c>
      <c r="L33" s="120">
        <f>IFERROR(VLOOKUP(B33,BD_CONTROL!$A$5:$M$4235,12,0),"")</f>
        <v>0</v>
      </c>
      <c r="M33" s="121">
        <f>IFERROR(VLOOKUP(B33,BD_CONTROL!$A$5:$M$4235,13,0),"")</f>
        <v>0</v>
      </c>
    </row>
    <row r="34" spans="1:13" ht="15" customHeight="1">
      <c r="A34" s="39">
        <v>29</v>
      </c>
      <c r="B34" s="39" t="s">
        <v>183</v>
      </c>
      <c r="C34" s="40" t="s">
        <v>184</v>
      </c>
      <c r="D34" s="39" t="s">
        <v>99</v>
      </c>
      <c r="E34" s="40" t="s">
        <v>107</v>
      </c>
      <c r="F34" s="40" t="s">
        <v>185</v>
      </c>
      <c r="G34" s="39" t="s">
        <v>109</v>
      </c>
      <c r="H34" s="40" t="s">
        <v>103</v>
      </c>
      <c r="I34" s="40" t="s">
        <v>104</v>
      </c>
      <c r="J34" s="50"/>
      <c r="K34" s="116">
        <f>IFERROR(VLOOKUP(B34,BD_CONTROL!$A$5:$M$4235,11,0),"")</f>
        <v>0</v>
      </c>
      <c r="L34" s="117">
        <f>IFERROR(VLOOKUP(B34,BD_CONTROL!$A$5:$M$4235,12,0),"")</f>
        <v>0</v>
      </c>
      <c r="M34" s="118">
        <f>IFERROR(VLOOKUP(B34,BD_CONTROL!$A$5:$M$4235,13,0),"")</f>
        <v>0</v>
      </c>
    </row>
    <row r="35" spans="1:13" ht="15" customHeight="1">
      <c r="A35" s="42">
        <v>30</v>
      </c>
      <c r="B35" s="42" t="s">
        <v>186</v>
      </c>
      <c r="C35" s="43" t="s">
        <v>187</v>
      </c>
      <c r="D35" s="42" t="s">
        <v>99</v>
      </c>
      <c r="E35" s="43" t="s">
        <v>100</v>
      </c>
      <c r="F35" s="43" t="s">
        <v>100</v>
      </c>
      <c r="G35" s="42" t="s">
        <v>102</v>
      </c>
      <c r="H35" s="43" t="s">
        <v>103</v>
      </c>
      <c r="I35" s="43" t="s">
        <v>104</v>
      </c>
      <c r="J35" s="55"/>
      <c r="K35" s="119">
        <f>IFERROR(VLOOKUP(B35,BD_CONTROL!$A$5:$M$4235,11,0),"")</f>
        <v>0</v>
      </c>
      <c r="L35" s="120">
        <f>IFERROR(VLOOKUP(B35,BD_CONTROL!$A$5:$M$4235,12,0),"")</f>
        <v>0</v>
      </c>
      <c r="M35" s="121">
        <f>IFERROR(VLOOKUP(B35,BD_CONTROL!$A$5:$M$4235,13,0),"")</f>
        <v>0</v>
      </c>
    </row>
    <row r="36" spans="1:13" ht="15" customHeight="1">
      <c r="A36" s="39">
        <v>31</v>
      </c>
      <c r="B36" s="39" t="s">
        <v>188</v>
      </c>
      <c r="C36" s="40" t="s">
        <v>189</v>
      </c>
      <c r="D36" s="39" t="s">
        <v>99</v>
      </c>
      <c r="E36" s="40" t="s">
        <v>107</v>
      </c>
      <c r="F36" s="40" t="s">
        <v>190</v>
      </c>
      <c r="G36" s="39" t="s">
        <v>109</v>
      </c>
      <c r="H36" s="40" t="s">
        <v>103</v>
      </c>
      <c r="I36" s="40" t="s">
        <v>104</v>
      </c>
      <c r="J36" s="50"/>
      <c r="K36" s="116">
        <f>IFERROR(VLOOKUP(B36,BD_CONTROL!$A$5:$M$4235,11,0),"")</f>
        <v>0</v>
      </c>
      <c r="L36" s="117">
        <f>IFERROR(VLOOKUP(B36,BD_CONTROL!$A$5:$M$4235,12,0),"")</f>
        <v>0</v>
      </c>
      <c r="M36" s="118">
        <f>IFERROR(VLOOKUP(B36,BD_CONTROL!$A$5:$M$4235,13,0),"")</f>
        <v>0</v>
      </c>
    </row>
    <row r="37" spans="1:13" ht="15" customHeight="1">
      <c r="A37" s="42">
        <v>32</v>
      </c>
      <c r="B37" s="42" t="s">
        <v>191</v>
      </c>
      <c r="C37" s="43" t="s">
        <v>192</v>
      </c>
      <c r="D37" s="42" t="s">
        <v>99</v>
      </c>
      <c r="E37" s="43" t="s">
        <v>107</v>
      </c>
      <c r="F37" s="43" t="s">
        <v>193</v>
      </c>
      <c r="G37" s="42" t="s">
        <v>109</v>
      </c>
      <c r="H37" s="43" t="s">
        <v>103</v>
      </c>
      <c r="I37" s="43" t="s">
        <v>104</v>
      </c>
      <c r="J37" s="55"/>
      <c r="K37" s="119">
        <f>IFERROR(VLOOKUP(B37,BD_CONTROL!$A$5:$M$4235,11,0),"")</f>
        <v>0</v>
      </c>
      <c r="L37" s="120">
        <f>IFERROR(VLOOKUP(B37,BD_CONTROL!$A$5:$M$4235,12,0),"")</f>
        <v>0</v>
      </c>
      <c r="M37" s="121">
        <f>IFERROR(VLOOKUP(B37,BD_CONTROL!$A$5:$M$4235,13,0),"")</f>
        <v>0</v>
      </c>
    </row>
    <row r="38" spans="1:13" ht="15" customHeight="1">
      <c r="A38" s="39">
        <v>33</v>
      </c>
      <c r="B38" s="39" t="s">
        <v>194</v>
      </c>
      <c r="C38" s="40" t="s">
        <v>195</v>
      </c>
      <c r="D38" s="39" t="s">
        <v>99</v>
      </c>
      <c r="E38" s="40" t="s">
        <v>147</v>
      </c>
      <c r="F38" s="40" t="s">
        <v>196</v>
      </c>
      <c r="G38" s="39" t="s">
        <v>109</v>
      </c>
      <c r="H38" s="40" t="s">
        <v>103</v>
      </c>
      <c r="I38" s="40" t="s">
        <v>104</v>
      </c>
      <c r="J38" s="50"/>
      <c r="K38" s="116">
        <f>IFERROR(VLOOKUP(B38,BD_CONTROL!$A$5:$M$4235,11,0),"")</f>
        <v>0</v>
      </c>
      <c r="L38" s="117">
        <f>IFERROR(VLOOKUP(B38,BD_CONTROL!$A$5:$M$4235,12,0),"")</f>
        <v>0</v>
      </c>
      <c r="M38" s="118">
        <f>IFERROR(VLOOKUP(B38,BD_CONTROL!$A$5:$M$4235,13,0),"")</f>
        <v>0</v>
      </c>
    </row>
    <row r="39" spans="1:13" ht="15" customHeight="1">
      <c r="A39" s="42">
        <v>34</v>
      </c>
      <c r="B39" s="42" t="s">
        <v>197</v>
      </c>
      <c r="C39" s="43" t="s">
        <v>198</v>
      </c>
      <c r="D39" s="42" t="s">
        <v>99</v>
      </c>
      <c r="E39" s="43" t="s">
        <v>100</v>
      </c>
      <c r="F39" s="43" t="s">
        <v>199</v>
      </c>
      <c r="G39" s="42" t="s">
        <v>109</v>
      </c>
      <c r="H39" s="43" t="s">
        <v>103</v>
      </c>
      <c r="I39" s="43" t="s">
        <v>104</v>
      </c>
      <c r="J39" s="55"/>
      <c r="K39" s="119">
        <f>IFERROR(VLOOKUP(B39,BD_CONTROL!$A$5:$M$4235,11,0),"")</f>
        <v>0</v>
      </c>
      <c r="L39" s="120">
        <f>IFERROR(VLOOKUP(B39,BD_CONTROL!$A$5:$M$4235,12,0),"")</f>
        <v>0</v>
      </c>
      <c r="M39" s="121">
        <f>IFERROR(VLOOKUP(B39,BD_CONTROL!$A$5:$M$4235,13,0),"")</f>
        <v>0</v>
      </c>
    </row>
    <row r="40" spans="1:13" ht="15" customHeight="1">
      <c r="A40" s="39">
        <v>35</v>
      </c>
      <c r="B40" s="39" t="s">
        <v>200</v>
      </c>
      <c r="C40" s="40" t="s">
        <v>201</v>
      </c>
      <c r="D40" s="39" t="s">
        <v>99</v>
      </c>
      <c r="E40" s="40" t="s">
        <v>107</v>
      </c>
      <c r="F40" s="40" t="s">
        <v>202</v>
      </c>
      <c r="G40" s="39" t="s">
        <v>109</v>
      </c>
      <c r="H40" s="40" t="s">
        <v>103</v>
      </c>
      <c r="I40" s="40" t="s">
        <v>104</v>
      </c>
      <c r="J40" s="50"/>
      <c r="K40" s="116">
        <f>IFERROR(VLOOKUP(B40,BD_CONTROL!$A$5:$M$4235,11,0),"")</f>
        <v>0</v>
      </c>
      <c r="L40" s="117">
        <f>IFERROR(VLOOKUP(B40,BD_CONTROL!$A$5:$M$4235,12,0),"")</f>
        <v>0</v>
      </c>
      <c r="M40" s="118">
        <f>IFERROR(VLOOKUP(B40,BD_CONTROL!$A$5:$M$4235,13,0),"")</f>
        <v>0</v>
      </c>
    </row>
    <row r="41" spans="1:13" ht="15" customHeight="1">
      <c r="A41" s="42">
        <v>36</v>
      </c>
      <c r="B41" s="42" t="s">
        <v>203</v>
      </c>
      <c r="C41" s="43" t="s">
        <v>204</v>
      </c>
      <c r="D41" s="42" t="s">
        <v>99</v>
      </c>
      <c r="E41" s="43" t="s">
        <v>107</v>
      </c>
      <c r="F41" s="43" t="s">
        <v>205</v>
      </c>
      <c r="G41" s="42" t="s">
        <v>109</v>
      </c>
      <c r="H41" s="43" t="s">
        <v>103</v>
      </c>
      <c r="I41" s="43" t="s">
        <v>104</v>
      </c>
      <c r="J41" s="55"/>
      <c r="K41" s="119">
        <f>IFERROR(VLOOKUP(B41,BD_CONTROL!$A$5:$M$4235,11,0),"")</f>
        <v>0</v>
      </c>
      <c r="L41" s="120">
        <f>IFERROR(VLOOKUP(B41,BD_CONTROL!$A$5:$M$4235,12,0),"")</f>
        <v>0</v>
      </c>
      <c r="M41" s="121">
        <f>IFERROR(VLOOKUP(B41,BD_CONTROL!$A$5:$M$4235,13,0),"")</f>
        <v>0</v>
      </c>
    </row>
    <row r="42" spans="1:13" ht="15" customHeight="1">
      <c r="A42" s="39">
        <v>37</v>
      </c>
      <c r="B42" s="39" t="s">
        <v>206</v>
      </c>
      <c r="C42" s="40" t="s">
        <v>207</v>
      </c>
      <c r="D42" s="39" t="s">
        <v>99</v>
      </c>
      <c r="E42" s="40" t="s">
        <v>144</v>
      </c>
      <c r="F42" s="40" t="s">
        <v>208</v>
      </c>
      <c r="G42" s="39" t="s">
        <v>102</v>
      </c>
      <c r="H42" s="40" t="s">
        <v>103</v>
      </c>
      <c r="I42" s="40" t="s">
        <v>104</v>
      </c>
      <c r="J42" s="50"/>
      <c r="K42" s="116">
        <f>IFERROR(VLOOKUP(B42,BD_CONTROL!$A$5:$M$4235,11,0),"")</f>
        <v>0</v>
      </c>
      <c r="L42" s="117">
        <f>IFERROR(VLOOKUP(B42,BD_CONTROL!$A$5:$M$4235,12,0),"")</f>
        <v>0</v>
      </c>
      <c r="M42" s="118">
        <f>IFERROR(VLOOKUP(B42,BD_CONTROL!$A$5:$M$4235,13,0),"")</f>
        <v>0</v>
      </c>
    </row>
    <row r="43" spans="1:13" ht="15" customHeight="1">
      <c r="A43" s="42">
        <v>38</v>
      </c>
      <c r="B43" s="42" t="s">
        <v>209</v>
      </c>
      <c r="C43" s="43" t="s">
        <v>210</v>
      </c>
      <c r="D43" s="42" t="s">
        <v>99</v>
      </c>
      <c r="E43" s="43" t="s">
        <v>100</v>
      </c>
      <c r="F43" s="43" t="s">
        <v>100</v>
      </c>
      <c r="G43" s="42" t="s">
        <v>102</v>
      </c>
      <c r="H43" s="43" t="s">
        <v>103</v>
      </c>
      <c r="I43" s="43" t="s">
        <v>104</v>
      </c>
      <c r="J43" s="55"/>
      <c r="K43" s="119">
        <f>IFERROR(VLOOKUP(B43,BD_CONTROL!$A$5:$M$4235,11,0),"")</f>
        <v>0</v>
      </c>
      <c r="L43" s="120">
        <f>IFERROR(VLOOKUP(B43,BD_CONTROL!$A$5:$M$4235,12,0),"")</f>
        <v>0</v>
      </c>
      <c r="M43" s="121">
        <f>IFERROR(VLOOKUP(B43,BD_CONTROL!$A$5:$M$4235,13,0),"")</f>
        <v>0</v>
      </c>
    </row>
    <row r="44" spans="1:13" ht="15" customHeight="1">
      <c r="A44" s="39">
        <v>39</v>
      </c>
      <c r="B44" s="39" t="s">
        <v>211</v>
      </c>
      <c r="C44" s="40" t="s">
        <v>212</v>
      </c>
      <c r="D44" s="39" t="s">
        <v>99</v>
      </c>
      <c r="E44" s="40" t="s">
        <v>107</v>
      </c>
      <c r="F44" s="40" t="s">
        <v>107</v>
      </c>
      <c r="G44" s="39" t="s">
        <v>109</v>
      </c>
      <c r="H44" s="40" t="s">
        <v>103</v>
      </c>
      <c r="I44" s="40" t="s">
        <v>104</v>
      </c>
      <c r="J44" s="50"/>
      <c r="K44" s="116" t="str">
        <f>IFERROR(VLOOKUP(B44,BD_CONTROL!$A$5:$M$4235,11,0),"")</f>
        <v>Instalado - Operando</v>
      </c>
      <c r="L44" s="117">
        <f>IFERROR(VLOOKUP(B44,BD_CONTROL!$A$5:$M$4235,12,0),"")</f>
        <v>46150</v>
      </c>
      <c r="M44" s="118">
        <f>IFERROR(VLOOKUP(B44,BD_CONTROL!$A$5:$M$4235,13,0),"")</f>
        <v>0</v>
      </c>
    </row>
    <row r="45" spans="1:13" ht="15" customHeight="1">
      <c r="A45" s="42">
        <v>40</v>
      </c>
      <c r="B45" s="42" t="s">
        <v>213</v>
      </c>
      <c r="C45" s="43" t="s">
        <v>214</v>
      </c>
      <c r="D45" s="42" t="s">
        <v>99</v>
      </c>
      <c r="E45" s="43" t="s">
        <v>107</v>
      </c>
      <c r="F45" s="43" t="s">
        <v>107</v>
      </c>
      <c r="G45" s="42" t="s">
        <v>102</v>
      </c>
      <c r="H45" s="43" t="s">
        <v>103</v>
      </c>
      <c r="I45" s="43" t="s">
        <v>104</v>
      </c>
      <c r="J45" s="55"/>
      <c r="K45" s="119">
        <f>IFERROR(VLOOKUP(B45,BD_CONTROL!$A$5:$M$4235,11,0),"")</f>
        <v>0</v>
      </c>
      <c r="L45" s="120">
        <f>IFERROR(VLOOKUP(B45,BD_CONTROL!$A$5:$M$4235,12,0),"")</f>
        <v>0</v>
      </c>
      <c r="M45" s="121">
        <f>IFERROR(VLOOKUP(B45,BD_CONTROL!$A$5:$M$4235,13,0),"")</f>
        <v>0</v>
      </c>
    </row>
    <row r="46" spans="1:13" ht="15" customHeight="1">
      <c r="A46" s="39">
        <v>41</v>
      </c>
      <c r="B46" s="39" t="s">
        <v>215</v>
      </c>
      <c r="C46" s="40" t="s">
        <v>216</v>
      </c>
      <c r="D46" s="39" t="s">
        <v>99</v>
      </c>
      <c r="E46" s="40" t="s">
        <v>107</v>
      </c>
      <c r="F46" s="40" t="s">
        <v>217</v>
      </c>
      <c r="G46" s="39" t="s">
        <v>109</v>
      </c>
      <c r="H46" s="40" t="s">
        <v>103</v>
      </c>
      <c r="I46" s="40" t="s">
        <v>104</v>
      </c>
      <c r="J46" s="50"/>
      <c r="K46" s="116">
        <f>IFERROR(VLOOKUP(B46,BD_CONTROL!$A$5:$M$4235,11,0),"")</f>
        <v>0</v>
      </c>
      <c r="L46" s="117">
        <f>IFERROR(VLOOKUP(B46,BD_CONTROL!$A$5:$M$4235,12,0),"")</f>
        <v>0</v>
      </c>
      <c r="M46" s="118">
        <f>IFERROR(VLOOKUP(B46,BD_CONTROL!$A$5:$M$4235,13,0),"")</f>
        <v>0</v>
      </c>
    </row>
    <row r="47" spans="1:13" ht="15" customHeight="1">
      <c r="A47" s="42">
        <v>42</v>
      </c>
      <c r="B47" s="42" t="s">
        <v>218</v>
      </c>
      <c r="C47" s="43" t="s">
        <v>219</v>
      </c>
      <c r="D47" s="42" t="s">
        <v>99</v>
      </c>
      <c r="E47" s="43" t="s">
        <v>100</v>
      </c>
      <c r="F47" s="43" t="s">
        <v>220</v>
      </c>
      <c r="G47" s="42" t="s">
        <v>102</v>
      </c>
      <c r="H47" s="43" t="s">
        <v>103</v>
      </c>
      <c r="I47" s="43" t="s">
        <v>104</v>
      </c>
      <c r="J47" s="55"/>
      <c r="K47" s="119">
        <f>IFERROR(VLOOKUP(B47,BD_CONTROL!$A$5:$M$4235,11,0),"")</f>
        <v>0</v>
      </c>
      <c r="L47" s="120">
        <f>IFERROR(VLOOKUP(B47,BD_CONTROL!$A$5:$M$4235,12,0),"")</f>
        <v>0</v>
      </c>
      <c r="M47" s="121">
        <f>IFERROR(VLOOKUP(B47,BD_CONTROL!$A$5:$M$4235,13,0),"")</f>
        <v>0</v>
      </c>
    </row>
    <row r="48" spans="1:13" ht="15" customHeight="1">
      <c r="A48" s="39">
        <v>43</v>
      </c>
      <c r="B48" s="39" t="s">
        <v>221</v>
      </c>
      <c r="C48" s="40" t="s">
        <v>222</v>
      </c>
      <c r="D48" s="39" t="s">
        <v>99</v>
      </c>
      <c r="E48" s="40" t="s">
        <v>100</v>
      </c>
      <c r="F48" s="40" t="s">
        <v>223</v>
      </c>
      <c r="G48" s="39" t="s">
        <v>102</v>
      </c>
      <c r="H48" s="40" t="s">
        <v>103</v>
      </c>
      <c r="I48" s="40" t="s">
        <v>104</v>
      </c>
      <c r="J48" s="50"/>
      <c r="K48" s="116">
        <f>IFERROR(VLOOKUP(B48,BD_CONTROL!$A$5:$M$4235,11,0),"")</f>
        <v>0</v>
      </c>
      <c r="L48" s="117">
        <f>IFERROR(VLOOKUP(B48,BD_CONTROL!$A$5:$M$4235,12,0),"")</f>
        <v>0</v>
      </c>
      <c r="M48" s="118">
        <f>IFERROR(VLOOKUP(B48,BD_CONTROL!$A$5:$M$4235,13,0),"")</f>
        <v>0</v>
      </c>
    </row>
    <row r="49" spans="1:13" ht="15" customHeight="1">
      <c r="A49" s="42">
        <v>44</v>
      </c>
      <c r="B49" s="42" t="s">
        <v>224</v>
      </c>
      <c r="C49" s="43" t="s">
        <v>225</v>
      </c>
      <c r="D49" s="42" t="s">
        <v>99</v>
      </c>
      <c r="E49" s="43" t="s">
        <v>100</v>
      </c>
      <c r="F49" s="43" t="s">
        <v>172</v>
      </c>
      <c r="G49" s="42" t="s">
        <v>102</v>
      </c>
      <c r="H49" s="43" t="s">
        <v>103</v>
      </c>
      <c r="I49" s="43" t="s">
        <v>104</v>
      </c>
      <c r="J49" s="55"/>
      <c r="K49" s="119">
        <f>IFERROR(VLOOKUP(B49,BD_CONTROL!$A$5:$M$4235,11,0),"")</f>
        <v>0</v>
      </c>
      <c r="L49" s="120">
        <f>IFERROR(VLOOKUP(B49,BD_CONTROL!$A$5:$M$4235,12,0),"")</f>
        <v>0</v>
      </c>
      <c r="M49" s="121">
        <f>IFERROR(VLOOKUP(B49,BD_CONTROL!$A$5:$M$4235,13,0),"")</f>
        <v>0</v>
      </c>
    </row>
    <row r="50" spans="1:13" ht="15" customHeight="1">
      <c r="A50" s="39">
        <v>45</v>
      </c>
      <c r="B50" s="39" t="s">
        <v>226</v>
      </c>
      <c r="C50" s="40" t="s">
        <v>227</v>
      </c>
      <c r="D50" s="39" t="s">
        <v>99</v>
      </c>
      <c r="E50" s="40" t="s">
        <v>100</v>
      </c>
      <c r="F50" s="40" t="s">
        <v>100</v>
      </c>
      <c r="G50" s="39" t="s">
        <v>102</v>
      </c>
      <c r="H50" s="40" t="s">
        <v>103</v>
      </c>
      <c r="I50" s="40" t="s">
        <v>104</v>
      </c>
      <c r="J50" s="50"/>
      <c r="K50" s="116">
        <f>IFERROR(VLOOKUP(B50,BD_CONTROL!$A$5:$M$4235,11,0),"")</f>
        <v>0</v>
      </c>
      <c r="L50" s="117">
        <f>IFERROR(VLOOKUP(B50,BD_CONTROL!$A$5:$M$4235,12,0),"")</f>
        <v>0</v>
      </c>
      <c r="M50" s="118">
        <f>IFERROR(VLOOKUP(B50,BD_CONTROL!$A$5:$M$4235,13,0),"")</f>
        <v>0</v>
      </c>
    </row>
    <row r="51" spans="1:13" ht="15" customHeight="1">
      <c r="A51" s="42">
        <v>46</v>
      </c>
      <c r="B51" s="42" t="s">
        <v>228</v>
      </c>
      <c r="C51" s="43" t="s">
        <v>229</v>
      </c>
      <c r="D51" s="42" t="s">
        <v>99</v>
      </c>
      <c r="E51" s="43" t="s">
        <v>107</v>
      </c>
      <c r="F51" s="43" t="s">
        <v>230</v>
      </c>
      <c r="G51" s="42" t="s">
        <v>109</v>
      </c>
      <c r="H51" s="43" t="s">
        <v>103</v>
      </c>
      <c r="I51" s="43" t="s">
        <v>104</v>
      </c>
      <c r="J51" s="55"/>
      <c r="K51" s="119">
        <f>IFERROR(VLOOKUP(B51,BD_CONTROL!$A$5:$M$4235,11,0),"")</f>
        <v>0</v>
      </c>
      <c r="L51" s="120">
        <f>IFERROR(VLOOKUP(B51,BD_CONTROL!$A$5:$M$4235,12,0),"")</f>
        <v>0</v>
      </c>
      <c r="M51" s="121">
        <f>IFERROR(VLOOKUP(B51,BD_CONTROL!$A$5:$M$4235,13,0),"")</f>
        <v>0</v>
      </c>
    </row>
    <row r="52" spans="1:13" ht="15" customHeight="1">
      <c r="A52" s="39">
        <v>47</v>
      </c>
      <c r="B52" s="39" t="s">
        <v>231</v>
      </c>
      <c r="C52" s="40" t="s">
        <v>232</v>
      </c>
      <c r="D52" s="39" t="s">
        <v>99</v>
      </c>
      <c r="E52" s="40" t="s">
        <v>107</v>
      </c>
      <c r="F52" s="40" t="s">
        <v>233</v>
      </c>
      <c r="G52" s="39" t="s">
        <v>109</v>
      </c>
      <c r="H52" s="40" t="s">
        <v>103</v>
      </c>
      <c r="I52" s="40" t="s">
        <v>104</v>
      </c>
      <c r="J52" s="50"/>
      <c r="K52" s="116">
        <f>IFERROR(VLOOKUP(B52,BD_CONTROL!$A$5:$M$4235,11,0),"")</f>
        <v>0</v>
      </c>
      <c r="L52" s="117">
        <f>IFERROR(VLOOKUP(B52,BD_CONTROL!$A$5:$M$4235,12,0),"")</f>
        <v>0</v>
      </c>
      <c r="M52" s="118">
        <f>IFERROR(VLOOKUP(B52,BD_CONTROL!$A$5:$M$4235,13,0),"")</f>
        <v>0</v>
      </c>
    </row>
    <row r="53" spans="1:13" ht="15" customHeight="1">
      <c r="A53" s="42">
        <v>48</v>
      </c>
      <c r="B53" s="42" t="s">
        <v>234</v>
      </c>
      <c r="C53" s="43" t="s">
        <v>235</v>
      </c>
      <c r="D53" s="42" t="s">
        <v>99</v>
      </c>
      <c r="E53" s="43" t="s">
        <v>107</v>
      </c>
      <c r="F53" s="43" t="s">
        <v>230</v>
      </c>
      <c r="G53" s="42" t="s">
        <v>109</v>
      </c>
      <c r="H53" s="43" t="s">
        <v>103</v>
      </c>
      <c r="I53" s="43" t="s">
        <v>104</v>
      </c>
      <c r="J53" s="55"/>
      <c r="K53" s="119">
        <f>IFERROR(VLOOKUP(B53,BD_CONTROL!$A$5:$M$4235,11,0),"")</f>
        <v>0</v>
      </c>
      <c r="L53" s="120">
        <f>IFERROR(VLOOKUP(B53,BD_CONTROL!$A$5:$M$4235,12,0),"")</f>
        <v>0</v>
      </c>
      <c r="M53" s="121">
        <f>IFERROR(VLOOKUP(B53,BD_CONTROL!$A$5:$M$4235,13,0),"")</f>
        <v>0</v>
      </c>
    </row>
    <row r="54" spans="1:13" ht="15" customHeight="1">
      <c r="A54" s="39">
        <v>49</v>
      </c>
      <c r="B54" s="39" t="s">
        <v>236</v>
      </c>
      <c r="C54" s="40" t="s">
        <v>237</v>
      </c>
      <c r="D54" s="39" t="s">
        <v>99</v>
      </c>
      <c r="E54" s="40" t="s">
        <v>107</v>
      </c>
      <c r="F54" s="40" t="s">
        <v>238</v>
      </c>
      <c r="G54" s="39" t="s">
        <v>109</v>
      </c>
      <c r="H54" s="40" t="s">
        <v>103</v>
      </c>
      <c r="I54" s="40" t="s">
        <v>104</v>
      </c>
      <c r="J54" s="50"/>
      <c r="K54" s="116">
        <f>IFERROR(VLOOKUP(B54,BD_CONTROL!$A$5:$M$4235,11,0),"")</f>
        <v>0</v>
      </c>
      <c r="L54" s="117">
        <f>IFERROR(VLOOKUP(B54,BD_CONTROL!$A$5:$M$4235,12,0),"")</f>
        <v>0</v>
      </c>
      <c r="M54" s="118">
        <f>IFERROR(VLOOKUP(B54,BD_CONTROL!$A$5:$M$4235,13,0),"")</f>
        <v>0</v>
      </c>
    </row>
    <row r="55" spans="1:13" ht="15" customHeight="1">
      <c r="A55" s="42">
        <v>50</v>
      </c>
      <c r="B55" s="42" t="s">
        <v>239</v>
      </c>
      <c r="C55" s="43" t="s">
        <v>240</v>
      </c>
      <c r="D55" s="42" t="s">
        <v>99</v>
      </c>
      <c r="E55" s="43" t="s">
        <v>100</v>
      </c>
      <c r="F55" s="43" t="s">
        <v>100</v>
      </c>
      <c r="G55" s="42" t="s">
        <v>102</v>
      </c>
      <c r="H55" s="43" t="s">
        <v>103</v>
      </c>
      <c r="I55" s="43" t="s">
        <v>104</v>
      </c>
      <c r="J55" s="55"/>
      <c r="K55" s="119">
        <f>IFERROR(VLOOKUP(B55,BD_CONTROL!$A$5:$M$4235,11,0),"")</f>
        <v>0</v>
      </c>
      <c r="L55" s="120">
        <f>IFERROR(VLOOKUP(B55,BD_CONTROL!$A$5:$M$4235,12,0),"")</f>
        <v>0</v>
      </c>
      <c r="M55" s="121">
        <f>IFERROR(VLOOKUP(B55,BD_CONTROL!$A$5:$M$4235,13,0),"")</f>
        <v>0</v>
      </c>
    </row>
    <row r="56" spans="1:13" ht="15" customHeight="1">
      <c r="A56" s="39">
        <v>51</v>
      </c>
      <c r="B56" s="39" t="s">
        <v>241</v>
      </c>
      <c r="C56" s="40" t="s">
        <v>242</v>
      </c>
      <c r="D56" s="39" t="s">
        <v>99</v>
      </c>
      <c r="E56" s="40" t="s">
        <v>124</v>
      </c>
      <c r="F56" s="40" t="s">
        <v>243</v>
      </c>
      <c r="G56" s="39" t="s">
        <v>109</v>
      </c>
      <c r="H56" s="40" t="s">
        <v>103</v>
      </c>
      <c r="I56" s="40" t="s">
        <v>104</v>
      </c>
      <c r="J56" s="50"/>
      <c r="K56" s="116">
        <f>IFERROR(VLOOKUP(B56,BD_CONTROL!$A$5:$M$4235,11,0),"")</f>
        <v>0</v>
      </c>
      <c r="L56" s="117">
        <f>IFERROR(VLOOKUP(B56,BD_CONTROL!$A$5:$M$4235,12,0),"")</f>
        <v>0</v>
      </c>
      <c r="M56" s="118">
        <f>IFERROR(VLOOKUP(B56,BD_CONTROL!$A$5:$M$4235,13,0),"")</f>
        <v>0</v>
      </c>
    </row>
    <row r="57" spans="1:13" ht="15" customHeight="1">
      <c r="A57" s="42">
        <v>52</v>
      </c>
      <c r="B57" s="42" t="s">
        <v>244</v>
      </c>
      <c r="C57" s="43" t="s">
        <v>245</v>
      </c>
      <c r="D57" s="42" t="s">
        <v>99</v>
      </c>
      <c r="E57" s="43" t="s">
        <v>100</v>
      </c>
      <c r="F57" s="43" t="s">
        <v>100</v>
      </c>
      <c r="G57" s="42" t="s">
        <v>102</v>
      </c>
      <c r="H57" s="43" t="s">
        <v>103</v>
      </c>
      <c r="I57" s="43" t="s">
        <v>104</v>
      </c>
      <c r="J57" s="55"/>
      <c r="K57" s="119" t="str">
        <f>IFERROR(VLOOKUP(B57,BD_CONTROL!$A$5:$M$4235,11,0),"")</f>
        <v>Instalado - Operando</v>
      </c>
      <c r="L57" s="120">
        <f>IFERROR(VLOOKUP(B57,BD_CONTROL!$A$5:$M$4235,12,0),"")</f>
        <v>46148</v>
      </c>
      <c r="M57" s="121">
        <f>IFERROR(VLOOKUP(B57,BD_CONTROL!$A$5:$M$4235,13,0),"")</f>
        <v>0</v>
      </c>
    </row>
    <row r="58" spans="1:13" ht="15" customHeight="1">
      <c r="A58" s="39">
        <v>53</v>
      </c>
      <c r="B58" s="39" t="s">
        <v>246</v>
      </c>
      <c r="C58" s="40" t="s">
        <v>247</v>
      </c>
      <c r="D58" s="39" t="s">
        <v>99</v>
      </c>
      <c r="E58" s="40" t="s">
        <v>147</v>
      </c>
      <c r="F58" s="40" t="s">
        <v>248</v>
      </c>
      <c r="G58" s="39" t="s">
        <v>109</v>
      </c>
      <c r="H58" s="40" t="s">
        <v>103</v>
      </c>
      <c r="I58" s="40" t="s">
        <v>104</v>
      </c>
      <c r="J58" s="50"/>
      <c r="K58" s="116">
        <f>IFERROR(VLOOKUP(B58,BD_CONTROL!$A$5:$M$4235,11,0),"")</f>
        <v>0</v>
      </c>
      <c r="L58" s="117">
        <f>IFERROR(VLOOKUP(B58,BD_CONTROL!$A$5:$M$4235,12,0),"")</f>
        <v>0</v>
      </c>
      <c r="M58" s="118">
        <f>IFERROR(VLOOKUP(B58,BD_CONTROL!$A$5:$M$4235,13,0),"")</f>
        <v>0</v>
      </c>
    </row>
    <row r="59" spans="1:13" ht="15" customHeight="1">
      <c r="A59" s="42">
        <v>54</v>
      </c>
      <c r="B59" s="42" t="s">
        <v>249</v>
      </c>
      <c r="C59" s="43" t="s">
        <v>250</v>
      </c>
      <c r="D59" s="42" t="s">
        <v>99</v>
      </c>
      <c r="E59" s="43" t="s">
        <v>147</v>
      </c>
      <c r="F59" s="43" t="s">
        <v>251</v>
      </c>
      <c r="G59" s="42" t="s">
        <v>109</v>
      </c>
      <c r="H59" s="43" t="s">
        <v>103</v>
      </c>
      <c r="I59" s="43" t="s">
        <v>104</v>
      </c>
      <c r="J59" s="55"/>
      <c r="K59" s="119" t="str">
        <f>IFERROR(VLOOKUP(B59,BD_CONTROL!$A$5:$M$4235,11,0),"")</f>
        <v>Instalado - Operando</v>
      </c>
      <c r="L59" s="120">
        <f>IFERROR(VLOOKUP(B59,BD_CONTROL!$A$5:$M$4235,12,0),"")</f>
        <v>46150</v>
      </c>
      <c r="M59" s="121">
        <f>IFERROR(VLOOKUP(B59,BD_CONTROL!$A$5:$M$4235,13,0),"")</f>
        <v>0</v>
      </c>
    </row>
    <row r="60" spans="1:13" ht="15" customHeight="1">
      <c r="A60" s="39">
        <v>55</v>
      </c>
      <c r="B60" s="39" t="s">
        <v>252</v>
      </c>
      <c r="C60" s="40" t="s">
        <v>253</v>
      </c>
      <c r="D60" s="39" t="s">
        <v>99</v>
      </c>
      <c r="E60" s="40" t="s">
        <v>107</v>
      </c>
      <c r="F60" s="40" t="s">
        <v>254</v>
      </c>
      <c r="G60" s="39" t="s">
        <v>109</v>
      </c>
      <c r="H60" s="40" t="s">
        <v>103</v>
      </c>
      <c r="I60" s="40" t="s">
        <v>104</v>
      </c>
      <c r="J60" s="50"/>
      <c r="K60" s="116">
        <f>IFERROR(VLOOKUP(B60,BD_CONTROL!$A$5:$M$4235,11,0),"")</f>
        <v>0</v>
      </c>
      <c r="L60" s="117">
        <f>IFERROR(VLOOKUP(B60,BD_CONTROL!$A$5:$M$4235,12,0),"")</f>
        <v>0</v>
      </c>
      <c r="M60" s="118">
        <f>IFERROR(VLOOKUP(B60,BD_CONTROL!$A$5:$M$4235,13,0),"")</f>
        <v>0</v>
      </c>
    </row>
    <row r="61" spans="1:13" ht="15" customHeight="1">
      <c r="A61" s="42">
        <v>56</v>
      </c>
      <c r="B61" s="42" t="s">
        <v>255</v>
      </c>
      <c r="C61" s="43" t="s">
        <v>256</v>
      </c>
      <c r="D61" s="42" t="s">
        <v>99</v>
      </c>
      <c r="E61" s="43" t="s">
        <v>100</v>
      </c>
      <c r="F61" s="43" t="s">
        <v>257</v>
      </c>
      <c r="G61" s="42" t="s">
        <v>102</v>
      </c>
      <c r="H61" s="43" t="s">
        <v>103</v>
      </c>
      <c r="I61" s="43" t="s">
        <v>104</v>
      </c>
      <c r="J61" s="55"/>
      <c r="K61" s="119">
        <f>IFERROR(VLOOKUP(B61,BD_CONTROL!$A$5:$M$4235,11,0),"")</f>
        <v>0</v>
      </c>
      <c r="L61" s="120">
        <f>IFERROR(VLOOKUP(B61,BD_CONTROL!$A$5:$M$4235,12,0),"")</f>
        <v>0</v>
      </c>
      <c r="M61" s="121">
        <f>IFERROR(VLOOKUP(B61,BD_CONTROL!$A$5:$M$4235,13,0),"")</f>
        <v>0</v>
      </c>
    </row>
    <row r="62" spans="1:13" ht="15" customHeight="1">
      <c r="A62" s="39">
        <v>57</v>
      </c>
      <c r="B62" s="39" t="s">
        <v>258</v>
      </c>
      <c r="C62" s="40" t="s">
        <v>259</v>
      </c>
      <c r="D62" s="39" t="s">
        <v>99</v>
      </c>
      <c r="E62" s="40" t="s">
        <v>100</v>
      </c>
      <c r="F62" s="40" t="s">
        <v>100</v>
      </c>
      <c r="G62" s="39" t="s">
        <v>102</v>
      </c>
      <c r="H62" s="40" t="s">
        <v>103</v>
      </c>
      <c r="I62" s="40" t="s">
        <v>104</v>
      </c>
      <c r="J62" s="50"/>
      <c r="K62" s="116">
        <f>IFERROR(VLOOKUP(B62,BD_CONTROL!$A$5:$M$4235,11,0),"")</f>
        <v>0</v>
      </c>
      <c r="L62" s="117">
        <f>IFERROR(VLOOKUP(B62,BD_CONTROL!$A$5:$M$4235,12,0),"")</f>
        <v>0</v>
      </c>
      <c r="M62" s="118">
        <f>IFERROR(VLOOKUP(B62,BD_CONTROL!$A$5:$M$4235,13,0),"")</f>
        <v>0</v>
      </c>
    </row>
    <row r="63" spans="1:13" ht="15" customHeight="1">
      <c r="A63" s="42">
        <v>58</v>
      </c>
      <c r="B63" s="42" t="s">
        <v>260</v>
      </c>
      <c r="C63" s="43" t="s">
        <v>261</v>
      </c>
      <c r="D63" s="42" t="s">
        <v>99</v>
      </c>
      <c r="E63" s="43" t="s">
        <v>100</v>
      </c>
      <c r="F63" s="43" t="s">
        <v>262</v>
      </c>
      <c r="G63" s="42" t="s">
        <v>102</v>
      </c>
      <c r="H63" s="43" t="s">
        <v>103</v>
      </c>
      <c r="I63" s="43" t="s">
        <v>104</v>
      </c>
      <c r="J63" s="55"/>
      <c r="K63" s="119">
        <f>IFERROR(VLOOKUP(B63,BD_CONTROL!$A$5:$M$4235,11,0),"")</f>
        <v>0</v>
      </c>
      <c r="L63" s="120">
        <f>IFERROR(VLOOKUP(B63,BD_CONTROL!$A$5:$M$4235,12,0),"")</f>
        <v>0</v>
      </c>
      <c r="M63" s="121">
        <f>IFERROR(VLOOKUP(B63,BD_CONTROL!$A$5:$M$4235,13,0),"")</f>
        <v>0</v>
      </c>
    </row>
    <row r="64" spans="1:13" ht="15" customHeight="1">
      <c r="A64" s="39">
        <v>59</v>
      </c>
      <c r="B64" s="39" t="s">
        <v>263</v>
      </c>
      <c r="C64" s="40" t="s">
        <v>264</v>
      </c>
      <c r="D64" s="39" t="s">
        <v>99</v>
      </c>
      <c r="E64" s="40" t="s">
        <v>107</v>
      </c>
      <c r="F64" s="40" t="s">
        <v>265</v>
      </c>
      <c r="G64" s="39" t="s">
        <v>109</v>
      </c>
      <c r="H64" s="40" t="s">
        <v>103</v>
      </c>
      <c r="I64" s="40" t="s">
        <v>104</v>
      </c>
      <c r="J64" s="50"/>
      <c r="K64" s="116">
        <f>IFERROR(VLOOKUP(B64,BD_CONTROL!$A$5:$M$4235,11,0),"")</f>
        <v>0</v>
      </c>
      <c r="L64" s="117">
        <f>IFERROR(VLOOKUP(B64,BD_CONTROL!$A$5:$M$4235,12,0),"")</f>
        <v>0</v>
      </c>
      <c r="M64" s="118">
        <f>IFERROR(VLOOKUP(B64,BD_CONTROL!$A$5:$M$4235,13,0),"")</f>
        <v>0</v>
      </c>
    </row>
    <row r="65" spans="1:13" ht="15" customHeight="1">
      <c r="A65" s="42">
        <v>60</v>
      </c>
      <c r="B65" s="42" t="s">
        <v>266</v>
      </c>
      <c r="C65" s="43" t="s">
        <v>267</v>
      </c>
      <c r="D65" s="42" t="s">
        <v>99</v>
      </c>
      <c r="E65" s="43" t="s">
        <v>107</v>
      </c>
      <c r="F65" s="43" t="s">
        <v>268</v>
      </c>
      <c r="G65" s="42" t="s">
        <v>109</v>
      </c>
      <c r="H65" s="43" t="s">
        <v>103</v>
      </c>
      <c r="I65" s="43" t="s">
        <v>104</v>
      </c>
      <c r="J65" s="55"/>
      <c r="K65" s="119">
        <f>IFERROR(VLOOKUP(B65,BD_CONTROL!$A$5:$M$4235,11,0),"")</f>
        <v>0</v>
      </c>
      <c r="L65" s="120">
        <f>IFERROR(VLOOKUP(B65,BD_CONTROL!$A$5:$M$4235,12,0),"")</f>
        <v>0</v>
      </c>
      <c r="M65" s="121">
        <f>IFERROR(VLOOKUP(B65,BD_CONTROL!$A$5:$M$4235,13,0),"")</f>
        <v>0</v>
      </c>
    </row>
    <row r="66" spans="1:13" ht="15" customHeight="1">
      <c r="A66" s="39">
        <v>61</v>
      </c>
      <c r="B66" s="39" t="s">
        <v>269</v>
      </c>
      <c r="C66" s="40" t="s">
        <v>270</v>
      </c>
      <c r="D66" s="39" t="s">
        <v>99</v>
      </c>
      <c r="E66" s="40" t="s">
        <v>147</v>
      </c>
      <c r="F66" s="40" t="s">
        <v>271</v>
      </c>
      <c r="G66" s="39" t="s">
        <v>109</v>
      </c>
      <c r="H66" s="40" t="s">
        <v>103</v>
      </c>
      <c r="I66" s="40" t="s">
        <v>104</v>
      </c>
      <c r="J66" s="50"/>
      <c r="K66" s="116">
        <f>IFERROR(VLOOKUP(B66,BD_CONTROL!$A$5:$M$4235,11,0),"")</f>
        <v>0</v>
      </c>
      <c r="L66" s="117">
        <f>IFERROR(VLOOKUP(B66,BD_CONTROL!$A$5:$M$4235,12,0),"")</f>
        <v>0</v>
      </c>
      <c r="M66" s="118">
        <f>IFERROR(VLOOKUP(B66,BD_CONTROL!$A$5:$M$4235,13,0),"")</f>
        <v>0</v>
      </c>
    </row>
    <row r="67" spans="1:13" ht="15" customHeight="1">
      <c r="A67" s="42">
        <v>62</v>
      </c>
      <c r="B67" s="42" t="s">
        <v>272</v>
      </c>
      <c r="C67" s="43" t="s">
        <v>273</v>
      </c>
      <c r="D67" s="42" t="s">
        <v>99</v>
      </c>
      <c r="E67" s="43" t="s">
        <v>147</v>
      </c>
      <c r="F67" s="43" t="s">
        <v>274</v>
      </c>
      <c r="G67" s="42" t="s">
        <v>109</v>
      </c>
      <c r="H67" s="43" t="s">
        <v>103</v>
      </c>
      <c r="I67" s="43" t="s">
        <v>104</v>
      </c>
      <c r="J67" s="55"/>
      <c r="K67" s="119">
        <f>IFERROR(VLOOKUP(B67,BD_CONTROL!$A$5:$M$4235,11,0),"")</f>
        <v>0</v>
      </c>
      <c r="L67" s="120">
        <f>IFERROR(VLOOKUP(B67,BD_CONTROL!$A$5:$M$4235,12,0),"")</f>
        <v>0</v>
      </c>
      <c r="M67" s="121">
        <f>IFERROR(VLOOKUP(B67,BD_CONTROL!$A$5:$M$4235,13,0),"")</f>
        <v>0</v>
      </c>
    </row>
    <row r="68" spans="1:13" ht="15" customHeight="1">
      <c r="A68" s="39">
        <v>63</v>
      </c>
      <c r="B68" s="39" t="s">
        <v>275</v>
      </c>
      <c r="C68" s="40" t="s">
        <v>276</v>
      </c>
      <c r="D68" s="39" t="s">
        <v>99</v>
      </c>
      <c r="E68" s="40" t="s">
        <v>147</v>
      </c>
      <c r="F68" s="40" t="s">
        <v>277</v>
      </c>
      <c r="G68" s="39" t="s">
        <v>109</v>
      </c>
      <c r="H68" s="40" t="s">
        <v>103</v>
      </c>
      <c r="I68" s="40" t="s">
        <v>104</v>
      </c>
      <c r="J68" s="50"/>
      <c r="K68" s="116" t="str">
        <f>IFERROR(VLOOKUP(B68,BD_CONTROL!$A$5:$M$4235,11,0),"")</f>
        <v>Instalado - Sin Señal</v>
      </c>
      <c r="L68" s="117">
        <f>IFERROR(VLOOKUP(B68,BD_CONTROL!$A$5:$M$4235,12,0),"")</f>
        <v>46147</v>
      </c>
      <c r="M68" s="118" t="str">
        <f>IFERROR(VLOOKUP(B68,BD_CONTROL!$A$5:$M$4235,13,0),"")</f>
        <v>Queda pendiente validación por parte de Mesa de Servicio</v>
      </c>
    </row>
    <row r="69" spans="1:13" ht="15" customHeight="1">
      <c r="A69" s="42">
        <v>64</v>
      </c>
      <c r="B69" s="42" t="s">
        <v>279</v>
      </c>
      <c r="C69" s="43" t="s">
        <v>280</v>
      </c>
      <c r="D69" s="42" t="s">
        <v>99</v>
      </c>
      <c r="E69" s="43" t="s">
        <v>124</v>
      </c>
      <c r="F69" s="43" t="s">
        <v>281</v>
      </c>
      <c r="G69" s="42" t="s">
        <v>109</v>
      </c>
      <c r="H69" s="43" t="s">
        <v>103</v>
      </c>
      <c r="I69" s="43" t="s">
        <v>104</v>
      </c>
      <c r="J69" s="55"/>
      <c r="K69" s="119">
        <f>IFERROR(VLOOKUP(B69,BD_CONTROL!$A$5:$M$4235,11,0),"")</f>
        <v>0</v>
      </c>
      <c r="L69" s="120">
        <f>IFERROR(VLOOKUP(B69,BD_CONTROL!$A$5:$M$4235,12,0),"")</f>
        <v>0</v>
      </c>
      <c r="M69" s="121">
        <f>IFERROR(VLOOKUP(B69,BD_CONTROL!$A$5:$M$4235,13,0),"")</f>
        <v>0</v>
      </c>
    </row>
    <row r="70" spans="1:13" ht="15" customHeight="1">
      <c r="A70" s="39">
        <v>65</v>
      </c>
      <c r="B70" s="39" t="s">
        <v>282</v>
      </c>
      <c r="C70" s="40" t="s">
        <v>283</v>
      </c>
      <c r="D70" s="39" t="s">
        <v>99</v>
      </c>
      <c r="E70" s="40" t="s">
        <v>107</v>
      </c>
      <c r="F70" s="40" t="s">
        <v>230</v>
      </c>
      <c r="G70" s="39" t="s">
        <v>109</v>
      </c>
      <c r="H70" s="40" t="s">
        <v>103</v>
      </c>
      <c r="I70" s="40" t="s">
        <v>104</v>
      </c>
      <c r="J70" s="50"/>
      <c r="K70" s="116">
        <f>IFERROR(VLOOKUP(B70,BD_CONTROL!$A$5:$M$4235,11,0),"")</f>
        <v>0</v>
      </c>
      <c r="L70" s="117">
        <f>IFERROR(VLOOKUP(B70,BD_CONTROL!$A$5:$M$4235,12,0),"")</f>
        <v>0</v>
      </c>
      <c r="M70" s="118">
        <f>IFERROR(VLOOKUP(B70,BD_CONTROL!$A$5:$M$4235,13,0),"")</f>
        <v>0</v>
      </c>
    </row>
    <row r="71" spans="1:13" ht="15" customHeight="1">
      <c r="A71" s="42">
        <v>66</v>
      </c>
      <c r="B71" s="42" t="s">
        <v>284</v>
      </c>
      <c r="C71" s="43" t="s">
        <v>285</v>
      </c>
      <c r="D71" s="42" t="s">
        <v>99</v>
      </c>
      <c r="E71" s="43" t="s">
        <v>107</v>
      </c>
      <c r="F71" s="43" t="s">
        <v>286</v>
      </c>
      <c r="G71" s="42" t="s">
        <v>109</v>
      </c>
      <c r="H71" s="43" t="s">
        <v>103</v>
      </c>
      <c r="I71" s="43" t="s">
        <v>104</v>
      </c>
      <c r="J71" s="55"/>
      <c r="K71" s="119">
        <f>IFERROR(VLOOKUP(B71,BD_CONTROL!$A$5:$M$4235,11,0),"")</f>
        <v>0</v>
      </c>
      <c r="L71" s="120">
        <f>IFERROR(VLOOKUP(B71,BD_CONTROL!$A$5:$M$4235,12,0),"")</f>
        <v>0</v>
      </c>
      <c r="M71" s="121">
        <f>IFERROR(VLOOKUP(B71,BD_CONTROL!$A$5:$M$4235,13,0),"")</f>
        <v>0</v>
      </c>
    </row>
    <row r="72" spans="1:13" ht="15" customHeight="1">
      <c r="A72" s="39">
        <v>67</v>
      </c>
      <c r="B72" s="39" t="s">
        <v>287</v>
      </c>
      <c r="C72" s="40" t="s">
        <v>288</v>
      </c>
      <c r="D72" s="39" t="s">
        <v>99</v>
      </c>
      <c r="E72" s="40" t="s">
        <v>107</v>
      </c>
      <c r="F72" s="40" t="s">
        <v>107</v>
      </c>
      <c r="G72" s="39" t="s">
        <v>102</v>
      </c>
      <c r="H72" s="40" t="s">
        <v>103</v>
      </c>
      <c r="I72" s="40" t="s">
        <v>104</v>
      </c>
      <c r="J72" s="50"/>
      <c r="K72" s="116" t="str">
        <f>IFERROR(VLOOKUP(B72,BD_CONTROL!$A$5:$M$4235,11,0),"")</f>
        <v>Instalado - Operando</v>
      </c>
      <c r="L72" s="117">
        <f>IFERROR(VLOOKUP(B72,BD_CONTROL!$A$5:$M$4235,12,0),"")</f>
        <v>46150</v>
      </c>
      <c r="M72" s="118">
        <f>IFERROR(VLOOKUP(B72,BD_CONTROL!$A$5:$M$4235,13,0),"")</f>
        <v>0</v>
      </c>
    </row>
    <row r="73" spans="1:13" ht="15" customHeight="1">
      <c r="A73" s="42">
        <v>68</v>
      </c>
      <c r="B73" s="42" t="s">
        <v>289</v>
      </c>
      <c r="C73" s="43" t="s">
        <v>290</v>
      </c>
      <c r="D73" s="42" t="s">
        <v>99</v>
      </c>
      <c r="E73" s="43" t="s">
        <v>100</v>
      </c>
      <c r="F73" s="43" t="s">
        <v>291</v>
      </c>
      <c r="G73" s="42" t="s">
        <v>109</v>
      </c>
      <c r="H73" s="43" t="s">
        <v>103</v>
      </c>
      <c r="I73" s="43" t="s">
        <v>104</v>
      </c>
      <c r="J73" s="55"/>
      <c r="K73" s="119">
        <f>IFERROR(VLOOKUP(B73,BD_CONTROL!$A$5:$M$4235,11,0),"")</f>
        <v>0</v>
      </c>
      <c r="L73" s="120">
        <f>IFERROR(VLOOKUP(B73,BD_CONTROL!$A$5:$M$4235,12,0),"")</f>
        <v>0</v>
      </c>
      <c r="M73" s="121">
        <f>IFERROR(VLOOKUP(B73,BD_CONTROL!$A$5:$M$4235,13,0),"")</f>
        <v>0</v>
      </c>
    </row>
    <row r="74" spans="1:13" ht="15" customHeight="1">
      <c r="A74" s="39">
        <v>69</v>
      </c>
      <c r="B74" s="39" t="s">
        <v>292</v>
      </c>
      <c r="C74" s="40" t="s">
        <v>293</v>
      </c>
      <c r="D74" s="39" t="s">
        <v>99</v>
      </c>
      <c r="E74" s="40" t="s">
        <v>100</v>
      </c>
      <c r="F74" s="40" t="s">
        <v>100</v>
      </c>
      <c r="G74" s="39" t="s">
        <v>102</v>
      </c>
      <c r="H74" s="40" t="s">
        <v>103</v>
      </c>
      <c r="I74" s="40" t="s">
        <v>104</v>
      </c>
      <c r="J74" s="50"/>
      <c r="K74" s="116">
        <f>IFERROR(VLOOKUP(B74,BD_CONTROL!$A$5:$M$4235,11,0),"")</f>
        <v>0</v>
      </c>
      <c r="L74" s="117">
        <f>IFERROR(VLOOKUP(B74,BD_CONTROL!$A$5:$M$4235,12,0),"")</f>
        <v>0</v>
      </c>
      <c r="M74" s="118">
        <f>IFERROR(VLOOKUP(B74,BD_CONTROL!$A$5:$M$4235,13,0),"")</f>
        <v>0</v>
      </c>
    </row>
    <row r="75" spans="1:13" ht="15" customHeight="1">
      <c r="A75" s="42">
        <v>70</v>
      </c>
      <c r="B75" s="42" t="s">
        <v>294</v>
      </c>
      <c r="C75" s="43" t="s">
        <v>294</v>
      </c>
      <c r="D75" s="42" t="s">
        <v>99</v>
      </c>
      <c r="E75" s="43" t="s">
        <v>107</v>
      </c>
      <c r="F75" s="43" t="s">
        <v>107</v>
      </c>
      <c r="G75" s="42" t="s">
        <v>102</v>
      </c>
      <c r="H75" s="43" t="s">
        <v>103</v>
      </c>
      <c r="I75" s="43" t="s">
        <v>104</v>
      </c>
      <c r="J75" s="55"/>
      <c r="K75" s="119">
        <f>IFERROR(VLOOKUP(B75,BD_CONTROL!$A$5:$M$4235,11,0),"")</f>
        <v>0</v>
      </c>
      <c r="L75" s="120">
        <f>IFERROR(VLOOKUP(B75,BD_CONTROL!$A$5:$M$4235,12,0),"")</f>
        <v>0</v>
      </c>
      <c r="M75" s="121">
        <f>IFERROR(VLOOKUP(B75,BD_CONTROL!$A$5:$M$4235,13,0),"")</f>
        <v>0</v>
      </c>
    </row>
    <row r="76" spans="1:13" ht="15" customHeight="1">
      <c r="A76" s="39">
        <v>71</v>
      </c>
      <c r="B76" s="39" t="s">
        <v>295</v>
      </c>
      <c r="C76" s="40" t="s">
        <v>296</v>
      </c>
      <c r="D76" s="39" t="s">
        <v>99</v>
      </c>
      <c r="E76" s="40" t="s">
        <v>100</v>
      </c>
      <c r="F76" s="40" t="s">
        <v>100</v>
      </c>
      <c r="G76" s="39" t="s">
        <v>109</v>
      </c>
      <c r="H76" s="40" t="s">
        <v>103</v>
      </c>
      <c r="I76" s="40" t="s">
        <v>104</v>
      </c>
      <c r="J76" s="50"/>
      <c r="K76" s="116" t="str">
        <f>IFERROR(VLOOKUP(B76,BD_CONTROL!$A$5:$M$4235,11,0),"")</f>
        <v>Instalado - Operando</v>
      </c>
      <c r="L76" s="117">
        <f>IFERROR(VLOOKUP(B76,BD_CONTROL!$A$5:$M$4235,12,0),"")</f>
        <v>46149</v>
      </c>
      <c r="M76" s="118">
        <f>IFERROR(VLOOKUP(B76,BD_CONTROL!$A$5:$M$4235,13,0),"")</f>
        <v>0</v>
      </c>
    </row>
    <row r="77" spans="1:13" ht="15" customHeight="1">
      <c r="A77" s="42">
        <v>72</v>
      </c>
      <c r="B77" s="42" t="s">
        <v>297</v>
      </c>
      <c r="C77" s="43" t="s">
        <v>298</v>
      </c>
      <c r="D77" s="42" t="s">
        <v>99</v>
      </c>
      <c r="E77" s="43" t="s">
        <v>147</v>
      </c>
      <c r="F77" s="43" t="s">
        <v>299</v>
      </c>
      <c r="G77" s="42" t="s">
        <v>102</v>
      </c>
      <c r="H77" s="43" t="s">
        <v>103</v>
      </c>
      <c r="I77" s="43" t="s">
        <v>104</v>
      </c>
      <c r="J77" s="55"/>
      <c r="K77" s="119">
        <f>IFERROR(VLOOKUP(B77,BD_CONTROL!$A$5:$M$4235,11,0),"")</f>
        <v>0</v>
      </c>
      <c r="L77" s="120">
        <f>IFERROR(VLOOKUP(B77,BD_CONTROL!$A$5:$M$4235,12,0),"")</f>
        <v>0</v>
      </c>
      <c r="M77" s="121">
        <f>IFERROR(VLOOKUP(B77,BD_CONTROL!$A$5:$M$4235,13,0),"")</f>
        <v>0</v>
      </c>
    </row>
    <row r="78" spans="1:13" ht="15" customHeight="1">
      <c r="A78" s="39">
        <v>73</v>
      </c>
      <c r="B78" s="39" t="s">
        <v>300</v>
      </c>
      <c r="C78" s="40" t="s">
        <v>301</v>
      </c>
      <c r="D78" s="39" t="s">
        <v>99</v>
      </c>
      <c r="E78" s="40" t="s">
        <v>107</v>
      </c>
      <c r="F78" s="40" t="s">
        <v>302</v>
      </c>
      <c r="G78" s="39" t="s">
        <v>109</v>
      </c>
      <c r="H78" s="40" t="s">
        <v>103</v>
      </c>
      <c r="I78" s="40" t="s">
        <v>104</v>
      </c>
      <c r="J78" s="50"/>
      <c r="K78" s="116">
        <f>IFERROR(VLOOKUP(B78,BD_CONTROL!$A$5:$M$4235,11,0),"")</f>
        <v>0</v>
      </c>
      <c r="L78" s="117">
        <f>IFERROR(VLOOKUP(B78,BD_CONTROL!$A$5:$M$4235,12,0),"")</f>
        <v>0</v>
      </c>
      <c r="M78" s="118">
        <f>IFERROR(VLOOKUP(B78,BD_CONTROL!$A$5:$M$4235,13,0),"")</f>
        <v>0</v>
      </c>
    </row>
    <row r="79" spans="1:13" ht="15" customHeight="1">
      <c r="A79" s="42">
        <v>74</v>
      </c>
      <c r="B79" s="42" t="s">
        <v>303</v>
      </c>
      <c r="C79" s="43" t="s">
        <v>304</v>
      </c>
      <c r="D79" s="42" t="s">
        <v>99</v>
      </c>
      <c r="E79" s="43" t="s">
        <v>147</v>
      </c>
      <c r="F79" s="43" t="s">
        <v>147</v>
      </c>
      <c r="G79" s="42" t="s">
        <v>102</v>
      </c>
      <c r="H79" s="43" t="s">
        <v>103</v>
      </c>
      <c r="I79" s="43" t="s">
        <v>104</v>
      </c>
      <c r="J79" s="55"/>
      <c r="K79" s="119">
        <f>IFERROR(VLOOKUP(B79,BD_CONTROL!$A$5:$M$4235,11,0),"")</f>
        <v>0</v>
      </c>
      <c r="L79" s="120">
        <f>IFERROR(VLOOKUP(B79,BD_CONTROL!$A$5:$M$4235,12,0),"")</f>
        <v>0</v>
      </c>
      <c r="M79" s="121">
        <f>IFERROR(VLOOKUP(B79,BD_CONTROL!$A$5:$M$4235,13,0),"")</f>
        <v>0</v>
      </c>
    </row>
    <row r="80" spans="1:13" ht="15" customHeight="1">
      <c r="A80" s="39">
        <v>75</v>
      </c>
      <c r="B80" s="39" t="s">
        <v>305</v>
      </c>
      <c r="C80" s="40" t="s">
        <v>306</v>
      </c>
      <c r="D80" s="39" t="s">
        <v>99</v>
      </c>
      <c r="E80" s="40" t="s">
        <v>107</v>
      </c>
      <c r="F80" s="40" t="s">
        <v>307</v>
      </c>
      <c r="G80" s="39" t="s">
        <v>109</v>
      </c>
      <c r="H80" s="40" t="s">
        <v>103</v>
      </c>
      <c r="I80" s="40" t="s">
        <v>104</v>
      </c>
      <c r="J80" s="50"/>
      <c r="K80" s="116">
        <f>IFERROR(VLOOKUP(B80,BD_CONTROL!$A$5:$M$4235,11,0),"")</f>
        <v>0</v>
      </c>
      <c r="L80" s="117">
        <f>IFERROR(VLOOKUP(B80,BD_CONTROL!$A$5:$M$4235,12,0),"")</f>
        <v>0</v>
      </c>
      <c r="M80" s="118">
        <f>IFERROR(VLOOKUP(B80,BD_CONTROL!$A$5:$M$4235,13,0),"")</f>
        <v>0</v>
      </c>
    </row>
    <row r="81" spans="1:13" ht="15" customHeight="1">
      <c r="A81" s="42">
        <v>76</v>
      </c>
      <c r="B81" s="42" t="s">
        <v>308</v>
      </c>
      <c r="C81" s="43" t="s">
        <v>309</v>
      </c>
      <c r="D81" s="42" t="s">
        <v>99</v>
      </c>
      <c r="E81" s="43" t="s">
        <v>100</v>
      </c>
      <c r="F81" s="43" t="s">
        <v>100</v>
      </c>
      <c r="G81" s="42" t="s">
        <v>109</v>
      </c>
      <c r="H81" s="43" t="s">
        <v>103</v>
      </c>
      <c r="I81" s="43" t="s">
        <v>104</v>
      </c>
      <c r="J81" s="55"/>
      <c r="K81" s="119">
        <f>IFERROR(VLOOKUP(B81,BD_CONTROL!$A$5:$M$4235,11,0),"")</f>
        <v>0</v>
      </c>
      <c r="L81" s="120">
        <f>IFERROR(VLOOKUP(B81,BD_CONTROL!$A$5:$M$4235,12,0),"")</f>
        <v>0</v>
      </c>
      <c r="M81" s="121">
        <f>IFERROR(VLOOKUP(B81,BD_CONTROL!$A$5:$M$4235,13,0),"")</f>
        <v>0</v>
      </c>
    </row>
    <row r="82" spans="1:13" ht="15" customHeight="1">
      <c r="A82" s="39">
        <v>77</v>
      </c>
      <c r="B82" s="39" t="s">
        <v>310</v>
      </c>
      <c r="C82" s="40" t="s">
        <v>311</v>
      </c>
      <c r="D82" s="39" t="s">
        <v>99</v>
      </c>
      <c r="E82" s="40" t="s">
        <v>107</v>
      </c>
      <c r="F82" s="40" t="s">
        <v>230</v>
      </c>
      <c r="G82" s="39" t="s">
        <v>109</v>
      </c>
      <c r="H82" s="40" t="s">
        <v>103</v>
      </c>
      <c r="I82" s="40" t="s">
        <v>104</v>
      </c>
      <c r="J82" s="50"/>
      <c r="K82" s="116">
        <f>IFERROR(VLOOKUP(B82,BD_CONTROL!$A$5:$M$4235,11,0),"")</f>
        <v>0</v>
      </c>
      <c r="L82" s="117">
        <f>IFERROR(VLOOKUP(B82,BD_CONTROL!$A$5:$M$4235,12,0),"")</f>
        <v>0</v>
      </c>
      <c r="M82" s="118">
        <f>IFERROR(VLOOKUP(B82,BD_CONTROL!$A$5:$M$4235,13,0),"")</f>
        <v>0</v>
      </c>
    </row>
    <row r="83" spans="1:13" ht="15" customHeight="1">
      <c r="A83" s="42">
        <v>78</v>
      </c>
      <c r="B83" s="42" t="s">
        <v>312</v>
      </c>
      <c r="C83" s="43" t="s">
        <v>313</v>
      </c>
      <c r="D83" s="42" t="s">
        <v>99</v>
      </c>
      <c r="E83" s="43" t="s">
        <v>107</v>
      </c>
      <c r="F83" s="43" t="s">
        <v>314</v>
      </c>
      <c r="G83" s="42" t="s">
        <v>109</v>
      </c>
      <c r="H83" s="43" t="s">
        <v>103</v>
      </c>
      <c r="I83" s="43" t="s">
        <v>104</v>
      </c>
      <c r="J83" s="55"/>
      <c r="K83" s="119">
        <f>IFERROR(VLOOKUP(B83,BD_CONTROL!$A$5:$M$4235,11,0),"")</f>
        <v>0</v>
      </c>
      <c r="L83" s="120">
        <f>IFERROR(VLOOKUP(B83,BD_CONTROL!$A$5:$M$4235,12,0),"")</f>
        <v>0</v>
      </c>
      <c r="M83" s="121">
        <f>IFERROR(VLOOKUP(B83,BD_CONTROL!$A$5:$M$4235,13,0),"")</f>
        <v>0</v>
      </c>
    </row>
    <row r="84" spans="1:13" ht="15" customHeight="1">
      <c r="A84" s="39">
        <v>79</v>
      </c>
      <c r="B84" s="39" t="s">
        <v>315</v>
      </c>
      <c r="C84" s="40" t="s">
        <v>316</v>
      </c>
      <c r="D84" s="39" t="s">
        <v>99</v>
      </c>
      <c r="E84" s="40" t="s">
        <v>107</v>
      </c>
      <c r="F84" s="40" t="s">
        <v>317</v>
      </c>
      <c r="G84" s="39" t="s">
        <v>109</v>
      </c>
      <c r="H84" s="40" t="s">
        <v>103</v>
      </c>
      <c r="I84" s="40" t="s">
        <v>104</v>
      </c>
      <c r="J84" s="50"/>
      <c r="K84" s="116">
        <f>IFERROR(VLOOKUP(B84,BD_CONTROL!$A$5:$M$4235,11,0),"")</f>
        <v>0</v>
      </c>
      <c r="L84" s="117">
        <f>IFERROR(VLOOKUP(B84,BD_CONTROL!$A$5:$M$4235,12,0),"")</f>
        <v>0</v>
      </c>
      <c r="M84" s="118">
        <f>IFERROR(VLOOKUP(B84,BD_CONTROL!$A$5:$M$4235,13,0),"")</f>
        <v>0</v>
      </c>
    </row>
    <row r="85" spans="1:13" ht="15" customHeight="1">
      <c r="A85" s="42">
        <v>80</v>
      </c>
      <c r="B85" s="42" t="s">
        <v>318</v>
      </c>
      <c r="C85" s="43" t="s">
        <v>319</v>
      </c>
      <c r="D85" s="42" t="s">
        <v>99</v>
      </c>
      <c r="E85" s="43" t="s">
        <v>147</v>
      </c>
      <c r="F85" s="43" t="s">
        <v>320</v>
      </c>
      <c r="G85" s="42" t="s">
        <v>109</v>
      </c>
      <c r="H85" s="43" t="s">
        <v>103</v>
      </c>
      <c r="I85" s="43" t="s">
        <v>104</v>
      </c>
      <c r="J85" s="55"/>
      <c r="K85" s="119">
        <f>IFERROR(VLOOKUP(B85,BD_CONTROL!$A$5:$M$4235,11,0),"")</f>
        <v>0</v>
      </c>
      <c r="L85" s="120">
        <f>IFERROR(VLOOKUP(B85,BD_CONTROL!$A$5:$M$4235,12,0),"")</f>
        <v>0</v>
      </c>
      <c r="M85" s="121">
        <f>IFERROR(VLOOKUP(B85,BD_CONTROL!$A$5:$M$4235,13,0),"")</f>
        <v>0</v>
      </c>
    </row>
    <row r="86" spans="1:13" ht="15" customHeight="1">
      <c r="A86" s="39">
        <v>81</v>
      </c>
      <c r="B86" s="39" t="s">
        <v>321</v>
      </c>
      <c r="C86" s="40" t="s">
        <v>322</v>
      </c>
      <c r="D86" s="39" t="s">
        <v>323</v>
      </c>
      <c r="E86" s="40" t="s">
        <v>324</v>
      </c>
      <c r="F86" s="40" t="s">
        <v>325</v>
      </c>
      <c r="G86" s="39" t="s">
        <v>109</v>
      </c>
      <c r="H86" s="40" t="s">
        <v>103</v>
      </c>
      <c r="I86" s="40" t="s">
        <v>104</v>
      </c>
      <c r="J86" s="50"/>
      <c r="K86" s="116">
        <f>IFERROR(VLOOKUP(B86,BD_CONTROL!$A$5:$M$4235,11,0),"")</f>
        <v>0</v>
      </c>
      <c r="L86" s="117">
        <f>IFERROR(VLOOKUP(B86,BD_CONTROL!$A$5:$M$4235,12,0),"")</f>
        <v>0</v>
      </c>
      <c r="M86" s="118">
        <f>IFERROR(VLOOKUP(B86,BD_CONTROL!$A$5:$M$4235,13,0),"")</f>
        <v>0</v>
      </c>
    </row>
    <row r="87" spans="1:13" ht="15" customHeight="1">
      <c r="A87" s="42">
        <v>82</v>
      </c>
      <c r="B87" s="42" t="s">
        <v>326</v>
      </c>
      <c r="C87" s="43" t="s">
        <v>327</v>
      </c>
      <c r="D87" s="42" t="s">
        <v>323</v>
      </c>
      <c r="E87" s="43" t="s">
        <v>324</v>
      </c>
      <c r="F87" s="43" t="s">
        <v>328</v>
      </c>
      <c r="G87" s="42" t="s">
        <v>109</v>
      </c>
      <c r="H87" s="43" t="s">
        <v>103</v>
      </c>
      <c r="I87" s="43" t="s">
        <v>104</v>
      </c>
      <c r="J87" s="55"/>
      <c r="K87" s="119">
        <f>IFERROR(VLOOKUP(B87,BD_CONTROL!$A$5:$M$4235,11,0),"")</f>
        <v>0</v>
      </c>
      <c r="L87" s="120">
        <f>IFERROR(VLOOKUP(B87,BD_CONTROL!$A$5:$M$4235,12,0),"")</f>
        <v>0</v>
      </c>
      <c r="M87" s="121">
        <f>IFERROR(VLOOKUP(B87,BD_CONTROL!$A$5:$M$4235,13,0),"")</f>
        <v>0</v>
      </c>
    </row>
    <row r="88" spans="1:13" ht="15" customHeight="1">
      <c r="A88" s="39">
        <v>83</v>
      </c>
      <c r="B88" s="39" t="s">
        <v>329</v>
      </c>
      <c r="C88" s="40" t="s">
        <v>330</v>
      </c>
      <c r="D88" s="39" t="s">
        <v>323</v>
      </c>
      <c r="E88" s="40" t="s">
        <v>331</v>
      </c>
      <c r="F88" s="40" t="s">
        <v>332</v>
      </c>
      <c r="G88" s="39" t="s">
        <v>109</v>
      </c>
      <c r="H88" s="40" t="s">
        <v>103</v>
      </c>
      <c r="I88" s="40" t="s">
        <v>104</v>
      </c>
      <c r="J88" s="50"/>
      <c r="K88" s="116">
        <f>IFERROR(VLOOKUP(B88,BD_CONTROL!$A$5:$M$4235,11,0),"")</f>
        <v>0</v>
      </c>
      <c r="L88" s="117">
        <f>IFERROR(VLOOKUP(B88,BD_CONTROL!$A$5:$M$4235,12,0),"")</f>
        <v>0</v>
      </c>
      <c r="M88" s="118">
        <f>IFERROR(VLOOKUP(B88,BD_CONTROL!$A$5:$M$4235,13,0),"")</f>
        <v>0</v>
      </c>
    </row>
    <row r="89" spans="1:13" ht="15" customHeight="1">
      <c r="A89" s="42">
        <v>84</v>
      </c>
      <c r="B89" s="42" t="s">
        <v>333</v>
      </c>
      <c r="C89" s="43" t="s">
        <v>334</v>
      </c>
      <c r="D89" s="42" t="s">
        <v>323</v>
      </c>
      <c r="E89" s="43" t="s">
        <v>331</v>
      </c>
      <c r="F89" s="43" t="s">
        <v>335</v>
      </c>
      <c r="G89" s="42" t="s">
        <v>109</v>
      </c>
      <c r="H89" s="43" t="s">
        <v>103</v>
      </c>
      <c r="I89" s="43" t="s">
        <v>104</v>
      </c>
      <c r="J89" s="55"/>
      <c r="K89" s="119">
        <f>IFERROR(VLOOKUP(B89,BD_CONTROL!$A$5:$M$4235,11,0),"")</f>
        <v>0</v>
      </c>
      <c r="L89" s="120">
        <f>IFERROR(VLOOKUP(B89,BD_CONTROL!$A$5:$M$4235,12,0),"")</f>
        <v>0</v>
      </c>
      <c r="M89" s="121">
        <f>IFERROR(VLOOKUP(B89,BD_CONTROL!$A$5:$M$4235,13,0),"")</f>
        <v>0</v>
      </c>
    </row>
    <row r="90" spans="1:13" ht="15" customHeight="1">
      <c r="A90" s="39">
        <v>85</v>
      </c>
      <c r="B90" s="39" t="s">
        <v>336</v>
      </c>
      <c r="C90" s="40" t="s">
        <v>337</v>
      </c>
      <c r="D90" s="39" t="s">
        <v>323</v>
      </c>
      <c r="E90" s="40" t="s">
        <v>338</v>
      </c>
      <c r="F90" s="40" t="s">
        <v>339</v>
      </c>
      <c r="G90" s="39" t="s">
        <v>109</v>
      </c>
      <c r="H90" s="40" t="s">
        <v>103</v>
      </c>
      <c r="I90" s="40" t="s">
        <v>104</v>
      </c>
      <c r="J90" s="50"/>
      <c r="K90" s="116" t="str">
        <f>IFERROR(VLOOKUP(B90,BD_CONTROL!$A$5:$M$4235,11,0),"")</f>
        <v>Instalado - Operando</v>
      </c>
      <c r="L90" s="117">
        <f>IFERROR(VLOOKUP(B90,BD_CONTROL!$A$5:$M$4235,12,0),"")</f>
        <v>46147</v>
      </c>
      <c r="M90" s="118">
        <f>IFERROR(VLOOKUP(B90,BD_CONTROL!$A$5:$M$4235,13,0),"")</f>
        <v>0</v>
      </c>
    </row>
    <row r="91" spans="1:13" ht="15" customHeight="1">
      <c r="A91" s="42">
        <v>86</v>
      </c>
      <c r="B91" s="42" t="s">
        <v>340</v>
      </c>
      <c r="C91" s="43" t="s">
        <v>341</v>
      </c>
      <c r="D91" s="42" t="s">
        <v>323</v>
      </c>
      <c r="E91" s="43" t="s">
        <v>324</v>
      </c>
      <c r="F91" s="43" t="s">
        <v>342</v>
      </c>
      <c r="G91" s="42" t="s">
        <v>109</v>
      </c>
      <c r="H91" s="43" t="s">
        <v>103</v>
      </c>
      <c r="I91" s="43" t="s">
        <v>104</v>
      </c>
      <c r="J91" s="55"/>
      <c r="K91" s="119">
        <f>IFERROR(VLOOKUP(B91,BD_CONTROL!$A$5:$M$4235,11,0),"")</f>
        <v>0</v>
      </c>
      <c r="L91" s="120">
        <f>IFERROR(VLOOKUP(B91,BD_CONTROL!$A$5:$M$4235,12,0),"")</f>
        <v>0</v>
      </c>
      <c r="M91" s="121">
        <f>IFERROR(VLOOKUP(B91,BD_CONTROL!$A$5:$M$4235,13,0),"")</f>
        <v>0</v>
      </c>
    </row>
    <row r="92" spans="1:13" ht="15" customHeight="1">
      <c r="A92" s="39">
        <v>87</v>
      </c>
      <c r="B92" s="39" t="s">
        <v>343</v>
      </c>
      <c r="C92" s="40" t="s">
        <v>344</v>
      </c>
      <c r="D92" s="39" t="s">
        <v>323</v>
      </c>
      <c r="E92" s="40" t="s">
        <v>345</v>
      </c>
      <c r="F92" s="40" t="s">
        <v>346</v>
      </c>
      <c r="G92" s="39" t="s">
        <v>102</v>
      </c>
      <c r="H92" s="40" t="s">
        <v>103</v>
      </c>
      <c r="I92" s="40" t="s">
        <v>104</v>
      </c>
      <c r="J92" s="50"/>
      <c r="K92" s="116">
        <f>IFERROR(VLOOKUP(B92,BD_CONTROL!$A$5:$M$4235,11,0),"")</f>
        <v>0</v>
      </c>
      <c r="L92" s="117">
        <f>IFERROR(VLOOKUP(B92,BD_CONTROL!$A$5:$M$4235,12,0),"")</f>
        <v>0</v>
      </c>
      <c r="M92" s="118">
        <f>IFERROR(VLOOKUP(B92,BD_CONTROL!$A$5:$M$4235,13,0),"")</f>
        <v>0</v>
      </c>
    </row>
    <row r="93" spans="1:13" ht="15" customHeight="1">
      <c r="A93" s="42">
        <v>88</v>
      </c>
      <c r="B93" s="42" t="s">
        <v>347</v>
      </c>
      <c r="C93" s="43" t="s">
        <v>348</v>
      </c>
      <c r="D93" s="42" t="s">
        <v>323</v>
      </c>
      <c r="E93" s="43" t="s">
        <v>345</v>
      </c>
      <c r="F93" s="43" t="s">
        <v>349</v>
      </c>
      <c r="G93" s="42" t="s">
        <v>102</v>
      </c>
      <c r="H93" s="43" t="s">
        <v>103</v>
      </c>
      <c r="I93" s="43" t="s">
        <v>104</v>
      </c>
      <c r="J93" s="55"/>
      <c r="K93" s="119">
        <f>IFERROR(VLOOKUP(B93,BD_CONTROL!$A$5:$M$4235,11,0),"")</f>
        <v>0</v>
      </c>
      <c r="L93" s="120">
        <f>IFERROR(VLOOKUP(B93,BD_CONTROL!$A$5:$M$4235,12,0),"")</f>
        <v>0</v>
      </c>
      <c r="M93" s="121">
        <f>IFERROR(VLOOKUP(B93,BD_CONTROL!$A$5:$M$4235,13,0),"")</f>
        <v>0</v>
      </c>
    </row>
    <row r="94" spans="1:13" ht="15" customHeight="1">
      <c r="A94" s="39">
        <v>89</v>
      </c>
      <c r="B94" s="39" t="s">
        <v>350</v>
      </c>
      <c r="C94" s="40" t="s">
        <v>351</v>
      </c>
      <c r="D94" s="39" t="s">
        <v>323</v>
      </c>
      <c r="E94" s="40" t="s">
        <v>324</v>
      </c>
      <c r="F94" s="40" t="s">
        <v>352</v>
      </c>
      <c r="G94" s="39" t="s">
        <v>109</v>
      </c>
      <c r="H94" s="40" t="s">
        <v>103</v>
      </c>
      <c r="I94" s="40" t="s">
        <v>104</v>
      </c>
      <c r="J94" s="50"/>
      <c r="K94" s="116">
        <f>IFERROR(VLOOKUP(B94,BD_CONTROL!$A$5:$M$4235,11,0),"")</f>
        <v>0</v>
      </c>
      <c r="L94" s="117">
        <f>IFERROR(VLOOKUP(B94,BD_CONTROL!$A$5:$M$4235,12,0),"")</f>
        <v>0</v>
      </c>
      <c r="M94" s="118">
        <f>IFERROR(VLOOKUP(B94,BD_CONTROL!$A$5:$M$4235,13,0),"")</f>
        <v>0</v>
      </c>
    </row>
    <row r="95" spans="1:13" ht="15" customHeight="1">
      <c r="A95" s="42">
        <v>90</v>
      </c>
      <c r="B95" s="42" t="s">
        <v>353</v>
      </c>
      <c r="C95" s="43" t="s">
        <v>354</v>
      </c>
      <c r="D95" s="42" t="s">
        <v>323</v>
      </c>
      <c r="E95" s="43" t="s">
        <v>324</v>
      </c>
      <c r="F95" s="43" t="s">
        <v>324</v>
      </c>
      <c r="G95" s="42" t="s">
        <v>102</v>
      </c>
      <c r="H95" s="43" t="s">
        <v>103</v>
      </c>
      <c r="I95" s="43" t="s">
        <v>104</v>
      </c>
      <c r="J95" s="55"/>
      <c r="K95" s="119">
        <f>IFERROR(VLOOKUP(B95,BD_CONTROL!$A$5:$M$4235,11,0),"")</f>
        <v>0</v>
      </c>
      <c r="L95" s="120">
        <f>IFERROR(VLOOKUP(B95,BD_CONTROL!$A$5:$M$4235,12,0),"")</f>
        <v>0</v>
      </c>
      <c r="M95" s="121">
        <f>IFERROR(VLOOKUP(B95,BD_CONTROL!$A$5:$M$4235,13,0),"")</f>
        <v>0</v>
      </c>
    </row>
    <row r="96" spans="1:13" ht="15" customHeight="1">
      <c r="A96" s="39">
        <v>91</v>
      </c>
      <c r="B96" s="39" t="s">
        <v>355</v>
      </c>
      <c r="C96" s="40" t="s">
        <v>356</v>
      </c>
      <c r="D96" s="39" t="s">
        <v>323</v>
      </c>
      <c r="E96" s="40" t="s">
        <v>345</v>
      </c>
      <c r="F96" s="40" t="s">
        <v>349</v>
      </c>
      <c r="G96" s="39" t="s">
        <v>102</v>
      </c>
      <c r="H96" s="40" t="s">
        <v>103</v>
      </c>
      <c r="I96" s="40" t="s">
        <v>104</v>
      </c>
      <c r="J96" s="50"/>
      <c r="K96" s="116" t="str">
        <f>IFERROR(VLOOKUP(B96,BD_CONTROL!$A$5:$M$4235,11,0),"")</f>
        <v>Instalado - Sin Señal</v>
      </c>
      <c r="L96" s="117">
        <f>IFERROR(VLOOKUP(B96,BD_CONTROL!$A$5:$M$4235,12,0),"")</f>
        <v>46149</v>
      </c>
      <c r="M96" s="118">
        <f>IFERROR(VLOOKUP(B96,BD_CONTROL!$A$5:$M$4235,13,0),"")</f>
        <v>0</v>
      </c>
    </row>
    <row r="97" spans="1:13" ht="15" customHeight="1">
      <c r="A97" s="42">
        <v>92</v>
      </c>
      <c r="B97" s="42" t="s">
        <v>357</v>
      </c>
      <c r="C97" s="43" t="s">
        <v>358</v>
      </c>
      <c r="D97" s="42" t="s">
        <v>323</v>
      </c>
      <c r="E97" s="43" t="s">
        <v>324</v>
      </c>
      <c r="F97" s="43" t="s">
        <v>324</v>
      </c>
      <c r="G97" s="42" t="s">
        <v>102</v>
      </c>
      <c r="H97" s="43" t="s">
        <v>103</v>
      </c>
      <c r="I97" s="43" t="s">
        <v>104</v>
      </c>
      <c r="J97" s="55"/>
      <c r="K97" s="119">
        <f>IFERROR(VLOOKUP(B97,BD_CONTROL!$A$5:$M$4235,11,0),"")</f>
        <v>0</v>
      </c>
      <c r="L97" s="120">
        <f>IFERROR(VLOOKUP(B97,BD_CONTROL!$A$5:$M$4235,12,0),"")</f>
        <v>0</v>
      </c>
      <c r="M97" s="121">
        <f>IFERROR(VLOOKUP(B97,BD_CONTROL!$A$5:$M$4235,13,0),"")</f>
        <v>0</v>
      </c>
    </row>
    <row r="98" spans="1:13" ht="15" customHeight="1">
      <c r="A98" s="39">
        <v>93</v>
      </c>
      <c r="B98" s="39" t="s">
        <v>359</v>
      </c>
      <c r="C98" s="40" t="s">
        <v>360</v>
      </c>
      <c r="D98" s="39" t="s">
        <v>323</v>
      </c>
      <c r="E98" s="40" t="s">
        <v>324</v>
      </c>
      <c r="F98" s="40" t="s">
        <v>324</v>
      </c>
      <c r="G98" s="39" t="s">
        <v>102</v>
      </c>
      <c r="H98" s="40" t="s">
        <v>103</v>
      </c>
      <c r="I98" s="40" t="s">
        <v>104</v>
      </c>
      <c r="J98" s="50"/>
      <c r="K98" s="116">
        <f>IFERROR(VLOOKUP(B98,BD_CONTROL!$A$5:$M$4235,11,0),"")</f>
        <v>0</v>
      </c>
      <c r="L98" s="117">
        <f>IFERROR(VLOOKUP(B98,BD_CONTROL!$A$5:$M$4235,12,0),"")</f>
        <v>0</v>
      </c>
      <c r="M98" s="118">
        <f>IFERROR(VLOOKUP(B98,BD_CONTROL!$A$5:$M$4235,13,0),"")</f>
        <v>0</v>
      </c>
    </row>
    <row r="99" spans="1:13" ht="15" customHeight="1">
      <c r="A99" s="42">
        <v>94</v>
      </c>
      <c r="B99" s="42" t="s">
        <v>361</v>
      </c>
      <c r="C99" s="43" t="s">
        <v>362</v>
      </c>
      <c r="D99" s="42" t="s">
        <v>323</v>
      </c>
      <c r="E99" s="43" t="s">
        <v>338</v>
      </c>
      <c r="F99" s="43" t="s">
        <v>363</v>
      </c>
      <c r="G99" s="42" t="s">
        <v>109</v>
      </c>
      <c r="H99" s="43" t="s">
        <v>103</v>
      </c>
      <c r="I99" s="43" t="s">
        <v>104</v>
      </c>
      <c r="J99" s="55"/>
      <c r="K99" s="119" t="str">
        <f>IFERROR(VLOOKUP(B99,BD_CONTROL!$A$5:$M$4235,11,0),"")</f>
        <v>Instalado - Sin Señal</v>
      </c>
      <c r="L99" s="120">
        <f>IFERROR(VLOOKUP(B99,BD_CONTROL!$A$5:$M$4235,12,0),"")</f>
        <v>46151</v>
      </c>
      <c r="M99" s="121" t="str">
        <f>IFERROR(VLOOKUP(B99,BD_CONTROL!$A$5:$M$4235,13,0),"")</f>
        <v>Quedan pendiente alta en mesa de servicio</v>
      </c>
    </row>
    <row r="100" spans="1:13" ht="15" customHeight="1">
      <c r="A100" s="39">
        <v>95</v>
      </c>
      <c r="B100" s="39" t="s">
        <v>365</v>
      </c>
      <c r="C100" s="40" t="s">
        <v>366</v>
      </c>
      <c r="D100" s="39" t="s">
        <v>323</v>
      </c>
      <c r="E100" s="40" t="s">
        <v>324</v>
      </c>
      <c r="F100" s="40" t="s">
        <v>367</v>
      </c>
      <c r="G100" s="39" t="s">
        <v>102</v>
      </c>
      <c r="H100" s="40" t="s">
        <v>103</v>
      </c>
      <c r="I100" s="40" t="s">
        <v>104</v>
      </c>
      <c r="J100" s="50"/>
      <c r="K100" s="116">
        <f>IFERROR(VLOOKUP(B100,BD_CONTROL!$A$5:$M$4235,11,0),"")</f>
        <v>0</v>
      </c>
      <c r="L100" s="117">
        <f>IFERROR(VLOOKUP(B100,BD_CONTROL!$A$5:$M$4235,12,0),"")</f>
        <v>0</v>
      </c>
      <c r="M100" s="118">
        <f>IFERROR(VLOOKUP(B100,BD_CONTROL!$A$5:$M$4235,13,0),"")</f>
        <v>0</v>
      </c>
    </row>
    <row r="101" spans="1:13" ht="15" customHeight="1">
      <c r="A101" s="42">
        <v>96</v>
      </c>
      <c r="B101" s="42" t="s">
        <v>368</v>
      </c>
      <c r="C101" s="43" t="s">
        <v>369</v>
      </c>
      <c r="D101" s="42" t="s">
        <v>323</v>
      </c>
      <c r="E101" s="43" t="s">
        <v>345</v>
      </c>
      <c r="F101" s="43" t="s">
        <v>349</v>
      </c>
      <c r="G101" s="42" t="s">
        <v>109</v>
      </c>
      <c r="H101" s="43" t="s">
        <v>103</v>
      </c>
      <c r="I101" s="43" t="s">
        <v>104</v>
      </c>
      <c r="J101" s="55"/>
      <c r="K101" s="119">
        <f>IFERROR(VLOOKUP(B101,BD_CONTROL!$A$5:$M$4235,11,0),"")</f>
        <v>0</v>
      </c>
      <c r="L101" s="120">
        <f>IFERROR(VLOOKUP(B101,BD_CONTROL!$A$5:$M$4235,12,0),"")</f>
        <v>0</v>
      </c>
      <c r="M101" s="121">
        <f>IFERROR(VLOOKUP(B101,BD_CONTROL!$A$5:$M$4235,13,0),"")</f>
        <v>0</v>
      </c>
    </row>
    <row r="102" spans="1:13" ht="15" customHeight="1">
      <c r="A102" s="39">
        <v>97</v>
      </c>
      <c r="B102" s="39" t="s">
        <v>370</v>
      </c>
      <c r="C102" s="40" t="s">
        <v>371</v>
      </c>
      <c r="D102" s="39" t="s">
        <v>323</v>
      </c>
      <c r="E102" s="40" t="s">
        <v>324</v>
      </c>
      <c r="F102" s="40" t="s">
        <v>324</v>
      </c>
      <c r="G102" s="39" t="s">
        <v>109</v>
      </c>
      <c r="H102" s="40" t="s">
        <v>103</v>
      </c>
      <c r="I102" s="40" t="s">
        <v>104</v>
      </c>
      <c r="J102" s="50"/>
      <c r="K102" s="116">
        <f>IFERROR(VLOOKUP(B102,BD_CONTROL!$A$5:$M$4235,11,0),"")</f>
        <v>0</v>
      </c>
      <c r="L102" s="117">
        <f>IFERROR(VLOOKUP(B102,BD_CONTROL!$A$5:$M$4235,12,0),"")</f>
        <v>0</v>
      </c>
      <c r="M102" s="118">
        <f>IFERROR(VLOOKUP(B102,BD_CONTROL!$A$5:$M$4235,13,0),"")</f>
        <v>0</v>
      </c>
    </row>
    <row r="103" spans="1:13" ht="15" customHeight="1">
      <c r="A103" s="42">
        <v>98</v>
      </c>
      <c r="B103" s="42" t="s">
        <v>372</v>
      </c>
      <c r="C103" s="43" t="s">
        <v>373</v>
      </c>
      <c r="D103" s="42" t="s">
        <v>323</v>
      </c>
      <c r="E103" s="43" t="s">
        <v>345</v>
      </c>
      <c r="F103" s="43" t="s">
        <v>346</v>
      </c>
      <c r="G103" s="42" t="s">
        <v>109</v>
      </c>
      <c r="H103" s="43" t="s">
        <v>103</v>
      </c>
      <c r="I103" s="43" t="s">
        <v>104</v>
      </c>
      <c r="J103" s="55"/>
      <c r="K103" s="119">
        <f>IFERROR(VLOOKUP(B103,BD_CONTROL!$A$5:$M$4235,11,0),"")</f>
        <v>0</v>
      </c>
      <c r="L103" s="120">
        <f>IFERROR(VLOOKUP(B103,BD_CONTROL!$A$5:$M$4235,12,0),"")</f>
        <v>0</v>
      </c>
      <c r="M103" s="121">
        <f>IFERROR(VLOOKUP(B103,BD_CONTROL!$A$5:$M$4235,13,0),"")</f>
        <v>0</v>
      </c>
    </row>
    <row r="104" spans="1:13" ht="15" customHeight="1">
      <c r="A104" s="39">
        <v>99</v>
      </c>
      <c r="B104" s="39" t="s">
        <v>374</v>
      </c>
      <c r="C104" s="40" t="s">
        <v>375</v>
      </c>
      <c r="D104" s="39" t="s">
        <v>323</v>
      </c>
      <c r="E104" s="40" t="s">
        <v>376</v>
      </c>
      <c r="F104" s="40" t="s">
        <v>377</v>
      </c>
      <c r="G104" s="39" t="s">
        <v>109</v>
      </c>
      <c r="H104" s="40" t="s">
        <v>103</v>
      </c>
      <c r="I104" s="40" t="s">
        <v>104</v>
      </c>
      <c r="J104" s="50"/>
      <c r="K104" s="116" t="str">
        <f>IFERROR(VLOOKUP(B104,BD_CONTROL!$A$5:$M$4235,11,0),"")</f>
        <v>Instalado - Sin Señal</v>
      </c>
      <c r="L104" s="117">
        <f>IFERROR(VLOOKUP(B104,BD_CONTROL!$A$5:$M$4235,12,0),"")</f>
        <v>46147</v>
      </c>
      <c r="M104" s="118">
        <f>IFERROR(VLOOKUP(B104,BD_CONTROL!$A$5:$M$4235,13,0),"")</f>
        <v>0</v>
      </c>
    </row>
    <row r="105" spans="1:13" ht="15" customHeight="1">
      <c r="A105" s="42">
        <v>100</v>
      </c>
      <c r="B105" s="42" t="s">
        <v>378</v>
      </c>
      <c r="C105" s="43" t="s">
        <v>379</v>
      </c>
      <c r="D105" s="42" t="s">
        <v>323</v>
      </c>
      <c r="E105" s="43" t="s">
        <v>338</v>
      </c>
      <c r="F105" s="43" t="s">
        <v>339</v>
      </c>
      <c r="G105" s="42" t="s">
        <v>109</v>
      </c>
      <c r="H105" s="43" t="s">
        <v>103</v>
      </c>
      <c r="I105" s="43" t="s">
        <v>104</v>
      </c>
      <c r="J105" s="55"/>
      <c r="K105" s="119" t="str">
        <f>IFERROR(VLOOKUP(B105,BD_CONTROL!$A$5:$M$4235,11,0),"")</f>
        <v>Instalado - Operando</v>
      </c>
      <c r="L105" s="120">
        <f>IFERROR(VLOOKUP(B105,BD_CONTROL!$A$5:$M$4235,12,0),"")</f>
        <v>46148</v>
      </c>
      <c r="M105" s="121">
        <f>IFERROR(VLOOKUP(B105,BD_CONTROL!$A$5:$M$4235,13,0),"")</f>
        <v>0</v>
      </c>
    </row>
    <row r="106" spans="1:13" ht="15" customHeight="1">
      <c r="A106" s="39">
        <v>101</v>
      </c>
      <c r="B106" s="39" t="s">
        <v>380</v>
      </c>
      <c r="C106" s="40" t="s">
        <v>381</v>
      </c>
      <c r="D106" s="39" t="s">
        <v>323</v>
      </c>
      <c r="E106" s="40" t="s">
        <v>324</v>
      </c>
      <c r="F106" s="40" t="s">
        <v>328</v>
      </c>
      <c r="G106" s="39" t="s">
        <v>109</v>
      </c>
      <c r="H106" s="40" t="s">
        <v>103</v>
      </c>
      <c r="I106" s="40" t="s">
        <v>104</v>
      </c>
      <c r="J106" s="50"/>
      <c r="K106" s="116">
        <f>IFERROR(VLOOKUP(B106,BD_CONTROL!$A$5:$M$4235,11,0),"")</f>
        <v>0</v>
      </c>
      <c r="L106" s="117">
        <f>IFERROR(VLOOKUP(B106,BD_CONTROL!$A$5:$M$4235,12,0),"")</f>
        <v>0</v>
      </c>
      <c r="M106" s="118">
        <f>IFERROR(VLOOKUP(B106,BD_CONTROL!$A$5:$M$4235,13,0),"")</f>
        <v>0</v>
      </c>
    </row>
    <row r="107" spans="1:13" ht="15" customHeight="1">
      <c r="A107" s="42">
        <v>102</v>
      </c>
      <c r="B107" s="42" t="s">
        <v>382</v>
      </c>
      <c r="C107" s="43" t="s">
        <v>383</v>
      </c>
      <c r="D107" s="42" t="s">
        <v>323</v>
      </c>
      <c r="E107" s="43" t="s">
        <v>324</v>
      </c>
      <c r="F107" s="43" t="s">
        <v>383</v>
      </c>
      <c r="G107" s="42" t="s">
        <v>109</v>
      </c>
      <c r="H107" s="43" t="s">
        <v>103</v>
      </c>
      <c r="I107" s="43" t="s">
        <v>104</v>
      </c>
      <c r="J107" s="55"/>
      <c r="K107" s="119">
        <f>IFERROR(VLOOKUP(B107,BD_CONTROL!$A$5:$M$4235,11,0),"")</f>
        <v>0</v>
      </c>
      <c r="L107" s="120">
        <f>IFERROR(VLOOKUP(B107,BD_CONTROL!$A$5:$M$4235,12,0),"")</f>
        <v>0</v>
      </c>
      <c r="M107" s="121">
        <f>IFERROR(VLOOKUP(B107,BD_CONTROL!$A$5:$M$4235,13,0),"")</f>
        <v>0</v>
      </c>
    </row>
    <row r="108" spans="1:13" ht="15" customHeight="1">
      <c r="A108" s="39">
        <v>103</v>
      </c>
      <c r="B108" s="39" t="s">
        <v>384</v>
      </c>
      <c r="C108" s="40" t="s">
        <v>385</v>
      </c>
      <c r="D108" s="39" t="s">
        <v>323</v>
      </c>
      <c r="E108" s="40" t="s">
        <v>324</v>
      </c>
      <c r="F108" s="40" t="s">
        <v>324</v>
      </c>
      <c r="G108" s="39" t="s">
        <v>109</v>
      </c>
      <c r="H108" s="40" t="s">
        <v>103</v>
      </c>
      <c r="I108" s="40" t="s">
        <v>104</v>
      </c>
      <c r="J108" s="50"/>
      <c r="K108" s="116">
        <f>IFERROR(VLOOKUP(B108,BD_CONTROL!$A$5:$M$4235,11,0),"")</f>
        <v>0</v>
      </c>
      <c r="L108" s="117">
        <f>IFERROR(VLOOKUP(B108,BD_CONTROL!$A$5:$M$4235,12,0),"")</f>
        <v>0</v>
      </c>
      <c r="M108" s="118">
        <f>IFERROR(VLOOKUP(B108,BD_CONTROL!$A$5:$M$4235,13,0),"")</f>
        <v>0</v>
      </c>
    </row>
    <row r="109" spans="1:13" ht="15" customHeight="1">
      <c r="A109" s="42">
        <v>104</v>
      </c>
      <c r="B109" s="42" t="s">
        <v>386</v>
      </c>
      <c r="C109" s="43" t="s">
        <v>387</v>
      </c>
      <c r="D109" s="42" t="s">
        <v>323</v>
      </c>
      <c r="E109" s="43" t="s">
        <v>324</v>
      </c>
      <c r="F109" s="43" t="s">
        <v>388</v>
      </c>
      <c r="G109" s="42" t="s">
        <v>109</v>
      </c>
      <c r="H109" s="43" t="s">
        <v>103</v>
      </c>
      <c r="I109" s="43" t="s">
        <v>104</v>
      </c>
      <c r="J109" s="55"/>
      <c r="K109" s="119">
        <f>IFERROR(VLOOKUP(B109,BD_CONTROL!$A$5:$M$4235,11,0),"")</f>
        <v>0</v>
      </c>
      <c r="L109" s="120">
        <f>IFERROR(VLOOKUP(B109,BD_CONTROL!$A$5:$M$4235,12,0),"")</f>
        <v>0</v>
      </c>
      <c r="M109" s="121">
        <f>IFERROR(VLOOKUP(B109,BD_CONTROL!$A$5:$M$4235,13,0),"")</f>
        <v>0</v>
      </c>
    </row>
    <row r="110" spans="1:13" ht="15" customHeight="1">
      <c r="A110" s="39">
        <v>105</v>
      </c>
      <c r="B110" s="39" t="s">
        <v>389</v>
      </c>
      <c r="C110" s="40" t="s">
        <v>390</v>
      </c>
      <c r="D110" s="39" t="s">
        <v>323</v>
      </c>
      <c r="E110" s="40" t="s">
        <v>324</v>
      </c>
      <c r="F110" s="40" t="s">
        <v>391</v>
      </c>
      <c r="G110" s="39" t="s">
        <v>109</v>
      </c>
      <c r="H110" s="40" t="s">
        <v>103</v>
      </c>
      <c r="I110" s="40" t="s">
        <v>104</v>
      </c>
      <c r="J110" s="50"/>
      <c r="K110" s="116">
        <f>IFERROR(VLOOKUP(B110,BD_CONTROL!$A$5:$M$4235,11,0),"")</f>
        <v>0</v>
      </c>
      <c r="L110" s="117">
        <f>IFERROR(VLOOKUP(B110,BD_CONTROL!$A$5:$M$4235,12,0),"")</f>
        <v>0</v>
      </c>
      <c r="M110" s="118">
        <f>IFERROR(VLOOKUP(B110,BD_CONTROL!$A$5:$M$4235,13,0),"")</f>
        <v>0</v>
      </c>
    </row>
    <row r="111" spans="1:13" ht="15" customHeight="1">
      <c r="A111" s="42">
        <v>106</v>
      </c>
      <c r="B111" s="42" t="s">
        <v>392</v>
      </c>
      <c r="C111" s="43" t="s">
        <v>393</v>
      </c>
      <c r="D111" s="42" t="s">
        <v>323</v>
      </c>
      <c r="E111" s="43" t="s">
        <v>324</v>
      </c>
      <c r="F111" s="43" t="s">
        <v>324</v>
      </c>
      <c r="G111" s="42" t="s">
        <v>109</v>
      </c>
      <c r="H111" s="43" t="s">
        <v>103</v>
      </c>
      <c r="I111" s="43" t="s">
        <v>104</v>
      </c>
      <c r="J111" s="55"/>
      <c r="K111" s="119">
        <f>IFERROR(VLOOKUP(B111,BD_CONTROL!$A$5:$M$4235,11,0),"")</f>
        <v>0</v>
      </c>
      <c r="L111" s="120">
        <f>IFERROR(VLOOKUP(B111,BD_CONTROL!$A$5:$M$4235,12,0),"")</f>
        <v>0</v>
      </c>
      <c r="M111" s="121">
        <f>IFERROR(VLOOKUP(B111,BD_CONTROL!$A$5:$M$4235,13,0),"")</f>
        <v>0</v>
      </c>
    </row>
    <row r="112" spans="1:13" ht="15" customHeight="1">
      <c r="A112" s="39">
        <v>107</v>
      </c>
      <c r="B112" s="39" t="s">
        <v>394</v>
      </c>
      <c r="C112" s="40" t="s">
        <v>395</v>
      </c>
      <c r="D112" s="39" t="s">
        <v>323</v>
      </c>
      <c r="E112" s="40" t="s">
        <v>345</v>
      </c>
      <c r="F112" s="40" t="s">
        <v>346</v>
      </c>
      <c r="G112" s="39" t="s">
        <v>102</v>
      </c>
      <c r="H112" s="40" t="s">
        <v>103</v>
      </c>
      <c r="I112" s="40" t="s">
        <v>104</v>
      </c>
      <c r="J112" s="50"/>
      <c r="K112" s="116">
        <f>IFERROR(VLOOKUP(B112,BD_CONTROL!$A$5:$M$4235,11,0),"")</f>
        <v>0</v>
      </c>
      <c r="L112" s="117">
        <f>IFERROR(VLOOKUP(B112,BD_CONTROL!$A$5:$M$4235,12,0),"")</f>
        <v>0</v>
      </c>
      <c r="M112" s="118">
        <f>IFERROR(VLOOKUP(B112,BD_CONTROL!$A$5:$M$4235,13,0),"")</f>
        <v>0</v>
      </c>
    </row>
    <row r="113" spans="1:13" ht="15" customHeight="1">
      <c r="A113" s="42">
        <v>108</v>
      </c>
      <c r="B113" s="42" t="s">
        <v>396</v>
      </c>
      <c r="C113" s="43" t="s">
        <v>397</v>
      </c>
      <c r="D113" s="42" t="s">
        <v>323</v>
      </c>
      <c r="E113" s="43" t="s">
        <v>345</v>
      </c>
      <c r="F113" s="43" t="s">
        <v>398</v>
      </c>
      <c r="G113" s="42" t="s">
        <v>102</v>
      </c>
      <c r="H113" s="43" t="s">
        <v>103</v>
      </c>
      <c r="I113" s="43" t="s">
        <v>104</v>
      </c>
      <c r="J113" s="55"/>
      <c r="K113" s="119">
        <f>IFERROR(VLOOKUP(B113,BD_CONTROL!$A$5:$M$4235,11,0),"")</f>
        <v>0</v>
      </c>
      <c r="L113" s="120">
        <f>IFERROR(VLOOKUP(B113,BD_CONTROL!$A$5:$M$4235,12,0),"")</f>
        <v>0</v>
      </c>
      <c r="M113" s="121">
        <f>IFERROR(VLOOKUP(B113,BD_CONTROL!$A$5:$M$4235,13,0),"")</f>
        <v>0</v>
      </c>
    </row>
    <row r="114" spans="1:13" ht="15" customHeight="1">
      <c r="A114" s="39">
        <v>109</v>
      </c>
      <c r="B114" s="39" t="s">
        <v>399</v>
      </c>
      <c r="C114" s="40" t="s">
        <v>400</v>
      </c>
      <c r="D114" s="39" t="s">
        <v>323</v>
      </c>
      <c r="E114" s="40" t="s">
        <v>345</v>
      </c>
      <c r="F114" s="40" t="s">
        <v>346</v>
      </c>
      <c r="G114" s="39" t="s">
        <v>109</v>
      </c>
      <c r="H114" s="40" t="s">
        <v>103</v>
      </c>
      <c r="I114" s="40" t="s">
        <v>104</v>
      </c>
      <c r="J114" s="50"/>
      <c r="K114" s="116">
        <f>IFERROR(VLOOKUP(B114,BD_CONTROL!$A$5:$M$4235,11,0),"")</f>
        <v>0</v>
      </c>
      <c r="L114" s="117">
        <f>IFERROR(VLOOKUP(B114,BD_CONTROL!$A$5:$M$4235,12,0),"")</f>
        <v>0</v>
      </c>
      <c r="M114" s="118">
        <f>IFERROR(VLOOKUP(B114,BD_CONTROL!$A$5:$M$4235,13,0),"")</f>
        <v>0</v>
      </c>
    </row>
    <row r="115" spans="1:13" ht="15" customHeight="1">
      <c r="A115" s="42">
        <v>110</v>
      </c>
      <c r="B115" s="42" t="s">
        <v>401</v>
      </c>
      <c r="C115" s="43" t="s">
        <v>402</v>
      </c>
      <c r="D115" s="42" t="s">
        <v>323</v>
      </c>
      <c r="E115" s="43" t="s">
        <v>345</v>
      </c>
      <c r="F115" s="43" t="s">
        <v>403</v>
      </c>
      <c r="G115" s="42" t="s">
        <v>109</v>
      </c>
      <c r="H115" s="43" t="s">
        <v>103</v>
      </c>
      <c r="I115" s="43" t="s">
        <v>104</v>
      </c>
      <c r="J115" s="55"/>
      <c r="K115" s="119">
        <f>IFERROR(VLOOKUP(B115,BD_CONTROL!$A$5:$M$4235,11,0),"")</f>
        <v>0</v>
      </c>
      <c r="L115" s="120">
        <f>IFERROR(VLOOKUP(B115,BD_CONTROL!$A$5:$M$4235,12,0),"")</f>
        <v>0</v>
      </c>
      <c r="M115" s="121">
        <f>IFERROR(VLOOKUP(B115,BD_CONTROL!$A$5:$M$4235,13,0),"")</f>
        <v>0</v>
      </c>
    </row>
    <row r="116" spans="1:13" ht="15" customHeight="1">
      <c r="A116" s="39">
        <v>111</v>
      </c>
      <c r="B116" s="39" t="s">
        <v>404</v>
      </c>
      <c r="C116" s="40" t="s">
        <v>405</v>
      </c>
      <c r="D116" s="39" t="s">
        <v>323</v>
      </c>
      <c r="E116" s="40" t="s">
        <v>345</v>
      </c>
      <c r="F116" s="40" t="s">
        <v>406</v>
      </c>
      <c r="G116" s="39" t="s">
        <v>109</v>
      </c>
      <c r="H116" s="40" t="s">
        <v>103</v>
      </c>
      <c r="I116" s="40" t="s">
        <v>104</v>
      </c>
      <c r="J116" s="50"/>
      <c r="K116" s="116" t="str">
        <f>IFERROR(VLOOKUP(B116,BD_CONTROL!$A$5:$M$4235,11,0),"")</f>
        <v>Instalado - Operando</v>
      </c>
      <c r="L116" s="117">
        <f>IFERROR(VLOOKUP(B116,BD_CONTROL!$A$5:$M$4235,12,0),"")</f>
        <v>46150</v>
      </c>
      <c r="M116" s="118">
        <f>IFERROR(VLOOKUP(B116,BD_CONTROL!$A$5:$M$4235,13,0),"")</f>
        <v>0</v>
      </c>
    </row>
    <row r="117" spans="1:13" ht="15" customHeight="1">
      <c r="A117" s="42">
        <v>112</v>
      </c>
      <c r="B117" s="42" t="s">
        <v>407</v>
      </c>
      <c r="C117" s="43" t="s">
        <v>408</v>
      </c>
      <c r="D117" s="42" t="s">
        <v>323</v>
      </c>
      <c r="E117" s="43" t="s">
        <v>338</v>
      </c>
      <c r="F117" s="43" t="s">
        <v>409</v>
      </c>
      <c r="G117" s="42" t="s">
        <v>109</v>
      </c>
      <c r="H117" s="43" t="s">
        <v>103</v>
      </c>
      <c r="I117" s="43" t="s">
        <v>104</v>
      </c>
      <c r="J117" s="55"/>
      <c r="K117" s="119" t="str">
        <f>IFERROR(VLOOKUP(B117,BD_CONTROL!$A$5:$M$4235,11,0),"")</f>
        <v>Instalado - Operando</v>
      </c>
      <c r="L117" s="120">
        <f>IFERROR(VLOOKUP(B117,BD_CONTROL!$A$5:$M$4235,12,0),"")</f>
        <v>46150</v>
      </c>
      <c r="M117" s="121">
        <f>IFERROR(VLOOKUP(B117,BD_CONTROL!$A$5:$M$4235,13,0),"")</f>
        <v>0</v>
      </c>
    </row>
    <row r="118" spans="1:13" ht="15" customHeight="1">
      <c r="A118" s="39">
        <v>113</v>
      </c>
      <c r="B118" s="39" t="s">
        <v>410</v>
      </c>
      <c r="C118" s="40" t="s">
        <v>411</v>
      </c>
      <c r="D118" s="39" t="s">
        <v>323</v>
      </c>
      <c r="E118" s="40" t="s">
        <v>324</v>
      </c>
      <c r="F118" s="40" t="s">
        <v>412</v>
      </c>
      <c r="G118" s="39" t="s">
        <v>102</v>
      </c>
      <c r="H118" s="40" t="s">
        <v>103</v>
      </c>
      <c r="I118" s="40" t="s">
        <v>104</v>
      </c>
      <c r="J118" s="50"/>
      <c r="K118" s="116">
        <f>IFERROR(VLOOKUP(B118,BD_CONTROL!$A$5:$M$4235,11,0),"")</f>
        <v>0</v>
      </c>
      <c r="L118" s="117">
        <f>IFERROR(VLOOKUP(B118,BD_CONTROL!$A$5:$M$4235,12,0),"")</f>
        <v>0</v>
      </c>
      <c r="M118" s="118">
        <f>IFERROR(VLOOKUP(B118,BD_CONTROL!$A$5:$M$4235,13,0),"")</f>
        <v>0</v>
      </c>
    </row>
    <row r="119" spans="1:13" ht="15" customHeight="1">
      <c r="A119" s="42">
        <v>114</v>
      </c>
      <c r="B119" s="42" t="s">
        <v>413</v>
      </c>
      <c r="C119" s="43" t="s">
        <v>414</v>
      </c>
      <c r="D119" s="42" t="s">
        <v>323</v>
      </c>
      <c r="E119" s="43" t="s">
        <v>324</v>
      </c>
      <c r="F119" s="43" t="s">
        <v>324</v>
      </c>
      <c r="G119" s="42" t="s">
        <v>102</v>
      </c>
      <c r="H119" s="43" t="s">
        <v>103</v>
      </c>
      <c r="I119" s="43" t="s">
        <v>104</v>
      </c>
      <c r="J119" s="55"/>
      <c r="K119" s="119">
        <f>IFERROR(VLOOKUP(B119,BD_CONTROL!$A$5:$M$4235,11,0),"")</f>
        <v>0</v>
      </c>
      <c r="L119" s="120">
        <f>IFERROR(VLOOKUP(B119,BD_CONTROL!$A$5:$M$4235,12,0),"")</f>
        <v>0</v>
      </c>
      <c r="M119" s="121">
        <f>IFERROR(VLOOKUP(B119,BD_CONTROL!$A$5:$M$4235,13,0),"")</f>
        <v>0</v>
      </c>
    </row>
    <row r="120" spans="1:13" ht="15" customHeight="1">
      <c r="A120" s="39">
        <v>115</v>
      </c>
      <c r="B120" s="39" t="s">
        <v>415</v>
      </c>
      <c r="C120" s="40" t="s">
        <v>416</v>
      </c>
      <c r="D120" s="39" t="s">
        <v>323</v>
      </c>
      <c r="E120" s="40" t="s">
        <v>324</v>
      </c>
      <c r="F120" s="40" t="s">
        <v>324</v>
      </c>
      <c r="G120" s="39" t="s">
        <v>109</v>
      </c>
      <c r="H120" s="40" t="s">
        <v>103</v>
      </c>
      <c r="I120" s="40" t="s">
        <v>104</v>
      </c>
      <c r="J120" s="50"/>
      <c r="K120" s="116">
        <f>IFERROR(VLOOKUP(B120,BD_CONTROL!$A$5:$M$4235,11,0),"")</f>
        <v>0</v>
      </c>
      <c r="L120" s="117">
        <f>IFERROR(VLOOKUP(B120,BD_CONTROL!$A$5:$M$4235,12,0),"")</f>
        <v>0</v>
      </c>
      <c r="M120" s="118">
        <f>IFERROR(VLOOKUP(B120,BD_CONTROL!$A$5:$M$4235,13,0),"")</f>
        <v>0</v>
      </c>
    </row>
    <row r="121" spans="1:13" ht="15" customHeight="1">
      <c r="A121" s="42">
        <v>116</v>
      </c>
      <c r="B121" s="42" t="s">
        <v>417</v>
      </c>
      <c r="C121" s="43" t="s">
        <v>418</v>
      </c>
      <c r="D121" s="42" t="s">
        <v>323</v>
      </c>
      <c r="E121" s="43" t="s">
        <v>345</v>
      </c>
      <c r="F121" s="43" t="s">
        <v>346</v>
      </c>
      <c r="G121" s="42" t="s">
        <v>102</v>
      </c>
      <c r="H121" s="43" t="s">
        <v>103</v>
      </c>
      <c r="I121" s="43" t="s">
        <v>104</v>
      </c>
      <c r="J121" s="55"/>
      <c r="K121" s="119">
        <f>IFERROR(VLOOKUP(B121,BD_CONTROL!$A$5:$M$4235,11,0),"")</f>
        <v>0</v>
      </c>
      <c r="L121" s="120">
        <f>IFERROR(VLOOKUP(B121,BD_CONTROL!$A$5:$M$4235,12,0),"")</f>
        <v>0</v>
      </c>
      <c r="M121" s="121">
        <f>IFERROR(VLOOKUP(B121,BD_CONTROL!$A$5:$M$4235,13,0),"")</f>
        <v>0</v>
      </c>
    </row>
    <row r="122" spans="1:13" ht="15" customHeight="1">
      <c r="A122" s="39">
        <v>117</v>
      </c>
      <c r="B122" s="39" t="s">
        <v>419</v>
      </c>
      <c r="C122" s="40" t="s">
        <v>420</v>
      </c>
      <c r="D122" s="39" t="s">
        <v>323</v>
      </c>
      <c r="E122" s="40" t="s">
        <v>345</v>
      </c>
      <c r="F122" s="40" t="s">
        <v>421</v>
      </c>
      <c r="G122" s="39" t="s">
        <v>102</v>
      </c>
      <c r="H122" s="40" t="s">
        <v>103</v>
      </c>
      <c r="I122" s="40" t="s">
        <v>104</v>
      </c>
      <c r="J122" s="50"/>
      <c r="K122" s="116">
        <f>IFERROR(VLOOKUP(B122,BD_CONTROL!$A$5:$M$4235,11,0),"")</f>
        <v>0</v>
      </c>
      <c r="L122" s="117">
        <f>IFERROR(VLOOKUP(B122,BD_CONTROL!$A$5:$M$4235,12,0),"")</f>
        <v>0</v>
      </c>
      <c r="M122" s="118">
        <f>IFERROR(VLOOKUP(B122,BD_CONTROL!$A$5:$M$4235,13,0),"")</f>
        <v>0</v>
      </c>
    </row>
    <row r="123" spans="1:13" ht="15" customHeight="1">
      <c r="A123" s="42">
        <v>118</v>
      </c>
      <c r="B123" s="42" t="s">
        <v>422</v>
      </c>
      <c r="C123" s="43" t="s">
        <v>423</v>
      </c>
      <c r="D123" s="42" t="s">
        <v>323</v>
      </c>
      <c r="E123" s="43" t="s">
        <v>345</v>
      </c>
      <c r="F123" s="43" t="s">
        <v>423</v>
      </c>
      <c r="G123" s="42" t="s">
        <v>102</v>
      </c>
      <c r="H123" s="43" t="s">
        <v>103</v>
      </c>
      <c r="I123" s="43" t="s">
        <v>104</v>
      </c>
      <c r="J123" s="55"/>
      <c r="K123" s="119">
        <f>IFERROR(VLOOKUP(B123,BD_CONTROL!$A$5:$M$4235,11,0),"")</f>
        <v>0</v>
      </c>
      <c r="L123" s="120">
        <f>IFERROR(VLOOKUP(B123,BD_CONTROL!$A$5:$M$4235,12,0),"")</f>
        <v>0</v>
      </c>
      <c r="M123" s="121">
        <f>IFERROR(VLOOKUP(B123,BD_CONTROL!$A$5:$M$4235,13,0),"")</f>
        <v>0</v>
      </c>
    </row>
    <row r="124" spans="1:13" ht="15" customHeight="1">
      <c r="A124" s="39">
        <v>119</v>
      </c>
      <c r="B124" s="39" t="s">
        <v>424</v>
      </c>
      <c r="C124" s="40" t="s">
        <v>425</v>
      </c>
      <c r="D124" s="39" t="s">
        <v>323</v>
      </c>
      <c r="E124" s="40" t="s">
        <v>345</v>
      </c>
      <c r="F124" s="40" t="s">
        <v>349</v>
      </c>
      <c r="G124" s="39" t="s">
        <v>109</v>
      </c>
      <c r="H124" s="40" t="s">
        <v>103</v>
      </c>
      <c r="I124" s="40" t="s">
        <v>104</v>
      </c>
      <c r="J124" s="50"/>
      <c r="K124" s="116">
        <f>IFERROR(VLOOKUP(B124,BD_CONTROL!$A$5:$M$4235,11,0),"")</f>
        <v>0</v>
      </c>
      <c r="L124" s="117">
        <f>IFERROR(VLOOKUP(B124,BD_CONTROL!$A$5:$M$4235,12,0),"")</f>
        <v>0</v>
      </c>
      <c r="M124" s="118">
        <f>IFERROR(VLOOKUP(B124,BD_CONTROL!$A$5:$M$4235,13,0),"")</f>
        <v>0</v>
      </c>
    </row>
    <row r="125" spans="1:13" ht="15" customHeight="1">
      <c r="A125" s="42">
        <v>120</v>
      </c>
      <c r="B125" s="42" t="s">
        <v>426</v>
      </c>
      <c r="C125" s="43" t="s">
        <v>427</v>
      </c>
      <c r="D125" s="42" t="s">
        <v>323</v>
      </c>
      <c r="E125" s="43" t="s">
        <v>345</v>
      </c>
      <c r="F125" s="43" t="s">
        <v>349</v>
      </c>
      <c r="G125" s="42" t="s">
        <v>102</v>
      </c>
      <c r="H125" s="43" t="s">
        <v>103</v>
      </c>
      <c r="I125" s="43" t="s">
        <v>104</v>
      </c>
      <c r="J125" s="55"/>
      <c r="K125" s="119">
        <f>IFERROR(VLOOKUP(B125,BD_CONTROL!$A$5:$M$4235,11,0),"")</f>
        <v>0</v>
      </c>
      <c r="L125" s="120">
        <f>IFERROR(VLOOKUP(B125,BD_CONTROL!$A$5:$M$4235,12,0),"")</f>
        <v>0</v>
      </c>
      <c r="M125" s="121">
        <f>IFERROR(VLOOKUP(B125,BD_CONTROL!$A$5:$M$4235,13,0),"")</f>
        <v>0</v>
      </c>
    </row>
    <row r="126" spans="1:13" ht="15" customHeight="1">
      <c r="A126" s="39">
        <v>121</v>
      </c>
      <c r="B126" s="39" t="s">
        <v>428</v>
      </c>
      <c r="C126" s="40" t="s">
        <v>429</v>
      </c>
      <c r="D126" s="39" t="s">
        <v>323</v>
      </c>
      <c r="E126" s="40" t="s">
        <v>345</v>
      </c>
      <c r="F126" s="40" t="s">
        <v>349</v>
      </c>
      <c r="G126" s="39" t="s">
        <v>102</v>
      </c>
      <c r="H126" s="40" t="s">
        <v>103</v>
      </c>
      <c r="I126" s="40" t="s">
        <v>104</v>
      </c>
      <c r="J126" s="50"/>
      <c r="K126" s="116" t="str">
        <f>IFERROR(VLOOKUP(B126,BD_CONTROL!$A$5:$M$4235,11,0),"")</f>
        <v>Instalado - Operando</v>
      </c>
      <c r="L126" s="117">
        <f>IFERROR(VLOOKUP(B126,BD_CONTROL!$A$5:$M$4235,12,0),"")</f>
        <v>46147</v>
      </c>
      <c r="M126" s="118">
        <f>IFERROR(VLOOKUP(B126,BD_CONTROL!$A$5:$M$4235,13,0),"")</f>
        <v>0</v>
      </c>
    </row>
    <row r="127" spans="1:13" ht="15" customHeight="1">
      <c r="A127" s="42">
        <v>122</v>
      </c>
      <c r="B127" s="42" t="s">
        <v>6934</v>
      </c>
      <c r="C127" s="43" t="s">
        <v>6935</v>
      </c>
      <c r="D127" s="42" t="s">
        <v>6893</v>
      </c>
      <c r="E127" s="43" t="s">
        <v>6936</v>
      </c>
      <c r="F127" s="43" t="s">
        <v>6937</v>
      </c>
      <c r="G127" s="42" t="s">
        <v>109</v>
      </c>
      <c r="H127" s="43" t="s">
        <v>103</v>
      </c>
      <c r="I127" s="43" t="s">
        <v>104</v>
      </c>
      <c r="J127" s="55"/>
      <c r="K127" s="119">
        <f>IFERROR(VLOOKUP(B127,BD_CONTROL!$A$5:$M$4235,11,0),"")</f>
        <v>0</v>
      </c>
      <c r="L127" s="120">
        <f>IFERROR(VLOOKUP(B127,BD_CONTROL!$A$5:$M$4235,12,0),"")</f>
        <v>0</v>
      </c>
      <c r="M127" s="121">
        <f>IFERROR(VLOOKUP(B127,BD_CONTROL!$A$5:$M$4235,13,0),"")</f>
        <v>0</v>
      </c>
    </row>
    <row r="128" spans="1:13" ht="15" customHeight="1">
      <c r="A128" s="39">
        <v>123</v>
      </c>
      <c r="B128" s="39" t="s">
        <v>7089</v>
      </c>
      <c r="C128" s="40" t="s">
        <v>7090</v>
      </c>
      <c r="D128" s="39" t="s">
        <v>6893</v>
      </c>
      <c r="E128" s="40" t="s">
        <v>6936</v>
      </c>
      <c r="F128" s="40" t="s">
        <v>7091</v>
      </c>
      <c r="G128" s="39" t="s">
        <v>109</v>
      </c>
      <c r="H128" s="40" t="s">
        <v>103</v>
      </c>
      <c r="I128" s="40" t="s">
        <v>104</v>
      </c>
      <c r="J128" s="50"/>
      <c r="K128" s="116">
        <f>IFERROR(VLOOKUP(B128,BD_CONTROL!$A$5:$M$4235,11,0),"")</f>
        <v>0</v>
      </c>
      <c r="L128" s="117">
        <f>IFERROR(VLOOKUP(B128,BD_CONTROL!$A$5:$M$4235,12,0),"")</f>
        <v>0</v>
      </c>
      <c r="M128" s="118">
        <f>IFERROR(VLOOKUP(B128,BD_CONTROL!$A$5:$M$4235,13,0),"")</f>
        <v>0</v>
      </c>
    </row>
    <row r="129" spans="1:13" ht="15" customHeight="1">
      <c r="A129" s="42">
        <v>124</v>
      </c>
      <c r="B129" s="42" t="s">
        <v>7308</v>
      </c>
      <c r="C129" s="43" t="s">
        <v>6735</v>
      </c>
      <c r="D129" s="42" t="s">
        <v>99</v>
      </c>
      <c r="E129" s="43" t="s">
        <v>107</v>
      </c>
      <c r="F129" s="43" t="s">
        <v>107</v>
      </c>
      <c r="G129" s="42" t="s">
        <v>6739</v>
      </c>
      <c r="H129" s="43" t="s">
        <v>103</v>
      </c>
      <c r="I129" s="43" t="s">
        <v>6741</v>
      </c>
      <c r="J129" s="55"/>
      <c r="K129" s="119">
        <f>IFERROR(VLOOKUP(B129,BD_CONTROL!$A$5:$M$4235,11,0),"")</f>
        <v>0</v>
      </c>
      <c r="L129" s="120">
        <f>IFERROR(VLOOKUP(B129,BD_CONTROL!$A$5:$M$4235,12,0),"")</f>
        <v>0</v>
      </c>
      <c r="M129" s="121">
        <f>IFERROR(VLOOKUP(B129,BD_CONTROL!$A$5:$M$4235,13,0),"")</f>
        <v>0</v>
      </c>
    </row>
    <row r="130" spans="1:13" ht="15" customHeight="1">
      <c r="A130" s="39">
        <v>125</v>
      </c>
      <c r="B130" s="39" t="s">
        <v>7309</v>
      </c>
      <c r="C130" s="40" t="s">
        <v>6735</v>
      </c>
      <c r="D130" s="39" t="s">
        <v>99</v>
      </c>
      <c r="E130" s="40" t="s">
        <v>107</v>
      </c>
      <c r="F130" s="40" t="s">
        <v>107</v>
      </c>
      <c r="G130" s="39" t="s">
        <v>6739</v>
      </c>
      <c r="H130" s="40" t="s">
        <v>103</v>
      </c>
      <c r="I130" s="40" t="s">
        <v>6741</v>
      </c>
      <c r="J130" s="50"/>
      <c r="K130" s="116">
        <f>IFERROR(VLOOKUP(B130,BD_CONTROL!$A$5:$M$4235,11,0),"")</f>
        <v>0</v>
      </c>
      <c r="L130" s="117">
        <f>IFERROR(VLOOKUP(B130,BD_CONTROL!$A$5:$M$4235,12,0),"")</f>
        <v>0</v>
      </c>
      <c r="M130" s="118">
        <f>IFERROR(VLOOKUP(B130,BD_CONTROL!$A$5:$M$4235,13,0),"")</f>
        <v>0</v>
      </c>
    </row>
    <row r="131" spans="1:13" ht="15" customHeight="1">
      <c r="A131" s="42">
        <v>126</v>
      </c>
      <c r="B131" s="42" t="s">
        <v>7310</v>
      </c>
      <c r="C131" s="43" t="s">
        <v>6735</v>
      </c>
      <c r="D131" s="42" t="s">
        <v>99</v>
      </c>
      <c r="E131" s="43" t="s">
        <v>107</v>
      </c>
      <c r="F131" s="43" t="s">
        <v>107</v>
      </c>
      <c r="G131" s="42" t="s">
        <v>6739</v>
      </c>
      <c r="H131" s="43" t="s">
        <v>103</v>
      </c>
      <c r="I131" s="43" t="s">
        <v>6741</v>
      </c>
      <c r="J131" s="55"/>
      <c r="K131" s="119">
        <f>IFERROR(VLOOKUP(B131,BD_CONTROL!$A$5:$M$4235,11,0),"")</f>
        <v>0</v>
      </c>
      <c r="L131" s="120">
        <f>IFERROR(VLOOKUP(B131,BD_CONTROL!$A$5:$M$4235,12,0),"")</f>
        <v>0</v>
      </c>
      <c r="M131" s="121">
        <f>IFERROR(VLOOKUP(B131,BD_CONTROL!$A$5:$M$4235,13,0),"")</f>
        <v>0</v>
      </c>
    </row>
    <row r="132" spans="1:13" ht="15" customHeight="1">
      <c r="A132" s="39">
        <v>127</v>
      </c>
      <c r="B132" s="39" t="s">
        <v>7311</v>
      </c>
      <c r="C132" s="40" t="s">
        <v>6735</v>
      </c>
      <c r="D132" s="39" t="s">
        <v>99</v>
      </c>
      <c r="E132" s="40" t="s">
        <v>107</v>
      </c>
      <c r="F132" s="40" t="s">
        <v>107</v>
      </c>
      <c r="G132" s="39" t="s">
        <v>6739</v>
      </c>
      <c r="H132" s="40" t="s">
        <v>103</v>
      </c>
      <c r="I132" s="40" t="s">
        <v>6741</v>
      </c>
      <c r="J132" s="50"/>
      <c r="K132" s="116" t="str">
        <f>IFERROR(VLOOKUP(B132,BD_CONTROL!$A$5:$M$4235,11,0),"")</f>
        <v>Instalado - Operando</v>
      </c>
      <c r="L132" s="117">
        <f>IFERROR(VLOOKUP(B132,BD_CONTROL!$A$5:$M$4235,12,0),"")</f>
        <v>46148</v>
      </c>
      <c r="M132" s="118">
        <f>IFERROR(VLOOKUP(B132,BD_CONTROL!$A$5:$M$4235,13,0),"")</f>
        <v>0</v>
      </c>
    </row>
    <row r="133" spans="1:13" ht="15" customHeight="1">
      <c r="A133" s="42">
        <v>128</v>
      </c>
      <c r="B133" s="42" t="s">
        <v>7312</v>
      </c>
      <c r="C133" s="43" t="s">
        <v>6735</v>
      </c>
      <c r="D133" s="42" t="s">
        <v>99</v>
      </c>
      <c r="E133" s="43" t="s">
        <v>107</v>
      </c>
      <c r="F133" s="43" t="s">
        <v>107</v>
      </c>
      <c r="G133" s="42" t="s">
        <v>6739</v>
      </c>
      <c r="H133" s="43" t="s">
        <v>103</v>
      </c>
      <c r="I133" s="43" t="s">
        <v>6741</v>
      </c>
      <c r="J133" s="55"/>
      <c r="K133" s="119">
        <f>IFERROR(VLOOKUP(B133,BD_CONTROL!$A$5:$M$4235,11,0),"")</f>
        <v>0</v>
      </c>
      <c r="L133" s="120">
        <f>IFERROR(VLOOKUP(B133,BD_CONTROL!$A$5:$M$4235,12,0),"")</f>
        <v>0</v>
      </c>
      <c r="M133" s="121">
        <f>IFERROR(VLOOKUP(B133,BD_CONTROL!$A$5:$M$4235,13,0),"")</f>
        <v>0</v>
      </c>
    </row>
    <row r="134" spans="1:13" ht="15" customHeight="1">
      <c r="A134" s="39">
        <v>129</v>
      </c>
      <c r="B134" s="39" t="s">
        <v>7313</v>
      </c>
      <c r="C134" s="40" t="s">
        <v>6735</v>
      </c>
      <c r="D134" s="39" t="s">
        <v>99</v>
      </c>
      <c r="E134" s="40" t="s">
        <v>107</v>
      </c>
      <c r="F134" s="40" t="s">
        <v>107</v>
      </c>
      <c r="G134" s="39" t="s">
        <v>6739</v>
      </c>
      <c r="H134" s="40" t="s">
        <v>103</v>
      </c>
      <c r="I134" s="40" t="s">
        <v>6741</v>
      </c>
      <c r="J134" s="50"/>
      <c r="K134" s="116" t="str">
        <f>IFERROR(VLOOKUP(B134,BD_CONTROL!$A$5:$M$4235,11,0),"")</f>
        <v>Instalado - Sin Señal</v>
      </c>
      <c r="L134" s="117">
        <f>IFERROR(VLOOKUP(B134,BD_CONTROL!$A$5:$M$4235,12,0),"")</f>
        <v>46146</v>
      </c>
      <c r="M134" s="118" t="str">
        <f>IFERROR(VLOOKUP(B134,BD_CONTROL!$A$5:$M$4235,13,0),"")</f>
        <v>Queda pendiente activación con Mesa de Servicio</v>
      </c>
    </row>
    <row r="135" spans="1:13" ht="15" customHeight="1">
      <c r="A135" s="42">
        <v>130</v>
      </c>
      <c r="B135" s="42" t="s">
        <v>7315</v>
      </c>
      <c r="C135" s="43" t="s">
        <v>6735</v>
      </c>
      <c r="D135" s="42" t="s">
        <v>99</v>
      </c>
      <c r="E135" s="43" t="s">
        <v>107</v>
      </c>
      <c r="F135" s="43" t="s">
        <v>107</v>
      </c>
      <c r="G135" s="42" t="s">
        <v>6739</v>
      </c>
      <c r="H135" s="43" t="s">
        <v>103</v>
      </c>
      <c r="I135" s="43" t="s">
        <v>6741</v>
      </c>
      <c r="J135" s="55"/>
      <c r="K135" s="119">
        <f>IFERROR(VLOOKUP(B135,BD_CONTROL!$A$5:$M$4235,11,0),"")</f>
        <v>0</v>
      </c>
      <c r="L135" s="120">
        <f>IFERROR(VLOOKUP(B135,BD_CONTROL!$A$5:$M$4235,12,0),"")</f>
        <v>0</v>
      </c>
      <c r="M135" s="121">
        <f>IFERROR(VLOOKUP(B135,BD_CONTROL!$A$5:$M$4235,13,0),"")</f>
        <v>0</v>
      </c>
    </row>
    <row r="136" spans="1:13" ht="15" customHeight="1">
      <c r="A136" s="39">
        <v>131</v>
      </c>
      <c r="B136" s="39" t="s">
        <v>7316</v>
      </c>
      <c r="C136" s="40" t="s">
        <v>6735</v>
      </c>
      <c r="D136" s="39" t="s">
        <v>99</v>
      </c>
      <c r="E136" s="40" t="s">
        <v>107</v>
      </c>
      <c r="F136" s="40" t="s">
        <v>107</v>
      </c>
      <c r="G136" s="39" t="s">
        <v>6739</v>
      </c>
      <c r="H136" s="40" t="s">
        <v>103</v>
      </c>
      <c r="I136" s="40" t="s">
        <v>6741</v>
      </c>
      <c r="J136" s="50"/>
      <c r="K136" s="116" t="str">
        <f>IFERROR(VLOOKUP(B136,BD_CONTROL!$A$5:$M$4235,11,0),"")</f>
        <v>Instalado - Operando</v>
      </c>
      <c r="L136" s="117">
        <f>IFERROR(VLOOKUP(B136,BD_CONTROL!$A$5:$M$4235,12,0),"")</f>
        <v>46149</v>
      </c>
      <c r="M136" s="118">
        <f>IFERROR(VLOOKUP(B136,BD_CONTROL!$A$5:$M$4235,13,0),"")</f>
        <v>0</v>
      </c>
    </row>
    <row r="137" spans="1:13" ht="15" customHeight="1">
      <c r="A137" s="42">
        <v>132</v>
      </c>
      <c r="B137" s="42" t="s">
        <v>7317</v>
      </c>
      <c r="C137" s="43" t="s">
        <v>6735</v>
      </c>
      <c r="D137" s="42" t="s">
        <v>99</v>
      </c>
      <c r="E137" s="43" t="s">
        <v>107</v>
      </c>
      <c r="F137" s="43" t="s">
        <v>107</v>
      </c>
      <c r="G137" s="42" t="s">
        <v>6739</v>
      </c>
      <c r="H137" s="43" t="s">
        <v>103</v>
      </c>
      <c r="I137" s="43" t="s">
        <v>6741</v>
      </c>
      <c r="J137" s="55"/>
      <c r="K137" s="119">
        <f>IFERROR(VLOOKUP(B137,BD_CONTROL!$A$5:$M$4235,11,0),"")</f>
        <v>0</v>
      </c>
      <c r="L137" s="120">
        <f>IFERROR(VLOOKUP(B137,BD_CONTROL!$A$5:$M$4235,12,0),"")</f>
        <v>0</v>
      </c>
      <c r="M137" s="121">
        <f>IFERROR(VLOOKUP(B137,BD_CONTROL!$A$5:$M$4235,13,0),"")</f>
        <v>0</v>
      </c>
    </row>
    <row r="138" spans="1:13" ht="15" customHeight="1">
      <c r="A138" s="39">
        <v>133</v>
      </c>
      <c r="B138" s="39" t="s">
        <v>7318</v>
      </c>
      <c r="C138" s="40" t="s">
        <v>6735</v>
      </c>
      <c r="D138" s="39" t="s">
        <v>99</v>
      </c>
      <c r="E138" s="40" t="s">
        <v>107</v>
      </c>
      <c r="F138" s="40" t="s">
        <v>7319</v>
      </c>
      <c r="G138" s="39" t="s">
        <v>6739</v>
      </c>
      <c r="H138" s="40" t="s">
        <v>103</v>
      </c>
      <c r="I138" s="40" t="s">
        <v>6741</v>
      </c>
      <c r="J138" s="50"/>
      <c r="K138" s="116">
        <f>IFERROR(VLOOKUP(B138,BD_CONTROL!$A$5:$M$4235,11,0),"")</f>
        <v>0</v>
      </c>
      <c r="L138" s="117">
        <f>IFERROR(VLOOKUP(B138,BD_CONTROL!$A$5:$M$4235,12,0),"")</f>
        <v>0</v>
      </c>
      <c r="M138" s="118">
        <f>IFERROR(VLOOKUP(B138,BD_CONTROL!$A$5:$M$4235,13,0),"")</f>
        <v>0</v>
      </c>
    </row>
    <row r="139" spans="1:13" ht="15" customHeight="1">
      <c r="A139" s="42">
        <v>134</v>
      </c>
      <c r="B139" s="42" t="s">
        <v>7320</v>
      </c>
      <c r="C139" s="43" t="s">
        <v>6735</v>
      </c>
      <c r="D139" s="42" t="s">
        <v>99</v>
      </c>
      <c r="E139" s="43" t="s">
        <v>230</v>
      </c>
      <c r="F139" s="43" t="s">
        <v>7321</v>
      </c>
      <c r="G139" s="42" t="s">
        <v>6739</v>
      </c>
      <c r="H139" s="43" t="s">
        <v>103</v>
      </c>
      <c r="I139" s="43" t="s">
        <v>6741</v>
      </c>
      <c r="J139" s="55"/>
      <c r="K139" s="119">
        <f>IFERROR(VLOOKUP(B139,BD_CONTROL!$A$5:$M$4235,11,0),"")</f>
        <v>0</v>
      </c>
      <c r="L139" s="120">
        <f>IFERROR(VLOOKUP(B139,BD_CONTROL!$A$5:$M$4235,12,0),"")</f>
        <v>0</v>
      </c>
      <c r="M139" s="121">
        <f>IFERROR(VLOOKUP(B139,BD_CONTROL!$A$5:$M$4235,13,0),"")</f>
        <v>0</v>
      </c>
    </row>
    <row r="140" spans="1:13" ht="15" customHeight="1">
      <c r="A140" s="39">
        <v>135</v>
      </c>
      <c r="B140" s="39" t="s">
        <v>7322</v>
      </c>
      <c r="C140" s="40" t="s">
        <v>6735</v>
      </c>
      <c r="D140" s="39" t="s">
        <v>99</v>
      </c>
      <c r="E140" s="40" t="s">
        <v>107</v>
      </c>
      <c r="F140" s="40" t="s">
        <v>7323</v>
      </c>
      <c r="G140" s="39" t="s">
        <v>6739</v>
      </c>
      <c r="H140" s="40" t="s">
        <v>103</v>
      </c>
      <c r="I140" s="40" t="s">
        <v>6741</v>
      </c>
      <c r="J140" s="50"/>
      <c r="K140" s="116">
        <f>IFERROR(VLOOKUP(B140,BD_CONTROL!$A$5:$M$4235,11,0),"")</f>
        <v>0</v>
      </c>
      <c r="L140" s="117">
        <f>IFERROR(VLOOKUP(B140,BD_CONTROL!$A$5:$M$4235,12,0),"")</f>
        <v>0</v>
      </c>
      <c r="M140" s="118">
        <f>IFERROR(VLOOKUP(B140,BD_CONTROL!$A$5:$M$4235,13,0),"")</f>
        <v>0</v>
      </c>
    </row>
    <row r="141" spans="1:13" ht="15" customHeight="1">
      <c r="A141" s="42">
        <v>136</v>
      </c>
      <c r="B141" s="42" t="s">
        <v>7324</v>
      </c>
      <c r="C141" s="43" t="s">
        <v>6735</v>
      </c>
      <c r="D141" s="42" t="s">
        <v>99</v>
      </c>
      <c r="E141" s="43" t="s">
        <v>230</v>
      </c>
      <c r="F141" s="43" t="s">
        <v>1323</v>
      </c>
      <c r="G141" s="42" t="s">
        <v>6739</v>
      </c>
      <c r="H141" s="43" t="s">
        <v>103</v>
      </c>
      <c r="I141" s="43" t="s">
        <v>6741</v>
      </c>
      <c r="J141" s="55"/>
      <c r="K141" s="119">
        <f>IFERROR(VLOOKUP(B141,BD_CONTROL!$A$5:$M$4235,11,0),"")</f>
        <v>0</v>
      </c>
      <c r="L141" s="120">
        <f>IFERROR(VLOOKUP(B141,BD_CONTROL!$A$5:$M$4235,12,0),"")</f>
        <v>0</v>
      </c>
      <c r="M141" s="121">
        <f>IFERROR(VLOOKUP(B141,BD_CONTROL!$A$5:$M$4235,13,0),"")</f>
        <v>0</v>
      </c>
    </row>
    <row r="142" spans="1:13" ht="15" customHeight="1">
      <c r="A142" s="39">
        <v>137</v>
      </c>
      <c r="B142" s="39" t="s">
        <v>7325</v>
      </c>
      <c r="C142" s="40" t="s">
        <v>6735</v>
      </c>
      <c r="D142" s="39" t="s">
        <v>99</v>
      </c>
      <c r="E142" s="40" t="s">
        <v>107</v>
      </c>
      <c r="F142" s="40" t="s">
        <v>7326</v>
      </c>
      <c r="G142" s="39" t="s">
        <v>6739</v>
      </c>
      <c r="H142" s="40" t="s">
        <v>103</v>
      </c>
      <c r="I142" s="40" t="s">
        <v>6741</v>
      </c>
      <c r="J142" s="50"/>
      <c r="K142" s="116">
        <f>IFERROR(VLOOKUP(B142,BD_CONTROL!$A$5:$M$4235,11,0),"")</f>
        <v>0</v>
      </c>
      <c r="L142" s="117">
        <f>IFERROR(VLOOKUP(B142,BD_CONTROL!$A$5:$M$4235,12,0),"")</f>
        <v>0</v>
      </c>
      <c r="M142" s="118">
        <f>IFERROR(VLOOKUP(B142,BD_CONTROL!$A$5:$M$4235,13,0),"")</f>
        <v>0</v>
      </c>
    </row>
    <row r="143" spans="1:13" ht="15" customHeight="1">
      <c r="A143" s="42">
        <v>138</v>
      </c>
      <c r="B143" s="42" t="s">
        <v>7327</v>
      </c>
      <c r="C143" s="43" t="s">
        <v>6735</v>
      </c>
      <c r="D143" s="42" t="s">
        <v>99</v>
      </c>
      <c r="E143" s="43" t="s">
        <v>147</v>
      </c>
      <c r="F143" s="43" t="s">
        <v>147</v>
      </c>
      <c r="G143" s="42" t="s">
        <v>6739</v>
      </c>
      <c r="H143" s="43" t="s">
        <v>103</v>
      </c>
      <c r="I143" s="43" t="s">
        <v>6741</v>
      </c>
      <c r="J143" s="55"/>
      <c r="K143" s="119">
        <f>IFERROR(VLOOKUP(B143,BD_CONTROL!$A$5:$M$4235,11,0),"")</f>
        <v>0</v>
      </c>
      <c r="L143" s="120">
        <f>IFERROR(VLOOKUP(B143,BD_CONTROL!$A$5:$M$4235,12,0),"")</f>
        <v>0</v>
      </c>
      <c r="M143" s="121">
        <f>IFERROR(VLOOKUP(B143,BD_CONTROL!$A$5:$M$4235,13,0),"")</f>
        <v>0</v>
      </c>
    </row>
    <row r="144" spans="1:13" ht="15" customHeight="1">
      <c r="A144" s="39">
        <v>139</v>
      </c>
      <c r="B144" s="39" t="s">
        <v>7328</v>
      </c>
      <c r="C144" s="40" t="s">
        <v>6735</v>
      </c>
      <c r="D144" s="39" t="s">
        <v>99</v>
      </c>
      <c r="E144" s="40" t="s">
        <v>147</v>
      </c>
      <c r="F144" s="40" t="s">
        <v>147</v>
      </c>
      <c r="G144" s="39" t="s">
        <v>6739</v>
      </c>
      <c r="H144" s="40" t="s">
        <v>103</v>
      </c>
      <c r="I144" s="40" t="s">
        <v>6741</v>
      </c>
      <c r="J144" s="50"/>
      <c r="K144" s="116">
        <f>IFERROR(VLOOKUP(B144,BD_CONTROL!$A$5:$M$4235,11,0),"")</f>
        <v>0</v>
      </c>
      <c r="L144" s="117">
        <f>IFERROR(VLOOKUP(B144,BD_CONTROL!$A$5:$M$4235,12,0),"")</f>
        <v>0</v>
      </c>
      <c r="M144" s="118">
        <f>IFERROR(VLOOKUP(B144,BD_CONTROL!$A$5:$M$4235,13,0),"")</f>
        <v>0</v>
      </c>
    </row>
    <row r="145" spans="1:13" ht="15" customHeight="1">
      <c r="A145" s="42">
        <v>140</v>
      </c>
      <c r="B145" s="42" t="s">
        <v>7329</v>
      </c>
      <c r="C145" s="43" t="s">
        <v>6735</v>
      </c>
      <c r="D145" s="42" t="s">
        <v>99</v>
      </c>
      <c r="E145" s="43" t="s">
        <v>147</v>
      </c>
      <c r="F145" s="43" t="s">
        <v>147</v>
      </c>
      <c r="G145" s="42" t="s">
        <v>6739</v>
      </c>
      <c r="H145" s="43" t="s">
        <v>103</v>
      </c>
      <c r="I145" s="43" t="s">
        <v>6741</v>
      </c>
      <c r="J145" s="55"/>
      <c r="K145" s="119" t="str">
        <f>IFERROR(VLOOKUP(B145,BD_CONTROL!$A$5:$M$4235,11,0),"")</f>
        <v>Instalado - Operando</v>
      </c>
      <c r="L145" s="120">
        <f>IFERROR(VLOOKUP(B145,BD_CONTROL!$A$5:$M$4235,12,0),"")</f>
        <v>46147</v>
      </c>
      <c r="M145" s="121">
        <f>IFERROR(VLOOKUP(B145,BD_CONTROL!$A$5:$M$4235,13,0),"")</f>
        <v>0</v>
      </c>
    </row>
    <row r="146" spans="1:13" ht="15" customHeight="1">
      <c r="A146" s="39">
        <v>141</v>
      </c>
      <c r="B146" s="39" t="s">
        <v>7330</v>
      </c>
      <c r="C146" s="40" t="s">
        <v>6735</v>
      </c>
      <c r="D146" s="39" t="s">
        <v>99</v>
      </c>
      <c r="E146" s="40" t="s">
        <v>147</v>
      </c>
      <c r="F146" s="40" t="s">
        <v>147</v>
      </c>
      <c r="G146" s="39" t="s">
        <v>6739</v>
      </c>
      <c r="H146" s="40" t="s">
        <v>103</v>
      </c>
      <c r="I146" s="40" t="s">
        <v>6741</v>
      </c>
      <c r="J146" s="50"/>
      <c r="K146" s="116">
        <f>IFERROR(VLOOKUP(B146,BD_CONTROL!$A$5:$M$4235,11,0),"")</f>
        <v>0</v>
      </c>
      <c r="L146" s="117">
        <f>IFERROR(VLOOKUP(B146,BD_CONTROL!$A$5:$M$4235,12,0),"")</f>
        <v>0</v>
      </c>
      <c r="M146" s="118">
        <f>IFERROR(VLOOKUP(B146,BD_CONTROL!$A$5:$M$4235,13,0),"")</f>
        <v>0</v>
      </c>
    </row>
    <row r="147" spans="1:13" ht="15" customHeight="1">
      <c r="A147" s="42">
        <v>142</v>
      </c>
      <c r="B147" s="42" t="s">
        <v>7331</v>
      </c>
      <c r="C147" s="43" t="s">
        <v>6735</v>
      </c>
      <c r="D147" s="42" t="s">
        <v>99</v>
      </c>
      <c r="E147" s="43" t="s">
        <v>147</v>
      </c>
      <c r="F147" s="43" t="s">
        <v>147</v>
      </c>
      <c r="G147" s="42" t="s">
        <v>6739</v>
      </c>
      <c r="H147" s="43" t="s">
        <v>103</v>
      </c>
      <c r="I147" s="43" t="s">
        <v>6741</v>
      </c>
      <c r="J147" s="55"/>
      <c r="K147" s="119">
        <f>IFERROR(VLOOKUP(B147,BD_CONTROL!$A$5:$M$4235,11,0),"")</f>
        <v>0</v>
      </c>
      <c r="L147" s="120">
        <f>IFERROR(VLOOKUP(B147,BD_CONTROL!$A$5:$M$4235,12,0),"")</f>
        <v>0</v>
      </c>
      <c r="M147" s="121">
        <f>IFERROR(VLOOKUP(B147,BD_CONTROL!$A$5:$M$4235,13,0),"")</f>
        <v>0</v>
      </c>
    </row>
    <row r="148" spans="1:13" ht="15" customHeight="1">
      <c r="A148" s="39">
        <v>143</v>
      </c>
      <c r="B148" s="39" t="s">
        <v>7332</v>
      </c>
      <c r="C148" s="40" t="s">
        <v>6735</v>
      </c>
      <c r="D148" s="39" t="s">
        <v>99</v>
      </c>
      <c r="E148" s="40" t="s">
        <v>147</v>
      </c>
      <c r="F148" s="40" t="s">
        <v>147</v>
      </c>
      <c r="G148" s="39" t="s">
        <v>6739</v>
      </c>
      <c r="H148" s="40" t="s">
        <v>103</v>
      </c>
      <c r="I148" s="40" t="s">
        <v>6741</v>
      </c>
      <c r="J148" s="50"/>
      <c r="K148" s="116" t="str">
        <f>IFERROR(VLOOKUP(B148,BD_CONTROL!$A$5:$M$4235,11,0),"")</f>
        <v>Instalado - Operando</v>
      </c>
      <c r="L148" s="117">
        <f>IFERROR(VLOOKUP(B148,BD_CONTROL!$A$5:$M$4235,12,0),"")</f>
        <v>46150</v>
      </c>
      <c r="M148" s="118">
        <f>IFERROR(VLOOKUP(B148,BD_CONTROL!$A$5:$M$4235,13,0),"")</f>
        <v>0</v>
      </c>
    </row>
    <row r="149" spans="1:13" ht="15" customHeight="1">
      <c r="A149" s="42">
        <v>144</v>
      </c>
      <c r="B149" s="42" t="s">
        <v>7333</v>
      </c>
      <c r="C149" s="43" t="s">
        <v>6735</v>
      </c>
      <c r="D149" s="42" t="s">
        <v>99</v>
      </c>
      <c r="E149" s="43" t="s">
        <v>147</v>
      </c>
      <c r="F149" s="43" t="s">
        <v>147</v>
      </c>
      <c r="G149" s="42" t="s">
        <v>6739</v>
      </c>
      <c r="H149" s="43" t="s">
        <v>103</v>
      </c>
      <c r="I149" s="43" t="s">
        <v>6741</v>
      </c>
      <c r="J149" s="55"/>
      <c r="K149" s="119">
        <f>IFERROR(VLOOKUP(B149,BD_CONTROL!$A$5:$M$4235,11,0),"")</f>
        <v>0</v>
      </c>
      <c r="L149" s="120">
        <f>IFERROR(VLOOKUP(B149,BD_CONTROL!$A$5:$M$4235,12,0),"")</f>
        <v>0</v>
      </c>
      <c r="M149" s="121">
        <f>IFERROR(VLOOKUP(B149,BD_CONTROL!$A$5:$M$4235,13,0),"")</f>
        <v>0</v>
      </c>
    </row>
    <row r="150" spans="1:13" ht="15" customHeight="1">
      <c r="A150" s="39">
        <v>145</v>
      </c>
      <c r="B150" s="39" t="s">
        <v>7334</v>
      </c>
      <c r="C150" s="40" t="s">
        <v>6735</v>
      </c>
      <c r="D150" s="39" t="s">
        <v>99</v>
      </c>
      <c r="E150" s="40" t="s">
        <v>147</v>
      </c>
      <c r="F150" s="40" t="s">
        <v>147</v>
      </c>
      <c r="G150" s="39" t="s">
        <v>6739</v>
      </c>
      <c r="H150" s="40" t="s">
        <v>103</v>
      </c>
      <c r="I150" s="40" t="s">
        <v>6741</v>
      </c>
      <c r="J150" s="50"/>
      <c r="K150" s="116" t="str">
        <f>IFERROR(VLOOKUP(B150,BD_CONTROL!$A$5:$M$4235,11,0),"")</f>
        <v>Instalado - Operando</v>
      </c>
      <c r="L150" s="117">
        <f>IFERROR(VLOOKUP(B150,BD_CONTROL!$A$5:$M$4235,12,0),"")</f>
        <v>46149</v>
      </c>
      <c r="M150" s="118">
        <f>IFERROR(VLOOKUP(B150,BD_CONTROL!$A$5:$M$4235,13,0),"")</f>
        <v>0</v>
      </c>
    </row>
    <row r="151" spans="1:13" ht="15" customHeight="1">
      <c r="A151" s="42">
        <v>146</v>
      </c>
      <c r="B151" s="42" t="s">
        <v>7335</v>
      </c>
      <c r="C151" s="43" t="s">
        <v>6735</v>
      </c>
      <c r="D151" s="42" t="s">
        <v>99</v>
      </c>
      <c r="E151" s="43" t="s">
        <v>147</v>
      </c>
      <c r="F151" s="43" t="s">
        <v>147</v>
      </c>
      <c r="G151" s="42" t="s">
        <v>6739</v>
      </c>
      <c r="H151" s="43" t="s">
        <v>103</v>
      </c>
      <c r="I151" s="43" t="s">
        <v>6741</v>
      </c>
      <c r="J151" s="55"/>
      <c r="K151" s="119">
        <f>IFERROR(VLOOKUP(B151,BD_CONTROL!$A$5:$M$4235,11,0),"")</f>
        <v>0</v>
      </c>
      <c r="L151" s="120">
        <f>IFERROR(VLOOKUP(B151,BD_CONTROL!$A$5:$M$4235,12,0),"")</f>
        <v>0</v>
      </c>
      <c r="M151" s="121">
        <f>IFERROR(VLOOKUP(B151,BD_CONTROL!$A$5:$M$4235,13,0),"")</f>
        <v>0</v>
      </c>
    </row>
    <row r="152" spans="1:13" ht="15" customHeight="1">
      <c r="A152" s="39">
        <v>147</v>
      </c>
      <c r="B152" s="39" t="s">
        <v>7336</v>
      </c>
      <c r="C152" s="40" t="s">
        <v>6735</v>
      </c>
      <c r="D152" s="39" t="s">
        <v>99</v>
      </c>
      <c r="E152" s="40" t="s">
        <v>147</v>
      </c>
      <c r="F152" s="40" t="s">
        <v>147</v>
      </c>
      <c r="G152" s="39" t="s">
        <v>6739</v>
      </c>
      <c r="H152" s="40" t="s">
        <v>103</v>
      </c>
      <c r="I152" s="40" t="s">
        <v>6741</v>
      </c>
      <c r="J152" s="50"/>
      <c r="K152" s="116" t="str">
        <f>IFERROR(VLOOKUP(B152,BD_CONTROL!$A$5:$M$4235,11,0),"")</f>
        <v>Instalado - Operando</v>
      </c>
      <c r="L152" s="117">
        <f>IFERROR(VLOOKUP(B152,BD_CONTROL!$A$5:$M$4235,12,0),"")</f>
        <v>46149</v>
      </c>
      <c r="M152" s="118">
        <f>IFERROR(VLOOKUP(B152,BD_CONTROL!$A$5:$M$4235,13,0),"")</f>
        <v>0</v>
      </c>
    </row>
    <row r="153" spans="1:13" ht="15" customHeight="1">
      <c r="A153" s="42">
        <v>148</v>
      </c>
      <c r="B153" s="42" t="s">
        <v>7337</v>
      </c>
      <c r="C153" s="43" t="s">
        <v>6735</v>
      </c>
      <c r="D153" s="42" t="s">
        <v>99</v>
      </c>
      <c r="E153" s="43" t="s">
        <v>147</v>
      </c>
      <c r="F153" s="43" t="s">
        <v>147</v>
      </c>
      <c r="G153" s="42" t="s">
        <v>6739</v>
      </c>
      <c r="H153" s="43" t="s">
        <v>103</v>
      </c>
      <c r="I153" s="43" t="s">
        <v>6741</v>
      </c>
      <c r="J153" s="55"/>
      <c r="K153" s="119">
        <f>IFERROR(VLOOKUP(B153,BD_CONTROL!$A$5:$M$4235,11,0),"")</f>
        <v>0</v>
      </c>
      <c r="L153" s="120">
        <f>IFERROR(VLOOKUP(B153,BD_CONTROL!$A$5:$M$4235,12,0),"")</f>
        <v>0</v>
      </c>
      <c r="M153" s="121">
        <f>IFERROR(VLOOKUP(B153,BD_CONTROL!$A$5:$M$4235,13,0),"")</f>
        <v>0</v>
      </c>
    </row>
    <row r="154" spans="1:13" ht="15" customHeight="1">
      <c r="A154" s="39">
        <v>149</v>
      </c>
      <c r="B154" s="39" t="s">
        <v>7338</v>
      </c>
      <c r="C154" s="40" t="s">
        <v>6735</v>
      </c>
      <c r="D154" s="39" t="s">
        <v>99</v>
      </c>
      <c r="E154" s="40" t="s">
        <v>147</v>
      </c>
      <c r="F154" s="40" t="s">
        <v>7339</v>
      </c>
      <c r="G154" s="39" t="s">
        <v>6739</v>
      </c>
      <c r="H154" s="40" t="s">
        <v>103</v>
      </c>
      <c r="I154" s="40" t="s">
        <v>6741</v>
      </c>
      <c r="J154" s="50"/>
      <c r="K154" s="116">
        <f>IFERROR(VLOOKUP(B154,BD_CONTROL!$A$5:$M$4235,11,0),"")</f>
        <v>0</v>
      </c>
      <c r="L154" s="117">
        <f>IFERROR(VLOOKUP(B154,BD_CONTROL!$A$5:$M$4235,12,0),"")</f>
        <v>0</v>
      </c>
      <c r="M154" s="118">
        <f>IFERROR(VLOOKUP(B154,BD_CONTROL!$A$5:$M$4235,13,0),"")</f>
        <v>0</v>
      </c>
    </row>
    <row r="155" spans="1:13" ht="15" customHeight="1">
      <c r="A155" s="42">
        <v>150</v>
      </c>
      <c r="B155" s="42" t="s">
        <v>7340</v>
      </c>
      <c r="C155" s="43" t="s">
        <v>6735</v>
      </c>
      <c r="D155" s="42" t="s">
        <v>99</v>
      </c>
      <c r="E155" s="43" t="s">
        <v>147</v>
      </c>
      <c r="F155" s="43" t="s">
        <v>7341</v>
      </c>
      <c r="G155" s="42" t="s">
        <v>6739</v>
      </c>
      <c r="H155" s="43" t="s">
        <v>103</v>
      </c>
      <c r="I155" s="43" t="s">
        <v>6741</v>
      </c>
      <c r="J155" s="55"/>
      <c r="K155" s="119" t="str">
        <f>IFERROR(VLOOKUP(B155,BD_CONTROL!$A$5:$M$4235,11,0),"")</f>
        <v>Instalado - Operando</v>
      </c>
      <c r="L155" s="120">
        <f>IFERROR(VLOOKUP(B155,BD_CONTROL!$A$5:$M$4235,12,0),"")</f>
        <v>46150</v>
      </c>
      <c r="M155" s="121">
        <f>IFERROR(VLOOKUP(B155,BD_CONTROL!$A$5:$M$4235,13,0),"")</f>
        <v>0</v>
      </c>
    </row>
    <row r="156" spans="1:13" ht="15" customHeight="1">
      <c r="A156" s="39">
        <v>151</v>
      </c>
      <c r="B156" s="39" t="s">
        <v>7342</v>
      </c>
      <c r="C156" s="40" t="s">
        <v>6735</v>
      </c>
      <c r="D156" s="39" t="s">
        <v>99</v>
      </c>
      <c r="E156" s="40" t="s">
        <v>147</v>
      </c>
      <c r="F156" s="40" t="s">
        <v>7343</v>
      </c>
      <c r="G156" s="39" t="s">
        <v>6739</v>
      </c>
      <c r="H156" s="40" t="s">
        <v>103</v>
      </c>
      <c r="I156" s="40" t="s">
        <v>6741</v>
      </c>
      <c r="J156" s="50"/>
      <c r="K156" s="116">
        <f>IFERROR(VLOOKUP(B156,BD_CONTROL!$A$5:$M$4235,11,0),"")</f>
        <v>0</v>
      </c>
      <c r="L156" s="117">
        <f>IFERROR(VLOOKUP(B156,BD_CONTROL!$A$5:$M$4235,12,0),"")</f>
        <v>0</v>
      </c>
      <c r="M156" s="118">
        <f>IFERROR(VLOOKUP(B156,BD_CONTROL!$A$5:$M$4235,13,0),"")</f>
        <v>0</v>
      </c>
    </row>
    <row r="157" spans="1:13" ht="15" customHeight="1">
      <c r="A157" s="42">
        <v>152</v>
      </c>
      <c r="B157" s="42" t="s">
        <v>7344</v>
      </c>
      <c r="C157" s="43" t="s">
        <v>6735</v>
      </c>
      <c r="D157" s="42" t="s">
        <v>99</v>
      </c>
      <c r="E157" s="43" t="s">
        <v>147</v>
      </c>
      <c r="F157" s="43" t="s">
        <v>7345</v>
      </c>
      <c r="G157" s="42" t="s">
        <v>6739</v>
      </c>
      <c r="H157" s="43" t="s">
        <v>103</v>
      </c>
      <c r="I157" s="43" t="s">
        <v>6741</v>
      </c>
      <c r="J157" s="55"/>
      <c r="K157" s="119">
        <f>IFERROR(VLOOKUP(B157,BD_CONTROL!$A$5:$M$4235,11,0),"")</f>
        <v>0</v>
      </c>
      <c r="L157" s="120">
        <f>IFERROR(VLOOKUP(B157,BD_CONTROL!$A$5:$M$4235,12,0),"")</f>
        <v>0</v>
      </c>
      <c r="M157" s="121">
        <f>IFERROR(VLOOKUP(B157,BD_CONTROL!$A$5:$M$4235,13,0),"")</f>
        <v>0</v>
      </c>
    </row>
    <row r="158" spans="1:13" ht="15" customHeight="1">
      <c r="A158" s="39">
        <v>153</v>
      </c>
      <c r="B158" s="39" t="s">
        <v>7346</v>
      </c>
      <c r="C158" s="40" t="s">
        <v>6735</v>
      </c>
      <c r="D158" s="39" t="s">
        <v>99</v>
      </c>
      <c r="E158" s="40" t="s">
        <v>147</v>
      </c>
      <c r="F158" s="40" t="s">
        <v>5517</v>
      </c>
      <c r="G158" s="39" t="s">
        <v>6739</v>
      </c>
      <c r="H158" s="40" t="s">
        <v>103</v>
      </c>
      <c r="I158" s="40" t="s">
        <v>6741</v>
      </c>
      <c r="J158" s="50"/>
      <c r="K158" s="116" t="str">
        <f>IFERROR(VLOOKUP(B158,BD_CONTROL!$A$5:$M$4235,11,0),"")</f>
        <v>Instalado - Operando</v>
      </c>
      <c r="L158" s="117">
        <f>IFERROR(VLOOKUP(B158,BD_CONTROL!$A$5:$M$4235,12,0),"")</f>
        <v>46149</v>
      </c>
      <c r="M158" s="118">
        <f>IFERROR(VLOOKUP(B158,BD_CONTROL!$A$5:$M$4235,13,0),"")</f>
        <v>0</v>
      </c>
    </row>
    <row r="159" spans="1:13" ht="15" customHeight="1">
      <c r="A159" s="42">
        <v>154</v>
      </c>
      <c r="B159" s="42" t="s">
        <v>7347</v>
      </c>
      <c r="C159" s="43" t="s">
        <v>6735</v>
      </c>
      <c r="D159" s="42" t="s">
        <v>99</v>
      </c>
      <c r="E159" s="43" t="s">
        <v>147</v>
      </c>
      <c r="F159" s="43" t="s">
        <v>147</v>
      </c>
      <c r="G159" s="42" t="s">
        <v>6739</v>
      </c>
      <c r="H159" s="43" t="s">
        <v>103</v>
      </c>
      <c r="I159" s="43" t="s">
        <v>6741</v>
      </c>
      <c r="J159" s="55"/>
      <c r="K159" s="119" t="str">
        <f>IFERROR(VLOOKUP(B159,BD_CONTROL!$A$5:$M$4235,11,0),"")</f>
        <v>Instalado - Sin Señal</v>
      </c>
      <c r="L159" s="120">
        <f>IFERROR(VLOOKUP(B159,BD_CONTROL!$A$5:$M$4235,12,0),"")</f>
        <v>46146</v>
      </c>
      <c r="M159" s="121" t="str">
        <f>IFERROR(VLOOKUP(B159,BD_CONTROL!$A$5:$M$4235,13,0),"")</f>
        <v>Queda pendiente validación por Mesa de Servicio</v>
      </c>
    </row>
    <row r="160" spans="1:13" ht="15" customHeight="1">
      <c r="A160" s="39">
        <v>155</v>
      </c>
      <c r="B160" s="39" t="s">
        <v>7349</v>
      </c>
      <c r="C160" s="40" t="s">
        <v>6735</v>
      </c>
      <c r="D160" s="39" t="s">
        <v>99</v>
      </c>
      <c r="E160" s="40" t="s">
        <v>147</v>
      </c>
      <c r="F160" s="40" t="s">
        <v>147</v>
      </c>
      <c r="G160" s="39" t="s">
        <v>6739</v>
      </c>
      <c r="H160" s="40" t="s">
        <v>103</v>
      </c>
      <c r="I160" s="40" t="s">
        <v>6741</v>
      </c>
      <c r="J160" s="50"/>
      <c r="K160" s="116">
        <f>IFERROR(VLOOKUP(B160,BD_CONTROL!$A$5:$M$4235,11,0),"")</f>
        <v>0</v>
      </c>
      <c r="L160" s="117">
        <f>IFERROR(VLOOKUP(B160,BD_CONTROL!$A$5:$M$4235,12,0),"")</f>
        <v>0</v>
      </c>
      <c r="M160" s="118">
        <f>IFERROR(VLOOKUP(B160,BD_CONTROL!$A$5:$M$4235,13,0),"")</f>
        <v>0</v>
      </c>
    </row>
    <row r="161" spans="1:13" ht="15" customHeight="1">
      <c r="A161" s="42">
        <v>156</v>
      </c>
      <c r="B161" s="42" t="s">
        <v>7350</v>
      </c>
      <c r="C161" s="43" t="s">
        <v>6735</v>
      </c>
      <c r="D161" s="42" t="s">
        <v>99</v>
      </c>
      <c r="E161" s="43" t="s">
        <v>147</v>
      </c>
      <c r="F161" s="43" t="s">
        <v>320</v>
      </c>
      <c r="G161" s="42" t="s">
        <v>6739</v>
      </c>
      <c r="H161" s="43" t="s">
        <v>103</v>
      </c>
      <c r="I161" s="43" t="s">
        <v>6741</v>
      </c>
      <c r="J161" s="55"/>
      <c r="K161" s="119">
        <f>IFERROR(VLOOKUP(B161,BD_CONTROL!$A$5:$M$4235,11,0),"")</f>
        <v>0</v>
      </c>
      <c r="L161" s="120">
        <f>IFERROR(VLOOKUP(B161,BD_CONTROL!$A$5:$M$4235,12,0),"")</f>
        <v>0</v>
      </c>
      <c r="M161" s="121">
        <f>IFERROR(VLOOKUP(B161,BD_CONTROL!$A$5:$M$4235,13,0),"")</f>
        <v>0</v>
      </c>
    </row>
    <row r="162" spans="1:13" ht="15" customHeight="1">
      <c r="A162" s="39">
        <v>157</v>
      </c>
      <c r="B162" s="39" t="s">
        <v>7351</v>
      </c>
      <c r="C162" s="40" t="s">
        <v>6735</v>
      </c>
      <c r="D162" s="39" t="s">
        <v>99</v>
      </c>
      <c r="E162" s="40" t="s">
        <v>147</v>
      </c>
      <c r="F162" s="40" t="s">
        <v>147</v>
      </c>
      <c r="G162" s="39" t="s">
        <v>6739</v>
      </c>
      <c r="H162" s="40" t="s">
        <v>103</v>
      </c>
      <c r="I162" s="40" t="s">
        <v>6741</v>
      </c>
      <c r="J162" s="50"/>
      <c r="K162" s="116" t="str">
        <f>IFERROR(VLOOKUP(B162,BD_CONTROL!$A$5:$M$4235,11,0),"")</f>
        <v>Instalado - Operando</v>
      </c>
      <c r="L162" s="117">
        <f>IFERROR(VLOOKUP(B162,BD_CONTROL!$A$5:$M$4235,12,0),"")</f>
        <v>46146</v>
      </c>
      <c r="M162" s="118">
        <f>IFERROR(VLOOKUP(B162,BD_CONTROL!$A$5:$M$4235,13,0),"")</f>
        <v>0</v>
      </c>
    </row>
    <row r="163" spans="1:13" ht="15" customHeight="1">
      <c r="A163" s="42">
        <v>158</v>
      </c>
      <c r="B163" s="42" t="s">
        <v>7352</v>
      </c>
      <c r="C163" s="43" t="s">
        <v>6735</v>
      </c>
      <c r="D163" s="42" t="s">
        <v>99</v>
      </c>
      <c r="E163" s="43" t="s">
        <v>100</v>
      </c>
      <c r="F163" s="43" t="s">
        <v>100</v>
      </c>
      <c r="G163" s="42" t="s">
        <v>6739</v>
      </c>
      <c r="H163" s="43" t="s">
        <v>103</v>
      </c>
      <c r="I163" s="43" t="s">
        <v>6741</v>
      </c>
      <c r="J163" s="55"/>
      <c r="K163" s="119">
        <f>IFERROR(VLOOKUP(B163,BD_CONTROL!$A$5:$M$4235,11,0),"")</f>
        <v>0</v>
      </c>
      <c r="L163" s="120">
        <f>IFERROR(VLOOKUP(B163,BD_CONTROL!$A$5:$M$4235,12,0),"")</f>
        <v>0</v>
      </c>
      <c r="M163" s="121">
        <f>IFERROR(VLOOKUP(B163,BD_CONTROL!$A$5:$M$4235,13,0),"")</f>
        <v>0</v>
      </c>
    </row>
    <row r="164" spans="1:13" ht="15" customHeight="1">
      <c r="A164" s="39">
        <v>159</v>
      </c>
      <c r="B164" s="39" t="s">
        <v>7353</v>
      </c>
      <c r="C164" s="40" t="s">
        <v>6735</v>
      </c>
      <c r="D164" s="39" t="s">
        <v>99</v>
      </c>
      <c r="E164" s="40" t="s">
        <v>124</v>
      </c>
      <c r="F164" s="40" t="s">
        <v>7354</v>
      </c>
      <c r="G164" s="39" t="s">
        <v>6739</v>
      </c>
      <c r="H164" s="40" t="s">
        <v>103</v>
      </c>
      <c r="I164" s="40" t="s">
        <v>6741</v>
      </c>
      <c r="J164" s="50"/>
      <c r="K164" s="116">
        <f>IFERROR(VLOOKUP(B164,BD_CONTROL!$A$5:$M$4235,11,0),"")</f>
        <v>0</v>
      </c>
      <c r="L164" s="117">
        <f>IFERROR(VLOOKUP(B164,BD_CONTROL!$A$5:$M$4235,12,0),"")</f>
        <v>0</v>
      </c>
      <c r="M164" s="118">
        <f>IFERROR(VLOOKUP(B164,BD_CONTROL!$A$5:$M$4235,13,0),"")</f>
        <v>0</v>
      </c>
    </row>
    <row r="165" spans="1:13" ht="15" customHeight="1">
      <c r="A165" s="42">
        <v>160</v>
      </c>
      <c r="B165" s="42" t="s">
        <v>7355</v>
      </c>
      <c r="C165" s="43" t="s">
        <v>6735</v>
      </c>
      <c r="D165" s="42" t="s">
        <v>99</v>
      </c>
      <c r="E165" s="43" t="s">
        <v>100</v>
      </c>
      <c r="F165" s="43" t="s">
        <v>100</v>
      </c>
      <c r="G165" s="42" t="s">
        <v>6739</v>
      </c>
      <c r="H165" s="43" t="s">
        <v>103</v>
      </c>
      <c r="I165" s="43" t="s">
        <v>6741</v>
      </c>
      <c r="J165" s="55"/>
      <c r="K165" s="119">
        <f>IFERROR(VLOOKUP(B165,BD_CONTROL!$A$5:$M$4235,11,0),"")</f>
        <v>0</v>
      </c>
      <c r="L165" s="120">
        <f>IFERROR(VLOOKUP(B165,BD_CONTROL!$A$5:$M$4235,12,0),"")</f>
        <v>0</v>
      </c>
      <c r="M165" s="121">
        <f>IFERROR(VLOOKUP(B165,BD_CONTROL!$A$5:$M$4235,13,0),"")</f>
        <v>0</v>
      </c>
    </row>
    <row r="166" spans="1:13" ht="15" customHeight="1">
      <c r="A166" s="39">
        <v>161</v>
      </c>
      <c r="B166" s="39" t="s">
        <v>7356</v>
      </c>
      <c r="C166" s="40" t="s">
        <v>6735</v>
      </c>
      <c r="D166" s="39" t="s">
        <v>99</v>
      </c>
      <c r="E166" s="40" t="s">
        <v>100</v>
      </c>
      <c r="F166" s="40" t="s">
        <v>100</v>
      </c>
      <c r="G166" s="39" t="s">
        <v>6739</v>
      </c>
      <c r="H166" s="40" t="s">
        <v>103</v>
      </c>
      <c r="I166" s="40" t="s">
        <v>6741</v>
      </c>
      <c r="J166" s="50"/>
      <c r="K166" s="116">
        <f>IFERROR(VLOOKUP(B166,BD_CONTROL!$A$5:$M$4235,11,0),"")</f>
        <v>0</v>
      </c>
      <c r="L166" s="117">
        <f>IFERROR(VLOOKUP(B166,BD_CONTROL!$A$5:$M$4235,12,0),"")</f>
        <v>0</v>
      </c>
      <c r="M166" s="118">
        <f>IFERROR(VLOOKUP(B166,BD_CONTROL!$A$5:$M$4235,13,0),"")</f>
        <v>0</v>
      </c>
    </row>
    <row r="167" spans="1:13" ht="15" customHeight="1">
      <c r="A167" s="42">
        <v>162</v>
      </c>
      <c r="B167" s="42" t="s">
        <v>7357</v>
      </c>
      <c r="C167" s="43" t="s">
        <v>6735</v>
      </c>
      <c r="D167" s="42" t="s">
        <v>99</v>
      </c>
      <c r="E167" s="43" t="s">
        <v>100</v>
      </c>
      <c r="F167" s="43" t="s">
        <v>100</v>
      </c>
      <c r="G167" s="42" t="s">
        <v>6739</v>
      </c>
      <c r="H167" s="43" t="s">
        <v>103</v>
      </c>
      <c r="I167" s="43" t="s">
        <v>6741</v>
      </c>
      <c r="J167" s="55"/>
      <c r="K167" s="119">
        <f>IFERROR(VLOOKUP(B167,BD_CONTROL!$A$5:$M$4235,11,0),"")</f>
        <v>0</v>
      </c>
      <c r="L167" s="120">
        <f>IFERROR(VLOOKUP(B167,BD_CONTROL!$A$5:$M$4235,12,0),"")</f>
        <v>0</v>
      </c>
      <c r="M167" s="121">
        <f>IFERROR(VLOOKUP(B167,BD_CONTROL!$A$5:$M$4235,13,0),"")</f>
        <v>0</v>
      </c>
    </row>
    <row r="168" spans="1:13" ht="15" customHeight="1">
      <c r="A168" s="39">
        <v>163</v>
      </c>
      <c r="B168" s="39" t="s">
        <v>7358</v>
      </c>
      <c r="C168" s="40" t="s">
        <v>6735</v>
      </c>
      <c r="D168" s="39" t="s">
        <v>99</v>
      </c>
      <c r="E168" s="40" t="s">
        <v>100</v>
      </c>
      <c r="F168" s="40" t="s">
        <v>100</v>
      </c>
      <c r="G168" s="39" t="s">
        <v>6739</v>
      </c>
      <c r="H168" s="40" t="s">
        <v>103</v>
      </c>
      <c r="I168" s="40" t="s">
        <v>6741</v>
      </c>
      <c r="J168" s="50"/>
      <c r="K168" s="116">
        <f>IFERROR(VLOOKUP(B168,BD_CONTROL!$A$5:$M$4235,11,0),"")</f>
        <v>0</v>
      </c>
      <c r="L168" s="117">
        <f>IFERROR(VLOOKUP(B168,BD_CONTROL!$A$5:$M$4235,12,0),"")</f>
        <v>0</v>
      </c>
      <c r="M168" s="118">
        <f>IFERROR(VLOOKUP(B168,BD_CONTROL!$A$5:$M$4235,13,0),"")</f>
        <v>0</v>
      </c>
    </row>
    <row r="169" spans="1:13" ht="15" customHeight="1">
      <c r="A169" s="42">
        <v>164</v>
      </c>
      <c r="B169" s="42" t="s">
        <v>7359</v>
      </c>
      <c r="C169" s="43" t="s">
        <v>6735</v>
      </c>
      <c r="D169" s="42" t="s">
        <v>99</v>
      </c>
      <c r="E169" s="43" t="s">
        <v>100</v>
      </c>
      <c r="F169" s="43" t="s">
        <v>100</v>
      </c>
      <c r="G169" s="42" t="s">
        <v>6739</v>
      </c>
      <c r="H169" s="43" t="s">
        <v>103</v>
      </c>
      <c r="I169" s="43" t="s">
        <v>6741</v>
      </c>
      <c r="J169" s="55"/>
      <c r="K169" s="119">
        <f>IFERROR(VLOOKUP(B169,BD_CONTROL!$A$5:$M$4235,11,0),"")</f>
        <v>0</v>
      </c>
      <c r="L169" s="120">
        <f>IFERROR(VLOOKUP(B169,BD_CONTROL!$A$5:$M$4235,12,0),"")</f>
        <v>0</v>
      </c>
      <c r="M169" s="121">
        <f>IFERROR(VLOOKUP(B169,BD_CONTROL!$A$5:$M$4235,13,0),"")</f>
        <v>0</v>
      </c>
    </row>
    <row r="170" spans="1:13" ht="15" customHeight="1">
      <c r="A170" s="39">
        <v>165</v>
      </c>
      <c r="B170" s="39" t="s">
        <v>7360</v>
      </c>
      <c r="C170" s="40" t="s">
        <v>6735</v>
      </c>
      <c r="D170" s="39" t="s">
        <v>99</v>
      </c>
      <c r="E170" s="40" t="s">
        <v>107</v>
      </c>
      <c r="F170" s="40" t="s">
        <v>107</v>
      </c>
      <c r="G170" s="39" t="s">
        <v>6739</v>
      </c>
      <c r="H170" s="40" t="s">
        <v>103</v>
      </c>
      <c r="I170" s="40" t="s">
        <v>6741</v>
      </c>
      <c r="J170" s="50"/>
      <c r="K170" s="116">
        <f>IFERROR(VLOOKUP(B170,BD_CONTROL!$A$5:$M$4235,11,0),"")</f>
        <v>0</v>
      </c>
      <c r="L170" s="117">
        <f>IFERROR(VLOOKUP(B170,BD_CONTROL!$A$5:$M$4235,12,0),"")</f>
        <v>0</v>
      </c>
      <c r="M170" s="118">
        <f>IFERROR(VLOOKUP(B170,BD_CONTROL!$A$5:$M$4235,13,0),"")</f>
        <v>0</v>
      </c>
    </row>
    <row r="171" spans="1:13" ht="15" customHeight="1">
      <c r="A171" s="42">
        <v>166</v>
      </c>
      <c r="B171" s="42" t="s">
        <v>7361</v>
      </c>
      <c r="C171" s="43" t="s">
        <v>6735</v>
      </c>
      <c r="D171" s="42" t="s">
        <v>99</v>
      </c>
      <c r="E171" s="43" t="s">
        <v>100</v>
      </c>
      <c r="F171" s="43" t="s">
        <v>100</v>
      </c>
      <c r="G171" s="42" t="s">
        <v>6739</v>
      </c>
      <c r="H171" s="43" t="s">
        <v>103</v>
      </c>
      <c r="I171" s="43" t="s">
        <v>6741</v>
      </c>
      <c r="J171" s="55"/>
      <c r="K171" s="119">
        <f>IFERROR(VLOOKUP(B171,BD_CONTROL!$A$5:$M$4235,11,0),"")</f>
        <v>0</v>
      </c>
      <c r="L171" s="120">
        <f>IFERROR(VLOOKUP(B171,BD_CONTROL!$A$5:$M$4235,12,0),"")</f>
        <v>0</v>
      </c>
      <c r="M171" s="121">
        <f>IFERROR(VLOOKUP(B171,BD_CONTROL!$A$5:$M$4235,13,0),"")</f>
        <v>0</v>
      </c>
    </row>
    <row r="172" spans="1:13" ht="15" customHeight="1">
      <c r="A172" s="39">
        <v>167</v>
      </c>
      <c r="B172" s="39" t="s">
        <v>7362</v>
      </c>
      <c r="C172" s="40" t="s">
        <v>6735</v>
      </c>
      <c r="D172" s="39" t="s">
        <v>99</v>
      </c>
      <c r="E172" s="40" t="s">
        <v>100</v>
      </c>
      <c r="F172" s="40" t="s">
        <v>100</v>
      </c>
      <c r="G172" s="39" t="s">
        <v>6739</v>
      </c>
      <c r="H172" s="40" t="s">
        <v>103</v>
      </c>
      <c r="I172" s="40" t="s">
        <v>6741</v>
      </c>
      <c r="J172" s="50"/>
      <c r="K172" s="116">
        <f>IFERROR(VLOOKUP(B172,BD_CONTROL!$A$5:$M$4235,11,0),"")</f>
        <v>0</v>
      </c>
      <c r="L172" s="117">
        <f>IFERROR(VLOOKUP(B172,BD_CONTROL!$A$5:$M$4235,12,0),"")</f>
        <v>0</v>
      </c>
      <c r="M172" s="118">
        <f>IFERROR(VLOOKUP(B172,BD_CONTROL!$A$5:$M$4235,13,0),"")</f>
        <v>0</v>
      </c>
    </row>
    <row r="173" spans="1:13" ht="15" customHeight="1">
      <c r="A173" s="42">
        <v>168</v>
      </c>
      <c r="B173" s="42" t="s">
        <v>7363</v>
      </c>
      <c r="C173" s="43" t="s">
        <v>6735</v>
      </c>
      <c r="D173" s="42" t="s">
        <v>99</v>
      </c>
      <c r="E173" s="43" t="s">
        <v>100</v>
      </c>
      <c r="F173" s="43" t="s">
        <v>100</v>
      </c>
      <c r="G173" s="42" t="s">
        <v>6739</v>
      </c>
      <c r="H173" s="43" t="s">
        <v>103</v>
      </c>
      <c r="I173" s="43" t="s">
        <v>6741</v>
      </c>
      <c r="J173" s="55"/>
      <c r="K173" s="119">
        <f>IFERROR(VLOOKUP(B173,BD_CONTROL!$A$5:$M$4235,11,0),"")</f>
        <v>0</v>
      </c>
      <c r="L173" s="120">
        <f>IFERROR(VLOOKUP(B173,BD_CONTROL!$A$5:$M$4235,12,0),"")</f>
        <v>0</v>
      </c>
      <c r="M173" s="121">
        <f>IFERROR(VLOOKUP(B173,BD_CONTROL!$A$5:$M$4235,13,0),"")</f>
        <v>0</v>
      </c>
    </row>
    <row r="174" spans="1:13" ht="15" customHeight="1">
      <c r="A174" s="39">
        <v>169</v>
      </c>
      <c r="B174" s="39" t="s">
        <v>7364</v>
      </c>
      <c r="C174" s="40" t="s">
        <v>6735</v>
      </c>
      <c r="D174" s="39" t="s">
        <v>99</v>
      </c>
      <c r="E174" s="40" t="s">
        <v>100</v>
      </c>
      <c r="F174" s="40" t="s">
        <v>100</v>
      </c>
      <c r="G174" s="39" t="s">
        <v>6739</v>
      </c>
      <c r="H174" s="40" t="s">
        <v>103</v>
      </c>
      <c r="I174" s="40" t="s">
        <v>6741</v>
      </c>
      <c r="J174" s="50"/>
      <c r="K174" s="116">
        <f>IFERROR(VLOOKUP(B174,BD_CONTROL!$A$5:$M$4235,11,0),"")</f>
        <v>0</v>
      </c>
      <c r="L174" s="117">
        <f>IFERROR(VLOOKUP(B174,BD_CONTROL!$A$5:$M$4235,12,0),"")</f>
        <v>0</v>
      </c>
      <c r="M174" s="118">
        <f>IFERROR(VLOOKUP(B174,BD_CONTROL!$A$5:$M$4235,13,0),"")</f>
        <v>0</v>
      </c>
    </row>
    <row r="175" spans="1:13" ht="15" customHeight="1">
      <c r="A175" s="42">
        <v>170</v>
      </c>
      <c r="B175" s="42" t="s">
        <v>7365</v>
      </c>
      <c r="C175" s="43" t="s">
        <v>6735</v>
      </c>
      <c r="D175" s="42" t="s">
        <v>99</v>
      </c>
      <c r="E175" s="43" t="s">
        <v>100</v>
      </c>
      <c r="F175" s="43" t="s">
        <v>100</v>
      </c>
      <c r="G175" s="42" t="s">
        <v>6739</v>
      </c>
      <c r="H175" s="43" t="s">
        <v>103</v>
      </c>
      <c r="I175" s="43" t="s">
        <v>6741</v>
      </c>
      <c r="J175" s="55"/>
      <c r="K175" s="119">
        <f>IFERROR(VLOOKUP(B175,BD_CONTROL!$A$5:$M$4235,11,0),"")</f>
        <v>0</v>
      </c>
      <c r="L175" s="120">
        <f>IFERROR(VLOOKUP(B175,BD_CONTROL!$A$5:$M$4235,12,0),"")</f>
        <v>0</v>
      </c>
      <c r="M175" s="121">
        <f>IFERROR(VLOOKUP(B175,BD_CONTROL!$A$5:$M$4235,13,0),"")</f>
        <v>0</v>
      </c>
    </row>
    <row r="176" spans="1:13" ht="15" customHeight="1">
      <c r="A176" s="39">
        <v>171</v>
      </c>
      <c r="B176" s="39" t="s">
        <v>7366</v>
      </c>
      <c r="C176" s="40" t="s">
        <v>7367</v>
      </c>
      <c r="D176" s="39" t="s">
        <v>99</v>
      </c>
      <c r="E176" s="40" t="s">
        <v>100</v>
      </c>
      <c r="F176" s="40" t="s">
        <v>100</v>
      </c>
      <c r="G176" s="39" t="s">
        <v>102</v>
      </c>
      <c r="H176" s="40" t="s">
        <v>103</v>
      </c>
      <c r="I176" s="40" t="s">
        <v>6741</v>
      </c>
      <c r="J176" s="50"/>
      <c r="K176" s="116">
        <f>IFERROR(VLOOKUP(B176,BD_CONTROL!$A$5:$M$4235,11,0),"")</f>
        <v>0</v>
      </c>
      <c r="L176" s="117">
        <f>IFERROR(VLOOKUP(B176,BD_CONTROL!$A$5:$M$4235,12,0),"")</f>
        <v>0</v>
      </c>
      <c r="M176" s="118">
        <f>IFERROR(VLOOKUP(B176,BD_CONTROL!$A$5:$M$4235,13,0),"")</f>
        <v>0</v>
      </c>
    </row>
    <row r="177" spans="1:13" ht="15" customHeight="1">
      <c r="A177" s="42">
        <v>172</v>
      </c>
      <c r="B177" s="42" t="s">
        <v>7368</v>
      </c>
      <c r="C177" s="43" t="s">
        <v>6735</v>
      </c>
      <c r="D177" s="42" t="s">
        <v>99</v>
      </c>
      <c r="E177" s="43" t="s">
        <v>100</v>
      </c>
      <c r="F177" s="43" t="s">
        <v>100</v>
      </c>
      <c r="G177" s="42" t="s">
        <v>6739</v>
      </c>
      <c r="H177" s="43" t="s">
        <v>103</v>
      </c>
      <c r="I177" s="43" t="s">
        <v>6741</v>
      </c>
      <c r="J177" s="55"/>
      <c r="K177" s="119">
        <f>IFERROR(VLOOKUP(B177,BD_CONTROL!$A$5:$M$4235,11,0),"")</f>
        <v>0</v>
      </c>
      <c r="L177" s="120">
        <f>IFERROR(VLOOKUP(B177,BD_CONTROL!$A$5:$M$4235,12,0),"")</f>
        <v>0</v>
      </c>
      <c r="M177" s="121">
        <f>IFERROR(VLOOKUP(B177,BD_CONTROL!$A$5:$M$4235,13,0),"")</f>
        <v>0</v>
      </c>
    </row>
    <row r="178" spans="1:13" ht="15" customHeight="1">
      <c r="A178" s="39">
        <v>173</v>
      </c>
      <c r="B178" s="39" t="s">
        <v>7369</v>
      </c>
      <c r="C178" s="40" t="s">
        <v>6735</v>
      </c>
      <c r="D178" s="39" t="s">
        <v>99</v>
      </c>
      <c r="E178" s="40" t="s">
        <v>100</v>
      </c>
      <c r="F178" s="40" t="s">
        <v>100</v>
      </c>
      <c r="G178" s="39" t="s">
        <v>6739</v>
      </c>
      <c r="H178" s="40" t="s">
        <v>103</v>
      </c>
      <c r="I178" s="40" t="s">
        <v>6741</v>
      </c>
      <c r="J178" s="50"/>
      <c r="K178" s="116">
        <f>IFERROR(VLOOKUP(B178,BD_CONTROL!$A$5:$M$4235,11,0),"")</f>
        <v>0</v>
      </c>
      <c r="L178" s="117">
        <f>IFERROR(VLOOKUP(B178,BD_CONTROL!$A$5:$M$4235,12,0),"")</f>
        <v>0</v>
      </c>
      <c r="M178" s="118">
        <f>IFERROR(VLOOKUP(B178,BD_CONTROL!$A$5:$M$4235,13,0),"")</f>
        <v>0</v>
      </c>
    </row>
    <row r="179" spans="1:13" ht="15" customHeight="1">
      <c r="A179" s="42">
        <v>174</v>
      </c>
      <c r="B179" s="42" t="s">
        <v>7370</v>
      </c>
      <c r="C179" s="43" t="s">
        <v>6735</v>
      </c>
      <c r="D179" s="42" t="s">
        <v>99</v>
      </c>
      <c r="E179" s="43" t="s">
        <v>100</v>
      </c>
      <c r="F179" s="43" t="s">
        <v>100</v>
      </c>
      <c r="G179" s="42" t="s">
        <v>6739</v>
      </c>
      <c r="H179" s="43" t="s">
        <v>103</v>
      </c>
      <c r="I179" s="43" t="s">
        <v>6741</v>
      </c>
      <c r="J179" s="55"/>
      <c r="K179" s="119">
        <f>IFERROR(VLOOKUP(B179,BD_CONTROL!$A$5:$M$4235,11,0),"")</f>
        <v>0</v>
      </c>
      <c r="L179" s="120">
        <f>IFERROR(VLOOKUP(B179,BD_CONTROL!$A$5:$M$4235,12,0),"")</f>
        <v>0</v>
      </c>
      <c r="M179" s="121">
        <f>IFERROR(VLOOKUP(B179,BD_CONTROL!$A$5:$M$4235,13,0),"")</f>
        <v>0</v>
      </c>
    </row>
    <row r="180" spans="1:13" ht="15" customHeight="1">
      <c r="A180" s="39">
        <v>175</v>
      </c>
      <c r="B180" s="39" t="s">
        <v>7371</v>
      </c>
      <c r="C180" s="40" t="s">
        <v>6735</v>
      </c>
      <c r="D180" s="39" t="s">
        <v>99</v>
      </c>
      <c r="E180" s="40" t="s">
        <v>100</v>
      </c>
      <c r="F180" s="40" t="s">
        <v>100</v>
      </c>
      <c r="G180" s="39" t="s">
        <v>6739</v>
      </c>
      <c r="H180" s="40" t="s">
        <v>103</v>
      </c>
      <c r="I180" s="40" t="s">
        <v>6741</v>
      </c>
      <c r="J180" s="50"/>
      <c r="K180" s="116">
        <f>IFERROR(VLOOKUP(B180,BD_CONTROL!$A$5:$M$4235,11,0),"")</f>
        <v>0</v>
      </c>
      <c r="L180" s="117">
        <f>IFERROR(VLOOKUP(B180,BD_CONTROL!$A$5:$M$4235,12,0),"")</f>
        <v>0</v>
      </c>
      <c r="M180" s="118">
        <f>IFERROR(VLOOKUP(B180,BD_CONTROL!$A$5:$M$4235,13,0),"")</f>
        <v>0</v>
      </c>
    </row>
    <row r="181" spans="1:13" ht="15" customHeight="1">
      <c r="A181" s="42">
        <v>176</v>
      </c>
      <c r="B181" s="42" t="s">
        <v>7372</v>
      </c>
      <c r="C181" s="43" t="s">
        <v>6735</v>
      </c>
      <c r="D181" s="42" t="s">
        <v>99</v>
      </c>
      <c r="E181" s="43" t="s">
        <v>100</v>
      </c>
      <c r="F181" s="43" t="s">
        <v>7373</v>
      </c>
      <c r="G181" s="42" t="s">
        <v>6739</v>
      </c>
      <c r="H181" s="43" t="s">
        <v>103</v>
      </c>
      <c r="I181" s="43" t="s">
        <v>6741</v>
      </c>
      <c r="J181" s="55"/>
      <c r="K181" s="119">
        <f>IFERROR(VLOOKUP(B181,BD_CONTROL!$A$5:$M$4235,11,0),"")</f>
        <v>0</v>
      </c>
      <c r="L181" s="120">
        <f>IFERROR(VLOOKUP(B181,BD_CONTROL!$A$5:$M$4235,12,0),"")</f>
        <v>0</v>
      </c>
      <c r="M181" s="121">
        <f>IFERROR(VLOOKUP(B181,BD_CONTROL!$A$5:$M$4235,13,0),"")</f>
        <v>0</v>
      </c>
    </row>
    <row r="182" spans="1:13" ht="15" customHeight="1">
      <c r="A182" s="39">
        <v>177</v>
      </c>
      <c r="B182" s="39" t="s">
        <v>7374</v>
      </c>
      <c r="C182" s="40" t="s">
        <v>6735</v>
      </c>
      <c r="D182" s="39" t="s">
        <v>99</v>
      </c>
      <c r="E182" s="40" t="s">
        <v>100</v>
      </c>
      <c r="F182" s="40" t="s">
        <v>100</v>
      </c>
      <c r="G182" s="39" t="s">
        <v>6739</v>
      </c>
      <c r="H182" s="40" t="s">
        <v>103</v>
      </c>
      <c r="I182" s="40" t="s">
        <v>6741</v>
      </c>
      <c r="J182" s="50"/>
      <c r="K182" s="116">
        <f>IFERROR(VLOOKUP(B182,BD_CONTROL!$A$5:$M$4235,11,0),"")</f>
        <v>0</v>
      </c>
      <c r="L182" s="117">
        <f>IFERROR(VLOOKUP(B182,BD_CONTROL!$A$5:$M$4235,12,0),"")</f>
        <v>0</v>
      </c>
      <c r="M182" s="118">
        <f>IFERROR(VLOOKUP(B182,BD_CONTROL!$A$5:$M$4235,13,0),"")</f>
        <v>0</v>
      </c>
    </row>
    <row r="183" spans="1:13" ht="15" customHeight="1">
      <c r="A183" s="42">
        <v>178</v>
      </c>
      <c r="B183" s="42" t="s">
        <v>7375</v>
      </c>
      <c r="C183" s="43" t="s">
        <v>6735</v>
      </c>
      <c r="D183" s="42" t="s">
        <v>99</v>
      </c>
      <c r="E183" s="43" t="s">
        <v>100</v>
      </c>
      <c r="F183" s="43" t="s">
        <v>100</v>
      </c>
      <c r="G183" s="42" t="s">
        <v>6739</v>
      </c>
      <c r="H183" s="43" t="s">
        <v>103</v>
      </c>
      <c r="I183" s="43" t="s">
        <v>6741</v>
      </c>
      <c r="J183" s="55"/>
      <c r="K183" s="119">
        <f>IFERROR(VLOOKUP(B183,BD_CONTROL!$A$5:$M$4235,11,0),"")</f>
        <v>0</v>
      </c>
      <c r="L183" s="120">
        <f>IFERROR(VLOOKUP(B183,BD_CONTROL!$A$5:$M$4235,12,0),"")</f>
        <v>0</v>
      </c>
      <c r="M183" s="121">
        <f>IFERROR(VLOOKUP(B183,BD_CONTROL!$A$5:$M$4235,13,0),"")</f>
        <v>0</v>
      </c>
    </row>
    <row r="184" spans="1:13" ht="15" customHeight="1">
      <c r="A184" s="39">
        <v>179</v>
      </c>
      <c r="B184" s="39" t="s">
        <v>7376</v>
      </c>
      <c r="C184" s="40" t="s">
        <v>6735</v>
      </c>
      <c r="D184" s="39" t="s">
        <v>99</v>
      </c>
      <c r="E184" s="40" t="s">
        <v>100</v>
      </c>
      <c r="F184" s="40" t="s">
        <v>100</v>
      </c>
      <c r="G184" s="39" t="s">
        <v>6739</v>
      </c>
      <c r="H184" s="40" t="s">
        <v>103</v>
      </c>
      <c r="I184" s="40" t="s">
        <v>6741</v>
      </c>
      <c r="J184" s="50"/>
      <c r="K184" s="116">
        <f>IFERROR(VLOOKUP(B184,BD_CONTROL!$A$5:$M$4235,11,0),"")</f>
        <v>0</v>
      </c>
      <c r="L184" s="117">
        <f>IFERROR(VLOOKUP(B184,BD_CONTROL!$A$5:$M$4235,12,0),"")</f>
        <v>0</v>
      </c>
      <c r="M184" s="118">
        <f>IFERROR(VLOOKUP(B184,BD_CONTROL!$A$5:$M$4235,13,0),"")</f>
        <v>0</v>
      </c>
    </row>
    <row r="185" spans="1:13" ht="15" customHeight="1">
      <c r="A185" s="42">
        <v>180</v>
      </c>
      <c r="B185" s="42" t="s">
        <v>7377</v>
      </c>
      <c r="C185" s="43" t="s">
        <v>6735</v>
      </c>
      <c r="D185" s="42" t="s">
        <v>99</v>
      </c>
      <c r="E185" s="43" t="s">
        <v>100</v>
      </c>
      <c r="F185" s="43" t="s">
        <v>100</v>
      </c>
      <c r="G185" s="42" t="s">
        <v>6739</v>
      </c>
      <c r="H185" s="43" t="s">
        <v>103</v>
      </c>
      <c r="I185" s="43" t="s">
        <v>6741</v>
      </c>
      <c r="J185" s="55"/>
      <c r="K185" s="119">
        <f>IFERROR(VLOOKUP(B185,BD_CONTROL!$A$5:$M$4235,11,0),"")</f>
        <v>0</v>
      </c>
      <c r="L185" s="120">
        <f>IFERROR(VLOOKUP(B185,BD_CONTROL!$A$5:$M$4235,12,0),"")</f>
        <v>0</v>
      </c>
      <c r="M185" s="121">
        <f>IFERROR(VLOOKUP(B185,BD_CONTROL!$A$5:$M$4235,13,0),"")</f>
        <v>0</v>
      </c>
    </row>
    <row r="186" spans="1:13" ht="15" customHeight="1">
      <c r="A186" s="39">
        <v>181</v>
      </c>
      <c r="B186" s="39" t="s">
        <v>7378</v>
      </c>
      <c r="C186" s="40" t="s">
        <v>6735</v>
      </c>
      <c r="D186" s="39" t="s">
        <v>99</v>
      </c>
      <c r="E186" s="40" t="s">
        <v>100</v>
      </c>
      <c r="F186" s="40" t="s">
        <v>100</v>
      </c>
      <c r="G186" s="39" t="s">
        <v>6739</v>
      </c>
      <c r="H186" s="40" t="s">
        <v>103</v>
      </c>
      <c r="I186" s="40" t="s">
        <v>6741</v>
      </c>
      <c r="J186" s="50"/>
      <c r="K186" s="116">
        <f>IFERROR(VLOOKUP(B186,BD_CONTROL!$A$5:$M$4235,11,0),"")</f>
        <v>0</v>
      </c>
      <c r="L186" s="117">
        <f>IFERROR(VLOOKUP(B186,BD_CONTROL!$A$5:$M$4235,12,0),"")</f>
        <v>0</v>
      </c>
      <c r="M186" s="118">
        <f>IFERROR(VLOOKUP(B186,BD_CONTROL!$A$5:$M$4235,13,0),"")</f>
        <v>0</v>
      </c>
    </row>
    <row r="187" spans="1:13" ht="15" customHeight="1">
      <c r="A187" s="42">
        <v>182</v>
      </c>
      <c r="B187" s="42" t="s">
        <v>7379</v>
      </c>
      <c r="C187" s="43" t="s">
        <v>6735</v>
      </c>
      <c r="D187" s="42" t="s">
        <v>99</v>
      </c>
      <c r="E187" s="43" t="s">
        <v>100</v>
      </c>
      <c r="F187" s="43" t="s">
        <v>100</v>
      </c>
      <c r="G187" s="42" t="s">
        <v>6739</v>
      </c>
      <c r="H187" s="43" t="s">
        <v>103</v>
      </c>
      <c r="I187" s="43" t="s">
        <v>6741</v>
      </c>
      <c r="J187" s="55"/>
      <c r="K187" s="119">
        <f>IFERROR(VLOOKUP(B187,BD_CONTROL!$A$5:$M$4235,11,0),"")</f>
        <v>0</v>
      </c>
      <c r="L187" s="120">
        <f>IFERROR(VLOOKUP(B187,BD_CONTROL!$A$5:$M$4235,12,0),"")</f>
        <v>0</v>
      </c>
      <c r="M187" s="121">
        <f>IFERROR(VLOOKUP(B187,BD_CONTROL!$A$5:$M$4235,13,0),"")</f>
        <v>0</v>
      </c>
    </row>
    <row r="188" spans="1:13" ht="15" customHeight="1">
      <c r="A188" s="39">
        <v>183</v>
      </c>
      <c r="B188" s="39" t="s">
        <v>7380</v>
      </c>
      <c r="C188" s="40" t="s">
        <v>6735</v>
      </c>
      <c r="D188" s="39" t="s">
        <v>99</v>
      </c>
      <c r="E188" s="40" t="s">
        <v>100</v>
      </c>
      <c r="F188" s="40" t="s">
        <v>100</v>
      </c>
      <c r="G188" s="39" t="s">
        <v>6739</v>
      </c>
      <c r="H188" s="40" t="s">
        <v>103</v>
      </c>
      <c r="I188" s="40" t="s">
        <v>6741</v>
      </c>
      <c r="J188" s="50"/>
      <c r="K188" s="116" t="str">
        <f>IFERROR(VLOOKUP(B188,BD_CONTROL!$A$5:$M$4235,11,0),"")</f>
        <v>Instalado - Sin Señal</v>
      </c>
      <c r="L188" s="117">
        <f>IFERROR(VLOOKUP(B188,BD_CONTROL!$A$5:$M$4235,12,0),"")</f>
        <v>46146</v>
      </c>
      <c r="M188" s="118" t="str">
        <f>IFERROR(VLOOKUP(B188,BD_CONTROL!$A$5:$M$4235,13,0),"")</f>
        <v>Queda pendiente activación con Mesa de Servicio</v>
      </c>
    </row>
    <row r="189" spans="1:13" ht="15" customHeight="1">
      <c r="A189" s="42">
        <v>184</v>
      </c>
      <c r="B189" s="42" t="s">
        <v>7381</v>
      </c>
      <c r="C189" s="43" t="s">
        <v>6735</v>
      </c>
      <c r="D189" s="42" t="s">
        <v>99</v>
      </c>
      <c r="E189" s="43" t="s">
        <v>100</v>
      </c>
      <c r="F189" s="43" t="s">
        <v>100</v>
      </c>
      <c r="G189" s="42" t="s">
        <v>6739</v>
      </c>
      <c r="H189" s="43" t="s">
        <v>103</v>
      </c>
      <c r="I189" s="43" t="s">
        <v>6741</v>
      </c>
      <c r="J189" s="55"/>
      <c r="K189" s="119" t="str">
        <f>IFERROR(VLOOKUP(B189,BD_CONTROL!$A$5:$M$4235,11,0),"")</f>
        <v>Instalado - Sin Señal</v>
      </c>
      <c r="L189" s="120">
        <f>IFERROR(VLOOKUP(B189,BD_CONTROL!$A$5:$M$4235,12,0),"")</f>
        <v>46147</v>
      </c>
      <c r="M189" s="121" t="str">
        <f>IFERROR(VLOOKUP(B189,BD_CONTROL!$A$5:$M$4235,13,0),"")</f>
        <v>Queda pendiente validación por parte de Mesa de Servicio</v>
      </c>
    </row>
    <row r="190" spans="1:13" ht="15" customHeight="1">
      <c r="A190" s="39">
        <v>185</v>
      </c>
      <c r="B190" s="39" t="s">
        <v>7382</v>
      </c>
      <c r="C190" s="40" t="s">
        <v>6735</v>
      </c>
      <c r="D190" s="39" t="s">
        <v>99</v>
      </c>
      <c r="E190" s="40" t="s">
        <v>100</v>
      </c>
      <c r="F190" s="40" t="s">
        <v>100</v>
      </c>
      <c r="G190" s="39" t="s">
        <v>7383</v>
      </c>
      <c r="H190" s="40" t="s">
        <v>103</v>
      </c>
      <c r="I190" s="40" t="s">
        <v>6741</v>
      </c>
      <c r="J190" s="50"/>
      <c r="K190" s="116">
        <f>IFERROR(VLOOKUP(B190,BD_CONTROL!$A$5:$M$4235,11,0),"")</f>
        <v>0</v>
      </c>
      <c r="L190" s="117">
        <f>IFERROR(VLOOKUP(B190,BD_CONTROL!$A$5:$M$4235,12,0),"")</f>
        <v>0</v>
      </c>
      <c r="M190" s="118">
        <f>IFERROR(VLOOKUP(B190,BD_CONTROL!$A$5:$M$4235,13,0),"")</f>
        <v>0</v>
      </c>
    </row>
    <row r="191" spans="1:13" ht="15" customHeight="1">
      <c r="A191" s="42">
        <v>186</v>
      </c>
      <c r="B191" s="42" t="s">
        <v>7384</v>
      </c>
      <c r="C191" s="43" t="s">
        <v>6735</v>
      </c>
      <c r="D191" s="42" t="s">
        <v>99</v>
      </c>
      <c r="E191" s="43" t="s">
        <v>100</v>
      </c>
      <c r="F191" s="43" t="s">
        <v>100</v>
      </c>
      <c r="G191" s="42" t="s">
        <v>6739</v>
      </c>
      <c r="H191" s="43" t="s">
        <v>103</v>
      </c>
      <c r="I191" s="43" t="s">
        <v>6741</v>
      </c>
      <c r="J191" s="55"/>
      <c r="K191" s="119">
        <f>IFERROR(VLOOKUP(B191,BD_CONTROL!$A$5:$M$4235,11,0),"")</f>
        <v>0</v>
      </c>
      <c r="L191" s="120">
        <f>IFERROR(VLOOKUP(B191,BD_CONTROL!$A$5:$M$4235,12,0),"")</f>
        <v>0</v>
      </c>
      <c r="M191" s="121">
        <f>IFERROR(VLOOKUP(B191,BD_CONTROL!$A$5:$M$4235,13,0),"")</f>
        <v>0</v>
      </c>
    </row>
    <row r="192" spans="1:13" ht="15" customHeight="1">
      <c r="A192" s="39">
        <v>187</v>
      </c>
      <c r="B192" s="39" t="s">
        <v>7385</v>
      </c>
      <c r="C192" s="40" t="s">
        <v>6735</v>
      </c>
      <c r="D192" s="39" t="s">
        <v>99</v>
      </c>
      <c r="E192" s="40" t="s">
        <v>100</v>
      </c>
      <c r="F192" s="40" t="s">
        <v>100</v>
      </c>
      <c r="G192" s="39" t="s">
        <v>6739</v>
      </c>
      <c r="H192" s="40" t="s">
        <v>103</v>
      </c>
      <c r="I192" s="40" t="s">
        <v>6741</v>
      </c>
      <c r="J192" s="50"/>
      <c r="K192" s="116">
        <f>IFERROR(VLOOKUP(B192,BD_CONTROL!$A$5:$M$4235,11,0),"")</f>
        <v>0</v>
      </c>
      <c r="L192" s="117">
        <f>IFERROR(VLOOKUP(B192,BD_CONTROL!$A$5:$M$4235,12,0),"")</f>
        <v>0</v>
      </c>
      <c r="M192" s="118">
        <f>IFERROR(VLOOKUP(B192,BD_CONTROL!$A$5:$M$4235,13,0),"")</f>
        <v>0</v>
      </c>
    </row>
    <row r="193" spans="1:13" ht="15" customHeight="1">
      <c r="A193" s="42">
        <v>188</v>
      </c>
      <c r="B193" s="42" t="s">
        <v>7386</v>
      </c>
      <c r="C193" s="43" t="s">
        <v>6735</v>
      </c>
      <c r="D193" s="42" t="s">
        <v>99</v>
      </c>
      <c r="E193" s="43" t="s">
        <v>144</v>
      </c>
      <c r="F193" s="43" t="s">
        <v>144</v>
      </c>
      <c r="G193" s="42" t="s">
        <v>6739</v>
      </c>
      <c r="H193" s="43" t="s">
        <v>103</v>
      </c>
      <c r="I193" s="43" t="s">
        <v>6741</v>
      </c>
      <c r="J193" s="55"/>
      <c r="K193" s="119">
        <f>IFERROR(VLOOKUP(B193,BD_CONTROL!$A$5:$M$4235,11,0),"")</f>
        <v>0</v>
      </c>
      <c r="L193" s="120">
        <f>IFERROR(VLOOKUP(B193,BD_CONTROL!$A$5:$M$4235,12,0),"")</f>
        <v>0</v>
      </c>
      <c r="M193" s="121">
        <f>IFERROR(VLOOKUP(B193,BD_CONTROL!$A$5:$M$4235,13,0),"")</f>
        <v>0</v>
      </c>
    </row>
    <row r="194" spans="1:13" ht="15" customHeight="1">
      <c r="A194" s="39">
        <v>189</v>
      </c>
      <c r="B194" s="39" t="s">
        <v>7387</v>
      </c>
      <c r="C194" s="40" t="s">
        <v>6735</v>
      </c>
      <c r="D194" s="39" t="s">
        <v>99</v>
      </c>
      <c r="E194" s="40" t="s">
        <v>144</v>
      </c>
      <c r="F194" s="40" t="s">
        <v>7388</v>
      </c>
      <c r="G194" s="39" t="s">
        <v>6739</v>
      </c>
      <c r="H194" s="40" t="s">
        <v>103</v>
      </c>
      <c r="I194" s="40" t="s">
        <v>6741</v>
      </c>
      <c r="J194" s="50"/>
      <c r="K194" s="116">
        <f>IFERROR(VLOOKUP(B194,BD_CONTROL!$A$5:$M$4235,11,0),"")</f>
        <v>0</v>
      </c>
      <c r="L194" s="117">
        <f>IFERROR(VLOOKUP(B194,BD_CONTROL!$A$5:$M$4235,12,0),"")</f>
        <v>0</v>
      </c>
      <c r="M194" s="118">
        <f>IFERROR(VLOOKUP(B194,BD_CONTROL!$A$5:$M$4235,13,0),"")</f>
        <v>0</v>
      </c>
    </row>
    <row r="195" spans="1:13" ht="15" customHeight="1">
      <c r="A195" s="42">
        <v>190</v>
      </c>
      <c r="B195" s="42" t="s">
        <v>7389</v>
      </c>
      <c r="C195" s="43" t="s">
        <v>6735</v>
      </c>
      <c r="D195" s="42" t="s">
        <v>99</v>
      </c>
      <c r="E195" s="43" t="s">
        <v>107</v>
      </c>
      <c r="F195" s="43" t="s">
        <v>107</v>
      </c>
      <c r="G195" s="42" t="s">
        <v>6739</v>
      </c>
      <c r="H195" s="43" t="s">
        <v>103</v>
      </c>
      <c r="I195" s="43" t="s">
        <v>6741</v>
      </c>
      <c r="J195" s="55"/>
      <c r="K195" s="119">
        <f>IFERROR(VLOOKUP(B195,BD_CONTROL!$A$5:$M$4235,11,0),"")</f>
        <v>0</v>
      </c>
      <c r="L195" s="120">
        <f>IFERROR(VLOOKUP(B195,BD_CONTROL!$A$5:$M$4235,12,0),"")</f>
        <v>0</v>
      </c>
      <c r="M195" s="121">
        <f>IFERROR(VLOOKUP(B195,BD_CONTROL!$A$5:$M$4235,13,0),"")</f>
        <v>0</v>
      </c>
    </row>
    <row r="196" spans="1:13" ht="15" customHeight="1">
      <c r="A196" s="39">
        <v>191</v>
      </c>
      <c r="B196" s="39" t="s">
        <v>7390</v>
      </c>
      <c r="C196" s="40" t="s">
        <v>6735</v>
      </c>
      <c r="D196" s="39" t="s">
        <v>99</v>
      </c>
      <c r="E196" s="40" t="s">
        <v>107</v>
      </c>
      <c r="F196" s="40" t="s">
        <v>107</v>
      </c>
      <c r="G196" s="39" t="s">
        <v>6739</v>
      </c>
      <c r="H196" s="40" t="s">
        <v>103</v>
      </c>
      <c r="I196" s="40" t="s">
        <v>6741</v>
      </c>
      <c r="J196" s="50"/>
      <c r="K196" s="116">
        <f>IFERROR(VLOOKUP(B196,BD_CONTROL!$A$5:$M$4235,11,0),"")</f>
        <v>0</v>
      </c>
      <c r="L196" s="117">
        <f>IFERROR(VLOOKUP(B196,BD_CONTROL!$A$5:$M$4235,12,0),"")</f>
        <v>0</v>
      </c>
      <c r="M196" s="118">
        <f>IFERROR(VLOOKUP(B196,BD_CONTROL!$A$5:$M$4235,13,0),"")</f>
        <v>0</v>
      </c>
    </row>
    <row r="197" spans="1:13" ht="15" customHeight="1">
      <c r="A197" s="42">
        <v>192</v>
      </c>
      <c r="B197" s="42" t="s">
        <v>7391</v>
      </c>
      <c r="C197" s="43" t="s">
        <v>6735</v>
      </c>
      <c r="D197" s="42" t="s">
        <v>99</v>
      </c>
      <c r="E197" s="43" t="s">
        <v>147</v>
      </c>
      <c r="F197" s="43" t="s">
        <v>147</v>
      </c>
      <c r="G197" s="42" t="s">
        <v>6739</v>
      </c>
      <c r="H197" s="43" t="s">
        <v>103</v>
      </c>
      <c r="I197" s="43" t="s">
        <v>6741</v>
      </c>
      <c r="J197" s="55"/>
      <c r="K197" s="119">
        <f>IFERROR(VLOOKUP(B197,BD_CONTROL!$A$5:$M$4235,11,0),"")</f>
        <v>0</v>
      </c>
      <c r="L197" s="120">
        <f>IFERROR(VLOOKUP(B197,BD_CONTROL!$A$5:$M$4235,12,0),"")</f>
        <v>0</v>
      </c>
      <c r="M197" s="121">
        <f>IFERROR(VLOOKUP(B197,BD_CONTROL!$A$5:$M$4235,13,0),"")</f>
        <v>0</v>
      </c>
    </row>
    <row r="198" spans="1:13" ht="15" customHeight="1">
      <c r="A198" s="39">
        <v>193</v>
      </c>
      <c r="B198" s="39" t="s">
        <v>7392</v>
      </c>
      <c r="C198" s="40" t="s">
        <v>6735</v>
      </c>
      <c r="D198" s="39" t="s">
        <v>99</v>
      </c>
      <c r="E198" s="40" t="s">
        <v>147</v>
      </c>
      <c r="F198" s="40" t="s">
        <v>147</v>
      </c>
      <c r="G198" s="39" t="s">
        <v>6739</v>
      </c>
      <c r="H198" s="40" t="s">
        <v>103</v>
      </c>
      <c r="I198" s="40" t="s">
        <v>6741</v>
      </c>
      <c r="J198" s="50"/>
      <c r="K198" s="116">
        <f>IFERROR(VLOOKUP(B198,BD_CONTROL!$A$5:$M$4235,11,0),"")</f>
        <v>0</v>
      </c>
      <c r="L198" s="117">
        <f>IFERROR(VLOOKUP(B198,BD_CONTROL!$A$5:$M$4235,12,0),"")</f>
        <v>0</v>
      </c>
      <c r="M198" s="118">
        <f>IFERROR(VLOOKUP(B198,BD_CONTROL!$A$5:$M$4235,13,0),"")</f>
        <v>0</v>
      </c>
    </row>
    <row r="199" spans="1:13" ht="15" customHeight="1">
      <c r="A199" s="42">
        <v>194</v>
      </c>
      <c r="B199" s="42" t="s">
        <v>7393</v>
      </c>
      <c r="C199" s="43" t="s">
        <v>6735</v>
      </c>
      <c r="D199" s="42" t="s">
        <v>99</v>
      </c>
      <c r="E199" s="43" t="s">
        <v>100</v>
      </c>
      <c r="F199" s="43" t="s">
        <v>100</v>
      </c>
      <c r="G199" s="42" t="s">
        <v>6739</v>
      </c>
      <c r="H199" s="43" t="s">
        <v>103</v>
      </c>
      <c r="I199" s="43" t="s">
        <v>6741</v>
      </c>
      <c r="J199" s="55"/>
      <c r="K199" s="119">
        <f>IFERROR(VLOOKUP(B199,BD_CONTROL!$A$5:$M$4235,11,0),"")</f>
        <v>0</v>
      </c>
      <c r="L199" s="120">
        <f>IFERROR(VLOOKUP(B199,BD_CONTROL!$A$5:$M$4235,12,0),"")</f>
        <v>0</v>
      </c>
      <c r="M199" s="121">
        <f>IFERROR(VLOOKUP(B199,BD_CONTROL!$A$5:$M$4235,13,0),"")</f>
        <v>0</v>
      </c>
    </row>
    <row r="200" spans="1:13" ht="15" customHeight="1">
      <c r="A200" s="39">
        <v>195</v>
      </c>
      <c r="B200" s="39" t="s">
        <v>7394</v>
      </c>
      <c r="C200" s="40" t="s">
        <v>6735</v>
      </c>
      <c r="D200" s="39" t="s">
        <v>99</v>
      </c>
      <c r="E200" s="40" t="s">
        <v>100</v>
      </c>
      <c r="F200" s="40" t="s">
        <v>100</v>
      </c>
      <c r="G200" s="39" t="s">
        <v>6739</v>
      </c>
      <c r="H200" s="40" t="s">
        <v>103</v>
      </c>
      <c r="I200" s="40" t="s">
        <v>6741</v>
      </c>
      <c r="J200" s="50"/>
      <c r="K200" s="116">
        <f>IFERROR(VLOOKUP(B200,BD_CONTROL!$A$5:$M$4235,11,0),"")</f>
        <v>0</v>
      </c>
      <c r="L200" s="117">
        <f>IFERROR(VLOOKUP(B200,BD_CONTROL!$A$5:$M$4235,12,0),"")</f>
        <v>0</v>
      </c>
      <c r="M200" s="118">
        <f>IFERROR(VLOOKUP(B200,BD_CONTROL!$A$5:$M$4235,13,0),"")</f>
        <v>0</v>
      </c>
    </row>
    <row r="201" spans="1:13" ht="15" customHeight="1">
      <c r="A201" s="42">
        <v>196</v>
      </c>
      <c r="B201" s="42" t="s">
        <v>7395</v>
      </c>
      <c r="C201" s="43" t="s">
        <v>6735</v>
      </c>
      <c r="D201" s="42" t="s">
        <v>99</v>
      </c>
      <c r="E201" s="43" t="s">
        <v>100</v>
      </c>
      <c r="F201" s="43" t="s">
        <v>100</v>
      </c>
      <c r="G201" s="42" t="s">
        <v>6739</v>
      </c>
      <c r="H201" s="43" t="s">
        <v>103</v>
      </c>
      <c r="I201" s="43" t="s">
        <v>6741</v>
      </c>
      <c r="J201" s="55"/>
      <c r="K201" s="119">
        <f>IFERROR(VLOOKUP(B201,BD_CONTROL!$A$5:$M$4235,11,0),"")</f>
        <v>0</v>
      </c>
      <c r="L201" s="120">
        <f>IFERROR(VLOOKUP(B201,BD_CONTROL!$A$5:$M$4235,12,0),"")</f>
        <v>0</v>
      </c>
      <c r="M201" s="121">
        <f>IFERROR(VLOOKUP(B201,BD_CONTROL!$A$5:$M$4235,13,0),"")</f>
        <v>0</v>
      </c>
    </row>
    <row r="202" spans="1:13" ht="15" customHeight="1">
      <c r="A202" s="39">
        <v>197</v>
      </c>
      <c r="B202" s="39" t="s">
        <v>7396</v>
      </c>
      <c r="C202" s="40" t="s">
        <v>6735</v>
      </c>
      <c r="D202" s="39" t="s">
        <v>99</v>
      </c>
      <c r="E202" s="40" t="s">
        <v>100</v>
      </c>
      <c r="F202" s="40" t="s">
        <v>100</v>
      </c>
      <c r="G202" s="39" t="s">
        <v>6739</v>
      </c>
      <c r="H202" s="40" t="s">
        <v>103</v>
      </c>
      <c r="I202" s="40" t="s">
        <v>6741</v>
      </c>
      <c r="J202" s="50"/>
      <c r="K202" s="116">
        <f>IFERROR(VLOOKUP(B202,BD_CONTROL!$A$5:$M$4235,11,0),"")</f>
        <v>0</v>
      </c>
      <c r="L202" s="117">
        <f>IFERROR(VLOOKUP(B202,BD_CONTROL!$A$5:$M$4235,12,0),"")</f>
        <v>0</v>
      </c>
      <c r="M202" s="118">
        <f>IFERROR(VLOOKUP(B202,BD_CONTROL!$A$5:$M$4235,13,0),"")</f>
        <v>0</v>
      </c>
    </row>
    <row r="203" spans="1:13" ht="15" customHeight="1">
      <c r="A203" s="42">
        <v>198</v>
      </c>
      <c r="B203" s="42" t="s">
        <v>7397</v>
      </c>
      <c r="C203" s="43" t="s">
        <v>6735</v>
      </c>
      <c r="D203" s="42" t="s">
        <v>99</v>
      </c>
      <c r="E203" s="43" t="s">
        <v>100</v>
      </c>
      <c r="F203" s="43" t="s">
        <v>100</v>
      </c>
      <c r="G203" s="42" t="s">
        <v>6739</v>
      </c>
      <c r="H203" s="43" t="s">
        <v>103</v>
      </c>
      <c r="I203" s="43" t="s">
        <v>6741</v>
      </c>
      <c r="J203" s="55"/>
      <c r="K203" s="119">
        <f>IFERROR(VLOOKUP(B203,BD_CONTROL!$A$5:$M$4235,11,0),"")</f>
        <v>0</v>
      </c>
      <c r="L203" s="120">
        <f>IFERROR(VLOOKUP(B203,BD_CONTROL!$A$5:$M$4235,12,0),"")</f>
        <v>0</v>
      </c>
      <c r="M203" s="121">
        <f>IFERROR(VLOOKUP(B203,BD_CONTROL!$A$5:$M$4235,13,0),"")</f>
        <v>0</v>
      </c>
    </row>
    <row r="204" spans="1:13" ht="15" customHeight="1">
      <c r="A204" s="39">
        <v>199</v>
      </c>
      <c r="B204" s="39" t="s">
        <v>7398</v>
      </c>
      <c r="C204" s="40" t="s">
        <v>6735</v>
      </c>
      <c r="D204" s="39" t="s">
        <v>99</v>
      </c>
      <c r="E204" s="40" t="s">
        <v>100</v>
      </c>
      <c r="F204" s="40" t="s">
        <v>100</v>
      </c>
      <c r="G204" s="39" t="s">
        <v>6739</v>
      </c>
      <c r="H204" s="40" t="s">
        <v>103</v>
      </c>
      <c r="I204" s="40" t="s">
        <v>6741</v>
      </c>
      <c r="J204" s="50"/>
      <c r="K204" s="116">
        <f>IFERROR(VLOOKUP(B204,BD_CONTROL!$A$5:$M$4235,11,0),"")</f>
        <v>0</v>
      </c>
      <c r="L204" s="117">
        <f>IFERROR(VLOOKUP(B204,BD_CONTROL!$A$5:$M$4235,12,0),"")</f>
        <v>0</v>
      </c>
      <c r="M204" s="118">
        <f>IFERROR(VLOOKUP(B204,BD_CONTROL!$A$5:$M$4235,13,0),"")</f>
        <v>0</v>
      </c>
    </row>
    <row r="205" spans="1:13" ht="15" customHeight="1">
      <c r="A205" s="42">
        <v>200</v>
      </c>
      <c r="B205" s="42" t="s">
        <v>7399</v>
      </c>
      <c r="C205" s="43" t="s">
        <v>6735</v>
      </c>
      <c r="D205" s="42" t="s">
        <v>99</v>
      </c>
      <c r="E205" s="43" t="s">
        <v>100</v>
      </c>
      <c r="F205" s="43" t="s">
        <v>100</v>
      </c>
      <c r="G205" s="42" t="s">
        <v>6739</v>
      </c>
      <c r="H205" s="43" t="s">
        <v>103</v>
      </c>
      <c r="I205" s="43" t="s">
        <v>6741</v>
      </c>
      <c r="J205" s="55"/>
      <c r="K205" s="119">
        <f>IFERROR(VLOOKUP(B205,BD_CONTROL!$A$5:$M$4235,11,0),"")</f>
        <v>0</v>
      </c>
      <c r="L205" s="120">
        <f>IFERROR(VLOOKUP(B205,BD_CONTROL!$A$5:$M$4235,12,0),"")</f>
        <v>0</v>
      </c>
      <c r="M205" s="121">
        <f>IFERROR(VLOOKUP(B205,BD_CONTROL!$A$5:$M$4235,13,0),"")</f>
        <v>0</v>
      </c>
    </row>
    <row r="206" spans="1:13" ht="15" customHeight="1">
      <c r="A206" s="39">
        <v>201</v>
      </c>
      <c r="B206" s="39" t="s">
        <v>7400</v>
      </c>
      <c r="C206" s="40" t="s">
        <v>6735</v>
      </c>
      <c r="D206" s="39" t="s">
        <v>99</v>
      </c>
      <c r="E206" s="40" t="s">
        <v>100</v>
      </c>
      <c r="F206" s="40" t="s">
        <v>100</v>
      </c>
      <c r="G206" s="39" t="s">
        <v>6739</v>
      </c>
      <c r="H206" s="40" t="s">
        <v>103</v>
      </c>
      <c r="I206" s="40" t="s">
        <v>6741</v>
      </c>
      <c r="J206" s="50"/>
      <c r="K206" s="116">
        <f>IFERROR(VLOOKUP(B206,BD_CONTROL!$A$5:$M$4235,11,0),"")</f>
        <v>0</v>
      </c>
      <c r="L206" s="117">
        <f>IFERROR(VLOOKUP(B206,BD_CONTROL!$A$5:$M$4235,12,0),"")</f>
        <v>0</v>
      </c>
      <c r="M206" s="118">
        <f>IFERROR(VLOOKUP(B206,BD_CONTROL!$A$5:$M$4235,13,0),"")</f>
        <v>0</v>
      </c>
    </row>
    <row r="207" spans="1:13" ht="15" customHeight="1">
      <c r="A207" s="42">
        <v>202</v>
      </c>
      <c r="B207" s="42" t="s">
        <v>7401</v>
      </c>
      <c r="C207" s="43" t="s">
        <v>6735</v>
      </c>
      <c r="D207" s="42" t="s">
        <v>99</v>
      </c>
      <c r="E207" s="43" t="s">
        <v>100</v>
      </c>
      <c r="F207" s="43" t="s">
        <v>100</v>
      </c>
      <c r="G207" s="42" t="s">
        <v>6739</v>
      </c>
      <c r="H207" s="43" t="s">
        <v>103</v>
      </c>
      <c r="I207" s="43" t="s">
        <v>6741</v>
      </c>
      <c r="J207" s="55"/>
      <c r="K207" s="119">
        <f>IFERROR(VLOOKUP(B207,BD_CONTROL!$A$5:$M$4235,11,0),"")</f>
        <v>0</v>
      </c>
      <c r="L207" s="120">
        <f>IFERROR(VLOOKUP(B207,BD_CONTROL!$A$5:$M$4235,12,0),"")</f>
        <v>0</v>
      </c>
      <c r="M207" s="121">
        <f>IFERROR(VLOOKUP(B207,BD_CONTROL!$A$5:$M$4235,13,0),"")</f>
        <v>0</v>
      </c>
    </row>
    <row r="208" spans="1:13" ht="15" customHeight="1">
      <c r="A208" s="39">
        <v>203</v>
      </c>
      <c r="B208" s="39" t="s">
        <v>7402</v>
      </c>
      <c r="C208" s="40" t="s">
        <v>6735</v>
      </c>
      <c r="D208" s="39" t="s">
        <v>99</v>
      </c>
      <c r="E208" s="40" t="s">
        <v>100</v>
      </c>
      <c r="F208" s="40" t="s">
        <v>100</v>
      </c>
      <c r="G208" s="39" t="s">
        <v>6739</v>
      </c>
      <c r="H208" s="40" t="s">
        <v>103</v>
      </c>
      <c r="I208" s="40" t="s">
        <v>6741</v>
      </c>
      <c r="J208" s="50"/>
      <c r="K208" s="116">
        <f>IFERROR(VLOOKUP(B208,BD_CONTROL!$A$5:$M$4235,11,0),"")</f>
        <v>0</v>
      </c>
      <c r="L208" s="117">
        <f>IFERROR(VLOOKUP(B208,BD_CONTROL!$A$5:$M$4235,12,0),"")</f>
        <v>0</v>
      </c>
      <c r="M208" s="118">
        <f>IFERROR(VLOOKUP(B208,BD_CONTROL!$A$5:$M$4235,13,0),"")</f>
        <v>0</v>
      </c>
    </row>
    <row r="209" spans="1:13" ht="15" customHeight="1">
      <c r="A209" s="42">
        <v>204</v>
      </c>
      <c r="B209" s="42" t="s">
        <v>7403</v>
      </c>
      <c r="C209" s="43" t="s">
        <v>6735</v>
      </c>
      <c r="D209" s="42" t="s">
        <v>99</v>
      </c>
      <c r="E209" s="43" t="s">
        <v>100</v>
      </c>
      <c r="F209" s="43" t="s">
        <v>100</v>
      </c>
      <c r="G209" s="42" t="s">
        <v>6739</v>
      </c>
      <c r="H209" s="43" t="s">
        <v>103</v>
      </c>
      <c r="I209" s="43" t="s">
        <v>6741</v>
      </c>
      <c r="J209" s="55"/>
      <c r="K209" s="119">
        <f>IFERROR(VLOOKUP(B209,BD_CONTROL!$A$5:$M$4235,11,0),"")</f>
        <v>0</v>
      </c>
      <c r="L209" s="120">
        <f>IFERROR(VLOOKUP(B209,BD_CONTROL!$A$5:$M$4235,12,0),"")</f>
        <v>0</v>
      </c>
      <c r="M209" s="121">
        <f>IFERROR(VLOOKUP(B209,BD_CONTROL!$A$5:$M$4235,13,0),"")</f>
        <v>0</v>
      </c>
    </row>
    <row r="210" spans="1:13" ht="15" customHeight="1">
      <c r="A210" s="39">
        <v>205</v>
      </c>
      <c r="B210" s="39" t="s">
        <v>7404</v>
      </c>
      <c r="C210" s="40" t="s">
        <v>6735</v>
      </c>
      <c r="D210" s="39" t="s">
        <v>99</v>
      </c>
      <c r="E210" s="40" t="s">
        <v>100</v>
      </c>
      <c r="F210" s="40" t="s">
        <v>100</v>
      </c>
      <c r="G210" s="39" t="s">
        <v>6739</v>
      </c>
      <c r="H210" s="40" t="s">
        <v>103</v>
      </c>
      <c r="I210" s="40" t="s">
        <v>6741</v>
      </c>
      <c r="J210" s="50"/>
      <c r="K210" s="116" t="str">
        <f>IFERROR(VLOOKUP(B210,BD_CONTROL!$A$5:$M$4235,11,0),"")</f>
        <v>Instalado - Operando</v>
      </c>
      <c r="L210" s="117">
        <f>IFERROR(VLOOKUP(B210,BD_CONTROL!$A$5:$M$4235,12,0),"")</f>
        <v>46148</v>
      </c>
      <c r="M210" s="118">
        <f>IFERROR(VLOOKUP(B210,BD_CONTROL!$A$5:$M$4235,13,0),"")</f>
        <v>0</v>
      </c>
    </row>
    <row r="211" spans="1:13" ht="15" customHeight="1">
      <c r="A211" s="42">
        <v>206</v>
      </c>
      <c r="B211" s="42" t="s">
        <v>7405</v>
      </c>
      <c r="C211" s="43" t="s">
        <v>6735</v>
      </c>
      <c r="D211" s="42" t="s">
        <v>99</v>
      </c>
      <c r="E211" s="43" t="s">
        <v>100</v>
      </c>
      <c r="F211" s="43" t="s">
        <v>100</v>
      </c>
      <c r="G211" s="42" t="s">
        <v>6739</v>
      </c>
      <c r="H211" s="43" t="s">
        <v>103</v>
      </c>
      <c r="I211" s="43" t="s">
        <v>6741</v>
      </c>
      <c r="J211" s="55"/>
      <c r="K211" s="119">
        <f>IFERROR(VLOOKUP(B211,BD_CONTROL!$A$5:$M$4235,11,0),"")</f>
        <v>0</v>
      </c>
      <c r="L211" s="120">
        <f>IFERROR(VLOOKUP(B211,BD_CONTROL!$A$5:$M$4235,12,0),"")</f>
        <v>0</v>
      </c>
      <c r="M211" s="121">
        <f>IFERROR(VLOOKUP(B211,BD_CONTROL!$A$5:$M$4235,13,0),"")</f>
        <v>0</v>
      </c>
    </row>
    <row r="212" spans="1:13" ht="15" customHeight="1">
      <c r="A212" s="39">
        <v>207</v>
      </c>
      <c r="B212" s="39" t="s">
        <v>7406</v>
      </c>
      <c r="C212" s="40" t="s">
        <v>6735</v>
      </c>
      <c r="D212" s="39" t="s">
        <v>99</v>
      </c>
      <c r="E212" s="40" t="s">
        <v>147</v>
      </c>
      <c r="F212" s="40" t="s">
        <v>147</v>
      </c>
      <c r="G212" s="39" t="s">
        <v>6739</v>
      </c>
      <c r="H212" s="40" t="s">
        <v>103</v>
      </c>
      <c r="I212" s="40" t="s">
        <v>6741</v>
      </c>
      <c r="J212" s="50"/>
      <c r="K212" s="116">
        <f>IFERROR(VLOOKUP(B212,BD_CONTROL!$A$5:$M$4235,11,0),"")</f>
        <v>0</v>
      </c>
      <c r="L212" s="117">
        <f>IFERROR(VLOOKUP(B212,BD_CONTROL!$A$5:$M$4235,12,0),"")</f>
        <v>0</v>
      </c>
      <c r="M212" s="118">
        <f>IFERROR(VLOOKUP(B212,BD_CONTROL!$A$5:$M$4235,13,0),"")</f>
        <v>0</v>
      </c>
    </row>
    <row r="213" spans="1:13" ht="15" customHeight="1">
      <c r="A213" s="42">
        <v>208</v>
      </c>
      <c r="B213" s="42" t="s">
        <v>7407</v>
      </c>
      <c r="C213" s="43" t="s">
        <v>6735</v>
      </c>
      <c r="D213" s="42" t="s">
        <v>99</v>
      </c>
      <c r="E213" s="43" t="s">
        <v>100</v>
      </c>
      <c r="F213" s="43" t="s">
        <v>100</v>
      </c>
      <c r="G213" s="42" t="s">
        <v>6739</v>
      </c>
      <c r="H213" s="43" t="s">
        <v>103</v>
      </c>
      <c r="I213" s="43" t="s">
        <v>6741</v>
      </c>
      <c r="J213" s="55"/>
      <c r="K213" s="119">
        <f>IFERROR(VLOOKUP(B213,BD_CONTROL!$A$5:$M$4235,11,0),"")</f>
        <v>0</v>
      </c>
      <c r="L213" s="120">
        <f>IFERROR(VLOOKUP(B213,BD_CONTROL!$A$5:$M$4235,12,0),"")</f>
        <v>0</v>
      </c>
      <c r="M213" s="121">
        <f>IFERROR(VLOOKUP(B213,BD_CONTROL!$A$5:$M$4235,13,0),"")</f>
        <v>0</v>
      </c>
    </row>
    <row r="214" spans="1:13" ht="15" customHeight="1">
      <c r="A214" s="39">
        <v>209</v>
      </c>
      <c r="B214" s="39" t="s">
        <v>7408</v>
      </c>
      <c r="C214" s="40" t="s">
        <v>6735</v>
      </c>
      <c r="D214" s="39" t="s">
        <v>99</v>
      </c>
      <c r="E214" s="40" t="s">
        <v>100</v>
      </c>
      <c r="F214" s="40" t="s">
        <v>100</v>
      </c>
      <c r="G214" s="39" t="s">
        <v>6739</v>
      </c>
      <c r="H214" s="40" t="s">
        <v>103</v>
      </c>
      <c r="I214" s="40" t="s">
        <v>6741</v>
      </c>
      <c r="J214" s="50"/>
      <c r="K214" s="116">
        <f>IFERROR(VLOOKUP(B214,BD_CONTROL!$A$5:$M$4235,11,0),"")</f>
        <v>0</v>
      </c>
      <c r="L214" s="117">
        <f>IFERROR(VLOOKUP(B214,BD_CONTROL!$A$5:$M$4235,12,0),"")</f>
        <v>0</v>
      </c>
      <c r="M214" s="118">
        <f>IFERROR(VLOOKUP(B214,BD_CONTROL!$A$5:$M$4235,13,0),"")</f>
        <v>0</v>
      </c>
    </row>
    <row r="215" spans="1:13" ht="15" customHeight="1">
      <c r="A215" s="42">
        <v>210</v>
      </c>
      <c r="B215" s="42" t="s">
        <v>7409</v>
      </c>
      <c r="C215" s="43" t="s">
        <v>6735</v>
      </c>
      <c r="D215" s="42" t="s">
        <v>99</v>
      </c>
      <c r="E215" s="43" t="s">
        <v>107</v>
      </c>
      <c r="F215" s="43" t="s">
        <v>107</v>
      </c>
      <c r="G215" s="42" t="s">
        <v>6739</v>
      </c>
      <c r="H215" s="43" t="s">
        <v>103</v>
      </c>
      <c r="I215" s="43" t="s">
        <v>6741</v>
      </c>
      <c r="J215" s="55"/>
      <c r="K215" s="119">
        <f>IFERROR(VLOOKUP(B215,BD_CONTROL!$A$5:$M$4235,11,0),"")</f>
        <v>0</v>
      </c>
      <c r="L215" s="120">
        <f>IFERROR(VLOOKUP(B215,BD_CONTROL!$A$5:$M$4235,12,0),"")</f>
        <v>0</v>
      </c>
      <c r="M215" s="121">
        <f>IFERROR(VLOOKUP(B215,BD_CONTROL!$A$5:$M$4235,13,0),"")</f>
        <v>0</v>
      </c>
    </row>
    <row r="216" spans="1:13" ht="15" customHeight="1">
      <c r="A216" s="39">
        <v>211</v>
      </c>
      <c r="B216" s="39" t="s">
        <v>7410</v>
      </c>
      <c r="C216" s="40" t="s">
        <v>6735</v>
      </c>
      <c r="D216" s="39" t="s">
        <v>99</v>
      </c>
      <c r="E216" s="40" t="s">
        <v>100</v>
      </c>
      <c r="F216" s="40" t="s">
        <v>100</v>
      </c>
      <c r="G216" s="39" t="s">
        <v>6739</v>
      </c>
      <c r="H216" s="40" t="s">
        <v>103</v>
      </c>
      <c r="I216" s="40" t="s">
        <v>6741</v>
      </c>
      <c r="J216" s="50"/>
      <c r="K216" s="116">
        <f>IFERROR(VLOOKUP(B216,BD_CONTROL!$A$5:$M$4235,11,0),"")</f>
        <v>0</v>
      </c>
      <c r="L216" s="117">
        <f>IFERROR(VLOOKUP(B216,BD_CONTROL!$A$5:$M$4235,12,0),"")</f>
        <v>0</v>
      </c>
      <c r="M216" s="118">
        <f>IFERROR(VLOOKUP(B216,BD_CONTROL!$A$5:$M$4235,13,0),"")</f>
        <v>0</v>
      </c>
    </row>
    <row r="217" spans="1:13" ht="15" customHeight="1">
      <c r="A217" s="42">
        <v>212</v>
      </c>
      <c r="B217" s="42" t="s">
        <v>7411</v>
      </c>
      <c r="C217" s="43" t="s">
        <v>6735</v>
      </c>
      <c r="D217" s="42" t="s">
        <v>99</v>
      </c>
      <c r="E217" s="43" t="s">
        <v>107</v>
      </c>
      <c r="F217" s="43" t="s">
        <v>107</v>
      </c>
      <c r="G217" s="42" t="s">
        <v>6739</v>
      </c>
      <c r="H217" s="43" t="s">
        <v>103</v>
      </c>
      <c r="I217" s="43" t="s">
        <v>6741</v>
      </c>
      <c r="J217" s="55"/>
      <c r="K217" s="119">
        <f>IFERROR(VLOOKUP(B217,BD_CONTROL!$A$5:$M$4235,11,0),"")</f>
        <v>0</v>
      </c>
      <c r="L217" s="120">
        <f>IFERROR(VLOOKUP(B217,BD_CONTROL!$A$5:$M$4235,12,0),"")</f>
        <v>0</v>
      </c>
      <c r="M217" s="121">
        <f>IFERROR(VLOOKUP(B217,BD_CONTROL!$A$5:$M$4235,13,0),"")</f>
        <v>0</v>
      </c>
    </row>
    <row r="218" spans="1:13" ht="15" customHeight="1">
      <c r="A218" s="39">
        <v>213</v>
      </c>
      <c r="B218" s="39" t="s">
        <v>7412</v>
      </c>
      <c r="C218" s="40" t="s">
        <v>6735</v>
      </c>
      <c r="D218" s="39" t="s">
        <v>99</v>
      </c>
      <c r="E218" s="40" t="s">
        <v>100</v>
      </c>
      <c r="F218" s="40" t="s">
        <v>100</v>
      </c>
      <c r="G218" s="39" t="s">
        <v>6739</v>
      </c>
      <c r="H218" s="40" t="s">
        <v>103</v>
      </c>
      <c r="I218" s="40" t="s">
        <v>6741</v>
      </c>
      <c r="J218" s="50"/>
      <c r="K218" s="116">
        <f>IFERROR(VLOOKUP(B218,BD_CONTROL!$A$5:$M$4235,11,0),"")</f>
        <v>0</v>
      </c>
      <c r="L218" s="117">
        <f>IFERROR(VLOOKUP(B218,BD_CONTROL!$A$5:$M$4235,12,0),"")</f>
        <v>0</v>
      </c>
      <c r="M218" s="118">
        <f>IFERROR(VLOOKUP(B218,BD_CONTROL!$A$5:$M$4235,13,0),"")</f>
        <v>0</v>
      </c>
    </row>
    <row r="219" spans="1:13" ht="15" customHeight="1">
      <c r="A219" s="42">
        <v>214</v>
      </c>
      <c r="B219" s="42" t="s">
        <v>7413</v>
      </c>
      <c r="C219" s="43" t="s">
        <v>6735</v>
      </c>
      <c r="D219" s="42" t="s">
        <v>99</v>
      </c>
      <c r="E219" s="43" t="s">
        <v>100</v>
      </c>
      <c r="F219" s="43" t="s">
        <v>100</v>
      </c>
      <c r="G219" s="42" t="s">
        <v>6739</v>
      </c>
      <c r="H219" s="43" t="s">
        <v>103</v>
      </c>
      <c r="I219" s="43" t="s">
        <v>6741</v>
      </c>
      <c r="J219" s="55"/>
      <c r="K219" s="119">
        <f>IFERROR(VLOOKUP(B219,BD_CONTROL!$A$5:$M$4235,11,0),"")</f>
        <v>0</v>
      </c>
      <c r="L219" s="120">
        <f>IFERROR(VLOOKUP(B219,BD_CONTROL!$A$5:$M$4235,12,0),"")</f>
        <v>0</v>
      </c>
      <c r="M219" s="121">
        <f>IFERROR(VLOOKUP(B219,BD_CONTROL!$A$5:$M$4235,13,0),"")</f>
        <v>0</v>
      </c>
    </row>
    <row r="220" spans="1:13" ht="15" customHeight="1">
      <c r="A220" s="39">
        <v>215</v>
      </c>
      <c r="B220" s="39" t="s">
        <v>7414</v>
      </c>
      <c r="C220" s="40" t="s">
        <v>6735</v>
      </c>
      <c r="D220" s="39" t="s">
        <v>99</v>
      </c>
      <c r="E220" s="40" t="s">
        <v>100</v>
      </c>
      <c r="F220" s="40" t="s">
        <v>100</v>
      </c>
      <c r="G220" s="39" t="s">
        <v>6739</v>
      </c>
      <c r="H220" s="40" t="s">
        <v>103</v>
      </c>
      <c r="I220" s="40" t="s">
        <v>6741</v>
      </c>
      <c r="J220" s="50"/>
      <c r="K220" s="116">
        <f>IFERROR(VLOOKUP(B220,BD_CONTROL!$A$5:$M$4235,11,0),"")</f>
        <v>0</v>
      </c>
      <c r="L220" s="117">
        <f>IFERROR(VLOOKUP(B220,BD_CONTROL!$A$5:$M$4235,12,0),"")</f>
        <v>0</v>
      </c>
      <c r="M220" s="118">
        <f>IFERROR(VLOOKUP(B220,BD_CONTROL!$A$5:$M$4235,13,0),"")</f>
        <v>0</v>
      </c>
    </row>
    <row r="221" spans="1:13" ht="15" customHeight="1">
      <c r="A221" s="42">
        <v>216</v>
      </c>
      <c r="B221" s="42" t="s">
        <v>7415</v>
      </c>
      <c r="C221" s="43" t="s">
        <v>6735</v>
      </c>
      <c r="D221" s="42" t="s">
        <v>99</v>
      </c>
      <c r="E221" s="43" t="s">
        <v>147</v>
      </c>
      <c r="F221" s="43" t="s">
        <v>147</v>
      </c>
      <c r="G221" s="42" t="s">
        <v>6739</v>
      </c>
      <c r="H221" s="43" t="s">
        <v>103</v>
      </c>
      <c r="I221" s="43" t="s">
        <v>6741</v>
      </c>
      <c r="J221" s="55"/>
      <c r="K221" s="119" t="str">
        <f>IFERROR(VLOOKUP(B221,BD_CONTROL!$A$5:$M$4235,11,0),"")</f>
        <v>Instalado - Operando</v>
      </c>
      <c r="L221" s="120">
        <f>IFERROR(VLOOKUP(B221,BD_CONTROL!$A$5:$M$4235,12,0),"")</f>
        <v>46148</v>
      </c>
      <c r="M221" s="121">
        <f>IFERROR(VLOOKUP(B221,BD_CONTROL!$A$5:$M$4235,13,0),"")</f>
        <v>0</v>
      </c>
    </row>
    <row r="222" spans="1:13" ht="15" customHeight="1">
      <c r="A222" s="39">
        <v>217</v>
      </c>
      <c r="B222" s="39" t="s">
        <v>7416</v>
      </c>
      <c r="C222" s="40" t="s">
        <v>6735</v>
      </c>
      <c r="D222" s="39" t="s">
        <v>99</v>
      </c>
      <c r="E222" s="40" t="s">
        <v>107</v>
      </c>
      <c r="F222" s="40" t="s">
        <v>107</v>
      </c>
      <c r="G222" s="39" t="s">
        <v>6739</v>
      </c>
      <c r="H222" s="40" t="s">
        <v>103</v>
      </c>
      <c r="I222" s="40" t="s">
        <v>6741</v>
      </c>
      <c r="J222" s="50"/>
      <c r="K222" s="116">
        <f>IFERROR(VLOOKUP(B222,BD_CONTROL!$A$5:$M$4235,11,0),"")</f>
        <v>0</v>
      </c>
      <c r="L222" s="117">
        <f>IFERROR(VLOOKUP(B222,BD_CONTROL!$A$5:$M$4235,12,0),"")</f>
        <v>0</v>
      </c>
      <c r="M222" s="118">
        <f>IFERROR(VLOOKUP(B222,BD_CONTROL!$A$5:$M$4235,13,0),"")</f>
        <v>0</v>
      </c>
    </row>
    <row r="223" spans="1:13" ht="15" customHeight="1">
      <c r="A223" s="42">
        <v>218</v>
      </c>
      <c r="B223" s="42" t="s">
        <v>7417</v>
      </c>
      <c r="C223" s="43" t="s">
        <v>6735</v>
      </c>
      <c r="D223" s="42" t="s">
        <v>99</v>
      </c>
      <c r="E223" s="43" t="s">
        <v>144</v>
      </c>
      <c r="F223" s="43" t="s">
        <v>144</v>
      </c>
      <c r="G223" s="42" t="s">
        <v>6739</v>
      </c>
      <c r="H223" s="43" t="s">
        <v>103</v>
      </c>
      <c r="I223" s="43" t="s">
        <v>6741</v>
      </c>
      <c r="J223" s="55"/>
      <c r="K223" s="119">
        <f>IFERROR(VLOOKUP(B223,BD_CONTROL!$A$5:$M$4235,11,0),"")</f>
        <v>0</v>
      </c>
      <c r="L223" s="120">
        <f>IFERROR(VLOOKUP(B223,BD_CONTROL!$A$5:$M$4235,12,0),"")</f>
        <v>0</v>
      </c>
      <c r="M223" s="121">
        <f>IFERROR(VLOOKUP(B223,BD_CONTROL!$A$5:$M$4235,13,0),"")</f>
        <v>0</v>
      </c>
    </row>
    <row r="224" spans="1:13" ht="15" customHeight="1">
      <c r="A224" s="39">
        <v>219</v>
      </c>
      <c r="B224" s="39" t="s">
        <v>7418</v>
      </c>
      <c r="C224" s="40" t="s">
        <v>6735</v>
      </c>
      <c r="D224" s="39" t="s">
        <v>99</v>
      </c>
      <c r="E224" s="40" t="s">
        <v>107</v>
      </c>
      <c r="F224" s="40" t="s">
        <v>7419</v>
      </c>
      <c r="G224" s="39" t="s">
        <v>6739</v>
      </c>
      <c r="H224" s="40" t="s">
        <v>103</v>
      </c>
      <c r="I224" s="40" t="s">
        <v>6741</v>
      </c>
      <c r="J224" s="50"/>
      <c r="K224" s="116">
        <f>IFERROR(VLOOKUP(B224,BD_CONTROL!$A$5:$M$4235,11,0),"")</f>
        <v>0</v>
      </c>
      <c r="L224" s="117">
        <f>IFERROR(VLOOKUP(B224,BD_CONTROL!$A$5:$M$4235,12,0),"")</f>
        <v>0</v>
      </c>
      <c r="M224" s="118">
        <f>IFERROR(VLOOKUP(B224,BD_CONTROL!$A$5:$M$4235,13,0),"")</f>
        <v>0</v>
      </c>
    </row>
    <row r="225" spans="1:13" ht="15" customHeight="1">
      <c r="A225" s="42">
        <v>220</v>
      </c>
      <c r="B225" s="42" t="s">
        <v>7420</v>
      </c>
      <c r="C225" s="43" t="s">
        <v>6735</v>
      </c>
      <c r="D225" s="42" t="s">
        <v>99</v>
      </c>
      <c r="E225" s="43" t="s">
        <v>100</v>
      </c>
      <c r="F225" s="43" t="s">
        <v>100</v>
      </c>
      <c r="G225" s="42" t="s">
        <v>6739</v>
      </c>
      <c r="H225" s="43" t="s">
        <v>103</v>
      </c>
      <c r="I225" s="43" t="s">
        <v>6741</v>
      </c>
      <c r="J225" s="55"/>
      <c r="K225" s="119">
        <f>IFERROR(VLOOKUP(B225,BD_CONTROL!$A$5:$M$4235,11,0),"")</f>
        <v>0</v>
      </c>
      <c r="L225" s="120">
        <f>IFERROR(VLOOKUP(B225,BD_CONTROL!$A$5:$M$4235,12,0),"")</f>
        <v>0</v>
      </c>
      <c r="M225" s="121">
        <f>IFERROR(VLOOKUP(B225,BD_CONTROL!$A$5:$M$4235,13,0),"")</f>
        <v>0</v>
      </c>
    </row>
    <row r="226" spans="1:13" ht="15" customHeight="1">
      <c r="A226" s="39">
        <v>221</v>
      </c>
      <c r="B226" s="39" t="s">
        <v>7421</v>
      </c>
      <c r="C226" s="40" t="s">
        <v>6735</v>
      </c>
      <c r="D226" s="39" t="s">
        <v>99</v>
      </c>
      <c r="E226" s="40" t="s">
        <v>107</v>
      </c>
      <c r="F226" s="40" t="s">
        <v>107</v>
      </c>
      <c r="G226" s="39" t="s">
        <v>6739</v>
      </c>
      <c r="H226" s="40" t="s">
        <v>103</v>
      </c>
      <c r="I226" s="40" t="s">
        <v>6741</v>
      </c>
      <c r="J226" s="50"/>
      <c r="K226" s="116">
        <f>IFERROR(VLOOKUP(B226,BD_CONTROL!$A$5:$M$4235,11,0),"")</f>
        <v>0</v>
      </c>
      <c r="L226" s="117">
        <f>IFERROR(VLOOKUP(B226,BD_CONTROL!$A$5:$M$4235,12,0),"")</f>
        <v>0</v>
      </c>
      <c r="M226" s="118">
        <f>IFERROR(VLOOKUP(B226,BD_CONTROL!$A$5:$M$4235,13,0),"")</f>
        <v>0</v>
      </c>
    </row>
    <row r="227" spans="1:13" ht="15" customHeight="1">
      <c r="A227" s="42">
        <v>222</v>
      </c>
      <c r="B227" s="42" t="s">
        <v>7422</v>
      </c>
      <c r="C227" s="43" t="s">
        <v>6735</v>
      </c>
      <c r="D227" s="42" t="s">
        <v>99</v>
      </c>
      <c r="E227" s="43" t="s">
        <v>230</v>
      </c>
      <c r="F227" s="43" t="s">
        <v>1086</v>
      </c>
      <c r="G227" s="42" t="s">
        <v>6739</v>
      </c>
      <c r="H227" s="43" t="s">
        <v>103</v>
      </c>
      <c r="I227" s="43" t="s">
        <v>6741</v>
      </c>
      <c r="J227" s="55"/>
      <c r="K227" s="119">
        <f>IFERROR(VLOOKUP(B227,BD_CONTROL!$A$5:$M$4235,11,0),"")</f>
        <v>0</v>
      </c>
      <c r="L227" s="120">
        <f>IFERROR(VLOOKUP(B227,BD_CONTROL!$A$5:$M$4235,12,0),"")</f>
        <v>0</v>
      </c>
      <c r="M227" s="121">
        <f>IFERROR(VLOOKUP(B227,BD_CONTROL!$A$5:$M$4235,13,0),"")</f>
        <v>0</v>
      </c>
    </row>
    <row r="228" spans="1:13" ht="15" customHeight="1">
      <c r="A228" s="39">
        <v>223</v>
      </c>
      <c r="B228" s="39" t="s">
        <v>7423</v>
      </c>
      <c r="C228" s="40" t="s">
        <v>6735</v>
      </c>
      <c r="D228" s="39" t="s">
        <v>99</v>
      </c>
      <c r="E228" s="40" t="s">
        <v>147</v>
      </c>
      <c r="F228" s="40" t="s">
        <v>147</v>
      </c>
      <c r="G228" s="39" t="s">
        <v>6739</v>
      </c>
      <c r="H228" s="40" t="s">
        <v>103</v>
      </c>
      <c r="I228" s="40" t="s">
        <v>6741</v>
      </c>
      <c r="J228" s="50"/>
      <c r="K228" s="116" t="str">
        <f>IFERROR(VLOOKUP(B228,BD_CONTROL!$A$5:$M$4235,11,0),"")</f>
        <v>INSTALADO - SIN SEÑAL</v>
      </c>
      <c r="L228" s="117">
        <f>IFERROR(VLOOKUP(B228,BD_CONTROL!$A$5:$M$4235,12,0),"")</f>
        <v>46141</v>
      </c>
      <c r="M228" s="118">
        <f>IFERROR(VLOOKUP(B228,BD_CONTROL!$A$5:$M$4235,13,0),"")</f>
        <v>0</v>
      </c>
    </row>
    <row r="229" spans="1:13" ht="15" customHeight="1">
      <c r="A229" s="42">
        <v>224</v>
      </c>
      <c r="B229" s="42" t="s">
        <v>7424</v>
      </c>
      <c r="C229" s="43" t="s">
        <v>6735</v>
      </c>
      <c r="D229" s="42" t="s">
        <v>99</v>
      </c>
      <c r="E229" s="43" t="s">
        <v>100</v>
      </c>
      <c r="F229" s="43" t="s">
        <v>100</v>
      </c>
      <c r="G229" s="42" t="s">
        <v>6739</v>
      </c>
      <c r="H229" s="43" t="s">
        <v>103</v>
      </c>
      <c r="I229" s="43" t="s">
        <v>6741</v>
      </c>
      <c r="J229" s="55"/>
      <c r="K229" s="119">
        <f>IFERROR(VLOOKUP(B229,BD_CONTROL!$A$5:$M$4235,11,0),"")</f>
        <v>0</v>
      </c>
      <c r="L229" s="120">
        <f>IFERROR(VLOOKUP(B229,BD_CONTROL!$A$5:$M$4235,12,0),"")</f>
        <v>0</v>
      </c>
      <c r="M229" s="121">
        <f>IFERROR(VLOOKUP(B229,BD_CONTROL!$A$5:$M$4235,13,0),"")</f>
        <v>0</v>
      </c>
    </row>
    <row r="230" spans="1:13" ht="15" customHeight="1">
      <c r="A230" s="39">
        <v>225</v>
      </c>
      <c r="B230" s="39" t="s">
        <v>7425</v>
      </c>
      <c r="C230" s="40" t="s">
        <v>6735</v>
      </c>
      <c r="D230" s="39" t="s">
        <v>99</v>
      </c>
      <c r="E230" s="40" t="s">
        <v>100</v>
      </c>
      <c r="F230" s="40" t="s">
        <v>100</v>
      </c>
      <c r="G230" s="39" t="s">
        <v>6739</v>
      </c>
      <c r="H230" s="40" t="s">
        <v>103</v>
      </c>
      <c r="I230" s="40" t="s">
        <v>6741</v>
      </c>
      <c r="J230" s="50"/>
      <c r="K230" s="116">
        <f>IFERROR(VLOOKUP(B230,BD_CONTROL!$A$5:$M$4235,11,0),"")</f>
        <v>0</v>
      </c>
      <c r="L230" s="117">
        <f>IFERROR(VLOOKUP(B230,BD_CONTROL!$A$5:$M$4235,12,0),"")</f>
        <v>0</v>
      </c>
      <c r="M230" s="118">
        <f>IFERROR(VLOOKUP(B230,BD_CONTROL!$A$5:$M$4235,13,0),"")</f>
        <v>0</v>
      </c>
    </row>
    <row r="231" spans="1:13" ht="15" customHeight="1">
      <c r="A231" s="42">
        <v>226</v>
      </c>
      <c r="B231" s="42" t="s">
        <v>7426</v>
      </c>
      <c r="C231" s="43" t="s">
        <v>6735</v>
      </c>
      <c r="D231" s="42" t="s">
        <v>99</v>
      </c>
      <c r="E231" s="43" t="s">
        <v>100</v>
      </c>
      <c r="F231" s="43" t="s">
        <v>100</v>
      </c>
      <c r="G231" s="42" t="s">
        <v>6739</v>
      </c>
      <c r="H231" s="43" t="s">
        <v>103</v>
      </c>
      <c r="I231" s="43" t="s">
        <v>6741</v>
      </c>
      <c r="J231" s="55"/>
      <c r="K231" s="119">
        <f>IFERROR(VLOOKUP(B231,BD_CONTROL!$A$5:$M$4235,11,0),"")</f>
        <v>0</v>
      </c>
      <c r="L231" s="120">
        <f>IFERROR(VLOOKUP(B231,BD_CONTROL!$A$5:$M$4235,12,0),"")</f>
        <v>0</v>
      </c>
      <c r="M231" s="121">
        <f>IFERROR(VLOOKUP(B231,BD_CONTROL!$A$5:$M$4235,13,0),"")</f>
        <v>0</v>
      </c>
    </row>
    <row r="232" spans="1:13" ht="15" customHeight="1">
      <c r="A232" s="39">
        <v>227</v>
      </c>
      <c r="B232" s="39" t="s">
        <v>7427</v>
      </c>
      <c r="C232" s="40" t="s">
        <v>6735</v>
      </c>
      <c r="D232" s="39" t="s">
        <v>99</v>
      </c>
      <c r="E232" s="40" t="s">
        <v>100</v>
      </c>
      <c r="F232" s="40" t="s">
        <v>100</v>
      </c>
      <c r="G232" s="39" t="s">
        <v>6739</v>
      </c>
      <c r="H232" s="40" t="s">
        <v>103</v>
      </c>
      <c r="I232" s="40" t="s">
        <v>6741</v>
      </c>
      <c r="J232" s="50"/>
      <c r="K232" s="116">
        <f>IFERROR(VLOOKUP(B232,BD_CONTROL!$A$5:$M$4235,11,0),"")</f>
        <v>0</v>
      </c>
      <c r="L232" s="117">
        <f>IFERROR(VLOOKUP(B232,BD_CONTROL!$A$5:$M$4235,12,0),"")</f>
        <v>0</v>
      </c>
      <c r="M232" s="118">
        <f>IFERROR(VLOOKUP(B232,BD_CONTROL!$A$5:$M$4235,13,0),"")</f>
        <v>0</v>
      </c>
    </row>
    <row r="233" spans="1:13" ht="15" customHeight="1">
      <c r="A233" s="42">
        <v>228</v>
      </c>
      <c r="B233" s="42" t="s">
        <v>7428</v>
      </c>
      <c r="C233" s="43" t="s">
        <v>6735</v>
      </c>
      <c r="D233" s="42" t="s">
        <v>99</v>
      </c>
      <c r="E233" s="43" t="s">
        <v>100</v>
      </c>
      <c r="F233" s="43" t="s">
        <v>100</v>
      </c>
      <c r="G233" s="42" t="s">
        <v>6739</v>
      </c>
      <c r="H233" s="43" t="s">
        <v>103</v>
      </c>
      <c r="I233" s="43" t="s">
        <v>6741</v>
      </c>
      <c r="J233" s="55"/>
      <c r="K233" s="119">
        <f>IFERROR(VLOOKUP(B233,BD_CONTROL!$A$5:$M$4235,11,0),"")</f>
        <v>0</v>
      </c>
      <c r="L233" s="120">
        <f>IFERROR(VLOOKUP(B233,BD_CONTROL!$A$5:$M$4235,12,0),"")</f>
        <v>0</v>
      </c>
      <c r="M233" s="121">
        <f>IFERROR(VLOOKUP(B233,BD_CONTROL!$A$5:$M$4235,13,0),"")</f>
        <v>0</v>
      </c>
    </row>
    <row r="234" spans="1:13" ht="15" customHeight="1">
      <c r="A234" s="39">
        <v>229</v>
      </c>
      <c r="B234" s="39" t="s">
        <v>7429</v>
      </c>
      <c r="C234" s="40" t="s">
        <v>6735</v>
      </c>
      <c r="D234" s="39" t="s">
        <v>99</v>
      </c>
      <c r="E234" s="40" t="s">
        <v>100</v>
      </c>
      <c r="F234" s="40" t="s">
        <v>100</v>
      </c>
      <c r="G234" s="39" t="s">
        <v>6739</v>
      </c>
      <c r="H234" s="40" t="s">
        <v>103</v>
      </c>
      <c r="I234" s="40" t="s">
        <v>6741</v>
      </c>
      <c r="J234" s="50"/>
      <c r="K234" s="116">
        <f>IFERROR(VLOOKUP(B234,BD_CONTROL!$A$5:$M$4235,11,0),"")</f>
        <v>0</v>
      </c>
      <c r="L234" s="117">
        <f>IFERROR(VLOOKUP(B234,BD_CONTROL!$A$5:$M$4235,12,0),"")</f>
        <v>0</v>
      </c>
      <c r="M234" s="118">
        <f>IFERROR(VLOOKUP(B234,BD_CONTROL!$A$5:$M$4235,13,0),"")</f>
        <v>0</v>
      </c>
    </row>
    <row r="235" spans="1:13" ht="15" customHeight="1">
      <c r="A235" s="42">
        <v>230</v>
      </c>
      <c r="B235" s="42" t="s">
        <v>7430</v>
      </c>
      <c r="C235" s="43" t="s">
        <v>6735</v>
      </c>
      <c r="D235" s="42" t="s">
        <v>99</v>
      </c>
      <c r="E235" s="43" t="s">
        <v>147</v>
      </c>
      <c r="F235" s="43" t="s">
        <v>147</v>
      </c>
      <c r="G235" s="42" t="s">
        <v>6739</v>
      </c>
      <c r="H235" s="43" t="s">
        <v>103</v>
      </c>
      <c r="I235" s="43" t="s">
        <v>6741</v>
      </c>
      <c r="J235" s="55"/>
      <c r="K235" s="119">
        <f>IFERROR(VLOOKUP(B235,BD_CONTROL!$A$5:$M$4235,11,0),"")</f>
        <v>0</v>
      </c>
      <c r="L235" s="120">
        <f>IFERROR(VLOOKUP(B235,BD_CONTROL!$A$5:$M$4235,12,0),"")</f>
        <v>0</v>
      </c>
      <c r="M235" s="121">
        <f>IFERROR(VLOOKUP(B235,BD_CONTROL!$A$5:$M$4235,13,0),"")</f>
        <v>0</v>
      </c>
    </row>
    <row r="236" spans="1:13" ht="15" customHeight="1">
      <c r="A236" s="39">
        <v>231</v>
      </c>
      <c r="B236" s="39" t="s">
        <v>7431</v>
      </c>
      <c r="C236" s="40" t="s">
        <v>6735</v>
      </c>
      <c r="D236" s="39" t="s">
        <v>99</v>
      </c>
      <c r="E236" s="40" t="s">
        <v>124</v>
      </c>
      <c r="F236" s="40" t="s">
        <v>124</v>
      </c>
      <c r="G236" s="39" t="s">
        <v>6739</v>
      </c>
      <c r="H236" s="40" t="s">
        <v>103</v>
      </c>
      <c r="I236" s="40" t="s">
        <v>6741</v>
      </c>
      <c r="J236" s="50"/>
      <c r="K236" s="116">
        <f>IFERROR(VLOOKUP(B236,BD_CONTROL!$A$5:$M$4235,11,0),"")</f>
        <v>0</v>
      </c>
      <c r="L236" s="117">
        <f>IFERROR(VLOOKUP(B236,BD_CONTROL!$A$5:$M$4235,12,0),"")</f>
        <v>0</v>
      </c>
      <c r="M236" s="118">
        <f>IFERROR(VLOOKUP(B236,BD_CONTROL!$A$5:$M$4235,13,0),"")</f>
        <v>0</v>
      </c>
    </row>
    <row r="237" spans="1:13" ht="15" customHeight="1">
      <c r="A237" s="42">
        <v>232</v>
      </c>
      <c r="B237" s="42" t="s">
        <v>7432</v>
      </c>
      <c r="C237" s="43" t="s">
        <v>6735</v>
      </c>
      <c r="D237" s="42" t="s">
        <v>99</v>
      </c>
      <c r="E237" s="43" t="s">
        <v>100</v>
      </c>
      <c r="F237" s="43" t="s">
        <v>100</v>
      </c>
      <c r="G237" s="42" t="s">
        <v>6739</v>
      </c>
      <c r="H237" s="43" t="s">
        <v>103</v>
      </c>
      <c r="I237" s="43" t="s">
        <v>6741</v>
      </c>
      <c r="J237" s="55"/>
      <c r="K237" s="119">
        <f>IFERROR(VLOOKUP(B237,BD_CONTROL!$A$5:$M$4235,11,0),"")</f>
        <v>0</v>
      </c>
      <c r="L237" s="120">
        <f>IFERROR(VLOOKUP(B237,BD_CONTROL!$A$5:$M$4235,12,0),"")</f>
        <v>0</v>
      </c>
      <c r="M237" s="121">
        <f>IFERROR(VLOOKUP(B237,BD_CONTROL!$A$5:$M$4235,13,0),"")</f>
        <v>0</v>
      </c>
    </row>
    <row r="238" spans="1:13" ht="15" customHeight="1">
      <c r="A238" s="39">
        <v>233</v>
      </c>
      <c r="B238" s="39" t="s">
        <v>7433</v>
      </c>
      <c r="C238" s="40" t="s">
        <v>7434</v>
      </c>
      <c r="D238" s="39" t="s">
        <v>99</v>
      </c>
      <c r="E238" s="40" t="s">
        <v>100</v>
      </c>
      <c r="F238" s="40" t="s">
        <v>100</v>
      </c>
      <c r="G238" s="39" t="s">
        <v>102</v>
      </c>
      <c r="H238" s="40" t="s">
        <v>103</v>
      </c>
      <c r="I238" s="40" t="s">
        <v>6741</v>
      </c>
      <c r="J238" s="50"/>
      <c r="K238" s="116">
        <f>IFERROR(VLOOKUP(B238,BD_CONTROL!$A$5:$M$4235,11,0),"")</f>
        <v>0</v>
      </c>
      <c r="L238" s="117">
        <f>IFERROR(VLOOKUP(B238,BD_CONTROL!$A$5:$M$4235,12,0),"")</f>
        <v>0</v>
      </c>
      <c r="M238" s="118">
        <f>IFERROR(VLOOKUP(B238,BD_CONTROL!$A$5:$M$4235,13,0),"")</f>
        <v>0</v>
      </c>
    </row>
    <row r="239" spans="1:13" ht="15" customHeight="1">
      <c r="A239" s="42">
        <v>234</v>
      </c>
      <c r="B239" s="42" t="s">
        <v>7435</v>
      </c>
      <c r="C239" s="43" t="s">
        <v>6735</v>
      </c>
      <c r="D239" s="42" t="s">
        <v>99</v>
      </c>
      <c r="E239" s="43" t="s">
        <v>144</v>
      </c>
      <c r="F239" s="43" t="s">
        <v>144</v>
      </c>
      <c r="G239" s="42" t="s">
        <v>6739</v>
      </c>
      <c r="H239" s="43" t="s">
        <v>103</v>
      </c>
      <c r="I239" s="43" t="s">
        <v>6741</v>
      </c>
      <c r="J239" s="55"/>
      <c r="K239" s="119">
        <f>IFERROR(VLOOKUP(B239,BD_CONTROL!$A$5:$M$4235,11,0),"")</f>
        <v>0</v>
      </c>
      <c r="L239" s="120">
        <f>IFERROR(VLOOKUP(B239,BD_CONTROL!$A$5:$M$4235,12,0),"")</f>
        <v>0</v>
      </c>
      <c r="M239" s="121">
        <f>IFERROR(VLOOKUP(B239,BD_CONTROL!$A$5:$M$4235,13,0),"")</f>
        <v>0</v>
      </c>
    </row>
    <row r="240" spans="1:13" ht="15" customHeight="1">
      <c r="A240" s="39">
        <v>235</v>
      </c>
      <c r="B240" s="39" t="s">
        <v>7436</v>
      </c>
      <c r="C240" s="40" t="s">
        <v>6735</v>
      </c>
      <c r="D240" s="39" t="s">
        <v>99</v>
      </c>
      <c r="E240" s="40" t="s">
        <v>100</v>
      </c>
      <c r="F240" s="40" t="s">
        <v>100</v>
      </c>
      <c r="G240" s="39" t="s">
        <v>6739</v>
      </c>
      <c r="H240" s="40" t="s">
        <v>103</v>
      </c>
      <c r="I240" s="40" t="s">
        <v>6741</v>
      </c>
      <c r="J240" s="50"/>
      <c r="K240" s="116">
        <f>IFERROR(VLOOKUP(B240,BD_CONTROL!$A$5:$M$4235,11,0),"")</f>
        <v>0</v>
      </c>
      <c r="L240" s="117">
        <f>IFERROR(VLOOKUP(B240,BD_CONTROL!$A$5:$M$4235,12,0),"")</f>
        <v>0</v>
      </c>
      <c r="M240" s="118">
        <f>IFERROR(VLOOKUP(B240,BD_CONTROL!$A$5:$M$4235,13,0),"")</f>
        <v>0</v>
      </c>
    </row>
    <row r="241" spans="1:13" ht="15" customHeight="1">
      <c r="A241" s="42">
        <v>236</v>
      </c>
      <c r="B241" s="42" t="s">
        <v>7437</v>
      </c>
      <c r="C241" s="43" t="s">
        <v>6735</v>
      </c>
      <c r="D241" s="42" t="s">
        <v>99</v>
      </c>
      <c r="E241" s="43" t="s">
        <v>147</v>
      </c>
      <c r="F241" s="43" t="s">
        <v>147</v>
      </c>
      <c r="G241" s="42" t="s">
        <v>6739</v>
      </c>
      <c r="H241" s="43" t="s">
        <v>103</v>
      </c>
      <c r="I241" s="43" t="s">
        <v>6741</v>
      </c>
      <c r="J241" s="55"/>
      <c r="K241" s="119">
        <f>IFERROR(VLOOKUP(B241,BD_CONTROL!$A$5:$M$4235,11,0),"")</f>
        <v>0</v>
      </c>
      <c r="L241" s="120">
        <f>IFERROR(VLOOKUP(B241,BD_CONTROL!$A$5:$M$4235,12,0),"")</f>
        <v>0</v>
      </c>
      <c r="M241" s="121">
        <f>IFERROR(VLOOKUP(B241,BD_CONTROL!$A$5:$M$4235,13,0),"")</f>
        <v>0</v>
      </c>
    </row>
    <row r="242" spans="1:13" ht="15" customHeight="1">
      <c r="A242" s="39">
        <v>237</v>
      </c>
      <c r="B242" s="39" t="s">
        <v>7438</v>
      </c>
      <c r="C242" s="40" t="s">
        <v>6735</v>
      </c>
      <c r="D242" s="39" t="s">
        <v>99</v>
      </c>
      <c r="E242" s="40" t="s">
        <v>100</v>
      </c>
      <c r="F242" s="40" t="s">
        <v>100</v>
      </c>
      <c r="G242" s="39" t="s">
        <v>6739</v>
      </c>
      <c r="H242" s="40" t="s">
        <v>103</v>
      </c>
      <c r="I242" s="40" t="s">
        <v>6741</v>
      </c>
      <c r="J242" s="50"/>
      <c r="K242" s="116">
        <f>IFERROR(VLOOKUP(B242,BD_CONTROL!$A$5:$M$4235,11,0),"")</f>
        <v>0</v>
      </c>
      <c r="L242" s="117">
        <f>IFERROR(VLOOKUP(B242,BD_CONTROL!$A$5:$M$4235,12,0),"")</f>
        <v>0</v>
      </c>
      <c r="M242" s="118">
        <f>IFERROR(VLOOKUP(B242,BD_CONTROL!$A$5:$M$4235,13,0),"")</f>
        <v>0</v>
      </c>
    </row>
    <row r="243" spans="1:13" ht="15" customHeight="1">
      <c r="A243" s="42">
        <v>238</v>
      </c>
      <c r="B243" s="42" t="s">
        <v>7439</v>
      </c>
      <c r="C243" s="43" t="s">
        <v>6735</v>
      </c>
      <c r="D243" s="42" t="s">
        <v>323</v>
      </c>
      <c r="E243" s="43" t="s">
        <v>338</v>
      </c>
      <c r="F243" s="43" t="s">
        <v>962</v>
      </c>
      <c r="G243" s="42" t="s">
        <v>6739</v>
      </c>
      <c r="H243" s="43" t="s">
        <v>103</v>
      </c>
      <c r="I243" s="43" t="s">
        <v>6741</v>
      </c>
      <c r="J243" s="55"/>
      <c r="K243" s="119">
        <f>IFERROR(VLOOKUP(B243,BD_CONTROL!$A$5:$M$4235,11,0),"")</f>
        <v>0</v>
      </c>
      <c r="L243" s="120">
        <f>IFERROR(VLOOKUP(B243,BD_CONTROL!$A$5:$M$4235,12,0),"")</f>
        <v>0</v>
      </c>
      <c r="M243" s="121">
        <f>IFERROR(VLOOKUP(B243,BD_CONTROL!$A$5:$M$4235,13,0),"")</f>
        <v>0</v>
      </c>
    </row>
    <row r="244" spans="1:13" ht="15" customHeight="1">
      <c r="A244" s="39">
        <v>239</v>
      </c>
      <c r="B244" s="39" t="s">
        <v>7440</v>
      </c>
      <c r="C244" s="40" t="s">
        <v>6735</v>
      </c>
      <c r="D244" s="39" t="s">
        <v>323</v>
      </c>
      <c r="E244" s="40" t="s">
        <v>324</v>
      </c>
      <c r="F244" s="40" t="s">
        <v>324</v>
      </c>
      <c r="G244" s="39" t="s">
        <v>6739</v>
      </c>
      <c r="H244" s="40" t="s">
        <v>103</v>
      </c>
      <c r="I244" s="40" t="s">
        <v>6741</v>
      </c>
      <c r="J244" s="50"/>
      <c r="K244" s="116" t="str">
        <f>IFERROR(VLOOKUP(B244,BD_CONTROL!$A$5:$M$4235,11,0),"")</f>
        <v>Instalado - Operando</v>
      </c>
      <c r="L244" s="117">
        <f>IFERROR(VLOOKUP(B244,BD_CONTROL!$A$5:$M$4235,12,0),"")</f>
        <v>46148</v>
      </c>
      <c r="M244" s="118">
        <f>IFERROR(VLOOKUP(B244,BD_CONTROL!$A$5:$M$4235,13,0),"")</f>
        <v>0</v>
      </c>
    </row>
    <row r="245" spans="1:13" ht="15" customHeight="1">
      <c r="A245" s="42">
        <v>240</v>
      </c>
      <c r="B245" s="42" t="s">
        <v>7441</v>
      </c>
      <c r="C245" s="43" t="s">
        <v>6735</v>
      </c>
      <c r="D245" s="42" t="s">
        <v>323</v>
      </c>
      <c r="E245" s="43" t="s">
        <v>324</v>
      </c>
      <c r="F245" s="43" t="s">
        <v>324</v>
      </c>
      <c r="G245" s="42" t="s">
        <v>6739</v>
      </c>
      <c r="H245" s="43" t="s">
        <v>103</v>
      </c>
      <c r="I245" s="43" t="s">
        <v>6741</v>
      </c>
      <c r="J245" s="55"/>
      <c r="K245" s="119">
        <f>IFERROR(VLOOKUP(B245,BD_CONTROL!$A$5:$M$4235,11,0),"")</f>
        <v>0</v>
      </c>
      <c r="L245" s="120">
        <f>IFERROR(VLOOKUP(B245,BD_CONTROL!$A$5:$M$4235,12,0),"")</f>
        <v>0</v>
      </c>
      <c r="M245" s="121">
        <f>IFERROR(VLOOKUP(B245,BD_CONTROL!$A$5:$M$4235,13,0),"")</f>
        <v>0</v>
      </c>
    </row>
    <row r="246" spans="1:13" ht="15" customHeight="1">
      <c r="A246" s="39">
        <v>241</v>
      </c>
      <c r="B246" s="39" t="s">
        <v>7442</v>
      </c>
      <c r="C246" s="40" t="s">
        <v>6735</v>
      </c>
      <c r="D246" s="39" t="s">
        <v>323</v>
      </c>
      <c r="E246" s="40" t="s">
        <v>324</v>
      </c>
      <c r="F246" s="40" t="s">
        <v>324</v>
      </c>
      <c r="G246" s="39" t="s">
        <v>6739</v>
      </c>
      <c r="H246" s="40" t="s">
        <v>103</v>
      </c>
      <c r="I246" s="40" t="s">
        <v>6741</v>
      </c>
      <c r="J246" s="50"/>
      <c r="K246" s="116">
        <f>IFERROR(VLOOKUP(B246,BD_CONTROL!$A$5:$M$4235,11,0),"")</f>
        <v>0</v>
      </c>
      <c r="L246" s="117">
        <f>IFERROR(VLOOKUP(B246,BD_CONTROL!$A$5:$M$4235,12,0),"")</f>
        <v>0</v>
      </c>
      <c r="M246" s="118">
        <f>IFERROR(VLOOKUP(B246,BD_CONTROL!$A$5:$M$4235,13,0),"")</f>
        <v>0</v>
      </c>
    </row>
    <row r="247" spans="1:13" ht="15" customHeight="1">
      <c r="A247" s="42">
        <v>242</v>
      </c>
      <c r="B247" s="42" t="s">
        <v>7443</v>
      </c>
      <c r="C247" s="43" t="s">
        <v>6735</v>
      </c>
      <c r="D247" s="42" t="s">
        <v>323</v>
      </c>
      <c r="E247" s="43" t="s">
        <v>324</v>
      </c>
      <c r="F247" s="43" t="s">
        <v>324</v>
      </c>
      <c r="G247" s="42" t="s">
        <v>6739</v>
      </c>
      <c r="H247" s="43" t="s">
        <v>103</v>
      </c>
      <c r="I247" s="43" t="s">
        <v>6741</v>
      </c>
      <c r="J247" s="55"/>
      <c r="K247" s="119">
        <f>IFERROR(VLOOKUP(B247,BD_CONTROL!$A$5:$M$4235,11,0),"")</f>
        <v>0</v>
      </c>
      <c r="L247" s="120">
        <f>IFERROR(VLOOKUP(B247,BD_CONTROL!$A$5:$M$4235,12,0),"")</f>
        <v>0</v>
      </c>
      <c r="M247" s="121">
        <f>IFERROR(VLOOKUP(B247,BD_CONTROL!$A$5:$M$4235,13,0),"")</f>
        <v>0</v>
      </c>
    </row>
    <row r="248" spans="1:13" ht="15" customHeight="1">
      <c r="A248" s="39">
        <v>243</v>
      </c>
      <c r="B248" s="39" t="s">
        <v>7444</v>
      </c>
      <c r="C248" s="40" t="s">
        <v>6735</v>
      </c>
      <c r="D248" s="39" t="s">
        <v>323</v>
      </c>
      <c r="E248" s="40" t="s">
        <v>324</v>
      </c>
      <c r="F248" s="40" t="s">
        <v>324</v>
      </c>
      <c r="G248" s="39" t="s">
        <v>6739</v>
      </c>
      <c r="H248" s="40" t="s">
        <v>103</v>
      </c>
      <c r="I248" s="40" t="s">
        <v>6741</v>
      </c>
      <c r="J248" s="50"/>
      <c r="K248" s="116">
        <f>IFERROR(VLOOKUP(B248,BD_CONTROL!$A$5:$M$4235,11,0),"")</f>
        <v>0</v>
      </c>
      <c r="L248" s="117">
        <f>IFERROR(VLOOKUP(B248,BD_CONTROL!$A$5:$M$4235,12,0),"")</f>
        <v>0</v>
      </c>
      <c r="M248" s="118">
        <f>IFERROR(VLOOKUP(B248,BD_CONTROL!$A$5:$M$4235,13,0),"")</f>
        <v>0</v>
      </c>
    </row>
    <row r="249" spans="1:13" ht="15" customHeight="1">
      <c r="A249" s="42">
        <v>244</v>
      </c>
      <c r="B249" s="42" t="s">
        <v>7445</v>
      </c>
      <c r="C249" s="43" t="s">
        <v>6735</v>
      </c>
      <c r="D249" s="42" t="s">
        <v>323</v>
      </c>
      <c r="E249" s="43" t="s">
        <v>324</v>
      </c>
      <c r="F249" s="43" t="s">
        <v>7446</v>
      </c>
      <c r="G249" s="42" t="s">
        <v>6739</v>
      </c>
      <c r="H249" s="43" t="s">
        <v>103</v>
      </c>
      <c r="I249" s="43" t="s">
        <v>6741</v>
      </c>
      <c r="J249" s="55"/>
      <c r="K249" s="119">
        <f>IFERROR(VLOOKUP(B249,BD_CONTROL!$A$5:$M$4235,11,0),"")</f>
        <v>0</v>
      </c>
      <c r="L249" s="120">
        <f>IFERROR(VLOOKUP(B249,BD_CONTROL!$A$5:$M$4235,12,0),"")</f>
        <v>0</v>
      </c>
      <c r="M249" s="121">
        <f>IFERROR(VLOOKUP(B249,BD_CONTROL!$A$5:$M$4235,13,0),"")</f>
        <v>0</v>
      </c>
    </row>
    <row r="250" spans="1:13" ht="15" customHeight="1">
      <c r="A250" s="39">
        <v>245</v>
      </c>
      <c r="B250" s="39" t="s">
        <v>7447</v>
      </c>
      <c r="C250" s="40" t="s">
        <v>6735</v>
      </c>
      <c r="D250" s="39" t="s">
        <v>323</v>
      </c>
      <c r="E250" s="40" t="s">
        <v>324</v>
      </c>
      <c r="F250" s="40" t="s">
        <v>352</v>
      </c>
      <c r="G250" s="39" t="s">
        <v>6739</v>
      </c>
      <c r="H250" s="40" t="s">
        <v>103</v>
      </c>
      <c r="I250" s="40" t="s">
        <v>6741</v>
      </c>
      <c r="J250" s="50"/>
      <c r="K250" s="116">
        <f>IFERROR(VLOOKUP(B250,BD_CONTROL!$A$5:$M$4235,11,0),"")</f>
        <v>0</v>
      </c>
      <c r="L250" s="117">
        <f>IFERROR(VLOOKUP(B250,BD_CONTROL!$A$5:$M$4235,12,0),"")</f>
        <v>0</v>
      </c>
      <c r="M250" s="118">
        <f>IFERROR(VLOOKUP(B250,BD_CONTROL!$A$5:$M$4235,13,0),"")</f>
        <v>0</v>
      </c>
    </row>
    <row r="251" spans="1:13" ht="15" customHeight="1">
      <c r="A251" s="42">
        <v>246</v>
      </c>
      <c r="B251" s="42" t="s">
        <v>7448</v>
      </c>
      <c r="C251" s="43" t="s">
        <v>6735</v>
      </c>
      <c r="D251" s="42" t="s">
        <v>323</v>
      </c>
      <c r="E251" s="43" t="s">
        <v>324</v>
      </c>
      <c r="F251" s="43" t="s">
        <v>324</v>
      </c>
      <c r="G251" s="42" t="s">
        <v>6739</v>
      </c>
      <c r="H251" s="43" t="s">
        <v>103</v>
      </c>
      <c r="I251" s="43" t="s">
        <v>6741</v>
      </c>
      <c r="J251" s="55"/>
      <c r="K251" s="119">
        <f>IFERROR(VLOOKUP(B251,BD_CONTROL!$A$5:$M$4235,11,0),"")</f>
        <v>0</v>
      </c>
      <c r="L251" s="120">
        <f>IFERROR(VLOOKUP(B251,BD_CONTROL!$A$5:$M$4235,12,0),"")</f>
        <v>0</v>
      </c>
      <c r="M251" s="121">
        <f>IFERROR(VLOOKUP(B251,BD_CONTROL!$A$5:$M$4235,13,0),"")</f>
        <v>0</v>
      </c>
    </row>
    <row r="252" spans="1:13" ht="15" customHeight="1">
      <c r="A252" s="39">
        <v>247</v>
      </c>
      <c r="B252" s="39" t="s">
        <v>7449</v>
      </c>
      <c r="C252" s="40" t="s">
        <v>6735</v>
      </c>
      <c r="D252" s="39" t="s">
        <v>323</v>
      </c>
      <c r="E252" s="40" t="s">
        <v>345</v>
      </c>
      <c r="F252" s="40" t="s">
        <v>349</v>
      </c>
      <c r="G252" s="39" t="s">
        <v>6739</v>
      </c>
      <c r="H252" s="40" t="s">
        <v>103</v>
      </c>
      <c r="I252" s="40" t="s">
        <v>6741</v>
      </c>
      <c r="J252" s="50"/>
      <c r="K252" s="116">
        <f>IFERROR(VLOOKUP(B252,BD_CONTROL!$A$5:$M$4235,11,0),"")</f>
        <v>0</v>
      </c>
      <c r="L252" s="117">
        <f>IFERROR(VLOOKUP(B252,BD_CONTROL!$A$5:$M$4235,12,0),"")</f>
        <v>0</v>
      </c>
      <c r="M252" s="118">
        <f>IFERROR(VLOOKUP(B252,BD_CONTROL!$A$5:$M$4235,13,0),"")</f>
        <v>0</v>
      </c>
    </row>
    <row r="253" spans="1:13" ht="15" customHeight="1">
      <c r="A253" s="42">
        <v>248</v>
      </c>
      <c r="B253" s="42" t="s">
        <v>7450</v>
      </c>
      <c r="C253" s="43" t="s">
        <v>6735</v>
      </c>
      <c r="D253" s="42" t="s">
        <v>323</v>
      </c>
      <c r="E253" s="43" t="s">
        <v>345</v>
      </c>
      <c r="F253" s="43" t="s">
        <v>349</v>
      </c>
      <c r="G253" s="42" t="s">
        <v>6739</v>
      </c>
      <c r="H253" s="43" t="s">
        <v>103</v>
      </c>
      <c r="I253" s="43" t="s">
        <v>6741</v>
      </c>
      <c r="J253" s="55"/>
      <c r="K253" s="119" t="str">
        <f>IFERROR(VLOOKUP(B253,BD_CONTROL!$A$5:$M$4235,11,0),"")</f>
        <v>Instalado - Sin Señal</v>
      </c>
      <c r="L253" s="120">
        <f>IFERROR(VLOOKUP(B253,BD_CONTROL!$A$5:$M$4235,12,0),"")</f>
        <v>46146</v>
      </c>
      <c r="M253" s="121" t="str">
        <f>IFERROR(VLOOKUP(B253,BD_CONTROL!$A$5:$M$4235,13,0),"")</f>
        <v>Queda pendiente activación por parte de Mesa de Servicio</v>
      </c>
    </row>
    <row r="254" spans="1:13" ht="15" customHeight="1">
      <c r="A254" s="39">
        <v>249</v>
      </c>
      <c r="B254" s="39" t="s">
        <v>7452</v>
      </c>
      <c r="C254" s="40" t="s">
        <v>6735</v>
      </c>
      <c r="D254" s="39" t="s">
        <v>323</v>
      </c>
      <c r="E254" s="40" t="s">
        <v>345</v>
      </c>
      <c r="F254" s="40" t="s">
        <v>346</v>
      </c>
      <c r="G254" s="39" t="s">
        <v>6739</v>
      </c>
      <c r="H254" s="40" t="s">
        <v>103</v>
      </c>
      <c r="I254" s="40" t="s">
        <v>6741</v>
      </c>
      <c r="J254" s="50"/>
      <c r="K254" s="116">
        <f>IFERROR(VLOOKUP(B254,BD_CONTROL!$A$5:$M$4235,11,0),"")</f>
        <v>0</v>
      </c>
      <c r="L254" s="117">
        <f>IFERROR(VLOOKUP(B254,BD_CONTROL!$A$5:$M$4235,12,0),"")</f>
        <v>0</v>
      </c>
      <c r="M254" s="118">
        <f>IFERROR(VLOOKUP(B254,BD_CONTROL!$A$5:$M$4235,13,0),"")</f>
        <v>0</v>
      </c>
    </row>
    <row r="255" spans="1:13" ht="15" customHeight="1">
      <c r="A255" s="42">
        <v>250</v>
      </c>
      <c r="B255" s="42" t="s">
        <v>7453</v>
      </c>
      <c r="C255" s="43" t="s">
        <v>6735</v>
      </c>
      <c r="D255" s="42" t="s">
        <v>323</v>
      </c>
      <c r="E255" s="43" t="s">
        <v>345</v>
      </c>
      <c r="F255" s="43" t="s">
        <v>349</v>
      </c>
      <c r="G255" s="42" t="s">
        <v>6739</v>
      </c>
      <c r="H255" s="43" t="s">
        <v>103</v>
      </c>
      <c r="I255" s="43" t="s">
        <v>6741</v>
      </c>
      <c r="J255" s="55"/>
      <c r="K255" s="119" t="str">
        <f>IFERROR(VLOOKUP(B255,BD_CONTROL!$A$5:$M$4235,11,0),"")</f>
        <v>Instalado - Operando</v>
      </c>
      <c r="L255" s="120">
        <f>IFERROR(VLOOKUP(B255,BD_CONTROL!$A$5:$M$4235,12,0),"")</f>
        <v>46148</v>
      </c>
      <c r="M255" s="121">
        <f>IFERROR(VLOOKUP(B255,BD_CONTROL!$A$5:$M$4235,13,0),"")</f>
        <v>0</v>
      </c>
    </row>
    <row r="256" spans="1:13" ht="15" customHeight="1">
      <c r="A256" s="39">
        <v>251</v>
      </c>
      <c r="B256" s="39" t="s">
        <v>7454</v>
      </c>
      <c r="C256" s="40" t="s">
        <v>6735</v>
      </c>
      <c r="D256" s="39" t="s">
        <v>323</v>
      </c>
      <c r="E256" s="40" t="s">
        <v>345</v>
      </c>
      <c r="F256" s="40" t="s">
        <v>349</v>
      </c>
      <c r="G256" s="39" t="s">
        <v>6739</v>
      </c>
      <c r="H256" s="40" t="s">
        <v>103</v>
      </c>
      <c r="I256" s="40" t="s">
        <v>6741</v>
      </c>
      <c r="J256" s="50"/>
      <c r="K256" s="116">
        <f>IFERROR(VLOOKUP(B256,BD_CONTROL!$A$5:$M$4235,11,0),"")</f>
        <v>0</v>
      </c>
      <c r="L256" s="117">
        <f>IFERROR(VLOOKUP(B256,BD_CONTROL!$A$5:$M$4235,12,0),"")</f>
        <v>0</v>
      </c>
      <c r="M256" s="118">
        <f>IFERROR(VLOOKUP(B256,BD_CONTROL!$A$5:$M$4235,13,0),"")</f>
        <v>0</v>
      </c>
    </row>
    <row r="257" spans="1:13" ht="15" customHeight="1">
      <c r="A257" s="42">
        <v>252</v>
      </c>
      <c r="B257" s="42" t="s">
        <v>7455</v>
      </c>
      <c r="C257" s="43" t="s">
        <v>6735</v>
      </c>
      <c r="D257" s="42" t="s">
        <v>323</v>
      </c>
      <c r="E257" s="43" t="s">
        <v>345</v>
      </c>
      <c r="F257" s="43" t="s">
        <v>349</v>
      </c>
      <c r="G257" s="42" t="s">
        <v>6739</v>
      </c>
      <c r="H257" s="43" t="s">
        <v>103</v>
      </c>
      <c r="I257" s="43" t="s">
        <v>6741</v>
      </c>
      <c r="J257" s="55"/>
      <c r="K257" s="119">
        <f>IFERROR(VLOOKUP(B257,BD_CONTROL!$A$5:$M$4235,11,0),"")</f>
        <v>0</v>
      </c>
      <c r="L257" s="120">
        <f>IFERROR(VLOOKUP(B257,BD_CONTROL!$A$5:$M$4235,12,0),"")</f>
        <v>0</v>
      </c>
      <c r="M257" s="121">
        <f>IFERROR(VLOOKUP(B257,BD_CONTROL!$A$5:$M$4235,13,0),"")</f>
        <v>0</v>
      </c>
    </row>
    <row r="258" spans="1:13" ht="15" customHeight="1">
      <c r="A258" s="39">
        <v>253</v>
      </c>
      <c r="B258" s="39" t="s">
        <v>7456</v>
      </c>
      <c r="C258" s="40" t="s">
        <v>6735</v>
      </c>
      <c r="D258" s="39" t="s">
        <v>323</v>
      </c>
      <c r="E258" s="40" t="s">
        <v>345</v>
      </c>
      <c r="F258" s="40" t="s">
        <v>346</v>
      </c>
      <c r="G258" s="39" t="s">
        <v>6739</v>
      </c>
      <c r="H258" s="40" t="s">
        <v>103</v>
      </c>
      <c r="I258" s="40" t="s">
        <v>6741</v>
      </c>
      <c r="J258" s="50"/>
      <c r="K258" s="116">
        <f>IFERROR(VLOOKUP(B258,BD_CONTROL!$A$5:$M$4235,11,0),"")</f>
        <v>0</v>
      </c>
      <c r="L258" s="117">
        <f>IFERROR(VLOOKUP(B258,BD_CONTROL!$A$5:$M$4235,12,0),"")</f>
        <v>0</v>
      </c>
      <c r="M258" s="118">
        <f>IFERROR(VLOOKUP(B258,BD_CONTROL!$A$5:$M$4235,13,0),"")</f>
        <v>0</v>
      </c>
    </row>
    <row r="259" spans="1:13" ht="15" customHeight="1">
      <c r="A259" s="42">
        <v>254</v>
      </c>
      <c r="B259" s="42" t="s">
        <v>7457</v>
      </c>
      <c r="C259" s="43" t="s">
        <v>6735</v>
      </c>
      <c r="D259" s="42" t="s">
        <v>323</v>
      </c>
      <c r="E259" s="43" t="s">
        <v>345</v>
      </c>
      <c r="F259" s="43" t="s">
        <v>349</v>
      </c>
      <c r="G259" s="42" t="s">
        <v>6739</v>
      </c>
      <c r="H259" s="43" t="s">
        <v>103</v>
      </c>
      <c r="I259" s="43" t="s">
        <v>6741</v>
      </c>
      <c r="J259" s="55"/>
      <c r="K259" s="119" t="str">
        <f>IFERROR(VLOOKUP(B259,BD_CONTROL!$A$5:$M$4235,11,0),"")</f>
        <v>Instalado - Sin Señal</v>
      </c>
      <c r="L259" s="120">
        <f>IFERROR(VLOOKUP(B259,BD_CONTROL!$A$5:$M$4235,12,0),"")</f>
        <v>46146</v>
      </c>
      <c r="M259" s="121" t="str">
        <f>IFERROR(VLOOKUP(B259,BD_CONTROL!$A$5:$M$4235,13,0),"")</f>
        <v>Queda pendiente validación por parte de Mesa de Servicio</v>
      </c>
    </row>
    <row r="260" spans="1:13" ht="15" customHeight="1">
      <c r="A260" s="39">
        <v>255</v>
      </c>
      <c r="B260" s="39" t="s">
        <v>7458</v>
      </c>
      <c r="C260" s="40" t="s">
        <v>6735</v>
      </c>
      <c r="D260" s="39" t="s">
        <v>323</v>
      </c>
      <c r="E260" s="40" t="s">
        <v>324</v>
      </c>
      <c r="F260" s="40" t="s">
        <v>324</v>
      </c>
      <c r="G260" s="39" t="s">
        <v>6739</v>
      </c>
      <c r="H260" s="40" t="s">
        <v>103</v>
      </c>
      <c r="I260" s="40" t="s">
        <v>6741</v>
      </c>
      <c r="J260" s="50"/>
      <c r="K260" s="116">
        <f>IFERROR(VLOOKUP(B260,BD_CONTROL!$A$5:$M$4235,11,0),"")</f>
        <v>0</v>
      </c>
      <c r="L260" s="117">
        <f>IFERROR(VLOOKUP(B260,BD_CONTROL!$A$5:$M$4235,12,0),"")</f>
        <v>0</v>
      </c>
      <c r="M260" s="118">
        <f>IFERROR(VLOOKUP(B260,BD_CONTROL!$A$5:$M$4235,13,0),"")</f>
        <v>0</v>
      </c>
    </row>
    <row r="261" spans="1:13" ht="15" customHeight="1">
      <c r="A261" s="42">
        <v>256</v>
      </c>
      <c r="B261" s="42" t="s">
        <v>7459</v>
      </c>
      <c r="C261" s="43" t="s">
        <v>6735</v>
      </c>
      <c r="D261" s="42" t="s">
        <v>323</v>
      </c>
      <c r="E261" s="43" t="s">
        <v>376</v>
      </c>
      <c r="F261" s="43" t="s">
        <v>376</v>
      </c>
      <c r="G261" s="42" t="s">
        <v>6739</v>
      </c>
      <c r="H261" s="43" t="s">
        <v>103</v>
      </c>
      <c r="I261" s="43" t="s">
        <v>6741</v>
      </c>
      <c r="J261" s="55"/>
      <c r="K261" s="119">
        <f>IFERROR(VLOOKUP(B261,BD_CONTROL!$A$5:$M$4235,11,0),"")</f>
        <v>0</v>
      </c>
      <c r="L261" s="120">
        <f>IFERROR(VLOOKUP(B261,BD_CONTROL!$A$5:$M$4235,12,0),"")</f>
        <v>0</v>
      </c>
      <c r="M261" s="121">
        <f>IFERROR(VLOOKUP(B261,BD_CONTROL!$A$5:$M$4235,13,0),"")</f>
        <v>0</v>
      </c>
    </row>
    <row r="262" spans="1:13" ht="15" customHeight="1">
      <c r="A262" s="39">
        <v>257</v>
      </c>
      <c r="B262" s="39" t="s">
        <v>7460</v>
      </c>
      <c r="C262" s="40" t="s">
        <v>6735</v>
      </c>
      <c r="D262" s="39" t="s">
        <v>323</v>
      </c>
      <c r="E262" s="40" t="s">
        <v>345</v>
      </c>
      <c r="F262" s="40" t="s">
        <v>346</v>
      </c>
      <c r="G262" s="39" t="s">
        <v>6739</v>
      </c>
      <c r="H262" s="40" t="s">
        <v>103</v>
      </c>
      <c r="I262" s="40" t="s">
        <v>6741</v>
      </c>
      <c r="J262" s="50"/>
      <c r="K262" s="116">
        <f>IFERROR(VLOOKUP(B262,BD_CONTROL!$A$5:$M$4235,11,0),"")</f>
        <v>0</v>
      </c>
      <c r="L262" s="117">
        <f>IFERROR(VLOOKUP(B262,BD_CONTROL!$A$5:$M$4235,12,0),"")</f>
        <v>0</v>
      </c>
      <c r="M262" s="118">
        <f>IFERROR(VLOOKUP(B262,BD_CONTROL!$A$5:$M$4235,13,0),"")</f>
        <v>0</v>
      </c>
    </row>
    <row r="263" spans="1:13" ht="15" customHeight="1">
      <c r="A263" s="42">
        <v>258</v>
      </c>
      <c r="B263" s="42" t="s">
        <v>7461</v>
      </c>
      <c r="C263" s="43" t="s">
        <v>6735</v>
      </c>
      <c r="D263" s="42" t="s">
        <v>323</v>
      </c>
      <c r="E263" s="43" t="s">
        <v>324</v>
      </c>
      <c r="F263" s="43" t="s">
        <v>324</v>
      </c>
      <c r="G263" s="42" t="s">
        <v>6739</v>
      </c>
      <c r="H263" s="43" t="s">
        <v>103</v>
      </c>
      <c r="I263" s="43" t="s">
        <v>6741</v>
      </c>
      <c r="J263" s="55"/>
      <c r="K263" s="119" t="str">
        <f>IFERROR(VLOOKUP(B263,BD_CONTROL!$A$5:$M$4235,11,0),"")</f>
        <v>Instalado - Operando</v>
      </c>
      <c r="L263" s="120">
        <f>IFERROR(VLOOKUP(B263,BD_CONTROL!$A$5:$M$4235,12,0),"")</f>
        <v>46148</v>
      </c>
      <c r="M263" s="121">
        <f>IFERROR(VLOOKUP(B263,BD_CONTROL!$A$5:$M$4235,13,0),"")</f>
        <v>0</v>
      </c>
    </row>
    <row r="264" spans="1:13" ht="15" customHeight="1">
      <c r="A264" s="39">
        <v>259</v>
      </c>
      <c r="B264" s="39" t="s">
        <v>7462</v>
      </c>
      <c r="C264" s="40" t="s">
        <v>6735</v>
      </c>
      <c r="D264" s="39" t="s">
        <v>323</v>
      </c>
      <c r="E264" s="40" t="s">
        <v>376</v>
      </c>
      <c r="F264" s="40" t="s">
        <v>376</v>
      </c>
      <c r="G264" s="39" t="s">
        <v>6739</v>
      </c>
      <c r="H264" s="40" t="s">
        <v>103</v>
      </c>
      <c r="I264" s="40" t="s">
        <v>6741</v>
      </c>
      <c r="J264" s="50"/>
      <c r="K264" s="116">
        <f>IFERROR(VLOOKUP(B264,BD_CONTROL!$A$5:$M$4235,11,0),"")</f>
        <v>0</v>
      </c>
      <c r="L264" s="117">
        <f>IFERROR(VLOOKUP(B264,BD_CONTROL!$A$5:$M$4235,12,0),"")</f>
        <v>0</v>
      </c>
      <c r="M264" s="118">
        <f>IFERROR(VLOOKUP(B264,BD_CONTROL!$A$5:$M$4235,13,0),"")</f>
        <v>0</v>
      </c>
    </row>
    <row r="265" spans="1:13" ht="15" customHeight="1">
      <c r="A265" s="42">
        <v>260</v>
      </c>
      <c r="B265" s="42" t="s">
        <v>7463</v>
      </c>
      <c r="C265" s="43" t="s">
        <v>6735</v>
      </c>
      <c r="D265" s="42" t="s">
        <v>323</v>
      </c>
      <c r="E265" s="43" t="s">
        <v>345</v>
      </c>
      <c r="F265" s="43" t="s">
        <v>349</v>
      </c>
      <c r="G265" s="42" t="s">
        <v>6739</v>
      </c>
      <c r="H265" s="43" t="s">
        <v>103</v>
      </c>
      <c r="I265" s="43" t="s">
        <v>6741</v>
      </c>
      <c r="J265" s="55"/>
      <c r="K265" s="119">
        <f>IFERROR(VLOOKUP(B265,BD_CONTROL!$A$5:$M$4235,11,0),"")</f>
        <v>0</v>
      </c>
      <c r="L265" s="120">
        <f>IFERROR(VLOOKUP(B265,BD_CONTROL!$A$5:$M$4235,12,0),"")</f>
        <v>0</v>
      </c>
      <c r="M265" s="121">
        <f>IFERROR(VLOOKUP(B265,BD_CONTROL!$A$5:$M$4235,13,0),"")</f>
        <v>0</v>
      </c>
    </row>
    <row r="266" spans="1:13" ht="15" customHeight="1">
      <c r="A266" s="39">
        <v>261</v>
      </c>
      <c r="B266" s="39" t="s">
        <v>7464</v>
      </c>
      <c r="C266" s="40" t="s">
        <v>6735</v>
      </c>
      <c r="D266" s="39" t="s">
        <v>323</v>
      </c>
      <c r="E266" s="40" t="s">
        <v>345</v>
      </c>
      <c r="F266" s="40" t="s">
        <v>346</v>
      </c>
      <c r="G266" s="39" t="s">
        <v>6739</v>
      </c>
      <c r="H266" s="40" t="s">
        <v>103</v>
      </c>
      <c r="I266" s="40" t="s">
        <v>6741</v>
      </c>
      <c r="J266" s="50"/>
      <c r="K266" s="116">
        <f>IFERROR(VLOOKUP(B266,BD_CONTROL!$A$5:$M$4235,11,0),"")</f>
        <v>0</v>
      </c>
      <c r="L266" s="117">
        <f>IFERROR(VLOOKUP(B266,BD_CONTROL!$A$5:$M$4235,12,0),"")</f>
        <v>0</v>
      </c>
      <c r="M266" s="118">
        <f>IFERROR(VLOOKUP(B266,BD_CONTROL!$A$5:$M$4235,13,0),"")</f>
        <v>0</v>
      </c>
    </row>
    <row r="267" spans="1:13" ht="15" customHeight="1">
      <c r="A267" s="42">
        <v>262</v>
      </c>
      <c r="B267" s="42" t="s">
        <v>7465</v>
      </c>
      <c r="C267" s="43" t="s">
        <v>6735</v>
      </c>
      <c r="D267" s="42" t="s">
        <v>323</v>
      </c>
      <c r="E267" s="43" t="s">
        <v>324</v>
      </c>
      <c r="F267" s="43" t="s">
        <v>324</v>
      </c>
      <c r="G267" s="42" t="s">
        <v>6739</v>
      </c>
      <c r="H267" s="43" t="s">
        <v>103</v>
      </c>
      <c r="I267" s="43" t="s">
        <v>6741</v>
      </c>
      <c r="J267" s="55"/>
      <c r="K267" s="119">
        <f>IFERROR(VLOOKUP(B267,BD_CONTROL!$A$5:$M$4235,11,0),"")</f>
        <v>0</v>
      </c>
      <c r="L267" s="120">
        <f>IFERROR(VLOOKUP(B267,BD_CONTROL!$A$5:$M$4235,12,0),"")</f>
        <v>0</v>
      </c>
      <c r="M267" s="121">
        <f>IFERROR(VLOOKUP(B267,BD_CONTROL!$A$5:$M$4235,13,0),"")</f>
        <v>0</v>
      </c>
    </row>
    <row r="268" spans="1:13" ht="15" customHeight="1">
      <c r="A268" s="39">
        <v>263</v>
      </c>
      <c r="B268" s="39" t="s">
        <v>7466</v>
      </c>
      <c r="C268" s="40" t="s">
        <v>6735</v>
      </c>
      <c r="D268" s="39" t="s">
        <v>323</v>
      </c>
      <c r="E268" s="40" t="s">
        <v>345</v>
      </c>
      <c r="F268" s="40" t="s">
        <v>349</v>
      </c>
      <c r="G268" s="39" t="s">
        <v>6739</v>
      </c>
      <c r="H268" s="40" t="s">
        <v>103</v>
      </c>
      <c r="I268" s="40" t="s">
        <v>6741</v>
      </c>
      <c r="J268" s="50"/>
      <c r="K268" s="116">
        <f>IFERROR(VLOOKUP(B268,BD_CONTROL!$A$5:$M$4235,11,0),"")</f>
        <v>0</v>
      </c>
      <c r="L268" s="117">
        <f>IFERROR(VLOOKUP(B268,BD_CONTROL!$A$5:$M$4235,12,0),"")</f>
        <v>0</v>
      </c>
      <c r="M268" s="118">
        <f>IFERROR(VLOOKUP(B268,BD_CONTROL!$A$5:$M$4235,13,0),"")</f>
        <v>0</v>
      </c>
    </row>
    <row r="269" spans="1:13" ht="15" customHeight="1">
      <c r="A269" s="42">
        <v>264</v>
      </c>
      <c r="B269" s="42" t="s">
        <v>7467</v>
      </c>
      <c r="C269" s="43" t="s">
        <v>6735</v>
      </c>
      <c r="D269" s="42" t="s">
        <v>323</v>
      </c>
      <c r="E269" s="43" t="s">
        <v>324</v>
      </c>
      <c r="F269" s="43" t="s">
        <v>324</v>
      </c>
      <c r="G269" s="42" t="s">
        <v>6739</v>
      </c>
      <c r="H269" s="43" t="s">
        <v>103</v>
      </c>
      <c r="I269" s="43" t="s">
        <v>6741</v>
      </c>
      <c r="J269" s="55"/>
      <c r="K269" s="119">
        <f>IFERROR(VLOOKUP(B269,BD_CONTROL!$A$5:$M$4235,11,0),"")</f>
        <v>0</v>
      </c>
      <c r="L269" s="120">
        <f>IFERROR(VLOOKUP(B269,BD_CONTROL!$A$5:$M$4235,12,0),"")</f>
        <v>0</v>
      </c>
      <c r="M269" s="121">
        <f>IFERROR(VLOOKUP(B269,BD_CONTROL!$A$5:$M$4235,13,0),"")</f>
        <v>0</v>
      </c>
    </row>
    <row r="270" spans="1:13" ht="15" customHeight="1">
      <c r="A270" s="39">
        <v>265</v>
      </c>
      <c r="B270" s="39" t="s">
        <v>7468</v>
      </c>
      <c r="C270" s="40" t="s">
        <v>6735</v>
      </c>
      <c r="D270" s="39" t="s">
        <v>323</v>
      </c>
      <c r="E270" s="40" t="s">
        <v>324</v>
      </c>
      <c r="F270" s="40" t="s">
        <v>324</v>
      </c>
      <c r="G270" s="39" t="s">
        <v>6739</v>
      </c>
      <c r="H270" s="40" t="s">
        <v>103</v>
      </c>
      <c r="I270" s="40" t="s">
        <v>6741</v>
      </c>
      <c r="J270" s="50"/>
      <c r="K270" s="116">
        <f>IFERROR(VLOOKUP(B270,BD_CONTROL!$A$5:$M$4235,11,0),"")</f>
        <v>0</v>
      </c>
      <c r="L270" s="117">
        <f>IFERROR(VLOOKUP(B270,BD_CONTROL!$A$5:$M$4235,12,0),"")</f>
        <v>0</v>
      </c>
      <c r="M270" s="118">
        <f>IFERROR(VLOOKUP(B270,BD_CONTROL!$A$5:$M$4235,13,0),"")</f>
        <v>0</v>
      </c>
    </row>
    <row r="271" spans="1:13" ht="15" customHeight="1">
      <c r="A271" s="42">
        <v>266</v>
      </c>
      <c r="B271" s="42" t="s">
        <v>7469</v>
      </c>
      <c r="C271" s="43" t="s">
        <v>6735</v>
      </c>
      <c r="D271" s="42" t="s">
        <v>323</v>
      </c>
      <c r="E271" s="43" t="s">
        <v>324</v>
      </c>
      <c r="F271" s="43" t="s">
        <v>324</v>
      </c>
      <c r="G271" s="42" t="s">
        <v>6739</v>
      </c>
      <c r="H271" s="43" t="s">
        <v>103</v>
      </c>
      <c r="I271" s="43" t="s">
        <v>6741</v>
      </c>
      <c r="J271" s="55"/>
      <c r="K271" s="119" t="str">
        <f>IFERROR(VLOOKUP(B271,BD_CONTROL!$A$5:$M$4235,11,0),"")</f>
        <v>Instalado - Operando</v>
      </c>
      <c r="L271" s="120">
        <f>IFERROR(VLOOKUP(B271,BD_CONTROL!$A$5:$M$4235,12,0),"")</f>
        <v>46147</v>
      </c>
      <c r="M271" s="121">
        <f>IFERROR(VLOOKUP(B271,BD_CONTROL!$A$5:$M$4235,13,0),"")</f>
        <v>0</v>
      </c>
    </row>
    <row r="272" spans="1:13" ht="15" customHeight="1">
      <c r="A272" s="39">
        <v>267</v>
      </c>
      <c r="B272" s="39" t="s">
        <v>7470</v>
      </c>
      <c r="C272" s="40" t="s">
        <v>6735</v>
      </c>
      <c r="D272" s="39" t="s">
        <v>323</v>
      </c>
      <c r="E272" s="40" t="s">
        <v>324</v>
      </c>
      <c r="F272" s="40" t="s">
        <v>324</v>
      </c>
      <c r="G272" s="39" t="s">
        <v>6739</v>
      </c>
      <c r="H272" s="40" t="s">
        <v>103</v>
      </c>
      <c r="I272" s="40" t="s">
        <v>6741</v>
      </c>
      <c r="J272" s="50"/>
      <c r="K272" s="116" t="str">
        <f>IFERROR(VLOOKUP(B272,BD_CONTROL!$A$5:$M$4235,11,0),"")</f>
        <v>Instalado - Sin Señal</v>
      </c>
      <c r="L272" s="117">
        <f>IFERROR(VLOOKUP(B272,BD_CONTROL!$A$5:$M$4235,12,0),"")</f>
        <v>46150</v>
      </c>
      <c r="M272" s="118">
        <f>IFERROR(VLOOKUP(B272,BD_CONTROL!$A$5:$M$4235,13,0),"")</f>
        <v>0</v>
      </c>
    </row>
    <row r="273" spans="1:13" ht="15" customHeight="1">
      <c r="A273" s="42">
        <v>268</v>
      </c>
      <c r="B273" s="42" t="s">
        <v>7471</v>
      </c>
      <c r="C273" s="43" t="s">
        <v>6735</v>
      </c>
      <c r="D273" s="42" t="s">
        <v>323</v>
      </c>
      <c r="E273" s="43" t="s">
        <v>345</v>
      </c>
      <c r="F273" s="43" t="s">
        <v>346</v>
      </c>
      <c r="G273" s="42" t="s">
        <v>6739</v>
      </c>
      <c r="H273" s="43" t="s">
        <v>103</v>
      </c>
      <c r="I273" s="43" t="s">
        <v>6741</v>
      </c>
      <c r="J273" s="55"/>
      <c r="K273" s="119">
        <f>IFERROR(VLOOKUP(B273,BD_CONTROL!$A$5:$M$4235,11,0),"")</f>
        <v>0</v>
      </c>
      <c r="L273" s="120">
        <f>IFERROR(VLOOKUP(B273,BD_CONTROL!$A$5:$M$4235,12,0),"")</f>
        <v>0</v>
      </c>
      <c r="M273" s="121">
        <f>IFERROR(VLOOKUP(B273,BD_CONTROL!$A$5:$M$4235,13,0),"")</f>
        <v>0</v>
      </c>
    </row>
    <row r="274" spans="1:13" ht="15" customHeight="1">
      <c r="A274" s="39">
        <v>269</v>
      </c>
      <c r="B274" s="39" t="s">
        <v>7472</v>
      </c>
      <c r="C274" s="40" t="s">
        <v>6735</v>
      </c>
      <c r="D274" s="39" t="s">
        <v>323</v>
      </c>
      <c r="E274" s="40" t="s">
        <v>324</v>
      </c>
      <c r="F274" s="40" t="s">
        <v>324</v>
      </c>
      <c r="G274" s="39" t="s">
        <v>6739</v>
      </c>
      <c r="H274" s="40" t="s">
        <v>103</v>
      </c>
      <c r="I274" s="40" t="s">
        <v>6741</v>
      </c>
      <c r="J274" s="50"/>
      <c r="K274" s="116" t="str">
        <f>IFERROR(VLOOKUP(B274,BD_CONTROL!$A$5:$M$4235,11,0),"")</f>
        <v>Instalado - Operando</v>
      </c>
      <c r="L274" s="117">
        <f>IFERROR(VLOOKUP(B274,BD_CONTROL!$A$5:$M$4235,12,0),"")</f>
        <v>46149</v>
      </c>
      <c r="M274" s="118">
        <f>IFERROR(VLOOKUP(B274,BD_CONTROL!$A$5:$M$4235,13,0),"")</f>
        <v>0</v>
      </c>
    </row>
    <row r="275" spans="1:13" ht="15" customHeight="1">
      <c r="A275" s="42">
        <v>270</v>
      </c>
      <c r="B275" s="42" t="s">
        <v>7473</v>
      </c>
      <c r="C275" s="43" t="s">
        <v>6735</v>
      </c>
      <c r="D275" s="42" t="s">
        <v>323</v>
      </c>
      <c r="E275" s="43" t="s">
        <v>345</v>
      </c>
      <c r="F275" s="43" t="s">
        <v>346</v>
      </c>
      <c r="G275" s="42" t="s">
        <v>6739</v>
      </c>
      <c r="H275" s="43" t="s">
        <v>103</v>
      </c>
      <c r="I275" s="43" t="s">
        <v>6741</v>
      </c>
      <c r="J275" s="55"/>
      <c r="K275" s="119">
        <f>IFERROR(VLOOKUP(B275,BD_CONTROL!$A$5:$M$4235,11,0),"")</f>
        <v>0</v>
      </c>
      <c r="L275" s="120">
        <f>IFERROR(VLOOKUP(B275,BD_CONTROL!$A$5:$M$4235,12,0),"")</f>
        <v>0</v>
      </c>
      <c r="M275" s="121">
        <f>IFERROR(VLOOKUP(B275,BD_CONTROL!$A$5:$M$4235,13,0),"")</f>
        <v>0</v>
      </c>
    </row>
    <row r="276" spans="1:13" ht="15" customHeight="1">
      <c r="A276" s="39">
        <v>271</v>
      </c>
      <c r="B276" s="39" t="s">
        <v>8754</v>
      </c>
      <c r="C276" s="40" t="s">
        <v>6735</v>
      </c>
      <c r="D276" s="39" t="s">
        <v>6893</v>
      </c>
      <c r="E276" s="40" t="s">
        <v>8613</v>
      </c>
      <c r="F276" s="40" t="s">
        <v>8613</v>
      </c>
      <c r="G276" s="39" t="s">
        <v>6739</v>
      </c>
      <c r="H276" s="40" t="s">
        <v>103</v>
      </c>
      <c r="I276" s="40" t="s">
        <v>6741</v>
      </c>
      <c r="J276" s="50"/>
      <c r="K276" s="116">
        <f>IFERROR(VLOOKUP(B276,BD_CONTROL!$A$5:$M$4235,11,0),"")</f>
        <v>0</v>
      </c>
      <c r="L276" s="117">
        <f>IFERROR(VLOOKUP(B276,BD_CONTROL!$A$5:$M$4235,12,0),"")</f>
        <v>0</v>
      </c>
      <c r="M276" s="118">
        <f>IFERROR(VLOOKUP(B276,BD_CONTROL!$A$5:$M$4235,13,0),"")</f>
        <v>0</v>
      </c>
    </row>
    <row r="277" spans="1:13" ht="15" customHeight="1">
      <c r="A277" s="42">
        <v>272</v>
      </c>
      <c r="B277" s="42" t="s">
        <v>8757</v>
      </c>
      <c r="C277" s="43" t="s">
        <v>6735</v>
      </c>
      <c r="D277" s="42" t="s">
        <v>6893</v>
      </c>
      <c r="E277" s="43" t="s">
        <v>6936</v>
      </c>
      <c r="F277" s="43" t="s">
        <v>8758</v>
      </c>
      <c r="G277" s="42" t="s">
        <v>6739</v>
      </c>
      <c r="H277" s="43" t="s">
        <v>103</v>
      </c>
      <c r="I277" s="43" t="s">
        <v>6741</v>
      </c>
      <c r="J277" s="55"/>
      <c r="K277" s="119">
        <f>IFERROR(VLOOKUP(B277,BD_CONTROL!$A$5:$M$4235,11,0),"")</f>
        <v>0</v>
      </c>
      <c r="L277" s="120">
        <f>IFERROR(VLOOKUP(B277,BD_CONTROL!$A$5:$M$4235,12,0),"")</f>
        <v>0</v>
      </c>
      <c r="M277" s="121">
        <f>IFERROR(VLOOKUP(B277,BD_CONTROL!$A$5:$M$4235,13,0),"")</f>
        <v>0</v>
      </c>
    </row>
    <row r="278" spans="1:13" ht="15" customHeight="1">
      <c r="A278" s="39">
        <v>273</v>
      </c>
      <c r="B278" s="39" t="s">
        <v>8809</v>
      </c>
      <c r="C278" s="40" t="s">
        <v>6735</v>
      </c>
      <c r="D278" s="39" t="s">
        <v>6893</v>
      </c>
      <c r="E278" s="40" t="s">
        <v>6936</v>
      </c>
      <c r="F278" s="40" t="s">
        <v>6936</v>
      </c>
      <c r="G278" s="39" t="s">
        <v>6739</v>
      </c>
      <c r="H278" s="40" t="s">
        <v>103</v>
      </c>
      <c r="I278" s="40" t="s">
        <v>6741</v>
      </c>
      <c r="J278" s="50"/>
      <c r="K278" s="116" t="str">
        <f>IFERROR(VLOOKUP(B278,BD_CONTROL!$A$5:$M$4235,11,0),"")</f>
        <v>Instalado - Sin Señal</v>
      </c>
      <c r="L278" s="117">
        <f>IFERROR(VLOOKUP(B278,BD_CONTROL!$A$5:$M$4235,12,0),"")</f>
        <v>46146</v>
      </c>
      <c r="M278" s="118" t="str">
        <f>IFERROR(VLOOKUP(B278,BD_CONTROL!$A$5:$M$4235,13,0),"")</f>
        <v>Queda pendiente validación por Mesa de Servicio</v>
      </c>
    </row>
    <row r="279" spans="1:13" ht="15" customHeight="1">
      <c r="A279" s="42">
        <v>274</v>
      </c>
      <c r="B279" s="42" t="s">
        <v>8830</v>
      </c>
      <c r="C279" s="43" t="s">
        <v>6735</v>
      </c>
      <c r="D279" s="42" t="s">
        <v>6893</v>
      </c>
      <c r="E279" s="43" t="s">
        <v>8613</v>
      </c>
      <c r="F279" s="43" t="s">
        <v>8613</v>
      </c>
      <c r="G279" s="42" t="s">
        <v>6739</v>
      </c>
      <c r="H279" s="43" t="s">
        <v>103</v>
      </c>
      <c r="I279" s="43" t="s">
        <v>6741</v>
      </c>
      <c r="J279" s="55"/>
      <c r="K279" s="119">
        <f>IFERROR(VLOOKUP(B279,BD_CONTROL!$A$5:$M$4235,11,0),"")</f>
        <v>0</v>
      </c>
      <c r="L279" s="120">
        <f>IFERROR(VLOOKUP(B279,BD_CONTROL!$A$5:$M$4235,12,0),"")</f>
        <v>0</v>
      </c>
      <c r="M279" s="121">
        <f>IFERROR(VLOOKUP(B279,BD_CONTROL!$A$5:$M$4235,13,0),"")</f>
        <v>0</v>
      </c>
    </row>
    <row r="280" spans="1:13" ht="15" customHeight="1">
      <c r="A280" s="39">
        <v>275</v>
      </c>
      <c r="B280" s="39" t="s">
        <v>8831</v>
      </c>
      <c r="C280" s="40" t="s">
        <v>6735</v>
      </c>
      <c r="D280" s="39" t="s">
        <v>6893</v>
      </c>
      <c r="E280" s="40" t="s">
        <v>6936</v>
      </c>
      <c r="F280" s="40" t="s">
        <v>6936</v>
      </c>
      <c r="G280" s="39" t="s">
        <v>6739</v>
      </c>
      <c r="H280" s="40" t="s">
        <v>103</v>
      </c>
      <c r="I280" s="40" t="s">
        <v>6741</v>
      </c>
      <c r="J280" s="50"/>
      <c r="K280" s="116">
        <f>IFERROR(VLOOKUP(B280,BD_CONTROL!$A$5:$M$4235,11,0),"")</f>
        <v>0</v>
      </c>
      <c r="L280" s="117">
        <f>IFERROR(VLOOKUP(B280,BD_CONTROL!$A$5:$M$4235,12,0),"")</f>
        <v>0</v>
      </c>
      <c r="M280" s="118">
        <f>IFERROR(VLOOKUP(B280,BD_CONTROL!$A$5:$M$4235,13,0),"")</f>
        <v>0</v>
      </c>
    </row>
    <row r="281" spans="1:13" ht="15" customHeight="1">
      <c r="A281" s="42">
        <v>276</v>
      </c>
      <c r="B281" s="42" t="s">
        <v>8849</v>
      </c>
      <c r="C281" s="43" t="s">
        <v>6735</v>
      </c>
      <c r="D281" s="42" t="s">
        <v>6893</v>
      </c>
      <c r="E281" s="43" t="s">
        <v>6936</v>
      </c>
      <c r="F281" s="43" t="s">
        <v>6936</v>
      </c>
      <c r="G281" s="42" t="s">
        <v>6739</v>
      </c>
      <c r="H281" s="43" t="s">
        <v>103</v>
      </c>
      <c r="I281" s="43" t="s">
        <v>6741</v>
      </c>
      <c r="J281" s="55"/>
      <c r="K281" s="119" t="str">
        <f>IFERROR(VLOOKUP(B281,BD_CONTROL!$A$5:$M$4235,11,0),"")</f>
        <v>Instalado - Operando</v>
      </c>
      <c r="L281" s="120">
        <f>IFERROR(VLOOKUP(B281,BD_CONTROL!$A$5:$M$4235,12,0),"")</f>
        <v>46147</v>
      </c>
      <c r="M281" s="121">
        <f>IFERROR(VLOOKUP(B281,BD_CONTROL!$A$5:$M$4235,13,0),"")</f>
        <v>0</v>
      </c>
    </row>
  </sheetData>
  <autoFilter ref="A5:M281" xr:uid="{00000000-0001-0000-0A00-000000000000}"/>
  <mergeCells count="3">
    <mergeCell ref="A1:M2"/>
    <mergeCell ref="A3:M3"/>
    <mergeCell ref="A4:M4"/>
  </mergeCells>
  <conditionalFormatting sqref="K6:K281">
    <cfRule type="expression" dxfId="47" priority="2">
      <formula>EXACT($K6,"INSTALADO - OPERANDO")</formula>
    </cfRule>
    <cfRule type="expression" dxfId="46" priority="3">
      <formula>EXACT($K6,"INSTALADO - SIN SEÑAL")</formula>
    </cfRule>
    <cfRule type="expression" dxfId="45" priority="4">
      <formula>EXACT($K6,"EQUIPO EN ALMACÉN")</formula>
    </cfRule>
    <cfRule type="expression" dxfId="44" priority="5">
      <formula>EXACT($K6,"PROGRAMADO")</formula>
    </cfRule>
    <cfRule type="expression" dxfId="43" priority="6">
      <formula>EXACT($K6,"VISITADO")</formula>
    </cfRule>
    <cfRule type="expression" dxfId="42" priority="7">
      <formula>EXACT($K6,"SIN INMUEBLE")</formula>
    </cfRule>
  </conditionalFormatting>
  <dataValidations count="1">
    <dataValidation type="list" allowBlank="1" sqref="K6:K281" xr:uid="{00000000-0002-0000-0A00-000000000000}">
      <formula1>"INSTALADO - OPERANDO,INSTALADO - SIN SEÑAL,EQUIPO EN ALMACÉN,PROGRAMADO,VISITADO,SIN INMUEBLE"</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96B"/>
  </sheetPr>
  <dimension ref="A1:M400"/>
  <sheetViews>
    <sheetView showGridLines="0" zoomScaleNormal="100" workbookViewId="0">
      <pane ySplit="5" topLeftCell="A207" activePane="bottomLeft" state="frozen"/>
      <selection pane="bottomLeft" activeCell="A225" sqref="A225"/>
    </sheetView>
  </sheetViews>
  <sheetFormatPr defaultColWidth="8.7109375" defaultRowHeight="15"/>
  <cols>
    <col min="1" max="1" width="5" customWidth="1"/>
    <col min="2" max="2" width="14" customWidth="1"/>
    <col min="3" max="3" width="36" customWidth="1"/>
    <col min="4" max="5" width="18" customWidth="1"/>
    <col min="6" max="6" width="16" customWidth="1"/>
    <col min="7" max="7" width="9" customWidth="1"/>
    <col min="8" max="8" width="20" customWidth="1"/>
    <col min="9" max="10" width="14" customWidth="1"/>
    <col min="11" max="11" width="26" customWidth="1"/>
    <col min="12" max="12" width="18" customWidth="1"/>
    <col min="13" max="13" width="30" customWidth="1"/>
  </cols>
  <sheetData>
    <row r="1" spans="1:13" ht="30" customHeight="1">
      <c r="A1" s="248" t="s">
        <v>9834</v>
      </c>
      <c r="B1" s="260"/>
      <c r="C1" s="260"/>
      <c r="D1" s="260"/>
      <c r="E1" s="260"/>
      <c r="F1" s="260"/>
      <c r="G1" s="260"/>
      <c r="H1" s="260"/>
      <c r="I1" s="260"/>
      <c r="J1" s="260"/>
      <c r="K1" s="260"/>
      <c r="L1" s="260"/>
      <c r="M1" s="260"/>
    </row>
    <row r="2" spans="1:13" ht="3.75" customHeight="1">
      <c r="A2" s="260"/>
      <c r="B2" s="260"/>
      <c r="C2" s="260"/>
      <c r="D2" s="260"/>
      <c r="E2" s="260"/>
      <c r="F2" s="260"/>
      <c r="G2" s="260"/>
      <c r="H2" s="260"/>
      <c r="I2" s="260"/>
      <c r="J2" s="260"/>
      <c r="K2" s="260"/>
      <c r="L2" s="260"/>
      <c r="M2" s="260"/>
    </row>
    <row r="3" spans="1:13" ht="15.75" customHeight="1">
      <c r="A3" s="193" t="s">
        <v>9832</v>
      </c>
      <c r="B3" s="260"/>
      <c r="C3" s="260"/>
      <c r="D3" s="260"/>
      <c r="E3" s="260"/>
      <c r="F3" s="260"/>
      <c r="G3" s="260"/>
      <c r="H3" s="260"/>
      <c r="I3" s="260"/>
      <c r="J3" s="260"/>
      <c r="K3" s="260"/>
      <c r="L3" s="260"/>
      <c r="M3" s="260"/>
    </row>
    <row r="4" spans="1:13" ht="3" customHeight="1">
      <c r="A4" s="249"/>
      <c r="B4" s="260"/>
      <c r="C4" s="260"/>
      <c r="D4" s="260"/>
      <c r="E4" s="260"/>
      <c r="F4" s="260"/>
      <c r="G4" s="260"/>
      <c r="H4" s="260"/>
      <c r="I4" s="260"/>
      <c r="J4" s="260"/>
      <c r="K4" s="260"/>
      <c r="L4" s="260"/>
      <c r="M4" s="260"/>
    </row>
    <row r="5" spans="1:13" ht="21.75" customHeight="1">
      <c r="A5" s="122" t="s">
        <v>9783</v>
      </c>
      <c r="B5" s="122" t="s">
        <v>84</v>
      </c>
      <c r="C5" s="122" t="s">
        <v>86</v>
      </c>
      <c r="D5" s="122" t="s">
        <v>87</v>
      </c>
      <c r="E5" s="122" t="s">
        <v>88</v>
      </c>
      <c r="F5" s="122" t="s">
        <v>89</v>
      </c>
      <c r="G5" s="122" t="s">
        <v>90</v>
      </c>
      <c r="H5" s="122" t="s">
        <v>92</v>
      </c>
      <c r="I5" s="122" t="s">
        <v>93</v>
      </c>
      <c r="J5" s="122" t="s">
        <v>9833</v>
      </c>
      <c r="K5" s="122" t="s">
        <v>94</v>
      </c>
      <c r="L5" s="122" t="s">
        <v>95</v>
      </c>
      <c r="M5" s="122" t="s">
        <v>96</v>
      </c>
    </row>
    <row r="6" spans="1:13" ht="15" customHeight="1">
      <c r="A6" s="39">
        <v>1</v>
      </c>
      <c r="B6" s="39" t="s">
        <v>2924</v>
      </c>
      <c r="C6" s="40" t="s">
        <v>2925</v>
      </c>
      <c r="D6" s="39" t="s">
        <v>553</v>
      </c>
      <c r="E6" s="40" t="s">
        <v>2926</v>
      </c>
      <c r="F6" s="40" t="s">
        <v>2926</v>
      </c>
      <c r="G6" s="39" t="s">
        <v>102</v>
      </c>
      <c r="H6" s="40" t="s">
        <v>2927</v>
      </c>
      <c r="I6" s="40" t="s">
        <v>104</v>
      </c>
      <c r="J6" s="50"/>
      <c r="K6" s="116">
        <f>IFERROR(VLOOKUP(B6,BD_CONTROL!$A$5:$M$4235,11,0),"")</f>
        <v>0</v>
      </c>
      <c r="L6" s="117">
        <f>IFERROR(VLOOKUP(B6,BD_CONTROL!$A$5:$M$4235,12,0),"")</f>
        <v>0</v>
      </c>
      <c r="M6" s="118">
        <f>IFERROR(VLOOKUP(B6,BD_CONTROL!$A$5:$M$4235,13,0),"")</f>
        <v>0</v>
      </c>
    </row>
    <row r="7" spans="1:13" ht="15" customHeight="1">
      <c r="A7" s="42">
        <v>2</v>
      </c>
      <c r="B7" s="42" t="s">
        <v>2931</v>
      </c>
      <c r="C7" s="43" t="s">
        <v>2932</v>
      </c>
      <c r="D7" s="42" t="s">
        <v>553</v>
      </c>
      <c r="E7" s="43" t="s">
        <v>2933</v>
      </c>
      <c r="F7" s="43" t="s">
        <v>2934</v>
      </c>
      <c r="G7" s="42" t="s">
        <v>109</v>
      </c>
      <c r="H7" s="43" t="s">
        <v>2927</v>
      </c>
      <c r="I7" s="43" t="s">
        <v>104</v>
      </c>
      <c r="J7" s="55"/>
      <c r="K7" s="119">
        <f>IFERROR(VLOOKUP(B7,BD_CONTROL!$A$5:$M$4235,11,0),"")</f>
        <v>0</v>
      </c>
      <c r="L7" s="120">
        <f>IFERROR(VLOOKUP(B7,BD_CONTROL!$A$5:$M$4235,12,0),"")</f>
        <v>0</v>
      </c>
      <c r="M7" s="121">
        <f>IFERROR(VLOOKUP(B7,BD_CONTROL!$A$5:$M$4235,13,0),"")</f>
        <v>0</v>
      </c>
    </row>
    <row r="8" spans="1:13" ht="15" customHeight="1">
      <c r="A8" s="39">
        <v>3</v>
      </c>
      <c r="B8" s="39" t="s">
        <v>2970</v>
      </c>
      <c r="C8" s="40" t="s">
        <v>2413</v>
      </c>
      <c r="D8" s="39" t="s">
        <v>553</v>
      </c>
      <c r="E8" s="40" t="s">
        <v>2971</v>
      </c>
      <c r="F8" s="40" t="s">
        <v>2972</v>
      </c>
      <c r="G8" s="39" t="s">
        <v>109</v>
      </c>
      <c r="H8" s="40" t="s">
        <v>2927</v>
      </c>
      <c r="I8" s="40" t="s">
        <v>104</v>
      </c>
      <c r="J8" s="50"/>
      <c r="K8" s="116" t="str">
        <f>IFERROR(VLOOKUP(B8,BD_CONTROL!$A$5:$M$4235,11,0),"")</f>
        <v>Instalado - Operando</v>
      </c>
      <c r="L8" s="117">
        <f>IFERROR(VLOOKUP(B8,BD_CONTROL!$A$5:$M$4235,12,0),"")</f>
        <v>46149</v>
      </c>
      <c r="M8" s="118">
        <f>IFERROR(VLOOKUP(B8,BD_CONTROL!$A$5:$M$4235,13,0),"")</f>
        <v>0</v>
      </c>
    </row>
    <row r="9" spans="1:13" ht="15" customHeight="1">
      <c r="A9" s="42">
        <v>4</v>
      </c>
      <c r="B9" s="42" t="s">
        <v>3050</v>
      </c>
      <c r="C9" s="43" t="s">
        <v>3051</v>
      </c>
      <c r="D9" s="42" t="s">
        <v>553</v>
      </c>
      <c r="E9" s="43" t="s">
        <v>3052</v>
      </c>
      <c r="F9" s="43" t="s">
        <v>3053</v>
      </c>
      <c r="G9" s="42" t="s">
        <v>109</v>
      </c>
      <c r="H9" s="43" t="s">
        <v>2927</v>
      </c>
      <c r="I9" s="43" t="s">
        <v>104</v>
      </c>
      <c r="J9" s="55"/>
      <c r="K9" s="119">
        <f>IFERROR(VLOOKUP(B9,BD_CONTROL!$A$5:$M$4235,11,0),"")</f>
        <v>0</v>
      </c>
      <c r="L9" s="120">
        <f>IFERROR(VLOOKUP(B9,BD_CONTROL!$A$5:$M$4235,12,0),"")</f>
        <v>0</v>
      </c>
      <c r="M9" s="121">
        <f>IFERROR(VLOOKUP(B9,BD_CONTROL!$A$5:$M$4235,13,0),"")</f>
        <v>0</v>
      </c>
    </row>
    <row r="10" spans="1:13" ht="15" customHeight="1">
      <c r="A10" s="39">
        <v>5</v>
      </c>
      <c r="B10" s="39" t="s">
        <v>3071</v>
      </c>
      <c r="C10" s="40" t="s">
        <v>3072</v>
      </c>
      <c r="D10" s="39" t="s">
        <v>553</v>
      </c>
      <c r="E10" s="40" t="s">
        <v>2926</v>
      </c>
      <c r="F10" s="40" t="s">
        <v>3073</v>
      </c>
      <c r="G10" s="39" t="s">
        <v>109</v>
      </c>
      <c r="H10" s="40" t="s">
        <v>2927</v>
      </c>
      <c r="I10" s="40" t="s">
        <v>104</v>
      </c>
      <c r="J10" s="50"/>
      <c r="K10" s="116">
        <f>IFERROR(VLOOKUP(B10,BD_CONTROL!$A$5:$M$4235,11,0),"")</f>
        <v>0</v>
      </c>
      <c r="L10" s="117">
        <f>IFERROR(VLOOKUP(B10,BD_CONTROL!$A$5:$M$4235,12,0),"")</f>
        <v>0</v>
      </c>
      <c r="M10" s="118">
        <f>IFERROR(VLOOKUP(B10,BD_CONTROL!$A$5:$M$4235,13,0),"")</f>
        <v>0</v>
      </c>
    </row>
    <row r="11" spans="1:13" ht="15" customHeight="1">
      <c r="A11" s="42">
        <v>6</v>
      </c>
      <c r="B11" s="42" t="s">
        <v>3085</v>
      </c>
      <c r="C11" s="43" t="s">
        <v>3086</v>
      </c>
      <c r="D11" s="42" t="s">
        <v>553</v>
      </c>
      <c r="E11" s="43" t="s">
        <v>2926</v>
      </c>
      <c r="F11" s="43" t="s">
        <v>3087</v>
      </c>
      <c r="G11" s="42" t="s">
        <v>109</v>
      </c>
      <c r="H11" s="43" t="s">
        <v>2927</v>
      </c>
      <c r="I11" s="43" t="s">
        <v>104</v>
      </c>
      <c r="J11" s="55"/>
      <c r="K11" s="119">
        <f>IFERROR(VLOOKUP(B11,BD_CONTROL!$A$5:$M$4235,11,0),"")</f>
        <v>0</v>
      </c>
      <c r="L11" s="120">
        <f>IFERROR(VLOOKUP(B11,BD_CONTROL!$A$5:$M$4235,12,0),"")</f>
        <v>0</v>
      </c>
      <c r="M11" s="121">
        <f>IFERROR(VLOOKUP(B11,BD_CONTROL!$A$5:$M$4235,13,0),"")</f>
        <v>0</v>
      </c>
    </row>
    <row r="12" spans="1:13" ht="15" customHeight="1">
      <c r="A12" s="39">
        <v>7</v>
      </c>
      <c r="B12" s="39" t="s">
        <v>3088</v>
      </c>
      <c r="C12" s="40" t="s">
        <v>3089</v>
      </c>
      <c r="D12" s="39" t="s">
        <v>553</v>
      </c>
      <c r="E12" s="40" t="s">
        <v>2926</v>
      </c>
      <c r="F12" s="40" t="s">
        <v>3084</v>
      </c>
      <c r="G12" s="39" t="s">
        <v>109</v>
      </c>
      <c r="H12" s="40" t="s">
        <v>2927</v>
      </c>
      <c r="I12" s="40" t="s">
        <v>104</v>
      </c>
      <c r="J12" s="50"/>
      <c r="K12" s="116">
        <f>IFERROR(VLOOKUP(B12,BD_CONTROL!$A$5:$M$4235,11,0),"")</f>
        <v>0</v>
      </c>
      <c r="L12" s="117">
        <f>IFERROR(VLOOKUP(B12,BD_CONTROL!$A$5:$M$4235,12,0),"")</f>
        <v>0</v>
      </c>
      <c r="M12" s="118">
        <f>IFERROR(VLOOKUP(B12,BD_CONTROL!$A$5:$M$4235,13,0),"")</f>
        <v>0</v>
      </c>
    </row>
    <row r="13" spans="1:13" ht="15" customHeight="1">
      <c r="A13" s="42">
        <v>8</v>
      </c>
      <c r="B13" s="42" t="s">
        <v>3090</v>
      </c>
      <c r="C13" s="43" t="s">
        <v>3091</v>
      </c>
      <c r="D13" s="42" t="s">
        <v>553</v>
      </c>
      <c r="E13" s="43" t="s">
        <v>2926</v>
      </c>
      <c r="F13" s="43" t="s">
        <v>3092</v>
      </c>
      <c r="G13" s="42" t="s">
        <v>109</v>
      </c>
      <c r="H13" s="43" t="s">
        <v>2927</v>
      </c>
      <c r="I13" s="43" t="s">
        <v>104</v>
      </c>
      <c r="J13" s="55"/>
      <c r="K13" s="119">
        <f>IFERROR(VLOOKUP(B13,BD_CONTROL!$A$5:$M$4235,11,0),"")</f>
        <v>0</v>
      </c>
      <c r="L13" s="120">
        <f>IFERROR(VLOOKUP(B13,BD_CONTROL!$A$5:$M$4235,12,0),"")</f>
        <v>0</v>
      </c>
      <c r="M13" s="121">
        <f>IFERROR(VLOOKUP(B13,BD_CONTROL!$A$5:$M$4235,13,0),"")</f>
        <v>0</v>
      </c>
    </row>
    <row r="14" spans="1:13" ht="15" customHeight="1">
      <c r="A14" s="39">
        <v>9</v>
      </c>
      <c r="B14" s="39" t="s">
        <v>3110</v>
      </c>
      <c r="C14" s="40" t="s">
        <v>3111</v>
      </c>
      <c r="D14" s="39" t="s">
        <v>553</v>
      </c>
      <c r="E14" s="40" t="s">
        <v>3052</v>
      </c>
      <c r="F14" s="40" t="s">
        <v>3112</v>
      </c>
      <c r="G14" s="39" t="s">
        <v>109</v>
      </c>
      <c r="H14" s="40" t="s">
        <v>2927</v>
      </c>
      <c r="I14" s="40" t="s">
        <v>104</v>
      </c>
      <c r="J14" s="50"/>
      <c r="K14" s="116">
        <f>IFERROR(VLOOKUP(B14,BD_CONTROL!$A$5:$M$4235,11,0),"")</f>
        <v>0</v>
      </c>
      <c r="L14" s="117">
        <f>IFERROR(VLOOKUP(B14,BD_CONTROL!$A$5:$M$4235,12,0),"")</f>
        <v>0</v>
      </c>
      <c r="M14" s="118">
        <f>IFERROR(VLOOKUP(B14,BD_CONTROL!$A$5:$M$4235,13,0),"")</f>
        <v>0</v>
      </c>
    </row>
    <row r="15" spans="1:13" ht="15" customHeight="1">
      <c r="A15" s="42">
        <v>10</v>
      </c>
      <c r="B15" s="42" t="s">
        <v>3128</v>
      </c>
      <c r="C15" s="43" t="s">
        <v>3129</v>
      </c>
      <c r="D15" s="42" t="s">
        <v>553</v>
      </c>
      <c r="E15" s="43" t="s">
        <v>3130</v>
      </c>
      <c r="F15" s="43" t="s">
        <v>3131</v>
      </c>
      <c r="G15" s="42" t="s">
        <v>109</v>
      </c>
      <c r="H15" s="43" t="s">
        <v>2927</v>
      </c>
      <c r="I15" s="43" t="s">
        <v>104</v>
      </c>
      <c r="J15" s="55"/>
      <c r="K15" s="119">
        <f>IFERROR(VLOOKUP(B15,BD_CONTROL!$A$5:$M$4235,11,0),"")</f>
        <v>0</v>
      </c>
      <c r="L15" s="120">
        <f>IFERROR(VLOOKUP(B15,BD_CONTROL!$A$5:$M$4235,12,0),"")</f>
        <v>0</v>
      </c>
      <c r="M15" s="121">
        <f>IFERROR(VLOOKUP(B15,BD_CONTROL!$A$5:$M$4235,13,0),"")</f>
        <v>0</v>
      </c>
    </row>
    <row r="16" spans="1:13" ht="15" customHeight="1">
      <c r="A16" s="39">
        <v>11</v>
      </c>
      <c r="B16" s="39" t="s">
        <v>3152</v>
      </c>
      <c r="C16" s="40" t="s">
        <v>3153</v>
      </c>
      <c r="D16" s="39" t="s">
        <v>553</v>
      </c>
      <c r="E16" s="40" t="s">
        <v>3154</v>
      </c>
      <c r="F16" s="40" t="s">
        <v>3155</v>
      </c>
      <c r="G16" s="39" t="s">
        <v>109</v>
      </c>
      <c r="H16" s="40" t="s">
        <v>2927</v>
      </c>
      <c r="I16" s="40" t="s">
        <v>104</v>
      </c>
      <c r="J16" s="50"/>
      <c r="K16" s="116">
        <f>IFERROR(VLOOKUP(B16,BD_CONTROL!$A$5:$M$4235,11,0),"")</f>
        <v>0</v>
      </c>
      <c r="L16" s="117">
        <f>IFERROR(VLOOKUP(B16,BD_CONTROL!$A$5:$M$4235,12,0),"")</f>
        <v>0</v>
      </c>
      <c r="M16" s="118">
        <f>IFERROR(VLOOKUP(B16,BD_CONTROL!$A$5:$M$4235,13,0),"")</f>
        <v>0</v>
      </c>
    </row>
    <row r="17" spans="1:13" ht="15" customHeight="1">
      <c r="A17" s="42">
        <v>12</v>
      </c>
      <c r="B17" s="42" t="s">
        <v>3171</v>
      </c>
      <c r="C17" s="43" t="s">
        <v>3172</v>
      </c>
      <c r="D17" s="42" t="s">
        <v>553</v>
      </c>
      <c r="E17" s="43" t="s">
        <v>3173</v>
      </c>
      <c r="F17" s="43" t="s">
        <v>3174</v>
      </c>
      <c r="G17" s="42" t="s">
        <v>109</v>
      </c>
      <c r="H17" s="43" t="s">
        <v>2927</v>
      </c>
      <c r="I17" s="43" t="s">
        <v>104</v>
      </c>
      <c r="J17" s="55"/>
      <c r="K17" s="119">
        <f>IFERROR(VLOOKUP(B17,BD_CONTROL!$A$5:$M$4235,11,0),"")</f>
        <v>0</v>
      </c>
      <c r="L17" s="120">
        <f>IFERROR(VLOOKUP(B17,BD_CONTROL!$A$5:$M$4235,12,0),"")</f>
        <v>0</v>
      </c>
      <c r="M17" s="121">
        <f>IFERROR(VLOOKUP(B17,BD_CONTROL!$A$5:$M$4235,13,0),"")</f>
        <v>0</v>
      </c>
    </row>
    <row r="18" spans="1:13" ht="15" customHeight="1">
      <c r="A18" s="39">
        <v>13</v>
      </c>
      <c r="B18" s="39" t="s">
        <v>3187</v>
      </c>
      <c r="C18" s="40" t="s">
        <v>3188</v>
      </c>
      <c r="D18" s="39" t="s">
        <v>553</v>
      </c>
      <c r="E18" s="40" t="s">
        <v>3154</v>
      </c>
      <c r="F18" s="40" t="s">
        <v>3189</v>
      </c>
      <c r="G18" s="39" t="s">
        <v>109</v>
      </c>
      <c r="H18" s="40" t="s">
        <v>2927</v>
      </c>
      <c r="I18" s="40" t="s">
        <v>104</v>
      </c>
      <c r="J18" s="50"/>
      <c r="K18" s="116">
        <f>IFERROR(VLOOKUP(B18,BD_CONTROL!$A$5:$M$4235,11,0),"")</f>
        <v>0</v>
      </c>
      <c r="L18" s="117">
        <f>IFERROR(VLOOKUP(B18,BD_CONTROL!$A$5:$M$4235,12,0),"")</f>
        <v>0</v>
      </c>
      <c r="M18" s="118">
        <f>IFERROR(VLOOKUP(B18,BD_CONTROL!$A$5:$M$4235,13,0),"")</f>
        <v>0</v>
      </c>
    </row>
    <row r="19" spans="1:13" ht="15" customHeight="1">
      <c r="A19" s="42">
        <v>14</v>
      </c>
      <c r="B19" s="42" t="s">
        <v>3225</v>
      </c>
      <c r="C19" s="43" t="s">
        <v>3226</v>
      </c>
      <c r="D19" s="42" t="s">
        <v>553</v>
      </c>
      <c r="E19" s="43" t="s">
        <v>3227</v>
      </c>
      <c r="F19" s="43" t="s">
        <v>3228</v>
      </c>
      <c r="G19" s="42" t="s">
        <v>109</v>
      </c>
      <c r="H19" s="43" t="s">
        <v>2927</v>
      </c>
      <c r="I19" s="43" t="s">
        <v>104</v>
      </c>
      <c r="J19" s="55"/>
      <c r="K19" s="119" t="str">
        <f>IFERROR(VLOOKUP(B19,BD_CONTROL!$A$5:$M$4235,11,0),"")</f>
        <v>Instalado - Operando</v>
      </c>
      <c r="L19" s="120">
        <f>IFERROR(VLOOKUP(B19,BD_CONTROL!$A$5:$M$4235,12,0),"")</f>
        <v>46150</v>
      </c>
      <c r="M19" s="121">
        <f>IFERROR(VLOOKUP(B19,BD_CONTROL!$A$5:$M$4235,13,0),"")</f>
        <v>0</v>
      </c>
    </row>
    <row r="20" spans="1:13" ht="15" customHeight="1">
      <c r="A20" s="39">
        <v>15</v>
      </c>
      <c r="B20" s="39" t="s">
        <v>3245</v>
      </c>
      <c r="C20" s="40" t="s">
        <v>3246</v>
      </c>
      <c r="D20" s="39" t="s">
        <v>553</v>
      </c>
      <c r="E20" s="40" t="s">
        <v>3173</v>
      </c>
      <c r="F20" s="40" t="s">
        <v>3247</v>
      </c>
      <c r="G20" s="39" t="s">
        <v>109</v>
      </c>
      <c r="H20" s="40" t="s">
        <v>2927</v>
      </c>
      <c r="I20" s="40" t="s">
        <v>104</v>
      </c>
      <c r="J20" s="50"/>
      <c r="K20" s="116">
        <f>IFERROR(VLOOKUP(B20,BD_CONTROL!$A$5:$M$4235,11,0),"")</f>
        <v>0</v>
      </c>
      <c r="L20" s="117">
        <f>IFERROR(VLOOKUP(B20,BD_CONTROL!$A$5:$M$4235,12,0),"")</f>
        <v>0</v>
      </c>
      <c r="M20" s="118">
        <f>IFERROR(VLOOKUP(B20,BD_CONTROL!$A$5:$M$4235,13,0),"")</f>
        <v>0</v>
      </c>
    </row>
    <row r="21" spans="1:13" ht="15" customHeight="1">
      <c r="A21" s="42">
        <v>16</v>
      </c>
      <c r="B21" s="42" t="s">
        <v>3258</v>
      </c>
      <c r="C21" s="43" t="s">
        <v>3259</v>
      </c>
      <c r="D21" s="42" t="s">
        <v>553</v>
      </c>
      <c r="E21" s="43" t="s">
        <v>2971</v>
      </c>
      <c r="F21" s="43" t="s">
        <v>3260</v>
      </c>
      <c r="G21" s="42" t="s">
        <v>109</v>
      </c>
      <c r="H21" s="43" t="s">
        <v>2927</v>
      </c>
      <c r="I21" s="43" t="s">
        <v>104</v>
      </c>
      <c r="J21" s="55"/>
      <c r="K21" s="119">
        <f>IFERROR(VLOOKUP(B21,BD_CONTROL!$A$5:$M$4235,11,0),"")</f>
        <v>0</v>
      </c>
      <c r="L21" s="120">
        <f>IFERROR(VLOOKUP(B21,BD_CONTROL!$A$5:$M$4235,12,0),"")</f>
        <v>0</v>
      </c>
      <c r="M21" s="121">
        <f>IFERROR(VLOOKUP(B21,BD_CONTROL!$A$5:$M$4235,13,0),"")</f>
        <v>0</v>
      </c>
    </row>
    <row r="22" spans="1:13" ht="15" customHeight="1">
      <c r="A22" s="39">
        <v>17</v>
      </c>
      <c r="B22" s="39" t="s">
        <v>3278</v>
      </c>
      <c r="C22" s="40" t="s">
        <v>3279</v>
      </c>
      <c r="D22" s="39" t="s">
        <v>553</v>
      </c>
      <c r="E22" s="40" t="s">
        <v>3173</v>
      </c>
      <c r="F22" s="40" t="s">
        <v>3280</v>
      </c>
      <c r="G22" s="39" t="s">
        <v>109</v>
      </c>
      <c r="H22" s="40" t="s">
        <v>2927</v>
      </c>
      <c r="I22" s="40" t="s">
        <v>104</v>
      </c>
      <c r="J22" s="50"/>
      <c r="K22" s="116">
        <f>IFERROR(VLOOKUP(B22,BD_CONTROL!$A$5:$M$4235,11,0),"")</f>
        <v>0</v>
      </c>
      <c r="L22" s="117">
        <f>IFERROR(VLOOKUP(B22,BD_CONTROL!$A$5:$M$4235,12,0),"")</f>
        <v>0</v>
      </c>
      <c r="M22" s="118">
        <f>IFERROR(VLOOKUP(B22,BD_CONTROL!$A$5:$M$4235,13,0),"")</f>
        <v>0</v>
      </c>
    </row>
    <row r="23" spans="1:13" ht="15" customHeight="1">
      <c r="A23" s="42">
        <v>18</v>
      </c>
      <c r="B23" s="42" t="s">
        <v>3324</v>
      </c>
      <c r="C23" s="43" t="s">
        <v>3325</v>
      </c>
      <c r="D23" s="42" t="s">
        <v>553</v>
      </c>
      <c r="E23" s="43" t="s">
        <v>3083</v>
      </c>
      <c r="F23" s="43" t="s">
        <v>3084</v>
      </c>
      <c r="G23" s="42" t="s">
        <v>109</v>
      </c>
      <c r="H23" s="43" t="s">
        <v>2927</v>
      </c>
      <c r="I23" s="43" t="s">
        <v>104</v>
      </c>
      <c r="J23" s="55"/>
      <c r="K23" s="119">
        <f>IFERROR(VLOOKUP(B23,BD_CONTROL!$A$5:$M$4235,11,0),"")</f>
        <v>0</v>
      </c>
      <c r="L23" s="120">
        <f>IFERROR(VLOOKUP(B23,BD_CONTROL!$A$5:$M$4235,12,0),"")</f>
        <v>0</v>
      </c>
      <c r="M23" s="121">
        <f>IFERROR(VLOOKUP(B23,BD_CONTROL!$A$5:$M$4235,13,0),"")</f>
        <v>0</v>
      </c>
    </row>
    <row r="24" spans="1:13" ht="15" customHeight="1">
      <c r="A24" s="39">
        <v>19</v>
      </c>
      <c r="B24" s="39" t="s">
        <v>3339</v>
      </c>
      <c r="C24" s="40" t="s">
        <v>3340</v>
      </c>
      <c r="D24" s="39" t="s">
        <v>553</v>
      </c>
      <c r="E24" s="40" t="s">
        <v>3154</v>
      </c>
      <c r="F24" s="40" t="s">
        <v>3341</v>
      </c>
      <c r="G24" s="39" t="s">
        <v>109</v>
      </c>
      <c r="H24" s="40" t="s">
        <v>2927</v>
      </c>
      <c r="I24" s="40" t="s">
        <v>104</v>
      </c>
      <c r="J24" s="50"/>
      <c r="K24" s="116">
        <f>IFERROR(VLOOKUP(B24,BD_CONTROL!$A$5:$M$4235,11,0),"")</f>
        <v>0</v>
      </c>
      <c r="L24" s="117">
        <f>IFERROR(VLOOKUP(B24,BD_CONTROL!$A$5:$M$4235,12,0),"")</f>
        <v>0</v>
      </c>
      <c r="M24" s="118">
        <f>IFERROR(VLOOKUP(B24,BD_CONTROL!$A$5:$M$4235,13,0),"")</f>
        <v>0</v>
      </c>
    </row>
    <row r="25" spans="1:13" ht="15" customHeight="1">
      <c r="A25" s="42">
        <v>20</v>
      </c>
      <c r="B25" s="42" t="s">
        <v>3347</v>
      </c>
      <c r="C25" s="43" t="s">
        <v>3348</v>
      </c>
      <c r="D25" s="42" t="s">
        <v>553</v>
      </c>
      <c r="E25" s="43" t="s">
        <v>2926</v>
      </c>
      <c r="F25" s="43" t="s">
        <v>3348</v>
      </c>
      <c r="G25" s="42" t="s">
        <v>109</v>
      </c>
      <c r="H25" s="43" t="s">
        <v>2927</v>
      </c>
      <c r="I25" s="43" t="s">
        <v>104</v>
      </c>
      <c r="J25" s="55"/>
      <c r="K25" s="119">
        <f>IFERROR(VLOOKUP(B25,BD_CONTROL!$A$5:$M$4235,11,0),"")</f>
        <v>0</v>
      </c>
      <c r="L25" s="120">
        <f>IFERROR(VLOOKUP(B25,BD_CONTROL!$A$5:$M$4235,12,0),"")</f>
        <v>0</v>
      </c>
      <c r="M25" s="121">
        <f>IFERROR(VLOOKUP(B25,BD_CONTROL!$A$5:$M$4235,13,0),"")</f>
        <v>0</v>
      </c>
    </row>
    <row r="26" spans="1:13" ht="15" customHeight="1">
      <c r="A26" s="39">
        <v>21</v>
      </c>
      <c r="B26" s="39" t="s">
        <v>3352</v>
      </c>
      <c r="C26" s="40" t="s">
        <v>3353</v>
      </c>
      <c r="D26" s="39" t="s">
        <v>553</v>
      </c>
      <c r="E26" s="40" t="s">
        <v>3130</v>
      </c>
      <c r="F26" s="40" t="s">
        <v>3354</v>
      </c>
      <c r="G26" s="39" t="s">
        <v>109</v>
      </c>
      <c r="H26" s="40" t="s">
        <v>2927</v>
      </c>
      <c r="I26" s="40" t="s">
        <v>104</v>
      </c>
      <c r="J26" s="50"/>
      <c r="K26" s="116">
        <f>IFERROR(VLOOKUP(B26,BD_CONTROL!$A$5:$M$4235,11,0),"")</f>
        <v>0</v>
      </c>
      <c r="L26" s="117">
        <f>IFERROR(VLOOKUP(B26,BD_CONTROL!$A$5:$M$4235,12,0),"")</f>
        <v>0</v>
      </c>
      <c r="M26" s="118">
        <f>IFERROR(VLOOKUP(B26,BD_CONTROL!$A$5:$M$4235,13,0),"")</f>
        <v>0</v>
      </c>
    </row>
    <row r="27" spans="1:13" ht="15" customHeight="1">
      <c r="A27" s="42">
        <v>22</v>
      </c>
      <c r="B27" s="42" t="s">
        <v>3358</v>
      </c>
      <c r="C27" s="43" t="s">
        <v>3359</v>
      </c>
      <c r="D27" s="42" t="s">
        <v>553</v>
      </c>
      <c r="E27" s="43" t="s">
        <v>3360</v>
      </c>
      <c r="F27" s="43" t="s">
        <v>3361</v>
      </c>
      <c r="G27" s="42" t="s">
        <v>109</v>
      </c>
      <c r="H27" s="43" t="s">
        <v>2927</v>
      </c>
      <c r="I27" s="43" t="s">
        <v>104</v>
      </c>
      <c r="J27" s="55"/>
      <c r="K27" s="119" t="str">
        <f>IFERROR(VLOOKUP(B27,BD_CONTROL!$A$5:$M$4235,11,0),"")</f>
        <v>Instalado - Operando</v>
      </c>
      <c r="L27" s="120">
        <f>IFERROR(VLOOKUP(B27,BD_CONTROL!$A$5:$M$4235,12,0),"")</f>
        <v>46149</v>
      </c>
      <c r="M27" s="121">
        <f>IFERROR(VLOOKUP(B27,BD_CONTROL!$A$5:$M$4235,13,0),"")</f>
        <v>0</v>
      </c>
    </row>
    <row r="28" spans="1:13" ht="15" customHeight="1">
      <c r="A28" s="39">
        <v>23</v>
      </c>
      <c r="B28" s="39" t="s">
        <v>5960</v>
      </c>
      <c r="C28" s="40" t="s">
        <v>5961</v>
      </c>
      <c r="D28" s="39" t="s">
        <v>5640</v>
      </c>
      <c r="E28" s="40" t="s">
        <v>5962</v>
      </c>
      <c r="F28" s="40" t="s">
        <v>5962</v>
      </c>
      <c r="G28" s="39" t="s">
        <v>109</v>
      </c>
      <c r="H28" s="40" t="s">
        <v>2927</v>
      </c>
      <c r="I28" s="40" t="s">
        <v>104</v>
      </c>
      <c r="J28" s="50"/>
      <c r="K28" s="116">
        <f>IFERROR(VLOOKUP(B28,BD_CONTROL!$A$5:$M$4235,11,0),"")</f>
        <v>0</v>
      </c>
      <c r="L28" s="117">
        <f>IFERROR(VLOOKUP(B28,BD_CONTROL!$A$5:$M$4235,12,0),"")</f>
        <v>0</v>
      </c>
      <c r="M28" s="118">
        <f>IFERROR(VLOOKUP(B28,BD_CONTROL!$A$5:$M$4235,13,0),"")</f>
        <v>0</v>
      </c>
    </row>
    <row r="29" spans="1:13" ht="15" customHeight="1">
      <c r="A29" s="42">
        <v>24</v>
      </c>
      <c r="B29" s="42" t="s">
        <v>6574</v>
      </c>
      <c r="C29" s="43" t="s">
        <v>3415</v>
      </c>
      <c r="D29" s="42" t="s">
        <v>6458</v>
      </c>
      <c r="E29" s="43" t="s">
        <v>5841</v>
      </c>
      <c r="F29" s="43" t="s">
        <v>6575</v>
      </c>
      <c r="G29" s="42" t="s">
        <v>109</v>
      </c>
      <c r="H29" s="43" t="s">
        <v>2927</v>
      </c>
      <c r="I29" s="43" t="s">
        <v>104</v>
      </c>
      <c r="J29" s="55"/>
      <c r="K29" s="119">
        <f>IFERROR(VLOOKUP(B29,BD_CONTROL!$A$5:$M$4235,11,0),"")</f>
        <v>0</v>
      </c>
      <c r="L29" s="120">
        <f>IFERROR(VLOOKUP(B29,BD_CONTROL!$A$5:$M$4235,12,0),"")</f>
        <v>0</v>
      </c>
      <c r="M29" s="121">
        <f>IFERROR(VLOOKUP(B29,BD_CONTROL!$A$5:$M$4235,13,0),"")</f>
        <v>0</v>
      </c>
    </row>
    <row r="30" spans="1:13" ht="15" customHeight="1">
      <c r="A30" s="39">
        <v>25</v>
      </c>
      <c r="B30" s="39" t="s">
        <v>6576</v>
      </c>
      <c r="C30" s="40" t="s">
        <v>1337</v>
      </c>
      <c r="D30" s="39" t="s">
        <v>6458</v>
      </c>
      <c r="E30" s="40" t="s">
        <v>5841</v>
      </c>
      <c r="F30" s="40" t="s">
        <v>6577</v>
      </c>
      <c r="G30" s="39" t="s">
        <v>109</v>
      </c>
      <c r="H30" s="40" t="s">
        <v>2927</v>
      </c>
      <c r="I30" s="40" t="s">
        <v>104</v>
      </c>
      <c r="J30" s="50"/>
      <c r="K30" s="116">
        <f>IFERROR(VLOOKUP(B30,BD_CONTROL!$A$5:$M$4235,11,0),"")</f>
        <v>0</v>
      </c>
      <c r="L30" s="117">
        <f>IFERROR(VLOOKUP(B30,BD_CONTROL!$A$5:$M$4235,12,0),"")</f>
        <v>0</v>
      </c>
      <c r="M30" s="118">
        <f>IFERROR(VLOOKUP(B30,BD_CONTROL!$A$5:$M$4235,13,0),"")</f>
        <v>0</v>
      </c>
    </row>
    <row r="31" spans="1:13" ht="15" customHeight="1">
      <c r="A31" s="42">
        <v>26</v>
      </c>
      <c r="B31" s="42" t="s">
        <v>6662</v>
      </c>
      <c r="C31" s="43" t="s">
        <v>6470</v>
      </c>
      <c r="D31" s="42" t="s">
        <v>6458</v>
      </c>
      <c r="E31" s="43" t="s">
        <v>5841</v>
      </c>
      <c r="F31" s="43" t="s">
        <v>6663</v>
      </c>
      <c r="G31" s="42" t="s">
        <v>109</v>
      </c>
      <c r="H31" s="43" t="s">
        <v>2927</v>
      </c>
      <c r="I31" s="43" t="s">
        <v>104</v>
      </c>
      <c r="J31" s="55"/>
      <c r="K31" s="119">
        <f>IFERROR(VLOOKUP(B31,BD_CONTROL!$A$5:$M$4235,11,0),"")</f>
        <v>0</v>
      </c>
      <c r="L31" s="120">
        <f>IFERROR(VLOOKUP(B31,BD_CONTROL!$A$5:$M$4235,12,0),"")</f>
        <v>0</v>
      </c>
      <c r="M31" s="121">
        <f>IFERROR(VLOOKUP(B31,BD_CONTROL!$A$5:$M$4235,13,0),"")</f>
        <v>0</v>
      </c>
    </row>
    <row r="32" spans="1:13" ht="15" customHeight="1">
      <c r="A32" s="39">
        <v>27</v>
      </c>
      <c r="B32" s="39" t="s">
        <v>7155</v>
      </c>
      <c r="C32" s="40" t="s">
        <v>7156</v>
      </c>
      <c r="D32" s="39" t="s">
        <v>7142</v>
      </c>
      <c r="E32" s="40" t="s">
        <v>7157</v>
      </c>
      <c r="F32" s="40" t="s">
        <v>7158</v>
      </c>
      <c r="G32" s="39" t="s">
        <v>109</v>
      </c>
      <c r="H32" s="40" t="s">
        <v>2927</v>
      </c>
      <c r="I32" s="40" t="s">
        <v>104</v>
      </c>
      <c r="J32" s="50"/>
      <c r="K32" s="116">
        <f>IFERROR(VLOOKUP(B32,BD_CONTROL!$A$5:$M$4235,11,0),"")</f>
        <v>0</v>
      </c>
      <c r="L32" s="117">
        <f>IFERROR(VLOOKUP(B32,BD_CONTROL!$A$5:$M$4235,12,0),"")</f>
        <v>0</v>
      </c>
      <c r="M32" s="118">
        <f>IFERROR(VLOOKUP(B32,BD_CONTROL!$A$5:$M$4235,13,0),"")</f>
        <v>0</v>
      </c>
    </row>
    <row r="33" spans="1:13" ht="15" customHeight="1">
      <c r="A33" s="42">
        <v>28</v>
      </c>
      <c r="B33" s="42" t="s">
        <v>7205</v>
      </c>
      <c r="C33" s="43" t="s">
        <v>7206</v>
      </c>
      <c r="D33" s="42" t="s">
        <v>7142</v>
      </c>
      <c r="E33" s="43" t="s">
        <v>3260</v>
      </c>
      <c r="F33" s="43" t="s">
        <v>314</v>
      </c>
      <c r="G33" s="42" t="s">
        <v>109</v>
      </c>
      <c r="H33" s="43" t="s">
        <v>2927</v>
      </c>
      <c r="I33" s="43" t="s">
        <v>104</v>
      </c>
      <c r="J33" s="55"/>
      <c r="K33" s="119">
        <f>IFERROR(VLOOKUP(B33,BD_CONTROL!$A$5:$M$4235,11,0),"")</f>
        <v>0</v>
      </c>
      <c r="L33" s="120">
        <f>IFERROR(VLOOKUP(B33,BD_CONTROL!$A$5:$M$4235,12,0),"")</f>
        <v>0</v>
      </c>
      <c r="M33" s="121">
        <f>IFERROR(VLOOKUP(B33,BD_CONTROL!$A$5:$M$4235,13,0),"")</f>
        <v>0</v>
      </c>
    </row>
    <row r="34" spans="1:13" ht="15" customHeight="1">
      <c r="A34" s="39">
        <v>29</v>
      </c>
      <c r="B34" s="39" t="s">
        <v>7593</v>
      </c>
      <c r="C34" s="40" t="s">
        <v>6735</v>
      </c>
      <c r="D34" s="39" t="s">
        <v>553</v>
      </c>
      <c r="E34" s="40" t="s">
        <v>3173</v>
      </c>
      <c r="F34" s="40" t="s">
        <v>3173</v>
      </c>
      <c r="G34" s="39" t="s">
        <v>6739</v>
      </c>
      <c r="H34" s="40" t="s">
        <v>2927</v>
      </c>
      <c r="I34" s="40" t="s">
        <v>6741</v>
      </c>
      <c r="J34" s="50"/>
      <c r="K34" s="116">
        <f>IFERROR(VLOOKUP(B34,BD_CONTROL!$A$5:$M$4235,11,0),"")</f>
        <v>0</v>
      </c>
      <c r="L34" s="117">
        <f>IFERROR(VLOOKUP(B34,BD_CONTROL!$A$5:$M$4235,12,0),"")</f>
        <v>0</v>
      </c>
      <c r="M34" s="118">
        <f>IFERROR(VLOOKUP(B34,BD_CONTROL!$A$5:$M$4235,13,0),"")</f>
        <v>0</v>
      </c>
    </row>
    <row r="35" spans="1:13" ht="15" customHeight="1">
      <c r="A35" s="42">
        <v>30</v>
      </c>
      <c r="B35" s="42" t="s">
        <v>7607</v>
      </c>
      <c r="C35" s="43" t="s">
        <v>6735</v>
      </c>
      <c r="D35" s="42" t="s">
        <v>553</v>
      </c>
      <c r="E35" s="43" t="s">
        <v>3154</v>
      </c>
      <c r="F35" s="43" t="s">
        <v>3154</v>
      </c>
      <c r="G35" s="42" t="s">
        <v>6739</v>
      </c>
      <c r="H35" s="43" t="s">
        <v>2927</v>
      </c>
      <c r="I35" s="43" t="s">
        <v>6741</v>
      </c>
      <c r="J35" s="55"/>
      <c r="K35" s="119">
        <f>IFERROR(VLOOKUP(B35,BD_CONTROL!$A$5:$M$4235,11,0),"")</f>
        <v>0</v>
      </c>
      <c r="L35" s="120">
        <f>IFERROR(VLOOKUP(B35,BD_CONTROL!$A$5:$M$4235,12,0),"")</f>
        <v>0</v>
      </c>
      <c r="M35" s="121">
        <f>IFERROR(VLOOKUP(B35,BD_CONTROL!$A$5:$M$4235,13,0),"")</f>
        <v>0</v>
      </c>
    </row>
    <row r="36" spans="1:13" ht="15" customHeight="1">
      <c r="A36" s="39">
        <v>31</v>
      </c>
      <c r="B36" s="39" t="s">
        <v>7608</v>
      </c>
      <c r="C36" s="40" t="s">
        <v>6735</v>
      </c>
      <c r="D36" s="39" t="s">
        <v>553</v>
      </c>
      <c r="E36" s="40" t="s">
        <v>3154</v>
      </c>
      <c r="F36" s="40" t="s">
        <v>7609</v>
      </c>
      <c r="G36" s="39" t="s">
        <v>6739</v>
      </c>
      <c r="H36" s="40" t="s">
        <v>2927</v>
      </c>
      <c r="I36" s="40" t="s">
        <v>6741</v>
      </c>
      <c r="J36" s="50"/>
      <c r="K36" s="116">
        <f>IFERROR(VLOOKUP(B36,BD_CONTROL!$A$5:$M$4235,11,0),"")</f>
        <v>0</v>
      </c>
      <c r="L36" s="117">
        <f>IFERROR(VLOOKUP(B36,BD_CONTROL!$A$5:$M$4235,12,0),"")</f>
        <v>0</v>
      </c>
      <c r="M36" s="118">
        <f>IFERROR(VLOOKUP(B36,BD_CONTROL!$A$5:$M$4235,13,0),"")</f>
        <v>0</v>
      </c>
    </row>
    <row r="37" spans="1:13" ht="15" customHeight="1">
      <c r="A37" s="42">
        <v>32</v>
      </c>
      <c r="B37" s="42" t="s">
        <v>7622</v>
      </c>
      <c r="C37" s="43" t="s">
        <v>6735</v>
      </c>
      <c r="D37" s="42" t="s">
        <v>553</v>
      </c>
      <c r="E37" s="43" t="s">
        <v>2926</v>
      </c>
      <c r="F37" s="43" t="s">
        <v>7623</v>
      </c>
      <c r="G37" s="42" t="s">
        <v>6739</v>
      </c>
      <c r="H37" s="43" t="s">
        <v>2927</v>
      </c>
      <c r="I37" s="43" t="s">
        <v>6741</v>
      </c>
      <c r="J37" s="55"/>
      <c r="K37" s="119">
        <f>IFERROR(VLOOKUP(B37,BD_CONTROL!$A$5:$M$4235,11,0),"")</f>
        <v>0</v>
      </c>
      <c r="L37" s="120">
        <f>IFERROR(VLOOKUP(B37,BD_CONTROL!$A$5:$M$4235,12,0),"")</f>
        <v>0</v>
      </c>
      <c r="M37" s="121">
        <f>IFERROR(VLOOKUP(B37,BD_CONTROL!$A$5:$M$4235,13,0),"")</f>
        <v>0</v>
      </c>
    </row>
    <row r="38" spans="1:13" ht="15" customHeight="1">
      <c r="A38" s="39">
        <v>33</v>
      </c>
      <c r="B38" s="39" t="s">
        <v>7645</v>
      </c>
      <c r="C38" s="40" t="s">
        <v>6735</v>
      </c>
      <c r="D38" s="39" t="s">
        <v>553</v>
      </c>
      <c r="E38" s="40" t="s">
        <v>3173</v>
      </c>
      <c r="F38" s="40" t="s">
        <v>3173</v>
      </c>
      <c r="G38" s="39" t="s">
        <v>6739</v>
      </c>
      <c r="H38" s="40" t="s">
        <v>2927</v>
      </c>
      <c r="I38" s="40" t="s">
        <v>6741</v>
      </c>
      <c r="J38" s="50"/>
      <c r="K38" s="116">
        <f>IFERROR(VLOOKUP(B38,BD_CONTROL!$A$5:$M$4235,11,0),"")</f>
        <v>0</v>
      </c>
      <c r="L38" s="117">
        <f>IFERROR(VLOOKUP(B38,BD_CONTROL!$A$5:$M$4235,12,0),"")</f>
        <v>0</v>
      </c>
      <c r="M38" s="118">
        <f>IFERROR(VLOOKUP(B38,BD_CONTROL!$A$5:$M$4235,13,0),"")</f>
        <v>0</v>
      </c>
    </row>
    <row r="39" spans="1:13" ht="15" customHeight="1">
      <c r="A39" s="42">
        <v>34</v>
      </c>
      <c r="B39" s="42" t="s">
        <v>7646</v>
      </c>
      <c r="C39" s="43" t="s">
        <v>6735</v>
      </c>
      <c r="D39" s="42" t="s">
        <v>553</v>
      </c>
      <c r="E39" s="43" t="s">
        <v>3154</v>
      </c>
      <c r="F39" s="43" t="s">
        <v>3154</v>
      </c>
      <c r="G39" s="42" t="s">
        <v>6739</v>
      </c>
      <c r="H39" s="43" t="s">
        <v>2927</v>
      </c>
      <c r="I39" s="43" t="s">
        <v>6741</v>
      </c>
      <c r="J39" s="55"/>
      <c r="K39" s="119">
        <f>IFERROR(VLOOKUP(B39,BD_CONTROL!$A$5:$M$4235,11,0),"")</f>
        <v>0</v>
      </c>
      <c r="L39" s="120">
        <f>IFERROR(VLOOKUP(B39,BD_CONTROL!$A$5:$M$4235,12,0),"")</f>
        <v>0</v>
      </c>
      <c r="M39" s="121">
        <f>IFERROR(VLOOKUP(B39,BD_CONTROL!$A$5:$M$4235,13,0),"")</f>
        <v>0</v>
      </c>
    </row>
    <row r="40" spans="1:13" ht="15" customHeight="1">
      <c r="A40" s="39">
        <v>35</v>
      </c>
      <c r="B40" s="39" t="s">
        <v>7651</v>
      </c>
      <c r="C40" s="40" t="s">
        <v>6735</v>
      </c>
      <c r="D40" s="39" t="s">
        <v>553</v>
      </c>
      <c r="E40" s="40" t="s">
        <v>3107</v>
      </c>
      <c r="F40" s="40" t="s">
        <v>3107</v>
      </c>
      <c r="G40" s="39" t="s">
        <v>6739</v>
      </c>
      <c r="H40" s="40" t="s">
        <v>2927</v>
      </c>
      <c r="I40" s="40" t="s">
        <v>6741</v>
      </c>
      <c r="J40" s="50"/>
      <c r="K40" s="116">
        <f>IFERROR(VLOOKUP(B40,BD_CONTROL!$A$5:$M$4235,11,0),"")</f>
        <v>0</v>
      </c>
      <c r="L40" s="117">
        <f>IFERROR(VLOOKUP(B40,BD_CONTROL!$A$5:$M$4235,12,0),"")</f>
        <v>0</v>
      </c>
      <c r="M40" s="118">
        <f>IFERROR(VLOOKUP(B40,BD_CONTROL!$A$5:$M$4235,13,0),"")</f>
        <v>0</v>
      </c>
    </row>
    <row r="41" spans="1:13" ht="15" customHeight="1">
      <c r="A41" s="42">
        <v>36</v>
      </c>
      <c r="B41" s="42" t="s">
        <v>8637</v>
      </c>
      <c r="C41" s="43" t="s">
        <v>6735</v>
      </c>
      <c r="D41" s="42" t="s">
        <v>6458</v>
      </c>
      <c r="E41" s="43" t="s">
        <v>5841</v>
      </c>
      <c r="F41" s="43" t="s">
        <v>6577</v>
      </c>
      <c r="G41" s="42" t="s">
        <v>6739</v>
      </c>
      <c r="H41" s="43" t="s">
        <v>2927</v>
      </c>
      <c r="I41" s="43" t="s">
        <v>6741</v>
      </c>
      <c r="J41" s="55"/>
      <c r="K41" s="119">
        <f>IFERROR(VLOOKUP(B41,BD_CONTROL!$A$5:$M$4235,11,0),"")</f>
        <v>0</v>
      </c>
      <c r="L41" s="120">
        <f>IFERROR(VLOOKUP(B41,BD_CONTROL!$A$5:$M$4235,12,0),"")</f>
        <v>0</v>
      </c>
      <c r="M41" s="121">
        <f>IFERROR(VLOOKUP(B41,BD_CONTROL!$A$5:$M$4235,13,0),"")</f>
        <v>0</v>
      </c>
    </row>
    <row r="42" spans="1:13" ht="15" customHeight="1">
      <c r="A42" s="39">
        <v>37</v>
      </c>
      <c r="B42" s="39" t="s">
        <v>8974</v>
      </c>
      <c r="C42" s="40" t="s">
        <v>8975</v>
      </c>
      <c r="D42" s="39" t="s">
        <v>6458</v>
      </c>
      <c r="E42" s="40" t="s">
        <v>8976</v>
      </c>
      <c r="F42" s="40" t="s">
        <v>8977</v>
      </c>
      <c r="G42" s="39" t="s">
        <v>109</v>
      </c>
      <c r="H42" s="40" t="s">
        <v>2927</v>
      </c>
      <c r="I42" s="40" t="s">
        <v>104</v>
      </c>
      <c r="J42" s="50"/>
      <c r="K42" s="116">
        <f>IFERROR(VLOOKUP(B42,BD_CONTROL!$A$5:$M$4235,11,0),"")</f>
        <v>0</v>
      </c>
      <c r="L42" s="117">
        <f>IFERROR(VLOOKUP(B42,BD_CONTROL!$A$5:$M$4235,12,0),"")</f>
        <v>0</v>
      </c>
      <c r="M42" s="118">
        <f>IFERROR(VLOOKUP(B42,BD_CONTROL!$A$5:$M$4235,13,0),"")</f>
        <v>0</v>
      </c>
    </row>
    <row r="43" spans="1:13" ht="15" customHeight="1">
      <c r="A43" s="42">
        <v>38</v>
      </c>
      <c r="B43" s="42" t="s">
        <v>8978</v>
      </c>
      <c r="C43" s="43" t="s">
        <v>8979</v>
      </c>
      <c r="D43" s="42" t="s">
        <v>5640</v>
      </c>
      <c r="E43" s="43" t="s">
        <v>8980</v>
      </c>
      <c r="F43" s="43" t="s">
        <v>8981</v>
      </c>
      <c r="G43" s="42" t="s">
        <v>102</v>
      </c>
      <c r="H43" s="43" t="s">
        <v>8982</v>
      </c>
      <c r="I43" s="43" t="s">
        <v>104</v>
      </c>
      <c r="J43" s="55"/>
      <c r="K43" s="119" t="str">
        <f>IFERROR(VLOOKUP(B43,BD_CONTROL!$A$5:$M$4235,11,0),"")</f>
        <v>Instalado - Operando</v>
      </c>
      <c r="L43" s="120">
        <f>IFERROR(VLOOKUP(B43,BD_CONTROL!$A$5:$M$4235,12,0),"")</f>
        <v>46148</v>
      </c>
      <c r="M43" s="121">
        <f>IFERROR(VLOOKUP(B43,BD_CONTROL!$A$5:$M$4235,13,0),"")</f>
        <v>0</v>
      </c>
    </row>
    <row r="44" spans="1:13" ht="15" customHeight="1">
      <c r="A44" s="39">
        <v>39</v>
      </c>
      <c r="B44" s="39" t="s">
        <v>8983</v>
      </c>
      <c r="C44" s="40" t="s">
        <v>2787</v>
      </c>
      <c r="D44" s="39" t="s">
        <v>5640</v>
      </c>
      <c r="E44" s="40" t="s">
        <v>8984</v>
      </c>
      <c r="F44" s="40" t="s">
        <v>8985</v>
      </c>
      <c r="G44" s="39" t="s">
        <v>109</v>
      </c>
      <c r="H44" s="40" t="s">
        <v>8982</v>
      </c>
      <c r="I44" s="40" t="s">
        <v>104</v>
      </c>
      <c r="J44" s="50"/>
      <c r="K44" s="116">
        <f>IFERROR(VLOOKUP(B44,BD_CONTROL!$A$5:$M$4235,11,0),"")</f>
        <v>0</v>
      </c>
      <c r="L44" s="117">
        <f>IFERROR(VLOOKUP(B44,BD_CONTROL!$A$5:$M$4235,12,0),"")</f>
        <v>0</v>
      </c>
      <c r="M44" s="118">
        <f>IFERROR(VLOOKUP(B44,BD_CONTROL!$A$5:$M$4235,13,0),"")</f>
        <v>0</v>
      </c>
    </row>
    <row r="45" spans="1:13" ht="15" customHeight="1">
      <c r="A45" s="42">
        <v>40</v>
      </c>
      <c r="B45" s="42" t="s">
        <v>8986</v>
      </c>
      <c r="C45" s="43" t="s">
        <v>2787</v>
      </c>
      <c r="D45" s="42" t="s">
        <v>6458</v>
      </c>
      <c r="E45" s="43" t="s">
        <v>8987</v>
      </c>
      <c r="F45" s="43" t="s">
        <v>8988</v>
      </c>
      <c r="G45" s="42" t="s">
        <v>109</v>
      </c>
      <c r="H45" s="43" t="s">
        <v>2927</v>
      </c>
      <c r="I45" s="43" t="s">
        <v>104</v>
      </c>
      <c r="J45" s="55"/>
      <c r="K45" s="119">
        <f>IFERROR(VLOOKUP(B45,BD_CONTROL!$A$5:$M$4235,11,0),"")</f>
        <v>0</v>
      </c>
      <c r="L45" s="120">
        <f>IFERROR(VLOOKUP(B45,BD_CONTROL!$A$5:$M$4235,12,0),"")</f>
        <v>0</v>
      </c>
      <c r="M45" s="121">
        <f>IFERROR(VLOOKUP(B45,BD_CONTROL!$A$5:$M$4235,13,0),"")</f>
        <v>0</v>
      </c>
    </row>
    <row r="46" spans="1:13" ht="15" customHeight="1">
      <c r="A46" s="39">
        <v>41</v>
      </c>
      <c r="B46" s="39" t="s">
        <v>8989</v>
      </c>
      <c r="C46" s="40" t="s">
        <v>3695</v>
      </c>
      <c r="D46" s="39" t="s">
        <v>5640</v>
      </c>
      <c r="E46" s="40" t="s">
        <v>8990</v>
      </c>
      <c r="F46" s="40" t="s">
        <v>8991</v>
      </c>
      <c r="G46" s="39" t="s">
        <v>109</v>
      </c>
      <c r="H46" s="40" t="s">
        <v>8982</v>
      </c>
      <c r="I46" s="40" t="s">
        <v>104</v>
      </c>
      <c r="J46" s="50"/>
      <c r="K46" s="116">
        <f>IFERROR(VLOOKUP(B46,BD_CONTROL!$A$5:$M$4235,11,0),"")</f>
        <v>0</v>
      </c>
      <c r="L46" s="117">
        <f>IFERROR(VLOOKUP(B46,BD_CONTROL!$A$5:$M$4235,12,0),"")</f>
        <v>0</v>
      </c>
      <c r="M46" s="118">
        <f>IFERROR(VLOOKUP(B46,BD_CONTROL!$A$5:$M$4235,13,0),"")</f>
        <v>0</v>
      </c>
    </row>
    <row r="47" spans="1:13" ht="15" customHeight="1">
      <c r="A47" s="42">
        <v>42</v>
      </c>
      <c r="B47" s="42" t="s">
        <v>8992</v>
      </c>
      <c r="C47" s="43" t="s">
        <v>8993</v>
      </c>
      <c r="D47" s="42" t="s">
        <v>5640</v>
      </c>
      <c r="E47" s="43" t="s">
        <v>8980</v>
      </c>
      <c r="F47" s="43" t="s">
        <v>8994</v>
      </c>
      <c r="G47" s="42" t="s">
        <v>109</v>
      </c>
      <c r="H47" s="43" t="s">
        <v>8982</v>
      </c>
      <c r="I47" s="43" t="s">
        <v>104</v>
      </c>
      <c r="J47" s="55"/>
      <c r="K47" s="119" t="str">
        <f>IFERROR(VLOOKUP(B47,BD_CONTROL!$A$5:$M$4235,11,0),"")</f>
        <v>Instalado - Sin Señal</v>
      </c>
      <c r="L47" s="120">
        <f>IFERROR(VLOOKUP(B47,BD_CONTROL!$A$5:$M$4235,12,0),"")</f>
        <v>46150</v>
      </c>
      <c r="M47" s="121">
        <f>IFERROR(VLOOKUP(B47,BD_CONTROL!$A$5:$M$4235,13,0),"")</f>
        <v>0</v>
      </c>
    </row>
    <row r="48" spans="1:13" ht="15" customHeight="1">
      <c r="A48" s="39">
        <v>43</v>
      </c>
      <c r="B48" s="39" t="s">
        <v>8995</v>
      </c>
      <c r="C48" s="40" t="s">
        <v>8996</v>
      </c>
      <c r="D48" s="39" t="s">
        <v>5640</v>
      </c>
      <c r="E48" s="40" t="s">
        <v>8997</v>
      </c>
      <c r="F48" s="40" t="s">
        <v>8998</v>
      </c>
      <c r="G48" s="39" t="s">
        <v>109</v>
      </c>
      <c r="H48" s="40" t="s">
        <v>8982</v>
      </c>
      <c r="I48" s="40" t="s">
        <v>104</v>
      </c>
      <c r="J48" s="50"/>
      <c r="K48" s="116">
        <f>IFERROR(VLOOKUP(B48,BD_CONTROL!$A$5:$M$4235,11,0),"")</f>
        <v>0</v>
      </c>
      <c r="L48" s="117">
        <f>IFERROR(VLOOKUP(B48,BD_CONTROL!$A$5:$M$4235,12,0),"")</f>
        <v>0</v>
      </c>
      <c r="M48" s="118">
        <f>IFERROR(VLOOKUP(B48,BD_CONTROL!$A$5:$M$4235,13,0),"")</f>
        <v>0</v>
      </c>
    </row>
    <row r="49" spans="1:13" ht="15" customHeight="1">
      <c r="A49" s="42">
        <v>44</v>
      </c>
      <c r="B49" s="42" t="s">
        <v>8999</v>
      </c>
      <c r="C49" s="43" t="s">
        <v>483</v>
      </c>
      <c r="D49" s="42" t="s">
        <v>5640</v>
      </c>
      <c r="E49" s="43" t="s">
        <v>4402</v>
      </c>
      <c r="F49" s="43" t="s">
        <v>789</v>
      </c>
      <c r="G49" s="42" t="s">
        <v>109</v>
      </c>
      <c r="H49" s="43" t="s">
        <v>8982</v>
      </c>
      <c r="I49" s="43" t="s">
        <v>104</v>
      </c>
      <c r="J49" s="55"/>
      <c r="K49" s="119">
        <f>IFERROR(VLOOKUP(B49,BD_CONTROL!$A$5:$M$4235,11,0),"")</f>
        <v>0</v>
      </c>
      <c r="L49" s="120">
        <f>IFERROR(VLOOKUP(B49,BD_CONTROL!$A$5:$M$4235,12,0),"")</f>
        <v>0</v>
      </c>
      <c r="M49" s="121">
        <f>IFERROR(VLOOKUP(B49,BD_CONTROL!$A$5:$M$4235,13,0),"")</f>
        <v>0</v>
      </c>
    </row>
    <row r="50" spans="1:13" ht="15" customHeight="1">
      <c r="A50" s="39">
        <v>45</v>
      </c>
      <c r="B50" s="39" t="s">
        <v>9000</v>
      </c>
      <c r="C50" s="40" t="s">
        <v>483</v>
      </c>
      <c r="D50" s="39" t="s">
        <v>5640</v>
      </c>
      <c r="E50" s="40" t="s">
        <v>9001</v>
      </c>
      <c r="F50" s="40" t="s">
        <v>9002</v>
      </c>
      <c r="G50" s="39" t="s">
        <v>109</v>
      </c>
      <c r="H50" s="40" t="s">
        <v>8982</v>
      </c>
      <c r="I50" s="40" t="s">
        <v>104</v>
      </c>
      <c r="J50" s="50"/>
      <c r="K50" s="116">
        <f>IFERROR(VLOOKUP(B50,BD_CONTROL!$A$5:$M$4235,11,0),"")</f>
        <v>0</v>
      </c>
      <c r="L50" s="117">
        <f>IFERROR(VLOOKUP(B50,BD_CONTROL!$A$5:$M$4235,12,0),"")</f>
        <v>0</v>
      </c>
      <c r="M50" s="118">
        <f>IFERROR(VLOOKUP(B50,BD_CONTROL!$A$5:$M$4235,13,0),"")</f>
        <v>0</v>
      </c>
    </row>
    <row r="51" spans="1:13" ht="15" customHeight="1">
      <c r="A51" s="42">
        <v>46</v>
      </c>
      <c r="B51" s="42" t="s">
        <v>9003</v>
      </c>
      <c r="C51" s="43" t="s">
        <v>483</v>
      </c>
      <c r="D51" s="42" t="s">
        <v>5640</v>
      </c>
      <c r="E51" s="43" t="s">
        <v>9004</v>
      </c>
      <c r="F51" s="43" t="s">
        <v>9005</v>
      </c>
      <c r="G51" s="42" t="s">
        <v>109</v>
      </c>
      <c r="H51" s="43" t="s">
        <v>8982</v>
      </c>
      <c r="I51" s="43" t="s">
        <v>104</v>
      </c>
      <c r="J51" s="55"/>
      <c r="K51" s="119">
        <f>IFERROR(VLOOKUP(B51,BD_CONTROL!$A$5:$M$4235,11,0),"")</f>
        <v>0</v>
      </c>
      <c r="L51" s="120">
        <f>IFERROR(VLOOKUP(B51,BD_CONTROL!$A$5:$M$4235,12,0),"")</f>
        <v>0</v>
      </c>
      <c r="M51" s="121">
        <f>IFERROR(VLOOKUP(B51,BD_CONTROL!$A$5:$M$4235,13,0),"")</f>
        <v>0</v>
      </c>
    </row>
    <row r="52" spans="1:13" ht="15" customHeight="1">
      <c r="A52" s="39">
        <v>47</v>
      </c>
      <c r="B52" s="39" t="s">
        <v>9006</v>
      </c>
      <c r="C52" s="40" t="s">
        <v>483</v>
      </c>
      <c r="D52" s="39" t="s">
        <v>5640</v>
      </c>
      <c r="E52" s="40" t="s">
        <v>8990</v>
      </c>
      <c r="F52" s="40" t="s">
        <v>8990</v>
      </c>
      <c r="G52" s="39" t="s">
        <v>102</v>
      </c>
      <c r="H52" s="40" t="s">
        <v>8982</v>
      </c>
      <c r="I52" s="40" t="s">
        <v>104</v>
      </c>
      <c r="J52" s="50"/>
      <c r="K52" s="116">
        <f>IFERROR(VLOOKUP(B52,BD_CONTROL!$A$5:$M$4235,11,0),"")</f>
        <v>0</v>
      </c>
      <c r="L52" s="117">
        <f>IFERROR(VLOOKUP(B52,BD_CONTROL!$A$5:$M$4235,12,0),"")</f>
        <v>0</v>
      </c>
      <c r="M52" s="118">
        <f>IFERROR(VLOOKUP(B52,BD_CONTROL!$A$5:$M$4235,13,0),"")</f>
        <v>0</v>
      </c>
    </row>
    <row r="53" spans="1:13" ht="15" customHeight="1">
      <c r="A53" s="42">
        <v>48</v>
      </c>
      <c r="B53" s="42" t="s">
        <v>9007</v>
      </c>
      <c r="C53" s="43" t="s">
        <v>9008</v>
      </c>
      <c r="D53" s="42" t="s">
        <v>5640</v>
      </c>
      <c r="E53" s="43" t="s">
        <v>9009</v>
      </c>
      <c r="F53" s="43" t="s">
        <v>9010</v>
      </c>
      <c r="G53" s="42" t="s">
        <v>109</v>
      </c>
      <c r="H53" s="43" t="s">
        <v>8982</v>
      </c>
      <c r="I53" s="43" t="s">
        <v>104</v>
      </c>
      <c r="J53" s="55"/>
      <c r="K53" s="119" t="str">
        <f>IFERROR(VLOOKUP(B53,BD_CONTROL!$A$5:$M$4235,11,0),"")</f>
        <v>Instalado - Sin Señal</v>
      </c>
      <c r="L53" s="120">
        <f>IFERROR(VLOOKUP(B53,BD_CONTROL!$A$5:$M$4235,12,0),"")</f>
        <v>46150</v>
      </c>
      <c r="M53" s="121">
        <f>IFERROR(VLOOKUP(B53,BD_CONTROL!$A$5:$M$4235,13,0),"")</f>
        <v>0</v>
      </c>
    </row>
    <row r="54" spans="1:13" ht="15" customHeight="1">
      <c r="A54" s="39">
        <v>49</v>
      </c>
      <c r="B54" s="39" t="s">
        <v>9011</v>
      </c>
      <c r="C54" s="40" t="s">
        <v>9012</v>
      </c>
      <c r="D54" s="39" t="s">
        <v>6458</v>
      </c>
      <c r="E54" s="40" t="s">
        <v>9013</v>
      </c>
      <c r="F54" s="40" t="s">
        <v>9014</v>
      </c>
      <c r="G54" s="39" t="s">
        <v>109</v>
      </c>
      <c r="H54" s="40" t="s">
        <v>2927</v>
      </c>
      <c r="I54" s="40" t="s">
        <v>104</v>
      </c>
      <c r="J54" s="50"/>
      <c r="K54" s="116">
        <f>IFERROR(VLOOKUP(B54,BD_CONTROL!$A$5:$M$4235,11,0),"")</f>
        <v>0</v>
      </c>
      <c r="L54" s="117">
        <f>IFERROR(VLOOKUP(B54,BD_CONTROL!$A$5:$M$4235,12,0),"")</f>
        <v>0</v>
      </c>
      <c r="M54" s="118">
        <f>IFERROR(VLOOKUP(B54,BD_CONTROL!$A$5:$M$4235,13,0),"")</f>
        <v>0</v>
      </c>
    </row>
    <row r="55" spans="1:13" ht="15" customHeight="1">
      <c r="A55" s="42">
        <v>50</v>
      </c>
      <c r="B55" s="42" t="s">
        <v>9015</v>
      </c>
      <c r="C55" s="43" t="s">
        <v>9016</v>
      </c>
      <c r="D55" s="42" t="s">
        <v>5640</v>
      </c>
      <c r="E55" s="43" t="s">
        <v>9017</v>
      </c>
      <c r="F55" s="43" t="s">
        <v>9018</v>
      </c>
      <c r="G55" s="42" t="s">
        <v>109</v>
      </c>
      <c r="H55" s="43" t="s">
        <v>8982</v>
      </c>
      <c r="I55" s="43" t="s">
        <v>104</v>
      </c>
      <c r="J55" s="55"/>
      <c r="K55" s="119">
        <f>IFERROR(VLOOKUP(B55,BD_CONTROL!$A$5:$M$4235,11,0),"")</f>
        <v>0</v>
      </c>
      <c r="L55" s="120">
        <f>IFERROR(VLOOKUP(B55,BD_CONTROL!$A$5:$M$4235,12,0),"")</f>
        <v>0</v>
      </c>
      <c r="M55" s="121">
        <f>IFERROR(VLOOKUP(B55,BD_CONTROL!$A$5:$M$4235,13,0),"")</f>
        <v>0</v>
      </c>
    </row>
    <row r="56" spans="1:13" ht="15" customHeight="1">
      <c r="A56" s="39">
        <v>51</v>
      </c>
      <c r="B56" s="39" t="s">
        <v>9019</v>
      </c>
      <c r="C56" s="40" t="s">
        <v>5555</v>
      </c>
      <c r="D56" s="39" t="s">
        <v>5640</v>
      </c>
      <c r="E56" s="40" t="s">
        <v>9020</v>
      </c>
      <c r="F56" s="40" t="s">
        <v>9021</v>
      </c>
      <c r="G56" s="39" t="s">
        <v>109</v>
      </c>
      <c r="H56" s="40" t="s">
        <v>8982</v>
      </c>
      <c r="I56" s="40" t="s">
        <v>104</v>
      </c>
      <c r="J56" s="50"/>
      <c r="K56" s="116">
        <f>IFERROR(VLOOKUP(B56,BD_CONTROL!$A$5:$M$4235,11,0),"")</f>
        <v>0</v>
      </c>
      <c r="L56" s="117">
        <f>IFERROR(VLOOKUP(B56,BD_CONTROL!$A$5:$M$4235,12,0),"")</f>
        <v>0</v>
      </c>
      <c r="M56" s="118">
        <f>IFERROR(VLOOKUP(B56,BD_CONTROL!$A$5:$M$4235,13,0),"")</f>
        <v>0</v>
      </c>
    </row>
    <row r="57" spans="1:13" ht="15" customHeight="1">
      <c r="A57" s="42">
        <v>52</v>
      </c>
      <c r="B57" s="42" t="s">
        <v>9022</v>
      </c>
      <c r="C57" s="43" t="s">
        <v>5555</v>
      </c>
      <c r="D57" s="42" t="s">
        <v>5640</v>
      </c>
      <c r="E57" s="43" t="s">
        <v>8980</v>
      </c>
      <c r="F57" s="43" t="s">
        <v>9023</v>
      </c>
      <c r="G57" s="42" t="s">
        <v>109</v>
      </c>
      <c r="H57" s="43" t="s">
        <v>8982</v>
      </c>
      <c r="I57" s="43" t="s">
        <v>104</v>
      </c>
      <c r="J57" s="55"/>
      <c r="K57" s="119">
        <f>IFERROR(VLOOKUP(B57,BD_CONTROL!$A$5:$M$4235,11,0),"")</f>
        <v>0</v>
      </c>
      <c r="L57" s="120">
        <f>IFERROR(VLOOKUP(B57,BD_CONTROL!$A$5:$M$4235,12,0),"")</f>
        <v>0</v>
      </c>
      <c r="M57" s="121">
        <f>IFERROR(VLOOKUP(B57,BD_CONTROL!$A$5:$M$4235,13,0),"")</f>
        <v>0</v>
      </c>
    </row>
    <row r="58" spans="1:13" ht="15" customHeight="1">
      <c r="A58" s="39">
        <v>53</v>
      </c>
      <c r="B58" s="39" t="s">
        <v>9024</v>
      </c>
      <c r="C58" s="40" t="s">
        <v>5555</v>
      </c>
      <c r="D58" s="39" t="s">
        <v>6458</v>
      </c>
      <c r="E58" s="40" t="s">
        <v>3341</v>
      </c>
      <c r="F58" s="40" t="s">
        <v>9025</v>
      </c>
      <c r="G58" s="39" t="s">
        <v>109</v>
      </c>
      <c r="H58" s="40" t="s">
        <v>2927</v>
      </c>
      <c r="I58" s="40" t="s">
        <v>104</v>
      </c>
      <c r="J58" s="50"/>
      <c r="K58" s="116">
        <f>IFERROR(VLOOKUP(B58,BD_CONTROL!$A$5:$M$4235,11,0),"")</f>
        <v>0</v>
      </c>
      <c r="L58" s="117">
        <f>IFERROR(VLOOKUP(B58,BD_CONTROL!$A$5:$M$4235,12,0),"")</f>
        <v>0</v>
      </c>
      <c r="M58" s="118">
        <f>IFERROR(VLOOKUP(B58,BD_CONTROL!$A$5:$M$4235,13,0),"")</f>
        <v>0</v>
      </c>
    </row>
    <row r="59" spans="1:13" ht="15" customHeight="1">
      <c r="A59" s="42">
        <v>54</v>
      </c>
      <c r="B59" s="42" t="s">
        <v>9026</v>
      </c>
      <c r="C59" s="43" t="s">
        <v>5235</v>
      </c>
      <c r="D59" s="42" t="s">
        <v>6458</v>
      </c>
      <c r="E59" s="43" t="s">
        <v>9027</v>
      </c>
      <c r="F59" s="43" t="s">
        <v>9028</v>
      </c>
      <c r="G59" s="42" t="s">
        <v>109</v>
      </c>
      <c r="H59" s="43" t="s">
        <v>2927</v>
      </c>
      <c r="I59" s="43" t="s">
        <v>104</v>
      </c>
      <c r="J59" s="55"/>
      <c r="K59" s="119">
        <f>IFERROR(VLOOKUP(B59,BD_CONTROL!$A$5:$M$4235,11,0),"")</f>
        <v>0</v>
      </c>
      <c r="L59" s="120">
        <f>IFERROR(VLOOKUP(B59,BD_CONTROL!$A$5:$M$4235,12,0),"")</f>
        <v>0</v>
      </c>
      <c r="M59" s="121">
        <f>IFERROR(VLOOKUP(B59,BD_CONTROL!$A$5:$M$4235,13,0),"")</f>
        <v>0</v>
      </c>
    </row>
    <row r="60" spans="1:13" ht="15" customHeight="1">
      <c r="A60" s="39">
        <v>55</v>
      </c>
      <c r="B60" s="39" t="s">
        <v>9029</v>
      </c>
      <c r="C60" s="40" t="s">
        <v>1123</v>
      </c>
      <c r="D60" s="39" t="s">
        <v>5640</v>
      </c>
      <c r="E60" s="40" t="s">
        <v>9030</v>
      </c>
      <c r="F60" s="40" t="s">
        <v>9031</v>
      </c>
      <c r="G60" s="39" t="s">
        <v>109</v>
      </c>
      <c r="H60" s="40" t="s">
        <v>8982</v>
      </c>
      <c r="I60" s="40" t="s">
        <v>104</v>
      </c>
      <c r="J60" s="50"/>
      <c r="K60" s="116">
        <f>IFERROR(VLOOKUP(B60,BD_CONTROL!$A$5:$M$4235,11,0),"")</f>
        <v>0</v>
      </c>
      <c r="L60" s="117">
        <f>IFERROR(VLOOKUP(B60,BD_CONTROL!$A$5:$M$4235,12,0),"")</f>
        <v>0</v>
      </c>
      <c r="M60" s="118">
        <f>IFERROR(VLOOKUP(B60,BD_CONTROL!$A$5:$M$4235,13,0),"")</f>
        <v>0</v>
      </c>
    </row>
    <row r="61" spans="1:13" ht="15" customHeight="1">
      <c r="A61" s="42">
        <v>56</v>
      </c>
      <c r="B61" s="42" t="s">
        <v>9032</v>
      </c>
      <c r="C61" s="43" t="s">
        <v>1123</v>
      </c>
      <c r="D61" s="42" t="s">
        <v>5640</v>
      </c>
      <c r="E61" s="43" t="s">
        <v>9033</v>
      </c>
      <c r="F61" s="43" t="s">
        <v>9034</v>
      </c>
      <c r="G61" s="42" t="s">
        <v>109</v>
      </c>
      <c r="H61" s="43" t="s">
        <v>8982</v>
      </c>
      <c r="I61" s="43" t="s">
        <v>104</v>
      </c>
      <c r="J61" s="55"/>
      <c r="K61" s="119">
        <f>IFERROR(VLOOKUP(B61,BD_CONTROL!$A$5:$M$4235,11,0),"")</f>
        <v>0</v>
      </c>
      <c r="L61" s="120">
        <f>IFERROR(VLOOKUP(B61,BD_CONTROL!$A$5:$M$4235,12,0),"")</f>
        <v>0</v>
      </c>
      <c r="M61" s="121">
        <f>IFERROR(VLOOKUP(B61,BD_CONTROL!$A$5:$M$4235,13,0),"")</f>
        <v>0</v>
      </c>
    </row>
    <row r="62" spans="1:13" ht="15" customHeight="1">
      <c r="A62" s="39">
        <v>57</v>
      </c>
      <c r="B62" s="39" t="s">
        <v>9035</v>
      </c>
      <c r="C62" s="40" t="s">
        <v>1123</v>
      </c>
      <c r="D62" s="39" t="s">
        <v>6458</v>
      </c>
      <c r="E62" s="40" t="s">
        <v>9036</v>
      </c>
      <c r="F62" s="40" t="s">
        <v>2816</v>
      </c>
      <c r="G62" s="39" t="s">
        <v>109</v>
      </c>
      <c r="H62" s="40" t="s">
        <v>2927</v>
      </c>
      <c r="I62" s="40" t="s">
        <v>104</v>
      </c>
      <c r="J62" s="50"/>
      <c r="K62" s="116">
        <f>IFERROR(VLOOKUP(B62,BD_CONTROL!$A$5:$M$4235,11,0),"")</f>
        <v>0</v>
      </c>
      <c r="L62" s="117">
        <f>IFERROR(VLOOKUP(B62,BD_CONTROL!$A$5:$M$4235,12,0),"")</f>
        <v>0</v>
      </c>
      <c r="M62" s="118">
        <f>IFERROR(VLOOKUP(B62,BD_CONTROL!$A$5:$M$4235,13,0),"")</f>
        <v>0</v>
      </c>
    </row>
    <row r="63" spans="1:13" ht="15" customHeight="1">
      <c r="A63" s="42">
        <v>58</v>
      </c>
      <c r="B63" s="42" t="s">
        <v>9037</v>
      </c>
      <c r="C63" s="43" t="s">
        <v>1123</v>
      </c>
      <c r="D63" s="42" t="s">
        <v>6458</v>
      </c>
      <c r="E63" s="43" t="s">
        <v>9038</v>
      </c>
      <c r="F63" s="43" t="s">
        <v>9039</v>
      </c>
      <c r="G63" s="42" t="s">
        <v>109</v>
      </c>
      <c r="H63" s="43" t="s">
        <v>2927</v>
      </c>
      <c r="I63" s="43" t="s">
        <v>104</v>
      </c>
      <c r="J63" s="55"/>
      <c r="K63" s="119" t="str">
        <f>IFERROR(VLOOKUP(B63,BD_CONTROL!$A$5:$M$4235,11,0),"")</f>
        <v>Instalado - Operando</v>
      </c>
      <c r="L63" s="120">
        <f>IFERROR(VLOOKUP(B63,BD_CONTROL!$A$5:$M$4235,12,0),"")</f>
        <v>46148</v>
      </c>
      <c r="M63" s="121">
        <f>IFERROR(VLOOKUP(B63,BD_CONTROL!$A$5:$M$4235,13,0),"")</f>
        <v>0</v>
      </c>
    </row>
    <row r="64" spans="1:13" ht="15" customHeight="1">
      <c r="A64" s="39">
        <v>59</v>
      </c>
      <c r="B64" s="39" t="s">
        <v>9040</v>
      </c>
      <c r="C64" s="40" t="s">
        <v>1123</v>
      </c>
      <c r="D64" s="39" t="s">
        <v>6458</v>
      </c>
      <c r="E64" s="40" t="s">
        <v>9036</v>
      </c>
      <c r="F64" s="40" t="s">
        <v>9041</v>
      </c>
      <c r="G64" s="39" t="s">
        <v>109</v>
      </c>
      <c r="H64" s="40" t="s">
        <v>2927</v>
      </c>
      <c r="I64" s="40" t="s">
        <v>104</v>
      </c>
      <c r="J64" s="50"/>
      <c r="K64" s="116">
        <f>IFERROR(VLOOKUP(B64,BD_CONTROL!$A$5:$M$4235,11,0),"")</f>
        <v>0</v>
      </c>
      <c r="L64" s="117">
        <f>IFERROR(VLOOKUP(B64,BD_CONTROL!$A$5:$M$4235,12,0),"")</f>
        <v>0</v>
      </c>
      <c r="M64" s="118">
        <f>IFERROR(VLOOKUP(B64,BD_CONTROL!$A$5:$M$4235,13,0),"")</f>
        <v>0</v>
      </c>
    </row>
    <row r="65" spans="1:13" ht="15" customHeight="1">
      <c r="A65" s="42">
        <v>60</v>
      </c>
      <c r="B65" s="42" t="s">
        <v>9042</v>
      </c>
      <c r="C65" s="43" t="s">
        <v>1123</v>
      </c>
      <c r="D65" s="42" t="s">
        <v>6458</v>
      </c>
      <c r="E65" s="43" t="s">
        <v>3967</v>
      </c>
      <c r="F65" s="43" t="s">
        <v>1670</v>
      </c>
      <c r="G65" s="42" t="s">
        <v>109</v>
      </c>
      <c r="H65" s="43" t="s">
        <v>2927</v>
      </c>
      <c r="I65" s="43" t="s">
        <v>104</v>
      </c>
      <c r="J65" s="55"/>
      <c r="K65" s="119">
        <f>IFERROR(VLOOKUP(B65,BD_CONTROL!$A$5:$M$4235,11,0),"")</f>
        <v>0</v>
      </c>
      <c r="L65" s="120">
        <f>IFERROR(VLOOKUP(B65,BD_CONTROL!$A$5:$M$4235,12,0),"")</f>
        <v>0</v>
      </c>
      <c r="M65" s="121">
        <f>IFERROR(VLOOKUP(B65,BD_CONTROL!$A$5:$M$4235,13,0),"")</f>
        <v>0</v>
      </c>
    </row>
    <row r="66" spans="1:13" ht="15" customHeight="1">
      <c r="A66" s="39">
        <v>61</v>
      </c>
      <c r="B66" s="39" t="s">
        <v>9043</v>
      </c>
      <c r="C66" s="40" t="s">
        <v>1123</v>
      </c>
      <c r="D66" s="39" t="s">
        <v>6458</v>
      </c>
      <c r="E66" s="40" t="s">
        <v>9044</v>
      </c>
      <c r="F66" s="40" t="s">
        <v>9045</v>
      </c>
      <c r="G66" s="39" t="s">
        <v>109</v>
      </c>
      <c r="H66" s="40" t="s">
        <v>2927</v>
      </c>
      <c r="I66" s="40" t="s">
        <v>104</v>
      </c>
      <c r="J66" s="50"/>
      <c r="K66" s="116">
        <f>IFERROR(VLOOKUP(B66,BD_CONTROL!$A$5:$M$4235,11,0),"")</f>
        <v>0</v>
      </c>
      <c r="L66" s="117">
        <f>IFERROR(VLOOKUP(B66,BD_CONTROL!$A$5:$M$4235,12,0),"")</f>
        <v>0</v>
      </c>
      <c r="M66" s="118">
        <f>IFERROR(VLOOKUP(B66,BD_CONTROL!$A$5:$M$4235,13,0),"")</f>
        <v>0</v>
      </c>
    </row>
    <row r="67" spans="1:13" ht="15" customHeight="1">
      <c r="A67" s="42">
        <v>62</v>
      </c>
      <c r="B67" s="42" t="s">
        <v>9046</v>
      </c>
      <c r="C67" s="43" t="s">
        <v>1123</v>
      </c>
      <c r="D67" s="42" t="s">
        <v>6458</v>
      </c>
      <c r="E67" s="43" t="s">
        <v>9047</v>
      </c>
      <c r="F67" s="43" t="s">
        <v>6455</v>
      </c>
      <c r="G67" s="42" t="s">
        <v>109</v>
      </c>
      <c r="H67" s="43" t="s">
        <v>2927</v>
      </c>
      <c r="I67" s="43" t="s">
        <v>104</v>
      </c>
      <c r="J67" s="55"/>
      <c r="K67" s="119">
        <f>IFERROR(VLOOKUP(B67,BD_CONTROL!$A$5:$M$4235,11,0),"")</f>
        <v>0</v>
      </c>
      <c r="L67" s="120">
        <f>IFERROR(VLOOKUP(B67,BD_CONTROL!$A$5:$M$4235,12,0),"")</f>
        <v>0</v>
      </c>
      <c r="M67" s="121">
        <f>IFERROR(VLOOKUP(B67,BD_CONTROL!$A$5:$M$4235,13,0),"")</f>
        <v>0</v>
      </c>
    </row>
    <row r="68" spans="1:13" ht="15" customHeight="1">
      <c r="A68" s="39">
        <v>63</v>
      </c>
      <c r="B68" s="39" t="s">
        <v>9048</v>
      </c>
      <c r="C68" s="40" t="s">
        <v>9049</v>
      </c>
      <c r="D68" s="39" t="s">
        <v>6458</v>
      </c>
      <c r="E68" s="40" t="s">
        <v>5294</v>
      </c>
      <c r="F68" s="40" t="s">
        <v>9050</v>
      </c>
      <c r="G68" s="39" t="s">
        <v>109</v>
      </c>
      <c r="H68" s="40" t="s">
        <v>2927</v>
      </c>
      <c r="I68" s="40" t="s">
        <v>104</v>
      </c>
      <c r="J68" s="50"/>
      <c r="K68" s="116">
        <f>IFERROR(VLOOKUP(B68,BD_CONTROL!$A$5:$M$4235,11,0),"")</f>
        <v>0</v>
      </c>
      <c r="L68" s="117">
        <f>IFERROR(VLOOKUP(B68,BD_CONTROL!$A$5:$M$4235,12,0),"")</f>
        <v>0</v>
      </c>
      <c r="M68" s="118">
        <f>IFERROR(VLOOKUP(B68,BD_CONTROL!$A$5:$M$4235,13,0),"")</f>
        <v>0</v>
      </c>
    </row>
    <row r="69" spans="1:13" ht="15" customHeight="1">
      <c r="A69" s="42">
        <v>64</v>
      </c>
      <c r="B69" s="42" t="s">
        <v>9051</v>
      </c>
      <c r="C69" s="43" t="s">
        <v>9052</v>
      </c>
      <c r="D69" s="42" t="s">
        <v>7142</v>
      </c>
      <c r="E69" s="43" t="s">
        <v>9053</v>
      </c>
      <c r="F69" s="43" t="s">
        <v>9053</v>
      </c>
      <c r="G69" s="42" t="s">
        <v>102</v>
      </c>
      <c r="H69" s="43" t="s">
        <v>2927</v>
      </c>
      <c r="I69" s="43" t="s">
        <v>104</v>
      </c>
      <c r="J69" s="55"/>
      <c r="K69" s="119" t="str">
        <f>IFERROR(VLOOKUP(B69,BD_CONTROL!$A$5:$M$4235,11,0),"")</f>
        <v>Instalado - Operando</v>
      </c>
      <c r="L69" s="120">
        <f>IFERROR(VLOOKUP(B69,BD_CONTROL!$A$5:$M$4235,12,0),"")</f>
        <v>46151</v>
      </c>
      <c r="M69" s="121">
        <f>IFERROR(VLOOKUP(B69,BD_CONTROL!$A$5:$M$4235,13,0),"")</f>
        <v>0</v>
      </c>
    </row>
    <row r="70" spans="1:13" ht="15" customHeight="1">
      <c r="A70" s="39">
        <v>65</v>
      </c>
      <c r="B70" s="39" t="s">
        <v>9054</v>
      </c>
      <c r="C70" s="40" t="s">
        <v>9055</v>
      </c>
      <c r="D70" s="39" t="s">
        <v>7142</v>
      </c>
      <c r="E70" s="40" t="s">
        <v>9056</v>
      </c>
      <c r="F70" s="40" t="s">
        <v>9057</v>
      </c>
      <c r="G70" s="39" t="s">
        <v>109</v>
      </c>
      <c r="H70" s="40" t="s">
        <v>2927</v>
      </c>
      <c r="I70" s="40" t="s">
        <v>104</v>
      </c>
      <c r="J70" s="50"/>
      <c r="K70" s="116" t="str">
        <f>IFERROR(VLOOKUP(B70,BD_CONTROL!$A$5:$M$4235,11,0),"")</f>
        <v>Instalado - Operando</v>
      </c>
      <c r="L70" s="117">
        <f>IFERROR(VLOOKUP(B70,BD_CONTROL!$A$5:$M$4235,12,0),"")</f>
        <v>46150</v>
      </c>
      <c r="M70" s="118">
        <f>IFERROR(VLOOKUP(B70,BD_CONTROL!$A$5:$M$4235,13,0),"")</f>
        <v>0</v>
      </c>
    </row>
    <row r="71" spans="1:13" ht="15" customHeight="1">
      <c r="A71" s="42">
        <v>66</v>
      </c>
      <c r="B71" s="42" t="s">
        <v>9058</v>
      </c>
      <c r="C71" s="43" t="s">
        <v>9059</v>
      </c>
      <c r="D71" s="42" t="s">
        <v>5640</v>
      </c>
      <c r="E71" s="43" t="s">
        <v>9020</v>
      </c>
      <c r="F71" s="43" t="s">
        <v>9060</v>
      </c>
      <c r="G71" s="42" t="s">
        <v>109</v>
      </c>
      <c r="H71" s="43" t="s">
        <v>8982</v>
      </c>
      <c r="I71" s="43" t="s">
        <v>104</v>
      </c>
      <c r="J71" s="55"/>
      <c r="K71" s="119">
        <f>IFERROR(VLOOKUP(B71,BD_CONTROL!$A$5:$M$4235,11,0),"")</f>
        <v>0</v>
      </c>
      <c r="L71" s="120">
        <f>IFERROR(VLOOKUP(B71,BD_CONTROL!$A$5:$M$4235,12,0),"")</f>
        <v>0</v>
      </c>
      <c r="M71" s="121">
        <f>IFERROR(VLOOKUP(B71,BD_CONTROL!$A$5:$M$4235,13,0),"")</f>
        <v>0</v>
      </c>
    </row>
    <row r="72" spans="1:13" ht="15" customHeight="1">
      <c r="A72" s="39">
        <v>67</v>
      </c>
      <c r="B72" s="39" t="s">
        <v>9061</v>
      </c>
      <c r="C72" s="40" t="s">
        <v>9062</v>
      </c>
      <c r="D72" s="39" t="s">
        <v>5640</v>
      </c>
      <c r="E72" s="40" t="s">
        <v>9063</v>
      </c>
      <c r="F72" s="40" t="s">
        <v>9063</v>
      </c>
      <c r="G72" s="39" t="s">
        <v>102</v>
      </c>
      <c r="H72" s="40" t="s">
        <v>8982</v>
      </c>
      <c r="I72" s="40" t="s">
        <v>104</v>
      </c>
      <c r="J72" s="50"/>
      <c r="K72" s="116">
        <f>IFERROR(VLOOKUP(B72,BD_CONTROL!$A$5:$M$4235,11,0),"")</f>
        <v>0</v>
      </c>
      <c r="L72" s="117">
        <f>IFERROR(VLOOKUP(B72,BD_CONTROL!$A$5:$M$4235,12,0),"")</f>
        <v>0</v>
      </c>
      <c r="M72" s="118">
        <f>IFERROR(VLOOKUP(B72,BD_CONTROL!$A$5:$M$4235,13,0),"")</f>
        <v>0</v>
      </c>
    </row>
    <row r="73" spans="1:13" ht="15" customHeight="1">
      <c r="A73" s="42">
        <v>68</v>
      </c>
      <c r="B73" s="42" t="s">
        <v>9064</v>
      </c>
      <c r="C73" s="43" t="s">
        <v>9065</v>
      </c>
      <c r="D73" s="42" t="s">
        <v>6458</v>
      </c>
      <c r="E73" s="43" t="s">
        <v>3341</v>
      </c>
      <c r="F73" s="43" t="s">
        <v>9066</v>
      </c>
      <c r="G73" s="42" t="s">
        <v>109</v>
      </c>
      <c r="H73" s="43" t="s">
        <v>2927</v>
      </c>
      <c r="I73" s="43" t="s">
        <v>104</v>
      </c>
      <c r="J73" s="55"/>
      <c r="K73" s="119">
        <f>IFERROR(VLOOKUP(B73,BD_CONTROL!$A$5:$M$4235,11,0),"")</f>
        <v>0</v>
      </c>
      <c r="L73" s="120">
        <f>IFERROR(VLOOKUP(B73,BD_CONTROL!$A$5:$M$4235,12,0),"")</f>
        <v>0</v>
      </c>
      <c r="M73" s="121">
        <f>IFERROR(VLOOKUP(B73,BD_CONTROL!$A$5:$M$4235,13,0),"")</f>
        <v>0</v>
      </c>
    </row>
    <row r="74" spans="1:13" ht="15" customHeight="1">
      <c r="A74" s="39">
        <v>69</v>
      </c>
      <c r="B74" s="39" t="s">
        <v>9067</v>
      </c>
      <c r="C74" s="40" t="s">
        <v>9065</v>
      </c>
      <c r="D74" s="39" t="s">
        <v>6458</v>
      </c>
      <c r="E74" s="40" t="s">
        <v>9027</v>
      </c>
      <c r="F74" s="40" t="s">
        <v>9068</v>
      </c>
      <c r="G74" s="39" t="s">
        <v>109</v>
      </c>
      <c r="H74" s="40" t="s">
        <v>2927</v>
      </c>
      <c r="I74" s="40" t="s">
        <v>104</v>
      </c>
      <c r="J74" s="50"/>
      <c r="K74" s="116">
        <f>IFERROR(VLOOKUP(B74,BD_CONTROL!$A$5:$M$4235,11,0),"")</f>
        <v>0</v>
      </c>
      <c r="L74" s="117">
        <f>IFERROR(VLOOKUP(B74,BD_CONTROL!$A$5:$M$4235,12,0),"")</f>
        <v>0</v>
      </c>
      <c r="M74" s="118">
        <f>IFERROR(VLOOKUP(B74,BD_CONTROL!$A$5:$M$4235,13,0),"")</f>
        <v>0</v>
      </c>
    </row>
    <row r="75" spans="1:13" ht="15" customHeight="1">
      <c r="A75" s="42">
        <v>70</v>
      </c>
      <c r="B75" s="42" t="s">
        <v>9069</v>
      </c>
      <c r="C75" s="43" t="s">
        <v>9065</v>
      </c>
      <c r="D75" s="42" t="s">
        <v>6458</v>
      </c>
      <c r="E75" s="43" t="s">
        <v>9070</v>
      </c>
      <c r="F75" s="43" t="s">
        <v>9071</v>
      </c>
      <c r="G75" s="42" t="s">
        <v>109</v>
      </c>
      <c r="H75" s="43" t="s">
        <v>2927</v>
      </c>
      <c r="I75" s="43" t="s">
        <v>104</v>
      </c>
      <c r="J75" s="55"/>
      <c r="K75" s="119">
        <f>IFERROR(VLOOKUP(B75,BD_CONTROL!$A$5:$M$4235,11,0),"")</f>
        <v>0</v>
      </c>
      <c r="L75" s="120">
        <f>IFERROR(VLOOKUP(B75,BD_CONTROL!$A$5:$M$4235,12,0),"")</f>
        <v>0</v>
      </c>
      <c r="M75" s="121">
        <f>IFERROR(VLOOKUP(B75,BD_CONTROL!$A$5:$M$4235,13,0),"")</f>
        <v>0</v>
      </c>
    </row>
    <row r="76" spans="1:13" ht="15" customHeight="1">
      <c r="A76" s="39">
        <v>71</v>
      </c>
      <c r="B76" s="39" t="s">
        <v>9072</v>
      </c>
      <c r="C76" s="40" t="s">
        <v>9073</v>
      </c>
      <c r="D76" s="39" t="s">
        <v>5640</v>
      </c>
      <c r="E76" s="40" t="s">
        <v>9074</v>
      </c>
      <c r="F76" s="40" t="s">
        <v>634</v>
      </c>
      <c r="G76" s="39" t="s">
        <v>109</v>
      </c>
      <c r="H76" s="40" t="s">
        <v>8982</v>
      </c>
      <c r="I76" s="40" t="s">
        <v>104</v>
      </c>
      <c r="J76" s="50"/>
      <c r="K76" s="116">
        <f>IFERROR(VLOOKUP(B76,BD_CONTROL!$A$5:$M$4235,11,0),"")</f>
        <v>0</v>
      </c>
      <c r="L76" s="117">
        <f>IFERROR(VLOOKUP(B76,BD_CONTROL!$A$5:$M$4235,12,0),"")</f>
        <v>0</v>
      </c>
      <c r="M76" s="118">
        <f>IFERROR(VLOOKUP(B76,BD_CONTROL!$A$5:$M$4235,13,0),"")</f>
        <v>0</v>
      </c>
    </row>
    <row r="77" spans="1:13" ht="15" customHeight="1">
      <c r="A77" s="42">
        <v>72</v>
      </c>
      <c r="B77" s="42" t="s">
        <v>9075</v>
      </c>
      <c r="C77" s="43" t="s">
        <v>9076</v>
      </c>
      <c r="D77" s="42" t="s">
        <v>5640</v>
      </c>
      <c r="E77" s="43" t="s">
        <v>9077</v>
      </c>
      <c r="F77" s="43" t="s">
        <v>9077</v>
      </c>
      <c r="G77" s="42" t="s">
        <v>109</v>
      </c>
      <c r="H77" s="43" t="s">
        <v>8982</v>
      </c>
      <c r="I77" s="43" t="s">
        <v>104</v>
      </c>
      <c r="J77" s="55"/>
      <c r="K77" s="119">
        <f>IFERROR(VLOOKUP(B77,BD_CONTROL!$A$5:$M$4235,11,0),"")</f>
        <v>0</v>
      </c>
      <c r="L77" s="120">
        <f>IFERROR(VLOOKUP(B77,BD_CONTROL!$A$5:$M$4235,12,0),"")</f>
        <v>0</v>
      </c>
      <c r="M77" s="121">
        <f>IFERROR(VLOOKUP(B77,BD_CONTROL!$A$5:$M$4235,13,0),"")</f>
        <v>0</v>
      </c>
    </row>
    <row r="78" spans="1:13" ht="15" customHeight="1">
      <c r="A78" s="39">
        <v>73</v>
      </c>
      <c r="B78" s="39" t="s">
        <v>9078</v>
      </c>
      <c r="C78" s="40" t="s">
        <v>6707</v>
      </c>
      <c r="D78" s="39" t="s">
        <v>6458</v>
      </c>
      <c r="E78" s="40" t="s">
        <v>9070</v>
      </c>
      <c r="F78" s="40" t="s">
        <v>9079</v>
      </c>
      <c r="G78" s="39" t="s">
        <v>109</v>
      </c>
      <c r="H78" s="40" t="s">
        <v>2927</v>
      </c>
      <c r="I78" s="40" t="s">
        <v>104</v>
      </c>
      <c r="J78" s="50"/>
      <c r="K78" s="116">
        <f>IFERROR(VLOOKUP(B78,BD_CONTROL!$A$5:$M$4235,11,0),"")</f>
        <v>0</v>
      </c>
      <c r="L78" s="117">
        <f>IFERROR(VLOOKUP(B78,BD_CONTROL!$A$5:$M$4235,12,0),"")</f>
        <v>0</v>
      </c>
      <c r="M78" s="118">
        <f>IFERROR(VLOOKUP(B78,BD_CONTROL!$A$5:$M$4235,13,0),"")</f>
        <v>0</v>
      </c>
    </row>
    <row r="79" spans="1:13" ht="15" customHeight="1">
      <c r="A79" s="42">
        <v>74</v>
      </c>
      <c r="B79" s="42" t="s">
        <v>9080</v>
      </c>
      <c r="C79" s="43" t="s">
        <v>9081</v>
      </c>
      <c r="D79" s="42" t="s">
        <v>6458</v>
      </c>
      <c r="E79" s="43" t="s">
        <v>3984</v>
      </c>
      <c r="F79" s="43" t="s">
        <v>9082</v>
      </c>
      <c r="G79" s="42" t="s">
        <v>109</v>
      </c>
      <c r="H79" s="43" t="s">
        <v>2927</v>
      </c>
      <c r="I79" s="43" t="s">
        <v>104</v>
      </c>
      <c r="J79" s="55"/>
      <c r="K79" s="119">
        <f>IFERROR(VLOOKUP(B79,BD_CONTROL!$A$5:$M$4235,11,0),"")</f>
        <v>0</v>
      </c>
      <c r="L79" s="120">
        <f>IFERROR(VLOOKUP(B79,BD_CONTROL!$A$5:$M$4235,12,0),"")</f>
        <v>0</v>
      </c>
      <c r="M79" s="121">
        <f>IFERROR(VLOOKUP(B79,BD_CONTROL!$A$5:$M$4235,13,0),"")</f>
        <v>0</v>
      </c>
    </row>
    <row r="80" spans="1:13" ht="15" customHeight="1">
      <c r="A80" s="39">
        <v>75</v>
      </c>
      <c r="B80" s="39" t="s">
        <v>9083</v>
      </c>
      <c r="C80" s="40" t="s">
        <v>9084</v>
      </c>
      <c r="D80" s="39" t="s">
        <v>5640</v>
      </c>
      <c r="E80" s="40" t="s">
        <v>1215</v>
      </c>
      <c r="F80" s="40" t="s">
        <v>9085</v>
      </c>
      <c r="G80" s="39" t="s">
        <v>109</v>
      </c>
      <c r="H80" s="40" t="s">
        <v>8982</v>
      </c>
      <c r="I80" s="40" t="s">
        <v>104</v>
      </c>
      <c r="J80" s="50"/>
      <c r="K80" s="116">
        <f>IFERROR(VLOOKUP(B80,BD_CONTROL!$A$5:$M$4235,11,0),"")</f>
        <v>0</v>
      </c>
      <c r="L80" s="117">
        <f>IFERROR(VLOOKUP(B80,BD_CONTROL!$A$5:$M$4235,12,0),"")</f>
        <v>0</v>
      </c>
      <c r="M80" s="118">
        <f>IFERROR(VLOOKUP(B80,BD_CONTROL!$A$5:$M$4235,13,0),"")</f>
        <v>0</v>
      </c>
    </row>
    <row r="81" spans="1:13" ht="15" customHeight="1">
      <c r="A81" s="42">
        <v>76</v>
      </c>
      <c r="B81" s="42" t="s">
        <v>9086</v>
      </c>
      <c r="C81" s="43" t="s">
        <v>9087</v>
      </c>
      <c r="D81" s="42" t="s">
        <v>5640</v>
      </c>
      <c r="E81" s="43" t="s">
        <v>9088</v>
      </c>
      <c r="F81" s="43" t="s">
        <v>9089</v>
      </c>
      <c r="G81" s="42" t="s">
        <v>109</v>
      </c>
      <c r="H81" s="43" t="s">
        <v>8982</v>
      </c>
      <c r="I81" s="43" t="s">
        <v>104</v>
      </c>
      <c r="J81" s="55"/>
      <c r="K81" s="119">
        <f>IFERROR(VLOOKUP(B81,BD_CONTROL!$A$5:$M$4235,11,0),"")</f>
        <v>0</v>
      </c>
      <c r="L81" s="120">
        <f>IFERROR(VLOOKUP(B81,BD_CONTROL!$A$5:$M$4235,12,0),"")</f>
        <v>0</v>
      </c>
      <c r="M81" s="121">
        <f>IFERROR(VLOOKUP(B81,BD_CONTROL!$A$5:$M$4235,13,0),"")</f>
        <v>0</v>
      </c>
    </row>
    <row r="82" spans="1:13" ht="15" customHeight="1">
      <c r="A82" s="39">
        <v>77</v>
      </c>
      <c r="B82" s="39" t="s">
        <v>9090</v>
      </c>
      <c r="C82" s="40" t="s">
        <v>9091</v>
      </c>
      <c r="D82" s="39" t="s">
        <v>5640</v>
      </c>
      <c r="E82" s="40" t="s">
        <v>9063</v>
      </c>
      <c r="F82" s="40" t="s">
        <v>9092</v>
      </c>
      <c r="G82" s="39" t="s">
        <v>109</v>
      </c>
      <c r="H82" s="40" t="s">
        <v>8982</v>
      </c>
      <c r="I82" s="40" t="s">
        <v>104</v>
      </c>
      <c r="J82" s="50"/>
      <c r="K82" s="116">
        <f>IFERROR(VLOOKUP(B82,BD_CONTROL!$A$5:$M$4235,11,0),"")</f>
        <v>0</v>
      </c>
      <c r="L82" s="117">
        <f>IFERROR(VLOOKUP(B82,BD_CONTROL!$A$5:$M$4235,12,0),"")</f>
        <v>0</v>
      </c>
      <c r="M82" s="118">
        <f>IFERROR(VLOOKUP(B82,BD_CONTROL!$A$5:$M$4235,13,0),"")</f>
        <v>0</v>
      </c>
    </row>
    <row r="83" spans="1:13" ht="15" customHeight="1">
      <c r="A83" s="42">
        <v>78</v>
      </c>
      <c r="B83" s="42" t="s">
        <v>9093</v>
      </c>
      <c r="C83" s="43" t="s">
        <v>6487</v>
      </c>
      <c r="D83" s="42" t="s">
        <v>6458</v>
      </c>
      <c r="E83" s="43" t="s">
        <v>9094</v>
      </c>
      <c r="F83" s="43" t="s">
        <v>9095</v>
      </c>
      <c r="G83" s="42" t="s">
        <v>109</v>
      </c>
      <c r="H83" s="43" t="s">
        <v>2927</v>
      </c>
      <c r="I83" s="43" t="s">
        <v>104</v>
      </c>
      <c r="J83" s="55"/>
      <c r="K83" s="119">
        <f>IFERROR(VLOOKUP(B83,BD_CONTROL!$A$5:$M$4235,11,0),"")</f>
        <v>0</v>
      </c>
      <c r="L83" s="120">
        <f>IFERROR(VLOOKUP(B83,BD_CONTROL!$A$5:$M$4235,12,0),"")</f>
        <v>0</v>
      </c>
      <c r="M83" s="121">
        <f>IFERROR(VLOOKUP(B83,BD_CONTROL!$A$5:$M$4235,13,0),"")</f>
        <v>0</v>
      </c>
    </row>
    <row r="84" spans="1:13" ht="15" customHeight="1">
      <c r="A84" s="39">
        <v>79</v>
      </c>
      <c r="B84" s="39" t="s">
        <v>9096</v>
      </c>
      <c r="C84" s="40" t="s">
        <v>6487</v>
      </c>
      <c r="D84" s="39" t="s">
        <v>6458</v>
      </c>
      <c r="E84" s="40" t="s">
        <v>9097</v>
      </c>
      <c r="F84" s="40" t="s">
        <v>9098</v>
      </c>
      <c r="G84" s="39" t="s">
        <v>109</v>
      </c>
      <c r="H84" s="40" t="s">
        <v>2927</v>
      </c>
      <c r="I84" s="40" t="s">
        <v>104</v>
      </c>
      <c r="J84" s="50"/>
      <c r="K84" s="116">
        <f>IFERROR(VLOOKUP(B84,BD_CONTROL!$A$5:$M$4235,11,0),"")</f>
        <v>0</v>
      </c>
      <c r="L84" s="117">
        <f>IFERROR(VLOOKUP(B84,BD_CONTROL!$A$5:$M$4235,12,0),"")</f>
        <v>0</v>
      </c>
      <c r="M84" s="118">
        <f>IFERROR(VLOOKUP(B84,BD_CONTROL!$A$5:$M$4235,13,0),"")</f>
        <v>0</v>
      </c>
    </row>
    <row r="85" spans="1:13" ht="15" customHeight="1">
      <c r="A85" s="42">
        <v>80</v>
      </c>
      <c r="B85" s="42" t="s">
        <v>9099</v>
      </c>
      <c r="C85" s="43" t="s">
        <v>9100</v>
      </c>
      <c r="D85" s="42" t="s">
        <v>5640</v>
      </c>
      <c r="E85" s="43" t="s">
        <v>5967</v>
      </c>
      <c r="F85" s="43" t="s">
        <v>9101</v>
      </c>
      <c r="G85" s="42" t="s">
        <v>109</v>
      </c>
      <c r="H85" s="43" t="s">
        <v>8982</v>
      </c>
      <c r="I85" s="43" t="s">
        <v>104</v>
      </c>
      <c r="J85" s="55"/>
      <c r="K85" s="119">
        <f>IFERROR(VLOOKUP(B85,BD_CONTROL!$A$5:$M$4235,11,0),"")</f>
        <v>0</v>
      </c>
      <c r="L85" s="120">
        <f>IFERROR(VLOOKUP(B85,BD_CONTROL!$A$5:$M$4235,12,0),"")</f>
        <v>0</v>
      </c>
      <c r="M85" s="121">
        <f>IFERROR(VLOOKUP(B85,BD_CONTROL!$A$5:$M$4235,13,0),"")</f>
        <v>0</v>
      </c>
    </row>
    <row r="86" spans="1:13" ht="15" customHeight="1">
      <c r="A86" s="39">
        <v>81</v>
      </c>
      <c r="B86" s="39" t="s">
        <v>9102</v>
      </c>
      <c r="C86" s="40" t="s">
        <v>5830</v>
      </c>
      <c r="D86" s="39" t="s">
        <v>5640</v>
      </c>
      <c r="E86" s="40" t="s">
        <v>9103</v>
      </c>
      <c r="F86" s="40" t="s">
        <v>9104</v>
      </c>
      <c r="G86" s="39" t="s">
        <v>109</v>
      </c>
      <c r="H86" s="40" t="s">
        <v>8982</v>
      </c>
      <c r="I86" s="40" t="s">
        <v>104</v>
      </c>
      <c r="J86" s="50"/>
      <c r="K86" s="116">
        <f>IFERROR(VLOOKUP(B86,BD_CONTROL!$A$5:$M$4235,11,0),"")</f>
        <v>0</v>
      </c>
      <c r="L86" s="117">
        <f>IFERROR(VLOOKUP(B86,BD_CONTROL!$A$5:$M$4235,12,0),"")</f>
        <v>0</v>
      </c>
      <c r="M86" s="118">
        <f>IFERROR(VLOOKUP(B86,BD_CONTROL!$A$5:$M$4235,13,0),"")</f>
        <v>0</v>
      </c>
    </row>
    <row r="87" spans="1:13" ht="15" customHeight="1">
      <c r="A87" s="42">
        <v>82</v>
      </c>
      <c r="B87" s="42" t="s">
        <v>9105</v>
      </c>
      <c r="C87" s="43" t="s">
        <v>5830</v>
      </c>
      <c r="D87" s="42" t="s">
        <v>5640</v>
      </c>
      <c r="E87" s="43" t="s">
        <v>9074</v>
      </c>
      <c r="F87" s="43" t="s">
        <v>9106</v>
      </c>
      <c r="G87" s="42" t="s">
        <v>109</v>
      </c>
      <c r="H87" s="43" t="s">
        <v>8982</v>
      </c>
      <c r="I87" s="43" t="s">
        <v>104</v>
      </c>
      <c r="J87" s="55"/>
      <c r="K87" s="119">
        <f>IFERROR(VLOOKUP(B87,BD_CONTROL!$A$5:$M$4235,11,0),"")</f>
        <v>0</v>
      </c>
      <c r="L87" s="120">
        <f>IFERROR(VLOOKUP(B87,BD_CONTROL!$A$5:$M$4235,12,0),"")</f>
        <v>0</v>
      </c>
      <c r="M87" s="121">
        <f>IFERROR(VLOOKUP(B87,BD_CONTROL!$A$5:$M$4235,13,0),"")</f>
        <v>0</v>
      </c>
    </row>
    <row r="88" spans="1:13" ht="15" customHeight="1">
      <c r="A88" s="39">
        <v>83</v>
      </c>
      <c r="B88" s="39" t="s">
        <v>9107</v>
      </c>
      <c r="C88" s="40" t="s">
        <v>5830</v>
      </c>
      <c r="D88" s="39" t="s">
        <v>5640</v>
      </c>
      <c r="E88" s="40" t="s">
        <v>9017</v>
      </c>
      <c r="F88" s="40" t="s">
        <v>2539</v>
      </c>
      <c r="G88" s="39" t="s">
        <v>109</v>
      </c>
      <c r="H88" s="40" t="s">
        <v>8982</v>
      </c>
      <c r="I88" s="40" t="s">
        <v>104</v>
      </c>
      <c r="J88" s="50"/>
      <c r="K88" s="116">
        <f>IFERROR(VLOOKUP(B88,BD_CONTROL!$A$5:$M$4235,11,0),"")</f>
        <v>0</v>
      </c>
      <c r="L88" s="117">
        <f>IFERROR(VLOOKUP(B88,BD_CONTROL!$A$5:$M$4235,12,0),"")</f>
        <v>0</v>
      </c>
      <c r="M88" s="118">
        <f>IFERROR(VLOOKUP(B88,BD_CONTROL!$A$5:$M$4235,13,0),"")</f>
        <v>0</v>
      </c>
    </row>
    <row r="89" spans="1:13" ht="15" customHeight="1">
      <c r="A89" s="42">
        <v>84</v>
      </c>
      <c r="B89" s="42" t="s">
        <v>9108</v>
      </c>
      <c r="C89" s="43" t="s">
        <v>9109</v>
      </c>
      <c r="D89" s="42" t="s">
        <v>5640</v>
      </c>
      <c r="E89" s="43" t="s">
        <v>9063</v>
      </c>
      <c r="F89" s="43" t="s">
        <v>9063</v>
      </c>
      <c r="G89" s="42" t="s">
        <v>102</v>
      </c>
      <c r="H89" s="43" t="s">
        <v>8982</v>
      </c>
      <c r="I89" s="43" t="s">
        <v>104</v>
      </c>
      <c r="J89" s="55"/>
      <c r="K89" s="119">
        <f>IFERROR(VLOOKUP(B89,BD_CONTROL!$A$5:$M$4235,11,0),"")</f>
        <v>0</v>
      </c>
      <c r="L89" s="120">
        <f>IFERROR(VLOOKUP(B89,BD_CONTROL!$A$5:$M$4235,12,0),"")</f>
        <v>0</v>
      </c>
      <c r="M89" s="121">
        <f>IFERROR(VLOOKUP(B89,BD_CONTROL!$A$5:$M$4235,13,0),"")</f>
        <v>0</v>
      </c>
    </row>
    <row r="90" spans="1:13" ht="15" customHeight="1">
      <c r="A90" s="39">
        <v>85</v>
      </c>
      <c r="B90" s="39" t="s">
        <v>9110</v>
      </c>
      <c r="C90" s="40" t="s">
        <v>1527</v>
      </c>
      <c r="D90" s="39" t="s">
        <v>6458</v>
      </c>
      <c r="E90" s="40" t="s">
        <v>9036</v>
      </c>
      <c r="F90" s="40" t="s">
        <v>9111</v>
      </c>
      <c r="G90" s="39" t="s">
        <v>109</v>
      </c>
      <c r="H90" s="40" t="s">
        <v>2927</v>
      </c>
      <c r="I90" s="40" t="s">
        <v>104</v>
      </c>
      <c r="J90" s="50"/>
      <c r="K90" s="116">
        <f>IFERROR(VLOOKUP(B90,BD_CONTROL!$A$5:$M$4235,11,0),"")</f>
        <v>0</v>
      </c>
      <c r="L90" s="117">
        <f>IFERROR(VLOOKUP(B90,BD_CONTROL!$A$5:$M$4235,12,0),"")</f>
        <v>0</v>
      </c>
      <c r="M90" s="118">
        <f>IFERROR(VLOOKUP(B90,BD_CONTROL!$A$5:$M$4235,13,0),"")</f>
        <v>0</v>
      </c>
    </row>
    <row r="91" spans="1:13" ht="15" customHeight="1">
      <c r="A91" s="42">
        <v>86</v>
      </c>
      <c r="B91" s="42" t="s">
        <v>9112</v>
      </c>
      <c r="C91" s="43" t="s">
        <v>6682</v>
      </c>
      <c r="D91" s="42" t="s">
        <v>6458</v>
      </c>
      <c r="E91" s="43" t="s">
        <v>8976</v>
      </c>
      <c r="F91" s="43" t="s">
        <v>3655</v>
      </c>
      <c r="G91" s="42" t="s">
        <v>109</v>
      </c>
      <c r="H91" s="43" t="s">
        <v>2927</v>
      </c>
      <c r="I91" s="43" t="s">
        <v>104</v>
      </c>
      <c r="J91" s="55"/>
      <c r="K91" s="119">
        <f>IFERROR(VLOOKUP(B91,BD_CONTROL!$A$5:$M$4235,11,0),"")</f>
        <v>0</v>
      </c>
      <c r="L91" s="120">
        <f>IFERROR(VLOOKUP(B91,BD_CONTROL!$A$5:$M$4235,12,0),"")</f>
        <v>0</v>
      </c>
      <c r="M91" s="121">
        <f>IFERROR(VLOOKUP(B91,BD_CONTROL!$A$5:$M$4235,13,0),"")</f>
        <v>0</v>
      </c>
    </row>
    <row r="92" spans="1:13" ht="15" customHeight="1">
      <c r="A92" s="39">
        <v>87</v>
      </c>
      <c r="B92" s="39" t="s">
        <v>9113</v>
      </c>
      <c r="C92" s="40" t="s">
        <v>6682</v>
      </c>
      <c r="D92" s="39" t="s">
        <v>5640</v>
      </c>
      <c r="E92" s="40" t="s">
        <v>1113</v>
      </c>
      <c r="F92" s="40" t="s">
        <v>9114</v>
      </c>
      <c r="G92" s="39" t="s">
        <v>102</v>
      </c>
      <c r="H92" s="40" t="s">
        <v>8982</v>
      </c>
      <c r="I92" s="40" t="s">
        <v>104</v>
      </c>
      <c r="J92" s="50"/>
      <c r="K92" s="116" t="str">
        <f>IFERROR(VLOOKUP(B92,BD_CONTROL!$A$5:$M$4235,11,0),"")</f>
        <v>Instalado - Operando</v>
      </c>
      <c r="L92" s="117">
        <f>IFERROR(VLOOKUP(B92,BD_CONTROL!$A$5:$M$4235,12,0),"")</f>
        <v>46148</v>
      </c>
      <c r="M92" s="118">
        <f>IFERROR(VLOOKUP(B92,BD_CONTROL!$A$5:$M$4235,13,0),"")</f>
        <v>0</v>
      </c>
    </row>
    <row r="93" spans="1:13" ht="15" customHeight="1">
      <c r="A93" s="42">
        <v>88</v>
      </c>
      <c r="B93" s="42" t="s">
        <v>9115</v>
      </c>
      <c r="C93" s="43" t="s">
        <v>9116</v>
      </c>
      <c r="D93" s="42" t="s">
        <v>5640</v>
      </c>
      <c r="E93" s="43" t="s">
        <v>8990</v>
      </c>
      <c r="F93" s="43" t="s">
        <v>9117</v>
      </c>
      <c r="G93" s="42" t="s">
        <v>109</v>
      </c>
      <c r="H93" s="43" t="s">
        <v>8982</v>
      </c>
      <c r="I93" s="43" t="s">
        <v>104</v>
      </c>
      <c r="J93" s="55"/>
      <c r="K93" s="119">
        <f>IFERROR(VLOOKUP(B93,BD_CONTROL!$A$5:$M$4235,11,0),"")</f>
        <v>0</v>
      </c>
      <c r="L93" s="120">
        <f>IFERROR(VLOOKUP(B93,BD_CONTROL!$A$5:$M$4235,12,0),"")</f>
        <v>0</v>
      </c>
      <c r="M93" s="121">
        <f>IFERROR(VLOOKUP(B93,BD_CONTROL!$A$5:$M$4235,13,0),"")</f>
        <v>0</v>
      </c>
    </row>
    <row r="94" spans="1:13" ht="15" customHeight="1">
      <c r="A94" s="39">
        <v>89</v>
      </c>
      <c r="B94" s="39" t="s">
        <v>9118</v>
      </c>
      <c r="C94" s="40" t="s">
        <v>9119</v>
      </c>
      <c r="D94" s="39" t="s">
        <v>5640</v>
      </c>
      <c r="E94" s="40" t="s">
        <v>9004</v>
      </c>
      <c r="F94" s="40" t="s">
        <v>9120</v>
      </c>
      <c r="G94" s="39" t="s">
        <v>102</v>
      </c>
      <c r="H94" s="40" t="s">
        <v>8982</v>
      </c>
      <c r="I94" s="40" t="s">
        <v>104</v>
      </c>
      <c r="J94" s="50"/>
      <c r="K94" s="116">
        <f>IFERROR(VLOOKUP(B94,BD_CONTROL!$A$5:$M$4235,11,0),"")</f>
        <v>0</v>
      </c>
      <c r="L94" s="117">
        <f>IFERROR(VLOOKUP(B94,BD_CONTROL!$A$5:$M$4235,12,0),"")</f>
        <v>0</v>
      </c>
      <c r="M94" s="118">
        <f>IFERROR(VLOOKUP(B94,BD_CONTROL!$A$5:$M$4235,13,0),"")</f>
        <v>0</v>
      </c>
    </row>
    <row r="95" spans="1:13" ht="15" customHeight="1">
      <c r="A95" s="42">
        <v>90</v>
      </c>
      <c r="B95" s="42" t="s">
        <v>9121</v>
      </c>
      <c r="C95" s="43" t="s">
        <v>9122</v>
      </c>
      <c r="D95" s="42" t="s">
        <v>5640</v>
      </c>
      <c r="E95" s="43" t="s">
        <v>8990</v>
      </c>
      <c r="F95" s="43" t="s">
        <v>8990</v>
      </c>
      <c r="G95" s="42" t="s">
        <v>102</v>
      </c>
      <c r="H95" s="43" t="s">
        <v>8982</v>
      </c>
      <c r="I95" s="43" t="s">
        <v>104</v>
      </c>
      <c r="J95" s="55"/>
      <c r="K95" s="119">
        <f>IFERROR(VLOOKUP(B95,BD_CONTROL!$A$5:$M$4235,11,0),"")</f>
        <v>0</v>
      </c>
      <c r="L95" s="120">
        <f>IFERROR(VLOOKUP(B95,BD_CONTROL!$A$5:$M$4235,12,0),"")</f>
        <v>0</v>
      </c>
      <c r="M95" s="121">
        <f>IFERROR(VLOOKUP(B95,BD_CONTROL!$A$5:$M$4235,13,0),"")</f>
        <v>0</v>
      </c>
    </row>
    <row r="96" spans="1:13" ht="15" customHeight="1">
      <c r="A96" s="39">
        <v>91</v>
      </c>
      <c r="B96" s="39" t="s">
        <v>9123</v>
      </c>
      <c r="C96" s="40" t="s">
        <v>9124</v>
      </c>
      <c r="D96" s="39" t="s">
        <v>6458</v>
      </c>
      <c r="E96" s="40" t="s">
        <v>9125</v>
      </c>
      <c r="F96" s="40" t="s">
        <v>9125</v>
      </c>
      <c r="G96" s="39" t="s">
        <v>102</v>
      </c>
      <c r="H96" s="40" t="s">
        <v>2927</v>
      </c>
      <c r="I96" s="40" t="s">
        <v>104</v>
      </c>
      <c r="J96" s="50"/>
      <c r="K96" s="116">
        <f>IFERROR(VLOOKUP(B96,BD_CONTROL!$A$5:$M$4235,11,0),"")</f>
        <v>0</v>
      </c>
      <c r="L96" s="117">
        <f>IFERROR(VLOOKUP(B96,BD_CONTROL!$A$5:$M$4235,12,0),"")</f>
        <v>0</v>
      </c>
      <c r="M96" s="118">
        <f>IFERROR(VLOOKUP(B96,BD_CONTROL!$A$5:$M$4235,13,0),"")</f>
        <v>0</v>
      </c>
    </row>
    <row r="97" spans="1:13" ht="15" customHeight="1">
      <c r="A97" s="42">
        <v>92</v>
      </c>
      <c r="B97" s="42" t="s">
        <v>9126</v>
      </c>
      <c r="C97" s="43" t="s">
        <v>6655</v>
      </c>
      <c r="D97" s="42" t="s">
        <v>6458</v>
      </c>
      <c r="E97" s="43" t="s">
        <v>8976</v>
      </c>
      <c r="F97" s="43" t="s">
        <v>4061</v>
      </c>
      <c r="G97" s="42" t="s">
        <v>109</v>
      </c>
      <c r="H97" s="43" t="s">
        <v>2927</v>
      </c>
      <c r="I97" s="43" t="s">
        <v>104</v>
      </c>
      <c r="J97" s="55"/>
      <c r="K97" s="119">
        <f>IFERROR(VLOOKUP(B97,BD_CONTROL!$A$5:$M$4235,11,0),"")</f>
        <v>0</v>
      </c>
      <c r="L97" s="120">
        <f>IFERROR(VLOOKUP(B97,BD_CONTROL!$A$5:$M$4235,12,0),"")</f>
        <v>0</v>
      </c>
      <c r="M97" s="121">
        <f>IFERROR(VLOOKUP(B97,BD_CONTROL!$A$5:$M$4235,13,0),"")</f>
        <v>0</v>
      </c>
    </row>
    <row r="98" spans="1:13" ht="15" customHeight="1">
      <c r="A98" s="39">
        <v>93</v>
      </c>
      <c r="B98" s="39" t="s">
        <v>9127</v>
      </c>
      <c r="C98" s="40" t="s">
        <v>9128</v>
      </c>
      <c r="D98" s="39" t="s">
        <v>5640</v>
      </c>
      <c r="E98" s="40" t="s">
        <v>9017</v>
      </c>
      <c r="F98" s="40" t="s">
        <v>3875</v>
      </c>
      <c r="G98" s="39" t="s">
        <v>109</v>
      </c>
      <c r="H98" s="40" t="s">
        <v>8982</v>
      </c>
      <c r="I98" s="40" t="s">
        <v>104</v>
      </c>
      <c r="J98" s="50"/>
      <c r="K98" s="116" t="str">
        <f>IFERROR(VLOOKUP(B98,BD_CONTROL!$A$5:$M$4235,11,0),"")</f>
        <v>Instalado - Sin Señal</v>
      </c>
      <c r="L98" s="117">
        <f>IFERROR(VLOOKUP(B98,BD_CONTROL!$A$5:$M$4235,12,0),"")</f>
        <v>46150</v>
      </c>
      <c r="M98" s="118">
        <f>IFERROR(VLOOKUP(B98,BD_CONTROL!$A$5:$M$4235,13,0),"")</f>
        <v>0</v>
      </c>
    </row>
    <row r="99" spans="1:13" ht="15" customHeight="1">
      <c r="A99" s="42">
        <v>94</v>
      </c>
      <c r="B99" s="42" t="s">
        <v>9129</v>
      </c>
      <c r="C99" s="43" t="s">
        <v>9130</v>
      </c>
      <c r="D99" s="42" t="s">
        <v>5640</v>
      </c>
      <c r="E99" s="43" t="s">
        <v>1113</v>
      </c>
      <c r="F99" s="43" t="s">
        <v>254</v>
      </c>
      <c r="G99" s="42" t="s">
        <v>109</v>
      </c>
      <c r="H99" s="43" t="s">
        <v>8982</v>
      </c>
      <c r="I99" s="43" t="s">
        <v>104</v>
      </c>
      <c r="J99" s="55"/>
      <c r="K99" s="119" t="str">
        <f>IFERROR(VLOOKUP(B99,BD_CONTROL!$A$5:$M$4235,11,0),"")</f>
        <v>Instalado - Operando</v>
      </c>
      <c r="L99" s="120">
        <f>IFERROR(VLOOKUP(B99,BD_CONTROL!$A$5:$M$4235,12,0),"")</f>
        <v>46149</v>
      </c>
      <c r="M99" s="121">
        <f>IFERROR(VLOOKUP(B99,BD_CONTROL!$A$5:$M$4235,13,0),"")</f>
        <v>0</v>
      </c>
    </row>
    <row r="100" spans="1:13" ht="15" customHeight="1">
      <c r="A100" s="39">
        <v>95</v>
      </c>
      <c r="B100" s="39" t="s">
        <v>9131</v>
      </c>
      <c r="C100" s="40" t="s">
        <v>9132</v>
      </c>
      <c r="D100" s="39" t="s">
        <v>553</v>
      </c>
      <c r="E100" s="40" t="s">
        <v>3052</v>
      </c>
      <c r="F100" s="40" t="s">
        <v>3052</v>
      </c>
      <c r="G100" s="39" t="s">
        <v>109</v>
      </c>
      <c r="H100" s="40" t="s">
        <v>2927</v>
      </c>
      <c r="I100" s="40" t="s">
        <v>104</v>
      </c>
      <c r="J100" s="50"/>
      <c r="K100" s="116">
        <f>IFERROR(VLOOKUP(B100,BD_CONTROL!$A$5:$M$4235,11,0),"")</f>
        <v>0</v>
      </c>
      <c r="L100" s="117">
        <f>IFERROR(VLOOKUP(B100,BD_CONTROL!$A$5:$M$4235,12,0),"")</f>
        <v>0</v>
      </c>
      <c r="M100" s="118">
        <f>IFERROR(VLOOKUP(B100,BD_CONTROL!$A$5:$M$4235,13,0),"")</f>
        <v>0</v>
      </c>
    </row>
    <row r="101" spans="1:13" ht="15" customHeight="1">
      <c r="A101" s="42">
        <v>96</v>
      </c>
      <c r="B101" s="42" t="s">
        <v>9133</v>
      </c>
      <c r="C101" s="43" t="s">
        <v>9134</v>
      </c>
      <c r="D101" s="42" t="s">
        <v>5640</v>
      </c>
      <c r="E101" s="43" t="s">
        <v>9135</v>
      </c>
      <c r="F101" s="43" t="s">
        <v>9135</v>
      </c>
      <c r="G101" s="42" t="s">
        <v>102</v>
      </c>
      <c r="H101" s="43" t="s">
        <v>8982</v>
      </c>
      <c r="I101" s="43" t="s">
        <v>104</v>
      </c>
      <c r="J101" s="55"/>
      <c r="K101" s="119">
        <f>IFERROR(VLOOKUP(B101,BD_CONTROL!$A$5:$M$4235,11,0),"")</f>
        <v>0</v>
      </c>
      <c r="L101" s="120">
        <f>IFERROR(VLOOKUP(B101,BD_CONTROL!$A$5:$M$4235,12,0),"")</f>
        <v>0</v>
      </c>
      <c r="M101" s="121">
        <f>IFERROR(VLOOKUP(B101,BD_CONTROL!$A$5:$M$4235,13,0),"")</f>
        <v>0</v>
      </c>
    </row>
    <row r="102" spans="1:13" ht="15" customHeight="1">
      <c r="A102" s="39">
        <v>97</v>
      </c>
      <c r="B102" s="39" t="s">
        <v>9136</v>
      </c>
      <c r="C102" s="40" t="s">
        <v>9137</v>
      </c>
      <c r="D102" s="39" t="s">
        <v>5640</v>
      </c>
      <c r="E102" s="40" t="s">
        <v>8980</v>
      </c>
      <c r="F102" s="40" t="s">
        <v>8980</v>
      </c>
      <c r="G102" s="39" t="s">
        <v>102</v>
      </c>
      <c r="H102" s="40" t="s">
        <v>8982</v>
      </c>
      <c r="I102" s="40" t="s">
        <v>104</v>
      </c>
      <c r="J102" s="50"/>
      <c r="K102" s="116" t="str">
        <f>IFERROR(VLOOKUP(B102,BD_CONTROL!$A$5:$M$4235,11,0),"")</f>
        <v>Instalado - Sin Señal</v>
      </c>
      <c r="L102" s="117">
        <f>IFERROR(VLOOKUP(B102,BD_CONTROL!$A$5:$M$4235,12,0),"")</f>
        <v>46147</v>
      </c>
      <c r="M102" s="118" t="str">
        <f>IFERROR(VLOOKUP(B102,BD_CONTROL!$A$5:$M$4235,13,0),"")</f>
        <v>EQUIPAMIENTO INSTALADO . PENDIENTE LA ACTIVACIÓN.</v>
      </c>
    </row>
    <row r="103" spans="1:13" ht="15" customHeight="1">
      <c r="A103" s="42">
        <v>98</v>
      </c>
      <c r="B103" s="42" t="s">
        <v>9139</v>
      </c>
      <c r="C103" s="43" t="s">
        <v>1323</v>
      </c>
      <c r="D103" s="42" t="s">
        <v>6458</v>
      </c>
      <c r="E103" s="43" t="s">
        <v>3984</v>
      </c>
      <c r="F103" s="43" t="s">
        <v>9140</v>
      </c>
      <c r="G103" s="42" t="s">
        <v>109</v>
      </c>
      <c r="H103" s="43" t="s">
        <v>2927</v>
      </c>
      <c r="I103" s="43" t="s">
        <v>104</v>
      </c>
      <c r="J103" s="55"/>
      <c r="K103" s="119">
        <f>IFERROR(VLOOKUP(B103,BD_CONTROL!$A$5:$M$4235,11,0),"")</f>
        <v>0</v>
      </c>
      <c r="L103" s="120">
        <f>IFERROR(VLOOKUP(B103,BD_CONTROL!$A$5:$M$4235,12,0),"")</f>
        <v>0</v>
      </c>
      <c r="M103" s="121">
        <f>IFERROR(VLOOKUP(B103,BD_CONTROL!$A$5:$M$4235,13,0),"")</f>
        <v>0</v>
      </c>
    </row>
    <row r="104" spans="1:13" ht="15" customHeight="1">
      <c r="A104" s="39">
        <v>99</v>
      </c>
      <c r="B104" s="39" t="s">
        <v>9141</v>
      </c>
      <c r="C104" s="40" t="s">
        <v>1323</v>
      </c>
      <c r="D104" s="39" t="s">
        <v>6458</v>
      </c>
      <c r="E104" s="40" t="s">
        <v>9142</v>
      </c>
      <c r="F104" s="40" t="s">
        <v>9143</v>
      </c>
      <c r="G104" s="39" t="s">
        <v>109</v>
      </c>
      <c r="H104" s="40" t="s">
        <v>2927</v>
      </c>
      <c r="I104" s="40" t="s">
        <v>104</v>
      </c>
      <c r="J104" s="50"/>
      <c r="K104" s="116">
        <f>IFERROR(VLOOKUP(B104,BD_CONTROL!$A$5:$M$4235,11,0),"")</f>
        <v>0</v>
      </c>
      <c r="L104" s="117">
        <f>IFERROR(VLOOKUP(B104,BD_CONTROL!$A$5:$M$4235,12,0),"")</f>
        <v>0</v>
      </c>
      <c r="M104" s="118">
        <f>IFERROR(VLOOKUP(B104,BD_CONTROL!$A$5:$M$4235,13,0),"")</f>
        <v>0</v>
      </c>
    </row>
    <row r="105" spans="1:13" ht="15" customHeight="1">
      <c r="A105" s="42">
        <v>100</v>
      </c>
      <c r="B105" s="42" t="s">
        <v>9144</v>
      </c>
      <c r="C105" s="43" t="s">
        <v>1323</v>
      </c>
      <c r="D105" s="42" t="s">
        <v>6458</v>
      </c>
      <c r="E105" s="43" t="s">
        <v>9142</v>
      </c>
      <c r="F105" s="43" t="s">
        <v>9145</v>
      </c>
      <c r="G105" s="42" t="s">
        <v>109</v>
      </c>
      <c r="H105" s="43" t="s">
        <v>2927</v>
      </c>
      <c r="I105" s="43" t="s">
        <v>104</v>
      </c>
      <c r="J105" s="55"/>
      <c r="K105" s="119">
        <f>IFERROR(VLOOKUP(B105,BD_CONTROL!$A$5:$M$4235,11,0),"")</f>
        <v>0</v>
      </c>
      <c r="L105" s="120">
        <f>IFERROR(VLOOKUP(B105,BD_CONTROL!$A$5:$M$4235,12,0),"")</f>
        <v>0</v>
      </c>
      <c r="M105" s="121">
        <f>IFERROR(VLOOKUP(B105,BD_CONTROL!$A$5:$M$4235,13,0),"")</f>
        <v>0</v>
      </c>
    </row>
    <row r="106" spans="1:13" ht="15" customHeight="1">
      <c r="A106" s="39">
        <v>101</v>
      </c>
      <c r="B106" s="39" t="s">
        <v>9146</v>
      </c>
      <c r="C106" s="40" t="s">
        <v>9147</v>
      </c>
      <c r="D106" s="39" t="s">
        <v>553</v>
      </c>
      <c r="E106" s="40" t="s">
        <v>2926</v>
      </c>
      <c r="F106" s="40" t="s">
        <v>9148</v>
      </c>
      <c r="G106" s="39" t="s">
        <v>109</v>
      </c>
      <c r="H106" s="40" t="s">
        <v>2927</v>
      </c>
      <c r="I106" s="40" t="s">
        <v>104</v>
      </c>
      <c r="J106" s="50"/>
      <c r="K106" s="116">
        <f>IFERROR(VLOOKUP(B106,BD_CONTROL!$A$5:$M$4235,11,0),"")</f>
        <v>0</v>
      </c>
      <c r="L106" s="117">
        <f>IFERROR(VLOOKUP(B106,BD_CONTROL!$A$5:$M$4235,12,0),"")</f>
        <v>0</v>
      </c>
      <c r="M106" s="118">
        <f>IFERROR(VLOOKUP(B106,BD_CONTROL!$A$5:$M$4235,13,0),"")</f>
        <v>0</v>
      </c>
    </row>
    <row r="107" spans="1:13" ht="15" customHeight="1">
      <c r="A107" s="42">
        <v>102</v>
      </c>
      <c r="B107" s="42" t="s">
        <v>9149</v>
      </c>
      <c r="C107" s="43" t="s">
        <v>9150</v>
      </c>
      <c r="D107" s="42" t="s">
        <v>7142</v>
      </c>
      <c r="E107" s="43" t="s">
        <v>9056</v>
      </c>
      <c r="F107" s="43" t="s">
        <v>9151</v>
      </c>
      <c r="G107" s="42" t="s">
        <v>109</v>
      </c>
      <c r="H107" s="43" t="s">
        <v>2927</v>
      </c>
      <c r="I107" s="43" t="s">
        <v>104</v>
      </c>
      <c r="J107" s="55"/>
      <c r="K107" s="119" t="str">
        <f>IFERROR(VLOOKUP(B107,BD_CONTROL!$A$5:$M$4235,11,0),"")</f>
        <v>Instalado - Operando</v>
      </c>
      <c r="L107" s="120">
        <f>IFERROR(VLOOKUP(B107,BD_CONTROL!$A$5:$M$4235,12,0),"")</f>
        <v>46149</v>
      </c>
      <c r="M107" s="121">
        <f>IFERROR(VLOOKUP(B107,BD_CONTROL!$A$5:$M$4235,13,0),"")</f>
        <v>0</v>
      </c>
    </row>
    <row r="108" spans="1:13" ht="15" customHeight="1">
      <c r="A108" s="39">
        <v>103</v>
      </c>
      <c r="B108" s="39" t="s">
        <v>9152</v>
      </c>
      <c r="C108" s="40" t="s">
        <v>9153</v>
      </c>
      <c r="D108" s="39" t="s">
        <v>6458</v>
      </c>
      <c r="E108" s="40" t="s">
        <v>8987</v>
      </c>
      <c r="F108" s="40" t="s">
        <v>9154</v>
      </c>
      <c r="G108" s="39" t="s">
        <v>109</v>
      </c>
      <c r="H108" s="40" t="s">
        <v>2927</v>
      </c>
      <c r="I108" s="40" t="s">
        <v>104</v>
      </c>
      <c r="J108" s="50"/>
      <c r="K108" s="116">
        <f>IFERROR(VLOOKUP(B108,BD_CONTROL!$A$5:$M$4235,11,0),"")</f>
        <v>0</v>
      </c>
      <c r="L108" s="117">
        <f>IFERROR(VLOOKUP(B108,BD_CONTROL!$A$5:$M$4235,12,0),"")</f>
        <v>0</v>
      </c>
      <c r="M108" s="118">
        <f>IFERROR(VLOOKUP(B108,BD_CONTROL!$A$5:$M$4235,13,0),"")</f>
        <v>0</v>
      </c>
    </row>
    <row r="109" spans="1:13" ht="15" customHeight="1">
      <c r="A109" s="42">
        <v>104</v>
      </c>
      <c r="B109" s="42" t="s">
        <v>9155</v>
      </c>
      <c r="C109" s="43" t="s">
        <v>9156</v>
      </c>
      <c r="D109" s="42" t="s">
        <v>6458</v>
      </c>
      <c r="E109" s="43" t="s">
        <v>9157</v>
      </c>
      <c r="F109" s="43" t="s">
        <v>9158</v>
      </c>
      <c r="G109" s="42" t="s">
        <v>109</v>
      </c>
      <c r="H109" s="43" t="s">
        <v>2927</v>
      </c>
      <c r="I109" s="43" t="s">
        <v>104</v>
      </c>
      <c r="J109" s="55"/>
      <c r="K109" s="119">
        <f>IFERROR(VLOOKUP(B109,BD_CONTROL!$A$5:$M$4235,11,0),"")</f>
        <v>0</v>
      </c>
      <c r="L109" s="120">
        <f>IFERROR(VLOOKUP(B109,BD_CONTROL!$A$5:$M$4235,12,0),"")</f>
        <v>0</v>
      </c>
      <c r="M109" s="121">
        <f>IFERROR(VLOOKUP(B109,BD_CONTROL!$A$5:$M$4235,13,0),"")</f>
        <v>0</v>
      </c>
    </row>
    <row r="110" spans="1:13" ht="15" customHeight="1">
      <c r="A110" s="39">
        <v>105</v>
      </c>
      <c r="B110" s="39" t="s">
        <v>9159</v>
      </c>
      <c r="C110" s="40" t="s">
        <v>6502</v>
      </c>
      <c r="D110" s="39" t="s">
        <v>6458</v>
      </c>
      <c r="E110" s="40" t="s">
        <v>3984</v>
      </c>
      <c r="F110" s="40" t="s">
        <v>9160</v>
      </c>
      <c r="G110" s="39" t="s">
        <v>109</v>
      </c>
      <c r="H110" s="40" t="s">
        <v>2927</v>
      </c>
      <c r="I110" s="40" t="s">
        <v>104</v>
      </c>
      <c r="J110" s="50"/>
      <c r="K110" s="116">
        <f>IFERROR(VLOOKUP(B110,BD_CONTROL!$A$5:$M$4235,11,0),"")</f>
        <v>0</v>
      </c>
      <c r="L110" s="117">
        <f>IFERROR(VLOOKUP(B110,BD_CONTROL!$A$5:$M$4235,12,0),"")</f>
        <v>0</v>
      </c>
      <c r="M110" s="118">
        <f>IFERROR(VLOOKUP(B110,BD_CONTROL!$A$5:$M$4235,13,0),"")</f>
        <v>0</v>
      </c>
    </row>
    <row r="111" spans="1:13" ht="15" customHeight="1">
      <c r="A111" s="42">
        <v>106</v>
      </c>
      <c r="B111" s="42" t="s">
        <v>9161</v>
      </c>
      <c r="C111" s="43" t="s">
        <v>6502</v>
      </c>
      <c r="D111" s="42" t="s">
        <v>6458</v>
      </c>
      <c r="E111" s="43" t="s">
        <v>9162</v>
      </c>
      <c r="F111" s="43" t="s">
        <v>9163</v>
      </c>
      <c r="G111" s="42" t="s">
        <v>109</v>
      </c>
      <c r="H111" s="43" t="s">
        <v>2927</v>
      </c>
      <c r="I111" s="43" t="s">
        <v>104</v>
      </c>
      <c r="J111" s="55"/>
      <c r="K111" s="119">
        <f>IFERROR(VLOOKUP(B111,BD_CONTROL!$A$5:$M$4235,11,0),"")</f>
        <v>0</v>
      </c>
      <c r="L111" s="120">
        <f>IFERROR(VLOOKUP(B111,BD_CONTROL!$A$5:$M$4235,12,0),"")</f>
        <v>0</v>
      </c>
      <c r="M111" s="121">
        <f>IFERROR(VLOOKUP(B111,BD_CONTROL!$A$5:$M$4235,13,0),"")</f>
        <v>0</v>
      </c>
    </row>
    <row r="112" spans="1:13" ht="15" customHeight="1">
      <c r="A112" s="39">
        <v>107</v>
      </c>
      <c r="B112" s="39" t="s">
        <v>9164</v>
      </c>
      <c r="C112" s="40" t="s">
        <v>6502</v>
      </c>
      <c r="D112" s="39" t="s">
        <v>6458</v>
      </c>
      <c r="E112" s="40" t="s">
        <v>8987</v>
      </c>
      <c r="F112" s="40" t="s">
        <v>9165</v>
      </c>
      <c r="G112" s="39" t="s">
        <v>109</v>
      </c>
      <c r="H112" s="40" t="s">
        <v>2927</v>
      </c>
      <c r="I112" s="40" t="s">
        <v>104</v>
      </c>
      <c r="J112" s="50"/>
      <c r="K112" s="116">
        <f>IFERROR(VLOOKUP(B112,BD_CONTROL!$A$5:$M$4235,11,0),"")</f>
        <v>0</v>
      </c>
      <c r="L112" s="117">
        <f>IFERROR(VLOOKUP(B112,BD_CONTROL!$A$5:$M$4235,12,0),"")</f>
        <v>0</v>
      </c>
      <c r="M112" s="118">
        <f>IFERROR(VLOOKUP(B112,BD_CONTROL!$A$5:$M$4235,13,0),"")</f>
        <v>0</v>
      </c>
    </row>
    <row r="113" spans="1:13" ht="15" customHeight="1">
      <c r="A113" s="42">
        <v>108</v>
      </c>
      <c r="B113" s="42" t="s">
        <v>9166</v>
      </c>
      <c r="C113" s="43" t="s">
        <v>6502</v>
      </c>
      <c r="D113" s="42" t="s">
        <v>6458</v>
      </c>
      <c r="E113" s="43" t="s">
        <v>9027</v>
      </c>
      <c r="F113" s="43" t="s">
        <v>9167</v>
      </c>
      <c r="G113" s="42" t="s">
        <v>102</v>
      </c>
      <c r="H113" s="43" t="s">
        <v>2927</v>
      </c>
      <c r="I113" s="43" t="s">
        <v>104</v>
      </c>
      <c r="J113" s="55"/>
      <c r="K113" s="119">
        <f>IFERROR(VLOOKUP(B113,BD_CONTROL!$A$5:$M$4235,11,0),"")</f>
        <v>0</v>
      </c>
      <c r="L113" s="120">
        <f>IFERROR(VLOOKUP(B113,BD_CONTROL!$A$5:$M$4235,12,0),"")</f>
        <v>0</v>
      </c>
      <c r="M113" s="121">
        <f>IFERROR(VLOOKUP(B113,BD_CONTROL!$A$5:$M$4235,13,0),"")</f>
        <v>0</v>
      </c>
    </row>
    <row r="114" spans="1:13" ht="15" customHeight="1">
      <c r="A114" s="39">
        <v>109</v>
      </c>
      <c r="B114" s="39" t="s">
        <v>9168</v>
      </c>
      <c r="C114" s="40" t="s">
        <v>470</v>
      </c>
      <c r="D114" s="39" t="s">
        <v>5640</v>
      </c>
      <c r="E114" s="40" t="s">
        <v>9009</v>
      </c>
      <c r="F114" s="40" t="s">
        <v>9169</v>
      </c>
      <c r="G114" s="39" t="s">
        <v>109</v>
      </c>
      <c r="H114" s="40" t="s">
        <v>8982</v>
      </c>
      <c r="I114" s="40" t="s">
        <v>104</v>
      </c>
      <c r="J114" s="50"/>
      <c r="K114" s="116" t="str">
        <f>IFERROR(VLOOKUP(B114,BD_CONTROL!$A$5:$M$4235,11,0),"")</f>
        <v>Instalado - Sin Señal</v>
      </c>
      <c r="L114" s="117">
        <f>IFERROR(VLOOKUP(B114,BD_CONTROL!$A$5:$M$4235,12,0),"")</f>
        <v>46150</v>
      </c>
      <c r="M114" s="118">
        <f>IFERROR(VLOOKUP(B114,BD_CONTROL!$A$5:$M$4235,13,0),"")</f>
        <v>0</v>
      </c>
    </row>
    <row r="115" spans="1:13" ht="15" customHeight="1">
      <c r="A115" s="42">
        <v>110</v>
      </c>
      <c r="B115" s="42" t="s">
        <v>9170</v>
      </c>
      <c r="C115" s="43" t="s">
        <v>3443</v>
      </c>
      <c r="D115" s="42" t="s">
        <v>5640</v>
      </c>
      <c r="E115" s="43" t="s">
        <v>9171</v>
      </c>
      <c r="F115" s="43" t="s">
        <v>9172</v>
      </c>
      <c r="G115" s="42" t="s">
        <v>109</v>
      </c>
      <c r="H115" s="43" t="s">
        <v>8982</v>
      </c>
      <c r="I115" s="43" t="s">
        <v>104</v>
      </c>
      <c r="J115" s="55"/>
      <c r="K115" s="119" t="str">
        <f>IFERROR(VLOOKUP(B115,BD_CONTROL!$A$5:$M$4235,11,0),"")</f>
        <v>Instalado - Operando</v>
      </c>
      <c r="L115" s="120">
        <f>IFERROR(VLOOKUP(B115,BD_CONTROL!$A$5:$M$4235,12,0),"")</f>
        <v>46150</v>
      </c>
      <c r="M115" s="121">
        <f>IFERROR(VLOOKUP(B115,BD_CONTROL!$A$5:$M$4235,13,0),"")</f>
        <v>0</v>
      </c>
    </row>
    <row r="116" spans="1:13" ht="15" customHeight="1">
      <c r="A116" s="39">
        <v>111</v>
      </c>
      <c r="B116" s="39" t="s">
        <v>9173</v>
      </c>
      <c r="C116" s="40" t="s">
        <v>3443</v>
      </c>
      <c r="D116" s="39" t="s">
        <v>6458</v>
      </c>
      <c r="E116" s="40" t="s">
        <v>9047</v>
      </c>
      <c r="F116" s="40" t="s">
        <v>9174</v>
      </c>
      <c r="G116" s="39" t="s">
        <v>109</v>
      </c>
      <c r="H116" s="40" t="s">
        <v>2927</v>
      </c>
      <c r="I116" s="40" t="s">
        <v>104</v>
      </c>
      <c r="J116" s="50"/>
      <c r="K116" s="116">
        <f>IFERROR(VLOOKUP(B116,BD_CONTROL!$A$5:$M$4235,11,0),"")</f>
        <v>0</v>
      </c>
      <c r="L116" s="117">
        <f>IFERROR(VLOOKUP(B116,BD_CONTROL!$A$5:$M$4235,12,0),"")</f>
        <v>0</v>
      </c>
      <c r="M116" s="118">
        <f>IFERROR(VLOOKUP(B116,BD_CONTROL!$A$5:$M$4235,13,0),"")</f>
        <v>0</v>
      </c>
    </row>
    <row r="117" spans="1:13" ht="15" customHeight="1">
      <c r="A117" s="42">
        <v>112</v>
      </c>
      <c r="B117" s="42" t="s">
        <v>9175</v>
      </c>
      <c r="C117" s="43" t="s">
        <v>9176</v>
      </c>
      <c r="D117" s="42" t="s">
        <v>5640</v>
      </c>
      <c r="E117" s="43" t="s">
        <v>9030</v>
      </c>
      <c r="F117" s="43" t="s">
        <v>1292</v>
      </c>
      <c r="G117" s="42" t="s">
        <v>109</v>
      </c>
      <c r="H117" s="43" t="s">
        <v>8982</v>
      </c>
      <c r="I117" s="43" t="s">
        <v>104</v>
      </c>
      <c r="J117" s="55"/>
      <c r="K117" s="119">
        <f>IFERROR(VLOOKUP(B117,BD_CONTROL!$A$5:$M$4235,11,0),"")</f>
        <v>0</v>
      </c>
      <c r="L117" s="120">
        <f>IFERROR(VLOOKUP(B117,BD_CONTROL!$A$5:$M$4235,12,0),"")</f>
        <v>0</v>
      </c>
      <c r="M117" s="121">
        <f>IFERROR(VLOOKUP(B117,BD_CONTROL!$A$5:$M$4235,13,0),"")</f>
        <v>0</v>
      </c>
    </row>
    <row r="118" spans="1:13" ht="15" customHeight="1">
      <c r="A118" s="39">
        <v>113</v>
      </c>
      <c r="B118" s="39" t="s">
        <v>9177</v>
      </c>
      <c r="C118" s="40" t="s">
        <v>2726</v>
      </c>
      <c r="D118" s="39" t="s">
        <v>5640</v>
      </c>
      <c r="E118" s="40" t="s">
        <v>9030</v>
      </c>
      <c r="F118" s="40" t="s">
        <v>9178</v>
      </c>
      <c r="G118" s="39" t="s">
        <v>109</v>
      </c>
      <c r="H118" s="40" t="s">
        <v>8982</v>
      </c>
      <c r="I118" s="40" t="s">
        <v>104</v>
      </c>
      <c r="J118" s="50"/>
      <c r="K118" s="116">
        <f>IFERROR(VLOOKUP(B118,BD_CONTROL!$A$5:$M$4235,11,0),"")</f>
        <v>0</v>
      </c>
      <c r="L118" s="117">
        <f>IFERROR(VLOOKUP(B118,BD_CONTROL!$A$5:$M$4235,12,0),"")</f>
        <v>0</v>
      </c>
      <c r="M118" s="118">
        <f>IFERROR(VLOOKUP(B118,BD_CONTROL!$A$5:$M$4235,13,0),"")</f>
        <v>0</v>
      </c>
    </row>
    <row r="119" spans="1:13" ht="15" customHeight="1">
      <c r="A119" s="42">
        <v>114</v>
      </c>
      <c r="B119" s="42" t="s">
        <v>9179</v>
      </c>
      <c r="C119" s="43" t="s">
        <v>2726</v>
      </c>
      <c r="D119" s="42" t="s">
        <v>5640</v>
      </c>
      <c r="E119" s="43" t="s">
        <v>9180</v>
      </c>
      <c r="F119" s="43" t="s">
        <v>9181</v>
      </c>
      <c r="G119" s="42" t="s">
        <v>109</v>
      </c>
      <c r="H119" s="43" t="s">
        <v>8982</v>
      </c>
      <c r="I119" s="43" t="s">
        <v>104</v>
      </c>
      <c r="J119" s="55"/>
      <c r="K119" s="119">
        <f>IFERROR(VLOOKUP(B119,BD_CONTROL!$A$5:$M$4235,11,0),"")</f>
        <v>0</v>
      </c>
      <c r="L119" s="120">
        <f>IFERROR(VLOOKUP(B119,BD_CONTROL!$A$5:$M$4235,12,0),"")</f>
        <v>0</v>
      </c>
      <c r="M119" s="121">
        <f>IFERROR(VLOOKUP(B119,BD_CONTROL!$A$5:$M$4235,13,0),"")</f>
        <v>0</v>
      </c>
    </row>
    <row r="120" spans="1:13" ht="15" customHeight="1">
      <c r="A120" s="39">
        <v>115</v>
      </c>
      <c r="B120" s="39" t="s">
        <v>9182</v>
      </c>
      <c r="C120" s="40" t="s">
        <v>5751</v>
      </c>
      <c r="D120" s="39" t="s">
        <v>5640</v>
      </c>
      <c r="E120" s="40" t="s">
        <v>9030</v>
      </c>
      <c r="F120" s="40" t="s">
        <v>9183</v>
      </c>
      <c r="G120" s="39" t="s">
        <v>109</v>
      </c>
      <c r="H120" s="40" t="s">
        <v>8982</v>
      </c>
      <c r="I120" s="40" t="s">
        <v>104</v>
      </c>
      <c r="J120" s="50"/>
      <c r="K120" s="116">
        <f>IFERROR(VLOOKUP(B120,BD_CONTROL!$A$5:$M$4235,11,0),"")</f>
        <v>0</v>
      </c>
      <c r="L120" s="117">
        <f>IFERROR(VLOOKUP(B120,BD_CONTROL!$A$5:$M$4235,12,0),"")</f>
        <v>0</v>
      </c>
      <c r="M120" s="118">
        <f>IFERROR(VLOOKUP(B120,BD_CONTROL!$A$5:$M$4235,13,0),"")</f>
        <v>0</v>
      </c>
    </row>
    <row r="121" spans="1:13" ht="15" customHeight="1">
      <c r="A121" s="42">
        <v>116</v>
      </c>
      <c r="B121" s="42" t="s">
        <v>9184</v>
      </c>
      <c r="C121" s="43" t="s">
        <v>9185</v>
      </c>
      <c r="D121" s="42" t="s">
        <v>5640</v>
      </c>
      <c r="E121" s="43" t="s">
        <v>9063</v>
      </c>
      <c r="F121" s="43" t="s">
        <v>9186</v>
      </c>
      <c r="G121" s="42" t="s">
        <v>102</v>
      </c>
      <c r="H121" s="43" t="s">
        <v>8982</v>
      </c>
      <c r="I121" s="43" t="s">
        <v>104</v>
      </c>
      <c r="J121" s="55"/>
      <c r="K121" s="119">
        <f>IFERROR(VLOOKUP(B121,BD_CONTROL!$A$5:$M$4235,11,0),"")</f>
        <v>0</v>
      </c>
      <c r="L121" s="120">
        <f>IFERROR(VLOOKUP(B121,BD_CONTROL!$A$5:$M$4235,12,0),"")</f>
        <v>0</v>
      </c>
      <c r="M121" s="121">
        <f>IFERROR(VLOOKUP(B121,BD_CONTROL!$A$5:$M$4235,13,0),"")</f>
        <v>0</v>
      </c>
    </row>
    <row r="122" spans="1:13" ht="15" customHeight="1">
      <c r="A122" s="39">
        <v>117</v>
      </c>
      <c r="B122" s="39" t="s">
        <v>9187</v>
      </c>
      <c r="C122" s="40" t="s">
        <v>9188</v>
      </c>
      <c r="D122" s="39" t="s">
        <v>6458</v>
      </c>
      <c r="E122" s="40" t="s">
        <v>3984</v>
      </c>
      <c r="F122" s="40" t="s">
        <v>9189</v>
      </c>
      <c r="G122" s="39" t="s">
        <v>109</v>
      </c>
      <c r="H122" s="40" t="s">
        <v>2927</v>
      </c>
      <c r="I122" s="40" t="s">
        <v>104</v>
      </c>
      <c r="J122" s="50"/>
      <c r="K122" s="116">
        <f>IFERROR(VLOOKUP(B122,BD_CONTROL!$A$5:$M$4235,11,0),"")</f>
        <v>0</v>
      </c>
      <c r="L122" s="117">
        <f>IFERROR(VLOOKUP(B122,BD_CONTROL!$A$5:$M$4235,12,0),"")</f>
        <v>0</v>
      </c>
      <c r="M122" s="118">
        <f>IFERROR(VLOOKUP(B122,BD_CONTROL!$A$5:$M$4235,13,0),"")</f>
        <v>0</v>
      </c>
    </row>
    <row r="123" spans="1:13" ht="15" customHeight="1">
      <c r="A123" s="42">
        <v>118</v>
      </c>
      <c r="B123" s="42" t="s">
        <v>9190</v>
      </c>
      <c r="C123" s="43" t="s">
        <v>9191</v>
      </c>
      <c r="D123" s="42" t="s">
        <v>7142</v>
      </c>
      <c r="E123" s="43" t="s">
        <v>9056</v>
      </c>
      <c r="F123" s="43" t="s">
        <v>9056</v>
      </c>
      <c r="G123" s="42" t="s">
        <v>102</v>
      </c>
      <c r="H123" s="43" t="s">
        <v>2927</v>
      </c>
      <c r="I123" s="43" t="s">
        <v>104</v>
      </c>
      <c r="J123" s="55"/>
      <c r="K123" s="119" t="str">
        <f>IFERROR(VLOOKUP(B123,BD_CONTROL!$A$5:$M$4235,11,0),"")</f>
        <v>Instalado - Operando</v>
      </c>
      <c r="L123" s="120">
        <f>IFERROR(VLOOKUP(B123,BD_CONTROL!$A$5:$M$4235,12,0),"")</f>
        <v>46148</v>
      </c>
      <c r="M123" s="121">
        <f>IFERROR(VLOOKUP(B123,BD_CONTROL!$A$5:$M$4235,13,0),"")</f>
        <v>0</v>
      </c>
    </row>
    <row r="124" spans="1:13" ht="15" customHeight="1">
      <c r="A124" s="39">
        <v>119</v>
      </c>
      <c r="B124" s="39" t="s">
        <v>9192</v>
      </c>
      <c r="C124" s="40" t="s">
        <v>9193</v>
      </c>
      <c r="D124" s="39" t="s">
        <v>6458</v>
      </c>
      <c r="E124" s="40" t="s">
        <v>9142</v>
      </c>
      <c r="F124" s="40" t="s">
        <v>9194</v>
      </c>
      <c r="G124" s="39" t="s">
        <v>109</v>
      </c>
      <c r="H124" s="40" t="s">
        <v>2927</v>
      </c>
      <c r="I124" s="40" t="s">
        <v>104</v>
      </c>
      <c r="J124" s="50"/>
      <c r="K124" s="116">
        <f>IFERROR(VLOOKUP(B124,BD_CONTROL!$A$5:$M$4235,11,0),"")</f>
        <v>0</v>
      </c>
      <c r="L124" s="117">
        <f>IFERROR(VLOOKUP(B124,BD_CONTROL!$A$5:$M$4235,12,0),"")</f>
        <v>0</v>
      </c>
      <c r="M124" s="118">
        <f>IFERROR(VLOOKUP(B124,BD_CONTROL!$A$5:$M$4235,13,0),"")</f>
        <v>0</v>
      </c>
    </row>
    <row r="125" spans="1:13" ht="15" customHeight="1">
      <c r="A125" s="42">
        <v>120</v>
      </c>
      <c r="B125" s="42" t="s">
        <v>9195</v>
      </c>
      <c r="C125" s="43" t="s">
        <v>9193</v>
      </c>
      <c r="D125" s="42" t="s">
        <v>6458</v>
      </c>
      <c r="E125" s="43" t="s">
        <v>8987</v>
      </c>
      <c r="F125" s="43" t="s">
        <v>8790</v>
      </c>
      <c r="G125" s="42" t="s">
        <v>109</v>
      </c>
      <c r="H125" s="43" t="s">
        <v>2927</v>
      </c>
      <c r="I125" s="43" t="s">
        <v>104</v>
      </c>
      <c r="J125" s="55"/>
      <c r="K125" s="119">
        <f>IFERROR(VLOOKUP(B125,BD_CONTROL!$A$5:$M$4235,11,0),"")</f>
        <v>0</v>
      </c>
      <c r="L125" s="120">
        <f>IFERROR(VLOOKUP(B125,BD_CONTROL!$A$5:$M$4235,12,0),"")</f>
        <v>0</v>
      </c>
      <c r="M125" s="121">
        <f>IFERROR(VLOOKUP(B125,BD_CONTROL!$A$5:$M$4235,13,0),"")</f>
        <v>0</v>
      </c>
    </row>
    <row r="126" spans="1:13" ht="15" customHeight="1">
      <c r="A126" s="39">
        <v>121</v>
      </c>
      <c r="B126" s="39" t="s">
        <v>9196</v>
      </c>
      <c r="C126" s="40" t="s">
        <v>9197</v>
      </c>
      <c r="D126" s="39" t="s">
        <v>6458</v>
      </c>
      <c r="E126" s="40" t="s">
        <v>9094</v>
      </c>
      <c r="F126" s="40" t="s">
        <v>9198</v>
      </c>
      <c r="G126" s="39" t="s">
        <v>109</v>
      </c>
      <c r="H126" s="40" t="s">
        <v>2927</v>
      </c>
      <c r="I126" s="40" t="s">
        <v>104</v>
      </c>
      <c r="J126" s="50"/>
      <c r="K126" s="116">
        <f>IFERROR(VLOOKUP(B126,BD_CONTROL!$A$5:$M$4235,11,0),"")</f>
        <v>0</v>
      </c>
      <c r="L126" s="117">
        <f>IFERROR(VLOOKUP(B126,BD_CONTROL!$A$5:$M$4235,12,0),"")</f>
        <v>0</v>
      </c>
      <c r="M126" s="118">
        <f>IFERROR(VLOOKUP(B126,BD_CONTROL!$A$5:$M$4235,13,0),"")</f>
        <v>0</v>
      </c>
    </row>
    <row r="127" spans="1:13" ht="15" customHeight="1">
      <c r="A127" s="42">
        <v>122</v>
      </c>
      <c r="B127" s="42" t="s">
        <v>9199</v>
      </c>
      <c r="C127" s="43" t="s">
        <v>9200</v>
      </c>
      <c r="D127" s="42" t="s">
        <v>6458</v>
      </c>
      <c r="E127" s="43" t="s">
        <v>3984</v>
      </c>
      <c r="F127" s="43" t="s">
        <v>9201</v>
      </c>
      <c r="G127" s="42" t="s">
        <v>109</v>
      </c>
      <c r="H127" s="43" t="s">
        <v>2927</v>
      </c>
      <c r="I127" s="43" t="s">
        <v>104</v>
      </c>
      <c r="J127" s="55"/>
      <c r="K127" s="119">
        <f>IFERROR(VLOOKUP(B127,BD_CONTROL!$A$5:$M$4235,11,0),"")</f>
        <v>0</v>
      </c>
      <c r="L127" s="120">
        <f>IFERROR(VLOOKUP(B127,BD_CONTROL!$A$5:$M$4235,12,0),"")</f>
        <v>0</v>
      </c>
      <c r="M127" s="121">
        <f>IFERROR(VLOOKUP(B127,BD_CONTROL!$A$5:$M$4235,13,0),"")</f>
        <v>0</v>
      </c>
    </row>
    <row r="128" spans="1:13" ht="15" customHeight="1">
      <c r="A128" s="39">
        <v>123</v>
      </c>
      <c r="B128" s="39" t="s">
        <v>9202</v>
      </c>
      <c r="C128" s="40" t="s">
        <v>9203</v>
      </c>
      <c r="D128" s="39" t="s">
        <v>6458</v>
      </c>
      <c r="E128" s="40" t="s">
        <v>9094</v>
      </c>
      <c r="F128" s="40" t="s">
        <v>9204</v>
      </c>
      <c r="G128" s="39" t="s">
        <v>109</v>
      </c>
      <c r="H128" s="40" t="s">
        <v>2927</v>
      </c>
      <c r="I128" s="40" t="s">
        <v>104</v>
      </c>
      <c r="J128" s="50"/>
      <c r="K128" s="116">
        <f>IFERROR(VLOOKUP(B128,BD_CONTROL!$A$5:$M$4235,11,0),"")</f>
        <v>0</v>
      </c>
      <c r="L128" s="117">
        <f>IFERROR(VLOOKUP(B128,BD_CONTROL!$A$5:$M$4235,12,0),"")</f>
        <v>0</v>
      </c>
      <c r="M128" s="118">
        <f>IFERROR(VLOOKUP(B128,BD_CONTROL!$A$5:$M$4235,13,0),"")</f>
        <v>0</v>
      </c>
    </row>
    <row r="129" spans="1:13" ht="15" customHeight="1">
      <c r="A129" s="42">
        <v>124</v>
      </c>
      <c r="B129" s="42" t="s">
        <v>9205</v>
      </c>
      <c r="C129" s="43" t="s">
        <v>1215</v>
      </c>
      <c r="D129" s="42" t="s">
        <v>6458</v>
      </c>
      <c r="E129" s="43" t="s">
        <v>9047</v>
      </c>
      <c r="F129" s="43" t="s">
        <v>9206</v>
      </c>
      <c r="G129" s="42" t="s">
        <v>109</v>
      </c>
      <c r="H129" s="43" t="s">
        <v>2927</v>
      </c>
      <c r="I129" s="43" t="s">
        <v>104</v>
      </c>
      <c r="J129" s="55"/>
      <c r="K129" s="119">
        <f>IFERROR(VLOOKUP(B129,BD_CONTROL!$A$5:$M$4235,11,0),"")</f>
        <v>0</v>
      </c>
      <c r="L129" s="120">
        <f>IFERROR(VLOOKUP(B129,BD_CONTROL!$A$5:$M$4235,12,0),"")</f>
        <v>0</v>
      </c>
      <c r="M129" s="121">
        <f>IFERROR(VLOOKUP(B129,BD_CONTROL!$A$5:$M$4235,13,0),"")</f>
        <v>0</v>
      </c>
    </row>
    <row r="130" spans="1:13" ht="15" customHeight="1">
      <c r="A130" s="39">
        <v>125</v>
      </c>
      <c r="B130" s="39" t="s">
        <v>9207</v>
      </c>
      <c r="C130" s="40" t="s">
        <v>1215</v>
      </c>
      <c r="D130" s="39" t="s">
        <v>5640</v>
      </c>
      <c r="E130" s="40" t="s">
        <v>1215</v>
      </c>
      <c r="F130" s="40" t="s">
        <v>1215</v>
      </c>
      <c r="G130" s="39" t="s">
        <v>102</v>
      </c>
      <c r="H130" s="40" t="s">
        <v>8982</v>
      </c>
      <c r="I130" s="40" t="s">
        <v>104</v>
      </c>
      <c r="J130" s="50"/>
      <c r="K130" s="116">
        <f>IFERROR(VLOOKUP(B130,BD_CONTROL!$A$5:$M$4235,11,0),"")</f>
        <v>0</v>
      </c>
      <c r="L130" s="117">
        <f>IFERROR(VLOOKUP(B130,BD_CONTROL!$A$5:$M$4235,12,0),"")</f>
        <v>0</v>
      </c>
      <c r="M130" s="118">
        <f>IFERROR(VLOOKUP(B130,BD_CONTROL!$A$5:$M$4235,13,0),"")</f>
        <v>0</v>
      </c>
    </row>
    <row r="131" spans="1:13" ht="15" customHeight="1">
      <c r="A131" s="42">
        <v>126</v>
      </c>
      <c r="B131" s="42" t="s">
        <v>9208</v>
      </c>
      <c r="C131" s="43" t="s">
        <v>3676</v>
      </c>
      <c r="D131" s="42" t="s">
        <v>5640</v>
      </c>
      <c r="E131" s="43" t="s">
        <v>9135</v>
      </c>
      <c r="F131" s="43" t="s">
        <v>9209</v>
      </c>
      <c r="G131" s="42" t="s">
        <v>109</v>
      </c>
      <c r="H131" s="43" t="s">
        <v>8982</v>
      </c>
      <c r="I131" s="43" t="s">
        <v>104</v>
      </c>
      <c r="J131" s="55"/>
      <c r="K131" s="119">
        <f>IFERROR(VLOOKUP(B131,BD_CONTROL!$A$5:$M$4235,11,0),"")</f>
        <v>0</v>
      </c>
      <c r="L131" s="120">
        <f>IFERROR(VLOOKUP(B131,BD_CONTROL!$A$5:$M$4235,12,0),"")</f>
        <v>0</v>
      </c>
      <c r="M131" s="121">
        <f>IFERROR(VLOOKUP(B131,BD_CONTROL!$A$5:$M$4235,13,0),"")</f>
        <v>0</v>
      </c>
    </row>
    <row r="132" spans="1:13" ht="15" customHeight="1">
      <c r="A132" s="39">
        <v>127</v>
      </c>
      <c r="B132" s="39" t="s">
        <v>9210</v>
      </c>
      <c r="C132" s="40" t="s">
        <v>3676</v>
      </c>
      <c r="D132" s="39" t="s">
        <v>5640</v>
      </c>
      <c r="E132" s="40" t="s">
        <v>9030</v>
      </c>
      <c r="F132" s="40" t="s">
        <v>9211</v>
      </c>
      <c r="G132" s="39" t="s">
        <v>102</v>
      </c>
      <c r="H132" s="40" t="s">
        <v>8982</v>
      </c>
      <c r="I132" s="40" t="s">
        <v>104</v>
      </c>
      <c r="J132" s="50"/>
      <c r="K132" s="116">
        <f>IFERROR(VLOOKUP(B132,BD_CONTROL!$A$5:$M$4235,11,0),"")</f>
        <v>0</v>
      </c>
      <c r="L132" s="117">
        <f>IFERROR(VLOOKUP(B132,BD_CONTROL!$A$5:$M$4235,12,0),"")</f>
        <v>0</v>
      </c>
      <c r="M132" s="118">
        <f>IFERROR(VLOOKUP(B132,BD_CONTROL!$A$5:$M$4235,13,0),"")</f>
        <v>0</v>
      </c>
    </row>
    <row r="133" spans="1:13" ht="15" customHeight="1">
      <c r="A133" s="42">
        <v>128</v>
      </c>
      <c r="B133" s="42" t="s">
        <v>9212</v>
      </c>
      <c r="C133" s="43" t="s">
        <v>6034</v>
      </c>
      <c r="D133" s="42" t="s">
        <v>6458</v>
      </c>
      <c r="E133" s="43" t="s">
        <v>3341</v>
      </c>
      <c r="F133" s="43" t="s">
        <v>3341</v>
      </c>
      <c r="G133" s="42" t="s">
        <v>109</v>
      </c>
      <c r="H133" s="43" t="s">
        <v>2927</v>
      </c>
      <c r="I133" s="43" t="s">
        <v>104</v>
      </c>
      <c r="J133" s="55"/>
      <c r="K133" s="119">
        <f>IFERROR(VLOOKUP(B133,BD_CONTROL!$A$5:$M$4235,11,0),"")</f>
        <v>0</v>
      </c>
      <c r="L133" s="120">
        <f>IFERROR(VLOOKUP(B133,BD_CONTROL!$A$5:$M$4235,12,0),"")</f>
        <v>0</v>
      </c>
      <c r="M133" s="121">
        <f>IFERROR(VLOOKUP(B133,BD_CONTROL!$A$5:$M$4235,13,0),"")</f>
        <v>0</v>
      </c>
    </row>
    <row r="134" spans="1:13" ht="15" customHeight="1">
      <c r="A134" s="39">
        <v>129</v>
      </c>
      <c r="B134" s="39" t="s">
        <v>9213</v>
      </c>
      <c r="C134" s="40" t="s">
        <v>9214</v>
      </c>
      <c r="D134" s="39" t="s">
        <v>5640</v>
      </c>
      <c r="E134" s="40" t="s">
        <v>1113</v>
      </c>
      <c r="F134" s="40" t="s">
        <v>9215</v>
      </c>
      <c r="G134" s="39" t="s">
        <v>102</v>
      </c>
      <c r="H134" s="40" t="s">
        <v>8982</v>
      </c>
      <c r="I134" s="40" t="s">
        <v>104</v>
      </c>
      <c r="J134" s="50"/>
      <c r="K134" s="116" t="str">
        <f>IFERROR(VLOOKUP(B134,BD_CONTROL!$A$5:$M$4235,11,0),"")</f>
        <v>Instalado - Operando</v>
      </c>
      <c r="L134" s="117">
        <f>IFERROR(VLOOKUP(B134,BD_CONTROL!$A$5:$M$4235,12,0),"")</f>
        <v>46147</v>
      </c>
      <c r="M134" s="118">
        <f>IFERROR(VLOOKUP(B134,BD_CONTROL!$A$5:$M$4235,13,0),"")</f>
        <v>0</v>
      </c>
    </row>
    <row r="135" spans="1:13" ht="15" customHeight="1">
      <c r="A135" s="42">
        <v>130</v>
      </c>
      <c r="B135" s="42" t="s">
        <v>9216</v>
      </c>
      <c r="C135" s="43" t="s">
        <v>9217</v>
      </c>
      <c r="D135" s="42" t="s">
        <v>5640</v>
      </c>
      <c r="E135" s="43" t="s">
        <v>9218</v>
      </c>
      <c r="F135" s="43" t="s">
        <v>1215</v>
      </c>
      <c r="G135" s="42" t="s">
        <v>109</v>
      </c>
      <c r="H135" s="43" t="s">
        <v>8982</v>
      </c>
      <c r="I135" s="43" t="s">
        <v>104</v>
      </c>
      <c r="J135" s="55"/>
      <c r="K135" s="119">
        <f>IFERROR(VLOOKUP(B135,BD_CONTROL!$A$5:$M$4235,11,0),"")</f>
        <v>0</v>
      </c>
      <c r="L135" s="120">
        <f>IFERROR(VLOOKUP(B135,BD_CONTROL!$A$5:$M$4235,12,0),"")</f>
        <v>0</v>
      </c>
      <c r="M135" s="121">
        <f>IFERROR(VLOOKUP(B135,BD_CONTROL!$A$5:$M$4235,13,0),"")</f>
        <v>0</v>
      </c>
    </row>
    <row r="136" spans="1:13" ht="15" customHeight="1">
      <c r="A136" s="39">
        <v>131</v>
      </c>
      <c r="B136" s="39" t="s">
        <v>9219</v>
      </c>
      <c r="C136" s="40" t="s">
        <v>9217</v>
      </c>
      <c r="D136" s="39" t="s">
        <v>5640</v>
      </c>
      <c r="E136" s="40" t="s">
        <v>254</v>
      </c>
      <c r="F136" s="40" t="s">
        <v>9220</v>
      </c>
      <c r="G136" s="39" t="s">
        <v>109</v>
      </c>
      <c r="H136" s="40" t="s">
        <v>8982</v>
      </c>
      <c r="I136" s="40" t="s">
        <v>104</v>
      </c>
      <c r="J136" s="50"/>
      <c r="K136" s="116">
        <f>IFERROR(VLOOKUP(B136,BD_CONTROL!$A$5:$M$4235,11,0),"")</f>
        <v>0</v>
      </c>
      <c r="L136" s="117">
        <f>IFERROR(VLOOKUP(B136,BD_CONTROL!$A$5:$M$4235,12,0),"")</f>
        <v>0</v>
      </c>
      <c r="M136" s="118">
        <f>IFERROR(VLOOKUP(B136,BD_CONTROL!$A$5:$M$4235,13,0),"")</f>
        <v>0</v>
      </c>
    </row>
    <row r="137" spans="1:13" ht="15" customHeight="1">
      <c r="A137" s="42">
        <v>132</v>
      </c>
      <c r="B137" s="42" t="s">
        <v>9221</v>
      </c>
      <c r="C137" s="43" t="s">
        <v>5976</v>
      </c>
      <c r="D137" s="42" t="s">
        <v>5640</v>
      </c>
      <c r="E137" s="43" t="s">
        <v>3645</v>
      </c>
      <c r="F137" s="43" t="s">
        <v>3645</v>
      </c>
      <c r="G137" s="42" t="s">
        <v>109</v>
      </c>
      <c r="H137" s="43" t="s">
        <v>8982</v>
      </c>
      <c r="I137" s="43" t="s">
        <v>104</v>
      </c>
      <c r="J137" s="55"/>
      <c r="K137" s="119">
        <f>IFERROR(VLOOKUP(B137,BD_CONTROL!$A$5:$M$4235,11,0),"")</f>
        <v>0</v>
      </c>
      <c r="L137" s="120">
        <f>IFERROR(VLOOKUP(B137,BD_CONTROL!$A$5:$M$4235,12,0),"")</f>
        <v>0</v>
      </c>
      <c r="M137" s="121">
        <f>IFERROR(VLOOKUP(B137,BD_CONTROL!$A$5:$M$4235,13,0),"")</f>
        <v>0</v>
      </c>
    </row>
    <row r="138" spans="1:13" ht="15" customHeight="1">
      <c r="A138" s="39">
        <v>133</v>
      </c>
      <c r="B138" s="39" t="s">
        <v>9222</v>
      </c>
      <c r="C138" s="40" t="s">
        <v>9223</v>
      </c>
      <c r="D138" s="39" t="s">
        <v>5640</v>
      </c>
      <c r="E138" s="40" t="s">
        <v>9224</v>
      </c>
      <c r="F138" s="40" t="s">
        <v>9225</v>
      </c>
      <c r="G138" s="39" t="s">
        <v>109</v>
      </c>
      <c r="H138" s="40" t="s">
        <v>8982</v>
      </c>
      <c r="I138" s="40" t="s">
        <v>104</v>
      </c>
      <c r="J138" s="50"/>
      <c r="K138" s="116" t="str">
        <f>IFERROR(VLOOKUP(B138,BD_CONTROL!$A$5:$M$4235,11,0),"")</f>
        <v>Instalado - Operando</v>
      </c>
      <c r="L138" s="117">
        <f>IFERROR(VLOOKUP(B138,BD_CONTROL!$A$5:$M$4235,12,0),"")</f>
        <v>46148</v>
      </c>
      <c r="M138" s="118">
        <f>IFERROR(VLOOKUP(B138,BD_CONTROL!$A$5:$M$4235,13,0),"")</f>
        <v>0</v>
      </c>
    </row>
    <row r="139" spans="1:13" ht="15" customHeight="1">
      <c r="A139" s="42">
        <v>134</v>
      </c>
      <c r="B139" s="42" t="s">
        <v>9226</v>
      </c>
      <c r="C139" s="43" t="s">
        <v>6433</v>
      </c>
      <c r="D139" s="42" t="s">
        <v>5640</v>
      </c>
      <c r="E139" s="43" t="s">
        <v>9171</v>
      </c>
      <c r="F139" s="43" t="s">
        <v>9227</v>
      </c>
      <c r="G139" s="42" t="s">
        <v>109</v>
      </c>
      <c r="H139" s="43" t="s">
        <v>8982</v>
      </c>
      <c r="I139" s="43" t="s">
        <v>104</v>
      </c>
      <c r="J139" s="55"/>
      <c r="K139" s="119" t="str">
        <f>IFERROR(VLOOKUP(B139,BD_CONTROL!$A$5:$M$4235,11,0),"")</f>
        <v>Instalado - Operando</v>
      </c>
      <c r="L139" s="120">
        <f>IFERROR(VLOOKUP(B139,BD_CONTROL!$A$5:$M$4235,12,0),"")</f>
        <v>46149</v>
      </c>
      <c r="M139" s="121">
        <f>IFERROR(VLOOKUP(B139,BD_CONTROL!$A$5:$M$4235,13,0),"")</f>
        <v>0</v>
      </c>
    </row>
    <row r="140" spans="1:13" ht="15" customHeight="1">
      <c r="A140" s="39">
        <v>135</v>
      </c>
      <c r="B140" s="39" t="s">
        <v>9228</v>
      </c>
      <c r="C140" s="40" t="s">
        <v>3437</v>
      </c>
      <c r="D140" s="39" t="s">
        <v>5640</v>
      </c>
      <c r="E140" s="40" t="s">
        <v>9229</v>
      </c>
      <c r="F140" s="40" t="s">
        <v>9230</v>
      </c>
      <c r="G140" s="39" t="s">
        <v>109</v>
      </c>
      <c r="H140" s="40" t="s">
        <v>8982</v>
      </c>
      <c r="I140" s="40" t="s">
        <v>104</v>
      </c>
      <c r="J140" s="50"/>
      <c r="K140" s="116" t="str">
        <f>IFERROR(VLOOKUP(B140,BD_CONTROL!$A$5:$M$4235,11,0),"")</f>
        <v>Instalado - Sin Señal</v>
      </c>
      <c r="L140" s="117">
        <f>IFERROR(VLOOKUP(B140,BD_CONTROL!$A$5:$M$4235,12,0),"")</f>
        <v>46149</v>
      </c>
      <c r="M140" s="118">
        <f>IFERROR(VLOOKUP(B140,BD_CONTROL!$A$5:$M$4235,13,0),"")</f>
        <v>0</v>
      </c>
    </row>
    <row r="141" spans="1:13" ht="15" customHeight="1">
      <c r="A141" s="42">
        <v>136</v>
      </c>
      <c r="B141" s="42" t="s">
        <v>9231</v>
      </c>
      <c r="C141" s="43" t="s">
        <v>1002</v>
      </c>
      <c r="D141" s="42" t="s">
        <v>5640</v>
      </c>
      <c r="E141" s="43" t="s">
        <v>9077</v>
      </c>
      <c r="F141" s="43" t="s">
        <v>9232</v>
      </c>
      <c r="G141" s="42" t="s">
        <v>109</v>
      </c>
      <c r="H141" s="43" t="s">
        <v>8982</v>
      </c>
      <c r="I141" s="43" t="s">
        <v>104</v>
      </c>
      <c r="J141" s="55"/>
      <c r="K141" s="119">
        <f>IFERROR(VLOOKUP(B141,BD_CONTROL!$A$5:$M$4235,11,0),"")</f>
        <v>0</v>
      </c>
      <c r="L141" s="120">
        <f>IFERROR(VLOOKUP(B141,BD_CONTROL!$A$5:$M$4235,12,0),"")</f>
        <v>0</v>
      </c>
      <c r="M141" s="121">
        <f>IFERROR(VLOOKUP(B141,BD_CONTROL!$A$5:$M$4235,13,0),"")</f>
        <v>0</v>
      </c>
    </row>
    <row r="142" spans="1:13" ht="15" customHeight="1">
      <c r="A142" s="39">
        <v>137</v>
      </c>
      <c r="B142" s="39" t="s">
        <v>9233</v>
      </c>
      <c r="C142" s="40" t="s">
        <v>6735</v>
      </c>
      <c r="D142" s="39" t="s">
        <v>553</v>
      </c>
      <c r="E142" s="40" t="s">
        <v>9234</v>
      </c>
      <c r="F142" s="40" t="s">
        <v>9234</v>
      </c>
      <c r="G142" s="39" t="s">
        <v>6739</v>
      </c>
      <c r="H142" s="40" t="s">
        <v>2927</v>
      </c>
      <c r="I142" s="40" t="s">
        <v>6741</v>
      </c>
      <c r="J142" s="50"/>
      <c r="K142" s="116">
        <f>IFERROR(VLOOKUP(B142,BD_CONTROL!$A$5:$M$4235,11,0),"")</f>
        <v>0</v>
      </c>
      <c r="L142" s="117">
        <f>IFERROR(VLOOKUP(B142,BD_CONTROL!$A$5:$M$4235,12,0),"")</f>
        <v>0</v>
      </c>
      <c r="M142" s="118">
        <f>IFERROR(VLOOKUP(B142,BD_CONTROL!$A$5:$M$4235,13,0),"")</f>
        <v>0</v>
      </c>
    </row>
    <row r="143" spans="1:13" ht="15" customHeight="1">
      <c r="A143" s="42">
        <v>138</v>
      </c>
      <c r="B143" s="42" t="s">
        <v>9235</v>
      </c>
      <c r="C143" s="43" t="s">
        <v>6735</v>
      </c>
      <c r="D143" s="42" t="s">
        <v>553</v>
      </c>
      <c r="E143" s="43" t="s">
        <v>9234</v>
      </c>
      <c r="F143" s="43" t="s">
        <v>9234</v>
      </c>
      <c r="G143" s="42" t="s">
        <v>6739</v>
      </c>
      <c r="H143" s="43" t="s">
        <v>2927</v>
      </c>
      <c r="I143" s="43" t="s">
        <v>6741</v>
      </c>
      <c r="J143" s="55"/>
      <c r="K143" s="119">
        <f>IFERROR(VLOOKUP(B143,BD_CONTROL!$A$5:$M$4235,11,0),"")</f>
        <v>0</v>
      </c>
      <c r="L143" s="120">
        <f>IFERROR(VLOOKUP(B143,BD_CONTROL!$A$5:$M$4235,12,0),"")</f>
        <v>0</v>
      </c>
      <c r="M143" s="121">
        <f>IFERROR(VLOOKUP(B143,BD_CONTROL!$A$5:$M$4235,13,0),"")</f>
        <v>0</v>
      </c>
    </row>
    <row r="144" spans="1:13" ht="15" customHeight="1">
      <c r="A144" s="39">
        <v>139</v>
      </c>
      <c r="B144" s="39" t="s">
        <v>9236</v>
      </c>
      <c r="C144" s="40" t="s">
        <v>6735</v>
      </c>
      <c r="D144" s="39" t="s">
        <v>553</v>
      </c>
      <c r="E144" s="40" t="s">
        <v>2926</v>
      </c>
      <c r="F144" s="40" t="s">
        <v>9237</v>
      </c>
      <c r="G144" s="39" t="s">
        <v>6739</v>
      </c>
      <c r="H144" s="40" t="s">
        <v>2927</v>
      </c>
      <c r="I144" s="40" t="s">
        <v>6741</v>
      </c>
      <c r="J144" s="50"/>
      <c r="K144" s="116">
        <f>IFERROR(VLOOKUP(B144,BD_CONTROL!$A$5:$M$4235,11,0),"")</f>
        <v>0</v>
      </c>
      <c r="L144" s="117">
        <f>IFERROR(VLOOKUP(B144,BD_CONTROL!$A$5:$M$4235,12,0),"")</f>
        <v>0</v>
      </c>
      <c r="M144" s="118">
        <f>IFERROR(VLOOKUP(B144,BD_CONTROL!$A$5:$M$4235,13,0),"")</f>
        <v>0</v>
      </c>
    </row>
    <row r="145" spans="1:13" ht="15" customHeight="1">
      <c r="A145" s="42">
        <v>140</v>
      </c>
      <c r="B145" s="42" t="s">
        <v>9238</v>
      </c>
      <c r="C145" s="43" t="s">
        <v>6735</v>
      </c>
      <c r="D145" s="42" t="s">
        <v>553</v>
      </c>
      <c r="E145" s="43" t="s">
        <v>3360</v>
      </c>
      <c r="F145" s="43" t="s">
        <v>9239</v>
      </c>
      <c r="G145" s="42" t="s">
        <v>6739</v>
      </c>
      <c r="H145" s="43" t="s">
        <v>2927</v>
      </c>
      <c r="I145" s="43" t="s">
        <v>6741</v>
      </c>
      <c r="J145" s="55"/>
      <c r="K145" s="119">
        <f>IFERROR(VLOOKUP(B145,BD_CONTROL!$A$5:$M$4235,11,0),"")</f>
        <v>0</v>
      </c>
      <c r="L145" s="120">
        <f>IFERROR(VLOOKUP(B145,BD_CONTROL!$A$5:$M$4235,12,0),"")</f>
        <v>0</v>
      </c>
      <c r="M145" s="121">
        <f>IFERROR(VLOOKUP(B145,BD_CONTROL!$A$5:$M$4235,13,0),"")</f>
        <v>0</v>
      </c>
    </row>
    <row r="146" spans="1:13" ht="15" customHeight="1">
      <c r="A146" s="39">
        <v>141</v>
      </c>
      <c r="B146" s="39" t="s">
        <v>9240</v>
      </c>
      <c r="C146" s="40" t="s">
        <v>6735</v>
      </c>
      <c r="D146" s="39" t="s">
        <v>553</v>
      </c>
      <c r="E146" s="40" t="s">
        <v>3360</v>
      </c>
      <c r="F146" s="40" t="s">
        <v>3360</v>
      </c>
      <c r="G146" s="39" t="s">
        <v>6739</v>
      </c>
      <c r="H146" s="40" t="s">
        <v>2927</v>
      </c>
      <c r="I146" s="40" t="s">
        <v>6741</v>
      </c>
      <c r="J146" s="50"/>
      <c r="K146" s="116" t="str">
        <f>IFERROR(VLOOKUP(B146,BD_CONTROL!$A$5:$M$4235,11,0),"")</f>
        <v>Instalado - Operando</v>
      </c>
      <c r="L146" s="117">
        <f>IFERROR(VLOOKUP(B146,BD_CONTROL!$A$5:$M$4235,12,0),"")</f>
        <v>46147</v>
      </c>
      <c r="M146" s="118">
        <f>IFERROR(VLOOKUP(B146,BD_CONTROL!$A$5:$M$4235,13,0),"")</f>
        <v>0</v>
      </c>
    </row>
    <row r="147" spans="1:13" ht="15" customHeight="1">
      <c r="A147" s="42">
        <v>142</v>
      </c>
      <c r="B147" s="42" t="s">
        <v>9241</v>
      </c>
      <c r="C147" s="43" t="s">
        <v>6735</v>
      </c>
      <c r="D147" s="42" t="s">
        <v>553</v>
      </c>
      <c r="E147" s="43" t="s">
        <v>3360</v>
      </c>
      <c r="F147" s="43" t="s">
        <v>9242</v>
      </c>
      <c r="G147" s="42" t="s">
        <v>6739</v>
      </c>
      <c r="H147" s="43" t="s">
        <v>8982</v>
      </c>
      <c r="I147" s="43" t="s">
        <v>6741</v>
      </c>
      <c r="J147" s="55"/>
      <c r="K147" s="119">
        <f>IFERROR(VLOOKUP(B147,BD_CONTROL!$A$5:$M$4235,11,0),"")</f>
        <v>0</v>
      </c>
      <c r="L147" s="120">
        <f>IFERROR(VLOOKUP(B147,BD_CONTROL!$A$5:$M$4235,12,0),"")</f>
        <v>0</v>
      </c>
      <c r="M147" s="121">
        <f>IFERROR(VLOOKUP(B147,BD_CONTROL!$A$5:$M$4235,13,0),"")</f>
        <v>0</v>
      </c>
    </row>
    <row r="148" spans="1:13" ht="15" customHeight="1">
      <c r="A148" s="39">
        <v>143</v>
      </c>
      <c r="B148" s="39" t="s">
        <v>9243</v>
      </c>
      <c r="C148" s="40" t="s">
        <v>6735</v>
      </c>
      <c r="D148" s="39" t="s">
        <v>553</v>
      </c>
      <c r="E148" s="40" t="s">
        <v>2933</v>
      </c>
      <c r="F148" s="40" t="s">
        <v>2933</v>
      </c>
      <c r="G148" s="39" t="s">
        <v>6739</v>
      </c>
      <c r="H148" s="40" t="s">
        <v>2927</v>
      </c>
      <c r="I148" s="40" t="s">
        <v>6741</v>
      </c>
      <c r="J148" s="50"/>
      <c r="K148" s="116">
        <f>IFERROR(VLOOKUP(B148,BD_CONTROL!$A$5:$M$4235,11,0),"")</f>
        <v>0</v>
      </c>
      <c r="L148" s="117">
        <f>IFERROR(VLOOKUP(B148,BD_CONTROL!$A$5:$M$4235,12,0),"")</f>
        <v>0</v>
      </c>
      <c r="M148" s="118">
        <f>IFERROR(VLOOKUP(B148,BD_CONTROL!$A$5:$M$4235,13,0),"")</f>
        <v>0</v>
      </c>
    </row>
    <row r="149" spans="1:13" ht="15" customHeight="1">
      <c r="A149" s="42">
        <v>144</v>
      </c>
      <c r="B149" s="42" t="s">
        <v>9244</v>
      </c>
      <c r="C149" s="43" t="s">
        <v>6735</v>
      </c>
      <c r="D149" s="42" t="s">
        <v>553</v>
      </c>
      <c r="E149" s="43" t="s">
        <v>9245</v>
      </c>
      <c r="F149" s="43" t="s">
        <v>9245</v>
      </c>
      <c r="G149" s="42" t="s">
        <v>6739</v>
      </c>
      <c r="H149" s="43" t="s">
        <v>2927</v>
      </c>
      <c r="I149" s="43" t="s">
        <v>6741</v>
      </c>
      <c r="J149" s="55"/>
      <c r="K149" s="119">
        <f>IFERROR(VLOOKUP(B149,BD_CONTROL!$A$5:$M$4235,11,0),"")</f>
        <v>0</v>
      </c>
      <c r="L149" s="120">
        <f>IFERROR(VLOOKUP(B149,BD_CONTROL!$A$5:$M$4235,12,0),"")</f>
        <v>0</v>
      </c>
      <c r="M149" s="121">
        <f>IFERROR(VLOOKUP(B149,BD_CONTROL!$A$5:$M$4235,13,0),"")</f>
        <v>0</v>
      </c>
    </row>
    <row r="150" spans="1:13" ht="15" customHeight="1">
      <c r="A150" s="39">
        <v>145</v>
      </c>
      <c r="B150" s="39" t="s">
        <v>9246</v>
      </c>
      <c r="C150" s="40" t="s">
        <v>6735</v>
      </c>
      <c r="D150" s="39" t="s">
        <v>5640</v>
      </c>
      <c r="E150" s="40" t="s">
        <v>9088</v>
      </c>
      <c r="F150" s="40" t="s">
        <v>9247</v>
      </c>
      <c r="G150" s="39" t="s">
        <v>6739</v>
      </c>
      <c r="H150" s="40" t="s">
        <v>8982</v>
      </c>
      <c r="I150" s="40" t="s">
        <v>6741</v>
      </c>
      <c r="J150" s="50"/>
      <c r="K150" s="116">
        <f>IFERROR(VLOOKUP(B150,BD_CONTROL!$A$5:$M$4235,11,0),"")</f>
        <v>0</v>
      </c>
      <c r="L150" s="117">
        <f>IFERROR(VLOOKUP(B150,BD_CONTROL!$A$5:$M$4235,12,0),"")</f>
        <v>0</v>
      </c>
      <c r="M150" s="118">
        <f>IFERROR(VLOOKUP(B150,BD_CONTROL!$A$5:$M$4235,13,0),"")</f>
        <v>0</v>
      </c>
    </row>
    <row r="151" spans="1:13" ht="15" customHeight="1">
      <c r="A151" s="42">
        <v>146</v>
      </c>
      <c r="B151" s="42" t="s">
        <v>9248</v>
      </c>
      <c r="C151" s="43" t="s">
        <v>6735</v>
      </c>
      <c r="D151" s="42" t="s">
        <v>5640</v>
      </c>
      <c r="E151" s="43" t="s">
        <v>9249</v>
      </c>
      <c r="F151" s="43" t="s">
        <v>9250</v>
      </c>
      <c r="G151" s="42" t="s">
        <v>6739</v>
      </c>
      <c r="H151" s="43" t="s">
        <v>8982</v>
      </c>
      <c r="I151" s="43" t="s">
        <v>6741</v>
      </c>
      <c r="J151" s="55"/>
      <c r="K151" s="119">
        <f>IFERROR(VLOOKUP(B151,BD_CONTROL!$A$5:$M$4235,11,0),"")</f>
        <v>0</v>
      </c>
      <c r="L151" s="120">
        <f>IFERROR(VLOOKUP(B151,BD_CONTROL!$A$5:$M$4235,12,0),"")</f>
        <v>0</v>
      </c>
      <c r="M151" s="121">
        <f>IFERROR(VLOOKUP(B151,BD_CONTROL!$A$5:$M$4235,13,0),"")</f>
        <v>0</v>
      </c>
    </row>
    <row r="152" spans="1:13" ht="15" customHeight="1">
      <c r="A152" s="39">
        <v>147</v>
      </c>
      <c r="B152" s="39" t="s">
        <v>9251</v>
      </c>
      <c r="C152" s="40" t="s">
        <v>6735</v>
      </c>
      <c r="D152" s="39" t="s">
        <v>5640</v>
      </c>
      <c r="E152" s="40" t="s">
        <v>8990</v>
      </c>
      <c r="F152" s="40" t="s">
        <v>8990</v>
      </c>
      <c r="G152" s="39" t="s">
        <v>6739</v>
      </c>
      <c r="H152" s="40" t="s">
        <v>8982</v>
      </c>
      <c r="I152" s="40" t="s">
        <v>6741</v>
      </c>
      <c r="J152" s="50"/>
      <c r="K152" s="116">
        <f>IFERROR(VLOOKUP(B152,BD_CONTROL!$A$5:$M$4235,11,0),"")</f>
        <v>0</v>
      </c>
      <c r="L152" s="117">
        <f>IFERROR(VLOOKUP(B152,BD_CONTROL!$A$5:$M$4235,12,0),"")</f>
        <v>0</v>
      </c>
      <c r="M152" s="118">
        <f>IFERROR(VLOOKUP(B152,BD_CONTROL!$A$5:$M$4235,13,0),"")</f>
        <v>0</v>
      </c>
    </row>
    <row r="153" spans="1:13" ht="15" customHeight="1">
      <c r="A153" s="42">
        <v>148</v>
      </c>
      <c r="B153" s="42" t="s">
        <v>9252</v>
      </c>
      <c r="C153" s="43" t="s">
        <v>6735</v>
      </c>
      <c r="D153" s="42" t="s">
        <v>5640</v>
      </c>
      <c r="E153" s="43" t="s">
        <v>8990</v>
      </c>
      <c r="F153" s="43" t="s">
        <v>8990</v>
      </c>
      <c r="G153" s="42" t="s">
        <v>6739</v>
      </c>
      <c r="H153" s="43" t="s">
        <v>8982</v>
      </c>
      <c r="I153" s="43" t="s">
        <v>6741</v>
      </c>
      <c r="J153" s="55"/>
      <c r="K153" s="119">
        <f>IFERROR(VLOOKUP(B153,BD_CONTROL!$A$5:$M$4235,11,0),"")</f>
        <v>0</v>
      </c>
      <c r="L153" s="120">
        <f>IFERROR(VLOOKUP(B153,BD_CONTROL!$A$5:$M$4235,12,0),"")</f>
        <v>0</v>
      </c>
      <c r="M153" s="121">
        <f>IFERROR(VLOOKUP(B153,BD_CONTROL!$A$5:$M$4235,13,0),"")</f>
        <v>0</v>
      </c>
    </row>
    <row r="154" spans="1:13" ht="15" customHeight="1">
      <c r="A154" s="39">
        <v>149</v>
      </c>
      <c r="B154" s="39" t="s">
        <v>9253</v>
      </c>
      <c r="C154" s="40" t="s">
        <v>6735</v>
      </c>
      <c r="D154" s="39" t="s">
        <v>5640</v>
      </c>
      <c r="E154" s="40" t="s">
        <v>9030</v>
      </c>
      <c r="F154" s="40" t="s">
        <v>9211</v>
      </c>
      <c r="G154" s="39" t="s">
        <v>6739</v>
      </c>
      <c r="H154" s="40" t="s">
        <v>8982</v>
      </c>
      <c r="I154" s="40" t="s">
        <v>6741</v>
      </c>
      <c r="J154" s="50"/>
      <c r="K154" s="116" t="str">
        <f>IFERROR(VLOOKUP(B154,BD_CONTROL!$A$5:$M$4235,11,0),"")</f>
        <v>Instalado - Operando</v>
      </c>
      <c r="L154" s="117">
        <f>IFERROR(VLOOKUP(B154,BD_CONTROL!$A$5:$M$4235,12,0),"")</f>
        <v>46147</v>
      </c>
      <c r="M154" s="118">
        <f>IFERROR(VLOOKUP(B154,BD_CONTROL!$A$5:$M$4235,13,0),"")</f>
        <v>0</v>
      </c>
    </row>
    <row r="155" spans="1:13" ht="15" customHeight="1">
      <c r="A155" s="42">
        <v>150</v>
      </c>
      <c r="B155" s="42" t="s">
        <v>9254</v>
      </c>
      <c r="C155" s="43" t="s">
        <v>6735</v>
      </c>
      <c r="D155" s="42" t="s">
        <v>5640</v>
      </c>
      <c r="E155" s="43" t="s">
        <v>9030</v>
      </c>
      <c r="F155" s="43" t="s">
        <v>9211</v>
      </c>
      <c r="G155" s="42" t="s">
        <v>6739</v>
      </c>
      <c r="H155" s="43" t="s">
        <v>8982</v>
      </c>
      <c r="I155" s="43" t="s">
        <v>6741</v>
      </c>
      <c r="J155" s="55"/>
      <c r="K155" s="119">
        <f>IFERROR(VLOOKUP(B155,BD_CONTROL!$A$5:$M$4235,11,0),"")</f>
        <v>0</v>
      </c>
      <c r="L155" s="120">
        <f>IFERROR(VLOOKUP(B155,BD_CONTROL!$A$5:$M$4235,12,0),"")</f>
        <v>0</v>
      </c>
      <c r="M155" s="121">
        <f>IFERROR(VLOOKUP(B155,BD_CONTROL!$A$5:$M$4235,13,0),"")</f>
        <v>0</v>
      </c>
    </row>
    <row r="156" spans="1:13" ht="15" customHeight="1">
      <c r="A156" s="39">
        <v>151</v>
      </c>
      <c r="B156" s="39" t="s">
        <v>9255</v>
      </c>
      <c r="C156" s="40" t="s">
        <v>6735</v>
      </c>
      <c r="D156" s="39" t="s">
        <v>5640</v>
      </c>
      <c r="E156" s="40" t="s">
        <v>9256</v>
      </c>
      <c r="F156" s="40" t="s">
        <v>9256</v>
      </c>
      <c r="G156" s="39" t="s">
        <v>6739</v>
      </c>
      <c r="H156" s="40" t="s">
        <v>8982</v>
      </c>
      <c r="I156" s="40" t="s">
        <v>6741</v>
      </c>
      <c r="J156" s="50"/>
      <c r="K156" s="116">
        <f>IFERROR(VLOOKUP(B156,BD_CONTROL!$A$5:$M$4235,11,0),"")</f>
        <v>0</v>
      </c>
      <c r="L156" s="117">
        <f>IFERROR(VLOOKUP(B156,BD_CONTROL!$A$5:$M$4235,12,0),"")</f>
        <v>0</v>
      </c>
      <c r="M156" s="118">
        <f>IFERROR(VLOOKUP(B156,BD_CONTROL!$A$5:$M$4235,13,0),"")</f>
        <v>0</v>
      </c>
    </row>
    <row r="157" spans="1:13" ht="15" customHeight="1">
      <c r="A157" s="42">
        <v>152</v>
      </c>
      <c r="B157" s="42" t="s">
        <v>9257</v>
      </c>
      <c r="C157" s="43" t="s">
        <v>6735</v>
      </c>
      <c r="D157" s="42" t="s">
        <v>5640</v>
      </c>
      <c r="E157" s="43" t="s">
        <v>9063</v>
      </c>
      <c r="F157" s="43" t="s">
        <v>9063</v>
      </c>
      <c r="G157" s="42" t="s">
        <v>6739</v>
      </c>
      <c r="H157" s="43" t="s">
        <v>8982</v>
      </c>
      <c r="I157" s="43" t="s">
        <v>6741</v>
      </c>
      <c r="J157" s="55"/>
      <c r="K157" s="119">
        <f>IFERROR(VLOOKUP(B157,BD_CONTROL!$A$5:$M$4235,11,0),"")</f>
        <v>0</v>
      </c>
      <c r="L157" s="120">
        <f>IFERROR(VLOOKUP(B157,BD_CONTROL!$A$5:$M$4235,12,0),"")</f>
        <v>0</v>
      </c>
      <c r="M157" s="121">
        <f>IFERROR(VLOOKUP(B157,BD_CONTROL!$A$5:$M$4235,13,0),"")</f>
        <v>0</v>
      </c>
    </row>
    <row r="158" spans="1:13" ht="15" customHeight="1">
      <c r="A158" s="39">
        <v>153</v>
      </c>
      <c r="B158" s="39" t="s">
        <v>9258</v>
      </c>
      <c r="C158" s="40" t="s">
        <v>6735</v>
      </c>
      <c r="D158" s="39" t="s">
        <v>5640</v>
      </c>
      <c r="E158" s="40" t="s">
        <v>9020</v>
      </c>
      <c r="F158" s="40" t="s">
        <v>9020</v>
      </c>
      <c r="G158" s="39" t="s">
        <v>6739</v>
      </c>
      <c r="H158" s="40" t="s">
        <v>8982</v>
      </c>
      <c r="I158" s="40" t="s">
        <v>6741</v>
      </c>
      <c r="J158" s="50"/>
      <c r="K158" s="116">
        <f>IFERROR(VLOOKUP(B158,BD_CONTROL!$A$5:$M$4235,11,0),"")</f>
        <v>0</v>
      </c>
      <c r="L158" s="117">
        <f>IFERROR(VLOOKUP(B158,BD_CONTROL!$A$5:$M$4235,12,0),"")</f>
        <v>0</v>
      </c>
      <c r="M158" s="118">
        <f>IFERROR(VLOOKUP(B158,BD_CONTROL!$A$5:$M$4235,13,0),"")</f>
        <v>0</v>
      </c>
    </row>
    <row r="159" spans="1:13" ht="15" customHeight="1">
      <c r="A159" s="42">
        <v>154</v>
      </c>
      <c r="B159" s="42" t="s">
        <v>9259</v>
      </c>
      <c r="C159" s="43" t="s">
        <v>6735</v>
      </c>
      <c r="D159" s="42" t="s">
        <v>5640</v>
      </c>
      <c r="E159" s="43" t="s">
        <v>9020</v>
      </c>
      <c r="F159" s="43" t="s">
        <v>9020</v>
      </c>
      <c r="G159" s="42" t="s">
        <v>6739</v>
      </c>
      <c r="H159" s="43" t="s">
        <v>8982</v>
      </c>
      <c r="I159" s="43" t="s">
        <v>6741</v>
      </c>
      <c r="J159" s="55"/>
      <c r="K159" s="119">
        <f>IFERROR(VLOOKUP(B159,BD_CONTROL!$A$5:$M$4235,11,0),"")</f>
        <v>0</v>
      </c>
      <c r="L159" s="120">
        <f>IFERROR(VLOOKUP(B159,BD_CONTROL!$A$5:$M$4235,12,0),"")</f>
        <v>0</v>
      </c>
      <c r="M159" s="121">
        <f>IFERROR(VLOOKUP(B159,BD_CONTROL!$A$5:$M$4235,13,0),"")</f>
        <v>0</v>
      </c>
    </row>
    <row r="160" spans="1:13" ht="15" customHeight="1">
      <c r="A160" s="39">
        <v>155</v>
      </c>
      <c r="B160" s="39" t="s">
        <v>9260</v>
      </c>
      <c r="C160" s="40" t="s">
        <v>6735</v>
      </c>
      <c r="D160" s="39" t="s">
        <v>5640</v>
      </c>
      <c r="E160" s="40" t="s">
        <v>9020</v>
      </c>
      <c r="F160" s="40" t="s">
        <v>9020</v>
      </c>
      <c r="G160" s="39" t="s">
        <v>6739</v>
      </c>
      <c r="H160" s="40" t="s">
        <v>8982</v>
      </c>
      <c r="I160" s="40" t="s">
        <v>6741</v>
      </c>
      <c r="J160" s="50"/>
      <c r="K160" s="116">
        <f>IFERROR(VLOOKUP(B160,BD_CONTROL!$A$5:$M$4235,11,0),"")</f>
        <v>0</v>
      </c>
      <c r="L160" s="117">
        <f>IFERROR(VLOOKUP(B160,BD_CONTROL!$A$5:$M$4235,12,0),"")</f>
        <v>0</v>
      </c>
      <c r="M160" s="118">
        <f>IFERROR(VLOOKUP(B160,BD_CONTROL!$A$5:$M$4235,13,0),"")</f>
        <v>0</v>
      </c>
    </row>
    <row r="161" spans="1:13" ht="15" customHeight="1">
      <c r="A161" s="42">
        <v>156</v>
      </c>
      <c r="B161" s="42" t="s">
        <v>9261</v>
      </c>
      <c r="C161" s="43" t="s">
        <v>6735</v>
      </c>
      <c r="D161" s="42" t="s">
        <v>5640</v>
      </c>
      <c r="E161" s="43" t="s">
        <v>1113</v>
      </c>
      <c r="F161" s="43" t="s">
        <v>9262</v>
      </c>
      <c r="G161" s="42" t="s">
        <v>6739</v>
      </c>
      <c r="H161" s="43" t="s">
        <v>8982</v>
      </c>
      <c r="I161" s="43" t="s">
        <v>6741</v>
      </c>
      <c r="J161" s="55"/>
      <c r="K161" s="119" t="str">
        <f>IFERROR(VLOOKUP(B161,BD_CONTROL!$A$5:$M$4235,11,0),"")</f>
        <v>Instalado - Operando</v>
      </c>
      <c r="L161" s="120">
        <f>IFERROR(VLOOKUP(B161,BD_CONTROL!$A$5:$M$4235,12,0),"")</f>
        <v>46153</v>
      </c>
      <c r="M161" s="121">
        <f>IFERROR(VLOOKUP(B161,BD_CONTROL!$A$5:$M$4235,13,0),"")</f>
        <v>0</v>
      </c>
    </row>
    <row r="162" spans="1:13" ht="15" customHeight="1">
      <c r="A162" s="39">
        <v>157</v>
      </c>
      <c r="B162" s="39" t="s">
        <v>9263</v>
      </c>
      <c r="C162" s="40" t="s">
        <v>6735</v>
      </c>
      <c r="D162" s="39" t="s">
        <v>5640</v>
      </c>
      <c r="E162" s="40" t="s">
        <v>9063</v>
      </c>
      <c r="F162" s="40" t="s">
        <v>9063</v>
      </c>
      <c r="G162" s="39" t="s">
        <v>6739</v>
      </c>
      <c r="H162" s="40" t="s">
        <v>8982</v>
      </c>
      <c r="I162" s="40" t="s">
        <v>6741</v>
      </c>
      <c r="J162" s="50"/>
      <c r="K162" s="116">
        <f>IFERROR(VLOOKUP(B162,BD_CONTROL!$A$5:$M$4235,11,0),"")</f>
        <v>0</v>
      </c>
      <c r="L162" s="117">
        <f>IFERROR(VLOOKUP(B162,BD_CONTROL!$A$5:$M$4235,12,0),"")</f>
        <v>0</v>
      </c>
      <c r="M162" s="118">
        <f>IFERROR(VLOOKUP(B162,BD_CONTROL!$A$5:$M$4235,13,0),"")</f>
        <v>0</v>
      </c>
    </row>
    <row r="163" spans="1:13" ht="15" customHeight="1">
      <c r="A163" s="42">
        <v>158</v>
      </c>
      <c r="B163" s="42" t="s">
        <v>9264</v>
      </c>
      <c r="C163" s="43" t="s">
        <v>6735</v>
      </c>
      <c r="D163" s="42" t="s">
        <v>5640</v>
      </c>
      <c r="E163" s="43" t="s">
        <v>9004</v>
      </c>
      <c r="F163" s="43" t="s">
        <v>9265</v>
      </c>
      <c r="G163" s="42" t="s">
        <v>6739</v>
      </c>
      <c r="H163" s="43" t="s">
        <v>8982</v>
      </c>
      <c r="I163" s="43" t="s">
        <v>6741</v>
      </c>
      <c r="J163" s="55"/>
      <c r="K163" s="119">
        <f>IFERROR(VLOOKUP(B163,BD_CONTROL!$A$5:$M$4235,11,0),"")</f>
        <v>0</v>
      </c>
      <c r="L163" s="120">
        <f>IFERROR(VLOOKUP(B163,BD_CONTROL!$A$5:$M$4235,12,0),"")</f>
        <v>0</v>
      </c>
      <c r="M163" s="121">
        <f>IFERROR(VLOOKUP(B163,BD_CONTROL!$A$5:$M$4235,13,0),"")</f>
        <v>0</v>
      </c>
    </row>
    <row r="164" spans="1:13" ht="15" customHeight="1">
      <c r="A164" s="39">
        <v>159</v>
      </c>
      <c r="B164" s="39" t="s">
        <v>9266</v>
      </c>
      <c r="C164" s="40" t="s">
        <v>6735</v>
      </c>
      <c r="D164" s="39" t="s">
        <v>5640</v>
      </c>
      <c r="E164" s="40" t="s">
        <v>9004</v>
      </c>
      <c r="F164" s="40" t="s">
        <v>9265</v>
      </c>
      <c r="G164" s="39" t="s">
        <v>6739</v>
      </c>
      <c r="H164" s="40" t="s">
        <v>8982</v>
      </c>
      <c r="I164" s="40" t="s">
        <v>6741</v>
      </c>
      <c r="J164" s="50"/>
      <c r="K164" s="116">
        <f>IFERROR(VLOOKUP(B164,BD_CONTROL!$A$5:$M$4235,11,0),"")</f>
        <v>0</v>
      </c>
      <c r="L164" s="117">
        <f>IFERROR(VLOOKUP(B164,BD_CONTROL!$A$5:$M$4235,12,0),"")</f>
        <v>0</v>
      </c>
      <c r="M164" s="118">
        <f>IFERROR(VLOOKUP(B164,BD_CONTROL!$A$5:$M$4235,13,0),"")</f>
        <v>0</v>
      </c>
    </row>
    <row r="165" spans="1:13" ht="15" customHeight="1">
      <c r="A165" s="42">
        <v>160</v>
      </c>
      <c r="B165" s="42" t="s">
        <v>9267</v>
      </c>
      <c r="C165" s="43" t="s">
        <v>6735</v>
      </c>
      <c r="D165" s="42" t="s">
        <v>5640</v>
      </c>
      <c r="E165" s="43" t="s">
        <v>9268</v>
      </c>
      <c r="F165" s="43" t="s">
        <v>9269</v>
      </c>
      <c r="G165" s="42" t="s">
        <v>6739</v>
      </c>
      <c r="H165" s="43" t="s">
        <v>8982</v>
      </c>
      <c r="I165" s="43" t="s">
        <v>6741</v>
      </c>
      <c r="J165" s="55"/>
      <c r="K165" s="119">
        <f>IFERROR(VLOOKUP(B165,BD_CONTROL!$A$5:$M$4235,11,0),"")</f>
        <v>0</v>
      </c>
      <c r="L165" s="120">
        <f>IFERROR(VLOOKUP(B165,BD_CONTROL!$A$5:$M$4235,12,0),"")</f>
        <v>0</v>
      </c>
      <c r="M165" s="121">
        <f>IFERROR(VLOOKUP(B165,BD_CONTROL!$A$5:$M$4235,13,0),"")</f>
        <v>0</v>
      </c>
    </row>
    <row r="166" spans="1:13" ht="15" customHeight="1">
      <c r="A166" s="39">
        <v>161</v>
      </c>
      <c r="B166" s="39" t="s">
        <v>9270</v>
      </c>
      <c r="C166" s="40" t="s">
        <v>6735</v>
      </c>
      <c r="D166" s="39" t="s">
        <v>5640</v>
      </c>
      <c r="E166" s="40" t="s">
        <v>9256</v>
      </c>
      <c r="F166" s="40" t="s">
        <v>9271</v>
      </c>
      <c r="G166" s="39" t="s">
        <v>6739</v>
      </c>
      <c r="H166" s="40" t="s">
        <v>8982</v>
      </c>
      <c r="I166" s="40" t="s">
        <v>6741</v>
      </c>
      <c r="J166" s="50"/>
      <c r="K166" s="116">
        <f>IFERROR(VLOOKUP(B166,BD_CONTROL!$A$5:$M$4235,11,0),"")</f>
        <v>0</v>
      </c>
      <c r="L166" s="117">
        <f>IFERROR(VLOOKUP(B166,BD_CONTROL!$A$5:$M$4235,12,0),"")</f>
        <v>0</v>
      </c>
      <c r="M166" s="118">
        <f>IFERROR(VLOOKUP(B166,BD_CONTROL!$A$5:$M$4235,13,0),"")</f>
        <v>0</v>
      </c>
    </row>
    <row r="167" spans="1:13" ht="15" customHeight="1">
      <c r="A167" s="42">
        <v>162</v>
      </c>
      <c r="B167" s="42" t="s">
        <v>9272</v>
      </c>
      <c r="C167" s="43" t="s">
        <v>6735</v>
      </c>
      <c r="D167" s="42" t="s">
        <v>5640</v>
      </c>
      <c r="E167" s="43" t="s">
        <v>9017</v>
      </c>
      <c r="F167" s="43" t="s">
        <v>3875</v>
      </c>
      <c r="G167" s="42" t="s">
        <v>6739</v>
      </c>
      <c r="H167" s="43" t="s">
        <v>8982</v>
      </c>
      <c r="I167" s="43" t="s">
        <v>6741</v>
      </c>
      <c r="J167" s="55"/>
      <c r="K167" s="119" t="str">
        <f>IFERROR(VLOOKUP(B167,BD_CONTROL!$A$5:$M$4235,11,0),"")</f>
        <v>Instalado - Operando</v>
      </c>
      <c r="L167" s="120">
        <f>IFERROR(VLOOKUP(B167,BD_CONTROL!$A$5:$M$4235,12,0),"")</f>
        <v>46151</v>
      </c>
      <c r="M167" s="121">
        <f>IFERROR(VLOOKUP(B167,BD_CONTROL!$A$5:$M$4235,13,0),"")</f>
        <v>0</v>
      </c>
    </row>
    <row r="168" spans="1:13" ht="15" customHeight="1">
      <c r="A168" s="39">
        <v>163</v>
      </c>
      <c r="B168" s="39" t="s">
        <v>9273</v>
      </c>
      <c r="C168" s="40" t="s">
        <v>6735</v>
      </c>
      <c r="D168" s="39" t="s">
        <v>5640</v>
      </c>
      <c r="E168" s="40" t="s">
        <v>9017</v>
      </c>
      <c r="F168" s="40" t="s">
        <v>9018</v>
      </c>
      <c r="G168" s="39" t="s">
        <v>6739</v>
      </c>
      <c r="H168" s="40" t="s">
        <v>8982</v>
      </c>
      <c r="I168" s="40" t="s">
        <v>6741</v>
      </c>
      <c r="J168" s="50"/>
      <c r="K168" s="116" t="str">
        <f>IFERROR(VLOOKUP(B168,BD_CONTROL!$A$5:$M$4235,11,0),"")</f>
        <v>Instalado - Operando</v>
      </c>
      <c r="L168" s="117">
        <f>IFERROR(VLOOKUP(B168,BD_CONTROL!$A$5:$M$4235,12,0),"")</f>
        <v>46153</v>
      </c>
      <c r="M168" s="118">
        <f>IFERROR(VLOOKUP(B168,BD_CONTROL!$A$5:$M$4235,13,0),"")</f>
        <v>0</v>
      </c>
    </row>
    <row r="169" spans="1:13" ht="15" customHeight="1">
      <c r="A169" s="42">
        <v>164</v>
      </c>
      <c r="B169" s="42" t="s">
        <v>9274</v>
      </c>
      <c r="C169" s="43" t="s">
        <v>6735</v>
      </c>
      <c r="D169" s="42" t="s">
        <v>5640</v>
      </c>
      <c r="E169" s="43" t="s">
        <v>9030</v>
      </c>
      <c r="F169" s="43" t="s">
        <v>9183</v>
      </c>
      <c r="G169" s="42" t="s">
        <v>6739</v>
      </c>
      <c r="H169" s="43" t="s">
        <v>8982</v>
      </c>
      <c r="I169" s="43" t="s">
        <v>6741</v>
      </c>
      <c r="J169" s="55"/>
      <c r="K169" s="119" t="str">
        <f>IFERROR(VLOOKUP(B169,BD_CONTROL!$A$5:$M$4235,11,0),"")</f>
        <v>Instalado - Sin Señal</v>
      </c>
      <c r="L169" s="120">
        <f>IFERROR(VLOOKUP(B169,BD_CONTROL!$A$5:$M$4235,12,0),"")</f>
        <v>46147</v>
      </c>
      <c r="M169" s="121" t="str">
        <f>IFERROR(VLOOKUP(B169,BD_CONTROL!$A$5:$M$4235,13,0),"")</f>
        <v>EQUIPAMIENTO INSTALADO . PENDIENTE LA ACTIVACIÓN.</v>
      </c>
    </row>
    <row r="170" spans="1:13" ht="15" customHeight="1">
      <c r="A170" s="39">
        <v>165</v>
      </c>
      <c r="B170" s="39" t="s">
        <v>9275</v>
      </c>
      <c r="C170" s="40" t="s">
        <v>6735</v>
      </c>
      <c r="D170" s="39" t="s">
        <v>5640</v>
      </c>
      <c r="E170" s="40" t="s">
        <v>9033</v>
      </c>
      <c r="F170" s="40" t="s">
        <v>9033</v>
      </c>
      <c r="G170" s="39" t="s">
        <v>6739</v>
      </c>
      <c r="H170" s="40" t="s">
        <v>8982</v>
      </c>
      <c r="I170" s="40" t="s">
        <v>6741</v>
      </c>
      <c r="J170" s="50"/>
      <c r="K170" s="116">
        <f>IFERROR(VLOOKUP(B170,BD_CONTROL!$A$5:$M$4235,11,0),"")</f>
        <v>0</v>
      </c>
      <c r="L170" s="117">
        <f>IFERROR(VLOOKUP(B170,BD_CONTROL!$A$5:$M$4235,12,0),"")</f>
        <v>0</v>
      </c>
      <c r="M170" s="118">
        <f>IFERROR(VLOOKUP(B170,BD_CONTROL!$A$5:$M$4235,13,0),"")</f>
        <v>0</v>
      </c>
    </row>
    <row r="171" spans="1:13" ht="15" customHeight="1">
      <c r="A171" s="42">
        <v>166</v>
      </c>
      <c r="B171" s="42" t="s">
        <v>9276</v>
      </c>
      <c r="C171" s="43" t="s">
        <v>6735</v>
      </c>
      <c r="D171" s="42" t="s">
        <v>5640</v>
      </c>
      <c r="E171" s="43" t="s">
        <v>9277</v>
      </c>
      <c r="F171" s="43" t="s">
        <v>9277</v>
      </c>
      <c r="G171" s="42" t="s">
        <v>6739</v>
      </c>
      <c r="H171" s="43" t="s">
        <v>8982</v>
      </c>
      <c r="I171" s="43" t="s">
        <v>6741</v>
      </c>
      <c r="J171" s="55"/>
      <c r="K171" s="119">
        <f>IFERROR(VLOOKUP(B171,BD_CONTROL!$A$5:$M$4235,11,0),"")</f>
        <v>0</v>
      </c>
      <c r="L171" s="120">
        <f>IFERROR(VLOOKUP(B171,BD_CONTROL!$A$5:$M$4235,12,0),"")</f>
        <v>0</v>
      </c>
      <c r="M171" s="121">
        <f>IFERROR(VLOOKUP(B171,BD_CONTROL!$A$5:$M$4235,13,0),"")</f>
        <v>0</v>
      </c>
    </row>
    <row r="172" spans="1:13" ht="15" customHeight="1">
      <c r="A172" s="39">
        <v>167</v>
      </c>
      <c r="B172" s="39" t="s">
        <v>9278</v>
      </c>
      <c r="C172" s="40" t="s">
        <v>6735</v>
      </c>
      <c r="D172" s="39" t="s">
        <v>5640</v>
      </c>
      <c r="E172" s="40" t="s">
        <v>9279</v>
      </c>
      <c r="F172" s="40" t="s">
        <v>9280</v>
      </c>
      <c r="G172" s="39" t="s">
        <v>6739</v>
      </c>
      <c r="H172" s="40" t="s">
        <v>8982</v>
      </c>
      <c r="I172" s="40" t="s">
        <v>6741</v>
      </c>
      <c r="J172" s="50"/>
      <c r="K172" s="116">
        <f>IFERROR(VLOOKUP(B172,BD_CONTROL!$A$5:$M$4235,11,0),"")</f>
        <v>0</v>
      </c>
      <c r="L172" s="117">
        <f>IFERROR(VLOOKUP(B172,BD_CONTROL!$A$5:$M$4235,12,0),"")</f>
        <v>0</v>
      </c>
      <c r="M172" s="118">
        <f>IFERROR(VLOOKUP(B172,BD_CONTROL!$A$5:$M$4235,13,0),"")</f>
        <v>0</v>
      </c>
    </row>
    <row r="173" spans="1:13" ht="15" customHeight="1">
      <c r="A173" s="42">
        <v>168</v>
      </c>
      <c r="B173" s="42" t="s">
        <v>9281</v>
      </c>
      <c r="C173" s="43" t="s">
        <v>6735</v>
      </c>
      <c r="D173" s="42" t="s">
        <v>5640</v>
      </c>
      <c r="E173" s="43" t="s">
        <v>9229</v>
      </c>
      <c r="F173" s="43" t="s">
        <v>9229</v>
      </c>
      <c r="G173" s="42" t="s">
        <v>6739</v>
      </c>
      <c r="H173" s="43" t="s">
        <v>8982</v>
      </c>
      <c r="I173" s="43" t="s">
        <v>6741</v>
      </c>
      <c r="J173" s="55"/>
      <c r="K173" s="119">
        <f>IFERROR(VLOOKUP(B173,BD_CONTROL!$A$5:$M$4235,11,0),"")</f>
        <v>0</v>
      </c>
      <c r="L173" s="120">
        <f>IFERROR(VLOOKUP(B173,BD_CONTROL!$A$5:$M$4235,12,0),"")</f>
        <v>0</v>
      </c>
      <c r="M173" s="121">
        <f>IFERROR(VLOOKUP(B173,BD_CONTROL!$A$5:$M$4235,13,0),"")</f>
        <v>0</v>
      </c>
    </row>
    <row r="174" spans="1:13" ht="15" customHeight="1">
      <c r="A174" s="39">
        <v>169</v>
      </c>
      <c r="B174" s="39" t="s">
        <v>9282</v>
      </c>
      <c r="C174" s="40" t="s">
        <v>6735</v>
      </c>
      <c r="D174" s="39" t="s">
        <v>5640</v>
      </c>
      <c r="E174" s="40" t="s">
        <v>1113</v>
      </c>
      <c r="F174" s="40" t="s">
        <v>1113</v>
      </c>
      <c r="G174" s="39" t="s">
        <v>6739</v>
      </c>
      <c r="H174" s="40" t="s">
        <v>8982</v>
      </c>
      <c r="I174" s="40" t="s">
        <v>6741</v>
      </c>
      <c r="J174" s="50"/>
      <c r="K174" s="116">
        <f>IFERROR(VLOOKUP(B174,BD_CONTROL!$A$5:$M$4235,11,0),"")</f>
        <v>0</v>
      </c>
      <c r="L174" s="117">
        <f>IFERROR(VLOOKUP(B174,BD_CONTROL!$A$5:$M$4235,12,0),"")</f>
        <v>0</v>
      </c>
      <c r="M174" s="118">
        <f>IFERROR(VLOOKUP(B174,BD_CONTROL!$A$5:$M$4235,13,0),"")</f>
        <v>0</v>
      </c>
    </row>
    <row r="175" spans="1:13" ht="15" customHeight="1">
      <c r="A175" s="42">
        <v>170</v>
      </c>
      <c r="B175" s="42" t="s">
        <v>9283</v>
      </c>
      <c r="C175" s="43" t="s">
        <v>6735</v>
      </c>
      <c r="D175" s="42" t="s">
        <v>5640</v>
      </c>
      <c r="E175" s="43" t="s">
        <v>4402</v>
      </c>
      <c r="F175" s="43" t="s">
        <v>9284</v>
      </c>
      <c r="G175" s="42" t="s">
        <v>6739</v>
      </c>
      <c r="H175" s="43" t="s">
        <v>8982</v>
      </c>
      <c r="I175" s="43" t="s">
        <v>6741</v>
      </c>
      <c r="J175" s="55"/>
      <c r="K175" s="119">
        <f>IFERROR(VLOOKUP(B175,BD_CONTROL!$A$5:$M$4235,11,0),"")</f>
        <v>0</v>
      </c>
      <c r="L175" s="120">
        <f>IFERROR(VLOOKUP(B175,BD_CONTROL!$A$5:$M$4235,12,0),"")</f>
        <v>0</v>
      </c>
      <c r="M175" s="121">
        <f>IFERROR(VLOOKUP(B175,BD_CONTROL!$A$5:$M$4235,13,0),"")</f>
        <v>0</v>
      </c>
    </row>
    <row r="176" spans="1:13" ht="15" customHeight="1">
      <c r="A176" s="39">
        <v>171</v>
      </c>
      <c r="B176" s="39" t="s">
        <v>9285</v>
      </c>
      <c r="C176" s="40" t="s">
        <v>6735</v>
      </c>
      <c r="D176" s="39" t="s">
        <v>5640</v>
      </c>
      <c r="E176" s="40" t="s">
        <v>8984</v>
      </c>
      <c r="F176" s="40" t="s">
        <v>8985</v>
      </c>
      <c r="G176" s="39" t="s">
        <v>6739</v>
      </c>
      <c r="H176" s="40" t="s">
        <v>8982</v>
      </c>
      <c r="I176" s="40" t="s">
        <v>6741</v>
      </c>
      <c r="J176" s="50"/>
      <c r="K176" s="116">
        <f>IFERROR(VLOOKUP(B176,BD_CONTROL!$A$5:$M$4235,11,0),"")</f>
        <v>0</v>
      </c>
      <c r="L176" s="117">
        <f>IFERROR(VLOOKUP(B176,BD_CONTROL!$A$5:$M$4235,12,0),"")</f>
        <v>0</v>
      </c>
      <c r="M176" s="118">
        <f>IFERROR(VLOOKUP(B176,BD_CONTROL!$A$5:$M$4235,13,0),"")</f>
        <v>0</v>
      </c>
    </row>
    <row r="177" spans="1:13" ht="15" customHeight="1">
      <c r="A177" s="42">
        <v>172</v>
      </c>
      <c r="B177" s="42" t="s">
        <v>9286</v>
      </c>
      <c r="C177" s="43" t="s">
        <v>6735</v>
      </c>
      <c r="D177" s="42" t="s">
        <v>5640</v>
      </c>
      <c r="E177" s="43" t="s">
        <v>9287</v>
      </c>
      <c r="F177" s="43" t="s">
        <v>9287</v>
      </c>
      <c r="G177" s="42" t="s">
        <v>6739</v>
      </c>
      <c r="H177" s="43" t="s">
        <v>8982</v>
      </c>
      <c r="I177" s="43" t="s">
        <v>6741</v>
      </c>
      <c r="J177" s="55"/>
      <c r="K177" s="119">
        <f>IFERROR(VLOOKUP(B177,BD_CONTROL!$A$5:$M$4235,11,0),"")</f>
        <v>0</v>
      </c>
      <c r="L177" s="120">
        <f>IFERROR(VLOOKUP(B177,BD_CONTROL!$A$5:$M$4235,12,0),"")</f>
        <v>0</v>
      </c>
      <c r="M177" s="121">
        <f>IFERROR(VLOOKUP(B177,BD_CONTROL!$A$5:$M$4235,13,0),"")</f>
        <v>0</v>
      </c>
    </row>
    <row r="178" spans="1:13" ht="15" customHeight="1">
      <c r="A178" s="39">
        <v>173</v>
      </c>
      <c r="B178" s="39" t="s">
        <v>9288</v>
      </c>
      <c r="C178" s="40" t="s">
        <v>6735</v>
      </c>
      <c r="D178" s="39" t="s">
        <v>5640</v>
      </c>
      <c r="E178" s="40" t="s">
        <v>9289</v>
      </c>
      <c r="F178" s="40" t="s">
        <v>9290</v>
      </c>
      <c r="G178" s="39" t="s">
        <v>6739</v>
      </c>
      <c r="H178" s="40" t="s">
        <v>8982</v>
      </c>
      <c r="I178" s="40" t="s">
        <v>6741</v>
      </c>
      <c r="J178" s="50"/>
      <c r="K178" s="116" t="str">
        <f>IFERROR(VLOOKUP(B178,BD_CONTROL!$A$5:$M$4235,11,0),"")</f>
        <v>Instalado - Operando</v>
      </c>
      <c r="L178" s="117">
        <f>IFERROR(VLOOKUP(B178,BD_CONTROL!$A$5:$M$4235,12,0),"")</f>
        <v>46147</v>
      </c>
      <c r="M178" s="118">
        <f>IFERROR(VLOOKUP(B178,BD_CONTROL!$A$5:$M$4235,13,0),"")</f>
        <v>0</v>
      </c>
    </row>
    <row r="179" spans="1:13" ht="15" customHeight="1">
      <c r="A179" s="42">
        <v>174</v>
      </c>
      <c r="B179" s="42" t="s">
        <v>9291</v>
      </c>
      <c r="C179" s="43" t="s">
        <v>6735</v>
      </c>
      <c r="D179" s="42" t="s">
        <v>5640</v>
      </c>
      <c r="E179" s="43" t="s">
        <v>9074</v>
      </c>
      <c r="F179" s="43" t="s">
        <v>9292</v>
      </c>
      <c r="G179" s="42" t="s">
        <v>6739</v>
      </c>
      <c r="H179" s="43" t="s">
        <v>8982</v>
      </c>
      <c r="I179" s="43" t="s">
        <v>6741</v>
      </c>
      <c r="J179" s="55"/>
      <c r="K179" s="119">
        <f>IFERROR(VLOOKUP(B179,BD_CONTROL!$A$5:$M$4235,11,0),"")</f>
        <v>0</v>
      </c>
      <c r="L179" s="120">
        <f>IFERROR(VLOOKUP(B179,BD_CONTROL!$A$5:$M$4235,12,0),"")</f>
        <v>0</v>
      </c>
      <c r="M179" s="121">
        <f>IFERROR(VLOOKUP(B179,BD_CONTROL!$A$5:$M$4235,13,0),"")</f>
        <v>0</v>
      </c>
    </row>
    <row r="180" spans="1:13" ht="15" customHeight="1">
      <c r="A180" s="39">
        <v>175</v>
      </c>
      <c r="B180" s="39" t="s">
        <v>9293</v>
      </c>
      <c r="C180" s="40" t="s">
        <v>6735</v>
      </c>
      <c r="D180" s="39" t="s">
        <v>5640</v>
      </c>
      <c r="E180" s="40" t="s">
        <v>9020</v>
      </c>
      <c r="F180" s="40" t="s">
        <v>3927</v>
      </c>
      <c r="G180" s="39" t="s">
        <v>6739</v>
      </c>
      <c r="H180" s="40" t="s">
        <v>8982</v>
      </c>
      <c r="I180" s="40" t="s">
        <v>6741</v>
      </c>
      <c r="J180" s="50"/>
      <c r="K180" s="116">
        <f>IFERROR(VLOOKUP(B180,BD_CONTROL!$A$5:$M$4235,11,0),"")</f>
        <v>0</v>
      </c>
      <c r="L180" s="117">
        <f>IFERROR(VLOOKUP(B180,BD_CONTROL!$A$5:$M$4235,12,0),"")</f>
        <v>0</v>
      </c>
      <c r="M180" s="118">
        <f>IFERROR(VLOOKUP(B180,BD_CONTROL!$A$5:$M$4235,13,0),"")</f>
        <v>0</v>
      </c>
    </row>
    <row r="181" spans="1:13" ht="15" customHeight="1">
      <c r="A181" s="42">
        <v>176</v>
      </c>
      <c r="B181" s="42" t="s">
        <v>9294</v>
      </c>
      <c r="C181" s="43" t="s">
        <v>6735</v>
      </c>
      <c r="D181" s="42" t="s">
        <v>5640</v>
      </c>
      <c r="E181" s="43" t="s">
        <v>9295</v>
      </c>
      <c r="F181" s="43" t="s">
        <v>9296</v>
      </c>
      <c r="G181" s="42" t="s">
        <v>6739</v>
      </c>
      <c r="H181" s="43" t="s">
        <v>8982</v>
      </c>
      <c r="I181" s="43" t="s">
        <v>6741</v>
      </c>
      <c r="J181" s="55"/>
      <c r="K181" s="119">
        <f>IFERROR(VLOOKUP(B181,BD_CONTROL!$A$5:$M$4235,11,0),"")</f>
        <v>0</v>
      </c>
      <c r="L181" s="120">
        <f>IFERROR(VLOOKUP(B181,BD_CONTROL!$A$5:$M$4235,12,0),"")</f>
        <v>0</v>
      </c>
      <c r="M181" s="121">
        <f>IFERROR(VLOOKUP(B181,BD_CONTROL!$A$5:$M$4235,13,0),"")</f>
        <v>0</v>
      </c>
    </row>
    <row r="182" spans="1:13" ht="15" customHeight="1">
      <c r="A182" s="39">
        <v>177</v>
      </c>
      <c r="B182" s="39" t="s">
        <v>9297</v>
      </c>
      <c r="C182" s="40" t="s">
        <v>6735</v>
      </c>
      <c r="D182" s="39" t="s">
        <v>5640</v>
      </c>
      <c r="E182" s="40" t="s">
        <v>3243</v>
      </c>
      <c r="F182" s="40" t="s">
        <v>3243</v>
      </c>
      <c r="G182" s="39" t="s">
        <v>6739</v>
      </c>
      <c r="H182" s="40" t="s">
        <v>8982</v>
      </c>
      <c r="I182" s="40" t="s">
        <v>6741</v>
      </c>
      <c r="J182" s="50"/>
      <c r="K182" s="116">
        <f>IFERROR(VLOOKUP(B182,BD_CONTROL!$A$5:$M$4235,11,0),"")</f>
        <v>0</v>
      </c>
      <c r="L182" s="117">
        <f>IFERROR(VLOOKUP(B182,BD_CONTROL!$A$5:$M$4235,12,0),"")</f>
        <v>0</v>
      </c>
      <c r="M182" s="118">
        <f>IFERROR(VLOOKUP(B182,BD_CONTROL!$A$5:$M$4235,13,0),"")</f>
        <v>0</v>
      </c>
    </row>
    <row r="183" spans="1:13" ht="15" customHeight="1">
      <c r="A183" s="42">
        <v>178</v>
      </c>
      <c r="B183" s="42" t="s">
        <v>9298</v>
      </c>
      <c r="C183" s="43" t="s">
        <v>6735</v>
      </c>
      <c r="D183" s="42" t="s">
        <v>5640</v>
      </c>
      <c r="E183" s="43" t="s">
        <v>3243</v>
      </c>
      <c r="F183" s="43" t="s">
        <v>3243</v>
      </c>
      <c r="G183" s="42" t="s">
        <v>6739</v>
      </c>
      <c r="H183" s="43" t="s">
        <v>8982</v>
      </c>
      <c r="I183" s="43" t="s">
        <v>6741</v>
      </c>
      <c r="J183" s="55"/>
      <c r="K183" s="119">
        <f>IFERROR(VLOOKUP(B183,BD_CONTROL!$A$5:$M$4235,11,0),"")</f>
        <v>0</v>
      </c>
      <c r="L183" s="120">
        <f>IFERROR(VLOOKUP(B183,BD_CONTROL!$A$5:$M$4235,12,0),"")</f>
        <v>0</v>
      </c>
      <c r="M183" s="121">
        <f>IFERROR(VLOOKUP(B183,BD_CONTROL!$A$5:$M$4235,13,0),"")</f>
        <v>0</v>
      </c>
    </row>
    <row r="184" spans="1:13" ht="15" customHeight="1">
      <c r="A184" s="39">
        <v>179</v>
      </c>
      <c r="B184" s="39" t="s">
        <v>9299</v>
      </c>
      <c r="C184" s="40" t="s">
        <v>6735</v>
      </c>
      <c r="D184" s="39" t="s">
        <v>5640</v>
      </c>
      <c r="E184" s="40" t="s">
        <v>5803</v>
      </c>
      <c r="F184" s="40" t="s">
        <v>9300</v>
      </c>
      <c r="G184" s="39" t="s">
        <v>6739</v>
      </c>
      <c r="H184" s="40" t="s">
        <v>8982</v>
      </c>
      <c r="I184" s="40" t="s">
        <v>6741</v>
      </c>
      <c r="J184" s="50"/>
      <c r="K184" s="116">
        <f>IFERROR(VLOOKUP(B184,BD_CONTROL!$A$5:$M$4235,11,0),"")</f>
        <v>0</v>
      </c>
      <c r="L184" s="117">
        <f>IFERROR(VLOOKUP(B184,BD_CONTROL!$A$5:$M$4235,12,0),"")</f>
        <v>0</v>
      </c>
      <c r="M184" s="118">
        <f>IFERROR(VLOOKUP(B184,BD_CONTROL!$A$5:$M$4235,13,0),"")</f>
        <v>0</v>
      </c>
    </row>
    <row r="185" spans="1:13" ht="15" customHeight="1">
      <c r="A185" s="42">
        <v>180</v>
      </c>
      <c r="B185" s="42" t="s">
        <v>9301</v>
      </c>
      <c r="C185" s="43" t="s">
        <v>6735</v>
      </c>
      <c r="D185" s="42" t="s">
        <v>5640</v>
      </c>
      <c r="E185" s="43" t="s">
        <v>5803</v>
      </c>
      <c r="F185" s="43" t="s">
        <v>9300</v>
      </c>
      <c r="G185" s="42" t="s">
        <v>6739</v>
      </c>
      <c r="H185" s="43" t="s">
        <v>8982</v>
      </c>
      <c r="I185" s="43" t="s">
        <v>6741</v>
      </c>
      <c r="J185" s="55"/>
      <c r="K185" s="119">
        <f>IFERROR(VLOOKUP(B185,BD_CONTROL!$A$5:$M$4235,11,0),"")</f>
        <v>0</v>
      </c>
      <c r="L185" s="120">
        <f>IFERROR(VLOOKUP(B185,BD_CONTROL!$A$5:$M$4235,12,0),"")</f>
        <v>0</v>
      </c>
      <c r="M185" s="121">
        <f>IFERROR(VLOOKUP(B185,BD_CONTROL!$A$5:$M$4235,13,0),"")</f>
        <v>0</v>
      </c>
    </row>
    <row r="186" spans="1:13" ht="15" customHeight="1">
      <c r="A186" s="39">
        <v>181</v>
      </c>
      <c r="B186" s="39" t="s">
        <v>9302</v>
      </c>
      <c r="C186" s="40" t="s">
        <v>6735</v>
      </c>
      <c r="D186" s="39" t="s">
        <v>5640</v>
      </c>
      <c r="E186" s="40" t="s">
        <v>9303</v>
      </c>
      <c r="F186" s="40" t="s">
        <v>9304</v>
      </c>
      <c r="G186" s="39" t="s">
        <v>6739</v>
      </c>
      <c r="H186" s="40" t="s">
        <v>8982</v>
      </c>
      <c r="I186" s="40" t="s">
        <v>6741</v>
      </c>
      <c r="J186" s="50"/>
      <c r="K186" s="116">
        <f>IFERROR(VLOOKUP(B186,BD_CONTROL!$A$5:$M$4235,11,0),"")</f>
        <v>0</v>
      </c>
      <c r="L186" s="117">
        <f>IFERROR(VLOOKUP(B186,BD_CONTROL!$A$5:$M$4235,12,0),"")</f>
        <v>0</v>
      </c>
      <c r="M186" s="118">
        <f>IFERROR(VLOOKUP(B186,BD_CONTROL!$A$5:$M$4235,13,0),"")</f>
        <v>0</v>
      </c>
    </row>
    <row r="187" spans="1:13" ht="15" customHeight="1">
      <c r="A187" s="42">
        <v>182</v>
      </c>
      <c r="B187" s="42" t="s">
        <v>9305</v>
      </c>
      <c r="C187" s="43" t="s">
        <v>6735</v>
      </c>
      <c r="D187" s="42" t="s">
        <v>5640</v>
      </c>
      <c r="E187" s="43" t="s">
        <v>9088</v>
      </c>
      <c r="F187" s="43" t="s">
        <v>9089</v>
      </c>
      <c r="G187" s="42" t="s">
        <v>6739</v>
      </c>
      <c r="H187" s="43" t="s">
        <v>8982</v>
      </c>
      <c r="I187" s="43" t="s">
        <v>6741</v>
      </c>
      <c r="J187" s="55"/>
      <c r="K187" s="119">
        <f>IFERROR(VLOOKUP(B187,BD_CONTROL!$A$5:$M$4235,11,0),"")</f>
        <v>0</v>
      </c>
      <c r="L187" s="120">
        <f>IFERROR(VLOOKUP(B187,BD_CONTROL!$A$5:$M$4235,12,0),"")</f>
        <v>0</v>
      </c>
      <c r="M187" s="121">
        <f>IFERROR(VLOOKUP(B187,BD_CONTROL!$A$5:$M$4235,13,0),"")</f>
        <v>0</v>
      </c>
    </row>
    <row r="188" spans="1:13" ht="15" customHeight="1">
      <c r="A188" s="39">
        <v>183</v>
      </c>
      <c r="B188" s="39" t="s">
        <v>9306</v>
      </c>
      <c r="C188" s="40" t="s">
        <v>6735</v>
      </c>
      <c r="D188" s="39" t="s">
        <v>6458</v>
      </c>
      <c r="E188" s="40" t="s">
        <v>3341</v>
      </c>
      <c r="F188" s="40" t="s">
        <v>4813</v>
      </c>
      <c r="G188" s="39" t="s">
        <v>6739</v>
      </c>
      <c r="H188" s="40" t="s">
        <v>2927</v>
      </c>
      <c r="I188" s="40" t="s">
        <v>6741</v>
      </c>
      <c r="J188" s="50"/>
      <c r="K188" s="116">
        <f>IFERROR(VLOOKUP(B188,BD_CONTROL!$A$5:$M$4235,11,0),"")</f>
        <v>0</v>
      </c>
      <c r="L188" s="117">
        <f>IFERROR(VLOOKUP(B188,BD_CONTROL!$A$5:$M$4235,12,0),"")</f>
        <v>0</v>
      </c>
      <c r="M188" s="118">
        <f>IFERROR(VLOOKUP(B188,BD_CONTROL!$A$5:$M$4235,13,0),"")</f>
        <v>0</v>
      </c>
    </row>
    <row r="189" spans="1:13" ht="15" customHeight="1">
      <c r="A189" s="42">
        <v>184</v>
      </c>
      <c r="B189" s="42" t="s">
        <v>9307</v>
      </c>
      <c r="C189" s="43" t="s">
        <v>6735</v>
      </c>
      <c r="D189" s="42" t="s">
        <v>6458</v>
      </c>
      <c r="E189" s="43" t="s">
        <v>9027</v>
      </c>
      <c r="F189" s="43" t="s">
        <v>9308</v>
      </c>
      <c r="G189" s="42" t="s">
        <v>6739</v>
      </c>
      <c r="H189" s="43" t="s">
        <v>2927</v>
      </c>
      <c r="I189" s="43" t="s">
        <v>6741</v>
      </c>
      <c r="J189" s="55"/>
      <c r="K189" s="119">
        <f>IFERROR(VLOOKUP(B189,BD_CONTROL!$A$5:$M$4235,11,0),"")</f>
        <v>0</v>
      </c>
      <c r="L189" s="120">
        <f>IFERROR(VLOOKUP(B189,BD_CONTROL!$A$5:$M$4235,12,0),"")</f>
        <v>0</v>
      </c>
      <c r="M189" s="121">
        <f>IFERROR(VLOOKUP(B189,BD_CONTROL!$A$5:$M$4235,13,0),"")</f>
        <v>0</v>
      </c>
    </row>
    <row r="190" spans="1:13" ht="15" customHeight="1">
      <c r="A190" s="39">
        <v>185</v>
      </c>
      <c r="B190" s="39" t="s">
        <v>9309</v>
      </c>
      <c r="C190" s="40" t="s">
        <v>6735</v>
      </c>
      <c r="D190" s="39" t="s">
        <v>6458</v>
      </c>
      <c r="E190" s="40" t="s">
        <v>9162</v>
      </c>
      <c r="F190" s="40" t="s">
        <v>9310</v>
      </c>
      <c r="G190" s="39" t="s">
        <v>6739</v>
      </c>
      <c r="H190" s="40" t="s">
        <v>2927</v>
      </c>
      <c r="I190" s="40" t="s">
        <v>6741</v>
      </c>
      <c r="J190" s="50"/>
      <c r="K190" s="116">
        <f>IFERROR(VLOOKUP(B190,BD_CONTROL!$A$5:$M$4235,11,0),"")</f>
        <v>0</v>
      </c>
      <c r="L190" s="117">
        <f>IFERROR(VLOOKUP(B190,BD_CONTROL!$A$5:$M$4235,12,0),"")</f>
        <v>0</v>
      </c>
      <c r="M190" s="118">
        <f>IFERROR(VLOOKUP(B190,BD_CONTROL!$A$5:$M$4235,13,0),"")</f>
        <v>0</v>
      </c>
    </row>
    <row r="191" spans="1:13" ht="15" customHeight="1">
      <c r="A191" s="42">
        <v>186</v>
      </c>
      <c r="B191" s="42" t="s">
        <v>9311</v>
      </c>
      <c r="C191" s="43" t="s">
        <v>6735</v>
      </c>
      <c r="D191" s="42" t="s">
        <v>6458</v>
      </c>
      <c r="E191" s="43" t="s">
        <v>9047</v>
      </c>
      <c r="F191" s="43" t="s">
        <v>9047</v>
      </c>
      <c r="G191" s="42" t="s">
        <v>6739</v>
      </c>
      <c r="H191" s="43" t="s">
        <v>2927</v>
      </c>
      <c r="I191" s="43" t="s">
        <v>6741</v>
      </c>
      <c r="J191" s="55"/>
      <c r="K191" s="119">
        <f>IFERROR(VLOOKUP(B191,BD_CONTROL!$A$5:$M$4235,11,0),"")</f>
        <v>0</v>
      </c>
      <c r="L191" s="120">
        <f>IFERROR(VLOOKUP(B191,BD_CONTROL!$A$5:$M$4235,12,0),"")</f>
        <v>0</v>
      </c>
      <c r="M191" s="121">
        <f>IFERROR(VLOOKUP(B191,BD_CONTROL!$A$5:$M$4235,13,0),"")</f>
        <v>0</v>
      </c>
    </row>
    <row r="192" spans="1:13" ht="15" customHeight="1">
      <c r="A192" s="39">
        <v>187</v>
      </c>
      <c r="B192" s="39" t="s">
        <v>9312</v>
      </c>
      <c r="C192" s="40" t="s">
        <v>6735</v>
      </c>
      <c r="D192" s="39" t="s">
        <v>6458</v>
      </c>
      <c r="E192" s="40" t="s">
        <v>9036</v>
      </c>
      <c r="F192" s="40" t="s">
        <v>9036</v>
      </c>
      <c r="G192" s="39" t="s">
        <v>6739</v>
      </c>
      <c r="H192" s="40" t="s">
        <v>2927</v>
      </c>
      <c r="I192" s="40" t="s">
        <v>6741</v>
      </c>
      <c r="J192" s="50"/>
      <c r="K192" s="116" t="str">
        <f>IFERROR(VLOOKUP(B192,BD_CONTROL!$A$5:$M$4235,11,0),"")</f>
        <v>Instalado - Operando</v>
      </c>
      <c r="L192" s="117">
        <f>IFERROR(VLOOKUP(B192,BD_CONTROL!$A$5:$M$4235,12,0),"")</f>
        <v>46151</v>
      </c>
      <c r="M192" s="118">
        <f>IFERROR(VLOOKUP(B192,BD_CONTROL!$A$5:$M$4235,13,0),"")</f>
        <v>0</v>
      </c>
    </row>
    <row r="193" spans="1:13" ht="15" customHeight="1">
      <c r="A193" s="42">
        <v>188</v>
      </c>
      <c r="B193" s="42" t="s">
        <v>9313</v>
      </c>
      <c r="C193" s="43" t="s">
        <v>6735</v>
      </c>
      <c r="D193" s="42" t="s">
        <v>6458</v>
      </c>
      <c r="E193" s="43" t="s">
        <v>9070</v>
      </c>
      <c r="F193" s="43" t="s">
        <v>9314</v>
      </c>
      <c r="G193" s="42" t="s">
        <v>6739</v>
      </c>
      <c r="H193" s="43" t="s">
        <v>2927</v>
      </c>
      <c r="I193" s="43" t="s">
        <v>6741</v>
      </c>
      <c r="J193" s="55"/>
      <c r="K193" s="119">
        <f>IFERROR(VLOOKUP(B193,BD_CONTROL!$A$5:$M$4235,11,0),"")</f>
        <v>0</v>
      </c>
      <c r="L193" s="120">
        <f>IFERROR(VLOOKUP(B193,BD_CONTROL!$A$5:$M$4235,12,0),"")</f>
        <v>0</v>
      </c>
      <c r="M193" s="121">
        <f>IFERROR(VLOOKUP(B193,BD_CONTROL!$A$5:$M$4235,13,0),"")</f>
        <v>0</v>
      </c>
    </row>
    <row r="194" spans="1:13" ht="15" customHeight="1">
      <c r="A194" s="39">
        <v>189</v>
      </c>
      <c r="B194" s="39" t="s">
        <v>9315</v>
      </c>
      <c r="C194" s="40" t="s">
        <v>6735</v>
      </c>
      <c r="D194" s="39" t="s">
        <v>6458</v>
      </c>
      <c r="E194" s="40" t="s">
        <v>9097</v>
      </c>
      <c r="F194" s="40" t="s">
        <v>5782</v>
      </c>
      <c r="G194" s="39" t="s">
        <v>6739</v>
      </c>
      <c r="H194" s="40" t="s">
        <v>2927</v>
      </c>
      <c r="I194" s="40" t="s">
        <v>6741</v>
      </c>
      <c r="J194" s="50"/>
      <c r="K194" s="116">
        <f>IFERROR(VLOOKUP(B194,BD_CONTROL!$A$5:$M$4235,11,0),"")</f>
        <v>0</v>
      </c>
      <c r="L194" s="117">
        <f>IFERROR(VLOOKUP(B194,BD_CONTROL!$A$5:$M$4235,12,0),"")</f>
        <v>0</v>
      </c>
      <c r="M194" s="118">
        <f>IFERROR(VLOOKUP(B194,BD_CONTROL!$A$5:$M$4235,13,0),"")</f>
        <v>0</v>
      </c>
    </row>
    <row r="195" spans="1:13" ht="15" customHeight="1">
      <c r="A195" s="42">
        <v>190</v>
      </c>
      <c r="B195" s="42" t="s">
        <v>9316</v>
      </c>
      <c r="C195" s="43" t="s">
        <v>6735</v>
      </c>
      <c r="D195" s="42" t="s">
        <v>6458</v>
      </c>
      <c r="E195" s="43" t="s">
        <v>9070</v>
      </c>
      <c r="F195" s="43" t="s">
        <v>9317</v>
      </c>
      <c r="G195" s="42" t="s">
        <v>6739</v>
      </c>
      <c r="H195" s="43" t="s">
        <v>2927</v>
      </c>
      <c r="I195" s="43" t="s">
        <v>6741</v>
      </c>
      <c r="J195" s="55"/>
      <c r="K195" s="119">
        <f>IFERROR(VLOOKUP(B195,BD_CONTROL!$A$5:$M$4235,11,0),"")</f>
        <v>0</v>
      </c>
      <c r="L195" s="120">
        <f>IFERROR(VLOOKUP(B195,BD_CONTROL!$A$5:$M$4235,12,0),"")</f>
        <v>0</v>
      </c>
      <c r="M195" s="121">
        <f>IFERROR(VLOOKUP(B195,BD_CONTROL!$A$5:$M$4235,13,0),"")</f>
        <v>0</v>
      </c>
    </row>
    <row r="196" spans="1:13" ht="15" customHeight="1">
      <c r="A196" s="39">
        <v>191</v>
      </c>
      <c r="B196" s="39" t="s">
        <v>9318</v>
      </c>
      <c r="C196" s="40" t="s">
        <v>6735</v>
      </c>
      <c r="D196" s="39" t="s">
        <v>6458</v>
      </c>
      <c r="E196" s="40" t="s">
        <v>9097</v>
      </c>
      <c r="F196" s="40" t="s">
        <v>9319</v>
      </c>
      <c r="G196" s="39" t="s">
        <v>6739</v>
      </c>
      <c r="H196" s="40" t="s">
        <v>2927</v>
      </c>
      <c r="I196" s="40" t="s">
        <v>6741</v>
      </c>
      <c r="J196" s="50"/>
      <c r="K196" s="116">
        <f>IFERROR(VLOOKUP(B196,BD_CONTROL!$A$5:$M$4235,11,0),"")</f>
        <v>0</v>
      </c>
      <c r="L196" s="117">
        <f>IFERROR(VLOOKUP(B196,BD_CONTROL!$A$5:$M$4235,12,0),"")</f>
        <v>0</v>
      </c>
      <c r="M196" s="118">
        <f>IFERROR(VLOOKUP(B196,BD_CONTROL!$A$5:$M$4235,13,0),"")</f>
        <v>0</v>
      </c>
    </row>
    <row r="197" spans="1:13" ht="15" customHeight="1">
      <c r="A197" s="42">
        <v>192</v>
      </c>
      <c r="B197" s="42" t="s">
        <v>9320</v>
      </c>
      <c r="C197" s="43" t="s">
        <v>6735</v>
      </c>
      <c r="D197" s="42" t="s">
        <v>6458</v>
      </c>
      <c r="E197" s="43" t="s">
        <v>9321</v>
      </c>
      <c r="F197" s="43" t="s">
        <v>9322</v>
      </c>
      <c r="G197" s="42" t="s">
        <v>6739</v>
      </c>
      <c r="H197" s="43" t="s">
        <v>2927</v>
      </c>
      <c r="I197" s="43" t="s">
        <v>6741</v>
      </c>
      <c r="J197" s="55"/>
      <c r="K197" s="119">
        <f>IFERROR(VLOOKUP(B197,BD_CONTROL!$A$5:$M$4235,11,0),"")</f>
        <v>0</v>
      </c>
      <c r="L197" s="120">
        <f>IFERROR(VLOOKUP(B197,BD_CONTROL!$A$5:$M$4235,12,0),"")</f>
        <v>0</v>
      </c>
      <c r="M197" s="121">
        <f>IFERROR(VLOOKUP(B197,BD_CONTROL!$A$5:$M$4235,13,0),"")</f>
        <v>0</v>
      </c>
    </row>
    <row r="198" spans="1:13" ht="15" customHeight="1">
      <c r="A198" s="39">
        <v>193</v>
      </c>
      <c r="B198" s="39" t="s">
        <v>9323</v>
      </c>
      <c r="C198" s="40" t="s">
        <v>6735</v>
      </c>
      <c r="D198" s="39" t="s">
        <v>6458</v>
      </c>
      <c r="E198" s="40" t="s">
        <v>3341</v>
      </c>
      <c r="F198" s="40" t="s">
        <v>9324</v>
      </c>
      <c r="G198" s="39" t="s">
        <v>6739</v>
      </c>
      <c r="H198" s="40" t="s">
        <v>2927</v>
      </c>
      <c r="I198" s="40" t="s">
        <v>6741</v>
      </c>
      <c r="J198" s="50"/>
      <c r="K198" s="116">
        <f>IFERROR(VLOOKUP(B198,BD_CONTROL!$A$5:$M$4235,11,0),"")</f>
        <v>0</v>
      </c>
      <c r="L198" s="117">
        <f>IFERROR(VLOOKUP(B198,BD_CONTROL!$A$5:$M$4235,12,0),"")</f>
        <v>0</v>
      </c>
      <c r="M198" s="118">
        <f>IFERROR(VLOOKUP(B198,BD_CONTROL!$A$5:$M$4235,13,0),"")</f>
        <v>0</v>
      </c>
    </row>
    <row r="199" spans="1:13" ht="15" customHeight="1">
      <c r="A199" s="42">
        <v>194</v>
      </c>
      <c r="B199" s="42" t="s">
        <v>9325</v>
      </c>
      <c r="C199" s="43" t="s">
        <v>6735</v>
      </c>
      <c r="D199" s="42" t="s">
        <v>6458</v>
      </c>
      <c r="E199" s="43" t="s">
        <v>3341</v>
      </c>
      <c r="F199" s="43" t="s">
        <v>9326</v>
      </c>
      <c r="G199" s="42" t="s">
        <v>6739</v>
      </c>
      <c r="H199" s="43" t="s">
        <v>2927</v>
      </c>
      <c r="I199" s="43" t="s">
        <v>6741</v>
      </c>
      <c r="J199" s="55"/>
      <c r="K199" s="119">
        <f>IFERROR(VLOOKUP(B199,BD_CONTROL!$A$5:$M$4235,11,0),"")</f>
        <v>0</v>
      </c>
      <c r="L199" s="120">
        <f>IFERROR(VLOOKUP(B199,BD_CONTROL!$A$5:$M$4235,12,0),"")</f>
        <v>0</v>
      </c>
      <c r="M199" s="121">
        <f>IFERROR(VLOOKUP(B199,BD_CONTROL!$A$5:$M$4235,13,0),"")</f>
        <v>0</v>
      </c>
    </row>
    <row r="200" spans="1:13" ht="15" customHeight="1">
      <c r="A200" s="39">
        <v>195</v>
      </c>
      <c r="B200" s="39" t="s">
        <v>9327</v>
      </c>
      <c r="C200" s="40" t="s">
        <v>6735</v>
      </c>
      <c r="D200" s="39" t="s">
        <v>6458</v>
      </c>
      <c r="E200" s="40" t="s">
        <v>9094</v>
      </c>
      <c r="F200" s="40" t="s">
        <v>9328</v>
      </c>
      <c r="G200" s="39" t="s">
        <v>6739</v>
      </c>
      <c r="H200" s="40" t="s">
        <v>2927</v>
      </c>
      <c r="I200" s="40" t="s">
        <v>6741</v>
      </c>
      <c r="J200" s="50"/>
      <c r="K200" s="116">
        <f>IFERROR(VLOOKUP(B200,BD_CONTROL!$A$5:$M$4235,11,0),"")</f>
        <v>0</v>
      </c>
      <c r="L200" s="117">
        <f>IFERROR(VLOOKUP(B200,BD_CONTROL!$A$5:$M$4235,12,0),"")</f>
        <v>0</v>
      </c>
      <c r="M200" s="118">
        <f>IFERROR(VLOOKUP(B200,BD_CONTROL!$A$5:$M$4235,13,0),"")</f>
        <v>0</v>
      </c>
    </row>
    <row r="201" spans="1:13" ht="15" customHeight="1">
      <c r="A201" s="42">
        <v>196</v>
      </c>
      <c r="B201" s="42" t="s">
        <v>9329</v>
      </c>
      <c r="C201" s="43" t="s">
        <v>6735</v>
      </c>
      <c r="D201" s="42" t="s">
        <v>6458</v>
      </c>
      <c r="E201" s="43" t="s">
        <v>8976</v>
      </c>
      <c r="F201" s="43" t="s">
        <v>9330</v>
      </c>
      <c r="G201" s="42" t="s">
        <v>6739</v>
      </c>
      <c r="H201" s="43" t="s">
        <v>2927</v>
      </c>
      <c r="I201" s="43" t="s">
        <v>6741</v>
      </c>
      <c r="J201" s="55"/>
      <c r="K201" s="119">
        <f>IFERROR(VLOOKUP(B201,BD_CONTROL!$A$5:$M$4235,11,0),"")</f>
        <v>0</v>
      </c>
      <c r="L201" s="120">
        <f>IFERROR(VLOOKUP(B201,BD_CONTROL!$A$5:$M$4235,12,0),"")</f>
        <v>0</v>
      </c>
      <c r="M201" s="121">
        <f>IFERROR(VLOOKUP(B201,BD_CONTROL!$A$5:$M$4235,13,0),"")</f>
        <v>0</v>
      </c>
    </row>
    <row r="202" spans="1:13" ht="15" customHeight="1">
      <c r="A202" s="39">
        <v>197</v>
      </c>
      <c r="B202" s="39" t="s">
        <v>9331</v>
      </c>
      <c r="C202" s="40" t="s">
        <v>6735</v>
      </c>
      <c r="D202" s="39" t="s">
        <v>6458</v>
      </c>
      <c r="E202" s="40" t="s">
        <v>3341</v>
      </c>
      <c r="F202" s="40" t="s">
        <v>9066</v>
      </c>
      <c r="G202" s="39" t="s">
        <v>6739</v>
      </c>
      <c r="H202" s="40" t="s">
        <v>2927</v>
      </c>
      <c r="I202" s="40" t="s">
        <v>6741</v>
      </c>
      <c r="J202" s="50"/>
      <c r="K202" s="116">
        <f>IFERROR(VLOOKUP(B202,BD_CONTROL!$A$5:$M$4235,11,0),"")</f>
        <v>0</v>
      </c>
      <c r="L202" s="117">
        <f>IFERROR(VLOOKUP(B202,BD_CONTROL!$A$5:$M$4235,12,0),"")</f>
        <v>0</v>
      </c>
      <c r="M202" s="118">
        <f>IFERROR(VLOOKUP(B202,BD_CONTROL!$A$5:$M$4235,13,0),"")</f>
        <v>0</v>
      </c>
    </row>
    <row r="203" spans="1:13" ht="15" customHeight="1">
      <c r="A203" s="42">
        <v>198</v>
      </c>
      <c r="B203" s="42" t="s">
        <v>9332</v>
      </c>
      <c r="C203" s="43" t="s">
        <v>6735</v>
      </c>
      <c r="D203" s="42" t="s">
        <v>6458</v>
      </c>
      <c r="E203" s="43" t="s">
        <v>3984</v>
      </c>
      <c r="F203" s="43" t="s">
        <v>9333</v>
      </c>
      <c r="G203" s="42" t="s">
        <v>6739</v>
      </c>
      <c r="H203" s="43" t="s">
        <v>2927</v>
      </c>
      <c r="I203" s="43" t="s">
        <v>6741</v>
      </c>
      <c r="J203" s="55"/>
      <c r="K203" s="119">
        <f>IFERROR(VLOOKUP(B203,BD_CONTROL!$A$5:$M$4235,11,0),"")</f>
        <v>0</v>
      </c>
      <c r="L203" s="120">
        <f>IFERROR(VLOOKUP(B203,BD_CONTROL!$A$5:$M$4235,12,0),"")</f>
        <v>0</v>
      </c>
      <c r="M203" s="121">
        <f>IFERROR(VLOOKUP(B203,BD_CONTROL!$A$5:$M$4235,13,0),"")</f>
        <v>0</v>
      </c>
    </row>
    <row r="204" spans="1:13" ht="15" customHeight="1">
      <c r="A204" s="39">
        <v>199</v>
      </c>
      <c r="B204" s="39" t="s">
        <v>9334</v>
      </c>
      <c r="C204" s="40" t="s">
        <v>6735</v>
      </c>
      <c r="D204" s="39" t="s">
        <v>6458</v>
      </c>
      <c r="E204" s="40" t="s">
        <v>9335</v>
      </c>
      <c r="F204" s="40" t="s">
        <v>9336</v>
      </c>
      <c r="G204" s="39" t="s">
        <v>6739</v>
      </c>
      <c r="H204" s="40" t="s">
        <v>2927</v>
      </c>
      <c r="I204" s="40" t="s">
        <v>6741</v>
      </c>
      <c r="J204" s="50"/>
      <c r="K204" s="116">
        <f>IFERROR(VLOOKUP(B204,BD_CONTROL!$A$5:$M$4235,11,0),"")</f>
        <v>0</v>
      </c>
      <c r="L204" s="117">
        <f>IFERROR(VLOOKUP(B204,BD_CONTROL!$A$5:$M$4235,12,0),"")</f>
        <v>0</v>
      </c>
      <c r="M204" s="118">
        <f>IFERROR(VLOOKUP(B204,BD_CONTROL!$A$5:$M$4235,13,0),"")</f>
        <v>0</v>
      </c>
    </row>
    <row r="205" spans="1:13" ht="15" customHeight="1">
      <c r="A205" s="42">
        <v>200</v>
      </c>
      <c r="B205" s="42" t="s">
        <v>9337</v>
      </c>
      <c r="C205" s="43" t="s">
        <v>6735</v>
      </c>
      <c r="D205" s="42" t="s">
        <v>6458</v>
      </c>
      <c r="E205" s="43" t="s">
        <v>9036</v>
      </c>
      <c r="F205" s="43" t="s">
        <v>9036</v>
      </c>
      <c r="G205" s="42" t="s">
        <v>6739</v>
      </c>
      <c r="H205" s="43" t="s">
        <v>2927</v>
      </c>
      <c r="I205" s="43" t="s">
        <v>6741</v>
      </c>
      <c r="J205" s="55"/>
      <c r="K205" s="119">
        <f>IFERROR(VLOOKUP(B205,BD_CONTROL!$A$5:$M$4235,11,0),"")</f>
        <v>0</v>
      </c>
      <c r="L205" s="120">
        <f>IFERROR(VLOOKUP(B205,BD_CONTROL!$A$5:$M$4235,12,0),"")</f>
        <v>0</v>
      </c>
      <c r="M205" s="121">
        <f>IFERROR(VLOOKUP(B205,BD_CONTROL!$A$5:$M$4235,13,0),"")</f>
        <v>0</v>
      </c>
    </row>
    <row r="206" spans="1:13" ht="15" customHeight="1">
      <c r="A206" s="39">
        <v>201</v>
      </c>
      <c r="B206" s="39" t="s">
        <v>9338</v>
      </c>
      <c r="C206" s="40" t="s">
        <v>6735</v>
      </c>
      <c r="D206" s="39" t="s">
        <v>6458</v>
      </c>
      <c r="E206" s="40" t="s">
        <v>9097</v>
      </c>
      <c r="F206" s="40" t="s">
        <v>9339</v>
      </c>
      <c r="G206" s="39" t="s">
        <v>6739</v>
      </c>
      <c r="H206" s="40" t="s">
        <v>2927</v>
      </c>
      <c r="I206" s="40" t="s">
        <v>6741</v>
      </c>
      <c r="J206" s="50"/>
      <c r="K206" s="116">
        <f>IFERROR(VLOOKUP(B206,BD_CONTROL!$A$5:$M$4235,11,0),"")</f>
        <v>0</v>
      </c>
      <c r="L206" s="117">
        <f>IFERROR(VLOOKUP(B206,BD_CONTROL!$A$5:$M$4235,12,0),"")</f>
        <v>0</v>
      </c>
      <c r="M206" s="118">
        <f>IFERROR(VLOOKUP(B206,BD_CONTROL!$A$5:$M$4235,13,0),"")</f>
        <v>0</v>
      </c>
    </row>
    <row r="207" spans="1:13" ht="15" customHeight="1">
      <c r="A207" s="42">
        <v>202</v>
      </c>
      <c r="B207" s="42" t="s">
        <v>9340</v>
      </c>
      <c r="C207" s="43" t="s">
        <v>6735</v>
      </c>
      <c r="D207" s="42" t="s">
        <v>6458</v>
      </c>
      <c r="E207" s="43" t="s">
        <v>9142</v>
      </c>
      <c r="F207" s="43" t="s">
        <v>9341</v>
      </c>
      <c r="G207" s="42" t="s">
        <v>6739</v>
      </c>
      <c r="H207" s="43" t="s">
        <v>2927</v>
      </c>
      <c r="I207" s="43" t="s">
        <v>6741</v>
      </c>
      <c r="J207" s="55"/>
      <c r="K207" s="119">
        <f>IFERROR(VLOOKUP(B207,BD_CONTROL!$A$5:$M$4235,11,0),"")</f>
        <v>0</v>
      </c>
      <c r="L207" s="120">
        <f>IFERROR(VLOOKUP(B207,BD_CONTROL!$A$5:$M$4235,12,0),"")</f>
        <v>0</v>
      </c>
      <c r="M207" s="121">
        <f>IFERROR(VLOOKUP(B207,BD_CONTROL!$A$5:$M$4235,13,0),"")</f>
        <v>0</v>
      </c>
    </row>
    <row r="208" spans="1:13" ht="15" customHeight="1">
      <c r="A208" s="39">
        <v>203</v>
      </c>
      <c r="B208" s="39" t="s">
        <v>9342</v>
      </c>
      <c r="C208" s="40" t="s">
        <v>6735</v>
      </c>
      <c r="D208" s="39" t="s">
        <v>7142</v>
      </c>
      <c r="E208" s="40" t="s">
        <v>9053</v>
      </c>
      <c r="F208" s="40" t="s">
        <v>9053</v>
      </c>
      <c r="G208" s="39" t="s">
        <v>6739</v>
      </c>
      <c r="H208" s="40" t="s">
        <v>2927</v>
      </c>
      <c r="I208" s="40" t="s">
        <v>6741</v>
      </c>
      <c r="J208" s="50"/>
      <c r="K208" s="116" t="str">
        <f>IFERROR(VLOOKUP(B208,BD_CONTROL!$A$5:$M$4235,11,0),"")</f>
        <v>Instalado - Operando</v>
      </c>
      <c r="L208" s="117">
        <f>IFERROR(VLOOKUP(B208,BD_CONTROL!$A$5:$M$4235,12,0),"")</f>
        <v>46148</v>
      </c>
      <c r="M208" s="118">
        <f>IFERROR(VLOOKUP(B208,BD_CONTROL!$A$5:$M$4235,13,0),"")</f>
        <v>0</v>
      </c>
    </row>
    <row r="209" spans="1:13" ht="15" customHeight="1">
      <c r="A209" s="42">
        <v>204</v>
      </c>
      <c r="B209" s="42" t="s">
        <v>9343</v>
      </c>
      <c r="C209" s="43" t="s">
        <v>6735</v>
      </c>
      <c r="D209" s="42" t="s">
        <v>7142</v>
      </c>
      <c r="E209" s="43" t="s">
        <v>9344</v>
      </c>
      <c r="F209" s="43" t="s">
        <v>9344</v>
      </c>
      <c r="G209" s="42" t="s">
        <v>6739</v>
      </c>
      <c r="H209" s="43" t="s">
        <v>2927</v>
      </c>
      <c r="I209" s="43" t="s">
        <v>6741</v>
      </c>
      <c r="J209" s="55"/>
      <c r="K209" s="119" t="str">
        <f>IFERROR(VLOOKUP(B209,BD_CONTROL!$A$5:$M$4235,11,0),"")</f>
        <v>Instalado - Operando</v>
      </c>
      <c r="L209" s="120">
        <f>IFERROR(VLOOKUP(B209,BD_CONTROL!$A$5:$M$4235,12,0),"")</f>
        <v>46146</v>
      </c>
      <c r="M209" s="121">
        <f>IFERROR(VLOOKUP(B209,BD_CONTROL!$A$5:$M$4235,13,0),"")</f>
        <v>0</v>
      </c>
    </row>
    <row r="210" spans="1:13" ht="15" customHeight="1">
      <c r="A210" s="39">
        <v>205</v>
      </c>
      <c r="B210" s="39" t="s">
        <v>9345</v>
      </c>
      <c r="C210" s="40" t="s">
        <v>6735</v>
      </c>
      <c r="D210" s="39" t="s">
        <v>7142</v>
      </c>
      <c r="E210" s="40" t="s">
        <v>9344</v>
      </c>
      <c r="F210" s="40" t="s">
        <v>9344</v>
      </c>
      <c r="G210" s="39" t="s">
        <v>6739</v>
      </c>
      <c r="H210" s="40" t="s">
        <v>2927</v>
      </c>
      <c r="I210" s="40" t="s">
        <v>6741</v>
      </c>
      <c r="J210" s="50"/>
      <c r="K210" s="116" t="str">
        <f>IFERROR(VLOOKUP(B210,BD_CONTROL!$A$5:$M$4235,11,0),"")</f>
        <v>Instalado - Operando</v>
      </c>
      <c r="L210" s="117">
        <f>IFERROR(VLOOKUP(B210,BD_CONTROL!$A$5:$M$4235,12,0),"")</f>
        <v>46146</v>
      </c>
      <c r="M210" s="118">
        <f>IFERROR(VLOOKUP(B210,BD_CONTROL!$A$5:$M$4235,13,0),"")</f>
        <v>0</v>
      </c>
    </row>
    <row r="211" spans="1:13" ht="15" customHeight="1">
      <c r="A211" s="42">
        <v>206</v>
      </c>
      <c r="B211" s="42" t="s">
        <v>9346</v>
      </c>
      <c r="C211" s="43" t="s">
        <v>6735</v>
      </c>
      <c r="D211" s="42" t="s">
        <v>7142</v>
      </c>
      <c r="E211" s="43" t="s">
        <v>9056</v>
      </c>
      <c r="F211" s="43" t="s">
        <v>9151</v>
      </c>
      <c r="G211" s="42" t="s">
        <v>6739</v>
      </c>
      <c r="H211" s="43" t="s">
        <v>2927</v>
      </c>
      <c r="I211" s="43" t="s">
        <v>6741</v>
      </c>
      <c r="J211" s="55"/>
      <c r="K211" s="119" t="str">
        <f>IFERROR(VLOOKUP(B211,BD_CONTROL!$A$5:$M$4235,11,0),"")</f>
        <v>Instalado - Operando</v>
      </c>
      <c r="L211" s="120">
        <f>IFERROR(VLOOKUP(B211,BD_CONTROL!$A$5:$M$4235,12,0),"")</f>
        <v>46139</v>
      </c>
      <c r="M211" s="121">
        <f>IFERROR(VLOOKUP(B211,BD_CONTROL!$A$5:$M$4235,13,0),"")</f>
        <v>0</v>
      </c>
    </row>
    <row r="212" spans="1:13" ht="15" customHeight="1">
      <c r="A212" s="39">
        <v>207</v>
      </c>
      <c r="B212" s="39" t="s">
        <v>9347</v>
      </c>
      <c r="C212" s="40" t="s">
        <v>6735</v>
      </c>
      <c r="D212" s="39" t="s">
        <v>7142</v>
      </c>
      <c r="E212" s="40" t="s">
        <v>9053</v>
      </c>
      <c r="F212" s="40" t="s">
        <v>9053</v>
      </c>
      <c r="G212" s="39" t="s">
        <v>6739</v>
      </c>
      <c r="H212" s="40" t="s">
        <v>2927</v>
      </c>
      <c r="I212" s="40" t="s">
        <v>6741</v>
      </c>
      <c r="J212" s="50"/>
      <c r="K212" s="116" t="str">
        <f>IFERROR(VLOOKUP(B212,BD_CONTROL!$A$5:$M$4235,11,0),"")</f>
        <v>Instalado - Operando</v>
      </c>
      <c r="L212" s="117">
        <f>IFERROR(VLOOKUP(B212,BD_CONTROL!$A$5:$M$4235,12,0),"")</f>
        <v>46150</v>
      </c>
      <c r="M212" s="118">
        <f>IFERROR(VLOOKUP(B212,BD_CONTROL!$A$5:$M$4235,13,0),"")</f>
        <v>0</v>
      </c>
    </row>
    <row r="213" spans="1:13" ht="15" customHeight="1">
      <c r="A213" s="42">
        <v>208</v>
      </c>
      <c r="B213" s="42" t="s">
        <v>9348</v>
      </c>
      <c r="C213" s="43" t="s">
        <v>6735</v>
      </c>
      <c r="D213" s="42" t="s">
        <v>7142</v>
      </c>
      <c r="E213" s="43" t="s">
        <v>9056</v>
      </c>
      <c r="F213" s="43" t="s">
        <v>9151</v>
      </c>
      <c r="G213" s="42" t="s">
        <v>6739</v>
      </c>
      <c r="H213" s="43" t="s">
        <v>2927</v>
      </c>
      <c r="I213" s="43" t="s">
        <v>6741</v>
      </c>
      <c r="J213" s="55"/>
      <c r="K213" s="119" t="str">
        <f>IFERROR(VLOOKUP(B213,BD_CONTROL!$A$5:$M$4235,11,0),"")</f>
        <v>Instalado - Operando</v>
      </c>
      <c r="L213" s="120">
        <f>IFERROR(VLOOKUP(B213,BD_CONTROL!$A$5:$M$4235,12,0),"")</f>
        <v>46148</v>
      </c>
      <c r="M213" s="121">
        <f>IFERROR(VLOOKUP(B213,BD_CONTROL!$A$5:$M$4235,13,0),"")</f>
        <v>0</v>
      </c>
    </row>
    <row r="214" spans="1:13" ht="15" customHeight="1">
      <c r="A214" s="39">
        <v>209</v>
      </c>
      <c r="B214" s="39" t="s">
        <v>9349</v>
      </c>
      <c r="C214" s="40" t="s">
        <v>6735</v>
      </c>
      <c r="D214" s="39" t="s">
        <v>7142</v>
      </c>
      <c r="E214" s="40" t="s">
        <v>9056</v>
      </c>
      <c r="F214" s="40" t="s">
        <v>9151</v>
      </c>
      <c r="G214" s="39" t="s">
        <v>6739</v>
      </c>
      <c r="H214" s="40" t="s">
        <v>2927</v>
      </c>
      <c r="I214" s="40" t="s">
        <v>6741</v>
      </c>
      <c r="J214" s="50"/>
      <c r="K214" s="116" t="str">
        <f>IFERROR(VLOOKUP(B214,BD_CONTROL!$A$5:$M$4235,11,0),"")</f>
        <v>Instalado - Operando</v>
      </c>
      <c r="L214" s="117">
        <f>IFERROR(VLOOKUP(B214,BD_CONTROL!$A$5:$M$4235,12,0),"")</f>
        <v>46147</v>
      </c>
      <c r="M214" s="118">
        <f>IFERROR(VLOOKUP(B214,BD_CONTROL!$A$5:$M$4235,13,0),"")</f>
        <v>0</v>
      </c>
    </row>
    <row r="215" spans="1:13" ht="15" customHeight="1">
      <c r="A215" s="42">
        <v>210</v>
      </c>
      <c r="B215" s="42" t="s">
        <v>9350</v>
      </c>
      <c r="C215" s="43" t="s">
        <v>6735</v>
      </c>
      <c r="D215" s="42" t="s">
        <v>7142</v>
      </c>
      <c r="E215" s="43" t="s">
        <v>9056</v>
      </c>
      <c r="F215" s="43" t="s">
        <v>9151</v>
      </c>
      <c r="G215" s="42" t="s">
        <v>6739</v>
      </c>
      <c r="H215" s="43" t="s">
        <v>2927</v>
      </c>
      <c r="I215" s="43" t="s">
        <v>6741</v>
      </c>
      <c r="J215" s="55"/>
      <c r="K215" s="119" t="str">
        <f>IFERROR(VLOOKUP(B215,BD_CONTROL!$A$5:$M$4235,11,0),"")</f>
        <v>Instalado - Operando</v>
      </c>
      <c r="L215" s="120">
        <f>IFERROR(VLOOKUP(B215,BD_CONTROL!$A$5:$M$4235,12,0),"")</f>
        <v>46147</v>
      </c>
      <c r="M215" s="121">
        <f>IFERROR(VLOOKUP(B215,BD_CONTROL!$A$5:$M$4235,13,0),"")</f>
        <v>0</v>
      </c>
    </row>
    <row r="216" spans="1:13" ht="15" customHeight="1">
      <c r="A216" s="39">
        <v>211</v>
      </c>
      <c r="B216" s="39" t="s">
        <v>9351</v>
      </c>
      <c r="C216" s="40" t="s">
        <v>6735</v>
      </c>
      <c r="D216" s="39" t="s">
        <v>7142</v>
      </c>
      <c r="E216" s="40" t="s">
        <v>9053</v>
      </c>
      <c r="F216" s="40" t="s">
        <v>9053</v>
      </c>
      <c r="G216" s="39" t="s">
        <v>6739</v>
      </c>
      <c r="H216" s="40" t="s">
        <v>2927</v>
      </c>
      <c r="I216" s="40" t="s">
        <v>6741</v>
      </c>
      <c r="J216" s="50"/>
      <c r="K216" s="116" t="str">
        <f>IFERROR(VLOOKUP(B216,BD_CONTROL!$A$5:$M$4235,11,0),"")</f>
        <v>Instalado - Operando</v>
      </c>
      <c r="L216" s="117">
        <f>IFERROR(VLOOKUP(B216,BD_CONTROL!$A$5:$M$4235,12,0),"")</f>
        <v>46147</v>
      </c>
      <c r="M216" s="118">
        <f>IFERROR(VLOOKUP(B216,BD_CONTROL!$A$5:$M$4235,13,0),"")</f>
        <v>0</v>
      </c>
    </row>
    <row r="217" spans="1:13" ht="15" customHeight="1">
      <c r="A217" s="42">
        <v>212</v>
      </c>
      <c r="B217" s="42" t="s">
        <v>9352</v>
      </c>
      <c r="C217" s="43" t="s">
        <v>6735</v>
      </c>
      <c r="D217" s="42" t="s">
        <v>7142</v>
      </c>
      <c r="E217" s="43" t="s">
        <v>9053</v>
      </c>
      <c r="F217" s="43" t="s">
        <v>9053</v>
      </c>
      <c r="G217" s="42" t="s">
        <v>6739</v>
      </c>
      <c r="H217" s="43" t="s">
        <v>2927</v>
      </c>
      <c r="I217" s="43" t="s">
        <v>6741</v>
      </c>
      <c r="J217" s="55"/>
      <c r="K217" s="119" t="str">
        <f>IFERROR(VLOOKUP(B217,BD_CONTROL!$A$5:$M$4235,11,0),"")</f>
        <v>Instalado - Operando</v>
      </c>
      <c r="L217" s="120">
        <f>IFERROR(VLOOKUP(B217,BD_CONTROL!$A$5:$M$4235,12,0),"")</f>
        <v>46151</v>
      </c>
      <c r="M217" s="121">
        <f>IFERROR(VLOOKUP(B217,BD_CONTROL!$A$5:$M$4235,13,0),"")</f>
        <v>0</v>
      </c>
    </row>
    <row r="218" spans="1:13" ht="15" customHeight="1">
      <c r="A218" s="39">
        <v>213</v>
      </c>
      <c r="B218" s="39" t="s">
        <v>9353</v>
      </c>
      <c r="C218" s="40" t="s">
        <v>6735</v>
      </c>
      <c r="D218" s="39" t="s">
        <v>7142</v>
      </c>
      <c r="E218" s="40" t="s">
        <v>9344</v>
      </c>
      <c r="F218" s="40" t="s">
        <v>9344</v>
      </c>
      <c r="G218" s="39" t="s">
        <v>6739</v>
      </c>
      <c r="H218" s="40" t="s">
        <v>2927</v>
      </c>
      <c r="I218" s="40" t="s">
        <v>6741</v>
      </c>
      <c r="J218" s="50"/>
      <c r="K218" s="116" t="str">
        <f>IFERROR(VLOOKUP(B218,BD_CONTROL!$A$5:$M$4235,11,0),"")</f>
        <v>Instalado - Operando</v>
      </c>
      <c r="L218" s="117">
        <f>IFERROR(VLOOKUP(B218,BD_CONTROL!$A$5:$M$4235,12,0),"")</f>
        <v>46147</v>
      </c>
      <c r="M218" s="118">
        <f>IFERROR(VLOOKUP(B218,BD_CONTROL!$A$5:$M$4235,13,0),"")</f>
        <v>0</v>
      </c>
    </row>
    <row r="219" spans="1:13" ht="15" customHeight="1">
      <c r="A219" s="42">
        <v>214</v>
      </c>
      <c r="B219" s="42" t="s">
        <v>9354</v>
      </c>
      <c r="C219" s="43" t="s">
        <v>6735</v>
      </c>
      <c r="D219" s="42" t="s">
        <v>7142</v>
      </c>
      <c r="E219" s="43" t="s">
        <v>9053</v>
      </c>
      <c r="F219" s="43" t="s">
        <v>9053</v>
      </c>
      <c r="G219" s="42" t="s">
        <v>6739</v>
      </c>
      <c r="H219" s="43" t="s">
        <v>2927</v>
      </c>
      <c r="I219" s="43" t="s">
        <v>6741</v>
      </c>
      <c r="J219" s="55"/>
      <c r="K219" s="119" t="str">
        <f>IFERROR(VLOOKUP(B219,BD_CONTROL!$A$5:$M$4235,11,0),"")</f>
        <v>Instalado - Operando</v>
      </c>
      <c r="L219" s="120">
        <f>IFERROR(VLOOKUP(B219,BD_CONTROL!$A$5:$M$4235,12,0),"")</f>
        <v>46149</v>
      </c>
      <c r="M219" s="121">
        <f>IFERROR(VLOOKUP(B219,BD_CONTROL!$A$5:$M$4235,13,0),"")</f>
        <v>0</v>
      </c>
    </row>
    <row r="220" spans="1:13" ht="15" customHeight="1">
      <c r="A220" s="39">
        <v>215</v>
      </c>
      <c r="B220" s="39" t="s">
        <v>9355</v>
      </c>
      <c r="C220" s="40" t="s">
        <v>6735</v>
      </c>
      <c r="D220" s="39" t="s">
        <v>7142</v>
      </c>
      <c r="E220" s="40" t="s">
        <v>9053</v>
      </c>
      <c r="F220" s="40" t="s">
        <v>9053</v>
      </c>
      <c r="G220" s="39" t="s">
        <v>6739</v>
      </c>
      <c r="H220" s="40" t="s">
        <v>2927</v>
      </c>
      <c r="I220" s="40" t="s">
        <v>6741</v>
      </c>
      <c r="J220" s="50"/>
      <c r="K220" s="116" t="str">
        <f>IFERROR(VLOOKUP(B220,BD_CONTROL!$A$5:$M$4235,11,0),"")</f>
        <v>Instalado - Operando</v>
      </c>
      <c r="L220" s="117">
        <f>IFERROR(VLOOKUP(B220,BD_CONTROL!$A$5:$M$4235,12,0),"")</f>
        <v>46149</v>
      </c>
      <c r="M220" s="118">
        <f>IFERROR(VLOOKUP(B220,BD_CONTROL!$A$5:$M$4235,13,0),"")</f>
        <v>0</v>
      </c>
    </row>
    <row r="221" spans="1:13" ht="15" customHeight="1">
      <c r="A221" s="42">
        <v>216</v>
      </c>
      <c r="B221" s="42" t="s">
        <v>9356</v>
      </c>
      <c r="C221" s="43" t="s">
        <v>6735</v>
      </c>
      <c r="D221" s="42" t="s">
        <v>7142</v>
      </c>
      <c r="E221" s="43" t="s">
        <v>9053</v>
      </c>
      <c r="F221" s="43" t="s">
        <v>9053</v>
      </c>
      <c r="G221" s="42" t="s">
        <v>6739</v>
      </c>
      <c r="H221" s="43" t="s">
        <v>2927</v>
      </c>
      <c r="I221" s="43" t="s">
        <v>6741</v>
      </c>
      <c r="J221" s="55"/>
      <c r="K221" s="119" t="str">
        <f>IFERROR(VLOOKUP(B221,BD_CONTROL!$A$5:$M$4235,11,0),"")</f>
        <v>Instalado - Operando</v>
      </c>
      <c r="L221" s="120">
        <f>IFERROR(VLOOKUP(B221,BD_CONTROL!$A$5:$M$4235,12,0),"")</f>
        <v>46150</v>
      </c>
      <c r="M221" s="121">
        <f>IFERROR(VLOOKUP(B221,BD_CONTROL!$A$5:$M$4235,13,0),"")</f>
        <v>0</v>
      </c>
    </row>
    <row r="222" spans="1:13" ht="15" customHeight="1">
      <c r="A222" s="39">
        <v>217</v>
      </c>
      <c r="B222" s="39" t="s">
        <v>9357</v>
      </c>
      <c r="C222" s="40" t="s">
        <v>6735</v>
      </c>
      <c r="D222" s="39" t="s">
        <v>7142</v>
      </c>
      <c r="E222" s="40" t="s">
        <v>9053</v>
      </c>
      <c r="F222" s="40" t="s">
        <v>9053</v>
      </c>
      <c r="G222" s="39" t="s">
        <v>6739</v>
      </c>
      <c r="H222" s="40" t="s">
        <v>2927</v>
      </c>
      <c r="I222" s="40" t="s">
        <v>6741</v>
      </c>
      <c r="J222" s="50"/>
      <c r="K222" s="116" t="str">
        <f>IFERROR(VLOOKUP(B222,BD_CONTROL!$A$5:$M$4235,11,0),"")</f>
        <v>Instalado - Operando</v>
      </c>
      <c r="L222" s="117">
        <f>IFERROR(VLOOKUP(B222,BD_CONTROL!$A$5:$M$4235,12,0),"")</f>
        <v>46150</v>
      </c>
      <c r="M222" s="118">
        <f>IFERROR(VLOOKUP(B222,BD_CONTROL!$A$5:$M$4235,13,0),"")</f>
        <v>0</v>
      </c>
    </row>
    <row r="223" spans="1:13" ht="15" customHeight="1">
      <c r="A223" s="42">
        <v>218</v>
      </c>
      <c r="B223" s="42" t="s">
        <v>9358</v>
      </c>
      <c r="C223" s="43" t="s">
        <v>6735</v>
      </c>
      <c r="D223" s="42" t="s">
        <v>7142</v>
      </c>
      <c r="E223" s="43" t="s">
        <v>9053</v>
      </c>
      <c r="F223" s="43" t="s">
        <v>9053</v>
      </c>
      <c r="G223" s="42" t="s">
        <v>6739</v>
      </c>
      <c r="H223" s="43" t="s">
        <v>2927</v>
      </c>
      <c r="I223" s="43" t="s">
        <v>6741</v>
      </c>
      <c r="J223" s="55"/>
      <c r="K223" s="119" t="str">
        <f>IFERROR(VLOOKUP(B223,BD_CONTROL!$A$5:$M$4235,11,0),"")</f>
        <v>Instalado - Operando</v>
      </c>
      <c r="L223" s="120">
        <f>IFERROR(VLOOKUP(B223,BD_CONTROL!$A$5:$M$4235,12,0),"")</f>
        <v>46149</v>
      </c>
      <c r="M223" s="121">
        <f>IFERROR(VLOOKUP(B223,BD_CONTROL!$A$5:$M$4235,13,0),"")</f>
        <v>0</v>
      </c>
    </row>
    <row r="224" spans="1:13" ht="15" customHeight="1">
      <c r="A224" s="39">
        <v>219</v>
      </c>
      <c r="B224" s="39" t="s">
        <v>9359</v>
      </c>
      <c r="C224" s="40" t="s">
        <v>6735</v>
      </c>
      <c r="D224" s="39" t="s">
        <v>7142</v>
      </c>
      <c r="E224" s="40" t="s">
        <v>9053</v>
      </c>
      <c r="F224" s="40" t="s">
        <v>9053</v>
      </c>
      <c r="G224" s="39" t="s">
        <v>6739</v>
      </c>
      <c r="H224" s="40" t="s">
        <v>2927</v>
      </c>
      <c r="I224" s="40" t="s">
        <v>6741</v>
      </c>
      <c r="J224" s="50"/>
      <c r="K224" s="116" t="str">
        <f>IFERROR(VLOOKUP(B224,BD_CONTROL!$A$5:$M$4235,11,0),"")</f>
        <v>Instalado - Operando</v>
      </c>
      <c r="L224" s="117">
        <f>IFERROR(VLOOKUP(B224,BD_CONTROL!$A$5:$M$4235,12,0),"")</f>
        <v>46149</v>
      </c>
      <c r="M224" s="118">
        <f>IFERROR(VLOOKUP(B224,BD_CONTROL!$A$5:$M$4235,13,0),"")</f>
        <v>0</v>
      </c>
    </row>
    <row r="225" spans="1:13" ht="15" customHeight="1">
      <c r="A225" s="42">
        <v>220</v>
      </c>
      <c r="B225" s="42" t="s">
        <v>9360</v>
      </c>
      <c r="C225" s="43" t="s">
        <v>6735</v>
      </c>
      <c r="D225" s="42" t="s">
        <v>7142</v>
      </c>
      <c r="E225" s="43" t="s">
        <v>9053</v>
      </c>
      <c r="F225" s="43" t="s">
        <v>9053</v>
      </c>
      <c r="G225" s="42" t="s">
        <v>6739</v>
      </c>
      <c r="H225" s="43" t="s">
        <v>2927</v>
      </c>
      <c r="I225" s="43" t="s">
        <v>6741</v>
      </c>
      <c r="J225" s="55"/>
      <c r="K225" s="119" t="str">
        <f>IFERROR(VLOOKUP(B225,BD_CONTROL!$A$5:$M$4235,11,0),"")</f>
        <v>Instalado - Sin Señal</v>
      </c>
      <c r="L225" s="120">
        <f>IFERROR(VLOOKUP(B225,BD_CONTROL!$A$5:$M$4235,12,0),"")</f>
        <v>46148</v>
      </c>
      <c r="M225" s="121">
        <f>IFERROR(VLOOKUP(B225,BD_CONTROL!$A$5:$M$4235,13,0),"")</f>
        <v>0</v>
      </c>
    </row>
    <row r="226" spans="1:13" ht="15" customHeight="1">
      <c r="A226" s="39">
        <v>221</v>
      </c>
      <c r="B226" s="39" t="s">
        <v>9361</v>
      </c>
      <c r="C226" s="40" t="s">
        <v>6735</v>
      </c>
      <c r="D226" s="39" t="s">
        <v>7142</v>
      </c>
      <c r="E226" s="40" t="s">
        <v>9056</v>
      </c>
      <c r="F226" s="40" t="s">
        <v>9151</v>
      </c>
      <c r="G226" s="39" t="s">
        <v>6739</v>
      </c>
      <c r="H226" s="40" t="s">
        <v>2927</v>
      </c>
      <c r="I226" s="40" t="s">
        <v>6741</v>
      </c>
      <c r="J226" s="50"/>
      <c r="K226" s="116" t="str">
        <f>IFERROR(VLOOKUP(B226,BD_CONTROL!$A$5:$M$4235,11,0),"")</f>
        <v>Instalado - Operando</v>
      </c>
      <c r="L226" s="117">
        <f>IFERROR(VLOOKUP(B226,BD_CONTROL!$A$5:$M$4235,12,0),"")</f>
        <v>46146</v>
      </c>
      <c r="M226" s="118">
        <f>IFERROR(VLOOKUP(B226,BD_CONTROL!$A$5:$M$4235,13,0),"")</f>
        <v>0</v>
      </c>
    </row>
    <row r="227" spans="1:13" ht="15" customHeight="1">
      <c r="A227" s="42">
        <v>222</v>
      </c>
      <c r="B227" s="42" t="s">
        <v>9362</v>
      </c>
      <c r="C227" s="43" t="s">
        <v>6735</v>
      </c>
      <c r="D227" s="42" t="s">
        <v>7142</v>
      </c>
      <c r="E227" s="43" t="s">
        <v>9056</v>
      </c>
      <c r="F227" s="43" t="s">
        <v>9056</v>
      </c>
      <c r="G227" s="42" t="s">
        <v>6739</v>
      </c>
      <c r="H227" s="43" t="s">
        <v>2927</v>
      </c>
      <c r="I227" s="43" t="s">
        <v>6741</v>
      </c>
      <c r="J227" s="55"/>
      <c r="K227" s="119" t="str">
        <f>IFERROR(VLOOKUP(B227,BD_CONTROL!$A$5:$M$4235,11,0),"")</f>
        <v>Instalado - Operando</v>
      </c>
      <c r="L227" s="120">
        <f>IFERROR(VLOOKUP(B227,BD_CONTROL!$A$5:$M$4235,12,0),"")</f>
        <v>46149</v>
      </c>
      <c r="M227" s="121">
        <f>IFERROR(VLOOKUP(B227,BD_CONTROL!$A$5:$M$4235,13,0),"")</f>
        <v>0</v>
      </c>
    </row>
    <row r="228" spans="1:13" ht="15" customHeight="1">
      <c r="A228" s="39">
        <v>223</v>
      </c>
      <c r="B228" s="39" t="s">
        <v>9363</v>
      </c>
      <c r="C228" s="40" t="s">
        <v>6735</v>
      </c>
      <c r="D228" s="39" t="s">
        <v>7142</v>
      </c>
      <c r="E228" s="40" t="s">
        <v>9053</v>
      </c>
      <c r="F228" s="40" t="s">
        <v>9053</v>
      </c>
      <c r="G228" s="39" t="s">
        <v>6739</v>
      </c>
      <c r="H228" s="40" t="s">
        <v>2927</v>
      </c>
      <c r="I228" s="40" t="s">
        <v>6741</v>
      </c>
      <c r="J228" s="50"/>
      <c r="K228" s="116" t="str">
        <f>IFERROR(VLOOKUP(B228,BD_CONTROL!$A$5:$M$4235,11,0),"")</f>
        <v>Instalado - Operando</v>
      </c>
      <c r="L228" s="117">
        <f>IFERROR(VLOOKUP(B228,BD_CONTROL!$A$5:$M$4235,12,0),"")</f>
        <v>46147</v>
      </c>
      <c r="M228" s="118">
        <f>IFERROR(VLOOKUP(B228,BD_CONTROL!$A$5:$M$4235,13,0),"")</f>
        <v>0</v>
      </c>
    </row>
    <row r="229" spans="1:13" ht="15" customHeight="1">
      <c r="A229" s="42">
        <v>224</v>
      </c>
      <c r="B229" s="42" t="s">
        <v>9364</v>
      </c>
      <c r="C229" s="43" t="s">
        <v>6735</v>
      </c>
      <c r="D229" s="42" t="s">
        <v>7142</v>
      </c>
      <c r="E229" s="43" t="s">
        <v>9344</v>
      </c>
      <c r="F229" s="43" t="s">
        <v>9344</v>
      </c>
      <c r="G229" s="42" t="s">
        <v>6739</v>
      </c>
      <c r="H229" s="43" t="s">
        <v>2927</v>
      </c>
      <c r="I229" s="43" t="s">
        <v>6741</v>
      </c>
      <c r="J229" s="55"/>
      <c r="K229" s="119" t="str">
        <f>IFERROR(VLOOKUP(B229,BD_CONTROL!$A$5:$M$4235,11,0),"")</f>
        <v>Instalado - Operando</v>
      </c>
      <c r="L229" s="120">
        <f>IFERROR(VLOOKUP(B229,BD_CONTROL!$A$5:$M$4235,12,0),"")</f>
        <v>46146</v>
      </c>
      <c r="M229" s="121">
        <f>IFERROR(VLOOKUP(B229,BD_CONTROL!$A$5:$M$4235,13,0),"")</f>
        <v>0</v>
      </c>
    </row>
    <row r="230" spans="1:13" ht="15" customHeight="1">
      <c r="A230" s="39">
        <v>225</v>
      </c>
      <c r="B230" s="39" t="s">
        <v>9365</v>
      </c>
      <c r="C230" s="40" t="s">
        <v>6735</v>
      </c>
      <c r="D230" s="39" t="s">
        <v>7142</v>
      </c>
      <c r="E230" s="40" t="s">
        <v>9056</v>
      </c>
      <c r="F230" s="40" t="s">
        <v>9366</v>
      </c>
      <c r="G230" s="39" t="s">
        <v>6739</v>
      </c>
      <c r="H230" s="40" t="s">
        <v>2927</v>
      </c>
      <c r="I230" s="40" t="s">
        <v>6741</v>
      </c>
      <c r="J230" s="50"/>
      <c r="K230" s="116" t="str">
        <f>IFERROR(VLOOKUP(B230,BD_CONTROL!$A$5:$M$4235,11,0),"")</f>
        <v>Instalado - Operando</v>
      </c>
      <c r="L230" s="117">
        <f>IFERROR(VLOOKUP(B230,BD_CONTROL!$A$5:$M$4235,12,0),"")</f>
        <v>46147</v>
      </c>
      <c r="M230" s="118">
        <f>IFERROR(VLOOKUP(B230,BD_CONTROL!$A$5:$M$4235,13,0),"")</f>
        <v>0</v>
      </c>
    </row>
    <row r="231" spans="1:13" ht="15" customHeight="1">
      <c r="A231" s="42">
        <v>226</v>
      </c>
      <c r="B231" s="42" t="s">
        <v>9367</v>
      </c>
      <c r="C231" s="43" t="s">
        <v>6735</v>
      </c>
      <c r="D231" s="42" t="s">
        <v>7142</v>
      </c>
      <c r="E231" s="43" t="s">
        <v>9053</v>
      </c>
      <c r="F231" s="43" t="s">
        <v>9053</v>
      </c>
      <c r="G231" s="42" t="s">
        <v>6739</v>
      </c>
      <c r="H231" s="43" t="s">
        <v>2927</v>
      </c>
      <c r="I231" s="43" t="s">
        <v>6741</v>
      </c>
      <c r="J231" s="55"/>
      <c r="K231" s="119" t="str">
        <f>IFERROR(VLOOKUP(B231,BD_CONTROL!$A$5:$M$4235,11,0),"")</f>
        <v>Instalado - Operando</v>
      </c>
      <c r="L231" s="120">
        <f>IFERROR(VLOOKUP(B231,BD_CONTROL!$A$5:$M$4235,12,0),"")</f>
        <v>46148</v>
      </c>
      <c r="M231" s="121">
        <f>IFERROR(VLOOKUP(B231,BD_CONTROL!$A$5:$M$4235,13,0),"")</f>
        <v>0</v>
      </c>
    </row>
    <row r="232" spans="1:13" ht="15" customHeight="1">
      <c r="A232" s="39">
        <v>227</v>
      </c>
      <c r="B232" s="39" t="s">
        <v>9368</v>
      </c>
      <c r="C232" s="40" t="s">
        <v>9369</v>
      </c>
      <c r="D232" s="39" t="s">
        <v>5640</v>
      </c>
      <c r="E232" s="40" t="s">
        <v>9017</v>
      </c>
      <c r="F232" s="40" t="s">
        <v>9370</v>
      </c>
      <c r="G232" s="39" t="s">
        <v>109</v>
      </c>
      <c r="H232" s="40" t="s">
        <v>8982</v>
      </c>
      <c r="I232" s="40" t="s">
        <v>104</v>
      </c>
      <c r="J232" s="50"/>
      <c r="K232" s="116" t="str">
        <f>IFERROR(VLOOKUP(B232,BD_CONTROL!$A$5:$M$4235,11,0),"")</f>
        <v>Instalado - Sin Señal</v>
      </c>
      <c r="L232" s="117">
        <f>IFERROR(VLOOKUP(B232,BD_CONTROL!$A$5:$M$4235,12,0),"")</f>
        <v>46150</v>
      </c>
      <c r="M232" s="118">
        <f>IFERROR(VLOOKUP(B232,BD_CONTROL!$A$5:$M$4235,13,0),"")</f>
        <v>0</v>
      </c>
    </row>
    <row r="233" spans="1:13" ht="15" customHeight="1">
      <c r="A233" s="42">
        <v>228</v>
      </c>
      <c r="B233" s="42" t="s">
        <v>9371</v>
      </c>
      <c r="C233" s="43" t="s">
        <v>9372</v>
      </c>
      <c r="D233" s="42" t="s">
        <v>5640</v>
      </c>
      <c r="E233" s="43" t="s">
        <v>9103</v>
      </c>
      <c r="F233" s="43" t="s">
        <v>9373</v>
      </c>
      <c r="G233" s="42" t="s">
        <v>109</v>
      </c>
      <c r="H233" s="43" t="s">
        <v>8982</v>
      </c>
      <c r="I233" s="43" t="s">
        <v>104</v>
      </c>
      <c r="J233" s="55"/>
      <c r="K233" s="119" t="str">
        <f>IFERROR(VLOOKUP(B233,BD_CONTROL!$A$5:$M$4235,11,0),"")</f>
        <v>Instalado - Operando</v>
      </c>
      <c r="L233" s="120">
        <f>IFERROR(VLOOKUP(B233,BD_CONTROL!$A$5:$M$4235,12,0),"")</f>
        <v>46153</v>
      </c>
      <c r="M233" s="121">
        <f>IFERROR(VLOOKUP(B233,BD_CONTROL!$A$5:$M$4235,13,0),"")</f>
        <v>0</v>
      </c>
    </row>
    <row r="234" spans="1:13" ht="15" customHeight="1">
      <c r="A234" s="39">
        <v>229</v>
      </c>
      <c r="B234" s="39" t="s">
        <v>9374</v>
      </c>
      <c r="C234" s="40" t="s">
        <v>9375</v>
      </c>
      <c r="D234" s="39" t="s">
        <v>5640</v>
      </c>
      <c r="E234" s="40" t="s">
        <v>9135</v>
      </c>
      <c r="F234" s="40" t="s">
        <v>9376</v>
      </c>
      <c r="G234" s="39" t="s">
        <v>109</v>
      </c>
      <c r="H234" s="40" t="s">
        <v>8982</v>
      </c>
      <c r="I234" s="40" t="s">
        <v>104</v>
      </c>
      <c r="J234" s="50"/>
      <c r="K234" s="116" t="str">
        <f>IFERROR(VLOOKUP(B234,BD_CONTROL!$A$5:$M$4235,11,0),"")</f>
        <v>Instalado - Operando</v>
      </c>
      <c r="L234" s="117">
        <f>IFERROR(VLOOKUP(B234,BD_CONTROL!$A$5:$M$4235,12,0),"")</f>
        <v>46153</v>
      </c>
      <c r="M234" s="118">
        <f>IFERROR(VLOOKUP(B234,BD_CONTROL!$A$5:$M$4235,13,0),"")</f>
        <v>0</v>
      </c>
    </row>
    <row r="235" spans="1:13" ht="15" customHeight="1">
      <c r="A235" s="42">
        <v>230</v>
      </c>
      <c r="B235" s="42" t="s">
        <v>9377</v>
      </c>
      <c r="C235" s="43" t="s">
        <v>6561</v>
      </c>
      <c r="D235" s="42" t="s">
        <v>6458</v>
      </c>
      <c r="E235" s="43" t="s">
        <v>9013</v>
      </c>
      <c r="F235" s="43" t="s">
        <v>9378</v>
      </c>
      <c r="G235" s="42" t="s">
        <v>109</v>
      </c>
      <c r="H235" s="43" t="s">
        <v>2927</v>
      </c>
      <c r="I235" s="43" t="s">
        <v>104</v>
      </c>
      <c r="J235" s="55"/>
      <c r="K235" s="119">
        <f>IFERROR(VLOOKUP(B235,BD_CONTROL!$A$5:$M$4235,11,0),"")</f>
        <v>0</v>
      </c>
      <c r="L235" s="120">
        <f>IFERROR(VLOOKUP(B235,BD_CONTROL!$A$5:$M$4235,12,0),"")</f>
        <v>0</v>
      </c>
      <c r="M235" s="121">
        <f>IFERROR(VLOOKUP(B235,BD_CONTROL!$A$5:$M$4235,13,0),"")</f>
        <v>0</v>
      </c>
    </row>
    <row r="236" spans="1:13" ht="15" customHeight="1">
      <c r="A236" s="39">
        <v>231</v>
      </c>
      <c r="B236" s="39" t="s">
        <v>9379</v>
      </c>
      <c r="C236" s="40" t="s">
        <v>2682</v>
      </c>
      <c r="D236" s="39" t="s">
        <v>5640</v>
      </c>
      <c r="E236" s="40" t="s">
        <v>8980</v>
      </c>
      <c r="F236" s="40" t="s">
        <v>9380</v>
      </c>
      <c r="G236" s="39" t="s">
        <v>109</v>
      </c>
      <c r="H236" s="40" t="s">
        <v>8982</v>
      </c>
      <c r="I236" s="40" t="s">
        <v>104</v>
      </c>
      <c r="J236" s="50"/>
      <c r="K236" s="116">
        <f>IFERROR(VLOOKUP(B236,BD_CONTROL!$A$5:$M$4235,11,0),"")</f>
        <v>0</v>
      </c>
      <c r="L236" s="117">
        <f>IFERROR(VLOOKUP(B236,BD_CONTROL!$A$5:$M$4235,12,0),"")</f>
        <v>0</v>
      </c>
      <c r="M236" s="118">
        <f>IFERROR(VLOOKUP(B236,BD_CONTROL!$A$5:$M$4235,13,0),"")</f>
        <v>0</v>
      </c>
    </row>
    <row r="237" spans="1:13" ht="15" customHeight="1">
      <c r="A237" s="42">
        <v>232</v>
      </c>
      <c r="B237" s="42" t="s">
        <v>9381</v>
      </c>
      <c r="C237" s="43" t="s">
        <v>2682</v>
      </c>
      <c r="D237" s="42" t="s">
        <v>5640</v>
      </c>
      <c r="E237" s="43" t="s">
        <v>9229</v>
      </c>
      <c r="F237" s="43" t="s">
        <v>9382</v>
      </c>
      <c r="G237" s="42" t="s">
        <v>109</v>
      </c>
      <c r="H237" s="43" t="s">
        <v>8982</v>
      </c>
      <c r="I237" s="43" t="s">
        <v>104</v>
      </c>
      <c r="J237" s="55"/>
      <c r="K237" s="119">
        <f>IFERROR(VLOOKUP(B237,BD_CONTROL!$A$5:$M$4235,11,0),"")</f>
        <v>0</v>
      </c>
      <c r="L237" s="120">
        <f>IFERROR(VLOOKUP(B237,BD_CONTROL!$A$5:$M$4235,12,0),"")</f>
        <v>0</v>
      </c>
      <c r="M237" s="121">
        <f>IFERROR(VLOOKUP(B237,BD_CONTROL!$A$5:$M$4235,13,0),"")</f>
        <v>0</v>
      </c>
    </row>
    <row r="238" spans="1:13" ht="15" customHeight="1">
      <c r="A238" s="39">
        <v>233</v>
      </c>
      <c r="B238" s="39" t="s">
        <v>9383</v>
      </c>
      <c r="C238" s="40" t="s">
        <v>2682</v>
      </c>
      <c r="D238" s="39" t="s">
        <v>6458</v>
      </c>
      <c r="E238" s="40" t="s">
        <v>9047</v>
      </c>
      <c r="F238" s="40" t="s">
        <v>9384</v>
      </c>
      <c r="G238" s="39" t="s">
        <v>109</v>
      </c>
      <c r="H238" s="40" t="s">
        <v>2927</v>
      </c>
      <c r="I238" s="40" t="s">
        <v>104</v>
      </c>
      <c r="J238" s="50"/>
      <c r="K238" s="116">
        <f>IFERROR(VLOOKUP(B238,BD_CONTROL!$A$5:$M$4235,11,0),"")</f>
        <v>0</v>
      </c>
      <c r="L238" s="117">
        <f>IFERROR(VLOOKUP(B238,BD_CONTROL!$A$5:$M$4235,12,0),"")</f>
        <v>0</v>
      </c>
      <c r="M238" s="118">
        <f>IFERROR(VLOOKUP(B238,BD_CONTROL!$A$5:$M$4235,13,0),"")</f>
        <v>0</v>
      </c>
    </row>
    <row r="239" spans="1:13" ht="15" customHeight="1">
      <c r="A239" s="42">
        <v>234</v>
      </c>
      <c r="B239" s="42" t="s">
        <v>9385</v>
      </c>
      <c r="C239" s="43" t="s">
        <v>9386</v>
      </c>
      <c r="D239" s="42" t="s">
        <v>5640</v>
      </c>
      <c r="E239" s="43" t="s">
        <v>9020</v>
      </c>
      <c r="F239" s="43" t="s">
        <v>3927</v>
      </c>
      <c r="G239" s="42" t="s">
        <v>109</v>
      </c>
      <c r="H239" s="43" t="s">
        <v>8982</v>
      </c>
      <c r="I239" s="43" t="s">
        <v>104</v>
      </c>
      <c r="J239" s="55"/>
      <c r="K239" s="119">
        <f>IFERROR(VLOOKUP(B239,BD_CONTROL!$A$5:$M$4235,11,0),"")</f>
        <v>0</v>
      </c>
      <c r="L239" s="120">
        <f>IFERROR(VLOOKUP(B239,BD_CONTROL!$A$5:$M$4235,12,0),"")</f>
        <v>0</v>
      </c>
      <c r="M239" s="121">
        <f>IFERROR(VLOOKUP(B239,BD_CONTROL!$A$5:$M$4235,13,0),"")</f>
        <v>0</v>
      </c>
    </row>
    <row r="240" spans="1:13" ht="15" customHeight="1">
      <c r="A240" s="39">
        <v>235</v>
      </c>
      <c r="B240" s="39" t="s">
        <v>9387</v>
      </c>
      <c r="C240" s="40" t="s">
        <v>6690</v>
      </c>
      <c r="D240" s="39" t="s">
        <v>6458</v>
      </c>
      <c r="E240" s="40" t="s">
        <v>9038</v>
      </c>
      <c r="F240" s="40" t="s">
        <v>9388</v>
      </c>
      <c r="G240" s="39" t="s">
        <v>109</v>
      </c>
      <c r="H240" s="40" t="s">
        <v>2927</v>
      </c>
      <c r="I240" s="40" t="s">
        <v>104</v>
      </c>
      <c r="J240" s="50"/>
      <c r="K240" s="116" t="str">
        <f>IFERROR(VLOOKUP(B240,BD_CONTROL!$A$5:$M$4235,11,0),"")</f>
        <v>Instalado - Operando</v>
      </c>
      <c r="L240" s="117">
        <f>IFERROR(VLOOKUP(B240,BD_CONTROL!$A$5:$M$4235,12,0),"")</f>
        <v>46149</v>
      </c>
      <c r="M240" s="118">
        <f>IFERROR(VLOOKUP(B240,BD_CONTROL!$A$5:$M$4235,13,0),"")</f>
        <v>0</v>
      </c>
    </row>
    <row r="241" spans="1:13" ht="15" customHeight="1">
      <c r="A241" s="42">
        <v>236</v>
      </c>
      <c r="B241" s="42" t="s">
        <v>9389</v>
      </c>
      <c r="C241" s="43" t="s">
        <v>9390</v>
      </c>
      <c r="D241" s="42" t="s">
        <v>5640</v>
      </c>
      <c r="E241" s="43" t="s">
        <v>9218</v>
      </c>
      <c r="F241" s="43" t="s">
        <v>9391</v>
      </c>
      <c r="G241" s="42" t="s">
        <v>109</v>
      </c>
      <c r="H241" s="43" t="s">
        <v>8982</v>
      </c>
      <c r="I241" s="43" t="s">
        <v>104</v>
      </c>
      <c r="J241" s="55"/>
      <c r="K241" s="119">
        <f>IFERROR(VLOOKUP(B241,BD_CONTROL!$A$5:$M$4235,11,0),"")</f>
        <v>0</v>
      </c>
      <c r="L241" s="120">
        <f>IFERROR(VLOOKUP(B241,BD_CONTROL!$A$5:$M$4235,12,0),"")</f>
        <v>0</v>
      </c>
      <c r="M241" s="121">
        <f>IFERROR(VLOOKUP(B241,BD_CONTROL!$A$5:$M$4235,13,0),"")</f>
        <v>0</v>
      </c>
    </row>
    <row r="242" spans="1:13" ht="15" customHeight="1">
      <c r="A242" s="39">
        <v>237</v>
      </c>
      <c r="B242" s="39" t="s">
        <v>9392</v>
      </c>
      <c r="C242" s="40" t="s">
        <v>9393</v>
      </c>
      <c r="D242" s="39" t="s">
        <v>5640</v>
      </c>
      <c r="E242" s="40" t="s">
        <v>1113</v>
      </c>
      <c r="F242" s="40" t="s">
        <v>3280</v>
      </c>
      <c r="G242" s="39" t="s">
        <v>109</v>
      </c>
      <c r="H242" s="40" t="s">
        <v>8982</v>
      </c>
      <c r="I242" s="40" t="s">
        <v>104</v>
      </c>
      <c r="J242" s="50"/>
      <c r="K242" s="116" t="str">
        <f>IFERROR(VLOOKUP(B242,BD_CONTROL!$A$5:$M$4235,11,0),"")</f>
        <v>Instalado - Operando</v>
      </c>
      <c r="L242" s="117">
        <f>IFERROR(VLOOKUP(B242,BD_CONTROL!$A$5:$M$4235,12,0),"")</f>
        <v>46149</v>
      </c>
      <c r="M242" s="118">
        <f>IFERROR(VLOOKUP(B242,BD_CONTROL!$A$5:$M$4235,13,0),"")</f>
        <v>0</v>
      </c>
    </row>
    <row r="243" spans="1:13" ht="15" customHeight="1">
      <c r="A243" s="42">
        <v>238</v>
      </c>
      <c r="B243" s="42" t="s">
        <v>9394</v>
      </c>
      <c r="C243" s="43" t="s">
        <v>9395</v>
      </c>
      <c r="D243" s="42" t="s">
        <v>5640</v>
      </c>
      <c r="E243" s="43" t="s">
        <v>9020</v>
      </c>
      <c r="F243" s="43" t="s">
        <v>9020</v>
      </c>
      <c r="G243" s="42" t="s">
        <v>102</v>
      </c>
      <c r="H243" s="43" t="s">
        <v>8982</v>
      </c>
      <c r="I243" s="43" t="s">
        <v>104</v>
      </c>
      <c r="J243" s="55"/>
      <c r="K243" s="119">
        <f>IFERROR(VLOOKUP(B243,BD_CONTROL!$A$5:$M$4235,11,0),"")</f>
        <v>0</v>
      </c>
      <c r="L243" s="120">
        <f>IFERROR(VLOOKUP(B243,BD_CONTROL!$A$5:$M$4235,12,0),"")</f>
        <v>0</v>
      </c>
      <c r="M243" s="121">
        <f>IFERROR(VLOOKUP(B243,BD_CONTROL!$A$5:$M$4235,13,0),"")</f>
        <v>0</v>
      </c>
    </row>
    <row r="244" spans="1:13" ht="15" customHeight="1">
      <c r="A244" s="39">
        <v>239</v>
      </c>
      <c r="B244" s="39" t="s">
        <v>9396</v>
      </c>
      <c r="C244" s="40" t="s">
        <v>2790</v>
      </c>
      <c r="D244" s="39" t="s">
        <v>5640</v>
      </c>
      <c r="E244" s="40" t="s">
        <v>9218</v>
      </c>
      <c r="F244" s="40" t="s">
        <v>9397</v>
      </c>
      <c r="G244" s="39" t="s">
        <v>109</v>
      </c>
      <c r="H244" s="40" t="s">
        <v>8982</v>
      </c>
      <c r="I244" s="40" t="s">
        <v>104</v>
      </c>
      <c r="J244" s="50"/>
      <c r="K244" s="116">
        <f>IFERROR(VLOOKUP(B244,BD_CONTROL!$A$5:$M$4235,11,0),"")</f>
        <v>0</v>
      </c>
      <c r="L244" s="117">
        <f>IFERROR(VLOOKUP(B244,BD_CONTROL!$A$5:$M$4235,12,0),"")</f>
        <v>0</v>
      </c>
      <c r="M244" s="118">
        <f>IFERROR(VLOOKUP(B244,BD_CONTROL!$A$5:$M$4235,13,0),"")</f>
        <v>0</v>
      </c>
    </row>
    <row r="245" spans="1:13" ht="15" customHeight="1">
      <c r="A245" s="42">
        <v>240</v>
      </c>
      <c r="B245" s="42" t="s">
        <v>9398</v>
      </c>
      <c r="C245" s="43" t="s">
        <v>9399</v>
      </c>
      <c r="D245" s="42" t="s">
        <v>5640</v>
      </c>
      <c r="E245" s="43" t="s">
        <v>1113</v>
      </c>
      <c r="F245" s="43" t="s">
        <v>4244</v>
      </c>
      <c r="G245" s="42" t="s">
        <v>109</v>
      </c>
      <c r="H245" s="43" t="s">
        <v>8982</v>
      </c>
      <c r="I245" s="43" t="s">
        <v>104</v>
      </c>
      <c r="J245" s="55"/>
      <c r="K245" s="119" t="str">
        <f>IFERROR(VLOOKUP(B245,BD_CONTROL!$A$5:$M$4235,11,0),"")</f>
        <v>Instalado - Sin Señal</v>
      </c>
      <c r="L245" s="120">
        <f>IFERROR(VLOOKUP(B245,BD_CONTROL!$A$5:$M$4235,12,0),"")</f>
        <v>46146</v>
      </c>
      <c r="M245" s="121" t="str">
        <f>IFERROR(VLOOKUP(B245,BD_CONTROL!$A$5:$M$4235,13,0),"")</f>
        <v>EQUIPAMIENTO INSTALADO PERO NO OPERATIVO POR FALTA DE TIEMPO. EL PERSONAL DE LA ESCUELA SOLICITO QUE EL PERSONAL DE CFE SE RETIRARA.SE CONTINUA MAÑANA</v>
      </c>
    </row>
    <row r="246" spans="1:13" ht="15" customHeight="1">
      <c r="A246" s="39">
        <v>241</v>
      </c>
      <c r="B246" s="39" t="s">
        <v>9401</v>
      </c>
      <c r="C246" s="40" t="s">
        <v>9402</v>
      </c>
      <c r="D246" s="39" t="s">
        <v>5640</v>
      </c>
      <c r="E246" s="40" t="s">
        <v>9033</v>
      </c>
      <c r="F246" s="40" t="s">
        <v>9033</v>
      </c>
      <c r="G246" s="39" t="s">
        <v>109</v>
      </c>
      <c r="H246" s="40" t="s">
        <v>8982</v>
      </c>
      <c r="I246" s="40" t="s">
        <v>104</v>
      </c>
      <c r="J246" s="50"/>
      <c r="K246" s="116">
        <f>IFERROR(VLOOKUP(B246,BD_CONTROL!$A$5:$M$4235,11,0),"")</f>
        <v>0</v>
      </c>
      <c r="L246" s="117">
        <f>IFERROR(VLOOKUP(B246,BD_CONTROL!$A$5:$M$4235,12,0),"")</f>
        <v>0</v>
      </c>
      <c r="M246" s="118">
        <f>IFERROR(VLOOKUP(B246,BD_CONTROL!$A$5:$M$4235,13,0),"")</f>
        <v>0</v>
      </c>
    </row>
    <row r="247" spans="1:13" ht="15" customHeight="1">
      <c r="A247" s="42">
        <v>242</v>
      </c>
      <c r="B247" s="42" t="s">
        <v>9403</v>
      </c>
      <c r="C247" s="43" t="s">
        <v>9404</v>
      </c>
      <c r="D247" s="42" t="s">
        <v>5640</v>
      </c>
      <c r="E247" s="43" t="s">
        <v>9405</v>
      </c>
      <c r="F247" s="43" t="s">
        <v>9405</v>
      </c>
      <c r="G247" s="42" t="s">
        <v>109</v>
      </c>
      <c r="H247" s="43" t="s">
        <v>8982</v>
      </c>
      <c r="I247" s="43" t="s">
        <v>104</v>
      </c>
      <c r="J247" s="55"/>
      <c r="K247" s="119">
        <f>IFERROR(VLOOKUP(B247,BD_CONTROL!$A$5:$M$4235,11,0),"")</f>
        <v>0</v>
      </c>
      <c r="L247" s="120">
        <f>IFERROR(VLOOKUP(B247,BD_CONTROL!$A$5:$M$4235,12,0),"")</f>
        <v>0</v>
      </c>
      <c r="M247" s="121">
        <f>IFERROR(VLOOKUP(B247,BD_CONTROL!$A$5:$M$4235,13,0),"")</f>
        <v>0</v>
      </c>
    </row>
    <row r="248" spans="1:13" ht="15" customHeight="1">
      <c r="A248" s="39">
        <v>243</v>
      </c>
      <c r="B248" s="39" t="s">
        <v>9406</v>
      </c>
      <c r="C248" s="40" t="s">
        <v>5249</v>
      </c>
      <c r="D248" s="39" t="s">
        <v>5640</v>
      </c>
      <c r="E248" s="40" t="s">
        <v>9103</v>
      </c>
      <c r="F248" s="40" t="s">
        <v>2948</v>
      </c>
      <c r="G248" s="39" t="s">
        <v>109</v>
      </c>
      <c r="H248" s="40" t="s">
        <v>8982</v>
      </c>
      <c r="I248" s="40" t="s">
        <v>104</v>
      </c>
      <c r="J248" s="50"/>
      <c r="K248" s="116">
        <f>IFERROR(VLOOKUP(B248,BD_CONTROL!$A$5:$M$4235,11,0),"")</f>
        <v>0</v>
      </c>
      <c r="L248" s="117">
        <f>IFERROR(VLOOKUP(B248,BD_CONTROL!$A$5:$M$4235,12,0),"")</f>
        <v>0</v>
      </c>
      <c r="M248" s="118">
        <f>IFERROR(VLOOKUP(B248,BD_CONTROL!$A$5:$M$4235,13,0),"")</f>
        <v>0</v>
      </c>
    </row>
    <row r="249" spans="1:13" ht="15" customHeight="1">
      <c r="A249" s="42">
        <v>244</v>
      </c>
      <c r="B249" s="42" t="s">
        <v>9407</v>
      </c>
      <c r="C249" s="43" t="s">
        <v>9408</v>
      </c>
      <c r="D249" s="42" t="s">
        <v>5640</v>
      </c>
      <c r="E249" s="43" t="s">
        <v>254</v>
      </c>
      <c r="F249" s="43" t="s">
        <v>9409</v>
      </c>
      <c r="G249" s="42" t="s">
        <v>109</v>
      </c>
      <c r="H249" s="43" t="s">
        <v>8982</v>
      </c>
      <c r="I249" s="43" t="s">
        <v>104</v>
      </c>
      <c r="J249" s="55"/>
      <c r="K249" s="119">
        <f>IFERROR(VLOOKUP(B249,BD_CONTROL!$A$5:$M$4235,11,0),"")</f>
        <v>0</v>
      </c>
      <c r="L249" s="120">
        <f>IFERROR(VLOOKUP(B249,BD_CONTROL!$A$5:$M$4235,12,0),"")</f>
        <v>0</v>
      </c>
      <c r="M249" s="121">
        <f>IFERROR(VLOOKUP(B249,BD_CONTROL!$A$5:$M$4235,13,0),"")</f>
        <v>0</v>
      </c>
    </row>
    <row r="250" spans="1:13" ht="15" customHeight="1">
      <c r="A250" s="39">
        <v>245</v>
      </c>
      <c r="B250" s="39" t="s">
        <v>9410</v>
      </c>
      <c r="C250" s="40" t="s">
        <v>1204</v>
      </c>
      <c r="D250" s="39" t="s">
        <v>6458</v>
      </c>
      <c r="E250" s="40" t="s">
        <v>3341</v>
      </c>
      <c r="F250" s="40" t="s">
        <v>9411</v>
      </c>
      <c r="G250" s="39" t="s">
        <v>109</v>
      </c>
      <c r="H250" s="40" t="s">
        <v>2927</v>
      </c>
      <c r="I250" s="40" t="s">
        <v>104</v>
      </c>
      <c r="J250" s="50"/>
      <c r="K250" s="116">
        <f>IFERROR(VLOOKUP(B250,BD_CONTROL!$A$5:$M$4235,11,0),"")</f>
        <v>0</v>
      </c>
      <c r="L250" s="117">
        <f>IFERROR(VLOOKUP(B250,BD_CONTROL!$A$5:$M$4235,12,0),"")</f>
        <v>0</v>
      </c>
      <c r="M250" s="118">
        <f>IFERROR(VLOOKUP(B250,BD_CONTROL!$A$5:$M$4235,13,0),"")</f>
        <v>0</v>
      </c>
    </row>
    <row r="251" spans="1:13" ht="15" customHeight="1">
      <c r="A251" s="42">
        <v>246</v>
      </c>
      <c r="B251" s="42" t="s">
        <v>9412</v>
      </c>
      <c r="C251" s="43" t="s">
        <v>9413</v>
      </c>
      <c r="D251" s="42" t="s">
        <v>5640</v>
      </c>
      <c r="E251" s="43" t="s">
        <v>9303</v>
      </c>
      <c r="F251" s="43" t="s">
        <v>9304</v>
      </c>
      <c r="G251" s="42" t="s">
        <v>109</v>
      </c>
      <c r="H251" s="43" t="s">
        <v>8982</v>
      </c>
      <c r="I251" s="43" t="s">
        <v>104</v>
      </c>
      <c r="J251" s="55"/>
      <c r="K251" s="119">
        <f>IFERROR(VLOOKUP(B251,BD_CONTROL!$A$5:$M$4235,11,0),"")</f>
        <v>0</v>
      </c>
      <c r="L251" s="120">
        <f>IFERROR(VLOOKUP(B251,BD_CONTROL!$A$5:$M$4235,12,0),"")</f>
        <v>0</v>
      </c>
      <c r="M251" s="121">
        <f>IFERROR(VLOOKUP(B251,BD_CONTROL!$A$5:$M$4235,13,0),"")</f>
        <v>0</v>
      </c>
    </row>
    <row r="252" spans="1:13" ht="15" customHeight="1">
      <c r="A252" s="39">
        <v>247</v>
      </c>
      <c r="B252" s="39" t="s">
        <v>9414</v>
      </c>
      <c r="C252" s="40" t="s">
        <v>9415</v>
      </c>
      <c r="D252" s="39" t="s">
        <v>5640</v>
      </c>
      <c r="E252" s="40" t="s">
        <v>9416</v>
      </c>
      <c r="F252" s="40" t="s">
        <v>9417</v>
      </c>
      <c r="G252" s="39" t="s">
        <v>109</v>
      </c>
      <c r="H252" s="40" t="s">
        <v>8982</v>
      </c>
      <c r="I252" s="40" t="s">
        <v>104</v>
      </c>
      <c r="J252" s="50"/>
      <c r="K252" s="116">
        <f>IFERROR(VLOOKUP(B252,BD_CONTROL!$A$5:$M$4235,11,0),"")</f>
        <v>0</v>
      </c>
      <c r="L252" s="117">
        <f>IFERROR(VLOOKUP(B252,BD_CONTROL!$A$5:$M$4235,12,0),"")</f>
        <v>0</v>
      </c>
      <c r="M252" s="118">
        <f>IFERROR(VLOOKUP(B252,BD_CONTROL!$A$5:$M$4235,13,0),"")</f>
        <v>0</v>
      </c>
    </row>
    <row r="253" spans="1:13" ht="15" customHeight="1">
      <c r="A253" s="42">
        <v>248</v>
      </c>
      <c r="B253" s="42" t="s">
        <v>9418</v>
      </c>
      <c r="C253" s="43" t="s">
        <v>9419</v>
      </c>
      <c r="D253" s="42" t="s">
        <v>6458</v>
      </c>
      <c r="E253" s="43" t="s">
        <v>9038</v>
      </c>
      <c r="F253" s="43" t="s">
        <v>9420</v>
      </c>
      <c r="G253" s="42" t="s">
        <v>109</v>
      </c>
      <c r="H253" s="43" t="s">
        <v>2927</v>
      </c>
      <c r="I253" s="43" t="s">
        <v>104</v>
      </c>
      <c r="J253" s="55"/>
      <c r="K253" s="119" t="str">
        <f>IFERROR(VLOOKUP(B253,BD_CONTROL!$A$5:$M$4235,11,0),"")</f>
        <v>Instalado - Operando</v>
      </c>
      <c r="L253" s="120">
        <f>IFERROR(VLOOKUP(B253,BD_CONTROL!$A$5:$M$4235,12,0),"")</f>
        <v>46150</v>
      </c>
      <c r="M253" s="121">
        <f>IFERROR(VLOOKUP(B253,BD_CONTROL!$A$5:$M$4235,13,0),"")</f>
        <v>0</v>
      </c>
    </row>
    <row r="254" spans="1:13" ht="15" customHeight="1">
      <c r="A254" s="39">
        <v>249</v>
      </c>
      <c r="B254" s="39" t="s">
        <v>9421</v>
      </c>
      <c r="C254" s="40" t="s">
        <v>9422</v>
      </c>
      <c r="D254" s="39" t="s">
        <v>7142</v>
      </c>
      <c r="E254" s="40" t="s">
        <v>9056</v>
      </c>
      <c r="F254" s="40" t="s">
        <v>1295</v>
      </c>
      <c r="G254" s="39" t="s">
        <v>109</v>
      </c>
      <c r="H254" s="40" t="s">
        <v>2927</v>
      </c>
      <c r="I254" s="40" t="s">
        <v>104</v>
      </c>
      <c r="J254" s="50"/>
      <c r="K254" s="116" t="str">
        <f>IFERROR(VLOOKUP(B254,BD_CONTROL!$A$5:$M$4235,11,0),"")</f>
        <v>Instalado - Operando</v>
      </c>
      <c r="L254" s="117">
        <f>IFERROR(VLOOKUP(B254,BD_CONTROL!$A$5:$M$4235,12,0),"")</f>
        <v>46147</v>
      </c>
      <c r="M254" s="118">
        <f>IFERROR(VLOOKUP(B254,BD_CONTROL!$A$5:$M$4235,13,0),"")</f>
        <v>0</v>
      </c>
    </row>
    <row r="255" spans="1:13" ht="15" customHeight="1">
      <c r="A255" s="42">
        <v>250</v>
      </c>
      <c r="B255" s="42" t="s">
        <v>9423</v>
      </c>
      <c r="C255" s="43" t="s">
        <v>9424</v>
      </c>
      <c r="D255" s="42" t="s">
        <v>5640</v>
      </c>
      <c r="E255" s="43" t="s">
        <v>9020</v>
      </c>
      <c r="F255" s="43" t="s">
        <v>9425</v>
      </c>
      <c r="G255" s="42" t="s">
        <v>109</v>
      </c>
      <c r="H255" s="43" t="s">
        <v>8982</v>
      </c>
      <c r="I255" s="43" t="s">
        <v>104</v>
      </c>
      <c r="J255" s="55"/>
      <c r="K255" s="119">
        <f>IFERROR(VLOOKUP(B255,BD_CONTROL!$A$5:$M$4235,11,0),"")</f>
        <v>0</v>
      </c>
      <c r="L255" s="120">
        <f>IFERROR(VLOOKUP(B255,BD_CONTROL!$A$5:$M$4235,12,0),"")</f>
        <v>0</v>
      </c>
      <c r="M255" s="121">
        <f>IFERROR(VLOOKUP(B255,BD_CONTROL!$A$5:$M$4235,13,0),"")</f>
        <v>0</v>
      </c>
    </row>
    <row r="256" spans="1:13" ht="15" customHeight="1">
      <c r="A256" s="39">
        <v>251</v>
      </c>
      <c r="B256" s="39" t="s">
        <v>9426</v>
      </c>
      <c r="C256" s="40" t="s">
        <v>9427</v>
      </c>
      <c r="D256" s="39" t="s">
        <v>5640</v>
      </c>
      <c r="E256" s="40" t="s">
        <v>1215</v>
      </c>
      <c r="F256" s="40" t="s">
        <v>9428</v>
      </c>
      <c r="G256" s="39" t="s">
        <v>109</v>
      </c>
      <c r="H256" s="40" t="s">
        <v>8982</v>
      </c>
      <c r="I256" s="40" t="s">
        <v>104</v>
      </c>
      <c r="J256" s="50"/>
      <c r="K256" s="116">
        <f>IFERROR(VLOOKUP(B256,BD_CONTROL!$A$5:$M$4235,11,0),"")</f>
        <v>0</v>
      </c>
      <c r="L256" s="117">
        <f>IFERROR(VLOOKUP(B256,BD_CONTROL!$A$5:$M$4235,12,0),"")</f>
        <v>0</v>
      </c>
      <c r="M256" s="118">
        <f>IFERROR(VLOOKUP(B256,BD_CONTROL!$A$5:$M$4235,13,0),"")</f>
        <v>0</v>
      </c>
    </row>
    <row r="257" spans="1:13" ht="15" customHeight="1">
      <c r="A257" s="42">
        <v>252</v>
      </c>
      <c r="B257" s="42" t="s">
        <v>9429</v>
      </c>
      <c r="C257" s="43" t="s">
        <v>2256</v>
      </c>
      <c r="D257" s="42" t="s">
        <v>5640</v>
      </c>
      <c r="E257" s="43" t="s">
        <v>1113</v>
      </c>
      <c r="F257" s="43" t="s">
        <v>9430</v>
      </c>
      <c r="G257" s="42" t="s">
        <v>109</v>
      </c>
      <c r="H257" s="43" t="s">
        <v>8982</v>
      </c>
      <c r="I257" s="43" t="s">
        <v>104</v>
      </c>
      <c r="J257" s="55"/>
      <c r="K257" s="119" t="str">
        <f>IFERROR(VLOOKUP(B257,BD_CONTROL!$A$5:$M$4235,11,0),"")</f>
        <v>Instalado - Operando</v>
      </c>
      <c r="L257" s="120">
        <f>IFERROR(VLOOKUP(B257,BD_CONTROL!$A$5:$M$4235,12,0),"")</f>
        <v>46149</v>
      </c>
      <c r="M257" s="121">
        <f>IFERROR(VLOOKUP(B257,BD_CONTROL!$A$5:$M$4235,13,0),"")</f>
        <v>0</v>
      </c>
    </row>
    <row r="258" spans="1:13" ht="15" customHeight="1">
      <c r="A258" s="39">
        <v>253</v>
      </c>
      <c r="B258" s="39" t="s">
        <v>9431</v>
      </c>
      <c r="C258" s="40" t="s">
        <v>2256</v>
      </c>
      <c r="D258" s="39" t="s">
        <v>5640</v>
      </c>
      <c r="E258" s="40" t="s">
        <v>8984</v>
      </c>
      <c r="F258" s="40" t="s">
        <v>9432</v>
      </c>
      <c r="G258" s="39" t="s">
        <v>109</v>
      </c>
      <c r="H258" s="40" t="s">
        <v>8982</v>
      </c>
      <c r="I258" s="40" t="s">
        <v>104</v>
      </c>
      <c r="J258" s="50"/>
      <c r="K258" s="116">
        <f>IFERROR(VLOOKUP(B258,BD_CONTROL!$A$5:$M$4235,11,0),"")</f>
        <v>0</v>
      </c>
      <c r="L258" s="117">
        <f>IFERROR(VLOOKUP(B258,BD_CONTROL!$A$5:$M$4235,12,0),"")</f>
        <v>0</v>
      </c>
      <c r="M258" s="118">
        <f>IFERROR(VLOOKUP(B258,BD_CONTROL!$A$5:$M$4235,13,0),"")</f>
        <v>0</v>
      </c>
    </row>
    <row r="259" spans="1:13" ht="15" customHeight="1">
      <c r="A259" s="42">
        <v>254</v>
      </c>
      <c r="B259" s="42" t="s">
        <v>9433</v>
      </c>
      <c r="C259" s="43" t="s">
        <v>2256</v>
      </c>
      <c r="D259" s="42" t="s">
        <v>6458</v>
      </c>
      <c r="E259" s="43" t="s">
        <v>9027</v>
      </c>
      <c r="F259" s="43" t="s">
        <v>9434</v>
      </c>
      <c r="G259" s="42" t="s">
        <v>109</v>
      </c>
      <c r="H259" s="43" t="s">
        <v>2927</v>
      </c>
      <c r="I259" s="43" t="s">
        <v>104</v>
      </c>
      <c r="J259" s="55"/>
      <c r="K259" s="119">
        <f>IFERROR(VLOOKUP(B259,BD_CONTROL!$A$5:$M$4235,11,0),"")</f>
        <v>0</v>
      </c>
      <c r="L259" s="120">
        <f>IFERROR(VLOOKUP(B259,BD_CONTROL!$A$5:$M$4235,12,0),"")</f>
        <v>0</v>
      </c>
      <c r="M259" s="121">
        <f>IFERROR(VLOOKUP(B259,BD_CONTROL!$A$5:$M$4235,13,0),"")</f>
        <v>0</v>
      </c>
    </row>
    <row r="260" spans="1:13" ht="15" customHeight="1">
      <c r="A260" s="39">
        <v>255</v>
      </c>
      <c r="B260" s="39" t="s">
        <v>9435</v>
      </c>
      <c r="C260" s="40" t="s">
        <v>3500</v>
      </c>
      <c r="D260" s="39" t="s">
        <v>5640</v>
      </c>
      <c r="E260" s="40" t="s">
        <v>8984</v>
      </c>
      <c r="F260" s="40" t="s">
        <v>9436</v>
      </c>
      <c r="G260" s="39" t="s">
        <v>109</v>
      </c>
      <c r="H260" s="40" t="s">
        <v>8982</v>
      </c>
      <c r="I260" s="40" t="s">
        <v>104</v>
      </c>
      <c r="J260" s="50"/>
      <c r="K260" s="116">
        <f>IFERROR(VLOOKUP(B260,BD_CONTROL!$A$5:$M$4235,11,0),"")</f>
        <v>0</v>
      </c>
      <c r="L260" s="117">
        <f>IFERROR(VLOOKUP(B260,BD_CONTROL!$A$5:$M$4235,12,0),"")</f>
        <v>0</v>
      </c>
      <c r="M260" s="118">
        <f>IFERROR(VLOOKUP(B260,BD_CONTROL!$A$5:$M$4235,13,0),"")</f>
        <v>0</v>
      </c>
    </row>
    <row r="261" spans="1:13" ht="15" customHeight="1">
      <c r="A261" s="42">
        <v>256</v>
      </c>
      <c r="B261" s="42" t="s">
        <v>9437</v>
      </c>
      <c r="C261" s="43" t="s">
        <v>3500</v>
      </c>
      <c r="D261" s="42" t="s">
        <v>5640</v>
      </c>
      <c r="E261" s="43" t="s">
        <v>9256</v>
      </c>
      <c r="F261" s="43" t="s">
        <v>9438</v>
      </c>
      <c r="G261" s="42" t="s">
        <v>109</v>
      </c>
      <c r="H261" s="43" t="s">
        <v>8982</v>
      </c>
      <c r="I261" s="43" t="s">
        <v>104</v>
      </c>
      <c r="J261" s="55"/>
      <c r="K261" s="119">
        <f>IFERROR(VLOOKUP(B261,BD_CONTROL!$A$5:$M$4235,11,0),"")</f>
        <v>0</v>
      </c>
      <c r="L261" s="120">
        <f>IFERROR(VLOOKUP(B261,BD_CONTROL!$A$5:$M$4235,12,0),"")</f>
        <v>0</v>
      </c>
      <c r="M261" s="121">
        <f>IFERROR(VLOOKUP(B261,BD_CONTROL!$A$5:$M$4235,13,0),"")</f>
        <v>0</v>
      </c>
    </row>
    <row r="262" spans="1:13" ht="15" customHeight="1">
      <c r="A262" s="39">
        <v>257</v>
      </c>
      <c r="B262" s="39" t="s">
        <v>9439</v>
      </c>
      <c r="C262" s="40" t="s">
        <v>3500</v>
      </c>
      <c r="D262" s="39" t="s">
        <v>6458</v>
      </c>
      <c r="E262" s="40" t="s">
        <v>9125</v>
      </c>
      <c r="F262" s="40" t="s">
        <v>9440</v>
      </c>
      <c r="G262" s="39" t="s">
        <v>109</v>
      </c>
      <c r="H262" s="40" t="s">
        <v>2927</v>
      </c>
      <c r="I262" s="40" t="s">
        <v>104</v>
      </c>
      <c r="J262" s="50"/>
      <c r="K262" s="116">
        <f>IFERROR(VLOOKUP(B262,BD_CONTROL!$A$5:$M$4235,11,0),"")</f>
        <v>0</v>
      </c>
      <c r="L262" s="117">
        <f>IFERROR(VLOOKUP(B262,BD_CONTROL!$A$5:$M$4235,12,0),"")</f>
        <v>0</v>
      </c>
      <c r="M262" s="118">
        <f>IFERROR(VLOOKUP(B262,BD_CONTROL!$A$5:$M$4235,13,0),"")</f>
        <v>0</v>
      </c>
    </row>
    <row r="263" spans="1:13" ht="15" customHeight="1">
      <c r="A263" s="42">
        <v>258</v>
      </c>
      <c r="B263" s="42" t="s">
        <v>9441</v>
      </c>
      <c r="C263" s="43" t="s">
        <v>3500</v>
      </c>
      <c r="D263" s="42" t="s">
        <v>6458</v>
      </c>
      <c r="E263" s="43" t="s">
        <v>9157</v>
      </c>
      <c r="F263" s="43" t="s">
        <v>4755</v>
      </c>
      <c r="G263" s="42" t="s">
        <v>109</v>
      </c>
      <c r="H263" s="43" t="s">
        <v>2927</v>
      </c>
      <c r="I263" s="43" t="s">
        <v>104</v>
      </c>
      <c r="J263" s="55"/>
      <c r="K263" s="119">
        <f>IFERROR(VLOOKUP(B263,BD_CONTROL!$A$5:$M$4235,11,0),"")</f>
        <v>0</v>
      </c>
      <c r="L263" s="120">
        <f>IFERROR(VLOOKUP(B263,BD_CONTROL!$A$5:$M$4235,12,0),"")</f>
        <v>0</v>
      </c>
      <c r="M263" s="121">
        <f>IFERROR(VLOOKUP(B263,BD_CONTROL!$A$5:$M$4235,13,0),"")</f>
        <v>0</v>
      </c>
    </row>
    <row r="264" spans="1:13" ht="15" customHeight="1">
      <c r="A264" s="39">
        <v>259</v>
      </c>
      <c r="B264" s="39" t="s">
        <v>9442</v>
      </c>
      <c r="C264" s="40" t="s">
        <v>9443</v>
      </c>
      <c r="D264" s="39" t="s">
        <v>5640</v>
      </c>
      <c r="E264" s="40" t="s">
        <v>9256</v>
      </c>
      <c r="F264" s="40" t="s">
        <v>9271</v>
      </c>
      <c r="G264" s="39" t="s">
        <v>109</v>
      </c>
      <c r="H264" s="40" t="s">
        <v>8982</v>
      </c>
      <c r="I264" s="40" t="s">
        <v>104</v>
      </c>
      <c r="J264" s="50"/>
      <c r="K264" s="116">
        <f>IFERROR(VLOOKUP(B264,BD_CONTROL!$A$5:$M$4235,11,0),"")</f>
        <v>0</v>
      </c>
      <c r="L264" s="117">
        <f>IFERROR(VLOOKUP(B264,BD_CONTROL!$A$5:$M$4235,12,0),"")</f>
        <v>0</v>
      </c>
      <c r="M264" s="118">
        <f>IFERROR(VLOOKUP(B264,BD_CONTROL!$A$5:$M$4235,13,0),"")</f>
        <v>0</v>
      </c>
    </row>
    <row r="265" spans="1:13" ht="15" customHeight="1">
      <c r="A265" s="42">
        <v>260</v>
      </c>
      <c r="B265" s="42" t="s">
        <v>9444</v>
      </c>
      <c r="C265" s="43" t="s">
        <v>9443</v>
      </c>
      <c r="D265" s="42" t="s">
        <v>5640</v>
      </c>
      <c r="E265" s="43" t="s">
        <v>9033</v>
      </c>
      <c r="F265" s="43" t="s">
        <v>9445</v>
      </c>
      <c r="G265" s="42" t="s">
        <v>109</v>
      </c>
      <c r="H265" s="43" t="s">
        <v>8982</v>
      </c>
      <c r="I265" s="43" t="s">
        <v>104</v>
      </c>
      <c r="J265" s="55"/>
      <c r="K265" s="119">
        <f>IFERROR(VLOOKUP(B265,BD_CONTROL!$A$5:$M$4235,11,0),"")</f>
        <v>0</v>
      </c>
      <c r="L265" s="120">
        <f>IFERROR(VLOOKUP(B265,BD_CONTROL!$A$5:$M$4235,12,0),"")</f>
        <v>0</v>
      </c>
      <c r="M265" s="121">
        <f>IFERROR(VLOOKUP(B265,BD_CONTROL!$A$5:$M$4235,13,0),"")</f>
        <v>0</v>
      </c>
    </row>
    <row r="266" spans="1:13" ht="15" customHeight="1">
      <c r="A266" s="39">
        <v>261</v>
      </c>
      <c r="B266" s="39" t="s">
        <v>9446</v>
      </c>
      <c r="C266" s="40" t="s">
        <v>9447</v>
      </c>
      <c r="D266" s="39" t="s">
        <v>6458</v>
      </c>
      <c r="E266" s="40" t="s">
        <v>9448</v>
      </c>
      <c r="F266" s="40" t="s">
        <v>9449</v>
      </c>
      <c r="G266" s="39" t="s">
        <v>109</v>
      </c>
      <c r="H266" s="40" t="s">
        <v>2927</v>
      </c>
      <c r="I266" s="40" t="s">
        <v>104</v>
      </c>
      <c r="J266" s="50"/>
      <c r="K266" s="116">
        <f>IFERROR(VLOOKUP(B266,BD_CONTROL!$A$5:$M$4235,11,0),"")</f>
        <v>0</v>
      </c>
      <c r="L266" s="117">
        <f>IFERROR(VLOOKUP(B266,BD_CONTROL!$A$5:$M$4235,12,0),"")</f>
        <v>0</v>
      </c>
      <c r="M266" s="118">
        <f>IFERROR(VLOOKUP(B266,BD_CONTROL!$A$5:$M$4235,13,0),"")</f>
        <v>0</v>
      </c>
    </row>
    <row r="267" spans="1:13" ht="15" customHeight="1">
      <c r="A267" s="42">
        <v>262</v>
      </c>
      <c r="B267" s="42" t="s">
        <v>9450</v>
      </c>
      <c r="C267" s="43" t="s">
        <v>9451</v>
      </c>
      <c r="D267" s="42" t="s">
        <v>5640</v>
      </c>
      <c r="E267" s="43" t="s">
        <v>9009</v>
      </c>
      <c r="F267" s="43" t="s">
        <v>4061</v>
      </c>
      <c r="G267" s="42" t="s">
        <v>109</v>
      </c>
      <c r="H267" s="43" t="s">
        <v>8982</v>
      </c>
      <c r="I267" s="43" t="s">
        <v>104</v>
      </c>
      <c r="J267" s="55"/>
      <c r="K267" s="119">
        <f>IFERROR(VLOOKUP(B267,BD_CONTROL!$A$5:$M$4235,11,0),"")</f>
        <v>0</v>
      </c>
      <c r="L267" s="120">
        <f>IFERROR(VLOOKUP(B267,BD_CONTROL!$A$5:$M$4235,12,0),"")</f>
        <v>0</v>
      </c>
      <c r="M267" s="121">
        <f>IFERROR(VLOOKUP(B267,BD_CONTROL!$A$5:$M$4235,13,0),"")</f>
        <v>0</v>
      </c>
    </row>
    <row r="268" spans="1:13" ht="15" customHeight="1">
      <c r="A268" s="39">
        <v>263</v>
      </c>
      <c r="B268" s="39" t="s">
        <v>9452</v>
      </c>
      <c r="C268" s="40" t="s">
        <v>9453</v>
      </c>
      <c r="D268" s="39" t="s">
        <v>7142</v>
      </c>
      <c r="E268" s="40" t="s">
        <v>9056</v>
      </c>
      <c r="F268" s="40" t="s">
        <v>9454</v>
      </c>
      <c r="G268" s="39" t="s">
        <v>109</v>
      </c>
      <c r="H268" s="40" t="s">
        <v>2927</v>
      </c>
      <c r="I268" s="40" t="s">
        <v>104</v>
      </c>
      <c r="J268" s="50"/>
      <c r="K268" s="116" t="str">
        <f>IFERROR(VLOOKUP(B268,BD_CONTROL!$A$5:$M$4235,11,0),"")</f>
        <v>Instalado - Operando</v>
      </c>
      <c r="L268" s="117">
        <f>IFERROR(VLOOKUP(B268,BD_CONTROL!$A$5:$M$4235,12,0),"")</f>
        <v>46148</v>
      </c>
      <c r="M268" s="118">
        <f>IFERROR(VLOOKUP(B268,BD_CONTROL!$A$5:$M$4235,13,0),"")</f>
        <v>0</v>
      </c>
    </row>
    <row r="269" spans="1:13" ht="15" customHeight="1">
      <c r="A269" s="42">
        <v>264</v>
      </c>
      <c r="B269" s="42" t="s">
        <v>9455</v>
      </c>
      <c r="C269" s="43" t="s">
        <v>2265</v>
      </c>
      <c r="D269" s="42" t="s">
        <v>5640</v>
      </c>
      <c r="E269" s="43" t="s">
        <v>9030</v>
      </c>
      <c r="F269" s="43" t="s">
        <v>9456</v>
      </c>
      <c r="G269" s="42" t="s">
        <v>109</v>
      </c>
      <c r="H269" s="43" t="s">
        <v>8982</v>
      </c>
      <c r="I269" s="43" t="s">
        <v>104</v>
      </c>
      <c r="J269" s="55"/>
      <c r="K269" s="119">
        <f>IFERROR(VLOOKUP(B269,BD_CONTROL!$A$5:$M$4235,11,0),"")</f>
        <v>0</v>
      </c>
      <c r="L269" s="120">
        <f>IFERROR(VLOOKUP(B269,BD_CONTROL!$A$5:$M$4235,12,0),"")</f>
        <v>0</v>
      </c>
      <c r="M269" s="121">
        <f>IFERROR(VLOOKUP(B269,BD_CONTROL!$A$5:$M$4235,13,0),"")</f>
        <v>0</v>
      </c>
    </row>
    <row r="270" spans="1:13" ht="15" customHeight="1">
      <c r="A270" s="39">
        <v>265</v>
      </c>
      <c r="B270" s="39" t="s">
        <v>9457</v>
      </c>
      <c r="C270" s="40" t="s">
        <v>9458</v>
      </c>
      <c r="D270" s="39" t="s">
        <v>6458</v>
      </c>
      <c r="E270" s="40" t="s">
        <v>9125</v>
      </c>
      <c r="F270" s="40" t="s">
        <v>9459</v>
      </c>
      <c r="G270" s="39" t="s">
        <v>102</v>
      </c>
      <c r="H270" s="40" t="s">
        <v>2927</v>
      </c>
      <c r="I270" s="40" t="s">
        <v>104</v>
      </c>
      <c r="J270" s="50"/>
      <c r="K270" s="116">
        <f>IFERROR(VLOOKUP(B270,BD_CONTROL!$A$5:$M$4235,11,0),"")</f>
        <v>0</v>
      </c>
      <c r="L270" s="117">
        <f>IFERROR(VLOOKUP(B270,BD_CONTROL!$A$5:$M$4235,12,0),"")</f>
        <v>0</v>
      </c>
      <c r="M270" s="118">
        <f>IFERROR(VLOOKUP(B270,BD_CONTROL!$A$5:$M$4235,13,0),"")</f>
        <v>0</v>
      </c>
    </row>
    <row r="271" spans="1:13" ht="15" customHeight="1">
      <c r="A271" s="42">
        <v>266</v>
      </c>
      <c r="B271" s="42" t="s">
        <v>9460</v>
      </c>
      <c r="C271" s="43" t="s">
        <v>9461</v>
      </c>
      <c r="D271" s="42" t="s">
        <v>5640</v>
      </c>
      <c r="E271" s="43" t="s">
        <v>9063</v>
      </c>
      <c r="F271" s="43" t="s">
        <v>9462</v>
      </c>
      <c r="G271" s="42" t="s">
        <v>109</v>
      </c>
      <c r="H271" s="43" t="s">
        <v>8982</v>
      </c>
      <c r="I271" s="43" t="s">
        <v>104</v>
      </c>
      <c r="J271" s="55"/>
      <c r="K271" s="119">
        <f>IFERROR(VLOOKUP(B271,BD_CONTROL!$A$5:$M$4235,11,0),"")</f>
        <v>0</v>
      </c>
      <c r="L271" s="120">
        <f>IFERROR(VLOOKUP(B271,BD_CONTROL!$A$5:$M$4235,12,0),"")</f>
        <v>0</v>
      </c>
      <c r="M271" s="121">
        <f>IFERROR(VLOOKUP(B271,BD_CONTROL!$A$5:$M$4235,13,0),"")</f>
        <v>0</v>
      </c>
    </row>
    <row r="272" spans="1:13" ht="15" customHeight="1">
      <c r="A272" s="39">
        <v>267</v>
      </c>
      <c r="B272" s="39" t="s">
        <v>9463</v>
      </c>
      <c r="C272" s="40" t="s">
        <v>3369</v>
      </c>
      <c r="D272" s="39" t="s">
        <v>5640</v>
      </c>
      <c r="E272" s="40" t="s">
        <v>5803</v>
      </c>
      <c r="F272" s="40" t="s">
        <v>9300</v>
      </c>
      <c r="G272" s="39" t="s">
        <v>109</v>
      </c>
      <c r="H272" s="40" t="s">
        <v>8982</v>
      </c>
      <c r="I272" s="40" t="s">
        <v>104</v>
      </c>
      <c r="J272" s="50"/>
      <c r="K272" s="116">
        <f>IFERROR(VLOOKUP(B272,BD_CONTROL!$A$5:$M$4235,11,0),"")</f>
        <v>0</v>
      </c>
      <c r="L272" s="117">
        <f>IFERROR(VLOOKUP(B272,BD_CONTROL!$A$5:$M$4235,12,0),"")</f>
        <v>0</v>
      </c>
      <c r="M272" s="118">
        <f>IFERROR(VLOOKUP(B272,BD_CONTROL!$A$5:$M$4235,13,0),"")</f>
        <v>0</v>
      </c>
    </row>
    <row r="273" spans="1:13" ht="15" customHeight="1">
      <c r="A273" s="42">
        <v>268</v>
      </c>
      <c r="B273" s="42" t="s">
        <v>9464</v>
      </c>
      <c r="C273" s="43" t="s">
        <v>3369</v>
      </c>
      <c r="D273" s="42" t="s">
        <v>5640</v>
      </c>
      <c r="E273" s="43" t="s">
        <v>1113</v>
      </c>
      <c r="F273" s="43" t="s">
        <v>9465</v>
      </c>
      <c r="G273" s="42" t="s">
        <v>102</v>
      </c>
      <c r="H273" s="43" t="s">
        <v>8982</v>
      </c>
      <c r="I273" s="43" t="s">
        <v>104</v>
      </c>
      <c r="J273" s="55"/>
      <c r="K273" s="119" t="str">
        <f>IFERROR(VLOOKUP(B273,BD_CONTROL!$A$5:$M$4235,11,0),"")</f>
        <v>Instalado - Operando</v>
      </c>
      <c r="L273" s="120">
        <f>IFERROR(VLOOKUP(B273,BD_CONTROL!$A$5:$M$4235,12,0),"")</f>
        <v>46149</v>
      </c>
      <c r="M273" s="121">
        <f>IFERROR(VLOOKUP(B273,BD_CONTROL!$A$5:$M$4235,13,0),"")</f>
        <v>0</v>
      </c>
    </row>
    <row r="274" spans="1:13" ht="15" customHeight="1">
      <c r="A274" s="39">
        <v>269</v>
      </c>
      <c r="B274" s="39" t="s">
        <v>9466</v>
      </c>
      <c r="C274" s="40" t="s">
        <v>6470</v>
      </c>
      <c r="D274" s="39" t="s">
        <v>5640</v>
      </c>
      <c r="E274" s="40" t="s">
        <v>9004</v>
      </c>
      <c r="F274" s="40" t="s">
        <v>9467</v>
      </c>
      <c r="G274" s="39" t="s">
        <v>109</v>
      </c>
      <c r="H274" s="40" t="s">
        <v>8982</v>
      </c>
      <c r="I274" s="40" t="s">
        <v>104</v>
      </c>
      <c r="J274" s="50"/>
      <c r="K274" s="116">
        <f>IFERROR(VLOOKUP(B274,BD_CONTROL!$A$5:$M$4235,11,0),"")</f>
        <v>0</v>
      </c>
      <c r="L274" s="117">
        <f>IFERROR(VLOOKUP(B274,BD_CONTROL!$A$5:$M$4235,12,0),"")</f>
        <v>0</v>
      </c>
      <c r="M274" s="118">
        <f>IFERROR(VLOOKUP(B274,BD_CONTROL!$A$5:$M$4235,13,0),"")</f>
        <v>0</v>
      </c>
    </row>
    <row r="275" spans="1:13" ht="15" customHeight="1">
      <c r="A275" s="42">
        <v>270</v>
      </c>
      <c r="B275" s="42" t="s">
        <v>9468</v>
      </c>
      <c r="C275" s="43" t="s">
        <v>6470</v>
      </c>
      <c r="D275" s="42" t="s">
        <v>6458</v>
      </c>
      <c r="E275" s="43" t="s">
        <v>9142</v>
      </c>
      <c r="F275" s="43" t="s">
        <v>5022</v>
      </c>
      <c r="G275" s="42" t="s">
        <v>109</v>
      </c>
      <c r="H275" s="43" t="s">
        <v>2927</v>
      </c>
      <c r="I275" s="43" t="s">
        <v>104</v>
      </c>
      <c r="J275" s="55"/>
      <c r="K275" s="119">
        <f>IFERROR(VLOOKUP(B275,BD_CONTROL!$A$5:$M$4235,11,0),"")</f>
        <v>0</v>
      </c>
      <c r="L275" s="120">
        <f>IFERROR(VLOOKUP(B275,BD_CONTROL!$A$5:$M$4235,12,0),"")</f>
        <v>0</v>
      </c>
      <c r="M275" s="121">
        <f>IFERROR(VLOOKUP(B275,BD_CONTROL!$A$5:$M$4235,13,0),"")</f>
        <v>0</v>
      </c>
    </row>
    <row r="276" spans="1:13" ht="15" customHeight="1">
      <c r="A276" s="39">
        <v>271</v>
      </c>
      <c r="B276" s="39" t="s">
        <v>9469</v>
      </c>
      <c r="C276" s="40" t="s">
        <v>6470</v>
      </c>
      <c r="D276" s="39" t="s">
        <v>6458</v>
      </c>
      <c r="E276" s="40" t="s">
        <v>9335</v>
      </c>
      <c r="F276" s="40" t="s">
        <v>1086</v>
      </c>
      <c r="G276" s="39" t="s">
        <v>109</v>
      </c>
      <c r="H276" s="40" t="s">
        <v>2927</v>
      </c>
      <c r="I276" s="40" t="s">
        <v>104</v>
      </c>
      <c r="J276" s="50"/>
      <c r="K276" s="116">
        <f>IFERROR(VLOOKUP(B276,BD_CONTROL!$A$5:$M$4235,11,0),"")</f>
        <v>0</v>
      </c>
      <c r="L276" s="117">
        <f>IFERROR(VLOOKUP(B276,BD_CONTROL!$A$5:$M$4235,12,0),"")</f>
        <v>0</v>
      </c>
      <c r="M276" s="118">
        <f>IFERROR(VLOOKUP(B276,BD_CONTROL!$A$5:$M$4235,13,0),"")</f>
        <v>0</v>
      </c>
    </row>
    <row r="277" spans="1:13" ht="15" customHeight="1">
      <c r="A277" s="42">
        <v>272</v>
      </c>
      <c r="B277" s="42" t="s">
        <v>9470</v>
      </c>
      <c r="C277" s="43" t="s">
        <v>1337</v>
      </c>
      <c r="D277" s="42" t="s">
        <v>6458</v>
      </c>
      <c r="E277" s="43" t="s">
        <v>9094</v>
      </c>
      <c r="F277" s="43" t="s">
        <v>9471</v>
      </c>
      <c r="G277" s="42" t="s">
        <v>109</v>
      </c>
      <c r="H277" s="43" t="s">
        <v>2927</v>
      </c>
      <c r="I277" s="43" t="s">
        <v>104</v>
      </c>
      <c r="J277" s="55"/>
      <c r="K277" s="119">
        <f>IFERROR(VLOOKUP(B277,BD_CONTROL!$A$5:$M$4235,11,0),"")</f>
        <v>0</v>
      </c>
      <c r="L277" s="120">
        <f>IFERROR(VLOOKUP(B277,BD_CONTROL!$A$5:$M$4235,12,0),"")</f>
        <v>0</v>
      </c>
      <c r="M277" s="121">
        <f>IFERROR(VLOOKUP(B277,BD_CONTROL!$A$5:$M$4235,13,0),"")</f>
        <v>0</v>
      </c>
    </row>
    <row r="278" spans="1:13" ht="15" customHeight="1">
      <c r="A278" s="39">
        <v>273</v>
      </c>
      <c r="B278" s="39" t="s">
        <v>9472</v>
      </c>
      <c r="C278" s="40" t="s">
        <v>1337</v>
      </c>
      <c r="D278" s="39" t="s">
        <v>6458</v>
      </c>
      <c r="E278" s="40" t="s">
        <v>9038</v>
      </c>
      <c r="F278" s="40" t="s">
        <v>9473</v>
      </c>
      <c r="G278" s="39" t="s">
        <v>109</v>
      </c>
      <c r="H278" s="40" t="s">
        <v>2927</v>
      </c>
      <c r="I278" s="40" t="s">
        <v>104</v>
      </c>
      <c r="J278" s="50"/>
      <c r="K278" s="116" t="str">
        <f>IFERROR(VLOOKUP(B278,BD_CONTROL!$A$5:$M$4235,11,0),"")</f>
        <v>Instalado - Operando</v>
      </c>
      <c r="L278" s="117">
        <f>IFERROR(VLOOKUP(B278,BD_CONTROL!$A$5:$M$4235,12,0),"")</f>
        <v>46147</v>
      </c>
      <c r="M278" s="118">
        <f>IFERROR(VLOOKUP(B278,BD_CONTROL!$A$5:$M$4235,13,0),"")</f>
        <v>0</v>
      </c>
    </row>
    <row r="279" spans="1:13" ht="15" customHeight="1">
      <c r="A279" s="42">
        <v>274</v>
      </c>
      <c r="B279" s="42" t="s">
        <v>9474</v>
      </c>
      <c r="C279" s="43" t="s">
        <v>9475</v>
      </c>
      <c r="D279" s="42" t="s">
        <v>6458</v>
      </c>
      <c r="E279" s="43" t="s">
        <v>9036</v>
      </c>
      <c r="F279" s="43" t="s">
        <v>9476</v>
      </c>
      <c r="G279" s="42" t="s">
        <v>109</v>
      </c>
      <c r="H279" s="43" t="s">
        <v>2927</v>
      </c>
      <c r="I279" s="43" t="s">
        <v>104</v>
      </c>
      <c r="J279" s="55"/>
      <c r="K279" s="119">
        <f>IFERROR(VLOOKUP(B279,BD_CONTROL!$A$5:$M$4235,11,0),"")</f>
        <v>0</v>
      </c>
      <c r="L279" s="120">
        <f>IFERROR(VLOOKUP(B279,BD_CONTROL!$A$5:$M$4235,12,0),"")</f>
        <v>0</v>
      </c>
      <c r="M279" s="121">
        <f>IFERROR(VLOOKUP(B279,BD_CONTROL!$A$5:$M$4235,13,0),"")</f>
        <v>0</v>
      </c>
    </row>
    <row r="280" spans="1:13" ht="15" customHeight="1">
      <c r="A280" s="39">
        <v>275</v>
      </c>
      <c r="B280" s="39" t="s">
        <v>9477</v>
      </c>
      <c r="C280" s="40" t="s">
        <v>9478</v>
      </c>
      <c r="D280" s="39" t="s">
        <v>5640</v>
      </c>
      <c r="E280" s="40" t="s">
        <v>3243</v>
      </c>
      <c r="F280" s="40" t="s">
        <v>9479</v>
      </c>
      <c r="G280" s="39" t="s">
        <v>109</v>
      </c>
      <c r="H280" s="40" t="s">
        <v>8982</v>
      </c>
      <c r="I280" s="40" t="s">
        <v>104</v>
      </c>
      <c r="J280" s="50"/>
      <c r="K280" s="116">
        <f>IFERROR(VLOOKUP(B280,BD_CONTROL!$A$5:$M$4235,11,0),"")</f>
        <v>0</v>
      </c>
      <c r="L280" s="117">
        <f>IFERROR(VLOOKUP(B280,BD_CONTROL!$A$5:$M$4235,12,0),"")</f>
        <v>0</v>
      </c>
      <c r="M280" s="118">
        <f>IFERROR(VLOOKUP(B280,BD_CONTROL!$A$5:$M$4235,13,0),"")</f>
        <v>0</v>
      </c>
    </row>
    <row r="281" spans="1:13" ht="15" customHeight="1">
      <c r="A281" s="42">
        <v>276</v>
      </c>
      <c r="B281" s="42" t="s">
        <v>9480</v>
      </c>
      <c r="C281" s="43" t="s">
        <v>1086</v>
      </c>
      <c r="D281" s="42" t="s">
        <v>5640</v>
      </c>
      <c r="E281" s="43" t="s">
        <v>9229</v>
      </c>
      <c r="F281" s="43" t="s">
        <v>2756</v>
      </c>
      <c r="G281" s="42" t="s">
        <v>109</v>
      </c>
      <c r="H281" s="43" t="s">
        <v>8982</v>
      </c>
      <c r="I281" s="43" t="s">
        <v>104</v>
      </c>
      <c r="J281" s="55"/>
      <c r="K281" s="119">
        <f>IFERROR(VLOOKUP(B281,BD_CONTROL!$A$5:$M$4235,11,0),"")</f>
        <v>0</v>
      </c>
      <c r="L281" s="120">
        <f>IFERROR(VLOOKUP(B281,BD_CONTROL!$A$5:$M$4235,12,0),"")</f>
        <v>0</v>
      </c>
      <c r="M281" s="121">
        <f>IFERROR(VLOOKUP(B281,BD_CONTROL!$A$5:$M$4235,13,0),"")</f>
        <v>0</v>
      </c>
    </row>
    <row r="282" spans="1:13" ht="15" customHeight="1">
      <c r="A282" s="39">
        <v>277</v>
      </c>
      <c r="B282" s="39" t="s">
        <v>9481</v>
      </c>
      <c r="C282" s="40" t="s">
        <v>1086</v>
      </c>
      <c r="D282" s="39" t="s">
        <v>6458</v>
      </c>
      <c r="E282" s="40" t="s">
        <v>9036</v>
      </c>
      <c r="F282" s="40" t="s">
        <v>9482</v>
      </c>
      <c r="G282" s="39" t="s">
        <v>109</v>
      </c>
      <c r="H282" s="40" t="s">
        <v>2927</v>
      </c>
      <c r="I282" s="40" t="s">
        <v>104</v>
      </c>
      <c r="J282" s="50"/>
      <c r="K282" s="116">
        <f>IFERROR(VLOOKUP(B282,BD_CONTROL!$A$5:$M$4235,11,0),"")</f>
        <v>0</v>
      </c>
      <c r="L282" s="117">
        <f>IFERROR(VLOOKUP(B282,BD_CONTROL!$A$5:$M$4235,12,0),"")</f>
        <v>0</v>
      </c>
      <c r="M282" s="118">
        <f>IFERROR(VLOOKUP(B282,BD_CONTROL!$A$5:$M$4235,13,0),"")</f>
        <v>0</v>
      </c>
    </row>
    <row r="283" spans="1:13" ht="15" customHeight="1">
      <c r="A283" s="42">
        <v>278</v>
      </c>
      <c r="B283" s="42" t="s">
        <v>9483</v>
      </c>
      <c r="C283" s="43" t="s">
        <v>348</v>
      </c>
      <c r="D283" s="42" t="s">
        <v>5640</v>
      </c>
      <c r="E283" s="43" t="s">
        <v>9295</v>
      </c>
      <c r="F283" s="43" t="s">
        <v>9295</v>
      </c>
      <c r="G283" s="42" t="s">
        <v>109</v>
      </c>
      <c r="H283" s="43" t="s">
        <v>8982</v>
      </c>
      <c r="I283" s="43" t="s">
        <v>104</v>
      </c>
      <c r="J283" s="55"/>
      <c r="K283" s="119">
        <f>IFERROR(VLOOKUP(B283,BD_CONTROL!$A$5:$M$4235,11,0),"")</f>
        <v>0</v>
      </c>
      <c r="L283" s="120">
        <f>IFERROR(VLOOKUP(B283,BD_CONTROL!$A$5:$M$4235,12,0),"")</f>
        <v>0</v>
      </c>
      <c r="M283" s="121">
        <f>IFERROR(VLOOKUP(B283,BD_CONTROL!$A$5:$M$4235,13,0),"")</f>
        <v>0</v>
      </c>
    </row>
    <row r="284" spans="1:13" ht="15" customHeight="1">
      <c r="A284" s="39">
        <v>279</v>
      </c>
      <c r="B284" s="39" t="s">
        <v>9484</v>
      </c>
      <c r="C284" s="40" t="s">
        <v>348</v>
      </c>
      <c r="D284" s="39" t="s">
        <v>6458</v>
      </c>
      <c r="E284" s="40" t="s">
        <v>9321</v>
      </c>
      <c r="F284" s="40" t="s">
        <v>9485</v>
      </c>
      <c r="G284" s="39" t="s">
        <v>109</v>
      </c>
      <c r="H284" s="40" t="s">
        <v>2927</v>
      </c>
      <c r="I284" s="40" t="s">
        <v>104</v>
      </c>
      <c r="J284" s="50"/>
      <c r="K284" s="116">
        <f>IFERROR(VLOOKUP(B284,BD_CONTROL!$A$5:$M$4235,11,0),"")</f>
        <v>0</v>
      </c>
      <c r="L284" s="117">
        <f>IFERROR(VLOOKUP(B284,BD_CONTROL!$A$5:$M$4235,12,0),"")</f>
        <v>0</v>
      </c>
      <c r="M284" s="118">
        <f>IFERROR(VLOOKUP(B284,BD_CONTROL!$A$5:$M$4235,13,0),"")</f>
        <v>0</v>
      </c>
    </row>
    <row r="285" spans="1:13" ht="15" customHeight="1">
      <c r="A285" s="42">
        <v>280</v>
      </c>
      <c r="B285" s="42" t="s">
        <v>9486</v>
      </c>
      <c r="C285" s="43" t="s">
        <v>348</v>
      </c>
      <c r="D285" s="42" t="s">
        <v>6458</v>
      </c>
      <c r="E285" s="43" t="s">
        <v>9044</v>
      </c>
      <c r="F285" s="43" t="s">
        <v>9487</v>
      </c>
      <c r="G285" s="42" t="s">
        <v>109</v>
      </c>
      <c r="H285" s="43" t="s">
        <v>2927</v>
      </c>
      <c r="I285" s="43" t="s">
        <v>104</v>
      </c>
      <c r="J285" s="55"/>
      <c r="K285" s="119">
        <f>IFERROR(VLOOKUP(B285,BD_CONTROL!$A$5:$M$4235,11,0),"")</f>
        <v>0</v>
      </c>
      <c r="L285" s="120">
        <f>IFERROR(VLOOKUP(B285,BD_CONTROL!$A$5:$M$4235,12,0),"")</f>
        <v>0</v>
      </c>
      <c r="M285" s="121">
        <f>IFERROR(VLOOKUP(B285,BD_CONTROL!$A$5:$M$4235,13,0),"")</f>
        <v>0</v>
      </c>
    </row>
    <row r="286" spans="1:13" ht="15" customHeight="1">
      <c r="A286" s="39">
        <v>281</v>
      </c>
      <c r="B286" s="39" t="s">
        <v>9488</v>
      </c>
      <c r="C286" s="40" t="s">
        <v>4977</v>
      </c>
      <c r="D286" s="39" t="s">
        <v>5640</v>
      </c>
      <c r="E286" s="40" t="s">
        <v>9074</v>
      </c>
      <c r="F286" s="40" t="s">
        <v>9489</v>
      </c>
      <c r="G286" s="39" t="s">
        <v>109</v>
      </c>
      <c r="H286" s="40" t="s">
        <v>8982</v>
      </c>
      <c r="I286" s="40" t="s">
        <v>104</v>
      </c>
      <c r="J286" s="50"/>
      <c r="K286" s="116">
        <f>IFERROR(VLOOKUP(B286,BD_CONTROL!$A$5:$M$4235,11,0),"")</f>
        <v>0</v>
      </c>
      <c r="L286" s="117">
        <f>IFERROR(VLOOKUP(B286,BD_CONTROL!$A$5:$M$4235,12,0),"")</f>
        <v>0</v>
      </c>
      <c r="M286" s="118">
        <f>IFERROR(VLOOKUP(B286,BD_CONTROL!$A$5:$M$4235,13,0),"")</f>
        <v>0</v>
      </c>
    </row>
    <row r="287" spans="1:13" ht="15" customHeight="1">
      <c r="A287" s="42">
        <v>282</v>
      </c>
      <c r="B287" s="42" t="s">
        <v>9490</v>
      </c>
      <c r="C287" s="43" t="s">
        <v>4977</v>
      </c>
      <c r="D287" s="42" t="s">
        <v>5640</v>
      </c>
      <c r="E287" s="43" t="s">
        <v>3023</v>
      </c>
      <c r="F287" s="43" t="s">
        <v>9491</v>
      </c>
      <c r="G287" s="42" t="s">
        <v>109</v>
      </c>
      <c r="H287" s="43" t="s">
        <v>8982</v>
      </c>
      <c r="I287" s="43" t="s">
        <v>104</v>
      </c>
      <c r="J287" s="55"/>
      <c r="K287" s="119">
        <f>IFERROR(VLOOKUP(B287,BD_CONTROL!$A$5:$M$4235,11,0),"")</f>
        <v>0</v>
      </c>
      <c r="L287" s="120">
        <f>IFERROR(VLOOKUP(B287,BD_CONTROL!$A$5:$M$4235,12,0),"")</f>
        <v>0</v>
      </c>
      <c r="M287" s="121">
        <f>IFERROR(VLOOKUP(B287,BD_CONTROL!$A$5:$M$4235,13,0),"")</f>
        <v>0</v>
      </c>
    </row>
    <row r="288" spans="1:13" ht="15" customHeight="1">
      <c r="A288" s="39">
        <v>283</v>
      </c>
      <c r="B288" s="39" t="s">
        <v>9492</v>
      </c>
      <c r="C288" s="40" t="s">
        <v>9493</v>
      </c>
      <c r="D288" s="39" t="s">
        <v>5640</v>
      </c>
      <c r="E288" s="40" t="s">
        <v>9030</v>
      </c>
      <c r="F288" s="40" t="s">
        <v>9494</v>
      </c>
      <c r="G288" s="39" t="s">
        <v>109</v>
      </c>
      <c r="H288" s="40" t="s">
        <v>8982</v>
      </c>
      <c r="I288" s="40" t="s">
        <v>104</v>
      </c>
      <c r="J288" s="50"/>
      <c r="K288" s="116">
        <f>IFERROR(VLOOKUP(B288,BD_CONTROL!$A$5:$M$4235,11,0),"")</f>
        <v>0</v>
      </c>
      <c r="L288" s="117">
        <f>IFERROR(VLOOKUP(B288,BD_CONTROL!$A$5:$M$4235,12,0),"")</f>
        <v>0</v>
      </c>
      <c r="M288" s="118">
        <f>IFERROR(VLOOKUP(B288,BD_CONTROL!$A$5:$M$4235,13,0),"")</f>
        <v>0</v>
      </c>
    </row>
    <row r="289" spans="1:13" ht="15" customHeight="1">
      <c r="A289" s="42">
        <v>284</v>
      </c>
      <c r="B289" s="42" t="s">
        <v>9495</v>
      </c>
      <c r="C289" s="43" t="s">
        <v>3570</v>
      </c>
      <c r="D289" s="42" t="s">
        <v>6458</v>
      </c>
      <c r="E289" s="43" t="s">
        <v>8976</v>
      </c>
      <c r="F289" s="43" t="s">
        <v>9496</v>
      </c>
      <c r="G289" s="42" t="s">
        <v>109</v>
      </c>
      <c r="H289" s="43" t="s">
        <v>2927</v>
      </c>
      <c r="I289" s="43" t="s">
        <v>104</v>
      </c>
      <c r="J289" s="55"/>
      <c r="K289" s="119">
        <f>IFERROR(VLOOKUP(B289,BD_CONTROL!$A$5:$M$4235,11,0),"")</f>
        <v>0</v>
      </c>
      <c r="L289" s="120">
        <f>IFERROR(VLOOKUP(B289,BD_CONTROL!$A$5:$M$4235,12,0),"")</f>
        <v>0</v>
      </c>
      <c r="M289" s="121">
        <f>IFERROR(VLOOKUP(B289,BD_CONTROL!$A$5:$M$4235,13,0),"")</f>
        <v>0</v>
      </c>
    </row>
    <row r="290" spans="1:13" ht="15" customHeight="1">
      <c r="A290" s="39">
        <v>285</v>
      </c>
      <c r="B290" s="39" t="s">
        <v>9497</v>
      </c>
      <c r="C290" s="40" t="s">
        <v>3570</v>
      </c>
      <c r="D290" s="39" t="s">
        <v>6458</v>
      </c>
      <c r="E290" s="40" t="s">
        <v>9335</v>
      </c>
      <c r="F290" s="40" t="s">
        <v>9498</v>
      </c>
      <c r="G290" s="39" t="s">
        <v>109</v>
      </c>
      <c r="H290" s="40" t="s">
        <v>2927</v>
      </c>
      <c r="I290" s="40" t="s">
        <v>104</v>
      </c>
      <c r="J290" s="50"/>
      <c r="K290" s="116">
        <f>IFERROR(VLOOKUP(B290,BD_CONTROL!$A$5:$M$4235,11,0),"")</f>
        <v>0</v>
      </c>
      <c r="L290" s="117">
        <f>IFERROR(VLOOKUP(B290,BD_CONTROL!$A$5:$M$4235,12,0),"")</f>
        <v>0</v>
      </c>
      <c r="M290" s="118">
        <f>IFERROR(VLOOKUP(B290,BD_CONTROL!$A$5:$M$4235,13,0),"")</f>
        <v>0</v>
      </c>
    </row>
    <row r="291" spans="1:13" ht="15" customHeight="1">
      <c r="A291" s="42">
        <v>286</v>
      </c>
      <c r="B291" s="42" t="s">
        <v>9499</v>
      </c>
      <c r="C291" s="43" t="s">
        <v>3570</v>
      </c>
      <c r="D291" s="42" t="s">
        <v>5640</v>
      </c>
      <c r="E291" s="43" t="s">
        <v>9004</v>
      </c>
      <c r="F291" s="43" t="s">
        <v>9500</v>
      </c>
      <c r="G291" s="42" t="s">
        <v>102</v>
      </c>
      <c r="H291" s="43" t="s">
        <v>8982</v>
      </c>
      <c r="I291" s="43" t="s">
        <v>104</v>
      </c>
      <c r="J291" s="55"/>
      <c r="K291" s="119">
        <f>IFERROR(VLOOKUP(B291,BD_CONTROL!$A$5:$M$4235,11,0),"")</f>
        <v>0</v>
      </c>
      <c r="L291" s="120">
        <f>IFERROR(VLOOKUP(B291,BD_CONTROL!$A$5:$M$4235,12,0),"")</f>
        <v>0</v>
      </c>
      <c r="M291" s="121">
        <f>IFERROR(VLOOKUP(B291,BD_CONTROL!$A$5:$M$4235,13,0),"")</f>
        <v>0</v>
      </c>
    </row>
    <row r="292" spans="1:13" ht="15" customHeight="1">
      <c r="A292" s="39">
        <v>287</v>
      </c>
      <c r="B292" s="39" t="s">
        <v>9501</v>
      </c>
      <c r="C292" s="40" t="s">
        <v>6493</v>
      </c>
      <c r="D292" s="39" t="s">
        <v>6458</v>
      </c>
      <c r="E292" s="40" t="s">
        <v>5294</v>
      </c>
      <c r="F292" s="40" t="s">
        <v>9502</v>
      </c>
      <c r="G292" s="39" t="s">
        <v>109</v>
      </c>
      <c r="H292" s="40" t="s">
        <v>2927</v>
      </c>
      <c r="I292" s="40" t="s">
        <v>104</v>
      </c>
      <c r="J292" s="50"/>
      <c r="K292" s="116">
        <f>IFERROR(VLOOKUP(B292,BD_CONTROL!$A$5:$M$4235,11,0),"")</f>
        <v>0</v>
      </c>
      <c r="L292" s="117">
        <f>IFERROR(VLOOKUP(B292,BD_CONTROL!$A$5:$M$4235,12,0),"")</f>
        <v>0</v>
      </c>
      <c r="M292" s="118">
        <f>IFERROR(VLOOKUP(B292,BD_CONTROL!$A$5:$M$4235,13,0),"")</f>
        <v>0</v>
      </c>
    </row>
    <row r="293" spans="1:13" ht="15" customHeight="1">
      <c r="A293" s="42">
        <v>288</v>
      </c>
      <c r="B293" s="42" t="s">
        <v>9503</v>
      </c>
      <c r="C293" s="43" t="s">
        <v>6493</v>
      </c>
      <c r="D293" s="42" t="s">
        <v>6458</v>
      </c>
      <c r="E293" s="43" t="s">
        <v>8987</v>
      </c>
      <c r="F293" s="43" t="s">
        <v>9504</v>
      </c>
      <c r="G293" s="42" t="s">
        <v>109</v>
      </c>
      <c r="H293" s="43" t="s">
        <v>2927</v>
      </c>
      <c r="I293" s="43" t="s">
        <v>104</v>
      </c>
      <c r="J293" s="55"/>
      <c r="K293" s="119">
        <f>IFERROR(VLOOKUP(B293,BD_CONTROL!$A$5:$M$4235,11,0),"")</f>
        <v>0</v>
      </c>
      <c r="L293" s="120">
        <f>IFERROR(VLOOKUP(B293,BD_CONTROL!$A$5:$M$4235,12,0),"")</f>
        <v>0</v>
      </c>
      <c r="M293" s="121">
        <f>IFERROR(VLOOKUP(B293,BD_CONTROL!$A$5:$M$4235,13,0),"")</f>
        <v>0</v>
      </c>
    </row>
    <row r="294" spans="1:13" ht="15" customHeight="1">
      <c r="A294" s="39">
        <v>289</v>
      </c>
      <c r="B294" s="39" t="s">
        <v>9505</v>
      </c>
      <c r="C294" s="40" t="s">
        <v>9506</v>
      </c>
      <c r="D294" s="39" t="s">
        <v>6458</v>
      </c>
      <c r="E294" s="40" t="s">
        <v>9335</v>
      </c>
      <c r="F294" s="40" t="s">
        <v>9507</v>
      </c>
      <c r="G294" s="39" t="s">
        <v>109</v>
      </c>
      <c r="H294" s="40" t="s">
        <v>2927</v>
      </c>
      <c r="I294" s="40" t="s">
        <v>104</v>
      </c>
      <c r="J294" s="50"/>
      <c r="K294" s="116">
        <f>IFERROR(VLOOKUP(B294,BD_CONTROL!$A$5:$M$4235,11,0),"")</f>
        <v>0</v>
      </c>
      <c r="L294" s="117">
        <f>IFERROR(VLOOKUP(B294,BD_CONTROL!$A$5:$M$4235,12,0),"")</f>
        <v>0</v>
      </c>
      <c r="M294" s="118">
        <f>IFERROR(VLOOKUP(B294,BD_CONTROL!$A$5:$M$4235,13,0),"")</f>
        <v>0</v>
      </c>
    </row>
    <row r="295" spans="1:13" ht="15" customHeight="1">
      <c r="A295" s="42">
        <v>290</v>
      </c>
      <c r="B295" s="42" t="s">
        <v>9508</v>
      </c>
      <c r="C295" s="43" t="s">
        <v>9509</v>
      </c>
      <c r="D295" s="42" t="s">
        <v>6458</v>
      </c>
      <c r="E295" s="43" t="s">
        <v>9142</v>
      </c>
      <c r="F295" s="43" t="s">
        <v>9510</v>
      </c>
      <c r="G295" s="42" t="s">
        <v>109</v>
      </c>
      <c r="H295" s="43" t="s">
        <v>2927</v>
      </c>
      <c r="I295" s="43" t="s">
        <v>104</v>
      </c>
      <c r="J295" s="55"/>
      <c r="K295" s="119">
        <f>IFERROR(VLOOKUP(B295,BD_CONTROL!$A$5:$M$4235,11,0),"")</f>
        <v>0</v>
      </c>
      <c r="L295" s="120">
        <f>IFERROR(VLOOKUP(B295,BD_CONTROL!$A$5:$M$4235,12,0),"")</f>
        <v>0</v>
      </c>
      <c r="M295" s="121">
        <f>IFERROR(VLOOKUP(B295,BD_CONTROL!$A$5:$M$4235,13,0),"")</f>
        <v>0</v>
      </c>
    </row>
    <row r="296" spans="1:13" ht="15" customHeight="1">
      <c r="A296" s="39">
        <v>291</v>
      </c>
      <c r="B296" s="39" t="s">
        <v>9511</v>
      </c>
      <c r="C296" s="40" t="s">
        <v>9512</v>
      </c>
      <c r="D296" s="39" t="s">
        <v>5640</v>
      </c>
      <c r="E296" s="40" t="s">
        <v>9268</v>
      </c>
      <c r="F296" s="40" t="s">
        <v>9513</v>
      </c>
      <c r="G296" s="39" t="s">
        <v>109</v>
      </c>
      <c r="H296" s="40" t="s">
        <v>8982</v>
      </c>
      <c r="I296" s="40" t="s">
        <v>104</v>
      </c>
      <c r="J296" s="50"/>
      <c r="K296" s="116">
        <f>IFERROR(VLOOKUP(B296,BD_CONTROL!$A$5:$M$4235,11,0),"")</f>
        <v>0</v>
      </c>
      <c r="L296" s="117">
        <f>IFERROR(VLOOKUP(B296,BD_CONTROL!$A$5:$M$4235,12,0),"")</f>
        <v>0</v>
      </c>
      <c r="M296" s="118">
        <f>IFERROR(VLOOKUP(B296,BD_CONTROL!$A$5:$M$4235,13,0),"")</f>
        <v>0</v>
      </c>
    </row>
    <row r="297" spans="1:13" ht="15" customHeight="1">
      <c r="A297" s="42">
        <v>292</v>
      </c>
      <c r="B297" s="42" t="s">
        <v>9514</v>
      </c>
      <c r="C297" s="43" t="s">
        <v>9515</v>
      </c>
      <c r="D297" s="42" t="s">
        <v>5640</v>
      </c>
      <c r="E297" s="43" t="s">
        <v>9516</v>
      </c>
      <c r="F297" s="43" t="s">
        <v>9517</v>
      </c>
      <c r="G297" s="42" t="s">
        <v>109</v>
      </c>
      <c r="H297" s="43" t="s">
        <v>8982</v>
      </c>
      <c r="I297" s="43" t="s">
        <v>104</v>
      </c>
      <c r="J297" s="55"/>
      <c r="K297" s="119">
        <f>IFERROR(VLOOKUP(B297,BD_CONTROL!$A$5:$M$4235,11,0),"")</f>
        <v>0</v>
      </c>
      <c r="L297" s="120">
        <f>IFERROR(VLOOKUP(B297,BD_CONTROL!$A$5:$M$4235,12,0),"")</f>
        <v>0</v>
      </c>
      <c r="M297" s="121">
        <f>IFERROR(VLOOKUP(B297,BD_CONTROL!$A$5:$M$4235,13,0),"")</f>
        <v>0</v>
      </c>
    </row>
    <row r="298" spans="1:13" ht="15" customHeight="1">
      <c r="A298" s="39">
        <v>293</v>
      </c>
      <c r="B298" s="39" t="s">
        <v>9518</v>
      </c>
      <c r="C298" s="40" t="s">
        <v>5001</v>
      </c>
      <c r="D298" s="39" t="s">
        <v>5640</v>
      </c>
      <c r="E298" s="40" t="s">
        <v>9103</v>
      </c>
      <c r="F298" s="40" t="s">
        <v>9519</v>
      </c>
      <c r="G298" s="39" t="s">
        <v>109</v>
      </c>
      <c r="H298" s="40" t="s">
        <v>8982</v>
      </c>
      <c r="I298" s="40" t="s">
        <v>104</v>
      </c>
      <c r="J298" s="50"/>
      <c r="K298" s="116">
        <f>IFERROR(VLOOKUP(B298,BD_CONTROL!$A$5:$M$4235,11,0),"")</f>
        <v>0</v>
      </c>
      <c r="L298" s="117">
        <f>IFERROR(VLOOKUP(B298,BD_CONTROL!$A$5:$M$4235,12,0),"")</f>
        <v>0</v>
      </c>
      <c r="M298" s="118">
        <f>IFERROR(VLOOKUP(B298,BD_CONTROL!$A$5:$M$4235,13,0),"")</f>
        <v>0</v>
      </c>
    </row>
    <row r="299" spans="1:13" ht="15" customHeight="1">
      <c r="A299" s="42">
        <v>294</v>
      </c>
      <c r="B299" s="42" t="s">
        <v>9520</v>
      </c>
      <c r="C299" s="43" t="s">
        <v>9521</v>
      </c>
      <c r="D299" s="42" t="s">
        <v>5640</v>
      </c>
      <c r="E299" s="43" t="s">
        <v>8980</v>
      </c>
      <c r="F299" s="43" t="s">
        <v>9522</v>
      </c>
      <c r="G299" s="42" t="s">
        <v>109</v>
      </c>
      <c r="H299" s="43" t="s">
        <v>8982</v>
      </c>
      <c r="I299" s="43" t="s">
        <v>104</v>
      </c>
      <c r="J299" s="55"/>
      <c r="K299" s="119" t="str">
        <f>IFERROR(VLOOKUP(B299,BD_CONTROL!$A$5:$M$4235,11,0),"")</f>
        <v>Instalado - Operando</v>
      </c>
      <c r="L299" s="120">
        <f>IFERROR(VLOOKUP(B299,BD_CONTROL!$A$5:$M$4235,12,0),"")</f>
        <v>46149</v>
      </c>
      <c r="M299" s="121">
        <f>IFERROR(VLOOKUP(B299,BD_CONTROL!$A$5:$M$4235,13,0),"")</f>
        <v>0</v>
      </c>
    </row>
    <row r="300" spans="1:13" ht="15" customHeight="1">
      <c r="A300" s="39">
        <v>295</v>
      </c>
      <c r="B300" s="39" t="s">
        <v>7188</v>
      </c>
      <c r="C300" s="40" t="s">
        <v>7189</v>
      </c>
      <c r="D300" s="39" t="s">
        <v>7142</v>
      </c>
      <c r="E300" s="40" t="s">
        <v>7190</v>
      </c>
      <c r="F300" s="40" t="s">
        <v>7191</v>
      </c>
      <c r="G300" s="39" t="s">
        <v>109</v>
      </c>
      <c r="H300" s="40" t="s">
        <v>2927</v>
      </c>
      <c r="I300" s="40" t="s">
        <v>104</v>
      </c>
      <c r="J300" s="50"/>
      <c r="K300" s="116">
        <f>IFERROR(VLOOKUP(B300,BD_CONTROL!$A$5:$M$4235,11,0),"")</f>
        <v>0</v>
      </c>
      <c r="L300" s="117">
        <f>IFERROR(VLOOKUP(B300,BD_CONTROL!$A$5:$M$4235,12,0),"")</f>
        <v>0</v>
      </c>
      <c r="M300" s="118">
        <f>IFERROR(VLOOKUP(B300,BD_CONTROL!$A$5:$M$4235,13,0),"")</f>
        <v>0</v>
      </c>
    </row>
    <row r="301" spans="1:13" ht="15" customHeight="1">
      <c r="A301" s="42">
        <v>296</v>
      </c>
      <c r="B301" s="42" t="s">
        <v>9523</v>
      </c>
      <c r="C301" s="43" t="s">
        <v>9524</v>
      </c>
      <c r="D301" s="42" t="s">
        <v>5640</v>
      </c>
      <c r="E301" s="43" t="s">
        <v>9063</v>
      </c>
      <c r="F301" s="43" t="s">
        <v>9525</v>
      </c>
      <c r="G301" s="42" t="s">
        <v>109</v>
      </c>
      <c r="H301" s="43" t="s">
        <v>8982</v>
      </c>
      <c r="I301" s="43" t="s">
        <v>104</v>
      </c>
      <c r="J301" s="55"/>
      <c r="K301" s="119">
        <f>IFERROR(VLOOKUP(B301,BD_CONTROL!$A$5:$M$4235,11,0),"")</f>
        <v>0</v>
      </c>
      <c r="L301" s="120">
        <f>IFERROR(VLOOKUP(B301,BD_CONTROL!$A$5:$M$4235,12,0),"")</f>
        <v>0</v>
      </c>
      <c r="M301" s="121">
        <f>IFERROR(VLOOKUP(B301,BD_CONTROL!$A$5:$M$4235,13,0),"")</f>
        <v>0</v>
      </c>
    </row>
    <row r="302" spans="1:13" ht="15" customHeight="1">
      <c r="A302" s="39">
        <v>297</v>
      </c>
      <c r="B302" s="39" t="s">
        <v>9526</v>
      </c>
      <c r="C302" s="40" t="s">
        <v>9527</v>
      </c>
      <c r="D302" s="39" t="s">
        <v>5640</v>
      </c>
      <c r="E302" s="40" t="s">
        <v>4402</v>
      </c>
      <c r="F302" s="40" t="s">
        <v>4402</v>
      </c>
      <c r="G302" s="39" t="s">
        <v>109</v>
      </c>
      <c r="H302" s="40" t="s">
        <v>8982</v>
      </c>
      <c r="I302" s="40" t="s">
        <v>104</v>
      </c>
      <c r="J302" s="50"/>
      <c r="K302" s="116">
        <f>IFERROR(VLOOKUP(B302,BD_CONTROL!$A$5:$M$4235,11,0),"")</f>
        <v>0</v>
      </c>
      <c r="L302" s="117">
        <f>IFERROR(VLOOKUP(B302,BD_CONTROL!$A$5:$M$4235,12,0),"")</f>
        <v>0</v>
      </c>
      <c r="M302" s="118">
        <f>IFERROR(VLOOKUP(B302,BD_CONTROL!$A$5:$M$4235,13,0),"")</f>
        <v>0</v>
      </c>
    </row>
    <row r="303" spans="1:13" ht="15" customHeight="1">
      <c r="A303" s="42">
        <v>298</v>
      </c>
      <c r="B303" s="42" t="s">
        <v>9528</v>
      </c>
      <c r="C303" s="43" t="s">
        <v>6693</v>
      </c>
      <c r="D303" s="42" t="s">
        <v>6458</v>
      </c>
      <c r="E303" s="43" t="s">
        <v>9142</v>
      </c>
      <c r="F303" s="43" t="s">
        <v>9341</v>
      </c>
      <c r="G303" s="42" t="s">
        <v>109</v>
      </c>
      <c r="H303" s="43" t="s">
        <v>2927</v>
      </c>
      <c r="I303" s="43" t="s">
        <v>104</v>
      </c>
      <c r="J303" s="55"/>
      <c r="K303" s="119">
        <f>IFERROR(VLOOKUP(B303,BD_CONTROL!$A$5:$M$4235,11,0),"")</f>
        <v>0</v>
      </c>
      <c r="L303" s="120">
        <f>IFERROR(VLOOKUP(B303,BD_CONTROL!$A$5:$M$4235,12,0),"")</f>
        <v>0</v>
      </c>
      <c r="M303" s="121">
        <f>IFERROR(VLOOKUP(B303,BD_CONTROL!$A$5:$M$4235,13,0),"")</f>
        <v>0</v>
      </c>
    </row>
    <row r="304" spans="1:13" ht="15" customHeight="1">
      <c r="A304" s="39">
        <v>299</v>
      </c>
      <c r="B304" s="39" t="s">
        <v>9529</v>
      </c>
      <c r="C304" s="40" t="s">
        <v>9530</v>
      </c>
      <c r="D304" s="39" t="s">
        <v>5640</v>
      </c>
      <c r="E304" s="40" t="s">
        <v>9279</v>
      </c>
      <c r="F304" s="40" t="s">
        <v>1292</v>
      </c>
      <c r="G304" s="39" t="s">
        <v>109</v>
      </c>
      <c r="H304" s="40" t="s">
        <v>8982</v>
      </c>
      <c r="I304" s="40" t="s">
        <v>104</v>
      </c>
      <c r="J304" s="50"/>
      <c r="K304" s="116">
        <f>IFERROR(VLOOKUP(B304,BD_CONTROL!$A$5:$M$4235,11,0),"")</f>
        <v>0</v>
      </c>
      <c r="L304" s="117">
        <f>IFERROR(VLOOKUP(B304,BD_CONTROL!$A$5:$M$4235,12,0),"")</f>
        <v>0</v>
      </c>
      <c r="M304" s="118">
        <f>IFERROR(VLOOKUP(B304,BD_CONTROL!$A$5:$M$4235,13,0),"")</f>
        <v>0</v>
      </c>
    </row>
    <row r="305" spans="1:13" ht="15" customHeight="1">
      <c r="A305" s="42">
        <v>300</v>
      </c>
      <c r="B305" s="42" t="s">
        <v>9531</v>
      </c>
      <c r="C305" s="43" t="s">
        <v>9532</v>
      </c>
      <c r="D305" s="42" t="s">
        <v>5640</v>
      </c>
      <c r="E305" s="43" t="s">
        <v>9513</v>
      </c>
      <c r="F305" s="43" t="s">
        <v>4397</v>
      </c>
      <c r="G305" s="42" t="s">
        <v>109</v>
      </c>
      <c r="H305" s="43" t="s">
        <v>8982</v>
      </c>
      <c r="I305" s="43" t="s">
        <v>104</v>
      </c>
      <c r="J305" s="55"/>
      <c r="K305" s="119">
        <f>IFERROR(VLOOKUP(B305,BD_CONTROL!$A$5:$M$4235,11,0),"")</f>
        <v>0</v>
      </c>
      <c r="L305" s="120">
        <f>IFERROR(VLOOKUP(B305,BD_CONTROL!$A$5:$M$4235,12,0),"")</f>
        <v>0</v>
      </c>
      <c r="M305" s="121">
        <f>IFERROR(VLOOKUP(B305,BD_CONTROL!$A$5:$M$4235,13,0),"")</f>
        <v>0</v>
      </c>
    </row>
    <row r="306" spans="1:13" ht="15" customHeight="1">
      <c r="A306" s="39">
        <v>301</v>
      </c>
      <c r="B306" s="39" t="s">
        <v>9533</v>
      </c>
      <c r="C306" s="40" t="s">
        <v>9534</v>
      </c>
      <c r="D306" s="39" t="s">
        <v>6458</v>
      </c>
      <c r="E306" s="40" t="s">
        <v>9094</v>
      </c>
      <c r="F306" s="40" t="s">
        <v>9535</v>
      </c>
      <c r="G306" s="39" t="s">
        <v>109</v>
      </c>
      <c r="H306" s="40" t="s">
        <v>2927</v>
      </c>
      <c r="I306" s="40" t="s">
        <v>104</v>
      </c>
      <c r="J306" s="50"/>
      <c r="K306" s="116">
        <f>IFERROR(VLOOKUP(B306,BD_CONTROL!$A$5:$M$4235,11,0),"")</f>
        <v>0</v>
      </c>
      <c r="L306" s="117">
        <f>IFERROR(VLOOKUP(B306,BD_CONTROL!$A$5:$M$4235,12,0),"")</f>
        <v>0</v>
      </c>
      <c r="M306" s="118">
        <f>IFERROR(VLOOKUP(B306,BD_CONTROL!$A$5:$M$4235,13,0),"")</f>
        <v>0</v>
      </c>
    </row>
    <row r="307" spans="1:13" ht="15" customHeight="1">
      <c r="A307" s="42">
        <v>302</v>
      </c>
      <c r="B307" s="42" t="s">
        <v>9536</v>
      </c>
      <c r="C307" s="43" t="s">
        <v>9537</v>
      </c>
      <c r="D307" s="42" t="s">
        <v>6458</v>
      </c>
      <c r="E307" s="43" t="s">
        <v>9038</v>
      </c>
      <c r="F307" s="43" t="s">
        <v>9538</v>
      </c>
      <c r="G307" s="42" t="s">
        <v>109</v>
      </c>
      <c r="H307" s="43" t="s">
        <v>2927</v>
      </c>
      <c r="I307" s="43" t="s">
        <v>104</v>
      </c>
      <c r="J307" s="55"/>
      <c r="K307" s="119" t="str">
        <f>IFERROR(VLOOKUP(B307,BD_CONTROL!$A$5:$M$4235,11,0),"")</f>
        <v>Instalado - Operando</v>
      </c>
      <c r="L307" s="120">
        <f>IFERROR(VLOOKUP(B307,BD_CONTROL!$A$5:$M$4235,12,0),"")</f>
        <v>46150</v>
      </c>
      <c r="M307" s="121">
        <f>IFERROR(VLOOKUP(B307,BD_CONTROL!$A$5:$M$4235,13,0),"")</f>
        <v>0</v>
      </c>
    </row>
    <row r="308" spans="1:13" ht="15" customHeight="1">
      <c r="A308" s="39">
        <v>303</v>
      </c>
      <c r="B308" s="39" t="s">
        <v>9539</v>
      </c>
      <c r="C308" s="40" t="s">
        <v>4751</v>
      </c>
      <c r="D308" s="39" t="s">
        <v>6458</v>
      </c>
      <c r="E308" s="40" t="s">
        <v>9038</v>
      </c>
      <c r="F308" s="40" t="s">
        <v>9540</v>
      </c>
      <c r="G308" s="39" t="s">
        <v>109</v>
      </c>
      <c r="H308" s="40" t="s">
        <v>2927</v>
      </c>
      <c r="I308" s="40" t="s">
        <v>104</v>
      </c>
      <c r="J308" s="50"/>
      <c r="K308" s="116" t="str">
        <f>IFERROR(VLOOKUP(B308,BD_CONTROL!$A$5:$M$4235,11,0),"")</f>
        <v>Instalado - Operando</v>
      </c>
      <c r="L308" s="117">
        <f>IFERROR(VLOOKUP(B308,BD_CONTROL!$A$5:$M$4235,12,0),"")</f>
        <v>46148</v>
      </c>
      <c r="M308" s="118">
        <f>IFERROR(VLOOKUP(B308,BD_CONTROL!$A$5:$M$4235,13,0),"")</f>
        <v>0</v>
      </c>
    </row>
    <row r="309" spans="1:13" ht="15" customHeight="1">
      <c r="A309" s="42">
        <v>304</v>
      </c>
      <c r="B309" s="42" t="s">
        <v>9541</v>
      </c>
      <c r="C309" s="43" t="s">
        <v>4751</v>
      </c>
      <c r="D309" s="42" t="s">
        <v>6458</v>
      </c>
      <c r="E309" s="43" t="s">
        <v>9448</v>
      </c>
      <c r="F309" s="43" t="s">
        <v>9542</v>
      </c>
      <c r="G309" s="42" t="s">
        <v>109</v>
      </c>
      <c r="H309" s="43" t="s">
        <v>2927</v>
      </c>
      <c r="I309" s="43" t="s">
        <v>104</v>
      </c>
      <c r="J309" s="55"/>
      <c r="K309" s="119">
        <f>IFERROR(VLOOKUP(B309,BD_CONTROL!$A$5:$M$4235,11,0),"")</f>
        <v>0</v>
      </c>
      <c r="L309" s="120">
        <f>IFERROR(VLOOKUP(B309,BD_CONTROL!$A$5:$M$4235,12,0),"")</f>
        <v>0</v>
      </c>
      <c r="M309" s="121">
        <f>IFERROR(VLOOKUP(B309,BD_CONTROL!$A$5:$M$4235,13,0),"")</f>
        <v>0</v>
      </c>
    </row>
    <row r="310" spans="1:13" ht="15" customHeight="1">
      <c r="A310" s="39">
        <v>305</v>
      </c>
      <c r="B310" s="39" t="s">
        <v>9543</v>
      </c>
      <c r="C310" s="40" t="s">
        <v>3370</v>
      </c>
      <c r="D310" s="39" t="s">
        <v>5640</v>
      </c>
      <c r="E310" s="40" t="s">
        <v>9030</v>
      </c>
      <c r="F310" s="40" t="s">
        <v>1790</v>
      </c>
      <c r="G310" s="39" t="s">
        <v>109</v>
      </c>
      <c r="H310" s="40" t="s">
        <v>8982</v>
      </c>
      <c r="I310" s="40" t="s">
        <v>104</v>
      </c>
      <c r="J310" s="50"/>
      <c r="K310" s="116">
        <f>IFERROR(VLOOKUP(B310,BD_CONTROL!$A$5:$M$4235,11,0),"")</f>
        <v>0</v>
      </c>
      <c r="L310" s="117">
        <f>IFERROR(VLOOKUP(B310,BD_CONTROL!$A$5:$M$4235,12,0),"")</f>
        <v>0</v>
      </c>
      <c r="M310" s="118">
        <f>IFERROR(VLOOKUP(B310,BD_CONTROL!$A$5:$M$4235,13,0),"")</f>
        <v>0</v>
      </c>
    </row>
    <row r="311" spans="1:13" ht="15" customHeight="1">
      <c r="A311" s="42">
        <v>306</v>
      </c>
      <c r="B311" s="42" t="s">
        <v>9544</v>
      </c>
      <c r="C311" s="43" t="s">
        <v>745</v>
      </c>
      <c r="D311" s="42" t="s">
        <v>5640</v>
      </c>
      <c r="E311" s="43" t="s">
        <v>9545</v>
      </c>
      <c r="F311" s="43" t="s">
        <v>9546</v>
      </c>
      <c r="G311" s="42" t="s">
        <v>109</v>
      </c>
      <c r="H311" s="43" t="s">
        <v>8982</v>
      </c>
      <c r="I311" s="43" t="s">
        <v>104</v>
      </c>
      <c r="J311" s="55"/>
      <c r="K311" s="119">
        <f>IFERROR(VLOOKUP(B311,BD_CONTROL!$A$5:$M$4235,11,0),"")</f>
        <v>0</v>
      </c>
      <c r="L311" s="120">
        <f>IFERROR(VLOOKUP(B311,BD_CONTROL!$A$5:$M$4235,12,0),"")</f>
        <v>0</v>
      </c>
      <c r="M311" s="121">
        <f>IFERROR(VLOOKUP(B311,BD_CONTROL!$A$5:$M$4235,13,0),"")</f>
        <v>0</v>
      </c>
    </row>
    <row r="312" spans="1:13" ht="15" customHeight="1">
      <c r="A312" s="39">
        <v>307</v>
      </c>
      <c r="B312" s="39" t="s">
        <v>9547</v>
      </c>
      <c r="C312" s="40" t="s">
        <v>745</v>
      </c>
      <c r="D312" s="39" t="s">
        <v>6458</v>
      </c>
      <c r="E312" s="40" t="s">
        <v>9321</v>
      </c>
      <c r="F312" s="40" t="s">
        <v>9548</v>
      </c>
      <c r="G312" s="39" t="s">
        <v>109</v>
      </c>
      <c r="H312" s="40" t="s">
        <v>2927</v>
      </c>
      <c r="I312" s="40" t="s">
        <v>104</v>
      </c>
      <c r="J312" s="50"/>
      <c r="K312" s="116">
        <f>IFERROR(VLOOKUP(B312,BD_CONTROL!$A$5:$M$4235,11,0),"")</f>
        <v>0</v>
      </c>
      <c r="L312" s="117">
        <f>IFERROR(VLOOKUP(B312,BD_CONTROL!$A$5:$M$4235,12,0),"")</f>
        <v>0</v>
      </c>
      <c r="M312" s="118">
        <f>IFERROR(VLOOKUP(B312,BD_CONTROL!$A$5:$M$4235,13,0),"")</f>
        <v>0</v>
      </c>
    </row>
    <row r="313" spans="1:13" ht="15" customHeight="1">
      <c r="A313" s="42">
        <v>308</v>
      </c>
      <c r="B313" s="42" t="s">
        <v>9549</v>
      </c>
      <c r="C313" s="43" t="s">
        <v>745</v>
      </c>
      <c r="D313" s="42" t="s">
        <v>6458</v>
      </c>
      <c r="E313" s="43" t="s">
        <v>9125</v>
      </c>
      <c r="F313" s="43" t="s">
        <v>9550</v>
      </c>
      <c r="G313" s="42" t="s">
        <v>109</v>
      </c>
      <c r="H313" s="43" t="s">
        <v>2927</v>
      </c>
      <c r="I313" s="43" t="s">
        <v>104</v>
      </c>
      <c r="J313" s="55"/>
      <c r="K313" s="119">
        <f>IFERROR(VLOOKUP(B313,BD_CONTROL!$A$5:$M$4235,11,0),"")</f>
        <v>0</v>
      </c>
      <c r="L313" s="120">
        <f>IFERROR(VLOOKUP(B313,BD_CONTROL!$A$5:$M$4235,12,0),"")</f>
        <v>0</v>
      </c>
      <c r="M313" s="121">
        <f>IFERROR(VLOOKUP(B313,BD_CONTROL!$A$5:$M$4235,13,0),"")</f>
        <v>0</v>
      </c>
    </row>
    <row r="314" spans="1:13" ht="15" customHeight="1">
      <c r="A314" s="39">
        <v>309</v>
      </c>
      <c r="B314" s="39" t="s">
        <v>9551</v>
      </c>
      <c r="C314" s="40" t="s">
        <v>3454</v>
      </c>
      <c r="D314" s="39" t="s">
        <v>5640</v>
      </c>
      <c r="E314" s="40" t="s">
        <v>9103</v>
      </c>
      <c r="F314" s="40" t="s">
        <v>9552</v>
      </c>
      <c r="G314" s="39" t="s">
        <v>109</v>
      </c>
      <c r="H314" s="40" t="s">
        <v>8982</v>
      </c>
      <c r="I314" s="40" t="s">
        <v>104</v>
      </c>
      <c r="J314" s="50"/>
      <c r="K314" s="116" t="str">
        <f>IFERROR(VLOOKUP(B314,BD_CONTROL!$A$5:$M$4235,11,0),"")</f>
        <v>Instalado - Sin Señal</v>
      </c>
      <c r="L314" s="117">
        <f>IFERROR(VLOOKUP(B314,BD_CONTROL!$A$5:$M$4235,12,0),"")</f>
        <v>46153</v>
      </c>
      <c r="M314" s="118">
        <f>IFERROR(VLOOKUP(B314,BD_CONTROL!$A$5:$M$4235,13,0),"")</f>
        <v>0</v>
      </c>
    </row>
    <row r="315" spans="1:13" ht="15" customHeight="1">
      <c r="A315" s="42">
        <v>310</v>
      </c>
      <c r="B315" s="42" t="s">
        <v>9553</v>
      </c>
      <c r="C315" s="43" t="s">
        <v>3454</v>
      </c>
      <c r="D315" s="42" t="s">
        <v>5640</v>
      </c>
      <c r="E315" s="43" t="s">
        <v>9030</v>
      </c>
      <c r="F315" s="43" t="s">
        <v>3655</v>
      </c>
      <c r="G315" s="42" t="s">
        <v>102</v>
      </c>
      <c r="H315" s="43" t="s">
        <v>8982</v>
      </c>
      <c r="I315" s="43" t="s">
        <v>104</v>
      </c>
      <c r="J315" s="55"/>
      <c r="K315" s="119">
        <f>IFERROR(VLOOKUP(B315,BD_CONTROL!$A$5:$M$4235,11,0),"")</f>
        <v>0</v>
      </c>
      <c r="L315" s="120">
        <f>IFERROR(VLOOKUP(B315,BD_CONTROL!$A$5:$M$4235,12,0),"")</f>
        <v>0</v>
      </c>
      <c r="M315" s="121">
        <f>IFERROR(VLOOKUP(B315,BD_CONTROL!$A$5:$M$4235,13,0),"")</f>
        <v>0</v>
      </c>
    </row>
    <row r="316" spans="1:13" ht="15" customHeight="1">
      <c r="A316" s="39">
        <v>311</v>
      </c>
      <c r="B316" s="39" t="s">
        <v>9554</v>
      </c>
      <c r="C316" s="40" t="s">
        <v>4041</v>
      </c>
      <c r="D316" s="39" t="s">
        <v>5640</v>
      </c>
      <c r="E316" s="40" t="s">
        <v>9171</v>
      </c>
      <c r="F316" s="40" t="s">
        <v>4041</v>
      </c>
      <c r="G316" s="39" t="s">
        <v>109</v>
      </c>
      <c r="H316" s="40" t="s">
        <v>8982</v>
      </c>
      <c r="I316" s="40" t="s">
        <v>104</v>
      </c>
      <c r="J316" s="50"/>
      <c r="K316" s="116" t="str">
        <f>IFERROR(VLOOKUP(B316,BD_CONTROL!$A$5:$M$4235,11,0),"")</f>
        <v>Instalado - Operando</v>
      </c>
      <c r="L316" s="117">
        <f>IFERROR(VLOOKUP(B316,BD_CONTROL!$A$5:$M$4235,12,0),"")</f>
        <v>46149</v>
      </c>
      <c r="M316" s="118">
        <f>IFERROR(VLOOKUP(B316,BD_CONTROL!$A$5:$M$4235,13,0),"")</f>
        <v>0</v>
      </c>
    </row>
    <row r="317" spans="1:13" ht="15" customHeight="1">
      <c r="A317" s="42">
        <v>312</v>
      </c>
      <c r="B317" s="42" t="s">
        <v>9555</v>
      </c>
      <c r="C317" s="43" t="s">
        <v>3426</v>
      </c>
      <c r="D317" s="42" t="s">
        <v>5640</v>
      </c>
      <c r="E317" s="43" t="s">
        <v>9545</v>
      </c>
      <c r="F317" s="43" t="s">
        <v>9556</v>
      </c>
      <c r="G317" s="42" t="s">
        <v>109</v>
      </c>
      <c r="H317" s="43" t="s">
        <v>8982</v>
      </c>
      <c r="I317" s="43" t="s">
        <v>104</v>
      </c>
      <c r="J317" s="55"/>
      <c r="K317" s="119">
        <f>IFERROR(VLOOKUP(B317,BD_CONTROL!$A$5:$M$4235,11,0),"")</f>
        <v>0</v>
      </c>
      <c r="L317" s="120">
        <f>IFERROR(VLOOKUP(B317,BD_CONTROL!$A$5:$M$4235,12,0),"")</f>
        <v>0</v>
      </c>
      <c r="M317" s="121">
        <f>IFERROR(VLOOKUP(B317,BD_CONTROL!$A$5:$M$4235,13,0),"")</f>
        <v>0</v>
      </c>
    </row>
    <row r="318" spans="1:13" ht="15" customHeight="1">
      <c r="A318" s="39">
        <v>313</v>
      </c>
      <c r="B318" s="39" t="s">
        <v>9557</v>
      </c>
      <c r="C318" s="40" t="s">
        <v>1313</v>
      </c>
      <c r="D318" s="39" t="s">
        <v>5640</v>
      </c>
      <c r="E318" s="40" t="s">
        <v>9171</v>
      </c>
      <c r="F318" s="40" t="s">
        <v>9558</v>
      </c>
      <c r="G318" s="39" t="s">
        <v>109</v>
      </c>
      <c r="H318" s="40" t="s">
        <v>8982</v>
      </c>
      <c r="I318" s="40" t="s">
        <v>104</v>
      </c>
      <c r="J318" s="50"/>
      <c r="K318" s="116">
        <f>IFERROR(VLOOKUP(B318,BD_CONTROL!$A$5:$M$4235,11,0),"")</f>
        <v>0</v>
      </c>
      <c r="L318" s="117">
        <f>IFERROR(VLOOKUP(B318,BD_CONTROL!$A$5:$M$4235,12,0),"")</f>
        <v>0</v>
      </c>
      <c r="M318" s="118">
        <f>IFERROR(VLOOKUP(B318,BD_CONTROL!$A$5:$M$4235,13,0),"")</f>
        <v>0</v>
      </c>
    </row>
    <row r="319" spans="1:13" ht="15" customHeight="1">
      <c r="A319" s="42">
        <v>314</v>
      </c>
      <c r="B319" s="42" t="s">
        <v>9559</v>
      </c>
      <c r="C319" s="43" t="s">
        <v>5657</v>
      </c>
      <c r="D319" s="42" t="s">
        <v>5640</v>
      </c>
      <c r="E319" s="43" t="s">
        <v>5657</v>
      </c>
      <c r="F319" s="43" t="s">
        <v>5657</v>
      </c>
      <c r="G319" s="42" t="s">
        <v>109</v>
      </c>
      <c r="H319" s="43" t="s">
        <v>8982</v>
      </c>
      <c r="I319" s="43" t="s">
        <v>104</v>
      </c>
      <c r="J319" s="55"/>
      <c r="K319" s="119">
        <f>IFERROR(VLOOKUP(B319,BD_CONTROL!$A$5:$M$4235,11,0),"")</f>
        <v>0</v>
      </c>
      <c r="L319" s="120">
        <f>IFERROR(VLOOKUP(B319,BD_CONTROL!$A$5:$M$4235,12,0),"")</f>
        <v>0</v>
      </c>
      <c r="M319" s="121">
        <f>IFERROR(VLOOKUP(B319,BD_CONTROL!$A$5:$M$4235,13,0),"")</f>
        <v>0</v>
      </c>
    </row>
    <row r="320" spans="1:13" ht="15" customHeight="1">
      <c r="A320" s="39">
        <v>315</v>
      </c>
      <c r="B320" s="39" t="s">
        <v>9560</v>
      </c>
      <c r="C320" s="40" t="s">
        <v>1348</v>
      </c>
      <c r="D320" s="39" t="s">
        <v>5640</v>
      </c>
      <c r="E320" s="40" t="s">
        <v>9020</v>
      </c>
      <c r="F320" s="40" t="s">
        <v>9561</v>
      </c>
      <c r="G320" s="39" t="s">
        <v>109</v>
      </c>
      <c r="H320" s="40" t="s">
        <v>8982</v>
      </c>
      <c r="I320" s="40" t="s">
        <v>104</v>
      </c>
      <c r="J320" s="50"/>
      <c r="K320" s="116">
        <f>IFERROR(VLOOKUP(B320,BD_CONTROL!$A$5:$M$4235,11,0),"")</f>
        <v>0</v>
      </c>
      <c r="L320" s="117">
        <f>IFERROR(VLOOKUP(B320,BD_CONTROL!$A$5:$M$4235,12,0),"")</f>
        <v>0</v>
      </c>
      <c r="M320" s="118">
        <f>IFERROR(VLOOKUP(B320,BD_CONTROL!$A$5:$M$4235,13,0),"")</f>
        <v>0</v>
      </c>
    </row>
    <row r="321" spans="1:13" ht="15" customHeight="1">
      <c r="A321" s="42">
        <v>316</v>
      </c>
      <c r="B321" s="42" t="s">
        <v>9562</v>
      </c>
      <c r="C321" s="43" t="s">
        <v>1348</v>
      </c>
      <c r="D321" s="42" t="s">
        <v>5640</v>
      </c>
      <c r="E321" s="43" t="s">
        <v>5803</v>
      </c>
      <c r="F321" s="43" t="s">
        <v>9563</v>
      </c>
      <c r="G321" s="42" t="s">
        <v>109</v>
      </c>
      <c r="H321" s="43" t="s">
        <v>8982</v>
      </c>
      <c r="I321" s="43" t="s">
        <v>104</v>
      </c>
      <c r="J321" s="55"/>
      <c r="K321" s="119">
        <f>IFERROR(VLOOKUP(B321,BD_CONTROL!$A$5:$M$4235,11,0),"")</f>
        <v>0</v>
      </c>
      <c r="L321" s="120">
        <f>IFERROR(VLOOKUP(B321,BD_CONTROL!$A$5:$M$4235,12,0),"")</f>
        <v>0</v>
      </c>
      <c r="M321" s="121">
        <f>IFERROR(VLOOKUP(B321,BD_CONTROL!$A$5:$M$4235,13,0),"")</f>
        <v>0</v>
      </c>
    </row>
    <row r="322" spans="1:13" ht="15" customHeight="1">
      <c r="A322" s="39">
        <v>317</v>
      </c>
      <c r="B322" s="39" t="s">
        <v>9564</v>
      </c>
      <c r="C322" s="40" t="s">
        <v>1348</v>
      </c>
      <c r="D322" s="39" t="s">
        <v>6458</v>
      </c>
      <c r="E322" s="40" t="s">
        <v>9094</v>
      </c>
      <c r="F322" s="40" t="s">
        <v>9565</v>
      </c>
      <c r="G322" s="39" t="s">
        <v>109</v>
      </c>
      <c r="H322" s="40" t="s">
        <v>2927</v>
      </c>
      <c r="I322" s="40" t="s">
        <v>104</v>
      </c>
      <c r="J322" s="50"/>
      <c r="K322" s="116">
        <f>IFERROR(VLOOKUP(B322,BD_CONTROL!$A$5:$M$4235,11,0),"")</f>
        <v>0</v>
      </c>
      <c r="L322" s="117">
        <f>IFERROR(VLOOKUP(B322,BD_CONTROL!$A$5:$M$4235,12,0),"")</f>
        <v>0</v>
      </c>
      <c r="M322" s="118">
        <f>IFERROR(VLOOKUP(B322,BD_CONTROL!$A$5:$M$4235,13,0),"")</f>
        <v>0</v>
      </c>
    </row>
    <row r="323" spans="1:13" ht="15" customHeight="1">
      <c r="A323" s="42">
        <v>318</v>
      </c>
      <c r="B323" s="42" t="s">
        <v>9566</v>
      </c>
      <c r="C323" s="43" t="s">
        <v>1348</v>
      </c>
      <c r="D323" s="42" t="s">
        <v>6458</v>
      </c>
      <c r="E323" s="43" t="s">
        <v>3341</v>
      </c>
      <c r="F323" s="43" t="s">
        <v>9567</v>
      </c>
      <c r="G323" s="42" t="s">
        <v>109</v>
      </c>
      <c r="H323" s="43" t="s">
        <v>2927</v>
      </c>
      <c r="I323" s="43" t="s">
        <v>104</v>
      </c>
      <c r="J323" s="55"/>
      <c r="K323" s="119">
        <f>IFERROR(VLOOKUP(B323,BD_CONTROL!$A$5:$M$4235,11,0),"")</f>
        <v>0</v>
      </c>
      <c r="L323" s="120">
        <f>IFERROR(VLOOKUP(B323,BD_CONTROL!$A$5:$M$4235,12,0),"")</f>
        <v>0</v>
      </c>
      <c r="M323" s="121">
        <f>IFERROR(VLOOKUP(B323,BD_CONTROL!$A$5:$M$4235,13,0),"")</f>
        <v>0</v>
      </c>
    </row>
    <row r="324" spans="1:13" ht="15" customHeight="1">
      <c r="A324" s="39">
        <v>319</v>
      </c>
      <c r="B324" s="39" t="s">
        <v>9568</v>
      </c>
      <c r="C324" s="40" t="s">
        <v>9569</v>
      </c>
      <c r="D324" s="39" t="s">
        <v>5640</v>
      </c>
      <c r="E324" s="40" t="s">
        <v>5962</v>
      </c>
      <c r="F324" s="40" t="s">
        <v>9570</v>
      </c>
      <c r="G324" s="39" t="s">
        <v>109</v>
      </c>
      <c r="H324" s="40" t="s">
        <v>8982</v>
      </c>
      <c r="I324" s="40" t="s">
        <v>104</v>
      </c>
      <c r="J324" s="50"/>
      <c r="K324" s="116">
        <f>IFERROR(VLOOKUP(B324,BD_CONTROL!$A$5:$M$4235,11,0),"")</f>
        <v>0</v>
      </c>
      <c r="L324" s="117">
        <f>IFERROR(VLOOKUP(B324,BD_CONTROL!$A$5:$M$4235,12,0),"")</f>
        <v>0</v>
      </c>
      <c r="M324" s="118">
        <f>IFERROR(VLOOKUP(B324,BD_CONTROL!$A$5:$M$4235,13,0),"")</f>
        <v>0</v>
      </c>
    </row>
    <row r="325" spans="1:13" ht="15" customHeight="1">
      <c r="A325" s="42">
        <v>320</v>
      </c>
      <c r="B325" s="42" t="s">
        <v>9571</v>
      </c>
      <c r="C325" s="43" t="s">
        <v>9569</v>
      </c>
      <c r="D325" s="42" t="s">
        <v>5640</v>
      </c>
      <c r="E325" s="43" t="s">
        <v>9229</v>
      </c>
      <c r="F325" s="43" t="s">
        <v>9572</v>
      </c>
      <c r="G325" s="42" t="s">
        <v>109</v>
      </c>
      <c r="H325" s="43" t="s">
        <v>8982</v>
      </c>
      <c r="I325" s="43" t="s">
        <v>104</v>
      </c>
      <c r="J325" s="55"/>
      <c r="K325" s="119">
        <f>IFERROR(VLOOKUP(B325,BD_CONTROL!$A$5:$M$4235,11,0),"")</f>
        <v>0</v>
      </c>
      <c r="L325" s="120">
        <f>IFERROR(VLOOKUP(B325,BD_CONTROL!$A$5:$M$4235,12,0),"")</f>
        <v>0</v>
      </c>
      <c r="M325" s="121">
        <f>IFERROR(VLOOKUP(B325,BD_CONTROL!$A$5:$M$4235,13,0),"")</f>
        <v>0</v>
      </c>
    </row>
    <row r="326" spans="1:13" ht="15" customHeight="1">
      <c r="A326" s="39">
        <v>321</v>
      </c>
      <c r="B326" s="39" t="s">
        <v>9573</v>
      </c>
      <c r="C326" s="40" t="s">
        <v>1374</v>
      </c>
      <c r="D326" s="39" t="s">
        <v>5640</v>
      </c>
      <c r="E326" s="40" t="s">
        <v>8990</v>
      </c>
      <c r="F326" s="40" t="s">
        <v>9574</v>
      </c>
      <c r="G326" s="39" t="s">
        <v>109</v>
      </c>
      <c r="H326" s="40" t="s">
        <v>8982</v>
      </c>
      <c r="I326" s="40" t="s">
        <v>104</v>
      </c>
      <c r="J326" s="50"/>
      <c r="K326" s="116">
        <f>IFERROR(VLOOKUP(B326,BD_CONTROL!$A$5:$M$4235,11,0),"")</f>
        <v>0</v>
      </c>
      <c r="L326" s="117">
        <f>IFERROR(VLOOKUP(B326,BD_CONTROL!$A$5:$M$4235,12,0),"")</f>
        <v>0</v>
      </c>
      <c r="M326" s="118">
        <f>IFERROR(VLOOKUP(B326,BD_CONTROL!$A$5:$M$4235,13,0),"")</f>
        <v>0</v>
      </c>
    </row>
    <row r="327" spans="1:13" ht="15" customHeight="1">
      <c r="A327" s="42">
        <v>322</v>
      </c>
      <c r="B327" s="42" t="s">
        <v>9575</v>
      </c>
      <c r="C327" s="43" t="s">
        <v>1374</v>
      </c>
      <c r="D327" s="42" t="s">
        <v>5640</v>
      </c>
      <c r="E327" s="43" t="s">
        <v>9576</v>
      </c>
      <c r="F327" s="43" t="s">
        <v>9577</v>
      </c>
      <c r="G327" s="42" t="s">
        <v>109</v>
      </c>
      <c r="H327" s="43" t="s">
        <v>8982</v>
      </c>
      <c r="I327" s="43" t="s">
        <v>104</v>
      </c>
      <c r="J327" s="55"/>
      <c r="K327" s="119">
        <f>IFERROR(VLOOKUP(B327,BD_CONTROL!$A$5:$M$4235,11,0),"")</f>
        <v>0</v>
      </c>
      <c r="L327" s="120">
        <f>IFERROR(VLOOKUP(B327,BD_CONTROL!$A$5:$M$4235,12,0),"")</f>
        <v>0</v>
      </c>
      <c r="M327" s="121">
        <f>IFERROR(VLOOKUP(B327,BD_CONTROL!$A$5:$M$4235,13,0),"")</f>
        <v>0</v>
      </c>
    </row>
    <row r="328" spans="1:13" ht="15" customHeight="1">
      <c r="A328" s="39">
        <v>323</v>
      </c>
      <c r="B328" s="39" t="s">
        <v>9578</v>
      </c>
      <c r="C328" s="40" t="s">
        <v>1374</v>
      </c>
      <c r="D328" s="39" t="s">
        <v>5640</v>
      </c>
      <c r="E328" s="40" t="s">
        <v>9268</v>
      </c>
      <c r="F328" s="40" t="s">
        <v>9579</v>
      </c>
      <c r="G328" s="39" t="s">
        <v>109</v>
      </c>
      <c r="H328" s="40" t="s">
        <v>8982</v>
      </c>
      <c r="I328" s="40" t="s">
        <v>104</v>
      </c>
      <c r="J328" s="50"/>
      <c r="K328" s="116">
        <f>IFERROR(VLOOKUP(B328,BD_CONTROL!$A$5:$M$4235,11,0),"")</f>
        <v>0</v>
      </c>
      <c r="L328" s="117">
        <f>IFERROR(VLOOKUP(B328,BD_CONTROL!$A$5:$M$4235,12,0),"")</f>
        <v>0</v>
      </c>
      <c r="M328" s="118">
        <f>IFERROR(VLOOKUP(B328,BD_CONTROL!$A$5:$M$4235,13,0),"")</f>
        <v>0</v>
      </c>
    </row>
    <row r="329" spans="1:13" ht="15" customHeight="1">
      <c r="A329" s="42">
        <v>324</v>
      </c>
      <c r="B329" s="42" t="s">
        <v>9580</v>
      </c>
      <c r="C329" s="43" t="s">
        <v>9581</v>
      </c>
      <c r="D329" s="42" t="s">
        <v>553</v>
      </c>
      <c r="E329" s="43" t="s">
        <v>3227</v>
      </c>
      <c r="F329" s="43" t="s">
        <v>9581</v>
      </c>
      <c r="G329" s="42" t="s">
        <v>109</v>
      </c>
      <c r="H329" s="43" t="s">
        <v>8982</v>
      </c>
      <c r="I329" s="43" t="s">
        <v>104</v>
      </c>
      <c r="J329" s="55"/>
      <c r="K329" s="119">
        <f>IFERROR(VLOOKUP(B329,BD_CONTROL!$A$5:$M$4235,11,0),"")</f>
        <v>0</v>
      </c>
      <c r="L329" s="120">
        <f>IFERROR(VLOOKUP(B329,BD_CONTROL!$A$5:$M$4235,12,0),"")</f>
        <v>0</v>
      </c>
      <c r="M329" s="121">
        <f>IFERROR(VLOOKUP(B329,BD_CONTROL!$A$5:$M$4235,13,0),"")</f>
        <v>0</v>
      </c>
    </row>
    <row r="330" spans="1:13" ht="15" customHeight="1">
      <c r="A330" s="39">
        <v>325</v>
      </c>
      <c r="B330" s="39" t="s">
        <v>9582</v>
      </c>
      <c r="C330" s="40" t="s">
        <v>9583</v>
      </c>
      <c r="D330" s="39" t="s">
        <v>5640</v>
      </c>
      <c r="E330" s="40" t="s">
        <v>9030</v>
      </c>
      <c r="F330" s="40" t="s">
        <v>9584</v>
      </c>
      <c r="G330" s="39" t="s">
        <v>109</v>
      </c>
      <c r="H330" s="40" t="s">
        <v>8982</v>
      </c>
      <c r="I330" s="40" t="s">
        <v>104</v>
      </c>
      <c r="J330" s="50"/>
      <c r="K330" s="116" t="str">
        <f>IFERROR(VLOOKUP(B330,BD_CONTROL!$A$5:$M$4235,11,0),"")</f>
        <v>Instalado - Operando</v>
      </c>
      <c r="L330" s="117">
        <f>IFERROR(VLOOKUP(B330,BD_CONTROL!$A$5:$M$4235,12,0),"")</f>
        <v>46150</v>
      </c>
      <c r="M330" s="118">
        <f>IFERROR(VLOOKUP(B330,BD_CONTROL!$A$5:$M$4235,13,0),"")</f>
        <v>0</v>
      </c>
    </row>
    <row r="331" spans="1:13" ht="15" customHeight="1">
      <c r="A331" s="42">
        <v>326</v>
      </c>
      <c r="B331" s="42" t="s">
        <v>9585</v>
      </c>
      <c r="C331" s="43" t="s">
        <v>9586</v>
      </c>
      <c r="D331" s="42" t="s">
        <v>6458</v>
      </c>
      <c r="E331" s="43" t="s">
        <v>9036</v>
      </c>
      <c r="F331" s="43" t="s">
        <v>9587</v>
      </c>
      <c r="G331" s="42" t="s">
        <v>109</v>
      </c>
      <c r="H331" s="43" t="s">
        <v>2927</v>
      </c>
      <c r="I331" s="43" t="s">
        <v>104</v>
      </c>
      <c r="J331" s="55"/>
      <c r="K331" s="119">
        <f>IFERROR(VLOOKUP(B331,BD_CONTROL!$A$5:$M$4235,11,0),"")</f>
        <v>0</v>
      </c>
      <c r="L331" s="120">
        <f>IFERROR(VLOOKUP(B331,BD_CONTROL!$A$5:$M$4235,12,0),"")</f>
        <v>0</v>
      </c>
      <c r="M331" s="121">
        <f>IFERROR(VLOOKUP(B331,BD_CONTROL!$A$5:$M$4235,13,0),"")</f>
        <v>0</v>
      </c>
    </row>
    <row r="332" spans="1:13" ht="15" customHeight="1">
      <c r="A332" s="39">
        <v>327</v>
      </c>
      <c r="B332" s="39" t="s">
        <v>9588</v>
      </c>
      <c r="C332" s="40" t="s">
        <v>9589</v>
      </c>
      <c r="D332" s="39" t="s">
        <v>6458</v>
      </c>
      <c r="E332" s="40" t="s">
        <v>3341</v>
      </c>
      <c r="F332" s="40" t="s">
        <v>3341</v>
      </c>
      <c r="G332" s="39" t="s">
        <v>102</v>
      </c>
      <c r="H332" s="40" t="s">
        <v>2927</v>
      </c>
      <c r="I332" s="40" t="s">
        <v>104</v>
      </c>
      <c r="J332" s="50"/>
      <c r="K332" s="116">
        <f>IFERROR(VLOOKUP(B332,BD_CONTROL!$A$5:$M$4235,11,0),"")</f>
        <v>0</v>
      </c>
      <c r="L332" s="117">
        <f>IFERROR(VLOOKUP(B332,BD_CONTROL!$A$5:$M$4235,12,0),"")</f>
        <v>0</v>
      </c>
      <c r="M332" s="118">
        <f>IFERROR(VLOOKUP(B332,BD_CONTROL!$A$5:$M$4235,13,0),"")</f>
        <v>0</v>
      </c>
    </row>
    <row r="333" spans="1:13" ht="15" customHeight="1">
      <c r="A333" s="42">
        <v>328</v>
      </c>
      <c r="B333" s="42" t="s">
        <v>9590</v>
      </c>
      <c r="C333" s="43" t="s">
        <v>6649</v>
      </c>
      <c r="D333" s="42" t="s">
        <v>6458</v>
      </c>
      <c r="E333" s="43" t="s">
        <v>9036</v>
      </c>
      <c r="F333" s="43" t="s">
        <v>2787</v>
      </c>
      <c r="G333" s="42" t="s">
        <v>109</v>
      </c>
      <c r="H333" s="43" t="s">
        <v>2927</v>
      </c>
      <c r="I333" s="43" t="s">
        <v>104</v>
      </c>
      <c r="J333" s="55"/>
      <c r="K333" s="119">
        <f>IFERROR(VLOOKUP(B333,BD_CONTROL!$A$5:$M$4235,11,0),"")</f>
        <v>0</v>
      </c>
      <c r="L333" s="120">
        <f>IFERROR(VLOOKUP(B333,BD_CONTROL!$A$5:$M$4235,12,0),"")</f>
        <v>0</v>
      </c>
      <c r="M333" s="121">
        <f>IFERROR(VLOOKUP(B333,BD_CONTROL!$A$5:$M$4235,13,0),"")</f>
        <v>0</v>
      </c>
    </row>
    <row r="334" spans="1:13" ht="15" customHeight="1">
      <c r="A334" s="39">
        <v>329</v>
      </c>
      <c r="B334" s="39" t="s">
        <v>9591</v>
      </c>
      <c r="C334" s="40" t="s">
        <v>9592</v>
      </c>
      <c r="D334" s="39" t="s">
        <v>6458</v>
      </c>
      <c r="E334" s="40" t="s">
        <v>9125</v>
      </c>
      <c r="F334" s="40" t="s">
        <v>9593</v>
      </c>
      <c r="G334" s="39" t="s">
        <v>109</v>
      </c>
      <c r="H334" s="40" t="s">
        <v>2927</v>
      </c>
      <c r="I334" s="40" t="s">
        <v>104</v>
      </c>
      <c r="J334" s="50"/>
      <c r="K334" s="116">
        <f>IFERROR(VLOOKUP(B334,BD_CONTROL!$A$5:$M$4235,11,0),"")</f>
        <v>0</v>
      </c>
      <c r="L334" s="117">
        <f>IFERROR(VLOOKUP(B334,BD_CONTROL!$A$5:$M$4235,12,0),"")</f>
        <v>0</v>
      </c>
      <c r="M334" s="118">
        <f>IFERROR(VLOOKUP(B334,BD_CONTROL!$A$5:$M$4235,13,0),"")</f>
        <v>0</v>
      </c>
    </row>
    <row r="335" spans="1:13" ht="15" customHeight="1">
      <c r="A335" s="42">
        <v>330</v>
      </c>
      <c r="B335" s="42" t="s">
        <v>9594</v>
      </c>
      <c r="C335" s="43" t="s">
        <v>9595</v>
      </c>
      <c r="D335" s="42" t="s">
        <v>7142</v>
      </c>
      <c r="E335" s="43" t="s">
        <v>9056</v>
      </c>
      <c r="F335" s="43" t="s">
        <v>9151</v>
      </c>
      <c r="G335" s="42" t="s">
        <v>102</v>
      </c>
      <c r="H335" s="43" t="s">
        <v>2927</v>
      </c>
      <c r="I335" s="43" t="s">
        <v>104</v>
      </c>
      <c r="J335" s="55"/>
      <c r="K335" s="119" t="str">
        <f>IFERROR(VLOOKUP(B335,BD_CONTROL!$A$5:$M$4235,11,0),"")</f>
        <v>Instalado - Operando</v>
      </c>
      <c r="L335" s="120">
        <f>IFERROR(VLOOKUP(B335,BD_CONTROL!$A$5:$M$4235,12,0),"")</f>
        <v>46149</v>
      </c>
      <c r="M335" s="121">
        <f>IFERROR(VLOOKUP(B335,BD_CONTROL!$A$5:$M$4235,13,0),"")</f>
        <v>0</v>
      </c>
    </row>
    <row r="336" spans="1:13" ht="15" customHeight="1">
      <c r="A336" s="39">
        <v>331</v>
      </c>
      <c r="B336" s="39" t="s">
        <v>9596</v>
      </c>
      <c r="C336" s="40" t="s">
        <v>9597</v>
      </c>
      <c r="D336" s="39" t="s">
        <v>7142</v>
      </c>
      <c r="E336" s="40" t="s">
        <v>9056</v>
      </c>
      <c r="F336" s="40" t="s">
        <v>9598</v>
      </c>
      <c r="G336" s="39" t="s">
        <v>109</v>
      </c>
      <c r="H336" s="40" t="s">
        <v>2927</v>
      </c>
      <c r="I336" s="40" t="s">
        <v>104</v>
      </c>
      <c r="J336" s="50"/>
      <c r="K336" s="116" t="str">
        <f>IFERROR(VLOOKUP(B336,BD_CONTROL!$A$5:$M$4235,11,0),"")</f>
        <v>Instalado - Operando</v>
      </c>
      <c r="L336" s="117">
        <f>IFERROR(VLOOKUP(B336,BD_CONTROL!$A$5:$M$4235,12,0),"")</f>
        <v>46150</v>
      </c>
      <c r="M336" s="118">
        <f>IFERROR(VLOOKUP(B336,BD_CONTROL!$A$5:$M$4235,13,0),"")</f>
        <v>0</v>
      </c>
    </row>
    <row r="337" spans="1:13" ht="15" customHeight="1">
      <c r="A337" s="42">
        <v>332</v>
      </c>
      <c r="B337" s="42" t="s">
        <v>9599</v>
      </c>
      <c r="C337" s="43" t="s">
        <v>9600</v>
      </c>
      <c r="D337" s="42" t="s">
        <v>6458</v>
      </c>
      <c r="E337" s="43" t="s">
        <v>9125</v>
      </c>
      <c r="F337" s="43" t="s">
        <v>9601</v>
      </c>
      <c r="G337" s="42" t="s">
        <v>109</v>
      </c>
      <c r="H337" s="43" t="s">
        <v>2927</v>
      </c>
      <c r="I337" s="43" t="s">
        <v>104</v>
      </c>
      <c r="J337" s="55"/>
      <c r="K337" s="119">
        <f>IFERROR(VLOOKUP(B337,BD_CONTROL!$A$5:$M$4235,11,0),"")</f>
        <v>0</v>
      </c>
      <c r="L337" s="120">
        <f>IFERROR(VLOOKUP(B337,BD_CONTROL!$A$5:$M$4235,12,0),"")</f>
        <v>0</v>
      </c>
      <c r="M337" s="121">
        <f>IFERROR(VLOOKUP(B337,BD_CONTROL!$A$5:$M$4235,13,0),"")</f>
        <v>0</v>
      </c>
    </row>
    <row r="338" spans="1:13" ht="15" customHeight="1">
      <c r="A338" s="39">
        <v>333</v>
      </c>
      <c r="B338" s="39" t="s">
        <v>9602</v>
      </c>
      <c r="C338" s="40" t="s">
        <v>9603</v>
      </c>
      <c r="D338" s="39" t="s">
        <v>5640</v>
      </c>
      <c r="E338" s="40" t="s">
        <v>5803</v>
      </c>
      <c r="F338" s="40" t="s">
        <v>9604</v>
      </c>
      <c r="G338" s="39" t="s">
        <v>109</v>
      </c>
      <c r="H338" s="40" t="s">
        <v>8982</v>
      </c>
      <c r="I338" s="40" t="s">
        <v>104</v>
      </c>
      <c r="J338" s="50"/>
      <c r="K338" s="116">
        <f>IFERROR(VLOOKUP(B338,BD_CONTROL!$A$5:$M$4235,11,0),"")</f>
        <v>0</v>
      </c>
      <c r="L338" s="117">
        <f>IFERROR(VLOOKUP(B338,BD_CONTROL!$A$5:$M$4235,12,0),"")</f>
        <v>0</v>
      </c>
      <c r="M338" s="118">
        <f>IFERROR(VLOOKUP(B338,BD_CONTROL!$A$5:$M$4235,13,0),"")</f>
        <v>0</v>
      </c>
    </row>
    <row r="339" spans="1:13" ht="15" customHeight="1">
      <c r="A339" s="42">
        <v>334</v>
      </c>
      <c r="B339" s="42" t="s">
        <v>9605</v>
      </c>
      <c r="C339" s="43" t="s">
        <v>9606</v>
      </c>
      <c r="D339" s="42" t="s">
        <v>5640</v>
      </c>
      <c r="E339" s="43" t="s">
        <v>9063</v>
      </c>
      <c r="F339" s="43" t="s">
        <v>9607</v>
      </c>
      <c r="G339" s="42" t="s">
        <v>109</v>
      </c>
      <c r="H339" s="43" t="s">
        <v>8982</v>
      </c>
      <c r="I339" s="43" t="s">
        <v>104</v>
      </c>
      <c r="J339" s="55"/>
      <c r="K339" s="119" t="str">
        <f>IFERROR(VLOOKUP(B339,BD_CONTROL!$A$5:$M$4235,11,0),"")</f>
        <v>Instalado - Operando</v>
      </c>
      <c r="L339" s="120">
        <f>IFERROR(VLOOKUP(B339,BD_CONTROL!$A$5:$M$4235,12,0),"")</f>
        <v>46151</v>
      </c>
      <c r="M339" s="121">
        <f>IFERROR(VLOOKUP(B339,BD_CONTROL!$A$5:$M$4235,13,0),"")</f>
        <v>0</v>
      </c>
    </row>
    <row r="340" spans="1:13" ht="15" customHeight="1">
      <c r="A340" s="39">
        <v>335</v>
      </c>
      <c r="B340" s="39" t="s">
        <v>9608</v>
      </c>
      <c r="C340" s="40" t="s">
        <v>9609</v>
      </c>
      <c r="D340" s="39" t="s">
        <v>5640</v>
      </c>
      <c r="E340" s="40" t="s">
        <v>9009</v>
      </c>
      <c r="F340" s="40" t="s">
        <v>4199</v>
      </c>
      <c r="G340" s="39" t="s">
        <v>109</v>
      </c>
      <c r="H340" s="40" t="s">
        <v>8982</v>
      </c>
      <c r="I340" s="40" t="s">
        <v>104</v>
      </c>
      <c r="J340" s="50"/>
      <c r="K340" s="116">
        <f>IFERROR(VLOOKUP(B340,BD_CONTROL!$A$5:$M$4235,11,0),"")</f>
        <v>0</v>
      </c>
      <c r="L340" s="117">
        <f>IFERROR(VLOOKUP(B340,BD_CONTROL!$A$5:$M$4235,12,0),"")</f>
        <v>0</v>
      </c>
      <c r="M340" s="118">
        <f>IFERROR(VLOOKUP(B340,BD_CONTROL!$A$5:$M$4235,13,0),"")</f>
        <v>0</v>
      </c>
    </row>
    <row r="341" spans="1:13" ht="15" customHeight="1">
      <c r="A341" s="42">
        <v>336</v>
      </c>
      <c r="B341" s="42" t="s">
        <v>9610</v>
      </c>
      <c r="C341" s="43" t="s">
        <v>1295</v>
      </c>
      <c r="D341" s="42" t="s">
        <v>5640</v>
      </c>
      <c r="E341" s="43" t="s">
        <v>9074</v>
      </c>
      <c r="F341" s="43" t="s">
        <v>9611</v>
      </c>
      <c r="G341" s="42" t="s">
        <v>109</v>
      </c>
      <c r="H341" s="43" t="s">
        <v>8982</v>
      </c>
      <c r="I341" s="43" t="s">
        <v>104</v>
      </c>
      <c r="J341" s="55"/>
      <c r="K341" s="119">
        <f>IFERROR(VLOOKUP(B341,BD_CONTROL!$A$5:$M$4235,11,0),"")</f>
        <v>0</v>
      </c>
      <c r="L341" s="120">
        <f>IFERROR(VLOOKUP(B341,BD_CONTROL!$A$5:$M$4235,12,0),"")</f>
        <v>0</v>
      </c>
      <c r="M341" s="121">
        <f>IFERROR(VLOOKUP(B341,BD_CONTROL!$A$5:$M$4235,13,0),"")</f>
        <v>0</v>
      </c>
    </row>
    <row r="342" spans="1:13" ht="15" customHeight="1">
      <c r="A342" s="39">
        <v>337</v>
      </c>
      <c r="B342" s="39" t="s">
        <v>9612</v>
      </c>
      <c r="C342" s="40" t="s">
        <v>1295</v>
      </c>
      <c r="D342" s="39" t="s">
        <v>5640</v>
      </c>
      <c r="E342" s="40" t="s">
        <v>9256</v>
      </c>
      <c r="F342" s="40" t="s">
        <v>9613</v>
      </c>
      <c r="G342" s="39" t="s">
        <v>109</v>
      </c>
      <c r="H342" s="40" t="s">
        <v>8982</v>
      </c>
      <c r="I342" s="40" t="s">
        <v>104</v>
      </c>
      <c r="J342" s="50"/>
      <c r="K342" s="116">
        <f>IFERROR(VLOOKUP(B342,BD_CONTROL!$A$5:$M$4235,11,0),"")</f>
        <v>0</v>
      </c>
      <c r="L342" s="117">
        <f>IFERROR(VLOOKUP(B342,BD_CONTROL!$A$5:$M$4235,12,0),"")</f>
        <v>0</v>
      </c>
      <c r="M342" s="118">
        <f>IFERROR(VLOOKUP(B342,BD_CONTROL!$A$5:$M$4235,13,0),"")</f>
        <v>0</v>
      </c>
    </row>
    <row r="343" spans="1:13" ht="15" customHeight="1">
      <c r="A343" s="42">
        <v>338</v>
      </c>
      <c r="B343" s="42" t="s">
        <v>9614</v>
      </c>
      <c r="C343" s="43" t="s">
        <v>1295</v>
      </c>
      <c r="D343" s="42" t="s">
        <v>6458</v>
      </c>
      <c r="E343" s="43" t="s">
        <v>9038</v>
      </c>
      <c r="F343" s="43" t="s">
        <v>9615</v>
      </c>
      <c r="G343" s="42" t="s">
        <v>109</v>
      </c>
      <c r="H343" s="43" t="s">
        <v>2927</v>
      </c>
      <c r="I343" s="43" t="s">
        <v>104</v>
      </c>
      <c r="J343" s="55"/>
      <c r="K343" s="119" t="str">
        <f>IFERROR(VLOOKUP(B343,BD_CONTROL!$A$5:$M$4235,11,0),"")</f>
        <v>Instalado - Operando</v>
      </c>
      <c r="L343" s="120">
        <f>IFERROR(VLOOKUP(B343,BD_CONTROL!$A$5:$M$4235,12,0),"")</f>
        <v>46148</v>
      </c>
      <c r="M343" s="121">
        <f>IFERROR(VLOOKUP(B343,BD_CONTROL!$A$5:$M$4235,13,0),"")</f>
        <v>0</v>
      </c>
    </row>
    <row r="344" spans="1:13" ht="15" customHeight="1">
      <c r="A344" s="39">
        <v>339</v>
      </c>
      <c r="B344" s="39" t="s">
        <v>9616</v>
      </c>
      <c r="C344" s="40" t="s">
        <v>5728</v>
      </c>
      <c r="D344" s="39" t="s">
        <v>5640</v>
      </c>
      <c r="E344" s="40" t="s">
        <v>8980</v>
      </c>
      <c r="F344" s="40" t="s">
        <v>9617</v>
      </c>
      <c r="G344" s="39" t="s">
        <v>109</v>
      </c>
      <c r="H344" s="40" t="s">
        <v>8982</v>
      </c>
      <c r="I344" s="40" t="s">
        <v>104</v>
      </c>
      <c r="J344" s="50"/>
      <c r="K344" s="116" t="str">
        <f>IFERROR(VLOOKUP(B344,BD_CONTROL!$A$5:$M$4235,11,0),"")</f>
        <v>Instalado - Sin Señal</v>
      </c>
      <c r="L344" s="117">
        <f>IFERROR(VLOOKUP(B344,BD_CONTROL!$A$5:$M$4235,12,0),"")</f>
        <v>46147</v>
      </c>
      <c r="M344" s="118" t="str">
        <f>IFERROR(VLOOKUP(B344,BD_CONTROL!$A$5:$M$4235,13,0),"")</f>
        <v>EQUIPAMIENTO INSTALADO . PENDIENTE LA ACTIVACIÓN.</v>
      </c>
    </row>
    <row r="345" spans="1:13" ht="15" customHeight="1">
      <c r="A345" s="42">
        <v>340</v>
      </c>
      <c r="B345" s="42" t="s">
        <v>9618</v>
      </c>
      <c r="C345" s="43" t="s">
        <v>2367</v>
      </c>
      <c r="D345" s="42" t="s">
        <v>5640</v>
      </c>
      <c r="E345" s="43" t="s">
        <v>9020</v>
      </c>
      <c r="F345" s="43" t="s">
        <v>9619</v>
      </c>
      <c r="G345" s="42" t="s">
        <v>109</v>
      </c>
      <c r="H345" s="43" t="s">
        <v>8982</v>
      </c>
      <c r="I345" s="43" t="s">
        <v>104</v>
      </c>
      <c r="J345" s="55"/>
      <c r="K345" s="119">
        <f>IFERROR(VLOOKUP(B345,BD_CONTROL!$A$5:$M$4235,11,0),"")</f>
        <v>0</v>
      </c>
      <c r="L345" s="120">
        <f>IFERROR(VLOOKUP(B345,BD_CONTROL!$A$5:$M$4235,12,0),"")</f>
        <v>0</v>
      </c>
      <c r="M345" s="121">
        <f>IFERROR(VLOOKUP(B345,BD_CONTROL!$A$5:$M$4235,13,0),"")</f>
        <v>0</v>
      </c>
    </row>
    <row r="346" spans="1:13" ht="15" customHeight="1">
      <c r="A346" s="39">
        <v>341</v>
      </c>
      <c r="B346" s="39" t="s">
        <v>9620</v>
      </c>
      <c r="C346" s="40" t="s">
        <v>9621</v>
      </c>
      <c r="D346" s="39" t="s">
        <v>6458</v>
      </c>
      <c r="E346" s="40" t="s">
        <v>9448</v>
      </c>
      <c r="F346" s="40" t="s">
        <v>2756</v>
      </c>
      <c r="G346" s="39" t="s">
        <v>109</v>
      </c>
      <c r="H346" s="40" t="s">
        <v>2927</v>
      </c>
      <c r="I346" s="40" t="s">
        <v>104</v>
      </c>
      <c r="J346" s="50"/>
      <c r="K346" s="116">
        <f>IFERROR(VLOOKUP(B346,BD_CONTROL!$A$5:$M$4235,11,0),"")</f>
        <v>0</v>
      </c>
      <c r="L346" s="117">
        <f>IFERROR(VLOOKUP(B346,BD_CONTROL!$A$5:$M$4235,12,0),"")</f>
        <v>0</v>
      </c>
      <c r="M346" s="118">
        <f>IFERROR(VLOOKUP(B346,BD_CONTROL!$A$5:$M$4235,13,0),"")</f>
        <v>0</v>
      </c>
    </row>
    <row r="347" spans="1:13" ht="15" customHeight="1">
      <c r="A347" s="42">
        <v>342</v>
      </c>
      <c r="B347" s="42" t="s">
        <v>9622</v>
      </c>
      <c r="C347" s="43" t="s">
        <v>2622</v>
      </c>
      <c r="D347" s="42" t="s">
        <v>6458</v>
      </c>
      <c r="E347" s="43" t="s">
        <v>9125</v>
      </c>
      <c r="F347" s="43" t="s">
        <v>2622</v>
      </c>
      <c r="G347" s="42" t="s">
        <v>109</v>
      </c>
      <c r="H347" s="43" t="s">
        <v>2927</v>
      </c>
      <c r="I347" s="43" t="s">
        <v>104</v>
      </c>
      <c r="J347" s="55"/>
      <c r="K347" s="119">
        <f>IFERROR(VLOOKUP(B347,BD_CONTROL!$A$5:$M$4235,11,0),"")</f>
        <v>0</v>
      </c>
      <c r="L347" s="120">
        <f>IFERROR(VLOOKUP(B347,BD_CONTROL!$A$5:$M$4235,12,0),"")</f>
        <v>0</v>
      </c>
      <c r="M347" s="121">
        <f>IFERROR(VLOOKUP(B347,BD_CONTROL!$A$5:$M$4235,13,0),"")</f>
        <v>0</v>
      </c>
    </row>
    <row r="348" spans="1:13" ht="15" customHeight="1">
      <c r="A348" s="39">
        <v>343</v>
      </c>
      <c r="B348" s="39" t="s">
        <v>9623</v>
      </c>
      <c r="C348" s="40" t="s">
        <v>9624</v>
      </c>
      <c r="D348" s="39" t="s">
        <v>5640</v>
      </c>
      <c r="E348" s="40" t="s">
        <v>9009</v>
      </c>
      <c r="F348" s="40" t="s">
        <v>9625</v>
      </c>
      <c r="G348" s="39" t="s">
        <v>109</v>
      </c>
      <c r="H348" s="40" t="s">
        <v>8982</v>
      </c>
      <c r="I348" s="40" t="s">
        <v>104</v>
      </c>
      <c r="J348" s="50"/>
      <c r="K348" s="116">
        <f>IFERROR(VLOOKUP(B348,BD_CONTROL!$A$5:$M$4235,11,0),"")</f>
        <v>0</v>
      </c>
      <c r="L348" s="117">
        <f>IFERROR(VLOOKUP(B348,BD_CONTROL!$A$5:$M$4235,12,0),"")</f>
        <v>0</v>
      </c>
      <c r="M348" s="118">
        <f>IFERROR(VLOOKUP(B348,BD_CONTROL!$A$5:$M$4235,13,0),"")</f>
        <v>0</v>
      </c>
    </row>
    <row r="349" spans="1:13" ht="15" customHeight="1">
      <c r="A349" s="42">
        <v>344</v>
      </c>
      <c r="B349" s="42" t="s">
        <v>9626</v>
      </c>
      <c r="C349" s="43" t="s">
        <v>437</v>
      </c>
      <c r="D349" s="42" t="s">
        <v>5640</v>
      </c>
      <c r="E349" s="43" t="s">
        <v>4402</v>
      </c>
      <c r="F349" s="43" t="s">
        <v>9627</v>
      </c>
      <c r="G349" s="42" t="s">
        <v>109</v>
      </c>
      <c r="H349" s="43" t="s">
        <v>8982</v>
      </c>
      <c r="I349" s="43" t="s">
        <v>104</v>
      </c>
      <c r="J349" s="55"/>
      <c r="K349" s="119">
        <f>IFERROR(VLOOKUP(B349,BD_CONTROL!$A$5:$M$4235,11,0),"")</f>
        <v>0</v>
      </c>
      <c r="L349" s="120">
        <f>IFERROR(VLOOKUP(B349,BD_CONTROL!$A$5:$M$4235,12,0),"")</f>
        <v>0</v>
      </c>
      <c r="M349" s="121">
        <f>IFERROR(VLOOKUP(B349,BD_CONTROL!$A$5:$M$4235,13,0),"")</f>
        <v>0</v>
      </c>
    </row>
    <row r="350" spans="1:13" ht="15" customHeight="1">
      <c r="A350" s="39">
        <v>345</v>
      </c>
      <c r="B350" s="39" t="s">
        <v>9628</v>
      </c>
      <c r="C350" s="40" t="s">
        <v>9629</v>
      </c>
      <c r="D350" s="39" t="s">
        <v>5640</v>
      </c>
      <c r="E350" s="40" t="s">
        <v>9268</v>
      </c>
      <c r="F350" s="40" t="s">
        <v>9269</v>
      </c>
      <c r="G350" s="39" t="s">
        <v>109</v>
      </c>
      <c r="H350" s="40" t="s">
        <v>8982</v>
      </c>
      <c r="I350" s="40" t="s">
        <v>104</v>
      </c>
      <c r="J350" s="50"/>
      <c r="K350" s="116">
        <f>IFERROR(VLOOKUP(B350,BD_CONTROL!$A$5:$M$4235,11,0),"")</f>
        <v>0</v>
      </c>
      <c r="L350" s="117">
        <f>IFERROR(VLOOKUP(B350,BD_CONTROL!$A$5:$M$4235,12,0),"")</f>
        <v>0</v>
      </c>
      <c r="M350" s="118">
        <f>IFERROR(VLOOKUP(B350,BD_CONTROL!$A$5:$M$4235,13,0),"")</f>
        <v>0</v>
      </c>
    </row>
    <row r="351" spans="1:13" ht="15" customHeight="1">
      <c r="A351" s="42">
        <v>346</v>
      </c>
      <c r="B351" s="42" t="s">
        <v>9630</v>
      </c>
      <c r="C351" s="43" t="s">
        <v>9631</v>
      </c>
      <c r="D351" s="42" t="s">
        <v>5640</v>
      </c>
      <c r="E351" s="43" t="s">
        <v>8980</v>
      </c>
      <c r="F351" s="43" t="s">
        <v>9632</v>
      </c>
      <c r="G351" s="42" t="s">
        <v>109</v>
      </c>
      <c r="H351" s="43" t="s">
        <v>8982</v>
      </c>
      <c r="I351" s="43" t="s">
        <v>104</v>
      </c>
      <c r="J351" s="55"/>
      <c r="K351" s="119" t="str">
        <f>IFERROR(VLOOKUP(B351,BD_CONTROL!$A$5:$M$4235,11,0),"")</f>
        <v>Instalado - Operando</v>
      </c>
      <c r="L351" s="120">
        <f>IFERROR(VLOOKUP(B351,BD_CONTROL!$A$5:$M$4235,12,0),"")</f>
        <v>46148</v>
      </c>
      <c r="M351" s="121">
        <f>IFERROR(VLOOKUP(B351,BD_CONTROL!$A$5:$M$4235,13,0),"")</f>
        <v>0</v>
      </c>
    </row>
    <row r="352" spans="1:13" ht="15" customHeight="1">
      <c r="A352" s="39">
        <v>347</v>
      </c>
      <c r="B352" s="39" t="s">
        <v>9633</v>
      </c>
      <c r="C352" s="40" t="s">
        <v>9634</v>
      </c>
      <c r="D352" s="39" t="s">
        <v>5640</v>
      </c>
      <c r="E352" s="40" t="s">
        <v>1215</v>
      </c>
      <c r="F352" s="40" t="s">
        <v>9635</v>
      </c>
      <c r="G352" s="39" t="s">
        <v>109</v>
      </c>
      <c r="H352" s="40" t="s">
        <v>8982</v>
      </c>
      <c r="I352" s="40" t="s">
        <v>104</v>
      </c>
      <c r="J352" s="50"/>
      <c r="K352" s="116">
        <f>IFERROR(VLOOKUP(B352,BD_CONTROL!$A$5:$M$4235,11,0),"")</f>
        <v>0</v>
      </c>
      <c r="L352" s="117">
        <f>IFERROR(VLOOKUP(B352,BD_CONTROL!$A$5:$M$4235,12,0),"")</f>
        <v>0</v>
      </c>
      <c r="M352" s="118">
        <f>IFERROR(VLOOKUP(B352,BD_CONTROL!$A$5:$M$4235,13,0),"")</f>
        <v>0</v>
      </c>
    </row>
    <row r="353" spans="1:13" ht="15" customHeight="1">
      <c r="A353" s="42">
        <v>348</v>
      </c>
      <c r="B353" s="42" t="s">
        <v>9636</v>
      </c>
      <c r="C353" s="43" t="s">
        <v>9637</v>
      </c>
      <c r="D353" s="42" t="s">
        <v>5640</v>
      </c>
      <c r="E353" s="43" t="s">
        <v>8980</v>
      </c>
      <c r="F353" s="43" t="s">
        <v>9638</v>
      </c>
      <c r="G353" s="42" t="s">
        <v>109</v>
      </c>
      <c r="H353" s="43" t="s">
        <v>8982</v>
      </c>
      <c r="I353" s="43" t="s">
        <v>104</v>
      </c>
      <c r="J353" s="55"/>
      <c r="K353" s="119" t="str">
        <f>IFERROR(VLOOKUP(B353,BD_CONTROL!$A$5:$M$4235,11,0),"")</f>
        <v>Instalado - Operando</v>
      </c>
      <c r="L353" s="120">
        <f>IFERROR(VLOOKUP(B353,BD_CONTROL!$A$5:$M$4235,12,0),"")</f>
        <v>46147</v>
      </c>
      <c r="M353" s="121">
        <f>IFERROR(VLOOKUP(B353,BD_CONTROL!$A$5:$M$4235,13,0),"")</f>
        <v>0</v>
      </c>
    </row>
    <row r="354" spans="1:13" ht="15" customHeight="1">
      <c r="A354" s="39">
        <v>349</v>
      </c>
      <c r="B354" s="39" t="s">
        <v>9639</v>
      </c>
      <c r="C354" s="40" t="s">
        <v>9640</v>
      </c>
      <c r="D354" s="39" t="s">
        <v>5640</v>
      </c>
      <c r="E354" s="40" t="s">
        <v>9004</v>
      </c>
      <c r="F354" s="40" t="s">
        <v>9467</v>
      </c>
      <c r="G354" s="39" t="s">
        <v>109</v>
      </c>
      <c r="H354" s="40" t="s">
        <v>8982</v>
      </c>
      <c r="I354" s="40" t="s">
        <v>104</v>
      </c>
      <c r="J354" s="50"/>
      <c r="K354" s="116">
        <f>IFERROR(VLOOKUP(B354,BD_CONTROL!$A$5:$M$4235,11,0),"")</f>
        <v>0</v>
      </c>
      <c r="L354" s="117">
        <f>IFERROR(VLOOKUP(B354,BD_CONTROL!$A$5:$M$4235,12,0),"")</f>
        <v>0</v>
      </c>
      <c r="M354" s="118">
        <f>IFERROR(VLOOKUP(B354,BD_CONTROL!$A$5:$M$4235,13,0),"")</f>
        <v>0</v>
      </c>
    </row>
    <row r="355" spans="1:13" ht="15" customHeight="1">
      <c r="A355" s="42">
        <v>350</v>
      </c>
      <c r="B355" s="42" t="s">
        <v>9641</v>
      </c>
      <c r="C355" s="43" t="s">
        <v>9642</v>
      </c>
      <c r="D355" s="42" t="s">
        <v>5640</v>
      </c>
      <c r="E355" s="43" t="s">
        <v>9256</v>
      </c>
      <c r="F355" s="43" t="s">
        <v>9643</v>
      </c>
      <c r="G355" s="42" t="s">
        <v>109</v>
      </c>
      <c r="H355" s="43" t="s">
        <v>8982</v>
      </c>
      <c r="I355" s="43" t="s">
        <v>104</v>
      </c>
      <c r="J355" s="55"/>
      <c r="K355" s="119">
        <f>IFERROR(VLOOKUP(B355,BD_CONTROL!$A$5:$M$4235,11,0),"")</f>
        <v>0</v>
      </c>
      <c r="L355" s="120">
        <f>IFERROR(VLOOKUP(B355,BD_CONTROL!$A$5:$M$4235,12,0),"")</f>
        <v>0</v>
      </c>
      <c r="M355" s="121">
        <f>IFERROR(VLOOKUP(B355,BD_CONTROL!$A$5:$M$4235,13,0),"")</f>
        <v>0</v>
      </c>
    </row>
    <row r="356" spans="1:13" ht="15" customHeight="1">
      <c r="A356" s="39">
        <v>351</v>
      </c>
      <c r="B356" s="39" t="s">
        <v>9644</v>
      </c>
      <c r="C356" s="40" t="s">
        <v>9645</v>
      </c>
      <c r="D356" s="39" t="s">
        <v>5640</v>
      </c>
      <c r="E356" s="40" t="s">
        <v>9646</v>
      </c>
      <c r="F356" s="40" t="s">
        <v>9647</v>
      </c>
      <c r="G356" s="39" t="s">
        <v>109</v>
      </c>
      <c r="H356" s="40" t="s">
        <v>8982</v>
      </c>
      <c r="I356" s="40" t="s">
        <v>104</v>
      </c>
      <c r="J356" s="50"/>
      <c r="K356" s="116">
        <f>IFERROR(VLOOKUP(B356,BD_CONTROL!$A$5:$M$4235,11,0),"")</f>
        <v>0</v>
      </c>
      <c r="L356" s="117">
        <f>IFERROR(VLOOKUP(B356,BD_CONTROL!$A$5:$M$4235,12,0),"")</f>
        <v>0</v>
      </c>
      <c r="M356" s="118">
        <f>IFERROR(VLOOKUP(B356,BD_CONTROL!$A$5:$M$4235,13,0),"")</f>
        <v>0</v>
      </c>
    </row>
    <row r="357" spans="1:13" ht="15" customHeight="1">
      <c r="A357" s="42">
        <v>352</v>
      </c>
      <c r="B357" s="42" t="s">
        <v>9648</v>
      </c>
      <c r="C357" s="43" t="s">
        <v>9649</v>
      </c>
      <c r="D357" s="42" t="s">
        <v>5640</v>
      </c>
      <c r="E357" s="43" t="s">
        <v>9249</v>
      </c>
      <c r="F357" s="43" t="s">
        <v>9650</v>
      </c>
      <c r="G357" s="42" t="s">
        <v>109</v>
      </c>
      <c r="H357" s="43" t="s">
        <v>8982</v>
      </c>
      <c r="I357" s="43" t="s">
        <v>104</v>
      </c>
      <c r="J357" s="55"/>
      <c r="K357" s="119">
        <f>IFERROR(VLOOKUP(B357,BD_CONTROL!$A$5:$M$4235,11,0),"")</f>
        <v>0</v>
      </c>
      <c r="L357" s="120">
        <f>IFERROR(VLOOKUP(B357,BD_CONTROL!$A$5:$M$4235,12,0),"")</f>
        <v>0</v>
      </c>
      <c r="M357" s="121">
        <f>IFERROR(VLOOKUP(B357,BD_CONTROL!$A$5:$M$4235,13,0),"")</f>
        <v>0</v>
      </c>
    </row>
    <row r="358" spans="1:13" ht="15" customHeight="1">
      <c r="A358" s="39">
        <v>353</v>
      </c>
      <c r="B358" s="39" t="s">
        <v>9651</v>
      </c>
      <c r="C358" s="40" t="s">
        <v>9652</v>
      </c>
      <c r="D358" s="39" t="s">
        <v>5640</v>
      </c>
      <c r="E358" s="40" t="s">
        <v>9256</v>
      </c>
      <c r="F358" s="40" t="s">
        <v>9613</v>
      </c>
      <c r="G358" s="39" t="s">
        <v>109</v>
      </c>
      <c r="H358" s="40" t="s">
        <v>8982</v>
      </c>
      <c r="I358" s="40" t="s">
        <v>104</v>
      </c>
      <c r="J358" s="50"/>
      <c r="K358" s="116">
        <f>IFERROR(VLOOKUP(B358,BD_CONTROL!$A$5:$M$4235,11,0),"")</f>
        <v>0</v>
      </c>
      <c r="L358" s="117">
        <f>IFERROR(VLOOKUP(B358,BD_CONTROL!$A$5:$M$4235,12,0),"")</f>
        <v>0</v>
      </c>
      <c r="M358" s="118">
        <f>IFERROR(VLOOKUP(B358,BD_CONTROL!$A$5:$M$4235,13,0),"")</f>
        <v>0</v>
      </c>
    </row>
    <row r="359" spans="1:13" ht="15" customHeight="1">
      <c r="A359" s="42">
        <v>354</v>
      </c>
      <c r="B359" s="42" t="s">
        <v>9653</v>
      </c>
      <c r="C359" s="43" t="s">
        <v>9654</v>
      </c>
      <c r="D359" s="42" t="s">
        <v>7142</v>
      </c>
      <c r="E359" s="43" t="s">
        <v>9056</v>
      </c>
      <c r="F359" s="43" t="s">
        <v>9655</v>
      </c>
      <c r="G359" s="42" t="s">
        <v>109</v>
      </c>
      <c r="H359" s="43" t="s">
        <v>2927</v>
      </c>
      <c r="I359" s="43" t="s">
        <v>104</v>
      </c>
      <c r="J359" s="55"/>
      <c r="K359" s="119" t="str">
        <f>IFERROR(VLOOKUP(B359,BD_CONTROL!$A$5:$M$4235,11,0),"")</f>
        <v>Instalado - Operando</v>
      </c>
      <c r="L359" s="120">
        <f>IFERROR(VLOOKUP(B359,BD_CONTROL!$A$5:$M$4235,12,0),"")</f>
        <v>46150</v>
      </c>
      <c r="M359" s="121">
        <f>IFERROR(VLOOKUP(B359,BD_CONTROL!$A$5:$M$4235,13,0),"")</f>
        <v>0</v>
      </c>
    </row>
    <row r="360" spans="1:13" ht="15" customHeight="1">
      <c r="A360" s="39">
        <v>355</v>
      </c>
      <c r="B360" s="39" t="s">
        <v>9656</v>
      </c>
      <c r="C360" s="40" t="s">
        <v>9657</v>
      </c>
      <c r="D360" s="39" t="s">
        <v>5640</v>
      </c>
      <c r="E360" s="40" t="s">
        <v>9004</v>
      </c>
      <c r="F360" s="40" t="s">
        <v>9658</v>
      </c>
      <c r="G360" s="39" t="s">
        <v>109</v>
      </c>
      <c r="H360" s="40" t="s">
        <v>8982</v>
      </c>
      <c r="I360" s="40" t="s">
        <v>104</v>
      </c>
      <c r="J360" s="50"/>
      <c r="K360" s="116">
        <f>IFERROR(VLOOKUP(B360,BD_CONTROL!$A$5:$M$4235,11,0),"")</f>
        <v>0</v>
      </c>
      <c r="L360" s="117">
        <f>IFERROR(VLOOKUP(B360,BD_CONTROL!$A$5:$M$4235,12,0),"")</f>
        <v>0</v>
      </c>
      <c r="M360" s="118">
        <f>IFERROR(VLOOKUP(B360,BD_CONTROL!$A$5:$M$4235,13,0),"")</f>
        <v>0</v>
      </c>
    </row>
    <row r="361" spans="1:13" ht="15" customHeight="1">
      <c r="A361" s="42">
        <v>356</v>
      </c>
      <c r="B361" s="42" t="s">
        <v>9659</v>
      </c>
      <c r="C361" s="43" t="s">
        <v>3874</v>
      </c>
      <c r="D361" s="42" t="s">
        <v>5640</v>
      </c>
      <c r="E361" s="43" t="s">
        <v>9303</v>
      </c>
      <c r="F361" s="43" t="s">
        <v>1790</v>
      </c>
      <c r="G361" s="42" t="s">
        <v>109</v>
      </c>
      <c r="H361" s="43" t="s">
        <v>8982</v>
      </c>
      <c r="I361" s="43" t="s">
        <v>104</v>
      </c>
      <c r="J361" s="55"/>
      <c r="K361" s="119">
        <f>IFERROR(VLOOKUP(B361,BD_CONTROL!$A$5:$M$4235,11,0),"")</f>
        <v>0</v>
      </c>
      <c r="L361" s="120">
        <f>IFERROR(VLOOKUP(B361,BD_CONTROL!$A$5:$M$4235,12,0),"")</f>
        <v>0</v>
      </c>
      <c r="M361" s="121">
        <f>IFERROR(VLOOKUP(B361,BD_CONTROL!$A$5:$M$4235,13,0),"")</f>
        <v>0</v>
      </c>
    </row>
    <row r="362" spans="1:13" ht="15" customHeight="1">
      <c r="A362" s="39">
        <v>357</v>
      </c>
      <c r="B362" s="39" t="s">
        <v>9660</v>
      </c>
      <c r="C362" s="40" t="s">
        <v>9661</v>
      </c>
      <c r="D362" s="39" t="s">
        <v>5640</v>
      </c>
      <c r="E362" s="40" t="s">
        <v>9268</v>
      </c>
      <c r="F362" s="40" t="s">
        <v>9662</v>
      </c>
      <c r="G362" s="39" t="s">
        <v>109</v>
      </c>
      <c r="H362" s="40" t="s">
        <v>8982</v>
      </c>
      <c r="I362" s="40" t="s">
        <v>104</v>
      </c>
      <c r="J362" s="50"/>
      <c r="K362" s="116">
        <f>IFERROR(VLOOKUP(B362,BD_CONTROL!$A$5:$M$4235,11,0),"")</f>
        <v>0</v>
      </c>
      <c r="L362" s="117">
        <f>IFERROR(VLOOKUP(B362,BD_CONTROL!$A$5:$M$4235,12,0),"")</f>
        <v>0</v>
      </c>
      <c r="M362" s="118">
        <f>IFERROR(VLOOKUP(B362,BD_CONTROL!$A$5:$M$4235,13,0),"")</f>
        <v>0</v>
      </c>
    </row>
    <row r="363" spans="1:13" ht="15" customHeight="1">
      <c r="A363" s="42">
        <v>358</v>
      </c>
      <c r="B363" s="42" t="s">
        <v>9663</v>
      </c>
      <c r="C363" s="43" t="s">
        <v>9664</v>
      </c>
      <c r="D363" s="42" t="s">
        <v>553</v>
      </c>
      <c r="E363" s="43" t="s">
        <v>3130</v>
      </c>
      <c r="F363" s="43" t="s">
        <v>9665</v>
      </c>
      <c r="G363" s="42" t="s">
        <v>109</v>
      </c>
      <c r="H363" s="43" t="s">
        <v>2927</v>
      </c>
      <c r="I363" s="43" t="s">
        <v>104</v>
      </c>
      <c r="J363" s="55"/>
      <c r="K363" s="119">
        <f>IFERROR(VLOOKUP(B363,BD_CONTROL!$A$5:$M$4235,11,0),"")</f>
        <v>0</v>
      </c>
      <c r="L363" s="120">
        <f>IFERROR(VLOOKUP(B363,BD_CONTROL!$A$5:$M$4235,12,0),"")</f>
        <v>0</v>
      </c>
      <c r="M363" s="121">
        <f>IFERROR(VLOOKUP(B363,BD_CONTROL!$A$5:$M$4235,13,0),"")</f>
        <v>0</v>
      </c>
    </row>
    <row r="364" spans="1:13" ht="15" customHeight="1">
      <c r="A364" s="39">
        <v>359</v>
      </c>
      <c r="B364" s="39" t="s">
        <v>9666</v>
      </c>
      <c r="C364" s="40" t="s">
        <v>9667</v>
      </c>
      <c r="D364" s="39" t="s">
        <v>5640</v>
      </c>
      <c r="E364" s="40" t="s">
        <v>9103</v>
      </c>
      <c r="F364" s="40" t="s">
        <v>9668</v>
      </c>
      <c r="G364" s="39" t="s">
        <v>109</v>
      </c>
      <c r="H364" s="40" t="s">
        <v>8982</v>
      </c>
      <c r="I364" s="40" t="s">
        <v>104</v>
      </c>
      <c r="J364" s="50"/>
      <c r="K364" s="116">
        <f>IFERROR(VLOOKUP(B364,BD_CONTROL!$A$5:$M$4235,11,0),"")</f>
        <v>0</v>
      </c>
      <c r="L364" s="117">
        <f>IFERROR(VLOOKUP(B364,BD_CONTROL!$A$5:$M$4235,12,0),"")</f>
        <v>0</v>
      </c>
      <c r="M364" s="118">
        <f>IFERROR(VLOOKUP(B364,BD_CONTROL!$A$5:$M$4235,13,0),"")</f>
        <v>0</v>
      </c>
    </row>
    <row r="365" spans="1:13" ht="15" customHeight="1">
      <c r="A365" s="42">
        <v>360</v>
      </c>
      <c r="B365" s="42" t="s">
        <v>9669</v>
      </c>
      <c r="C365" s="43" t="s">
        <v>9670</v>
      </c>
      <c r="D365" s="42" t="s">
        <v>553</v>
      </c>
      <c r="E365" s="43" t="s">
        <v>3227</v>
      </c>
      <c r="F365" s="43" t="s">
        <v>9671</v>
      </c>
      <c r="G365" s="42" t="s">
        <v>109</v>
      </c>
      <c r="H365" s="43" t="s">
        <v>8982</v>
      </c>
      <c r="I365" s="43" t="s">
        <v>104</v>
      </c>
      <c r="J365" s="55"/>
      <c r="K365" s="119">
        <f>IFERROR(VLOOKUP(B365,BD_CONTROL!$A$5:$M$4235,11,0),"")</f>
        <v>0</v>
      </c>
      <c r="L365" s="120">
        <f>IFERROR(VLOOKUP(B365,BD_CONTROL!$A$5:$M$4235,12,0),"")</f>
        <v>0</v>
      </c>
      <c r="M365" s="121">
        <f>IFERROR(VLOOKUP(B365,BD_CONTROL!$A$5:$M$4235,13,0),"")</f>
        <v>0</v>
      </c>
    </row>
    <row r="366" spans="1:13" ht="15" customHeight="1">
      <c r="A366" s="39">
        <v>361</v>
      </c>
      <c r="B366" s="39" t="s">
        <v>9672</v>
      </c>
      <c r="C366" s="40" t="s">
        <v>129</v>
      </c>
      <c r="D366" s="39" t="s">
        <v>553</v>
      </c>
      <c r="E366" s="40" t="s">
        <v>9673</v>
      </c>
      <c r="F366" s="40" t="s">
        <v>9674</v>
      </c>
      <c r="G366" s="39" t="s">
        <v>109</v>
      </c>
      <c r="H366" s="40" t="s">
        <v>8982</v>
      </c>
      <c r="I366" s="40" t="s">
        <v>104</v>
      </c>
      <c r="J366" s="50"/>
      <c r="K366" s="116">
        <f>IFERROR(VLOOKUP(B366,BD_CONTROL!$A$5:$M$4235,11,0),"")</f>
        <v>0</v>
      </c>
      <c r="L366" s="117">
        <f>IFERROR(VLOOKUP(B366,BD_CONTROL!$A$5:$M$4235,12,0),"")</f>
        <v>0</v>
      </c>
      <c r="M366" s="118">
        <f>IFERROR(VLOOKUP(B366,BD_CONTROL!$A$5:$M$4235,13,0),"")</f>
        <v>0</v>
      </c>
    </row>
    <row r="367" spans="1:13" ht="15" customHeight="1">
      <c r="A367" s="42">
        <v>362</v>
      </c>
      <c r="B367" s="42" t="s">
        <v>9675</v>
      </c>
      <c r="C367" s="43" t="s">
        <v>2212</v>
      </c>
      <c r="D367" s="42" t="s">
        <v>553</v>
      </c>
      <c r="E367" s="43" t="s">
        <v>2926</v>
      </c>
      <c r="F367" s="43" t="s">
        <v>9676</v>
      </c>
      <c r="G367" s="42" t="s">
        <v>109</v>
      </c>
      <c r="H367" s="43" t="s">
        <v>2927</v>
      </c>
      <c r="I367" s="43" t="s">
        <v>104</v>
      </c>
      <c r="J367" s="55"/>
      <c r="K367" s="119">
        <f>IFERROR(VLOOKUP(B367,BD_CONTROL!$A$5:$M$4235,11,0),"")</f>
        <v>0</v>
      </c>
      <c r="L367" s="120">
        <f>IFERROR(VLOOKUP(B367,BD_CONTROL!$A$5:$M$4235,12,0),"")</f>
        <v>0</v>
      </c>
      <c r="M367" s="121">
        <f>IFERROR(VLOOKUP(B367,BD_CONTROL!$A$5:$M$4235,13,0),"")</f>
        <v>0</v>
      </c>
    </row>
    <row r="368" spans="1:13" ht="15" customHeight="1">
      <c r="A368" s="39">
        <v>363</v>
      </c>
      <c r="B368" s="39" t="s">
        <v>9677</v>
      </c>
      <c r="C368" s="40" t="s">
        <v>8775</v>
      </c>
      <c r="D368" s="39" t="s">
        <v>553</v>
      </c>
      <c r="E368" s="40" t="s">
        <v>3227</v>
      </c>
      <c r="F368" s="40" t="s">
        <v>9678</v>
      </c>
      <c r="G368" s="39" t="s">
        <v>109</v>
      </c>
      <c r="H368" s="40" t="s">
        <v>8982</v>
      </c>
      <c r="I368" s="40" t="s">
        <v>104</v>
      </c>
      <c r="J368" s="50"/>
      <c r="K368" s="116">
        <f>IFERROR(VLOOKUP(B368,BD_CONTROL!$A$5:$M$4235,11,0),"")</f>
        <v>0</v>
      </c>
      <c r="L368" s="117">
        <f>IFERROR(VLOOKUP(B368,BD_CONTROL!$A$5:$M$4235,12,0),"")</f>
        <v>0</v>
      </c>
      <c r="M368" s="118">
        <f>IFERROR(VLOOKUP(B368,BD_CONTROL!$A$5:$M$4235,13,0),"")</f>
        <v>0</v>
      </c>
    </row>
    <row r="369" spans="1:13" ht="15" customHeight="1">
      <c r="A369" s="42">
        <v>364</v>
      </c>
      <c r="B369" s="42" t="s">
        <v>9679</v>
      </c>
      <c r="C369" s="43" t="s">
        <v>2273</v>
      </c>
      <c r="D369" s="42" t="s">
        <v>553</v>
      </c>
      <c r="E369" s="43" t="s">
        <v>3130</v>
      </c>
      <c r="F369" s="43" t="s">
        <v>9680</v>
      </c>
      <c r="G369" s="42" t="s">
        <v>109</v>
      </c>
      <c r="H369" s="43" t="s">
        <v>2927</v>
      </c>
      <c r="I369" s="43" t="s">
        <v>104</v>
      </c>
      <c r="J369" s="55"/>
      <c r="K369" s="119">
        <f>IFERROR(VLOOKUP(B369,BD_CONTROL!$A$5:$M$4235,11,0),"")</f>
        <v>0</v>
      </c>
      <c r="L369" s="120">
        <f>IFERROR(VLOOKUP(B369,BD_CONTROL!$A$5:$M$4235,12,0),"")</f>
        <v>0</v>
      </c>
      <c r="M369" s="121">
        <f>IFERROR(VLOOKUP(B369,BD_CONTROL!$A$5:$M$4235,13,0),"")</f>
        <v>0</v>
      </c>
    </row>
    <row r="370" spans="1:13" ht="15" customHeight="1">
      <c r="A370" s="39">
        <v>365</v>
      </c>
      <c r="B370" s="39" t="s">
        <v>9681</v>
      </c>
      <c r="C370" s="40" t="s">
        <v>9682</v>
      </c>
      <c r="D370" s="39" t="s">
        <v>553</v>
      </c>
      <c r="E370" s="40" t="s">
        <v>3360</v>
      </c>
      <c r="F370" s="40" t="s">
        <v>9683</v>
      </c>
      <c r="G370" s="39" t="s">
        <v>109</v>
      </c>
      <c r="H370" s="40" t="s">
        <v>8982</v>
      </c>
      <c r="I370" s="40" t="s">
        <v>104</v>
      </c>
      <c r="J370" s="50"/>
      <c r="K370" s="116">
        <f>IFERROR(VLOOKUP(B370,BD_CONTROL!$A$5:$M$4235,11,0),"")</f>
        <v>0</v>
      </c>
      <c r="L370" s="117">
        <f>IFERROR(VLOOKUP(B370,BD_CONTROL!$A$5:$M$4235,12,0),"")</f>
        <v>0</v>
      </c>
      <c r="M370" s="118">
        <f>IFERROR(VLOOKUP(B370,BD_CONTROL!$A$5:$M$4235,13,0),"")</f>
        <v>0</v>
      </c>
    </row>
    <row r="371" spans="1:13" ht="15" customHeight="1">
      <c r="A371" s="42">
        <v>366</v>
      </c>
      <c r="B371" s="42" t="s">
        <v>9684</v>
      </c>
      <c r="C371" s="43" t="s">
        <v>1116</v>
      </c>
      <c r="D371" s="42" t="s">
        <v>553</v>
      </c>
      <c r="E371" s="43" t="s">
        <v>9685</v>
      </c>
      <c r="F371" s="43" t="s">
        <v>9686</v>
      </c>
      <c r="G371" s="42" t="s">
        <v>109</v>
      </c>
      <c r="H371" s="43" t="s">
        <v>2927</v>
      </c>
      <c r="I371" s="43" t="s">
        <v>104</v>
      </c>
      <c r="J371" s="55"/>
      <c r="K371" s="119" t="str">
        <f>IFERROR(VLOOKUP(B371,BD_CONTROL!$A$5:$M$4235,11,0),"")</f>
        <v>Instalado - Operando</v>
      </c>
      <c r="L371" s="120">
        <f>IFERROR(VLOOKUP(B371,BD_CONTROL!$A$5:$M$4235,12,0),"")</f>
        <v>46148</v>
      </c>
      <c r="M371" s="121">
        <f>IFERROR(VLOOKUP(B371,BD_CONTROL!$A$5:$M$4235,13,0),"")</f>
        <v>0</v>
      </c>
    </row>
    <row r="372" spans="1:13" ht="15" customHeight="1">
      <c r="A372" s="39">
        <v>367</v>
      </c>
      <c r="B372" s="39" t="s">
        <v>9687</v>
      </c>
      <c r="C372" s="40" t="s">
        <v>9688</v>
      </c>
      <c r="D372" s="39" t="s">
        <v>553</v>
      </c>
      <c r="E372" s="40" t="s">
        <v>3130</v>
      </c>
      <c r="F372" s="40" t="s">
        <v>9689</v>
      </c>
      <c r="G372" s="39" t="s">
        <v>109</v>
      </c>
      <c r="H372" s="40" t="s">
        <v>2927</v>
      </c>
      <c r="I372" s="40" t="s">
        <v>104</v>
      </c>
      <c r="J372" s="50"/>
      <c r="K372" s="116">
        <f>IFERROR(VLOOKUP(B372,BD_CONTROL!$A$5:$M$4235,11,0),"")</f>
        <v>0</v>
      </c>
      <c r="L372" s="117">
        <f>IFERROR(VLOOKUP(B372,BD_CONTROL!$A$5:$M$4235,12,0),"")</f>
        <v>0</v>
      </c>
      <c r="M372" s="118">
        <f>IFERROR(VLOOKUP(B372,BD_CONTROL!$A$5:$M$4235,13,0),"")</f>
        <v>0</v>
      </c>
    </row>
    <row r="373" spans="1:13" ht="15" customHeight="1">
      <c r="A373" s="42">
        <v>368</v>
      </c>
      <c r="B373" s="42" t="s">
        <v>9690</v>
      </c>
      <c r="C373" s="43" t="s">
        <v>9691</v>
      </c>
      <c r="D373" s="42" t="s">
        <v>553</v>
      </c>
      <c r="E373" s="43" t="s">
        <v>9685</v>
      </c>
      <c r="F373" s="43" t="s">
        <v>9692</v>
      </c>
      <c r="G373" s="42" t="s">
        <v>109</v>
      </c>
      <c r="H373" s="43" t="s">
        <v>2927</v>
      </c>
      <c r="I373" s="43" t="s">
        <v>104</v>
      </c>
      <c r="J373" s="55"/>
      <c r="K373" s="119" t="str">
        <f>IFERROR(VLOOKUP(B373,BD_CONTROL!$A$5:$M$4235,11,0),"")</f>
        <v>Instalado - Operando</v>
      </c>
      <c r="L373" s="120">
        <f>IFERROR(VLOOKUP(B373,BD_CONTROL!$A$5:$M$4235,12,0),"")</f>
        <v>46150</v>
      </c>
      <c r="M373" s="121">
        <f>IFERROR(VLOOKUP(B373,BD_CONTROL!$A$5:$M$4235,13,0),"")</f>
        <v>0</v>
      </c>
    </row>
    <row r="374" spans="1:13" ht="15" customHeight="1">
      <c r="A374" s="39">
        <v>369</v>
      </c>
      <c r="B374" s="39" t="s">
        <v>9693</v>
      </c>
      <c r="C374" s="40" t="s">
        <v>9694</v>
      </c>
      <c r="D374" s="39" t="s">
        <v>553</v>
      </c>
      <c r="E374" s="40" t="s">
        <v>3360</v>
      </c>
      <c r="F374" s="40" t="s">
        <v>9695</v>
      </c>
      <c r="G374" s="39" t="s">
        <v>109</v>
      </c>
      <c r="H374" s="40" t="s">
        <v>8982</v>
      </c>
      <c r="I374" s="40" t="s">
        <v>104</v>
      </c>
      <c r="J374" s="50"/>
      <c r="K374" s="116">
        <f>IFERROR(VLOOKUP(B374,BD_CONTROL!$A$5:$M$4235,11,0),"")</f>
        <v>0</v>
      </c>
      <c r="L374" s="117">
        <f>IFERROR(VLOOKUP(B374,BD_CONTROL!$A$5:$M$4235,12,0),"")</f>
        <v>0</v>
      </c>
      <c r="M374" s="118">
        <f>IFERROR(VLOOKUP(B374,BD_CONTROL!$A$5:$M$4235,13,0),"")</f>
        <v>0</v>
      </c>
    </row>
    <row r="375" spans="1:13" ht="15" customHeight="1">
      <c r="A375" s="42">
        <v>370</v>
      </c>
      <c r="B375" s="42" t="s">
        <v>9696</v>
      </c>
      <c r="C375" s="43" t="s">
        <v>9697</v>
      </c>
      <c r="D375" s="42" t="s">
        <v>553</v>
      </c>
      <c r="E375" s="43" t="s">
        <v>9685</v>
      </c>
      <c r="F375" s="43" t="s">
        <v>9698</v>
      </c>
      <c r="G375" s="42" t="s">
        <v>109</v>
      </c>
      <c r="H375" s="43" t="s">
        <v>2927</v>
      </c>
      <c r="I375" s="43" t="s">
        <v>104</v>
      </c>
      <c r="J375" s="55"/>
      <c r="K375" s="119" t="str">
        <f>IFERROR(VLOOKUP(B375,BD_CONTROL!$A$5:$M$4235,11,0),"")</f>
        <v>Instalado - Operando</v>
      </c>
      <c r="L375" s="120">
        <f>IFERROR(VLOOKUP(B375,BD_CONTROL!$A$5:$M$4235,12,0),"")</f>
        <v>46149</v>
      </c>
      <c r="M375" s="121">
        <f>IFERROR(VLOOKUP(B375,BD_CONTROL!$A$5:$M$4235,13,0),"")</f>
        <v>0</v>
      </c>
    </row>
    <row r="376" spans="1:13" ht="15" customHeight="1">
      <c r="A376" s="39">
        <v>371</v>
      </c>
      <c r="B376" s="39" t="s">
        <v>9699</v>
      </c>
      <c r="C376" s="40" t="s">
        <v>9700</v>
      </c>
      <c r="D376" s="39" t="s">
        <v>553</v>
      </c>
      <c r="E376" s="40" t="s">
        <v>3130</v>
      </c>
      <c r="F376" s="40" t="s">
        <v>9665</v>
      </c>
      <c r="G376" s="39" t="s">
        <v>109</v>
      </c>
      <c r="H376" s="40" t="s">
        <v>2927</v>
      </c>
      <c r="I376" s="40" t="s">
        <v>104</v>
      </c>
      <c r="J376" s="50"/>
      <c r="K376" s="116">
        <f>IFERROR(VLOOKUP(B376,BD_CONTROL!$A$5:$M$4235,11,0),"")</f>
        <v>0</v>
      </c>
      <c r="L376" s="117">
        <f>IFERROR(VLOOKUP(B376,BD_CONTROL!$A$5:$M$4235,12,0),"")</f>
        <v>0</v>
      </c>
      <c r="M376" s="118">
        <f>IFERROR(VLOOKUP(B376,BD_CONTROL!$A$5:$M$4235,13,0),"")</f>
        <v>0</v>
      </c>
    </row>
    <row r="377" spans="1:13" ht="15" customHeight="1">
      <c r="A377" s="42">
        <v>372</v>
      </c>
      <c r="B377" s="42" t="s">
        <v>9701</v>
      </c>
      <c r="C377" s="43" t="s">
        <v>2639</v>
      </c>
      <c r="D377" s="42" t="s">
        <v>553</v>
      </c>
      <c r="E377" s="43" t="s">
        <v>3052</v>
      </c>
      <c r="F377" s="43" t="s">
        <v>9702</v>
      </c>
      <c r="G377" s="42" t="s">
        <v>109</v>
      </c>
      <c r="H377" s="43" t="s">
        <v>2927</v>
      </c>
      <c r="I377" s="43" t="s">
        <v>104</v>
      </c>
      <c r="J377" s="55"/>
      <c r="K377" s="119">
        <f>IFERROR(VLOOKUP(B377,BD_CONTROL!$A$5:$M$4235,11,0),"")</f>
        <v>0</v>
      </c>
      <c r="L377" s="120">
        <f>IFERROR(VLOOKUP(B377,BD_CONTROL!$A$5:$M$4235,12,0),"")</f>
        <v>0</v>
      </c>
      <c r="M377" s="121">
        <f>IFERROR(VLOOKUP(B377,BD_CONTROL!$A$5:$M$4235,13,0),"")</f>
        <v>0</v>
      </c>
    </row>
    <row r="378" spans="1:13" ht="15" customHeight="1">
      <c r="A378" s="39">
        <v>373</v>
      </c>
      <c r="B378" s="39" t="s">
        <v>9703</v>
      </c>
      <c r="C378" s="40" t="s">
        <v>9704</v>
      </c>
      <c r="D378" s="39" t="s">
        <v>553</v>
      </c>
      <c r="E378" s="40" t="s">
        <v>3130</v>
      </c>
      <c r="F378" s="40" t="s">
        <v>9705</v>
      </c>
      <c r="G378" s="39" t="s">
        <v>109</v>
      </c>
      <c r="H378" s="40" t="s">
        <v>2927</v>
      </c>
      <c r="I378" s="40" t="s">
        <v>104</v>
      </c>
      <c r="J378" s="50"/>
      <c r="K378" s="116">
        <f>IFERROR(VLOOKUP(B378,BD_CONTROL!$A$5:$M$4235,11,0),"")</f>
        <v>0</v>
      </c>
      <c r="L378" s="117">
        <f>IFERROR(VLOOKUP(B378,BD_CONTROL!$A$5:$M$4235,12,0),"")</f>
        <v>0</v>
      </c>
      <c r="M378" s="118">
        <f>IFERROR(VLOOKUP(B378,BD_CONTROL!$A$5:$M$4235,13,0),"")</f>
        <v>0</v>
      </c>
    </row>
    <row r="379" spans="1:13" ht="15" customHeight="1">
      <c r="A379" s="42">
        <v>374</v>
      </c>
      <c r="B379" s="42" t="s">
        <v>9706</v>
      </c>
      <c r="C379" s="43" t="s">
        <v>2746</v>
      </c>
      <c r="D379" s="42" t="s">
        <v>553</v>
      </c>
      <c r="E379" s="43" t="s">
        <v>3360</v>
      </c>
      <c r="F379" s="43" t="s">
        <v>9242</v>
      </c>
      <c r="G379" s="42" t="s">
        <v>109</v>
      </c>
      <c r="H379" s="43" t="s">
        <v>8982</v>
      </c>
      <c r="I379" s="43" t="s">
        <v>104</v>
      </c>
      <c r="J379" s="55"/>
      <c r="K379" s="119">
        <f>IFERROR(VLOOKUP(B379,BD_CONTROL!$A$5:$M$4235,11,0),"")</f>
        <v>0</v>
      </c>
      <c r="L379" s="120">
        <f>IFERROR(VLOOKUP(B379,BD_CONTROL!$A$5:$M$4235,12,0),"")</f>
        <v>0</v>
      </c>
      <c r="M379" s="121">
        <f>IFERROR(VLOOKUP(B379,BD_CONTROL!$A$5:$M$4235,13,0),"")</f>
        <v>0</v>
      </c>
    </row>
    <row r="380" spans="1:13" ht="15" customHeight="1">
      <c r="A380" s="39">
        <v>375</v>
      </c>
      <c r="B380" s="39" t="s">
        <v>9707</v>
      </c>
      <c r="C380" s="40" t="s">
        <v>9708</v>
      </c>
      <c r="D380" s="39" t="s">
        <v>553</v>
      </c>
      <c r="E380" s="40" t="s">
        <v>9673</v>
      </c>
      <c r="F380" s="40" t="s">
        <v>9673</v>
      </c>
      <c r="G380" s="39" t="s">
        <v>109</v>
      </c>
      <c r="H380" s="40" t="s">
        <v>8982</v>
      </c>
      <c r="I380" s="40" t="s">
        <v>104</v>
      </c>
      <c r="J380" s="50"/>
      <c r="K380" s="116">
        <f>IFERROR(VLOOKUP(B380,BD_CONTROL!$A$5:$M$4235,11,0),"")</f>
        <v>0</v>
      </c>
      <c r="L380" s="117">
        <f>IFERROR(VLOOKUP(B380,BD_CONTROL!$A$5:$M$4235,12,0),"")</f>
        <v>0</v>
      </c>
      <c r="M380" s="118">
        <f>IFERROR(VLOOKUP(B380,BD_CONTROL!$A$5:$M$4235,13,0),"")</f>
        <v>0</v>
      </c>
    </row>
    <row r="381" spans="1:13" ht="15" customHeight="1">
      <c r="A381" s="42">
        <v>376</v>
      </c>
      <c r="B381" s="42" t="s">
        <v>9709</v>
      </c>
      <c r="C381" s="43" t="s">
        <v>9710</v>
      </c>
      <c r="D381" s="42" t="s">
        <v>5640</v>
      </c>
      <c r="E381" s="43" t="s">
        <v>9279</v>
      </c>
      <c r="F381" s="43" t="s">
        <v>9711</v>
      </c>
      <c r="G381" s="42" t="s">
        <v>109</v>
      </c>
      <c r="H381" s="43" t="s">
        <v>8982</v>
      </c>
      <c r="I381" s="43" t="s">
        <v>104</v>
      </c>
      <c r="J381" s="55"/>
      <c r="K381" s="119">
        <f>IFERROR(VLOOKUP(B381,BD_CONTROL!$A$5:$M$4235,11,0),"")</f>
        <v>0</v>
      </c>
      <c r="L381" s="120">
        <f>IFERROR(VLOOKUP(B381,BD_CONTROL!$A$5:$M$4235,12,0),"")</f>
        <v>0</v>
      </c>
      <c r="M381" s="121">
        <f>IFERROR(VLOOKUP(B381,BD_CONTROL!$A$5:$M$4235,13,0),"")</f>
        <v>0</v>
      </c>
    </row>
    <row r="382" spans="1:13" ht="15" customHeight="1">
      <c r="A382" s="39">
        <v>377</v>
      </c>
      <c r="B382" s="39" t="s">
        <v>9712</v>
      </c>
      <c r="C382" s="40" t="s">
        <v>459</v>
      </c>
      <c r="D382" s="39" t="s">
        <v>6458</v>
      </c>
      <c r="E382" s="40" t="s">
        <v>9335</v>
      </c>
      <c r="F382" s="40" t="s">
        <v>9335</v>
      </c>
      <c r="G382" s="39" t="s">
        <v>109</v>
      </c>
      <c r="H382" s="40" t="s">
        <v>2927</v>
      </c>
      <c r="I382" s="40" t="s">
        <v>104</v>
      </c>
      <c r="J382" s="50"/>
      <c r="K382" s="116">
        <f>IFERROR(VLOOKUP(B382,BD_CONTROL!$A$5:$M$4235,11,0),"")</f>
        <v>0</v>
      </c>
      <c r="L382" s="117">
        <f>IFERROR(VLOOKUP(B382,BD_CONTROL!$A$5:$M$4235,12,0),"")</f>
        <v>0</v>
      </c>
      <c r="M382" s="118">
        <f>IFERROR(VLOOKUP(B382,BD_CONTROL!$A$5:$M$4235,13,0),"")</f>
        <v>0</v>
      </c>
    </row>
    <row r="383" spans="1:13" ht="15" customHeight="1">
      <c r="A383" s="42">
        <v>378</v>
      </c>
      <c r="B383" s="42" t="s">
        <v>9713</v>
      </c>
      <c r="C383" s="43" t="s">
        <v>9714</v>
      </c>
      <c r="D383" s="42" t="s">
        <v>5640</v>
      </c>
      <c r="E383" s="43" t="s">
        <v>9277</v>
      </c>
      <c r="F383" s="43" t="s">
        <v>9715</v>
      </c>
      <c r="G383" s="42" t="s">
        <v>109</v>
      </c>
      <c r="H383" s="43" t="s">
        <v>8982</v>
      </c>
      <c r="I383" s="43" t="s">
        <v>104</v>
      </c>
      <c r="J383" s="55"/>
      <c r="K383" s="119">
        <f>IFERROR(VLOOKUP(B383,BD_CONTROL!$A$5:$M$4235,11,0),"")</f>
        <v>0</v>
      </c>
      <c r="L383" s="120">
        <f>IFERROR(VLOOKUP(B383,BD_CONTROL!$A$5:$M$4235,12,0),"")</f>
        <v>0</v>
      </c>
      <c r="M383" s="121">
        <f>IFERROR(VLOOKUP(B383,BD_CONTROL!$A$5:$M$4235,13,0),"")</f>
        <v>0</v>
      </c>
    </row>
    <row r="384" spans="1:13" ht="15" customHeight="1">
      <c r="A384" s="39">
        <v>379</v>
      </c>
      <c r="B384" s="39" t="s">
        <v>9716</v>
      </c>
      <c r="C384" s="40" t="s">
        <v>9717</v>
      </c>
      <c r="D384" s="39" t="s">
        <v>5640</v>
      </c>
      <c r="E384" s="40" t="s">
        <v>1113</v>
      </c>
      <c r="F384" s="40" t="s">
        <v>6596</v>
      </c>
      <c r="G384" s="39" t="s">
        <v>109</v>
      </c>
      <c r="H384" s="40" t="s">
        <v>8982</v>
      </c>
      <c r="I384" s="40" t="s">
        <v>104</v>
      </c>
      <c r="J384" s="50"/>
      <c r="K384" s="116">
        <f>IFERROR(VLOOKUP(B384,BD_CONTROL!$A$5:$M$4235,11,0),"")</f>
        <v>0</v>
      </c>
      <c r="L384" s="117">
        <f>IFERROR(VLOOKUP(B384,BD_CONTROL!$A$5:$M$4235,12,0),"")</f>
        <v>0</v>
      </c>
      <c r="M384" s="118">
        <f>IFERROR(VLOOKUP(B384,BD_CONTROL!$A$5:$M$4235,13,0),"")</f>
        <v>0</v>
      </c>
    </row>
    <row r="385" spans="1:13" ht="15" customHeight="1">
      <c r="A385" s="42">
        <v>380</v>
      </c>
      <c r="B385" s="42" t="s">
        <v>9718</v>
      </c>
      <c r="C385" s="43" t="s">
        <v>9719</v>
      </c>
      <c r="D385" s="42" t="s">
        <v>5640</v>
      </c>
      <c r="E385" s="43" t="s">
        <v>9720</v>
      </c>
      <c r="F385" s="43" t="s">
        <v>9721</v>
      </c>
      <c r="G385" s="42" t="s">
        <v>109</v>
      </c>
      <c r="H385" s="43" t="s">
        <v>8982</v>
      </c>
      <c r="I385" s="43" t="s">
        <v>104</v>
      </c>
      <c r="J385" s="55"/>
      <c r="K385" s="119">
        <f>IFERROR(VLOOKUP(B385,BD_CONTROL!$A$5:$M$4235,11,0),"")</f>
        <v>0</v>
      </c>
      <c r="L385" s="120">
        <f>IFERROR(VLOOKUP(B385,BD_CONTROL!$A$5:$M$4235,12,0),"")</f>
        <v>0</v>
      </c>
      <c r="M385" s="121">
        <f>IFERROR(VLOOKUP(B385,BD_CONTROL!$A$5:$M$4235,13,0),"")</f>
        <v>0</v>
      </c>
    </row>
    <row r="386" spans="1:13" ht="15" customHeight="1">
      <c r="A386" s="39">
        <v>381</v>
      </c>
      <c r="B386" s="39" t="s">
        <v>9722</v>
      </c>
      <c r="C386" s="40" t="s">
        <v>1113</v>
      </c>
      <c r="D386" s="39" t="s">
        <v>5640</v>
      </c>
      <c r="E386" s="40" t="s">
        <v>8990</v>
      </c>
      <c r="F386" s="40" t="s">
        <v>9723</v>
      </c>
      <c r="G386" s="39" t="s">
        <v>109</v>
      </c>
      <c r="H386" s="40" t="s">
        <v>8982</v>
      </c>
      <c r="I386" s="40" t="s">
        <v>104</v>
      </c>
      <c r="J386" s="50"/>
      <c r="K386" s="116">
        <f>IFERROR(VLOOKUP(B386,BD_CONTROL!$A$5:$M$4235,11,0),"")</f>
        <v>0</v>
      </c>
      <c r="L386" s="117">
        <f>IFERROR(VLOOKUP(B386,BD_CONTROL!$A$5:$M$4235,12,0),"")</f>
        <v>0</v>
      </c>
      <c r="M386" s="118">
        <f>IFERROR(VLOOKUP(B386,BD_CONTROL!$A$5:$M$4235,13,0),"")</f>
        <v>0</v>
      </c>
    </row>
    <row r="387" spans="1:13" ht="15" customHeight="1">
      <c r="A387" s="42">
        <v>382</v>
      </c>
      <c r="B387" s="42" t="s">
        <v>9724</v>
      </c>
      <c r="C387" s="43" t="s">
        <v>1113</v>
      </c>
      <c r="D387" s="42" t="s">
        <v>6458</v>
      </c>
      <c r="E387" s="43" t="s">
        <v>9094</v>
      </c>
      <c r="F387" s="43" t="s">
        <v>9725</v>
      </c>
      <c r="G387" s="42" t="s">
        <v>109</v>
      </c>
      <c r="H387" s="43" t="s">
        <v>2927</v>
      </c>
      <c r="I387" s="43" t="s">
        <v>104</v>
      </c>
      <c r="J387" s="55"/>
      <c r="K387" s="119">
        <f>IFERROR(VLOOKUP(B387,BD_CONTROL!$A$5:$M$4235,11,0),"")</f>
        <v>0</v>
      </c>
      <c r="L387" s="120">
        <f>IFERROR(VLOOKUP(B387,BD_CONTROL!$A$5:$M$4235,12,0),"")</f>
        <v>0</v>
      </c>
      <c r="M387" s="121">
        <f>IFERROR(VLOOKUP(B387,BD_CONTROL!$A$5:$M$4235,13,0),"")</f>
        <v>0</v>
      </c>
    </row>
    <row r="388" spans="1:13" ht="15" customHeight="1">
      <c r="A388" s="39">
        <v>383</v>
      </c>
      <c r="B388" s="39" t="s">
        <v>9726</v>
      </c>
      <c r="C388" s="40" t="s">
        <v>1113</v>
      </c>
      <c r="D388" s="39" t="s">
        <v>7142</v>
      </c>
      <c r="E388" s="40" t="s">
        <v>9056</v>
      </c>
      <c r="F388" s="40" t="s">
        <v>9366</v>
      </c>
      <c r="G388" s="39" t="s">
        <v>109</v>
      </c>
      <c r="H388" s="40" t="s">
        <v>2927</v>
      </c>
      <c r="I388" s="40" t="s">
        <v>104</v>
      </c>
      <c r="J388" s="50"/>
      <c r="K388" s="116" t="str">
        <f>IFERROR(VLOOKUP(B388,BD_CONTROL!$A$5:$M$4235,11,0),"")</f>
        <v>Instalado - Operando</v>
      </c>
      <c r="L388" s="117">
        <f>IFERROR(VLOOKUP(B388,BD_CONTROL!$A$5:$M$4235,12,0),"")</f>
        <v>46147</v>
      </c>
      <c r="M388" s="118">
        <f>IFERROR(VLOOKUP(B388,BD_CONTROL!$A$5:$M$4235,13,0),"")</f>
        <v>0</v>
      </c>
    </row>
    <row r="389" spans="1:13" ht="15" customHeight="1">
      <c r="A389" s="42">
        <v>384</v>
      </c>
      <c r="B389" s="42" t="s">
        <v>9727</v>
      </c>
      <c r="C389" s="43" t="s">
        <v>254</v>
      </c>
      <c r="D389" s="42" t="s">
        <v>5640</v>
      </c>
      <c r="E389" s="43" t="s">
        <v>9103</v>
      </c>
      <c r="F389" s="43" t="s">
        <v>9728</v>
      </c>
      <c r="G389" s="42" t="s">
        <v>109</v>
      </c>
      <c r="H389" s="43" t="s">
        <v>8982</v>
      </c>
      <c r="I389" s="43" t="s">
        <v>104</v>
      </c>
      <c r="J389" s="55"/>
      <c r="K389" s="119">
        <f>IFERROR(VLOOKUP(B389,BD_CONTROL!$A$5:$M$4235,11,0),"")</f>
        <v>0</v>
      </c>
      <c r="L389" s="120">
        <f>IFERROR(VLOOKUP(B389,BD_CONTROL!$A$5:$M$4235,12,0),"")</f>
        <v>0</v>
      </c>
      <c r="M389" s="121">
        <f>IFERROR(VLOOKUP(B389,BD_CONTROL!$A$5:$M$4235,13,0),"")</f>
        <v>0</v>
      </c>
    </row>
    <row r="390" spans="1:13" ht="15" customHeight="1">
      <c r="A390" s="39">
        <v>385</v>
      </c>
      <c r="B390" s="39" t="s">
        <v>9729</v>
      </c>
      <c r="C390" s="40" t="s">
        <v>254</v>
      </c>
      <c r="D390" s="39" t="s">
        <v>5640</v>
      </c>
      <c r="E390" s="40" t="s">
        <v>9030</v>
      </c>
      <c r="F390" s="40" t="s">
        <v>9730</v>
      </c>
      <c r="G390" s="39" t="s">
        <v>109</v>
      </c>
      <c r="H390" s="40" t="s">
        <v>8982</v>
      </c>
      <c r="I390" s="40" t="s">
        <v>104</v>
      </c>
      <c r="J390" s="50"/>
      <c r="K390" s="116">
        <f>IFERROR(VLOOKUP(B390,BD_CONTROL!$A$5:$M$4235,11,0),"")</f>
        <v>0</v>
      </c>
      <c r="L390" s="117">
        <f>IFERROR(VLOOKUP(B390,BD_CONTROL!$A$5:$M$4235,12,0),"")</f>
        <v>0</v>
      </c>
      <c r="M390" s="118">
        <f>IFERROR(VLOOKUP(B390,BD_CONTROL!$A$5:$M$4235,13,0),"")</f>
        <v>0</v>
      </c>
    </row>
    <row r="391" spans="1:13" ht="15" customHeight="1">
      <c r="A391" s="42">
        <v>386</v>
      </c>
      <c r="B391" s="42" t="s">
        <v>9731</v>
      </c>
      <c r="C391" s="43" t="s">
        <v>254</v>
      </c>
      <c r="D391" s="42" t="s">
        <v>5640</v>
      </c>
      <c r="E391" s="43" t="s">
        <v>9249</v>
      </c>
      <c r="F391" s="43" t="s">
        <v>9732</v>
      </c>
      <c r="G391" s="42" t="s">
        <v>109</v>
      </c>
      <c r="H391" s="43" t="s">
        <v>8982</v>
      </c>
      <c r="I391" s="43" t="s">
        <v>104</v>
      </c>
      <c r="J391" s="55"/>
      <c r="K391" s="119">
        <f>IFERROR(VLOOKUP(B391,BD_CONTROL!$A$5:$M$4235,11,0),"")</f>
        <v>0</v>
      </c>
      <c r="L391" s="120">
        <f>IFERROR(VLOOKUP(B391,BD_CONTROL!$A$5:$M$4235,12,0),"")</f>
        <v>0</v>
      </c>
      <c r="M391" s="121">
        <f>IFERROR(VLOOKUP(B391,BD_CONTROL!$A$5:$M$4235,13,0),"")</f>
        <v>0</v>
      </c>
    </row>
    <row r="392" spans="1:13" ht="15" customHeight="1">
      <c r="A392" s="39">
        <v>387</v>
      </c>
      <c r="B392" s="39" t="s">
        <v>9733</v>
      </c>
      <c r="C392" s="40" t="s">
        <v>254</v>
      </c>
      <c r="D392" s="39" t="s">
        <v>5640</v>
      </c>
      <c r="E392" s="40" t="s">
        <v>9004</v>
      </c>
      <c r="F392" s="40" t="s">
        <v>9734</v>
      </c>
      <c r="G392" s="39" t="s">
        <v>109</v>
      </c>
      <c r="H392" s="40" t="s">
        <v>8982</v>
      </c>
      <c r="I392" s="40" t="s">
        <v>104</v>
      </c>
      <c r="J392" s="50"/>
      <c r="K392" s="116">
        <f>IFERROR(VLOOKUP(B392,BD_CONTROL!$A$5:$M$4235,11,0),"")</f>
        <v>0</v>
      </c>
      <c r="L392" s="117">
        <f>IFERROR(VLOOKUP(B392,BD_CONTROL!$A$5:$M$4235,12,0),"")</f>
        <v>0</v>
      </c>
      <c r="M392" s="118">
        <f>IFERROR(VLOOKUP(B392,BD_CONTROL!$A$5:$M$4235,13,0),"")</f>
        <v>0</v>
      </c>
    </row>
    <row r="393" spans="1:13" ht="15" customHeight="1">
      <c r="A393" s="42">
        <v>388</v>
      </c>
      <c r="B393" s="42" t="s">
        <v>9735</v>
      </c>
      <c r="C393" s="43" t="s">
        <v>254</v>
      </c>
      <c r="D393" s="42" t="s">
        <v>6458</v>
      </c>
      <c r="E393" s="43" t="s">
        <v>9013</v>
      </c>
      <c r="F393" s="43" t="s">
        <v>9736</v>
      </c>
      <c r="G393" s="42" t="s">
        <v>109</v>
      </c>
      <c r="H393" s="43" t="s">
        <v>2927</v>
      </c>
      <c r="I393" s="43" t="s">
        <v>104</v>
      </c>
      <c r="J393" s="55"/>
      <c r="K393" s="119">
        <f>IFERROR(VLOOKUP(B393,BD_CONTROL!$A$5:$M$4235,11,0),"")</f>
        <v>0</v>
      </c>
      <c r="L393" s="120">
        <f>IFERROR(VLOOKUP(B393,BD_CONTROL!$A$5:$M$4235,12,0),"")</f>
        <v>0</v>
      </c>
      <c r="M393" s="121">
        <f>IFERROR(VLOOKUP(B393,BD_CONTROL!$A$5:$M$4235,13,0),"")</f>
        <v>0</v>
      </c>
    </row>
    <row r="394" spans="1:13" ht="15" customHeight="1">
      <c r="A394" s="39">
        <v>389</v>
      </c>
      <c r="B394" s="39" t="s">
        <v>9737</v>
      </c>
      <c r="C394" s="40" t="s">
        <v>254</v>
      </c>
      <c r="D394" s="39" t="s">
        <v>5640</v>
      </c>
      <c r="E394" s="40" t="s">
        <v>9030</v>
      </c>
      <c r="F394" s="40" t="s">
        <v>9211</v>
      </c>
      <c r="G394" s="39" t="s">
        <v>102</v>
      </c>
      <c r="H394" s="40" t="s">
        <v>8982</v>
      </c>
      <c r="I394" s="40" t="s">
        <v>104</v>
      </c>
      <c r="J394" s="50"/>
      <c r="K394" s="116" t="str">
        <f>IFERROR(VLOOKUP(B394,BD_CONTROL!$A$5:$M$4235,11,0),"")</f>
        <v>Instalado - Operando</v>
      </c>
      <c r="L394" s="117">
        <f>IFERROR(VLOOKUP(B394,BD_CONTROL!$A$5:$M$4235,12,0),"")</f>
        <v>46150</v>
      </c>
      <c r="M394" s="118">
        <f>IFERROR(VLOOKUP(B394,BD_CONTROL!$A$5:$M$4235,13,0),"")</f>
        <v>0</v>
      </c>
    </row>
    <row r="395" spans="1:13" ht="15" customHeight="1">
      <c r="A395" s="42">
        <v>390</v>
      </c>
      <c r="B395" s="42" t="s">
        <v>9738</v>
      </c>
      <c r="C395" s="43" t="s">
        <v>9739</v>
      </c>
      <c r="D395" s="42" t="s">
        <v>5640</v>
      </c>
      <c r="E395" s="43" t="s">
        <v>9279</v>
      </c>
      <c r="F395" s="43" t="s">
        <v>9280</v>
      </c>
      <c r="G395" s="42" t="s">
        <v>109</v>
      </c>
      <c r="H395" s="43" t="s">
        <v>8982</v>
      </c>
      <c r="I395" s="43" t="s">
        <v>104</v>
      </c>
      <c r="J395" s="55"/>
      <c r="K395" s="119">
        <f>IFERROR(VLOOKUP(B395,BD_CONTROL!$A$5:$M$4235,11,0),"")</f>
        <v>0</v>
      </c>
      <c r="L395" s="120">
        <f>IFERROR(VLOOKUP(B395,BD_CONTROL!$A$5:$M$4235,12,0),"")</f>
        <v>0</v>
      </c>
      <c r="M395" s="121">
        <f>IFERROR(VLOOKUP(B395,BD_CONTROL!$A$5:$M$4235,13,0),"")</f>
        <v>0</v>
      </c>
    </row>
    <row r="396" spans="1:13" ht="15" customHeight="1">
      <c r="A396" s="39">
        <v>391</v>
      </c>
      <c r="B396" s="39" t="s">
        <v>9740</v>
      </c>
      <c r="C396" s="40" t="s">
        <v>9741</v>
      </c>
      <c r="D396" s="39" t="s">
        <v>5640</v>
      </c>
      <c r="E396" s="40" t="s">
        <v>9279</v>
      </c>
      <c r="F396" s="40" t="s">
        <v>9742</v>
      </c>
      <c r="G396" s="39" t="s">
        <v>109</v>
      </c>
      <c r="H396" s="40" t="s">
        <v>8982</v>
      </c>
      <c r="I396" s="40" t="s">
        <v>104</v>
      </c>
      <c r="J396" s="50"/>
      <c r="K396" s="116">
        <f>IFERROR(VLOOKUP(B396,BD_CONTROL!$A$5:$M$4235,11,0),"")</f>
        <v>0</v>
      </c>
      <c r="L396" s="117">
        <f>IFERROR(VLOOKUP(B396,BD_CONTROL!$A$5:$M$4235,12,0),"")</f>
        <v>0</v>
      </c>
      <c r="M396" s="118">
        <f>IFERROR(VLOOKUP(B396,BD_CONTROL!$A$5:$M$4235,13,0),"")</f>
        <v>0</v>
      </c>
    </row>
    <row r="397" spans="1:13" ht="15" customHeight="1">
      <c r="A397" s="42">
        <v>392</v>
      </c>
      <c r="B397" s="42" t="s">
        <v>9743</v>
      </c>
      <c r="C397" s="43" t="s">
        <v>9744</v>
      </c>
      <c r="D397" s="42" t="s">
        <v>5640</v>
      </c>
      <c r="E397" s="43" t="s">
        <v>3023</v>
      </c>
      <c r="F397" s="43" t="s">
        <v>9745</v>
      </c>
      <c r="G397" s="42" t="s">
        <v>109</v>
      </c>
      <c r="H397" s="43" t="s">
        <v>8982</v>
      </c>
      <c r="I397" s="43" t="s">
        <v>104</v>
      </c>
      <c r="J397" s="55"/>
      <c r="K397" s="119">
        <f>IFERROR(VLOOKUP(B397,BD_CONTROL!$A$5:$M$4235,11,0),"")</f>
        <v>0</v>
      </c>
      <c r="L397" s="120">
        <f>IFERROR(VLOOKUP(B397,BD_CONTROL!$A$5:$M$4235,12,0),"")</f>
        <v>0</v>
      </c>
      <c r="M397" s="121">
        <f>IFERROR(VLOOKUP(B397,BD_CONTROL!$A$5:$M$4235,13,0),"")</f>
        <v>0</v>
      </c>
    </row>
    <row r="398" spans="1:13" ht="15" customHeight="1">
      <c r="A398" s="39">
        <v>393</v>
      </c>
      <c r="B398" s="39" t="s">
        <v>9746</v>
      </c>
      <c r="C398" s="40" t="s">
        <v>5850</v>
      </c>
      <c r="D398" s="39" t="s">
        <v>6458</v>
      </c>
      <c r="E398" s="40" t="s">
        <v>1714</v>
      </c>
      <c r="F398" s="40" t="s">
        <v>9747</v>
      </c>
      <c r="G398" s="39" t="s">
        <v>109</v>
      </c>
      <c r="H398" s="40" t="s">
        <v>2927</v>
      </c>
      <c r="I398" s="40" t="s">
        <v>104</v>
      </c>
      <c r="J398" s="50"/>
      <c r="K398" s="116">
        <f>IFERROR(VLOOKUP(B398,BD_CONTROL!$A$5:$M$4235,11,0),"")</f>
        <v>0</v>
      </c>
      <c r="L398" s="117">
        <f>IFERROR(VLOOKUP(B398,BD_CONTROL!$A$5:$M$4235,12,0),"")</f>
        <v>0</v>
      </c>
      <c r="M398" s="118">
        <f>IFERROR(VLOOKUP(B398,BD_CONTROL!$A$5:$M$4235,13,0),"")</f>
        <v>0</v>
      </c>
    </row>
    <row r="399" spans="1:13" ht="15" customHeight="1">
      <c r="A399" s="42">
        <v>394</v>
      </c>
      <c r="B399" s="42" t="s">
        <v>9748</v>
      </c>
      <c r="C399" s="43" t="s">
        <v>9749</v>
      </c>
      <c r="D399" s="42" t="s">
        <v>6458</v>
      </c>
      <c r="E399" s="43" t="s">
        <v>1714</v>
      </c>
      <c r="F399" s="43" t="s">
        <v>1714</v>
      </c>
      <c r="G399" s="42" t="s">
        <v>109</v>
      </c>
      <c r="H399" s="43" t="s">
        <v>2927</v>
      </c>
      <c r="I399" s="43" t="s">
        <v>104</v>
      </c>
      <c r="J399" s="55"/>
      <c r="K399" s="119">
        <f>IFERROR(VLOOKUP(B399,BD_CONTROL!$A$5:$M$4235,11,0),"")</f>
        <v>0</v>
      </c>
      <c r="L399" s="120">
        <f>IFERROR(VLOOKUP(B399,BD_CONTROL!$A$5:$M$4235,12,0),"")</f>
        <v>0</v>
      </c>
      <c r="M399" s="121">
        <f>IFERROR(VLOOKUP(B399,BD_CONTROL!$A$5:$M$4235,13,0),"")</f>
        <v>0</v>
      </c>
    </row>
    <row r="400" spans="1:13" ht="15" customHeight="1">
      <c r="A400" s="39">
        <v>395</v>
      </c>
      <c r="B400" s="39" t="s">
        <v>9750</v>
      </c>
      <c r="C400" s="40" t="s">
        <v>3643</v>
      </c>
      <c r="D400" s="39" t="s">
        <v>6458</v>
      </c>
      <c r="E400" s="40" t="s">
        <v>1714</v>
      </c>
      <c r="F400" s="40" t="s">
        <v>9751</v>
      </c>
      <c r="G400" s="39" t="s">
        <v>109</v>
      </c>
      <c r="H400" s="40" t="s">
        <v>2927</v>
      </c>
      <c r="I400" s="40" t="s">
        <v>104</v>
      </c>
      <c r="J400" s="50"/>
      <c r="K400" s="116">
        <f>IFERROR(VLOOKUP(B400,BD_CONTROL!$A$5:$M$4235,11,0),"")</f>
        <v>0</v>
      </c>
      <c r="L400" s="117">
        <f>IFERROR(VLOOKUP(B400,BD_CONTROL!$A$5:$M$4235,12,0),"")</f>
        <v>0</v>
      </c>
      <c r="M400" s="118">
        <f>IFERROR(VLOOKUP(B400,BD_CONTROL!$A$5:$M$4235,13,0),"")</f>
        <v>0</v>
      </c>
    </row>
  </sheetData>
  <mergeCells count="3">
    <mergeCell ref="A1:M2"/>
    <mergeCell ref="A3:M3"/>
    <mergeCell ref="A4:M4"/>
  </mergeCells>
  <conditionalFormatting sqref="K6:K400">
    <cfRule type="expression" dxfId="41" priority="2">
      <formula>EXACT($K6,"INSTALADO - OPERANDO")</formula>
    </cfRule>
    <cfRule type="expression" dxfId="40" priority="3">
      <formula>EXACT($K6,"INSTALADO - SIN SEÑAL")</formula>
    </cfRule>
    <cfRule type="expression" dxfId="39" priority="4">
      <formula>EXACT($K6,"EQUIPO EN ALMACÉN")</formula>
    </cfRule>
    <cfRule type="expression" dxfId="38" priority="5">
      <formula>EXACT($K6,"PROGRAMADO")</formula>
    </cfRule>
    <cfRule type="expression" dxfId="37" priority="6">
      <formula>EXACT($K6,"VISITADO")</formula>
    </cfRule>
    <cfRule type="expression" dxfId="36" priority="7">
      <formula>EXACT($K6,"SIN INMUEBLE")</formula>
    </cfRule>
  </conditionalFormatting>
  <dataValidations count="1">
    <dataValidation type="list" allowBlank="1" sqref="K6:K400" xr:uid="{00000000-0002-0000-0B00-000000000000}">
      <formula1>"INSTALADO - OPERANDO,INSTALADO - SIN SEÑAL,EQUIPO EN ALMACÉN,PROGRAMADO,VISITADO,SIN INMUEBLE"</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43A047"/>
  </sheetPr>
  <dimension ref="A1:M262"/>
  <sheetViews>
    <sheetView showGridLines="0" tabSelected="1" zoomScale="120" zoomScaleNormal="120" workbookViewId="0">
      <pane ySplit="5" topLeftCell="A30" activePane="bottomLeft" state="frozen"/>
      <selection pane="bottomLeft" activeCell="L8" sqref="L8:L250"/>
    </sheetView>
  </sheetViews>
  <sheetFormatPr defaultColWidth="8.7109375" defaultRowHeight="15"/>
  <cols>
    <col min="1" max="1" width="5" customWidth="1"/>
    <col min="2" max="2" width="14" customWidth="1"/>
    <col min="3" max="3" width="36" customWidth="1"/>
    <col min="4" max="5" width="18" customWidth="1"/>
    <col min="6" max="6" width="16" customWidth="1"/>
    <col min="7" max="7" width="9" customWidth="1"/>
    <col min="8" max="8" width="20" customWidth="1"/>
    <col min="9" max="10" width="14" customWidth="1"/>
    <col min="11" max="11" width="26" customWidth="1"/>
    <col min="12" max="12" width="18" customWidth="1"/>
    <col min="13" max="13" width="30" customWidth="1"/>
  </cols>
  <sheetData>
    <row r="1" spans="1:13" ht="30" customHeight="1">
      <c r="A1" s="192" t="s">
        <v>9835</v>
      </c>
      <c r="B1" s="260"/>
      <c r="C1" s="260"/>
      <c r="D1" s="260"/>
      <c r="E1" s="260"/>
      <c r="F1" s="260"/>
      <c r="G1" s="260"/>
      <c r="H1" s="260"/>
      <c r="I1" s="260"/>
      <c r="J1" s="260"/>
      <c r="K1" s="260"/>
      <c r="L1" s="260"/>
      <c r="M1" s="260"/>
    </row>
    <row r="2" spans="1:13" ht="3.75" customHeight="1">
      <c r="A2" s="260"/>
      <c r="B2" s="260"/>
      <c r="C2" s="260"/>
      <c r="D2" s="260"/>
      <c r="E2" s="260"/>
      <c r="F2" s="260"/>
      <c r="G2" s="260"/>
      <c r="H2" s="260"/>
      <c r="I2" s="260"/>
      <c r="J2" s="260"/>
      <c r="K2" s="260"/>
      <c r="L2" s="260"/>
      <c r="M2" s="260"/>
    </row>
    <row r="3" spans="1:13" ht="15.75" customHeight="1">
      <c r="A3" s="193" t="s">
        <v>9832</v>
      </c>
      <c r="B3" s="260"/>
      <c r="C3" s="260"/>
      <c r="D3" s="260"/>
      <c r="E3" s="260"/>
      <c r="F3" s="260"/>
      <c r="G3" s="260"/>
      <c r="H3" s="260"/>
      <c r="I3" s="260"/>
      <c r="J3" s="260"/>
      <c r="K3" s="260"/>
      <c r="L3" s="260"/>
      <c r="M3" s="260"/>
    </row>
    <row r="4" spans="1:13" ht="3" customHeight="1">
      <c r="A4" s="194"/>
      <c r="B4" s="260"/>
      <c r="C4" s="260"/>
      <c r="D4" s="260"/>
      <c r="E4" s="260"/>
      <c r="F4" s="260"/>
      <c r="G4" s="260"/>
      <c r="H4" s="260"/>
      <c r="I4" s="260"/>
      <c r="J4" s="260"/>
      <c r="K4" s="260"/>
      <c r="L4" s="260"/>
      <c r="M4" s="260"/>
    </row>
    <row r="5" spans="1:13" ht="21.75" customHeight="1">
      <c r="A5" s="123" t="s">
        <v>9783</v>
      </c>
      <c r="B5" s="123" t="s">
        <v>84</v>
      </c>
      <c r="C5" s="123" t="s">
        <v>86</v>
      </c>
      <c r="D5" s="123" t="s">
        <v>87</v>
      </c>
      <c r="E5" s="123" t="s">
        <v>88</v>
      </c>
      <c r="F5" s="123" t="s">
        <v>89</v>
      </c>
      <c r="G5" s="123" t="s">
        <v>90</v>
      </c>
      <c r="H5" s="123" t="s">
        <v>92</v>
      </c>
      <c r="I5" s="123" t="s">
        <v>93</v>
      </c>
      <c r="J5" s="123" t="s">
        <v>9833</v>
      </c>
      <c r="K5" s="123" t="s">
        <v>94</v>
      </c>
      <c r="L5" s="123" t="s">
        <v>95</v>
      </c>
      <c r="M5" s="123" t="s">
        <v>96</v>
      </c>
    </row>
    <row r="6" spans="1:13" ht="15" customHeight="1">
      <c r="A6" s="39">
        <v>1</v>
      </c>
      <c r="B6" s="39" t="s">
        <v>436</v>
      </c>
      <c r="C6" s="40" t="s">
        <v>437</v>
      </c>
      <c r="D6" s="39" t="s">
        <v>432</v>
      </c>
      <c r="E6" s="40" t="s">
        <v>438</v>
      </c>
      <c r="F6" s="40" t="s">
        <v>439</v>
      </c>
      <c r="G6" s="39" t="s">
        <v>109</v>
      </c>
      <c r="H6" s="40" t="s">
        <v>440</v>
      </c>
      <c r="I6" s="40" t="s">
        <v>104</v>
      </c>
      <c r="J6" s="50"/>
      <c r="K6" s="116">
        <f>IFERROR(VLOOKUP(B6,BD_CONTROL!$A$5:$M$4235,11,0),"")</f>
        <v>0</v>
      </c>
      <c r="L6" s="117">
        <f>IFERROR(VLOOKUP(B6,BD_CONTROL!$A$5:$M$4235,12,0),"")</f>
        <v>0</v>
      </c>
      <c r="M6" s="118">
        <f>IFERROR(VLOOKUP(B6,BD_CONTROL!$A$5:$M$4235,13,0),"")</f>
        <v>0</v>
      </c>
    </row>
    <row r="7" spans="1:13" ht="15" customHeight="1">
      <c r="A7" s="42">
        <v>2</v>
      </c>
      <c r="B7" s="42" t="s">
        <v>441</v>
      </c>
      <c r="C7" s="43" t="s">
        <v>442</v>
      </c>
      <c r="D7" s="42" t="s">
        <v>432</v>
      </c>
      <c r="E7" s="43" t="s">
        <v>443</v>
      </c>
      <c r="F7" s="43" t="s">
        <v>443</v>
      </c>
      <c r="G7" s="42" t="s">
        <v>102</v>
      </c>
      <c r="H7" s="43" t="s">
        <v>440</v>
      </c>
      <c r="I7" s="43" t="s">
        <v>104</v>
      </c>
      <c r="J7" s="55"/>
      <c r="K7" s="119">
        <f>IFERROR(VLOOKUP(B7,BD_CONTROL!$A$5:$M$4235,11,0),"")</f>
        <v>0</v>
      </c>
      <c r="L7" s="120">
        <f>IFERROR(VLOOKUP(B7,BD_CONTROL!$A$5:$M$4235,12,0),"")</f>
        <v>0</v>
      </c>
      <c r="M7" s="121">
        <f>IFERROR(VLOOKUP(B7,BD_CONTROL!$A$5:$M$4235,13,0),"")</f>
        <v>0</v>
      </c>
    </row>
    <row r="8" spans="1:13" ht="15" customHeight="1">
      <c r="A8" s="39">
        <v>3</v>
      </c>
      <c r="B8" s="39" t="s">
        <v>444</v>
      </c>
      <c r="C8" s="40" t="s">
        <v>445</v>
      </c>
      <c r="D8" s="39" t="s">
        <v>432</v>
      </c>
      <c r="E8" s="40" t="s">
        <v>443</v>
      </c>
      <c r="F8" s="40" t="s">
        <v>443</v>
      </c>
      <c r="G8" s="39" t="s">
        <v>102</v>
      </c>
      <c r="H8" s="40" t="s">
        <v>440</v>
      </c>
      <c r="I8" s="40" t="s">
        <v>104</v>
      </c>
      <c r="J8" s="50"/>
      <c r="K8" s="116" t="str">
        <f>IFERROR(VLOOKUP(B8,BD_CONTROL!$A$5:$M$4235,11,0),"")</f>
        <v>Instalado - Operando</v>
      </c>
      <c r="L8" s="117">
        <f>IFERROR(VLOOKUP(B8,BD_CONTROL!$A$5:$M$4235,12,0),"")</f>
        <v>46153</v>
      </c>
      <c r="M8" s="118">
        <f>IFERROR(VLOOKUP(B8,BD_CONTROL!$A$5:$M$4235,13,0),"")</f>
        <v>0</v>
      </c>
    </row>
    <row r="9" spans="1:13" ht="15" customHeight="1">
      <c r="A9" s="42">
        <v>4</v>
      </c>
      <c r="B9" s="42" t="s">
        <v>446</v>
      </c>
      <c r="C9" s="43" t="s">
        <v>447</v>
      </c>
      <c r="D9" s="42" t="s">
        <v>432</v>
      </c>
      <c r="E9" s="43" t="s">
        <v>448</v>
      </c>
      <c r="F9" s="43" t="s">
        <v>449</v>
      </c>
      <c r="G9" s="42" t="s">
        <v>109</v>
      </c>
      <c r="H9" s="43" t="s">
        <v>440</v>
      </c>
      <c r="I9" s="43" t="s">
        <v>104</v>
      </c>
      <c r="J9" s="55"/>
      <c r="K9" s="119">
        <f>IFERROR(VLOOKUP(B9,BD_CONTROL!$A$5:$M$4235,11,0),"")</f>
        <v>0</v>
      </c>
      <c r="L9" s="120">
        <f>IFERROR(VLOOKUP(B9,BD_CONTROL!$A$5:$M$4235,12,0),"")</f>
        <v>0</v>
      </c>
      <c r="M9" s="121">
        <f>IFERROR(VLOOKUP(B9,BD_CONTROL!$A$5:$M$4235,13,0),"")</f>
        <v>0</v>
      </c>
    </row>
    <row r="10" spans="1:13" ht="15" customHeight="1">
      <c r="A10" s="39">
        <v>5</v>
      </c>
      <c r="B10" s="39" t="s">
        <v>450</v>
      </c>
      <c r="C10" s="40" t="s">
        <v>451</v>
      </c>
      <c r="D10" s="39" t="s">
        <v>432</v>
      </c>
      <c r="E10" s="40" t="s">
        <v>452</v>
      </c>
      <c r="F10" s="40" t="s">
        <v>453</v>
      </c>
      <c r="G10" s="39" t="s">
        <v>109</v>
      </c>
      <c r="H10" s="40" t="s">
        <v>440</v>
      </c>
      <c r="I10" s="40" t="s">
        <v>104</v>
      </c>
      <c r="J10" s="50"/>
      <c r="K10" s="116">
        <f>IFERROR(VLOOKUP(B10,BD_CONTROL!$A$5:$M$4235,11,0),"")</f>
        <v>0</v>
      </c>
      <c r="L10" s="117">
        <f>IFERROR(VLOOKUP(B10,BD_CONTROL!$A$5:$M$4235,12,0),"")</f>
        <v>0</v>
      </c>
      <c r="M10" s="118">
        <f>IFERROR(VLOOKUP(B10,BD_CONTROL!$A$5:$M$4235,13,0),"")</f>
        <v>0</v>
      </c>
    </row>
    <row r="11" spans="1:13" ht="15" customHeight="1">
      <c r="A11" s="42">
        <v>6</v>
      </c>
      <c r="B11" s="42" t="s">
        <v>454</v>
      </c>
      <c r="C11" s="43" t="s">
        <v>455</v>
      </c>
      <c r="D11" s="42" t="s">
        <v>432</v>
      </c>
      <c r="E11" s="43" t="s">
        <v>456</v>
      </c>
      <c r="F11" s="43" t="s">
        <v>457</v>
      </c>
      <c r="G11" s="42" t="s">
        <v>109</v>
      </c>
      <c r="H11" s="43" t="s">
        <v>440</v>
      </c>
      <c r="I11" s="43" t="s">
        <v>104</v>
      </c>
      <c r="J11" s="55"/>
      <c r="K11" s="119">
        <f>IFERROR(VLOOKUP(B11,BD_CONTROL!$A$5:$M$4235,11,0),"")</f>
        <v>0</v>
      </c>
      <c r="L11" s="120">
        <f>IFERROR(VLOOKUP(B11,BD_CONTROL!$A$5:$M$4235,12,0),"")</f>
        <v>0</v>
      </c>
      <c r="M11" s="121">
        <f>IFERROR(VLOOKUP(B11,BD_CONTROL!$A$5:$M$4235,13,0),"")</f>
        <v>0</v>
      </c>
    </row>
    <row r="12" spans="1:13" ht="15" customHeight="1">
      <c r="A12" s="39">
        <v>7</v>
      </c>
      <c r="B12" s="39" t="s">
        <v>458</v>
      </c>
      <c r="C12" s="40" t="s">
        <v>459</v>
      </c>
      <c r="D12" s="39" t="s">
        <v>432</v>
      </c>
      <c r="E12" s="40" t="s">
        <v>460</v>
      </c>
      <c r="F12" s="40" t="s">
        <v>461</v>
      </c>
      <c r="G12" s="39" t="s">
        <v>109</v>
      </c>
      <c r="H12" s="40" t="s">
        <v>440</v>
      </c>
      <c r="I12" s="40" t="s">
        <v>104</v>
      </c>
      <c r="J12" s="50"/>
      <c r="K12" s="116">
        <f>IFERROR(VLOOKUP(B12,BD_CONTROL!$A$5:$M$4235,11,0),"")</f>
        <v>0</v>
      </c>
      <c r="L12" s="117">
        <f>IFERROR(VLOOKUP(B12,BD_CONTROL!$A$5:$M$4235,12,0),"")</f>
        <v>0</v>
      </c>
      <c r="M12" s="118">
        <f>IFERROR(VLOOKUP(B12,BD_CONTROL!$A$5:$M$4235,13,0),"")</f>
        <v>0</v>
      </c>
    </row>
    <row r="13" spans="1:13" ht="15" customHeight="1">
      <c r="A13" s="42">
        <v>8</v>
      </c>
      <c r="B13" s="42" t="s">
        <v>462</v>
      </c>
      <c r="C13" s="43" t="s">
        <v>463</v>
      </c>
      <c r="D13" s="42" t="s">
        <v>432</v>
      </c>
      <c r="E13" s="43" t="s">
        <v>443</v>
      </c>
      <c r="F13" s="43" t="s">
        <v>443</v>
      </c>
      <c r="G13" s="42" t="s">
        <v>102</v>
      </c>
      <c r="H13" s="43" t="s">
        <v>440</v>
      </c>
      <c r="I13" s="43" t="s">
        <v>104</v>
      </c>
      <c r="J13" s="55"/>
      <c r="K13" s="119">
        <f>IFERROR(VLOOKUP(B13,BD_CONTROL!$A$5:$M$4235,11,0),"")</f>
        <v>0</v>
      </c>
      <c r="L13" s="120">
        <f>IFERROR(VLOOKUP(B13,BD_CONTROL!$A$5:$M$4235,12,0),"")</f>
        <v>0</v>
      </c>
      <c r="M13" s="121">
        <f>IFERROR(VLOOKUP(B13,BD_CONTROL!$A$5:$M$4235,13,0),"")</f>
        <v>0</v>
      </c>
    </row>
    <row r="14" spans="1:13" ht="15" customHeight="1">
      <c r="A14" s="39">
        <v>9</v>
      </c>
      <c r="B14" s="39" t="s">
        <v>464</v>
      </c>
      <c r="C14" s="40" t="s">
        <v>465</v>
      </c>
      <c r="D14" s="39" t="s">
        <v>432</v>
      </c>
      <c r="E14" s="40" t="s">
        <v>466</v>
      </c>
      <c r="F14" s="40" t="s">
        <v>467</v>
      </c>
      <c r="G14" s="39" t="s">
        <v>102</v>
      </c>
      <c r="H14" s="40" t="s">
        <v>440</v>
      </c>
      <c r="I14" s="40" t="s">
        <v>104</v>
      </c>
      <c r="J14" s="50"/>
      <c r="K14" s="116">
        <f>IFERROR(VLOOKUP(B14,BD_CONTROL!$A$5:$M$4235,11,0),"")</f>
        <v>0</v>
      </c>
      <c r="L14" s="117">
        <f>IFERROR(VLOOKUP(B14,BD_CONTROL!$A$5:$M$4235,12,0),"")</f>
        <v>0</v>
      </c>
      <c r="M14" s="118">
        <f>IFERROR(VLOOKUP(B14,BD_CONTROL!$A$5:$M$4235,13,0),"")</f>
        <v>0</v>
      </c>
    </row>
    <row r="15" spans="1:13" ht="15" customHeight="1">
      <c r="A15" s="42">
        <v>10</v>
      </c>
      <c r="B15" s="42" t="s">
        <v>472</v>
      </c>
      <c r="C15" s="43" t="s">
        <v>473</v>
      </c>
      <c r="D15" s="42" t="s">
        <v>432</v>
      </c>
      <c r="E15" s="43" t="s">
        <v>443</v>
      </c>
      <c r="F15" s="43" t="s">
        <v>474</v>
      </c>
      <c r="G15" s="42" t="s">
        <v>109</v>
      </c>
      <c r="H15" s="43" t="s">
        <v>440</v>
      </c>
      <c r="I15" s="43" t="s">
        <v>104</v>
      </c>
      <c r="J15" s="55"/>
      <c r="K15" s="119">
        <f>IFERROR(VLOOKUP(B15,BD_CONTROL!$A$5:$M$4235,11,0),"")</f>
        <v>0</v>
      </c>
      <c r="L15" s="120">
        <f>IFERROR(VLOOKUP(B15,BD_CONTROL!$A$5:$M$4235,12,0),"")</f>
        <v>0</v>
      </c>
      <c r="M15" s="121">
        <f>IFERROR(VLOOKUP(B15,BD_CONTROL!$A$5:$M$4235,13,0),"")</f>
        <v>0</v>
      </c>
    </row>
    <row r="16" spans="1:13" ht="15" customHeight="1">
      <c r="A16" s="39">
        <v>11</v>
      </c>
      <c r="B16" s="39" t="s">
        <v>482</v>
      </c>
      <c r="C16" s="40" t="s">
        <v>483</v>
      </c>
      <c r="D16" s="39" t="s">
        <v>432</v>
      </c>
      <c r="E16" s="40" t="s">
        <v>443</v>
      </c>
      <c r="F16" s="40" t="s">
        <v>484</v>
      </c>
      <c r="G16" s="39" t="s">
        <v>109</v>
      </c>
      <c r="H16" s="40" t="s">
        <v>440</v>
      </c>
      <c r="I16" s="40" t="s">
        <v>104</v>
      </c>
      <c r="J16" s="50"/>
      <c r="K16" s="116">
        <f>IFERROR(VLOOKUP(B16,BD_CONTROL!$A$5:$M$4235,11,0),"")</f>
        <v>0</v>
      </c>
      <c r="L16" s="117">
        <f>IFERROR(VLOOKUP(B16,BD_CONTROL!$A$5:$M$4235,12,0),"")</f>
        <v>0</v>
      </c>
      <c r="M16" s="118">
        <f>IFERROR(VLOOKUP(B16,BD_CONTROL!$A$5:$M$4235,13,0),"")</f>
        <v>0</v>
      </c>
    </row>
    <row r="17" spans="1:13" ht="15" customHeight="1">
      <c r="A17" s="42">
        <v>12</v>
      </c>
      <c r="B17" s="42" t="s">
        <v>488</v>
      </c>
      <c r="C17" s="43" t="s">
        <v>457</v>
      </c>
      <c r="D17" s="42" t="s">
        <v>432</v>
      </c>
      <c r="E17" s="43" t="s">
        <v>456</v>
      </c>
      <c r="F17" s="43" t="s">
        <v>457</v>
      </c>
      <c r="G17" s="42" t="s">
        <v>109</v>
      </c>
      <c r="H17" s="43" t="s">
        <v>440</v>
      </c>
      <c r="I17" s="43" t="s">
        <v>104</v>
      </c>
      <c r="J17" s="55"/>
      <c r="K17" s="119">
        <f>IFERROR(VLOOKUP(B17,BD_CONTROL!$A$5:$M$4235,11,0),"")</f>
        <v>0</v>
      </c>
      <c r="L17" s="120">
        <f>IFERROR(VLOOKUP(B17,BD_CONTROL!$A$5:$M$4235,12,0),"")</f>
        <v>0</v>
      </c>
      <c r="M17" s="121">
        <f>IFERROR(VLOOKUP(B17,BD_CONTROL!$A$5:$M$4235,13,0),"")</f>
        <v>0</v>
      </c>
    </row>
    <row r="18" spans="1:13" ht="15" customHeight="1">
      <c r="A18" s="39">
        <v>13</v>
      </c>
      <c r="B18" s="39" t="s">
        <v>489</v>
      </c>
      <c r="C18" s="40" t="s">
        <v>490</v>
      </c>
      <c r="D18" s="39" t="s">
        <v>432</v>
      </c>
      <c r="E18" s="40" t="s">
        <v>448</v>
      </c>
      <c r="F18" s="40" t="s">
        <v>491</v>
      </c>
      <c r="G18" s="39" t="s">
        <v>109</v>
      </c>
      <c r="H18" s="40" t="s">
        <v>440</v>
      </c>
      <c r="I18" s="40" t="s">
        <v>104</v>
      </c>
      <c r="J18" s="50"/>
      <c r="K18" s="116">
        <f>IFERROR(VLOOKUP(B18,BD_CONTROL!$A$5:$M$4235,11,0),"")</f>
        <v>0</v>
      </c>
      <c r="L18" s="117">
        <f>IFERROR(VLOOKUP(B18,BD_CONTROL!$A$5:$M$4235,12,0),"")</f>
        <v>0</v>
      </c>
      <c r="M18" s="118">
        <f>IFERROR(VLOOKUP(B18,BD_CONTROL!$A$5:$M$4235,13,0),"")</f>
        <v>0</v>
      </c>
    </row>
    <row r="19" spans="1:13" ht="15" customHeight="1">
      <c r="A19" s="42">
        <v>14</v>
      </c>
      <c r="B19" s="42" t="s">
        <v>492</v>
      </c>
      <c r="C19" s="43" t="s">
        <v>493</v>
      </c>
      <c r="D19" s="42" t="s">
        <v>432</v>
      </c>
      <c r="E19" s="43" t="s">
        <v>466</v>
      </c>
      <c r="F19" s="43" t="s">
        <v>494</v>
      </c>
      <c r="G19" s="42" t="s">
        <v>109</v>
      </c>
      <c r="H19" s="43" t="s">
        <v>440</v>
      </c>
      <c r="I19" s="43" t="s">
        <v>104</v>
      </c>
      <c r="J19" s="55"/>
      <c r="K19" s="119">
        <f>IFERROR(VLOOKUP(B19,BD_CONTROL!$A$5:$M$4235,11,0),"")</f>
        <v>0</v>
      </c>
      <c r="L19" s="120">
        <f>IFERROR(VLOOKUP(B19,BD_CONTROL!$A$5:$M$4235,12,0),"")</f>
        <v>0</v>
      </c>
      <c r="M19" s="121">
        <f>IFERROR(VLOOKUP(B19,BD_CONTROL!$A$5:$M$4235,13,0),"")</f>
        <v>0</v>
      </c>
    </row>
    <row r="20" spans="1:13" ht="15" customHeight="1">
      <c r="A20" s="39">
        <v>15</v>
      </c>
      <c r="B20" s="39" t="s">
        <v>497</v>
      </c>
      <c r="C20" s="40" t="s">
        <v>498</v>
      </c>
      <c r="D20" s="39" t="s">
        <v>432</v>
      </c>
      <c r="E20" s="40" t="s">
        <v>443</v>
      </c>
      <c r="F20" s="40" t="s">
        <v>443</v>
      </c>
      <c r="G20" s="39" t="s">
        <v>102</v>
      </c>
      <c r="H20" s="40" t="s">
        <v>440</v>
      </c>
      <c r="I20" s="40" t="s">
        <v>104</v>
      </c>
      <c r="J20" s="50"/>
      <c r="K20" s="116">
        <f>IFERROR(VLOOKUP(B20,BD_CONTROL!$A$5:$M$4235,11,0),"")</f>
        <v>0</v>
      </c>
      <c r="L20" s="117">
        <f>IFERROR(VLOOKUP(B20,BD_CONTROL!$A$5:$M$4235,12,0),"")</f>
        <v>0</v>
      </c>
      <c r="M20" s="118">
        <f>IFERROR(VLOOKUP(B20,BD_CONTROL!$A$5:$M$4235,13,0),"")</f>
        <v>0</v>
      </c>
    </row>
    <row r="21" spans="1:13" ht="15" customHeight="1">
      <c r="A21" s="42">
        <v>16</v>
      </c>
      <c r="B21" s="42" t="s">
        <v>499</v>
      </c>
      <c r="C21" s="43" t="s">
        <v>500</v>
      </c>
      <c r="D21" s="42" t="s">
        <v>432</v>
      </c>
      <c r="E21" s="43" t="s">
        <v>460</v>
      </c>
      <c r="F21" s="43" t="s">
        <v>460</v>
      </c>
      <c r="G21" s="42" t="s">
        <v>102</v>
      </c>
      <c r="H21" s="43" t="s">
        <v>440</v>
      </c>
      <c r="I21" s="43" t="s">
        <v>104</v>
      </c>
      <c r="J21" s="55"/>
      <c r="K21" s="119">
        <f>IFERROR(VLOOKUP(B21,BD_CONTROL!$A$5:$M$4235,11,0),"")</f>
        <v>0</v>
      </c>
      <c r="L21" s="120">
        <f>IFERROR(VLOOKUP(B21,BD_CONTROL!$A$5:$M$4235,12,0),"")</f>
        <v>0</v>
      </c>
      <c r="M21" s="121">
        <f>IFERROR(VLOOKUP(B21,BD_CONTROL!$A$5:$M$4235,13,0),"")</f>
        <v>0</v>
      </c>
    </row>
    <row r="22" spans="1:13" ht="15" customHeight="1">
      <c r="A22" s="39">
        <v>17</v>
      </c>
      <c r="B22" s="39" t="s">
        <v>501</v>
      </c>
      <c r="C22" s="40" t="s">
        <v>502</v>
      </c>
      <c r="D22" s="39" t="s">
        <v>432</v>
      </c>
      <c r="E22" s="40" t="s">
        <v>503</v>
      </c>
      <c r="F22" s="40" t="s">
        <v>504</v>
      </c>
      <c r="G22" s="39" t="s">
        <v>109</v>
      </c>
      <c r="H22" s="40" t="s">
        <v>440</v>
      </c>
      <c r="I22" s="40" t="s">
        <v>104</v>
      </c>
      <c r="J22" s="50"/>
      <c r="K22" s="116">
        <f>IFERROR(VLOOKUP(B22,BD_CONTROL!$A$5:$M$4235,11,0),"")</f>
        <v>0</v>
      </c>
      <c r="L22" s="117">
        <f>IFERROR(VLOOKUP(B22,BD_CONTROL!$A$5:$M$4235,12,0),"")</f>
        <v>0</v>
      </c>
      <c r="M22" s="118">
        <f>IFERROR(VLOOKUP(B22,BD_CONTROL!$A$5:$M$4235,13,0),"")</f>
        <v>0</v>
      </c>
    </row>
    <row r="23" spans="1:13" ht="15" customHeight="1">
      <c r="A23" s="42">
        <v>18</v>
      </c>
      <c r="B23" s="42" t="s">
        <v>505</v>
      </c>
      <c r="C23" s="43" t="s">
        <v>506</v>
      </c>
      <c r="D23" s="42" t="s">
        <v>432</v>
      </c>
      <c r="E23" s="43" t="s">
        <v>438</v>
      </c>
      <c r="F23" s="43" t="s">
        <v>507</v>
      </c>
      <c r="G23" s="42" t="s">
        <v>109</v>
      </c>
      <c r="H23" s="43" t="s">
        <v>440</v>
      </c>
      <c r="I23" s="43" t="s">
        <v>104</v>
      </c>
      <c r="J23" s="55"/>
      <c r="K23" s="119">
        <f>IFERROR(VLOOKUP(B23,BD_CONTROL!$A$5:$M$4235,11,0),"")</f>
        <v>0</v>
      </c>
      <c r="L23" s="120">
        <f>IFERROR(VLOOKUP(B23,BD_CONTROL!$A$5:$M$4235,12,0),"")</f>
        <v>0</v>
      </c>
      <c r="M23" s="121">
        <f>IFERROR(VLOOKUP(B23,BD_CONTROL!$A$5:$M$4235,13,0),"")</f>
        <v>0</v>
      </c>
    </row>
    <row r="24" spans="1:13" ht="15" customHeight="1">
      <c r="A24" s="39">
        <v>19</v>
      </c>
      <c r="B24" s="39" t="s">
        <v>508</v>
      </c>
      <c r="C24" s="40" t="s">
        <v>509</v>
      </c>
      <c r="D24" s="39" t="s">
        <v>432</v>
      </c>
      <c r="E24" s="40" t="s">
        <v>510</v>
      </c>
      <c r="F24" s="40" t="s">
        <v>511</v>
      </c>
      <c r="G24" s="39" t="s">
        <v>109</v>
      </c>
      <c r="H24" s="40" t="s">
        <v>440</v>
      </c>
      <c r="I24" s="40" t="s">
        <v>104</v>
      </c>
      <c r="J24" s="50"/>
      <c r="K24" s="116">
        <f>IFERROR(VLOOKUP(B24,BD_CONTROL!$A$5:$M$4235,11,0),"")</f>
        <v>0</v>
      </c>
      <c r="L24" s="117">
        <f>IFERROR(VLOOKUP(B24,BD_CONTROL!$A$5:$M$4235,12,0),"")</f>
        <v>0</v>
      </c>
      <c r="M24" s="118">
        <f>IFERROR(VLOOKUP(B24,BD_CONTROL!$A$5:$M$4235,13,0),"")</f>
        <v>0</v>
      </c>
    </row>
    <row r="25" spans="1:13" ht="15" customHeight="1">
      <c r="A25" s="42">
        <v>20</v>
      </c>
      <c r="B25" s="42" t="s">
        <v>512</v>
      </c>
      <c r="C25" s="43" t="s">
        <v>513</v>
      </c>
      <c r="D25" s="42" t="s">
        <v>432</v>
      </c>
      <c r="E25" s="43" t="s">
        <v>514</v>
      </c>
      <c r="F25" s="43" t="s">
        <v>514</v>
      </c>
      <c r="G25" s="42" t="s">
        <v>102</v>
      </c>
      <c r="H25" s="43" t="s">
        <v>440</v>
      </c>
      <c r="I25" s="43" t="s">
        <v>104</v>
      </c>
      <c r="J25" s="55"/>
      <c r="K25" s="119">
        <f>IFERROR(VLOOKUP(B25,BD_CONTROL!$A$5:$M$4235,11,0),"")</f>
        <v>0</v>
      </c>
      <c r="L25" s="120">
        <f>IFERROR(VLOOKUP(B25,BD_CONTROL!$A$5:$M$4235,12,0),"")</f>
        <v>0</v>
      </c>
      <c r="M25" s="121">
        <f>IFERROR(VLOOKUP(B25,BD_CONTROL!$A$5:$M$4235,13,0),"")</f>
        <v>0</v>
      </c>
    </row>
    <row r="26" spans="1:13" ht="15" customHeight="1">
      <c r="A26" s="39">
        <v>21</v>
      </c>
      <c r="B26" s="39" t="s">
        <v>515</v>
      </c>
      <c r="C26" s="40" t="s">
        <v>516</v>
      </c>
      <c r="D26" s="39" t="s">
        <v>432</v>
      </c>
      <c r="E26" s="40" t="s">
        <v>517</v>
      </c>
      <c r="F26" s="40" t="s">
        <v>518</v>
      </c>
      <c r="G26" s="39" t="s">
        <v>109</v>
      </c>
      <c r="H26" s="40" t="s">
        <v>440</v>
      </c>
      <c r="I26" s="40" t="s">
        <v>104</v>
      </c>
      <c r="J26" s="50"/>
      <c r="K26" s="116">
        <f>IFERROR(VLOOKUP(B26,BD_CONTROL!$A$5:$M$4235,11,0),"")</f>
        <v>0</v>
      </c>
      <c r="L26" s="117">
        <f>IFERROR(VLOOKUP(B26,BD_CONTROL!$A$5:$M$4235,12,0),"")</f>
        <v>0</v>
      </c>
      <c r="M26" s="118">
        <f>IFERROR(VLOOKUP(B26,BD_CONTROL!$A$5:$M$4235,13,0),"")</f>
        <v>0</v>
      </c>
    </row>
    <row r="27" spans="1:13" ht="15" customHeight="1">
      <c r="A27" s="42">
        <v>22</v>
      </c>
      <c r="B27" s="42" t="s">
        <v>522</v>
      </c>
      <c r="C27" s="43" t="s">
        <v>523</v>
      </c>
      <c r="D27" s="42" t="s">
        <v>432</v>
      </c>
      <c r="E27" s="43" t="s">
        <v>524</v>
      </c>
      <c r="F27" s="43" t="s">
        <v>523</v>
      </c>
      <c r="G27" s="42" t="s">
        <v>109</v>
      </c>
      <c r="H27" s="43" t="s">
        <v>440</v>
      </c>
      <c r="I27" s="43" t="s">
        <v>104</v>
      </c>
      <c r="J27" s="55"/>
      <c r="K27" s="119">
        <f>IFERROR(VLOOKUP(B27,BD_CONTROL!$A$5:$M$4235,11,0),"")</f>
        <v>0</v>
      </c>
      <c r="L27" s="120">
        <f>IFERROR(VLOOKUP(B27,BD_CONTROL!$A$5:$M$4235,12,0),"")</f>
        <v>0</v>
      </c>
      <c r="M27" s="121">
        <f>IFERROR(VLOOKUP(B27,BD_CONTROL!$A$5:$M$4235,13,0),"")</f>
        <v>0</v>
      </c>
    </row>
    <row r="28" spans="1:13" ht="15" customHeight="1">
      <c r="A28" s="39">
        <v>23</v>
      </c>
      <c r="B28" s="39" t="s">
        <v>528</v>
      </c>
      <c r="C28" s="40" t="s">
        <v>529</v>
      </c>
      <c r="D28" s="39" t="s">
        <v>432</v>
      </c>
      <c r="E28" s="40" t="s">
        <v>443</v>
      </c>
      <c r="F28" s="40" t="s">
        <v>529</v>
      </c>
      <c r="G28" s="39" t="s">
        <v>109</v>
      </c>
      <c r="H28" s="40" t="s">
        <v>440</v>
      </c>
      <c r="I28" s="40" t="s">
        <v>104</v>
      </c>
      <c r="J28" s="50"/>
      <c r="K28" s="116" t="str">
        <f>IFERROR(VLOOKUP(B28,BD_CONTROL!$A$5:$M$4235,11,0),"")</f>
        <v>Instalado - Operando</v>
      </c>
      <c r="L28" s="117">
        <f>IFERROR(VLOOKUP(B28,BD_CONTROL!$A$5:$M$4235,12,0),"")</f>
        <v>46153</v>
      </c>
      <c r="M28" s="118">
        <f>IFERROR(VLOOKUP(B28,BD_CONTROL!$A$5:$M$4235,13,0),"")</f>
        <v>0</v>
      </c>
    </row>
    <row r="29" spans="1:13" ht="15" customHeight="1">
      <c r="A29" s="42">
        <v>24</v>
      </c>
      <c r="B29" s="42" t="s">
        <v>539</v>
      </c>
      <c r="C29" s="43" t="s">
        <v>540</v>
      </c>
      <c r="D29" s="42" t="s">
        <v>432</v>
      </c>
      <c r="E29" s="43" t="s">
        <v>540</v>
      </c>
      <c r="F29" s="43" t="s">
        <v>540</v>
      </c>
      <c r="G29" s="42" t="s">
        <v>102</v>
      </c>
      <c r="H29" s="43" t="s">
        <v>440</v>
      </c>
      <c r="I29" s="43" t="s">
        <v>104</v>
      </c>
      <c r="J29" s="55"/>
      <c r="K29" s="119">
        <f>IFERROR(VLOOKUP(B29,BD_CONTROL!$A$5:$M$4235,11,0),"")</f>
        <v>0</v>
      </c>
      <c r="L29" s="120">
        <f>IFERROR(VLOOKUP(B29,BD_CONTROL!$A$5:$M$4235,12,0),"")</f>
        <v>0</v>
      </c>
      <c r="M29" s="121">
        <f>IFERROR(VLOOKUP(B29,BD_CONTROL!$A$5:$M$4235,13,0),"")</f>
        <v>0</v>
      </c>
    </row>
    <row r="30" spans="1:13" ht="15" customHeight="1">
      <c r="A30" s="39">
        <v>25</v>
      </c>
      <c r="B30" s="39" t="s">
        <v>541</v>
      </c>
      <c r="C30" s="40" t="s">
        <v>542</v>
      </c>
      <c r="D30" s="39" t="s">
        <v>432</v>
      </c>
      <c r="E30" s="40" t="s">
        <v>543</v>
      </c>
      <c r="F30" s="40" t="s">
        <v>543</v>
      </c>
      <c r="G30" s="39" t="s">
        <v>102</v>
      </c>
      <c r="H30" s="40" t="s">
        <v>440</v>
      </c>
      <c r="I30" s="40" t="s">
        <v>104</v>
      </c>
      <c r="J30" s="50"/>
      <c r="K30" s="116">
        <f>IFERROR(VLOOKUP(B30,BD_CONTROL!$A$5:$M$4235,11,0),"")</f>
        <v>0</v>
      </c>
      <c r="L30" s="117">
        <f>IFERROR(VLOOKUP(B30,BD_CONTROL!$A$5:$M$4235,12,0),"")</f>
        <v>0</v>
      </c>
      <c r="M30" s="118">
        <f>IFERROR(VLOOKUP(B30,BD_CONTROL!$A$5:$M$4235,13,0),"")</f>
        <v>0</v>
      </c>
    </row>
    <row r="31" spans="1:13" ht="15" customHeight="1">
      <c r="A31" s="42">
        <v>26</v>
      </c>
      <c r="B31" s="42" t="s">
        <v>549</v>
      </c>
      <c r="C31" s="43" t="s">
        <v>550</v>
      </c>
      <c r="D31" s="42" t="s">
        <v>432</v>
      </c>
      <c r="E31" s="43" t="s">
        <v>524</v>
      </c>
      <c r="F31" s="43" t="s">
        <v>550</v>
      </c>
      <c r="G31" s="42" t="s">
        <v>109</v>
      </c>
      <c r="H31" s="43" t="s">
        <v>440</v>
      </c>
      <c r="I31" s="43" t="s">
        <v>104</v>
      </c>
      <c r="J31" s="55"/>
      <c r="K31" s="119">
        <f>IFERROR(VLOOKUP(B31,BD_CONTROL!$A$5:$M$4235,11,0),"")</f>
        <v>0</v>
      </c>
      <c r="L31" s="120">
        <f>IFERROR(VLOOKUP(B31,BD_CONTROL!$A$5:$M$4235,12,0),"")</f>
        <v>0</v>
      </c>
      <c r="M31" s="121">
        <f>IFERROR(VLOOKUP(B31,BD_CONTROL!$A$5:$M$4235,13,0),"")</f>
        <v>0</v>
      </c>
    </row>
    <row r="32" spans="1:13" ht="15" customHeight="1">
      <c r="A32" s="39">
        <v>27</v>
      </c>
      <c r="B32" s="39" t="s">
        <v>557</v>
      </c>
      <c r="C32" s="40" t="s">
        <v>558</v>
      </c>
      <c r="D32" s="39" t="s">
        <v>432</v>
      </c>
      <c r="E32" s="40" t="s">
        <v>460</v>
      </c>
      <c r="F32" s="40" t="s">
        <v>460</v>
      </c>
      <c r="G32" s="39" t="s">
        <v>102</v>
      </c>
      <c r="H32" s="40" t="s">
        <v>440</v>
      </c>
      <c r="I32" s="40" t="s">
        <v>104</v>
      </c>
      <c r="J32" s="50"/>
      <c r="K32" s="116">
        <f>IFERROR(VLOOKUP(B32,BD_CONTROL!$A$5:$M$4235,11,0),"")</f>
        <v>0</v>
      </c>
      <c r="L32" s="117">
        <f>IFERROR(VLOOKUP(B32,BD_CONTROL!$A$5:$M$4235,12,0),"")</f>
        <v>0</v>
      </c>
      <c r="M32" s="118">
        <f>IFERROR(VLOOKUP(B32,BD_CONTROL!$A$5:$M$4235,13,0),"")</f>
        <v>0</v>
      </c>
    </row>
    <row r="33" spans="1:13" ht="15" customHeight="1">
      <c r="A33" s="42">
        <v>28</v>
      </c>
      <c r="B33" s="42" t="s">
        <v>559</v>
      </c>
      <c r="C33" s="43" t="s">
        <v>560</v>
      </c>
      <c r="D33" s="42" t="s">
        <v>432</v>
      </c>
      <c r="E33" s="43" t="s">
        <v>460</v>
      </c>
      <c r="F33" s="43" t="s">
        <v>460</v>
      </c>
      <c r="G33" s="42" t="s">
        <v>109</v>
      </c>
      <c r="H33" s="43" t="s">
        <v>440</v>
      </c>
      <c r="I33" s="43" t="s">
        <v>104</v>
      </c>
      <c r="J33" s="55"/>
      <c r="K33" s="119">
        <f>IFERROR(VLOOKUP(B33,BD_CONTROL!$A$5:$M$4235,11,0),"")</f>
        <v>0</v>
      </c>
      <c r="L33" s="120">
        <f>IFERROR(VLOOKUP(B33,BD_CONTROL!$A$5:$M$4235,12,0),"")</f>
        <v>0</v>
      </c>
      <c r="M33" s="121">
        <f>IFERROR(VLOOKUP(B33,BD_CONTROL!$A$5:$M$4235,13,0),"")</f>
        <v>0</v>
      </c>
    </row>
    <row r="34" spans="1:13" ht="15" customHeight="1">
      <c r="A34" s="39">
        <v>29</v>
      </c>
      <c r="B34" s="39" t="s">
        <v>561</v>
      </c>
      <c r="C34" s="40" t="s">
        <v>562</v>
      </c>
      <c r="D34" s="39" t="s">
        <v>432</v>
      </c>
      <c r="E34" s="40" t="s">
        <v>563</v>
      </c>
      <c r="F34" s="40" t="s">
        <v>563</v>
      </c>
      <c r="G34" s="39" t="s">
        <v>102</v>
      </c>
      <c r="H34" s="40" t="s">
        <v>440</v>
      </c>
      <c r="I34" s="40" t="s">
        <v>104</v>
      </c>
      <c r="J34" s="50"/>
      <c r="K34" s="116">
        <f>IFERROR(VLOOKUP(B34,BD_CONTROL!$A$5:$M$4235,11,0),"")</f>
        <v>0</v>
      </c>
      <c r="L34" s="117">
        <f>IFERROR(VLOOKUP(B34,BD_CONTROL!$A$5:$M$4235,12,0),"")</f>
        <v>0</v>
      </c>
      <c r="M34" s="118">
        <f>IFERROR(VLOOKUP(B34,BD_CONTROL!$A$5:$M$4235,13,0),"")</f>
        <v>0</v>
      </c>
    </row>
    <row r="35" spans="1:13" ht="15" customHeight="1">
      <c r="A35" s="42">
        <v>30</v>
      </c>
      <c r="B35" s="42" t="s">
        <v>564</v>
      </c>
      <c r="C35" s="43" t="s">
        <v>565</v>
      </c>
      <c r="D35" s="42" t="s">
        <v>432</v>
      </c>
      <c r="E35" s="43" t="s">
        <v>540</v>
      </c>
      <c r="F35" s="43" t="s">
        <v>540</v>
      </c>
      <c r="G35" s="42" t="s">
        <v>102</v>
      </c>
      <c r="H35" s="43" t="s">
        <v>440</v>
      </c>
      <c r="I35" s="43" t="s">
        <v>104</v>
      </c>
      <c r="J35" s="55"/>
      <c r="K35" s="119">
        <f>IFERROR(VLOOKUP(B35,BD_CONTROL!$A$5:$M$4235,11,0),"")</f>
        <v>0</v>
      </c>
      <c r="L35" s="120">
        <f>IFERROR(VLOOKUP(B35,BD_CONTROL!$A$5:$M$4235,12,0),"")</f>
        <v>0</v>
      </c>
      <c r="M35" s="121">
        <f>IFERROR(VLOOKUP(B35,BD_CONTROL!$A$5:$M$4235,13,0),"")</f>
        <v>0</v>
      </c>
    </row>
    <row r="36" spans="1:13" ht="15" customHeight="1">
      <c r="A36" s="39">
        <v>31</v>
      </c>
      <c r="B36" s="39" t="s">
        <v>566</v>
      </c>
      <c r="C36" s="40" t="s">
        <v>567</v>
      </c>
      <c r="D36" s="39" t="s">
        <v>432</v>
      </c>
      <c r="E36" s="40" t="s">
        <v>568</v>
      </c>
      <c r="F36" s="40" t="s">
        <v>569</v>
      </c>
      <c r="G36" s="39" t="s">
        <v>109</v>
      </c>
      <c r="H36" s="40" t="s">
        <v>440</v>
      </c>
      <c r="I36" s="40" t="s">
        <v>104</v>
      </c>
      <c r="J36" s="50"/>
      <c r="K36" s="116" t="str">
        <f>IFERROR(VLOOKUP(B36,BD_CONTROL!$A$5:$M$4235,11,0),"")</f>
        <v>Instalado - Operando</v>
      </c>
      <c r="L36" s="117">
        <f>IFERROR(VLOOKUP(B36,BD_CONTROL!$A$5:$M$4235,12,0),"")</f>
        <v>46153</v>
      </c>
      <c r="M36" s="118">
        <f>IFERROR(VLOOKUP(B36,BD_CONTROL!$A$5:$M$4235,13,0),"")</f>
        <v>0</v>
      </c>
    </row>
    <row r="37" spans="1:13" ht="15" customHeight="1">
      <c r="A37" s="42">
        <v>32</v>
      </c>
      <c r="B37" s="42" t="s">
        <v>570</v>
      </c>
      <c r="C37" s="43" t="s">
        <v>571</v>
      </c>
      <c r="D37" s="42" t="s">
        <v>432</v>
      </c>
      <c r="E37" s="43" t="s">
        <v>568</v>
      </c>
      <c r="F37" s="43" t="s">
        <v>568</v>
      </c>
      <c r="G37" s="42" t="s">
        <v>102</v>
      </c>
      <c r="H37" s="43" t="s">
        <v>440</v>
      </c>
      <c r="I37" s="43" t="s">
        <v>104</v>
      </c>
      <c r="J37" s="55"/>
      <c r="K37" s="119">
        <f>IFERROR(VLOOKUP(B37,BD_CONTROL!$A$5:$M$4235,11,0),"")</f>
        <v>0</v>
      </c>
      <c r="L37" s="120">
        <f>IFERROR(VLOOKUP(B37,BD_CONTROL!$A$5:$M$4235,12,0),"")</f>
        <v>0</v>
      </c>
      <c r="M37" s="121">
        <f>IFERROR(VLOOKUP(B37,BD_CONTROL!$A$5:$M$4235,13,0),"")</f>
        <v>0</v>
      </c>
    </row>
    <row r="38" spans="1:13" ht="15" customHeight="1">
      <c r="A38" s="39">
        <v>33</v>
      </c>
      <c r="B38" s="39" t="s">
        <v>572</v>
      </c>
      <c r="C38" s="40" t="s">
        <v>573</v>
      </c>
      <c r="D38" s="39" t="s">
        <v>432</v>
      </c>
      <c r="E38" s="40" t="s">
        <v>443</v>
      </c>
      <c r="F38" s="40" t="s">
        <v>443</v>
      </c>
      <c r="G38" s="39" t="s">
        <v>109</v>
      </c>
      <c r="H38" s="40" t="s">
        <v>440</v>
      </c>
      <c r="I38" s="40" t="s">
        <v>104</v>
      </c>
      <c r="J38" s="50"/>
      <c r="K38" s="116">
        <f>IFERROR(VLOOKUP(B38,BD_CONTROL!$A$5:$M$4235,11,0),"")</f>
        <v>0</v>
      </c>
      <c r="L38" s="117">
        <f>IFERROR(VLOOKUP(B38,BD_CONTROL!$A$5:$M$4235,12,0),"")</f>
        <v>0</v>
      </c>
      <c r="M38" s="118">
        <f>IFERROR(VLOOKUP(B38,BD_CONTROL!$A$5:$M$4235,13,0),"")</f>
        <v>0</v>
      </c>
    </row>
    <row r="39" spans="1:13" ht="15" customHeight="1">
      <c r="A39" s="42">
        <v>34</v>
      </c>
      <c r="B39" s="42" t="s">
        <v>574</v>
      </c>
      <c r="C39" s="43" t="s">
        <v>575</v>
      </c>
      <c r="D39" s="42" t="s">
        <v>432</v>
      </c>
      <c r="E39" s="43" t="s">
        <v>443</v>
      </c>
      <c r="F39" s="43" t="s">
        <v>443</v>
      </c>
      <c r="G39" s="42" t="s">
        <v>102</v>
      </c>
      <c r="H39" s="43" t="s">
        <v>440</v>
      </c>
      <c r="I39" s="43" t="s">
        <v>104</v>
      </c>
      <c r="J39" s="55"/>
      <c r="K39" s="119" t="str">
        <f>IFERROR(VLOOKUP(B39,BD_CONTROL!$A$5:$M$4235,11,0),"")</f>
        <v>Sin Inmueble</v>
      </c>
      <c r="L39" s="120">
        <f>IFERROR(VLOOKUP(B39,BD_CONTROL!$A$5:$M$4235,12,0),"")</f>
        <v>46153</v>
      </c>
      <c r="M39" s="121">
        <f>IFERROR(VLOOKUP(B39,BD_CONTROL!$A$5:$M$4235,13,0),"")</f>
        <v>0</v>
      </c>
    </row>
    <row r="40" spans="1:13" ht="15" customHeight="1">
      <c r="A40" s="39">
        <v>35</v>
      </c>
      <c r="B40" s="39" t="s">
        <v>577</v>
      </c>
      <c r="C40" s="40" t="s">
        <v>578</v>
      </c>
      <c r="D40" s="39" t="s">
        <v>432</v>
      </c>
      <c r="E40" s="40" t="s">
        <v>443</v>
      </c>
      <c r="F40" s="40" t="s">
        <v>443</v>
      </c>
      <c r="G40" s="39" t="s">
        <v>102</v>
      </c>
      <c r="H40" s="40" t="s">
        <v>440</v>
      </c>
      <c r="I40" s="40" t="s">
        <v>104</v>
      </c>
      <c r="J40" s="50"/>
      <c r="K40" s="116">
        <f>IFERROR(VLOOKUP(B40,BD_CONTROL!$A$5:$M$4235,11,0),"")</f>
        <v>0</v>
      </c>
      <c r="L40" s="117">
        <f>IFERROR(VLOOKUP(B40,BD_CONTROL!$A$5:$M$4235,12,0),"")</f>
        <v>0</v>
      </c>
      <c r="M40" s="118">
        <f>IFERROR(VLOOKUP(B40,BD_CONTROL!$A$5:$M$4235,13,0),"")</f>
        <v>0</v>
      </c>
    </row>
    <row r="41" spans="1:13" ht="15" customHeight="1">
      <c r="A41" s="42">
        <v>36</v>
      </c>
      <c r="B41" s="42" t="s">
        <v>579</v>
      </c>
      <c r="C41" s="43" t="s">
        <v>443</v>
      </c>
      <c r="D41" s="42" t="s">
        <v>432</v>
      </c>
      <c r="E41" s="43" t="s">
        <v>443</v>
      </c>
      <c r="F41" s="43" t="s">
        <v>443</v>
      </c>
      <c r="G41" s="42" t="s">
        <v>102</v>
      </c>
      <c r="H41" s="43" t="s">
        <v>440</v>
      </c>
      <c r="I41" s="43" t="s">
        <v>104</v>
      </c>
      <c r="J41" s="55"/>
      <c r="K41" s="119">
        <f>IFERROR(VLOOKUP(B41,BD_CONTROL!$A$5:$M$4235,11,0),"")</f>
        <v>0</v>
      </c>
      <c r="L41" s="120">
        <f>IFERROR(VLOOKUP(B41,BD_CONTROL!$A$5:$M$4235,12,0),"")</f>
        <v>0</v>
      </c>
      <c r="M41" s="121">
        <f>IFERROR(VLOOKUP(B41,BD_CONTROL!$A$5:$M$4235,13,0),"")</f>
        <v>0</v>
      </c>
    </row>
    <row r="42" spans="1:13" ht="15" customHeight="1">
      <c r="A42" s="39">
        <v>37</v>
      </c>
      <c r="B42" s="39" t="s">
        <v>580</v>
      </c>
      <c r="C42" s="40" t="s">
        <v>581</v>
      </c>
      <c r="D42" s="39" t="s">
        <v>432</v>
      </c>
      <c r="E42" s="40" t="s">
        <v>443</v>
      </c>
      <c r="F42" s="40" t="s">
        <v>443</v>
      </c>
      <c r="G42" s="39" t="s">
        <v>109</v>
      </c>
      <c r="H42" s="40" t="s">
        <v>440</v>
      </c>
      <c r="I42" s="40" t="s">
        <v>104</v>
      </c>
      <c r="J42" s="50"/>
      <c r="K42" s="116">
        <f>IFERROR(VLOOKUP(B42,BD_CONTROL!$A$5:$M$4235,11,0),"")</f>
        <v>0</v>
      </c>
      <c r="L42" s="117">
        <f>IFERROR(VLOOKUP(B42,BD_CONTROL!$A$5:$M$4235,12,0),"")</f>
        <v>0</v>
      </c>
      <c r="M42" s="118">
        <f>IFERROR(VLOOKUP(B42,BD_CONTROL!$A$5:$M$4235,13,0),"")</f>
        <v>0</v>
      </c>
    </row>
    <row r="43" spans="1:13" ht="15" customHeight="1">
      <c r="A43" s="42">
        <v>38</v>
      </c>
      <c r="B43" s="42" t="s">
        <v>618</v>
      </c>
      <c r="C43" s="43" t="s">
        <v>619</v>
      </c>
      <c r="D43" s="42" t="s">
        <v>432</v>
      </c>
      <c r="E43" s="43" t="s">
        <v>466</v>
      </c>
      <c r="F43" s="43" t="s">
        <v>620</v>
      </c>
      <c r="G43" s="42" t="s">
        <v>102</v>
      </c>
      <c r="H43" s="43" t="s">
        <v>440</v>
      </c>
      <c r="I43" s="43" t="s">
        <v>104</v>
      </c>
      <c r="J43" s="55"/>
      <c r="K43" s="119">
        <f>IFERROR(VLOOKUP(B43,BD_CONTROL!$A$5:$M$4235,11,0),"")</f>
        <v>0</v>
      </c>
      <c r="L43" s="120">
        <f>IFERROR(VLOOKUP(B43,BD_CONTROL!$A$5:$M$4235,12,0),"")</f>
        <v>0</v>
      </c>
      <c r="M43" s="121">
        <f>IFERROR(VLOOKUP(B43,BD_CONTROL!$A$5:$M$4235,13,0),"")</f>
        <v>0</v>
      </c>
    </row>
    <row r="44" spans="1:13" ht="15" customHeight="1">
      <c r="A44" s="39">
        <v>39</v>
      </c>
      <c r="B44" s="39" t="s">
        <v>621</v>
      </c>
      <c r="C44" s="40" t="s">
        <v>622</v>
      </c>
      <c r="D44" s="39" t="s">
        <v>432</v>
      </c>
      <c r="E44" s="40" t="s">
        <v>623</v>
      </c>
      <c r="F44" s="40" t="s">
        <v>624</v>
      </c>
      <c r="G44" s="39" t="s">
        <v>109</v>
      </c>
      <c r="H44" s="40" t="s">
        <v>440</v>
      </c>
      <c r="I44" s="40" t="s">
        <v>104</v>
      </c>
      <c r="J44" s="50"/>
      <c r="K44" s="116" t="str">
        <f>IFERROR(VLOOKUP(B44,BD_CONTROL!$A$5:$M$4235,11,0),"")</f>
        <v>Instalado - Operando</v>
      </c>
      <c r="L44" s="117">
        <f>IFERROR(VLOOKUP(B44,BD_CONTROL!$A$5:$M$4235,12,0),"")</f>
        <v>46153</v>
      </c>
      <c r="M44" s="118">
        <f>IFERROR(VLOOKUP(B44,BD_CONTROL!$A$5:$M$4235,13,0),"")</f>
        <v>0</v>
      </c>
    </row>
    <row r="45" spans="1:13" ht="15" customHeight="1">
      <c r="A45" s="42">
        <v>40</v>
      </c>
      <c r="B45" s="42" t="s">
        <v>625</v>
      </c>
      <c r="C45" s="43" t="s">
        <v>626</v>
      </c>
      <c r="D45" s="42" t="s">
        <v>432</v>
      </c>
      <c r="E45" s="43" t="s">
        <v>503</v>
      </c>
      <c r="F45" s="43" t="s">
        <v>627</v>
      </c>
      <c r="G45" s="42" t="s">
        <v>109</v>
      </c>
      <c r="H45" s="43" t="s">
        <v>440</v>
      </c>
      <c r="I45" s="43" t="s">
        <v>104</v>
      </c>
      <c r="J45" s="55"/>
      <c r="K45" s="119">
        <f>IFERROR(VLOOKUP(B45,BD_CONTROL!$A$5:$M$4235,11,0),"")</f>
        <v>0</v>
      </c>
      <c r="L45" s="120">
        <f>IFERROR(VLOOKUP(B45,BD_CONTROL!$A$5:$M$4235,12,0),"")</f>
        <v>0</v>
      </c>
      <c r="M45" s="121">
        <f>IFERROR(VLOOKUP(B45,BD_CONTROL!$A$5:$M$4235,13,0),"")</f>
        <v>0</v>
      </c>
    </row>
    <row r="46" spans="1:13" ht="15" customHeight="1">
      <c r="A46" s="39">
        <v>41</v>
      </c>
      <c r="B46" s="39" t="s">
        <v>628</v>
      </c>
      <c r="C46" s="40" t="s">
        <v>629</v>
      </c>
      <c r="D46" s="39" t="s">
        <v>432</v>
      </c>
      <c r="E46" s="40" t="s">
        <v>452</v>
      </c>
      <c r="F46" s="40" t="s">
        <v>452</v>
      </c>
      <c r="G46" s="39" t="s">
        <v>102</v>
      </c>
      <c r="H46" s="40" t="s">
        <v>440</v>
      </c>
      <c r="I46" s="40" t="s">
        <v>104</v>
      </c>
      <c r="J46" s="50"/>
      <c r="K46" s="116">
        <f>IFERROR(VLOOKUP(B46,BD_CONTROL!$A$5:$M$4235,11,0),"")</f>
        <v>0</v>
      </c>
      <c r="L46" s="117">
        <f>IFERROR(VLOOKUP(B46,BD_CONTROL!$A$5:$M$4235,12,0),"")</f>
        <v>0</v>
      </c>
      <c r="M46" s="118">
        <f>IFERROR(VLOOKUP(B46,BD_CONTROL!$A$5:$M$4235,13,0),"")</f>
        <v>0</v>
      </c>
    </row>
    <row r="47" spans="1:13" ht="15" customHeight="1">
      <c r="A47" s="42">
        <v>42</v>
      </c>
      <c r="B47" s="42" t="s">
        <v>643</v>
      </c>
      <c r="C47" s="43" t="s">
        <v>644</v>
      </c>
      <c r="D47" s="42" t="s">
        <v>432</v>
      </c>
      <c r="E47" s="43" t="s">
        <v>448</v>
      </c>
      <c r="F47" s="43" t="s">
        <v>645</v>
      </c>
      <c r="G47" s="42" t="s">
        <v>109</v>
      </c>
      <c r="H47" s="43" t="s">
        <v>440</v>
      </c>
      <c r="I47" s="43" t="s">
        <v>104</v>
      </c>
      <c r="J47" s="55"/>
      <c r="K47" s="119">
        <f>IFERROR(VLOOKUP(B47,BD_CONTROL!$A$5:$M$4235,11,0),"")</f>
        <v>0</v>
      </c>
      <c r="L47" s="120">
        <f>IFERROR(VLOOKUP(B47,BD_CONTROL!$A$5:$M$4235,12,0),"")</f>
        <v>0</v>
      </c>
      <c r="M47" s="121">
        <f>IFERROR(VLOOKUP(B47,BD_CONTROL!$A$5:$M$4235,13,0),"")</f>
        <v>0</v>
      </c>
    </row>
    <row r="48" spans="1:13" ht="15" customHeight="1">
      <c r="A48" s="39">
        <v>43</v>
      </c>
      <c r="B48" s="39" t="s">
        <v>646</v>
      </c>
      <c r="C48" s="40" t="s">
        <v>647</v>
      </c>
      <c r="D48" s="39" t="s">
        <v>432</v>
      </c>
      <c r="E48" s="40" t="s">
        <v>448</v>
      </c>
      <c r="F48" s="40" t="s">
        <v>648</v>
      </c>
      <c r="G48" s="39" t="s">
        <v>109</v>
      </c>
      <c r="H48" s="40" t="s">
        <v>440</v>
      </c>
      <c r="I48" s="40" t="s">
        <v>104</v>
      </c>
      <c r="J48" s="50"/>
      <c r="K48" s="116">
        <f>IFERROR(VLOOKUP(B48,BD_CONTROL!$A$5:$M$4235,11,0),"")</f>
        <v>0</v>
      </c>
      <c r="L48" s="117">
        <f>IFERROR(VLOOKUP(B48,BD_CONTROL!$A$5:$M$4235,12,0),"")</f>
        <v>0</v>
      </c>
      <c r="M48" s="118">
        <f>IFERROR(VLOOKUP(B48,BD_CONTROL!$A$5:$M$4235,13,0),"")</f>
        <v>0</v>
      </c>
    </row>
    <row r="49" spans="1:13" ht="15" customHeight="1">
      <c r="A49" s="42">
        <v>44</v>
      </c>
      <c r="B49" s="42" t="s">
        <v>649</v>
      </c>
      <c r="C49" s="43" t="s">
        <v>650</v>
      </c>
      <c r="D49" s="42" t="s">
        <v>432</v>
      </c>
      <c r="E49" s="43" t="s">
        <v>623</v>
      </c>
      <c r="F49" s="43" t="s">
        <v>651</v>
      </c>
      <c r="G49" s="42" t="s">
        <v>102</v>
      </c>
      <c r="H49" s="43" t="s">
        <v>440</v>
      </c>
      <c r="I49" s="43" t="s">
        <v>104</v>
      </c>
      <c r="J49" s="55"/>
      <c r="K49" s="119">
        <f>IFERROR(VLOOKUP(B49,BD_CONTROL!$A$5:$M$4235,11,0),"")</f>
        <v>0</v>
      </c>
      <c r="L49" s="120">
        <f>IFERROR(VLOOKUP(B49,BD_CONTROL!$A$5:$M$4235,12,0),"")</f>
        <v>0</v>
      </c>
      <c r="M49" s="121">
        <f>IFERROR(VLOOKUP(B49,BD_CONTROL!$A$5:$M$4235,13,0),"")</f>
        <v>0</v>
      </c>
    </row>
    <row r="50" spans="1:13" ht="15" customHeight="1">
      <c r="A50" s="39">
        <v>45</v>
      </c>
      <c r="B50" s="39" t="s">
        <v>652</v>
      </c>
      <c r="C50" s="40" t="s">
        <v>653</v>
      </c>
      <c r="D50" s="39" t="s">
        <v>432</v>
      </c>
      <c r="E50" s="40" t="s">
        <v>623</v>
      </c>
      <c r="F50" s="40" t="s">
        <v>651</v>
      </c>
      <c r="G50" s="39" t="s">
        <v>102</v>
      </c>
      <c r="H50" s="40" t="s">
        <v>440</v>
      </c>
      <c r="I50" s="40" t="s">
        <v>104</v>
      </c>
      <c r="J50" s="50"/>
      <c r="K50" s="116">
        <f>IFERROR(VLOOKUP(B50,BD_CONTROL!$A$5:$M$4235,11,0),"")</f>
        <v>0</v>
      </c>
      <c r="L50" s="117">
        <f>IFERROR(VLOOKUP(B50,BD_CONTROL!$A$5:$M$4235,12,0),"")</f>
        <v>0</v>
      </c>
      <c r="M50" s="118">
        <f>IFERROR(VLOOKUP(B50,BD_CONTROL!$A$5:$M$4235,13,0),"")</f>
        <v>0</v>
      </c>
    </row>
    <row r="51" spans="1:13" ht="15" customHeight="1">
      <c r="A51" s="42">
        <v>46</v>
      </c>
      <c r="B51" s="42" t="s">
        <v>654</v>
      </c>
      <c r="C51" s="43" t="s">
        <v>655</v>
      </c>
      <c r="D51" s="42" t="s">
        <v>432</v>
      </c>
      <c r="E51" s="43" t="s">
        <v>568</v>
      </c>
      <c r="F51" s="43" t="s">
        <v>568</v>
      </c>
      <c r="G51" s="42" t="s">
        <v>102</v>
      </c>
      <c r="H51" s="43" t="s">
        <v>440</v>
      </c>
      <c r="I51" s="43" t="s">
        <v>104</v>
      </c>
      <c r="J51" s="55"/>
      <c r="K51" s="119" t="str">
        <f>IFERROR(VLOOKUP(B51,BD_CONTROL!$A$5:$M$4235,11,0),"")</f>
        <v>Instalado - Operando</v>
      </c>
      <c r="L51" s="120">
        <f>IFERROR(VLOOKUP(B51,BD_CONTROL!$A$5:$M$4235,12,0),"")</f>
        <v>46150</v>
      </c>
      <c r="M51" s="121">
        <f>IFERROR(VLOOKUP(B51,BD_CONTROL!$A$5:$M$4235,13,0),"")</f>
        <v>0</v>
      </c>
    </row>
    <row r="52" spans="1:13" ht="15" customHeight="1">
      <c r="A52" s="39">
        <v>47</v>
      </c>
      <c r="B52" s="39" t="s">
        <v>656</v>
      </c>
      <c r="C52" s="40" t="s">
        <v>657</v>
      </c>
      <c r="D52" s="39" t="s">
        <v>432</v>
      </c>
      <c r="E52" s="40" t="s">
        <v>658</v>
      </c>
      <c r="F52" s="40" t="s">
        <v>659</v>
      </c>
      <c r="G52" s="39" t="s">
        <v>109</v>
      </c>
      <c r="H52" s="40" t="s">
        <v>440</v>
      </c>
      <c r="I52" s="40" t="s">
        <v>104</v>
      </c>
      <c r="J52" s="50"/>
      <c r="K52" s="116">
        <f>IFERROR(VLOOKUP(B52,BD_CONTROL!$A$5:$M$4235,11,0),"")</f>
        <v>0</v>
      </c>
      <c r="L52" s="117">
        <f>IFERROR(VLOOKUP(B52,BD_CONTROL!$A$5:$M$4235,12,0),"")</f>
        <v>0</v>
      </c>
      <c r="M52" s="118">
        <f>IFERROR(VLOOKUP(B52,BD_CONTROL!$A$5:$M$4235,13,0),"")</f>
        <v>0</v>
      </c>
    </row>
    <row r="53" spans="1:13" ht="15" customHeight="1">
      <c r="A53" s="42">
        <v>48</v>
      </c>
      <c r="B53" s="42" t="s">
        <v>660</v>
      </c>
      <c r="C53" s="43" t="s">
        <v>503</v>
      </c>
      <c r="D53" s="42" t="s">
        <v>432</v>
      </c>
      <c r="E53" s="43" t="s">
        <v>503</v>
      </c>
      <c r="F53" s="43" t="s">
        <v>503</v>
      </c>
      <c r="G53" s="42" t="s">
        <v>102</v>
      </c>
      <c r="H53" s="43" t="s">
        <v>440</v>
      </c>
      <c r="I53" s="43" t="s">
        <v>104</v>
      </c>
      <c r="J53" s="55"/>
      <c r="K53" s="119">
        <f>IFERROR(VLOOKUP(B53,BD_CONTROL!$A$5:$M$4235,11,0),"")</f>
        <v>0</v>
      </c>
      <c r="L53" s="120">
        <f>IFERROR(VLOOKUP(B53,BD_CONTROL!$A$5:$M$4235,12,0),"")</f>
        <v>0</v>
      </c>
      <c r="M53" s="121">
        <f>IFERROR(VLOOKUP(B53,BD_CONTROL!$A$5:$M$4235,13,0),"")</f>
        <v>0</v>
      </c>
    </row>
    <row r="54" spans="1:13" ht="15" customHeight="1">
      <c r="A54" s="39">
        <v>49</v>
      </c>
      <c r="B54" s="39" t="s">
        <v>661</v>
      </c>
      <c r="C54" s="40" t="s">
        <v>662</v>
      </c>
      <c r="D54" s="39" t="s">
        <v>432</v>
      </c>
      <c r="E54" s="40" t="s">
        <v>448</v>
      </c>
      <c r="F54" s="40" t="s">
        <v>663</v>
      </c>
      <c r="G54" s="39" t="s">
        <v>102</v>
      </c>
      <c r="H54" s="40" t="s">
        <v>440</v>
      </c>
      <c r="I54" s="40" t="s">
        <v>104</v>
      </c>
      <c r="J54" s="50"/>
      <c r="K54" s="116">
        <f>IFERROR(VLOOKUP(B54,BD_CONTROL!$A$5:$M$4235,11,0),"")</f>
        <v>0</v>
      </c>
      <c r="L54" s="117">
        <f>IFERROR(VLOOKUP(B54,BD_CONTROL!$A$5:$M$4235,12,0),"")</f>
        <v>0</v>
      </c>
      <c r="M54" s="118">
        <f>IFERROR(VLOOKUP(B54,BD_CONTROL!$A$5:$M$4235,13,0),"")</f>
        <v>0</v>
      </c>
    </row>
    <row r="55" spans="1:13" ht="15" customHeight="1">
      <c r="A55" s="42">
        <v>50</v>
      </c>
      <c r="B55" s="42" t="s">
        <v>664</v>
      </c>
      <c r="C55" s="43" t="s">
        <v>665</v>
      </c>
      <c r="D55" s="42" t="s">
        <v>432</v>
      </c>
      <c r="E55" s="43" t="s">
        <v>623</v>
      </c>
      <c r="F55" s="43" t="s">
        <v>651</v>
      </c>
      <c r="G55" s="42" t="s">
        <v>102</v>
      </c>
      <c r="H55" s="43" t="s">
        <v>440</v>
      </c>
      <c r="I55" s="43" t="s">
        <v>104</v>
      </c>
      <c r="J55" s="55"/>
      <c r="K55" s="119" t="str">
        <f>IFERROR(VLOOKUP(B55,BD_CONTROL!$A$5:$M$4235,11,0),"")</f>
        <v>Instalado - Operando</v>
      </c>
      <c r="L55" s="120">
        <f>IFERROR(VLOOKUP(B55,BD_CONTROL!$A$5:$M$4235,12,0),"")</f>
        <v>46150</v>
      </c>
      <c r="M55" s="121">
        <f>IFERROR(VLOOKUP(B55,BD_CONTROL!$A$5:$M$4235,13,0),"")</f>
        <v>0</v>
      </c>
    </row>
    <row r="56" spans="1:13" ht="15" customHeight="1">
      <c r="A56" s="39">
        <v>51</v>
      </c>
      <c r="B56" s="39" t="s">
        <v>666</v>
      </c>
      <c r="C56" s="40" t="s">
        <v>667</v>
      </c>
      <c r="D56" s="39" t="s">
        <v>432</v>
      </c>
      <c r="E56" s="40" t="s">
        <v>568</v>
      </c>
      <c r="F56" s="40" t="s">
        <v>668</v>
      </c>
      <c r="G56" s="39" t="s">
        <v>109</v>
      </c>
      <c r="H56" s="40" t="s">
        <v>440</v>
      </c>
      <c r="I56" s="40" t="s">
        <v>104</v>
      </c>
      <c r="J56" s="50"/>
      <c r="K56" s="116" t="str">
        <f>IFERROR(VLOOKUP(B56,BD_CONTROL!$A$5:$M$4235,11,0),"")</f>
        <v>Instalado - Operando</v>
      </c>
      <c r="L56" s="117">
        <f>IFERROR(VLOOKUP(B56,BD_CONTROL!$A$5:$M$4235,12,0),"")</f>
        <v>46153</v>
      </c>
      <c r="M56" s="118">
        <f>IFERROR(VLOOKUP(B56,BD_CONTROL!$A$5:$M$4235,13,0),"")</f>
        <v>0</v>
      </c>
    </row>
    <row r="57" spans="1:13" ht="15" customHeight="1">
      <c r="A57" s="42">
        <v>52</v>
      </c>
      <c r="B57" s="42" t="s">
        <v>669</v>
      </c>
      <c r="C57" s="43" t="s">
        <v>670</v>
      </c>
      <c r="D57" s="42" t="s">
        <v>432</v>
      </c>
      <c r="E57" s="43" t="s">
        <v>671</v>
      </c>
      <c r="F57" s="43" t="s">
        <v>672</v>
      </c>
      <c r="G57" s="42" t="s">
        <v>109</v>
      </c>
      <c r="H57" s="43" t="s">
        <v>440</v>
      </c>
      <c r="I57" s="43" t="s">
        <v>104</v>
      </c>
      <c r="J57" s="55"/>
      <c r="K57" s="119">
        <f>IFERROR(VLOOKUP(B57,BD_CONTROL!$A$5:$M$4235,11,0),"")</f>
        <v>0</v>
      </c>
      <c r="L57" s="120">
        <f>IFERROR(VLOOKUP(B57,BD_CONTROL!$A$5:$M$4235,12,0),"")</f>
        <v>0</v>
      </c>
      <c r="M57" s="121">
        <f>IFERROR(VLOOKUP(B57,BD_CONTROL!$A$5:$M$4235,13,0),"")</f>
        <v>0</v>
      </c>
    </row>
    <row r="58" spans="1:13" ht="15" customHeight="1">
      <c r="A58" s="39">
        <v>53</v>
      </c>
      <c r="B58" s="39" t="s">
        <v>673</v>
      </c>
      <c r="C58" s="40" t="s">
        <v>674</v>
      </c>
      <c r="D58" s="39" t="s">
        <v>432</v>
      </c>
      <c r="E58" s="40" t="s">
        <v>466</v>
      </c>
      <c r="F58" s="40" t="s">
        <v>675</v>
      </c>
      <c r="G58" s="39" t="s">
        <v>109</v>
      </c>
      <c r="H58" s="40" t="s">
        <v>440</v>
      </c>
      <c r="I58" s="40" t="s">
        <v>104</v>
      </c>
      <c r="J58" s="50"/>
      <c r="K58" s="116">
        <f>IFERROR(VLOOKUP(B58,BD_CONTROL!$A$5:$M$4235,11,0),"")</f>
        <v>0</v>
      </c>
      <c r="L58" s="117">
        <f>IFERROR(VLOOKUP(B58,BD_CONTROL!$A$5:$M$4235,12,0),"")</f>
        <v>0</v>
      </c>
      <c r="M58" s="118">
        <f>IFERROR(VLOOKUP(B58,BD_CONTROL!$A$5:$M$4235,13,0),"")</f>
        <v>0</v>
      </c>
    </row>
    <row r="59" spans="1:13" ht="15" customHeight="1">
      <c r="A59" s="42">
        <v>54</v>
      </c>
      <c r="B59" s="42" t="s">
        <v>681</v>
      </c>
      <c r="C59" s="43" t="s">
        <v>682</v>
      </c>
      <c r="D59" s="42" t="s">
        <v>432</v>
      </c>
      <c r="E59" s="43" t="s">
        <v>683</v>
      </c>
      <c r="F59" s="43" t="s">
        <v>683</v>
      </c>
      <c r="G59" s="42" t="s">
        <v>109</v>
      </c>
      <c r="H59" s="43" t="s">
        <v>440</v>
      </c>
      <c r="I59" s="43" t="s">
        <v>104</v>
      </c>
      <c r="J59" s="55"/>
      <c r="K59" s="119">
        <f>IFERROR(VLOOKUP(B59,BD_CONTROL!$A$5:$M$4235,11,0),"")</f>
        <v>0</v>
      </c>
      <c r="L59" s="120">
        <f>IFERROR(VLOOKUP(B59,BD_CONTROL!$A$5:$M$4235,12,0),"")</f>
        <v>0</v>
      </c>
      <c r="M59" s="121">
        <f>IFERROR(VLOOKUP(B59,BD_CONTROL!$A$5:$M$4235,13,0),"")</f>
        <v>0</v>
      </c>
    </row>
    <row r="60" spans="1:13" ht="15" customHeight="1">
      <c r="A60" s="39">
        <v>55</v>
      </c>
      <c r="B60" s="39" t="s">
        <v>684</v>
      </c>
      <c r="C60" s="40" t="s">
        <v>685</v>
      </c>
      <c r="D60" s="39" t="s">
        <v>432</v>
      </c>
      <c r="E60" s="40" t="s">
        <v>686</v>
      </c>
      <c r="F60" s="40" t="s">
        <v>686</v>
      </c>
      <c r="G60" s="39" t="s">
        <v>109</v>
      </c>
      <c r="H60" s="40" t="s">
        <v>440</v>
      </c>
      <c r="I60" s="40" t="s">
        <v>104</v>
      </c>
      <c r="J60" s="50"/>
      <c r="K60" s="116">
        <f>IFERROR(VLOOKUP(B60,BD_CONTROL!$A$5:$M$4235,11,0),"")</f>
        <v>0</v>
      </c>
      <c r="L60" s="117">
        <f>IFERROR(VLOOKUP(B60,BD_CONTROL!$A$5:$M$4235,12,0),"")</f>
        <v>0</v>
      </c>
      <c r="M60" s="118">
        <f>IFERROR(VLOOKUP(B60,BD_CONTROL!$A$5:$M$4235,13,0),"")</f>
        <v>0</v>
      </c>
    </row>
    <row r="61" spans="1:13" ht="15" customHeight="1">
      <c r="A61" s="42">
        <v>56</v>
      </c>
      <c r="B61" s="42" t="s">
        <v>5515</v>
      </c>
      <c r="C61" s="43" t="s">
        <v>5516</v>
      </c>
      <c r="D61" s="42" t="s">
        <v>5517</v>
      </c>
      <c r="E61" s="43" t="s">
        <v>5518</v>
      </c>
      <c r="F61" s="43" t="s">
        <v>5519</v>
      </c>
      <c r="G61" s="42" t="s">
        <v>109</v>
      </c>
      <c r="H61" s="43" t="s">
        <v>440</v>
      </c>
      <c r="I61" s="43" t="s">
        <v>104</v>
      </c>
      <c r="J61" s="55"/>
      <c r="K61" s="119">
        <f>IFERROR(VLOOKUP(B61,BD_CONTROL!$A$5:$M$4235,11,0),"")</f>
        <v>0</v>
      </c>
      <c r="L61" s="120">
        <f>IFERROR(VLOOKUP(B61,BD_CONTROL!$A$5:$M$4235,12,0),"")</f>
        <v>0</v>
      </c>
      <c r="M61" s="121">
        <f>IFERROR(VLOOKUP(B61,BD_CONTROL!$A$5:$M$4235,13,0),"")</f>
        <v>0</v>
      </c>
    </row>
    <row r="62" spans="1:13" ht="15" customHeight="1">
      <c r="A62" s="39">
        <v>57</v>
      </c>
      <c r="B62" s="39" t="s">
        <v>5520</v>
      </c>
      <c r="C62" s="40" t="s">
        <v>5521</v>
      </c>
      <c r="D62" s="39" t="s">
        <v>5517</v>
      </c>
      <c r="E62" s="40" t="s">
        <v>5522</v>
      </c>
      <c r="F62" s="40" t="s">
        <v>5523</v>
      </c>
      <c r="G62" s="39" t="s">
        <v>109</v>
      </c>
      <c r="H62" s="40" t="s">
        <v>440</v>
      </c>
      <c r="I62" s="40" t="s">
        <v>104</v>
      </c>
      <c r="J62" s="50"/>
      <c r="K62" s="116" t="str">
        <f>IFERROR(VLOOKUP(B62,BD_CONTROL!$A$5:$M$4235,11,0),"")</f>
        <v>Instalado - Operando</v>
      </c>
      <c r="L62" s="117">
        <f>IFERROR(VLOOKUP(B62,BD_CONTROL!$A$5:$M$4235,12,0),"")</f>
        <v>46153</v>
      </c>
      <c r="M62" s="118">
        <f>IFERROR(VLOOKUP(B62,BD_CONTROL!$A$5:$M$4235,13,0),"")</f>
        <v>0</v>
      </c>
    </row>
    <row r="63" spans="1:13" ht="15" customHeight="1">
      <c r="A63" s="42">
        <v>58</v>
      </c>
      <c r="B63" s="42" t="s">
        <v>5524</v>
      </c>
      <c r="C63" s="43" t="s">
        <v>5525</v>
      </c>
      <c r="D63" s="42" t="s">
        <v>5517</v>
      </c>
      <c r="E63" s="43" t="s">
        <v>5526</v>
      </c>
      <c r="F63" s="43" t="s">
        <v>5527</v>
      </c>
      <c r="G63" s="42" t="s">
        <v>109</v>
      </c>
      <c r="H63" s="43" t="s">
        <v>440</v>
      </c>
      <c r="I63" s="43" t="s">
        <v>104</v>
      </c>
      <c r="J63" s="55"/>
      <c r="K63" s="119" t="str">
        <f>IFERROR(VLOOKUP(B63,BD_CONTROL!$A$5:$M$4235,11,0),"")</f>
        <v>Instalado - Operando</v>
      </c>
      <c r="L63" s="120">
        <f>IFERROR(VLOOKUP(B63,BD_CONTROL!$A$5:$M$4235,12,0),"")</f>
        <v>46148</v>
      </c>
      <c r="M63" s="121">
        <f>IFERROR(VLOOKUP(B63,BD_CONTROL!$A$5:$M$4235,13,0),"")</f>
        <v>0</v>
      </c>
    </row>
    <row r="64" spans="1:13" ht="15" customHeight="1">
      <c r="A64" s="39">
        <v>59</v>
      </c>
      <c r="B64" s="39" t="s">
        <v>5528</v>
      </c>
      <c r="C64" s="40" t="s">
        <v>5529</v>
      </c>
      <c r="D64" s="39" t="s">
        <v>5517</v>
      </c>
      <c r="E64" s="40" t="s">
        <v>5530</v>
      </c>
      <c r="F64" s="40" t="s">
        <v>3875</v>
      </c>
      <c r="G64" s="39" t="s">
        <v>109</v>
      </c>
      <c r="H64" s="40" t="s">
        <v>440</v>
      </c>
      <c r="I64" s="40" t="s">
        <v>104</v>
      </c>
      <c r="J64" s="50"/>
      <c r="K64" s="116">
        <f>IFERROR(VLOOKUP(B64,BD_CONTROL!$A$5:$M$4235,11,0),"")</f>
        <v>0</v>
      </c>
      <c r="L64" s="117">
        <f>IFERROR(VLOOKUP(B64,BD_CONTROL!$A$5:$M$4235,12,0),"")</f>
        <v>0</v>
      </c>
      <c r="M64" s="118">
        <f>IFERROR(VLOOKUP(B64,BD_CONTROL!$A$5:$M$4235,13,0),"")</f>
        <v>0</v>
      </c>
    </row>
    <row r="65" spans="1:13" ht="15" customHeight="1">
      <c r="A65" s="42">
        <v>60</v>
      </c>
      <c r="B65" s="42" t="s">
        <v>5531</v>
      </c>
      <c r="C65" s="43" t="s">
        <v>5532</v>
      </c>
      <c r="D65" s="42" t="s">
        <v>5517</v>
      </c>
      <c r="E65" s="43" t="s">
        <v>706</v>
      </c>
      <c r="F65" s="43" t="s">
        <v>5533</v>
      </c>
      <c r="G65" s="42" t="s">
        <v>102</v>
      </c>
      <c r="H65" s="43" t="s">
        <v>440</v>
      </c>
      <c r="I65" s="43" t="s">
        <v>104</v>
      </c>
      <c r="J65" s="55"/>
      <c r="K65" s="119" t="str">
        <f>IFERROR(VLOOKUP(B65,BD_CONTROL!$A$5:$M$4235,11,0),"")</f>
        <v>Instalado - Operando</v>
      </c>
      <c r="L65" s="120">
        <f>IFERROR(VLOOKUP(B65,BD_CONTROL!$A$5:$M$4235,12,0),"")</f>
        <v>46150</v>
      </c>
      <c r="M65" s="121">
        <f>IFERROR(VLOOKUP(B65,BD_CONTROL!$A$5:$M$4235,13,0),"")</f>
        <v>0</v>
      </c>
    </row>
    <row r="66" spans="1:13" ht="15" customHeight="1">
      <c r="A66" s="39">
        <v>61</v>
      </c>
      <c r="B66" s="39" t="s">
        <v>5534</v>
      </c>
      <c r="C66" s="40" t="s">
        <v>5535</v>
      </c>
      <c r="D66" s="39" t="s">
        <v>5517</v>
      </c>
      <c r="E66" s="40" t="s">
        <v>5536</v>
      </c>
      <c r="F66" s="40" t="s">
        <v>5537</v>
      </c>
      <c r="G66" s="39" t="s">
        <v>109</v>
      </c>
      <c r="H66" s="40" t="s">
        <v>440</v>
      </c>
      <c r="I66" s="40" t="s">
        <v>104</v>
      </c>
      <c r="J66" s="50"/>
      <c r="K66" s="116" t="str">
        <f>IFERROR(VLOOKUP(B66,BD_CONTROL!$A$5:$M$4235,11,0),"")</f>
        <v>Instalado - Operando</v>
      </c>
      <c r="L66" s="117">
        <f>IFERROR(VLOOKUP(B66,BD_CONTROL!$A$5:$M$4235,12,0),"")</f>
        <v>46146</v>
      </c>
      <c r="M66" s="118">
        <f>IFERROR(VLOOKUP(B66,BD_CONTROL!$A$5:$M$4235,13,0),"")</f>
        <v>0</v>
      </c>
    </row>
    <row r="67" spans="1:13" ht="15" customHeight="1">
      <c r="A67" s="42">
        <v>62</v>
      </c>
      <c r="B67" s="42" t="s">
        <v>5538</v>
      </c>
      <c r="C67" s="43" t="s">
        <v>5539</v>
      </c>
      <c r="D67" s="42" t="s">
        <v>5517</v>
      </c>
      <c r="E67" s="43" t="s">
        <v>706</v>
      </c>
      <c r="F67" s="43" t="s">
        <v>5540</v>
      </c>
      <c r="G67" s="42" t="s">
        <v>109</v>
      </c>
      <c r="H67" s="43" t="s">
        <v>440</v>
      </c>
      <c r="I67" s="43" t="s">
        <v>104</v>
      </c>
      <c r="J67" s="55"/>
      <c r="K67" s="119" t="str">
        <f>IFERROR(VLOOKUP(B67,BD_CONTROL!$A$5:$M$4235,11,0),"")</f>
        <v>Instalado - Operando</v>
      </c>
      <c r="L67" s="120">
        <f>IFERROR(VLOOKUP(B67,BD_CONTROL!$A$5:$M$4235,12,0),"")</f>
        <v>46148</v>
      </c>
      <c r="M67" s="121">
        <f>IFERROR(VLOOKUP(B67,BD_CONTROL!$A$5:$M$4235,13,0),"")</f>
        <v>0</v>
      </c>
    </row>
    <row r="68" spans="1:13" ht="15" customHeight="1">
      <c r="A68" s="39">
        <v>63</v>
      </c>
      <c r="B68" s="39" t="s">
        <v>5541</v>
      </c>
      <c r="C68" s="40" t="s">
        <v>5542</v>
      </c>
      <c r="D68" s="39" t="s">
        <v>5517</v>
      </c>
      <c r="E68" s="40" t="s">
        <v>5543</v>
      </c>
      <c r="F68" s="40" t="s">
        <v>5543</v>
      </c>
      <c r="G68" s="39" t="s">
        <v>102</v>
      </c>
      <c r="H68" s="40" t="s">
        <v>440</v>
      </c>
      <c r="I68" s="40" t="s">
        <v>104</v>
      </c>
      <c r="J68" s="50"/>
      <c r="K68" s="116" t="str">
        <f>IFERROR(VLOOKUP(B68,BD_CONTROL!$A$5:$M$4235,11,0),"")</f>
        <v>Instalado - Operando</v>
      </c>
      <c r="L68" s="117">
        <f>IFERROR(VLOOKUP(B68,BD_CONTROL!$A$5:$M$4235,12,0),"")</f>
        <v>46150</v>
      </c>
      <c r="M68" s="118">
        <f>IFERROR(VLOOKUP(B68,BD_CONTROL!$A$5:$M$4235,13,0),"")</f>
        <v>0</v>
      </c>
    </row>
    <row r="69" spans="1:13" ht="15" customHeight="1">
      <c r="A69" s="42">
        <v>64</v>
      </c>
      <c r="B69" s="42" t="s">
        <v>5544</v>
      </c>
      <c r="C69" s="43" t="s">
        <v>5545</v>
      </c>
      <c r="D69" s="42" t="s">
        <v>5517</v>
      </c>
      <c r="E69" s="43" t="s">
        <v>5546</v>
      </c>
      <c r="F69" s="43" t="s">
        <v>5547</v>
      </c>
      <c r="G69" s="42" t="s">
        <v>109</v>
      </c>
      <c r="H69" s="43" t="s">
        <v>440</v>
      </c>
      <c r="I69" s="43" t="s">
        <v>104</v>
      </c>
      <c r="J69" s="55"/>
      <c r="K69" s="119">
        <f>IFERROR(VLOOKUP(B69,BD_CONTROL!$A$5:$M$4235,11,0),"")</f>
        <v>0</v>
      </c>
      <c r="L69" s="120">
        <f>IFERROR(VLOOKUP(B69,BD_CONTROL!$A$5:$M$4235,12,0),"")</f>
        <v>0</v>
      </c>
      <c r="M69" s="121">
        <f>IFERROR(VLOOKUP(B69,BD_CONTROL!$A$5:$M$4235,13,0),"")</f>
        <v>0</v>
      </c>
    </row>
    <row r="70" spans="1:13" ht="15" customHeight="1">
      <c r="A70" s="39">
        <v>65</v>
      </c>
      <c r="B70" s="39" t="s">
        <v>5548</v>
      </c>
      <c r="C70" s="40" t="s">
        <v>5549</v>
      </c>
      <c r="D70" s="39" t="s">
        <v>5517</v>
      </c>
      <c r="E70" s="40" t="s">
        <v>5550</v>
      </c>
      <c r="F70" s="40" t="s">
        <v>5551</v>
      </c>
      <c r="G70" s="39" t="s">
        <v>102</v>
      </c>
      <c r="H70" s="40" t="s">
        <v>440</v>
      </c>
      <c r="I70" s="40" t="s">
        <v>104</v>
      </c>
      <c r="J70" s="50"/>
      <c r="K70" s="116">
        <f>IFERROR(VLOOKUP(B70,BD_CONTROL!$A$5:$M$4235,11,0),"")</f>
        <v>0</v>
      </c>
      <c r="L70" s="117">
        <f>IFERROR(VLOOKUP(B70,BD_CONTROL!$A$5:$M$4235,12,0),"")</f>
        <v>0</v>
      </c>
      <c r="M70" s="118">
        <f>IFERROR(VLOOKUP(B70,BD_CONTROL!$A$5:$M$4235,13,0),"")</f>
        <v>0</v>
      </c>
    </row>
    <row r="71" spans="1:13" ht="15" customHeight="1">
      <c r="A71" s="42">
        <v>66</v>
      </c>
      <c r="B71" s="42" t="s">
        <v>5552</v>
      </c>
      <c r="C71" s="43" t="s">
        <v>5553</v>
      </c>
      <c r="D71" s="42" t="s">
        <v>5517</v>
      </c>
      <c r="E71" s="43" t="s">
        <v>5554</v>
      </c>
      <c r="F71" s="43" t="s">
        <v>5555</v>
      </c>
      <c r="G71" s="42" t="s">
        <v>109</v>
      </c>
      <c r="H71" s="43" t="s">
        <v>440</v>
      </c>
      <c r="I71" s="43" t="s">
        <v>104</v>
      </c>
      <c r="J71" s="55"/>
      <c r="K71" s="119">
        <f>IFERROR(VLOOKUP(B71,BD_CONTROL!$A$5:$M$4235,11,0),"")</f>
        <v>0</v>
      </c>
      <c r="L71" s="120">
        <f>IFERROR(VLOOKUP(B71,BD_CONTROL!$A$5:$M$4235,12,0),"")</f>
        <v>0</v>
      </c>
      <c r="M71" s="121">
        <f>IFERROR(VLOOKUP(B71,BD_CONTROL!$A$5:$M$4235,13,0),"")</f>
        <v>0</v>
      </c>
    </row>
    <row r="72" spans="1:13" ht="15" customHeight="1">
      <c r="A72" s="39">
        <v>67</v>
      </c>
      <c r="B72" s="39" t="s">
        <v>5556</v>
      </c>
      <c r="C72" s="40" t="s">
        <v>5557</v>
      </c>
      <c r="D72" s="39" t="s">
        <v>5517</v>
      </c>
      <c r="E72" s="40" t="s">
        <v>456</v>
      </c>
      <c r="F72" s="40" t="s">
        <v>5558</v>
      </c>
      <c r="G72" s="39" t="s">
        <v>109</v>
      </c>
      <c r="H72" s="40" t="s">
        <v>440</v>
      </c>
      <c r="I72" s="40" t="s">
        <v>104</v>
      </c>
      <c r="J72" s="50"/>
      <c r="K72" s="116" t="str">
        <f>IFERROR(VLOOKUP(B72,BD_CONTROL!$A$5:$M$4235,11,0),"")</f>
        <v>Instalado - Operando</v>
      </c>
      <c r="L72" s="117">
        <f>IFERROR(VLOOKUP(B72,BD_CONTROL!$A$5:$M$4235,12,0),"")</f>
        <v>46149</v>
      </c>
      <c r="M72" s="118">
        <f>IFERROR(VLOOKUP(B72,BD_CONTROL!$A$5:$M$4235,13,0),"")</f>
        <v>0</v>
      </c>
    </row>
    <row r="73" spans="1:13" ht="15" customHeight="1">
      <c r="A73" s="42">
        <v>68</v>
      </c>
      <c r="B73" s="42" t="s">
        <v>5559</v>
      </c>
      <c r="C73" s="43" t="s">
        <v>5560</v>
      </c>
      <c r="D73" s="42" t="s">
        <v>5517</v>
      </c>
      <c r="E73" s="43" t="s">
        <v>998</v>
      </c>
      <c r="F73" s="43" t="s">
        <v>5561</v>
      </c>
      <c r="G73" s="42" t="s">
        <v>109</v>
      </c>
      <c r="H73" s="43" t="s">
        <v>440</v>
      </c>
      <c r="I73" s="43" t="s">
        <v>104</v>
      </c>
      <c r="J73" s="55"/>
      <c r="K73" s="119" t="str">
        <f>IFERROR(VLOOKUP(B73,BD_CONTROL!$A$5:$M$4235,11,0),"")</f>
        <v>Instalado - Operando</v>
      </c>
      <c r="L73" s="120">
        <f>IFERROR(VLOOKUP(B73,BD_CONTROL!$A$5:$M$4235,12,0),"")</f>
        <v>46153</v>
      </c>
      <c r="M73" s="121">
        <f>IFERROR(VLOOKUP(B73,BD_CONTROL!$A$5:$M$4235,13,0),"")</f>
        <v>0</v>
      </c>
    </row>
    <row r="74" spans="1:13" ht="15" customHeight="1">
      <c r="A74" s="39">
        <v>69</v>
      </c>
      <c r="B74" s="39" t="s">
        <v>5562</v>
      </c>
      <c r="C74" s="40" t="s">
        <v>5563</v>
      </c>
      <c r="D74" s="39" t="s">
        <v>5517</v>
      </c>
      <c r="E74" s="40" t="s">
        <v>5564</v>
      </c>
      <c r="F74" s="40" t="s">
        <v>5565</v>
      </c>
      <c r="G74" s="39" t="s">
        <v>109</v>
      </c>
      <c r="H74" s="40" t="s">
        <v>440</v>
      </c>
      <c r="I74" s="40" t="s">
        <v>104</v>
      </c>
      <c r="J74" s="50"/>
      <c r="K74" s="116" t="str">
        <f>IFERROR(VLOOKUP(B74,BD_CONTROL!$A$5:$M$4235,11,0),"")</f>
        <v>Instalado - Operando</v>
      </c>
      <c r="L74" s="117">
        <f>IFERROR(VLOOKUP(B74,BD_CONTROL!$A$5:$M$4235,12,0),"")</f>
        <v>46146</v>
      </c>
      <c r="M74" s="118">
        <f>IFERROR(VLOOKUP(B74,BD_CONTROL!$A$5:$M$4235,13,0),"")</f>
        <v>0</v>
      </c>
    </row>
    <row r="75" spans="1:13" ht="15" customHeight="1">
      <c r="A75" s="42">
        <v>70</v>
      </c>
      <c r="B75" s="42" t="s">
        <v>5566</v>
      </c>
      <c r="C75" s="43" t="s">
        <v>5567</v>
      </c>
      <c r="D75" s="42" t="s">
        <v>5517</v>
      </c>
      <c r="E75" s="43" t="s">
        <v>5568</v>
      </c>
      <c r="F75" s="43" t="s">
        <v>5569</v>
      </c>
      <c r="G75" s="42" t="s">
        <v>109</v>
      </c>
      <c r="H75" s="43" t="s">
        <v>440</v>
      </c>
      <c r="I75" s="43" t="s">
        <v>104</v>
      </c>
      <c r="J75" s="55"/>
      <c r="K75" s="119" t="str">
        <f>IFERROR(VLOOKUP(B75,BD_CONTROL!$A$5:$M$4235,11,0),"")</f>
        <v>Instalado - Operando</v>
      </c>
      <c r="L75" s="120">
        <f>IFERROR(VLOOKUP(B75,BD_CONTROL!$A$5:$M$4235,12,0),"")</f>
        <v>46149</v>
      </c>
      <c r="M75" s="121">
        <f>IFERROR(VLOOKUP(B75,BD_CONTROL!$A$5:$M$4235,13,0),"")</f>
        <v>0</v>
      </c>
    </row>
    <row r="76" spans="1:13" ht="15" customHeight="1">
      <c r="A76" s="39">
        <v>71</v>
      </c>
      <c r="B76" s="39" t="s">
        <v>5570</v>
      </c>
      <c r="C76" s="40" t="s">
        <v>5571</v>
      </c>
      <c r="D76" s="39" t="s">
        <v>5517</v>
      </c>
      <c r="E76" s="40" t="s">
        <v>5572</v>
      </c>
      <c r="F76" s="40" t="s">
        <v>5573</v>
      </c>
      <c r="G76" s="39" t="s">
        <v>109</v>
      </c>
      <c r="H76" s="40" t="s">
        <v>440</v>
      </c>
      <c r="I76" s="40" t="s">
        <v>104</v>
      </c>
      <c r="J76" s="50"/>
      <c r="K76" s="116">
        <f>IFERROR(VLOOKUP(B76,BD_CONTROL!$A$5:$M$4235,11,0),"")</f>
        <v>0</v>
      </c>
      <c r="L76" s="117">
        <f>IFERROR(VLOOKUP(B76,BD_CONTROL!$A$5:$M$4235,12,0),"")</f>
        <v>0</v>
      </c>
      <c r="M76" s="118">
        <f>IFERROR(VLOOKUP(B76,BD_CONTROL!$A$5:$M$4235,13,0),"")</f>
        <v>0</v>
      </c>
    </row>
    <row r="77" spans="1:13" ht="15" customHeight="1">
      <c r="A77" s="42">
        <v>72</v>
      </c>
      <c r="B77" s="42" t="s">
        <v>5574</v>
      </c>
      <c r="C77" s="43" t="s">
        <v>5575</v>
      </c>
      <c r="D77" s="42" t="s">
        <v>5517</v>
      </c>
      <c r="E77" s="43" t="s">
        <v>5522</v>
      </c>
      <c r="F77" s="43" t="s">
        <v>5576</v>
      </c>
      <c r="G77" s="42" t="s">
        <v>109</v>
      </c>
      <c r="H77" s="43" t="s">
        <v>440</v>
      </c>
      <c r="I77" s="43" t="s">
        <v>104</v>
      </c>
      <c r="J77" s="55"/>
      <c r="K77" s="119">
        <f>IFERROR(VLOOKUP(B77,BD_CONTROL!$A$5:$M$4235,11,0),"")</f>
        <v>0</v>
      </c>
      <c r="L77" s="120">
        <f>IFERROR(VLOOKUP(B77,BD_CONTROL!$A$5:$M$4235,12,0),"")</f>
        <v>0</v>
      </c>
      <c r="M77" s="121">
        <f>IFERROR(VLOOKUP(B77,BD_CONTROL!$A$5:$M$4235,13,0),"")</f>
        <v>0</v>
      </c>
    </row>
    <row r="78" spans="1:13" ht="15" customHeight="1">
      <c r="A78" s="39">
        <v>73</v>
      </c>
      <c r="B78" s="39" t="s">
        <v>5577</v>
      </c>
      <c r="C78" s="40" t="s">
        <v>5578</v>
      </c>
      <c r="D78" s="39" t="s">
        <v>5517</v>
      </c>
      <c r="E78" s="40" t="s">
        <v>5579</v>
      </c>
      <c r="F78" s="40" t="s">
        <v>5580</v>
      </c>
      <c r="G78" s="39" t="s">
        <v>109</v>
      </c>
      <c r="H78" s="40" t="s">
        <v>440</v>
      </c>
      <c r="I78" s="40" t="s">
        <v>104</v>
      </c>
      <c r="J78" s="50"/>
      <c r="K78" s="116">
        <f>IFERROR(VLOOKUP(B78,BD_CONTROL!$A$5:$M$4235,11,0),"")</f>
        <v>0</v>
      </c>
      <c r="L78" s="117">
        <f>IFERROR(VLOOKUP(B78,BD_CONTROL!$A$5:$M$4235,12,0),"")</f>
        <v>0</v>
      </c>
      <c r="M78" s="118">
        <f>IFERROR(VLOOKUP(B78,BD_CONTROL!$A$5:$M$4235,13,0),"")</f>
        <v>0</v>
      </c>
    </row>
    <row r="79" spans="1:13" ht="15" customHeight="1">
      <c r="A79" s="42">
        <v>74</v>
      </c>
      <c r="B79" s="42" t="s">
        <v>5581</v>
      </c>
      <c r="C79" s="43" t="s">
        <v>5582</v>
      </c>
      <c r="D79" s="42" t="s">
        <v>5517</v>
      </c>
      <c r="E79" s="43" t="s">
        <v>5583</v>
      </c>
      <c r="F79" s="43" t="s">
        <v>5583</v>
      </c>
      <c r="G79" s="42" t="s">
        <v>102</v>
      </c>
      <c r="H79" s="43" t="s">
        <v>440</v>
      </c>
      <c r="I79" s="43" t="s">
        <v>104</v>
      </c>
      <c r="J79" s="55"/>
      <c r="K79" s="119" t="str">
        <f>IFERROR(VLOOKUP(B79,BD_CONTROL!$A$5:$M$4235,11,0),"")</f>
        <v>Instalado - Operando</v>
      </c>
      <c r="L79" s="120">
        <f>IFERROR(VLOOKUP(B79,BD_CONTROL!$A$5:$M$4235,12,0),"")</f>
        <v>46146</v>
      </c>
      <c r="M79" s="121">
        <f>IFERROR(VLOOKUP(B79,BD_CONTROL!$A$5:$M$4235,13,0),"")</f>
        <v>0</v>
      </c>
    </row>
    <row r="80" spans="1:13" ht="15" customHeight="1">
      <c r="A80" s="39">
        <v>75</v>
      </c>
      <c r="B80" s="39" t="s">
        <v>5584</v>
      </c>
      <c r="C80" s="40" t="s">
        <v>5585</v>
      </c>
      <c r="D80" s="39" t="s">
        <v>5517</v>
      </c>
      <c r="E80" s="40" t="s">
        <v>5518</v>
      </c>
      <c r="F80" s="40" t="s">
        <v>5586</v>
      </c>
      <c r="G80" s="39" t="s">
        <v>109</v>
      </c>
      <c r="H80" s="40" t="s">
        <v>440</v>
      </c>
      <c r="I80" s="40" t="s">
        <v>104</v>
      </c>
      <c r="J80" s="50"/>
      <c r="K80" s="116">
        <f>IFERROR(VLOOKUP(B80,BD_CONTROL!$A$5:$M$4235,11,0),"")</f>
        <v>0</v>
      </c>
      <c r="L80" s="117">
        <f>IFERROR(VLOOKUP(B80,BD_CONTROL!$A$5:$M$4235,12,0),"")</f>
        <v>0</v>
      </c>
      <c r="M80" s="118">
        <f>IFERROR(VLOOKUP(B80,BD_CONTROL!$A$5:$M$4235,13,0),"")</f>
        <v>0</v>
      </c>
    </row>
    <row r="81" spans="1:13" ht="15" customHeight="1">
      <c r="A81" s="42">
        <v>76</v>
      </c>
      <c r="B81" s="42" t="s">
        <v>5587</v>
      </c>
      <c r="C81" s="43" t="s">
        <v>5588</v>
      </c>
      <c r="D81" s="42" t="s">
        <v>5517</v>
      </c>
      <c r="E81" s="43" t="s">
        <v>998</v>
      </c>
      <c r="F81" s="43" t="s">
        <v>5589</v>
      </c>
      <c r="G81" s="42" t="s">
        <v>109</v>
      </c>
      <c r="H81" s="43" t="s">
        <v>440</v>
      </c>
      <c r="I81" s="43" t="s">
        <v>104</v>
      </c>
      <c r="J81" s="55"/>
      <c r="K81" s="119">
        <f>IFERROR(VLOOKUP(B81,BD_CONTROL!$A$5:$M$4235,11,0),"")</f>
        <v>0</v>
      </c>
      <c r="L81" s="120">
        <f>IFERROR(VLOOKUP(B81,BD_CONTROL!$A$5:$M$4235,12,0),"")</f>
        <v>0</v>
      </c>
      <c r="M81" s="121">
        <f>IFERROR(VLOOKUP(B81,BD_CONTROL!$A$5:$M$4235,13,0),"")</f>
        <v>0</v>
      </c>
    </row>
    <row r="82" spans="1:13" ht="15" customHeight="1">
      <c r="A82" s="39">
        <v>77</v>
      </c>
      <c r="B82" s="39" t="s">
        <v>5590</v>
      </c>
      <c r="C82" s="40" t="s">
        <v>5591</v>
      </c>
      <c r="D82" s="39" t="s">
        <v>5517</v>
      </c>
      <c r="E82" s="40" t="s">
        <v>5518</v>
      </c>
      <c r="F82" s="40" t="s">
        <v>5519</v>
      </c>
      <c r="G82" s="39" t="s">
        <v>109</v>
      </c>
      <c r="H82" s="40" t="s">
        <v>440</v>
      </c>
      <c r="I82" s="40" t="s">
        <v>104</v>
      </c>
      <c r="J82" s="50"/>
      <c r="K82" s="116">
        <f>IFERROR(VLOOKUP(B82,BD_CONTROL!$A$5:$M$4235,11,0),"")</f>
        <v>0</v>
      </c>
      <c r="L82" s="117">
        <f>IFERROR(VLOOKUP(B82,BD_CONTROL!$A$5:$M$4235,12,0),"")</f>
        <v>0</v>
      </c>
      <c r="M82" s="118">
        <f>IFERROR(VLOOKUP(B82,BD_CONTROL!$A$5:$M$4235,13,0),"")</f>
        <v>0</v>
      </c>
    </row>
    <row r="83" spans="1:13" ht="15" customHeight="1">
      <c r="A83" s="42">
        <v>78</v>
      </c>
      <c r="B83" s="42" t="s">
        <v>5592</v>
      </c>
      <c r="C83" s="43" t="s">
        <v>5593</v>
      </c>
      <c r="D83" s="42" t="s">
        <v>5517</v>
      </c>
      <c r="E83" s="43" t="s">
        <v>5518</v>
      </c>
      <c r="F83" s="43" t="s">
        <v>5594</v>
      </c>
      <c r="G83" s="42" t="s">
        <v>109</v>
      </c>
      <c r="H83" s="43" t="s">
        <v>440</v>
      </c>
      <c r="I83" s="43" t="s">
        <v>104</v>
      </c>
      <c r="J83" s="55"/>
      <c r="K83" s="119">
        <f>IFERROR(VLOOKUP(B83,BD_CONTROL!$A$5:$M$4235,11,0),"")</f>
        <v>0</v>
      </c>
      <c r="L83" s="120">
        <f>IFERROR(VLOOKUP(B83,BD_CONTROL!$A$5:$M$4235,12,0),"")</f>
        <v>0</v>
      </c>
      <c r="M83" s="121">
        <f>IFERROR(VLOOKUP(B83,BD_CONTROL!$A$5:$M$4235,13,0),"")</f>
        <v>0</v>
      </c>
    </row>
    <row r="84" spans="1:13" ht="15" customHeight="1">
      <c r="A84" s="39">
        <v>79</v>
      </c>
      <c r="B84" s="39" t="s">
        <v>5595</v>
      </c>
      <c r="C84" s="40" t="s">
        <v>5596</v>
      </c>
      <c r="D84" s="39" t="s">
        <v>5517</v>
      </c>
      <c r="E84" s="40" t="s">
        <v>5522</v>
      </c>
      <c r="F84" s="40" t="s">
        <v>5523</v>
      </c>
      <c r="G84" s="39" t="s">
        <v>109</v>
      </c>
      <c r="H84" s="40" t="s">
        <v>440</v>
      </c>
      <c r="I84" s="40" t="s">
        <v>104</v>
      </c>
      <c r="J84" s="50"/>
      <c r="K84" s="116" t="str">
        <f>IFERROR(VLOOKUP(B84,BD_CONTROL!$A$5:$M$4235,11,0),"")</f>
        <v>Instalado - Operando</v>
      </c>
      <c r="L84" s="117">
        <f>IFERROR(VLOOKUP(B84,BD_CONTROL!$A$5:$M$4235,12,0),"")</f>
        <v>46153</v>
      </c>
      <c r="M84" s="118">
        <f>IFERROR(VLOOKUP(B84,BD_CONTROL!$A$5:$M$4235,13,0),"")</f>
        <v>0</v>
      </c>
    </row>
    <row r="85" spans="1:13" ht="15" customHeight="1">
      <c r="A85" s="42">
        <v>80</v>
      </c>
      <c r="B85" s="42" t="s">
        <v>5597</v>
      </c>
      <c r="C85" s="43" t="s">
        <v>5598</v>
      </c>
      <c r="D85" s="42" t="s">
        <v>5517</v>
      </c>
      <c r="E85" s="43" t="s">
        <v>5522</v>
      </c>
      <c r="F85" s="43" t="s">
        <v>5598</v>
      </c>
      <c r="G85" s="42" t="s">
        <v>109</v>
      </c>
      <c r="H85" s="43" t="s">
        <v>440</v>
      </c>
      <c r="I85" s="43" t="s">
        <v>104</v>
      </c>
      <c r="J85" s="55"/>
      <c r="K85" s="119">
        <f>IFERROR(VLOOKUP(B85,BD_CONTROL!$A$5:$M$4235,11,0),"")</f>
        <v>0</v>
      </c>
      <c r="L85" s="120">
        <f>IFERROR(VLOOKUP(B85,BD_CONTROL!$A$5:$M$4235,12,0),"")</f>
        <v>0</v>
      </c>
      <c r="M85" s="121">
        <f>IFERROR(VLOOKUP(B85,BD_CONTROL!$A$5:$M$4235,13,0),"")</f>
        <v>0</v>
      </c>
    </row>
    <row r="86" spans="1:13" ht="15" customHeight="1">
      <c r="A86" s="39">
        <v>81</v>
      </c>
      <c r="B86" s="39" t="s">
        <v>5599</v>
      </c>
      <c r="C86" s="40" t="s">
        <v>1730</v>
      </c>
      <c r="D86" s="39" t="s">
        <v>5517</v>
      </c>
      <c r="E86" s="40" t="s">
        <v>998</v>
      </c>
      <c r="F86" s="40" t="s">
        <v>1730</v>
      </c>
      <c r="G86" s="39" t="s">
        <v>109</v>
      </c>
      <c r="H86" s="40" t="s">
        <v>440</v>
      </c>
      <c r="I86" s="40" t="s">
        <v>104</v>
      </c>
      <c r="J86" s="50"/>
      <c r="K86" s="116">
        <f>IFERROR(VLOOKUP(B86,BD_CONTROL!$A$5:$M$4235,11,0),"")</f>
        <v>0</v>
      </c>
      <c r="L86" s="117">
        <f>IFERROR(VLOOKUP(B86,BD_CONTROL!$A$5:$M$4235,12,0),"")</f>
        <v>0</v>
      </c>
      <c r="M86" s="118">
        <f>IFERROR(VLOOKUP(B86,BD_CONTROL!$A$5:$M$4235,13,0),"")</f>
        <v>0</v>
      </c>
    </row>
    <row r="87" spans="1:13" ht="15" customHeight="1">
      <c r="A87" s="42">
        <v>82</v>
      </c>
      <c r="B87" s="42" t="s">
        <v>5600</v>
      </c>
      <c r="C87" s="43" t="s">
        <v>5601</v>
      </c>
      <c r="D87" s="42" t="s">
        <v>5517</v>
      </c>
      <c r="E87" s="43" t="s">
        <v>998</v>
      </c>
      <c r="F87" s="43" t="s">
        <v>5601</v>
      </c>
      <c r="G87" s="42" t="s">
        <v>109</v>
      </c>
      <c r="H87" s="43" t="s">
        <v>440</v>
      </c>
      <c r="I87" s="43" t="s">
        <v>104</v>
      </c>
      <c r="J87" s="55"/>
      <c r="K87" s="119" t="str">
        <f>IFERROR(VLOOKUP(B87,BD_CONTROL!$A$5:$M$4235,11,0),"")</f>
        <v>Instalado - Operando</v>
      </c>
      <c r="L87" s="120">
        <f>IFERROR(VLOOKUP(B87,BD_CONTROL!$A$5:$M$4235,12,0),"")</f>
        <v>46153</v>
      </c>
      <c r="M87" s="121">
        <f>IFERROR(VLOOKUP(B87,BD_CONTROL!$A$5:$M$4235,13,0),"")</f>
        <v>0</v>
      </c>
    </row>
    <row r="88" spans="1:13" ht="15" customHeight="1">
      <c r="A88" s="39">
        <v>83</v>
      </c>
      <c r="B88" s="39" t="s">
        <v>5602</v>
      </c>
      <c r="C88" s="40" t="s">
        <v>5603</v>
      </c>
      <c r="D88" s="39" t="s">
        <v>5517</v>
      </c>
      <c r="E88" s="40" t="s">
        <v>998</v>
      </c>
      <c r="F88" s="40" t="s">
        <v>5604</v>
      </c>
      <c r="G88" s="39" t="s">
        <v>109</v>
      </c>
      <c r="H88" s="40" t="s">
        <v>440</v>
      </c>
      <c r="I88" s="40" t="s">
        <v>104</v>
      </c>
      <c r="J88" s="50"/>
      <c r="K88" s="116">
        <f>IFERROR(VLOOKUP(B88,BD_CONTROL!$A$5:$M$4235,11,0),"")</f>
        <v>0</v>
      </c>
      <c r="L88" s="117">
        <f>IFERROR(VLOOKUP(B88,BD_CONTROL!$A$5:$M$4235,12,0),"")</f>
        <v>0</v>
      </c>
      <c r="M88" s="118">
        <f>IFERROR(VLOOKUP(B88,BD_CONTROL!$A$5:$M$4235,13,0),"")</f>
        <v>0</v>
      </c>
    </row>
    <row r="89" spans="1:13" ht="15" customHeight="1">
      <c r="A89" s="42">
        <v>84</v>
      </c>
      <c r="B89" s="42" t="s">
        <v>5605</v>
      </c>
      <c r="C89" s="43" t="s">
        <v>5606</v>
      </c>
      <c r="D89" s="42" t="s">
        <v>5517</v>
      </c>
      <c r="E89" s="43" t="s">
        <v>5518</v>
      </c>
      <c r="F89" s="43" t="s">
        <v>5606</v>
      </c>
      <c r="G89" s="42" t="s">
        <v>109</v>
      </c>
      <c r="H89" s="43" t="s">
        <v>440</v>
      </c>
      <c r="I89" s="43" t="s">
        <v>104</v>
      </c>
      <c r="J89" s="55"/>
      <c r="K89" s="119">
        <f>IFERROR(VLOOKUP(B89,BD_CONTROL!$A$5:$M$4235,11,0),"")</f>
        <v>0</v>
      </c>
      <c r="L89" s="120">
        <f>IFERROR(VLOOKUP(B89,BD_CONTROL!$A$5:$M$4235,12,0),"")</f>
        <v>0</v>
      </c>
      <c r="M89" s="121">
        <f>IFERROR(VLOOKUP(B89,BD_CONTROL!$A$5:$M$4235,13,0),"")</f>
        <v>0</v>
      </c>
    </row>
    <row r="90" spans="1:13" ht="15" customHeight="1">
      <c r="A90" s="39">
        <v>85</v>
      </c>
      <c r="B90" s="39" t="s">
        <v>5607</v>
      </c>
      <c r="C90" s="40" t="s">
        <v>5608</v>
      </c>
      <c r="D90" s="39" t="s">
        <v>5517</v>
      </c>
      <c r="E90" s="40" t="s">
        <v>5568</v>
      </c>
      <c r="F90" s="40" t="s">
        <v>5608</v>
      </c>
      <c r="G90" s="39" t="s">
        <v>109</v>
      </c>
      <c r="H90" s="40" t="s">
        <v>440</v>
      </c>
      <c r="I90" s="40" t="s">
        <v>104</v>
      </c>
      <c r="J90" s="50"/>
      <c r="K90" s="116" t="str">
        <f>IFERROR(VLOOKUP(B90,BD_CONTROL!$A$5:$M$4235,11,0),"")</f>
        <v>Instalado - Operando</v>
      </c>
      <c r="L90" s="117">
        <f>IFERROR(VLOOKUP(B90,BD_CONTROL!$A$5:$M$4235,12,0),"")</f>
        <v>46149</v>
      </c>
      <c r="M90" s="118">
        <f>IFERROR(VLOOKUP(B90,BD_CONTROL!$A$5:$M$4235,13,0),"")</f>
        <v>0</v>
      </c>
    </row>
    <row r="91" spans="1:13" ht="15" customHeight="1">
      <c r="A91" s="42">
        <v>86</v>
      </c>
      <c r="B91" s="42" t="s">
        <v>5609</v>
      </c>
      <c r="C91" s="43" t="s">
        <v>5610</v>
      </c>
      <c r="D91" s="42" t="s">
        <v>5517</v>
      </c>
      <c r="E91" s="43" t="s">
        <v>5568</v>
      </c>
      <c r="F91" s="43" t="s">
        <v>5610</v>
      </c>
      <c r="G91" s="42" t="s">
        <v>109</v>
      </c>
      <c r="H91" s="43" t="s">
        <v>440</v>
      </c>
      <c r="I91" s="43" t="s">
        <v>104</v>
      </c>
      <c r="J91" s="55"/>
      <c r="K91" s="119" t="str">
        <f>IFERROR(VLOOKUP(B91,BD_CONTROL!$A$5:$M$4235,11,0),"")</f>
        <v>Instalado - Operando</v>
      </c>
      <c r="L91" s="120">
        <f>IFERROR(VLOOKUP(B91,BD_CONTROL!$A$5:$M$4235,12,0),"")</f>
        <v>46148</v>
      </c>
      <c r="M91" s="121">
        <f>IFERROR(VLOOKUP(B91,BD_CONTROL!$A$5:$M$4235,13,0),"")</f>
        <v>0</v>
      </c>
    </row>
    <row r="92" spans="1:13" ht="15" customHeight="1">
      <c r="A92" s="39">
        <v>87</v>
      </c>
      <c r="B92" s="39" t="s">
        <v>5611</v>
      </c>
      <c r="C92" s="40" t="s">
        <v>5612</v>
      </c>
      <c r="D92" s="39" t="s">
        <v>5517</v>
      </c>
      <c r="E92" s="40" t="s">
        <v>456</v>
      </c>
      <c r="F92" s="40" t="s">
        <v>5612</v>
      </c>
      <c r="G92" s="39" t="s">
        <v>109</v>
      </c>
      <c r="H92" s="40" t="s">
        <v>440</v>
      </c>
      <c r="I92" s="40" t="s">
        <v>104</v>
      </c>
      <c r="J92" s="50"/>
      <c r="K92" s="116" t="str">
        <f>IFERROR(VLOOKUP(B92,BD_CONTROL!$A$5:$M$4235,11,0),"")</f>
        <v>Visitado</v>
      </c>
      <c r="L92" s="117">
        <f>IFERROR(VLOOKUP(B92,BD_CONTROL!$A$5:$M$4235,12,0),"")</f>
        <v>46149</v>
      </c>
      <c r="M92" s="118" t="str">
        <f>IFERROR(VLOOKUP(B92,BD_CONTROL!$A$5:$M$4235,13,0),"")</f>
        <v>PENDIENTE LA INSTALACION DE ESTE EQUIPO YA QUE EN EL SITIO YA NO SE ENCUENTRA EL TELEBACHILLERATO.</v>
      </c>
    </row>
    <row r="93" spans="1:13" ht="15" customHeight="1">
      <c r="A93" s="42">
        <v>88</v>
      </c>
      <c r="B93" s="42" t="s">
        <v>5615</v>
      </c>
      <c r="C93" s="43" t="s">
        <v>1597</v>
      </c>
      <c r="D93" s="42" t="s">
        <v>5517</v>
      </c>
      <c r="E93" s="43" t="s">
        <v>5616</v>
      </c>
      <c r="F93" s="43" t="s">
        <v>1597</v>
      </c>
      <c r="G93" s="42" t="s">
        <v>109</v>
      </c>
      <c r="H93" s="43" t="s">
        <v>440</v>
      </c>
      <c r="I93" s="43" t="s">
        <v>104</v>
      </c>
      <c r="J93" s="55"/>
      <c r="K93" s="119">
        <f>IFERROR(VLOOKUP(B93,BD_CONTROL!$A$5:$M$4235,11,0),"")</f>
        <v>0</v>
      </c>
      <c r="L93" s="120">
        <f>IFERROR(VLOOKUP(B93,BD_CONTROL!$A$5:$M$4235,12,0),"")</f>
        <v>0</v>
      </c>
      <c r="M93" s="121">
        <f>IFERROR(VLOOKUP(B93,BD_CONTROL!$A$5:$M$4235,13,0),"")</f>
        <v>0</v>
      </c>
    </row>
    <row r="94" spans="1:13" ht="15" customHeight="1">
      <c r="A94" s="39">
        <v>89</v>
      </c>
      <c r="B94" s="39" t="s">
        <v>5617</v>
      </c>
      <c r="C94" s="40" t="s">
        <v>5618</v>
      </c>
      <c r="D94" s="39" t="s">
        <v>5517</v>
      </c>
      <c r="E94" s="40" t="s">
        <v>5526</v>
      </c>
      <c r="F94" s="40" t="s">
        <v>5618</v>
      </c>
      <c r="G94" s="39" t="s">
        <v>109</v>
      </c>
      <c r="H94" s="40" t="s">
        <v>440</v>
      </c>
      <c r="I94" s="40" t="s">
        <v>104</v>
      </c>
      <c r="J94" s="50"/>
      <c r="K94" s="116" t="str">
        <f>IFERROR(VLOOKUP(B94,BD_CONTROL!$A$5:$M$4235,11,0),"")</f>
        <v>Instalado - Operando</v>
      </c>
      <c r="L94" s="117">
        <f>IFERROR(VLOOKUP(B94,BD_CONTROL!$A$5:$M$4235,12,0),"")</f>
        <v>46148</v>
      </c>
      <c r="M94" s="118">
        <f>IFERROR(VLOOKUP(B94,BD_CONTROL!$A$5:$M$4235,13,0),"")</f>
        <v>0</v>
      </c>
    </row>
    <row r="95" spans="1:13" ht="15" customHeight="1">
      <c r="A95" s="42">
        <v>90</v>
      </c>
      <c r="B95" s="42" t="s">
        <v>5619</v>
      </c>
      <c r="C95" s="43" t="s">
        <v>5620</v>
      </c>
      <c r="D95" s="42" t="s">
        <v>5517</v>
      </c>
      <c r="E95" s="43" t="s">
        <v>5522</v>
      </c>
      <c r="F95" s="43" t="s">
        <v>5621</v>
      </c>
      <c r="G95" s="42" t="s">
        <v>109</v>
      </c>
      <c r="H95" s="43" t="s">
        <v>440</v>
      </c>
      <c r="I95" s="43" t="s">
        <v>104</v>
      </c>
      <c r="J95" s="55"/>
      <c r="K95" s="119">
        <f>IFERROR(VLOOKUP(B95,BD_CONTROL!$A$5:$M$4235,11,0),"")</f>
        <v>0</v>
      </c>
      <c r="L95" s="120">
        <f>IFERROR(VLOOKUP(B95,BD_CONTROL!$A$5:$M$4235,12,0),"")</f>
        <v>0</v>
      </c>
      <c r="M95" s="121">
        <f>IFERROR(VLOOKUP(B95,BD_CONTROL!$A$5:$M$4235,13,0),"")</f>
        <v>0</v>
      </c>
    </row>
    <row r="96" spans="1:13" ht="15" customHeight="1">
      <c r="A96" s="39">
        <v>91</v>
      </c>
      <c r="B96" s="39" t="s">
        <v>5622</v>
      </c>
      <c r="C96" s="40" t="s">
        <v>5623</v>
      </c>
      <c r="D96" s="39" t="s">
        <v>5517</v>
      </c>
      <c r="E96" s="40" t="s">
        <v>5522</v>
      </c>
      <c r="F96" s="40" t="s">
        <v>5623</v>
      </c>
      <c r="G96" s="39" t="s">
        <v>109</v>
      </c>
      <c r="H96" s="40" t="s">
        <v>440</v>
      </c>
      <c r="I96" s="40" t="s">
        <v>104</v>
      </c>
      <c r="J96" s="50"/>
      <c r="K96" s="116">
        <f>IFERROR(VLOOKUP(B96,BD_CONTROL!$A$5:$M$4235,11,0),"")</f>
        <v>0</v>
      </c>
      <c r="L96" s="117">
        <f>IFERROR(VLOOKUP(B96,BD_CONTROL!$A$5:$M$4235,12,0),"")</f>
        <v>0</v>
      </c>
      <c r="M96" s="118">
        <f>IFERROR(VLOOKUP(B96,BD_CONTROL!$A$5:$M$4235,13,0),"")</f>
        <v>0</v>
      </c>
    </row>
    <row r="97" spans="1:13" ht="15" customHeight="1">
      <c r="A97" s="42">
        <v>92</v>
      </c>
      <c r="B97" s="42" t="s">
        <v>5624</v>
      </c>
      <c r="C97" s="43" t="s">
        <v>5625</v>
      </c>
      <c r="D97" s="42" t="s">
        <v>5517</v>
      </c>
      <c r="E97" s="43" t="s">
        <v>5626</v>
      </c>
      <c r="F97" s="43" t="s">
        <v>5627</v>
      </c>
      <c r="G97" s="42" t="s">
        <v>109</v>
      </c>
      <c r="H97" s="43" t="s">
        <v>440</v>
      </c>
      <c r="I97" s="43" t="s">
        <v>104</v>
      </c>
      <c r="J97" s="55"/>
      <c r="K97" s="119">
        <f>IFERROR(VLOOKUP(B97,BD_CONTROL!$A$5:$M$4235,11,0),"")</f>
        <v>0</v>
      </c>
      <c r="L97" s="120">
        <f>IFERROR(VLOOKUP(B97,BD_CONTROL!$A$5:$M$4235,12,0),"")</f>
        <v>0</v>
      </c>
      <c r="M97" s="121">
        <f>IFERROR(VLOOKUP(B97,BD_CONTROL!$A$5:$M$4235,13,0),"")</f>
        <v>0</v>
      </c>
    </row>
    <row r="98" spans="1:13" ht="15" customHeight="1">
      <c r="A98" s="39">
        <v>93</v>
      </c>
      <c r="B98" s="39" t="s">
        <v>5628</v>
      </c>
      <c r="C98" s="40" t="s">
        <v>5629</v>
      </c>
      <c r="D98" s="39" t="s">
        <v>5517</v>
      </c>
      <c r="E98" s="40" t="s">
        <v>5630</v>
      </c>
      <c r="F98" s="40" t="s">
        <v>5630</v>
      </c>
      <c r="G98" s="39" t="s">
        <v>109</v>
      </c>
      <c r="H98" s="40" t="s">
        <v>440</v>
      </c>
      <c r="I98" s="40" t="s">
        <v>104</v>
      </c>
      <c r="J98" s="50"/>
      <c r="K98" s="116" t="str">
        <f>IFERROR(VLOOKUP(B98,BD_CONTROL!$A$5:$M$4235,11,0),"")</f>
        <v>Instalado - Operando</v>
      </c>
      <c r="L98" s="117">
        <f>IFERROR(VLOOKUP(B98,BD_CONTROL!$A$5:$M$4235,12,0),"")</f>
        <v>46150</v>
      </c>
      <c r="M98" s="118">
        <f>IFERROR(VLOOKUP(B98,BD_CONTROL!$A$5:$M$4235,13,0),"")</f>
        <v>0</v>
      </c>
    </row>
    <row r="99" spans="1:13" ht="15" customHeight="1">
      <c r="A99" s="42">
        <v>94</v>
      </c>
      <c r="B99" s="42" t="s">
        <v>5631</v>
      </c>
      <c r="C99" s="43" t="s">
        <v>5632</v>
      </c>
      <c r="D99" s="42" t="s">
        <v>5517</v>
      </c>
      <c r="E99" s="43" t="s">
        <v>4751</v>
      </c>
      <c r="F99" s="43" t="s">
        <v>4751</v>
      </c>
      <c r="G99" s="42" t="s">
        <v>109</v>
      </c>
      <c r="H99" s="43" t="s">
        <v>440</v>
      </c>
      <c r="I99" s="43" t="s">
        <v>104</v>
      </c>
      <c r="J99" s="55"/>
      <c r="K99" s="119">
        <f>IFERROR(VLOOKUP(B99,BD_CONTROL!$A$5:$M$4235,11,0),"")</f>
        <v>0</v>
      </c>
      <c r="L99" s="120">
        <f>IFERROR(VLOOKUP(B99,BD_CONTROL!$A$5:$M$4235,12,0),"")</f>
        <v>0</v>
      </c>
      <c r="M99" s="121">
        <f>IFERROR(VLOOKUP(B99,BD_CONTROL!$A$5:$M$4235,13,0),"")</f>
        <v>0</v>
      </c>
    </row>
    <row r="100" spans="1:13" ht="15" customHeight="1">
      <c r="A100" s="39">
        <v>95</v>
      </c>
      <c r="B100" s="39" t="s">
        <v>5633</v>
      </c>
      <c r="C100" s="40" t="s">
        <v>5634</v>
      </c>
      <c r="D100" s="39" t="s">
        <v>5517</v>
      </c>
      <c r="E100" s="40" t="s">
        <v>5536</v>
      </c>
      <c r="F100" s="40" t="s">
        <v>5537</v>
      </c>
      <c r="G100" s="39" t="s">
        <v>109</v>
      </c>
      <c r="H100" s="40" t="s">
        <v>440</v>
      </c>
      <c r="I100" s="40" t="s">
        <v>104</v>
      </c>
      <c r="J100" s="50"/>
      <c r="K100" s="116" t="str">
        <f>IFERROR(VLOOKUP(B100,BD_CONTROL!$A$5:$M$4235,11,0),"")</f>
        <v>Instalado - Operando</v>
      </c>
      <c r="L100" s="117">
        <f>IFERROR(VLOOKUP(B100,BD_CONTROL!$A$5:$M$4235,12,0),"")</f>
        <v>46146</v>
      </c>
      <c r="M100" s="118">
        <f>IFERROR(VLOOKUP(B100,BD_CONTROL!$A$5:$M$4235,13,0),"")</f>
        <v>0</v>
      </c>
    </row>
    <row r="101" spans="1:13" ht="15" customHeight="1">
      <c r="A101" s="42">
        <v>96</v>
      </c>
      <c r="B101" s="42" t="s">
        <v>5635</v>
      </c>
      <c r="C101" s="43" t="s">
        <v>5636</v>
      </c>
      <c r="D101" s="42" t="s">
        <v>5517</v>
      </c>
      <c r="E101" s="43" t="s">
        <v>5536</v>
      </c>
      <c r="F101" s="43" t="s">
        <v>5636</v>
      </c>
      <c r="G101" s="42" t="s">
        <v>109</v>
      </c>
      <c r="H101" s="43" t="s">
        <v>440</v>
      </c>
      <c r="I101" s="43" t="s">
        <v>104</v>
      </c>
      <c r="J101" s="55"/>
      <c r="K101" s="119" t="str">
        <f>IFERROR(VLOOKUP(B101,BD_CONTROL!$A$5:$M$4235,11,0),"")</f>
        <v>Instalado - Operando</v>
      </c>
      <c r="L101" s="120">
        <f>IFERROR(VLOOKUP(B101,BD_CONTROL!$A$5:$M$4235,12,0),"")</f>
        <v>46150</v>
      </c>
      <c r="M101" s="121">
        <f>IFERROR(VLOOKUP(B101,BD_CONTROL!$A$5:$M$4235,13,0),"")</f>
        <v>0</v>
      </c>
    </row>
    <row r="102" spans="1:13" ht="15" customHeight="1">
      <c r="A102" s="39">
        <v>97</v>
      </c>
      <c r="B102" s="39" t="s">
        <v>5637</v>
      </c>
      <c r="C102" s="40" t="s">
        <v>5638</v>
      </c>
      <c r="D102" s="39" t="s">
        <v>5517</v>
      </c>
      <c r="E102" s="40" t="s">
        <v>5554</v>
      </c>
      <c r="F102" s="40" t="s">
        <v>5638</v>
      </c>
      <c r="G102" s="39" t="s">
        <v>109</v>
      </c>
      <c r="H102" s="40" t="s">
        <v>440</v>
      </c>
      <c r="I102" s="40" t="s">
        <v>104</v>
      </c>
      <c r="J102" s="50"/>
      <c r="K102" s="116">
        <f>IFERROR(VLOOKUP(B102,BD_CONTROL!$A$5:$M$4235,11,0),"")</f>
        <v>0</v>
      </c>
      <c r="L102" s="117">
        <f>IFERROR(VLOOKUP(B102,BD_CONTROL!$A$5:$M$4235,12,0),"")</f>
        <v>0</v>
      </c>
      <c r="M102" s="118">
        <f>IFERROR(VLOOKUP(B102,BD_CONTROL!$A$5:$M$4235,13,0),"")</f>
        <v>0</v>
      </c>
    </row>
    <row r="103" spans="1:13" ht="15" customHeight="1">
      <c r="A103" s="42">
        <v>98</v>
      </c>
      <c r="B103" s="42" t="s">
        <v>7140</v>
      </c>
      <c r="C103" s="43" t="s">
        <v>7141</v>
      </c>
      <c r="D103" s="42" t="s">
        <v>7142</v>
      </c>
      <c r="E103" s="43" t="s">
        <v>7143</v>
      </c>
      <c r="F103" s="43" t="s">
        <v>7143</v>
      </c>
      <c r="G103" s="42" t="s">
        <v>102</v>
      </c>
      <c r="H103" s="43" t="s">
        <v>440</v>
      </c>
      <c r="I103" s="43" t="s">
        <v>104</v>
      </c>
      <c r="J103" s="55"/>
      <c r="K103" s="119" t="str">
        <f>IFERROR(VLOOKUP(B103,BD_CONTROL!$A$5:$M$4235,11,0),"")</f>
        <v>Instalado - Operando</v>
      </c>
      <c r="L103" s="120">
        <f>IFERROR(VLOOKUP(B103,BD_CONTROL!$A$5:$M$4235,12,0),"")</f>
        <v>46148</v>
      </c>
      <c r="M103" s="121">
        <f>IFERROR(VLOOKUP(B103,BD_CONTROL!$A$5:$M$4235,13,0),"")</f>
        <v>0</v>
      </c>
    </row>
    <row r="104" spans="1:13" ht="15" customHeight="1">
      <c r="A104" s="39">
        <v>99</v>
      </c>
      <c r="B104" s="39" t="s">
        <v>7144</v>
      </c>
      <c r="C104" s="40" t="s">
        <v>7145</v>
      </c>
      <c r="D104" s="39" t="s">
        <v>7142</v>
      </c>
      <c r="E104" s="40" t="s">
        <v>7143</v>
      </c>
      <c r="F104" s="40" t="s">
        <v>7146</v>
      </c>
      <c r="G104" s="39" t="s">
        <v>109</v>
      </c>
      <c r="H104" s="40" t="s">
        <v>440</v>
      </c>
      <c r="I104" s="40" t="s">
        <v>104</v>
      </c>
      <c r="J104" s="50"/>
      <c r="K104" s="116">
        <f>IFERROR(VLOOKUP(B104,BD_CONTROL!$A$5:$M$4235,11,0),"")</f>
        <v>0</v>
      </c>
      <c r="L104" s="117">
        <f>IFERROR(VLOOKUP(B104,BD_CONTROL!$A$5:$M$4235,12,0),"")</f>
        <v>0</v>
      </c>
      <c r="M104" s="118">
        <f>IFERROR(VLOOKUP(B104,BD_CONTROL!$A$5:$M$4235,13,0),"")</f>
        <v>0</v>
      </c>
    </row>
    <row r="105" spans="1:13" ht="15" customHeight="1">
      <c r="A105" s="42">
        <v>100</v>
      </c>
      <c r="B105" s="42" t="s">
        <v>7147</v>
      </c>
      <c r="C105" s="43" t="s">
        <v>1219</v>
      </c>
      <c r="D105" s="42" t="s">
        <v>7142</v>
      </c>
      <c r="E105" s="43" t="s">
        <v>7143</v>
      </c>
      <c r="F105" s="43" t="s">
        <v>7148</v>
      </c>
      <c r="G105" s="42" t="s">
        <v>109</v>
      </c>
      <c r="H105" s="43" t="s">
        <v>440</v>
      </c>
      <c r="I105" s="43" t="s">
        <v>104</v>
      </c>
      <c r="J105" s="55"/>
      <c r="K105" s="119">
        <f>IFERROR(VLOOKUP(B105,BD_CONTROL!$A$5:$M$4235,11,0),"")</f>
        <v>0</v>
      </c>
      <c r="L105" s="120">
        <f>IFERROR(VLOOKUP(B105,BD_CONTROL!$A$5:$M$4235,12,0),"")</f>
        <v>0</v>
      </c>
      <c r="M105" s="121">
        <f>IFERROR(VLOOKUP(B105,BD_CONTROL!$A$5:$M$4235,13,0),"")</f>
        <v>0</v>
      </c>
    </row>
    <row r="106" spans="1:13" ht="15" customHeight="1">
      <c r="A106" s="39">
        <v>101</v>
      </c>
      <c r="B106" s="39" t="s">
        <v>7149</v>
      </c>
      <c r="C106" s="40" t="s">
        <v>745</v>
      </c>
      <c r="D106" s="39" t="s">
        <v>7142</v>
      </c>
      <c r="E106" s="40" t="s">
        <v>7150</v>
      </c>
      <c r="F106" s="40" t="s">
        <v>7150</v>
      </c>
      <c r="G106" s="39" t="s">
        <v>102</v>
      </c>
      <c r="H106" s="40" t="s">
        <v>440</v>
      </c>
      <c r="I106" s="40" t="s">
        <v>104</v>
      </c>
      <c r="J106" s="50"/>
      <c r="K106" s="116" t="str">
        <f>IFERROR(VLOOKUP(B106,BD_CONTROL!$A$5:$M$4235,11,0),"")</f>
        <v>Instalado - Operando</v>
      </c>
      <c r="L106" s="117">
        <f>IFERROR(VLOOKUP(B106,BD_CONTROL!$A$5:$M$4235,12,0),"")</f>
        <v>46153</v>
      </c>
      <c r="M106" s="118">
        <f>IFERROR(VLOOKUP(B106,BD_CONTROL!$A$5:$M$4235,13,0),"")</f>
        <v>0</v>
      </c>
    </row>
    <row r="107" spans="1:13" ht="15" customHeight="1">
      <c r="A107" s="42">
        <v>102</v>
      </c>
      <c r="B107" s="42" t="s">
        <v>7151</v>
      </c>
      <c r="C107" s="43" t="s">
        <v>483</v>
      </c>
      <c r="D107" s="42" t="s">
        <v>7142</v>
      </c>
      <c r="E107" s="43" t="s">
        <v>7143</v>
      </c>
      <c r="F107" s="43" t="s">
        <v>7143</v>
      </c>
      <c r="G107" s="42" t="s">
        <v>109</v>
      </c>
      <c r="H107" s="43" t="s">
        <v>440</v>
      </c>
      <c r="I107" s="43" t="s">
        <v>104</v>
      </c>
      <c r="J107" s="55"/>
      <c r="K107" s="119" t="str">
        <f>IFERROR(VLOOKUP(B107,BD_CONTROL!$A$5:$M$4235,11,0),"")</f>
        <v>Instalado - Operando</v>
      </c>
      <c r="L107" s="120">
        <f>IFERROR(VLOOKUP(B107,BD_CONTROL!$A$5:$M$4235,12,0),"")</f>
        <v>46153</v>
      </c>
      <c r="M107" s="121">
        <f>IFERROR(VLOOKUP(B107,BD_CONTROL!$A$5:$M$4235,13,0),"")</f>
        <v>0</v>
      </c>
    </row>
    <row r="108" spans="1:13" ht="15" customHeight="1">
      <c r="A108" s="39">
        <v>103</v>
      </c>
      <c r="B108" s="39" t="s">
        <v>7152</v>
      </c>
      <c r="C108" s="40" t="s">
        <v>7153</v>
      </c>
      <c r="D108" s="39" t="s">
        <v>7142</v>
      </c>
      <c r="E108" s="40" t="s">
        <v>3260</v>
      </c>
      <c r="F108" s="40" t="s">
        <v>7154</v>
      </c>
      <c r="G108" s="39" t="s">
        <v>109</v>
      </c>
      <c r="H108" s="40" t="s">
        <v>440</v>
      </c>
      <c r="I108" s="40" t="s">
        <v>104</v>
      </c>
      <c r="J108" s="50"/>
      <c r="K108" s="116">
        <f>IFERROR(VLOOKUP(B108,BD_CONTROL!$A$5:$M$4235,11,0),"")</f>
        <v>0</v>
      </c>
      <c r="L108" s="117">
        <f>IFERROR(VLOOKUP(B108,BD_CONTROL!$A$5:$M$4235,12,0),"")</f>
        <v>0</v>
      </c>
      <c r="M108" s="118">
        <f>IFERROR(VLOOKUP(B108,BD_CONTROL!$A$5:$M$4235,13,0),"")</f>
        <v>0</v>
      </c>
    </row>
    <row r="109" spans="1:13" ht="15" customHeight="1">
      <c r="A109" s="42">
        <v>104</v>
      </c>
      <c r="B109" s="42" t="s">
        <v>7159</v>
      </c>
      <c r="C109" s="43" t="s">
        <v>2265</v>
      </c>
      <c r="D109" s="42" t="s">
        <v>7142</v>
      </c>
      <c r="E109" s="43" t="s">
        <v>3260</v>
      </c>
      <c r="F109" s="43" t="s">
        <v>141</v>
      </c>
      <c r="G109" s="42" t="s">
        <v>109</v>
      </c>
      <c r="H109" s="43" t="s">
        <v>440</v>
      </c>
      <c r="I109" s="43" t="s">
        <v>104</v>
      </c>
      <c r="J109" s="55"/>
      <c r="K109" s="119">
        <f>IFERROR(VLOOKUP(B109,BD_CONTROL!$A$5:$M$4235,11,0),"")</f>
        <v>0</v>
      </c>
      <c r="L109" s="120">
        <f>IFERROR(VLOOKUP(B109,BD_CONTROL!$A$5:$M$4235,12,0),"")</f>
        <v>0</v>
      </c>
      <c r="M109" s="121">
        <f>IFERROR(VLOOKUP(B109,BD_CONTROL!$A$5:$M$4235,13,0),"")</f>
        <v>0</v>
      </c>
    </row>
    <row r="110" spans="1:13" ht="15" customHeight="1">
      <c r="A110" s="39">
        <v>105</v>
      </c>
      <c r="B110" s="39" t="s">
        <v>7160</v>
      </c>
      <c r="C110" s="40" t="s">
        <v>7161</v>
      </c>
      <c r="D110" s="39" t="s">
        <v>7142</v>
      </c>
      <c r="E110" s="40" t="s">
        <v>521</v>
      </c>
      <c r="F110" s="40" t="s">
        <v>7162</v>
      </c>
      <c r="G110" s="39" t="s">
        <v>109</v>
      </c>
      <c r="H110" s="40" t="s">
        <v>440</v>
      </c>
      <c r="I110" s="40" t="s">
        <v>104</v>
      </c>
      <c r="J110" s="50"/>
      <c r="K110" s="116">
        <f>IFERROR(VLOOKUP(B110,BD_CONTROL!$A$5:$M$4235,11,0),"")</f>
        <v>0</v>
      </c>
      <c r="L110" s="117">
        <f>IFERROR(VLOOKUP(B110,BD_CONTROL!$A$5:$M$4235,12,0),"")</f>
        <v>0</v>
      </c>
      <c r="M110" s="118">
        <f>IFERROR(VLOOKUP(B110,BD_CONTROL!$A$5:$M$4235,13,0),"")</f>
        <v>0</v>
      </c>
    </row>
    <row r="111" spans="1:13" ht="15" customHeight="1">
      <c r="A111" s="42">
        <v>106</v>
      </c>
      <c r="B111" s="42" t="s">
        <v>7163</v>
      </c>
      <c r="C111" s="43" t="s">
        <v>7164</v>
      </c>
      <c r="D111" s="42" t="s">
        <v>7142</v>
      </c>
      <c r="E111" s="43" t="s">
        <v>7165</v>
      </c>
      <c r="F111" s="43" t="s">
        <v>7166</v>
      </c>
      <c r="G111" s="42" t="s">
        <v>109</v>
      </c>
      <c r="H111" s="43" t="s">
        <v>440</v>
      </c>
      <c r="I111" s="43" t="s">
        <v>104</v>
      </c>
      <c r="J111" s="55"/>
      <c r="K111" s="119">
        <f>IFERROR(VLOOKUP(B111,BD_CONTROL!$A$5:$M$4235,11,0),"")</f>
        <v>0</v>
      </c>
      <c r="L111" s="120">
        <f>IFERROR(VLOOKUP(B111,BD_CONTROL!$A$5:$M$4235,12,0),"")</f>
        <v>0</v>
      </c>
      <c r="M111" s="121">
        <f>IFERROR(VLOOKUP(B111,BD_CONTROL!$A$5:$M$4235,13,0),"")</f>
        <v>0</v>
      </c>
    </row>
    <row r="112" spans="1:13" ht="15" customHeight="1">
      <c r="A112" s="39">
        <v>107</v>
      </c>
      <c r="B112" s="39" t="s">
        <v>7167</v>
      </c>
      <c r="C112" s="40" t="s">
        <v>2629</v>
      </c>
      <c r="D112" s="39" t="s">
        <v>7142</v>
      </c>
      <c r="E112" s="40" t="s">
        <v>521</v>
      </c>
      <c r="F112" s="40" t="s">
        <v>7168</v>
      </c>
      <c r="G112" s="39" t="s">
        <v>109</v>
      </c>
      <c r="H112" s="40" t="s">
        <v>440</v>
      </c>
      <c r="I112" s="40" t="s">
        <v>104</v>
      </c>
      <c r="J112" s="50"/>
      <c r="K112" s="116">
        <f>IFERROR(VLOOKUP(B112,BD_CONTROL!$A$5:$M$4235,11,0),"")</f>
        <v>0</v>
      </c>
      <c r="L112" s="117">
        <f>IFERROR(VLOOKUP(B112,BD_CONTROL!$A$5:$M$4235,12,0),"")</f>
        <v>0</v>
      </c>
      <c r="M112" s="118">
        <f>IFERROR(VLOOKUP(B112,BD_CONTROL!$A$5:$M$4235,13,0),"")</f>
        <v>0</v>
      </c>
    </row>
    <row r="113" spans="1:13" ht="15" customHeight="1">
      <c r="A113" s="42">
        <v>108</v>
      </c>
      <c r="B113" s="42" t="s">
        <v>7169</v>
      </c>
      <c r="C113" s="43" t="s">
        <v>5989</v>
      </c>
      <c r="D113" s="42" t="s">
        <v>7142</v>
      </c>
      <c r="E113" s="43" t="s">
        <v>3260</v>
      </c>
      <c r="F113" s="43" t="s">
        <v>7170</v>
      </c>
      <c r="G113" s="42" t="s">
        <v>109</v>
      </c>
      <c r="H113" s="43" t="s">
        <v>440</v>
      </c>
      <c r="I113" s="43" t="s">
        <v>104</v>
      </c>
      <c r="J113" s="55"/>
      <c r="K113" s="119">
        <f>IFERROR(VLOOKUP(B113,BD_CONTROL!$A$5:$M$4235,11,0),"")</f>
        <v>0</v>
      </c>
      <c r="L113" s="120">
        <f>IFERROR(VLOOKUP(B113,BD_CONTROL!$A$5:$M$4235,12,0),"")</f>
        <v>0</v>
      </c>
      <c r="M113" s="121">
        <f>IFERROR(VLOOKUP(B113,BD_CONTROL!$A$5:$M$4235,13,0),"")</f>
        <v>0</v>
      </c>
    </row>
    <row r="114" spans="1:13" ht="15" customHeight="1">
      <c r="A114" s="39">
        <v>109</v>
      </c>
      <c r="B114" s="39" t="s">
        <v>7171</v>
      </c>
      <c r="C114" s="40" t="s">
        <v>3470</v>
      </c>
      <c r="D114" s="39" t="s">
        <v>7142</v>
      </c>
      <c r="E114" s="40" t="s">
        <v>7172</v>
      </c>
      <c r="F114" s="40" t="s">
        <v>7173</v>
      </c>
      <c r="G114" s="39" t="s">
        <v>109</v>
      </c>
      <c r="H114" s="40" t="s">
        <v>440</v>
      </c>
      <c r="I114" s="40" t="s">
        <v>104</v>
      </c>
      <c r="J114" s="50"/>
      <c r="K114" s="116">
        <f>IFERROR(VLOOKUP(B114,BD_CONTROL!$A$5:$M$4235,11,0),"")</f>
        <v>0</v>
      </c>
      <c r="L114" s="117">
        <f>IFERROR(VLOOKUP(B114,BD_CONTROL!$A$5:$M$4235,12,0),"")</f>
        <v>0</v>
      </c>
      <c r="M114" s="118">
        <f>IFERROR(VLOOKUP(B114,BD_CONTROL!$A$5:$M$4235,13,0),"")</f>
        <v>0</v>
      </c>
    </row>
    <row r="115" spans="1:13" ht="15" customHeight="1">
      <c r="A115" s="42">
        <v>110</v>
      </c>
      <c r="B115" s="42" t="s">
        <v>7174</v>
      </c>
      <c r="C115" s="43" t="s">
        <v>4977</v>
      </c>
      <c r="D115" s="42" t="s">
        <v>7142</v>
      </c>
      <c r="E115" s="43" t="s">
        <v>1600</v>
      </c>
      <c r="F115" s="43" t="s">
        <v>7175</v>
      </c>
      <c r="G115" s="42" t="s">
        <v>109</v>
      </c>
      <c r="H115" s="43" t="s">
        <v>440</v>
      </c>
      <c r="I115" s="43" t="s">
        <v>104</v>
      </c>
      <c r="J115" s="55"/>
      <c r="K115" s="119">
        <f>IFERROR(VLOOKUP(B115,BD_CONTROL!$A$5:$M$4235,11,0),"")</f>
        <v>0</v>
      </c>
      <c r="L115" s="120">
        <f>IFERROR(VLOOKUP(B115,BD_CONTROL!$A$5:$M$4235,12,0),"")</f>
        <v>0</v>
      </c>
      <c r="M115" s="121">
        <f>IFERROR(VLOOKUP(B115,BD_CONTROL!$A$5:$M$4235,13,0),"")</f>
        <v>0</v>
      </c>
    </row>
    <row r="116" spans="1:13" ht="15" customHeight="1">
      <c r="A116" s="39">
        <v>111</v>
      </c>
      <c r="B116" s="39" t="s">
        <v>7176</v>
      </c>
      <c r="C116" s="40" t="s">
        <v>6438</v>
      </c>
      <c r="D116" s="39" t="s">
        <v>7142</v>
      </c>
      <c r="E116" s="40" t="s">
        <v>7177</v>
      </c>
      <c r="F116" s="40" t="s">
        <v>7178</v>
      </c>
      <c r="G116" s="39" t="s">
        <v>109</v>
      </c>
      <c r="H116" s="40" t="s">
        <v>440</v>
      </c>
      <c r="I116" s="40" t="s">
        <v>104</v>
      </c>
      <c r="J116" s="50"/>
      <c r="K116" s="116">
        <f>IFERROR(VLOOKUP(B116,BD_CONTROL!$A$5:$M$4235,11,0),"")</f>
        <v>0</v>
      </c>
      <c r="L116" s="117">
        <f>IFERROR(VLOOKUP(B116,BD_CONTROL!$A$5:$M$4235,12,0),"")</f>
        <v>0</v>
      </c>
      <c r="M116" s="118">
        <f>IFERROR(VLOOKUP(B116,BD_CONTROL!$A$5:$M$4235,13,0),"")</f>
        <v>0</v>
      </c>
    </row>
    <row r="117" spans="1:13" ht="15" customHeight="1">
      <c r="A117" s="42">
        <v>112</v>
      </c>
      <c r="B117" s="42" t="s">
        <v>7179</v>
      </c>
      <c r="C117" s="43" t="s">
        <v>7180</v>
      </c>
      <c r="D117" s="42" t="s">
        <v>7142</v>
      </c>
      <c r="E117" s="43" t="s">
        <v>521</v>
      </c>
      <c r="F117" s="43" t="s">
        <v>7181</v>
      </c>
      <c r="G117" s="42" t="s">
        <v>109</v>
      </c>
      <c r="H117" s="43" t="s">
        <v>440</v>
      </c>
      <c r="I117" s="43" t="s">
        <v>104</v>
      </c>
      <c r="J117" s="55"/>
      <c r="K117" s="119">
        <f>IFERROR(VLOOKUP(B117,BD_CONTROL!$A$5:$M$4235,11,0),"")</f>
        <v>0</v>
      </c>
      <c r="L117" s="120">
        <f>IFERROR(VLOOKUP(B117,BD_CONTROL!$A$5:$M$4235,12,0),"")</f>
        <v>0</v>
      </c>
      <c r="M117" s="121">
        <f>IFERROR(VLOOKUP(B117,BD_CONTROL!$A$5:$M$4235,13,0),"")</f>
        <v>0</v>
      </c>
    </row>
    <row r="118" spans="1:13" ht="15" customHeight="1">
      <c r="A118" s="39">
        <v>113</v>
      </c>
      <c r="B118" s="39" t="s">
        <v>7182</v>
      </c>
      <c r="C118" s="40" t="s">
        <v>7183</v>
      </c>
      <c r="D118" s="39" t="s">
        <v>7142</v>
      </c>
      <c r="E118" s="40" t="s">
        <v>563</v>
      </c>
      <c r="F118" s="40" t="s">
        <v>7184</v>
      </c>
      <c r="G118" s="39" t="s">
        <v>109</v>
      </c>
      <c r="H118" s="40" t="s">
        <v>440</v>
      </c>
      <c r="I118" s="40" t="s">
        <v>104</v>
      </c>
      <c r="J118" s="50"/>
      <c r="K118" s="116">
        <f>IFERROR(VLOOKUP(B118,BD_CONTROL!$A$5:$M$4235,11,0),"")</f>
        <v>0</v>
      </c>
      <c r="L118" s="117">
        <f>IFERROR(VLOOKUP(B118,BD_CONTROL!$A$5:$M$4235,12,0),"")</f>
        <v>0</v>
      </c>
      <c r="M118" s="118">
        <f>IFERROR(VLOOKUP(B118,BD_CONTROL!$A$5:$M$4235,13,0),"")</f>
        <v>0</v>
      </c>
    </row>
    <row r="119" spans="1:13" ht="15" customHeight="1">
      <c r="A119" s="42">
        <v>114</v>
      </c>
      <c r="B119" s="42" t="s">
        <v>7185</v>
      </c>
      <c r="C119" s="43" t="s">
        <v>7186</v>
      </c>
      <c r="D119" s="42" t="s">
        <v>7142</v>
      </c>
      <c r="E119" s="43" t="s">
        <v>7187</v>
      </c>
      <c r="F119" s="43" t="s">
        <v>3255</v>
      </c>
      <c r="G119" s="42" t="s">
        <v>109</v>
      </c>
      <c r="H119" s="43" t="s">
        <v>440</v>
      </c>
      <c r="I119" s="43" t="s">
        <v>104</v>
      </c>
      <c r="J119" s="55"/>
      <c r="K119" s="119">
        <f>IFERROR(VLOOKUP(B119,BD_CONTROL!$A$5:$M$4235,11,0),"")</f>
        <v>0</v>
      </c>
      <c r="L119" s="120">
        <f>IFERROR(VLOOKUP(B119,BD_CONTROL!$A$5:$M$4235,12,0),"")</f>
        <v>0</v>
      </c>
      <c r="M119" s="121">
        <f>IFERROR(VLOOKUP(B119,BD_CONTROL!$A$5:$M$4235,13,0),"")</f>
        <v>0</v>
      </c>
    </row>
    <row r="120" spans="1:13" ht="15" customHeight="1">
      <c r="A120" s="39">
        <v>115</v>
      </c>
      <c r="B120" s="39" t="s">
        <v>7188</v>
      </c>
      <c r="C120" s="40" t="s">
        <v>7189</v>
      </c>
      <c r="D120" s="39" t="s">
        <v>7142</v>
      </c>
      <c r="E120" s="40" t="s">
        <v>7190</v>
      </c>
      <c r="F120" s="40" t="s">
        <v>7191</v>
      </c>
      <c r="G120" s="39" t="s">
        <v>109</v>
      </c>
      <c r="H120" s="40" t="s">
        <v>440</v>
      </c>
      <c r="I120" s="40" t="s">
        <v>104</v>
      </c>
      <c r="J120" s="50"/>
      <c r="K120" s="116">
        <f>IFERROR(VLOOKUP(B120,BD_CONTROL!$A$5:$M$4235,11,0),"")</f>
        <v>0</v>
      </c>
      <c r="L120" s="117">
        <f>IFERROR(VLOOKUP(B120,BD_CONTROL!$A$5:$M$4235,12,0),"")</f>
        <v>0</v>
      </c>
      <c r="M120" s="118">
        <f>IFERROR(VLOOKUP(B120,BD_CONTROL!$A$5:$M$4235,13,0),"")</f>
        <v>0</v>
      </c>
    </row>
    <row r="121" spans="1:13" ht="15" customHeight="1">
      <c r="A121" s="42">
        <v>116</v>
      </c>
      <c r="B121" s="42" t="s">
        <v>7192</v>
      </c>
      <c r="C121" s="43" t="s">
        <v>7193</v>
      </c>
      <c r="D121" s="42" t="s">
        <v>7142</v>
      </c>
      <c r="E121" s="43" t="s">
        <v>7143</v>
      </c>
      <c r="F121" s="43" t="s">
        <v>7143</v>
      </c>
      <c r="G121" s="42" t="s">
        <v>102</v>
      </c>
      <c r="H121" s="43" t="s">
        <v>440</v>
      </c>
      <c r="I121" s="43" t="s">
        <v>104</v>
      </c>
      <c r="J121" s="55"/>
      <c r="K121" s="119" t="str">
        <f>IFERROR(VLOOKUP(B121,BD_CONTROL!$A$5:$M$4235,11,0),"")</f>
        <v>Instalado - Operando</v>
      </c>
      <c r="L121" s="120">
        <f>IFERROR(VLOOKUP(B121,BD_CONTROL!$A$5:$M$4235,12,0),"")</f>
        <v>46150</v>
      </c>
      <c r="M121" s="121">
        <f>IFERROR(VLOOKUP(B121,BD_CONTROL!$A$5:$M$4235,13,0),"")</f>
        <v>0</v>
      </c>
    </row>
    <row r="122" spans="1:13" ht="15" customHeight="1">
      <c r="A122" s="39">
        <v>117</v>
      </c>
      <c r="B122" s="39" t="s">
        <v>7194</v>
      </c>
      <c r="C122" s="40" t="s">
        <v>7195</v>
      </c>
      <c r="D122" s="39" t="s">
        <v>7142</v>
      </c>
      <c r="E122" s="40" t="s">
        <v>127</v>
      </c>
      <c r="F122" s="40" t="s">
        <v>7196</v>
      </c>
      <c r="G122" s="39" t="s">
        <v>109</v>
      </c>
      <c r="H122" s="40" t="s">
        <v>440</v>
      </c>
      <c r="I122" s="40" t="s">
        <v>104</v>
      </c>
      <c r="J122" s="50"/>
      <c r="K122" s="116">
        <f>IFERROR(VLOOKUP(B122,BD_CONTROL!$A$5:$M$4235,11,0),"")</f>
        <v>0</v>
      </c>
      <c r="L122" s="117">
        <f>IFERROR(VLOOKUP(B122,BD_CONTROL!$A$5:$M$4235,12,0),"")</f>
        <v>0</v>
      </c>
      <c r="M122" s="118">
        <f>IFERROR(VLOOKUP(B122,BD_CONTROL!$A$5:$M$4235,13,0),"")</f>
        <v>0</v>
      </c>
    </row>
    <row r="123" spans="1:13" ht="15" customHeight="1">
      <c r="A123" s="42">
        <v>118</v>
      </c>
      <c r="B123" s="42" t="s">
        <v>7197</v>
      </c>
      <c r="C123" s="43" t="s">
        <v>7198</v>
      </c>
      <c r="D123" s="42" t="s">
        <v>7142</v>
      </c>
      <c r="E123" s="43" t="s">
        <v>906</v>
      </c>
      <c r="F123" s="43" t="s">
        <v>7199</v>
      </c>
      <c r="G123" s="42" t="s">
        <v>109</v>
      </c>
      <c r="H123" s="43" t="s">
        <v>440</v>
      </c>
      <c r="I123" s="43" t="s">
        <v>104</v>
      </c>
      <c r="J123" s="55"/>
      <c r="K123" s="119">
        <f>IFERROR(VLOOKUP(B123,BD_CONTROL!$A$5:$M$4235,11,0),"")</f>
        <v>0</v>
      </c>
      <c r="L123" s="120">
        <f>IFERROR(VLOOKUP(B123,BD_CONTROL!$A$5:$M$4235,12,0),"")</f>
        <v>0</v>
      </c>
      <c r="M123" s="121">
        <f>IFERROR(VLOOKUP(B123,BD_CONTROL!$A$5:$M$4235,13,0),"")</f>
        <v>0</v>
      </c>
    </row>
    <row r="124" spans="1:13" ht="15" customHeight="1">
      <c r="A124" s="39">
        <v>119</v>
      </c>
      <c r="B124" s="39" t="s">
        <v>7200</v>
      </c>
      <c r="C124" s="40" t="s">
        <v>7201</v>
      </c>
      <c r="D124" s="39" t="s">
        <v>7142</v>
      </c>
      <c r="E124" s="40" t="s">
        <v>7143</v>
      </c>
      <c r="F124" s="40" t="s">
        <v>7143</v>
      </c>
      <c r="G124" s="39" t="s">
        <v>102</v>
      </c>
      <c r="H124" s="40" t="s">
        <v>440</v>
      </c>
      <c r="I124" s="40" t="s">
        <v>104</v>
      </c>
      <c r="J124" s="50"/>
      <c r="K124" s="116" t="str">
        <f>IFERROR(VLOOKUP(B124,BD_CONTROL!$A$5:$M$4235,11,0),"")</f>
        <v>Instalado - Operando</v>
      </c>
      <c r="L124" s="117">
        <f>IFERROR(VLOOKUP(B124,BD_CONTROL!$A$5:$M$4235,12,0),"")</f>
        <v>46149</v>
      </c>
      <c r="M124" s="118">
        <f>IFERROR(VLOOKUP(B124,BD_CONTROL!$A$5:$M$4235,13,0),"")</f>
        <v>0</v>
      </c>
    </row>
    <row r="125" spans="1:13" ht="15" customHeight="1">
      <c r="A125" s="42">
        <v>120</v>
      </c>
      <c r="B125" s="42" t="s">
        <v>7202</v>
      </c>
      <c r="C125" s="43" t="s">
        <v>7203</v>
      </c>
      <c r="D125" s="42" t="s">
        <v>7142</v>
      </c>
      <c r="E125" s="43" t="s">
        <v>3260</v>
      </c>
      <c r="F125" s="43" t="s">
        <v>7204</v>
      </c>
      <c r="G125" s="42" t="s">
        <v>109</v>
      </c>
      <c r="H125" s="43" t="s">
        <v>440</v>
      </c>
      <c r="I125" s="43" t="s">
        <v>104</v>
      </c>
      <c r="J125" s="55"/>
      <c r="K125" s="119">
        <f>IFERROR(VLOOKUP(B125,BD_CONTROL!$A$5:$M$4235,11,0),"")</f>
        <v>0</v>
      </c>
      <c r="L125" s="120">
        <f>IFERROR(VLOOKUP(B125,BD_CONTROL!$A$5:$M$4235,12,0),"")</f>
        <v>0</v>
      </c>
      <c r="M125" s="121">
        <f>IFERROR(VLOOKUP(B125,BD_CONTROL!$A$5:$M$4235,13,0),"")</f>
        <v>0</v>
      </c>
    </row>
    <row r="126" spans="1:13" ht="15" customHeight="1">
      <c r="A126" s="39">
        <v>121</v>
      </c>
      <c r="B126" s="39" t="s">
        <v>7207</v>
      </c>
      <c r="C126" s="40" t="s">
        <v>7208</v>
      </c>
      <c r="D126" s="39" t="s">
        <v>7142</v>
      </c>
      <c r="E126" s="40" t="s">
        <v>1600</v>
      </c>
      <c r="F126" s="40" t="s">
        <v>7209</v>
      </c>
      <c r="G126" s="39" t="s">
        <v>109</v>
      </c>
      <c r="H126" s="40" t="s">
        <v>440</v>
      </c>
      <c r="I126" s="40" t="s">
        <v>104</v>
      </c>
      <c r="J126" s="50"/>
      <c r="K126" s="116">
        <f>IFERROR(VLOOKUP(B126,BD_CONTROL!$A$5:$M$4235,11,0),"")</f>
        <v>0</v>
      </c>
      <c r="L126" s="117">
        <f>IFERROR(VLOOKUP(B126,BD_CONTROL!$A$5:$M$4235,12,0),"")</f>
        <v>0</v>
      </c>
      <c r="M126" s="118">
        <f>IFERROR(VLOOKUP(B126,BD_CONTROL!$A$5:$M$4235,13,0),"")</f>
        <v>0</v>
      </c>
    </row>
    <row r="127" spans="1:13" ht="15" customHeight="1">
      <c r="A127" s="42">
        <v>122</v>
      </c>
      <c r="B127" s="42" t="s">
        <v>7210</v>
      </c>
      <c r="C127" s="43" t="s">
        <v>7211</v>
      </c>
      <c r="D127" s="42" t="s">
        <v>7142</v>
      </c>
      <c r="E127" s="43" t="s">
        <v>1600</v>
      </c>
      <c r="F127" s="43" t="s">
        <v>7212</v>
      </c>
      <c r="G127" s="42" t="s">
        <v>109</v>
      </c>
      <c r="H127" s="43" t="s">
        <v>440</v>
      </c>
      <c r="I127" s="43" t="s">
        <v>104</v>
      </c>
      <c r="J127" s="55"/>
      <c r="K127" s="119">
        <f>IFERROR(VLOOKUP(B127,BD_CONTROL!$A$5:$M$4235,11,0),"")</f>
        <v>0</v>
      </c>
      <c r="L127" s="120">
        <f>IFERROR(VLOOKUP(B127,BD_CONTROL!$A$5:$M$4235,12,0),"")</f>
        <v>0</v>
      </c>
      <c r="M127" s="121">
        <f>IFERROR(VLOOKUP(B127,BD_CONTROL!$A$5:$M$4235,13,0),"")</f>
        <v>0</v>
      </c>
    </row>
    <row r="128" spans="1:13" ht="15" customHeight="1">
      <c r="A128" s="39">
        <v>123</v>
      </c>
      <c r="B128" s="39" t="s">
        <v>7213</v>
      </c>
      <c r="C128" s="40" t="s">
        <v>7214</v>
      </c>
      <c r="D128" s="39" t="s">
        <v>7142</v>
      </c>
      <c r="E128" s="40" t="s">
        <v>6643</v>
      </c>
      <c r="F128" s="40" t="s">
        <v>7215</v>
      </c>
      <c r="G128" s="39" t="s">
        <v>109</v>
      </c>
      <c r="H128" s="40" t="s">
        <v>440</v>
      </c>
      <c r="I128" s="40" t="s">
        <v>104</v>
      </c>
      <c r="J128" s="50"/>
      <c r="K128" s="116">
        <f>IFERROR(VLOOKUP(B128,BD_CONTROL!$A$5:$M$4235,11,0),"")</f>
        <v>0</v>
      </c>
      <c r="L128" s="117">
        <f>IFERROR(VLOOKUP(B128,BD_CONTROL!$A$5:$M$4235,12,0),"")</f>
        <v>0</v>
      </c>
      <c r="M128" s="118">
        <f>IFERROR(VLOOKUP(B128,BD_CONTROL!$A$5:$M$4235,13,0),"")</f>
        <v>0</v>
      </c>
    </row>
    <row r="129" spans="1:13" ht="15" customHeight="1">
      <c r="A129" s="42">
        <v>124</v>
      </c>
      <c r="B129" s="42" t="s">
        <v>7216</v>
      </c>
      <c r="C129" s="43" t="s">
        <v>7217</v>
      </c>
      <c r="D129" s="42" t="s">
        <v>7142</v>
      </c>
      <c r="E129" s="43" t="s">
        <v>7143</v>
      </c>
      <c r="F129" s="43" t="s">
        <v>7218</v>
      </c>
      <c r="G129" s="42" t="s">
        <v>109</v>
      </c>
      <c r="H129" s="43" t="s">
        <v>440</v>
      </c>
      <c r="I129" s="43" t="s">
        <v>104</v>
      </c>
      <c r="J129" s="55"/>
      <c r="K129" s="119">
        <f>IFERROR(VLOOKUP(B129,BD_CONTROL!$A$5:$M$4235,11,0),"")</f>
        <v>0</v>
      </c>
      <c r="L129" s="120">
        <f>IFERROR(VLOOKUP(B129,BD_CONTROL!$A$5:$M$4235,12,0),"")</f>
        <v>0</v>
      </c>
      <c r="M129" s="121">
        <f>IFERROR(VLOOKUP(B129,BD_CONTROL!$A$5:$M$4235,13,0),"")</f>
        <v>0</v>
      </c>
    </row>
    <row r="130" spans="1:13" ht="15" customHeight="1">
      <c r="A130" s="39">
        <v>125</v>
      </c>
      <c r="B130" s="39" t="s">
        <v>7219</v>
      </c>
      <c r="C130" s="40" t="s">
        <v>7220</v>
      </c>
      <c r="D130" s="39" t="s">
        <v>7142</v>
      </c>
      <c r="E130" s="40" t="s">
        <v>7157</v>
      </c>
      <c r="F130" s="40" t="s">
        <v>7221</v>
      </c>
      <c r="G130" s="39" t="s">
        <v>102</v>
      </c>
      <c r="H130" s="40" t="s">
        <v>440</v>
      </c>
      <c r="I130" s="40" t="s">
        <v>104</v>
      </c>
      <c r="J130" s="50"/>
      <c r="K130" s="116">
        <f>IFERROR(VLOOKUP(B130,BD_CONTROL!$A$5:$M$4235,11,0),"")</f>
        <v>0</v>
      </c>
      <c r="L130" s="117">
        <f>IFERROR(VLOOKUP(B130,BD_CONTROL!$A$5:$M$4235,12,0),"")</f>
        <v>0</v>
      </c>
      <c r="M130" s="118">
        <f>IFERROR(VLOOKUP(B130,BD_CONTROL!$A$5:$M$4235,13,0),"")</f>
        <v>0</v>
      </c>
    </row>
    <row r="131" spans="1:13" ht="15" customHeight="1">
      <c r="A131" s="42">
        <v>126</v>
      </c>
      <c r="B131" s="42" t="s">
        <v>7222</v>
      </c>
      <c r="C131" s="43" t="s">
        <v>7223</v>
      </c>
      <c r="D131" s="42" t="s">
        <v>7142</v>
      </c>
      <c r="E131" s="43" t="s">
        <v>7224</v>
      </c>
      <c r="F131" s="43" t="s">
        <v>7225</v>
      </c>
      <c r="G131" s="42" t="s">
        <v>109</v>
      </c>
      <c r="H131" s="43" t="s">
        <v>440</v>
      </c>
      <c r="I131" s="43" t="s">
        <v>104</v>
      </c>
      <c r="J131" s="55"/>
      <c r="K131" s="119">
        <f>IFERROR(VLOOKUP(B131,BD_CONTROL!$A$5:$M$4235,11,0),"")</f>
        <v>0</v>
      </c>
      <c r="L131" s="120">
        <f>IFERROR(VLOOKUP(B131,BD_CONTROL!$A$5:$M$4235,12,0),"")</f>
        <v>0</v>
      </c>
      <c r="M131" s="121">
        <f>IFERROR(VLOOKUP(B131,BD_CONTROL!$A$5:$M$4235,13,0),"")</f>
        <v>0</v>
      </c>
    </row>
    <row r="132" spans="1:13" ht="15" customHeight="1">
      <c r="A132" s="39">
        <v>127</v>
      </c>
      <c r="B132" s="39" t="s">
        <v>7226</v>
      </c>
      <c r="C132" s="40" t="s">
        <v>7227</v>
      </c>
      <c r="D132" s="39" t="s">
        <v>7142</v>
      </c>
      <c r="E132" s="40" t="s">
        <v>457</v>
      </c>
      <c r="F132" s="40" t="s">
        <v>7228</v>
      </c>
      <c r="G132" s="39" t="s">
        <v>109</v>
      </c>
      <c r="H132" s="40" t="s">
        <v>440</v>
      </c>
      <c r="I132" s="40" t="s">
        <v>104</v>
      </c>
      <c r="J132" s="50"/>
      <c r="K132" s="116">
        <f>IFERROR(VLOOKUP(B132,BD_CONTROL!$A$5:$M$4235,11,0),"")</f>
        <v>0</v>
      </c>
      <c r="L132" s="117">
        <f>IFERROR(VLOOKUP(B132,BD_CONTROL!$A$5:$M$4235,12,0),"")</f>
        <v>0</v>
      </c>
      <c r="M132" s="118">
        <f>IFERROR(VLOOKUP(B132,BD_CONTROL!$A$5:$M$4235,13,0),"")</f>
        <v>0</v>
      </c>
    </row>
    <row r="133" spans="1:13" ht="15" customHeight="1">
      <c r="A133" s="42">
        <v>128</v>
      </c>
      <c r="B133" s="42" t="s">
        <v>7229</v>
      </c>
      <c r="C133" s="43" t="s">
        <v>7230</v>
      </c>
      <c r="D133" s="42" t="s">
        <v>7142</v>
      </c>
      <c r="E133" s="43" t="s">
        <v>7231</v>
      </c>
      <c r="F133" s="43" t="s">
        <v>7231</v>
      </c>
      <c r="G133" s="42" t="s">
        <v>102</v>
      </c>
      <c r="H133" s="43" t="s">
        <v>440</v>
      </c>
      <c r="I133" s="43" t="s">
        <v>104</v>
      </c>
      <c r="J133" s="55"/>
      <c r="K133" s="119">
        <f>IFERROR(VLOOKUP(B133,BD_CONTROL!$A$5:$M$4235,11,0),"")</f>
        <v>0</v>
      </c>
      <c r="L133" s="120">
        <f>IFERROR(VLOOKUP(B133,BD_CONTROL!$A$5:$M$4235,12,0),"")</f>
        <v>0</v>
      </c>
      <c r="M133" s="121">
        <f>IFERROR(VLOOKUP(B133,BD_CONTROL!$A$5:$M$4235,13,0),"")</f>
        <v>0</v>
      </c>
    </row>
    <row r="134" spans="1:13" ht="15" customHeight="1">
      <c r="A134" s="39">
        <v>129</v>
      </c>
      <c r="B134" s="39" t="s">
        <v>7232</v>
      </c>
      <c r="C134" s="40" t="s">
        <v>7233</v>
      </c>
      <c r="D134" s="39" t="s">
        <v>7142</v>
      </c>
      <c r="E134" s="40" t="s">
        <v>521</v>
      </c>
      <c r="F134" s="40" t="s">
        <v>7234</v>
      </c>
      <c r="G134" s="39" t="s">
        <v>109</v>
      </c>
      <c r="H134" s="40" t="s">
        <v>440</v>
      </c>
      <c r="I134" s="40" t="s">
        <v>104</v>
      </c>
      <c r="J134" s="50"/>
      <c r="K134" s="116">
        <f>IFERROR(VLOOKUP(B134,BD_CONTROL!$A$5:$M$4235,11,0),"")</f>
        <v>0</v>
      </c>
      <c r="L134" s="117">
        <f>IFERROR(VLOOKUP(B134,BD_CONTROL!$A$5:$M$4235,12,0),"")</f>
        <v>0</v>
      </c>
      <c r="M134" s="118">
        <f>IFERROR(VLOOKUP(B134,BD_CONTROL!$A$5:$M$4235,13,0),"")</f>
        <v>0</v>
      </c>
    </row>
    <row r="135" spans="1:13" ht="15" customHeight="1">
      <c r="A135" s="42">
        <v>130</v>
      </c>
      <c r="B135" s="42" t="s">
        <v>7235</v>
      </c>
      <c r="C135" s="43" t="s">
        <v>7236</v>
      </c>
      <c r="D135" s="42" t="s">
        <v>7142</v>
      </c>
      <c r="E135" s="43" t="s">
        <v>7157</v>
      </c>
      <c r="F135" s="43" t="s">
        <v>7237</v>
      </c>
      <c r="G135" s="42" t="s">
        <v>109</v>
      </c>
      <c r="H135" s="43" t="s">
        <v>440</v>
      </c>
      <c r="I135" s="43" t="s">
        <v>104</v>
      </c>
      <c r="J135" s="55"/>
      <c r="K135" s="119">
        <f>IFERROR(VLOOKUP(B135,BD_CONTROL!$A$5:$M$4235,11,0),"")</f>
        <v>0</v>
      </c>
      <c r="L135" s="120">
        <f>IFERROR(VLOOKUP(B135,BD_CONTROL!$A$5:$M$4235,12,0),"")</f>
        <v>0</v>
      </c>
      <c r="M135" s="121">
        <f>IFERROR(VLOOKUP(B135,BD_CONTROL!$A$5:$M$4235,13,0),"")</f>
        <v>0</v>
      </c>
    </row>
    <row r="136" spans="1:13" ht="15" customHeight="1">
      <c r="A136" s="39">
        <v>131</v>
      </c>
      <c r="B136" s="39" t="s">
        <v>7238</v>
      </c>
      <c r="C136" s="40" t="s">
        <v>7239</v>
      </c>
      <c r="D136" s="39" t="s">
        <v>7142</v>
      </c>
      <c r="E136" s="40" t="s">
        <v>6454</v>
      </c>
      <c r="F136" s="40" t="s">
        <v>7240</v>
      </c>
      <c r="G136" s="39" t="s">
        <v>109</v>
      </c>
      <c r="H136" s="40" t="s">
        <v>440</v>
      </c>
      <c r="I136" s="40" t="s">
        <v>104</v>
      </c>
      <c r="J136" s="50"/>
      <c r="K136" s="116">
        <f>IFERROR(VLOOKUP(B136,BD_CONTROL!$A$5:$M$4235,11,0),"")</f>
        <v>0</v>
      </c>
      <c r="L136" s="117">
        <f>IFERROR(VLOOKUP(B136,BD_CONTROL!$A$5:$M$4235,12,0),"")</f>
        <v>0</v>
      </c>
      <c r="M136" s="118">
        <f>IFERROR(VLOOKUP(B136,BD_CONTROL!$A$5:$M$4235,13,0),"")</f>
        <v>0</v>
      </c>
    </row>
    <row r="137" spans="1:13" ht="15" customHeight="1">
      <c r="A137" s="42">
        <v>132</v>
      </c>
      <c r="B137" s="42" t="s">
        <v>7241</v>
      </c>
      <c r="C137" s="43" t="s">
        <v>7242</v>
      </c>
      <c r="D137" s="42" t="s">
        <v>7142</v>
      </c>
      <c r="E137" s="43" t="s">
        <v>7143</v>
      </c>
      <c r="F137" s="43" t="s">
        <v>7143</v>
      </c>
      <c r="G137" s="42" t="s">
        <v>109</v>
      </c>
      <c r="H137" s="43" t="s">
        <v>440</v>
      </c>
      <c r="I137" s="43" t="s">
        <v>104</v>
      </c>
      <c r="J137" s="55"/>
      <c r="K137" s="119">
        <f>IFERROR(VLOOKUP(B137,BD_CONTROL!$A$5:$M$4235,11,0),"")</f>
        <v>0</v>
      </c>
      <c r="L137" s="120">
        <f>IFERROR(VLOOKUP(B137,BD_CONTROL!$A$5:$M$4235,12,0),"")</f>
        <v>0</v>
      </c>
      <c r="M137" s="121">
        <f>IFERROR(VLOOKUP(B137,BD_CONTROL!$A$5:$M$4235,13,0),"")</f>
        <v>0</v>
      </c>
    </row>
    <row r="138" spans="1:13" ht="15" customHeight="1">
      <c r="A138" s="39">
        <v>133</v>
      </c>
      <c r="B138" s="39" t="s">
        <v>7243</v>
      </c>
      <c r="C138" s="40" t="s">
        <v>7244</v>
      </c>
      <c r="D138" s="39" t="s">
        <v>7142</v>
      </c>
      <c r="E138" s="40" t="s">
        <v>521</v>
      </c>
      <c r="F138" s="40" t="s">
        <v>7245</v>
      </c>
      <c r="G138" s="39" t="s">
        <v>109</v>
      </c>
      <c r="H138" s="40" t="s">
        <v>440</v>
      </c>
      <c r="I138" s="40" t="s">
        <v>104</v>
      </c>
      <c r="J138" s="50"/>
      <c r="K138" s="116">
        <f>IFERROR(VLOOKUP(B138,BD_CONTROL!$A$5:$M$4235,11,0),"")</f>
        <v>0</v>
      </c>
      <c r="L138" s="117">
        <f>IFERROR(VLOOKUP(B138,BD_CONTROL!$A$5:$M$4235,12,0),"")</f>
        <v>0</v>
      </c>
      <c r="M138" s="118">
        <f>IFERROR(VLOOKUP(B138,BD_CONTROL!$A$5:$M$4235,13,0),"")</f>
        <v>0</v>
      </c>
    </row>
    <row r="139" spans="1:13" ht="15" customHeight="1">
      <c r="A139" s="42">
        <v>134</v>
      </c>
      <c r="B139" s="42" t="s">
        <v>7246</v>
      </c>
      <c r="C139" s="43" t="s">
        <v>7247</v>
      </c>
      <c r="D139" s="42" t="s">
        <v>7142</v>
      </c>
      <c r="E139" s="43" t="s">
        <v>7248</v>
      </c>
      <c r="F139" s="43" t="s">
        <v>7249</v>
      </c>
      <c r="G139" s="42" t="s">
        <v>109</v>
      </c>
      <c r="H139" s="43" t="s">
        <v>440</v>
      </c>
      <c r="I139" s="43" t="s">
        <v>104</v>
      </c>
      <c r="J139" s="55"/>
      <c r="K139" s="119">
        <f>IFERROR(VLOOKUP(B139,BD_CONTROL!$A$5:$M$4235,11,0),"")</f>
        <v>0</v>
      </c>
      <c r="L139" s="120">
        <f>IFERROR(VLOOKUP(B139,BD_CONTROL!$A$5:$M$4235,12,0),"")</f>
        <v>0</v>
      </c>
      <c r="M139" s="121">
        <f>IFERROR(VLOOKUP(B139,BD_CONTROL!$A$5:$M$4235,13,0),"")</f>
        <v>0</v>
      </c>
    </row>
    <row r="140" spans="1:13" ht="15" customHeight="1">
      <c r="A140" s="39">
        <v>135</v>
      </c>
      <c r="B140" s="39" t="s">
        <v>7250</v>
      </c>
      <c r="C140" s="40" t="s">
        <v>7251</v>
      </c>
      <c r="D140" s="39" t="s">
        <v>7142</v>
      </c>
      <c r="E140" s="40" t="s">
        <v>457</v>
      </c>
      <c r="F140" s="40" t="s">
        <v>7252</v>
      </c>
      <c r="G140" s="39" t="s">
        <v>102</v>
      </c>
      <c r="H140" s="40" t="s">
        <v>440</v>
      </c>
      <c r="I140" s="40" t="s">
        <v>104</v>
      </c>
      <c r="J140" s="50"/>
      <c r="K140" s="116">
        <f>IFERROR(VLOOKUP(B140,BD_CONTROL!$A$5:$M$4235,11,0),"")</f>
        <v>0</v>
      </c>
      <c r="L140" s="117">
        <f>IFERROR(VLOOKUP(B140,BD_CONTROL!$A$5:$M$4235,12,0),"")</f>
        <v>0</v>
      </c>
      <c r="M140" s="118">
        <f>IFERROR(VLOOKUP(B140,BD_CONTROL!$A$5:$M$4235,13,0),"")</f>
        <v>0</v>
      </c>
    </row>
    <row r="141" spans="1:13" ht="15" customHeight="1">
      <c r="A141" s="42">
        <v>136</v>
      </c>
      <c r="B141" s="42" t="s">
        <v>7253</v>
      </c>
      <c r="C141" s="43" t="s">
        <v>798</v>
      </c>
      <c r="D141" s="42" t="s">
        <v>7142</v>
      </c>
      <c r="E141" s="43" t="s">
        <v>457</v>
      </c>
      <c r="F141" s="43" t="s">
        <v>457</v>
      </c>
      <c r="G141" s="42" t="s">
        <v>102</v>
      </c>
      <c r="H141" s="43" t="s">
        <v>440</v>
      </c>
      <c r="I141" s="43" t="s">
        <v>104</v>
      </c>
      <c r="J141" s="55"/>
      <c r="K141" s="119">
        <f>IFERROR(VLOOKUP(B141,BD_CONTROL!$A$5:$M$4235,11,0),"")</f>
        <v>0</v>
      </c>
      <c r="L141" s="120">
        <f>IFERROR(VLOOKUP(B141,BD_CONTROL!$A$5:$M$4235,12,0),"")</f>
        <v>0</v>
      </c>
      <c r="M141" s="121">
        <f>IFERROR(VLOOKUP(B141,BD_CONTROL!$A$5:$M$4235,13,0),"")</f>
        <v>0</v>
      </c>
    </row>
    <row r="142" spans="1:13" ht="15" customHeight="1">
      <c r="A142" s="39">
        <v>137</v>
      </c>
      <c r="B142" s="39" t="s">
        <v>7254</v>
      </c>
      <c r="C142" s="40" t="s">
        <v>7255</v>
      </c>
      <c r="D142" s="39" t="s">
        <v>7142</v>
      </c>
      <c r="E142" s="40" t="s">
        <v>7143</v>
      </c>
      <c r="F142" s="40" t="s">
        <v>7256</v>
      </c>
      <c r="G142" s="39" t="s">
        <v>109</v>
      </c>
      <c r="H142" s="40" t="s">
        <v>440</v>
      </c>
      <c r="I142" s="40" t="s">
        <v>104</v>
      </c>
      <c r="J142" s="50"/>
      <c r="K142" s="116">
        <f>IFERROR(VLOOKUP(B142,BD_CONTROL!$A$5:$M$4235,11,0),"")</f>
        <v>0</v>
      </c>
      <c r="L142" s="117">
        <f>IFERROR(VLOOKUP(B142,BD_CONTROL!$A$5:$M$4235,12,0),"")</f>
        <v>0</v>
      </c>
      <c r="M142" s="118">
        <f>IFERROR(VLOOKUP(B142,BD_CONTROL!$A$5:$M$4235,13,0),"")</f>
        <v>0</v>
      </c>
    </row>
    <row r="143" spans="1:13" ht="15" customHeight="1">
      <c r="A143" s="42">
        <v>138</v>
      </c>
      <c r="B143" s="42" t="s">
        <v>7257</v>
      </c>
      <c r="C143" s="43" t="s">
        <v>7258</v>
      </c>
      <c r="D143" s="42" t="s">
        <v>7142</v>
      </c>
      <c r="E143" s="43" t="s">
        <v>521</v>
      </c>
      <c r="F143" s="43" t="s">
        <v>7259</v>
      </c>
      <c r="G143" s="42" t="s">
        <v>102</v>
      </c>
      <c r="H143" s="43" t="s">
        <v>440</v>
      </c>
      <c r="I143" s="43" t="s">
        <v>104</v>
      </c>
      <c r="J143" s="55"/>
      <c r="K143" s="119">
        <f>IFERROR(VLOOKUP(B143,BD_CONTROL!$A$5:$M$4235,11,0),"")</f>
        <v>0</v>
      </c>
      <c r="L143" s="120">
        <f>IFERROR(VLOOKUP(B143,BD_CONTROL!$A$5:$M$4235,12,0),"")</f>
        <v>0</v>
      </c>
      <c r="M143" s="121">
        <f>IFERROR(VLOOKUP(B143,BD_CONTROL!$A$5:$M$4235,13,0),"")</f>
        <v>0</v>
      </c>
    </row>
    <row r="144" spans="1:13" ht="15" customHeight="1">
      <c r="A144" s="39">
        <v>139</v>
      </c>
      <c r="B144" s="39" t="s">
        <v>7260</v>
      </c>
      <c r="C144" s="40" t="s">
        <v>7261</v>
      </c>
      <c r="D144" s="39" t="s">
        <v>7142</v>
      </c>
      <c r="E144" s="40" t="s">
        <v>7262</v>
      </c>
      <c r="F144" s="40" t="s">
        <v>205</v>
      </c>
      <c r="G144" s="39" t="s">
        <v>109</v>
      </c>
      <c r="H144" s="40" t="s">
        <v>440</v>
      </c>
      <c r="I144" s="40" t="s">
        <v>104</v>
      </c>
      <c r="J144" s="50"/>
      <c r="K144" s="116">
        <f>IFERROR(VLOOKUP(B144,BD_CONTROL!$A$5:$M$4235,11,0),"")</f>
        <v>0</v>
      </c>
      <c r="L144" s="117">
        <f>IFERROR(VLOOKUP(B144,BD_CONTROL!$A$5:$M$4235,12,0),"")</f>
        <v>0</v>
      </c>
      <c r="M144" s="118">
        <f>IFERROR(VLOOKUP(B144,BD_CONTROL!$A$5:$M$4235,13,0),"")</f>
        <v>0</v>
      </c>
    </row>
    <row r="145" spans="1:13" ht="15" customHeight="1">
      <c r="A145" s="42">
        <v>140</v>
      </c>
      <c r="B145" s="42" t="s">
        <v>7263</v>
      </c>
      <c r="C145" s="43" t="s">
        <v>7264</v>
      </c>
      <c r="D145" s="42" t="s">
        <v>7142</v>
      </c>
      <c r="E145" s="43" t="s">
        <v>1600</v>
      </c>
      <c r="F145" s="43" t="s">
        <v>7265</v>
      </c>
      <c r="G145" s="42" t="s">
        <v>109</v>
      </c>
      <c r="H145" s="43" t="s">
        <v>440</v>
      </c>
      <c r="I145" s="43" t="s">
        <v>104</v>
      </c>
      <c r="J145" s="55"/>
      <c r="K145" s="119">
        <f>IFERROR(VLOOKUP(B145,BD_CONTROL!$A$5:$M$4235,11,0),"")</f>
        <v>0</v>
      </c>
      <c r="L145" s="120">
        <f>IFERROR(VLOOKUP(B145,BD_CONTROL!$A$5:$M$4235,12,0),"")</f>
        <v>0</v>
      </c>
      <c r="M145" s="121">
        <f>IFERROR(VLOOKUP(B145,BD_CONTROL!$A$5:$M$4235,13,0),"")</f>
        <v>0</v>
      </c>
    </row>
    <row r="146" spans="1:13" ht="15" customHeight="1">
      <c r="A146" s="39">
        <v>141</v>
      </c>
      <c r="B146" s="39" t="s">
        <v>7266</v>
      </c>
      <c r="C146" s="40" t="s">
        <v>7267</v>
      </c>
      <c r="D146" s="39" t="s">
        <v>7142</v>
      </c>
      <c r="E146" s="40" t="s">
        <v>7143</v>
      </c>
      <c r="F146" s="40" t="s">
        <v>7148</v>
      </c>
      <c r="G146" s="39" t="s">
        <v>109</v>
      </c>
      <c r="H146" s="40" t="s">
        <v>440</v>
      </c>
      <c r="I146" s="40" t="s">
        <v>104</v>
      </c>
      <c r="J146" s="50"/>
      <c r="K146" s="116">
        <f>IFERROR(VLOOKUP(B146,BD_CONTROL!$A$5:$M$4235,11,0),"")</f>
        <v>0</v>
      </c>
      <c r="L146" s="117">
        <f>IFERROR(VLOOKUP(B146,BD_CONTROL!$A$5:$M$4235,12,0),"")</f>
        <v>0</v>
      </c>
      <c r="M146" s="118">
        <f>IFERROR(VLOOKUP(B146,BD_CONTROL!$A$5:$M$4235,13,0),"")</f>
        <v>0</v>
      </c>
    </row>
    <row r="147" spans="1:13" ht="15" customHeight="1">
      <c r="A147" s="42">
        <v>142</v>
      </c>
      <c r="B147" s="42" t="s">
        <v>7268</v>
      </c>
      <c r="C147" s="43" t="s">
        <v>7269</v>
      </c>
      <c r="D147" s="42" t="s">
        <v>7142</v>
      </c>
      <c r="E147" s="43" t="s">
        <v>521</v>
      </c>
      <c r="F147" s="43" t="s">
        <v>7270</v>
      </c>
      <c r="G147" s="42" t="s">
        <v>109</v>
      </c>
      <c r="H147" s="43" t="s">
        <v>440</v>
      </c>
      <c r="I147" s="43" t="s">
        <v>104</v>
      </c>
      <c r="J147" s="55"/>
      <c r="K147" s="119">
        <f>IFERROR(VLOOKUP(B147,BD_CONTROL!$A$5:$M$4235,11,0),"")</f>
        <v>0</v>
      </c>
      <c r="L147" s="120">
        <f>IFERROR(VLOOKUP(B147,BD_CONTROL!$A$5:$M$4235,12,0),"")</f>
        <v>0</v>
      </c>
      <c r="M147" s="121">
        <f>IFERROR(VLOOKUP(B147,BD_CONTROL!$A$5:$M$4235,13,0),"")</f>
        <v>0</v>
      </c>
    </row>
    <row r="148" spans="1:13" ht="15" customHeight="1">
      <c r="A148" s="39">
        <v>143</v>
      </c>
      <c r="B148" s="39" t="s">
        <v>7271</v>
      </c>
      <c r="C148" s="40" t="s">
        <v>7272</v>
      </c>
      <c r="D148" s="39" t="s">
        <v>7142</v>
      </c>
      <c r="E148" s="40" t="s">
        <v>7150</v>
      </c>
      <c r="F148" s="40" t="s">
        <v>7273</v>
      </c>
      <c r="G148" s="39" t="s">
        <v>109</v>
      </c>
      <c r="H148" s="40" t="s">
        <v>440</v>
      </c>
      <c r="I148" s="40" t="s">
        <v>104</v>
      </c>
      <c r="J148" s="50"/>
      <c r="K148" s="116" t="str">
        <f>IFERROR(VLOOKUP(B148,BD_CONTROL!$A$5:$M$4235,11,0),"")</f>
        <v>Instalado - Operando</v>
      </c>
      <c r="L148" s="117">
        <f>IFERROR(VLOOKUP(B148,BD_CONTROL!$A$5:$M$4235,12,0),"")</f>
        <v>46153</v>
      </c>
      <c r="M148" s="118">
        <f>IFERROR(VLOOKUP(B148,BD_CONTROL!$A$5:$M$4235,13,0),"")</f>
        <v>0</v>
      </c>
    </row>
    <row r="149" spans="1:13" ht="15" customHeight="1">
      <c r="A149" s="42">
        <v>144</v>
      </c>
      <c r="B149" s="42" t="s">
        <v>7274</v>
      </c>
      <c r="C149" s="43" t="s">
        <v>7275</v>
      </c>
      <c r="D149" s="42" t="s">
        <v>7142</v>
      </c>
      <c r="E149" s="43" t="s">
        <v>7177</v>
      </c>
      <c r="F149" s="43" t="s">
        <v>7276</v>
      </c>
      <c r="G149" s="42" t="s">
        <v>109</v>
      </c>
      <c r="H149" s="43" t="s">
        <v>440</v>
      </c>
      <c r="I149" s="43" t="s">
        <v>104</v>
      </c>
      <c r="J149" s="55"/>
      <c r="K149" s="119">
        <f>IFERROR(VLOOKUP(B149,BD_CONTROL!$A$5:$M$4235,11,0),"")</f>
        <v>0</v>
      </c>
      <c r="L149" s="120">
        <f>IFERROR(VLOOKUP(B149,BD_CONTROL!$A$5:$M$4235,12,0),"")</f>
        <v>0</v>
      </c>
      <c r="M149" s="121">
        <f>IFERROR(VLOOKUP(B149,BD_CONTROL!$A$5:$M$4235,13,0),"")</f>
        <v>0</v>
      </c>
    </row>
    <row r="150" spans="1:13" ht="15" customHeight="1">
      <c r="A150" s="39">
        <v>145</v>
      </c>
      <c r="B150" s="39" t="s">
        <v>7277</v>
      </c>
      <c r="C150" s="40" t="s">
        <v>7278</v>
      </c>
      <c r="D150" s="39" t="s">
        <v>7142</v>
      </c>
      <c r="E150" s="40" t="s">
        <v>1558</v>
      </c>
      <c r="F150" s="40" t="s">
        <v>7279</v>
      </c>
      <c r="G150" s="39" t="s">
        <v>109</v>
      </c>
      <c r="H150" s="40" t="s">
        <v>440</v>
      </c>
      <c r="I150" s="40" t="s">
        <v>104</v>
      </c>
      <c r="J150" s="50"/>
      <c r="K150" s="116">
        <f>IFERROR(VLOOKUP(B150,BD_CONTROL!$A$5:$M$4235,11,0),"")</f>
        <v>0</v>
      </c>
      <c r="L150" s="117">
        <f>IFERROR(VLOOKUP(B150,BD_CONTROL!$A$5:$M$4235,12,0),"")</f>
        <v>0</v>
      </c>
      <c r="M150" s="118">
        <f>IFERROR(VLOOKUP(B150,BD_CONTROL!$A$5:$M$4235,13,0),"")</f>
        <v>0</v>
      </c>
    </row>
    <row r="151" spans="1:13" ht="15" customHeight="1">
      <c r="A151" s="42">
        <v>146</v>
      </c>
      <c r="B151" s="42" t="s">
        <v>7280</v>
      </c>
      <c r="C151" s="43" t="s">
        <v>7281</v>
      </c>
      <c r="D151" s="42" t="s">
        <v>7142</v>
      </c>
      <c r="E151" s="43" t="s">
        <v>457</v>
      </c>
      <c r="F151" s="43" t="s">
        <v>7282</v>
      </c>
      <c r="G151" s="42" t="s">
        <v>109</v>
      </c>
      <c r="H151" s="43" t="s">
        <v>440</v>
      </c>
      <c r="I151" s="43" t="s">
        <v>104</v>
      </c>
      <c r="J151" s="55"/>
      <c r="K151" s="119">
        <f>IFERROR(VLOOKUP(B151,BD_CONTROL!$A$5:$M$4235,11,0),"")</f>
        <v>0</v>
      </c>
      <c r="L151" s="120">
        <f>IFERROR(VLOOKUP(B151,BD_CONTROL!$A$5:$M$4235,12,0),"")</f>
        <v>0</v>
      </c>
      <c r="M151" s="121">
        <f>IFERROR(VLOOKUP(B151,BD_CONTROL!$A$5:$M$4235,13,0),"")</f>
        <v>0</v>
      </c>
    </row>
    <row r="152" spans="1:13" ht="15" customHeight="1">
      <c r="A152" s="39">
        <v>147</v>
      </c>
      <c r="B152" s="39" t="s">
        <v>7283</v>
      </c>
      <c r="C152" s="40" t="s">
        <v>7284</v>
      </c>
      <c r="D152" s="39" t="s">
        <v>7142</v>
      </c>
      <c r="E152" s="40" t="s">
        <v>457</v>
      </c>
      <c r="F152" s="40" t="s">
        <v>7285</v>
      </c>
      <c r="G152" s="39" t="s">
        <v>109</v>
      </c>
      <c r="H152" s="40" t="s">
        <v>440</v>
      </c>
      <c r="I152" s="40" t="s">
        <v>104</v>
      </c>
      <c r="J152" s="50"/>
      <c r="K152" s="116">
        <f>IFERROR(VLOOKUP(B152,BD_CONTROL!$A$5:$M$4235,11,0),"")</f>
        <v>0</v>
      </c>
      <c r="L152" s="117">
        <f>IFERROR(VLOOKUP(B152,BD_CONTROL!$A$5:$M$4235,12,0),"")</f>
        <v>0</v>
      </c>
      <c r="M152" s="118">
        <f>IFERROR(VLOOKUP(B152,BD_CONTROL!$A$5:$M$4235,13,0),"")</f>
        <v>0</v>
      </c>
    </row>
    <row r="153" spans="1:13" ht="15" customHeight="1">
      <c r="A153" s="42">
        <v>148</v>
      </c>
      <c r="B153" s="42" t="s">
        <v>7286</v>
      </c>
      <c r="C153" s="43" t="s">
        <v>7287</v>
      </c>
      <c r="D153" s="42" t="s">
        <v>7142</v>
      </c>
      <c r="E153" s="43" t="s">
        <v>127</v>
      </c>
      <c r="F153" s="43" t="s">
        <v>7288</v>
      </c>
      <c r="G153" s="42" t="s">
        <v>109</v>
      </c>
      <c r="H153" s="43" t="s">
        <v>440</v>
      </c>
      <c r="I153" s="43" t="s">
        <v>104</v>
      </c>
      <c r="J153" s="55"/>
      <c r="K153" s="119">
        <f>IFERROR(VLOOKUP(B153,BD_CONTROL!$A$5:$M$4235,11,0),"")</f>
        <v>0</v>
      </c>
      <c r="L153" s="120">
        <f>IFERROR(VLOOKUP(B153,BD_CONTROL!$A$5:$M$4235,12,0),"")</f>
        <v>0</v>
      </c>
      <c r="M153" s="121">
        <f>IFERROR(VLOOKUP(B153,BD_CONTROL!$A$5:$M$4235,13,0),"")</f>
        <v>0</v>
      </c>
    </row>
    <row r="154" spans="1:13" ht="15" customHeight="1">
      <c r="A154" s="39">
        <v>149</v>
      </c>
      <c r="B154" s="39" t="s">
        <v>7289</v>
      </c>
      <c r="C154" s="40" t="s">
        <v>7290</v>
      </c>
      <c r="D154" s="39" t="s">
        <v>7142</v>
      </c>
      <c r="E154" s="40" t="s">
        <v>127</v>
      </c>
      <c r="F154" s="40" t="s">
        <v>7291</v>
      </c>
      <c r="G154" s="39" t="s">
        <v>109</v>
      </c>
      <c r="H154" s="40" t="s">
        <v>440</v>
      </c>
      <c r="I154" s="40" t="s">
        <v>104</v>
      </c>
      <c r="J154" s="50"/>
      <c r="K154" s="116">
        <f>IFERROR(VLOOKUP(B154,BD_CONTROL!$A$5:$M$4235,11,0),"")</f>
        <v>0</v>
      </c>
      <c r="L154" s="117">
        <f>IFERROR(VLOOKUP(B154,BD_CONTROL!$A$5:$M$4235,12,0),"")</f>
        <v>0</v>
      </c>
      <c r="M154" s="118">
        <f>IFERROR(VLOOKUP(B154,BD_CONTROL!$A$5:$M$4235,13,0),"")</f>
        <v>0</v>
      </c>
    </row>
    <row r="155" spans="1:13" ht="15" customHeight="1">
      <c r="A155" s="42">
        <v>150</v>
      </c>
      <c r="B155" s="42" t="s">
        <v>7292</v>
      </c>
      <c r="C155" s="43" t="s">
        <v>7293</v>
      </c>
      <c r="D155" s="42" t="s">
        <v>7142</v>
      </c>
      <c r="E155" s="43" t="s">
        <v>1600</v>
      </c>
      <c r="F155" s="43" t="s">
        <v>7294</v>
      </c>
      <c r="G155" s="42" t="s">
        <v>109</v>
      </c>
      <c r="H155" s="43" t="s">
        <v>440</v>
      </c>
      <c r="I155" s="43" t="s">
        <v>104</v>
      </c>
      <c r="J155" s="55"/>
      <c r="K155" s="119">
        <f>IFERROR(VLOOKUP(B155,BD_CONTROL!$A$5:$M$4235,11,0),"")</f>
        <v>0</v>
      </c>
      <c r="L155" s="120">
        <f>IFERROR(VLOOKUP(B155,BD_CONTROL!$A$5:$M$4235,12,0),"")</f>
        <v>0</v>
      </c>
      <c r="M155" s="121">
        <f>IFERROR(VLOOKUP(B155,BD_CONTROL!$A$5:$M$4235,13,0),"")</f>
        <v>0</v>
      </c>
    </row>
    <row r="156" spans="1:13" ht="15" customHeight="1">
      <c r="A156" s="39">
        <v>151</v>
      </c>
      <c r="B156" s="39" t="s">
        <v>7295</v>
      </c>
      <c r="C156" s="40" t="s">
        <v>7296</v>
      </c>
      <c r="D156" s="39" t="s">
        <v>7142</v>
      </c>
      <c r="E156" s="40" t="s">
        <v>1600</v>
      </c>
      <c r="F156" s="40" t="s">
        <v>7297</v>
      </c>
      <c r="G156" s="39" t="s">
        <v>109</v>
      </c>
      <c r="H156" s="40" t="s">
        <v>440</v>
      </c>
      <c r="I156" s="40" t="s">
        <v>104</v>
      </c>
      <c r="J156" s="50"/>
      <c r="K156" s="116">
        <f>IFERROR(VLOOKUP(B156,BD_CONTROL!$A$5:$M$4235,11,0),"")</f>
        <v>0</v>
      </c>
      <c r="L156" s="117">
        <f>IFERROR(VLOOKUP(B156,BD_CONTROL!$A$5:$M$4235,12,0),"")</f>
        <v>0</v>
      </c>
      <c r="M156" s="118">
        <f>IFERROR(VLOOKUP(B156,BD_CONTROL!$A$5:$M$4235,13,0),"")</f>
        <v>0</v>
      </c>
    </row>
    <row r="157" spans="1:13" ht="15" customHeight="1">
      <c r="A157" s="42">
        <v>152</v>
      </c>
      <c r="B157" s="42" t="s">
        <v>7298</v>
      </c>
      <c r="C157" s="43" t="s">
        <v>7299</v>
      </c>
      <c r="D157" s="42" t="s">
        <v>7142</v>
      </c>
      <c r="E157" s="43" t="s">
        <v>7143</v>
      </c>
      <c r="F157" s="43" t="s">
        <v>7256</v>
      </c>
      <c r="G157" s="42" t="s">
        <v>109</v>
      </c>
      <c r="H157" s="43" t="s">
        <v>440</v>
      </c>
      <c r="I157" s="43" t="s">
        <v>104</v>
      </c>
      <c r="J157" s="55"/>
      <c r="K157" s="119">
        <f>IFERROR(VLOOKUP(B157,BD_CONTROL!$A$5:$M$4235,11,0),"")</f>
        <v>0</v>
      </c>
      <c r="L157" s="120">
        <f>IFERROR(VLOOKUP(B157,BD_CONTROL!$A$5:$M$4235,12,0),"")</f>
        <v>0</v>
      </c>
      <c r="M157" s="121">
        <f>IFERROR(VLOOKUP(B157,BD_CONTROL!$A$5:$M$4235,13,0),"")</f>
        <v>0</v>
      </c>
    </row>
    <row r="158" spans="1:13" ht="15" customHeight="1">
      <c r="A158" s="39">
        <v>153</v>
      </c>
      <c r="B158" s="39" t="s">
        <v>7300</v>
      </c>
      <c r="C158" s="40" t="s">
        <v>7301</v>
      </c>
      <c r="D158" s="39" t="s">
        <v>7142</v>
      </c>
      <c r="E158" s="40" t="s">
        <v>457</v>
      </c>
      <c r="F158" s="40" t="s">
        <v>7302</v>
      </c>
      <c r="G158" s="39" t="s">
        <v>109</v>
      </c>
      <c r="H158" s="40" t="s">
        <v>440</v>
      </c>
      <c r="I158" s="40" t="s">
        <v>104</v>
      </c>
      <c r="J158" s="50"/>
      <c r="K158" s="116">
        <f>IFERROR(VLOOKUP(B158,BD_CONTROL!$A$5:$M$4235,11,0),"")</f>
        <v>0</v>
      </c>
      <c r="L158" s="117">
        <f>IFERROR(VLOOKUP(B158,BD_CONTROL!$A$5:$M$4235,12,0),"")</f>
        <v>0</v>
      </c>
      <c r="M158" s="118">
        <f>IFERROR(VLOOKUP(B158,BD_CONTROL!$A$5:$M$4235,13,0),"")</f>
        <v>0</v>
      </c>
    </row>
    <row r="159" spans="1:13" ht="15" customHeight="1">
      <c r="A159" s="42">
        <v>154</v>
      </c>
      <c r="B159" s="42" t="s">
        <v>7303</v>
      </c>
      <c r="C159" s="43" t="s">
        <v>5006</v>
      </c>
      <c r="D159" s="42" t="s">
        <v>7142</v>
      </c>
      <c r="E159" s="43" t="s">
        <v>7172</v>
      </c>
      <c r="F159" s="43" t="s">
        <v>7304</v>
      </c>
      <c r="G159" s="42" t="s">
        <v>109</v>
      </c>
      <c r="H159" s="43" t="s">
        <v>440</v>
      </c>
      <c r="I159" s="43" t="s">
        <v>104</v>
      </c>
      <c r="J159" s="55"/>
      <c r="K159" s="119">
        <f>IFERROR(VLOOKUP(B159,BD_CONTROL!$A$5:$M$4235,11,0),"")</f>
        <v>0</v>
      </c>
      <c r="L159" s="120">
        <f>IFERROR(VLOOKUP(B159,BD_CONTROL!$A$5:$M$4235,12,0),"")</f>
        <v>0</v>
      </c>
      <c r="M159" s="121">
        <f>IFERROR(VLOOKUP(B159,BD_CONTROL!$A$5:$M$4235,13,0),"")</f>
        <v>0</v>
      </c>
    </row>
    <row r="160" spans="1:13" ht="15" customHeight="1">
      <c r="A160" s="39">
        <v>155</v>
      </c>
      <c r="B160" s="39" t="s">
        <v>7305</v>
      </c>
      <c r="C160" s="40" t="s">
        <v>7306</v>
      </c>
      <c r="D160" s="39" t="s">
        <v>7142</v>
      </c>
      <c r="E160" s="40" t="s">
        <v>3260</v>
      </c>
      <c r="F160" s="40" t="s">
        <v>7307</v>
      </c>
      <c r="G160" s="39" t="s">
        <v>109</v>
      </c>
      <c r="H160" s="40" t="s">
        <v>440</v>
      </c>
      <c r="I160" s="40" t="s">
        <v>104</v>
      </c>
      <c r="J160" s="50"/>
      <c r="K160" s="116">
        <f>IFERROR(VLOOKUP(B160,BD_CONTROL!$A$5:$M$4235,11,0),"")</f>
        <v>0</v>
      </c>
      <c r="L160" s="117">
        <f>IFERROR(VLOOKUP(B160,BD_CONTROL!$A$5:$M$4235,12,0),"")</f>
        <v>0</v>
      </c>
      <c r="M160" s="118">
        <f>IFERROR(VLOOKUP(B160,BD_CONTROL!$A$5:$M$4235,13,0),"")</f>
        <v>0</v>
      </c>
    </row>
    <row r="161" spans="1:13" ht="15" customHeight="1">
      <c r="A161" s="42">
        <v>156</v>
      </c>
      <c r="B161" s="42" t="s">
        <v>8861</v>
      </c>
      <c r="C161" s="43" t="s">
        <v>6735</v>
      </c>
      <c r="D161" s="42" t="s">
        <v>7142</v>
      </c>
      <c r="E161" s="43" t="s">
        <v>1558</v>
      </c>
      <c r="F161" s="43" t="s">
        <v>1558</v>
      </c>
      <c r="G161" s="42" t="s">
        <v>6739</v>
      </c>
      <c r="H161" s="43" t="s">
        <v>440</v>
      </c>
      <c r="I161" s="43" t="s">
        <v>6741</v>
      </c>
      <c r="J161" s="55"/>
      <c r="K161" s="119">
        <f>IFERROR(VLOOKUP(B161,BD_CONTROL!$A$5:$M$4235,11,0),"")</f>
        <v>0</v>
      </c>
      <c r="L161" s="120">
        <f>IFERROR(VLOOKUP(B161,BD_CONTROL!$A$5:$M$4235,12,0),"")</f>
        <v>0</v>
      </c>
      <c r="M161" s="121">
        <f>IFERROR(VLOOKUP(B161,BD_CONTROL!$A$5:$M$4235,13,0),"")</f>
        <v>0</v>
      </c>
    </row>
    <row r="162" spans="1:13" ht="15" customHeight="1">
      <c r="A162" s="39">
        <v>157</v>
      </c>
      <c r="B162" s="39" t="s">
        <v>8862</v>
      </c>
      <c r="C162" s="40" t="s">
        <v>6735</v>
      </c>
      <c r="D162" s="39" t="s">
        <v>7142</v>
      </c>
      <c r="E162" s="40" t="s">
        <v>1558</v>
      </c>
      <c r="F162" s="40" t="s">
        <v>1558</v>
      </c>
      <c r="G162" s="39" t="s">
        <v>6739</v>
      </c>
      <c r="H162" s="40" t="s">
        <v>440</v>
      </c>
      <c r="I162" s="40" t="s">
        <v>6741</v>
      </c>
      <c r="J162" s="50"/>
      <c r="K162" s="116">
        <f>IFERROR(VLOOKUP(B162,BD_CONTROL!$A$5:$M$4235,11,0),"")</f>
        <v>0</v>
      </c>
      <c r="L162" s="117">
        <f>IFERROR(VLOOKUP(B162,BD_CONTROL!$A$5:$M$4235,12,0),"")</f>
        <v>0</v>
      </c>
      <c r="M162" s="118">
        <f>IFERROR(VLOOKUP(B162,BD_CONTROL!$A$5:$M$4235,13,0),"")</f>
        <v>0</v>
      </c>
    </row>
    <row r="163" spans="1:13" ht="15" customHeight="1">
      <c r="A163" s="42">
        <v>158</v>
      </c>
      <c r="B163" s="42" t="s">
        <v>8863</v>
      </c>
      <c r="C163" s="43" t="s">
        <v>6735</v>
      </c>
      <c r="D163" s="42" t="s">
        <v>7142</v>
      </c>
      <c r="E163" s="43" t="s">
        <v>8864</v>
      </c>
      <c r="F163" s="43" t="s">
        <v>1086</v>
      </c>
      <c r="G163" s="42" t="s">
        <v>6739</v>
      </c>
      <c r="H163" s="43" t="s">
        <v>440</v>
      </c>
      <c r="I163" s="43" t="s">
        <v>6741</v>
      </c>
      <c r="J163" s="55"/>
      <c r="K163" s="119">
        <f>IFERROR(VLOOKUP(B163,BD_CONTROL!$A$5:$M$4235,11,0),"")</f>
        <v>0</v>
      </c>
      <c r="L163" s="120">
        <f>IFERROR(VLOOKUP(B163,BD_CONTROL!$A$5:$M$4235,12,0),"")</f>
        <v>0</v>
      </c>
      <c r="M163" s="121">
        <f>IFERROR(VLOOKUP(B163,BD_CONTROL!$A$5:$M$4235,13,0),"")</f>
        <v>0</v>
      </c>
    </row>
    <row r="164" spans="1:13" ht="15" customHeight="1">
      <c r="A164" s="39">
        <v>159</v>
      </c>
      <c r="B164" s="39" t="s">
        <v>8865</v>
      </c>
      <c r="C164" s="40" t="s">
        <v>6735</v>
      </c>
      <c r="D164" s="39" t="s">
        <v>7142</v>
      </c>
      <c r="E164" s="40" t="s">
        <v>8866</v>
      </c>
      <c r="F164" s="40" t="s">
        <v>8867</v>
      </c>
      <c r="G164" s="39" t="s">
        <v>6739</v>
      </c>
      <c r="H164" s="40" t="s">
        <v>440</v>
      </c>
      <c r="I164" s="40" t="s">
        <v>6741</v>
      </c>
      <c r="J164" s="50"/>
      <c r="K164" s="116">
        <f>IFERROR(VLOOKUP(B164,BD_CONTROL!$A$5:$M$4235,11,0),"")</f>
        <v>0</v>
      </c>
      <c r="L164" s="117">
        <f>IFERROR(VLOOKUP(B164,BD_CONTROL!$A$5:$M$4235,12,0),"")</f>
        <v>0</v>
      </c>
      <c r="M164" s="118">
        <f>IFERROR(VLOOKUP(B164,BD_CONTROL!$A$5:$M$4235,13,0),"")</f>
        <v>0</v>
      </c>
    </row>
    <row r="165" spans="1:13" ht="15" customHeight="1">
      <c r="A165" s="42">
        <v>160</v>
      </c>
      <c r="B165" s="42" t="s">
        <v>8868</v>
      </c>
      <c r="C165" s="43" t="s">
        <v>6735</v>
      </c>
      <c r="D165" s="42" t="s">
        <v>7142</v>
      </c>
      <c r="E165" s="43" t="s">
        <v>7172</v>
      </c>
      <c r="F165" s="43" t="s">
        <v>7172</v>
      </c>
      <c r="G165" s="42" t="s">
        <v>6739</v>
      </c>
      <c r="H165" s="43" t="s">
        <v>440</v>
      </c>
      <c r="I165" s="43" t="s">
        <v>6741</v>
      </c>
      <c r="J165" s="55"/>
      <c r="K165" s="119">
        <f>IFERROR(VLOOKUP(B165,BD_CONTROL!$A$5:$M$4235,11,0),"")</f>
        <v>0</v>
      </c>
      <c r="L165" s="120">
        <f>IFERROR(VLOOKUP(B165,BD_CONTROL!$A$5:$M$4235,12,0),"")</f>
        <v>0</v>
      </c>
      <c r="M165" s="121">
        <f>IFERROR(VLOOKUP(B165,BD_CONTROL!$A$5:$M$4235,13,0),"")</f>
        <v>0</v>
      </c>
    </row>
    <row r="166" spans="1:13" ht="15" customHeight="1">
      <c r="A166" s="39">
        <v>161</v>
      </c>
      <c r="B166" s="39" t="s">
        <v>8869</v>
      </c>
      <c r="C166" s="40" t="s">
        <v>6735</v>
      </c>
      <c r="D166" s="39" t="s">
        <v>7142</v>
      </c>
      <c r="E166" s="40" t="s">
        <v>7157</v>
      </c>
      <c r="F166" s="40" t="s">
        <v>7221</v>
      </c>
      <c r="G166" s="39" t="s">
        <v>6739</v>
      </c>
      <c r="H166" s="40" t="s">
        <v>440</v>
      </c>
      <c r="I166" s="40" t="s">
        <v>6741</v>
      </c>
      <c r="J166" s="50"/>
      <c r="K166" s="116">
        <f>IFERROR(VLOOKUP(B166,BD_CONTROL!$A$5:$M$4235,11,0),"")</f>
        <v>0</v>
      </c>
      <c r="L166" s="117">
        <f>IFERROR(VLOOKUP(B166,BD_CONTROL!$A$5:$M$4235,12,0),"")</f>
        <v>0</v>
      </c>
      <c r="M166" s="118">
        <f>IFERROR(VLOOKUP(B166,BD_CONTROL!$A$5:$M$4235,13,0),"")</f>
        <v>0</v>
      </c>
    </row>
    <row r="167" spans="1:13" ht="15" customHeight="1">
      <c r="A167" s="42">
        <v>162</v>
      </c>
      <c r="B167" s="42" t="s">
        <v>8870</v>
      </c>
      <c r="C167" s="43" t="s">
        <v>6735</v>
      </c>
      <c r="D167" s="42" t="s">
        <v>7142</v>
      </c>
      <c r="E167" s="43" t="s">
        <v>521</v>
      </c>
      <c r="F167" s="43" t="s">
        <v>7259</v>
      </c>
      <c r="G167" s="42" t="s">
        <v>6739</v>
      </c>
      <c r="H167" s="43" t="s">
        <v>440</v>
      </c>
      <c r="I167" s="43" t="s">
        <v>6741</v>
      </c>
      <c r="J167" s="55"/>
      <c r="K167" s="119">
        <f>IFERROR(VLOOKUP(B167,BD_CONTROL!$A$5:$M$4235,11,0),"")</f>
        <v>0</v>
      </c>
      <c r="L167" s="120">
        <f>IFERROR(VLOOKUP(B167,BD_CONTROL!$A$5:$M$4235,12,0),"")</f>
        <v>0</v>
      </c>
      <c r="M167" s="121">
        <f>IFERROR(VLOOKUP(B167,BD_CONTROL!$A$5:$M$4235,13,0),"")</f>
        <v>0</v>
      </c>
    </row>
    <row r="168" spans="1:13" ht="15" customHeight="1">
      <c r="A168" s="39">
        <v>163</v>
      </c>
      <c r="B168" s="39" t="s">
        <v>8871</v>
      </c>
      <c r="C168" s="40" t="s">
        <v>6735</v>
      </c>
      <c r="D168" s="39" t="s">
        <v>7142</v>
      </c>
      <c r="E168" s="40" t="s">
        <v>521</v>
      </c>
      <c r="F168" s="40" t="s">
        <v>7259</v>
      </c>
      <c r="G168" s="39" t="s">
        <v>6739</v>
      </c>
      <c r="H168" s="40" t="s">
        <v>440</v>
      </c>
      <c r="I168" s="40" t="s">
        <v>6741</v>
      </c>
      <c r="J168" s="50"/>
      <c r="K168" s="116">
        <f>IFERROR(VLOOKUP(B168,BD_CONTROL!$A$5:$M$4235,11,0),"")</f>
        <v>0</v>
      </c>
      <c r="L168" s="117">
        <f>IFERROR(VLOOKUP(B168,BD_CONTROL!$A$5:$M$4235,12,0),"")</f>
        <v>0</v>
      </c>
      <c r="M168" s="118">
        <f>IFERROR(VLOOKUP(B168,BD_CONTROL!$A$5:$M$4235,13,0),"")</f>
        <v>0</v>
      </c>
    </row>
    <row r="169" spans="1:13" ht="15" customHeight="1">
      <c r="A169" s="42">
        <v>164</v>
      </c>
      <c r="B169" s="42" t="s">
        <v>8872</v>
      </c>
      <c r="C169" s="43" t="s">
        <v>6735</v>
      </c>
      <c r="D169" s="42" t="s">
        <v>7142</v>
      </c>
      <c r="E169" s="43" t="s">
        <v>521</v>
      </c>
      <c r="F169" s="43" t="s">
        <v>7259</v>
      </c>
      <c r="G169" s="42" t="s">
        <v>6739</v>
      </c>
      <c r="H169" s="43" t="s">
        <v>440</v>
      </c>
      <c r="I169" s="43" t="s">
        <v>6741</v>
      </c>
      <c r="J169" s="55"/>
      <c r="K169" s="119">
        <f>IFERROR(VLOOKUP(B169,BD_CONTROL!$A$5:$M$4235,11,0),"")</f>
        <v>0</v>
      </c>
      <c r="L169" s="120">
        <f>IFERROR(VLOOKUP(B169,BD_CONTROL!$A$5:$M$4235,12,0),"")</f>
        <v>0</v>
      </c>
      <c r="M169" s="121">
        <f>IFERROR(VLOOKUP(B169,BD_CONTROL!$A$5:$M$4235,13,0),"")</f>
        <v>0</v>
      </c>
    </row>
    <row r="170" spans="1:13" ht="15" customHeight="1">
      <c r="A170" s="39">
        <v>165</v>
      </c>
      <c r="B170" s="39" t="s">
        <v>8873</v>
      </c>
      <c r="C170" s="40" t="s">
        <v>6735</v>
      </c>
      <c r="D170" s="39" t="s">
        <v>7142</v>
      </c>
      <c r="E170" s="40" t="s">
        <v>521</v>
      </c>
      <c r="F170" s="40" t="s">
        <v>7259</v>
      </c>
      <c r="G170" s="39" t="s">
        <v>6739</v>
      </c>
      <c r="H170" s="40" t="s">
        <v>440</v>
      </c>
      <c r="I170" s="40" t="s">
        <v>6741</v>
      </c>
      <c r="J170" s="50"/>
      <c r="K170" s="116">
        <f>IFERROR(VLOOKUP(B170,BD_CONTROL!$A$5:$M$4235,11,0),"")</f>
        <v>0</v>
      </c>
      <c r="L170" s="117">
        <f>IFERROR(VLOOKUP(B170,BD_CONTROL!$A$5:$M$4235,12,0),"")</f>
        <v>0</v>
      </c>
      <c r="M170" s="118">
        <f>IFERROR(VLOOKUP(B170,BD_CONTROL!$A$5:$M$4235,13,0),"")</f>
        <v>0</v>
      </c>
    </row>
    <row r="171" spans="1:13" ht="15" customHeight="1">
      <c r="A171" s="42">
        <v>166</v>
      </c>
      <c r="B171" s="42" t="s">
        <v>8874</v>
      </c>
      <c r="C171" s="43" t="s">
        <v>6735</v>
      </c>
      <c r="D171" s="42" t="s">
        <v>7142</v>
      </c>
      <c r="E171" s="43" t="s">
        <v>521</v>
      </c>
      <c r="F171" s="43" t="s">
        <v>7259</v>
      </c>
      <c r="G171" s="42" t="s">
        <v>6739</v>
      </c>
      <c r="H171" s="43" t="s">
        <v>440</v>
      </c>
      <c r="I171" s="43" t="s">
        <v>6741</v>
      </c>
      <c r="J171" s="55"/>
      <c r="K171" s="119" t="str">
        <f>IFERROR(VLOOKUP(B171,BD_CONTROL!$A$5:$M$4235,11,0),"")</f>
        <v>Instalado - Operando</v>
      </c>
      <c r="L171" s="120">
        <f>IFERROR(VLOOKUP(B171,BD_CONTROL!$A$5:$M$4235,12,0),"")</f>
        <v>46153</v>
      </c>
      <c r="M171" s="121">
        <f>IFERROR(VLOOKUP(B171,BD_CONTROL!$A$5:$M$4235,13,0),"")</f>
        <v>0</v>
      </c>
    </row>
    <row r="172" spans="1:13" ht="15" customHeight="1">
      <c r="A172" s="39">
        <v>167</v>
      </c>
      <c r="B172" s="39" t="s">
        <v>8875</v>
      </c>
      <c r="C172" s="40" t="s">
        <v>6735</v>
      </c>
      <c r="D172" s="39" t="s">
        <v>7142</v>
      </c>
      <c r="E172" s="40" t="s">
        <v>521</v>
      </c>
      <c r="F172" s="40" t="s">
        <v>7259</v>
      </c>
      <c r="G172" s="39" t="s">
        <v>6739</v>
      </c>
      <c r="H172" s="40" t="s">
        <v>440</v>
      </c>
      <c r="I172" s="40" t="s">
        <v>6741</v>
      </c>
      <c r="J172" s="50"/>
      <c r="K172" s="116">
        <f>IFERROR(VLOOKUP(B172,BD_CONTROL!$A$5:$M$4235,11,0),"")</f>
        <v>0</v>
      </c>
      <c r="L172" s="117">
        <f>IFERROR(VLOOKUP(B172,BD_CONTROL!$A$5:$M$4235,12,0),"")</f>
        <v>0</v>
      </c>
      <c r="M172" s="118">
        <f>IFERROR(VLOOKUP(B172,BD_CONTROL!$A$5:$M$4235,13,0),"")</f>
        <v>0</v>
      </c>
    </row>
    <row r="173" spans="1:13" ht="15" customHeight="1">
      <c r="A173" s="42">
        <v>168</v>
      </c>
      <c r="B173" s="42" t="s">
        <v>8876</v>
      </c>
      <c r="C173" s="43" t="s">
        <v>6735</v>
      </c>
      <c r="D173" s="42" t="s">
        <v>7142</v>
      </c>
      <c r="E173" s="43" t="s">
        <v>521</v>
      </c>
      <c r="F173" s="43" t="s">
        <v>7259</v>
      </c>
      <c r="G173" s="42" t="s">
        <v>6739</v>
      </c>
      <c r="H173" s="43" t="s">
        <v>440</v>
      </c>
      <c r="I173" s="43" t="s">
        <v>6741</v>
      </c>
      <c r="J173" s="55"/>
      <c r="K173" s="119">
        <f>IFERROR(VLOOKUP(B173,BD_CONTROL!$A$5:$M$4235,11,0),"")</f>
        <v>0</v>
      </c>
      <c r="L173" s="120">
        <f>IFERROR(VLOOKUP(B173,BD_CONTROL!$A$5:$M$4235,12,0),"")</f>
        <v>0</v>
      </c>
      <c r="M173" s="121">
        <f>IFERROR(VLOOKUP(B173,BD_CONTROL!$A$5:$M$4235,13,0),"")</f>
        <v>0</v>
      </c>
    </row>
    <row r="174" spans="1:13" ht="15" customHeight="1">
      <c r="A174" s="39">
        <v>169</v>
      </c>
      <c r="B174" s="39" t="s">
        <v>8877</v>
      </c>
      <c r="C174" s="40" t="s">
        <v>6735</v>
      </c>
      <c r="D174" s="39" t="s">
        <v>7142</v>
      </c>
      <c r="E174" s="40" t="s">
        <v>521</v>
      </c>
      <c r="F174" s="40" t="s">
        <v>7259</v>
      </c>
      <c r="G174" s="39" t="s">
        <v>6739</v>
      </c>
      <c r="H174" s="40" t="s">
        <v>440</v>
      </c>
      <c r="I174" s="40" t="s">
        <v>6741</v>
      </c>
      <c r="J174" s="50"/>
      <c r="K174" s="116">
        <f>IFERROR(VLOOKUP(B174,BD_CONTROL!$A$5:$M$4235,11,0),"")</f>
        <v>0</v>
      </c>
      <c r="L174" s="117">
        <f>IFERROR(VLOOKUP(B174,BD_CONTROL!$A$5:$M$4235,12,0),"")</f>
        <v>0</v>
      </c>
      <c r="M174" s="118">
        <f>IFERROR(VLOOKUP(B174,BD_CONTROL!$A$5:$M$4235,13,0),"")</f>
        <v>0</v>
      </c>
    </row>
    <row r="175" spans="1:13" ht="15" customHeight="1">
      <c r="A175" s="42">
        <v>170</v>
      </c>
      <c r="B175" s="42" t="s">
        <v>8878</v>
      </c>
      <c r="C175" s="43" t="s">
        <v>6735</v>
      </c>
      <c r="D175" s="42" t="s">
        <v>7142</v>
      </c>
      <c r="E175" s="43" t="s">
        <v>521</v>
      </c>
      <c r="F175" s="43" t="s">
        <v>7259</v>
      </c>
      <c r="G175" s="42" t="s">
        <v>6739</v>
      </c>
      <c r="H175" s="43" t="s">
        <v>440</v>
      </c>
      <c r="I175" s="43" t="s">
        <v>6741</v>
      </c>
      <c r="J175" s="55"/>
      <c r="K175" s="119" t="str">
        <f>IFERROR(VLOOKUP(B175,BD_CONTROL!$A$5:$M$4235,11,0),"")</f>
        <v>Instalado - Operando</v>
      </c>
      <c r="L175" s="120">
        <f>IFERROR(VLOOKUP(B175,BD_CONTROL!$A$5:$M$4235,12,0),"")</f>
        <v>46153</v>
      </c>
      <c r="M175" s="121">
        <f>IFERROR(VLOOKUP(B175,BD_CONTROL!$A$5:$M$4235,13,0),"")</f>
        <v>0</v>
      </c>
    </row>
    <row r="176" spans="1:13" ht="15" customHeight="1">
      <c r="A176" s="39">
        <v>171</v>
      </c>
      <c r="B176" s="39" t="s">
        <v>8879</v>
      </c>
      <c r="C176" s="40" t="s">
        <v>6735</v>
      </c>
      <c r="D176" s="39" t="s">
        <v>7142</v>
      </c>
      <c r="E176" s="40" t="s">
        <v>521</v>
      </c>
      <c r="F176" s="40" t="s">
        <v>7259</v>
      </c>
      <c r="G176" s="39" t="s">
        <v>6739</v>
      </c>
      <c r="H176" s="40" t="s">
        <v>440</v>
      </c>
      <c r="I176" s="40" t="s">
        <v>6741</v>
      </c>
      <c r="J176" s="50"/>
      <c r="K176" s="116" t="str">
        <f>IFERROR(VLOOKUP(B176,BD_CONTROL!$A$5:$M$4235,11,0),"")</f>
        <v>Instalado - Operando</v>
      </c>
      <c r="L176" s="117">
        <f>IFERROR(VLOOKUP(B176,BD_CONTROL!$A$5:$M$4235,12,0),"")</f>
        <v>46150</v>
      </c>
      <c r="M176" s="118">
        <f>IFERROR(VLOOKUP(B176,BD_CONTROL!$A$5:$M$4235,13,0),"")</f>
        <v>0</v>
      </c>
    </row>
    <row r="177" spans="1:13" ht="15" customHeight="1">
      <c r="A177" s="42">
        <v>172</v>
      </c>
      <c r="B177" s="42" t="s">
        <v>8880</v>
      </c>
      <c r="C177" s="43" t="s">
        <v>6735</v>
      </c>
      <c r="D177" s="42" t="s">
        <v>7142</v>
      </c>
      <c r="E177" s="43" t="s">
        <v>521</v>
      </c>
      <c r="F177" s="43" t="s">
        <v>8881</v>
      </c>
      <c r="G177" s="42" t="s">
        <v>6739</v>
      </c>
      <c r="H177" s="43" t="s">
        <v>440</v>
      </c>
      <c r="I177" s="43" t="s">
        <v>6741</v>
      </c>
      <c r="J177" s="55"/>
      <c r="K177" s="119">
        <f>IFERROR(VLOOKUP(B177,BD_CONTROL!$A$5:$M$4235,11,0),"")</f>
        <v>0</v>
      </c>
      <c r="L177" s="120">
        <f>IFERROR(VLOOKUP(B177,BD_CONTROL!$A$5:$M$4235,12,0),"")</f>
        <v>0</v>
      </c>
      <c r="M177" s="121">
        <f>IFERROR(VLOOKUP(B177,BD_CONTROL!$A$5:$M$4235,13,0),"")</f>
        <v>0</v>
      </c>
    </row>
    <row r="178" spans="1:13" ht="15" customHeight="1">
      <c r="A178" s="39">
        <v>173</v>
      </c>
      <c r="B178" s="39" t="s">
        <v>8882</v>
      </c>
      <c r="C178" s="40" t="s">
        <v>6735</v>
      </c>
      <c r="D178" s="39" t="s">
        <v>7142</v>
      </c>
      <c r="E178" s="40" t="s">
        <v>521</v>
      </c>
      <c r="F178" s="40" t="s">
        <v>8883</v>
      </c>
      <c r="G178" s="39" t="s">
        <v>6739</v>
      </c>
      <c r="H178" s="40" t="s">
        <v>440</v>
      </c>
      <c r="I178" s="40" t="s">
        <v>6741</v>
      </c>
      <c r="J178" s="50"/>
      <c r="K178" s="116">
        <f>IFERROR(VLOOKUP(B178,BD_CONTROL!$A$5:$M$4235,11,0),"")</f>
        <v>0</v>
      </c>
      <c r="L178" s="117">
        <f>IFERROR(VLOOKUP(B178,BD_CONTROL!$A$5:$M$4235,12,0),"")</f>
        <v>0</v>
      </c>
      <c r="M178" s="118">
        <f>IFERROR(VLOOKUP(B178,BD_CONTROL!$A$5:$M$4235,13,0),"")</f>
        <v>0</v>
      </c>
    </row>
    <row r="179" spans="1:13" ht="15" customHeight="1">
      <c r="A179" s="42">
        <v>174</v>
      </c>
      <c r="B179" s="42" t="s">
        <v>8884</v>
      </c>
      <c r="C179" s="43" t="s">
        <v>6735</v>
      </c>
      <c r="D179" s="42" t="s">
        <v>7142</v>
      </c>
      <c r="E179" s="43" t="s">
        <v>521</v>
      </c>
      <c r="F179" s="43" t="s">
        <v>8885</v>
      </c>
      <c r="G179" s="42" t="s">
        <v>6739</v>
      </c>
      <c r="H179" s="43" t="s">
        <v>440</v>
      </c>
      <c r="I179" s="43" t="s">
        <v>6741</v>
      </c>
      <c r="J179" s="55"/>
      <c r="K179" s="119">
        <f>IFERROR(VLOOKUP(B179,BD_CONTROL!$A$5:$M$4235,11,0),"")</f>
        <v>0</v>
      </c>
      <c r="L179" s="120">
        <f>IFERROR(VLOOKUP(B179,BD_CONTROL!$A$5:$M$4235,12,0),"")</f>
        <v>0</v>
      </c>
      <c r="M179" s="121">
        <f>IFERROR(VLOOKUP(B179,BD_CONTROL!$A$5:$M$4235,13,0),"")</f>
        <v>0</v>
      </c>
    </row>
    <row r="180" spans="1:13" ht="15" customHeight="1">
      <c r="A180" s="39">
        <v>175</v>
      </c>
      <c r="B180" s="39" t="s">
        <v>8886</v>
      </c>
      <c r="C180" s="40" t="s">
        <v>6735</v>
      </c>
      <c r="D180" s="39" t="s">
        <v>7142</v>
      </c>
      <c r="E180" s="40" t="s">
        <v>521</v>
      </c>
      <c r="F180" s="40" t="s">
        <v>8887</v>
      </c>
      <c r="G180" s="39" t="s">
        <v>6739</v>
      </c>
      <c r="H180" s="40" t="s">
        <v>440</v>
      </c>
      <c r="I180" s="40" t="s">
        <v>6741</v>
      </c>
      <c r="J180" s="50"/>
      <c r="K180" s="116">
        <f>IFERROR(VLOOKUP(B180,BD_CONTROL!$A$5:$M$4235,11,0),"")</f>
        <v>0</v>
      </c>
      <c r="L180" s="117">
        <f>IFERROR(VLOOKUP(B180,BD_CONTROL!$A$5:$M$4235,12,0),"")</f>
        <v>0</v>
      </c>
      <c r="M180" s="118">
        <f>IFERROR(VLOOKUP(B180,BD_CONTROL!$A$5:$M$4235,13,0),"")</f>
        <v>0</v>
      </c>
    </row>
    <row r="181" spans="1:13" ht="15" customHeight="1">
      <c r="A181" s="42">
        <v>176</v>
      </c>
      <c r="B181" s="42" t="s">
        <v>8888</v>
      </c>
      <c r="C181" s="43" t="s">
        <v>6735</v>
      </c>
      <c r="D181" s="42" t="s">
        <v>7142</v>
      </c>
      <c r="E181" s="43" t="s">
        <v>7231</v>
      </c>
      <c r="F181" s="43" t="s">
        <v>7231</v>
      </c>
      <c r="G181" s="42" t="s">
        <v>6739</v>
      </c>
      <c r="H181" s="43" t="s">
        <v>440</v>
      </c>
      <c r="I181" s="43" t="s">
        <v>6741</v>
      </c>
      <c r="J181" s="55"/>
      <c r="K181" s="119">
        <f>IFERROR(VLOOKUP(B181,BD_CONTROL!$A$5:$M$4235,11,0),"")</f>
        <v>0</v>
      </c>
      <c r="L181" s="120">
        <f>IFERROR(VLOOKUP(B181,BD_CONTROL!$A$5:$M$4235,12,0),"")</f>
        <v>0</v>
      </c>
      <c r="M181" s="121">
        <f>IFERROR(VLOOKUP(B181,BD_CONTROL!$A$5:$M$4235,13,0),"")</f>
        <v>0</v>
      </c>
    </row>
    <row r="182" spans="1:13" ht="15" customHeight="1">
      <c r="A182" s="39">
        <v>177</v>
      </c>
      <c r="B182" s="39" t="s">
        <v>8889</v>
      </c>
      <c r="C182" s="40" t="s">
        <v>6735</v>
      </c>
      <c r="D182" s="39" t="s">
        <v>7142</v>
      </c>
      <c r="E182" s="40" t="s">
        <v>7231</v>
      </c>
      <c r="F182" s="40" t="s">
        <v>7231</v>
      </c>
      <c r="G182" s="39" t="s">
        <v>6739</v>
      </c>
      <c r="H182" s="40" t="s">
        <v>440</v>
      </c>
      <c r="I182" s="40" t="s">
        <v>6741</v>
      </c>
      <c r="J182" s="50"/>
      <c r="K182" s="116">
        <f>IFERROR(VLOOKUP(B182,BD_CONTROL!$A$5:$M$4235,11,0),"")</f>
        <v>0</v>
      </c>
      <c r="L182" s="117">
        <f>IFERROR(VLOOKUP(B182,BD_CONTROL!$A$5:$M$4235,12,0),"")</f>
        <v>0</v>
      </c>
      <c r="M182" s="118">
        <f>IFERROR(VLOOKUP(B182,BD_CONTROL!$A$5:$M$4235,13,0),"")</f>
        <v>0</v>
      </c>
    </row>
    <row r="183" spans="1:13" ht="15" customHeight="1">
      <c r="A183" s="42">
        <v>178</v>
      </c>
      <c r="B183" s="42" t="s">
        <v>8890</v>
      </c>
      <c r="C183" s="43" t="s">
        <v>6735</v>
      </c>
      <c r="D183" s="42" t="s">
        <v>7142</v>
      </c>
      <c r="E183" s="43" t="s">
        <v>7231</v>
      </c>
      <c r="F183" s="43" t="s">
        <v>7231</v>
      </c>
      <c r="G183" s="42" t="s">
        <v>6739</v>
      </c>
      <c r="H183" s="43" t="s">
        <v>440</v>
      </c>
      <c r="I183" s="43" t="s">
        <v>6741</v>
      </c>
      <c r="J183" s="55"/>
      <c r="K183" s="119">
        <f>IFERROR(VLOOKUP(B183,BD_CONTROL!$A$5:$M$4235,11,0),"")</f>
        <v>0</v>
      </c>
      <c r="L183" s="120">
        <f>IFERROR(VLOOKUP(B183,BD_CONTROL!$A$5:$M$4235,12,0),"")</f>
        <v>0</v>
      </c>
      <c r="M183" s="121">
        <f>IFERROR(VLOOKUP(B183,BD_CONTROL!$A$5:$M$4235,13,0),"")</f>
        <v>0</v>
      </c>
    </row>
    <row r="184" spans="1:13" ht="15" customHeight="1">
      <c r="A184" s="39">
        <v>179</v>
      </c>
      <c r="B184" s="39" t="s">
        <v>8891</v>
      </c>
      <c r="C184" s="40" t="s">
        <v>6735</v>
      </c>
      <c r="D184" s="39" t="s">
        <v>7142</v>
      </c>
      <c r="E184" s="40" t="s">
        <v>7231</v>
      </c>
      <c r="F184" s="40" t="s">
        <v>7231</v>
      </c>
      <c r="G184" s="39" t="s">
        <v>6739</v>
      </c>
      <c r="H184" s="40" t="s">
        <v>440</v>
      </c>
      <c r="I184" s="40" t="s">
        <v>6741</v>
      </c>
      <c r="J184" s="50"/>
      <c r="K184" s="116">
        <f>IFERROR(VLOOKUP(B184,BD_CONTROL!$A$5:$M$4235,11,0),"")</f>
        <v>0</v>
      </c>
      <c r="L184" s="117">
        <f>IFERROR(VLOOKUP(B184,BD_CONTROL!$A$5:$M$4235,12,0),"")</f>
        <v>0</v>
      </c>
      <c r="M184" s="118">
        <f>IFERROR(VLOOKUP(B184,BD_CONTROL!$A$5:$M$4235,13,0),"")</f>
        <v>0</v>
      </c>
    </row>
    <row r="185" spans="1:13" ht="15" customHeight="1">
      <c r="A185" s="42">
        <v>180</v>
      </c>
      <c r="B185" s="42" t="s">
        <v>8892</v>
      </c>
      <c r="C185" s="43" t="s">
        <v>6735</v>
      </c>
      <c r="D185" s="42" t="s">
        <v>7142</v>
      </c>
      <c r="E185" s="43" t="s">
        <v>7231</v>
      </c>
      <c r="F185" s="43" t="s">
        <v>7231</v>
      </c>
      <c r="G185" s="42" t="s">
        <v>6739</v>
      </c>
      <c r="H185" s="43" t="s">
        <v>440</v>
      </c>
      <c r="I185" s="43" t="s">
        <v>6741</v>
      </c>
      <c r="J185" s="55"/>
      <c r="K185" s="119">
        <f>IFERROR(VLOOKUP(B185,BD_CONTROL!$A$5:$M$4235,11,0),"")</f>
        <v>0</v>
      </c>
      <c r="L185" s="120">
        <f>IFERROR(VLOOKUP(B185,BD_CONTROL!$A$5:$M$4235,12,0),"")</f>
        <v>0</v>
      </c>
      <c r="M185" s="121">
        <f>IFERROR(VLOOKUP(B185,BD_CONTROL!$A$5:$M$4235,13,0),"")</f>
        <v>0</v>
      </c>
    </row>
    <row r="186" spans="1:13" ht="15" customHeight="1">
      <c r="A186" s="39">
        <v>181</v>
      </c>
      <c r="B186" s="39" t="s">
        <v>8893</v>
      </c>
      <c r="C186" s="40" t="s">
        <v>6735</v>
      </c>
      <c r="D186" s="39" t="s">
        <v>7142</v>
      </c>
      <c r="E186" s="40" t="s">
        <v>7231</v>
      </c>
      <c r="F186" s="40" t="s">
        <v>7231</v>
      </c>
      <c r="G186" s="39" t="s">
        <v>6739</v>
      </c>
      <c r="H186" s="40" t="s">
        <v>440</v>
      </c>
      <c r="I186" s="40" t="s">
        <v>6741</v>
      </c>
      <c r="J186" s="50"/>
      <c r="K186" s="116">
        <f>IFERROR(VLOOKUP(B186,BD_CONTROL!$A$5:$M$4235,11,0),"")</f>
        <v>0</v>
      </c>
      <c r="L186" s="117">
        <f>IFERROR(VLOOKUP(B186,BD_CONTROL!$A$5:$M$4235,12,0),"")</f>
        <v>0</v>
      </c>
      <c r="M186" s="118">
        <f>IFERROR(VLOOKUP(B186,BD_CONTROL!$A$5:$M$4235,13,0),"")</f>
        <v>0</v>
      </c>
    </row>
    <row r="187" spans="1:13" ht="15" customHeight="1">
      <c r="A187" s="42">
        <v>182</v>
      </c>
      <c r="B187" s="42" t="s">
        <v>8894</v>
      </c>
      <c r="C187" s="43" t="s">
        <v>6735</v>
      </c>
      <c r="D187" s="42" t="s">
        <v>7142</v>
      </c>
      <c r="E187" s="43" t="s">
        <v>7231</v>
      </c>
      <c r="F187" s="43" t="s">
        <v>7231</v>
      </c>
      <c r="G187" s="42" t="s">
        <v>6739</v>
      </c>
      <c r="H187" s="43" t="s">
        <v>440</v>
      </c>
      <c r="I187" s="43" t="s">
        <v>6741</v>
      </c>
      <c r="J187" s="55"/>
      <c r="K187" s="119">
        <f>IFERROR(VLOOKUP(B187,BD_CONTROL!$A$5:$M$4235,11,0),"")</f>
        <v>0</v>
      </c>
      <c r="L187" s="120">
        <f>IFERROR(VLOOKUP(B187,BD_CONTROL!$A$5:$M$4235,12,0),"")</f>
        <v>0</v>
      </c>
      <c r="M187" s="121">
        <f>IFERROR(VLOOKUP(B187,BD_CONTROL!$A$5:$M$4235,13,0),"")</f>
        <v>0</v>
      </c>
    </row>
    <row r="188" spans="1:13" ht="15" customHeight="1">
      <c r="A188" s="39">
        <v>183</v>
      </c>
      <c r="B188" s="39" t="s">
        <v>8895</v>
      </c>
      <c r="C188" s="40" t="s">
        <v>6735</v>
      </c>
      <c r="D188" s="39" t="s">
        <v>7142</v>
      </c>
      <c r="E188" s="40" t="s">
        <v>7231</v>
      </c>
      <c r="F188" s="40" t="s">
        <v>7231</v>
      </c>
      <c r="G188" s="39" t="s">
        <v>6739</v>
      </c>
      <c r="H188" s="40" t="s">
        <v>440</v>
      </c>
      <c r="I188" s="40" t="s">
        <v>6741</v>
      </c>
      <c r="J188" s="50"/>
      <c r="K188" s="116">
        <f>IFERROR(VLOOKUP(B188,BD_CONTROL!$A$5:$M$4235,11,0),"")</f>
        <v>0</v>
      </c>
      <c r="L188" s="117">
        <f>IFERROR(VLOOKUP(B188,BD_CONTROL!$A$5:$M$4235,12,0),"")</f>
        <v>0</v>
      </c>
      <c r="M188" s="118">
        <f>IFERROR(VLOOKUP(B188,BD_CONTROL!$A$5:$M$4235,13,0),"")</f>
        <v>0</v>
      </c>
    </row>
    <row r="189" spans="1:13" ht="15" customHeight="1">
      <c r="A189" s="42">
        <v>184</v>
      </c>
      <c r="B189" s="42" t="s">
        <v>8896</v>
      </c>
      <c r="C189" s="43" t="s">
        <v>6735</v>
      </c>
      <c r="D189" s="42" t="s">
        <v>7142</v>
      </c>
      <c r="E189" s="43" t="s">
        <v>7231</v>
      </c>
      <c r="F189" s="43" t="s">
        <v>7231</v>
      </c>
      <c r="G189" s="42" t="s">
        <v>6739</v>
      </c>
      <c r="H189" s="43" t="s">
        <v>440</v>
      </c>
      <c r="I189" s="43" t="s">
        <v>6741</v>
      </c>
      <c r="J189" s="55"/>
      <c r="K189" s="119">
        <f>IFERROR(VLOOKUP(B189,BD_CONTROL!$A$5:$M$4235,11,0),"")</f>
        <v>0</v>
      </c>
      <c r="L189" s="120">
        <f>IFERROR(VLOOKUP(B189,BD_CONTROL!$A$5:$M$4235,12,0),"")</f>
        <v>0</v>
      </c>
      <c r="M189" s="121">
        <f>IFERROR(VLOOKUP(B189,BD_CONTROL!$A$5:$M$4235,13,0),"")</f>
        <v>0</v>
      </c>
    </row>
    <row r="190" spans="1:13" ht="15" customHeight="1">
      <c r="A190" s="39">
        <v>185</v>
      </c>
      <c r="B190" s="39" t="s">
        <v>8897</v>
      </c>
      <c r="C190" s="40" t="s">
        <v>6735</v>
      </c>
      <c r="D190" s="39" t="s">
        <v>7142</v>
      </c>
      <c r="E190" s="40" t="s">
        <v>7143</v>
      </c>
      <c r="F190" s="40" t="s">
        <v>7143</v>
      </c>
      <c r="G190" s="39" t="s">
        <v>6739</v>
      </c>
      <c r="H190" s="40" t="s">
        <v>440</v>
      </c>
      <c r="I190" s="40" t="s">
        <v>6741</v>
      </c>
      <c r="J190" s="50"/>
      <c r="K190" s="116">
        <f>IFERROR(VLOOKUP(B190,BD_CONTROL!$A$5:$M$4235,11,0),"")</f>
        <v>0</v>
      </c>
      <c r="L190" s="117">
        <f>IFERROR(VLOOKUP(B190,BD_CONTROL!$A$5:$M$4235,12,0),"")</f>
        <v>0</v>
      </c>
      <c r="M190" s="118">
        <f>IFERROR(VLOOKUP(B190,BD_CONTROL!$A$5:$M$4235,13,0),"")</f>
        <v>0</v>
      </c>
    </row>
    <row r="191" spans="1:13" ht="15" customHeight="1">
      <c r="A191" s="42">
        <v>186</v>
      </c>
      <c r="B191" s="42" t="s">
        <v>8898</v>
      </c>
      <c r="C191" s="43" t="s">
        <v>6735</v>
      </c>
      <c r="D191" s="42" t="s">
        <v>7142</v>
      </c>
      <c r="E191" s="43" t="s">
        <v>7143</v>
      </c>
      <c r="F191" s="43" t="s">
        <v>7143</v>
      </c>
      <c r="G191" s="42" t="s">
        <v>6739</v>
      </c>
      <c r="H191" s="43" t="s">
        <v>440</v>
      </c>
      <c r="I191" s="43" t="s">
        <v>6741</v>
      </c>
      <c r="J191" s="55"/>
      <c r="K191" s="119">
        <f>IFERROR(VLOOKUP(B191,BD_CONTROL!$A$5:$M$4235,11,0),"")</f>
        <v>0</v>
      </c>
      <c r="L191" s="120">
        <f>IFERROR(VLOOKUP(B191,BD_CONTROL!$A$5:$M$4235,12,0),"")</f>
        <v>0</v>
      </c>
      <c r="M191" s="121">
        <f>IFERROR(VLOOKUP(B191,BD_CONTROL!$A$5:$M$4235,13,0),"")</f>
        <v>0</v>
      </c>
    </row>
    <row r="192" spans="1:13" ht="15" customHeight="1">
      <c r="A192" s="39">
        <v>187</v>
      </c>
      <c r="B192" s="39" t="s">
        <v>8899</v>
      </c>
      <c r="C192" s="40" t="s">
        <v>6735</v>
      </c>
      <c r="D192" s="39" t="s">
        <v>7142</v>
      </c>
      <c r="E192" s="40" t="s">
        <v>7143</v>
      </c>
      <c r="F192" s="40" t="s">
        <v>7143</v>
      </c>
      <c r="G192" s="39" t="s">
        <v>6739</v>
      </c>
      <c r="H192" s="40" t="s">
        <v>440</v>
      </c>
      <c r="I192" s="40" t="s">
        <v>6741</v>
      </c>
      <c r="J192" s="50"/>
      <c r="K192" s="116" t="str">
        <f>IFERROR(VLOOKUP(B192,BD_CONTROL!$A$5:$M$4235,11,0),"")</f>
        <v>Instalado - Operando</v>
      </c>
      <c r="L192" s="117">
        <f>IFERROR(VLOOKUP(B192,BD_CONTROL!$A$5:$M$4235,12,0),"")</f>
        <v>46150</v>
      </c>
      <c r="M192" s="118">
        <f>IFERROR(VLOOKUP(B192,BD_CONTROL!$A$5:$M$4235,13,0),"")</f>
        <v>0</v>
      </c>
    </row>
    <row r="193" spans="1:13" ht="15" customHeight="1">
      <c r="A193" s="42">
        <v>188</v>
      </c>
      <c r="B193" s="42" t="s">
        <v>8900</v>
      </c>
      <c r="C193" s="43" t="s">
        <v>6735</v>
      </c>
      <c r="D193" s="42" t="s">
        <v>7142</v>
      </c>
      <c r="E193" s="43" t="s">
        <v>7143</v>
      </c>
      <c r="F193" s="43" t="s">
        <v>7143</v>
      </c>
      <c r="G193" s="42" t="s">
        <v>6739</v>
      </c>
      <c r="H193" s="43" t="s">
        <v>440</v>
      </c>
      <c r="I193" s="43" t="s">
        <v>6741</v>
      </c>
      <c r="J193" s="55"/>
      <c r="K193" s="119" t="str">
        <f>IFERROR(VLOOKUP(B193,BD_CONTROL!$A$5:$M$4235,11,0),"")</f>
        <v>Instalado - Operando</v>
      </c>
      <c r="L193" s="120">
        <f>IFERROR(VLOOKUP(B193,BD_CONTROL!$A$5:$M$4235,12,0),"")</f>
        <v>46149</v>
      </c>
      <c r="M193" s="121">
        <f>IFERROR(VLOOKUP(B193,BD_CONTROL!$A$5:$M$4235,13,0),"")</f>
        <v>0</v>
      </c>
    </row>
    <row r="194" spans="1:13" ht="15" customHeight="1">
      <c r="A194" s="39">
        <v>189</v>
      </c>
      <c r="B194" s="39" t="s">
        <v>8901</v>
      </c>
      <c r="C194" s="40" t="s">
        <v>6735</v>
      </c>
      <c r="D194" s="39" t="s">
        <v>7142</v>
      </c>
      <c r="E194" s="40" t="s">
        <v>7143</v>
      </c>
      <c r="F194" s="40" t="s">
        <v>7143</v>
      </c>
      <c r="G194" s="39" t="s">
        <v>6739</v>
      </c>
      <c r="H194" s="40" t="s">
        <v>440</v>
      </c>
      <c r="I194" s="40" t="s">
        <v>6741</v>
      </c>
      <c r="J194" s="50"/>
      <c r="K194" s="116">
        <f>IFERROR(VLOOKUP(B194,BD_CONTROL!$A$5:$M$4235,11,0),"")</f>
        <v>0</v>
      </c>
      <c r="L194" s="117">
        <f>IFERROR(VLOOKUP(B194,BD_CONTROL!$A$5:$M$4235,12,0),"")</f>
        <v>0</v>
      </c>
      <c r="M194" s="118">
        <f>IFERROR(VLOOKUP(B194,BD_CONTROL!$A$5:$M$4235,13,0),"")</f>
        <v>0</v>
      </c>
    </row>
    <row r="195" spans="1:13" ht="15" customHeight="1">
      <c r="A195" s="42">
        <v>190</v>
      </c>
      <c r="B195" s="42" t="s">
        <v>8902</v>
      </c>
      <c r="C195" s="43" t="s">
        <v>6735</v>
      </c>
      <c r="D195" s="42" t="s">
        <v>7142</v>
      </c>
      <c r="E195" s="43" t="s">
        <v>7143</v>
      </c>
      <c r="F195" s="43" t="s">
        <v>7143</v>
      </c>
      <c r="G195" s="42" t="s">
        <v>6739</v>
      </c>
      <c r="H195" s="43" t="s">
        <v>440</v>
      </c>
      <c r="I195" s="43" t="s">
        <v>6741</v>
      </c>
      <c r="J195" s="55"/>
      <c r="K195" s="119" t="str">
        <f>IFERROR(VLOOKUP(B195,BD_CONTROL!$A$5:$M$4235,11,0),"")</f>
        <v>Instalado - Operando</v>
      </c>
      <c r="L195" s="120">
        <f>IFERROR(VLOOKUP(B195,BD_CONTROL!$A$5:$M$4235,12,0),"")</f>
        <v>46149</v>
      </c>
      <c r="M195" s="121">
        <f>IFERROR(VLOOKUP(B195,BD_CONTROL!$A$5:$M$4235,13,0),"")</f>
        <v>0</v>
      </c>
    </row>
    <row r="196" spans="1:13" ht="15" customHeight="1">
      <c r="A196" s="39">
        <v>191</v>
      </c>
      <c r="B196" s="39" t="s">
        <v>8903</v>
      </c>
      <c r="C196" s="40" t="s">
        <v>6735</v>
      </c>
      <c r="D196" s="39" t="s">
        <v>7142</v>
      </c>
      <c r="E196" s="40" t="s">
        <v>7143</v>
      </c>
      <c r="F196" s="40" t="s">
        <v>7143</v>
      </c>
      <c r="G196" s="39" t="s">
        <v>6739</v>
      </c>
      <c r="H196" s="40" t="s">
        <v>440</v>
      </c>
      <c r="I196" s="40" t="s">
        <v>6741</v>
      </c>
      <c r="J196" s="50"/>
      <c r="K196" s="116" t="str">
        <f>IFERROR(VLOOKUP(B196,BD_CONTROL!$A$5:$M$4235,11,0),"")</f>
        <v>Instalado - Operando</v>
      </c>
      <c r="L196" s="117">
        <f>IFERROR(VLOOKUP(B196,BD_CONTROL!$A$5:$M$4235,12,0),"")</f>
        <v>46153</v>
      </c>
      <c r="M196" s="118">
        <f>IFERROR(VLOOKUP(B196,BD_CONTROL!$A$5:$M$4235,13,0),"")</f>
        <v>0</v>
      </c>
    </row>
    <row r="197" spans="1:13" ht="15" customHeight="1">
      <c r="A197" s="42">
        <v>192</v>
      </c>
      <c r="B197" s="42" t="s">
        <v>8904</v>
      </c>
      <c r="C197" s="43" t="s">
        <v>6735</v>
      </c>
      <c r="D197" s="42" t="s">
        <v>7142</v>
      </c>
      <c r="E197" s="43" t="s">
        <v>457</v>
      </c>
      <c r="F197" s="43" t="s">
        <v>8905</v>
      </c>
      <c r="G197" s="42" t="s">
        <v>6739</v>
      </c>
      <c r="H197" s="43" t="s">
        <v>440</v>
      </c>
      <c r="I197" s="43" t="s">
        <v>6741</v>
      </c>
      <c r="J197" s="55"/>
      <c r="K197" s="119">
        <f>IFERROR(VLOOKUP(B197,BD_CONTROL!$A$5:$M$4235,11,0),"")</f>
        <v>0</v>
      </c>
      <c r="L197" s="120">
        <f>IFERROR(VLOOKUP(B197,BD_CONTROL!$A$5:$M$4235,12,0),"")</f>
        <v>0</v>
      </c>
      <c r="M197" s="121">
        <f>IFERROR(VLOOKUP(B197,BD_CONTROL!$A$5:$M$4235,13,0),"")</f>
        <v>0</v>
      </c>
    </row>
    <row r="198" spans="1:13" ht="15" customHeight="1">
      <c r="A198" s="39">
        <v>193</v>
      </c>
      <c r="B198" s="39" t="s">
        <v>8906</v>
      </c>
      <c r="C198" s="40" t="s">
        <v>6735</v>
      </c>
      <c r="D198" s="39" t="s">
        <v>7142</v>
      </c>
      <c r="E198" s="40" t="s">
        <v>7262</v>
      </c>
      <c r="F198" s="40" t="s">
        <v>7262</v>
      </c>
      <c r="G198" s="39" t="s">
        <v>6739</v>
      </c>
      <c r="H198" s="40" t="s">
        <v>440</v>
      </c>
      <c r="I198" s="40" t="s">
        <v>6741</v>
      </c>
      <c r="J198" s="50"/>
      <c r="K198" s="116">
        <f>IFERROR(VLOOKUP(B198,BD_CONTROL!$A$5:$M$4235,11,0),"")</f>
        <v>0</v>
      </c>
      <c r="L198" s="117">
        <f>IFERROR(VLOOKUP(B198,BD_CONTROL!$A$5:$M$4235,12,0),"")</f>
        <v>0</v>
      </c>
      <c r="M198" s="118">
        <f>IFERROR(VLOOKUP(B198,BD_CONTROL!$A$5:$M$4235,13,0),"")</f>
        <v>0</v>
      </c>
    </row>
    <row r="199" spans="1:13" ht="15" customHeight="1">
      <c r="A199" s="42">
        <v>194</v>
      </c>
      <c r="B199" s="42" t="s">
        <v>8907</v>
      </c>
      <c r="C199" s="43" t="s">
        <v>6735</v>
      </c>
      <c r="D199" s="42" t="s">
        <v>7142</v>
      </c>
      <c r="E199" s="43" t="s">
        <v>7262</v>
      </c>
      <c r="F199" s="43" t="s">
        <v>7262</v>
      </c>
      <c r="G199" s="42" t="s">
        <v>6739</v>
      </c>
      <c r="H199" s="43" t="s">
        <v>440</v>
      </c>
      <c r="I199" s="43" t="s">
        <v>6741</v>
      </c>
      <c r="J199" s="55"/>
      <c r="K199" s="119">
        <f>IFERROR(VLOOKUP(B199,BD_CONTROL!$A$5:$M$4235,11,0),"")</f>
        <v>0</v>
      </c>
      <c r="L199" s="120">
        <f>IFERROR(VLOOKUP(B199,BD_CONTROL!$A$5:$M$4235,12,0),"")</f>
        <v>0</v>
      </c>
      <c r="M199" s="121">
        <f>IFERROR(VLOOKUP(B199,BD_CONTROL!$A$5:$M$4235,13,0),"")</f>
        <v>0</v>
      </c>
    </row>
    <row r="200" spans="1:13" ht="15" customHeight="1">
      <c r="A200" s="39">
        <v>195</v>
      </c>
      <c r="B200" s="39" t="s">
        <v>8908</v>
      </c>
      <c r="C200" s="40" t="s">
        <v>6735</v>
      </c>
      <c r="D200" s="39" t="s">
        <v>7142</v>
      </c>
      <c r="E200" s="40" t="s">
        <v>7262</v>
      </c>
      <c r="F200" s="40" t="s">
        <v>7262</v>
      </c>
      <c r="G200" s="39" t="s">
        <v>6739</v>
      </c>
      <c r="H200" s="40" t="s">
        <v>440</v>
      </c>
      <c r="I200" s="40" t="s">
        <v>6741</v>
      </c>
      <c r="J200" s="50"/>
      <c r="K200" s="116">
        <f>IFERROR(VLOOKUP(B200,BD_CONTROL!$A$5:$M$4235,11,0),"")</f>
        <v>0</v>
      </c>
      <c r="L200" s="117">
        <f>IFERROR(VLOOKUP(B200,BD_CONTROL!$A$5:$M$4235,12,0),"")</f>
        <v>0</v>
      </c>
      <c r="M200" s="118">
        <f>IFERROR(VLOOKUP(B200,BD_CONTROL!$A$5:$M$4235,13,0),"")</f>
        <v>0</v>
      </c>
    </row>
    <row r="201" spans="1:13" ht="15" customHeight="1">
      <c r="A201" s="42">
        <v>196</v>
      </c>
      <c r="B201" s="42" t="s">
        <v>8909</v>
      </c>
      <c r="C201" s="43" t="s">
        <v>6735</v>
      </c>
      <c r="D201" s="42" t="s">
        <v>7142</v>
      </c>
      <c r="E201" s="43" t="s">
        <v>7262</v>
      </c>
      <c r="F201" s="43" t="s">
        <v>7262</v>
      </c>
      <c r="G201" s="42" t="s">
        <v>6739</v>
      </c>
      <c r="H201" s="43" t="s">
        <v>440</v>
      </c>
      <c r="I201" s="43" t="s">
        <v>6741</v>
      </c>
      <c r="J201" s="55"/>
      <c r="K201" s="119">
        <f>IFERROR(VLOOKUP(B201,BD_CONTROL!$A$5:$M$4235,11,0),"")</f>
        <v>0</v>
      </c>
      <c r="L201" s="120">
        <f>IFERROR(VLOOKUP(B201,BD_CONTROL!$A$5:$M$4235,12,0),"")</f>
        <v>0</v>
      </c>
      <c r="M201" s="121">
        <f>IFERROR(VLOOKUP(B201,BD_CONTROL!$A$5:$M$4235,13,0),"")</f>
        <v>0</v>
      </c>
    </row>
    <row r="202" spans="1:13" ht="15" customHeight="1">
      <c r="A202" s="39">
        <v>197</v>
      </c>
      <c r="B202" s="39" t="s">
        <v>8910</v>
      </c>
      <c r="C202" s="40" t="s">
        <v>6735</v>
      </c>
      <c r="D202" s="39" t="s">
        <v>7142</v>
      </c>
      <c r="E202" s="40" t="s">
        <v>7262</v>
      </c>
      <c r="F202" s="40" t="s">
        <v>7262</v>
      </c>
      <c r="G202" s="39" t="s">
        <v>6739</v>
      </c>
      <c r="H202" s="40" t="s">
        <v>440</v>
      </c>
      <c r="I202" s="40" t="s">
        <v>6741</v>
      </c>
      <c r="J202" s="50"/>
      <c r="K202" s="116">
        <f>IFERROR(VLOOKUP(B202,BD_CONTROL!$A$5:$M$4235,11,0),"")</f>
        <v>0</v>
      </c>
      <c r="L202" s="117">
        <f>IFERROR(VLOOKUP(B202,BD_CONTROL!$A$5:$M$4235,12,0),"")</f>
        <v>0</v>
      </c>
      <c r="M202" s="118">
        <f>IFERROR(VLOOKUP(B202,BD_CONTROL!$A$5:$M$4235,13,0),"")</f>
        <v>0</v>
      </c>
    </row>
    <row r="203" spans="1:13" ht="15" customHeight="1">
      <c r="A203" s="42">
        <v>198</v>
      </c>
      <c r="B203" s="42" t="s">
        <v>8911</v>
      </c>
      <c r="C203" s="43" t="s">
        <v>6735</v>
      </c>
      <c r="D203" s="42" t="s">
        <v>7142</v>
      </c>
      <c r="E203" s="43" t="s">
        <v>7262</v>
      </c>
      <c r="F203" s="43" t="s">
        <v>7262</v>
      </c>
      <c r="G203" s="42" t="s">
        <v>6739</v>
      </c>
      <c r="H203" s="43" t="s">
        <v>440</v>
      </c>
      <c r="I203" s="43" t="s">
        <v>6741</v>
      </c>
      <c r="J203" s="55"/>
      <c r="K203" s="119">
        <f>IFERROR(VLOOKUP(B203,BD_CONTROL!$A$5:$M$4235,11,0),"")</f>
        <v>0</v>
      </c>
      <c r="L203" s="120">
        <f>IFERROR(VLOOKUP(B203,BD_CONTROL!$A$5:$M$4235,12,0),"")</f>
        <v>0</v>
      </c>
      <c r="M203" s="121">
        <f>IFERROR(VLOOKUP(B203,BD_CONTROL!$A$5:$M$4235,13,0),"")</f>
        <v>0</v>
      </c>
    </row>
    <row r="204" spans="1:13" ht="15" customHeight="1">
      <c r="A204" s="39">
        <v>199</v>
      </c>
      <c r="B204" s="39" t="s">
        <v>8912</v>
      </c>
      <c r="C204" s="40" t="s">
        <v>6735</v>
      </c>
      <c r="D204" s="39" t="s">
        <v>7142</v>
      </c>
      <c r="E204" s="40" t="s">
        <v>1600</v>
      </c>
      <c r="F204" s="40" t="s">
        <v>8913</v>
      </c>
      <c r="G204" s="39" t="s">
        <v>6739</v>
      </c>
      <c r="H204" s="40" t="s">
        <v>440</v>
      </c>
      <c r="I204" s="40" t="s">
        <v>6741</v>
      </c>
      <c r="J204" s="50"/>
      <c r="K204" s="116">
        <f>IFERROR(VLOOKUP(B204,BD_CONTROL!$A$5:$M$4235,11,0),"")</f>
        <v>0</v>
      </c>
      <c r="L204" s="117">
        <f>IFERROR(VLOOKUP(B204,BD_CONTROL!$A$5:$M$4235,12,0),"")</f>
        <v>0</v>
      </c>
      <c r="M204" s="118">
        <f>IFERROR(VLOOKUP(B204,BD_CONTROL!$A$5:$M$4235,13,0),"")</f>
        <v>0</v>
      </c>
    </row>
    <row r="205" spans="1:13" ht="15" customHeight="1">
      <c r="A205" s="42">
        <v>200</v>
      </c>
      <c r="B205" s="42" t="s">
        <v>8914</v>
      </c>
      <c r="C205" s="43" t="s">
        <v>6735</v>
      </c>
      <c r="D205" s="42" t="s">
        <v>7142</v>
      </c>
      <c r="E205" s="43" t="s">
        <v>1600</v>
      </c>
      <c r="F205" s="43" t="s">
        <v>8913</v>
      </c>
      <c r="G205" s="42" t="s">
        <v>6739</v>
      </c>
      <c r="H205" s="43" t="s">
        <v>440</v>
      </c>
      <c r="I205" s="43" t="s">
        <v>6741</v>
      </c>
      <c r="J205" s="55"/>
      <c r="K205" s="119">
        <f>IFERROR(VLOOKUP(B205,BD_CONTROL!$A$5:$M$4235,11,0),"")</f>
        <v>0</v>
      </c>
      <c r="L205" s="120">
        <f>IFERROR(VLOOKUP(B205,BD_CONTROL!$A$5:$M$4235,12,0),"")</f>
        <v>0</v>
      </c>
      <c r="M205" s="121">
        <f>IFERROR(VLOOKUP(B205,BD_CONTROL!$A$5:$M$4235,13,0),"")</f>
        <v>0</v>
      </c>
    </row>
    <row r="206" spans="1:13" ht="15" customHeight="1">
      <c r="A206" s="39">
        <v>201</v>
      </c>
      <c r="B206" s="39" t="s">
        <v>8915</v>
      </c>
      <c r="C206" s="40" t="s">
        <v>6735</v>
      </c>
      <c r="D206" s="39" t="s">
        <v>7142</v>
      </c>
      <c r="E206" s="40" t="s">
        <v>1600</v>
      </c>
      <c r="F206" s="40" t="s">
        <v>8913</v>
      </c>
      <c r="G206" s="39" t="s">
        <v>6739</v>
      </c>
      <c r="H206" s="40" t="s">
        <v>440</v>
      </c>
      <c r="I206" s="40" t="s">
        <v>6741</v>
      </c>
      <c r="J206" s="50"/>
      <c r="K206" s="116">
        <f>IFERROR(VLOOKUP(B206,BD_CONTROL!$A$5:$M$4235,11,0),"")</f>
        <v>0</v>
      </c>
      <c r="L206" s="117">
        <f>IFERROR(VLOOKUP(B206,BD_CONTROL!$A$5:$M$4235,12,0),"")</f>
        <v>0</v>
      </c>
      <c r="M206" s="118">
        <f>IFERROR(VLOOKUP(B206,BD_CONTROL!$A$5:$M$4235,13,0),"")</f>
        <v>0</v>
      </c>
    </row>
    <row r="207" spans="1:13" ht="15" customHeight="1">
      <c r="A207" s="42">
        <v>202</v>
      </c>
      <c r="B207" s="42" t="s">
        <v>8916</v>
      </c>
      <c r="C207" s="43" t="s">
        <v>6735</v>
      </c>
      <c r="D207" s="42" t="s">
        <v>7142</v>
      </c>
      <c r="E207" s="43" t="s">
        <v>1600</v>
      </c>
      <c r="F207" s="43" t="s">
        <v>8913</v>
      </c>
      <c r="G207" s="42" t="s">
        <v>6739</v>
      </c>
      <c r="H207" s="43" t="s">
        <v>440</v>
      </c>
      <c r="I207" s="43" t="s">
        <v>6741</v>
      </c>
      <c r="J207" s="55"/>
      <c r="K207" s="119">
        <f>IFERROR(VLOOKUP(B207,BD_CONTROL!$A$5:$M$4235,11,0),"")</f>
        <v>0</v>
      </c>
      <c r="L207" s="120">
        <f>IFERROR(VLOOKUP(B207,BD_CONTROL!$A$5:$M$4235,12,0),"")</f>
        <v>0</v>
      </c>
      <c r="M207" s="121">
        <f>IFERROR(VLOOKUP(B207,BD_CONTROL!$A$5:$M$4235,13,0),"")</f>
        <v>0</v>
      </c>
    </row>
    <row r="208" spans="1:13" ht="15" customHeight="1">
      <c r="A208" s="39">
        <v>203</v>
      </c>
      <c r="B208" s="39" t="s">
        <v>8917</v>
      </c>
      <c r="C208" s="40" t="s">
        <v>6735</v>
      </c>
      <c r="D208" s="39" t="s">
        <v>7142</v>
      </c>
      <c r="E208" s="40" t="s">
        <v>1600</v>
      </c>
      <c r="F208" s="40" t="s">
        <v>8913</v>
      </c>
      <c r="G208" s="39" t="s">
        <v>6739</v>
      </c>
      <c r="H208" s="40" t="s">
        <v>440</v>
      </c>
      <c r="I208" s="40" t="s">
        <v>6741</v>
      </c>
      <c r="J208" s="50"/>
      <c r="K208" s="116">
        <f>IFERROR(VLOOKUP(B208,BD_CONTROL!$A$5:$M$4235,11,0),"")</f>
        <v>0</v>
      </c>
      <c r="L208" s="117">
        <f>IFERROR(VLOOKUP(B208,BD_CONTROL!$A$5:$M$4235,12,0),"")</f>
        <v>0</v>
      </c>
      <c r="M208" s="118">
        <f>IFERROR(VLOOKUP(B208,BD_CONTROL!$A$5:$M$4235,13,0),"")</f>
        <v>0</v>
      </c>
    </row>
    <row r="209" spans="1:13" ht="15" customHeight="1">
      <c r="A209" s="42">
        <v>204</v>
      </c>
      <c r="B209" s="42" t="s">
        <v>8918</v>
      </c>
      <c r="C209" s="43" t="s">
        <v>6735</v>
      </c>
      <c r="D209" s="42" t="s">
        <v>7142</v>
      </c>
      <c r="E209" s="43" t="s">
        <v>1600</v>
      </c>
      <c r="F209" s="43" t="s">
        <v>8913</v>
      </c>
      <c r="G209" s="42" t="s">
        <v>6739</v>
      </c>
      <c r="H209" s="43" t="s">
        <v>440</v>
      </c>
      <c r="I209" s="43" t="s">
        <v>6741</v>
      </c>
      <c r="J209" s="55"/>
      <c r="K209" s="119">
        <f>IFERROR(VLOOKUP(B209,BD_CONTROL!$A$5:$M$4235,11,0),"")</f>
        <v>0</v>
      </c>
      <c r="L209" s="120">
        <f>IFERROR(VLOOKUP(B209,BD_CONTROL!$A$5:$M$4235,12,0),"")</f>
        <v>0</v>
      </c>
      <c r="M209" s="121">
        <f>IFERROR(VLOOKUP(B209,BD_CONTROL!$A$5:$M$4235,13,0),"")</f>
        <v>0</v>
      </c>
    </row>
    <row r="210" spans="1:13" ht="15" customHeight="1">
      <c r="A210" s="39">
        <v>205</v>
      </c>
      <c r="B210" s="39" t="s">
        <v>8919</v>
      </c>
      <c r="C210" s="40" t="s">
        <v>6735</v>
      </c>
      <c r="D210" s="39" t="s">
        <v>7142</v>
      </c>
      <c r="E210" s="40" t="s">
        <v>1600</v>
      </c>
      <c r="F210" s="40" t="s">
        <v>8913</v>
      </c>
      <c r="G210" s="39" t="s">
        <v>6739</v>
      </c>
      <c r="H210" s="40" t="s">
        <v>440</v>
      </c>
      <c r="I210" s="40" t="s">
        <v>6741</v>
      </c>
      <c r="J210" s="50"/>
      <c r="K210" s="116">
        <f>IFERROR(VLOOKUP(B210,BD_CONTROL!$A$5:$M$4235,11,0),"")</f>
        <v>0</v>
      </c>
      <c r="L210" s="117">
        <f>IFERROR(VLOOKUP(B210,BD_CONTROL!$A$5:$M$4235,12,0),"")</f>
        <v>0</v>
      </c>
      <c r="M210" s="118">
        <f>IFERROR(VLOOKUP(B210,BD_CONTROL!$A$5:$M$4235,13,0),"")</f>
        <v>0</v>
      </c>
    </row>
    <row r="211" spans="1:13" ht="15" customHeight="1">
      <c r="A211" s="42">
        <v>206</v>
      </c>
      <c r="B211" s="42" t="s">
        <v>8920</v>
      </c>
      <c r="C211" s="43" t="s">
        <v>6735</v>
      </c>
      <c r="D211" s="42" t="s">
        <v>7142</v>
      </c>
      <c r="E211" s="43" t="s">
        <v>1600</v>
      </c>
      <c r="F211" s="43" t="s">
        <v>8913</v>
      </c>
      <c r="G211" s="42" t="s">
        <v>6739</v>
      </c>
      <c r="H211" s="43" t="s">
        <v>440</v>
      </c>
      <c r="I211" s="43" t="s">
        <v>6741</v>
      </c>
      <c r="J211" s="55"/>
      <c r="K211" s="119">
        <f>IFERROR(VLOOKUP(B211,BD_CONTROL!$A$5:$M$4235,11,0),"")</f>
        <v>0</v>
      </c>
      <c r="L211" s="120">
        <f>IFERROR(VLOOKUP(B211,BD_CONTROL!$A$5:$M$4235,12,0),"")</f>
        <v>0</v>
      </c>
      <c r="M211" s="121">
        <f>IFERROR(VLOOKUP(B211,BD_CONTROL!$A$5:$M$4235,13,0),"")</f>
        <v>0</v>
      </c>
    </row>
    <row r="212" spans="1:13" ht="15" customHeight="1">
      <c r="A212" s="39">
        <v>207</v>
      </c>
      <c r="B212" s="39" t="s">
        <v>8921</v>
      </c>
      <c r="C212" s="40" t="s">
        <v>6735</v>
      </c>
      <c r="D212" s="39" t="s">
        <v>7142</v>
      </c>
      <c r="E212" s="40" t="s">
        <v>1600</v>
      </c>
      <c r="F212" s="40" t="s">
        <v>8913</v>
      </c>
      <c r="G212" s="39" t="s">
        <v>6739</v>
      </c>
      <c r="H212" s="40" t="s">
        <v>440</v>
      </c>
      <c r="I212" s="40" t="s">
        <v>6741</v>
      </c>
      <c r="J212" s="50"/>
      <c r="K212" s="116">
        <f>IFERROR(VLOOKUP(B212,BD_CONTROL!$A$5:$M$4235,11,0),"")</f>
        <v>0</v>
      </c>
      <c r="L212" s="117">
        <f>IFERROR(VLOOKUP(B212,BD_CONTROL!$A$5:$M$4235,12,0),"")</f>
        <v>0</v>
      </c>
      <c r="M212" s="118">
        <f>IFERROR(VLOOKUP(B212,BD_CONTROL!$A$5:$M$4235,13,0),"")</f>
        <v>0</v>
      </c>
    </row>
    <row r="213" spans="1:13" ht="15" customHeight="1">
      <c r="A213" s="42">
        <v>208</v>
      </c>
      <c r="B213" s="42" t="s">
        <v>8922</v>
      </c>
      <c r="C213" s="43" t="s">
        <v>6735</v>
      </c>
      <c r="D213" s="42" t="s">
        <v>7142</v>
      </c>
      <c r="E213" s="43" t="s">
        <v>1600</v>
      </c>
      <c r="F213" s="43" t="s">
        <v>8913</v>
      </c>
      <c r="G213" s="42" t="s">
        <v>6739</v>
      </c>
      <c r="H213" s="43" t="s">
        <v>440</v>
      </c>
      <c r="I213" s="43" t="s">
        <v>6741</v>
      </c>
      <c r="J213" s="55"/>
      <c r="K213" s="119">
        <f>IFERROR(VLOOKUP(B213,BD_CONTROL!$A$5:$M$4235,11,0),"")</f>
        <v>0</v>
      </c>
      <c r="L213" s="120">
        <f>IFERROR(VLOOKUP(B213,BD_CONTROL!$A$5:$M$4235,12,0),"")</f>
        <v>0</v>
      </c>
      <c r="M213" s="121">
        <f>IFERROR(VLOOKUP(B213,BD_CONTROL!$A$5:$M$4235,13,0),"")</f>
        <v>0</v>
      </c>
    </row>
    <row r="214" spans="1:13" ht="15" customHeight="1">
      <c r="A214" s="39">
        <v>209</v>
      </c>
      <c r="B214" s="39" t="s">
        <v>8923</v>
      </c>
      <c r="C214" s="40" t="s">
        <v>6735</v>
      </c>
      <c r="D214" s="39" t="s">
        <v>7142</v>
      </c>
      <c r="E214" s="40" t="s">
        <v>1600</v>
      </c>
      <c r="F214" s="40" t="s">
        <v>8913</v>
      </c>
      <c r="G214" s="39" t="s">
        <v>6739</v>
      </c>
      <c r="H214" s="40" t="s">
        <v>440</v>
      </c>
      <c r="I214" s="40" t="s">
        <v>6741</v>
      </c>
      <c r="J214" s="50"/>
      <c r="K214" s="116">
        <f>IFERROR(VLOOKUP(B214,BD_CONTROL!$A$5:$M$4235,11,0),"")</f>
        <v>0</v>
      </c>
      <c r="L214" s="117">
        <f>IFERROR(VLOOKUP(B214,BD_CONTROL!$A$5:$M$4235,12,0),"")</f>
        <v>0</v>
      </c>
      <c r="M214" s="118">
        <f>IFERROR(VLOOKUP(B214,BD_CONTROL!$A$5:$M$4235,13,0),"")</f>
        <v>0</v>
      </c>
    </row>
    <row r="215" spans="1:13" ht="15" customHeight="1">
      <c r="A215" s="42">
        <v>210</v>
      </c>
      <c r="B215" s="42" t="s">
        <v>8924</v>
      </c>
      <c r="C215" s="43" t="s">
        <v>6735</v>
      </c>
      <c r="D215" s="42" t="s">
        <v>7142</v>
      </c>
      <c r="E215" s="43" t="s">
        <v>1600</v>
      </c>
      <c r="F215" s="43" t="s">
        <v>8913</v>
      </c>
      <c r="G215" s="42" t="s">
        <v>6739</v>
      </c>
      <c r="H215" s="43" t="s">
        <v>440</v>
      </c>
      <c r="I215" s="43" t="s">
        <v>6741</v>
      </c>
      <c r="J215" s="55"/>
      <c r="K215" s="119">
        <f>IFERROR(VLOOKUP(B215,BD_CONTROL!$A$5:$M$4235,11,0),"")</f>
        <v>0</v>
      </c>
      <c r="L215" s="120">
        <f>IFERROR(VLOOKUP(B215,BD_CONTROL!$A$5:$M$4235,12,0),"")</f>
        <v>0</v>
      </c>
      <c r="M215" s="121">
        <f>IFERROR(VLOOKUP(B215,BD_CONTROL!$A$5:$M$4235,13,0),"")</f>
        <v>0</v>
      </c>
    </row>
    <row r="216" spans="1:13" ht="15" customHeight="1">
      <c r="A216" s="39">
        <v>211</v>
      </c>
      <c r="B216" s="39" t="s">
        <v>8925</v>
      </c>
      <c r="C216" s="40" t="s">
        <v>6735</v>
      </c>
      <c r="D216" s="39" t="s">
        <v>7142</v>
      </c>
      <c r="E216" s="40" t="s">
        <v>7172</v>
      </c>
      <c r="F216" s="40" t="s">
        <v>7172</v>
      </c>
      <c r="G216" s="39" t="s">
        <v>6739</v>
      </c>
      <c r="H216" s="40" t="s">
        <v>440</v>
      </c>
      <c r="I216" s="40" t="s">
        <v>6741</v>
      </c>
      <c r="J216" s="50"/>
      <c r="K216" s="116">
        <f>IFERROR(VLOOKUP(B216,BD_CONTROL!$A$5:$M$4235,11,0),"")</f>
        <v>0</v>
      </c>
      <c r="L216" s="117">
        <f>IFERROR(VLOOKUP(B216,BD_CONTROL!$A$5:$M$4235,12,0),"")</f>
        <v>0</v>
      </c>
      <c r="M216" s="118">
        <f>IFERROR(VLOOKUP(B216,BD_CONTROL!$A$5:$M$4235,13,0),"")</f>
        <v>0</v>
      </c>
    </row>
    <row r="217" spans="1:13" ht="15" customHeight="1">
      <c r="A217" s="42">
        <v>212</v>
      </c>
      <c r="B217" s="42" t="s">
        <v>8926</v>
      </c>
      <c r="C217" s="43" t="s">
        <v>6735</v>
      </c>
      <c r="D217" s="42" t="s">
        <v>7142</v>
      </c>
      <c r="E217" s="43" t="s">
        <v>7231</v>
      </c>
      <c r="F217" s="43" t="s">
        <v>7231</v>
      </c>
      <c r="G217" s="42" t="s">
        <v>6739</v>
      </c>
      <c r="H217" s="43" t="s">
        <v>440</v>
      </c>
      <c r="I217" s="43" t="s">
        <v>6741</v>
      </c>
      <c r="J217" s="55"/>
      <c r="K217" s="119">
        <f>IFERROR(VLOOKUP(B217,BD_CONTROL!$A$5:$M$4235,11,0),"")</f>
        <v>0</v>
      </c>
      <c r="L217" s="120">
        <f>IFERROR(VLOOKUP(B217,BD_CONTROL!$A$5:$M$4235,12,0),"")</f>
        <v>0</v>
      </c>
      <c r="M217" s="121">
        <f>IFERROR(VLOOKUP(B217,BD_CONTROL!$A$5:$M$4235,13,0),"")</f>
        <v>0</v>
      </c>
    </row>
    <row r="218" spans="1:13" ht="15" customHeight="1">
      <c r="A218" s="39">
        <v>213</v>
      </c>
      <c r="B218" s="39" t="s">
        <v>8927</v>
      </c>
      <c r="C218" s="40" t="s">
        <v>6735</v>
      </c>
      <c r="D218" s="39" t="s">
        <v>7142</v>
      </c>
      <c r="E218" s="40" t="s">
        <v>1600</v>
      </c>
      <c r="F218" s="40" t="s">
        <v>8913</v>
      </c>
      <c r="G218" s="39" t="s">
        <v>6739</v>
      </c>
      <c r="H218" s="40" t="s">
        <v>440</v>
      </c>
      <c r="I218" s="40" t="s">
        <v>6741</v>
      </c>
      <c r="J218" s="50"/>
      <c r="K218" s="116">
        <f>IFERROR(VLOOKUP(B218,BD_CONTROL!$A$5:$M$4235,11,0),"")</f>
        <v>0</v>
      </c>
      <c r="L218" s="117">
        <f>IFERROR(VLOOKUP(B218,BD_CONTROL!$A$5:$M$4235,12,0),"")</f>
        <v>0</v>
      </c>
      <c r="M218" s="118">
        <f>IFERROR(VLOOKUP(B218,BD_CONTROL!$A$5:$M$4235,13,0),"")</f>
        <v>0</v>
      </c>
    </row>
    <row r="219" spans="1:13" ht="15" customHeight="1">
      <c r="A219" s="42">
        <v>214</v>
      </c>
      <c r="B219" s="42" t="s">
        <v>8928</v>
      </c>
      <c r="C219" s="43" t="s">
        <v>6735</v>
      </c>
      <c r="D219" s="42" t="s">
        <v>7142</v>
      </c>
      <c r="E219" s="43" t="s">
        <v>1600</v>
      </c>
      <c r="F219" s="43" t="s">
        <v>8913</v>
      </c>
      <c r="G219" s="42" t="s">
        <v>6739</v>
      </c>
      <c r="H219" s="43" t="s">
        <v>440</v>
      </c>
      <c r="I219" s="43" t="s">
        <v>6741</v>
      </c>
      <c r="J219" s="55"/>
      <c r="K219" s="119">
        <f>IFERROR(VLOOKUP(B219,BD_CONTROL!$A$5:$M$4235,11,0),"")</f>
        <v>0</v>
      </c>
      <c r="L219" s="120">
        <f>IFERROR(VLOOKUP(B219,BD_CONTROL!$A$5:$M$4235,12,0),"")</f>
        <v>0</v>
      </c>
      <c r="M219" s="121">
        <f>IFERROR(VLOOKUP(B219,BD_CONTROL!$A$5:$M$4235,13,0),"")</f>
        <v>0</v>
      </c>
    </row>
    <row r="220" spans="1:13" ht="15" customHeight="1">
      <c r="A220" s="39">
        <v>215</v>
      </c>
      <c r="B220" s="39" t="s">
        <v>8929</v>
      </c>
      <c r="C220" s="40" t="s">
        <v>6735</v>
      </c>
      <c r="D220" s="39" t="s">
        <v>7142</v>
      </c>
      <c r="E220" s="40" t="s">
        <v>7231</v>
      </c>
      <c r="F220" s="40" t="s">
        <v>7231</v>
      </c>
      <c r="G220" s="39" t="s">
        <v>6739</v>
      </c>
      <c r="H220" s="40" t="s">
        <v>440</v>
      </c>
      <c r="I220" s="40" t="s">
        <v>6741</v>
      </c>
      <c r="J220" s="50"/>
      <c r="K220" s="116">
        <f>IFERROR(VLOOKUP(B220,BD_CONTROL!$A$5:$M$4235,11,0),"")</f>
        <v>0</v>
      </c>
      <c r="L220" s="117">
        <f>IFERROR(VLOOKUP(B220,BD_CONTROL!$A$5:$M$4235,12,0),"")</f>
        <v>0</v>
      </c>
      <c r="M220" s="118">
        <f>IFERROR(VLOOKUP(B220,BD_CONTROL!$A$5:$M$4235,13,0),"")</f>
        <v>0</v>
      </c>
    </row>
    <row r="221" spans="1:13" ht="15" customHeight="1">
      <c r="A221" s="42">
        <v>216</v>
      </c>
      <c r="B221" s="42" t="s">
        <v>8930</v>
      </c>
      <c r="C221" s="43" t="s">
        <v>6735</v>
      </c>
      <c r="D221" s="42" t="s">
        <v>7142</v>
      </c>
      <c r="E221" s="43" t="s">
        <v>7143</v>
      </c>
      <c r="F221" s="43" t="s">
        <v>7143</v>
      </c>
      <c r="G221" s="42" t="s">
        <v>6739</v>
      </c>
      <c r="H221" s="43" t="s">
        <v>440</v>
      </c>
      <c r="I221" s="43" t="s">
        <v>6741</v>
      </c>
      <c r="J221" s="55"/>
      <c r="K221" s="119" t="str">
        <f>IFERROR(VLOOKUP(B221,BD_CONTROL!$A$5:$M$4235,11,0),"")</f>
        <v>Instalado - Operando</v>
      </c>
      <c r="L221" s="120">
        <f>IFERROR(VLOOKUP(B221,BD_CONTROL!$A$5:$M$4235,12,0),"")</f>
        <v>46153</v>
      </c>
      <c r="M221" s="121">
        <f>IFERROR(VLOOKUP(B221,BD_CONTROL!$A$5:$M$4235,13,0),"")</f>
        <v>0</v>
      </c>
    </row>
    <row r="222" spans="1:13" ht="15" customHeight="1">
      <c r="A222" s="39">
        <v>217</v>
      </c>
      <c r="B222" s="39" t="s">
        <v>8931</v>
      </c>
      <c r="C222" s="40" t="s">
        <v>6735</v>
      </c>
      <c r="D222" s="39" t="s">
        <v>7142</v>
      </c>
      <c r="E222" s="40" t="s">
        <v>457</v>
      </c>
      <c r="F222" s="40" t="s">
        <v>7252</v>
      </c>
      <c r="G222" s="39" t="s">
        <v>6739</v>
      </c>
      <c r="H222" s="40" t="s">
        <v>440</v>
      </c>
      <c r="I222" s="40" t="s">
        <v>6741</v>
      </c>
      <c r="J222" s="50"/>
      <c r="K222" s="116">
        <f>IFERROR(VLOOKUP(B222,BD_CONTROL!$A$5:$M$4235,11,0),"")</f>
        <v>0</v>
      </c>
      <c r="L222" s="117">
        <f>IFERROR(VLOOKUP(B222,BD_CONTROL!$A$5:$M$4235,12,0),"")</f>
        <v>0</v>
      </c>
      <c r="M222" s="118">
        <f>IFERROR(VLOOKUP(B222,BD_CONTROL!$A$5:$M$4235,13,0),"")</f>
        <v>0</v>
      </c>
    </row>
    <row r="223" spans="1:13" ht="15" customHeight="1">
      <c r="A223" s="42">
        <v>218</v>
      </c>
      <c r="B223" s="42" t="s">
        <v>8932</v>
      </c>
      <c r="C223" s="43" t="s">
        <v>6735</v>
      </c>
      <c r="D223" s="42" t="s">
        <v>7142</v>
      </c>
      <c r="E223" s="43" t="s">
        <v>3260</v>
      </c>
      <c r="F223" s="43" t="s">
        <v>8933</v>
      </c>
      <c r="G223" s="42" t="s">
        <v>6739</v>
      </c>
      <c r="H223" s="43" t="s">
        <v>440</v>
      </c>
      <c r="I223" s="43" t="s">
        <v>6741</v>
      </c>
      <c r="J223" s="55"/>
      <c r="K223" s="119">
        <f>IFERROR(VLOOKUP(B223,BD_CONTROL!$A$5:$M$4235,11,0),"")</f>
        <v>0</v>
      </c>
      <c r="L223" s="120">
        <f>IFERROR(VLOOKUP(B223,BD_CONTROL!$A$5:$M$4235,12,0),"")</f>
        <v>0</v>
      </c>
      <c r="M223" s="121">
        <f>IFERROR(VLOOKUP(B223,BD_CONTROL!$A$5:$M$4235,13,0),"")</f>
        <v>0</v>
      </c>
    </row>
    <row r="224" spans="1:13" ht="15" customHeight="1">
      <c r="A224" s="39">
        <v>219</v>
      </c>
      <c r="B224" s="39" t="s">
        <v>8934</v>
      </c>
      <c r="C224" s="40" t="s">
        <v>6735</v>
      </c>
      <c r="D224" s="39" t="s">
        <v>7142</v>
      </c>
      <c r="E224" s="40" t="s">
        <v>1600</v>
      </c>
      <c r="F224" s="40" t="s">
        <v>8913</v>
      </c>
      <c r="G224" s="39" t="s">
        <v>6739</v>
      </c>
      <c r="H224" s="40" t="s">
        <v>440</v>
      </c>
      <c r="I224" s="40" t="s">
        <v>6741</v>
      </c>
      <c r="J224" s="50"/>
      <c r="K224" s="116">
        <f>IFERROR(VLOOKUP(B224,BD_CONTROL!$A$5:$M$4235,11,0),"")</f>
        <v>0</v>
      </c>
      <c r="L224" s="117">
        <f>IFERROR(VLOOKUP(B224,BD_CONTROL!$A$5:$M$4235,12,0),"")</f>
        <v>0</v>
      </c>
      <c r="M224" s="118">
        <f>IFERROR(VLOOKUP(B224,BD_CONTROL!$A$5:$M$4235,13,0),"")</f>
        <v>0</v>
      </c>
    </row>
    <row r="225" spans="1:13" ht="15" customHeight="1">
      <c r="A225" s="42">
        <v>220</v>
      </c>
      <c r="B225" s="42" t="s">
        <v>8935</v>
      </c>
      <c r="C225" s="43" t="s">
        <v>6735</v>
      </c>
      <c r="D225" s="42" t="s">
        <v>7142</v>
      </c>
      <c r="E225" s="43" t="s">
        <v>7177</v>
      </c>
      <c r="F225" s="43" t="s">
        <v>7177</v>
      </c>
      <c r="G225" s="42" t="s">
        <v>6739</v>
      </c>
      <c r="H225" s="43" t="s">
        <v>440</v>
      </c>
      <c r="I225" s="43" t="s">
        <v>6741</v>
      </c>
      <c r="J225" s="55"/>
      <c r="K225" s="119">
        <f>IFERROR(VLOOKUP(B225,BD_CONTROL!$A$5:$M$4235,11,0),"")</f>
        <v>0</v>
      </c>
      <c r="L225" s="120">
        <f>IFERROR(VLOOKUP(B225,BD_CONTROL!$A$5:$M$4235,12,0),"")</f>
        <v>0</v>
      </c>
      <c r="M225" s="121">
        <f>IFERROR(VLOOKUP(B225,BD_CONTROL!$A$5:$M$4235,13,0),"")</f>
        <v>0</v>
      </c>
    </row>
    <row r="226" spans="1:13" ht="15" customHeight="1">
      <c r="A226" s="39">
        <v>221</v>
      </c>
      <c r="B226" s="39" t="s">
        <v>8936</v>
      </c>
      <c r="C226" s="40" t="s">
        <v>6735</v>
      </c>
      <c r="D226" s="39" t="s">
        <v>7142</v>
      </c>
      <c r="E226" s="40" t="s">
        <v>7231</v>
      </c>
      <c r="F226" s="40" t="s">
        <v>7231</v>
      </c>
      <c r="G226" s="39" t="s">
        <v>6739</v>
      </c>
      <c r="H226" s="40" t="s">
        <v>440</v>
      </c>
      <c r="I226" s="40" t="s">
        <v>6741</v>
      </c>
      <c r="J226" s="50"/>
      <c r="K226" s="116">
        <f>IFERROR(VLOOKUP(B226,BD_CONTROL!$A$5:$M$4235,11,0),"")</f>
        <v>0</v>
      </c>
      <c r="L226" s="117">
        <f>IFERROR(VLOOKUP(B226,BD_CONTROL!$A$5:$M$4235,12,0),"")</f>
        <v>0</v>
      </c>
      <c r="M226" s="118">
        <f>IFERROR(VLOOKUP(B226,BD_CONTROL!$A$5:$M$4235,13,0),"")</f>
        <v>0</v>
      </c>
    </row>
    <row r="227" spans="1:13" ht="15" customHeight="1">
      <c r="A227" s="42">
        <v>222</v>
      </c>
      <c r="B227" s="42" t="s">
        <v>8937</v>
      </c>
      <c r="C227" s="43" t="s">
        <v>6735</v>
      </c>
      <c r="D227" s="42" t="s">
        <v>7142</v>
      </c>
      <c r="E227" s="43" t="s">
        <v>7231</v>
      </c>
      <c r="F227" s="43" t="s">
        <v>7231</v>
      </c>
      <c r="G227" s="42" t="s">
        <v>6739</v>
      </c>
      <c r="H227" s="43" t="s">
        <v>440</v>
      </c>
      <c r="I227" s="43" t="s">
        <v>6741</v>
      </c>
      <c r="J227" s="55"/>
      <c r="K227" s="119">
        <f>IFERROR(VLOOKUP(B227,BD_CONTROL!$A$5:$M$4235,11,0),"")</f>
        <v>0</v>
      </c>
      <c r="L227" s="120">
        <f>IFERROR(VLOOKUP(B227,BD_CONTROL!$A$5:$M$4235,12,0),"")</f>
        <v>0</v>
      </c>
      <c r="M227" s="121">
        <f>IFERROR(VLOOKUP(B227,BD_CONTROL!$A$5:$M$4235,13,0),"")</f>
        <v>0</v>
      </c>
    </row>
    <row r="228" spans="1:13" ht="15" customHeight="1">
      <c r="A228" s="39">
        <v>223</v>
      </c>
      <c r="B228" s="39" t="s">
        <v>8938</v>
      </c>
      <c r="C228" s="40" t="s">
        <v>6735</v>
      </c>
      <c r="D228" s="39" t="s">
        <v>7142</v>
      </c>
      <c r="E228" s="40" t="s">
        <v>7157</v>
      </c>
      <c r="F228" s="40" t="s">
        <v>7221</v>
      </c>
      <c r="G228" s="39" t="s">
        <v>6739</v>
      </c>
      <c r="H228" s="40" t="s">
        <v>440</v>
      </c>
      <c r="I228" s="40" t="s">
        <v>6741</v>
      </c>
      <c r="J228" s="50"/>
      <c r="K228" s="116">
        <f>IFERROR(VLOOKUP(B228,BD_CONTROL!$A$5:$M$4235,11,0),"")</f>
        <v>0</v>
      </c>
      <c r="L228" s="117">
        <f>IFERROR(VLOOKUP(B228,BD_CONTROL!$A$5:$M$4235,12,0),"")</f>
        <v>0</v>
      </c>
      <c r="M228" s="118">
        <f>IFERROR(VLOOKUP(B228,BD_CONTROL!$A$5:$M$4235,13,0),"")</f>
        <v>0</v>
      </c>
    </row>
    <row r="229" spans="1:13" ht="15" customHeight="1">
      <c r="A229" s="42">
        <v>224</v>
      </c>
      <c r="B229" s="42" t="s">
        <v>8939</v>
      </c>
      <c r="C229" s="43" t="s">
        <v>6735</v>
      </c>
      <c r="D229" s="42" t="s">
        <v>7142</v>
      </c>
      <c r="E229" s="43" t="s">
        <v>3260</v>
      </c>
      <c r="F229" s="43" t="s">
        <v>8933</v>
      </c>
      <c r="G229" s="42" t="s">
        <v>6739</v>
      </c>
      <c r="H229" s="43" t="s">
        <v>440</v>
      </c>
      <c r="I229" s="43" t="s">
        <v>6741</v>
      </c>
      <c r="J229" s="55"/>
      <c r="K229" s="119">
        <f>IFERROR(VLOOKUP(B229,BD_CONTROL!$A$5:$M$4235,11,0),"")</f>
        <v>0</v>
      </c>
      <c r="L229" s="120">
        <f>IFERROR(VLOOKUP(B229,BD_CONTROL!$A$5:$M$4235,12,0),"")</f>
        <v>0</v>
      </c>
      <c r="M229" s="121">
        <f>IFERROR(VLOOKUP(B229,BD_CONTROL!$A$5:$M$4235,13,0),"")</f>
        <v>0</v>
      </c>
    </row>
    <row r="230" spans="1:13" ht="15" customHeight="1">
      <c r="A230" s="39">
        <v>225</v>
      </c>
      <c r="B230" s="39" t="s">
        <v>8940</v>
      </c>
      <c r="C230" s="40" t="s">
        <v>6735</v>
      </c>
      <c r="D230" s="39" t="s">
        <v>7142</v>
      </c>
      <c r="E230" s="40" t="s">
        <v>521</v>
      </c>
      <c r="F230" s="40" t="s">
        <v>7259</v>
      </c>
      <c r="G230" s="39" t="s">
        <v>6739</v>
      </c>
      <c r="H230" s="40" t="s">
        <v>440</v>
      </c>
      <c r="I230" s="40" t="s">
        <v>6741</v>
      </c>
      <c r="J230" s="50"/>
      <c r="K230" s="116">
        <f>IFERROR(VLOOKUP(B230,BD_CONTROL!$A$5:$M$4235,11,0),"")</f>
        <v>0</v>
      </c>
      <c r="L230" s="117">
        <f>IFERROR(VLOOKUP(B230,BD_CONTROL!$A$5:$M$4235,12,0),"")</f>
        <v>0</v>
      </c>
      <c r="M230" s="118">
        <f>IFERROR(VLOOKUP(B230,BD_CONTROL!$A$5:$M$4235,13,0),"")</f>
        <v>0</v>
      </c>
    </row>
    <row r="231" spans="1:13" ht="15" customHeight="1">
      <c r="A231" s="42">
        <v>226</v>
      </c>
      <c r="B231" s="42" t="s">
        <v>8941</v>
      </c>
      <c r="C231" s="43" t="s">
        <v>6735</v>
      </c>
      <c r="D231" s="42" t="s">
        <v>7142</v>
      </c>
      <c r="E231" s="43" t="s">
        <v>7172</v>
      </c>
      <c r="F231" s="43" t="s">
        <v>7172</v>
      </c>
      <c r="G231" s="42" t="s">
        <v>6739</v>
      </c>
      <c r="H231" s="43" t="s">
        <v>440</v>
      </c>
      <c r="I231" s="43" t="s">
        <v>6741</v>
      </c>
      <c r="J231" s="55"/>
      <c r="K231" s="119">
        <f>IFERROR(VLOOKUP(B231,BD_CONTROL!$A$5:$M$4235,11,0),"")</f>
        <v>0</v>
      </c>
      <c r="L231" s="120">
        <f>IFERROR(VLOOKUP(B231,BD_CONTROL!$A$5:$M$4235,12,0),"")</f>
        <v>0</v>
      </c>
      <c r="M231" s="121">
        <f>IFERROR(VLOOKUP(B231,BD_CONTROL!$A$5:$M$4235,13,0),"")</f>
        <v>0</v>
      </c>
    </row>
    <row r="232" spans="1:13" ht="15" customHeight="1">
      <c r="A232" s="39">
        <v>227</v>
      </c>
      <c r="B232" s="39" t="s">
        <v>8942</v>
      </c>
      <c r="C232" s="40" t="s">
        <v>6735</v>
      </c>
      <c r="D232" s="39" t="s">
        <v>7142</v>
      </c>
      <c r="E232" s="40" t="s">
        <v>127</v>
      </c>
      <c r="F232" s="40" t="s">
        <v>127</v>
      </c>
      <c r="G232" s="39" t="s">
        <v>6739</v>
      </c>
      <c r="H232" s="40" t="s">
        <v>440</v>
      </c>
      <c r="I232" s="40" t="s">
        <v>6741</v>
      </c>
      <c r="J232" s="50"/>
      <c r="K232" s="116">
        <f>IFERROR(VLOOKUP(B232,BD_CONTROL!$A$5:$M$4235,11,0),"")</f>
        <v>0</v>
      </c>
      <c r="L232" s="117">
        <f>IFERROR(VLOOKUP(B232,BD_CONTROL!$A$5:$M$4235,12,0),"")</f>
        <v>0</v>
      </c>
      <c r="M232" s="118">
        <f>IFERROR(VLOOKUP(B232,BD_CONTROL!$A$5:$M$4235,13,0),"")</f>
        <v>0</v>
      </c>
    </row>
    <row r="233" spans="1:13" ht="15" customHeight="1">
      <c r="A233" s="42">
        <v>228</v>
      </c>
      <c r="B233" s="42" t="s">
        <v>8943</v>
      </c>
      <c r="C233" s="43" t="s">
        <v>6735</v>
      </c>
      <c r="D233" s="42" t="s">
        <v>7142</v>
      </c>
      <c r="E233" s="43" t="s">
        <v>1600</v>
      </c>
      <c r="F233" s="43" t="s">
        <v>8913</v>
      </c>
      <c r="G233" s="42" t="s">
        <v>6739</v>
      </c>
      <c r="H233" s="43" t="s">
        <v>440</v>
      </c>
      <c r="I233" s="43" t="s">
        <v>6741</v>
      </c>
      <c r="J233" s="55"/>
      <c r="K233" s="119">
        <f>IFERROR(VLOOKUP(B233,BD_CONTROL!$A$5:$M$4235,11,0),"")</f>
        <v>0</v>
      </c>
      <c r="L233" s="120">
        <f>IFERROR(VLOOKUP(B233,BD_CONTROL!$A$5:$M$4235,12,0),"")</f>
        <v>0</v>
      </c>
      <c r="M233" s="121">
        <f>IFERROR(VLOOKUP(B233,BD_CONTROL!$A$5:$M$4235,13,0),"")</f>
        <v>0</v>
      </c>
    </row>
    <row r="234" spans="1:13" ht="15" customHeight="1">
      <c r="A234" s="39">
        <v>229</v>
      </c>
      <c r="B234" s="39" t="s">
        <v>8944</v>
      </c>
      <c r="C234" s="40" t="s">
        <v>6735</v>
      </c>
      <c r="D234" s="39" t="s">
        <v>7142</v>
      </c>
      <c r="E234" s="40" t="s">
        <v>127</v>
      </c>
      <c r="F234" s="40" t="s">
        <v>127</v>
      </c>
      <c r="G234" s="39" t="s">
        <v>6739</v>
      </c>
      <c r="H234" s="40" t="s">
        <v>440</v>
      </c>
      <c r="I234" s="40" t="s">
        <v>6741</v>
      </c>
      <c r="J234" s="50"/>
      <c r="K234" s="116">
        <f>IFERROR(VLOOKUP(B234,BD_CONTROL!$A$5:$M$4235,11,0),"")</f>
        <v>0</v>
      </c>
      <c r="L234" s="117">
        <f>IFERROR(VLOOKUP(B234,BD_CONTROL!$A$5:$M$4235,12,0),"")</f>
        <v>0</v>
      </c>
      <c r="M234" s="118">
        <f>IFERROR(VLOOKUP(B234,BD_CONTROL!$A$5:$M$4235,13,0),"")</f>
        <v>0</v>
      </c>
    </row>
    <row r="235" spans="1:13" ht="15" customHeight="1">
      <c r="A235" s="42">
        <v>230</v>
      </c>
      <c r="B235" s="42" t="s">
        <v>8945</v>
      </c>
      <c r="C235" s="43" t="s">
        <v>6735</v>
      </c>
      <c r="D235" s="42" t="s">
        <v>7142</v>
      </c>
      <c r="E235" s="43" t="s">
        <v>457</v>
      </c>
      <c r="F235" s="43" t="s">
        <v>7252</v>
      </c>
      <c r="G235" s="42" t="s">
        <v>6739</v>
      </c>
      <c r="H235" s="43" t="s">
        <v>440</v>
      </c>
      <c r="I235" s="43" t="s">
        <v>6741</v>
      </c>
      <c r="J235" s="55"/>
      <c r="K235" s="119">
        <f>IFERROR(VLOOKUP(B235,BD_CONTROL!$A$5:$M$4235,11,0),"")</f>
        <v>0</v>
      </c>
      <c r="L235" s="120">
        <f>IFERROR(VLOOKUP(B235,BD_CONTROL!$A$5:$M$4235,12,0),"")</f>
        <v>0</v>
      </c>
      <c r="M235" s="121">
        <f>IFERROR(VLOOKUP(B235,BD_CONTROL!$A$5:$M$4235,13,0),"")</f>
        <v>0</v>
      </c>
    </row>
    <row r="236" spans="1:13" ht="15" customHeight="1">
      <c r="A236" s="39">
        <v>231</v>
      </c>
      <c r="B236" s="39" t="s">
        <v>8946</v>
      </c>
      <c r="C236" s="40" t="s">
        <v>6735</v>
      </c>
      <c r="D236" s="39" t="s">
        <v>7142</v>
      </c>
      <c r="E236" s="40" t="s">
        <v>7143</v>
      </c>
      <c r="F236" s="40" t="s">
        <v>7143</v>
      </c>
      <c r="G236" s="39" t="s">
        <v>6739</v>
      </c>
      <c r="H236" s="40" t="s">
        <v>440</v>
      </c>
      <c r="I236" s="40" t="s">
        <v>6741</v>
      </c>
      <c r="J236" s="50"/>
      <c r="K236" s="116" t="str">
        <f>IFERROR(VLOOKUP(B236,BD_CONTROL!$A$5:$M$4235,11,0),"")</f>
        <v>Instalado - Operando</v>
      </c>
      <c r="L236" s="117">
        <f>IFERROR(VLOOKUP(B236,BD_CONTROL!$A$5:$M$4235,12,0),"")</f>
        <v>46148</v>
      </c>
      <c r="M236" s="118">
        <f>IFERROR(VLOOKUP(B236,BD_CONTROL!$A$5:$M$4235,13,0),"")</f>
        <v>0</v>
      </c>
    </row>
    <row r="237" spans="1:13" ht="15" customHeight="1">
      <c r="A237" s="42">
        <v>232</v>
      </c>
      <c r="B237" s="42" t="s">
        <v>8947</v>
      </c>
      <c r="C237" s="43" t="s">
        <v>6735</v>
      </c>
      <c r="D237" s="42" t="s">
        <v>7142</v>
      </c>
      <c r="E237" s="43" t="s">
        <v>7143</v>
      </c>
      <c r="F237" s="43" t="s">
        <v>7143</v>
      </c>
      <c r="G237" s="42" t="s">
        <v>6739</v>
      </c>
      <c r="H237" s="43" t="s">
        <v>440</v>
      </c>
      <c r="I237" s="43" t="s">
        <v>6741</v>
      </c>
      <c r="J237" s="55"/>
      <c r="K237" s="119">
        <f>IFERROR(VLOOKUP(B237,BD_CONTROL!$A$5:$M$4235,11,0),"")</f>
        <v>0</v>
      </c>
      <c r="L237" s="120">
        <f>IFERROR(VLOOKUP(B237,BD_CONTROL!$A$5:$M$4235,12,0),"")</f>
        <v>0</v>
      </c>
      <c r="M237" s="121">
        <f>IFERROR(VLOOKUP(B237,BD_CONTROL!$A$5:$M$4235,13,0),"")</f>
        <v>0</v>
      </c>
    </row>
    <row r="238" spans="1:13" ht="15" customHeight="1">
      <c r="A238" s="39">
        <v>233</v>
      </c>
      <c r="B238" s="39" t="s">
        <v>8948</v>
      </c>
      <c r="C238" s="40" t="s">
        <v>6735</v>
      </c>
      <c r="D238" s="39" t="s">
        <v>7142</v>
      </c>
      <c r="E238" s="40" t="s">
        <v>7262</v>
      </c>
      <c r="F238" s="40" t="s">
        <v>7262</v>
      </c>
      <c r="G238" s="39" t="s">
        <v>6739</v>
      </c>
      <c r="H238" s="40" t="s">
        <v>440</v>
      </c>
      <c r="I238" s="40" t="s">
        <v>6741</v>
      </c>
      <c r="J238" s="50"/>
      <c r="K238" s="116">
        <f>IFERROR(VLOOKUP(B238,BD_CONTROL!$A$5:$M$4235,11,0),"")</f>
        <v>0</v>
      </c>
      <c r="L238" s="117">
        <f>IFERROR(VLOOKUP(B238,BD_CONTROL!$A$5:$M$4235,12,0),"")</f>
        <v>0</v>
      </c>
      <c r="M238" s="118">
        <f>IFERROR(VLOOKUP(B238,BD_CONTROL!$A$5:$M$4235,13,0),"")</f>
        <v>0</v>
      </c>
    </row>
    <row r="239" spans="1:13" ht="15" customHeight="1">
      <c r="A239" s="42">
        <v>234</v>
      </c>
      <c r="B239" s="42" t="s">
        <v>8949</v>
      </c>
      <c r="C239" s="43" t="s">
        <v>6735</v>
      </c>
      <c r="D239" s="42" t="s">
        <v>7142</v>
      </c>
      <c r="E239" s="43" t="s">
        <v>1600</v>
      </c>
      <c r="F239" s="43" t="s">
        <v>8913</v>
      </c>
      <c r="G239" s="42" t="s">
        <v>6739</v>
      </c>
      <c r="H239" s="43" t="s">
        <v>440</v>
      </c>
      <c r="I239" s="43" t="s">
        <v>6741</v>
      </c>
      <c r="J239" s="55"/>
      <c r="K239" s="119">
        <f>IFERROR(VLOOKUP(B239,BD_CONTROL!$A$5:$M$4235,11,0),"")</f>
        <v>0</v>
      </c>
      <c r="L239" s="120">
        <f>IFERROR(VLOOKUP(B239,BD_CONTROL!$A$5:$M$4235,12,0),"")</f>
        <v>0</v>
      </c>
      <c r="M239" s="121">
        <f>IFERROR(VLOOKUP(B239,BD_CONTROL!$A$5:$M$4235,13,0),"")</f>
        <v>0</v>
      </c>
    </row>
    <row r="240" spans="1:13" ht="15" customHeight="1">
      <c r="A240" s="39">
        <v>235</v>
      </c>
      <c r="B240" s="39" t="s">
        <v>8950</v>
      </c>
      <c r="C240" s="40" t="s">
        <v>6735</v>
      </c>
      <c r="D240" s="39" t="s">
        <v>7142</v>
      </c>
      <c r="E240" s="40" t="s">
        <v>1600</v>
      </c>
      <c r="F240" s="40" t="s">
        <v>8913</v>
      </c>
      <c r="G240" s="39" t="s">
        <v>6739</v>
      </c>
      <c r="H240" s="40" t="s">
        <v>440</v>
      </c>
      <c r="I240" s="40" t="s">
        <v>6741</v>
      </c>
      <c r="J240" s="50"/>
      <c r="K240" s="116">
        <f>IFERROR(VLOOKUP(B240,BD_CONTROL!$A$5:$M$4235,11,0),"")</f>
        <v>0</v>
      </c>
      <c r="L240" s="117">
        <f>IFERROR(VLOOKUP(B240,BD_CONTROL!$A$5:$M$4235,12,0),"")</f>
        <v>0</v>
      </c>
      <c r="M240" s="118">
        <f>IFERROR(VLOOKUP(B240,BD_CONTROL!$A$5:$M$4235,13,0),"")</f>
        <v>0</v>
      </c>
    </row>
    <row r="241" spans="1:13" ht="15" customHeight="1">
      <c r="A241" s="42">
        <v>236</v>
      </c>
      <c r="B241" s="42" t="s">
        <v>8951</v>
      </c>
      <c r="C241" s="43" t="s">
        <v>6735</v>
      </c>
      <c r="D241" s="42" t="s">
        <v>7142</v>
      </c>
      <c r="E241" s="43" t="s">
        <v>7231</v>
      </c>
      <c r="F241" s="43" t="s">
        <v>7231</v>
      </c>
      <c r="G241" s="42" t="s">
        <v>6739</v>
      </c>
      <c r="H241" s="43" t="s">
        <v>440</v>
      </c>
      <c r="I241" s="43" t="s">
        <v>6741</v>
      </c>
      <c r="J241" s="55"/>
      <c r="K241" s="119">
        <f>IFERROR(VLOOKUP(B241,BD_CONTROL!$A$5:$M$4235,11,0),"")</f>
        <v>0</v>
      </c>
      <c r="L241" s="120">
        <f>IFERROR(VLOOKUP(B241,BD_CONTROL!$A$5:$M$4235,12,0),"")</f>
        <v>0</v>
      </c>
      <c r="M241" s="121">
        <f>IFERROR(VLOOKUP(B241,BD_CONTROL!$A$5:$M$4235,13,0),"")</f>
        <v>0</v>
      </c>
    </row>
    <row r="242" spans="1:13" ht="15" customHeight="1">
      <c r="A242" s="39">
        <v>237</v>
      </c>
      <c r="B242" s="39" t="s">
        <v>8952</v>
      </c>
      <c r="C242" s="40" t="s">
        <v>6735</v>
      </c>
      <c r="D242" s="39" t="s">
        <v>7142</v>
      </c>
      <c r="E242" s="40" t="s">
        <v>521</v>
      </c>
      <c r="F242" s="40" t="s">
        <v>7259</v>
      </c>
      <c r="G242" s="39" t="s">
        <v>6739</v>
      </c>
      <c r="H242" s="40" t="s">
        <v>440</v>
      </c>
      <c r="I242" s="40" t="s">
        <v>6741</v>
      </c>
      <c r="J242" s="50"/>
      <c r="K242" s="116">
        <f>IFERROR(VLOOKUP(B242,BD_CONTROL!$A$5:$M$4235,11,0),"")</f>
        <v>0</v>
      </c>
      <c r="L242" s="117">
        <f>IFERROR(VLOOKUP(B242,BD_CONTROL!$A$5:$M$4235,12,0),"")</f>
        <v>0</v>
      </c>
      <c r="M242" s="118">
        <f>IFERROR(VLOOKUP(B242,BD_CONTROL!$A$5:$M$4235,13,0),"")</f>
        <v>0</v>
      </c>
    </row>
    <row r="243" spans="1:13" ht="15" customHeight="1">
      <c r="A243" s="42">
        <v>238</v>
      </c>
      <c r="B243" s="42" t="s">
        <v>8953</v>
      </c>
      <c r="C243" s="43" t="s">
        <v>6735</v>
      </c>
      <c r="D243" s="42" t="s">
        <v>7142</v>
      </c>
      <c r="E243" s="43" t="s">
        <v>7172</v>
      </c>
      <c r="F243" s="43" t="s">
        <v>7172</v>
      </c>
      <c r="G243" s="42" t="s">
        <v>6739</v>
      </c>
      <c r="H243" s="43" t="s">
        <v>440</v>
      </c>
      <c r="I243" s="43" t="s">
        <v>6741</v>
      </c>
      <c r="J243" s="55"/>
      <c r="K243" s="119">
        <f>IFERROR(VLOOKUP(B243,BD_CONTROL!$A$5:$M$4235,11,0),"")</f>
        <v>0</v>
      </c>
      <c r="L243" s="120">
        <f>IFERROR(VLOOKUP(B243,BD_CONTROL!$A$5:$M$4235,12,0),"")</f>
        <v>0</v>
      </c>
      <c r="M243" s="121">
        <f>IFERROR(VLOOKUP(B243,BD_CONTROL!$A$5:$M$4235,13,0),"")</f>
        <v>0</v>
      </c>
    </row>
    <row r="244" spans="1:13" ht="15" customHeight="1">
      <c r="A244" s="39">
        <v>239</v>
      </c>
      <c r="B244" s="39" t="s">
        <v>8954</v>
      </c>
      <c r="C244" s="40" t="s">
        <v>6735</v>
      </c>
      <c r="D244" s="39" t="s">
        <v>7142</v>
      </c>
      <c r="E244" s="40" t="s">
        <v>7231</v>
      </c>
      <c r="F244" s="40" t="s">
        <v>7231</v>
      </c>
      <c r="G244" s="39" t="s">
        <v>6739</v>
      </c>
      <c r="H244" s="40" t="s">
        <v>440</v>
      </c>
      <c r="I244" s="40" t="s">
        <v>6741</v>
      </c>
      <c r="J244" s="50"/>
      <c r="K244" s="116">
        <f>IFERROR(VLOOKUP(B244,BD_CONTROL!$A$5:$M$4235,11,0),"")</f>
        <v>0</v>
      </c>
      <c r="L244" s="117">
        <f>IFERROR(VLOOKUP(B244,BD_CONTROL!$A$5:$M$4235,12,0),"")</f>
        <v>0</v>
      </c>
      <c r="M244" s="118">
        <f>IFERROR(VLOOKUP(B244,BD_CONTROL!$A$5:$M$4235,13,0),"")</f>
        <v>0</v>
      </c>
    </row>
    <row r="245" spans="1:13" ht="15" customHeight="1">
      <c r="A245" s="42">
        <v>240</v>
      </c>
      <c r="B245" s="42" t="s">
        <v>8955</v>
      </c>
      <c r="C245" s="43" t="s">
        <v>6735</v>
      </c>
      <c r="D245" s="42" t="s">
        <v>7142</v>
      </c>
      <c r="E245" s="43" t="s">
        <v>7231</v>
      </c>
      <c r="F245" s="43" t="s">
        <v>7231</v>
      </c>
      <c r="G245" s="42" t="s">
        <v>6739</v>
      </c>
      <c r="H245" s="43" t="s">
        <v>440</v>
      </c>
      <c r="I245" s="43" t="s">
        <v>6741</v>
      </c>
      <c r="J245" s="55"/>
      <c r="K245" s="119">
        <f>IFERROR(VLOOKUP(B245,BD_CONTROL!$A$5:$M$4235,11,0),"")</f>
        <v>0</v>
      </c>
      <c r="L245" s="120">
        <f>IFERROR(VLOOKUP(B245,BD_CONTROL!$A$5:$M$4235,12,0),"")</f>
        <v>0</v>
      </c>
      <c r="M245" s="121">
        <f>IFERROR(VLOOKUP(B245,BD_CONTROL!$A$5:$M$4235,13,0),"")</f>
        <v>0</v>
      </c>
    </row>
    <row r="246" spans="1:13" ht="15" customHeight="1">
      <c r="A246" s="39">
        <v>241</v>
      </c>
      <c r="B246" s="39" t="s">
        <v>8956</v>
      </c>
      <c r="C246" s="40" t="s">
        <v>6735</v>
      </c>
      <c r="D246" s="39" t="s">
        <v>7142</v>
      </c>
      <c r="E246" s="40" t="s">
        <v>7231</v>
      </c>
      <c r="F246" s="40" t="s">
        <v>7231</v>
      </c>
      <c r="G246" s="39" t="s">
        <v>6739</v>
      </c>
      <c r="H246" s="40" t="s">
        <v>440</v>
      </c>
      <c r="I246" s="40" t="s">
        <v>6741</v>
      </c>
      <c r="J246" s="50"/>
      <c r="K246" s="116">
        <f>IFERROR(VLOOKUP(B246,BD_CONTROL!$A$5:$M$4235,11,0),"")</f>
        <v>0</v>
      </c>
      <c r="L246" s="117">
        <f>IFERROR(VLOOKUP(B246,BD_CONTROL!$A$5:$M$4235,12,0),"")</f>
        <v>0</v>
      </c>
      <c r="M246" s="118">
        <f>IFERROR(VLOOKUP(B246,BD_CONTROL!$A$5:$M$4235,13,0),"")</f>
        <v>0</v>
      </c>
    </row>
    <row r="247" spans="1:13" ht="15" customHeight="1">
      <c r="A247" s="42">
        <v>242</v>
      </c>
      <c r="B247" s="42" t="s">
        <v>8957</v>
      </c>
      <c r="C247" s="43" t="s">
        <v>6735</v>
      </c>
      <c r="D247" s="42" t="s">
        <v>7142</v>
      </c>
      <c r="E247" s="43" t="s">
        <v>7262</v>
      </c>
      <c r="F247" s="43" t="s">
        <v>7262</v>
      </c>
      <c r="G247" s="42" t="s">
        <v>6739</v>
      </c>
      <c r="H247" s="43" t="s">
        <v>440</v>
      </c>
      <c r="I247" s="43" t="s">
        <v>6741</v>
      </c>
      <c r="J247" s="55"/>
      <c r="K247" s="119">
        <f>IFERROR(VLOOKUP(B247,BD_CONTROL!$A$5:$M$4235,11,0),"")</f>
        <v>0</v>
      </c>
      <c r="L247" s="120">
        <f>IFERROR(VLOOKUP(B247,BD_CONTROL!$A$5:$M$4235,12,0),"")</f>
        <v>0</v>
      </c>
      <c r="M247" s="121">
        <f>IFERROR(VLOOKUP(B247,BD_CONTROL!$A$5:$M$4235,13,0),"")</f>
        <v>0</v>
      </c>
    </row>
    <row r="248" spans="1:13" ht="15" customHeight="1">
      <c r="A248" s="39">
        <v>243</v>
      </c>
      <c r="B248" s="39" t="s">
        <v>8958</v>
      </c>
      <c r="C248" s="40" t="s">
        <v>6735</v>
      </c>
      <c r="D248" s="39" t="s">
        <v>7142</v>
      </c>
      <c r="E248" s="40" t="s">
        <v>7262</v>
      </c>
      <c r="F248" s="40" t="s">
        <v>7262</v>
      </c>
      <c r="G248" s="39" t="s">
        <v>6739</v>
      </c>
      <c r="H248" s="40" t="s">
        <v>440</v>
      </c>
      <c r="I248" s="40" t="s">
        <v>6741</v>
      </c>
      <c r="J248" s="50"/>
      <c r="K248" s="116">
        <f>IFERROR(VLOOKUP(B248,BD_CONTROL!$A$5:$M$4235,11,0),"")</f>
        <v>0</v>
      </c>
      <c r="L248" s="117">
        <f>IFERROR(VLOOKUP(B248,BD_CONTROL!$A$5:$M$4235,12,0),"")</f>
        <v>0</v>
      </c>
      <c r="M248" s="118">
        <f>IFERROR(VLOOKUP(B248,BD_CONTROL!$A$5:$M$4235,13,0),"")</f>
        <v>0</v>
      </c>
    </row>
    <row r="249" spans="1:13" ht="15" customHeight="1">
      <c r="A249" s="42">
        <v>244</v>
      </c>
      <c r="B249" s="42" t="s">
        <v>8959</v>
      </c>
      <c r="C249" s="43" t="s">
        <v>6735</v>
      </c>
      <c r="D249" s="42" t="s">
        <v>7142</v>
      </c>
      <c r="E249" s="43" t="s">
        <v>457</v>
      </c>
      <c r="F249" s="43" t="s">
        <v>7252</v>
      </c>
      <c r="G249" s="42" t="s">
        <v>6739</v>
      </c>
      <c r="H249" s="43" t="s">
        <v>440</v>
      </c>
      <c r="I249" s="43" t="s">
        <v>6741</v>
      </c>
      <c r="J249" s="55"/>
      <c r="K249" s="119">
        <f>IFERROR(VLOOKUP(B249,BD_CONTROL!$A$5:$M$4235,11,0),"")</f>
        <v>0</v>
      </c>
      <c r="L249" s="120">
        <f>IFERROR(VLOOKUP(B249,BD_CONTROL!$A$5:$M$4235,12,0),"")</f>
        <v>0</v>
      </c>
      <c r="M249" s="121">
        <f>IFERROR(VLOOKUP(B249,BD_CONTROL!$A$5:$M$4235,13,0),"")</f>
        <v>0</v>
      </c>
    </row>
    <row r="250" spans="1:13" ht="15" customHeight="1">
      <c r="A250" s="39">
        <v>245</v>
      </c>
      <c r="B250" s="39" t="s">
        <v>8960</v>
      </c>
      <c r="C250" s="40" t="s">
        <v>6735</v>
      </c>
      <c r="D250" s="39" t="s">
        <v>7142</v>
      </c>
      <c r="E250" s="40" t="s">
        <v>7143</v>
      </c>
      <c r="F250" s="40" t="s">
        <v>7143</v>
      </c>
      <c r="G250" s="39" t="s">
        <v>6739</v>
      </c>
      <c r="H250" s="40" t="s">
        <v>440</v>
      </c>
      <c r="I250" s="40" t="s">
        <v>6741</v>
      </c>
      <c r="J250" s="50"/>
      <c r="K250" s="116" t="str">
        <f>IFERROR(VLOOKUP(B250,BD_CONTROL!$A$5:$M$4235,11,0),"")</f>
        <v>Instalado - Operando</v>
      </c>
      <c r="L250" s="117">
        <f>IFERROR(VLOOKUP(B250,BD_CONTROL!$A$5:$M$4235,12,0),"")</f>
        <v>46150</v>
      </c>
      <c r="M250" s="118">
        <f>IFERROR(VLOOKUP(B250,BD_CONTROL!$A$5:$M$4235,13,0),"")</f>
        <v>0</v>
      </c>
    </row>
    <row r="251" spans="1:13" ht="15" customHeight="1">
      <c r="A251" s="42">
        <v>246</v>
      </c>
      <c r="B251" s="42" t="s">
        <v>8961</v>
      </c>
      <c r="C251" s="43" t="s">
        <v>6735</v>
      </c>
      <c r="D251" s="42" t="s">
        <v>7142</v>
      </c>
      <c r="E251" s="43" t="s">
        <v>1600</v>
      </c>
      <c r="F251" s="43" t="s">
        <v>8913</v>
      </c>
      <c r="G251" s="42" t="s">
        <v>6739</v>
      </c>
      <c r="H251" s="43" t="s">
        <v>440</v>
      </c>
      <c r="I251" s="43" t="s">
        <v>6741</v>
      </c>
      <c r="J251" s="55"/>
      <c r="K251" s="119">
        <f>IFERROR(VLOOKUP(B251,BD_CONTROL!$A$5:$M$4235,11,0),"")</f>
        <v>0</v>
      </c>
      <c r="L251" s="120">
        <f>IFERROR(VLOOKUP(B251,BD_CONTROL!$A$5:$M$4235,12,0),"")</f>
        <v>0</v>
      </c>
      <c r="M251" s="121">
        <f>IFERROR(VLOOKUP(B251,BD_CONTROL!$A$5:$M$4235,13,0),"")</f>
        <v>0</v>
      </c>
    </row>
    <row r="252" spans="1:13" ht="15" customHeight="1">
      <c r="A252" s="39">
        <v>247</v>
      </c>
      <c r="B252" s="39" t="s">
        <v>8962</v>
      </c>
      <c r="C252" s="40" t="s">
        <v>6735</v>
      </c>
      <c r="D252" s="39" t="s">
        <v>7142</v>
      </c>
      <c r="E252" s="40" t="s">
        <v>521</v>
      </c>
      <c r="F252" s="40" t="s">
        <v>7259</v>
      </c>
      <c r="G252" s="39" t="s">
        <v>6739</v>
      </c>
      <c r="H252" s="40" t="s">
        <v>440</v>
      </c>
      <c r="I252" s="40" t="s">
        <v>6741</v>
      </c>
      <c r="J252" s="50"/>
      <c r="K252" s="116">
        <f>IFERROR(VLOOKUP(B252,BD_CONTROL!$A$5:$M$4235,11,0),"")</f>
        <v>0</v>
      </c>
      <c r="L252" s="117">
        <f>IFERROR(VLOOKUP(B252,BD_CONTROL!$A$5:$M$4235,12,0),"")</f>
        <v>0</v>
      </c>
      <c r="M252" s="118">
        <f>IFERROR(VLOOKUP(B252,BD_CONTROL!$A$5:$M$4235,13,0),"")</f>
        <v>0</v>
      </c>
    </row>
    <row r="253" spans="1:13" ht="15" customHeight="1">
      <c r="A253" s="42">
        <v>248</v>
      </c>
      <c r="B253" s="42" t="s">
        <v>8963</v>
      </c>
      <c r="C253" s="43" t="s">
        <v>6735</v>
      </c>
      <c r="D253" s="42" t="s">
        <v>7142</v>
      </c>
      <c r="E253" s="43" t="s">
        <v>521</v>
      </c>
      <c r="F253" s="43" t="s">
        <v>7259</v>
      </c>
      <c r="G253" s="42" t="s">
        <v>6739</v>
      </c>
      <c r="H253" s="43" t="s">
        <v>440</v>
      </c>
      <c r="I253" s="43" t="s">
        <v>6741</v>
      </c>
      <c r="J253" s="55"/>
      <c r="K253" s="119">
        <f>IFERROR(VLOOKUP(B253,BD_CONTROL!$A$5:$M$4235,11,0),"")</f>
        <v>0</v>
      </c>
      <c r="L253" s="120">
        <f>IFERROR(VLOOKUP(B253,BD_CONTROL!$A$5:$M$4235,12,0),"")</f>
        <v>0</v>
      </c>
      <c r="M253" s="121">
        <f>IFERROR(VLOOKUP(B253,BD_CONTROL!$A$5:$M$4235,13,0),"")</f>
        <v>0</v>
      </c>
    </row>
    <row r="254" spans="1:13" ht="15" customHeight="1">
      <c r="A254" s="39">
        <v>249</v>
      </c>
      <c r="B254" s="39" t="s">
        <v>8964</v>
      </c>
      <c r="C254" s="40" t="s">
        <v>6735</v>
      </c>
      <c r="D254" s="39" t="s">
        <v>7142</v>
      </c>
      <c r="E254" s="40" t="s">
        <v>510</v>
      </c>
      <c r="F254" s="40" t="s">
        <v>8965</v>
      </c>
      <c r="G254" s="39" t="s">
        <v>6739</v>
      </c>
      <c r="H254" s="40" t="s">
        <v>440</v>
      </c>
      <c r="I254" s="40" t="s">
        <v>6741</v>
      </c>
      <c r="J254" s="50"/>
      <c r="K254" s="116">
        <f>IFERROR(VLOOKUP(B254,BD_CONTROL!$A$5:$M$4235,11,0),"")</f>
        <v>0</v>
      </c>
      <c r="L254" s="117">
        <f>IFERROR(VLOOKUP(B254,BD_CONTROL!$A$5:$M$4235,12,0),"")</f>
        <v>0</v>
      </c>
      <c r="M254" s="118">
        <f>IFERROR(VLOOKUP(B254,BD_CONTROL!$A$5:$M$4235,13,0),"")</f>
        <v>0</v>
      </c>
    </row>
    <row r="255" spans="1:13" ht="15" customHeight="1">
      <c r="A255" s="42">
        <v>250</v>
      </c>
      <c r="B255" s="42" t="s">
        <v>8966</v>
      </c>
      <c r="C255" s="43" t="s">
        <v>6735</v>
      </c>
      <c r="D255" s="42" t="s">
        <v>7142</v>
      </c>
      <c r="E255" s="43" t="s">
        <v>7231</v>
      </c>
      <c r="F255" s="43" t="s">
        <v>7231</v>
      </c>
      <c r="G255" s="42" t="s">
        <v>6739</v>
      </c>
      <c r="H255" s="43" t="s">
        <v>440</v>
      </c>
      <c r="I255" s="43" t="s">
        <v>6741</v>
      </c>
      <c r="J255" s="55"/>
      <c r="K255" s="119">
        <f>IFERROR(VLOOKUP(B255,BD_CONTROL!$A$5:$M$4235,11,0),"")</f>
        <v>0</v>
      </c>
      <c r="L255" s="120">
        <f>IFERROR(VLOOKUP(B255,BD_CONTROL!$A$5:$M$4235,12,0),"")</f>
        <v>0</v>
      </c>
      <c r="M255" s="121">
        <f>IFERROR(VLOOKUP(B255,BD_CONTROL!$A$5:$M$4235,13,0),"")</f>
        <v>0</v>
      </c>
    </row>
    <row r="256" spans="1:13" ht="15" customHeight="1">
      <c r="A256" s="39">
        <v>251</v>
      </c>
      <c r="B256" s="39" t="s">
        <v>8967</v>
      </c>
      <c r="C256" s="40" t="s">
        <v>6735</v>
      </c>
      <c r="D256" s="39" t="s">
        <v>7142</v>
      </c>
      <c r="E256" s="40" t="s">
        <v>7143</v>
      </c>
      <c r="F256" s="40" t="s">
        <v>7143</v>
      </c>
      <c r="G256" s="39" t="s">
        <v>6739</v>
      </c>
      <c r="H256" s="40" t="s">
        <v>440</v>
      </c>
      <c r="I256" s="40" t="s">
        <v>6741</v>
      </c>
      <c r="J256" s="50"/>
      <c r="K256" s="116">
        <f>IFERROR(VLOOKUP(B256,BD_CONTROL!$A$5:$M$4235,11,0),"")</f>
        <v>0</v>
      </c>
      <c r="L256" s="117">
        <f>IFERROR(VLOOKUP(B256,BD_CONTROL!$A$5:$M$4235,12,0),"")</f>
        <v>0</v>
      </c>
      <c r="M256" s="118">
        <f>IFERROR(VLOOKUP(B256,BD_CONTROL!$A$5:$M$4235,13,0),"")</f>
        <v>0</v>
      </c>
    </row>
    <row r="257" spans="1:13" ht="15" customHeight="1">
      <c r="A257" s="42">
        <v>252</v>
      </c>
      <c r="B257" s="42" t="s">
        <v>8968</v>
      </c>
      <c r="C257" s="43" t="s">
        <v>6735</v>
      </c>
      <c r="D257" s="42" t="s">
        <v>7142</v>
      </c>
      <c r="E257" s="43" t="s">
        <v>7231</v>
      </c>
      <c r="F257" s="43" t="s">
        <v>7231</v>
      </c>
      <c r="G257" s="42" t="s">
        <v>6739</v>
      </c>
      <c r="H257" s="43" t="s">
        <v>440</v>
      </c>
      <c r="I257" s="43" t="s">
        <v>6741</v>
      </c>
      <c r="J257" s="55"/>
      <c r="K257" s="119">
        <f>IFERROR(VLOOKUP(B257,BD_CONTROL!$A$5:$M$4235,11,0),"")</f>
        <v>0</v>
      </c>
      <c r="L257" s="120">
        <f>IFERROR(VLOOKUP(B257,BD_CONTROL!$A$5:$M$4235,12,0),"")</f>
        <v>0</v>
      </c>
      <c r="M257" s="121">
        <f>IFERROR(VLOOKUP(B257,BD_CONTROL!$A$5:$M$4235,13,0),"")</f>
        <v>0</v>
      </c>
    </row>
    <row r="258" spans="1:13" ht="15" customHeight="1">
      <c r="A258" s="39">
        <v>253</v>
      </c>
      <c r="B258" s="39" t="s">
        <v>8969</v>
      </c>
      <c r="C258" s="40" t="s">
        <v>6735</v>
      </c>
      <c r="D258" s="39" t="s">
        <v>7142</v>
      </c>
      <c r="E258" s="40" t="s">
        <v>1600</v>
      </c>
      <c r="F258" s="40" t="s">
        <v>8913</v>
      </c>
      <c r="G258" s="39" t="s">
        <v>6739</v>
      </c>
      <c r="H258" s="40" t="s">
        <v>440</v>
      </c>
      <c r="I258" s="40" t="s">
        <v>6741</v>
      </c>
      <c r="J258" s="50"/>
      <c r="K258" s="116">
        <f>IFERROR(VLOOKUP(B258,BD_CONTROL!$A$5:$M$4235,11,0),"")</f>
        <v>0</v>
      </c>
      <c r="L258" s="117">
        <f>IFERROR(VLOOKUP(B258,BD_CONTROL!$A$5:$M$4235,12,0),"")</f>
        <v>0</v>
      </c>
      <c r="M258" s="118">
        <f>IFERROR(VLOOKUP(B258,BD_CONTROL!$A$5:$M$4235,13,0),"")</f>
        <v>0</v>
      </c>
    </row>
    <row r="259" spans="1:13" ht="15" customHeight="1">
      <c r="A259" s="42">
        <v>254</v>
      </c>
      <c r="B259" s="42" t="s">
        <v>8970</v>
      </c>
      <c r="C259" s="43" t="s">
        <v>6735</v>
      </c>
      <c r="D259" s="42" t="s">
        <v>7142</v>
      </c>
      <c r="E259" s="43" t="s">
        <v>7231</v>
      </c>
      <c r="F259" s="43" t="s">
        <v>7231</v>
      </c>
      <c r="G259" s="42" t="s">
        <v>6739</v>
      </c>
      <c r="H259" s="43" t="s">
        <v>440</v>
      </c>
      <c r="I259" s="43" t="s">
        <v>6741</v>
      </c>
      <c r="J259" s="55"/>
      <c r="K259" s="119">
        <f>IFERROR(VLOOKUP(B259,BD_CONTROL!$A$5:$M$4235,11,0),"")</f>
        <v>0</v>
      </c>
      <c r="L259" s="120">
        <f>IFERROR(VLOOKUP(B259,BD_CONTROL!$A$5:$M$4235,12,0),"")</f>
        <v>0</v>
      </c>
      <c r="M259" s="121">
        <f>IFERROR(VLOOKUP(B259,BD_CONTROL!$A$5:$M$4235,13,0),"")</f>
        <v>0</v>
      </c>
    </row>
    <row r="260" spans="1:13" ht="15" customHeight="1">
      <c r="A260" s="39">
        <v>255</v>
      </c>
      <c r="B260" s="39" t="s">
        <v>8971</v>
      </c>
      <c r="C260" s="40" t="s">
        <v>6735</v>
      </c>
      <c r="D260" s="39" t="s">
        <v>7142</v>
      </c>
      <c r="E260" s="40" t="s">
        <v>7231</v>
      </c>
      <c r="F260" s="40" t="s">
        <v>7231</v>
      </c>
      <c r="G260" s="39" t="s">
        <v>6739</v>
      </c>
      <c r="H260" s="40" t="s">
        <v>440</v>
      </c>
      <c r="I260" s="40" t="s">
        <v>6741</v>
      </c>
      <c r="J260" s="50"/>
      <c r="K260" s="116">
        <f>IFERROR(VLOOKUP(B260,BD_CONTROL!$A$5:$M$4235,11,0),"")</f>
        <v>0</v>
      </c>
      <c r="L260" s="117">
        <f>IFERROR(VLOOKUP(B260,BD_CONTROL!$A$5:$M$4235,12,0),"")</f>
        <v>0</v>
      </c>
      <c r="M260" s="118">
        <f>IFERROR(VLOOKUP(B260,BD_CONTROL!$A$5:$M$4235,13,0),"")</f>
        <v>0</v>
      </c>
    </row>
    <row r="261" spans="1:13" ht="15" customHeight="1">
      <c r="A261" s="42">
        <v>256</v>
      </c>
      <c r="B261" s="42" t="s">
        <v>8972</v>
      </c>
      <c r="C261" s="43" t="s">
        <v>6735</v>
      </c>
      <c r="D261" s="42" t="s">
        <v>7142</v>
      </c>
      <c r="E261" s="43" t="s">
        <v>521</v>
      </c>
      <c r="F261" s="43" t="s">
        <v>7259</v>
      </c>
      <c r="G261" s="42" t="s">
        <v>6739</v>
      </c>
      <c r="H261" s="43" t="s">
        <v>440</v>
      </c>
      <c r="I261" s="43" t="s">
        <v>6741</v>
      </c>
      <c r="J261" s="55"/>
      <c r="K261" s="119">
        <f>IFERROR(VLOOKUP(B261,BD_CONTROL!$A$5:$M$4235,11,0),"")</f>
        <v>0</v>
      </c>
      <c r="L261" s="120">
        <f>IFERROR(VLOOKUP(B261,BD_CONTROL!$A$5:$M$4235,12,0),"")</f>
        <v>0</v>
      </c>
      <c r="M261" s="121">
        <f>IFERROR(VLOOKUP(B261,BD_CONTROL!$A$5:$M$4235,13,0),"")</f>
        <v>0</v>
      </c>
    </row>
    <row r="262" spans="1:13" ht="15" customHeight="1">
      <c r="A262" s="39">
        <v>257</v>
      </c>
      <c r="B262" s="39" t="s">
        <v>8973</v>
      </c>
      <c r="C262" s="40" t="s">
        <v>6735</v>
      </c>
      <c r="D262" s="39" t="s">
        <v>7142</v>
      </c>
      <c r="E262" s="40" t="s">
        <v>521</v>
      </c>
      <c r="F262" s="40" t="s">
        <v>8885</v>
      </c>
      <c r="G262" s="39" t="s">
        <v>6739</v>
      </c>
      <c r="H262" s="40" t="s">
        <v>440</v>
      </c>
      <c r="I262" s="40" t="s">
        <v>6741</v>
      </c>
      <c r="J262" s="50"/>
      <c r="K262" s="116">
        <f>IFERROR(VLOOKUP(B262,BD_CONTROL!$A$5:$M$4235,11,0),"")</f>
        <v>0</v>
      </c>
      <c r="L262" s="117">
        <f>IFERROR(VLOOKUP(B262,BD_CONTROL!$A$5:$M$4235,12,0),"")</f>
        <v>0</v>
      </c>
      <c r="M262" s="118">
        <f>IFERROR(VLOOKUP(B262,BD_CONTROL!$A$5:$M$4235,13,0),"")</f>
        <v>0</v>
      </c>
    </row>
  </sheetData>
  <autoFilter ref="A5:M262" xr:uid="{00000000-0001-0000-0C00-000000000000}"/>
  <mergeCells count="3">
    <mergeCell ref="A1:M2"/>
    <mergeCell ref="A3:M3"/>
    <mergeCell ref="A4:M4"/>
  </mergeCells>
  <conditionalFormatting sqref="K6:K262">
    <cfRule type="expression" dxfId="35" priority="2">
      <formula>EXACT($K6,"INSTALADO - OPERANDO")</formula>
    </cfRule>
    <cfRule type="expression" dxfId="34" priority="3">
      <formula>EXACT($K6,"INSTALADO - SIN SEÑAL")</formula>
    </cfRule>
    <cfRule type="expression" dxfId="33" priority="4">
      <formula>EXACT($K6,"EQUIPO EN ALMACÉN")</formula>
    </cfRule>
    <cfRule type="expression" dxfId="32" priority="5">
      <formula>EXACT($K6,"PROGRAMADO")</formula>
    </cfRule>
    <cfRule type="expression" dxfId="31" priority="6">
      <formula>EXACT($K6,"VISITADO")</formula>
    </cfRule>
    <cfRule type="expression" dxfId="30" priority="7">
      <formula>EXACT($K6,"SIN INMUEBLE")</formula>
    </cfRule>
  </conditionalFormatting>
  <dataValidations count="1">
    <dataValidation type="list" allowBlank="1" sqref="K6:K262" xr:uid="{00000000-0002-0000-0C00-000000000000}">
      <formula1>"INSTALADO - OPERANDO,INSTALADO - SIN SEÑAL,EQUIPO EN ALMACÉN,PROGRAMADO,VISITADO,SIN INMUEBLE"</formula1>
      <formula2>0</formula2>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388E3C"/>
  </sheetPr>
  <dimension ref="A1:M296"/>
  <sheetViews>
    <sheetView showGridLines="0" zoomScaleNormal="100" workbookViewId="0">
      <pane ySplit="5" topLeftCell="A6" activePane="bottomLeft" state="frozen"/>
      <selection pane="bottomLeft"/>
    </sheetView>
  </sheetViews>
  <sheetFormatPr defaultColWidth="8.7109375" defaultRowHeight="15"/>
  <cols>
    <col min="1" max="1" width="5" customWidth="1"/>
    <col min="2" max="2" width="14" customWidth="1"/>
    <col min="3" max="3" width="36" customWidth="1"/>
    <col min="4" max="5" width="18" customWidth="1"/>
    <col min="6" max="6" width="16" customWidth="1"/>
    <col min="7" max="7" width="9" customWidth="1"/>
    <col min="8" max="8" width="20" customWidth="1"/>
    <col min="9" max="10" width="14" customWidth="1"/>
    <col min="11" max="11" width="26" customWidth="1"/>
    <col min="12" max="12" width="18" customWidth="1"/>
    <col min="13" max="13" width="30" customWidth="1"/>
  </cols>
  <sheetData>
    <row r="1" spans="1:13" ht="30" customHeight="1">
      <c r="A1" s="250" t="s">
        <v>9836</v>
      </c>
      <c r="B1" s="260"/>
      <c r="C1" s="260"/>
      <c r="D1" s="260"/>
      <c r="E1" s="260"/>
      <c r="F1" s="260"/>
      <c r="G1" s="260"/>
      <c r="H1" s="260"/>
      <c r="I1" s="260"/>
      <c r="J1" s="260"/>
      <c r="K1" s="260"/>
      <c r="L1" s="260"/>
      <c r="M1" s="260"/>
    </row>
    <row r="2" spans="1:13" ht="3.75" customHeight="1">
      <c r="A2" s="260"/>
      <c r="B2" s="260"/>
      <c r="C2" s="260"/>
      <c r="D2" s="260"/>
      <c r="E2" s="260"/>
      <c r="F2" s="260"/>
      <c r="G2" s="260"/>
      <c r="H2" s="260"/>
      <c r="I2" s="260"/>
      <c r="J2" s="260"/>
      <c r="K2" s="260"/>
      <c r="L2" s="260"/>
      <c r="M2" s="260"/>
    </row>
    <row r="3" spans="1:13" ht="15.75" customHeight="1">
      <c r="A3" s="193" t="s">
        <v>9832</v>
      </c>
      <c r="B3" s="260"/>
      <c r="C3" s="260"/>
      <c r="D3" s="260"/>
      <c r="E3" s="260"/>
      <c r="F3" s="260"/>
      <c r="G3" s="260"/>
      <c r="H3" s="260"/>
      <c r="I3" s="260"/>
      <c r="J3" s="260"/>
      <c r="K3" s="260"/>
      <c r="L3" s="260"/>
      <c r="M3" s="260"/>
    </row>
    <row r="4" spans="1:13" ht="3" customHeight="1">
      <c r="A4" s="251"/>
      <c r="B4" s="260"/>
      <c r="C4" s="260"/>
      <c r="D4" s="260"/>
      <c r="E4" s="260"/>
      <c r="F4" s="260"/>
      <c r="G4" s="260"/>
      <c r="H4" s="260"/>
      <c r="I4" s="260"/>
      <c r="J4" s="260"/>
      <c r="K4" s="260"/>
      <c r="L4" s="260"/>
      <c r="M4" s="260"/>
    </row>
    <row r="5" spans="1:13" ht="21.75" customHeight="1">
      <c r="A5" s="124" t="s">
        <v>9783</v>
      </c>
      <c r="B5" s="124" t="s">
        <v>84</v>
      </c>
      <c r="C5" s="124" t="s">
        <v>86</v>
      </c>
      <c r="D5" s="124" t="s">
        <v>87</v>
      </c>
      <c r="E5" s="124" t="s">
        <v>88</v>
      </c>
      <c r="F5" s="124" t="s">
        <v>89</v>
      </c>
      <c r="G5" s="124" t="s">
        <v>90</v>
      </c>
      <c r="H5" s="124" t="s">
        <v>92</v>
      </c>
      <c r="I5" s="124" t="s">
        <v>93</v>
      </c>
      <c r="J5" s="124" t="s">
        <v>9833</v>
      </c>
      <c r="K5" s="124" t="s">
        <v>94</v>
      </c>
      <c r="L5" s="124" t="s">
        <v>95</v>
      </c>
      <c r="M5" s="124" t="s">
        <v>96</v>
      </c>
    </row>
    <row r="6" spans="1:13" ht="15" customHeight="1">
      <c r="A6" s="39">
        <v>1</v>
      </c>
      <c r="B6" s="39" t="s">
        <v>430</v>
      </c>
      <c r="C6" s="40" t="s">
        <v>431</v>
      </c>
      <c r="D6" s="39" t="s">
        <v>432</v>
      </c>
      <c r="E6" s="40" t="s">
        <v>433</v>
      </c>
      <c r="F6" s="40" t="s">
        <v>434</v>
      </c>
      <c r="G6" s="39" t="s">
        <v>109</v>
      </c>
      <c r="H6" s="40" t="s">
        <v>435</v>
      </c>
      <c r="I6" s="40" t="s">
        <v>104</v>
      </c>
      <c r="J6" s="50"/>
      <c r="K6" s="116">
        <f>IFERROR(VLOOKUP(B6,BD_CONTROL!$A$5:$M$4235,11,0),"")</f>
        <v>0</v>
      </c>
      <c r="L6" s="117">
        <f>IFERROR(VLOOKUP(B6,BD_CONTROL!$A$5:$M$4235,12,0),"")</f>
        <v>0</v>
      </c>
      <c r="M6" s="118">
        <f>IFERROR(VLOOKUP(B6,BD_CONTROL!$A$5:$M$4235,13,0),"")</f>
        <v>0</v>
      </c>
    </row>
    <row r="7" spans="1:13" ht="15" customHeight="1">
      <c r="A7" s="42">
        <v>2</v>
      </c>
      <c r="B7" s="42" t="s">
        <v>468</v>
      </c>
      <c r="C7" s="43" t="s">
        <v>469</v>
      </c>
      <c r="D7" s="42" t="s">
        <v>432</v>
      </c>
      <c r="E7" s="43" t="s">
        <v>470</v>
      </c>
      <c r="F7" s="43" t="s">
        <v>471</v>
      </c>
      <c r="G7" s="42" t="s">
        <v>109</v>
      </c>
      <c r="H7" s="43" t="s">
        <v>435</v>
      </c>
      <c r="I7" s="43" t="s">
        <v>104</v>
      </c>
      <c r="J7" s="55"/>
      <c r="K7" s="119">
        <f>IFERROR(VLOOKUP(B7,BD_CONTROL!$A$5:$M$4235,11,0),"")</f>
        <v>0</v>
      </c>
      <c r="L7" s="120">
        <f>IFERROR(VLOOKUP(B7,BD_CONTROL!$A$5:$M$4235,12,0),"")</f>
        <v>0</v>
      </c>
      <c r="M7" s="121">
        <f>IFERROR(VLOOKUP(B7,BD_CONTROL!$A$5:$M$4235,13,0),"")</f>
        <v>0</v>
      </c>
    </row>
    <row r="8" spans="1:13" ht="15" customHeight="1">
      <c r="A8" s="39">
        <v>3</v>
      </c>
      <c r="B8" s="39" t="s">
        <v>475</v>
      </c>
      <c r="C8" s="40" t="s">
        <v>437</v>
      </c>
      <c r="D8" s="39" t="s">
        <v>432</v>
      </c>
      <c r="E8" s="40" t="s">
        <v>328</v>
      </c>
      <c r="F8" s="40" t="s">
        <v>328</v>
      </c>
      <c r="G8" s="39" t="s">
        <v>102</v>
      </c>
      <c r="H8" s="40" t="s">
        <v>435</v>
      </c>
      <c r="I8" s="40" t="s">
        <v>104</v>
      </c>
      <c r="J8" s="50"/>
      <c r="K8" s="116">
        <f>IFERROR(VLOOKUP(B8,BD_CONTROL!$A$5:$M$4235,11,0),"")</f>
        <v>0</v>
      </c>
      <c r="L8" s="117">
        <f>IFERROR(VLOOKUP(B8,BD_CONTROL!$A$5:$M$4235,12,0),"")</f>
        <v>0</v>
      </c>
      <c r="M8" s="118">
        <f>IFERROR(VLOOKUP(B8,BD_CONTROL!$A$5:$M$4235,13,0),"")</f>
        <v>0</v>
      </c>
    </row>
    <row r="9" spans="1:13" ht="15" customHeight="1">
      <c r="A9" s="42">
        <v>4</v>
      </c>
      <c r="B9" s="42" t="s">
        <v>476</v>
      </c>
      <c r="C9" s="43" t="s">
        <v>477</v>
      </c>
      <c r="D9" s="42" t="s">
        <v>432</v>
      </c>
      <c r="E9" s="43" t="s">
        <v>478</v>
      </c>
      <c r="F9" s="43" t="s">
        <v>478</v>
      </c>
      <c r="G9" s="42" t="s">
        <v>102</v>
      </c>
      <c r="H9" s="43" t="s">
        <v>435</v>
      </c>
      <c r="I9" s="43" t="s">
        <v>104</v>
      </c>
      <c r="J9" s="55"/>
      <c r="K9" s="119">
        <f>IFERROR(VLOOKUP(B9,BD_CONTROL!$A$5:$M$4235,11,0),"")</f>
        <v>0</v>
      </c>
      <c r="L9" s="120">
        <f>IFERROR(VLOOKUP(B9,BD_CONTROL!$A$5:$M$4235,12,0),"")</f>
        <v>0</v>
      </c>
      <c r="M9" s="121">
        <f>IFERROR(VLOOKUP(B9,BD_CONTROL!$A$5:$M$4235,13,0),"")</f>
        <v>0</v>
      </c>
    </row>
    <row r="10" spans="1:13" ht="15" customHeight="1">
      <c r="A10" s="39">
        <v>5</v>
      </c>
      <c r="B10" s="39" t="s">
        <v>479</v>
      </c>
      <c r="C10" s="40" t="s">
        <v>480</v>
      </c>
      <c r="D10" s="39" t="s">
        <v>432</v>
      </c>
      <c r="E10" s="40" t="s">
        <v>478</v>
      </c>
      <c r="F10" s="40" t="s">
        <v>481</v>
      </c>
      <c r="G10" s="39" t="s">
        <v>109</v>
      </c>
      <c r="H10" s="40" t="s">
        <v>435</v>
      </c>
      <c r="I10" s="40" t="s">
        <v>104</v>
      </c>
      <c r="J10" s="50"/>
      <c r="K10" s="116" t="str">
        <f>IFERROR(VLOOKUP(B10,BD_CONTROL!$A$5:$M$4235,11,0),"")</f>
        <v>Instalado - Operando</v>
      </c>
      <c r="L10" s="117">
        <f>IFERROR(VLOOKUP(B10,BD_CONTROL!$A$5:$M$4235,12,0),"")</f>
        <v>46150</v>
      </c>
      <c r="M10" s="118">
        <f>IFERROR(VLOOKUP(B10,BD_CONTROL!$A$5:$M$4235,13,0),"")</f>
        <v>0</v>
      </c>
    </row>
    <row r="11" spans="1:13" ht="15" customHeight="1">
      <c r="A11" s="42">
        <v>6</v>
      </c>
      <c r="B11" s="42" t="s">
        <v>485</v>
      </c>
      <c r="C11" s="43" t="s">
        <v>486</v>
      </c>
      <c r="D11" s="42" t="s">
        <v>432</v>
      </c>
      <c r="E11" s="43" t="s">
        <v>328</v>
      </c>
      <c r="F11" s="43" t="s">
        <v>487</v>
      </c>
      <c r="G11" s="42" t="s">
        <v>109</v>
      </c>
      <c r="H11" s="43" t="s">
        <v>435</v>
      </c>
      <c r="I11" s="43" t="s">
        <v>104</v>
      </c>
      <c r="J11" s="55"/>
      <c r="K11" s="119">
        <f>IFERROR(VLOOKUP(B11,BD_CONTROL!$A$5:$M$4235,11,0),"")</f>
        <v>0</v>
      </c>
      <c r="L11" s="120">
        <f>IFERROR(VLOOKUP(B11,BD_CONTROL!$A$5:$M$4235,12,0),"")</f>
        <v>0</v>
      </c>
      <c r="M11" s="121">
        <f>IFERROR(VLOOKUP(B11,BD_CONTROL!$A$5:$M$4235,13,0),"")</f>
        <v>0</v>
      </c>
    </row>
    <row r="12" spans="1:13" ht="15" customHeight="1">
      <c r="A12" s="39">
        <v>7</v>
      </c>
      <c r="B12" s="39" t="s">
        <v>495</v>
      </c>
      <c r="C12" s="40" t="s">
        <v>496</v>
      </c>
      <c r="D12" s="39" t="s">
        <v>432</v>
      </c>
      <c r="E12" s="40" t="s">
        <v>433</v>
      </c>
      <c r="F12" s="40" t="s">
        <v>433</v>
      </c>
      <c r="G12" s="39" t="s">
        <v>109</v>
      </c>
      <c r="H12" s="40" t="s">
        <v>435</v>
      </c>
      <c r="I12" s="40" t="s">
        <v>104</v>
      </c>
      <c r="J12" s="50"/>
      <c r="K12" s="116">
        <f>IFERROR(VLOOKUP(B12,BD_CONTROL!$A$5:$M$4235,11,0),"")</f>
        <v>0</v>
      </c>
      <c r="L12" s="117">
        <f>IFERROR(VLOOKUP(B12,BD_CONTROL!$A$5:$M$4235,12,0),"")</f>
        <v>0</v>
      </c>
      <c r="M12" s="118">
        <f>IFERROR(VLOOKUP(B12,BD_CONTROL!$A$5:$M$4235,13,0),"")</f>
        <v>0</v>
      </c>
    </row>
    <row r="13" spans="1:13" ht="15" customHeight="1">
      <c r="A13" s="42">
        <v>8</v>
      </c>
      <c r="B13" s="42" t="s">
        <v>519</v>
      </c>
      <c r="C13" s="43" t="s">
        <v>520</v>
      </c>
      <c r="D13" s="42" t="s">
        <v>432</v>
      </c>
      <c r="E13" s="43" t="s">
        <v>521</v>
      </c>
      <c r="F13" s="43" t="s">
        <v>520</v>
      </c>
      <c r="G13" s="42" t="s">
        <v>109</v>
      </c>
      <c r="H13" s="43" t="s">
        <v>435</v>
      </c>
      <c r="I13" s="43" t="s">
        <v>104</v>
      </c>
      <c r="J13" s="55"/>
      <c r="K13" s="119">
        <f>IFERROR(VLOOKUP(B13,BD_CONTROL!$A$5:$M$4235,11,0),"")</f>
        <v>0</v>
      </c>
      <c r="L13" s="120">
        <f>IFERROR(VLOOKUP(B13,BD_CONTROL!$A$5:$M$4235,12,0),"")</f>
        <v>0</v>
      </c>
      <c r="M13" s="121">
        <f>IFERROR(VLOOKUP(B13,BD_CONTROL!$A$5:$M$4235,13,0),"")</f>
        <v>0</v>
      </c>
    </row>
    <row r="14" spans="1:13" ht="15" customHeight="1">
      <c r="A14" s="39">
        <v>9</v>
      </c>
      <c r="B14" s="39" t="s">
        <v>525</v>
      </c>
      <c r="C14" s="40" t="s">
        <v>526</v>
      </c>
      <c r="D14" s="39" t="s">
        <v>432</v>
      </c>
      <c r="E14" s="40" t="s">
        <v>521</v>
      </c>
      <c r="F14" s="40" t="s">
        <v>527</v>
      </c>
      <c r="G14" s="39" t="s">
        <v>109</v>
      </c>
      <c r="H14" s="40" t="s">
        <v>435</v>
      </c>
      <c r="I14" s="40" t="s">
        <v>104</v>
      </c>
      <c r="J14" s="50"/>
      <c r="K14" s="116">
        <f>IFERROR(VLOOKUP(B14,BD_CONTROL!$A$5:$M$4235,11,0),"")</f>
        <v>0</v>
      </c>
      <c r="L14" s="117">
        <f>IFERROR(VLOOKUP(B14,BD_CONTROL!$A$5:$M$4235,12,0),"")</f>
        <v>0</v>
      </c>
      <c r="M14" s="118">
        <f>IFERROR(VLOOKUP(B14,BD_CONTROL!$A$5:$M$4235,13,0),"")</f>
        <v>0</v>
      </c>
    </row>
    <row r="15" spans="1:13" ht="15" customHeight="1">
      <c r="A15" s="42">
        <v>10</v>
      </c>
      <c r="B15" s="42" t="s">
        <v>530</v>
      </c>
      <c r="C15" s="43" t="s">
        <v>531</v>
      </c>
      <c r="D15" s="42" t="s">
        <v>432</v>
      </c>
      <c r="E15" s="43" t="s">
        <v>433</v>
      </c>
      <c r="F15" s="43" t="s">
        <v>532</v>
      </c>
      <c r="G15" s="42" t="s">
        <v>109</v>
      </c>
      <c r="H15" s="43" t="s">
        <v>435</v>
      </c>
      <c r="I15" s="43" t="s">
        <v>104</v>
      </c>
      <c r="J15" s="55"/>
      <c r="K15" s="119">
        <f>IFERROR(VLOOKUP(B15,BD_CONTROL!$A$5:$M$4235,11,0),"")</f>
        <v>0</v>
      </c>
      <c r="L15" s="120">
        <f>IFERROR(VLOOKUP(B15,BD_CONTROL!$A$5:$M$4235,12,0),"")</f>
        <v>0</v>
      </c>
      <c r="M15" s="121">
        <f>IFERROR(VLOOKUP(B15,BD_CONTROL!$A$5:$M$4235,13,0),"")</f>
        <v>0</v>
      </c>
    </row>
    <row r="16" spans="1:13" ht="15" customHeight="1">
      <c r="A16" s="39">
        <v>11</v>
      </c>
      <c r="B16" s="39" t="s">
        <v>533</v>
      </c>
      <c r="C16" s="40" t="s">
        <v>534</v>
      </c>
      <c r="D16" s="39" t="s">
        <v>432</v>
      </c>
      <c r="E16" s="40" t="s">
        <v>478</v>
      </c>
      <c r="F16" s="40" t="s">
        <v>535</v>
      </c>
      <c r="G16" s="39" t="s">
        <v>109</v>
      </c>
      <c r="H16" s="40" t="s">
        <v>435</v>
      </c>
      <c r="I16" s="40" t="s">
        <v>104</v>
      </c>
      <c r="J16" s="50"/>
      <c r="K16" s="116" t="str">
        <f>IFERROR(VLOOKUP(B16,BD_CONTROL!$A$5:$M$4235,11,0),"")</f>
        <v>Instalado - Operando</v>
      </c>
      <c r="L16" s="117">
        <f>IFERROR(VLOOKUP(B16,BD_CONTROL!$A$5:$M$4235,12,0),"")</f>
        <v>46151</v>
      </c>
      <c r="M16" s="118">
        <f>IFERROR(VLOOKUP(B16,BD_CONTROL!$A$5:$M$4235,13,0),"")</f>
        <v>0</v>
      </c>
    </row>
    <row r="17" spans="1:13" ht="15" customHeight="1">
      <c r="A17" s="42">
        <v>12</v>
      </c>
      <c r="B17" s="42" t="s">
        <v>536</v>
      </c>
      <c r="C17" s="43" t="s">
        <v>537</v>
      </c>
      <c r="D17" s="42" t="s">
        <v>432</v>
      </c>
      <c r="E17" s="43" t="s">
        <v>470</v>
      </c>
      <c r="F17" s="43" t="s">
        <v>538</v>
      </c>
      <c r="G17" s="42" t="s">
        <v>109</v>
      </c>
      <c r="H17" s="43" t="s">
        <v>435</v>
      </c>
      <c r="I17" s="43" t="s">
        <v>104</v>
      </c>
      <c r="J17" s="55"/>
      <c r="K17" s="119" t="str">
        <f>IFERROR(VLOOKUP(B17,BD_CONTROL!$A$5:$M$4235,11,0),"")</f>
        <v>Instalado - Operando</v>
      </c>
      <c r="L17" s="120">
        <f>IFERROR(VLOOKUP(B17,BD_CONTROL!$A$5:$M$4235,12,0),"")</f>
        <v>46151</v>
      </c>
      <c r="M17" s="121">
        <f>IFERROR(VLOOKUP(B17,BD_CONTROL!$A$5:$M$4235,13,0),"")</f>
        <v>0</v>
      </c>
    </row>
    <row r="18" spans="1:13" ht="15" customHeight="1">
      <c r="A18" s="39">
        <v>13</v>
      </c>
      <c r="B18" s="39" t="s">
        <v>544</v>
      </c>
      <c r="C18" s="40" t="s">
        <v>545</v>
      </c>
      <c r="D18" s="39" t="s">
        <v>432</v>
      </c>
      <c r="E18" s="40" t="s">
        <v>470</v>
      </c>
      <c r="F18" s="40" t="s">
        <v>546</v>
      </c>
      <c r="G18" s="39" t="s">
        <v>109</v>
      </c>
      <c r="H18" s="40" t="s">
        <v>435</v>
      </c>
      <c r="I18" s="40" t="s">
        <v>104</v>
      </c>
      <c r="J18" s="50"/>
      <c r="K18" s="116">
        <f>IFERROR(VLOOKUP(B18,BD_CONTROL!$A$5:$M$4235,11,0),"")</f>
        <v>0</v>
      </c>
      <c r="L18" s="117">
        <f>IFERROR(VLOOKUP(B18,BD_CONTROL!$A$5:$M$4235,12,0),"")</f>
        <v>0</v>
      </c>
      <c r="M18" s="118">
        <f>IFERROR(VLOOKUP(B18,BD_CONTROL!$A$5:$M$4235,13,0),"")</f>
        <v>0</v>
      </c>
    </row>
    <row r="19" spans="1:13" ht="15" customHeight="1">
      <c r="A19" s="42">
        <v>14</v>
      </c>
      <c r="B19" s="42" t="s">
        <v>547</v>
      </c>
      <c r="C19" s="43" t="s">
        <v>548</v>
      </c>
      <c r="D19" s="42" t="s">
        <v>432</v>
      </c>
      <c r="E19" s="43" t="s">
        <v>470</v>
      </c>
      <c r="F19" s="43" t="s">
        <v>548</v>
      </c>
      <c r="G19" s="42" t="s">
        <v>109</v>
      </c>
      <c r="H19" s="43" t="s">
        <v>435</v>
      </c>
      <c r="I19" s="43" t="s">
        <v>104</v>
      </c>
      <c r="J19" s="55"/>
      <c r="K19" s="119">
        <f>IFERROR(VLOOKUP(B19,BD_CONTROL!$A$5:$M$4235,11,0),"")</f>
        <v>0</v>
      </c>
      <c r="L19" s="120">
        <f>IFERROR(VLOOKUP(B19,BD_CONTROL!$A$5:$M$4235,12,0),"")</f>
        <v>0</v>
      </c>
      <c r="M19" s="121">
        <f>IFERROR(VLOOKUP(B19,BD_CONTROL!$A$5:$M$4235,13,0),"")</f>
        <v>0</v>
      </c>
    </row>
    <row r="20" spans="1:13" ht="15" customHeight="1">
      <c r="A20" s="39">
        <v>15</v>
      </c>
      <c r="B20" s="39" t="s">
        <v>551</v>
      </c>
      <c r="C20" s="40" t="s">
        <v>552</v>
      </c>
      <c r="D20" s="39" t="s">
        <v>432</v>
      </c>
      <c r="E20" s="40" t="s">
        <v>521</v>
      </c>
      <c r="F20" s="40" t="s">
        <v>553</v>
      </c>
      <c r="G20" s="39" t="s">
        <v>109</v>
      </c>
      <c r="H20" s="40" t="s">
        <v>435</v>
      </c>
      <c r="I20" s="40" t="s">
        <v>104</v>
      </c>
      <c r="J20" s="50"/>
      <c r="K20" s="116">
        <f>IFERROR(VLOOKUP(B20,BD_CONTROL!$A$5:$M$4235,11,0),"")</f>
        <v>0</v>
      </c>
      <c r="L20" s="117">
        <f>IFERROR(VLOOKUP(B20,BD_CONTROL!$A$5:$M$4235,12,0),"")</f>
        <v>0</v>
      </c>
      <c r="M20" s="118">
        <f>IFERROR(VLOOKUP(B20,BD_CONTROL!$A$5:$M$4235,13,0),"")</f>
        <v>0</v>
      </c>
    </row>
    <row r="21" spans="1:13" ht="15" customHeight="1">
      <c r="A21" s="42">
        <v>16</v>
      </c>
      <c r="B21" s="42" t="s">
        <v>554</v>
      </c>
      <c r="C21" s="43" t="s">
        <v>555</v>
      </c>
      <c r="D21" s="42" t="s">
        <v>432</v>
      </c>
      <c r="E21" s="43" t="s">
        <v>521</v>
      </c>
      <c r="F21" s="43" t="s">
        <v>556</v>
      </c>
      <c r="G21" s="42" t="s">
        <v>109</v>
      </c>
      <c r="H21" s="43" t="s">
        <v>435</v>
      </c>
      <c r="I21" s="43" t="s">
        <v>104</v>
      </c>
      <c r="J21" s="55"/>
      <c r="K21" s="119">
        <f>IFERROR(VLOOKUP(B21,BD_CONTROL!$A$5:$M$4235,11,0),"")</f>
        <v>0</v>
      </c>
      <c r="L21" s="120">
        <f>IFERROR(VLOOKUP(B21,BD_CONTROL!$A$5:$M$4235,12,0),"")</f>
        <v>0</v>
      </c>
      <c r="M21" s="121">
        <f>IFERROR(VLOOKUP(B21,BD_CONTROL!$A$5:$M$4235,13,0),"")</f>
        <v>0</v>
      </c>
    </row>
    <row r="22" spans="1:13" ht="15" customHeight="1">
      <c r="A22" s="39">
        <v>17</v>
      </c>
      <c r="B22" s="39" t="s">
        <v>582</v>
      </c>
      <c r="C22" s="40" t="s">
        <v>583</v>
      </c>
      <c r="D22" s="39" t="s">
        <v>432</v>
      </c>
      <c r="E22" s="40" t="s">
        <v>328</v>
      </c>
      <c r="F22" s="40" t="s">
        <v>328</v>
      </c>
      <c r="G22" s="39" t="s">
        <v>109</v>
      </c>
      <c r="H22" s="40" t="s">
        <v>435</v>
      </c>
      <c r="I22" s="40" t="s">
        <v>104</v>
      </c>
      <c r="J22" s="50"/>
      <c r="K22" s="116">
        <f>IFERROR(VLOOKUP(B22,BD_CONTROL!$A$5:$M$4235,11,0),"")</f>
        <v>0</v>
      </c>
      <c r="L22" s="117">
        <f>IFERROR(VLOOKUP(B22,BD_CONTROL!$A$5:$M$4235,12,0),"")</f>
        <v>0</v>
      </c>
      <c r="M22" s="118">
        <f>IFERROR(VLOOKUP(B22,BD_CONTROL!$A$5:$M$4235,13,0),"")</f>
        <v>0</v>
      </c>
    </row>
    <row r="23" spans="1:13" ht="15" customHeight="1">
      <c r="A23" s="42">
        <v>18</v>
      </c>
      <c r="B23" s="42" t="s">
        <v>584</v>
      </c>
      <c r="C23" s="43" t="s">
        <v>585</v>
      </c>
      <c r="D23" s="42" t="s">
        <v>432</v>
      </c>
      <c r="E23" s="43" t="s">
        <v>328</v>
      </c>
      <c r="F23" s="43" t="s">
        <v>328</v>
      </c>
      <c r="G23" s="42" t="s">
        <v>109</v>
      </c>
      <c r="H23" s="43" t="s">
        <v>435</v>
      </c>
      <c r="I23" s="43" t="s">
        <v>104</v>
      </c>
      <c r="J23" s="55"/>
      <c r="K23" s="119">
        <f>IFERROR(VLOOKUP(B23,BD_CONTROL!$A$5:$M$4235,11,0),"")</f>
        <v>0</v>
      </c>
      <c r="L23" s="120">
        <f>IFERROR(VLOOKUP(B23,BD_CONTROL!$A$5:$M$4235,12,0),"")</f>
        <v>0</v>
      </c>
      <c r="M23" s="121">
        <f>IFERROR(VLOOKUP(B23,BD_CONTROL!$A$5:$M$4235,13,0),"")</f>
        <v>0</v>
      </c>
    </row>
    <row r="24" spans="1:13" ht="15" customHeight="1">
      <c r="A24" s="39">
        <v>19</v>
      </c>
      <c r="B24" s="39" t="s">
        <v>586</v>
      </c>
      <c r="C24" s="40" t="s">
        <v>587</v>
      </c>
      <c r="D24" s="39" t="s">
        <v>432</v>
      </c>
      <c r="E24" s="40" t="s">
        <v>588</v>
      </c>
      <c r="F24" s="40" t="s">
        <v>589</v>
      </c>
      <c r="G24" s="39" t="s">
        <v>109</v>
      </c>
      <c r="H24" s="40" t="s">
        <v>435</v>
      </c>
      <c r="I24" s="40" t="s">
        <v>104</v>
      </c>
      <c r="J24" s="50"/>
      <c r="K24" s="116" t="str">
        <f>IFERROR(VLOOKUP(B24,BD_CONTROL!$A$5:$M$4235,11,0),"")</f>
        <v>Instalado - Operando</v>
      </c>
      <c r="L24" s="117">
        <f>IFERROR(VLOOKUP(B24,BD_CONTROL!$A$5:$M$4235,12,0),"")</f>
        <v>46153</v>
      </c>
      <c r="M24" s="118">
        <f>IFERROR(VLOOKUP(B24,BD_CONTROL!$A$5:$M$4235,13,0),"")</f>
        <v>0</v>
      </c>
    </row>
    <row r="25" spans="1:13" ht="15" customHeight="1">
      <c r="A25" s="42">
        <v>20</v>
      </c>
      <c r="B25" s="42" t="s">
        <v>590</v>
      </c>
      <c r="C25" s="43" t="s">
        <v>591</v>
      </c>
      <c r="D25" s="42" t="s">
        <v>432</v>
      </c>
      <c r="E25" s="43" t="s">
        <v>478</v>
      </c>
      <c r="F25" s="43" t="s">
        <v>592</v>
      </c>
      <c r="G25" s="42" t="s">
        <v>109</v>
      </c>
      <c r="H25" s="43" t="s">
        <v>435</v>
      </c>
      <c r="I25" s="43" t="s">
        <v>104</v>
      </c>
      <c r="J25" s="55"/>
      <c r="K25" s="119">
        <f>IFERROR(VLOOKUP(B25,BD_CONTROL!$A$5:$M$4235,11,0),"")</f>
        <v>0</v>
      </c>
      <c r="L25" s="120">
        <f>IFERROR(VLOOKUP(B25,BD_CONTROL!$A$5:$M$4235,12,0),"")</f>
        <v>0</v>
      </c>
      <c r="M25" s="121">
        <f>IFERROR(VLOOKUP(B25,BD_CONTROL!$A$5:$M$4235,13,0),"")</f>
        <v>0</v>
      </c>
    </row>
    <row r="26" spans="1:13" ht="15" customHeight="1">
      <c r="A26" s="39">
        <v>21</v>
      </c>
      <c r="B26" s="39" t="s">
        <v>593</v>
      </c>
      <c r="C26" s="40" t="s">
        <v>594</v>
      </c>
      <c r="D26" s="39" t="s">
        <v>432</v>
      </c>
      <c r="E26" s="40" t="s">
        <v>595</v>
      </c>
      <c r="F26" s="40" t="s">
        <v>596</v>
      </c>
      <c r="G26" s="39" t="s">
        <v>109</v>
      </c>
      <c r="H26" s="40" t="s">
        <v>435</v>
      </c>
      <c r="I26" s="40" t="s">
        <v>104</v>
      </c>
      <c r="J26" s="50"/>
      <c r="K26" s="116">
        <f>IFERROR(VLOOKUP(B26,BD_CONTROL!$A$5:$M$4235,11,0),"")</f>
        <v>0</v>
      </c>
      <c r="L26" s="117">
        <f>IFERROR(VLOOKUP(B26,BD_CONTROL!$A$5:$M$4235,12,0),"")</f>
        <v>0</v>
      </c>
      <c r="M26" s="118">
        <f>IFERROR(VLOOKUP(B26,BD_CONTROL!$A$5:$M$4235,13,0),"")</f>
        <v>0</v>
      </c>
    </row>
    <row r="27" spans="1:13" ht="15" customHeight="1">
      <c r="A27" s="42">
        <v>22</v>
      </c>
      <c r="B27" s="42" t="s">
        <v>597</v>
      </c>
      <c r="C27" s="43" t="s">
        <v>598</v>
      </c>
      <c r="D27" s="42" t="s">
        <v>432</v>
      </c>
      <c r="E27" s="43" t="s">
        <v>588</v>
      </c>
      <c r="F27" s="43" t="s">
        <v>599</v>
      </c>
      <c r="G27" s="42" t="s">
        <v>109</v>
      </c>
      <c r="H27" s="43" t="s">
        <v>435</v>
      </c>
      <c r="I27" s="43" t="s">
        <v>104</v>
      </c>
      <c r="J27" s="55"/>
      <c r="K27" s="119">
        <f>IFERROR(VLOOKUP(B27,BD_CONTROL!$A$5:$M$4235,11,0),"")</f>
        <v>0</v>
      </c>
      <c r="L27" s="120">
        <f>IFERROR(VLOOKUP(B27,BD_CONTROL!$A$5:$M$4235,12,0),"")</f>
        <v>0</v>
      </c>
      <c r="M27" s="121">
        <f>IFERROR(VLOOKUP(B27,BD_CONTROL!$A$5:$M$4235,13,0),"")</f>
        <v>0</v>
      </c>
    </row>
    <row r="28" spans="1:13" ht="15" customHeight="1">
      <c r="A28" s="39">
        <v>23</v>
      </c>
      <c r="B28" s="39" t="s">
        <v>600</v>
      </c>
      <c r="C28" s="40" t="s">
        <v>601</v>
      </c>
      <c r="D28" s="39" t="s">
        <v>432</v>
      </c>
      <c r="E28" s="40" t="s">
        <v>478</v>
      </c>
      <c r="F28" s="40" t="s">
        <v>459</v>
      </c>
      <c r="G28" s="39" t="s">
        <v>102</v>
      </c>
      <c r="H28" s="40" t="s">
        <v>435</v>
      </c>
      <c r="I28" s="40" t="s">
        <v>104</v>
      </c>
      <c r="J28" s="50"/>
      <c r="K28" s="116">
        <f>IFERROR(VLOOKUP(B28,BD_CONTROL!$A$5:$M$4235,11,0),"")</f>
        <v>0</v>
      </c>
      <c r="L28" s="117">
        <f>IFERROR(VLOOKUP(B28,BD_CONTROL!$A$5:$M$4235,12,0),"")</f>
        <v>0</v>
      </c>
      <c r="M28" s="118">
        <f>IFERROR(VLOOKUP(B28,BD_CONTROL!$A$5:$M$4235,13,0),"")</f>
        <v>0</v>
      </c>
    </row>
    <row r="29" spans="1:13" ht="15" customHeight="1">
      <c r="A29" s="42">
        <v>24</v>
      </c>
      <c r="B29" s="42" t="s">
        <v>602</v>
      </c>
      <c r="C29" s="43" t="s">
        <v>603</v>
      </c>
      <c r="D29" s="42" t="s">
        <v>432</v>
      </c>
      <c r="E29" s="43" t="s">
        <v>478</v>
      </c>
      <c r="F29" s="43" t="s">
        <v>478</v>
      </c>
      <c r="G29" s="42" t="s">
        <v>109</v>
      </c>
      <c r="H29" s="43" t="s">
        <v>435</v>
      </c>
      <c r="I29" s="43" t="s">
        <v>104</v>
      </c>
      <c r="J29" s="55"/>
      <c r="K29" s="119">
        <f>IFERROR(VLOOKUP(B29,BD_CONTROL!$A$5:$M$4235,11,0),"")</f>
        <v>0</v>
      </c>
      <c r="L29" s="120">
        <f>IFERROR(VLOOKUP(B29,BD_CONTROL!$A$5:$M$4235,12,0),"")</f>
        <v>0</v>
      </c>
      <c r="M29" s="121">
        <f>IFERROR(VLOOKUP(B29,BD_CONTROL!$A$5:$M$4235,13,0),"")</f>
        <v>0</v>
      </c>
    </row>
    <row r="30" spans="1:13" ht="15" customHeight="1">
      <c r="A30" s="39">
        <v>25</v>
      </c>
      <c r="B30" s="39" t="s">
        <v>604</v>
      </c>
      <c r="C30" s="40" t="s">
        <v>605</v>
      </c>
      <c r="D30" s="39" t="s">
        <v>432</v>
      </c>
      <c r="E30" s="40" t="s">
        <v>478</v>
      </c>
      <c r="F30" s="40" t="s">
        <v>478</v>
      </c>
      <c r="G30" s="39" t="s">
        <v>102</v>
      </c>
      <c r="H30" s="40" t="s">
        <v>435</v>
      </c>
      <c r="I30" s="40" t="s">
        <v>104</v>
      </c>
      <c r="J30" s="50"/>
      <c r="K30" s="116">
        <f>IFERROR(VLOOKUP(B30,BD_CONTROL!$A$5:$M$4235,11,0),"")</f>
        <v>0</v>
      </c>
      <c r="L30" s="117">
        <f>IFERROR(VLOOKUP(B30,BD_CONTROL!$A$5:$M$4235,12,0),"")</f>
        <v>0</v>
      </c>
      <c r="M30" s="118">
        <f>IFERROR(VLOOKUP(B30,BD_CONTROL!$A$5:$M$4235,13,0),"")</f>
        <v>0</v>
      </c>
    </row>
    <row r="31" spans="1:13" ht="15" customHeight="1">
      <c r="A31" s="42">
        <v>26</v>
      </c>
      <c r="B31" s="42" t="s">
        <v>606</v>
      </c>
      <c r="C31" s="43" t="s">
        <v>607</v>
      </c>
      <c r="D31" s="42" t="s">
        <v>432</v>
      </c>
      <c r="E31" s="43" t="s">
        <v>478</v>
      </c>
      <c r="F31" s="43" t="s">
        <v>478</v>
      </c>
      <c r="G31" s="42" t="s">
        <v>109</v>
      </c>
      <c r="H31" s="43" t="s">
        <v>435</v>
      </c>
      <c r="I31" s="43" t="s">
        <v>104</v>
      </c>
      <c r="J31" s="55"/>
      <c r="K31" s="119">
        <f>IFERROR(VLOOKUP(B31,BD_CONTROL!$A$5:$M$4235,11,0),"")</f>
        <v>0</v>
      </c>
      <c r="L31" s="120">
        <f>IFERROR(VLOOKUP(B31,BD_CONTROL!$A$5:$M$4235,12,0),"")</f>
        <v>0</v>
      </c>
      <c r="M31" s="121">
        <f>IFERROR(VLOOKUP(B31,BD_CONTROL!$A$5:$M$4235,13,0),"")</f>
        <v>0</v>
      </c>
    </row>
    <row r="32" spans="1:13" ht="15" customHeight="1">
      <c r="A32" s="39">
        <v>27</v>
      </c>
      <c r="B32" s="39" t="s">
        <v>608</v>
      </c>
      <c r="C32" s="40" t="s">
        <v>609</v>
      </c>
      <c r="D32" s="39" t="s">
        <v>432</v>
      </c>
      <c r="E32" s="40" t="s">
        <v>595</v>
      </c>
      <c r="F32" s="40" t="s">
        <v>610</v>
      </c>
      <c r="G32" s="39" t="s">
        <v>109</v>
      </c>
      <c r="H32" s="40" t="s">
        <v>435</v>
      </c>
      <c r="I32" s="40" t="s">
        <v>104</v>
      </c>
      <c r="J32" s="50"/>
      <c r="K32" s="116">
        <f>IFERROR(VLOOKUP(B32,BD_CONTROL!$A$5:$M$4235,11,0),"")</f>
        <v>0</v>
      </c>
      <c r="L32" s="117">
        <f>IFERROR(VLOOKUP(B32,BD_CONTROL!$A$5:$M$4235,12,0),"")</f>
        <v>0</v>
      </c>
      <c r="M32" s="118">
        <f>IFERROR(VLOOKUP(B32,BD_CONTROL!$A$5:$M$4235,13,0),"")</f>
        <v>0</v>
      </c>
    </row>
    <row r="33" spans="1:13" ht="15" customHeight="1">
      <c r="A33" s="42">
        <v>28</v>
      </c>
      <c r="B33" s="42" t="s">
        <v>611</v>
      </c>
      <c r="C33" s="43" t="s">
        <v>612</v>
      </c>
      <c r="D33" s="42" t="s">
        <v>432</v>
      </c>
      <c r="E33" s="43" t="s">
        <v>478</v>
      </c>
      <c r="F33" s="43" t="s">
        <v>478</v>
      </c>
      <c r="G33" s="42" t="s">
        <v>102</v>
      </c>
      <c r="H33" s="43" t="s">
        <v>435</v>
      </c>
      <c r="I33" s="43" t="s">
        <v>104</v>
      </c>
      <c r="J33" s="55"/>
      <c r="K33" s="119">
        <f>IFERROR(VLOOKUP(B33,BD_CONTROL!$A$5:$M$4235,11,0),"")</f>
        <v>0</v>
      </c>
      <c r="L33" s="120">
        <f>IFERROR(VLOOKUP(B33,BD_CONTROL!$A$5:$M$4235,12,0),"")</f>
        <v>0</v>
      </c>
      <c r="M33" s="121">
        <f>IFERROR(VLOOKUP(B33,BD_CONTROL!$A$5:$M$4235,13,0),"")</f>
        <v>0</v>
      </c>
    </row>
    <row r="34" spans="1:13" ht="15" customHeight="1">
      <c r="A34" s="39">
        <v>29</v>
      </c>
      <c r="B34" s="39" t="s">
        <v>613</v>
      </c>
      <c r="C34" s="40" t="s">
        <v>614</v>
      </c>
      <c r="D34" s="39" t="s">
        <v>432</v>
      </c>
      <c r="E34" s="40" t="s">
        <v>588</v>
      </c>
      <c r="F34" s="40" t="s">
        <v>615</v>
      </c>
      <c r="G34" s="39" t="s">
        <v>109</v>
      </c>
      <c r="H34" s="40" t="s">
        <v>435</v>
      </c>
      <c r="I34" s="40" t="s">
        <v>104</v>
      </c>
      <c r="J34" s="50"/>
      <c r="K34" s="116">
        <f>IFERROR(VLOOKUP(B34,BD_CONTROL!$A$5:$M$4235,11,0),"")</f>
        <v>0</v>
      </c>
      <c r="L34" s="117">
        <f>IFERROR(VLOOKUP(B34,BD_CONTROL!$A$5:$M$4235,12,0),"")</f>
        <v>0</v>
      </c>
      <c r="M34" s="118">
        <f>IFERROR(VLOOKUP(B34,BD_CONTROL!$A$5:$M$4235,13,0),"")</f>
        <v>0</v>
      </c>
    </row>
    <row r="35" spans="1:13" ht="15" customHeight="1">
      <c r="A35" s="42">
        <v>30</v>
      </c>
      <c r="B35" s="42" t="s">
        <v>616</v>
      </c>
      <c r="C35" s="43" t="s">
        <v>617</v>
      </c>
      <c r="D35" s="42" t="s">
        <v>432</v>
      </c>
      <c r="E35" s="43" t="s">
        <v>478</v>
      </c>
      <c r="F35" s="43" t="s">
        <v>478</v>
      </c>
      <c r="G35" s="42" t="s">
        <v>102</v>
      </c>
      <c r="H35" s="43" t="s">
        <v>435</v>
      </c>
      <c r="I35" s="43" t="s">
        <v>104</v>
      </c>
      <c r="J35" s="55"/>
      <c r="K35" s="119">
        <f>IFERROR(VLOOKUP(B35,BD_CONTROL!$A$5:$M$4235,11,0),"")</f>
        <v>0</v>
      </c>
      <c r="L35" s="120">
        <f>IFERROR(VLOOKUP(B35,BD_CONTROL!$A$5:$M$4235,12,0),"")</f>
        <v>0</v>
      </c>
      <c r="M35" s="121">
        <f>IFERROR(VLOOKUP(B35,BD_CONTROL!$A$5:$M$4235,13,0),"")</f>
        <v>0</v>
      </c>
    </row>
    <row r="36" spans="1:13" ht="15" customHeight="1">
      <c r="A36" s="39">
        <v>31</v>
      </c>
      <c r="B36" s="39" t="s">
        <v>630</v>
      </c>
      <c r="C36" s="40" t="s">
        <v>631</v>
      </c>
      <c r="D36" s="39" t="s">
        <v>432</v>
      </c>
      <c r="E36" s="40" t="s">
        <v>470</v>
      </c>
      <c r="F36" s="40" t="s">
        <v>632</v>
      </c>
      <c r="G36" s="39" t="s">
        <v>109</v>
      </c>
      <c r="H36" s="40" t="s">
        <v>435</v>
      </c>
      <c r="I36" s="40" t="s">
        <v>104</v>
      </c>
      <c r="J36" s="50"/>
      <c r="K36" s="116" t="str">
        <f>IFERROR(VLOOKUP(B36,BD_CONTROL!$A$5:$M$4235,11,0),"")</f>
        <v>Instalado - Operando</v>
      </c>
      <c r="L36" s="117">
        <f>IFERROR(VLOOKUP(B36,BD_CONTROL!$A$5:$M$4235,12,0),"")</f>
        <v>46151</v>
      </c>
      <c r="M36" s="118">
        <f>IFERROR(VLOOKUP(B36,BD_CONTROL!$A$5:$M$4235,13,0),"")</f>
        <v>0</v>
      </c>
    </row>
    <row r="37" spans="1:13" ht="15" customHeight="1">
      <c r="A37" s="42">
        <v>32</v>
      </c>
      <c r="B37" s="42" t="s">
        <v>633</v>
      </c>
      <c r="C37" s="43" t="s">
        <v>634</v>
      </c>
      <c r="D37" s="42" t="s">
        <v>432</v>
      </c>
      <c r="E37" s="43" t="s">
        <v>478</v>
      </c>
      <c r="F37" s="43" t="s">
        <v>634</v>
      </c>
      <c r="G37" s="42" t="s">
        <v>109</v>
      </c>
      <c r="H37" s="43" t="s">
        <v>435</v>
      </c>
      <c r="I37" s="43" t="s">
        <v>104</v>
      </c>
      <c r="J37" s="55"/>
      <c r="K37" s="119">
        <f>IFERROR(VLOOKUP(B37,BD_CONTROL!$A$5:$M$4235,11,0),"")</f>
        <v>0</v>
      </c>
      <c r="L37" s="120">
        <f>IFERROR(VLOOKUP(B37,BD_CONTROL!$A$5:$M$4235,12,0),"")</f>
        <v>0</v>
      </c>
      <c r="M37" s="121">
        <f>IFERROR(VLOOKUP(B37,BD_CONTROL!$A$5:$M$4235,13,0),"")</f>
        <v>0</v>
      </c>
    </row>
    <row r="38" spans="1:13" ht="15" customHeight="1">
      <c r="A38" s="39">
        <v>33</v>
      </c>
      <c r="B38" s="39" t="s">
        <v>635</v>
      </c>
      <c r="C38" s="40" t="s">
        <v>636</v>
      </c>
      <c r="D38" s="39" t="s">
        <v>432</v>
      </c>
      <c r="E38" s="40" t="s">
        <v>478</v>
      </c>
      <c r="F38" s="40" t="s">
        <v>478</v>
      </c>
      <c r="G38" s="39" t="s">
        <v>102</v>
      </c>
      <c r="H38" s="40" t="s">
        <v>435</v>
      </c>
      <c r="I38" s="40" t="s">
        <v>104</v>
      </c>
      <c r="J38" s="50"/>
      <c r="K38" s="116">
        <f>IFERROR(VLOOKUP(B38,BD_CONTROL!$A$5:$M$4235,11,0),"")</f>
        <v>0</v>
      </c>
      <c r="L38" s="117">
        <f>IFERROR(VLOOKUP(B38,BD_CONTROL!$A$5:$M$4235,12,0),"")</f>
        <v>0</v>
      </c>
      <c r="M38" s="118">
        <f>IFERROR(VLOOKUP(B38,BD_CONTROL!$A$5:$M$4235,13,0),"")</f>
        <v>0</v>
      </c>
    </row>
    <row r="39" spans="1:13" ht="15" customHeight="1">
      <c r="A39" s="42">
        <v>34</v>
      </c>
      <c r="B39" s="42" t="s">
        <v>637</v>
      </c>
      <c r="C39" s="43" t="s">
        <v>638</v>
      </c>
      <c r="D39" s="42" t="s">
        <v>432</v>
      </c>
      <c r="E39" s="43" t="s">
        <v>478</v>
      </c>
      <c r="F39" s="43" t="s">
        <v>478</v>
      </c>
      <c r="G39" s="42" t="s">
        <v>109</v>
      </c>
      <c r="H39" s="43" t="s">
        <v>435</v>
      </c>
      <c r="I39" s="43" t="s">
        <v>104</v>
      </c>
      <c r="J39" s="55"/>
      <c r="K39" s="119">
        <f>IFERROR(VLOOKUP(B39,BD_CONTROL!$A$5:$M$4235,11,0),"")</f>
        <v>0</v>
      </c>
      <c r="L39" s="120">
        <f>IFERROR(VLOOKUP(B39,BD_CONTROL!$A$5:$M$4235,12,0),"")</f>
        <v>0</v>
      </c>
      <c r="M39" s="121">
        <f>IFERROR(VLOOKUP(B39,BD_CONTROL!$A$5:$M$4235,13,0),"")</f>
        <v>0</v>
      </c>
    </row>
    <row r="40" spans="1:13" ht="15" customHeight="1">
      <c r="A40" s="39">
        <v>35</v>
      </c>
      <c r="B40" s="39" t="s">
        <v>639</v>
      </c>
      <c r="C40" s="40" t="s">
        <v>640</v>
      </c>
      <c r="D40" s="39" t="s">
        <v>432</v>
      </c>
      <c r="E40" s="40" t="s">
        <v>478</v>
      </c>
      <c r="F40" s="40" t="s">
        <v>478</v>
      </c>
      <c r="G40" s="39" t="s">
        <v>102</v>
      </c>
      <c r="H40" s="40" t="s">
        <v>435</v>
      </c>
      <c r="I40" s="40" t="s">
        <v>104</v>
      </c>
      <c r="J40" s="50"/>
      <c r="K40" s="116">
        <f>IFERROR(VLOOKUP(B40,BD_CONTROL!$A$5:$M$4235,11,0),"")</f>
        <v>0</v>
      </c>
      <c r="L40" s="117">
        <f>IFERROR(VLOOKUP(B40,BD_CONTROL!$A$5:$M$4235,12,0),"")</f>
        <v>0</v>
      </c>
      <c r="M40" s="118">
        <f>IFERROR(VLOOKUP(B40,BD_CONTROL!$A$5:$M$4235,13,0),"")</f>
        <v>0</v>
      </c>
    </row>
    <row r="41" spans="1:13" ht="15" customHeight="1">
      <c r="A41" s="42">
        <v>36</v>
      </c>
      <c r="B41" s="42" t="s">
        <v>641</v>
      </c>
      <c r="C41" s="43" t="s">
        <v>642</v>
      </c>
      <c r="D41" s="42" t="s">
        <v>432</v>
      </c>
      <c r="E41" s="43" t="s">
        <v>478</v>
      </c>
      <c r="F41" s="43" t="s">
        <v>478</v>
      </c>
      <c r="G41" s="42" t="s">
        <v>102</v>
      </c>
      <c r="H41" s="43" t="s">
        <v>435</v>
      </c>
      <c r="I41" s="43" t="s">
        <v>104</v>
      </c>
      <c r="J41" s="55"/>
      <c r="K41" s="119">
        <f>IFERROR(VLOOKUP(B41,BD_CONTROL!$A$5:$M$4235,11,0),"")</f>
        <v>0</v>
      </c>
      <c r="L41" s="120">
        <f>IFERROR(VLOOKUP(B41,BD_CONTROL!$A$5:$M$4235,12,0),"")</f>
        <v>0</v>
      </c>
      <c r="M41" s="121">
        <f>IFERROR(VLOOKUP(B41,BD_CONTROL!$A$5:$M$4235,13,0),"")</f>
        <v>0</v>
      </c>
    </row>
    <row r="42" spans="1:13" ht="15" customHeight="1">
      <c r="A42" s="39">
        <v>37</v>
      </c>
      <c r="B42" s="39" t="s">
        <v>676</v>
      </c>
      <c r="C42" s="40" t="s">
        <v>677</v>
      </c>
      <c r="D42" s="39" t="s">
        <v>432</v>
      </c>
      <c r="E42" s="40" t="s">
        <v>328</v>
      </c>
      <c r="F42" s="40" t="s">
        <v>678</v>
      </c>
      <c r="G42" s="39" t="s">
        <v>109</v>
      </c>
      <c r="H42" s="40" t="s">
        <v>435</v>
      </c>
      <c r="I42" s="40" t="s">
        <v>104</v>
      </c>
      <c r="J42" s="50"/>
      <c r="K42" s="116">
        <f>IFERROR(VLOOKUP(B42,BD_CONTROL!$A$5:$M$4235,11,0),"")</f>
        <v>0</v>
      </c>
      <c r="L42" s="117">
        <f>IFERROR(VLOOKUP(B42,BD_CONTROL!$A$5:$M$4235,12,0),"")</f>
        <v>0</v>
      </c>
      <c r="M42" s="118">
        <f>IFERROR(VLOOKUP(B42,BD_CONTROL!$A$5:$M$4235,13,0),"")</f>
        <v>0</v>
      </c>
    </row>
    <row r="43" spans="1:13" ht="15" customHeight="1">
      <c r="A43" s="42">
        <v>38</v>
      </c>
      <c r="B43" s="42" t="s">
        <v>679</v>
      </c>
      <c r="C43" s="43" t="s">
        <v>680</v>
      </c>
      <c r="D43" s="42" t="s">
        <v>432</v>
      </c>
      <c r="E43" s="43" t="s">
        <v>478</v>
      </c>
      <c r="F43" s="43" t="s">
        <v>478</v>
      </c>
      <c r="G43" s="42" t="s">
        <v>102</v>
      </c>
      <c r="H43" s="43" t="s">
        <v>435</v>
      </c>
      <c r="I43" s="43" t="s">
        <v>104</v>
      </c>
      <c r="J43" s="55"/>
      <c r="K43" s="119">
        <f>IFERROR(VLOOKUP(B43,BD_CONTROL!$A$5:$M$4235,11,0),"")</f>
        <v>0</v>
      </c>
      <c r="L43" s="120">
        <f>IFERROR(VLOOKUP(B43,BD_CONTROL!$A$5:$M$4235,12,0),"")</f>
        <v>0</v>
      </c>
      <c r="M43" s="121">
        <f>IFERROR(VLOOKUP(B43,BD_CONTROL!$A$5:$M$4235,13,0),"")</f>
        <v>0</v>
      </c>
    </row>
    <row r="44" spans="1:13" ht="15" customHeight="1">
      <c r="A44" s="39">
        <v>39</v>
      </c>
      <c r="B44" s="39" t="s">
        <v>687</v>
      </c>
      <c r="C44" s="40" t="s">
        <v>254</v>
      </c>
      <c r="D44" s="39" t="s">
        <v>688</v>
      </c>
      <c r="E44" s="40" t="s">
        <v>510</v>
      </c>
      <c r="F44" s="40" t="s">
        <v>689</v>
      </c>
      <c r="G44" s="39" t="s">
        <v>109</v>
      </c>
      <c r="H44" s="40" t="s">
        <v>435</v>
      </c>
      <c r="I44" s="40" t="s">
        <v>104</v>
      </c>
      <c r="J44" s="50"/>
      <c r="K44" s="116">
        <f>IFERROR(VLOOKUP(B44,BD_CONTROL!$A$5:$M$4235,11,0),"")</f>
        <v>0</v>
      </c>
      <c r="L44" s="117">
        <f>IFERROR(VLOOKUP(B44,BD_CONTROL!$A$5:$M$4235,12,0),"")</f>
        <v>0</v>
      </c>
      <c r="M44" s="118">
        <f>IFERROR(VLOOKUP(B44,BD_CONTROL!$A$5:$M$4235,13,0),"")</f>
        <v>0</v>
      </c>
    </row>
    <row r="45" spans="1:13" ht="15" customHeight="1">
      <c r="A45" s="42">
        <v>40</v>
      </c>
      <c r="B45" s="42" t="s">
        <v>690</v>
      </c>
      <c r="C45" s="43" t="s">
        <v>691</v>
      </c>
      <c r="D45" s="42" t="s">
        <v>688</v>
      </c>
      <c r="E45" s="43" t="s">
        <v>510</v>
      </c>
      <c r="F45" s="43" t="s">
        <v>692</v>
      </c>
      <c r="G45" s="42" t="s">
        <v>109</v>
      </c>
      <c r="H45" s="43" t="s">
        <v>435</v>
      </c>
      <c r="I45" s="43" t="s">
        <v>104</v>
      </c>
      <c r="J45" s="55"/>
      <c r="K45" s="119">
        <f>IFERROR(VLOOKUP(B45,BD_CONTROL!$A$5:$M$4235,11,0),"")</f>
        <v>0</v>
      </c>
      <c r="L45" s="120">
        <f>IFERROR(VLOOKUP(B45,BD_CONTROL!$A$5:$M$4235,12,0),"")</f>
        <v>0</v>
      </c>
      <c r="M45" s="121">
        <f>IFERROR(VLOOKUP(B45,BD_CONTROL!$A$5:$M$4235,13,0),"")</f>
        <v>0</v>
      </c>
    </row>
    <row r="46" spans="1:13" ht="15" customHeight="1">
      <c r="A46" s="39">
        <v>41</v>
      </c>
      <c r="B46" s="39" t="s">
        <v>693</v>
      </c>
      <c r="C46" s="40" t="s">
        <v>694</v>
      </c>
      <c r="D46" s="39" t="s">
        <v>688</v>
      </c>
      <c r="E46" s="40" t="s">
        <v>695</v>
      </c>
      <c r="F46" s="40" t="s">
        <v>696</v>
      </c>
      <c r="G46" s="39" t="s">
        <v>109</v>
      </c>
      <c r="H46" s="40" t="s">
        <v>435</v>
      </c>
      <c r="I46" s="40" t="s">
        <v>104</v>
      </c>
      <c r="J46" s="50"/>
      <c r="K46" s="116">
        <f>IFERROR(VLOOKUP(B46,BD_CONTROL!$A$5:$M$4235,11,0),"")</f>
        <v>0</v>
      </c>
      <c r="L46" s="117">
        <f>IFERROR(VLOOKUP(B46,BD_CONTROL!$A$5:$M$4235,12,0),"")</f>
        <v>0</v>
      </c>
      <c r="M46" s="118">
        <f>IFERROR(VLOOKUP(B46,BD_CONTROL!$A$5:$M$4235,13,0),"")</f>
        <v>0</v>
      </c>
    </row>
    <row r="47" spans="1:13" ht="15" customHeight="1">
      <c r="A47" s="42">
        <v>42</v>
      </c>
      <c r="B47" s="42" t="s">
        <v>697</v>
      </c>
      <c r="C47" s="43" t="s">
        <v>698</v>
      </c>
      <c r="D47" s="42" t="s">
        <v>688</v>
      </c>
      <c r="E47" s="43" t="s">
        <v>688</v>
      </c>
      <c r="F47" s="43" t="s">
        <v>699</v>
      </c>
      <c r="G47" s="42" t="s">
        <v>109</v>
      </c>
      <c r="H47" s="43" t="s">
        <v>435</v>
      </c>
      <c r="I47" s="43" t="s">
        <v>104</v>
      </c>
      <c r="J47" s="55"/>
      <c r="K47" s="119">
        <f>IFERROR(VLOOKUP(B47,BD_CONTROL!$A$5:$M$4235,11,0),"")</f>
        <v>0</v>
      </c>
      <c r="L47" s="120">
        <f>IFERROR(VLOOKUP(B47,BD_CONTROL!$A$5:$M$4235,12,0),"")</f>
        <v>0</v>
      </c>
      <c r="M47" s="121">
        <f>IFERROR(VLOOKUP(B47,BD_CONTROL!$A$5:$M$4235,13,0),"")</f>
        <v>0</v>
      </c>
    </row>
    <row r="48" spans="1:13" ht="15" customHeight="1">
      <c r="A48" s="39">
        <v>43</v>
      </c>
      <c r="B48" s="39" t="s">
        <v>700</v>
      </c>
      <c r="C48" s="40" t="s">
        <v>701</v>
      </c>
      <c r="D48" s="39" t="s">
        <v>688</v>
      </c>
      <c r="E48" s="40" t="s">
        <v>702</v>
      </c>
      <c r="F48" s="40" t="s">
        <v>703</v>
      </c>
      <c r="G48" s="39" t="s">
        <v>109</v>
      </c>
      <c r="H48" s="40" t="s">
        <v>435</v>
      </c>
      <c r="I48" s="40" t="s">
        <v>104</v>
      </c>
      <c r="J48" s="50"/>
      <c r="K48" s="116">
        <f>IFERROR(VLOOKUP(B48,BD_CONTROL!$A$5:$M$4235,11,0),"")</f>
        <v>0</v>
      </c>
      <c r="L48" s="117">
        <f>IFERROR(VLOOKUP(B48,BD_CONTROL!$A$5:$M$4235,12,0),"")</f>
        <v>0</v>
      </c>
      <c r="M48" s="118">
        <f>IFERROR(VLOOKUP(B48,BD_CONTROL!$A$5:$M$4235,13,0),"")</f>
        <v>0</v>
      </c>
    </row>
    <row r="49" spans="1:13" ht="15" customHeight="1">
      <c r="A49" s="42">
        <v>44</v>
      </c>
      <c r="B49" s="42" t="s">
        <v>704</v>
      </c>
      <c r="C49" s="43" t="s">
        <v>705</v>
      </c>
      <c r="D49" s="42" t="s">
        <v>688</v>
      </c>
      <c r="E49" s="43" t="s">
        <v>706</v>
      </c>
      <c r="F49" s="43" t="s">
        <v>706</v>
      </c>
      <c r="G49" s="42" t="s">
        <v>102</v>
      </c>
      <c r="H49" s="43" t="s">
        <v>435</v>
      </c>
      <c r="I49" s="43" t="s">
        <v>104</v>
      </c>
      <c r="J49" s="55"/>
      <c r="K49" s="119">
        <f>IFERROR(VLOOKUP(B49,BD_CONTROL!$A$5:$M$4235,11,0),"")</f>
        <v>0</v>
      </c>
      <c r="L49" s="120">
        <f>IFERROR(VLOOKUP(B49,BD_CONTROL!$A$5:$M$4235,12,0),"")</f>
        <v>0</v>
      </c>
      <c r="M49" s="121">
        <f>IFERROR(VLOOKUP(B49,BD_CONTROL!$A$5:$M$4235,13,0),"")</f>
        <v>0</v>
      </c>
    </row>
    <row r="50" spans="1:13" ht="15" customHeight="1">
      <c r="A50" s="39">
        <v>45</v>
      </c>
      <c r="B50" s="39" t="s">
        <v>707</v>
      </c>
      <c r="C50" s="40" t="s">
        <v>548</v>
      </c>
      <c r="D50" s="39" t="s">
        <v>688</v>
      </c>
      <c r="E50" s="40" t="s">
        <v>708</v>
      </c>
      <c r="F50" s="40" t="s">
        <v>320</v>
      </c>
      <c r="G50" s="39" t="s">
        <v>109</v>
      </c>
      <c r="H50" s="40" t="s">
        <v>435</v>
      </c>
      <c r="I50" s="40" t="s">
        <v>104</v>
      </c>
      <c r="J50" s="50"/>
      <c r="K50" s="116">
        <f>IFERROR(VLOOKUP(B50,BD_CONTROL!$A$5:$M$4235,11,0),"")</f>
        <v>0</v>
      </c>
      <c r="L50" s="117">
        <f>IFERROR(VLOOKUP(B50,BD_CONTROL!$A$5:$M$4235,12,0),"")</f>
        <v>0</v>
      </c>
      <c r="M50" s="118">
        <f>IFERROR(VLOOKUP(B50,BD_CONTROL!$A$5:$M$4235,13,0),"")</f>
        <v>0</v>
      </c>
    </row>
    <row r="51" spans="1:13" ht="15" customHeight="1">
      <c r="A51" s="42">
        <v>46</v>
      </c>
      <c r="B51" s="42" t="s">
        <v>709</v>
      </c>
      <c r="C51" s="43" t="s">
        <v>710</v>
      </c>
      <c r="D51" s="42" t="s">
        <v>688</v>
      </c>
      <c r="E51" s="43" t="s">
        <v>711</v>
      </c>
      <c r="F51" s="43" t="s">
        <v>712</v>
      </c>
      <c r="G51" s="42" t="s">
        <v>109</v>
      </c>
      <c r="H51" s="43" t="s">
        <v>435</v>
      </c>
      <c r="I51" s="43" t="s">
        <v>104</v>
      </c>
      <c r="J51" s="55"/>
      <c r="K51" s="119">
        <f>IFERROR(VLOOKUP(B51,BD_CONTROL!$A$5:$M$4235,11,0),"")</f>
        <v>0</v>
      </c>
      <c r="L51" s="120">
        <f>IFERROR(VLOOKUP(B51,BD_CONTROL!$A$5:$M$4235,12,0),"")</f>
        <v>0</v>
      </c>
      <c r="M51" s="121">
        <f>IFERROR(VLOOKUP(B51,BD_CONTROL!$A$5:$M$4235,13,0),"")</f>
        <v>0</v>
      </c>
    </row>
    <row r="52" spans="1:13" ht="15" customHeight="1">
      <c r="A52" s="39">
        <v>47</v>
      </c>
      <c r="B52" s="39" t="s">
        <v>713</v>
      </c>
      <c r="C52" s="40" t="s">
        <v>714</v>
      </c>
      <c r="D52" s="39" t="s">
        <v>688</v>
      </c>
      <c r="E52" s="40" t="s">
        <v>715</v>
      </c>
      <c r="F52" s="40" t="s">
        <v>716</v>
      </c>
      <c r="G52" s="39" t="s">
        <v>109</v>
      </c>
      <c r="H52" s="40" t="s">
        <v>435</v>
      </c>
      <c r="I52" s="40" t="s">
        <v>104</v>
      </c>
      <c r="J52" s="50"/>
      <c r="K52" s="116">
        <f>IFERROR(VLOOKUP(B52,BD_CONTROL!$A$5:$M$4235,11,0),"")</f>
        <v>0</v>
      </c>
      <c r="L52" s="117">
        <f>IFERROR(VLOOKUP(B52,BD_CONTROL!$A$5:$M$4235,12,0),"")</f>
        <v>0</v>
      </c>
      <c r="M52" s="118">
        <f>IFERROR(VLOOKUP(B52,BD_CONTROL!$A$5:$M$4235,13,0),"")</f>
        <v>0</v>
      </c>
    </row>
    <row r="53" spans="1:13" ht="15" customHeight="1">
      <c r="A53" s="42">
        <v>48</v>
      </c>
      <c r="B53" s="42" t="s">
        <v>717</v>
      </c>
      <c r="C53" s="43" t="s">
        <v>718</v>
      </c>
      <c r="D53" s="42" t="s">
        <v>688</v>
      </c>
      <c r="E53" s="43" t="s">
        <v>702</v>
      </c>
      <c r="F53" s="43" t="s">
        <v>702</v>
      </c>
      <c r="G53" s="42" t="s">
        <v>102</v>
      </c>
      <c r="H53" s="43" t="s">
        <v>435</v>
      </c>
      <c r="I53" s="43" t="s">
        <v>104</v>
      </c>
      <c r="J53" s="55"/>
      <c r="K53" s="119">
        <f>IFERROR(VLOOKUP(B53,BD_CONTROL!$A$5:$M$4235,11,0),"")</f>
        <v>0</v>
      </c>
      <c r="L53" s="120">
        <f>IFERROR(VLOOKUP(B53,BD_CONTROL!$A$5:$M$4235,12,0),"")</f>
        <v>0</v>
      </c>
      <c r="M53" s="121">
        <f>IFERROR(VLOOKUP(B53,BD_CONTROL!$A$5:$M$4235,13,0),"")</f>
        <v>0</v>
      </c>
    </row>
    <row r="54" spans="1:13" ht="15" customHeight="1">
      <c r="A54" s="39">
        <v>49</v>
      </c>
      <c r="B54" s="39" t="s">
        <v>719</v>
      </c>
      <c r="C54" s="40" t="s">
        <v>720</v>
      </c>
      <c r="D54" s="39" t="s">
        <v>688</v>
      </c>
      <c r="E54" s="40" t="s">
        <v>721</v>
      </c>
      <c r="F54" s="40" t="s">
        <v>722</v>
      </c>
      <c r="G54" s="39" t="s">
        <v>109</v>
      </c>
      <c r="H54" s="40" t="s">
        <v>435</v>
      </c>
      <c r="I54" s="40" t="s">
        <v>104</v>
      </c>
      <c r="J54" s="50"/>
      <c r="K54" s="116">
        <f>IFERROR(VLOOKUP(B54,BD_CONTROL!$A$5:$M$4235,11,0),"")</f>
        <v>0</v>
      </c>
      <c r="L54" s="117">
        <f>IFERROR(VLOOKUP(B54,BD_CONTROL!$A$5:$M$4235,12,0),"")</f>
        <v>0</v>
      </c>
      <c r="M54" s="118">
        <f>IFERROR(VLOOKUP(B54,BD_CONTROL!$A$5:$M$4235,13,0),"")</f>
        <v>0</v>
      </c>
    </row>
    <row r="55" spans="1:13" ht="15" customHeight="1">
      <c r="A55" s="42">
        <v>50</v>
      </c>
      <c r="B55" s="42" t="s">
        <v>723</v>
      </c>
      <c r="C55" s="43" t="s">
        <v>724</v>
      </c>
      <c r="D55" s="42" t="s">
        <v>688</v>
      </c>
      <c r="E55" s="43" t="s">
        <v>725</v>
      </c>
      <c r="F55" s="43" t="s">
        <v>726</v>
      </c>
      <c r="G55" s="42" t="s">
        <v>109</v>
      </c>
      <c r="H55" s="43" t="s">
        <v>435</v>
      </c>
      <c r="I55" s="43" t="s">
        <v>104</v>
      </c>
      <c r="J55" s="55"/>
      <c r="K55" s="119">
        <f>IFERROR(VLOOKUP(B55,BD_CONTROL!$A$5:$M$4235,11,0),"")</f>
        <v>0</v>
      </c>
      <c r="L55" s="120">
        <f>IFERROR(VLOOKUP(B55,BD_CONTROL!$A$5:$M$4235,12,0),"")</f>
        <v>0</v>
      </c>
      <c r="M55" s="121">
        <f>IFERROR(VLOOKUP(B55,BD_CONTROL!$A$5:$M$4235,13,0),"")</f>
        <v>0</v>
      </c>
    </row>
    <row r="56" spans="1:13" ht="15" customHeight="1">
      <c r="A56" s="39">
        <v>51</v>
      </c>
      <c r="B56" s="39" t="s">
        <v>727</v>
      </c>
      <c r="C56" s="40" t="s">
        <v>710</v>
      </c>
      <c r="D56" s="39" t="s">
        <v>688</v>
      </c>
      <c r="E56" s="40" t="s">
        <v>695</v>
      </c>
      <c r="F56" s="40" t="s">
        <v>728</v>
      </c>
      <c r="G56" s="39" t="s">
        <v>109</v>
      </c>
      <c r="H56" s="40" t="s">
        <v>435</v>
      </c>
      <c r="I56" s="40" t="s">
        <v>104</v>
      </c>
      <c r="J56" s="50"/>
      <c r="K56" s="116">
        <f>IFERROR(VLOOKUP(B56,BD_CONTROL!$A$5:$M$4235,11,0),"")</f>
        <v>0</v>
      </c>
      <c r="L56" s="117">
        <f>IFERROR(VLOOKUP(B56,BD_CONTROL!$A$5:$M$4235,12,0),"")</f>
        <v>0</v>
      </c>
      <c r="M56" s="118">
        <f>IFERROR(VLOOKUP(B56,BD_CONTROL!$A$5:$M$4235,13,0),"")</f>
        <v>0</v>
      </c>
    </row>
    <row r="57" spans="1:13" ht="15" customHeight="1">
      <c r="A57" s="42">
        <v>52</v>
      </c>
      <c r="B57" s="42" t="s">
        <v>729</v>
      </c>
      <c r="C57" s="43" t="s">
        <v>730</v>
      </c>
      <c r="D57" s="42" t="s">
        <v>688</v>
      </c>
      <c r="E57" s="43" t="s">
        <v>731</v>
      </c>
      <c r="F57" s="43" t="s">
        <v>732</v>
      </c>
      <c r="G57" s="42" t="s">
        <v>109</v>
      </c>
      <c r="H57" s="43" t="s">
        <v>435</v>
      </c>
      <c r="I57" s="43" t="s">
        <v>104</v>
      </c>
      <c r="J57" s="55"/>
      <c r="K57" s="119">
        <f>IFERROR(VLOOKUP(B57,BD_CONTROL!$A$5:$M$4235,11,0),"")</f>
        <v>0</v>
      </c>
      <c r="L57" s="120">
        <f>IFERROR(VLOOKUP(B57,BD_CONTROL!$A$5:$M$4235,12,0),"")</f>
        <v>0</v>
      </c>
      <c r="M57" s="121">
        <f>IFERROR(VLOOKUP(B57,BD_CONTROL!$A$5:$M$4235,13,0),"")</f>
        <v>0</v>
      </c>
    </row>
    <row r="58" spans="1:13" ht="15" customHeight="1">
      <c r="A58" s="39">
        <v>53</v>
      </c>
      <c r="B58" s="39" t="s">
        <v>733</v>
      </c>
      <c r="C58" s="40" t="s">
        <v>734</v>
      </c>
      <c r="D58" s="39" t="s">
        <v>688</v>
      </c>
      <c r="E58" s="40" t="s">
        <v>711</v>
      </c>
      <c r="F58" s="40" t="s">
        <v>735</v>
      </c>
      <c r="G58" s="39" t="s">
        <v>109</v>
      </c>
      <c r="H58" s="40" t="s">
        <v>435</v>
      </c>
      <c r="I58" s="40" t="s">
        <v>104</v>
      </c>
      <c r="J58" s="50"/>
      <c r="K58" s="116">
        <f>IFERROR(VLOOKUP(B58,BD_CONTROL!$A$5:$M$4235,11,0),"")</f>
        <v>0</v>
      </c>
      <c r="L58" s="117">
        <f>IFERROR(VLOOKUP(B58,BD_CONTROL!$A$5:$M$4235,12,0),"")</f>
        <v>0</v>
      </c>
      <c r="M58" s="118">
        <f>IFERROR(VLOOKUP(B58,BD_CONTROL!$A$5:$M$4235,13,0),"")</f>
        <v>0</v>
      </c>
    </row>
    <row r="59" spans="1:13" ht="15" customHeight="1">
      <c r="A59" s="42">
        <v>54</v>
      </c>
      <c r="B59" s="42" t="s">
        <v>736</v>
      </c>
      <c r="C59" s="43" t="s">
        <v>737</v>
      </c>
      <c r="D59" s="42" t="s">
        <v>688</v>
      </c>
      <c r="E59" s="43" t="s">
        <v>695</v>
      </c>
      <c r="F59" s="43" t="s">
        <v>738</v>
      </c>
      <c r="G59" s="42" t="s">
        <v>109</v>
      </c>
      <c r="H59" s="43" t="s">
        <v>435</v>
      </c>
      <c r="I59" s="43" t="s">
        <v>104</v>
      </c>
      <c r="J59" s="55"/>
      <c r="K59" s="119">
        <f>IFERROR(VLOOKUP(B59,BD_CONTROL!$A$5:$M$4235,11,0),"")</f>
        <v>0</v>
      </c>
      <c r="L59" s="120">
        <f>IFERROR(VLOOKUP(B59,BD_CONTROL!$A$5:$M$4235,12,0),"")</f>
        <v>0</v>
      </c>
      <c r="M59" s="121">
        <f>IFERROR(VLOOKUP(B59,BD_CONTROL!$A$5:$M$4235,13,0),"")</f>
        <v>0</v>
      </c>
    </row>
    <row r="60" spans="1:13" ht="15" customHeight="1">
      <c r="A60" s="39">
        <v>55</v>
      </c>
      <c r="B60" s="39" t="s">
        <v>739</v>
      </c>
      <c r="C60" s="40" t="s">
        <v>710</v>
      </c>
      <c r="D60" s="39" t="s">
        <v>688</v>
      </c>
      <c r="E60" s="40" t="s">
        <v>740</v>
      </c>
      <c r="F60" s="40" t="s">
        <v>741</v>
      </c>
      <c r="G60" s="39" t="s">
        <v>109</v>
      </c>
      <c r="H60" s="40" t="s">
        <v>435</v>
      </c>
      <c r="I60" s="40" t="s">
        <v>104</v>
      </c>
      <c r="J60" s="50"/>
      <c r="K60" s="116">
        <f>IFERROR(VLOOKUP(B60,BD_CONTROL!$A$5:$M$4235,11,0),"")</f>
        <v>0</v>
      </c>
      <c r="L60" s="117">
        <f>IFERROR(VLOOKUP(B60,BD_CONTROL!$A$5:$M$4235,12,0),"")</f>
        <v>0</v>
      </c>
      <c r="M60" s="118">
        <f>IFERROR(VLOOKUP(B60,BD_CONTROL!$A$5:$M$4235,13,0),"")</f>
        <v>0</v>
      </c>
    </row>
    <row r="61" spans="1:13" ht="15" customHeight="1">
      <c r="A61" s="42">
        <v>56</v>
      </c>
      <c r="B61" s="42" t="s">
        <v>742</v>
      </c>
      <c r="C61" s="43" t="s">
        <v>743</v>
      </c>
      <c r="D61" s="42" t="s">
        <v>688</v>
      </c>
      <c r="E61" s="43" t="s">
        <v>706</v>
      </c>
      <c r="F61" s="43" t="s">
        <v>706</v>
      </c>
      <c r="G61" s="42" t="s">
        <v>102</v>
      </c>
      <c r="H61" s="43" t="s">
        <v>435</v>
      </c>
      <c r="I61" s="43" t="s">
        <v>104</v>
      </c>
      <c r="J61" s="55"/>
      <c r="K61" s="119">
        <f>IFERROR(VLOOKUP(B61,BD_CONTROL!$A$5:$M$4235,11,0),"")</f>
        <v>0</v>
      </c>
      <c r="L61" s="120">
        <f>IFERROR(VLOOKUP(B61,BD_CONTROL!$A$5:$M$4235,12,0),"")</f>
        <v>0</v>
      </c>
      <c r="M61" s="121">
        <f>IFERROR(VLOOKUP(B61,BD_CONTROL!$A$5:$M$4235,13,0),"")</f>
        <v>0</v>
      </c>
    </row>
    <row r="62" spans="1:13" ht="15" customHeight="1">
      <c r="A62" s="39">
        <v>57</v>
      </c>
      <c r="B62" s="39" t="s">
        <v>744</v>
      </c>
      <c r="C62" s="40" t="s">
        <v>745</v>
      </c>
      <c r="D62" s="39" t="s">
        <v>688</v>
      </c>
      <c r="E62" s="40" t="s">
        <v>731</v>
      </c>
      <c r="F62" s="40" t="s">
        <v>746</v>
      </c>
      <c r="G62" s="39" t="s">
        <v>109</v>
      </c>
      <c r="H62" s="40" t="s">
        <v>435</v>
      </c>
      <c r="I62" s="40" t="s">
        <v>104</v>
      </c>
      <c r="J62" s="50"/>
      <c r="K62" s="116">
        <f>IFERROR(VLOOKUP(B62,BD_CONTROL!$A$5:$M$4235,11,0),"")</f>
        <v>0</v>
      </c>
      <c r="L62" s="117">
        <f>IFERROR(VLOOKUP(B62,BD_CONTROL!$A$5:$M$4235,12,0),"")</f>
        <v>0</v>
      </c>
      <c r="M62" s="118">
        <f>IFERROR(VLOOKUP(B62,BD_CONTROL!$A$5:$M$4235,13,0),"")</f>
        <v>0</v>
      </c>
    </row>
    <row r="63" spans="1:13" ht="15" customHeight="1">
      <c r="A63" s="42">
        <v>58</v>
      </c>
      <c r="B63" s="42" t="s">
        <v>747</v>
      </c>
      <c r="C63" s="43" t="s">
        <v>710</v>
      </c>
      <c r="D63" s="42" t="s">
        <v>688</v>
      </c>
      <c r="E63" s="43" t="s">
        <v>740</v>
      </c>
      <c r="F63" s="43" t="s">
        <v>748</v>
      </c>
      <c r="G63" s="42" t="s">
        <v>109</v>
      </c>
      <c r="H63" s="43" t="s">
        <v>435</v>
      </c>
      <c r="I63" s="43" t="s">
        <v>104</v>
      </c>
      <c r="J63" s="55"/>
      <c r="K63" s="119">
        <f>IFERROR(VLOOKUP(B63,BD_CONTROL!$A$5:$M$4235,11,0),"")</f>
        <v>0</v>
      </c>
      <c r="L63" s="120">
        <f>IFERROR(VLOOKUP(B63,BD_CONTROL!$A$5:$M$4235,12,0),"")</f>
        <v>0</v>
      </c>
      <c r="M63" s="121">
        <f>IFERROR(VLOOKUP(B63,BD_CONTROL!$A$5:$M$4235,13,0),"")</f>
        <v>0</v>
      </c>
    </row>
    <row r="64" spans="1:13" ht="15" customHeight="1">
      <c r="A64" s="39">
        <v>59</v>
      </c>
      <c r="B64" s="39" t="s">
        <v>749</v>
      </c>
      <c r="C64" s="40" t="s">
        <v>710</v>
      </c>
      <c r="D64" s="39" t="s">
        <v>688</v>
      </c>
      <c r="E64" s="40" t="s">
        <v>510</v>
      </c>
      <c r="F64" s="40" t="s">
        <v>750</v>
      </c>
      <c r="G64" s="39" t="s">
        <v>109</v>
      </c>
      <c r="H64" s="40" t="s">
        <v>435</v>
      </c>
      <c r="I64" s="40" t="s">
        <v>104</v>
      </c>
      <c r="J64" s="50"/>
      <c r="K64" s="116">
        <f>IFERROR(VLOOKUP(B64,BD_CONTROL!$A$5:$M$4235,11,0),"")</f>
        <v>0</v>
      </c>
      <c r="L64" s="117">
        <f>IFERROR(VLOOKUP(B64,BD_CONTROL!$A$5:$M$4235,12,0),"")</f>
        <v>0</v>
      </c>
      <c r="M64" s="118">
        <f>IFERROR(VLOOKUP(B64,BD_CONTROL!$A$5:$M$4235,13,0),"")</f>
        <v>0</v>
      </c>
    </row>
    <row r="65" spans="1:13" ht="15" customHeight="1">
      <c r="A65" s="42">
        <v>60</v>
      </c>
      <c r="B65" s="42" t="s">
        <v>751</v>
      </c>
      <c r="C65" s="43" t="s">
        <v>752</v>
      </c>
      <c r="D65" s="42" t="s">
        <v>688</v>
      </c>
      <c r="E65" s="43" t="s">
        <v>688</v>
      </c>
      <c r="F65" s="43" t="s">
        <v>753</v>
      </c>
      <c r="G65" s="42" t="s">
        <v>109</v>
      </c>
      <c r="H65" s="43" t="s">
        <v>435</v>
      </c>
      <c r="I65" s="43" t="s">
        <v>104</v>
      </c>
      <c r="J65" s="55"/>
      <c r="K65" s="119">
        <f>IFERROR(VLOOKUP(B65,BD_CONTROL!$A$5:$M$4235,11,0),"")</f>
        <v>0</v>
      </c>
      <c r="L65" s="120">
        <f>IFERROR(VLOOKUP(B65,BD_CONTROL!$A$5:$M$4235,12,0),"")</f>
        <v>0</v>
      </c>
      <c r="M65" s="121">
        <f>IFERROR(VLOOKUP(B65,BD_CONTROL!$A$5:$M$4235,13,0),"")</f>
        <v>0</v>
      </c>
    </row>
    <row r="66" spans="1:13" ht="15" customHeight="1">
      <c r="A66" s="39">
        <v>61</v>
      </c>
      <c r="B66" s="39" t="s">
        <v>754</v>
      </c>
      <c r="C66" s="40" t="s">
        <v>745</v>
      </c>
      <c r="D66" s="39" t="s">
        <v>688</v>
      </c>
      <c r="E66" s="40" t="s">
        <v>563</v>
      </c>
      <c r="F66" s="40" t="s">
        <v>755</v>
      </c>
      <c r="G66" s="39" t="s">
        <v>109</v>
      </c>
      <c r="H66" s="40" t="s">
        <v>435</v>
      </c>
      <c r="I66" s="40" t="s">
        <v>104</v>
      </c>
      <c r="J66" s="50"/>
      <c r="K66" s="116">
        <f>IFERROR(VLOOKUP(B66,BD_CONTROL!$A$5:$M$4235,11,0),"")</f>
        <v>0</v>
      </c>
      <c r="L66" s="117">
        <f>IFERROR(VLOOKUP(B66,BD_CONTROL!$A$5:$M$4235,12,0),"")</f>
        <v>0</v>
      </c>
      <c r="M66" s="118">
        <f>IFERROR(VLOOKUP(B66,BD_CONTROL!$A$5:$M$4235,13,0),"")</f>
        <v>0</v>
      </c>
    </row>
    <row r="67" spans="1:13" ht="15" customHeight="1">
      <c r="A67" s="42">
        <v>62</v>
      </c>
      <c r="B67" s="42" t="s">
        <v>756</v>
      </c>
      <c r="C67" s="43" t="s">
        <v>548</v>
      </c>
      <c r="D67" s="42" t="s">
        <v>688</v>
      </c>
      <c r="E67" s="43" t="s">
        <v>757</v>
      </c>
      <c r="F67" s="43" t="s">
        <v>758</v>
      </c>
      <c r="G67" s="42" t="s">
        <v>109</v>
      </c>
      <c r="H67" s="43" t="s">
        <v>435</v>
      </c>
      <c r="I67" s="43" t="s">
        <v>104</v>
      </c>
      <c r="J67" s="55"/>
      <c r="K67" s="119">
        <f>IFERROR(VLOOKUP(B67,BD_CONTROL!$A$5:$M$4235,11,0),"")</f>
        <v>0</v>
      </c>
      <c r="L67" s="120">
        <f>IFERROR(VLOOKUP(B67,BD_CONTROL!$A$5:$M$4235,12,0),"")</f>
        <v>0</v>
      </c>
      <c r="M67" s="121">
        <f>IFERROR(VLOOKUP(B67,BD_CONTROL!$A$5:$M$4235,13,0),"")</f>
        <v>0</v>
      </c>
    </row>
    <row r="68" spans="1:13" ht="15" customHeight="1">
      <c r="A68" s="39">
        <v>63</v>
      </c>
      <c r="B68" s="39" t="s">
        <v>759</v>
      </c>
      <c r="C68" s="40" t="s">
        <v>760</v>
      </c>
      <c r="D68" s="39" t="s">
        <v>688</v>
      </c>
      <c r="E68" s="40" t="s">
        <v>725</v>
      </c>
      <c r="F68" s="40" t="s">
        <v>725</v>
      </c>
      <c r="G68" s="39" t="s">
        <v>102</v>
      </c>
      <c r="H68" s="40" t="s">
        <v>435</v>
      </c>
      <c r="I68" s="40" t="s">
        <v>104</v>
      </c>
      <c r="J68" s="50"/>
      <c r="K68" s="116">
        <f>IFERROR(VLOOKUP(B68,BD_CONTROL!$A$5:$M$4235,11,0),"")</f>
        <v>0</v>
      </c>
      <c r="L68" s="117">
        <f>IFERROR(VLOOKUP(B68,BD_CONTROL!$A$5:$M$4235,12,0),"")</f>
        <v>0</v>
      </c>
      <c r="M68" s="118">
        <f>IFERROR(VLOOKUP(B68,BD_CONTROL!$A$5:$M$4235,13,0),"")</f>
        <v>0</v>
      </c>
    </row>
    <row r="69" spans="1:13" ht="15" customHeight="1">
      <c r="A69" s="42">
        <v>64</v>
      </c>
      <c r="B69" s="42" t="s">
        <v>761</v>
      </c>
      <c r="C69" s="43" t="s">
        <v>688</v>
      </c>
      <c r="D69" s="42" t="s">
        <v>688</v>
      </c>
      <c r="E69" s="43" t="s">
        <v>688</v>
      </c>
      <c r="F69" s="43" t="s">
        <v>688</v>
      </c>
      <c r="G69" s="42" t="s">
        <v>102</v>
      </c>
      <c r="H69" s="43" t="s">
        <v>435</v>
      </c>
      <c r="I69" s="43" t="s">
        <v>104</v>
      </c>
      <c r="J69" s="55"/>
      <c r="K69" s="119">
        <f>IFERROR(VLOOKUP(B69,BD_CONTROL!$A$5:$M$4235,11,0),"")</f>
        <v>0</v>
      </c>
      <c r="L69" s="120">
        <f>IFERROR(VLOOKUP(B69,BD_CONTROL!$A$5:$M$4235,12,0),"")</f>
        <v>0</v>
      </c>
      <c r="M69" s="121">
        <f>IFERROR(VLOOKUP(B69,BD_CONTROL!$A$5:$M$4235,13,0),"")</f>
        <v>0</v>
      </c>
    </row>
    <row r="70" spans="1:13" ht="15" customHeight="1">
      <c r="A70" s="39">
        <v>65</v>
      </c>
      <c r="B70" s="39" t="s">
        <v>762</v>
      </c>
      <c r="C70" s="40" t="s">
        <v>763</v>
      </c>
      <c r="D70" s="39" t="s">
        <v>688</v>
      </c>
      <c r="E70" s="40" t="s">
        <v>725</v>
      </c>
      <c r="F70" s="40" t="s">
        <v>764</v>
      </c>
      <c r="G70" s="39" t="s">
        <v>109</v>
      </c>
      <c r="H70" s="40" t="s">
        <v>435</v>
      </c>
      <c r="I70" s="40" t="s">
        <v>104</v>
      </c>
      <c r="J70" s="50"/>
      <c r="K70" s="116">
        <f>IFERROR(VLOOKUP(B70,BD_CONTROL!$A$5:$M$4235,11,0),"")</f>
        <v>0</v>
      </c>
      <c r="L70" s="117">
        <f>IFERROR(VLOOKUP(B70,BD_CONTROL!$A$5:$M$4235,12,0),"")</f>
        <v>0</v>
      </c>
      <c r="M70" s="118">
        <f>IFERROR(VLOOKUP(B70,BD_CONTROL!$A$5:$M$4235,13,0),"")</f>
        <v>0</v>
      </c>
    </row>
    <row r="71" spans="1:13" ht="15" customHeight="1">
      <c r="A71" s="42">
        <v>66</v>
      </c>
      <c r="B71" s="42" t="s">
        <v>765</v>
      </c>
      <c r="C71" s="43" t="s">
        <v>766</v>
      </c>
      <c r="D71" s="42" t="s">
        <v>688</v>
      </c>
      <c r="E71" s="43" t="s">
        <v>767</v>
      </c>
      <c r="F71" s="43" t="s">
        <v>767</v>
      </c>
      <c r="G71" s="42" t="s">
        <v>102</v>
      </c>
      <c r="H71" s="43" t="s">
        <v>435</v>
      </c>
      <c r="I71" s="43" t="s">
        <v>104</v>
      </c>
      <c r="J71" s="55"/>
      <c r="K71" s="119">
        <f>IFERROR(VLOOKUP(B71,BD_CONTROL!$A$5:$M$4235,11,0),"")</f>
        <v>0</v>
      </c>
      <c r="L71" s="120">
        <f>IFERROR(VLOOKUP(B71,BD_CONTROL!$A$5:$M$4235,12,0),"")</f>
        <v>0</v>
      </c>
      <c r="M71" s="121">
        <f>IFERROR(VLOOKUP(B71,BD_CONTROL!$A$5:$M$4235,13,0),"")</f>
        <v>0</v>
      </c>
    </row>
    <row r="72" spans="1:13" ht="15" customHeight="1">
      <c r="A72" s="39">
        <v>67</v>
      </c>
      <c r="B72" s="39" t="s">
        <v>768</v>
      </c>
      <c r="C72" s="40" t="s">
        <v>769</v>
      </c>
      <c r="D72" s="39" t="s">
        <v>688</v>
      </c>
      <c r="E72" s="40" t="s">
        <v>770</v>
      </c>
      <c r="F72" s="40" t="s">
        <v>771</v>
      </c>
      <c r="G72" s="39" t="s">
        <v>109</v>
      </c>
      <c r="H72" s="40" t="s">
        <v>435</v>
      </c>
      <c r="I72" s="40" t="s">
        <v>104</v>
      </c>
      <c r="J72" s="50"/>
      <c r="K72" s="116">
        <f>IFERROR(VLOOKUP(B72,BD_CONTROL!$A$5:$M$4235,11,0),"")</f>
        <v>0</v>
      </c>
      <c r="L72" s="117">
        <f>IFERROR(VLOOKUP(B72,BD_CONTROL!$A$5:$M$4235,12,0),"")</f>
        <v>0</v>
      </c>
      <c r="M72" s="118">
        <f>IFERROR(VLOOKUP(B72,BD_CONTROL!$A$5:$M$4235,13,0),"")</f>
        <v>0</v>
      </c>
    </row>
    <row r="73" spans="1:13" ht="15" customHeight="1">
      <c r="A73" s="42">
        <v>68</v>
      </c>
      <c r="B73" s="42" t="s">
        <v>772</v>
      </c>
      <c r="C73" s="43" t="s">
        <v>773</v>
      </c>
      <c r="D73" s="42" t="s">
        <v>688</v>
      </c>
      <c r="E73" s="43" t="s">
        <v>563</v>
      </c>
      <c r="F73" s="43" t="s">
        <v>774</v>
      </c>
      <c r="G73" s="42" t="s">
        <v>109</v>
      </c>
      <c r="H73" s="43" t="s">
        <v>435</v>
      </c>
      <c r="I73" s="43" t="s">
        <v>104</v>
      </c>
      <c r="J73" s="55"/>
      <c r="K73" s="119">
        <f>IFERROR(VLOOKUP(B73,BD_CONTROL!$A$5:$M$4235,11,0),"")</f>
        <v>0</v>
      </c>
      <c r="L73" s="120">
        <f>IFERROR(VLOOKUP(B73,BD_CONTROL!$A$5:$M$4235,12,0),"")</f>
        <v>0</v>
      </c>
      <c r="M73" s="121">
        <f>IFERROR(VLOOKUP(B73,BD_CONTROL!$A$5:$M$4235,13,0),"")</f>
        <v>0</v>
      </c>
    </row>
    <row r="74" spans="1:13" ht="15" customHeight="1">
      <c r="A74" s="39">
        <v>69</v>
      </c>
      <c r="B74" s="39" t="s">
        <v>775</v>
      </c>
      <c r="C74" s="40" t="s">
        <v>776</v>
      </c>
      <c r="D74" s="39" t="s">
        <v>688</v>
      </c>
      <c r="E74" s="40" t="s">
        <v>510</v>
      </c>
      <c r="F74" s="40" t="s">
        <v>777</v>
      </c>
      <c r="G74" s="39" t="s">
        <v>109</v>
      </c>
      <c r="H74" s="40" t="s">
        <v>435</v>
      </c>
      <c r="I74" s="40" t="s">
        <v>104</v>
      </c>
      <c r="J74" s="50"/>
      <c r="K74" s="116">
        <f>IFERROR(VLOOKUP(B74,BD_CONTROL!$A$5:$M$4235,11,0),"")</f>
        <v>0</v>
      </c>
      <c r="L74" s="117">
        <f>IFERROR(VLOOKUP(B74,BD_CONTROL!$A$5:$M$4235,12,0),"")</f>
        <v>0</v>
      </c>
      <c r="M74" s="118">
        <f>IFERROR(VLOOKUP(B74,BD_CONTROL!$A$5:$M$4235,13,0),"")</f>
        <v>0</v>
      </c>
    </row>
    <row r="75" spans="1:13" ht="15" customHeight="1">
      <c r="A75" s="42">
        <v>70</v>
      </c>
      <c r="B75" s="42" t="s">
        <v>778</v>
      </c>
      <c r="C75" s="43" t="s">
        <v>779</v>
      </c>
      <c r="D75" s="42" t="s">
        <v>688</v>
      </c>
      <c r="E75" s="43" t="s">
        <v>688</v>
      </c>
      <c r="F75" s="43" t="s">
        <v>780</v>
      </c>
      <c r="G75" s="42" t="s">
        <v>109</v>
      </c>
      <c r="H75" s="43" t="s">
        <v>435</v>
      </c>
      <c r="I75" s="43" t="s">
        <v>104</v>
      </c>
      <c r="J75" s="55"/>
      <c r="K75" s="119">
        <f>IFERROR(VLOOKUP(B75,BD_CONTROL!$A$5:$M$4235,11,0),"")</f>
        <v>0</v>
      </c>
      <c r="L75" s="120">
        <f>IFERROR(VLOOKUP(B75,BD_CONTROL!$A$5:$M$4235,12,0),"")</f>
        <v>0</v>
      </c>
      <c r="M75" s="121">
        <f>IFERROR(VLOOKUP(B75,BD_CONTROL!$A$5:$M$4235,13,0),"")</f>
        <v>0</v>
      </c>
    </row>
    <row r="76" spans="1:13" ht="15" customHeight="1">
      <c r="A76" s="39">
        <v>71</v>
      </c>
      <c r="B76" s="39" t="s">
        <v>781</v>
      </c>
      <c r="C76" s="40" t="s">
        <v>782</v>
      </c>
      <c r="D76" s="39" t="s">
        <v>688</v>
      </c>
      <c r="E76" s="40" t="s">
        <v>711</v>
      </c>
      <c r="F76" s="40" t="s">
        <v>783</v>
      </c>
      <c r="G76" s="39" t="s">
        <v>109</v>
      </c>
      <c r="H76" s="40" t="s">
        <v>435</v>
      </c>
      <c r="I76" s="40" t="s">
        <v>104</v>
      </c>
      <c r="J76" s="50"/>
      <c r="K76" s="116">
        <f>IFERROR(VLOOKUP(B76,BD_CONTROL!$A$5:$M$4235,11,0),"")</f>
        <v>0</v>
      </c>
      <c r="L76" s="117">
        <f>IFERROR(VLOOKUP(B76,BD_CONTROL!$A$5:$M$4235,12,0),"")</f>
        <v>0</v>
      </c>
      <c r="M76" s="118">
        <f>IFERROR(VLOOKUP(B76,BD_CONTROL!$A$5:$M$4235,13,0),"")</f>
        <v>0</v>
      </c>
    </row>
    <row r="77" spans="1:13" ht="15" customHeight="1">
      <c r="A77" s="42">
        <v>72</v>
      </c>
      <c r="B77" s="42" t="s">
        <v>784</v>
      </c>
      <c r="C77" s="43" t="s">
        <v>785</v>
      </c>
      <c r="D77" s="42" t="s">
        <v>688</v>
      </c>
      <c r="E77" s="43" t="s">
        <v>786</v>
      </c>
      <c r="F77" s="43" t="s">
        <v>786</v>
      </c>
      <c r="G77" s="42" t="s">
        <v>109</v>
      </c>
      <c r="H77" s="43" t="s">
        <v>435</v>
      </c>
      <c r="I77" s="43" t="s">
        <v>104</v>
      </c>
      <c r="J77" s="55"/>
      <c r="K77" s="119">
        <f>IFERROR(VLOOKUP(B77,BD_CONTROL!$A$5:$M$4235,11,0),"")</f>
        <v>0</v>
      </c>
      <c r="L77" s="120">
        <f>IFERROR(VLOOKUP(B77,BD_CONTROL!$A$5:$M$4235,12,0),"")</f>
        <v>0</v>
      </c>
      <c r="M77" s="121">
        <f>IFERROR(VLOOKUP(B77,BD_CONTROL!$A$5:$M$4235,13,0),"")</f>
        <v>0</v>
      </c>
    </row>
    <row r="78" spans="1:13" ht="15" customHeight="1">
      <c r="A78" s="39">
        <v>73</v>
      </c>
      <c r="B78" s="39" t="s">
        <v>787</v>
      </c>
      <c r="C78" s="40" t="s">
        <v>788</v>
      </c>
      <c r="D78" s="39" t="s">
        <v>688</v>
      </c>
      <c r="E78" s="40" t="s">
        <v>789</v>
      </c>
      <c r="F78" s="40" t="s">
        <v>789</v>
      </c>
      <c r="G78" s="39" t="s">
        <v>102</v>
      </c>
      <c r="H78" s="40" t="s">
        <v>435</v>
      </c>
      <c r="I78" s="40" t="s">
        <v>104</v>
      </c>
      <c r="J78" s="50"/>
      <c r="K78" s="116">
        <f>IFERROR(VLOOKUP(B78,BD_CONTROL!$A$5:$M$4235,11,0),"")</f>
        <v>0</v>
      </c>
      <c r="L78" s="117">
        <f>IFERROR(VLOOKUP(B78,BD_CONTROL!$A$5:$M$4235,12,0),"")</f>
        <v>0</v>
      </c>
      <c r="M78" s="118">
        <f>IFERROR(VLOOKUP(B78,BD_CONTROL!$A$5:$M$4235,13,0),"")</f>
        <v>0</v>
      </c>
    </row>
    <row r="79" spans="1:13" ht="15" customHeight="1">
      <c r="A79" s="42">
        <v>74</v>
      </c>
      <c r="B79" s="42" t="s">
        <v>790</v>
      </c>
      <c r="C79" s="43" t="s">
        <v>791</v>
      </c>
      <c r="D79" s="42" t="s">
        <v>688</v>
      </c>
      <c r="E79" s="43" t="s">
        <v>792</v>
      </c>
      <c r="F79" s="43" t="s">
        <v>792</v>
      </c>
      <c r="G79" s="42" t="s">
        <v>102</v>
      </c>
      <c r="H79" s="43" t="s">
        <v>435</v>
      </c>
      <c r="I79" s="43" t="s">
        <v>104</v>
      </c>
      <c r="J79" s="55"/>
      <c r="K79" s="119" t="str">
        <f>IFERROR(VLOOKUP(B79,BD_CONTROL!$A$5:$M$4235,11,0),"")</f>
        <v>Instalado - Operando</v>
      </c>
      <c r="L79" s="120">
        <f>IFERROR(VLOOKUP(B79,BD_CONTROL!$A$5:$M$4235,12,0),"")</f>
        <v>46150</v>
      </c>
      <c r="M79" s="121">
        <f>IFERROR(VLOOKUP(B79,BD_CONTROL!$A$5:$M$4235,13,0),"")</f>
        <v>0</v>
      </c>
    </row>
    <row r="80" spans="1:13" ht="15" customHeight="1">
      <c r="A80" s="39">
        <v>75</v>
      </c>
      <c r="B80" s="39" t="s">
        <v>793</v>
      </c>
      <c r="C80" s="40" t="s">
        <v>794</v>
      </c>
      <c r="D80" s="39" t="s">
        <v>688</v>
      </c>
      <c r="E80" s="40" t="s">
        <v>795</v>
      </c>
      <c r="F80" s="40" t="s">
        <v>795</v>
      </c>
      <c r="G80" s="39" t="s">
        <v>102</v>
      </c>
      <c r="H80" s="40" t="s">
        <v>435</v>
      </c>
      <c r="I80" s="40" t="s">
        <v>104</v>
      </c>
      <c r="J80" s="50"/>
      <c r="K80" s="116">
        <f>IFERROR(VLOOKUP(B80,BD_CONTROL!$A$5:$M$4235,11,0),"")</f>
        <v>0</v>
      </c>
      <c r="L80" s="117">
        <f>IFERROR(VLOOKUP(B80,BD_CONTROL!$A$5:$M$4235,12,0),"")</f>
        <v>0</v>
      </c>
      <c r="M80" s="118">
        <f>IFERROR(VLOOKUP(B80,BD_CONTROL!$A$5:$M$4235,13,0),"")</f>
        <v>0</v>
      </c>
    </row>
    <row r="81" spans="1:13" ht="15" customHeight="1">
      <c r="A81" s="42">
        <v>76</v>
      </c>
      <c r="B81" s="42" t="s">
        <v>796</v>
      </c>
      <c r="C81" s="43" t="s">
        <v>797</v>
      </c>
      <c r="D81" s="42" t="s">
        <v>688</v>
      </c>
      <c r="E81" s="43" t="s">
        <v>798</v>
      </c>
      <c r="F81" s="43" t="s">
        <v>798</v>
      </c>
      <c r="G81" s="42" t="s">
        <v>109</v>
      </c>
      <c r="H81" s="43" t="s">
        <v>435</v>
      </c>
      <c r="I81" s="43" t="s">
        <v>104</v>
      </c>
      <c r="J81" s="55"/>
      <c r="K81" s="119">
        <f>IFERROR(VLOOKUP(B81,BD_CONTROL!$A$5:$M$4235,11,0),"")</f>
        <v>0</v>
      </c>
      <c r="L81" s="120">
        <f>IFERROR(VLOOKUP(B81,BD_CONTROL!$A$5:$M$4235,12,0),"")</f>
        <v>0</v>
      </c>
      <c r="M81" s="121">
        <f>IFERROR(VLOOKUP(B81,BD_CONTROL!$A$5:$M$4235,13,0),"")</f>
        <v>0</v>
      </c>
    </row>
    <row r="82" spans="1:13" ht="15" customHeight="1">
      <c r="A82" s="39">
        <v>77</v>
      </c>
      <c r="B82" s="39" t="s">
        <v>799</v>
      </c>
      <c r="C82" s="40" t="s">
        <v>800</v>
      </c>
      <c r="D82" s="39" t="s">
        <v>688</v>
      </c>
      <c r="E82" s="40" t="s">
        <v>688</v>
      </c>
      <c r="F82" s="40" t="s">
        <v>688</v>
      </c>
      <c r="G82" s="39" t="s">
        <v>102</v>
      </c>
      <c r="H82" s="40" t="s">
        <v>435</v>
      </c>
      <c r="I82" s="40" t="s">
        <v>104</v>
      </c>
      <c r="J82" s="50"/>
      <c r="K82" s="116">
        <f>IFERROR(VLOOKUP(B82,BD_CONTROL!$A$5:$M$4235,11,0),"")</f>
        <v>0</v>
      </c>
      <c r="L82" s="117">
        <f>IFERROR(VLOOKUP(B82,BD_CONTROL!$A$5:$M$4235,12,0),"")</f>
        <v>0</v>
      </c>
      <c r="M82" s="118">
        <f>IFERROR(VLOOKUP(B82,BD_CONTROL!$A$5:$M$4235,13,0),"")</f>
        <v>0</v>
      </c>
    </row>
    <row r="83" spans="1:13" ht="15" customHeight="1">
      <c r="A83" s="42">
        <v>78</v>
      </c>
      <c r="B83" s="42" t="s">
        <v>801</v>
      </c>
      <c r="C83" s="43" t="s">
        <v>802</v>
      </c>
      <c r="D83" s="42" t="s">
        <v>688</v>
      </c>
      <c r="E83" s="43" t="s">
        <v>688</v>
      </c>
      <c r="F83" s="43" t="s">
        <v>688</v>
      </c>
      <c r="G83" s="42" t="s">
        <v>102</v>
      </c>
      <c r="H83" s="43" t="s">
        <v>435</v>
      </c>
      <c r="I83" s="43" t="s">
        <v>104</v>
      </c>
      <c r="J83" s="55"/>
      <c r="K83" s="119">
        <f>IFERROR(VLOOKUP(B83,BD_CONTROL!$A$5:$M$4235,11,0),"")</f>
        <v>0</v>
      </c>
      <c r="L83" s="120">
        <f>IFERROR(VLOOKUP(B83,BD_CONTROL!$A$5:$M$4235,12,0),"")</f>
        <v>0</v>
      </c>
      <c r="M83" s="121">
        <f>IFERROR(VLOOKUP(B83,BD_CONTROL!$A$5:$M$4235,13,0),"")</f>
        <v>0</v>
      </c>
    </row>
    <row r="84" spans="1:13" ht="15" customHeight="1">
      <c r="A84" s="39">
        <v>79</v>
      </c>
      <c r="B84" s="39" t="s">
        <v>803</v>
      </c>
      <c r="C84" s="40" t="s">
        <v>804</v>
      </c>
      <c r="D84" s="39" t="s">
        <v>688</v>
      </c>
      <c r="E84" s="40" t="s">
        <v>805</v>
      </c>
      <c r="F84" s="40" t="s">
        <v>805</v>
      </c>
      <c r="G84" s="39" t="s">
        <v>109</v>
      </c>
      <c r="H84" s="40" t="s">
        <v>435</v>
      </c>
      <c r="I84" s="40" t="s">
        <v>104</v>
      </c>
      <c r="J84" s="50"/>
      <c r="K84" s="116" t="str">
        <f>IFERROR(VLOOKUP(B84,BD_CONTROL!$A$5:$M$4235,11,0),"")</f>
        <v>Instalado - Sin Señal</v>
      </c>
      <c r="L84" s="117">
        <f>IFERROR(VLOOKUP(B84,BD_CONTROL!$A$5:$M$4235,12,0),"")</f>
        <v>46153</v>
      </c>
      <c r="M84" s="118">
        <f>IFERROR(VLOOKUP(B84,BD_CONTROL!$A$5:$M$4235,13,0),"")</f>
        <v>0</v>
      </c>
    </row>
    <row r="85" spans="1:13" ht="15" customHeight="1">
      <c r="A85" s="42">
        <v>80</v>
      </c>
      <c r="B85" s="42" t="s">
        <v>806</v>
      </c>
      <c r="C85" s="43" t="s">
        <v>807</v>
      </c>
      <c r="D85" s="42" t="s">
        <v>688</v>
      </c>
      <c r="E85" s="43" t="s">
        <v>695</v>
      </c>
      <c r="F85" s="43" t="s">
        <v>696</v>
      </c>
      <c r="G85" s="42" t="s">
        <v>109</v>
      </c>
      <c r="H85" s="43" t="s">
        <v>435</v>
      </c>
      <c r="I85" s="43" t="s">
        <v>104</v>
      </c>
      <c r="J85" s="55"/>
      <c r="K85" s="119">
        <f>IFERROR(VLOOKUP(B85,BD_CONTROL!$A$5:$M$4235,11,0),"")</f>
        <v>0</v>
      </c>
      <c r="L85" s="120">
        <f>IFERROR(VLOOKUP(B85,BD_CONTROL!$A$5:$M$4235,12,0),"")</f>
        <v>0</v>
      </c>
      <c r="M85" s="121">
        <f>IFERROR(VLOOKUP(B85,BD_CONTROL!$A$5:$M$4235,13,0),"")</f>
        <v>0</v>
      </c>
    </row>
    <row r="86" spans="1:13" ht="15" customHeight="1">
      <c r="A86" s="39">
        <v>81</v>
      </c>
      <c r="B86" s="39" t="s">
        <v>808</v>
      </c>
      <c r="C86" s="40" t="s">
        <v>809</v>
      </c>
      <c r="D86" s="39" t="s">
        <v>688</v>
      </c>
      <c r="E86" s="40" t="s">
        <v>810</v>
      </c>
      <c r="F86" s="40" t="s">
        <v>811</v>
      </c>
      <c r="G86" s="39" t="s">
        <v>109</v>
      </c>
      <c r="H86" s="40" t="s">
        <v>435</v>
      </c>
      <c r="I86" s="40" t="s">
        <v>104</v>
      </c>
      <c r="J86" s="50"/>
      <c r="K86" s="116">
        <f>IFERROR(VLOOKUP(B86,BD_CONTROL!$A$5:$M$4235,11,0),"")</f>
        <v>0</v>
      </c>
      <c r="L86" s="117">
        <f>IFERROR(VLOOKUP(B86,BD_CONTROL!$A$5:$M$4235,12,0),"")</f>
        <v>0</v>
      </c>
      <c r="M86" s="118">
        <f>IFERROR(VLOOKUP(B86,BD_CONTROL!$A$5:$M$4235,13,0),"")</f>
        <v>0</v>
      </c>
    </row>
    <row r="87" spans="1:13" ht="15" customHeight="1">
      <c r="A87" s="42">
        <v>82</v>
      </c>
      <c r="B87" s="42" t="s">
        <v>812</v>
      </c>
      <c r="C87" s="43" t="s">
        <v>813</v>
      </c>
      <c r="D87" s="42" t="s">
        <v>688</v>
      </c>
      <c r="E87" s="43" t="s">
        <v>814</v>
      </c>
      <c r="F87" s="43" t="s">
        <v>815</v>
      </c>
      <c r="G87" s="42" t="s">
        <v>109</v>
      </c>
      <c r="H87" s="43" t="s">
        <v>435</v>
      </c>
      <c r="I87" s="43" t="s">
        <v>104</v>
      </c>
      <c r="J87" s="55"/>
      <c r="K87" s="119">
        <f>IFERROR(VLOOKUP(B87,BD_CONTROL!$A$5:$M$4235,11,0),"")</f>
        <v>0</v>
      </c>
      <c r="L87" s="120">
        <f>IFERROR(VLOOKUP(B87,BD_CONTROL!$A$5:$M$4235,12,0),"")</f>
        <v>0</v>
      </c>
      <c r="M87" s="121">
        <f>IFERROR(VLOOKUP(B87,BD_CONTROL!$A$5:$M$4235,13,0),"")</f>
        <v>0</v>
      </c>
    </row>
    <row r="88" spans="1:13" ht="15" customHeight="1">
      <c r="A88" s="39">
        <v>83</v>
      </c>
      <c r="B88" s="39" t="s">
        <v>816</v>
      </c>
      <c r="C88" s="40" t="s">
        <v>817</v>
      </c>
      <c r="D88" s="39" t="s">
        <v>688</v>
      </c>
      <c r="E88" s="40" t="s">
        <v>818</v>
      </c>
      <c r="F88" s="40" t="s">
        <v>818</v>
      </c>
      <c r="G88" s="39" t="s">
        <v>109</v>
      </c>
      <c r="H88" s="40" t="s">
        <v>435</v>
      </c>
      <c r="I88" s="40" t="s">
        <v>104</v>
      </c>
      <c r="J88" s="50"/>
      <c r="K88" s="116">
        <f>IFERROR(VLOOKUP(B88,BD_CONTROL!$A$5:$M$4235,11,0),"")</f>
        <v>0</v>
      </c>
      <c r="L88" s="117">
        <f>IFERROR(VLOOKUP(B88,BD_CONTROL!$A$5:$M$4235,12,0),"")</f>
        <v>0</v>
      </c>
      <c r="M88" s="118">
        <f>IFERROR(VLOOKUP(B88,BD_CONTROL!$A$5:$M$4235,13,0),"")</f>
        <v>0</v>
      </c>
    </row>
    <row r="89" spans="1:13" ht="15" customHeight="1">
      <c r="A89" s="42">
        <v>84</v>
      </c>
      <c r="B89" s="42" t="s">
        <v>819</v>
      </c>
      <c r="C89" s="43" t="s">
        <v>820</v>
      </c>
      <c r="D89" s="42" t="s">
        <v>688</v>
      </c>
      <c r="E89" s="43" t="s">
        <v>706</v>
      </c>
      <c r="F89" s="43" t="s">
        <v>821</v>
      </c>
      <c r="G89" s="42" t="s">
        <v>109</v>
      </c>
      <c r="H89" s="43" t="s">
        <v>435</v>
      </c>
      <c r="I89" s="43" t="s">
        <v>104</v>
      </c>
      <c r="J89" s="55"/>
      <c r="K89" s="119">
        <f>IFERROR(VLOOKUP(B89,BD_CONTROL!$A$5:$M$4235,11,0),"")</f>
        <v>0</v>
      </c>
      <c r="L89" s="120">
        <f>IFERROR(VLOOKUP(B89,BD_CONTROL!$A$5:$M$4235,12,0),"")</f>
        <v>0</v>
      </c>
      <c r="M89" s="121">
        <f>IFERROR(VLOOKUP(B89,BD_CONTROL!$A$5:$M$4235,13,0),"")</f>
        <v>0</v>
      </c>
    </row>
    <row r="90" spans="1:13" ht="15" customHeight="1">
      <c r="A90" s="39">
        <v>85</v>
      </c>
      <c r="B90" s="39" t="s">
        <v>822</v>
      </c>
      <c r="C90" s="40" t="s">
        <v>823</v>
      </c>
      <c r="D90" s="39" t="s">
        <v>688</v>
      </c>
      <c r="E90" s="40" t="s">
        <v>824</v>
      </c>
      <c r="F90" s="40" t="s">
        <v>825</v>
      </c>
      <c r="G90" s="39" t="s">
        <v>109</v>
      </c>
      <c r="H90" s="40" t="s">
        <v>435</v>
      </c>
      <c r="I90" s="40" t="s">
        <v>104</v>
      </c>
      <c r="J90" s="50"/>
      <c r="K90" s="116">
        <f>IFERROR(VLOOKUP(B90,BD_CONTROL!$A$5:$M$4235,11,0),"")</f>
        <v>0</v>
      </c>
      <c r="L90" s="117">
        <f>IFERROR(VLOOKUP(B90,BD_CONTROL!$A$5:$M$4235,12,0),"")</f>
        <v>0</v>
      </c>
      <c r="M90" s="118">
        <f>IFERROR(VLOOKUP(B90,BD_CONTROL!$A$5:$M$4235,13,0),"")</f>
        <v>0</v>
      </c>
    </row>
    <row r="91" spans="1:13" ht="15" customHeight="1">
      <c r="A91" s="42">
        <v>86</v>
      </c>
      <c r="B91" s="42" t="s">
        <v>826</v>
      </c>
      <c r="C91" s="43" t="s">
        <v>827</v>
      </c>
      <c r="D91" s="42" t="s">
        <v>688</v>
      </c>
      <c r="E91" s="43" t="s">
        <v>828</v>
      </c>
      <c r="F91" s="43" t="s">
        <v>828</v>
      </c>
      <c r="G91" s="42" t="s">
        <v>109</v>
      </c>
      <c r="H91" s="43" t="s">
        <v>435</v>
      </c>
      <c r="I91" s="43" t="s">
        <v>104</v>
      </c>
      <c r="J91" s="55"/>
      <c r="K91" s="119">
        <f>IFERROR(VLOOKUP(B91,BD_CONTROL!$A$5:$M$4235,11,0),"")</f>
        <v>0</v>
      </c>
      <c r="L91" s="120">
        <f>IFERROR(VLOOKUP(B91,BD_CONTROL!$A$5:$M$4235,12,0),"")</f>
        <v>0</v>
      </c>
      <c r="M91" s="121">
        <f>IFERROR(VLOOKUP(B91,BD_CONTROL!$A$5:$M$4235,13,0),"")</f>
        <v>0</v>
      </c>
    </row>
    <row r="92" spans="1:13" ht="15" customHeight="1">
      <c r="A92" s="39">
        <v>87</v>
      </c>
      <c r="B92" s="39" t="s">
        <v>829</v>
      </c>
      <c r="C92" s="40" t="s">
        <v>830</v>
      </c>
      <c r="D92" s="39" t="s">
        <v>688</v>
      </c>
      <c r="E92" s="40" t="s">
        <v>688</v>
      </c>
      <c r="F92" s="40" t="s">
        <v>563</v>
      </c>
      <c r="G92" s="39" t="s">
        <v>109</v>
      </c>
      <c r="H92" s="40" t="s">
        <v>435</v>
      </c>
      <c r="I92" s="40" t="s">
        <v>104</v>
      </c>
      <c r="J92" s="50"/>
      <c r="K92" s="116">
        <f>IFERROR(VLOOKUP(B92,BD_CONTROL!$A$5:$M$4235,11,0),"")</f>
        <v>0</v>
      </c>
      <c r="L92" s="117">
        <f>IFERROR(VLOOKUP(B92,BD_CONTROL!$A$5:$M$4235,12,0),"")</f>
        <v>0</v>
      </c>
      <c r="M92" s="118">
        <f>IFERROR(VLOOKUP(B92,BD_CONTROL!$A$5:$M$4235,13,0),"")</f>
        <v>0</v>
      </c>
    </row>
    <row r="93" spans="1:13" ht="15" customHeight="1">
      <c r="A93" s="42">
        <v>88</v>
      </c>
      <c r="B93" s="42" t="s">
        <v>831</v>
      </c>
      <c r="C93" s="43" t="s">
        <v>832</v>
      </c>
      <c r="D93" s="42" t="s">
        <v>688</v>
      </c>
      <c r="E93" s="43" t="s">
        <v>833</v>
      </c>
      <c r="F93" s="43" t="s">
        <v>834</v>
      </c>
      <c r="G93" s="42" t="s">
        <v>109</v>
      </c>
      <c r="H93" s="43" t="s">
        <v>435</v>
      </c>
      <c r="I93" s="43" t="s">
        <v>104</v>
      </c>
      <c r="J93" s="55"/>
      <c r="K93" s="119">
        <f>IFERROR(VLOOKUP(B93,BD_CONTROL!$A$5:$M$4235,11,0),"")</f>
        <v>0</v>
      </c>
      <c r="L93" s="120">
        <f>IFERROR(VLOOKUP(B93,BD_CONTROL!$A$5:$M$4235,12,0),"")</f>
        <v>0</v>
      </c>
      <c r="M93" s="121">
        <f>IFERROR(VLOOKUP(B93,BD_CONTROL!$A$5:$M$4235,13,0),"")</f>
        <v>0</v>
      </c>
    </row>
    <row r="94" spans="1:13" ht="15" customHeight="1">
      <c r="A94" s="39">
        <v>89</v>
      </c>
      <c r="B94" s="39" t="s">
        <v>835</v>
      </c>
      <c r="C94" s="40" t="s">
        <v>836</v>
      </c>
      <c r="D94" s="39" t="s">
        <v>688</v>
      </c>
      <c r="E94" s="40" t="s">
        <v>706</v>
      </c>
      <c r="F94" s="40" t="s">
        <v>706</v>
      </c>
      <c r="G94" s="39" t="s">
        <v>102</v>
      </c>
      <c r="H94" s="40" t="s">
        <v>435</v>
      </c>
      <c r="I94" s="40" t="s">
        <v>104</v>
      </c>
      <c r="J94" s="50"/>
      <c r="K94" s="116">
        <f>IFERROR(VLOOKUP(B94,BD_CONTROL!$A$5:$M$4235,11,0),"")</f>
        <v>0</v>
      </c>
      <c r="L94" s="117">
        <f>IFERROR(VLOOKUP(B94,BD_CONTROL!$A$5:$M$4235,12,0),"")</f>
        <v>0</v>
      </c>
      <c r="M94" s="118">
        <f>IFERROR(VLOOKUP(B94,BD_CONTROL!$A$5:$M$4235,13,0),"")</f>
        <v>0</v>
      </c>
    </row>
    <row r="95" spans="1:13" ht="15" customHeight="1">
      <c r="A95" s="42">
        <v>90</v>
      </c>
      <c r="B95" s="42" t="s">
        <v>837</v>
      </c>
      <c r="C95" s="43" t="s">
        <v>838</v>
      </c>
      <c r="D95" s="42" t="s">
        <v>688</v>
      </c>
      <c r="E95" s="43" t="s">
        <v>706</v>
      </c>
      <c r="F95" s="43" t="s">
        <v>706</v>
      </c>
      <c r="G95" s="42" t="s">
        <v>102</v>
      </c>
      <c r="H95" s="43" t="s">
        <v>435</v>
      </c>
      <c r="I95" s="43" t="s">
        <v>104</v>
      </c>
      <c r="J95" s="55"/>
      <c r="K95" s="119">
        <f>IFERROR(VLOOKUP(B95,BD_CONTROL!$A$5:$M$4235,11,0),"")</f>
        <v>0</v>
      </c>
      <c r="L95" s="120">
        <f>IFERROR(VLOOKUP(B95,BD_CONTROL!$A$5:$M$4235,12,0),"")</f>
        <v>0</v>
      </c>
      <c r="M95" s="121">
        <f>IFERROR(VLOOKUP(B95,BD_CONTROL!$A$5:$M$4235,13,0),"")</f>
        <v>0</v>
      </c>
    </row>
    <row r="96" spans="1:13" ht="15" customHeight="1">
      <c r="A96" s="39">
        <v>91</v>
      </c>
      <c r="B96" s="39" t="s">
        <v>839</v>
      </c>
      <c r="C96" s="40" t="s">
        <v>840</v>
      </c>
      <c r="D96" s="39" t="s">
        <v>688</v>
      </c>
      <c r="E96" s="40" t="s">
        <v>841</v>
      </c>
      <c r="F96" s="40" t="s">
        <v>842</v>
      </c>
      <c r="G96" s="39" t="s">
        <v>109</v>
      </c>
      <c r="H96" s="40" t="s">
        <v>435</v>
      </c>
      <c r="I96" s="40" t="s">
        <v>104</v>
      </c>
      <c r="J96" s="50"/>
      <c r="K96" s="116">
        <f>IFERROR(VLOOKUP(B96,BD_CONTROL!$A$5:$M$4235,11,0),"")</f>
        <v>0</v>
      </c>
      <c r="L96" s="117">
        <f>IFERROR(VLOOKUP(B96,BD_CONTROL!$A$5:$M$4235,12,0),"")</f>
        <v>0</v>
      </c>
      <c r="M96" s="118">
        <f>IFERROR(VLOOKUP(B96,BD_CONTROL!$A$5:$M$4235,13,0),"")</f>
        <v>0</v>
      </c>
    </row>
    <row r="97" spans="1:13" ht="15" customHeight="1">
      <c r="A97" s="42">
        <v>92</v>
      </c>
      <c r="B97" s="42" t="s">
        <v>843</v>
      </c>
      <c r="C97" s="43" t="s">
        <v>844</v>
      </c>
      <c r="D97" s="42" t="s">
        <v>688</v>
      </c>
      <c r="E97" s="43" t="s">
        <v>688</v>
      </c>
      <c r="F97" s="43" t="s">
        <v>699</v>
      </c>
      <c r="G97" s="42" t="s">
        <v>109</v>
      </c>
      <c r="H97" s="43" t="s">
        <v>435</v>
      </c>
      <c r="I97" s="43" t="s">
        <v>104</v>
      </c>
      <c r="J97" s="55"/>
      <c r="K97" s="119">
        <f>IFERROR(VLOOKUP(B97,BD_CONTROL!$A$5:$M$4235,11,0),"")</f>
        <v>0</v>
      </c>
      <c r="L97" s="120">
        <f>IFERROR(VLOOKUP(B97,BD_CONTROL!$A$5:$M$4235,12,0),"")</f>
        <v>0</v>
      </c>
      <c r="M97" s="121">
        <f>IFERROR(VLOOKUP(B97,BD_CONTROL!$A$5:$M$4235,13,0),"")</f>
        <v>0</v>
      </c>
    </row>
    <row r="98" spans="1:13" ht="15" customHeight="1">
      <c r="A98" s="39">
        <v>93</v>
      </c>
      <c r="B98" s="39" t="s">
        <v>845</v>
      </c>
      <c r="C98" s="40" t="s">
        <v>846</v>
      </c>
      <c r="D98" s="39" t="s">
        <v>688</v>
      </c>
      <c r="E98" s="40" t="s">
        <v>833</v>
      </c>
      <c r="F98" s="40" t="s">
        <v>847</v>
      </c>
      <c r="G98" s="39" t="s">
        <v>109</v>
      </c>
      <c r="H98" s="40" t="s">
        <v>435</v>
      </c>
      <c r="I98" s="40" t="s">
        <v>104</v>
      </c>
      <c r="J98" s="50"/>
      <c r="K98" s="116">
        <f>IFERROR(VLOOKUP(B98,BD_CONTROL!$A$5:$M$4235,11,0),"")</f>
        <v>0</v>
      </c>
      <c r="L98" s="117">
        <f>IFERROR(VLOOKUP(B98,BD_CONTROL!$A$5:$M$4235,12,0),"")</f>
        <v>0</v>
      </c>
      <c r="M98" s="118">
        <f>IFERROR(VLOOKUP(B98,BD_CONTROL!$A$5:$M$4235,13,0),"")</f>
        <v>0</v>
      </c>
    </row>
    <row r="99" spans="1:13" ht="15" customHeight="1">
      <c r="A99" s="42">
        <v>94</v>
      </c>
      <c r="B99" s="42" t="s">
        <v>848</v>
      </c>
      <c r="C99" s="43" t="s">
        <v>849</v>
      </c>
      <c r="D99" s="42" t="s">
        <v>688</v>
      </c>
      <c r="E99" s="43" t="s">
        <v>770</v>
      </c>
      <c r="F99" s="43" t="s">
        <v>850</v>
      </c>
      <c r="G99" s="42" t="s">
        <v>109</v>
      </c>
      <c r="H99" s="43" t="s">
        <v>435</v>
      </c>
      <c r="I99" s="43" t="s">
        <v>104</v>
      </c>
      <c r="J99" s="55"/>
      <c r="K99" s="119">
        <f>IFERROR(VLOOKUP(B99,BD_CONTROL!$A$5:$M$4235,11,0),"")</f>
        <v>0</v>
      </c>
      <c r="L99" s="120">
        <f>IFERROR(VLOOKUP(B99,BD_CONTROL!$A$5:$M$4235,12,0),"")</f>
        <v>0</v>
      </c>
      <c r="M99" s="121">
        <f>IFERROR(VLOOKUP(B99,BD_CONTROL!$A$5:$M$4235,13,0),"")</f>
        <v>0</v>
      </c>
    </row>
    <row r="100" spans="1:13" ht="15" customHeight="1">
      <c r="A100" s="39">
        <v>95</v>
      </c>
      <c r="B100" s="39" t="s">
        <v>851</v>
      </c>
      <c r="C100" s="40" t="s">
        <v>852</v>
      </c>
      <c r="D100" s="39" t="s">
        <v>688</v>
      </c>
      <c r="E100" s="40" t="s">
        <v>853</v>
      </c>
      <c r="F100" s="40" t="s">
        <v>854</v>
      </c>
      <c r="G100" s="39" t="s">
        <v>109</v>
      </c>
      <c r="H100" s="40" t="s">
        <v>435</v>
      </c>
      <c r="I100" s="40" t="s">
        <v>104</v>
      </c>
      <c r="J100" s="50"/>
      <c r="K100" s="116">
        <f>IFERROR(VLOOKUP(B100,BD_CONTROL!$A$5:$M$4235,11,0),"")</f>
        <v>0</v>
      </c>
      <c r="L100" s="117">
        <f>IFERROR(VLOOKUP(B100,BD_CONTROL!$A$5:$M$4235,12,0),"")</f>
        <v>0</v>
      </c>
      <c r="M100" s="118">
        <f>IFERROR(VLOOKUP(B100,BD_CONTROL!$A$5:$M$4235,13,0),"")</f>
        <v>0</v>
      </c>
    </row>
    <row r="101" spans="1:13" ht="15" customHeight="1">
      <c r="A101" s="42">
        <v>96</v>
      </c>
      <c r="B101" s="42" t="s">
        <v>855</v>
      </c>
      <c r="C101" s="43" t="s">
        <v>856</v>
      </c>
      <c r="D101" s="42" t="s">
        <v>688</v>
      </c>
      <c r="E101" s="43" t="s">
        <v>833</v>
      </c>
      <c r="F101" s="43" t="s">
        <v>833</v>
      </c>
      <c r="G101" s="42" t="s">
        <v>102</v>
      </c>
      <c r="H101" s="43" t="s">
        <v>435</v>
      </c>
      <c r="I101" s="43" t="s">
        <v>104</v>
      </c>
      <c r="J101" s="55"/>
      <c r="K101" s="119">
        <f>IFERROR(VLOOKUP(B101,BD_CONTROL!$A$5:$M$4235,11,0),"")</f>
        <v>0</v>
      </c>
      <c r="L101" s="120">
        <f>IFERROR(VLOOKUP(B101,BD_CONTROL!$A$5:$M$4235,12,0),"")</f>
        <v>0</v>
      </c>
      <c r="M101" s="121">
        <f>IFERROR(VLOOKUP(B101,BD_CONTROL!$A$5:$M$4235,13,0),"")</f>
        <v>0</v>
      </c>
    </row>
    <row r="102" spans="1:13" ht="15" customHeight="1">
      <c r="A102" s="39">
        <v>97</v>
      </c>
      <c r="B102" s="39" t="s">
        <v>857</v>
      </c>
      <c r="C102" s="40" t="s">
        <v>858</v>
      </c>
      <c r="D102" s="39" t="s">
        <v>688</v>
      </c>
      <c r="E102" s="40" t="s">
        <v>706</v>
      </c>
      <c r="F102" s="40" t="s">
        <v>706</v>
      </c>
      <c r="G102" s="39" t="s">
        <v>102</v>
      </c>
      <c r="H102" s="40" t="s">
        <v>435</v>
      </c>
      <c r="I102" s="40" t="s">
        <v>104</v>
      </c>
      <c r="J102" s="50"/>
      <c r="K102" s="116">
        <f>IFERROR(VLOOKUP(B102,BD_CONTROL!$A$5:$M$4235,11,0),"")</f>
        <v>0</v>
      </c>
      <c r="L102" s="117">
        <f>IFERROR(VLOOKUP(B102,BD_CONTROL!$A$5:$M$4235,12,0),"")</f>
        <v>0</v>
      </c>
      <c r="M102" s="118">
        <f>IFERROR(VLOOKUP(B102,BD_CONTROL!$A$5:$M$4235,13,0),"")</f>
        <v>0</v>
      </c>
    </row>
    <row r="103" spans="1:13" ht="15" customHeight="1">
      <c r="A103" s="42">
        <v>98</v>
      </c>
      <c r="B103" s="42" t="s">
        <v>859</v>
      </c>
      <c r="C103" s="43" t="s">
        <v>860</v>
      </c>
      <c r="D103" s="42" t="s">
        <v>688</v>
      </c>
      <c r="E103" s="43" t="s">
        <v>725</v>
      </c>
      <c r="F103" s="43" t="s">
        <v>861</v>
      </c>
      <c r="G103" s="42" t="s">
        <v>102</v>
      </c>
      <c r="H103" s="43" t="s">
        <v>435</v>
      </c>
      <c r="I103" s="43" t="s">
        <v>104</v>
      </c>
      <c r="J103" s="55"/>
      <c r="K103" s="119">
        <f>IFERROR(VLOOKUP(B103,BD_CONTROL!$A$5:$M$4235,11,0),"")</f>
        <v>0</v>
      </c>
      <c r="L103" s="120">
        <f>IFERROR(VLOOKUP(B103,BD_CONTROL!$A$5:$M$4235,12,0),"")</f>
        <v>0</v>
      </c>
      <c r="M103" s="121">
        <f>IFERROR(VLOOKUP(B103,BD_CONTROL!$A$5:$M$4235,13,0),"")</f>
        <v>0</v>
      </c>
    </row>
    <row r="104" spans="1:13" ht="15" customHeight="1">
      <c r="A104" s="39">
        <v>99</v>
      </c>
      <c r="B104" s="39" t="s">
        <v>862</v>
      </c>
      <c r="C104" s="40" t="s">
        <v>863</v>
      </c>
      <c r="D104" s="39" t="s">
        <v>688</v>
      </c>
      <c r="E104" s="40" t="s">
        <v>864</v>
      </c>
      <c r="F104" s="40" t="s">
        <v>865</v>
      </c>
      <c r="G104" s="39" t="s">
        <v>102</v>
      </c>
      <c r="H104" s="40" t="s">
        <v>435</v>
      </c>
      <c r="I104" s="40" t="s">
        <v>104</v>
      </c>
      <c r="J104" s="50"/>
      <c r="K104" s="116">
        <f>IFERROR(VLOOKUP(B104,BD_CONTROL!$A$5:$M$4235,11,0),"")</f>
        <v>0</v>
      </c>
      <c r="L104" s="117">
        <f>IFERROR(VLOOKUP(B104,BD_CONTROL!$A$5:$M$4235,12,0),"")</f>
        <v>0</v>
      </c>
      <c r="M104" s="118">
        <f>IFERROR(VLOOKUP(B104,BD_CONTROL!$A$5:$M$4235,13,0),"")</f>
        <v>0</v>
      </c>
    </row>
    <row r="105" spans="1:13" ht="15" customHeight="1">
      <c r="A105" s="42">
        <v>100</v>
      </c>
      <c r="B105" s="42" t="s">
        <v>866</v>
      </c>
      <c r="C105" s="43" t="s">
        <v>867</v>
      </c>
      <c r="D105" s="42" t="s">
        <v>688</v>
      </c>
      <c r="E105" s="43" t="s">
        <v>868</v>
      </c>
      <c r="F105" s="43" t="s">
        <v>869</v>
      </c>
      <c r="G105" s="42" t="s">
        <v>109</v>
      </c>
      <c r="H105" s="43" t="s">
        <v>435</v>
      </c>
      <c r="I105" s="43" t="s">
        <v>104</v>
      </c>
      <c r="J105" s="55"/>
      <c r="K105" s="119">
        <f>IFERROR(VLOOKUP(B105,BD_CONTROL!$A$5:$M$4235,11,0),"")</f>
        <v>0</v>
      </c>
      <c r="L105" s="120">
        <f>IFERROR(VLOOKUP(B105,BD_CONTROL!$A$5:$M$4235,12,0),"")</f>
        <v>0</v>
      </c>
      <c r="M105" s="121">
        <f>IFERROR(VLOOKUP(B105,BD_CONTROL!$A$5:$M$4235,13,0),"")</f>
        <v>0</v>
      </c>
    </row>
    <row r="106" spans="1:13" ht="15" customHeight="1">
      <c r="A106" s="39">
        <v>101</v>
      </c>
      <c r="B106" s="39" t="s">
        <v>870</v>
      </c>
      <c r="C106" s="40" t="s">
        <v>871</v>
      </c>
      <c r="D106" s="39" t="s">
        <v>688</v>
      </c>
      <c r="E106" s="40" t="s">
        <v>872</v>
      </c>
      <c r="F106" s="40" t="s">
        <v>873</v>
      </c>
      <c r="G106" s="39" t="s">
        <v>109</v>
      </c>
      <c r="H106" s="40" t="s">
        <v>435</v>
      </c>
      <c r="I106" s="40" t="s">
        <v>104</v>
      </c>
      <c r="J106" s="50"/>
      <c r="K106" s="116">
        <f>IFERROR(VLOOKUP(B106,BD_CONTROL!$A$5:$M$4235,11,0),"")</f>
        <v>0</v>
      </c>
      <c r="L106" s="117">
        <f>IFERROR(VLOOKUP(B106,BD_CONTROL!$A$5:$M$4235,12,0),"")</f>
        <v>0</v>
      </c>
      <c r="M106" s="118">
        <f>IFERROR(VLOOKUP(B106,BD_CONTROL!$A$5:$M$4235,13,0),"")</f>
        <v>0</v>
      </c>
    </row>
    <row r="107" spans="1:13" ht="15" customHeight="1">
      <c r="A107" s="42">
        <v>102</v>
      </c>
      <c r="B107" s="42" t="s">
        <v>874</v>
      </c>
      <c r="C107" s="43" t="s">
        <v>875</v>
      </c>
      <c r="D107" s="42" t="s">
        <v>688</v>
      </c>
      <c r="E107" s="43" t="s">
        <v>876</v>
      </c>
      <c r="F107" s="43" t="s">
        <v>877</v>
      </c>
      <c r="G107" s="42" t="s">
        <v>109</v>
      </c>
      <c r="H107" s="43" t="s">
        <v>435</v>
      </c>
      <c r="I107" s="43" t="s">
        <v>104</v>
      </c>
      <c r="J107" s="55"/>
      <c r="K107" s="119">
        <f>IFERROR(VLOOKUP(B107,BD_CONTROL!$A$5:$M$4235,11,0),"")</f>
        <v>0</v>
      </c>
      <c r="L107" s="120">
        <f>IFERROR(VLOOKUP(B107,BD_CONTROL!$A$5:$M$4235,12,0),"")</f>
        <v>0</v>
      </c>
      <c r="M107" s="121">
        <f>IFERROR(VLOOKUP(B107,BD_CONTROL!$A$5:$M$4235,13,0),"")</f>
        <v>0</v>
      </c>
    </row>
    <row r="108" spans="1:13" ht="15" customHeight="1">
      <c r="A108" s="39">
        <v>103</v>
      </c>
      <c r="B108" s="39" t="s">
        <v>878</v>
      </c>
      <c r="C108" s="40" t="s">
        <v>879</v>
      </c>
      <c r="D108" s="39" t="s">
        <v>688</v>
      </c>
      <c r="E108" s="40" t="s">
        <v>740</v>
      </c>
      <c r="F108" s="40" t="s">
        <v>880</v>
      </c>
      <c r="G108" s="39" t="s">
        <v>109</v>
      </c>
      <c r="H108" s="40" t="s">
        <v>435</v>
      </c>
      <c r="I108" s="40" t="s">
        <v>104</v>
      </c>
      <c r="J108" s="50"/>
      <c r="K108" s="116">
        <f>IFERROR(VLOOKUP(B108,BD_CONTROL!$A$5:$M$4235,11,0),"")</f>
        <v>0</v>
      </c>
      <c r="L108" s="117">
        <f>IFERROR(VLOOKUP(B108,BD_CONTROL!$A$5:$M$4235,12,0),"")</f>
        <v>0</v>
      </c>
      <c r="M108" s="118">
        <f>IFERROR(VLOOKUP(B108,BD_CONTROL!$A$5:$M$4235,13,0),"")</f>
        <v>0</v>
      </c>
    </row>
    <row r="109" spans="1:13" ht="15" customHeight="1">
      <c r="A109" s="42">
        <v>104</v>
      </c>
      <c r="B109" s="42" t="s">
        <v>881</v>
      </c>
      <c r="C109" s="43" t="s">
        <v>882</v>
      </c>
      <c r="D109" s="42" t="s">
        <v>688</v>
      </c>
      <c r="E109" s="43" t="s">
        <v>740</v>
      </c>
      <c r="F109" s="43" t="s">
        <v>740</v>
      </c>
      <c r="G109" s="42" t="s">
        <v>109</v>
      </c>
      <c r="H109" s="43" t="s">
        <v>435</v>
      </c>
      <c r="I109" s="43" t="s">
        <v>104</v>
      </c>
      <c r="J109" s="55"/>
      <c r="K109" s="119">
        <f>IFERROR(VLOOKUP(B109,BD_CONTROL!$A$5:$M$4235,11,0),"")</f>
        <v>0</v>
      </c>
      <c r="L109" s="120">
        <f>IFERROR(VLOOKUP(B109,BD_CONTROL!$A$5:$M$4235,12,0),"")</f>
        <v>0</v>
      </c>
      <c r="M109" s="121">
        <f>IFERROR(VLOOKUP(B109,BD_CONTROL!$A$5:$M$4235,13,0),"")</f>
        <v>0</v>
      </c>
    </row>
    <row r="110" spans="1:13" ht="15" customHeight="1">
      <c r="A110" s="39">
        <v>105</v>
      </c>
      <c r="B110" s="39" t="s">
        <v>883</v>
      </c>
      <c r="C110" s="40" t="s">
        <v>884</v>
      </c>
      <c r="D110" s="39" t="s">
        <v>688</v>
      </c>
      <c r="E110" s="40" t="s">
        <v>510</v>
      </c>
      <c r="F110" s="40" t="s">
        <v>885</v>
      </c>
      <c r="G110" s="39" t="s">
        <v>109</v>
      </c>
      <c r="H110" s="40" t="s">
        <v>435</v>
      </c>
      <c r="I110" s="40" t="s">
        <v>104</v>
      </c>
      <c r="J110" s="50"/>
      <c r="K110" s="116">
        <f>IFERROR(VLOOKUP(B110,BD_CONTROL!$A$5:$M$4235,11,0),"")</f>
        <v>0</v>
      </c>
      <c r="L110" s="117">
        <f>IFERROR(VLOOKUP(B110,BD_CONTROL!$A$5:$M$4235,12,0),"")</f>
        <v>0</v>
      </c>
      <c r="M110" s="118">
        <f>IFERROR(VLOOKUP(B110,BD_CONTROL!$A$5:$M$4235,13,0),"")</f>
        <v>0</v>
      </c>
    </row>
    <row r="111" spans="1:13" ht="15" customHeight="1">
      <c r="A111" s="42">
        <v>106</v>
      </c>
      <c r="B111" s="42" t="s">
        <v>886</v>
      </c>
      <c r="C111" s="43" t="s">
        <v>887</v>
      </c>
      <c r="D111" s="42" t="s">
        <v>688</v>
      </c>
      <c r="E111" s="43" t="s">
        <v>563</v>
      </c>
      <c r="F111" s="43" t="s">
        <v>888</v>
      </c>
      <c r="G111" s="42" t="s">
        <v>109</v>
      </c>
      <c r="H111" s="43" t="s">
        <v>435</v>
      </c>
      <c r="I111" s="43" t="s">
        <v>104</v>
      </c>
      <c r="J111" s="55"/>
      <c r="K111" s="119">
        <f>IFERROR(VLOOKUP(B111,BD_CONTROL!$A$5:$M$4235,11,0),"")</f>
        <v>0</v>
      </c>
      <c r="L111" s="120">
        <f>IFERROR(VLOOKUP(B111,BD_CONTROL!$A$5:$M$4235,12,0),"")</f>
        <v>0</v>
      </c>
      <c r="M111" s="121">
        <f>IFERROR(VLOOKUP(B111,BD_CONTROL!$A$5:$M$4235,13,0),"")</f>
        <v>0</v>
      </c>
    </row>
    <row r="112" spans="1:13" ht="15" customHeight="1">
      <c r="A112" s="39">
        <v>107</v>
      </c>
      <c r="B112" s="39" t="s">
        <v>889</v>
      </c>
      <c r="C112" s="40" t="s">
        <v>890</v>
      </c>
      <c r="D112" s="39" t="s">
        <v>688</v>
      </c>
      <c r="E112" s="40" t="s">
        <v>891</v>
      </c>
      <c r="F112" s="40" t="s">
        <v>892</v>
      </c>
      <c r="G112" s="39" t="s">
        <v>109</v>
      </c>
      <c r="H112" s="40" t="s">
        <v>435</v>
      </c>
      <c r="I112" s="40" t="s">
        <v>104</v>
      </c>
      <c r="J112" s="50"/>
      <c r="K112" s="116">
        <f>IFERROR(VLOOKUP(B112,BD_CONTROL!$A$5:$M$4235,11,0),"")</f>
        <v>0</v>
      </c>
      <c r="L112" s="117">
        <f>IFERROR(VLOOKUP(B112,BD_CONTROL!$A$5:$M$4235,12,0),"")</f>
        <v>0</v>
      </c>
      <c r="M112" s="118">
        <f>IFERROR(VLOOKUP(B112,BD_CONTROL!$A$5:$M$4235,13,0),"")</f>
        <v>0</v>
      </c>
    </row>
    <row r="113" spans="1:13" ht="15" customHeight="1">
      <c r="A113" s="42">
        <v>108</v>
      </c>
      <c r="B113" s="42" t="s">
        <v>893</v>
      </c>
      <c r="C113" s="43" t="s">
        <v>894</v>
      </c>
      <c r="D113" s="42" t="s">
        <v>688</v>
      </c>
      <c r="E113" s="43" t="s">
        <v>706</v>
      </c>
      <c r="F113" s="43" t="s">
        <v>706</v>
      </c>
      <c r="G113" s="42" t="s">
        <v>102</v>
      </c>
      <c r="H113" s="43" t="s">
        <v>435</v>
      </c>
      <c r="I113" s="43" t="s">
        <v>104</v>
      </c>
      <c r="J113" s="55"/>
      <c r="K113" s="119">
        <f>IFERROR(VLOOKUP(B113,BD_CONTROL!$A$5:$M$4235,11,0),"")</f>
        <v>0</v>
      </c>
      <c r="L113" s="120">
        <f>IFERROR(VLOOKUP(B113,BD_CONTROL!$A$5:$M$4235,12,0),"")</f>
        <v>0</v>
      </c>
      <c r="M113" s="121">
        <f>IFERROR(VLOOKUP(B113,BD_CONTROL!$A$5:$M$4235,13,0),"")</f>
        <v>0</v>
      </c>
    </row>
    <row r="114" spans="1:13" ht="15" customHeight="1">
      <c r="A114" s="39">
        <v>109</v>
      </c>
      <c r="B114" s="39" t="s">
        <v>895</v>
      </c>
      <c r="C114" s="40" t="s">
        <v>896</v>
      </c>
      <c r="D114" s="39" t="s">
        <v>688</v>
      </c>
      <c r="E114" s="40" t="s">
        <v>456</v>
      </c>
      <c r="F114" s="40" t="s">
        <v>897</v>
      </c>
      <c r="G114" s="39" t="s">
        <v>109</v>
      </c>
      <c r="H114" s="40" t="s">
        <v>435</v>
      </c>
      <c r="I114" s="40" t="s">
        <v>104</v>
      </c>
      <c r="J114" s="50"/>
      <c r="K114" s="116">
        <f>IFERROR(VLOOKUP(B114,BD_CONTROL!$A$5:$M$4235,11,0),"")</f>
        <v>0</v>
      </c>
      <c r="L114" s="117">
        <f>IFERROR(VLOOKUP(B114,BD_CONTROL!$A$5:$M$4235,12,0),"")</f>
        <v>0</v>
      </c>
      <c r="M114" s="118">
        <f>IFERROR(VLOOKUP(B114,BD_CONTROL!$A$5:$M$4235,13,0),"")</f>
        <v>0</v>
      </c>
    </row>
    <row r="115" spans="1:13" ht="15" customHeight="1">
      <c r="A115" s="42">
        <v>110</v>
      </c>
      <c r="B115" s="42" t="s">
        <v>898</v>
      </c>
      <c r="C115" s="43" t="s">
        <v>899</v>
      </c>
      <c r="D115" s="42" t="s">
        <v>688</v>
      </c>
      <c r="E115" s="43" t="s">
        <v>731</v>
      </c>
      <c r="F115" s="43" t="s">
        <v>900</v>
      </c>
      <c r="G115" s="42" t="s">
        <v>109</v>
      </c>
      <c r="H115" s="43" t="s">
        <v>435</v>
      </c>
      <c r="I115" s="43" t="s">
        <v>104</v>
      </c>
      <c r="J115" s="55"/>
      <c r="K115" s="119">
        <f>IFERROR(VLOOKUP(B115,BD_CONTROL!$A$5:$M$4235,11,0),"")</f>
        <v>0</v>
      </c>
      <c r="L115" s="120">
        <f>IFERROR(VLOOKUP(B115,BD_CONTROL!$A$5:$M$4235,12,0),"")</f>
        <v>0</v>
      </c>
      <c r="M115" s="121">
        <f>IFERROR(VLOOKUP(B115,BD_CONTROL!$A$5:$M$4235,13,0),"")</f>
        <v>0</v>
      </c>
    </row>
    <row r="116" spans="1:13" ht="15" customHeight="1">
      <c r="A116" s="39">
        <v>111</v>
      </c>
      <c r="B116" s="39" t="s">
        <v>901</v>
      </c>
      <c r="C116" s="40" t="s">
        <v>902</v>
      </c>
      <c r="D116" s="39" t="s">
        <v>688</v>
      </c>
      <c r="E116" s="40" t="s">
        <v>876</v>
      </c>
      <c r="F116" s="40" t="s">
        <v>903</v>
      </c>
      <c r="G116" s="39" t="s">
        <v>109</v>
      </c>
      <c r="H116" s="40" t="s">
        <v>435</v>
      </c>
      <c r="I116" s="40" t="s">
        <v>104</v>
      </c>
      <c r="J116" s="50"/>
      <c r="K116" s="116">
        <f>IFERROR(VLOOKUP(B116,BD_CONTROL!$A$5:$M$4235,11,0),"")</f>
        <v>0</v>
      </c>
      <c r="L116" s="117">
        <f>IFERROR(VLOOKUP(B116,BD_CONTROL!$A$5:$M$4235,12,0),"")</f>
        <v>0</v>
      </c>
      <c r="M116" s="118">
        <f>IFERROR(VLOOKUP(B116,BD_CONTROL!$A$5:$M$4235,13,0),"")</f>
        <v>0</v>
      </c>
    </row>
    <row r="117" spans="1:13" ht="15" customHeight="1">
      <c r="A117" s="42">
        <v>112</v>
      </c>
      <c r="B117" s="42" t="s">
        <v>904</v>
      </c>
      <c r="C117" s="43" t="s">
        <v>905</v>
      </c>
      <c r="D117" s="42" t="s">
        <v>688</v>
      </c>
      <c r="E117" s="43" t="s">
        <v>906</v>
      </c>
      <c r="F117" s="43" t="s">
        <v>907</v>
      </c>
      <c r="G117" s="42" t="s">
        <v>109</v>
      </c>
      <c r="H117" s="43" t="s">
        <v>435</v>
      </c>
      <c r="I117" s="43" t="s">
        <v>104</v>
      </c>
      <c r="J117" s="55"/>
      <c r="K117" s="119">
        <f>IFERROR(VLOOKUP(B117,BD_CONTROL!$A$5:$M$4235,11,0),"")</f>
        <v>0</v>
      </c>
      <c r="L117" s="120">
        <f>IFERROR(VLOOKUP(B117,BD_CONTROL!$A$5:$M$4235,12,0),"")</f>
        <v>0</v>
      </c>
      <c r="M117" s="121">
        <f>IFERROR(VLOOKUP(B117,BD_CONTROL!$A$5:$M$4235,13,0),"")</f>
        <v>0</v>
      </c>
    </row>
    <row r="118" spans="1:13" ht="15" customHeight="1">
      <c r="A118" s="39">
        <v>113</v>
      </c>
      <c r="B118" s="39" t="s">
        <v>908</v>
      </c>
      <c r="C118" s="40" t="s">
        <v>909</v>
      </c>
      <c r="D118" s="39" t="s">
        <v>688</v>
      </c>
      <c r="E118" s="40" t="s">
        <v>864</v>
      </c>
      <c r="F118" s="40" t="s">
        <v>910</v>
      </c>
      <c r="G118" s="39" t="s">
        <v>109</v>
      </c>
      <c r="H118" s="40" t="s">
        <v>435</v>
      </c>
      <c r="I118" s="40" t="s">
        <v>104</v>
      </c>
      <c r="J118" s="50"/>
      <c r="K118" s="116">
        <f>IFERROR(VLOOKUP(B118,BD_CONTROL!$A$5:$M$4235,11,0),"")</f>
        <v>0</v>
      </c>
      <c r="L118" s="117">
        <f>IFERROR(VLOOKUP(B118,BD_CONTROL!$A$5:$M$4235,12,0),"")</f>
        <v>0</v>
      </c>
      <c r="M118" s="118">
        <f>IFERROR(VLOOKUP(B118,BD_CONTROL!$A$5:$M$4235,13,0),"")</f>
        <v>0</v>
      </c>
    </row>
    <row r="119" spans="1:13" ht="15" customHeight="1">
      <c r="A119" s="42">
        <v>114</v>
      </c>
      <c r="B119" s="42" t="s">
        <v>911</v>
      </c>
      <c r="C119" s="43" t="s">
        <v>912</v>
      </c>
      <c r="D119" s="42" t="s">
        <v>688</v>
      </c>
      <c r="E119" s="43" t="s">
        <v>688</v>
      </c>
      <c r="F119" s="43" t="s">
        <v>913</v>
      </c>
      <c r="G119" s="42" t="s">
        <v>109</v>
      </c>
      <c r="H119" s="43" t="s">
        <v>435</v>
      </c>
      <c r="I119" s="43" t="s">
        <v>104</v>
      </c>
      <c r="J119" s="55"/>
      <c r="K119" s="119">
        <f>IFERROR(VLOOKUP(B119,BD_CONTROL!$A$5:$M$4235,11,0),"")</f>
        <v>0</v>
      </c>
      <c r="L119" s="120">
        <f>IFERROR(VLOOKUP(B119,BD_CONTROL!$A$5:$M$4235,12,0),"")</f>
        <v>0</v>
      </c>
      <c r="M119" s="121">
        <f>IFERROR(VLOOKUP(B119,BD_CONTROL!$A$5:$M$4235,13,0),"")</f>
        <v>0</v>
      </c>
    </row>
    <row r="120" spans="1:13" ht="15" customHeight="1">
      <c r="A120" s="39">
        <v>115</v>
      </c>
      <c r="B120" s="39" t="s">
        <v>914</v>
      </c>
      <c r="C120" s="40" t="s">
        <v>915</v>
      </c>
      <c r="D120" s="39" t="s">
        <v>688</v>
      </c>
      <c r="E120" s="40" t="s">
        <v>770</v>
      </c>
      <c r="F120" s="40" t="s">
        <v>916</v>
      </c>
      <c r="G120" s="39" t="s">
        <v>109</v>
      </c>
      <c r="H120" s="40" t="s">
        <v>435</v>
      </c>
      <c r="I120" s="40" t="s">
        <v>104</v>
      </c>
      <c r="J120" s="50"/>
      <c r="K120" s="116">
        <f>IFERROR(VLOOKUP(B120,BD_CONTROL!$A$5:$M$4235,11,0),"")</f>
        <v>0</v>
      </c>
      <c r="L120" s="117">
        <f>IFERROR(VLOOKUP(B120,BD_CONTROL!$A$5:$M$4235,12,0),"")</f>
        <v>0</v>
      </c>
      <c r="M120" s="118">
        <f>IFERROR(VLOOKUP(B120,BD_CONTROL!$A$5:$M$4235,13,0),"")</f>
        <v>0</v>
      </c>
    </row>
    <row r="121" spans="1:13" ht="15" customHeight="1">
      <c r="A121" s="42">
        <v>116</v>
      </c>
      <c r="B121" s="42" t="s">
        <v>917</v>
      </c>
      <c r="C121" s="43" t="s">
        <v>918</v>
      </c>
      <c r="D121" s="42" t="s">
        <v>688</v>
      </c>
      <c r="E121" s="43" t="s">
        <v>770</v>
      </c>
      <c r="F121" s="43" t="s">
        <v>919</v>
      </c>
      <c r="G121" s="42" t="s">
        <v>109</v>
      </c>
      <c r="H121" s="43" t="s">
        <v>435</v>
      </c>
      <c r="I121" s="43" t="s">
        <v>104</v>
      </c>
      <c r="J121" s="55"/>
      <c r="K121" s="119">
        <f>IFERROR(VLOOKUP(B121,BD_CONTROL!$A$5:$M$4235,11,0),"")</f>
        <v>0</v>
      </c>
      <c r="L121" s="120">
        <f>IFERROR(VLOOKUP(B121,BD_CONTROL!$A$5:$M$4235,12,0),"")</f>
        <v>0</v>
      </c>
      <c r="M121" s="121">
        <f>IFERROR(VLOOKUP(B121,BD_CONTROL!$A$5:$M$4235,13,0),"")</f>
        <v>0</v>
      </c>
    </row>
    <row r="122" spans="1:13" ht="15" customHeight="1">
      <c r="A122" s="39">
        <v>117</v>
      </c>
      <c r="B122" s="39" t="s">
        <v>920</v>
      </c>
      <c r="C122" s="40" t="s">
        <v>921</v>
      </c>
      <c r="D122" s="39" t="s">
        <v>688</v>
      </c>
      <c r="E122" s="40" t="s">
        <v>702</v>
      </c>
      <c r="F122" s="40" t="s">
        <v>922</v>
      </c>
      <c r="G122" s="39" t="s">
        <v>109</v>
      </c>
      <c r="H122" s="40" t="s">
        <v>435</v>
      </c>
      <c r="I122" s="40" t="s">
        <v>104</v>
      </c>
      <c r="J122" s="50"/>
      <c r="K122" s="116">
        <f>IFERROR(VLOOKUP(B122,BD_CONTROL!$A$5:$M$4235,11,0),"")</f>
        <v>0</v>
      </c>
      <c r="L122" s="117">
        <f>IFERROR(VLOOKUP(B122,BD_CONTROL!$A$5:$M$4235,12,0),"")</f>
        <v>0</v>
      </c>
      <c r="M122" s="118">
        <f>IFERROR(VLOOKUP(B122,BD_CONTROL!$A$5:$M$4235,13,0),"")</f>
        <v>0</v>
      </c>
    </row>
    <row r="123" spans="1:13" ht="15" customHeight="1">
      <c r="A123" s="42">
        <v>118</v>
      </c>
      <c r="B123" s="42" t="s">
        <v>923</v>
      </c>
      <c r="C123" s="43" t="s">
        <v>924</v>
      </c>
      <c r="D123" s="42" t="s">
        <v>688</v>
      </c>
      <c r="E123" s="43" t="s">
        <v>706</v>
      </c>
      <c r="F123" s="43" t="s">
        <v>706</v>
      </c>
      <c r="G123" s="42" t="s">
        <v>102</v>
      </c>
      <c r="H123" s="43" t="s">
        <v>435</v>
      </c>
      <c r="I123" s="43" t="s">
        <v>104</v>
      </c>
      <c r="J123" s="55"/>
      <c r="K123" s="119">
        <f>IFERROR(VLOOKUP(B123,BD_CONTROL!$A$5:$M$4235,11,0),"")</f>
        <v>0</v>
      </c>
      <c r="L123" s="120">
        <f>IFERROR(VLOOKUP(B123,BD_CONTROL!$A$5:$M$4235,12,0),"")</f>
        <v>0</v>
      </c>
      <c r="M123" s="121">
        <f>IFERROR(VLOOKUP(B123,BD_CONTROL!$A$5:$M$4235,13,0),"")</f>
        <v>0</v>
      </c>
    </row>
    <row r="124" spans="1:13" ht="15" customHeight="1">
      <c r="A124" s="39">
        <v>119</v>
      </c>
      <c r="B124" s="39" t="s">
        <v>925</v>
      </c>
      <c r="C124" s="40" t="s">
        <v>926</v>
      </c>
      <c r="D124" s="39" t="s">
        <v>688</v>
      </c>
      <c r="E124" s="40" t="s">
        <v>715</v>
      </c>
      <c r="F124" s="40" t="s">
        <v>716</v>
      </c>
      <c r="G124" s="39" t="s">
        <v>109</v>
      </c>
      <c r="H124" s="40" t="s">
        <v>435</v>
      </c>
      <c r="I124" s="40" t="s">
        <v>104</v>
      </c>
      <c r="J124" s="50"/>
      <c r="K124" s="116">
        <f>IFERROR(VLOOKUP(B124,BD_CONTROL!$A$5:$M$4235,11,0),"")</f>
        <v>0</v>
      </c>
      <c r="L124" s="117">
        <f>IFERROR(VLOOKUP(B124,BD_CONTROL!$A$5:$M$4235,12,0),"")</f>
        <v>0</v>
      </c>
      <c r="M124" s="118">
        <f>IFERROR(VLOOKUP(B124,BD_CONTROL!$A$5:$M$4235,13,0),"")</f>
        <v>0</v>
      </c>
    </row>
    <row r="125" spans="1:13" ht="15" customHeight="1">
      <c r="A125" s="42">
        <v>120</v>
      </c>
      <c r="B125" s="42" t="s">
        <v>927</v>
      </c>
      <c r="C125" s="43" t="s">
        <v>928</v>
      </c>
      <c r="D125" s="42" t="s">
        <v>688</v>
      </c>
      <c r="E125" s="43" t="s">
        <v>510</v>
      </c>
      <c r="F125" s="43" t="s">
        <v>929</v>
      </c>
      <c r="G125" s="42" t="s">
        <v>109</v>
      </c>
      <c r="H125" s="43" t="s">
        <v>435</v>
      </c>
      <c r="I125" s="43" t="s">
        <v>104</v>
      </c>
      <c r="J125" s="55"/>
      <c r="K125" s="119">
        <f>IFERROR(VLOOKUP(B125,BD_CONTROL!$A$5:$M$4235,11,0),"")</f>
        <v>0</v>
      </c>
      <c r="L125" s="120">
        <f>IFERROR(VLOOKUP(B125,BD_CONTROL!$A$5:$M$4235,12,0),"")</f>
        <v>0</v>
      </c>
      <c r="M125" s="121">
        <f>IFERROR(VLOOKUP(B125,BD_CONTROL!$A$5:$M$4235,13,0),"")</f>
        <v>0</v>
      </c>
    </row>
    <row r="126" spans="1:13" ht="15" customHeight="1">
      <c r="A126" s="39">
        <v>121</v>
      </c>
      <c r="B126" s="39" t="s">
        <v>930</v>
      </c>
      <c r="C126" s="40" t="s">
        <v>931</v>
      </c>
      <c r="D126" s="39" t="s">
        <v>688</v>
      </c>
      <c r="E126" s="40" t="s">
        <v>706</v>
      </c>
      <c r="F126" s="40" t="s">
        <v>706</v>
      </c>
      <c r="G126" s="39" t="s">
        <v>102</v>
      </c>
      <c r="H126" s="40" t="s">
        <v>435</v>
      </c>
      <c r="I126" s="40" t="s">
        <v>104</v>
      </c>
      <c r="J126" s="50"/>
      <c r="K126" s="116">
        <f>IFERROR(VLOOKUP(B126,BD_CONTROL!$A$5:$M$4235,11,0),"")</f>
        <v>0</v>
      </c>
      <c r="L126" s="117">
        <f>IFERROR(VLOOKUP(B126,BD_CONTROL!$A$5:$M$4235,12,0),"")</f>
        <v>0</v>
      </c>
      <c r="M126" s="118">
        <f>IFERROR(VLOOKUP(B126,BD_CONTROL!$A$5:$M$4235,13,0),"")</f>
        <v>0</v>
      </c>
    </row>
    <row r="127" spans="1:13" ht="15" customHeight="1">
      <c r="A127" s="42">
        <v>122</v>
      </c>
      <c r="B127" s="42" t="s">
        <v>932</v>
      </c>
      <c r="C127" s="43" t="s">
        <v>933</v>
      </c>
      <c r="D127" s="42" t="s">
        <v>688</v>
      </c>
      <c r="E127" s="43" t="s">
        <v>934</v>
      </c>
      <c r="F127" s="43" t="s">
        <v>935</v>
      </c>
      <c r="G127" s="42" t="s">
        <v>109</v>
      </c>
      <c r="H127" s="43" t="s">
        <v>435</v>
      </c>
      <c r="I127" s="43" t="s">
        <v>104</v>
      </c>
      <c r="J127" s="55"/>
      <c r="K127" s="119">
        <f>IFERROR(VLOOKUP(B127,BD_CONTROL!$A$5:$M$4235,11,0),"")</f>
        <v>0</v>
      </c>
      <c r="L127" s="120">
        <f>IFERROR(VLOOKUP(B127,BD_CONTROL!$A$5:$M$4235,12,0),"")</f>
        <v>0</v>
      </c>
      <c r="M127" s="121">
        <f>IFERROR(VLOOKUP(B127,BD_CONTROL!$A$5:$M$4235,13,0),"")</f>
        <v>0</v>
      </c>
    </row>
    <row r="128" spans="1:13" ht="15" customHeight="1">
      <c r="A128" s="39">
        <v>123</v>
      </c>
      <c r="B128" s="39" t="s">
        <v>936</v>
      </c>
      <c r="C128" s="40" t="s">
        <v>937</v>
      </c>
      <c r="D128" s="39" t="s">
        <v>688</v>
      </c>
      <c r="E128" s="40" t="s">
        <v>841</v>
      </c>
      <c r="F128" s="40" t="s">
        <v>548</v>
      </c>
      <c r="G128" s="39" t="s">
        <v>109</v>
      </c>
      <c r="H128" s="40" t="s">
        <v>435</v>
      </c>
      <c r="I128" s="40" t="s">
        <v>104</v>
      </c>
      <c r="J128" s="50"/>
      <c r="K128" s="116">
        <f>IFERROR(VLOOKUP(B128,BD_CONTROL!$A$5:$M$4235,11,0),"")</f>
        <v>0</v>
      </c>
      <c r="L128" s="117">
        <f>IFERROR(VLOOKUP(B128,BD_CONTROL!$A$5:$M$4235,12,0),"")</f>
        <v>0</v>
      </c>
      <c r="M128" s="118">
        <f>IFERROR(VLOOKUP(B128,BD_CONTROL!$A$5:$M$4235,13,0),"")</f>
        <v>0</v>
      </c>
    </row>
    <row r="129" spans="1:13" ht="15" customHeight="1">
      <c r="A129" s="42">
        <v>124</v>
      </c>
      <c r="B129" s="42" t="s">
        <v>938</v>
      </c>
      <c r="C129" s="43" t="s">
        <v>939</v>
      </c>
      <c r="D129" s="42" t="s">
        <v>688</v>
      </c>
      <c r="E129" s="43" t="s">
        <v>940</v>
      </c>
      <c r="F129" s="43" t="s">
        <v>940</v>
      </c>
      <c r="G129" s="42" t="s">
        <v>109</v>
      </c>
      <c r="H129" s="43" t="s">
        <v>435</v>
      </c>
      <c r="I129" s="43" t="s">
        <v>104</v>
      </c>
      <c r="J129" s="55"/>
      <c r="K129" s="119">
        <f>IFERROR(VLOOKUP(B129,BD_CONTROL!$A$5:$M$4235,11,0),"")</f>
        <v>0</v>
      </c>
      <c r="L129" s="120">
        <f>IFERROR(VLOOKUP(B129,BD_CONTROL!$A$5:$M$4235,12,0),"")</f>
        <v>0</v>
      </c>
      <c r="M129" s="121">
        <f>IFERROR(VLOOKUP(B129,BD_CONTROL!$A$5:$M$4235,13,0),"")</f>
        <v>0</v>
      </c>
    </row>
    <row r="130" spans="1:13" ht="15" customHeight="1">
      <c r="A130" s="39">
        <v>125</v>
      </c>
      <c r="B130" s="39" t="s">
        <v>941</v>
      </c>
      <c r="C130" s="40" t="s">
        <v>942</v>
      </c>
      <c r="D130" s="39" t="s">
        <v>688</v>
      </c>
      <c r="E130" s="40" t="s">
        <v>943</v>
      </c>
      <c r="F130" s="40" t="s">
        <v>944</v>
      </c>
      <c r="G130" s="39" t="s">
        <v>109</v>
      </c>
      <c r="H130" s="40" t="s">
        <v>435</v>
      </c>
      <c r="I130" s="40" t="s">
        <v>104</v>
      </c>
      <c r="J130" s="50"/>
      <c r="K130" s="116">
        <f>IFERROR(VLOOKUP(B130,BD_CONTROL!$A$5:$M$4235,11,0),"")</f>
        <v>0</v>
      </c>
      <c r="L130" s="117">
        <f>IFERROR(VLOOKUP(B130,BD_CONTROL!$A$5:$M$4235,12,0),"")</f>
        <v>0</v>
      </c>
      <c r="M130" s="118">
        <f>IFERROR(VLOOKUP(B130,BD_CONTROL!$A$5:$M$4235,13,0),"")</f>
        <v>0</v>
      </c>
    </row>
    <row r="131" spans="1:13" ht="15" customHeight="1">
      <c r="A131" s="42">
        <v>126</v>
      </c>
      <c r="B131" s="42" t="s">
        <v>945</v>
      </c>
      <c r="C131" s="43" t="s">
        <v>946</v>
      </c>
      <c r="D131" s="42" t="s">
        <v>688</v>
      </c>
      <c r="E131" s="43" t="s">
        <v>947</v>
      </c>
      <c r="F131" s="43" t="s">
        <v>948</v>
      </c>
      <c r="G131" s="42" t="s">
        <v>109</v>
      </c>
      <c r="H131" s="43" t="s">
        <v>435</v>
      </c>
      <c r="I131" s="43" t="s">
        <v>104</v>
      </c>
      <c r="J131" s="55"/>
      <c r="K131" s="119">
        <f>IFERROR(VLOOKUP(B131,BD_CONTROL!$A$5:$M$4235,11,0),"")</f>
        <v>0</v>
      </c>
      <c r="L131" s="120">
        <f>IFERROR(VLOOKUP(B131,BD_CONTROL!$A$5:$M$4235,12,0),"")</f>
        <v>0</v>
      </c>
      <c r="M131" s="121">
        <f>IFERROR(VLOOKUP(B131,BD_CONTROL!$A$5:$M$4235,13,0),"")</f>
        <v>0</v>
      </c>
    </row>
    <row r="132" spans="1:13" ht="15" customHeight="1">
      <c r="A132" s="39">
        <v>127</v>
      </c>
      <c r="B132" s="39" t="s">
        <v>949</v>
      </c>
      <c r="C132" s="40" t="s">
        <v>950</v>
      </c>
      <c r="D132" s="39" t="s">
        <v>688</v>
      </c>
      <c r="E132" s="40" t="s">
        <v>767</v>
      </c>
      <c r="F132" s="40" t="s">
        <v>688</v>
      </c>
      <c r="G132" s="39" t="s">
        <v>109</v>
      </c>
      <c r="H132" s="40" t="s">
        <v>435</v>
      </c>
      <c r="I132" s="40" t="s">
        <v>104</v>
      </c>
      <c r="J132" s="50"/>
      <c r="K132" s="116">
        <f>IFERROR(VLOOKUP(B132,BD_CONTROL!$A$5:$M$4235,11,0),"")</f>
        <v>0</v>
      </c>
      <c r="L132" s="117">
        <f>IFERROR(VLOOKUP(B132,BD_CONTROL!$A$5:$M$4235,12,0),"")</f>
        <v>0</v>
      </c>
      <c r="M132" s="118">
        <f>IFERROR(VLOOKUP(B132,BD_CONTROL!$A$5:$M$4235,13,0),"")</f>
        <v>0</v>
      </c>
    </row>
    <row r="133" spans="1:13" ht="15" customHeight="1">
      <c r="A133" s="42">
        <v>128</v>
      </c>
      <c r="B133" s="42" t="s">
        <v>951</v>
      </c>
      <c r="C133" s="43" t="s">
        <v>952</v>
      </c>
      <c r="D133" s="42" t="s">
        <v>688</v>
      </c>
      <c r="E133" s="43" t="s">
        <v>767</v>
      </c>
      <c r="F133" s="43" t="s">
        <v>953</v>
      </c>
      <c r="G133" s="42" t="s">
        <v>109</v>
      </c>
      <c r="H133" s="43" t="s">
        <v>435</v>
      </c>
      <c r="I133" s="43" t="s">
        <v>104</v>
      </c>
      <c r="J133" s="55"/>
      <c r="K133" s="119" t="str">
        <f>IFERROR(VLOOKUP(B133,BD_CONTROL!$A$5:$M$4235,11,0),"")</f>
        <v>Instalado - Sin Señal</v>
      </c>
      <c r="L133" s="120">
        <f>IFERROR(VLOOKUP(B133,BD_CONTROL!$A$5:$M$4235,12,0),"")</f>
        <v>46151</v>
      </c>
      <c r="M133" s="121">
        <f>IFERROR(VLOOKUP(B133,BD_CONTROL!$A$5:$M$4235,13,0),"")</f>
        <v>0</v>
      </c>
    </row>
    <row r="134" spans="1:13" ht="15" customHeight="1">
      <c r="A134" s="39">
        <v>129</v>
      </c>
      <c r="B134" s="39" t="s">
        <v>954</v>
      </c>
      <c r="C134" s="40" t="s">
        <v>955</v>
      </c>
      <c r="D134" s="39" t="s">
        <v>688</v>
      </c>
      <c r="E134" s="40" t="s">
        <v>767</v>
      </c>
      <c r="F134" s="40" t="s">
        <v>956</v>
      </c>
      <c r="G134" s="39" t="s">
        <v>109</v>
      </c>
      <c r="H134" s="40" t="s">
        <v>435</v>
      </c>
      <c r="I134" s="40" t="s">
        <v>104</v>
      </c>
      <c r="J134" s="50"/>
      <c r="K134" s="116" t="str">
        <f>IFERROR(VLOOKUP(B134,BD_CONTROL!$A$5:$M$4235,11,0),"")</f>
        <v>Instalado - Sin Señal</v>
      </c>
      <c r="L134" s="117">
        <f>IFERROR(VLOOKUP(B134,BD_CONTROL!$A$5:$M$4235,12,0),"")</f>
        <v>46151</v>
      </c>
      <c r="M134" s="118">
        <f>IFERROR(VLOOKUP(B134,BD_CONTROL!$A$5:$M$4235,13,0),"")</f>
        <v>0</v>
      </c>
    </row>
    <row r="135" spans="1:13" ht="15" customHeight="1">
      <c r="A135" s="42">
        <v>130</v>
      </c>
      <c r="B135" s="42" t="s">
        <v>957</v>
      </c>
      <c r="C135" s="43" t="s">
        <v>958</v>
      </c>
      <c r="D135" s="42" t="s">
        <v>688</v>
      </c>
      <c r="E135" s="43" t="s">
        <v>725</v>
      </c>
      <c r="F135" s="43" t="s">
        <v>725</v>
      </c>
      <c r="G135" s="42" t="s">
        <v>102</v>
      </c>
      <c r="H135" s="43" t="s">
        <v>435</v>
      </c>
      <c r="I135" s="43" t="s">
        <v>104</v>
      </c>
      <c r="J135" s="55"/>
      <c r="K135" s="119">
        <f>IFERROR(VLOOKUP(B135,BD_CONTROL!$A$5:$M$4235,11,0),"")</f>
        <v>0</v>
      </c>
      <c r="L135" s="120">
        <f>IFERROR(VLOOKUP(B135,BD_CONTROL!$A$5:$M$4235,12,0),"")</f>
        <v>0</v>
      </c>
      <c r="M135" s="121">
        <f>IFERROR(VLOOKUP(B135,BD_CONTROL!$A$5:$M$4235,13,0),"")</f>
        <v>0</v>
      </c>
    </row>
    <row r="136" spans="1:13" ht="15" customHeight="1">
      <c r="A136" s="39">
        <v>131</v>
      </c>
      <c r="B136" s="39" t="s">
        <v>959</v>
      </c>
      <c r="C136" s="40" t="s">
        <v>390</v>
      </c>
      <c r="D136" s="39" t="s">
        <v>688</v>
      </c>
      <c r="E136" s="40" t="s">
        <v>706</v>
      </c>
      <c r="F136" s="40" t="s">
        <v>706</v>
      </c>
      <c r="G136" s="39" t="s">
        <v>102</v>
      </c>
      <c r="H136" s="40" t="s">
        <v>435</v>
      </c>
      <c r="I136" s="40" t="s">
        <v>104</v>
      </c>
      <c r="J136" s="50"/>
      <c r="K136" s="116">
        <f>IFERROR(VLOOKUP(B136,BD_CONTROL!$A$5:$M$4235,11,0),"")</f>
        <v>0</v>
      </c>
      <c r="L136" s="117">
        <f>IFERROR(VLOOKUP(B136,BD_CONTROL!$A$5:$M$4235,12,0),"")</f>
        <v>0</v>
      </c>
      <c r="M136" s="118">
        <f>IFERROR(VLOOKUP(B136,BD_CONTROL!$A$5:$M$4235,13,0),"")</f>
        <v>0</v>
      </c>
    </row>
    <row r="137" spans="1:13" ht="15" customHeight="1">
      <c r="A137" s="42">
        <v>132</v>
      </c>
      <c r="B137" s="42" t="s">
        <v>960</v>
      </c>
      <c r="C137" s="43" t="s">
        <v>961</v>
      </c>
      <c r="D137" s="42" t="s">
        <v>688</v>
      </c>
      <c r="E137" s="43" t="s">
        <v>702</v>
      </c>
      <c r="F137" s="43" t="s">
        <v>962</v>
      </c>
      <c r="G137" s="42" t="s">
        <v>109</v>
      </c>
      <c r="H137" s="43" t="s">
        <v>435</v>
      </c>
      <c r="I137" s="43" t="s">
        <v>104</v>
      </c>
      <c r="J137" s="55"/>
      <c r="K137" s="119" t="str">
        <f>IFERROR(VLOOKUP(B137,BD_CONTROL!$A$5:$M$4235,11,0),"")</f>
        <v>Instalado - Operando</v>
      </c>
      <c r="L137" s="120">
        <f>IFERROR(VLOOKUP(B137,BD_CONTROL!$A$5:$M$4235,12,0),"")</f>
        <v>46153</v>
      </c>
      <c r="M137" s="121">
        <f>IFERROR(VLOOKUP(B137,BD_CONTROL!$A$5:$M$4235,13,0),"")</f>
        <v>0</v>
      </c>
    </row>
    <row r="138" spans="1:13" ht="15" customHeight="1">
      <c r="A138" s="39">
        <v>133</v>
      </c>
      <c r="B138" s="39" t="s">
        <v>963</v>
      </c>
      <c r="C138" s="40" t="s">
        <v>964</v>
      </c>
      <c r="D138" s="39" t="s">
        <v>688</v>
      </c>
      <c r="E138" s="40" t="s">
        <v>841</v>
      </c>
      <c r="F138" s="40" t="s">
        <v>965</v>
      </c>
      <c r="G138" s="39" t="s">
        <v>109</v>
      </c>
      <c r="H138" s="40" t="s">
        <v>435</v>
      </c>
      <c r="I138" s="40" t="s">
        <v>104</v>
      </c>
      <c r="J138" s="50"/>
      <c r="K138" s="116">
        <f>IFERROR(VLOOKUP(B138,BD_CONTROL!$A$5:$M$4235,11,0),"")</f>
        <v>0</v>
      </c>
      <c r="L138" s="117">
        <f>IFERROR(VLOOKUP(B138,BD_CONTROL!$A$5:$M$4235,12,0),"")</f>
        <v>0</v>
      </c>
      <c r="M138" s="118">
        <f>IFERROR(VLOOKUP(B138,BD_CONTROL!$A$5:$M$4235,13,0),"")</f>
        <v>0</v>
      </c>
    </row>
    <row r="139" spans="1:13" ht="15" customHeight="1">
      <c r="A139" s="42">
        <v>134</v>
      </c>
      <c r="B139" s="42" t="s">
        <v>966</v>
      </c>
      <c r="C139" s="43" t="s">
        <v>967</v>
      </c>
      <c r="D139" s="42" t="s">
        <v>688</v>
      </c>
      <c r="E139" s="43" t="s">
        <v>770</v>
      </c>
      <c r="F139" s="43" t="s">
        <v>770</v>
      </c>
      <c r="G139" s="42" t="s">
        <v>109</v>
      </c>
      <c r="H139" s="43" t="s">
        <v>435</v>
      </c>
      <c r="I139" s="43" t="s">
        <v>104</v>
      </c>
      <c r="J139" s="55"/>
      <c r="K139" s="119">
        <f>IFERROR(VLOOKUP(B139,BD_CONTROL!$A$5:$M$4235,11,0),"")</f>
        <v>0</v>
      </c>
      <c r="L139" s="120">
        <f>IFERROR(VLOOKUP(B139,BD_CONTROL!$A$5:$M$4235,12,0),"")</f>
        <v>0</v>
      </c>
      <c r="M139" s="121">
        <f>IFERROR(VLOOKUP(B139,BD_CONTROL!$A$5:$M$4235,13,0),"")</f>
        <v>0</v>
      </c>
    </row>
    <row r="140" spans="1:13" ht="15" customHeight="1">
      <c r="A140" s="39">
        <v>135</v>
      </c>
      <c r="B140" s="39" t="s">
        <v>968</v>
      </c>
      <c r="C140" s="40" t="s">
        <v>969</v>
      </c>
      <c r="D140" s="39" t="s">
        <v>688</v>
      </c>
      <c r="E140" s="40" t="s">
        <v>767</v>
      </c>
      <c r="F140" s="40" t="s">
        <v>970</v>
      </c>
      <c r="G140" s="39" t="s">
        <v>109</v>
      </c>
      <c r="H140" s="40" t="s">
        <v>435</v>
      </c>
      <c r="I140" s="40" t="s">
        <v>104</v>
      </c>
      <c r="J140" s="50"/>
      <c r="K140" s="116" t="str">
        <f>IFERROR(VLOOKUP(B140,BD_CONTROL!$A$5:$M$4235,11,0),"")</f>
        <v>Instalado - Operando</v>
      </c>
      <c r="L140" s="117">
        <f>IFERROR(VLOOKUP(B140,BD_CONTROL!$A$5:$M$4235,12,0),"")</f>
        <v>46150</v>
      </c>
      <c r="M140" s="118">
        <f>IFERROR(VLOOKUP(B140,BD_CONTROL!$A$5:$M$4235,13,0),"")</f>
        <v>0</v>
      </c>
    </row>
    <row r="141" spans="1:13" ht="15" customHeight="1">
      <c r="A141" s="42">
        <v>136</v>
      </c>
      <c r="B141" s="42" t="s">
        <v>971</v>
      </c>
      <c r="C141" s="43" t="s">
        <v>972</v>
      </c>
      <c r="D141" s="42" t="s">
        <v>688</v>
      </c>
      <c r="E141" s="43" t="s">
        <v>456</v>
      </c>
      <c r="F141" s="43" t="s">
        <v>973</v>
      </c>
      <c r="G141" s="42" t="s">
        <v>109</v>
      </c>
      <c r="H141" s="43" t="s">
        <v>435</v>
      </c>
      <c r="I141" s="43" t="s">
        <v>104</v>
      </c>
      <c r="J141" s="55"/>
      <c r="K141" s="119" t="str">
        <f>IFERROR(VLOOKUP(B141,BD_CONTROL!$A$5:$M$4235,11,0),"")</f>
        <v>Instalado - Operando</v>
      </c>
      <c r="L141" s="120">
        <f>IFERROR(VLOOKUP(B141,BD_CONTROL!$A$5:$M$4235,12,0),"")</f>
        <v>46153</v>
      </c>
      <c r="M141" s="121">
        <f>IFERROR(VLOOKUP(B141,BD_CONTROL!$A$5:$M$4235,13,0),"")</f>
        <v>0</v>
      </c>
    </row>
    <row r="142" spans="1:13" ht="15" customHeight="1">
      <c r="A142" s="39">
        <v>137</v>
      </c>
      <c r="B142" s="39" t="s">
        <v>974</v>
      </c>
      <c r="C142" s="40" t="s">
        <v>975</v>
      </c>
      <c r="D142" s="39" t="s">
        <v>688</v>
      </c>
      <c r="E142" s="40" t="s">
        <v>814</v>
      </c>
      <c r="F142" s="40" t="s">
        <v>815</v>
      </c>
      <c r="G142" s="39" t="s">
        <v>109</v>
      </c>
      <c r="H142" s="40" t="s">
        <v>435</v>
      </c>
      <c r="I142" s="40" t="s">
        <v>104</v>
      </c>
      <c r="J142" s="50"/>
      <c r="K142" s="116">
        <f>IFERROR(VLOOKUP(B142,BD_CONTROL!$A$5:$M$4235,11,0),"")</f>
        <v>0</v>
      </c>
      <c r="L142" s="117">
        <f>IFERROR(VLOOKUP(B142,BD_CONTROL!$A$5:$M$4235,12,0),"")</f>
        <v>0</v>
      </c>
      <c r="M142" s="118">
        <f>IFERROR(VLOOKUP(B142,BD_CONTROL!$A$5:$M$4235,13,0),"")</f>
        <v>0</v>
      </c>
    </row>
    <row r="143" spans="1:13" ht="15" customHeight="1">
      <c r="A143" s="42">
        <v>138</v>
      </c>
      <c r="B143" s="42" t="s">
        <v>976</v>
      </c>
      <c r="C143" s="43" t="s">
        <v>977</v>
      </c>
      <c r="D143" s="42" t="s">
        <v>688</v>
      </c>
      <c r="E143" s="43" t="s">
        <v>853</v>
      </c>
      <c r="F143" s="43" t="s">
        <v>688</v>
      </c>
      <c r="G143" s="42" t="s">
        <v>109</v>
      </c>
      <c r="H143" s="43" t="s">
        <v>435</v>
      </c>
      <c r="I143" s="43" t="s">
        <v>104</v>
      </c>
      <c r="J143" s="55"/>
      <c r="K143" s="119">
        <f>IFERROR(VLOOKUP(B143,BD_CONTROL!$A$5:$M$4235,11,0),"")</f>
        <v>0</v>
      </c>
      <c r="L143" s="120">
        <f>IFERROR(VLOOKUP(B143,BD_CONTROL!$A$5:$M$4235,12,0),"")</f>
        <v>0</v>
      </c>
      <c r="M143" s="121">
        <f>IFERROR(VLOOKUP(B143,BD_CONTROL!$A$5:$M$4235,13,0),"")</f>
        <v>0</v>
      </c>
    </row>
    <row r="144" spans="1:13" ht="15" customHeight="1">
      <c r="A144" s="39">
        <v>139</v>
      </c>
      <c r="B144" s="39" t="s">
        <v>978</v>
      </c>
      <c r="C144" s="40" t="s">
        <v>979</v>
      </c>
      <c r="D144" s="39" t="s">
        <v>688</v>
      </c>
      <c r="E144" s="40" t="s">
        <v>510</v>
      </c>
      <c r="F144" s="40" t="s">
        <v>777</v>
      </c>
      <c r="G144" s="39" t="s">
        <v>109</v>
      </c>
      <c r="H144" s="40" t="s">
        <v>435</v>
      </c>
      <c r="I144" s="40" t="s">
        <v>104</v>
      </c>
      <c r="J144" s="50"/>
      <c r="K144" s="116">
        <f>IFERROR(VLOOKUP(B144,BD_CONTROL!$A$5:$M$4235,11,0),"")</f>
        <v>0</v>
      </c>
      <c r="L144" s="117">
        <f>IFERROR(VLOOKUP(B144,BD_CONTROL!$A$5:$M$4235,12,0),"")</f>
        <v>0</v>
      </c>
      <c r="M144" s="118">
        <f>IFERROR(VLOOKUP(B144,BD_CONTROL!$A$5:$M$4235,13,0),"")</f>
        <v>0</v>
      </c>
    </row>
    <row r="145" spans="1:13" ht="15" customHeight="1">
      <c r="A145" s="42">
        <v>140</v>
      </c>
      <c r="B145" s="42" t="s">
        <v>980</v>
      </c>
      <c r="C145" s="43" t="s">
        <v>981</v>
      </c>
      <c r="D145" s="42" t="s">
        <v>688</v>
      </c>
      <c r="E145" s="43" t="s">
        <v>757</v>
      </c>
      <c r="F145" s="43" t="s">
        <v>982</v>
      </c>
      <c r="G145" s="42" t="s">
        <v>109</v>
      </c>
      <c r="H145" s="43" t="s">
        <v>435</v>
      </c>
      <c r="I145" s="43" t="s">
        <v>104</v>
      </c>
      <c r="J145" s="55"/>
      <c r="K145" s="119">
        <f>IFERROR(VLOOKUP(B145,BD_CONTROL!$A$5:$M$4235,11,0),"")</f>
        <v>0</v>
      </c>
      <c r="L145" s="120">
        <f>IFERROR(VLOOKUP(B145,BD_CONTROL!$A$5:$M$4235,12,0),"")</f>
        <v>0</v>
      </c>
      <c r="M145" s="121">
        <f>IFERROR(VLOOKUP(B145,BD_CONTROL!$A$5:$M$4235,13,0),"")</f>
        <v>0</v>
      </c>
    </row>
    <row r="146" spans="1:13" ht="15" customHeight="1">
      <c r="A146" s="39">
        <v>141</v>
      </c>
      <c r="B146" s="39" t="s">
        <v>983</v>
      </c>
      <c r="C146" s="40" t="s">
        <v>984</v>
      </c>
      <c r="D146" s="39" t="s">
        <v>688</v>
      </c>
      <c r="E146" s="40" t="s">
        <v>985</v>
      </c>
      <c r="F146" s="40" t="s">
        <v>985</v>
      </c>
      <c r="G146" s="39" t="s">
        <v>109</v>
      </c>
      <c r="H146" s="40" t="s">
        <v>435</v>
      </c>
      <c r="I146" s="40" t="s">
        <v>104</v>
      </c>
      <c r="J146" s="50"/>
      <c r="K146" s="116">
        <f>IFERROR(VLOOKUP(B146,BD_CONTROL!$A$5:$M$4235,11,0),"")</f>
        <v>0</v>
      </c>
      <c r="L146" s="117">
        <f>IFERROR(VLOOKUP(B146,BD_CONTROL!$A$5:$M$4235,12,0),"")</f>
        <v>0</v>
      </c>
      <c r="M146" s="118">
        <f>IFERROR(VLOOKUP(B146,BD_CONTROL!$A$5:$M$4235,13,0),"")</f>
        <v>0</v>
      </c>
    </row>
    <row r="147" spans="1:13" ht="15" customHeight="1">
      <c r="A147" s="42">
        <v>142</v>
      </c>
      <c r="B147" s="42" t="s">
        <v>986</v>
      </c>
      <c r="C147" s="43" t="s">
        <v>987</v>
      </c>
      <c r="D147" s="42" t="s">
        <v>688</v>
      </c>
      <c r="E147" s="43" t="s">
        <v>725</v>
      </c>
      <c r="F147" s="43" t="s">
        <v>988</v>
      </c>
      <c r="G147" s="42" t="s">
        <v>102</v>
      </c>
      <c r="H147" s="43" t="s">
        <v>435</v>
      </c>
      <c r="I147" s="43" t="s">
        <v>104</v>
      </c>
      <c r="J147" s="55"/>
      <c r="K147" s="119">
        <f>IFERROR(VLOOKUP(B147,BD_CONTROL!$A$5:$M$4235,11,0),"")</f>
        <v>0</v>
      </c>
      <c r="L147" s="120">
        <f>IFERROR(VLOOKUP(B147,BD_CONTROL!$A$5:$M$4235,12,0),"")</f>
        <v>0</v>
      </c>
      <c r="M147" s="121">
        <f>IFERROR(VLOOKUP(B147,BD_CONTROL!$A$5:$M$4235,13,0),"")</f>
        <v>0</v>
      </c>
    </row>
    <row r="148" spans="1:13" ht="15" customHeight="1">
      <c r="A148" s="39">
        <v>143</v>
      </c>
      <c r="B148" s="39" t="s">
        <v>989</v>
      </c>
      <c r="C148" s="40" t="s">
        <v>990</v>
      </c>
      <c r="D148" s="39" t="s">
        <v>688</v>
      </c>
      <c r="E148" s="40" t="s">
        <v>725</v>
      </c>
      <c r="F148" s="40" t="s">
        <v>725</v>
      </c>
      <c r="G148" s="39" t="s">
        <v>109</v>
      </c>
      <c r="H148" s="40" t="s">
        <v>435</v>
      </c>
      <c r="I148" s="40" t="s">
        <v>104</v>
      </c>
      <c r="J148" s="50"/>
      <c r="K148" s="116">
        <f>IFERROR(VLOOKUP(B148,BD_CONTROL!$A$5:$M$4235,11,0),"")</f>
        <v>0</v>
      </c>
      <c r="L148" s="117">
        <f>IFERROR(VLOOKUP(B148,BD_CONTROL!$A$5:$M$4235,12,0),"")</f>
        <v>0</v>
      </c>
      <c r="M148" s="118">
        <f>IFERROR(VLOOKUP(B148,BD_CONTROL!$A$5:$M$4235,13,0),"")</f>
        <v>0</v>
      </c>
    </row>
    <row r="149" spans="1:13" ht="15" customHeight="1">
      <c r="A149" s="42">
        <v>144</v>
      </c>
      <c r="B149" s="42" t="s">
        <v>991</v>
      </c>
      <c r="C149" s="43" t="s">
        <v>992</v>
      </c>
      <c r="D149" s="42" t="s">
        <v>688</v>
      </c>
      <c r="E149" s="43" t="s">
        <v>770</v>
      </c>
      <c r="F149" s="43" t="s">
        <v>770</v>
      </c>
      <c r="G149" s="42" t="s">
        <v>109</v>
      </c>
      <c r="H149" s="43" t="s">
        <v>435</v>
      </c>
      <c r="I149" s="43" t="s">
        <v>104</v>
      </c>
      <c r="J149" s="55"/>
      <c r="K149" s="119">
        <f>IFERROR(VLOOKUP(B149,BD_CONTROL!$A$5:$M$4235,11,0),"")</f>
        <v>0</v>
      </c>
      <c r="L149" s="120">
        <f>IFERROR(VLOOKUP(B149,BD_CONTROL!$A$5:$M$4235,12,0),"")</f>
        <v>0</v>
      </c>
      <c r="M149" s="121">
        <f>IFERROR(VLOOKUP(B149,BD_CONTROL!$A$5:$M$4235,13,0),"")</f>
        <v>0</v>
      </c>
    </row>
    <row r="150" spans="1:13" ht="15" customHeight="1">
      <c r="A150" s="39">
        <v>145</v>
      </c>
      <c r="B150" s="39" t="s">
        <v>993</v>
      </c>
      <c r="C150" s="40" t="s">
        <v>994</v>
      </c>
      <c r="D150" s="39" t="s">
        <v>688</v>
      </c>
      <c r="E150" s="40" t="s">
        <v>770</v>
      </c>
      <c r="F150" s="40" t="s">
        <v>995</v>
      </c>
      <c r="G150" s="39" t="s">
        <v>109</v>
      </c>
      <c r="H150" s="40" t="s">
        <v>435</v>
      </c>
      <c r="I150" s="40" t="s">
        <v>104</v>
      </c>
      <c r="J150" s="50"/>
      <c r="K150" s="116">
        <f>IFERROR(VLOOKUP(B150,BD_CONTROL!$A$5:$M$4235,11,0),"")</f>
        <v>0</v>
      </c>
      <c r="L150" s="117">
        <f>IFERROR(VLOOKUP(B150,BD_CONTROL!$A$5:$M$4235,12,0),"")</f>
        <v>0</v>
      </c>
      <c r="M150" s="118">
        <f>IFERROR(VLOOKUP(B150,BD_CONTROL!$A$5:$M$4235,13,0),"")</f>
        <v>0</v>
      </c>
    </row>
    <row r="151" spans="1:13" ht="15" customHeight="1">
      <c r="A151" s="42">
        <v>146</v>
      </c>
      <c r="B151" s="42" t="s">
        <v>996</v>
      </c>
      <c r="C151" s="43" t="s">
        <v>997</v>
      </c>
      <c r="D151" s="42" t="s">
        <v>688</v>
      </c>
      <c r="E151" s="43" t="s">
        <v>998</v>
      </c>
      <c r="F151" s="43" t="s">
        <v>999</v>
      </c>
      <c r="G151" s="42" t="s">
        <v>109</v>
      </c>
      <c r="H151" s="43" t="s">
        <v>435</v>
      </c>
      <c r="I151" s="43" t="s">
        <v>104</v>
      </c>
      <c r="J151" s="55"/>
      <c r="K151" s="119">
        <f>IFERROR(VLOOKUP(B151,BD_CONTROL!$A$5:$M$4235,11,0),"")</f>
        <v>0</v>
      </c>
      <c r="L151" s="120">
        <f>IFERROR(VLOOKUP(B151,BD_CONTROL!$A$5:$M$4235,12,0),"")</f>
        <v>0</v>
      </c>
      <c r="M151" s="121">
        <f>IFERROR(VLOOKUP(B151,BD_CONTROL!$A$5:$M$4235,13,0),"")</f>
        <v>0</v>
      </c>
    </row>
    <row r="152" spans="1:13" ht="15" customHeight="1">
      <c r="A152" s="39">
        <v>147</v>
      </c>
      <c r="B152" s="39" t="s">
        <v>1000</v>
      </c>
      <c r="C152" s="40" t="s">
        <v>1001</v>
      </c>
      <c r="D152" s="39" t="s">
        <v>688</v>
      </c>
      <c r="E152" s="40" t="s">
        <v>1002</v>
      </c>
      <c r="F152" s="40" t="s">
        <v>1003</v>
      </c>
      <c r="G152" s="39" t="s">
        <v>109</v>
      </c>
      <c r="H152" s="40" t="s">
        <v>435</v>
      </c>
      <c r="I152" s="40" t="s">
        <v>104</v>
      </c>
      <c r="J152" s="50"/>
      <c r="K152" s="116">
        <f>IFERROR(VLOOKUP(B152,BD_CONTROL!$A$5:$M$4235,11,0),"")</f>
        <v>0</v>
      </c>
      <c r="L152" s="117">
        <f>IFERROR(VLOOKUP(B152,BD_CONTROL!$A$5:$M$4235,12,0),"")</f>
        <v>0</v>
      </c>
      <c r="M152" s="118">
        <f>IFERROR(VLOOKUP(B152,BD_CONTROL!$A$5:$M$4235,13,0),"")</f>
        <v>0</v>
      </c>
    </row>
    <row r="153" spans="1:13" ht="15" customHeight="1">
      <c r="A153" s="42">
        <v>148</v>
      </c>
      <c r="B153" s="42" t="s">
        <v>1004</v>
      </c>
      <c r="C153" s="43" t="s">
        <v>1005</v>
      </c>
      <c r="D153" s="42" t="s">
        <v>688</v>
      </c>
      <c r="E153" s="43" t="s">
        <v>1006</v>
      </c>
      <c r="F153" s="43" t="s">
        <v>1007</v>
      </c>
      <c r="G153" s="42" t="s">
        <v>109</v>
      </c>
      <c r="H153" s="43" t="s">
        <v>435</v>
      </c>
      <c r="I153" s="43" t="s">
        <v>104</v>
      </c>
      <c r="J153" s="55"/>
      <c r="K153" s="119">
        <f>IFERROR(VLOOKUP(B153,BD_CONTROL!$A$5:$M$4235,11,0),"")</f>
        <v>0</v>
      </c>
      <c r="L153" s="120">
        <f>IFERROR(VLOOKUP(B153,BD_CONTROL!$A$5:$M$4235,12,0),"")</f>
        <v>0</v>
      </c>
      <c r="M153" s="121">
        <f>IFERROR(VLOOKUP(B153,BD_CONTROL!$A$5:$M$4235,13,0),"")</f>
        <v>0</v>
      </c>
    </row>
    <row r="154" spans="1:13" ht="15" customHeight="1">
      <c r="A154" s="39">
        <v>149</v>
      </c>
      <c r="B154" s="39" t="s">
        <v>1008</v>
      </c>
      <c r="C154" s="40" t="s">
        <v>1009</v>
      </c>
      <c r="D154" s="39" t="s">
        <v>688</v>
      </c>
      <c r="E154" s="40" t="s">
        <v>795</v>
      </c>
      <c r="F154" s="40" t="s">
        <v>1010</v>
      </c>
      <c r="G154" s="39" t="s">
        <v>109</v>
      </c>
      <c r="H154" s="40" t="s">
        <v>435</v>
      </c>
      <c r="I154" s="40" t="s">
        <v>104</v>
      </c>
      <c r="J154" s="50"/>
      <c r="K154" s="116">
        <f>IFERROR(VLOOKUP(B154,BD_CONTROL!$A$5:$M$4235,11,0),"")</f>
        <v>0</v>
      </c>
      <c r="L154" s="117">
        <f>IFERROR(VLOOKUP(B154,BD_CONTROL!$A$5:$M$4235,12,0),"")</f>
        <v>0</v>
      </c>
      <c r="M154" s="118">
        <f>IFERROR(VLOOKUP(B154,BD_CONTROL!$A$5:$M$4235,13,0),"")</f>
        <v>0</v>
      </c>
    </row>
    <row r="155" spans="1:13" ht="15" customHeight="1">
      <c r="A155" s="42">
        <v>150</v>
      </c>
      <c r="B155" s="42" t="s">
        <v>1011</v>
      </c>
      <c r="C155" s="43" t="s">
        <v>1012</v>
      </c>
      <c r="D155" s="42" t="s">
        <v>688</v>
      </c>
      <c r="E155" s="43" t="s">
        <v>940</v>
      </c>
      <c r="F155" s="43" t="s">
        <v>705</v>
      </c>
      <c r="G155" s="42" t="s">
        <v>109</v>
      </c>
      <c r="H155" s="43" t="s">
        <v>435</v>
      </c>
      <c r="I155" s="43" t="s">
        <v>104</v>
      </c>
      <c r="J155" s="55"/>
      <c r="K155" s="119">
        <f>IFERROR(VLOOKUP(B155,BD_CONTROL!$A$5:$M$4235,11,0),"")</f>
        <v>0</v>
      </c>
      <c r="L155" s="120">
        <f>IFERROR(VLOOKUP(B155,BD_CONTROL!$A$5:$M$4235,12,0),"")</f>
        <v>0</v>
      </c>
      <c r="M155" s="121">
        <f>IFERROR(VLOOKUP(B155,BD_CONTROL!$A$5:$M$4235,13,0),"")</f>
        <v>0</v>
      </c>
    </row>
    <row r="156" spans="1:13" ht="15" customHeight="1">
      <c r="A156" s="39">
        <v>151</v>
      </c>
      <c r="B156" s="39" t="s">
        <v>1013</v>
      </c>
      <c r="C156" s="40" t="s">
        <v>1014</v>
      </c>
      <c r="D156" s="39" t="s">
        <v>688</v>
      </c>
      <c r="E156" s="40" t="s">
        <v>1015</v>
      </c>
      <c r="F156" s="40" t="s">
        <v>1015</v>
      </c>
      <c r="G156" s="39" t="s">
        <v>109</v>
      </c>
      <c r="H156" s="40" t="s">
        <v>435</v>
      </c>
      <c r="I156" s="40" t="s">
        <v>104</v>
      </c>
      <c r="J156" s="50"/>
      <c r="K156" s="116">
        <f>IFERROR(VLOOKUP(B156,BD_CONTROL!$A$5:$M$4235,11,0),"")</f>
        <v>0</v>
      </c>
      <c r="L156" s="117">
        <f>IFERROR(VLOOKUP(B156,BD_CONTROL!$A$5:$M$4235,12,0),"")</f>
        <v>0</v>
      </c>
      <c r="M156" s="118">
        <f>IFERROR(VLOOKUP(B156,BD_CONTROL!$A$5:$M$4235,13,0),"")</f>
        <v>0</v>
      </c>
    </row>
    <row r="157" spans="1:13" ht="15" customHeight="1">
      <c r="A157" s="42">
        <v>152</v>
      </c>
      <c r="B157" s="42" t="s">
        <v>1016</v>
      </c>
      <c r="C157" s="43" t="s">
        <v>1017</v>
      </c>
      <c r="D157" s="42" t="s">
        <v>688</v>
      </c>
      <c r="E157" s="43" t="s">
        <v>906</v>
      </c>
      <c r="F157" s="43" t="s">
        <v>1018</v>
      </c>
      <c r="G157" s="42" t="s">
        <v>109</v>
      </c>
      <c r="H157" s="43" t="s">
        <v>435</v>
      </c>
      <c r="I157" s="43" t="s">
        <v>104</v>
      </c>
      <c r="J157" s="55"/>
      <c r="K157" s="119">
        <f>IFERROR(VLOOKUP(B157,BD_CONTROL!$A$5:$M$4235,11,0),"")</f>
        <v>0</v>
      </c>
      <c r="L157" s="120">
        <f>IFERROR(VLOOKUP(B157,BD_CONTROL!$A$5:$M$4235,12,0),"")</f>
        <v>0</v>
      </c>
      <c r="M157" s="121">
        <f>IFERROR(VLOOKUP(B157,BD_CONTROL!$A$5:$M$4235,13,0),"")</f>
        <v>0</v>
      </c>
    </row>
    <row r="158" spans="1:13" ht="15" customHeight="1">
      <c r="A158" s="39">
        <v>153</v>
      </c>
      <c r="B158" s="39" t="s">
        <v>1019</v>
      </c>
      <c r="C158" s="40" t="s">
        <v>1020</v>
      </c>
      <c r="D158" s="39" t="s">
        <v>688</v>
      </c>
      <c r="E158" s="40" t="s">
        <v>510</v>
      </c>
      <c r="F158" s="40" t="s">
        <v>1021</v>
      </c>
      <c r="G158" s="39" t="s">
        <v>109</v>
      </c>
      <c r="H158" s="40" t="s">
        <v>435</v>
      </c>
      <c r="I158" s="40" t="s">
        <v>104</v>
      </c>
      <c r="J158" s="50"/>
      <c r="K158" s="116">
        <f>IFERROR(VLOOKUP(B158,BD_CONTROL!$A$5:$M$4235,11,0),"")</f>
        <v>0</v>
      </c>
      <c r="L158" s="117">
        <f>IFERROR(VLOOKUP(B158,BD_CONTROL!$A$5:$M$4235,12,0),"")</f>
        <v>0</v>
      </c>
      <c r="M158" s="118">
        <f>IFERROR(VLOOKUP(B158,BD_CONTROL!$A$5:$M$4235,13,0),"")</f>
        <v>0</v>
      </c>
    </row>
    <row r="159" spans="1:13" ht="15" customHeight="1">
      <c r="A159" s="42">
        <v>154</v>
      </c>
      <c r="B159" s="42" t="s">
        <v>1022</v>
      </c>
      <c r="C159" s="43" t="s">
        <v>1023</v>
      </c>
      <c r="D159" s="42" t="s">
        <v>688</v>
      </c>
      <c r="E159" s="43" t="s">
        <v>767</v>
      </c>
      <c r="F159" s="43" t="s">
        <v>1024</v>
      </c>
      <c r="G159" s="42" t="s">
        <v>109</v>
      </c>
      <c r="H159" s="43" t="s">
        <v>435</v>
      </c>
      <c r="I159" s="43" t="s">
        <v>104</v>
      </c>
      <c r="J159" s="55"/>
      <c r="K159" s="119" t="str">
        <f>IFERROR(VLOOKUP(B159,BD_CONTROL!$A$5:$M$4235,11,0),"")</f>
        <v>Instalado - Operando</v>
      </c>
      <c r="L159" s="120">
        <f>IFERROR(VLOOKUP(B159,BD_CONTROL!$A$5:$M$4235,12,0),"")</f>
        <v>46150</v>
      </c>
      <c r="M159" s="121">
        <f>IFERROR(VLOOKUP(B159,BD_CONTROL!$A$5:$M$4235,13,0),"")</f>
        <v>0</v>
      </c>
    </row>
    <row r="160" spans="1:13" ht="15" customHeight="1">
      <c r="A160" s="39">
        <v>155</v>
      </c>
      <c r="B160" s="39" t="s">
        <v>1025</v>
      </c>
      <c r="C160" s="40" t="s">
        <v>1026</v>
      </c>
      <c r="D160" s="39" t="s">
        <v>688</v>
      </c>
      <c r="E160" s="40" t="s">
        <v>985</v>
      </c>
      <c r="F160" s="40" t="s">
        <v>1027</v>
      </c>
      <c r="G160" s="39" t="s">
        <v>109</v>
      </c>
      <c r="H160" s="40" t="s">
        <v>435</v>
      </c>
      <c r="I160" s="40" t="s">
        <v>104</v>
      </c>
      <c r="J160" s="50"/>
      <c r="K160" s="116">
        <f>IFERROR(VLOOKUP(B160,BD_CONTROL!$A$5:$M$4235,11,0),"")</f>
        <v>0</v>
      </c>
      <c r="L160" s="117">
        <f>IFERROR(VLOOKUP(B160,BD_CONTROL!$A$5:$M$4235,12,0),"")</f>
        <v>0</v>
      </c>
      <c r="M160" s="118">
        <f>IFERROR(VLOOKUP(B160,BD_CONTROL!$A$5:$M$4235,13,0),"")</f>
        <v>0</v>
      </c>
    </row>
    <row r="161" spans="1:13" ht="15" customHeight="1">
      <c r="A161" s="42">
        <v>156</v>
      </c>
      <c r="B161" s="42" t="s">
        <v>1028</v>
      </c>
      <c r="C161" s="43" t="s">
        <v>1029</v>
      </c>
      <c r="D161" s="42" t="s">
        <v>688</v>
      </c>
      <c r="E161" s="43" t="s">
        <v>740</v>
      </c>
      <c r="F161" s="43" t="s">
        <v>1030</v>
      </c>
      <c r="G161" s="42" t="s">
        <v>109</v>
      </c>
      <c r="H161" s="43" t="s">
        <v>435</v>
      </c>
      <c r="I161" s="43" t="s">
        <v>104</v>
      </c>
      <c r="J161" s="55"/>
      <c r="K161" s="119">
        <f>IFERROR(VLOOKUP(B161,BD_CONTROL!$A$5:$M$4235,11,0),"")</f>
        <v>0</v>
      </c>
      <c r="L161" s="120">
        <f>IFERROR(VLOOKUP(B161,BD_CONTROL!$A$5:$M$4235,12,0),"")</f>
        <v>0</v>
      </c>
      <c r="M161" s="121">
        <f>IFERROR(VLOOKUP(B161,BD_CONTROL!$A$5:$M$4235,13,0),"")</f>
        <v>0</v>
      </c>
    </row>
    <row r="162" spans="1:13" ht="15" customHeight="1">
      <c r="A162" s="39">
        <v>157</v>
      </c>
      <c r="B162" s="39" t="s">
        <v>1031</v>
      </c>
      <c r="C162" s="40" t="s">
        <v>1032</v>
      </c>
      <c r="D162" s="39" t="s">
        <v>688</v>
      </c>
      <c r="E162" s="40" t="s">
        <v>1033</v>
      </c>
      <c r="F162" s="40" t="s">
        <v>1034</v>
      </c>
      <c r="G162" s="39" t="s">
        <v>109</v>
      </c>
      <c r="H162" s="40" t="s">
        <v>435</v>
      </c>
      <c r="I162" s="40" t="s">
        <v>104</v>
      </c>
      <c r="J162" s="50"/>
      <c r="K162" s="116">
        <f>IFERROR(VLOOKUP(B162,BD_CONTROL!$A$5:$M$4235,11,0),"")</f>
        <v>0</v>
      </c>
      <c r="L162" s="117">
        <f>IFERROR(VLOOKUP(B162,BD_CONTROL!$A$5:$M$4235,12,0),"")</f>
        <v>0</v>
      </c>
      <c r="M162" s="118">
        <f>IFERROR(VLOOKUP(B162,BD_CONTROL!$A$5:$M$4235,13,0),"")</f>
        <v>0</v>
      </c>
    </row>
    <row r="163" spans="1:13" ht="15" customHeight="1">
      <c r="A163" s="42">
        <v>158</v>
      </c>
      <c r="B163" s="42" t="s">
        <v>1035</v>
      </c>
      <c r="C163" s="43" t="s">
        <v>1036</v>
      </c>
      <c r="D163" s="42" t="s">
        <v>688</v>
      </c>
      <c r="E163" s="43" t="s">
        <v>688</v>
      </c>
      <c r="F163" s="43" t="s">
        <v>688</v>
      </c>
      <c r="G163" s="42" t="s">
        <v>102</v>
      </c>
      <c r="H163" s="43" t="s">
        <v>435</v>
      </c>
      <c r="I163" s="43" t="s">
        <v>104</v>
      </c>
      <c r="J163" s="55"/>
      <c r="K163" s="119">
        <f>IFERROR(VLOOKUP(B163,BD_CONTROL!$A$5:$M$4235,11,0),"")</f>
        <v>0</v>
      </c>
      <c r="L163" s="120">
        <f>IFERROR(VLOOKUP(B163,BD_CONTROL!$A$5:$M$4235,12,0),"")</f>
        <v>0</v>
      </c>
      <c r="M163" s="121">
        <f>IFERROR(VLOOKUP(B163,BD_CONTROL!$A$5:$M$4235,13,0),"")</f>
        <v>0</v>
      </c>
    </row>
    <row r="164" spans="1:13" ht="15" customHeight="1">
      <c r="A164" s="39">
        <v>159</v>
      </c>
      <c r="B164" s="39" t="s">
        <v>1037</v>
      </c>
      <c r="C164" s="40" t="s">
        <v>1038</v>
      </c>
      <c r="D164" s="39" t="s">
        <v>688</v>
      </c>
      <c r="E164" s="40" t="s">
        <v>688</v>
      </c>
      <c r="F164" s="40" t="s">
        <v>688</v>
      </c>
      <c r="G164" s="39" t="s">
        <v>102</v>
      </c>
      <c r="H164" s="40" t="s">
        <v>435</v>
      </c>
      <c r="I164" s="40" t="s">
        <v>104</v>
      </c>
      <c r="J164" s="50"/>
      <c r="K164" s="116">
        <f>IFERROR(VLOOKUP(B164,BD_CONTROL!$A$5:$M$4235,11,0),"")</f>
        <v>0</v>
      </c>
      <c r="L164" s="117">
        <f>IFERROR(VLOOKUP(B164,BD_CONTROL!$A$5:$M$4235,12,0),"")</f>
        <v>0</v>
      </c>
      <c r="M164" s="118">
        <f>IFERROR(VLOOKUP(B164,BD_CONTROL!$A$5:$M$4235,13,0),"")</f>
        <v>0</v>
      </c>
    </row>
    <row r="165" spans="1:13" ht="15" customHeight="1">
      <c r="A165" s="42">
        <v>160</v>
      </c>
      <c r="B165" s="42" t="s">
        <v>1039</v>
      </c>
      <c r="C165" s="43" t="s">
        <v>1040</v>
      </c>
      <c r="D165" s="42" t="s">
        <v>688</v>
      </c>
      <c r="E165" s="43" t="s">
        <v>770</v>
      </c>
      <c r="F165" s="43" t="s">
        <v>770</v>
      </c>
      <c r="G165" s="42" t="s">
        <v>109</v>
      </c>
      <c r="H165" s="43" t="s">
        <v>435</v>
      </c>
      <c r="I165" s="43" t="s">
        <v>104</v>
      </c>
      <c r="J165" s="55"/>
      <c r="K165" s="119">
        <f>IFERROR(VLOOKUP(B165,BD_CONTROL!$A$5:$M$4235,11,0),"")</f>
        <v>0</v>
      </c>
      <c r="L165" s="120">
        <f>IFERROR(VLOOKUP(B165,BD_CONTROL!$A$5:$M$4235,12,0),"")</f>
        <v>0</v>
      </c>
      <c r="M165" s="121">
        <f>IFERROR(VLOOKUP(B165,BD_CONTROL!$A$5:$M$4235,13,0),"")</f>
        <v>0</v>
      </c>
    </row>
    <row r="166" spans="1:13" ht="15" customHeight="1">
      <c r="A166" s="39">
        <v>161</v>
      </c>
      <c r="B166" s="39" t="s">
        <v>1041</v>
      </c>
      <c r="C166" s="40" t="s">
        <v>1042</v>
      </c>
      <c r="D166" s="39" t="s">
        <v>688</v>
      </c>
      <c r="E166" s="40" t="s">
        <v>864</v>
      </c>
      <c r="F166" s="40" t="s">
        <v>1043</v>
      </c>
      <c r="G166" s="39" t="s">
        <v>109</v>
      </c>
      <c r="H166" s="40" t="s">
        <v>435</v>
      </c>
      <c r="I166" s="40" t="s">
        <v>104</v>
      </c>
      <c r="J166" s="50"/>
      <c r="K166" s="116">
        <f>IFERROR(VLOOKUP(B166,BD_CONTROL!$A$5:$M$4235,11,0),"")</f>
        <v>0</v>
      </c>
      <c r="L166" s="117">
        <f>IFERROR(VLOOKUP(B166,BD_CONTROL!$A$5:$M$4235,12,0),"")</f>
        <v>0</v>
      </c>
      <c r="M166" s="118">
        <f>IFERROR(VLOOKUP(B166,BD_CONTROL!$A$5:$M$4235,13,0),"")</f>
        <v>0</v>
      </c>
    </row>
    <row r="167" spans="1:13" ht="15" customHeight="1">
      <c r="A167" s="42">
        <v>162</v>
      </c>
      <c r="B167" s="42" t="s">
        <v>1044</v>
      </c>
      <c r="C167" s="43" t="s">
        <v>1045</v>
      </c>
      <c r="D167" s="42" t="s">
        <v>688</v>
      </c>
      <c r="E167" s="43" t="s">
        <v>947</v>
      </c>
      <c r="F167" s="43" t="s">
        <v>1046</v>
      </c>
      <c r="G167" s="42" t="s">
        <v>109</v>
      </c>
      <c r="H167" s="43" t="s">
        <v>435</v>
      </c>
      <c r="I167" s="43" t="s">
        <v>104</v>
      </c>
      <c r="J167" s="55"/>
      <c r="K167" s="119">
        <f>IFERROR(VLOOKUP(B167,BD_CONTROL!$A$5:$M$4235,11,0),"")</f>
        <v>0</v>
      </c>
      <c r="L167" s="120">
        <f>IFERROR(VLOOKUP(B167,BD_CONTROL!$A$5:$M$4235,12,0),"")</f>
        <v>0</v>
      </c>
      <c r="M167" s="121">
        <f>IFERROR(VLOOKUP(B167,BD_CONTROL!$A$5:$M$4235,13,0),"")</f>
        <v>0</v>
      </c>
    </row>
    <row r="168" spans="1:13" ht="15" customHeight="1">
      <c r="A168" s="39">
        <v>163</v>
      </c>
      <c r="B168" s="39" t="s">
        <v>1047</v>
      </c>
      <c r="C168" s="40" t="s">
        <v>1048</v>
      </c>
      <c r="D168" s="39" t="s">
        <v>688</v>
      </c>
      <c r="E168" s="40" t="s">
        <v>688</v>
      </c>
      <c r="F168" s="40" t="s">
        <v>688</v>
      </c>
      <c r="G168" s="39" t="s">
        <v>102</v>
      </c>
      <c r="H168" s="40" t="s">
        <v>435</v>
      </c>
      <c r="I168" s="40" t="s">
        <v>104</v>
      </c>
      <c r="J168" s="50"/>
      <c r="K168" s="116">
        <f>IFERROR(VLOOKUP(B168,BD_CONTROL!$A$5:$M$4235,11,0),"")</f>
        <v>0</v>
      </c>
      <c r="L168" s="117">
        <f>IFERROR(VLOOKUP(B168,BD_CONTROL!$A$5:$M$4235,12,0),"")</f>
        <v>0</v>
      </c>
      <c r="M168" s="118">
        <f>IFERROR(VLOOKUP(B168,BD_CONTROL!$A$5:$M$4235,13,0),"")</f>
        <v>0</v>
      </c>
    </row>
    <row r="169" spans="1:13" ht="15" customHeight="1">
      <c r="A169" s="42">
        <v>164</v>
      </c>
      <c r="B169" s="42" t="s">
        <v>1049</v>
      </c>
      <c r="C169" s="43" t="s">
        <v>1050</v>
      </c>
      <c r="D169" s="42" t="s">
        <v>688</v>
      </c>
      <c r="E169" s="43" t="s">
        <v>1051</v>
      </c>
      <c r="F169" s="43" t="s">
        <v>1052</v>
      </c>
      <c r="G169" s="42" t="s">
        <v>109</v>
      </c>
      <c r="H169" s="43" t="s">
        <v>435</v>
      </c>
      <c r="I169" s="43" t="s">
        <v>104</v>
      </c>
      <c r="J169" s="55"/>
      <c r="K169" s="119">
        <f>IFERROR(VLOOKUP(B169,BD_CONTROL!$A$5:$M$4235,11,0),"")</f>
        <v>0</v>
      </c>
      <c r="L169" s="120">
        <f>IFERROR(VLOOKUP(B169,BD_CONTROL!$A$5:$M$4235,12,0),"")</f>
        <v>0</v>
      </c>
      <c r="M169" s="121">
        <f>IFERROR(VLOOKUP(B169,BD_CONTROL!$A$5:$M$4235,13,0),"")</f>
        <v>0</v>
      </c>
    </row>
    <row r="170" spans="1:13" ht="15" customHeight="1">
      <c r="A170" s="39">
        <v>165</v>
      </c>
      <c r="B170" s="39" t="s">
        <v>1053</v>
      </c>
      <c r="C170" s="40" t="s">
        <v>1054</v>
      </c>
      <c r="D170" s="39" t="s">
        <v>688</v>
      </c>
      <c r="E170" s="40" t="s">
        <v>770</v>
      </c>
      <c r="F170" s="40" t="s">
        <v>1055</v>
      </c>
      <c r="G170" s="39" t="s">
        <v>109</v>
      </c>
      <c r="H170" s="40" t="s">
        <v>435</v>
      </c>
      <c r="I170" s="40" t="s">
        <v>104</v>
      </c>
      <c r="J170" s="50"/>
      <c r="K170" s="116">
        <f>IFERROR(VLOOKUP(B170,BD_CONTROL!$A$5:$M$4235,11,0),"")</f>
        <v>0</v>
      </c>
      <c r="L170" s="117">
        <f>IFERROR(VLOOKUP(B170,BD_CONTROL!$A$5:$M$4235,12,0),"")</f>
        <v>0</v>
      </c>
      <c r="M170" s="118">
        <f>IFERROR(VLOOKUP(B170,BD_CONTROL!$A$5:$M$4235,13,0),"")</f>
        <v>0</v>
      </c>
    </row>
    <row r="171" spans="1:13" ht="15" customHeight="1">
      <c r="A171" s="42">
        <v>166</v>
      </c>
      <c r="B171" s="42" t="s">
        <v>1056</v>
      </c>
      <c r="C171" s="43" t="s">
        <v>1057</v>
      </c>
      <c r="D171" s="42" t="s">
        <v>688</v>
      </c>
      <c r="E171" s="43" t="s">
        <v>998</v>
      </c>
      <c r="F171" s="43" t="s">
        <v>1058</v>
      </c>
      <c r="G171" s="42" t="s">
        <v>109</v>
      </c>
      <c r="H171" s="43" t="s">
        <v>435</v>
      </c>
      <c r="I171" s="43" t="s">
        <v>104</v>
      </c>
      <c r="J171" s="55"/>
      <c r="K171" s="119">
        <f>IFERROR(VLOOKUP(B171,BD_CONTROL!$A$5:$M$4235,11,0),"")</f>
        <v>0</v>
      </c>
      <c r="L171" s="120">
        <f>IFERROR(VLOOKUP(B171,BD_CONTROL!$A$5:$M$4235,12,0),"")</f>
        <v>0</v>
      </c>
      <c r="M171" s="121">
        <f>IFERROR(VLOOKUP(B171,BD_CONTROL!$A$5:$M$4235,13,0),"")</f>
        <v>0</v>
      </c>
    </row>
    <row r="172" spans="1:13" ht="15" customHeight="1">
      <c r="A172" s="39">
        <v>167</v>
      </c>
      <c r="B172" s="39" t="s">
        <v>1059</v>
      </c>
      <c r="C172" s="40" t="s">
        <v>1060</v>
      </c>
      <c r="D172" s="39" t="s">
        <v>688</v>
      </c>
      <c r="E172" s="40" t="s">
        <v>1061</v>
      </c>
      <c r="F172" s="40" t="s">
        <v>1061</v>
      </c>
      <c r="G172" s="39" t="s">
        <v>109</v>
      </c>
      <c r="H172" s="40" t="s">
        <v>435</v>
      </c>
      <c r="I172" s="40" t="s">
        <v>104</v>
      </c>
      <c r="J172" s="50"/>
      <c r="K172" s="116">
        <f>IFERROR(VLOOKUP(B172,BD_CONTROL!$A$5:$M$4235,11,0),"")</f>
        <v>0</v>
      </c>
      <c r="L172" s="117">
        <f>IFERROR(VLOOKUP(B172,BD_CONTROL!$A$5:$M$4235,12,0),"")</f>
        <v>0</v>
      </c>
      <c r="M172" s="118">
        <f>IFERROR(VLOOKUP(B172,BD_CONTROL!$A$5:$M$4235,13,0),"")</f>
        <v>0</v>
      </c>
    </row>
    <row r="173" spans="1:13" ht="15" customHeight="1">
      <c r="A173" s="42">
        <v>168</v>
      </c>
      <c r="B173" s="42" t="s">
        <v>1062</v>
      </c>
      <c r="C173" s="43" t="s">
        <v>1063</v>
      </c>
      <c r="D173" s="42" t="s">
        <v>688</v>
      </c>
      <c r="E173" s="43" t="s">
        <v>688</v>
      </c>
      <c r="F173" s="43" t="s">
        <v>1064</v>
      </c>
      <c r="G173" s="42" t="s">
        <v>102</v>
      </c>
      <c r="H173" s="43" t="s">
        <v>435</v>
      </c>
      <c r="I173" s="43" t="s">
        <v>104</v>
      </c>
      <c r="J173" s="55"/>
      <c r="K173" s="119">
        <f>IFERROR(VLOOKUP(B173,BD_CONTROL!$A$5:$M$4235,11,0),"")</f>
        <v>0</v>
      </c>
      <c r="L173" s="120">
        <f>IFERROR(VLOOKUP(B173,BD_CONTROL!$A$5:$M$4235,12,0),"")</f>
        <v>0</v>
      </c>
      <c r="M173" s="121">
        <f>IFERROR(VLOOKUP(B173,BD_CONTROL!$A$5:$M$4235,13,0),"")</f>
        <v>0</v>
      </c>
    </row>
    <row r="174" spans="1:13" ht="15" customHeight="1">
      <c r="A174" s="39">
        <v>169</v>
      </c>
      <c r="B174" s="39" t="s">
        <v>1065</v>
      </c>
      <c r="C174" s="40" t="s">
        <v>1066</v>
      </c>
      <c r="D174" s="39" t="s">
        <v>688</v>
      </c>
      <c r="E174" s="40" t="s">
        <v>864</v>
      </c>
      <c r="F174" s="40" t="s">
        <v>1067</v>
      </c>
      <c r="G174" s="39" t="s">
        <v>109</v>
      </c>
      <c r="H174" s="40" t="s">
        <v>435</v>
      </c>
      <c r="I174" s="40" t="s">
        <v>104</v>
      </c>
      <c r="J174" s="50"/>
      <c r="K174" s="116">
        <f>IFERROR(VLOOKUP(B174,BD_CONTROL!$A$5:$M$4235,11,0),"")</f>
        <v>0</v>
      </c>
      <c r="L174" s="117">
        <f>IFERROR(VLOOKUP(B174,BD_CONTROL!$A$5:$M$4235,12,0),"")</f>
        <v>0</v>
      </c>
      <c r="M174" s="118">
        <f>IFERROR(VLOOKUP(B174,BD_CONTROL!$A$5:$M$4235,13,0),"")</f>
        <v>0</v>
      </c>
    </row>
    <row r="175" spans="1:13" ht="15" customHeight="1">
      <c r="A175" s="42">
        <v>170</v>
      </c>
      <c r="B175" s="42" t="s">
        <v>1068</v>
      </c>
      <c r="C175" s="43" t="s">
        <v>1069</v>
      </c>
      <c r="D175" s="42" t="s">
        <v>688</v>
      </c>
      <c r="E175" s="43" t="s">
        <v>1070</v>
      </c>
      <c r="F175" s="43" t="s">
        <v>1071</v>
      </c>
      <c r="G175" s="42" t="s">
        <v>109</v>
      </c>
      <c r="H175" s="43" t="s">
        <v>435</v>
      </c>
      <c r="I175" s="43" t="s">
        <v>104</v>
      </c>
      <c r="J175" s="55"/>
      <c r="K175" s="119">
        <f>IFERROR(VLOOKUP(B175,BD_CONTROL!$A$5:$M$4235,11,0),"")</f>
        <v>0</v>
      </c>
      <c r="L175" s="120">
        <f>IFERROR(VLOOKUP(B175,BD_CONTROL!$A$5:$M$4235,12,0),"")</f>
        <v>0</v>
      </c>
      <c r="M175" s="121">
        <f>IFERROR(VLOOKUP(B175,BD_CONTROL!$A$5:$M$4235,13,0),"")</f>
        <v>0</v>
      </c>
    </row>
    <row r="176" spans="1:13" ht="15" customHeight="1">
      <c r="A176" s="39">
        <v>171</v>
      </c>
      <c r="B176" s="39" t="s">
        <v>1072</v>
      </c>
      <c r="C176" s="40" t="s">
        <v>1073</v>
      </c>
      <c r="D176" s="39" t="s">
        <v>688</v>
      </c>
      <c r="E176" s="40" t="s">
        <v>1070</v>
      </c>
      <c r="F176" s="40" t="s">
        <v>1074</v>
      </c>
      <c r="G176" s="39" t="s">
        <v>109</v>
      </c>
      <c r="H176" s="40" t="s">
        <v>435</v>
      </c>
      <c r="I176" s="40" t="s">
        <v>104</v>
      </c>
      <c r="J176" s="50"/>
      <c r="K176" s="116">
        <f>IFERROR(VLOOKUP(B176,BD_CONTROL!$A$5:$M$4235,11,0),"")</f>
        <v>0</v>
      </c>
      <c r="L176" s="117">
        <f>IFERROR(VLOOKUP(B176,BD_CONTROL!$A$5:$M$4235,12,0),"")</f>
        <v>0</v>
      </c>
      <c r="M176" s="118">
        <f>IFERROR(VLOOKUP(B176,BD_CONTROL!$A$5:$M$4235,13,0),"")</f>
        <v>0</v>
      </c>
    </row>
    <row r="177" spans="1:13" ht="15" customHeight="1">
      <c r="A177" s="42">
        <v>172</v>
      </c>
      <c r="B177" s="42" t="s">
        <v>1075</v>
      </c>
      <c r="C177" s="43" t="s">
        <v>1076</v>
      </c>
      <c r="D177" s="42" t="s">
        <v>688</v>
      </c>
      <c r="E177" s="43" t="s">
        <v>688</v>
      </c>
      <c r="F177" s="43" t="s">
        <v>688</v>
      </c>
      <c r="G177" s="42" t="s">
        <v>102</v>
      </c>
      <c r="H177" s="43" t="s">
        <v>435</v>
      </c>
      <c r="I177" s="43" t="s">
        <v>104</v>
      </c>
      <c r="J177" s="55"/>
      <c r="K177" s="119">
        <f>IFERROR(VLOOKUP(B177,BD_CONTROL!$A$5:$M$4235,11,0),"")</f>
        <v>0</v>
      </c>
      <c r="L177" s="120">
        <f>IFERROR(VLOOKUP(B177,BD_CONTROL!$A$5:$M$4235,12,0),"")</f>
        <v>0</v>
      </c>
      <c r="M177" s="121">
        <f>IFERROR(VLOOKUP(B177,BD_CONTROL!$A$5:$M$4235,13,0),"")</f>
        <v>0</v>
      </c>
    </row>
    <row r="178" spans="1:13" ht="15" customHeight="1">
      <c r="A178" s="39">
        <v>173</v>
      </c>
      <c r="B178" s="39" t="s">
        <v>1077</v>
      </c>
      <c r="C178" s="40" t="s">
        <v>1078</v>
      </c>
      <c r="D178" s="39" t="s">
        <v>688</v>
      </c>
      <c r="E178" s="40" t="s">
        <v>1079</v>
      </c>
      <c r="F178" s="40" t="s">
        <v>1080</v>
      </c>
      <c r="G178" s="39" t="s">
        <v>109</v>
      </c>
      <c r="H178" s="40" t="s">
        <v>435</v>
      </c>
      <c r="I178" s="40" t="s">
        <v>104</v>
      </c>
      <c r="J178" s="50"/>
      <c r="K178" s="116">
        <f>IFERROR(VLOOKUP(B178,BD_CONTROL!$A$5:$M$4235,11,0),"")</f>
        <v>0</v>
      </c>
      <c r="L178" s="117">
        <f>IFERROR(VLOOKUP(B178,BD_CONTROL!$A$5:$M$4235,12,0),"")</f>
        <v>0</v>
      </c>
      <c r="M178" s="118">
        <f>IFERROR(VLOOKUP(B178,BD_CONTROL!$A$5:$M$4235,13,0),"")</f>
        <v>0</v>
      </c>
    </row>
    <row r="179" spans="1:13" ht="15" customHeight="1">
      <c r="A179" s="42">
        <v>174</v>
      </c>
      <c r="B179" s="42" t="s">
        <v>1081</v>
      </c>
      <c r="C179" s="43" t="s">
        <v>1082</v>
      </c>
      <c r="D179" s="42" t="s">
        <v>688</v>
      </c>
      <c r="E179" s="43" t="s">
        <v>688</v>
      </c>
      <c r="F179" s="43" t="s">
        <v>1083</v>
      </c>
      <c r="G179" s="42" t="s">
        <v>109</v>
      </c>
      <c r="H179" s="43" t="s">
        <v>435</v>
      </c>
      <c r="I179" s="43" t="s">
        <v>104</v>
      </c>
      <c r="J179" s="55"/>
      <c r="K179" s="119">
        <f>IFERROR(VLOOKUP(B179,BD_CONTROL!$A$5:$M$4235,11,0),"")</f>
        <v>0</v>
      </c>
      <c r="L179" s="120">
        <f>IFERROR(VLOOKUP(B179,BD_CONTROL!$A$5:$M$4235,12,0),"")</f>
        <v>0</v>
      </c>
      <c r="M179" s="121">
        <f>IFERROR(VLOOKUP(B179,BD_CONTROL!$A$5:$M$4235,13,0),"")</f>
        <v>0</v>
      </c>
    </row>
    <row r="180" spans="1:13" ht="15" customHeight="1">
      <c r="A180" s="39">
        <v>175</v>
      </c>
      <c r="B180" s="39" t="s">
        <v>1084</v>
      </c>
      <c r="C180" s="40" t="s">
        <v>1085</v>
      </c>
      <c r="D180" s="39" t="s">
        <v>688</v>
      </c>
      <c r="E180" s="40" t="s">
        <v>725</v>
      </c>
      <c r="F180" s="40" t="s">
        <v>1086</v>
      </c>
      <c r="G180" s="39" t="s">
        <v>109</v>
      </c>
      <c r="H180" s="40" t="s">
        <v>435</v>
      </c>
      <c r="I180" s="40" t="s">
        <v>104</v>
      </c>
      <c r="J180" s="50"/>
      <c r="K180" s="116">
        <f>IFERROR(VLOOKUP(B180,BD_CONTROL!$A$5:$M$4235,11,0),"")</f>
        <v>0</v>
      </c>
      <c r="L180" s="117">
        <f>IFERROR(VLOOKUP(B180,BD_CONTROL!$A$5:$M$4235,12,0),"")</f>
        <v>0</v>
      </c>
      <c r="M180" s="118">
        <f>IFERROR(VLOOKUP(B180,BD_CONTROL!$A$5:$M$4235,13,0),"")</f>
        <v>0</v>
      </c>
    </row>
    <row r="181" spans="1:13" ht="15" customHeight="1">
      <c r="A181" s="42">
        <v>176</v>
      </c>
      <c r="B181" s="42" t="s">
        <v>1087</v>
      </c>
      <c r="C181" s="43" t="s">
        <v>1088</v>
      </c>
      <c r="D181" s="42" t="s">
        <v>688</v>
      </c>
      <c r="E181" s="43" t="s">
        <v>711</v>
      </c>
      <c r="F181" s="43" t="s">
        <v>1089</v>
      </c>
      <c r="G181" s="42" t="s">
        <v>109</v>
      </c>
      <c r="H181" s="43" t="s">
        <v>435</v>
      </c>
      <c r="I181" s="43" t="s">
        <v>104</v>
      </c>
      <c r="J181" s="55"/>
      <c r="K181" s="119">
        <f>IFERROR(VLOOKUP(B181,BD_CONTROL!$A$5:$M$4235,11,0),"")</f>
        <v>0</v>
      </c>
      <c r="L181" s="120">
        <f>IFERROR(VLOOKUP(B181,BD_CONTROL!$A$5:$M$4235,12,0),"")</f>
        <v>0</v>
      </c>
      <c r="M181" s="121">
        <f>IFERROR(VLOOKUP(B181,BD_CONTROL!$A$5:$M$4235,13,0),"")</f>
        <v>0</v>
      </c>
    </row>
    <row r="182" spans="1:13" ht="15" customHeight="1">
      <c r="A182" s="39">
        <v>177</v>
      </c>
      <c r="B182" s="39" t="s">
        <v>1090</v>
      </c>
      <c r="C182" s="40" t="s">
        <v>1091</v>
      </c>
      <c r="D182" s="39" t="s">
        <v>688</v>
      </c>
      <c r="E182" s="40" t="s">
        <v>1092</v>
      </c>
      <c r="F182" s="40" t="s">
        <v>1093</v>
      </c>
      <c r="G182" s="39" t="s">
        <v>109</v>
      </c>
      <c r="H182" s="40" t="s">
        <v>435</v>
      </c>
      <c r="I182" s="40" t="s">
        <v>104</v>
      </c>
      <c r="J182" s="50"/>
      <c r="K182" s="116">
        <f>IFERROR(VLOOKUP(B182,BD_CONTROL!$A$5:$M$4235,11,0),"")</f>
        <v>0</v>
      </c>
      <c r="L182" s="117">
        <f>IFERROR(VLOOKUP(B182,BD_CONTROL!$A$5:$M$4235,12,0),"")</f>
        <v>0</v>
      </c>
      <c r="M182" s="118">
        <f>IFERROR(VLOOKUP(B182,BD_CONTROL!$A$5:$M$4235,13,0),"")</f>
        <v>0</v>
      </c>
    </row>
    <row r="183" spans="1:13" ht="15" customHeight="1">
      <c r="A183" s="42">
        <v>178</v>
      </c>
      <c r="B183" s="42" t="s">
        <v>1094</v>
      </c>
      <c r="C183" s="43" t="s">
        <v>1095</v>
      </c>
      <c r="D183" s="42" t="s">
        <v>688</v>
      </c>
      <c r="E183" s="43" t="s">
        <v>510</v>
      </c>
      <c r="F183" s="43" t="s">
        <v>1096</v>
      </c>
      <c r="G183" s="42" t="s">
        <v>109</v>
      </c>
      <c r="H183" s="43" t="s">
        <v>435</v>
      </c>
      <c r="I183" s="43" t="s">
        <v>104</v>
      </c>
      <c r="J183" s="55"/>
      <c r="K183" s="119">
        <f>IFERROR(VLOOKUP(B183,BD_CONTROL!$A$5:$M$4235,11,0),"")</f>
        <v>0</v>
      </c>
      <c r="L183" s="120">
        <f>IFERROR(VLOOKUP(B183,BD_CONTROL!$A$5:$M$4235,12,0),"")</f>
        <v>0</v>
      </c>
      <c r="M183" s="121">
        <f>IFERROR(VLOOKUP(B183,BD_CONTROL!$A$5:$M$4235,13,0),"")</f>
        <v>0</v>
      </c>
    </row>
    <row r="184" spans="1:13" ht="15" customHeight="1">
      <c r="A184" s="39">
        <v>179</v>
      </c>
      <c r="B184" s="39" t="s">
        <v>1097</v>
      </c>
      <c r="C184" s="40" t="s">
        <v>1098</v>
      </c>
      <c r="D184" s="39" t="s">
        <v>688</v>
      </c>
      <c r="E184" s="40" t="s">
        <v>688</v>
      </c>
      <c r="F184" s="40" t="s">
        <v>688</v>
      </c>
      <c r="G184" s="39" t="s">
        <v>102</v>
      </c>
      <c r="H184" s="40" t="s">
        <v>435</v>
      </c>
      <c r="I184" s="40" t="s">
        <v>104</v>
      </c>
      <c r="J184" s="50"/>
      <c r="K184" s="116">
        <f>IFERROR(VLOOKUP(B184,BD_CONTROL!$A$5:$M$4235,11,0),"")</f>
        <v>0</v>
      </c>
      <c r="L184" s="117">
        <f>IFERROR(VLOOKUP(B184,BD_CONTROL!$A$5:$M$4235,12,0),"")</f>
        <v>0</v>
      </c>
      <c r="M184" s="118">
        <f>IFERROR(VLOOKUP(B184,BD_CONTROL!$A$5:$M$4235,13,0),"")</f>
        <v>0</v>
      </c>
    </row>
    <row r="185" spans="1:13" ht="15" customHeight="1">
      <c r="A185" s="42">
        <v>180</v>
      </c>
      <c r="B185" s="42" t="s">
        <v>1099</v>
      </c>
      <c r="C185" s="43" t="s">
        <v>1100</v>
      </c>
      <c r="D185" s="42" t="s">
        <v>688</v>
      </c>
      <c r="E185" s="43" t="s">
        <v>706</v>
      </c>
      <c r="F185" s="43" t="s">
        <v>706</v>
      </c>
      <c r="G185" s="42" t="s">
        <v>102</v>
      </c>
      <c r="H185" s="43" t="s">
        <v>435</v>
      </c>
      <c r="I185" s="43" t="s">
        <v>104</v>
      </c>
      <c r="J185" s="55"/>
      <c r="K185" s="119">
        <f>IFERROR(VLOOKUP(B185,BD_CONTROL!$A$5:$M$4235,11,0),"")</f>
        <v>0</v>
      </c>
      <c r="L185" s="120">
        <f>IFERROR(VLOOKUP(B185,BD_CONTROL!$A$5:$M$4235,12,0),"")</f>
        <v>0</v>
      </c>
      <c r="M185" s="121">
        <f>IFERROR(VLOOKUP(B185,BD_CONTROL!$A$5:$M$4235,13,0),"")</f>
        <v>0</v>
      </c>
    </row>
    <row r="186" spans="1:13" ht="15" customHeight="1">
      <c r="A186" s="39">
        <v>181</v>
      </c>
      <c r="B186" s="39" t="s">
        <v>1101</v>
      </c>
      <c r="C186" s="40" t="s">
        <v>1102</v>
      </c>
      <c r="D186" s="39" t="s">
        <v>688</v>
      </c>
      <c r="E186" s="40" t="s">
        <v>721</v>
      </c>
      <c r="F186" s="40" t="s">
        <v>721</v>
      </c>
      <c r="G186" s="39" t="s">
        <v>109</v>
      </c>
      <c r="H186" s="40" t="s">
        <v>435</v>
      </c>
      <c r="I186" s="40" t="s">
        <v>104</v>
      </c>
      <c r="J186" s="50"/>
      <c r="K186" s="116">
        <f>IFERROR(VLOOKUP(B186,BD_CONTROL!$A$5:$M$4235,11,0),"")</f>
        <v>0</v>
      </c>
      <c r="L186" s="117">
        <f>IFERROR(VLOOKUP(B186,BD_CONTROL!$A$5:$M$4235,12,0),"")</f>
        <v>0</v>
      </c>
      <c r="M186" s="118">
        <f>IFERROR(VLOOKUP(B186,BD_CONTROL!$A$5:$M$4235,13,0),"")</f>
        <v>0</v>
      </c>
    </row>
    <row r="187" spans="1:13" ht="15" customHeight="1">
      <c r="A187" s="42">
        <v>182</v>
      </c>
      <c r="B187" s="42" t="s">
        <v>1103</v>
      </c>
      <c r="C187" s="43" t="s">
        <v>1104</v>
      </c>
      <c r="D187" s="42" t="s">
        <v>688</v>
      </c>
      <c r="E187" s="43" t="s">
        <v>725</v>
      </c>
      <c r="F187" s="43" t="s">
        <v>725</v>
      </c>
      <c r="G187" s="42" t="s">
        <v>102</v>
      </c>
      <c r="H187" s="43" t="s">
        <v>435</v>
      </c>
      <c r="I187" s="43" t="s">
        <v>104</v>
      </c>
      <c r="J187" s="55"/>
      <c r="K187" s="119">
        <f>IFERROR(VLOOKUP(B187,BD_CONTROL!$A$5:$M$4235,11,0),"")</f>
        <v>0</v>
      </c>
      <c r="L187" s="120">
        <f>IFERROR(VLOOKUP(B187,BD_CONTROL!$A$5:$M$4235,12,0),"")</f>
        <v>0</v>
      </c>
      <c r="M187" s="121">
        <f>IFERROR(VLOOKUP(B187,BD_CONTROL!$A$5:$M$4235,13,0),"")</f>
        <v>0</v>
      </c>
    </row>
    <row r="188" spans="1:13" ht="15" customHeight="1">
      <c r="A188" s="39">
        <v>183</v>
      </c>
      <c r="B188" s="39" t="s">
        <v>1198</v>
      </c>
      <c r="C188" s="40" t="s">
        <v>1199</v>
      </c>
      <c r="D188" s="39" t="s">
        <v>1200</v>
      </c>
      <c r="E188" s="40" t="s">
        <v>1200</v>
      </c>
      <c r="F188" s="40" t="s">
        <v>1201</v>
      </c>
      <c r="G188" s="39" t="s">
        <v>109</v>
      </c>
      <c r="H188" s="40" t="s">
        <v>435</v>
      </c>
      <c r="I188" s="40" t="s">
        <v>104</v>
      </c>
      <c r="J188" s="50"/>
      <c r="K188" s="116">
        <f>IFERROR(VLOOKUP(B188,BD_CONTROL!$A$5:$M$4235,11,0),"")</f>
        <v>0</v>
      </c>
      <c r="L188" s="117">
        <f>IFERROR(VLOOKUP(B188,BD_CONTROL!$A$5:$M$4235,12,0),"")</f>
        <v>0</v>
      </c>
      <c r="M188" s="118">
        <f>IFERROR(VLOOKUP(B188,BD_CONTROL!$A$5:$M$4235,13,0),"")</f>
        <v>0</v>
      </c>
    </row>
    <row r="189" spans="1:13" ht="15" customHeight="1">
      <c r="A189" s="42">
        <v>184</v>
      </c>
      <c r="B189" s="42" t="s">
        <v>1202</v>
      </c>
      <c r="C189" s="43" t="s">
        <v>1203</v>
      </c>
      <c r="D189" s="42" t="s">
        <v>1200</v>
      </c>
      <c r="E189" s="43" t="s">
        <v>1200</v>
      </c>
      <c r="F189" s="43" t="s">
        <v>1204</v>
      </c>
      <c r="G189" s="42" t="s">
        <v>109</v>
      </c>
      <c r="H189" s="43" t="s">
        <v>435</v>
      </c>
      <c r="I189" s="43" t="s">
        <v>104</v>
      </c>
      <c r="J189" s="55"/>
      <c r="K189" s="119">
        <f>IFERROR(VLOOKUP(B189,BD_CONTROL!$A$5:$M$4235,11,0),"")</f>
        <v>0</v>
      </c>
      <c r="L189" s="120">
        <f>IFERROR(VLOOKUP(B189,BD_CONTROL!$A$5:$M$4235,12,0),"")</f>
        <v>0</v>
      </c>
      <c r="M189" s="121">
        <f>IFERROR(VLOOKUP(B189,BD_CONTROL!$A$5:$M$4235,13,0),"")</f>
        <v>0</v>
      </c>
    </row>
    <row r="190" spans="1:13" ht="15" customHeight="1">
      <c r="A190" s="39">
        <v>185</v>
      </c>
      <c r="B190" s="39" t="s">
        <v>1205</v>
      </c>
      <c r="C190" s="40" t="s">
        <v>1206</v>
      </c>
      <c r="D190" s="39" t="s">
        <v>1200</v>
      </c>
      <c r="E190" s="40" t="s">
        <v>1200</v>
      </c>
      <c r="F190" s="40" t="s">
        <v>1207</v>
      </c>
      <c r="G190" s="39" t="s">
        <v>109</v>
      </c>
      <c r="H190" s="40" t="s">
        <v>435</v>
      </c>
      <c r="I190" s="40" t="s">
        <v>104</v>
      </c>
      <c r="J190" s="50"/>
      <c r="K190" s="116">
        <f>IFERROR(VLOOKUP(B190,BD_CONTROL!$A$5:$M$4235,11,0),"")</f>
        <v>0</v>
      </c>
      <c r="L190" s="117">
        <f>IFERROR(VLOOKUP(B190,BD_CONTROL!$A$5:$M$4235,12,0),"")</f>
        <v>0</v>
      </c>
      <c r="M190" s="118">
        <f>IFERROR(VLOOKUP(B190,BD_CONTROL!$A$5:$M$4235,13,0),"")</f>
        <v>0</v>
      </c>
    </row>
    <row r="191" spans="1:13" ht="15" customHeight="1">
      <c r="A191" s="42">
        <v>186</v>
      </c>
      <c r="B191" s="42" t="s">
        <v>1208</v>
      </c>
      <c r="C191" s="43" t="s">
        <v>1209</v>
      </c>
      <c r="D191" s="42" t="s">
        <v>1200</v>
      </c>
      <c r="E191" s="43" t="s">
        <v>1200</v>
      </c>
      <c r="F191" s="43" t="s">
        <v>880</v>
      </c>
      <c r="G191" s="42" t="s">
        <v>109</v>
      </c>
      <c r="H191" s="43" t="s">
        <v>435</v>
      </c>
      <c r="I191" s="43" t="s">
        <v>104</v>
      </c>
      <c r="J191" s="55"/>
      <c r="K191" s="119">
        <f>IFERROR(VLOOKUP(B191,BD_CONTROL!$A$5:$M$4235,11,0),"")</f>
        <v>0</v>
      </c>
      <c r="L191" s="120">
        <f>IFERROR(VLOOKUP(B191,BD_CONTROL!$A$5:$M$4235,12,0),"")</f>
        <v>0</v>
      </c>
      <c r="M191" s="121">
        <f>IFERROR(VLOOKUP(B191,BD_CONTROL!$A$5:$M$4235,13,0),"")</f>
        <v>0</v>
      </c>
    </row>
    <row r="192" spans="1:13" ht="15" customHeight="1">
      <c r="A192" s="39">
        <v>187</v>
      </c>
      <c r="B192" s="39" t="s">
        <v>1210</v>
      </c>
      <c r="C192" s="40" t="s">
        <v>1211</v>
      </c>
      <c r="D192" s="39" t="s">
        <v>1200</v>
      </c>
      <c r="E192" s="40" t="s">
        <v>1200</v>
      </c>
      <c r="F192" s="40" t="s">
        <v>1212</v>
      </c>
      <c r="G192" s="39" t="s">
        <v>109</v>
      </c>
      <c r="H192" s="40" t="s">
        <v>435</v>
      </c>
      <c r="I192" s="40" t="s">
        <v>104</v>
      </c>
      <c r="J192" s="50"/>
      <c r="K192" s="116">
        <f>IFERROR(VLOOKUP(B192,BD_CONTROL!$A$5:$M$4235,11,0),"")</f>
        <v>0</v>
      </c>
      <c r="L192" s="117">
        <f>IFERROR(VLOOKUP(B192,BD_CONTROL!$A$5:$M$4235,12,0),"")</f>
        <v>0</v>
      </c>
      <c r="M192" s="118">
        <f>IFERROR(VLOOKUP(B192,BD_CONTROL!$A$5:$M$4235,13,0),"")</f>
        <v>0</v>
      </c>
    </row>
    <row r="193" spans="1:13" ht="15" customHeight="1">
      <c r="A193" s="42">
        <v>188</v>
      </c>
      <c r="B193" s="42" t="s">
        <v>1213</v>
      </c>
      <c r="C193" s="43" t="s">
        <v>1214</v>
      </c>
      <c r="D193" s="42" t="s">
        <v>1200</v>
      </c>
      <c r="E193" s="43" t="s">
        <v>1215</v>
      </c>
      <c r="F193" s="43" t="s">
        <v>1216</v>
      </c>
      <c r="G193" s="42" t="s">
        <v>109</v>
      </c>
      <c r="H193" s="43" t="s">
        <v>435</v>
      </c>
      <c r="I193" s="43" t="s">
        <v>104</v>
      </c>
      <c r="J193" s="55"/>
      <c r="K193" s="119">
        <f>IFERROR(VLOOKUP(B193,BD_CONTROL!$A$5:$M$4235,11,0),"")</f>
        <v>0</v>
      </c>
      <c r="L193" s="120">
        <f>IFERROR(VLOOKUP(B193,BD_CONTROL!$A$5:$M$4235,12,0),"")</f>
        <v>0</v>
      </c>
      <c r="M193" s="121">
        <f>IFERROR(VLOOKUP(B193,BD_CONTROL!$A$5:$M$4235,13,0),"")</f>
        <v>0</v>
      </c>
    </row>
    <row r="194" spans="1:13" ht="15" customHeight="1">
      <c r="A194" s="39">
        <v>189</v>
      </c>
      <c r="B194" s="39" t="s">
        <v>1217</v>
      </c>
      <c r="C194" s="40" t="s">
        <v>1218</v>
      </c>
      <c r="D194" s="39" t="s">
        <v>1200</v>
      </c>
      <c r="E194" s="40" t="s">
        <v>1215</v>
      </c>
      <c r="F194" s="40" t="s">
        <v>1219</v>
      </c>
      <c r="G194" s="39" t="s">
        <v>109</v>
      </c>
      <c r="H194" s="40" t="s">
        <v>435</v>
      </c>
      <c r="I194" s="40" t="s">
        <v>104</v>
      </c>
      <c r="J194" s="50"/>
      <c r="K194" s="116">
        <f>IFERROR(VLOOKUP(B194,BD_CONTROL!$A$5:$M$4235,11,0),"")</f>
        <v>0</v>
      </c>
      <c r="L194" s="117">
        <f>IFERROR(VLOOKUP(B194,BD_CONTROL!$A$5:$M$4235,12,0),"")</f>
        <v>0</v>
      </c>
      <c r="M194" s="118">
        <f>IFERROR(VLOOKUP(B194,BD_CONTROL!$A$5:$M$4235,13,0),"")</f>
        <v>0</v>
      </c>
    </row>
    <row r="195" spans="1:13" ht="15" customHeight="1">
      <c r="A195" s="42">
        <v>190</v>
      </c>
      <c r="B195" s="42" t="s">
        <v>1220</v>
      </c>
      <c r="C195" s="43" t="s">
        <v>1221</v>
      </c>
      <c r="D195" s="42" t="s">
        <v>1200</v>
      </c>
      <c r="E195" s="43" t="s">
        <v>254</v>
      </c>
      <c r="F195" s="43" t="s">
        <v>1222</v>
      </c>
      <c r="G195" s="42" t="s">
        <v>109</v>
      </c>
      <c r="H195" s="43" t="s">
        <v>435</v>
      </c>
      <c r="I195" s="43" t="s">
        <v>104</v>
      </c>
      <c r="J195" s="55"/>
      <c r="K195" s="119">
        <f>IFERROR(VLOOKUP(B195,BD_CONTROL!$A$5:$M$4235,11,0),"")</f>
        <v>0</v>
      </c>
      <c r="L195" s="120">
        <f>IFERROR(VLOOKUP(B195,BD_CONTROL!$A$5:$M$4235,12,0),"")</f>
        <v>0</v>
      </c>
      <c r="M195" s="121">
        <f>IFERROR(VLOOKUP(B195,BD_CONTROL!$A$5:$M$4235,13,0),"")</f>
        <v>0</v>
      </c>
    </row>
    <row r="196" spans="1:13" ht="15" customHeight="1">
      <c r="A196" s="39">
        <v>191</v>
      </c>
      <c r="B196" s="39" t="s">
        <v>1223</v>
      </c>
      <c r="C196" s="40" t="s">
        <v>1224</v>
      </c>
      <c r="D196" s="39" t="s">
        <v>1200</v>
      </c>
      <c r="E196" s="40" t="s">
        <v>254</v>
      </c>
      <c r="F196" s="40" t="s">
        <v>1225</v>
      </c>
      <c r="G196" s="39" t="s">
        <v>109</v>
      </c>
      <c r="H196" s="40" t="s">
        <v>435</v>
      </c>
      <c r="I196" s="40" t="s">
        <v>104</v>
      </c>
      <c r="J196" s="50"/>
      <c r="K196" s="116">
        <f>IFERROR(VLOOKUP(B196,BD_CONTROL!$A$5:$M$4235,11,0),"")</f>
        <v>0</v>
      </c>
      <c r="L196" s="117">
        <f>IFERROR(VLOOKUP(B196,BD_CONTROL!$A$5:$M$4235,12,0),"")</f>
        <v>0</v>
      </c>
      <c r="M196" s="118">
        <f>IFERROR(VLOOKUP(B196,BD_CONTROL!$A$5:$M$4235,13,0),"")</f>
        <v>0</v>
      </c>
    </row>
    <row r="197" spans="1:13" ht="15" customHeight="1">
      <c r="A197" s="42">
        <v>192</v>
      </c>
      <c r="B197" s="42" t="s">
        <v>1226</v>
      </c>
      <c r="C197" s="43" t="s">
        <v>1227</v>
      </c>
      <c r="D197" s="42" t="s">
        <v>1200</v>
      </c>
      <c r="E197" s="43" t="s">
        <v>1228</v>
      </c>
      <c r="F197" s="43" t="s">
        <v>1229</v>
      </c>
      <c r="G197" s="42" t="s">
        <v>109</v>
      </c>
      <c r="H197" s="43" t="s">
        <v>435</v>
      </c>
      <c r="I197" s="43" t="s">
        <v>104</v>
      </c>
      <c r="J197" s="55"/>
      <c r="K197" s="119">
        <f>IFERROR(VLOOKUP(B197,BD_CONTROL!$A$5:$M$4235,11,0),"")</f>
        <v>0</v>
      </c>
      <c r="L197" s="120">
        <f>IFERROR(VLOOKUP(B197,BD_CONTROL!$A$5:$M$4235,12,0),"")</f>
        <v>0</v>
      </c>
      <c r="M197" s="121">
        <f>IFERROR(VLOOKUP(B197,BD_CONTROL!$A$5:$M$4235,13,0),"")</f>
        <v>0</v>
      </c>
    </row>
    <row r="198" spans="1:13" ht="15" customHeight="1">
      <c r="A198" s="39">
        <v>193</v>
      </c>
      <c r="B198" s="39" t="s">
        <v>1230</v>
      </c>
      <c r="C198" s="40" t="s">
        <v>1231</v>
      </c>
      <c r="D198" s="39" t="s">
        <v>1200</v>
      </c>
      <c r="E198" s="40" t="s">
        <v>1232</v>
      </c>
      <c r="F198" s="40" t="s">
        <v>1233</v>
      </c>
      <c r="G198" s="39" t="s">
        <v>109</v>
      </c>
      <c r="H198" s="40" t="s">
        <v>435</v>
      </c>
      <c r="I198" s="40" t="s">
        <v>104</v>
      </c>
      <c r="J198" s="50"/>
      <c r="K198" s="116">
        <f>IFERROR(VLOOKUP(B198,BD_CONTROL!$A$5:$M$4235,11,0),"")</f>
        <v>0</v>
      </c>
      <c r="L198" s="117">
        <f>IFERROR(VLOOKUP(B198,BD_CONTROL!$A$5:$M$4235,12,0),"")</f>
        <v>0</v>
      </c>
      <c r="M198" s="118">
        <f>IFERROR(VLOOKUP(B198,BD_CONTROL!$A$5:$M$4235,13,0),"")</f>
        <v>0</v>
      </c>
    </row>
    <row r="199" spans="1:13" ht="15" customHeight="1">
      <c r="A199" s="42">
        <v>194</v>
      </c>
      <c r="B199" s="42" t="s">
        <v>1234</v>
      </c>
      <c r="C199" s="43" t="s">
        <v>1235</v>
      </c>
      <c r="D199" s="42" t="s">
        <v>1200</v>
      </c>
      <c r="E199" s="43" t="s">
        <v>1232</v>
      </c>
      <c r="F199" s="43" t="s">
        <v>1232</v>
      </c>
      <c r="G199" s="42" t="s">
        <v>109</v>
      </c>
      <c r="H199" s="43" t="s">
        <v>435</v>
      </c>
      <c r="I199" s="43" t="s">
        <v>104</v>
      </c>
      <c r="J199" s="55"/>
      <c r="K199" s="119">
        <f>IFERROR(VLOOKUP(B199,BD_CONTROL!$A$5:$M$4235,11,0),"")</f>
        <v>0</v>
      </c>
      <c r="L199" s="120">
        <f>IFERROR(VLOOKUP(B199,BD_CONTROL!$A$5:$M$4235,12,0),"")</f>
        <v>0</v>
      </c>
      <c r="M199" s="121">
        <f>IFERROR(VLOOKUP(B199,BD_CONTROL!$A$5:$M$4235,13,0),"")</f>
        <v>0</v>
      </c>
    </row>
    <row r="200" spans="1:13" ht="15" customHeight="1">
      <c r="A200" s="39">
        <v>195</v>
      </c>
      <c r="B200" s="39" t="s">
        <v>1236</v>
      </c>
      <c r="C200" s="40" t="s">
        <v>1237</v>
      </c>
      <c r="D200" s="39" t="s">
        <v>1200</v>
      </c>
      <c r="E200" s="40" t="s">
        <v>1232</v>
      </c>
      <c r="F200" s="40" t="s">
        <v>1238</v>
      </c>
      <c r="G200" s="39" t="s">
        <v>109</v>
      </c>
      <c r="H200" s="40" t="s">
        <v>435</v>
      </c>
      <c r="I200" s="40" t="s">
        <v>104</v>
      </c>
      <c r="J200" s="50"/>
      <c r="K200" s="116">
        <f>IFERROR(VLOOKUP(B200,BD_CONTROL!$A$5:$M$4235,11,0),"")</f>
        <v>0</v>
      </c>
      <c r="L200" s="117">
        <f>IFERROR(VLOOKUP(B200,BD_CONTROL!$A$5:$M$4235,12,0),"")</f>
        <v>0</v>
      </c>
      <c r="M200" s="118">
        <f>IFERROR(VLOOKUP(B200,BD_CONTROL!$A$5:$M$4235,13,0),"")</f>
        <v>0</v>
      </c>
    </row>
    <row r="201" spans="1:13" ht="15" customHeight="1">
      <c r="A201" s="42">
        <v>196</v>
      </c>
      <c r="B201" s="42" t="s">
        <v>1239</v>
      </c>
      <c r="C201" s="43" t="s">
        <v>1240</v>
      </c>
      <c r="D201" s="42" t="s">
        <v>1200</v>
      </c>
      <c r="E201" s="43" t="s">
        <v>1241</v>
      </c>
      <c r="F201" s="43" t="s">
        <v>1242</v>
      </c>
      <c r="G201" s="42" t="s">
        <v>109</v>
      </c>
      <c r="H201" s="43" t="s">
        <v>435</v>
      </c>
      <c r="I201" s="43" t="s">
        <v>104</v>
      </c>
      <c r="J201" s="55"/>
      <c r="K201" s="119">
        <f>IFERROR(VLOOKUP(B201,BD_CONTROL!$A$5:$M$4235,11,0),"")</f>
        <v>0</v>
      </c>
      <c r="L201" s="120">
        <f>IFERROR(VLOOKUP(B201,BD_CONTROL!$A$5:$M$4235,12,0),"")</f>
        <v>0</v>
      </c>
      <c r="M201" s="121">
        <f>IFERROR(VLOOKUP(B201,BD_CONTROL!$A$5:$M$4235,13,0),"")</f>
        <v>0</v>
      </c>
    </row>
    <row r="202" spans="1:13" ht="15" customHeight="1">
      <c r="A202" s="39">
        <v>197</v>
      </c>
      <c r="B202" s="39" t="s">
        <v>1243</v>
      </c>
      <c r="C202" s="40" t="s">
        <v>1244</v>
      </c>
      <c r="D202" s="39" t="s">
        <v>1200</v>
      </c>
      <c r="E202" s="40" t="s">
        <v>1200</v>
      </c>
      <c r="F202" s="40" t="s">
        <v>1244</v>
      </c>
      <c r="G202" s="39" t="s">
        <v>109</v>
      </c>
      <c r="H202" s="40" t="s">
        <v>435</v>
      </c>
      <c r="I202" s="40" t="s">
        <v>104</v>
      </c>
      <c r="J202" s="50"/>
      <c r="K202" s="116">
        <f>IFERROR(VLOOKUP(B202,BD_CONTROL!$A$5:$M$4235,11,0),"")</f>
        <v>0</v>
      </c>
      <c r="L202" s="117">
        <f>IFERROR(VLOOKUP(B202,BD_CONTROL!$A$5:$M$4235,12,0),"")</f>
        <v>0</v>
      </c>
      <c r="M202" s="118">
        <f>IFERROR(VLOOKUP(B202,BD_CONTROL!$A$5:$M$4235,13,0),"")</f>
        <v>0</v>
      </c>
    </row>
    <row r="203" spans="1:13" ht="15" customHeight="1">
      <c r="A203" s="42">
        <v>198</v>
      </c>
      <c r="B203" s="42" t="s">
        <v>1245</v>
      </c>
      <c r="C203" s="43" t="s">
        <v>1246</v>
      </c>
      <c r="D203" s="42" t="s">
        <v>1200</v>
      </c>
      <c r="E203" s="43" t="s">
        <v>1247</v>
      </c>
      <c r="F203" s="43" t="s">
        <v>1248</v>
      </c>
      <c r="G203" s="42" t="s">
        <v>109</v>
      </c>
      <c r="H203" s="43" t="s">
        <v>435</v>
      </c>
      <c r="I203" s="43" t="s">
        <v>104</v>
      </c>
      <c r="J203" s="55"/>
      <c r="K203" s="119">
        <f>IFERROR(VLOOKUP(B203,BD_CONTROL!$A$5:$M$4235,11,0),"")</f>
        <v>0</v>
      </c>
      <c r="L203" s="120">
        <f>IFERROR(VLOOKUP(B203,BD_CONTROL!$A$5:$M$4235,12,0),"")</f>
        <v>0</v>
      </c>
      <c r="M203" s="121">
        <f>IFERROR(VLOOKUP(B203,BD_CONTROL!$A$5:$M$4235,13,0),"")</f>
        <v>0</v>
      </c>
    </row>
    <row r="204" spans="1:13" ht="15" customHeight="1">
      <c r="A204" s="39">
        <v>199</v>
      </c>
      <c r="B204" s="39" t="s">
        <v>1249</v>
      </c>
      <c r="C204" s="40" t="s">
        <v>1250</v>
      </c>
      <c r="D204" s="39" t="s">
        <v>1200</v>
      </c>
      <c r="E204" s="40" t="s">
        <v>1251</v>
      </c>
      <c r="F204" s="40" t="s">
        <v>1252</v>
      </c>
      <c r="G204" s="39" t="s">
        <v>109</v>
      </c>
      <c r="H204" s="40" t="s">
        <v>435</v>
      </c>
      <c r="I204" s="40" t="s">
        <v>104</v>
      </c>
      <c r="J204" s="50"/>
      <c r="K204" s="116">
        <f>IFERROR(VLOOKUP(B204,BD_CONTROL!$A$5:$M$4235,11,0),"")</f>
        <v>0</v>
      </c>
      <c r="L204" s="117">
        <f>IFERROR(VLOOKUP(B204,BD_CONTROL!$A$5:$M$4235,12,0),"")</f>
        <v>0</v>
      </c>
      <c r="M204" s="118">
        <f>IFERROR(VLOOKUP(B204,BD_CONTROL!$A$5:$M$4235,13,0),"")</f>
        <v>0</v>
      </c>
    </row>
    <row r="205" spans="1:13" ht="15" customHeight="1">
      <c r="A205" s="42">
        <v>200</v>
      </c>
      <c r="B205" s="42" t="s">
        <v>1253</v>
      </c>
      <c r="C205" s="43" t="s">
        <v>1254</v>
      </c>
      <c r="D205" s="42" t="s">
        <v>1200</v>
      </c>
      <c r="E205" s="43" t="s">
        <v>1251</v>
      </c>
      <c r="F205" s="43" t="s">
        <v>1255</v>
      </c>
      <c r="G205" s="42" t="s">
        <v>109</v>
      </c>
      <c r="H205" s="43" t="s">
        <v>435</v>
      </c>
      <c r="I205" s="43" t="s">
        <v>104</v>
      </c>
      <c r="J205" s="55"/>
      <c r="K205" s="119">
        <f>IFERROR(VLOOKUP(B205,BD_CONTROL!$A$5:$M$4235,11,0),"")</f>
        <v>0</v>
      </c>
      <c r="L205" s="120">
        <f>IFERROR(VLOOKUP(B205,BD_CONTROL!$A$5:$M$4235,12,0),"")</f>
        <v>0</v>
      </c>
      <c r="M205" s="121">
        <f>IFERROR(VLOOKUP(B205,BD_CONTROL!$A$5:$M$4235,13,0),"")</f>
        <v>0</v>
      </c>
    </row>
    <row r="206" spans="1:13" ht="15" customHeight="1">
      <c r="A206" s="39">
        <v>201</v>
      </c>
      <c r="B206" s="39" t="s">
        <v>1256</v>
      </c>
      <c r="C206" s="40" t="s">
        <v>1257</v>
      </c>
      <c r="D206" s="39" t="s">
        <v>1200</v>
      </c>
      <c r="E206" s="40" t="s">
        <v>1258</v>
      </c>
      <c r="F206" s="40" t="s">
        <v>1259</v>
      </c>
      <c r="G206" s="39" t="s">
        <v>109</v>
      </c>
      <c r="H206" s="40" t="s">
        <v>435</v>
      </c>
      <c r="I206" s="40" t="s">
        <v>104</v>
      </c>
      <c r="J206" s="50"/>
      <c r="K206" s="116">
        <f>IFERROR(VLOOKUP(B206,BD_CONTROL!$A$5:$M$4235,11,0),"")</f>
        <v>0</v>
      </c>
      <c r="L206" s="117">
        <f>IFERROR(VLOOKUP(B206,BD_CONTROL!$A$5:$M$4235,12,0),"")</f>
        <v>0</v>
      </c>
      <c r="M206" s="118">
        <f>IFERROR(VLOOKUP(B206,BD_CONTROL!$A$5:$M$4235,13,0),"")</f>
        <v>0</v>
      </c>
    </row>
    <row r="207" spans="1:13" ht="15" customHeight="1">
      <c r="A207" s="42">
        <v>202</v>
      </c>
      <c r="B207" s="42" t="s">
        <v>1260</v>
      </c>
      <c r="C207" s="43" t="s">
        <v>1261</v>
      </c>
      <c r="D207" s="42" t="s">
        <v>1200</v>
      </c>
      <c r="E207" s="43" t="s">
        <v>254</v>
      </c>
      <c r="F207" s="43" t="s">
        <v>1262</v>
      </c>
      <c r="G207" s="42" t="s">
        <v>109</v>
      </c>
      <c r="H207" s="43" t="s">
        <v>435</v>
      </c>
      <c r="I207" s="43" t="s">
        <v>104</v>
      </c>
      <c r="J207" s="55"/>
      <c r="K207" s="119">
        <f>IFERROR(VLOOKUP(B207,BD_CONTROL!$A$5:$M$4235,11,0),"")</f>
        <v>0</v>
      </c>
      <c r="L207" s="120">
        <f>IFERROR(VLOOKUP(B207,BD_CONTROL!$A$5:$M$4235,12,0),"")</f>
        <v>0</v>
      </c>
      <c r="M207" s="121">
        <f>IFERROR(VLOOKUP(B207,BD_CONTROL!$A$5:$M$4235,13,0),"")</f>
        <v>0</v>
      </c>
    </row>
    <row r="208" spans="1:13" ht="15" customHeight="1">
      <c r="A208" s="39">
        <v>203</v>
      </c>
      <c r="B208" s="39" t="s">
        <v>1263</v>
      </c>
      <c r="C208" s="40" t="s">
        <v>1264</v>
      </c>
      <c r="D208" s="39" t="s">
        <v>1200</v>
      </c>
      <c r="E208" s="40" t="s">
        <v>1241</v>
      </c>
      <c r="F208" s="40" t="s">
        <v>1265</v>
      </c>
      <c r="G208" s="39" t="s">
        <v>109</v>
      </c>
      <c r="H208" s="40" t="s">
        <v>435</v>
      </c>
      <c r="I208" s="40" t="s">
        <v>104</v>
      </c>
      <c r="J208" s="50"/>
      <c r="K208" s="116">
        <f>IFERROR(VLOOKUP(B208,BD_CONTROL!$A$5:$M$4235,11,0),"")</f>
        <v>0</v>
      </c>
      <c r="L208" s="117">
        <f>IFERROR(VLOOKUP(B208,BD_CONTROL!$A$5:$M$4235,12,0),"")</f>
        <v>0</v>
      </c>
      <c r="M208" s="118">
        <f>IFERROR(VLOOKUP(B208,BD_CONTROL!$A$5:$M$4235,13,0),"")</f>
        <v>0</v>
      </c>
    </row>
    <row r="209" spans="1:13" ht="15" customHeight="1">
      <c r="A209" s="42">
        <v>204</v>
      </c>
      <c r="B209" s="42" t="s">
        <v>1266</v>
      </c>
      <c r="C209" s="43" t="s">
        <v>1267</v>
      </c>
      <c r="D209" s="42" t="s">
        <v>1200</v>
      </c>
      <c r="E209" s="43" t="s">
        <v>1200</v>
      </c>
      <c r="F209" s="43" t="s">
        <v>1268</v>
      </c>
      <c r="G209" s="42" t="s">
        <v>109</v>
      </c>
      <c r="H209" s="43" t="s">
        <v>435</v>
      </c>
      <c r="I209" s="43" t="s">
        <v>104</v>
      </c>
      <c r="J209" s="55"/>
      <c r="K209" s="119">
        <f>IFERROR(VLOOKUP(B209,BD_CONTROL!$A$5:$M$4235,11,0),"")</f>
        <v>0</v>
      </c>
      <c r="L209" s="120">
        <f>IFERROR(VLOOKUP(B209,BD_CONTROL!$A$5:$M$4235,12,0),"")</f>
        <v>0</v>
      </c>
      <c r="M209" s="121">
        <f>IFERROR(VLOOKUP(B209,BD_CONTROL!$A$5:$M$4235,13,0),"")</f>
        <v>0</v>
      </c>
    </row>
    <row r="210" spans="1:13" ht="15" customHeight="1">
      <c r="A210" s="39">
        <v>205</v>
      </c>
      <c r="B210" s="39" t="s">
        <v>1269</v>
      </c>
      <c r="C210" s="40" t="s">
        <v>1270</v>
      </c>
      <c r="D210" s="39" t="s">
        <v>1200</v>
      </c>
      <c r="E210" s="40" t="s">
        <v>1200</v>
      </c>
      <c r="F210" s="40" t="s">
        <v>1271</v>
      </c>
      <c r="G210" s="39" t="s">
        <v>102</v>
      </c>
      <c r="H210" s="40" t="s">
        <v>435</v>
      </c>
      <c r="I210" s="40" t="s">
        <v>104</v>
      </c>
      <c r="J210" s="50"/>
      <c r="K210" s="116">
        <f>IFERROR(VLOOKUP(B210,BD_CONTROL!$A$5:$M$4235,11,0),"")</f>
        <v>0</v>
      </c>
      <c r="L210" s="117">
        <f>IFERROR(VLOOKUP(B210,BD_CONTROL!$A$5:$M$4235,12,0),"")</f>
        <v>0</v>
      </c>
      <c r="M210" s="118">
        <f>IFERROR(VLOOKUP(B210,BD_CONTROL!$A$5:$M$4235,13,0),"")</f>
        <v>0</v>
      </c>
    </row>
    <row r="211" spans="1:13" ht="15" customHeight="1">
      <c r="A211" s="42">
        <v>206</v>
      </c>
      <c r="B211" s="42" t="s">
        <v>1272</v>
      </c>
      <c r="C211" s="43" t="s">
        <v>1273</v>
      </c>
      <c r="D211" s="42" t="s">
        <v>1200</v>
      </c>
      <c r="E211" s="43" t="s">
        <v>563</v>
      </c>
      <c r="F211" s="43" t="s">
        <v>1274</v>
      </c>
      <c r="G211" s="42" t="s">
        <v>109</v>
      </c>
      <c r="H211" s="43" t="s">
        <v>435</v>
      </c>
      <c r="I211" s="43" t="s">
        <v>104</v>
      </c>
      <c r="J211" s="55"/>
      <c r="K211" s="119">
        <f>IFERROR(VLOOKUP(B211,BD_CONTROL!$A$5:$M$4235,11,0),"")</f>
        <v>0</v>
      </c>
      <c r="L211" s="120">
        <f>IFERROR(VLOOKUP(B211,BD_CONTROL!$A$5:$M$4235,12,0),"")</f>
        <v>0</v>
      </c>
      <c r="M211" s="121">
        <f>IFERROR(VLOOKUP(B211,BD_CONTROL!$A$5:$M$4235,13,0),"")</f>
        <v>0</v>
      </c>
    </row>
    <row r="212" spans="1:13" ht="15" customHeight="1">
      <c r="A212" s="39">
        <v>207</v>
      </c>
      <c r="B212" s="39" t="s">
        <v>1275</v>
      </c>
      <c r="C212" s="40" t="s">
        <v>1182</v>
      </c>
      <c r="D212" s="39" t="s">
        <v>1200</v>
      </c>
      <c r="E212" s="40" t="s">
        <v>563</v>
      </c>
      <c r="F212" s="40" t="s">
        <v>1276</v>
      </c>
      <c r="G212" s="39" t="s">
        <v>109</v>
      </c>
      <c r="H212" s="40" t="s">
        <v>435</v>
      </c>
      <c r="I212" s="40" t="s">
        <v>104</v>
      </c>
      <c r="J212" s="50"/>
      <c r="K212" s="116">
        <f>IFERROR(VLOOKUP(B212,BD_CONTROL!$A$5:$M$4235,11,0),"")</f>
        <v>0</v>
      </c>
      <c r="L212" s="117">
        <f>IFERROR(VLOOKUP(B212,BD_CONTROL!$A$5:$M$4235,12,0),"")</f>
        <v>0</v>
      </c>
      <c r="M212" s="118">
        <f>IFERROR(VLOOKUP(B212,BD_CONTROL!$A$5:$M$4235,13,0),"")</f>
        <v>0</v>
      </c>
    </row>
    <row r="213" spans="1:13" ht="15" customHeight="1">
      <c r="A213" s="42">
        <v>208</v>
      </c>
      <c r="B213" s="42" t="s">
        <v>1277</v>
      </c>
      <c r="C213" s="43" t="s">
        <v>1278</v>
      </c>
      <c r="D213" s="42" t="s">
        <v>1200</v>
      </c>
      <c r="E213" s="43" t="s">
        <v>563</v>
      </c>
      <c r="F213" s="43" t="s">
        <v>1279</v>
      </c>
      <c r="G213" s="42" t="s">
        <v>109</v>
      </c>
      <c r="H213" s="43" t="s">
        <v>435</v>
      </c>
      <c r="I213" s="43" t="s">
        <v>104</v>
      </c>
      <c r="J213" s="55"/>
      <c r="K213" s="119">
        <f>IFERROR(VLOOKUP(B213,BD_CONTROL!$A$5:$M$4235,11,0),"")</f>
        <v>0</v>
      </c>
      <c r="L213" s="120">
        <f>IFERROR(VLOOKUP(B213,BD_CONTROL!$A$5:$M$4235,12,0),"")</f>
        <v>0</v>
      </c>
      <c r="M213" s="121">
        <f>IFERROR(VLOOKUP(B213,BD_CONTROL!$A$5:$M$4235,13,0),"")</f>
        <v>0</v>
      </c>
    </row>
    <row r="214" spans="1:13" ht="15" customHeight="1">
      <c r="A214" s="39">
        <v>209</v>
      </c>
      <c r="B214" s="39" t="s">
        <v>1280</v>
      </c>
      <c r="C214" s="40" t="s">
        <v>1281</v>
      </c>
      <c r="D214" s="39" t="s">
        <v>1200</v>
      </c>
      <c r="E214" s="40" t="s">
        <v>1282</v>
      </c>
      <c r="F214" s="40" t="s">
        <v>1283</v>
      </c>
      <c r="G214" s="39" t="s">
        <v>109</v>
      </c>
      <c r="H214" s="40" t="s">
        <v>435</v>
      </c>
      <c r="I214" s="40" t="s">
        <v>104</v>
      </c>
      <c r="J214" s="50"/>
      <c r="K214" s="116">
        <f>IFERROR(VLOOKUP(B214,BD_CONTROL!$A$5:$M$4235,11,0),"")</f>
        <v>0</v>
      </c>
      <c r="L214" s="117">
        <f>IFERROR(VLOOKUP(B214,BD_CONTROL!$A$5:$M$4235,12,0),"")</f>
        <v>0</v>
      </c>
      <c r="M214" s="118">
        <f>IFERROR(VLOOKUP(B214,BD_CONTROL!$A$5:$M$4235,13,0),"")</f>
        <v>0</v>
      </c>
    </row>
    <row r="215" spans="1:13" ht="15" customHeight="1">
      <c r="A215" s="42">
        <v>210</v>
      </c>
      <c r="B215" s="42" t="s">
        <v>1284</v>
      </c>
      <c r="C215" s="43" t="s">
        <v>1285</v>
      </c>
      <c r="D215" s="42" t="s">
        <v>1200</v>
      </c>
      <c r="E215" s="43" t="s">
        <v>1286</v>
      </c>
      <c r="F215" s="43" t="s">
        <v>1002</v>
      </c>
      <c r="G215" s="42" t="s">
        <v>109</v>
      </c>
      <c r="H215" s="43" t="s">
        <v>435</v>
      </c>
      <c r="I215" s="43" t="s">
        <v>104</v>
      </c>
      <c r="J215" s="55"/>
      <c r="K215" s="119">
        <f>IFERROR(VLOOKUP(B215,BD_CONTROL!$A$5:$M$4235,11,0),"")</f>
        <v>0</v>
      </c>
      <c r="L215" s="120">
        <f>IFERROR(VLOOKUP(B215,BD_CONTROL!$A$5:$M$4235,12,0),"")</f>
        <v>0</v>
      </c>
      <c r="M215" s="121">
        <f>IFERROR(VLOOKUP(B215,BD_CONTROL!$A$5:$M$4235,13,0),"")</f>
        <v>0</v>
      </c>
    </row>
    <row r="216" spans="1:13" ht="15" customHeight="1">
      <c r="A216" s="39">
        <v>211</v>
      </c>
      <c r="B216" s="39" t="s">
        <v>1287</v>
      </c>
      <c r="C216" s="40" t="s">
        <v>1288</v>
      </c>
      <c r="D216" s="39" t="s">
        <v>1200</v>
      </c>
      <c r="E216" s="40" t="s">
        <v>1286</v>
      </c>
      <c r="F216" s="40" t="s">
        <v>1289</v>
      </c>
      <c r="G216" s="39" t="s">
        <v>109</v>
      </c>
      <c r="H216" s="40" t="s">
        <v>435</v>
      </c>
      <c r="I216" s="40" t="s">
        <v>104</v>
      </c>
      <c r="J216" s="50"/>
      <c r="K216" s="116">
        <f>IFERROR(VLOOKUP(B216,BD_CONTROL!$A$5:$M$4235,11,0),"")</f>
        <v>0</v>
      </c>
      <c r="L216" s="117">
        <f>IFERROR(VLOOKUP(B216,BD_CONTROL!$A$5:$M$4235,12,0),"")</f>
        <v>0</v>
      </c>
      <c r="M216" s="118">
        <f>IFERROR(VLOOKUP(B216,BD_CONTROL!$A$5:$M$4235,13,0),"")</f>
        <v>0</v>
      </c>
    </row>
    <row r="217" spans="1:13" ht="15" customHeight="1">
      <c r="A217" s="42">
        <v>212</v>
      </c>
      <c r="B217" s="42" t="s">
        <v>1290</v>
      </c>
      <c r="C217" s="43" t="s">
        <v>1291</v>
      </c>
      <c r="D217" s="42" t="s">
        <v>1200</v>
      </c>
      <c r="E217" s="43" t="s">
        <v>1200</v>
      </c>
      <c r="F217" s="43" t="s">
        <v>1292</v>
      </c>
      <c r="G217" s="42" t="s">
        <v>109</v>
      </c>
      <c r="H217" s="43" t="s">
        <v>435</v>
      </c>
      <c r="I217" s="43" t="s">
        <v>104</v>
      </c>
      <c r="J217" s="55"/>
      <c r="K217" s="119">
        <f>IFERROR(VLOOKUP(B217,BD_CONTROL!$A$5:$M$4235,11,0),"")</f>
        <v>0</v>
      </c>
      <c r="L217" s="120">
        <f>IFERROR(VLOOKUP(B217,BD_CONTROL!$A$5:$M$4235,12,0),"")</f>
        <v>0</v>
      </c>
      <c r="M217" s="121">
        <f>IFERROR(VLOOKUP(B217,BD_CONTROL!$A$5:$M$4235,13,0),"")</f>
        <v>0</v>
      </c>
    </row>
    <row r="218" spans="1:13" ht="15" customHeight="1">
      <c r="A218" s="39">
        <v>213</v>
      </c>
      <c r="B218" s="39" t="s">
        <v>1293</v>
      </c>
      <c r="C218" s="40" t="s">
        <v>1294</v>
      </c>
      <c r="D218" s="39" t="s">
        <v>1200</v>
      </c>
      <c r="E218" s="40" t="s">
        <v>1241</v>
      </c>
      <c r="F218" s="40" t="s">
        <v>1295</v>
      </c>
      <c r="G218" s="39" t="s">
        <v>109</v>
      </c>
      <c r="H218" s="40" t="s">
        <v>435</v>
      </c>
      <c r="I218" s="40" t="s">
        <v>104</v>
      </c>
      <c r="J218" s="50"/>
      <c r="K218" s="116">
        <f>IFERROR(VLOOKUP(B218,BD_CONTROL!$A$5:$M$4235,11,0),"")</f>
        <v>0</v>
      </c>
      <c r="L218" s="117">
        <f>IFERROR(VLOOKUP(B218,BD_CONTROL!$A$5:$M$4235,12,0),"")</f>
        <v>0</v>
      </c>
      <c r="M218" s="118">
        <f>IFERROR(VLOOKUP(B218,BD_CONTROL!$A$5:$M$4235,13,0),"")</f>
        <v>0</v>
      </c>
    </row>
    <row r="219" spans="1:13" ht="15" customHeight="1">
      <c r="A219" s="42">
        <v>214</v>
      </c>
      <c r="B219" s="42" t="s">
        <v>1296</v>
      </c>
      <c r="C219" s="43" t="s">
        <v>1297</v>
      </c>
      <c r="D219" s="42" t="s">
        <v>1200</v>
      </c>
      <c r="E219" s="43" t="s">
        <v>1200</v>
      </c>
      <c r="F219" s="43" t="s">
        <v>1298</v>
      </c>
      <c r="G219" s="42" t="s">
        <v>109</v>
      </c>
      <c r="H219" s="43" t="s">
        <v>435</v>
      </c>
      <c r="I219" s="43" t="s">
        <v>104</v>
      </c>
      <c r="J219" s="55"/>
      <c r="K219" s="119">
        <f>IFERROR(VLOOKUP(B219,BD_CONTROL!$A$5:$M$4235,11,0),"")</f>
        <v>0</v>
      </c>
      <c r="L219" s="120">
        <f>IFERROR(VLOOKUP(B219,BD_CONTROL!$A$5:$M$4235,12,0),"")</f>
        <v>0</v>
      </c>
      <c r="M219" s="121">
        <f>IFERROR(VLOOKUP(B219,BD_CONTROL!$A$5:$M$4235,13,0),"")</f>
        <v>0</v>
      </c>
    </row>
    <row r="220" spans="1:13" ht="15" customHeight="1">
      <c r="A220" s="39">
        <v>215</v>
      </c>
      <c r="B220" s="39" t="s">
        <v>1299</v>
      </c>
      <c r="C220" s="40" t="s">
        <v>1300</v>
      </c>
      <c r="D220" s="39" t="s">
        <v>1200</v>
      </c>
      <c r="E220" s="40" t="s">
        <v>1200</v>
      </c>
      <c r="F220" s="40" t="s">
        <v>1301</v>
      </c>
      <c r="G220" s="39" t="s">
        <v>109</v>
      </c>
      <c r="H220" s="40" t="s">
        <v>435</v>
      </c>
      <c r="I220" s="40" t="s">
        <v>104</v>
      </c>
      <c r="J220" s="50"/>
      <c r="K220" s="116">
        <f>IFERROR(VLOOKUP(B220,BD_CONTROL!$A$5:$M$4235,11,0),"")</f>
        <v>0</v>
      </c>
      <c r="L220" s="117">
        <f>IFERROR(VLOOKUP(B220,BD_CONTROL!$A$5:$M$4235,12,0),"")</f>
        <v>0</v>
      </c>
      <c r="M220" s="118">
        <f>IFERROR(VLOOKUP(B220,BD_CONTROL!$A$5:$M$4235,13,0),"")</f>
        <v>0</v>
      </c>
    </row>
    <row r="221" spans="1:13" ht="15" customHeight="1">
      <c r="A221" s="42">
        <v>216</v>
      </c>
      <c r="B221" s="42" t="s">
        <v>1302</v>
      </c>
      <c r="C221" s="43" t="s">
        <v>1303</v>
      </c>
      <c r="D221" s="42" t="s">
        <v>1200</v>
      </c>
      <c r="E221" s="43" t="s">
        <v>1304</v>
      </c>
      <c r="F221" s="43" t="s">
        <v>1305</v>
      </c>
      <c r="G221" s="42" t="s">
        <v>109</v>
      </c>
      <c r="H221" s="43" t="s">
        <v>435</v>
      </c>
      <c r="I221" s="43" t="s">
        <v>104</v>
      </c>
      <c r="J221" s="55"/>
      <c r="K221" s="119">
        <f>IFERROR(VLOOKUP(B221,BD_CONTROL!$A$5:$M$4235,11,0),"")</f>
        <v>0</v>
      </c>
      <c r="L221" s="120">
        <f>IFERROR(VLOOKUP(B221,BD_CONTROL!$A$5:$M$4235,12,0),"")</f>
        <v>0</v>
      </c>
      <c r="M221" s="121">
        <f>IFERROR(VLOOKUP(B221,BD_CONTROL!$A$5:$M$4235,13,0),"")</f>
        <v>0</v>
      </c>
    </row>
    <row r="222" spans="1:13" ht="15" customHeight="1">
      <c r="A222" s="39">
        <v>217</v>
      </c>
      <c r="B222" s="39" t="s">
        <v>1306</v>
      </c>
      <c r="C222" s="40" t="s">
        <v>1307</v>
      </c>
      <c r="D222" s="39" t="s">
        <v>1200</v>
      </c>
      <c r="E222" s="40" t="s">
        <v>1304</v>
      </c>
      <c r="F222" s="40" t="s">
        <v>1308</v>
      </c>
      <c r="G222" s="39" t="s">
        <v>109</v>
      </c>
      <c r="H222" s="40" t="s">
        <v>435</v>
      </c>
      <c r="I222" s="40" t="s">
        <v>104</v>
      </c>
      <c r="J222" s="50"/>
      <c r="K222" s="116" t="str">
        <f>IFERROR(VLOOKUP(B222,BD_CONTROL!$A$5:$M$4235,11,0),"")</f>
        <v>Instalado - Operando</v>
      </c>
      <c r="L222" s="117">
        <f>IFERROR(VLOOKUP(B222,BD_CONTROL!$A$5:$M$4235,12,0),"")</f>
        <v>46151</v>
      </c>
      <c r="M222" s="118">
        <f>IFERROR(VLOOKUP(B222,BD_CONTROL!$A$5:$M$4235,13,0),"")</f>
        <v>0</v>
      </c>
    </row>
    <row r="223" spans="1:13" ht="15" customHeight="1">
      <c r="A223" s="42">
        <v>218</v>
      </c>
      <c r="B223" s="42" t="s">
        <v>1309</v>
      </c>
      <c r="C223" s="43" t="s">
        <v>1002</v>
      </c>
      <c r="D223" s="42" t="s">
        <v>1200</v>
      </c>
      <c r="E223" s="43" t="s">
        <v>1310</v>
      </c>
      <c r="F223" s="43" t="s">
        <v>1002</v>
      </c>
      <c r="G223" s="42" t="s">
        <v>109</v>
      </c>
      <c r="H223" s="43" t="s">
        <v>435</v>
      </c>
      <c r="I223" s="43" t="s">
        <v>104</v>
      </c>
      <c r="J223" s="55"/>
      <c r="K223" s="119">
        <f>IFERROR(VLOOKUP(B223,BD_CONTROL!$A$5:$M$4235,11,0),"")</f>
        <v>0</v>
      </c>
      <c r="L223" s="120">
        <f>IFERROR(VLOOKUP(B223,BD_CONTROL!$A$5:$M$4235,12,0),"")</f>
        <v>0</v>
      </c>
      <c r="M223" s="121">
        <f>IFERROR(VLOOKUP(B223,BD_CONTROL!$A$5:$M$4235,13,0),"")</f>
        <v>0</v>
      </c>
    </row>
    <row r="224" spans="1:13" ht="15" customHeight="1">
      <c r="A224" s="39">
        <v>219</v>
      </c>
      <c r="B224" s="39" t="s">
        <v>1311</v>
      </c>
      <c r="C224" s="40" t="s">
        <v>1312</v>
      </c>
      <c r="D224" s="39" t="s">
        <v>1200</v>
      </c>
      <c r="E224" s="40" t="s">
        <v>1247</v>
      </c>
      <c r="F224" s="40" t="s">
        <v>1313</v>
      </c>
      <c r="G224" s="39" t="s">
        <v>109</v>
      </c>
      <c r="H224" s="40" t="s">
        <v>435</v>
      </c>
      <c r="I224" s="40" t="s">
        <v>104</v>
      </c>
      <c r="J224" s="50"/>
      <c r="K224" s="116">
        <f>IFERROR(VLOOKUP(B224,BD_CONTROL!$A$5:$M$4235,11,0),"")</f>
        <v>0</v>
      </c>
      <c r="L224" s="117">
        <f>IFERROR(VLOOKUP(B224,BD_CONTROL!$A$5:$M$4235,12,0),"")</f>
        <v>0</v>
      </c>
      <c r="M224" s="118">
        <f>IFERROR(VLOOKUP(B224,BD_CONTROL!$A$5:$M$4235,13,0),"")</f>
        <v>0</v>
      </c>
    </row>
    <row r="225" spans="1:13" ht="15" customHeight="1">
      <c r="A225" s="42">
        <v>220</v>
      </c>
      <c r="B225" s="42" t="s">
        <v>1314</v>
      </c>
      <c r="C225" s="43" t="s">
        <v>1315</v>
      </c>
      <c r="D225" s="42" t="s">
        <v>1200</v>
      </c>
      <c r="E225" s="43" t="s">
        <v>1316</v>
      </c>
      <c r="F225" s="43" t="s">
        <v>1316</v>
      </c>
      <c r="G225" s="42" t="s">
        <v>109</v>
      </c>
      <c r="H225" s="43" t="s">
        <v>435</v>
      </c>
      <c r="I225" s="43" t="s">
        <v>104</v>
      </c>
      <c r="J225" s="55"/>
      <c r="K225" s="119">
        <f>IFERROR(VLOOKUP(B225,BD_CONTROL!$A$5:$M$4235,11,0),"")</f>
        <v>0</v>
      </c>
      <c r="L225" s="120">
        <f>IFERROR(VLOOKUP(B225,BD_CONTROL!$A$5:$M$4235,12,0),"")</f>
        <v>0</v>
      </c>
      <c r="M225" s="121">
        <f>IFERROR(VLOOKUP(B225,BD_CONTROL!$A$5:$M$4235,13,0),"")</f>
        <v>0</v>
      </c>
    </row>
    <row r="226" spans="1:13" ht="15" customHeight="1">
      <c r="A226" s="39">
        <v>221</v>
      </c>
      <c r="B226" s="39" t="s">
        <v>1317</v>
      </c>
      <c r="C226" s="40" t="s">
        <v>1318</v>
      </c>
      <c r="D226" s="39" t="s">
        <v>1200</v>
      </c>
      <c r="E226" s="40" t="s">
        <v>1319</v>
      </c>
      <c r="F226" s="40" t="s">
        <v>1319</v>
      </c>
      <c r="G226" s="39" t="s">
        <v>109</v>
      </c>
      <c r="H226" s="40" t="s">
        <v>435</v>
      </c>
      <c r="I226" s="40" t="s">
        <v>104</v>
      </c>
      <c r="J226" s="50"/>
      <c r="K226" s="116">
        <f>IFERROR(VLOOKUP(B226,BD_CONTROL!$A$5:$M$4235,11,0),"")</f>
        <v>0</v>
      </c>
      <c r="L226" s="117">
        <f>IFERROR(VLOOKUP(B226,BD_CONTROL!$A$5:$M$4235,12,0),"")</f>
        <v>0</v>
      </c>
      <c r="M226" s="118">
        <f>IFERROR(VLOOKUP(B226,BD_CONTROL!$A$5:$M$4235,13,0),"")</f>
        <v>0</v>
      </c>
    </row>
    <row r="227" spans="1:13" ht="15" customHeight="1">
      <c r="A227" s="42">
        <v>222</v>
      </c>
      <c r="B227" s="42" t="s">
        <v>1320</v>
      </c>
      <c r="C227" s="43" t="s">
        <v>1321</v>
      </c>
      <c r="D227" s="42" t="s">
        <v>1200</v>
      </c>
      <c r="E227" s="43" t="s">
        <v>1322</v>
      </c>
      <c r="F227" s="43" t="s">
        <v>1323</v>
      </c>
      <c r="G227" s="42" t="s">
        <v>109</v>
      </c>
      <c r="H227" s="43" t="s">
        <v>435</v>
      </c>
      <c r="I227" s="43" t="s">
        <v>104</v>
      </c>
      <c r="J227" s="55"/>
      <c r="K227" s="119">
        <f>IFERROR(VLOOKUP(B227,BD_CONTROL!$A$5:$M$4235,11,0),"")</f>
        <v>0</v>
      </c>
      <c r="L227" s="120">
        <f>IFERROR(VLOOKUP(B227,BD_CONTROL!$A$5:$M$4235,12,0),"")</f>
        <v>0</v>
      </c>
      <c r="M227" s="121">
        <f>IFERROR(VLOOKUP(B227,BD_CONTROL!$A$5:$M$4235,13,0),"")</f>
        <v>0</v>
      </c>
    </row>
    <row r="228" spans="1:13" ht="15" customHeight="1">
      <c r="A228" s="39">
        <v>223</v>
      </c>
      <c r="B228" s="39" t="s">
        <v>1324</v>
      </c>
      <c r="C228" s="40" t="s">
        <v>1325</v>
      </c>
      <c r="D228" s="39" t="s">
        <v>1200</v>
      </c>
      <c r="E228" s="40" t="s">
        <v>1326</v>
      </c>
      <c r="F228" s="40" t="s">
        <v>1327</v>
      </c>
      <c r="G228" s="39" t="s">
        <v>109</v>
      </c>
      <c r="H228" s="40" t="s">
        <v>435</v>
      </c>
      <c r="I228" s="40" t="s">
        <v>104</v>
      </c>
      <c r="J228" s="50"/>
      <c r="K228" s="116">
        <f>IFERROR(VLOOKUP(B228,BD_CONTROL!$A$5:$M$4235,11,0),"")</f>
        <v>0</v>
      </c>
      <c r="L228" s="117">
        <f>IFERROR(VLOOKUP(B228,BD_CONTROL!$A$5:$M$4235,12,0),"")</f>
        <v>0</v>
      </c>
      <c r="M228" s="118">
        <f>IFERROR(VLOOKUP(B228,BD_CONTROL!$A$5:$M$4235,13,0),"")</f>
        <v>0</v>
      </c>
    </row>
    <row r="229" spans="1:13" ht="15" customHeight="1">
      <c r="A229" s="42">
        <v>224</v>
      </c>
      <c r="B229" s="42" t="s">
        <v>1328</v>
      </c>
      <c r="C229" s="43" t="s">
        <v>1329</v>
      </c>
      <c r="D229" s="42" t="s">
        <v>1200</v>
      </c>
      <c r="E229" s="43" t="s">
        <v>1241</v>
      </c>
      <c r="F229" s="43" t="s">
        <v>1330</v>
      </c>
      <c r="G229" s="42" t="s">
        <v>109</v>
      </c>
      <c r="H229" s="43" t="s">
        <v>435</v>
      </c>
      <c r="I229" s="43" t="s">
        <v>104</v>
      </c>
      <c r="J229" s="55"/>
      <c r="K229" s="119">
        <f>IFERROR(VLOOKUP(B229,BD_CONTROL!$A$5:$M$4235,11,0),"")</f>
        <v>0</v>
      </c>
      <c r="L229" s="120">
        <f>IFERROR(VLOOKUP(B229,BD_CONTROL!$A$5:$M$4235,12,0),"")</f>
        <v>0</v>
      </c>
      <c r="M229" s="121">
        <f>IFERROR(VLOOKUP(B229,BD_CONTROL!$A$5:$M$4235,13,0),"")</f>
        <v>0</v>
      </c>
    </row>
    <row r="230" spans="1:13" ht="15" customHeight="1">
      <c r="A230" s="39">
        <v>225</v>
      </c>
      <c r="B230" s="39" t="s">
        <v>1331</v>
      </c>
      <c r="C230" s="40" t="s">
        <v>1332</v>
      </c>
      <c r="D230" s="39" t="s">
        <v>1200</v>
      </c>
      <c r="E230" s="40" t="s">
        <v>1200</v>
      </c>
      <c r="F230" s="40" t="s">
        <v>1333</v>
      </c>
      <c r="G230" s="39" t="s">
        <v>109</v>
      </c>
      <c r="H230" s="40" t="s">
        <v>435</v>
      </c>
      <c r="I230" s="40" t="s">
        <v>104</v>
      </c>
      <c r="J230" s="50"/>
      <c r="K230" s="116">
        <f>IFERROR(VLOOKUP(B230,BD_CONTROL!$A$5:$M$4235,11,0),"")</f>
        <v>0</v>
      </c>
      <c r="L230" s="117">
        <f>IFERROR(VLOOKUP(B230,BD_CONTROL!$A$5:$M$4235,12,0),"")</f>
        <v>0</v>
      </c>
      <c r="M230" s="118">
        <f>IFERROR(VLOOKUP(B230,BD_CONTROL!$A$5:$M$4235,13,0),"")</f>
        <v>0</v>
      </c>
    </row>
    <row r="231" spans="1:13" ht="15" customHeight="1">
      <c r="A231" s="42">
        <v>226</v>
      </c>
      <c r="B231" s="42" t="s">
        <v>1334</v>
      </c>
      <c r="C231" s="43" t="s">
        <v>1335</v>
      </c>
      <c r="D231" s="42" t="s">
        <v>1200</v>
      </c>
      <c r="E231" s="43" t="s">
        <v>1200</v>
      </c>
      <c r="F231" s="43" t="s">
        <v>1200</v>
      </c>
      <c r="G231" s="42" t="s">
        <v>109</v>
      </c>
      <c r="H231" s="43" t="s">
        <v>435</v>
      </c>
      <c r="I231" s="43" t="s">
        <v>104</v>
      </c>
      <c r="J231" s="55"/>
      <c r="K231" s="119">
        <f>IFERROR(VLOOKUP(B231,BD_CONTROL!$A$5:$M$4235,11,0),"")</f>
        <v>0</v>
      </c>
      <c r="L231" s="120">
        <f>IFERROR(VLOOKUP(B231,BD_CONTROL!$A$5:$M$4235,12,0),"")</f>
        <v>0</v>
      </c>
      <c r="M231" s="121">
        <f>IFERROR(VLOOKUP(B231,BD_CONTROL!$A$5:$M$4235,13,0),"")</f>
        <v>0</v>
      </c>
    </row>
    <row r="232" spans="1:13" ht="15" customHeight="1">
      <c r="A232" s="39">
        <v>227</v>
      </c>
      <c r="B232" s="39" t="s">
        <v>1336</v>
      </c>
      <c r="C232" s="40" t="s">
        <v>1337</v>
      </c>
      <c r="D232" s="39" t="s">
        <v>1200</v>
      </c>
      <c r="E232" s="40" t="s">
        <v>1338</v>
      </c>
      <c r="F232" s="40" t="s">
        <v>1339</v>
      </c>
      <c r="G232" s="39" t="s">
        <v>109</v>
      </c>
      <c r="H232" s="40" t="s">
        <v>435</v>
      </c>
      <c r="I232" s="40" t="s">
        <v>104</v>
      </c>
      <c r="J232" s="50"/>
      <c r="K232" s="116">
        <f>IFERROR(VLOOKUP(B232,BD_CONTROL!$A$5:$M$4235,11,0),"")</f>
        <v>0</v>
      </c>
      <c r="L232" s="117">
        <f>IFERROR(VLOOKUP(B232,BD_CONTROL!$A$5:$M$4235,12,0),"")</f>
        <v>0</v>
      </c>
      <c r="M232" s="118">
        <f>IFERROR(VLOOKUP(B232,BD_CONTROL!$A$5:$M$4235,13,0),"")</f>
        <v>0</v>
      </c>
    </row>
    <row r="233" spans="1:13" ht="15" customHeight="1">
      <c r="A233" s="42">
        <v>228</v>
      </c>
      <c r="B233" s="42" t="s">
        <v>1340</v>
      </c>
      <c r="C233" s="43" t="s">
        <v>1341</v>
      </c>
      <c r="D233" s="42" t="s">
        <v>1200</v>
      </c>
      <c r="E233" s="43" t="s">
        <v>1304</v>
      </c>
      <c r="F233" s="43" t="s">
        <v>1342</v>
      </c>
      <c r="G233" s="42" t="s">
        <v>109</v>
      </c>
      <c r="H233" s="43" t="s">
        <v>435</v>
      </c>
      <c r="I233" s="43" t="s">
        <v>104</v>
      </c>
      <c r="J233" s="55"/>
      <c r="K233" s="119" t="str">
        <f>IFERROR(VLOOKUP(B233,BD_CONTROL!$A$5:$M$4235,11,0),"")</f>
        <v>Instalado - Operando</v>
      </c>
      <c r="L233" s="120">
        <f>IFERROR(VLOOKUP(B233,BD_CONTROL!$A$5:$M$4235,12,0),"")</f>
        <v>46150</v>
      </c>
      <c r="M233" s="121">
        <f>IFERROR(VLOOKUP(B233,BD_CONTROL!$A$5:$M$4235,13,0),"")</f>
        <v>0</v>
      </c>
    </row>
    <row r="234" spans="1:13" ht="15" customHeight="1">
      <c r="A234" s="39">
        <v>229</v>
      </c>
      <c r="B234" s="39" t="s">
        <v>1343</v>
      </c>
      <c r="C234" s="40" t="s">
        <v>1344</v>
      </c>
      <c r="D234" s="39" t="s">
        <v>1200</v>
      </c>
      <c r="E234" s="40" t="s">
        <v>1322</v>
      </c>
      <c r="F234" s="40" t="s">
        <v>1345</v>
      </c>
      <c r="G234" s="39" t="s">
        <v>109</v>
      </c>
      <c r="H234" s="40" t="s">
        <v>435</v>
      </c>
      <c r="I234" s="40" t="s">
        <v>104</v>
      </c>
      <c r="J234" s="50"/>
      <c r="K234" s="116">
        <f>IFERROR(VLOOKUP(B234,BD_CONTROL!$A$5:$M$4235,11,0),"")</f>
        <v>0</v>
      </c>
      <c r="L234" s="117">
        <f>IFERROR(VLOOKUP(B234,BD_CONTROL!$A$5:$M$4235,12,0),"")</f>
        <v>0</v>
      </c>
      <c r="M234" s="118">
        <f>IFERROR(VLOOKUP(B234,BD_CONTROL!$A$5:$M$4235,13,0),"")</f>
        <v>0</v>
      </c>
    </row>
    <row r="235" spans="1:13" ht="15" customHeight="1">
      <c r="A235" s="42">
        <v>230</v>
      </c>
      <c r="B235" s="42" t="s">
        <v>1346</v>
      </c>
      <c r="C235" s="43" t="s">
        <v>1347</v>
      </c>
      <c r="D235" s="42" t="s">
        <v>1200</v>
      </c>
      <c r="E235" s="43" t="s">
        <v>1282</v>
      </c>
      <c r="F235" s="43" t="s">
        <v>1348</v>
      </c>
      <c r="G235" s="42" t="s">
        <v>109</v>
      </c>
      <c r="H235" s="43" t="s">
        <v>435</v>
      </c>
      <c r="I235" s="43" t="s">
        <v>104</v>
      </c>
      <c r="J235" s="55"/>
      <c r="K235" s="119">
        <f>IFERROR(VLOOKUP(B235,BD_CONTROL!$A$5:$M$4235,11,0),"")</f>
        <v>0</v>
      </c>
      <c r="L235" s="120">
        <f>IFERROR(VLOOKUP(B235,BD_CONTROL!$A$5:$M$4235,12,0),"")</f>
        <v>0</v>
      </c>
      <c r="M235" s="121">
        <f>IFERROR(VLOOKUP(B235,BD_CONTROL!$A$5:$M$4235,13,0),"")</f>
        <v>0</v>
      </c>
    </row>
    <row r="236" spans="1:13" ht="15" customHeight="1">
      <c r="A236" s="39">
        <v>231</v>
      </c>
      <c r="B236" s="39" t="s">
        <v>1349</v>
      </c>
      <c r="C236" s="40" t="s">
        <v>1350</v>
      </c>
      <c r="D236" s="39" t="s">
        <v>1200</v>
      </c>
      <c r="E236" s="40" t="s">
        <v>1258</v>
      </c>
      <c r="F236" s="40" t="s">
        <v>1351</v>
      </c>
      <c r="G236" s="39" t="s">
        <v>109</v>
      </c>
      <c r="H236" s="40" t="s">
        <v>435</v>
      </c>
      <c r="I236" s="40" t="s">
        <v>104</v>
      </c>
      <c r="J236" s="50"/>
      <c r="K236" s="116">
        <f>IFERROR(VLOOKUP(B236,BD_CONTROL!$A$5:$M$4235,11,0),"")</f>
        <v>0</v>
      </c>
      <c r="L236" s="117">
        <f>IFERROR(VLOOKUP(B236,BD_CONTROL!$A$5:$M$4235,12,0),"")</f>
        <v>0</v>
      </c>
      <c r="M236" s="118">
        <f>IFERROR(VLOOKUP(B236,BD_CONTROL!$A$5:$M$4235,13,0),"")</f>
        <v>0</v>
      </c>
    </row>
    <row r="237" spans="1:13" ht="15" customHeight="1">
      <c r="A237" s="42">
        <v>232</v>
      </c>
      <c r="B237" s="42" t="s">
        <v>1352</v>
      </c>
      <c r="C237" s="43" t="s">
        <v>1353</v>
      </c>
      <c r="D237" s="42" t="s">
        <v>1200</v>
      </c>
      <c r="E237" s="43" t="s">
        <v>1251</v>
      </c>
      <c r="F237" s="43" t="s">
        <v>1354</v>
      </c>
      <c r="G237" s="42" t="s">
        <v>109</v>
      </c>
      <c r="H237" s="43" t="s">
        <v>435</v>
      </c>
      <c r="I237" s="43" t="s">
        <v>104</v>
      </c>
      <c r="J237" s="55"/>
      <c r="K237" s="119">
        <f>IFERROR(VLOOKUP(B237,BD_CONTROL!$A$5:$M$4235,11,0),"")</f>
        <v>0</v>
      </c>
      <c r="L237" s="120">
        <f>IFERROR(VLOOKUP(B237,BD_CONTROL!$A$5:$M$4235,12,0),"")</f>
        <v>0</v>
      </c>
      <c r="M237" s="121">
        <f>IFERROR(VLOOKUP(B237,BD_CONTROL!$A$5:$M$4235,13,0),"")</f>
        <v>0</v>
      </c>
    </row>
    <row r="238" spans="1:13" ht="15" customHeight="1">
      <c r="A238" s="39">
        <v>233</v>
      </c>
      <c r="B238" s="39" t="s">
        <v>1355</v>
      </c>
      <c r="C238" s="40" t="s">
        <v>1356</v>
      </c>
      <c r="D238" s="39" t="s">
        <v>1200</v>
      </c>
      <c r="E238" s="40" t="s">
        <v>1357</v>
      </c>
      <c r="F238" s="40" t="s">
        <v>1358</v>
      </c>
      <c r="G238" s="39" t="s">
        <v>109</v>
      </c>
      <c r="H238" s="40" t="s">
        <v>435</v>
      </c>
      <c r="I238" s="40" t="s">
        <v>104</v>
      </c>
      <c r="J238" s="50"/>
      <c r="K238" s="116">
        <f>IFERROR(VLOOKUP(B238,BD_CONTROL!$A$5:$M$4235,11,0),"")</f>
        <v>0</v>
      </c>
      <c r="L238" s="117">
        <f>IFERROR(VLOOKUP(B238,BD_CONTROL!$A$5:$M$4235,12,0),"")</f>
        <v>0</v>
      </c>
      <c r="M238" s="118">
        <f>IFERROR(VLOOKUP(B238,BD_CONTROL!$A$5:$M$4235,13,0),"")</f>
        <v>0</v>
      </c>
    </row>
    <row r="239" spans="1:13" ht="15" customHeight="1">
      <c r="A239" s="42">
        <v>234</v>
      </c>
      <c r="B239" s="42" t="s">
        <v>1359</v>
      </c>
      <c r="C239" s="43" t="s">
        <v>1360</v>
      </c>
      <c r="D239" s="42" t="s">
        <v>1200</v>
      </c>
      <c r="E239" s="43" t="s">
        <v>1361</v>
      </c>
      <c r="F239" s="43" t="s">
        <v>1362</v>
      </c>
      <c r="G239" s="42" t="s">
        <v>109</v>
      </c>
      <c r="H239" s="43" t="s">
        <v>435</v>
      </c>
      <c r="I239" s="43" t="s">
        <v>104</v>
      </c>
      <c r="J239" s="55"/>
      <c r="K239" s="119">
        <f>IFERROR(VLOOKUP(B239,BD_CONTROL!$A$5:$M$4235,11,0),"")</f>
        <v>0</v>
      </c>
      <c r="L239" s="120">
        <f>IFERROR(VLOOKUP(B239,BD_CONTROL!$A$5:$M$4235,12,0),"")</f>
        <v>0</v>
      </c>
      <c r="M239" s="121">
        <f>IFERROR(VLOOKUP(B239,BD_CONTROL!$A$5:$M$4235,13,0),"")</f>
        <v>0</v>
      </c>
    </row>
    <row r="240" spans="1:13" ht="15" customHeight="1">
      <c r="A240" s="39">
        <v>235</v>
      </c>
      <c r="B240" s="39" t="s">
        <v>1363</v>
      </c>
      <c r="C240" s="40" t="s">
        <v>1364</v>
      </c>
      <c r="D240" s="39" t="s">
        <v>1200</v>
      </c>
      <c r="E240" s="40" t="s">
        <v>1365</v>
      </c>
      <c r="F240" s="40" t="s">
        <v>1366</v>
      </c>
      <c r="G240" s="39" t="s">
        <v>109</v>
      </c>
      <c r="H240" s="40" t="s">
        <v>435</v>
      </c>
      <c r="I240" s="40" t="s">
        <v>104</v>
      </c>
      <c r="J240" s="50"/>
      <c r="K240" s="116">
        <f>IFERROR(VLOOKUP(B240,BD_CONTROL!$A$5:$M$4235,11,0),"")</f>
        <v>0</v>
      </c>
      <c r="L240" s="117">
        <f>IFERROR(VLOOKUP(B240,BD_CONTROL!$A$5:$M$4235,12,0),"")</f>
        <v>0</v>
      </c>
      <c r="M240" s="118">
        <f>IFERROR(VLOOKUP(B240,BD_CONTROL!$A$5:$M$4235,13,0),"")</f>
        <v>0</v>
      </c>
    </row>
    <row r="241" spans="1:13" ht="15" customHeight="1">
      <c r="A241" s="42">
        <v>236</v>
      </c>
      <c r="B241" s="42" t="s">
        <v>1367</v>
      </c>
      <c r="C241" s="43" t="s">
        <v>1368</v>
      </c>
      <c r="D241" s="42" t="s">
        <v>1200</v>
      </c>
      <c r="E241" s="43" t="s">
        <v>1200</v>
      </c>
      <c r="F241" s="43" t="s">
        <v>1369</v>
      </c>
      <c r="G241" s="42" t="s">
        <v>109</v>
      </c>
      <c r="H241" s="43" t="s">
        <v>435</v>
      </c>
      <c r="I241" s="43" t="s">
        <v>104</v>
      </c>
      <c r="J241" s="55"/>
      <c r="K241" s="119">
        <f>IFERROR(VLOOKUP(B241,BD_CONTROL!$A$5:$M$4235,11,0),"")</f>
        <v>0</v>
      </c>
      <c r="L241" s="120">
        <f>IFERROR(VLOOKUP(B241,BD_CONTROL!$A$5:$M$4235,12,0),"")</f>
        <v>0</v>
      </c>
      <c r="M241" s="121">
        <f>IFERROR(VLOOKUP(B241,BD_CONTROL!$A$5:$M$4235,13,0),"")</f>
        <v>0</v>
      </c>
    </row>
    <row r="242" spans="1:13" ht="15" customHeight="1">
      <c r="A242" s="39">
        <v>237</v>
      </c>
      <c r="B242" s="39" t="s">
        <v>1370</v>
      </c>
      <c r="C242" s="40" t="s">
        <v>1371</v>
      </c>
      <c r="D242" s="39" t="s">
        <v>1200</v>
      </c>
      <c r="E242" s="40" t="s">
        <v>1304</v>
      </c>
      <c r="F242" s="40" t="s">
        <v>1372</v>
      </c>
      <c r="G242" s="39" t="s">
        <v>109</v>
      </c>
      <c r="H242" s="40" t="s">
        <v>435</v>
      </c>
      <c r="I242" s="40" t="s">
        <v>104</v>
      </c>
      <c r="J242" s="50"/>
      <c r="K242" s="116" t="str">
        <f>IFERROR(VLOOKUP(B242,BD_CONTROL!$A$5:$M$4235,11,0),"")</f>
        <v>Instalado - Operando</v>
      </c>
      <c r="L242" s="117">
        <f>IFERROR(VLOOKUP(B242,BD_CONTROL!$A$5:$M$4235,12,0),"")</f>
        <v>46153</v>
      </c>
      <c r="M242" s="118">
        <f>IFERROR(VLOOKUP(B242,BD_CONTROL!$A$5:$M$4235,13,0),"")</f>
        <v>0</v>
      </c>
    </row>
    <row r="243" spans="1:13" ht="15" customHeight="1">
      <c r="A243" s="42">
        <v>238</v>
      </c>
      <c r="B243" s="42" t="s">
        <v>1373</v>
      </c>
      <c r="C243" s="43" t="s">
        <v>1374</v>
      </c>
      <c r="D243" s="42" t="s">
        <v>1200</v>
      </c>
      <c r="E243" s="43" t="s">
        <v>1215</v>
      </c>
      <c r="F243" s="43" t="s">
        <v>1375</v>
      </c>
      <c r="G243" s="42" t="s">
        <v>109</v>
      </c>
      <c r="H243" s="43" t="s">
        <v>435</v>
      </c>
      <c r="I243" s="43" t="s">
        <v>104</v>
      </c>
      <c r="J243" s="55"/>
      <c r="K243" s="119">
        <f>IFERROR(VLOOKUP(B243,BD_CONTROL!$A$5:$M$4235,11,0),"")</f>
        <v>0</v>
      </c>
      <c r="L243" s="120">
        <f>IFERROR(VLOOKUP(B243,BD_CONTROL!$A$5:$M$4235,12,0),"")</f>
        <v>0</v>
      </c>
      <c r="M243" s="121">
        <f>IFERROR(VLOOKUP(B243,BD_CONTROL!$A$5:$M$4235,13,0),"")</f>
        <v>0</v>
      </c>
    </row>
    <row r="244" spans="1:13" ht="15" customHeight="1">
      <c r="A244" s="39">
        <v>239</v>
      </c>
      <c r="B244" s="39" t="s">
        <v>1376</v>
      </c>
      <c r="C244" s="40" t="s">
        <v>1377</v>
      </c>
      <c r="D244" s="39" t="s">
        <v>1200</v>
      </c>
      <c r="E244" s="40" t="s">
        <v>1378</v>
      </c>
      <c r="F244" s="40" t="s">
        <v>1379</v>
      </c>
      <c r="G244" s="39" t="s">
        <v>109</v>
      </c>
      <c r="H244" s="40" t="s">
        <v>435</v>
      </c>
      <c r="I244" s="40" t="s">
        <v>104</v>
      </c>
      <c r="J244" s="50"/>
      <c r="K244" s="116">
        <f>IFERROR(VLOOKUP(B244,BD_CONTROL!$A$5:$M$4235,11,0),"")</f>
        <v>0</v>
      </c>
      <c r="L244" s="117">
        <f>IFERROR(VLOOKUP(B244,BD_CONTROL!$A$5:$M$4235,12,0),"")</f>
        <v>0</v>
      </c>
      <c r="M244" s="118">
        <f>IFERROR(VLOOKUP(B244,BD_CONTROL!$A$5:$M$4235,13,0),"")</f>
        <v>0</v>
      </c>
    </row>
    <row r="245" spans="1:13" ht="15" customHeight="1">
      <c r="A245" s="42">
        <v>240</v>
      </c>
      <c r="B245" s="42" t="s">
        <v>1380</v>
      </c>
      <c r="C245" s="43" t="s">
        <v>1381</v>
      </c>
      <c r="D245" s="42" t="s">
        <v>1200</v>
      </c>
      <c r="E245" s="43" t="s">
        <v>1304</v>
      </c>
      <c r="F245" s="43" t="s">
        <v>1382</v>
      </c>
      <c r="G245" s="42" t="s">
        <v>109</v>
      </c>
      <c r="H245" s="43" t="s">
        <v>435</v>
      </c>
      <c r="I245" s="43" t="s">
        <v>104</v>
      </c>
      <c r="J245" s="55"/>
      <c r="K245" s="119" t="str">
        <f>IFERROR(VLOOKUP(B245,BD_CONTROL!$A$5:$M$4235,11,0),"")</f>
        <v>Instalado - Operando</v>
      </c>
      <c r="L245" s="120">
        <f>IFERROR(VLOOKUP(B245,BD_CONTROL!$A$5:$M$4235,12,0),"")</f>
        <v>46150</v>
      </c>
      <c r="M245" s="121">
        <f>IFERROR(VLOOKUP(B245,BD_CONTROL!$A$5:$M$4235,13,0),"")</f>
        <v>0</v>
      </c>
    </row>
    <row r="246" spans="1:13" ht="15" customHeight="1">
      <c r="A246" s="39">
        <v>241</v>
      </c>
      <c r="B246" s="39" t="s">
        <v>1383</v>
      </c>
      <c r="C246" s="40" t="s">
        <v>1384</v>
      </c>
      <c r="D246" s="39" t="s">
        <v>1200</v>
      </c>
      <c r="E246" s="40" t="s">
        <v>1357</v>
      </c>
      <c r="F246" s="40" t="s">
        <v>1385</v>
      </c>
      <c r="G246" s="39" t="s">
        <v>109</v>
      </c>
      <c r="H246" s="40" t="s">
        <v>435</v>
      </c>
      <c r="I246" s="40" t="s">
        <v>104</v>
      </c>
      <c r="J246" s="50"/>
      <c r="K246" s="116">
        <f>IFERROR(VLOOKUP(B246,BD_CONTROL!$A$5:$M$4235,11,0),"")</f>
        <v>0</v>
      </c>
      <c r="L246" s="117">
        <f>IFERROR(VLOOKUP(B246,BD_CONTROL!$A$5:$M$4235,12,0),"")</f>
        <v>0</v>
      </c>
      <c r="M246" s="118">
        <f>IFERROR(VLOOKUP(B246,BD_CONTROL!$A$5:$M$4235,13,0),"")</f>
        <v>0</v>
      </c>
    </row>
    <row r="247" spans="1:13" ht="15" customHeight="1">
      <c r="A247" s="42">
        <v>242</v>
      </c>
      <c r="B247" s="42" t="s">
        <v>1386</v>
      </c>
      <c r="C247" s="43" t="s">
        <v>1387</v>
      </c>
      <c r="D247" s="42" t="s">
        <v>1200</v>
      </c>
      <c r="E247" s="43" t="s">
        <v>1388</v>
      </c>
      <c r="F247" s="43" t="s">
        <v>1389</v>
      </c>
      <c r="G247" s="42" t="s">
        <v>109</v>
      </c>
      <c r="H247" s="43" t="s">
        <v>435</v>
      </c>
      <c r="I247" s="43" t="s">
        <v>104</v>
      </c>
      <c r="J247" s="55"/>
      <c r="K247" s="119">
        <f>IFERROR(VLOOKUP(B247,BD_CONTROL!$A$5:$M$4235,11,0),"")</f>
        <v>0</v>
      </c>
      <c r="L247" s="120">
        <f>IFERROR(VLOOKUP(B247,BD_CONTROL!$A$5:$M$4235,12,0),"")</f>
        <v>0</v>
      </c>
      <c r="M247" s="121">
        <f>IFERROR(VLOOKUP(B247,BD_CONTROL!$A$5:$M$4235,13,0),"")</f>
        <v>0</v>
      </c>
    </row>
    <row r="248" spans="1:13" ht="15" customHeight="1">
      <c r="A248" s="39">
        <v>243</v>
      </c>
      <c r="B248" s="39" t="s">
        <v>1390</v>
      </c>
      <c r="C248" s="40" t="s">
        <v>1391</v>
      </c>
      <c r="D248" s="39" t="s">
        <v>1200</v>
      </c>
      <c r="E248" s="40" t="s">
        <v>1232</v>
      </c>
      <c r="F248" s="40" t="s">
        <v>1392</v>
      </c>
      <c r="G248" s="39" t="s">
        <v>109</v>
      </c>
      <c r="H248" s="40" t="s">
        <v>435</v>
      </c>
      <c r="I248" s="40" t="s">
        <v>104</v>
      </c>
      <c r="J248" s="50"/>
      <c r="K248" s="116">
        <f>IFERROR(VLOOKUP(B248,BD_CONTROL!$A$5:$M$4235,11,0),"")</f>
        <v>0</v>
      </c>
      <c r="L248" s="117">
        <f>IFERROR(VLOOKUP(B248,BD_CONTROL!$A$5:$M$4235,12,0),"")</f>
        <v>0</v>
      </c>
      <c r="M248" s="118">
        <f>IFERROR(VLOOKUP(B248,BD_CONTROL!$A$5:$M$4235,13,0),"")</f>
        <v>0</v>
      </c>
    </row>
    <row r="249" spans="1:13" ht="15" customHeight="1">
      <c r="A249" s="42">
        <v>244</v>
      </c>
      <c r="B249" s="42" t="s">
        <v>1393</v>
      </c>
      <c r="C249" s="43" t="s">
        <v>1394</v>
      </c>
      <c r="D249" s="42" t="s">
        <v>1200</v>
      </c>
      <c r="E249" s="43" t="s">
        <v>1304</v>
      </c>
      <c r="F249" s="43" t="s">
        <v>1395</v>
      </c>
      <c r="G249" s="42" t="s">
        <v>102</v>
      </c>
      <c r="H249" s="43" t="s">
        <v>435</v>
      </c>
      <c r="I249" s="43" t="s">
        <v>104</v>
      </c>
      <c r="J249" s="55"/>
      <c r="K249" s="119" t="str">
        <f>IFERROR(VLOOKUP(B249,BD_CONTROL!$A$5:$M$4235,11,0),"")</f>
        <v>Instalado - Operando</v>
      </c>
      <c r="L249" s="120">
        <f>IFERROR(VLOOKUP(B249,BD_CONTROL!$A$5:$M$4235,12,0),"")</f>
        <v>46150</v>
      </c>
      <c r="M249" s="121">
        <f>IFERROR(VLOOKUP(B249,BD_CONTROL!$A$5:$M$4235,13,0),"")</f>
        <v>0</v>
      </c>
    </row>
    <row r="250" spans="1:13" ht="15" customHeight="1">
      <c r="A250" s="39">
        <v>245</v>
      </c>
      <c r="B250" s="39" t="s">
        <v>1396</v>
      </c>
      <c r="C250" s="40" t="s">
        <v>1397</v>
      </c>
      <c r="D250" s="39" t="s">
        <v>1200</v>
      </c>
      <c r="E250" s="40" t="s">
        <v>1304</v>
      </c>
      <c r="F250" s="40" t="s">
        <v>1398</v>
      </c>
      <c r="G250" s="39" t="s">
        <v>109</v>
      </c>
      <c r="H250" s="40" t="s">
        <v>435</v>
      </c>
      <c r="I250" s="40" t="s">
        <v>104</v>
      </c>
      <c r="J250" s="50"/>
      <c r="K250" s="116" t="str">
        <f>IFERROR(VLOOKUP(B250,BD_CONTROL!$A$5:$M$4235,11,0),"")</f>
        <v>Instalado - Operando</v>
      </c>
      <c r="L250" s="117">
        <f>IFERROR(VLOOKUP(B250,BD_CONTROL!$A$5:$M$4235,12,0),"")</f>
        <v>46151</v>
      </c>
      <c r="M250" s="118">
        <f>IFERROR(VLOOKUP(B250,BD_CONTROL!$A$5:$M$4235,13,0),"")</f>
        <v>0</v>
      </c>
    </row>
    <row r="251" spans="1:13" ht="15" customHeight="1">
      <c r="A251" s="42">
        <v>246</v>
      </c>
      <c r="B251" s="42" t="s">
        <v>1399</v>
      </c>
      <c r="C251" s="43" t="s">
        <v>1400</v>
      </c>
      <c r="D251" s="42" t="s">
        <v>1200</v>
      </c>
      <c r="E251" s="43" t="s">
        <v>553</v>
      </c>
      <c r="F251" s="43" t="s">
        <v>1401</v>
      </c>
      <c r="G251" s="42" t="s">
        <v>109</v>
      </c>
      <c r="H251" s="43" t="s">
        <v>435</v>
      </c>
      <c r="I251" s="43" t="s">
        <v>104</v>
      </c>
      <c r="J251" s="55"/>
      <c r="K251" s="119">
        <f>IFERROR(VLOOKUP(B251,BD_CONTROL!$A$5:$M$4235,11,0),"")</f>
        <v>0</v>
      </c>
      <c r="L251" s="120">
        <f>IFERROR(VLOOKUP(B251,BD_CONTROL!$A$5:$M$4235,12,0),"")</f>
        <v>0</v>
      </c>
      <c r="M251" s="121">
        <f>IFERROR(VLOOKUP(B251,BD_CONTROL!$A$5:$M$4235,13,0),"")</f>
        <v>0</v>
      </c>
    </row>
    <row r="252" spans="1:13" ht="15" customHeight="1">
      <c r="A252" s="39">
        <v>247</v>
      </c>
      <c r="B252" s="39" t="s">
        <v>1402</v>
      </c>
      <c r="C252" s="40" t="s">
        <v>1403</v>
      </c>
      <c r="D252" s="39" t="s">
        <v>1200</v>
      </c>
      <c r="E252" s="40" t="s">
        <v>1404</v>
      </c>
      <c r="F252" s="40" t="s">
        <v>880</v>
      </c>
      <c r="G252" s="39" t="s">
        <v>109</v>
      </c>
      <c r="H252" s="40" t="s">
        <v>435</v>
      </c>
      <c r="I252" s="40" t="s">
        <v>104</v>
      </c>
      <c r="J252" s="50"/>
      <c r="K252" s="116">
        <f>IFERROR(VLOOKUP(B252,BD_CONTROL!$A$5:$M$4235,11,0),"")</f>
        <v>0</v>
      </c>
      <c r="L252" s="117">
        <f>IFERROR(VLOOKUP(B252,BD_CONTROL!$A$5:$M$4235,12,0),"")</f>
        <v>0</v>
      </c>
      <c r="M252" s="118">
        <f>IFERROR(VLOOKUP(B252,BD_CONTROL!$A$5:$M$4235,13,0),"")</f>
        <v>0</v>
      </c>
    </row>
    <row r="253" spans="1:13" ht="15" customHeight="1">
      <c r="A253" s="42">
        <v>248</v>
      </c>
      <c r="B253" s="42" t="s">
        <v>1405</v>
      </c>
      <c r="C253" s="43" t="s">
        <v>1406</v>
      </c>
      <c r="D253" s="42" t="s">
        <v>1200</v>
      </c>
      <c r="E253" s="43" t="s">
        <v>1200</v>
      </c>
      <c r="F253" s="43" t="s">
        <v>1407</v>
      </c>
      <c r="G253" s="42" t="s">
        <v>102</v>
      </c>
      <c r="H253" s="43" t="s">
        <v>435</v>
      </c>
      <c r="I253" s="43" t="s">
        <v>104</v>
      </c>
      <c r="J253" s="55"/>
      <c r="K253" s="119">
        <f>IFERROR(VLOOKUP(B253,BD_CONTROL!$A$5:$M$4235,11,0),"")</f>
        <v>0</v>
      </c>
      <c r="L253" s="120">
        <f>IFERROR(VLOOKUP(B253,BD_CONTROL!$A$5:$M$4235,12,0),"")</f>
        <v>0</v>
      </c>
      <c r="M253" s="121">
        <f>IFERROR(VLOOKUP(B253,BD_CONTROL!$A$5:$M$4235,13,0),"")</f>
        <v>0</v>
      </c>
    </row>
    <row r="254" spans="1:13" ht="15" customHeight="1">
      <c r="A254" s="39">
        <v>249</v>
      </c>
      <c r="B254" s="39" t="s">
        <v>1408</v>
      </c>
      <c r="C254" s="40" t="s">
        <v>1409</v>
      </c>
      <c r="D254" s="39" t="s">
        <v>1200</v>
      </c>
      <c r="E254" s="40" t="s">
        <v>1388</v>
      </c>
      <c r="F254" s="40" t="s">
        <v>1410</v>
      </c>
      <c r="G254" s="39" t="s">
        <v>109</v>
      </c>
      <c r="H254" s="40" t="s">
        <v>435</v>
      </c>
      <c r="I254" s="40" t="s">
        <v>104</v>
      </c>
      <c r="J254" s="50"/>
      <c r="K254" s="116">
        <f>IFERROR(VLOOKUP(B254,BD_CONTROL!$A$5:$M$4235,11,0),"")</f>
        <v>0</v>
      </c>
      <c r="L254" s="117">
        <f>IFERROR(VLOOKUP(B254,BD_CONTROL!$A$5:$M$4235,12,0),"")</f>
        <v>0</v>
      </c>
      <c r="M254" s="118">
        <f>IFERROR(VLOOKUP(B254,BD_CONTROL!$A$5:$M$4235,13,0),"")</f>
        <v>0</v>
      </c>
    </row>
    <row r="255" spans="1:13" ht="15" customHeight="1">
      <c r="A255" s="42">
        <v>250</v>
      </c>
      <c r="B255" s="42" t="s">
        <v>1411</v>
      </c>
      <c r="C255" s="43" t="s">
        <v>1412</v>
      </c>
      <c r="D255" s="42" t="s">
        <v>1200</v>
      </c>
      <c r="E255" s="43" t="s">
        <v>563</v>
      </c>
      <c r="F255" s="43" t="s">
        <v>1413</v>
      </c>
      <c r="G255" s="42" t="s">
        <v>109</v>
      </c>
      <c r="H255" s="43" t="s">
        <v>435</v>
      </c>
      <c r="I255" s="43" t="s">
        <v>104</v>
      </c>
      <c r="J255" s="55"/>
      <c r="K255" s="119">
        <f>IFERROR(VLOOKUP(B255,BD_CONTROL!$A$5:$M$4235,11,0),"")</f>
        <v>0</v>
      </c>
      <c r="L255" s="120">
        <f>IFERROR(VLOOKUP(B255,BD_CONTROL!$A$5:$M$4235,12,0),"")</f>
        <v>0</v>
      </c>
      <c r="M255" s="121">
        <f>IFERROR(VLOOKUP(B255,BD_CONTROL!$A$5:$M$4235,13,0),"")</f>
        <v>0</v>
      </c>
    </row>
    <row r="256" spans="1:13" ht="15" customHeight="1">
      <c r="A256" s="39">
        <v>251</v>
      </c>
      <c r="B256" s="39" t="s">
        <v>1414</v>
      </c>
      <c r="C256" s="40" t="s">
        <v>1415</v>
      </c>
      <c r="D256" s="39" t="s">
        <v>1200</v>
      </c>
      <c r="E256" s="40" t="s">
        <v>1200</v>
      </c>
      <c r="F256" s="40" t="s">
        <v>1416</v>
      </c>
      <c r="G256" s="39" t="s">
        <v>109</v>
      </c>
      <c r="H256" s="40" t="s">
        <v>435</v>
      </c>
      <c r="I256" s="40" t="s">
        <v>104</v>
      </c>
      <c r="J256" s="50"/>
      <c r="K256" s="116">
        <f>IFERROR(VLOOKUP(B256,BD_CONTROL!$A$5:$M$4235,11,0),"")</f>
        <v>0</v>
      </c>
      <c r="L256" s="117">
        <f>IFERROR(VLOOKUP(B256,BD_CONTROL!$A$5:$M$4235,12,0),"")</f>
        <v>0</v>
      </c>
      <c r="M256" s="118">
        <f>IFERROR(VLOOKUP(B256,BD_CONTROL!$A$5:$M$4235,13,0),"")</f>
        <v>0</v>
      </c>
    </row>
    <row r="257" spans="1:13" ht="15" customHeight="1">
      <c r="A257" s="42">
        <v>252</v>
      </c>
      <c r="B257" s="42" t="s">
        <v>1417</v>
      </c>
      <c r="C257" s="43" t="s">
        <v>1418</v>
      </c>
      <c r="D257" s="42" t="s">
        <v>1200</v>
      </c>
      <c r="E257" s="43" t="s">
        <v>1200</v>
      </c>
      <c r="F257" s="43" t="s">
        <v>1419</v>
      </c>
      <c r="G257" s="42" t="s">
        <v>109</v>
      </c>
      <c r="H257" s="43" t="s">
        <v>435</v>
      </c>
      <c r="I257" s="43" t="s">
        <v>104</v>
      </c>
      <c r="J257" s="55"/>
      <c r="K257" s="119">
        <f>IFERROR(VLOOKUP(B257,BD_CONTROL!$A$5:$M$4235,11,0),"")</f>
        <v>0</v>
      </c>
      <c r="L257" s="120">
        <f>IFERROR(VLOOKUP(B257,BD_CONTROL!$A$5:$M$4235,12,0),"")</f>
        <v>0</v>
      </c>
      <c r="M257" s="121">
        <f>IFERROR(VLOOKUP(B257,BD_CONTROL!$A$5:$M$4235,13,0),"")</f>
        <v>0</v>
      </c>
    </row>
    <row r="258" spans="1:13" ht="15" customHeight="1">
      <c r="A258" s="39">
        <v>253</v>
      </c>
      <c r="B258" s="39" t="s">
        <v>1420</v>
      </c>
      <c r="C258" s="40" t="s">
        <v>1421</v>
      </c>
      <c r="D258" s="39" t="s">
        <v>1200</v>
      </c>
      <c r="E258" s="40" t="s">
        <v>1200</v>
      </c>
      <c r="F258" s="40" t="s">
        <v>1422</v>
      </c>
      <c r="G258" s="39" t="s">
        <v>109</v>
      </c>
      <c r="H258" s="40" t="s">
        <v>435</v>
      </c>
      <c r="I258" s="40" t="s">
        <v>104</v>
      </c>
      <c r="J258" s="50"/>
      <c r="K258" s="116">
        <f>IFERROR(VLOOKUP(B258,BD_CONTROL!$A$5:$M$4235,11,0),"")</f>
        <v>0</v>
      </c>
      <c r="L258" s="117">
        <f>IFERROR(VLOOKUP(B258,BD_CONTROL!$A$5:$M$4235,12,0),"")</f>
        <v>0</v>
      </c>
      <c r="M258" s="118">
        <f>IFERROR(VLOOKUP(B258,BD_CONTROL!$A$5:$M$4235,13,0),"")</f>
        <v>0</v>
      </c>
    </row>
    <row r="259" spans="1:13" ht="15" customHeight="1">
      <c r="A259" s="42">
        <v>254</v>
      </c>
      <c r="B259" s="42" t="s">
        <v>1423</v>
      </c>
      <c r="C259" s="43" t="s">
        <v>1424</v>
      </c>
      <c r="D259" s="42" t="s">
        <v>1200</v>
      </c>
      <c r="E259" s="43" t="s">
        <v>1251</v>
      </c>
      <c r="F259" s="43" t="s">
        <v>1425</v>
      </c>
      <c r="G259" s="42" t="s">
        <v>109</v>
      </c>
      <c r="H259" s="43" t="s">
        <v>435</v>
      </c>
      <c r="I259" s="43" t="s">
        <v>104</v>
      </c>
      <c r="J259" s="55"/>
      <c r="K259" s="119">
        <f>IFERROR(VLOOKUP(B259,BD_CONTROL!$A$5:$M$4235,11,0),"")</f>
        <v>0</v>
      </c>
      <c r="L259" s="120">
        <f>IFERROR(VLOOKUP(B259,BD_CONTROL!$A$5:$M$4235,12,0),"")</f>
        <v>0</v>
      </c>
      <c r="M259" s="121">
        <f>IFERROR(VLOOKUP(B259,BD_CONTROL!$A$5:$M$4235,13,0),"")</f>
        <v>0</v>
      </c>
    </row>
    <row r="260" spans="1:13" ht="15" customHeight="1">
      <c r="A260" s="39">
        <v>255</v>
      </c>
      <c r="B260" s="39" t="s">
        <v>1426</v>
      </c>
      <c r="C260" s="40" t="s">
        <v>1427</v>
      </c>
      <c r="D260" s="39" t="s">
        <v>1200</v>
      </c>
      <c r="E260" s="40" t="s">
        <v>1357</v>
      </c>
      <c r="F260" s="40" t="s">
        <v>1428</v>
      </c>
      <c r="G260" s="39" t="s">
        <v>109</v>
      </c>
      <c r="H260" s="40" t="s">
        <v>435</v>
      </c>
      <c r="I260" s="40" t="s">
        <v>104</v>
      </c>
      <c r="J260" s="50"/>
      <c r="K260" s="116">
        <f>IFERROR(VLOOKUP(B260,BD_CONTROL!$A$5:$M$4235,11,0),"")</f>
        <v>0</v>
      </c>
      <c r="L260" s="117">
        <f>IFERROR(VLOOKUP(B260,BD_CONTROL!$A$5:$M$4235,12,0),"")</f>
        <v>0</v>
      </c>
      <c r="M260" s="118">
        <f>IFERROR(VLOOKUP(B260,BD_CONTROL!$A$5:$M$4235,13,0),"")</f>
        <v>0</v>
      </c>
    </row>
    <row r="261" spans="1:13" ht="15" customHeight="1">
      <c r="A261" s="42">
        <v>256</v>
      </c>
      <c r="B261" s="42" t="s">
        <v>1429</v>
      </c>
      <c r="C261" s="43" t="s">
        <v>1430</v>
      </c>
      <c r="D261" s="42" t="s">
        <v>1200</v>
      </c>
      <c r="E261" s="43" t="s">
        <v>1200</v>
      </c>
      <c r="F261" s="43" t="s">
        <v>1431</v>
      </c>
      <c r="G261" s="42" t="s">
        <v>109</v>
      </c>
      <c r="H261" s="43" t="s">
        <v>435</v>
      </c>
      <c r="I261" s="43" t="s">
        <v>104</v>
      </c>
      <c r="J261" s="55"/>
      <c r="K261" s="119">
        <f>IFERROR(VLOOKUP(B261,BD_CONTROL!$A$5:$M$4235,11,0),"")</f>
        <v>0</v>
      </c>
      <c r="L261" s="120">
        <f>IFERROR(VLOOKUP(B261,BD_CONTROL!$A$5:$M$4235,12,0),"")</f>
        <v>0</v>
      </c>
      <c r="M261" s="121">
        <f>IFERROR(VLOOKUP(B261,BD_CONTROL!$A$5:$M$4235,13,0),"")</f>
        <v>0</v>
      </c>
    </row>
    <row r="262" spans="1:13" ht="15" customHeight="1">
      <c r="A262" s="39">
        <v>257</v>
      </c>
      <c r="B262" s="39" t="s">
        <v>1432</v>
      </c>
      <c r="C262" s="40" t="s">
        <v>1433</v>
      </c>
      <c r="D262" s="39" t="s">
        <v>1200</v>
      </c>
      <c r="E262" s="40" t="s">
        <v>1200</v>
      </c>
      <c r="F262" s="40" t="s">
        <v>1434</v>
      </c>
      <c r="G262" s="39" t="s">
        <v>109</v>
      </c>
      <c r="H262" s="40" t="s">
        <v>435</v>
      </c>
      <c r="I262" s="40" t="s">
        <v>104</v>
      </c>
      <c r="J262" s="50"/>
      <c r="K262" s="116">
        <f>IFERROR(VLOOKUP(B262,BD_CONTROL!$A$5:$M$4235,11,0),"")</f>
        <v>0</v>
      </c>
      <c r="L262" s="117">
        <f>IFERROR(VLOOKUP(B262,BD_CONTROL!$A$5:$M$4235,12,0),"")</f>
        <v>0</v>
      </c>
      <c r="M262" s="118">
        <f>IFERROR(VLOOKUP(B262,BD_CONTROL!$A$5:$M$4235,13,0),"")</f>
        <v>0</v>
      </c>
    </row>
    <row r="263" spans="1:13" ht="15" customHeight="1">
      <c r="A263" s="42">
        <v>258</v>
      </c>
      <c r="B263" s="42" t="s">
        <v>1435</v>
      </c>
      <c r="C263" s="43" t="s">
        <v>1436</v>
      </c>
      <c r="D263" s="42" t="s">
        <v>1200</v>
      </c>
      <c r="E263" s="43" t="s">
        <v>1200</v>
      </c>
      <c r="F263" s="43" t="s">
        <v>1437</v>
      </c>
      <c r="G263" s="42" t="s">
        <v>109</v>
      </c>
      <c r="H263" s="43" t="s">
        <v>435</v>
      </c>
      <c r="I263" s="43" t="s">
        <v>104</v>
      </c>
      <c r="J263" s="55"/>
      <c r="K263" s="119">
        <f>IFERROR(VLOOKUP(B263,BD_CONTROL!$A$5:$M$4235,11,0),"")</f>
        <v>0</v>
      </c>
      <c r="L263" s="120">
        <f>IFERROR(VLOOKUP(B263,BD_CONTROL!$A$5:$M$4235,12,0),"")</f>
        <v>0</v>
      </c>
      <c r="M263" s="121">
        <f>IFERROR(VLOOKUP(B263,BD_CONTROL!$A$5:$M$4235,13,0),"")</f>
        <v>0</v>
      </c>
    </row>
    <row r="264" spans="1:13" ht="15" customHeight="1">
      <c r="A264" s="39">
        <v>259</v>
      </c>
      <c r="B264" s="39" t="s">
        <v>1438</v>
      </c>
      <c r="C264" s="40" t="s">
        <v>1439</v>
      </c>
      <c r="D264" s="39" t="s">
        <v>1200</v>
      </c>
      <c r="E264" s="40" t="s">
        <v>1378</v>
      </c>
      <c r="F264" s="40" t="s">
        <v>1440</v>
      </c>
      <c r="G264" s="39" t="s">
        <v>109</v>
      </c>
      <c r="H264" s="40" t="s">
        <v>435</v>
      </c>
      <c r="I264" s="40" t="s">
        <v>104</v>
      </c>
      <c r="J264" s="50"/>
      <c r="K264" s="116">
        <f>IFERROR(VLOOKUP(B264,BD_CONTROL!$A$5:$M$4235,11,0),"")</f>
        <v>0</v>
      </c>
      <c r="L264" s="117">
        <f>IFERROR(VLOOKUP(B264,BD_CONTROL!$A$5:$M$4235,12,0),"")</f>
        <v>0</v>
      </c>
      <c r="M264" s="118">
        <f>IFERROR(VLOOKUP(B264,BD_CONTROL!$A$5:$M$4235,13,0),"")</f>
        <v>0</v>
      </c>
    </row>
    <row r="265" spans="1:13" ht="15" customHeight="1">
      <c r="A265" s="42">
        <v>260</v>
      </c>
      <c r="B265" s="42" t="s">
        <v>1441</v>
      </c>
      <c r="C265" s="43" t="s">
        <v>1442</v>
      </c>
      <c r="D265" s="42" t="s">
        <v>1200</v>
      </c>
      <c r="E265" s="43" t="s">
        <v>1404</v>
      </c>
      <c r="F265" s="43" t="s">
        <v>1443</v>
      </c>
      <c r="G265" s="42" t="s">
        <v>109</v>
      </c>
      <c r="H265" s="43" t="s">
        <v>435</v>
      </c>
      <c r="I265" s="43" t="s">
        <v>104</v>
      </c>
      <c r="J265" s="55"/>
      <c r="K265" s="119">
        <f>IFERROR(VLOOKUP(B265,BD_CONTROL!$A$5:$M$4235,11,0),"")</f>
        <v>0</v>
      </c>
      <c r="L265" s="120">
        <f>IFERROR(VLOOKUP(B265,BD_CONTROL!$A$5:$M$4235,12,0),"")</f>
        <v>0</v>
      </c>
      <c r="M265" s="121">
        <f>IFERROR(VLOOKUP(B265,BD_CONTROL!$A$5:$M$4235,13,0),"")</f>
        <v>0</v>
      </c>
    </row>
    <row r="266" spans="1:13" ht="15" customHeight="1">
      <c r="A266" s="39">
        <v>261</v>
      </c>
      <c r="B266" s="39" t="s">
        <v>1444</v>
      </c>
      <c r="C266" s="40" t="s">
        <v>1445</v>
      </c>
      <c r="D266" s="39" t="s">
        <v>1200</v>
      </c>
      <c r="E266" s="40" t="s">
        <v>1200</v>
      </c>
      <c r="F266" s="40" t="s">
        <v>1446</v>
      </c>
      <c r="G266" s="39" t="s">
        <v>109</v>
      </c>
      <c r="H266" s="40" t="s">
        <v>435</v>
      </c>
      <c r="I266" s="40" t="s">
        <v>104</v>
      </c>
      <c r="J266" s="50"/>
      <c r="K266" s="116">
        <f>IFERROR(VLOOKUP(B266,BD_CONTROL!$A$5:$M$4235,11,0),"")</f>
        <v>0</v>
      </c>
      <c r="L266" s="117">
        <f>IFERROR(VLOOKUP(B266,BD_CONTROL!$A$5:$M$4235,12,0),"")</f>
        <v>0</v>
      </c>
      <c r="M266" s="118">
        <f>IFERROR(VLOOKUP(B266,BD_CONTROL!$A$5:$M$4235,13,0),"")</f>
        <v>0</v>
      </c>
    </row>
    <row r="267" spans="1:13" ht="15" customHeight="1">
      <c r="A267" s="42">
        <v>262</v>
      </c>
      <c r="B267" s="42" t="s">
        <v>1447</v>
      </c>
      <c r="C267" s="43" t="s">
        <v>1448</v>
      </c>
      <c r="D267" s="42" t="s">
        <v>1200</v>
      </c>
      <c r="E267" s="43" t="s">
        <v>1404</v>
      </c>
      <c r="F267" s="43" t="s">
        <v>1449</v>
      </c>
      <c r="G267" s="42" t="s">
        <v>109</v>
      </c>
      <c r="H267" s="43" t="s">
        <v>435</v>
      </c>
      <c r="I267" s="43" t="s">
        <v>104</v>
      </c>
      <c r="J267" s="55"/>
      <c r="K267" s="119">
        <f>IFERROR(VLOOKUP(B267,BD_CONTROL!$A$5:$M$4235,11,0),"")</f>
        <v>0</v>
      </c>
      <c r="L267" s="120">
        <f>IFERROR(VLOOKUP(B267,BD_CONTROL!$A$5:$M$4235,12,0),"")</f>
        <v>0</v>
      </c>
      <c r="M267" s="121">
        <f>IFERROR(VLOOKUP(B267,BD_CONTROL!$A$5:$M$4235,13,0),"")</f>
        <v>0</v>
      </c>
    </row>
    <row r="268" spans="1:13" ht="15" customHeight="1">
      <c r="A268" s="39">
        <v>263</v>
      </c>
      <c r="B268" s="39" t="s">
        <v>1450</v>
      </c>
      <c r="C268" s="40" t="s">
        <v>1451</v>
      </c>
      <c r="D268" s="39" t="s">
        <v>1200</v>
      </c>
      <c r="E268" s="40" t="s">
        <v>1404</v>
      </c>
      <c r="F268" s="40" t="s">
        <v>1452</v>
      </c>
      <c r="G268" s="39" t="s">
        <v>109</v>
      </c>
      <c r="H268" s="40" t="s">
        <v>435</v>
      </c>
      <c r="I268" s="40" t="s">
        <v>104</v>
      </c>
      <c r="J268" s="50"/>
      <c r="K268" s="116">
        <f>IFERROR(VLOOKUP(B268,BD_CONTROL!$A$5:$M$4235,11,0),"")</f>
        <v>0</v>
      </c>
      <c r="L268" s="117">
        <f>IFERROR(VLOOKUP(B268,BD_CONTROL!$A$5:$M$4235,12,0),"")</f>
        <v>0</v>
      </c>
      <c r="M268" s="118">
        <f>IFERROR(VLOOKUP(B268,BD_CONTROL!$A$5:$M$4235,13,0),"")</f>
        <v>0</v>
      </c>
    </row>
    <row r="269" spans="1:13" ht="15" customHeight="1">
      <c r="A269" s="42">
        <v>264</v>
      </c>
      <c r="B269" s="42" t="s">
        <v>1453</v>
      </c>
      <c r="C269" s="43" t="s">
        <v>1454</v>
      </c>
      <c r="D269" s="42" t="s">
        <v>1200</v>
      </c>
      <c r="E269" s="43" t="s">
        <v>1200</v>
      </c>
      <c r="F269" s="43" t="s">
        <v>1455</v>
      </c>
      <c r="G269" s="42" t="s">
        <v>109</v>
      </c>
      <c r="H269" s="43" t="s">
        <v>435</v>
      </c>
      <c r="I269" s="43" t="s">
        <v>104</v>
      </c>
      <c r="J269" s="55"/>
      <c r="K269" s="119">
        <f>IFERROR(VLOOKUP(B269,BD_CONTROL!$A$5:$M$4235,11,0),"")</f>
        <v>0</v>
      </c>
      <c r="L269" s="120">
        <f>IFERROR(VLOOKUP(B269,BD_CONTROL!$A$5:$M$4235,12,0),"")</f>
        <v>0</v>
      </c>
      <c r="M269" s="121">
        <f>IFERROR(VLOOKUP(B269,BD_CONTROL!$A$5:$M$4235,13,0),"")</f>
        <v>0</v>
      </c>
    </row>
    <row r="270" spans="1:13" ht="15" customHeight="1">
      <c r="A270" s="39">
        <v>265</v>
      </c>
      <c r="B270" s="39" t="s">
        <v>1456</v>
      </c>
      <c r="C270" s="40" t="s">
        <v>1457</v>
      </c>
      <c r="D270" s="39" t="s">
        <v>1200</v>
      </c>
      <c r="E270" s="40" t="s">
        <v>1200</v>
      </c>
      <c r="F270" s="40" t="s">
        <v>1200</v>
      </c>
      <c r="G270" s="39" t="s">
        <v>109</v>
      </c>
      <c r="H270" s="40" t="s">
        <v>435</v>
      </c>
      <c r="I270" s="40" t="s">
        <v>104</v>
      </c>
      <c r="J270" s="50"/>
      <c r="K270" s="116">
        <f>IFERROR(VLOOKUP(B270,BD_CONTROL!$A$5:$M$4235,11,0),"")</f>
        <v>0</v>
      </c>
      <c r="L270" s="117">
        <f>IFERROR(VLOOKUP(B270,BD_CONTROL!$A$5:$M$4235,12,0),"")</f>
        <v>0</v>
      </c>
      <c r="M270" s="118">
        <f>IFERROR(VLOOKUP(B270,BD_CONTROL!$A$5:$M$4235,13,0),"")</f>
        <v>0</v>
      </c>
    </row>
    <row r="271" spans="1:13" ht="15" customHeight="1">
      <c r="A271" s="42">
        <v>266</v>
      </c>
      <c r="B271" s="42" t="s">
        <v>1458</v>
      </c>
      <c r="C271" s="43" t="s">
        <v>1459</v>
      </c>
      <c r="D271" s="42" t="s">
        <v>1200</v>
      </c>
      <c r="E271" s="43" t="s">
        <v>1304</v>
      </c>
      <c r="F271" s="43" t="s">
        <v>1460</v>
      </c>
      <c r="G271" s="42" t="s">
        <v>109</v>
      </c>
      <c r="H271" s="43" t="s">
        <v>435</v>
      </c>
      <c r="I271" s="43" t="s">
        <v>104</v>
      </c>
      <c r="J271" s="55"/>
      <c r="K271" s="119">
        <f>IFERROR(VLOOKUP(B271,BD_CONTROL!$A$5:$M$4235,11,0),"")</f>
        <v>0</v>
      </c>
      <c r="L271" s="120">
        <f>IFERROR(VLOOKUP(B271,BD_CONTROL!$A$5:$M$4235,12,0),"")</f>
        <v>0</v>
      </c>
      <c r="M271" s="121">
        <f>IFERROR(VLOOKUP(B271,BD_CONTROL!$A$5:$M$4235,13,0),"")</f>
        <v>0</v>
      </c>
    </row>
    <row r="272" spans="1:13" ht="15" customHeight="1">
      <c r="A272" s="39">
        <v>267</v>
      </c>
      <c r="B272" s="39" t="s">
        <v>1461</v>
      </c>
      <c r="C272" s="40" t="s">
        <v>1462</v>
      </c>
      <c r="D272" s="39" t="s">
        <v>1200</v>
      </c>
      <c r="E272" s="40" t="s">
        <v>1286</v>
      </c>
      <c r="F272" s="40" t="s">
        <v>1463</v>
      </c>
      <c r="G272" s="39" t="s">
        <v>109</v>
      </c>
      <c r="H272" s="40" t="s">
        <v>435</v>
      </c>
      <c r="I272" s="40" t="s">
        <v>104</v>
      </c>
      <c r="J272" s="50"/>
      <c r="K272" s="116">
        <f>IFERROR(VLOOKUP(B272,BD_CONTROL!$A$5:$M$4235,11,0),"")</f>
        <v>0</v>
      </c>
      <c r="L272" s="117">
        <f>IFERROR(VLOOKUP(B272,BD_CONTROL!$A$5:$M$4235,12,0),"")</f>
        <v>0</v>
      </c>
      <c r="M272" s="118">
        <f>IFERROR(VLOOKUP(B272,BD_CONTROL!$A$5:$M$4235,13,0),"")</f>
        <v>0</v>
      </c>
    </row>
    <row r="273" spans="1:13" ht="15" customHeight="1">
      <c r="A273" s="42">
        <v>268</v>
      </c>
      <c r="B273" s="42" t="s">
        <v>1464</v>
      </c>
      <c r="C273" s="43" t="s">
        <v>1465</v>
      </c>
      <c r="D273" s="42" t="s">
        <v>1200</v>
      </c>
      <c r="E273" s="43" t="s">
        <v>1466</v>
      </c>
      <c r="F273" s="43" t="s">
        <v>1467</v>
      </c>
      <c r="G273" s="42" t="s">
        <v>109</v>
      </c>
      <c r="H273" s="43" t="s">
        <v>435</v>
      </c>
      <c r="I273" s="43" t="s">
        <v>104</v>
      </c>
      <c r="J273" s="55"/>
      <c r="K273" s="119">
        <f>IFERROR(VLOOKUP(B273,BD_CONTROL!$A$5:$M$4235,11,0),"")</f>
        <v>0</v>
      </c>
      <c r="L273" s="120">
        <f>IFERROR(VLOOKUP(B273,BD_CONTROL!$A$5:$M$4235,12,0),"")</f>
        <v>0</v>
      </c>
      <c r="M273" s="121">
        <f>IFERROR(VLOOKUP(B273,BD_CONTROL!$A$5:$M$4235,13,0),"")</f>
        <v>0</v>
      </c>
    </row>
    <row r="274" spans="1:13" ht="15" customHeight="1">
      <c r="A274" s="39">
        <v>269</v>
      </c>
      <c r="B274" s="39" t="s">
        <v>1468</v>
      </c>
      <c r="C274" s="40" t="s">
        <v>1469</v>
      </c>
      <c r="D274" s="39" t="s">
        <v>1200</v>
      </c>
      <c r="E274" s="40" t="s">
        <v>1200</v>
      </c>
      <c r="F274" s="40" t="s">
        <v>1470</v>
      </c>
      <c r="G274" s="39" t="s">
        <v>109</v>
      </c>
      <c r="H274" s="40" t="s">
        <v>435</v>
      </c>
      <c r="I274" s="40" t="s">
        <v>104</v>
      </c>
      <c r="J274" s="50"/>
      <c r="K274" s="116">
        <f>IFERROR(VLOOKUP(B274,BD_CONTROL!$A$5:$M$4235,11,0),"")</f>
        <v>0</v>
      </c>
      <c r="L274" s="117">
        <f>IFERROR(VLOOKUP(B274,BD_CONTROL!$A$5:$M$4235,12,0),"")</f>
        <v>0</v>
      </c>
      <c r="M274" s="118">
        <f>IFERROR(VLOOKUP(B274,BD_CONTROL!$A$5:$M$4235,13,0),"")</f>
        <v>0</v>
      </c>
    </row>
    <row r="275" spans="1:13" ht="15" customHeight="1">
      <c r="A275" s="42">
        <v>270</v>
      </c>
      <c r="B275" s="42" t="s">
        <v>1471</v>
      </c>
      <c r="C275" s="43" t="s">
        <v>1472</v>
      </c>
      <c r="D275" s="42" t="s">
        <v>1200</v>
      </c>
      <c r="E275" s="43" t="s">
        <v>1241</v>
      </c>
      <c r="F275" s="43" t="s">
        <v>1295</v>
      </c>
      <c r="G275" s="42" t="s">
        <v>109</v>
      </c>
      <c r="H275" s="43" t="s">
        <v>435</v>
      </c>
      <c r="I275" s="43" t="s">
        <v>104</v>
      </c>
      <c r="J275" s="55"/>
      <c r="K275" s="119">
        <f>IFERROR(VLOOKUP(B275,BD_CONTROL!$A$5:$M$4235,11,0),"")</f>
        <v>0</v>
      </c>
      <c r="L275" s="120">
        <f>IFERROR(VLOOKUP(B275,BD_CONTROL!$A$5:$M$4235,12,0),"")</f>
        <v>0</v>
      </c>
      <c r="M275" s="121">
        <f>IFERROR(VLOOKUP(B275,BD_CONTROL!$A$5:$M$4235,13,0),"")</f>
        <v>0</v>
      </c>
    </row>
    <row r="276" spans="1:13" ht="15" customHeight="1">
      <c r="A276" s="39">
        <v>271</v>
      </c>
      <c r="B276" s="39" t="s">
        <v>1473</v>
      </c>
      <c r="C276" s="40" t="s">
        <v>1474</v>
      </c>
      <c r="D276" s="39" t="s">
        <v>1200</v>
      </c>
      <c r="E276" s="40" t="s">
        <v>1304</v>
      </c>
      <c r="F276" s="40" t="s">
        <v>1398</v>
      </c>
      <c r="G276" s="39" t="s">
        <v>109</v>
      </c>
      <c r="H276" s="40" t="s">
        <v>435</v>
      </c>
      <c r="I276" s="40" t="s">
        <v>104</v>
      </c>
      <c r="J276" s="50"/>
      <c r="K276" s="116" t="str">
        <f>IFERROR(VLOOKUP(B276,BD_CONTROL!$A$5:$M$4235,11,0),"")</f>
        <v>Instalado - Operando</v>
      </c>
      <c r="L276" s="117">
        <f>IFERROR(VLOOKUP(B276,BD_CONTROL!$A$5:$M$4235,12,0),"")</f>
        <v>46151</v>
      </c>
      <c r="M276" s="118">
        <f>IFERROR(VLOOKUP(B276,BD_CONTROL!$A$5:$M$4235,13,0),"")</f>
        <v>0</v>
      </c>
    </row>
    <row r="277" spans="1:13" ht="15" customHeight="1">
      <c r="A277" s="42">
        <v>272</v>
      </c>
      <c r="B277" s="42" t="s">
        <v>1475</v>
      </c>
      <c r="C277" s="43" t="s">
        <v>1476</v>
      </c>
      <c r="D277" s="42" t="s">
        <v>1200</v>
      </c>
      <c r="E277" s="43" t="s">
        <v>1404</v>
      </c>
      <c r="F277" s="43" t="s">
        <v>880</v>
      </c>
      <c r="G277" s="42" t="s">
        <v>109</v>
      </c>
      <c r="H277" s="43" t="s">
        <v>435</v>
      </c>
      <c r="I277" s="43" t="s">
        <v>104</v>
      </c>
      <c r="J277" s="55"/>
      <c r="K277" s="119">
        <f>IFERROR(VLOOKUP(B277,BD_CONTROL!$A$5:$M$4235,11,0),"")</f>
        <v>0</v>
      </c>
      <c r="L277" s="120">
        <f>IFERROR(VLOOKUP(B277,BD_CONTROL!$A$5:$M$4235,12,0),"")</f>
        <v>0</v>
      </c>
      <c r="M277" s="121">
        <f>IFERROR(VLOOKUP(B277,BD_CONTROL!$A$5:$M$4235,13,0),"")</f>
        <v>0</v>
      </c>
    </row>
    <row r="278" spans="1:13" ht="15" customHeight="1">
      <c r="A278" s="39">
        <v>273</v>
      </c>
      <c r="B278" s="39" t="s">
        <v>1477</v>
      </c>
      <c r="C278" s="40" t="s">
        <v>1478</v>
      </c>
      <c r="D278" s="39" t="s">
        <v>1200</v>
      </c>
      <c r="E278" s="40" t="s">
        <v>1404</v>
      </c>
      <c r="F278" s="40" t="s">
        <v>1479</v>
      </c>
      <c r="G278" s="39" t="s">
        <v>109</v>
      </c>
      <c r="H278" s="40" t="s">
        <v>435</v>
      </c>
      <c r="I278" s="40" t="s">
        <v>104</v>
      </c>
      <c r="J278" s="50"/>
      <c r="K278" s="116">
        <f>IFERROR(VLOOKUP(B278,BD_CONTROL!$A$5:$M$4235,11,0),"")</f>
        <v>0</v>
      </c>
      <c r="L278" s="117">
        <f>IFERROR(VLOOKUP(B278,BD_CONTROL!$A$5:$M$4235,12,0),"")</f>
        <v>0</v>
      </c>
      <c r="M278" s="118">
        <f>IFERROR(VLOOKUP(B278,BD_CONTROL!$A$5:$M$4235,13,0),"")</f>
        <v>0</v>
      </c>
    </row>
    <row r="279" spans="1:13" ht="15" customHeight="1">
      <c r="A279" s="42">
        <v>274</v>
      </c>
      <c r="B279" s="42" t="s">
        <v>1480</v>
      </c>
      <c r="C279" s="43" t="s">
        <v>1481</v>
      </c>
      <c r="D279" s="42" t="s">
        <v>1200</v>
      </c>
      <c r="E279" s="43" t="s">
        <v>1241</v>
      </c>
      <c r="F279" s="43" t="s">
        <v>1482</v>
      </c>
      <c r="G279" s="42" t="s">
        <v>109</v>
      </c>
      <c r="H279" s="43" t="s">
        <v>435</v>
      </c>
      <c r="I279" s="43" t="s">
        <v>104</v>
      </c>
      <c r="J279" s="55"/>
      <c r="K279" s="119">
        <f>IFERROR(VLOOKUP(B279,BD_CONTROL!$A$5:$M$4235,11,0),"")</f>
        <v>0</v>
      </c>
      <c r="L279" s="120">
        <f>IFERROR(VLOOKUP(B279,BD_CONTROL!$A$5:$M$4235,12,0),"")</f>
        <v>0</v>
      </c>
      <c r="M279" s="121">
        <f>IFERROR(VLOOKUP(B279,BD_CONTROL!$A$5:$M$4235,13,0),"")</f>
        <v>0</v>
      </c>
    </row>
    <row r="280" spans="1:13" ht="15" customHeight="1">
      <c r="A280" s="39">
        <v>275</v>
      </c>
      <c r="B280" s="39" t="s">
        <v>1483</v>
      </c>
      <c r="C280" s="40" t="s">
        <v>1484</v>
      </c>
      <c r="D280" s="39" t="s">
        <v>1200</v>
      </c>
      <c r="E280" s="40" t="s">
        <v>1200</v>
      </c>
      <c r="F280" s="40" t="s">
        <v>1244</v>
      </c>
      <c r="G280" s="39" t="s">
        <v>109</v>
      </c>
      <c r="H280" s="40" t="s">
        <v>435</v>
      </c>
      <c r="I280" s="40" t="s">
        <v>104</v>
      </c>
      <c r="J280" s="50"/>
      <c r="K280" s="116">
        <f>IFERROR(VLOOKUP(B280,BD_CONTROL!$A$5:$M$4235,11,0),"")</f>
        <v>0</v>
      </c>
      <c r="L280" s="117">
        <f>IFERROR(VLOOKUP(B280,BD_CONTROL!$A$5:$M$4235,12,0),"")</f>
        <v>0</v>
      </c>
      <c r="M280" s="118">
        <f>IFERROR(VLOOKUP(B280,BD_CONTROL!$A$5:$M$4235,13,0),"")</f>
        <v>0</v>
      </c>
    </row>
    <row r="281" spans="1:13" ht="15" customHeight="1">
      <c r="A281" s="42">
        <v>276</v>
      </c>
      <c r="B281" s="42" t="s">
        <v>1485</v>
      </c>
      <c r="C281" s="43" t="s">
        <v>1486</v>
      </c>
      <c r="D281" s="42" t="s">
        <v>1200</v>
      </c>
      <c r="E281" s="43" t="s">
        <v>1286</v>
      </c>
      <c r="F281" s="43" t="s">
        <v>1002</v>
      </c>
      <c r="G281" s="42" t="s">
        <v>109</v>
      </c>
      <c r="H281" s="43" t="s">
        <v>435</v>
      </c>
      <c r="I281" s="43" t="s">
        <v>104</v>
      </c>
      <c r="J281" s="55"/>
      <c r="K281" s="119">
        <f>IFERROR(VLOOKUP(B281,BD_CONTROL!$A$5:$M$4235,11,0),"")</f>
        <v>0</v>
      </c>
      <c r="L281" s="120">
        <f>IFERROR(VLOOKUP(B281,BD_CONTROL!$A$5:$M$4235,12,0),"")</f>
        <v>0</v>
      </c>
      <c r="M281" s="121">
        <f>IFERROR(VLOOKUP(B281,BD_CONTROL!$A$5:$M$4235,13,0),"")</f>
        <v>0</v>
      </c>
    </row>
    <row r="282" spans="1:13" ht="15" customHeight="1">
      <c r="A282" s="39">
        <v>277</v>
      </c>
      <c r="B282" s="39" t="s">
        <v>1487</v>
      </c>
      <c r="C282" s="40" t="s">
        <v>1488</v>
      </c>
      <c r="D282" s="39" t="s">
        <v>1200</v>
      </c>
      <c r="E282" s="40" t="s">
        <v>1286</v>
      </c>
      <c r="F282" s="40" t="s">
        <v>1489</v>
      </c>
      <c r="G282" s="39" t="s">
        <v>109</v>
      </c>
      <c r="H282" s="40" t="s">
        <v>435</v>
      </c>
      <c r="I282" s="40" t="s">
        <v>104</v>
      </c>
      <c r="J282" s="50"/>
      <c r="K282" s="116">
        <f>IFERROR(VLOOKUP(B282,BD_CONTROL!$A$5:$M$4235,11,0),"")</f>
        <v>0</v>
      </c>
      <c r="L282" s="117">
        <f>IFERROR(VLOOKUP(B282,BD_CONTROL!$A$5:$M$4235,12,0),"")</f>
        <v>0</v>
      </c>
      <c r="M282" s="118">
        <f>IFERROR(VLOOKUP(B282,BD_CONTROL!$A$5:$M$4235,13,0),"")</f>
        <v>0</v>
      </c>
    </row>
    <row r="283" spans="1:13" ht="15" customHeight="1">
      <c r="A283" s="42">
        <v>278</v>
      </c>
      <c r="B283" s="42" t="s">
        <v>1490</v>
      </c>
      <c r="C283" s="43" t="s">
        <v>1491</v>
      </c>
      <c r="D283" s="42" t="s">
        <v>1200</v>
      </c>
      <c r="E283" s="43" t="s">
        <v>1215</v>
      </c>
      <c r="F283" s="43" t="s">
        <v>1219</v>
      </c>
      <c r="G283" s="42" t="s">
        <v>109</v>
      </c>
      <c r="H283" s="43" t="s">
        <v>435</v>
      </c>
      <c r="I283" s="43" t="s">
        <v>104</v>
      </c>
      <c r="J283" s="55"/>
      <c r="K283" s="119">
        <f>IFERROR(VLOOKUP(B283,BD_CONTROL!$A$5:$M$4235,11,0),"")</f>
        <v>0</v>
      </c>
      <c r="L283" s="120">
        <f>IFERROR(VLOOKUP(B283,BD_CONTROL!$A$5:$M$4235,12,0),"")</f>
        <v>0</v>
      </c>
      <c r="M283" s="121">
        <f>IFERROR(VLOOKUP(B283,BD_CONTROL!$A$5:$M$4235,13,0),"")</f>
        <v>0</v>
      </c>
    </row>
    <row r="284" spans="1:13" ht="15" customHeight="1">
      <c r="A284" s="39">
        <v>279</v>
      </c>
      <c r="B284" s="39" t="s">
        <v>1492</v>
      </c>
      <c r="C284" s="40" t="s">
        <v>1493</v>
      </c>
      <c r="D284" s="39" t="s">
        <v>1200</v>
      </c>
      <c r="E284" s="40" t="s">
        <v>1322</v>
      </c>
      <c r="F284" s="40" t="s">
        <v>1494</v>
      </c>
      <c r="G284" s="39" t="s">
        <v>109</v>
      </c>
      <c r="H284" s="40" t="s">
        <v>435</v>
      </c>
      <c r="I284" s="40" t="s">
        <v>104</v>
      </c>
      <c r="J284" s="50"/>
      <c r="K284" s="116">
        <f>IFERROR(VLOOKUP(B284,BD_CONTROL!$A$5:$M$4235,11,0),"")</f>
        <v>0</v>
      </c>
      <c r="L284" s="117">
        <f>IFERROR(VLOOKUP(B284,BD_CONTROL!$A$5:$M$4235,12,0),"")</f>
        <v>0</v>
      </c>
      <c r="M284" s="118">
        <f>IFERROR(VLOOKUP(B284,BD_CONTROL!$A$5:$M$4235,13,0),"")</f>
        <v>0</v>
      </c>
    </row>
    <row r="285" spans="1:13" ht="15" customHeight="1">
      <c r="A285" s="42">
        <v>280</v>
      </c>
      <c r="B285" s="42" t="s">
        <v>1495</v>
      </c>
      <c r="C285" s="43" t="s">
        <v>1496</v>
      </c>
      <c r="D285" s="42" t="s">
        <v>1200</v>
      </c>
      <c r="E285" s="43" t="s">
        <v>1310</v>
      </c>
      <c r="F285" s="43" t="s">
        <v>1002</v>
      </c>
      <c r="G285" s="42" t="s">
        <v>109</v>
      </c>
      <c r="H285" s="43" t="s">
        <v>435</v>
      </c>
      <c r="I285" s="43" t="s">
        <v>104</v>
      </c>
      <c r="J285" s="55"/>
      <c r="K285" s="119">
        <f>IFERROR(VLOOKUP(B285,BD_CONTROL!$A$5:$M$4235,11,0),"")</f>
        <v>0</v>
      </c>
      <c r="L285" s="120">
        <f>IFERROR(VLOOKUP(B285,BD_CONTROL!$A$5:$M$4235,12,0),"")</f>
        <v>0</v>
      </c>
      <c r="M285" s="121">
        <f>IFERROR(VLOOKUP(B285,BD_CONTROL!$A$5:$M$4235,13,0),"")</f>
        <v>0</v>
      </c>
    </row>
    <row r="286" spans="1:13" ht="15" customHeight="1">
      <c r="A286" s="39">
        <v>281</v>
      </c>
      <c r="B286" s="39" t="s">
        <v>1497</v>
      </c>
      <c r="C286" s="40" t="s">
        <v>1498</v>
      </c>
      <c r="D286" s="39" t="s">
        <v>1200</v>
      </c>
      <c r="E286" s="40" t="s">
        <v>1466</v>
      </c>
      <c r="F286" s="40" t="s">
        <v>254</v>
      </c>
      <c r="G286" s="39" t="s">
        <v>109</v>
      </c>
      <c r="H286" s="40" t="s">
        <v>435</v>
      </c>
      <c r="I286" s="40" t="s">
        <v>104</v>
      </c>
      <c r="J286" s="50"/>
      <c r="K286" s="116">
        <f>IFERROR(VLOOKUP(B286,BD_CONTROL!$A$5:$M$4235,11,0),"")</f>
        <v>0</v>
      </c>
      <c r="L286" s="117">
        <f>IFERROR(VLOOKUP(B286,BD_CONTROL!$A$5:$M$4235,12,0),"")</f>
        <v>0</v>
      </c>
      <c r="M286" s="118">
        <f>IFERROR(VLOOKUP(B286,BD_CONTROL!$A$5:$M$4235,13,0),"")</f>
        <v>0</v>
      </c>
    </row>
    <row r="287" spans="1:13" ht="15" customHeight="1">
      <c r="A287" s="42">
        <v>282</v>
      </c>
      <c r="B287" s="42" t="s">
        <v>1499</v>
      </c>
      <c r="C287" s="43" t="s">
        <v>1500</v>
      </c>
      <c r="D287" s="42" t="s">
        <v>1200</v>
      </c>
      <c r="E287" s="43" t="s">
        <v>254</v>
      </c>
      <c r="F287" s="43" t="s">
        <v>1225</v>
      </c>
      <c r="G287" s="42" t="s">
        <v>109</v>
      </c>
      <c r="H287" s="43" t="s">
        <v>435</v>
      </c>
      <c r="I287" s="43" t="s">
        <v>104</v>
      </c>
      <c r="J287" s="55"/>
      <c r="K287" s="119">
        <f>IFERROR(VLOOKUP(B287,BD_CONTROL!$A$5:$M$4235,11,0),"")</f>
        <v>0</v>
      </c>
      <c r="L287" s="120">
        <f>IFERROR(VLOOKUP(B287,BD_CONTROL!$A$5:$M$4235,12,0),"")</f>
        <v>0</v>
      </c>
      <c r="M287" s="121">
        <f>IFERROR(VLOOKUP(B287,BD_CONTROL!$A$5:$M$4235,13,0),"")</f>
        <v>0</v>
      </c>
    </row>
    <row r="288" spans="1:13" ht="15" customHeight="1">
      <c r="A288" s="39">
        <v>283</v>
      </c>
      <c r="B288" s="39" t="s">
        <v>1501</v>
      </c>
      <c r="C288" s="40" t="s">
        <v>1502</v>
      </c>
      <c r="D288" s="39" t="s">
        <v>1200</v>
      </c>
      <c r="E288" s="40" t="s">
        <v>1200</v>
      </c>
      <c r="F288" s="40" t="s">
        <v>1503</v>
      </c>
      <c r="G288" s="39" t="s">
        <v>109</v>
      </c>
      <c r="H288" s="40" t="s">
        <v>435</v>
      </c>
      <c r="I288" s="40" t="s">
        <v>104</v>
      </c>
      <c r="J288" s="50"/>
      <c r="K288" s="116">
        <f>IFERROR(VLOOKUP(B288,BD_CONTROL!$A$5:$M$4235,11,0),"")</f>
        <v>0</v>
      </c>
      <c r="L288" s="117">
        <f>IFERROR(VLOOKUP(B288,BD_CONTROL!$A$5:$M$4235,12,0),"")</f>
        <v>0</v>
      </c>
      <c r="M288" s="118">
        <f>IFERROR(VLOOKUP(B288,BD_CONTROL!$A$5:$M$4235,13,0),"")</f>
        <v>0</v>
      </c>
    </row>
    <row r="289" spans="1:13" ht="15" customHeight="1">
      <c r="A289" s="42">
        <v>284</v>
      </c>
      <c r="B289" s="42" t="s">
        <v>1504</v>
      </c>
      <c r="C289" s="43" t="s">
        <v>1505</v>
      </c>
      <c r="D289" s="42" t="s">
        <v>1200</v>
      </c>
      <c r="E289" s="43" t="s">
        <v>1200</v>
      </c>
      <c r="F289" s="43" t="s">
        <v>1506</v>
      </c>
      <c r="G289" s="42" t="s">
        <v>109</v>
      </c>
      <c r="H289" s="43" t="s">
        <v>435</v>
      </c>
      <c r="I289" s="43" t="s">
        <v>104</v>
      </c>
      <c r="J289" s="55"/>
      <c r="K289" s="119">
        <f>IFERROR(VLOOKUP(B289,BD_CONTROL!$A$5:$M$4235,11,0),"")</f>
        <v>0</v>
      </c>
      <c r="L289" s="120">
        <f>IFERROR(VLOOKUP(B289,BD_CONTROL!$A$5:$M$4235,12,0),"")</f>
        <v>0</v>
      </c>
      <c r="M289" s="121">
        <f>IFERROR(VLOOKUP(B289,BD_CONTROL!$A$5:$M$4235,13,0),"")</f>
        <v>0</v>
      </c>
    </row>
    <row r="290" spans="1:13" ht="15" customHeight="1">
      <c r="A290" s="39">
        <v>285</v>
      </c>
      <c r="B290" s="39" t="s">
        <v>1507</v>
      </c>
      <c r="C290" s="40" t="s">
        <v>1508</v>
      </c>
      <c r="D290" s="39" t="s">
        <v>1200</v>
      </c>
      <c r="E290" s="40" t="s">
        <v>1200</v>
      </c>
      <c r="F290" s="40" t="s">
        <v>1212</v>
      </c>
      <c r="G290" s="39" t="s">
        <v>109</v>
      </c>
      <c r="H290" s="40" t="s">
        <v>435</v>
      </c>
      <c r="I290" s="40" t="s">
        <v>104</v>
      </c>
      <c r="J290" s="50"/>
      <c r="K290" s="116">
        <f>IFERROR(VLOOKUP(B290,BD_CONTROL!$A$5:$M$4235,11,0),"")</f>
        <v>0</v>
      </c>
      <c r="L290" s="117">
        <f>IFERROR(VLOOKUP(B290,BD_CONTROL!$A$5:$M$4235,12,0),"")</f>
        <v>0</v>
      </c>
      <c r="M290" s="118">
        <f>IFERROR(VLOOKUP(B290,BD_CONTROL!$A$5:$M$4235,13,0),"")</f>
        <v>0</v>
      </c>
    </row>
    <row r="291" spans="1:13" ht="15" customHeight="1">
      <c r="A291" s="42">
        <v>286</v>
      </c>
      <c r="B291" s="42" t="s">
        <v>1509</v>
      </c>
      <c r="C291" s="43" t="s">
        <v>1510</v>
      </c>
      <c r="D291" s="42" t="s">
        <v>1200</v>
      </c>
      <c r="E291" s="43" t="s">
        <v>1304</v>
      </c>
      <c r="F291" s="43" t="s">
        <v>1511</v>
      </c>
      <c r="G291" s="42" t="s">
        <v>109</v>
      </c>
      <c r="H291" s="43" t="s">
        <v>435</v>
      </c>
      <c r="I291" s="43" t="s">
        <v>104</v>
      </c>
      <c r="J291" s="55"/>
      <c r="K291" s="119" t="str">
        <f>IFERROR(VLOOKUP(B291,BD_CONTROL!$A$5:$M$4235,11,0),"")</f>
        <v>Instalado - Operando</v>
      </c>
      <c r="L291" s="120">
        <f>IFERROR(VLOOKUP(B291,BD_CONTROL!$A$5:$M$4235,12,0),"")</f>
        <v>46149</v>
      </c>
      <c r="M291" s="121">
        <f>IFERROR(VLOOKUP(B291,BD_CONTROL!$A$5:$M$4235,13,0),"")</f>
        <v>0</v>
      </c>
    </row>
    <row r="292" spans="1:13" ht="15" customHeight="1">
      <c r="A292" s="39">
        <v>287</v>
      </c>
      <c r="B292" s="39" t="s">
        <v>1512</v>
      </c>
      <c r="C292" s="40" t="s">
        <v>1513</v>
      </c>
      <c r="D292" s="39" t="s">
        <v>1200</v>
      </c>
      <c r="E292" s="40" t="s">
        <v>1304</v>
      </c>
      <c r="F292" s="40" t="s">
        <v>1514</v>
      </c>
      <c r="G292" s="39" t="s">
        <v>109</v>
      </c>
      <c r="H292" s="40" t="s">
        <v>435</v>
      </c>
      <c r="I292" s="40" t="s">
        <v>104</v>
      </c>
      <c r="J292" s="50"/>
      <c r="K292" s="116" t="str">
        <f>IFERROR(VLOOKUP(B292,BD_CONTROL!$A$5:$M$4235,11,0),"")</f>
        <v>Instalado - Operando</v>
      </c>
      <c r="L292" s="117">
        <f>IFERROR(VLOOKUP(B292,BD_CONTROL!$A$5:$M$4235,12,0),"")</f>
        <v>46149</v>
      </c>
      <c r="M292" s="118">
        <f>IFERROR(VLOOKUP(B292,BD_CONTROL!$A$5:$M$4235,13,0),"")</f>
        <v>0</v>
      </c>
    </row>
    <row r="293" spans="1:13" ht="15" customHeight="1">
      <c r="A293" s="42">
        <v>288</v>
      </c>
      <c r="B293" s="42" t="s">
        <v>1515</v>
      </c>
      <c r="C293" s="43" t="s">
        <v>1516</v>
      </c>
      <c r="D293" s="42" t="s">
        <v>1200</v>
      </c>
      <c r="E293" s="43" t="s">
        <v>1215</v>
      </c>
      <c r="F293" s="43" t="s">
        <v>1517</v>
      </c>
      <c r="G293" s="42" t="s">
        <v>109</v>
      </c>
      <c r="H293" s="43" t="s">
        <v>435</v>
      </c>
      <c r="I293" s="43" t="s">
        <v>104</v>
      </c>
      <c r="J293" s="55"/>
      <c r="K293" s="119">
        <f>IFERROR(VLOOKUP(B293,BD_CONTROL!$A$5:$M$4235,11,0),"")</f>
        <v>0</v>
      </c>
      <c r="L293" s="120">
        <f>IFERROR(VLOOKUP(B293,BD_CONTROL!$A$5:$M$4235,12,0),"")</f>
        <v>0</v>
      </c>
      <c r="M293" s="121">
        <f>IFERROR(VLOOKUP(B293,BD_CONTROL!$A$5:$M$4235,13,0),"")</f>
        <v>0</v>
      </c>
    </row>
    <row r="294" spans="1:13" ht="15" customHeight="1">
      <c r="A294" s="39">
        <v>289</v>
      </c>
      <c r="B294" s="39" t="s">
        <v>1518</v>
      </c>
      <c r="C294" s="40" t="s">
        <v>1519</v>
      </c>
      <c r="D294" s="39" t="s">
        <v>1200</v>
      </c>
      <c r="E294" s="40" t="s">
        <v>1520</v>
      </c>
      <c r="F294" s="40" t="s">
        <v>1521</v>
      </c>
      <c r="G294" s="39" t="s">
        <v>109</v>
      </c>
      <c r="H294" s="40" t="s">
        <v>435</v>
      </c>
      <c r="I294" s="40" t="s">
        <v>104</v>
      </c>
      <c r="J294" s="50"/>
      <c r="K294" s="116">
        <f>IFERROR(VLOOKUP(B294,BD_CONTROL!$A$5:$M$4235,11,0),"")</f>
        <v>0</v>
      </c>
      <c r="L294" s="117">
        <f>IFERROR(VLOOKUP(B294,BD_CONTROL!$A$5:$M$4235,12,0),"")</f>
        <v>0</v>
      </c>
      <c r="M294" s="118">
        <f>IFERROR(VLOOKUP(B294,BD_CONTROL!$A$5:$M$4235,13,0),"")</f>
        <v>0</v>
      </c>
    </row>
    <row r="295" spans="1:13" ht="15" customHeight="1">
      <c r="A295" s="42">
        <v>290</v>
      </c>
      <c r="B295" s="42" t="s">
        <v>1522</v>
      </c>
      <c r="C295" s="43" t="s">
        <v>1523</v>
      </c>
      <c r="D295" s="42" t="s">
        <v>1200</v>
      </c>
      <c r="E295" s="43" t="s">
        <v>1388</v>
      </c>
      <c r="F295" s="43" t="s">
        <v>1524</v>
      </c>
      <c r="G295" s="42" t="s">
        <v>109</v>
      </c>
      <c r="H295" s="43" t="s">
        <v>435</v>
      </c>
      <c r="I295" s="43" t="s">
        <v>104</v>
      </c>
      <c r="J295" s="55"/>
      <c r="K295" s="119">
        <f>IFERROR(VLOOKUP(B295,BD_CONTROL!$A$5:$M$4235,11,0),"")</f>
        <v>0</v>
      </c>
      <c r="L295" s="120">
        <f>IFERROR(VLOOKUP(B295,BD_CONTROL!$A$5:$M$4235,12,0),"")</f>
        <v>0</v>
      </c>
      <c r="M295" s="121">
        <f>IFERROR(VLOOKUP(B295,BD_CONTROL!$A$5:$M$4235,13,0),"")</f>
        <v>0</v>
      </c>
    </row>
    <row r="296" spans="1:13" ht="15" customHeight="1">
      <c r="A296" s="39">
        <v>291</v>
      </c>
      <c r="B296" s="39" t="s">
        <v>1525</v>
      </c>
      <c r="C296" s="40" t="s">
        <v>1526</v>
      </c>
      <c r="D296" s="39" t="s">
        <v>1200</v>
      </c>
      <c r="E296" s="40" t="s">
        <v>1200</v>
      </c>
      <c r="F296" s="40" t="s">
        <v>1527</v>
      </c>
      <c r="G296" s="39" t="s">
        <v>109</v>
      </c>
      <c r="H296" s="40" t="s">
        <v>435</v>
      </c>
      <c r="I296" s="40" t="s">
        <v>104</v>
      </c>
      <c r="J296" s="50"/>
      <c r="K296" s="116">
        <f>IFERROR(VLOOKUP(B296,BD_CONTROL!$A$5:$M$4235,11,0),"")</f>
        <v>0</v>
      </c>
      <c r="L296" s="117">
        <f>IFERROR(VLOOKUP(B296,BD_CONTROL!$A$5:$M$4235,12,0),"")</f>
        <v>0</v>
      </c>
      <c r="M296" s="118">
        <f>IFERROR(VLOOKUP(B296,BD_CONTROL!$A$5:$M$4235,13,0),"")</f>
        <v>0</v>
      </c>
    </row>
  </sheetData>
  <mergeCells count="3">
    <mergeCell ref="A1:M2"/>
    <mergeCell ref="A3:M3"/>
    <mergeCell ref="A4:M4"/>
  </mergeCells>
  <conditionalFormatting sqref="K6:K296">
    <cfRule type="expression" dxfId="29" priority="2">
      <formula>EXACT($K6,"INSTALADO - OPERANDO")</formula>
    </cfRule>
    <cfRule type="expression" dxfId="28" priority="3">
      <formula>EXACT($K6,"INSTALADO - SIN SEÑAL")</formula>
    </cfRule>
    <cfRule type="expression" dxfId="27" priority="4">
      <formula>EXACT($K6,"EQUIPO EN ALMACÉN")</formula>
    </cfRule>
    <cfRule type="expression" dxfId="26" priority="5">
      <formula>EXACT($K6,"PROGRAMADO")</formula>
    </cfRule>
    <cfRule type="expression" dxfId="25" priority="6">
      <formula>EXACT($K6,"VISITADO")</formula>
    </cfRule>
    <cfRule type="expression" dxfId="24" priority="7">
      <formula>EXACT($K6,"SIN INMUEBLE")</formula>
    </cfRule>
  </conditionalFormatting>
  <dataValidations count="1">
    <dataValidation type="list" allowBlank="1" sqref="K6:K296" xr:uid="{00000000-0002-0000-0D00-000000000000}">
      <formula1>"INSTALADO - OPERANDO,INSTALADO - SIN SEÑAL,EQUIPO EN ALMACÉN,PROGRAMADO,VISITADO,SIN INMUEBLE"</formula1>
      <formula2>0</formula2>
    </dataValidation>
  </dataValidation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2E7D32"/>
  </sheetPr>
  <dimension ref="A1:M372"/>
  <sheetViews>
    <sheetView showGridLines="0" topLeftCell="F1" zoomScaleNormal="100" workbookViewId="0">
      <pane ySplit="5" topLeftCell="A6" activePane="bottomLeft" state="frozen"/>
      <selection pane="bottomLeft" activeCell="P1" sqref="P1"/>
      <selection activeCell="F1" sqref="F1"/>
    </sheetView>
  </sheetViews>
  <sheetFormatPr defaultColWidth="8.7109375" defaultRowHeight="15"/>
  <cols>
    <col min="1" max="1" width="5" customWidth="1"/>
    <col min="2" max="2" width="14" customWidth="1"/>
    <col min="3" max="3" width="36" customWidth="1"/>
    <col min="4" max="5" width="18" customWidth="1"/>
    <col min="6" max="6" width="16" customWidth="1"/>
    <col min="7" max="7" width="9" customWidth="1"/>
    <col min="8" max="8" width="20" customWidth="1"/>
    <col min="9" max="10" width="14" customWidth="1"/>
    <col min="11" max="11" width="26" customWidth="1"/>
    <col min="12" max="12" width="18" customWidth="1"/>
    <col min="13" max="13" width="30" customWidth="1"/>
  </cols>
  <sheetData>
    <row r="1" spans="1:13" ht="30" customHeight="1">
      <c r="A1" s="252" t="s">
        <v>9837</v>
      </c>
      <c r="B1" s="260"/>
      <c r="C1" s="260"/>
      <c r="D1" s="260"/>
      <c r="E1" s="260"/>
      <c r="F1" s="260"/>
      <c r="G1" s="260"/>
      <c r="H1" s="260"/>
      <c r="I1" s="260"/>
      <c r="J1" s="260"/>
      <c r="K1" s="260"/>
      <c r="L1" s="260"/>
      <c r="M1" s="260"/>
    </row>
    <row r="2" spans="1:13" ht="3.75" customHeight="1">
      <c r="A2" s="260"/>
      <c r="B2" s="260"/>
      <c r="C2" s="260"/>
      <c r="D2" s="260"/>
      <c r="E2" s="260"/>
      <c r="F2" s="260"/>
      <c r="G2" s="260"/>
      <c r="H2" s="260"/>
      <c r="I2" s="260"/>
      <c r="J2" s="260"/>
      <c r="K2" s="260"/>
      <c r="L2" s="260"/>
      <c r="M2" s="260"/>
    </row>
    <row r="3" spans="1:13" ht="15.75" customHeight="1">
      <c r="A3" s="193" t="s">
        <v>9832</v>
      </c>
      <c r="B3" s="260"/>
      <c r="C3" s="260"/>
      <c r="D3" s="260"/>
      <c r="E3" s="260"/>
      <c r="F3" s="260"/>
      <c r="G3" s="260"/>
      <c r="H3" s="260"/>
      <c r="I3" s="260"/>
      <c r="J3" s="260"/>
      <c r="K3" s="260"/>
      <c r="L3" s="260"/>
      <c r="M3" s="260"/>
    </row>
    <row r="4" spans="1:13" ht="3" customHeight="1">
      <c r="A4" s="253"/>
      <c r="B4" s="260"/>
      <c r="C4" s="260"/>
      <c r="D4" s="260"/>
      <c r="E4" s="260"/>
      <c r="F4" s="260"/>
      <c r="G4" s="260"/>
      <c r="H4" s="260"/>
      <c r="I4" s="260"/>
      <c r="J4" s="260"/>
      <c r="K4" s="260"/>
      <c r="L4" s="260"/>
      <c r="M4" s="260"/>
    </row>
    <row r="5" spans="1:13" ht="21.75" customHeight="1">
      <c r="A5" s="125" t="s">
        <v>9783</v>
      </c>
      <c r="B5" s="125" t="s">
        <v>84</v>
      </c>
      <c r="C5" s="125" t="s">
        <v>86</v>
      </c>
      <c r="D5" s="125" t="s">
        <v>87</v>
      </c>
      <c r="E5" s="125" t="s">
        <v>88</v>
      </c>
      <c r="F5" s="125" t="s">
        <v>89</v>
      </c>
      <c r="G5" s="125" t="s">
        <v>90</v>
      </c>
      <c r="H5" s="125" t="s">
        <v>92</v>
      </c>
      <c r="I5" s="125" t="s">
        <v>93</v>
      </c>
      <c r="J5" s="125" t="s">
        <v>9833</v>
      </c>
      <c r="K5" s="125" t="s">
        <v>94</v>
      </c>
      <c r="L5" s="125" t="s">
        <v>95</v>
      </c>
      <c r="M5" s="125" t="s">
        <v>96</v>
      </c>
    </row>
    <row r="6" spans="1:13" ht="15" customHeight="1">
      <c r="A6" s="39">
        <v>1</v>
      </c>
      <c r="B6" s="39" t="s">
        <v>6734</v>
      </c>
      <c r="C6" s="40" t="s">
        <v>6735</v>
      </c>
      <c r="D6" s="39" t="s">
        <v>6736</v>
      </c>
      <c r="E6" s="40" t="s">
        <v>6737</v>
      </c>
      <c r="F6" s="40" t="s">
        <v>6738</v>
      </c>
      <c r="G6" s="39" t="s">
        <v>6739</v>
      </c>
      <c r="H6" s="40" t="s">
        <v>6740</v>
      </c>
      <c r="I6" s="40" t="s">
        <v>6741</v>
      </c>
      <c r="J6" s="50"/>
      <c r="K6" s="116">
        <f>IFERROR(VLOOKUP(B6,BD_CONTROL!$A$5:$M$4235,11,0),"")</f>
        <v>0</v>
      </c>
      <c r="L6" s="117">
        <f>IFERROR(VLOOKUP(B6,BD_CONTROL!$A$5:$M$4235,12,0),"")</f>
        <v>0</v>
      </c>
      <c r="M6" s="118">
        <f>IFERROR(VLOOKUP(B6,BD_CONTROL!$A$5:$M$4235,13,0),"")</f>
        <v>0</v>
      </c>
    </row>
    <row r="7" spans="1:13" ht="15" customHeight="1">
      <c r="A7" s="42">
        <v>2</v>
      </c>
      <c r="B7" s="42" t="s">
        <v>6742</v>
      </c>
      <c r="C7" s="43" t="s">
        <v>6735</v>
      </c>
      <c r="D7" s="42" t="s">
        <v>6736</v>
      </c>
      <c r="E7" s="43" t="s">
        <v>6743</v>
      </c>
      <c r="F7" s="43" t="s">
        <v>6743</v>
      </c>
      <c r="G7" s="42" t="s">
        <v>6739</v>
      </c>
      <c r="H7" s="43" t="s">
        <v>6740</v>
      </c>
      <c r="I7" s="43" t="s">
        <v>6741</v>
      </c>
      <c r="J7" s="55"/>
      <c r="K7" s="119">
        <f>IFERROR(VLOOKUP(B7,BD_CONTROL!$A$5:$M$4235,11,0),"")</f>
        <v>0</v>
      </c>
      <c r="L7" s="120">
        <f>IFERROR(VLOOKUP(B7,BD_CONTROL!$A$5:$M$4235,12,0),"")</f>
        <v>0</v>
      </c>
      <c r="M7" s="121">
        <f>IFERROR(VLOOKUP(B7,BD_CONTROL!$A$5:$M$4235,13,0),"")</f>
        <v>0</v>
      </c>
    </row>
    <row r="8" spans="1:13" ht="15" customHeight="1">
      <c r="A8" s="39">
        <v>3</v>
      </c>
      <c r="B8" s="39" t="s">
        <v>6744</v>
      </c>
      <c r="C8" s="40" t="s">
        <v>6745</v>
      </c>
      <c r="D8" s="39" t="s">
        <v>6736</v>
      </c>
      <c r="E8" s="40" t="s">
        <v>6743</v>
      </c>
      <c r="F8" s="40" t="s">
        <v>6746</v>
      </c>
      <c r="G8" s="39" t="s">
        <v>109</v>
      </c>
      <c r="H8" s="40" t="s">
        <v>6740</v>
      </c>
      <c r="I8" s="40" t="s">
        <v>104</v>
      </c>
      <c r="J8" s="50"/>
      <c r="K8" s="116">
        <f>IFERROR(VLOOKUP(B8,BD_CONTROL!$A$5:$M$4235,11,0),"")</f>
        <v>0</v>
      </c>
      <c r="L8" s="117">
        <f>IFERROR(VLOOKUP(B8,BD_CONTROL!$A$5:$M$4235,12,0),"")</f>
        <v>0</v>
      </c>
      <c r="M8" s="118">
        <f>IFERROR(VLOOKUP(B8,BD_CONTROL!$A$5:$M$4235,13,0),"")</f>
        <v>0</v>
      </c>
    </row>
    <row r="9" spans="1:13" ht="15" customHeight="1">
      <c r="A9" s="42">
        <v>4</v>
      </c>
      <c r="B9" s="42" t="s">
        <v>6747</v>
      </c>
      <c r="C9" s="43" t="s">
        <v>6748</v>
      </c>
      <c r="D9" s="42" t="s">
        <v>6736</v>
      </c>
      <c r="E9" s="43" t="s">
        <v>6743</v>
      </c>
      <c r="F9" s="43" t="s">
        <v>6749</v>
      </c>
      <c r="G9" s="42" t="s">
        <v>109</v>
      </c>
      <c r="H9" s="43" t="s">
        <v>6740</v>
      </c>
      <c r="I9" s="43" t="s">
        <v>104</v>
      </c>
      <c r="J9" s="55"/>
      <c r="K9" s="119">
        <f>IFERROR(VLOOKUP(B9,BD_CONTROL!$A$5:$M$4235,11,0),"")</f>
        <v>0</v>
      </c>
      <c r="L9" s="120">
        <f>IFERROR(VLOOKUP(B9,BD_CONTROL!$A$5:$M$4235,12,0),"")</f>
        <v>0</v>
      </c>
      <c r="M9" s="121">
        <f>IFERROR(VLOOKUP(B9,BD_CONTROL!$A$5:$M$4235,13,0),"")</f>
        <v>0</v>
      </c>
    </row>
    <row r="10" spans="1:13" ht="15" customHeight="1">
      <c r="A10" s="39">
        <v>5</v>
      </c>
      <c r="B10" s="39" t="s">
        <v>6750</v>
      </c>
      <c r="C10" s="40" t="s">
        <v>6751</v>
      </c>
      <c r="D10" s="39" t="s">
        <v>6736</v>
      </c>
      <c r="E10" s="40" t="s">
        <v>6743</v>
      </c>
      <c r="F10" s="40" t="s">
        <v>6752</v>
      </c>
      <c r="G10" s="39" t="s">
        <v>109</v>
      </c>
      <c r="H10" s="40" t="s">
        <v>6740</v>
      </c>
      <c r="I10" s="40" t="s">
        <v>104</v>
      </c>
      <c r="J10" s="50"/>
      <c r="K10" s="116">
        <f>IFERROR(VLOOKUP(B10,BD_CONTROL!$A$5:$M$4235,11,0),"")</f>
        <v>0</v>
      </c>
      <c r="L10" s="117">
        <f>IFERROR(VLOOKUP(B10,BD_CONTROL!$A$5:$M$4235,12,0),"")</f>
        <v>0</v>
      </c>
      <c r="M10" s="118">
        <f>IFERROR(VLOOKUP(B10,BD_CONTROL!$A$5:$M$4235,13,0),"")</f>
        <v>0</v>
      </c>
    </row>
    <row r="11" spans="1:13" ht="15" customHeight="1">
      <c r="A11" s="42">
        <v>6</v>
      </c>
      <c r="B11" s="42" t="s">
        <v>6753</v>
      </c>
      <c r="C11" s="43" t="s">
        <v>6754</v>
      </c>
      <c r="D11" s="42" t="s">
        <v>6736</v>
      </c>
      <c r="E11" s="43" t="s">
        <v>6743</v>
      </c>
      <c r="F11" s="43" t="s">
        <v>6755</v>
      </c>
      <c r="G11" s="42" t="s">
        <v>109</v>
      </c>
      <c r="H11" s="43" t="s">
        <v>6740</v>
      </c>
      <c r="I11" s="43" t="s">
        <v>104</v>
      </c>
      <c r="J11" s="55"/>
      <c r="K11" s="119">
        <f>IFERROR(VLOOKUP(B11,BD_CONTROL!$A$5:$M$4235,11,0),"")</f>
        <v>0</v>
      </c>
      <c r="L11" s="120">
        <f>IFERROR(VLOOKUP(B11,BD_CONTROL!$A$5:$M$4235,12,0),"")</f>
        <v>0</v>
      </c>
      <c r="M11" s="121">
        <f>IFERROR(VLOOKUP(B11,BD_CONTROL!$A$5:$M$4235,13,0),"")</f>
        <v>0</v>
      </c>
    </row>
    <row r="12" spans="1:13" ht="15" customHeight="1">
      <c r="A12" s="39">
        <v>7</v>
      </c>
      <c r="B12" s="39" t="s">
        <v>6756</v>
      </c>
      <c r="C12" s="40" t="s">
        <v>6757</v>
      </c>
      <c r="D12" s="39" t="s">
        <v>6736</v>
      </c>
      <c r="E12" s="40" t="s">
        <v>6743</v>
      </c>
      <c r="F12" s="40" t="s">
        <v>2816</v>
      </c>
      <c r="G12" s="39" t="s">
        <v>109</v>
      </c>
      <c r="H12" s="40" t="s">
        <v>6740</v>
      </c>
      <c r="I12" s="40" t="s">
        <v>104</v>
      </c>
      <c r="J12" s="50"/>
      <c r="K12" s="116">
        <f>IFERROR(VLOOKUP(B12,BD_CONTROL!$A$5:$M$4235,11,0),"")</f>
        <v>0</v>
      </c>
      <c r="L12" s="117">
        <f>IFERROR(VLOOKUP(B12,BD_CONTROL!$A$5:$M$4235,12,0),"")</f>
        <v>0</v>
      </c>
      <c r="M12" s="118">
        <f>IFERROR(VLOOKUP(B12,BD_CONTROL!$A$5:$M$4235,13,0),"")</f>
        <v>0</v>
      </c>
    </row>
    <row r="13" spans="1:13" ht="15" customHeight="1">
      <c r="A13" s="42">
        <v>8</v>
      </c>
      <c r="B13" s="42" t="s">
        <v>6758</v>
      </c>
      <c r="C13" s="43" t="s">
        <v>6759</v>
      </c>
      <c r="D13" s="42" t="s">
        <v>6736</v>
      </c>
      <c r="E13" s="43" t="s">
        <v>6743</v>
      </c>
      <c r="F13" s="43" t="s">
        <v>6760</v>
      </c>
      <c r="G13" s="42" t="s">
        <v>109</v>
      </c>
      <c r="H13" s="43" t="s">
        <v>6740</v>
      </c>
      <c r="I13" s="43" t="s">
        <v>104</v>
      </c>
      <c r="J13" s="55"/>
      <c r="K13" s="119">
        <f>IFERROR(VLOOKUP(B13,BD_CONTROL!$A$5:$M$4235,11,0),"")</f>
        <v>0</v>
      </c>
      <c r="L13" s="120">
        <f>IFERROR(VLOOKUP(B13,BD_CONTROL!$A$5:$M$4235,12,0),"")</f>
        <v>0</v>
      </c>
      <c r="M13" s="121">
        <f>IFERROR(VLOOKUP(B13,BD_CONTROL!$A$5:$M$4235,13,0),"")</f>
        <v>0</v>
      </c>
    </row>
    <row r="14" spans="1:13" ht="15" customHeight="1">
      <c r="A14" s="39">
        <v>9</v>
      </c>
      <c r="B14" s="39" t="s">
        <v>6761</v>
      </c>
      <c r="C14" s="40" t="s">
        <v>6762</v>
      </c>
      <c r="D14" s="39" t="s">
        <v>6736</v>
      </c>
      <c r="E14" s="40" t="s">
        <v>6763</v>
      </c>
      <c r="F14" s="40" t="s">
        <v>6764</v>
      </c>
      <c r="G14" s="39" t="s">
        <v>109</v>
      </c>
      <c r="H14" s="40" t="s">
        <v>6740</v>
      </c>
      <c r="I14" s="40" t="s">
        <v>104</v>
      </c>
      <c r="J14" s="50"/>
      <c r="K14" s="116">
        <f>IFERROR(VLOOKUP(B14,BD_CONTROL!$A$5:$M$4235,11,0),"")</f>
        <v>0</v>
      </c>
      <c r="L14" s="117">
        <f>IFERROR(VLOOKUP(B14,BD_CONTROL!$A$5:$M$4235,12,0),"")</f>
        <v>0</v>
      </c>
      <c r="M14" s="118">
        <f>IFERROR(VLOOKUP(B14,BD_CONTROL!$A$5:$M$4235,13,0),"")</f>
        <v>0</v>
      </c>
    </row>
    <row r="15" spans="1:13" ht="15" customHeight="1">
      <c r="A15" s="42">
        <v>10</v>
      </c>
      <c r="B15" s="42" t="s">
        <v>6765</v>
      </c>
      <c r="C15" s="43" t="s">
        <v>6766</v>
      </c>
      <c r="D15" s="42" t="s">
        <v>6736</v>
      </c>
      <c r="E15" s="43" t="s">
        <v>6763</v>
      </c>
      <c r="F15" s="43" t="s">
        <v>6767</v>
      </c>
      <c r="G15" s="42" t="s">
        <v>109</v>
      </c>
      <c r="H15" s="43" t="s">
        <v>6740</v>
      </c>
      <c r="I15" s="43" t="s">
        <v>104</v>
      </c>
      <c r="J15" s="55"/>
      <c r="K15" s="119">
        <f>IFERROR(VLOOKUP(B15,BD_CONTROL!$A$5:$M$4235,11,0),"")</f>
        <v>0</v>
      </c>
      <c r="L15" s="120">
        <f>IFERROR(VLOOKUP(B15,BD_CONTROL!$A$5:$M$4235,12,0),"")</f>
        <v>0</v>
      </c>
      <c r="M15" s="121">
        <f>IFERROR(VLOOKUP(B15,BD_CONTROL!$A$5:$M$4235,13,0),"")</f>
        <v>0</v>
      </c>
    </row>
    <row r="16" spans="1:13" ht="15" customHeight="1">
      <c r="A16" s="39">
        <v>11</v>
      </c>
      <c r="B16" s="39" t="s">
        <v>6768</v>
      </c>
      <c r="C16" s="40" t="s">
        <v>6769</v>
      </c>
      <c r="D16" s="39" t="s">
        <v>6736</v>
      </c>
      <c r="E16" s="40" t="s">
        <v>6763</v>
      </c>
      <c r="F16" s="40" t="s">
        <v>6770</v>
      </c>
      <c r="G16" s="39" t="s">
        <v>109</v>
      </c>
      <c r="H16" s="40" t="s">
        <v>6740</v>
      </c>
      <c r="I16" s="40" t="s">
        <v>104</v>
      </c>
      <c r="J16" s="50"/>
      <c r="K16" s="116">
        <f>IFERROR(VLOOKUP(B16,BD_CONTROL!$A$5:$M$4235,11,0),"")</f>
        <v>0</v>
      </c>
      <c r="L16" s="117">
        <f>IFERROR(VLOOKUP(B16,BD_CONTROL!$A$5:$M$4235,12,0),"")</f>
        <v>0</v>
      </c>
      <c r="M16" s="118">
        <f>IFERROR(VLOOKUP(B16,BD_CONTROL!$A$5:$M$4235,13,0),"")</f>
        <v>0</v>
      </c>
    </row>
    <row r="17" spans="1:13" ht="15" customHeight="1">
      <c r="A17" s="42">
        <v>12</v>
      </c>
      <c r="B17" s="42" t="s">
        <v>6771</v>
      </c>
      <c r="C17" s="43" t="s">
        <v>6735</v>
      </c>
      <c r="D17" s="42" t="s">
        <v>6736</v>
      </c>
      <c r="E17" s="43" t="s">
        <v>6763</v>
      </c>
      <c r="F17" s="43" t="s">
        <v>6770</v>
      </c>
      <c r="G17" s="42" t="s">
        <v>6739</v>
      </c>
      <c r="H17" s="43" t="s">
        <v>6740</v>
      </c>
      <c r="I17" s="43" t="s">
        <v>6741</v>
      </c>
      <c r="J17" s="55"/>
      <c r="K17" s="119">
        <f>IFERROR(VLOOKUP(B17,BD_CONTROL!$A$5:$M$4235,11,0),"")</f>
        <v>0</v>
      </c>
      <c r="L17" s="120">
        <f>IFERROR(VLOOKUP(B17,BD_CONTROL!$A$5:$M$4235,12,0),"")</f>
        <v>0</v>
      </c>
      <c r="M17" s="121">
        <f>IFERROR(VLOOKUP(B17,BD_CONTROL!$A$5:$M$4235,13,0),"")</f>
        <v>0</v>
      </c>
    </row>
    <row r="18" spans="1:13" ht="15" customHeight="1">
      <c r="A18" s="39">
        <v>13</v>
      </c>
      <c r="B18" s="39" t="s">
        <v>6772</v>
      </c>
      <c r="C18" s="40" t="s">
        <v>6773</v>
      </c>
      <c r="D18" s="39" t="s">
        <v>6736</v>
      </c>
      <c r="E18" s="40" t="s">
        <v>6774</v>
      </c>
      <c r="F18" s="40" t="s">
        <v>6773</v>
      </c>
      <c r="G18" s="39" t="s">
        <v>109</v>
      </c>
      <c r="H18" s="40" t="s">
        <v>6740</v>
      </c>
      <c r="I18" s="40" t="s">
        <v>104</v>
      </c>
      <c r="J18" s="50"/>
      <c r="K18" s="116">
        <f>IFERROR(VLOOKUP(B18,BD_CONTROL!$A$5:$M$4235,11,0),"")</f>
        <v>0</v>
      </c>
      <c r="L18" s="117">
        <f>IFERROR(VLOOKUP(B18,BD_CONTROL!$A$5:$M$4235,12,0),"")</f>
        <v>0</v>
      </c>
      <c r="M18" s="118">
        <f>IFERROR(VLOOKUP(B18,BD_CONTROL!$A$5:$M$4235,13,0),"")</f>
        <v>0</v>
      </c>
    </row>
    <row r="19" spans="1:13" ht="15" customHeight="1">
      <c r="A19" s="42">
        <v>14</v>
      </c>
      <c r="B19" s="42" t="s">
        <v>6775</v>
      </c>
      <c r="C19" s="43" t="s">
        <v>6776</v>
      </c>
      <c r="D19" s="42" t="s">
        <v>6736</v>
      </c>
      <c r="E19" s="43" t="s">
        <v>6774</v>
      </c>
      <c r="F19" s="43" t="s">
        <v>6777</v>
      </c>
      <c r="G19" s="42" t="s">
        <v>109</v>
      </c>
      <c r="H19" s="43" t="s">
        <v>6740</v>
      </c>
      <c r="I19" s="43" t="s">
        <v>104</v>
      </c>
      <c r="J19" s="55"/>
      <c r="K19" s="119">
        <f>IFERROR(VLOOKUP(B19,BD_CONTROL!$A$5:$M$4235,11,0),"")</f>
        <v>0</v>
      </c>
      <c r="L19" s="120">
        <f>IFERROR(VLOOKUP(B19,BD_CONTROL!$A$5:$M$4235,12,0),"")</f>
        <v>0</v>
      </c>
      <c r="M19" s="121">
        <f>IFERROR(VLOOKUP(B19,BD_CONTROL!$A$5:$M$4235,13,0),"")</f>
        <v>0</v>
      </c>
    </row>
    <row r="20" spans="1:13" ht="15" customHeight="1">
      <c r="A20" s="39">
        <v>15</v>
      </c>
      <c r="B20" s="39" t="s">
        <v>6778</v>
      </c>
      <c r="C20" s="40" t="s">
        <v>6779</v>
      </c>
      <c r="D20" s="39" t="s">
        <v>6736</v>
      </c>
      <c r="E20" s="40" t="s">
        <v>6774</v>
      </c>
      <c r="F20" s="40" t="s">
        <v>6779</v>
      </c>
      <c r="G20" s="39" t="s">
        <v>109</v>
      </c>
      <c r="H20" s="40" t="s">
        <v>6740</v>
      </c>
      <c r="I20" s="40" t="s">
        <v>104</v>
      </c>
      <c r="J20" s="50"/>
      <c r="K20" s="116">
        <f>IFERROR(VLOOKUP(B20,BD_CONTROL!$A$5:$M$4235,11,0),"")</f>
        <v>0</v>
      </c>
      <c r="L20" s="117">
        <f>IFERROR(VLOOKUP(B20,BD_CONTROL!$A$5:$M$4235,12,0),"")</f>
        <v>0</v>
      </c>
      <c r="M20" s="118">
        <f>IFERROR(VLOOKUP(B20,BD_CONTROL!$A$5:$M$4235,13,0),"")</f>
        <v>0</v>
      </c>
    </row>
    <row r="21" spans="1:13" ht="15" customHeight="1">
      <c r="A21" s="42">
        <v>16</v>
      </c>
      <c r="B21" s="42" t="s">
        <v>6780</v>
      </c>
      <c r="C21" s="43" t="s">
        <v>6781</v>
      </c>
      <c r="D21" s="42" t="s">
        <v>6736</v>
      </c>
      <c r="E21" s="43" t="s">
        <v>6774</v>
      </c>
      <c r="F21" s="43" t="s">
        <v>6774</v>
      </c>
      <c r="G21" s="42" t="s">
        <v>109</v>
      </c>
      <c r="H21" s="43" t="s">
        <v>6740</v>
      </c>
      <c r="I21" s="43" t="s">
        <v>104</v>
      </c>
      <c r="J21" s="55"/>
      <c r="K21" s="119">
        <f>IFERROR(VLOOKUP(B21,BD_CONTROL!$A$5:$M$4235,11,0),"")</f>
        <v>0</v>
      </c>
      <c r="L21" s="120">
        <f>IFERROR(VLOOKUP(B21,BD_CONTROL!$A$5:$M$4235,12,0),"")</f>
        <v>0</v>
      </c>
      <c r="M21" s="121">
        <f>IFERROR(VLOOKUP(B21,BD_CONTROL!$A$5:$M$4235,13,0),"")</f>
        <v>0</v>
      </c>
    </row>
    <row r="22" spans="1:13" ht="15" customHeight="1">
      <c r="A22" s="39">
        <v>17</v>
      </c>
      <c r="B22" s="39" t="s">
        <v>6782</v>
      </c>
      <c r="C22" s="40" t="s">
        <v>6735</v>
      </c>
      <c r="D22" s="39" t="s">
        <v>6736</v>
      </c>
      <c r="E22" s="40" t="s">
        <v>6774</v>
      </c>
      <c r="F22" s="40" t="s">
        <v>6783</v>
      </c>
      <c r="G22" s="39" t="s">
        <v>6739</v>
      </c>
      <c r="H22" s="40" t="s">
        <v>6740</v>
      </c>
      <c r="I22" s="40" t="s">
        <v>6741</v>
      </c>
      <c r="J22" s="50"/>
      <c r="K22" s="116" t="str">
        <f>IFERROR(VLOOKUP(B22,BD_CONTROL!$A$5:$M$4235,11,0),"")</f>
        <v>Sin Inmueble</v>
      </c>
      <c r="L22" s="117">
        <f>IFERROR(VLOOKUP(B22,BD_CONTROL!$A$5:$M$4235,12,0),"")</f>
        <v>46151</v>
      </c>
      <c r="M22" s="118" t="str">
        <f>IFERROR(VLOOKUP(B22,BD_CONTROL!$A$5:$M$4235,13,0),"")</f>
        <v>Hospital General de Culiacán Bernardo J. Gastélum ya no está en operación, está como campamento Militar</v>
      </c>
    </row>
    <row r="23" spans="1:13" ht="15" customHeight="1">
      <c r="A23" s="42">
        <v>18</v>
      </c>
      <c r="B23" s="42" t="s">
        <v>6785</v>
      </c>
      <c r="C23" s="43" t="s">
        <v>6735</v>
      </c>
      <c r="D23" s="42" t="s">
        <v>6736</v>
      </c>
      <c r="E23" s="43" t="s">
        <v>6774</v>
      </c>
      <c r="F23" s="43" t="s">
        <v>6783</v>
      </c>
      <c r="G23" s="42" t="s">
        <v>6739</v>
      </c>
      <c r="H23" s="43" t="s">
        <v>6740</v>
      </c>
      <c r="I23" s="43" t="s">
        <v>6741</v>
      </c>
      <c r="J23" s="55"/>
      <c r="K23" s="119" t="str">
        <f>IFERROR(VLOOKUP(B23,BD_CONTROL!$A$5:$M$4235,11,0),"")</f>
        <v>Instalado - Operando</v>
      </c>
      <c r="L23" s="120">
        <f>IFERROR(VLOOKUP(B23,BD_CONTROL!$A$5:$M$4235,12,0),"")</f>
        <v>46148</v>
      </c>
      <c r="M23" s="121">
        <f>IFERROR(VLOOKUP(B23,BD_CONTROL!$A$5:$M$4235,13,0),"")</f>
        <v>0</v>
      </c>
    </row>
    <row r="24" spans="1:13" ht="15" customHeight="1">
      <c r="A24" s="39">
        <v>19</v>
      </c>
      <c r="B24" s="39" t="s">
        <v>6786</v>
      </c>
      <c r="C24" s="40" t="s">
        <v>6735</v>
      </c>
      <c r="D24" s="39" t="s">
        <v>6736</v>
      </c>
      <c r="E24" s="40" t="s">
        <v>6774</v>
      </c>
      <c r="F24" s="40" t="s">
        <v>6783</v>
      </c>
      <c r="G24" s="39" t="s">
        <v>6739</v>
      </c>
      <c r="H24" s="40" t="s">
        <v>6740</v>
      </c>
      <c r="I24" s="40" t="s">
        <v>6741</v>
      </c>
      <c r="J24" s="50"/>
      <c r="K24" s="116" t="str">
        <f>IFERROR(VLOOKUP(B24,BD_CONTROL!$A$5:$M$4235,11,0),"")</f>
        <v>Instalado - Operando</v>
      </c>
      <c r="L24" s="117">
        <f>IFERROR(VLOOKUP(B24,BD_CONTROL!$A$5:$M$4235,12,0),"")</f>
        <v>46149</v>
      </c>
      <c r="M24" s="118">
        <f>IFERROR(VLOOKUP(B24,BD_CONTROL!$A$5:$M$4235,13,0),"")</f>
        <v>0</v>
      </c>
    </row>
    <row r="25" spans="1:13" ht="15" customHeight="1">
      <c r="A25" s="42">
        <v>20</v>
      </c>
      <c r="B25" s="42" t="s">
        <v>6787</v>
      </c>
      <c r="C25" s="43" t="s">
        <v>6735</v>
      </c>
      <c r="D25" s="42" t="s">
        <v>6736</v>
      </c>
      <c r="E25" s="43" t="s">
        <v>6774</v>
      </c>
      <c r="F25" s="43" t="s">
        <v>6783</v>
      </c>
      <c r="G25" s="42" t="s">
        <v>6739</v>
      </c>
      <c r="H25" s="43" t="s">
        <v>6740</v>
      </c>
      <c r="I25" s="43" t="s">
        <v>6741</v>
      </c>
      <c r="J25" s="55"/>
      <c r="K25" s="119" t="str">
        <f>IFERROR(VLOOKUP(B25,BD_CONTROL!$A$5:$M$4235,11,0),"")</f>
        <v>Instalado - Operando</v>
      </c>
      <c r="L25" s="120">
        <f>IFERROR(VLOOKUP(B25,BD_CONTROL!$A$5:$M$4235,12,0),"")</f>
        <v>46148</v>
      </c>
      <c r="M25" s="121">
        <f>IFERROR(VLOOKUP(B25,BD_CONTROL!$A$5:$M$4235,13,0),"")</f>
        <v>0</v>
      </c>
    </row>
    <row r="26" spans="1:13" ht="15" customHeight="1">
      <c r="A26" s="39">
        <v>21</v>
      </c>
      <c r="B26" s="39" t="s">
        <v>6788</v>
      </c>
      <c r="C26" s="40" t="s">
        <v>6735</v>
      </c>
      <c r="D26" s="39" t="s">
        <v>6736</v>
      </c>
      <c r="E26" s="40" t="s">
        <v>6774</v>
      </c>
      <c r="F26" s="40" t="s">
        <v>6783</v>
      </c>
      <c r="G26" s="39" t="s">
        <v>6739</v>
      </c>
      <c r="H26" s="40" t="s">
        <v>6740</v>
      </c>
      <c r="I26" s="40" t="s">
        <v>6741</v>
      </c>
      <c r="J26" s="50"/>
      <c r="K26" s="116" t="str">
        <f>IFERROR(VLOOKUP(B26,BD_CONTROL!$A$5:$M$4235,11,0),"")</f>
        <v>Instalado - Operando</v>
      </c>
      <c r="L26" s="117">
        <f>IFERROR(VLOOKUP(B26,BD_CONTROL!$A$5:$M$4235,12,0),"")</f>
        <v>46151</v>
      </c>
      <c r="M26" s="118">
        <f>IFERROR(VLOOKUP(B26,BD_CONTROL!$A$5:$M$4235,13,0),"")</f>
        <v>0</v>
      </c>
    </row>
    <row r="27" spans="1:13" ht="15" customHeight="1">
      <c r="A27" s="42">
        <v>22</v>
      </c>
      <c r="B27" s="42" t="s">
        <v>6789</v>
      </c>
      <c r="C27" s="43" t="s">
        <v>6735</v>
      </c>
      <c r="D27" s="42" t="s">
        <v>6736</v>
      </c>
      <c r="E27" s="43" t="s">
        <v>6774</v>
      </c>
      <c r="F27" s="43" t="s">
        <v>6783</v>
      </c>
      <c r="G27" s="42" t="s">
        <v>6739</v>
      </c>
      <c r="H27" s="43" t="s">
        <v>6740</v>
      </c>
      <c r="I27" s="43" t="s">
        <v>6741</v>
      </c>
      <c r="J27" s="55"/>
      <c r="K27" s="119" t="str">
        <f>IFERROR(VLOOKUP(B27,BD_CONTROL!$A$5:$M$4235,11,0),"")</f>
        <v>Instalado - Operando</v>
      </c>
      <c r="L27" s="120">
        <f>IFERROR(VLOOKUP(B27,BD_CONTROL!$A$5:$M$4235,12,0),"")</f>
        <v>46151</v>
      </c>
      <c r="M27" s="121">
        <f>IFERROR(VLOOKUP(B27,BD_CONTROL!$A$5:$M$4235,13,0),"")</f>
        <v>0</v>
      </c>
    </row>
    <row r="28" spans="1:13" ht="15" customHeight="1">
      <c r="A28" s="39">
        <v>23</v>
      </c>
      <c r="B28" s="39" t="s">
        <v>6790</v>
      </c>
      <c r="C28" s="40" t="s">
        <v>6735</v>
      </c>
      <c r="D28" s="39" t="s">
        <v>6736</v>
      </c>
      <c r="E28" s="40" t="s">
        <v>6774</v>
      </c>
      <c r="F28" s="40" t="s">
        <v>6783</v>
      </c>
      <c r="G28" s="39" t="s">
        <v>6739</v>
      </c>
      <c r="H28" s="40" t="s">
        <v>6740</v>
      </c>
      <c r="I28" s="40" t="s">
        <v>6741</v>
      </c>
      <c r="J28" s="50"/>
      <c r="K28" s="116">
        <f>IFERROR(VLOOKUP(B28,BD_CONTROL!$A$5:$M$4235,11,0),"")</f>
        <v>0</v>
      </c>
      <c r="L28" s="117">
        <f>IFERROR(VLOOKUP(B28,BD_CONTROL!$A$5:$M$4235,12,0),"")</f>
        <v>0</v>
      </c>
      <c r="M28" s="118">
        <f>IFERROR(VLOOKUP(B28,BD_CONTROL!$A$5:$M$4235,13,0),"")</f>
        <v>0</v>
      </c>
    </row>
    <row r="29" spans="1:13" ht="15" customHeight="1">
      <c r="A29" s="42">
        <v>24</v>
      </c>
      <c r="B29" s="42" t="s">
        <v>6791</v>
      </c>
      <c r="C29" s="43" t="s">
        <v>6735</v>
      </c>
      <c r="D29" s="42" t="s">
        <v>6736</v>
      </c>
      <c r="E29" s="43" t="s">
        <v>6774</v>
      </c>
      <c r="F29" s="43" t="s">
        <v>6783</v>
      </c>
      <c r="G29" s="42" t="s">
        <v>6739</v>
      </c>
      <c r="H29" s="43" t="s">
        <v>6740</v>
      </c>
      <c r="I29" s="43" t="s">
        <v>6741</v>
      </c>
      <c r="J29" s="55"/>
      <c r="K29" s="119">
        <f>IFERROR(VLOOKUP(B29,BD_CONTROL!$A$5:$M$4235,11,0),"")</f>
        <v>0</v>
      </c>
      <c r="L29" s="120">
        <f>IFERROR(VLOOKUP(B29,BD_CONTROL!$A$5:$M$4235,12,0),"")</f>
        <v>0</v>
      </c>
      <c r="M29" s="121">
        <f>IFERROR(VLOOKUP(B29,BD_CONTROL!$A$5:$M$4235,13,0),"")</f>
        <v>0</v>
      </c>
    </row>
    <row r="30" spans="1:13" ht="15" customHeight="1">
      <c r="A30" s="39">
        <v>25</v>
      </c>
      <c r="B30" s="39" t="s">
        <v>6792</v>
      </c>
      <c r="C30" s="40" t="s">
        <v>6735</v>
      </c>
      <c r="D30" s="39" t="s">
        <v>6736</v>
      </c>
      <c r="E30" s="40" t="s">
        <v>6774</v>
      </c>
      <c r="F30" s="40" t="s">
        <v>6783</v>
      </c>
      <c r="G30" s="39" t="s">
        <v>6739</v>
      </c>
      <c r="H30" s="40" t="s">
        <v>6740</v>
      </c>
      <c r="I30" s="40" t="s">
        <v>6741</v>
      </c>
      <c r="J30" s="50"/>
      <c r="K30" s="116" t="str">
        <f>IFERROR(VLOOKUP(B30,BD_CONTROL!$A$5:$M$4235,11,0),"")</f>
        <v>Instalado - Operando</v>
      </c>
      <c r="L30" s="117">
        <f>IFERROR(VLOOKUP(B30,BD_CONTROL!$A$5:$M$4235,12,0),"")</f>
        <v>46151</v>
      </c>
      <c r="M30" s="118">
        <f>IFERROR(VLOOKUP(B30,BD_CONTROL!$A$5:$M$4235,13,0),"")</f>
        <v>0</v>
      </c>
    </row>
    <row r="31" spans="1:13" ht="15" customHeight="1">
      <c r="A31" s="42">
        <v>26</v>
      </c>
      <c r="B31" s="42" t="s">
        <v>6793</v>
      </c>
      <c r="C31" s="43" t="s">
        <v>6735</v>
      </c>
      <c r="D31" s="42" t="s">
        <v>6736</v>
      </c>
      <c r="E31" s="43" t="s">
        <v>6774</v>
      </c>
      <c r="F31" s="43" t="s">
        <v>6783</v>
      </c>
      <c r="G31" s="42" t="s">
        <v>6739</v>
      </c>
      <c r="H31" s="43" t="s">
        <v>6740</v>
      </c>
      <c r="I31" s="43" t="s">
        <v>6741</v>
      </c>
      <c r="J31" s="55"/>
      <c r="K31" s="119">
        <f>IFERROR(VLOOKUP(B31,BD_CONTROL!$A$5:$M$4235,11,0),"")</f>
        <v>0</v>
      </c>
      <c r="L31" s="120">
        <f>IFERROR(VLOOKUP(B31,BD_CONTROL!$A$5:$M$4235,12,0),"")</f>
        <v>0</v>
      </c>
      <c r="M31" s="121">
        <f>IFERROR(VLOOKUP(B31,BD_CONTROL!$A$5:$M$4235,13,0),"")</f>
        <v>0</v>
      </c>
    </row>
    <row r="32" spans="1:13" ht="15" customHeight="1">
      <c r="A32" s="39">
        <v>27</v>
      </c>
      <c r="B32" s="39" t="s">
        <v>6794</v>
      </c>
      <c r="C32" s="40" t="s">
        <v>6735</v>
      </c>
      <c r="D32" s="39" t="s">
        <v>6736</v>
      </c>
      <c r="E32" s="40" t="s">
        <v>6774</v>
      </c>
      <c r="F32" s="40" t="s">
        <v>6783</v>
      </c>
      <c r="G32" s="39" t="s">
        <v>6739</v>
      </c>
      <c r="H32" s="40" t="s">
        <v>6740</v>
      </c>
      <c r="I32" s="40" t="s">
        <v>6741</v>
      </c>
      <c r="J32" s="50"/>
      <c r="K32" s="116" t="str">
        <f>IFERROR(VLOOKUP(B32,BD_CONTROL!$A$5:$M$4235,11,0),"")</f>
        <v>Instalado - Operando</v>
      </c>
      <c r="L32" s="117">
        <f>IFERROR(VLOOKUP(B32,BD_CONTROL!$A$5:$M$4235,12,0),"")</f>
        <v>46151</v>
      </c>
      <c r="M32" s="118">
        <f>IFERROR(VLOOKUP(B32,BD_CONTROL!$A$5:$M$4235,13,0),"")</f>
        <v>0</v>
      </c>
    </row>
    <row r="33" spans="1:13" ht="15" customHeight="1">
      <c r="A33" s="42">
        <v>28</v>
      </c>
      <c r="B33" s="42" t="s">
        <v>6795</v>
      </c>
      <c r="C33" s="43" t="s">
        <v>6735</v>
      </c>
      <c r="D33" s="42" t="s">
        <v>6736</v>
      </c>
      <c r="E33" s="43" t="s">
        <v>6774</v>
      </c>
      <c r="F33" s="43" t="s">
        <v>6783</v>
      </c>
      <c r="G33" s="42" t="s">
        <v>6739</v>
      </c>
      <c r="H33" s="43" t="s">
        <v>6740</v>
      </c>
      <c r="I33" s="43" t="s">
        <v>6741</v>
      </c>
      <c r="J33" s="55"/>
      <c r="K33" s="119">
        <f>IFERROR(VLOOKUP(B33,BD_CONTROL!$A$5:$M$4235,11,0),"")</f>
        <v>0</v>
      </c>
      <c r="L33" s="120">
        <f>IFERROR(VLOOKUP(B33,BD_CONTROL!$A$5:$M$4235,12,0),"")</f>
        <v>0</v>
      </c>
      <c r="M33" s="121">
        <f>IFERROR(VLOOKUP(B33,BD_CONTROL!$A$5:$M$4235,13,0),"")</f>
        <v>0</v>
      </c>
    </row>
    <row r="34" spans="1:13" ht="15" customHeight="1">
      <c r="A34" s="39">
        <v>29</v>
      </c>
      <c r="B34" s="39" t="s">
        <v>6796</v>
      </c>
      <c r="C34" s="40" t="s">
        <v>6735</v>
      </c>
      <c r="D34" s="39" t="s">
        <v>6736</v>
      </c>
      <c r="E34" s="40" t="s">
        <v>6774</v>
      </c>
      <c r="F34" s="40" t="s">
        <v>6783</v>
      </c>
      <c r="G34" s="39" t="s">
        <v>6739</v>
      </c>
      <c r="H34" s="40" t="s">
        <v>6740</v>
      </c>
      <c r="I34" s="40" t="s">
        <v>6741</v>
      </c>
      <c r="J34" s="50"/>
      <c r="K34" s="116">
        <f>IFERROR(VLOOKUP(B34,BD_CONTROL!$A$5:$M$4235,11,0),"")</f>
        <v>0</v>
      </c>
      <c r="L34" s="117">
        <f>IFERROR(VLOOKUP(B34,BD_CONTROL!$A$5:$M$4235,12,0),"")</f>
        <v>0</v>
      </c>
      <c r="M34" s="118">
        <f>IFERROR(VLOOKUP(B34,BD_CONTROL!$A$5:$M$4235,13,0),"")</f>
        <v>0</v>
      </c>
    </row>
    <row r="35" spans="1:13" ht="15" customHeight="1">
      <c r="A35" s="42">
        <v>30</v>
      </c>
      <c r="B35" s="42" t="s">
        <v>6797</v>
      </c>
      <c r="C35" s="43" t="s">
        <v>6735</v>
      </c>
      <c r="D35" s="42" t="s">
        <v>6736</v>
      </c>
      <c r="E35" s="43" t="s">
        <v>6774</v>
      </c>
      <c r="F35" s="43" t="s">
        <v>6783</v>
      </c>
      <c r="G35" s="42" t="s">
        <v>6739</v>
      </c>
      <c r="H35" s="43" t="s">
        <v>6740</v>
      </c>
      <c r="I35" s="43" t="s">
        <v>6741</v>
      </c>
      <c r="J35" s="55"/>
      <c r="K35" s="119" t="str">
        <f>IFERROR(VLOOKUP(B35,BD_CONTROL!$A$5:$M$4235,11,0),"")</f>
        <v>Instalado - Operando</v>
      </c>
      <c r="L35" s="120">
        <f>IFERROR(VLOOKUP(B35,BD_CONTROL!$A$5:$M$4235,12,0),"")</f>
        <v>46149</v>
      </c>
      <c r="M35" s="121">
        <f>IFERROR(VLOOKUP(B35,BD_CONTROL!$A$5:$M$4235,13,0),"")</f>
        <v>0</v>
      </c>
    </row>
    <row r="36" spans="1:13" ht="15" customHeight="1">
      <c r="A36" s="39">
        <v>31</v>
      </c>
      <c r="B36" s="39" t="s">
        <v>6798</v>
      </c>
      <c r="C36" s="40" t="s">
        <v>6735</v>
      </c>
      <c r="D36" s="39" t="s">
        <v>6736</v>
      </c>
      <c r="E36" s="40" t="s">
        <v>6774</v>
      </c>
      <c r="F36" s="40" t="s">
        <v>6783</v>
      </c>
      <c r="G36" s="39" t="s">
        <v>6739</v>
      </c>
      <c r="H36" s="40" t="s">
        <v>6740</v>
      </c>
      <c r="I36" s="40" t="s">
        <v>6741</v>
      </c>
      <c r="J36" s="50"/>
      <c r="K36" s="116">
        <f>IFERROR(VLOOKUP(B36,BD_CONTROL!$A$5:$M$4235,11,0),"")</f>
        <v>0</v>
      </c>
      <c r="L36" s="117">
        <f>IFERROR(VLOOKUP(B36,BD_CONTROL!$A$5:$M$4235,12,0),"")</f>
        <v>0</v>
      </c>
      <c r="M36" s="118">
        <f>IFERROR(VLOOKUP(B36,BD_CONTROL!$A$5:$M$4235,13,0),"")</f>
        <v>0</v>
      </c>
    </row>
    <row r="37" spans="1:13" ht="15" customHeight="1">
      <c r="A37" s="42">
        <v>32</v>
      </c>
      <c r="B37" s="42" t="s">
        <v>6799</v>
      </c>
      <c r="C37" s="43" t="s">
        <v>6735</v>
      </c>
      <c r="D37" s="42" t="s">
        <v>6736</v>
      </c>
      <c r="E37" s="43" t="s">
        <v>6774</v>
      </c>
      <c r="F37" s="43" t="s">
        <v>6783</v>
      </c>
      <c r="G37" s="42" t="s">
        <v>6739</v>
      </c>
      <c r="H37" s="43" t="s">
        <v>6740</v>
      </c>
      <c r="I37" s="43" t="s">
        <v>6741</v>
      </c>
      <c r="J37" s="55"/>
      <c r="K37" s="119">
        <f>IFERROR(VLOOKUP(B37,BD_CONTROL!$A$5:$M$4235,11,0),"")</f>
        <v>0</v>
      </c>
      <c r="L37" s="120">
        <f>IFERROR(VLOOKUP(B37,BD_CONTROL!$A$5:$M$4235,12,0),"")</f>
        <v>0</v>
      </c>
      <c r="M37" s="121">
        <f>IFERROR(VLOOKUP(B37,BD_CONTROL!$A$5:$M$4235,13,0),"")</f>
        <v>0</v>
      </c>
    </row>
    <row r="38" spans="1:13" ht="15" customHeight="1">
      <c r="A38" s="39">
        <v>33</v>
      </c>
      <c r="B38" s="39" t="s">
        <v>6800</v>
      </c>
      <c r="C38" s="40" t="s">
        <v>6735</v>
      </c>
      <c r="D38" s="39" t="s">
        <v>6736</v>
      </c>
      <c r="E38" s="40" t="s">
        <v>6774</v>
      </c>
      <c r="F38" s="40" t="s">
        <v>6801</v>
      </c>
      <c r="G38" s="39" t="s">
        <v>6739</v>
      </c>
      <c r="H38" s="40" t="s">
        <v>6740</v>
      </c>
      <c r="I38" s="40" t="s">
        <v>6741</v>
      </c>
      <c r="J38" s="50"/>
      <c r="K38" s="116">
        <f>IFERROR(VLOOKUP(B38,BD_CONTROL!$A$5:$M$4235,11,0),"")</f>
        <v>0</v>
      </c>
      <c r="L38" s="117">
        <f>IFERROR(VLOOKUP(B38,BD_CONTROL!$A$5:$M$4235,12,0),"")</f>
        <v>0</v>
      </c>
      <c r="M38" s="118">
        <f>IFERROR(VLOOKUP(B38,BD_CONTROL!$A$5:$M$4235,13,0),"")</f>
        <v>0</v>
      </c>
    </row>
    <row r="39" spans="1:13" ht="15" customHeight="1">
      <c r="A39" s="42">
        <v>34</v>
      </c>
      <c r="B39" s="42" t="s">
        <v>6802</v>
      </c>
      <c r="C39" s="43" t="s">
        <v>6803</v>
      </c>
      <c r="D39" s="42" t="s">
        <v>6736</v>
      </c>
      <c r="E39" s="43" t="s">
        <v>6774</v>
      </c>
      <c r="F39" s="43" t="s">
        <v>6804</v>
      </c>
      <c r="G39" s="42" t="s">
        <v>109</v>
      </c>
      <c r="H39" s="43" t="s">
        <v>6740</v>
      </c>
      <c r="I39" s="43" t="s">
        <v>104</v>
      </c>
      <c r="J39" s="55"/>
      <c r="K39" s="119" t="str">
        <f>IFERROR(VLOOKUP(B39,BD_CONTROL!$A$5:$M$4235,11,0),"")</f>
        <v>Instalado - Operando</v>
      </c>
      <c r="L39" s="120">
        <f>IFERROR(VLOOKUP(B39,BD_CONTROL!$A$5:$M$4235,12,0),"")</f>
        <v>46150</v>
      </c>
      <c r="M39" s="121">
        <f>IFERROR(VLOOKUP(B39,BD_CONTROL!$A$5:$M$4235,13,0),"")</f>
        <v>0</v>
      </c>
    </row>
    <row r="40" spans="1:13" ht="15" customHeight="1">
      <c r="A40" s="39">
        <v>35</v>
      </c>
      <c r="B40" s="39" t="s">
        <v>6805</v>
      </c>
      <c r="C40" s="40" t="s">
        <v>2295</v>
      </c>
      <c r="D40" s="39" t="s">
        <v>6736</v>
      </c>
      <c r="E40" s="40" t="s">
        <v>6774</v>
      </c>
      <c r="F40" s="40" t="s">
        <v>6806</v>
      </c>
      <c r="G40" s="39" t="s">
        <v>109</v>
      </c>
      <c r="H40" s="40" t="s">
        <v>6740</v>
      </c>
      <c r="I40" s="40" t="s">
        <v>104</v>
      </c>
      <c r="J40" s="50"/>
      <c r="K40" s="116">
        <f>IFERROR(VLOOKUP(B40,BD_CONTROL!$A$5:$M$4235,11,0),"")</f>
        <v>0</v>
      </c>
      <c r="L40" s="117">
        <f>IFERROR(VLOOKUP(B40,BD_CONTROL!$A$5:$M$4235,12,0),"")</f>
        <v>0</v>
      </c>
      <c r="M40" s="118">
        <f>IFERROR(VLOOKUP(B40,BD_CONTROL!$A$5:$M$4235,13,0),"")</f>
        <v>0</v>
      </c>
    </row>
    <row r="41" spans="1:13" ht="15" customHeight="1">
      <c r="A41" s="42">
        <v>36</v>
      </c>
      <c r="B41" s="42" t="s">
        <v>6807</v>
      </c>
      <c r="C41" s="43" t="s">
        <v>6808</v>
      </c>
      <c r="D41" s="42" t="s">
        <v>6736</v>
      </c>
      <c r="E41" s="43" t="s">
        <v>6774</v>
      </c>
      <c r="F41" s="43" t="s">
        <v>6809</v>
      </c>
      <c r="G41" s="42" t="s">
        <v>109</v>
      </c>
      <c r="H41" s="43" t="s">
        <v>6740</v>
      </c>
      <c r="I41" s="43" t="s">
        <v>104</v>
      </c>
      <c r="J41" s="55"/>
      <c r="K41" s="119">
        <f>IFERROR(VLOOKUP(B41,BD_CONTROL!$A$5:$M$4235,11,0),"")</f>
        <v>0</v>
      </c>
      <c r="L41" s="120">
        <f>IFERROR(VLOOKUP(B41,BD_CONTROL!$A$5:$M$4235,12,0),"")</f>
        <v>0</v>
      </c>
      <c r="M41" s="121">
        <f>IFERROR(VLOOKUP(B41,BD_CONTROL!$A$5:$M$4235,13,0),"")</f>
        <v>0</v>
      </c>
    </row>
    <row r="42" spans="1:13" ht="15" customHeight="1">
      <c r="A42" s="39">
        <v>37</v>
      </c>
      <c r="B42" s="39" t="s">
        <v>6810</v>
      </c>
      <c r="C42" s="40" t="s">
        <v>6735</v>
      </c>
      <c r="D42" s="39" t="s">
        <v>6736</v>
      </c>
      <c r="E42" s="40" t="s">
        <v>6774</v>
      </c>
      <c r="F42" s="40" t="s">
        <v>6811</v>
      </c>
      <c r="G42" s="39" t="s">
        <v>6739</v>
      </c>
      <c r="H42" s="40" t="s">
        <v>6740</v>
      </c>
      <c r="I42" s="40" t="s">
        <v>6741</v>
      </c>
      <c r="J42" s="50"/>
      <c r="K42" s="116">
        <f>IFERROR(VLOOKUP(B42,BD_CONTROL!$A$5:$M$4235,11,0),"")</f>
        <v>0</v>
      </c>
      <c r="L42" s="117">
        <f>IFERROR(VLOOKUP(B42,BD_CONTROL!$A$5:$M$4235,12,0),"")</f>
        <v>0</v>
      </c>
      <c r="M42" s="118">
        <f>IFERROR(VLOOKUP(B42,BD_CONTROL!$A$5:$M$4235,13,0),"")</f>
        <v>0</v>
      </c>
    </row>
    <row r="43" spans="1:13" ht="15" customHeight="1">
      <c r="A43" s="42">
        <v>38</v>
      </c>
      <c r="B43" s="42" t="s">
        <v>6812</v>
      </c>
      <c r="C43" s="43" t="s">
        <v>6813</v>
      </c>
      <c r="D43" s="42" t="s">
        <v>6736</v>
      </c>
      <c r="E43" s="43" t="s">
        <v>6774</v>
      </c>
      <c r="F43" s="43" t="s">
        <v>6814</v>
      </c>
      <c r="G43" s="42" t="s">
        <v>109</v>
      </c>
      <c r="H43" s="43" t="s">
        <v>6740</v>
      </c>
      <c r="I43" s="43" t="s">
        <v>104</v>
      </c>
      <c r="J43" s="55"/>
      <c r="K43" s="119">
        <f>IFERROR(VLOOKUP(B43,BD_CONTROL!$A$5:$M$4235,11,0),"")</f>
        <v>0</v>
      </c>
      <c r="L43" s="120">
        <f>IFERROR(VLOOKUP(B43,BD_CONTROL!$A$5:$M$4235,12,0),"")</f>
        <v>0</v>
      </c>
      <c r="M43" s="121">
        <f>IFERROR(VLOOKUP(B43,BD_CONTROL!$A$5:$M$4235,13,0),"")</f>
        <v>0</v>
      </c>
    </row>
    <row r="44" spans="1:13" ht="15" customHeight="1">
      <c r="A44" s="39">
        <v>39</v>
      </c>
      <c r="B44" s="39" t="s">
        <v>6815</v>
      </c>
      <c r="C44" s="40" t="s">
        <v>6816</v>
      </c>
      <c r="D44" s="39" t="s">
        <v>6736</v>
      </c>
      <c r="E44" s="40" t="s">
        <v>6774</v>
      </c>
      <c r="F44" s="40" t="s">
        <v>6781</v>
      </c>
      <c r="G44" s="39" t="s">
        <v>109</v>
      </c>
      <c r="H44" s="40" t="s">
        <v>6740</v>
      </c>
      <c r="I44" s="40" t="s">
        <v>104</v>
      </c>
      <c r="J44" s="50"/>
      <c r="K44" s="116">
        <f>IFERROR(VLOOKUP(B44,BD_CONTROL!$A$5:$M$4235,11,0),"")</f>
        <v>0</v>
      </c>
      <c r="L44" s="117">
        <f>IFERROR(VLOOKUP(B44,BD_CONTROL!$A$5:$M$4235,12,0),"")</f>
        <v>0</v>
      </c>
      <c r="M44" s="118">
        <f>IFERROR(VLOOKUP(B44,BD_CONTROL!$A$5:$M$4235,13,0),"")</f>
        <v>0</v>
      </c>
    </row>
    <row r="45" spans="1:13" ht="15" customHeight="1">
      <c r="A45" s="42">
        <v>40</v>
      </c>
      <c r="B45" s="42" t="s">
        <v>6817</v>
      </c>
      <c r="C45" s="43" t="s">
        <v>6818</v>
      </c>
      <c r="D45" s="42" t="s">
        <v>6736</v>
      </c>
      <c r="E45" s="43" t="s">
        <v>6774</v>
      </c>
      <c r="F45" s="43" t="s">
        <v>6702</v>
      </c>
      <c r="G45" s="42" t="s">
        <v>109</v>
      </c>
      <c r="H45" s="43" t="s">
        <v>6740</v>
      </c>
      <c r="I45" s="43" t="s">
        <v>104</v>
      </c>
      <c r="J45" s="55"/>
      <c r="K45" s="119">
        <f>IFERROR(VLOOKUP(B45,BD_CONTROL!$A$5:$M$4235,11,0),"")</f>
        <v>0</v>
      </c>
      <c r="L45" s="120">
        <f>IFERROR(VLOOKUP(B45,BD_CONTROL!$A$5:$M$4235,12,0),"")</f>
        <v>0</v>
      </c>
      <c r="M45" s="121">
        <f>IFERROR(VLOOKUP(B45,BD_CONTROL!$A$5:$M$4235,13,0),"")</f>
        <v>0</v>
      </c>
    </row>
    <row r="46" spans="1:13" ht="15" customHeight="1">
      <c r="A46" s="39">
        <v>41</v>
      </c>
      <c r="B46" s="39" t="s">
        <v>6819</v>
      </c>
      <c r="C46" s="40" t="s">
        <v>6735</v>
      </c>
      <c r="D46" s="39" t="s">
        <v>6736</v>
      </c>
      <c r="E46" s="40" t="s">
        <v>6774</v>
      </c>
      <c r="F46" s="40" t="s">
        <v>6820</v>
      </c>
      <c r="G46" s="39" t="s">
        <v>6739</v>
      </c>
      <c r="H46" s="40" t="s">
        <v>6740</v>
      </c>
      <c r="I46" s="40" t="s">
        <v>6741</v>
      </c>
      <c r="J46" s="50"/>
      <c r="K46" s="116">
        <f>IFERROR(VLOOKUP(B46,BD_CONTROL!$A$5:$M$4235,11,0),"")</f>
        <v>0</v>
      </c>
      <c r="L46" s="117">
        <f>IFERROR(VLOOKUP(B46,BD_CONTROL!$A$5:$M$4235,12,0),"")</f>
        <v>0</v>
      </c>
      <c r="M46" s="118">
        <f>IFERROR(VLOOKUP(B46,BD_CONTROL!$A$5:$M$4235,13,0),"")</f>
        <v>0</v>
      </c>
    </row>
    <row r="47" spans="1:13" ht="15" customHeight="1">
      <c r="A47" s="42">
        <v>42</v>
      </c>
      <c r="B47" s="42" t="s">
        <v>6821</v>
      </c>
      <c r="C47" s="43" t="s">
        <v>6822</v>
      </c>
      <c r="D47" s="42" t="s">
        <v>6736</v>
      </c>
      <c r="E47" s="43" t="s">
        <v>6774</v>
      </c>
      <c r="F47" s="43" t="s">
        <v>6823</v>
      </c>
      <c r="G47" s="42" t="s">
        <v>109</v>
      </c>
      <c r="H47" s="43" t="s">
        <v>6740</v>
      </c>
      <c r="I47" s="43" t="s">
        <v>104</v>
      </c>
      <c r="J47" s="55"/>
      <c r="K47" s="119">
        <f>IFERROR(VLOOKUP(B47,BD_CONTROL!$A$5:$M$4235,11,0),"")</f>
        <v>0</v>
      </c>
      <c r="L47" s="120">
        <f>IFERROR(VLOOKUP(B47,BD_CONTROL!$A$5:$M$4235,12,0),"")</f>
        <v>0</v>
      </c>
      <c r="M47" s="121">
        <f>IFERROR(VLOOKUP(B47,BD_CONTROL!$A$5:$M$4235,13,0),"")</f>
        <v>0</v>
      </c>
    </row>
    <row r="48" spans="1:13" ht="15" customHeight="1">
      <c r="A48" s="39">
        <v>43</v>
      </c>
      <c r="B48" s="39" t="s">
        <v>6824</v>
      </c>
      <c r="C48" s="40" t="s">
        <v>6735</v>
      </c>
      <c r="D48" s="39" t="s">
        <v>6736</v>
      </c>
      <c r="E48" s="40" t="s">
        <v>6774</v>
      </c>
      <c r="F48" s="40" t="s">
        <v>6825</v>
      </c>
      <c r="G48" s="39" t="s">
        <v>6739</v>
      </c>
      <c r="H48" s="40" t="s">
        <v>6740</v>
      </c>
      <c r="I48" s="40" t="s">
        <v>6741</v>
      </c>
      <c r="J48" s="50"/>
      <c r="K48" s="116">
        <f>IFERROR(VLOOKUP(B48,BD_CONTROL!$A$5:$M$4235,11,0),"")</f>
        <v>0</v>
      </c>
      <c r="L48" s="117">
        <f>IFERROR(VLOOKUP(B48,BD_CONTROL!$A$5:$M$4235,12,0),"")</f>
        <v>0</v>
      </c>
      <c r="M48" s="118">
        <f>IFERROR(VLOOKUP(B48,BD_CONTROL!$A$5:$M$4235,13,0),"")</f>
        <v>0</v>
      </c>
    </row>
    <row r="49" spans="1:13" ht="15" customHeight="1">
      <c r="A49" s="42">
        <v>44</v>
      </c>
      <c r="B49" s="42" t="s">
        <v>6826</v>
      </c>
      <c r="C49" s="43" t="s">
        <v>6735</v>
      </c>
      <c r="D49" s="42" t="s">
        <v>6736</v>
      </c>
      <c r="E49" s="43" t="s">
        <v>6774</v>
      </c>
      <c r="F49" s="43" t="s">
        <v>6827</v>
      </c>
      <c r="G49" s="42" t="s">
        <v>6739</v>
      </c>
      <c r="H49" s="43" t="s">
        <v>6740</v>
      </c>
      <c r="I49" s="43" t="s">
        <v>6741</v>
      </c>
      <c r="J49" s="55"/>
      <c r="K49" s="119">
        <f>IFERROR(VLOOKUP(B49,BD_CONTROL!$A$5:$M$4235,11,0),"")</f>
        <v>0</v>
      </c>
      <c r="L49" s="120">
        <f>IFERROR(VLOOKUP(B49,BD_CONTROL!$A$5:$M$4235,12,0),"")</f>
        <v>0</v>
      </c>
      <c r="M49" s="121">
        <f>IFERROR(VLOOKUP(B49,BD_CONTROL!$A$5:$M$4235,13,0),"")</f>
        <v>0</v>
      </c>
    </row>
    <row r="50" spans="1:13" ht="15" customHeight="1">
      <c r="A50" s="39">
        <v>45</v>
      </c>
      <c r="B50" s="39" t="s">
        <v>6828</v>
      </c>
      <c r="C50" s="40" t="s">
        <v>6735</v>
      </c>
      <c r="D50" s="39" t="s">
        <v>6736</v>
      </c>
      <c r="E50" s="40" t="s">
        <v>6774</v>
      </c>
      <c r="F50" s="40" t="s">
        <v>6827</v>
      </c>
      <c r="G50" s="39" t="s">
        <v>6739</v>
      </c>
      <c r="H50" s="40" t="s">
        <v>6740</v>
      </c>
      <c r="I50" s="40" t="s">
        <v>6741</v>
      </c>
      <c r="J50" s="50"/>
      <c r="K50" s="116">
        <f>IFERROR(VLOOKUP(B50,BD_CONTROL!$A$5:$M$4235,11,0),"")</f>
        <v>0</v>
      </c>
      <c r="L50" s="117">
        <f>IFERROR(VLOOKUP(B50,BD_CONTROL!$A$5:$M$4235,12,0),"")</f>
        <v>0</v>
      </c>
      <c r="M50" s="118">
        <f>IFERROR(VLOOKUP(B50,BD_CONTROL!$A$5:$M$4235,13,0),"")</f>
        <v>0</v>
      </c>
    </row>
    <row r="51" spans="1:13" ht="15" customHeight="1">
      <c r="A51" s="42">
        <v>46</v>
      </c>
      <c r="B51" s="42" t="s">
        <v>6829</v>
      </c>
      <c r="C51" s="43" t="s">
        <v>6830</v>
      </c>
      <c r="D51" s="42" t="s">
        <v>6736</v>
      </c>
      <c r="E51" s="43" t="s">
        <v>6831</v>
      </c>
      <c r="F51" s="43" t="s">
        <v>6832</v>
      </c>
      <c r="G51" s="42" t="s">
        <v>109</v>
      </c>
      <c r="H51" s="43" t="s">
        <v>6740</v>
      </c>
      <c r="I51" s="43" t="s">
        <v>104</v>
      </c>
      <c r="J51" s="55"/>
      <c r="K51" s="119">
        <f>IFERROR(VLOOKUP(B51,BD_CONTROL!$A$5:$M$4235,11,0),"")</f>
        <v>0</v>
      </c>
      <c r="L51" s="120">
        <f>IFERROR(VLOOKUP(B51,BD_CONTROL!$A$5:$M$4235,12,0),"")</f>
        <v>0</v>
      </c>
      <c r="M51" s="121">
        <f>IFERROR(VLOOKUP(B51,BD_CONTROL!$A$5:$M$4235,13,0),"")</f>
        <v>0</v>
      </c>
    </row>
    <row r="52" spans="1:13" ht="15" customHeight="1">
      <c r="A52" s="39">
        <v>47</v>
      </c>
      <c r="B52" s="39" t="s">
        <v>6833</v>
      </c>
      <c r="C52" s="40" t="s">
        <v>6834</v>
      </c>
      <c r="D52" s="39" t="s">
        <v>6736</v>
      </c>
      <c r="E52" s="40" t="s">
        <v>6831</v>
      </c>
      <c r="F52" s="40" t="s">
        <v>6835</v>
      </c>
      <c r="G52" s="39" t="s">
        <v>109</v>
      </c>
      <c r="H52" s="40" t="s">
        <v>6740</v>
      </c>
      <c r="I52" s="40" t="s">
        <v>104</v>
      </c>
      <c r="J52" s="50"/>
      <c r="K52" s="116">
        <f>IFERROR(VLOOKUP(B52,BD_CONTROL!$A$5:$M$4235,11,0),"")</f>
        <v>0</v>
      </c>
      <c r="L52" s="117">
        <f>IFERROR(VLOOKUP(B52,BD_CONTROL!$A$5:$M$4235,12,0),"")</f>
        <v>0</v>
      </c>
      <c r="M52" s="118">
        <f>IFERROR(VLOOKUP(B52,BD_CONTROL!$A$5:$M$4235,13,0),"")</f>
        <v>0</v>
      </c>
    </row>
    <row r="53" spans="1:13" ht="15" customHeight="1">
      <c r="A53" s="42">
        <v>48</v>
      </c>
      <c r="B53" s="42" t="s">
        <v>6836</v>
      </c>
      <c r="C53" s="43" t="s">
        <v>6735</v>
      </c>
      <c r="D53" s="42" t="s">
        <v>6736</v>
      </c>
      <c r="E53" s="43" t="s">
        <v>6837</v>
      </c>
      <c r="F53" s="43" t="s">
        <v>6838</v>
      </c>
      <c r="G53" s="42" t="s">
        <v>6739</v>
      </c>
      <c r="H53" s="43" t="s">
        <v>6740</v>
      </c>
      <c r="I53" s="43" t="s">
        <v>6741</v>
      </c>
      <c r="J53" s="55"/>
      <c r="K53" s="119" t="str">
        <f>IFERROR(VLOOKUP(B53,BD_CONTROL!$A$5:$M$4235,11,0),"")</f>
        <v>Instalado - Operando</v>
      </c>
      <c r="L53" s="120">
        <f>IFERROR(VLOOKUP(B53,BD_CONTROL!$A$5:$M$4235,12,0),"")</f>
        <v>46148</v>
      </c>
      <c r="M53" s="121">
        <f>IFERROR(VLOOKUP(B53,BD_CONTROL!$A$5:$M$4235,13,0),"")</f>
        <v>0</v>
      </c>
    </row>
    <row r="54" spans="1:13" ht="15" customHeight="1">
      <c r="A54" s="39">
        <v>49</v>
      </c>
      <c r="B54" s="39" t="s">
        <v>6839</v>
      </c>
      <c r="C54" s="40" t="s">
        <v>6840</v>
      </c>
      <c r="D54" s="39" t="s">
        <v>6736</v>
      </c>
      <c r="E54" s="40" t="s">
        <v>6837</v>
      </c>
      <c r="F54" s="40" t="s">
        <v>6841</v>
      </c>
      <c r="G54" s="39" t="s">
        <v>109</v>
      </c>
      <c r="H54" s="40" t="s">
        <v>6740</v>
      </c>
      <c r="I54" s="40" t="s">
        <v>104</v>
      </c>
      <c r="J54" s="50"/>
      <c r="K54" s="116" t="str">
        <f>IFERROR(VLOOKUP(B54,BD_CONTROL!$A$5:$M$4235,11,0),"")</f>
        <v>Instalado - Operando</v>
      </c>
      <c r="L54" s="117">
        <f>IFERROR(VLOOKUP(B54,BD_CONTROL!$A$5:$M$4235,12,0),"")</f>
        <v>46148</v>
      </c>
      <c r="M54" s="118">
        <f>IFERROR(VLOOKUP(B54,BD_CONTROL!$A$5:$M$4235,13,0),"")</f>
        <v>0</v>
      </c>
    </row>
    <row r="55" spans="1:13" ht="15" customHeight="1">
      <c r="A55" s="42">
        <v>50</v>
      </c>
      <c r="B55" s="42" t="s">
        <v>6842</v>
      </c>
      <c r="C55" s="43" t="s">
        <v>6841</v>
      </c>
      <c r="D55" s="42" t="s">
        <v>6736</v>
      </c>
      <c r="E55" s="43" t="s">
        <v>6837</v>
      </c>
      <c r="F55" s="43" t="s">
        <v>6841</v>
      </c>
      <c r="G55" s="42" t="s">
        <v>109</v>
      </c>
      <c r="H55" s="43" t="s">
        <v>6740</v>
      </c>
      <c r="I55" s="43" t="s">
        <v>104</v>
      </c>
      <c r="J55" s="55"/>
      <c r="K55" s="119" t="str">
        <f>IFERROR(VLOOKUP(B55,BD_CONTROL!$A$5:$M$4235,11,0),"")</f>
        <v>Sin Inmueble</v>
      </c>
      <c r="L55" s="120">
        <f>IFERROR(VLOOKUP(B55,BD_CONTROL!$A$5:$M$4235,12,0),"")</f>
        <v>46148</v>
      </c>
      <c r="M55" s="121" t="str">
        <f>IFERROR(VLOOKUP(B55,BD_CONTROL!$A$5:$M$4235,13,0),"")</f>
        <v xml:space="preserve">EL TELEBACHILLERATO COMUNITARIO AUN NO ESTA CONSTRUIDO
</v>
      </c>
    </row>
    <row r="56" spans="1:13" ht="15" customHeight="1">
      <c r="A56" s="39">
        <v>51</v>
      </c>
      <c r="B56" s="39" t="s">
        <v>6844</v>
      </c>
      <c r="C56" s="40" t="s">
        <v>6845</v>
      </c>
      <c r="D56" s="39" t="s">
        <v>6736</v>
      </c>
      <c r="E56" s="40" t="s">
        <v>6837</v>
      </c>
      <c r="F56" s="40" t="s">
        <v>6846</v>
      </c>
      <c r="G56" s="39" t="s">
        <v>109</v>
      </c>
      <c r="H56" s="40" t="s">
        <v>6740</v>
      </c>
      <c r="I56" s="40" t="s">
        <v>104</v>
      </c>
      <c r="J56" s="50"/>
      <c r="K56" s="116" t="str">
        <f>IFERROR(VLOOKUP(B56,BD_CONTROL!$A$5:$M$4235,11,0),"")</f>
        <v>Instalado - Operando</v>
      </c>
      <c r="L56" s="117">
        <f>IFERROR(VLOOKUP(B56,BD_CONTROL!$A$5:$M$4235,12,0),"")</f>
        <v>46148</v>
      </c>
      <c r="M56" s="118">
        <f>IFERROR(VLOOKUP(B56,BD_CONTROL!$A$5:$M$4235,13,0),"")</f>
        <v>0</v>
      </c>
    </row>
    <row r="57" spans="1:13" ht="15" customHeight="1">
      <c r="A57" s="42">
        <v>52</v>
      </c>
      <c r="B57" s="42" t="s">
        <v>6847</v>
      </c>
      <c r="C57" s="43" t="s">
        <v>6848</v>
      </c>
      <c r="D57" s="42" t="s">
        <v>6736</v>
      </c>
      <c r="E57" s="43" t="s">
        <v>6837</v>
      </c>
      <c r="F57" s="43" t="s">
        <v>6849</v>
      </c>
      <c r="G57" s="42" t="s">
        <v>109</v>
      </c>
      <c r="H57" s="43" t="s">
        <v>6740</v>
      </c>
      <c r="I57" s="43" t="s">
        <v>104</v>
      </c>
      <c r="J57" s="55"/>
      <c r="K57" s="119" t="str">
        <f>IFERROR(VLOOKUP(B57,BD_CONTROL!$A$5:$M$4235,11,0),"")</f>
        <v>Instalado - Operando</v>
      </c>
      <c r="L57" s="120">
        <f>IFERROR(VLOOKUP(B57,BD_CONTROL!$A$5:$M$4235,12,0),"")</f>
        <v>46150</v>
      </c>
      <c r="M57" s="121">
        <f>IFERROR(VLOOKUP(B57,BD_CONTROL!$A$5:$M$4235,13,0),"")</f>
        <v>0</v>
      </c>
    </row>
    <row r="58" spans="1:13" ht="15" customHeight="1">
      <c r="A58" s="39">
        <v>53</v>
      </c>
      <c r="B58" s="39" t="s">
        <v>6850</v>
      </c>
      <c r="C58" s="40" t="s">
        <v>6851</v>
      </c>
      <c r="D58" s="39" t="s">
        <v>6736</v>
      </c>
      <c r="E58" s="40" t="s">
        <v>6837</v>
      </c>
      <c r="F58" s="40" t="s">
        <v>6852</v>
      </c>
      <c r="G58" s="39" t="s">
        <v>109</v>
      </c>
      <c r="H58" s="40" t="s">
        <v>6740</v>
      </c>
      <c r="I58" s="40" t="s">
        <v>104</v>
      </c>
      <c r="J58" s="50"/>
      <c r="K58" s="116" t="str">
        <f>IFERROR(VLOOKUP(B58,BD_CONTROL!$A$5:$M$4235,11,0),"")</f>
        <v>Instalado - Sin Señal</v>
      </c>
      <c r="L58" s="117">
        <f>IFERROR(VLOOKUP(B58,BD_CONTROL!$A$5:$M$4235,12,0),"")</f>
        <v>46149</v>
      </c>
      <c r="M58" s="118" t="str">
        <f>IFERROR(VLOOKUP(B58,BD_CONTROL!$A$5:$M$4235,13,0),"")</f>
        <v>no transmite  Internet, nos apoyamos de la meza de ayuda para el seguimiento con melisa schilling, mañana 08 de mayo se visitara el sitio  en caso que el encargado del sitio no puede  habilitarlo con la mesa de ayuda</v>
      </c>
    </row>
    <row r="59" spans="1:13" ht="15" customHeight="1">
      <c r="A59" s="42">
        <v>54</v>
      </c>
      <c r="B59" s="42" t="s">
        <v>6854</v>
      </c>
      <c r="C59" s="43" t="s">
        <v>6855</v>
      </c>
      <c r="D59" s="42" t="s">
        <v>6736</v>
      </c>
      <c r="E59" s="43" t="s">
        <v>6837</v>
      </c>
      <c r="F59" s="43" t="s">
        <v>6856</v>
      </c>
      <c r="G59" s="42" t="s">
        <v>109</v>
      </c>
      <c r="H59" s="43" t="s">
        <v>6740</v>
      </c>
      <c r="I59" s="43" t="s">
        <v>104</v>
      </c>
      <c r="J59" s="55"/>
      <c r="K59" s="119" t="str">
        <f>IFERROR(VLOOKUP(B59,BD_CONTROL!$A$5:$M$4235,11,0),"")</f>
        <v>Instalado - Operando</v>
      </c>
      <c r="L59" s="120">
        <f>IFERROR(VLOOKUP(B59,BD_CONTROL!$A$5:$M$4235,12,0),"")</f>
        <v>46149</v>
      </c>
      <c r="M59" s="121">
        <f>IFERROR(VLOOKUP(B59,BD_CONTROL!$A$5:$M$4235,13,0),"")</f>
        <v>0</v>
      </c>
    </row>
    <row r="60" spans="1:13" ht="15" customHeight="1">
      <c r="A60" s="39">
        <v>55</v>
      </c>
      <c r="B60" s="39" t="s">
        <v>6857</v>
      </c>
      <c r="C60" s="40" t="s">
        <v>6735</v>
      </c>
      <c r="D60" s="39" t="s">
        <v>6736</v>
      </c>
      <c r="E60" s="40" t="s">
        <v>6837</v>
      </c>
      <c r="F60" s="40" t="s">
        <v>6858</v>
      </c>
      <c r="G60" s="39" t="s">
        <v>6739</v>
      </c>
      <c r="H60" s="40" t="s">
        <v>6740</v>
      </c>
      <c r="I60" s="40" t="s">
        <v>6741</v>
      </c>
      <c r="J60" s="50"/>
      <c r="K60" s="116" t="str">
        <f>IFERROR(VLOOKUP(B60,BD_CONTROL!$A$5:$M$4235,11,0),"")</f>
        <v>Instalado - Operando</v>
      </c>
      <c r="L60" s="117">
        <f>IFERROR(VLOOKUP(B60,BD_CONTROL!$A$5:$M$4235,12,0),"")</f>
        <v>46150</v>
      </c>
      <c r="M60" s="118">
        <f>IFERROR(VLOOKUP(B60,BD_CONTROL!$A$5:$M$4235,13,0),"")</f>
        <v>0</v>
      </c>
    </row>
    <row r="61" spans="1:13" ht="15" customHeight="1">
      <c r="A61" s="42">
        <v>56</v>
      </c>
      <c r="B61" s="42" t="s">
        <v>6859</v>
      </c>
      <c r="C61" s="43" t="s">
        <v>6735</v>
      </c>
      <c r="D61" s="42" t="s">
        <v>6736</v>
      </c>
      <c r="E61" s="43" t="s">
        <v>6837</v>
      </c>
      <c r="F61" s="43" t="s">
        <v>6858</v>
      </c>
      <c r="G61" s="42" t="s">
        <v>6739</v>
      </c>
      <c r="H61" s="43" t="s">
        <v>6740</v>
      </c>
      <c r="I61" s="43" t="s">
        <v>6741</v>
      </c>
      <c r="J61" s="55"/>
      <c r="K61" s="119" t="str">
        <f>IFERROR(VLOOKUP(B61,BD_CONTROL!$A$5:$M$4235,11,0),"")</f>
        <v>Instalado - Operando</v>
      </c>
      <c r="L61" s="120">
        <f>IFERROR(VLOOKUP(B61,BD_CONTROL!$A$5:$M$4235,12,0),"")</f>
        <v>46150</v>
      </c>
      <c r="M61" s="121">
        <f>IFERROR(VLOOKUP(B61,BD_CONTROL!$A$5:$M$4235,13,0),"")</f>
        <v>0</v>
      </c>
    </row>
    <row r="62" spans="1:13" ht="15" customHeight="1">
      <c r="A62" s="39">
        <v>57</v>
      </c>
      <c r="B62" s="39" t="s">
        <v>6860</v>
      </c>
      <c r="C62" s="40" t="s">
        <v>6861</v>
      </c>
      <c r="D62" s="39" t="s">
        <v>6736</v>
      </c>
      <c r="E62" s="40" t="s">
        <v>6837</v>
      </c>
      <c r="F62" s="40" t="s">
        <v>6862</v>
      </c>
      <c r="G62" s="39" t="s">
        <v>109</v>
      </c>
      <c r="H62" s="40" t="s">
        <v>6740</v>
      </c>
      <c r="I62" s="40" t="s">
        <v>104</v>
      </c>
      <c r="J62" s="50"/>
      <c r="K62" s="116" t="str">
        <f>IFERROR(VLOOKUP(B62,BD_CONTROL!$A$5:$M$4235,11,0),"")</f>
        <v>Instalado - Operando</v>
      </c>
      <c r="L62" s="117">
        <f>IFERROR(VLOOKUP(B62,BD_CONTROL!$A$5:$M$4235,12,0),"")</f>
        <v>46148</v>
      </c>
      <c r="M62" s="118">
        <f>IFERROR(VLOOKUP(B62,BD_CONTROL!$A$5:$M$4235,13,0),"")</f>
        <v>0</v>
      </c>
    </row>
    <row r="63" spans="1:13" ht="15" customHeight="1">
      <c r="A63" s="42">
        <v>58</v>
      </c>
      <c r="B63" s="42" t="s">
        <v>6863</v>
      </c>
      <c r="C63" s="43" t="s">
        <v>6735</v>
      </c>
      <c r="D63" s="42" t="s">
        <v>6736</v>
      </c>
      <c r="E63" s="43" t="s">
        <v>6837</v>
      </c>
      <c r="F63" s="43" t="s">
        <v>6837</v>
      </c>
      <c r="G63" s="42" t="s">
        <v>6739</v>
      </c>
      <c r="H63" s="43" t="s">
        <v>6740</v>
      </c>
      <c r="I63" s="43" t="s">
        <v>6741</v>
      </c>
      <c r="J63" s="55"/>
      <c r="K63" s="119" t="str">
        <f>IFERROR(VLOOKUP(B63,BD_CONTROL!$A$5:$M$4235,11,0),"")</f>
        <v>Instalado - Operando</v>
      </c>
      <c r="L63" s="120">
        <f>IFERROR(VLOOKUP(B63,BD_CONTROL!$A$5:$M$4235,12,0),"")</f>
        <v>46149</v>
      </c>
      <c r="M63" s="121">
        <f>IFERROR(VLOOKUP(B63,BD_CONTROL!$A$5:$M$4235,13,0),"")</f>
        <v>0</v>
      </c>
    </row>
    <row r="64" spans="1:13" ht="15" customHeight="1">
      <c r="A64" s="39">
        <v>59</v>
      </c>
      <c r="B64" s="39" t="s">
        <v>6864</v>
      </c>
      <c r="C64" s="40" t="s">
        <v>6864</v>
      </c>
      <c r="D64" s="39" t="s">
        <v>6736</v>
      </c>
      <c r="E64" s="40" t="s">
        <v>6837</v>
      </c>
      <c r="F64" s="40" t="s">
        <v>6865</v>
      </c>
      <c r="G64" s="39" t="s">
        <v>109</v>
      </c>
      <c r="H64" s="40" t="s">
        <v>6740</v>
      </c>
      <c r="I64" s="40" t="s">
        <v>104</v>
      </c>
      <c r="J64" s="50"/>
      <c r="K64" s="116" t="str">
        <f>IFERROR(VLOOKUP(B64,BD_CONTROL!$A$5:$M$4235,11,0),"")</f>
        <v>Instalado - Operando</v>
      </c>
      <c r="L64" s="117">
        <f>IFERROR(VLOOKUP(B64,BD_CONTROL!$A$5:$M$4235,12,0),"")</f>
        <v>46149</v>
      </c>
      <c r="M64" s="118">
        <f>IFERROR(VLOOKUP(B64,BD_CONTROL!$A$5:$M$4235,13,0),"")</f>
        <v>0</v>
      </c>
    </row>
    <row r="65" spans="1:13" ht="15" customHeight="1">
      <c r="A65" s="42">
        <v>60</v>
      </c>
      <c r="B65" s="42" t="s">
        <v>6866</v>
      </c>
      <c r="C65" s="43" t="s">
        <v>6867</v>
      </c>
      <c r="D65" s="42" t="s">
        <v>6736</v>
      </c>
      <c r="E65" s="43" t="s">
        <v>6868</v>
      </c>
      <c r="F65" s="43" t="s">
        <v>6869</v>
      </c>
      <c r="G65" s="42" t="s">
        <v>109</v>
      </c>
      <c r="H65" s="43" t="s">
        <v>6740</v>
      </c>
      <c r="I65" s="43" t="s">
        <v>104</v>
      </c>
      <c r="J65" s="55"/>
      <c r="K65" s="119">
        <f>IFERROR(VLOOKUP(B65,BD_CONTROL!$A$5:$M$4235,11,0),"")</f>
        <v>0</v>
      </c>
      <c r="L65" s="120">
        <f>IFERROR(VLOOKUP(B65,BD_CONTROL!$A$5:$M$4235,12,0),"")</f>
        <v>0</v>
      </c>
      <c r="M65" s="121">
        <f>IFERROR(VLOOKUP(B65,BD_CONTROL!$A$5:$M$4235,13,0),"")</f>
        <v>0</v>
      </c>
    </row>
    <row r="66" spans="1:13" ht="15" customHeight="1">
      <c r="A66" s="39">
        <v>61</v>
      </c>
      <c r="B66" s="39" t="s">
        <v>6870</v>
      </c>
      <c r="C66" s="40" t="s">
        <v>6735</v>
      </c>
      <c r="D66" s="39" t="s">
        <v>6736</v>
      </c>
      <c r="E66" s="40" t="s">
        <v>6868</v>
      </c>
      <c r="F66" s="40" t="s">
        <v>1123</v>
      </c>
      <c r="G66" s="39" t="s">
        <v>6739</v>
      </c>
      <c r="H66" s="40" t="s">
        <v>6740</v>
      </c>
      <c r="I66" s="40" t="s">
        <v>6741</v>
      </c>
      <c r="J66" s="50"/>
      <c r="K66" s="116">
        <f>IFERROR(VLOOKUP(B66,BD_CONTROL!$A$5:$M$4235,11,0),"")</f>
        <v>0</v>
      </c>
      <c r="L66" s="117">
        <f>IFERROR(VLOOKUP(B66,BD_CONTROL!$A$5:$M$4235,12,0),"")</f>
        <v>0</v>
      </c>
      <c r="M66" s="118">
        <f>IFERROR(VLOOKUP(B66,BD_CONTROL!$A$5:$M$4235,13,0),"")</f>
        <v>0</v>
      </c>
    </row>
    <row r="67" spans="1:13" ht="15" customHeight="1">
      <c r="A67" s="42">
        <v>62</v>
      </c>
      <c r="B67" s="42" t="s">
        <v>6871</v>
      </c>
      <c r="C67" s="43" t="s">
        <v>6872</v>
      </c>
      <c r="D67" s="42" t="s">
        <v>6736</v>
      </c>
      <c r="E67" s="43" t="s">
        <v>6868</v>
      </c>
      <c r="F67" s="43" t="s">
        <v>6873</v>
      </c>
      <c r="G67" s="42" t="s">
        <v>109</v>
      </c>
      <c r="H67" s="43" t="s">
        <v>6740</v>
      </c>
      <c r="I67" s="43" t="s">
        <v>104</v>
      </c>
      <c r="J67" s="55"/>
      <c r="K67" s="119">
        <f>IFERROR(VLOOKUP(B67,BD_CONTROL!$A$5:$M$4235,11,0),"")</f>
        <v>0</v>
      </c>
      <c r="L67" s="120">
        <f>IFERROR(VLOOKUP(B67,BD_CONTROL!$A$5:$M$4235,12,0),"")</f>
        <v>0</v>
      </c>
      <c r="M67" s="121">
        <f>IFERROR(VLOOKUP(B67,BD_CONTROL!$A$5:$M$4235,13,0),"")</f>
        <v>0</v>
      </c>
    </row>
    <row r="68" spans="1:13" ht="15" customHeight="1">
      <c r="A68" s="39">
        <v>63</v>
      </c>
      <c r="B68" s="39" t="s">
        <v>6874</v>
      </c>
      <c r="C68" s="40" t="s">
        <v>6875</v>
      </c>
      <c r="D68" s="39" t="s">
        <v>6736</v>
      </c>
      <c r="E68" s="40" t="s">
        <v>6868</v>
      </c>
      <c r="F68" s="40" t="s">
        <v>6876</v>
      </c>
      <c r="G68" s="39" t="s">
        <v>109</v>
      </c>
      <c r="H68" s="40" t="s">
        <v>6740</v>
      </c>
      <c r="I68" s="40" t="s">
        <v>104</v>
      </c>
      <c r="J68" s="50"/>
      <c r="K68" s="116">
        <f>IFERROR(VLOOKUP(B68,BD_CONTROL!$A$5:$M$4235,11,0),"")</f>
        <v>0</v>
      </c>
      <c r="L68" s="117">
        <f>IFERROR(VLOOKUP(B68,BD_CONTROL!$A$5:$M$4235,12,0),"")</f>
        <v>0</v>
      </c>
      <c r="M68" s="118">
        <f>IFERROR(VLOOKUP(B68,BD_CONTROL!$A$5:$M$4235,13,0),"")</f>
        <v>0</v>
      </c>
    </row>
    <row r="69" spans="1:13" ht="15" customHeight="1">
      <c r="A69" s="42">
        <v>64</v>
      </c>
      <c r="B69" s="42" t="s">
        <v>6877</v>
      </c>
      <c r="C69" s="43" t="s">
        <v>6876</v>
      </c>
      <c r="D69" s="42" t="s">
        <v>6736</v>
      </c>
      <c r="E69" s="43" t="s">
        <v>6868</v>
      </c>
      <c r="F69" s="43" t="s">
        <v>6876</v>
      </c>
      <c r="G69" s="42" t="s">
        <v>109</v>
      </c>
      <c r="H69" s="43" t="s">
        <v>6740</v>
      </c>
      <c r="I69" s="43" t="s">
        <v>104</v>
      </c>
      <c r="J69" s="55"/>
      <c r="K69" s="119">
        <f>IFERROR(VLOOKUP(B69,BD_CONTROL!$A$5:$M$4235,11,0),"")</f>
        <v>0</v>
      </c>
      <c r="L69" s="120">
        <f>IFERROR(VLOOKUP(B69,BD_CONTROL!$A$5:$M$4235,12,0),"")</f>
        <v>0</v>
      </c>
      <c r="M69" s="121">
        <f>IFERROR(VLOOKUP(B69,BD_CONTROL!$A$5:$M$4235,13,0),"")</f>
        <v>0</v>
      </c>
    </row>
    <row r="70" spans="1:13" ht="15" customHeight="1">
      <c r="A70" s="39">
        <v>65</v>
      </c>
      <c r="B70" s="39" t="s">
        <v>6878</v>
      </c>
      <c r="C70" s="40" t="s">
        <v>6735</v>
      </c>
      <c r="D70" s="39" t="s">
        <v>6736</v>
      </c>
      <c r="E70" s="40" t="s">
        <v>6868</v>
      </c>
      <c r="F70" s="40" t="s">
        <v>6876</v>
      </c>
      <c r="G70" s="39" t="s">
        <v>6739</v>
      </c>
      <c r="H70" s="40" t="s">
        <v>6740</v>
      </c>
      <c r="I70" s="40" t="s">
        <v>6741</v>
      </c>
      <c r="J70" s="50"/>
      <c r="K70" s="116">
        <f>IFERROR(VLOOKUP(B70,BD_CONTROL!$A$5:$M$4235,11,0),"")</f>
        <v>0</v>
      </c>
      <c r="L70" s="117">
        <f>IFERROR(VLOOKUP(B70,BD_CONTROL!$A$5:$M$4235,12,0),"")</f>
        <v>0</v>
      </c>
      <c r="M70" s="118">
        <f>IFERROR(VLOOKUP(B70,BD_CONTROL!$A$5:$M$4235,13,0),"")</f>
        <v>0</v>
      </c>
    </row>
    <row r="71" spans="1:13" ht="15" customHeight="1">
      <c r="A71" s="42">
        <v>66</v>
      </c>
      <c r="B71" s="42" t="s">
        <v>6879</v>
      </c>
      <c r="C71" s="43" t="s">
        <v>6880</v>
      </c>
      <c r="D71" s="42" t="s">
        <v>6736</v>
      </c>
      <c r="E71" s="43" t="s">
        <v>6868</v>
      </c>
      <c r="F71" s="43" t="s">
        <v>6880</v>
      </c>
      <c r="G71" s="42" t="s">
        <v>109</v>
      </c>
      <c r="H71" s="43" t="s">
        <v>6740</v>
      </c>
      <c r="I71" s="43" t="s">
        <v>104</v>
      </c>
      <c r="J71" s="55"/>
      <c r="K71" s="119">
        <f>IFERROR(VLOOKUP(B71,BD_CONTROL!$A$5:$M$4235,11,0),"")</f>
        <v>0</v>
      </c>
      <c r="L71" s="120">
        <f>IFERROR(VLOOKUP(B71,BD_CONTROL!$A$5:$M$4235,12,0),"")</f>
        <v>0</v>
      </c>
      <c r="M71" s="121">
        <f>IFERROR(VLOOKUP(B71,BD_CONTROL!$A$5:$M$4235,13,0),"")</f>
        <v>0</v>
      </c>
    </row>
    <row r="72" spans="1:13" ht="15" customHeight="1">
      <c r="A72" s="39">
        <v>67</v>
      </c>
      <c r="B72" s="39" t="s">
        <v>6881</v>
      </c>
      <c r="C72" s="40" t="s">
        <v>6735</v>
      </c>
      <c r="D72" s="39" t="s">
        <v>6736</v>
      </c>
      <c r="E72" s="40" t="s">
        <v>6868</v>
      </c>
      <c r="F72" s="40" t="s">
        <v>6882</v>
      </c>
      <c r="G72" s="39" t="s">
        <v>6739</v>
      </c>
      <c r="H72" s="40" t="s">
        <v>6740</v>
      </c>
      <c r="I72" s="40" t="s">
        <v>6741</v>
      </c>
      <c r="J72" s="50"/>
      <c r="K72" s="116">
        <f>IFERROR(VLOOKUP(B72,BD_CONTROL!$A$5:$M$4235,11,0),"")</f>
        <v>0</v>
      </c>
      <c r="L72" s="117">
        <f>IFERROR(VLOOKUP(B72,BD_CONTROL!$A$5:$M$4235,12,0),"")</f>
        <v>0</v>
      </c>
      <c r="M72" s="118">
        <f>IFERROR(VLOOKUP(B72,BD_CONTROL!$A$5:$M$4235,13,0),"")</f>
        <v>0</v>
      </c>
    </row>
    <row r="73" spans="1:13" ht="15" customHeight="1">
      <c r="A73" s="42">
        <v>68</v>
      </c>
      <c r="B73" s="42" t="s">
        <v>6883</v>
      </c>
      <c r="C73" s="43" t="s">
        <v>6735</v>
      </c>
      <c r="D73" s="42" t="s">
        <v>6736</v>
      </c>
      <c r="E73" s="43" t="s">
        <v>6868</v>
      </c>
      <c r="F73" s="43" t="s">
        <v>6882</v>
      </c>
      <c r="G73" s="42" t="s">
        <v>6739</v>
      </c>
      <c r="H73" s="43" t="s">
        <v>6740</v>
      </c>
      <c r="I73" s="43" t="s">
        <v>6741</v>
      </c>
      <c r="J73" s="55"/>
      <c r="K73" s="119">
        <f>IFERROR(VLOOKUP(B73,BD_CONTROL!$A$5:$M$4235,11,0),"")</f>
        <v>0</v>
      </c>
      <c r="L73" s="120">
        <f>IFERROR(VLOOKUP(B73,BD_CONTROL!$A$5:$M$4235,12,0),"")</f>
        <v>0</v>
      </c>
      <c r="M73" s="121">
        <f>IFERROR(VLOOKUP(B73,BD_CONTROL!$A$5:$M$4235,13,0),"")</f>
        <v>0</v>
      </c>
    </row>
    <row r="74" spans="1:13" ht="15" customHeight="1">
      <c r="A74" s="39">
        <v>69</v>
      </c>
      <c r="B74" s="39" t="s">
        <v>6884</v>
      </c>
      <c r="C74" s="40" t="s">
        <v>6735</v>
      </c>
      <c r="D74" s="39" t="s">
        <v>6736</v>
      </c>
      <c r="E74" s="40" t="s">
        <v>6868</v>
      </c>
      <c r="F74" s="40" t="s">
        <v>6882</v>
      </c>
      <c r="G74" s="39" t="s">
        <v>6739</v>
      </c>
      <c r="H74" s="40" t="s">
        <v>6740</v>
      </c>
      <c r="I74" s="40" t="s">
        <v>6741</v>
      </c>
      <c r="J74" s="50"/>
      <c r="K74" s="116">
        <f>IFERROR(VLOOKUP(B74,BD_CONTROL!$A$5:$M$4235,11,0),"")</f>
        <v>0</v>
      </c>
      <c r="L74" s="117">
        <f>IFERROR(VLOOKUP(B74,BD_CONTROL!$A$5:$M$4235,12,0),"")</f>
        <v>0</v>
      </c>
      <c r="M74" s="118">
        <f>IFERROR(VLOOKUP(B74,BD_CONTROL!$A$5:$M$4235,13,0),"")</f>
        <v>0</v>
      </c>
    </row>
    <row r="75" spans="1:13" ht="15" customHeight="1">
      <c r="A75" s="42">
        <v>70</v>
      </c>
      <c r="B75" s="42" t="s">
        <v>6885</v>
      </c>
      <c r="C75" s="43" t="s">
        <v>6735</v>
      </c>
      <c r="D75" s="42" t="s">
        <v>6736</v>
      </c>
      <c r="E75" s="43" t="s">
        <v>6868</v>
      </c>
      <c r="F75" s="43" t="s">
        <v>6882</v>
      </c>
      <c r="G75" s="42" t="s">
        <v>6739</v>
      </c>
      <c r="H75" s="43" t="s">
        <v>6740</v>
      </c>
      <c r="I75" s="43" t="s">
        <v>6741</v>
      </c>
      <c r="J75" s="55"/>
      <c r="K75" s="119">
        <f>IFERROR(VLOOKUP(B75,BD_CONTROL!$A$5:$M$4235,11,0),"")</f>
        <v>0</v>
      </c>
      <c r="L75" s="120">
        <f>IFERROR(VLOOKUP(B75,BD_CONTROL!$A$5:$M$4235,12,0),"")</f>
        <v>0</v>
      </c>
      <c r="M75" s="121">
        <f>IFERROR(VLOOKUP(B75,BD_CONTROL!$A$5:$M$4235,13,0),"")</f>
        <v>0</v>
      </c>
    </row>
    <row r="76" spans="1:13" ht="15" customHeight="1">
      <c r="A76" s="39">
        <v>71</v>
      </c>
      <c r="B76" s="39" t="s">
        <v>6886</v>
      </c>
      <c r="C76" s="40" t="s">
        <v>6887</v>
      </c>
      <c r="D76" s="39" t="s">
        <v>6736</v>
      </c>
      <c r="E76" s="40" t="s">
        <v>6868</v>
      </c>
      <c r="F76" s="40" t="s">
        <v>6888</v>
      </c>
      <c r="G76" s="39" t="s">
        <v>109</v>
      </c>
      <c r="H76" s="40" t="s">
        <v>6740</v>
      </c>
      <c r="I76" s="40" t="s">
        <v>104</v>
      </c>
      <c r="J76" s="50"/>
      <c r="K76" s="116">
        <f>IFERROR(VLOOKUP(B76,BD_CONTROL!$A$5:$M$4235,11,0),"")</f>
        <v>0</v>
      </c>
      <c r="L76" s="117">
        <f>IFERROR(VLOOKUP(B76,BD_CONTROL!$A$5:$M$4235,12,0),"")</f>
        <v>0</v>
      </c>
      <c r="M76" s="118">
        <f>IFERROR(VLOOKUP(B76,BD_CONTROL!$A$5:$M$4235,13,0),"")</f>
        <v>0</v>
      </c>
    </row>
    <row r="77" spans="1:13" ht="15" customHeight="1">
      <c r="A77" s="42">
        <v>72</v>
      </c>
      <c r="B77" s="42" t="s">
        <v>6889</v>
      </c>
      <c r="C77" s="43" t="s">
        <v>6890</v>
      </c>
      <c r="D77" s="42" t="s">
        <v>6736</v>
      </c>
      <c r="E77" s="43" t="s">
        <v>6868</v>
      </c>
      <c r="F77" s="43" t="s">
        <v>6888</v>
      </c>
      <c r="G77" s="42" t="s">
        <v>109</v>
      </c>
      <c r="H77" s="43" t="s">
        <v>6740</v>
      </c>
      <c r="I77" s="43" t="s">
        <v>104</v>
      </c>
      <c r="J77" s="55"/>
      <c r="K77" s="119">
        <f>IFERROR(VLOOKUP(B77,BD_CONTROL!$A$5:$M$4235,11,0),"")</f>
        <v>0</v>
      </c>
      <c r="L77" s="120">
        <f>IFERROR(VLOOKUP(B77,BD_CONTROL!$A$5:$M$4235,12,0),"")</f>
        <v>0</v>
      </c>
      <c r="M77" s="121">
        <f>IFERROR(VLOOKUP(B77,BD_CONTROL!$A$5:$M$4235,13,0),"")</f>
        <v>0</v>
      </c>
    </row>
    <row r="78" spans="1:13" ht="15" hidden="1" customHeight="1">
      <c r="A78" s="39">
        <v>73</v>
      </c>
      <c r="B78" s="39" t="s">
        <v>6891</v>
      </c>
      <c r="C78" s="40" t="s">
        <v>6892</v>
      </c>
      <c r="D78" s="39" t="s">
        <v>6893</v>
      </c>
      <c r="E78" s="40" t="s">
        <v>6894</v>
      </c>
      <c r="F78" s="40" t="s">
        <v>6894</v>
      </c>
      <c r="G78" s="39" t="s">
        <v>109</v>
      </c>
      <c r="H78" s="40" t="s">
        <v>6895</v>
      </c>
      <c r="I78" s="40" t="s">
        <v>104</v>
      </c>
      <c r="J78" s="50"/>
      <c r="K78" s="116">
        <f>IFERROR(VLOOKUP(B78,BD_CONTROL!$A$5:$M$4235,11,0),"")</f>
        <v>0</v>
      </c>
      <c r="L78" s="117">
        <f>IFERROR(VLOOKUP(B78,BD_CONTROL!$A$5:$M$4235,12,0),"")</f>
        <v>0</v>
      </c>
      <c r="M78" s="118">
        <f>IFERROR(VLOOKUP(B78,BD_CONTROL!$A$5:$M$4235,13,0),"")</f>
        <v>0</v>
      </c>
    </row>
    <row r="79" spans="1:13" ht="15" hidden="1" customHeight="1">
      <c r="A79" s="42">
        <v>74</v>
      </c>
      <c r="B79" s="42" t="s">
        <v>6896</v>
      </c>
      <c r="C79" s="43" t="s">
        <v>6735</v>
      </c>
      <c r="D79" s="42" t="s">
        <v>6893</v>
      </c>
      <c r="E79" s="43" t="s">
        <v>6897</v>
      </c>
      <c r="F79" s="43" t="s">
        <v>6897</v>
      </c>
      <c r="G79" s="42" t="s">
        <v>6739</v>
      </c>
      <c r="H79" s="43" t="s">
        <v>6895</v>
      </c>
      <c r="I79" s="43" t="s">
        <v>6741</v>
      </c>
      <c r="J79" s="55"/>
      <c r="K79" s="119">
        <f>IFERROR(VLOOKUP(B79,BD_CONTROL!$A$5:$M$4235,11,0),"")</f>
        <v>0</v>
      </c>
      <c r="L79" s="120">
        <f>IFERROR(VLOOKUP(B79,BD_CONTROL!$A$5:$M$4235,12,0),"")</f>
        <v>0</v>
      </c>
      <c r="M79" s="121">
        <f>IFERROR(VLOOKUP(B79,BD_CONTROL!$A$5:$M$4235,13,0),"")</f>
        <v>0</v>
      </c>
    </row>
    <row r="80" spans="1:13" ht="15" hidden="1" customHeight="1">
      <c r="A80" s="39">
        <v>75</v>
      </c>
      <c r="B80" s="39" t="s">
        <v>6898</v>
      </c>
      <c r="C80" s="40" t="s">
        <v>2328</v>
      </c>
      <c r="D80" s="39" t="s">
        <v>6893</v>
      </c>
      <c r="E80" s="40" t="s">
        <v>6899</v>
      </c>
      <c r="F80" s="40" t="s">
        <v>6899</v>
      </c>
      <c r="G80" s="39" t="s">
        <v>109</v>
      </c>
      <c r="H80" s="40" t="s">
        <v>6895</v>
      </c>
      <c r="I80" s="40" t="s">
        <v>104</v>
      </c>
      <c r="J80" s="50"/>
      <c r="K80" s="116">
        <f>IFERROR(VLOOKUP(B80,BD_CONTROL!$A$5:$M$4235,11,0),"")</f>
        <v>0</v>
      </c>
      <c r="L80" s="117">
        <f>IFERROR(VLOOKUP(B80,BD_CONTROL!$A$5:$M$4235,12,0),"")</f>
        <v>0</v>
      </c>
      <c r="M80" s="118">
        <f>IFERROR(VLOOKUP(B80,BD_CONTROL!$A$5:$M$4235,13,0),"")</f>
        <v>0</v>
      </c>
    </row>
    <row r="81" spans="1:13" ht="15" hidden="1" customHeight="1">
      <c r="A81" s="42">
        <v>76</v>
      </c>
      <c r="B81" s="42" t="s">
        <v>6900</v>
      </c>
      <c r="C81" s="43" t="s">
        <v>6735</v>
      </c>
      <c r="D81" s="42" t="s">
        <v>6893</v>
      </c>
      <c r="E81" s="43" t="s">
        <v>6899</v>
      </c>
      <c r="F81" s="43" t="s">
        <v>6899</v>
      </c>
      <c r="G81" s="42" t="s">
        <v>6739</v>
      </c>
      <c r="H81" s="43" t="s">
        <v>6895</v>
      </c>
      <c r="I81" s="43" t="s">
        <v>6741</v>
      </c>
      <c r="J81" s="55"/>
      <c r="K81" s="119">
        <f>IFERROR(VLOOKUP(B81,BD_CONTROL!$A$5:$M$4235,11,0),"")</f>
        <v>0</v>
      </c>
      <c r="L81" s="120">
        <f>IFERROR(VLOOKUP(B81,BD_CONTROL!$A$5:$M$4235,12,0),"")</f>
        <v>0</v>
      </c>
      <c r="M81" s="121">
        <f>IFERROR(VLOOKUP(B81,BD_CONTROL!$A$5:$M$4235,13,0),"")</f>
        <v>0</v>
      </c>
    </row>
    <row r="82" spans="1:13" ht="15" hidden="1" customHeight="1">
      <c r="A82" s="39">
        <v>77</v>
      </c>
      <c r="B82" s="39" t="s">
        <v>6901</v>
      </c>
      <c r="C82" s="40" t="s">
        <v>6902</v>
      </c>
      <c r="D82" s="39" t="s">
        <v>6893</v>
      </c>
      <c r="E82" s="40" t="s">
        <v>6903</v>
      </c>
      <c r="F82" s="40" t="s">
        <v>6903</v>
      </c>
      <c r="G82" s="39" t="s">
        <v>109</v>
      </c>
      <c r="H82" s="40" t="s">
        <v>6895</v>
      </c>
      <c r="I82" s="40" t="s">
        <v>104</v>
      </c>
      <c r="J82" s="50"/>
      <c r="K82" s="116">
        <f>IFERROR(VLOOKUP(B82,BD_CONTROL!$A$5:$M$4235,11,0),"")</f>
        <v>0</v>
      </c>
      <c r="L82" s="117">
        <f>IFERROR(VLOOKUP(B82,BD_CONTROL!$A$5:$M$4235,12,0),"")</f>
        <v>0</v>
      </c>
      <c r="M82" s="118">
        <f>IFERROR(VLOOKUP(B82,BD_CONTROL!$A$5:$M$4235,13,0),"")</f>
        <v>0</v>
      </c>
    </row>
    <row r="83" spans="1:13" ht="15" hidden="1" customHeight="1">
      <c r="A83" s="42">
        <v>78</v>
      </c>
      <c r="B83" s="42" t="s">
        <v>6904</v>
      </c>
      <c r="C83" s="43" t="s">
        <v>6905</v>
      </c>
      <c r="D83" s="42" t="s">
        <v>6893</v>
      </c>
      <c r="E83" s="43" t="s">
        <v>6903</v>
      </c>
      <c r="F83" s="43" t="s">
        <v>6903</v>
      </c>
      <c r="G83" s="42" t="s">
        <v>109</v>
      </c>
      <c r="H83" s="43" t="s">
        <v>6895</v>
      </c>
      <c r="I83" s="43" t="s">
        <v>104</v>
      </c>
      <c r="J83" s="55"/>
      <c r="K83" s="119">
        <f>IFERROR(VLOOKUP(B83,BD_CONTROL!$A$5:$M$4235,11,0),"")</f>
        <v>0</v>
      </c>
      <c r="L83" s="120">
        <f>IFERROR(VLOOKUP(B83,BD_CONTROL!$A$5:$M$4235,12,0),"")</f>
        <v>0</v>
      </c>
      <c r="M83" s="121">
        <f>IFERROR(VLOOKUP(B83,BD_CONTROL!$A$5:$M$4235,13,0),"")</f>
        <v>0</v>
      </c>
    </row>
    <row r="84" spans="1:13" ht="15" hidden="1" customHeight="1">
      <c r="A84" s="39">
        <v>79</v>
      </c>
      <c r="B84" s="39" t="s">
        <v>6906</v>
      </c>
      <c r="C84" s="40" t="s">
        <v>6735</v>
      </c>
      <c r="D84" s="39" t="s">
        <v>6893</v>
      </c>
      <c r="E84" s="40" t="s">
        <v>6907</v>
      </c>
      <c r="F84" s="40" t="s">
        <v>6907</v>
      </c>
      <c r="G84" s="39" t="s">
        <v>6739</v>
      </c>
      <c r="H84" s="40" t="s">
        <v>6895</v>
      </c>
      <c r="I84" s="40" t="s">
        <v>6741</v>
      </c>
      <c r="J84" s="50"/>
      <c r="K84" s="116">
        <f>IFERROR(VLOOKUP(B84,BD_CONTROL!$A$5:$M$4235,11,0),"")</f>
        <v>0</v>
      </c>
      <c r="L84" s="117">
        <f>IFERROR(VLOOKUP(B84,BD_CONTROL!$A$5:$M$4235,12,0),"")</f>
        <v>0</v>
      </c>
      <c r="M84" s="118">
        <f>IFERROR(VLOOKUP(B84,BD_CONTROL!$A$5:$M$4235,13,0),"")</f>
        <v>0</v>
      </c>
    </row>
    <row r="85" spans="1:13" ht="15" hidden="1" customHeight="1">
      <c r="A85" s="42">
        <v>80</v>
      </c>
      <c r="B85" s="42" t="s">
        <v>6908</v>
      </c>
      <c r="C85" s="43" t="s">
        <v>6735</v>
      </c>
      <c r="D85" s="42" t="s">
        <v>6893</v>
      </c>
      <c r="E85" s="43" t="s">
        <v>6907</v>
      </c>
      <c r="F85" s="43" t="s">
        <v>6909</v>
      </c>
      <c r="G85" s="42" t="s">
        <v>6739</v>
      </c>
      <c r="H85" s="43" t="s">
        <v>6895</v>
      </c>
      <c r="I85" s="43" t="s">
        <v>6741</v>
      </c>
      <c r="J85" s="55"/>
      <c r="K85" s="119">
        <f>IFERROR(VLOOKUP(B85,BD_CONTROL!$A$5:$M$4235,11,0),"")</f>
        <v>0</v>
      </c>
      <c r="L85" s="120">
        <f>IFERROR(VLOOKUP(B85,BD_CONTROL!$A$5:$M$4235,12,0),"")</f>
        <v>0</v>
      </c>
      <c r="M85" s="121">
        <f>IFERROR(VLOOKUP(B85,BD_CONTROL!$A$5:$M$4235,13,0),"")</f>
        <v>0</v>
      </c>
    </row>
    <row r="86" spans="1:13" ht="15" hidden="1" customHeight="1">
      <c r="A86" s="39">
        <v>81</v>
      </c>
      <c r="B86" s="39" t="s">
        <v>6910</v>
      </c>
      <c r="C86" s="40" t="s">
        <v>6911</v>
      </c>
      <c r="D86" s="39" t="s">
        <v>6893</v>
      </c>
      <c r="E86" s="40" t="s">
        <v>6907</v>
      </c>
      <c r="F86" s="40" t="s">
        <v>6912</v>
      </c>
      <c r="G86" s="39" t="s">
        <v>109</v>
      </c>
      <c r="H86" s="40" t="s">
        <v>6895</v>
      </c>
      <c r="I86" s="40" t="s">
        <v>104</v>
      </c>
      <c r="J86" s="50"/>
      <c r="K86" s="116">
        <f>IFERROR(VLOOKUP(B86,BD_CONTROL!$A$5:$M$4235,11,0),"")</f>
        <v>0</v>
      </c>
      <c r="L86" s="117">
        <f>IFERROR(VLOOKUP(B86,BD_CONTROL!$A$5:$M$4235,12,0),"")</f>
        <v>0</v>
      </c>
      <c r="M86" s="118">
        <f>IFERROR(VLOOKUP(B86,BD_CONTROL!$A$5:$M$4235,13,0),"")</f>
        <v>0</v>
      </c>
    </row>
    <row r="87" spans="1:13" ht="15" hidden="1" customHeight="1">
      <c r="A87" s="42">
        <v>82</v>
      </c>
      <c r="B87" s="42" t="s">
        <v>6913</v>
      </c>
      <c r="C87" s="43" t="s">
        <v>6914</v>
      </c>
      <c r="D87" s="42" t="s">
        <v>6893</v>
      </c>
      <c r="E87" s="43" t="s">
        <v>6915</v>
      </c>
      <c r="F87" s="43" t="s">
        <v>6915</v>
      </c>
      <c r="G87" s="42" t="s">
        <v>109</v>
      </c>
      <c r="H87" s="43" t="s">
        <v>6895</v>
      </c>
      <c r="I87" s="43" t="s">
        <v>104</v>
      </c>
      <c r="J87" s="55"/>
      <c r="K87" s="119">
        <f>IFERROR(VLOOKUP(B87,BD_CONTROL!$A$5:$M$4235,11,0),"")</f>
        <v>0</v>
      </c>
      <c r="L87" s="120">
        <f>IFERROR(VLOOKUP(B87,BD_CONTROL!$A$5:$M$4235,12,0),"")</f>
        <v>0</v>
      </c>
      <c r="M87" s="121">
        <f>IFERROR(VLOOKUP(B87,BD_CONTROL!$A$5:$M$4235,13,0),"")</f>
        <v>0</v>
      </c>
    </row>
    <row r="88" spans="1:13" ht="15" hidden="1" customHeight="1">
      <c r="A88" s="39">
        <v>83</v>
      </c>
      <c r="B88" s="39" t="s">
        <v>6916</v>
      </c>
      <c r="C88" s="40" t="s">
        <v>6735</v>
      </c>
      <c r="D88" s="39" t="s">
        <v>6893</v>
      </c>
      <c r="E88" s="40" t="s">
        <v>6917</v>
      </c>
      <c r="F88" s="40" t="s">
        <v>6918</v>
      </c>
      <c r="G88" s="39" t="s">
        <v>6739</v>
      </c>
      <c r="H88" s="40" t="s">
        <v>6895</v>
      </c>
      <c r="I88" s="40" t="s">
        <v>6741</v>
      </c>
      <c r="J88" s="50"/>
      <c r="K88" s="116">
        <f>IFERROR(VLOOKUP(B88,BD_CONTROL!$A$5:$M$4235,11,0),"")</f>
        <v>0</v>
      </c>
      <c r="L88" s="117">
        <f>IFERROR(VLOOKUP(B88,BD_CONTROL!$A$5:$M$4235,12,0),"")</f>
        <v>0</v>
      </c>
      <c r="M88" s="118">
        <f>IFERROR(VLOOKUP(B88,BD_CONTROL!$A$5:$M$4235,13,0),"")</f>
        <v>0</v>
      </c>
    </row>
    <row r="89" spans="1:13" ht="15" hidden="1" customHeight="1">
      <c r="A89" s="42">
        <v>84</v>
      </c>
      <c r="B89" s="42" t="s">
        <v>6919</v>
      </c>
      <c r="C89" s="43" t="s">
        <v>6920</v>
      </c>
      <c r="D89" s="42" t="s">
        <v>6893</v>
      </c>
      <c r="E89" s="43" t="s">
        <v>6917</v>
      </c>
      <c r="F89" s="43" t="s">
        <v>6921</v>
      </c>
      <c r="G89" s="42" t="s">
        <v>109</v>
      </c>
      <c r="H89" s="43" t="s">
        <v>6895</v>
      </c>
      <c r="I89" s="43" t="s">
        <v>104</v>
      </c>
      <c r="J89" s="55"/>
      <c r="K89" s="119">
        <f>IFERROR(VLOOKUP(B89,BD_CONTROL!$A$5:$M$4235,11,0),"")</f>
        <v>0</v>
      </c>
      <c r="L89" s="120">
        <f>IFERROR(VLOOKUP(B89,BD_CONTROL!$A$5:$M$4235,12,0),"")</f>
        <v>0</v>
      </c>
      <c r="M89" s="121">
        <f>IFERROR(VLOOKUP(B89,BD_CONTROL!$A$5:$M$4235,13,0),"")</f>
        <v>0</v>
      </c>
    </row>
    <row r="90" spans="1:13" ht="15" hidden="1" customHeight="1">
      <c r="A90" s="39">
        <v>85</v>
      </c>
      <c r="B90" s="39" t="s">
        <v>6922</v>
      </c>
      <c r="C90" s="40" t="s">
        <v>6735</v>
      </c>
      <c r="D90" s="39" t="s">
        <v>6893</v>
      </c>
      <c r="E90" s="40" t="s">
        <v>6917</v>
      </c>
      <c r="F90" s="40" t="s">
        <v>6923</v>
      </c>
      <c r="G90" s="39" t="s">
        <v>6739</v>
      </c>
      <c r="H90" s="40" t="s">
        <v>6895</v>
      </c>
      <c r="I90" s="40" t="s">
        <v>6741</v>
      </c>
      <c r="J90" s="50"/>
      <c r="K90" s="116">
        <f>IFERROR(VLOOKUP(B90,BD_CONTROL!$A$5:$M$4235,11,0),"")</f>
        <v>0</v>
      </c>
      <c r="L90" s="117">
        <f>IFERROR(VLOOKUP(B90,BD_CONTROL!$A$5:$M$4235,12,0),"")</f>
        <v>0</v>
      </c>
      <c r="M90" s="118">
        <f>IFERROR(VLOOKUP(B90,BD_CONTROL!$A$5:$M$4235,13,0),"")</f>
        <v>0</v>
      </c>
    </row>
    <row r="91" spans="1:13" ht="15" hidden="1" customHeight="1">
      <c r="A91" s="42">
        <v>86</v>
      </c>
      <c r="B91" s="42" t="s">
        <v>6924</v>
      </c>
      <c r="C91" s="43" t="s">
        <v>6735</v>
      </c>
      <c r="D91" s="42" t="s">
        <v>6893</v>
      </c>
      <c r="E91" s="43" t="s">
        <v>6917</v>
      </c>
      <c r="F91" s="43" t="s">
        <v>6925</v>
      </c>
      <c r="G91" s="42" t="s">
        <v>6739</v>
      </c>
      <c r="H91" s="43" t="s">
        <v>6895</v>
      </c>
      <c r="I91" s="43" t="s">
        <v>6741</v>
      </c>
      <c r="J91" s="55"/>
      <c r="K91" s="119">
        <f>IFERROR(VLOOKUP(B91,BD_CONTROL!$A$5:$M$4235,11,0),"")</f>
        <v>0</v>
      </c>
      <c r="L91" s="120">
        <f>IFERROR(VLOOKUP(B91,BD_CONTROL!$A$5:$M$4235,12,0),"")</f>
        <v>0</v>
      </c>
      <c r="M91" s="121">
        <f>IFERROR(VLOOKUP(B91,BD_CONTROL!$A$5:$M$4235,13,0),"")</f>
        <v>0</v>
      </c>
    </row>
    <row r="92" spans="1:13" ht="15" hidden="1" customHeight="1">
      <c r="A92" s="39">
        <v>87</v>
      </c>
      <c r="B92" s="39" t="s">
        <v>6926</v>
      </c>
      <c r="C92" s="40" t="s">
        <v>6927</v>
      </c>
      <c r="D92" s="39" t="s">
        <v>6893</v>
      </c>
      <c r="E92" s="40" t="s">
        <v>6917</v>
      </c>
      <c r="F92" s="40" t="s">
        <v>6928</v>
      </c>
      <c r="G92" s="39" t="s">
        <v>109</v>
      </c>
      <c r="H92" s="40" t="s">
        <v>6895</v>
      </c>
      <c r="I92" s="40" t="s">
        <v>104</v>
      </c>
      <c r="J92" s="50"/>
      <c r="K92" s="116">
        <f>IFERROR(VLOOKUP(B92,BD_CONTROL!$A$5:$M$4235,11,0),"")</f>
        <v>0</v>
      </c>
      <c r="L92" s="117">
        <f>IFERROR(VLOOKUP(B92,BD_CONTROL!$A$5:$M$4235,12,0),"")</f>
        <v>0</v>
      </c>
      <c r="M92" s="118">
        <f>IFERROR(VLOOKUP(B92,BD_CONTROL!$A$5:$M$4235,13,0),"")</f>
        <v>0</v>
      </c>
    </row>
    <row r="93" spans="1:13" ht="15" hidden="1" customHeight="1">
      <c r="A93" s="42">
        <v>88</v>
      </c>
      <c r="B93" s="42" t="s">
        <v>6929</v>
      </c>
      <c r="C93" s="43" t="s">
        <v>6930</v>
      </c>
      <c r="D93" s="42" t="s">
        <v>6893</v>
      </c>
      <c r="E93" s="43" t="s">
        <v>6917</v>
      </c>
      <c r="F93" s="43" t="s">
        <v>6917</v>
      </c>
      <c r="G93" s="42" t="s">
        <v>109</v>
      </c>
      <c r="H93" s="43" t="s">
        <v>6895</v>
      </c>
      <c r="I93" s="43" t="s">
        <v>104</v>
      </c>
      <c r="J93" s="55"/>
      <c r="K93" s="119">
        <f>IFERROR(VLOOKUP(B93,BD_CONTROL!$A$5:$M$4235,11,0),"")</f>
        <v>0</v>
      </c>
      <c r="L93" s="120">
        <f>IFERROR(VLOOKUP(B93,BD_CONTROL!$A$5:$M$4235,12,0),"")</f>
        <v>0</v>
      </c>
      <c r="M93" s="121">
        <f>IFERROR(VLOOKUP(B93,BD_CONTROL!$A$5:$M$4235,13,0),"")</f>
        <v>0</v>
      </c>
    </row>
    <row r="94" spans="1:13" ht="15" hidden="1" customHeight="1">
      <c r="A94" s="39">
        <v>89</v>
      </c>
      <c r="B94" s="39" t="s">
        <v>6931</v>
      </c>
      <c r="C94" s="40" t="s">
        <v>2333</v>
      </c>
      <c r="D94" s="39" t="s">
        <v>6893</v>
      </c>
      <c r="E94" s="40" t="s">
        <v>6917</v>
      </c>
      <c r="F94" s="40" t="s">
        <v>6917</v>
      </c>
      <c r="G94" s="39" t="s">
        <v>102</v>
      </c>
      <c r="H94" s="40" t="s">
        <v>6895</v>
      </c>
      <c r="I94" s="40" t="s">
        <v>104</v>
      </c>
      <c r="J94" s="50"/>
      <c r="K94" s="116">
        <f>IFERROR(VLOOKUP(B94,BD_CONTROL!$A$5:$M$4235,11,0),"")</f>
        <v>0</v>
      </c>
      <c r="L94" s="117">
        <f>IFERROR(VLOOKUP(B94,BD_CONTROL!$A$5:$M$4235,12,0),"")</f>
        <v>0</v>
      </c>
      <c r="M94" s="118">
        <f>IFERROR(VLOOKUP(B94,BD_CONTROL!$A$5:$M$4235,13,0),"")</f>
        <v>0</v>
      </c>
    </row>
    <row r="95" spans="1:13" ht="15" hidden="1" customHeight="1">
      <c r="A95" s="42">
        <v>90</v>
      </c>
      <c r="B95" s="42" t="s">
        <v>6932</v>
      </c>
      <c r="C95" s="43" t="s">
        <v>6735</v>
      </c>
      <c r="D95" s="42" t="s">
        <v>6893</v>
      </c>
      <c r="E95" s="43" t="s">
        <v>6917</v>
      </c>
      <c r="F95" s="43" t="s">
        <v>6917</v>
      </c>
      <c r="G95" s="42" t="s">
        <v>6739</v>
      </c>
      <c r="H95" s="43" t="s">
        <v>6895</v>
      </c>
      <c r="I95" s="43" t="s">
        <v>6741</v>
      </c>
      <c r="J95" s="55"/>
      <c r="K95" s="119">
        <f>IFERROR(VLOOKUP(B95,BD_CONTROL!$A$5:$M$4235,11,0),"")</f>
        <v>0</v>
      </c>
      <c r="L95" s="120">
        <f>IFERROR(VLOOKUP(B95,BD_CONTROL!$A$5:$M$4235,12,0),"")</f>
        <v>0</v>
      </c>
      <c r="M95" s="121">
        <f>IFERROR(VLOOKUP(B95,BD_CONTROL!$A$5:$M$4235,13,0),"")</f>
        <v>0</v>
      </c>
    </row>
    <row r="96" spans="1:13" ht="15" hidden="1" customHeight="1">
      <c r="A96" s="39">
        <v>91</v>
      </c>
      <c r="B96" s="39" t="s">
        <v>6933</v>
      </c>
      <c r="C96" s="40" t="s">
        <v>6735</v>
      </c>
      <c r="D96" s="39" t="s">
        <v>6893</v>
      </c>
      <c r="E96" s="40" t="s">
        <v>6917</v>
      </c>
      <c r="F96" s="40" t="s">
        <v>6917</v>
      </c>
      <c r="G96" s="39" t="s">
        <v>6739</v>
      </c>
      <c r="H96" s="40" t="s">
        <v>6895</v>
      </c>
      <c r="I96" s="40" t="s">
        <v>6741</v>
      </c>
      <c r="J96" s="50"/>
      <c r="K96" s="116">
        <f>IFERROR(VLOOKUP(B96,BD_CONTROL!$A$5:$M$4235,11,0),"")</f>
        <v>0</v>
      </c>
      <c r="L96" s="117">
        <f>IFERROR(VLOOKUP(B96,BD_CONTROL!$A$5:$M$4235,12,0),"")</f>
        <v>0</v>
      </c>
      <c r="M96" s="118">
        <f>IFERROR(VLOOKUP(B96,BD_CONTROL!$A$5:$M$4235,13,0),"")</f>
        <v>0</v>
      </c>
    </row>
    <row r="97" spans="1:13" ht="15" hidden="1" customHeight="1">
      <c r="A97" s="42">
        <v>92</v>
      </c>
      <c r="B97" s="42" t="s">
        <v>6938</v>
      </c>
      <c r="C97" s="43" t="s">
        <v>6735</v>
      </c>
      <c r="D97" s="42" t="s">
        <v>6893</v>
      </c>
      <c r="E97" s="43" t="s">
        <v>6917</v>
      </c>
      <c r="F97" s="43" t="s">
        <v>6917</v>
      </c>
      <c r="G97" s="42" t="s">
        <v>6739</v>
      </c>
      <c r="H97" s="43" t="s">
        <v>6895</v>
      </c>
      <c r="I97" s="43" t="s">
        <v>6741</v>
      </c>
      <c r="J97" s="55"/>
      <c r="K97" s="119">
        <f>IFERROR(VLOOKUP(B97,BD_CONTROL!$A$5:$M$4235,11,0),"")</f>
        <v>0</v>
      </c>
      <c r="L97" s="120">
        <f>IFERROR(VLOOKUP(B97,BD_CONTROL!$A$5:$M$4235,12,0),"")</f>
        <v>0</v>
      </c>
      <c r="M97" s="121">
        <f>IFERROR(VLOOKUP(B97,BD_CONTROL!$A$5:$M$4235,13,0),"")</f>
        <v>0</v>
      </c>
    </row>
    <row r="98" spans="1:13" ht="15" hidden="1" customHeight="1">
      <c r="A98" s="39">
        <v>93</v>
      </c>
      <c r="B98" s="39" t="s">
        <v>6939</v>
      </c>
      <c r="C98" s="40" t="s">
        <v>6735</v>
      </c>
      <c r="D98" s="39" t="s">
        <v>6893</v>
      </c>
      <c r="E98" s="40" t="s">
        <v>6917</v>
      </c>
      <c r="F98" s="40" t="s">
        <v>6917</v>
      </c>
      <c r="G98" s="39" t="s">
        <v>6739</v>
      </c>
      <c r="H98" s="40" t="s">
        <v>6895</v>
      </c>
      <c r="I98" s="40" t="s">
        <v>6741</v>
      </c>
      <c r="J98" s="50"/>
      <c r="K98" s="116">
        <f>IFERROR(VLOOKUP(B98,BD_CONTROL!$A$5:$M$4235,11,0),"")</f>
        <v>0</v>
      </c>
      <c r="L98" s="117">
        <f>IFERROR(VLOOKUP(B98,BD_CONTROL!$A$5:$M$4235,12,0),"")</f>
        <v>0</v>
      </c>
      <c r="M98" s="118">
        <f>IFERROR(VLOOKUP(B98,BD_CONTROL!$A$5:$M$4235,13,0),"")</f>
        <v>0</v>
      </c>
    </row>
    <row r="99" spans="1:13" ht="15" hidden="1" customHeight="1">
      <c r="A99" s="42">
        <v>94</v>
      </c>
      <c r="B99" s="42" t="s">
        <v>6940</v>
      </c>
      <c r="C99" s="43" t="s">
        <v>6735</v>
      </c>
      <c r="D99" s="42" t="s">
        <v>6893</v>
      </c>
      <c r="E99" s="43" t="s">
        <v>6917</v>
      </c>
      <c r="F99" s="43" t="s">
        <v>6917</v>
      </c>
      <c r="G99" s="42" t="s">
        <v>6739</v>
      </c>
      <c r="H99" s="43" t="s">
        <v>6895</v>
      </c>
      <c r="I99" s="43" t="s">
        <v>6741</v>
      </c>
      <c r="J99" s="55"/>
      <c r="K99" s="119">
        <f>IFERROR(VLOOKUP(B99,BD_CONTROL!$A$5:$M$4235,11,0),"")</f>
        <v>0</v>
      </c>
      <c r="L99" s="120">
        <f>IFERROR(VLOOKUP(B99,BD_CONTROL!$A$5:$M$4235,12,0),"")</f>
        <v>0</v>
      </c>
      <c r="M99" s="121">
        <f>IFERROR(VLOOKUP(B99,BD_CONTROL!$A$5:$M$4235,13,0),"")</f>
        <v>0</v>
      </c>
    </row>
    <row r="100" spans="1:13" ht="15" hidden="1" customHeight="1">
      <c r="A100" s="39">
        <v>95</v>
      </c>
      <c r="B100" s="39" t="s">
        <v>6941</v>
      </c>
      <c r="C100" s="40" t="s">
        <v>6735</v>
      </c>
      <c r="D100" s="39" t="s">
        <v>6893</v>
      </c>
      <c r="E100" s="40" t="s">
        <v>6917</v>
      </c>
      <c r="F100" s="40" t="s">
        <v>6917</v>
      </c>
      <c r="G100" s="39" t="s">
        <v>6739</v>
      </c>
      <c r="H100" s="40" t="s">
        <v>6895</v>
      </c>
      <c r="I100" s="40" t="s">
        <v>6741</v>
      </c>
      <c r="J100" s="50"/>
      <c r="K100" s="116">
        <f>IFERROR(VLOOKUP(B100,BD_CONTROL!$A$5:$M$4235,11,0),"")</f>
        <v>0</v>
      </c>
      <c r="L100" s="117">
        <f>IFERROR(VLOOKUP(B100,BD_CONTROL!$A$5:$M$4235,12,0),"")</f>
        <v>0</v>
      </c>
      <c r="M100" s="118">
        <f>IFERROR(VLOOKUP(B100,BD_CONTROL!$A$5:$M$4235,13,0),"")</f>
        <v>0</v>
      </c>
    </row>
    <row r="101" spans="1:13" ht="15" hidden="1" customHeight="1">
      <c r="A101" s="42">
        <v>96</v>
      </c>
      <c r="B101" s="42" t="s">
        <v>6942</v>
      </c>
      <c r="C101" s="43" t="s">
        <v>6735</v>
      </c>
      <c r="D101" s="42" t="s">
        <v>6893</v>
      </c>
      <c r="E101" s="43" t="s">
        <v>6917</v>
      </c>
      <c r="F101" s="43" t="s">
        <v>6917</v>
      </c>
      <c r="G101" s="42" t="s">
        <v>6739</v>
      </c>
      <c r="H101" s="43" t="s">
        <v>6895</v>
      </c>
      <c r="I101" s="43" t="s">
        <v>6741</v>
      </c>
      <c r="J101" s="55"/>
      <c r="K101" s="119">
        <f>IFERROR(VLOOKUP(B101,BD_CONTROL!$A$5:$M$4235,11,0),"")</f>
        <v>0</v>
      </c>
      <c r="L101" s="120">
        <f>IFERROR(VLOOKUP(B101,BD_CONTROL!$A$5:$M$4235,12,0),"")</f>
        <v>0</v>
      </c>
      <c r="M101" s="121">
        <f>IFERROR(VLOOKUP(B101,BD_CONTROL!$A$5:$M$4235,13,0),"")</f>
        <v>0</v>
      </c>
    </row>
    <row r="102" spans="1:13" ht="15" hidden="1" customHeight="1">
      <c r="A102" s="39">
        <v>97</v>
      </c>
      <c r="B102" s="39" t="s">
        <v>6943</v>
      </c>
      <c r="C102" s="40" t="s">
        <v>6735</v>
      </c>
      <c r="D102" s="39" t="s">
        <v>6893</v>
      </c>
      <c r="E102" s="40" t="s">
        <v>6917</v>
      </c>
      <c r="F102" s="40" t="s">
        <v>6917</v>
      </c>
      <c r="G102" s="39" t="s">
        <v>6739</v>
      </c>
      <c r="H102" s="40" t="s">
        <v>6895</v>
      </c>
      <c r="I102" s="40" t="s">
        <v>6741</v>
      </c>
      <c r="J102" s="50"/>
      <c r="K102" s="116">
        <f>IFERROR(VLOOKUP(B102,BD_CONTROL!$A$5:$M$4235,11,0),"")</f>
        <v>0</v>
      </c>
      <c r="L102" s="117">
        <f>IFERROR(VLOOKUP(B102,BD_CONTROL!$A$5:$M$4235,12,0),"")</f>
        <v>0</v>
      </c>
      <c r="M102" s="118">
        <f>IFERROR(VLOOKUP(B102,BD_CONTROL!$A$5:$M$4235,13,0),"")</f>
        <v>0</v>
      </c>
    </row>
    <row r="103" spans="1:13" ht="15" hidden="1" customHeight="1">
      <c r="A103" s="42">
        <v>98</v>
      </c>
      <c r="B103" s="42" t="s">
        <v>6944</v>
      </c>
      <c r="C103" s="43" t="s">
        <v>6735</v>
      </c>
      <c r="D103" s="42" t="s">
        <v>6893</v>
      </c>
      <c r="E103" s="43" t="s">
        <v>6917</v>
      </c>
      <c r="F103" s="43" t="s">
        <v>6917</v>
      </c>
      <c r="G103" s="42" t="s">
        <v>6739</v>
      </c>
      <c r="H103" s="43" t="s">
        <v>6895</v>
      </c>
      <c r="I103" s="43" t="s">
        <v>6741</v>
      </c>
      <c r="J103" s="55"/>
      <c r="K103" s="119">
        <f>IFERROR(VLOOKUP(B103,BD_CONTROL!$A$5:$M$4235,11,0),"")</f>
        <v>0</v>
      </c>
      <c r="L103" s="120">
        <f>IFERROR(VLOOKUP(B103,BD_CONTROL!$A$5:$M$4235,12,0),"")</f>
        <v>0</v>
      </c>
      <c r="M103" s="121">
        <f>IFERROR(VLOOKUP(B103,BD_CONTROL!$A$5:$M$4235,13,0),"")</f>
        <v>0</v>
      </c>
    </row>
    <row r="104" spans="1:13" ht="15" hidden="1" customHeight="1">
      <c r="A104" s="39">
        <v>99</v>
      </c>
      <c r="B104" s="39" t="s">
        <v>6945</v>
      </c>
      <c r="C104" s="40" t="s">
        <v>6735</v>
      </c>
      <c r="D104" s="39" t="s">
        <v>6893</v>
      </c>
      <c r="E104" s="40" t="s">
        <v>6917</v>
      </c>
      <c r="F104" s="40" t="s">
        <v>6917</v>
      </c>
      <c r="G104" s="39" t="s">
        <v>6739</v>
      </c>
      <c r="H104" s="40" t="s">
        <v>6895</v>
      </c>
      <c r="I104" s="40" t="s">
        <v>6741</v>
      </c>
      <c r="J104" s="50"/>
      <c r="K104" s="116">
        <f>IFERROR(VLOOKUP(B104,BD_CONTROL!$A$5:$M$4235,11,0),"")</f>
        <v>0</v>
      </c>
      <c r="L104" s="117">
        <f>IFERROR(VLOOKUP(B104,BD_CONTROL!$A$5:$M$4235,12,0),"")</f>
        <v>0</v>
      </c>
      <c r="M104" s="118">
        <f>IFERROR(VLOOKUP(B104,BD_CONTROL!$A$5:$M$4235,13,0),"")</f>
        <v>0</v>
      </c>
    </row>
    <row r="105" spans="1:13" ht="15" hidden="1" customHeight="1">
      <c r="A105" s="42">
        <v>100</v>
      </c>
      <c r="B105" s="42" t="s">
        <v>6946</v>
      </c>
      <c r="C105" s="43" t="s">
        <v>6735</v>
      </c>
      <c r="D105" s="42" t="s">
        <v>6893</v>
      </c>
      <c r="E105" s="43" t="s">
        <v>6917</v>
      </c>
      <c r="F105" s="43" t="s">
        <v>6917</v>
      </c>
      <c r="G105" s="42" t="s">
        <v>6739</v>
      </c>
      <c r="H105" s="43" t="s">
        <v>6895</v>
      </c>
      <c r="I105" s="43" t="s">
        <v>6741</v>
      </c>
      <c r="J105" s="55"/>
      <c r="K105" s="119">
        <f>IFERROR(VLOOKUP(B105,BD_CONTROL!$A$5:$M$4235,11,0),"")</f>
        <v>0</v>
      </c>
      <c r="L105" s="120">
        <f>IFERROR(VLOOKUP(B105,BD_CONTROL!$A$5:$M$4235,12,0),"")</f>
        <v>0</v>
      </c>
      <c r="M105" s="121">
        <f>IFERROR(VLOOKUP(B105,BD_CONTROL!$A$5:$M$4235,13,0),"")</f>
        <v>0</v>
      </c>
    </row>
    <row r="106" spans="1:13" ht="15" hidden="1" customHeight="1">
      <c r="A106" s="39">
        <v>101</v>
      </c>
      <c r="B106" s="39" t="s">
        <v>6947</v>
      </c>
      <c r="C106" s="40" t="s">
        <v>6735</v>
      </c>
      <c r="D106" s="39" t="s">
        <v>6893</v>
      </c>
      <c r="E106" s="40" t="s">
        <v>6917</v>
      </c>
      <c r="F106" s="40" t="s">
        <v>6917</v>
      </c>
      <c r="G106" s="39" t="s">
        <v>6739</v>
      </c>
      <c r="H106" s="40" t="s">
        <v>6895</v>
      </c>
      <c r="I106" s="40" t="s">
        <v>6741</v>
      </c>
      <c r="J106" s="50"/>
      <c r="K106" s="116">
        <f>IFERROR(VLOOKUP(B106,BD_CONTROL!$A$5:$M$4235,11,0),"")</f>
        <v>0</v>
      </c>
      <c r="L106" s="117">
        <f>IFERROR(VLOOKUP(B106,BD_CONTROL!$A$5:$M$4235,12,0),"")</f>
        <v>0</v>
      </c>
      <c r="M106" s="118">
        <f>IFERROR(VLOOKUP(B106,BD_CONTROL!$A$5:$M$4235,13,0),"")</f>
        <v>0</v>
      </c>
    </row>
    <row r="107" spans="1:13" ht="15" hidden="1" customHeight="1">
      <c r="A107" s="42">
        <v>102</v>
      </c>
      <c r="B107" s="42" t="s">
        <v>6948</v>
      </c>
      <c r="C107" s="43" t="s">
        <v>6735</v>
      </c>
      <c r="D107" s="42" t="s">
        <v>6893</v>
      </c>
      <c r="E107" s="43" t="s">
        <v>6917</v>
      </c>
      <c r="F107" s="43" t="s">
        <v>6917</v>
      </c>
      <c r="G107" s="42" t="s">
        <v>6739</v>
      </c>
      <c r="H107" s="43" t="s">
        <v>6895</v>
      </c>
      <c r="I107" s="43" t="s">
        <v>6741</v>
      </c>
      <c r="J107" s="55"/>
      <c r="K107" s="119">
        <f>IFERROR(VLOOKUP(B107,BD_CONTROL!$A$5:$M$4235,11,0),"")</f>
        <v>0</v>
      </c>
      <c r="L107" s="120">
        <f>IFERROR(VLOOKUP(B107,BD_CONTROL!$A$5:$M$4235,12,0),"")</f>
        <v>0</v>
      </c>
      <c r="M107" s="121">
        <f>IFERROR(VLOOKUP(B107,BD_CONTROL!$A$5:$M$4235,13,0),"")</f>
        <v>0</v>
      </c>
    </row>
    <row r="108" spans="1:13" ht="15" hidden="1" customHeight="1">
      <c r="A108" s="39">
        <v>103</v>
      </c>
      <c r="B108" s="39" t="s">
        <v>6949</v>
      </c>
      <c r="C108" s="40" t="s">
        <v>6735</v>
      </c>
      <c r="D108" s="39" t="s">
        <v>6893</v>
      </c>
      <c r="E108" s="40" t="s">
        <v>6917</v>
      </c>
      <c r="F108" s="40" t="s">
        <v>6917</v>
      </c>
      <c r="G108" s="39" t="s">
        <v>6739</v>
      </c>
      <c r="H108" s="40" t="s">
        <v>6895</v>
      </c>
      <c r="I108" s="40" t="s">
        <v>6741</v>
      </c>
      <c r="J108" s="50"/>
      <c r="K108" s="116">
        <f>IFERROR(VLOOKUP(B108,BD_CONTROL!$A$5:$M$4235,11,0),"")</f>
        <v>0</v>
      </c>
      <c r="L108" s="117">
        <f>IFERROR(VLOOKUP(B108,BD_CONTROL!$A$5:$M$4235,12,0),"")</f>
        <v>0</v>
      </c>
      <c r="M108" s="118">
        <f>IFERROR(VLOOKUP(B108,BD_CONTROL!$A$5:$M$4235,13,0),"")</f>
        <v>0</v>
      </c>
    </row>
    <row r="109" spans="1:13" ht="15" hidden="1" customHeight="1">
      <c r="A109" s="42">
        <v>104</v>
      </c>
      <c r="B109" s="42" t="s">
        <v>6950</v>
      </c>
      <c r="C109" s="43" t="s">
        <v>6735</v>
      </c>
      <c r="D109" s="42" t="s">
        <v>6893</v>
      </c>
      <c r="E109" s="43" t="s">
        <v>6917</v>
      </c>
      <c r="F109" s="43" t="s">
        <v>6917</v>
      </c>
      <c r="G109" s="42" t="s">
        <v>6739</v>
      </c>
      <c r="H109" s="43" t="s">
        <v>6895</v>
      </c>
      <c r="I109" s="43" t="s">
        <v>6741</v>
      </c>
      <c r="J109" s="55"/>
      <c r="K109" s="119">
        <f>IFERROR(VLOOKUP(B109,BD_CONTROL!$A$5:$M$4235,11,0),"")</f>
        <v>0</v>
      </c>
      <c r="L109" s="120">
        <f>IFERROR(VLOOKUP(B109,BD_CONTROL!$A$5:$M$4235,12,0),"")</f>
        <v>0</v>
      </c>
      <c r="M109" s="121">
        <f>IFERROR(VLOOKUP(B109,BD_CONTROL!$A$5:$M$4235,13,0),"")</f>
        <v>0</v>
      </c>
    </row>
    <row r="110" spans="1:13" ht="15" hidden="1" customHeight="1">
      <c r="A110" s="39">
        <v>105</v>
      </c>
      <c r="B110" s="39" t="s">
        <v>6951</v>
      </c>
      <c r="C110" s="40" t="s">
        <v>6735</v>
      </c>
      <c r="D110" s="39" t="s">
        <v>6893</v>
      </c>
      <c r="E110" s="40" t="s">
        <v>6917</v>
      </c>
      <c r="F110" s="40" t="s">
        <v>6917</v>
      </c>
      <c r="G110" s="39" t="s">
        <v>6739</v>
      </c>
      <c r="H110" s="40" t="s">
        <v>6895</v>
      </c>
      <c r="I110" s="40" t="s">
        <v>6741</v>
      </c>
      <c r="J110" s="50"/>
      <c r="K110" s="116">
        <f>IFERROR(VLOOKUP(B110,BD_CONTROL!$A$5:$M$4235,11,0),"")</f>
        <v>0</v>
      </c>
      <c r="L110" s="117">
        <f>IFERROR(VLOOKUP(B110,BD_CONTROL!$A$5:$M$4235,12,0),"")</f>
        <v>0</v>
      </c>
      <c r="M110" s="118">
        <f>IFERROR(VLOOKUP(B110,BD_CONTROL!$A$5:$M$4235,13,0),"")</f>
        <v>0</v>
      </c>
    </row>
    <row r="111" spans="1:13" ht="15" hidden="1" customHeight="1">
      <c r="A111" s="42">
        <v>106</v>
      </c>
      <c r="B111" s="42" t="s">
        <v>6952</v>
      </c>
      <c r="C111" s="43" t="s">
        <v>6735</v>
      </c>
      <c r="D111" s="42" t="s">
        <v>6893</v>
      </c>
      <c r="E111" s="43" t="s">
        <v>6917</v>
      </c>
      <c r="F111" s="43" t="s">
        <v>6917</v>
      </c>
      <c r="G111" s="42" t="s">
        <v>6739</v>
      </c>
      <c r="H111" s="43" t="s">
        <v>6895</v>
      </c>
      <c r="I111" s="43" t="s">
        <v>6741</v>
      </c>
      <c r="J111" s="55"/>
      <c r="K111" s="119">
        <f>IFERROR(VLOOKUP(B111,BD_CONTROL!$A$5:$M$4235,11,0),"")</f>
        <v>0</v>
      </c>
      <c r="L111" s="120">
        <f>IFERROR(VLOOKUP(B111,BD_CONTROL!$A$5:$M$4235,12,0),"")</f>
        <v>0</v>
      </c>
      <c r="M111" s="121">
        <f>IFERROR(VLOOKUP(B111,BD_CONTROL!$A$5:$M$4235,13,0),"")</f>
        <v>0</v>
      </c>
    </row>
    <row r="112" spans="1:13" ht="15" hidden="1" customHeight="1">
      <c r="A112" s="39">
        <v>107</v>
      </c>
      <c r="B112" s="39" t="s">
        <v>6953</v>
      </c>
      <c r="C112" s="40" t="s">
        <v>6735</v>
      </c>
      <c r="D112" s="39" t="s">
        <v>6893</v>
      </c>
      <c r="E112" s="40" t="s">
        <v>6917</v>
      </c>
      <c r="F112" s="40" t="s">
        <v>6917</v>
      </c>
      <c r="G112" s="39" t="s">
        <v>6739</v>
      </c>
      <c r="H112" s="40" t="s">
        <v>6895</v>
      </c>
      <c r="I112" s="40" t="s">
        <v>6741</v>
      </c>
      <c r="J112" s="50"/>
      <c r="K112" s="116">
        <f>IFERROR(VLOOKUP(B112,BD_CONTROL!$A$5:$M$4235,11,0),"")</f>
        <v>0</v>
      </c>
      <c r="L112" s="117">
        <f>IFERROR(VLOOKUP(B112,BD_CONTROL!$A$5:$M$4235,12,0),"")</f>
        <v>0</v>
      </c>
      <c r="M112" s="118">
        <f>IFERROR(VLOOKUP(B112,BD_CONTROL!$A$5:$M$4235,13,0),"")</f>
        <v>0</v>
      </c>
    </row>
    <row r="113" spans="1:13" ht="15" hidden="1" customHeight="1">
      <c r="A113" s="42">
        <v>108</v>
      </c>
      <c r="B113" s="42" t="s">
        <v>6954</v>
      </c>
      <c r="C113" s="43" t="s">
        <v>6735</v>
      </c>
      <c r="D113" s="42" t="s">
        <v>6893</v>
      </c>
      <c r="E113" s="43" t="s">
        <v>6917</v>
      </c>
      <c r="F113" s="43" t="s">
        <v>6917</v>
      </c>
      <c r="G113" s="42" t="s">
        <v>6739</v>
      </c>
      <c r="H113" s="43" t="s">
        <v>6895</v>
      </c>
      <c r="I113" s="43" t="s">
        <v>6741</v>
      </c>
      <c r="J113" s="55"/>
      <c r="K113" s="119">
        <f>IFERROR(VLOOKUP(B113,BD_CONTROL!$A$5:$M$4235,11,0),"")</f>
        <v>0</v>
      </c>
      <c r="L113" s="120">
        <f>IFERROR(VLOOKUP(B113,BD_CONTROL!$A$5:$M$4235,12,0),"")</f>
        <v>0</v>
      </c>
      <c r="M113" s="121">
        <f>IFERROR(VLOOKUP(B113,BD_CONTROL!$A$5:$M$4235,13,0),"")</f>
        <v>0</v>
      </c>
    </row>
    <row r="114" spans="1:13" ht="15" hidden="1" customHeight="1">
      <c r="A114" s="39">
        <v>109</v>
      </c>
      <c r="B114" s="39" t="s">
        <v>6955</v>
      </c>
      <c r="C114" s="40" t="s">
        <v>6735</v>
      </c>
      <c r="D114" s="39" t="s">
        <v>6893</v>
      </c>
      <c r="E114" s="40" t="s">
        <v>6917</v>
      </c>
      <c r="F114" s="40" t="s">
        <v>6917</v>
      </c>
      <c r="G114" s="39" t="s">
        <v>6739</v>
      </c>
      <c r="H114" s="40" t="s">
        <v>6895</v>
      </c>
      <c r="I114" s="40" t="s">
        <v>6741</v>
      </c>
      <c r="J114" s="50"/>
      <c r="K114" s="116">
        <f>IFERROR(VLOOKUP(B114,BD_CONTROL!$A$5:$M$4235,11,0),"")</f>
        <v>0</v>
      </c>
      <c r="L114" s="117">
        <f>IFERROR(VLOOKUP(B114,BD_CONTROL!$A$5:$M$4235,12,0),"")</f>
        <v>0</v>
      </c>
      <c r="M114" s="118">
        <f>IFERROR(VLOOKUP(B114,BD_CONTROL!$A$5:$M$4235,13,0),"")</f>
        <v>0</v>
      </c>
    </row>
    <row r="115" spans="1:13" ht="15" hidden="1" customHeight="1">
      <c r="A115" s="42">
        <v>110</v>
      </c>
      <c r="B115" s="42" t="s">
        <v>6956</v>
      </c>
      <c r="C115" s="43" t="s">
        <v>6735</v>
      </c>
      <c r="D115" s="42" t="s">
        <v>6893</v>
      </c>
      <c r="E115" s="43" t="s">
        <v>6917</v>
      </c>
      <c r="F115" s="43" t="s">
        <v>6917</v>
      </c>
      <c r="G115" s="42" t="s">
        <v>6739</v>
      </c>
      <c r="H115" s="43" t="s">
        <v>6895</v>
      </c>
      <c r="I115" s="43" t="s">
        <v>6741</v>
      </c>
      <c r="J115" s="55"/>
      <c r="K115" s="119">
        <f>IFERROR(VLOOKUP(B115,BD_CONTROL!$A$5:$M$4235,11,0),"")</f>
        <v>0</v>
      </c>
      <c r="L115" s="120">
        <f>IFERROR(VLOOKUP(B115,BD_CONTROL!$A$5:$M$4235,12,0),"")</f>
        <v>0</v>
      </c>
      <c r="M115" s="121">
        <f>IFERROR(VLOOKUP(B115,BD_CONTROL!$A$5:$M$4235,13,0),"")</f>
        <v>0</v>
      </c>
    </row>
    <row r="116" spans="1:13" ht="15" hidden="1" customHeight="1">
      <c r="A116" s="39">
        <v>111</v>
      </c>
      <c r="B116" s="39" t="s">
        <v>6957</v>
      </c>
      <c r="C116" s="40" t="s">
        <v>6735</v>
      </c>
      <c r="D116" s="39" t="s">
        <v>6893</v>
      </c>
      <c r="E116" s="40" t="s">
        <v>6917</v>
      </c>
      <c r="F116" s="40" t="s">
        <v>6917</v>
      </c>
      <c r="G116" s="39" t="s">
        <v>6739</v>
      </c>
      <c r="H116" s="40" t="s">
        <v>6895</v>
      </c>
      <c r="I116" s="40" t="s">
        <v>6741</v>
      </c>
      <c r="J116" s="50"/>
      <c r="K116" s="116">
        <f>IFERROR(VLOOKUP(B116,BD_CONTROL!$A$5:$M$4235,11,0),"")</f>
        <v>0</v>
      </c>
      <c r="L116" s="117">
        <f>IFERROR(VLOOKUP(B116,BD_CONTROL!$A$5:$M$4235,12,0),"")</f>
        <v>0</v>
      </c>
      <c r="M116" s="118">
        <f>IFERROR(VLOOKUP(B116,BD_CONTROL!$A$5:$M$4235,13,0),"")</f>
        <v>0</v>
      </c>
    </row>
    <row r="117" spans="1:13" ht="15" hidden="1" customHeight="1">
      <c r="A117" s="42">
        <v>112</v>
      </c>
      <c r="B117" s="42" t="s">
        <v>6958</v>
      </c>
      <c r="C117" s="43" t="s">
        <v>6735</v>
      </c>
      <c r="D117" s="42" t="s">
        <v>6893</v>
      </c>
      <c r="E117" s="43" t="s">
        <v>6917</v>
      </c>
      <c r="F117" s="43" t="s">
        <v>6917</v>
      </c>
      <c r="G117" s="42" t="s">
        <v>6739</v>
      </c>
      <c r="H117" s="43" t="s">
        <v>6895</v>
      </c>
      <c r="I117" s="43" t="s">
        <v>6741</v>
      </c>
      <c r="J117" s="55"/>
      <c r="K117" s="119">
        <f>IFERROR(VLOOKUP(B117,BD_CONTROL!$A$5:$M$4235,11,0),"")</f>
        <v>0</v>
      </c>
      <c r="L117" s="120">
        <f>IFERROR(VLOOKUP(B117,BD_CONTROL!$A$5:$M$4235,12,0),"")</f>
        <v>0</v>
      </c>
      <c r="M117" s="121">
        <f>IFERROR(VLOOKUP(B117,BD_CONTROL!$A$5:$M$4235,13,0),"")</f>
        <v>0</v>
      </c>
    </row>
    <row r="118" spans="1:13" ht="15" hidden="1" customHeight="1">
      <c r="A118" s="39">
        <v>113</v>
      </c>
      <c r="B118" s="39" t="s">
        <v>6959</v>
      </c>
      <c r="C118" s="40" t="s">
        <v>6735</v>
      </c>
      <c r="D118" s="39" t="s">
        <v>6893</v>
      </c>
      <c r="E118" s="40" t="s">
        <v>6917</v>
      </c>
      <c r="F118" s="40" t="s">
        <v>6917</v>
      </c>
      <c r="G118" s="39" t="s">
        <v>6739</v>
      </c>
      <c r="H118" s="40" t="s">
        <v>6895</v>
      </c>
      <c r="I118" s="40" t="s">
        <v>6741</v>
      </c>
      <c r="J118" s="50"/>
      <c r="K118" s="116">
        <f>IFERROR(VLOOKUP(B118,BD_CONTROL!$A$5:$M$4235,11,0),"")</f>
        <v>0</v>
      </c>
      <c r="L118" s="117">
        <f>IFERROR(VLOOKUP(B118,BD_CONTROL!$A$5:$M$4235,12,0),"")</f>
        <v>0</v>
      </c>
      <c r="M118" s="118">
        <f>IFERROR(VLOOKUP(B118,BD_CONTROL!$A$5:$M$4235,13,0),"")</f>
        <v>0</v>
      </c>
    </row>
    <row r="119" spans="1:13" ht="15" hidden="1" customHeight="1">
      <c r="A119" s="42">
        <v>114</v>
      </c>
      <c r="B119" s="42" t="s">
        <v>6960</v>
      </c>
      <c r="C119" s="43" t="s">
        <v>6961</v>
      </c>
      <c r="D119" s="42" t="s">
        <v>6893</v>
      </c>
      <c r="E119" s="43" t="s">
        <v>6917</v>
      </c>
      <c r="F119" s="43" t="s">
        <v>6961</v>
      </c>
      <c r="G119" s="42" t="s">
        <v>102</v>
      </c>
      <c r="H119" s="43" t="s">
        <v>6895</v>
      </c>
      <c r="I119" s="43" t="s">
        <v>104</v>
      </c>
      <c r="J119" s="55"/>
      <c r="K119" s="119">
        <f>IFERROR(VLOOKUP(B119,BD_CONTROL!$A$5:$M$4235,11,0),"")</f>
        <v>0</v>
      </c>
      <c r="L119" s="120">
        <f>IFERROR(VLOOKUP(B119,BD_CONTROL!$A$5:$M$4235,12,0),"")</f>
        <v>0</v>
      </c>
      <c r="M119" s="121">
        <f>IFERROR(VLOOKUP(B119,BD_CONTROL!$A$5:$M$4235,13,0),"")</f>
        <v>0</v>
      </c>
    </row>
    <row r="120" spans="1:13" ht="15" hidden="1" customHeight="1">
      <c r="A120" s="39">
        <v>115</v>
      </c>
      <c r="B120" s="39" t="s">
        <v>6962</v>
      </c>
      <c r="C120" s="40" t="s">
        <v>6963</v>
      </c>
      <c r="D120" s="39" t="s">
        <v>6893</v>
      </c>
      <c r="E120" s="40" t="s">
        <v>6917</v>
      </c>
      <c r="F120" s="40" t="s">
        <v>6964</v>
      </c>
      <c r="G120" s="39" t="s">
        <v>109</v>
      </c>
      <c r="H120" s="40" t="s">
        <v>6895</v>
      </c>
      <c r="I120" s="40" t="s">
        <v>104</v>
      </c>
      <c r="J120" s="50"/>
      <c r="K120" s="116">
        <f>IFERROR(VLOOKUP(B120,BD_CONTROL!$A$5:$M$4235,11,0),"")</f>
        <v>0</v>
      </c>
      <c r="L120" s="117">
        <f>IFERROR(VLOOKUP(B120,BD_CONTROL!$A$5:$M$4235,12,0),"")</f>
        <v>0</v>
      </c>
      <c r="M120" s="118">
        <f>IFERROR(VLOOKUP(B120,BD_CONTROL!$A$5:$M$4235,13,0),"")</f>
        <v>0</v>
      </c>
    </row>
    <row r="121" spans="1:13" ht="15" hidden="1" customHeight="1">
      <c r="A121" s="42">
        <v>116</v>
      </c>
      <c r="B121" s="42" t="s">
        <v>6965</v>
      </c>
      <c r="C121" s="43" t="s">
        <v>6966</v>
      </c>
      <c r="D121" s="42" t="s">
        <v>6893</v>
      </c>
      <c r="E121" s="43" t="s">
        <v>6917</v>
      </c>
      <c r="F121" s="43" t="s">
        <v>6964</v>
      </c>
      <c r="G121" s="42" t="s">
        <v>109</v>
      </c>
      <c r="H121" s="43" t="s">
        <v>6895</v>
      </c>
      <c r="I121" s="43" t="s">
        <v>104</v>
      </c>
      <c r="J121" s="55"/>
      <c r="K121" s="119">
        <f>IFERROR(VLOOKUP(B121,BD_CONTROL!$A$5:$M$4235,11,0),"")</f>
        <v>0</v>
      </c>
      <c r="L121" s="120">
        <f>IFERROR(VLOOKUP(B121,BD_CONTROL!$A$5:$M$4235,12,0),"")</f>
        <v>0</v>
      </c>
      <c r="M121" s="121">
        <f>IFERROR(VLOOKUP(B121,BD_CONTROL!$A$5:$M$4235,13,0),"")</f>
        <v>0</v>
      </c>
    </row>
    <row r="122" spans="1:13" ht="15" hidden="1" customHeight="1">
      <c r="A122" s="39">
        <v>117</v>
      </c>
      <c r="B122" s="39" t="s">
        <v>6967</v>
      </c>
      <c r="C122" s="40" t="s">
        <v>6968</v>
      </c>
      <c r="D122" s="39" t="s">
        <v>6893</v>
      </c>
      <c r="E122" s="40" t="s">
        <v>6917</v>
      </c>
      <c r="F122" s="40" t="s">
        <v>6969</v>
      </c>
      <c r="G122" s="39" t="s">
        <v>109</v>
      </c>
      <c r="H122" s="40" t="s">
        <v>6895</v>
      </c>
      <c r="I122" s="40" t="s">
        <v>104</v>
      </c>
      <c r="J122" s="50"/>
      <c r="K122" s="116">
        <f>IFERROR(VLOOKUP(B122,BD_CONTROL!$A$5:$M$4235,11,0),"")</f>
        <v>0</v>
      </c>
      <c r="L122" s="117">
        <f>IFERROR(VLOOKUP(B122,BD_CONTROL!$A$5:$M$4235,12,0),"")</f>
        <v>0</v>
      </c>
      <c r="M122" s="118">
        <f>IFERROR(VLOOKUP(B122,BD_CONTROL!$A$5:$M$4235,13,0),"")</f>
        <v>0</v>
      </c>
    </row>
    <row r="123" spans="1:13" ht="15" hidden="1" customHeight="1">
      <c r="A123" s="42">
        <v>118</v>
      </c>
      <c r="B123" s="42" t="s">
        <v>6970</v>
      </c>
      <c r="C123" s="43" t="s">
        <v>3082</v>
      </c>
      <c r="D123" s="42" t="s">
        <v>6893</v>
      </c>
      <c r="E123" s="43" t="s">
        <v>6917</v>
      </c>
      <c r="F123" s="43" t="s">
        <v>6971</v>
      </c>
      <c r="G123" s="42" t="s">
        <v>109</v>
      </c>
      <c r="H123" s="43" t="s">
        <v>6895</v>
      </c>
      <c r="I123" s="43" t="s">
        <v>104</v>
      </c>
      <c r="J123" s="55"/>
      <c r="K123" s="119">
        <f>IFERROR(VLOOKUP(B123,BD_CONTROL!$A$5:$M$4235,11,0),"")</f>
        <v>0</v>
      </c>
      <c r="L123" s="120">
        <f>IFERROR(VLOOKUP(B123,BD_CONTROL!$A$5:$M$4235,12,0),"")</f>
        <v>0</v>
      </c>
      <c r="M123" s="121">
        <f>IFERROR(VLOOKUP(B123,BD_CONTROL!$A$5:$M$4235,13,0),"")</f>
        <v>0</v>
      </c>
    </row>
    <row r="124" spans="1:13" ht="15" hidden="1" customHeight="1">
      <c r="A124" s="39">
        <v>119</v>
      </c>
      <c r="B124" s="39" t="s">
        <v>6972</v>
      </c>
      <c r="C124" s="40" t="s">
        <v>6973</v>
      </c>
      <c r="D124" s="39" t="s">
        <v>6893</v>
      </c>
      <c r="E124" s="40" t="s">
        <v>6917</v>
      </c>
      <c r="F124" s="40" t="s">
        <v>6974</v>
      </c>
      <c r="G124" s="39" t="s">
        <v>109</v>
      </c>
      <c r="H124" s="40" t="s">
        <v>6895</v>
      </c>
      <c r="I124" s="40" t="s">
        <v>104</v>
      </c>
      <c r="J124" s="50"/>
      <c r="K124" s="116">
        <f>IFERROR(VLOOKUP(B124,BD_CONTROL!$A$5:$M$4235,11,0),"")</f>
        <v>0</v>
      </c>
      <c r="L124" s="117">
        <f>IFERROR(VLOOKUP(B124,BD_CONTROL!$A$5:$M$4235,12,0),"")</f>
        <v>0</v>
      </c>
      <c r="M124" s="118">
        <f>IFERROR(VLOOKUP(B124,BD_CONTROL!$A$5:$M$4235,13,0),"")</f>
        <v>0</v>
      </c>
    </row>
    <row r="125" spans="1:13" ht="15" hidden="1" customHeight="1">
      <c r="A125" s="42">
        <v>120</v>
      </c>
      <c r="B125" s="42" t="s">
        <v>6975</v>
      </c>
      <c r="C125" s="43" t="s">
        <v>6976</v>
      </c>
      <c r="D125" s="42" t="s">
        <v>6893</v>
      </c>
      <c r="E125" s="43" t="s">
        <v>6917</v>
      </c>
      <c r="F125" s="43" t="s">
        <v>6977</v>
      </c>
      <c r="G125" s="42" t="s">
        <v>109</v>
      </c>
      <c r="H125" s="43" t="s">
        <v>6895</v>
      </c>
      <c r="I125" s="43" t="s">
        <v>104</v>
      </c>
      <c r="J125" s="55"/>
      <c r="K125" s="119">
        <f>IFERROR(VLOOKUP(B125,BD_CONTROL!$A$5:$M$4235,11,0),"")</f>
        <v>0</v>
      </c>
      <c r="L125" s="120">
        <f>IFERROR(VLOOKUP(B125,BD_CONTROL!$A$5:$M$4235,12,0),"")</f>
        <v>0</v>
      </c>
      <c r="M125" s="121">
        <f>IFERROR(VLOOKUP(B125,BD_CONTROL!$A$5:$M$4235,13,0),"")</f>
        <v>0</v>
      </c>
    </row>
    <row r="126" spans="1:13" ht="15" hidden="1" customHeight="1">
      <c r="A126" s="39">
        <v>121</v>
      </c>
      <c r="B126" s="39" t="s">
        <v>6978</v>
      </c>
      <c r="C126" s="40" t="s">
        <v>6979</v>
      </c>
      <c r="D126" s="39" t="s">
        <v>6893</v>
      </c>
      <c r="E126" s="40" t="s">
        <v>6917</v>
      </c>
      <c r="F126" s="40" t="s">
        <v>6977</v>
      </c>
      <c r="G126" s="39" t="s">
        <v>109</v>
      </c>
      <c r="H126" s="40" t="s">
        <v>6895</v>
      </c>
      <c r="I126" s="40" t="s">
        <v>104</v>
      </c>
      <c r="J126" s="50"/>
      <c r="K126" s="116">
        <f>IFERROR(VLOOKUP(B126,BD_CONTROL!$A$5:$M$4235,11,0),"")</f>
        <v>0</v>
      </c>
      <c r="L126" s="117">
        <f>IFERROR(VLOOKUP(B126,BD_CONTROL!$A$5:$M$4235,12,0),"")</f>
        <v>0</v>
      </c>
      <c r="M126" s="118">
        <f>IFERROR(VLOOKUP(B126,BD_CONTROL!$A$5:$M$4235,13,0),"")</f>
        <v>0</v>
      </c>
    </row>
    <row r="127" spans="1:13" ht="15" hidden="1" customHeight="1">
      <c r="A127" s="42">
        <v>122</v>
      </c>
      <c r="B127" s="42" t="s">
        <v>6980</v>
      </c>
      <c r="C127" s="43" t="s">
        <v>6735</v>
      </c>
      <c r="D127" s="42" t="s">
        <v>6893</v>
      </c>
      <c r="E127" s="43" t="s">
        <v>6917</v>
      </c>
      <c r="F127" s="43" t="s">
        <v>6977</v>
      </c>
      <c r="G127" s="42" t="s">
        <v>6739</v>
      </c>
      <c r="H127" s="43" t="s">
        <v>6895</v>
      </c>
      <c r="I127" s="43" t="s">
        <v>6741</v>
      </c>
      <c r="J127" s="55"/>
      <c r="K127" s="119">
        <f>IFERROR(VLOOKUP(B127,BD_CONTROL!$A$5:$M$4235,11,0),"")</f>
        <v>0</v>
      </c>
      <c r="L127" s="120">
        <f>IFERROR(VLOOKUP(B127,BD_CONTROL!$A$5:$M$4235,12,0),"")</f>
        <v>0</v>
      </c>
      <c r="M127" s="121">
        <f>IFERROR(VLOOKUP(B127,BD_CONTROL!$A$5:$M$4235,13,0),"")</f>
        <v>0</v>
      </c>
    </row>
    <row r="128" spans="1:13" ht="15" hidden="1" customHeight="1">
      <c r="A128" s="39">
        <v>123</v>
      </c>
      <c r="B128" s="39" t="s">
        <v>6981</v>
      </c>
      <c r="C128" s="40" t="s">
        <v>6982</v>
      </c>
      <c r="D128" s="39" t="s">
        <v>6893</v>
      </c>
      <c r="E128" s="40" t="s">
        <v>6917</v>
      </c>
      <c r="F128" s="40" t="s">
        <v>6983</v>
      </c>
      <c r="G128" s="39" t="s">
        <v>109</v>
      </c>
      <c r="H128" s="40" t="s">
        <v>6895</v>
      </c>
      <c r="I128" s="40" t="s">
        <v>104</v>
      </c>
      <c r="J128" s="50"/>
      <c r="K128" s="116">
        <f>IFERROR(VLOOKUP(B128,BD_CONTROL!$A$5:$M$4235,11,0),"")</f>
        <v>0</v>
      </c>
      <c r="L128" s="117">
        <f>IFERROR(VLOOKUP(B128,BD_CONTROL!$A$5:$M$4235,12,0),"")</f>
        <v>0</v>
      </c>
      <c r="M128" s="118">
        <f>IFERROR(VLOOKUP(B128,BD_CONTROL!$A$5:$M$4235,13,0),"")</f>
        <v>0</v>
      </c>
    </row>
    <row r="129" spans="1:13" ht="15" hidden="1" customHeight="1">
      <c r="A129" s="42">
        <v>124</v>
      </c>
      <c r="B129" s="42" t="s">
        <v>6984</v>
      </c>
      <c r="C129" s="43" t="s">
        <v>6735</v>
      </c>
      <c r="D129" s="42" t="s">
        <v>6893</v>
      </c>
      <c r="E129" s="43" t="s">
        <v>6917</v>
      </c>
      <c r="F129" s="43" t="s">
        <v>6985</v>
      </c>
      <c r="G129" s="42" t="s">
        <v>6739</v>
      </c>
      <c r="H129" s="43" t="s">
        <v>6895</v>
      </c>
      <c r="I129" s="43" t="s">
        <v>6741</v>
      </c>
      <c r="J129" s="55"/>
      <c r="K129" s="119">
        <f>IFERROR(VLOOKUP(B129,BD_CONTROL!$A$5:$M$4235,11,0),"")</f>
        <v>0</v>
      </c>
      <c r="L129" s="120">
        <f>IFERROR(VLOOKUP(B129,BD_CONTROL!$A$5:$M$4235,12,0),"")</f>
        <v>0</v>
      </c>
      <c r="M129" s="121">
        <f>IFERROR(VLOOKUP(B129,BD_CONTROL!$A$5:$M$4235,13,0),"")</f>
        <v>0</v>
      </c>
    </row>
    <row r="130" spans="1:13" ht="15" hidden="1" customHeight="1">
      <c r="A130" s="39">
        <v>125</v>
      </c>
      <c r="B130" s="39" t="s">
        <v>6986</v>
      </c>
      <c r="C130" s="40" t="s">
        <v>6987</v>
      </c>
      <c r="D130" s="39" t="s">
        <v>6893</v>
      </c>
      <c r="E130" s="40" t="s">
        <v>6988</v>
      </c>
      <c r="F130" s="40" t="s">
        <v>6988</v>
      </c>
      <c r="G130" s="39" t="s">
        <v>109</v>
      </c>
      <c r="H130" s="40" t="s">
        <v>6895</v>
      </c>
      <c r="I130" s="40" t="s">
        <v>104</v>
      </c>
      <c r="J130" s="50"/>
      <c r="K130" s="116">
        <f>IFERROR(VLOOKUP(B130,BD_CONTROL!$A$5:$M$4235,11,0),"")</f>
        <v>0</v>
      </c>
      <c r="L130" s="117">
        <f>IFERROR(VLOOKUP(B130,BD_CONTROL!$A$5:$M$4235,12,0),"")</f>
        <v>0</v>
      </c>
      <c r="M130" s="118">
        <f>IFERROR(VLOOKUP(B130,BD_CONTROL!$A$5:$M$4235,13,0),"")</f>
        <v>0</v>
      </c>
    </row>
    <row r="131" spans="1:13" ht="15" hidden="1" customHeight="1">
      <c r="A131" s="42">
        <v>126</v>
      </c>
      <c r="B131" s="42" t="s">
        <v>6989</v>
      </c>
      <c r="C131" s="43" t="s">
        <v>6735</v>
      </c>
      <c r="D131" s="42" t="s">
        <v>6893</v>
      </c>
      <c r="E131" s="43" t="s">
        <v>4041</v>
      </c>
      <c r="F131" s="43" t="s">
        <v>4041</v>
      </c>
      <c r="G131" s="42" t="s">
        <v>6739</v>
      </c>
      <c r="H131" s="43" t="s">
        <v>6895</v>
      </c>
      <c r="I131" s="43" t="s">
        <v>6741</v>
      </c>
      <c r="J131" s="55"/>
      <c r="K131" s="119">
        <f>IFERROR(VLOOKUP(B131,BD_CONTROL!$A$5:$M$4235,11,0),"")</f>
        <v>0</v>
      </c>
      <c r="L131" s="120">
        <f>IFERROR(VLOOKUP(B131,BD_CONTROL!$A$5:$M$4235,12,0),"")</f>
        <v>0</v>
      </c>
      <c r="M131" s="121">
        <f>IFERROR(VLOOKUP(B131,BD_CONTROL!$A$5:$M$4235,13,0),"")</f>
        <v>0</v>
      </c>
    </row>
    <row r="132" spans="1:13" ht="15" hidden="1" customHeight="1">
      <c r="A132" s="39">
        <v>127</v>
      </c>
      <c r="B132" s="39" t="s">
        <v>6990</v>
      </c>
      <c r="C132" s="40" t="s">
        <v>2278</v>
      </c>
      <c r="D132" s="39" t="s">
        <v>6893</v>
      </c>
      <c r="E132" s="40" t="s">
        <v>6991</v>
      </c>
      <c r="F132" s="40" t="s">
        <v>6992</v>
      </c>
      <c r="G132" s="39" t="s">
        <v>109</v>
      </c>
      <c r="H132" s="40" t="s">
        <v>6895</v>
      </c>
      <c r="I132" s="40" t="s">
        <v>104</v>
      </c>
      <c r="J132" s="50"/>
      <c r="K132" s="116">
        <f>IFERROR(VLOOKUP(B132,BD_CONTROL!$A$5:$M$4235,11,0),"")</f>
        <v>0</v>
      </c>
      <c r="L132" s="117">
        <f>IFERROR(VLOOKUP(B132,BD_CONTROL!$A$5:$M$4235,12,0),"")</f>
        <v>0</v>
      </c>
      <c r="M132" s="118">
        <f>IFERROR(VLOOKUP(B132,BD_CONTROL!$A$5:$M$4235,13,0),"")</f>
        <v>0</v>
      </c>
    </row>
    <row r="133" spans="1:13" ht="15" hidden="1" customHeight="1">
      <c r="A133" s="42">
        <v>128</v>
      </c>
      <c r="B133" s="42" t="s">
        <v>6993</v>
      </c>
      <c r="C133" s="43" t="s">
        <v>6735</v>
      </c>
      <c r="D133" s="42" t="s">
        <v>6893</v>
      </c>
      <c r="E133" s="43" t="s">
        <v>6994</v>
      </c>
      <c r="F133" s="43" t="s">
        <v>6994</v>
      </c>
      <c r="G133" s="42" t="s">
        <v>6739</v>
      </c>
      <c r="H133" s="43" t="s">
        <v>6895</v>
      </c>
      <c r="I133" s="43" t="s">
        <v>6741</v>
      </c>
      <c r="J133" s="55"/>
      <c r="K133" s="119">
        <f>IFERROR(VLOOKUP(B133,BD_CONTROL!$A$5:$M$4235,11,0),"")</f>
        <v>0</v>
      </c>
      <c r="L133" s="120">
        <f>IFERROR(VLOOKUP(B133,BD_CONTROL!$A$5:$M$4235,12,0),"")</f>
        <v>0</v>
      </c>
      <c r="M133" s="121">
        <f>IFERROR(VLOOKUP(B133,BD_CONTROL!$A$5:$M$4235,13,0),"")</f>
        <v>0</v>
      </c>
    </row>
    <row r="134" spans="1:13" ht="15" hidden="1" customHeight="1">
      <c r="A134" s="39">
        <v>129</v>
      </c>
      <c r="B134" s="39" t="s">
        <v>6995</v>
      </c>
      <c r="C134" s="40" t="s">
        <v>6996</v>
      </c>
      <c r="D134" s="39" t="s">
        <v>6893</v>
      </c>
      <c r="E134" s="40" t="s">
        <v>6997</v>
      </c>
      <c r="F134" s="40" t="s">
        <v>6997</v>
      </c>
      <c r="G134" s="39" t="s">
        <v>109</v>
      </c>
      <c r="H134" s="40" t="s">
        <v>6895</v>
      </c>
      <c r="I134" s="40" t="s">
        <v>104</v>
      </c>
      <c r="J134" s="50"/>
      <c r="K134" s="116">
        <f>IFERROR(VLOOKUP(B134,BD_CONTROL!$A$5:$M$4235,11,0),"")</f>
        <v>0</v>
      </c>
      <c r="L134" s="117">
        <f>IFERROR(VLOOKUP(B134,BD_CONTROL!$A$5:$M$4235,12,0),"")</f>
        <v>0</v>
      </c>
      <c r="M134" s="118">
        <f>IFERROR(VLOOKUP(B134,BD_CONTROL!$A$5:$M$4235,13,0),"")</f>
        <v>0</v>
      </c>
    </row>
    <row r="135" spans="1:13" ht="15" hidden="1" customHeight="1">
      <c r="A135" s="42">
        <v>130</v>
      </c>
      <c r="B135" s="42" t="s">
        <v>6998</v>
      </c>
      <c r="C135" s="43" t="s">
        <v>2309</v>
      </c>
      <c r="D135" s="42" t="s">
        <v>6893</v>
      </c>
      <c r="E135" s="43" t="s">
        <v>6997</v>
      </c>
      <c r="F135" s="43" t="s">
        <v>6997</v>
      </c>
      <c r="G135" s="42" t="s">
        <v>109</v>
      </c>
      <c r="H135" s="43" t="s">
        <v>6895</v>
      </c>
      <c r="I135" s="43" t="s">
        <v>104</v>
      </c>
      <c r="J135" s="55"/>
      <c r="K135" s="119">
        <f>IFERROR(VLOOKUP(B135,BD_CONTROL!$A$5:$M$4235,11,0),"")</f>
        <v>0</v>
      </c>
      <c r="L135" s="120">
        <f>IFERROR(VLOOKUP(B135,BD_CONTROL!$A$5:$M$4235,12,0),"")</f>
        <v>0</v>
      </c>
      <c r="M135" s="121">
        <f>IFERROR(VLOOKUP(B135,BD_CONTROL!$A$5:$M$4235,13,0),"")</f>
        <v>0</v>
      </c>
    </row>
    <row r="136" spans="1:13" ht="15" hidden="1" customHeight="1">
      <c r="A136" s="39">
        <v>131</v>
      </c>
      <c r="B136" s="39" t="s">
        <v>6999</v>
      </c>
      <c r="C136" s="40" t="s">
        <v>2413</v>
      </c>
      <c r="D136" s="39" t="s">
        <v>6893</v>
      </c>
      <c r="E136" s="40" t="s">
        <v>7000</v>
      </c>
      <c r="F136" s="40" t="s">
        <v>7000</v>
      </c>
      <c r="G136" s="39" t="s">
        <v>109</v>
      </c>
      <c r="H136" s="40" t="s">
        <v>6895</v>
      </c>
      <c r="I136" s="40" t="s">
        <v>104</v>
      </c>
      <c r="J136" s="50"/>
      <c r="K136" s="116">
        <f>IFERROR(VLOOKUP(B136,BD_CONTROL!$A$5:$M$4235,11,0),"")</f>
        <v>0</v>
      </c>
      <c r="L136" s="117">
        <f>IFERROR(VLOOKUP(B136,BD_CONTROL!$A$5:$M$4235,12,0),"")</f>
        <v>0</v>
      </c>
      <c r="M136" s="118">
        <f>IFERROR(VLOOKUP(B136,BD_CONTROL!$A$5:$M$4235,13,0),"")</f>
        <v>0</v>
      </c>
    </row>
    <row r="137" spans="1:13" ht="15" hidden="1" customHeight="1">
      <c r="A137" s="42">
        <v>132</v>
      </c>
      <c r="B137" s="42" t="s">
        <v>7001</v>
      </c>
      <c r="C137" s="43" t="s">
        <v>1139</v>
      </c>
      <c r="D137" s="42" t="s">
        <v>6893</v>
      </c>
      <c r="E137" s="43" t="s">
        <v>7002</v>
      </c>
      <c r="F137" s="43" t="s">
        <v>7002</v>
      </c>
      <c r="G137" s="42" t="s">
        <v>109</v>
      </c>
      <c r="H137" s="43" t="s">
        <v>6895</v>
      </c>
      <c r="I137" s="43" t="s">
        <v>104</v>
      </c>
      <c r="J137" s="55"/>
      <c r="K137" s="119">
        <f>IFERROR(VLOOKUP(B137,BD_CONTROL!$A$5:$M$4235,11,0),"")</f>
        <v>0</v>
      </c>
      <c r="L137" s="120">
        <f>IFERROR(VLOOKUP(B137,BD_CONTROL!$A$5:$M$4235,12,0),"")</f>
        <v>0</v>
      </c>
      <c r="M137" s="121">
        <f>IFERROR(VLOOKUP(B137,BD_CONTROL!$A$5:$M$4235,13,0),"")</f>
        <v>0</v>
      </c>
    </row>
    <row r="138" spans="1:13" ht="15" hidden="1" customHeight="1">
      <c r="A138" s="39">
        <v>133</v>
      </c>
      <c r="B138" s="39" t="s">
        <v>7003</v>
      </c>
      <c r="C138" s="40" t="s">
        <v>6735</v>
      </c>
      <c r="D138" s="39" t="s">
        <v>6893</v>
      </c>
      <c r="E138" s="40" t="s">
        <v>7002</v>
      </c>
      <c r="F138" s="40" t="s">
        <v>7002</v>
      </c>
      <c r="G138" s="39" t="s">
        <v>6739</v>
      </c>
      <c r="H138" s="40" t="s">
        <v>6895</v>
      </c>
      <c r="I138" s="40" t="s">
        <v>6741</v>
      </c>
      <c r="J138" s="50"/>
      <c r="K138" s="116">
        <f>IFERROR(VLOOKUP(B138,BD_CONTROL!$A$5:$M$4235,11,0),"")</f>
        <v>0</v>
      </c>
      <c r="L138" s="117">
        <f>IFERROR(VLOOKUP(B138,BD_CONTROL!$A$5:$M$4235,12,0),"")</f>
        <v>0</v>
      </c>
      <c r="M138" s="118">
        <f>IFERROR(VLOOKUP(B138,BD_CONTROL!$A$5:$M$4235,13,0),"")</f>
        <v>0</v>
      </c>
    </row>
    <row r="139" spans="1:13" ht="15" hidden="1" customHeight="1">
      <c r="A139" s="42">
        <v>134</v>
      </c>
      <c r="B139" s="42" t="s">
        <v>7004</v>
      </c>
      <c r="C139" s="43" t="s">
        <v>7005</v>
      </c>
      <c r="D139" s="42" t="s">
        <v>6893</v>
      </c>
      <c r="E139" s="43" t="s">
        <v>7006</v>
      </c>
      <c r="F139" s="43" t="s">
        <v>7006</v>
      </c>
      <c r="G139" s="42" t="s">
        <v>109</v>
      </c>
      <c r="H139" s="43" t="s">
        <v>6895</v>
      </c>
      <c r="I139" s="43" t="s">
        <v>104</v>
      </c>
      <c r="J139" s="55"/>
      <c r="K139" s="119">
        <f>IFERROR(VLOOKUP(B139,BD_CONTROL!$A$5:$M$4235,11,0),"")</f>
        <v>0</v>
      </c>
      <c r="L139" s="120">
        <f>IFERROR(VLOOKUP(B139,BD_CONTROL!$A$5:$M$4235,12,0),"")</f>
        <v>0</v>
      </c>
      <c r="M139" s="121">
        <f>IFERROR(VLOOKUP(B139,BD_CONTROL!$A$5:$M$4235,13,0),"")</f>
        <v>0</v>
      </c>
    </row>
    <row r="140" spans="1:13" ht="15" hidden="1" customHeight="1">
      <c r="A140" s="39">
        <v>135</v>
      </c>
      <c r="B140" s="39" t="s">
        <v>7007</v>
      </c>
      <c r="C140" s="40" t="s">
        <v>1391</v>
      </c>
      <c r="D140" s="39" t="s">
        <v>6893</v>
      </c>
      <c r="E140" s="40" t="s">
        <v>7008</v>
      </c>
      <c r="F140" s="40" t="s">
        <v>7009</v>
      </c>
      <c r="G140" s="39" t="s">
        <v>109</v>
      </c>
      <c r="H140" s="40" t="s">
        <v>6895</v>
      </c>
      <c r="I140" s="40" t="s">
        <v>104</v>
      </c>
      <c r="J140" s="50"/>
      <c r="K140" s="116">
        <f>IFERROR(VLOOKUP(B140,BD_CONTROL!$A$5:$M$4235,11,0),"")</f>
        <v>0</v>
      </c>
      <c r="L140" s="117">
        <f>IFERROR(VLOOKUP(B140,BD_CONTROL!$A$5:$M$4235,12,0),"")</f>
        <v>0</v>
      </c>
      <c r="M140" s="118">
        <f>IFERROR(VLOOKUP(B140,BD_CONTROL!$A$5:$M$4235,13,0),"")</f>
        <v>0</v>
      </c>
    </row>
    <row r="141" spans="1:13" ht="15" customHeight="1">
      <c r="A141" s="42">
        <v>136</v>
      </c>
      <c r="B141" s="42" t="s">
        <v>7010</v>
      </c>
      <c r="C141" s="43" t="s">
        <v>6735</v>
      </c>
      <c r="D141" s="42" t="s">
        <v>6736</v>
      </c>
      <c r="E141" s="43" t="s">
        <v>7011</v>
      </c>
      <c r="F141" s="43" t="s">
        <v>7011</v>
      </c>
      <c r="G141" s="42" t="s">
        <v>6739</v>
      </c>
      <c r="H141" s="43" t="s">
        <v>6740</v>
      </c>
      <c r="I141" s="43" t="s">
        <v>6741</v>
      </c>
      <c r="J141" s="55"/>
      <c r="K141" s="119" t="str">
        <f>IFERROR(VLOOKUP(B141,BD_CONTROL!$A$5:$M$4235,11,0),"")</f>
        <v>Instalado - Operando</v>
      </c>
      <c r="L141" s="120">
        <f>IFERROR(VLOOKUP(B141,BD_CONTROL!$A$5:$M$4235,12,0),"")</f>
        <v>46148</v>
      </c>
      <c r="M141" s="121">
        <f>IFERROR(VLOOKUP(B141,BD_CONTROL!$A$5:$M$4235,13,0),"")</f>
        <v>0</v>
      </c>
    </row>
    <row r="142" spans="1:13" ht="15" customHeight="1">
      <c r="A142" s="39">
        <v>137</v>
      </c>
      <c r="B142" s="39" t="s">
        <v>7012</v>
      </c>
      <c r="C142" s="40" t="s">
        <v>6735</v>
      </c>
      <c r="D142" s="39" t="s">
        <v>6736</v>
      </c>
      <c r="E142" s="40" t="s">
        <v>7011</v>
      </c>
      <c r="F142" s="40" t="s">
        <v>7013</v>
      </c>
      <c r="G142" s="39" t="s">
        <v>6739</v>
      </c>
      <c r="H142" s="40" t="s">
        <v>6740</v>
      </c>
      <c r="I142" s="40" t="s">
        <v>6741</v>
      </c>
      <c r="J142" s="50"/>
      <c r="K142" s="116">
        <f>IFERROR(VLOOKUP(B142,BD_CONTROL!$A$5:$M$4235,11,0),"")</f>
        <v>0</v>
      </c>
      <c r="L142" s="117">
        <f>IFERROR(VLOOKUP(B142,BD_CONTROL!$A$5:$M$4235,12,0),"")</f>
        <v>0</v>
      </c>
      <c r="M142" s="118">
        <f>IFERROR(VLOOKUP(B142,BD_CONTROL!$A$5:$M$4235,13,0),"")</f>
        <v>0</v>
      </c>
    </row>
    <row r="143" spans="1:13" ht="15" customHeight="1">
      <c r="A143" s="42">
        <v>138</v>
      </c>
      <c r="B143" s="42" t="s">
        <v>7014</v>
      </c>
      <c r="C143" s="43" t="s">
        <v>6735</v>
      </c>
      <c r="D143" s="42" t="s">
        <v>6736</v>
      </c>
      <c r="E143" s="43" t="s">
        <v>7011</v>
      </c>
      <c r="F143" s="43" t="s">
        <v>7015</v>
      </c>
      <c r="G143" s="42" t="s">
        <v>6739</v>
      </c>
      <c r="H143" s="43" t="s">
        <v>6740</v>
      </c>
      <c r="I143" s="43" t="s">
        <v>6741</v>
      </c>
      <c r="J143" s="55"/>
      <c r="K143" s="119" t="str">
        <f>IFERROR(VLOOKUP(B143,BD_CONTROL!$A$5:$M$4235,11,0),"")</f>
        <v>Instalado - Operando</v>
      </c>
      <c r="L143" s="120">
        <f>IFERROR(VLOOKUP(B143,BD_CONTROL!$A$5:$M$4235,12,0),"")</f>
        <v>46150</v>
      </c>
      <c r="M143" s="121">
        <f>IFERROR(VLOOKUP(B143,BD_CONTROL!$A$5:$M$4235,13,0),"")</f>
        <v>0</v>
      </c>
    </row>
    <row r="144" spans="1:13" ht="15" customHeight="1">
      <c r="A144" s="39">
        <v>139</v>
      </c>
      <c r="B144" s="39" t="s">
        <v>7016</v>
      </c>
      <c r="C144" s="40" t="s">
        <v>7017</v>
      </c>
      <c r="D144" s="39" t="s">
        <v>6736</v>
      </c>
      <c r="E144" s="40" t="s">
        <v>7011</v>
      </c>
      <c r="F144" s="40" t="s">
        <v>7018</v>
      </c>
      <c r="G144" s="39" t="s">
        <v>109</v>
      </c>
      <c r="H144" s="40" t="s">
        <v>6740</v>
      </c>
      <c r="I144" s="40" t="s">
        <v>104</v>
      </c>
      <c r="J144" s="50"/>
      <c r="K144" s="116" t="str">
        <f>IFERROR(VLOOKUP(B144,BD_CONTROL!$A$5:$M$4235,11,0),"")</f>
        <v>Instalado - Operando</v>
      </c>
      <c r="L144" s="117">
        <f>IFERROR(VLOOKUP(B144,BD_CONTROL!$A$5:$M$4235,12,0),"")</f>
        <v>46150</v>
      </c>
      <c r="M144" s="118">
        <f>IFERROR(VLOOKUP(B144,BD_CONTROL!$A$5:$M$4235,13,0),"")</f>
        <v>0</v>
      </c>
    </row>
    <row r="145" spans="1:13" ht="15" customHeight="1">
      <c r="A145" s="42">
        <v>140</v>
      </c>
      <c r="B145" s="42" t="s">
        <v>7019</v>
      </c>
      <c r="C145" s="43" t="s">
        <v>7020</v>
      </c>
      <c r="D145" s="42" t="s">
        <v>6736</v>
      </c>
      <c r="E145" s="43" t="s">
        <v>7011</v>
      </c>
      <c r="F145" s="43" t="s">
        <v>7021</v>
      </c>
      <c r="G145" s="42" t="s">
        <v>109</v>
      </c>
      <c r="H145" s="43" t="s">
        <v>6740</v>
      </c>
      <c r="I145" s="43" t="s">
        <v>104</v>
      </c>
      <c r="J145" s="55"/>
      <c r="K145" s="119" t="str">
        <f>IFERROR(VLOOKUP(B145,BD_CONTROL!$A$5:$M$4235,11,0),"")</f>
        <v>Instalado - Operando</v>
      </c>
      <c r="L145" s="120">
        <f>IFERROR(VLOOKUP(B145,BD_CONTROL!$A$5:$M$4235,12,0),"")</f>
        <v>46149</v>
      </c>
      <c r="M145" s="121">
        <f>IFERROR(VLOOKUP(B145,BD_CONTROL!$A$5:$M$4235,13,0),"")</f>
        <v>0</v>
      </c>
    </row>
    <row r="146" spans="1:13" ht="15" customHeight="1">
      <c r="A146" s="39">
        <v>141</v>
      </c>
      <c r="B146" s="39" t="s">
        <v>7022</v>
      </c>
      <c r="C146" s="40" t="s">
        <v>6735</v>
      </c>
      <c r="D146" s="39" t="s">
        <v>6736</v>
      </c>
      <c r="E146" s="40" t="s">
        <v>7011</v>
      </c>
      <c r="F146" s="40" t="s">
        <v>7023</v>
      </c>
      <c r="G146" s="39" t="s">
        <v>6739</v>
      </c>
      <c r="H146" s="40" t="s">
        <v>6740</v>
      </c>
      <c r="I146" s="40" t="s">
        <v>6741</v>
      </c>
      <c r="J146" s="50"/>
      <c r="K146" s="116">
        <f>IFERROR(VLOOKUP(B146,BD_CONTROL!$A$5:$M$4235,11,0),"")</f>
        <v>0</v>
      </c>
      <c r="L146" s="117">
        <f>IFERROR(VLOOKUP(B146,BD_CONTROL!$A$5:$M$4235,12,0),"")</f>
        <v>0</v>
      </c>
      <c r="M146" s="118">
        <f>IFERROR(VLOOKUP(B146,BD_CONTROL!$A$5:$M$4235,13,0),"")</f>
        <v>0</v>
      </c>
    </row>
    <row r="147" spans="1:13" ht="15" customHeight="1">
      <c r="A147" s="42">
        <v>142</v>
      </c>
      <c r="B147" s="42" t="s">
        <v>7024</v>
      </c>
      <c r="C147" s="43" t="s">
        <v>7025</v>
      </c>
      <c r="D147" s="42" t="s">
        <v>6736</v>
      </c>
      <c r="E147" s="43" t="s">
        <v>7011</v>
      </c>
      <c r="F147" s="43" t="s">
        <v>7025</v>
      </c>
      <c r="G147" s="42" t="s">
        <v>109</v>
      </c>
      <c r="H147" s="43" t="s">
        <v>6740</v>
      </c>
      <c r="I147" s="43" t="s">
        <v>104</v>
      </c>
      <c r="J147" s="55"/>
      <c r="K147" s="119">
        <f>IFERROR(VLOOKUP(B147,BD_CONTROL!$A$5:$M$4235,11,0),"")</f>
        <v>0</v>
      </c>
      <c r="L147" s="120">
        <f>IFERROR(VLOOKUP(B147,BD_CONTROL!$A$5:$M$4235,12,0),"")</f>
        <v>0</v>
      </c>
      <c r="M147" s="121">
        <f>IFERROR(VLOOKUP(B147,BD_CONTROL!$A$5:$M$4235,13,0),"")</f>
        <v>0</v>
      </c>
    </row>
    <row r="148" spans="1:13" ht="15" customHeight="1">
      <c r="A148" s="39">
        <v>143</v>
      </c>
      <c r="B148" s="39" t="s">
        <v>7026</v>
      </c>
      <c r="C148" s="40" t="s">
        <v>6735</v>
      </c>
      <c r="D148" s="39" t="s">
        <v>6736</v>
      </c>
      <c r="E148" s="40" t="s">
        <v>7011</v>
      </c>
      <c r="F148" s="40" t="s">
        <v>7027</v>
      </c>
      <c r="G148" s="39" t="s">
        <v>6739</v>
      </c>
      <c r="H148" s="40" t="s">
        <v>6740</v>
      </c>
      <c r="I148" s="40" t="s">
        <v>6741</v>
      </c>
      <c r="J148" s="50"/>
      <c r="K148" s="116">
        <f>IFERROR(VLOOKUP(B148,BD_CONTROL!$A$5:$M$4235,11,0),"")</f>
        <v>0</v>
      </c>
      <c r="L148" s="117">
        <f>IFERROR(VLOOKUP(B148,BD_CONTROL!$A$5:$M$4235,12,0),"")</f>
        <v>0</v>
      </c>
      <c r="M148" s="118">
        <f>IFERROR(VLOOKUP(B148,BD_CONTROL!$A$5:$M$4235,13,0),"")</f>
        <v>0</v>
      </c>
    </row>
    <row r="149" spans="1:13" ht="15" customHeight="1">
      <c r="A149" s="42">
        <v>144</v>
      </c>
      <c r="B149" s="42" t="s">
        <v>7028</v>
      </c>
      <c r="C149" s="43" t="s">
        <v>6735</v>
      </c>
      <c r="D149" s="42" t="s">
        <v>6736</v>
      </c>
      <c r="E149" s="43" t="s">
        <v>7011</v>
      </c>
      <c r="F149" s="43" t="s">
        <v>7027</v>
      </c>
      <c r="G149" s="42" t="s">
        <v>6739</v>
      </c>
      <c r="H149" s="43" t="s">
        <v>6740</v>
      </c>
      <c r="I149" s="43" t="s">
        <v>6741</v>
      </c>
      <c r="J149" s="55"/>
      <c r="K149" s="119">
        <f>IFERROR(VLOOKUP(B149,BD_CONTROL!$A$5:$M$4235,11,0),"")</f>
        <v>0</v>
      </c>
      <c r="L149" s="120">
        <f>IFERROR(VLOOKUP(B149,BD_CONTROL!$A$5:$M$4235,12,0),"")</f>
        <v>0</v>
      </c>
      <c r="M149" s="121">
        <f>IFERROR(VLOOKUP(B149,BD_CONTROL!$A$5:$M$4235,13,0),"")</f>
        <v>0</v>
      </c>
    </row>
    <row r="150" spans="1:13" ht="15" customHeight="1">
      <c r="A150" s="39">
        <v>145</v>
      </c>
      <c r="B150" s="39" t="s">
        <v>7029</v>
      </c>
      <c r="C150" s="40" t="s">
        <v>6735</v>
      </c>
      <c r="D150" s="39" t="s">
        <v>6736</v>
      </c>
      <c r="E150" s="40" t="s">
        <v>7011</v>
      </c>
      <c r="F150" s="40" t="s">
        <v>7027</v>
      </c>
      <c r="G150" s="39" t="s">
        <v>6739</v>
      </c>
      <c r="H150" s="40" t="s">
        <v>6740</v>
      </c>
      <c r="I150" s="40" t="s">
        <v>6741</v>
      </c>
      <c r="J150" s="50"/>
      <c r="K150" s="116">
        <f>IFERROR(VLOOKUP(B150,BD_CONTROL!$A$5:$M$4235,11,0),"")</f>
        <v>0</v>
      </c>
      <c r="L150" s="117">
        <f>IFERROR(VLOOKUP(B150,BD_CONTROL!$A$5:$M$4235,12,0),"")</f>
        <v>0</v>
      </c>
      <c r="M150" s="118">
        <f>IFERROR(VLOOKUP(B150,BD_CONTROL!$A$5:$M$4235,13,0),"")</f>
        <v>0</v>
      </c>
    </row>
    <row r="151" spans="1:13" ht="15" customHeight="1">
      <c r="A151" s="42">
        <v>146</v>
      </c>
      <c r="B151" s="42" t="s">
        <v>7030</v>
      </c>
      <c r="C151" s="43" t="s">
        <v>6735</v>
      </c>
      <c r="D151" s="42" t="s">
        <v>6736</v>
      </c>
      <c r="E151" s="43" t="s">
        <v>7011</v>
      </c>
      <c r="F151" s="43" t="s">
        <v>7027</v>
      </c>
      <c r="G151" s="42" t="s">
        <v>6739</v>
      </c>
      <c r="H151" s="43" t="s">
        <v>6740</v>
      </c>
      <c r="I151" s="43" t="s">
        <v>6741</v>
      </c>
      <c r="J151" s="55"/>
      <c r="K151" s="119">
        <f>IFERROR(VLOOKUP(B151,BD_CONTROL!$A$5:$M$4235,11,0),"")</f>
        <v>0</v>
      </c>
      <c r="L151" s="120">
        <f>IFERROR(VLOOKUP(B151,BD_CONTROL!$A$5:$M$4235,12,0),"")</f>
        <v>0</v>
      </c>
      <c r="M151" s="121">
        <f>IFERROR(VLOOKUP(B151,BD_CONTROL!$A$5:$M$4235,13,0),"")</f>
        <v>0</v>
      </c>
    </row>
    <row r="152" spans="1:13" ht="15" customHeight="1">
      <c r="A152" s="39">
        <v>147</v>
      </c>
      <c r="B152" s="39" t="s">
        <v>7031</v>
      </c>
      <c r="C152" s="40" t="s">
        <v>6735</v>
      </c>
      <c r="D152" s="39" t="s">
        <v>6736</v>
      </c>
      <c r="E152" s="40" t="s">
        <v>7011</v>
      </c>
      <c r="F152" s="40" t="s">
        <v>7027</v>
      </c>
      <c r="G152" s="39" t="s">
        <v>6739</v>
      </c>
      <c r="H152" s="40" t="s">
        <v>6740</v>
      </c>
      <c r="I152" s="40" t="s">
        <v>6741</v>
      </c>
      <c r="J152" s="50"/>
      <c r="K152" s="116" t="str">
        <f>IFERROR(VLOOKUP(B152,BD_CONTROL!$A$5:$M$4235,11,0),"")</f>
        <v>Instalado - Operando</v>
      </c>
      <c r="L152" s="117">
        <f>IFERROR(VLOOKUP(B152,BD_CONTROL!$A$5:$M$4235,12,0),"")</f>
        <v>46150</v>
      </c>
      <c r="M152" s="118">
        <f>IFERROR(VLOOKUP(B152,BD_CONTROL!$A$5:$M$4235,13,0),"")</f>
        <v>0</v>
      </c>
    </row>
    <row r="153" spans="1:13" ht="15" customHeight="1">
      <c r="A153" s="42">
        <v>148</v>
      </c>
      <c r="B153" s="42" t="s">
        <v>7032</v>
      </c>
      <c r="C153" s="43" t="s">
        <v>7033</v>
      </c>
      <c r="D153" s="42" t="s">
        <v>6736</v>
      </c>
      <c r="E153" s="43" t="s">
        <v>7011</v>
      </c>
      <c r="F153" s="43" t="s">
        <v>7034</v>
      </c>
      <c r="G153" s="42" t="s">
        <v>109</v>
      </c>
      <c r="H153" s="43" t="s">
        <v>6740</v>
      </c>
      <c r="I153" s="43" t="s">
        <v>104</v>
      </c>
      <c r="J153" s="55"/>
      <c r="K153" s="119" t="str">
        <f>IFERROR(VLOOKUP(B153,BD_CONTROL!$A$5:$M$4235,11,0),"")</f>
        <v>Instalado - Operando</v>
      </c>
      <c r="L153" s="120">
        <f>IFERROR(VLOOKUP(B153,BD_CONTROL!$A$5:$M$4235,12,0),"")</f>
        <v>46149</v>
      </c>
      <c r="M153" s="121">
        <f>IFERROR(VLOOKUP(B153,BD_CONTROL!$A$5:$M$4235,13,0),"")</f>
        <v>0</v>
      </c>
    </row>
    <row r="154" spans="1:13" ht="15" customHeight="1">
      <c r="A154" s="39">
        <v>149</v>
      </c>
      <c r="B154" s="39" t="s">
        <v>7035</v>
      </c>
      <c r="C154" s="40" t="s">
        <v>1565</v>
      </c>
      <c r="D154" s="39" t="s">
        <v>6736</v>
      </c>
      <c r="E154" s="40" t="s">
        <v>7011</v>
      </c>
      <c r="F154" s="40" t="s">
        <v>1565</v>
      </c>
      <c r="G154" s="39" t="s">
        <v>109</v>
      </c>
      <c r="H154" s="40" t="s">
        <v>6740</v>
      </c>
      <c r="I154" s="40" t="s">
        <v>104</v>
      </c>
      <c r="J154" s="50"/>
      <c r="K154" s="116">
        <f>IFERROR(VLOOKUP(B154,BD_CONTROL!$A$5:$M$4235,11,0),"")</f>
        <v>0</v>
      </c>
      <c r="L154" s="117">
        <f>IFERROR(VLOOKUP(B154,BD_CONTROL!$A$5:$M$4235,12,0),"")</f>
        <v>0</v>
      </c>
      <c r="M154" s="118">
        <f>IFERROR(VLOOKUP(B154,BD_CONTROL!$A$5:$M$4235,13,0),"")</f>
        <v>0</v>
      </c>
    </row>
    <row r="155" spans="1:13" ht="15" customHeight="1">
      <c r="A155" s="42">
        <v>150</v>
      </c>
      <c r="B155" s="42" t="s">
        <v>7036</v>
      </c>
      <c r="C155" s="43" t="s">
        <v>7037</v>
      </c>
      <c r="D155" s="42" t="s">
        <v>6736</v>
      </c>
      <c r="E155" s="43" t="s">
        <v>7038</v>
      </c>
      <c r="F155" s="43" t="s">
        <v>5543</v>
      </c>
      <c r="G155" s="42" t="s">
        <v>109</v>
      </c>
      <c r="H155" s="43" t="s">
        <v>6740</v>
      </c>
      <c r="I155" s="43" t="s">
        <v>104</v>
      </c>
      <c r="J155" s="55"/>
      <c r="K155" s="119">
        <f>IFERROR(VLOOKUP(B155,BD_CONTROL!$A$5:$M$4235,11,0),"")</f>
        <v>0</v>
      </c>
      <c r="L155" s="120">
        <f>IFERROR(VLOOKUP(B155,BD_CONTROL!$A$5:$M$4235,12,0),"")</f>
        <v>0</v>
      </c>
      <c r="M155" s="121">
        <f>IFERROR(VLOOKUP(B155,BD_CONTROL!$A$5:$M$4235,13,0),"")</f>
        <v>0</v>
      </c>
    </row>
    <row r="156" spans="1:13" ht="15" customHeight="1">
      <c r="A156" s="39">
        <v>151</v>
      </c>
      <c r="B156" s="39" t="s">
        <v>7039</v>
      </c>
      <c r="C156" s="40" t="s">
        <v>5543</v>
      </c>
      <c r="D156" s="39" t="s">
        <v>6736</v>
      </c>
      <c r="E156" s="40" t="s">
        <v>7038</v>
      </c>
      <c r="F156" s="40" t="s">
        <v>5543</v>
      </c>
      <c r="G156" s="39" t="s">
        <v>109</v>
      </c>
      <c r="H156" s="40" t="s">
        <v>6740</v>
      </c>
      <c r="I156" s="40" t="s">
        <v>104</v>
      </c>
      <c r="J156" s="50"/>
      <c r="K156" s="116">
        <f>IFERROR(VLOOKUP(B156,BD_CONTROL!$A$5:$M$4235,11,0),"")</f>
        <v>0</v>
      </c>
      <c r="L156" s="117">
        <f>IFERROR(VLOOKUP(B156,BD_CONTROL!$A$5:$M$4235,12,0),"")</f>
        <v>0</v>
      </c>
      <c r="M156" s="118">
        <f>IFERROR(VLOOKUP(B156,BD_CONTROL!$A$5:$M$4235,13,0),"")</f>
        <v>0</v>
      </c>
    </row>
    <row r="157" spans="1:13" ht="15" customHeight="1">
      <c r="A157" s="42">
        <v>152</v>
      </c>
      <c r="B157" s="42" t="s">
        <v>7040</v>
      </c>
      <c r="C157" s="43" t="s">
        <v>6735</v>
      </c>
      <c r="D157" s="42" t="s">
        <v>6736</v>
      </c>
      <c r="E157" s="43" t="s">
        <v>7038</v>
      </c>
      <c r="F157" s="43" t="s">
        <v>7041</v>
      </c>
      <c r="G157" s="42" t="s">
        <v>6739</v>
      </c>
      <c r="H157" s="43" t="s">
        <v>6740</v>
      </c>
      <c r="I157" s="43" t="s">
        <v>6741</v>
      </c>
      <c r="J157" s="55"/>
      <c r="K157" s="119">
        <f>IFERROR(VLOOKUP(B157,BD_CONTROL!$A$5:$M$4235,11,0),"")</f>
        <v>0</v>
      </c>
      <c r="L157" s="120">
        <f>IFERROR(VLOOKUP(B157,BD_CONTROL!$A$5:$M$4235,12,0),"")</f>
        <v>0</v>
      </c>
      <c r="M157" s="121">
        <f>IFERROR(VLOOKUP(B157,BD_CONTROL!$A$5:$M$4235,13,0),"")</f>
        <v>0</v>
      </c>
    </row>
    <row r="158" spans="1:13" ht="15" customHeight="1">
      <c r="A158" s="39">
        <v>153</v>
      </c>
      <c r="B158" s="39" t="s">
        <v>7042</v>
      </c>
      <c r="C158" s="40" t="s">
        <v>7043</v>
      </c>
      <c r="D158" s="39" t="s">
        <v>6736</v>
      </c>
      <c r="E158" s="40" t="s">
        <v>7038</v>
      </c>
      <c r="F158" s="40" t="s">
        <v>7043</v>
      </c>
      <c r="G158" s="39" t="s">
        <v>109</v>
      </c>
      <c r="H158" s="40" t="s">
        <v>6740</v>
      </c>
      <c r="I158" s="40" t="s">
        <v>104</v>
      </c>
      <c r="J158" s="50"/>
      <c r="K158" s="116">
        <f>IFERROR(VLOOKUP(B158,BD_CONTROL!$A$5:$M$4235,11,0),"")</f>
        <v>0</v>
      </c>
      <c r="L158" s="117">
        <f>IFERROR(VLOOKUP(B158,BD_CONTROL!$A$5:$M$4235,12,0),"")</f>
        <v>0</v>
      </c>
      <c r="M158" s="118">
        <f>IFERROR(VLOOKUP(B158,BD_CONTROL!$A$5:$M$4235,13,0),"")</f>
        <v>0</v>
      </c>
    </row>
    <row r="159" spans="1:13" ht="15" customHeight="1">
      <c r="A159" s="42">
        <v>154</v>
      </c>
      <c r="B159" s="42" t="s">
        <v>7044</v>
      </c>
      <c r="C159" s="43" t="s">
        <v>7045</v>
      </c>
      <c r="D159" s="42" t="s">
        <v>6736</v>
      </c>
      <c r="E159" s="43" t="s">
        <v>6606</v>
      </c>
      <c r="F159" s="43" t="s">
        <v>7046</v>
      </c>
      <c r="G159" s="42" t="s">
        <v>109</v>
      </c>
      <c r="H159" s="43" t="s">
        <v>6740</v>
      </c>
      <c r="I159" s="43" t="s">
        <v>104</v>
      </c>
      <c r="J159" s="55"/>
      <c r="K159" s="119">
        <f>IFERROR(VLOOKUP(B159,BD_CONTROL!$A$5:$M$4235,11,0),"")</f>
        <v>0</v>
      </c>
      <c r="L159" s="120">
        <f>IFERROR(VLOOKUP(B159,BD_CONTROL!$A$5:$M$4235,12,0),"")</f>
        <v>0</v>
      </c>
      <c r="M159" s="121">
        <f>IFERROR(VLOOKUP(B159,BD_CONTROL!$A$5:$M$4235,13,0),"")</f>
        <v>0</v>
      </c>
    </row>
    <row r="160" spans="1:13" ht="15" customHeight="1">
      <c r="A160" s="39">
        <v>155</v>
      </c>
      <c r="B160" s="39" t="s">
        <v>7047</v>
      </c>
      <c r="C160" s="40" t="s">
        <v>6735</v>
      </c>
      <c r="D160" s="39" t="s">
        <v>6736</v>
      </c>
      <c r="E160" s="40" t="s">
        <v>6606</v>
      </c>
      <c r="F160" s="40" t="s">
        <v>7048</v>
      </c>
      <c r="G160" s="39" t="s">
        <v>6739</v>
      </c>
      <c r="H160" s="40" t="s">
        <v>6740</v>
      </c>
      <c r="I160" s="40" t="s">
        <v>6741</v>
      </c>
      <c r="J160" s="50"/>
      <c r="K160" s="116">
        <f>IFERROR(VLOOKUP(B160,BD_CONTROL!$A$5:$M$4235,11,0),"")</f>
        <v>0</v>
      </c>
      <c r="L160" s="117">
        <f>IFERROR(VLOOKUP(B160,BD_CONTROL!$A$5:$M$4235,12,0),"")</f>
        <v>0</v>
      </c>
      <c r="M160" s="118">
        <f>IFERROR(VLOOKUP(B160,BD_CONTROL!$A$5:$M$4235,13,0),"")</f>
        <v>0</v>
      </c>
    </row>
    <row r="161" spans="1:13" ht="15" customHeight="1">
      <c r="A161" s="42">
        <v>156</v>
      </c>
      <c r="B161" s="42" t="s">
        <v>7049</v>
      </c>
      <c r="C161" s="43" t="s">
        <v>6735</v>
      </c>
      <c r="D161" s="42" t="s">
        <v>6736</v>
      </c>
      <c r="E161" s="43" t="s">
        <v>6606</v>
      </c>
      <c r="F161" s="43" t="s">
        <v>7050</v>
      </c>
      <c r="G161" s="42" t="s">
        <v>6739</v>
      </c>
      <c r="H161" s="43" t="s">
        <v>6740</v>
      </c>
      <c r="I161" s="43" t="s">
        <v>6741</v>
      </c>
      <c r="J161" s="55"/>
      <c r="K161" s="119">
        <f>IFERROR(VLOOKUP(B161,BD_CONTROL!$A$5:$M$4235,11,0),"")</f>
        <v>0</v>
      </c>
      <c r="L161" s="120">
        <f>IFERROR(VLOOKUP(B161,BD_CONTROL!$A$5:$M$4235,12,0),"")</f>
        <v>0</v>
      </c>
      <c r="M161" s="121">
        <f>IFERROR(VLOOKUP(B161,BD_CONTROL!$A$5:$M$4235,13,0),"")</f>
        <v>0</v>
      </c>
    </row>
    <row r="162" spans="1:13" ht="15" customHeight="1">
      <c r="A162" s="39">
        <v>157</v>
      </c>
      <c r="B162" s="39" t="s">
        <v>7051</v>
      </c>
      <c r="C162" s="40" t="s">
        <v>7052</v>
      </c>
      <c r="D162" s="39" t="s">
        <v>6736</v>
      </c>
      <c r="E162" s="40" t="s">
        <v>6606</v>
      </c>
      <c r="F162" s="40" t="s">
        <v>7053</v>
      </c>
      <c r="G162" s="39" t="s">
        <v>109</v>
      </c>
      <c r="H162" s="40" t="s">
        <v>6740</v>
      </c>
      <c r="I162" s="40" t="s">
        <v>104</v>
      </c>
      <c r="J162" s="50"/>
      <c r="K162" s="116">
        <f>IFERROR(VLOOKUP(B162,BD_CONTROL!$A$5:$M$4235,11,0),"")</f>
        <v>0</v>
      </c>
      <c r="L162" s="117">
        <f>IFERROR(VLOOKUP(B162,BD_CONTROL!$A$5:$M$4235,12,0),"")</f>
        <v>0</v>
      </c>
      <c r="M162" s="118">
        <f>IFERROR(VLOOKUP(B162,BD_CONTROL!$A$5:$M$4235,13,0),"")</f>
        <v>0</v>
      </c>
    </row>
    <row r="163" spans="1:13" ht="15" customHeight="1">
      <c r="A163" s="42">
        <v>158</v>
      </c>
      <c r="B163" s="42" t="s">
        <v>7054</v>
      </c>
      <c r="C163" s="43" t="s">
        <v>7055</v>
      </c>
      <c r="D163" s="42" t="s">
        <v>6736</v>
      </c>
      <c r="E163" s="43" t="s">
        <v>6606</v>
      </c>
      <c r="F163" s="43" t="s">
        <v>7056</v>
      </c>
      <c r="G163" s="42" t="s">
        <v>109</v>
      </c>
      <c r="H163" s="43" t="s">
        <v>6740</v>
      </c>
      <c r="I163" s="43" t="s">
        <v>104</v>
      </c>
      <c r="J163" s="55"/>
      <c r="K163" s="119">
        <f>IFERROR(VLOOKUP(B163,BD_CONTROL!$A$5:$M$4235,11,0),"")</f>
        <v>0</v>
      </c>
      <c r="L163" s="120">
        <f>IFERROR(VLOOKUP(B163,BD_CONTROL!$A$5:$M$4235,12,0),"")</f>
        <v>0</v>
      </c>
      <c r="M163" s="121">
        <f>IFERROR(VLOOKUP(B163,BD_CONTROL!$A$5:$M$4235,13,0),"")</f>
        <v>0</v>
      </c>
    </row>
    <row r="164" spans="1:13" ht="15" customHeight="1">
      <c r="A164" s="39">
        <v>159</v>
      </c>
      <c r="B164" s="39" t="s">
        <v>7057</v>
      </c>
      <c r="C164" s="40" t="s">
        <v>7058</v>
      </c>
      <c r="D164" s="39" t="s">
        <v>6736</v>
      </c>
      <c r="E164" s="40" t="s">
        <v>6606</v>
      </c>
      <c r="F164" s="40" t="s">
        <v>7056</v>
      </c>
      <c r="G164" s="39" t="s">
        <v>109</v>
      </c>
      <c r="H164" s="40" t="s">
        <v>6740</v>
      </c>
      <c r="I164" s="40" t="s">
        <v>104</v>
      </c>
      <c r="J164" s="50"/>
      <c r="K164" s="116">
        <f>IFERROR(VLOOKUP(B164,BD_CONTROL!$A$5:$M$4235,11,0),"")</f>
        <v>0</v>
      </c>
      <c r="L164" s="117">
        <f>IFERROR(VLOOKUP(B164,BD_CONTROL!$A$5:$M$4235,12,0),"")</f>
        <v>0</v>
      </c>
      <c r="M164" s="118">
        <f>IFERROR(VLOOKUP(B164,BD_CONTROL!$A$5:$M$4235,13,0),"")</f>
        <v>0</v>
      </c>
    </row>
    <row r="165" spans="1:13" ht="15" customHeight="1">
      <c r="A165" s="42">
        <v>160</v>
      </c>
      <c r="B165" s="42" t="s">
        <v>7059</v>
      </c>
      <c r="C165" s="43" t="s">
        <v>7060</v>
      </c>
      <c r="D165" s="42" t="s">
        <v>6736</v>
      </c>
      <c r="E165" s="43" t="s">
        <v>6606</v>
      </c>
      <c r="F165" s="43" t="s">
        <v>7061</v>
      </c>
      <c r="G165" s="42" t="s">
        <v>109</v>
      </c>
      <c r="H165" s="43" t="s">
        <v>6740</v>
      </c>
      <c r="I165" s="43" t="s">
        <v>104</v>
      </c>
      <c r="J165" s="55"/>
      <c r="K165" s="119">
        <f>IFERROR(VLOOKUP(B165,BD_CONTROL!$A$5:$M$4235,11,0),"")</f>
        <v>0</v>
      </c>
      <c r="L165" s="120">
        <f>IFERROR(VLOOKUP(B165,BD_CONTROL!$A$5:$M$4235,12,0),"")</f>
        <v>0</v>
      </c>
      <c r="M165" s="121">
        <f>IFERROR(VLOOKUP(B165,BD_CONTROL!$A$5:$M$4235,13,0),"")</f>
        <v>0</v>
      </c>
    </row>
    <row r="166" spans="1:13" ht="15" customHeight="1">
      <c r="A166" s="39">
        <v>161</v>
      </c>
      <c r="B166" s="39" t="s">
        <v>7062</v>
      </c>
      <c r="C166" s="40" t="s">
        <v>6735</v>
      </c>
      <c r="D166" s="39" t="s">
        <v>6736</v>
      </c>
      <c r="E166" s="40" t="s">
        <v>6606</v>
      </c>
      <c r="F166" s="40" t="s">
        <v>7063</v>
      </c>
      <c r="G166" s="39" t="s">
        <v>6739</v>
      </c>
      <c r="H166" s="40" t="s">
        <v>6740</v>
      </c>
      <c r="I166" s="40" t="s">
        <v>6741</v>
      </c>
      <c r="J166" s="50"/>
      <c r="K166" s="116">
        <f>IFERROR(VLOOKUP(B166,BD_CONTROL!$A$5:$M$4235,11,0),"")</f>
        <v>0</v>
      </c>
      <c r="L166" s="117">
        <f>IFERROR(VLOOKUP(B166,BD_CONTROL!$A$5:$M$4235,12,0),"")</f>
        <v>0</v>
      </c>
      <c r="M166" s="118">
        <f>IFERROR(VLOOKUP(B166,BD_CONTROL!$A$5:$M$4235,13,0),"")</f>
        <v>0</v>
      </c>
    </row>
    <row r="167" spans="1:13" ht="15" customHeight="1">
      <c r="A167" s="42">
        <v>162</v>
      </c>
      <c r="B167" s="42" t="s">
        <v>7064</v>
      </c>
      <c r="C167" s="43" t="s">
        <v>7065</v>
      </c>
      <c r="D167" s="42" t="s">
        <v>6736</v>
      </c>
      <c r="E167" s="43" t="s">
        <v>6606</v>
      </c>
      <c r="F167" s="43" t="s">
        <v>7066</v>
      </c>
      <c r="G167" s="42" t="s">
        <v>109</v>
      </c>
      <c r="H167" s="43" t="s">
        <v>6740</v>
      </c>
      <c r="I167" s="43" t="s">
        <v>104</v>
      </c>
      <c r="J167" s="55"/>
      <c r="K167" s="119">
        <f>IFERROR(VLOOKUP(B167,BD_CONTROL!$A$5:$M$4235,11,0),"")</f>
        <v>0</v>
      </c>
      <c r="L167" s="120">
        <f>IFERROR(VLOOKUP(B167,BD_CONTROL!$A$5:$M$4235,12,0),"")</f>
        <v>0</v>
      </c>
      <c r="M167" s="121">
        <f>IFERROR(VLOOKUP(B167,BD_CONTROL!$A$5:$M$4235,13,0),"")</f>
        <v>0</v>
      </c>
    </row>
    <row r="168" spans="1:13" ht="15" customHeight="1">
      <c r="A168" s="39">
        <v>163</v>
      </c>
      <c r="B168" s="39" t="s">
        <v>7067</v>
      </c>
      <c r="C168" s="40" t="s">
        <v>7068</v>
      </c>
      <c r="D168" s="39" t="s">
        <v>6736</v>
      </c>
      <c r="E168" s="40" t="s">
        <v>6606</v>
      </c>
      <c r="F168" s="40" t="s">
        <v>7069</v>
      </c>
      <c r="G168" s="39" t="s">
        <v>109</v>
      </c>
      <c r="H168" s="40" t="s">
        <v>6740</v>
      </c>
      <c r="I168" s="40" t="s">
        <v>104</v>
      </c>
      <c r="J168" s="50"/>
      <c r="K168" s="116">
        <f>IFERROR(VLOOKUP(B168,BD_CONTROL!$A$5:$M$4235,11,0),"")</f>
        <v>0</v>
      </c>
      <c r="L168" s="117">
        <f>IFERROR(VLOOKUP(B168,BD_CONTROL!$A$5:$M$4235,12,0),"")</f>
        <v>0</v>
      </c>
      <c r="M168" s="118">
        <f>IFERROR(VLOOKUP(B168,BD_CONTROL!$A$5:$M$4235,13,0),"")</f>
        <v>0</v>
      </c>
    </row>
    <row r="169" spans="1:13" ht="15" customHeight="1">
      <c r="A169" s="42">
        <v>164</v>
      </c>
      <c r="B169" s="42" t="s">
        <v>7070</v>
      </c>
      <c r="C169" s="43" t="s">
        <v>6735</v>
      </c>
      <c r="D169" s="42" t="s">
        <v>6736</v>
      </c>
      <c r="E169" s="43" t="s">
        <v>7071</v>
      </c>
      <c r="F169" s="43" t="s">
        <v>7072</v>
      </c>
      <c r="G169" s="42" t="s">
        <v>6739</v>
      </c>
      <c r="H169" s="43" t="s">
        <v>6740</v>
      </c>
      <c r="I169" s="43" t="s">
        <v>6741</v>
      </c>
      <c r="J169" s="55"/>
      <c r="K169" s="119">
        <f>IFERROR(VLOOKUP(B169,BD_CONTROL!$A$5:$M$4235,11,0),"")</f>
        <v>0</v>
      </c>
      <c r="L169" s="120">
        <f>IFERROR(VLOOKUP(B169,BD_CONTROL!$A$5:$M$4235,12,0),"")</f>
        <v>0</v>
      </c>
      <c r="M169" s="121">
        <f>IFERROR(VLOOKUP(B169,BD_CONTROL!$A$5:$M$4235,13,0),"")</f>
        <v>0</v>
      </c>
    </row>
    <row r="170" spans="1:13" ht="15" customHeight="1">
      <c r="A170" s="39">
        <v>165</v>
      </c>
      <c r="B170" s="39" t="s">
        <v>7073</v>
      </c>
      <c r="C170" s="40" t="s">
        <v>117</v>
      </c>
      <c r="D170" s="39" t="s">
        <v>6736</v>
      </c>
      <c r="E170" s="40" t="s">
        <v>7071</v>
      </c>
      <c r="F170" s="40" t="s">
        <v>7074</v>
      </c>
      <c r="G170" s="39" t="s">
        <v>109</v>
      </c>
      <c r="H170" s="40" t="s">
        <v>6740</v>
      </c>
      <c r="I170" s="40" t="s">
        <v>104</v>
      </c>
      <c r="J170" s="50"/>
      <c r="K170" s="116">
        <f>IFERROR(VLOOKUP(B170,BD_CONTROL!$A$5:$M$4235,11,0),"")</f>
        <v>0</v>
      </c>
      <c r="L170" s="117">
        <f>IFERROR(VLOOKUP(B170,BD_CONTROL!$A$5:$M$4235,12,0),"")</f>
        <v>0</v>
      </c>
      <c r="M170" s="118">
        <f>IFERROR(VLOOKUP(B170,BD_CONTROL!$A$5:$M$4235,13,0),"")</f>
        <v>0</v>
      </c>
    </row>
    <row r="171" spans="1:13" ht="15" customHeight="1">
      <c r="A171" s="42">
        <v>166</v>
      </c>
      <c r="B171" s="42" t="s">
        <v>7075</v>
      </c>
      <c r="C171" s="43" t="s">
        <v>7076</v>
      </c>
      <c r="D171" s="42" t="s">
        <v>6736</v>
      </c>
      <c r="E171" s="43" t="s">
        <v>7071</v>
      </c>
      <c r="F171" s="43" t="s">
        <v>7077</v>
      </c>
      <c r="G171" s="42" t="s">
        <v>109</v>
      </c>
      <c r="H171" s="43" t="s">
        <v>6740</v>
      </c>
      <c r="I171" s="43" t="s">
        <v>104</v>
      </c>
      <c r="J171" s="55"/>
      <c r="K171" s="119">
        <f>IFERROR(VLOOKUP(B171,BD_CONTROL!$A$5:$M$4235,11,0),"")</f>
        <v>0</v>
      </c>
      <c r="L171" s="120">
        <f>IFERROR(VLOOKUP(B171,BD_CONTROL!$A$5:$M$4235,12,0),"")</f>
        <v>0</v>
      </c>
      <c r="M171" s="121">
        <f>IFERROR(VLOOKUP(B171,BD_CONTROL!$A$5:$M$4235,13,0),"")</f>
        <v>0</v>
      </c>
    </row>
    <row r="172" spans="1:13" ht="15" customHeight="1">
      <c r="A172" s="39">
        <v>167</v>
      </c>
      <c r="B172" s="39" t="s">
        <v>7078</v>
      </c>
      <c r="C172" s="40" t="s">
        <v>6735</v>
      </c>
      <c r="D172" s="39" t="s">
        <v>6736</v>
      </c>
      <c r="E172" s="40" t="s">
        <v>7071</v>
      </c>
      <c r="F172" s="40" t="s">
        <v>7079</v>
      </c>
      <c r="G172" s="39" t="s">
        <v>6739</v>
      </c>
      <c r="H172" s="40" t="s">
        <v>6740</v>
      </c>
      <c r="I172" s="40" t="s">
        <v>6741</v>
      </c>
      <c r="J172" s="50"/>
      <c r="K172" s="116">
        <f>IFERROR(VLOOKUP(B172,BD_CONTROL!$A$5:$M$4235,11,0),"")</f>
        <v>0</v>
      </c>
      <c r="L172" s="117">
        <f>IFERROR(VLOOKUP(B172,BD_CONTROL!$A$5:$M$4235,12,0),"")</f>
        <v>0</v>
      </c>
      <c r="M172" s="118">
        <f>IFERROR(VLOOKUP(B172,BD_CONTROL!$A$5:$M$4235,13,0),"")</f>
        <v>0</v>
      </c>
    </row>
    <row r="173" spans="1:13" ht="15" customHeight="1">
      <c r="A173" s="42">
        <v>168</v>
      </c>
      <c r="B173" s="42" t="s">
        <v>7080</v>
      </c>
      <c r="C173" s="43" t="s">
        <v>7081</v>
      </c>
      <c r="D173" s="42" t="s">
        <v>6736</v>
      </c>
      <c r="E173" s="43" t="s">
        <v>7071</v>
      </c>
      <c r="F173" s="43" t="s">
        <v>7082</v>
      </c>
      <c r="G173" s="42" t="s">
        <v>109</v>
      </c>
      <c r="H173" s="43" t="s">
        <v>6740</v>
      </c>
      <c r="I173" s="43" t="s">
        <v>104</v>
      </c>
      <c r="J173" s="55"/>
      <c r="K173" s="119">
        <f>IFERROR(VLOOKUP(B173,BD_CONTROL!$A$5:$M$4235,11,0),"")</f>
        <v>0</v>
      </c>
      <c r="L173" s="120">
        <f>IFERROR(VLOOKUP(B173,BD_CONTROL!$A$5:$M$4235,12,0),"")</f>
        <v>0</v>
      </c>
      <c r="M173" s="121">
        <f>IFERROR(VLOOKUP(B173,BD_CONTROL!$A$5:$M$4235,13,0),"")</f>
        <v>0</v>
      </c>
    </row>
    <row r="174" spans="1:13" ht="15" customHeight="1">
      <c r="A174" s="39">
        <v>169</v>
      </c>
      <c r="B174" s="39" t="s">
        <v>7083</v>
      </c>
      <c r="C174" s="40" t="s">
        <v>6735</v>
      </c>
      <c r="D174" s="39" t="s">
        <v>6736</v>
      </c>
      <c r="E174" s="40" t="s">
        <v>7071</v>
      </c>
      <c r="F174" s="40" t="s">
        <v>7082</v>
      </c>
      <c r="G174" s="39" t="s">
        <v>6739</v>
      </c>
      <c r="H174" s="40" t="s">
        <v>6740</v>
      </c>
      <c r="I174" s="40" t="s">
        <v>6741</v>
      </c>
      <c r="J174" s="50"/>
      <c r="K174" s="116">
        <f>IFERROR(VLOOKUP(B174,BD_CONTROL!$A$5:$M$4235,11,0),"")</f>
        <v>0</v>
      </c>
      <c r="L174" s="117">
        <f>IFERROR(VLOOKUP(B174,BD_CONTROL!$A$5:$M$4235,12,0),"")</f>
        <v>0</v>
      </c>
      <c r="M174" s="118">
        <f>IFERROR(VLOOKUP(B174,BD_CONTROL!$A$5:$M$4235,13,0),"")</f>
        <v>0</v>
      </c>
    </row>
    <row r="175" spans="1:13" ht="15" customHeight="1">
      <c r="A175" s="42">
        <v>170</v>
      </c>
      <c r="B175" s="42" t="s">
        <v>7084</v>
      </c>
      <c r="C175" s="43" t="s">
        <v>6735</v>
      </c>
      <c r="D175" s="42" t="s">
        <v>6736</v>
      </c>
      <c r="E175" s="43" t="s">
        <v>7071</v>
      </c>
      <c r="F175" s="43" t="s">
        <v>7085</v>
      </c>
      <c r="G175" s="42" t="s">
        <v>6739</v>
      </c>
      <c r="H175" s="43" t="s">
        <v>6740</v>
      </c>
      <c r="I175" s="43" t="s">
        <v>6741</v>
      </c>
      <c r="J175" s="55"/>
      <c r="K175" s="119">
        <f>IFERROR(VLOOKUP(B175,BD_CONTROL!$A$5:$M$4235,11,0),"")</f>
        <v>0</v>
      </c>
      <c r="L175" s="120">
        <f>IFERROR(VLOOKUP(B175,BD_CONTROL!$A$5:$M$4235,12,0),"")</f>
        <v>0</v>
      </c>
      <c r="M175" s="121">
        <f>IFERROR(VLOOKUP(B175,BD_CONTROL!$A$5:$M$4235,13,0),"")</f>
        <v>0</v>
      </c>
    </row>
    <row r="176" spans="1:13" ht="15" customHeight="1">
      <c r="A176" s="39">
        <v>171</v>
      </c>
      <c r="B176" s="39" t="s">
        <v>7086</v>
      </c>
      <c r="C176" s="40" t="s">
        <v>6735</v>
      </c>
      <c r="D176" s="39" t="s">
        <v>6736</v>
      </c>
      <c r="E176" s="40" t="s">
        <v>7071</v>
      </c>
      <c r="F176" s="40" t="s">
        <v>7087</v>
      </c>
      <c r="G176" s="39" t="s">
        <v>6739</v>
      </c>
      <c r="H176" s="40" t="s">
        <v>6740</v>
      </c>
      <c r="I176" s="40" t="s">
        <v>6741</v>
      </c>
      <c r="J176" s="50"/>
      <c r="K176" s="116" t="str">
        <f>IFERROR(VLOOKUP(B176,BD_CONTROL!$A$5:$M$4235,11,0),"")</f>
        <v>Instalado - Operando</v>
      </c>
      <c r="L176" s="117">
        <f>IFERROR(VLOOKUP(B176,BD_CONTROL!$A$5:$M$4235,12,0),"")</f>
        <v>46151</v>
      </c>
      <c r="M176" s="118">
        <f>IFERROR(VLOOKUP(B176,BD_CONTROL!$A$5:$M$4235,13,0),"")</f>
        <v>0</v>
      </c>
    </row>
    <row r="177" spans="1:13" ht="15" customHeight="1">
      <c r="A177" s="42">
        <v>172</v>
      </c>
      <c r="B177" s="42" t="s">
        <v>7088</v>
      </c>
      <c r="C177" s="43" t="s">
        <v>6735</v>
      </c>
      <c r="D177" s="42" t="s">
        <v>6736</v>
      </c>
      <c r="E177" s="43" t="s">
        <v>7071</v>
      </c>
      <c r="F177" s="43" t="s">
        <v>7071</v>
      </c>
      <c r="G177" s="42" t="s">
        <v>6739</v>
      </c>
      <c r="H177" s="43" t="s">
        <v>6740</v>
      </c>
      <c r="I177" s="43" t="s">
        <v>6741</v>
      </c>
      <c r="J177" s="55"/>
      <c r="K177" s="119">
        <f>IFERROR(VLOOKUP(B177,BD_CONTROL!$A$5:$M$4235,11,0),"")</f>
        <v>0</v>
      </c>
      <c r="L177" s="120">
        <f>IFERROR(VLOOKUP(B177,BD_CONTROL!$A$5:$M$4235,12,0),"")</f>
        <v>0</v>
      </c>
      <c r="M177" s="121">
        <f>IFERROR(VLOOKUP(B177,BD_CONTROL!$A$5:$M$4235,13,0),"")</f>
        <v>0</v>
      </c>
    </row>
    <row r="178" spans="1:13" ht="15" customHeight="1">
      <c r="A178" s="39">
        <v>173</v>
      </c>
      <c r="B178" s="39" t="s">
        <v>7092</v>
      </c>
      <c r="C178" s="40" t="s">
        <v>6735</v>
      </c>
      <c r="D178" s="39" t="s">
        <v>6736</v>
      </c>
      <c r="E178" s="40" t="s">
        <v>7071</v>
      </c>
      <c r="F178" s="40" t="s">
        <v>7093</v>
      </c>
      <c r="G178" s="39" t="s">
        <v>6739</v>
      </c>
      <c r="H178" s="40" t="s">
        <v>6740</v>
      </c>
      <c r="I178" s="40" t="s">
        <v>6741</v>
      </c>
      <c r="J178" s="50"/>
      <c r="K178" s="116" t="str">
        <f>IFERROR(VLOOKUP(B178,BD_CONTROL!$A$5:$M$4235,11,0),"")</f>
        <v>Instalado - Operando</v>
      </c>
      <c r="L178" s="117">
        <f>IFERROR(VLOOKUP(B178,BD_CONTROL!$A$5:$M$4235,12,0),"")</f>
        <v>46151</v>
      </c>
      <c r="M178" s="118">
        <f>IFERROR(VLOOKUP(B178,BD_CONTROL!$A$5:$M$4235,13,0),"")</f>
        <v>0</v>
      </c>
    </row>
    <row r="179" spans="1:13" ht="15" customHeight="1">
      <c r="A179" s="42">
        <v>174</v>
      </c>
      <c r="B179" s="42" t="s">
        <v>7094</v>
      </c>
      <c r="C179" s="43" t="s">
        <v>7095</v>
      </c>
      <c r="D179" s="42" t="s">
        <v>6736</v>
      </c>
      <c r="E179" s="43" t="s">
        <v>7071</v>
      </c>
      <c r="F179" s="43" t="s">
        <v>7095</v>
      </c>
      <c r="G179" s="42" t="s">
        <v>109</v>
      </c>
      <c r="H179" s="43" t="s">
        <v>6740</v>
      </c>
      <c r="I179" s="43" t="s">
        <v>104</v>
      </c>
      <c r="J179" s="55"/>
      <c r="K179" s="119">
        <f>IFERROR(VLOOKUP(B179,BD_CONTROL!$A$5:$M$4235,11,0),"")</f>
        <v>0</v>
      </c>
      <c r="L179" s="120">
        <f>IFERROR(VLOOKUP(B179,BD_CONTROL!$A$5:$M$4235,12,0),"")</f>
        <v>0</v>
      </c>
      <c r="M179" s="121">
        <f>IFERROR(VLOOKUP(B179,BD_CONTROL!$A$5:$M$4235,13,0),"")</f>
        <v>0</v>
      </c>
    </row>
    <row r="180" spans="1:13" ht="15" customHeight="1">
      <c r="A180" s="39">
        <v>175</v>
      </c>
      <c r="B180" s="39" t="s">
        <v>7096</v>
      </c>
      <c r="C180" s="40" t="s">
        <v>7097</v>
      </c>
      <c r="D180" s="39" t="s">
        <v>6736</v>
      </c>
      <c r="E180" s="40" t="s">
        <v>7071</v>
      </c>
      <c r="F180" s="40" t="s">
        <v>7098</v>
      </c>
      <c r="G180" s="39" t="s">
        <v>109</v>
      </c>
      <c r="H180" s="40" t="s">
        <v>6740</v>
      </c>
      <c r="I180" s="40" t="s">
        <v>104</v>
      </c>
      <c r="J180" s="50"/>
      <c r="K180" s="116">
        <f>IFERROR(VLOOKUP(B180,BD_CONTROL!$A$5:$M$4235,11,0),"")</f>
        <v>0</v>
      </c>
      <c r="L180" s="117">
        <f>IFERROR(VLOOKUP(B180,BD_CONTROL!$A$5:$M$4235,12,0),"")</f>
        <v>0</v>
      </c>
      <c r="M180" s="118">
        <f>IFERROR(VLOOKUP(B180,BD_CONTROL!$A$5:$M$4235,13,0),"")</f>
        <v>0</v>
      </c>
    </row>
    <row r="181" spans="1:13" ht="15" customHeight="1">
      <c r="A181" s="42">
        <v>176</v>
      </c>
      <c r="B181" s="42" t="s">
        <v>7099</v>
      </c>
      <c r="C181" s="43" t="s">
        <v>7100</v>
      </c>
      <c r="D181" s="42" t="s">
        <v>6736</v>
      </c>
      <c r="E181" s="43" t="s">
        <v>7071</v>
      </c>
      <c r="F181" s="43" t="s">
        <v>513</v>
      </c>
      <c r="G181" s="42" t="s">
        <v>109</v>
      </c>
      <c r="H181" s="43" t="s">
        <v>6740</v>
      </c>
      <c r="I181" s="43" t="s">
        <v>104</v>
      </c>
      <c r="J181" s="55"/>
      <c r="K181" s="119">
        <f>IFERROR(VLOOKUP(B181,BD_CONTROL!$A$5:$M$4235,11,0),"")</f>
        <v>0</v>
      </c>
      <c r="L181" s="120">
        <f>IFERROR(VLOOKUP(B181,BD_CONTROL!$A$5:$M$4235,12,0),"")</f>
        <v>0</v>
      </c>
      <c r="M181" s="121">
        <f>IFERROR(VLOOKUP(B181,BD_CONTROL!$A$5:$M$4235,13,0),"")</f>
        <v>0</v>
      </c>
    </row>
    <row r="182" spans="1:13" ht="15" customHeight="1">
      <c r="A182" s="39">
        <v>177</v>
      </c>
      <c r="B182" s="39" t="s">
        <v>7101</v>
      </c>
      <c r="C182" s="40" t="s">
        <v>6735</v>
      </c>
      <c r="D182" s="39" t="s">
        <v>6736</v>
      </c>
      <c r="E182" s="40" t="s">
        <v>7071</v>
      </c>
      <c r="F182" s="40" t="s">
        <v>7102</v>
      </c>
      <c r="G182" s="39" t="s">
        <v>6739</v>
      </c>
      <c r="H182" s="40" t="s">
        <v>6740</v>
      </c>
      <c r="I182" s="40" t="s">
        <v>6741</v>
      </c>
      <c r="J182" s="50"/>
      <c r="K182" s="116" t="str">
        <f>IFERROR(VLOOKUP(B182,BD_CONTROL!$A$5:$M$4235,11,0),"")</f>
        <v>Instalado - Operando</v>
      </c>
      <c r="L182" s="117">
        <f>IFERROR(VLOOKUP(B182,BD_CONTROL!$A$5:$M$4235,12,0),"")</f>
        <v>46151</v>
      </c>
      <c r="M182" s="118" t="str">
        <f>IFERROR(VLOOKUP(B182,BD_CONTROL!$A$5:$M$4235,13,0),"")</f>
        <v>Queda intermitente ambar con folio 265904</v>
      </c>
    </row>
    <row r="183" spans="1:13" ht="15" customHeight="1">
      <c r="A183" s="42">
        <v>178</v>
      </c>
      <c r="B183" s="42" t="s">
        <v>7104</v>
      </c>
      <c r="C183" s="43" t="s">
        <v>7105</v>
      </c>
      <c r="D183" s="42" t="s">
        <v>6736</v>
      </c>
      <c r="E183" s="43" t="s">
        <v>7071</v>
      </c>
      <c r="F183" s="43" t="s">
        <v>7106</v>
      </c>
      <c r="G183" s="42" t="s">
        <v>109</v>
      </c>
      <c r="H183" s="43" t="s">
        <v>6740</v>
      </c>
      <c r="I183" s="43" t="s">
        <v>104</v>
      </c>
      <c r="J183" s="55"/>
      <c r="K183" s="119">
        <f>IFERROR(VLOOKUP(B183,BD_CONTROL!$A$5:$M$4235,11,0),"")</f>
        <v>0</v>
      </c>
      <c r="L183" s="120">
        <f>IFERROR(VLOOKUP(B183,BD_CONTROL!$A$5:$M$4235,12,0),"")</f>
        <v>0</v>
      </c>
      <c r="M183" s="121">
        <f>IFERROR(VLOOKUP(B183,BD_CONTROL!$A$5:$M$4235,13,0),"")</f>
        <v>0</v>
      </c>
    </row>
    <row r="184" spans="1:13" ht="15" customHeight="1">
      <c r="A184" s="39">
        <v>179</v>
      </c>
      <c r="B184" s="39" t="s">
        <v>7107</v>
      </c>
      <c r="C184" s="40" t="s">
        <v>6735</v>
      </c>
      <c r="D184" s="39" t="s">
        <v>6736</v>
      </c>
      <c r="E184" s="40" t="s">
        <v>7071</v>
      </c>
      <c r="F184" s="40" t="s">
        <v>7108</v>
      </c>
      <c r="G184" s="39" t="s">
        <v>6739</v>
      </c>
      <c r="H184" s="40" t="s">
        <v>6740</v>
      </c>
      <c r="I184" s="40" t="s">
        <v>6741</v>
      </c>
      <c r="J184" s="50"/>
      <c r="K184" s="116" t="str">
        <f>IFERROR(VLOOKUP(B184,BD_CONTROL!$A$5:$M$4235,11,0),"")</f>
        <v>Instalado - Operando</v>
      </c>
      <c r="L184" s="117">
        <f>IFERROR(VLOOKUP(B184,BD_CONTROL!$A$5:$M$4235,12,0),"")</f>
        <v>46151</v>
      </c>
      <c r="M184" s="118">
        <f>IFERROR(VLOOKUP(B184,BD_CONTROL!$A$5:$M$4235,13,0),"")</f>
        <v>0</v>
      </c>
    </row>
    <row r="185" spans="1:13" ht="15" customHeight="1">
      <c r="A185" s="42">
        <v>180</v>
      </c>
      <c r="B185" s="42" t="s">
        <v>7109</v>
      </c>
      <c r="C185" s="43" t="s">
        <v>7110</v>
      </c>
      <c r="D185" s="42" t="s">
        <v>6736</v>
      </c>
      <c r="E185" s="43" t="s">
        <v>6736</v>
      </c>
      <c r="F185" s="43" t="s">
        <v>7111</v>
      </c>
      <c r="G185" s="42" t="s">
        <v>109</v>
      </c>
      <c r="H185" s="43" t="s">
        <v>6740</v>
      </c>
      <c r="I185" s="43" t="s">
        <v>104</v>
      </c>
      <c r="J185" s="55"/>
      <c r="K185" s="119">
        <f>IFERROR(VLOOKUP(B185,BD_CONTROL!$A$5:$M$4235,11,0),"")</f>
        <v>0</v>
      </c>
      <c r="L185" s="120">
        <f>IFERROR(VLOOKUP(B185,BD_CONTROL!$A$5:$M$4235,12,0),"")</f>
        <v>0</v>
      </c>
      <c r="M185" s="121">
        <f>IFERROR(VLOOKUP(B185,BD_CONTROL!$A$5:$M$4235,13,0),"")</f>
        <v>0</v>
      </c>
    </row>
    <row r="186" spans="1:13" ht="15" customHeight="1">
      <c r="A186" s="39">
        <v>181</v>
      </c>
      <c r="B186" s="39" t="s">
        <v>7112</v>
      </c>
      <c r="C186" s="40" t="s">
        <v>7113</v>
      </c>
      <c r="D186" s="39" t="s">
        <v>6736</v>
      </c>
      <c r="E186" s="40" t="s">
        <v>6736</v>
      </c>
      <c r="F186" s="40" t="s">
        <v>7114</v>
      </c>
      <c r="G186" s="39" t="s">
        <v>109</v>
      </c>
      <c r="H186" s="40" t="s">
        <v>6740</v>
      </c>
      <c r="I186" s="40" t="s">
        <v>104</v>
      </c>
      <c r="J186" s="50"/>
      <c r="K186" s="116">
        <f>IFERROR(VLOOKUP(B186,BD_CONTROL!$A$5:$M$4235,11,0),"")</f>
        <v>0</v>
      </c>
      <c r="L186" s="117">
        <f>IFERROR(VLOOKUP(B186,BD_CONTROL!$A$5:$M$4235,12,0),"")</f>
        <v>0</v>
      </c>
      <c r="M186" s="118">
        <f>IFERROR(VLOOKUP(B186,BD_CONTROL!$A$5:$M$4235,13,0),"")</f>
        <v>0</v>
      </c>
    </row>
    <row r="187" spans="1:13" ht="15" customHeight="1">
      <c r="A187" s="42">
        <v>182</v>
      </c>
      <c r="B187" s="42" t="s">
        <v>7115</v>
      </c>
      <c r="C187" s="43" t="s">
        <v>7116</v>
      </c>
      <c r="D187" s="42" t="s">
        <v>6736</v>
      </c>
      <c r="E187" s="43" t="s">
        <v>6736</v>
      </c>
      <c r="F187" s="43" t="s">
        <v>7114</v>
      </c>
      <c r="G187" s="42" t="s">
        <v>109</v>
      </c>
      <c r="H187" s="43" t="s">
        <v>6740</v>
      </c>
      <c r="I187" s="43" t="s">
        <v>104</v>
      </c>
      <c r="J187" s="55"/>
      <c r="K187" s="119">
        <f>IFERROR(VLOOKUP(B187,BD_CONTROL!$A$5:$M$4235,11,0),"")</f>
        <v>0</v>
      </c>
      <c r="L187" s="120">
        <f>IFERROR(VLOOKUP(B187,BD_CONTROL!$A$5:$M$4235,12,0),"")</f>
        <v>0</v>
      </c>
      <c r="M187" s="121">
        <f>IFERROR(VLOOKUP(B187,BD_CONTROL!$A$5:$M$4235,13,0),"")</f>
        <v>0</v>
      </c>
    </row>
    <row r="188" spans="1:13" ht="15" customHeight="1">
      <c r="A188" s="39">
        <v>183</v>
      </c>
      <c r="B188" s="39" t="s">
        <v>7117</v>
      </c>
      <c r="C188" s="40" t="s">
        <v>7118</v>
      </c>
      <c r="D188" s="39" t="s">
        <v>6736</v>
      </c>
      <c r="E188" s="40" t="s">
        <v>6736</v>
      </c>
      <c r="F188" s="40" t="s">
        <v>7119</v>
      </c>
      <c r="G188" s="39" t="s">
        <v>109</v>
      </c>
      <c r="H188" s="40" t="s">
        <v>6740</v>
      </c>
      <c r="I188" s="40" t="s">
        <v>104</v>
      </c>
      <c r="J188" s="50"/>
      <c r="K188" s="116">
        <f>IFERROR(VLOOKUP(B188,BD_CONTROL!$A$5:$M$4235,11,0),"")</f>
        <v>0</v>
      </c>
      <c r="L188" s="117">
        <f>IFERROR(VLOOKUP(B188,BD_CONTROL!$A$5:$M$4235,12,0),"")</f>
        <v>0</v>
      </c>
      <c r="M188" s="118">
        <f>IFERROR(VLOOKUP(B188,BD_CONTROL!$A$5:$M$4235,13,0),"")</f>
        <v>0</v>
      </c>
    </row>
    <row r="189" spans="1:13" ht="15" customHeight="1">
      <c r="A189" s="42">
        <v>184</v>
      </c>
      <c r="B189" s="42" t="s">
        <v>7120</v>
      </c>
      <c r="C189" s="43" t="s">
        <v>7121</v>
      </c>
      <c r="D189" s="42" t="s">
        <v>6736</v>
      </c>
      <c r="E189" s="43" t="s">
        <v>6736</v>
      </c>
      <c r="F189" s="43" t="s">
        <v>2324</v>
      </c>
      <c r="G189" s="42" t="s">
        <v>109</v>
      </c>
      <c r="H189" s="43" t="s">
        <v>6740</v>
      </c>
      <c r="I189" s="43" t="s">
        <v>104</v>
      </c>
      <c r="J189" s="55"/>
      <c r="K189" s="119">
        <f>IFERROR(VLOOKUP(B189,BD_CONTROL!$A$5:$M$4235,11,0),"")</f>
        <v>0</v>
      </c>
      <c r="L189" s="120">
        <f>IFERROR(VLOOKUP(B189,BD_CONTROL!$A$5:$M$4235,12,0),"")</f>
        <v>0</v>
      </c>
      <c r="M189" s="121">
        <f>IFERROR(VLOOKUP(B189,BD_CONTROL!$A$5:$M$4235,13,0),"")</f>
        <v>0</v>
      </c>
    </row>
    <row r="190" spans="1:13" ht="15" customHeight="1">
      <c r="A190" s="39">
        <v>185</v>
      </c>
      <c r="B190" s="39" t="s">
        <v>7122</v>
      </c>
      <c r="C190" s="40" t="s">
        <v>6735</v>
      </c>
      <c r="D190" s="39" t="s">
        <v>6736</v>
      </c>
      <c r="E190" s="40" t="s">
        <v>677</v>
      </c>
      <c r="F190" s="40" t="s">
        <v>7123</v>
      </c>
      <c r="G190" s="39" t="s">
        <v>6739</v>
      </c>
      <c r="H190" s="40" t="s">
        <v>6740</v>
      </c>
      <c r="I190" s="40" t="s">
        <v>6741</v>
      </c>
      <c r="J190" s="50"/>
      <c r="K190" s="116">
        <f>IFERROR(VLOOKUP(B190,BD_CONTROL!$A$5:$M$4235,11,0),"")</f>
        <v>0</v>
      </c>
      <c r="L190" s="117">
        <f>IFERROR(VLOOKUP(B190,BD_CONTROL!$A$5:$M$4235,12,0),"")</f>
        <v>0</v>
      </c>
      <c r="M190" s="118">
        <f>IFERROR(VLOOKUP(B190,BD_CONTROL!$A$5:$M$4235,13,0),"")</f>
        <v>0</v>
      </c>
    </row>
    <row r="191" spans="1:13" ht="15" customHeight="1">
      <c r="A191" s="42">
        <v>186</v>
      </c>
      <c r="B191" s="42" t="s">
        <v>7124</v>
      </c>
      <c r="C191" s="43" t="s">
        <v>6735</v>
      </c>
      <c r="D191" s="42" t="s">
        <v>6736</v>
      </c>
      <c r="E191" s="43" t="s">
        <v>677</v>
      </c>
      <c r="F191" s="43" t="s">
        <v>7125</v>
      </c>
      <c r="G191" s="42" t="s">
        <v>6739</v>
      </c>
      <c r="H191" s="43" t="s">
        <v>6740</v>
      </c>
      <c r="I191" s="43" t="s">
        <v>6741</v>
      </c>
      <c r="J191" s="55"/>
      <c r="K191" s="119">
        <f>IFERROR(VLOOKUP(B191,BD_CONTROL!$A$5:$M$4235,11,0),"")</f>
        <v>0</v>
      </c>
      <c r="L191" s="120">
        <f>IFERROR(VLOOKUP(B191,BD_CONTROL!$A$5:$M$4235,12,0),"")</f>
        <v>0</v>
      </c>
      <c r="M191" s="121">
        <f>IFERROR(VLOOKUP(B191,BD_CONTROL!$A$5:$M$4235,13,0),"")</f>
        <v>0</v>
      </c>
    </row>
    <row r="192" spans="1:13" ht="15" customHeight="1">
      <c r="A192" s="39">
        <v>187</v>
      </c>
      <c r="B192" s="39" t="s">
        <v>7126</v>
      </c>
      <c r="C192" s="40" t="s">
        <v>6735</v>
      </c>
      <c r="D192" s="39" t="s">
        <v>6736</v>
      </c>
      <c r="E192" s="40" t="s">
        <v>677</v>
      </c>
      <c r="F192" s="40" t="s">
        <v>7125</v>
      </c>
      <c r="G192" s="39" t="s">
        <v>6739</v>
      </c>
      <c r="H192" s="40" t="s">
        <v>6740</v>
      </c>
      <c r="I192" s="40" t="s">
        <v>6741</v>
      </c>
      <c r="J192" s="50"/>
      <c r="K192" s="116">
        <f>IFERROR(VLOOKUP(B192,BD_CONTROL!$A$5:$M$4235,11,0),"")</f>
        <v>0</v>
      </c>
      <c r="L192" s="117">
        <f>IFERROR(VLOOKUP(B192,BD_CONTROL!$A$5:$M$4235,12,0),"")</f>
        <v>0</v>
      </c>
      <c r="M192" s="118">
        <f>IFERROR(VLOOKUP(B192,BD_CONTROL!$A$5:$M$4235,13,0),"")</f>
        <v>0</v>
      </c>
    </row>
    <row r="193" spans="1:13" ht="15" customHeight="1">
      <c r="A193" s="42">
        <v>188</v>
      </c>
      <c r="B193" s="42" t="s">
        <v>7127</v>
      </c>
      <c r="C193" s="43" t="s">
        <v>7128</v>
      </c>
      <c r="D193" s="42" t="s">
        <v>6736</v>
      </c>
      <c r="E193" s="43" t="s">
        <v>677</v>
      </c>
      <c r="F193" s="43" t="s">
        <v>7129</v>
      </c>
      <c r="G193" s="42" t="s">
        <v>109</v>
      </c>
      <c r="H193" s="43" t="s">
        <v>6740</v>
      </c>
      <c r="I193" s="43" t="s">
        <v>104</v>
      </c>
      <c r="J193" s="55"/>
      <c r="K193" s="119">
        <f>IFERROR(VLOOKUP(B193,BD_CONTROL!$A$5:$M$4235,11,0),"")</f>
        <v>0</v>
      </c>
      <c r="L193" s="120">
        <f>IFERROR(VLOOKUP(B193,BD_CONTROL!$A$5:$M$4235,12,0),"")</f>
        <v>0</v>
      </c>
      <c r="M193" s="121">
        <f>IFERROR(VLOOKUP(B193,BD_CONTROL!$A$5:$M$4235,13,0),"")</f>
        <v>0</v>
      </c>
    </row>
    <row r="194" spans="1:13" ht="15" customHeight="1">
      <c r="A194" s="39">
        <v>189</v>
      </c>
      <c r="B194" s="39" t="s">
        <v>7130</v>
      </c>
      <c r="C194" s="40" t="s">
        <v>6735</v>
      </c>
      <c r="D194" s="39" t="s">
        <v>6736</v>
      </c>
      <c r="E194" s="40" t="s">
        <v>677</v>
      </c>
      <c r="F194" s="40" t="s">
        <v>7129</v>
      </c>
      <c r="G194" s="39" t="s">
        <v>6739</v>
      </c>
      <c r="H194" s="40" t="s">
        <v>6740</v>
      </c>
      <c r="I194" s="40" t="s">
        <v>6741</v>
      </c>
      <c r="J194" s="50"/>
      <c r="K194" s="116">
        <f>IFERROR(VLOOKUP(B194,BD_CONTROL!$A$5:$M$4235,11,0),"")</f>
        <v>0</v>
      </c>
      <c r="L194" s="117">
        <f>IFERROR(VLOOKUP(B194,BD_CONTROL!$A$5:$M$4235,12,0),"")</f>
        <v>0</v>
      </c>
      <c r="M194" s="118">
        <f>IFERROR(VLOOKUP(B194,BD_CONTROL!$A$5:$M$4235,13,0),"")</f>
        <v>0</v>
      </c>
    </row>
    <row r="195" spans="1:13" ht="15" customHeight="1">
      <c r="A195" s="42">
        <v>190</v>
      </c>
      <c r="B195" s="42" t="s">
        <v>7131</v>
      </c>
      <c r="C195" s="43" t="s">
        <v>1155</v>
      </c>
      <c r="D195" s="42" t="s">
        <v>6736</v>
      </c>
      <c r="E195" s="43" t="s">
        <v>677</v>
      </c>
      <c r="F195" s="43" t="s">
        <v>7132</v>
      </c>
      <c r="G195" s="42" t="s">
        <v>109</v>
      </c>
      <c r="H195" s="43" t="s">
        <v>6740</v>
      </c>
      <c r="I195" s="43" t="s">
        <v>104</v>
      </c>
      <c r="J195" s="55"/>
      <c r="K195" s="119">
        <f>IFERROR(VLOOKUP(B195,BD_CONTROL!$A$5:$M$4235,11,0),"")</f>
        <v>0</v>
      </c>
      <c r="L195" s="120">
        <f>IFERROR(VLOOKUP(B195,BD_CONTROL!$A$5:$M$4235,12,0),"")</f>
        <v>0</v>
      </c>
      <c r="M195" s="121">
        <f>IFERROR(VLOOKUP(B195,BD_CONTROL!$A$5:$M$4235,13,0),"")</f>
        <v>0</v>
      </c>
    </row>
    <row r="196" spans="1:13" ht="15" customHeight="1">
      <c r="A196" s="39">
        <v>191</v>
      </c>
      <c r="B196" s="39" t="s">
        <v>7133</v>
      </c>
      <c r="C196" s="40" t="s">
        <v>7134</v>
      </c>
      <c r="D196" s="39" t="s">
        <v>6736</v>
      </c>
      <c r="E196" s="40" t="s">
        <v>677</v>
      </c>
      <c r="F196" s="40" t="s">
        <v>7135</v>
      </c>
      <c r="G196" s="39" t="s">
        <v>109</v>
      </c>
      <c r="H196" s="40" t="s">
        <v>6740</v>
      </c>
      <c r="I196" s="40" t="s">
        <v>104</v>
      </c>
      <c r="J196" s="50"/>
      <c r="K196" s="116">
        <f>IFERROR(VLOOKUP(B196,BD_CONTROL!$A$5:$M$4235,11,0),"")</f>
        <v>0</v>
      </c>
      <c r="L196" s="117">
        <f>IFERROR(VLOOKUP(B196,BD_CONTROL!$A$5:$M$4235,12,0),"")</f>
        <v>0</v>
      </c>
      <c r="M196" s="118">
        <f>IFERROR(VLOOKUP(B196,BD_CONTROL!$A$5:$M$4235,13,0),"")</f>
        <v>0</v>
      </c>
    </row>
    <row r="197" spans="1:13" ht="15" customHeight="1">
      <c r="A197" s="42">
        <v>192</v>
      </c>
      <c r="B197" s="42" t="s">
        <v>7136</v>
      </c>
      <c r="C197" s="43" t="s">
        <v>7137</v>
      </c>
      <c r="D197" s="42" t="s">
        <v>6736</v>
      </c>
      <c r="E197" s="43" t="s">
        <v>677</v>
      </c>
      <c r="F197" s="43" t="s">
        <v>1714</v>
      </c>
      <c r="G197" s="42" t="s">
        <v>109</v>
      </c>
      <c r="H197" s="43" t="s">
        <v>6740</v>
      </c>
      <c r="I197" s="43" t="s">
        <v>104</v>
      </c>
      <c r="J197" s="55"/>
      <c r="K197" s="119">
        <f>IFERROR(VLOOKUP(B197,BD_CONTROL!$A$5:$M$4235,11,0),"")</f>
        <v>0</v>
      </c>
      <c r="L197" s="120">
        <f>IFERROR(VLOOKUP(B197,BD_CONTROL!$A$5:$M$4235,12,0),"")</f>
        <v>0</v>
      </c>
      <c r="M197" s="121">
        <f>IFERROR(VLOOKUP(B197,BD_CONTROL!$A$5:$M$4235,13,0),"")</f>
        <v>0</v>
      </c>
    </row>
    <row r="198" spans="1:13" ht="15" customHeight="1">
      <c r="A198" s="39">
        <v>193</v>
      </c>
      <c r="B198" s="39" t="s">
        <v>7138</v>
      </c>
      <c r="C198" s="40" t="s">
        <v>7139</v>
      </c>
      <c r="D198" s="39" t="s">
        <v>6736</v>
      </c>
      <c r="E198" s="40" t="s">
        <v>677</v>
      </c>
      <c r="F198" s="40" t="s">
        <v>7139</v>
      </c>
      <c r="G198" s="39" t="s">
        <v>109</v>
      </c>
      <c r="H198" s="40" t="s">
        <v>6740</v>
      </c>
      <c r="I198" s="40" t="s">
        <v>104</v>
      </c>
      <c r="J198" s="50"/>
      <c r="K198" s="116">
        <f>IFERROR(VLOOKUP(B198,BD_CONTROL!$A$5:$M$4235,11,0),"")</f>
        <v>0</v>
      </c>
      <c r="L198" s="117">
        <f>IFERROR(VLOOKUP(B198,BD_CONTROL!$A$5:$M$4235,12,0),"")</f>
        <v>0</v>
      </c>
      <c r="M198" s="118">
        <f>IFERROR(VLOOKUP(B198,BD_CONTROL!$A$5:$M$4235,13,0),"")</f>
        <v>0</v>
      </c>
    </row>
    <row r="199" spans="1:13" ht="15" customHeight="1">
      <c r="A199" s="42">
        <v>194</v>
      </c>
      <c r="B199" s="42" t="s">
        <v>8475</v>
      </c>
      <c r="C199" s="43" t="s">
        <v>8476</v>
      </c>
      <c r="D199" s="42" t="s">
        <v>6736</v>
      </c>
      <c r="E199" s="43" t="s">
        <v>8477</v>
      </c>
      <c r="F199" s="43" t="s">
        <v>8478</v>
      </c>
      <c r="G199" s="42" t="s">
        <v>109</v>
      </c>
      <c r="H199" s="43" t="s">
        <v>6740</v>
      </c>
      <c r="I199" s="43" t="s">
        <v>104</v>
      </c>
      <c r="J199" s="55"/>
      <c r="K199" s="119">
        <f>IFERROR(VLOOKUP(B199,BD_CONTROL!$A$5:$M$4235,11,0),"")</f>
        <v>0</v>
      </c>
      <c r="L199" s="120">
        <f>IFERROR(VLOOKUP(B199,BD_CONTROL!$A$5:$M$4235,12,0),"")</f>
        <v>0</v>
      </c>
      <c r="M199" s="121">
        <f>IFERROR(VLOOKUP(B199,BD_CONTROL!$A$5:$M$4235,13,0),"")</f>
        <v>0</v>
      </c>
    </row>
    <row r="200" spans="1:13" ht="15" customHeight="1">
      <c r="A200" s="39">
        <v>195</v>
      </c>
      <c r="B200" s="39" t="s">
        <v>8479</v>
      </c>
      <c r="C200" s="40" t="s">
        <v>6735</v>
      </c>
      <c r="D200" s="39" t="s">
        <v>6736</v>
      </c>
      <c r="E200" s="40" t="s">
        <v>8477</v>
      </c>
      <c r="F200" s="40" t="s">
        <v>789</v>
      </c>
      <c r="G200" s="39" t="s">
        <v>6739</v>
      </c>
      <c r="H200" s="40" t="s">
        <v>6740</v>
      </c>
      <c r="I200" s="40" t="s">
        <v>6741</v>
      </c>
      <c r="J200" s="50"/>
      <c r="K200" s="116">
        <f>IFERROR(VLOOKUP(B200,BD_CONTROL!$A$5:$M$4235,11,0),"")</f>
        <v>0</v>
      </c>
      <c r="L200" s="117">
        <f>IFERROR(VLOOKUP(B200,BD_CONTROL!$A$5:$M$4235,12,0),"")</f>
        <v>0</v>
      </c>
      <c r="M200" s="118">
        <f>IFERROR(VLOOKUP(B200,BD_CONTROL!$A$5:$M$4235,13,0),"")</f>
        <v>0</v>
      </c>
    </row>
    <row r="201" spans="1:13" ht="15" customHeight="1">
      <c r="A201" s="42">
        <v>196</v>
      </c>
      <c r="B201" s="42" t="s">
        <v>8480</v>
      </c>
      <c r="C201" s="43" t="s">
        <v>8481</v>
      </c>
      <c r="D201" s="42" t="s">
        <v>6736</v>
      </c>
      <c r="E201" s="43" t="s">
        <v>8477</v>
      </c>
      <c r="F201" s="43" t="s">
        <v>8482</v>
      </c>
      <c r="G201" s="42" t="s">
        <v>109</v>
      </c>
      <c r="H201" s="43" t="s">
        <v>6740</v>
      </c>
      <c r="I201" s="43" t="s">
        <v>104</v>
      </c>
      <c r="J201" s="55"/>
      <c r="K201" s="119">
        <f>IFERROR(VLOOKUP(B201,BD_CONTROL!$A$5:$M$4235,11,0),"")</f>
        <v>0</v>
      </c>
      <c r="L201" s="120">
        <f>IFERROR(VLOOKUP(B201,BD_CONTROL!$A$5:$M$4235,12,0),"")</f>
        <v>0</v>
      </c>
      <c r="M201" s="121">
        <f>IFERROR(VLOOKUP(B201,BD_CONTROL!$A$5:$M$4235,13,0),"")</f>
        <v>0</v>
      </c>
    </row>
    <row r="202" spans="1:13" ht="15" customHeight="1">
      <c r="A202" s="39">
        <v>197</v>
      </c>
      <c r="B202" s="39" t="s">
        <v>8483</v>
      </c>
      <c r="C202" s="40" t="s">
        <v>8484</v>
      </c>
      <c r="D202" s="39" t="s">
        <v>6736</v>
      </c>
      <c r="E202" s="40" t="s">
        <v>8477</v>
      </c>
      <c r="F202" s="40" t="s">
        <v>8484</v>
      </c>
      <c r="G202" s="39" t="s">
        <v>109</v>
      </c>
      <c r="H202" s="40" t="s">
        <v>6740</v>
      </c>
      <c r="I202" s="40" t="s">
        <v>104</v>
      </c>
      <c r="J202" s="50"/>
      <c r="K202" s="116">
        <f>IFERROR(VLOOKUP(B202,BD_CONTROL!$A$5:$M$4235,11,0),"")</f>
        <v>0</v>
      </c>
      <c r="L202" s="117">
        <f>IFERROR(VLOOKUP(B202,BD_CONTROL!$A$5:$M$4235,12,0),"")</f>
        <v>0</v>
      </c>
      <c r="M202" s="118">
        <f>IFERROR(VLOOKUP(B202,BD_CONTROL!$A$5:$M$4235,13,0),"")</f>
        <v>0</v>
      </c>
    </row>
    <row r="203" spans="1:13" ht="15" customHeight="1">
      <c r="A203" s="42">
        <v>198</v>
      </c>
      <c r="B203" s="42" t="s">
        <v>8485</v>
      </c>
      <c r="C203" s="43" t="s">
        <v>6735</v>
      </c>
      <c r="D203" s="42" t="s">
        <v>6736</v>
      </c>
      <c r="E203" s="43" t="s">
        <v>8486</v>
      </c>
      <c r="F203" s="43" t="s">
        <v>8487</v>
      </c>
      <c r="G203" s="42" t="s">
        <v>6739</v>
      </c>
      <c r="H203" s="43" t="s">
        <v>6740</v>
      </c>
      <c r="I203" s="43" t="s">
        <v>6741</v>
      </c>
      <c r="J203" s="55"/>
      <c r="K203" s="119">
        <f>IFERROR(VLOOKUP(B203,BD_CONTROL!$A$5:$M$4235,11,0),"")</f>
        <v>0</v>
      </c>
      <c r="L203" s="120">
        <f>IFERROR(VLOOKUP(B203,BD_CONTROL!$A$5:$M$4235,12,0),"")</f>
        <v>0</v>
      </c>
      <c r="M203" s="121">
        <f>IFERROR(VLOOKUP(B203,BD_CONTROL!$A$5:$M$4235,13,0),"")</f>
        <v>0</v>
      </c>
    </row>
    <row r="204" spans="1:13" ht="15" customHeight="1">
      <c r="A204" s="39">
        <v>199</v>
      </c>
      <c r="B204" s="39" t="s">
        <v>8488</v>
      </c>
      <c r="C204" s="40" t="s">
        <v>6735</v>
      </c>
      <c r="D204" s="39" t="s">
        <v>6736</v>
      </c>
      <c r="E204" s="40" t="s">
        <v>8486</v>
      </c>
      <c r="F204" s="40" t="s">
        <v>8487</v>
      </c>
      <c r="G204" s="39" t="s">
        <v>6739</v>
      </c>
      <c r="H204" s="40" t="s">
        <v>6740</v>
      </c>
      <c r="I204" s="40" t="s">
        <v>6741</v>
      </c>
      <c r="J204" s="50"/>
      <c r="K204" s="116">
        <f>IFERROR(VLOOKUP(B204,BD_CONTROL!$A$5:$M$4235,11,0),"")</f>
        <v>0</v>
      </c>
      <c r="L204" s="117">
        <f>IFERROR(VLOOKUP(B204,BD_CONTROL!$A$5:$M$4235,12,0),"")</f>
        <v>0</v>
      </c>
      <c r="M204" s="118">
        <f>IFERROR(VLOOKUP(B204,BD_CONTROL!$A$5:$M$4235,13,0),"")</f>
        <v>0</v>
      </c>
    </row>
    <row r="205" spans="1:13" ht="15" customHeight="1">
      <c r="A205" s="42">
        <v>200</v>
      </c>
      <c r="B205" s="42" t="s">
        <v>8489</v>
      </c>
      <c r="C205" s="43" t="s">
        <v>8490</v>
      </c>
      <c r="D205" s="42" t="s">
        <v>6736</v>
      </c>
      <c r="E205" s="43" t="s">
        <v>8491</v>
      </c>
      <c r="F205" s="43" t="s">
        <v>8492</v>
      </c>
      <c r="G205" s="42" t="s">
        <v>109</v>
      </c>
      <c r="H205" s="43" t="s">
        <v>6740</v>
      </c>
      <c r="I205" s="43" t="s">
        <v>104</v>
      </c>
      <c r="J205" s="55"/>
      <c r="K205" s="119">
        <f>IFERROR(VLOOKUP(B205,BD_CONTROL!$A$5:$M$4235,11,0),"")</f>
        <v>0</v>
      </c>
      <c r="L205" s="120">
        <f>IFERROR(VLOOKUP(B205,BD_CONTROL!$A$5:$M$4235,12,0),"")</f>
        <v>0</v>
      </c>
      <c r="M205" s="121">
        <f>IFERROR(VLOOKUP(B205,BD_CONTROL!$A$5:$M$4235,13,0),"")</f>
        <v>0</v>
      </c>
    </row>
    <row r="206" spans="1:13" ht="15" customHeight="1">
      <c r="A206" s="39">
        <v>201</v>
      </c>
      <c r="B206" s="39" t="s">
        <v>8493</v>
      </c>
      <c r="C206" s="40" t="s">
        <v>8494</v>
      </c>
      <c r="D206" s="39" t="s">
        <v>6736</v>
      </c>
      <c r="E206" s="40" t="s">
        <v>8491</v>
      </c>
      <c r="F206" s="40" t="s">
        <v>8495</v>
      </c>
      <c r="G206" s="39" t="s">
        <v>109</v>
      </c>
      <c r="H206" s="40" t="s">
        <v>6740</v>
      </c>
      <c r="I206" s="40" t="s">
        <v>104</v>
      </c>
      <c r="J206" s="50"/>
      <c r="K206" s="116">
        <f>IFERROR(VLOOKUP(B206,BD_CONTROL!$A$5:$M$4235,11,0),"")</f>
        <v>0</v>
      </c>
      <c r="L206" s="117">
        <f>IFERROR(VLOOKUP(B206,BD_CONTROL!$A$5:$M$4235,12,0),"")</f>
        <v>0</v>
      </c>
      <c r="M206" s="118">
        <f>IFERROR(VLOOKUP(B206,BD_CONTROL!$A$5:$M$4235,13,0),"")</f>
        <v>0</v>
      </c>
    </row>
    <row r="207" spans="1:13" ht="15" customHeight="1">
      <c r="A207" s="42">
        <v>202</v>
      </c>
      <c r="B207" s="42" t="s">
        <v>8496</v>
      </c>
      <c r="C207" s="43" t="s">
        <v>8497</v>
      </c>
      <c r="D207" s="42" t="s">
        <v>6736</v>
      </c>
      <c r="E207" s="43" t="s">
        <v>8491</v>
      </c>
      <c r="F207" s="43" t="s">
        <v>8495</v>
      </c>
      <c r="G207" s="42" t="s">
        <v>109</v>
      </c>
      <c r="H207" s="43" t="s">
        <v>6740</v>
      </c>
      <c r="I207" s="43" t="s">
        <v>104</v>
      </c>
      <c r="J207" s="55"/>
      <c r="K207" s="119">
        <f>IFERROR(VLOOKUP(B207,BD_CONTROL!$A$5:$M$4235,11,0),"")</f>
        <v>0</v>
      </c>
      <c r="L207" s="120">
        <f>IFERROR(VLOOKUP(B207,BD_CONTROL!$A$5:$M$4235,12,0),"")</f>
        <v>0</v>
      </c>
      <c r="M207" s="121">
        <f>IFERROR(VLOOKUP(B207,BD_CONTROL!$A$5:$M$4235,13,0),"")</f>
        <v>0</v>
      </c>
    </row>
    <row r="208" spans="1:13" ht="15" customHeight="1">
      <c r="A208" s="39">
        <v>203</v>
      </c>
      <c r="B208" s="39" t="s">
        <v>8498</v>
      </c>
      <c r="C208" s="40" t="s">
        <v>6735</v>
      </c>
      <c r="D208" s="39" t="s">
        <v>6736</v>
      </c>
      <c r="E208" s="40" t="s">
        <v>8491</v>
      </c>
      <c r="F208" s="40" t="s">
        <v>8499</v>
      </c>
      <c r="G208" s="39" t="s">
        <v>6739</v>
      </c>
      <c r="H208" s="40" t="s">
        <v>6740</v>
      </c>
      <c r="I208" s="40" t="s">
        <v>6741</v>
      </c>
      <c r="J208" s="50"/>
      <c r="K208" s="116">
        <f>IFERROR(VLOOKUP(B208,BD_CONTROL!$A$5:$M$4235,11,0),"")</f>
        <v>0</v>
      </c>
      <c r="L208" s="117">
        <f>IFERROR(VLOOKUP(B208,BD_CONTROL!$A$5:$M$4235,12,0),"")</f>
        <v>0</v>
      </c>
      <c r="M208" s="118">
        <f>IFERROR(VLOOKUP(B208,BD_CONTROL!$A$5:$M$4235,13,0),"")</f>
        <v>0</v>
      </c>
    </row>
    <row r="209" spans="1:13" ht="15" customHeight="1">
      <c r="A209" s="42">
        <v>204</v>
      </c>
      <c r="B209" s="42" t="s">
        <v>8500</v>
      </c>
      <c r="C209" s="43" t="s">
        <v>6735</v>
      </c>
      <c r="D209" s="42" t="s">
        <v>6736</v>
      </c>
      <c r="E209" s="43" t="s">
        <v>8491</v>
      </c>
      <c r="F209" s="43" t="s">
        <v>8491</v>
      </c>
      <c r="G209" s="42" t="s">
        <v>6739</v>
      </c>
      <c r="H209" s="43" t="s">
        <v>6740</v>
      </c>
      <c r="I209" s="43" t="s">
        <v>6741</v>
      </c>
      <c r="J209" s="55"/>
      <c r="K209" s="119">
        <f>IFERROR(VLOOKUP(B209,BD_CONTROL!$A$5:$M$4235,11,0),"")</f>
        <v>0</v>
      </c>
      <c r="L209" s="120">
        <f>IFERROR(VLOOKUP(B209,BD_CONTROL!$A$5:$M$4235,12,0),"")</f>
        <v>0</v>
      </c>
      <c r="M209" s="121">
        <f>IFERROR(VLOOKUP(B209,BD_CONTROL!$A$5:$M$4235,13,0),"")</f>
        <v>0</v>
      </c>
    </row>
    <row r="210" spans="1:13" ht="15" customHeight="1">
      <c r="A210" s="39">
        <v>205</v>
      </c>
      <c r="B210" s="39" t="s">
        <v>8501</v>
      </c>
      <c r="C210" s="40" t="s">
        <v>6735</v>
      </c>
      <c r="D210" s="39" t="s">
        <v>6736</v>
      </c>
      <c r="E210" s="40" t="s">
        <v>8491</v>
      </c>
      <c r="F210" s="40" t="s">
        <v>8491</v>
      </c>
      <c r="G210" s="39" t="s">
        <v>6739</v>
      </c>
      <c r="H210" s="40" t="s">
        <v>6740</v>
      </c>
      <c r="I210" s="40" t="s">
        <v>6741</v>
      </c>
      <c r="J210" s="50"/>
      <c r="K210" s="116">
        <f>IFERROR(VLOOKUP(B210,BD_CONTROL!$A$5:$M$4235,11,0),"")</f>
        <v>0</v>
      </c>
      <c r="L210" s="117">
        <f>IFERROR(VLOOKUP(B210,BD_CONTROL!$A$5:$M$4235,12,0),"")</f>
        <v>0</v>
      </c>
      <c r="M210" s="118">
        <f>IFERROR(VLOOKUP(B210,BD_CONTROL!$A$5:$M$4235,13,0),"")</f>
        <v>0</v>
      </c>
    </row>
    <row r="211" spans="1:13" ht="15" customHeight="1">
      <c r="A211" s="42">
        <v>206</v>
      </c>
      <c r="B211" s="42" t="s">
        <v>8502</v>
      </c>
      <c r="C211" s="43" t="s">
        <v>6735</v>
      </c>
      <c r="D211" s="42" t="s">
        <v>6736</v>
      </c>
      <c r="E211" s="43" t="s">
        <v>8491</v>
      </c>
      <c r="F211" s="43" t="s">
        <v>8491</v>
      </c>
      <c r="G211" s="42" t="s">
        <v>6739</v>
      </c>
      <c r="H211" s="43" t="s">
        <v>6740</v>
      </c>
      <c r="I211" s="43" t="s">
        <v>6741</v>
      </c>
      <c r="J211" s="55"/>
      <c r="K211" s="119">
        <f>IFERROR(VLOOKUP(B211,BD_CONTROL!$A$5:$M$4235,11,0),"")</f>
        <v>0</v>
      </c>
      <c r="L211" s="120">
        <f>IFERROR(VLOOKUP(B211,BD_CONTROL!$A$5:$M$4235,12,0),"")</f>
        <v>0</v>
      </c>
      <c r="M211" s="121">
        <f>IFERROR(VLOOKUP(B211,BD_CONTROL!$A$5:$M$4235,13,0),"")</f>
        <v>0</v>
      </c>
    </row>
    <row r="212" spans="1:13" ht="15" customHeight="1">
      <c r="A212" s="39">
        <v>207</v>
      </c>
      <c r="B212" s="39" t="s">
        <v>8503</v>
      </c>
      <c r="C212" s="40" t="s">
        <v>6735</v>
      </c>
      <c r="D212" s="39" t="s">
        <v>6736</v>
      </c>
      <c r="E212" s="40" t="s">
        <v>8491</v>
      </c>
      <c r="F212" s="40" t="s">
        <v>8491</v>
      </c>
      <c r="G212" s="39" t="s">
        <v>6739</v>
      </c>
      <c r="H212" s="40" t="s">
        <v>6740</v>
      </c>
      <c r="I212" s="40" t="s">
        <v>6741</v>
      </c>
      <c r="J212" s="50"/>
      <c r="K212" s="116">
        <f>IFERROR(VLOOKUP(B212,BD_CONTROL!$A$5:$M$4235,11,0),"")</f>
        <v>0</v>
      </c>
      <c r="L212" s="117">
        <f>IFERROR(VLOOKUP(B212,BD_CONTROL!$A$5:$M$4235,12,0),"")</f>
        <v>0</v>
      </c>
      <c r="M212" s="118">
        <f>IFERROR(VLOOKUP(B212,BD_CONTROL!$A$5:$M$4235,13,0),"")</f>
        <v>0</v>
      </c>
    </row>
    <row r="213" spans="1:13" ht="15" customHeight="1">
      <c r="A213" s="42">
        <v>208</v>
      </c>
      <c r="B213" s="42" t="s">
        <v>8504</v>
      </c>
      <c r="C213" s="43" t="s">
        <v>6735</v>
      </c>
      <c r="D213" s="42" t="s">
        <v>6736</v>
      </c>
      <c r="E213" s="43" t="s">
        <v>8491</v>
      </c>
      <c r="F213" s="43" t="s">
        <v>8491</v>
      </c>
      <c r="G213" s="42" t="s">
        <v>6739</v>
      </c>
      <c r="H213" s="43" t="s">
        <v>6740</v>
      </c>
      <c r="I213" s="43" t="s">
        <v>6741</v>
      </c>
      <c r="J213" s="55"/>
      <c r="K213" s="119">
        <f>IFERROR(VLOOKUP(B213,BD_CONTROL!$A$5:$M$4235,11,0),"")</f>
        <v>0</v>
      </c>
      <c r="L213" s="120">
        <f>IFERROR(VLOOKUP(B213,BD_CONTROL!$A$5:$M$4235,12,0),"")</f>
        <v>0</v>
      </c>
      <c r="M213" s="121">
        <f>IFERROR(VLOOKUP(B213,BD_CONTROL!$A$5:$M$4235,13,0),"")</f>
        <v>0</v>
      </c>
    </row>
    <row r="214" spans="1:13" ht="15" customHeight="1">
      <c r="A214" s="39">
        <v>209</v>
      </c>
      <c r="B214" s="39" t="s">
        <v>8505</v>
      </c>
      <c r="C214" s="40" t="s">
        <v>6735</v>
      </c>
      <c r="D214" s="39" t="s">
        <v>6736</v>
      </c>
      <c r="E214" s="40" t="s">
        <v>8491</v>
      </c>
      <c r="F214" s="40" t="s">
        <v>8491</v>
      </c>
      <c r="G214" s="39" t="s">
        <v>6739</v>
      </c>
      <c r="H214" s="40" t="s">
        <v>6740</v>
      </c>
      <c r="I214" s="40" t="s">
        <v>6741</v>
      </c>
      <c r="J214" s="50"/>
      <c r="K214" s="116">
        <f>IFERROR(VLOOKUP(B214,BD_CONTROL!$A$5:$M$4235,11,0),"")</f>
        <v>0</v>
      </c>
      <c r="L214" s="117">
        <f>IFERROR(VLOOKUP(B214,BD_CONTROL!$A$5:$M$4235,12,0),"")</f>
        <v>0</v>
      </c>
      <c r="M214" s="118">
        <f>IFERROR(VLOOKUP(B214,BD_CONTROL!$A$5:$M$4235,13,0),"")</f>
        <v>0</v>
      </c>
    </row>
    <row r="215" spans="1:13" ht="15" customHeight="1">
      <c r="A215" s="42">
        <v>210</v>
      </c>
      <c r="B215" s="42" t="s">
        <v>8506</v>
      </c>
      <c r="C215" s="43" t="s">
        <v>6735</v>
      </c>
      <c r="D215" s="42" t="s">
        <v>6736</v>
      </c>
      <c r="E215" s="43" t="s">
        <v>8491</v>
      </c>
      <c r="F215" s="43" t="s">
        <v>8491</v>
      </c>
      <c r="G215" s="42" t="s">
        <v>6739</v>
      </c>
      <c r="H215" s="43" t="s">
        <v>6740</v>
      </c>
      <c r="I215" s="43" t="s">
        <v>6741</v>
      </c>
      <c r="J215" s="55"/>
      <c r="K215" s="119">
        <f>IFERROR(VLOOKUP(B215,BD_CONTROL!$A$5:$M$4235,11,0),"")</f>
        <v>0</v>
      </c>
      <c r="L215" s="120">
        <f>IFERROR(VLOOKUP(B215,BD_CONTROL!$A$5:$M$4235,12,0),"")</f>
        <v>0</v>
      </c>
      <c r="M215" s="121">
        <f>IFERROR(VLOOKUP(B215,BD_CONTROL!$A$5:$M$4235,13,0),"")</f>
        <v>0</v>
      </c>
    </row>
    <row r="216" spans="1:13" ht="15" customHeight="1">
      <c r="A216" s="39">
        <v>211</v>
      </c>
      <c r="B216" s="39" t="s">
        <v>8507</v>
      </c>
      <c r="C216" s="40" t="s">
        <v>6735</v>
      </c>
      <c r="D216" s="39" t="s">
        <v>6736</v>
      </c>
      <c r="E216" s="40" t="s">
        <v>8491</v>
      </c>
      <c r="F216" s="40" t="s">
        <v>8491</v>
      </c>
      <c r="G216" s="39" t="s">
        <v>6739</v>
      </c>
      <c r="H216" s="40" t="s">
        <v>6740</v>
      </c>
      <c r="I216" s="40" t="s">
        <v>6741</v>
      </c>
      <c r="J216" s="50"/>
      <c r="K216" s="116">
        <f>IFERROR(VLOOKUP(B216,BD_CONTROL!$A$5:$M$4235,11,0),"")</f>
        <v>0</v>
      </c>
      <c r="L216" s="117">
        <f>IFERROR(VLOOKUP(B216,BD_CONTROL!$A$5:$M$4235,12,0),"")</f>
        <v>0</v>
      </c>
      <c r="M216" s="118">
        <f>IFERROR(VLOOKUP(B216,BD_CONTROL!$A$5:$M$4235,13,0),"")</f>
        <v>0</v>
      </c>
    </row>
    <row r="217" spans="1:13" ht="15" customHeight="1">
      <c r="A217" s="42">
        <v>212</v>
      </c>
      <c r="B217" s="42" t="s">
        <v>8508</v>
      </c>
      <c r="C217" s="43" t="s">
        <v>6735</v>
      </c>
      <c r="D217" s="42" t="s">
        <v>6736</v>
      </c>
      <c r="E217" s="43" t="s">
        <v>8491</v>
      </c>
      <c r="F217" s="43" t="s">
        <v>8491</v>
      </c>
      <c r="G217" s="42" t="s">
        <v>6739</v>
      </c>
      <c r="H217" s="43" t="s">
        <v>6740</v>
      </c>
      <c r="I217" s="43" t="s">
        <v>6741</v>
      </c>
      <c r="J217" s="55"/>
      <c r="K217" s="119">
        <f>IFERROR(VLOOKUP(B217,BD_CONTROL!$A$5:$M$4235,11,0),"")</f>
        <v>0</v>
      </c>
      <c r="L217" s="120">
        <f>IFERROR(VLOOKUP(B217,BD_CONTROL!$A$5:$M$4235,12,0),"")</f>
        <v>0</v>
      </c>
      <c r="M217" s="121">
        <f>IFERROR(VLOOKUP(B217,BD_CONTROL!$A$5:$M$4235,13,0),"")</f>
        <v>0</v>
      </c>
    </row>
    <row r="218" spans="1:13" ht="15" customHeight="1">
      <c r="A218" s="39">
        <v>213</v>
      </c>
      <c r="B218" s="39" t="s">
        <v>8509</v>
      </c>
      <c r="C218" s="40" t="s">
        <v>6735</v>
      </c>
      <c r="D218" s="39" t="s">
        <v>6736</v>
      </c>
      <c r="E218" s="40" t="s">
        <v>8491</v>
      </c>
      <c r="F218" s="40" t="s">
        <v>8491</v>
      </c>
      <c r="G218" s="39" t="s">
        <v>6739</v>
      </c>
      <c r="H218" s="40" t="s">
        <v>6740</v>
      </c>
      <c r="I218" s="40" t="s">
        <v>6741</v>
      </c>
      <c r="J218" s="50"/>
      <c r="K218" s="116">
        <f>IFERROR(VLOOKUP(B218,BD_CONTROL!$A$5:$M$4235,11,0),"")</f>
        <v>0</v>
      </c>
      <c r="L218" s="117">
        <f>IFERROR(VLOOKUP(B218,BD_CONTROL!$A$5:$M$4235,12,0),"")</f>
        <v>0</v>
      </c>
      <c r="M218" s="118">
        <f>IFERROR(VLOOKUP(B218,BD_CONTROL!$A$5:$M$4235,13,0),"")</f>
        <v>0</v>
      </c>
    </row>
    <row r="219" spans="1:13" ht="15" customHeight="1">
      <c r="A219" s="42">
        <v>214</v>
      </c>
      <c r="B219" s="42" t="s">
        <v>8510</v>
      </c>
      <c r="C219" s="43" t="s">
        <v>6735</v>
      </c>
      <c r="D219" s="42" t="s">
        <v>6736</v>
      </c>
      <c r="E219" s="43" t="s">
        <v>8491</v>
      </c>
      <c r="F219" s="43" t="s">
        <v>8491</v>
      </c>
      <c r="G219" s="42" t="s">
        <v>6739</v>
      </c>
      <c r="H219" s="43" t="s">
        <v>6740</v>
      </c>
      <c r="I219" s="43" t="s">
        <v>6741</v>
      </c>
      <c r="J219" s="55"/>
      <c r="K219" s="119">
        <f>IFERROR(VLOOKUP(B219,BD_CONTROL!$A$5:$M$4235,11,0),"")</f>
        <v>0</v>
      </c>
      <c r="L219" s="120">
        <f>IFERROR(VLOOKUP(B219,BD_CONTROL!$A$5:$M$4235,12,0),"")</f>
        <v>0</v>
      </c>
      <c r="M219" s="121">
        <f>IFERROR(VLOOKUP(B219,BD_CONTROL!$A$5:$M$4235,13,0),"")</f>
        <v>0</v>
      </c>
    </row>
    <row r="220" spans="1:13" ht="15" customHeight="1">
      <c r="A220" s="39">
        <v>215</v>
      </c>
      <c r="B220" s="39" t="s">
        <v>8511</v>
      </c>
      <c r="C220" s="40" t="s">
        <v>8512</v>
      </c>
      <c r="D220" s="39" t="s">
        <v>6736</v>
      </c>
      <c r="E220" s="40" t="s">
        <v>8491</v>
      </c>
      <c r="F220" s="40" t="s">
        <v>8513</v>
      </c>
      <c r="G220" s="39" t="s">
        <v>109</v>
      </c>
      <c r="H220" s="40" t="s">
        <v>6740</v>
      </c>
      <c r="I220" s="40" t="s">
        <v>104</v>
      </c>
      <c r="J220" s="50"/>
      <c r="K220" s="116">
        <f>IFERROR(VLOOKUP(B220,BD_CONTROL!$A$5:$M$4235,11,0),"")</f>
        <v>0</v>
      </c>
      <c r="L220" s="117">
        <f>IFERROR(VLOOKUP(B220,BD_CONTROL!$A$5:$M$4235,12,0),"")</f>
        <v>0</v>
      </c>
      <c r="M220" s="118">
        <f>IFERROR(VLOOKUP(B220,BD_CONTROL!$A$5:$M$4235,13,0),"")</f>
        <v>0</v>
      </c>
    </row>
    <row r="221" spans="1:13" ht="15" customHeight="1">
      <c r="A221" s="42">
        <v>216</v>
      </c>
      <c r="B221" s="42" t="s">
        <v>8514</v>
      </c>
      <c r="C221" s="43" t="s">
        <v>6735</v>
      </c>
      <c r="D221" s="42" t="s">
        <v>6736</v>
      </c>
      <c r="E221" s="43" t="s">
        <v>8491</v>
      </c>
      <c r="F221" s="43" t="s">
        <v>686</v>
      </c>
      <c r="G221" s="42" t="s">
        <v>6739</v>
      </c>
      <c r="H221" s="43" t="s">
        <v>6740</v>
      </c>
      <c r="I221" s="43" t="s">
        <v>6741</v>
      </c>
      <c r="J221" s="55"/>
      <c r="K221" s="119">
        <f>IFERROR(VLOOKUP(B221,BD_CONTROL!$A$5:$M$4235,11,0),"")</f>
        <v>0</v>
      </c>
      <c r="L221" s="120">
        <f>IFERROR(VLOOKUP(B221,BD_CONTROL!$A$5:$M$4235,12,0),"")</f>
        <v>0</v>
      </c>
      <c r="M221" s="121">
        <f>IFERROR(VLOOKUP(B221,BD_CONTROL!$A$5:$M$4235,13,0),"")</f>
        <v>0</v>
      </c>
    </row>
    <row r="222" spans="1:13" ht="15" customHeight="1">
      <c r="A222" s="39">
        <v>217</v>
      </c>
      <c r="B222" s="39" t="s">
        <v>8515</v>
      </c>
      <c r="C222" s="40" t="s">
        <v>8516</v>
      </c>
      <c r="D222" s="39" t="s">
        <v>6736</v>
      </c>
      <c r="E222" s="40" t="s">
        <v>947</v>
      </c>
      <c r="F222" s="40" t="s">
        <v>8516</v>
      </c>
      <c r="G222" s="39" t="s">
        <v>109</v>
      </c>
      <c r="H222" s="40" t="s">
        <v>6740</v>
      </c>
      <c r="I222" s="40" t="s">
        <v>104</v>
      </c>
      <c r="J222" s="50"/>
      <c r="K222" s="116">
        <f>IFERROR(VLOOKUP(B222,BD_CONTROL!$A$5:$M$4235,11,0),"")</f>
        <v>0</v>
      </c>
      <c r="L222" s="117">
        <f>IFERROR(VLOOKUP(B222,BD_CONTROL!$A$5:$M$4235,12,0),"")</f>
        <v>0</v>
      </c>
      <c r="M222" s="118">
        <f>IFERROR(VLOOKUP(B222,BD_CONTROL!$A$5:$M$4235,13,0),"")</f>
        <v>0</v>
      </c>
    </row>
    <row r="223" spans="1:13" ht="15" customHeight="1">
      <c r="A223" s="42">
        <v>218</v>
      </c>
      <c r="B223" s="42" t="s">
        <v>8517</v>
      </c>
      <c r="C223" s="43" t="s">
        <v>8518</v>
      </c>
      <c r="D223" s="42" t="s">
        <v>6893</v>
      </c>
      <c r="E223" s="43" t="s">
        <v>947</v>
      </c>
      <c r="F223" s="43" t="s">
        <v>8519</v>
      </c>
      <c r="G223" s="42" t="s">
        <v>109</v>
      </c>
      <c r="H223" s="43" t="s">
        <v>6740</v>
      </c>
      <c r="I223" s="43" t="s">
        <v>104</v>
      </c>
      <c r="J223" s="55"/>
      <c r="K223" s="119">
        <f>IFERROR(VLOOKUP(B223,BD_CONTROL!$A$5:$M$4235,11,0),"")</f>
        <v>0</v>
      </c>
      <c r="L223" s="120">
        <f>IFERROR(VLOOKUP(B223,BD_CONTROL!$A$5:$M$4235,12,0),"")</f>
        <v>0</v>
      </c>
      <c r="M223" s="121">
        <f>IFERROR(VLOOKUP(B223,BD_CONTROL!$A$5:$M$4235,13,0),"")</f>
        <v>0</v>
      </c>
    </row>
    <row r="224" spans="1:13" ht="15" customHeight="1">
      <c r="A224" s="39">
        <v>219</v>
      </c>
      <c r="B224" s="39" t="s">
        <v>8520</v>
      </c>
      <c r="C224" s="40" t="s">
        <v>6735</v>
      </c>
      <c r="D224" s="39" t="s">
        <v>6736</v>
      </c>
      <c r="E224" s="40" t="s">
        <v>947</v>
      </c>
      <c r="F224" s="40" t="s">
        <v>352</v>
      </c>
      <c r="G224" s="39" t="s">
        <v>6739</v>
      </c>
      <c r="H224" s="40" t="s">
        <v>6740</v>
      </c>
      <c r="I224" s="40" t="s">
        <v>6741</v>
      </c>
      <c r="J224" s="50"/>
      <c r="K224" s="116">
        <f>IFERROR(VLOOKUP(B224,BD_CONTROL!$A$5:$M$4235,11,0),"")</f>
        <v>0</v>
      </c>
      <c r="L224" s="117">
        <f>IFERROR(VLOOKUP(B224,BD_CONTROL!$A$5:$M$4235,12,0),"")</f>
        <v>0</v>
      </c>
      <c r="M224" s="118">
        <f>IFERROR(VLOOKUP(B224,BD_CONTROL!$A$5:$M$4235,13,0),"")</f>
        <v>0</v>
      </c>
    </row>
    <row r="225" spans="1:13" ht="15" customHeight="1">
      <c r="A225" s="42">
        <v>220</v>
      </c>
      <c r="B225" s="42" t="s">
        <v>8521</v>
      </c>
      <c r="C225" s="43" t="s">
        <v>8522</v>
      </c>
      <c r="D225" s="42" t="s">
        <v>6736</v>
      </c>
      <c r="E225" s="43" t="s">
        <v>947</v>
      </c>
      <c r="F225" s="43" t="s">
        <v>8523</v>
      </c>
      <c r="G225" s="42" t="s">
        <v>109</v>
      </c>
      <c r="H225" s="43" t="s">
        <v>6740</v>
      </c>
      <c r="I225" s="43" t="s">
        <v>104</v>
      </c>
      <c r="J225" s="55"/>
      <c r="K225" s="119">
        <f>IFERROR(VLOOKUP(B225,BD_CONTROL!$A$5:$M$4235,11,0),"")</f>
        <v>0</v>
      </c>
      <c r="L225" s="120">
        <f>IFERROR(VLOOKUP(B225,BD_CONTROL!$A$5:$M$4235,12,0),"")</f>
        <v>0</v>
      </c>
      <c r="M225" s="121">
        <f>IFERROR(VLOOKUP(B225,BD_CONTROL!$A$5:$M$4235,13,0),"")</f>
        <v>0</v>
      </c>
    </row>
    <row r="226" spans="1:13" ht="15" customHeight="1">
      <c r="A226" s="39">
        <v>221</v>
      </c>
      <c r="B226" s="39" t="s">
        <v>8524</v>
      </c>
      <c r="C226" s="40" t="s">
        <v>6735</v>
      </c>
      <c r="D226" s="39" t="s">
        <v>6736</v>
      </c>
      <c r="E226" s="40" t="s">
        <v>947</v>
      </c>
      <c r="F226" s="40" t="s">
        <v>8525</v>
      </c>
      <c r="G226" s="39" t="s">
        <v>6739</v>
      </c>
      <c r="H226" s="40" t="s">
        <v>6740</v>
      </c>
      <c r="I226" s="40" t="s">
        <v>6741</v>
      </c>
      <c r="J226" s="50"/>
      <c r="K226" s="116">
        <f>IFERROR(VLOOKUP(B226,BD_CONTROL!$A$5:$M$4235,11,0),"")</f>
        <v>0</v>
      </c>
      <c r="L226" s="117">
        <f>IFERROR(VLOOKUP(B226,BD_CONTROL!$A$5:$M$4235,12,0),"")</f>
        <v>0</v>
      </c>
      <c r="M226" s="118">
        <f>IFERROR(VLOOKUP(B226,BD_CONTROL!$A$5:$M$4235,13,0),"")</f>
        <v>0</v>
      </c>
    </row>
    <row r="227" spans="1:13" ht="15" customHeight="1">
      <c r="A227" s="42">
        <v>222</v>
      </c>
      <c r="B227" s="42" t="s">
        <v>8526</v>
      </c>
      <c r="C227" s="43" t="s">
        <v>6735</v>
      </c>
      <c r="D227" s="42" t="s">
        <v>6736</v>
      </c>
      <c r="E227" s="43" t="s">
        <v>947</v>
      </c>
      <c r="F227" s="43" t="s">
        <v>8525</v>
      </c>
      <c r="G227" s="42" t="s">
        <v>6739</v>
      </c>
      <c r="H227" s="43" t="s">
        <v>6740</v>
      </c>
      <c r="I227" s="43" t="s">
        <v>6741</v>
      </c>
      <c r="J227" s="55"/>
      <c r="K227" s="119">
        <f>IFERROR(VLOOKUP(B227,BD_CONTROL!$A$5:$M$4235,11,0),"")</f>
        <v>0</v>
      </c>
      <c r="L227" s="120">
        <f>IFERROR(VLOOKUP(B227,BD_CONTROL!$A$5:$M$4235,12,0),"")</f>
        <v>0</v>
      </c>
      <c r="M227" s="121">
        <f>IFERROR(VLOOKUP(B227,BD_CONTROL!$A$5:$M$4235,13,0),"")</f>
        <v>0</v>
      </c>
    </row>
    <row r="228" spans="1:13" ht="15" customHeight="1">
      <c r="A228" s="39">
        <v>223</v>
      </c>
      <c r="B228" s="39" t="s">
        <v>8527</v>
      </c>
      <c r="C228" s="40" t="s">
        <v>8528</v>
      </c>
      <c r="D228" s="39" t="s">
        <v>6736</v>
      </c>
      <c r="E228" s="40" t="s">
        <v>947</v>
      </c>
      <c r="F228" s="40" t="s">
        <v>8529</v>
      </c>
      <c r="G228" s="39" t="s">
        <v>109</v>
      </c>
      <c r="H228" s="40" t="s">
        <v>6740</v>
      </c>
      <c r="I228" s="40" t="s">
        <v>104</v>
      </c>
      <c r="J228" s="50"/>
      <c r="K228" s="116">
        <f>IFERROR(VLOOKUP(B228,BD_CONTROL!$A$5:$M$4235,11,0),"")</f>
        <v>0</v>
      </c>
      <c r="L228" s="117">
        <f>IFERROR(VLOOKUP(B228,BD_CONTROL!$A$5:$M$4235,12,0),"")</f>
        <v>0</v>
      </c>
      <c r="M228" s="118">
        <f>IFERROR(VLOOKUP(B228,BD_CONTROL!$A$5:$M$4235,13,0),"")</f>
        <v>0</v>
      </c>
    </row>
    <row r="229" spans="1:13" ht="15" customHeight="1">
      <c r="A229" s="42">
        <v>224</v>
      </c>
      <c r="B229" s="42" t="s">
        <v>8530</v>
      </c>
      <c r="C229" s="43" t="s">
        <v>8531</v>
      </c>
      <c r="D229" s="42" t="s">
        <v>6736</v>
      </c>
      <c r="E229" s="43" t="s">
        <v>8532</v>
      </c>
      <c r="F229" s="43" t="s">
        <v>8531</v>
      </c>
      <c r="G229" s="42" t="s">
        <v>109</v>
      </c>
      <c r="H229" s="43" t="s">
        <v>6740</v>
      </c>
      <c r="I229" s="43" t="s">
        <v>104</v>
      </c>
      <c r="J229" s="55"/>
      <c r="K229" s="119">
        <f>IFERROR(VLOOKUP(B229,BD_CONTROL!$A$5:$M$4235,11,0),"")</f>
        <v>0</v>
      </c>
      <c r="L229" s="120">
        <f>IFERROR(VLOOKUP(B229,BD_CONTROL!$A$5:$M$4235,12,0),"")</f>
        <v>0</v>
      </c>
      <c r="M229" s="121">
        <f>IFERROR(VLOOKUP(B229,BD_CONTROL!$A$5:$M$4235,13,0),"")</f>
        <v>0</v>
      </c>
    </row>
    <row r="230" spans="1:13" ht="15" customHeight="1">
      <c r="A230" s="39">
        <v>225</v>
      </c>
      <c r="B230" s="39" t="s">
        <v>8533</v>
      </c>
      <c r="C230" s="40" t="s">
        <v>8534</v>
      </c>
      <c r="D230" s="39" t="s">
        <v>6736</v>
      </c>
      <c r="E230" s="40" t="s">
        <v>8532</v>
      </c>
      <c r="F230" s="40" t="s">
        <v>8535</v>
      </c>
      <c r="G230" s="39" t="s">
        <v>109</v>
      </c>
      <c r="H230" s="40" t="s">
        <v>6740</v>
      </c>
      <c r="I230" s="40" t="s">
        <v>104</v>
      </c>
      <c r="J230" s="50"/>
      <c r="K230" s="116">
        <f>IFERROR(VLOOKUP(B230,BD_CONTROL!$A$5:$M$4235,11,0),"")</f>
        <v>0</v>
      </c>
      <c r="L230" s="117">
        <f>IFERROR(VLOOKUP(B230,BD_CONTROL!$A$5:$M$4235,12,0),"")</f>
        <v>0</v>
      </c>
      <c r="M230" s="118">
        <f>IFERROR(VLOOKUP(B230,BD_CONTROL!$A$5:$M$4235,13,0),"")</f>
        <v>0</v>
      </c>
    </row>
    <row r="231" spans="1:13" ht="15" hidden="1" customHeight="1">
      <c r="A231" s="42">
        <v>226</v>
      </c>
      <c r="B231" s="42" t="s">
        <v>8536</v>
      </c>
      <c r="C231" s="43" t="s">
        <v>6735</v>
      </c>
      <c r="D231" s="42" t="s">
        <v>6893</v>
      </c>
      <c r="E231" s="43" t="s">
        <v>8537</v>
      </c>
      <c r="F231" s="43" t="s">
        <v>8537</v>
      </c>
      <c r="G231" s="42" t="s">
        <v>6739</v>
      </c>
      <c r="H231" s="43" t="s">
        <v>6895</v>
      </c>
      <c r="I231" s="43" t="s">
        <v>6741</v>
      </c>
      <c r="J231" s="55"/>
      <c r="K231" s="119">
        <f>IFERROR(VLOOKUP(B231,BD_CONTROL!$A$5:$M$4235,11,0),"")</f>
        <v>0</v>
      </c>
      <c r="L231" s="120">
        <f>IFERROR(VLOOKUP(B231,BD_CONTROL!$A$5:$M$4235,12,0),"")</f>
        <v>0</v>
      </c>
      <c r="M231" s="121">
        <f>IFERROR(VLOOKUP(B231,BD_CONTROL!$A$5:$M$4235,13,0),"")</f>
        <v>0</v>
      </c>
    </row>
    <row r="232" spans="1:13" ht="15" hidden="1" customHeight="1">
      <c r="A232" s="39">
        <v>227</v>
      </c>
      <c r="B232" s="39" t="s">
        <v>8538</v>
      </c>
      <c r="C232" s="40" t="s">
        <v>6735</v>
      </c>
      <c r="D232" s="39" t="s">
        <v>6893</v>
      </c>
      <c r="E232" s="40" t="s">
        <v>8537</v>
      </c>
      <c r="F232" s="40" t="s">
        <v>8537</v>
      </c>
      <c r="G232" s="39" t="s">
        <v>6739</v>
      </c>
      <c r="H232" s="40" t="s">
        <v>6895</v>
      </c>
      <c r="I232" s="40" t="s">
        <v>6741</v>
      </c>
      <c r="J232" s="50"/>
      <c r="K232" s="116" t="str">
        <f>IFERROR(VLOOKUP(B232,BD_CONTROL!$A$5:$M$4235,11,0),"")</f>
        <v>Instalado - Operando</v>
      </c>
      <c r="L232" s="117">
        <f>IFERROR(VLOOKUP(B232,BD_CONTROL!$A$5:$M$4235,12,0),"")</f>
        <v>46151</v>
      </c>
      <c r="M232" s="118">
        <f>IFERROR(VLOOKUP(B232,BD_CONTROL!$A$5:$M$4235,13,0),"")</f>
        <v>0</v>
      </c>
    </row>
    <row r="233" spans="1:13" ht="15" hidden="1" customHeight="1">
      <c r="A233" s="42">
        <v>228</v>
      </c>
      <c r="B233" s="42" t="s">
        <v>8539</v>
      </c>
      <c r="C233" s="43" t="s">
        <v>8540</v>
      </c>
      <c r="D233" s="42" t="s">
        <v>6893</v>
      </c>
      <c r="E233" s="43" t="s">
        <v>8537</v>
      </c>
      <c r="F233" s="43" t="s">
        <v>8541</v>
      </c>
      <c r="G233" s="42" t="s">
        <v>109</v>
      </c>
      <c r="H233" s="43" t="s">
        <v>6895</v>
      </c>
      <c r="I233" s="43" t="s">
        <v>104</v>
      </c>
      <c r="J233" s="55"/>
      <c r="K233" s="119">
        <f>IFERROR(VLOOKUP(B233,BD_CONTROL!$A$5:$M$4235,11,0),"")</f>
        <v>0</v>
      </c>
      <c r="L233" s="120">
        <f>IFERROR(VLOOKUP(B233,BD_CONTROL!$A$5:$M$4235,12,0),"")</f>
        <v>0</v>
      </c>
      <c r="M233" s="121">
        <f>IFERROR(VLOOKUP(B233,BD_CONTROL!$A$5:$M$4235,13,0),"")</f>
        <v>0</v>
      </c>
    </row>
    <row r="234" spans="1:13" ht="15" hidden="1" customHeight="1">
      <c r="A234" s="39">
        <v>229</v>
      </c>
      <c r="B234" s="39" t="s">
        <v>8542</v>
      </c>
      <c r="C234" s="40" t="s">
        <v>8543</v>
      </c>
      <c r="D234" s="39" t="s">
        <v>6893</v>
      </c>
      <c r="E234" s="40" t="s">
        <v>8544</v>
      </c>
      <c r="F234" s="40" t="s">
        <v>3594</v>
      </c>
      <c r="G234" s="39" t="s">
        <v>109</v>
      </c>
      <c r="H234" s="40" t="s">
        <v>6895</v>
      </c>
      <c r="I234" s="40" t="s">
        <v>104</v>
      </c>
      <c r="J234" s="50"/>
      <c r="K234" s="116">
        <f>IFERROR(VLOOKUP(B234,BD_CONTROL!$A$5:$M$4235,11,0),"")</f>
        <v>0</v>
      </c>
      <c r="L234" s="117">
        <f>IFERROR(VLOOKUP(B234,BD_CONTROL!$A$5:$M$4235,12,0),"")</f>
        <v>0</v>
      </c>
      <c r="M234" s="118">
        <f>IFERROR(VLOOKUP(B234,BD_CONTROL!$A$5:$M$4235,13,0),"")</f>
        <v>0</v>
      </c>
    </row>
    <row r="235" spans="1:13" ht="15" hidden="1" customHeight="1">
      <c r="A235" s="42">
        <v>230</v>
      </c>
      <c r="B235" s="42" t="s">
        <v>8545</v>
      </c>
      <c r="C235" s="43" t="s">
        <v>6735</v>
      </c>
      <c r="D235" s="42" t="s">
        <v>6893</v>
      </c>
      <c r="E235" s="43" t="s">
        <v>8544</v>
      </c>
      <c r="F235" s="43" t="s">
        <v>8544</v>
      </c>
      <c r="G235" s="42" t="s">
        <v>6739</v>
      </c>
      <c r="H235" s="43" t="s">
        <v>6895</v>
      </c>
      <c r="I235" s="43" t="s">
        <v>6741</v>
      </c>
      <c r="J235" s="55"/>
      <c r="K235" s="119" t="str">
        <f>IFERROR(VLOOKUP(B235,BD_CONTROL!$A$5:$M$4235,11,0),"")</f>
        <v>Instalado - Operando</v>
      </c>
      <c r="L235" s="120">
        <f>IFERROR(VLOOKUP(B235,BD_CONTROL!$A$5:$M$4235,12,0),"")</f>
        <v>46150</v>
      </c>
      <c r="M235" s="121">
        <f>IFERROR(VLOOKUP(B235,BD_CONTROL!$A$5:$M$4235,13,0),"")</f>
        <v>0</v>
      </c>
    </row>
    <row r="236" spans="1:13" ht="15" hidden="1" customHeight="1">
      <c r="A236" s="39">
        <v>231</v>
      </c>
      <c r="B236" s="39" t="s">
        <v>8546</v>
      </c>
      <c r="C236" s="40" t="s">
        <v>8547</v>
      </c>
      <c r="D236" s="39" t="s">
        <v>6893</v>
      </c>
      <c r="E236" s="40" t="s">
        <v>8548</v>
      </c>
      <c r="F236" s="40" t="s">
        <v>8548</v>
      </c>
      <c r="G236" s="39" t="s">
        <v>109</v>
      </c>
      <c r="H236" s="40" t="s">
        <v>6895</v>
      </c>
      <c r="I236" s="40" t="s">
        <v>104</v>
      </c>
      <c r="J236" s="50"/>
      <c r="K236" s="116">
        <f>IFERROR(VLOOKUP(B236,BD_CONTROL!$A$5:$M$4235,11,0),"")</f>
        <v>0</v>
      </c>
      <c r="L236" s="117">
        <f>IFERROR(VLOOKUP(B236,BD_CONTROL!$A$5:$M$4235,12,0),"")</f>
        <v>0</v>
      </c>
      <c r="M236" s="118">
        <f>IFERROR(VLOOKUP(B236,BD_CONTROL!$A$5:$M$4235,13,0),"")</f>
        <v>0</v>
      </c>
    </row>
    <row r="237" spans="1:13" ht="15" hidden="1" customHeight="1">
      <c r="A237" s="42">
        <v>232</v>
      </c>
      <c r="B237" s="42" t="s">
        <v>8549</v>
      </c>
      <c r="C237" s="43" t="s">
        <v>8550</v>
      </c>
      <c r="D237" s="42" t="s">
        <v>6893</v>
      </c>
      <c r="E237" s="43" t="s">
        <v>8551</v>
      </c>
      <c r="F237" s="43" t="s">
        <v>8551</v>
      </c>
      <c r="G237" s="42" t="s">
        <v>109</v>
      </c>
      <c r="H237" s="43" t="s">
        <v>6895</v>
      </c>
      <c r="I237" s="43" t="s">
        <v>104</v>
      </c>
      <c r="J237" s="55"/>
      <c r="K237" s="119">
        <f>IFERROR(VLOOKUP(B237,BD_CONTROL!$A$5:$M$4235,11,0),"")</f>
        <v>0</v>
      </c>
      <c r="L237" s="120">
        <f>IFERROR(VLOOKUP(B237,BD_CONTROL!$A$5:$M$4235,12,0),"")</f>
        <v>0</v>
      </c>
      <c r="M237" s="121">
        <f>IFERROR(VLOOKUP(B237,BD_CONTROL!$A$5:$M$4235,13,0),"")</f>
        <v>0</v>
      </c>
    </row>
    <row r="238" spans="1:13" ht="15" hidden="1" customHeight="1">
      <c r="A238" s="39">
        <v>233</v>
      </c>
      <c r="B238" s="39" t="s">
        <v>8552</v>
      </c>
      <c r="C238" s="40" t="s">
        <v>6735</v>
      </c>
      <c r="D238" s="39" t="s">
        <v>6893</v>
      </c>
      <c r="E238" s="40" t="s">
        <v>8553</v>
      </c>
      <c r="F238" s="40" t="s">
        <v>8553</v>
      </c>
      <c r="G238" s="39" t="s">
        <v>6739</v>
      </c>
      <c r="H238" s="40" t="s">
        <v>6895</v>
      </c>
      <c r="I238" s="40" t="s">
        <v>6741</v>
      </c>
      <c r="J238" s="50"/>
      <c r="K238" s="116">
        <f>IFERROR(VLOOKUP(B238,BD_CONTROL!$A$5:$M$4235,11,0),"")</f>
        <v>0</v>
      </c>
      <c r="L238" s="117">
        <f>IFERROR(VLOOKUP(B238,BD_CONTROL!$A$5:$M$4235,12,0),"")</f>
        <v>0</v>
      </c>
      <c r="M238" s="118">
        <f>IFERROR(VLOOKUP(B238,BD_CONTROL!$A$5:$M$4235,13,0),"")</f>
        <v>0</v>
      </c>
    </row>
    <row r="239" spans="1:13" ht="15" hidden="1" customHeight="1">
      <c r="A239" s="42">
        <v>234</v>
      </c>
      <c r="B239" s="42" t="s">
        <v>8554</v>
      </c>
      <c r="C239" s="43" t="s">
        <v>8555</v>
      </c>
      <c r="D239" s="42" t="s">
        <v>6893</v>
      </c>
      <c r="E239" s="43" t="s">
        <v>8556</v>
      </c>
      <c r="F239" s="43" t="s">
        <v>8557</v>
      </c>
      <c r="G239" s="42" t="s">
        <v>109</v>
      </c>
      <c r="H239" s="43" t="s">
        <v>6895</v>
      </c>
      <c r="I239" s="43" t="s">
        <v>104</v>
      </c>
      <c r="J239" s="55"/>
      <c r="K239" s="119">
        <f>IFERROR(VLOOKUP(B239,BD_CONTROL!$A$5:$M$4235,11,0),"")</f>
        <v>0</v>
      </c>
      <c r="L239" s="120">
        <f>IFERROR(VLOOKUP(B239,BD_CONTROL!$A$5:$M$4235,12,0),"")</f>
        <v>0</v>
      </c>
      <c r="M239" s="121">
        <f>IFERROR(VLOOKUP(B239,BD_CONTROL!$A$5:$M$4235,13,0),"")</f>
        <v>0</v>
      </c>
    </row>
    <row r="240" spans="1:13" ht="15" hidden="1" customHeight="1">
      <c r="A240" s="39">
        <v>235</v>
      </c>
      <c r="B240" s="39" t="s">
        <v>8558</v>
      </c>
      <c r="C240" s="40" t="s">
        <v>8559</v>
      </c>
      <c r="D240" s="39" t="s">
        <v>6893</v>
      </c>
      <c r="E240" s="40" t="s">
        <v>8556</v>
      </c>
      <c r="F240" s="40" t="s">
        <v>8560</v>
      </c>
      <c r="G240" s="39" t="s">
        <v>109</v>
      </c>
      <c r="H240" s="40" t="s">
        <v>6895</v>
      </c>
      <c r="I240" s="40" t="s">
        <v>104</v>
      </c>
      <c r="J240" s="50"/>
      <c r="K240" s="116">
        <f>IFERROR(VLOOKUP(B240,BD_CONTROL!$A$5:$M$4235,11,0),"")</f>
        <v>0</v>
      </c>
      <c r="L240" s="117">
        <f>IFERROR(VLOOKUP(B240,BD_CONTROL!$A$5:$M$4235,12,0),"")</f>
        <v>0</v>
      </c>
      <c r="M240" s="118">
        <f>IFERROR(VLOOKUP(B240,BD_CONTROL!$A$5:$M$4235,13,0),"")</f>
        <v>0</v>
      </c>
    </row>
    <row r="241" spans="1:13" ht="15" hidden="1" customHeight="1">
      <c r="A241" s="42">
        <v>236</v>
      </c>
      <c r="B241" s="42" t="s">
        <v>8561</v>
      </c>
      <c r="C241" s="43" t="s">
        <v>6735</v>
      </c>
      <c r="D241" s="42" t="s">
        <v>6893</v>
      </c>
      <c r="E241" s="43" t="s">
        <v>8556</v>
      </c>
      <c r="F241" s="43" t="s">
        <v>8562</v>
      </c>
      <c r="G241" s="42" t="s">
        <v>6739</v>
      </c>
      <c r="H241" s="43" t="s">
        <v>6895</v>
      </c>
      <c r="I241" s="43" t="s">
        <v>6741</v>
      </c>
      <c r="J241" s="55"/>
      <c r="K241" s="119">
        <f>IFERROR(VLOOKUP(B241,BD_CONTROL!$A$5:$M$4235,11,0),"")</f>
        <v>0</v>
      </c>
      <c r="L241" s="120">
        <f>IFERROR(VLOOKUP(B241,BD_CONTROL!$A$5:$M$4235,12,0),"")</f>
        <v>0</v>
      </c>
      <c r="M241" s="121">
        <f>IFERROR(VLOOKUP(B241,BD_CONTROL!$A$5:$M$4235,13,0),"")</f>
        <v>0</v>
      </c>
    </row>
    <row r="242" spans="1:13" ht="15" hidden="1" customHeight="1">
      <c r="A242" s="39">
        <v>237</v>
      </c>
      <c r="B242" s="39" t="s">
        <v>8563</v>
      </c>
      <c r="C242" s="40" t="s">
        <v>6735</v>
      </c>
      <c r="D242" s="39" t="s">
        <v>6893</v>
      </c>
      <c r="E242" s="40" t="s">
        <v>8556</v>
      </c>
      <c r="F242" s="40" t="s">
        <v>8562</v>
      </c>
      <c r="G242" s="39" t="s">
        <v>6739</v>
      </c>
      <c r="H242" s="40" t="s">
        <v>6895</v>
      </c>
      <c r="I242" s="40" t="s">
        <v>6741</v>
      </c>
      <c r="J242" s="50"/>
      <c r="K242" s="116" t="str">
        <f>IFERROR(VLOOKUP(B242,BD_CONTROL!$A$5:$M$4235,11,0),"")</f>
        <v>Instalado - Operando</v>
      </c>
      <c r="L242" s="117">
        <f>IFERROR(VLOOKUP(B242,BD_CONTROL!$A$5:$M$4235,12,0),"")</f>
        <v>46151</v>
      </c>
      <c r="M242" s="118">
        <f>IFERROR(VLOOKUP(B242,BD_CONTROL!$A$5:$M$4235,13,0),"")</f>
        <v>0</v>
      </c>
    </row>
    <row r="243" spans="1:13" ht="15" hidden="1" customHeight="1">
      <c r="A243" s="42">
        <v>238</v>
      </c>
      <c r="B243" s="42" t="s">
        <v>8564</v>
      </c>
      <c r="C243" s="43" t="s">
        <v>6735</v>
      </c>
      <c r="D243" s="42" t="s">
        <v>6893</v>
      </c>
      <c r="E243" s="43" t="s">
        <v>8556</v>
      </c>
      <c r="F243" s="43" t="s">
        <v>8562</v>
      </c>
      <c r="G243" s="42" t="s">
        <v>6739</v>
      </c>
      <c r="H243" s="43" t="s">
        <v>6895</v>
      </c>
      <c r="I243" s="43" t="s">
        <v>6741</v>
      </c>
      <c r="J243" s="55"/>
      <c r="K243" s="119">
        <f>IFERROR(VLOOKUP(B243,BD_CONTROL!$A$5:$M$4235,11,0),"")</f>
        <v>0</v>
      </c>
      <c r="L243" s="120">
        <f>IFERROR(VLOOKUP(B243,BD_CONTROL!$A$5:$M$4235,12,0),"")</f>
        <v>0</v>
      </c>
      <c r="M243" s="121">
        <f>IFERROR(VLOOKUP(B243,BD_CONTROL!$A$5:$M$4235,13,0),"")</f>
        <v>0</v>
      </c>
    </row>
    <row r="244" spans="1:13" ht="15" hidden="1" customHeight="1">
      <c r="A244" s="39">
        <v>239</v>
      </c>
      <c r="B244" s="39" t="s">
        <v>8565</v>
      </c>
      <c r="C244" s="40" t="s">
        <v>6735</v>
      </c>
      <c r="D244" s="39" t="s">
        <v>6893</v>
      </c>
      <c r="E244" s="40" t="s">
        <v>8556</v>
      </c>
      <c r="F244" s="40" t="s">
        <v>8562</v>
      </c>
      <c r="G244" s="39" t="s">
        <v>6739</v>
      </c>
      <c r="H244" s="40" t="s">
        <v>6895</v>
      </c>
      <c r="I244" s="40" t="s">
        <v>6741</v>
      </c>
      <c r="J244" s="50"/>
      <c r="K244" s="116" t="str">
        <f>IFERROR(VLOOKUP(B244,BD_CONTROL!$A$5:$M$4235,11,0),"")</f>
        <v>Instalado - Operando</v>
      </c>
      <c r="L244" s="117">
        <f>IFERROR(VLOOKUP(B244,BD_CONTROL!$A$5:$M$4235,12,0),"")</f>
        <v>46151</v>
      </c>
      <c r="M244" s="118">
        <f>IFERROR(VLOOKUP(B244,BD_CONTROL!$A$5:$M$4235,13,0),"")</f>
        <v>0</v>
      </c>
    </row>
    <row r="245" spans="1:13" ht="15" hidden="1" customHeight="1">
      <c r="A245" s="42">
        <v>240</v>
      </c>
      <c r="B245" s="42" t="s">
        <v>8566</v>
      </c>
      <c r="C245" s="43" t="s">
        <v>8567</v>
      </c>
      <c r="D245" s="42" t="s">
        <v>6893</v>
      </c>
      <c r="E245" s="43" t="s">
        <v>8556</v>
      </c>
      <c r="F245" s="43" t="s">
        <v>8568</v>
      </c>
      <c r="G245" s="42" t="s">
        <v>109</v>
      </c>
      <c r="H245" s="43" t="s">
        <v>6895</v>
      </c>
      <c r="I245" s="43" t="s">
        <v>104</v>
      </c>
      <c r="J245" s="55"/>
      <c r="K245" s="119">
        <f>IFERROR(VLOOKUP(B245,BD_CONTROL!$A$5:$M$4235,11,0),"")</f>
        <v>0</v>
      </c>
      <c r="L245" s="120">
        <f>IFERROR(VLOOKUP(B245,BD_CONTROL!$A$5:$M$4235,12,0),"")</f>
        <v>0</v>
      </c>
      <c r="M245" s="121">
        <f>IFERROR(VLOOKUP(B245,BD_CONTROL!$A$5:$M$4235,13,0),"")</f>
        <v>0</v>
      </c>
    </row>
    <row r="246" spans="1:13" ht="15" hidden="1" customHeight="1">
      <c r="A246" s="39">
        <v>241</v>
      </c>
      <c r="B246" s="39" t="s">
        <v>8569</v>
      </c>
      <c r="C246" s="40" t="s">
        <v>6735</v>
      </c>
      <c r="D246" s="39" t="s">
        <v>6893</v>
      </c>
      <c r="E246" s="40" t="s">
        <v>8556</v>
      </c>
      <c r="F246" s="40" t="s">
        <v>8570</v>
      </c>
      <c r="G246" s="39" t="s">
        <v>6739</v>
      </c>
      <c r="H246" s="40" t="s">
        <v>6895</v>
      </c>
      <c r="I246" s="40" t="s">
        <v>6741</v>
      </c>
      <c r="J246" s="50"/>
      <c r="K246" s="116">
        <f>IFERROR(VLOOKUP(B246,BD_CONTROL!$A$5:$M$4235,11,0),"")</f>
        <v>0</v>
      </c>
      <c r="L246" s="117">
        <f>IFERROR(VLOOKUP(B246,BD_CONTROL!$A$5:$M$4235,12,0),"")</f>
        <v>0</v>
      </c>
      <c r="M246" s="118">
        <f>IFERROR(VLOOKUP(B246,BD_CONTROL!$A$5:$M$4235,13,0),"")</f>
        <v>0</v>
      </c>
    </row>
    <row r="247" spans="1:13" ht="15" hidden="1" customHeight="1">
      <c r="A247" s="42">
        <v>242</v>
      </c>
      <c r="B247" s="42" t="s">
        <v>8571</v>
      </c>
      <c r="C247" s="43" t="s">
        <v>8572</v>
      </c>
      <c r="D247" s="42" t="s">
        <v>6893</v>
      </c>
      <c r="E247" s="43" t="s">
        <v>8556</v>
      </c>
      <c r="F247" s="43" t="s">
        <v>8573</v>
      </c>
      <c r="G247" s="42" t="s">
        <v>109</v>
      </c>
      <c r="H247" s="43" t="s">
        <v>6895</v>
      </c>
      <c r="I247" s="43" t="s">
        <v>104</v>
      </c>
      <c r="J247" s="55"/>
      <c r="K247" s="119">
        <f>IFERROR(VLOOKUP(B247,BD_CONTROL!$A$5:$M$4235,11,0),"")</f>
        <v>0</v>
      </c>
      <c r="L247" s="120">
        <f>IFERROR(VLOOKUP(B247,BD_CONTROL!$A$5:$M$4235,12,0),"")</f>
        <v>0</v>
      </c>
      <c r="M247" s="121">
        <f>IFERROR(VLOOKUP(B247,BD_CONTROL!$A$5:$M$4235,13,0),"")</f>
        <v>0</v>
      </c>
    </row>
    <row r="248" spans="1:13" ht="15" hidden="1" customHeight="1">
      <c r="A248" s="39">
        <v>243</v>
      </c>
      <c r="B248" s="39" t="s">
        <v>8574</v>
      </c>
      <c r="C248" s="40" t="s">
        <v>8575</v>
      </c>
      <c r="D248" s="39" t="s">
        <v>6893</v>
      </c>
      <c r="E248" s="40" t="s">
        <v>8556</v>
      </c>
      <c r="F248" s="40" t="s">
        <v>8576</v>
      </c>
      <c r="G248" s="39" t="s">
        <v>109</v>
      </c>
      <c r="H248" s="40" t="s">
        <v>6895</v>
      </c>
      <c r="I248" s="40" t="s">
        <v>104</v>
      </c>
      <c r="J248" s="50"/>
      <c r="K248" s="116">
        <f>IFERROR(VLOOKUP(B248,BD_CONTROL!$A$5:$M$4235,11,0),"")</f>
        <v>0</v>
      </c>
      <c r="L248" s="117">
        <f>IFERROR(VLOOKUP(B248,BD_CONTROL!$A$5:$M$4235,12,0),"")</f>
        <v>0</v>
      </c>
      <c r="M248" s="118">
        <f>IFERROR(VLOOKUP(B248,BD_CONTROL!$A$5:$M$4235,13,0),"")</f>
        <v>0</v>
      </c>
    </row>
    <row r="249" spans="1:13" ht="15" hidden="1" customHeight="1">
      <c r="A249" s="42">
        <v>244</v>
      </c>
      <c r="B249" s="42" t="s">
        <v>8577</v>
      </c>
      <c r="C249" s="43" t="s">
        <v>1155</v>
      </c>
      <c r="D249" s="42" t="s">
        <v>6893</v>
      </c>
      <c r="E249" s="43" t="s">
        <v>8578</v>
      </c>
      <c r="F249" s="43" t="s">
        <v>8578</v>
      </c>
      <c r="G249" s="42" t="s">
        <v>109</v>
      </c>
      <c r="H249" s="43" t="s">
        <v>6895</v>
      </c>
      <c r="I249" s="43" t="s">
        <v>104</v>
      </c>
      <c r="J249" s="55"/>
      <c r="K249" s="119">
        <f>IFERROR(VLOOKUP(B249,BD_CONTROL!$A$5:$M$4235,11,0),"")</f>
        <v>0</v>
      </c>
      <c r="L249" s="120">
        <f>IFERROR(VLOOKUP(B249,BD_CONTROL!$A$5:$M$4235,12,0),"")</f>
        <v>0</v>
      </c>
      <c r="M249" s="121">
        <f>IFERROR(VLOOKUP(B249,BD_CONTROL!$A$5:$M$4235,13,0),"")</f>
        <v>0</v>
      </c>
    </row>
    <row r="250" spans="1:13" ht="15" hidden="1" customHeight="1">
      <c r="A250" s="39">
        <v>245</v>
      </c>
      <c r="B250" s="39" t="s">
        <v>8579</v>
      </c>
      <c r="C250" s="40" t="s">
        <v>6735</v>
      </c>
      <c r="D250" s="39" t="s">
        <v>6893</v>
      </c>
      <c r="E250" s="40" t="s">
        <v>8578</v>
      </c>
      <c r="F250" s="40" t="s">
        <v>8578</v>
      </c>
      <c r="G250" s="39" t="s">
        <v>6739</v>
      </c>
      <c r="H250" s="40" t="s">
        <v>6895</v>
      </c>
      <c r="I250" s="40" t="s">
        <v>6741</v>
      </c>
      <c r="J250" s="50"/>
      <c r="K250" s="116">
        <f>IFERROR(VLOOKUP(B250,BD_CONTROL!$A$5:$M$4235,11,0),"")</f>
        <v>0</v>
      </c>
      <c r="L250" s="117">
        <f>IFERROR(VLOOKUP(B250,BD_CONTROL!$A$5:$M$4235,12,0),"")</f>
        <v>0</v>
      </c>
      <c r="M250" s="118">
        <f>IFERROR(VLOOKUP(B250,BD_CONTROL!$A$5:$M$4235,13,0),"")</f>
        <v>0</v>
      </c>
    </row>
    <row r="251" spans="1:13" ht="15" hidden="1" customHeight="1">
      <c r="A251" s="42">
        <v>246</v>
      </c>
      <c r="B251" s="42" t="s">
        <v>8580</v>
      </c>
      <c r="C251" s="43" t="s">
        <v>8581</v>
      </c>
      <c r="D251" s="42" t="s">
        <v>6893</v>
      </c>
      <c r="E251" s="43" t="s">
        <v>8582</v>
      </c>
      <c r="F251" s="43" t="s">
        <v>8583</v>
      </c>
      <c r="G251" s="42" t="s">
        <v>102</v>
      </c>
      <c r="H251" s="43" t="s">
        <v>6895</v>
      </c>
      <c r="I251" s="43" t="s">
        <v>104</v>
      </c>
      <c r="J251" s="55"/>
      <c r="K251" s="119">
        <f>IFERROR(VLOOKUP(B251,BD_CONTROL!$A$5:$M$4235,11,0),"")</f>
        <v>0</v>
      </c>
      <c r="L251" s="120">
        <f>IFERROR(VLOOKUP(B251,BD_CONTROL!$A$5:$M$4235,12,0),"")</f>
        <v>0</v>
      </c>
      <c r="M251" s="121">
        <f>IFERROR(VLOOKUP(B251,BD_CONTROL!$A$5:$M$4235,13,0),"")</f>
        <v>0</v>
      </c>
    </row>
    <row r="252" spans="1:13" ht="15" hidden="1" customHeight="1">
      <c r="A252" s="39">
        <v>247</v>
      </c>
      <c r="B252" s="39" t="s">
        <v>8584</v>
      </c>
      <c r="C252" s="40" t="s">
        <v>8585</v>
      </c>
      <c r="D252" s="39" t="s">
        <v>6893</v>
      </c>
      <c r="E252" s="40" t="s">
        <v>8586</v>
      </c>
      <c r="F252" s="40" t="s">
        <v>8586</v>
      </c>
      <c r="G252" s="39" t="s">
        <v>109</v>
      </c>
      <c r="H252" s="40" t="s">
        <v>6895</v>
      </c>
      <c r="I252" s="40" t="s">
        <v>104</v>
      </c>
      <c r="J252" s="50"/>
      <c r="K252" s="116">
        <f>IFERROR(VLOOKUP(B252,BD_CONTROL!$A$5:$M$4235,11,0),"")</f>
        <v>0</v>
      </c>
      <c r="L252" s="117">
        <f>IFERROR(VLOOKUP(B252,BD_CONTROL!$A$5:$M$4235,12,0),"")</f>
        <v>0</v>
      </c>
      <c r="M252" s="118">
        <f>IFERROR(VLOOKUP(B252,BD_CONTROL!$A$5:$M$4235,13,0),"")</f>
        <v>0</v>
      </c>
    </row>
    <row r="253" spans="1:13" ht="15" hidden="1" customHeight="1">
      <c r="A253" s="42">
        <v>248</v>
      </c>
      <c r="B253" s="42" t="s">
        <v>8587</v>
      </c>
      <c r="C253" s="43" t="s">
        <v>6735</v>
      </c>
      <c r="D253" s="42" t="s">
        <v>6893</v>
      </c>
      <c r="E253" s="43" t="s">
        <v>8586</v>
      </c>
      <c r="F253" s="43" t="s">
        <v>8588</v>
      </c>
      <c r="G253" s="42" t="s">
        <v>6739</v>
      </c>
      <c r="H253" s="43" t="s">
        <v>6895</v>
      </c>
      <c r="I253" s="43" t="s">
        <v>6741</v>
      </c>
      <c r="J253" s="55"/>
      <c r="K253" s="119">
        <f>IFERROR(VLOOKUP(B253,BD_CONTROL!$A$5:$M$4235,11,0),"")</f>
        <v>0</v>
      </c>
      <c r="L253" s="120">
        <f>IFERROR(VLOOKUP(B253,BD_CONTROL!$A$5:$M$4235,12,0),"")</f>
        <v>0</v>
      </c>
      <c r="M253" s="121">
        <f>IFERROR(VLOOKUP(B253,BD_CONTROL!$A$5:$M$4235,13,0),"")</f>
        <v>0</v>
      </c>
    </row>
    <row r="254" spans="1:13" ht="15" hidden="1" customHeight="1">
      <c r="A254" s="39">
        <v>249</v>
      </c>
      <c r="B254" s="39" t="s">
        <v>8589</v>
      </c>
      <c r="C254" s="40" t="s">
        <v>6735</v>
      </c>
      <c r="D254" s="39" t="s">
        <v>6893</v>
      </c>
      <c r="E254" s="40" t="s">
        <v>8586</v>
      </c>
      <c r="F254" s="40" t="s">
        <v>8532</v>
      </c>
      <c r="G254" s="39" t="s">
        <v>6739</v>
      </c>
      <c r="H254" s="40" t="s">
        <v>6895</v>
      </c>
      <c r="I254" s="40" t="s">
        <v>6741</v>
      </c>
      <c r="J254" s="50"/>
      <c r="K254" s="116">
        <f>IFERROR(VLOOKUP(B254,BD_CONTROL!$A$5:$M$4235,11,0),"")</f>
        <v>0</v>
      </c>
      <c r="L254" s="117">
        <f>IFERROR(VLOOKUP(B254,BD_CONTROL!$A$5:$M$4235,12,0),"")</f>
        <v>0</v>
      </c>
      <c r="M254" s="118">
        <f>IFERROR(VLOOKUP(B254,BD_CONTROL!$A$5:$M$4235,13,0),"")</f>
        <v>0</v>
      </c>
    </row>
    <row r="255" spans="1:13" ht="15" hidden="1" customHeight="1">
      <c r="A255" s="42">
        <v>250</v>
      </c>
      <c r="B255" s="42" t="s">
        <v>8590</v>
      </c>
      <c r="C255" s="43" t="s">
        <v>8591</v>
      </c>
      <c r="D255" s="42" t="s">
        <v>6893</v>
      </c>
      <c r="E255" s="43" t="s">
        <v>8592</v>
      </c>
      <c r="F255" s="43" t="s">
        <v>8593</v>
      </c>
      <c r="G255" s="42" t="s">
        <v>109</v>
      </c>
      <c r="H255" s="43" t="s">
        <v>6895</v>
      </c>
      <c r="I255" s="43" t="s">
        <v>104</v>
      </c>
      <c r="J255" s="55"/>
      <c r="K255" s="119" t="str">
        <f>IFERROR(VLOOKUP(B255,BD_CONTROL!$A$5:$M$4235,11,0),"")</f>
        <v>Instalado - Sin Señal</v>
      </c>
      <c r="L255" s="120">
        <f>IFERROR(VLOOKUP(B255,BD_CONTROL!$A$5:$M$4235,12,0),"")</f>
        <v>46150</v>
      </c>
      <c r="M255" s="121">
        <f>IFERROR(VLOOKUP(B255,BD_CONTROL!$A$5:$M$4235,13,0),"")</f>
        <v>0</v>
      </c>
    </row>
    <row r="256" spans="1:13" ht="15" hidden="1" customHeight="1">
      <c r="A256" s="39">
        <v>251</v>
      </c>
      <c r="B256" s="39" t="s">
        <v>8594</v>
      </c>
      <c r="C256" s="40" t="s">
        <v>8595</v>
      </c>
      <c r="D256" s="39" t="s">
        <v>6893</v>
      </c>
      <c r="E256" s="40" t="s">
        <v>8592</v>
      </c>
      <c r="F256" s="40" t="s">
        <v>8596</v>
      </c>
      <c r="G256" s="39" t="s">
        <v>109</v>
      </c>
      <c r="H256" s="40" t="s">
        <v>6895</v>
      </c>
      <c r="I256" s="40" t="s">
        <v>104</v>
      </c>
      <c r="J256" s="50"/>
      <c r="K256" s="116" t="str">
        <f>IFERROR(VLOOKUP(B256,BD_CONTROL!$A$5:$M$4235,11,0),"")</f>
        <v>Instalado - Operando</v>
      </c>
      <c r="L256" s="117">
        <f>IFERROR(VLOOKUP(B256,BD_CONTROL!$A$5:$M$4235,12,0),"")</f>
        <v>46150</v>
      </c>
      <c r="M256" s="118">
        <f>IFERROR(VLOOKUP(B256,BD_CONTROL!$A$5:$M$4235,13,0),"")</f>
        <v>0</v>
      </c>
    </row>
    <row r="257" spans="1:13" ht="15" hidden="1" customHeight="1">
      <c r="A257" s="42">
        <v>252</v>
      </c>
      <c r="B257" s="42" t="s">
        <v>8597</v>
      </c>
      <c r="C257" s="43" t="s">
        <v>6735</v>
      </c>
      <c r="D257" s="42" t="s">
        <v>6893</v>
      </c>
      <c r="E257" s="43" t="s">
        <v>8598</v>
      </c>
      <c r="F257" s="43" t="s">
        <v>8599</v>
      </c>
      <c r="G257" s="42" t="s">
        <v>6739</v>
      </c>
      <c r="H257" s="43" t="s">
        <v>6895</v>
      </c>
      <c r="I257" s="43" t="s">
        <v>6741</v>
      </c>
      <c r="J257" s="55"/>
      <c r="K257" s="119">
        <f>IFERROR(VLOOKUP(B257,BD_CONTROL!$A$5:$M$4235,11,0),"")</f>
        <v>0</v>
      </c>
      <c r="L257" s="120">
        <f>IFERROR(VLOOKUP(B257,BD_CONTROL!$A$5:$M$4235,12,0),"")</f>
        <v>0</v>
      </c>
      <c r="M257" s="121">
        <f>IFERROR(VLOOKUP(B257,BD_CONTROL!$A$5:$M$4235,13,0),"")</f>
        <v>0</v>
      </c>
    </row>
    <row r="258" spans="1:13" ht="15" hidden="1" customHeight="1">
      <c r="A258" s="39">
        <v>253</v>
      </c>
      <c r="B258" s="39" t="s">
        <v>8600</v>
      </c>
      <c r="C258" s="40" t="s">
        <v>6735</v>
      </c>
      <c r="D258" s="39" t="s">
        <v>6893</v>
      </c>
      <c r="E258" s="40" t="s">
        <v>8598</v>
      </c>
      <c r="F258" s="40" t="s">
        <v>8599</v>
      </c>
      <c r="G258" s="39" t="s">
        <v>6739</v>
      </c>
      <c r="H258" s="40" t="s">
        <v>6895</v>
      </c>
      <c r="I258" s="40" t="s">
        <v>6741</v>
      </c>
      <c r="J258" s="50"/>
      <c r="K258" s="116">
        <f>IFERROR(VLOOKUP(B258,BD_CONTROL!$A$5:$M$4235,11,0),"")</f>
        <v>0</v>
      </c>
      <c r="L258" s="117">
        <f>IFERROR(VLOOKUP(B258,BD_CONTROL!$A$5:$M$4235,12,0),"")</f>
        <v>0</v>
      </c>
      <c r="M258" s="118">
        <f>IFERROR(VLOOKUP(B258,BD_CONTROL!$A$5:$M$4235,13,0),"")</f>
        <v>0</v>
      </c>
    </row>
    <row r="259" spans="1:13" ht="15" hidden="1" customHeight="1">
      <c r="A259" s="42">
        <v>254</v>
      </c>
      <c r="B259" s="42" t="s">
        <v>8601</v>
      </c>
      <c r="C259" s="43" t="s">
        <v>6735</v>
      </c>
      <c r="D259" s="42" t="s">
        <v>6893</v>
      </c>
      <c r="E259" s="43" t="s">
        <v>8598</v>
      </c>
      <c r="F259" s="43" t="s">
        <v>8599</v>
      </c>
      <c r="G259" s="42" t="s">
        <v>6739</v>
      </c>
      <c r="H259" s="43" t="s">
        <v>6895</v>
      </c>
      <c r="I259" s="43" t="s">
        <v>6741</v>
      </c>
      <c r="J259" s="55"/>
      <c r="K259" s="119" t="str">
        <f>IFERROR(VLOOKUP(B259,BD_CONTROL!$A$5:$M$4235,11,0),"")</f>
        <v>Instalado - Operando</v>
      </c>
      <c r="L259" s="120">
        <f>IFERROR(VLOOKUP(B259,BD_CONTROL!$A$5:$M$4235,12,0),"")</f>
        <v>46150</v>
      </c>
      <c r="M259" s="121">
        <f>IFERROR(VLOOKUP(B259,BD_CONTROL!$A$5:$M$4235,13,0),"")</f>
        <v>0</v>
      </c>
    </row>
    <row r="260" spans="1:13" ht="15" hidden="1" customHeight="1">
      <c r="A260" s="39">
        <v>255</v>
      </c>
      <c r="B260" s="39" t="s">
        <v>8602</v>
      </c>
      <c r="C260" s="40" t="s">
        <v>6735</v>
      </c>
      <c r="D260" s="39" t="s">
        <v>6893</v>
      </c>
      <c r="E260" s="40" t="s">
        <v>8598</v>
      </c>
      <c r="F260" s="40" t="s">
        <v>8599</v>
      </c>
      <c r="G260" s="39" t="s">
        <v>6739</v>
      </c>
      <c r="H260" s="40" t="s">
        <v>6895</v>
      </c>
      <c r="I260" s="40" t="s">
        <v>6741</v>
      </c>
      <c r="J260" s="50"/>
      <c r="K260" s="116">
        <f>IFERROR(VLOOKUP(B260,BD_CONTROL!$A$5:$M$4235,11,0),"")</f>
        <v>0</v>
      </c>
      <c r="L260" s="117">
        <f>IFERROR(VLOOKUP(B260,BD_CONTROL!$A$5:$M$4235,12,0),"")</f>
        <v>0</v>
      </c>
      <c r="M260" s="118">
        <f>IFERROR(VLOOKUP(B260,BD_CONTROL!$A$5:$M$4235,13,0),"")</f>
        <v>0</v>
      </c>
    </row>
    <row r="261" spans="1:13" ht="15" hidden="1" customHeight="1">
      <c r="A261" s="42">
        <v>256</v>
      </c>
      <c r="B261" s="42" t="s">
        <v>8603</v>
      </c>
      <c r="C261" s="43" t="s">
        <v>6735</v>
      </c>
      <c r="D261" s="42" t="s">
        <v>6893</v>
      </c>
      <c r="E261" s="43" t="s">
        <v>8598</v>
      </c>
      <c r="F261" s="43" t="s">
        <v>8599</v>
      </c>
      <c r="G261" s="42" t="s">
        <v>6739</v>
      </c>
      <c r="H261" s="43" t="s">
        <v>6895</v>
      </c>
      <c r="I261" s="43" t="s">
        <v>6741</v>
      </c>
      <c r="J261" s="55"/>
      <c r="K261" s="119">
        <f>IFERROR(VLOOKUP(B261,BD_CONTROL!$A$5:$M$4235,11,0),"")</f>
        <v>0</v>
      </c>
      <c r="L261" s="120">
        <f>IFERROR(VLOOKUP(B261,BD_CONTROL!$A$5:$M$4235,12,0),"")</f>
        <v>0</v>
      </c>
      <c r="M261" s="121">
        <f>IFERROR(VLOOKUP(B261,BD_CONTROL!$A$5:$M$4235,13,0),"")</f>
        <v>0</v>
      </c>
    </row>
    <row r="262" spans="1:13" ht="15" hidden="1" customHeight="1">
      <c r="A262" s="39">
        <v>257</v>
      </c>
      <c r="B262" s="39" t="s">
        <v>8604</v>
      </c>
      <c r="C262" s="40" t="s">
        <v>6735</v>
      </c>
      <c r="D262" s="39" t="s">
        <v>6893</v>
      </c>
      <c r="E262" s="40" t="s">
        <v>8598</v>
      </c>
      <c r="F262" s="40" t="s">
        <v>8599</v>
      </c>
      <c r="G262" s="39" t="s">
        <v>6739</v>
      </c>
      <c r="H262" s="40" t="s">
        <v>6895</v>
      </c>
      <c r="I262" s="40" t="s">
        <v>6741</v>
      </c>
      <c r="J262" s="50"/>
      <c r="K262" s="116">
        <f>IFERROR(VLOOKUP(B262,BD_CONTROL!$A$5:$M$4235,11,0),"")</f>
        <v>0</v>
      </c>
      <c r="L262" s="117">
        <f>IFERROR(VLOOKUP(B262,BD_CONTROL!$A$5:$M$4235,12,0),"")</f>
        <v>0</v>
      </c>
      <c r="M262" s="118">
        <f>IFERROR(VLOOKUP(B262,BD_CONTROL!$A$5:$M$4235,13,0),"")</f>
        <v>0</v>
      </c>
    </row>
    <row r="263" spans="1:13" ht="15" hidden="1" customHeight="1">
      <c r="A263" s="42">
        <v>258</v>
      </c>
      <c r="B263" s="42" t="s">
        <v>8605</v>
      </c>
      <c r="C263" s="43" t="s">
        <v>2344</v>
      </c>
      <c r="D263" s="42" t="s">
        <v>6893</v>
      </c>
      <c r="E263" s="43" t="s">
        <v>8606</v>
      </c>
      <c r="F263" s="43" t="s">
        <v>8606</v>
      </c>
      <c r="G263" s="42" t="s">
        <v>109</v>
      </c>
      <c r="H263" s="43" t="s">
        <v>6895</v>
      </c>
      <c r="I263" s="43" t="s">
        <v>104</v>
      </c>
      <c r="J263" s="55"/>
      <c r="K263" s="119">
        <f>IFERROR(VLOOKUP(B263,BD_CONTROL!$A$5:$M$4235,11,0),"")</f>
        <v>0</v>
      </c>
      <c r="L263" s="120">
        <f>IFERROR(VLOOKUP(B263,BD_CONTROL!$A$5:$M$4235,12,0),"")</f>
        <v>0</v>
      </c>
      <c r="M263" s="121">
        <f>IFERROR(VLOOKUP(B263,BD_CONTROL!$A$5:$M$4235,13,0),"")</f>
        <v>0</v>
      </c>
    </row>
    <row r="264" spans="1:13" ht="15" hidden="1" customHeight="1">
      <c r="A264" s="39">
        <v>259</v>
      </c>
      <c r="B264" s="39" t="s">
        <v>8607</v>
      </c>
      <c r="C264" s="40" t="s">
        <v>8608</v>
      </c>
      <c r="D264" s="39" t="s">
        <v>6893</v>
      </c>
      <c r="E264" s="40" t="s">
        <v>8609</v>
      </c>
      <c r="F264" s="40" t="s">
        <v>8610</v>
      </c>
      <c r="G264" s="39" t="s">
        <v>109</v>
      </c>
      <c r="H264" s="40" t="s">
        <v>6895</v>
      </c>
      <c r="I264" s="40" t="s">
        <v>104</v>
      </c>
      <c r="J264" s="50"/>
      <c r="K264" s="116">
        <f>IFERROR(VLOOKUP(B264,BD_CONTROL!$A$5:$M$4235,11,0),"")</f>
        <v>0</v>
      </c>
      <c r="L264" s="117">
        <f>IFERROR(VLOOKUP(B264,BD_CONTROL!$A$5:$M$4235,12,0),"")</f>
        <v>0</v>
      </c>
      <c r="M264" s="118">
        <f>IFERROR(VLOOKUP(B264,BD_CONTROL!$A$5:$M$4235,13,0),"")</f>
        <v>0</v>
      </c>
    </row>
    <row r="265" spans="1:13" ht="15" hidden="1" customHeight="1">
      <c r="A265" s="42">
        <v>260</v>
      </c>
      <c r="B265" s="42" t="s">
        <v>8611</v>
      </c>
      <c r="C265" s="43" t="s">
        <v>6735</v>
      </c>
      <c r="D265" s="42" t="s">
        <v>6893</v>
      </c>
      <c r="E265" s="43" t="s">
        <v>8609</v>
      </c>
      <c r="F265" s="43" t="s">
        <v>8609</v>
      </c>
      <c r="G265" s="42" t="s">
        <v>6739</v>
      </c>
      <c r="H265" s="43" t="s">
        <v>6895</v>
      </c>
      <c r="I265" s="43" t="s">
        <v>6741</v>
      </c>
      <c r="J265" s="55"/>
      <c r="K265" s="119" t="str">
        <f>IFERROR(VLOOKUP(B265,BD_CONTROL!$A$5:$M$4235,11,0),"")</f>
        <v>Instalado - Operando</v>
      </c>
      <c r="L265" s="120">
        <f>IFERROR(VLOOKUP(B265,BD_CONTROL!$A$5:$M$4235,12,0),"")</f>
        <v>46150</v>
      </c>
      <c r="M265" s="121">
        <f>IFERROR(VLOOKUP(B265,BD_CONTROL!$A$5:$M$4235,13,0),"")</f>
        <v>0</v>
      </c>
    </row>
    <row r="266" spans="1:13" ht="15" hidden="1" customHeight="1">
      <c r="A266" s="39">
        <v>261</v>
      </c>
      <c r="B266" s="39" t="s">
        <v>8612</v>
      </c>
      <c r="C266" s="40" t="s">
        <v>6735</v>
      </c>
      <c r="D266" s="39" t="s">
        <v>6893</v>
      </c>
      <c r="E266" s="40" t="s">
        <v>8613</v>
      </c>
      <c r="F266" s="40" t="s">
        <v>8613</v>
      </c>
      <c r="G266" s="39" t="s">
        <v>6739</v>
      </c>
      <c r="H266" s="40" t="s">
        <v>6895</v>
      </c>
      <c r="I266" s="40" t="s">
        <v>6741</v>
      </c>
      <c r="J266" s="50"/>
      <c r="K266" s="116">
        <f>IFERROR(VLOOKUP(B266,BD_CONTROL!$A$5:$M$4235,11,0),"")</f>
        <v>0</v>
      </c>
      <c r="L266" s="117">
        <f>IFERROR(VLOOKUP(B266,BD_CONTROL!$A$5:$M$4235,12,0),"")</f>
        <v>0</v>
      </c>
      <c r="M266" s="118">
        <f>IFERROR(VLOOKUP(B266,BD_CONTROL!$A$5:$M$4235,13,0),"")</f>
        <v>0</v>
      </c>
    </row>
    <row r="267" spans="1:13" ht="15" hidden="1" customHeight="1">
      <c r="A267" s="42">
        <v>262</v>
      </c>
      <c r="B267" s="42" t="s">
        <v>8614</v>
      </c>
      <c r="C267" s="43" t="s">
        <v>3186</v>
      </c>
      <c r="D267" s="42" t="s">
        <v>6893</v>
      </c>
      <c r="E267" s="43" t="s">
        <v>3186</v>
      </c>
      <c r="F267" s="43" t="s">
        <v>3186</v>
      </c>
      <c r="G267" s="42" t="s">
        <v>109</v>
      </c>
      <c r="H267" s="43" t="s">
        <v>6895</v>
      </c>
      <c r="I267" s="43" t="s">
        <v>104</v>
      </c>
      <c r="J267" s="55"/>
      <c r="K267" s="119">
        <f>IFERROR(VLOOKUP(B267,BD_CONTROL!$A$5:$M$4235,11,0),"")</f>
        <v>0</v>
      </c>
      <c r="L267" s="120">
        <f>IFERROR(VLOOKUP(B267,BD_CONTROL!$A$5:$M$4235,12,0),"")</f>
        <v>0</v>
      </c>
      <c r="M267" s="121">
        <f>IFERROR(VLOOKUP(B267,BD_CONTROL!$A$5:$M$4235,13,0),"")</f>
        <v>0</v>
      </c>
    </row>
    <row r="268" spans="1:13" ht="15" hidden="1" customHeight="1">
      <c r="A268" s="39">
        <v>263</v>
      </c>
      <c r="B268" s="39" t="s">
        <v>8615</v>
      </c>
      <c r="C268" s="40" t="s">
        <v>8616</v>
      </c>
      <c r="D268" s="39" t="s">
        <v>6893</v>
      </c>
      <c r="E268" s="40" t="s">
        <v>3186</v>
      </c>
      <c r="F268" s="40" t="s">
        <v>3186</v>
      </c>
      <c r="G268" s="39" t="s">
        <v>109</v>
      </c>
      <c r="H268" s="40" t="s">
        <v>6895</v>
      </c>
      <c r="I268" s="40" t="s">
        <v>104</v>
      </c>
      <c r="J268" s="50"/>
      <c r="K268" s="116">
        <f>IFERROR(VLOOKUP(B268,BD_CONTROL!$A$5:$M$4235,11,0),"")</f>
        <v>0</v>
      </c>
      <c r="L268" s="117">
        <f>IFERROR(VLOOKUP(B268,BD_CONTROL!$A$5:$M$4235,12,0),"")</f>
        <v>0</v>
      </c>
      <c r="M268" s="118">
        <f>IFERROR(VLOOKUP(B268,BD_CONTROL!$A$5:$M$4235,13,0),"")</f>
        <v>0</v>
      </c>
    </row>
    <row r="269" spans="1:13" ht="15" hidden="1" customHeight="1">
      <c r="A269" s="42">
        <v>264</v>
      </c>
      <c r="B269" s="42" t="s">
        <v>8617</v>
      </c>
      <c r="C269" s="43" t="s">
        <v>2162</v>
      </c>
      <c r="D269" s="42" t="s">
        <v>6893</v>
      </c>
      <c r="E269" s="43" t="s">
        <v>8618</v>
      </c>
      <c r="F269" s="43" t="s">
        <v>8618</v>
      </c>
      <c r="G269" s="42" t="s">
        <v>109</v>
      </c>
      <c r="H269" s="43" t="s">
        <v>6895</v>
      </c>
      <c r="I269" s="43" t="s">
        <v>104</v>
      </c>
      <c r="J269" s="55"/>
      <c r="K269" s="119">
        <f>IFERROR(VLOOKUP(B269,BD_CONTROL!$A$5:$M$4235,11,0),"")</f>
        <v>0</v>
      </c>
      <c r="L269" s="120">
        <f>IFERROR(VLOOKUP(B269,BD_CONTROL!$A$5:$M$4235,12,0),"")</f>
        <v>0</v>
      </c>
      <c r="M269" s="121">
        <f>IFERROR(VLOOKUP(B269,BD_CONTROL!$A$5:$M$4235,13,0),"")</f>
        <v>0</v>
      </c>
    </row>
    <row r="270" spans="1:13" ht="15" hidden="1" customHeight="1">
      <c r="A270" s="39">
        <v>265</v>
      </c>
      <c r="B270" s="39" t="s">
        <v>8619</v>
      </c>
      <c r="C270" s="40" t="s">
        <v>8620</v>
      </c>
      <c r="D270" s="39" t="s">
        <v>6893</v>
      </c>
      <c r="E270" s="40" t="s">
        <v>8618</v>
      </c>
      <c r="F270" s="40" t="s">
        <v>8621</v>
      </c>
      <c r="G270" s="39" t="s">
        <v>109</v>
      </c>
      <c r="H270" s="40" t="s">
        <v>6895</v>
      </c>
      <c r="I270" s="40" t="s">
        <v>104</v>
      </c>
      <c r="J270" s="50"/>
      <c r="K270" s="116">
        <f>IFERROR(VLOOKUP(B270,BD_CONTROL!$A$5:$M$4235,11,0),"")</f>
        <v>0</v>
      </c>
      <c r="L270" s="117">
        <f>IFERROR(VLOOKUP(B270,BD_CONTROL!$A$5:$M$4235,12,0),"")</f>
        <v>0</v>
      </c>
      <c r="M270" s="118">
        <f>IFERROR(VLOOKUP(B270,BD_CONTROL!$A$5:$M$4235,13,0),"")</f>
        <v>0</v>
      </c>
    </row>
    <row r="271" spans="1:13" ht="15" hidden="1" customHeight="1">
      <c r="A271" s="42">
        <v>266</v>
      </c>
      <c r="B271" s="42" t="s">
        <v>8622</v>
      </c>
      <c r="C271" s="43" t="s">
        <v>2959</v>
      </c>
      <c r="D271" s="42" t="s">
        <v>6893</v>
      </c>
      <c r="E271" s="43" t="s">
        <v>8618</v>
      </c>
      <c r="F271" s="43" t="s">
        <v>8621</v>
      </c>
      <c r="G271" s="42" t="s">
        <v>109</v>
      </c>
      <c r="H271" s="43" t="s">
        <v>6895</v>
      </c>
      <c r="I271" s="43" t="s">
        <v>104</v>
      </c>
      <c r="J271" s="55"/>
      <c r="K271" s="119">
        <f>IFERROR(VLOOKUP(B271,BD_CONTROL!$A$5:$M$4235,11,0),"")</f>
        <v>0</v>
      </c>
      <c r="L271" s="120">
        <f>IFERROR(VLOOKUP(B271,BD_CONTROL!$A$5:$M$4235,12,0),"")</f>
        <v>0</v>
      </c>
      <c r="M271" s="121">
        <f>IFERROR(VLOOKUP(B271,BD_CONTROL!$A$5:$M$4235,13,0),"")</f>
        <v>0</v>
      </c>
    </row>
    <row r="272" spans="1:13" ht="15" hidden="1" customHeight="1">
      <c r="A272" s="39">
        <v>267</v>
      </c>
      <c r="B272" s="39" t="s">
        <v>8623</v>
      </c>
      <c r="C272" s="40" t="s">
        <v>6735</v>
      </c>
      <c r="D272" s="39" t="s">
        <v>6893</v>
      </c>
      <c r="E272" s="40" t="s">
        <v>8618</v>
      </c>
      <c r="F272" s="40" t="s">
        <v>8621</v>
      </c>
      <c r="G272" s="39" t="s">
        <v>6739</v>
      </c>
      <c r="H272" s="40" t="s">
        <v>6895</v>
      </c>
      <c r="I272" s="40" t="s">
        <v>6741</v>
      </c>
      <c r="J272" s="50"/>
      <c r="K272" s="116">
        <f>IFERROR(VLOOKUP(B272,BD_CONTROL!$A$5:$M$4235,11,0),"")</f>
        <v>0</v>
      </c>
      <c r="L272" s="117">
        <f>IFERROR(VLOOKUP(B272,BD_CONTROL!$A$5:$M$4235,12,0),"")</f>
        <v>0</v>
      </c>
      <c r="M272" s="118">
        <f>IFERROR(VLOOKUP(B272,BD_CONTROL!$A$5:$M$4235,13,0),"")</f>
        <v>0</v>
      </c>
    </row>
    <row r="273" spans="1:13" ht="15" hidden="1" customHeight="1">
      <c r="A273" s="42">
        <v>268</v>
      </c>
      <c r="B273" s="42" t="s">
        <v>8624</v>
      </c>
      <c r="C273" s="43" t="s">
        <v>8625</v>
      </c>
      <c r="D273" s="42" t="s">
        <v>6893</v>
      </c>
      <c r="E273" s="43" t="s">
        <v>8626</v>
      </c>
      <c r="F273" s="43" t="s">
        <v>8627</v>
      </c>
      <c r="G273" s="42" t="s">
        <v>109</v>
      </c>
      <c r="H273" s="43" t="s">
        <v>6895</v>
      </c>
      <c r="I273" s="43" t="s">
        <v>104</v>
      </c>
      <c r="J273" s="55"/>
      <c r="K273" s="119">
        <f>IFERROR(VLOOKUP(B273,BD_CONTROL!$A$5:$M$4235,11,0),"")</f>
        <v>0</v>
      </c>
      <c r="L273" s="120">
        <f>IFERROR(VLOOKUP(B273,BD_CONTROL!$A$5:$M$4235,12,0),"")</f>
        <v>0</v>
      </c>
      <c r="M273" s="121">
        <f>IFERROR(VLOOKUP(B273,BD_CONTROL!$A$5:$M$4235,13,0),"")</f>
        <v>0</v>
      </c>
    </row>
    <row r="274" spans="1:13" ht="15" hidden="1" customHeight="1">
      <c r="A274" s="39">
        <v>269</v>
      </c>
      <c r="B274" s="39" t="s">
        <v>8628</v>
      </c>
      <c r="C274" s="40" t="s">
        <v>8629</v>
      </c>
      <c r="D274" s="39" t="s">
        <v>6893</v>
      </c>
      <c r="E274" s="40" t="s">
        <v>8626</v>
      </c>
      <c r="F274" s="40" t="s">
        <v>8626</v>
      </c>
      <c r="G274" s="39" t="s">
        <v>109</v>
      </c>
      <c r="H274" s="40" t="s">
        <v>6895</v>
      </c>
      <c r="I274" s="40" t="s">
        <v>104</v>
      </c>
      <c r="J274" s="50"/>
      <c r="K274" s="116">
        <f>IFERROR(VLOOKUP(B274,BD_CONTROL!$A$5:$M$4235,11,0),"")</f>
        <v>0</v>
      </c>
      <c r="L274" s="117">
        <f>IFERROR(VLOOKUP(B274,BD_CONTROL!$A$5:$M$4235,12,0),"")</f>
        <v>0</v>
      </c>
      <c r="M274" s="118">
        <f>IFERROR(VLOOKUP(B274,BD_CONTROL!$A$5:$M$4235,13,0),"")</f>
        <v>0</v>
      </c>
    </row>
    <row r="275" spans="1:13" ht="15" hidden="1" customHeight="1">
      <c r="A275" s="42">
        <v>270</v>
      </c>
      <c r="B275" s="42" t="s">
        <v>8630</v>
      </c>
      <c r="C275" s="43" t="s">
        <v>2317</v>
      </c>
      <c r="D275" s="42" t="s">
        <v>6893</v>
      </c>
      <c r="E275" s="43" t="s">
        <v>8626</v>
      </c>
      <c r="F275" s="43" t="s">
        <v>8626</v>
      </c>
      <c r="G275" s="42" t="s">
        <v>109</v>
      </c>
      <c r="H275" s="43" t="s">
        <v>6895</v>
      </c>
      <c r="I275" s="43" t="s">
        <v>104</v>
      </c>
      <c r="J275" s="55"/>
      <c r="K275" s="119">
        <f>IFERROR(VLOOKUP(B275,BD_CONTROL!$A$5:$M$4235,11,0),"")</f>
        <v>0</v>
      </c>
      <c r="L275" s="120">
        <f>IFERROR(VLOOKUP(B275,BD_CONTROL!$A$5:$M$4235,12,0),"")</f>
        <v>0</v>
      </c>
      <c r="M275" s="121">
        <f>IFERROR(VLOOKUP(B275,BD_CONTROL!$A$5:$M$4235,13,0),"")</f>
        <v>0</v>
      </c>
    </row>
    <row r="276" spans="1:13" ht="15" hidden="1" customHeight="1">
      <c r="A276" s="39">
        <v>271</v>
      </c>
      <c r="B276" s="39" t="s">
        <v>8631</v>
      </c>
      <c r="C276" s="40" t="s">
        <v>3003</v>
      </c>
      <c r="D276" s="39" t="s">
        <v>6893</v>
      </c>
      <c r="E276" s="40" t="s">
        <v>8632</v>
      </c>
      <c r="F276" s="40" t="s">
        <v>8633</v>
      </c>
      <c r="G276" s="39" t="s">
        <v>109</v>
      </c>
      <c r="H276" s="40" t="s">
        <v>6895</v>
      </c>
      <c r="I276" s="40" t="s">
        <v>104</v>
      </c>
      <c r="J276" s="50"/>
      <c r="K276" s="116">
        <f>IFERROR(VLOOKUP(B276,BD_CONTROL!$A$5:$M$4235,11,0),"")</f>
        <v>0</v>
      </c>
      <c r="L276" s="117">
        <f>IFERROR(VLOOKUP(B276,BD_CONTROL!$A$5:$M$4235,12,0),"")</f>
        <v>0</v>
      </c>
      <c r="M276" s="118">
        <f>IFERROR(VLOOKUP(B276,BD_CONTROL!$A$5:$M$4235,13,0),"")</f>
        <v>0</v>
      </c>
    </row>
    <row r="277" spans="1:13" ht="15" hidden="1" customHeight="1">
      <c r="A277" s="42">
        <v>272</v>
      </c>
      <c r="B277" s="42" t="s">
        <v>8634</v>
      </c>
      <c r="C277" s="43" t="s">
        <v>6735</v>
      </c>
      <c r="D277" s="42" t="s">
        <v>6893</v>
      </c>
      <c r="E277" s="43" t="s">
        <v>8632</v>
      </c>
      <c r="F277" s="43" t="s">
        <v>8633</v>
      </c>
      <c r="G277" s="42" t="s">
        <v>6739</v>
      </c>
      <c r="H277" s="43" t="s">
        <v>6895</v>
      </c>
      <c r="I277" s="43" t="s">
        <v>6741</v>
      </c>
      <c r="J277" s="55"/>
      <c r="K277" s="119">
        <f>IFERROR(VLOOKUP(B277,BD_CONTROL!$A$5:$M$4235,11,0),"")</f>
        <v>0</v>
      </c>
      <c r="L277" s="120">
        <f>IFERROR(VLOOKUP(B277,BD_CONTROL!$A$5:$M$4235,12,0),"")</f>
        <v>0</v>
      </c>
      <c r="M277" s="121">
        <f>IFERROR(VLOOKUP(B277,BD_CONTROL!$A$5:$M$4235,13,0),"")</f>
        <v>0</v>
      </c>
    </row>
    <row r="278" spans="1:13" ht="15" hidden="1" customHeight="1">
      <c r="A278" s="39">
        <v>273</v>
      </c>
      <c r="B278" s="39" t="s">
        <v>8635</v>
      </c>
      <c r="C278" s="40" t="s">
        <v>2105</v>
      </c>
      <c r="D278" s="39" t="s">
        <v>6893</v>
      </c>
      <c r="E278" s="40" t="s">
        <v>8632</v>
      </c>
      <c r="F278" s="40" t="s">
        <v>8636</v>
      </c>
      <c r="G278" s="39" t="s">
        <v>109</v>
      </c>
      <c r="H278" s="40" t="s">
        <v>6895</v>
      </c>
      <c r="I278" s="40" t="s">
        <v>104</v>
      </c>
      <c r="J278" s="50"/>
      <c r="K278" s="116">
        <f>IFERROR(VLOOKUP(B278,BD_CONTROL!$A$5:$M$4235,11,0),"")</f>
        <v>0</v>
      </c>
      <c r="L278" s="117">
        <f>IFERROR(VLOOKUP(B278,BD_CONTROL!$A$5:$M$4235,12,0),"")</f>
        <v>0</v>
      </c>
      <c r="M278" s="118">
        <f>IFERROR(VLOOKUP(B278,BD_CONTROL!$A$5:$M$4235,13,0),"")</f>
        <v>0</v>
      </c>
    </row>
    <row r="279" spans="1:13" ht="15" hidden="1" customHeight="1">
      <c r="A279" s="42">
        <v>274</v>
      </c>
      <c r="B279" s="42" t="s">
        <v>8655</v>
      </c>
      <c r="C279" s="43" t="s">
        <v>8656</v>
      </c>
      <c r="D279" s="42" t="s">
        <v>6893</v>
      </c>
      <c r="E279" s="43" t="s">
        <v>8632</v>
      </c>
      <c r="F279" s="43" t="s">
        <v>8657</v>
      </c>
      <c r="G279" s="42" t="s">
        <v>109</v>
      </c>
      <c r="H279" s="43" t="s">
        <v>6895</v>
      </c>
      <c r="I279" s="43" t="s">
        <v>104</v>
      </c>
      <c r="J279" s="55"/>
      <c r="K279" s="119">
        <f>IFERROR(VLOOKUP(B279,BD_CONTROL!$A$5:$M$4235,11,0),"")</f>
        <v>0</v>
      </c>
      <c r="L279" s="120">
        <f>IFERROR(VLOOKUP(B279,BD_CONTROL!$A$5:$M$4235,12,0),"")</f>
        <v>0</v>
      </c>
      <c r="M279" s="121">
        <f>IFERROR(VLOOKUP(B279,BD_CONTROL!$A$5:$M$4235,13,0),"")</f>
        <v>0</v>
      </c>
    </row>
    <row r="280" spans="1:13" ht="15" hidden="1" customHeight="1">
      <c r="A280" s="39">
        <v>275</v>
      </c>
      <c r="B280" s="39" t="s">
        <v>8658</v>
      </c>
      <c r="C280" s="40" t="s">
        <v>6735</v>
      </c>
      <c r="D280" s="39" t="s">
        <v>6893</v>
      </c>
      <c r="E280" s="40" t="s">
        <v>8632</v>
      </c>
      <c r="F280" s="40" t="s">
        <v>8659</v>
      </c>
      <c r="G280" s="39" t="s">
        <v>6739</v>
      </c>
      <c r="H280" s="40" t="s">
        <v>6895</v>
      </c>
      <c r="I280" s="40" t="s">
        <v>6741</v>
      </c>
      <c r="J280" s="50"/>
      <c r="K280" s="116">
        <f>IFERROR(VLOOKUP(B280,BD_CONTROL!$A$5:$M$4235,11,0),"")</f>
        <v>0</v>
      </c>
      <c r="L280" s="117">
        <f>IFERROR(VLOOKUP(B280,BD_CONTROL!$A$5:$M$4235,12,0),"")</f>
        <v>0</v>
      </c>
      <c r="M280" s="118">
        <f>IFERROR(VLOOKUP(B280,BD_CONTROL!$A$5:$M$4235,13,0),"")</f>
        <v>0</v>
      </c>
    </row>
    <row r="281" spans="1:13" ht="15" hidden="1" customHeight="1">
      <c r="A281" s="42">
        <v>276</v>
      </c>
      <c r="B281" s="42" t="s">
        <v>8660</v>
      </c>
      <c r="C281" s="43" t="s">
        <v>6735</v>
      </c>
      <c r="D281" s="42" t="s">
        <v>6893</v>
      </c>
      <c r="E281" s="43" t="s">
        <v>8661</v>
      </c>
      <c r="F281" s="43" t="s">
        <v>8661</v>
      </c>
      <c r="G281" s="42" t="s">
        <v>6739</v>
      </c>
      <c r="H281" s="43" t="s">
        <v>6895</v>
      </c>
      <c r="I281" s="43" t="s">
        <v>6741</v>
      </c>
      <c r="J281" s="55"/>
      <c r="K281" s="119">
        <f>IFERROR(VLOOKUP(B281,BD_CONTROL!$A$5:$M$4235,11,0),"")</f>
        <v>0</v>
      </c>
      <c r="L281" s="120">
        <f>IFERROR(VLOOKUP(B281,BD_CONTROL!$A$5:$M$4235,12,0),"")</f>
        <v>0</v>
      </c>
      <c r="M281" s="121">
        <f>IFERROR(VLOOKUP(B281,BD_CONTROL!$A$5:$M$4235,13,0),"")</f>
        <v>0</v>
      </c>
    </row>
    <row r="282" spans="1:13" ht="15" hidden="1" customHeight="1">
      <c r="A282" s="39">
        <v>277</v>
      </c>
      <c r="B282" s="39" t="s">
        <v>8662</v>
      </c>
      <c r="C282" s="40" t="s">
        <v>8663</v>
      </c>
      <c r="D282" s="39" t="s">
        <v>6893</v>
      </c>
      <c r="E282" s="40" t="s">
        <v>8661</v>
      </c>
      <c r="F282" s="40" t="s">
        <v>8664</v>
      </c>
      <c r="G282" s="39" t="s">
        <v>109</v>
      </c>
      <c r="H282" s="40" t="s">
        <v>6895</v>
      </c>
      <c r="I282" s="40" t="s">
        <v>104</v>
      </c>
      <c r="J282" s="50"/>
      <c r="K282" s="116">
        <f>IFERROR(VLOOKUP(B282,BD_CONTROL!$A$5:$M$4235,11,0),"")</f>
        <v>0</v>
      </c>
      <c r="L282" s="117">
        <f>IFERROR(VLOOKUP(B282,BD_CONTROL!$A$5:$M$4235,12,0),"")</f>
        <v>0</v>
      </c>
      <c r="M282" s="118">
        <f>IFERROR(VLOOKUP(B282,BD_CONTROL!$A$5:$M$4235,13,0),"")</f>
        <v>0</v>
      </c>
    </row>
    <row r="283" spans="1:13" ht="15" hidden="1" customHeight="1">
      <c r="A283" s="42">
        <v>278</v>
      </c>
      <c r="B283" s="42" t="s">
        <v>8665</v>
      </c>
      <c r="C283" s="43" t="s">
        <v>6735</v>
      </c>
      <c r="D283" s="42" t="s">
        <v>6893</v>
      </c>
      <c r="E283" s="43" t="s">
        <v>8661</v>
      </c>
      <c r="F283" s="43" t="s">
        <v>8666</v>
      </c>
      <c r="G283" s="42" t="s">
        <v>6739</v>
      </c>
      <c r="H283" s="43" t="s">
        <v>6895</v>
      </c>
      <c r="I283" s="43" t="s">
        <v>6741</v>
      </c>
      <c r="J283" s="55"/>
      <c r="K283" s="119">
        <f>IFERROR(VLOOKUP(B283,BD_CONTROL!$A$5:$M$4235,11,0),"")</f>
        <v>0</v>
      </c>
      <c r="L283" s="120">
        <f>IFERROR(VLOOKUP(B283,BD_CONTROL!$A$5:$M$4235,12,0),"")</f>
        <v>0</v>
      </c>
      <c r="M283" s="121">
        <f>IFERROR(VLOOKUP(B283,BD_CONTROL!$A$5:$M$4235,13,0),"")</f>
        <v>0</v>
      </c>
    </row>
    <row r="284" spans="1:13" ht="15" hidden="1" customHeight="1">
      <c r="A284" s="39">
        <v>279</v>
      </c>
      <c r="B284" s="39" t="s">
        <v>8667</v>
      </c>
      <c r="C284" s="40" t="s">
        <v>1288</v>
      </c>
      <c r="D284" s="39" t="s">
        <v>6893</v>
      </c>
      <c r="E284" s="40" t="s">
        <v>8661</v>
      </c>
      <c r="F284" s="40" t="s">
        <v>8668</v>
      </c>
      <c r="G284" s="39" t="s">
        <v>109</v>
      </c>
      <c r="H284" s="40" t="s">
        <v>6895</v>
      </c>
      <c r="I284" s="40" t="s">
        <v>104</v>
      </c>
      <c r="J284" s="50"/>
      <c r="K284" s="116">
        <f>IFERROR(VLOOKUP(B284,BD_CONTROL!$A$5:$M$4235,11,0),"")</f>
        <v>0</v>
      </c>
      <c r="L284" s="117">
        <f>IFERROR(VLOOKUP(B284,BD_CONTROL!$A$5:$M$4235,12,0),"")</f>
        <v>0</v>
      </c>
      <c r="M284" s="118">
        <f>IFERROR(VLOOKUP(B284,BD_CONTROL!$A$5:$M$4235,13,0),"")</f>
        <v>0</v>
      </c>
    </row>
    <row r="285" spans="1:13" ht="15" hidden="1" customHeight="1">
      <c r="A285" s="42">
        <v>280</v>
      </c>
      <c r="B285" s="42" t="s">
        <v>8669</v>
      </c>
      <c r="C285" s="43" t="s">
        <v>6735</v>
      </c>
      <c r="D285" s="42" t="s">
        <v>6893</v>
      </c>
      <c r="E285" s="43" t="s">
        <v>8661</v>
      </c>
      <c r="F285" s="43" t="s">
        <v>8670</v>
      </c>
      <c r="G285" s="42" t="s">
        <v>6739</v>
      </c>
      <c r="H285" s="43" t="s">
        <v>6895</v>
      </c>
      <c r="I285" s="43" t="s">
        <v>6741</v>
      </c>
      <c r="J285" s="55"/>
      <c r="K285" s="119">
        <f>IFERROR(VLOOKUP(B285,BD_CONTROL!$A$5:$M$4235,11,0),"")</f>
        <v>0</v>
      </c>
      <c r="L285" s="120">
        <f>IFERROR(VLOOKUP(B285,BD_CONTROL!$A$5:$M$4235,12,0),"")</f>
        <v>0</v>
      </c>
      <c r="M285" s="121">
        <f>IFERROR(VLOOKUP(B285,BD_CONTROL!$A$5:$M$4235,13,0),"")</f>
        <v>0</v>
      </c>
    </row>
    <row r="286" spans="1:13" ht="15" hidden="1" customHeight="1">
      <c r="A286" s="39">
        <v>281</v>
      </c>
      <c r="B286" s="39" t="s">
        <v>8671</v>
      </c>
      <c r="C286" s="40" t="s">
        <v>2246</v>
      </c>
      <c r="D286" s="39" t="s">
        <v>6893</v>
      </c>
      <c r="E286" s="40" t="s">
        <v>1123</v>
      </c>
      <c r="F286" s="40" t="s">
        <v>8672</v>
      </c>
      <c r="G286" s="39" t="s">
        <v>109</v>
      </c>
      <c r="H286" s="40" t="s">
        <v>6895</v>
      </c>
      <c r="I286" s="40" t="s">
        <v>104</v>
      </c>
      <c r="J286" s="50"/>
      <c r="K286" s="116">
        <f>IFERROR(VLOOKUP(B286,BD_CONTROL!$A$5:$M$4235,11,0),"")</f>
        <v>0</v>
      </c>
      <c r="L286" s="117">
        <f>IFERROR(VLOOKUP(B286,BD_CONTROL!$A$5:$M$4235,12,0),"")</f>
        <v>0</v>
      </c>
      <c r="M286" s="118">
        <f>IFERROR(VLOOKUP(B286,BD_CONTROL!$A$5:$M$4235,13,0),"")</f>
        <v>0</v>
      </c>
    </row>
    <row r="287" spans="1:13" ht="15" hidden="1" customHeight="1">
      <c r="A287" s="42">
        <v>282</v>
      </c>
      <c r="B287" s="42" t="s">
        <v>8673</v>
      </c>
      <c r="C287" s="43" t="s">
        <v>6735</v>
      </c>
      <c r="D287" s="42" t="s">
        <v>6893</v>
      </c>
      <c r="E287" s="43" t="s">
        <v>8674</v>
      </c>
      <c r="F287" s="43" t="s">
        <v>8675</v>
      </c>
      <c r="G287" s="42" t="s">
        <v>6739</v>
      </c>
      <c r="H287" s="43" t="s">
        <v>6895</v>
      </c>
      <c r="I287" s="43" t="s">
        <v>6741</v>
      </c>
      <c r="J287" s="55"/>
      <c r="K287" s="119">
        <f>IFERROR(VLOOKUP(B287,BD_CONTROL!$A$5:$M$4235,11,0),"")</f>
        <v>0</v>
      </c>
      <c r="L287" s="120">
        <f>IFERROR(VLOOKUP(B287,BD_CONTROL!$A$5:$M$4235,12,0),"")</f>
        <v>0</v>
      </c>
      <c r="M287" s="121">
        <f>IFERROR(VLOOKUP(B287,BD_CONTROL!$A$5:$M$4235,13,0),"")</f>
        <v>0</v>
      </c>
    </row>
    <row r="288" spans="1:13" ht="15" hidden="1" customHeight="1">
      <c r="A288" s="39">
        <v>283</v>
      </c>
      <c r="B288" s="39" t="s">
        <v>8676</v>
      </c>
      <c r="C288" s="40" t="s">
        <v>3103</v>
      </c>
      <c r="D288" s="39" t="s">
        <v>6893</v>
      </c>
      <c r="E288" s="40" t="s">
        <v>8674</v>
      </c>
      <c r="F288" s="40" t="s">
        <v>8677</v>
      </c>
      <c r="G288" s="39" t="s">
        <v>109</v>
      </c>
      <c r="H288" s="40" t="s">
        <v>6895</v>
      </c>
      <c r="I288" s="40" t="s">
        <v>104</v>
      </c>
      <c r="J288" s="50"/>
      <c r="K288" s="116">
        <f>IFERROR(VLOOKUP(B288,BD_CONTROL!$A$5:$M$4235,11,0),"")</f>
        <v>0</v>
      </c>
      <c r="L288" s="117">
        <f>IFERROR(VLOOKUP(B288,BD_CONTROL!$A$5:$M$4235,12,0),"")</f>
        <v>0</v>
      </c>
      <c r="M288" s="118">
        <f>IFERROR(VLOOKUP(B288,BD_CONTROL!$A$5:$M$4235,13,0),"")</f>
        <v>0</v>
      </c>
    </row>
    <row r="289" spans="1:13" ht="15" hidden="1" customHeight="1">
      <c r="A289" s="42">
        <v>284</v>
      </c>
      <c r="B289" s="42" t="s">
        <v>8678</v>
      </c>
      <c r="C289" s="43" t="s">
        <v>6735</v>
      </c>
      <c r="D289" s="42" t="s">
        <v>6893</v>
      </c>
      <c r="E289" s="43" t="s">
        <v>8674</v>
      </c>
      <c r="F289" s="43" t="s">
        <v>8679</v>
      </c>
      <c r="G289" s="42" t="s">
        <v>6739</v>
      </c>
      <c r="H289" s="43" t="s">
        <v>6895</v>
      </c>
      <c r="I289" s="43" t="s">
        <v>6741</v>
      </c>
      <c r="J289" s="55"/>
      <c r="K289" s="119" t="str">
        <f>IFERROR(VLOOKUP(B289,BD_CONTROL!$A$5:$M$4235,11,0),"")</f>
        <v>Instalado - Operando</v>
      </c>
      <c r="L289" s="120">
        <f>IFERROR(VLOOKUP(B289,BD_CONTROL!$A$5:$M$4235,12,0),"")</f>
        <v>46146</v>
      </c>
      <c r="M289" s="121" t="str">
        <f>IFERROR(VLOOKUP(B289,BD_CONTROL!$A$5:$M$4235,13,0),"")</f>
        <v>No se pudo cargar en la aplicación</v>
      </c>
    </row>
    <row r="290" spans="1:13" ht="15" hidden="1" customHeight="1">
      <c r="A290" s="39">
        <v>285</v>
      </c>
      <c r="B290" s="39" t="s">
        <v>8681</v>
      </c>
      <c r="C290" s="40" t="s">
        <v>6735</v>
      </c>
      <c r="D290" s="39" t="s">
        <v>6893</v>
      </c>
      <c r="E290" s="40" t="s">
        <v>8674</v>
      </c>
      <c r="F290" s="40" t="s">
        <v>8679</v>
      </c>
      <c r="G290" s="39" t="s">
        <v>6739</v>
      </c>
      <c r="H290" s="40" t="s">
        <v>6895</v>
      </c>
      <c r="I290" s="40" t="s">
        <v>6741</v>
      </c>
      <c r="J290" s="50"/>
      <c r="K290" s="116" t="str">
        <f>IFERROR(VLOOKUP(B290,BD_CONTROL!$A$5:$M$4235,11,0),"")</f>
        <v>Instalado - Operando</v>
      </c>
      <c r="L290" s="117">
        <f>IFERROR(VLOOKUP(B290,BD_CONTROL!$A$5:$M$4235,12,0),"")</f>
        <v>46150</v>
      </c>
      <c r="M290" s="118">
        <f>IFERROR(VLOOKUP(B290,BD_CONTROL!$A$5:$M$4235,13,0),"")</f>
        <v>0</v>
      </c>
    </row>
    <row r="291" spans="1:13" ht="15" hidden="1" customHeight="1">
      <c r="A291" s="42">
        <v>286</v>
      </c>
      <c r="B291" s="42" t="s">
        <v>8682</v>
      </c>
      <c r="C291" s="43" t="s">
        <v>6735</v>
      </c>
      <c r="D291" s="42" t="s">
        <v>6893</v>
      </c>
      <c r="E291" s="43" t="s">
        <v>8674</v>
      </c>
      <c r="F291" s="43" t="s">
        <v>8679</v>
      </c>
      <c r="G291" s="42" t="s">
        <v>6739</v>
      </c>
      <c r="H291" s="43" t="s">
        <v>6895</v>
      </c>
      <c r="I291" s="43" t="s">
        <v>6741</v>
      </c>
      <c r="J291" s="55"/>
      <c r="K291" s="119">
        <f>IFERROR(VLOOKUP(B291,BD_CONTROL!$A$5:$M$4235,11,0),"")</f>
        <v>0</v>
      </c>
      <c r="L291" s="120">
        <f>IFERROR(VLOOKUP(B291,BD_CONTROL!$A$5:$M$4235,12,0),"")</f>
        <v>0</v>
      </c>
      <c r="M291" s="121">
        <f>IFERROR(VLOOKUP(B291,BD_CONTROL!$A$5:$M$4235,13,0),"")</f>
        <v>0</v>
      </c>
    </row>
    <row r="292" spans="1:13" ht="15" hidden="1" customHeight="1">
      <c r="A292" s="39">
        <v>287</v>
      </c>
      <c r="B292" s="39" t="s">
        <v>8683</v>
      </c>
      <c r="C292" s="40" t="s">
        <v>6735</v>
      </c>
      <c r="D292" s="39" t="s">
        <v>6893</v>
      </c>
      <c r="E292" s="40" t="s">
        <v>8674</v>
      </c>
      <c r="F292" s="40" t="s">
        <v>8679</v>
      </c>
      <c r="G292" s="39" t="s">
        <v>6739</v>
      </c>
      <c r="H292" s="40" t="s">
        <v>6895</v>
      </c>
      <c r="I292" s="40" t="s">
        <v>6741</v>
      </c>
      <c r="J292" s="50"/>
      <c r="K292" s="116">
        <f>IFERROR(VLOOKUP(B292,BD_CONTROL!$A$5:$M$4235,11,0),"")</f>
        <v>0</v>
      </c>
      <c r="L292" s="117">
        <f>IFERROR(VLOOKUP(B292,BD_CONTROL!$A$5:$M$4235,12,0),"")</f>
        <v>0</v>
      </c>
      <c r="M292" s="118">
        <f>IFERROR(VLOOKUP(B292,BD_CONTROL!$A$5:$M$4235,13,0),"")</f>
        <v>0</v>
      </c>
    </row>
    <row r="293" spans="1:13" ht="15" hidden="1" customHeight="1">
      <c r="A293" s="42">
        <v>288</v>
      </c>
      <c r="B293" s="42" t="s">
        <v>8684</v>
      </c>
      <c r="C293" s="43" t="s">
        <v>6735</v>
      </c>
      <c r="D293" s="42" t="s">
        <v>6893</v>
      </c>
      <c r="E293" s="43" t="s">
        <v>8674</v>
      </c>
      <c r="F293" s="43" t="s">
        <v>8679</v>
      </c>
      <c r="G293" s="42" t="s">
        <v>6739</v>
      </c>
      <c r="H293" s="43" t="s">
        <v>6895</v>
      </c>
      <c r="I293" s="43" t="s">
        <v>6741</v>
      </c>
      <c r="J293" s="55"/>
      <c r="K293" s="119">
        <f>IFERROR(VLOOKUP(B293,BD_CONTROL!$A$5:$M$4235,11,0),"")</f>
        <v>0</v>
      </c>
      <c r="L293" s="120">
        <f>IFERROR(VLOOKUP(B293,BD_CONTROL!$A$5:$M$4235,12,0),"")</f>
        <v>0</v>
      </c>
      <c r="M293" s="121">
        <f>IFERROR(VLOOKUP(B293,BD_CONTROL!$A$5:$M$4235,13,0),"")</f>
        <v>0</v>
      </c>
    </row>
    <row r="294" spans="1:13" ht="15" hidden="1" customHeight="1">
      <c r="A294" s="39">
        <v>289</v>
      </c>
      <c r="B294" s="39" t="s">
        <v>8685</v>
      </c>
      <c r="C294" s="40" t="s">
        <v>6735</v>
      </c>
      <c r="D294" s="39" t="s">
        <v>6893</v>
      </c>
      <c r="E294" s="40" t="s">
        <v>8674</v>
      </c>
      <c r="F294" s="40" t="s">
        <v>8679</v>
      </c>
      <c r="G294" s="39" t="s">
        <v>6739</v>
      </c>
      <c r="H294" s="40" t="s">
        <v>6895</v>
      </c>
      <c r="I294" s="40" t="s">
        <v>6741</v>
      </c>
      <c r="J294" s="50"/>
      <c r="K294" s="116" t="str">
        <f>IFERROR(VLOOKUP(B294,BD_CONTROL!$A$5:$M$4235,11,0),"")</f>
        <v>Instalado - Operando</v>
      </c>
      <c r="L294" s="117">
        <f>IFERROR(VLOOKUP(B294,BD_CONTROL!$A$5:$M$4235,12,0),"")</f>
        <v>46147</v>
      </c>
      <c r="M294" s="118" t="str">
        <f>IFERROR(VLOOKUP(B294,BD_CONTROL!$A$5:$M$4235,13,0),"")</f>
        <v xml:space="preserve">Falta cargar en sistema de instalación sitios
</v>
      </c>
    </row>
    <row r="295" spans="1:13" ht="15" hidden="1" customHeight="1">
      <c r="A295" s="42">
        <v>290</v>
      </c>
      <c r="B295" s="42" t="s">
        <v>8687</v>
      </c>
      <c r="C295" s="43" t="s">
        <v>6735</v>
      </c>
      <c r="D295" s="42" t="s">
        <v>6893</v>
      </c>
      <c r="E295" s="43" t="s">
        <v>8674</v>
      </c>
      <c r="F295" s="43" t="s">
        <v>8679</v>
      </c>
      <c r="G295" s="42" t="s">
        <v>6739</v>
      </c>
      <c r="H295" s="43" t="s">
        <v>6895</v>
      </c>
      <c r="I295" s="43" t="s">
        <v>6741</v>
      </c>
      <c r="J295" s="55"/>
      <c r="K295" s="119" t="str">
        <f>IFERROR(VLOOKUP(B295,BD_CONTROL!$A$5:$M$4235,11,0),"")</f>
        <v>Instalado - Operando</v>
      </c>
      <c r="L295" s="120">
        <f>IFERROR(VLOOKUP(B295,BD_CONTROL!$A$5:$M$4235,12,0),"")</f>
        <v>46149</v>
      </c>
      <c r="M295" s="121">
        <f>IFERROR(VLOOKUP(B295,BD_CONTROL!$A$5:$M$4235,13,0),"")</f>
        <v>0</v>
      </c>
    </row>
    <row r="296" spans="1:13" ht="15" hidden="1" customHeight="1">
      <c r="A296" s="39">
        <v>291</v>
      </c>
      <c r="B296" s="39" t="s">
        <v>8688</v>
      </c>
      <c r="C296" s="40" t="s">
        <v>6735</v>
      </c>
      <c r="D296" s="39" t="s">
        <v>6893</v>
      </c>
      <c r="E296" s="40" t="s">
        <v>8674</v>
      </c>
      <c r="F296" s="40" t="s">
        <v>8679</v>
      </c>
      <c r="G296" s="39" t="s">
        <v>6739</v>
      </c>
      <c r="H296" s="40" t="s">
        <v>6895</v>
      </c>
      <c r="I296" s="40" t="s">
        <v>6741</v>
      </c>
      <c r="J296" s="50"/>
      <c r="K296" s="116">
        <f>IFERROR(VLOOKUP(B296,BD_CONTROL!$A$5:$M$4235,11,0),"")</f>
        <v>0</v>
      </c>
      <c r="L296" s="117">
        <f>IFERROR(VLOOKUP(B296,BD_CONTROL!$A$5:$M$4235,12,0),"")</f>
        <v>0</v>
      </c>
      <c r="M296" s="118">
        <f>IFERROR(VLOOKUP(B296,BD_CONTROL!$A$5:$M$4235,13,0),"")</f>
        <v>0</v>
      </c>
    </row>
    <row r="297" spans="1:13" ht="15" hidden="1" customHeight="1">
      <c r="A297" s="42">
        <v>292</v>
      </c>
      <c r="B297" s="42" t="s">
        <v>8689</v>
      </c>
      <c r="C297" s="43" t="s">
        <v>6735</v>
      </c>
      <c r="D297" s="42" t="s">
        <v>6893</v>
      </c>
      <c r="E297" s="43" t="s">
        <v>8674</v>
      </c>
      <c r="F297" s="43" t="s">
        <v>8679</v>
      </c>
      <c r="G297" s="42" t="s">
        <v>6739</v>
      </c>
      <c r="H297" s="43" t="s">
        <v>6895</v>
      </c>
      <c r="I297" s="43" t="s">
        <v>6741</v>
      </c>
      <c r="J297" s="55"/>
      <c r="K297" s="119">
        <f>IFERROR(VLOOKUP(B297,BD_CONTROL!$A$5:$M$4235,11,0),"")</f>
        <v>0</v>
      </c>
      <c r="L297" s="120">
        <f>IFERROR(VLOOKUP(B297,BD_CONTROL!$A$5:$M$4235,12,0),"")</f>
        <v>0</v>
      </c>
      <c r="M297" s="121">
        <f>IFERROR(VLOOKUP(B297,BD_CONTROL!$A$5:$M$4235,13,0),"")</f>
        <v>0</v>
      </c>
    </row>
    <row r="298" spans="1:13" ht="15" hidden="1" customHeight="1">
      <c r="A298" s="39">
        <v>293</v>
      </c>
      <c r="B298" s="39" t="s">
        <v>8690</v>
      </c>
      <c r="C298" s="40" t="s">
        <v>6735</v>
      </c>
      <c r="D298" s="39" t="s">
        <v>6893</v>
      </c>
      <c r="E298" s="40" t="s">
        <v>8674</v>
      </c>
      <c r="F298" s="40" t="s">
        <v>8679</v>
      </c>
      <c r="G298" s="39" t="s">
        <v>6739</v>
      </c>
      <c r="H298" s="40" t="s">
        <v>6895</v>
      </c>
      <c r="I298" s="40" t="s">
        <v>6741</v>
      </c>
      <c r="J298" s="50"/>
      <c r="K298" s="116" t="str">
        <f>IFERROR(VLOOKUP(B298,BD_CONTROL!$A$5:$M$4235,11,0),"")</f>
        <v>Instalado - Operando</v>
      </c>
      <c r="L298" s="117">
        <f>IFERROR(VLOOKUP(B298,BD_CONTROL!$A$5:$M$4235,12,0),"")</f>
        <v>46147</v>
      </c>
      <c r="M298" s="118">
        <f>IFERROR(VLOOKUP(B298,BD_CONTROL!$A$5:$M$4235,13,0),"")</f>
        <v>0</v>
      </c>
    </row>
    <row r="299" spans="1:13" ht="15" hidden="1" customHeight="1">
      <c r="A299" s="42">
        <v>294</v>
      </c>
      <c r="B299" s="42" t="s">
        <v>8691</v>
      </c>
      <c r="C299" s="43" t="s">
        <v>6735</v>
      </c>
      <c r="D299" s="42" t="s">
        <v>6893</v>
      </c>
      <c r="E299" s="43" t="s">
        <v>8674</v>
      </c>
      <c r="F299" s="43" t="s">
        <v>8692</v>
      </c>
      <c r="G299" s="42" t="s">
        <v>6739</v>
      </c>
      <c r="H299" s="43" t="s">
        <v>6895</v>
      </c>
      <c r="I299" s="43" t="s">
        <v>6741</v>
      </c>
      <c r="J299" s="55"/>
      <c r="K299" s="119">
        <f>IFERROR(VLOOKUP(B299,BD_CONTROL!$A$5:$M$4235,11,0),"")</f>
        <v>0</v>
      </c>
      <c r="L299" s="120">
        <f>IFERROR(VLOOKUP(B299,BD_CONTROL!$A$5:$M$4235,12,0),"")</f>
        <v>0</v>
      </c>
      <c r="M299" s="121">
        <f>IFERROR(VLOOKUP(B299,BD_CONTROL!$A$5:$M$4235,13,0),"")</f>
        <v>0</v>
      </c>
    </row>
    <row r="300" spans="1:13" ht="15" hidden="1" customHeight="1">
      <c r="A300" s="39">
        <v>295</v>
      </c>
      <c r="B300" s="39" t="s">
        <v>8693</v>
      </c>
      <c r="C300" s="40" t="s">
        <v>8694</v>
      </c>
      <c r="D300" s="39" t="s">
        <v>6893</v>
      </c>
      <c r="E300" s="40" t="s">
        <v>8674</v>
      </c>
      <c r="F300" s="40" t="s">
        <v>8695</v>
      </c>
      <c r="G300" s="39" t="s">
        <v>109</v>
      </c>
      <c r="H300" s="40" t="s">
        <v>6895</v>
      </c>
      <c r="I300" s="40" t="s">
        <v>104</v>
      </c>
      <c r="J300" s="50"/>
      <c r="K300" s="116" t="str">
        <f>IFERROR(VLOOKUP(B300,BD_CONTROL!$A$5:$M$4235,11,0),"")</f>
        <v>Instalado - Operando</v>
      </c>
      <c r="L300" s="117">
        <f>IFERROR(VLOOKUP(B300,BD_CONTROL!$A$5:$M$4235,12,0),"")</f>
        <v>46148</v>
      </c>
      <c r="M300" s="118">
        <f>IFERROR(VLOOKUP(B300,BD_CONTROL!$A$5:$M$4235,13,0),"")</f>
        <v>0</v>
      </c>
    </row>
    <row r="301" spans="1:13" ht="15" hidden="1" customHeight="1">
      <c r="A301" s="42">
        <v>296</v>
      </c>
      <c r="B301" s="42" t="s">
        <v>8696</v>
      </c>
      <c r="C301" s="43" t="s">
        <v>8697</v>
      </c>
      <c r="D301" s="42" t="s">
        <v>6893</v>
      </c>
      <c r="E301" s="43" t="s">
        <v>8674</v>
      </c>
      <c r="F301" s="43" t="s">
        <v>8698</v>
      </c>
      <c r="G301" s="42" t="s">
        <v>109</v>
      </c>
      <c r="H301" s="43" t="s">
        <v>6895</v>
      </c>
      <c r="I301" s="43" t="s">
        <v>104</v>
      </c>
      <c r="J301" s="55"/>
      <c r="K301" s="119">
        <f>IFERROR(VLOOKUP(B301,BD_CONTROL!$A$5:$M$4235,11,0),"")</f>
        <v>0</v>
      </c>
      <c r="L301" s="120">
        <f>IFERROR(VLOOKUP(B301,BD_CONTROL!$A$5:$M$4235,12,0),"")</f>
        <v>0</v>
      </c>
      <c r="M301" s="121">
        <f>IFERROR(VLOOKUP(B301,BD_CONTROL!$A$5:$M$4235,13,0),"")</f>
        <v>0</v>
      </c>
    </row>
    <row r="302" spans="1:13" ht="15" hidden="1" customHeight="1">
      <c r="A302" s="39">
        <v>297</v>
      </c>
      <c r="B302" s="39" t="s">
        <v>8699</v>
      </c>
      <c r="C302" s="40" t="s">
        <v>214</v>
      </c>
      <c r="D302" s="39" t="s">
        <v>6893</v>
      </c>
      <c r="E302" s="40" t="s">
        <v>8674</v>
      </c>
      <c r="F302" s="40" t="s">
        <v>8700</v>
      </c>
      <c r="G302" s="39" t="s">
        <v>109</v>
      </c>
      <c r="H302" s="40" t="s">
        <v>6895</v>
      </c>
      <c r="I302" s="40" t="s">
        <v>104</v>
      </c>
      <c r="J302" s="50"/>
      <c r="K302" s="116">
        <f>IFERROR(VLOOKUP(B302,BD_CONTROL!$A$5:$M$4235,11,0),"")</f>
        <v>0</v>
      </c>
      <c r="L302" s="117">
        <f>IFERROR(VLOOKUP(B302,BD_CONTROL!$A$5:$M$4235,12,0),"")</f>
        <v>0</v>
      </c>
      <c r="M302" s="118">
        <f>IFERROR(VLOOKUP(B302,BD_CONTROL!$A$5:$M$4235,13,0),"")</f>
        <v>0</v>
      </c>
    </row>
    <row r="303" spans="1:13" ht="15" hidden="1" customHeight="1">
      <c r="A303" s="42">
        <v>298</v>
      </c>
      <c r="B303" s="42" t="s">
        <v>8701</v>
      </c>
      <c r="C303" s="43" t="s">
        <v>8702</v>
      </c>
      <c r="D303" s="42" t="s">
        <v>6893</v>
      </c>
      <c r="E303" s="43" t="s">
        <v>8674</v>
      </c>
      <c r="F303" s="43" t="s">
        <v>286</v>
      </c>
      <c r="G303" s="42" t="s">
        <v>109</v>
      </c>
      <c r="H303" s="43" t="s">
        <v>6895</v>
      </c>
      <c r="I303" s="43" t="s">
        <v>104</v>
      </c>
      <c r="J303" s="55"/>
      <c r="K303" s="119">
        <f>IFERROR(VLOOKUP(B303,BD_CONTROL!$A$5:$M$4235,11,0),"")</f>
        <v>0</v>
      </c>
      <c r="L303" s="120">
        <f>IFERROR(VLOOKUP(B303,BD_CONTROL!$A$5:$M$4235,12,0),"")</f>
        <v>0</v>
      </c>
      <c r="M303" s="121">
        <f>IFERROR(VLOOKUP(B303,BD_CONTROL!$A$5:$M$4235,13,0),"")</f>
        <v>0</v>
      </c>
    </row>
    <row r="304" spans="1:13" ht="15" hidden="1" customHeight="1">
      <c r="A304" s="39">
        <v>299</v>
      </c>
      <c r="B304" s="39" t="s">
        <v>8703</v>
      </c>
      <c r="C304" s="40" t="s">
        <v>8704</v>
      </c>
      <c r="D304" s="39" t="s">
        <v>6893</v>
      </c>
      <c r="E304" s="40" t="s">
        <v>8674</v>
      </c>
      <c r="F304" s="40" t="s">
        <v>286</v>
      </c>
      <c r="G304" s="39" t="s">
        <v>109</v>
      </c>
      <c r="H304" s="40" t="s">
        <v>6895</v>
      </c>
      <c r="I304" s="40" t="s">
        <v>104</v>
      </c>
      <c r="J304" s="50"/>
      <c r="K304" s="116">
        <f>IFERROR(VLOOKUP(B304,BD_CONTROL!$A$5:$M$4235,11,0),"")</f>
        <v>0</v>
      </c>
      <c r="L304" s="117">
        <f>IFERROR(VLOOKUP(B304,BD_CONTROL!$A$5:$M$4235,12,0),"")</f>
        <v>0</v>
      </c>
      <c r="M304" s="118">
        <f>IFERROR(VLOOKUP(B304,BD_CONTROL!$A$5:$M$4235,13,0),"")</f>
        <v>0</v>
      </c>
    </row>
    <row r="305" spans="1:13" ht="15" hidden="1" customHeight="1">
      <c r="A305" s="42">
        <v>300</v>
      </c>
      <c r="B305" s="42" t="s">
        <v>8705</v>
      </c>
      <c r="C305" s="43" t="s">
        <v>2398</v>
      </c>
      <c r="D305" s="42" t="s">
        <v>6893</v>
      </c>
      <c r="E305" s="43" t="s">
        <v>8674</v>
      </c>
      <c r="F305" s="43" t="s">
        <v>1067</v>
      </c>
      <c r="G305" s="42" t="s">
        <v>109</v>
      </c>
      <c r="H305" s="43" t="s">
        <v>6895</v>
      </c>
      <c r="I305" s="43" t="s">
        <v>104</v>
      </c>
      <c r="J305" s="55"/>
      <c r="K305" s="119">
        <f>IFERROR(VLOOKUP(B305,BD_CONTROL!$A$5:$M$4235,11,0),"")</f>
        <v>0</v>
      </c>
      <c r="L305" s="120">
        <f>IFERROR(VLOOKUP(B305,BD_CONTROL!$A$5:$M$4235,12,0),"")</f>
        <v>0</v>
      </c>
      <c r="M305" s="121">
        <f>IFERROR(VLOOKUP(B305,BD_CONTROL!$A$5:$M$4235,13,0),"")</f>
        <v>0</v>
      </c>
    </row>
    <row r="306" spans="1:13" ht="15" hidden="1" customHeight="1">
      <c r="A306" s="39">
        <v>301</v>
      </c>
      <c r="B306" s="39" t="s">
        <v>8706</v>
      </c>
      <c r="C306" s="40" t="s">
        <v>8707</v>
      </c>
      <c r="D306" s="39" t="s">
        <v>6893</v>
      </c>
      <c r="E306" s="40" t="s">
        <v>8674</v>
      </c>
      <c r="F306" s="40" t="s">
        <v>8708</v>
      </c>
      <c r="G306" s="39" t="s">
        <v>109</v>
      </c>
      <c r="H306" s="40" t="s">
        <v>6895</v>
      </c>
      <c r="I306" s="40" t="s">
        <v>104</v>
      </c>
      <c r="J306" s="50"/>
      <c r="K306" s="116">
        <f>IFERROR(VLOOKUP(B306,BD_CONTROL!$A$5:$M$4235,11,0),"")</f>
        <v>0</v>
      </c>
      <c r="L306" s="117">
        <f>IFERROR(VLOOKUP(B306,BD_CONTROL!$A$5:$M$4235,12,0),"")</f>
        <v>0</v>
      </c>
      <c r="M306" s="118">
        <f>IFERROR(VLOOKUP(B306,BD_CONTROL!$A$5:$M$4235,13,0),"")</f>
        <v>0</v>
      </c>
    </row>
    <row r="307" spans="1:13" ht="15" hidden="1" customHeight="1">
      <c r="A307" s="42">
        <v>302</v>
      </c>
      <c r="B307" s="42" t="s">
        <v>8709</v>
      </c>
      <c r="C307" s="43" t="s">
        <v>8710</v>
      </c>
      <c r="D307" s="42" t="s">
        <v>6893</v>
      </c>
      <c r="E307" s="43" t="s">
        <v>8674</v>
      </c>
      <c r="F307" s="43" t="s">
        <v>8711</v>
      </c>
      <c r="G307" s="42" t="s">
        <v>109</v>
      </c>
      <c r="H307" s="43" t="s">
        <v>6895</v>
      </c>
      <c r="I307" s="43" t="s">
        <v>104</v>
      </c>
      <c r="J307" s="55"/>
      <c r="K307" s="119">
        <f>IFERROR(VLOOKUP(B307,BD_CONTROL!$A$5:$M$4235,11,0),"")</f>
        <v>0</v>
      </c>
      <c r="L307" s="120">
        <f>IFERROR(VLOOKUP(B307,BD_CONTROL!$A$5:$M$4235,12,0),"")</f>
        <v>0</v>
      </c>
      <c r="M307" s="121">
        <f>IFERROR(VLOOKUP(B307,BD_CONTROL!$A$5:$M$4235,13,0),"")</f>
        <v>0</v>
      </c>
    </row>
    <row r="308" spans="1:13" ht="15" hidden="1" customHeight="1">
      <c r="A308" s="39">
        <v>303</v>
      </c>
      <c r="B308" s="39" t="s">
        <v>8712</v>
      </c>
      <c r="C308" s="40" t="s">
        <v>6735</v>
      </c>
      <c r="D308" s="39" t="s">
        <v>6893</v>
      </c>
      <c r="E308" s="40" t="s">
        <v>8674</v>
      </c>
      <c r="F308" s="40" t="s">
        <v>8713</v>
      </c>
      <c r="G308" s="39" t="s">
        <v>6739</v>
      </c>
      <c r="H308" s="40" t="s">
        <v>6895</v>
      </c>
      <c r="I308" s="40" t="s">
        <v>6741</v>
      </c>
      <c r="J308" s="50"/>
      <c r="K308" s="116" t="str">
        <f>IFERROR(VLOOKUP(B308,BD_CONTROL!$A$5:$M$4235,11,0),"")</f>
        <v>Instalado - Operando</v>
      </c>
      <c r="L308" s="117">
        <f>IFERROR(VLOOKUP(B308,BD_CONTROL!$A$5:$M$4235,12,0),"")</f>
        <v>46146</v>
      </c>
      <c r="M308" s="118" t="str">
        <f>IFERROR(VLOOKUP(B308,BD_CONTROL!$A$5:$M$4235,13,0),"")</f>
        <v>No se logro cargar en la aplicacion</v>
      </c>
    </row>
    <row r="309" spans="1:13" ht="15" hidden="1" customHeight="1">
      <c r="A309" s="42">
        <v>304</v>
      </c>
      <c r="B309" s="42" t="s">
        <v>8715</v>
      </c>
      <c r="C309" s="43" t="s">
        <v>8716</v>
      </c>
      <c r="D309" s="42" t="s">
        <v>6893</v>
      </c>
      <c r="E309" s="43" t="s">
        <v>8674</v>
      </c>
      <c r="F309" s="43" t="s">
        <v>8716</v>
      </c>
      <c r="G309" s="42" t="s">
        <v>109</v>
      </c>
      <c r="H309" s="43" t="s">
        <v>6895</v>
      </c>
      <c r="I309" s="43" t="s">
        <v>104</v>
      </c>
      <c r="J309" s="55"/>
      <c r="K309" s="119" t="str">
        <f>IFERROR(VLOOKUP(B309,BD_CONTROL!$A$5:$M$4235,11,0),"")</f>
        <v>Instalado - Operando</v>
      </c>
      <c r="L309" s="120">
        <f>IFERROR(VLOOKUP(B309,BD_CONTROL!$A$5:$M$4235,12,0),"")</f>
        <v>46150</v>
      </c>
      <c r="M309" s="121">
        <f>IFERROR(VLOOKUP(B309,BD_CONTROL!$A$5:$M$4235,13,0),"")</f>
        <v>0</v>
      </c>
    </row>
    <row r="310" spans="1:13" ht="15" hidden="1" customHeight="1">
      <c r="A310" s="39">
        <v>305</v>
      </c>
      <c r="B310" s="39" t="s">
        <v>8717</v>
      </c>
      <c r="C310" s="40" t="s">
        <v>247</v>
      </c>
      <c r="D310" s="39" t="s">
        <v>6893</v>
      </c>
      <c r="E310" s="40" t="s">
        <v>8674</v>
      </c>
      <c r="F310" s="40" t="s">
        <v>8716</v>
      </c>
      <c r="G310" s="39" t="s">
        <v>109</v>
      </c>
      <c r="H310" s="40" t="s">
        <v>6895</v>
      </c>
      <c r="I310" s="40" t="s">
        <v>104</v>
      </c>
      <c r="J310" s="50"/>
      <c r="K310" s="116" t="str">
        <f>IFERROR(VLOOKUP(B310,BD_CONTROL!$A$5:$M$4235,11,0),"")</f>
        <v>Instalado - Operando</v>
      </c>
      <c r="L310" s="117">
        <f>IFERROR(VLOOKUP(B310,BD_CONTROL!$A$5:$M$4235,12,0),"")</f>
        <v>46149</v>
      </c>
      <c r="M310" s="118">
        <f>IFERROR(VLOOKUP(B310,BD_CONTROL!$A$5:$M$4235,13,0),"")</f>
        <v>0</v>
      </c>
    </row>
    <row r="311" spans="1:13" ht="15" hidden="1" customHeight="1">
      <c r="A311" s="42">
        <v>306</v>
      </c>
      <c r="B311" s="42" t="s">
        <v>8718</v>
      </c>
      <c r="C311" s="43" t="s">
        <v>6735</v>
      </c>
      <c r="D311" s="42" t="s">
        <v>6893</v>
      </c>
      <c r="E311" s="43" t="s">
        <v>8674</v>
      </c>
      <c r="F311" s="43" t="s">
        <v>8719</v>
      </c>
      <c r="G311" s="42" t="s">
        <v>6739</v>
      </c>
      <c r="H311" s="43" t="s">
        <v>6895</v>
      </c>
      <c r="I311" s="43" t="s">
        <v>6741</v>
      </c>
      <c r="J311" s="55"/>
      <c r="K311" s="119">
        <f>IFERROR(VLOOKUP(B311,BD_CONTROL!$A$5:$M$4235,11,0),"")</f>
        <v>0</v>
      </c>
      <c r="L311" s="120">
        <f>IFERROR(VLOOKUP(B311,BD_CONTROL!$A$5:$M$4235,12,0),"")</f>
        <v>0</v>
      </c>
      <c r="M311" s="121">
        <f>IFERROR(VLOOKUP(B311,BD_CONTROL!$A$5:$M$4235,13,0),"")</f>
        <v>0</v>
      </c>
    </row>
    <row r="312" spans="1:13" ht="15" hidden="1" customHeight="1">
      <c r="A312" s="39">
        <v>307</v>
      </c>
      <c r="B312" s="39" t="s">
        <v>8720</v>
      </c>
      <c r="C312" s="40" t="s">
        <v>2155</v>
      </c>
      <c r="D312" s="39" t="s">
        <v>6893</v>
      </c>
      <c r="E312" s="40" t="s">
        <v>8674</v>
      </c>
      <c r="F312" s="40" t="s">
        <v>8721</v>
      </c>
      <c r="G312" s="39" t="s">
        <v>109</v>
      </c>
      <c r="H312" s="40" t="s">
        <v>6895</v>
      </c>
      <c r="I312" s="40" t="s">
        <v>104</v>
      </c>
      <c r="J312" s="50"/>
      <c r="K312" s="116" t="str">
        <f>IFERROR(VLOOKUP(B312,BD_CONTROL!$A$5:$M$4235,11,0),"")</f>
        <v>Instalado - Operando</v>
      </c>
      <c r="L312" s="117">
        <f>IFERROR(VLOOKUP(B312,BD_CONTROL!$A$5:$M$4235,12,0),"")</f>
        <v>46148</v>
      </c>
      <c r="M312" s="118" t="str">
        <f>IFERROR(VLOOKUP(B312,BD_CONTROL!$A$5:$M$4235,13,0),"")</f>
        <v>Por registrar en portal de sitios de instalacion</v>
      </c>
    </row>
    <row r="313" spans="1:13" ht="15" hidden="1" customHeight="1">
      <c r="A313" s="42">
        <v>308</v>
      </c>
      <c r="B313" s="42" t="s">
        <v>8723</v>
      </c>
      <c r="C313" s="43" t="s">
        <v>8724</v>
      </c>
      <c r="D313" s="42" t="s">
        <v>6893</v>
      </c>
      <c r="E313" s="43" t="s">
        <v>8674</v>
      </c>
      <c r="F313" s="43" t="s">
        <v>8725</v>
      </c>
      <c r="G313" s="42" t="s">
        <v>109</v>
      </c>
      <c r="H313" s="43" t="s">
        <v>6895</v>
      </c>
      <c r="I313" s="43" t="s">
        <v>104</v>
      </c>
      <c r="J313" s="55"/>
      <c r="K313" s="119" t="str">
        <f>IFERROR(VLOOKUP(B313,BD_CONTROL!$A$5:$M$4235,11,0),"")</f>
        <v>Instalado - Operando</v>
      </c>
      <c r="L313" s="120">
        <f>IFERROR(VLOOKUP(B313,BD_CONTROL!$A$5:$M$4235,12,0),"")</f>
        <v>46149</v>
      </c>
      <c r="M313" s="121">
        <f>IFERROR(VLOOKUP(B313,BD_CONTROL!$A$5:$M$4235,13,0),"")</f>
        <v>0</v>
      </c>
    </row>
    <row r="314" spans="1:13" ht="15" hidden="1" customHeight="1">
      <c r="A314" s="39">
        <v>309</v>
      </c>
      <c r="B314" s="39" t="s">
        <v>8726</v>
      </c>
      <c r="C314" s="40" t="s">
        <v>6735</v>
      </c>
      <c r="D314" s="39" t="s">
        <v>6893</v>
      </c>
      <c r="E314" s="40" t="s">
        <v>8674</v>
      </c>
      <c r="F314" s="40" t="s">
        <v>8725</v>
      </c>
      <c r="G314" s="39" t="s">
        <v>6739</v>
      </c>
      <c r="H314" s="40" t="s">
        <v>6895</v>
      </c>
      <c r="I314" s="40" t="s">
        <v>6741</v>
      </c>
      <c r="J314" s="50"/>
      <c r="K314" s="116" t="str">
        <f>IFERROR(VLOOKUP(B314,BD_CONTROL!$A$5:$M$4235,11,0),"")</f>
        <v>Instalado - Operando</v>
      </c>
      <c r="L314" s="117">
        <f>IFERROR(VLOOKUP(B314,BD_CONTROL!$A$5:$M$4235,12,0),"")</f>
        <v>46150</v>
      </c>
      <c r="M314" s="118">
        <f>IFERROR(VLOOKUP(B314,BD_CONTROL!$A$5:$M$4235,13,0),"")</f>
        <v>0</v>
      </c>
    </row>
    <row r="315" spans="1:13" ht="15" hidden="1" customHeight="1">
      <c r="A315" s="42">
        <v>310</v>
      </c>
      <c r="B315" s="42" t="s">
        <v>8727</v>
      </c>
      <c r="C315" s="43" t="s">
        <v>8728</v>
      </c>
      <c r="D315" s="42" t="s">
        <v>6893</v>
      </c>
      <c r="E315" s="43" t="s">
        <v>8674</v>
      </c>
      <c r="F315" s="43" t="s">
        <v>8728</v>
      </c>
      <c r="G315" s="42" t="s">
        <v>109</v>
      </c>
      <c r="H315" s="43" t="s">
        <v>6895</v>
      </c>
      <c r="I315" s="43" t="s">
        <v>104</v>
      </c>
      <c r="J315" s="55"/>
      <c r="K315" s="119">
        <f>IFERROR(VLOOKUP(B315,BD_CONTROL!$A$5:$M$4235,11,0),"")</f>
        <v>0</v>
      </c>
      <c r="L315" s="120">
        <f>IFERROR(VLOOKUP(B315,BD_CONTROL!$A$5:$M$4235,12,0),"")</f>
        <v>0</v>
      </c>
      <c r="M315" s="121">
        <f>IFERROR(VLOOKUP(B315,BD_CONTROL!$A$5:$M$4235,13,0),"")</f>
        <v>0</v>
      </c>
    </row>
    <row r="316" spans="1:13" ht="15" hidden="1" customHeight="1">
      <c r="A316" s="39">
        <v>311</v>
      </c>
      <c r="B316" s="39" t="s">
        <v>8729</v>
      </c>
      <c r="C316" s="40" t="s">
        <v>6735</v>
      </c>
      <c r="D316" s="39" t="s">
        <v>6893</v>
      </c>
      <c r="E316" s="40" t="s">
        <v>8674</v>
      </c>
      <c r="F316" s="40" t="s">
        <v>8730</v>
      </c>
      <c r="G316" s="39" t="s">
        <v>6739</v>
      </c>
      <c r="H316" s="40" t="s">
        <v>6895</v>
      </c>
      <c r="I316" s="40" t="s">
        <v>6741</v>
      </c>
      <c r="J316" s="50"/>
      <c r="K316" s="116" t="str">
        <f>IFERROR(VLOOKUP(B316,BD_CONTROL!$A$5:$M$4235,11,0),"")</f>
        <v>Instalado - Operando</v>
      </c>
      <c r="L316" s="117">
        <f>IFERROR(VLOOKUP(B316,BD_CONTROL!$A$5:$M$4235,12,0),"")</f>
        <v>46147</v>
      </c>
      <c r="M316" s="118">
        <f>IFERROR(VLOOKUP(B316,BD_CONTROL!$A$5:$M$4235,13,0),"")</f>
        <v>0</v>
      </c>
    </row>
    <row r="317" spans="1:13" ht="15" hidden="1" customHeight="1">
      <c r="A317" s="42">
        <v>312</v>
      </c>
      <c r="B317" s="42" t="s">
        <v>8731</v>
      </c>
      <c r="C317" s="43" t="s">
        <v>6735</v>
      </c>
      <c r="D317" s="42" t="s">
        <v>6893</v>
      </c>
      <c r="E317" s="43" t="s">
        <v>8674</v>
      </c>
      <c r="F317" s="43" t="s">
        <v>8732</v>
      </c>
      <c r="G317" s="42" t="s">
        <v>6739</v>
      </c>
      <c r="H317" s="43" t="s">
        <v>6895</v>
      </c>
      <c r="I317" s="43" t="s">
        <v>6741</v>
      </c>
      <c r="J317" s="55"/>
      <c r="K317" s="119">
        <f>IFERROR(VLOOKUP(B317,BD_CONTROL!$A$5:$M$4235,11,0),"")</f>
        <v>0</v>
      </c>
      <c r="L317" s="120">
        <f>IFERROR(VLOOKUP(B317,BD_CONTROL!$A$5:$M$4235,12,0),"")</f>
        <v>0</v>
      </c>
      <c r="M317" s="121">
        <f>IFERROR(VLOOKUP(B317,BD_CONTROL!$A$5:$M$4235,13,0),"")</f>
        <v>0</v>
      </c>
    </row>
    <row r="318" spans="1:13" ht="15" hidden="1" customHeight="1">
      <c r="A318" s="39">
        <v>313</v>
      </c>
      <c r="B318" s="39" t="s">
        <v>8733</v>
      </c>
      <c r="C318" s="40" t="s">
        <v>6735</v>
      </c>
      <c r="D318" s="39" t="s">
        <v>6893</v>
      </c>
      <c r="E318" s="40" t="s">
        <v>8674</v>
      </c>
      <c r="F318" s="40" t="s">
        <v>8734</v>
      </c>
      <c r="G318" s="39" t="s">
        <v>6739</v>
      </c>
      <c r="H318" s="40" t="s">
        <v>6895</v>
      </c>
      <c r="I318" s="40" t="s">
        <v>6741</v>
      </c>
      <c r="J318" s="50"/>
      <c r="K318" s="116">
        <f>IFERROR(VLOOKUP(B318,BD_CONTROL!$A$5:$M$4235,11,0),"")</f>
        <v>0</v>
      </c>
      <c r="L318" s="117">
        <f>IFERROR(VLOOKUP(B318,BD_CONTROL!$A$5:$M$4235,12,0),"")</f>
        <v>0</v>
      </c>
      <c r="M318" s="118">
        <f>IFERROR(VLOOKUP(B318,BD_CONTROL!$A$5:$M$4235,13,0),"")</f>
        <v>0</v>
      </c>
    </row>
    <row r="319" spans="1:13" ht="15" hidden="1" customHeight="1">
      <c r="A319" s="42">
        <v>314</v>
      </c>
      <c r="B319" s="42" t="s">
        <v>8735</v>
      </c>
      <c r="C319" s="43" t="s">
        <v>1347</v>
      </c>
      <c r="D319" s="42" t="s">
        <v>6893</v>
      </c>
      <c r="E319" s="43" t="s">
        <v>8674</v>
      </c>
      <c r="F319" s="43" t="s">
        <v>8736</v>
      </c>
      <c r="G319" s="42" t="s">
        <v>109</v>
      </c>
      <c r="H319" s="43" t="s">
        <v>6895</v>
      </c>
      <c r="I319" s="43" t="s">
        <v>104</v>
      </c>
      <c r="J319" s="55"/>
      <c r="K319" s="119">
        <f>IFERROR(VLOOKUP(B319,BD_CONTROL!$A$5:$M$4235,11,0),"")</f>
        <v>0</v>
      </c>
      <c r="L319" s="120">
        <f>IFERROR(VLOOKUP(B319,BD_CONTROL!$A$5:$M$4235,12,0),"")</f>
        <v>0</v>
      </c>
      <c r="M319" s="121">
        <f>IFERROR(VLOOKUP(B319,BD_CONTROL!$A$5:$M$4235,13,0),"")</f>
        <v>0</v>
      </c>
    </row>
    <row r="320" spans="1:13" ht="15" hidden="1" customHeight="1">
      <c r="A320" s="39">
        <v>315</v>
      </c>
      <c r="B320" s="39" t="s">
        <v>8737</v>
      </c>
      <c r="C320" s="40" t="s">
        <v>245</v>
      </c>
      <c r="D320" s="39" t="s">
        <v>6893</v>
      </c>
      <c r="E320" s="40" t="s">
        <v>8674</v>
      </c>
      <c r="F320" s="40" t="s">
        <v>8738</v>
      </c>
      <c r="G320" s="39" t="s">
        <v>102</v>
      </c>
      <c r="H320" s="40" t="s">
        <v>6895</v>
      </c>
      <c r="I320" s="40" t="s">
        <v>104</v>
      </c>
      <c r="J320" s="50"/>
      <c r="K320" s="116">
        <f>IFERROR(VLOOKUP(B320,BD_CONTROL!$A$5:$M$4235,11,0),"")</f>
        <v>0</v>
      </c>
      <c r="L320" s="117">
        <f>IFERROR(VLOOKUP(B320,BD_CONTROL!$A$5:$M$4235,12,0),"")</f>
        <v>0</v>
      </c>
      <c r="M320" s="118">
        <f>IFERROR(VLOOKUP(B320,BD_CONTROL!$A$5:$M$4235,13,0),"")</f>
        <v>0</v>
      </c>
    </row>
    <row r="321" spans="1:13" ht="15" hidden="1" customHeight="1">
      <c r="A321" s="42">
        <v>316</v>
      </c>
      <c r="B321" s="42" t="s">
        <v>8739</v>
      </c>
      <c r="C321" s="43" t="s">
        <v>8740</v>
      </c>
      <c r="D321" s="42" t="s">
        <v>6893</v>
      </c>
      <c r="E321" s="43" t="s">
        <v>8741</v>
      </c>
      <c r="F321" s="43" t="s">
        <v>8741</v>
      </c>
      <c r="G321" s="42" t="s">
        <v>109</v>
      </c>
      <c r="H321" s="43" t="s">
        <v>6895</v>
      </c>
      <c r="I321" s="43" t="s">
        <v>104</v>
      </c>
      <c r="J321" s="55"/>
      <c r="K321" s="119">
        <f>IFERROR(VLOOKUP(B321,BD_CONTROL!$A$5:$M$4235,11,0),"")</f>
        <v>0</v>
      </c>
      <c r="L321" s="120">
        <f>IFERROR(VLOOKUP(B321,BD_CONTROL!$A$5:$M$4235,12,0),"")</f>
        <v>0</v>
      </c>
      <c r="M321" s="121">
        <f>IFERROR(VLOOKUP(B321,BD_CONTROL!$A$5:$M$4235,13,0),"")</f>
        <v>0</v>
      </c>
    </row>
    <row r="322" spans="1:13" ht="15" hidden="1" customHeight="1">
      <c r="A322" s="39">
        <v>317</v>
      </c>
      <c r="B322" s="39" t="s">
        <v>8742</v>
      </c>
      <c r="C322" s="40" t="s">
        <v>6735</v>
      </c>
      <c r="D322" s="39" t="s">
        <v>6893</v>
      </c>
      <c r="E322" s="40" t="s">
        <v>8741</v>
      </c>
      <c r="F322" s="40" t="s">
        <v>8741</v>
      </c>
      <c r="G322" s="39" t="s">
        <v>6739</v>
      </c>
      <c r="H322" s="40" t="s">
        <v>6895</v>
      </c>
      <c r="I322" s="40" t="s">
        <v>6741</v>
      </c>
      <c r="J322" s="50"/>
      <c r="K322" s="116">
        <f>IFERROR(VLOOKUP(B322,BD_CONTROL!$A$5:$M$4235,11,0),"")</f>
        <v>0</v>
      </c>
      <c r="L322" s="117">
        <f>IFERROR(VLOOKUP(B322,BD_CONTROL!$A$5:$M$4235,12,0),"")</f>
        <v>0</v>
      </c>
      <c r="M322" s="118">
        <f>IFERROR(VLOOKUP(B322,BD_CONTROL!$A$5:$M$4235,13,0),"")</f>
        <v>0</v>
      </c>
    </row>
    <row r="323" spans="1:13" ht="15" hidden="1" customHeight="1">
      <c r="A323" s="42">
        <v>318</v>
      </c>
      <c r="B323" s="42" t="s">
        <v>8743</v>
      </c>
      <c r="C323" s="43" t="s">
        <v>1300</v>
      </c>
      <c r="D323" s="42" t="s">
        <v>6893</v>
      </c>
      <c r="E323" s="43" t="s">
        <v>8741</v>
      </c>
      <c r="F323" s="43" t="s">
        <v>2539</v>
      </c>
      <c r="G323" s="42" t="s">
        <v>109</v>
      </c>
      <c r="H323" s="43" t="s">
        <v>6895</v>
      </c>
      <c r="I323" s="43" t="s">
        <v>104</v>
      </c>
      <c r="J323" s="55"/>
      <c r="K323" s="119">
        <f>IFERROR(VLOOKUP(B323,BD_CONTROL!$A$5:$M$4235,11,0),"")</f>
        <v>0</v>
      </c>
      <c r="L323" s="120">
        <f>IFERROR(VLOOKUP(B323,BD_CONTROL!$A$5:$M$4235,12,0),"")</f>
        <v>0</v>
      </c>
      <c r="M323" s="121">
        <f>IFERROR(VLOOKUP(B323,BD_CONTROL!$A$5:$M$4235,13,0),"")</f>
        <v>0</v>
      </c>
    </row>
    <row r="324" spans="1:13" ht="15" hidden="1" customHeight="1">
      <c r="A324" s="39">
        <v>319</v>
      </c>
      <c r="B324" s="39" t="s">
        <v>8744</v>
      </c>
      <c r="C324" s="40" t="s">
        <v>8745</v>
      </c>
      <c r="D324" s="39" t="s">
        <v>6893</v>
      </c>
      <c r="E324" s="40" t="s">
        <v>8746</v>
      </c>
      <c r="F324" s="40" t="s">
        <v>8747</v>
      </c>
      <c r="G324" s="39" t="s">
        <v>109</v>
      </c>
      <c r="H324" s="40" t="s">
        <v>6895</v>
      </c>
      <c r="I324" s="40" t="s">
        <v>104</v>
      </c>
      <c r="J324" s="50"/>
      <c r="K324" s="116">
        <f>IFERROR(VLOOKUP(B324,BD_CONTROL!$A$5:$M$4235,11,0),"")</f>
        <v>0</v>
      </c>
      <c r="L324" s="117">
        <f>IFERROR(VLOOKUP(B324,BD_CONTROL!$A$5:$M$4235,12,0),"")</f>
        <v>0</v>
      </c>
      <c r="M324" s="118">
        <f>IFERROR(VLOOKUP(B324,BD_CONTROL!$A$5:$M$4235,13,0),"")</f>
        <v>0</v>
      </c>
    </row>
    <row r="325" spans="1:13" ht="15" hidden="1" customHeight="1">
      <c r="A325" s="42">
        <v>320</v>
      </c>
      <c r="B325" s="42" t="s">
        <v>8748</v>
      </c>
      <c r="C325" s="43" t="s">
        <v>1186</v>
      </c>
      <c r="D325" s="42" t="s">
        <v>6893</v>
      </c>
      <c r="E325" s="43" t="s">
        <v>8746</v>
      </c>
      <c r="F325" s="43" t="s">
        <v>8749</v>
      </c>
      <c r="G325" s="42" t="s">
        <v>109</v>
      </c>
      <c r="H325" s="43" t="s">
        <v>6895</v>
      </c>
      <c r="I325" s="43" t="s">
        <v>104</v>
      </c>
      <c r="J325" s="55"/>
      <c r="K325" s="119">
        <f>IFERROR(VLOOKUP(B325,BD_CONTROL!$A$5:$M$4235,11,0),"")</f>
        <v>0</v>
      </c>
      <c r="L325" s="120">
        <f>IFERROR(VLOOKUP(B325,BD_CONTROL!$A$5:$M$4235,12,0),"")</f>
        <v>0</v>
      </c>
      <c r="M325" s="121">
        <f>IFERROR(VLOOKUP(B325,BD_CONTROL!$A$5:$M$4235,13,0),"")</f>
        <v>0</v>
      </c>
    </row>
    <row r="326" spans="1:13" ht="15" hidden="1" customHeight="1">
      <c r="A326" s="39">
        <v>321</v>
      </c>
      <c r="B326" s="39" t="s">
        <v>8750</v>
      </c>
      <c r="C326" s="40" t="s">
        <v>1179</v>
      </c>
      <c r="D326" s="39" t="s">
        <v>6893</v>
      </c>
      <c r="E326" s="40" t="s">
        <v>8746</v>
      </c>
      <c r="F326" s="40" t="s">
        <v>8751</v>
      </c>
      <c r="G326" s="39" t="s">
        <v>109</v>
      </c>
      <c r="H326" s="40" t="s">
        <v>6895</v>
      </c>
      <c r="I326" s="40" t="s">
        <v>104</v>
      </c>
      <c r="J326" s="50"/>
      <c r="K326" s="116">
        <f>IFERROR(VLOOKUP(B326,BD_CONTROL!$A$5:$M$4235,11,0),"")</f>
        <v>0</v>
      </c>
      <c r="L326" s="117">
        <f>IFERROR(VLOOKUP(B326,BD_CONTROL!$A$5:$M$4235,12,0),"")</f>
        <v>0</v>
      </c>
      <c r="M326" s="118">
        <f>IFERROR(VLOOKUP(B326,BD_CONTROL!$A$5:$M$4235,13,0),"")</f>
        <v>0</v>
      </c>
    </row>
    <row r="327" spans="1:13" ht="15" hidden="1" customHeight="1">
      <c r="A327" s="42">
        <v>322</v>
      </c>
      <c r="B327" s="42" t="s">
        <v>8752</v>
      </c>
      <c r="C327" s="43" t="s">
        <v>6735</v>
      </c>
      <c r="D327" s="42" t="s">
        <v>6893</v>
      </c>
      <c r="E327" s="43" t="s">
        <v>8746</v>
      </c>
      <c r="F327" s="43" t="s">
        <v>8753</v>
      </c>
      <c r="G327" s="42" t="s">
        <v>6739</v>
      </c>
      <c r="H327" s="43" t="s">
        <v>6895</v>
      </c>
      <c r="I327" s="43" t="s">
        <v>6741</v>
      </c>
      <c r="J327" s="55"/>
      <c r="K327" s="119">
        <f>IFERROR(VLOOKUP(B327,BD_CONTROL!$A$5:$M$4235,11,0),"")</f>
        <v>0</v>
      </c>
      <c r="L327" s="120">
        <f>IFERROR(VLOOKUP(B327,BD_CONTROL!$A$5:$M$4235,12,0),"")</f>
        <v>0</v>
      </c>
      <c r="M327" s="121">
        <f>IFERROR(VLOOKUP(B327,BD_CONTROL!$A$5:$M$4235,13,0),"")</f>
        <v>0</v>
      </c>
    </row>
    <row r="328" spans="1:13" ht="15" hidden="1" customHeight="1">
      <c r="A328" s="39">
        <v>323</v>
      </c>
      <c r="B328" s="39" t="s">
        <v>8755</v>
      </c>
      <c r="C328" s="40" t="s">
        <v>3031</v>
      </c>
      <c r="D328" s="39" t="s">
        <v>6893</v>
      </c>
      <c r="E328" s="40" t="s">
        <v>8746</v>
      </c>
      <c r="F328" s="40" t="s">
        <v>8756</v>
      </c>
      <c r="G328" s="39" t="s">
        <v>109</v>
      </c>
      <c r="H328" s="40" t="s">
        <v>6895</v>
      </c>
      <c r="I328" s="40" t="s">
        <v>104</v>
      </c>
      <c r="J328" s="50"/>
      <c r="K328" s="116">
        <f>IFERROR(VLOOKUP(B328,BD_CONTROL!$A$5:$M$4235,11,0),"")</f>
        <v>0</v>
      </c>
      <c r="L328" s="117">
        <f>IFERROR(VLOOKUP(B328,BD_CONTROL!$A$5:$M$4235,12,0),"")</f>
        <v>0</v>
      </c>
      <c r="M328" s="118">
        <f>IFERROR(VLOOKUP(B328,BD_CONTROL!$A$5:$M$4235,13,0),"")</f>
        <v>0</v>
      </c>
    </row>
    <row r="329" spans="1:13" ht="15" hidden="1" customHeight="1">
      <c r="A329" s="42">
        <v>324</v>
      </c>
      <c r="B329" s="42" t="s">
        <v>8759</v>
      </c>
      <c r="C329" s="43" t="s">
        <v>8760</v>
      </c>
      <c r="D329" s="42" t="s">
        <v>6893</v>
      </c>
      <c r="E329" s="43" t="s">
        <v>8746</v>
      </c>
      <c r="F329" s="43" t="s">
        <v>8761</v>
      </c>
      <c r="G329" s="42" t="s">
        <v>109</v>
      </c>
      <c r="H329" s="43" t="s">
        <v>6895</v>
      </c>
      <c r="I329" s="43" t="s">
        <v>104</v>
      </c>
      <c r="J329" s="55"/>
      <c r="K329" s="119">
        <f>IFERROR(VLOOKUP(B329,BD_CONTROL!$A$5:$M$4235,11,0),"")</f>
        <v>0</v>
      </c>
      <c r="L329" s="120">
        <f>IFERROR(VLOOKUP(B329,BD_CONTROL!$A$5:$M$4235,12,0),"")</f>
        <v>0</v>
      </c>
      <c r="M329" s="121">
        <f>IFERROR(VLOOKUP(B329,BD_CONTROL!$A$5:$M$4235,13,0),"")</f>
        <v>0</v>
      </c>
    </row>
    <row r="330" spans="1:13" ht="15" hidden="1" customHeight="1">
      <c r="A330" s="39">
        <v>325</v>
      </c>
      <c r="B330" s="39" t="s">
        <v>8762</v>
      </c>
      <c r="C330" s="40" t="s">
        <v>8763</v>
      </c>
      <c r="D330" s="39" t="s">
        <v>6893</v>
      </c>
      <c r="E330" s="40" t="s">
        <v>8746</v>
      </c>
      <c r="F330" s="40" t="s">
        <v>8764</v>
      </c>
      <c r="G330" s="39" t="s">
        <v>109</v>
      </c>
      <c r="H330" s="40" t="s">
        <v>6895</v>
      </c>
      <c r="I330" s="40" t="s">
        <v>104</v>
      </c>
      <c r="J330" s="50"/>
      <c r="K330" s="116">
        <f>IFERROR(VLOOKUP(B330,BD_CONTROL!$A$5:$M$4235,11,0),"")</f>
        <v>0</v>
      </c>
      <c r="L330" s="117">
        <f>IFERROR(VLOOKUP(B330,BD_CONTROL!$A$5:$M$4235,12,0),"")</f>
        <v>0</v>
      </c>
      <c r="M330" s="118">
        <f>IFERROR(VLOOKUP(B330,BD_CONTROL!$A$5:$M$4235,13,0),"")</f>
        <v>0</v>
      </c>
    </row>
    <row r="331" spans="1:13" ht="15" hidden="1" customHeight="1">
      <c r="A331" s="42">
        <v>326</v>
      </c>
      <c r="B331" s="42" t="s">
        <v>8765</v>
      </c>
      <c r="C331" s="43" t="s">
        <v>1182</v>
      </c>
      <c r="D331" s="42" t="s">
        <v>6893</v>
      </c>
      <c r="E331" s="43" t="s">
        <v>8746</v>
      </c>
      <c r="F331" s="43" t="s">
        <v>8766</v>
      </c>
      <c r="G331" s="42" t="s">
        <v>109</v>
      </c>
      <c r="H331" s="43" t="s">
        <v>6895</v>
      </c>
      <c r="I331" s="43" t="s">
        <v>104</v>
      </c>
      <c r="J331" s="55"/>
      <c r="K331" s="119">
        <f>IFERROR(VLOOKUP(B331,BD_CONTROL!$A$5:$M$4235,11,0),"")</f>
        <v>0</v>
      </c>
      <c r="L331" s="120">
        <f>IFERROR(VLOOKUP(B331,BD_CONTROL!$A$5:$M$4235,12,0),"")</f>
        <v>0</v>
      </c>
      <c r="M331" s="121">
        <f>IFERROR(VLOOKUP(B331,BD_CONTROL!$A$5:$M$4235,13,0),"")</f>
        <v>0</v>
      </c>
    </row>
    <row r="332" spans="1:13" ht="15" hidden="1" customHeight="1">
      <c r="A332" s="39">
        <v>327</v>
      </c>
      <c r="B332" s="39" t="s">
        <v>8767</v>
      </c>
      <c r="C332" s="40" t="s">
        <v>2243</v>
      </c>
      <c r="D332" s="39" t="s">
        <v>6893</v>
      </c>
      <c r="E332" s="40" t="s">
        <v>8746</v>
      </c>
      <c r="F332" s="40" t="s">
        <v>363</v>
      </c>
      <c r="G332" s="39" t="s">
        <v>109</v>
      </c>
      <c r="H332" s="40" t="s">
        <v>6895</v>
      </c>
      <c r="I332" s="40" t="s">
        <v>104</v>
      </c>
      <c r="J332" s="50"/>
      <c r="K332" s="116">
        <f>IFERROR(VLOOKUP(B332,BD_CONTROL!$A$5:$M$4235,11,0),"")</f>
        <v>0</v>
      </c>
      <c r="L332" s="117">
        <f>IFERROR(VLOOKUP(B332,BD_CONTROL!$A$5:$M$4235,12,0),"")</f>
        <v>0</v>
      </c>
      <c r="M332" s="118">
        <f>IFERROR(VLOOKUP(B332,BD_CONTROL!$A$5:$M$4235,13,0),"")</f>
        <v>0</v>
      </c>
    </row>
    <row r="333" spans="1:13" ht="15" hidden="1" customHeight="1">
      <c r="A333" s="42">
        <v>328</v>
      </c>
      <c r="B333" s="42" t="s">
        <v>8768</v>
      </c>
      <c r="C333" s="43" t="s">
        <v>8769</v>
      </c>
      <c r="D333" s="42" t="s">
        <v>6893</v>
      </c>
      <c r="E333" s="43" t="s">
        <v>8746</v>
      </c>
      <c r="F333" s="43" t="s">
        <v>8770</v>
      </c>
      <c r="G333" s="42" t="s">
        <v>109</v>
      </c>
      <c r="H333" s="43" t="s">
        <v>6895</v>
      </c>
      <c r="I333" s="43" t="s">
        <v>104</v>
      </c>
      <c r="J333" s="55"/>
      <c r="K333" s="119">
        <f>IFERROR(VLOOKUP(B333,BD_CONTROL!$A$5:$M$4235,11,0),"")</f>
        <v>0</v>
      </c>
      <c r="L333" s="120">
        <f>IFERROR(VLOOKUP(B333,BD_CONTROL!$A$5:$M$4235,12,0),"")</f>
        <v>0</v>
      </c>
      <c r="M333" s="121">
        <f>IFERROR(VLOOKUP(B333,BD_CONTROL!$A$5:$M$4235,13,0),"")</f>
        <v>0</v>
      </c>
    </row>
    <row r="334" spans="1:13" ht="15" hidden="1" customHeight="1">
      <c r="A334" s="39">
        <v>329</v>
      </c>
      <c r="B334" s="39" t="s">
        <v>8771</v>
      </c>
      <c r="C334" s="40" t="s">
        <v>3096</v>
      </c>
      <c r="D334" s="39" t="s">
        <v>6893</v>
      </c>
      <c r="E334" s="40" t="s">
        <v>8746</v>
      </c>
      <c r="F334" s="40" t="s">
        <v>8772</v>
      </c>
      <c r="G334" s="39" t="s">
        <v>109</v>
      </c>
      <c r="H334" s="40" t="s">
        <v>6895</v>
      </c>
      <c r="I334" s="40" t="s">
        <v>104</v>
      </c>
      <c r="J334" s="50"/>
      <c r="K334" s="116">
        <f>IFERROR(VLOOKUP(B334,BD_CONTROL!$A$5:$M$4235,11,0),"")</f>
        <v>0</v>
      </c>
      <c r="L334" s="117">
        <f>IFERROR(VLOOKUP(B334,BD_CONTROL!$A$5:$M$4235,12,0),"")</f>
        <v>0</v>
      </c>
      <c r="M334" s="118">
        <f>IFERROR(VLOOKUP(B334,BD_CONTROL!$A$5:$M$4235,13,0),"")</f>
        <v>0</v>
      </c>
    </row>
    <row r="335" spans="1:13" ht="15" hidden="1" customHeight="1">
      <c r="A335" s="42">
        <v>330</v>
      </c>
      <c r="B335" s="42" t="s">
        <v>8773</v>
      </c>
      <c r="C335" s="43" t="s">
        <v>2376</v>
      </c>
      <c r="D335" s="42" t="s">
        <v>6893</v>
      </c>
      <c r="E335" s="43" t="s">
        <v>8746</v>
      </c>
      <c r="F335" s="43" t="s">
        <v>6837</v>
      </c>
      <c r="G335" s="42" t="s">
        <v>109</v>
      </c>
      <c r="H335" s="43" t="s">
        <v>6895</v>
      </c>
      <c r="I335" s="43" t="s">
        <v>104</v>
      </c>
      <c r="J335" s="55"/>
      <c r="K335" s="119">
        <f>IFERROR(VLOOKUP(B335,BD_CONTROL!$A$5:$M$4235,11,0),"")</f>
        <v>0</v>
      </c>
      <c r="L335" s="120">
        <f>IFERROR(VLOOKUP(B335,BD_CONTROL!$A$5:$M$4235,12,0),"")</f>
        <v>0</v>
      </c>
      <c r="M335" s="121">
        <f>IFERROR(VLOOKUP(B335,BD_CONTROL!$A$5:$M$4235,13,0),"")</f>
        <v>0</v>
      </c>
    </row>
    <row r="336" spans="1:13" ht="15" hidden="1" customHeight="1">
      <c r="A336" s="39">
        <v>331</v>
      </c>
      <c r="B336" s="39" t="s">
        <v>8774</v>
      </c>
      <c r="C336" s="40" t="s">
        <v>8775</v>
      </c>
      <c r="D336" s="39" t="s">
        <v>6893</v>
      </c>
      <c r="E336" s="40" t="s">
        <v>8746</v>
      </c>
      <c r="F336" s="40" t="s">
        <v>8776</v>
      </c>
      <c r="G336" s="39" t="s">
        <v>109</v>
      </c>
      <c r="H336" s="40" t="s">
        <v>6895</v>
      </c>
      <c r="I336" s="40" t="s">
        <v>104</v>
      </c>
      <c r="J336" s="50"/>
      <c r="K336" s="116">
        <f>IFERROR(VLOOKUP(B336,BD_CONTROL!$A$5:$M$4235,11,0),"")</f>
        <v>0</v>
      </c>
      <c r="L336" s="117">
        <f>IFERROR(VLOOKUP(B336,BD_CONTROL!$A$5:$M$4235,12,0),"")</f>
        <v>0</v>
      </c>
      <c r="M336" s="118">
        <f>IFERROR(VLOOKUP(B336,BD_CONTROL!$A$5:$M$4235,13,0),"")</f>
        <v>0</v>
      </c>
    </row>
    <row r="337" spans="1:13" ht="15" hidden="1" customHeight="1">
      <c r="A337" s="42">
        <v>332</v>
      </c>
      <c r="B337" s="42" t="s">
        <v>8777</v>
      </c>
      <c r="C337" s="43" t="s">
        <v>6735</v>
      </c>
      <c r="D337" s="42" t="s">
        <v>6893</v>
      </c>
      <c r="E337" s="43" t="s">
        <v>8778</v>
      </c>
      <c r="F337" s="43" t="s">
        <v>8779</v>
      </c>
      <c r="G337" s="42" t="s">
        <v>6739</v>
      </c>
      <c r="H337" s="43" t="s">
        <v>6895</v>
      </c>
      <c r="I337" s="43" t="s">
        <v>6741</v>
      </c>
      <c r="J337" s="55"/>
      <c r="K337" s="119" t="str">
        <f>IFERROR(VLOOKUP(B337,BD_CONTROL!$A$5:$M$4235,11,0),"")</f>
        <v>Instalado - Operando</v>
      </c>
      <c r="L337" s="120">
        <f>IFERROR(VLOOKUP(B337,BD_CONTROL!$A$5:$M$4235,12,0),"")</f>
        <v>46147</v>
      </c>
      <c r="M337" s="121" t="str">
        <f>IFERROR(VLOOKUP(B337,BD_CONTROL!$A$5:$M$4235,13,0),"")</f>
        <v>Falta cargar en sistema de instalación sitios</v>
      </c>
    </row>
    <row r="338" spans="1:13" ht="15" hidden="1" customHeight="1">
      <c r="A338" s="39">
        <v>333</v>
      </c>
      <c r="B338" s="39" t="s">
        <v>8781</v>
      </c>
      <c r="C338" s="40" t="s">
        <v>6735</v>
      </c>
      <c r="D338" s="39" t="s">
        <v>6893</v>
      </c>
      <c r="E338" s="40" t="s">
        <v>8778</v>
      </c>
      <c r="F338" s="40" t="s">
        <v>8779</v>
      </c>
      <c r="G338" s="39" t="s">
        <v>6739</v>
      </c>
      <c r="H338" s="40" t="s">
        <v>6895</v>
      </c>
      <c r="I338" s="40" t="s">
        <v>6741</v>
      </c>
      <c r="J338" s="50"/>
      <c r="K338" s="116" t="str">
        <f>IFERROR(VLOOKUP(B338,BD_CONTROL!$A$5:$M$4235,11,0),"")</f>
        <v>Instalado - Operando</v>
      </c>
      <c r="L338" s="117">
        <f>IFERROR(VLOOKUP(B338,BD_CONTROL!$A$5:$M$4235,12,0),"")</f>
        <v>46147</v>
      </c>
      <c r="M338" s="118" t="str">
        <f>IFERROR(VLOOKUP(B338,BD_CONTROL!$A$5:$M$4235,13,0),"")</f>
        <v xml:space="preserve">Falta cargar en sistema de instalacion sitios
</v>
      </c>
    </row>
    <row r="339" spans="1:13" ht="15" hidden="1" customHeight="1">
      <c r="A339" s="42">
        <v>334</v>
      </c>
      <c r="B339" s="42" t="s">
        <v>8783</v>
      </c>
      <c r="C339" s="43" t="s">
        <v>6735</v>
      </c>
      <c r="D339" s="42" t="s">
        <v>6893</v>
      </c>
      <c r="E339" s="43" t="s">
        <v>8778</v>
      </c>
      <c r="F339" s="43" t="s">
        <v>8779</v>
      </c>
      <c r="G339" s="42" t="s">
        <v>6739</v>
      </c>
      <c r="H339" s="43" t="s">
        <v>6895</v>
      </c>
      <c r="I339" s="43" t="s">
        <v>6741</v>
      </c>
      <c r="J339" s="55"/>
      <c r="K339" s="119" t="str">
        <f>IFERROR(VLOOKUP(B339,BD_CONTROL!$A$5:$M$4235,11,0),"")</f>
        <v>Instalado - Operando</v>
      </c>
      <c r="L339" s="120">
        <f>IFERROR(VLOOKUP(B339,BD_CONTROL!$A$5:$M$4235,12,0),"")</f>
        <v>46147</v>
      </c>
      <c r="M339" s="121">
        <f>IFERROR(VLOOKUP(B339,BD_CONTROL!$A$5:$M$4235,13,0),"")</f>
        <v>0</v>
      </c>
    </row>
    <row r="340" spans="1:13" ht="15" hidden="1" customHeight="1">
      <c r="A340" s="39">
        <v>335</v>
      </c>
      <c r="B340" s="39" t="s">
        <v>8784</v>
      </c>
      <c r="C340" s="40" t="s">
        <v>8785</v>
      </c>
      <c r="D340" s="39" t="s">
        <v>6893</v>
      </c>
      <c r="E340" s="40" t="s">
        <v>8778</v>
      </c>
      <c r="F340" s="40" t="s">
        <v>8786</v>
      </c>
      <c r="G340" s="39" t="s">
        <v>109</v>
      </c>
      <c r="H340" s="40" t="s">
        <v>6895</v>
      </c>
      <c r="I340" s="40" t="s">
        <v>104</v>
      </c>
      <c r="J340" s="50"/>
      <c r="K340" s="116" t="str">
        <f>IFERROR(VLOOKUP(B340,BD_CONTROL!$A$5:$M$4235,11,0),"")</f>
        <v>Instalado - Operando</v>
      </c>
      <c r="L340" s="117">
        <f>IFERROR(VLOOKUP(B340,BD_CONTROL!$A$5:$M$4235,12,0),"")</f>
        <v>46149</v>
      </c>
      <c r="M340" s="118">
        <f>IFERROR(VLOOKUP(B340,BD_CONTROL!$A$5:$M$4235,13,0),"")</f>
        <v>0</v>
      </c>
    </row>
    <row r="341" spans="1:13" ht="15" hidden="1" customHeight="1">
      <c r="A341" s="42">
        <v>336</v>
      </c>
      <c r="B341" s="42" t="s">
        <v>8787</v>
      </c>
      <c r="C341" s="43" t="s">
        <v>2406</v>
      </c>
      <c r="D341" s="42" t="s">
        <v>6893</v>
      </c>
      <c r="E341" s="43" t="s">
        <v>8778</v>
      </c>
      <c r="F341" s="43" t="s">
        <v>127</v>
      </c>
      <c r="G341" s="42" t="s">
        <v>109</v>
      </c>
      <c r="H341" s="43" t="s">
        <v>6895</v>
      </c>
      <c r="I341" s="43" t="s">
        <v>104</v>
      </c>
      <c r="J341" s="55"/>
      <c r="K341" s="119" t="str">
        <f>IFERROR(VLOOKUP(B341,BD_CONTROL!$A$5:$M$4235,11,0),"")</f>
        <v>Instalado - Operando</v>
      </c>
      <c r="L341" s="120">
        <f>IFERROR(VLOOKUP(B341,BD_CONTROL!$A$5:$M$4235,12,0),"")</f>
        <v>46150</v>
      </c>
      <c r="M341" s="121">
        <f>IFERROR(VLOOKUP(B341,BD_CONTROL!$A$5:$M$4235,13,0),"")</f>
        <v>0</v>
      </c>
    </row>
    <row r="342" spans="1:13" ht="15" hidden="1" customHeight="1">
      <c r="A342" s="39">
        <v>337</v>
      </c>
      <c r="B342" s="39" t="s">
        <v>8788</v>
      </c>
      <c r="C342" s="40" t="s">
        <v>8789</v>
      </c>
      <c r="D342" s="39" t="s">
        <v>6893</v>
      </c>
      <c r="E342" s="40" t="s">
        <v>8778</v>
      </c>
      <c r="F342" s="40" t="s">
        <v>8790</v>
      </c>
      <c r="G342" s="39" t="s">
        <v>109</v>
      </c>
      <c r="H342" s="40" t="s">
        <v>6895</v>
      </c>
      <c r="I342" s="40" t="s">
        <v>104</v>
      </c>
      <c r="J342" s="50"/>
      <c r="K342" s="116" t="str">
        <f>IFERROR(VLOOKUP(B342,BD_CONTROL!$A$5:$M$4235,11,0),"")</f>
        <v>Instalado - Operando</v>
      </c>
      <c r="L342" s="117">
        <f>IFERROR(VLOOKUP(B342,BD_CONTROL!$A$5:$M$4235,12,0),"")</f>
        <v>46148</v>
      </c>
      <c r="M342" s="118" t="str">
        <f>IFERROR(VLOOKUP(B342,BD_CONTROL!$A$5:$M$4235,13,0),"")</f>
        <v>Por registrar en portal de sitios de instalacion</v>
      </c>
    </row>
    <row r="343" spans="1:13" ht="15" hidden="1" customHeight="1">
      <c r="A343" s="42">
        <v>338</v>
      </c>
      <c r="B343" s="42" t="s">
        <v>8791</v>
      </c>
      <c r="C343" s="43" t="s">
        <v>2220</v>
      </c>
      <c r="D343" s="42" t="s">
        <v>6893</v>
      </c>
      <c r="E343" s="43" t="s">
        <v>8778</v>
      </c>
      <c r="F343" s="43" t="s">
        <v>8792</v>
      </c>
      <c r="G343" s="42" t="s">
        <v>109</v>
      </c>
      <c r="H343" s="43" t="s">
        <v>6895</v>
      </c>
      <c r="I343" s="43" t="s">
        <v>104</v>
      </c>
      <c r="J343" s="55"/>
      <c r="K343" s="119" t="str">
        <f>IFERROR(VLOOKUP(B343,BD_CONTROL!$A$5:$M$4235,11,0),"")</f>
        <v>Instalado - Operando</v>
      </c>
      <c r="L343" s="120">
        <f>IFERROR(VLOOKUP(B343,BD_CONTROL!$A$5:$M$4235,12,0),"")</f>
        <v>46148</v>
      </c>
      <c r="M343" s="121" t="str">
        <f>IFERROR(VLOOKUP(B343,BD_CONTROL!$A$5:$M$4235,13,0),"")</f>
        <v>Por registrar en portal de sitios de instalacion</v>
      </c>
    </row>
    <row r="344" spans="1:13" ht="15" hidden="1" customHeight="1">
      <c r="A344" s="39">
        <v>339</v>
      </c>
      <c r="B344" s="39" t="s">
        <v>8793</v>
      </c>
      <c r="C344" s="40" t="s">
        <v>8794</v>
      </c>
      <c r="D344" s="39" t="s">
        <v>6893</v>
      </c>
      <c r="E344" s="40" t="s">
        <v>8778</v>
      </c>
      <c r="F344" s="40" t="s">
        <v>8795</v>
      </c>
      <c r="G344" s="39" t="s">
        <v>109</v>
      </c>
      <c r="H344" s="40" t="s">
        <v>6895</v>
      </c>
      <c r="I344" s="40" t="s">
        <v>104</v>
      </c>
      <c r="J344" s="50"/>
      <c r="K344" s="116">
        <f>IFERROR(VLOOKUP(B344,BD_CONTROL!$A$5:$M$4235,11,0),"")</f>
        <v>0</v>
      </c>
      <c r="L344" s="117">
        <f>IFERROR(VLOOKUP(B344,BD_CONTROL!$A$5:$M$4235,12,0),"")</f>
        <v>0</v>
      </c>
      <c r="M344" s="118">
        <f>IFERROR(VLOOKUP(B344,BD_CONTROL!$A$5:$M$4235,13,0),"")</f>
        <v>0</v>
      </c>
    </row>
    <row r="345" spans="1:13" ht="15" hidden="1" customHeight="1">
      <c r="A345" s="42">
        <v>340</v>
      </c>
      <c r="B345" s="42" t="s">
        <v>8796</v>
      </c>
      <c r="C345" s="43" t="s">
        <v>8797</v>
      </c>
      <c r="D345" s="42" t="s">
        <v>6893</v>
      </c>
      <c r="E345" s="43" t="s">
        <v>8778</v>
      </c>
      <c r="F345" s="43" t="s">
        <v>8798</v>
      </c>
      <c r="G345" s="42" t="s">
        <v>109</v>
      </c>
      <c r="H345" s="43" t="s">
        <v>6895</v>
      </c>
      <c r="I345" s="43" t="s">
        <v>104</v>
      </c>
      <c r="J345" s="55"/>
      <c r="K345" s="119">
        <f>IFERROR(VLOOKUP(B345,BD_CONTROL!$A$5:$M$4235,11,0),"")</f>
        <v>0</v>
      </c>
      <c r="L345" s="120">
        <f>IFERROR(VLOOKUP(B345,BD_CONTROL!$A$5:$M$4235,12,0),"")</f>
        <v>0</v>
      </c>
      <c r="M345" s="121">
        <f>IFERROR(VLOOKUP(B345,BD_CONTROL!$A$5:$M$4235,13,0),"")</f>
        <v>0</v>
      </c>
    </row>
    <row r="346" spans="1:13" ht="15" hidden="1" customHeight="1">
      <c r="A346" s="39">
        <v>341</v>
      </c>
      <c r="B346" s="39" t="s">
        <v>8799</v>
      </c>
      <c r="C346" s="40" t="s">
        <v>8800</v>
      </c>
      <c r="D346" s="39" t="s">
        <v>6893</v>
      </c>
      <c r="E346" s="40" t="s">
        <v>8801</v>
      </c>
      <c r="F346" s="40" t="s">
        <v>8802</v>
      </c>
      <c r="G346" s="39" t="s">
        <v>109</v>
      </c>
      <c r="H346" s="40" t="s">
        <v>6895</v>
      </c>
      <c r="I346" s="40" t="s">
        <v>104</v>
      </c>
      <c r="J346" s="50"/>
      <c r="K346" s="116">
        <f>IFERROR(VLOOKUP(B346,BD_CONTROL!$A$5:$M$4235,11,0),"")</f>
        <v>0</v>
      </c>
      <c r="L346" s="117">
        <f>IFERROR(VLOOKUP(B346,BD_CONTROL!$A$5:$M$4235,12,0),"")</f>
        <v>0</v>
      </c>
      <c r="M346" s="118">
        <f>IFERROR(VLOOKUP(B346,BD_CONTROL!$A$5:$M$4235,13,0),"")</f>
        <v>0</v>
      </c>
    </row>
    <row r="347" spans="1:13" ht="15" hidden="1" customHeight="1">
      <c r="A347" s="42">
        <v>342</v>
      </c>
      <c r="B347" s="42" t="s">
        <v>8803</v>
      </c>
      <c r="C347" s="43" t="s">
        <v>2128</v>
      </c>
      <c r="D347" s="42" t="s">
        <v>6893</v>
      </c>
      <c r="E347" s="43" t="s">
        <v>8801</v>
      </c>
      <c r="F347" s="43" t="s">
        <v>133</v>
      </c>
      <c r="G347" s="42" t="s">
        <v>109</v>
      </c>
      <c r="H347" s="43" t="s">
        <v>6895</v>
      </c>
      <c r="I347" s="43" t="s">
        <v>104</v>
      </c>
      <c r="J347" s="55"/>
      <c r="K347" s="119">
        <f>IFERROR(VLOOKUP(B347,BD_CONTROL!$A$5:$M$4235,11,0),"")</f>
        <v>0</v>
      </c>
      <c r="L347" s="120">
        <f>IFERROR(VLOOKUP(B347,BD_CONTROL!$A$5:$M$4235,12,0),"")</f>
        <v>0</v>
      </c>
      <c r="M347" s="121">
        <f>IFERROR(VLOOKUP(B347,BD_CONTROL!$A$5:$M$4235,13,0),"")</f>
        <v>0</v>
      </c>
    </row>
    <row r="348" spans="1:13" ht="15" hidden="1" customHeight="1">
      <c r="A348" s="39">
        <v>343</v>
      </c>
      <c r="B348" s="39" t="s">
        <v>8804</v>
      </c>
      <c r="C348" s="40" t="s">
        <v>6735</v>
      </c>
      <c r="D348" s="39" t="s">
        <v>6893</v>
      </c>
      <c r="E348" s="40" t="s">
        <v>8801</v>
      </c>
      <c r="F348" s="40" t="s">
        <v>8801</v>
      </c>
      <c r="G348" s="39" t="s">
        <v>6739</v>
      </c>
      <c r="H348" s="40" t="s">
        <v>6895</v>
      </c>
      <c r="I348" s="40" t="s">
        <v>6741</v>
      </c>
      <c r="J348" s="50"/>
      <c r="K348" s="116">
        <f>IFERROR(VLOOKUP(B348,BD_CONTROL!$A$5:$M$4235,11,0),"")</f>
        <v>0</v>
      </c>
      <c r="L348" s="117">
        <f>IFERROR(VLOOKUP(B348,BD_CONTROL!$A$5:$M$4235,12,0),"")</f>
        <v>0</v>
      </c>
      <c r="M348" s="118">
        <f>IFERROR(VLOOKUP(B348,BD_CONTROL!$A$5:$M$4235,13,0),"")</f>
        <v>0</v>
      </c>
    </row>
    <row r="349" spans="1:13" ht="15" hidden="1" customHeight="1">
      <c r="A349" s="42">
        <v>344</v>
      </c>
      <c r="B349" s="42" t="s">
        <v>8805</v>
      </c>
      <c r="C349" s="43" t="s">
        <v>8806</v>
      </c>
      <c r="D349" s="42" t="s">
        <v>6893</v>
      </c>
      <c r="E349" s="43" t="s">
        <v>8801</v>
      </c>
      <c r="F349" s="43" t="s">
        <v>4751</v>
      </c>
      <c r="G349" s="42" t="s">
        <v>109</v>
      </c>
      <c r="H349" s="43" t="s">
        <v>6895</v>
      </c>
      <c r="I349" s="43" t="s">
        <v>104</v>
      </c>
      <c r="J349" s="55"/>
      <c r="K349" s="119">
        <f>IFERROR(VLOOKUP(B349,BD_CONTROL!$A$5:$M$4235,11,0),"")</f>
        <v>0</v>
      </c>
      <c r="L349" s="120">
        <f>IFERROR(VLOOKUP(B349,BD_CONTROL!$A$5:$M$4235,12,0),"")</f>
        <v>0</v>
      </c>
      <c r="M349" s="121">
        <f>IFERROR(VLOOKUP(B349,BD_CONTROL!$A$5:$M$4235,13,0),"")</f>
        <v>0</v>
      </c>
    </row>
    <row r="350" spans="1:13" ht="15" hidden="1" customHeight="1">
      <c r="A350" s="39">
        <v>345</v>
      </c>
      <c r="B350" s="39" t="s">
        <v>8807</v>
      </c>
      <c r="C350" s="40" t="s">
        <v>2123</v>
      </c>
      <c r="D350" s="39" t="s">
        <v>6893</v>
      </c>
      <c r="E350" s="40" t="s">
        <v>8801</v>
      </c>
      <c r="F350" s="40" t="s">
        <v>8808</v>
      </c>
      <c r="G350" s="39" t="s">
        <v>109</v>
      </c>
      <c r="H350" s="40" t="s">
        <v>6895</v>
      </c>
      <c r="I350" s="40" t="s">
        <v>104</v>
      </c>
      <c r="J350" s="50"/>
      <c r="K350" s="116">
        <f>IFERROR(VLOOKUP(B350,BD_CONTROL!$A$5:$M$4235,11,0),"")</f>
        <v>0</v>
      </c>
      <c r="L350" s="117">
        <f>IFERROR(VLOOKUP(B350,BD_CONTROL!$A$5:$M$4235,12,0),"")</f>
        <v>0</v>
      </c>
      <c r="M350" s="118">
        <f>IFERROR(VLOOKUP(B350,BD_CONTROL!$A$5:$M$4235,13,0),"")</f>
        <v>0</v>
      </c>
    </row>
    <row r="351" spans="1:13" ht="15" hidden="1" customHeight="1">
      <c r="A351" s="42">
        <v>346</v>
      </c>
      <c r="B351" s="42" t="s">
        <v>8810</v>
      </c>
      <c r="C351" s="43" t="s">
        <v>6735</v>
      </c>
      <c r="D351" s="42" t="s">
        <v>6893</v>
      </c>
      <c r="E351" s="43" t="s">
        <v>8801</v>
      </c>
      <c r="F351" s="43" t="s">
        <v>8808</v>
      </c>
      <c r="G351" s="42" t="s">
        <v>6739</v>
      </c>
      <c r="H351" s="43" t="s">
        <v>6895</v>
      </c>
      <c r="I351" s="43" t="s">
        <v>6741</v>
      </c>
      <c r="J351" s="55"/>
      <c r="K351" s="119">
        <f>IFERROR(VLOOKUP(B351,BD_CONTROL!$A$5:$M$4235,11,0),"")</f>
        <v>0</v>
      </c>
      <c r="L351" s="120">
        <f>IFERROR(VLOOKUP(B351,BD_CONTROL!$A$5:$M$4235,12,0),"")</f>
        <v>0</v>
      </c>
      <c r="M351" s="121">
        <f>IFERROR(VLOOKUP(B351,BD_CONTROL!$A$5:$M$4235,13,0),"")</f>
        <v>0</v>
      </c>
    </row>
    <row r="352" spans="1:13" ht="15" hidden="1" customHeight="1">
      <c r="A352" s="39">
        <v>347</v>
      </c>
      <c r="B352" s="39" t="s">
        <v>8811</v>
      </c>
      <c r="C352" s="40" t="s">
        <v>8812</v>
      </c>
      <c r="D352" s="39" t="s">
        <v>6893</v>
      </c>
      <c r="E352" s="40" t="s">
        <v>8801</v>
      </c>
      <c r="F352" s="40" t="s">
        <v>8813</v>
      </c>
      <c r="G352" s="39" t="s">
        <v>109</v>
      </c>
      <c r="H352" s="40" t="s">
        <v>6895</v>
      </c>
      <c r="I352" s="40" t="s">
        <v>104</v>
      </c>
      <c r="J352" s="50"/>
      <c r="K352" s="116">
        <f>IFERROR(VLOOKUP(B352,BD_CONTROL!$A$5:$M$4235,11,0),"")</f>
        <v>0</v>
      </c>
      <c r="L352" s="117">
        <f>IFERROR(VLOOKUP(B352,BD_CONTROL!$A$5:$M$4235,12,0),"")</f>
        <v>0</v>
      </c>
      <c r="M352" s="118">
        <f>IFERROR(VLOOKUP(B352,BD_CONTROL!$A$5:$M$4235,13,0),"")</f>
        <v>0</v>
      </c>
    </row>
    <row r="353" spans="1:13" ht="15" hidden="1" customHeight="1">
      <c r="A353" s="42">
        <v>348</v>
      </c>
      <c r="B353" s="42" t="s">
        <v>8814</v>
      </c>
      <c r="C353" s="43" t="s">
        <v>8815</v>
      </c>
      <c r="D353" s="42" t="s">
        <v>6893</v>
      </c>
      <c r="E353" s="43" t="s">
        <v>8801</v>
      </c>
      <c r="F353" s="43" t="s">
        <v>8816</v>
      </c>
      <c r="G353" s="42" t="s">
        <v>109</v>
      </c>
      <c r="H353" s="43" t="s">
        <v>6895</v>
      </c>
      <c r="I353" s="43" t="s">
        <v>104</v>
      </c>
      <c r="J353" s="55"/>
      <c r="K353" s="119">
        <f>IFERROR(VLOOKUP(B353,BD_CONTROL!$A$5:$M$4235,11,0),"")</f>
        <v>0</v>
      </c>
      <c r="L353" s="120">
        <f>IFERROR(VLOOKUP(B353,BD_CONTROL!$A$5:$M$4235,12,0),"")</f>
        <v>0</v>
      </c>
      <c r="M353" s="121">
        <f>IFERROR(VLOOKUP(B353,BD_CONTROL!$A$5:$M$4235,13,0),"")</f>
        <v>0</v>
      </c>
    </row>
    <row r="354" spans="1:13" ht="15" hidden="1" customHeight="1">
      <c r="A354" s="39">
        <v>349</v>
      </c>
      <c r="B354" s="39" t="s">
        <v>8817</v>
      </c>
      <c r="C354" s="40" t="s">
        <v>8818</v>
      </c>
      <c r="D354" s="39" t="s">
        <v>6893</v>
      </c>
      <c r="E354" s="40" t="s">
        <v>8819</v>
      </c>
      <c r="F354" s="40" t="s">
        <v>8820</v>
      </c>
      <c r="G354" s="39" t="s">
        <v>109</v>
      </c>
      <c r="H354" s="40" t="s">
        <v>6895</v>
      </c>
      <c r="I354" s="40" t="s">
        <v>104</v>
      </c>
      <c r="J354" s="50"/>
      <c r="K354" s="116" t="str">
        <f>IFERROR(VLOOKUP(B354,BD_CONTROL!$A$5:$M$4235,11,0),"")</f>
        <v>Instalado - Operando</v>
      </c>
      <c r="L354" s="117">
        <f>IFERROR(VLOOKUP(B354,BD_CONTROL!$A$5:$M$4235,12,0),"")</f>
        <v>46150</v>
      </c>
      <c r="M354" s="118">
        <f>IFERROR(VLOOKUP(B354,BD_CONTROL!$A$5:$M$4235,13,0),"")</f>
        <v>0</v>
      </c>
    </row>
    <row r="355" spans="1:13" ht="15" hidden="1" customHeight="1">
      <c r="A355" s="42">
        <v>350</v>
      </c>
      <c r="B355" s="42" t="s">
        <v>8821</v>
      </c>
      <c r="C355" s="43" t="s">
        <v>8822</v>
      </c>
      <c r="D355" s="42" t="s">
        <v>6893</v>
      </c>
      <c r="E355" s="43" t="s">
        <v>8819</v>
      </c>
      <c r="F355" s="43" t="s">
        <v>8823</v>
      </c>
      <c r="G355" s="42" t="s">
        <v>109</v>
      </c>
      <c r="H355" s="43" t="s">
        <v>6895</v>
      </c>
      <c r="I355" s="43" t="s">
        <v>104</v>
      </c>
      <c r="J355" s="55"/>
      <c r="K355" s="119">
        <f>IFERROR(VLOOKUP(B355,BD_CONTROL!$A$5:$M$4235,11,0),"")</f>
        <v>0</v>
      </c>
      <c r="L355" s="120">
        <f>IFERROR(VLOOKUP(B355,BD_CONTROL!$A$5:$M$4235,12,0),"")</f>
        <v>0</v>
      </c>
      <c r="M355" s="121">
        <f>IFERROR(VLOOKUP(B355,BD_CONTROL!$A$5:$M$4235,13,0),"")</f>
        <v>0</v>
      </c>
    </row>
    <row r="356" spans="1:13" ht="15" hidden="1" customHeight="1">
      <c r="A356" s="39">
        <v>351</v>
      </c>
      <c r="B356" s="39" t="s">
        <v>8824</v>
      </c>
      <c r="C356" s="40" t="s">
        <v>8825</v>
      </c>
      <c r="D356" s="39" t="s">
        <v>6893</v>
      </c>
      <c r="E356" s="40" t="s">
        <v>8819</v>
      </c>
      <c r="F356" s="40" t="s">
        <v>8826</v>
      </c>
      <c r="G356" s="39" t="s">
        <v>109</v>
      </c>
      <c r="H356" s="40" t="s">
        <v>6895</v>
      </c>
      <c r="I356" s="40" t="s">
        <v>104</v>
      </c>
      <c r="J356" s="50"/>
      <c r="K356" s="116" t="str">
        <f>IFERROR(VLOOKUP(B356,BD_CONTROL!$A$5:$M$4235,11,0),"")</f>
        <v>Instalado - Operando</v>
      </c>
      <c r="L356" s="117">
        <f>IFERROR(VLOOKUP(B356,BD_CONTROL!$A$5:$M$4235,12,0),"")</f>
        <v>46149</v>
      </c>
      <c r="M356" s="118">
        <f>IFERROR(VLOOKUP(B356,BD_CONTROL!$A$5:$M$4235,13,0),"")</f>
        <v>0</v>
      </c>
    </row>
    <row r="357" spans="1:13" ht="15" hidden="1" customHeight="1">
      <c r="A357" s="42">
        <v>352</v>
      </c>
      <c r="B357" s="42" t="s">
        <v>8827</v>
      </c>
      <c r="C357" s="43" t="s">
        <v>8828</v>
      </c>
      <c r="D357" s="42" t="s">
        <v>6893</v>
      </c>
      <c r="E357" s="43" t="s">
        <v>8819</v>
      </c>
      <c r="F357" s="43" t="s">
        <v>8829</v>
      </c>
      <c r="G357" s="42" t="s">
        <v>109</v>
      </c>
      <c r="H357" s="43" t="s">
        <v>6895</v>
      </c>
      <c r="I357" s="43" t="s">
        <v>104</v>
      </c>
      <c r="J357" s="55"/>
      <c r="K357" s="119">
        <f>IFERROR(VLOOKUP(B357,BD_CONTROL!$A$5:$M$4235,11,0),"")</f>
        <v>0</v>
      </c>
      <c r="L357" s="120">
        <f>IFERROR(VLOOKUP(B357,BD_CONTROL!$A$5:$M$4235,12,0),"")</f>
        <v>0</v>
      </c>
      <c r="M357" s="121">
        <f>IFERROR(VLOOKUP(B357,BD_CONTROL!$A$5:$M$4235,13,0),"")</f>
        <v>0</v>
      </c>
    </row>
    <row r="358" spans="1:13" ht="15" hidden="1" customHeight="1">
      <c r="A358" s="39">
        <v>353</v>
      </c>
      <c r="B358" s="39" t="s">
        <v>8832</v>
      </c>
      <c r="C358" s="40" t="s">
        <v>2102</v>
      </c>
      <c r="D358" s="39" t="s">
        <v>6893</v>
      </c>
      <c r="E358" s="40" t="s">
        <v>8819</v>
      </c>
      <c r="F358" s="40" t="s">
        <v>8833</v>
      </c>
      <c r="G358" s="39" t="s">
        <v>109</v>
      </c>
      <c r="H358" s="40" t="s">
        <v>6895</v>
      </c>
      <c r="I358" s="40" t="s">
        <v>104</v>
      </c>
      <c r="J358" s="50"/>
      <c r="K358" s="116">
        <f>IFERROR(VLOOKUP(B358,BD_CONTROL!$A$5:$M$4235,11,0),"")</f>
        <v>0</v>
      </c>
      <c r="L358" s="117">
        <f>IFERROR(VLOOKUP(B358,BD_CONTROL!$A$5:$M$4235,12,0),"")</f>
        <v>0</v>
      </c>
      <c r="M358" s="118">
        <f>IFERROR(VLOOKUP(B358,BD_CONTROL!$A$5:$M$4235,13,0),"")</f>
        <v>0</v>
      </c>
    </row>
    <row r="359" spans="1:13" ht="15" hidden="1" customHeight="1">
      <c r="A359" s="42">
        <v>354</v>
      </c>
      <c r="B359" s="42" t="s">
        <v>8834</v>
      </c>
      <c r="C359" s="43" t="s">
        <v>6735</v>
      </c>
      <c r="D359" s="42" t="s">
        <v>6893</v>
      </c>
      <c r="E359" s="43" t="s">
        <v>8819</v>
      </c>
      <c r="F359" s="43" t="s">
        <v>8819</v>
      </c>
      <c r="G359" s="42" t="s">
        <v>6739</v>
      </c>
      <c r="H359" s="43" t="s">
        <v>6895</v>
      </c>
      <c r="I359" s="43" t="s">
        <v>6741</v>
      </c>
      <c r="J359" s="55"/>
      <c r="K359" s="119" t="str">
        <f>IFERROR(VLOOKUP(B359,BD_CONTROL!$A$5:$M$4235,11,0),"")</f>
        <v>Instalado - Sin Señal</v>
      </c>
      <c r="L359" s="120">
        <f>IFERROR(VLOOKUP(B359,BD_CONTROL!$A$5:$M$4235,12,0),"")</f>
        <v>46147</v>
      </c>
      <c r="M359" s="121" t="str">
        <f>IFERROR(VLOOKUP(B359,BD_CONTROL!$A$5:$M$4235,13,0),"")</f>
        <v xml:space="preserve">Se tiene problemas con la red, no se muestra el SSID
</v>
      </c>
    </row>
    <row r="360" spans="1:13" ht="15" hidden="1" customHeight="1">
      <c r="A360" s="39">
        <v>355</v>
      </c>
      <c r="B360" s="39" t="s">
        <v>8836</v>
      </c>
      <c r="C360" s="40" t="s">
        <v>6735</v>
      </c>
      <c r="D360" s="39" t="s">
        <v>6893</v>
      </c>
      <c r="E360" s="40" t="s">
        <v>8819</v>
      </c>
      <c r="F360" s="40" t="s">
        <v>8819</v>
      </c>
      <c r="G360" s="39" t="s">
        <v>6739</v>
      </c>
      <c r="H360" s="40" t="s">
        <v>6895</v>
      </c>
      <c r="I360" s="40" t="s">
        <v>6741</v>
      </c>
      <c r="J360" s="50"/>
      <c r="K360" s="116">
        <f>IFERROR(VLOOKUP(B360,BD_CONTROL!$A$5:$M$4235,11,0),"")</f>
        <v>0</v>
      </c>
      <c r="L360" s="117">
        <f>IFERROR(VLOOKUP(B360,BD_CONTROL!$A$5:$M$4235,12,0),"")</f>
        <v>0</v>
      </c>
      <c r="M360" s="118">
        <f>IFERROR(VLOOKUP(B360,BD_CONTROL!$A$5:$M$4235,13,0),"")</f>
        <v>0</v>
      </c>
    </row>
    <row r="361" spans="1:13" ht="15" hidden="1" customHeight="1">
      <c r="A361" s="42">
        <v>356</v>
      </c>
      <c r="B361" s="42" t="s">
        <v>8837</v>
      </c>
      <c r="C361" s="43" t="s">
        <v>6735</v>
      </c>
      <c r="D361" s="42" t="s">
        <v>6893</v>
      </c>
      <c r="E361" s="43" t="s">
        <v>8819</v>
      </c>
      <c r="F361" s="43" t="s">
        <v>8819</v>
      </c>
      <c r="G361" s="42" t="s">
        <v>6739</v>
      </c>
      <c r="H361" s="43" t="s">
        <v>6895</v>
      </c>
      <c r="I361" s="43" t="s">
        <v>6741</v>
      </c>
      <c r="J361" s="55"/>
      <c r="K361" s="119">
        <f>IFERROR(VLOOKUP(B361,BD_CONTROL!$A$5:$M$4235,11,0),"")</f>
        <v>0</v>
      </c>
      <c r="L361" s="120">
        <f>IFERROR(VLOOKUP(B361,BD_CONTROL!$A$5:$M$4235,12,0),"")</f>
        <v>0</v>
      </c>
      <c r="M361" s="121">
        <f>IFERROR(VLOOKUP(B361,BD_CONTROL!$A$5:$M$4235,13,0),"")</f>
        <v>0</v>
      </c>
    </row>
    <row r="362" spans="1:13" ht="15" hidden="1" customHeight="1">
      <c r="A362" s="39">
        <v>357</v>
      </c>
      <c r="B362" s="39" t="s">
        <v>8838</v>
      </c>
      <c r="C362" s="40" t="s">
        <v>6735</v>
      </c>
      <c r="D362" s="39" t="s">
        <v>6893</v>
      </c>
      <c r="E362" s="40" t="s">
        <v>8819</v>
      </c>
      <c r="F362" s="40" t="s">
        <v>8819</v>
      </c>
      <c r="G362" s="39" t="s">
        <v>6739</v>
      </c>
      <c r="H362" s="40" t="s">
        <v>6895</v>
      </c>
      <c r="I362" s="40" t="s">
        <v>6741</v>
      </c>
      <c r="J362" s="50"/>
      <c r="K362" s="116">
        <f>IFERROR(VLOOKUP(B362,BD_CONTROL!$A$5:$M$4235,11,0),"")</f>
        <v>0</v>
      </c>
      <c r="L362" s="117">
        <f>IFERROR(VLOOKUP(B362,BD_CONTROL!$A$5:$M$4235,12,0),"")</f>
        <v>0</v>
      </c>
      <c r="M362" s="118">
        <f>IFERROR(VLOOKUP(B362,BD_CONTROL!$A$5:$M$4235,13,0),"")</f>
        <v>0</v>
      </c>
    </row>
    <row r="363" spans="1:13" ht="15" hidden="1" customHeight="1">
      <c r="A363" s="42">
        <v>358</v>
      </c>
      <c r="B363" s="42" t="s">
        <v>8839</v>
      </c>
      <c r="C363" s="43" t="s">
        <v>6735</v>
      </c>
      <c r="D363" s="42" t="s">
        <v>6893</v>
      </c>
      <c r="E363" s="43" t="s">
        <v>8819</v>
      </c>
      <c r="F363" s="43" t="s">
        <v>8819</v>
      </c>
      <c r="G363" s="42" t="s">
        <v>6739</v>
      </c>
      <c r="H363" s="43" t="s">
        <v>6895</v>
      </c>
      <c r="I363" s="43" t="s">
        <v>6741</v>
      </c>
      <c r="J363" s="55"/>
      <c r="K363" s="119">
        <f>IFERROR(VLOOKUP(B363,BD_CONTROL!$A$5:$M$4235,11,0),"")</f>
        <v>0</v>
      </c>
      <c r="L363" s="120">
        <f>IFERROR(VLOOKUP(B363,BD_CONTROL!$A$5:$M$4235,12,0),"")</f>
        <v>0</v>
      </c>
      <c r="M363" s="121">
        <f>IFERROR(VLOOKUP(B363,BD_CONTROL!$A$5:$M$4235,13,0),"")</f>
        <v>0</v>
      </c>
    </row>
    <row r="364" spans="1:13" ht="15" hidden="1" customHeight="1">
      <c r="A364" s="39">
        <v>359</v>
      </c>
      <c r="B364" s="39" t="s">
        <v>8840</v>
      </c>
      <c r="C364" s="40" t="s">
        <v>6735</v>
      </c>
      <c r="D364" s="39" t="s">
        <v>6893</v>
      </c>
      <c r="E364" s="40" t="s">
        <v>8819</v>
      </c>
      <c r="F364" s="40" t="s">
        <v>8819</v>
      </c>
      <c r="G364" s="39" t="s">
        <v>6739</v>
      </c>
      <c r="H364" s="40" t="s">
        <v>6895</v>
      </c>
      <c r="I364" s="40" t="s">
        <v>6741</v>
      </c>
      <c r="J364" s="50"/>
      <c r="K364" s="116" t="str">
        <f>IFERROR(VLOOKUP(B364,BD_CONTROL!$A$5:$M$4235,11,0),"")</f>
        <v>Instalado - Operando</v>
      </c>
      <c r="L364" s="117">
        <f>IFERROR(VLOOKUP(B364,BD_CONTROL!$A$5:$M$4235,12,0),"")</f>
        <v>46146</v>
      </c>
      <c r="M364" s="118" t="str">
        <f>IFERROR(VLOOKUP(B364,BD_CONTROL!$A$5:$M$4235,13,0),"")</f>
        <v>no se logro cargar en la aplicacion</v>
      </c>
    </row>
    <row r="365" spans="1:13" ht="15" hidden="1" customHeight="1">
      <c r="A365" s="42">
        <v>360</v>
      </c>
      <c r="B365" s="42" t="s">
        <v>8842</v>
      </c>
      <c r="C365" s="43" t="s">
        <v>8843</v>
      </c>
      <c r="D365" s="42" t="s">
        <v>6893</v>
      </c>
      <c r="E365" s="43" t="s">
        <v>8819</v>
      </c>
      <c r="F365" s="43" t="s">
        <v>8844</v>
      </c>
      <c r="G365" s="42" t="s">
        <v>109</v>
      </c>
      <c r="H365" s="43" t="s">
        <v>6895</v>
      </c>
      <c r="I365" s="43" t="s">
        <v>104</v>
      </c>
      <c r="J365" s="55"/>
      <c r="K365" s="119">
        <f>IFERROR(VLOOKUP(B365,BD_CONTROL!$A$5:$M$4235,11,0),"")</f>
        <v>0</v>
      </c>
      <c r="L365" s="120">
        <f>IFERROR(VLOOKUP(B365,BD_CONTROL!$A$5:$M$4235,12,0),"")</f>
        <v>0</v>
      </c>
      <c r="M365" s="121">
        <f>IFERROR(VLOOKUP(B365,BD_CONTROL!$A$5:$M$4235,13,0),"")</f>
        <v>0</v>
      </c>
    </row>
    <row r="366" spans="1:13" ht="15" hidden="1" customHeight="1">
      <c r="A366" s="39">
        <v>361</v>
      </c>
      <c r="B366" s="39" t="s">
        <v>8845</v>
      </c>
      <c r="C366" s="40" t="s">
        <v>833</v>
      </c>
      <c r="D366" s="39" t="s">
        <v>6893</v>
      </c>
      <c r="E366" s="40" t="s">
        <v>8819</v>
      </c>
      <c r="F366" s="40" t="s">
        <v>833</v>
      </c>
      <c r="G366" s="39" t="s">
        <v>109</v>
      </c>
      <c r="H366" s="40" t="s">
        <v>6895</v>
      </c>
      <c r="I366" s="40" t="s">
        <v>104</v>
      </c>
      <c r="J366" s="50"/>
      <c r="K366" s="116" t="str">
        <f>IFERROR(VLOOKUP(B366,BD_CONTROL!$A$5:$M$4235,11,0),"")</f>
        <v>Instalado - Operando</v>
      </c>
      <c r="L366" s="117">
        <f>IFERROR(VLOOKUP(B366,BD_CONTROL!$A$5:$M$4235,12,0),"")</f>
        <v>46148</v>
      </c>
      <c r="M366" s="118">
        <f>IFERROR(VLOOKUP(B366,BD_CONTROL!$A$5:$M$4235,13,0),"")</f>
        <v>0</v>
      </c>
    </row>
    <row r="367" spans="1:13" ht="15" hidden="1" customHeight="1">
      <c r="A367" s="42">
        <v>362</v>
      </c>
      <c r="B367" s="42" t="s">
        <v>8846</v>
      </c>
      <c r="C367" s="43" t="s">
        <v>3006</v>
      </c>
      <c r="D367" s="42" t="s">
        <v>6893</v>
      </c>
      <c r="E367" s="43" t="s">
        <v>8847</v>
      </c>
      <c r="F367" s="43" t="s">
        <v>8847</v>
      </c>
      <c r="G367" s="42" t="s">
        <v>109</v>
      </c>
      <c r="H367" s="43" t="s">
        <v>6895</v>
      </c>
      <c r="I367" s="43" t="s">
        <v>104</v>
      </c>
      <c r="J367" s="55"/>
      <c r="K367" s="119">
        <f>IFERROR(VLOOKUP(B367,BD_CONTROL!$A$5:$M$4235,11,0),"")</f>
        <v>0</v>
      </c>
      <c r="L367" s="120">
        <f>IFERROR(VLOOKUP(B367,BD_CONTROL!$A$5:$M$4235,12,0),"")</f>
        <v>0</v>
      </c>
      <c r="M367" s="121">
        <f>IFERROR(VLOOKUP(B367,BD_CONTROL!$A$5:$M$4235,13,0),"")</f>
        <v>0</v>
      </c>
    </row>
    <row r="368" spans="1:13" ht="15" hidden="1" customHeight="1">
      <c r="A368" s="39">
        <v>363</v>
      </c>
      <c r="B368" s="39" t="s">
        <v>8848</v>
      </c>
      <c r="C368" s="40" t="s">
        <v>6735</v>
      </c>
      <c r="D368" s="39" t="s">
        <v>6893</v>
      </c>
      <c r="E368" s="40" t="s">
        <v>8847</v>
      </c>
      <c r="F368" s="40" t="s">
        <v>8847</v>
      </c>
      <c r="G368" s="39" t="s">
        <v>6739</v>
      </c>
      <c r="H368" s="40" t="s">
        <v>6895</v>
      </c>
      <c r="I368" s="40" t="s">
        <v>6741</v>
      </c>
      <c r="J368" s="50"/>
      <c r="K368" s="116">
        <f>IFERROR(VLOOKUP(B368,BD_CONTROL!$A$5:$M$4235,11,0),"")</f>
        <v>0</v>
      </c>
      <c r="L368" s="117">
        <f>IFERROR(VLOOKUP(B368,BD_CONTROL!$A$5:$M$4235,12,0),"")</f>
        <v>0</v>
      </c>
      <c r="M368" s="118">
        <f>IFERROR(VLOOKUP(B368,BD_CONTROL!$A$5:$M$4235,13,0),"")</f>
        <v>0</v>
      </c>
    </row>
    <row r="369" spans="1:13" ht="15" hidden="1" customHeight="1">
      <c r="A369" s="42">
        <v>364</v>
      </c>
      <c r="B369" s="42" t="s">
        <v>8850</v>
      </c>
      <c r="C369" s="43" t="s">
        <v>8851</v>
      </c>
      <c r="D369" s="42" t="s">
        <v>6893</v>
      </c>
      <c r="E369" s="43" t="s">
        <v>8852</v>
      </c>
      <c r="F369" s="43" t="s">
        <v>8853</v>
      </c>
      <c r="G369" s="42" t="s">
        <v>109</v>
      </c>
      <c r="H369" s="43" t="s">
        <v>6895</v>
      </c>
      <c r="I369" s="43" t="s">
        <v>104</v>
      </c>
      <c r="J369" s="55"/>
      <c r="K369" s="119">
        <f>IFERROR(VLOOKUP(B369,BD_CONTROL!$A$5:$M$4235,11,0),"")</f>
        <v>0</v>
      </c>
      <c r="L369" s="120">
        <f>IFERROR(VLOOKUP(B369,BD_CONTROL!$A$5:$M$4235,12,0),"")</f>
        <v>0</v>
      </c>
      <c r="M369" s="121">
        <f>IFERROR(VLOOKUP(B369,BD_CONTROL!$A$5:$M$4235,13,0),"")</f>
        <v>0</v>
      </c>
    </row>
    <row r="370" spans="1:13" ht="15" hidden="1" customHeight="1">
      <c r="A370" s="39">
        <v>365</v>
      </c>
      <c r="B370" s="39" t="s">
        <v>8854</v>
      </c>
      <c r="C370" s="40" t="s">
        <v>2340</v>
      </c>
      <c r="D370" s="39" t="s">
        <v>6893</v>
      </c>
      <c r="E370" s="40" t="s">
        <v>8852</v>
      </c>
      <c r="F370" s="40" t="s">
        <v>8855</v>
      </c>
      <c r="G370" s="39" t="s">
        <v>109</v>
      </c>
      <c r="H370" s="40" t="s">
        <v>6895</v>
      </c>
      <c r="I370" s="40" t="s">
        <v>104</v>
      </c>
      <c r="J370" s="50"/>
      <c r="K370" s="116">
        <f>IFERROR(VLOOKUP(B370,BD_CONTROL!$A$5:$M$4235,11,0),"")</f>
        <v>0</v>
      </c>
      <c r="L370" s="117">
        <f>IFERROR(VLOOKUP(B370,BD_CONTROL!$A$5:$M$4235,12,0),"")</f>
        <v>0</v>
      </c>
      <c r="M370" s="118">
        <f>IFERROR(VLOOKUP(B370,BD_CONTROL!$A$5:$M$4235,13,0),"")</f>
        <v>0</v>
      </c>
    </row>
    <row r="371" spans="1:13" ht="15" hidden="1" customHeight="1">
      <c r="A371" s="42">
        <v>366</v>
      </c>
      <c r="B371" s="42" t="s">
        <v>8856</v>
      </c>
      <c r="C371" s="43" t="s">
        <v>8857</v>
      </c>
      <c r="D371" s="42" t="s">
        <v>6893</v>
      </c>
      <c r="E371" s="43" t="s">
        <v>8852</v>
      </c>
      <c r="F371" s="43" t="s">
        <v>8858</v>
      </c>
      <c r="G371" s="42" t="s">
        <v>109</v>
      </c>
      <c r="H371" s="43" t="s">
        <v>6895</v>
      </c>
      <c r="I371" s="43" t="s">
        <v>104</v>
      </c>
      <c r="J371" s="55"/>
      <c r="K371" s="119">
        <f>IFERROR(VLOOKUP(B371,BD_CONTROL!$A$5:$M$4235,11,0),"")</f>
        <v>0</v>
      </c>
      <c r="L371" s="120">
        <f>IFERROR(VLOOKUP(B371,BD_CONTROL!$A$5:$M$4235,12,0),"")</f>
        <v>0</v>
      </c>
      <c r="M371" s="121">
        <f>IFERROR(VLOOKUP(B371,BD_CONTROL!$A$5:$M$4235,13,0),"")</f>
        <v>0</v>
      </c>
    </row>
    <row r="372" spans="1:13" ht="15" hidden="1" customHeight="1">
      <c r="A372" s="39">
        <v>367</v>
      </c>
      <c r="B372" s="39" t="s">
        <v>8859</v>
      </c>
      <c r="C372" s="40" t="s">
        <v>1175</v>
      </c>
      <c r="D372" s="39" t="s">
        <v>6893</v>
      </c>
      <c r="E372" s="40" t="s">
        <v>8852</v>
      </c>
      <c r="F372" s="40" t="s">
        <v>8860</v>
      </c>
      <c r="G372" s="39" t="s">
        <v>109</v>
      </c>
      <c r="H372" s="40" t="s">
        <v>6895</v>
      </c>
      <c r="I372" s="40" t="s">
        <v>104</v>
      </c>
      <c r="J372" s="50"/>
      <c r="K372" s="116">
        <f>IFERROR(VLOOKUP(B372,BD_CONTROL!$A$5:$M$4235,11,0),"")</f>
        <v>0</v>
      </c>
      <c r="L372" s="117">
        <f>IFERROR(VLOOKUP(B372,BD_CONTROL!$A$5:$M$4235,12,0),"")</f>
        <v>0</v>
      </c>
      <c r="M372" s="118">
        <f>IFERROR(VLOOKUP(B372,BD_CONTROL!$A$5:$M$4235,13,0),"")</f>
        <v>0</v>
      </c>
    </row>
  </sheetData>
  <autoFilter ref="A5:M372" xr:uid="{00000000-0009-0000-0000-00000E000000}">
    <filterColumn colId="7">
      <filters>
        <filter val="ALMACEN ZT CULIACAN"/>
      </filters>
    </filterColumn>
  </autoFilter>
  <mergeCells count="3">
    <mergeCell ref="A1:M2"/>
    <mergeCell ref="A3:M3"/>
    <mergeCell ref="A4:M4"/>
  </mergeCells>
  <conditionalFormatting sqref="K6:K372">
    <cfRule type="expression" dxfId="23" priority="2">
      <formula>EXACT($K6,"INSTALADO - OPERANDO")</formula>
    </cfRule>
    <cfRule type="expression" dxfId="22" priority="3">
      <formula>EXACT($K6,"INSTALADO - SIN SEÑAL")</formula>
    </cfRule>
    <cfRule type="expression" dxfId="21" priority="4">
      <formula>EXACT($K6,"EQUIPO EN ALMACÉN")</formula>
    </cfRule>
    <cfRule type="expression" dxfId="20" priority="5">
      <formula>EXACT($K6,"PROGRAMADO")</formula>
    </cfRule>
    <cfRule type="expression" dxfId="19" priority="6">
      <formula>EXACT($K6,"VISITADO")</formula>
    </cfRule>
    <cfRule type="expression" dxfId="18" priority="7">
      <formula>EXACT($K6,"SIN INMUEBLE")</formula>
    </cfRule>
  </conditionalFormatting>
  <dataValidations count="1">
    <dataValidation type="list" allowBlank="1" sqref="K6:K372" xr:uid="{00000000-0002-0000-0E00-000000000000}">
      <formula1>"INSTALADO - OPERANDO,INSTALADO - SIN SEÑAL,EQUIPO EN ALMACÉN,PROGRAMADO,VISITADO,SIN INMUEBLE"</formula1>
      <formula2>0</formula2>
    </dataValidation>
  </dataValidation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5C35"/>
  </sheetPr>
  <dimension ref="A1:M784"/>
  <sheetViews>
    <sheetView showGridLines="0" zoomScaleNormal="100" workbookViewId="0">
      <pane ySplit="5" topLeftCell="A6" activePane="bottomLeft" state="frozen"/>
      <selection pane="bottomLeft"/>
    </sheetView>
  </sheetViews>
  <sheetFormatPr defaultColWidth="8.7109375" defaultRowHeight="15"/>
  <cols>
    <col min="1" max="1" width="5" customWidth="1"/>
    <col min="2" max="2" width="14" customWidth="1"/>
    <col min="3" max="3" width="36" customWidth="1"/>
    <col min="4" max="5" width="18" customWidth="1"/>
    <col min="6" max="6" width="16" customWidth="1"/>
    <col min="7" max="7" width="9" customWidth="1"/>
    <col min="8" max="8" width="20" customWidth="1"/>
    <col min="9" max="10" width="14" customWidth="1"/>
    <col min="11" max="11" width="26" customWidth="1"/>
    <col min="12" max="12" width="18" customWidth="1"/>
    <col min="13" max="13" width="30" customWidth="1"/>
  </cols>
  <sheetData>
    <row r="1" spans="1:13" ht="30" customHeight="1">
      <c r="A1" s="254" t="s">
        <v>9838</v>
      </c>
      <c r="B1" s="260"/>
      <c r="C1" s="260"/>
      <c r="D1" s="260"/>
      <c r="E1" s="260"/>
      <c r="F1" s="260"/>
      <c r="G1" s="260"/>
      <c r="H1" s="260"/>
      <c r="I1" s="260"/>
      <c r="J1" s="260"/>
      <c r="K1" s="260"/>
      <c r="L1" s="260"/>
      <c r="M1" s="260"/>
    </row>
    <row r="2" spans="1:13" ht="3.75" customHeight="1">
      <c r="A2" s="260"/>
      <c r="B2" s="260"/>
      <c r="C2" s="260"/>
      <c r="D2" s="260"/>
      <c r="E2" s="260"/>
      <c r="F2" s="260"/>
      <c r="G2" s="260"/>
      <c r="H2" s="260"/>
      <c r="I2" s="260"/>
      <c r="J2" s="260"/>
      <c r="K2" s="260"/>
      <c r="L2" s="260"/>
      <c r="M2" s="260"/>
    </row>
    <row r="3" spans="1:13" ht="15.75" customHeight="1">
      <c r="A3" s="193" t="s">
        <v>9832</v>
      </c>
      <c r="B3" s="260"/>
      <c r="C3" s="260"/>
      <c r="D3" s="260"/>
      <c r="E3" s="260"/>
      <c r="F3" s="260"/>
      <c r="G3" s="260"/>
      <c r="H3" s="260"/>
      <c r="I3" s="260"/>
      <c r="J3" s="260"/>
      <c r="K3" s="260"/>
      <c r="L3" s="260"/>
      <c r="M3" s="260"/>
    </row>
    <row r="4" spans="1:13" ht="3" customHeight="1">
      <c r="A4" s="255"/>
      <c r="B4" s="260"/>
      <c r="C4" s="260"/>
      <c r="D4" s="260"/>
      <c r="E4" s="260"/>
      <c r="F4" s="260"/>
      <c r="G4" s="260"/>
      <c r="H4" s="260"/>
      <c r="I4" s="260"/>
      <c r="J4" s="260"/>
      <c r="K4" s="260"/>
      <c r="L4" s="260"/>
      <c r="M4" s="260"/>
    </row>
    <row r="5" spans="1:13" ht="21.75" customHeight="1">
      <c r="A5" s="126" t="s">
        <v>9783</v>
      </c>
      <c r="B5" s="126" t="s">
        <v>84</v>
      </c>
      <c r="C5" s="126" t="s">
        <v>86</v>
      </c>
      <c r="D5" s="126" t="s">
        <v>87</v>
      </c>
      <c r="E5" s="126" t="s">
        <v>88</v>
      </c>
      <c r="F5" s="126" t="s">
        <v>89</v>
      </c>
      <c r="G5" s="126" t="s">
        <v>90</v>
      </c>
      <c r="H5" s="126" t="s">
        <v>92</v>
      </c>
      <c r="I5" s="126" t="s">
        <v>93</v>
      </c>
      <c r="J5" s="126" t="s">
        <v>9833</v>
      </c>
      <c r="K5" s="126" t="s">
        <v>94</v>
      </c>
      <c r="L5" s="126" t="s">
        <v>95</v>
      </c>
      <c r="M5" s="126" t="s">
        <v>96</v>
      </c>
    </row>
    <row r="6" spans="1:13" ht="15" customHeight="1">
      <c r="A6" s="39">
        <v>1</v>
      </c>
      <c r="B6" s="39" t="s">
        <v>1535</v>
      </c>
      <c r="C6" s="40" t="s">
        <v>1536</v>
      </c>
      <c r="D6" s="39" t="s">
        <v>1530</v>
      </c>
      <c r="E6" s="40" t="s">
        <v>1537</v>
      </c>
      <c r="F6" s="40" t="s">
        <v>1538</v>
      </c>
      <c r="G6" s="39" t="s">
        <v>109</v>
      </c>
      <c r="H6" s="40" t="s">
        <v>1539</v>
      </c>
      <c r="I6" s="40" t="s">
        <v>104</v>
      </c>
      <c r="J6" s="50"/>
      <c r="K6" s="116">
        <f>IFERROR(VLOOKUP(B6,BD_CONTROL!$A$5:$M$4235,11,0),"")</f>
        <v>0</v>
      </c>
      <c r="L6" s="117">
        <f>IFERROR(VLOOKUP(B6,BD_CONTROL!$A$5:$M$4235,12,0),"")</f>
        <v>0</v>
      </c>
      <c r="M6" s="118">
        <f>IFERROR(VLOOKUP(B6,BD_CONTROL!$A$5:$M$4235,13,0),"")</f>
        <v>0</v>
      </c>
    </row>
    <row r="7" spans="1:13" ht="15" customHeight="1">
      <c r="A7" s="42">
        <v>2</v>
      </c>
      <c r="B7" s="42" t="s">
        <v>1540</v>
      </c>
      <c r="C7" s="43" t="s">
        <v>1541</v>
      </c>
      <c r="D7" s="42" t="s">
        <v>1530</v>
      </c>
      <c r="E7" s="43" t="s">
        <v>1542</v>
      </c>
      <c r="F7" s="43" t="s">
        <v>1543</v>
      </c>
      <c r="G7" s="42" t="s">
        <v>109</v>
      </c>
      <c r="H7" s="43" t="s">
        <v>1539</v>
      </c>
      <c r="I7" s="43" t="s">
        <v>104</v>
      </c>
      <c r="J7" s="55"/>
      <c r="K7" s="119">
        <f>IFERROR(VLOOKUP(B7,BD_CONTROL!$A$5:$M$4235,11,0),"")</f>
        <v>0</v>
      </c>
      <c r="L7" s="120">
        <f>IFERROR(VLOOKUP(B7,BD_CONTROL!$A$5:$M$4235,12,0),"")</f>
        <v>0</v>
      </c>
      <c r="M7" s="121">
        <f>IFERROR(VLOOKUP(B7,BD_CONTROL!$A$5:$M$4235,13,0),"")</f>
        <v>0</v>
      </c>
    </row>
    <row r="8" spans="1:13" ht="15" customHeight="1">
      <c r="A8" s="39">
        <v>3</v>
      </c>
      <c r="B8" s="39" t="s">
        <v>1544</v>
      </c>
      <c r="C8" s="40" t="s">
        <v>1545</v>
      </c>
      <c r="D8" s="39" t="s">
        <v>1530</v>
      </c>
      <c r="E8" s="40" t="s">
        <v>1546</v>
      </c>
      <c r="F8" s="40" t="s">
        <v>1546</v>
      </c>
      <c r="G8" s="39" t="s">
        <v>102</v>
      </c>
      <c r="H8" s="40" t="s">
        <v>1539</v>
      </c>
      <c r="I8" s="40" t="s">
        <v>104</v>
      </c>
      <c r="J8" s="50"/>
      <c r="K8" s="116" t="str">
        <f>IFERROR(VLOOKUP(B8,BD_CONTROL!$A$5:$M$4235,11,0),"")</f>
        <v>Instalado - Sin Señal</v>
      </c>
      <c r="L8" s="117">
        <f>IFERROR(VLOOKUP(B8,BD_CONTROL!$A$5:$M$4235,12,0),"")</f>
        <v>46149</v>
      </c>
      <c r="M8" s="118">
        <f>IFERROR(VLOOKUP(B8,BD_CONTROL!$A$5:$M$4235,13,0),"")</f>
        <v>0</v>
      </c>
    </row>
    <row r="9" spans="1:13" ht="15" customHeight="1">
      <c r="A9" s="42">
        <v>4</v>
      </c>
      <c r="B9" s="42" t="s">
        <v>1551</v>
      </c>
      <c r="C9" s="43" t="s">
        <v>1552</v>
      </c>
      <c r="D9" s="42" t="s">
        <v>1530</v>
      </c>
      <c r="E9" s="43" t="s">
        <v>1546</v>
      </c>
      <c r="F9" s="43" t="s">
        <v>1546</v>
      </c>
      <c r="G9" s="42" t="s">
        <v>102</v>
      </c>
      <c r="H9" s="43" t="s">
        <v>1539</v>
      </c>
      <c r="I9" s="43" t="s">
        <v>104</v>
      </c>
      <c r="J9" s="55"/>
      <c r="K9" s="119">
        <f>IFERROR(VLOOKUP(B9,BD_CONTROL!$A$5:$M$4235,11,0),"")</f>
        <v>0</v>
      </c>
      <c r="L9" s="120">
        <f>IFERROR(VLOOKUP(B9,BD_CONTROL!$A$5:$M$4235,12,0),"")</f>
        <v>0</v>
      </c>
      <c r="M9" s="121">
        <f>IFERROR(VLOOKUP(B9,BD_CONTROL!$A$5:$M$4235,13,0),"")</f>
        <v>0</v>
      </c>
    </row>
    <row r="10" spans="1:13" ht="15" customHeight="1">
      <c r="A10" s="39">
        <v>5</v>
      </c>
      <c r="B10" s="39" t="s">
        <v>1553</v>
      </c>
      <c r="C10" s="40" t="s">
        <v>1554</v>
      </c>
      <c r="D10" s="39" t="s">
        <v>1530</v>
      </c>
      <c r="E10" s="40" t="s">
        <v>1546</v>
      </c>
      <c r="F10" s="40" t="s">
        <v>1555</v>
      </c>
      <c r="G10" s="39" t="s">
        <v>102</v>
      </c>
      <c r="H10" s="40" t="s">
        <v>1539</v>
      </c>
      <c r="I10" s="40" t="s">
        <v>104</v>
      </c>
      <c r="J10" s="50"/>
      <c r="K10" s="116">
        <f>IFERROR(VLOOKUP(B10,BD_CONTROL!$A$5:$M$4235,11,0),"")</f>
        <v>0</v>
      </c>
      <c r="L10" s="117">
        <f>IFERROR(VLOOKUP(B10,BD_CONTROL!$A$5:$M$4235,12,0),"")</f>
        <v>0</v>
      </c>
      <c r="M10" s="118">
        <f>IFERROR(VLOOKUP(B10,BD_CONTROL!$A$5:$M$4235,13,0),"")</f>
        <v>0</v>
      </c>
    </row>
    <row r="11" spans="1:13" ht="15" customHeight="1">
      <c r="A11" s="42">
        <v>6</v>
      </c>
      <c r="B11" s="42" t="s">
        <v>1556</v>
      </c>
      <c r="C11" s="43" t="s">
        <v>1557</v>
      </c>
      <c r="D11" s="42" t="s">
        <v>1530</v>
      </c>
      <c r="E11" s="43" t="s">
        <v>1558</v>
      </c>
      <c r="F11" s="43" t="s">
        <v>1546</v>
      </c>
      <c r="G11" s="42" t="s">
        <v>102</v>
      </c>
      <c r="H11" s="43" t="s">
        <v>1539</v>
      </c>
      <c r="I11" s="43" t="s">
        <v>104</v>
      </c>
      <c r="J11" s="55"/>
      <c r="K11" s="119">
        <f>IFERROR(VLOOKUP(B11,BD_CONTROL!$A$5:$M$4235,11,0),"")</f>
        <v>0</v>
      </c>
      <c r="L11" s="120">
        <f>IFERROR(VLOOKUP(B11,BD_CONTROL!$A$5:$M$4235,12,0),"")</f>
        <v>0</v>
      </c>
      <c r="M11" s="121">
        <f>IFERROR(VLOOKUP(B11,BD_CONTROL!$A$5:$M$4235,13,0),"")</f>
        <v>0</v>
      </c>
    </row>
    <row r="12" spans="1:13" ht="15" customHeight="1">
      <c r="A12" s="39">
        <v>7</v>
      </c>
      <c r="B12" s="39" t="s">
        <v>1559</v>
      </c>
      <c r="C12" s="40" t="s">
        <v>1560</v>
      </c>
      <c r="D12" s="39" t="s">
        <v>1530</v>
      </c>
      <c r="E12" s="40" t="s">
        <v>1546</v>
      </c>
      <c r="F12" s="40" t="s">
        <v>1546</v>
      </c>
      <c r="G12" s="39" t="s">
        <v>102</v>
      </c>
      <c r="H12" s="40" t="s">
        <v>1539</v>
      </c>
      <c r="I12" s="40" t="s">
        <v>104</v>
      </c>
      <c r="J12" s="50"/>
      <c r="K12" s="116" t="str">
        <f>IFERROR(VLOOKUP(B12,BD_CONTROL!$A$5:$M$4235,11,0),"")</f>
        <v>Instalado - Operando</v>
      </c>
      <c r="L12" s="117">
        <f>IFERROR(VLOOKUP(B12,BD_CONTROL!$A$5:$M$4235,12,0),"")</f>
        <v>46149</v>
      </c>
      <c r="M12" s="118">
        <f>IFERROR(VLOOKUP(B12,BD_CONTROL!$A$5:$M$4235,13,0),"")</f>
        <v>0</v>
      </c>
    </row>
    <row r="13" spans="1:13" ht="15" customHeight="1">
      <c r="A13" s="42">
        <v>8</v>
      </c>
      <c r="B13" s="42" t="s">
        <v>1561</v>
      </c>
      <c r="C13" s="43" t="s">
        <v>1562</v>
      </c>
      <c r="D13" s="42" t="s">
        <v>1530</v>
      </c>
      <c r="E13" s="43" t="s">
        <v>1546</v>
      </c>
      <c r="F13" s="43" t="s">
        <v>1546</v>
      </c>
      <c r="G13" s="42" t="s">
        <v>109</v>
      </c>
      <c r="H13" s="43" t="s">
        <v>1539</v>
      </c>
      <c r="I13" s="43" t="s">
        <v>104</v>
      </c>
      <c r="J13" s="55"/>
      <c r="K13" s="119">
        <f>IFERROR(VLOOKUP(B13,BD_CONTROL!$A$5:$M$4235,11,0),"")</f>
        <v>0</v>
      </c>
      <c r="L13" s="120">
        <f>IFERROR(VLOOKUP(B13,BD_CONTROL!$A$5:$M$4235,12,0),"")</f>
        <v>0</v>
      </c>
      <c r="M13" s="121">
        <f>IFERROR(VLOOKUP(B13,BD_CONTROL!$A$5:$M$4235,13,0),"")</f>
        <v>0</v>
      </c>
    </row>
    <row r="14" spans="1:13" ht="15" customHeight="1">
      <c r="A14" s="39">
        <v>9</v>
      </c>
      <c r="B14" s="39" t="s">
        <v>1563</v>
      </c>
      <c r="C14" s="40" t="s">
        <v>1564</v>
      </c>
      <c r="D14" s="39" t="s">
        <v>1530</v>
      </c>
      <c r="E14" s="40" t="s">
        <v>1546</v>
      </c>
      <c r="F14" s="40" t="s">
        <v>1565</v>
      </c>
      <c r="G14" s="39" t="s">
        <v>102</v>
      </c>
      <c r="H14" s="40" t="s">
        <v>1539</v>
      </c>
      <c r="I14" s="40" t="s">
        <v>104</v>
      </c>
      <c r="J14" s="50"/>
      <c r="K14" s="116">
        <f>IFERROR(VLOOKUP(B14,BD_CONTROL!$A$5:$M$4235,11,0),"")</f>
        <v>0</v>
      </c>
      <c r="L14" s="117">
        <f>IFERROR(VLOOKUP(B14,BD_CONTROL!$A$5:$M$4235,12,0),"")</f>
        <v>0</v>
      </c>
      <c r="M14" s="118">
        <f>IFERROR(VLOOKUP(B14,BD_CONTROL!$A$5:$M$4235,13,0),"")</f>
        <v>0</v>
      </c>
    </row>
    <row r="15" spans="1:13" ht="15" customHeight="1">
      <c r="A15" s="42">
        <v>10</v>
      </c>
      <c r="B15" s="42" t="s">
        <v>1566</v>
      </c>
      <c r="C15" s="43" t="s">
        <v>1567</v>
      </c>
      <c r="D15" s="42" t="s">
        <v>1530</v>
      </c>
      <c r="E15" s="43" t="s">
        <v>1546</v>
      </c>
      <c r="F15" s="43" t="s">
        <v>1568</v>
      </c>
      <c r="G15" s="42" t="s">
        <v>109</v>
      </c>
      <c r="H15" s="43" t="s">
        <v>1539</v>
      </c>
      <c r="I15" s="43" t="s">
        <v>104</v>
      </c>
      <c r="J15" s="55"/>
      <c r="K15" s="119">
        <f>IFERROR(VLOOKUP(B15,BD_CONTROL!$A$5:$M$4235,11,0),"")</f>
        <v>0</v>
      </c>
      <c r="L15" s="120">
        <f>IFERROR(VLOOKUP(B15,BD_CONTROL!$A$5:$M$4235,12,0),"")</f>
        <v>0</v>
      </c>
      <c r="M15" s="121">
        <f>IFERROR(VLOOKUP(B15,BD_CONTROL!$A$5:$M$4235,13,0),"")</f>
        <v>0</v>
      </c>
    </row>
    <row r="16" spans="1:13" ht="15" customHeight="1">
      <c r="A16" s="39">
        <v>11</v>
      </c>
      <c r="B16" s="39" t="s">
        <v>1569</v>
      </c>
      <c r="C16" s="40" t="s">
        <v>1570</v>
      </c>
      <c r="D16" s="39" t="s">
        <v>1530</v>
      </c>
      <c r="E16" s="40" t="s">
        <v>1537</v>
      </c>
      <c r="F16" s="40" t="s">
        <v>1571</v>
      </c>
      <c r="G16" s="39" t="s">
        <v>109</v>
      </c>
      <c r="H16" s="40" t="s">
        <v>1539</v>
      </c>
      <c r="I16" s="40" t="s">
        <v>104</v>
      </c>
      <c r="J16" s="50"/>
      <c r="K16" s="116">
        <f>IFERROR(VLOOKUP(B16,BD_CONTROL!$A$5:$M$4235,11,0),"")</f>
        <v>0</v>
      </c>
      <c r="L16" s="117">
        <f>IFERROR(VLOOKUP(B16,BD_CONTROL!$A$5:$M$4235,12,0),"")</f>
        <v>0</v>
      </c>
      <c r="M16" s="118">
        <f>IFERROR(VLOOKUP(B16,BD_CONTROL!$A$5:$M$4235,13,0),"")</f>
        <v>0</v>
      </c>
    </row>
    <row r="17" spans="1:13" ht="15" customHeight="1">
      <c r="A17" s="42">
        <v>12</v>
      </c>
      <c r="B17" s="42" t="s">
        <v>1572</v>
      </c>
      <c r="C17" s="43" t="s">
        <v>1573</v>
      </c>
      <c r="D17" s="42" t="s">
        <v>1530</v>
      </c>
      <c r="E17" s="43" t="s">
        <v>1537</v>
      </c>
      <c r="F17" s="43" t="s">
        <v>1537</v>
      </c>
      <c r="G17" s="42" t="s">
        <v>102</v>
      </c>
      <c r="H17" s="43" t="s">
        <v>1539</v>
      </c>
      <c r="I17" s="43" t="s">
        <v>104</v>
      </c>
      <c r="J17" s="55"/>
      <c r="K17" s="119">
        <f>IFERROR(VLOOKUP(B17,BD_CONTROL!$A$5:$M$4235,11,0),"")</f>
        <v>0</v>
      </c>
      <c r="L17" s="120">
        <f>IFERROR(VLOOKUP(B17,BD_CONTROL!$A$5:$M$4235,12,0),"")</f>
        <v>0</v>
      </c>
      <c r="M17" s="121">
        <f>IFERROR(VLOOKUP(B17,BD_CONTROL!$A$5:$M$4235,13,0),"")</f>
        <v>0</v>
      </c>
    </row>
    <row r="18" spans="1:13" ht="15" customHeight="1">
      <c r="A18" s="39">
        <v>13</v>
      </c>
      <c r="B18" s="39" t="s">
        <v>1580</v>
      </c>
      <c r="C18" s="40" t="s">
        <v>1581</v>
      </c>
      <c r="D18" s="39" t="s">
        <v>1530</v>
      </c>
      <c r="E18" s="40" t="s">
        <v>1582</v>
      </c>
      <c r="F18" s="40" t="s">
        <v>1583</v>
      </c>
      <c r="G18" s="39" t="s">
        <v>109</v>
      </c>
      <c r="H18" s="40" t="s">
        <v>1539</v>
      </c>
      <c r="I18" s="40" t="s">
        <v>104</v>
      </c>
      <c r="J18" s="50"/>
      <c r="K18" s="116">
        <f>IFERROR(VLOOKUP(B18,BD_CONTROL!$A$5:$M$4235,11,0),"")</f>
        <v>0</v>
      </c>
      <c r="L18" s="117">
        <f>IFERROR(VLOOKUP(B18,BD_CONTROL!$A$5:$M$4235,12,0),"")</f>
        <v>0</v>
      </c>
      <c r="M18" s="118">
        <f>IFERROR(VLOOKUP(B18,BD_CONTROL!$A$5:$M$4235,13,0),"")</f>
        <v>0</v>
      </c>
    </row>
    <row r="19" spans="1:13" ht="15" customHeight="1">
      <c r="A19" s="42">
        <v>14</v>
      </c>
      <c r="B19" s="42" t="s">
        <v>1584</v>
      </c>
      <c r="C19" s="43" t="s">
        <v>1585</v>
      </c>
      <c r="D19" s="42" t="s">
        <v>1530</v>
      </c>
      <c r="E19" s="43" t="s">
        <v>1586</v>
      </c>
      <c r="F19" s="43" t="s">
        <v>1587</v>
      </c>
      <c r="G19" s="42" t="s">
        <v>109</v>
      </c>
      <c r="H19" s="43" t="s">
        <v>1539</v>
      </c>
      <c r="I19" s="43" t="s">
        <v>104</v>
      </c>
      <c r="J19" s="55"/>
      <c r="K19" s="119">
        <f>IFERROR(VLOOKUP(B19,BD_CONTROL!$A$5:$M$4235,11,0),"")</f>
        <v>0</v>
      </c>
      <c r="L19" s="120">
        <f>IFERROR(VLOOKUP(B19,BD_CONTROL!$A$5:$M$4235,12,0),"")</f>
        <v>0</v>
      </c>
      <c r="M19" s="121">
        <f>IFERROR(VLOOKUP(B19,BD_CONTROL!$A$5:$M$4235,13,0),"")</f>
        <v>0</v>
      </c>
    </row>
    <row r="20" spans="1:13" ht="15" customHeight="1">
      <c r="A20" s="39">
        <v>15</v>
      </c>
      <c r="B20" s="39" t="s">
        <v>1588</v>
      </c>
      <c r="C20" s="40" t="s">
        <v>1589</v>
      </c>
      <c r="D20" s="39" t="s">
        <v>1530</v>
      </c>
      <c r="E20" s="40" t="s">
        <v>1232</v>
      </c>
      <c r="F20" s="40" t="s">
        <v>1590</v>
      </c>
      <c r="G20" s="39" t="s">
        <v>109</v>
      </c>
      <c r="H20" s="40" t="s">
        <v>1539</v>
      </c>
      <c r="I20" s="40" t="s">
        <v>104</v>
      </c>
      <c r="J20" s="50"/>
      <c r="K20" s="116">
        <f>IFERROR(VLOOKUP(B20,BD_CONTROL!$A$5:$M$4235,11,0),"")</f>
        <v>0</v>
      </c>
      <c r="L20" s="117">
        <f>IFERROR(VLOOKUP(B20,BD_CONTROL!$A$5:$M$4235,12,0),"")</f>
        <v>0</v>
      </c>
      <c r="M20" s="118">
        <f>IFERROR(VLOOKUP(B20,BD_CONTROL!$A$5:$M$4235,13,0),"")</f>
        <v>0</v>
      </c>
    </row>
    <row r="21" spans="1:13" ht="15" customHeight="1">
      <c r="A21" s="42">
        <v>16</v>
      </c>
      <c r="B21" s="42" t="s">
        <v>1591</v>
      </c>
      <c r="C21" s="43" t="s">
        <v>1592</v>
      </c>
      <c r="D21" s="42" t="s">
        <v>1530</v>
      </c>
      <c r="E21" s="43" t="s">
        <v>320</v>
      </c>
      <c r="F21" s="43" t="s">
        <v>1593</v>
      </c>
      <c r="G21" s="42" t="s">
        <v>109</v>
      </c>
      <c r="H21" s="43" t="s">
        <v>1539</v>
      </c>
      <c r="I21" s="43" t="s">
        <v>104</v>
      </c>
      <c r="J21" s="55"/>
      <c r="K21" s="119">
        <f>IFERROR(VLOOKUP(B21,BD_CONTROL!$A$5:$M$4235,11,0),"")</f>
        <v>0</v>
      </c>
      <c r="L21" s="120">
        <f>IFERROR(VLOOKUP(B21,BD_CONTROL!$A$5:$M$4235,12,0),"")</f>
        <v>0</v>
      </c>
      <c r="M21" s="121">
        <f>IFERROR(VLOOKUP(B21,BD_CONTROL!$A$5:$M$4235,13,0),"")</f>
        <v>0</v>
      </c>
    </row>
    <row r="22" spans="1:13" ht="15" customHeight="1">
      <c r="A22" s="39">
        <v>17</v>
      </c>
      <c r="B22" s="39" t="s">
        <v>1602</v>
      </c>
      <c r="C22" s="40" t="s">
        <v>1603</v>
      </c>
      <c r="D22" s="39" t="s">
        <v>1530</v>
      </c>
      <c r="E22" s="40" t="s">
        <v>1558</v>
      </c>
      <c r="F22" s="40" t="s">
        <v>1604</v>
      </c>
      <c r="G22" s="39" t="s">
        <v>109</v>
      </c>
      <c r="H22" s="40" t="s">
        <v>1539</v>
      </c>
      <c r="I22" s="40" t="s">
        <v>104</v>
      </c>
      <c r="J22" s="50"/>
      <c r="K22" s="116">
        <f>IFERROR(VLOOKUP(B22,BD_CONTROL!$A$5:$M$4235,11,0),"")</f>
        <v>0</v>
      </c>
      <c r="L22" s="117">
        <f>IFERROR(VLOOKUP(B22,BD_CONTROL!$A$5:$M$4235,12,0),"")</f>
        <v>0</v>
      </c>
      <c r="M22" s="118">
        <f>IFERROR(VLOOKUP(B22,BD_CONTROL!$A$5:$M$4235,13,0),"")</f>
        <v>0</v>
      </c>
    </row>
    <row r="23" spans="1:13" ht="15" customHeight="1">
      <c r="A23" s="42">
        <v>18</v>
      </c>
      <c r="B23" s="42" t="s">
        <v>1608</v>
      </c>
      <c r="C23" s="43" t="s">
        <v>1609</v>
      </c>
      <c r="D23" s="42" t="s">
        <v>1530</v>
      </c>
      <c r="E23" s="43" t="s">
        <v>1537</v>
      </c>
      <c r="F23" s="43" t="s">
        <v>1610</v>
      </c>
      <c r="G23" s="42" t="s">
        <v>109</v>
      </c>
      <c r="H23" s="43" t="s">
        <v>1539</v>
      </c>
      <c r="I23" s="43" t="s">
        <v>104</v>
      </c>
      <c r="J23" s="55"/>
      <c r="K23" s="119">
        <f>IFERROR(VLOOKUP(B23,BD_CONTROL!$A$5:$M$4235,11,0),"")</f>
        <v>0</v>
      </c>
      <c r="L23" s="120">
        <f>IFERROR(VLOOKUP(B23,BD_CONTROL!$A$5:$M$4235,12,0),"")</f>
        <v>0</v>
      </c>
      <c r="M23" s="121">
        <f>IFERROR(VLOOKUP(B23,BD_CONTROL!$A$5:$M$4235,13,0),"")</f>
        <v>0</v>
      </c>
    </row>
    <row r="24" spans="1:13" ht="15" customHeight="1">
      <c r="A24" s="39">
        <v>19</v>
      </c>
      <c r="B24" s="39" t="s">
        <v>1611</v>
      </c>
      <c r="C24" s="40" t="s">
        <v>1612</v>
      </c>
      <c r="D24" s="39" t="s">
        <v>1530</v>
      </c>
      <c r="E24" s="40" t="s">
        <v>1537</v>
      </c>
      <c r="F24" s="40" t="s">
        <v>1613</v>
      </c>
      <c r="G24" s="39" t="s">
        <v>109</v>
      </c>
      <c r="H24" s="40" t="s">
        <v>1539</v>
      </c>
      <c r="I24" s="40" t="s">
        <v>104</v>
      </c>
      <c r="J24" s="50"/>
      <c r="K24" s="116">
        <f>IFERROR(VLOOKUP(B24,BD_CONTROL!$A$5:$M$4235,11,0),"")</f>
        <v>0</v>
      </c>
      <c r="L24" s="117">
        <f>IFERROR(VLOOKUP(B24,BD_CONTROL!$A$5:$M$4235,12,0),"")</f>
        <v>0</v>
      </c>
      <c r="M24" s="118">
        <f>IFERROR(VLOOKUP(B24,BD_CONTROL!$A$5:$M$4235,13,0),"")</f>
        <v>0</v>
      </c>
    </row>
    <row r="25" spans="1:13" ht="15" customHeight="1">
      <c r="A25" s="42">
        <v>20</v>
      </c>
      <c r="B25" s="42" t="s">
        <v>1614</v>
      </c>
      <c r="C25" s="43" t="s">
        <v>1615</v>
      </c>
      <c r="D25" s="42" t="s">
        <v>1530</v>
      </c>
      <c r="E25" s="43" t="s">
        <v>1546</v>
      </c>
      <c r="F25" s="43" t="s">
        <v>1616</v>
      </c>
      <c r="G25" s="42" t="s">
        <v>109</v>
      </c>
      <c r="H25" s="43" t="s">
        <v>1539</v>
      </c>
      <c r="I25" s="43" t="s">
        <v>104</v>
      </c>
      <c r="J25" s="55"/>
      <c r="K25" s="119">
        <f>IFERROR(VLOOKUP(B25,BD_CONTROL!$A$5:$M$4235,11,0),"")</f>
        <v>0</v>
      </c>
      <c r="L25" s="120">
        <f>IFERROR(VLOOKUP(B25,BD_CONTROL!$A$5:$M$4235,12,0),"")</f>
        <v>0</v>
      </c>
      <c r="M25" s="121">
        <f>IFERROR(VLOOKUP(B25,BD_CONTROL!$A$5:$M$4235,13,0),"")</f>
        <v>0</v>
      </c>
    </row>
    <row r="26" spans="1:13" ht="15" customHeight="1">
      <c r="A26" s="39">
        <v>21</v>
      </c>
      <c r="B26" s="39" t="s">
        <v>1617</v>
      </c>
      <c r="C26" s="40" t="s">
        <v>1618</v>
      </c>
      <c r="D26" s="39" t="s">
        <v>1530</v>
      </c>
      <c r="E26" s="40" t="s">
        <v>1546</v>
      </c>
      <c r="F26" s="40" t="s">
        <v>1619</v>
      </c>
      <c r="G26" s="39" t="s">
        <v>109</v>
      </c>
      <c r="H26" s="40" t="s">
        <v>1539</v>
      </c>
      <c r="I26" s="40" t="s">
        <v>104</v>
      </c>
      <c r="J26" s="50"/>
      <c r="K26" s="116">
        <f>IFERROR(VLOOKUP(B26,BD_CONTROL!$A$5:$M$4235,11,0),"")</f>
        <v>0</v>
      </c>
      <c r="L26" s="117">
        <f>IFERROR(VLOOKUP(B26,BD_CONTROL!$A$5:$M$4235,12,0),"")</f>
        <v>0</v>
      </c>
      <c r="M26" s="118">
        <f>IFERROR(VLOOKUP(B26,BD_CONTROL!$A$5:$M$4235,13,0),"")</f>
        <v>0</v>
      </c>
    </row>
    <row r="27" spans="1:13" ht="15" customHeight="1">
      <c r="A27" s="42">
        <v>22</v>
      </c>
      <c r="B27" s="42" t="s">
        <v>1620</v>
      </c>
      <c r="C27" s="43" t="s">
        <v>1621</v>
      </c>
      <c r="D27" s="42" t="s">
        <v>1530</v>
      </c>
      <c r="E27" s="43" t="s">
        <v>1582</v>
      </c>
      <c r="F27" s="43" t="s">
        <v>1622</v>
      </c>
      <c r="G27" s="42" t="s">
        <v>109</v>
      </c>
      <c r="H27" s="43" t="s">
        <v>1539</v>
      </c>
      <c r="I27" s="43" t="s">
        <v>104</v>
      </c>
      <c r="J27" s="55"/>
      <c r="K27" s="119" t="str">
        <f>IFERROR(VLOOKUP(B27,BD_CONTROL!$A$5:$M$4235,11,0),"")</f>
        <v>Instalado - Operando</v>
      </c>
      <c r="L27" s="120">
        <f>IFERROR(VLOOKUP(B27,BD_CONTROL!$A$5:$M$4235,12,0),"")</f>
        <v>46149</v>
      </c>
      <c r="M27" s="121">
        <f>IFERROR(VLOOKUP(B27,BD_CONTROL!$A$5:$M$4235,13,0),"")</f>
        <v>0</v>
      </c>
    </row>
    <row r="28" spans="1:13" ht="15" customHeight="1">
      <c r="A28" s="39">
        <v>23</v>
      </c>
      <c r="B28" s="39" t="s">
        <v>1623</v>
      </c>
      <c r="C28" s="40" t="s">
        <v>1624</v>
      </c>
      <c r="D28" s="39" t="s">
        <v>1530</v>
      </c>
      <c r="E28" s="40" t="s">
        <v>1542</v>
      </c>
      <c r="F28" s="40" t="s">
        <v>1625</v>
      </c>
      <c r="G28" s="39" t="s">
        <v>109</v>
      </c>
      <c r="H28" s="40" t="s">
        <v>1539</v>
      </c>
      <c r="I28" s="40" t="s">
        <v>104</v>
      </c>
      <c r="J28" s="50"/>
      <c r="K28" s="116">
        <f>IFERROR(VLOOKUP(B28,BD_CONTROL!$A$5:$M$4235,11,0),"")</f>
        <v>0</v>
      </c>
      <c r="L28" s="117">
        <f>IFERROR(VLOOKUP(B28,BD_CONTROL!$A$5:$M$4235,12,0),"")</f>
        <v>0</v>
      </c>
      <c r="M28" s="118">
        <f>IFERROR(VLOOKUP(B28,BD_CONTROL!$A$5:$M$4235,13,0),"")</f>
        <v>0</v>
      </c>
    </row>
    <row r="29" spans="1:13" ht="15" customHeight="1">
      <c r="A29" s="42">
        <v>24</v>
      </c>
      <c r="B29" s="42" t="s">
        <v>1630</v>
      </c>
      <c r="C29" s="43" t="s">
        <v>1631</v>
      </c>
      <c r="D29" s="42" t="s">
        <v>1530</v>
      </c>
      <c r="E29" s="43" t="s">
        <v>1558</v>
      </c>
      <c r="F29" s="43" t="s">
        <v>1292</v>
      </c>
      <c r="G29" s="42" t="s">
        <v>109</v>
      </c>
      <c r="H29" s="43" t="s">
        <v>1539</v>
      </c>
      <c r="I29" s="43" t="s">
        <v>104</v>
      </c>
      <c r="J29" s="55"/>
      <c r="K29" s="119">
        <f>IFERROR(VLOOKUP(B29,BD_CONTROL!$A$5:$M$4235,11,0),"")</f>
        <v>0</v>
      </c>
      <c r="L29" s="120">
        <f>IFERROR(VLOOKUP(B29,BD_CONTROL!$A$5:$M$4235,12,0),"")</f>
        <v>0</v>
      </c>
      <c r="M29" s="121">
        <f>IFERROR(VLOOKUP(B29,BD_CONTROL!$A$5:$M$4235,13,0),"")</f>
        <v>0</v>
      </c>
    </row>
    <row r="30" spans="1:13" ht="15" customHeight="1">
      <c r="A30" s="39">
        <v>25</v>
      </c>
      <c r="B30" s="39" t="s">
        <v>1632</v>
      </c>
      <c r="C30" s="40" t="s">
        <v>1633</v>
      </c>
      <c r="D30" s="39" t="s">
        <v>1530</v>
      </c>
      <c r="E30" s="40" t="s">
        <v>1558</v>
      </c>
      <c r="F30" s="40" t="s">
        <v>1634</v>
      </c>
      <c r="G30" s="39" t="s">
        <v>109</v>
      </c>
      <c r="H30" s="40" t="s">
        <v>1539</v>
      </c>
      <c r="I30" s="40" t="s">
        <v>104</v>
      </c>
      <c r="J30" s="50"/>
      <c r="K30" s="116">
        <f>IFERROR(VLOOKUP(B30,BD_CONTROL!$A$5:$M$4235,11,0),"")</f>
        <v>0</v>
      </c>
      <c r="L30" s="117">
        <f>IFERROR(VLOOKUP(B30,BD_CONTROL!$A$5:$M$4235,12,0),"")</f>
        <v>0</v>
      </c>
      <c r="M30" s="118">
        <f>IFERROR(VLOOKUP(B30,BD_CONTROL!$A$5:$M$4235,13,0),"")</f>
        <v>0</v>
      </c>
    </row>
    <row r="31" spans="1:13" ht="15" customHeight="1">
      <c r="A31" s="42">
        <v>26</v>
      </c>
      <c r="B31" s="42" t="s">
        <v>1641</v>
      </c>
      <c r="C31" s="43" t="s">
        <v>1642</v>
      </c>
      <c r="D31" s="42" t="s">
        <v>1530</v>
      </c>
      <c r="E31" s="43" t="s">
        <v>1530</v>
      </c>
      <c r="F31" s="43" t="s">
        <v>1643</v>
      </c>
      <c r="G31" s="42" t="s">
        <v>109</v>
      </c>
      <c r="H31" s="43" t="s">
        <v>1539</v>
      </c>
      <c r="I31" s="43" t="s">
        <v>104</v>
      </c>
      <c r="J31" s="55"/>
      <c r="K31" s="119">
        <f>IFERROR(VLOOKUP(B31,BD_CONTROL!$A$5:$M$4235,11,0),"")</f>
        <v>0</v>
      </c>
      <c r="L31" s="120">
        <f>IFERROR(VLOOKUP(B31,BD_CONTROL!$A$5:$M$4235,12,0),"")</f>
        <v>0</v>
      </c>
      <c r="M31" s="121">
        <f>IFERROR(VLOOKUP(B31,BD_CONTROL!$A$5:$M$4235,13,0),"")</f>
        <v>0</v>
      </c>
    </row>
    <row r="32" spans="1:13" ht="15" customHeight="1">
      <c r="A32" s="39">
        <v>27</v>
      </c>
      <c r="B32" s="39" t="s">
        <v>1644</v>
      </c>
      <c r="C32" s="40" t="s">
        <v>1645</v>
      </c>
      <c r="D32" s="39" t="s">
        <v>1530</v>
      </c>
      <c r="E32" s="40" t="s">
        <v>1646</v>
      </c>
      <c r="F32" s="40" t="s">
        <v>1647</v>
      </c>
      <c r="G32" s="39" t="s">
        <v>109</v>
      </c>
      <c r="H32" s="40" t="s">
        <v>1539</v>
      </c>
      <c r="I32" s="40" t="s">
        <v>104</v>
      </c>
      <c r="J32" s="50"/>
      <c r="K32" s="116">
        <f>IFERROR(VLOOKUP(B32,BD_CONTROL!$A$5:$M$4235,11,0),"")</f>
        <v>0</v>
      </c>
      <c r="L32" s="117">
        <f>IFERROR(VLOOKUP(B32,BD_CONTROL!$A$5:$M$4235,12,0),"")</f>
        <v>0</v>
      </c>
      <c r="M32" s="118">
        <f>IFERROR(VLOOKUP(B32,BD_CONTROL!$A$5:$M$4235,13,0),"")</f>
        <v>0</v>
      </c>
    </row>
    <row r="33" spans="1:13" ht="15" customHeight="1">
      <c r="A33" s="42">
        <v>28</v>
      </c>
      <c r="B33" s="42" t="s">
        <v>1658</v>
      </c>
      <c r="C33" s="43" t="s">
        <v>1659</v>
      </c>
      <c r="D33" s="42" t="s">
        <v>1530</v>
      </c>
      <c r="E33" s="43" t="s">
        <v>1660</v>
      </c>
      <c r="F33" s="43" t="s">
        <v>1661</v>
      </c>
      <c r="G33" s="42" t="s">
        <v>109</v>
      </c>
      <c r="H33" s="43" t="s">
        <v>1539</v>
      </c>
      <c r="I33" s="43" t="s">
        <v>104</v>
      </c>
      <c r="J33" s="55"/>
      <c r="K33" s="119">
        <f>IFERROR(VLOOKUP(B33,BD_CONTROL!$A$5:$M$4235,11,0),"")</f>
        <v>0</v>
      </c>
      <c r="L33" s="120">
        <f>IFERROR(VLOOKUP(B33,BD_CONTROL!$A$5:$M$4235,12,0),"")</f>
        <v>0</v>
      </c>
      <c r="M33" s="121">
        <f>IFERROR(VLOOKUP(B33,BD_CONTROL!$A$5:$M$4235,13,0),"")</f>
        <v>0</v>
      </c>
    </row>
    <row r="34" spans="1:13" ht="15" customHeight="1">
      <c r="A34" s="39">
        <v>29</v>
      </c>
      <c r="B34" s="39" t="s">
        <v>1671</v>
      </c>
      <c r="C34" s="40" t="s">
        <v>1672</v>
      </c>
      <c r="D34" s="39" t="s">
        <v>1530</v>
      </c>
      <c r="E34" s="40" t="s">
        <v>1586</v>
      </c>
      <c r="F34" s="40" t="s">
        <v>1673</v>
      </c>
      <c r="G34" s="39" t="s">
        <v>109</v>
      </c>
      <c r="H34" s="40" t="s">
        <v>1539</v>
      </c>
      <c r="I34" s="40" t="s">
        <v>104</v>
      </c>
      <c r="J34" s="50"/>
      <c r="K34" s="116">
        <f>IFERROR(VLOOKUP(B34,BD_CONTROL!$A$5:$M$4235,11,0),"")</f>
        <v>0</v>
      </c>
      <c r="L34" s="117">
        <f>IFERROR(VLOOKUP(B34,BD_CONTROL!$A$5:$M$4235,12,0),"")</f>
        <v>0</v>
      </c>
      <c r="M34" s="118">
        <f>IFERROR(VLOOKUP(B34,BD_CONTROL!$A$5:$M$4235,13,0),"")</f>
        <v>0</v>
      </c>
    </row>
    <row r="35" spans="1:13" ht="15" customHeight="1">
      <c r="A35" s="42">
        <v>30</v>
      </c>
      <c r="B35" s="42" t="s">
        <v>1674</v>
      </c>
      <c r="C35" s="43" t="s">
        <v>1675</v>
      </c>
      <c r="D35" s="42" t="s">
        <v>1530</v>
      </c>
      <c r="E35" s="43" t="s">
        <v>1676</v>
      </c>
      <c r="F35" s="43" t="s">
        <v>1677</v>
      </c>
      <c r="G35" s="42" t="s">
        <v>109</v>
      </c>
      <c r="H35" s="43" t="s">
        <v>1539</v>
      </c>
      <c r="I35" s="43" t="s">
        <v>104</v>
      </c>
      <c r="J35" s="55"/>
      <c r="K35" s="119">
        <f>IFERROR(VLOOKUP(B35,BD_CONTROL!$A$5:$M$4235,11,0),"")</f>
        <v>0</v>
      </c>
      <c r="L35" s="120">
        <f>IFERROR(VLOOKUP(B35,BD_CONTROL!$A$5:$M$4235,12,0),"")</f>
        <v>0</v>
      </c>
      <c r="M35" s="121">
        <f>IFERROR(VLOOKUP(B35,BD_CONTROL!$A$5:$M$4235,13,0),"")</f>
        <v>0</v>
      </c>
    </row>
    <row r="36" spans="1:13" ht="15" customHeight="1">
      <c r="A36" s="39">
        <v>31</v>
      </c>
      <c r="B36" s="39" t="s">
        <v>1691</v>
      </c>
      <c r="C36" s="40" t="s">
        <v>1692</v>
      </c>
      <c r="D36" s="39" t="s">
        <v>1530</v>
      </c>
      <c r="E36" s="40" t="s">
        <v>320</v>
      </c>
      <c r="F36" s="40" t="s">
        <v>1692</v>
      </c>
      <c r="G36" s="39" t="s">
        <v>109</v>
      </c>
      <c r="H36" s="40" t="s">
        <v>1539</v>
      </c>
      <c r="I36" s="40" t="s">
        <v>104</v>
      </c>
      <c r="J36" s="50"/>
      <c r="K36" s="116">
        <f>IFERROR(VLOOKUP(B36,BD_CONTROL!$A$5:$M$4235,11,0),"")</f>
        <v>0</v>
      </c>
      <c r="L36" s="117">
        <f>IFERROR(VLOOKUP(B36,BD_CONTROL!$A$5:$M$4235,12,0),"")</f>
        <v>0</v>
      </c>
      <c r="M36" s="118">
        <f>IFERROR(VLOOKUP(B36,BD_CONTROL!$A$5:$M$4235,13,0),"")</f>
        <v>0</v>
      </c>
    </row>
    <row r="37" spans="1:13" ht="15" customHeight="1">
      <c r="A37" s="42">
        <v>32</v>
      </c>
      <c r="B37" s="42" t="s">
        <v>1693</v>
      </c>
      <c r="C37" s="43" t="s">
        <v>1694</v>
      </c>
      <c r="D37" s="42" t="s">
        <v>1530</v>
      </c>
      <c r="E37" s="43" t="s">
        <v>320</v>
      </c>
      <c r="F37" s="43" t="s">
        <v>1695</v>
      </c>
      <c r="G37" s="42" t="s">
        <v>109</v>
      </c>
      <c r="H37" s="43" t="s">
        <v>1539</v>
      </c>
      <c r="I37" s="43" t="s">
        <v>104</v>
      </c>
      <c r="J37" s="55"/>
      <c r="K37" s="119">
        <f>IFERROR(VLOOKUP(B37,BD_CONTROL!$A$5:$M$4235,11,0),"")</f>
        <v>0</v>
      </c>
      <c r="L37" s="120">
        <f>IFERROR(VLOOKUP(B37,BD_CONTROL!$A$5:$M$4235,12,0),"")</f>
        <v>0</v>
      </c>
      <c r="M37" s="121">
        <f>IFERROR(VLOOKUP(B37,BD_CONTROL!$A$5:$M$4235,13,0),"")</f>
        <v>0</v>
      </c>
    </row>
    <row r="38" spans="1:13" ht="15" customHeight="1">
      <c r="A38" s="39">
        <v>33</v>
      </c>
      <c r="B38" s="39" t="s">
        <v>1696</v>
      </c>
      <c r="C38" s="40" t="s">
        <v>1697</v>
      </c>
      <c r="D38" s="39" t="s">
        <v>1530</v>
      </c>
      <c r="E38" s="40" t="s">
        <v>320</v>
      </c>
      <c r="F38" s="40" t="s">
        <v>1698</v>
      </c>
      <c r="G38" s="39" t="s">
        <v>109</v>
      </c>
      <c r="H38" s="40" t="s">
        <v>1539</v>
      </c>
      <c r="I38" s="40" t="s">
        <v>104</v>
      </c>
      <c r="J38" s="50"/>
      <c r="K38" s="116">
        <f>IFERROR(VLOOKUP(B38,BD_CONTROL!$A$5:$M$4235,11,0),"")</f>
        <v>0</v>
      </c>
      <c r="L38" s="117">
        <f>IFERROR(VLOOKUP(B38,BD_CONTROL!$A$5:$M$4235,12,0),"")</f>
        <v>0</v>
      </c>
      <c r="M38" s="118">
        <f>IFERROR(VLOOKUP(B38,BD_CONTROL!$A$5:$M$4235,13,0),"")</f>
        <v>0</v>
      </c>
    </row>
    <row r="39" spans="1:13" ht="15" customHeight="1">
      <c r="A39" s="42">
        <v>34</v>
      </c>
      <c r="B39" s="42" t="s">
        <v>1724</v>
      </c>
      <c r="C39" s="43" t="s">
        <v>1725</v>
      </c>
      <c r="D39" s="42" t="s">
        <v>1530</v>
      </c>
      <c r="E39" s="43" t="s">
        <v>1542</v>
      </c>
      <c r="F39" s="43" t="s">
        <v>1725</v>
      </c>
      <c r="G39" s="42" t="s">
        <v>109</v>
      </c>
      <c r="H39" s="43" t="s">
        <v>1539</v>
      </c>
      <c r="I39" s="43" t="s">
        <v>104</v>
      </c>
      <c r="J39" s="55"/>
      <c r="K39" s="119">
        <f>IFERROR(VLOOKUP(B39,BD_CONTROL!$A$5:$M$4235,11,0),"")</f>
        <v>0</v>
      </c>
      <c r="L39" s="120">
        <f>IFERROR(VLOOKUP(B39,BD_CONTROL!$A$5:$M$4235,12,0),"")</f>
        <v>0</v>
      </c>
      <c r="M39" s="121">
        <f>IFERROR(VLOOKUP(B39,BD_CONTROL!$A$5:$M$4235,13,0),"")</f>
        <v>0</v>
      </c>
    </row>
    <row r="40" spans="1:13" ht="15" customHeight="1">
      <c r="A40" s="39">
        <v>35</v>
      </c>
      <c r="B40" s="39" t="s">
        <v>1726</v>
      </c>
      <c r="C40" s="40" t="s">
        <v>1727</v>
      </c>
      <c r="D40" s="39" t="s">
        <v>1530</v>
      </c>
      <c r="E40" s="40" t="s">
        <v>1542</v>
      </c>
      <c r="F40" s="40" t="s">
        <v>1728</v>
      </c>
      <c r="G40" s="39" t="s">
        <v>109</v>
      </c>
      <c r="H40" s="40" t="s">
        <v>1539</v>
      </c>
      <c r="I40" s="40" t="s">
        <v>104</v>
      </c>
      <c r="J40" s="50"/>
      <c r="K40" s="116">
        <f>IFERROR(VLOOKUP(B40,BD_CONTROL!$A$5:$M$4235,11,0),"")</f>
        <v>0</v>
      </c>
      <c r="L40" s="117">
        <f>IFERROR(VLOOKUP(B40,BD_CONTROL!$A$5:$M$4235,12,0),"")</f>
        <v>0</v>
      </c>
      <c r="M40" s="118">
        <f>IFERROR(VLOOKUP(B40,BD_CONTROL!$A$5:$M$4235,13,0),"")</f>
        <v>0</v>
      </c>
    </row>
    <row r="41" spans="1:13" ht="15" customHeight="1">
      <c r="A41" s="42">
        <v>36</v>
      </c>
      <c r="B41" s="42" t="s">
        <v>1766</v>
      </c>
      <c r="C41" s="43" t="s">
        <v>1767</v>
      </c>
      <c r="D41" s="42" t="s">
        <v>1530</v>
      </c>
      <c r="E41" s="43" t="s">
        <v>1676</v>
      </c>
      <c r="F41" s="43" t="s">
        <v>1768</v>
      </c>
      <c r="G41" s="42" t="s">
        <v>109</v>
      </c>
      <c r="H41" s="43" t="s">
        <v>1539</v>
      </c>
      <c r="I41" s="43" t="s">
        <v>104</v>
      </c>
      <c r="J41" s="55"/>
      <c r="K41" s="119">
        <f>IFERROR(VLOOKUP(B41,BD_CONTROL!$A$5:$M$4235,11,0),"")</f>
        <v>0</v>
      </c>
      <c r="L41" s="120">
        <f>IFERROR(VLOOKUP(B41,BD_CONTROL!$A$5:$M$4235,12,0),"")</f>
        <v>0</v>
      </c>
      <c r="M41" s="121">
        <f>IFERROR(VLOOKUP(B41,BD_CONTROL!$A$5:$M$4235,13,0),"")</f>
        <v>0</v>
      </c>
    </row>
    <row r="42" spans="1:13" ht="15" customHeight="1">
      <c r="A42" s="39">
        <v>37</v>
      </c>
      <c r="B42" s="39" t="s">
        <v>1775</v>
      </c>
      <c r="C42" s="40" t="s">
        <v>1776</v>
      </c>
      <c r="D42" s="39" t="s">
        <v>1530</v>
      </c>
      <c r="E42" s="40" t="s">
        <v>320</v>
      </c>
      <c r="F42" s="40" t="s">
        <v>1777</v>
      </c>
      <c r="G42" s="39" t="s">
        <v>109</v>
      </c>
      <c r="H42" s="40" t="s">
        <v>1539</v>
      </c>
      <c r="I42" s="40" t="s">
        <v>104</v>
      </c>
      <c r="J42" s="50"/>
      <c r="K42" s="116">
        <f>IFERROR(VLOOKUP(B42,BD_CONTROL!$A$5:$M$4235,11,0),"")</f>
        <v>0</v>
      </c>
      <c r="L42" s="117">
        <f>IFERROR(VLOOKUP(B42,BD_CONTROL!$A$5:$M$4235,12,0),"")</f>
        <v>0</v>
      </c>
      <c r="M42" s="118">
        <f>IFERROR(VLOOKUP(B42,BD_CONTROL!$A$5:$M$4235,13,0),"")</f>
        <v>0</v>
      </c>
    </row>
    <row r="43" spans="1:13" ht="15" customHeight="1">
      <c r="A43" s="42">
        <v>38</v>
      </c>
      <c r="B43" s="42" t="s">
        <v>1778</v>
      </c>
      <c r="C43" s="43" t="s">
        <v>1779</v>
      </c>
      <c r="D43" s="42" t="s">
        <v>1530</v>
      </c>
      <c r="E43" s="43" t="s">
        <v>320</v>
      </c>
      <c r="F43" s="43" t="s">
        <v>1779</v>
      </c>
      <c r="G43" s="42" t="s">
        <v>109</v>
      </c>
      <c r="H43" s="43" t="s">
        <v>1539</v>
      </c>
      <c r="I43" s="43" t="s">
        <v>104</v>
      </c>
      <c r="J43" s="55"/>
      <c r="K43" s="119">
        <f>IFERROR(VLOOKUP(B43,BD_CONTROL!$A$5:$M$4235,11,0),"")</f>
        <v>0</v>
      </c>
      <c r="L43" s="120">
        <f>IFERROR(VLOOKUP(B43,BD_CONTROL!$A$5:$M$4235,12,0),"")</f>
        <v>0</v>
      </c>
      <c r="M43" s="121">
        <f>IFERROR(VLOOKUP(B43,BD_CONTROL!$A$5:$M$4235,13,0),"")</f>
        <v>0</v>
      </c>
    </row>
    <row r="44" spans="1:13" ht="15" customHeight="1">
      <c r="A44" s="39">
        <v>39</v>
      </c>
      <c r="B44" s="39" t="s">
        <v>1780</v>
      </c>
      <c r="C44" s="40" t="s">
        <v>1781</v>
      </c>
      <c r="D44" s="39" t="s">
        <v>1530</v>
      </c>
      <c r="E44" s="40" t="s">
        <v>1542</v>
      </c>
      <c r="F44" s="40" t="s">
        <v>1781</v>
      </c>
      <c r="G44" s="39" t="s">
        <v>109</v>
      </c>
      <c r="H44" s="40" t="s">
        <v>1539</v>
      </c>
      <c r="I44" s="40" t="s">
        <v>104</v>
      </c>
      <c r="J44" s="50"/>
      <c r="K44" s="116">
        <f>IFERROR(VLOOKUP(B44,BD_CONTROL!$A$5:$M$4235,11,0),"")</f>
        <v>0</v>
      </c>
      <c r="L44" s="117">
        <f>IFERROR(VLOOKUP(B44,BD_CONTROL!$A$5:$M$4235,12,0),"")</f>
        <v>0</v>
      </c>
      <c r="M44" s="118">
        <f>IFERROR(VLOOKUP(B44,BD_CONTROL!$A$5:$M$4235,13,0),"")</f>
        <v>0</v>
      </c>
    </row>
    <row r="45" spans="1:13" ht="15" customHeight="1">
      <c r="A45" s="42">
        <v>40</v>
      </c>
      <c r="B45" s="42" t="s">
        <v>1791</v>
      </c>
      <c r="C45" s="43" t="s">
        <v>1792</v>
      </c>
      <c r="D45" s="42" t="s">
        <v>1530</v>
      </c>
      <c r="E45" s="43" t="s">
        <v>1542</v>
      </c>
      <c r="F45" s="43" t="s">
        <v>1793</v>
      </c>
      <c r="G45" s="42" t="s">
        <v>109</v>
      </c>
      <c r="H45" s="43" t="s">
        <v>1539</v>
      </c>
      <c r="I45" s="43" t="s">
        <v>104</v>
      </c>
      <c r="J45" s="55"/>
      <c r="K45" s="119">
        <f>IFERROR(VLOOKUP(B45,BD_CONTROL!$A$5:$M$4235,11,0),"")</f>
        <v>0</v>
      </c>
      <c r="L45" s="120">
        <f>IFERROR(VLOOKUP(B45,BD_CONTROL!$A$5:$M$4235,12,0),"")</f>
        <v>0</v>
      </c>
      <c r="M45" s="121">
        <f>IFERROR(VLOOKUP(B45,BD_CONTROL!$A$5:$M$4235,13,0),"")</f>
        <v>0</v>
      </c>
    </row>
    <row r="46" spans="1:13" ht="15" customHeight="1">
      <c r="A46" s="39">
        <v>41</v>
      </c>
      <c r="B46" s="39" t="s">
        <v>1797</v>
      </c>
      <c r="C46" s="40" t="s">
        <v>1798</v>
      </c>
      <c r="D46" s="39" t="s">
        <v>1530</v>
      </c>
      <c r="E46" s="40" t="s">
        <v>1558</v>
      </c>
      <c r="F46" s="40" t="s">
        <v>1799</v>
      </c>
      <c r="G46" s="39" t="s">
        <v>109</v>
      </c>
      <c r="H46" s="40" t="s">
        <v>1539</v>
      </c>
      <c r="I46" s="40" t="s">
        <v>104</v>
      </c>
      <c r="J46" s="50"/>
      <c r="K46" s="116">
        <f>IFERROR(VLOOKUP(B46,BD_CONTROL!$A$5:$M$4235,11,0),"")</f>
        <v>0</v>
      </c>
      <c r="L46" s="117">
        <f>IFERROR(VLOOKUP(B46,BD_CONTROL!$A$5:$M$4235,12,0),"")</f>
        <v>0</v>
      </c>
      <c r="M46" s="118">
        <f>IFERROR(VLOOKUP(B46,BD_CONTROL!$A$5:$M$4235,13,0),"")</f>
        <v>0</v>
      </c>
    </row>
    <row r="47" spans="1:13" ht="15" customHeight="1">
      <c r="A47" s="42">
        <v>42</v>
      </c>
      <c r="B47" s="42" t="s">
        <v>1800</v>
      </c>
      <c r="C47" s="43" t="s">
        <v>1801</v>
      </c>
      <c r="D47" s="42" t="s">
        <v>1530</v>
      </c>
      <c r="E47" s="43" t="s">
        <v>1558</v>
      </c>
      <c r="F47" s="43" t="s">
        <v>1801</v>
      </c>
      <c r="G47" s="42" t="s">
        <v>109</v>
      </c>
      <c r="H47" s="43" t="s">
        <v>1539</v>
      </c>
      <c r="I47" s="43" t="s">
        <v>104</v>
      </c>
      <c r="J47" s="55"/>
      <c r="K47" s="119">
        <f>IFERROR(VLOOKUP(B47,BD_CONTROL!$A$5:$M$4235,11,0),"")</f>
        <v>0</v>
      </c>
      <c r="L47" s="120">
        <f>IFERROR(VLOOKUP(B47,BD_CONTROL!$A$5:$M$4235,12,0),"")</f>
        <v>0</v>
      </c>
      <c r="M47" s="121">
        <f>IFERROR(VLOOKUP(B47,BD_CONTROL!$A$5:$M$4235,13,0),"")</f>
        <v>0</v>
      </c>
    </row>
    <row r="48" spans="1:13" ht="15" customHeight="1">
      <c r="A48" s="39">
        <v>43</v>
      </c>
      <c r="B48" s="39" t="s">
        <v>1802</v>
      </c>
      <c r="C48" s="40" t="s">
        <v>1803</v>
      </c>
      <c r="D48" s="39" t="s">
        <v>1530</v>
      </c>
      <c r="E48" s="40" t="s">
        <v>1530</v>
      </c>
      <c r="F48" s="40" t="s">
        <v>1804</v>
      </c>
      <c r="G48" s="39" t="s">
        <v>109</v>
      </c>
      <c r="H48" s="40" t="s">
        <v>1539</v>
      </c>
      <c r="I48" s="40" t="s">
        <v>104</v>
      </c>
      <c r="J48" s="50"/>
      <c r="K48" s="116">
        <f>IFERROR(VLOOKUP(B48,BD_CONTROL!$A$5:$M$4235,11,0),"")</f>
        <v>0</v>
      </c>
      <c r="L48" s="117">
        <f>IFERROR(VLOOKUP(B48,BD_CONTROL!$A$5:$M$4235,12,0),"")</f>
        <v>0</v>
      </c>
      <c r="M48" s="118">
        <f>IFERROR(VLOOKUP(B48,BD_CONTROL!$A$5:$M$4235,13,0),"")</f>
        <v>0</v>
      </c>
    </row>
    <row r="49" spans="1:13" ht="15" customHeight="1">
      <c r="A49" s="42">
        <v>44</v>
      </c>
      <c r="B49" s="42" t="s">
        <v>1805</v>
      </c>
      <c r="C49" s="43" t="s">
        <v>1806</v>
      </c>
      <c r="D49" s="42" t="s">
        <v>1530</v>
      </c>
      <c r="E49" s="43" t="s">
        <v>1660</v>
      </c>
      <c r="F49" s="43" t="s">
        <v>1807</v>
      </c>
      <c r="G49" s="42" t="s">
        <v>109</v>
      </c>
      <c r="H49" s="43" t="s">
        <v>1539</v>
      </c>
      <c r="I49" s="43" t="s">
        <v>104</v>
      </c>
      <c r="J49" s="55"/>
      <c r="K49" s="119">
        <f>IFERROR(VLOOKUP(B49,BD_CONTROL!$A$5:$M$4235,11,0),"")</f>
        <v>0</v>
      </c>
      <c r="L49" s="120">
        <f>IFERROR(VLOOKUP(B49,BD_CONTROL!$A$5:$M$4235,12,0),"")</f>
        <v>0</v>
      </c>
      <c r="M49" s="121">
        <f>IFERROR(VLOOKUP(B49,BD_CONTROL!$A$5:$M$4235,13,0),"")</f>
        <v>0</v>
      </c>
    </row>
    <row r="50" spans="1:13" ht="15" customHeight="1">
      <c r="A50" s="39">
        <v>45</v>
      </c>
      <c r="B50" s="39" t="s">
        <v>1808</v>
      </c>
      <c r="C50" s="40" t="s">
        <v>1809</v>
      </c>
      <c r="D50" s="39" t="s">
        <v>1530</v>
      </c>
      <c r="E50" s="40" t="s">
        <v>1660</v>
      </c>
      <c r="F50" s="40" t="s">
        <v>1810</v>
      </c>
      <c r="G50" s="39" t="s">
        <v>109</v>
      </c>
      <c r="H50" s="40" t="s">
        <v>1539</v>
      </c>
      <c r="I50" s="40" t="s">
        <v>104</v>
      </c>
      <c r="J50" s="50"/>
      <c r="K50" s="116">
        <f>IFERROR(VLOOKUP(B50,BD_CONTROL!$A$5:$M$4235,11,0),"")</f>
        <v>0</v>
      </c>
      <c r="L50" s="117">
        <f>IFERROR(VLOOKUP(B50,BD_CONTROL!$A$5:$M$4235,12,0),"")</f>
        <v>0</v>
      </c>
      <c r="M50" s="118">
        <f>IFERROR(VLOOKUP(B50,BD_CONTROL!$A$5:$M$4235,13,0),"")</f>
        <v>0</v>
      </c>
    </row>
    <row r="51" spans="1:13" ht="15" customHeight="1">
      <c r="A51" s="42">
        <v>46</v>
      </c>
      <c r="B51" s="42" t="s">
        <v>1811</v>
      </c>
      <c r="C51" s="43" t="s">
        <v>1812</v>
      </c>
      <c r="D51" s="42" t="s">
        <v>1530</v>
      </c>
      <c r="E51" s="43" t="s">
        <v>1537</v>
      </c>
      <c r="F51" s="43" t="s">
        <v>1812</v>
      </c>
      <c r="G51" s="42" t="s">
        <v>109</v>
      </c>
      <c r="H51" s="43" t="s">
        <v>1539</v>
      </c>
      <c r="I51" s="43" t="s">
        <v>104</v>
      </c>
      <c r="J51" s="55"/>
      <c r="K51" s="119">
        <f>IFERROR(VLOOKUP(B51,BD_CONTROL!$A$5:$M$4235,11,0),"")</f>
        <v>0</v>
      </c>
      <c r="L51" s="120">
        <f>IFERROR(VLOOKUP(B51,BD_CONTROL!$A$5:$M$4235,12,0),"")</f>
        <v>0</v>
      </c>
      <c r="M51" s="121">
        <f>IFERROR(VLOOKUP(B51,BD_CONTROL!$A$5:$M$4235,13,0),"")</f>
        <v>0</v>
      </c>
    </row>
    <row r="52" spans="1:13" ht="15" customHeight="1">
      <c r="A52" s="39">
        <v>47</v>
      </c>
      <c r="B52" s="39" t="s">
        <v>1813</v>
      </c>
      <c r="C52" s="40" t="s">
        <v>1814</v>
      </c>
      <c r="D52" s="39" t="s">
        <v>1530</v>
      </c>
      <c r="E52" s="40" t="s">
        <v>1537</v>
      </c>
      <c r="F52" s="40" t="s">
        <v>1814</v>
      </c>
      <c r="G52" s="39" t="s">
        <v>109</v>
      </c>
      <c r="H52" s="40" t="s">
        <v>1539</v>
      </c>
      <c r="I52" s="40" t="s">
        <v>104</v>
      </c>
      <c r="J52" s="50"/>
      <c r="K52" s="116">
        <f>IFERROR(VLOOKUP(B52,BD_CONTROL!$A$5:$M$4235,11,0),"")</f>
        <v>0</v>
      </c>
      <c r="L52" s="117">
        <f>IFERROR(VLOOKUP(B52,BD_CONTROL!$A$5:$M$4235,12,0),"")</f>
        <v>0</v>
      </c>
      <c r="M52" s="118">
        <f>IFERROR(VLOOKUP(B52,BD_CONTROL!$A$5:$M$4235,13,0),"")</f>
        <v>0</v>
      </c>
    </row>
    <row r="53" spans="1:13" ht="15" customHeight="1">
      <c r="A53" s="42">
        <v>48</v>
      </c>
      <c r="B53" s="42" t="s">
        <v>1815</v>
      </c>
      <c r="C53" s="43" t="s">
        <v>1816</v>
      </c>
      <c r="D53" s="42" t="s">
        <v>1530</v>
      </c>
      <c r="E53" s="43" t="s">
        <v>1558</v>
      </c>
      <c r="F53" s="43" t="s">
        <v>1816</v>
      </c>
      <c r="G53" s="42" t="s">
        <v>109</v>
      </c>
      <c r="H53" s="43" t="s">
        <v>1539</v>
      </c>
      <c r="I53" s="43" t="s">
        <v>104</v>
      </c>
      <c r="J53" s="55"/>
      <c r="K53" s="119">
        <f>IFERROR(VLOOKUP(B53,BD_CONTROL!$A$5:$M$4235,11,0),"")</f>
        <v>0</v>
      </c>
      <c r="L53" s="120">
        <f>IFERROR(VLOOKUP(B53,BD_CONTROL!$A$5:$M$4235,12,0),"")</f>
        <v>0</v>
      </c>
      <c r="M53" s="121">
        <f>IFERROR(VLOOKUP(B53,BD_CONTROL!$A$5:$M$4235,13,0),"")</f>
        <v>0</v>
      </c>
    </row>
    <row r="54" spans="1:13" ht="15" customHeight="1">
      <c r="A54" s="39">
        <v>49</v>
      </c>
      <c r="B54" s="39" t="s">
        <v>1821</v>
      </c>
      <c r="C54" s="40" t="s">
        <v>1822</v>
      </c>
      <c r="D54" s="39" t="s">
        <v>1530</v>
      </c>
      <c r="E54" s="40" t="s">
        <v>1537</v>
      </c>
      <c r="F54" s="40" t="s">
        <v>1822</v>
      </c>
      <c r="G54" s="39" t="s">
        <v>109</v>
      </c>
      <c r="H54" s="40" t="s">
        <v>1539</v>
      </c>
      <c r="I54" s="40" t="s">
        <v>104</v>
      </c>
      <c r="J54" s="50"/>
      <c r="K54" s="116">
        <f>IFERROR(VLOOKUP(B54,BD_CONTROL!$A$5:$M$4235,11,0),"")</f>
        <v>0</v>
      </c>
      <c r="L54" s="117">
        <f>IFERROR(VLOOKUP(B54,BD_CONTROL!$A$5:$M$4235,12,0),"")</f>
        <v>0</v>
      </c>
      <c r="M54" s="118">
        <f>IFERROR(VLOOKUP(B54,BD_CONTROL!$A$5:$M$4235,13,0),"")</f>
        <v>0</v>
      </c>
    </row>
    <row r="55" spans="1:13" ht="15" customHeight="1">
      <c r="A55" s="42">
        <v>50</v>
      </c>
      <c r="B55" s="42" t="s">
        <v>1823</v>
      </c>
      <c r="C55" s="43" t="s">
        <v>1824</v>
      </c>
      <c r="D55" s="42" t="s">
        <v>1530</v>
      </c>
      <c r="E55" s="43" t="s">
        <v>1530</v>
      </c>
      <c r="F55" s="43" t="s">
        <v>1825</v>
      </c>
      <c r="G55" s="42" t="s">
        <v>102</v>
      </c>
      <c r="H55" s="43" t="s">
        <v>1539</v>
      </c>
      <c r="I55" s="43" t="s">
        <v>104</v>
      </c>
      <c r="J55" s="55"/>
      <c r="K55" s="119">
        <f>IFERROR(VLOOKUP(B55,BD_CONTROL!$A$5:$M$4235,11,0),"")</f>
        <v>0</v>
      </c>
      <c r="L55" s="120">
        <f>IFERROR(VLOOKUP(B55,BD_CONTROL!$A$5:$M$4235,12,0),"")</f>
        <v>0</v>
      </c>
      <c r="M55" s="121">
        <f>IFERROR(VLOOKUP(B55,BD_CONTROL!$A$5:$M$4235,13,0),"")</f>
        <v>0</v>
      </c>
    </row>
    <row r="56" spans="1:13" ht="15" customHeight="1">
      <c r="A56" s="39">
        <v>51</v>
      </c>
      <c r="B56" s="39" t="s">
        <v>1835</v>
      </c>
      <c r="C56" s="40" t="s">
        <v>1836</v>
      </c>
      <c r="D56" s="39" t="s">
        <v>1530</v>
      </c>
      <c r="E56" s="40" t="s">
        <v>1646</v>
      </c>
      <c r="F56" s="40" t="s">
        <v>1836</v>
      </c>
      <c r="G56" s="39" t="s">
        <v>109</v>
      </c>
      <c r="H56" s="40" t="s">
        <v>1539</v>
      </c>
      <c r="I56" s="40" t="s">
        <v>104</v>
      </c>
      <c r="J56" s="50"/>
      <c r="K56" s="116">
        <f>IFERROR(VLOOKUP(B56,BD_CONTROL!$A$5:$M$4235,11,0),"")</f>
        <v>0</v>
      </c>
      <c r="L56" s="117">
        <f>IFERROR(VLOOKUP(B56,BD_CONTROL!$A$5:$M$4235,12,0),"")</f>
        <v>0</v>
      </c>
      <c r="M56" s="118">
        <f>IFERROR(VLOOKUP(B56,BD_CONTROL!$A$5:$M$4235,13,0),"")</f>
        <v>0</v>
      </c>
    </row>
    <row r="57" spans="1:13" ht="15" customHeight="1">
      <c r="A57" s="42">
        <v>52</v>
      </c>
      <c r="B57" s="42" t="s">
        <v>1878</v>
      </c>
      <c r="C57" s="43" t="s">
        <v>1879</v>
      </c>
      <c r="D57" s="42" t="s">
        <v>1530</v>
      </c>
      <c r="E57" s="43" t="s">
        <v>1546</v>
      </c>
      <c r="F57" s="43" t="s">
        <v>1880</v>
      </c>
      <c r="G57" s="42" t="s">
        <v>109</v>
      </c>
      <c r="H57" s="43" t="s">
        <v>1539</v>
      </c>
      <c r="I57" s="43" t="s">
        <v>104</v>
      </c>
      <c r="J57" s="55"/>
      <c r="K57" s="119">
        <f>IFERROR(VLOOKUP(B57,BD_CONTROL!$A$5:$M$4235,11,0),"")</f>
        <v>0</v>
      </c>
      <c r="L57" s="120">
        <f>IFERROR(VLOOKUP(B57,BD_CONTROL!$A$5:$M$4235,12,0),"")</f>
        <v>0</v>
      </c>
      <c r="M57" s="121">
        <f>IFERROR(VLOOKUP(B57,BD_CONTROL!$A$5:$M$4235,13,0),"")</f>
        <v>0</v>
      </c>
    </row>
    <row r="58" spans="1:13" ht="15" customHeight="1">
      <c r="A58" s="39">
        <v>53</v>
      </c>
      <c r="B58" s="39" t="s">
        <v>1881</v>
      </c>
      <c r="C58" s="40" t="s">
        <v>1882</v>
      </c>
      <c r="D58" s="39" t="s">
        <v>1530</v>
      </c>
      <c r="E58" s="40" t="s">
        <v>1546</v>
      </c>
      <c r="F58" s="40" t="s">
        <v>1883</v>
      </c>
      <c r="G58" s="39" t="s">
        <v>109</v>
      </c>
      <c r="H58" s="40" t="s">
        <v>1539</v>
      </c>
      <c r="I58" s="40" t="s">
        <v>104</v>
      </c>
      <c r="J58" s="50"/>
      <c r="K58" s="116">
        <f>IFERROR(VLOOKUP(B58,BD_CONTROL!$A$5:$M$4235,11,0),"")</f>
        <v>0</v>
      </c>
      <c r="L58" s="117">
        <f>IFERROR(VLOOKUP(B58,BD_CONTROL!$A$5:$M$4235,12,0),"")</f>
        <v>0</v>
      </c>
      <c r="M58" s="118">
        <f>IFERROR(VLOOKUP(B58,BD_CONTROL!$A$5:$M$4235,13,0),"")</f>
        <v>0</v>
      </c>
    </row>
    <row r="59" spans="1:13" ht="15" customHeight="1">
      <c r="A59" s="42">
        <v>54</v>
      </c>
      <c r="B59" s="42" t="s">
        <v>1884</v>
      </c>
      <c r="C59" s="43" t="s">
        <v>1885</v>
      </c>
      <c r="D59" s="42" t="s">
        <v>1530</v>
      </c>
      <c r="E59" s="43" t="s">
        <v>1586</v>
      </c>
      <c r="F59" s="43" t="s">
        <v>1886</v>
      </c>
      <c r="G59" s="42" t="s">
        <v>109</v>
      </c>
      <c r="H59" s="43" t="s">
        <v>1539</v>
      </c>
      <c r="I59" s="43" t="s">
        <v>104</v>
      </c>
      <c r="J59" s="55"/>
      <c r="K59" s="119" t="str">
        <f>IFERROR(VLOOKUP(B59,BD_CONTROL!$A$5:$M$4235,11,0),"")</f>
        <v>Instalado - Operando</v>
      </c>
      <c r="L59" s="120">
        <f>IFERROR(VLOOKUP(B59,BD_CONTROL!$A$5:$M$4235,12,0),"")</f>
        <v>46149</v>
      </c>
      <c r="M59" s="121">
        <f>IFERROR(VLOOKUP(B59,BD_CONTROL!$A$5:$M$4235,13,0),"")</f>
        <v>0</v>
      </c>
    </row>
    <row r="60" spans="1:13" ht="15" customHeight="1">
      <c r="A60" s="39">
        <v>55</v>
      </c>
      <c r="B60" s="39" t="s">
        <v>1887</v>
      </c>
      <c r="C60" s="40" t="s">
        <v>1888</v>
      </c>
      <c r="D60" s="39" t="s">
        <v>1530</v>
      </c>
      <c r="E60" s="40" t="s">
        <v>1586</v>
      </c>
      <c r="F60" s="40" t="s">
        <v>1889</v>
      </c>
      <c r="G60" s="39" t="s">
        <v>109</v>
      </c>
      <c r="H60" s="40" t="s">
        <v>1539</v>
      </c>
      <c r="I60" s="40" t="s">
        <v>104</v>
      </c>
      <c r="J60" s="50"/>
      <c r="K60" s="116" t="str">
        <f>IFERROR(VLOOKUP(B60,BD_CONTROL!$A$5:$M$4235,11,0),"")</f>
        <v>Instalado - Sin Señal</v>
      </c>
      <c r="L60" s="117">
        <f>IFERROR(VLOOKUP(B60,BD_CONTROL!$A$5:$M$4235,12,0),"")</f>
        <v>46147</v>
      </c>
      <c r="M60" s="118">
        <f>IFERROR(VLOOKUP(B60,BD_CONTROL!$A$5:$M$4235,13,0),"")</f>
        <v>0</v>
      </c>
    </row>
    <row r="61" spans="1:13" ht="15" customHeight="1">
      <c r="A61" s="42">
        <v>56</v>
      </c>
      <c r="B61" s="42" t="s">
        <v>1890</v>
      </c>
      <c r="C61" s="43" t="s">
        <v>1891</v>
      </c>
      <c r="D61" s="42" t="s">
        <v>1530</v>
      </c>
      <c r="E61" s="43" t="s">
        <v>1546</v>
      </c>
      <c r="F61" s="43" t="s">
        <v>1891</v>
      </c>
      <c r="G61" s="42" t="s">
        <v>109</v>
      </c>
      <c r="H61" s="43" t="s">
        <v>1539</v>
      </c>
      <c r="I61" s="43" t="s">
        <v>104</v>
      </c>
      <c r="J61" s="55"/>
      <c r="K61" s="119">
        <f>IFERROR(VLOOKUP(B61,BD_CONTROL!$A$5:$M$4235,11,0),"")</f>
        <v>0</v>
      </c>
      <c r="L61" s="120">
        <f>IFERROR(VLOOKUP(B61,BD_CONTROL!$A$5:$M$4235,12,0),"")</f>
        <v>0</v>
      </c>
      <c r="M61" s="121">
        <f>IFERROR(VLOOKUP(B61,BD_CONTROL!$A$5:$M$4235,13,0),"")</f>
        <v>0</v>
      </c>
    </row>
    <row r="62" spans="1:13" ht="15" customHeight="1">
      <c r="A62" s="39">
        <v>57</v>
      </c>
      <c r="B62" s="39" t="s">
        <v>1892</v>
      </c>
      <c r="C62" s="40" t="s">
        <v>1893</v>
      </c>
      <c r="D62" s="39" t="s">
        <v>1530</v>
      </c>
      <c r="E62" s="40" t="s">
        <v>1232</v>
      </c>
      <c r="F62" s="40" t="s">
        <v>1894</v>
      </c>
      <c r="G62" s="39" t="s">
        <v>109</v>
      </c>
      <c r="H62" s="40" t="s">
        <v>1539</v>
      </c>
      <c r="I62" s="40" t="s">
        <v>104</v>
      </c>
      <c r="J62" s="50"/>
      <c r="K62" s="116">
        <f>IFERROR(VLOOKUP(B62,BD_CONTROL!$A$5:$M$4235,11,0),"")</f>
        <v>0</v>
      </c>
      <c r="L62" s="117">
        <f>IFERROR(VLOOKUP(B62,BD_CONTROL!$A$5:$M$4235,12,0),"")</f>
        <v>0</v>
      </c>
      <c r="M62" s="118">
        <f>IFERROR(VLOOKUP(B62,BD_CONTROL!$A$5:$M$4235,13,0),"")</f>
        <v>0</v>
      </c>
    </row>
    <row r="63" spans="1:13" ht="15" customHeight="1">
      <c r="A63" s="42">
        <v>58</v>
      </c>
      <c r="B63" s="42" t="s">
        <v>1895</v>
      </c>
      <c r="C63" s="43" t="s">
        <v>1896</v>
      </c>
      <c r="D63" s="42" t="s">
        <v>1530</v>
      </c>
      <c r="E63" s="43" t="s">
        <v>1546</v>
      </c>
      <c r="F63" s="43" t="s">
        <v>1896</v>
      </c>
      <c r="G63" s="42" t="s">
        <v>109</v>
      </c>
      <c r="H63" s="43" t="s">
        <v>1539</v>
      </c>
      <c r="I63" s="43" t="s">
        <v>104</v>
      </c>
      <c r="J63" s="55"/>
      <c r="K63" s="119">
        <f>IFERROR(VLOOKUP(B63,BD_CONTROL!$A$5:$M$4235,11,0),"")</f>
        <v>0</v>
      </c>
      <c r="L63" s="120">
        <f>IFERROR(VLOOKUP(B63,BD_CONTROL!$A$5:$M$4235,12,0),"")</f>
        <v>0</v>
      </c>
      <c r="M63" s="121">
        <f>IFERROR(VLOOKUP(B63,BD_CONTROL!$A$5:$M$4235,13,0),"")</f>
        <v>0</v>
      </c>
    </row>
    <row r="64" spans="1:13" ht="15" customHeight="1">
      <c r="A64" s="39">
        <v>59</v>
      </c>
      <c r="B64" s="39" t="s">
        <v>1897</v>
      </c>
      <c r="C64" s="40" t="s">
        <v>1898</v>
      </c>
      <c r="D64" s="39" t="s">
        <v>1530</v>
      </c>
      <c r="E64" s="40" t="s">
        <v>1546</v>
      </c>
      <c r="F64" s="40" t="s">
        <v>1899</v>
      </c>
      <c r="G64" s="39" t="s">
        <v>109</v>
      </c>
      <c r="H64" s="40" t="s">
        <v>1539</v>
      </c>
      <c r="I64" s="40" t="s">
        <v>104</v>
      </c>
      <c r="J64" s="50"/>
      <c r="K64" s="116">
        <f>IFERROR(VLOOKUP(B64,BD_CONTROL!$A$5:$M$4235,11,0),"")</f>
        <v>0</v>
      </c>
      <c r="L64" s="117">
        <f>IFERROR(VLOOKUP(B64,BD_CONTROL!$A$5:$M$4235,12,0),"")</f>
        <v>0</v>
      </c>
      <c r="M64" s="118">
        <f>IFERROR(VLOOKUP(B64,BD_CONTROL!$A$5:$M$4235,13,0),"")</f>
        <v>0</v>
      </c>
    </row>
    <row r="65" spans="1:13" ht="15" customHeight="1">
      <c r="A65" s="42">
        <v>60</v>
      </c>
      <c r="B65" s="42" t="s">
        <v>1900</v>
      </c>
      <c r="C65" s="43" t="s">
        <v>1901</v>
      </c>
      <c r="D65" s="42" t="s">
        <v>1530</v>
      </c>
      <c r="E65" s="43" t="s">
        <v>1546</v>
      </c>
      <c r="F65" s="43" t="s">
        <v>1546</v>
      </c>
      <c r="G65" s="42" t="s">
        <v>102</v>
      </c>
      <c r="H65" s="43" t="s">
        <v>1539</v>
      </c>
      <c r="I65" s="43" t="s">
        <v>104</v>
      </c>
      <c r="J65" s="55"/>
      <c r="K65" s="119">
        <f>IFERROR(VLOOKUP(B65,BD_CONTROL!$A$5:$M$4235,11,0),"")</f>
        <v>0</v>
      </c>
      <c r="L65" s="120">
        <f>IFERROR(VLOOKUP(B65,BD_CONTROL!$A$5:$M$4235,12,0),"")</f>
        <v>0</v>
      </c>
      <c r="M65" s="121">
        <f>IFERROR(VLOOKUP(B65,BD_CONTROL!$A$5:$M$4235,13,0),"")</f>
        <v>0</v>
      </c>
    </row>
    <row r="66" spans="1:13" ht="15" customHeight="1">
      <c r="A66" s="39">
        <v>61</v>
      </c>
      <c r="B66" s="39" t="s">
        <v>1902</v>
      </c>
      <c r="C66" s="40" t="s">
        <v>1903</v>
      </c>
      <c r="D66" s="39" t="s">
        <v>1530</v>
      </c>
      <c r="E66" s="40" t="s">
        <v>1582</v>
      </c>
      <c r="F66" s="40" t="s">
        <v>460</v>
      </c>
      <c r="G66" s="39" t="s">
        <v>109</v>
      </c>
      <c r="H66" s="40" t="s">
        <v>1539</v>
      </c>
      <c r="I66" s="40" t="s">
        <v>104</v>
      </c>
      <c r="J66" s="50"/>
      <c r="K66" s="116">
        <f>IFERROR(VLOOKUP(B66,BD_CONTROL!$A$5:$M$4235,11,0),"")</f>
        <v>0</v>
      </c>
      <c r="L66" s="117">
        <f>IFERROR(VLOOKUP(B66,BD_CONTROL!$A$5:$M$4235,12,0),"")</f>
        <v>0</v>
      </c>
      <c r="M66" s="118">
        <f>IFERROR(VLOOKUP(B66,BD_CONTROL!$A$5:$M$4235,13,0),"")</f>
        <v>0</v>
      </c>
    </row>
    <row r="67" spans="1:13" ht="15" customHeight="1">
      <c r="A67" s="42">
        <v>62</v>
      </c>
      <c r="B67" s="42" t="s">
        <v>1904</v>
      </c>
      <c r="C67" s="43" t="s">
        <v>1905</v>
      </c>
      <c r="D67" s="42" t="s">
        <v>1530</v>
      </c>
      <c r="E67" s="43" t="s">
        <v>1582</v>
      </c>
      <c r="F67" s="43" t="s">
        <v>1906</v>
      </c>
      <c r="G67" s="42" t="s">
        <v>109</v>
      </c>
      <c r="H67" s="43" t="s">
        <v>1539</v>
      </c>
      <c r="I67" s="43" t="s">
        <v>104</v>
      </c>
      <c r="J67" s="55"/>
      <c r="K67" s="119" t="str">
        <f>IFERROR(VLOOKUP(B67,BD_CONTROL!$A$5:$M$4235,11,0),"")</f>
        <v>Instalado - Operando</v>
      </c>
      <c r="L67" s="120">
        <f>IFERROR(VLOOKUP(B67,BD_CONTROL!$A$5:$M$4235,12,0),"")</f>
        <v>46148</v>
      </c>
      <c r="M67" s="121">
        <f>IFERROR(VLOOKUP(B67,BD_CONTROL!$A$5:$M$4235,13,0),"")</f>
        <v>0</v>
      </c>
    </row>
    <row r="68" spans="1:13" ht="15" customHeight="1">
      <c r="A68" s="39">
        <v>63</v>
      </c>
      <c r="B68" s="39" t="s">
        <v>1907</v>
      </c>
      <c r="C68" s="40" t="s">
        <v>1908</v>
      </c>
      <c r="D68" s="39" t="s">
        <v>1530</v>
      </c>
      <c r="E68" s="40" t="s">
        <v>1909</v>
      </c>
      <c r="F68" s="40" t="s">
        <v>1910</v>
      </c>
      <c r="G68" s="39" t="s">
        <v>109</v>
      </c>
      <c r="H68" s="40" t="s">
        <v>1539</v>
      </c>
      <c r="I68" s="40" t="s">
        <v>104</v>
      </c>
      <c r="J68" s="50"/>
      <c r="K68" s="116">
        <f>IFERROR(VLOOKUP(B68,BD_CONTROL!$A$5:$M$4235,11,0),"")</f>
        <v>0</v>
      </c>
      <c r="L68" s="117">
        <f>IFERROR(VLOOKUP(B68,BD_CONTROL!$A$5:$M$4235,12,0),"")</f>
        <v>0</v>
      </c>
      <c r="M68" s="118">
        <f>IFERROR(VLOOKUP(B68,BD_CONTROL!$A$5:$M$4235,13,0),"")</f>
        <v>0</v>
      </c>
    </row>
    <row r="69" spans="1:13" ht="15" customHeight="1">
      <c r="A69" s="42">
        <v>64</v>
      </c>
      <c r="B69" s="42" t="s">
        <v>1918</v>
      </c>
      <c r="C69" s="43" t="s">
        <v>1919</v>
      </c>
      <c r="D69" s="42" t="s">
        <v>1530</v>
      </c>
      <c r="E69" s="43" t="s">
        <v>320</v>
      </c>
      <c r="F69" s="43" t="s">
        <v>1920</v>
      </c>
      <c r="G69" s="42" t="s">
        <v>109</v>
      </c>
      <c r="H69" s="43" t="s">
        <v>1539</v>
      </c>
      <c r="I69" s="43" t="s">
        <v>104</v>
      </c>
      <c r="J69" s="55"/>
      <c r="K69" s="119">
        <f>IFERROR(VLOOKUP(B69,BD_CONTROL!$A$5:$M$4235,11,0),"")</f>
        <v>0</v>
      </c>
      <c r="L69" s="120">
        <f>IFERROR(VLOOKUP(B69,BD_CONTROL!$A$5:$M$4235,12,0),"")</f>
        <v>0</v>
      </c>
      <c r="M69" s="121">
        <f>IFERROR(VLOOKUP(B69,BD_CONTROL!$A$5:$M$4235,13,0),"")</f>
        <v>0</v>
      </c>
    </row>
    <row r="70" spans="1:13" ht="15" customHeight="1">
      <c r="A70" s="39">
        <v>65</v>
      </c>
      <c r="B70" s="39" t="s">
        <v>1921</v>
      </c>
      <c r="C70" s="40" t="s">
        <v>1922</v>
      </c>
      <c r="D70" s="39" t="s">
        <v>1530</v>
      </c>
      <c r="E70" s="40" t="s">
        <v>320</v>
      </c>
      <c r="F70" s="40" t="s">
        <v>1923</v>
      </c>
      <c r="G70" s="39" t="s">
        <v>109</v>
      </c>
      <c r="H70" s="40" t="s">
        <v>1539</v>
      </c>
      <c r="I70" s="40" t="s">
        <v>104</v>
      </c>
      <c r="J70" s="50"/>
      <c r="K70" s="116">
        <f>IFERROR(VLOOKUP(B70,BD_CONTROL!$A$5:$M$4235,11,0),"")</f>
        <v>0</v>
      </c>
      <c r="L70" s="117">
        <f>IFERROR(VLOOKUP(B70,BD_CONTROL!$A$5:$M$4235,12,0),"")</f>
        <v>0</v>
      </c>
      <c r="M70" s="118">
        <f>IFERROR(VLOOKUP(B70,BD_CONTROL!$A$5:$M$4235,13,0),"")</f>
        <v>0</v>
      </c>
    </row>
    <row r="71" spans="1:13" ht="15" customHeight="1">
      <c r="A71" s="42">
        <v>66</v>
      </c>
      <c r="B71" s="42" t="s">
        <v>1924</v>
      </c>
      <c r="C71" s="43" t="s">
        <v>1925</v>
      </c>
      <c r="D71" s="42" t="s">
        <v>1530</v>
      </c>
      <c r="E71" s="43" t="s">
        <v>320</v>
      </c>
      <c r="F71" s="43" t="s">
        <v>1739</v>
      </c>
      <c r="G71" s="42" t="s">
        <v>109</v>
      </c>
      <c r="H71" s="43" t="s">
        <v>1539</v>
      </c>
      <c r="I71" s="43" t="s">
        <v>104</v>
      </c>
      <c r="J71" s="55"/>
      <c r="K71" s="119">
        <f>IFERROR(VLOOKUP(B71,BD_CONTROL!$A$5:$M$4235,11,0),"")</f>
        <v>0</v>
      </c>
      <c r="L71" s="120">
        <f>IFERROR(VLOOKUP(B71,BD_CONTROL!$A$5:$M$4235,12,0),"")</f>
        <v>0</v>
      </c>
      <c r="M71" s="121">
        <f>IFERROR(VLOOKUP(B71,BD_CONTROL!$A$5:$M$4235,13,0),"")</f>
        <v>0</v>
      </c>
    </row>
    <row r="72" spans="1:13" ht="15" customHeight="1">
      <c r="A72" s="39">
        <v>67</v>
      </c>
      <c r="B72" s="39" t="s">
        <v>1926</v>
      </c>
      <c r="C72" s="40" t="s">
        <v>1927</v>
      </c>
      <c r="D72" s="39" t="s">
        <v>1530</v>
      </c>
      <c r="E72" s="40" t="s">
        <v>1530</v>
      </c>
      <c r="F72" s="40" t="s">
        <v>1927</v>
      </c>
      <c r="G72" s="39" t="s">
        <v>109</v>
      </c>
      <c r="H72" s="40" t="s">
        <v>1539</v>
      </c>
      <c r="I72" s="40" t="s">
        <v>104</v>
      </c>
      <c r="J72" s="50"/>
      <c r="K72" s="116">
        <f>IFERROR(VLOOKUP(B72,BD_CONTROL!$A$5:$M$4235,11,0),"")</f>
        <v>0</v>
      </c>
      <c r="L72" s="117">
        <f>IFERROR(VLOOKUP(B72,BD_CONTROL!$A$5:$M$4235,12,0),"")</f>
        <v>0</v>
      </c>
      <c r="M72" s="118">
        <f>IFERROR(VLOOKUP(B72,BD_CONTROL!$A$5:$M$4235,13,0),"")</f>
        <v>0</v>
      </c>
    </row>
    <row r="73" spans="1:13" ht="15" customHeight="1">
      <c r="A73" s="42">
        <v>68</v>
      </c>
      <c r="B73" s="42" t="s">
        <v>1951</v>
      </c>
      <c r="C73" s="43" t="s">
        <v>1952</v>
      </c>
      <c r="D73" s="42" t="s">
        <v>1530</v>
      </c>
      <c r="E73" s="43" t="s">
        <v>1542</v>
      </c>
      <c r="F73" s="43" t="s">
        <v>1543</v>
      </c>
      <c r="G73" s="42" t="s">
        <v>109</v>
      </c>
      <c r="H73" s="43" t="s">
        <v>1539</v>
      </c>
      <c r="I73" s="43" t="s">
        <v>104</v>
      </c>
      <c r="J73" s="55"/>
      <c r="K73" s="119">
        <f>IFERROR(VLOOKUP(B73,BD_CONTROL!$A$5:$M$4235,11,0),"")</f>
        <v>0</v>
      </c>
      <c r="L73" s="120">
        <f>IFERROR(VLOOKUP(B73,BD_CONTROL!$A$5:$M$4235,12,0),"")</f>
        <v>0</v>
      </c>
      <c r="M73" s="121">
        <f>IFERROR(VLOOKUP(B73,BD_CONTROL!$A$5:$M$4235,13,0),"")</f>
        <v>0</v>
      </c>
    </row>
    <row r="74" spans="1:13" ht="15" customHeight="1">
      <c r="A74" s="39">
        <v>69</v>
      </c>
      <c r="B74" s="39" t="s">
        <v>1990</v>
      </c>
      <c r="C74" s="40" t="s">
        <v>1991</v>
      </c>
      <c r="D74" s="39" t="s">
        <v>1530</v>
      </c>
      <c r="E74" s="40" t="s">
        <v>1586</v>
      </c>
      <c r="F74" s="40" t="s">
        <v>324</v>
      </c>
      <c r="G74" s="39" t="s">
        <v>109</v>
      </c>
      <c r="H74" s="40" t="s">
        <v>1539</v>
      </c>
      <c r="I74" s="40" t="s">
        <v>104</v>
      </c>
      <c r="J74" s="50"/>
      <c r="K74" s="116" t="str">
        <f>IFERROR(VLOOKUP(B74,BD_CONTROL!$A$5:$M$4235,11,0),"")</f>
        <v>Instalado - Operando</v>
      </c>
      <c r="L74" s="117">
        <f>IFERROR(VLOOKUP(B74,BD_CONTROL!$A$5:$M$4235,12,0),"")</f>
        <v>46149</v>
      </c>
      <c r="M74" s="118">
        <f>IFERROR(VLOOKUP(B74,BD_CONTROL!$A$5:$M$4235,13,0),"")</f>
        <v>0</v>
      </c>
    </row>
    <row r="75" spans="1:13" ht="15" customHeight="1">
      <c r="A75" s="42">
        <v>70</v>
      </c>
      <c r="B75" s="42" t="s">
        <v>1996</v>
      </c>
      <c r="C75" s="43" t="s">
        <v>1997</v>
      </c>
      <c r="D75" s="42" t="s">
        <v>1530</v>
      </c>
      <c r="E75" s="43" t="s">
        <v>1542</v>
      </c>
      <c r="F75" s="43" t="s">
        <v>1997</v>
      </c>
      <c r="G75" s="42" t="s">
        <v>109</v>
      </c>
      <c r="H75" s="43" t="s">
        <v>1539</v>
      </c>
      <c r="I75" s="43" t="s">
        <v>104</v>
      </c>
      <c r="J75" s="55"/>
      <c r="K75" s="119">
        <f>IFERROR(VLOOKUP(B75,BD_CONTROL!$A$5:$M$4235,11,0),"")</f>
        <v>0</v>
      </c>
      <c r="L75" s="120">
        <f>IFERROR(VLOOKUP(B75,BD_CONTROL!$A$5:$M$4235,12,0),"")</f>
        <v>0</v>
      </c>
      <c r="M75" s="121">
        <f>IFERROR(VLOOKUP(B75,BD_CONTROL!$A$5:$M$4235,13,0),"")</f>
        <v>0</v>
      </c>
    </row>
    <row r="76" spans="1:13" ht="15" customHeight="1">
      <c r="A76" s="39">
        <v>71</v>
      </c>
      <c r="B76" s="39" t="s">
        <v>2005</v>
      </c>
      <c r="C76" s="40" t="s">
        <v>1542</v>
      </c>
      <c r="D76" s="39" t="s">
        <v>1530</v>
      </c>
      <c r="E76" s="40" t="s">
        <v>1542</v>
      </c>
      <c r="F76" s="40" t="s">
        <v>2006</v>
      </c>
      <c r="G76" s="39" t="s">
        <v>102</v>
      </c>
      <c r="H76" s="40" t="s">
        <v>1539</v>
      </c>
      <c r="I76" s="40" t="s">
        <v>104</v>
      </c>
      <c r="J76" s="50"/>
      <c r="K76" s="116">
        <f>IFERROR(VLOOKUP(B76,BD_CONTROL!$A$5:$M$4235,11,0),"")</f>
        <v>0</v>
      </c>
      <c r="L76" s="117">
        <f>IFERROR(VLOOKUP(B76,BD_CONTROL!$A$5:$M$4235,12,0),"")</f>
        <v>0</v>
      </c>
      <c r="M76" s="118">
        <f>IFERROR(VLOOKUP(B76,BD_CONTROL!$A$5:$M$4235,13,0),"")</f>
        <v>0</v>
      </c>
    </row>
    <row r="77" spans="1:13" ht="15" customHeight="1">
      <c r="A77" s="42">
        <v>72</v>
      </c>
      <c r="B77" s="42" t="s">
        <v>2009</v>
      </c>
      <c r="C77" s="43" t="s">
        <v>2010</v>
      </c>
      <c r="D77" s="42" t="s">
        <v>1530</v>
      </c>
      <c r="E77" s="43" t="s">
        <v>1530</v>
      </c>
      <c r="F77" s="43" t="s">
        <v>2010</v>
      </c>
      <c r="G77" s="42" t="s">
        <v>109</v>
      </c>
      <c r="H77" s="43" t="s">
        <v>1539</v>
      </c>
      <c r="I77" s="43" t="s">
        <v>104</v>
      </c>
      <c r="J77" s="55"/>
      <c r="K77" s="119">
        <f>IFERROR(VLOOKUP(B77,BD_CONTROL!$A$5:$M$4235,11,0),"")</f>
        <v>0</v>
      </c>
      <c r="L77" s="120">
        <f>IFERROR(VLOOKUP(B77,BD_CONTROL!$A$5:$M$4235,12,0),"")</f>
        <v>0</v>
      </c>
      <c r="M77" s="121">
        <f>IFERROR(VLOOKUP(B77,BD_CONTROL!$A$5:$M$4235,13,0),"")</f>
        <v>0</v>
      </c>
    </row>
    <row r="78" spans="1:13" ht="15" customHeight="1">
      <c r="A78" s="39">
        <v>73</v>
      </c>
      <c r="B78" s="39" t="s">
        <v>2011</v>
      </c>
      <c r="C78" s="40" t="s">
        <v>2012</v>
      </c>
      <c r="D78" s="39" t="s">
        <v>1530</v>
      </c>
      <c r="E78" s="40" t="s">
        <v>1530</v>
      </c>
      <c r="F78" s="40" t="s">
        <v>2013</v>
      </c>
      <c r="G78" s="39" t="s">
        <v>109</v>
      </c>
      <c r="H78" s="40" t="s">
        <v>1539</v>
      </c>
      <c r="I78" s="40" t="s">
        <v>104</v>
      </c>
      <c r="J78" s="50"/>
      <c r="K78" s="116">
        <f>IFERROR(VLOOKUP(B78,BD_CONTROL!$A$5:$M$4235,11,0),"")</f>
        <v>0</v>
      </c>
      <c r="L78" s="117">
        <f>IFERROR(VLOOKUP(B78,BD_CONTROL!$A$5:$M$4235,12,0),"")</f>
        <v>0</v>
      </c>
      <c r="M78" s="118">
        <f>IFERROR(VLOOKUP(B78,BD_CONTROL!$A$5:$M$4235,13,0),"")</f>
        <v>0</v>
      </c>
    </row>
    <row r="79" spans="1:13" ht="15" customHeight="1">
      <c r="A79" s="42">
        <v>74</v>
      </c>
      <c r="B79" s="42" t="s">
        <v>2014</v>
      </c>
      <c r="C79" s="43" t="s">
        <v>2015</v>
      </c>
      <c r="D79" s="42" t="s">
        <v>1530</v>
      </c>
      <c r="E79" s="43" t="s">
        <v>1530</v>
      </c>
      <c r="F79" s="43" t="s">
        <v>2016</v>
      </c>
      <c r="G79" s="42" t="s">
        <v>109</v>
      </c>
      <c r="H79" s="43" t="s">
        <v>1539</v>
      </c>
      <c r="I79" s="43" t="s">
        <v>104</v>
      </c>
      <c r="J79" s="55"/>
      <c r="K79" s="119">
        <f>IFERROR(VLOOKUP(B79,BD_CONTROL!$A$5:$M$4235,11,0),"")</f>
        <v>0</v>
      </c>
      <c r="L79" s="120">
        <f>IFERROR(VLOOKUP(B79,BD_CONTROL!$A$5:$M$4235,12,0),"")</f>
        <v>0</v>
      </c>
      <c r="M79" s="121">
        <f>IFERROR(VLOOKUP(B79,BD_CONTROL!$A$5:$M$4235,13,0),"")</f>
        <v>0</v>
      </c>
    </row>
    <row r="80" spans="1:13" ht="15" customHeight="1">
      <c r="A80" s="39">
        <v>75</v>
      </c>
      <c r="B80" s="39" t="s">
        <v>2017</v>
      </c>
      <c r="C80" s="40" t="s">
        <v>2018</v>
      </c>
      <c r="D80" s="39" t="s">
        <v>1530</v>
      </c>
      <c r="E80" s="40" t="s">
        <v>1537</v>
      </c>
      <c r="F80" s="40" t="s">
        <v>2019</v>
      </c>
      <c r="G80" s="39" t="s">
        <v>109</v>
      </c>
      <c r="H80" s="40" t="s">
        <v>1539</v>
      </c>
      <c r="I80" s="40" t="s">
        <v>104</v>
      </c>
      <c r="J80" s="50"/>
      <c r="K80" s="116">
        <f>IFERROR(VLOOKUP(B80,BD_CONTROL!$A$5:$M$4235,11,0),"")</f>
        <v>0</v>
      </c>
      <c r="L80" s="117">
        <f>IFERROR(VLOOKUP(B80,BD_CONTROL!$A$5:$M$4235,12,0),"")</f>
        <v>0</v>
      </c>
      <c r="M80" s="118">
        <f>IFERROR(VLOOKUP(B80,BD_CONTROL!$A$5:$M$4235,13,0),"")</f>
        <v>0</v>
      </c>
    </row>
    <row r="81" spans="1:13" ht="15" customHeight="1">
      <c r="A81" s="42">
        <v>76</v>
      </c>
      <c r="B81" s="42" t="s">
        <v>2020</v>
      </c>
      <c r="C81" s="43" t="s">
        <v>2021</v>
      </c>
      <c r="D81" s="42" t="s">
        <v>1530</v>
      </c>
      <c r="E81" s="43" t="s">
        <v>1537</v>
      </c>
      <c r="F81" s="43" t="s">
        <v>2022</v>
      </c>
      <c r="G81" s="42" t="s">
        <v>109</v>
      </c>
      <c r="H81" s="43" t="s">
        <v>1539</v>
      </c>
      <c r="I81" s="43" t="s">
        <v>104</v>
      </c>
      <c r="J81" s="55"/>
      <c r="K81" s="119">
        <f>IFERROR(VLOOKUP(B81,BD_CONTROL!$A$5:$M$4235,11,0),"")</f>
        <v>0</v>
      </c>
      <c r="L81" s="120">
        <f>IFERROR(VLOOKUP(B81,BD_CONTROL!$A$5:$M$4235,12,0),"")</f>
        <v>0</v>
      </c>
      <c r="M81" s="121">
        <f>IFERROR(VLOOKUP(B81,BD_CONTROL!$A$5:$M$4235,13,0),"")</f>
        <v>0</v>
      </c>
    </row>
    <row r="82" spans="1:13" ht="15" customHeight="1">
      <c r="A82" s="39">
        <v>77</v>
      </c>
      <c r="B82" s="39" t="s">
        <v>2023</v>
      </c>
      <c r="C82" s="40" t="s">
        <v>2024</v>
      </c>
      <c r="D82" s="39" t="s">
        <v>1530</v>
      </c>
      <c r="E82" s="40" t="s">
        <v>320</v>
      </c>
      <c r="F82" s="40" t="s">
        <v>2024</v>
      </c>
      <c r="G82" s="39" t="s">
        <v>109</v>
      </c>
      <c r="H82" s="40" t="s">
        <v>1539</v>
      </c>
      <c r="I82" s="40" t="s">
        <v>104</v>
      </c>
      <c r="J82" s="50"/>
      <c r="K82" s="116">
        <f>IFERROR(VLOOKUP(B82,BD_CONTROL!$A$5:$M$4235,11,0),"")</f>
        <v>0</v>
      </c>
      <c r="L82" s="117">
        <f>IFERROR(VLOOKUP(B82,BD_CONTROL!$A$5:$M$4235,12,0),"")</f>
        <v>0</v>
      </c>
      <c r="M82" s="118">
        <f>IFERROR(VLOOKUP(B82,BD_CONTROL!$A$5:$M$4235,13,0),"")</f>
        <v>0</v>
      </c>
    </row>
    <row r="83" spans="1:13" ht="15" customHeight="1">
      <c r="A83" s="42">
        <v>78</v>
      </c>
      <c r="B83" s="42" t="s">
        <v>2025</v>
      </c>
      <c r="C83" s="43" t="s">
        <v>2026</v>
      </c>
      <c r="D83" s="42" t="s">
        <v>1530</v>
      </c>
      <c r="E83" s="43" t="s">
        <v>2027</v>
      </c>
      <c r="F83" s="43" t="s">
        <v>2028</v>
      </c>
      <c r="G83" s="42" t="s">
        <v>109</v>
      </c>
      <c r="H83" s="43" t="s">
        <v>1539</v>
      </c>
      <c r="I83" s="43" t="s">
        <v>104</v>
      </c>
      <c r="J83" s="55"/>
      <c r="K83" s="119" t="str">
        <f>IFERROR(VLOOKUP(B83,BD_CONTROL!$A$5:$M$4235,11,0),"")</f>
        <v>Instalado - Operando</v>
      </c>
      <c r="L83" s="120">
        <f>IFERROR(VLOOKUP(B83,BD_CONTROL!$A$5:$M$4235,12,0),"")</f>
        <v>46150</v>
      </c>
      <c r="M83" s="121">
        <f>IFERROR(VLOOKUP(B83,BD_CONTROL!$A$5:$M$4235,13,0),"")</f>
        <v>0</v>
      </c>
    </row>
    <row r="84" spans="1:13" ht="15" customHeight="1">
      <c r="A84" s="39">
        <v>79</v>
      </c>
      <c r="B84" s="39" t="s">
        <v>2038</v>
      </c>
      <c r="C84" s="40" t="s">
        <v>2039</v>
      </c>
      <c r="D84" s="39" t="s">
        <v>1530</v>
      </c>
      <c r="E84" s="40" t="s">
        <v>1537</v>
      </c>
      <c r="F84" s="40" t="s">
        <v>2040</v>
      </c>
      <c r="G84" s="39" t="s">
        <v>109</v>
      </c>
      <c r="H84" s="40" t="s">
        <v>1539</v>
      </c>
      <c r="I84" s="40" t="s">
        <v>104</v>
      </c>
      <c r="J84" s="50"/>
      <c r="K84" s="116">
        <f>IFERROR(VLOOKUP(B84,BD_CONTROL!$A$5:$M$4235,11,0),"")</f>
        <v>0</v>
      </c>
      <c r="L84" s="117">
        <f>IFERROR(VLOOKUP(B84,BD_CONTROL!$A$5:$M$4235,12,0),"")</f>
        <v>0</v>
      </c>
      <c r="M84" s="118">
        <f>IFERROR(VLOOKUP(B84,BD_CONTROL!$A$5:$M$4235,13,0),"")</f>
        <v>0</v>
      </c>
    </row>
    <row r="85" spans="1:13" ht="15" customHeight="1">
      <c r="A85" s="42">
        <v>80</v>
      </c>
      <c r="B85" s="42" t="s">
        <v>2041</v>
      </c>
      <c r="C85" s="43" t="s">
        <v>2042</v>
      </c>
      <c r="D85" s="42" t="s">
        <v>1530</v>
      </c>
      <c r="E85" s="43" t="s">
        <v>1537</v>
      </c>
      <c r="F85" s="43" t="s">
        <v>2043</v>
      </c>
      <c r="G85" s="42" t="s">
        <v>109</v>
      </c>
      <c r="H85" s="43" t="s">
        <v>1539</v>
      </c>
      <c r="I85" s="43" t="s">
        <v>104</v>
      </c>
      <c r="J85" s="55"/>
      <c r="K85" s="119">
        <f>IFERROR(VLOOKUP(B85,BD_CONTROL!$A$5:$M$4235,11,0),"")</f>
        <v>0</v>
      </c>
      <c r="L85" s="120">
        <f>IFERROR(VLOOKUP(B85,BD_CONTROL!$A$5:$M$4235,12,0),"")</f>
        <v>0</v>
      </c>
      <c r="M85" s="121">
        <f>IFERROR(VLOOKUP(B85,BD_CONTROL!$A$5:$M$4235,13,0),"")</f>
        <v>0</v>
      </c>
    </row>
    <row r="86" spans="1:13" ht="15" customHeight="1">
      <c r="A86" s="39">
        <v>81</v>
      </c>
      <c r="B86" s="39" t="s">
        <v>2048</v>
      </c>
      <c r="C86" s="40" t="s">
        <v>2049</v>
      </c>
      <c r="D86" s="39" t="s">
        <v>1530</v>
      </c>
      <c r="E86" s="40" t="s">
        <v>1546</v>
      </c>
      <c r="F86" s="40" t="s">
        <v>2050</v>
      </c>
      <c r="G86" s="39" t="s">
        <v>102</v>
      </c>
      <c r="H86" s="40" t="s">
        <v>1539</v>
      </c>
      <c r="I86" s="40" t="s">
        <v>104</v>
      </c>
      <c r="J86" s="50"/>
      <c r="K86" s="116">
        <f>IFERROR(VLOOKUP(B86,BD_CONTROL!$A$5:$M$4235,11,0),"")</f>
        <v>0</v>
      </c>
      <c r="L86" s="117">
        <f>IFERROR(VLOOKUP(B86,BD_CONTROL!$A$5:$M$4235,12,0),"")</f>
        <v>0</v>
      </c>
      <c r="M86" s="118">
        <f>IFERROR(VLOOKUP(B86,BD_CONTROL!$A$5:$M$4235,13,0),"")</f>
        <v>0</v>
      </c>
    </row>
    <row r="87" spans="1:13" ht="15" customHeight="1">
      <c r="A87" s="42">
        <v>82</v>
      </c>
      <c r="B87" s="42" t="s">
        <v>2051</v>
      </c>
      <c r="C87" s="43" t="s">
        <v>2052</v>
      </c>
      <c r="D87" s="42" t="s">
        <v>1530</v>
      </c>
      <c r="E87" s="43" t="s">
        <v>1546</v>
      </c>
      <c r="F87" s="43" t="s">
        <v>2053</v>
      </c>
      <c r="G87" s="42" t="s">
        <v>109</v>
      </c>
      <c r="H87" s="43" t="s">
        <v>1539</v>
      </c>
      <c r="I87" s="43" t="s">
        <v>104</v>
      </c>
      <c r="J87" s="55"/>
      <c r="K87" s="119">
        <f>IFERROR(VLOOKUP(B87,BD_CONTROL!$A$5:$M$4235,11,0),"")</f>
        <v>0</v>
      </c>
      <c r="L87" s="120">
        <f>IFERROR(VLOOKUP(B87,BD_CONTROL!$A$5:$M$4235,12,0),"")</f>
        <v>0</v>
      </c>
      <c r="M87" s="121">
        <f>IFERROR(VLOOKUP(B87,BD_CONTROL!$A$5:$M$4235,13,0),"")</f>
        <v>0</v>
      </c>
    </row>
    <row r="88" spans="1:13" ht="15" customHeight="1">
      <c r="A88" s="39">
        <v>83</v>
      </c>
      <c r="B88" s="39" t="s">
        <v>2054</v>
      </c>
      <c r="C88" s="40" t="s">
        <v>2055</v>
      </c>
      <c r="D88" s="39" t="s">
        <v>1530</v>
      </c>
      <c r="E88" s="40" t="s">
        <v>1546</v>
      </c>
      <c r="F88" s="40" t="s">
        <v>2056</v>
      </c>
      <c r="G88" s="39" t="s">
        <v>109</v>
      </c>
      <c r="H88" s="40" t="s">
        <v>1539</v>
      </c>
      <c r="I88" s="40" t="s">
        <v>104</v>
      </c>
      <c r="J88" s="50"/>
      <c r="K88" s="116">
        <f>IFERROR(VLOOKUP(B88,BD_CONTROL!$A$5:$M$4235,11,0),"")</f>
        <v>0</v>
      </c>
      <c r="L88" s="117">
        <f>IFERROR(VLOOKUP(B88,BD_CONTROL!$A$5:$M$4235,12,0),"")</f>
        <v>0</v>
      </c>
      <c r="M88" s="118">
        <f>IFERROR(VLOOKUP(B88,BD_CONTROL!$A$5:$M$4235,13,0),"")</f>
        <v>0</v>
      </c>
    </row>
    <row r="89" spans="1:13" ht="15" customHeight="1">
      <c r="A89" s="42">
        <v>84</v>
      </c>
      <c r="B89" s="42" t="s">
        <v>2057</v>
      </c>
      <c r="C89" s="43" t="s">
        <v>2058</v>
      </c>
      <c r="D89" s="42" t="s">
        <v>1530</v>
      </c>
      <c r="E89" s="43" t="s">
        <v>1546</v>
      </c>
      <c r="F89" s="43" t="s">
        <v>1546</v>
      </c>
      <c r="G89" s="42" t="s">
        <v>109</v>
      </c>
      <c r="H89" s="43" t="s">
        <v>1539</v>
      </c>
      <c r="I89" s="43" t="s">
        <v>104</v>
      </c>
      <c r="J89" s="55"/>
      <c r="K89" s="119">
        <f>IFERROR(VLOOKUP(B89,BD_CONTROL!$A$5:$M$4235,11,0),"")</f>
        <v>0</v>
      </c>
      <c r="L89" s="120">
        <f>IFERROR(VLOOKUP(B89,BD_CONTROL!$A$5:$M$4235,12,0),"")</f>
        <v>0</v>
      </c>
      <c r="M89" s="121">
        <f>IFERROR(VLOOKUP(B89,BD_CONTROL!$A$5:$M$4235,13,0),"")</f>
        <v>0</v>
      </c>
    </row>
    <row r="90" spans="1:13" ht="15" customHeight="1">
      <c r="A90" s="39">
        <v>85</v>
      </c>
      <c r="B90" s="39" t="s">
        <v>2059</v>
      </c>
      <c r="C90" s="40" t="s">
        <v>2060</v>
      </c>
      <c r="D90" s="39" t="s">
        <v>1530</v>
      </c>
      <c r="E90" s="40" t="s">
        <v>1582</v>
      </c>
      <c r="F90" s="40" t="s">
        <v>2061</v>
      </c>
      <c r="G90" s="39" t="s">
        <v>109</v>
      </c>
      <c r="H90" s="40" t="s">
        <v>1539</v>
      </c>
      <c r="I90" s="40" t="s">
        <v>104</v>
      </c>
      <c r="J90" s="50"/>
      <c r="K90" s="116">
        <f>IFERROR(VLOOKUP(B90,BD_CONTROL!$A$5:$M$4235,11,0),"")</f>
        <v>0</v>
      </c>
      <c r="L90" s="117">
        <f>IFERROR(VLOOKUP(B90,BD_CONTROL!$A$5:$M$4235,12,0),"")</f>
        <v>0</v>
      </c>
      <c r="M90" s="118">
        <f>IFERROR(VLOOKUP(B90,BD_CONTROL!$A$5:$M$4235,13,0),"")</f>
        <v>0</v>
      </c>
    </row>
    <row r="91" spans="1:13" ht="15" customHeight="1">
      <c r="A91" s="42">
        <v>86</v>
      </c>
      <c r="B91" s="42" t="s">
        <v>2086</v>
      </c>
      <c r="C91" s="43" t="s">
        <v>2087</v>
      </c>
      <c r="D91" s="42" t="s">
        <v>1530</v>
      </c>
      <c r="E91" s="43" t="s">
        <v>1542</v>
      </c>
      <c r="F91" s="43" t="s">
        <v>2088</v>
      </c>
      <c r="G91" s="42" t="s">
        <v>109</v>
      </c>
      <c r="H91" s="43" t="s">
        <v>1539</v>
      </c>
      <c r="I91" s="43" t="s">
        <v>104</v>
      </c>
      <c r="J91" s="55"/>
      <c r="K91" s="119">
        <f>IFERROR(VLOOKUP(B91,BD_CONTROL!$A$5:$M$4235,11,0),"")</f>
        <v>0</v>
      </c>
      <c r="L91" s="120">
        <f>IFERROR(VLOOKUP(B91,BD_CONTROL!$A$5:$M$4235,12,0),"")</f>
        <v>0</v>
      </c>
      <c r="M91" s="121">
        <f>IFERROR(VLOOKUP(B91,BD_CONTROL!$A$5:$M$4235,13,0),"")</f>
        <v>0</v>
      </c>
    </row>
    <row r="92" spans="1:13" ht="15" customHeight="1">
      <c r="A92" s="39">
        <v>87</v>
      </c>
      <c r="B92" s="39" t="s">
        <v>2089</v>
      </c>
      <c r="C92" s="40" t="s">
        <v>214</v>
      </c>
      <c r="D92" s="39" t="s">
        <v>1530</v>
      </c>
      <c r="E92" s="40" t="s">
        <v>1537</v>
      </c>
      <c r="F92" s="40" t="s">
        <v>1537</v>
      </c>
      <c r="G92" s="39" t="s">
        <v>102</v>
      </c>
      <c r="H92" s="40" t="s">
        <v>1539</v>
      </c>
      <c r="I92" s="40" t="s">
        <v>104</v>
      </c>
      <c r="J92" s="50"/>
      <c r="K92" s="116">
        <f>IFERROR(VLOOKUP(B92,BD_CONTROL!$A$5:$M$4235,11,0),"")</f>
        <v>0</v>
      </c>
      <c r="L92" s="117">
        <f>IFERROR(VLOOKUP(B92,BD_CONTROL!$A$5:$M$4235,12,0),"")</f>
        <v>0</v>
      </c>
      <c r="M92" s="118">
        <f>IFERROR(VLOOKUP(B92,BD_CONTROL!$A$5:$M$4235,13,0),"")</f>
        <v>0</v>
      </c>
    </row>
    <row r="93" spans="1:13" ht="15" customHeight="1">
      <c r="A93" s="42">
        <v>88</v>
      </c>
      <c r="B93" s="42" t="s">
        <v>2090</v>
      </c>
      <c r="C93" s="43" t="s">
        <v>2091</v>
      </c>
      <c r="D93" s="42" t="s">
        <v>1530</v>
      </c>
      <c r="E93" s="43" t="s">
        <v>1537</v>
      </c>
      <c r="F93" s="43" t="s">
        <v>1537</v>
      </c>
      <c r="G93" s="42" t="s">
        <v>102</v>
      </c>
      <c r="H93" s="43" t="s">
        <v>1539</v>
      </c>
      <c r="I93" s="43" t="s">
        <v>104</v>
      </c>
      <c r="J93" s="55"/>
      <c r="K93" s="119">
        <f>IFERROR(VLOOKUP(B93,BD_CONTROL!$A$5:$M$4235,11,0),"")</f>
        <v>0</v>
      </c>
      <c r="L93" s="120">
        <f>IFERROR(VLOOKUP(B93,BD_CONTROL!$A$5:$M$4235,12,0),"")</f>
        <v>0</v>
      </c>
      <c r="M93" s="121">
        <f>IFERROR(VLOOKUP(B93,BD_CONTROL!$A$5:$M$4235,13,0),"")</f>
        <v>0</v>
      </c>
    </row>
    <row r="94" spans="1:13" ht="15" customHeight="1">
      <c r="A94" s="39">
        <v>89</v>
      </c>
      <c r="B94" s="39" t="s">
        <v>2122</v>
      </c>
      <c r="C94" s="40" t="s">
        <v>2123</v>
      </c>
      <c r="D94" s="39" t="s">
        <v>1530</v>
      </c>
      <c r="E94" s="40" t="s">
        <v>1546</v>
      </c>
      <c r="F94" s="40" t="s">
        <v>1899</v>
      </c>
      <c r="G94" s="39" t="s">
        <v>109</v>
      </c>
      <c r="H94" s="40" t="s">
        <v>1539</v>
      </c>
      <c r="I94" s="40" t="s">
        <v>104</v>
      </c>
      <c r="J94" s="50"/>
      <c r="K94" s="116">
        <f>IFERROR(VLOOKUP(B94,BD_CONTROL!$A$5:$M$4235,11,0),"")</f>
        <v>0</v>
      </c>
      <c r="L94" s="117">
        <f>IFERROR(VLOOKUP(B94,BD_CONTROL!$A$5:$M$4235,12,0),"")</f>
        <v>0</v>
      </c>
      <c r="M94" s="118">
        <f>IFERROR(VLOOKUP(B94,BD_CONTROL!$A$5:$M$4235,13,0),"")</f>
        <v>0</v>
      </c>
    </row>
    <row r="95" spans="1:13" ht="15" customHeight="1">
      <c r="A95" s="42">
        <v>90</v>
      </c>
      <c r="B95" s="42" t="s">
        <v>2124</v>
      </c>
      <c r="C95" s="43" t="s">
        <v>2125</v>
      </c>
      <c r="D95" s="42" t="s">
        <v>1530</v>
      </c>
      <c r="E95" s="43" t="s">
        <v>1558</v>
      </c>
      <c r="F95" s="43" t="s">
        <v>2126</v>
      </c>
      <c r="G95" s="42" t="s">
        <v>109</v>
      </c>
      <c r="H95" s="43" t="s">
        <v>1539</v>
      </c>
      <c r="I95" s="43" t="s">
        <v>104</v>
      </c>
      <c r="J95" s="55"/>
      <c r="K95" s="119">
        <f>IFERROR(VLOOKUP(B95,BD_CONTROL!$A$5:$M$4235,11,0),"")</f>
        <v>0</v>
      </c>
      <c r="L95" s="120">
        <f>IFERROR(VLOOKUP(B95,BD_CONTROL!$A$5:$M$4235,12,0),"")</f>
        <v>0</v>
      </c>
      <c r="M95" s="121">
        <f>IFERROR(VLOOKUP(B95,BD_CONTROL!$A$5:$M$4235,13,0),"")</f>
        <v>0</v>
      </c>
    </row>
    <row r="96" spans="1:13" ht="15" customHeight="1">
      <c r="A96" s="39">
        <v>91</v>
      </c>
      <c r="B96" s="39" t="s">
        <v>2127</v>
      </c>
      <c r="C96" s="40" t="s">
        <v>2128</v>
      </c>
      <c r="D96" s="39" t="s">
        <v>1530</v>
      </c>
      <c r="E96" s="40" t="s">
        <v>1558</v>
      </c>
      <c r="F96" s="40" t="s">
        <v>1801</v>
      </c>
      <c r="G96" s="39" t="s">
        <v>109</v>
      </c>
      <c r="H96" s="40" t="s">
        <v>1539</v>
      </c>
      <c r="I96" s="40" t="s">
        <v>104</v>
      </c>
      <c r="J96" s="50"/>
      <c r="K96" s="116">
        <f>IFERROR(VLOOKUP(B96,BD_CONTROL!$A$5:$M$4235,11,0),"")</f>
        <v>0</v>
      </c>
      <c r="L96" s="117">
        <f>IFERROR(VLOOKUP(B96,BD_CONTROL!$A$5:$M$4235,12,0),"")</f>
        <v>0</v>
      </c>
      <c r="M96" s="118">
        <f>IFERROR(VLOOKUP(B96,BD_CONTROL!$A$5:$M$4235,13,0),"")</f>
        <v>0</v>
      </c>
    </row>
    <row r="97" spans="1:13" ht="15" customHeight="1">
      <c r="A97" s="42">
        <v>92</v>
      </c>
      <c r="B97" s="42" t="s">
        <v>2129</v>
      </c>
      <c r="C97" s="43" t="s">
        <v>189</v>
      </c>
      <c r="D97" s="42" t="s">
        <v>1530</v>
      </c>
      <c r="E97" s="43" t="s">
        <v>1530</v>
      </c>
      <c r="F97" s="43" t="s">
        <v>2130</v>
      </c>
      <c r="G97" s="42" t="s">
        <v>109</v>
      </c>
      <c r="H97" s="43" t="s">
        <v>1539</v>
      </c>
      <c r="I97" s="43" t="s">
        <v>104</v>
      </c>
      <c r="J97" s="55"/>
      <c r="K97" s="119">
        <f>IFERROR(VLOOKUP(B97,BD_CONTROL!$A$5:$M$4235,11,0),"")</f>
        <v>0</v>
      </c>
      <c r="L97" s="120">
        <f>IFERROR(VLOOKUP(B97,BD_CONTROL!$A$5:$M$4235,12,0),"")</f>
        <v>0</v>
      </c>
      <c r="M97" s="121">
        <f>IFERROR(VLOOKUP(B97,BD_CONTROL!$A$5:$M$4235,13,0),"")</f>
        <v>0</v>
      </c>
    </row>
    <row r="98" spans="1:13" ht="15" customHeight="1">
      <c r="A98" s="39">
        <v>93</v>
      </c>
      <c r="B98" s="39" t="s">
        <v>2131</v>
      </c>
      <c r="C98" s="40" t="s">
        <v>1374</v>
      </c>
      <c r="D98" s="39" t="s">
        <v>1530</v>
      </c>
      <c r="E98" s="40" t="s">
        <v>2027</v>
      </c>
      <c r="F98" s="40" t="s">
        <v>2132</v>
      </c>
      <c r="G98" s="39" t="s">
        <v>109</v>
      </c>
      <c r="H98" s="40" t="s">
        <v>1539</v>
      </c>
      <c r="I98" s="40" t="s">
        <v>104</v>
      </c>
      <c r="J98" s="50"/>
      <c r="K98" s="116">
        <f>IFERROR(VLOOKUP(B98,BD_CONTROL!$A$5:$M$4235,11,0),"")</f>
        <v>0</v>
      </c>
      <c r="L98" s="117">
        <f>IFERROR(VLOOKUP(B98,BD_CONTROL!$A$5:$M$4235,12,0),"")</f>
        <v>0</v>
      </c>
      <c r="M98" s="118">
        <f>IFERROR(VLOOKUP(B98,BD_CONTROL!$A$5:$M$4235,13,0),"")</f>
        <v>0</v>
      </c>
    </row>
    <row r="99" spans="1:13" ht="15" customHeight="1">
      <c r="A99" s="42">
        <v>94</v>
      </c>
      <c r="B99" s="42" t="s">
        <v>2133</v>
      </c>
      <c r="C99" s="43" t="s">
        <v>483</v>
      </c>
      <c r="D99" s="42" t="s">
        <v>1530</v>
      </c>
      <c r="E99" s="43" t="s">
        <v>1546</v>
      </c>
      <c r="F99" s="43" t="s">
        <v>2134</v>
      </c>
      <c r="G99" s="42" t="s">
        <v>102</v>
      </c>
      <c r="H99" s="43" t="s">
        <v>1539</v>
      </c>
      <c r="I99" s="43" t="s">
        <v>104</v>
      </c>
      <c r="J99" s="55"/>
      <c r="K99" s="119">
        <f>IFERROR(VLOOKUP(B99,BD_CONTROL!$A$5:$M$4235,11,0),"")</f>
        <v>0</v>
      </c>
      <c r="L99" s="120">
        <f>IFERROR(VLOOKUP(B99,BD_CONTROL!$A$5:$M$4235,12,0),"")</f>
        <v>0</v>
      </c>
      <c r="M99" s="121">
        <f>IFERROR(VLOOKUP(B99,BD_CONTROL!$A$5:$M$4235,13,0),"")</f>
        <v>0</v>
      </c>
    </row>
    <row r="100" spans="1:13" ht="15" customHeight="1">
      <c r="A100" s="39">
        <v>95</v>
      </c>
      <c r="B100" s="39" t="s">
        <v>2135</v>
      </c>
      <c r="C100" s="40" t="s">
        <v>2136</v>
      </c>
      <c r="D100" s="39" t="s">
        <v>1530</v>
      </c>
      <c r="E100" s="40" t="s">
        <v>1546</v>
      </c>
      <c r="F100" s="40" t="s">
        <v>1546</v>
      </c>
      <c r="G100" s="39" t="s">
        <v>102</v>
      </c>
      <c r="H100" s="40" t="s">
        <v>1539</v>
      </c>
      <c r="I100" s="40" t="s">
        <v>104</v>
      </c>
      <c r="J100" s="50"/>
      <c r="K100" s="116">
        <f>IFERROR(VLOOKUP(B100,BD_CONTROL!$A$5:$M$4235,11,0),"")</f>
        <v>0</v>
      </c>
      <c r="L100" s="117">
        <f>IFERROR(VLOOKUP(B100,BD_CONTROL!$A$5:$M$4235,12,0),"")</f>
        <v>0</v>
      </c>
      <c r="M100" s="118">
        <f>IFERROR(VLOOKUP(B100,BD_CONTROL!$A$5:$M$4235,13,0),"")</f>
        <v>0</v>
      </c>
    </row>
    <row r="101" spans="1:13" ht="15" customHeight="1">
      <c r="A101" s="42">
        <v>96</v>
      </c>
      <c r="B101" s="42" t="s">
        <v>2137</v>
      </c>
      <c r="C101" s="43" t="s">
        <v>2138</v>
      </c>
      <c r="D101" s="42" t="s">
        <v>1530</v>
      </c>
      <c r="E101" s="43" t="s">
        <v>1530</v>
      </c>
      <c r="F101" s="43" t="s">
        <v>1546</v>
      </c>
      <c r="G101" s="42" t="s">
        <v>102</v>
      </c>
      <c r="H101" s="43" t="s">
        <v>1539</v>
      </c>
      <c r="I101" s="43" t="s">
        <v>104</v>
      </c>
      <c r="J101" s="55"/>
      <c r="K101" s="119">
        <f>IFERROR(VLOOKUP(B101,BD_CONTROL!$A$5:$M$4235,11,0),"")</f>
        <v>0</v>
      </c>
      <c r="L101" s="120">
        <f>IFERROR(VLOOKUP(B101,BD_CONTROL!$A$5:$M$4235,12,0),"")</f>
        <v>0</v>
      </c>
      <c r="M101" s="121">
        <f>IFERROR(VLOOKUP(B101,BD_CONTROL!$A$5:$M$4235,13,0),"")</f>
        <v>0</v>
      </c>
    </row>
    <row r="102" spans="1:13" ht="15" customHeight="1">
      <c r="A102" s="39">
        <v>97</v>
      </c>
      <c r="B102" s="39" t="s">
        <v>2139</v>
      </c>
      <c r="C102" s="40" t="s">
        <v>2140</v>
      </c>
      <c r="D102" s="39" t="s">
        <v>1530</v>
      </c>
      <c r="E102" s="40" t="s">
        <v>1546</v>
      </c>
      <c r="F102" s="40" t="s">
        <v>1546</v>
      </c>
      <c r="G102" s="39" t="s">
        <v>102</v>
      </c>
      <c r="H102" s="40" t="s">
        <v>1539</v>
      </c>
      <c r="I102" s="40" t="s">
        <v>104</v>
      </c>
      <c r="J102" s="50"/>
      <c r="K102" s="116">
        <f>IFERROR(VLOOKUP(B102,BD_CONTROL!$A$5:$M$4235,11,0),"")</f>
        <v>0</v>
      </c>
      <c r="L102" s="117">
        <f>IFERROR(VLOOKUP(B102,BD_CONTROL!$A$5:$M$4235,12,0),"")</f>
        <v>0</v>
      </c>
      <c r="M102" s="118">
        <f>IFERROR(VLOOKUP(B102,BD_CONTROL!$A$5:$M$4235,13,0),"")</f>
        <v>0</v>
      </c>
    </row>
    <row r="103" spans="1:13" ht="15" customHeight="1">
      <c r="A103" s="42">
        <v>98</v>
      </c>
      <c r="B103" s="42" t="s">
        <v>2141</v>
      </c>
      <c r="C103" s="43" t="s">
        <v>2142</v>
      </c>
      <c r="D103" s="42" t="s">
        <v>1530</v>
      </c>
      <c r="E103" s="43" t="s">
        <v>1546</v>
      </c>
      <c r="F103" s="43" t="s">
        <v>1546</v>
      </c>
      <c r="G103" s="42" t="s">
        <v>102</v>
      </c>
      <c r="H103" s="43" t="s">
        <v>1539</v>
      </c>
      <c r="I103" s="43" t="s">
        <v>104</v>
      </c>
      <c r="J103" s="55"/>
      <c r="K103" s="119">
        <f>IFERROR(VLOOKUP(B103,BD_CONTROL!$A$5:$M$4235,11,0),"")</f>
        <v>0</v>
      </c>
      <c r="L103" s="120">
        <f>IFERROR(VLOOKUP(B103,BD_CONTROL!$A$5:$M$4235,12,0),"")</f>
        <v>0</v>
      </c>
      <c r="M103" s="121">
        <f>IFERROR(VLOOKUP(B103,BD_CONTROL!$A$5:$M$4235,13,0),"")</f>
        <v>0</v>
      </c>
    </row>
    <row r="104" spans="1:13" ht="15" customHeight="1">
      <c r="A104" s="39">
        <v>99</v>
      </c>
      <c r="B104" s="39" t="s">
        <v>2143</v>
      </c>
      <c r="C104" s="40" t="s">
        <v>187</v>
      </c>
      <c r="D104" s="39" t="s">
        <v>1530</v>
      </c>
      <c r="E104" s="40" t="s">
        <v>1546</v>
      </c>
      <c r="F104" s="40" t="s">
        <v>1546</v>
      </c>
      <c r="G104" s="39" t="s">
        <v>102</v>
      </c>
      <c r="H104" s="40" t="s">
        <v>1539</v>
      </c>
      <c r="I104" s="40" t="s">
        <v>104</v>
      </c>
      <c r="J104" s="50"/>
      <c r="K104" s="116">
        <f>IFERROR(VLOOKUP(B104,BD_CONTROL!$A$5:$M$4235,11,0),"")</f>
        <v>0</v>
      </c>
      <c r="L104" s="117">
        <f>IFERROR(VLOOKUP(B104,BD_CONTROL!$A$5:$M$4235,12,0),"")</f>
        <v>0</v>
      </c>
      <c r="M104" s="118">
        <f>IFERROR(VLOOKUP(B104,BD_CONTROL!$A$5:$M$4235,13,0),"")</f>
        <v>0</v>
      </c>
    </row>
    <row r="105" spans="1:13" ht="15" customHeight="1">
      <c r="A105" s="42">
        <v>100</v>
      </c>
      <c r="B105" s="42" t="s">
        <v>2144</v>
      </c>
      <c r="C105" s="43" t="s">
        <v>2145</v>
      </c>
      <c r="D105" s="42" t="s">
        <v>1530</v>
      </c>
      <c r="E105" s="43" t="s">
        <v>1546</v>
      </c>
      <c r="F105" s="43" t="s">
        <v>1546</v>
      </c>
      <c r="G105" s="42" t="s">
        <v>109</v>
      </c>
      <c r="H105" s="43" t="s">
        <v>1539</v>
      </c>
      <c r="I105" s="43" t="s">
        <v>104</v>
      </c>
      <c r="J105" s="55"/>
      <c r="K105" s="119">
        <f>IFERROR(VLOOKUP(B105,BD_CONTROL!$A$5:$M$4235,11,0),"")</f>
        <v>0</v>
      </c>
      <c r="L105" s="120">
        <f>IFERROR(VLOOKUP(B105,BD_CONTROL!$A$5:$M$4235,12,0),"")</f>
        <v>0</v>
      </c>
      <c r="M105" s="121">
        <f>IFERROR(VLOOKUP(B105,BD_CONTROL!$A$5:$M$4235,13,0),"")</f>
        <v>0</v>
      </c>
    </row>
    <row r="106" spans="1:13" ht="15" customHeight="1">
      <c r="A106" s="39">
        <v>101</v>
      </c>
      <c r="B106" s="39" t="s">
        <v>2146</v>
      </c>
      <c r="C106" s="40" t="s">
        <v>2147</v>
      </c>
      <c r="D106" s="39" t="s">
        <v>1530</v>
      </c>
      <c r="E106" s="40" t="s">
        <v>1546</v>
      </c>
      <c r="F106" s="40" t="s">
        <v>1546</v>
      </c>
      <c r="G106" s="39" t="s">
        <v>102</v>
      </c>
      <c r="H106" s="40" t="s">
        <v>1539</v>
      </c>
      <c r="I106" s="40" t="s">
        <v>104</v>
      </c>
      <c r="J106" s="50"/>
      <c r="K106" s="116">
        <f>IFERROR(VLOOKUP(B106,BD_CONTROL!$A$5:$M$4235,11,0),"")</f>
        <v>0</v>
      </c>
      <c r="L106" s="117">
        <f>IFERROR(VLOOKUP(B106,BD_CONTROL!$A$5:$M$4235,12,0),"")</f>
        <v>0</v>
      </c>
      <c r="M106" s="118">
        <f>IFERROR(VLOOKUP(B106,BD_CONTROL!$A$5:$M$4235,13,0),"")</f>
        <v>0</v>
      </c>
    </row>
    <row r="107" spans="1:13" ht="15" customHeight="1">
      <c r="A107" s="42">
        <v>102</v>
      </c>
      <c r="B107" s="42" t="s">
        <v>2148</v>
      </c>
      <c r="C107" s="43" t="s">
        <v>2149</v>
      </c>
      <c r="D107" s="42" t="s">
        <v>1530</v>
      </c>
      <c r="E107" s="43" t="s">
        <v>1546</v>
      </c>
      <c r="F107" s="43" t="s">
        <v>1546</v>
      </c>
      <c r="G107" s="42" t="s">
        <v>102</v>
      </c>
      <c r="H107" s="43" t="s">
        <v>1539</v>
      </c>
      <c r="I107" s="43" t="s">
        <v>104</v>
      </c>
      <c r="J107" s="55"/>
      <c r="K107" s="119">
        <f>IFERROR(VLOOKUP(B107,BD_CONTROL!$A$5:$M$4235,11,0),"")</f>
        <v>0</v>
      </c>
      <c r="L107" s="120">
        <f>IFERROR(VLOOKUP(B107,BD_CONTROL!$A$5:$M$4235,12,0),"")</f>
        <v>0</v>
      </c>
      <c r="M107" s="121">
        <f>IFERROR(VLOOKUP(B107,BD_CONTROL!$A$5:$M$4235,13,0),"")</f>
        <v>0</v>
      </c>
    </row>
    <row r="108" spans="1:13" ht="15" customHeight="1">
      <c r="A108" s="39">
        <v>103</v>
      </c>
      <c r="B108" s="39" t="s">
        <v>2150</v>
      </c>
      <c r="C108" s="40" t="s">
        <v>2151</v>
      </c>
      <c r="D108" s="39" t="s">
        <v>1530</v>
      </c>
      <c r="E108" s="40" t="s">
        <v>1546</v>
      </c>
      <c r="F108" s="40" t="s">
        <v>1546</v>
      </c>
      <c r="G108" s="39" t="s">
        <v>102</v>
      </c>
      <c r="H108" s="40" t="s">
        <v>1539</v>
      </c>
      <c r="I108" s="40" t="s">
        <v>104</v>
      </c>
      <c r="J108" s="50"/>
      <c r="K108" s="116">
        <f>IFERROR(VLOOKUP(B108,BD_CONTROL!$A$5:$M$4235,11,0),"")</f>
        <v>0</v>
      </c>
      <c r="L108" s="117">
        <f>IFERROR(VLOOKUP(B108,BD_CONTROL!$A$5:$M$4235,12,0),"")</f>
        <v>0</v>
      </c>
      <c r="M108" s="118">
        <f>IFERROR(VLOOKUP(B108,BD_CONTROL!$A$5:$M$4235,13,0),"")</f>
        <v>0</v>
      </c>
    </row>
    <row r="109" spans="1:13" ht="15" customHeight="1">
      <c r="A109" s="42">
        <v>104</v>
      </c>
      <c r="B109" s="42" t="s">
        <v>2152</v>
      </c>
      <c r="C109" s="43" t="s">
        <v>2153</v>
      </c>
      <c r="D109" s="42" t="s">
        <v>1530</v>
      </c>
      <c r="E109" s="43" t="s">
        <v>1546</v>
      </c>
      <c r="F109" s="43" t="s">
        <v>1546</v>
      </c>
      <c r="G109" s="42" t="s">
        <v>102</v>
      </c>
      <c r="H109" s="43" t="s">
        <v>1539</v>
      </c>
      <c r="I109" s="43" t="s">
        <v>104</v>
      </c>
      <c r="J109" s="55"/>
      <c r="K109" s="119" t="str">
        <f>IFERROR(VLOOKUP(B109,BD_CONTROL!$A$5:$M$4235,11,0),"")</f>
        <v>Instalado - Operando</v>
      </c>
      <c r="L109" s="120">
        <f>IFERROR(VLOOKUP(B109,BD_CONTROL!$A$5:$M$4235,12,0),"")</f>
        <v>46149</v>
      </c>
      <c r="M109" s="121">
        <f>IFERROR(VLOOKUP(B109,BD_CONTROL!$A$5:$M$4235,13,0),"")</f>
        <v>0</v>
      </c>
    </row>
    <row r="110" spans="1:13" ht="15" customHeight="1">
      <c r="A110" s="39">
        <v>105</v>
      </c>
      <c r="B110" s="39" t="s">
        <v>2154</v>
      </c>
      <c r="C110" s="40" t="s">
        <v>2155</v>
      </c>
      <c r="D110" s="39" t="s">
        <v>1530</v>
      </c>
      <c r="E110" s="40" t="s">
        <v>1546</v>
      </c>
      <c r="F110" s="40" t="s">
        <v>1546</v>
      </c>
      <c r="G110" s="39" t="s">
        <v>102</v>
      </c>
      <c r="H110" s="40" t="s">
        <v>1539</v>
      </c>
      <c r="I110" s="40" t="s">
        <v>104</v>
      </c>
      <c r="J110" s="50"/>
      <c r="K110" s="116" t="str">
        <f>IFERROR(VLOOKUP(B110,BD_CONTROL!$A$5:$M$4235,11,0),"")</f>
        <v>Instalado - Sin Señal</v>
      </c>
      <c r="L110" s="117">
        <f>IFERROR(VLOOKUP(B110,BD_CONTROL!$A$5:$M$4235,12,0),"")</f>
        <v>46149</v>
      </c>
      <c r="M110" s="118">
        <f>IFERROR(VLOOKUP(B110,BD_CONTROL!$A$5:$M$4235,13,0),"")</f>
        <v>0</v>
      </c>
    </row>
    <row r="111" spans="1:13" ht="15" customHeight="1">
      <c r="A111" s="42">
        <v>106</v>
      </c>
      <c r="B111" s="42" t="s">
        <v>2156</v>
      </c>
      <c r="C111" s="43" t="s">
        <v>2157</v>
      </c>
      <c r="D111" s="42" t="s">
        <v>1530</v>
      </c>
      <c r="E111" s="43" t="s">
        <v>1546</v>
      </c>
      <c r="F111" s="43" t="s">
        <v>1891</v>
      </c>
      <c r="G111" s="42" t="s">
        <v>102</v>
      </c>
      <c r="H111" s="43" t="s">
        <v>1539</v>
      </c>
      <c r="I111" s="43" t="s">
        <v>104</v>
      </c>
      <c r="J111" s="55"/>
      <c r="K111" s="119">
        <f>IFERROR(VLOOKUP(B111,BD_CONTROL!$A$5:$M$4235,11,0),"")</f>
        <v>0</v>
      </c>
      <c r="L111" s="120">
        <f>IFERROR(VLOOKUP(B111,BD_CONTROL!$A$5:$M$4235,12,0),"")</f>
        <v>0</v>
      </c>
      <c r="M111" s="121">
        <f>IFERROR(VLOOKUP(B111,BD_CONTROL!$A$5:$M$4235,13,0),"")</f>
        <v>0</v>
      </c>
    </row>
    <row r="112" spans="1:13" ht="15" customHeight="1">
      <c r="A112" s="39">
        <v>107</v>
      </c>
      <c r="B112" s="39" t="s">
        <v>2158</v>
      </c>
      <c r="C112" s="40" t="s">
        <v>2159</v>
      </c>
      <c r="D112" s="39" t="s">
        <v>1530</v>
      </c>
      <c r="E112" s="40" t="s">
        <v>1558</v>
      </c>
      <c r="F112" s="40" t="s">
        <v>2160</v>
      </c>
      <c r="G112" s="39" t="s">
        <v>109</v>
      </c>
      <c r="H112" s="40" t="s">
        <v>1539</v>
      </c>
      <c r="I112" s="40" t="s">
        <v>104</v>
      </c>
      <c r="J112" s="50"/>
      <c r="K112" s="116">
        <f>IFERROR(VLOOKUP(B112,BD_CONTROL!$A$5:$M$4235,11,0),"")</f>
        <v>0</v>
      </c>
      <c r="L112" s="117">
        <f>IFERROR(VLOOKUP(B112,BD_CONTROL!$A$5:$M$4235,12,0),"")</f>
        <v>0</v>
      </c>
      <c r="M112" s="118">
        <f>IFERROR(VLOOKUP(B112,BD_CONTROL!$A$5:$M$4235,13,0),"")</f>
        <v>0</v>
      </c>
    </row>
    <row r="113" spans="1:13" ht="15" customHeight="1">
      <c r="A113" s="42">
        <v>108</v>
      </c>
      <c r="B113" s="42" t="s">
        <v>2161</v>
      </c>
      <c r="C113" s="43" t="s">
        <v>2162</v>
      </c>
      <c r="D113" s="42" t="s">
        <v>1530</v>
      </c>
      <c r="E113" s="43" t="s">
        <v>1558</v>
      </c>
      <c r="F113" s="43" t="s">
        <v>2163</v>
      </c>
      <c r="G113" s="42" t="s">
        <v>109</v>
      </c>
      <c r="H113" s="43" t="s">
        <v>1539</v>
      </c>
      <c r="I113" s="43" t="s">
        <v>104</v>
      </c>
      <c r="J113" s="55"/>
      <c r="K113" s="119">
        <f>IFERROR(VLOOKUP(B113,BD_CONTROL!$A$5:$M$4235,11,0),"")</f>
        <v>0</v>
      </c>
      <c r="L113" s="120">
        <f>IFERROR(VLOOKUP(B113,BD_CONTROL!$A$5:$M$4235,12,0),"")</f>
        <v>0</v>
      </c>
      <c r="M113" s="121">
        <f>IFERROR(VLOOKUP(B113,BD_CONTROL!$A$5:$M$4235,13,0),"")</f>
        <v>0</v>
      </c>
    </row>
    <row r="114" spans="1:13" ht="15" customHeight="1">
      <c r="A114" s="39">
        <v>109</v>
      </c>
      <c r="B114" s="39" t="s">
        <v>2164</v>
      </c>
      <c r="C114" s="40" t="s">
        <v>2165</v>
      </c>
      <c r="D114" s="39" t="s">
        <v>1530</v>
      </c>
      <c r="E114" s="40" t="s">
        <v>1558</v>
      </c>
      <c r="F114" s="40" t="s">
        <v>1604</v>
      </c>
      <c r="G114" s="39" t="s">
        <v>109</v>
      </c>
      <c r="H114" s="40" t="s">
        <v>1539</v>
      </c>
      <c r="I114" s="40" t="s">
        <v>104</v>
      </c>
      <c r="J114" s="50"/>
      <c r="K114" s="116">
        <f>IFERROR(VLOOKUP(B114,BD_CONTROL!$A$5:$M$4235,11,0),"")</f>
        <v>0</v>
      </c>
      <c r="L114" s="117">
        <f>IFERROR(VLOOKUP(B114,BD_CONTROL!$A$5:$M$4235,12,0),"")</f>
        <v>0</v>
      </c>
      <c r="M114" s="118">
        <f>IFERROR(VLOOKUP(B114,BD_CONTROL!$A$5:$M$4235,13,0),"")</f>
        <v>0</v>
      </c>
    </row>
    <row r="115" spans="1:13" ht="15" customHeight="1">
      <c r="A115" s="42">
        <v>110</v>
      </c>
      <c r="B115" s="42" t="s">
        <v>2181</v>
      </c>
      <c r="C115" s="43" t="s">
        <v>2182</v>
      </c>
      <c r="D115" s="42" t="s">
        <v>1530</v>
      </c>
      <c r="E115" s="43" t="s">
        <v>1530</v>
      </c>
      <c r="F115" s="43" t="s">
        <v>2183</v>
      </c>
      <c r="G115" s="42" t="s">
        <v>102</v>
      </c>
      <c r="H115" s="43" t="s">
        <v>1539</v>
      </c>
      <c r="I115" s="43" t="s">
        <v>104</v>
      </c>
      <c r="J115" s="55"/>
      <c r="K115" s="119">
        <f>IFERROR(VLOOKUP(B115,BD_CONTROL!$A$5:$M$4235,11,0),"")</f>
        <v>0</v>
      </c>
      <c r="L115" s="120">
        <f>IFERROR(VLOOKUP(B115,BD_CONTROL!$A$5:$M$4235,12,0),"")</f>
        <v>0</v>
      </c>
      <c r="M115" s="121">
        <f>IFERROR(VLOOKUP(B115,BD_CONTROL!$A$5:$M$4235,13,0),"")</f>
        <v>0</v>
      </c>
    </row>
    <row r="116" spans="1:13" ht="15" customHeight="1">
      <c r="A116" s="39">
        <v>111</v>
      </c>
      <c r="B116" s="39" t="s">
        <v>2184</v>
      </c>
      <c r="C116" s="40" t="s">
        <v>2185</v>
      </c>
      <c r="D116" s="39" t="s">
        <v>1530</v>
      </c>
      <c r="E116" s="40" t="s">
        <v>1530</v>
      </c>
      <c r="F116" s="40" t="s">
        <v>2013</v>
      </c>
      <c r="G116" s="39" t="s">
        <v>109</v>
      </c>
      <c r="H116" s="40" t="s">
        <v>1539</v>
      </c>
      <c r="I116" s="40" t="s">
        <v>104</v>
      </c>
      <c r="J116" s="50"/>
      <c r="K116" s="116">
        <f>IFERROR(VLOOKUP(B116,BD_CONTROL!$A$5:$M$4235,11,0),"")</f>
        <v>0</v>
      </c>
      <c r="L116" s="117">
        <f>IFERROR(VLOOKUP(B116,BD_CONTROL!$A$5:$M$4235,12,0),"")</f>
        <v>0</v>
      </c>
      <c r="M116" s="118">
        <f>IFERROR(VLOOKUP(B116,BD_CONTROL!$A$5:$M$4235,13,0),"")</f>
        <v>0</v>
      </c>
    </row>
    <row r="117" spans="1:13" ht="15" customHeight="1">
      <c r="A117" s="42">
        <v>112</v>
      </c>
      <c r="B117" s="42" t="s">
        <v>2186</v>
      </c>
      <c r="C117" s="43" t="s">
        <v>2187</v>
      </c>
      <c r="D117" s="42" t="s">
        <v>1530</v>
      </c>
      <c r="E117" s="43" t="s">
        <v>1530</v>
      </c>
      <c r="F117" s="43" t="s">
        <v>2016</v>
      </c>
      <c r="G117" s="42" t="s">
        <v>102</v>
      </c>
      <c r="H117" s="43" t="s">
        <v>1539</v>
      </c>
      <c r="I117" s="43" t="s">
        <v>104</v>
      </c>
      <c r="J117" s="55"/>
      <c r="K117" s="119">
        <f>IFERROR(VLOOKUP(B117,BD_CONTROL!$A$5:$M$4235,11,0),"")</f>
        <v>0</v>
      </c>
      <c r="L117" s="120">
        <f>IFERROR(VLOOKUP(B117,BD_CONTROL!$A$5:$M$4235,12,0),"")</f>
        <v>0</v>
      </c>
      <c r="M117" s="121">
        <f>IFERROR(VLOOKUP(B117,BD_CONTROL!$A$5:$M$4235,13,0),"")</f>
        <v>0</v>
      </c>
    </row>
    <row r="118" spans="1:13" ht="15" customHeight="1">
      <c r="A118" s="39">
        <v>113</v>
      </c>
      <c r="B118" s="39" t="s">
        <v>2188</v>
      </c>
      <c r="C118" s="40" t="s">
        <v>1164</v>
      </c>
      <c r="D118" s="39" t="s">
        <v>1530</v>
      </c>
      <c r="E118" s="40" t="s">
        <v>1660</v>
      </c>
      <c r="F118" s="40" t="s">
        <v>2189</v>
      </c>
      <c r="G118" s="39" t="s">
        <v>109</v>
      </c>
      <c r="H118" s="40" t="s">
        <v>1539</v>
      </c>
      <c r="I118" s="40" t="s">
        <v>104</v>
      </c>
      <c r="J118" s="50"/>
      <c r="K118" s="116">
        <f>IFERROR(VLOOKUP(B118,BD_CONTROL!$A$5:$M$4235,11,0),"")</f>
        <v>0</v>
      </c>
      <c r="L118" s="117">
        <f>IFERROR(VLOOKUP(B118,BD_CONTROL!$A$5:$M$4235,12,0),"")</f>
        <v>0</v>
      </c>
      <c r="M118" s="118">
        <f>IFERROR(VLOOKUP(B118,BD_CONTROL!$A$5:$M$4235,13,0),"")</f>
        <v>0</v>
      </c>
    </row>
    <row r="119" spans="1:13" ht="15" customHeight="1">
      <c r="A119" s="42">
        <v>114</v>
      </c>
      <c r="B119" s="42" t="s">
        <v>2190</v>
      </c>
      <c r="C119" s="43" t="s">
        <v>120</v>
      </c>
      <c r="D119" s="42" t="s">
        <v>1530</v>
      </c>
      <c r="E119" s="43" t="s">
        <v>1537</v>
      </c>
      <c r="F119" s="43" t="s">
        <v>2191</v>
      </c>
      <c r="G119" s="42" t="s">
        <v>109</v>
      </c>
      <c r="H119" s="43" t="s">
        <v>1539</v>
      </c>
      <c r="I119" s="43" t="s">
        <v>104</v>
      </c>
      <c r="J119" s="55"/>
      <c r="K119" s="119">
        <f>IFERROR(VLOOKUP(B119,BD_CONTROL!$A$5:$M$4235,11,0),"")</f>
        <v>0</v>
      </c>
      <c r="L119" s="120">
        <f>IFERROR(VLOOKUP(B119,BD_CONTROL!$A$5:$M$4235,12,0),"")</f>
        <v>0</v>
      </c>
      <c r="M119" s="121">
        <f>IFERROR(VLOOKUP(B119,BD_CONTROL!$A$5:$M$4235,13,0),"")</f>
        <v>0</v>
      </c>
    </row>
    <row r="120" spans="1:13" ht="15" customHeight="1">
      <c r="A120" s="39">
        <v>115</v>
      </c>
      <c r="B120" s="39" t="s">
        <v>2192</v>
      </c>
      <c r="C120" s="40" t="s">
        <v>2193</v>
      </c>
      <c r="D120" s="39" t="s">
        <v>1530</v>
      </c>
      <c r="E120" s="40" t="s">
        <v>1537</v>
      </c>
      <c r="F120" s="40" t="s">
        <v>2194</v>
      </c>
      <c r="G120" s="39" t="s">
        <v>109</v>
      </c>
      <c r="H120" s="40" t="s">
        <v>1539</v>
      </c>
      <c r="I120" s="40" t="s">
        <v>104</v>
      </c>
      <c r="J120" s="50"/>
      <c r="K120" s="116">
        <f>IFERROR(VLOOKUP(B120,BD_CONTROL!$A$5:$M$4235,11,0),"")</f>
        <v>0</v>
      </c>
      <c r="L120" s="117">
        <f>IFERROR(VLOOKUP(B120,BD_CONTROL!$A$5:$M$4235,12,0),"")</f>
        <v>0</v>
      </c>
      <c r="M120" s="118">
        <f>IFERROR(VLOOKUP(B120,BD_CONTROL!$A$5:$M$4235,13,0),"")</f>
        <v>0</v>
      </c>
    </row>
    <row r="121" spans="1:13" ht="15" customHeight="1">
      <c r="A121" s="42">
        <v>116</v>
      </c>
      <c r="B121" s="42" t="s">
        <v>2195</v>
      </c>
      <c r="C121" s="43" t="s">
        <v>2196</v>
      </c>
      <c r="D121" s="42" t="s">
        <v>1530</v>
      </c>
      <c r="E121" s="43" t="s">
        <v>1537</v>
      </c>
      <c r="F121" s="43" t="s">
        <v>2197</v>
      </c>
      <c r="G121" s="42" t="s">
        <v>109</v>
      </c>
      <c r="H121" s="43" t="s">
        <v>1539</v>
      </c>
      <c r="I121" s="43" t="s">
        <v>104</v>
      </c>
      <c r="J121" s="55"/>
      <c r="K121" s="119">
        <f>IFERROR(VLOOKUP(B121,BD_CONTROL!$A$5:$M$4235,11,0),"")</f>
        <v>0</v>
      </c>
      <c r="L121" s="120">
        <f>IFERROR(VLOOKUP(B121,BD_CONTROL!$A$5:$M$4235,12,0),"")</f>
        <v>0</v>
      </c>
      <c r="M121" s="121">
        <f>IFERROR(VLOOKUP(B121,BD_CONTROL!$A$5:$M$4235,13,0),"")</f>
        <v>0</v>
      </c>
    </row>
    <row r="122" spans="1:13" ht="15" customHeight="1">
      <c r="A122" s="39">
        <v>117</v>
      </c>
      <c r="B122" s="39" t="s">
        <v>2198</v>
      </c>
      <c r="C122" s="40" t="s">
        <v>2199</v>
      </c>
      <c r="D122" s="39" t="s">
        <v>1530</v>
      </c>
      <c r="E122" s="40" t="s">
        <v>1537</v>
      </c>
      <c r="F122" s="40" t="s">
        <v>2200</v>
      </c>
      <c r="G122" s="39" t="s">
        <v>109</v>
      </c>
      <c r="H122" s="40" t="s">
        <v>1539</v>
      </c>
      <c r="I122" s="40" t="s">
        <v>104</v>
      </c>
      <c r="J122" s="50"/>
      <c r="K122" s="116">
        <f>IFERROR(VLOOKUP(B122,BD_CONTROL!$A$5:$M$4235,11,0),"")</f>
        <v>0</v>
      </c>
      <c r="L122" s="117">
        <f>IFERROR(VLOOKUP(B122,BD_CONTROL!$A$5:$M$4235,12,0),"")</f>
        <v>0</v>
      </c>
      <c r="M122" s="118">
        <f>IFERROR(VLOOKUP(B122,BD_CONTROL!$A$5:$M$4235,13,0),"")</f>
        <v>0</v>
      </c>
    </row>
    <row r="123" spans="1:13" ht="15" customHeight="1">
      <c r="A123" s="42">
        <v>118</v>
      </c>
      <c r="B123" s="42" t="s">
        <v>2201</v>
      </c>
      <c r="C123" s="43" t="s">
        <v>2202</v>
      </c>
      <c r="D123" s="42" t="s">
        <v>1530</v>
      </c>
      <c r="E123" s="43" t="s">
        <v>1537</v>
      </c>
      <c r="F123" s="43" t="s">
        <v>2019</v>
      </c>
      <c r="G123" s="42" t="s">
        <v>109</v>
      </c>
      <c r="H123" s="43" t="s">
        <v>1539</v>
      </c>
      <c r="I123" s="43" t="s">
        <v>104</v>
      </c>
      <c r="J123" s="55"/>
      <c r="K123" s="119">
        <f>IFERROR(VLOOKUP(B123,BD_CONTROL!$A$5:$M$4235,11,0),"")</f>
        <v>0</v>
      </c>
      <c r="L123" s="120">
        <f>IFERROR(VLOOKUP(B123,BD_CONTROL!$A$5:$M$4235,12,0),"")</f>
        <v>0</v>
      </c>
      <c r="M123" s="121">
        <f>IFERROR(VLOOKUP(B123,BD_CONTROL!$A$5:$M$4235,13,0),"")</f>
        <v>0</v>
      </c>
    </row>
    <row r="124" spans="1:13" ht="15" customHeight="1">
      <c r="A124" s="39">
        <v>119</v>
      </c>
      <c r="B124" s="39" t="s">
        <v>2203</v>
      </c>
      <c r="C124" s="40" t="s">
        <v>129</v>
      </c>
      <c r="D124" s="39" t="s">
        <v>1530</v>
      </c>
      <c r="E124" s="40" t="s">
        <v>1537</v>
      </c>
      <c r="F124" s="40" t="s">
        <v>1610</v>
      </c>
      <c r="G124" s="39" t="s">
        <v>109</v>
      </c>
      <c r="H124" s="40" t="s">
        <v>1539</v>
      </c>
      <c r="I124" s="40" t="s">
        <v>104</v>
      </c>
      <c r="J124" s="50"/>
      <c r="K124" s="116">
        <f>IFERROR(VLOOKUP(B124,BD_CONTROL!$A$5:$M$4235,11,0),"")</f>
        <v>0</v>
      </c>
      <c r="L124" s="117">
        <f>IFERROR(VLOOKUP(B124,BD_CONTROL!$A$5:$M$4235,12,0),"")</f>
        <v>0</v>
      </c>
      <c r="M124" s="118">
        <f>IFERROR(VLOOKUP(B124,BD_CONTROL!$A$5:$M$4235,13,0),"")</f>
        <v>0</v>
      </c>
    </row>
    <row r="125" spans="1:13" ht="15" customHeight="1">
      <c r="A125" s="42">
        <v>120</v>
      </c>
      <c r="B125" s="42" t="s">
        <v>2204</v>
      </c>
      <c r="C125" s="43" t="s">
        <v>143</v>
      </c>
      <c r="D125" s="42" t="s">
        <v>1530</v>
      </c>
      <c r="E125" s="43" t="s">
        <v>1537</v>
      </c>
      <c r="F125" s="43" t="s">
        <v>2205</v>
      </c>
      <c r="G125" s="42" t="s">
        <v>109</v>
      </c>
      <c r="H125" s="43" t="s">
        <v>1539</v>
      </c>
      <c r="I125" s="43" t="s">
        <v>104</v>
      </c>
      <c r="J125" s="55"/>
      <c r="K125" s="119">
        <f>IFERROR(VLOOKUP(B125,BD_CONTROL!$A$5:$M$4235,11,0),"")</f>
        <v>0</v>
      </c>
      <c r="L125" s="120">
        <f>IFERROR(VLOOKUP(B125,BD_CONTROL!$A$5:$M$4235,12,0),"")</f>
        <v>0</v>
      </c>
      <c r="M125" s="121">
        <f>IFERROR(VLOOKUP(B125,BD_CONTROL!$A$5:$M$4235,13,0),"")</f>
        <v>0</v>
      </c>
    </row>
    <row r="126" spans="1:13" ht="15" customHeight="1">
      <c r="A126" s="39">
        <v>121</v>
      </c>
      <c r="B126" s="39" t="s">
        <v>2206</v>
      </c>
      <c r="C126" s="40" t="s">
        <v>2207</v>
      </c>
      <c r="D126" s="39" t="s">
        <v>1530</v>
      </c>
      <c r="E126" s="40" t="s">
        <v>1537</v>
      </c>
      <c r="F126" s="40" t="s">
        <v>2208</v>
      </c>
      <c r="G126" s="39" t="s">
        <v>109</v>
      </c>
      <c r="H126" s="40" t="s">
        <v>1539</v>
      </c>
      <c r="I126" s="40" t="s">
        <v>104</v>
      </c>
      <c r="J126" s="50"/>
      <c r="K126" s="116">
        <f>IFERROR(VLOOKUP(B126,BD_CONTROL!$A$5:$M$4235,11,0),"")</f>
        <v>0</v>
      </c>
      <c r="L126" s="117">
        <f>IFERROR(VLOOKUP(B126,BD_CONTROL!$A$5:$M$4235,12,0),"")</f>
        <v>0</v>
      </c>
      <c r="M126" s="118">
        <f>IFERROR(VLOOKUP(B126,BD_CONTROL!$A$5:$M$4235,13,0),"")</f>
        <v>0</v>
      </c>
    </row>
    <row r="127" spans="1:13" ht="15" customHeight="1">
      <c r="A127" s="42">
        <v>122</v>
      </c>
      <c r="B127" s="42" t="s">
        <v>2209</v>
      </c>
      <c r="C127" s="43" t="s">
        <v>1170</v>
      </c>
      <c r="D127" s="42" t="s">
        <v>1530</v>
      </c>
      <c r="E127" s="43" t="s">
        <v>1537</v>
      </c>
      <c r="F127" s="43" t="s">
        <v>2210</v>
      </c>
      <c r="G127" s="42" t="s">
        <v>109</v>
      </c>
      <c r="H127" s="43" t="s">
        <v>1539</v>
      </c>
      <c r="I127" s="43" t="s">
        <v>104</v>
      </c>
      <c r="J127" s="55"/>
      <c r="K127" s="119">
        <f>IFERROR(VLOOKUP(B127,BD_CONTROL!$A$5:$M$4235,11,0),"")</f>
        <v>0</v>
      </c>
      <c r="L127" s="120">
        <f>IFERROR(VLOOKUP(B127,BD_CONTROL!$A$5:$M$4235,12,0),"")</f>
        <v>0</v>
      </c>
      <c r="M127" s="121">
        <f>IFERROR(VLOOKUP(B127,BD_CONTROL!$A$5:$M$4235,13,0),"")</f>
        <v>0</v>
      </c>
    </row>
    <row r="128" spans="1:13" ht="15" customHeight="1">
      <c r="A128" s="39">
        <v>123</v>
      </c>
      <c r="B128" s="39" t="s">
        <v>2211</v>
      </c>
      <c r="C128" s="40" t="s">
        <v>2212</v>
      </c>
      <c r="D128" s="39" t="s">
        <v>1530</v>
      </c>
      <c r="E128" s="40" t="s">
        <v>1537</v>
      </c>
      <c r="F128" s="40" t="s">
        <v>2043</v>
      </c>
      <c r="G128" s="39" t="s">
        <v>109</v>
      </c>
      <c r="H128" s="40" t="s">
        <v>1539</v>
      </c>
      <c r="I128" s="40" t="s">
        <v>104</v>
      </c>
      <c r="J128" s="50"/>
      <c r="K128" s="116">
        <f>IFERROR(VLOOKUP(B128,BD_CONTROL!$A$5:$M$4235,11,0),"")</f>
        <v>0</v>
      </c>
      <c r="L128" s="117">
        <f>IFERROR(VLOOKUP(B128,BD_CONTROL!$A$5:$M$4235,12,0),"")</f>
        <v>0</v>
      </c>
      <c r="M128" s="118">
        <f>IFERROR(VLOOKUP(B128,BD_CONTROL!$A$5:$M$4235,13,0),"")</f>
        <v>0</v>
      </c>
    </row>
    <row r="129" spans="1:13" ht="15" customHeight="1">
      <c r="A129" s="42">
        <v>124</v>
      </c>
      <c r="B129" s="42" t="s">
        <v>2216</v>
      </c>
      <c r="C129" s="43" t="s">
        <v>2217</v>
      </c>
      <c r="D129" s="42" t="s">
        <v>1530</v>
      </c>
      <c r="E129" s="43" t="s">
        <v>1546</v>
      </c>
      <c r="F129" s="43" t="s">
        <v>1568</v>
      </c>
      <c r="G129" s="42" t="s">
        <v>109</v>
      </c>
      <c r="H129" s="43" t="s">
        <v>1539</v>
      </c>
      <c r="I129" s="43" t="s">
        <v>104</v>
      </c>
      <c r="J129" s="55"/>
      <c r="K129" s="119">
        <f>IFERROR(VLOOKUP(B129,BD_CONTROL!$A$5:$M$4235,11,0),"")</f>
        <v>0</v>
      </c>
      <c r="L129" s="120">
        <f>IFERROR(VLOOKUP(B129,BD_CONTROL!$A$5:$M$4235,12,0),"")</f>
        <v>0</v>
      </c>
      <c r="M129" s="121">
        <f>IFERROR(VLOOKUP(B129,BD_CONTROL!$A$5:$M$4235,13,0),"")</f>
        <v>0</v>
      </c>
    </row>
    <row r="130" spans="1:13" ht="15" customHeight="1">
      <c r="A130" s="39">
        <v>125</v>
      </c>
      <c r="B130" s="39" t="s">
        <v>2218</v>
      </c>
      <c r="C130" s="40" t="s">
        <v>1182</v>
      </c>
      <c r="D130" s="39" t="s">
        <v>1530</v>
      </c>
      <c r="E130" s="40" t="s">
        <v>1546</v>
      </c>
      <c r="F130" s="40" t="s">
        <v>2134</v>
      </c>
      <c r="G130" s="39" t="s">
        <v>102</v>
      </c>
      <c r="H130" s="40" t="s">
        <v>1539</v>
      </c>
      <c r="I130" s="40" t="s">
        <v>104</v>
      </c>
      <c r="J130" s="50"/>
      <c r="K130" s="116">
        <f>IFERROR(VLOOKUP(B130,BD_CONTROL!$A$5:$M$4235,11,0),"")</f>
        <v>0</v>
      </c>
      <c r="L130" s="117">
        <f>IFERROR(VLOOKUP(B130,BD_CONTROL!$A$5:$M$4235,12,0),"")</f>
        <v>0</v>
      </c>
      <c r="M130" s="118">
        <f>IFERROR(VLOOKUP(B130,BD_CONTROL!$A$5:$M$4235,13,0),"")</f>
        <v>0</v>
      </c>
    </row>
    <row r="131" spans="1:13" ht="15" customHeight="1">
      <c r="A131" s="42">
        <v>126</v>
      </c>
      <c r="B131" s="42" t="s">
        <v>2219</v>
      </c>
      <c r="C131" s="43" t="s">
        <v>2220</v>
      </c>
      <c r="D131" s="42" t="s">
        <v>1530</v>
      </c>
      <c r="E131" s="43" t="s">
        <v>1546</v>
      </c>
      <c r="F131" s="43" t="s">
        <v>2221</v>
      </c>
      <c r="G131" s="42" t="s">
        <v>109</v>
      </c>
      <c r="H131" s="43" t="s">
        <v>1539</v>
      </c>
      <c r="I131" s="43" t="s">
        <v>104</v>
      </c>
      <c r="J131" s="55"/>
      <c r="K131" s="119">
        <f>IFERROR(VLOOKUP(B131,BD_CONTROL!$A$5:$M$4235,11,0),"")</f>
        <v>0</v>
      </c>
      <c r="L131" s="120">
        <f>IFERROR(VLOOKUP(B131,BD_CONTROL!$A$5:$M$4235,12,0),"")</f>
        <v>0</v>
      </c>
      <c r="M131" s="121">
        <f>IFERROR(VLOOKUP(B131,BD_CONTROL!$A$5:$M$4235,13,0),"")</f>
        <v>0</v>
      </c>
    </row>
    <row r="132" spans="1:13" ht="15" customHeight="1">
      <c r="A132" s="39">
        <v>127</v>
      </c>
      <c r="B132" s="39" t="s">
        <v>2222</v>
      </c>
      <c r="C132" s="40" t="s">
        <v>1278</v>
      </c>
      <c r="D132" s="39" t="s">
        <v>1530</v>
      </c>
      <c r="E132" s="40" t="s">
        <v>1546</v>
      </c>
      <c r="F132" s="40" t="s">
        <v>1616</v>
      </c>
      <c r="G132" s="39" t="s">
        <v>109</v>
      </c>
      <c r="H132" s="40" t="s">
        <v>1539</v>
      </c>
      <c r="I132" s="40" t="s">
        <v>104</v>
      </c>
      <c r="J132" s="50"/>
      <c r="K132" s="116">
        <f>IFERROR(VLOOKUP(B132,BD_CONTROL!$A$5:$M$4235,11,0),"")</f>
        <v>0</v>
      </c>
      <c r="L132" s="117">
        <f>IFERROR(VLOOKUP(B132,BD_CONTROL!$A$5:$M$4235,12,0),"")</f>
        <v>0</v>
      </c>
      <c r="M132" s="118">
        <f>IFERROR(VLOOKUP(B132,BD_CONTROL!$A$5:$M$4235,13,0),"")</f>
        <v>0</v>
      </c>
    </row>
    <row r="133" spans="1:13" ht="15" customHeight="1">
      <c r="A133" s="42">
        <v>128</v>
      </c>
      <c r="B133" s="42" t="s">
        <v>2223</v>
      </c>
      <c r="C133" s="43" t="s">
        <v>2224</v>
      </c>
      <c r="D133" s="42" t="s">
        <v>1530</v>
      </c>
      <c r="E133" s="43" t="s">
        <v>1546</v>
      </c>
      <c r="F133" s="43" t="s">
        <v>1619</v>
      </c>
      <c r="G133" s="42" t="s">
        <v>109</v>
      </c>
      <c r="H133" s="43" t="s">
        <v>1539</v>
      </c>
      <c r="I133" s="43" t="s">
        <v>104</v>
      </c>
      <c r="J133" s="55"/>
      <c r="K133" s="119">
        <f>IFERROR(VLOOKUP(B133,BD_CONTROL!$A$5:$M$4235,11,0),"")</f>
        <v>0</v>
      </c>
      <c r="L133" s="120">
        <f>IFERROR(VLOOKUP(B133,BD_CONTROL!$A$5:$M$4235,12,0),"")</f>
        <v>0</v>
      </c>
      <c r="M133" s="121">
        <f>IFERROR(VLOOKUP(B133,BD_CONTROL!$A$5:$M$4235,13,0),"")</f>
        <v>0</v>
      </c>
    </row>
    <row r="134" spans="1:13" ht="15" customHeight="1">
      <c r="A134" s="39">
        <v>129</v>
      </c>
      <c r="B134" s="39" t="s">
        <v>2225</v>
      </c>
      <c r="C134" s="40" t="s">
        <v>2226</v>
      </c>
      <c r="D134" s="39" t="s">
        <v>1530</v>
      </c>
      <c r="E134" s="40" t="s">
        <v>1546</v>
      </c>
      <c r="F134" s="40" t="s">
        <v>2227</v>
      </c>
      <c r="G134" s="39" t="s">
        <v>109</v>
      </c>
      <c r="H134" s="40" t="s">
        <v>1539</v>
      </c>
      <c r="I134" s="40" t="s">
        <v>104</v>
      </c>
      <c r="J134" s="50"/>
      <c r="K134" s="116">
        <f>IFERROR(VLOOKUP(B134,BD_CONTROL!$A$5:$M$4235,11,0),"")</f>
        <v>0</v>
      </c>
      <c r="L134" s="117">
        <f>IFERROR(VLOOKUP(B134,BD_CONTROL!$A$5:$M$4235,12,0),"")</f>
        <v>0</v>
      </c>
      <c r="M134" s="118">
        <f>IFERROR(VLOOKUP(B134,BD_CONTROL!$A$5:$M$4235,13,0),"")</f>
        <v>0</v>
      </c>
    </row>
    <row r="135" spans="1:13" ht="15" customHeight="1">
      <c r="A135" s="42">
        <v>130</v>
      </c>
      <c r="B135" s="42" t="s">
        <v>2228</v>
      </c>
      <c r="C135" s="43" t="s">
        <v>2229</v>
      </c>
      <c r="D135" s="42" t="s">
        <v>1530</v>
      </c>
      <c r="E135" s="43" t="s">
        <v>1546</v>
      </c>
      <c r="F135" s="43" t="s">
        <v>1546</v>
      </c>
      <c r="G135" s="42" t="s">
        <v>102</v>
      </c>
      <c r="H135" s="43" t="s">
        <v>1539</v>
      </c>
      <c r="I135" s="43" t="s">
        <v>104</v>
      </c>
      <c r="J135" s="55"/>
      <c r="K135" s="119">
        <f>IFERROR(VLOOKUP(B135,BD_CONTROL!$A$5:$M$4235,11,0),"")</f>
        <v>0</v>
      </c>
      <c r="L135" s="120">
        <f>IFERROR(VLOOKUP(B135,BD_CONTROL!$A$5:$M$4235,12,0),"")</f>
        <v>0</v>
      </c>
      <c r="M135" s="121">
        <f>IFERROR(VLOOKUP(B135,BD_CONTROL!$A$5:$M$4235,13,0),"")</f>
        <v>0</v>
      </c>
    </row>
    <row r="136" spans="1:13" ht="15" customHeight="1">
      <c r="A136" s="39">
        <v>131</v>
      </c>
      <c r="B136" s="39" t="s">
        <v>2230</v>
      </c>
      <c r="C136" s="40" t="s">
        <v>2231</v>
      </c>
      <c r="D136" s="39" t="s">
        <v>1530</v>
      </c>
      <c r="E136" s="40" t="s">
        <v>1546</v>
      </c>
      <c r="F136" s="40" t="s">
        <v>2232</v>
      </c>
      <c r="G136" s="39" t="s">
        <v>109</v>
      </c>
      <c r="H136" s="40" t="s">
        <v>1539</v>
      </c>
      <c r="I136" s="40" t="s">
        <v>104</v>
      </c>
      <c r="J136" s="50"/>
      <c r="K136" s="116">
        <f>IFERROR(VLOOKUP(B136,BD_CONTROL!$A$5:$M$4235,11,0),"")</f>
        <v>0</v>
      </c>
      <c r="L136" s="117">
        <f>IFERROR(VLOOKUP(B136,BD_CONTROL!$A$5:$M$4235,12,0),"")</f>
        <v>0</v>
      </c>
      <c r="M136" s="118">
        <f>IFERROR(VLOOKUP(B136,BD_CONTROL!$A$5:$M$4235,13,0),"")</f>
        <v>0</v>
      </c>
    </row>
    <row r="137" spans="1:13" ht="15" customHeight="1">
      <c r="A137" s="42">
        <v>132</v>
      </c>
      <c r="B137" s="42" t="s">
        <v>2233</v>
      </c>
      <c r="C137" s="43" t="s">
        <v>2234</v>
      </c>
      <c r="D137" s="42" t="s">
        <v>1530</v>
      </c>
      <c r="E137" s="43" t="s">
        <v>1909</v>
      </c>
      <c r="F137" s="43" t="s">
        <v>2235</v>
      </c>
      <c r="G137" s="42" t="s">
        <v>109</v>
      </c>
      <c r="H137" s="43" t="s">
        <v>1539</v>
      </c>
      <c r="I137" s="43" t="s">
        <v>104</v>
      </c>
      <c r="J137" s="55"/>
      <c r="K137" s="119">
        <f>IFERROR(VLOOKUP(B137,BD_CONTROL!$A$5:$M$4235,11,0),"")</f>
        <v>0</v>
      </c>
      <c r="L137" s="120">
        <f>IFERROR(VLOOKUP(B137,BD_CONTROL!$A$5:$M$4235,12,0),"")</f>
        <v>0</v>
      </c>
      <c r="M137" s="121">
        <f>IFERROR(VLOOKUP(B137,BD_CONTROL!$A$5:$M$4235,13,0),"")</f>
        <v>0</v>
      </c>
    </row>
    <row r="138" spans="1:13" ht="15" customHeight="1">
      <c r="A138" s="39">
        <v>133</v>
      </c>
      <c r="B138" s="39" t="s">
        <v>2236</v>
      </c>
      <c r="C138" s="40" t="s">
        <v>2237</v>
      </c>
      <c r="D138" s="39" t="s">
        <v>1530</v>
      </c>
      <c r="E138" s="40" t="s">
        <v>1586</v>
      </c>
      <c r="F138" s="40" t="s">
        <v>2238</v>
      </c>
      <c r="G138" s="39" t="s">
        <v>109</v>
      </c>
      <c r="H138" s="40" t="s">
        <v>1539</v>
      </c>
      <c r="I138" s="40" t="s">
        <v>104</v>
      </c>
      <c r="J138" s="50"/>
      <c r="K138" s="116" t="str">
        <f>IFERROR(VLOOKUP(B138,BD_CONTROL!$A$5:$M$4235,11,0),"")</f>
        <v>Instalado - Operando</v>
      </c>
      <c r="L138" s="117">
        <f>IFERROR(VLOOKUP(B138,BD_CONTROL!$A$5:$M$4235,12,0),"")</f>
        <v>46149</v>
      </c>
      <c r="M138" s="118">
        <f>IFERROR(VLOOKUP(B138,BD_CONTROL!$A$5:$M$4235,13,0),"")</f>
        <v>0</v>
      </c>
    </row>
    <row r="139" spans="1:13" ht="15" customHeight="1">
      <c r="A139" s="42">
        <v>134</v>
      </c>
      <c r="B139" s="42" t="s">
        <v>2239</v>
      </c>
      <c r="C139" s="43" t="s">
        <v>2240</v>
      </c>
      <c r="D139" s="42" t="s">
        <v>1530</v>
      </c>
      <c r="E139" s="43" t="s">
        <v>1586</v>
      </c>
      <c r="F139" s="43" t="s">
        <v>2241</v>
      </c>
      <c r="G139" s="42" t="s">
        <v>109</v>
      </c>
      <c r="H139" s="43" t="s">
        <v>1539</v>
      </c>
      <c r="I139" s="43" t="s">
        <v>104</v>
      </c>
      <c r="J139" s="55"/>
      <c r="K139" s="119" t="str">
        <f>IFERROR(VLOOKUP(B139,BD_CONTROL!$A$5:$M$4235,11,0),"")</f>
        <v>Instalado - Operando</v>
      </c>
      <c r="L139" s="120">
        <f>IFERROR(VLOOKUP(B139,BD_CONTROL!$A$5:$M$4235,12,0),"")</f>
        <v>46148</v>
      </c>
      <c r="M139" s="121">
        <f>IFERROR(VLOOKUP(B139,BD_CONTROL!$A$5:$M$4235,13,0),"")</f>
        <v>0</v>
      </c>
    </row>
    <row r="140" spans="1:13" ht="15" customHeight="1">
      <c r="A140" s="39">
        <v>135</v>
      </c>
      <c r="B140" s="39" t="s">
        <v>2242</v>
      </c>
      <c r="C140" s="40" t="s">
        <v>2243</v>
      </c>
      <c r="D140" s="39" t="s">
        <v>1530</v>
      </c>
      <c r="E140" s="40" t="s">
        <v>1586</v>
      </c>
      <c r="F140" s="40" t="s">
        <v>2244</v>
      </c>
      <c r="G140" s="39" t="s">
        <v>109</v>
      </c>
      <c r="H140" s="40" t="s">
        <v>1539</v>
      </c>
      <c r="I140" s="40" t="s">
        <v>104</v>
      </c>
      <c r="J140" s="50"/>
      <c r="K140" s="116" t="str">
        <f>IFERROR(VLOOKUP(B140,BD_CONTROL!$A$5:$M$4235,11,0),"")</f>
        <v>Instalado - Operando</v>
      </c>
      <c r="L140" s="117">
        <f>IFERROR(VLOOKUP(B140,BD_CONTROL!$A$5:$M$4235,12,0),"")</f>
        <v>46148</v>
      </c>
      <c r="M140" s="118">
        <f>IFERROR(VLOOKUP(B140,BD_CONTROL!$A$5:$M$4235,13,0),"")</f>
        <v>0</v>
      </c>
    </row>
    <row r="141" spans="1:13" ht="15" customHeight="1">
      <c r="A141" s="42">
        <v>136</v>
      </c>
      <c r="B141" s="42" t="s">
        <v>2245</v>
      </c>
      <c r="C141" s="43" t="s">
        <v>2246</v>
      </c>
      <c r="D141" s="42" t="s">
        <v>1530</v>
      </c>
      <c r="E141" s="43" t="s">
        <v>1586</v>
      </c>
      <c r="F141" s="43" t="s">
        <v>2247</v>
      </c>
      <c r="G141" s="42" t="s">
        <v>109</v>
      </c>
      <c r="H141" s="43" t="s">
        <v>1539</v>
      </c>
      <c r="I141" s="43" t="s">
        <v>104</v>
      </c>
      <c r="J141" s="55"/>
      <c r="K141" s="119">
        <f>IFERROR(VLOOKUP(B141,BD_CONTROL!$A$5:$M$4235,11,0),"")</f>
        <v>0</v>
      </c>
      <c r="L141" s="120">
        <f>IFERROR(VLOOKUP(B141,BD_CONTROL!$A$5:$M$4235,12,0),"")</f>
        <v>0</v>
      </c>
      <c r="M141" s="121">
        <f>IFERROR(VLOOKUP(B141,BD_CONTROL!$A$5:$M$4235,13,0),"")</f>
        <v>0</v>
      </c>
    </row>
    <row r="142" spans="1:13" ht="15" customHeight="1">
      <c r="A142" s="39">
        <v>137</v>
      </c>
      <c r="B142" s="39" t="s">
        <v>2248</v>
      </c>
      <c r="C142" s="40" t="s">
        <v>2249</v>
      </c>
      <c r="D142" s="39" t="s">
        <v>1530</v>
      </c>
      <c r="E142" s="40" t="s">
        <v>1586</v>
      </c>
      <c r="F142" s="40" t="s">
        <v>2250</v>
      </c>
      <c r="G142" s="39" t="s">
        <v>109</v>
      </c>
      <c r="H142" s="40" t="s">
        <v>1539</v>
      </c>
      <c r="I142" s="40" t="s">
        <v>104</v>
      </c>
      <c r="J142" s="50"/>
      <c r="K142" s="116" t="str">
        <f>IFERROR(VLOOKUP(B142,BD_CONTROL!$A$5:$M$4235,11,0),"")</f>
        <v>Instalado - Sin Señal</v>
      </c>
      <c r="L142" s="117">
        <f>IFERROR(VLOOKUP(B142,BD_CONTROL!$A$5:$M$4235,12,0),"")</f>
        <v>46147</v>
      </c>
      <c r="M142" s="118">
        <f>IFERROR(VLOOKUP(B142,BD_CONTROL!$A$5:$M$4235,13,0),"")</f>
        <v>0</v>
      </c>
    </row>
    <row r="143" spans="1:13" ht="15" customHeight="1">
      <c r="A143" s="42">
        <v>138</v>
      </c>
      <c r="B143" s="42" t="s">
        <v>2251</v>
      </c>
      <c r="C143" s="43" t="s">
        <v>1193</v>
      </c>
      <c r="D143" s="42" t="s">
        <v>1530</v>
      </c>
      <c r="E143" s="43" t="s">
        <v>1586</v>
      </c>
      <c r="F143" s="43" t="s">
        <v>2252</v>
      </c>
      <c r="G143" s="42" t="s">
        <v>109</v>
      </c>
      <c r="H143" s="43" t="s">
        <v>1539</v>
      </c>
      <c r="I143" s="43" t="s">
        <v>104</v>
      </c>
      <c r="J143" s="55"/>
      <c r="K143" s="119">
        <f>IFERROR(VLOOKUP(B143,BD_CONTROL!$A$5:$M$4235,11,0),"")</f>
        <v>0</v>
      </c>
      <c r="L143" s="120">
        <f>IFERROR(VLOOKUP(B143,BD_CONTROL!$A$5:$M$4235,12,0),"")</f>
        <v>0</v>
      </c>
      <c r="M143" s="121">
        <f>IFERROR(VLOOKUP(B143,BD_CONTROL!$A$5:$M$4235,13,0),"")</f>
        <v>0</v>
      </c>
    </row>
    <row r="144" spans="1:13" ht="15" customHeight="1">
      <c r="A144" s="39">
        <v>139</v>
      </c>
      <c r="B144" s="39" t="s">
        <v>2253</v>
      </c>
      <c r="C144" s="40" t="s">
        <v>1189</v>
      </c>
      <c r="D144" s="39" t="s">
        <v>1530</v>
      </c>
      <c r="E144" s="40" t="s">
        <v>1586</v>
      </c>
      <c r="F144" s="40" t="s">
        <v>2254</v>
      </c>
      <c r="G144" s="39" t="s">
        <v>109</v>
      </c>
      <c r="H144" s="40" t="s">
        <v>1539</v>
      </c>
      <c r="I144" s="40" t="s">
        <v>104</v>
      </c>
      <c r="J144" s="50"/>
      <c r="K144" s="116">
        <f>IFERROR(VLOOKUP(B144,BD_CONTROL!$A$5:$M$4235,11,0),"")</f>
        <v>0</v>
      </c>
      <c r="L144" s="117">
        <f>IFERROR(VLOOKUP(B144,BD_CONTROL!$A$5:$M$4235,12,0),"")</f>
        <v>0</v>
      </c>
      <c r="M144" s="118">
        <f>IFERROR(VLOOKUP(B144,BD_CONTROL!$A$5:$M$4235,13,0),"")</f>
        <v>0</v>
      </c>
    </row>
    <row r="145" spans="1:13" ht="15" customHeight="1">
      <c r="A145" s="42">
        <v>140</v>
      </c>
      <c r="B145" s="42" t="s">
        <v>2255</v>
      </c>
      <c r="C145" s="43" t="s">
        <v>2256</v>
      </c>
      <c r="D145" s="42" t="s">
        <v>1530</v>
      </c>
      <c r="E145" s="43" t="s">
        <v>1676</v>
      </c>
      <c r="F145" s="43" t="s">
        <v>2257</v>
      </c>
      <c r="G145" s="42" t="s">
        <v>109</v>
      </c>
      <c r="H145" s="43" t="s">
        <v>1539</v>
      </c>
      <c r="I145" s="43" t="s">
        <v>104</v>
      </c>
      <c r="J145" s="55"/>
      <c r="K145" s="119">
        <f>IFERROR(VLOOKUP(B145,BD_CONTROL!$A$5:$M$4235,11,0),"")</f>
        <v>0</v>
      </c>
      <c r="L145" s="120">
        <f>IFERROR(VLOOKUP(B145,BD_CONTROL!$A$5:$M$4235,12,0),"")</f>
        <v>0</v>
      </c>
      <c r="M145" s="121">
        <f>IFERROR(VLOOKUP(B145,BD_CONTROL!$A$5:$M$4235,13,0),"")</f>
        <v>0</v>
      </c>
    </row>
    <row r="146" spans="1:13" ht="15" customHeight="1">
      <c r="A146" s="39">
        <v>141</v>
      </c>
      <c r="B146" s="39" t="s">
        <v>2264</v>
      </c>
      <c r="C146" s="40" t="s">
        <v>2265</v>
      </c>
      <c r="D146" s="39" t="s">
        <v>1530</v>
      </c>
      <c r="E146" s="40" t="s">
        <v>2027</v>
      </c>
      <c r="F146" s="40" t="s">
        <v>2266</v>
      </c>
      <c r="G146" s="39" t="s">
        <v>109</v>
      </c>
      <c r="H146" s="40" t="s">
        <v>1539</v>
      </c>
      <c r="I146" s="40" t="s">
        <v>104</v>
      </c>
      <c r="J146" s="50"/>
      <c r="K146" s="116">
        <f>IFERROR(VLOOKUP(B146,BD_CONTROL!$A$5:$M$4235,11,0),"")</f>
        <v>0</v>
      </c>
      <c r="L146" s="117">
        <f>IFERROR(VLOOKUP(B146,BD_CONTROL!$A$5:$M$4235,12,0),"")</f>
        <v>0</v>
      </c>
      <c r="M146" s="118">
        <f>IFERROR(VLOOKUP(B146,BD_CONTROL!$A$5:$M$4235,13,0),"")</f>
        <v>0</v>
      </c>
    </row>
    <row r="147" spans="1:13" ht="15" customHeight="1">
      <c r="A147" s="42">
        <v>142</v>
      </c>
      <c r="B147" s="42" t="s">
        <v>2267</v>
      </c>
      <c r="C147" s="43" t="s">
        <v>437</v>
      </c>
      <c r="D147" s="42" t="s">
        <v>1530</v>
      </c>
      <c r="E147" s="43" t="s">
        <v>2027</v>
      </c>
      <c r="F147" s="43" t="s">
        <v>2268</v>
      </c>
      <c r="G147" s="42" t="s">
        <v>109</v>
      </c>
      <c r="H147" s="43" t="s">
        <v>1539</v>
      </c>
      <c r="I147" s="43" t="s">
        <v>104</v>
      </c>
      <c r="J147" s="55"/>
      <c r="K147" s="119">
        <f>IFERROR(VLOOKUP(B147,BD_CONTROL!$A$5:$M$4235,11,0),"")</f>
        <v>0</v>
      </c>
      <c r="L147" s="120">
        <f>IFERROR(VLOOKUP(B147,BD_CONTROL!$A$5:$M$4235,12,0),"")</f>
        <v>0</v>
      </c>
      <c r="M147" s="121">
        <f>IFERROR(VLOOKUP(B147,BD_CONTROL!$A$5:$M$4235,13,0),"")</f>
        <v>0</v>
      </c>
    </row>
    <row r="148" spans="1:13" ht="15" customHeight="1">
      <c r="A148" s="39">
        <v>143</v>
      </c>
      <c r="B148" s="39" t="s">
        <v>2283</v>
      </c>
      <c r="C148" s="40" t="s">
        <v>2284</v>
      </c>
      <c r="D148" s="39" t="s">
        <v>1530</v>
      </c>
      <c r="E148" s="40" t="s">
        <v>1542</v>
      </c>
      <c r="F148" s="40" t="s">
        <v>2285</v>
      </c>
      <c r="G148" s="39" t="s">
        <v>109</v>
      </c>
      <c r="H148" s="40" t="s">
        <v>1539</v>
      </c>
      <c r="I148" s="40" t="s">
        <v>104</v>
      </c>
      <c r="J148" s="50"/>
      <c r="K148" s="116">
        <f>IFERROR(VLOOKUP(B148,BD_CONTROL!$A$5:$M$4235,11,0),"")</f>
        <v>0</v>
      </c>
      <c r="L148" s="117">
        <f>IFERROR(VLOOKUP(B148,BD_CONTROL!$A$5:$M$4235,12,0),"")</f>
        <v>0</v>
      </c>
      <c r="M148" s="118">
        <f>IFERROR(VLOOKUP(B148,BD_CONTROL!$A$5:$M$4235,13,0),"")</f>
        <v>0</v>
      </c>
    </row>
    <row r="149" spans="1:13" ht="15" customHeight="1">
      <c r="A149" s="42">
        <v>144</v>
      </c>
      <c r="B149" s="42" t="s">
        <v>2286</v>
      </c>
      <c r="C149" s="43" t="s">
        <v>2287</v>
      </c>
      <c r="D149" s="42" t="s">
        <v>1530</v>
      </c>
      <c r="E149" s="43" t="s">
        <v>1542</v>
      </c>
      <c r="F149" s="43" t="s">
        <v>2288</v>
      </c>
      <c r="G149" s="42" t="s">
        <v>109</v>
      </c>
      <c r="H149" s="43" t="s">
        <v>1539</v>
      </c>
      <c r="I149" s="43" t="s">
        <v>104</v>
      </c>
      <c r="J149" s="55"/>
      <c r="K149" s="119">
        <f>IFERROR(VLOOKUP(B149,BD_CONTROL!$A$5:$M$4235,11,0),"")</f>
        <v>0</v>
      </c>
      <c r="L149" s="120">
        <f>IFERROR(VLOOKUP(B149,BD_CONTROL!$A$5:$M$4235,12,0),"")</f>
        <v>0</v>
      </c>
      <c r="M149" s="121">
        <f>IFERROR(VLOOKUP(B149,BD_CONTROL!$A$5:$M$4235,13,0),"")</f>
        <v>0</v>
      </c>
    </row>
    <row r="150" spans="1:13" ht="15" customHeight="1">
      <c r="A150" s="39">
        <v>145</v>
      </c>
      <c r="B150" s="39" t="s">
        <v>2332</v>
      </c>
      <c r="C150" s="40" t="s">
        <v>2333</v>
      </c>
      <c r="D150" s="39" t="s">
        <v>1530</v>
      </c>
      <c r="E150" s="40" t="s">
        <v>1582</v>
      </c>
      <c r="F150" s="40" t="s">
        <v>1565</v>
      </c>
      <c r="G150" s="39" t="s">
        <v>109</v>
      </c>
      <c r="H150" s="40" t="s">
        <v>1539</v>
      </c>
      <c r="I150" s="40" t="s">
        <v>104</v>
      </c>
      <c r="J150" s="50"/>
      <c r="K150" s="116" t="str">
        <f>IFERROR(VLOOKUP(B150,BD_CONTROL!$A$5:$M$4235,11,0),"")</f>
        <v>Instalado - Sin Señal</v>
      </c>
      <c r="L150" s="117">
        <f>IFERROR(VLOOKUP(B150,BD_CONTROL!$A$5:$M$4235,12,0),"")</f>
        <v>46150</v>
      </c>
      <c r="M150" s="118">
        <f>IFERROR(VLOOKUP(B150,BD_CONTROL!$A$5:$M$4235,13,0),"")</f>
        <v>0</v>
      </c>
    </row>
    <row r="151" spans="1:13" ht="15" customHeight="1">
      <c r="A151" s="42">
        <v>146</v>
      </c>
      <c r="B151" s="42" t="s">
        <v>2349</v>
      </c>
      <c r="C151" s="43" t="s">
        <v>2350</v>
      </c>
      <c r="D151" s="42" t="s">
        <v>1530</v>
      </c>
      <c r="E151" s="43" t="s">
        <v>563</v>
      </c>
      <c r="F151" s="43" t="s">
        <v>563</v>
      </c>
      <c r="G151" s="42" t="s">
        <v>109</v>
      </c>
      <c r="H151" s="43" t="s">
        <v>1539</v>
      </c>
      <c r="I151" s="43" t="s">
        <v>104</v>
      </c>
      <c r="J151" s="55"/>
      <c r="K151" s="119">
        <f>IFERROR(VLOOKUP(B151,BD_CONTROL!$A$5:$M$4235,11,0),"")</f>
        <v>0</v>
      </c>
      <c r="L151" s="120">
        <f>IFERROR(VLOOKUP(B151,BD_CONTROL!$A$5:$M$4235,12,0),"")</f>
        <v>0</v>
      </c>
      <c r="M151" s="121">
        <f>IFERROR(VLOOKUP(B151,BD_CONTROL!$A$5:$M$4235,13,0),"")</f>
        <v>0</v>
      </c>
    </row>
    <row r="152" spans="1:13" ht="15" customHeight="1">
      <c r="A152" s="39">
        <v>147</v>
      </c>
      <c r="B152" s="39" t="s">
        <v>2351</v>
      </c>
      <c r="C152" s="40" t="s">
        <v>1329</v>
      </c>
      <c r="D152" s="39" t="s">
        <v>1530</v>
      </c>
      <c r="E152" s="40" t="s">
        <v>1586</v>
      </c>
      <c r="F152" s="40" t="s">
        <v>2352</v>
      </c>
      <c r="G152" s="39" t="s">
        <v>109</v>
      </c>
      <c r="H152" s="40" t="s">
        <v>1539</v>
      </c>
      <c r="I152" s="40" t="s">
        <v>104</v>
      </c>
      <c r="J152" s="50"/>
      <c r="K152" s="116" t="str">
        <f>IFERROR(VLOOKUP(B152,BD_CONTROL!$A$5:$M$4235,11,0),"")</f>
        <v>Instalado - Sin Señal</v>
      </c>
      <c r="L152" s="117">
        <f>IFERROR(VLOOKUP(B152,BD_CONTROL!$A$5:$M$4235,12,0),"")</f>
        <v>46147</v>
      </c>
      <c r="M152" s="118">
        <f>IFERROR(VLOOKUP(B152,BD_CONTROL!$A$5:$M$4235,13,0),"")</f>
        <v>0</v>
      </c>
    </row>
    <row r="153" spans="1:13" ht="15" customHeight="1">
      <c r="A153" s="42">
        <v>148</v>
      </c>
      <c r="B153" s="42" t="s">
        <v>2353</v>
      </c>
      <c r="C153" s="43" t="s">
        <v>2354</v>
      </c>
      <c r="D153" s="42" t="s">
        <v>1530</v>
      </c>
      <c r="E153" s="43" t="s">
        <v>2355</v>
      </c>
      <c r="F153" s="43" t="s">
        <v>2356</v>
      </c>
      <c r="G153" s="42" t="s">
        <v>109</v>
      </c>
      <c r="H153" s="43" t="s">
        <v>1539</v>
      </c>
      <c r="I153" s="43" t="s">
        <v>104</v>
      </c>
      <c r="J153" s="55"/>
      <c r="K153" s="119">
        <f>IFERROR(VLOOKUP(B153,BD_CONTROL!$A$5:$M$4235,11,0),"")</f>
        <v>0</v>
      </c>
      <c r="L153" s="120">
        <f>IFERROR(VLOOKUP(B153,BD_CONTROL!$A$5:$M$4235,12,0),"")</f>
        <v>0</v>
      </c>
      <c r="M153" s="121">
        <f>IFERROR(VLOOKUP(B153,BD_CONTROL!$A$5:$M$4235,13,0),"")</f>
        <v>0</v>
      </c>
    </row>
    <row r="154" spans="1:13" ht="15" customHeight="1">
      <c r="A154" s="39">
        <v>149</v>
      </c>
      <c r="B154" s="39" t="s">
        <v>2360</v>
      </c>
      <c r="C154" s="40" t="s">
        <v>2361</v>
      </c>
      <c r="D154" s="39" t="s">
        <v>1530</v>
      </c>
      <c r="E154" s="40" t="s">
        <v>320</v>
      </c>
      <c r="F154" s="40" t="s">
        <v>2362</v>
      </c>
      <c r="G154" s="39" t="s">
        <v>109</v>
      </c>
      <c r="H154" s="40" t="s">
        <v>1539</v>
      </c>
      <c r="I154" s="40" t="s">
        <v>104</v>
      </c>
      <c r="J154" s="50"/>
      <c r="K154" s="116">
        <f>IFERROR(VLOOKUP(B154,BD_CONTROL!$A$5:$M$4235,11,0),"")</f>
        <v>0</v>
      </c>
      <c r="L154" s="117">
        <f>IFERROR(VLOOKUP(B154,BD_CONTROL!$A$5:$M$4235,12,0),"")</f>
        <v>0</v>
      </c>
      <c r="M154" s="118">
        <f>IFERROR(VLOOKUP(B154,BD_CONTROL!$A$5:$M$4235,13,0),"")</f>
        <v>0</v>
      </c>
    </row>
    <row r="155" spans="1:13" ht="15" customHeight="1">
      <c r="A155" s="42">
        <v>150</v>
      </c>
      <c r="B155" s="42" t="s">
        <v>2363</v>
      </c>
      <c r="C155" s="43" t="s">
        <v>2364</v>
      </c>
      <c r="D155" s="42" t="s">
        <v>1530</v>
      </c>
      <c r="E155" s="43" t="s">
        <v>1542</v>
      </c>
      <c r="F155" s="43" t="s">
        <v>2365</v>
      </c>
      <c r="G155" s="42" t="s">
        <v>109</v>
      </c>
      <c r="H155" s="43" t="s">
        <v>1539</v>
      </c>
      <c r="I155" s="43" t="s">
        <v>104</v>
      </c>
      <c r="J155" s="55"/>
      <c r="K155" s="119">
        <f>IFERROR(VLOOKUP(B155,BD_CONTROL!$A$5:$M$4235,11,0),"")</f>
        <v>0</v>
      </c>
      <c r="L155" s="120">
        <f>IFERROR(VLOOKUP(B155,BD_CONTROL!$A$5:$M$4235,12,0),"")</f>
        <v>0</v>
      </c>
      <c r="M155" s="121">
        <f>IFERROR(VLOOKUP(B155,BD_CONTROL!$A$5:$M$4235,13,0),"")</f>
        <v>0</v>
      </c>
    </row>
    <row r="156" spans="1:13" ht="15" customHeight="1">
      <c r="A156" s="39">
        <v>151</v>
      </c>
      <c r="B156" s="39" t="s">
        <v>2366</v>
      </c>
      <c r="C156" s="40" t="s">
        <v>2367</v>
      </c>
      <c r="D156" s="39" t="s">
        <v>1530</v>
      </c>
      <c r="E156" s="40" t="s">
        <v>1542</v>
      </c>
      <c r="F156" s="40" t="s">
        <v>2368</v>
      </c>
      <c r="G156" s="39" t="s">
        <v>109</v>
      </c>
      <c r="H156" s="40" t="s">
        <v>1539</v>
      </c>
      <c r="I156" s="40" t="s">
        <v>104</v>
      </c>
      <c r="J156" s="50"/>
      <c r="K156" s="116">
        <f>IFERROR(VLOOKUP(B156,BD_CONTROL!$A$5:$M$4235,11,0),"")</f>
        <v>0</v>
      </c>
      <c r="L156" s="117">
        <f>IFERROR(VLOOKUP(B156,BD_CONTROL!$A$5:$M$4235,12,0),"")</f>
        <v>0</v>
      </c>
      <c r="M156" s="118">
        <f>IFERROR(VLOOKUP(B156,BD_CONTROL!$A$5:$M$4235,13,0),"")</f>
        <v>0</v>
      </c>
    </row>
    <row r="157" spans="1:13" ht="15" customHeight="1">
      <c r="A157" s="42">
        <v>152</v>
      </c>
      <c r="B157" s="42" t="s">
        <v>2369</v>
      </c>
      <c r="C157" s="43" t="s">
        <v>2370</v>
      </c>
      <c r="D157" s="42" t="s">
        <v>1530</v>
      </c>
      <c r="E157" s="43" t="s">
        <v>1542</v>
      </c>
      <c r="F157" s="43" t="s">
        <v>2371</v>
      </c>
      <c r="G157" s="42" t="s">
        <v>109</v>
      </c>
      <c r="H157" s="43" t="s">
        <v>1539</v>
      </c>
      <c r="I157" s="43" t="s">
        <v>104</v>
      </c>
      <c r="J157" s="55"/>
      <c r="K157" s="119">
        <f>IFERROR(VLOOKUP(B157,BD_CONTROL!$A$5:$M$4235,11,0),"")</f>
        <v>0</v>
      </c>
      <c r="L157" s="120">
        <f>IFERROR(VLOOKUP(B157,BD_CONTROL!$A$5:$M$4235,12,0),"")</f>
        <v>0</v>
      </c>
      <c r="M157" s="121">
        <f>IFERROR(VLOOKUP(B157,BD_CONTROL!$A$5:$M$4235,13,0),"")</f>
        <v>0</v>
      </c>
    </row>
    <row r="158" spans="1:13" ht="15" customHeight="1">
      <c r="A158" s="39">
        <v>153</v>
      </c>
      <c r="B158" s="39" t="s">
        <v>2384</v>
      </c>
      <c r="C158" s="40" t="s">
        <v>2385</v>
      </c>
      <c r="D158" s="39" t="s">
        <v>1530</v>
      </c>
      <c r="E158" s="40" t="s">
        <v>1582</v>
      </c>
      <c r="F158" s="40" t="s">
        <v>2386</v>
      </c>
      <c r="G158" s="39" t="s">
        <v>109</v>
      </c>
      <c r="H158" s="40" t="s">
        <v>1539</v>
      </c>
      <c r="I158" s="40" t="s">
        <v>104</v>
      </c>
      <c r="J158" s="50"/>
      <c r="K158" s="116" t="str">
        <f>IFERROR(VLOOKUP(B158,BD_CONTROL!$A$5:$M$4235,11,0),"")</f>
        <v>Instalado - Operando</v>
      </c>
      <c r="L158" s="117">
        <f>IFERROR(VLOOKUP(B158,BD_CONTROL!$A$5:$M$4235,12,0),"")</f>
        <v>46149</v>
      </c>
      <c r="M158" s="118">
        <f>IFERROR(VLOOKUP(B158,BD_CONTROL!$A$5:$M$4235,13,0),"")</f>
        <v>0</v>
      </c>
    </row>
    <row r="159" spans="1:13" ht="15" customHeight="1">
      <c r="A159" s="42">
        <v>154</v>
      </c>
      <c r="B159" s="42" t="s">
        <v>2390</v>
      </c>
      <c r="C159" s="43" t="s">
        <v>437</v>
      </c>
      <c r="D159" s="42" t="s">
        <v>1530</v>
      </c>
      <c r="E159" s="43" t="s">
        <v>1530</v>
      </c>
      <c r="F159" s="43" t="s">
        <v>1530</v>
      </c>
      <c r="G159" s="42" t="s">
        <v>102</v>
      </c>
      <c r="H159" s="43" t="s">
        <v>1539</v>
      </c>
      <c r="I159" s="43" t="s">
        <v>104</v>
      </c>
      <c r="J159" s="55"/>
      <c r="K159" s="119">
        <f>IFERROR(VLOOKUP(B159,BD_CONTROL!$A$5:$M$4235,11,0),"")</f>
        <v>0</v>
      </c>
      <c r="L159" s="120">
        <f>IFERROR(VLOOKUP(B159,BD_CONTROL!$A$5:$M$4235,12,0),"")</f>
        <v>0</v>
      </c>
      <c r="M159" s="121">
        <f>IFERROR(VLOOKUP(B159,BD_CONTROL!$A$5:$M$4235,13,0),"")</f>
        <v>0</v>
      </c>
    </row>
    <row r="160" spans="1:13" ht="15" customHeight="1">
      <c r="A160" s="39">
        <v>155</v>
      </c>
      <c r="B160" s="39" t="s">
        <v>2391</v>
      </c>
      <c r="C160" s="40" t="s">
        <v>2392</v>
      </c>
      <c r="D160" s="39" t="s">
        <v>1530</v>
      </c>
      <c r="E160" s="40" t="s">
        <v>1546</v>
      </c>
      <c r="F160" s="40" t="s">
        <v>1546</v>
      </c>
      <c r="G160" s="39" t="s">
        <v>102</v>
      </c>
      <c r="H160" s="40" t="s">
        <v>1539</v>
      </c>
      <c r="I160" s="40" t="s">
        <v>104</v>
      </c>
      <c r="J160" s="50"/>
      <c r="K160" s="116">
        <f>IFERROR(VLOOKUP(B160,BD_CONTROL!$A$5:$M$4235,11,0),"")</f>
        <v>0</v>
      </c>
      <c r="L160" s="117">
        <f>IFERROR(VLOOKUP(B160,BD_CONTROL!$A$5:$M$4235,12,0),"")</f>
        <v>0</v>
      </c>
      <c r="M160" s="118">
        <f>IFERROR(VLOOKUP(B160,BD_CONTROL!$A$5:$M$4235,13,0),"")</f>
        <v>0</v>
      </c>
    </row>
    <row r="161" spans="1:13" ht="15" customHeight="1">
      <c r="A161" s="42">
        <v>156</v>
      </c>
      <c r="B161" s="42" t="s">
        <v>2393</v>
      </c>
      <c r="C161" s="43" t="s">
        <v>1347</v>
      </c>
      <c r="D161" s="42" t="s">
        <v>1530</v>
      </c>
      <c r="E161" s="43" t="s">
        <v>1586</v>
      </c>
      <c r="F161" s="43" t="s">
        <v>2394</v>
      </c>
      <c r="G161" s="42" t="s">
        <v>109</v>
      </c>
      <c r="H161" s="43" t="s">
        <v>1539</v>
      </c>
      <c r="I161" s="43" t="s">
        <v>104</v>
      </c>
      <c r="J161" s="55"/>
      <c r="K161" s="119" t="str">
        <f>IFERROR(VLOOKUP(B161,BD_CONTROL!$A$5:$M$4235,11,0),"")</f>
        <v>Instalado - Operando</v>
      </c>
      <c r="L161" s="120">
        <f>IFERROR(VLOOKUP(B161,BD_CONTROL!$A$5:$M$4235,12,0),"")</f>
        <v>46148</v>
      </c>
      <c r="M161" s="121">
        <f>IFERROR(VLOOKUP(B161,BD_CONTROL!$A$5:$M$4235,13,0),"")</f>
        <v>0</v>
      </c>
    </row>
    <row r="162" spans="1:13" ht="15" customHeight="1">
      <c r="A162" s="39">
        <v>157</v>
      </c>
      <c r="B162" s="39" t="s">
        <v>2395</v>
      </c>
      <c r="C162" s="40" t="s">
        <v>2396</v>
      </c>
      <c r="D162" s="39" t="s">
        <v>1530</v>
      </c>
      <c r="E162" s="40" t="s">
        <v>1586</v>
      </c>
      <c r="F162" s="40" t="s">
        <v>324</v>
      </c>
      <c r="G162" s="39" t="s">
        <v>109</v>
      </c>
      <c r="H162" s="40" t="s">
        <v>1539</v>
      </c>
      <c r="I162" s="40" t="s">
        <v>104</v>
      </c>
      <c r="J162" s="50"/>
      <c r="K162" s="116" t="str">
        <f>IFERROR(VLOOKUP(B162,BD_CONTROL!$A$5:$M$4235,11,0),"")</f>
        <v>Instalado - Operando</v>
      </c>
      <c r="L162" s="117">
        <f>IFERROR(VLOOKUP(B162,BD_CONTROL!$A$5:$M$4235,12,0),"")</f>
        <v>46149</v>
      </c>
      <c r="M162" s="118">
        <f>IFERROR(VLOOKUP(B162,BD_CONTROL!$A$5:$M$4235,13,0),"")</f>
        <v>0</v>
      </c>
    </row>
    <row r="163" spans="1:13" ht="15" customHeight="1">
      <c r="A163" s="42">
        <v>158</v>
      </c>
      <c r="B163" s="42" t="s">
        <v>2409</v>
      </c>
      <c r="C163" s="43" t="s">
        <v>2410</v>
      </c>
      <c r="D163" s="42" t="s">
        <v>1530</v>
      </c>
      <c r="E163" s="43" t="s">
        <v>1558</v>
      </c>
      <c r="F163" s="43" t="s">
        <v>2411</v>
      </c>
      <c r="G163" s="42" t="s">
        <v>109</v>
      </c>
      <c r="H163" s="43" t="s">
        <v>1539</v>
      </c>
      <c r="I163" s="43" t="s">
        <v>104</v>
      </c>
      <c r="J163" s="55"/>
      <c r="K163" s="119">
        <f>IFERROR(VLOOKUP(B163,BD_CONTROL!$A$5:$M$4235,11,0),"")</f>
        <v>0</v>
      </c>
      <c r="L163" s="120">
        <f>IFERROR(VLOOKUP(B163,BD_CONTROL!$A$5:$M$4235,12,0),"")</f>
        <v>0</v>
      </c>
      <c r="M163" s="121">
        <f>IFERROR(VLOOKUP(B163,BD_CONTROL!$A$5:$M$4235,13,0),"")</f>
        <v>0</v>
      </c>
    </row>
    <row r="164" spans="1:13" ht="15" customHeight="1">
      <c r="A164" s="39">
        <v>159</v>
      </c>
      <c r="B164" s="39" t="s">
        <v>2412</v>
      </c>
      <c r="C164" s="40" t="s">
        <v>2413</v>
      </c>
      <c r="D164" s="39" t="s">
        <v>1530</v>
      </c>
      <c r="E164" s="40" t="s">
        <v>1558</v>
      </c>
      <c r="F164" s="40" t="s">
        <v>2414</v>
      </c>
      <c r="G164" s="39" t="s">
        <v>109</v>
      </c>
      <c r="H164" s="40" t="s">
        <v>1539</v>
      </c>
      <c r="I164" s="40" t="s">
        <v>104</v>
      </c>
      <c r="J164" s="50"/>
      <c r="K164" s="116">
        <f>IFERROR(VLOOKUP(B164,BD_CONTROL!$A$5:$M$4235,11,0),"")</f>
        <v>0</v>
      </c>
      <c r="L164" s="117">
        <f>IFERROR(VLOOKUP(B164,BD_CONTROL!$A$5:$M$4235,12,0),"")</f>
        <v>0</v>
      </c>
      <c r="M164" s="118">
        <f>IFERROR(VLOOKUP(B164,BD_CONTROL!$A$5:$M$4235,13,0),"")</f>
        <v>0</v>
      </c>
    </row>
    <row r="165" spans="1:13" ht="15" customHeight="1">
      <c r="A165" s="42">
        <v>160</v>
      </c>
      <c r="B165" s="42" t="s">
        <v>2415</v>
      </c>
      <c r="C165" s="43" t="s">
        <v>2416</v>
      </c>
      <c r="D165" s="42" t="s">
        <v>1530</v>
      </c>
      <c r="E165" s="43" t="s">
        <v>1558</v>
      </c>
      <c r="F165" s="43" t="s">
        <v>1292</v>
      </c>
      <c r="G165" s="42" t="s">
        <v>109</v>
      </c>
      <c r="H165" s="43" t="s">
        <v>1539</v>
      </c>
      <c r="I165" s="43" t="s">
        <v>104</v>
      </c>
      <c r="J165" s="55"/>
      <c r="K165" s="119">
        <f>IFERROR(VLOOKUP(B165,BD_CONTROL!$A$5:$M$4235,11,0),"")</f>
        <v>0</v>
      </c>
      <c r="L165" s="120">
        <f>IFERROR(VLOOKUP(B165,BD_CONTROL!$A$5:$M$4235,12,0),"")</f>
        <v>0</v>
      </c>
      <c r="M165" s="121">
        <f>IFERROR(VLOOKUP(B165,BD_CONTROL!$A$5:$M$4235,13,0),"")</f>
        <v>0</v>
      </c>
    </row>
    <row r="166" spans="1:13" ht="15" customHeight="1">
      <c r="A166" s="39">
        <v>161</v>
      </c>
      <c r="B166" s="39" t="s">
        <v>2417</v>
      </c>
      <c r="C166" s="40" t="s">
        <v>2418</v>
      </c>
      <c r="D166" s="39" t="s">
        <v>1530</v>
      </c>
      <c r="E166" s="40" t="s">
        <v>1558</v>
      </c>
      <c r="F166" s="40" t="s">
        <v>985</v>
      </c>
      <c r="G166" s="39" t="s">
        <v>109</v>
      </c>
      <c r="H166" s="40" t="s">
        <v>1539</v>
      </c>
      <c r="I166" s="40" t="s">
        <v>104</v>
      </c>
      <c r="J166" s="50"/>
      <c r="K166" s="116">
        <f>IFERROR(VLOOKUP(B166,BD_CONTROL!$A$5:$M$4235,11,0),"")</f>
        <v>0</v>
      </c>
      <c r="L166" s="117">
        <f>IFERROR(VLOOKUP(B166,BD_CONTROL!$A$5:$M$4235,12,0),"")</f>
        <v>0</v>
      </c>
      <c r="M166" s="118">
        <f>IFERROR(VLOOKUP(B166,BD_CONTROL!$A$5:$M$4235,13,0),"")</f>
        <v>0</v>
      </c>
    </row>
    <row r="167" spans="1:13" ht="15" customHeight="1">
      <c r="A167" s="42">
        <v>162</v>
      </c>
      <c r="B167" s="42" t="s">
        <v>2424</v>
      </c>
      <c r="C167" s="43" t="s">
        <v>2425</v>
      </c>
      <c r="D167" s="42" t="s">
        <v>1530</v>
      </c>
      <c r="E167" s="43" t="s">
        <v>1582</v>
      </c>
      <c r="F167" s="43" t="s">
        <v>1583</v>
      </c>
      <c r="G167" s="42" t="s">
        <v>109</v>
      </c>
      <c r="H167" s="43" t="s">
        <v>1539</v>
      </c>
      <c r="I167" s="43" t="s">
        <v>104</v>
      </c>
      <c r="J167" s="55"/>
      <c r="K167" s="119" t="str">
        <f>IFERROR(VLOOKUP(B167,BD_CONTROL!$A$5:$M$4235,11,0),"")</f>
        <v>Instalado - Operando</v>
      </c>
      <c r="L167" s="120">
        <f>IFERROR(VLOOKUP(B167,BD_CONTROL!$A$5:$M$4235,12,0),"")</f>
        <v>46149</v>
      </c>
      <c r="M167" s="121">
        <f>IFERROR(VLOOKUP(B167,BD_CONTROL!$A$5:$M$4235,13,0),"")</f>
        <v>0</v>
      </c>
    </row>
    <row r="168" spans="1:13" ht="15" customHeight="1">
      <c r="A168" s="39">
        <v>163</v>
      </c>
      <c r="B168" s="39" t="s">
        <v>2428</v>
      </c>
      <c r="C168" s="40" t="s">
        <v>2429</v>
      </c>
      <c r="D168" s="39" t="s">
        <v>1530</v>
      </c>
      <c r="E168" s="40" t="s">
        <v>1660</v>
      </c>
      <c r="F168" s="40" t="s">
        <v>1807</v>
      </c>
      <c r="G168" s="39" t="s">
        <v>109</v>
      </c>
      <c r="H168" s="40" t="s">
        <v>1539</v>
      </c>
      <c r="I168" s="40" t="s">
        <v>104</v>
      </c>
      <c r="J168" s="50"/>
      <c r="K168" s="116">
        <f>IFERROR(VLOOKUP(B168,BD_CONTROL!$A$5:$M$4235,11,0),"")</f>
        <v>0</v>
      </c>
      <c r="L168" s="117">
        <f>IFERROR(VLOOKUP(B168,BD_CONTROL!$A$5:$M$4235,12,0),"")</f>
        <v>0</v>
      </c>
      <c r="M168" s="118">
        <f>IFERROR(VLOOKUP(B168,BD_CONTROL!$A$5:$M$4235,13,0),"")</f>
        <v>0</v>
      </c>
    </row>
    <row r="169" spans="1:13" ht="15" customHeight="1">
      <c r="A169" s="42">
        <v>164</v>
      </c>
      <c r="B169" s="42" t="s">
        <v>2430</v>
      </c>
      <c r="C169" s="43" t="s">
        <v>2431</v>
      </c>
      <c r="D169" s="42" t="s">
        <v>1530</v>
      </c>
      <c r="E169" s="43" t="s">
        <v>1546</v>
      </c>
      <c r="F169" s="43" t="s">
        <v>1546</v>
      </c>
      <c r="G169" s="42" t="s">
        <v>102</v>
      </c>
      <c r="H169" s="43" t="s">
        <v>1539</v>
      </c>
      <c r="I169" s="43" t="s">
        <v>104</v>
      </c>
      <c r="J169" s="55"/>
      <c r="K169" s="119">
        <f>IFERROR(VLOOKUP(B169,BD_CONTROL!$A$5:$M$4235,11,0),"")</f>
        <v>0</v>
      </c>
      <c r="L169" s="120">
        <f>IFERROR(VLOOKUP(B169,BD_CONTROL!$A$5:$M$4235,12,0),"")</f>
        <v>0</v>
      </c>
      <c r="M169" s="121">
        <f>IFERROR(VLOOKUP(B169,BD_CONTROL!$A$5:$M$4235,13,0),"")</f>
        <v>0</v>
      </c>
    </row>
    <row r="170" spans="1:13" ht="15" customHeight="1">
      <c r="A170" s="39">
        <v>165</v>
      </c>
      <c r="B170" s="39" t="s">
        <v>2432</v>
      </c>
      <c r="C170" s="40" t="s">
        <v>2433</v>
      </c>
      <c r="D170" s="39" t="s">
        <v>1530</v>
      </c>
      <c r="E170" s="40" t="s">
        <v>1586</v>
      </c>
      <c r="F170" s="40" t="s">
        <v>2434</v>
      </c>
      <c r="G170" s="39" t="s">
        <v>109</v>
      </c>
      <c r="H170" s="40" t="s">
        <v>1539</v>
      </c>
      <c r="I170" s="40" t="s">
        <v>104</v>
      </c>
      <c r="J170" s="50"/>
      <c r="K170" s="116">
        <f>IFERROR(VLOOKUP(B170,BD_CONTROL!$A$5:$M$4235,11,0),"")</f>
        <v>0</v>
      </c>
      <c r="L170" s="117">
        <f>IFERROR(VLOOKUP(B170,BD_CONTROL!$A$5:$M$4235,12,0),"")</f>
        <v>0</v>
      </c>
      <c r="M170" s="118">
        <f>IFERROR(VLOOKUP(B170,BD_CONTROL!$A$5:$M$4235,13,0),"")</f>
        <v>0</v>
      </c>
    </row>
    <row r="171" spans="1:13" ht="15" customHeight="1">
      <c r="A171" s="42">
        <v>166</v>
      </c>
      <c r="B171" s="42" t="s">
        <v>2435</v>
      </c>
      <c r="C171" s="43" t="s">
        <v>2436</v>
      </c>
      <c r="D171" s="42" t="s">
        <v>1530</v>
      </c>
      <c r="E171" s="43" t="s">
        <v>1586</v>
      </c>
      <c r="F171" s="43" t="s">
        <v>2437</v>
      </c>
      <c r="G171" s="42" t="s">
        <v>109</v>
      </c>
      <c r="H171" s="43" t="s">
        <v>1539</v>
      </c>
      <c r="I171" s="43" t="s">
        <v>104</v>
      </c>
      <c r="J171" s="55"/>
      <c r="K171" s="119" t="str">
        <f>IFERROR(VLOOKUP(B171,BD_CONTROL!$A$5:$M$4235,11,0),"")</f>
        <v>Instalado - Sin Señal</v>
      </c>
      <c r="L171" s="120">
        <f>IFERROR(VLOOKUP(B171,BD_CONTROL!$A$5:$M$4235,12,0),"")</f>
        <v>46147</v>
      </c>
      <c r="M171" s="121">
        <f>IFERROR(VLOOKUP(B171,BD_CONTROL!$A$5:$M$4235,13,0),"")</f>
        <v>0</v>
      </c>
    </row>
    <row r="172" spans="1:13" ht="15" customHeight="1">
      <c r="A172" s="39">
        <v>167</v>
      </c>
      <c r="B172" s="39" t="s">
        <v>2441</v>
      </c>
      <c r="C172" s="40" t="s">
        <v>2442</v>
      </c>
      <c r="D172" s="39" t="s">
        <v>1530</v>
      </c>
      <c r="E172" s="40" t="s">
        <v>1676</v>
      </c>
      <c r="F172" s="40" t="s">
        <v>2443</v>
      </c>
      <c r="G172" s="39" t="s">
        <v>109</v>
      </c>
      <c r="H172" s="40" t="s">
        <v>1539</v>
      </c>
      <c r="I172" s="40" t="s">
        <v>104</v>
      </c>
      <c r="J172" s="50"/>
      <c r="K172" s="116">
        <f>IFERROR(VLOOKUP(B172,BD_CONTROL!$A$5:$M$4235,11,0),"")</f>
        <v>0</v>
      </c>
      <c r="L172" s="117">
        <f>IFERROR(VLOOKUP(B172,BD_CONTROL!$A$5:$M$4235,12,0),"")</f>
        <v>0</v>
      </c>
      <c r="M172" s="118">
        <f>IFERROR(VLOOKUP(B172,BD_CONTROL!$A$5:$M$4235,13,0),"")</f>
        <v>0</v>
      </c>
    </row>
    <row r="173" spans="1:13" ht="15" customHeight="1">
      <c r="A173" s="42">
        <v>168</v>
      </c>
      <c r="B173" s="42" t="s">
        <v>2467</v>
      </c>
      <c r="C173" s="43" t="s">
        <v>2468</v>
      </c>
      <c r="D173" s="42" t="s">
        <v>1530</v>
      </c>
      <c r="E173" s="43" t="s">
        <v>1537</v>
      </c>
      <c r="F173" s="43" t="s">
        <v>2469</v>
      </c>
      <c r="G173" s="42" t="s">
        <v>109</v>
      </c>
      <c r="H173" s="43" t="s">
        <v>1539</v>
      </c>
      <c r="I173" s="43" t="s">
        <v>104</v>
      </c>
      <c r="J173" s="55"/>
      <c r="K173" s="119">
        <f>IFERROR(VLOOKUP(B173,BD_CONTROL!$A$5:$M$4235,11,0),"")</f>
        <v>0</v>
      </c>
      <c r="L173" s="120">
        <f>IFERROR(VLOOKUP(B173,BD_CONTROL!$A$5:$M$4235,12,0),"")</f>
        <v>0</v>
      </c>
      <c r="M173" s="121">
        <f>IFERROR(VLOOKUP(B173,BD_CONTROL!$A$5:$M$4235,13,0),"")</f>
        <v>0</v>
      </c>
    </row>
    <row r="174" spans="1:13" ht="15" customHeight="1">
      <c r="A174" s="39">
        <v>169</v>
      </c>
      <c r="B174" s="39" t="s">
        <v>2475</v>
      </c>
      <c r="C174" s="40" t="s">
        <v>2476</v>
      </c>
      <c r="D174" s="39" t="s">
        <v>1530</v>
      </c>
      <c r="E174" s="40" t="s">
        <v>320</v>
      </c>
      <c r="F174" s="40" t="s">
        <v>2477</v>
      </c>
      <c r="G174" s="39" t="s">
        <v>109</v>
      </c>
      <c r="H174" s="40" t="s">
        <v>1539</v>
      </c>
      <c r="I174" s="40" t="s">
        <v>104</v>
      </c>
      <c r="J174" s="50"/>
      <c r="K174" s="116">
        <f>IFERROR(VLOOKUP(B174,BD_CONTROL!$A$5:$M$4235,11,0),"")</f>
        <v>0</v>
      </c>
      <c r="L174" s="117">
        <f>IFERROR(VLOOKUP(B174,BD_CONTROL!$A$5:$M$4235,12,0),"")</f>
        <v>0</v>
      </c>
      <c r="M174" s="118">
        <f>IFERROR(VLOOKUP(B174,BD_CONTROL!$A$5:$M$4235,13,0),"")</f>
        <v>0</v>
      </c>
    </row>
    <row r="175" spans="1:13" ht="15" customHeight="1">
      <c r="A175" s="42">
        <v>170</v>
      </c>
      <c r="B175" s="42" t="s">
        <v>2483</v>
      </c>
      <c r="C175" s="43" t="s">
        <v>2484</v>
      </c>
      <c r="D175" s="42" t="s">
        <v>1530</v>
      </c>
      <c r="E175" s="43" t="s">
        <v>1546</v>
      </c>
      <c r="F175" s="43" t="s">
        <v>2485</v>
      </c>
      <c r="G175" s="42" t="s">
        <v>109</v>
      </c>
      <c r="H175" s="43" t="s">
        <v>1539</v>
      </c>
      <c r="I175" s="43" t="s">
        <v>104</v>
      </c>
      <c r="J175" s="55"/>
      <c r="K175" s="119">
        <f>IFERROR(VLOOKUP(B175,BD_CONTROL!$A$5:$M$4235,11,0),"")</f>
        <v>0</v>
      </c>
      <c r="L175" s="120">
        <f>IFERROR(VLOOKUP(B175,BD_CONTROL!$A$5:$M$4235,12,0),"")</f>
        <v>0</v>
      </c>
      <c r="M175" s="121">
        <f>IFERROR(VLOOKUP(B175,BD_CONTROL!$A$5:$M$4235,13,0),"")</f>
        <v>0</v>
      </c>
    </row>
    <row r="176" spans="1:13" ht="15" customHeight="1">
      <c r="A176" s="39">
        <v>171</v>
      </c>
      <c r="B176" s="39" t="s">
        <v>2486</v>
      </c>
      <c r="C176" s="40" t="s">
        <v>2487</v>
      </c>
      <c r="D176" s="39" t="s">
        <v>1530</v>
      </c>
      <c r="E176" s="40" t="s">
        <v>1546</v>
      </c>
      <c r="F176" s="40" t="s">
        <v>1546</v>
      </c>
      <c r="G176" s="39" t="s">
        <v>102</v>
      </c>
      <c r="H176" s="40" t="s">
        <v>1539</v>
      </c>
      <c r="I176" s="40" t="s">
        <v>104</v>
      </c>
      <c r="J176" s="50"/>
      <c r="K176" s="116">
        <f>IFERROR(VLOOKUP(B176,BD_CONTROL!$A$5:$M$4235,11,0),"")</f>
        <v>0</v>
      </c>
      <c r="L176" s="117">
        <f>IFERROR(VLOOKUP(B176,BD_CONTROL!$A$5:$M$4235,12,0),"")</f>
        <v>0</v>
      </c>
      <c r="M176" s="118">
        <f>IFERROR(VLOOKUP(B176,BD_CONTROL!$A$5:$M$4235,13,0),"")</f>
        <v>0</v>
      </c>
    </row>
    <row r="177" spans="1:13" ht="15" customHeight="1">
      <c r="A177" s="42">
        <v>172</v>
      </c>
      <c r="B177" s="42" t="s">
        <v>2488</v>
      </c>
      <c r="C177" s="43" t="s">
        <v>2489</v>
      </c>
      <c r="D177" s="42" t="s">
        <v>1530</v>
      </c>
      <c r="E177" s="43" t="s">
        <v>1542</v>
      </c>
      <c r="F177" s="43" t="s">
        <v>2490</v>
      </c>
      <c r="G177" s="42" t="s">
        <v>102</v>
      </c>
      <c r="H177" s="43" t="s">
        <v>1539</v>
      </c>
      <c r="I177" s="43" t="s">
        <v>104</v>
      </c>
      <c r="J177" s="55"/>
      <c r="K177" s="119">
        <f>IFERROR(VLOOKUP(B177,BD_CONTROL!$A$5:$M$4235,11,0),"")</f>
        <v>0</v>
      </c>
      <c r="L177" s="120">
        <f>IFERROR(VLOOKUP(B177,BD_CONTROL!$A$5:$M$4235,12,0),"")</f>
        <v>0</v>
      </c>
      <c r="M177" s="121">
        <f>IFERROR(VLOOKUP(B177,BD_CONTROL!$A$5:$M$4235,13,0),"")</f>
        <v>0</v>
      </c>
    </row>
    <row r="178" spans="1:13" ht="15" customHeight="1">
      <c r="A178" s="39">
        <v>173</v>
      </c>
      <c r="B178" s="39" t="s">
        <v>2495</v>
      </c>
      <c r="C178" s="40" t="s">
        <v>2496</v>
      </c>
      <c r="D178" s="39" t="s">
        <v>1530</v>
      </c>
      <c r="E178" s="40" t="s">
        <v>1537</v>
      </c>
      <c r="F178" s="40" t="s">
        <v>1537</v>
      </c>
      <c r="G178" s="39" t="s">
        <v>102</v>
      </c>
      <c r="H178" s="40" t="s">
        <v>1539</v>
      </c>
      <c r="I178" s="40" t="s">
        <v>104</v>
      </c>
      <c r="J178" s="50"/>
      <c r="K178" s="116">
        <f>IFERROR(VLOOKUP(B178,BD_CONTROL!$A$5:$M$4235,11,0),"")</f>
        <v>0</v>
      </c>
      <c r="L178" s="117">
        <f>IFERROR(VLOOKUP(B178,BD_CONTROL!$A$5:$M$4235,12,0),"")</f>
        <v>0</v>
      </c>
      <c r="M178" s="118">
        <f>IFERROR(VLOOKUP(B178,BD_CONTROL!$A$5:$M$4235,13,0),"")</f>
        <v>0</v>
      </c>
    </row>
    <row r="179" spans="1:13" ht="15" customHeight="1">
      <c r="A179" s="42">
        <v>174</v>
      </c>
      <c r="B179" s="42" t="s">
        <v>2497</v>
      </c>
      <c r="C179" s="43" t="s">
        <v>2498</v>
      </c>
      <c r="D179" s="42" t="s">
        <v>1530</v>
      </c>
      <c r="E179" s="43" t="s">
        <v>1546</v>
      </c>
      <c r="F179" s="43" t="s">
        <v>2134</v>
      </c>
      <c r="G179" s="42" t="s">
        <v>102</v>
      </c>
      <c r="H179" s="43" t="s">
        <v>1539</v>
      </c>
      <c r="I179" s="43" t="s">
        <v>104</v>
      </c>
      <c r="J179" s="55"/>
      <c r="K179" s="119">
        <f>IFERROR(VLOOKUP(B179,BD_CONTROL!$A$5:$M$4235,11,0),"")</f>
        <v>0</v>
      </c>
      <c r="L179" s="120">
        <f>IFERROR(VLOOKUP(B179,BD_CONTROL!$A$5:$M$4235,12,0),"")</f>
        <v>0</v>
      </c>
      <c r="M179" s="121">
        <f>IFERROR(VLOOKUP(B179,BD_CONTROL!$A$5:$M$4235,13,0),"")</f>
        <v>0</v>
      </c>
    </row>
    <row r="180" spans="1:13" ht="15" customHeight="1">
      <c r="A180" s="39">
        <v>175</v>
      </c>
      <c r="B180" s="39" t="s">
        <v>2499</v>
      </c>
      <c r="C180" s="40" t="s">
        <v>2500</v>
      </c>
      <c r="D180" s="39" t="s">
        <v>1530</v>
      </c>
      <c r="E180" s="40" t="s">
        <v>1546</v>
      </c>
      <c r="F180" s="40" t="s">
        <v>2134</v>
      </c>
      <c r="G180" s="39" t="s">
        <v>102</v>
      </c>
      <c r="H180" s="40" t="s">
        <v>1539</v>
      </c>
      <c r="I180" s="40" t="s">
        <v>104</v>
      </c>
      <c r="J180" s="50"/>
      <c r="K180" s="116">
        <f>IFERROR(VLOOKUP(B180,BD_CONTROL!$A$5:$M$4235,11,0),"")</f>
        <v>0</v>
      </c>
      <c r="L180" s="117">
        <f>IFERROR(VLOOKUP(B180,BD_CONTROL!$A$5:$M$4235,12,0),"")</f>
        <v>0</v>
      </c>
      <c r="M180" s="118">
        <f>IFERROR(VLOOKUP(B180,BD_CONTROL!$A$5:$M$4235,13,0),"")</f>
        <v>0</v>
      </c>
    </row>
    <row r="181" spans="1:13" ht="15" customHeight="1">
      <c r="A181" s="42">
        <v>176</v>
      </c>
      <c r="B181" s="42" t="s">
        <v>2501</v>
      </c>
      <c r="C181" s="43" t="s">
        <v>2502</v>
      </c>
      <c r="D181" s="42" t="s">
        <v>1530</v>
      </c>
      <c r="E181" s="43" t="s">
        <v>1546</v>
      </c>
      <c r="F181" s="43" t="s">
        <v>1546</v>
      </c>
      <c r="G181" s="42" t="s">
        <v>102</v>
      </c>
      <c r="H181" s="43" t="s">
        <v>1539</v>
      </c>
      <c r="I181" s="43" t="s">
        <v>104</v>
      </c>
      <c r="J181" s="55"/>
      <c r="K181" s="119">
        <f>IFERROR(VLOOKUP(B181,BD_CONTROL!$A$5:$M$4235,11,0),"")</f>
        <v>0</v>
      </c>
      <c r="L181" s="120">
        <f>IFERROR(VLOOKUP(B181,BD_CONTROL!$A$5:$M$4235,12,0),"")</f>
        <v>0</v>
      </c>
      <c r="M181" s="121">
        <f>IFERROR(VLOOKUP(B181,BD_CONTROL!$A$5:$M$4235,13,0),"")</f>
        <v>0</v>
      </c>
    </row>
    <row r="182" spans="1:13" ht="15" customHeight="1">
      <c r="A182" s="39">
        <v>177</v>
      </c>
      <c r="B182" s="39" t="s">
        <v>2503</v>
      </c>
      <c r="C182" s="40" t="s">
        <v>2504</v>
      </c>
      <c r="D182" s="39" t="s">
        <v>1530</v>
      </c>
      <c r="E182" s="40" t="s">
        <v>1546</v>
      </c>
      <c r="F182" s="40" t="s">
        <v>2134</v>
      </c>
      <c r="G182" s="39" t="s">
        <v>102</v>
      </c>
      <c r="H182" s="40" t="s">
        <v>1539</v>
      </c>
      <c r="I182" s="40" t="s">
        <v>104</v>
      </c>
      <c r="J182" s="50"/>
      <c r="K182" s="116" t="str">
        <f>IFERROR(VLOOKUP(B182,BD_CONTROL!$A$5:$M$4235,11,0),"")</f>
        <v>Instalado - Sin Señal</v>
      </c>
      <c r="L182" s="117">
        <f>IFERROR(VLOOKUP(B182,BD_CONTROL!$A$5:$M$4235,12,0),"")</f>
        <v>46149</v>
      </c>
      <c r="M182" s="118">
        <f>IFERROR(VLOOKUP(B182,BD_CONTROL!$A$5:$M$4235,13,0),"")</f>
        <v>0</v>
      </c>
    </row>
    <row r="183" spans="1:13" ht="15" customHeight="1">
      <c r="A183" s="42">
        <v>178</v>
      </c>
      <c r="B183" s="42" t="s">
        <v>2507</v>
      </c>
      <c r="C183" s="43" t="s">
        <v>2508</v>
      </c>
      <c r="D183" s="42" t="s">
        <v>1530</v>
      </c>
      <c r="E183" s="43" t="s">
        <v>1537</v>
      </c>
      <c r="F183" s="43" t="s">
        <v>1537</v>
      </c>
      <c r="G183" s="42" t="s">
        <v>102</v>
      </c>
      <c r="H183" s="43" t="s">
        <v>1539</v>
      </c>
      <c r="I183" s="43" t="s">
        <v>104</v>
      </c>
      <c r="J183" s="55"/>
      <c r="K183" s="119">
        <f>IFERROR(VLOOKUP(B183,BD_CONTROL!$A$5:$M$4235,11,0),"")</f>
        <v>0</v>
      </c>
      <c r="L183" s="120">
        <f>IFERROR(VLOOKUP(B183,BD_CONTROL!$A$5:$M$4235,12,0),"")</f>
        <v>0</v>
      </c>
      <c r="M183" s="121">
        <f>IFERROR(VLOOKUP(B183,BD_CONTROL!$A$5:$M$4235,13,0),"")</f>
        <v>0</v>
      </c>
    </row>
    <row r="184" spans="1:13" ht="15" customHeight="1">
      <c r="A184" s="39">
        <v>179</v>
      </c>
      <c r="B184" s="39" t="s">
        <v>2509</v>
      </c>
      <c r="C184" s="40" t="s">
        <v>2510</v>
      </c>
      <c r="D184" s="39" t="s">
        <v>1530</v>
      </c>
      <c r="E184" s="40" t="s">
        <v>1542</v>
      </c>
      <c r="F184" s="40" t="s">
        <v>2511</v>
      </c>
      <c r="G184" s="39" t="s">
        <v>109</v>
      </c>
      <c r="H184" s="40" t="s">
        <v>1539</v>
      </c>
      <c r="I184" s="40" t="s">
        <v>104</v>
      </c>
      <c r="J184" s="50"/>
      <c r="K184" s="116">
        <f>IFERROR(VLOOKUP(B184,BD_CONTROL!$A$5:$M$4235,11,0),"")</f>
        <v>0</v>
      </c>
      <c r="L184" s="117">
        <f>IFERROR(VLOOKUP(B184,BD_CONTROL!$A$5:$M$4235,12,0),"")</f>
        <v>0</v>
      </c>
      <c r="M184" s="118">
        <f>IFERROR(VLOOKUP(B184,BD_CONTROL!$A$5:$M$4235,13,0),"")</f>
        <v>0</v>
      </c>
    </row>
    <row r="185" spans="1:13" ht="15" customHeight="1">
      <c r="A185" s="42">
        <v>180</v>
      </c>
      <c r="B185" s="42" t="s">
        <v>2520</v>
      </c>
      <c r="C185" s="43" t="s">
        <v>2521</v>
      </c>
      <c r="D185" s="42" t="s">
        <v>1530</v>
      </c>
      <c r="E185" s="43" t="s">
        <v>1586</v>
      </c>
      <c r="F185" s="43" t="s">
        <v>2522</v>
      </c>
      <c r="G185" s="42" t="s">
        <v>109</v>
      </c>
      <c r="H185" s="43" t="s">
        <v>1539</v>
      </c>
      <c r="I185" s="43" t="s">
        <v>104</v>
      </c>
      <c r="J185" s="55"/>
      <c r="K185" s="119">
        <f>IFERROR(VLOOKUP(B185,BD_CONTROL!$A$5:$M$4235,11,0),"")</f>
        <v>0</v>
      </c>
      <c r="L185" s="120">
        <f>IFERROR(VLOOKUP(B185,BD_CONTROL!$A$5:$M$4235,12,0),"")</f>
        <v>0</v>
      </c>
      <c r="M185" s="121">
        <f>IFERROR(VLOOKUP(B185,BD_CONTROL!$A$5:$M$4235,13,0),"")</f>
        <v>0</v>
      </c>
    </row>
    <row r="186" spans="1:13" ht="15" customHeight="1">
      <c r="A186" s="39">
        <v>181</v>
      </c>
      <c r="B186" s="39" t="s">
        <v>2523</v>
      </c>
      <c r="C186" s="40" t="s">
        <v>2524</v>
      </c>
      <c r="D186" s="39" t="s">
        <v>1530</v>
      </c>
      <c r="E186" s="40" t="s">
        <v>1542</v>
      </c>
      <c r="F186" s="40" t="s">
        <v>2006</v>
      </c>
      <c r="G186" s="39" t="s">
        <v>102</v>
      </c>
      <c r="H186" s="40" t="s">
        <v>1539</v>
      </c>
      <c r="I186" s="40" t="s">
        <v>104</v>
      </c>
      <c r="J186" s="50"/>
      <c r="K186" s="116">
        <f>IFERROR(VLOOKUP(B186,BD_CONTROL!$A$5:$M$4235,11,0),"")</f>
        <v>0</v>
      </c>
      <c r="L186" s="117">
        <f>IFERROR(VLOOKUP(B186,BD_CONTROL!$A$5:$M$4235,12,0),"")</f>
        <v>0</v>
      </c>
      <c r="M186" s="118">
        <f>IFERROR(VLOOKUP(B186,BD_CONTROL!$A$5:$M$4235,13,0),"")</f>
        <v>0</v>
      </c>
    </row>
    <row r="187" spans="1:13" ht="15" customHeight="1">
      <c r="A187" s="42">
        <v>182</v>
      </c>
      <c r="B187" s="42" t="s">
        <v>2542</v>
      </c>
      <c r="C187" s="43" t="s">
        <v>1123</v>
      </c>
      <c r="D187" s="42" t="s">
        <v>1530</v>
      </c>
      <c r="E187" s="43" t="s">
        <v>1676</v>
      </c>
      <c r="F187" s="43" t="s">
        <v>2543</v>
      </c>
      <c r="G187" s="42" t="s">
        <v>109</v>
      </c>
      <c r="H187" s="43" t="s">
        <v>1539</v>
      </c>
      <c r="I187" s="43" t="s">
        <v>104</v>
      </c>
      <c r="J187" s="55"/>
      <c r="K187" s="119">
        <f>IFERROR(VLOOKUP(B187,BD_CONTROL!$A$5:$M$4235,11,0),"")</f>
        <v>0</v>
      </c>
      <c r="L187" s="120">
        <f>IFERROR(VLOOKUP(B187,BD_CONTROL!$A$5:$M$4235,12,0),"")</f>
        <v>0</v>
      </c>
      <c r="M187" s="121">
        <f>IFERROR(VLOOKUP(B187,BD_CONTROL!$A$5:$M$4235,13,0),"")</f>
        <v>0</v>
      </c>
    </row>
    <row r="188" spans="1:13" ht="15" customHeight="1">
      <c r="A188" s="39">
        <v>183</v>
      </c>
      <c r="B188" s="39" t="s">
        <v>2548</v>
      </c>
      <c r="C188" s="40" t="s">
        <v>2549</v>
      </c>
      <c r="D188" s="39" t="s">
        <v>1530</v>
      </c>
      <c r="E188" s="40" t="s">
        <v>1546</v>
      </c>
      <c r="F188" s="40" t="s">
        <v>1428</v>
      </c>
      <c r="G188" s="39" t="s">
        <v>102</v>
      </c>
      <c r="H188" s="40" t="s">
        <v>1539</v>
      </c>
      <c r="I188" s="40" t="s">
        <v>104</v>
      </c>
      <c r="J188" s="50"/>
      <c r="K188" s="116" t="str">
        <f>IFERROR(VLOOKUP(B188,BD_CONTROL!$A$5:$M$4235,11,0),"")</f>
        <v>Instalado - Operando</v>
      </c>
      <c r="L188" s="117">
        <f>IFERROR(VLOOKUP(B188,BD_CONTROL!$A$5:$M$4235,12,0),"")</f>
        <v>46148</v>
      </c>
      <c r="M188" s="118">
        <f>IFERROR(VLOOKUP(B188,BD_CONTROL!$A$5:$M$4235,13,0),"")</f>
        <v>0</v>
      </c>
    </row>
    <row r="189" spans="1:13" ht="15" customHeight="1">
      <c r="A189" s="42">
        <v>184</v>
      </c>
      <c r="B189" s="42" t="s">
        <v>2556</v>
      </c>
      <c r="C189" s="43" t="s">
        <v>2557</v>
      </c>
      <c r="D189" s="42" t="s">
        <v>1530</v>
      </c>
      <c r="E189" s="43" t="s">
        <v>1546</v>
      </c>
      <c r="F189" s="43" t="s">
        <v>1546</v>
      </c>
      <c r="G189" s="42" t="s">
        <v>102</v>
      </c>
      <c r="H189" s="43" t="s">
        <v>1539</v>
      </c>
      <c r="I189" s="43" t="s">
        <v>104</v>
      </c>
      <c r="J189" s="55"/>
      <c r="K189" s="119" t="str">
        <f>IFERROR(VLOOKUP(B189,BD_CONTROL!$A$5:$M$4235,11,0),"")</f>
        <v>Instalado - Operando</v>
      </c>
      <c r="L189" s="120">
        <f>IFERROR(VLOOKUP(B189,BD_CONTROL!$A$5:$M$4235,12,0),"")</f>
        <v>46149</v>
      </c>
      <c r="M189" s="121">
        <f>IFERROR(VLOOKUP(B189,BD_CONTROL!$A$5:$M$4235,13,0),"")</f>
        <v>0</v>
      </c>
    </row>
    <row r="190" spans="1:13" ht="15" customHeight="1">
      <c r="A190" s="39">
        <v>185</v>
      </c>
      <c r="B190" s="39" t="s">
        <v>2564</v>
      </c>
      <c r="C190" s="40" t="s">
        <v>2565</v>
      </c>
      <c r="D190" s="39" t="s">
        <v>1530</v>
      </c>
      <c r="E190" s="40" t="s">
        <v>1537</v>
      </c>
      <c r="F190" s="40" t="s">
        <v>1537</v>
      </c>
      <c r="G190" s="39" t="s">
        <v>102</v>
      </c>
      <c r="H190" s="40" t="s">
        <v>1539</v>
      </c>
      <c r="I190" s="40" t="s">
        <v>104</v>
      </c>
      <c r="J190" s="50"/>
      <c r="K190" s="116">
        <f>IFERROR(VLOOKUP(B190,BD_CONTROL!$A$5:$M$4235,11,0),"")</f>
        <v>0</v>
      </c>
      <c r="L190" s="117">
        <f>IFERROR(VLOOKUP(B190,BD_CONTROL!$A$5:$M$4235,12,0),"")</f>
        <v>0</v>
      </c>
      <c r="M190" s="118">
        <f>IFERROR(VLOOKUP(B190,BD_CONTROL!$A$5:$M$4235,13,0),"")</f>
        <v>0</v>
      </c>
    </row>
    <row r="191" spans="1:13" ht="15" customHeight="1">
      <c r="A191" s="42">
        <v>186</v>
      </c>
      <c r="B191" s="42" t="s">
        <v>2574</v>
      </c>
      <c r="C191" s="43" t="s">
        <v>2575</v>
      </c>
      <c r="D191" s="42" t="s">
        <v>1530</v>
      </c>
      <c r="E191" s="43" t="s">
        <v>1537</v>
      </c>
      <c r="F191" s="43" t="s">
        <v>1537</v>
      </c>
      <c r="G191" s="42" t="s">
        <v>102</v>
      </c>
      <c r="H191" s="43" t="s">
        <v>1539</v>
      </c>
      <c r="I191" s="43" t="s">
        <v>104</v>
      </c>
      <c r="J191" s="55"/>
      <c r="K191" s="119">
        <f>IFERROR(VLOOKUP(B191,BD_CONTROL!$A$5:$M$4235,11,0),"")</f>
        <v>0</v>
      </c>
      <c r="L191" s="120">
        <f>IFERROR(VLOOKUP(B191,BD_CONTROL!$A$5:$M$4235,12,0),"")</f>
        <v>0</v>
      </c>
      <c r="M191" s="121">
        <f>IFERROR(VLOOKUP(B191,BD_CONTROL!$A$5:$M$4235,13,0),"")</f>
        <v>0</v>
      </c>
    </row>
    <row r="192" spans="1:13" ht="15" customHeight="1">
      <c r="A192" s="39">
        <v>187</v>
      </c>
      <c r="B192" s="39" t="s">
        <v>2583</v>
      </c>
      <c r="C192" s="40" t="s">
        <v>2584</v>
      </c>
      <c r="D192" s="39" t="s">
        <v>1530</v>
      </c>
      <c r="E192" s="40" t="s">
        <v>1546</v>
      </c>
      <c r="F192" s="40" t="s">
        <v>2585</v>
      </c>
      <c r="G192" s="39" t="s">
        <v>109</v>
      </c>
      <c r="H192" s="40" t="s">
        <v>1539</v>
      </c>
      <c r="I192" s="40" t="s">
        <v>104</v>
      </c>
      <c r="J192" s="50"/>
      <c r="K192" s="116">
        <f>IFERROR(VLOOKUP(B192,BD_CONTROL!$A$5:$M$4235,11,0),"")</f>
        <v>0</v>
      </c>
      <c r="L192" s="117">
        <f>IFERROR(VLOOKUP(B192,BD_CONTROL!$A$5:$M$4235,12,0),"")</f>
        <v>0</v>
      </c>
      <c r="M192" s="118">
        <f>IFERROR(VLOOKUP(B192,BD_CONTROL!$A$5:$M$4235,13,0),"")</f>
        <v>0</v>
      </c>
    </row>
    <row r="193" spans="1:13" ht="15" customHeight="1">
      <c r="A193" s="42">
        <v>188</v>
      </c>
      <c r="B193" s="42" t="s">
        <v>2586</v>
      </c>
      <c r="C193" s="43" t="s">
        <v>2587</v>
      </c>
      <c r="D193" s="42" t="s">
        <v>1530</v>
      </c>
      <c r="E193" s="43" t="s">
        <v>1546</v>
      </c>
      <c r="F193" s="43" t="s">
        <v>1546</v>
      </c>
      <c r="G193" s="42" t="s">
        <v>102</v>
      </c>
      <c r="H193" s="43" t="s">
        <v>1539</v>
      </c>
      <c r="I193" s="43" t="s">
        <v>104</v>
      </c>
      <c r="J193" s="55"/>
      <c r="K193" s="119">
        <f>IFERROR(VLOOKUP(B193,BD_CONTROL!$A$5:$M$4235,11,0),"")</f>
        <v>0</v>
      </c>
      <c r="L193" s="120">
        <f>IFERROR(VLOOKUP(B193,BD_CONTROL!$A$5:$M$4235,12,0),"")</f>
        <v>0</v>
      </c>
      <c r="M193" s="121">
        <f>IFERROR(VLOOKUP(B193,BD_CONTROL!$A$5:$M$4235,13,0),"")</f>
        <v>0</v>
      </c>
    </row>
    <row r="194" spans="1:13" ht="15" customHeight="1">
      <c r="A194" s="39">
        <v>189</v>
      </c>
      <c r="B194" s="39" t="s">
        <v>2617</v>
      </c>
      <c r="C194" s="40" t="s">
        <v>2618</v>
      </c>
      <c r="D194" s="39" t="s">
        <v>1530</v>
      </c>
      <c r="E194" s="40" t="s">
        <v>1530</v>
      </c>
      <c r="F194" s="40" t="s">
        <v>2619</v>
      </c>
      <c r="G194" s="39" t="s">
        <v>109</v>
      </c>
      <c r="H194" s="40" t="s">
        <v>1539</v>
      </c>
      <c r="I194" s="40" t="s">
        <v>104</v>
      </c>
      <c r="J194" s="50"/>
      <c r="K194" s="116">
        <f>IFERROR(VLOOKUP(B194,BD_CONTROL!$A$5:$M$4235,11,0),"")</f>
        <v>0</v>
      </c>
      <c r="L194" s="117">
        <f>IFERROR(VLOOKUP(B194,BD_CONTROL!$A$5:$M$4235,12,0),"")</f>
        <v>0</v>
      </c>
      <c r="M194" s="118">
        <f>IFERROR(VLOOKUP(B194,BD_CONTROL!$A$5:$M$4235,13,0),"")</f>
        <v>0</v>
      </c>
    </row>
    <row r="195" spans="1:13" ht="15" customHeight="1">
      <c r="A195" s="42">
        <v>190</v>
      </c>
      <c r="B195" s="42" t="s">
        <v>2620</v>
      </c>
      <c r="C195" s="43" t="s">
        <v>2621</v>
      </c>
      <c r="D195" s="42" t="s">
        <v>1530</v>
      </c>
      <c r="E195" s="43" t="s">
        <v>1537</v>
      </c>
      <c r="F195" s="43" t="s">
        <v>2622</v>
      </c>
      <c r="G195" s="42" t="s">
        <v>109</v>
      </c>
      <c r="H195" s="43" t="s">
        <v>1539</v>
      </c>
      <c r="I195" s="43" t="s">
        <v>104</v>
      </c>
      <c r="J195" s="55"/>
      <c r="K195" s="119">
        <f>IFERROR(VLOOKUP(B195,BD_CONTROL!$A$5:$M$4235,11,0),"")</f>
        <v>0</v>
      </c>
      <c r="L195" s="120">
        <f>IFERROR(VLOOKUP(B195,BD_CONTROL!$A$5:$M$4235,12,0),"")</f>
        <v>0</v>
      </c>
      <c r="M195" s="121">
        <f>IFERROR(VLOOKUP(B195,BD_CONTROL!$A$5:$M$4235,13,0),"")</f>
        <v>0</v>
      </c>
    </row>
    <row r="196" spans="1:13" ht="15" customHeight="1">
      <c r="A196" s="39">
        <v>191</v>
      </c>
      <c r="B196" s="39" t="s">
        <v>2623</v>
      </c>
      <c r="C196" s="40" t="s">
        <v>2624</v>
      </c>
      <c r="D196" s="39" t="s">
        <v>1530</v>
      </c>
      <c r="E196" s="40" t="s">
        <v>1546</v>
      </c>
      <c r="F196" s="40" t="s">
        <v>2058</v>
      </c>
      <c r="G196" s="39" t="s">
        <v>109</v>
      </c>
      <c r="H196" s="40" t="s">
        <v>1539</v>
      </c>
      <c r="I196" s="40" t="s">
        <v>104</v>
      </c>
      <c r="J196" s="50"/>
      <c r="K196" s="116">
        <f>IFERROR(VLOOKUP(B196,BD_CONTROL!$A$5:$M$4235,11,0),"")</f>
        <v>0</v>
      </c>
      <c r="L196" s="117">
        <f>IFERROR(VLOOKUP(B196,BD_CONTROL!$A$5:$M$4235,12,0),"")</f>
        <v>0</v>
      </c>
      <c r="M196" s="118">
        <f>IFERROR(VLOOKUP(B196,BD_CONTROL!$A$5:$M$4235,13,0),"")</f>
        <v>0</v>
      </c>
    </row>
    <row r="197" spans="1:13" ht="15" customHeight="1">
      <c r="A197" s="42">
        <v>192</v>
      </c>
      <c r="B197" s="42" t="s">
        <v>2628</v>
      </c>
      <c r="C197" s="43" t="s">
        <v>2629</v>
      </c>
      <c r="D197" s="42" t="s">
        <v>1530</v>
      </c>
      <c r="E197" s="43" t="s">
        <v>1542</v>
      </c>
      <c r="F197" s="43" t="s">
        <v>2630</v>
      </c>
      <c r="G197" s="42" t="s">
        <v>109</v>
      </c>
      <c r="H197" s="43" t="s">
        <v>1539</v>
      </c>
      <c r="I197" s="43" t="s">
        <v>104</v>
      </c>
      <c r="J197" s="55"/>
      <c r="K197" s="119">
        <f>IFERROR(VLOOKUP(B197,BD_CONTROL!$A$5:$M$4235,11,0),"")</f>
        <v>0</v>
      </c>
      <c r="L197" s="120">
        <f>IFERROR(VLOOKUP(B197,BD_CONTROL!$A$5:$M$4235,12,0),"")</f>
        <v>0</v>
      </c>
      <c r="M197" s="121">
        <f>IFERROR(VLOOKUP(B197,BD_CONTROL!$A$5:$M$4235,13,0),"")</f>
        <v>0</v>
      </c>
    </row>
    <row r="198" spans="1:13" ht="15" customHeight="1">
      <c r="A198" s="39">
        <v>193</v>
      </c>
      <c r="B198" s="39" t="s">
        <v>2631</v>
      </c>
      <c r="C198" s="40" t="s">
        <v>2632</v>
      </c>
      <c r="D198" s="39" t="s">
        <v>1530</v>
      </c>
      <c r="E198" s="40" t="s">
        <v>1542</v>
      </c>
      <c r="F198" s="40" t="s">
        <v>2006</v>
      </c>
      <c r="G198" s="39" t="s">
        <v>102</v>
      </c>
      <c r="H198" s="40" t="s">
        <v>1539</v>
      </c>
      <c r="I198" s="40" t="s">
        <v>104</v>
      </c>
      <c r="J198" s="50"/>
      <c r="K198" s="116">
        <f>IFERROR(VLOOKUP(B198,BD_CONTROL!$A$5:$M$4235,11,0),"")</f>
        <v>0</v>
      </c>
      <c r="L198" s="117">
        <f>IFERROR(VLOOKUP(B198,BD_CONTROL!$A$5:$M$4235,12,0),"")</f>
        <v>0</v>
      </c>
      <c r="M198" s="118">
        <f>IFERROR(VLOOKUP(B198,BD_CONTROL!$A$5:$M$4235,13,0),"")</f>
        <v>0</v>
      </c>
    </row>
    <row r="199" spans="1:13" ht="15" customHeight="1">
      <c r="A199" s="42">
        <v>194</v>
      </c>
      <c r="B199" s="42" t="s">
        <v>2641</v>
      </c>
      <c r="C199" s="43" t="s">
        <v>2642</v>
      </c>
      <c r="D199" s="42" t="s">
        <v>1530</v>
      </c>
      <c r="E199" s="43" t="s">
        <v>320</v>
      </c>
      <c r="F199" s="43" t="s">
        <v>1593</v>
      </c>
      <c r="G199" s="42" t="s">
        <v>109</v>
      </c>
      <c r="H199" s="43" t="s">
        <v>1539</v>
      </c>
      <c r="I199" s="43" t="s">
        <v>104</v>
      </c>
      <c r="J199" s="55"/>
      <c r="K199" s="119">
        <f>IFERROR(VLOOKUP(B199,BD_CONTROL!$A$5:$M$4235,11,0),"")</f>
        <v>0</v>
      </c>
      <c r="L199" s="120">
        <f>IFERROR(VLOOKUP(B199,BD_CONTROL!$A$5:$M$4235,12,0),"")</f>
        <v>0</v>
      </c>
      <c r="M199" s="121">
        <f>IFERROR(VLOOKUP(B199,BD_CONTROL!$A$5:$M$4235,13,0),"")</f>
        <v>0</v>
      </c>
    </row>
    <row r="200" spans="1:13" ht="15" customHeight="1">
      <c r="A200" s="39">
        <v>195</v>
      </c>
      <c r="B200" s="39" t="s">
        <v>2643</v>
      </c>
      <c r="C200" s="40" t="s">
        <v>2644</v>
      </c>
      <c r="D200" s="39" t="s">
        <v>1530</v>
      </c>
      <c r="E200" s="40" t="s">
        <v>1582</v>
      </c>
      <c r="F200" s="40" t="s">
        <v>2645</v>
      </c>
      <c r="G200" s="39" t="s">
        <v>109</v>
      </c>
      <c r="H200" s="40" t="s">
        <v>1539</v>
      </c>
      <c r="I200" s="40" t="s">
        <v>104</v>
      </c>
      <c r="J200" s="50"/>
      <c r="K200" s="116" t="str">
        <f>IFERROR(VLOOKUP(B200,BD_CONTROL!$A$5:$M$4235,11,0),"")</f>
        <v>Instalado - Operando</v>
      </c>
      <c r="L200" s="117">
        <f>IFERROR(VLOOKUP(B200,BD_CONTROL!$A$5:$M$4235,12,0),"")</f>
        <v>46148</v>
      </c>
      <c r="M200" s="118">
        <f>IFERROR(VLOOKUP(B200,BD_CONTROL!$A$5:$M$4235,13,0),"")</f>
        <v>0</v>
      </c>
    </row>
    <row r="201" spans="1:13" ht="15" customHeight="1">
      <c r="A201" s="42">
        <v>196</v>
      </c>
      <c r="B201" s="42" t="s">
        <v>2646</v>
      </c>
      <c r="C201" s="43" t="s">
        <v>2647</v>
      </c>
      <c r="D201" s="42" t="s">
        <v>1530</v>
      </c>
      <c r="E201" s="43" t="s">
        <v>1660</v>
      </c>
      <c r="F201" s="43" t="s">
        <v>2648</v>
      </c>
      <c r="G201" s="42" t="s">
        <v>109</v>
      </c>
      <c r="H201" s="43" t="s">
        <v>1539</v>
      </c>
      <c r="I201" s="43" t="s">
        <v>104</v>
      </c>
      <c r="J201" s="55"/>
      <c r="K201" s="119">
        <f>IFERROR(VLOOKUP(B201,BD_CONTROL!$A$5:$M$4235,11,0),"")</f>
        <v>0</v>
      </c>
      <c r="L201" s="120">
        <f>IFERROR(VLOOKUP(B201,BD_CONTROL!$A$5:$M$4235,12,0),"")</f>
        <v>0</v>
      </c>
      <c r="M201" s="121">
        <f>IFERROR(VLOOKUP(B201,BD_CONTROL!$A$5:$M$4235,13,0),"")</f>
        <v>0</v>
      </c>
    </row>
    <row r="202" spans="1:13" ht="15" customHeight="1">
      <c r="A202" s="39">
        <v>197</v>
      </c>
      <c r="B202" s="39" t="s">
        <v>2649</v>
      </c>
      <c r="C202" s="40" t="s">
        <v>2650</v>
      </c>
      <c r="D202" s="39" t="s">
        <v>1530</v>
      </c>
      <c r="E202" s="40" t="s">
        <v>1537</v>
      </c>
      <c r="F202" s="40" t="s">
        <v>2651</v>
      </c>
      <c r="G202" s="39" t="s">
        <v>109</v>
      </c>
      <c r="H202" s="40" t="s">
        <v>1539</v>
      </c>
      <c r="I202" s="40" t="s">
        <v>104</v>
      </c>
      <c r="J202" s="50"/>
      <c r="K202" s="116">
        <f>IFERROR(VLOOKUP(B202,BD_CONTROL!$A$5:$M$4235,11,0),"")</f>
        <v>0</v>
      </c>
      <c r="L202" s="117">
        <f>IFERROR(VLOOKUP(B202,BD_CONTROL!$A$5:$M$4235,12,0),"")</f>
        <v>0</v>
      </c>
      <c r="M202" s="118">
        <f>IFERROR(VLOOKUP(B202,BD_CONTROL!$A$5:$M$4235,13,0),"")</f>
        <v>0</v>
      </c>
    </row>
    <row r="203" spans="1:13" ht="15" customHeight="1">
      <c r="A203" s="42">
        <v>198</v>
      </c>
      <c r="B203" s="42" t="s">
        <v>2663</v>
      </c>
      <c r="C203" s="43" t="s">
        <v>2664</v>
      </c>
      <c r="D203" s="42" t="s">
        <v>1530</v>
      </c>
      <c r="E203" s="43" t="s">
        <v>1546</v>
      </c>
      <c r="F203" s="43" t="s">
        <v>2665</v>
      </c>
      <c r="G203" s="42" t="s">
        <v>109</v>
      </c>
      <c r="H203" s="43" t="s">
        <v>1539</v>
      </c>
      <c r="I203" s="43" t="s">
        <v>104</v>
      </c>
      <c r="J203" s="55"/>
      <c r="K203" s="119">
        <f>IFERROR(VLOOKUP(B203,BD_CONTROL!$A$5:$M$4235,11,0),"")</f>
        <v>0</v>
      </c>
      <c r="L203" s="120">
        <f>IFERROR(VLOOKUP(B203,BD_CONTROL!$A$5:$M$4235,12,0),"")</f>
        <v>0</v>
      </c>
      <c r="M203" s="121">
        <f>IFERROR(VLOOKUP(B203,BD_CONTROL!$A$5:$M$4235,13,0),"")</f>
        <v>0</v>
      </c>
    </row>
    <row r="204" spans="1:13" ht="15" customHeight="1">
      <c r="A204" s="39">
        <v>199</v>
      </c>
      <c r="B204" s="39" t="s">
        <v>2666</v>
      </c>
      <c r="C204" s="40" t="s">
        <v>694</v>
      </c>
      <c r="D204" s="39" t="s">
        <v>1530</v>
      </c>
      <c r="E204" s="40" t="s">
        <v>1676</v>
      </c>
      <c r="F204" s="40" t="s">
        <v>2667</v>
      </c>
      <c r="G204" s="39" t="s">
        <v>109</v>
      </c>
      <c r="H204" s="40" t="s">
        <v>1539</v>
      </c>
      <c r="I204" s="40" t="s">
        <v>104</v>
      </c>
      <c r="J204" s="50"/>
      <c r="K204" s="116">
        <f>IFERROR(VLOOKUP(B204,BD_CONTROL!$A$5:$M$4235,11,0),"")</f>
        <v>0</v>
      </c>
      <c r="L204" s="117">
        <f>IFERROR(VLOOKUP(B204,BD_CONTROL!$A$5:$M$4235,12,0),"")</f>
        <v>0</v>
      </c>
      <c r="M204" s="118">
        <f>IFERROR(VLOOKUP(B204,BD_CONTROL!$A$5:$M$4235,13,0),"")</f>
        <v>0</v>
      </c>
    </row>
    <row r="205" spans="1:13" ht="15" customHeight="1">
      <c r="A205" s="42">
        <v>200</v>
      </c>
      <c r="B205" s="42" t="s">
        <v>2668</v>
      </c>
      <c r="C205" s="43" t="s">
        <v>437</v>
      </c>
      <c r="D205" s="42" t="s">
        <v>1530</v>
      </c>
      <c r="E205" s="43" t="s">
        <v>1676</v>
      </c>
      <c r="F205" s="43" t="s">
        <v>2669</v>
      </c>
      <c r="G205" s="42" t="s">
        <v>109</v>
      </c>
      <c r="H205" s="43" t="s">
        <v>1539</v>
      </c>
      <c r="I205" s="43" t="s">
        <v>104</v>
      </c>
      <c r="J205" s="55"/>
      <c r="K205" s="119">
        <f>IFERROR(VLOOKUP(B205,BD_CONTROL!$A$5:$M$4235,11,0),"")</f>
        <v>0</v>
      </c>
      <c r="L205" s="120">
        <f>IFERROR(VLOOKUP(B205,BD_CONTROL!$A$5:$M$4235,12,0),"")</f>
        <v>0</v>
      </c>
      <c r="M205" s="121">
        <f>IFERROR(VLOOKUP(B205,BD_CONTROL!$A$5:$M$4235,13,0),"")</f>
        <v>0</v>
      </c>
    </row>
    <row r="206" spans="1:13" ht="15" customHeight="1">
      <c r="A206" s="39">
        <v>201</v>
      </c>
      <c r="B206" s="39" t="s">
        <v>2687</v>
      </c>
      <c r="C206" s="40" t="s">
        <v>2688</v>
      </c>
      <c r="D206" s="39" t="s">
        <v>1530</v>
      </c>
      <c r="E206" s="40" t="s">
        <v>1546</v>
      </c>
      <c r="F206" s="40" t="s">
        <v>1546</v>
      </c>
      <c r="G206" s="39" t="s">
        <v>102</v>
      </c>
      <c r="H206" s="40" t="s">
        <v>1539</v>
      </c>
      <c r="I206" s="40" t="s">
        <v>104</v>
      </c>
      <c r="J206" s="50"/>
      <c r="K206" s="116">
        <f>IFERROR(VLOOKUP(B206,BD_CONTROL!$A$5:$M$4235,11,0),"")</f>
        <v>0</v>
      </c>
      <c r="L206" s="117">
        <f>IFERROR(VLOOKUP(B206,BD_CONTROL!$A$5:$M$4235,12,0),"")</f>
        <v>0</v>
      </c>
      <c r="M206" s="118">
        <f>IFERROR(VLOOKUP(B206,BD_CONTROL!$A$5:$M$4235,13,0),"")</f>
        <v>0</v>
      </c>
    </row>
    <row r="207" spans="1:13" ht="15" customHeight="1">
      <c r="A207" s="42">
        <v>202</v>
      </c>
      <c r="B207" s="42" t="s">
        <v>2689</v>
      </c>
      <c r="C207" s="43" t="s">
        <v>2690</v>
      </c>
      <c r="D207" s="42" t="s">
        <v>1530</v>
      </c>
      <c r="E207" s="43" t="s">
        <v>320</v>
      </c>
      <c r="F207" s="43" t="s">
        <v>2691</v>
      </c>
      <c r="G207" s="42" t="s">
        <v>109</v>
      </c>
      <c r="H207" s="43" t="s">
        <v>1539</v>
      </c>
      <c r="I207" s="43" t="s">
        <v>104</v>
      </c>
      <c r="J207" s="55"/>
      <c r="K207" s="119">
        <f>IFERROR(VLOOKUP(B207,BD_CONTROL!$A$5:$M$4235,11,0),"")</f>
        <v>0</v>
      </c>
      <c r="L207" s="120">
        <f>IFERROR(VLOOKUP(B207,BD_CONTROL!$A$5:$M$4235,12,0),"")</f>
        <v>0</v>
      </c>
      <c r="M207" s="121">
        <f>IFERROR(VLOOKUP(B207,BD_CONTROL!$A$5:$M$4235,13,0),"")</f>
        <v>0</v>
      </c>
    </row>
    <row r="208" spans="1:13" ht="15" customHeight="1">
      <c r="A208" s="39">
        <v>203</v>
      </c>
      <c r="B208" s="39" t="s">
        <v>2692</v>
      </c>
      <c r="C208" s="40" t="s">
        <v>2693</v>
      </c>
      <c r="D208" s="39" t="s">
        <v>1530</v>
      </c>
      <c r="E208" s="40" t="s">
        <v>320</v>
      </c>
      <c r="F208" s="40" t="s">
        <v>1695</v>
      </c>
      <c r="G208" s="39" t="s">
        <v>109</v>
      </c>
      <c r="H208" s="40" t="s">
        <v>1539</v>
      </c>
      <c r="I208" s="40" t="s">
        <v>104</v>
      </c>
      <c r="J208" s="50"/>
      <c r="K208" s="116">
        <f>IFERROR(VLOOKUP(B208,BD_CONTROL!$A$5:$M$4235,11,0),"")</f>
        <v>0</v>
      </c>
      <c r="L208" s="117">
        <f>IFERROR(VLOOKUP(B208,BD_CONTROL!$A$5:$M$4235,12,0),"")</f>
        <v>0</v>
      </c>
      <c r="M208" s="118">
        <f>IFERROR(VLOOKUP(B208,BD_CONTROL!$A$5:$M$4235,13,0),"")</f>
        <v>0</v>
      </c>
    </row>
    <row r="209" spans="1:13" ht="15" customHeight="1">
      <c r="A209" s="42">
        <v>204</v>
      </c>
      <c r="B209" s="42" t="s">
        <v>2694</v>
      </c>
      <c r="C209" s="43" t="s">
        <v>2695</v>
      </c>
      <c r="D209" s="42" t="s">
        <v>1530</v>
      </c>
      <c r="E209" s="43" t="s">
        <v>1542</v>
      </c>
      <c r="F209" s="43" t="s">
        <v>2696</v>
      </c>
      <c r="G209" s="42" t="s">
        <v>109</v>
      </c>
      <c r="H209" s="43" t="s">
        <v>1539</v>
      </c>
      <c r="I209" s="43" t="s">
        <v>104</v>
      </c>
      <c r="J209" s="55"/>
      <c r="K209" s="119">
        <f>IFERROR(VLOOKUP(B209,BD_CONTROL!$A$5:$M$4235,11,0),"")</f>
        <v>0</v>
      </c>
      <c r="L209" s="120">
        <f>IFERROR(VLOOKUP(B209,BD_CONTROL!$A$5:$M$4235,12,0),"")</f>
        <v>0</v>
      </c>
      <c r="M209" s="121">
        <f>IFERROR(VLOOKUP(B209,BD_CONTROL!$A$5:$M$4235,13,0),"")</f>
        <v>0</v>
      </c>
    </row>
    <row r="210" spans="1:13" ht="15" customHeight="1">
      <c r="A210" s="39">
        <v>205</v>
      </c>
      <c r="B210" s="39" t="s">
        <v>2700</v>
      </c>
      <c r="C210" s="40" t="s">
        <v>2701</v>
      </c>
      <c r="D210" s="39" t="s">
        <v>1530</v>
      </c>
      <c r="E210" s="40" t="s">
        <v>1546</v>
      </c>
      <c r="F210" s="40" t="s">
        <v>1546</v>
      </c>
      <c r="G210" s="39" t="s">
        <v>109</v>
      </c>
      <c r="H210" s="40" t="s">
        <v>1539</v>
      </c>
      <c r="I210" s="40" t="s">
        <v>104</v>
      </c>
      <c r="J210" s="50"/>
      <c r="K210" s="116">
        <f>IFERROR(VLOOKUP(B210,BD_CONTROL!$A$5:$M$4235,11,0),"")</f>
        <v>0</v>
      </c>
      <c r="L210" s="117">
        <f>IFERROR(VLOOKUP(B210,BD_CONTROL!$A$5:$M$4235,12,0),"")</f>
        <v>0</v>
      </c>
      <c r="M210" s="118">
        <f>IFERROR(VLOOKUP(B210,BD_CONTROL!$A$5:$M$4235,13,0),"")</f>
        <v>0</v>
      </c>
    </row>
    <row r="211" spans="1:13" ht="15" customHeight="1">
      <c r="A211" s="42">
        <v>206</v>
      </c>
      <c r="B211" s="42" t="s">
        <v>2707</v>
      </c>
      <c r="C211" s="43" t="s">
        <v>2708</v>
      </c>
      <c r="D211" s="42" t="s">
        <v>1530</v>
      </c>
      <c r="E211" s="43" t="s">
        <v>1546</v>
      </c>
      <c r="F211" s="43" t="s">
        <v>1546</v>
      </c>
      <c r="G211" s="42" t="s">
        <v>109</v>
      </c>
      <c r="H211" s="43" t="s">
        <v>1539</v>
      </c>
      <c r="I211" s="43" t="s">
        <v>104</v>
      </c>
      <c r="J211" s="55"/>
      <c r="K211" s="119">
        <f>IFERROR(VLOOKUP(B211,BD_CONTROL!$A$5:$M$4235,11,0),"")</f>
        <v>0</v>
      </c>
      <c r="L211" s="120">
        <f>IFERROR(VLOOKUP(B211,BD_CONTROL!$A$5:$M$4235,12,0),"")</f>
        <v>0</v>
      </c>
      <c r="M211" s="121">
        <f>IFERROR(VLOOKUP(B211,BD_CONTROL!$A$5:$M$4235,13,0),"")</f>
        <v>0</v>
      </c>
    </row>
    <row r="212" spans="1:13" ht="15" customHeight="1">
      <c r="A212" s="39">
        <v>207</v>
      </c>
      <c r="B212" s="39" t="s">
        <v>2709</v>
      </c>
      <c r="C212" s="40" t="s">
        <v>2710</v>
      </c>
      <c r="D212" s="39" t="s">
        <v>1530</v>
      </c>
      <c r="E212" s="40" t="s">
        <v>1558</v>
      </c>
      <c r="F212" s="40" t="s">
        <v>460</v>
      </c>
      <c r="G212" s="39" t="s">
        <v>109</v>
      </c>
      <c r="H212" s="40" t="s">
        <v>1539</v>
      </c>
      <c r="I212" s="40" t="s">
        <v>104</v>
      </c>
      <c r="J212" s="50"/>
      <c r="K212" s="116">
        <f>IFERROR(VLOOKUP(B212,BD_CONTROL!$A$5:$M$4235,11,0),"")</f>
        <v>0</v>
      </c>
      <c r="L212" s="117">
        <f>IFERROR(VLOOKUP(B212,BD_CONTROL!$A$5:$M$4235,12,0),"")</f>
        <v>0</v>
      </c>
      <c r="M212" s="118">
        <f>IFERROR(VLOOKUP(B212,BD_CONTROL!$A$5:$M$4235,13,0),"")</f>
        <v>0</v>
      </c>
    </row>
    <row r="213" spans="1:13" ht="15" customHeight="1">
      <c r="A213" s="42">
        <v>208</v>
      </c>
      <c r="B213" s="42" t="s">
        <v>2711</v>
      </c>
      <c r="C213" s="43" t="s">
        <v>2712</v>
      </c>
      <c r="D213" s="42" t="s">
        <v>1530</v>
      </c>
      <c r="E213" s="43" t="s">
        <v>1558</v>
      </c>
      <c r="F213" s="43" t="s">
        <v>1799</v>
      </c>
      <c r="G213" s="42" t="s">
        <v>109</v>
      </c>
      <c r="H213" s="43" t="s">
        <v>1539</v>
      </c>
      <c r="I213" s="43" t="s">
        <v>104</v>
      </c>
      <c r="J213" s="55"/>
      <c r="K213" s="119">
        <f>IFERROR(VLOOKUP(B213,BD_CONTROL!$A$5:$M$4235,11,0),"")</f>
        <v>0</v>
      </c>
      <c r="L213" s="120">
        <f>IFERROR(VLOOKUP(B213,BD_CONTROL!$A$5:$M$4235,12,0),"")</f>
        <v>0</v>
      </c>
      <c r="M213" s="121">
        <f>IFERROR(VLOOKUP(B213,BD_CONTROL!$A$5:$M$4235,13,0),"")</f>
        <v>0</v>
      </c>
    </row>
    <row r="214" spans="1:13" ht="15" customHeight="1">
      <c r="A214" s="39">
        <v>209</v>
      </c>
      <c r="B214" s="39" t="s">
        <v>2713</v>
      </c>
      <c r="C214" s="40" t="s">
        <v>2714</v>
      </c>
      <c r="D214" s="39" t="s">
        <v>1530</v>
      </c>
      <c r="E214" s="40" t="s">
        <v>1558</v>
      </c>
      <c r="F214" s="40" t="s">
        <v>2715</v>
      </c>
      <c r="G214" s="39" t="s">
        <v>109</v>
      </c>
      <c r="H214" s="40" t="s">
        <v>1539</v>
      </c>
      <c r="I214" s="40" t="s">
        <v>104</v>
      </c>
      <c r="J214" s="50"/>
      <c r="K214" s="116">
        <f>IFERROR(VLOOKUP(B214,BD_CONTROL!$A$5:$M$4235,11,0),"")</f>
        <v>0</v>
      </c>
      <c r="L214" s="117">
        <f>IFERROR(VLOOKUP(B214,BD_CONTROL!$A$5:$M$4235,12,0),"")</f>
        <v>0</v>
      </c>
      <c r="M214" s="118">
        <f>IFERROR(VLOOKUP(B214,BD_CONTROL!$A$5:$M$4235,13,0),"")</f>
        <v>0</v>
      </c>
    </row>
    <row r="215" spans="1:13" ht="15" customHeight="1">
      <c r="A215" s="42">
        <v>210</v>
      </c>
      <c r="B215" s="42" t="s">
        <v>2716</v>
      </c>
      <c r="C215" s="43" t="s">
        <v>2717</v>
      </c>
      <c r="D215" s="42" t="s">
        <v>1530</v>
      </c>
      <c r="E215" s="43" t="s">
        <v>1582</v>
      </c>
      <c r="F215" s="43" t="s">
        <v>2718</v>
      </c>
      <c r="G215" s="42" t="s">
        <v>109</v>
      </c>
      <c r="H215" s="43" t="s">
        <v>1539</v>
      </c>
      <c r="I215" s="43" t="s">
        <v>104</v>
      </c>
      <c r="J215" s="55"/>
      <c r="K215" s="119" t="str">
        <f>IFERROR(VLOOKUP(B215,BD_CONTROL!$A$5:$M$4235,11,0),"")</f>
        <v>Instalado - Operando</v>
      </c>
      <c r="L215" s="120">
        <f>IFERROR(VLOOKUP(B215,BD_CONTROL!$A$5:$M$4235,12,0),"")</f>
        <v>46147</v>
      </c>
      <c r="M215" s="121">
        <f>IFERROR(VLOOKUP(B215,BD_CONTROL!$A$5:$M$4235,13,0),"")</f>
        <v>0</v>
      </c>
    </row>
    <row r="216" spans="1:13" ht="15" customHeight="1">
      <c r="A216" s="39">
        <v>211</v>
      </c>
      <c r="B216" s="39" t="s">
        <v>2719</v>
      </c>
      <c r="C216" s="40" t="s">
        <v>2720</v>
      </c>
      <c r="D216" s="39" t="s">
        <v>1530</v>
      </c>
      <c r="E216" s="40" t="s">
        <v>1582</v>
      </c>
      <c r="F216" s="40" t="s">
        <v>2721</v>
      </c>
      <c r="G216" s="39" t="s">
        <v>109</v>
      </c>
      <c r="H216" s="40" t="s">
        <v>1539</v>
      </c>
      <c r="I216" s="40" t="s">
        <v>104</v>
      </c>
      <c r="J216" s="50"/>
      <c r="K216" s="116" t="str">
        <f>IFERROR(VLOOKUP(B216,BD_CONTROL!$A$5:$M$4235,11,0),"")</f>
        <v>Instalado - Operando</v>
      </c>
      <c r="L216" s="117">
        <f>IFERROR(VLOOKUP(B216,BD_CONTROL!$A$5:$M$4235,12,0),"")</f>
        <v>46147</v>
      </c>
      <c r="M216" s="118">
        <f>IFERROR(VLOOKUP(B216,BD_CONTROL!$A$5:$M$4235,13,0),"")</f>
        <v>0</v>
      </c>
    </row>
    <row r="217" spans="1:13" ht="15" customHeight="1">
      <c r="A217" s="42">
        <v>212</v>
      </c>
      <c r="B217" s="42" t="s">
        <v>2722</v>
      </c>
      <c r="C217" s="43" t="s">
        <v>2723</v>
      </c>
      <c r="D217" s="42" t="s">
        <v>1530</v>
      </c>
      <c r="E217" s="43" t="s">
        <v>1660</v>
      </c>
      <c r="F217" s="43" t="s">
        <v>2724</v>
      </c>
      <c r="G217" s="42" t="s">
        <v>109</v>
      </c>
      <c r="H217" s="43" t="s">
        <v>1539</v>
      </c>
      <c r="I217" s="43" t="s">
        <v>104</v>
      </c>
      <c r="J217" s="55"/>
      <c r="K217" s="119">
        <f>IFERROR(VLOOKUP(B217,BD_CONTROL!$A$5:$M$4235,11,0),"")</f>
        <v>0</v>
      </c>
      <c r="L217" s="120">
        <f>IFERROR(VLOOKUP(B217,BD_CONTROL!$A$5:$M$4235,12,0),"")</f>
        <v>0</v>
      </c>
      <c r="M217" s="121">
        <f>IFERROR(VLOOKUP(B217,BD_CONTROL!$A$5:$M$4235,13,0),"")</f>
        <v>0</v>
      </c>
    </row>
    <row r="218" spans="1:13" ht="15" customHeight="1">
      <c r="A218" s="39">
        <v>213</v>
      </c>
      <c r="B218" s="39" t="s">
        <v>2725</v>
      </c>
      <c r="C218" s="40" t="s">
        <v>2726</v>
      </c>
      <c r="D218" s="39" t="s">
        <v>1530</v>
      </c>
      <c r="E218" s="40" t="s">
        <v>1537</v>
      </c>
      <c r="F218" s="40" t="s">
        <v>2727</v>
      </c>
      <c r="G218" s="39" t="s">
        <v>109</v>
      </c>
      <c r="H218" s="40" t="s">
        <v>1539</v>
      </c>
      <c r="I218" s="40" t="s">
        <v>104</v>
      </c>
      <c r="J218" s="50"/>
      <c r="K218" s="116">
        <f>IFERROR(VLOOKUP(B218,BD_CONTROL!$A$5:$M$4235,11,0),"")</f>
        <v>0</v>
      </c>
      <c r="L218" s="117">
        <f>IFERROR(VLOOKUP(B218,BD_CONTROL!$A$5:$M$4235,12,0),"")</f>
        <v>0</v>
      </c>
      <c r="M218" s="118">
        <f>IFERROR(VLOOKUP(B218,BD_CONTROL!$A$5:$M$4235,13,0),"")</f>
        <v>0</v>
      </c>
    </row>
    <row r="219" spans="1:13" ht="15" customHeight="1">
      <c r="A219" s="42">
        <v>214</v>
      </c>
      <c r="B219" s="42" t="s">
        <v>2728</v>
      </c>
      <c r="C219" s="43" t="s">
        <v>2729</v>
      </c>
      <c r="D219" s="42" t="s">
        <v>1530</v>
      </c>
      <c r="E219" s="43" t="s">
        <v>1586</v>
      </c>
      <c r="F219" s="43" t="s">
        <v>2730</v>
      </c>
      <c r="G219" s="42" t="s">
        <v>109</v>
      </c>
      <c r="H219" s="43" t="s">
        <v>1539</v>
      </c>
      <c r="I219" s="43" t="s">
        <v>104</v>
      </c>
      <c r="J219" s="55"/>
      <c r="K219" s="119">
        <f>IFERROR(VLOOKUP(B219,BD_CONTROL!$A$5:$M$4235,11,0),"")</f>
        <v>0</v>
      </c>
      <c r="L219" s="120">
        <f>IFERROR(VLOOKUP(B219,BD_CONTROL!$A$5:$M$4235,12,0),"")</f>
        <v>0</v>
      </c>
      <c r="M219" s="121">
        <f>IFERROR(VLOOKUP(B219,BD_CONTROL!$A$5:$M$4235,13,0),"")</f>
        <v>0</v>
      </c>
    </row>
    <row r="220" spans="1:13" ht="15" customHeight="1">
      <c r="A220" s="39">
        <v>215</v>
      </c>
      <c r="B220" s="39" t="s">
        <v>2731</v>
      </c>
      <c r="C220" s="40" t="s">
        <v>2732</v>
      </c>
      <c r="D220" s="39" t="s">
        <v>1530</v>
      </c>
      <c r="E220" s="40" t="s">
        <v>1586</v>
      </c>
      <c r="F220" s="40" t="s">
        <v>2733</v>
      </c>
      <c r="G220" s="39" t="s">
        <v>109</v>
      </c>
      <c r="H220" s="40" t="s">
        <v>1539</v>
      </c>
      <c r="I220" s="40" t="s">
        <v>104</v>
      </c>
      <c r="J220" s="50"/>
      <c r="K220" s="116">
        <f>IFERROR(VLOOKUP(B220,BD_CONTROL!$A$5:$M$4235,11,0),"")</f>
        <v>0</v>
      </c>
      <c r="L220" s="117">
        <f>IFERROR(VLOOKUP(B220,BD_CONTROL!$A$5:$M$4235,12,0),"")</f>
        <v>0</v>
      </c>
      <c r="M220" s="118">
        <f>IFERROR(VLOOKUP(B220,BD_CONTROL!$A$5:$M$4235,13,0),"")</f>
        <v>0</v>
      </c>
    </row>
    <row r="221" spans="1:13" ht="15" customHeight="1">
      <c r="A221" s="42">
        <v>216</v>
      </c>
      <c r="B221" s="42" t="s">
        <v>2745</v>
      </c>
      <c r="C221" s="43" t="s">
        <v>2746</v>
      </c>
      <c r="D221" s="42" t="s">
        <v>1530</v>
      </c>
      <c r="E221" s="43" t="s">
        <v>1546</v>
      </c>
      <c r="F221" s="43" t="s">
        <v>2747</v>
      </c>
      <c r="G221" s="42" t="s">
        <v>109</v>
      </c>
      <c r="H221" s="43" t="s">
        <v>1539</v>
      </c>
      <c r="I221" s="43" t="s">
        <v>104</v>
      </c>
      <c r="J221" s="55"/>
      <c r="K221" s="119">
        <f>IFERROR(VLOOKUP(B221,BD_CONTROL!$A$5:$M$4235,11,0),"")</f>
        <v>0</v>
      </c>
      <c r="L221" s="120">
        <f>IFERROR(VLOOKUP(B221,BD_CONTROL!$A$5:$M$4235,12,0),"")</f>
        <v>0</v>
      </c>
      <c r="M221" s="121">
        <f>IFERROR(VLOOKUP(B221,BD_CONTROL!$A$5:$M$4235,13,0),"")</f>
        <v>0</v>
      </c>
    </row>
    <row r="222" spans="1:13" ht="15" customHeight="1">
      <c r="A222" s="39">
        <v>217</v>
      </c>
      <c r="B222" s="39" t="s">
        <v>2748</v>
      </c>
      <c r="C222" s="40" t="s">
        <v>2749</v>
      </c>
      <c r="D222" s="39" t="s">
        <v>1530</v>
      </c>
      <c r="E222" s="40" t="s">
        <v>1546</v>
      </c>
      <c r="F222" s="40" t="s">
        <v>2134</v>
      </c>
      <c r="G222" s="39" t="s">
        <v>102</v>
      </c>
      <c r="H222" s="40" t="s">
        <v>1539</v>
      </c>
      <c r="I222" s="40" t="s">
        <v>104</v>
      </c>
      <c r="J222" s="50"/>
      <c r="K222" s="116">
        <f>IFERROR(VLOOKUP(B222,BD_CONTROL!$A$5:$M$4235,11,0),"")</f>
        <v>0</v>
      </c>
      <c r="L222" s="117">
        <f>IFERROR(VLOOKUP(B222,BD_CONTROL!$A$5:$M$4235,12,0),"")</f>
        <v>0</v>
      </c>
      <c r="M222" s="118">
        <f>IFERROR(VLOOKUP(B222,BD_CONTROL!$A$5:$M$4235,13,0),"")</f>
        <v>0</v>
      </c>
    </row>
    <row r="223" spans="1:13" ht="15" customHeight="1">
      <c r="A223" s="42">
        <v>218</v>
      </c>
      <c r="B223" s="42" t="s">
        <v>2750</v>
      </c>
      <c r="C223" s="43" t="s">
        <v>2751</v>
      </c>
      <c r="D223" s="42" t="s">
        <v>1530</v>
      </c>
      <c r="E223" s="43" t="s">
        <v>1546</v>
      </c>
      <c r="F223" s="43" t="s">
        <v>1546</v>
      </c>
      <c r="G223" s="42" t="s">
        <v>109</v>
      </c>
      <c r="H223" s="43" t="s">
        <v>1539</v>
      </c>
      <c r="I223" s="43" t="s">
        <v>104</v>
      </c>
      <c r="J223" s="55"/>
      <c r="K223" s="119">
        <f>IFERROR(VLOOKUP(B223,BD_CONTROL!$A$5:$M$4235,11,0),"")</f>
        <v>0</v>
      </c>
      <c r="L223" s="120">
        <f>IFERROR(VLOOKUP(B223,BD_CONTROL!$A$5:$M$4235,12,0),"")</f>
        <v>0</v>
      </c>
      <c r="M223" s="121">
        <f>IFERROR(VLOOKUP(B223,BD_CONTROL!$A$5:$M$4235,13,0),"")</f>
        <v>0</v>
      </c>
    </row>
    <row r="224" spans="1:13" ht="15" customHeight="1">
      <c r="A224" s="39">
        <v>219</v>
      </c>
      <c r="B224" s="39" t="s">
        <v>2752</v>
      </c>
      <c r="C224" s="40" t="s">
        <v>2753</v>
      </c>
      <c r="D224" s="39" t="s">
        <v>1530</v>
      </c>
      <c r="E224" s="40" t="s">
        <v>1546</v>
      </c>
      <c r="F224" s="40" t="s">
        <v>2134</v>
      </c>
      <c r="G224" s="39" t="s">
        <v>102</v>
      </c>
      <c r="H224" s="40" t="s">
        <v>1539</v>
      </c>
      <c r="I224" s="40" t="s">
        <v>104</v>
      </c>
      <c r="J224" s="50"/>
      <c r="K224" s="116">
        <f>IFERROR(VLOOKUP(B224,BD_CONTROL!$A$5:$M$4235,11,0),"")</f>
        <v>0</v>
      </c>
      <c r="L224" s="117">
        <f>IFERROR(VLOOKUP(B224,BD_CONTROL!$A$5:$M$4235,12,0),"")</f>
        <v>0</v>
      </c>
      <c r="M224" s="118">
        <f>IFERROR(VLOOKUP(B224,BD_CONTROL!$A$5:$M$4235,13,0),"")</f>
        <v>0</v>
      </c>
    </row>
    <row r="225" spans="1:13" ht="15" customHeight="1">
      <c r="A225" s="42">
        <v>220</v>
      </c>
      <c r="B225" s="42" t="s">
        <v>2754</v>
      </c>
      <c r="C225" s="43" t="s">
        <v>2755</v>
      </c>
      <c r="D225" s="42" t="s">
        <v>1530</v>
      </c>
      <c r="E225" s="43" t="s">
        <v>1676</v>
      </c>
      <c r="F225" s="43" t="s">
        <v>2756</v>
      </c>
      <c r="G225" s="42" t="s">
        <v>109</v>
      </c>
      <c r="H225" s="43" t="s">
        <v>1539</v>
      </c>
      <c r="I225" s="43" t="s">
        <v>104</v>
      </c>
      <c r="J225" s="55"/>
      <c r="K225" s="119">
        <f>IFERROR(VLOOKUP(B225,BD_CONTROL!$A$5:$M$4235,11,0),"")</f>
        <v>0</v>
      </c>
      <c r="L225" s="120">
        <f>IFERROR(VLOOKUP(B225,BD_CONTROL!$A$5:$M$4235,12,0),"")</f>
        <v>0</v>
      </c>
      <c r="M225" s="121">
        <f>IFERROR(VLOOKUP(B225,BD_CONTROL!$A$5:$M$4235,13,0),"")</f>
        <v>0</v>
      </c>
    </row>
    <row r="226" spans="1:13" ht="15" customHeight="1">
      <c r="A226" s="39">
        <v>221</v>
      </c>
      <c r="B226" s="39" t="s">
        <v>2760</v>
      </c>
      <c r="C226" s="40" t="s">
        <v>2761</v>
      </c>
      <c r="D226" s="39" t="s">
        <v>1530</v>
      </c>
      <c r="E226" s="40" t="s">
        <v>563</v>
      </c>
      <c r="F226" s="40" t="s">
        <v>2762</v>
      </c>
      <c r="G226" s="39" t="s">
        <v>109</v>
      </c>
      <c r="H226" s="40" t="s">
        <v>1539</v>
      </c>
      <c r="I226" s="40" t="s">
        <v>104</v>
      </c>
      <c r="J226" s="50"/>
      <c r="K226" s="116">
        <f>IFERROR(VLOOKUP(B226,BD_CONTROL!$A$5:$M$4235,11,0),"")</f>
        <v>0</v>
      </c>
      <c r="L226" s="117">
        <f>IFERROR(VLOOKUP(B226,BD_CONTROL!$A$5:$M$4235,12,0),"")</f>
        <v>0</v>
      </c>
      <c r="M226" s="118">
        <f>IFERROR(VLOOKUP(B226,BD_CONTROL!$A$5:$M$4235,13,0),"")</f>
        <v>0</v>
      </c>
    </row>
    <row r="227" spans="1:13" ht="15" customHeight="1">
      <c r="A227" s="42">
        <v>222</v>
      </c>
      <c r="B227" s="42" t="s">
        <v>2783</v>
      </c>
      <c r="C227" s="43" t="s">
        <v>2784</v>
      </c>
      <c r="D227" s="42" t="s">
        <v>1530</v>
      </c>
      <c r="E227" s="43" t="s">
        <v>1530</v>
      </c>
      <c r="F227" s="43" t="s">
        <v>2785</v>
      </c>
      <c r="G227" s="42" t="s">
        <v>109</v>
      </c>
      <c r="H227" s="43" t="s">
        <v>1539</v>
      </c>
      <c r="I227" s="43" t="s">
        <v>104</v>
      </c>
      <c r="J227" s="55"/>
      <c r="K227" s="119">
        <f>IFERROR(VLOOKUP(B227,BD_CONTROL!$A$5:$M$4235,11,0),"")</f>
        <v>0</v>
      </c>
      <c r="L227" s="120">
        <f>IFERROR(VLOOKUP(B227,BD_CONTROL!$A$5:$M$4235,12,0),"")</f>
        <v>0</v>
      </c>
      <c r="M227" s="121">
        <f>IFERROR(VLOOKUP(B227,BD_CONTROL!$A$5:$M$4235,13,0),"")</f>
        <v>0</v>
      </c>
    </row>
    <row r="228" spans="1:13" ht="15" customHeight="1">
      <c r="A228" s="39">
        <v>223</v>
      </c>
      <c r="B228" s="39" t="s">
        <v>2786</v>
      </c>
      <c r="C228" s="40" t="s">
        <v>2787</v>
      </c>
      <c r="D228" s="39" t="s">
        <v>1530</v>
      </c>
      <c r="E228" s="40" t="s">
        <v>2355</v>
      </c>
      <c r="F228" s="40" t="s">
        <v>2788</v>
      </c>
      <c r="G228" s="39" t="s">
        <v>109</v>
      </c>
      <c r="H228" s="40" t="s">
        <v>1539</v>
      </c>
      <c r="I228" s="40" t="s">
        <v>104</v>
      </c>
      <c r="J228" s="50"/>
      <c r="K228" s="116">
        <f>IFERROR(VLOOKUP(B228,BD_CONTROL!$A$5:$M$4235,11,0),"")</f>
        <v>0</v>
      </c>
      <c r="L228" s="117">
        <f>IFERROR(VLOOKUP(B228,BD_CONTROL!$A$5:$M$4235,12,0),"")</f>
        <v>0</v>
      </c>
      <c r="M228" s="118">
        <f>IFERROR(VLOOKUP(B228,BD_CONTROL!$A$5:$M$4235,13,0),"")</f>
        <v>0</v>
      </c>
    </row>
    <row r="229" spans="1:13" ht="15" customHeight="1">
      <c r="A229" s="42">
        <v>224</v>
      </c>
      <c r="B229" s="42" t="s">
        <v>2789</v>
      </c>
      <c r="C229" s="43" t="s">
        <v>2790</v>
      </c>
      <c r="D229" s="42" t="s">
        <v>1530</v>
      </c>
      <c r="E229" s="43" t="s">
        <v>1542</v>
      </c>
      <c r="F229" s="43" t="s">
        <v>1781</v>
      </c>
      <c r="G229" s="42" t="s">
        <v>109</v>
      </c>
      <c r="H229" s="43" t="s">
        <v>1539</v>
      </c>
      <c r="I229" s="43" t="s">
        <v>104</v>
      </c>
      <c r="J229" s="55"/>
      <c r="K229" s="119">
        <f>IFERROR(VLOOKUP(B229,BD_CONTROL!$A$5:$M$4235,11,0),"")</f>
        <v>0</v>
      </c>
      <c r="L229" s="120">
        <f>IFERROR(VLOOKUP(B229,BD_CONTROL!$A$5:$M$4235,12,0),"")</f>
        <v>0</v>
      </c>
      <c r="M229" s="121">
        <f>IFERROR(VLOOKUP(B229,BD_CONTROL!$A$5:$M$4235,13,0),"")</f>
        <v>0</v>
      </c>
    </row>
    <row r="230" spans="1:13" ht="15" customHeight="1">
      <c r="A230" s="39">
        <v>225</v>
      </c>
      <c r="B230" s="39" t="s">
        <v>2791</v>
      </c>
      <c r="C230" s="40" t="s">
        <v>2792</v>
      </c>
      <c r="D230" s="39" t="s">
        <v>1530</v>
      </c>
      <c r="E230" s="40" t="s">
        <v>1537</v>
      </c>
      <c r="F230" s="40" t="s">
        <v>1537</v>
      </c>
      <c r="G230" s="39" t="s">
        <v>102</v>
      </c>
      <c r="H230" s="40" t="s">
        <v>1539</v>
      </c>
      <c r="I230" s="40" t="s">
        <v>104</v>
      </c>
      <c r="J230" s="50"/>
      <c r="K230" s="116">
        <f>IFERROR(VLOOKUP(B230,BD_CONTROL!$A$5:$M$4235,11,0),"")</f>
        <v>0</v>
      </c>
      <c r="L230" s="117">
        <f>IFERROR(VLOOKUP(B230,BD_CONTROL!$A$5:$M$4235,12,0),"")</f>
        <v>0</v>
      </c>
      <c r="M230" s="118">
        <f>IFERROR(VLOOKUP(B230,BD_CONTROL!$A$5:$M$4235,13,0),"")</f>
        <v>0</v>
      </c>
    </row>
    <row r="231" spans="1:13" ht="15" customHeight="1">
      <c r="A231" s="42">
        <v>226</v>
      </c>
      <c r="B231" s="42" t="s">
        <v>2798</v>
      </c>
      <c r="C231" s="43" t="s">
        <v>2799</v>
      </c>
      <c r="D231" s="42" t="s">
        <v>1530</v>
      </c>
      <c r="E231" s="43" t="s">
        <v>1586</v>
      </c>
      <c r="F231" s="43" t="s">
        <v>2800</v>
      </c>
      <c r="G231" s="42" t="s">
        <v>109</v>
      </c>
      <c r="H231" s="43" t="s">
        <v>1539</v>
      </c>
      <c r="I231" s="43" t="s">
        <v>104</v>
      </c>
      <c r="J231" s="55"/>
      <c r="K231" s="119" t="str">
        <f>IFERROR(VLOOKUP(B231,BD_CONTROL!$A$5:$M$4235,11,0),"")</f>
        <v>Instalado - Operando</v>
      </c>
      <c r="L231" s="120">
        <f>IFERROR(VLOOKUP(B231,BD_CONTROL!$A$5:$M$4235,12,0),"")</f>
        <v>46148</v>
      </c>
      <c r="M231" s="121">
        <f>IFERROR(VLOOKUP(B231,BD_CONTROL!$A$5:$M$4235,13,0),"")</f>
        <v>0</v>
      </c>
    </row>
    <row r="232" spans="1:13" ht="15" customHeight="1">
      <c r="A232" s="39">
        <v>227</v>
      </c>
      <c r="B232" s="39" t="s">
        <v>2801</v>
      </c>
      <c r="C232" s="40" t="s">
        <v>2802</v>
      </c>
      <c r="D232" s="39" t="s">
        <v>1530</v>
      </c>
      <c r="E232" s="40" t="s">
        <v>1676</v>
      </c>
      <c r="F232" s="40" t="s">
        <v>2803</v>
      </c>
      <c r="G232" s="39" t="s">
        <v>109</v>
      </c>
      <c r="H232" s="40" t="s">
        <v>1539</v>
      </c>
      <c r="I232" s="40" t="s">
        <v>104</v>
      </c>
      <c r="J232" s="50"/>
      <c r="K232" s="116">
        <f>IFERROR(VLOOKUP(B232,BD_CONTROL!$A$5:$M$4235,11,0),"")</f>
        <v>0</v>
      </c>
      <c r="L232" s="117">
        <f>IFERROR(VLOOKUP(B232,BD_CONTROL!$A$5:$M$4235,12,0),"")</f>
        <v>0</v>
      </c>
      <c r="M232" s="118">
        <f>IFERROR(VLOOKUP(B232,BD_CONTROL!$A$5:$M$4235,13,0),"")</f>
        <v>0</v>
      </c>
    </row>
    <row r="233" spans="1:13" ht="15" customHeight="1">
      <c r="A233" s="42">
        <v>228</v>
      </c>
      <c r="B233" s="42" t="s">
        <v>2817</v>
      </c>
      <c r="C233" s="43" t="s">
        <v>2818</v>
      </c>
      <c r="D233" s="42" t="s">
        <v>1530</v>
      </c>
      <c r="E233" s="43" t="s">
        <v>1546</v>
      </c>
      <c r="F233" s="43" t="s">
        <v>1546</v>
      </c>
      <c r="G233" s="42" t="s">
        <v>109</v>
      </c>
      <c r="H233" s="43" t="s">
        <v>1539</v>
      </c>
      <c r="I233" s="43" t="s">
        <v>104</v>
      </c>
      <c r="J233" s="55"/>
      <c r="K233" s="119">
        <f>IFERROR(VLOOKUP(B233,BD_CONTROL!$A$5:$M$4235,11,0),"")</f>
        <v>0</v>
      </c>
      <c r="L233" s="120">
        <f>IFERROR(VLOOKUP(B233,BD_CONTROL!$A$5:$M$4235,12,0),"")</f>
        <v>0</v>
      </c>
      <c r="M233" s="121">
        <f>IFERROR(VLOOKUP(B233,BD_CONTROL!$A$5:$M$4235,13,0),"")</f>
        <v>0</v>
      </c>
    </row>
    <row r="234" spans="1:13" ht="15" customHeight="1">
      <c r="A234" s="39">
        <v>229</v>
      </c>
      <c r="B234" s="39" t="s">
        <v>2824</v>
      </c>
      <c r="C234" s="40" t="s">
        <v>2825</v>
      </c>
      <c r="D234" s="39" t="s">
        <v>1530</v>
      </c>
      <c r="E234" s="40" t="s">
        <v>1530</v>
      </c>
      <c r="F234" s="40" t="s">
        <v>2826</v>
      </c>
      <c r="G234" s="39" t="s">
        <v>109</v>
      </c>
      <c r="H234" s="40" t="s">
        <v>1539</v>
      </c>
      <c r="I234" s="40" t="s">
        <v>104</v>
      </c>
      <c r="J234" s="50"/>
      <c r="K234" s="116">
        <f>IFERROR(VLOOKUP(B234,BD_CONTROL!$A$5:$M$4235,11,0),"")</f>
        <v>0</v>
      </c>
      <c r="L234" s="117">
        <f>IFERROR(VLOOKUP(B234,BD_CONTROL!$A$5:$M$4235,12,0),"")</f>
        <v>0</v>
      </c>
      <c r="M234" s="118">
        <f>IFERROR(VLOOKUP(B234,BD_CONTROL!$A$5:$M$4235,13,0),"")</f>
        <v>0</v>
      </c>
    </row>
    <row r="235" spans="1:13" ht="15" customHeight="1">
      <c r="A235" s="42">
        <v>230</v>
      </c>
      <c r="B235" s="42" t="s">
        <v>2831</v>
      </c>
      <c r="C235" s="43" t="s">
        <v>2832</v>
      </c>
      <c r="D235" s="42" t="s">
        <v>1530</v>
      </c>
      <c r="E235" s="43" t="s">
        <v>563</v>
      </c>
      <c r="F235" s="43" t="s">
        <v>2833</v>
      </c>
      <c r="G235" s="42" t="s">
        <v>109</v>
      </c>
      <c r="H235" s="43" t="s">
        <v>1539</v>
      </c>
      <c r="I235" s="43" t="s">
        <v>104</v>
      </c>
      <c r="J235" s="55"/>
      <c r="K235" s="119">
        <f>IFERROR(VLOOKUP(B235,BD_CONTROL!$A$5:$M$4235,11,0),"")</f>
        <v>0</v>
      </c>
      <c r="L235" s="120">
        <f>IFERROR(VLOOKUP(B235,BD_CONTROL!$A$5:$M$4235,12,0),"")</f>
        <v>0</v>
      </c>
      <c r="M235" s="121">
        <f>IFERROR(VLOOKUP(B235,BD_CONTROL!$A$5:$M$4235,13,0),"")</f>
        <v>0</v>
      </c>
    </row>
    <row r="236" spans="1:13" ht="15" customHeight="1">
      <c r="A236" s="39">
        <v>231</v>
      </c>
      <c r="B236" s="39" t="s">
        <v>2836</v>
      </c>
      <c r="C236" s="40" t="s">
        <v>1337</v>
      </c>
      <c r="D236" s="39" t="s">
        <v>1530</v>
      </c>
      <c r="E236" s="40" t="s">
        <v>2355</v>
      </c>
      <c r="F236" s="40" t="s">
        <v>2355</v>
      </c>
      <c r="G236" s="39" t="s">
        <v>102</v>
      </c>
      <c r="H236" s="40" t="s">
        <v>1539</v>
      </c>
      <c r="I236" s="40" t="s">
        <v>104</v>
      </c>
      <c r="J236" s="50"/>
      <c r="K236" s="116">
        <f>IFERROR(VLOOKUP(B236,BD_CONTROL!$A$5:$M$4235,11,0),"")</f>
        <v>0</v>
      </c>
      <c r="L236" s="117">
        <f>IFERROR(VLOOKUP(B236,BD_CONTROL!$A$5:$M$4235,12,0),"")</f>
        <v>0</v>
      </c>
      <c r="M236" s="118">
        <f>IFERROR(VLOOKUP(B236,BD_CONTROL!$A$5:$M$4235,13,0),"")</f>
        <v>0</v>
      </c>
    </row>
    <row r="237" spans="1:13" ht="15" customHeight="1">
      <c r="A237" s="42">
        <v>232</v>
      </c>
      <c r="B237" s="42" t="s">
        <v>2842</v>
      </c>
      <c r="C237" s="43" t="s">
        <v>2843</v>
      </c>
      <c r="D237" s="42" t="s">
        <v>1530</v>
      </c>
      <c r="E237" s="43" t="s">
        <v>1546</v>
      </c>
      <c r="F237" s="43" t="s">
        <v>1546</v>
      </c>
      <c r="G237" s="42" t="s">
        <v>102</v>
      </c>
      <c r="H237" s="43" t="s">
        <v>1539</v>
      </c>
      <c r="I237" s="43" t="s">
        <v>104</v>
      </c>
      <c r="J237" s="55"/>
      <c r="K237" s="119">
        <f>IFERROR(VLOOKUP(B237,BD_CONTROL!$A$5:$M$4235,11,0),"")</f>
        <v>0</v>
      </c>
      <c r="L237" s="120">
        <f>IFERROR(VLOOKUP(B237,BD_CONTROL!$A$5:$M$4235,12,0),"")</f>
        <v>0</v>
      </c>
      <c r="M237" s="121">
        <f>IFERROR(VLOOKUP(B237,BD_CONTROL!$A$5:$M$4235,13,0),"")</f>
        <v>0</v>
      </c>
    </row>
    <row r="238" spans="1:13" ht="15" customHeight="1">
      <c r="A238" s="39">
        <v>233</v>
      </c>
      <c r="B238" s="39" t="s">
        <v>2851</v>
      </c>
      <c r="C238" s="40" t="s">
        <v>2852</v>
      </c>
      <c r="D238" s="39" t="s">
        <v>1530</v>
      </c>
      <c r="E238" s="40" t="s">
        <v>320</v>
      </c>
      <c r="F238" s="40" t="s">
        <v>1831</v>
      </c>
      <c r="G238" s="39" t="s">
        <v>109</v>
      </c>
      <c r="H238" s="40" t="s">
        <v>1539</v>
      </c>
      <c r="I238" s="40" t="s">
        <v>104</v>
      </c>
      <c r="J238" s="50"/>
      <c r="K238" s="116">
        <f>IFERROR(VLOOKUP(B238,BD_CONTROL!$A$5:$M$4235,11,0),"")</f>
        <v>0</v>
      </c>
      <c r="L238" s="117">
        <f>IFERROR(VLOOKUP(B238,BD_CONTROL!$A$5:$M$4235,12,0),"")</f>
        <v>0</v>
      </c>
      <c r="M238" s="118">
        <f>IFERROR(VLOOKUP(B238,BD_CONTROL!$A$5:$M$4235,13,0),"")</f>
        <v>0</v>
      </c>
    </row>
    <row r="239" spans="1:13" ht="15" customHeight="1">
      <c r="A239" s="42">
        <v>234</v>
      </c>
      <c r="B239" s="42" t="s">
        <v>2853</v>
      </c>
      <c r="C239" s="43" t="s">
        <v>2854</v>
      </c>
      <c r="D239" s="42" t="s">
        <v>1530</v>
      </c>
      <c r="E239" s="43" t="s">
        <v>1542</v>
      </c>
      <c r="F239" s="43" t="s">
        <v>2285</v>
      </c>
      <c r="G239" s="42" t="s">
        <v>102</v>
      </c>
      <c r="H239" s="43" t="s">
        <v>1539</v>
      </c>
      <c r="I239" s="43" t="s">
        <v>104</v>
      </c>
      <c r="J239" s="55"/>
      <c r="K239" s="119">
        <f>IFERROR(VLOOKUP(B239,BD_CONTROL!$A$5:$M$4235,11,0),"")</f>
        <v>0</v>
      </c>
      <c r="L239" s="120">
        <f>IFERROR(VLOOKUP(B239,BD_CONTROL!$A$5:$M$4235,12,0),"")</f>
        <v>0</v>
      </c>
      <c r="M239" s="121">
        <f>IFERROR(VLOOKUP(B239,BD_CONTROL!$A$5:$M$4235,13,0),"")</f>
        <v>0</v>
      </c>
    </row>
    <row r="240" spans="1:13" ht="15" customHeight="1">
      <c r="A240" s="39">
        <v>235</v>
      </c>
      <c r="B240" s="39" t="s">
        <v>2855</v>
      </c>
      <c r="C240" s="40" t="s">
        <v>2856</v>
      </c>
      <c r="D240" s="39" t="s">
        <v>1530</v>
      </c>
      <c r="E240" s="40" t="s">
        <v>1546</v>
      </c>
      <c r="F240" s="40" t="s">
        <v>2857</v>
      </c>
      <c r="G240" s="39" t="s">
        <v>109</v>
      </c>
      <c r="H240" s="40" t="s">
        <v>1539</v>
      </c>
      <c r="I240" s="40" t="s">
        <v>104</v>
      </c>
      <c r="J240" s="50"/>
      <c r="K240" s="116">
        <f>IFERROR(VLOOKUP(B240,BD_CONTROL!$A$5:$M$4235,11,0),"")</f>
        <v>0</v>
      </c>
      <c r="L240" s="117">
        <f>IFERROR(VLOOKUP(B240,BD_CONTROL!$A$5:$M$4235,12,0),"")</f>
        <v>0</v>
      </c>
      <c r="M240" s="118">
        <f>IFERROR(VLOOKUP(B240,BD_CONTROL!$A$5:$M$4235,13,0),"")</f>
        <v>0</v>
      </c>
    </row>
    <row r="241" spans="1:13" ht="15" customHeight="1">
      <c r="A241" s="42">
        <v>236</v>
      </c>
      <c r="B241" s="42" t="s">
        <v>2858</v>
      </c>
      <c r="C241" s="43" t="s">
        <v>2859</v>
      </c>
      <c r="D241" s="42" t="s">
        <v>1530</v>
      </c>
      <c r="E241" s="43" t="s">
        <v>1546</v>
      </c>
      <c r="F241" s="43" t="s">
        <v>2860</v>
      </c>
      <c r="G241" s="42" t="s">
        <v>102</v>
      </c>
      <c r="H241" s="43" t="s">
        <v>1539</v>
      </c>
      <c r="I241" s="43" t="s">
        <v>104</v>
      </c>
      <c r="J241" s="55"/>
      <c r="K241" s="119">
        <f>IFERROR(VLOOKUP(B241,BD_CONTROL!$A$5:$M$4235,11,0),"")</f>
        <v>0</v>
      </c>
      <c r="L241" s="120">
        <f>IFERROR(VLOOKUP(B241,BD_CONTROL!$A$5:$M$4235,12,0),"")</f>
        <v>0</v>
      </c>
      <c r="M241" s="121">
        <f>IFERROR(VLOOKUP(B241,BD_CONTROL!$A$5:$M$4235,13,0),"")</f>
        <v>0</v>
      </c>
    </row>
    <row r="242" spans="1:13" ht="15" customHeight="1">
      <c r="A242" s="39">
        <v>237</v>
      </c>
      <c r="B242" s="39" t="s">
        <v>2861</v>
      </c>
      <c r="C242" s="40" t="s">
        <v>2862</v>
      </c>
      <c r="D242" s="39" t="s">
        <v>1530</v>
      </c>
      <c r="E242" s="40" t="s">
        <v>1546</v>
      </c>
      <c r="F242" s="40" t="s">
        <v>1546</v>
      </c>
      <c r="G242" s="39" t="s">
        <v>102</v>
      </c>
      <c r="H242" s="40" t="s">
        <v>1539</v>
      </c>
      <c r="I242" s="40" t="s">
        <v>104</v>
      </c>
      <c r="J242" s="50"/>
      <c r="K242" s="116" t="str">
        <f>IFERROR(VLOOKUP(B242,BD_CONTROL!$A$5:$M$4235,11,0),"")</f>
        <v>Instalado - Operando</v>
      </c>
      <c r="L242" s="117">
        <f>IFERROR(VLOOKUP(B242,BD_CONTROL!$A$5:$M$4235,12,0),"")</f>
        <v>46148</v>
      </c>
      <c r="M242" s="118">
        <f>IFERROR(VLOOKUP(B242,BD_CONTROL!$A$5:$M$4235,13,0),"")</f>
        <v>0</v>
      </c>
    </row>
    <row r="243" spans="1:13" ht="15" customHeight="1">
      <c r="A243" s="42">
        <v>238</v>
      </c>
      <c r="B243" s="42" t="s">
        <v>2863</v>
      </c>
      <c r="C243" s="43" t="s">
        <v>2864</v>
      </c>
      <c r="D243" s="42" t="s">
        <v>1530</v>
      </c>
      <c r="E243" s="43" t="s">
        <v>1546</v>
      </c>
      <c r="F243" s="43" t="s">
        <v>2865</v>
      </c>
      <c r="G243" s="42" t="s">
        <v>109</v>
      </c>
      <c r="H243" s="43" t="s">
        <v>1539</v>
      </c>
      <c r="I243" s="43" t="s">
        <v>104</v>
      </c>
      <c r="J243" s="55"/>
      <c r="K243" s="119">
        <f>IFERROR(VLOOKUP(B243,BD_CONTROL!$A$5:$M$4235,11,0),"")</f>
        <v>0</v>
      </c>
      <c r="L243" s="120">
        <f>IFERROR(VLOOKUP(B243,BD_CONTROL!$A$5:$M$4235,12,0),"")</f>
        <v>0</v>
      </c>
      <c r="M243" s="121">
        <f>IFERROR(VLOOKUP(B243,BD_CONTROL!$A$5:$M$4235,13,0),"")</f>
        <v>0</v>
      </c>
    </row>
    <row r="244" spans="1:13" ht="15" customHeight="1">
      <c r="A244" s="39">
        <v>239</v>
      </c>
      <c r="B244" s="39" t="s">
        <v>2866</v>
      </c>
      <c r="C244" s="40" t="s">
        <v>2867</v>
      </c>
      <c r="D244" s="39" t="s">
        <v>1530</v>
      </c>
      <c r="E244" s="40" t="s">
        <v>1546</v>
      </c>
      <c r="F244" s="40" t="s">
        <v>1546</v>
      </c>
      <c r="G244" s="39" t="s">
        <v>102</v>
      </c>
      <c r="H244" s="40" t="s">
        <v>1539</v>
      </c>
      <c r="I244" s="40" t="s">
        <v>104</v>
      </c>
      <c r="J244" s="50"/>
      <c r="K244" s="116" t="str">
        <f>IFERROR(VLOOKUP(B244,BD_CONTROL!$A$5:$M$4235,11,0),"")</f>
        <v>Instalado - Operando</v>
      </c>
      <c r="L244" s="117">
        <f>IFERROR(VLOOKUP(B244,BD_CONTROL!$A$5:$M$4235,12,0),"")</f>
        <v>46150</v>
      </c>
      <c r="M244" s="118">
        <f>IFERROR(VLOOKUP(B244,BD_CONTROL!$A$5:$M$4235,13,0),"")</f>
        <v>0</v>
      </c>
    </row>
    <row r="245" spans="1:13" ht="15" customHeight="1">
      <c r="A245" s="42">
        <v>240</v>
      </c>
      <c r="B245" s="42" t="s">
        <v>2871</v>
      </c>
      <c r="C245" s="43" t="s">
        <v>2872</v>
      </c>
      <c r="D245" s="42" t="s">
        <v>1530</v>
      </c>
      <c r="E245" s="43" t="s">
        <v>1537</v>
      </c>
      <c r="F245" s="43" t="s">
        <v>2191</v>
      </c>
      <c r="G245" s="42" t="s">
        <v>109</v>
      </c>
      <c r="H245" s="43" t="s">
        <v>1539</v>
      </c>
      <c r="I245" s="43" t="s">
        <v>104</v>
      </c>
      <c r="J245" s="55"/>
      <c r="K245" s="119">
        <f>IFERROR(VLOOKUP(B245,BD_CONTROL!$A$5:$M$4235,11,0),"")</f>
        <v>0</v>
      </c>
      <c r="L245" s="120">
        <f>IFERROR(VLOOKUP(B245,BD_CONTROL!$A$5:$M$4235,12,0),"")</f>
        <v>0</v>
      </c>
      <c r="M245" s="121">
        <f>IFERROR(VLOOKUP(B245,BD_CONTROL!$A$5:$M$4235,13,0),"")</f>
        <v>0</v>
      </c>
    </row>
    <row r="246" spans="1:13" ht="15" customHeight="1">
      <c r="A246" s="39">
        <v>241</v>
      </c>
      <c r="B246" s="39" t="s">
        <v>2876</v>
      </c>
      <c r="C246" s="40" t="s">
        <v>2256</v>
      </c>
      <c r="D246" s="39" t="s">
        <v>1530</v>
      </c>
      <c r="E246" s="40" t="s">
        <v>1542</v>
      </c>
      <c r="F246" s="40" t="s">
        <v>1542</v>
      </c>
      <c r="G246" s="39" t="s">
        <v>109</v>
      </c>
      <c r="H246" s="40" t="s">
        <v>1539</v>
      </c>
      <c r="I246" s="40" t="s">
        <v>104</v>
      </c>
      <c r="J246" s="50"/>
      <c r="K246" s="116">
        <f>IFERROR(VLOOKUP(B246,BD_CONTROL!$A$5:$M$4235,11,0),"")</f>
        <v>0</v>
      </c>
      <c r="L246" s="117">
        <f>IFERROR(VLOOKUP(B246,BD_CONTROL!$A$5:$M$4235,12,0),"")</f>
        <v>0</v>
      </c>
      <c r="M246" s="118">
        <f>IFERROR(VLOOKUP(B246,BD_CONTROL!$A$5:$M$4235,13,0),"")</f>
        <v>0</v>
      </c>
    </row>
    <row r="247" spans="1:13" ht="15" customHeight="1">
      <c r="A247" s="42">
        <v>242</v>
      </c>
      <c r="B247" s="42" t="s">
        <v>2877</v>
      </c>
      <c r="C247" s="43" t="s">
        <v>2878</v>
      </c>
      <c r="D247" s="42" t="s">
        <v>1530</v>
      </c>
      <c r="E247" s="43" t="s">
        <v>1546</v>
      </c>
      <c r="F247" s="43" t="s">
        <v>2879</v>
      </c>
      <c r="G247" s="42" t="s">
        <v>102</v>
      </c>
      <c r="H247" s="43" t="s">
        <v>1539</v>
      </c>
      <c r="I247" s="43" t="s">
        <v>104</v>
      </c>
      <c r="J247" s="55"/>
      <c r="K247" s="119">
        <f>IFERROR(VLOOKUP(B247,BD_CONTROL!$A$5:$M$4235,11,0),"")</f>
        <v>0</v>
      </c>
      <c r="L247" s="120">
        <f>IFERROR(VLOOKUP(B247,BD_CONTROL!$A$5:$M$4235,12,0),"")</f>
        <v>0</v>
      </c>
      <c r="M247" s="121">
        <f>IFERROR(VLOOKUP(B247,BD_CONTROL!$A$5:$M$4235,13,0),"")</f>
        <v>0</v>
      </c>
    </row>
    <row r="248" spans="1:13" ht="15" customHeight="1">
      <c r="A248" s="39">
        <v>243</v>
      </c>
      <c r="B248" s="39" t="s">
        <v>2882</v>
      </c>
      <c r="C248" s="40" t="s">
        <v>2883</v>
      </c>
      <c r="D248" s="39" t="s">
        <v>1530</v>
      </c>
      <c r="E248" s="40" t="s">
        <v>320</v>
      </c>
      <c r="F248" s="40" t="s">
        <v>2680</v>
      </c>
      <c r="G248" s="39" t="s">
        <v>109</v>
      </c>
      <c r="H248" s="40" t="s">
        <v>1539</v>
      </c>
      <c r="I248" s="40" t="s">
        <v>104</v>
      </c>
      <c r="J248" s="50"/>
      <c r="K248" s="116">
        <f>IFERROR(VLOOKUP(B248,BD_CONTROL!$A$5:$M$4235,11,0),"")</f>
        <v>0</v>
      </c>
      <c r="L248" s="117">
        <f>IFERROR(VLOOKUP(B248,BD_CONTROL!$A$5:$M$4235,12,0),"")</f>
        <v>0</v>
      </c>
      <c r="M248" s="118">
        <f>IFERROR(VLOOKUP(B248,BD_CONTROL!$A$5:$M$4235,13,0),"")</f>
        <v>0</v>
      </c>
    </row>
    <row r="249" spans="1:13" ht="15" customHeight="1">
      <c r="A249" s="42">
        <v>244</v>
      </c>
      <c r="B249" s="42" t="s">
        <v>2884</v>
      </c>
      <c r="C249" s="43" t="s">
        <v>2885</v>
      </c>
      <c r="D249" s="42" t="s">
        <v>1530</v>
      </c>
      <c r="E249" s="43" t="s">
        <v>320</v>
      </c>
      <c r="F249" s="43" t="s">
        <v>2886</v>
      </c>
      <c r="G249" s="42" t="s">
        <v>109</v>
      </c>
      <c r="H249" s="43" t="s">
        <v>1539</v>
      </c>
      <c r="I249" s="43" t="s">
        <v>104</v>
      </c>
      <c r="J249" s="55"/>
      <c r="K249" s="119">
        <f>IFERROR(VLOOKUP(B249,BD_CONTROL!$A$5:$M$4235,11,0),"")</f>
        <v>0</v>
      </c>
      <c r="L249" s="120">
        <f>IFERROR(VLOOKUP(B249,BD_CONTROL!$A$5:$M$4235,12,0),"")</f>
        <v>0</v>
      </c>
      <c r="M249" s="121">
        <f>IFERROR(VLOOKUP(B249,BD_CONTROL!$A$5:$M$4235,13,0),"")</f>
        <v>0</v>
      </c>
    </row>
    <row r="250" spans="1:13" ht="15" customHeight="1">
      <c r="A250" s="39">
        <v>245</v>
      </c>
      <c r="B250" s="39" t="s">
        <v>2887</v>
      </c>
      <c r="C250" s="40" t="s">
        <v>2888</v>
      </c>
      <c r="D250" s="39" t="s">
        <v>1530</v>
      </c>
      <c r="E250" s="40" t="s">
        <v>1546</v>
      </c>
      <c r="F250" s="40" t="s">
        <v>2052</v>
      </c>
      <c r="G250" s="39" t="s">
        <v>109</v>
      </c>
      <c r="H250" s="40" t="s">
        <v>1539</v>
      </c>
      <c r="I250" s="40" t="s">
        <v>104</v>
      </c>
      <c r="J250" s="50"/>
      <c r="K250" s="116">
        <f>IFERROR(VLOOKUP(B250,BD_CONTROL!$A$5:$M$4235,11,0),"")</f>
        <v>0</v>
      </c>
      <c r="L250" s="117">
        <f>IFERROR(VLOOKUP(B250,BD_CONTROL!$A$5:$M$4235,12,0),"")</f>
        <v>0</v>
      </c>
      <c r="M250" s="118">
        <f>IFERROR(VLOOKUP(B250,BD_CONTROL!$A$5:$M$4235,13,0),"")</f>
        <v>0</v>
      </c>
    </row>
    <row r="251" spans="1:13" ht="15" customHeight="1">
      <c r="A251" s="42">
        <v>246</v>
      </c>
      <c r="B251" s="42" t="s">
        <v>2889</v>
      </c>
      <c r="C251" s="43" t="s">
        <v>2890</v>
      </c>
      <c r="D251" s="42" t="s">
        <v>1530</v>
      </c>
      <c r="E251" s="43" t="s">
        <v>1546</v>
      </c>
      <c r="F251" s="43" t="s">
        <v>2221</v>
      </c>
      <c r="G251" s="42" t="s">
        <v>109</v>
      </c>
      <c r="H251" s="43" t="s">
        <v>1539</v>
      </c>
      <c r="I251" s="43" t="s">
        <v>104</v>
      </c>
      <c r="J251" s="55"/>
      <c r="K251" s="119">
        <f>IFERROR(VLOOKUP(B251,BD_CONTROL!$A$5:$M$4235,11,0),"")</f>
        <v>0</v>
      </c>
      <c r="L251" s="120">
        <f>IFERROR(VLOOKUP(B251,BD_CONTROL!$A$5:$M$4235,12,0),"")</f>
        <v>0</v>
      </c>
      <c r="M251" s="121">
        <f>IFERROR(VLOOKUP(B251,BD_CONTROL!$A$5:$M$4235,13,0),"")</f>
        <v>0</v>
      </c>
    </row>
    <row r="252" spans="1:13" ht="15" customHeight="1">
      <c r="A252" s="39">
        <v>247</v>
      </c>
      <c r="B252" s="39" t="s">
        <v>2891</v>
      </c>
      <c r="C252" s="40" t="s">
        <v>2892</v>
      </c>
      <c r="D252" s="39" t="s">
        <v>1530</v>
      </c>
      <c r="E252" s="40" t="s">
        <v>2355</v>
      </c>
      <c r="F252" s="40" t="s">
        <v>2355</v>
      </c>
      <c r="G252" s="39" t="s">
        <v>102</v>
      </c>
      <c r="H252" s="40" t="s">
        <v>1539</v>
      </c>
      <c r="I252" s="40" t="s">
        <v>104</v>
      </c>
      <c r="J252" s="50"/>
      <c r="K252" s="116">
        <f>IFERROR(VLOOKUP(B252,BD_CONTROL!$A$5:$M$4235,11,0),"")</f>
        <v>0</v>
      </c>
      <c r="L252" s="117">
        <f>IFERROR(VLOOKUP(B252,BD_CONTROL!$A$5:$M$4235,12,0),"")</f>
        <v>0</v>
      </c>
      <c r="M252" s="118">
        <f>IFERROR(VLOOKUP(B252,BD_CONTROL!$A$5:$M$4235,13,0),"")</f>
        <v>0</v>
      </c>
    </row>
    <row r="253" spans="1:13" ht="15" customHeight="1">
      <c r="A253" s="42">
        <v>248</v>
      </c>
      <c r="B253" s="42" t="s">
        <v>2896</v>
      </c>
      <c r="C253" s="43" t="s">
        <v>2897</v>
      </c>
      <c r="D253" s="42" t="s">
        <v>1530</v>
      </c>
      <c r="E253" s="43" t="s">
        <v>1586</v>
      </c>
      <c r="F253" s="43" t="s">
        <v>2898</v>
      </c>
      <c r="G253" s="42" t="s">
        <v>109</v>
      </c>
      <c r="H253" s="43" t="s">
        <v>1539</v>
      </c>
      <c r="I253" s="43" t="s">
        <v>104</v>
      </c>
      <c r="J253" s="55"/>
      <c r="K253" s="119">
        <f>IFERROR(VLOOKUP(B253,BD_CONTROL!$A$5:$M$4235,11,0),"")</f>
        <v>0</v>
      </c>
      <c r="L253" s="120">
        <f>IFERROR(VLOOKUP(B253,BD_CONTROL!$A$5:$M$4235,12,0),"")</f>
        <v>0</v>
      </c>
      <c r="M253" s="121">
        <f>IFERROR(VLOOKUP(B253,BD_CONTROL!$A$5:$M$4235,13,0),"")</f>
        <v>0</v>
      </c>
    </row>
    <row r="254" spans="1:13" ht="15" customHeight="1">
      <c r="A254" s="39">
        <v>249</v>
      </c>
      <c r="B254" s="39" t="s">
        <v>2899</v>
      </c>
      <c r="C254" s="40" t="s">
        <v>2900</v>
      </c>
      <c r="D254" s="39" t="s">
        <v>1530</v>
      </c>
      <c r="E254" s="40" t="s">
        <v>1537</v>
      </c>
      <c r="F254" s="40" t="s">
        <v>1537</v>
      </c>
      <c r="G254" s="39" t="s">
        <v>102</v>
      </c>
      <c r="H254" s="40" t="s">
        <v>1539</v>
      </c>
      <c r="I254" s="40" t="s">
        <v>104</v>
      </c>
      <c r="J254" s="50"/>
      <c r="K254" s="116">
        <f>IFERROR(VLOOKUP(B254,BD_CONTROL!$A$5:$M$4235,11,0),"")</f>
        <v>0</v>
      </c>
      <c r="L254" s="117">
        <f>IFERROR(VLOOKUP(B254,BD_CONTROL!$A$5:$M$4235,12,0),"")</f>
        <v>0</v>
      </c>
      <c r="M254" s="118">
        <f>IFERROR(VLOOKUP(B254,BD_CONTROL!$A$5:$M$4235,13,0),"")</f>
        <v>0</v>
      </c>
    </row>
    <row r="255" spans="1:13" ht="15" customHeight="1">
      <c r="A255" s="42">
        <v>250</v>
      </c>
      <c r="B255" s="42" t="s">
        <v>2901</v>
      </c>
      <c r="C255" s="43" t="s">
        <v>2902</v>
      </c>
      <c r="D255" s="42" t="s">
        <v>1530</v>
      </c>
      <c r="E255" s="43" t="s">
        <v>1546</v>
      </c>
      <c r="F255" s="43" t="s">
        <v>2903</v>
      </c>
      <c r="G255" s="42" t="s">
        <v>109</v>
      </c>
      <c r="H255" s="43" t="s">
        <v>1539</v>
      </c>
      <c r="I255" s="43" t="s">
        <v>104</v>
      </c>
      <c r="J255" s="55"/>
      <c r="K255" s="119">
        <f>IFERROR(VLOOKUP(B255,BD_CONTROL!$A$5:$M$4235,11,0),"")</f>
        <v>0</v>
      </c>
      <c r="L255" s="120">
        <f>IFERROR(VLOOKUP(B255,BD_CONTROL!$A$5:$M$4235,12,0),"")</f>
        <v>0</v>
      </c>
      <c r="M255" s="121">
        <f>IFERROR(VLOOKUP(B255,BD_CONTROL!$A$5:$M$4235,13,0),"")</f>
        <v>0</v>
      </c>
    </row>
    <row r="256" spans="1:13" ht="15" customHeight="1">
      <c r="A256" s="39">
        <v>251</v>
      </c>
      <c r="B256" s="39" t="s">
        <v>2906</v>
      </c>
      <c r="C256" s="40" t="s">
        <v>2907</v>
      </c>
      <c r="D256" s="39" t="s">
        <v>1530</v>
      </c>
      <c r="E256" s="40" t="s">
        <v>1546</v>
      </c>
      <c r="F256" s="40" t="s">
        <v>1546</v>
      </c>
      <c r="G256" s="39" t="s">
        <v>102</v>
      </c>
      <c r="H256" s="40" t="s">
        <v>1539</v>
      </c>
      <c r="I256" s="40" t="s">
        <v>104</v>
      </c>
      <c r="J256" s="50"/>
      <c r="K256" s="116">
        <f>IFERROR(VLOOKUP(B256,BD_CONTROL!$A$5:$M$4235,11,0),"")</f>
        <v>0</v>
      </c>
      <c r="L256" s="117">
        <f>IFERROR(VLOOKUP(B256,BD_CONTROL!$A$5:$M$4235,12,0),"")</f>
        <v>0</v>
      </c>
      <c r="M256" s="118">
        <f>IFERROR(VLOOKUP(B256,BD_CONTROL!$A$5:$M$4235,13,0),"")</f>
        <v>0</v>
      </c>
    </row>
    <row r="257" spans="1:13" ht="15" customHeight="1">
      <c r="A257" s="42">
        <v>252</v>
      </c>
      <c r="B257" s="42" t="s">
        <v>2908</v>
      </c>
      <c r="C257" s="43" t="s">
        <v>2909</v>
      </c>
      <c r="D257" s="42" t="s">
        <v>1530</v>
      </c>
      <c r="E257" s="43" t="s">
        <v>1542</v>
      </c>
      <c r="F257" s="43" t="s">
        <v>2910</v>
      </c>
      <c r="G257" s="42" t="s">
        <v>109</v>
      </c>
      <c r="H257" s="43" t="s">
        <v>1539</v>
      </c>
      <c r="I257" s="43" t="s">
        <v>104</v>
      </c>
      <c r="J257" s="55"/>
      <c r="K257" s="119">
        <f>IFERROR(VLOOKUP(B257,BD_CONTROL!$A$5:$M$4235,11,0),"")</f>
        <v>0</v>
      </c>
      <c r="L257" s="120">
        <f>IFERROR(VLOOKUP(B257,BD_CONTROL!$A$5:$M$4235,12,0),"")</f>
        <v>0</v>
      </c>
      <c r="M257" s="121">
        <f>IFERROR(VLOOKUP(B257,BD_CONTROL!$A$5:$M$4235,13,0),"")</f>
        <v>0</v>
      </c>
    </row>
    <row r="258" spans="1:13" ht="15" customHeight="1">
      <c r="A258" s="39">
        <v>253</v>
      </c>
      <c r="B258" s="39" t="s">
        <v>2911</v>
      </c>
      <c r="C258" s="40" t="s">
        <v>2912</v>
      </c>
      <c r="D258" s="39" t="s">
        <v>1530</v>
      </c>
      <c r="E258" s="40" t="s">
        <v>1546</v>
      </c>
      <c r="F258" s="40" t="s">
        <v>2913</v>
      </c>
      <c r="G258" s="39" t="s">
        <v>109</v>
      </c>
      <c r="H258" s="40" t="s">
        <v>1539</v>
      </c>
      <c r="I258" s="40" t="s">
        <v>104</v>
      </c>
      <c r="J258" s="50"/>
      <c r="K258" s="116">
        <f>IFERROR(VLOOKUP(B258,BD_CONTROL!$A$5:$M$4235,11,0),"")</f>
        <v>0</v>
      </c>
      <c r="L258" s="117">
        <f>IFERROR(VLOOKUP(B258,BD_CONTROL!$A$5:$M$4235,12,0),"")</f>
        <v>0</v>
      </c>
      <c r="M258" s="118">
        <f>IFERROR(VLOOKUP(B258,BD_CONTROL!$A$5:$M$4235,13,0),"")</f>
        <v>0</v>
      </c>
    </row>
    <row r="259" spans="1:13" ht="15" customHeight="1">
      <c r="A259" s="42">
        <v>254</v>
      </c>
      <c r="B259" s="42" t="s">
        <v>2917</v>
      </c>
      <c r="C259" s="43" t="s">
        <v>2918</v>
      </c>
      <c r="D259" s="42" t="s">
        <v>1530</v>
      </c>
      <c r="E259" s="43" t="s">
        <v>1537</v>
      </c>
      <c r="F259" s="43" t="s">
        <v>2919</v>
      </c>
      <c r="G259" s="42" t="s">
        <v>102</v>
      </c>
      <c r="H259" s="43" t="s">
        <v>1539</v>
      </c>
      <c r="I259" s="43" t="s">
        <v>104</v>
      </c>
      <c r="J259" s="55"/>
      <c r="K259" s="119">
        <f>IFERROR(VLOOKUP(B259,BD_CONTROL!$A$5:$M$4235,11,0),"")</f>
        <v>0</v>
      </c>
      <c r="L259" s="120">
        <f>IFERROR(VLOOKUP(B259,BD_CONTROL!$A$5:$M$4235,12,0),"")</f>
        <v>0</v>
      </c>
      <c r="M259" s="121">
        <f>IFERROR(VLOOKUP(B259,BD_CONTROL!$A$5:$M$4235,13,0),"")</f>
        <v>0</v>
      </c>
    </row>
    <row r="260" spans="1:13" ht="15" customHeight="1">
      <c r="A260" s="39">
        <v>255</v>
      </c>
      <c r="B260" s="39" t="s">
        <v>4688</v>
      </c>
      <c r="C260" s="40" t="s">
        <v>4689</v>
      </c>
      <c r="D260" s="39" t="s">
        <v>4690</v>
      </c>
      <c r="E260" s="40" t="s">
        <v>4691</v>
      </c>
      <c r="F260" s="40" t="s">
        <v>4692</v>
      </c>
      <c r="G260" s="39" t="s">
        <v>109</v>
      </c>
      <c r="H260" s="40" t="s">
        <v>4693</v>
      </c>
      <c r="I260" s="40" t="s">
        <v>104</v>
      </c>
      <c r="J260" s="50"/>
      <c r="K260" s="116" t="str">
        <f>IFERROR(VLOOKUP(B260,BD_CONTROL!$A$5:$M$4235,11,0),"")</f>
        <v>Instalado - Operando</v>
      </c>
      <c r="L260" s="117">
        <f>IFERROR(VLOOKUP(B260,BD_CONTROL!$A$5:$M$4235,12,0),"")</f>
        <v>46149</v>
      </c>
      <c r="M260" s="118">
        <f>IFERROR(VLOOKUP(B260,BD_CONTROL!$A$5:$M$4235,13,0),"")</f>
        <v>0</v>
      </c>
    </row>
    <row r="261" spans="1:13" ht="15" customHeight="1">
      <c r="A261" s="42">
        <v>256</v>
      </c>
      <c r="B261" s="42" t="s">
        <v>4694</v>
      </c>
      <c r="C261" s="43" t="s">
        <v>4695</v>
      </c>
      <c r="D261" s="42" t="s">
        <v>4690</v>
      </c>
      <c r="E261" s="43" t="s">
        <v>4696</v>
      </c>
      <c r="F261" s="43" t="s">
        <v>4697</v>
      </c>
      <c r="G261" s="42" t="s">
        <v>109</v>
      </c>
      <c r="H261" s="43" t="s">
        <v>4693</v>
      </c>
      <c r="I261" s="43" t="s">
        <v>104</v>
      </c>
      <c r="J261" s="55"/>
      <c r="K261" s="119">
        <f>IFERROR(VLOOKUP(B261,BD_CONTROL!$A$5:$M$4235,11,0),"")</f>
        <v>0</v>
      </c>
      <c r="L261" s="120">
        <f>IFERROR(VLOOKUP(B261,BD_CONTROL!$A$5:$M$4235,12,0),"")</f>
        <v>0</v>
      </c>
      <c r="M261" s="121">
        <f>IFERROR(VLOOKUP(B261,BD_CONTROL!$A$5:$M$4235,13,0),"")</f>
        <v>0</v>
      </c>
    </row>
    <row r="262" spans="1:13" ht="15" customHeight="1">
      <c r="A262" s="39">
        <v>257</v>
      </c>
      <c r="B262" s="39" t="s">
        <v>4698</v>
      </c>
      <c r="C262" s="40" t="s">
        <v>4699</v>
      </c>
      <c r="D262" s="39" t="s">
        <v>4690</v>
      </c>
      <c r="E262" s="40" t="s">
        <v>4700</v>
      </c>
      <c r="F262" s="40" t="s">
        <v>4701</v>
      </c>
      <c r="G262" s="39" t="s">
        <v>109</v>
      </c>
      <c r="H262" s="40" t="s">
        <v>4693</v>
      </c>
      <c r="I262" s="40" t="s">
        <v>104</v>
      </c>
      <c r="J262" s="50"/>
      <c r="K262" s="116">
        <f>IFERROR(VLOOKUP(B262,BD_CONTROL!$A$5:$M$4235,11,0),"")</f>
        <v>0</v>
      </c>
      <c r="L262" s="117">
        <f>IFERROR(VLOOKUP(B262,BD_CONTROL!$A$5:$M$4235,12,0),"")</f>
        <v>0</v>
      </c>
      <c r="M262" s="118">
        <f>IFERROR(VLOOKUP(B262,BD_CONTROL!$A$5:$M$4235,13,0),"")</f>
        <v>0</v>
      </c>
    </row>
    <row r="263" spans="1:13" ht="15" customHeight="1">
      <c r="A263" s="42">
        <v>258</v>
      </c>
      <c r="B263" s="42" t="s">
        <v>4702</v>
      </c>
      <c r="C263" s="43" t="s">
        <v>4703</v>
      </c>
      <c r="D263" s="42" t="s">
        <v>4690</v>
      </c>
      <c r="E263" s="43" t="s">
        <v>4704</v>
      </c>
      <c r="F263" s="43" t="s">
        <v>4705</v>
      </c>
      <c r="G263" s="42" t="s">
        <v>109</v>
      </c>
      <c r="H263" s="43" t="s">
        <v>4693</v>
      </c>
      <c r="I263" s="43" t="s">
        <v>104</v>
      </c>
      <c r="J263" s="55"/>
      <c r="K263" s="119">
        <f>IFERROR(VLOOKUP(B263,BD_CONTROL!$A$5:$M$4235,11,0),"")</f>
        <v>0</v>
      </c>
      <c r="L263" s="120">
        <f>IFERROR(VLOOKUP(B263,BD_CONTROL!$A$5:$M$4235,12,0),"")</f>
        <v>0</v>
      </c>
      <c r="M263" s="121">
        <f>IFERROR(VLOOKUP(B263,BD_CONTROL!$A$5:$M$4235,13,0),"")</f>
        <v>0</v>
      </c>
    </row>
    <row r="264" spans="1:13" ht="15" customHeight="1">
      <c r="A264" s="39">
        <v>259</v>
      </c>
      <c r="B264" s="39" t="s">
        <v>4706</v>
      </c>
      <c r="C264" s="40" t="s">
        <v>4707</v>
      </c>
      <c r="D264" s="39" t="s">
        <v>4690</v>
      </c>
      <c r="E264" s="40" t="s">
        <v>4708</v>
      </c>
      <c r="F264" s="40" t="s">
        <v>4709</v>
      </c>
      <c r="G264" s="39" t="s">
        <v>109</v>
      </c>
      <c r="H264" s="40" t="s">
        <v>4693</v>
      </c>
      <c r="I264" s="40" t="s">
        <v>104</v>
      </c>
      <c r="J264" s="50"/>
      <c r="K264" s="116">
        <f>IFERROR(VLOOKUP(B264,BD_CONTROL!$A$5:$M$4235,11,0),"")</f>
        <v>0</v>
      </c>
      <c r="L264" s="117">
        <f>IFERROR(VLOOKUP(B264,BD_CONTROL!$A$5:$M$4235,12,0),"")</f>
        <v>0</v>
      </c>
      <c r="M264" s="118">
        <f>IFERROR(VLOOKUP(B264,BD_CONTROL!$A$5:$M$4235,13,0),"")</f>
        <v>0</v>
      </c>
    </row>
    <row r="265" spans="1:13" ht="15" customHeight="1">
      <c r="A265" s="42">
        <v>260</v>
      </c>
      <c r="B265" s="42" t="s">
        <v>4713</v>
      </c>
      <c r="C265" s="43" t="s">
        <v>4714</v>
      </c>
      <c r="D265" s="42" t="s">
        <v>4690</v>
      </c>
      <c r="E265" s="43" t="s">
        <v>4715</v>
      </c>
      <c r="F265" s="43" t="s">
        <v>4716</v>
      </c>
      <c r="G265" s="42" t="s">
        <v>109</v>
      </c>
      <c r="H265" s="43" t="s">
        <v>4693</v>
      </c>
      <c r="I265" s="43" t="s">
        <v>104</v>
      </c>
      <c r="J265" s="55"/>
      <c r="K265" s="119">
        <f>IFERROR(VLOOKUP(B265,BD_CONTROL!$A$5:$M$4235,11,0),"")</f>
        <v>0</v>
      </c>
      <c r="L265" s="120">
        <f>IFERROR(VLOOKUP(B265,BD_CONTROL!$A$5:$M$4235,12,0),"")</f>
        <v>0</v>
      </c>
      <c r="M265" s="121">
        <f>IFERROR(VLOOKUP(B265,BD_CONTROL!$A$5:$M$4235,13,0),"")</f>
        <v>0</v>
      </c>
    </row>
    <row r="266" spans="1:13" ht="15" customHeight="1">
      <c r="A266" s="39">
        <v>261</v>
      </c>
      <c r="B266" s="39" t="s">
        <v>4717</v>
      </c>
      <c r="C266" s="40" t="s">
        <v>4718</v>
      </c>
      <c r="D266" s="39" t="s">
        <v>4690</v>
      </c>
      <c r="E266" s="40" t="s">
        <v>4715</v>
      </c>
      <c r="F266" s="40" t="s">
        <v>4719</v>
      </c>
      <c r="G266" s="39" t="s">
        <v>109</v>
      </c>
      <c r="H266" s="40" t="s">
        <v>4693</v>
      </c>
      <c r="I266" s="40" t="s">
        <v>104</v>
      </c>
      <c r="J266" s="50"/>
      <c r="K266" s="116">
        <f>IFERROR(VLOOKUP(B266,BD_CONTROL!$A$5:$M$4235,11,0),"")</f>
        <v>0</v>
      </c>
      <c r="L266" s="117">
        <f>IFERROR(VLOOKUP(B266,BD_CONTROL!$A$5:$M$4235,12,0),"")</f>
        <v>0</v>
      </c>
      <c r="M266" s="118">
        <f>IFERROR(VLOOKUP(B266,BD_CONTROL!$A$5:$M$4235,13,0),"")</f>
        <v>0</v>
      </c>
    </row>
    <row r="267" spans="1:13" ht="15" customHeight="1">
      <c r="A267" s="42">
        <v>262</v>
      </c>
      <c r="B267" s="42" t="s">
        <v>4720</v>
      </c>
      <c r="C267" s="43" t="s">
        <v>4721</v>
      </c>
      <c r="D267" s="42" t="s">
        <v>4690</v>
      </c>
      <c r="E267" s="43" t="s">
        <v>4722</v>
      </c>
      <c r="F267" s="43" t="s">
        <v>4723</v>
      </c>
      <c r="G267" s="42" t="s">
        <v>109</v>
      </c>
      <c r="H267" s="43" t="s">
        <v>4693</v>
      </c>
      <c r="I267" s="43" t="s">
        <v>104</v>
      </c>
      <c r="J267" s="55"/>
      <c r="K267" s="119">
        <f>IFERROR(VLOOKUP(B267,BD_CONTROL!$A$5:$M$4235,11,0),"")</f>
        <v>0</v>
      </c>
      <c r="L267" s="120">
        <f>IFERROR(VLOOKUP(B267,BD_CONTROL!$A$5:$M$4235,12,0),"")</f>
        <v>0</v>
      </c>
      <c r="M267" s="121">
        <f>IFERROR(VLOOKUP(B267,BD_CONTROL!$A$5:$M$4235,13,0),"")</f>
        <v>0</v>
      </c>
    </row>
    <row r="268" spans="1:13" ht="15" customHeight="1">
      <c r="A268" s="39">
        <v>263</v>
      </c>
      <c r="B268" s="39" t="s">
        <v>4724</v>
      </c>
      <c r="C268" s="40" t="s">
        <v>4725</v>
      </c>
      <c r="D268" s="39" t="s">
        <v>4690</v>
      </c>
      <c r="E268" s="40" t="s">
        <v>4722</v>
      </c>
      <c r="F268" s="40" t="s">
        <v>4726</v>
      </c>
      <c r="G268" s="39" t="s">
        <v>109</v>
      </c>
      <c r="H268" s="40" t="s">
        <v>4693</v>
      </c>
      <c r="I268" s="40" t="s">
        <v>104</v>
      </c>
      <c r="J268" s="50"/>
      <c r="K268" s="116">
        <f>IFERROR(VLOOKUP(B268,BD_CONTROL!$A$5:$M$4235,11,0),"")</f>
        <v>0</v>
      </c>
      <c r="L268" s="117">
        <f>IFERROR(VLOOKUP(B268,BD_CONTROL!$A$5:$M$4235,12,0),"")</f>
        <v>0</v>
      </c>
      <c r="M268" s="118">
        <f>IFERROR(VLOOKUP(B268,BD_CONTROL!$A$5:$M$4235,13,0),"")</f>
        <v>0</v>
      </c>
    </row>
    <row r="269" spans="1:13" ht="15" customHeight="1">
      <c r="A269" s="42">
        <v>264</v>
      </c>
      <c r="B269" s="42" t="s">
        <v>4727</v>
      </c>
      <c r="C269" s="43" t="s">
        <v>4728</v>
      </c>
      <c r="D269" s="42" t="s">
        <v>4690</v>
      </c>
      <c r="E269" s="43" t="s">
        <v>4729</v>
      </c>
      <c r="F269" s="43" t="s">
        <v>4730</v>
      </c>
      <c r="G269" s="42" t="s">
        <v>109</v>
      </c>
      <c r="H269" s="43" t="s">
        <v>4693</v>
      </c>
      <c r="I269" s="43" t="s">
        <v>104</v>
      </c>
      <c r="J269" s="55"/>
      <c r="K269" s="119">
        <f>IFERROR(VLOOKUP(B269,BD_CONTROL!$A$5:$M$4235,11,0),"")</f>
        <v>0</v>
      </c>
      <c r="L269" s="120">
        <f>IFERROR(VLOOKUP(B269,BD_CONTROL!$A$5:$M$4235,12,0),"")</f>
        <v>0</v>
      </c>
      <c r="M269" s="121">
        <f>IFERROR(VLOOKUP(B269,BD_CONTROL!$A$5:$M$4235,13,0),"")</f>
        <v>0</v>
      </c>
    </row>
    <row r="270" spans="1:13" ht="15" customHeight="1">
      <c r="A270" s="39">
        <v>265</v>
      </c>
      <c r="B270" s="39" t="s">
        <v>4731</v>
      </c>
      <c r="C270" s="40" t="s">
        <v>4732</v>
      </c>
      <c r="D270" s="39" t="s">
        <v>4690</v>
      </c>
      <c r="E270" s="40" t="s">
        <v>4729</v>
      </c>
      <c r="F270" s="40" t="s">
        <v>4733</v>
      </c>
      <c r="G270" s="39" t="s">
        <v>109</v>
      </c>
      <c r="H270" s="40" t="s">
        <v>4693</v>
      </c>
      <c r="I270" s="40" t="s">
        <v>104</v>
      </c>
      <c r="J270" s="50"/>
      <c r="K270" s="116">
        <f>IFERROR(VLOOKUP(B270,BD_CONTROL!$A$5:$M$4235,11,0),"")</f>
        <v>0</v>
      </c>
      <c r="L270" s="117">
        <f>IFERROR(VLOOKUP(B270,BD_CONTROL!$A$5:$M$4235,12,0),"")</f>
        <v>0</v>
      </c>
      <c r="M270" s="118">
        <f>IFERROR(VLOOKUP(B270,BD_CONTROL!$A$5:$M$4235,13,0),"")</f>
        <v>0</v>
      </c>
    </row>
    <row r="271" spans="1:13" ht="15" customHeight="1">
      <c r="A271" s="42">
        <v>266</v>
      </c>
      <c r="B271" s="42" t="s">
        <v>4734</v>
      </c>
      <c r="C271" s="43" t="s">
        <v>4735</v>
      </c>
      <c r="D271" s="42" t="s">
        <v>4690</v>
      </c>
      <c r="E271" s="43" t="s">
        <v>4736</v>
      </c>
      <c r="F271" s="43" t="s">
        <v>4737</v>
      </c>
      <c r="G271" s="42" t="s">
        <v>109</v>
      </c>
      <c r="H271" s="43" t="s">
        <v>4693</v>
      </c>
      <c r="I271" s="43" t="s">
        <v>104</v>
      </c>
      <c r="J271" s="55"/>
      <c r="K271" s="119">
        <f>IFERROR(VLOOKUP(B271,BD_CONTROL!$A$5:$M$4235,11,0),"")</f>
        <v>0</v>
      </c>
      <c r="L271" s="120">
        <f>IFERROR(VLOOKUP(B271,BD_CONTROL!$A$5:$M$4235,12,0),"")</f>
        <v>0</v>
      </c>
      <c r="M271" s="121">
        <f>IFERROR(VLOOKUP(B271,BD_CONTROL!$A$5:$M$4235,13,0),"")</f>
        <v>0</v>
      </c>
    </row>
    <row r="272" spans="1:13" ht="15" customHeight="1">
      <c r="A272" s="39">
        <v>267</v>
      </c>
      <c r="B272" s="39" t="s">
        <v>4738</v>
      </c>
      <c r="C272" s="40" t="s">
        <v>4739</v>
      </c>
      <c r="D272" s="39" t="s">
        <v>4690</v>
      </c>
      <c r="E272" s="40" t="s">
        <v>4740</v>
      </c>
      <c r="F272" s="40" t="s">
        <v>4741</v>
      </c>
      <c r="G272" s="39" t="s">
        <v>109</v>
      </c>
      <c r="H272" s="40" t="s">
        <v>4693</v>
      </c>
      <c r="I272" s="40" t="s">
        <v>104</v>
      </c>
      <c r="J272" s="50"/>
      <c r="K272" s="116">
        <f>IFERROR(VLOOKUP(B272,BD_CONTROL!$A$5:$M$4235,11,0),"")</f>
        <v>0</v>
      </c>
      <c r="L272" s="117">
        <f>IFERROR(VLOOKUP(B272,BD_CONTROL!$A$5:$M$4235,12,0),"")</f>
        <v>0</v>
      </c>
      <c r="M272" s="118">
        <f>IFERROR(VLOOKUP(B272,BD_CONTROL!$A$5:$M$4235,13,0),"")</f>
        <v>0</v>
      </c>
    </row>
    <row r="273" spans="1:13" ht="15" customHeight="1">
      <c r="A273" s="42">
        <v>268</v>
      </c>
      <c r="B273" s="42" t="s">
        <v>4742</v>
      </c>
      <c r="C273" s="43" t="s">
        <v>4743</v>
      </c>
      <c r="D273" s="42" t="s">
        <v>4690</v>
      </c>
      <c r="E273" s="43" t="s">
        <v>4744</v>
      </c>
      <c r="F273" s="43" t="s">
        <v>4745</v>
      </c>
      <c r="G273" s="42" t="s">
        <v>109</v>
      </c>
      <c r="H273" s="43" t="s">
        <v>4693</v>
      </c>
      <c r="I273" s="43" t="s">
        <v>104</v>
      </c>
      <c r="J273" s="55"/>
      <c r="K273" s="119" t="str">
        <f>IFERROR(VLOOKUP(B273,BD_CONTROL!$A$5:$M$4235,11,0),"")</f>
        <v>Instalado - Operando</v>
      </c>
      <c r="L273" s="120">
        <f>IFERROR(VLOOKUP(B273,BD_CONTROL!$A$5:$M$4235,12,0),"")</f>
        <v>46149</v>
      </c>
      <c r="M273" s="121">
        <f>IFERROR(VLOOKUP(B273,BD_CONTROL!$A$5:$M$4235,13,0),"")</f>
        <v>0</v>
      </c>
    </row>
    <row r="274" spans="1:13" ht="15" customHeight="1">
      <c r="A274" s="39">
        <v>269</v>
      </c>
      <c r="B274" s="39" t="s">
        <v>4746</v>
      </c>
      <c r="C274" s="40" t="s">
        <v>4747</v>
      </c>
      <c r="D274" s="39" t="s">
        <v>4690</v>
      </c>
      <c r="E274" s="40" t="s">
        <v>658</v>
      </c>
      <c r="F274" s="40" t="s">
        <v>1455</v>
      </c>
      <c r="G274" s="39" t="s">
        <v>109</v>
      </c>
      <c r="H274" s="40" t="s">
        <v>4693</v>
      </c>
      <c r="I274" s="40" t="s">
        <v>104</v>
      </c>
      <c r="J274" s="50"/>
      <c r="K274" s="116">
        <f>IFERROR(VLOOKUP(B274,BD_CONTROL!$A$5:$M$4235,11,0),"")</f>
        <v>0</v>
      </c>
      <c r="L274" s="117">
        <f>IFERROR(VLOOKUP(B274,BD_CONTROL!$A$5:$M$4235,12,0),"")</f>
        <v>0</v>
      </c>
      <c r="M274" s="118">
        <f>IFERROR(VLOOKUP(B274,BD_CONTROL!$A$5:$M$4235,13,0),"")</f>
        <v>0</v>
      </c>
    </row>
    <row r="275" spans="1:13" ht="15" customHeight="1">
      <c r="A275" s="42">
        <v>270</v>
      </c>
      <c r="B275" s="42" t="s">
        <v>4748</v>
      </c>
      <c r="C275" s="43" t="s">
        <v>4749</v>
      </c>
      <c r="D275" s="42" t="s">
        <v>4690</v>
      </c>
      <c r="E275" s="43" t="s">
        <v>4750</v>
      </c>
      <c r="F275" s="43" t="s">
        <v>4751</v>
      </c>
      <c r="G275" s="42" t="s">
        <v>109</v>
      </c>
      <c r="H275" s="43" t="s">
        <v>4693</v>
      </c>
      <c r="I275" s="43" t="s">
        <v>104</v>
      </c>
      <c r="J275" s="55"/>
      <c r="K275" s="119">
        <f>IFERROR(VLOOKUP(B275,BD_CONTROL!$A$5:$M$4235,11,0),"")</f>
        <v>0</v>
      </c>
      <c r="L275" s="120">
        <f>IFERROR(VLOOKUP(B275,BD_CONTROL!$A$5:$M$4235,12,0),"")</f>
        <v>0</v>
      </c>
      <c r="M275" s="121">
        <f>IFERROR(VLOOKUP(B275,BD_CONTROL!$A$5:$M$4235,13,0),"")</f>
        <v>0</v>
      </c>
    </row>
    <row r="276" spans="1:13" ht="15" customHeight="1">
      <c r="A276" s="39">
        <v>271</v>
      </c>
      <c r="B276" s="39" t="s">
        <v>4752</v>
      </c>
      <c r="C276" s="40" t="s">
        <v>4753</v>
      </c>
      <c r="D276" s="39" t="s">
        <v>4690</v>
      </c>
      <c r="E276" s="40" t="s">
        <v>4754</v>
      </c>
      <c r="F276" s="40" t="s">
        <v>4755</v>
      </c>
      <c r="G276" s="39" t="s">
        <v>109</v>
      </c>
      <c r="H276" s="40" t="s">
        <v>4693</v>
      </c>
      <c r="I276" s="40" t="s">
        <v>104</v>
      </c>
      <c r="J276" s="50"/>
      <c r="K276" s="116">
        <f>IFERROR(VLOOKUP(B276,BD_CONTROL!$A$5:$M$4235,11,0),"")</f>
        <v>0</v>
      </c>
      <c r="L276" s="117">
        <f>IFERROR(VLOOKUP(B276,BD_CONTROL!$A$5:$M$4235,12,0),"")</f>
        <v>0</v>
      </c>
      <c r="M276" s="118">
        <f>IFERROR(VLOOKUP(B276,BD_CONTROL!$A$5:$M$4235,13,0),"")</f>
        <v>0</v>
      </c>
    </row>
    <row r="277" spans="1:13" ht="15" customHeight="1">
      <c r="A277" s="42">
        <v>272</v>
      </c>
      <c r="B277" s="42" t="s">
        <v>4756</v>
      </c>
      <c r="C277" s="43" t="s">
        <v>4757</v>
      </c>
      <c r="D277" s="42" t="s">
        <v>4690</v>
      </c>
      <c r="E277" s="43" t="s">
        <v>4758</v>
      </c>
      <c r="F277" s="43" t="s">
        <v>4759</v>
      </c>
      <c r="G277" s="42" t="s">
        <v>109</v>
      </c>
      <c r="H277" s="43" t="s">
        <v>4693</v>
      </c>
      <c r="I277" s="43" t="s">
        <v>104</v>
      </c>
      <c r="J277" s="55"/>
      <c r="K277" s="119">
        <f>IFERROR(VLOOKUP(B277,BD_CONTROL!$A$5:$M$4235,11,0),"")</f>
        <v>0</v>
      </c>
      <c r="L277" s="120">
        <f>IFERROR(VLOOKUP(B277,BD_CONTROL!$A$5:$M$4235,12,0),"")</f>
        <v>0</v>
      </c>
      <c r="M277" s="121">
        <f>IFERROR(VLOOKUP(B277,BD_CONTROL!$A$5:$M$4235,13,0),"")</f>
        <v>0</v>
      </c>
    </row>
    <row r="278" spans="1:13" ht="15" customHeight="1">
      <c r="A278" s="39">
        <v>273</v>
      </c>
      <c r="B278" s="39" t="s">
        <v>4760</v>
      </c>
      <c r="C278" s="40" t="s">
        <v>4761</v>
      </c>
      <c r="D278" s="39" t="s">
        <v>4690</v>
      </c>
      <c r="E278" s="40" t="s">
        <v>4762</v>
      </c>
      <c r="F278" s="40" t="s">
        <v>4763</v>
      </c>
      <c r="G278" s="39" t="s">
        <v>109</v>
      </c>
      <c r="H278" s="40" t="s">
        <v>4693</v>
      </c>
      <c r="I278" s="40" t="s">
        <v>104</v>
      </c>
      <c r="J278" s="50"/>
      <c r="K278" s="116">
        <f>IFERROR(VLOOKUP(B278,BD_CONTROL!$A$5:$M$4235,11,0),"")</f>
        <v>0</v>
      </c>
      <c r="L278" s="117">
        <f>IFERROR(VLOOKUP(B278,BD_CONTROL!$A$5:$M$4235,12,0),"")</f>
        <v>0</v>
      </c>
      <c r="M278" s="118">
        <f>IFERROR(VLOOKUP(B278,BD_CONTROL!$A$5:$M$4235,13,0),"")</f>
        <v>0</v>
      </c>
    </row>
    <row r="279" spans="1:13" ht="15" customHeight="1">
      <c r="A279" s="42">
        <v>274</v>
      </c>
      <c r="B279" s="42" t="s">
        <v>4764</v>
      </c>
      <c r="C279" s="43" t="s">
        <v>4765</v>
      </c>
      <c r="D279" s="42" t="s">
        <v>4690</v>
      </c>
      <c r="E279" s="43" t="s">
        <v>4766</v>
      </c>
      <c r="F279" s="43" t="s">
        <v>4767</v>
      </c>
      <c r="G279" s="42" t="s">
        <v>109</v>
      </c>
      <c r="H279" s="43" t="s">
        <v>4693</v>
      </c>
      <c r="I279" s="43" t="s">
        <v>104</v>
      </c>
      <c r="J279" s="55"/>
      <c r="K279" s="119">
        <f>IFERROR(VLOOKUP(B279,BD_CONTROL!$A$5:$M$4235,11,0),"")</f>
        <v>0</v>
      </c>
      <c r="L279" s="120">
        <f>IFERROR(VLOOKUP(B279,BD_CONTROL!$A$5:$M$4235,12,0),"")</f>
        <v>0</v>
      </c>
      <c r="M279" s="121">
        <f>IFERROR(VLOOKUP(B279,BD_CONTROL!$A$5:$M$4235,13,0),"")</f>
        <v>0</v>
      </c>
    </row>
    <row r="280" spans="1:13" ht="15" customHeight="1">
      <c r="A280" s="39">
        <v>275</v>
      </c>
      <c r="B280" s="39" t="s">
        <v>4768</v>
      </c>
      <c r="C280" s="40" t="s">
        <v>4769</v>
      </c>
      <c r="D280" s="39" t="s">
        <v>4690</v>
      </c>
      <c r="E280" s="40" t="s">
        <v>4770</v>
      </c>
      <c r="F280" s="40" t="s">
        <v>4771</v>
      </c>
      <c r="G280" s="39" t="s">
        <v>109</v>
      </c>
      <c r="H280" s="40" t="s">
        <v>4693</v>
      </c>
      <c r="I280" s="40" t="s">
        <v>104</v>
      </c>
      <c r="J280" s="50"/>
      <c r="K280" s="116">
        <f>IFERROR(VLOOKUP(B280,BD_CONTROL!$A$5:$M$4235,11,0),"")</f>
        <v>0</v>
      </c>
      <c r="L280" s="117">
        <f>IFERROR(VLOOKUP(B280,BD_CONTROL!$A$5:$M$4235,12,0),"")</f>
        <v>0</v>
      </c>
      <c r="M280" s="118">
        <f>IFERROR(VLOOKUP(B280,BD_CONTROL!$A$5:$M$4235,13,0),"")</f>
        <v>0</v>
      </c>
    </row>
    <row r="281" spans="1:13" ht="15" customHeight="1">
      <c r="A281" s="42">
        <v>276</v>
      </c>
      <c r="B281" s="42" t="s">
        <v>4772</v>
      </c>
      <c r="C281" s="43" t="s">
        <v>4773</v>
      </c>
      <c r="D281" s="42" t="s">
        <v>4690</v>
      </c>
      <c r="E281" s="43" t="s">
        <v>4767</v>
      </c>
      <c r="F281" s="43" t="s">
        <v>1292</v>
      </c>
      <c r="G281" s="42" t="s">
        <v>109</v>
      </c>
      <c r="H281" s="43" t="s">
        <v>4693</v>
      </c>
      <c r="I281" s="43" t="s">
        <v>104</v>
      </c>
      <c r="J281" s="55"/>
      <c r="K281" s="119">
        <f>IFERROR(VLOOKUP(B281,BD_CONTROL!$A$5:$M$4235,11,0),"")</f>
        <v>0</v>
      </c>
      <c r="L281" s="120">
        <f>IFERROR(VLOOKUP(B281,BD_CONTROL!$A$5:$M$4235,12,0),"")</f>
        <v>0</v>
      </c>
      <c r="M281" s="121">
        <f>IFERROR(VLOOKUP(B281,BD_CONTROL!$A$5:$M$4235,13,0),"")</f>
        <v>0</v>
      </c>
    </row>
    <row r="282" spans="1:13" ht="15" customHeight="1">
      <c r="A282" s="39">
        <v>277</v>
      </c>
      <c r="B282" s="39" t="s">
        <v>4774</v>
      </c>
      <c r="C282" s="40" t="s">
        <v>4775</v>
      </c>
      <c r="D282" s="39" t="s">
        <v>4690</v>
      </c>
      <c r="E282" s="40" t="s">
        <v>4767</v>
      </c>
      <c r="F282" s="40" t="s">
        <v>2539</v>
      </c>
      <c r="G282" s="39" t="s">
        <v>109</v>
      </c>
      <c r="H282" s="40" t="s">
        <v>4693</v>
      </c>
      <c r="I282" s="40" t="s">
        <v>104</v>
      </c>
      <c r="J282" s="50"/>
      <c r="K282" s="116">
        <f>IFERROR(VLOOKUP(B282,BD_CONTROL!$A$5:$M$4235,11,0),"")</f>
        <v>0</v>
      </c>
      <c r="L282" s="117">
        <f>IFERROR(VLOOKUP(B282,BD_CONTROL!$A$5:$M$4235,12,0),"")</f>
        <v>0</v>
      </c>
      <c r="M282" s="118">
        <f>IFERROR(VLOOKUP(B282,BD_CONTROL!$A$5:$M$4235,13,0),"")</f>
        <v>0</v>
      </c>
    </row>
    <row r="283" spans="1:13" ht="15" customHeight="1">
      <c r="A283" s="42">
        <v>278</v>
      </c>
      <c r="B283" s="42" t="s">
        <v>4776</v>
      </c>
      <c r="C283" s="43" t="s">
        <v>4777</v>
      </c>
      <c r="D283" s="42" t="s">
        <v>4690</v>
      </c>
      <c r="E283" s="43" t="s">
        <v>4778</v>
      </c>
      <c r="F283" s="43" t="s">
        <v>4779</v>
      </c>
      <c r="G283" s="42" t="s">
        <v>109</v>
      </c>
      <c r="H283" s="43" t="s">
        <v>4693</v>
      </c>
      <c r="I283" s="43" t="s">
        <v>104</v>
      </c>
      <c r="J283" s="55"/>
      <c r="K283" s="119">
        <f>IFERROR(VLOOKUP(B283,BD_CONTROL!$A$5:$M$4235,11,0),"")</f>
        <v>0</v>
      </c>
      <c r="L283" s="120">
        <f>IFERROR(VLOOKUP(B283,BD_CONTROL!$A$5:$M$4235,12,0),"")</f>
        <v>0</v>
      </c>
      <c r="M283" s="121">
        <f>IFERROR(VLOOKUP(B283,BD_CONTROL!$A$5:$M$4235,13,0),"")</f>
        <v>0</v>
      </c>
    </row>
    <row r="284" spans="1:13" ht="15" customHeight="1">
      <c r="A284" s="39">
        <v>279</v>
      </c>
      <c r="B284" s="39" t="s">
        <v>4784</v>
      </c>
      <c r="C284" s="40" t="s">
        <v>4785</v>
      </c>
      <c r="D284" s="39" t="s">
        <v>4690</v>
      </c>
      <c r="E284" s="40" t="s">
        <v>4786</v>
      </c>
      <c r="F284" s="40" t="s">
        <v>4787</v>
      </c>
      <c r="G284" s="39" t="s">
        <v>109</v>
      </c>
      <c r="H284" s="40" t="s">
        <v>4693</v>
      </c>
      <c r="I284" s="40" t="s">
        <v>104</v>
      </c>
      <c r="J284" s="50"/>
      <c r="K284" s="116">
        <f>IFERROR(VLOOKUP(B284,BD_CONTROL!$A$5:$M$4235,11,0),"")</f>
        <v>0</v>
      </c>
      <c r="L284" s="117">
        <f>IFERROR(VLOOKUP(B284,BD_CONTROL!$A$5:$M$4235,12,0),"")</f>
        <v>0</v>
      </c>
      <c r="M284" s="118">
        <f>IFERROR(VLOOKUP(B284,BD_CONTROL!$A$5:$M$4235,13,0),"")</f>
        <v>0</v>
      </c>
    </row>
    <row r="285" spans="1:13" ht="15" customHeight="1">
      <c r="A285" s="42">
        <v>280</v>
      </c>
      <c r="B285" s="42" t="s">
        <v>4788</v>
      </c>
      <c r="C285" s="43" t="s">
        <v>4789</v>
      </c>
      <c r="D285" s="42" t="s">
        <v>4690</v>
      </c>
      <c r="E285" s="43" t="s">
        <v>4786</v>
      </c>
      <c r="F285" s="43" t="s">
        <v>4790</v>
      </c>
      <c r="G285" s="42" t="s">
        <v>109</v>
      </c>
      <c r="H285" s="43" t="s">
        <v>4693</v>
      </c>
      <c r="I285" s="43" t="s">
        <v>104</v>
      </c>
      <c r="J285" s="55"/>
      <c r="K285" s="119">
        <f>IFERROR(VLOOKUP(B285,BD_CONTROL!$A$5:$M$4235,11,0),"")</f>
        <v>0</v>
      </c>
      <c r="L285" s="120">
        <f>IFERROR(VLOOKUP(B285,BD_CONTROL!$A$5:$M$4235,12,0),"")</f>
        <v>0</v>
      </c>
      <c r="M285" s="121">
        <f>IFERROR(VLOOKUP(B285,BD_CONTROL!$A$5:$M$4235,13,0),"")</f>
        <v>0</v>
      </c>
    </row>
    <row r="286" spans="1:13" ht="15" customHeight="1">
      <c r="A286" s="39">
        <v>281</v>
      </c>
      <c r="B286" s="39" t="s">
        <v>4791</v>
      </c>
      <c r="C286" s="40" t="s">
        <v>4792</v>
      </c>
      <c r="D286" s="39" t="s">
        <v>4690</v>
      </c>
      <c r="E286" s="40" t="s">
        <v>4793</v>
      </c>
      <c r="F286" s="40" t="s">
        <v>4794</v>
      </c>
      <c r="G286" s="39" t="s">
        <v>109</v>
      </c>
      <c r="H286" s="40" t="s">
        <v>4693</v>
      </c>
      <c r="I286" s="40" t="s">
        <v>104</v>
      </c>
      <c r="J286" s="50"/>
      <c r="K286" s="116" t="str">
        <f>IFERROR(VLOOKUP(B286,BD_CONTROL!$A$5:$M$4235,11,0),"")</f>
        <v>Instalado - Operando</v>
      </c>
      <c r="L286" s="117">
        <f>IFERROR(VLOOKUP(B286,BD_CONTROL!$A$5:$M$4235,12,0),"")</f>
        <v>46148</v>
      </c>
      <c r="M286" s="118">
        <f>IFERROR(VLOOKUP(B286,BD_CONTROL!$A$5:$M$4235,13,0),"")</f>
        <v>0</v>
      </c>
    </row>
    <row r="287" spans="1:13" ht="15" customHeight="1">
      <c r="A287" s="42">
        <v>282</v>
      </c>
      <c r="B287" s="42" t="s">
        <v>4799</v>
      </c>
      <c r="C287" s="43" t="s">
        <v>4800</v>
      </c>
      <c r="D287" s="42" t="s">
        <v>4690</v>
      </c>
      <c r="E287" s="43" t="s">
        <v>4801</v>
      </c>
      <c r="F287" s="43" t="s">
        <v>4802</v>
      </c>
      <c r="G287" s="42" t="s">
        <v>109</v>
      </c>
      <c r="H287" s="43" t="s">
        <v>4693</v>
      </c>
      <c r="I287" s="43" t="s">
        <v>104</v>
      </c>
      <c r="J287" s="55"/>
      <c r="K287" s="119">
        <f>IFERROR(VLOOKUP(B287,BD_CONTROL!$A$5:$M$4235,11,0),"")</f>
        <v>0</v>
      </c>
      <c r="L287" s="120">
        <f>IFERROR(VLOOKUP(B287,BD_CONTROL!$A$5:$M$4235,12,0),"")</f>
        <v>0</v>
      </c>
      <c r="M287" s="121">
        <f>IFERROR(VLOOKUP(B287,BD_CONTROL!$A$5:$M$4235,13,0),"")</f>
        <v>0</v>
      </c>
    </row>
    <row r="288" spans="1:13" ht="15" customHeight="1">
      <c r="A288" s="39">
        <v>283</v>
      </c>
      <c r="B288" s="39" t="s">
        <v>4803</v>
      </c>
      <c r="C288" s="40" t="s">
        <v>4804</v>
      </c>
      <c r="D288" s="39" t="s">
        <v>4690</v>
      </c>
      <c r="E288" s="40" t="s">
        <v>4805</v>
      </c>
      <c r="F288" s="40" t="s">
        <v>3906</v>
      </c>
      <c r="G288" s="39" t="s">
        <v>109</v>
      </c>
      <c r="H288" s="40" t="s">
        <v>4693</v>
      </c>
      <c r="I288" s="40" t="s">
        <v>104</v>
      </c>
      <c r="J288" s="50"/>
      <c r="K288" s="116">
        <f>IFERROR(VLOOKUP(B288,BD_CONTROL!$A$5:$M$4235,11,0),"")</f>
        <v>0</v>
      </c>
      <c r="L288" s="117">
        <f>IFERROR(VLOOKUP(B288,BD_CONTROL!$A$5:$M$4235,12,0),"")</f>
        <v>0</v>
      </c>
      <c r="M288" s="118">
        <f>IFERROR(VLOOKUP(B288,BD_CONTROL!$A$5:$M$4235,13,0),"")</f>
        <v>0</v>
      </c>
    </row>
    <row r="289" spans="1:13" ht="15" customHeight="1">
      <c r="A289" s="42">
        <v>284</v>
      </c>
      <c r="B289" s="42" t="s">
        <v>4806</v>
      </c>
      <c r="C289" s="43" t="s">
        <v>4807</v>
      </c>
      <c r="D289" s="42" t="s">
        <v>4690</v>
      </c>
      <c r="E289" s="43" t="s">
        <v>4808</v>
      </c>
      <c r="F289" s="43" t="s">
        <v>4809</v>
      </c>
      <c r="G289" s="42" t="s">
        <v>109</v>
      </c>
      <c r="H289" s="43" t="s">
        <v>4693</v>
      </c>
      <c r="I289" s="43" t="s">
        <v>104</v>
      </c>
      <c r="J289" s="55"/>
      <c r="K289" s="119">
        <f>IFERROR(VLOOKUP(B289,BD_CONTROL!$A$5:$M$4235,11,0),"")</f>
        <v>0</v>
      </c>
      <c r="L289" s="120">
        <f>IFERROR(VLOOKUP(B289,BD_CONTROL!$A$5:$M$4235,12,0),"")</f>
        <v>0</v>
      </c>
      <c r="M289" s="121">
        <f>IFERROR(VLOOKUP(B289,BD_CONTROL!$A$5:$M$4235,13,0),"")</f>
        <v>0</v>
      </c>
    </row>
    <row r="290" spans="1:13" ht="15" customHeight="1">
      <c r="A290" s="39">
        <v>285</v>
      </c>
      <c r="B290" s="39" t="s">
        <v>4810</v>
      </c>
      <c r="C290" s="40" t="s">
        <v>4811</v>
      </c>
      <c r="D290" s="39" t="s">
        <v>4690</v>
      </c>
      <c r="E290" s="40" t="s">
        <v>4812</v>
      </c>
      <c r="F290" s="40" t="s">
        <v>4813</v>
      </c>
      <c r="G290" s="39" t="s">
        <v>109</v>
      </c>
      <c r="H290" s="40" t="s">
        <v>4693</v>
      </c>
      <c r="I290" s="40" t="s">
        <v>104</v>
      </c>
      <c r="J290" s="50"/>
      <c r="K290" s="116" t="str">
        <f>IFERROR(VLOOKUP(B290,BD_CONTROL!$A$5:$M$4235,11,0),"")</f>
        <v>Instalado - Operando</v>
      </c>
      <c r="L290" s="117">
        <f>IFERROR(VLOOKUP(B290,BD_CONTROL!$A$5:$M$4235,12,0),"")</f>
        <v>46150</v>
      </c>
      <c r="M290" s="118">
        <f>IFERROR(VLOOKUP(B290,BD_CONTROL!$A$5:$M$4235,13,0),"")</f>
        <v>0</v>
      </c>
    </row>
    <row r="291" spans="1:13" ht="15" customHeight="1">
      <c r="A291" s="42">
        <v>286</v>
      </c>
      <c r="B291" s="42" t="s">
        <v>4814</v>
      </c>
      <c r="C291" s="43" t="s">
        <v>4815</v>
      </c>
      <c r="D291" s="42" t="s">
        <v>4690</v>
      </c>
      <c r="E291" s="43" t="s">
        <v>4816</v>
      </c>
      <c r="F291" s="43" t="s">
        <v>4817</v>
      </c>
      <c r="G291" s="42" t="s">
        <v>109</v>
      </c>
      <c r="H291" s="43" t="s">
        <v>4693</v>
      </c>
      <c r="I291" s="43" t="s">
        <v>104</v>
      </c>
      <c r="J291" s="55"/>
      <c r="K291" s="119">
        <f>IFERROR(VLOOKUP(B291,BD_CONTROL!$A$5:$M$4235,11,0),"")</f>
        <v>0</v>
      </c>
      <c r="L291" s="120">
        <f>IFERROR(VLOOKUP(B291,BD_CONTROL!$A$5:$M$4235,12,0),"")</f>
        <v>0</v>
      </c>
      <c r="M291" s="121">
        <f>IFERROR(VLOOKUP(B291,BD_CONTROL!$A$5:$M$4235,13,0),"")</f>
        <v>0</v>
      </c>
    </row>
    <row r="292" spans="1:13" ht="15" customHeight="1">
      <c r="A292" s="39">
        <v>287</v>
      </c>
      <c r="B292" s="39" t="s">
        <v>4818</v>
      </c>
      <c r="C292" s="40" t="s">
        <v>4819</v>
      </c>
      <c r="D292" s="39" t="s">
        <v>4690</v>
      </c>
      <c r="E292" s="40" t="s">
        <v>4820</v>
      </c>
      <c r="F292" s="40" t="s">
        <v>4821</v>
      </c>
      <c r="G292" s="39" t="s">
        <v>109</v>
      </c>
      <c r="H292" s="40" t="s">
        <v>4693</v>
      </c>
      <c r="I292" s="40" t="s">
        <v>104</v>
      </c>
      <c r="J292" s="50"/>
      <c r="K292" s="116">
        <f>IFERROR(VLOOKUP(B292,BD_CONTROL!$A$5:$M$4235,11,0),"")</f>
        <v>0</v>
      </c>
      <c r="L292" s="117">
        <f>IFERROR(VLOOKUP(B292,BD_CONTROL!$A$5:$M$4235,12,0),"")</f>
        <v>0</v>
      </c>
      <c r="M292" s="118">
        <f>IFERROR(VLOOKUP(B292,BD_CONTROL!$A$5:$M$4235,13,0),"")</f>
        <v>0</v>
      </c>
    </row>
    <row r="293" spans="1:13" ht="15" customHeight="1">
      <c r="A293" s="42">
        <v>288</v>
      </c>
      <c r="B293" s="42" t="s">
        <v>4822</v>
      </c>
      <c r="C293" s="43" t="s">
        <v>4823</v>
      </c>
      <c r="D293" s="42" t="s">
        <v>4690</v>
      </c>
      <c r="E293" s="43" t="s">
        <v>4824</v>
      </c>
      <c r="F293" s="43" t="s">
        <v>4825</v>
      </c>
      <c r="G293" s="42" t="s">
        <v>109</v>
      </c>
      <c r="H293" s="43" t="s">
        <v>4693</v>
      </c>
      <c r="I293" s="43" t="s">
        <v>104</v>
      </c>
      <c r="J293" s="55"/>
      <c r="K293" s="119">
        <f>IFERROR(VLOOKUP(B293,BD_CONTROL!$A$5:$M$4235,11,0),"")</f>
        <v>0</v>
      </c>
      <c r="L293" s="120">
        <f>IFERROR(VLOOKUP(B293,BD_CONTROL!$A$5:$M$4235,12,0),"")</f>
        <v>0</v>
      </c>
      <c r="M293" s="121">
        <f>IFERROR(VLOOKUP(B293,BD_CONTROL!$A$5:$M$4235,13,0),"")</f>
        <v>0</v>
      </c>
    </row>
    <row r="294" spans="1:13" ht="15" customHeight="1">
      <c r="A294" s="39">
        <v>289</v>
      </c>
      <c r="B294" s="39" t="s">
        <v>4826</v>
      </c>
      <c r="C294" s="40" t="s">
        <v>4827</v>
      </c>
      <c r="D294" s="39" t="s">
        <v>4690</v>
      </c>
      <c r="E294" s="40" t="s">
        <v>4828</v>
      </c>
      <c r="F294" s="40" t="s">
        <v>4829</v>
      </c>
      <c r="G294" s="39" t="s">
        <v>109</v>
      </c>
      <c r="H294" s="40" t="s">
        <v>4693</v>
      </c>
      <c r="I294" s="40" t="s">
        <v>104</v>
      </c>
      <c r="J294" s="50"/>
      <c r="K294" s="116">
        <f>IFERROR(VLOOKUP(B294,BD_CONTROL!$A$5:$M$4235,11,0),"")</f>
        <v>0</v>
      </c>
      <c r="L294" s="117">
        <f>IFERROR(VLOOKUP(B294,BD_CONTROL!$A$5:$M$4235,12,0),"")</f>
        <v>0</v>
      </c>
      <c r="M294" s="118">
        <f>IFERROR(VLOOKUP(B294,BD_CONTROL!$A$5:$M$4235,13,0),"")</f>
        <v>0</v>
      </c>
    </row>
    <row r="295" spans="1:13" ht="15" customHeight="1">
      <c r="A295" s="42">
        <v>290</v>
      </c>
      <c r="B295" s="42" t="s">
        <v>4830</v>
      </c>
      <c r="C295" s="43" t="s">
        <v>4831</v>
      </c>
      <c r="D295" s="42" t="s">
        <v>4690</v>
      </c>
      <c r="E295" s="43" t="s">
        <v>4832</v>
      </c>
      <c r="F295" s="43" t="s">
        <v>4833</v>
      </c>
      <c r="G295" s="42" t="s">
        <v>109</v>
      </c>
      <c r="H295" s="43" t="s">
        <v>4693</v>
      </c>
      <c r="I295" s="43" t="s">
        <v>104</v>
      </c>
      <c r="J295" s="55"/>
      <c r="K295" s="119">
        <f>IFERROR(VLOOKUP(B295,BD_CONTROL!$A$5:$M$4235,11,0),"")</f>
        <v>0</v>
      </c>
      <c r="L295" s="120">
        <f>IFERROR(VLOOKUP(B295,BD_CONTROL!$A$5:$M$4235,12,0),"")</f>
        <v>0</v>
      </c>
      <c r="M295" s="121">
        <f>IFERROR(VLOOKUP(B295,BD_CONTROL!$A$5:$M$4235,13,0),"")</f>
        <v>0</v>
      </c>
    </row>
    <row r="296" spans="1:13" ht="15" customHeight="1">
      <c r="A296" s="39">
        <v>291</v>
      </c>
      <c r="B296" s="39" t="s">
        <v>4834</v>
      </c>
      <c r="C296" s="40" t="s">
        <v>4835</v>
      </c>
      <c r="D296" s="39" t="s">
        <v>4690</v>
      </c>
      <c r="E296" s="40" t="s">
        <v>4740</v>
      </c>
      <c r="F296" s="40" t="s">
        <v>4836</v>
      </c>
      <c r="G296" s="39" t="s">
        <v>109</v>
      </c>
      <c r="H296" s="40" t="s">
        <v>4693</v>
      </c>
      <c r="I296" s="40" t="s">
        <v>104</v>
      </c>
      <c r="J296" s="50"/>
      <c r="K296" s="116">
        <f>IFERROR(VLOOKUP(B296,BD_CONTROL!$A$5:$M$4235,11,0),"")</f>
        <v>0</v>
      </c>
      <c r="L296" s="117">
        <f>IFERROR(VLOOKUP(B296,BD_CONTROL!$A$5:$M$4235,12,0),"")</f>
        <v>0</v>
      </c>
      <c r="M296" s="118">
        <f>IFERROR(VLOOKUP(B296,BD_CONTROL!$A$5:$M$4235,13,0),"")</f>
        <v>0</v>
      </c>
    </row>
    <row r="297" spans="1:13" ht="15" customHeight="1">
      <c r="A297" s="42">
        <v>292</v>
      </c>
      <c r="B297" s="42" t="s">
        <v>4837</v>
      </c>
      <c r="C297" s="43" t="s">
        <v>4838</v>
      </c>
      <c r="D297" s="42" t="s">
        <v>4690</v>
      </c>
      <c r="E297" s="43" t="s">
        <v>4744</v>
      </c>
      <c r="F297" s="43" t="s">
        <v>658</v>
      </c>
      <c r="G297" s="42" t="s">
        <v>102</v>
      </c>
      <c r="H297" s="43" t="s">
        <v>4693</v>
      </c>
      <c r="I297" s="43" t="s">
        <v>104</v>
      </c>
      <c r="J297" s="55"/>
      <c r="K297" s="119">
        <f>IFERROR(VLOOKUP(B297,BD_CONTROL!$A$5:$M$4235,11,0),"")</f>
        <v>0</v>
      </c>
      <c r="L297" s="120">
        <f>IFERROR(VLOOKUP(B297,BD_CONTROL!$A$5:$M$4235,12,0),"")</f>
        <v>0</v>
      </c>
      <c r="M297" s="121">
        <f>IFERROR(VLOOKUP(B297,BD_CONTROL!$A$5:$M$4235,13,0),"")</f>
        <v>0</v>
      </c>
    </row>
    <row r="298" spans="1:13" ht="15" customHeight="1">
      <c r="A298" s="39">
        <v>293</v>
      </c>
      <c r="B298" s="39" t="s">
        <v>4839</v>
      </c>
      <c r="C298" s="40" t="s">
        <v>4840</v>
      </c>
      <c r="D298" s="39" t="s">
        <v>4690</v>
      </c>
      <c r="E298" s="40" t="s">
        <v>4750</v>
      </c>
      <c r="F298" s="40" t="s">
        <v>4841</v>
      </c>
      <c r="G298" s="39" t="s">
        <v>109</v>
      </c>
      <c r="H298" s="40" t="s">
        <v>4693</v>
      </c>
      <c r="I298" s="40" t="s">
        <v>104</v>
      </c>
      <c r="J298" s="50"/>
      <c r="K298" s="116">
        <f>IFERROR(VLOOKUP(B298,BD_CONTROL!$A$5:$M$4235,11,0),"")</f>
        <v>0</v>
      </c>
      <c r="L298" s="117">
        <f>IFERROR(VLOOKUP(B298,BD_CONTROL!$A$5:$M$4235,12,0),"")</f>
        <v>0</v>
      </c>
      <c r="M298" s="118">
        <f>IFERROR(VLOOKUP(B298,BD_CONTROL!$A$5:$M$4235,13,0),"")</f>
        <v>0</v>
      </c>
    </row>
    <row r="299" spans="1:13" ht="15" customHeight="1">
      <c r="A299" s="42">
        <v>294</v>
      </c>
      <c r="B299" s="42" t="s">
        <v>4842</v>
      </c>
      <c r="C299" s="43" t="s">
        <v>4843</v>
      </c>
      <c r="D299" s="42" t="s">
        <v>4690</v>
      </c>
      <c r="E299" s="43" t="s">
        <v>4844</v>
      </c>
      <c r="F299" s="43" t="s">
        <v>3765</v>
      </c>
      <c r="G299" s="42" t="s">
        <v>109</v>
      </c>
      <c r="H299" s="43" t="s">
        <v>4693</v>
      </c>
      <c r="I299" s="43" t="s">
        <v>104</v>
      </c>
      <c r="J299" s="55"/>
      <c r="K299" s="119">
        <f>IFERROR(VLOOKUP(B299,BD_CONTROL!$A$5:$M$4235,11,0),"")</f>
        <v>0</v>
      </c>
      <c r="L299" s="120">
        <f>IFERROR(VLOOKUP(B299,BD_CONTROL!$A$5:$M$4235,12,0),"")</f>
        <v>0</v>
      </c>
      <c r="M299" s="121">
        <f>IFERROR(VLOOKUP(B299,BD_CONTROL!$A$5:$M$4235,13,0),"")</f>
        <v>0</v>
      </c>
    </row>
    <row r="300" spans="1:13" ht="15" customHeight="1">
      <c r="A300" s="39">
        <v>295</v>
      </c>
      <c r="B300" s="39" t="s">
        <v>4845</v>
      </c>
      <c r="C300" s="40" t="s">
        <v>4846</v>
      </c>
      <c r="D300" s="39" t="s">
        <v>4690</v>
      </c>
      <c r="E300" s="40" t="s">
        <v>4847</v>
      </c>
      <c r="F300" s="40" t="s">
        <v>4848</v>
      </c>
      <c r="G300" s="39" t="s">
        <v>109</v>
      </c>
      <c r="H300" s="40" t="s">
        <v>4693</v>
      </c>
      <c r="I300" s="40" t="s">
        <v>104</v>
      </c>
      <c r="J300" s="50"/>
      <c r="K300" s="116">
        <f>IFERROR(VLOOKUP(B300,BD_CONTROL!$A$5:$M$4235,11,0),"")</f>
        <v>0</v>
      </c>
      <c r="L300" s="117">
        <f>IFERROR(VLOOKUP(B300,BD_CONTROL!$A$5:$M$4235,12,0),"")</f>
        <v>0</v>
      </c>
      <c r="M300" s="118">
        <f>IFERROR(VLOOKUP(B300,BD_CONTROL!$A$5:$M$4235,13,0),"")</f>
        <v>0</v>
      </c>
    </row>
    <row r="301" spans="1:13" ht="15" customHeight="1">
      <c r="A301" s="42">
        <v>296</v>
      </c>
      <c r="B301" s="42" t="s">
        <v>4852</v>
      </c>
      <c r="C301" s="43" t="s">
        <v>4853</v>
      </c>
      <c r="D301" s="42" t="s">
        <v>4690</v>
      </c>
      <c r="E301" s="43" t="s">
        <v>4801</v>
      </c>
      <c r="F301" s="43" t="s">
        <v>4854</v>
      </c>
      <c r="G301" s="42" t="s">
        <v>109</v>
      </c>
      <c r="H301" s="43" t="s">
        <v>4693</v>
      </c>
      <c r="I301" s="43" t="s">
        <v>104</v>
      </c>
      <c r="J301" s="55"/>
      <c r="K301" s="119">
        <f>IFERROR(VLOOKUP(B301,BD_CONTROL!$A$5:$M$4235,11,0),"")</f>
        <v>0</v>
      </c>
      <c r="L301" s="120">
        <f>IFERROR(VLOOKUP(B301,BD_CONTROL!$A$5:$M$4235,12,0),"")</f>
        <v>0</v>
      </c>
      <c r="M301" s="121">
        <f>IFERROR(VLOOKUP(B301,BD_CONTROL!$A$5:$M$4235,13,0),"")</f>
        <v>0</v>
      </c>
    </row>
    <row r="302" spans="1:13" ht="15" customHeight="1">
      <c r="A302" s="39">
        <v>297</v>
      </c>
      <c r="B302" s="39" t="s">
        <v>4855</v>
      </c>
      <c r="C302" s="40" t="s">
        <v>4856</v>
      </c>
      <c r="D302" s="39" t="s">
        <v>4690</v>
      </c>
      <c r="E302" s="40" t="s">
        <v>4857</v>
      </c>
      <c r="F302" s="40" t="s">
        <v>4856</v>
      </c>
      <c r="G302" s="39" t="s">
        <v>109</v>
      </c>
      <c r="H302" s="40" t="s">
        <v>4693</v>
      </c>
      <c r="I302" s="40" t="s">
        <v>104</v>
      </c>
      <c r="J302" s="50"/>
      <c r="K302" s="116">
        <f>IFERROR(VLOOKUP(B302,BD_CONTROL!$A$5:$M$4235,11,0),"")</f>
        <v>0</v>
      </c>
      <c r="L302" s="117">
        <f>IFERROR(VLOOKUP(B302,BD_CONTROL!$A$5:$M$4235,12,0),"")</f>
        <v>0</v>
      </c>
      <c r="M302" s="118">
        <f>IFERROR(VLOOKUP(B302,BD_CONTROL!$A$5:$M$4235,13,0),"")</f>
        <v>0</v>
      </c>
    </row>
    <row r="303" spans="1:13" ht="15" customHeight="1">
      <c r="A303" s="42">
        <v>298</v>
      </c>
      <c r="B303" s="42" t="s">
        <v>4858</v>
      </c>
      <c r="C303" s="43" t="s">
        <v>4859</v>
      </c>
      <c r="D303" s="42" t="s">
        <v>4690</v>
      </c>
      <c r="E303" s="43" t="s">
        <v>4860</v>
      </c>
      <c r="F303" s="43" t="s">
        <v>4861</v>
      </c>
      <c r="G303" s="42" t="s">
        <v>109</v>
      </c>
      <c r="H303" s="43" t="s">
        <v>4693</v>
      </c>
      <c r="I303" s="43" t="s">
        <v>104</v>
      </c>
      <c r="J303" s="55"/>
      <c r="K303" s="119">
        <f>IFERROR(VLOOKUP(B303,BD_CONTROL!$A$5:$M$4235,11,0),"")</f>
        <v>0</v>
      </c>
      <c r="L303" s="120">
        <f>IFERROR(VLOOKUP(B303,BD_CONTROL!$A$5:$M$4235,12,0),"")</f>
        <v>0</v>
      </c>
      <c r="M303" s="121">
        <f>IFERROR(VLOOKUP(B303,BD_CONTROL!$A$5:$M$4235,13,0),"")</f>
        <v>0</v>
      </c>
    </row>
    <row r="304" spans="1:13" ht="15" customHeight="1">
      <c r="A304" s="39">
        <v>299</v>
      </c>
      <c r="B304" s="39" t="s">
        <v>4862</v>
      </c>
      <c r="C304" s="40" t="s">
        <v>4863</v>
      </c>
      <c r="D304" s="39" t="s">
        <v>4690</v>
      </c>
      <c r="E304" s="40" t="s">
        <v>4864</v>
      </c>
      <c r="F304" s="40" t="s">
        <v>4865</v>
      </c>
      <c r="G304" s="39" t="s">
        <v>109</v>
      </c>
      <c r="H304" s="40" t="s">
        <v>4693</v>
      </c>
      <c r="I304" s="40" t="s">
        <v>104</v>
      </c>
      <c r="J304" s="50"/>
      <c r="K304" s="116">
        <f>IFERROR(VLOOKUP(B304,BD_CONTROL!$A$5:$M$4235,11,0),"")</f>
        <v>0</v>
      </c>
      <c r="L304" s="117">
        <f>IFERROR(VLOOKUP(B304,BD_CONTROL!$A$5:$M$4235,12,0),"")</f>
        <v>0</v>
      </c>
      <c r="M304" s="118">
        <f>IFERROR(VLOOKUP(B304,BD_CONTROL!$A$5:$M$4235,13,0),"")</f>
        <v>0</v>
      </c>
    </row>
    <row r="305" spans="1:13" ht="15" customHeight="1">
      <c r="A305" s="42">
        <v>300</v>
      </c>
      <c r="B305" s="42" t="s">
        <v>4866</v>
      </c>
      <c r="C305" s="43" t="s">
        <v>4867</v>
      </c>
      <c r="D305" s="42" t="s">
        <v>4690</v>
      </c>
      <c r="E305" s="43" t="s">
        <v>4868</v>
      </c>
      <c r="F305" s="43" t="s">
        <v>4869</v>
      </c>
      <c r="G305" s="42" t="s">
        <v>109</v>
      </c>
      <c r="H305" s="43" t="s">
        <v>4693</v>
      </c>
      <c r="I305" s="43" t="s">
        <v>104</v>
      </c>
      <c r="J305" s="55"/>
      <c r="K305" s="119">
        <f>IFERROR(VLOOKUP(B305,BD_CONTROL!$A$5:$M$4235,11,0),"")</f>
        <v>0</v>
      </c>
      <c r="L305" s="120">
        <f>IFERROR(VLOOKUP(B305,BD_CONTROL!$A$5:$M$4235,12,0),"")</f>
        <v>0</v>
      </c>
      <c r="M305" s="121">
        <f>IFERROR(VLOOKUP(B305,BD_CONTROL!$A$5:$M$4235,13,0),"")</f>
        <v>0</v>
      </c>
    </row>
    <row r="306" spans="1:13" ht="15" customHeight="1">
      <c r="A306" s="39">
        <v>301</v>
      </c>
      <c r="B306" s="39" t="s">
        <v>4870</v>
      </c>
      <c r="C306" s="40" t="s">
        <v>4871</v>
      </c>
      <c r="D306" s="39" t="s">
        <v>4690</v>
      </c>
      <c r="E306" s="40" t="s">
        <v>4872</v>
      </c>
      <c r="F306" s="40" t="s">
        <v>4873</v>
      </c>
      <c r="G306" s="39" t="s">
        <v>109</v>
      </c>
      <c r="H306" s="40" t="s">
        <v>4693</v>
      </c>
      <c r="I306" s="40" t="s">
        <v>104</v>
      </c>
      <c r="J306" s="50"/>
      <c r="K306" s="116">
        <f>IFERROR(VLOOKUP(B306,BD_CONTROL!$A$5:$M$4235,11,0),"")</f>
        <v>0</v>
      </c>
      <c r="L306" s="117">
        <f>IFERROR(VLOOKUP(B306,BD_CONTROL!$A$5:$M$4235,12,0),"")</f>
        <v>0</v>
      </c>
      <c r="M306" s="118">
        <f>IFERROR(VLOOKUP(B306,BD_CONTROL!$A$5:$M$4235,13,0),"")</f>
        <v>0</v>
      </c>
    </row>
    <row r="307" spans="1:13" ht="15" customHeight="1">
      <c r="A307" s="42">
        <v>302</v>
      </c>
      <c r="B307" s="42" t="s">
        <v>4874</v>
      </c>
      <c r="C307" s="43" t="s">
        <v>4875</v>
      </c>
      <c r="D307" s="42" t="s">
        <v>4690</v>
      </c>
      <c r="E307" s="43" t="s">
        <v>4844</v>
      </c>
      <c r="F307" s="43" t="s">
        <v>4876</v>
      </c>
      <c r="G307" s="42" t="s">
        <v>109</v>
      </c>
      <c r="H307" s="43" t="s">
        <v>4693</v>
      </c>
      <c r="I307" s="43" t="s">
        <v>104</v>
      </c>
      <c r="J307" s="55"/>
      <c r="K307" s="119">
        <f>IFERROR(VLOOKUP(B307,BD_CONTROL!$A$5:$M$4235,11,0),"")</f>
        <v>0</v>
      </c>
      <c r="L307" s="120">
        <f>IFERROR(VLOOKUP(B307,BD_CONTROL!$A$5:$M$4235,12,0),"")</f>
        <v>0</v>
      </c>
      <c r="M307" s="121">
        <f>IFERROR(VLOOKUP(B307,BD_CONTROL!$A$5:$M$4235,13,0),"")</f>
        <v>0</v>
      </c>
    </row>
    <row r="308" spans="1:13" ht="15" customHeight="1">
      <c r="A308" s="39">
        <v>303</v>
      </c>
      <c r="B308" s="39" t="s">
        <v>4877</v>
      </c>
      <c r="C308" s="40" t="s">
        <v>4878</v>
      </c>
      <c r="D308" s="39" t="s">
        <v>4690</v>
      </c>
      <c r="E308" s="40" t="s">
        <v>4879</v>
      </c>
      <c r="F308" s="40" t="s">
        <v>4880</v>
      </c>
      <c r="G308" s="39" t="s">
        <v>109</v>
      </c>
      <c r="H308" s="40" t="s">
        <v>4693</v>
      </c>
      <c r="I308" s="40" t="s">
        <v>104</v>
      </c>
      <c r="J308" s="50"/>
      <c r="K308" s="116">
        <f>IFERROR(VLOOKUP(B308,BD_CONTROL!$A$5:$M$4235,11,0),"")</f>
        <v>0</v>
      </c>
      <c r="L308" s="117">
        <f>IFERROR(VLOOKUP(B308,BD_CONTROL!$A$5:$M$4235,12,0),"")</f>
        <v>0</v>
      </c>
      <c r="M308" s="118">
        <f>IFERROR(VLOOKUP(B308,BD_CONTROL!$A$5:$M$4235,13,0),"")</f>
        <v>0</v>
      </c>
    </row>
    <row r="309" spans="1:13" ht="15" customHeight="1">
      <c r="A309" s="42">
        <v>304</v>
      </c>
      <c r="B309" s="42" t="s">
        <v>4881</v>
      </c>
      <c r="C309" s="43" t="s">
        <v>4882</v>
      </c>
      <c r="D309" s="42" t="s">
        <v>4690</v>
      </c>
      <c r="E309" s="43" t="s">
        <v>4883</v>
      </c>
      <c r="F309" s="43" t="s">
        <v>4884</v>
      </c>
      <c r="G309" s="42" t="s">
        <v>109</v>
      </c>
      <c r="H309" s="43" t="s">
        <v>4693</v>
      </c>
      <c r="I309" s="43" t="s">
        <v>104</v>
      </c>
      <c r="J309" s="55"/>
      <c r="K309" s="119">
        <f>IFERROR(VLOOKUP(B309,BD_CONTROL!$A$5:$M$4235,11,0),"")</f>
        <v>0</v>
      </c>
      <c r="L309" s="120">
        <f>IFERROR(VLOOKUP(B309,BD_CONTROL!$A$5:$M$4235,12,0),"")</f>
        <v>0</v>
      </c>
      <c r="M309" s="121">
        <f>IFERROR(VLOOKUP(B309,BD_CONTROL!$A$5:$M$4235,13,0),"")</f>
        <v>0</v>
      </c>
    </row>
    <row r="310" spans="1:13" ht="15" customHeight="1">
      <c r="A310" s="39">
        <v>305</v>
      </c>
      <c r="B310" s="39" t="s">
        <v>4885</v>
      </c>
      <c r="C310" s="40" t="s">
        <v>4886</v>
      </c>
      <c r="D310" s="39" t="s">
        <v>4690</v>
      </c>
      <c r="E310" s="40" t="s">
        <v>4857</v>
      </c>
      <c r="F310" s="40" t="s">
        <v>4887</v>
      </c>
      <c r="G310" s="39" t="s">
        <v>109</v>
      </c>
      <c r="H310" s="40" t="s">
        <v>4693</v>
      </c>
      <c r="I310" s="40" t="s">
        <v>104</v>
      </c>
      <c r="J310" s="50"/>
      <c r="K310" s="116">
        <f>IFERROR(VLOOKUP(B310,BD_CONTROL!$A$5:$M$4235,11,0),"")</f>
        <v>0</v>
      </c>
      <c r="L310" s="117">
        <f>IFERROR(VLOOKUP(B310,BD_CONTROL!$A$5:$M$4235,12,0),"")</f>
        <v>0</v>
      </c>
      <c r="M310" s="118">
        <f>IFERROR(VLOOKUP(B310,BD_CONTROL!$A$5:$M$4235,13,0),"")</f>
        <v>0</v>
      </c>
    </row>
    <row r="311" spans="1:13" ht="15" customHeight="1">
      <c r="A311" s="42">
        <v>306</v>
      </c>
      <c r="B311" s="42" t="s">
        <v>4888</v>
      </c>
      <c r="C311" s="43" t="s">
        <v>4889</v>
      </c>
      <c r="D311" s="42" t="s">
        <v>4690</v>
      </c>
      <c r="E311" s="43" t="s">
        <v>4696</v>
      </c>
      <c r="F311" s="43" t="s">
        <v>4890</v>
      </c>
      <c r="G311" s="42" t="s">
        <v>109</v>
      </c>
      <c r="H311" s="43" t="s">
        <v>4693</v>
      </c>
      <c r="I311" s="43" t="s">
        <v>104</v>
      </c>
      <c r="J311" s="55"/>
      <c r="K311" s="119">
        <f>IFERROR(VLOOKUP(B311,BD_CONTROL!$A$5:$M$4235,11,0),"")</f>
        <v>0</v>
      </c>
      <c r="L311" s="120">
        <f>IFERROR(VLOOKUP(B311,BD_CONTROL!$A$5:$M$4235,12,0),"")</f>
        <v>0</v>
      </c>
      <c r="M311" s="121">
        <f>IFERROR(VLOOKUP(B311,BD_CONTROL!$A$5:$M$4235,13,0),"")</f>
        <v>0</v>
      </c>
    </row>
    <row r="312" spans="1:13" ht="15" customHeight="1">
      <c r="A312" s="39">
        <v>307</v>
      </c>
      <c r="B312" s="39" t="s">
        <v>4891</v>
      </c>
      <c r="C312" s="40" t="s">
        <v>4892</v>
      </c>
      <c r="D312" s="39" t="s">
        <v>4690</v>
      </c>
      <c r="E312" s="40" t="s">
        <v>4847</v>
      </c>
      <c r="F312" s="40" t="s">
        <v>4848</v>
      </c>
      <c r="G312" s="39" t="s">
        <v>109</v>
      </c>
      <c r="H312" s="40" t="s">
        <v>4693</v>
      </c>
      <c r="I312" s="40" t="s">
        <v>104</v>
      </c>
      <c r="J312" s="50"/>
      <c r="K312" s="116">
        <f>IFERROR(VLOOKUP(B312,BD_CONTROL!$A$5:$M$4235,11,0),"")</f>
        <v>0</v>
      </c>
      <c r="L312" s="117">
        <f>IFERROR(VLOOKUP(B312,BD_CONTROL!$A$5:$M$4235,12,0),"")</f>
        <v>0</v>
      </c>
      <c r="M312" s="118">
        <f>IFERROR(VLOOKUP(B312,BD_CONTROL!$A$5:$M$4235,13,0),"")</f>
        <v>0</v>
      </c>
    </row>
    <row r="313" spans="1:13" ht="15" customHeight="1">
      <c r="A313" s="42">
        <v>308</v>
      </c>
      <c r="B313" s="42" t="s">
        <v>4893</v>
      </c>
      <c r="C313" s="43" t="s">
        <v>4894</v>
      </c>
      <c r="D313" s="42" t="s">
        <v>4690</v>
      </c>
      <c r="E313" s="43" t="s">
        <v>4736</v>
      </c>
      <c r="F313" s="43" t="s">
        <v>4895</v>
      </c>
      <c r="G313" s="42" t="s">
        <v>109</v>
      </c>
      <c r="H313" s="43" t="s">
        <v>4693</v>
      </c>
      <c r="I313" s="43" t="s">
        <v>104</v>
      </c>
      <c r="J313" s="55"/>
      <c r="K313" s="119">
        <f>IFERROR(VLOOKUP(B313,BD_CONTROL!$A$5:$M$4235,11,0),"")</f>
        <v>0</v>
      </c>
      <c r="L313" s="120">
        <f>IFERROR(VLOOKUP(B313,BD_CONTROL!$A$5:$M$4235,12,0),"")</f>
        <v>0</v>
      </c>
      <c r="M313" s="121">
        <f>IFERROR(VLOOKUP(B313,BD_CONTROL!$A$5:$M$4235,13,0),"")</f>
        <v>0</v>
      </c>
    </row>
    <row r="314" spans="1:13" ht="15" customHeight="1">
      <c r="A314" s="39">
        <v>309</v>
      </c>
      <c r="B314" s="39" t="s">
        <v>4896</v>
      </c>
      <c r="C314" s="40" t="s">
        <v>4897</v>
      </c>
      <c r="D314" s="39" t="s">
        <v>4690</v>
      </c>
      <c r="E314" s="40" t="s">
        <v>4898</v>
      </c>
      <c r="F314" s="40" t="s">
        <v>4899</v>
      </c>
      <c r="G314" s="39" t="s">
        <v>109</v>
      </c>
      <c r="H314" s="40" t="s">
        <v>4693</v>
      </c>
      <c r="I314" s="40" t="s">
        <v>104</v>
      </c>
      <c r="J314" s="50"/>
      <c r="K314" s="116">
        <f>IFERROR(VLOOKUP(B314,BD_CONTROL!$A$5:$M$4235,11,0),"")</f>
        <v>0</v>
      </c>
      <c r="L314" s="117">
        <f>IFERROR(VLOOKUP(B314,BD_CONTROL!$A$5:$M$4235,12,0),"")</f>
        <v>0</v>
      </c>
      <c r="M314" s="118">
        <f>IFERROR(VLOOKUP(B314,BD_CONTROL!$A$5:$M$4235,13,0),"")</f>
        <v>0</v>
      </c>
    </row>
    <row r="315" spans="1:13" ht="15" customHeight="1">
      <c r="A315" s="42">
        <v>310</v>
      </c>
      <c r="B315" s="42" t="s">
        <v>4900</v>
      </c>
      <c r="C315" s="43" t="s">
        <v>4901</v>
      </c>
      <c r="D315" s="42" t="s">
        <v>4690</v>
      </c>
      <c r="E315" s="43" t="s">
        <v>4902</v>
      </c>
      <c r="F315" s="43" t="s">
        <v>4902</v>
      </c>
      <c r="G315" s="42" t="s">
        <v>109</v>
      </c>
      <c r="H315" s="43" t="s">
        <v>4693</v>
      </c>
      <c r="I315" s="43" t="s">
        <v>104</v>
      </c>
      <c r="J315" s="55"/>
      <c r="K315" s="119">
        <f>IFERROR(VLOOKUP(B315,BD_CONTROL!$A$5:$M$4235,11,0),"")</f>
        <v>0</v>
      </c>
      <c r="L315" s="120">
        <f>IFERROR(VLOOKUP(B315,BD_CONTROL!$A$5:$M$4235,12,0),"")</f>
        <v>0</v>
      </c>
      <c r="M315" s="121">
        <f>IFERROR(VLOOKUP(B315,BD_CONTROL!$A$5:$M$4235,13,0),"")</f>
        <v>0</v>
      </c>
    </row>
    <row r="316" spans="1:13" ht="15" customHeight="1">
      <c r="A316" s="39">
        <v>311</v>
      </c>
      <c r="B316" s="39" t="s">
        <v>4903</v>
      </c>
      <c r="C316" s="40" t="s">
        <v>437</v>
      </c>
      <c r="D316" s="39" t="s">
        <v>4690</v>
      </c>
      <c r="E316" s="40" t="s">
        <v>4762</v>
      </c>
      <c r="F316" s="40" t="s">
        <v>4904</v>
      </c>
      <c r="G316" s="39" t="s">
        <v>109</v>
      </c>
      <c r="H316" s="40" t="s">
        <v>4693</v>
      </c>
      <c r="I316" s="40" t="s">
        <v>104</v>
      </c>
      <c r="J316" s="50"/>
      <c r="K316" s="116">
        <f>IFERROR(VLOOKUP(B316,BD_CONTROL!$A$5:$M$4235,11,0),"")</f>
        <v>0</v>
      </c>
      <c r="L316" s="117">
        <f>IFERROR(VLOOKUP(B316,BD_CONTROL!$A$5:$M$4235,12,0),"")</f>
        <v>0</v>
      </c>
      <c r="M316" s="118">
        <f>IFERROR(VLOOKUP(B316,BD_CONTROL!$A$5:$M$4235,13,0),"")</f>
        <v>0</v>
      </c>
    </row>
    <row r="317" spans="1:13" ht="15" customHeight="1">
      <c r="A317" s="42">
        <v>312</v>
      </c>
      <c r="B317" s="42" t="s">
        <v>4905</v>
      </c>
      <c r="C317" s="43" t="s">
        <v>4906</v>
      </c>
      <c r="D317" s="42" t="s">
        <v>4690</v>
      </c>
      <c r="E317" s="43" t="s">
        <v>4860</v>
      </c>
      <c r="F317" s="43" t="s">
        <v>4907</v>
      </c>
      <c r="G317" s="42" t="s">
        <v>109</v>
      </c>
      <c r="H317" s="43" t="s">
        <v>4693</v>
      </c>
      <c r="I317" s="43" t="s">
        <v>104</v>
      </c>
      <c r="J317" s="55"/>
      <c r="K317" s="119">
        <f>IFERROR(VLOOKUP(B317,BD_CONTROL!$A$5:$M$4235,11,0),"")</f>
        <v>0</v>
      </c>
      <c r="L317" s="120">
        <f>IFERROR(VLOOKUP(B317,BD_CONTROL!$A$5:$M$4235,12,0),"")</f>
        <v>0</v>
      </c>
      <c r="M317" s="121">
        <f>IFERROR(VLOOKUP(B317,BD_CONTROL!$A$5:$M$4235,13,0),"")</f>
        <v>0</v>
      </c>
    </row>
    <row r="318" spans="1:13" ht="15" customHeight="1">
      <c r="A318" s="39">
        <v>313</v>
      </c>
      <c r="B318" s="39" t="s">
        <v>4908</v>
      </c>
      <c r="C318" s="40" t="s">
        <v>1123</v>
      </c>
      <c r="D318" s="39" t="s">
        <v>4690</v>
      </c>
      <c r="E318" s="40" t="s">
        <v>4740</v>
      </c>
      <c r="F318" s="40" t="s">
        <v>4741</v>
      </c>
      <c r="G318" s="39" t="s">
        <v>109</v>
      </c>
      <c r="H318" s="40" t="s">
        <v>4693</v>
      </c>
      <c r="I318" s="40" t="s">
        <v>104</v>
      </c>
      <c r="J318" s="50"/>
      <c r="K318" s="116">
        <f>IFERROR(VLOOKUP(B318,BD_CONTROL!$A$5:$M$4235,11,0),"")</f>
        <v>0</v>
      </c>
      <c r="L318" s="117">
        <f>IFERROR(VLOOKUP(B318,BD_CONTROL!$A$5:$M$4235,12,0),"")</f>
        <v>0</v>
      </c>
      <c r="M318" s="118">
        <f>IFERROR(VLOOKUP(B318,BD_CONTROL!$A$5:$M$4235,13,0),"")</f>
        <v>0</v>
      </c>
    </row>
    <row r="319" spans="1:13" ht="15" customHeight="1">
      <c r="A319" s="42">
        <v>314</v>
      </c>
      <c r="B319" s="42" t="s">
        <v>4911</v>
      </c>
      <c r="C319" s="43" t="s">
        <v>4912</v>
      </c>
      <c r="D319" s="42" t="s">
        <v>4690</v>
      </c>
      <c r="E319" s="43" t="s">
        <v>4715</v>
      </c>
      <c r="F319" s="43" t="s">
        <v>4716</v>
      </c>
      <c r="G319" s="42" t="s">
        <v>109</v>
      </c>
      <c r="H319" s="43" t="s">
        <v>4693</v>
      </c>
      <c r="I319" s="43" t="s">
        <v>104</v>
      </c>
      <c r="J319" s="55"/>
      <c r="K319" s="119">
        <f>IFERROR(VLOOKUP(B319,BD_CONTROL!$A$5:$M$4235,11,0),"")</f>
        <v>0</v>
      </c>
      <c r="L319" s="120">
        <f>IFERROR(VLOOKUP(B319,BD_CONTROL!$A$5:$M$4235,12,0),"")</f>
        <v>0</v>
      </c>
      <c r="M319" s="121">
        <f>IFERROR(VLOOKUP(B319,BD_CONTROL!$A$5:$M$4235,13,0),"")</f>
        <v>0</v>
      </c>
    </row>
    <row r="320" spans="1:13" ht="15" customHeight="1">
      <c r="A320" s="39">
        <v>315</v>
      </c>
      <c r="B320" s="39" t="s">
        <v>4913</v>
      </c>
      <c r="C320" s="40" t="s">
        <v>4914</v>
      </c>
      <c r="D320" s="39" t="s">
        <v>4690</v>
      </c>
      <c r="E320" s="40" t="s">
        <v>4844</v>
      </c>
      <c r="F320" s="40" t="s">
        <v>3765</v>
      </c>
      <c r="G320" s="39" t="s">
        <v>109</v>
      </c>
      <c r="H320" s="40" t="s">
        <v>4693</v>
      </c>
      <c r="I320" s="40" t="s">
        <v>104</v>
      </c>
      <c r="J320" s="50"/>
      <c r="K320" s="116">
        <f>IFERROR(VLOOKUP(B320,BD_CONTROL!$A$5:$M$4235,11,0),"")</f>
        <v>0</v>
      </c>
      <c r="L320" s="117">
        <f>IFERROR(VLOOKUP(B320,BD_CONTROL!$A$5:$M$4235,12,0),"")</f>
        <v>0</v>
      </c>
      <c r="M320" s="118">
        <f>IFERROR(VLOOKUP(B320,BD_CONTROL!$A$5:$M$4235,13,0),"")</f>
        <v>0</v>
      </c>
    </row>
    <row r="321" spans="1:13" ht="15" customHeight="1">
      <c r="A321" s="42">
        <v>316</v>
      </c>
      <c r="B321" s="42" t="s">
        <v>4915</v>
      </c>
      <c r="C321" s="43" t="s">
        <v>4916</v>
      </c>
      <c r="D321" s="42" t="s">
        <v>4690</v>
      </c>
      <c r="E321" s="43" t="s">
        <v>4917</v>
      </c>
      <c r="F321" s="43" t="s">
        <v>1428</v>
      </c>
      <c r="G321" s="42" t="s">
        <v>109</v>
      </c>
      <c r="H321" s="43" t="s">
        <v>4693</v>
      </c>
      <c r="I321" s="43" t="s">
        <v>104</v>
      </c>
      <c r="J321" s="55"/>
      <c r="K321" s="119">
        <f>IFERROR(VLOOKUP(B321,BD_CONTROL!$A$5:$M$4235,11,0),"")</f>
        <v>0</v>
      </c>
      <c r="L321" s="120">
        <f>IFERROR(VLOOKUP(B321,BD_CONTROL!$A$5:$M$4235,12,0),"")</f>
        <v>0</v>
      </c>
      <c r="M321" s="121">
        <f>IFERROR(VLOOKUP(B321,BD_CONTROL!$A$5:$M$4235,13,0),"")</f>
        <v>0</v>
      </c>
    </row>
    <row r="322" spans="1:13" ht="15" customHeight="1">
      <c r="A322" s="39">
        <v>317</v>
      </c>
      <c r="B322" s="39" t="s">
        <v>4918</v>
      </c>
      <c r="C322" s="40" t="s">
        <v>1204</v>
      </c>
      <c r="D322" s="39" t="s">
        <v>4690</v>
      </c>
      <c r="E322" s="40" t="s">
        <v>4722</v>
      </c>
      <c r="F322" s="40" t="s">
        <v>4726</v>
      </c>
      <c r="G322" s="39" t="s">
        <v>109</v>
      </c>
      <c r="H322" s="40" t="s">
        <v>4693</v>
      </c>
      <c r="I322" s="40" t="s">
        <v>104</v>
      </c>
      <c r="J322" s="50"/>
      <c r="K322" s="116">
        <f>IFERROR(VLOOKUP(B322,BD_CONTROL!$A$5:$M$4235,11,0),"")</f>
        <v>0</v>
      </c>
      <c r="L322" s="117">
        <f>IFERROR(VLOOKUP(B322,BD_CONTROL!$A$5:$M$4235,12,0),"")</f>
        <v>0</v>
      </c>
      <c r="M322" s="118">
        <f>IFERROR(VLOOKUP(B322,BD_CONTROL!$A$5:$M$4235,13,0),"")</f>
        <v>0</v>
      </c>
    </row>
    <row r="323" spans="1:13" ht="15" customHeight="1">
      <c r="A323" s="42">
        <v>318</v>
      </c>
      <c r="B323" s="42" t="s">
        <v>4922</v>
      </c>
      <c r="C323" s="43" t="s">
        <v>4923</v>
      </c>
      <c r="D323" s="42" t="s">
        <v>4690</v>
      </c>
      <c r="E323" s="43" t="s">
        <v>4744</v>
      </c>
      <c r="F323" s="43" t="s">
        <v>4924</v>
      </c>
      <c r="G323" s="42" t="s">
        <v>109</v>
      </c>
      <c r="H323" s="43" t="s">
        <v>4693</v>
      </c>
      <c r="I323" s="43" t="s">
        <v>104</v>
      </c>
      <c r="J323" s="55"/>
      <c r="K323" s="119">
        <f>IFERROR(VLOOKUP(B323,BD_CONTROL!$A$5:$M$4235,11,0),"")</f>
        <v>0</v>
      </c>
      <c r="L323" s="120">
        <f>IFERROR(VLOOKUP(B323,BD_CONTROL!$A$5:$M$4235,12,0),"")</f>
        <v>0</v>
      </c>
      <c r="M323" s="121">
        <f>IFERROR(VLOOKUP(B323,BD_CONTROL!$A$5:$M$4235,13,0),"")</f>
        <v>0</v>
      </c>
    </row>
    <row r="324" spans="1:13" ht="15" customHeight="1">
      <c r="A324" s="39">
        <v>319</v>
      </c>
      <c r="B324" s="39" t="s">
        <v>4925</v>
      </c>
      <c r="C324" s="40" t="s">
        <v>4926</v>
      </c>
      <c r="D324" s="39" t="s">
        <v>4690</v>
      </c>
      <c r="E324" s="40" t="s">
        <v>4879</v>
      </c>
      <c r="F324" s="40" t="s">
        <v>4927</v>
      </c>
      <c r="G324" s="39" t="s">
        <v>109</v>
      </c>
      <c r="H324" s="40" t="s">
        <v>4693</v>
      </c>
      <c r="I324" s="40" t="s">
        <v>104</v>
      </c>
      <c r="J324" s="50"/>
      <c r="K324" s="116">
        <f>IFERROR(VLOOKUP(B324,BD_CONTROL!$A$5:$M$4235,11,0),"")</f>
        <v>0</v>
      </c>
      <c r="L324" s="117">
        <f>IFERROR(VLOOKUP(B324,BD_CONTROL!$A$5:$M$4235,12,0),"")</f>
        <v>0</v>
      </c>
      <c r="M324" s="118">
        <f>IFERROR(VLOOKUP(B324,BD_CONTROL!$A$5:$M$4235,13,0),"")</f>
        <v>0</v>
      </c>
    </row>
    <row r="325" spans="1:13" ht="15" customHeight="1">
      <c r="A325" s="42">
        <v>320</v>
      </c>
      <c r="B325" s="42" t="s">
        <v>4928</v>
      </c>
      <c r="C325" s="43" t="s">
        <v>4929</v>
      </c>
      <c r="D325" s="42" t="s">
        <v>4690</v>
      </c>
      <c r="E325" s="43" t="s">
        <v>4898</v>
      </c>
      <c r="F325" s="43" t="s">
        <v>4930</v>
      </c>
      <c r="G325" s="42" t="s">
        <v>109</v>
      </c>
      <c r="H325" s="43" t="s">
        <v>4693</v>
      </c>
      <c r="I325" s="43" t="s">
        <v>104</v>
      </c>
      <c r="J325" s="55"/>
      <c r="K325" s="119">
        <f>IFERROR(VLOOKUP(B325,BD_CONTROL!$A$5:$M$4235,11,0),"")</f>
        <v>0</v>
      </c>
      <c r="L325" s="120">
        <f>IFERROR(VLOOKUP(B325,BD_CONTROL!$A$5:$M$4235,12,0),"")</f>
        <v>0</v>
      </c>
      <c r="M325" s="121">
        <f>IFERROR(VLOOKUP(B325,BD_CONTROL!$A$5:$M$4235,13,0),"")</f>
        <v>0</v>
      </c>
    </row>
    <row r="326" spans="1:13" ht="15" customHeight="1">
      <c r="A326" s="39">
        <v>321</v>
      </c>
      <c r="B326" s="39" t="s">
        <v>4931</v>
      </c>
      <c r="C326" s="40" t="s">
        <v>4932</v>
      </c>
      <c r="D326" s="39" t="s">
        <v>4690</v>
      </c>
      <c r="E326" s="40" t="s">
        <v>4758</v>
      </c>
      <c r="F326" s="40" t="s">
        <v>4933</v>
      </c>
      <c r="G326" s="39" t="s">
        <v>109</v>
      </c>
      <c r="H326" s="40" t="s">
        <v>4693</v>
      </c>
      <c r="I326" s="40" t="s">
        <v>104</v>
      </c>
      <c r="J326" s="50"/>
      <c r="K326" s="116">
        <f>IFERROR(VLOOKUP(B326,BD_CONTROL!$A$5:$M$4235,11,0),"")</f>
        <v>0</v>
      </c>
      <c r="L326" s="117">
        <f>IFERROR(VLOOKUP(B326,BD_CONTROL!$A$5:$M$4235,12,0),"")</f>
        <v>0</v>
      </c>
      <c r="M326" s="118">
        <f>IFERROR(VLOOKUP(B326,BD_CONTROL!$A$5:$M$4235,13,0),"")</f>
        <v>0</v>
      </c>
    </row>
    <row r="327" spans="1:13" ht="15" customHeight="1">
      <c r="A327" s="42">
        <v>322</v>
      </c>
      <c r="B327" s="42" t="s">
        <v>4934</v>
      </c>
      <c r="C327" s="43" t="s">
        <v>4935</v>
      </c>
      <c r="D327" s="42" t="s">
        <v>4690</v>
      </c>
      <c r="E327" s="43" t="s">
        <v>4758</v>
      </c>
      <c r="F327" s="43" t="s">
        <v>1455</v>
      </c>
      <c r="G327" s="42" t="s">
        <v>109</v>
      </c>
      <c r="H327" s="43" t="s">
        <v>4693</v>
      </c>
      <c r="I327" s="43" t="s">
        <v>104</v>
      </c>
      <c r="J327" s="55"/>
      <c r="K327" s="119">
        <f>IFERROR(VLOOKUP(B327,BD_CONTROL!$A$5:$M$4235,11,0),"")</f>
        <v>0</v>
      </c>
      <c r="L327" s="120">
        <f>IFERROR(VLOOKUP(B327,BD_CONTROL!$A$5:$M$4235,12,0),"")</f>
        <v>0</v>
      </c>
      <c r="M327" s="121">
        <f>IFERROR(VLOOKUP(B327,BD_CONTROL!$A$5:$M$4235,13,0),"")</f>
        <v>0</v>
      </c>
    </row>
    <row r="328" spans="1:13" ht="15" customHeight="1">
      <c r="A328" s="39">
        <v>323</v>
      </c>
      <c r="B328" s="39" t="s">
        <v>4936</v>
      </c>
      <c r="C328" s="40" t="s">
        <v>4937</v>
      </c>
      <c r="D328" s="39" t="s">
        <v>4690</v>
      </c>
      <c r="E328" s="40" t="s">
        <v>4758</v>
      </c>
      <c r="F328" s="40" t="s">
        <v>4938</v>
      </c>
      <c r="G328" s="39" t="s">
        <v>109</v>
      </c>
      <c r="H328" s="40" t="s">
        <v>4693</v>
      </c>
      <c r="I328" s="40" t="s">
        <v>104</v>
      </c>
      <c r="J328" s="50"/>
      <c r="K328" s="116">
        <f>IFERROR(VLOOKUP(B328,BD_CONTROL!$A$5:$M$4235,11,0),"")</f>
        <v>0</v>
      </c>
      <c r="L328" s="117">
        <f>IFERROR(VLOOKUP(B328,BD_CONTROL!$A$5:$M$4235,12,0),"")</f>
        <v>0</v>
      </c>
      <c r="M328" s="118">
        <f>IFERROR(VLOOKUP(B328,BD_CONTROL!$A$5:$M$4235,13,0),"")</f>
        <v>0</v>
      </c>
    </row>
    <row r="329" spans="1:13" ht="15" customHeight="1">
      <c r="A329" s="42">
        <v>324</v>
      </c>
      <c r="B329" s="42" t="s">
        <v>4939</v>
      </c>
      <c r="C329" s="43" t="s">
        <v>4940</v>
      </c>
      <c r="D329" s="42" t="s">
        <v>4690</v>
      </c>
      <c r="E329" s="43" t="s">
        <v>4758</v>
      </c>
      <c r="F329" s="43" t="s">
        <v>4941</v>
      </c>
      <c r="G329" s="42" t="s">
        <v>109</v>
      </c>
      <c r="H329" s="43" t="s">
        <v>4693</v>
      </c>
      <c r="I329" s="43" t="s">
        <v>104</v>
      </c>
      <c r="J329" s="55"/>
      <c r="K329" s="119">
        <f>IFERROR(VLOOKUP(B329,BD_CONTROL!$A$5:$M$4235,11,0),"")</f>
        <v>0</v>
      </c>
      <c r="L329" s="120">
        <f>IFERROR(VLOOKUP(B329,BD_CONTROL!$A$5:$M$4235,12,0),"")</f>
        <v>0</v>
      </c>
      <c r="M329" s="121">
        <f>IFERROR(VLOOKUP(B329,BD_CONTROL!$A$5:$M$4235,13,0),"")</f>
        <v>0</v>
      </c>
    </row>
    <row r="330" spans="1:13" ht="15" customHeight="1">
      <c r="A330" s="39">
        <v>325</v>
      </c>
      <c r="B330" s="39" t="s">
        <v>4942</v>
      </c>
      <c r="C330" s="40" t="s">
        <v>4943</v>
      </c>
      <c r="D330" s="39" t="s">
        <v>4690</v>
      </c>
      <c r="E330" s="40" t="s">
        <v>4944</v>
      </c>
      <c r="F330" s="40" t="s">
        <v>4945</v>
      </c>
      <c r="G330" s="39" t="s">
        <v>109</v>
      </c>
      <c r="H330" s="40" t="s">
        <v>4693</v>
      </c>
      <c r="I330" s="40" t="s">
        <v>104</v>
      </c>
      <c r="J330" s="50"/>
      <c r="K330" s="116">
        <f>IFERROR(VLOOKUP(B330,BD_CONTROL!$A$5:$M$4235,11,0),"")</f>
        <v>0</v>
      </c>
      <c r="L330" s="117">
        <f>IFERROR(VLOOKUP(B330,BD_CONTROL!$A$5:$M$4235,12,0),"")</f>
        <v>0</v>
      </c>
      <c r="M330" s="118">
        <f>IFERROR(VLOOKUP(B330,BD_CONTROL!$A$5:$M$4235,13,0),"")</f>
        <v>0</v>
      </c>
    </row>
    <row r="331" spans="1:13" ht="15" customHeight="1">
      <c r="A331" s="42">
        <v>326</v>
      </c>
      <c r="B331" s="42" t="s">
        <v>4946</v>
      </c>
      <c r="C331" s="43" t="s">
        <v>4947</v>
      </c>
      <c r="D331" s="42" t="s">
        <v>4690</v>
      </c>
      <c r="E331" s="43" t="s">
        <v>4847</v>
      </c>
      <c r="F331" s="43" t="s">
        <v>4948</v>
      </c>
      <c r="G331" s="42" t="s">
        <v>109</v>
      </c>
      <c r="H331" s="43" t="s">
        <v>4693</v>
      </c>
      <c r="I331" s="43" t="s">
        <v>104</v>
      </c>
      <c r="J331" s="55"/>
      <c r="K331" s="119">
        <f>IFERROR(VLOOKUP(B331,BD_CONTROL!$A$5:$M$4235,11,0),"")</f>
        <v>0</v>
      </c>
      <c r="L331" s="120">
        <f>IFERROR(VLOOKUP(B331,BD_CONTROL!$A$5:$M$4235,12,0),"")</f>
        <v>0</v>
      </c>
      <c r="M331" s="121">
        <f>IFERROR(VLOOKUP(B331,BD_CONTROL!$A$5:$M$4235,13,0),"")</f>
        <v>0</v>
      </c>
    </row>
    <row r="332" spans="1:13" ht="15" customHeight="1">
      <c r="A332" s="39">
        <v>327</v>
      </c>
      <c r="B332" s="39" t="s">
        <v>4949</v>
      </c>
      <c r="C332" s="40" t="s">
        <v>4950</v>
      </c>
      <c r="D332" s="39" t="s">
        <v>4690</v>
      </c>
      <c r="E332" s="40" t="s">
        <v>4786</v>
      </c>
      <c r="F332" s="40" t="s">
        <v>4790</v>
      </c>
      <c r="G332" s="39" t="s">
        <v>109</v>
      </c>
      <c r="H332" s="40" t="s">
        <v>4693</v>
      </c>
      <c r="I332" s="40" t="s">
        <v>104</v>
      </c>
      <c r="J332" s="50"/>
      <c r="K332" s="116">
        <f>IFERROR(VLOOKUP(B332,BD_CONTROL!$A$5:$M$4235,11,0),"")</f>
        <v>0</v>
      </c>
      <c r="L332" s="117">
        <f>IFERROR(VLOOKUP(B332,BD_CONTROL!$A$5:$M$4235,12,0),"")</f>
        <v>0</v>
      </c>
      <c r="M332" s="118">
        <f>IFERROR(VLOOKUP(B332,BD_CONTROL!$A$5:$M$4235,13,0),"")</f>
        <v>0</v>
      </c>
    </row>
    <row r="333" spans="1:13" ht="15" customHeight="1">
      <c r="A333" s="42">
        <v>328</v>
      </c>
      <c r="B333" s="42" t="s">
        <v>4951</v>
      </c>
      <c r="C333" s="43" t="s">
        <v>4952</v>
      </c>
      <c r="D333" s="42" t="s">
        <v>4690</v>
      </c>
      <c r="E333" s="43" t="s">
        <v>4883</v>
      </c>
      <c r="F333" s="43" t="s">
        <v>4953</v>
      </c>
      <c r="G333" s="42" t="s">
        <v>109</v>
      </c>
      <c r="H333" s="43" t="s">
        <v>4693</v>
      </c>
      <c r="I333" s="43" t="s">
        <v>104</v>
      </c>
      <c r="J333" s="55"/>
      <c r="K333" s="119">
        <f>IFERROR(VLOOKUP(B333,BD_CONTROL!$A$5:$M$4235,11,0),"")</f>
        <v>0</v>
      </c>
      <c r="L333" s="120">
        <f>IFERROR(VLOOKUP(B333,BD_CONTROL!$A$5:$M$4235,12,0),"")</f>
        <v>0</v>
      </c>
      <c r="M333" s="121">
        <f>IFERROR(VLOOKUP(B333,BD_CONTROL!$A$5:$M$4235,13,0),"")</f>
        <v>0</v>
      </c>
    </row>
    <row r="334" spans="1:13" ht="15" customHeight="1">
      <c r="A334" s="39">
        <v>329</v>
      </c>
      <c r="B334" s="39" t="s">
        <v>4954</v>
      </c>
      <c r="C334" s="40" t="s">
        <v>4955</v>
      </c>
      <c r="D334" s="39" t="s">
        <v>4690</v>
      </c>
      <c r="E334" s="40" t="s">
        <v>4956</v>
      </c>
      <c r="F334" s="40" t="s">
        <v>4957</v>
      </c>
      <c r="G334" s="39" t="s">
        <v>109</v>
      </c>
      <c r="H334" s="40" t="s">
        <v>4693</v>
      </c>
      <c r="I334" s="40" t="s">
        <v>104</v>
      </c>
      <c r="J334" s="50"/>
      <c r="K334" s="116">
        <f>IFERROR(VLOOKUP(B334,BD_CONTROL!$A$5:$M$4235,11,0),"")</f>
        <v>0</v>
      </c>
      <c r="L334" s="117">
        <f>IFERROR(VLOOKUP(B334,BD_CONTROL!$A$5:$M$4235,12,0),"")</f>
        <v>0</v>
      </c>
      <c r="M334" s="118">
        <f>IFERROR(VLOOKUP(B334,BD_CONTROL!$A$5:$M$4235,13,0),"")</f>
        <v>0</v>
      </c>
    </row>
    <row r="335" spans="1:13" ht="15" customHeight="1">
      <c r="A335" s="42">
        <v>330</v>
      </c>
      <c r="B335" s="42" t="s">
        <v>4958</v>
      </c>
      <c r="C335" s="43" t="s">
        <v>4959</v>
      </c>
      <c r="D335" s="42" t="s">
        <v>4690</v>
      </c>
      <c r="E335" s="43" t="s">
        <v>4793</v>
      </c>
      <c r="F335" s="43" t="s">
        <v>4794</v>
      </c>
      <c r="G335" s="42" t="s">
        <v>109</v>
      </c>
      <c r="H335" s="43" t="s">
        <v>4693</v>
      </c>
      <c r="I335" s="43" t="s">
        <v>104</v>
      </c>
      <c r="J335" s="55"/>
      <c r="K335" s="119" t="str">
        <f>IFERROR(VLOOKUP(B335,BD_CONTROL!$A$5:$M$4235,11,0),"")</f>
        <v>Instalado - Operando</v>
      </c>
      <c r="L335" s="120">
        <f>IFERROR(VLOOKUP(B335,BD_CONTROL!$A$5:$M$4235,12,0),"")</f>
        <v>46148</v>
      </c>
      <c r="M335" s="121">
        <f>IFERROR(VLOOKUP(B335,BD_CONTROL!$A$5:$M$4235,13,0),"")</f>
        <v>0</v>
      </c>
    </row>
    <row r="336" spans="1:13" ht="15" customHeight="1">
      <c r="A336" s="39">
        <v>331</v>
      </c>
      <c r="B336" s="39" t="s">
        <v>4960</v>
      </c>
      <c r="C336" s="40" t="s">
        <v>4961</v>
      </c>
      <c r="D336" s="39" t="s">
        <v>4690</v>
      </c>
      <c r="E336" s="40" t="s">
        <v>4812</v>
      </c>
      <c r="F336" s="40" t="s">
        <v>4962</v>
      </c>
      <c r="G336" s="39" t="s">
        <v>109</v>
      </c>
      <c r="H336" s="40" t="s">
        <v>4693</v>
      </c>
      <c r="I336" s="40" t="s">
        <v>104</v>
      </c>
      <c r="J336" s="50"/>
      <c r="K336" s="116" t="str">
        <f>IFERROR(VLOOKUP(B336,BD_CONTROL!$A$5:$M$4235,11,0),"")</f>
        <v>Instalado - Operando</v>
      </c>
      <c r="L336" s="117">
        <f>IFERROR(VLOOKUP(B336,BD_CONTROL!$A$5:$M$4235,12,0),"")</f>
        <v>46150</v>
      </c>
      <c r="M336" s="118">
        <f>IFERROR(VLOOKUP(B336,BD_CONTROL!$A$5:$M$4235,13,0),"")</f>
        <v>0</v>
      </c>
    </row>
    <row r="337" spans="1:13" ht="15" customHeight="1">
      <c r="A337" s="42">
        <v>332</v>
      </c>
      <c r="B337" s="42" t="s">
        <v>4963</v>
      </c>
      <c r="C337" s="43" t="s">
        <v>4964</v>
      </c>
      <c r="D337" s="42" t="s">
        <v>4690</v>
      </c>
      <c r="E337" s="43" t="s">
        <v>4812</v>
      </c>
      <c r="F337" s="43" t="s">
        <v>4813</v>
      </c>
      <c r="G337" s="42" t="s">
        <v>109</v>
      </c>
      <c r="H337" s="43" t="s">
        <v>4693</v>
      </c>
      <c r="I337" s="43" t="s">
        <v>104</v>
      </c>
      <c r="J337" s="55"/>
      <c r="K337" s="119" t="str">
        <f>IFERROR(VLOOKUP(B337,BD_CONTROL!$A$5:$M$4235,11,0),"")</f>
        <v>Instalado - Operando</v>
      </c>
      <c r="L337" s="120">
        <f>IFERROR(VLOOKUP(B337,BD_CONTROL!$A$5:$M$4235,12,0),"")</f>
        <v>46150</v>
      </c>
      <c r="M337" s="121">
        <f>IFERROR(VLOOKUP(B337,BD_CONTROL!$A$5:$M$4235,13,0),"")</f>
        <v>0</v>
      </c>
    </row>
    <row r="338" spans="1:13" ht="15" customHeight="1">
      <c r="A338" s="39">
        <v>333</v>
      </c>
      <c r="B338" s="39" t="s">
        <v>4965</v>
      </c>
      <c r="C338" s="40" t="s">
        <v>4966</v>
      </c>
      <c r="D338" s="39" t="s">
        <v>4690</v>
      </c>
      <c r="E338" s="40" t="s">
        <v>4967</v>
      </c>
      <c r="F338" s="40" t="s">
        <v>3034</v>
      </c>
      <c r="G338" s="39" t="s">
        <v>109</v>
      </c>
      <c r="H338" s="40" t="s">
        <v>4693</v>
      </c>
      <c r="I338" s="40" t="s">
        <v>104</v>
      </c>
      <c r="J338" s="50"/>
      <c r="K338" s="116">
        <f>IFERROR(VLOOKUP(B338,BD_CONTROL!$A$5:$M$4235,11,0),"")</f>
        <v>0</v>
      </c>
      <c r="L338" s="117">
        <f>IFERROR(VLOOKUP(B338,BD_CONTROL!$A$5:$M$4235,12,0),"")</f>
        <v>0</v>
      </c>
      <c r="M338" s="118">
        <f>IFERROR(VLOOKUP(B338,BD_CONTROL!$A$5:$M$4235,13,0),"")</f>
        <v>0</v>
      </c>
    </row>
    <row r="339" spans="1:13" ht="15" customHeight="1">
      <c r="A339" s="42">
        <v>334</v>
      </c>
      <c r="B339" s="42" t="s">
        <v>4968</v>
      </c>
      <c r="C339" s="43" t="s">
        <v>1348</v>
      </c>
      <c r="D339" s="42" t="s">
        <v>4690</v>
      </c>
      <c r="E339" s="43" t="s">
        <v>4740</v>
      </c>
      <c r="F339" s="43" t="s">
        <v>4969</v>
      </c>
      <c r="G339" s="42" t="s">
        <v>109</v>
      </c>
      <c r="H339" s="43" t="s">
        <v>4693</v>
      </c>
      <c r="I339" s="43" t="s">
        <v>104</v>
      </c>
      <c r="J339" s="55"/>
      <c r="K339" s="119">
        <f>IFERROR(VLOOKUP(B339,BD_CONTROL!$A$5:$M$4235,11,0),"")</f>
        <v>0</v>
      </c>
      <c r="L339" s="120">
        <f>IFERROR(VLOOKUP(B339,BD_CONTROL!$A$5:$M$4235,12,0),"")</f>
        <v>0</v>
      </c>
      <c r="M339" s="121">
        <f>IFERROR(VLOOKUP(B339,BD_CONTROL!$A$5:$M$4235,13,0),"")</f>
        <v>0</v>
      </c>
    </row>
    <row r="340" spans="1:13" ht="15" customHeight="1">
      <c r="A340" s="39">
        <v>335</v>
      </c>
      <c r="B340" s="39" t="s">
        <v>4970</v>
      </c>
      <c r="C340" s="40" t="s">
        <v>4971</v>
      </c>
      <c r="D340" s="39" t="s">
        <v>4690</v>
      </c>
      <c r="E340" s="40" t="s">
        <v>4740</v>
      </c>
      <c r="F340" s="40" t="s">
        <v>4972</v>
      </c>
      <c r="G340" s="39" t="s">
        <v>109</v>
      </c>
      <c r="H340" s="40" t="s">
        <v>4693</v>
      </c>
      <c r="I340" s="40" t="s">
        <v>104</v>
      </c>
      <c r="J340" s="50"/>
      <c r="K340" s="116">
        <f>IFERROR(VLOOKUP(B340,BD_CONTROL!$A$5:$M$4235,11,0),"")</f>
        <v>0</v>
      </c>
      <c r="L340" s="117">
        <f>IFERROR(VLOOKUP(B340,BD_CONTROL!$A$5:$M$4235,12,0),"")</f>
        <v>0</v>
      </c>
      <c r="M340" s="118">
        <f>IFERROR(VLOOKUP(B340,BD_CONTROL!$A$5:$M$4235,13,0),"")</f>
        <v>0</v>
      </c>
    </row>
    <row r="341" spans="1:13" ht="15" customHeight="1">
      <c r="A341" s="42">
        <v>336</v>
      </c>
      <c r="B341" s="42" t="s">
        <v>4973</v>
      </c>
      <c r="C341" s="43" t="s">
        <v>4974</v>
      </c>
      <c r="D341" s="42" t="s">
        <v>4690</v>
      </c>
      <c r="E341" s="43" t="s">
        <v>4740</v>
      </c>
      <c r="F341" s="43" t="s">
        <v>4975</v>
      </c>
      <c r="G341" s="42" t="s">
        <v>109</v>
      </c>
      <c r="H341" s="43" t="s">
        <v>4693</v>
      </c>
      <c r="I341" s="43" t="s">
        <v>104</v>
      </c>
      <c r="J341" s="55"/>
      <c r="K341" s="119">
        <f>IFERROR(VLOOKUP(B341,BD_CONTROL!$A$5:$M$4235,11,0),"")</f>
        <v>0</v>
      </c>
      <c r="L341" s="120">
        <f>IFERROR(VLOOKUP(B341,BD_CONTROL!$A$5:$M$4235,12,0),"")</f>
        <v>0</v>
      </c>
      <c r="M341" s="121">
        <f>IFERROR(VLOOKUP(B341,BD_CONTROL!$A$5:$M$4235,13,0),"")</f>
        <v>0</v>
      </c>
    </row>
    <row r="342" spans="1:13" ht="15" customHeight="1">
      <c r="A342" s="39">
        <v>337</v>
      </c>
      <c r="B342" s="39" t="s">
        <v>4976</v>
      </c>
      <c r="C342" s="40" t="s">
        <v>4977</v>
      </c>
      <c r="D342" s="39" t="s">
        <v>4690</v>
      </c>
      <c r="E342" s="40" t="s">
        <v>4832</v>
      </c>
      <c r="F342" s="40" t="s">
        <v>4978</v>
      </c>
      <c r="G342" s="39" t="s">
        <v>109</v>
      </c>
      <c r="H342" s="40" t="s">
        <v>4693</v>
      </c>
      <c r="I342" s="40" t="s">
        <v>104</v>
      </c>
      <c r="J342" s="50"/>
      <c r="K342" s="116">
        <f>IFERROR(VLOOKUP(B342,BD_CONTROL!$A$5:$M$4235,11,0),"")</f>
        <v>0</v>
      </c>
      <c r="L342" s="117">
        <f>IFERROR(VLOOKUP(B342,BD_CONTROL!$A$5:$M$4235,12,0),"")</f>
        <v>0</v>
      </c>
      <c r="M342" s="118">
        <f>IFERROR(VLOOKUP(B342,BD_CONTROL!$A$5:$M$4235,13,0),"")</f>
        <v>0</v>
      </c>
    </row>
    <row r="343" spans="1:13" ht="15" customHeight="1">
      <c r="A343" s="42">
        <v>338</v>
      </c>
      <c r="B343" s="42" t="s">
        <v>4979</v>
      </c>
      <c r="C343" s="43" t="s">
        <v>4980</v>
      </c>
      <c r="D343" s="42" t="s">
        <v>4690</v>
      </c>
      <c r="E343" s="43" t="s">
        <v>4832</v>
      </c>
      <c r="F343" s="43" t="s">
        <v>4833</v>
      </c>
      <c r="G343" s="42" t="s">
        <v>109</v>
      </c>
      <c r="H343" s="43" t="s">
        <v>4693</v>
      </c>
      <c r="I343" s="43" t="s">
        <v>104</v>
      </c>
      <c r="J343" s="55"/>
      <c r="K343" s="119">
        <f>IFERROR(VLOOKUP(B343,BD_CONTROL!$A$5:$M$4235,11,0),"")</f>
        <v>0</v>
      </c>
      <c r="L343" s="120">
        <f>IFERROR(VLOOKUP(B343,BD_CONTROL!$A$5:$M$4235,12,0),"")</f>
        <v>0</v>
      </c>
      <c r="M343" s="121">
        <f>IFERROR(VLOOKUP(B343,BD_CONTROL!$A$5:$M$4235,13,0),"")</f>
        <v>0</v>
      </c>
    </row>
    <row r="344" spans="1:13" ht="15" customHeight="1">
      <c r="A344" s="39">
        <v>339</v>
      </c>
      <c r="B344" s="39" t="s">
        <v>4981</v>
      </c>
      <c r="C344" s="40" t="s">
        <v>4982</v>
      </c>
      <c r="D344" s="39" t="s">
        <v>4690</v>
      </c>
      <c r="E344" s="40" t="s">
        <v>4828</v>
      </c>
      <c r="F344" s="40" t="s">
        <v>3597</v>
      </c>
      <c r="G344" s="39" t="s">
        <v>109</v>
      </c>
      <c r="H344" s="40" t="s">
        <v>4693</v>
      </c>
      <c r="I344" s="40" t="s">
        <v>104</v>
      </c>
      <c r="J344" s="50"/>
      <c r="K344" s="116">
        <f>IFERROR(VLOOKUP(B344,BD_CONTROL!$A$5:$M$4235,11,0),"")</f>
        <v>0</v>
      </c>
      <c r="L344" s="117">
        <f>IFERROR(VLOOKUP(B344,BD_CONTROL!$A$5:$M$4235,12,0),"")</f>
        <v>0</v>
      </c>
      <c r="M344" s="118">
        <f>IFERROR(VLOOKUP(B344,BD_CONTROL!$A$5:$M$4235,13,0),"")</f>
        <v>0</v>
      </c>
    </row>
    <row r="345" spans="1:13" ht="15" customHeight="1">
      <c r="A345" s="42">
        <v>340</v>
      </c>
      <c r="B345" s="42" t="s">
        <v>4983</v>
      </c>
      <c r="C345" s="43" t="s">
        <v>4984</v>
      </c>
      <c r="D345" s="42" t="s">
        <v>4690</v>
      </c>
      <c r="E345" s="43" t="s">
        <v>4691</v>
      </c>
      <c r="F345" s="43" t="s">
        <v>4692</v>
      </c>
      <c r="G345" s="42" t="s">
        <v>109</v>
      </c>
      <c r="H345" s="43" t="s">
        <v>4693</v>
      </c>
      <c r="I345" s="43" t="s">
        <v>104</v>
      </c>
      <c r="J345" s="55"/>
      <c r="K345" s="119" t="str">
        <f>IFERROR(VLOOKUP(B345,BD_CONTROL!$A$5:$M$4235,11,0),"")</f>
        <v>Instalado - Operando</v>
      </c>
      <c r="L345" s="120">
        <f>IFERROR(VLOOKUP(B345,BD_CONTROL!$A$5:$M$4235,12,0),"")</f>
        <v>46149</v>
      </c>
      <c r="M345" s="121">
        <f>IFERROR(VLOOKUP(B345,BD_CONTROL!$A$5:$M$4235,13,0),"")</f>
        <v>0</v>
      </c>
    </row>
    <row r="346" spans="1:13" ht="15" customHeight="1">
      <c r="A346" s="39">
        <v>341</v>
      </c>
      <c r="B346" s="39" t="s">
        <v>4985</v>
      </c>
      <c r="C346" s="40" t="s">
        <v>4986</v>
      </c>
      <c r="D346" s="39" t="s">
        <v>4690</v>
      </c>
      <c r="E346" s="40" t="s">
        <v>4857</v>
      </c>
      <c r="F346" s="40" t="s">
        <v>4987</v>
      </c>
      <c r="G346" s="39" t="s">
        <v>109</v>
      </c>
      <c r="H346" s="40" t="s">
        <v>4693</v>
      </c>
      <c r="I346" s="40" t="s">
        <v>104</v>
      </c>
      <c r="J346" s="50"/>
      <c r="K346" s="116">
        <f>IFERROR(VLOOKUP(B346,BD_CONTROL!$A$5:$M$4235,11,0),"")</f>
        <v>0</v>
      </c>
      <c r="L346" s="117">
        <f>IFERROR(VLOOKUP(B346,BD_CONTROL!$A$5:$M$4235,12,0),"")</f>
        <v>0</v>
      </c>
      <c r="M346" s="118">
        <f>IFERROR(VLOOKUP(B346,BD_CONTROL!$A$5:$M$4235,13,0),"")</f>
        <v>0</v>
      </c>
    </row>
    <row r="347" spans="1:13" ht="15" customHeight="1">
      <c r="A347" s="42">
        <v>342</v>
      </c>
      <c r="B347" s="42" t="s">
        <v>4988</v>
      </c>
      <c r="C347" s="43" t="s">
        <v>4989</v>
      </c>
      <c r="D347" s="42" t="s">
        <v>4690</v>
      </c>
      <c r="E347" s="43" t="s">
        <v>4857</v>
      </c>
      <c r="F347" s="43" t="s">
        <v>4990</v>
      </c>
      <c r="G347" s="42" t="s">
        <v>109</v>
      </c>
      <c r="H347" s="43" t="s">
        <v>4693</v>
      </c>
      <c r="I347" s="43" t="s">
        <v>104</v>
      </c>
      <c r="J347" s="55"/>
      <c r="K347" s="119">
        <f>IFERROR(VLOOKUP(B347,BD_CONTROL!$A$5:$M$4235,11,0),"")</f>
        <v>0</v>
      </c>
      <c r="L347" s="120">
        <f>IFERROR(VLOOKUP(B347,BD_CONTROL!$A$5:$M$4235,12,0),"")</f>
        <v>0</v>
      </c>
      <c r="M347" s="121">
        <f>IFERROR(VLOOKUP(B347,BD_CONTROL!$A$5:$M$4235,13,0),"")</f>
        <v>0</v>
      </c>
    </row>
    <row r="348" spans="1:13" ht="15" customHeight="1">
      <c r="A348" s="39">
        <v>343</v>
      </c>
      <c r="B348" s="39" t="s">
        <v>4991</v>
      </c>
      <c r="C348" s="40" t="s">
        <v>4992</v>
      </c>
      <c r="D348" s="39" t="s">
        <v>4690</v>
      </c>
      <c r="E348" s="40" t="s">
        <v>4993</v>
      </c>
      <c r="F348" s="40" t="s">
        <v>4994</v>
      </c>
      <c r="G348" s="39" t="s">
        <v>109</v>
      </c>
      <c r="H348" s="40" t="s">
        <v>4693</v>
      </c>
      <c r="I348" s="40" t="s">
        <v>104</v>
      </c>
      <c r="J348" s="50"/>
      <c r="K348" s="116">
        <f>IFERROR(VLOOKUP(B348,BD_CONTROL!$A$5:$M$4235,11,0),"")</f>
        <v>0</v>
      </c>
      <c r="L348" s="117">
        <f>IFERROR(VLOOKUP(B348,BD_CONTROL!$A$5:$M$4235,12,0),"")</f>
        <v>0</v>
      </c>
      <c r="M348" s="118">
        <f>IFERROR(VLOOKUP(B348,BD_CONTROL!$A$5:$M$4235,13,0),"")</f>
        <v>0</v>
      </c>
    </row>
    <row r="349" spans="1:13" ht="15" customHeight="1">
      <c r="A349" s="42">
        <v>344</v>
      </c>
      <c r="B349" s="42" t="s">
        <v>4995</v>
      </c>
      <c r="C349" s="43" t="s">
        <v>4996</v>
      </c>
      <c r="D349" s="42" t="s">
        <v>4690</v>
      </c>
      <c r="E349" s="43" t="s">
        <v>4715</v>
      </c>
      <c r="F349" s="43" t="s">
        <v>4719</v>
      </c>
      <c r="G349" s="42" t="s">
        <v>109</v>
      </c>
      <c r="H349" s="43" t="s">
        <v>4693</v>
      </c>
      <c r="I349" s="43" t="s">
        <v>104</v>
      </c>
      <c r="J349" s="55"/>
      <c r="K349" s="119">
        <f>IFERROR(VLOOKUP(B349,BD_CONTROL!$A$5:$M$4235,11,0),"")</f>
        <v>0</v>
      </c>
      <c r="L349" s="120">
        <f>IFERROR(VLOOKUP(B349,BD_CONTROL!$A$5:$M$4235,12,0),"")</f>
        <v>0</v>
      </c>
      <c r="M349" s="121">
        <f>IFERROR(VLOOKUP(B349,BD_CONTROL!$A$5:$M$4235,13,0),"")</f>
        <v>0</v>
      </c>
    </row>
    <row r="350" spans="1:13" ht="15" customHeight="1">
      <c r="A350" s="39">
        <v>345</v>
      </c>
      <c r="B350" s="39" t="s">
        <v>5000</v>
      </c>
      <c r="C350" s="40" t="s">
        <v>5001</v>
      </c>
      <c r="D350" s="39" t="s">
        <v>4690</v>
      </c>
      <c r="E350" s="40" t="s">
        <v>4847</v>
      </c>
      <c r="F350" s="40" t="s">
        <v>4854</v>
      </c>
      <c r="G350" s="39" t="s">
        <v>109</v>
      </c>
      <c r="H350" s="40" t="s">
        <v>4693</v>
      </c>
      <c r="I350" s="40" t="s">
        <v>104</v>
      </c>
      <c r="J350" s="50"/>
      <c r="K350" s="116">
        <f>IFERROR(VLOOKUP(B350,BD_CONTROL!$A$5:$M$4235,11,0),"")</f>
        <v>0</v>
      </c>
      <c r="L350" s="117">
        <f>IFERROR(VLOOKUP(B350,BD_CONTROL!$A$5:$M$4235,12,0),"")</f>
        <v>0</v>
      </c>
      <c r="M350" s="118">
        <f>IFERROR(VLOOKUP(B350,BD_CONTROL!$A$5:$M$4235,13,0),"")</f>
        <v>0</v>
      </c>
    </row>
    <row r="351" spans="1:13" ht="15" customHeight="1">
      <c r="A351" s="42">
        <v>346</v>
      </c>
      <c r="B351" s="42" t="s">
        <v>5002</v>
      </c>
      <c r="C351" s="43" t="s">
        <v>5003</v>
      </c>
      <c r="D351" s="42" t="s">
        <v>4690</v>
      </c>
      <c r="E351" s="43" t="s">
        <v>4715</v>
      </c>
      <c r="F351" s="43" t="s">
        <v>5004</v>
      </c>
      <c r="G351" s="42" t="s">
        <v>109</v>
      </c>
      <c r="H351" s="43" t="s">
        <v>4693</v>
      </c>
      <c r="I351" s="43" t="s">
        <v>104</v>
      </c>
      <c r="J351" s="55"/>
      <c r="K351" s="119">
        <f>IFERROR(VLOOKUP(B351,BD_CONTROL!$A$5:$M$4235,11,0),"")</f>
        <v>0</v>
      </c>
      <c r="L351" s="120">
        <f>IFERROR(VLOOKUP(B351,BD_CONTROL!$A$5:$M$4235,12,0),"")</f>
        <v>0</v>
      </c>
      <c r="M351" s="121">
        <f>IFERROR(VLOOKUP(B351,BD_CONTROL!$A$5:$M$4235,13,0),"")</f>
        <v>0</v>
      </c>
    </row>
    <row r="352" spans="1:13" ht="15" customHeight="1">
      <c r="A352" s="39">
        <v>347</v>
      </c>
      <c r="B352" s="39" t="s">
        <v>5005</v>
      </c>
      <c r="C352" s="40" t="s">
        <v>5006</v>
      </c>
      <c r="D352" s="39" t="s">
        <v>4690</v>
      </c>
      <c r="E352" s="40" t="s">
        <v>5007</v>
      </c>
      <c r="F352" s="40" t="s">
        <v>5008</v>
      </c>
      <c r="G352" s="39" t="s">
        <v>109</v>
      </c>
      <c r="H352" s="40" t="s">
        <v>4693</v>
      </c>
      <c r="I352" s="40" t="s">
        <v>104</v>
      </c>
      <c r="J352" s="50"/>
      <c r="K352" s="116">
        <f>IFERROR(VLOOKUP(B352,BD_CONTROL!$A$5:$M$4235,11,0),"")</f>
        <v>0</v>
      </c>
      <c r="L352" s="117">
        <f>IFERROR(VLOOKUP(B352,BD_CONTROL!$A$5:$M$4235,12,0),"")</f>
        <v>0</v>
      </c>
      <c r="M352" s="118">
        <f>IFERROR(VLOOKUP(B352,BD_CONTROL!$A$5:$M$4235,13,0),"")</f>
        <v>0</v>
      </c>
    </row>
    <row r="353" spans="1:13" ht="15" customHeight="1">
      <c r="A353" s="42">
        <v>348</v>
      </c>
      <c r="B353" s="42" t="s">
        <v>5009</v>
      </c>
      <c r="C353" s="43" t="s">
        <v>5001</v>
      </c>
      <c r="D353" s="42" t="s">
        <v>4690</v>
      </c>
      <c r="E353" s="43" t="s">
        <v>4832</v>
      </c>
      <c r="F353" s="43" t="s">
        <v>5010</v>
      </c>
      <c r="G353" s="42" t="s">
        <v>109</v>
      </c>
      <c r="H353" s="43" t="s">
        <v>4693</v>
      </c>
      <c r="I353" s="43" t="s">
        <v>104</v>
      </c>
      <c r="J353" s="55"/>
      <c r="K353" s="119">
        <f>IFERROR(VLOOKUP(B353,BD_CONTROL!$A$5:$M$4235,11,0),"")</f>
        <v>0</v>
      </c>
      <c r="L353" s="120">
        <f>IFERROR(VLOOKUP(B353,BD_CONTROL!$A$5:$M$4235,12,0),"")</f>
        <v>0</v>
      </c>
      <c r="M353" s="121">
        <f>IFERROR(VLOOKUP(B353,BD_CONTROL!$A$5:$M$4235,13,0),"")</f>
        <v>0</v>
      </c>
    </row>
    <row r="354" spans="1:13" ht="15" customHeight="1">
      <c r="A354" s="39">
        <v>349</v>
      </c>
      <c r="B354" s="39" t="s">
        <v>5011</v>
      </c>
      <c r="C354" s="40" t="s">
        <v>5012</v>
      </c>
      <c r="D354" s="39" t="s">
        <v>4690</v>
      </c>
      <c r="E354" s="40" t="s">
        <v>5013</v>
      </c>
      <c r="F354" s="40" t="s">
        <v>5014</v>
      </c>
      <c r="G354" s="39" t="s">
        <v>109</v>
      </c>
      <c r="H354" s="40" t="s">
        <v>4693</v>
      </c>
      <c r="I354" s="40" t="s">
        <v>104</v>
      </c>
      <c r="J354" s="50"/>
      <c r="K354" s="116">
        <f>IFERROR(VLOOKUP(B354,BD_CONTROL!$A$5:$M$4235,11,0),"")</f>
        <v>0</v>
      </c>
      <c r="L354" s="117">
        <f>IFERROR(VLOOKUP(B354,BD_CONTROL!$A$5:$M$4235,12,0),"")</f>
        <v>0</v>
      </c>
      <c r="M354" s="118">
        <f>IFERROR(VLOOKUP(B354,BD_CONTROL!$A$5:$M$4235,13,0),"")</f>
        <v>0</v>
      </c>
    </row>
    <row r="355" spans="1:13" ht="15" customHeight="1">
      <c r="A355" s="42">
        <v>350</v>
      </c>
      <c r="B355" s="42" t="s">
        <v>5015</v>
      </c>
      <c r="C355" s="43" t="s">
        <v>3500</v>
      </c>
      <c r="D355" s="42" t="s">
        <v>4690</v>
      </c>
      <c r="E355" s="43" t="s">
        <v>5016</v>
      </c>
      <c r="F355" s="43" t="s">
        <v>5017</v>
      </c>
      <c r="G355" s="42" t="s">
        <v>109</v>
      </c>
      <c r="H355" s="43" t="s">
        <v>4693</v>
      </c>
      <c r="I355" s="43" t="s">
        <v>104</v>
      </c>
      <c r="J355" s="55"/>
      <c r="K355" s="119">
        <f>IFERROR(VLOOKUP(B355,BD_CONTROL!$A$5:$M$4235,11,0),"")</f>
        <v>0</v>
      </c>
      <c r="L355" s="120">
        <f>IFERROR(VLOOKUP(B355,BD_CONTROL!$A$5:$M$4235,12,0),"")</f>
        <v>0</v>
      </c>
      <c r="M355" s="121">
        <f>IFERROR(VLOOKUP(B355,BD_CONTROL!$A$5:$M$4235,13,0),"")</f>
        <v>0</v>
      </c>
    </row>
    <row r="356" spans="1:13" ht="15" customHeight="1">
      <c r="A356" s="39">
        <v>351</v>
      </c>
      <c r="B356" s="39" t="s">
        <v>5018</v>
      </c>
      <c r="C356" s="40" t="s">
        <v>5019</v>
      </c>
      <c r="D356" s="39" t="s">
        <v>4690</v>
      </c>
      <c r="E356" s="40" t="s">
        <v>4744</v>
      </c>
      <c r="F356" s="40" t="s">
        <v>4744</v>
      </c>
      <c r="G356" s="39" t="s">
        <v>102</v>
      </c>
      <c r="H356" s="40" t="s">
        <v>4693</v>
      </c>
      <c r="I356" s="40" t="s">
        <v>104</v>
      </c>
      <c r="J356" s="50"/>
      <c r="K356" s="116">
        <f>IFERROR(VLOOKUP(B356,BD_CONTROL!$A$5:$M$4235,11,0),"")</f>
        <v>0</v>
      </c>
      <c r="L356" s="117">
        <f>IFERROR(VLOOKUP(B356,BD_CONTROL!$A$5:$M$4235,12,0),"")</f>
        <v>0</v>
      </c>
      <c r="M356" s="118">
        <f>IFERROR(VLOOKUP(B356,BD_CONTROL!$A$5:$M$4235,13,0),"")</f>
        <v>0</v>
      </c>
    </row>
    <row r="357" spans="1:13" ht="15" customHeight="1">
      <c r="A357" s="42">
        <v>352</v>
      </c>
      <c r="B357" s="42" t="s">
        <v>5020</v>
      </c>
      <c r="C357" s="43" t="s">
        <v>5021</v>
      </c>
      <c r="D357" s="42" t="s">
        <v>4690</v>
      </c>
      <c r="E357" s="43" t="s">
        <v>4744</v>
      </c>
      <c r="F357" s="43" t="s">
        <v>5022</v>
      </c>
      <c r="G357" s="42" t="s">
        <v>109</v>
      </c>
      <c r="H357" s="43" t="s">
        <v>4693</v>
      </c>
      <c r="I357" s="43" t="s">
        <v>104</v>
      </c>
      <c r="J357" s="55"/>
      <c r="K357" s="119">
        <f>IFERROR(VLOOKUP(B357,BD_CONTROL!$A$5:$M$4235,11,0),"")</f>
        <v>0</v>
      </c>
      <c r="L357" s="120">
        <f>IFERROR(VLOOKUP(B357,BD_CONTROL!$A$5:$M$4235,12,0),"")</f>
        <v>0</v>
      </c>
      <c r="M357" s="121">
        <f>IFERROR(VLOOKUP(B357,BD_CONTROL!$A$5:$M$4235,13,0),"")</f>
        <v>0</v>
      </c>
    </row>
    <row r="358" spans="1:13" ht="15" customHeight="1">
      <c r="A358" s="39">
        <v>353</v>
      </c>
      <c r="B358" s="39" t="s">
        <v>5023</v>
      </c>
      <c r="C358" s="40" t="s">
        <v>5024</v>
      </c>
      <c r="D358" s="39" t="s">
        <v>4690</v>
      </c>
      <c r="E358" s="40" t="s">
        <v>4744</v>
      </c>
      <c r="F358" s="40" t="s">
        <v>4744</v>
      </c>
      <c r="G358" s="39" t="s">
        <v>102</v>
      </c>
      <c r="H358" s="40" t="s">
        <v>4693</v>
      </c>
      <c r="I358" s="40" t="s">
        <v>104</v>
      </c>
      <c r="J358" s="50"/>
      <c r="K358" s="116" t="str">
        <f>IFERROR(VLOOKUP(B358,BD_CONTROL!$A$5:$M$4235,11,0),"")</f>
        <v>Instalado - Operando</v>
      </c>
      <c r="L358" s="117">
        <f>IFERROR(VLOOKUP(B358,BD_CONTROL!$A$5:$M$4235,12,0),"")</f>
        <v>46150</v>
      </c>
      <c r="M358" s="118">
        <f>IFERROR(VLOOKUP(B358,BD_CONTROL!$A$5:$M$4235,13,0),"")</f>
        <v>0</v>
      </c>
    </row>
    <row r="359" spans="1:13" ht="15" customHeight="1">
      <c r="A359" s="42">
        <v>354</v>
      </c>
      <c r="B359" s="42" t="s">
        <v>5025</v>
      </c>
      <c r="C359" s="43" t="s">
        <v>5026</v>
      </c>
      <c r="D359" s="42" t="s">
        <v>4690</v>
      </c>
      <c r="E359" s="43" t="s">
        <v>4744</v>
      </c>
      <c r="F359" s="43" t="s">
        <v>5027</v>
      </c>
      <c r="G359" s="42" t="s">
        <v>109</v>
      </c>
      <c r="H359" s="43" t="s">
        <v>4693</v>
      </c>
      <c r="I359" s="43" t="s">
        <v>104</v>
      </c>
      <c r="J359" s="55"/>
      <c r="K359" s="119">
        <f>IFERROR(VLOOKUP(B359,BD_CONTROL!$A$5:$M$4235,11,0),"")</f>
        <v>0</v>
      </c>
      <c r="L359" s="120">
        <f>IFERROR(VLOOKUP(B359,BD_CONTROL!$A$5:$M$4235,12,0),"")</f>
        <v>0</v>
      </c>
      <c r="M359" s="121">
        <f>IFERROR(VLOOKUP(B359,BD_CONTROL!$A$5:$M$4235,13,0),"")</f>
        <v>0</v>
      </c>
    </row>
    <row r="360" spans="1:13" ht="15" customHeight="1">
      <c r="A360" s="39">
        <v>355</v>
      </c>
      <c r="B360" s="39" t="s">
        <v>5028</v>
      </c>
      <c r="C360" s="40" t="s">
        <v>5029</v>
      </c>
      <c r="D360" s="39" t="s">
        <v>4690</v>
      </c>
      <c r="E360" s="40" t="s">
        <v>4744</v>
      </c>
      <c r="F360" s="40" t="s">
        <v>5030</v>
      </c>
      <c r="G360" s="39" t="s">
        <v>102</v>
      </c>
      <c r="H360" s="40" t="s">
        <v>4693</v>
      </c>
      <c r="I360" s="40" t="s">
        <v>104</v>
      </c>
      <c r="J360" s="50"/>
      <c r="K360" s="116">
        <f>IFERROR(VLOOKUP(B360,BD_CONTROL!$A$5:$M$4235,11,0),"")</f>
        <v>0</v>
      </c>
      <c r="L360" s="117">
        <f>IFERROR(VLOOKUP(B360,BD_CONTROL!$A$5:$M$4235,12,0),"")</f>
        <v>0</v>
      </c>
      <c r="M360" s="118">
        <f>IFERROR(VLOOKUP(B360,BD_CONTROL!$A$5:$M$4235,13,0),"")</f>
        <v>0</v>
      </c>
    </row>
    <row r="361" spans="1:13" ht="15" customHeight="1">
      <c r="A361" s="42">
        <v>356</v>
      </c>
      <c r="B361" s="42" t="s">
        <v>5031</v>
      </c>
      <c r="C361" s="43" t="s">
        <v>5032</v>
      </c>
      <c r="D361" s="42" t="s">
        <v>4690</v>
      </c>
      <c r="E361" s="43" t="s">
        <v>5033</v>
      </c>
      <c r="F361" s="43" t="s">
        <v>5034</v>
      </c>
      <c r="G361" s="42" t="s">
        <v>109</v>
      </c>
      <c r="H361" s="43" t="s">
        <v>4693</v>
      </c>
      <c r="I361" s="43" t="s">
        <v>104</v>
      </c>
      <c r="J361" s="55"/>
      <c r="K361" s="119">
        <f>IFERROR(VLOOKUP(B361,BD_CONTROL!$A$5:$M$4235,11,0),"")</f>
        <v>0</v>
      </c>
      <c r="L361" s="120">
        <f>IFERROR(VLOOKUP(B361,BD_CONTROL!$A$5:$M$4235,12,0),"")</f>
        <v>0</v>
      </c>
      <c r="M361" s="121">
        <f>IFERROR(VLOOKUP(B361,BD_CONTROL!$A$5:$M$4235,13,0),"")</f>
        <v>0</v>
      </c>
    </row>
    <row r="362" spans="1:13" ht="15" customHeight="1">
      <c r="A362" s="39">
        <v>357</v>
      </c>
      <c r="B362" s="39" t="s">
        <v>5035</v>
      </c>
      <c r="C362" s="40" t="s">
        <v>5036</v>
      </c>
      <c r="D362" s="39" t="s">
        <v>4690</v>
      </c>
      <c r="E362" s="40" t="s">
        <v>4744</v>
      </c>
      <c r="F362" s="40" t="s">
        <v>5037</v>
      </c>
      <c r="G362" s="39" t="s">
        <v>109</v>
      </c>
      <c r="H362" s="40" t="s">
        <v>4693</v>
      </c>
      <c r="I362" s="40" t="s">
        <v>104</v>
      </c>
      <c r="J362" s="50"/>
      <c r="K362" s="116">
        <f>IFERROR(VLOOKUP(B362,BD_CONTROL!$A$5:$M$4235,11,0),"")</f>
        <v>0</v>
      </c>
      <c r="L362" s="117">
        <f>IFERROR(VLOOKUP(B362,BD_CONTROL!$A$5:$M$4235,12,0),"")</f>
        <v>0</v>
      </c>
      <c r="M362" s="118">
        <f>IFERROR(VLOOKUP(B362,BD_CONTROL!$A$5:$M$4235,13,0),"")</f>
        <v>0</v>
      </c>
    </row>
    <row r="363" spans="1:13" ht="15" customHeight="1">
      <c r="A363" s="42">
        <v>358</v>
      </c>
      <c r="B363" s="42" t="s">
        <v>5038</v>
      </c>
      <c r="C363" s="43" t="s">
        <v>5039</v>
      </c>
      <c r="D363" s="42" t="s">
        <v>4690</v>
      </c>
      <c r="E363" s="43" t="s">
        <v>4744</v>
      </c>
      <c r="F363" s="43" t="s">
        <v>4744</v>
      </c>
      <c r="G363" s="42" t="s">
        <v>102</v>
      </c>
      <c r="H363" s="43" t="s">
        <v>4693</v>
      </c>
      <c r="I363" s="43" t="s">
        <v>104</v>
      </c>
      <c r="J363" s="55"/>
      <c r="K363" s="119">
        <f>IFERROR(VLOOKUP(B363,BD_CONTROL!$A$5:$M$4235,11,0),"")</f>
        <v>0</v>
      </c>
      <c r="L363" s="120">
        <f>IFERROR(VLOOKUP(B363,BD_CONTROL!$A$5:$M$4235,12,0),"")</f>
        <v>0</v>
      </c>
      <c r="M363" s="121">
        <f>IFERROR(VLOOKUP(B363,BD_CONTROL!$A$5:$M$4235,13,0),"")</f>
        <v>0</v>
      </c>
    </row>
    <row r="364" spans="1:13" ht="15" customHeight="1">
      <c r="A364" s="39">
        <v>359</v>
      </c>
      <c r="B364" s="39" t="s">
        <v>5040</v>
      </c>
      <c r="C364" s="40" t="s">
        <v>5041</v>
      </c>
      <c r="D364" s="39" t="s">
        <v>4690</v>
      </c>
      <c r="E364" s="40" t="s">
        <v>658</v>
      </c>
      <c r="F364" s="40" t="s">
        <v>1455</v>
      </c>
      <c r="G364" s="39" t="s">
        <v>109</v>
      </c>
      <c r="H364" s="40" t="s">
        <v>4693</v>
      </c>
      <c r="I364" s="40" t="s">
        <v>104</v>
      </c>
      <c r="J364" s="50"/>
      <c r="K364" s="116">
        <f>IFERROR(VLOOKUP(B364,BD_CONTROL!$A$5:$M$4235,11,0),"")</f>
        <v>0</v>
      </c>
      <c r="L364" s="117">
        <f>IFERROR(VLOOKUP(B364,BD_CONTROL!$A$5:$M$4235,12,0),"")</f>
        <v>0</v>
      </c>
      <c r="M364" s="118">
        <f>IFERROR(VLOOKUP(B364,BD_CONTROL!$A$5:$M$4235,13,0),"")</f>
        <v>0</v>
      </c>
    </row>
    <row r="365" spans="1:13" ht="15" customHeight="1">
      <c r="A365" s="42">
        <v>360</v>
      </c>
      <c r="B365" s="42" t="s">
        <v>5042</v>
      </c>
      <c r="C365" s="43" t="s">
        <v>4966</v>
      </c>
      <c r="D365" s="42" t="s">
        <v>4690</v>
      </c>
      <c r="E365" s="43" t="s">
        <v>4872</v>
      </c>
      <c r="F365" s="43" t="s">
        <v>5043</v>
      </c>
      <c r="G365" s="42" t="s">
        <v>109</v>
      </c>
      <c r="H365" s="43" t="s">
        <v>4693</v>
      </c>
      <c r="I365" s="43" t="s">
        <v>104</v>
      </c>
      <c r="J365" s="55"/>
      <c r="K365" s="119">
        <f>IFERROR(VLOOKUP(B365,BD_CONTROL!$A$5:$M$4235,11,0),"")</f>
        <v>0</v>
      </c>
      <c r="L365" s="120">
        <f>IFERROR(VLOOKUP(B365,BD_CONTROL!$A$5:$M$4235,12,0),"")</f>
        <v>0</v>
      </c>
      <c r="M365" s="121">
        <f>IFERROR(VLOOKUP(B365,BD_CONTROL!$A$5:$M$4235,13,0),"")</f>
        <v>0</v>
      </c>
    </row>
    <row r="366" spans="1:13" ht="15" customHeight="1">
      <c r="A366" s="39">
        <v>361</v>
      </c>
      <c r="B366" s="39" t="s">
        <v>5044</v>
      </c>
      <c r="C366" s="40" t="s">
        <v>5045</v>
      </c>
      <c r="D366" s="39" t="s">
        <v>4690</v>
      </c>
      <c r="E366" s="40" t="s">
        <v>5046</v>
      </c>
      <c r="F366" s="40" t="s">
        <v>5047</v>
      </c>
      <c r="G366" s="39" t="s">
        <v>109</v>
      </c>
      <c r="H366" s="40" t="s">
        <v>4693</v>
      </c>
      <c r="I366" s="40" t="s">
        <v>104</v>
      </c>
      <c r="J366" s="50"/>
      <c r="K366" s="116">
        <f>IFERROR(VLOOKUP(B366,BD_CONTROL!$A$5:$M$4235,11,0),"")</f>
        <v>0</v>
      </c>
      <c r="L366" s="117">
        <f>IFERROR(VLOOKUP(B366,BD_CONTROL!$A$5:$M$4235,12,0),"")</f>
        <v>0</v>
      </c>
      <c r="M366" s="118">
        <f>IFERROR(VLOOKUP(B366,BD_CONTROL!$A$5:$M$4235,13,0),"")</f>
        <v>0</v>
      </c>
    </row>
    <row r="367" spans="1:13" ht="15" customHeight="1">
      <c r="A367" s="42">
        <v>362</v>
      </c>
      <c r="B367" s="42" t="s">
        <v>5048</v>
      </c>
      <c r="C367" s="43" t="s">
        <v>1204</v>
      </c>
      <c r="D367" s="42" t="s">
        <v>4690</v>
      </c>
      <c r="E367" s="43" t="s">
        <v>4828</v>
      </c>
      <c r="F367" s="43" t="s">
        <v>1244</v>
      </c>
      <c r="G367" s="42" t="s">
        <v>109</v>
      </c>
      <c r="H367" s="43" t="s">
        <v>4693</v>
      </c>
      <c r="I367" s="43" t="s">
        <v>104</v>
      </c>
      <c r="J367" s="55"/>
      <c r="K367" s="119">
        <f>IFERROR(VLOOKUP(B367,BD_CONTROL!$A$5:$M$4235,11,0),"")</f>
        <v>0</v>
      </c>
      <c r="L367" s="120">
        <f>IFERROR(VLOOKUP(B367,BD_CONTROL!$A$5:$M$4235,12,0),"")</f>
        <v>0</v>
      </c>
      <c r="M367" s="121">
        <f>IFERROR(VLOOKUP(B367,BD_CONTROL!$A$5:$M$4235,13,0),"")</f>
        <v>0</v>
      </c>
    </row>
    <row r="368" spans="1:13" ht="15" customHeight="1">
      <c r="A368" s="39">
        <v>363</v>
      </c>
      <c r="B368" s="39" t="s">
        <v>5049</v>
      </c>
      <c r="C368" s="40" t="s">
        <v>1204</v>
      </c>
      <c r="D368" s="39" t="s">
        <v>4690</v>
      </c>
      <c r="E368" s="40" t="s">
        <v>4762</v>
      </c>
      <c r="F368" s="40" t="s">
        <v>4763</v>
      </c>
      <c r="G368" s="39" t="s">
        <v>109</v>
      </c>
      <c r="H368" s="40" t="s">
        <v>4693</v>
      </c>
      <c r="I368" s="40" t="s">
        <v>104</v>
      </c>
      <c r="J368" s="50"/>
      <c r="K368" s="116">
        <f>IFERROR(VLOOKUP(B368,BD_CONTROL!$A$5:$M$4235,11,0),"")</f>
        <v>0</v>
      </c>
      <c r="L368" s="117">
        <f>IFERROR(VLOOKUP(B368,BD_CONTROL!$A$5:$M$4235,12,0),"")</f>
        <v>0</v>
      </c>
      <c r="M368" s="118">
        <f>IFERROR(VLOOKUP(B368,BD_CONTROL!$A$5:$M$4235,13,0),"")</f>
        <v>0</v>
      </c>
    </row>
    <row r="369" spans="1:13" ht="15" customHeight="1">
      <c r="A369" s="42">
        <v>364</v>
      </c>
      <c r="B369" s="42" t="s">
        <v>5050</v>
      </c>
      <c r="C369" s="43" t="s">
        <v>5051</v>
      </c>
      <c r="D369" s="42" t="s">
        <v>4690</v>
      </c>
      <c r="E369" s="43" t="s">
        <v>4770</v>
      </c>
      <c r="F369" s="43" t="s">
        <v>4771</v>
      </c>
      <c r="G369" s="42" t="s">
        <v>109</v>
      </c>
      <c r="H369" s="43" t="s">
        <v>4693</v>
      </c>
      <c r="I369" s="43" t="s">
        <v>104</v>
      </c>
      <c r="J369" s="55"/>
      <c r="K369" s="119">
        <f>IFERROR(VLOOKUP(B369,BD_CONTROL!$A$5:$M$4235,11,0),"")</f>
        <v>0</v>
      </c>
      <c r="L369" s="120">
        <f>IFERROR(VLOOKUP(B369,BD_CONTROL!$A$5:$M$4235,12,0),"")</f>
        <v>0</v>
      </c>
      <c r="M369" s="121">
        <f>IFERROR(VLOOKUP(B369,BD_CONTROL!$A$5:$M$4235,13,0),"")</f>
        <v>0</v>
      </c>
    </row>
    <row r="370" spans="1:13" ht="15" customHeight="1">
      <c r="A370" s="39">
        <v>365</v>
      </c>
      <c r="B370" s="39" t="s">
        <v>5052</v>
      </c>
      <c r="C370" s="40" t="s">
        <v>5053</v>
      </c>
      <c r="D370" s="39" t="s">
        <v>4690</v>
      </c>
      <c r="E370" s="40" t="s">
        <v>4778</v>
      </c>
      <c r="F370" s="40" t="s">
        <v>5054</v>
      </c>
      <c r="G370" s="39" t="s">
        <v>109</v>
      </c>
      <c r="H370" s="40" t="s">
        <v>4693</v>
      </c>
      <c r="I370" s="40" t="s">
        <v>104</v>
      </c>
      <c r="J370" s="50"/>
      <c r="K370" s="116">
        <f>IFERROR(VLOOKUP(B370,BD_CONTROL!$A$5:$M$4235,11,0),"")</f>
        <v>0</v>
      </c>
      <c r="L370" s="117">
        <f>IFERROR(VLOOKUP(B370,BD_CONTROL!$A$5:$M$4235,12,0),"")</f>
        <v>0</v>
      </c>
      <c r="M370" s="118">
        <f>IFERROR(VLOOKUP(B370,BD_CONTROL!$A$5:$M$4235,13,0),"")</f>
        <v>0</v>
      </c>
    </row>
    <row r="371" spans="1:13" ht="15" customHeight="1">
      <c r="A371" s="42">
        <v>366</v>
      </c>
      <c r="B371" s="42" t="s">
        <v>5055</v>
      </c>
      <c r="C371" s="43" t="s">
        <v>5056</v>
      </c>
      <c r="D371" s="42" t="s">
        <v>4690</v>
      </c>
      <c r="E371" s="43" t="s">
        <v>4778</v>
      </c>
      <c r="F371" s="43" t="s">
        <v>4779</v>
      </c>
      <c r="G371" s="42" t="s">
        <v>109</v>
      </c>
      <c r="H371" s="43" t="s">
        <v>4693</v>
      </c>
      <c r="I371" s="43" t="s">
        <v>104</v>
      </c>
      <c r="J371" s="55"/>
      <c r="K371" s="119">
        <f>IFERROR(VLOOKUP(B371,BD_CONTROL!$A$5:$M$4235,11,0),"")</f>
        <v>0</v>
      </c>
      <c r="L371" s="120">
        <f>IFERROR(VLOOKUP(B371,BD_CONTROL!$A$5:$M$4235,12,0),"")</f>
        <v>0</v>
      </c>
      <c r="M371" s="121">
        <f>IFERROR(VLOOKUP(B371,BD_CONTROL!$A$5:$M$4235,13,0),"")</f>
        <v>0</v>
      </c>
    </row>
    <row r="372" spans="1:13" ht="15" customHeight="1">
      <c r="A372" s="39">
        <v>367</v>
      </c>
      <c r="B372" s="39" t="s">
        <v>5057</v>
      </c>
      <c r="C372" s="40" t="s">
        <v>5058</v>
      </c>
      <c r="D372" s="39" t="s">
        <v>4690</v>
      </c>
      <c r="E372" s="40" t="s">
        <v>4778</v>
      </c>
      <c r="F372" s="40" t="s">
        <v>5059</v>
      </c>
      <c r="G372" s="39" t="s">
        <v>109</v>
      </c>
      <c r="H372" s="40" t="s">
        <v>4693</v>
      </c>
      <c r="I372" s="40" t="s">
        <v>104</v>
      </c>
      <c r="J372" s="50"/>
      <c r="K372" s="116">
        <f>IFERROR(VLOOKUP(B372,BD_CONTROL!$A$5:$M$4235,11,0),"")</f>
        <v>0</v>
      </c>
      <c r="L372" s="117">
        <f>IFERROR(VLOOKUP(B372,BD_CONTROL!$A$5:$M$4235,12,0),"")</f>
        <v>0</v>
      </c>
      <c r="M372" s="118">
        <f>IFERROR(VLOOKUP(B372,BD_CONTROL!$A$5:$M$4235,13,0),"")</f>
        <v>0</v>
      </c>
    </row>
    <row r="373" spans="1:13" ht="15" customHeight="1">
      <c r="A373" s="42">
        <v>368</v>
      </c>
      <c r="B373" s="42" t="s">
        <v>5060</v>
      </c>
      <c r="C373" s="43" t="s">
        <v>5061</v>
      </c>
      <c r="D373" s="42" t="s">
        <v>4690</v>
      </c>
      <c r="E373" s="43" t="s">
        <v>4786</v>
      </c>
      <c r="F373" s="43" t="s">
        <v>5062</v>
      </c>
      <c r="G373" s="42" t="s">
        <v>109</v>
      </c>
      <c r="H373" s="43" t="s">
        <v>4693</v>
      </c>
      <c r="I373" s="43" t="s">
        <v>104</v>
      </c>
      <c r="J373" s="55"/>
      <c r="K373" s="119">
        <f>IFERROR(VLOOKUP(B373,BD_CONTROL!$A$5:$M$4235,11,0),"")</f>
        <v>0</v>
      </c>
      <c r="L373" s="120">
        <f>IFERROR(VLOOKUP(B373,BD_CONTROL!$A$5:$M$4235,12,0),"")</f>
        <v>0</v>
      </c>
      <c r="M373" s="121">
        <f>IFERROR(VLOOKUP(B373,BD_CONTROL!$A$5:$M$4235,13,0),"")</f>
        <v>0</v>
      </c>
    </row>
    <row r="374" spans="1:13" ht="15" customHeight="1">
      <c r="A374" s="39">
        <v>369</v>
      </c>
      <c r="B374" s="39" t="s">
        <v>5063</v>
      </c>
      <c r="C374" s="40" t="s">
        <v>5064</v>
      </c>
      <c r="D374" s="39" t="s">
        <v>4690</v>
      </c>
      <c r="E374" s="40" t="s">
        <v>4793</v>
      </c>
      <c r="F374" s="40" t="s">
        <v>5065</v>
      </c>
      <c r="G374" s="39" t="s">
        <v>109</v>
      </c>
      <c r="H374" s="40" t="s">
        <v>4693</v>
      </c>
      <c r="I374" s="40" t="s">
        <v>104</v>
      </c>
      <c r="J374" s="50"/>
      <c r="K374" s="116">
        <f>IFERROR(VLOOKUP(B374,BD_CONTROL!$A$5:$M$4235,11,0),"")</f>
        <v>0</v>
      </c>
      <c r="L374" s="117">
        <f>IFERROR(VLOOKUP(B374,BD_CONTROL!$A$5:$M$4235,12,0),"")</f>
        <v>0</v>
      </c>
      <c r="M374" s="118">
        <f>IFERROR(VLOOKUP(B374,BD_CONTROL!$A$5:$M$4235,13,0),"")</f>
        <v>0</v>
      </c>
    </row>
    <row r="375" spans="1:13" ht="15" customHeight="1">
      <c r="A375" s="42">
        <v>370</v>
      </c>
      <c r="B375" s="42" t="s">
        <v>5066</v>
      </c>
      <c r="C375" s="43" t="s">
        <v>254</v>
      </c>
      <c r="D375" s="42" t="s">
        <v>4690</v>
      </c>
      <c r="E375" s="43" t="s">
        <v>4770</v>
      </c>
      <c r="F375" s="43" t="s">
        <v>5067</v>
      </c>
      <c r="G375" s="42" t="s">
        <v>109</v>
      </c>
      <c r="H375" s="43" t="s">
        <v>4693</v>
      </c>
      <c r="I375" s="43" t="s">
        <v>104</v>
      </c>
      <c r="J375" s="55"/>
      <c r="K375" s="119">
        <f>IFERROR(VLOOKUP(B375,BD_CONTROL!$A$5:$M$4235,11,0),"")</f>
        <v>0</v>
      </c>
      <c r="L375" s="120">
        <f>IFERROR(VLOOKUP(B375,BD_CONTROL!$A$5:$M$4235,12,0),"")</f>
        <v>0</v>
      </c>
      <c r="M375" s="121">
        <f>IFERROR(VLOOKUP(B375,BD_CONTROL!$A$5:$M$4235,13,0),"")</f>
        <v>0</v>
      </c>
    </row>
    <row r="376" spans="1:13" ht="15" customHeight="1">
      <c r="A376" s="39">
        <v>371</v>
      </c>
      <c r="B376" s="39" t="s">
        <v>5070</v>
      </c>
      <c r="C376" s="40" t="s">
        <v>5071</v>
      </c>
      <c r="D376" s="39" t="s">
        <v>4690</v>
      </c>
      <c r="E376" s="40" t="s">
        <v>4805</v>
      </c>
      <c r="F376" s="40" t="s">
        <v>4805</v>
      </c>
      <c r="G376" s="39" t="s">
        <v>109</v>
      </c>
      <c r="H376" s="40" t="s">
        <v>4693</v>
      </c>
      <c r="I376" s="40" t="s">
        <v>104</v>
      </c>
      <c r="J376" s="50"/>
      <c r="K376" s="116">
        <f>IFERROR(VLOOKUP(B376,BD_CONTROL!$A$5:$M$4235,11,0),"")</f>
        <v>0</v>
      </c>
      <c r="L376" s="117">
        <f>IFERROR(VLOOKUP(B376,BD_CONTROL!$A$5:$M$4235,12,0),"")</f>
        <v>0</v>
      </c>
      <c r="M376" s="118">
        <f>IFERROR(VLOOKUP(B376,BD_CONTROL!$A$5:$M$4235,13,0),"")</f>
        <v>0</v>
      </c>
    </row>
    <row r="377" spans="1:13" ht="15" customHeight="1">
      <c r="A377" s="42">
        <v>372</v>
      </c>
      <c r="B377" s="42" t="s">
        <v>5072</v>
      </c>
      <c r="C377" s="43" t="s">
        <v>5073</v>
      </c>
      <c r="D377" s="42" t="s">
        <v>4690</v>
      </c>
      <c r="E377" s="43" t="s">
        <v>4812</v>
      </c>
      <c r="F377" s="43" t="s">
        <v>5074</v>
      </c>
      <c r="G377" s="42" t="s">
        <v>109</v>
      </c>
      <c r="H377" s="43" t="s">
        <v>4693</v>
      </c>
      <c r="I377" s="43" t="s">
        <v>104</v>
      </c>
      <c r="J377" s="55"/>
      <c r="K377" s="119" t="str">
        <f>IFERROR(VLOOKUP(B377,BD_CONTROL!$A$5:$M$4235,11,0),"")</f>
        <v>Instalado - Operando</v>
      </c>
      <c r="L377" s="120">
        <f>IFERROR(VLOOKUP(B377,BD_CONTROL!$A$5:$M$4235,12,0),"")</f>
        <v>46150</v>
      </c>
      <c r="M377" s="121">
        <f>IFERROR(VLOOKUP(B377,BD_CONTROL!$A$5:$M$4235,13,0),"")</f>
        <v>0</v>
      </c>
    </row>
    <row r="378" spans="1:13" ht="15" customHeight="1">
      <c r="A378" s="39">
        <v>373</v>
      </c>
      <c r="B378" s="39" t="s">
        <v>5075</v>
      </c>
      <c r="C378" s="40" t="s">
        <v>5076</v>
      </c>
      <c r="D378" s="39" t="s">
        <v>4690</v>
      </c>
      <c r="E378" s="40" t="s">
        <v>4824</v>
      </c>
      <c r="F378" s="40" t="s">
        <v>5077</v>
      </c>
      <c r="G378" s="39" t="s">
        <v>109</v>
      </c>
      <c r="H378" s="40" t="s">
        <v>4693</v>
      </c>
      <c r="I378" s="40" t="s">
        <v>104</v>
      </c>
      <c r="J378" s="50"/>
      <c r="K378" s="116">
        <f>IFERROR(VLOOKUP(B378,BD_CONTROL!$A$5:$M$4235,11,0),"")</f>
        <v>0</v>
      </c>
      <c r="L378" s="117">
        <f>IFERROR(VLOOKUP(B378,BD_CONTROL!$A$5:$M$4235,12,0),"")</f>
        <v>0</v>
      </c>
      <c r="M378" s="118">
        <f>IFERROR(VLOOKUP(B378,BD_CONTROL!$A$5:$M$4235,13,0),"")</f>
        <v>0</v>
      </c>
    </row>
    <row r="379" spans="1:13" ht="15" customHeight="1">
      <c r="A379" s="42">
        <v>374</v>
      </c>
      <c r="B379" s="42" t="s">
        <v>5081</v>
      </c>
      <c r="C379" s="43" t="s">
        <v>1348</v>
      </c>
      <c r="D379" s="42" t="s">
        <v>4690</v>
      </c>
      <c r="E379" s="43" t="s">
        <v>4967</v>
      </c>
      <c r="F379" s="43" t="s">
        <v>5082</v>
      </c>
      <c r="G379" s="42" t="s">
        <v>109</v>
      </c>
      <c r="H379" s="43" t="s">
        <v>4693</v>
      </c>
      <c r="I379" s="43" t="s">
        <v>104</v>
      </c>
      <c r="J379" s="55"/>
      <c r="K379" s="119">
        <f>IFERROR(VLOOKUP(B379,BD_CONTROL!$A$5:$M$4235,11,0),"")</f>
        <v>0</v>
      </c>
      <c r="L379" s="120">
        <f>IFERROR(VLOOKUP(B379,BD_CONTROL!$A$5:$M$4235,12,0),"")</f>
        <v>0</v>
      </c>
      <c r="M379" s="121">
        <f>IFERROR(VLOOKUP(B379,BD_CONTROL!$A$5:$M$4235,13,0),"")</f>
        <v>0</v>
      </c>
    </row>
    <row r="380" spans="1:13" ht="15" customHeight="1">
      <c r="A380" s="39">
        <v>375</v>
      </c>
      <c r="B380" s="39" t="s">
        <v>5083</v>
      </c>
      <c r="C380" s="40" t="s">
        <v>5084</v>
      </c>
      <c r="D380" s="39" t="s">
        <v>4690</v>
      </c>
      <c r="E380" s="40" t="s">
        <v>4967</v>
      </c>
      <c r="F380" s="40" t="s">
        <v>5085</v>
      </c>
      <c r="G380" s="39" t="s">
        <v>109</v>
      </c>
      <c r="H380" s="40" t="s">
        <v>4693</v>
      </c>
      <c r="I380" s="40" t="s">
        <v>104</v>
      </c>
      <c r="J380" s="50"/>
      <c r="K380" s="116">
        <f>IFERROR(VLOOKUP(B380,BD_CONTROL!$A$5:$M$4235,11,0),"")</f>
        <v>0</v>
      </c>
      <c r="L380" s="117">
        <f>IFERROR(VLOOKUP(B380,BD_CONTROL!$A$5:$M$4235,12,0),"")</f>
        <v>0</v>
      </c>
      <c r="M380" s="118">
        <f>IFERROR(VLOOKUP(B380,BD_CONTROL!$A$5:$M$4235,13,0),"")</f>
        <v>0</v>
      </c>
    </row>
    <row r="381" spans="1:13" ht="15" customHeight="1">
      <c r="A381" s="42">
        <v>376</v>
      </c>
      <c r="B381" s="42" t="s">
        <v>5086</v>
      </c>
      <c r="C381" s="43" t="s">
        <v>5087</v>
      </c>
      <c r="D381" s="42" t="s">
        <v>4690</v>
      </c>
      <c r="E381" s="43" t="s">
        <v>5088</v>
      </c>
      <c r="F381" s="43" t="s">
        <v>1836</v>
      </c>
      <c r="G381" s="42" t="s">
        <v>109</v>
      </c>
      <c r="H381" s="43" t="s">
        <v>4693</v>
      </c>
      <c r="I381" s="43" t="s">
        <v>104</v>
      </c>
      <c r="J381" s="55"/>
      <c r="K381" s="119">
        <f>IFERROR(VLOOKUP(B381,BD_CONTROL!$A$5:$M$4235,11,0),"")</f>
        <v>0</v>
      </c>
      <c r="L381" s="120">
        <f>IFERROR(VLOOKUP(B381,BD_CONTROL!$A$5:$M$4235,12,0),"")</f>
        <v>0</v>
      </c>
      <c r="M381" s="121">
        <f>IFERROR(VLOOKUP(B381,BD_CONTROL!$A$5:$M$4235,13,0),"")</f>
        <v>0</v>
      </c>
    </row>
    <row r="382" spans="1:13" ht="15" customHeight="1">
      <c r="A382" s="39">
        <v>377</v>
      </c>
      <c r="B382" s="39" t="s">
        <v>5089</v>
      </c>
      <c r="C382" s="40" t="s">
        <v>5090</v>
      </c>
      <c r="D382" s="39" t="s">
        <v>4690</v>
      </c>
      <c r="E382" s="40" t="s">
        <v>4828</v>
      </c>
      <c r="F382" s="40" t="s">
        <v>5091</v>
      </c>
      <c r="G382" s="39" t="s">
        <v>109</v>
      </c>
      <c r="H382" s="40" t="s">
        <v>4693</v>
      </c>
      <c r="I382" s="40" t="s">
        <v>104</v>
      </c>
      <c r="J382" s="50"/>
      <c r="K382" s="116">
        <f>IFERROR(VLOOKUP(B382,BD_CONTROL!$A$5:$M$4235,11,0),"")</f>
        <v>0</v>
      </c>
      <c r="L382" s="117">
        <f>IFERROR(VLOOKUP(B382,BD_CONTROL!$A$5:$M$4235,12,0),"")</f>
        <v>0</v>
      </c>
      <c r="M382" s="118">
        <f>IFERROR(VLOOKUP(B382,BD_CONTROL!$A$5:$M$4235,13,0),"")</f>
        <v>0</v>
      </c>
    </row>
    <row r="383" spans="1:13" ht="15" customHeight="1">
      <c r="A383" s="42">
        <v>378</v>
      </c>
      <c r="B383" s="42" t="s">
        <v>5092</v>
      </c>
      <c r="C383" s="43" t="s">
        <v>1204</v>
      </c>
      <c r="D383" s="42" t="s">
        <v>4690</v>
      </c>
      <c r="E383" s="43" t="s">
        <v>4708</v>
      </c>
      <c r="F383" s="43" t="s">
        <v>5093</v>
      </c>
      <c r="G383" s="42" t="s">
        <v>109</v>
      </c>
      <c r="H383" s="43" t="s">
        <v>4693</v>
      </c>
      <c r="I383" s="43" t="s">
        <v>104</v>
      </c>
      <c r="J383" s="55"/>
      <c r="K383" s="119">
        <f>IFERROR(VLOOKUP(B383,BD_CONTROL!$A$5:$M$4235,11,0),"")</f>
        <v>0</v>
      </c>
      <c r="L383" s="120">
        <f>IFERROR(VLOOKUP(B383,BD_CONTROL!$A$5:$M$4235,12,0),"")</f>
        <v>0</v>
      </c>
      <c r="M383" s="121">
        <f>IFERROR(VLOOKUP(B383,BD_CONTROL!$A$5:$M$4235,13,0),"")</f>
        <v>0</v>
      </c>
    </row>
    <row r="384" spans="1:13" ht="15" customHeight="1">
      <c r="A384" s="39">
        <v>379</v>
      </c>
      <c r="B384" s="39" t="s">
        <v>5094</v>
      </c>
      <c r="C384" s="40" t="s">
        <v>5095</v>
      </c>
      <c r="D384" s="39" t="s">
        <v>4690</v>
      </c>
      <c r="E384" s="40" t="s">
        <v>4729</v>
      </c>
      <c r="F384" s="40" t="s">
        <v>5096</v>
      </c>
      <c r="G384" s="39" t="s">
        <v>109</v>
      </c>
      <c r="H384" s="40" t="s">
        <v>4693</v>
      </c>
      <c r="I384" s="40" t="s">
        <v>104</v>
      </c>
      <c r="J384" s="50"/>
      <c r="K384" s="116">
        <f>IFERROR(VLOOKUP(B384,BD_CONTROL!$A$5:$M$4235,11,0),"")</f>
        <v>0</v>
      </c>
      <c r="L384" s="117">
        <f>IFERROR(VLOOKUP(B384,BD_CONTROL!$A$5:$M$4235,12,0),"")</f>
        <v>0</v>
      </c>
      <c r="M384" s="118">
        <f>IFERROR(VLOOKUP(B384,BD_CONTROL!$A$5:$M$4235,13,0),"")</f>
        <v>0</v>
      </c>
    </row>
    <row r="385" spans="1:13" ht="15" customHeight="1">
      <c r="A385" s="42">
        <v>380</v>
      </c>
      <c r="B385" s="42" t="s">
        <v>5097</v>
      </c>
      <c r="C385" s="43" t="s">
        <v>3594</v>
      </c>
      <c r="D385" s="42" t="s">
        <v>4690</v>
      </c>
      <c r="E385" s="43" t="s">
        <v>5098</v>
      </c>
      <c r="F385" s="43" t="s">
        <v>5099</v>
      </c>
      <c r="G385" s="42" t="s">
        <v>109</v>
      </c>
      <c r="H385" s="43" t="s">
        <v>4693</v>
      </c>
      <c r="I385" s="43" t="s">
        <v>104</v>
      </c>
      <c r="J385" s="55"/>
      <c r="K385" s="119">
        <f>IFERROR(VLOOKUP(B385,BD_CONTROL!$A$5:$M$4235,11,0),"")</f>
        <v>0</v>
      </c>
      <c r="L385" s="120">
        <f>IFERROR(VLOOKUP(B385,BD_CONTROL!$A$5:$M$4235,12,0),"")</f>
        <v>0</v>
      </c>
      <c r="M385" s="121">
        <f>IFERROR(VLOOKUP(B385,BD_CONTROL!$A$5:$M$4235,13,0),"")</f>
        <v>0</v>
      </c>
    </row>
    <row r="386" spans="1:13" ht="15" customHeight="1">
      <c r="A386" s="39">
        <v>381</v>
      </c>
      <c r="B386" s="39" t="s">
        <v>5103</v>
      </c>
      <c r="C386" s="40" t="s">
        <v>5104</v>
      </c>
      <c r="D386" s="39" t="s">
        <v>4690</v>
      </c>
      <c r="E386" s="40" t="s">
        <v>4808</v>
      </c>
      <c r="F386" s="40" t="s">
        <v>4809</v>
      </c>
      <c r="G386" s="39" t="s">
        <v>109</v>
      </c>
      <c r="H386" s="40" t="s">
        <v>4693</v>
      </c>
      <c r="I386" s="40" t="s">
        <v>104</v>
      </c>
      <c r="J386" s="50"/>
      <c r="K386" s="116">
        <f>IFERROR(VLOOKUP(B386,BD_CONTROL!$A$5:$M$4235,11,0),"")</f>
        <v>0</v>
      </c>
      <c r="L386" s="117">
        <f>IFERROR(VLOOKUP(B386,BD_CONTROL!$A$5:$M$4235,12,0),"")</f>
        <v>0</v>
      </c>
      <c r="M386" s="118">
        <f>IFERROR(VLOOKUP(B386,BD_CONTROL!$A$5:$M$4235,13,0),"")</f>
        <v>0</v>
      </c>
    </row>
    <row r="387" spans="1:13" ht="15" customHeight="1">
      <c r="A387" s="42">
        <v>382</v>
      </c>
      <c r="B387" s="42" t="s">
        <v>5105</v>
      </c>
      <c r="C387" s="43" t="s">
        <v>5006</v>
      </c>
      <c r="D387" s="42" t="s">
        <v>4690</v>
      </c>
      <c r="E387" s="43" t="s">
        <v>4793</v>
      </c>
      <c r="F387" s="43" t="s">
        <v>5106</v>
      </c>
      <c r="G387" s="42" t="s">
        <v>109</v>
      </c>
      <c r="H387" s="43" t="s">
        <v>4693</v>
      </c>
      <c r="I387" s="43" t="s">
        <v>104</v>
      </c>
      <c r="J387" s="55"/>
      <c r="K387" s="119">
        <f>IFERROR(VLOOKUP(B387,BD_CONTROL!$A$5:$M$4235,11,0),"")</f>
        <v>0</v>
      </c>
      <c r="L387" s="120">
        <f>IFERROR(VLOOKUP(B387,BD_CONTROL!$A$5:$M$4235,12,0),"")</f>
        <v>0</v>
      </c>
      <c r="M387" s="121">
        <f>IFERROR(VLOOKUP(B387,BD_CONTROL!$A$5:$M$4235,13,0),"")</f>
        <v>0</v>
      </c>
    </row>
    <row r="388" spans="1:13" ht="15" customHeight="1">
      <c r="A388" s="39">
        <v>383</v>
      </c>
      <c r="B388" s="39" t="s">
        <v>5107</v>
      </c>
      <c r="C388" s="40" t="s">
        <v>5108</v>
      </c>
      <c r="D388" s="39" t="s">
        <v>4690</v>
      </c>
      <c r="E388" s="40" t="s">
        <v>4793</v>
      </c>
      <c r="F388" s="40" t="s">
        <v>2539</v>
      </c>
      <c r="G388" s="39" t="s">
        <v>109</v>
      </c>
      <c r="H388" s="40" t="s">
        <v>4693</v>
      </c>
      <c r="I388" s="40" t="s">
        <v>104</v>
      </c>
      <c r="J388" s="50"/>
      <c r="K388" s="116">
        <f>IFERROR(VLOOKUP(B388,BD_CONTROL!$A$5:$M$4235,11,0),"")</f>
        <v>0</v>
      </c>
      <c r="L388" s="117">
        <f>IFERROR(VLOOKUP(B388,BD_CONTROL!$A$5:$M$4235,12,0),"")</f>
        <v>0</v>
      </c>
      <c r="M388" s="118">
        <f>IFERROR(VLOOKUP(B388,BD_CONTROL!$A$5:$M$4235,13,0),"")</f>
        <v>0</v>
      </c>
    </row>
    <row r="389" spans="1:13" ht="15" customHeight="1">
      <c r="A389" s="42">
        <v>384</v>
      </c>
      <c r="B389" s="42" t="s">
        <v>5109</v>
      </c>
      <c r="C389" s="43" t="s">
        <v>5110</v>
      </c>
      <c r="D389" s="42" t="s">
        <v>4690</v>
      </c>
      <c r="E389" s="43" t="s">
        <v>5111</v>
      </c>
      <c r="F389" s="43" t="s">
        <v>5112</v>
      </c>
      <c r="G389" s="42" t="s">
        <v>109</v>
      </c>
      <c r="H389" s="43" t="s">
        <v>4693</v>
      </c>
      <c r="I389" s="43" t="s">
        <v>104</v>
      </c>
      <c r="J389" s="55"/>
      <c r="K389" s="119">
        <f>IFERROR(VLOOKUP(B389,BD_CONTROL!$A$5:$M$4235,11,0),"")</f>
        <v>0</v>
      </c>
      <c r="L389" s="120">
        <f>IFERROR(VLOOKUP(B389,BD_CONTROL!$A$5:$M$4235,12,0),"")</f>
        <v>0</v>
      </c>
      <c r="M389" s="121">
        <f>IFERROR(VLOOKUP(B389,BD_CONTROL!$A$5:$M$4235,13,0),"")</f>
        <v>0</v>
      </c>
    </row>
    <row r="390" spans="1:13" ht="15" customHeight="1">
      <c r="A390" s="39">
        <v>385</v>
      </c>
      <c r="B390" s="39" t="s">
        <v>5113</v>
      </c>
      <c r="C390" s="40" t="s">
        <v>5114</v>
      </c>
      <c r="D390" s="39" t="s">
        <v>4690</v>
      </c>
      <c r="E390" s="40" t="s">
        <v>5115</v>
      </c>
      <c r="F390" s="40" t="s">
        <v>5116</v>
      </c>
      <c r="G390" s="39" t="s">
        <v>109</v>
      </c>
      <c r="H390" s="40" t="s">
        <v>4693</v>
      </c>
      <c r="I390" s="40" t="s">
        <v>104</v>
      </c>
      <c r="J390" s="50"/>
      <c r="K390" s="116">
        <f>IFERROR(VLOOKUP(B390,BD_CONTROL!$A$5:$M$4235,11,0),"")</f>
        <v>0</v>
      </c>
      <c r="L390" s="117">
        <f>IFERROR(VLOOKUP(B390,BD_CONTROL!$A$5:$M$4235,12,0),"")</f>
        <v>0</v>
      </c>
      <c r="M390" s="118">
        <f>IFERROR(VLOOKUP(B390,BD_CONTROL!$A$5:$M$4235,13,0),"")</f>
        <v>0</v>
      </c>
    </row>
    <row r="391" spans="1:13" ht="15" customHeight="1">
      <c r="A391" s="42">
        <v>386</v>
      </c>
      <c r="B391" s="42" t="s">
        <v>5117</v>
      </c>
      <c r="C391" s="43" t="s">
        <v>5118</v>
      </c>
      <c r="D391" s="42" t="s">
        <v>4690</v>
      </c>
      <c r="E391" s="43" t="s">
        <v>4758</v>
      </c>
      <c r="F391" s="43" t="s">
        <v>4759</v>
      </c>
      <c r="G391" s="42" t="s">
        <v>109</v>
      </c>
      <c r="H391" s="43" t="s">
        <v>4693</v>
      </c>
      <c r="I391" s="43" t="s">
        <v>104</v>
      </c>
      <c r="J391" s="55"/>
      <c r="K391" s="119">
        <f>IFERROR(VLOOKUP(B391,BD_CONTROL!$A$5:$M$4235,11,0),"")</f>
        <v>0</v>
      </c>
      <c r="L391" s="120">
        <f>IFERROR(VLOOKUP(B391,BD_CONTROL!$A$5:$M$4235,12,0),"")</f>
        <v>0</v>
      </c>
      <c r="M391" s="121">
        <f>IFERROR(VLOOKUP(B391,BD_CONTROL!$A$5:$M$4235,13,0),"")</f>
        <v>0</v>
      </c>
    </row>
    <row r="392" spans="1:13" ht="15" customHeight="1">
      <c r="A392" s="39">
        <v>387</v>
      </c>
      <c r="B392" s="39" t="s">
        <v>5119</v>
      </c>
      <c r="C392" s="40" t="s">
        <v>5120</v>
      </c>
      <c r="D392" s="39" t="s">
        <v>4690</v>
      </c>
      <c r="E392" s="40" t="s">
        <v>4762</v>
      </c>
      <c r="F392" s="40" t="s">
        <v>5121</v>
      </c>
      <c r="G392" s="39" t="s">
        <v>109</v>
      </c>
      <c r="H392" s="40" t="s">
        <v>4693</v>
      </c>
      <c r="I392" s="40" t="s">
        <v>104</v>
      </c>
      <c r="J392" s="50"/>
      <c r="K392" s="116">
        <f>IFERROR(VLOOKUP(B392,BD_CONTROL!$A$5:$M$4235,11,0),"")</f>
        <v>0</v>
      </c>
      <c r="L392" s="117">
        <f>IFERROR(VLOOKUP(B392,BD_CONTROL!$A$5:$M$4235,12,0),"")</f>
        <v>0</v>
      </c>
      <c r="M392" s="118">
        <f>IFERROR(VLOOKUP(B392,BD_CONTROL!$A$5:$M$4235,13,0),"")</f>
        <v>0</v>
      </c>
    </row>
    <row r="393" spans="1:13" ht="15" customHeight="1">
      <c r="A393" s="42">
        <v>388</v>
      </c>
      <c r="B393" s="42" t="s">
        <v>5122</v>
      </c>
      <c r="C393" s="43" t="s">
        <v>5123</v>
      </c>
      <c r="D393" s="42" t="s">
        <v>4690</v>
      </c>
      <c r="E393" s="43" t="s">
        <v>5124</v>
      </c>
      <c r="F393" s="43" t="s">
        <v>5125</v>
      </c>
      <c r="G393" s="42" t="s">
        <v>109</v>
      </c>
      <c r="H393" s="43" t="s">
        <v>4693</v>
      </c>
      <c r="I393" s="43" t="s">
        <v>104</v>
      </c>
      <c r="J393" s="55"/>
      <c r="K393" s="119">
        <f>IFERROR(VLOOKUP(B393,BD_CONTROL!$A$5:$M$4235,11,0),"")</f>
        <v>0</v>
      </c>
      <c r="L393" s="120">
        <f>IFERROR(VLOOKUP(B393,BD_CONTROL!$A$5:$M$4235,12,0),"")</f>
        <v>0</v>
      </c>
      <c r="M393" s="121">
        <f>IFERROR(VLOOKUP(B393,BD_CONTROL!$A$5:$M$4235,13,0),"")</f>
        <v>0</v>
      </c>
    </row>
    <row r="394" spans="1:13" ht="15" customHeight="1">
      <c r="A394" s="39">
        <v>389</v>
      </c>
      <c r="B394" s="39" t="s">
        <v>5126</v>
      </c>
      <c r="C394" s="40" t="s">
        <v>5127</v>
      </c>
      <c r="D394" s="39" t="s">
        <v>4690</v>
      </c>
      <c r="E394" s="40" t="s">
        <v>4864</v>
      </c>
      <c r="F394" s="40" t="s">
        <v>5128</v>
      </c>
      <c r="G394" s="39" t="s">
        <v>109</v>
      </c>
      <c r="H394" s="40" t="s">
        <v>4693</v>
      </c>
      <c r="I394" s="40" t="s">
        <v>104</v>
      </c>
      <c r="J394" s="50"/>
      <c r="K394" s="116">
        <f>IFERROR(VLOOKUP(B394,BD_CONTROL!$A$5:$M$4235,11,0),"")</f>
        <v>0</v>
      </c>
      <c r="L394" s="117">
        <f>IFERROR(VLOOKUP(B394,BD_CONTROL!$A$5:$M$4235,12,0),"")</f>
        <v>0</v>
      </c>
      <c r="M394" s="118">
        <f>IFERROR(VLOOKUP(B394,BD_CONTROL!$A$5:$M$4235,13,0),"")</f>
        <v>0</v>
      </c>
    </row>
    <row r="395" spans="1:13" ht="15" customHeight="1">
      <c r="A395" s="42">
        <v>390</v>
      </c>
      <c r="B395" s="42" t="s">
        <v>5129</v>
      </c>
      <c r="C395" s="43" t="s">
        <v>5130</v>
      </c>
      <c r="D395" s="42" t="s">
        <v>4690</v>
      </c>
      <c r="E395" s="43" t="s">
        <v>4812</v>
      </c>
      <c r="F395" s="43" t="s">
        <v>5131</v>
      </c>
      <c r="G395" s="42" t="s">
        <v>109</v>
      </c>
      <c r="H395" s="43" t="s">
        <v>4693</v>
      </c>
      <c r="I395" s="43" t="s">
        <v>104</v>
      </c>
      <c r="J395" s="55"/>
      <c r="K395" s="119" t="str">
        <f>IFERROR(VLOOKUP(B395,BD_CONTROL!$A$5:$M$4235,11,0),"")</f>
        <v>Instalado - Operando</v>
      </c>
      <c r="L395" s="120">
        <f>IFERROR(VLOOKUP(B395,BD_CONTROL!$A$5:$M$4235,12,0),"")</f>
        <v>46149</v>
      </c>
      <c r="M395" s="121">
        <f>IFERROR(VLOOKUP(B395,BD_CONTROL!$A$5:$M$4235,13,0),"")</f>
        <v>0</v>
      </c>
    </row>
    <row r="396" spans="1:13" ht="15" customHeight="1">
      <c r="A396" s="39">
        <v>391</v>
      </c>
      <c r="B396" s="39" t="s">
        <v>5132</v>
      </c>
      <c r="C396" s="40" t="s">
        <v>5133</v>
      </c>
      <c r="D396" s="39" t="s">
        <v>4690</v>
      </c>
      <c r="E396" s="40" t="s">
        <v>5134</v>
      </c>
      <c r="F396" s="40" t="s">
        <v>5135</v>
      </c>
      <c r="G396" s="39" t="s">
        <v>109</v>
      </c>
      <c r="H396" s="40" t="s">
        <v>4693</v>
      </c>
      <c r="I396" s="40" t="s">
        <v>104</v>
      </c>
      <c r="J396" s="50"/>
      <c r="K396" s="116">
        <f>IFERROR(VLOOKUP(B396,BD_CONTROL!$A$5:$M$4235,11,0),"")</f>
        <v>0</v>
      </c>
      <c r="L396" s="117">
        <f>IFERROR(VLOOKUP(B396,BD_CONTROL!$A$5:$M$4235,12,0),"")</f>
        <v>0</v>
      </c>
      <c r="M396" s="118">
        <f>IFERROR(VLOOKUP(B396,BD_CONTROL!$A$5:$M$4235,13,0),"")</f>
        <v>0</v>
      </c>
    </row>
    <row r="397" spans="1:13" ht="15" customHeight="1">
      <c r="A397" s="42">
        <v>392</v>
      </c>
      <c r="B397" s="42" t="s">
        <v>5136</v>
      </c>
      <c r="C397" s="43" t="s">
        <v>5137</v>
      </c>
      <c r="D397" s="42" t="s">
        <v>4690</v>
      </c>
      <c r="E397" s="43" t="s">
        <v>4812</v>
      </c>
      <c r="F397" s="43" t="s">
        <v>5138</v>
      </c>
      <c r="G397" s="42" t="s">
        <v>109</v>
      </c>
      <c r="H397" s="43" t="s">
        <v>4693</v>
      </c>
      <c r="I397" s="43" t="s">
        <v>104</v>
      </c>
      <c r="J397" s="55"/>
      <c r="K397" s="119" t="str">
        <f>IFERROR(VLOOKUP(B397,BD_CONTROL!$A$5:$M$4235,11,0),"")</f>
        <v>Instalado - Operando</v>
      </c>
      <c r="L397" s="120">
        <f>IFERROR(VLOOKUP(B397,BD_CONTROL!$A$5:$M$4235,12,0),"")</f>
        <v>46150</v>
      </c>
      <c r="M397" s="121">
        <f>IFERROR(VLOOKUP(B397,BD_CONTROL!$A$5:$M$4235,13,0),"")</f>
        <v>0</v>
      </c>
    </row>
    <row r="398" spans="1:13" ht="15" customHeight="1">
      <c r="A398" s="39">
        <v>393</v>
      </c>
      <c r="B398" s="39" t="s">
        <v>5139</v>
      </c>
      <c r="C398" s="40" t="s">
        <v>5140</v>
      </c>
      <c r="D398" s="39" t="s">
        <v>4690</v>
      </c>
      <c r="E398" s="40" t="s">
        <v>4812</v>
      </c>
      <c r="F398" s="40" t="s">
        <v>5141</v>
      </c>
      <c r="G398" s="39" t="s">
        <v>102</v>
      </c>
      <c r="H398" s="40" t="s">
        <v>4693</v>
      </c>
      <c r="I398" s="40" t="s">
        <v>104</v>
      </c>
      <c r="J398" s="50"/>
      <c r="K398" s="116" t="str">
        <f>IFERROR(VLOOKUP(B398,BD_CONTROL!$A$5:$M$4235,11,0),"")</f>
        <v>Instalado - Operando</v>
      </c>
      <c r="L398" s="117">
        <f>IFERROR(VLOOKUP(B398,BD_CONTROL!$A$5:$M$4235,12,0),"")</f>
        <v>46149</v>
      </c>
      <c r="M398" s="118">
        <f>IFERROR(VLOOKUP(B398,BD_CONTROL!$A$5:$M$4235,13,0),"")</f>
        <v>0</v>
      </c>
    </row>
    <row r="399" spans="1:13" ht="15" customHeight="1">
      <c r="A399" s="42">
        <v>394</v>
      </c>
      <c r="B399" s="42" t="s">
        <v>5142</v>
      </c>
      <c r="C399" s="43" t="s">
        <v>3454</v>
      </c>
      <c r="D399" s="42" t="s">
        <v>4690</v>
      </c>
      <c r="E399" s="43" t="s">
        <v>503</v>
      </c>
      <c r="F399" s="43" t="s">
        <v>5143</v>
      </c>
      <c r="G399" s="42" t="s">
        <v>109</v>
      </c>
      <c r="H399" s="43" t="s">
        <v>4693</v>
      </c>
      <c r="I399" s="43" t="s">
        <v>104</v>
      </c>
      <c r="J399" s="55"/>
      <c r="K399" s="119">
        <f>IFERROR(VLOOKUP(B399,BD_CONTROL!$A$5:$M$4235,11,0),"")</f>
        <v>0</v>
      </c>
      <c r="L399" s="120">
        <f>IFERROR(VLOOKUP(B399,BD_CONTROL!$A$5:$M$4235,12,0),"")</f>
        <v>0</v>
      </c>
      <c r="M399" s="121">
        <f>IFERROR(VLOOKUP(B399,BD_CONTROL!$A$5:$M$4235,13,0),"")</f>
        <v>0</v>
      </c>
    </row>
    <row r="400" spans="1:13" ht="15" customHeight="1">
      <c r="A400" s="39">
        <v>395</v>
      </c>
      <c r="B400" s="39" t="s">
        <v>5144</v>
      </c>
      <c r="C400" s="40" t="s">
        <v>5145</v>
      </c>
      <c r="D400" s="39" t="s">
        <v>4690</v>
      </c>
      <c r="E400" s="40" t="s">
        <v>4844</v>
      </c>
      <c r="F400" s="40" t="s">
        <v>4876</v>
      </c>
      <c r="G400" s="39" t="s">
        <v>109</v>
      </c>
      <c r="H400" s="40" t="s">
        <v>4693</v>
      </c>
      <c r="I400" s="40" t="s">
        <v>104</v>
      </c>
      <c r="J400" s="50"/>
      <c r="K400" s="116">
        <f>IFERROR(VLOOKUP(B400,BD_CONTROL!$A$5:$M$4235,11,0),"")</f>
        <v>0</v>
      </c>
      <c r="L400" s="117">
        <f>IFERROR(VLOOKUP(B400,BD_CONTROL!$A$5:$M$4235,12,0),"")</f>
        <v>0</v>
      </c>
      <c r="M400" s="118">
        <f>IFERROR(VLOOKUP(B400,BD_CONTROL!$A$5:$M$4235,13,0),"")</f>
        <v>0</v>
      </c>
    </row>
    <row r="401" spans="1:13" ht="15" customHeight="1">
      <c r="A401" s="42">
        <v>396</v>
      </c>
      <c r="B401" s="42" t="s">
        <v>5146</v>
      </c>
      <c r="C401" s="43" t="s">
        <v>5147</v>
      </c>
      <c r="D401" s="42" t="s">
        <v>4690</v>
      </c>
      <c r="E401" s="43" t="s">
        <v>4828</v>
      </c>
      <c r="F401" s="43" t="s">
        <v>5147</v>
      </c>
      <c r="G401" s="42" t="s">
        <v>109</v>
      </c>
      <c r="H401" s="43" t="s">
        <v>4693</v>
      </c>
      <c r="I401" s="43" t="s">
        <v>104</v>
      </c>
      <c r="J401" s="55"/>
      <c r="K401" s="119">
        <f>IFERROR(VLOOKUP(B401,BD_CONTROL!$A$5:$M$4235,11,0),"")</f>
        <v>0</v>
      </c>
      <c r="L401" s="120">
        <f>IFERROR(VLOOKUP(B401,BD_CONTROL!$A$5:$M$4235,12,0),"")</f>
        <v>0</v>
      </c>
      <c r="M401" s="121">
        <f>IFERROR(VLOOKUP(B401,BD_CONTROL!$A$5:$M$4235,13,0),"")</f>
        <v>0</v>
      </c>
    </row>
    <row r="402" spans="1:13" ht="15" customHeight="1">
      <c r="A402" s="39">
        <v>397</v>
      </c>
      <c r="B402" s="39" t="s">
        <v>5148</v>
      </c>
      <c r="C402" s="40" t="s">
        <v>5149</v>
      </c>
      <c r="D402" s="39" t="s">
        <v>4690</v>
      </c>
      <c r="E402" s="40" t="s">
        <v>4736</v>
      </c>
      <c r="F402" s="40" t="s">
        <v>5149</v>
      </c>
      <c r="G402" s="39" t="s">
        <v>109</v>
      </c>
      <c r="H402" s="40" t="s">
        <v>4693</v>
      </c>
      <c r="I402" s="40" t="s">
        <v>104</v>
      </c>
      <c r="J402" s="50"/>
      <c r="K402" s="116">
        <f>IFERROR(VLOOKUP(B402,BD_CONTROL!$A$5:$M$4235,11,0),"")</f>
        <v>0</v>
      </c>
      <c r="L402" s="117">
        <f>IFERROR(VLOOKUP(B402,BD_CONTROL!$A$5:$M$4235,12,0),"")</f>
        <v>0</v>
      </c>
      <c r="M402" s="118">
        <f>IFERROR(VLOOKUP(B402,BD_CONTROL!$A$5:$M$4235,13,0),"")</f>
        <v>0</v>
      </c>
    </row>
    <row r="403" spans="1:13" ht="15" customHeight="1">
      <c r="A403" s="42">
        <v>398</v>
      </c>
      <c r="B403" s="42" t="s">
        <v>5150</v>
      </c>
      <c r="C403" s="43" t="s">
        <v>5151</v>
      </c>
      <c r="D403" s="42" t="s">
        <v>4690</v>
      </c>
      <c r="E403" s="43" t="s">
        <v>5152</v>
      </c>
      <c r="F403" s="43" t="s">
        <v>5152</v>
      </c>
      <c r="G403" s="42" t="s">
        <v>109</v>
      </c>
      <c r="H403" s="43" t="s">
        <v>4693</v>
      </c>
      <c r="I403" s="43" t="s">
        <v>104</v>
      </c>
      <c r="J403" s="55"/>
      <c r="K403" s="119">
        <f>IFERROR(VLOOKUP(B403,BD_CONTROL!$A$5:$M$4235,11,0),"")</f>
        <v>0</v>
      </c>
      <c r="L403" s="120">
        <f>IFERROR(VLOOKUP(B403,BD_CONTROL!$A$5:$M$4235,12,0),"")</f>
        <v>0</v>
      </c>
      <c r="M403" s="121">
        <f>IFERROR(VLOOKUP(B403,BD_CONTROL!$A$5:$M$4235,13,0),"")</f>
        <v>0</v>
      </c>
    </row>
    <row r="404" spans="1:13" ht="15" customHeight="1">
      <c r="A404" s="39">
        <v>399</v>
      </c>
      <c r="B404" s="39" t="s">
        <v>5153</v>
      </c>
      <c r="C404" s="40" t="s">
        <v>5154</v>
      </c>
      <c r="D404" s="39" t="s">
        <v>4690</v>
      </c>
      <c r="E404" s="40" t="s">
        <v>4744</v>
      </c>
      <c r="F404" s="40" t="s">
        <v>5155</v>
      </c>
      <c r="G404" s="39" t="s">
        <v>109</v>
      </c>
      <c r="H404" s="40" t="s">
        <v>4693</v>
      </c>
      <c r="I404" s="40" t="s">
        <v>104</v>
      </c>
      <c r="J404" s="50"/>
      <c r="K404" s="116">
        <f>IFERROR(VLOOKUP(B404,BD_CONTROL!$A$5:$M$4235,11,0),"")</f>
        <v>0</v>
      </c>
      <c r="L404" s="117">
        <f>IFERROR(VLOOKUP(B404,BD_CONTROL!$A$5:$M$4235,12,0),"")</f>
        <v>0</v>
      </c>
      <c r="M404" s="118">
        <f>IFERROR(VLOOKUP(B404,BD_CONTROL!$A$5:$M$4235,13,0),"")</f>
        <v>0</v>
      </c>
    </row>
    <row r="405" spans="1:13" ht="15" customHeight="1">
      <c r="A405" s="42">
        <v>400</v>
      </c>
      <c r="B405" s="42" t="s">
        <v>5156</v>
      </c>
      <c r="C405" s="43" t="s">
        <v>5157</v>
      </c>
      <c r="D405" s="42" t="s">
        <v>4690</v>
      </c>
      <c r="E405" s="43" t="s">
        <v>4744</v>
      </c>
      <c r="F405" s="43" t="s">
        <v>4744</v>
      </c>
      <c r="G405" s="42" t="s">
        <v>109</v>
      </c>
      <c r="H405" s="43" t="s">
        <v>4693</v>
      </c>
      <c r="I405" s="43" t="s">
        <v>104</v>
      </c>
      <c r="J405" s="55"/>
      <c r="K405" s="119">
        <f>IFERROR(VLOOKUP(B405,BD_CONTROL!$A$5:$M$4235,11,0),"")</f>
        <v>0</v>
      </c>
      <c r="L405" s="120">
        <f>IFERROR(VLOOKUP(B405,BD_CONTROL!$A$5:$M$4235,12,0),"")</f>
        <v>0</v>
      </c>
      <c r="M405" s="121">
        <f>IFERROR(VLOOKUP(B405,BD_CONTROL!$A$5:$M$4235,13,0),"")</f>
        <v>0</v>
      </c>
    </row>
    <row r="406" spans="1:13" ht="15" customHeight="1">
      <c r="A406" s="39">
        <v>401</v>
      </c>
      <c r="B406" s="39" t="s">
        <v>5158</v>
      </c>
      <c r="C406" s="40" t="s">
        <v>5159</v>
      </c>
      <c r="D406" s="39" t="s">
        <v>4690</v>
      </c>
      <c r="E406" s="40" t="s">
        <v>5160</v>
      </c>
      <c r="F406" s="40" t="s">
        <v>5161</v>
      </c>
      <c r="G406" s="39" t="s">
        <v>109</v>
      </c>
      <c r="H406" s="40" t="s">
        <v>4693</v>
      </c>
      <c r="I406" s="40" t="s">
        <v>104</v>
      </c>
      <c r="J406" s="50"/>
      <c r="K406" s="116">
        <f>IFERROR(VLOOKUP(B406,BD_CONTROL!$A$5:$M$4235,11,0),"")</f>
        <v>0</v>
      </c>
      <c r="L406" s="117">
        <f>IFERROR(VLOOKUP(B406,BD_CONTROL!$A$5:$M$4235,12,0),"")</f>
        <v>0</v>
      </c>
      <c r="M406" s="118">
        <f>IFERROR(VLOOKUP(B406,BD_CONTROL!$A$5:$M$4235,13,0),"")</f>
        <v>0</v>
      </c>
    </row>
    <row r="407" spans="1:13" ht="15" customHeight="1">
      <c r="A407" s="42">
        <v>402</v>
      </c>
      <c r="B407" s="42" t="s">
        <v>5162</v>
      </c>
      <c r="C407" s="43" t="s">
        <v>2256</v>
      </c>
      <c r="D407" s="42" t="s">
        <v>4690</v>
      </c>
      <c r="E407" s="43" t="s">
        <v>5163</v>
      </c>
      <c r="F407" s="43" t="s">
        <v>5164</v>
      </c>
      <c r="G407" s="42" t="s">
        <v>109</v>
      </c>
      <c r="H407" s="43" t="s">
        <v>4693</v>
      </c>
      <c r="I407" s="43" t="s">
        <v>104</v>
      </c>
      <c r="J407" s="55"/>
      <c r="K407" s="119">
        <f>IFERROR(VLOOKUP(B407,BD_CONTROL!$A$5:$M$4235,11,0),"")</f>
        <v>0</v>
      </c>
      <c r="L407" s="120">
        <f>IFERROR(VLOOKUP(B407,BD_CONTROL!$A$5:$M$4235,12,0),"")</f>
        <v>0</v>
      </c>
      <c r="M407" s="121">
        <f>IFERROR(VLOOKUP(B407,BD_CONTROL!$A$5:$M$4235,13,0),"")</f>
        <v>0</v>
      </c>
    </row>
    <row r="408" spans="1:13" ht="15" customHeight="1">
      <c r="A408" s="39">
        <v>403</v>
      </c>
      <c r="B408" s="39" t="s">
        <v>5165</v>
      </c>
      <c r="C408" s="40" t="s">
        <v>2288</v>
      </c>
      <c r="D408" s="39" t="s">
        <v>4690</v>
      </c>
      <c r="E408" s="40" t="s">
        <v>4828</v>
      </c>
      <c r="F408" s="40" t="s">
        <v>2288</v>
      </c>
      <c r="G408" s="39" t="s">
        <v>109</v>
      </c>
      <c r="H408" s="40" t="s">
        <v>4693</v>
      </c>
      <c r="I408" s="40" t="s">
        <v>104</v>
      </c>
      <c r="J408" s="50"/>
      <c r="K408" s="116">
        <f>IFERROR(VLOOKUP(B408,BD_CONTROL!$A$5:$M$4235,11,0),"")</f>
        <v>0</v>
      </c>
      <c r="L408" s="117">
        <f>IFERROR(VLOOKUP(B408,BD_CONTROL!$A$5:$M$4235,12,0),"")</f>
        <v>0</v>
      </c>
      <c r="M408" s="118">
        <f>IFERROR(VLOOKUP(B408,BD_CONTROL!$A$5:$M$4235,13,0),"")</f>
        <v>0</v>
      </c>
    </row>
    <row r="409" spans="1:13" ht="15" customHeight="1">
      <c r="A409" s="42">
        <v>404</v>
      </c>
      <c r="B409" s="42" t="s">
        <v>5166</v>
      </c>
      <c r="C409" s="43" t="s">
        <v>5167</v>
      </c>
      <c r="D409" s="42" t="s">
        <v>4690</v>
      </c>
      <c r="E409" s="43" t="s">
        <v>4696</v>
      </c>
      <c r="F409" s="43" t="s">
        <v>4697</v>
      </c>
      <c r="G409" s="42" t="s">
        <v>109</v>
      </c>
      <c r="H409" s="43" t="s">
        <v>4693</v>
      </c>
      <c r="I409" s="43" t="s">
        <v>104</v>
      </c>
      <c r="J409" s="55"/>
      <c r="K409" s="119">
        <f>IFERROR(VLOOKUP(B409,BD_CONTROL!$A$5:$M$4235,11,0),"")</f>
        <v>0</v>
      </c>
      <c r="L409" s="120">
        <f>IFERROR(VLOOKUP(B409,BD_CONTROL!$A$5:$M$4235,12,0),"")</f>
        <v>0</v>
      </c>
      <c r="M409" s="121">
        <f>IFERROR(VLOOKUP(B409,BD_CONTROL!$A$5:$M$4235,13,0),"")</f>
        <v>0</v>
      </c>
    </row>
    <row r="410" spans="1:13" ht="15" customHeight="1">
      <c r="A410" s="39">
        <v>405</v>
      </c>
      <c r="B410" s="39" t="s">
        <v>5168</v>
      </c>
      <c r="C410" s="40" t="s">
        <v>3480</v>
      </c>
      <c r="D410" s="39" t="s">
        <v>4690</v>
      </c>
      <c r="E410" s="40" t="s">
        <v>4696</v>
      </c>
      <c r="F410" s="40" t="s">
        <v>5169</v>
      </c>
      <c r="G410" s="39" t="s">
        <v>109</v>
      </c>
      <c r="H410" s="40" t="s">
        <v>4693</v>
      </c>
      <c r="I410" s="40" t="s">
        <v>104</v>
      </c>
      <c r="J410" s="50"/>
      <c r="K410" s="116">
        <f>IFERROR(VLOOKUP(B410,BD_CONTROL!$A$5:$M$4235,11,0),"")</f>
        <v>0</v>
      </c>
      <c r="L410" s="117">
        <f>IFERROR(VLOOKUP(B410,BD_CONTROL!$A$5:$M$4235,12,0),"")</f>
        <v>0</v>
      </c>
      <c r="M410" s="118">
        <f>IFERROR(VLOOKUP(B410,BD_CONTROL!$A$5:$M$4235,13,0),"")</f>
        <v>0</v>
      </c>
    </row>
    <row r="411" spans="1:13" ht="15" customHeight="1">
      <c r="A411" s="42">
        <v>406</v>
      </c>
      <c r="B411" s="42" t="s">
        <v>5172</v>
      </c>
      <c r="C411" s="43" t="s">
        <v>5173</v>
      </c>
      <c r="D411" s="42" t="s">
        <v>4690</v>
      </c>
      <c r="E411" s="43" t="s">
        <v>4847</v>
      </c>
      <c r="F411" s="43" t="s">
        <v>5174</v>
      </c>
      <c r="G411" s="42" t="s">
        <v>109</v>
      </c>
      <c r="H411" s="43" t="s">
        <v>4693</v>
      </c>
      <c r="I411" s="43" t="s">
        <v>104</v>
      </c>
      <c r="J411" s="55"/>
      <c r="K411" s="119">
        <f>IFERROR(VLOOKUP(B411,BD_CONTROL!$A$5:$M$4235,11,0),"")</f>
        <v>0</v>
      </c>
      <c r="L411" s="120">
        <f>IFERROR(VLOOKUP(B411,BD_CONTROL!$A$5:$M$4235,12,0),"")</f>
        <v>0</v>
      </c>
      <c r="M411" s="121">
        <f>IFERROR(VLOOKUP(B411,BD_CONTROL!$A$5:$M$4235,13,0),"")</f>
        <v>0</v>
      </c>
    </row>
    <row r="412" spans="1:13" ht="15" customHeight="1">
      <c r="A412" s="39">
        <v>407</v>
      </c>
      <c r="B412" s="39" t="s">
        <v>5178</v>
      </c>
      <c r="C412" s="40" t="s">
        <v>5006</v>
      </c>
      <c r="D412" s="39" t="s">
        <v>4690</v>
      </c>
      <c r="E412" s="40" t="s">
        <v>4729</v>
      </c>
      <c r="F412" s="40" t="s">
        <v>5179</v>
      </c>
      <c r="G412" s="39" t="s">
        <v>109</v>
      </c>
      <c r="H412" s="40" t="s">
        <v>4693</v>
      </c>
      <c r="I412" s="40" t="s">
        <v>104</v>
      </c>
      <c r="J412" s="50"/>
      <c r="K412" s="116">
        <f>IFERROR(VLOOKUP(B412,BD_CONTROL!$A$5:$M$4235,11,0),"")</f>
        <v>0</v>
      </c>
      <c r="L412" s="117">
        <f>IFERROR(VLOOKUP(B412,BD_CONTROL!$A$5:$M$4235,12,0),"")</f>
        <v>0</v>
      </c>
      <c r="M412" s="118">
        <f>IFERROR(VLOOKUP(B412,BD_CONTROL!$A$5:$M$4235,13,0),"")</f>
        <v>0</v>
      </c>
    </row>
    <row r="413" spans="1:13" ht="15" customHeight="1">
      <c r="A413" s="42">
        <v>408</v>
      </c>
      <c r="B413" s="42" t="s">
        <v>5180</v>
      </c>
      <c r="C413" s="43" t="s">
        <v>5181</v>
      </c>
      <c r="D413" s="42" t="s">
        <v>4690</v>
      </c>
      <c r="E413" s="43" t="s">
        <v>4729</v>
      </c>
      <c r="F413" s="43" t="s">
        <v>5182</v>
      </c>
      <c r="G413" s="42" t="s">
        <v>109</v>
      </c>
      <c r="H413" s="43" t="s">
        <v>4693</v>
      </c>
      <c r="I413" s="43" t="s">
        <v>104</v>
      </c>
      <c r="J413" s="55"/>
      <c r="K413" s="119">
        <f>IFERROR(VLOOKUP(B413,BD_CONTROL!$A$5:$M$4235,11,0),"")</f>
        <v>0</v>
      </c>
      <c r="L413" s="120">
        <f>IFERROR(VLOOKUP(B413,BD_CONTROL!$A$5:$M$4235,12,0),"")</f>
        <v>0</v>
      </c>
      <c r="M413" s="121">
        <f>IFERROR(VLOOKUP(B413,BD_CONTROL!$A$5:$M$4235,13,0),"")</f>
        <v>0</v>
      </c>
    </row>
    <row r="414" spans="1:13" ht="15" customHeight="1">
      <c r="A414" s="39">
        <v>409</v>
      </c>
      <c r="B414" s="39" t="s">
        <v>5183</v>
      </c>
      <c r="C414" s="40" t="s">
        <v>5184</v>
      </c>
      <c r="D414" s="39" t="s">
        <v>4690</v>
      </c>
      <c r="E414" s="40" t="s">
        <v>4767</v>
      </c>
      <c r="F414" s="40" t="s">
        <v>1292</v>
      </c>
      <c r="G414" s="39" t="s">
        <v>109</v>
      </c>
      <c r="H414" s="40" t="s">
        <v>4693</v>
      </c>
      <c r="I414" s="40" t="s">
        <v>104</v>
      </c>
      <c r="J414" s="50"/>
      <c r="K414" s="116">
        <f>IFERROR(VLOOKUP(B414,BD_CONTROL!$A$5:$M$4235,11,0),"")</f>
        <v>0</v>
      </c>
      <c r="L414" s="117">
        <f>IFERROR(VLOOKUP(B414,BD_CONTROL!$A$5:$M$4235,12,0),"")</f>
        <v>0</v>
      </c>
      <c r="M414" s="118">
        <f>IFERROR(VLOOKUP(B414,BD_CONTROL!$A$5:$M$4235,13,0),"")</f>
        <v>0</v>
      </c>
    </row>
    <row r="415" spans="1:13" ht="15" customHeight="1">
      <c r="A415" s="42">
        <v>410</v>
      </c>
      <c r="B415" s="42" t="s">
        <v>5186</v>
      </c>
      <c r="C415" s="43" t="s">
        <v>5187</v>
      </c>
      <c r="D415" s="42" t="s">
        <v>4690</v>
      </c>
      <c r="E415" s="43" t="s">
        <v>5188</v>
      </c>
      <c r="F415" s="43" t="s">
        <v>4813</v>
      </c>
      <c r="G415" s="42" t="s">
        <v>109</v>
      </c>
      <c r="H415" s="43" t="s">
        <v>4693</v>
      </c>
      <c r="I415" s="43" t="s">
        <v>104</v>
      </c>
      <c r="J415" s="55"/>
      <c r="K415" s="119">
        <f>IFERROR(VLOOKUP(B415,BD_CONTROL!$A$5:$M$4235,11,0),"")</f>
        <v>0</v>
      </c>
      <c r="L415" s="120">
        <f>IFERROR(VLOOKUP(B415,BD_CONTROL!$A$5:$M$4235,12,0),"")</f>
        <v>0</v>
      </c>
      <c r="M415" s="121">
        <f>IFERROR(VLOOKUP(B415,BD_CONTROL!$A$5:$M$4235,13,0),"")</f>
        <v>0</v>
      </c>
    </row>
    <row r="416" spans="1:13" ht="15" customHeight="1">
      <c r="A416" s="39">
        <v>411</v>
      </c>
      <c r="B416" s="39" t="s">
        <v>5189</v>
      </c>
      <c r="C416" s="40" t="s">
        <v>5190</v>
      </c>
      <c r="D416" s="39" t="s">
        <v>4690</v>
      </c>
      <c r="E416" s="40" t="s">
        <v>4744</v>
      </c>
      <c r="F416" s="40" t="s">
        <v>2539</v>
      </c>
      <c r="G416" s="39" t="s">
        <v>109</v>
      </c>
      <c r="H416" s="40" t="s">
        <v>4693</v>
      </c>
      <c r="I416" s="40" t="s">
        <v>104</v>
      </c>
      <c r="J416" s="50"/>
      <c r="K416" s="116" t="str">
        <f>IFERROR(VLOOKUP(B416,BD_CONTROL!$A$5:$M$4235,11,0),"")</f>
        <v>Instalado - Operando</v>
      </c>
      <c r="L416" s="117">
        <f>IFERROR(VLOOKUP(B416,BD_CONTROL!$A$5:$M$4235,12,0),"")</f>
        <v>46149</v>
      </c>
      <c r="M416" s="118">
        <f>IFERROR(VLOOKUP(B416,BD_CONTROL!$A$5:$M$4235,13,0),"")</f>
        <v>0</v>
      </c>
    </row>
    <row r="417" spans="1:13" ht="15" customHeight="1">
      <c r="A417" s="42">
        <v>412</v>
      </c>
      <c r="B417" s="42" t="s">
        <v>5191</v>
      </c>
      <c r="C417" s="43" t="s">
        <v>5192</v>
      </c>
      <c r="D417" s="42" t="s">
        <v>4690</v>
      </c>
      <c r="E417" s="43" t="s">
        <v>658</v>
      </c>
      <c r="F417" s="43" t="s">
        <v>5193</v>
      </c>
      <c r="G417" s="42" t="s">
        <v>109</v>
      </c>
      <c r="H417" s="43" t="s">
        <v>4693</v>
      </c>
      <c r="I417" s="43" t="s">
        <v>104</v>
      </c>
      <c r="J417" s="55"/>
      <c r="K417" s="119">
        <f>IFERROR(VLOOKUP(B417,BD_CONTROL!$A$5:$M$4235,11,0),"")</f>
        <v>0</v>
      </c>
      <c r="L417" s="120">
        <f>IFERROR(VLOOKUP(B417,BD_CONTROL!$A$5:$M$4235,12,0),"")</f>
        <v>0</v>
      </c>
      <c r="M417" s="121">
        <f>IFERROR(VLOOKUP(B417,BD_CONTROL!$A$5:$M$4235,13,0),"")</f>
        <v>0</v>
      </c>
    </row>
    <row r="418" spans="1:13" ht="15" customHeight="1">
      <c r="A418" s="39">
        <v>413</v>
      </c>
      <c r="B418" s="39" t="s">
        <v>5194</v>
      </c>
      <c r="C418" s="40" t="s">
        <v>1123</v>
      </c>
      <c r="D418" s="39" t="s">
        <v>4690</v>
      </c>
      <c r="E418" s="40" t="s">
        <v>4872</v>
      </c>
      <c r="F418" s="40" t="s">
        <v>5195</v>
      </c>
      <c r="G418" s="39" t="s">
        <v>109</v>
      </c>
      <c r="H418" s="40" t="s">
        <v>4693</v>
      </c>
      <c r="I418" s="40" t="s">
        <v>104</v>
      </c>
      <c r="J418" s="50"/>
      <c r="K418" s="116">
        <f>IFERROR(VLOOKUP(B418,BD_CONTROL!$A$5:$M$4235,11,0),"")</f>
        <v>0</v>
      </c>
      <c r="L418" s="117">
        <f>IFERROR(VLOOKUP(B418,BD_CONTROL!$A$5:$M$4235,12,0),"")</f>
        <v>0</v>
      </c>
      <c r="M418" s="118">
        <f>IFERROR(VLOOKUP(B418,BD_CONTROL!$A$5:$M$4235,13,0),"")</f>
        <v>0</v>
      </c>
    </row>
    <row r="419" spans="1:13" ht="15" customHeight="1">
      <c r="A419" s="42">
        <v>414</v>
      </c>
      <c r="B419" s="42" t="s">
        <v>5196</v>
      </c>
      <c r="C419" s="43" t="s">
        <v>5197</v>
      </c>
      <c r="D419" s="42" t="s">
        <v>4690</v>
      </c>
      <c r="E419" s="43" t="s">
        <v>4754</v>
      </c>
      <c r="F419" s="43" t="s">
        <v>5197</v>
      </c>
      <c r="G419" s="42" t="s">
        <v>109</v>
      </c>
      <c r="H419" s="43" t="s">
        <v>4693</v>
      </c>
      <c r="I419" s="43" t="s">
        <v>104</v>
      </c>
      <c r="J419" s="55"/>
      <c r="K419" s="119">
        <f>IFERROR(VLOOKUP(B419,BD_CONTROL!$A$5:$M$4235,11,0),"")</f>
        <v>0</v>
      </c>
      <c r="L419" s="120">
        <f>IFERROR(VLOOKUP(B419,BD_CONTROL!$A$5:$M$4235,12,0),"")</f>
        <v>0</v>
      </c>
      <c r="M419" s="121">
        <f>IFERROR(VLOOKUP(B419,BD_CONTROL!$A$5:$M$4235,13,0),"")</f>
        <v>0</v>
      </c>
    </row>
    <row r="420" spans="1:13" ht="15" customHeight="1">
      <c r="A420" s="39">
        <v>415</v>
      </c>
      <c r="B420" s="39" t="s">
        <v>5198</v>
      </c>
      <c r="C420" s="40" t="s">
        <v>5199</v>
      </c>
      <c r="D420" s="39" t="s">
        <v>4690</v>
      </c>
      <c r="E420" s="40" t="s">
        <v>4902</v>
      </c>
      <c r="F420" s="40" t="s">
        <v>5199</v>
      </c>
      <c r="G420" s="39" t="s">
        <v>109</v>
      </c>
      <c r="H420" s="40" t="s">
        <v>4693</v>
      </c>
      <c r="I420" s="40" t="s">
        <v>104</v>
      </c>
      <c r="J420" s="50"/>
      <c r="K420" s="116">
        <f>IFERROR(VLOOKUP(B420,BD_CONTROL!$A$5:$M$4235,11,0),"")</f>
        <v>0</v>
      </c>
      <c r="L420" s="117">
        <f>IFERROR(VLOOKUP(B420,BD_CONTROL!$A$5:$M$4235,12,0),"")</f>
        <v>0</v>
      </c>
      <c r="M420" s="118">
        <f>IFERROR(VLOOKUP(B420,BD_CONTROL!$A$5:$M$4235,13,0),"")</f>
        <v>0</v>
      </c>
    </row>
    <row r="421" spans="1:13" ht="15" customHeight="1">
      <c r="A421" s="42">
        <v>416</v>
      </c>
      <c r="B421" s="42" t="s">
        <v>5200</v>
      </c>
      <c r="C421" s="43" t="s">
        <v>5201</v>
      </c>
      <c r="D421" s="42" t="s">
        <v>4690</v>
      </c>
      <c r="E421" s="43" t="s">
        <v>4766</v>
      </c>
      <c r="F421" s="43" t="s">
        <v>5202</v>
      </c>
      <c r="G421" s="42" t="s">
        <v>109</v>
      </c>
      <c r="H421" s="43" t="s">
        <v>4693</v>
      </c>
      <c r="I421" s="43" t="s">
        <v>104</v>
      </c>
      <c r="J421" s="55"/>
      <c r="K421" s="119">
        <f>IFERROR(VLOOKUP(B421,BD_CONTROL!$A$5:$M$4235,11,0),"")</f>
        <v>0</v>
      </c>
      <c r="L421" s="120">
        <f>IFERROR(VLOOKUP(B421,BD_CONTROL!$A$5:$M$4235,12,0),"")</f>
        <v>0</v>
      </c>
      <c r="M421" s="121">
        <f>IFERROR(VLOOKUP(B421,BD_CONTROL!$A$5:$M$4235,13,0),"")</f>
        <v>0</v>
      </c>
    </row>
    <row r="422" spans="1:13" ht="15" customHeight="1">
      <c r="A422" s="39">
        <v>417</v>
      </c>
      <c r="B422" s="39" t="s">
        <v>5203</v>
      </c>
      <c r="C422" s="40" t="s">
        <v>3443</v>
      </c>
      <c r="D422" s="39" t="s">
        <v>4690</v>
      </c>
      <c r="E422" s="40" t="s">
        <v>5088</v>
      </c>
      <c r="F422" s="40" t="s">
        <v>5204</v>
      </c>
      <c r="G422" s="39" t="s">
        <v>109</v>
      </c>
      <c r="H422" s="40" t="s">
        <v>4693</v>
      </c>
      <c r="I422" s="40" t="s">
        <v>104</v>
      </c>
      <c r="J422" s="50"/>
      <c r="K422" s="116">
        <f>IFERROR(VLOOKUP(B422,BD_CONTROL!$A$5:$M$4235,11,0),"")</f>
        <v>0</v>
      </c>
      <c r="L422" s="117">
        <f>IFERROR(VLOOKUP(B422,BD_CONTROL!$A$5:$M$4235,12,0),"")</f>
        <v>0</v>
      </c>
      <c r="M422" s="118">
        <f>IFERROR(VLOOKUP(B422,BD_CONTROL!$A$5:$M$4235,13,0),"")</f>
        <v>0</v>
      </c>
    </row>
    <row r="423" spans="1:13" ht="15" customHeight="1">
      <c r="A423" s="42">
        <v>418</v>
      </c>
      <c r="B423" s="42" t="s">
        <v>5205</v>
      </c>
      <c r="C423" s="43" t="s">
        <v>5206</v>
      </c>
      <c r="D423" s="42" t="s">
        <v>4690</v>
      </c>
      <c r="E423" s="43" t="s">
        <v>5207</v>
      </c>
      <c r="F423" s="43" t="s">
        <v>5208</v>
      </c>
      <c r="G423" s="42" t="s">
        <v>109</v>
      </c>
      <c r="H423" s="43" t="s">
        <v>4693</v>
      </c>
      <c r="I423" s="43" t="s">
        <v>104</v>
      </c>
      <c r="J423" s="55"/>
      <c r="K423" s="119">
        <f>IFERROR(VLOOKUP(B423,BD_CONTROL!$A$5:$M$4235,11,0),"")</f>
        <v>0</v>
      </c>
      <c r="L423" s="120">
        <f>IFERROR(VLOOKUP(B423,BD_CONTROL!$A$5:$M$4235,12,0),"")</f>
        <v>0</v>
      </c>
      <c r="M423" s="121">
        <f>IFERROR(VLOOKUP(B423,BD_CONTROL!$A$5:$M$4235,13,0),"")</f>
        <v>0</v>
      </c>
    </row>
    <row r="424" spans="1:13" ht="15" customHeight="1">
      <c r="A424" s="39">
        <v>419</v>
      </c>
      <c r="B424" s="39" t="s">
        <v>5209</v>
      </c>
      <c r="C424" s="40" t="s">
        <v>5210</v>
      </c>
      <c r="D424" s="39" t="s">
        <v>4690</v>
      </c>
      <c r="E424" s="40" t="s">
        <v>5207</v>
      </c>
      <c r="F424" s="40" t="s">
        <v>5211</v>
      </c>
      <c r="G424" s="39" t="s">
        <v>109</v>
      </c>
      <c r="H424" s="40" t="s">
        <v>4693</v>
      </c>
      <c r="I424" s="40" t="s">
        <v>104</v>
      </c>
      <c r="J424" s="50"/>
      <c r="K424" s="116">
        <f>IFERROR(VLOOKUP(B424,BD_CONTROL!$A$5:$M$4235,11,0),"")</f>
        <v>0</v>
      </c>
      <c r="L424" s="117">
        <f>IFERROR(VLOOKUP(B424,BD_CONTROL!$A$5:$M$4235,12,0),"")</f>
        <v>0</v>
      </c>
      <c r="M424" s="118">
        <f>IFERROR(VLOOKUP(B424,BD_CONTROL!$A$5:$M$4235,13,0),"")</f>
        <v>0</v>
      </c>
    </row>
    <row r="425" spans="1:13" ht="15" customHeight="1">
      <c r="A425" s="42">
        <v>420</v>
      </c>
      <c r="B425" s="42" t="s">
        <v>5212</v>
      </c>
      <c r="C425" s="43" t="s">
        <v>5213</v>
      </c>
      <c r="D425" s="42" t="s">
        <v>4690</v>
      </c>
      <c r="E425" s="43" t="s">
        <v>5214</v>
      </c>
      <c r="F425" s="43" t="s">
        <v>5215</v>
      </c>
      <c r="G425" s="42" t="s">
        <v>109</v>
      </c>
      <c r="H425" s="43" t="s">
        <v>4693</v>
      </c>
      <c r="I425" s="43" t="s">
        <v>104</v>
      </c>
      <c r="J425" s="55"/>
      <c r="K425" s="119">
        <f>IFERROR(VLOOKUP(B425,BD_CONTROL!$A$5:$M$4235,11,0),"")</f>
        <v>0</v>
      </c>
      <c r="L425" s="120">
        <f>IFERROR(VLOOKUP(B425,BD_CONTROL!$A$5:$M$4235,12,0),"")</f>
        <v>0</v>
      </c>
      <c r="M425" s="121">
        <f>IFERROR(VLOOKUP(B425,BD_CONTROL!$A$5:$M$4235,13,0),"")</f>
        <v>0</v>
      </c>
    </row>
    <row r="426" spans="1:13" ht="15" customHeight="1">
      <c r="A426" s="39">
        <v>421</v>
      </c>
      <c r="B426" s="39" t="s">
        <v>5216</v>
      </c>
      <c r="C426" s="40" t="s">
        <v>5217</v>
      </c>
      <c r="D426" s="39" t="s">
        <v>4690</v>
      </c>
      <c r="E426" s="40" t="s">
        <v>5214</v>
      </c>
      <c r="F426" s="40" t="s">
        <v>5218</v>
      </c>
      <c r="G426" s="39" t="s">
        <v>109</v>
      </c>
      <c r="H426" s="40" t="s">
        <v>4693</v>
      </c>
      <c r="I426" s="40" t="s">
        <v>104</v>
      </c>
      <c r="J426" s="50"/>
      <c r="K426" s="116">
        <f>IFERROR(VLOOKUP(B426,BD_CONTROL!$A$5:$M$4235,11,0),"")</f>
        <v>0</v>
      </c>
      <c r="L426" s="117">
        <f>IFERROR(VLOOKUP(B426,BD_CONTROL!$A$5:$M$4235,12,0),"")</f>
        <v>0</v>
      </c>
      <c r="M426" s="118">
        <f>IFERROR(VLOOKUP(B426,BD_CONTROL!$A$5:$M$4235,13,0),"")</f>
        <v>0</v>
      </c>
    </row>
    <row r="427" spans="1:13" ht="15" customHeight="1">
      <c r="A427" s="42">
        <v>422</v>
      </c>
      <c r="B427" s="42" t="s">
        <v>5221</v>
      </c>
      <c r="C427" s="43" t="s">
        <v>5222</v>
      </c>
      <c r="D427" s="42" t="s">
        <v>4690</v>
      </c>
      <c r="E427" s="43" t="s">
        <v>4700</v>
      </c>
      <c r="F427" s="43" t="s">
        <v>5223</v>
      </c>
      <c r="G427" s="42" t="s">
        <v>109</v>
      </c>
      <c r="H427" s="43" t="s">
        <v>4693</v>
      </c>
      <c r="I427" s="43" t="s">
        <v>104</v>
      </c>
      <c r="J427" s="55"/>
      <c r="K427" s="119">
        <f>IFERROR(VLOOKUP(B427,BD_CONTROL!$A$5:$M$4235,11,0),"")</f>
        <v>0</v>
      </c>
      <c r="L427" s="120">
        <f>IFERROR(VLOOKUP(B427,BD_CONTROL!$A$5:$M$4235,12,0),"")</f>
        <v>0</v>
      </c>
      <c r="M427" s="121">
        <f>IFERROR(VLOOKUP(B427,BD_CONTROL!$A$5:$M$4235,13,0),"")</f>
        <v>0</v>
      </c>
    </row>
    <row r="428" spans="1:13" ht="15" customHeight="1">
      <c r="A428" s="39">
        <v>423</v>
      </c>
      <c r="B428" s="39" t="s">
        <v>5224</v>
      </c>
      <c r="C428" s="40" t="s">
        <v>5225</v>
      </c>
      <c r="D428" s="39" t="s">
        <v>4690</v>
      </c>
      <c r="E428" s="40" t="s">
        <v>4700</v>
      </c>
      <c r="F428" s="40" t="s">
        <v>5226</v>
      </c>
      <c r="G428" s="39" t="s">
        <v>109</v>
      </c>
      <c r="H428" s="40" t="s">
        <v>4693</v>
      </c>
      <c r="I428" s="40" t="s">
        <v>104</v>
      </c>
      <c r="J428" s="50"/>
      <c r="K428" s="116">
        <f>IFERROR(VLOOKUP(B428,BD_CONTROL!$A$5:$M$4235,11,0),"")</f>
        <v>0</v>
      </c>
      <c r="L428" s="117">
        <f>IFERROR(VLOOKUP(B428,BD_CONTROL!$A$5:$M$4235,12,0),"")</f>
        <v>0</v>
      </c>
      <c r="M428" s="118">
        <f>IFERROR(VLOOKUP(B428,BD_CONTROL!$A$5:$M$4235,13,0),"")</f>
        <v>0</v>
      </c>
    </row>
    <row r="429" spans="1:13" ht="15" customHeight="1">
      <c r="A429" s="42">
        <v>424</v>
      </c>
      <c r="B429" s="42" t="s">
        <v>5227</v>
      </c>
      <c r="C429" s="43" t="s">
        <v>5228</v>
      </c>
      <c r="D429" s="42" t="s">
        <v>4690</v>
      </c>
      <c r="E429" s="43" t="s">
        <v>1086</v>
      </c>
      <c r="F429" s="43" t="s">
        <v>5229</v>
      </c>
      <c r="G429" s="42" t="s">
        <v>109</v>
      </c>
      <c r="H429" s="43" t="s">
        <v>4693</v>
      </c>
      <c r="I429" s="43" t="s">
        <v>104</v>
      </c>
      <c r="J429" s="55"/>
      <c r="K429" s="119" t="str">
        <f>IFERROR(VLOOKUP(B429,BD_CONTROL!$A$5:$M$4235,11,0),"")</f>
        <v>Instalado - Sin Señal</v>
      </c>
      <c r="L429" s="120">
        <f>IFERROR(VLOOKUP(B429,BD_CONTROL!$A$5:$M$4235,12,0),"")</f>
        <v>46149</v>
      </c>
      <c r="M429" s="121">
        <f>IFERROR(VLOOKUP(B429,BD_CONTROL!$A$5:$M$4235,13,0),"")</f>
        <v>0</v>
      </c>
    </row>
    <row r="430" spans="1:13" ht="15" customHeight="1">
      <c r="A430" s="39">
        <v>425</v>
      </c>
      <c r="B430" s="39" t="s">
        <v>5233</v>
      </c>
      <c r="C430" s="40" t="s">
        <v>5234</v>
      </c>
      <c r="D430" s="39" t="s">
        <v>4690</v>
      </c>
      <c r="E430" s="40" t="s">
        <v>4967</v>
      </c>
      <c r="F430" s="40" t="s">
        <v>5235</v>
      </c>
      <c r="G430" s="39" t="s">
        <v>109</v>
      </c>
      <c r="H430" s="40" t="s">
        <v>4693</v>
      </c>
      <c r="I430" s="40" t="s">
        <v>104</v>
      </c>
      <c r="J430" s="50"/>
      <c r="K430" s="116">
        <f>IFERROR(VLOOKUP(B430,BD_CONTROL!$A$5:$M$4235,11,0),"")</f>
        <v>0</v>
      </c>
      <c r="L430" s="117">
        <f>IFERROR(VLOOKUP(B430,BD_CONTROL!$A$5:$M$4235,12,0),"")</f>
        <v>0</v>
      </c>
      <c r="M430" s="118">
        <f>IFERROR(VLOOKUP(B430,BD_CONTROL!$A$5:$M$4235,13,0),"")</f>
        <v>0</v>
      </c>
    </row>
    <row r="431" spans="1:13" ht="15" customHeight="1">
      <c r="A431" s="42">
        <v>426</v>
      </c>
      <c r="B431" s="42" t="s">
        <v>5236</v>
      </c>
      <c r="C431" s="43" t="s">
        <v>2256</v>
      </c>
      <c r="D431" s="42" t="s">
        <v>4690</v>
      </c>
      <c r="E431" s="43" t="s">
        <v>4857</v>
      </c>
      <c r="F431" s="43" t="s">
        <v>5237</v>
      </c>
      <c r="G431" s="42" t="s">
        <v>109</v>
      </c>
      <c r="H431" s="43" t="s">
        <v>4693</v>
      </c>
      <c r="I431" s="43" t="s">
        <v>104</v>
      </c>
      <c r="J431" s="55"/>
      <c r="K431" s="119">
        <f>IFERROR(VLOOKUP(B431,BD_CONTROL!$A$5:$M$4235,11,0),"")</f>
        <v>0</v>
      </c>
      <c r="L431" s="120">
        <f>IFERROR(VLOOKUP(B431,BD_CONTROL!$A$5:$M$4235,12,0),"")</f>
        <v>0</v>
      </c>
      <c r="M431" s="121">
        <f>IFERROR(VLOOKUP(B431,BD_CONTROL!$A$5:$M$4235,13,0),"")</f>
        <v>0</v>
      </c>
    </row>
    <row r="432" spans="1:13" ht="15" customHeight="1">
      <c r="A432" s="39">
        <v>427</v>
      </c>
      <c r="B432" s="39" t="s">
        <v>5238</v>
      </c>
      <c r="C432" s="40" t="s">
        <v>5239</v>
      </c>
      <c r="D432" s="39" t="s">
        <v>4690</v>
      </c>
      <c r="E432" s="40" t="s">
        <v>4744</v>
      </c>
      <c r="F432" s="40" t="s">
        <v>5240</v>
      </c>
      <c r="G432" s="39" t="s">
        <v>109</v>
      </c>
      <c r="H432" s="40" t="s">
        <v>4693</v>
      </c>
      <c r="I432" s="40" t="s">
        <v>104</v>
      </c>
      <c r="J432" s="50"/>
      <c r="K432" s="116">
        <f>IFERROR(VLOOKUP(B432,BD_CONTROL!$A$5:$M$4235,11,0),"")</f>
        <v>0</v>
      </c>
      <c r="L432" s="117">
        <f>IFERROR(VLOOKUP(B432,BD_CONTROL!$A$5:$M$4235,12,0),"")</f>
        <v>0</v>
      </c>
      <c r="M432" s="118">
        <f>IFERROR(VLOOKUP(B432,BD_CONTROL!$A$5:$M$4235,13,0),"")</f>
        <v>0</v>
      </c>
    </row>
    <row r="433" spans="1:13" ht="15" customHeight="1">
      <c r="A433" s="42">
        <v>428</v>
      </c>
      <c r="B433" s="42" t="s">
        <v>5241</v>
      </c>
      <c r="C433" s="43" t="s">
        <v>5242</v>
      </c>
      <c r="D433" s="42" t="s">
        <v>4690</v>
      </c>
      <c r="E433" s="43" t="s">
        <v>5243</v>
      </c>
      <c r="F433" s="43" t="s">
        <v>5244</v>
      </c>
      <c r="G433" s="42" t="s">
        <v>109</v>
      </c>
      <c r="H433" s="43" t="s">
        <v>4693</v>
      </c>
      <c r="I433" s="43" t="s">
        <v>104</v>
      </c>
      <c r="J433" s="55"/>
      <c r="K433" s="119">
        <f>IFERROR(VLOOKUP(B433,BD_CONTROL!$A$5:$M$4235,11,0),"")</f>
        <v>0</v>
      </c>
      <c r="L433" s="120">
        <f>IFERROR(VLOOKUP(B433,BD_CONTROL!$A$5:$M$4235,12,0),"")</f>
        <v>0</v>
      </c>
      <c r="M433" s="121">
        <f>IFERROR(VLOOKUP(B433,BD_CONTROL!$A$5:$M$4235,13,0),"")</f>
        <v>0</v>
      </c>
    </row>
    <row r="434" spans="1:13" ht="15" customHeight="1">
      <c r="A434" s="39">
        <v>429</v>
      </c>
      <c r="B434" s="39" t="s">
        <v>5245</v>
      </c>
      <c r="C434" s="40" t="s">
        <v>5246</v>
      </c>
      <c r="D434" s="39" t="s">
        <v>4690</v>
      </c>
      <c r="E434" s="40" t="s">
        <v>4902</v>
      </c>
      <c r="F434" s="40" t="s">
        <v>5247</v>
      </c>
      <c r="G434" s="39" t="s">
        <v>109</v>
      </c>
      <c r="H434" s="40" t="s">
        <v>4693</v>
      </c>
      <c r="I434" s="40" t="s">
        <v>104</v>
      </c>
      <c r="J434" s="50"/>
      <c r="K434" s="116">
        <f>IFERROR(VLOOKUP(B434,BD_CONTROL!$A$5:$M$4235,11,0),"")</f>
        <v>0</v>
      </c>
      <c r="L434" s="117">
        <f>IFERROR(VLOOKUP(B434,BD_CONTROL!$A$5:$M$4235,12,0),"")</f>
        <v>0</v>
      </c>
      <c r="M434" s="118">
        <f>IFERROR(VLOOKUP(B434,BD_CONTROL!$A$5:$M$4235,13,0),"")</f>
        <v>0</v>
      </c>
    </row>
    <row r="435" spans="1:13" ht="15" customHeight="1">
      <c r="A435" s="42">
        <v>430</v>
      </c>
      <c r="B435" s="42" t="s">
        <v>5248</v>
      </c>
      <c r="C435" s="43" t="s">
        <v>5249</v>
      </c>
      <c r="D435" s="42" t="s">
        <v>4690</v>
      </c>
      <c r="E435" s="43" t="s">
        <v>4708</v>
      </c>
      <c r="F435" s="43" t="s">
        <v>5250</v>
      </c>
      <c r="G435" s="42" t="s">
        <v>109</v>
      </c>
      <c r="H435" s="43" t="s">
        <v>4693</v>
      </c>
      <c r="I435" s="43" t="s">
        <v>104</v>
      </c>
      <c r="J435" s="55"/>
      <c r="K435" s="119">
        <f>IFERROR(VLOOKUP(B435,BD_CONTROL!$A$5:$M$4235,11,0),"")</f>
        <v>0</v>
      </c>
      <c r="L435" s="120">
        <f>IFERROR(VLOOKUP(B435,BD_CONTROL!$A$5:$M$4235,12,0),"")</f>
        <v>0</v>
      </c>
      <c r="M435" s="121">
        <f>IFERROR(VLOOKUP(B435,BD_CONTROL!$A$5:$M$4235,13,0),"")</f>
        <v>0</v>
      </c>
    </row>
    <row r="436" spans="1:13" ht="15" customHeight="1">
      <c r="A436" s="39">
        <v>431</v>
      </c>
      <c r="B436" s="39" t="s">
        <v>5251</v>
      </c>
      <c r="C436" s="40" t="s">
        <v>5252</v>
      </c>
      <c r="D436" s="39" t="s">
        <v>4690</v>
      </c>
      <c r="E436" s="40" t="s">
        <v>4828</v>
      </c>
      <c r="F436" s="40" t="s">
        <v>4828</v>
      </c>
      <c r="G436" s="39" t="s">
        <v>102</v>
      </c>
      <c r="H436" s="40" t="s">
        <v>4693</v>
      </c>
      <c r="I436" s="40" t="s">
        <v>104</v>
      </c>
      <c r="J436" s="50"/>
      <c r="K436" s="116">
        <f>IFERROR(VLOOKUP(B436,BD_CONTROL!$A$5:$M$4235,11,0),"")</f>
        <v>0</v>
      </c>
      <c r="L436" s="117">
        <f>IFERROR(VLOOKUP(B436,BD_CONTROL!$A$5:$M$4235,12,0),"")</f>
        <v>0</v>
      </c>
      <c r="M436" s="118">
        <f>IFERROR(VLOOKUP(B436,BD_CONTROL!$A$5:$M$4235,13,0),"")</f>
        <v>0</v>
      </c>
    </row>
    <row r="437" spans="1:13" ht="15" customHeight="1">
      <c r="A437" s="42">
        <v>432</v>
      </c>
      <c r="B437" s="42" t="s">
        <v>5253</v>
      </c>
      <c r="C437" s="43" t="s">
        <v>5254</v>
      </c>
      <c r="D437" s="42" t="s">
        <v>4690</v>
      </c>
      <c r="E437" s="43" t="s">
        <v>4812</v>
      </c>
      <c r="F437" s="43" t="s">
        <v>5255</v>
      </c>
      <c r="G437" s="42" t="s">
        <v>109</v>
      </c>
      <c r="H437" s="43" t="s">
        <v>4693</v>
      </c>
      <c r="I437" s="43" t="s">
        <v>104</v>
      </c>
      <c r="J437" s="55"/>
      <c r="K437" s="119" t="str">
        <f>IFERROR(VLOOKUP(B437,BD_CONTROL!$A$5:$M$4235,11,0),"")</f>
        <v>Instalado - Operando</v>
      </c>
      <c r="L437" s="120">
        <f>IFERROR(VLOOKUP(B437,BD_CONTROL!$A$5:$M$4235,12,0),"")</f>
        <v>46150</v>
      </c>
      <c r="M437" s="121">
        <f>IFERROR(VLOOKUP(B437,BD_CONTROL!$A$5:$M$4235,13,0),"")</f>
        <v>0</v>
      </c>
    </row>
    <row r="438" spans="1:13" ht="15" customHeight="1">
      <c r="A438" s="39">
        <v>433</v>
      </c>
      <c r="B438" s="39" t="s">
        <v>5256</v>
      </c>
      <c r="C438" s="40" t="s">
        <v>5257</v>
      </c>
      <c r="D438" s="39" t="s">
        <v>4690</v>
      </c>
      <c r="E438" s="40" t="s">
        <v>4744</v>
      </c>
      <c r="F438" s="40" t="s">
        <v>5258</v>
      </c>
      <c r="G438" s="39" t="s">
        <v>109</v>
      </c>
      <c r="H438" s="40" t="s">
        <v>4693</v>
      </c>
      <c r="I438" s="40" t="s">
        <v>104</v>
      </c>
      <c r="J438" s="50"/>
      <c r="K438" s="116">
        <f>IFERROR(VLOOKUP(B438,BD_CONTROL!$A$5:$M$4235,11,0),"")</f>
        <v>0</v>
      </c>
      <c r="L438" s="117">
        <f>IFERROR(VLOOKUP(B438,BD_CONTROL!$A$5:$M$4235,12,0),"")</f>
        <v>0</v>
      </c>
      <c r="M438" s="118">
        <f>IFERROR(VLOOKUP(B438,BD_CONTROL!$A$5:$M$4235,13,0),"")</f>
        <v>0</v>
      </c>
    </row>
    <row r="439" spans="1:13" ht="15" customHeight="1">
      <c r="A439" s="42">
        <v>434</v>
      </c>
      <c r="B439" s="42" t="s">
        <v>5259</v>
      </c>
      <c r="C439" s="43" t="s">
        <v>5260</v>
      </c>
      <c r="D439" s="42" t="s">
        <v>4690</v>
      </c>
      <c r="E439" s="43" t="s">
        <v>4744</v>
      </c>
      <c r="F439" s="43" t="s">
        <v>5261</v>
      </c>
      <c r="G439" s="42" t="s">
        <v>109</v>
      </c>
      <c r="H439" s="43" t="s">
        <v>4693</v>
      </c>
      <c r="I439" s="43" t="s">
        <v>104</v>
      </c>
      <c r="J439" s="55"/>
      <c r="K439" s="119" t="str">
        <f>IFERROR(VLOOKUP(B439,BD_CONTROL!$A$5:$M$4235,11,0),"")</f>
        <v>Instalado - Operando</v>
      </c>
      <c r="L439" s="120">
        <f>IFERROR(VLOOKUP(B439,BD_CONTROL!$A$5:$M$4235,12,0),"")</f>
        <v>46148</v>
      </c>
      <c r="M439" s="121">
        <f>IFERROR(VLOOKUP(B439,BD_CONTROL!$A$5:$M$4235,13,0),"")</f>
        <v>0</v>
      </c>
    </row>
    <row r="440" spans="1:13" ht="15" customHeight="1">
      <c r="A440" s="39">
        <v>435</v>
      </c>
      <c r="B440" s="39" t="s">
        <v>5262</v>
      </c>
      <c r="C440" s="40" t="s">
        <v>254</v>
      </c>
      <c r="D440" s="39" t="s">
        <v>4690</v>
      </c>
      <c r="E440" s="40" t="s">
        <v>658</v>
      </c>
      <c r="F440" s="40" t="s">
        <v>2669</v>
      </c>
      <c r="G440" s="39" t="s">
        <v>109</v>
      </c>
      <c r="H440" s="40" t="s">
        <v>4693</v>
      </c>
      <c r="I440" s="40" t="s">
        <v>104</v>
      </c>
      <c r="J440" s="50"/>
      <c r="K440" s="116">
        <f>IFERROR(VLOOKUP(B440,BD_CONTROL!$A$5:$M$4235,11,0),"")</f>
        <v>0</v>
      </c>
      <c r="L440" s="117">
        <f>IFERROR(VLOOKUP(B440,BD_CONTROL!$A$5:$M$4235,12,0),"")</f>
        <v>0</v>
      </c>
      <c r="M440" s="118">
        <f>IFERROR(VLOOKUP(B440,BD_CONTROL!$A$5:$M$4235,13,0),"")</f>
        <v>0</v>
      </c>
    </row>
    <row r="441" spans="1:13" ht="15" customHeight="1">
      <c r="A441" s="42">
        <v>436</v>
      </c>
      <c r="B441" s="42" t="s">
        <v>5263</v>
      </c>
      <c r="C441" s="43" t="s">
        <v>1086</v>
      </c>
      <c r="D441" s="42" t="s">
        <v>4690</v>
      </c>
      <c r="E441" s="43" t="s">
        <v>4860</v>
      </c>
      <c r="F441" s="43" t="s">
        <v>5264</v>
      </c>
      <c r="G441" s="42" t="s">
        <v>109</v>
      </c>
      <c r="H441" s="43" t="s">
        <v>4693</v>
      </c>
      <c r="I441" s="43" t="s">
        <v>104</v>
      </c>
      <c r="J441" s="55"/>
      <c r="K441" s="119">
        <f>IFERROR(VLOOKUP(B441,BD_CONTROL!$A$5:$M$4235,11,0),"")</f>
        <v>0</v>
      </c>
      <c r="L441" s="120">
        <f>IFERROR(VLOOKUP(B441,BD_CONTROL!$A$5:$M$4235,12,0),"")</f>
        <v>0</v>
      </c>
      <c r="M441" s="121">
        <f>IFERROR(VLOOKUP(B441,BD_CONTROL!$A$5:$M$4235,13,0),"")</f>
        <v>0</v>
      </c>
    </row>
    <row r="442" spans="1:13" ht="15" customHeight="1">
      <c r="A442" s="39">
        <v>437</v>
      </c>
      <c r="B442" s="39" t="s">
        <v>5265</v>
      </c>
      <c r="C442" s="40" t="s">
        <v>5266</v>
      </c>
      <c r="D442" s="39" t="s">
        <v>4690</v>
      </c>
      <c r="E442" s="40" t="s">
        <v>4691</v>
      </c>
      <c r="F442" s="40" t="s">
        <v>5267</v>
      </c>
      <c r="G442" s="39" t="s">
        <v>109</v>
      </c>
      <c r="H442" s="40" t="s">
        <v>4693</v>
      </c>
      <c r="I442" s="40" t="s">
        <v>104</v>
      </c>
      <c r="J442" s="50"/>
      <c r="K442" s="116">
        <f>IFERROR(VLOOKUP(B442,BD_CONTROL!$A$5:$M$4235,11,0),"")</f>
        <v>0</v>
      </c>
      <c r="L442" s="117">
        <f>IFERROR(VLOOKUP(B442,BD_CONTROL!$A$5:$M$4235,12,0),"")</f>
        <v>0</v>
      </c>
      <c r="M442" s="118">
        <f>IFERROR(VLOOKUP(B442,BD_CONTROL!$A$5:$M$4235,13,0),"")</f>
        <v>0</v>
      </c>
    </row>
    <row r="443" spans="1:13" ht="15" customHeight="1">
      <c r="A443" s="42">
        <v>438</v>
      </c>
      <c r="B443" s="42" t="s">
        <v>5271</v>
      </c>
      <c r="C443" s="43" t="s">
        <v>5272</v>
      </c>
      <c r="D443" s="42" t="s">
        <v>4690</v>
      </c>
      <c r="E443" s="43" t="s">
        <v>4793</v>
      </c>
      <c r="F443" s="43" t="s">
        <v>5273</v>
      </c>
      <c r="G443" s="42" t="s">
        <v>109</v>
      </c>
      <c r="H443" s="43" t="s">
        <v>4693</v>
      </c>
      <c r="I443" s="43" t="s">
        <v>104</v>
      </c>
      <c r="J443" s="55"/>
      <c r="K443" s="119">
        <f>IFERROR(VLOOKUP(B443,BD_CONTROL!$A$5:$M$4235,11,0),"")</f>
        <v>0</v>
      </c>
      <c r="L443" s="120">
        <f>IFERROR(VLOOKUP(B443,BD_CONTROL!$A$5:$M$4235,12,0),"")</f>
        <v>0</v>
      </c>
      <c r="M443" s="121">
        <f>IFERROR(VLOOKUP(B443,BD_CONTROL!$A$5:$M$4235,13,0),"")</f>
        <v>0</v>
      </c>
    </row>
    <row r="444" spans="1:13" ht="15" customHeight="1">
      <c r="A444" s="39">
        <v>439</v>
      </c>
      <c r="B444" s="39" t="s">
        <v>5274</v>
      </c>
      <c r="C444" s="40" t="s">
        <v>1204</v>
      </c>
      <c r="D444" s="39" t="s">
        <v>4690</v>
      </c>
      <c r="E444" s="40" t="s">
        <v>4740</v>
      </c>
      <c r="F444" s="40" t="s">
        <v>4836</v>
      </c>
      <c r="G444" s="39" t="s">
        <v>109</v>
      </c>
      <c r="H444" s="40" t="s">
        <v>4693</v>
      </c>
      <c r="I444" s="40" t="s">
        <v>104</v>
      </c>
      <c r="J444" s="50"/>
      <c r="K444" s="116">
        <f>IFERROR(VLOOKUP(B444,BD_CONTROL!$A$5:$M$4235,11,0),"")</f>
        <v>0</v>
      </c>
      <c r="L444" s="117">
        <f>IFERROR(VLOOKUP(B444,BD_CONTROL!$A$5:$M$4235,12,0),"")</f>
        <v>0</v>
      </c>
      <c r="M444" s="118">
        <f>IFERROR(VLOOKUP(B444,BD_CONTROL!$A$5:$M$4235,13,0),"")</f>
        <v>0</v>
      </c>
    </row>
    <row r="445" spans="1:13" ht="15" customHeight="1">
      <c r="A445" s="42">
        <v>440</v>
      </c>
      <c r="B445" s="42" t="s">
        <v>5275</v>
      </c>
      <c r="C445" s="43" t="s">
        <v>437</v>
      </c>
      <c r="D445" s="42" t="s">
        <v>4690</v>
      </c>
      <c r="E445" s="43" t="s">
        <v>4801</v>
      </c>
      <c r="F445" s="43" t="s">
        <v>5276</v>
      </c>
      <c r="G445" s="42" t="s">
        <v>109</v>
      </c>
      <c r="H445" s="43" t="s">
        <v>4693</v>
      </c>
      <c r="I445" s="43" t="s">
        <v>104</v>
      </c>
      <c r="J445" s="55"/>
      <c r="K445" s="119">
        <f>IFERROR(VLOOKUP(B445,BD_CONTROL!$A$5:$M$4235,11,0),"")</f>
        <v>0</v>
      </c>
      <c r="L445" s="120">
        <f>IFERROR(VLOOKUP(B445,BD_CONTROL!$A$5:$M$4235,12,0),"")</f>
        <v>0</v>
      </c>
      <c r="M445" s="121">
        <f>IFERROR(VLOOKUP(B445,BD_CONTROL!$A$5:$M$4235,13,0),"")</f>
        <v>0</v>
      </c>
    </row>
    <row r="446" spans="1:13" ht="15" customHeight="1">
      <c r="A446" s="39">
        <v>441</v>
      </c>
      <c r="B446" s="39" t="s">
        <v>5277</v>
      </c>
      <c r="C446" s="40" t="s">
        <v>5278</v>
      </c>
      <c r="D446" s="39" t="s">
        <v>4690</v>
      </c>
      <c r="E446" s="40" t="s">
        <v>4944</v>
      </c>
      <c r="F446" s="40" t="s">
        <v>5278</v>
      </c>
      <c r="G446" s="39" t="s">
        <v>109</v>
      </c>
      <c r="H446" s="40" t="s">
        <v>4693</v>
      </c>
      <c r="I446" s="40" t="s">
        <v>104</v>
      </c>
      <c r="J446" s="50"/>
      <c r="K446" s="116">
        <f>IFERROR(VLOOKUP(B446,BD_CONTROL!$A$5:$M$4235,11,0),"")</f>
        <v>0</v>
      </c>
      <c r="L446" s="117">
        <f>IFERROR(VLOOKUP(B446,BD_CONTROL!$A$5:$M$4235,12,0),"")</f>
        <v>0</v>
      </c>
      <c r="M446" s="118">
        <f>IFERROR(VLOOKUP(B446,BD_CONTROL!$A$5:$M$4235,13,0),"")</f>
        <v>0</v>
      </c>
    </row>
    <row r="447" spans="1:13" ht="15" customHeight="1">
      <c r="A447" s="42">
        <v>442</v>
      </c>
      <c r="B447" s="42" t="s">
        <v>5279</v>
      </c>
      <c r="C447" s="43" t="s">
        <v>5280</v>
      </c>
      <c r="D447" s="42" t="s">
        <v>4690</v>
      </c>
      <c r="E447" s="43" t="s">
        <v>5281</v>
      </c>
      <c r="F447" s="43" t="s">
        <v>5282</v>
      </c>
      <c r="G447" s="42" t="s">
        <v>109</v>
      </c>
      <c r="H447" s="43" t="s">
        <v>4693</v>
      </c>
      <c r="I447" s="43" t="s">
        <v>104</v>
      </c>
      <c r="J447" s="55"/>
      <c r="K447" s="119">
        <f>IFERROR(VLOOKUP(B447,BD_CONTROL!$A$5:$M$4235,11,0),"")</f>
        <v>0</v>
      </c>
      <c r="L447" s="120">
        <f>IFERROR(VLOOKUP(B447,BD_CONTROL!$A$5:$M$4235,12,0),"")</f>
        <v>0</v>
      </c>
      <c r="M447" s="121">
        <f>IFERROR(VLOOKUP(B447,BD_CONTROL!$A$5:$M$4235,13,0),"")</f>
        <v>0</v>
      </c>
    </row>
    <row r="448" spans="1:13" ht="15" customHeight="1">
      <c r="A448" s="39">
        <v>443</v>
      </c>
      <c r="B448" s="39" t="s">
        <v>5283</v>
      </c>
      <c r="C448" s="40" t="s">
        <v>5284</v>
      </c>
      <c r="D448" s="39" t="s">
        <v>4690</v>
      </c>
      <c r="E448" s="40" t="s">
        <v>4857</v>
      </c>
      <c r="F448" s="40" t="s">
        <v>5285</v>
      </c>
      <c r="G448" s="39" t="s">
        <v>109</v>
      </c>
      <c r="H448" s="40" t="s">
        <v>4693</v>
      </c>
      <c r="I448" s="40" t="s">
        <v>104</v>
      </c>
      <c r="J448" s="50"/>
      <c r="K448" s="116">
        <f>IFERROR(VLOOKUP(B448,BD_CONTROL!$A$5:$M$4235,11,0),"")</f>
        <v>0</v>
      </c>
      <c r="L448" s="117">
        <f>IFERROR(VLOOKUP(B448,BD_CONTROL!$A$5:$M$4235,12,0),"")</f>
        <v>0</v>
      </c>
      <c r="M448" s="118">
        <f>IFERROR(VLOOKUP(B448,BD_CONTROL!$A$5:$M$4235,13,0),"")</f>
        <v>0</v>
      </c>
    </row>
    <row r="449" spans="1:13" ht="15" customHeight="1">
      <c r="A449" s="42">
        <v>444</v>
      </c>
      <c r="B449" s="42" t="s">
        <v>5286</v>
      </c>
      <c r="C449" s="43" t="s">
        <v>5287</v>
      </c>
      <c r="D449" s="42" t="s">
        <v>4690</v>
      </c>
      <c r="E449" s="43" t="s">
        <v>5111</v>
      </c>
      <c r="F449" s="43" t="s">
        <v>5288</v>
      </c>
      <c r="G449" s="42" t="s">
        <v>109</v>
      </c>
      <c r="H449" s="43" t="s">
        <v>4693</v>
      </c>
      <c r="I449" s="43" t="s">
        <v>104</v>
      </c>
      <c r="J449" s="55"/>
      <c r="K449" s="119">
        <f>IFERROR(VLOOKUP(B449,BD_CONTROL!$A$5:$M$4235,11,0),"")</f>
        <v>0</v>
      </c>
      <c r="L449" s="120">
        <f>IFERROR(VLOOKUP(B449,BD_CONTROL!$A$5:$M$4235,12,0),"")</f>
        <v>0</v>
      </c>
      <c r="M449" s="121">
        <f>IFERROR(VLOOKUP(B449,BD_CONTROL!$A$5:$M$4235,13,0),"")</f>
        <v>0</v>
      </c>
    </row>
    <row r="450" spans="1:13" ht="15" customHeight="1">
      <c r="A450" s="39">
        <v>445</v>
      </c>
      <c r="B450" s="39" t="s">
        <v>5289</v>
      </c>
      <c r="C450" s="40" t="s">
        <v>5290</v>
      </c>
      <c r="D450" s="39" t="s">
        <v>4690</v>
      </c>
      <c r="E450" s="40" t="s">
        <v>5016</v>
      </c>
      <c r="F450" s="40" t="s">
        <v>5291</v>
      </c>
      <c r="G450" s="39" t="s">
        <v>109</v>
      </c>
      <c r="H450" s="40" t="s">
        <v>4693</v>
      </c>
      <c r="I450" s="40" t="s">
        <v>104</v>
      </c>
      <c r="J450" s="50"/>
      <c r="K450" s="116">
        <f>IFERROR(VLOOKUP(B450,BD_CONTROL!$A$5:$M$4235,11,0),"")</f>
        <v>0</v>
      </c>
      <c r="L450" s="117">
        <f>IFERROR(VLOOKUP(B450,BD_CONTROL!$A$5:$M$4235,12,0),"")</f>
        <v>0</v>
      </c>
      <c r="M450" s="118">
        <f>IFERROR(VLOOKUP(B450,BD_CONTROL!$A$5:$M$4235,13,0),"")</f>
        <v>0</v>
      </c>
    </row>
    <row r="451" spans="1:13" ht="15" customHeight="1">
      <c r="A451" s="42">
        <v>446</v>
      </c>
      <c r="B451" s="42" t="s">
        <v>5292</v>
      </c>
      <c r="C451" s="43" t="s">
        <v>5293</v>
      </c>
      <c r="D451" s="42" t="s">
        <v>4690</v>
      </c>
      <c r="E451" s="43" t="s">
        <v>5294</v>
      </c>
      <c r="F451" s="43" t="s">
        <v>5293</v>
      </c>
      <c r="G451" s="42" t="s">
        <v>109</v>
      </c>
      <c r="H451" s="43" t="s">
        <v>4693</v>
      </c>
      <c r="I451" s="43" t="s">
        <v>104</v>
      </c>
      <c r="J451" s="55"/>
      <c r="K451" s="119">
        <f>IFERROR(VLOOKUP(B451,BD_CONTROL!$A$5:$M$4235,11,0),"")</f>
        <v>0</v>
      </c>
      <c r="L451" s="120">
        <f>IFERROR(VLOOKUP(B451,BD_CONTROL!$A$5:$M$4235,12,0),"")</f>
        <v>0</v>
      </c>
      <c r="M451" s="121">
        <f>IFERROR(VLOOKUP(B451,BD_CONTROL!$A$5:$M$4235,13,0),"")</f>
        <v>0</v>
      </c>
    </row>
    <row r="452" spans="1:13" ht="15" customHeight="1">
      <c r="A452" s="39">
        <v>447</v>
      </c>
      <c r="B452" s="39" t="s">
        <v>5295</v>
      </c>
      <c r="C452" s="40" t="s">
        <v>5296</v>
      </c>
      <c r="D452" s="39" t="s">
        <v>4690</v>
      </c>
      <c r="E452" s="40" t="s">
        <v>5297</v>
      </c>
      <c r="F452" s="40" t="s">
        <v>5298</v>
      </c>
      <c r="G452" s="39" t="s">
        <v>109</v>
      </c>
      <c r="H452" s="40" t="s">
        <v>4693</v>
      </c>
      <c r="I452" s="40" t="s">
        <v>104</v>
      </c>
      <c r="J452" s="50"/>
      <c r="K452" s="116">
        <f>IFERROR(VLOOKUP(B452,BD_CONTROL!$A$5:$M$4235,11,0),"")</f>
        <v>0</v>
      </c>
      <c r="L452" s="117">
        <f>IFERROR(VLOOKUP(B452,BD_CONTROL!$A$5:$M$4235,12,0),"")</f>
        <v>0</v>
      </c>
      <c r="M452" s="118">
        <f>IFERROR(VLOOKUP(B452,BD_CONTROL!$A$5:$M$4235,13,0),"")</f>
        <v>0</v>
      </c>
    </row>
    <row r="453" spans="1:13" ht="15" customHeight="1">
      <c r="A453" s="42">
        <v>448</v>
      </c>
      <c r="B453" s="42" t="s">
        <v>5299</v>
      </c>
      <c r="C453" s="43" t="s">
        <v>5051</v>
      </c>
      <c r="D453" s="42" t="s">
        <v>4690</v>
      </c>
      <c r="E453" s="43" t="s">
        <v>4902</v>
      </c>
      <c r="F453" s="43" t="s">
        <v>5300</v>
      </c>
      <c r="G453" s="42" t="s">
        <v>109</v>
      </c>
      <c r="H453" s="43" t="s">
        <v>4693</v>
      </c>
      <c r="I453" s="43" t="s">
        <v>104</v>
      </c>
      <c r="J453" s="55"/>
      <c r="K453" s="119">
        <f>IFERROR(VLOOKUP(B453,BD_CONTROL!$A$5:$M$4235,11,0),"")</f>
        <v>0</v>
      </c>
      <c r="L453" s="120">
        <f>IFERROR(VLOOKUP(B453,BD_CONTROL!$A$5:$M$4235,12,0),"")</f>
        <v>0</v>
      </c>
      <c r="M453" s="121">
        <f>IFERROR(VLOOKUP(B453,BD_CONTROL!$A$5:$M$4235,13,0),"")</f>
        <v>0</v>
      </c>
    </row>
    <row r="454" spans="1:13" ht="15" customHeight="1">
      <c r="A454" s="39">
        <v>449</v>
      </c>
      <c r="B454" s="39" t="s">
        <v>5301</v>
      </c>
      <c r="C454" s="40" t="s">
        <v>5302</v>
      </c>
      <c r="D454" s="39" t="s">
        <v>4690</v>
      </c>
      <c r="E454" s="40" t="s">
        <v>4820</v>
      </c>
      <c r="F454" s="40" t="s">
        <v>5303</v>
      </c>
      <c r="G454" s="39" t="s">
        <v>109</v>
      </c>
      <c r="H454" s="40" t="s">
        <v>4693</v>
      </c>
      <c r="I454" s="40" t="s">
        <v>104</v>
      </c>
      <c r="J454" s="50"/>
      <c r="K454" s="116">
        <f>IFERROR(VLOOKUP(B454,BD_CONTROL!$A$5:$M$4235,11,0),"")</f>
        <v>0</v>
      </c>
      <c r="L454" s="117">
        <f>IFERROR(VLOOKUP(B454,BD_CONTROL!$A$5:$M$4235,12,0),"")</f>
        <v>0</v>
      </c>
      <c r="M454" s="118">
        <f>IFERROR(VLOOKUP(B454,BD_CONTROL!$A$5:$M$4235,13,0),"")</f>
        <v>0</v>
      </c>
    </row>
    <row r="455" spans="1:13" ht="15" customHeight="1">
      <c r="A455" s="42">
        <v>450</v>
      </c>
      <c r="B455" s="42" t="s">
        <v>5304</v>
      </c>
      <c r="C455" s="43" t="s">
        <v>5305</v>
      </c>
      <c r="D455" s="42" t="s">
        <v>4690</v>
      </c>
      <c r="E455" s="43" t="s">
        <v>4744</v>
      </c>
      <c r="F455" s="43" t="s">
        <v>1422</v>
      </c>
      <c r="G455" s="42" t="s">
        <v>109</v>
      </c>
      <c r="H455" s="43" t="s">
        <v>4693</v>
      </c>
      <c r="I455" s="43" t="s">
        <v>104</v>
      </c>
      <c r="J455" s="55"/>
      <c r="K455" s="119" t="str">
        <f>IFERROR(VLOOKUP(B455,BD_CONTROL!$A$5:$M$4235,11,0),"")</f>
        <v>Instalado - Operando</v>
      </c>
      <c r="L455" s="120">
        <f>IFERROR(VLOOKUP(B455,BD_CONTROL!$A$5:$M$4235,12,0),"")</f>
        <v>46148</v>
      </c>
      <c r="M455" s="121">
        <f>IFERROR(VLOOKUP(B455,BD_CONTROL!$A$5:$M$4235,13,0),"")</f>
        <v>0</v>
      </c>
    </row>
    <row r="456" spans="1:13" ht="15" customHeight="1">
      <c r="A456" s="39">
        <v>451</v>
      </c>
      <c r="B456" s="39" t="s">
        <v>5306</v>
      </c>
      <c r="C456" s="40" t="s">
        <v>5307</v>
      </c>
      <c r="D456" s="39" t="s">
        <v>4690</v>
      </c>
      <c r="E456" s="40" t="s">
        <v>4744</v>
      </c>
      <c r="F456" s="40" t="s">
        <v>5308</v>
      </c>
      <c r="G456" s="39" t="s">
        <v>102</v>
      </c>
      <c r="H456" s="40" t="s">
        <v>4693</v>
      </c>
      <c r="I456" s="40" t="s">
        <v>104</v>
      </c>
      <c r="J456" s="50"/>
      <c r="K456" s="116" t="str">
        <f>IFERROR(VLOOKUP(B456,BD_CONTROL!$A$5:$M$4235,11,0),"")</f>
        <v>Instalado - Operando</v>
      </c>
      <c r="L456" s="117">
        <f>IFERROR(VLOOKUP(B456,BD_CONTROL!$A$5:$M$4235,12,0),"")</f>
        <v>46149</v>
      </c>
      <c r="M456" s="118">
        <f>IFERROR(VLOOKUP(B456,BD_CONTROL!$A$5:$M$4235,13,0),"")</f>
        <v>0</v>
      </c>
    </row>
    <row r="457" spans="1:13" ht="15" customHeight="1">
      <c r="A457" s="42">
        <v>452</v>
      </c>
      <c r="B457" s="42" t="s">
        <v>5309</v>
      </c>
      <c r="C457" s="43" t="s">
        <v>5310</v>
      </c>
      <c r="D457" s="42" t="s">
        <v>4690</v>
      </c>
      <c r="E457" s="43" t="s">
        <v>4832</v>
      </c>
      <c r="F457" s="43" t="s">
        <v>5311</v>
      </c>
      <c r="G457" s="42" t="s">
        <v>109</v>
      </c>
      <c r="H457" s="43" t="s">
        <v>4693</v>
      </c>
      <c r="I457" s="43" t="s">
        <v>104</v>
      </c>
      <c r="J457" s="55"/>
      <c r="K457" s="119">
        <f>IFERROR(VLOOKUP(B457,BD_CONTROL!$A$5:$M$4235,11,0),"")</f>
        <v>0</v>
      </c>
      <c r="L457" s="120">
        <f>IFERROR(VLOOKUP(B457,BD_CONTROL!$A$5:$M$4235,12,0),"")</f>
        <v>0</v>
      </c>
      <c r="M457" s="121">
        <f>IFERROR(VLOOKUP(B457,BD_CONTROL!$A$5:$M$4235,13,0),"")</f>
        <v>0</v>
      </c>
    </row>
    <row r="458" spans="1:13" ht="15" customHeight="1">
      <c r="A458" s="39">
        <v>453</v>
      </c>
      <c r="B458" s="39" t="s">
        <v>5312</v>
      </c>
      <c r="C458" s="40" t="s">
        <v>5313</v>
      </c>
      <c r="D458" s="39" t="s">
        <v>4690</v>
      </c>
      <c r="E458" s="40" t="s">
        <v>4744</v>
      </c>
      <c r="F458" s="40" t="s">
        <v>4744</v>
      </c>
      <c r="G458" s="39" t="s">
        <v>102</v>
      </c>
      <c r="H458" s="40" t="s">
        <v>4693</v>
      </c>
      <c r="I458" s="40" t="s">
        <v>104</v>
      </c>
      <c r="J458" s="50"/>
      <c r="K458" s="116">
        <f>IFERROR(VLOOKUP(B458,BD_CONTROL!$A$5:$M$4235,11,0),"")</f>
        <v>0</v>
      </c>
      <c r="L458" s="117">
        <f>IFERROR(VLOOKUP(B458,BD_CONTROL!$A$5:$M$4235,12,0),"")</f>
        <v>0</v>
      </c>
      <c r="M458" s="118">
        <f>IFERROR(VLOOKUP(B458,BD_CONTROL!$A$5:$M$4235,13,0),"")</f>
        <v>0</v>
      </c>
    </row>
    <row r="459" spans="1:13" ht="15" customHeight="1">
      <c r="A459" s="42">
        <v>454</v>
      </c>
      <c r="B459" s="42" t="s">
        <v>5314</v>
      </c>
      <c r="C459" s="43" t="s">
        <v>5315</v>
      </c>
      <c r="D459" s="42" t="s">
        <v>4690</v>
      </c>
      <c r="E459" s="43" t="s">
        <v>2727</v>
      </c>
      <c r="F459" s="43" t="s">
        <v>5316</v>
      </c>
      <c r="G459" s="42" t="s">
        <v>109</v>
      </c>
      <c r="H459" s="43" t="s">
        <v>4693</v>
      </c>
      <c r="I459" s="43" t="s">
        <v>104</v>
      </c>
      <c r="J459" s="55"/>
      <c r="K459" s="119">
        <f>IFERROR(VLOOKUP(B459,BD_CONTROL!$A$5:$M$4235,11,0),"")</f>
        <v>0</v>
      </c>
      <c r="L459" s="120">
        <f>IFERROR(VLOOKUP(B459,BD_CONTROL!$A$5:$M$4235,12,0),"")</f>
        <v>0</v>
      </c>
      <c r="M459" s="121">
        <f>IFERROR(VLOOKUP(B459,BD_CONTROL!$A$5:$M$4235,13,0),"")</f>
        <v>0</v>
      </c>
    </row>
    <row r="460" spans="1:13" ht="15" customHeight="1">
      <c r="A460" s="39">
        <v>455</v>
      </c>
      <c r="B460" s="39" t="s">
        <v>5317</v>
      </c>
      <c r="C460" s="40" t="s">
        <v>5318</v>
      </c>
      <c r="D460" s="39" t="s">
        <v>4690</v>
      </c>
      <c r="E460" s="40" t="s">
        <v>4729</v>
      </c>
      <c r="F460" s="40" t="s">
        <v>4141</v>
      </c>
      <c r="G460" s="39" t="s">
        <v>109</v>
      </c>
      <c r="H460" s="40" t="s">
        <v>4693</v>
      </c>
      <c r="I460" s="40" t="s">
        <v>104</v>
      </c>
      <c r="J460" s="50"/>
      <c r="K460" s="116">
        <f>IFERROR(VLOOKUP(B460,BD_CONTROL!$A$5:$M$4235,11,0),"")</f>
        <v>0</v>
      </c>
      <c r="L460" s="117">
        <f>IFERROR(VLOOKUP(B460,BD_CONTROL!$A$5:$M$4235,12,0),"")</f>
        <v>0</v>
      </c>
      <c r="M460" s="118">
        <f>IFERROR(VLOOKUP(B460,BD_CONTROL!$A$5:$M$4235,13,0),"")</f>
        <v>0</v>
      </c>
    </row>
    <row r="461" spans="1:13" ht="15" customHeight="1">
      <c r="A461" s="42">
        <v>456</v>
      </c>
      <c r="B461" s="42" t="s">
        <v>5321</v>
      </c>
      <c r="C461" s="43" t="s">
        <v>5322</v>
      </c>
      <c r="D461" s="42" t="s">
        <v>4690</v>
      </c>
      <c r="E461" s="43" t="s">
        <v>503</v>
      </c>
      <c r="F461" s="43" t="s">
        <v>5323</v>
      </c>
      <c r="G461" s="42" t="s">
        <v>109</v>
      </c>
      <c r="H461" s="43" t="s">
        <v>4693</v>
      </c>
      <c r="I461" s="43" t="s">
        <v>104</v>
      </c>
      <c r="J461" s="55"/>
      <c r="K461" s="119">
        <f>IFERROR(VLOOKUP(B461,BD_CONTROL!$A$5:$M$4235,11,0),"")</f>
        <v>0</v>
      </c>
      <c r="L461" s="120">
        <f>IFERROR(VLOOKUP(B461,BD_CONTROL!$A$5:$M$4235,12,0),"")</f>
        <v>0</v>
      </c>
      <c r="M461" s="121">
        <f>IFERROR(VLOOKUP(B461,BD_CONTROL!$A$5:$M$4235,13,0),"")</f>
        <v>0</v>
      </c>
    </row>
    <row r="462" spans="1:13" ht="15" customHeight="1">
      <c r="A462" s="39">
        <v>457</v>
      </c>
      <c r="B462" s="39" t="s">
        <v>5324</v>
      </c>
      <c r="C462" s="40" t="s">
        <v>5325</v>
      </c>
      <c r="D462" s="39" t="s">
        <v>4690</v>
      </c>
      <c r="E462" s="40" t="s">
        <v>4744</v>
      </c>
      <c r="F462" s="40" t="s">
        <v>5326</v>
      </c>
      <c r="G462" s="39" t="s">
        <v>109</v>
      </c>
      <c r="H462" s="40" t="s">
        <v>4693</v>
      </c>
      <c r="I462" s="40" t="s">
        <v>104</v>
      </c>
      <c r="J462" s="50"/>
      <c r="K462" s="116">
        <f>IFERROR(VLOOKUP(B462,BD_CONTROL!$A$5:$M$4235,11,0),"")</f>
        <v>0</v>
      </c>
      <c r="L462" s="117">
        <f>IFERROR(VLOOKUP(B462,BD_CONTROL!$A$5:$M$4235,12,0),"")</f>
        <v>0</v>
      </c>
      <c r="M462" s="118">
        <f>IFERROR(VLOOKUP(B462,BD_CONTROL!$A$5:$M$4235,13,0),"")</f>
        <v>0</v>
      </c>
    </row>
    <row r="463" spans="1:13" ht="15" customHeight="1">
      <c r="A463" s="42">
        <v>458</v>
      </c>
      <c r="B463" s="42" t="s">
        <v>5327</v>
      </c>
      <c r="C463" s="43" t="s">
        <v>5328</v>
      </c>
      <c r="D463" s="42" t="s">
        <v>4690</v>
      </c>
      <c r="E463" s="43" t="s">
        <v>4744</v>
      </c>
      <c r="F463" s="43" t="s">
        <v>4744</v>
      </c>
      <c r="G463" s="42" t="s">
        <v>102</v>
      </c>
      <c r="H463" s="43" t="s">
        <v>4693</v>
      </c>
      <c r="I463" s="43" t="s">
        <v>104</v>
      </c>
      <c r="J463" s="55"/>
      <c r="K463" s="119">
        <f>IFERROR(VLOOKUP(B463,BD_CONTROL!$A$5:$M$4235,11,0),"")</f>
        <v>0</v>
      </c>
      <c r="L463" s="120">
        <f>IFERROR(VLOOKUP(B463,BD_CONTROL!$A$5:$M$4235,12,0),"")</f>
        <v>0</v>
      </c>
      <c r="M463" s="121">
        <f>IFERROR(VLOOKUP(B463,BD_CONTROL!$A$5:$M$4235,13,0),"")</f>
        <v>0</v>
      </c>
    </row>
    <row r="464" spans="1:13" ht="15" customHeight="1">
      <c r="A464" s="39">
        <v>459</v>
      </c>
      <c r="B464" s="39" t="s">
        <v>5329</v>
      </c>
      <c r="C464" s="40" t="s">
        <v>5330</v>
      </c>
      <c r="D464" s="39" t="s">
        <v>4690</v>
      </c>
      <c r="E464" s="40" t="s">
        <v>5163</v>
      </c>
      <c r="F464" s="40" t="s">
        <v>5331</v>
      </c>
      <c r="G464" s="39" t="s">
        <v>109</v>
      </c>
      <c r="H464" s="40" t="s">
        <v>4693</v>
      </c>
      <c r="I464" s="40" t="s">
        <v>104</v>
      </c>
      <c r="J464" s="50"/>
      <c r="K464" s="116">
        <f>IFERROR(VLOOKUP(B464,BD_CONTROL!$A$5:$M$4235,11,0),"")</f>
        <v>0</v>
      </c>
      <c r="L464" s="117">
        <f>IFERROR(VLOOKUP(B464,BD_CONTROL!$A$5:$M$4235,12,0),"")</f>
        <v>0</v>
      </c>
      <c r="M464" s="118">
        <f>IFERROR(VLOOKUP(B464,BD_CONTROL!$A$5:$M$4235,13,0),"")</f>
        <v>0</v>
      </c>
    </row>
    <row r="465" spans="1:13" ht="15" customHeight="1">
      <c r="A465" s="42">
        <v>460</v>
      </c>
      <c r="B465" s="42" t="s">
        <v>5332</v>
      </c>
      <c r="C465" s="43" t="s">
        <v>5001</v>
      </c>
      <c r="D465" s="42" t="s">
        <v>4690</v>
      </c>
      <c r="E465" s="43" t="s">
        <v>5207</v>
      </c>
      <c r="F465" s="43" t="s">
        <v>5333</v>
      </c>
      <c r="G465" s="42" t="s">
        <v>109</v>
      </c>
      <c r="H465" s="43" t="s">
        <v>4693</v>
      </c>
      <c r="I465" s="43" t="s">
        <v>104</v>
      </c>
      <c r="J465" s="55"/>
      <c r="K465" s="119">
        <f>IFERROR(VLOOKUP(B465,BD_CONTROL!$A$5:$M$4235,11,0),"")</f>
        <v>0</v>
      </c>
      <c r="L465" s="120">
        <f>IFERROR(VLOOKUP(B465,BD_CONTROL!$A$5:$M$4235,12,0),"")</f>
        <v>0</v>
      </c>
      <c r="M465" s="121">
        <f>IFERROR(VLOOKUP(B465,BD_CONTROL!$A$5:$M$4235,13,0),"")</f>
        <v>0</v>
      </c>
    </row>
    <row r="466" spans="1:13" ht="15" customHeight="1">
      <c r="A466" s="39">
        <v>461</v>
      </c>
      <c r="B466" s="39" t="s">
        <v>5334</v>
      </c>
      <c r="C466" s="40" t="s">
        <v>5335</v>
      </c>
      <c r="D466" s="39" t="s">
        <v>4690</v>
      </c>
      <c r="E466" s="40" t="s">
        <v>4847</v>
      </c>
      <c r="F466" s="40" t="s">
        <v>5336</v>
      </c>
      <c r="G466" s="39" t="s">
        <v>109</v>
      </c>
      <c r="H466" s="40" t="s">
        <v>4693</v>
      </c>
      <c r="I466" s="40" t="s">
        <v>104</v>
      </c>
      <c r="J466" s="50"/>
      <c r="K466" s="116">
        <f>IFERROR(VLOOKUP(B466,BD_CONTROL!$A$5:$M$4235,11,0),"")</f>
        <v>0</v>
      </c>
      <c r="L466" s="117">
        <f>IFERROR(VLOOKUP(B466,BD_CONTROL!$A$5:$M$4235,12,0),"")</f>
        <v>0</v>
      </c>
      <c r="M466" s="118">
        <f>IFERROR(VLOOKUP(B466,BD_CONTROL!$A$5:$M$4235,13,0),"")</f>
        <v>0</v>
      </c>
    </row>
    <row r="467" spans="1:13" ht="15" customHeight="1">
      <c r="A467" s="42">
        <v>462</v>
      </c>
      <c r="B467" s="42" t="s">
        <v>5340</v>
      </c>
      <c r="C467" s="43" t="s">
        <v>5341</v>
      </c>
      <c r="D467" s="42" t="s">
        <v>4690</v>
      </c>
      <c r="E467" s="43" t="s">
        <v>4944</v>
      </c>
      <c r="F467" s="43" t="s">
        <v>5342</v>
      </c>
      <c r="G467" s="42" t="s">
        <v>109</v>
      </c>
      <c r="H467" s="43" t="s">
        <v>4693</v>
      </c>
      <c r="I467" s="43" t="s">
        <v>104</v>
      </c>
      <c r="J467" s="55"/>
      <c r="K467" s="119">
        <f>IFERROR(VLOOKUP(B467,BD_CONTROL!$A$5:$M$4235,11,0),"")</f>
        <v>0</v>
      </c>
      <c r="L467" s="120">
        <f>IFERROR(VLOOKUP(B467,BD_CONTROL!$A$5:$M$4235,12,0),"")</f>
        <v>0</v>
      </c>
      <c r="M467" s="121">
        <f>IFERROR(VLOOKUP(B467,BD_CONTROL!$A$5:$M$4235,13,0),"")</f>
        <v>0</v>
      </c>
    </row>
    <row r="468" spans="1:13" ht="15" customHeight="1">
      <c r="A468" s="39">
        <v>463</v>
      </c>
      <c r="B468" s="39" t="s">
        <v>5343</v>
      </c>
      <c r="C468" s="40" t="s">
        <v>5344</v>
      </c>
      <c r="D468" s="39" t="s">
        <v>4690</v>
      </c>
      <c r="E468" s="40" t="s">
        <v>4793</v>
      </c>
      <c r="F468" s="40" t="s">
        <v>3084</v>
      </c>
      <c r="G468" s="39" t="s">
        <v>109</v>
      </c>
      <c r="H468" s="40" t="s">
        <v>4693</v>
      </c>
      <c r="I468" s="40" t="s">
        <v>104</v>
      </c>
      <c r="J468" s="50"/>
      <c r="K468" s="116">
        <f>IFERROR(VLOOKUP(B468,BD_CONTROL!$A$5:$M$4235,11,0),"")</f>
        <v>0</v>
      </c>
      <c r="L468" s="117">
        <f>IFERROR(VLOOKUP(B468,BD_CONTROL!$A$5:$M$4235,12,0),"")</f>
        <v>0</v>
      </c>
      <c r="M468" s="118">
        <f>IFERROR(VLOOKUP(B468,BD_CONTROL!$A$5:$M$4235,13,0),"")</f>
        <v>0</v>
      </c>
    </row>
    <row r="469" spans="1:13" ht="15" customHeight="1">
      <c r="A469" s="42">
        <v>464</v>
      </c>
      <c r="B469" s="42" t="s">
        <v>5345</v>
      </c>
      <c r="C469" s="43" t="s">
        <v>1204</v>
      </c>
      <c r="D469" s="42" t="s">
        <v>4690</v>
      </c>
      <c r="E469" s="43" t="s">
        <v>4729</v>
      </c>
      <c r="F469" s="43" t="s">
        <v>4730</v>
      </c>
      <c r="G469" s="42" t="s">
        <v>109</v>
      </c>
      <c r="H469" s="43" t="s">
        <v>4693</v>
      </c>
      <c r="I469" s="43" t="s">
        <v>104</v>
      </c>
      <c r="J469" s="55"/>
      <c r="K469" s="119">
        <f>IFERROR(VLOOKUP(B469,BD_CONTROL!$A$5:$M$4235,11,0),"")</f>
        <v>0</v>
      </c>
      <c r="L469" s="120">
        <f>IFERROR(VLOOKUP(B469,BD_CONTROL!$A$5:$M$4235,12,0),"")</f>
        <v>0</v>
      </c>
      <c r="M469" s="121">
        <f>IFERROR(VLOOKUP(B469,BD_CONTROL!$A$5:$M$4235,13,0),"")</f>
        <v>0</v>
      </c>
    </row>
    <row r="470" spans="1:13" ht="15" customHeight="1">
      <c r="A470" s="39">
        <v>465</v>
      </c>
      <c r="B470" s="39" t="s">
        <v>5346</v>
      </c>
      <c r="C470" s="40" t="s">
        <v>5347</v>
      </c>
      <c r="D470" s="39" t="s">
        <v>4690</v>
      </c>
      <c r="E470" s="40" t="s">
        <v>5207</v>
      </c>
      <c r="F470" s="40" t="s">
        <v>5348</v>
      </c>
      <c r="G470" s="39" t="s">
        <v>109</v>
      </c>
      <c r="H470" s="40" t="s">
        <v>4693</v>
      </c>
      <c r="I470" s="40" t="s">
        <v>104</v>
      </c>
      <c r="J470" s="50"/>
      <c r="K470" s="116">
        <f>IFERROR(VLOOKUP(B470,BD_CONTROL!$A$5:$M$4235,11,0),"")</f>
        <v>0</v>
      </c>
      <c r="L470" s="117">
        <f>IFERROR(VLOOKUP(B470,BD_CONTROL!$A$5:$M$4235,12,0),"")</f>
        <v>0</v>
      </c>
      <c r="M470" s="118">
        <f>IFERROR(VLOOKUP(B470,BD_CONTROL!$A$5:$M$4235,13,0),"")</f>
        <v>0</v>
      </c>
    </row>
    <row r="471" spans="1:13" ht="15" customHeight="1">
      <c r="A471" s="42">
        <v>466</v>
      </c>
      <c r="B471" s="42" t="s">
        <v>5349</v>
      </c>
      <c r="C471" s="43" t="s">
        <v>469</v>
      </c>
      <c r="D471" s="42" t="s">
        <v>4690</v>
      </c>
      <c r="E471" s="43" t="s">
        <v>4766</v>
      </c>
      <c r="F471" s="43" t="s">
        <v>4767</v>
      </c>
      <c r="G471" s="42" t="s">
        <v>109</v>
      </c>
      <c r="H471" s="43" t="s">
        <v>4693</v>
      </c>
      <c r="I471" s="43" t="s">
        <v>104</v>
      </c>
      <c r="J471" s="55"/>
      <c r="K471" s="119">
        <f>IFERROR(VLOOKUP(B471,BD_CONTROL!$A$5:$M$4235,11,0),"")</f>
        <v>0</v>
      </c>
      <c r="L471" s="120">
        <f>IFERROR(VLOOKUP(B471,BD_CONTROL!$A$5:$M$4235,12,0),"")</f>
        <v>0</v>
      </c>
      <c r="M471" s="121">
        <f>IFERROR(VLOOKUP(B471,BD_CONTROL!$A$5:$M$4235,13,0),"")</f>
        <v>0</v>
      </c>
    </row>
    <row r="472" spans="1:13" ht="15" customHeight="1">
      <c r="A472" s="39">
        <v>467</v>
      </c>
      <c r="B472" s="39" t="s">
        <v>5350</v>
      </c>
      <c r="C472" s="40" t="s">
        <v>437</v>
      </c>
      <c r="D472" s="39" t="s">
        <v>4690</v>
      </c>
      <c r="E472" s="40" t="s">
        <v>4967</v>
      </c>
      <c r="F472" s="40" t="s">
        <v>2257</v>
      </c>
      <c r="G472" s="39" t="s">
        <v>109</v>
      </c>
      <c r="H472" s="40" t="s">
        <v>4693</v>
      </c>
      <c r="I472" s="40" t="s">
        <v>104</v>
      </c>
      <c r="J472" s="50"/>
      <c r="K472" s="116">
        <f>IFERROR(VLOOKUP(B472,BD_CONTROL!$A$5:$M$4235,11,0),"")</f>
        <v>0</v>
      </c>
      <c r="L472" s="117">
        <f>IFERROR(VLOOKUP(B472,BD_CONTROL!$A$5:$M$4235,12,0),"")</f>
        <v>0</v>
      </c>
      <c r="M472" s="118">
        <f>IFERROR(VLOOKUP(B472,BD_CONTROL!$A$5:$M$4235,13,0),"")</f>
        <v>0</v>
      </c>
    </row>
    <row r="473" spans="1:13" ht="15" customHeight="1">
      <c r="A473" s="42">
        <v>468</v>
      </c>
      <c r="B473" s="42" t="s">
        <v>5351</v>
      </c>
      <c r="C473" s="43" t="s">
        <v>5352</v>
      </c>
      <c r="D473" s="42" t="s">
        <v>4690</v>
      </c>
      <c r="E473" s="43" t="s">
        <v>4944</v>
      </c>
      <c r="F473" s="43" t="s">
        <v>5352</v>
      </c>
      <c r="G473" s="42" t="s">
        <v>109</v>
      </c>
      <c r="H473" s="43" t="s">
        <v>4693</v>
      </c>
      <c r="I473" s="43" t="s">
        <v>104</v>
      </c>
      <c r="J473" s="55"/>
      <c r="K473" s="119">
        <f>IFERROR(VLOOKUP(B473,BD_CONTROL!$A$5:$M$4235,11,0),"")</f>
        <v>0</v>
      </c>
      <c r="L473" s="120">
        <f>IFERROR(VLOOKUP(B473,BD_CONTROL!$A$5:$M$4235,12,0),"")</f>
        <v>0</v>
      </c>
      <c r="M473" s="121">
        <f>IFERROR(VLOOKUP(B473,BD_CONTROL!$A$5:$M$4235,13,0),"")</f>
        <v>0</v>
      </c>
    </row>
    <row r="474" spans="1:13" ht="15" customHeight="1">
      <c r="A474" s="39">
        <v>469</v>
      </c>
      <c r="B474" s="39" t="s">
        <v>5355</v>
      </c>
      <c r="C474" s="40" t="s">
        <v>5356</v>
      </c>
      <c r="D474" s="39" t="s">
        <v>4690</v>
      </c>
      <c r="E474" s="40" t="s">
        <v>4868</v>
      </c>
      <c r="F474" s="40" t="s">
        <v>423</v>
      </c>
      <c r="G474" s="39" t="s">
        <v>109</v>
      </c>
      <c r="H474" s="40" t="s">
        <v>4693</v>
      </c>
      <c r="I474" s="40" t="s">
        <v>104</v>
      </c>
      <c r="J474" s="50"/>
      <c r="K474" s="116">
        <f>IFERROR(VLOOKUP(B474,BD_CONTROL!$A$5:$M$4235,11,0),"")</f>
        <v>0</v>
      </c>
      <c r="L474" s="117">
        <f>IFERROR(VLOOKUP(B474,BD_CONTROL!$A$5:$M$4235,12,0),"")</f>
        <v>0</v>
      </c>
      <c r="M474" s="118">
        <f>IFERROR(VLOOKUP(B474,BD_CONTROL!$A$5:$M$4235,13,0),"")</f>
        <v>0</v>
      </c>
    </row>
    <row r="475" spans="1:13" ht="15" customHeight="1">
      <c r="A475" s="42">
        <v>470</v>
      </c>
      <c r="B475" s="42" t="s">
        <v>5357</v>
      </c>
      <c r="C475" s="43" t="s">
        <v>5358</v>
      </c>
      <c r="D475" s="42" t="s">
        <v>4690</v>
      </c>
      <c r="E475" s="43" t="s">
        <v>4872</v>
      </c>
      <c r="F475" s="43" t="s">
        <v>5359</v>
      </c>
      <c r="G475" s="42" t="s">
        <v>109</v>
      </c>
      <c r="H475" s="43" t="s">
        <v>4693</v>
      </c>
      <c r="I475" s="43" t="s">
        <v>104</v>
      </c>
      <c r="J475" s="55"/>
      <c r="K475" s="119">
        <f>IFERROR(VLOOKUP(B475,BD_CONTROL!$A$5:$M$4235,11,0),"")</f>
        <v>0</v>
      </c>
      <c r="L475" s="120">
        <f>IFERROR(VLOOKUP(B475,BD_CONTROL!$A$5:$M$4235,12,0),"")</f>
        <v>0</v>
      </c>
      <c r="M475" s="121">
        <f>IFERROR(VLOOKUP(B475,BD_CONTROL!$A$5:$M$4235,13,0),"")</f>
        <v>0</v>
      </c>
    </row>
    <row r="476" spans="1:13" ht="15" customHeight="1">
      <c r="A476" s="39">
        <v>471</v>
      </c>
      <c r="B476" s="39" t="s">
        <v>5362</v>
      </c>
      <c r="C476" s="40" t="s">
        <v>5363</v>
      </c>
      <c r="D476" s="39" t="s">
        <v>4690</v>
      </c>
      <c r="E476" s="40" t="s">
        <v>4793</v>
      </c>
      <c r="F476" s="40" t="s">
        <v>5364</v>
      </c>
      <c r="G476" s="39" t="s">
        <v>109</v>
      </c>
      <c r="H476" s="40" t="s">
        <v>4693</v>
      </c>
      <c r="I476" s="40" t="s">
        <v>104</v>
      </c>
      <c r="J476" s="50"/>
      <c r="K476" s="116">
        <f>IFERROR(VLOOKUP(B476,BD_CONTROL!$A$5:$M$4235,11,0),"")</f>
        <v>0</v>
      </c>
      <c r="L476" s="117">
        <f>IFERROR(VLOOKUP(B476,BD_CONTROL!$A$5:$M$4235,12,0),"")</f>
        <v>0</v>
      </c>
      <c r="M476" s="118">
        <f>IFERROR(VLOOKUP(B476,BD_CONTROL!$A$5:$M$4235,13,0),"")</f>
        <v>0</v>
      </c>
    </row>
    <row r="477" spans="1:13" ht="15" customHeight="1">
      <c r="A477" s="42">
        <v>472</v>
      </c>
      <c r="B477" s="42" t="s">
        <v>5365</v>
      </c>
      <c r="C477" s="43" t="s">
        <v>5366</v>
      </c>
      <c r="D477" s="42" t="s">
        <v>4690</v>
      </c>
      <c r="E477" s="43" t="s">
        <v>5243</v>
      </c>
      <c r="F477" s="43" t="s">
        <v>5367</v>
      </c>
      <c r="G477" s="42" t="s">
        <v>102</v>
      </c>
      <c r="H477" s="43" t="s">
        <v>4693</v>
      </c>
      <c r="I477" s="43" t="s">
        <v>104</v>
      </c>
      <c r="J477" s="55"/>
      <c r="K477" s="119">
        <f>IFERROR(VLOOKUP(B477,BD_CONTROL!$A$5:$M$4235,11,0),"")</f>
        <v>0</v>
      </c>
      <c r="L477" s="120">
        <f>IFERROR(VLOOKUP(B477,BD_CONTROL!$A$5:$M$4235,12,0),"")</f>
        <v>0</v>
      </c>
      <c r="M477" s="121">
        <f>IFERROR(VLOOKUP(B477,BD_CONTROL!$A$5:$M$4235,13,0),"")</f>
        <v>0</v>
      </c>
    </row>
    <row r="478" spans="1:13" ht="15" customHeight="1">
      <c r="A478" s="39">
        <v>473</v>
      </c>
      <c r="B478" s="39" t="s">
        <v>5368</v>
      </c>
      <c r="C478" s="40" t="s">
        <v>5369</v>
      </c>
      <c r="D478" s="39" t="s">
        <v>4690</v>
      </c>
      <c r="E478" s="40" t="s">
        <v>4824</v>
      </c>
      <c r="F478" s="40" t="s">
        <v>3255</v>
      </c>
      <c r="G478" s="39" t="s">
        <v>109</v>
      </c>
      <c r="H478" s="40" t="s">
        <v>4693</v>
      </c>
      <c r="I478" s="40" t="s">
        <v>104</v>
      </c>
      <c r="J478" s="50"/>
      <c r="K478" s="116">
        <f>IFERROR(VLOOKUP(B478,BD_CONTROL!$A$5:$M$4235,11,0),"")</f>
        <v>0</v>
      </c>
      <c r="L478" s="117">
        <f>IFERROR(VLOOKUP(B478,BD_CONTROL!$A$5:$M$4235,12,0),"")</f>
        <v>0</v>
      </c>
      <c r="M478" s="118">
        <f>IFERROR(VLOOKUP(B478,BD_CONTROL!$A$5:$M$4235,13,0),"")</f>
        <v>0</v>
      </c>
    </row>
    <row r="479" spans="1:13" ht="15" customHeight="1">
      <c r="A479" s="42">
        <v>474</v>
      </c>
      <c r="B479" s="42" t="s">
        <v>5370</v>
      </c>
      <c r="C479" s="43" t="s">
        <v>5371</v>
      </c>
      <c r="D479" s="42" t="s">
        <v>4690</v>
      </c>
      <c r="E479" s="43" t="s">
        <v>4700</v>
      </c>
      <c r="F479" s="43" t="s">
        <v>5372</v>
      </c>
      <c r="G479" s="42" t="s">
        <v>109</v>
      </c>
      <c r="H479" s="43" t="s">
        <v>4693</v>
      </c>
      <c r="I479" s="43" t="s">
        <v>104</v>
      </c>
      <c r="J479" s="55"/>
      <c r="K479" s="119">
        <f>IFERROR(VLOOKUP(B479,BD_CONTROL!$A$5:$M$4235,11,0),"")</f>
        <v>0</v>
      </c>
      <c r="L479" s="120">
        <f>IFERROR(VLOOKUP(B479,BD_CONTROL!$A$5:$M$4235,12,0),"")</f>
        <v>0</v>
      </c>
      <c r="M479" s="121">
        <f>IFERROR(VLOOKUP(B479,BD_CONTROL!$A$5:$M$4235,13,0),"")</f>
        <v>0</v>
      </c>
    </row>
    <row r="480" spans="1:13" ht="15" customHeight="1">
      <c r="A480" s="39">
        <v>475</v>
      </c>
      <c r="B480" s="39" t="s">
        <v>5373</v>
      </c>
      <c r="C480" s="40" t="s">
        <v>5374</v>
      </c>
      <c r="D480" s="39" t="s">
        <v>4690</v>
      </c>
      <c r="E480" s="40" t="s">
        <v>4700</v>
      </c>
      <c r="F480" s="40" t="s">
        <v>5375</v>
      </c>
      <c r="G480" s="39" t="s">
        <v>109</v>
      </c>
      <c r="H480" s="40" t="s">
        <v>4693</v>
      </c>
      <c r="I480" s="40" t="s">
        <v>104</v>
      </c>
      <c r="J480" s="50"/>
      <c r="K480" s="116">
        <f>IFERROR(VLOOKUP(B480,BD_CONTROL!$A$5:$M$4235,11,0),"")</f>
        <v>0</v>
      </c>
      <c r="L480" s="117">
        <f>IFERROR(VLOOKUP(B480,BD_CONTROL!$A$5:$M$4235,12,0),"")</f>
        <v>0</v>
      </c>
      <c r="M480" s="118">
        <f>IFERROR(VLOOKUP(B480,BD_CONTROL!$A$5:$M$4235,13,0),"")</f>
        <v>0</v>
      </c>
    </row>
    <row r="481" spans="1:13" ht="15" customHeight="1">
      <c r="A481" s="42">
        <v>476</v>
      </c>
      <c r="B481" s="42" t="s">
        <v>5376</v>
      </c>
      <c r="C481" s="43" t="s">
        <v>2256</v>
      </c>
      <c r="D481" s="42" t="s">
        <v>4690</v>
      </c>
      <c r="E481" s="43" t="s">
        <v>5163</v>
      </c>
      <c r="F481" s="43" t="s">
        <v>5164</v>
      </c>
      <c r="G481" s="42" t="s">
        <v>109</v>
      </c>
      <c r="H481" s="43" t="s">
        <v>4693</v>
      </c>
      <c r="I481" s="43" t="s">
        <v>104</v>
      </c>
      <c r="J481" s="55"/>
      <c r="K481" s="119">
        <f>IFERROR(VLOOKUP(B481,BD_CONTROL!$A$5:$M$4235,11,0),"")</f>
        <v>0</v>
      </c>
      <c r="L481" s="120">
        <f>IFERROR(VLOOKUP(B481,BD_CONTROL!$A$5:$M$4235,12,0),"")</f>
        <v>0</v>
      </c>
      <c r="M481" s="121">
        <f>IFERROR(VLOOKUP(B481,BD_CONTROL!$A$5:$M$4235,13,0),"")</f>
        <v>0</v>
      </c>
    </row>
    <row r="482" spans="1:13" ht="15" customHeight="1">
      <c r="A482" s="39">
        <v>477</v>
      </c>
      <c r="B482" s="39" t="s">
        <v>5377</v>
      </c>
      <c r="C482" s="40" t="s">
        <v>5378</v>
      </c>
      <c r="D482" s="39" t="s">
        <v>4690</v>
      </c>
      <c r="E482" s="40" t="s">
        <v>5379</v>
      </c>
      <c r="F482" s="40" t="s">
        <v>5380</v>
      </c>
      <c r="G482" s="39" t="s">
        <v>109</v>
      </c>
      <c r="H482" s="40" t="s">
        <v>4693</v>
      </c>
      <c r="I482" s="40" t="s">
        <v>104</v>
      </c>
      <c r="J482" s="50"/>
      <c r="K482" s="116">
        <f>IFERROR(VLOOKUP(B482,BD_CONTROL!$A$5:$M$4235,11,0),"")</f>
        <v>0</v>
      </c>
      <c r="L482" s="117">
        <f>IFERROR(VLOOKUP(B482,BD_CONTROL!$A$5:$M$4235,12,0),"")</f>
        <v>0</v>
      </c>
      <c r="M482" s="118">
        <f>IFERROR(VLOOKUP(B482,BD_CONTROL!$A$5:$M$4235,13,0),"")</f>
        <v>0</v>
      </c>
    </row>
    <row r="483" spans="1:13" ht="15" customHeight="1">
      <c r="A483" s="42">
        <v>478</v>
      </c>
      <c r="B483" s="42" t="s">
        <v>5381</v>
      </c>
      <c r="C483" s="43" t="s">
        <v>5382</v>
      </c>
      <c r="D483" s="42" t="s">
        <v>4690</v>
      </c>
      <c r="E483" s="43" t="s">
        <v>4744</v>
      </c>
      <c r="F483" s="43" t="s">
        <v>5383</v>
      </c>
      <c r="G483" s="42" t="s">
        <v>109</v>
      </c>
      <c r="H483" s="43" t="s">
        <v>4693</v>
      </c>
      <c r="I483" s="43" t="s">
        <v>104</v>
      </c>
      <c r="J483" s="55"/>
      <c r="K483" s="119">
        <f>IFERROR(VLOOKUP(B483,BD_CONTROL!$A$5:$M$4235,11,0),"")</f>
        <v>0</v>
      </c>
      <c r="L483" s="120">
        <f>IFERROR(VLOOKUP(B483,BD_CONTROL!$A$5:$M$4235,12,0),"")</f>
        <v>0</v>
      </c>
      <c r="M483" s="121">
        <f>IFERROR(VLOOKUP(B483,BD_CONTROL!$A$5:$M$4235,13,0),"")</f>
        <v>0</v>
      </c>
    </row>
    <row r="484" spans="1:13" ht="15" customHeight="1">
      <c r="A484" s="39">
        <v>479</v>
      </c>
      <c r="B484" s="39" t="s">
        <v>5384</v>
      </c>
      <c r="C484" s="40" t="s">
        <v>5385</v>
      </c>
      <c r="D484" s="39" t="s">
        <v>4690</v>
      </c>
      <c r="E484" s="40" t="s">
        <v>2756</v>
      </c>
      <c r="F484" s="40" t="s">
        <v>254</v>
      </c>
      <c r="G484" s="39" t="s">
        <v>109</v>
      </c>
      <c r="H484" s="40" t="s">
        <v>4693</v>
      </c>
      <c r="I484" s="40" t="s">
        <v>104</v>
      </c>
      <c r="J484" s="50"/>
      <c r="K484" s="116">
        <f>IFERROR(VLOOKUP(B484,BD_CONTROL!$A$5:$M$4235,11,0),"")</f>
        <v>0</v>
      </c>
      <c r="L484" s="117">
        <f>IFERROR(VLOOKUP(B484,BD_CONTROL!$A$5:$M$4235,12,0),"")</f>
        <v>0</v>
      </c>
      <c r="M484" s="118">
        <f>IFERROR(VLOOKUP(B484,BD_CONTROL!$A$5:$M$4235,13,0),"")</f>
        <v>0</v>
      </c>
    </row>
    <row r="485" spans="1:13" ht="15" customHeight="1">
      <c r="A485" s="42">
        <v>480</v>
      </c>
      <c r="B485" s="42" t="s">
        <v>5386</v>
      </c>
      <c r="C485" s="43" t="s">
        <v>5387</v>
      </c>
      <c r="D485" s="42" t="s">
        <v>4690</v>
      </c>
      <c r="E485" s="43" t="s">
        <v>4864</v>
      </c>
      <c r="F485" s="43" t="s">
        <v>5388</v>
      </c>
      <c r="G485" s="42" t="s">
        <v>109</v>
      </c>
      <c r="H485" s="43" t="s">
        <v>4693</v>
      </c>
      <c r="I485" s="43" t="s">
        <v>104</v>
      </c>
      <c r="J485" s="55"/>
      <c r="K485" s="119">
        <f>IFERROR(VLOOKUP(B485,BD_CONTROL!$A$5:$M$4235,11,0),"")</f>
        <v>0</v>
      </c>
      <c r="L485" s="120">
        <f>IFERROR(VLOOKUP(B485,BD_CONTROL!$A$5:$M$4235,12,0),"")</f>
        <v>0</v>
      </c>
      <c r="M485" s="121">
        <f>IFERROR(VLOOKUP(B485,BD_CONTROL!$A$5:$M$4235,13,0),"")</f>
        <v>0</v>
      </c>
    </row>
    <row r="486" spans="1:13" ht="15" customHeight="1">
      <c r="A486" s="39">
        <v>481</v>
      </c>
      <c r="B486" s="39" t="s">
        <v>5389</v>
      </c>
      <c r="C486" s="40" t="s">
        <v>5390</v>
      </c>
      <c r="D486" s="39" t="s">
        <v>4690</v>
      </c>
      <c r="E486" s="40" t="s">
        <v>5391</v>
      </c>
      <c r="F486" s="40" t="s">
        <v>5392</v>
      </c>
      <c r="G486" s="39" t="s">
        <v>109</v>
      </c>
      <c r="H486" s="40" t="s">
        <v>4693</v>
      </c>
      <c r="I486" s="40" t="s">
        <v>104</v>
      </c>
      <c r="J486" s="50"/>
      <c r="K486" s="116">
        <f>IFERROR(VLOOKUP(B486,BD_CONTROL!$A$5:$M$4235,11,0),"")</f>
        <v>0</v>
      </c>
      <c r="L486" s="117">
        <f>IFERROR(VLOOKUP(B486,BD_CONTROL!$A$5:$M$4235,12,0),"")</f>
        <v>0</v>
      </c>
      <c r="M486" s="118">
        <f>IFERROR(VLOOKUP(B486,BD_CONTROL!$A$5:$M$4235,13,0),"")</f>
        <v>0</v>
      </c>
    </row>
    <row r="487" spans="1:13" ht="15" customHeight="1">
      <c r="A487" s="42">
        <v>482</v>
      </c>
      <c r="B487" s="42" t="s">
        <v>5393</v>
      </c>
      <c r="C487" s="43" t="s">
        <v>3034</v>
      </c>
      <c r="D487" s="42" t="s">
        <v>4690</v>
      </c>
      <c r="E487" s="43" t="s">
        <v>4744</v>
      </c>
      <c r="F487" s="43" t="s">
        <v>5394</v>
      </c>
      <c r="G487" s="42" t="s">
        <v>109</v>
      </c>
      <c r="H487" s="43" t="s">
        <v>4693</v>
      </c>
      <c r="I487" s="43" t="s">
        <v>104</v>
      </c>
      <c r="J487" s="55"/>
      <c r="K487" s="119">
        <f>IFERROR(VLOOKUP(B487,BD_CONTROL!$A$5:$M$4235,11,0),"")</f>
        <v>0</v>
      </c>
      <c r="L487" s="120">
        <f>IFERROR(VLOOKUP(B487,BD_CONTROL!$A$5:$M$4235,12,0),"")</f>
        <v>0</v>
      </c>
      <c r="M487" s="121">
        <f>IFERROR(VLOOKUP(B487,BD_CONTROL!$A$5:$M$4235,13,0),"")</f>
        <v>0</v>
      </c>
    </row>
    <row r="488" spans="1:13" ht="15" customHeight="1">
      <c r="A488" s="39">
        <v>483</v>
      </c>
      <c r="B488" s="39" t="s">
        <v>5395</v>
      </c>
      <c r="C488" s="40" t="s">
        <v>4977</v>
      </c>
      <c r="D488" s="39" t="s">
        <v>4690</v>
      </c>
      <c r="E488" s="40" t="s">
        <v>4902</v>
      </c>
      <c r="F488" s="40" t="s">
        <v>5396</v>
      </c>
      <c r="G488" s="39" t="s">
        <v>109</v>
      </c>
      <c r="H488" s="40" t="s">
        <v>4693</v>
      </c>
      <c r="I488" s="40" t="s">
        <v>104</v>
      </c>
      <c r="J488" s="50"/>
      <c r="K488" s="116">
        <f>IFERROR(VLOOKUP(B488,BD_CONTROL!$A$5:$M$4235,11,0),"")</f>
        <v>0</v>
      </c>
      <c r="L488" s="117">
        <f>IFERROR(VLOOKUP(B488,BD_CONTROL!$A$5:$M$4235,12,0),"")</f>
        <v>0</v>
      </c>
      <c r="M488" s="118">
        <f>IFERROR(VLOOKUP(B488,BD_CONTROL!$A$5:$M$4235,13,0),"")</f>
        <v>0</v>
      </c>
    </row>
    <row r="489" spans="1:13" ht="15" customHeight="1">
      <c r="A489" s="42">
        <v>484</v>
      </c>
      <c r="B489" s="42" t="s">
        <v>5397</v>
      </c>
      <c r="C489" s="43" t="s">
        <v>5398</v>
      </c>
      <c r="D489" s="42" t="s">
        <v>4690</v>
      </c>
      <c r="E489" s="43" t="s">
        <v>4902</v>
      </c>
      <c r="F489" s="43" t="s">
        <v>2762</v>
      </c>
      <c r="G489" s="42" t="s">
        <v>109</v>
      </c>
      <c r="H489" s="43" t="s">
        <v>4693</v>
      </c>
      <c r="I489" s="43" t="s">
        <v>104</v>
      </c>
      <c r="J489" s="55"/>
      <c r="K489" s="119">
        <f>IFERROR(VLOOKUP(B489,BD_CONTROL!$A$5:$M$4235,11,0),"")</f>
        <v>0</v>
      </c>
      <c r="L489" s="120">
        <f>IFERROR(VLOOKUP(B489,BD_CONTROL!$A$5:$M$4235,12,0),"")</f>
        <v>0</v>
      </c>
      <c r="M489" s="121">
        <f>IFERROR(VLOOKUP(B489,BD_CONTROL!$A$5:$M$4235,13,0),"")</f>
        <v>0</v>
      </c>
    </row>
    <row r="490" spans="1:13" ht="15" customHeight="1">
      <c r="A490" s="39">
        <v>485</v>
      </c>
      <c r="B490" s="39" t="s">
        <v>5399</v>
      </c>
      <c r="C490" s="40" t="s">
        <v>5400</v>
      </c>
      <c r="D490" s="39" t="s">
        <v>4690</v>
      </c>
      <c r="E490" s="40" t="s">
        <v>4767</v>
      </c>
      <c r="F490" s="40" t="s">
        <v>5401</v>
      </c>
      <c r="G490" s="39" t="s">
        <v>109</v>
      </c>
      <c r="H490" s="40" t="s">
        <v>4693</v>
      </c>
      <c r="I490" s="40" t="s">
        <v>104</v>
      </c>
      <c r="J490" s="50"/>
      <c r="K490" s="116">
        <f>IFERROR(VLOOKUP(B490,BD_CONTROL!$A$5:$M$4235,11,0),"")</f>
        <v>0</v>
      </c>
      <c r="L490" s="117">
        <f>IFERROR(VLOOKUP(B490,BD_CONTROL!$A$5:$M$4235,12,0),"")</f>
        <v>0</v>
      </c>
      <c r="M490" s="118">
        <f>IFERROR(VLOOKUP(B490,BD_CONTROL!$A$5:$M$4235,13,0),"")</f>
        <v>0</v>
      </c>
    </row>
    <row r="491" spans="1:13" ht="15" customHeight="1">
      <c r="A491" s="42">
        <v>486</v>
      </c>
      <c r="B491" s="42" t="s">
        <v>5402</v>
      </c>
      <c r="C491" s="43" t="s">
        <v>5403</v>
      </c>
      <c r="D491" s="42" t="s">
        <v>4690</v>
      </c>
      <c r="E491" s="43" t="s">
        <v>4744</v>
      </c>
      <c r="F491" s="43" t="s">
        <v>5404</v>
      </c>
      <c r="G491" s="42" t="s">
        <v>109</v>
      </c>
      <c r="H491" s="43" t="s">
        <v>4693</v>
      </c>
      <c r="I491" s="43" t="s">
        <v>104</v>
      </c>
      <c r="J491" s="55"/>
      <c r="K491" s="119">
        <f>IFERROR(VLOOKUP(B491,BD_CONTROL!$A$5:$M$4235,11,0),"")</f>
        <v>0</v>
      </c>
      <c r="L491" s="120">
        <f>IFERROR(VLOOKUP(B491,BD_CONTROL!$A$5:$M$4235,12,0),"")</f>
        <v>0</v>
      </c>
      <c r="M491" s="121">
        <f>IFERROR(VLOOKUP(B491,BD_CONTROL!$A$5:$M$4235,13,0),"")</f>
        <v>0</v>
      </c>
    </row>
    <row r="492" spans="1:13" ht="15" customHeight="1">
      <c r="A492" s="39">
        <v>487</v>
      </c>
      <c r="B492" s="39" t="s">
        <v>5405</v>
      </c>
      <c r="C492" s="40" t="s">
        <v>5406</v>
      </c>
      <c r="D492" s="39" t="s">
        <v>4690</v>
      </c>
      <c r="E492" s="40" t="s">
        <v>4857</v>
      </c>
      <c r="F492" s="40" t="s">
        <v>5407</v>
      </c>
      <c r="G492" s="39" t="s">
        <v>109</v>
      </c>
      <c r="H492" s="40" t="s">
        <v>4693</v>
      </c>
      <c r="I492" s="40" t="s">
        <v>104</v>
      </c>
      <c r="J492" s="50"/>
      <c r="K492" s="116">
        <f>IFERROR(VLOOKUP(B492,BD_CONTROL!$A$5:$M$4235,11,0),"")</f>
        <v>0</v>
      </c>
      <c r="L492" s="117">
        <f>IFERROR(VLOOKUP(B492,BD_CONTROL!$A$5:$M$4235,12,0),"")</f>
        <v>0</v>
      </c>
      <c r="M492" s="118">
        <f>IFERROR(VLOOKUP(B492,BD_CONTROL!$A$5:$M$4235,13,0),"")</f>
        <v>0</v>
      </c>
    </row>
    <row r="493" spans="1:13" ht="15" customHeight="1">
      <c r="A493" s="42">
        <v>488</v>
      </c>
      <c r="B493" s="42" t="s">
        <v>5408</v>
      </c>
      <c r="C493" s="43" t="s">
        <v>5051</v>
      </c>
      <c r="D493" s="42" t="s">
        <v>4690</v>
      </c>
      <c r="E493" s="43" t="s">
        <v>4744</v>
      </c>
      <c r="F493" s="43" t="s">
        <v>5409</v>
      </c>
      <c r="G493" s="42" t="s">
        <v>109</v>
      </c>
      <c r="H493" s="43" t="s">
        <v>4693</v>
      </c>
      <c r="I493" s="43" t="s">
        <v>104</v>
      </c>
      <c r="J493" s="55"/>
      <c r="K493" s="119">
        <f>IFERROR(VLOOKUP(B493,BD_CONTROL!$A$5:$M$4235,11,0),"")</f>
        <v>0</v>
      </c>
      <c r="L493" s="120">
        <f>IFERROR(VLOOKUP(B493,BD_CONTROL!$A$5:$M$4235,12,0),"")</f>
        <v>0</v>
      </c>
      <c r="M493" s="121">
        <f>IFERROR(VLOOKUP(B493,BD_CONTROL!$A$5:$M$4235,13,0),"")</f>
        <v>0</v>
      </c>
    </row>
    <row r="494" spans="1:13" ht="15" customHeight="1">
      <c r="A494" s="39">
        <v>489</v>
      </c>
      <c r="B494" s="39" t="s">
        <v>5410</v>
      </c>
      <c r="C494" s="40" t="s">
        <v>5411</v>
      </c>
      <c r="D494" s="39" t="s">
        <v>4690</v>
      </c>
      <c r="E494" s="40" t="s">
        <v>4744</v>
      </c>
      <c r="F494" s="40" t="s">
        <v>5412</v>
      </c>
      <c r="G494" s="39" t="s">
        <v>109</v>
      </c>
      <c r="H494" s="40" t="s">
        <v>4693</v>
      </c>
      <c r="I494" s="40" t="s">
        <v>104</v>
      </c>
      <c r="J494" s="50"/>
      <c r="K494" s="116">
        <f>IFERROR(VLOOKUP(B494,BD_CONTROL!$A$5:$M$4235,11,0),"")</f>
        <v>0</v>
      </c>
      <c r="L494" s="117">
        <f>IFERROR(VLOOKUP(B494,BD_CONTROL!$A$5:$M$4235,12,0),"")</f>
        <v>0</v>
      </c>
      <c r="M494" s="118">
        <f>IFERROR(VLOOKUP(B494,BD_CONTROL!$A$5:$M$4235,13,0),"")</f>
        <v>0</v>
      </c>
    </row>
    <row r="495" spans="1:13" ht="15" customHeight="1">
      <c r="A495" s="42">
        <v>490</v>
      </c>
      <c r="B495" s="42" t="s">
        <v>5413</v>
      </c>
      <c r="C495" s="43" t="s">
        <v>5414</v>
      </c>
      <c r="D495" s="42" t="s">
        <v>4690</v>
      </c>
      <c r="E495" s="43" t="s">
        <v>5415</v>
      </c>
      <c r="F495" s="43" t="s">
        <v>1597</v>
      </c>
      <c r="G495" s="42" t="s">
        <v>109</v>
      </c>
      <c r="H495" s="43" t="s">
        <v>4693</v>
      </c>
      <c r="I495" s="43" t="s">
        <v>104</v>
      </c>
      <c r="J495" s="55"/>
      <c r="K495" s="119">
        <f>IFERROR(VLOOKUP(B495,BD_CONTROL!$A$5:$M$4235,11,0),"")</f>
        <v>0</v>
      </c>
      <c r="L495" s="120">
        <f>IFERROR(VLOOKUP(B495,BD_CONTROL!$A$5:$M$4235,12,0),"")</f>
        <v>0</v>
      </c>
      <c r="M495" s="121">
        <f>IFERROR(VLOOKUP(B495,BD_CONTROL!$A$5:$M$4235,13,0),"")</f>
        <v>0</v>
      </c>
    </row>
    <row r="496" spans="1:13" ht="15" customHeight="1">
      <c r="A496" s="39">
        <v>491</v>
      </c>
      <c r="B496" s="39" t="s">
        <v>5416</v>
      </c>
      <c r="C496" s="40" t="s">
        <v>1337</v>
      </c>
      <c r="D496" s="39" t="s">
        <v>4690</v>
      </c>
      <c r="E496" s="40" t="s">
        <v>4868</v>
      </c>
      <c r="F496" s="40" t="s">
        <v>5417</v>
      </c>
      <c r="G496" s="39" t="s">
        <v>109</v>
      </c>
      <c r="H496" s="40" t="s">
        <v>4693</v>
      </c>
      <c r="I496" s="40" t="s">
        <v>104</v>
      </c>
      <c r="J496" s="50"/>
      <c r="K496" s="116">
        <f>IFERROR(VLOOKUP(B496,BD_CONTROL!$A$5:$M$4235,11,0),"")</f>
        <v>0</v>
      </c>
      <c r="L496" s="117">
        <f>IFERROR(VLOOKUP(B496,BD_CONTROL!$A$5:$M$4235,12,0),"")</f>
        <v>0</v>
      </c>
      <c r="M496" s="118">
        <f>IFERROR(VLOOKUP(B496,BD_CONTROL!$A$5:$M$4235,13,0),"")</f>
        <v>0</v>
      </c>
    </row>
    <row r="497" spans="1:13" ht="15" customHeight="1">
      <c r="A497" s="42">
        <v>492</v>
      </c>
      <c r="B497" s="42" t="s">
        <v>5418</v>
      </c>
      <c r="C497" s="43" t="s">
        <v>5419</v>
      </c>
      <c r="D497" s="42" t="s">
        <v>4690</v>
      </c>
      <c r="E497" s="43" t="s">
        <v>4857</v>
      </c>
      <c r="F497" s="43" t="s">
        <v>5420</v>
      </c>
      <c r="G497" s="42" t="s">
        <v>109</v>
      </c>
      <c r="H497" s="43" t="s">
        <v>4693</v>
      </c>
      <c r="I497" s="43" t="s">
        <v>104</v>
      </c>
      <c r="J497" s="55"/>
      <c r="K497" s="119">
        <f>IFERROR(VLOOKUP(B497,BD_CONTROL!$A$5:$M$4235,11,0),"")</f>
        <v>0</v>
      </c>
      <c r="L497" s="120">
        <f>IFERROR(VLOOKUP(B497,BD_CONTROL!$A$5:$M$4235,12,0),"")</f>
        <v>0</v>
      </c>
      <c r="M497" s="121">
        <f>IFERROR(VLOOKUP(B497,BD_CONTROL!$A$5:$M$4235,13,0),"")</f>
        <v>0</v>
      </c>
    </row>
    <row r="498" spans="1:13" ht="15" customHeight="1">
      <c r="A498" s="39">
        <v>493</v>
      </c>
      <c r="B498" s="39" t="s">
        <v>5421</v>
      </c>
      <c r="C498" s="40" t="s">
        <v>5422</v>
      </c>
      <c r="D498" s="39" t="s">
        <v>4690</v>
      </c>
      <c r="E498" s="40" t="s">
        <v>4812</v>
      </c>
      <c r="F498" s="40" t="s">
        <v>5423</v>
      </c>
      <c r="G498" s="39" t="s">
        <v>109</v>
      </c>
      <c r="H498" s="40" t="s">
        <v>4693</v>
      </c>
      <c r="I498" s="40" t="s">
        <v>104</v>
      </c>
      <c r="J498" s="50"/>
      <c r="K498" s="116" t="str">
        <f>IFERROR(VLOOKUP(B498,BD_CONTROL!$A$5:$M$4235,11,0),"")</f>
        <v>Instalado - Operando</v>
      </c>
      <c r="L498" s="117">
        <f>IFERROR(VLOOKUP(B498,BD_CONTROL!$A$5:$M$4235,12,0),"")</f>
        <v>46150</v>
      </c>
      <c r="M498" s="118">
        <f>IFERROR(VLOOKUP(B498,BD_CONTROL!$A$5:$M$4235,13,0),"")</f>
        <v>0</v>
      </c>
    </row>
    <row r="499" spans="1:13" ht="15" customHeight="1">
      <c r="A499" s="42">
        <v>494</v>
      </c>
      <c r="B499" s="42" t="s">
        <v>5424</v>
      </c>
      <c r="C499" s="43" t="s">
        <v>5425</v>
      </c>
      <c r="D499" s="42" t="s">
        <v>4690</v>
      </c>
      <c r="E499" s="43" t="s">
        <v>4828</v>
      </c>
      <c r="F499" s="43" t="s">
        <v>5426</v>
      </c>
      <c r="G499" s="42" t="s">
        <v>109</v>
      </c>
      <c r="H499" s="43" t="s">
        <v>4693</v>
      </c>
      <c r="I499" s="43" t="s">
        <v>104</v>
      </c>
      <c r="J499" s="55"/>
      <c r="K499" s="119">
        <f>IFERROR(VLOOKUP(B499,BD_CONTROL!$A$5:$M$4235,11,0),"")</f>
        <v>0</v>
      </c>
      <c r="L499" s="120">
        <f>IFERROR(VLOOKUP(B499,BD_CONTROL!$A$5:$M$4235,12,0),"")</f>
        <v>0</v>
      </c>
      <c r="M499" s="121">
        <f>IFERROR(VLOOKUP(B499,BD_CONTROL!$A$5:$M$4235,13,0),"")</f>
        <v>0</v>
      </c>
    </row>
    <row r="500" spans="1:13" ht="15" customHeight="1">
      <c r="A500" s="39">
        <v>495</v>
      </c>
      <c r="B500" s="39" t="s">
        <v>5427</v>
      </c>
      <c r="C500" s="40" t="s">
        <v>5428</v>
      </c>
      <c r="D500" s="39" t="s">
        <v>4690</v>
      </c>
      <c r="E500" s="40" t="s">
        <v>4993</v>
      </c>
      <c r="F500" s="40" t="s">
        <v>5429</v>
      </c>
      <c r="G500" s="39" t="s">
        <v>109</v>
      </c>
      <c r="H500" s="40" t="s">
        <v>4693</v>
      </c>
      <c r="I500" s="40" t="s">
        <v>104</v>
      </c>
      <c r="J500" s="50"/>
      <c r="K500" s="116">
        <f>IFERROR(VLOOKUP(B500,BD_CONTROL!$A$5:$M$4235,11,0),"")</f>
        <v>0</v>
      </c>
      <c r="L500" s="117">
        <f>IFERROR(VLOOKUP(B500,BD_CONTROL!$A$5:$M$4235,12,0),"")</f>
        <v>0</v>
      </c>
      <c r="M500" s="118">
        <f>IFERROR(VLOOKUP(B500,BD_CONTROL!$A$5:$M$4235,13,0),"")</f>
        <v>0</v>
      </c>
    </row>
    <row r="501" spans="1:13" ht="15" customHeight="1">
      <c r="A501" s="42">
        <v>496</v>
      </c>
      <c r="B501" s="42" t="s">
        <v>5430</v>
      </c>
      <c r="C501" s="43" t="s">
        <v>5431</v>
      </c>
      <c r="D501" s="42" t="s">
        <v>4690</v>
      </c>
      <c r="E501" s="43" t="s">
        <v>4696</v>
      </c>
      <c r="F501" s="43" t="s">
        <v>2539</v>
      </c>
      <c r="G501" s="42" t="s">
        <v>109</v>
      </c>
      <c r="H501" s="43" t="s">
        <v>4693</v>
      </c>
      <c r="I501" s="43" t="s">
        <v>104</v>
      </c>
      <c r="J501" s="55"/>
      <c r="K501" s="119">
        <f>IFERROR(VLOOKUP(B501,BD_CONTROL!$A$5:$M$4235,11,0),"")</f>
        <v>0</v>
      </c>
      <c r="L501" s="120">
        <f>IFERROR(VLOOKUP(B501,BD_CONTROL!$A$5:$M$4235,12,0),"")</f>
        <v>0</v>
      </c>
      <c r="M501" s="121">
        <f>IFERROR(VLOOKUP(B501,BD_CONTROL!$A$5:$M$4235,13,0),"")</f>
        <v>0</v>
      </c>
    </row>
    <row r="502" spans="1:13" ht="15" customHeight="1">
      <c r="A502" s="39">
        <v>497</v>
      </c>
      <c r="B502" s="39" t="s">
        <v>5432</v>
      </c>
      <c r="C502" s="40" t="s">
        <v>5433</v>
      </c>
      <c r="D502" s="39" t="s">
        <v>4690</v>
      </c>
      <c r="E502" s="40" t="s">
        <v>2727</v>
      </c>
      <c r="F502" s="40" t="s">
        <v>5434</v>
      </c>
      <c r="G502" s="39" t="s">
        <v>109</v>
      </c>
      <c r="H502" s="40" t="s">
        <v>4693</v>
      </c>
      <c r="I502" s="40" t="s">
        <v>104</v>
      </c>
      <c r="J502" s="50"/>
      <c r="K502" s="116">
        <f>IFERROR(VLOOKUP(B502,BD_CONTROL!$A$5:$M$4235,11,0),"")</f>
        <v>0</v>
      </c>
      <c r="L502" s="117">
        <f>IFERROR(VLOOKUP(B502,BD_CONTROL!$A$5:$M$4235,12,0),"")</f>
        <v>0</v>
      </c>
      <c r="M502" s="118">
        <f>IFERROR(VLOOKUP(B502,BD_CONTROL!$A$5:$M$4235,13,0),"")</f>
        <v>0</v>
      </c>
    </row>
    <row r="503" spans="1:13" ht="15" customHeight="1">
      <c r="A503" s="42">
        <v>498</v>
      </c>
      <c r="B503" s="42" t="s">
        <v>5435</v>
      </c>
      <c r="C503" s="43" t="s">
        <v>5436</v>
      </c>
      <c r="D503" s="42" t="s">
        <v>4690</v>
      </c>
      <c r="E503" s="43" t="s">
        <v>4767</v>
      </c>
      <c r="F503" s="43" t="s">
        <v>5437</v>
      </c>
      <c r="G503" s="42" t="s">
        <v>109</v>
      </c>
      <c r="H503" s="43" t="s">
        <v>4693</v>
      </c>
      <c r="I503" s="43" t="s">
        <v>104</v>
      </c>
      <c r="J503" s="55"/>
      <c r="K503" s="119">
        <f>IFERROR(VLOOKUP(B503,BD_CONTROL!$A$5:$M$4235,11,0),"")</f>
        <v>0</v>
      </c>
      <c r="L503" s="120">
        <f>IFERROR(VLOOKUP(B503,BD_CONTROL!$A$5:$M$4235,12,0),"")</f>
        <v>0</v>
      </c>
      <c r="M503" s="121">
        <f>IFERROR(VLOOKUP(B503,BD_CONTROL!$A$5:$M$4235,13,0),"")</f>
        <v>0</v>
      </c>
    </row>
    <row r="504" spans="1:13" ht="15" customHeight="1">
      <c r="A504" s="39">
        <v>499</v>
      </c>
      <c r="B504" s="39" t="s">
        <v>5438</v>
      </c>
      <c r="C504" s="40" t="s">
        <v>5439</v>
      </c>
      <c r="D504" s="39" t="s">
        <v>4690</v>
      </c>
      <c r="E504" s="40" t="s">
        <v>5163</v>
      </c>
      <c r="F504" s="40" t="s">
        <v>5440</v>
      </c>
      <c r="G504" s="39" t="s">
        <v>109</v>
      </c>
      <c r="H504" s="40" t="s">
        <v>4693</v>
      </c>
      <c r="I504" s="40" t="s">
        <v>104</v>
      </c>
      <c r="J504" s="50"/>
      <c r="K504" s="116">
        <f>IFERROR(VLOOKUP(B504,BD_CONTROL!$A$5:$M$4235,11,0),"")</f>
        <v>0</v>
      </c>
      <c r="L504" s="117">
        <f>IFERROR(VLOOKUP(B504,BD_CONTROL!$A$5:$M$4235,12,0),"")</f>
        <v>0</v>
      </c>
      <c r="M504" s="118">
        <f>IFERROR(VLOOKUP(B504,BD_CONTROL!$A$5:$M$4235,13,0),"")</f>
        <v>0</v>
      </c>
    </row>
    <row r="505" spans="1:13" ht="15" customHeight="1">
      <c r="A505" s="42">
        <v>500</v>
      </c>
      <c r="B505" s="42" t="s">
        <v>5441</v>
      </c>
      <c r="C505" s="43" t="s">
        <v>5442</v>
      </c>
      <c r="D505" s="42" t="s">
        <v>4690</v>
      </c>
      <c r="E505" s="43" t="s">
        <v>5443</v>
      </c>
      <c r="F505" s="43" t="s">
        <v>5443</v>
      </c>
      <c r="G505" s="42" t="s">
        <v>102</v>
      </c>
      <c r="H505" s="43" t="s">
        <v>4693</v>
      </c>
      <c r="I505" s="43" t="s">
        <v>104</v>
      </c>
      <c r="J505" s="55"/>
      <c r="K505" s="119">
        <f>IFERROR(VLOOKUP(B505,BD_CONTROL!$A$5:$M$4235,11,0),"")</f>
        <v>0</v>
      </c>
      <c r="L505" s="120">
        <f>IFERROR(VLOOKUP(B505,BD_CONTROL!$A$5:$M$4235,12,0),"")</f>
        <v>0</v>
      </c>
      <c r="M505" s="121">
        <f>IFERROR(VLOOKUP(B505,BD_CONTROL!$A$5:$M$4235,13,0),"")</f>
        <v>0</v>
      </c>
    </row>
    <row r="506" spans="1:13" ht="15" customHeight="1">
      <c r="A506" s="39">
        <v>501</v>
      </c>
      <c r="B506" s="39" t="s">
        <v>5444</v>
      </c>
      <c r="C506" s="40" t="s">
        <v>5445</v>
      </c>
      <c r="D506" s="39" t="s">
        <v>4690</v>
      </c>
      <c r="E506" s="40" t="s">
        <v>4828</v>
      </c>
      <c r="F506" s="40" t="s">
        <v>5446</v>
      </c>
      <c r="G506" s="39" t="s">
        <v>109</v>
      </c>
      <c r="H506" s="40" t="s">
        <v>4693</v>
      </c>
      <c r="I506" s="40" t="s">
        <v>104</v>
      </c>
      <c r="J506" s="50"/>
      <c r="K506" s="116">
        <f>IFERROR(VLOOKUP(B506,BD_CONTROL!$A$5:$M$4235,11,0),"")</f>
        <v>0</v>
      </c>
      <c r="L506" s="117">
        <f>IFERROR(VLOOKUP(B506,BD_CONTROL!$A$5:$M$4235,12,0),"")</f>
        <v>0</v>
      </c>
      <c r="M506" s="118">
        <f>IFERROR(VLOOKUP(B506,BD_CONTROL!$A$5:$M$4235,13,0),"")</f>
        <v>0</v>
      </c>
    </row>
    <row r="507" spans="1:13" ht="15" customHeight="1">
      <c r="A507" s="42">
        <v>502</v>
      </c>
      <c r="B507" s="42" t="s">
        <v>5447</v>
      </c>
      <c r="C507" s="43" t="s">
        <v>5448</v>
      </c>
      <c r="D507" s="42" t="s">
        <v>4690</v>
      </c>
      <c r="E507" s="43" t="s">
        <v>4828</v>
      </c>
      <c r="F507" s="43" t="s">
        <v>1750</v>
      </c>
      <c r="G507" s="42" t="s">
        <v>109</v>
      </c>
      <c r="H507" s="43" t="s">
        <v>4693</v>
      </c>
      <c r="I507" s="43" t="s">
        <v>104</v>
      </c>
      <c r="J507" s="55"/>
      <c r="K507" s="119">
        <f>IFERROR(VLOOKUP(B507,BD_CONTROL!$A$5:$M$4235,11,0),"")</f>
        <v>0</v>
      </c>
      <c r="L507" s="120">
        <f>IFERROR(VLOOKUP(B507,BD_CONTROL!$A$5:$M$4235,12,0),"")</f>
        <v>0</v>
      </c>
      <c r="M507" s="121">
        <f>IFERROR(VLOOKUP(B507,BD_CONTROL!$A$5:$M$4235,13,0),"")</f>
        <v>0</v>
      </c>
    </row>
    <row r="508" spans="1:13" ht="15" customHeight="1">
      <c r="A508" s="39">
        <v>503</v>
      </c>
      <c r="B508" s="39" t="s">
        <v>5449</v>
      </c>
      <c r="C508" s="40" t="s">
        <v>5450</v>
      </c>
      <c r="D508" s="39" t="s">
        <v>4690</v>
      </c>
      <c r="E508" s="40" t="s">
        <v>5443</v>
      </c>
      <c r="F508" s="40" t="s">
        <v>5451</v>
      </c>
      <c r="G508" s="39" t="s">
        <v>109</v>
      </c>
      <c r="H508" s="40" t="s">
        <v>4693</v>
      </c>
      <c r="I508" s="40" t="s">
        <v>104</v>
      </c>
      <c r="J508" s="50"/>
      <c r="K508" s="116">
        <f>IFERROR(VLOOKUP(B508,BD_CONTROL!$A$5:$M$4235,11,0),"")</f>
        <v>0</v>
      </c>
      <c r="L508" s="117">
        <f>IFERROR(VLOOKUP(B508,BD_CONTROL!$A$5:$M$4235,12,0),"")</f>
        <v>0</v>
      </c>
      <c r="M508" s="118">
        <f>IFERROR(VLOOKUP(B508,BD_CONTROL!$A$5:$M$4235,13,0),"")</f>
        <v>0</v>
      </c>
    </row>
    <row r="509" spans="1:13" ht="15" customHeight="1">
      <c r="A509" s="42">
        <v>504</v>
      </c>
      <c r="B509" s="42" t="s">
        <v>5452</v>
      </c>
      <c r="C509" s="43" t="s">
        <v>5453</v>
      </c>
      <c r="D509" s="42" t="s">
        <v>4690</v>
      </c>
      <c r="E509" s="43" t="s">
        <v>4778</v>
      </c>
      <c r="F509" s="43" t="s">
        <v>4778</v>
      </c>
      <c r="G509" s="42" t="s">
        <v>109</v>
      </c>
      <c r="H509" s="43" t="s">
        <v>4693</v>
      </c>
      <c r="I509" s="43" t="s">
        <v>104</v>
      </c>
      <c r="J509" s="55"/>
      <c r="K509" s="119">
        <f>IFERROR(VLOOKUP(B509,BD_CONTROL!$A$5:$M$4235,11,0),"")</f>
        <v>0</v>
      </c>
      <c r="L509" s="120">
        <f>IFERROR(VLOOKUP(B509,BD_CONTROL!$A$5:$M$4235,12,0),"")</f>
        <v>0</v>
      </c>
      <c r="M509" s="121">
        <f>IFERROR(VLOOKUP(B509,BD_CONTROL!$A$5:$M$4235,13,0),"")</f>
        <v>0</v>
      </c>
    </row>
    <row r="510" spans="1:13" ht="15" customHeight="1">
      <c r="A510" s="39">
        <v>505</v>
      </c>
      <c r="B510" s="39" t="s">
        <v>5454</v>
      </c>
      <c r="C510" s="40" t="s">
        <v>5455</v>
      </c>
      <c r="D510" s="39" t="s">
        <v>4690</v>
      </c>
      <c r="E510" s="40" t="s">
        <v>5243</v>
      </c>
      <c r="F510" s="40" t="s">
        <v>5456</v>
      </c>
      <c r="G510" s="39" t="s">
        <v>109</v>
      </c>
      <c r="H510" s="40" t="s">
        <v>4693</v>
      </c>
      <c r="I510" s="40" t="s">
        <v>104</v>
      </c>
      <c r="J510" s="50"/>
      <c r="K510" s="116">
        <f>IFERROR(VLOOKUP(B510,BD_CONTROL!$A$5:$M$4235,11,0),"")</f>
        <v>0</v>
      </c>
      <c r="L510" s="117">
        <f>IFERROR(VLOOKUP(B510,BD_CONTROL!$A$5:$M$4235,12,0),"")</f>
        <v>0</v>
      </c>
      <c r="M510" s="118">
        <f>IFERROR(VLOOKUP(B510,BD_CONTROL!$A$5:$M$4235,13,0),"")</f>
        <v>0</v>
      </c>
    </row>
    <row r="511" spans="1:13" ht="15" customHeight="1">
      <c r="A511" s="42">
        <v>506</v>
      </c>
      <c r="B511" s="42" t="s">
        <v>5457</v>
      </c>
      <c r="C511" s="43" t="s">
        <v>5458</v>
      </c>
      <c r="D511" s="42" t="s">
        <v>4690</v>
      </c>
      <c r="E511" s="43" t="s">
        <v>4944</v>
      </c>
      <c r="F511" s="43" t="s">
        <v>5459</v>
      </c>
      <c r="G511" s="42" t="s">
        <v>109</v>
      </c>
      <c r="H511" s="43" t="s">
        <v>4693</v>
      </c>
      <c r="I511" s="43" t="s">
        <v>104</v>
      </c>
      <c r="J511" s="55"/>
      <c r="K511" s="119">
        <f>IFERROR(VLOOKUP(B511,BD_CONTROL!$A$5:$M$4235,11,0),"")</f>
        <v>0</v>
      </c>
      <c r="L511" s="120">
        <f>IFERROR(VLOOKUP(B511,BD_CONTROL!$A$5:$M$4235,12,0),"")</f>
        <v>0</v>
      </c>
      <c r="M511" s="121">
        <f>IFERROR(VLOOKUP(B511,BD_CONTROL!$A$5:$M$4235,13,0),"")</f>
        <v>0</v>
      </c>
    </row>
    <row r="512" spans="1:13" ht="15" customHeight="1">
      <c r="A512" s="39">
        <v>507</v>
      </c>
      <c r="B512" s="39" t="s">
        <v>5460</v>
      </c>
      <c r="C512" s="40" t="s">
        <v>5461</v>
      </c>
      <c r="D512" s="39" t="s">
        <v>4690</v>
      </c>
      <c r="E512" s="40" t="s">
        <v>4847</v>
      </c>
      <c r="F512" s="40" t="s">
        <v>5462</v>
      </c>
      <c r="G512" s="39" t="s">
        <v>109</v>
      </c>
      <c r="H512" s="40" t="s">
        <v>4693</v>
      </c>
      <c r="I512" s="40" t="s">
        <v>104</v>
      </c>
      <c r="J512" s="50"/>
      <c r="K512" s="116">
        <f>IFERROR(VLOOKUP(B512,BD_CONTROL!$A$5:$M$4235,11,0),"")</f>
        <v>0</v>
      </c>
      <c r="L512" s="117">
        <f>IFERROR(VLOOKUP(B512,BD_CONTROL!$A$5:$M$4235,12,0),"")</f>
        <v>0</v>
      </c>
      <c r="M512" s="118">
        <f>IFERROR(VLOOKUP(B512,BD_CONTROL!$A$5:$M$4235,13,0),"")</f>
        <v>0</v>
      </c>
    </row>
    <row r="513" spans="1:13" ht="15" customHeight="1">
      <c r="A513" s="42">
        <v>508</v>
      </c>
      <c r="B513" s="42" t="s">
        <v>5463</v>
      </c>
      <c r="C513" s="43" t="s">
        <v>5464</v>
      </c>
      <c r="D513" s="42" t="s">
        <v>4690</v>
      </c>
      <c r="E513" s="43" t="s">
        <v>553</v>
      </c>
      <c r="F513" s="43" t="s">
        <v>5465</v>
      </c>
      <c r="G513" s="42" t="s">
        <v>102</v>
      </c>
      <c r="H513" s="43" t="s">
        <v>4693</v>
      </c>
      <c r="I513" s="43" t="s">
        <v>104</v>
      </c>
      <c r="J513" s="55"/>
      <c r="K513" s="119">
        <f>IFERROR(VLOOKUP(B513,BD_CONTROL!$A$5:$M$4235,11,0),"")</f>
        <v>0</v>
      </c>
      <c r="L513" s="120">
        <f>IFERROR(VLOOKUP(B513,BD_CONTROL!$A$5:$M$4235,12,0),"")</f>
        <v>0</v>
      </c>
      <c r="M513" s="121">
        <f>IFERROR(VLOOKUP(B513,BD_CONTROL!$A$5:$M$4235,13,0),"")</f>
        <v>0</v>
      </c>
    </row>
    <row r="514" spans="1:13" ht="15" customHeight="1">
      <c r="A514" s="39">
        <v>509</v>
      </c>
      <c r="B514" s="39" t="s">
        <v>5466</v>
      </c>
      <c r="C514" s="40" t="s">
        <v>5467</v>
      </c>
      <c r="D514" s="39" t="s">
        <v>4690</v>
      </c>
      <c r="E514" s="40" t="s">
        <v>4750</v>
      </c>
      <c r="F514" s="40" t="s">
        <v>5468</v>
      </c>
      <c r="G514" s="39" t="s">
        <v>109</v>
      </c>
      <c r="H514" s="40" t="s">
        <v>4693</v>
      </c>
      <c r="I514" s="40" t="s">
        <v>104</v>
      </c>
      <c r="J514" s="50"/>
      <c r="K514" s="116">
        <f>IFERROR(VLOOKUP(B514,BD_CONTROL!$A$5:$M$4235,11,0),"")</f>
        <v>0</v>
      </c>
      <c r="L514" s="117">
        <f>IFERROR(VLOOKUP(B514,BD_CONTROL!$A$5:$M$4235,12,0),"")</f>
        <v>0</v>
      </c>
      <c r="M514" s="118">
        <f>IFERROR(VLOOKUP(B514,BD_CONTROL!$A$5:$M$4235,13,0),"")</f>
        <v>0</v>
      </c>
    </row>
    <row r="515" spans="1:13" ht="15" customHeight="1">
      <c r="A515" s="42">
        <v>510</v>
      </c>
      <c r="B515" s="42" t="s">
        <v>5469</v>
      </c>
      <c r="C515" s="43" t="s">
        <v>5470</v>
      </c>
      <c r="D515" s="42" t="s">
        <v>4690</v>
      </c>
      <c r="E515" s="43" t="s">
        <v>4812</v>
      </c>
      <c r="F515" s="43" t="s">
        <v>4812</v>
      </c>
      <c r="G515" s="42" t="s">
        <v>109</v>
      </c>
      <c r="H515" s="43" t="s">
        <v>4693</v>
      </c>
      <c r="I515" s="43" t="s">
        <v>104</v>
      </c>
      <c r="J515" s="55"/>
      <c r="K515" s="119" t="str">
        <f>IFERROR(VLOOKUP(B515,BD_CONTROL!$A$5:$M$4235,11,0),"")</f>
        <v>Instalado - Operando</v>
      </c>
      <c r="L515" s="120">
        <f>IFERROR(VLOOKUP(B515,BD_CONTROL!$A$5:$M$4235,12,0),"")</f>
        <v>46149</v>
      </c>
      <c r="M515" s="121">
        <f>IFERROR(VLOOKUP(B515,BD_CONTROL!$A$5:$M$4235,13,0),"")</f>
        <v>0</v>
      </c>
    </row>
    <row r="516" spans="1:13" ht="15" customHeight="1">
      <c r="A516" s="39">
        <v>511</v>
      </c>
      <c r="B516" s="39" t="s">
        <v>5471</v>
      </c>
      <c r="C516" s="40" t="s">
        <v>5472</v>
      </c>
      <c r="D516" s="39" t="s">
        <v>4690</v>
      </c>
      <c r="E516" s="40" t="s">
        <v>2756</v>
      </c>
      <c r="F516" s="40" t="s">
        <v>5473</v>
      </c>
      <c r="G516" s="39" t="s">
        <v>109</v>
      </c>
      <c r="H516" s="40" t="s">
        <v>4693</v>
      </c>
      <c r="I516" s="40" t="s">
        <v>104</v>
      </c>
      <c r="J516" s="50"/>
      <c r="K516" s="116">
        <f>IFERROR(VLOOKUP(B516,BD_CONTROL!$A$5:$M$4235,11,0),"")</f>
        <v>0</v>
      </c>
      <c r="L516" s="117">
        <f>IFERROR(VLOOKUP(B516,BD_CONTROL!$A$5:$M$4235,12,0),"")</f>
        <v>0</v>
      </c>
      <c r="M516" s="118">
        <f>IFERROR(VLOOKUP(B516,BD_CONTROL!$A$5:$M$4235,13,0),"")</f>
        <v>0</v>
      </c>
    </row>
    <row r="517" spans="1:13" ht="15" customHeight="1">
      <c r="A517" s="42">
        <v>512</v>
      </c>
      <c r="B517" s="42" t="s">
        <v>5474</v>
      </c>
      <c r="C517" s="43" t="s">
        <v>5475</v>
      </c>
      <c r="D517" s="42" t="s">
        <v>4690</v>
      </c>
      <c r="E517" s="43" t="s">
        <v>4812</v>
      </c>
      <c r="F517" s="43" t="s">
        <v>5476</v>
      </c>
      <c r="G517" s="42" t="s">
        <v>109</v>
      </c>
      <c r="H517" s="43" t="s">
        <v>4693</v>
      </c>
      <c r="I517" s="43" t="s">
        <v>104</v>
      </c>
      <c r="J517" s="55"/>
      <c r="K517" s="119" t="str">
        <f>IFERROR(VLOOKUP(B517,BD_CONTROL!$A$5:$M$4235,11,0),"")</f>
        <v>Instalado - Operando</v>
      </c>
      <c r="L517" s="120">
        <f>IFERROR(VLOOKUP(B517,BD_CONTROL!$A$5:$M$4235,12,0),"")</f>
        <v>46149</v>
      </c>
      <c r="M517" s="121">
        <f>IFERROR(VLOOKUP(B517,BD_CONTROL!$A$5:$M$4235,13,0),"")</f>
        <v>0</v>
      </c>
    </row>
    <row r="518" spans="1:13" ht="15" customHeight="1">
      <c r="A518" s="39">
        <v>513</v>
      </c>
      <c r="B518" s="39" t="s">
        <v>5477</v>
      </c>
      <c r="C518" s="40" t="s">
        <v>5478</v>
      </c>
      <c r="D518" s="39" t="s">
        <v>4690</v>
      </c>
      <c r="E518" s="40" t="s">
        <v>4740</v>
      </c>
      <c r="F518" s="40" t="s">
        <v>5479</v>
      </c>
      <c r="G518" s="39" t="s">
        <v>109</v>
      </c>
      <c r="H518" s="40" t="s">
        <v>4693</v>
      </c>
      <c r="I518" s="40" t="s">
        <v>104</v>
      </c>
      <c r="J518" s="50"/>
      <c r="K518" s="116">
        <f>IFERROR(VLOOKUP(B518,BD_CONTROL!$A$5:$M$4235,11,0),"")</f>
        <v>0</v>
      </c>
      <c r="L518" s="117">
        <f>IFERROR(VLOOKUP(B518,BD_CONTROL!$A$5:$M$4235,12,0),"")</f>
        <v>0</v>
      </c>
      <c r="M518" s="118">
        <f>IFERROR(VLOOKUP(B518,BD_CONTROL!$A$5:$M$4235,13,0),"")</f>
        <v>0</v>
      </c>
    </row>
    <row r="519" spans="1:13" ht="15" customHeight="1">
      <c r="A519" s="42">
        <v>514</v>
      </c>
      <c r="B519" s="42" t="s">
        <v>5480</v>
      </c>
      <c r="C519" s="43" t="s">
        <v>5481</v>
      </c>
      <c r="D519" s="42" t="s">
        <v>4690</v>
      </c>
      <c r="E519" s="43" t="s">
        <v>553</v>
      </c>
      <c r="F519" s="43" t="s">
        <v>5482</v>
      </c>
      <c r="G519" s="42" t="s">
        <v>109</v>
      </c>
      <c r="H519" s="43" t="s">
        <v>4693</v>
      </c>
      <c r="I519" s="43" t="s">
        <v>104</v>
      </c>
      <c r="J519" s="55"/>
      <c r="K519" s="119">
        <f>IFERROR(VLOOKUP(B519,BD_CONTROL!$A$5:$M$4235,11,0),"")</f>
        <v>0</v>
      </c>
      <c r="L519" s="120">
        <f>IFERROR(VLOOKUP(B519,BD_CONTROL!$A$5:$M$4235,12,0),"")</f>
        <v>0</v>
      </c>
      <c r="M519" s="121">
        <f>IFERROR(VLOOKUP(B519,BD_CONTROL!$A$5:$M$4235,13,0),"")</f>
        <v>0</v>
      </c>
    </row>
    <row r="520" spans="1:13" ht="15" customHeight="1">
      <c r="A520" s="39">
        <v>515</v>
      </c>
      <c r="B520" s="39" t="s">
        <v>5483</v>
      </c>
      <c r="C520" s="40" t="s">
        <v>5484</v>
      </c>
      <c r="D520" s="39" t="s">
        <v>4690</v>
      </c>
      <c r="E520" s="40" t="s">
        <v>4767</v>
      </c>
      <c r="F520" s="40" t="s">
        <v>5485</v>
      </c>
      <c r="G520" s="39" t="s">
        <v>109</v>
      </c>
      <c r="H520" s="40" t="s">
        <v>4693</v>
      </c>
      <c r="I520" s="40" t="s">
        <v>104</v>
      </c>
      <c r="J520" s="50"/>
      <c r="K520" s="116">
        <f>IFERROR(VLOOKUP(B520,BD_CONTROL!$A$5:$M$4235,11,0),"")</f>
        <v>0</v>
      </c>
      <c r="L520" s="117">
        <f>IFERROR(VLOOKUP(B520,BD_CONTROL!$A$5:$M$4235,12,0),"")</f>
        <v>0</v>
      </c>
      <c r="M520" s="118">
        <f>IFERROR(VLOOKUP(B520,BD_CONTROL!$A$5:$M$4235,13,0),"")</f>
        <v>0</v>
      </c>
    </row>
    <row r="521" spans="1:13" ht="15" customHeight="1">
      <c r="A521" s="42">
        <v>516</v>
      </c>
      <c r="B521" s="42" t="s">
        <v>5486</v>
      </c>
      <c r="C521" s="43" t="s">
        <v>5487</v>
      </c>
      <c r="D521" s="42" t="s">
        <v>4690</v>
      </c>
      <c r="E521" s="43" t="s">
        <v>4766</v>
      </c>
      <c r="F521" s="43" t="s">
        <v>5488</v>
      </c>
      <c r="G521" s="42" t="s">
        <v>109</v>
      </c>
      <c r="H521" s="43" t="s">
        <v>4693</v>
      </c>
      <c r="I521" s="43" t="s">
        <v>104</v>
      </c>
      <c r="J521" s="55"/>
      <c r="K521" s="119">
        <f>IFERROR(VLOOKUP(B521,BD_CONTROL!$A$5:$M$4235,11,0),"")</f>
        <v>0</v>
      </c>
      <c r="L521" s="120">
        <f>IFERROR(VLOOKUP(B521,BD_CONTROL!$A$5:$M$4235,12,0),"")</f>
        <v>0</v>
      </c>
      <c r="M521" s="121">
        <f>IFERROR(VLOOKUP(B521,BD_CONTROL!$A$5:$M$4235,13,0),"")</f>
        <v>0</v>
      </c>
    </row>
    <row r="522" spans="1:13" ht="15" customHeight="1">
      <c r="A522" s="39">
        <v>517</v>
      </c>
      <c r="B522" s="39" t="s">
        <v>5489</v>
      </c>
      <c r="C522" s="40" t="s">
        <v>5490</v>
      </c>
      <c r="D522" s="39" t="s">
        <v>4690</v>
      </c>
      <c r="E522" s="40" t="s">
        <v>4744</v>
      </c>
      <c r="F522" s="40" t="s">
        <v>5491</v>
      </c>
      <c r="G522" s="39" t="s">
        <v>102</v>
      </c>
      <c r="H522" s="40" t="s">
        <v>4693</v>
      </c>
      <c r="I522" s="40" t="s">
        <v>104</v>
      </c>
      <c r="J522" s="50"/>
      <c r="K522" s="116">
        <f>IFERROR(VLOOKUP(B522,BD_CONTROL!$A$5:$M$4235,11,0),"")</f>
        <v>0</v>
      </c>
      <c r="L522" s="117">
        <f>IFERROR(VLOOKUP(B522,BD_CONTROL!$A$5:$M$4235,12,0),"")</f>
        <v>0</v>
      </c>
      <c r="M522" s="118">
        <f>IFERROR(VLOOKUP(B522,BD_CONTROL!$A$5:$M$4235,13,0),"")</f>
        <v>0</v>
      </c>
    </row>
    <row r="523" spans="1:13" ht="15" customHeight="1">
      <c r="A523" s="42">
        <v>518</v>
      </c>
      <c r="B523" s="42" t="s">
        <v>5492</v>
      </c>
      <c r="C523" s="43" t="s">
        <v>5493</v>
      </c>
      <c r="D523" s="42" t="s">
        <v>4690</v>
      </c>
      <c r="E523" s="43" t="s">
        <v>4820</v>
      </c>
      <c r="F523" s="43" t="s">
        <v>1790</v>
      </c>
      <c r="G523" s="42" t="s">
        <v>109</v>
      </c>
      <c r="H523" s="43" t="s">
        <v>4693</v>
      </c>
      <c r="I523" s="43" t="s">
        <v>104</v>
      </c>
      <c r="J523" s="55"/>
      <c r="K523" s="119">
        <f>IFERROR(VLOOKUP(B523,BD_CONTROL!$A$5:$M$4235,11,0),"")</f>
        <v>0</v>
      </c>
      <c r="L523" s="120">
        <f>IFERROR(VLOOKUP(B523,BD_CONTROL!$A$5:$M$4235,12,0),"")</f>
        <v>0</v>
      </c>
      <c r="M523" s="121">
        <f>IFERROR(VLOOKUP(B523,BD_CONTROL!$A$5:$M$4235,13,0),"")</f>
        <v>0</v>
      </c>
    </row>
    <row r="524" spans="1:13" ht="15" customHeight="1">
      <c r="A524" s="39">
        <v>519</v>
      </c>
      <c r="B524" s="39" t="s">
        <v>5497</v>
      </c>
      <c r="C524" s="40" t="s">
        <v>5498</v>
      </c>
      <c r="D524" s="39" t="s">
        <v>4690</v>
      </c>
      <c r="E524" s="40" t="s">
        <v>4793</v>
      </c>
      <c r="F524" s="40" t="s">
        <v>5499</v>
      </c>
      <c r="G524" s="39" t="s">
        <v>102</v>
      </c>
      <c r="H524" s="40" t="s">
        <v>4693</v>
      </c>
      <c r="I524" s="40" t="s">
        <v>104</v>
      </c>
      <c r="J524" s="50"/>
      <c r="K524" s="116">
        <f>IFERROR(VLOOKUP(B524,BD_CONTROL!$A$5:$M$4235,11,0),"")</f>
        <v>0</v>
      </c>
      <c r="L524" s="117">
        <f>IFERROR(VLOOKUP(B524,BD_CONTROL!$A$5:$M$4235,12,0),"")</f>
        <v>0</v>
      </c>
      <c r="M524" s="118">
        <f>IFERROR(VLOOKUP(B524,BD_CONTROL!$A$5:$M$4235,13,0),"")</f>
        <v>0</v>
      </c>
    </row>
    <row r="525" spans="1:13" ht="15" customHeight="1">
      <c r="A525" s="42">
        <v>520</v>
      </c>
      <c r="B525" s="42" t="s">
        <v>5500</v>
      </c>
      <c r="C525" s="43" t="s">
        <v>5501</v>
      </c>
      <c r="D525" s="42" t="s">
        <v>4690</v>
      </c>
      <c r="E525" s="43" t="s">
        <v>4744</v>
      </c>
      <c r="F525" s="43" t="s">
        <v>5502</v>
      </c>
      <c r="G525" s="42" t="s">
        <v>109</v>
      </c>
      <c r="H525" s="43" t="s">
        <v>4693</v>
      </c>
      <c r="I525" s="43" t="s">
        <v>104</v>
      </c>
      <c r="J525" s="55"/>
      <c r="K525" s="119">
        <f>IFERROR(VLOOKUP(B525,BD_CONTROL!$A$5:$M$4235,11,0),"")</f>
        <v>0</v>
      </c>
      <c r="L525" s="120">
        <f>IFERROR(VLOOKUP(B525,BD_CONTROL!$A$5:$M$4235,12,0),"")</f>
        <v>0</v>
      </c>
      <c r="M525" s="121">
        <f>IFERROR(VLOOKUP(B525,BD_CONTROL!$A$5:$M$4235,13,0),"")</f>
        <v>0</v>
      </c>
    </row>
    <row r="526" spans="1:13" ht="15" customHeight="1">
      <c r="A526" s="39">
        <v>521</v>
      </c>
      <c r="B526" s="39" t="s">
        <v>5503</v>
      </c>
      <c r="C526" s="40" t="s">
        <v>5504</v>
      </c>
      <c r="D526" s="39" t="s">
        <v>4690</v>
      </c>
      <c r="E526" s="40" t="s">
        <v>4744</v>
      </c>
      <c r="F526" s="40" t="s">
        <v>5505</v>
      </c>
      <c r="G526" s="39" t="s">
        <v>109</v>
      </c>
      <c r="H526" s="40" t="s">
        <v>4693</v>
      </c>
      <c r="I526" s="40" t="s">
        <v>104</v>
      </c>
      <c r="J526" s="50"/>
      <c r="K526" s="116">
        <f>IFERROR(VLOOKUP(B526,BD_CONTROL!$A$5:$M$4235,11,0),"")</f>
        <v>0</v>
      </c>
      <c r="L526" s="117">
        <f>IFERROR(VLOOKUP(B526,BD_CONTROL!$A$5:$M$4235,12,0),"")</f>
        <v>0</v>
      </c>
      <c r="M526" s="118">
        <f>IFERROR(VLOOKUP(B526,BD_CONTROL!$A$5:$M$4235,13,0),"")</f>
        <v>0</v>
      </c>
    </row>
    <row r="527" spans="1:13" ht="15" customHeight="1">
      <c r="A527" s="42">
        <v>522</v>
      </c>
      <c r="B527" s="42" t="s">
        <v>5506</v>
      </c>
      <c r="C527" s="43" t="s">
        <v>5507</v>
      </c>
      <c r="D527" s="42" t="s">
        <v>4690</v>
      </c>
      <c r="E527" s="43" t="s">
        <v>1086</v>
      </c>
      <c r="F527" s="43" t="s">
        <v>5508</v>
      </c>
      <c r="G527" s="42" t="s">
        <v>109</v>
      </c>
      <c r="H527" s="43" t="s">
        <v>4693</v>
      </c>
      <c r="I527" s="43" t="s">
        <v>104</v>
      </c>
      <c r="J527" s="55"/>
      <c r="K527" s="119" t="str">
        <f>IFERROR(VLOOKUP(B527,BD_CONTROL!$A$5:$M$4235,11,0),"")</f>
        <v>Instalado - Sin Señal</v>
      </c>
      <c r="L527" s="120">
        <f>IFERROR(VLOOKUP(B527,BD_CONTROL!$A$5:$M$4235,12,0),"")</f>
        <v>46150</v>
      </c>
      <c r="M527" s="121" t="str">
        <f>IFERROR(VLOOKUP(B527,BD_CONTROL!$A$5:$M$4235,13,0),"")</f>
        <v>la escuela no tiene servicio de energía, sin embargo se suministró de manera provisional para poder configurar y realizar el reporte, se mantendrá apagado hasta que conecten la energía.</v>
      </c>
    </row>
    <row r="528" spans="1:13" ht="15" customHeight="1">
      <c r="A528" s="39">
        <v>523</v>
      </c>
      <c r="B528" s="39" t="s">
        <v>5510</v>
      </c>
      <c r="C528" s="40" t="s">
        <v>5511</v>
      </c>
      <c r="D528" s="39" t="s">
        <v>4690</v>
      </c>
      <c r="E528" s="40" t="s">
        <v>4868</v>
      </c>
      <c r="F528" s="40" t="s">
        <v>5512</v>
      </c>
      <c r="G528" s="39" t="s">
        <v>102</v>
      </c>
      <c r="H528" s="40" t="s">
        <v>4693</v>
      </c>
      <c r="I528" s="40" t="s">
        <v>104</v>
      </c>
      <c r="J528" s="50"/>
      <c r="K528" s="116">
        <f>IFERROR(VLOOKUP(B528,BD_CONTROL!$A$5:$M$4235,11,0),"")</f>
        <v>0</v>
      </c>
      <c r="L528" s="117">
        <f>IFERROR(VLOOKUP(B528,BD_CONTROL!$A$5:$M$4235,12,0),"")</f>
        <v>0</v>
      </c>
      <c r="M528" s="118">
        <f>IFERROR(VLOOKUP(B528,BD_CONTROL!$A$5:$M$4235,13,0),"")</f>
        <v>0</v>
      </c>
    </row>
    <row r="529" spans="1:13" ht="15" customHeight="1">
      <c r="A529" s="42">
        <v>524</v>
      </c>
      <c r="B529" s="42" t="s">
        <v>5513</v>
      </c>
      <c r="C529" s="43" t="s">
        <v>5514</v>
      </c>
      <c r="D529" s="42" t="s">
        <v>4690</v>
      </c>
      <c r="E529" s="43" t="s">
        <v>5214</v>
      </c>
      <c r="F529" s="43" t="s">
        <v>5214</v>
      </c>
      <c r="G529" s="42" t="s">
        <v>109</v>
      </c>
      <c r="H529" s="43" t="s">
        <v>4693</v>
      </c>
      <c r="I529" s="43" t="s">
        <v>104</v>
      </c>
      <c r="J529" s="55"/>
      <c r="K529" s="119">
        <f>IFERROR(VLOOKUP(B529,BD_CONTROL!$A$5:$M$4235,11,0),"")</f>
        <v>0</v>
      </c>
      <c r="L529" s="120">
        <f>IFERROR(VLOOKUP(B529,BD_CONTROL!$A$5:$M$4235,12,0),"")</f>
        <v>0</v>
      </c>
      <c r="M529" s="121">
        <f>IFERROR(VLOOKUP(B529,BD_CONTROL!$A$5:$M$4235,13,0),"")</f>
        <v>0</v>
      </c>
    </row>
    <row r="530" spans="1:13" ht="15" customHeight="1">
      <c r="A530" s="39">
        <v>525</v>
      </c>
      <c r="B530" s="39" t="s">
        <v>6456</v>
      </c>
      <c r="C530" s="40" t="s">
        <v>6457</v>
      </c>
      <c r="D530" s="39" t="s">
        <v>6458</v>
      </c>
      <c r="E530" s="40" t="s">
        <v>6458</v>
      </c>
      <c r="F530" s="40" t="s">
        <v>6459</v>
      </c>
      <c r="G530" s="39" t="s">
        <v>109</v>
      </c>
      <c r="H530" s="40" t="s">
        <v>1539</v>
      </c>
      <c r="I530" s="40" t="s">
        <v>104</v>
      </c>
      <c r="J530" s="50"/>
      <c r="K530" s="116">
        <f>IFERROR(VLOOKUP(B530,BD_CONTROL!$A$5:$M$4235,11,0),"")</f>
        <v>0</v>
      </c>
      <c r="L530" s="117">
        <f>IFERROR(VLOOKUP(B530,BD_CONTROL!$A$5:$M$4235,12,0),"")</f>
        <v>0</v>
      </c>
      <c r="M530" s="118">
        <f>IFERROR(VLOOKUP(B530,BD_CONTROL!$A$5:$M$4235,13,0),"")</f>
        <v>0</v>
      </c>
    </row>
    <row r="531" spans="1:13" ht="15" customHeight="1">
      <c r="A531" s="42">
        <v>526</v>
      </c>
      <c r="B531" s="42" t="s">
        <v>6460</v>
      </c>
      <c r="C531" s="43" t="s">
        <v>6461</v>
      </c>
      <c r="D531" s="42" t="s">
        <v>6458</v>
      </c>
      <c r="E531" s="43" t="s">
        <v>6462</v>
      </c>
      <c r="F531" s="43" t="s">
        <v>6463</v>
      </c>
      <c r="G531" s="42" t="s">
        <v>109</v>
      </c>
      <c r="H531" s="43" t="s">
        <v>1539</v>
      </c>
      <c r="I531" s="43" t="s">
        <v>104</v>
      </c>
      <c r="J531" s="55"/>
      <c r="K531" s="119">
        <f>IFERROR(VLOOKUP(B531,BD_CONTROL!$A$5:$M$4235,11,0),"")</f>
        <v>0</v>
      </c>
      <c r="L531" s="120">
        <f>IFERROR(VLOOKUP(B531,BD_CONTROL!$A$5:$M$4235,12,0),"")</f>
        <v>0</v>
      </c>
      <c r="M531" s="121">
        <f>IFERROR(VLOOKUP(B531,BD_CONTROL!$A$5:$M$4235,13,0),"")</f>
        <v>0</v>
      </c>
    </row>
    <row r="532" spans="1:13" ht="15" customHeight="1">
      <c r="A532" s="39">
        <v>527</v>
      </c>
      <c r="B532" s="39" t="s">
        <v>6464</v>
      </c>
      <c r="C532" s="40" t="s">
        <v>437</v>
      </c>
      <c r="D532" s="39" t="s">
        <v>6458</v>
      </c>
      <c r="E532" s="40" t="s">
        <v>6462</v>
      </c>
      <c r="F532" s="40" t="s">
        <v>6465</v>
      </c>
      <c r="G532" s="39" t="s">
        <v>109</v>
      </c>
      <c r="H532" s="40" t="s">
        <v>1539</v>
      </c>
      <c r="I532" s="40" t="s">
        <v>104</v>
      </c>
      <c r="J532" s="50"/>
      <c r="K532" s="116">
        <f>IFERROR(VLOOKUP(B532,BD_CONTROL!$A$5:$M$4235,11,0),"")</f>
        <v>0</v>
      </c>
      <c r="L532" s="117">
        <f>IFERROR(VLOOKUP(B532,BD_CONTROL!$A$5:$M$4235,12,0),"")</f>
        <v>0</v>
      </c>
      <c r="M532" s="118">
        <f>IFERROR(VLOOKUP(B532,BD_CONTROL!$A$5:$M$4235,13,0),"")</f>
        <v>0</v>
      </c>
    </row>
    <row r="533" spans="1:13" ht="15" customHeight="1">
      <c r="A533" s="42">
        <v>528</v>
      </c>
      <c r="B533" s="42" t="s">
        <v>6466</v>
      </c>
      <c r="C533" s="43" t="s">
        <v>6467</v>
      </c>
      <c r="D533" s="42" t="s">
        <v>6458</v>
      </c>
      <c r="E533" s="43" t="s">
        <v>6462</v>
      </c>
      <c r="F533" s="43" t="s">
        <v>6468</v>
      </c>
      <c r="G533" s="42" t="s">
        <v>109</v>
      </c>
      <c r="H533" s="43" t="s">
        <v>1539</v>
      </c>
      <c r="I533" s="43" t="s">
        <v>104</v>
      </c>
      <c r="J533" s="55"/>
      <c r="K533" s="119">
        <f>IFERROR(VLOOKUP(B533,BD_CONTROL!$A$5:$M$4235,11,0),"")</f>
        <v>0</v>
      </c>
      <c r="L533" s="120">
        <f>IFERROR(VLOOKUP(B533,BD_CONTROL!$A$5:$M$4235,12,0),"")</f>
        <v>0</v>
      </c>
      <c r="M533" s="121">
        <f>IFERROR(VLOOKUP(B533,BD_CONTROL!$A$5:$M$4235,13,0),"")</f>
        <v>0</v>
      </c>
    </row>
    <row r="534" spans="1:13" ht="15" customHeight="1">
      <c r="A534" s="39">
        <v>529</v>
      </c>
      <c r="B534" s="39" t="s">
        <v>6469</v>
      </c>
      <c r="C534" s="40" t="s">
        <v>6470</v>
      </c>
      <c r="D534" s="39" t="s">
        <v>6458</v>
      </c>
      <c r="E534" s="40" t="s">
        <v>6462</v>
      </c>
      <c r="F534" s="40" t="s">
        <v>6471</v>
      </c>
      <c r="G534" s="39" t="s">
        <v>109</v>
      </c>
      <c r="H534" s="40" t="s">
        <v>1539</v>
      </c>
      <c r="I534" s="40" t="s">
        <v>104</v>
      </c>
      <c r="J534" s="50"/>
      <c r="K534" s="116">
        <f>IFERROR(VLOOKUP(B534,BD_CONTROL!$A$5:$M$4235,11,0),"")</f>
        <v>0</v>
      </c>
      <c r="L534" s="117">
        <f>IFERROR(VLOOKUP(B534,BD_CONTROL!$A$5:$M$4235,12,0),"")</f>
        <v>0</v>
      </c>
      <c r="M534" s="118">
        <f>IFERROR(VLOOKUP(B534,BD_CONTROL!$A$5:$M$4235,13,0),"")</f>
        <v>0</v>
      </c>
    </row>
    <row r="535" spans="1:13" ht="15" customHeight="1">
      <c r="A535" s="42">
        <v>530</v>
      </c>
      <c r="B535" s="42" t="s">
        <v>6472</v>
      </c>
      <c r="C535" s="43" t="s">
        <v>6473</v>
      </c>
      <c r="D535" s="42" t="s">
        <v>6458</v>
      </c>
      <c r="E535" s="43" t="s">
        <v>6474</v>
      </c>
      <c r="F535" s="43" t="s">
        <v>6475</v>
      </c>
      <c r="G535" s="42" t="s">
        <v>109</v>
      </c>
      <c r="H535" s="43" t="s">
        <v>1539</v>
      </c>
      <c r="I535" s="43" t="s">
        <v>104</v>
      </c>
      <c r="J535" s="55"/>
      <c r="K535" s="119">
        <f>IFERROR(VLOOKUP(B535,BD_CONTROL!$A$5:$M$4235,11,0),"")</f>
        <v>0</v>
      </c>
      <c r="L535" s="120">
        <f>IFERROR(VLOOKUP(B535,BD_CONTROL!$A$5:$M$4235,12,0),"")</f>
        <v>0</v>
      </c>
      <c r="M535" s="121">
        <f>IFERROR(VLOOKUP(B535,BD_CONTROL!$A$5:$M$4235,13,0),"")</f>
        <v>0</v>
      </c>
    </row>
    <row r="536" spans="1:13" ht="15" customHeight="1">
      <c r="A536" s="39">
        <v>531</v>
      </c>
      <c r="B536" s="39" t="s">
        <v>6476</v>
      </c>
      <c r="C536" s="40" t="s">
        <v>470</v>
      </c>
      <c r="D536" s="39" t="s">
        <v>6458</v>
      </c>
      <c r="E536" s="40" t="s">
        <v>6477</v>
      </c>
      <c r="F536" s="40" t="s">
        <v>6478</v>
      </c>
      <c r="G536" s="39" t="s">
        <v>109</v>
      </c>
      <c r="H536" s="40" t="s">
        <v>1539</v>
      </c>
      <c r="I536" s="40" t="s">
        <v>104</v>
      </c>
      <c r="J536" s="50"/>
      <c r="K536" s="116">
        <f>IFERROR(VLOOKUP(B536,BD_CONTROL!$A$5:$M$4235,11,0),"")</f>
        <v>0</v>
      </c>
      <c r="L536" s="117">
        <f>IFERROR(VLOOKUP(B536,BD_CONTROL!$A$5:$M$4235,12,0),"")</f>
        <v>0</v>
      </c>
      <c r="M536" s="118">
        <f>IFERROR(VLOOKUP(B536,BD_CONTROL!$A$5:$M$4235,13,0),"")</f>
        <v>0</v>
      </c>
    </row>
    <row r="537" spans="1:13" ht="15" customHeight="1">
      <c r="A537" s="42">
        <v>532</v>
      </c>
      <c r="B537" s="42" t="s">
        <v>6479</v>
      </c>
      <c r="C537" s="43" t="s">
        <v>1215</v>
      </c>
      <c r="D537" s="42" t="s">
        <v>6458</v>
      </c>
      <c r="E537" s="43" t="s">
        <v>6477</v>
      </c>
      <c r="F537" s="43" t="s">
        <v>6480</v>
      </c>
      <c r="G537" s="42" t="s">
        <v>109</v>
      </c>
      <c r="H537" s="43" t="s">
        <v>1539</v>
      </c>
      <c r="I537" s="43" t="s">
        <v>104</v>
      </c>
      <c r="J537" s="55"/>
      <c r="K537" s="119">
        <f>IFERROR(VLOOKUP(B537,BD_CONTROL!$A$5:$M$4235,11,0),"")</f>
        <v>0</v>
      </c>
      <c r="L537" s="120">
        <f>IFERROR(VLOOKUP(B537,BD_CONTROL!$A$5:$M$4235,12,0),"")</f>
        <v>0</v>
      </c>
      <c r="M537" s="121">
        <f>IFERROR(VLOOKUP(B537,BD_CONTROL!$A$5:$M$4235,13,0),"")</f>
        <v>0</v>
      </c>
    </row>
    <row r="538" spans="1:13" ht="15" customHeight="1">
      <c r="A538" s="39">
        <v>533</v>
      </c>
      <c r="B538" s="39" t="s">
        <v>6481</v>
      </c>
      <c r="C538" s="40" t="s">
        <v>798</v>
      </c>
      <c r="D538" s="39" t="s">
        <v>6458</v>
      </c>
      <c r="E538" s="40" t="s">
        <v>6458</v>
      </c>
      <c r="F538" s="40" t="s">
        <v>6482</v>
      </c>
      <c r="G538" s="39" t="s">
        <v>109</v>
      </c>
      <c r="H538" s="40" t="s">
        <v>1539</v>
      </c>
      <c r="I538" s="40" t="s">
        <v>104</v>
      </c>
      <c r="J538" s="50"/>
      <c r="K538" s="116">
        <f>IFERROR(VLOOKUP(B538,BD_CONTROL!$A$5:$M$4235,11,0),"")</f>
        <v>0</v>
      </c>
      <c r="L538" s="117">
        <f>IFERROR(VLOOKUP(B538,BD_CONTROL!$A$5:$M$4235,12,0),"")</f>
        <v>0</v>
      </c>
      <c r="M538" s="118">
        <f>IFERROR(VLOOKUP(B538,BD_CONTROL!$A$5:$M$4235,13,0),"")</f>
        <v>0</v>
      </c>
    </row>
    <row r="539" spans="1:13" ht="15" customHeight="1">
      <c r="A539" s="42">
        <v>534</v>
      </c>
      <c r="B539" s="42" t="s">
        <v>6483</v>
      </c>
      <c r="C539" s="43" t="s">
        <v>6484</v>
      </c>
      <c r="D539" s="42" t="s">
        <v>6458</v>
      </c>
      <c r="E539" s="43" t="s">
        <v>6485</v>
      </c>
      <c r="F539" s="43" t="s">
        <v>4397</v>
      </c>
      <c r="G539" s="42" t="s">
        <v>109</v>
      </c>
      <c r="H539" s="43" t="s">
        <v>1539</v>
      </c>
      <c r="I539" s="43" t="s">
        <v>104</v>
      </c>
      <c r="J539" s="55"/>
      <c r="K539" s="119">
        <f>IFERROR(VLOOKUP(B539,BD_CONTROL!$A$5:$M$4235,11,0),"")</f>
        <v>0</v>
      </c>
      <c r="L539" s="120">
        <f>IFERROR(VLOOKUP(B539,BD_CONTROL!$A$5:$M$4235,12,0),"")</f>
        <v>0</v>
      </c>
      <c r="M539" s="121">
        <f>IFERROR(VLOOKUP(B539,BD_CONTROL!$A$5:$M$4235,13,0),"")</f>
        <v>0</v>
      </c>
    </row>
    <row r="540" spans="1:13" ht="15" customHeight="1">
      <c r="A540" s="39">
        <v>535</v>
      </c>
      <c r="B540" s="39" t="s">
        <v>6486</v>
      </c>
      <c r="C540" s="40" t="s">
        <v>6487</v>
      </c>
      <c r="D540" s="39" t="s">
        <v>6458</v>
      </c>
      <c r="E540" s="40" t="s">
        <v>6485</v>
      </c>
      <c r="F540" s="40" t="s">
        <v>6488</v>
      </c>
      <c r="G540" s="39" t="s">
        <v>109</v>
      </c>
      <c r="H540" s="40" t="s">
        <v>1539</v>
      </c>
      <c r="I540" s="40" t="s">
        <v>104</v>
      </c>
      <c r="J540" s="50"/>
      <c r="K540" s="116">
        <f>IFERROR(VLOOKUP(B540,BD_CONTROL!$A$5:$M$4235,11,0),"")</f>
        <v>0</v>
      </c>
      <c r="L540" s="117">
        <f>IFERROR(VLOOKUP(B540,BD_CONTROL!$A$5:$M$4235,12,0),"")</f>
        <v>0</v>
      </c>
      <c r="M540" s="118">
        <f>IFERROR(VLOOKUP(B540,BD_CONTROL!$A$5:$M$4235,13,0),"")</f>
        <v>0</v>
      </c>
    </row>
    <row r="541" spans="1:13" ht="15" customHeight="1">
      <c r="A541" s="42">
        <v>536</v>
      </c>
      <c r="B541" s="42" t="s">
        <v>6489</v>
      </c>
      <c r="C541" s="43" t="s">
        <v>6490</v>
      </c>
      <c r="D541" s="42" t="s">
        <v>6458</v>
      </c>
      <c r="E541" s="43" t="s">
        <v>6491</v>
      </c>
      <c r="F541" s="43" t="s">
        <v>722</v>
      </c>
      <c r="G541" s="42" t="s">
        <v>109</v>
      </c>
      <c r="H541" s="43" t="s">
        <v>1539</v>
      </c>
      <c r="I541" s="43" t="s">
        <v>104</v>
      </c>
      <c r="J541" s="55"/>
      <c r="K541" s="119">
        <f>IFERROR(VLOOKUP(B541,BD_CONTROL!$A$5:$M$4235,11,0),"")</f>
        <v>0</v>
      </c>
      <c r="L541" s="120">
        <f>IFERROR(VLOOKUP(B541,BD_CONTROL!$A$5:$M$4235,12,0),"")</f>
        <v>0</v>
      </c>
      <c r="M541" s="121">
        <f>IFERROR(VLOOKUP(B541,BD_CONTROL!$A$5:$M$4235,13,0),"")</f>
        <v>0</v>
      </c>
    </row>
    <row r="542" spans="1:13" ht="15" customHeight="1">
      <c r="A542" s="39">
        <v>537</v>
      </c>
      <c r="B542" s="39" t="s">
        <v>6492</v>
      </c>
      <c r="C542" s="40" t="s">
        <v>6493</v>
      </c>
      <c r="D542" s="39" t="s">
        <v>6458</v>
      </c>
      <c r="E542" s="40" t="s">
        <v>6491</v>
      </c>
      <c r="F542" s="40" t="s">
        <v>6494</v>
      </c>
      <c r="G542" s="39" t="s">
        <v>109</v>
      </c>
      <c r="H542" s="40" t="s">
        <v>1539</v>
      </c>
      <c r="I542" s="40" t="s">
        <v>104</v>
      </c>
      <c r="J542" s="50"/>
      <c r="K542" s="116">
        <f>IFERROR(VLOOKUP(B542,BD_CONTROL!$A$5:$M$4235,11,0),"")</f>
        <v>0</v>
      </c>
      <c r="L542" s="117">
        <f>IFERROR(VLOOKUP(B542,BD_CONTROL!$A$5:$M$4235,12,0),"")</f>
        <v>0</v>
      </c>
      <c r="M542" s="118">
        <f>IFERROR(VLOOKUP(B542,BD_CONTROL!$A$5:$M$4235,13,0),"")</f>
        <v>0</v>
      </c>
    </row>
    <row r="543" spans="1:13" ht="15" customHeight="1">
      <c r="A543" s="42">
        <v>538</v>
      </c>
      <c r="B543" s="42" t="s">
        <v>6495</v>
      </c>
      <c r="C543" s="43" t="s">
        <v>6496</v>
      </c>
      <c r="D543" s="42" t="s">
        <v>6458</v>
      </c>
      <c r="E543" s="43" t="s">
        <v>6491</v>
      </c>
      <c r="F543" s="43" t="s">
        <v>6497</v>
      </c>
      <c r="G543" s="42" t="s">
        <v>109</v>
      </c>
      <c r="H543" s="43" t="s">
        <v>1539</v>
      </c>
      <c r="I543" s="43" t="s">
        <v>104</v>
      </c>
      <c r="J543" s="55"/>
      <c r="K543" s="119">
        <f>IFERROR(VLOOKUP(B543,BD_CONTROL!$A$5:$M$4235,11,0),"")</f>
        <v>0</v>
      </c>
      <c r="L543" s="120">
        <f>IFERROR(VLOOKUP(B543,BD_CONTROL!$A$5:$M$4235,12,0),"")</f>
        <v>0</v>
      </c>
      <c r="M543" s="121">
        <f>IFERROR(VLOOKUP(B543,BD_CONTROL!$A$5:$M$4235,13,0),"")</f>
        <v>0</v>
      </c>
    </row>
    <row r="544" spans="1:13" ht="15" customHeight="1">
      <c r="A544" s="39">
        <v>539</v>
      </c>
      <c r="B544" s="39" t="s">
        <v>6498</v>
      </c>
      <c r="C544" s="40" t="s">
        <v>6473</v>
      </c>
      <c r="D544" s="39" t="s">
        <v>6458</v>
      </c>
      <c r="E544" s="40" t="s">
        <v>6491</v>
      </c>
      <c r="F544" s="40" t="s">
        <v>5512</v>
      </c>
      <c r="G544" s="39" t="s">
        <v>109</v>
      </c>
      <c r="H544" s="40" t="s">
        <v>1539</v>
      </c>
      <c r="I544" s="40" t="s">
        <v>104</v>
      </c>
      <c r="J544" s="50"/>
      <c r="K544" s="116">
        <f>IFERROR(VLOOKUP(B544,BD_CONTROL!$A$5:$M$4235,11,0),"")</f>
        <v>0</v>
      </c>
      <c r="L544" s="117">
        <f>IFERROR(VLOOKUP(B544,BD_CONTROL!$A$5:$M$4235,12,0),"")</f>
        <v>0</v>
      </c>
      <c r="M544" s="118">
        <f>IFERROR(VLOOKUP(B544,BD_CONTROL!$A$5:$M$4235,13,0),"")</f>
        <v>0</v>
      </c>
    </row>
    <row r="545" spans="1:13" ht="15" customHeight="1">
      <c r="A545" s="42">
        <v>540</v>
      </c>
      <c r="B545" s="42" t="s">
        <v>6499</v>
      </c>
      <c r="C545" s="43" t="s">
        <v>6500</v>
      </c>
      <c r="D545" s="42" t="s">
        <v>6458</v>
      </c>
      <c r="E545" s="43" t="s">
        <v>6491</v>
      </c>
      <c r="F545" s="43" t="s">
        <v>1836</v>
      </c>
      <c r="G545" s="42" t="s">
        <v>109</v>
      </c>
      <c r="H545" s="43" t="s">
        <v>1539</v>
      </c>
      <c r="I545" s="43" t="s">
        <v>104</v>
      </c>
      <c r="J545" s="55"/>
      <c r="K545" s="119">
        <f>IFERROR(VLOOKUP(B545,BD_CONTROL!$A$5:$M$4235,11,0),"")</f>
        <v>0</v>
      </c>
      <c r="L545" s="120">
        <f>IFERROR(VLOOKUP(B545,BD_CONTROL!$A$5:$M$4235,12,0),"")</f>
        <v>0</v>
      </c>
      <c r="M545" s="121">
        <f>IFERROR(VLOOKUP(B545,BD_CONTROL!$A$5:$M$4235,13,0),"")</f>
        <v>0</v>
      </c>
    </row>
    <row r="546" spans="1:13" ht="15" customHeight="1">
      <c r="A546" s="39">
        <v>541</v>
      </c>
      <c r="B546" s="39" t="s">
        <v>6501</v>
      </c>
      <c r="C546" s="40" t="s">
        <v>6502</v>
      </c>
      <c r="D546" s="39" t="s">
        <v>6458</v>
      </c>
      <c r="E546" s="40" t="s">
        <v>6503</v>
      </c>
      <c r="F546" s="40" t="s">
        <v>6504</v>
      </c>
      <c r="G546" s="39" t="s">
        <v>109</v>
      </c>
      <c r="H546" s="40" t="s">
        <v>1539</v>
      </c>
      <c r="I546" s="40" t="s">
        <v>104</v>
      </c>
      <c r="J546" s="50"/>
      <c r="K546" s="116">
        <f>IFERROR(VLOOKUP(B546,BD_CONTROL!$A$5:$M$4235,11,0),"")</f>
        <v>0</v>
      </c>
      <c r="L546" s="117">
        <f>IFERROR(VLOOKUP(B546,BD_CONTROL!$A$5:$M$4235,12,0),"")</f>
        <v>0</v>
      </c>
      <c r="M546" s="118">
        <f>IFERROR(VLOOKUP(B546,BD_CONTROL!$A$5:$M$4235,13,0),"")</f>
        <v>0</v>
      </c>
    </row>
    <row r="547" spans="1:13" ht="15" customHeight="1">
      <c r="A547" s="42">
        <v>542</v>
      </c>
      <c r="B547" s="42" t="s">
        <v>6505</v>
      </c>
      <c r="C547" s="43" t="s">
        <v>1323</v>
      </c>
      <c r="D547" s="42" t="s">
        <v>6458</v>
      </c>
      <c r="E547" s="43" t="s">
        <v>6503</v>
      </c>
      <c r="F547" s="43" t="s">
        <v>6506</v>
      </c>
      <c r="G547" s="42" t="s">
        <v>109</v>
      </c>
      <c r="H547" s="43" t="s">
        <v>1539</v>
      </c>
      <c r="I547" s="43" t="s">
        <v>104</v>
      </c>
      <c r="J547" s="55"/>
      <c r="K547" s="119">
        <f>IFERROR(VLOOKUP(B547,BD_CONTROL!$A$5:$M$4235,11,0),"")</f>
        <v>0</v>
      </c>
      <c r="L547" s="120">
        <f>IFERROR(VLOOKUP(B547,BD_CONTROL!$A$5:$M$4235,12,0),"")</f>
        <v>0</v>
      </c>
      <c r="M547" s="121">
        <f>IFERROR(VLOOKUP(B547,BD_CONTROL!$A$5:$M$4235,13,0),"")</f>
        <v>0</v>
      </c>
    </row>
    <row r="548" spans="1:13" ht="15" customHeight="1">
      <c r="A548" s="39">
        <v>543</v>
      </c>
      <c r="B548" s="39" t="s">
        <v>6507</v>
      </c>
      <c r="C548" s="40" t="s">
        <v>6502</v>
      </c>
      <c r="D548" s="39" t="s">
        <v>6458</v>
      </c>
      <c r="E548" s="40" t="s">
        <v>6503</v>
      </c>
      <c r="F548" s="40" t="s">
        <v>1215</v>
      </c>
      <c r="G548" s="39" t="s">
        <v>109</v>
      </c>
      <c r="H548" s="40" t="s">
        <v>1539</v>
      </c>
      <c r="I548" s="40" t="s">
        <v>104</v>
      </c>
      <c r="J548" s="50"/>
      <c r="K548" s="116">
        <f>IFERROR(VLOOKUP(B548,BD_CONTROL!$A$5:$M$4235,11,0),"")</f>
        <v>0</v>
      </c>
      <c r="L548" s="117">
        <f>IFERROR(VLOOKUP(B548,BD_CONTROL!$A$5:$M$4235,12,0),"")</f>
        <v>0</v>
      </c>
      <c r="M548" s="118">
        <f>IFERROR(VLOOKUP(B548,BD_CONTROL!$A$5:$M$4235,13,0),"")</f>
        <v>0</v>
      </c>
    </row>
    <row r="549" spans="1:13" ht="15" customHeight="1">
      <c r="A549" s="42">
        <v>544</v>
      </c>
      <c r="B549" s="42" t="s">
        <v>6508</v>
      </c>
      <c r="C549" s="43" t="s">
        <v>6473</v>
      </c>
      <c r="D549" s="42" t="s">
        <v>6458</v>
      </c>
      <c r="E549" s="43" t="s">
        <v>6503</v>
      </c>
      <c r="F549" s="43" t="s">
        <v>6509</v>
      </c>
      <c r="G549" s="42" t="s">
        <v>109</v>
      </c>
      <c r="H549" s="43" t="s">
        <v>1539</v>
      </c>
      <c r="I549" s="43" t="s">
        <v>104</v>
      </c>
      <c r="J549" s="55"/>
      <c r="K549" s="119">
        <f>IFERROR(VLOOKUP(B549,BD_CONTROL!$A$5:$M$4235,11,0),"")</f>
        <v>0</v>
      </c>
      <c r="L549" s="120">
        <f>IFERROR(VLOOKUP(B549,BD_CONTROL!$A$5:$M$4235,12,0),"")</f>
        <v>0</v>
      </c>
      <c r="M549" s="121">
        <f>IFERROR(VLOOKUP(B549,BD_CONTROL!$A$5:$M$4235,13,0),"")</f>
        <v>0</v>
      </c>
    </row>
    <row r="550" spans="1:13" ht="15" customHeight="1">
      <c r="A550" s="39">
        <v>545</v>
      </c>
      <c r="B550" s="39" t="s">
        <v>6510</v>
      </c>
      <c r="C550" s="40" t="s">
        <v>1348</v>
      </c>
      <c r="D550" s="39" t="s">
        <v>6458</v>
      </c>
      <c r="E550" s="40" t="s">
        <v>1120</v>
      </c>
      <c r="F550" s="40" t="s">
        <v>6511</v>
      </c>
      <c r="G550" s="39" t="s">
        <v>109</v>
      </c>
      <c r="H550" s="40" t="s">
        <v>1539</v>
      </c>
      <c r="I550" s="40" t="s">
        <v>104</v>
      </c>
      <c r="J550" s="50"/>
      <c r="K550" s="116">
        <f>IFERROR(VLOOKUP(B550,BD_CONTROL!$A$5:$M$4235,11,0),"")</f>
        <v>0</v>
      </c>
      <c r="L550" s="117">
        <f>IFERROR(VLOOKUP(B550,BD_CONTROL!$A$5:$M$4235,12,0),"")</f>
        <v>0</v>
      </c>
      <c r="M550" s="118">
        <f>IFERROR(VLOOKUP(B550,BD_CONTROL!$A$5:$M$4235,13,0),"")</f>
        <v>0</v>
      </c>
    </row>
    <row r="551" spans="1:13" ht="15" customHeight="1">
      <c r="A551" s="42">
        <v>546</v>
      </c>
      <c r="B551" s="42" t="s">
        <v>6512</v>
      </c>
      <c r="C551" s="43" t="s">
        <v>2682</v>
      </c>
      <c r="D551" s="42" t="s">
        <v>6458</v>
      </c>
      <c r="E551" s="43" t="s">
        <v>6513</v>
      </c>
      <c r="F551" s="43" t="s">
        <v>2895</v>
      </c>
      <c r="G551" s="42" t="s">
        <v>109</v>
      </c>
      <c r="H551" s="43" t="s">
        <v>1539</v>
      </c>
      <c r="I551" s="43" t="s">
        <v>104</v>
      </c>
      <c r="J551" s="55"/>
      <c r="K551" s="119">
        <f>IFERROR(VLOOKUP(B551,BD_CONTROL!$A$5:$M$4235,11,0),"")</f>
        <v>0</v>
      </c>
      <c r="L551" s="120">
        <f>IFERROR(VLOOKUP(B551,BD_CONTROL!$A$5:$M$4235,12,0),"")</f>
        <v>0</v>
      </c>
      <c r="M551" s="121">
        <f>IFERROR(VLOOKUP(B551,BD_CONTROL!$A$5:$M$4235,13,0),"")</f>
        <v>0</v>
      </c>
    </row>
    <row r="552" spans="1:13" ht="15" customHeight="1">
      <c r="A552" s="39">
        <v>547</v>
      </c>
      <c r="B552" s="39" t="s">
        <v>6514</v>
      </c>
      <c r="C552" s="40" t="s">
        <v>6515</v>
      </c>
      <c r="D552" s="39" t="s">
        <v>6458</v>
      </c>
      <c r="E552" s="40" t="s">
        <v>6516</v>
      </c>
      <c r="F552" s="40" t="s">
        <v>6517</v>
      </c>
      <c r="G552" s="39" t="s">
        <v>109</v>
      </c>
      <c r="H552" s="40" t="s">
        <v>1539</v>
      </c>
      <c r="I552" s="40" t="s">
        <v>104</v>
      </c>
      <c r="J552" s="50"/>
      <c r="K552" s="116" t="str">
        <f>IFERROR(VLOOKUP(B552,BD_CONTROL!$A$5:$M$4235,11,0),"")</f>
        <v>Instalado - Operando</v>
      </c>
      <c r="L552" s="117">
        <f>IFERROR(VLOOKUP(B552,BD_CONTROL!$A$5:$M$4235,12,0),"")</f>
        <v>46149</v>
      </c>
      <c r="M552" s="118">
        <f>IFERROR(VLOOKUP(B552,BD_CONTROL!$A$5:$M$4235,13,0),"")</f>
        <v>0</v>
      </c>
    </row>
    <row r="553" spans="1:13" ht="15" customHeight="1">
      <c r="A553" s="42">
        <v>548</v>
      </c>
      <c r="B553" s="42" t="s">
        <v>6518</v>
      </c>
      <c r="C553" s="43" t="s">
        <v>6473</v>
      </c>
      <c r="D553" s="42" t="s">
        <v>6458</v>
      </c>
      <c r="E553" s="43" t="s">
        <v>6516</v>
      </c>
      <c r="F553" s="43" t="s">
        <v>6519</v>
      </c>
      <c r="G553" s="42" t="s">
        <v>102</v>
      </c>
      <c r="H553" s="43" t="s">
        <v>1539</v>
      </c>
      <c r="I553" s="43" t="s">
        <v>104</v>
      </c>
      <c r="J553" s="55"/>
      <c r="K553" s="119" t="str">
        <f>IFERROR(VLOOKUP(B553,BD_CONTROL!$A$5:$M$4235,11,0),"")</f>
        <v>Instalado - Operando</v>
      </c>
      <c r="L553" s="120">
        <f>IFERROR(VLOOKUP(B553,BD_CONTROL!$A$5:$M$4235,12,0),"")</f>
        <v>46150</v>
      </c>
      <c r="M553" s="121">
        <f>IFERROR(VLOOKUP(B553,BD_CONTROL!$A$5:$M$4235,13,0),"")</f>
        <v>0</v>
      </c>
    </row>
    <row r="554" spans="1:13" ht="15" customHeight="1">
      <c r="A554" s="39">
        <v>549</v>
      </c>
      <c r="B554" s="39" t="s">
        <v>6520</v>
      </c>
      <c r="C554" s="40" t="s">
        <v>6521</v>
      </c>
      <c r="D554" s="39" t="s">
        <v>6458</v>
      </c>
      <c r="E554" s="40" t="s">
        <v>6516</v>
      </c>
      <c r="F554" s="40" t="s">
        <v>6522</v>
      </c>
      <c r="G554" s="39" t="s">
        <v>109</v>
      </c>
      <c r="H554" s="40" t="s">
        <v>1539</v>
      </c>
      <c r="I554" s="40" t="s">
        <v>104</v>
      </c>
      <c r="J554" s="50"/>
      <c r="K554" s="116" t="str">
        <f>IFERROR(VLOOKUP(B554,BD_CONTROL!$A$5:$M$4235,11,0),"")</f>
        <v>Instalado - Operando</v>
      </c>
      <c r="L554" s="117">
        <f>IFERROR(VLOOKUP(B554,BD_CONTROL!$A$5:$M$4235,12,0),"")</f>
        <v>46149</v>
      </c>
      <c r="M554" s="118">
        <f>IFERROR(VLOOKUP(B554,BD_CONTROL!$A$5:$M$4235,13,0),"")</f>
        <v>0</v>
      </c>
    </row>
    <row r="555" spans="1:13" ht="15" customHeight="1">
      <c r="A555" s="42">
        <v>550</v>
      </c>
      <c r="B555" s="42" t="s">
        <v>6523</v>
      </c>
      <c r="C555" s="43" t="s">
        <v>1348</v>
      </c>
      <c r="D555" s="42" t="s">
        <v>6458</v>
      </c>
      <c r="E555" s="43" t="s">
        <v>6516</v>
      </c>
      <c r="F555" s="43" t="s">
        <v>6524</v>
      </c>
      <c r="G555" s="42" t="s">
        <v>109</v>
      </c>
      <c r="H555" s="43" t="s">
        <v>1539</v>
      </c>
      <c r="I555" s="43" t="s">
        <v>104</v>
      </c>
      <c r="J555" s="55"/>
      <c r="K555" s="119" t="str">
        <f>IFERROR(VLOOKUP(B555,BD_CONTROL!$A$5:$M$4235,11,0),"")</f>
        <v>Instalado - Operando</v>
      </c>
      <c r="L555" s="120">
        <f>IFERROR(VLOOKUP(B555,BD_CONTROL!$A$5:$M$4235,12,0),"")</f>
        <v>46149</v>
      </c>
      <c r="M555" s="121">
        <f>IFERROR(VLOOKUP(B555,BD_CONTROL!$A$5:$M$4235,13,0),"")</f>
        <v>0</v>
      </c>
    </row>
    <row r="556" spans="1:13" ht="15" customHeight="1">
      <c r="A556" s="39">
        <v>551</v>
      </c>
      <c r="B556" s="39" t="s">
        <v>6525</v>
      </c>
      <c r="C556" s="40" t="s">
        <v>1123</v>
      </c>
      <c r="D556" s="39" t="s">
        <v>6458</v>
      </c>
      <c r="E556" s="40" t="s">
        <v>6516</v>
      </c>
      <c r="F556" s="40" t="s">
        <v>6526</v>
      </c>
      <c r="G556" s="39" t="s">
        <v>109</v>
      </c>
      <c r="H556" s="40" t="s">
        <v>1539</v>
      </c>
      <c r="I556" s="40" t="s">
        <v>104</v>
      </c>
      <c r="J556" s="50"/>
      <c r="K556" s="116" t="str">
        <f>IFERROR(VLOOKUP(B556,BD_CONTROL!$A$5:$M$4235,11,0),"")</f>
        <v>Instalado - Operando</v>
      </c>
      <c r="L556" s="117">
        <f>IFERROR(VLOOKUP(B556,BD_CONTROL!$A$5:$M$4235,12,0),"")</f>
        <v>46149</v>
      </c>
      <c r="M556" s="118">
        <f>IFERROR(VLOOKUP(B556,BD_CONTROL!$A$5:$M$4235,13,0),"")</f>
        <v>0</v>
      </c>
    </row>
    <row r="557" spans="1:13" ht="15" customHeight="1">
      <c r="A557" s="42">
        <v>552</v>
      </c>
      <c r="B557" s="42" t="s">
        <v>6527</v>
      </c>
      <c r="C557" s="43" t="s">
        <v>6473</v>
      </c>
      <c r="D557" s="42" t="s">
        <v>6458</v>
      </c>
      <c r="E557" s="43" t="s">
        <v>6528</v>
      </c>
      <c r="F557" s="43" t="s">
        <v>6529</v>
      </c>
      <c r="G557" s="42" t="s">
        <v>109</v>
      </c>
      <c r="H557" s="43" t="s">
        <v>1539</v>
      </c>
      <c r="I557" s="43" t="s">
        <v>104</v>
      </c>
      <c r="J557" s="55"/>
      <c r="K557" s="119">
        <f>IFERROR(VLOOKUP(B557,BD_CONTROL!$A$5:$M$4235,11,0),"")</f>
        <v>0</v>
      </c>
      <c r="L557" s="120">
        <f>IFERROR(VLOOKUP(B557,BD_CONTROL!$A$5:$M$4235,12,0),"")</f>
        <v>0</v>
      </c>
      <c r="M557" s="121">
        <f>IFERROR(VLOOKUP(B557,BD_CONTROL!$A$5:$M$4235,13,0),"")</f>
        <v>0</v>
      </c>
    </row>
    <row r="558" spans="1:13" ht="15" customHeight="1">
      <c r="A558" s="39">
        <v>553</v>
      </c>
      <c r="B558" s="39" t="s">
        <v>6530</v>
      </c>
      <c r="C558" s="40" t="s">
        <v>745</v>
      </c>
      <c r="D558" s="39" t="s">
        <v>6458</v>
      </c>
      <c r="E558" s="40" t="s">
        <v>6528</v>
      </c>
      <c r="F558" s="40" t="s">
        <v>6531</v>
      </c>
      <c r="G558" s="39" t="s">
        <v>109</v>
      </c>
      <c r="H558" s="40" t="s">
        <v>1539</v>
      </c>
      <c r="I558" s="40" t="s">
        <v>104</v>
      </c>
      <c r="J558" s="50"/>
      <c r="K558" s="116">
        <f>IFERROR(VLOOKUP(B558,BD_CONTROL!$A$5:$M$4235,11,0),"")</f>
        <v>0</v>
      </c>
      <c r="L558" s="117">
        <f>IFERROR(VLOOKUP(B558,BD_CONTROL!$A$5:$M$4235,12,0),"")</f>
        <v>0</v>
      </c>
      <c r="M558" s="118">
        <f>IFERROR(VLOOKUP(B558,BD_CONTROL!$A$5:$M$4235,13,0),"")</f>
        <v>0</v>
      </c>
    </row>
    <row r="559" spans="1:13" ht="15" customHeight="1">
      <c r="A559" s="42">
        <v>554</v>
      </c>
      <c r="B559" s="42" t="s">
        <v>6532</v>
      </c>
      <c r="C559" s="43" t="s">
        <v>6533</v>
      </c>
      <c r="D559" s="42" t="s">
        <v>6458</v>
      </c>
      <c r="E559" s="43" t="s">
        <v>6534</v>
      </c>
      <c r="F559" s="43" t="s">
        <v>6535</v>
      </c>
      <c r="G559" s="42" t="s">
        <v>109</v>
      </c>
      <c r="H559" s="43" t="s">
        <v>1539</v>
      </c>
      <c r="I559" s="43" t="s">
        <v>104</v>
      </c>
      <c r="J559" s="55"/>
      <c r="K559" s="119">
        <f>IFERROR(VLOOKUP(B559,BD_CONTROL!$A$5:$M$4235,11,0),"")</f>
        <v>0</v>
      </c>
      <c r="L559" s="120">
        <f>IFERROR(VLOOKUP(B559,BD_CONTROL!$A$5:$M$4235,12,0),"")</f>
        <v>0</v>
      </c>
      <c r="M559" s="121">
        <f>IFERROR(VLOOKUP(B559,BD_CONTROL!$A$5:$M$4235,13,0),"")</f>
        <v>0</v>
      </c>
    </row>
    <row r="560" spans="1:13" ht="15" customHeight="1">
      <c r="A560" s="39">
        <v>555</v>
      </c>
      <c r="B560" s="39" t="s">
        <v>6536</v>
      </c>
      <c r="C560" s="40" t="s">
        <v>6470</v>
      </c>
      <c r="D560" s="39" t="s">
        <v>6458</v>
      </c>
      <c r="E560" s="40" t="s">
        <v>6534</v>
      </c>
      <c r="F560" s="40" t="s">
        <v>6537</v>
      </c>
      <c r="G560" s="39" t="s">
        <v>109</v>
      </c>
      <c r="H560" s="40" t="s">
        <v>1539</v>
      </c>
      <c r="I560" s="40" t="s">
        <v>104</v>
      </c>
      <c r="J560" s="50"/>
      <c r="K560" s="116">
        <f>IFERROR(VLOOKUP(B560,BD_CONTROL!$A$5:$M$4235,11,0),"")</f>
        <v>0</v>
      </c>
      <c r="L560" s="117">
        <f>IFERROR(VLOOKUP(B560,BD_CONTROL!$A$5:$M$4235,12,0),"")</f>
        <v>0</v>
      </c>
      <c r="M560" s="118">
        <f>IFERROR(VLOOKUP(B560,BD_CONTROL!$A$5:$M$4235,13,0),"")</f>
        <v>0</v>
      </c>
    </row>
    <row r="561" spans="1:13" ht="15" customHeight="1">
      <c r="A561" s="42">
        <v>556</v>
      </c>
      <c r="B561" s="42" t="s">
        <v>6538</v>
      </c>
      <c r="C561" s="43" t="s">
        <v>6470</v>
      </c>
      <c r="D561" s="42" t="s">
        <v>6458</v>
      </c>
      <c r="E561" s="43" t="s">
        <v>6534</v>
      </c>
      <c r="F561" s="43" t="s">
        <v>6539</v>
      </c>
      <c r="G561" s="42" t="s">
        <v>109</v>
      </c>
      <c r="H561" s="43" t="s">
        <v>1539</v>
      </c>
      <c r="I561" s="43" t="s">
        <v>104</v>
      </c>
      <c r="J561" s="55"/>
      <c r="K561" s="119">
        <f>IFERROR(VLOOKUP(B561,BD_CONTROL!$A$5:$M$4235,11,0),"")</f>
        <v>0</v>
      </c>
      <c r="L561" s="120">
        <f>IFERROR(VLOOKUP(B561,BD_CONTROL!$A$5:$M$4235,12,0),"")</f>
        <v>0</v>
      </c>
      <c r="M561" s="121">
        <f>IFERROR(VLOOKUP(B561,BD_CONTROL!$A$5:$M$4235,13,0),"")</f>
        <v>0</v>
      </c>
    </row>
    <row r="562" spans="1:13" ht="15" customHeight="1">
      <c r="A562" s="39">
        <v>557</v>
      </c>
      <c r="B562" s="39" t="s">
        <v>6540</v>
      </c>
      <c r="C562" s="40" t="s">
        <v>1323</v>
      </c>
      <c r="D562" s="39" t="s">
        <v>6458</v>
      </c>
      <c r="E562" s="40" t="s">
        <v>6534</v>
      </c>
      <c r="F562" s="40" t="s">
        <v>6541</v>
      </c>
      <c r="G562" s="39" t="s">
        <v>109</v>
      </c>
      <c r="H562" s="40" t="s">
        <v>1539</v>
      </c>
      <c r="I562" s="40" t="s">
        <v>104</v>
      </c>
      <c r="J562" s="50"/>
      <c r="K562" s="116">
        <f>IFERROR(VLOOKUP(B562,BD_CONTROL!$A$5:$M$4235,11,0),"")</f>
        <v>0</v>
      </c>
      <c r="L562" s="117">
        <f>IFERROR(VLOOKUP(B562,BD_CONTROL!$A$5:$M$4235,12,0),"")</f>
        <v>0</v>
      </c>
      <c r="M562" s="118">
        <f>IFERROR(VLOOKUP(B562,BD_CONTROL!$A$5:$M$4235,13,0),"")</f>
        <v>0</v>
      </c>
    </row>
    <row r="563" spans="1:13" ht="15" customHeight="1">
      <c r="A563" s="42">
        <v>558</v>
      </c>
      <c r="B563" s="42" t="s">
        <v>6542</v>
      </c>
      <c r="C563" s="43" t="s">
        <v>3415</v>
      </c>
      <c r="D563" s="42" t="s">
        <v>6458</v>
      </c>
      <c r="E563" s="43" t="s">
        <v>6543</v>
      </c>
      <c r="F563" s="43" t="s">
        <v>6544</v>
      </c>
      <c r="G563" s="42" t="s">
        <v>109</v>
      </c>
      <c r="H563" s="43" t="s">
        <v>1539</v>
      </c>
      <c r="I563" s="43" t="s">
        <v>104</v>
      </c>
      <c r="J563" s="55"/>
      <c r="K563" s="119">
        <f>IFERROR(VLOOKUP(B563,BD_CONTROL!$A$5:$M$4235,11,0),"")</f>
        <v>0</v>
      </c>
      <c r="L563" s="120">
        <f>IFERROR(VLOOKUP(B563,BD_CONTROL!$A$5:$M$4235,12,0),"")</f>
        <v>0</v>
      </c>
      <c r="M563" s="121">
        <f>IFERROR(VLOOKUP(B563,BD_CONTROL!$A$5:$M$4235,13,0),"")</f>
        <v>0</v>
      </c>
    </row>
    <row r="564" spans="1:13" ht="15" customHeight="1">
      <c r="A564" s="39">
        <v>559</v>
      </c>
      <c r="B564" s="39" t="s">
        <v>6545</v>
      </c>
      <c r="C564" s="40" t="s">
        <v>6493</v>
      </c>
      <c r="D564" s="39" t="s">
        <v>6458</v>
      </c>
      <c r="E564" s="40" t="s">
        <v>6543</v>
      </c>
      <c r="F564" s="40" t="s">
        <v>6546</v>
      </c>
      <c r="G564" s="39" t="s">
        <v>109</v>
      </c>
      <c r="H564" s="40" t="s">
        <v>1539</v>
      </c>
      <c r="I564" s="40" t="s">
        <v>104</v>
      </c>
      <c r="J564" s="50"/>
      <c r="K564" s="116">
        <f>IFERROR(VLOOKUP(B564,BD_CONTROL!$A$5:$M$4235,11,0),"")</f>
        <v>0</v>
      </c>
      <c r="L564" s="117">
        <f>IFERROR(VLOOKUP(B564,BD_CONTROL!$A$5:$M$4235,12,0),"")</f>
        <v>0</v>
      </c>
      <c r="M564" s="118">
        <f>IFERROR(VLOOKUP(B564,BD_CONTROL!$A$5:$M$4235,13,0),"")</f>
        <v>0</v>
      </c>
    </row>
    <row r="565" spans="1:13" ht="15" customHeight="1">
      <c r="A565" s="42">
        <v>560</v>
      </c>
      <c r="B565" s="42" t="s">
        <v>6547</v>
      </c>
      <c r="C565" s="43" t="s">
        <v>745</v>
      </c>
      <c r="D565" s="42" t="s">
        <v>6458</v>
      </c>
      <c r="E565" s="43" t="s">
        <v>6543</v>
      </c>
      <c r="F565" s="43" t="s">
        <v>6548</v>
      </c>
      <c r="G565" s="42" t="s">
        <v>109</v>
      </c>
      <c r="H565" s="43" t="s">
        <v>1539</v>
      </c>
      <c r="I565" s="43" t="s">
        <v>104</v>
      </c>
      <c r="J565" s="55"/>
      <c r="K565" s="119">
        <f>IFERROR(VLOOKUP(B565,BD_CONTROL!$A$5:$M$4235,11,0),"")</f>
        <v>0</v>
      </c>
      <c r="L565" s="120">
        <f>IFERROR(VLOOKUP(B565,BD_CONTROL!$A$5:$M$4235,12,0),"")</f>
        <v>0</v>
      </c>
      <c r="M565" s="121">
        <f>IFERROR(VLOOKUP(B565,BD_CONTROL!$A$5:$M$4235,13,0),"")</f>
        <v>0</v>
      </c>
    </row>
    <row r="566" spans="1:13" ht="15" customHeight="1">
      <c r="A566" s="39">
        <v>561</v>
      </c>
      <c r="B566" s="39" t="s">
        <v>6549</v>
      </c>
      <c r="C566" s="40" t="s">
        <v>483</v>
      </c>
      <c r="D566" s="39" t="s">
        <v>6458</v>
      </c>
      <c r="E566" s="40" t="s">
        <v>6550</v>
      </c>
      <c r="F566" s="40" t="s">
        <v>2619</v>
      </c>
      <c r="G566" s="39" t="s">
        <v>109</v>
      </c>
      <c r="H566" s="40" t="s">
        <v>1539</v>
      </c>
      <c r="I566" s="40" t="s">
        <v>104</v>
      </c>
      <c r="J566" s="50"/>
      <c r="K566" s="116">
        <f>IFERROR(VLOOKUP(B566,BD_CONTROL!$A$5:$M$4235,11,0),"")</f>
        <v>0</v>
      </c>
      <c r="L566" s="117">
        <f>IFERROR(VLOOKUP(B566,BD_CONTROL!$A$5:$M$4235,12,0),"")</f>
        <v>0</v>
      </c>
      <c r="M566" s="118">
        <f>IFERROR(VLOOKUP(B566,BD_CONTROL!$A$5:$M$4235,13,0),"")</f>
        <v>0</v>
      </c>
    </row>
    <row r="567" spans="1:13" ht="15" customHeight="1">
      <c r="A567" s="42">
        <v>562</v>
      </c>
      <c r="B567" s="42" t="s">
        <v>6551</v>
      </c>
      <c r="C567" s="43" t="s">
        <v>6473</v>
      </c>
      <c r="D567" s="42" t="s">
        <v>6458</v>
      </c>
      <c r="E567" s="43" t="s">
        <v>6550</v>
      </c>
      <c r="F567" s="43" t="s">
        <v>6552</v>
      </c>
      <c r="G567" s="42" t="s">
        <v>109</v>
      </c>
      <c r="H567" s="43" t="s">
        <v>1539</v>
      </c>
      <c r="I567" s="43" t="s">
        <v>104</v>
      </c>
      <c r="J567" s="55"/>
      <c r="K567" s="119">
        <f>IFERROR(VLOOKUP(B567,BD_CONTROL!$A$5:$M$4235,11,0),"")</f>
        <v>0</v>
      </c>
      <c r="L567" s="120">
        <f>IFERROR(VLOOKUP(B567,BD_CONTROL!$A$5:$M$4235,12,0),"")</f>
        <v>0</v>
      </c>
      <c r="M567" s="121">
        <f>IFERROR(VLOOKUP(B567,BD_CONTROL!$A$5:$M$4235,13,0),"")</f>
        <v>0</v>
      </c>
    </row>
    <row r="568" spans="1:13" ht="15" customHeight="1">
      <c r="A568" s="39">
        <v>563</v>
      </c>
      <c r="B568" s="39" t="s">
        <v>6553</v>
      </c>
      <c r="C568" s="40" t="s">
        <v>6461</v>
      </c>
      <c r="D568" s="39" t="s">
        <v>6458</v>
      </c>
      <c r="E568" s="40" t="s">
        <v>6550</v>
      </c>
      <c r="F568" s="40" t="s">
        <v>6554</v>
      </c>
      <c r="G568" s="39" t="s">
        <v>109</v>
      </c>
      <c r="H568" s="40" t="s">
        <v>1539</v>
      </c>
      <c r="I568" s="40" t="s">
        <v>104</v>
      </c>
      <c r="J568" s="50"/>
      <c r="K568" s="116">
        <f>IFERROR(VLOOKUP(B568,BD_CONTROL!$A$5:$M$4235,11,0),"")</f>
        <v>0</v>
      </c>
      <c r="L568" s="117">
        <f>IFERROR(VLOOKUP(B568,BD_CONTROL!$A$5:$M$4235,12,0),"")</f>
        <v>0</v>
      </c>
      <c r="M568" s="118">
        <f>IFERROR(VLOOKUP(B568,BD_CONTROL!$A$5:$M$4235,13,0),"")</f>
        <v>0</v>
      </c>
    </row>
    <row r="569" spans="1:13" ht="15" customHeight="1">
      <c r="A569" s="42">
        <v>564</v>
      </c>
      <c r="B569" s="42" t="s">
        <v>6555</v>
      </c>
      <c r="C569" s="43" t="s">
        <v>6502</v>
      </c>
      <c r="D569" s="42" t="s">
        <v>6458</v>
      </c>
      <c r="E569" s="43" t="s">
        <v>6556</v>
      </c>
      <c r="F569" s="43" t="s">
        <v>6557</v>
      </c>
      <c r="G569" s="42" t="s">
        <v>109</v>
      </c>
      <c r="H569" s="43" t="s">
        <v>1539</v>
      </c>
      <c r="I569" s="43" t="s">
        <v>104</v>
      </c>
      <c r="J569" s="55"/>
      <c r="K569" s="119">
        <f>IFERROR(VLOOKUP(B569,BD_CONTROL!$A$5:$M$4235,11,0),"")</f>
        <v>0</v>
      </c>
      <c r="L569" s="120">
        <f>IFERROR(VLOOKUP(B569,BD_CONTROL!$A$5:$M$4235,12,0),"")</f>
        <v>0</v>
      </c>
      <c r="M569" s="121">
        <f>IFERROR(VLOOKUP(B569,BD_CONTROL!$A$5:$M$4235,13,0),"")</f>
        <v>0</v>
      </c>
    </row>
    <row r="570" spans="1:13" ht="15" customHeight="1">
      <c r="A570" s="39">
        <v>565</v>
      </c>
      <c r="B570" s="39" t="s">
        <v>6558</v>
      </c>
      <c r="C570" s="40" t="s">
        <v>6559</v>
      </c>
      <c r="D570" s="39" t="s">
        <v>6458</v>
      </c>
      <c r="E570" s="40" t="s">
        <v>6556</v>
      </c>
      <c r="F570" s="40" t="s">
        <v>1575</v>
      </c>
      <c r="G570" s="39" t="s">
        <v>109</v>
      </c>
      <c r="H570" s="40" t="s">
        <v>1539</v>
      </c>
      <c r="I570" s="40" t="s">
        <v>104</v>
      </c>
      <c r="J570" s="50"/>
      <c r="K570" s="116">
        <f>IFERROR(VLOOKUP(B570,BD_CONTROL!$A$5:$M$4235,11,0),"")</f>
        <v>0</v>
      </c>
      <c r="L570" s="117">
        <f>IFERROR(VLOOKUP(B570,BD_CONTROL!$A$5:$M$4235,12,0),"")</f>
        <v>0</v>
      </c>
      <c r="M570" s="118">
        <f>IFERROR(VLOOKUP(B570,BD_CONTROL!$A$5:$M$4235,13,0),"")</f>
        <v>0</v>
      </c>
    </row>
    <row r="571" spans="1:13" ht="15" customHeight="1">
      <c r="A571" s="42">
        <v>566</v>
      </c>
      <c r="B571" s="42" t="s">
        <v>6560</v>
      </c>
      <c r="C571" s="43" t="s">
        <v>6561</v>
      </c>
      <c r="D571" s="42" t="s">
        <v>6458</v>
      </c>
      <c r="E571" s="43" t="s">
        <v>6550</v>
      </c>
      <c r="F571" s="43" t="s">
        <v>5396</v>
      </c>
      <c r="G571" s="42" t="s">
        <v>109</v>
      </c>
      <c r="H571" s="43" t="s">
        <v>1539</v>
      </c>
      <c r="I571" s="43" t="s">
        <v>104</v>
      </c>
      <c r="J571" s="55"/>
      <c r="K571" s="119">
        <f>IFERROR(VLOOKUP(B571,BD_CONTROL!$A$5:$M$4235,11,0),"")</f>
        <v>0</v>
      </c>
      <c r="L571" s="120">
        <f>IFERROR(VLOOKUP(B571,BD_CONTROL!$A$5:$M$4235,12,0),"")</f>
        <v>0</v>
      </c>
      <c r="M571" s="121">
        <f>IFERROR(VLOOKUP(B571,BD_CONTROL!$A$5:$M$4235,13,0),"")</f>
        <v>0</v>
      </c>
    </row>
    <row r="572" spans="1:13" ht="15" customHeight="1">
      <c r="A572" s="39">
        <v>567</v>
      </c>
      <c r="B572" s="39" t="s">
        <v>6562</v>
      </c>
      <c r="C572" s="40" t="s">
        <v>725</v>
      </c>
      <c r="D572" s="39" t="s">
        <v>6458</v>
      </c>
      <c r="E572" s="40" t="s">
        <v>6563</v>
      </c>
      <c r="F572" s="40" t="s">
        <v>6564</v>
      </c>
      <c r="G572" s="39" t="s">
        <v>109</v>
      </c>
      <c r="H572" s="40" t="s">
        <v>1539</v>
      </c>
      <c r="I572" s="40" t="s">
        <v>104</v>
      </c>
      <c r="J572" s="50"/>
      <c r="K572" s="116">
        <f>IFERROR(VLOOKUP(B572,BD_CONTROL!$A$5:$M$4235,11,0),"")</f>
        <v>0</v>
      </c>
      <c r="L572" s="117">
        <f>IFERROR(VLOOKUP(B572,BD_CONTROL!$A$5:$M$4235,12,0),"")</f>
        <v>0</v>
      </c>
      <c r="M572" s="118">
        <f>IFERROR(VLOOKUP(B572,BD_CONTROL!$A$5:$M$4235,13,0),"")</f>
        <v>0</v>
      </c>
    </row>
    <row r="573" spans="1:13" ht="15" customHeight="1">
      <c r="A573" s="42">
        <v>568</v>
      </c>
      <c r="B573" s="42" t="s">
        <v>6565</v>
      </c>
      <c r="C573" s="43" t="s">
        <v>6561</v>
      </c>
      <c r="D573" s="42" t="s">
        <v>6458</v>
      </c>
      <c r="E573" s="43" t="s">
        <v>6563</v>
      </c>
      <c r="F573" s="43" t="s">
        <v>6566</v>
      </c>
      <c r="G573" s="42" t="s">
        <v>109</v>
      </c>
      <c r="H573" s="43" t="s">
        <v>1539</v>
      </c>
      <c r="I573" s="43" t="s">
        <v>104</v>
      </c>
      <c r="J573" s="55"/>
      <c r="K573" s="119">
        <f>IFERROR(VLOOKUP(B573,BD_CONTROL!$A$5:$M$4235,11,0),"")</f>
        <v>0</v>
      </c>
      <c r="L573" s="120">
        <f>IFERROR(VLOOKUP(B573,BD_CONTROL!$A$5:$M$4235,12,0),"")</f>
        <v>0</v>
      </c>
      <c r="M573" s="121">
        <f>IFERROR(VLOOKUP(B573,BD_CONTROL!$A$5:$M$4235,13,0),"")</f>
        <v>0</v>
      </c>
    </row>
    <row r="574" spans="1:13" ht="15" customHeight="1">
      <c r="A574" s="39">
        <v>569</v>
      </c>
      <c r="B574" s="39" t="s">
        <v>6567</v>
      </c>
      <c r="C574" s="40" t="s">
        <v>1323</v>
      </c>
      <c r="D574" s="39" t="s">
        <v>6458</v>
      </c>
      <c r="E574" s="40" t="s">
        <v>6568</v>
      </c>
      <c r="F574" s="40" t="s">
        <v>6569</v>
      </c>
      <c r="G574" s="39" t="s">
        <v>109</v>
      </c>
      <c r="H574" s="40" t="s">
        <v>1539</v>
      </c>
      <c r="I574" s="40" t="s">
        <v>104</v>
      </c>
      <c r="J574" s="50"/>
      <c r="K574" s="116">
        <f>IFERROR(VLOOKUP(B574,BD_CONTROL!$A$5:$M$4235,11,0),"")</f>
        <v>0</v>
      </c>
      <c r="L574" s="117">
        <f>IFERROR(VLOOKUP(B574,BD_CONTROL!$A$5:$M$4235,12,0),"")</f>
        <v>0</v>
      </c>
      <c r="M574" s="118">
        <f>IFERROR(VLOOKUP(B574,BD_CONTROL!$A$5:$M$4235,13,0),"")</f>
        <v>0</v>
      </c>
    </row>
    <row r="575" spans="1:13" ht="15" customHeight="1">
      <c r="A575" s="42">
        <v>570</v>
      </c>
      <c r="B575" s="42" t="s">
        <v>6570</v>
      </c>
      <c r="C575" s="43" t="s">
        <v>6571</v>
      </c>
      <c r="D575" s="42" t="s">
        <v>6458</v>
      </c>
      <c r="E575" s="43" t="s">
        <v>6568</v>
      </c>
      <c r="F575" s="43" t="s">
        <v>1933</v>
      </c>
      <c r="G575" s="42" t="s">
        <v>109</v>
      </c>
      <c r="H575" s="43" t="s">
        <v>1539</v>
      </c>
      <c r="I575" s="43" t="s">
        <v>104</v>
      </c>
      <c r="J575" s="55"/>
      <c r="K575" s="119">
        <f>IFERROR(VLOOKUP(B575,BD_CONTROL!$A$5:$M$4235,11,0),"")</f>
        <v>0</v>
      </c>
      <c r="L575" s="120">
        <f>IFERROR(VLOOKUP(B575,BD_CONTROL!$A$5:$M$4235,12,0),"")</f>
        <v>0</v>
      </c>
      <c r="M575" s="121">
        <f>IFERROR(VLOOKUP(B575,BD_CONTROL!$A$5:$M$4235,13,0),"")</f>
        <v>0</v>
      </c>
    </row>
    <row r="576" spans="1:13" ht="15" customHeight="1">
      <c r="A576" s="39">
        <v>571</v>
      </c>
      <c r="B576" s="39" t="s">
        <v>6572</v>
      </c>
      <c r="C576" s="40" t="s">
        <v>1295</v>
      </c>
      <c r="D576" s="39" t="s">
        <v>6458</v>
      </c>
      <c r="E576" s="40" t="s">
        <v>6458</v>
      </c>
      <c r="F576" s="40" t="s">
        <v>6573</v>
      </c>
      <c r="G576" s="39" t="s">
        <v>109</v>
      </c>
      <c r="H576" s="40" t="s">
        <v>1539</v>
      </c>
      <c r="I576" s="40" t="s">
        <v>104</v>
      </c>
      <c r="J576" s="50"/>
      <c r="K576" s="116">
        <f>IFERROR(VLOOKUP(B576,BD_CONTROL!$A$5:$M$4235,11,0),"")</f>
        <v>0</v>
      </c>
      <c r="L576" s="117">
        <f>IFERROR(VLOOKUP(B576,BD_CONTROL!$A$5:$M$4235,12,0),"")</f>
        <v>0</v>
      </c>
      <c r="M576" s="118">
        <f>IFERROR(VLOOKUP(B576,BD_CONTROL!$A$5:$M$4235,13,0),"")</f>
        <v>0</v>
      </c>
    </row>
    <row r="577" spans="1:13" ht="15" customHeight="1">
      <c r="A577" s="42">
        <v>572</v>
      </c>
      <c r="B577" s="42" t="s">
        <v>6578</v>
      </c>
      <c r="C577" s="43" t="s">
        <v>1323</v>
      </c>
      <c r="D577" s="42" t="s">
        <v>6458</v>
      </c>
      <c r="E577" s="43" t="s">
        <v>4287</v>
      </c>
      <c r="F577" s="43" t="s">
        <v>6579</v>
      </c>
      <c r="G577" s="42" t="s">
        <v>109</v>
      </c>
      <c r="H577" s="43" t="s">
        <v>1539</v>
      </c>
      <c r="I577" s="43" t="s">
        <v>104</v>
      </c>
      <c r="J577" s="55"/>
      <c r="K577" s="119">
        <f>IFERROR(VLOOKUP(B577,BD_CONTROL!$A$5:$M$4235,11,0),"")</f>
        <v>0</v>
      </c>
      <c r="L577" s="120">
        <f>IFERROR(VLOOKUP(B577,BD_CONTROL!$A$5:$M$4235,12,0),"")</f>
        <v>0</v>
      </c>
      <c r="M577" s="121">
        <f>IFERROR(VLOOKUP(B577,BD_CONTROL!$A$5:$M$4235,13,0),"")</f>
        <v>0</v>
      </c>
    </row>
    <row r="578" spans="1:13" ht="15" customHeight="1">
      <c r="A578" s="39">
        <v>573</v>
      </c>
      <c r="B578" s="39" t="s">
        <v>6580</v>
      </c>
      <c r="C578" s="40" t="s">
        <v>6581</v>
      </c>
      <c r="D578" s="39" t="s">
        <v>6458</v>
      </c>
      <c r="E578" s="40" t="s">
        <v>6582</v>
      </c>
      <c r="F578" s="40" t="s">
        <v>6583</v>
      </c>
      <c r="G578" s="39" t="s">
        <v>109</v>
      </c>
      <c r="H578" s="40" t="s">
        <v>1539</v>
      </c>
      <c r="I578" s="40" t="s">
        <v>104</v>
      </c>
      <c r="J578" s="50"/>
      <c r="K578" s="116" t="str">
        <f>IFERROR(VLOOKUP(B578,BD_CONTROL!$A$5:$M$4235,11,0),"")</f>
        <v>Instalado - Operando</v>
      </c>
      <c r="L578" s="117">
        <f>IFERROR(VLOOKUP(B578,BD_CONTROL!$A$5:$M$4235,12,0),"")</f>
        <v>46148</v>
      </c>
      <c r="M578" s="118">
        <f>IFERROR(VLOOKUP(B578,BD_CONTROL!$A$5:$M$4235,13,0),"")</f>
        <v>0</v>
      </c>
    </row>
    <row r="579" spans="1:13" ht="15" customHeight="1">
      <c r="A579" s="42">
        <v>574</v>
      </c>
      <c r="B579" s="42" t="s">
        <v>6584</v>
      </c>
      <c r="C579" s="43" t="s">
        <v>6470</v>
      </c>
      <c r="D579" s="42" t="s">
        <v>6458</v>
      </c>
      <c r="E579" s="43" t="s">
        <v>6582</v>
      </c>
      <c r="F579" s="43" t="s">
        <v>6585</v>
      </c>
      <c r="G579" s="42" t="s">
        <v>109</v>
      </c>
      <c r="H579" s="43" t="s">
        <v>1539</v>
      </c>
      <c r="I579" s="43" t="s">
        <v>104</v>
      </c>
      <c r="J579" s="55"/>
      <c r="K579" s="119" t="str">
        <f>IFERROR(VLOOKUP(B579,BD_CONTROL!$A$5:$M$4235,11,0),"")</f>
        <v>Instalado - Operando</v>
      </c>
      <c r="L579" s="120">
        <f>IFERROR(VLOOKUP(B579,BD_CONTROL!$A$5:$M$4235,12,0),"")</f>
        <v>46148</v>
      </c>
      <c r="M579" s="121">
        <f>IFERROR(VLOOKUP(B579,BD_CONTROL!$A$5:$M$4235,13,0),"")</f>
        <v>0</v>
      </c>
    </row>
    <row r="580" spans="1:13" ht="15" customHeight="1">
      <c r="A580" s="39">
        <v>575</v>
      </c>
      <c r="B580" s="39" t="s">
        <v>6586</v>
      </c>
      <c r="C580" s="40" t="s">
        <v>1002</v>
      </c>
      <c r="D580" s="39" t="s">
        <v>6458</v>
      </c>
      <c r="E580" s="40" t="s">
        <v>6458</v>
      </c>
      <c r="F580" s="40" t="s">
        <v>6587</v>
      </c>
      <c r="G580" s="39" t="s">
        <v>109</v>
      </c>
      <c r="H580" s="40" t="s">
        <v>1539</v>
      </c>
      <c r="I580" s="40" t="s">
        <v>104</v>
      </c>
      <c r="J580" s="50"/>
      <c r="K580" s="116">
        <f>IFERROR(VLOOKUP(B580,BD_CONTROL!$A$5:$M$4235,11,0),"")</f>
        <v>0</v>
      </c>
      <c r="L580" s="117">
        <f>IFERROR(VLOOKUP(B580,BD_CONTROL!$A$5:$M$4235,12,0),"")</f>
        <v>0</v>
      </c>
      <c r="M580" s="118">
        <f>IFERROR(VLOOKUP(B580,BD_CONTROL!$A$5:$M$4235,13,0),"")</f>
        <v>0</v>
      </c>
    </row>
    <row r="581" spans="1:13" ht="15" customHeight="1">
      <c r="A581" s="42">
        <v>576</v>
      </c>
      <c r="B581" s="42" t="s">
        <v>6588</v>
      </c>
      <c r="C581" s="43" t="s">
        <v>6589</v>
      </c>
      <c r="D581" s="42" t="s">
        <v>6458</v>
      </c>
      <c r="E581" s="43" t="s">
        <v>6458</v>
      </c>
      <c r="F581" s="43" t="s">
        <v>6590</v>
      </c>
      <c r="G581" s="42" t="s">
        <v>109</v>
      </c>
      <c r="H581" s="43" t="s">
        <v>1539</v>
      </c>
      <c r="I581" s="43" t="s">
        <v>104</v>
      </c>
      <c r="J581" s="55"/>
      <c r="K581" s="119" t="str">
        <f>IFERROR(VLOOKUP(B581,BD_CONTROL!$A$5:$M$4235,11,0),"")</f>
        <v>Instalado - Operando</v>
      </c>
      <c r="L581" s="120">
        <f>IFERROR(VLOOKUP(B581,BD_CONTROL!$A$5:$M$4235,12,0),"")</f>
        <v>46141</v>
      </c>
      <c r="M581" s="121">
        <f>IFERROR(VLOOKUP(B581,BD_CONTROL!$A$5:$M$4235,13,0),"")</f>
        <v>0</v>
      </c>
    </row>
    <row r="582" spans="1:13" ht="15" customHeight="1">
      <c r="A582" s="39">
        <v>577</v>
      </c>
      <c r="B582" s="39" t="s">
        <v>6591</v>
      </c>
      <c r="C582" s="40" t="s">
        <v>1295</v>
      </c>
      <c r="D582" s="39" t="s">
        <v>6458</v>
      </c>
      <c r="E582" s="40" t="s">
        <v>6458</v>
      </c>
      <c r="F582" s="40" t="s">
        <v>6592</v>
      </c>
      <c r="G582" s="39" t="s">
        <v>109</v>
      </c>
      <c r="H582" s="40" t="s">
        <v>1539</v>
      </c>
      <c r="I582" s="40" t="s">
        <v>104</v>
      </c>
      <c r="J582" s="50"/>
      <c r="K582" s="116">
        <f>IFERROR(VLOOKUP(B582,BD_CONTROL!$A$5:$M$4235,11,0),"")</f>
        <v>0</v>
      </c>
      <c r="L582" s="117">
        <f>IFERROR(VLOOKUP(B582,BD_CONTROL!$A$5:$M$4235,12,0),"")</f>
        <v>0</v>
      </c>
      <c r="M582" s="118">
        <f>IFERROR(VLOOKUP(B582,BD_CONTROL!$A$5:$M$4235,13,0),"")</f>
        <v>0</v>
      </c>
    </row>
    <row r="583" spans="1:13" ht="15" customHeight="1">
      <c r="A583" s="42">
        <v>578</v>
      </c>
      <c r="B583" s="42" t="s">
        <v>6593</v>
      </c>
      <c r="C583" s="43" t="s">
        <v>6581</v>
      </c>
      <c r="D583" s="42" t="s">
        <v>6458</v>
      </c>
      <c r="E583" s="43" t="s">
        <v>6458</v>
      </c>
      <c r="F583" s="43" t="s">
        <v>6594</v>
      </c>
      <c r="G583" s="42" t="s">
        <v>109</v>
      </c>
      <c r="H583" s="43" t="s">
        <v>1539</v>
      </c>
      <c r="I583" s="43" t="s">
        <v>104</v>
      </c>
      <c r="J583" s="55"/>
      <c r="K583" s="119" t="str">
        <f>IFERROR(VLOOKUP(B583,BD_CONTROL!$A$5:$M$4235,11,0),"")</f>
        <v>Instalado - Operando</v>
      </c>
      <c r="L583" s="120">
        <f>IFERROR(VLOOKUP(B583,BD_CONTROL!$A$5:$M$4235,12,0),"")</f>
        <v>46150</v>
      </c>
      <c r="M583" s="121">
        <f>IFERROR(VLOOKUP(B583,BD_CONTROL!$A$5:$M$4235,13,0),"")</f>
        <v>0</v>
      </c>
    </row>
    <row r="584" spans="1:13" ht="15" customHeight="1">
      <c r="A584" s="39">
        <v>579</v>
      </c>
      <c r="B584" s="39" t="s">
        <v>6595</v>
      </c>
      <c r="C584" s="40" t="s">
        <v>6155</v>
      </c>
      <c r="D584" s="39" t="s">
        <v>6458</v>
      </c>
      <c r="E584" s="40" t="s">
        <v>6458</v>
      </c>
      <c r="F584" s="40" t="s">
        <v>6596</v>
      </c>
      <c r="G584" s="39" t="s">
        <v>102</v>
      </c>
      <c r="H584" s="40" t="s">
        <v>1539</v>
      </c>
      <c r="I584" s="40" t="s">
        <v>104</v>
      </c>
      <c r="J584" s="50"/>
      <c r="K584" s="116">
        <f>IFERROR(VLOOKUP(B584,BD_CONTROL!$A$5:$M$4235,11,0),"")</f>
        <v>0</v>
      </c>
      <c r="L584" s="117">
        <f>IFERROR(VLOOKUP(B584,BD_CONTROL!$A$5:$M$4235,12,0),"")</f>
        <v>0</v>
      </c>
      <c r="M584" s="118">
        <f>IFERROR(VLOOKUP(B584,BD_CONTROL!$A$5:$M$4235,13,0),"")</f>
        <v>0</v>
      </c>
    </row>
    <row r="585" spans="1:13" ht="15" customHeight="1">
      <c r="A585" s="42">
        <v>580</v>
      </c>
      <c r="B585" s="42" t="s">
        <v>6597</v>
      </c>
      <c r="C585" s="43" t="s">
        <v>348</v>
      </c>
      <c r="D585" s="42" t="s">
        <v>6458</v>
      </c>
      <c r="E585" s="43" t="s">
        <v>6458</v>
      </c>
      <c r="F585" s="43" t="s">
        <v>6598</v>
      </c>
      <c r="G585" s="42" t="s">
        <v>109</v>
      </c>
      <c r="H585" s="43" t="s">
        <v>1539</v>
      </c>
      <c r="I585" s="43" t="s">
        <v>104</v>
      </c>
      <c r="J585" s="55"/>
      <c r="K585" s="119">
        <f>IFERROR(VLOOKUP(B585,BD_CONTROL!$A$5:$M$4235,11,0),"")</f>
        <v>0</v>
      </c>
      <c r="L585" s="120">
        <f>IFERROR(VLOOKUP(B585,BD_CONTROL!$A$5:$M$4235,12,0),"")</f>
        <v>0</v>
      </c>
      <c r="M585" s="121">
        <f>IFERROR(VLOOKUP(B585,BD_CONTROL!$A$5:$M$4235,13,0),"")</f>
        <v>0</v>
      </c>
    </row>
    <row r="586" spans="1:13" ht="15" customHeight="1">
      <c r="A586" s="39">
        <v>581</v>
      </c>
      <c r="B586" s="39" t="s">
        <v>6599</v>
      </c>
      <c r="C586" s="40" t="s">
        <v>6473</v>
      </c>
      <c r="D586" s="39" t="s">
        <v>6458</v>
      </c>
      <c r="E586" s="40" t="s">
        <v>6458</v>
      </c>
      <c r="F586" s="40" t="s">
        <v>6600</v>
      </c>
      <c r="G586" s="39" t="s">
        <v>109</v>
      </c>
      <c r="H586" s="40" t="s">
        <v>1539</v>
      </c>
      <c r="I586" s="40" t="s">
        <v>104</v>
      </c>
      <c r="J586" s="50"/>
      <c r="K586" s="116">
        <f>IFERROR(VLOOKUP(B586,BD_CONTROL!$A$5:$M$4235,11,0),"")</f>
        <v>0</v>
      </c>
      <c r="L586" s="117">
        <f>IFERROR(VLOOKUP(B586,BD_CONTROL!$A$5:$M$4235,12,0),"")</f>
        <v>0</v>
      </c>
      <c r="M586" s="118">
        <f>IFERROR(VLOOKUP(B586,BD_CONTROL!$A$5:$M$4235,13,0),"")</f>
        <v>0</v>
      </c>
    </row>
    <row r="587" spans="1:13" ht="15" customHeight="1">
      <c r="A587" s="42">
        <v>582</v>
      </c>
      <c r="B587" s="42" t="s">
        <v>6601</v>
      </c>
      <c r="C587" s="43" t="s">
        <v>6602</v>
      </c>
      <c r="D587" s="42" t="s">
        <v>6458</v>
      </c>
      <c r="E587" s="43" t="s">
        <v>6458</v>
      </c>
      <c r="F587" s="43" t="s">
        <v>6603</v>
      </c>
      <c r="G587" s="42" t="s">
        <v>109</v>
      </c>
      <c r="H587" s="43" t="s">
        <v>1539</v>
      </c>
      <c r="I587" s="43" t="s">
        <v>104</v>
      </c>
      <c r="J587" s="55"/>
      <c r="K587" s="119" t="str">
        <f>IFERROR(VLOOKUP(B587,BD_CONTROL!$A$5:$M$4235,11,0),"")</f>
        <v>Instalado - Operando</v>
      </c>
      <c r="L587" s="120">
        <f>IFERROR(VLOOKUP(B587,BD_CONTROL!$A$5:$M$4235,12,0),"")</f>
        <v>46148</v>
      </c>
      <c r="M587" s="121">
        <f>IFERROR(VLOOKUP(B587,BD_CONTROL!$A$5:$M$4235,13,0),"")</f>
        <v>0</v>
      </c>
    </row>
    <row r="588" spans="1:13" ht="15" customHeight="1">
      <c r="A588" s="39">
        <v>583</v>
      </c>
      <c r="B588" s="39" t="s">
        <v>6604</v>
      </c>
      <c r="C588" s="40" t="s">
        <v>437</v>
      </c>
      <c r="D588" s="39" t="s">
        <v>6458</v>
      </c>
      <c r="E588" s="40" t="s">
        <v>6605</v>
      </c>
      <c r="F588" s="40" t="s">
        <v>6606</v>
      </c>
      <c r="G588" s="39" t="s">
        <v>109</v>
      </c>
      <c r="H588" s="40" t="s">
        <v>1539</v>
      </c>
      <c r="I588" s="40" t="s">
        <v>104</v>
      </c>
      <c r="J588" s="50"/>
      <c r="K588" s="116">
        <f>IFERROR(VLOOKUP(B588,BD_CONTROL!$A$5:$M$4235,11,0),"")</f>
        <v>0</v>
      </c>
      <c r="L588" s="117">
        <f>IFERROR(VLOOKUP(B588,BD_CONTROL!$A$5:$M$4235,12,0),"")</f>
        <v>0</v>
      </c>
      <c r="M588" s="118">
        <f>IFERROR(VLOOKUP(B588,BD_CONTROL!$A$5:$M$4235,13,0),"")</f>
        <v>0</v>
      </c>
    </row>
    <row r="589" spans="1:13" ht="15" customHeight="1">
      <c r="A589" s="42">
        <v>584</v>
      </c>
      <c r="B589" s="42" t="s">
        <v>6607</v>
      </c>
      <c r="C589" s="43" t="s">
        <v>6521</v>
      </c>
      <c r="D589" s="42" t="s">
        <v>6458</v>
      </c>
      <c r="E589" s="43" t="s">
        <v>6605</v>
      </c>
      <c r="F589" s="43" t="s">
        <v>6608</v>
      </c>
      <c r="G589" s="42" t="s">
        <v>109</v>
      </c>
      <c r="H589" s="43" t="s">
        <v>1539</v>
      </c>
      <c r="I589" s="43" t="s">
        <v>104</v>
      </c>
      <c r="J589" s="55"/>
      <c r="K589" s="119">
        <f>IFERROR(VLOOKUP(B589,BD_CONTROL!$A$5:$M$4235,11,0),"")</f>
        <v>0</v>
      </c>
      <c r="L589" s="120">
        <f>IFERROR(VLOOKUP(B589,BD_CONTROL!$A$5:$M$4235,12,0),"")</f>
        <v>0</v>
      </c>
      <c r="M589" s="121">
        <f>IFERROR(VLOOKUP(B589,BD_CONTROL!$A$5:$M$4235,13,0),"")</f>
        <v>0</v>
      </c>
    </row>
    <row r="590" spans="1:13" ht="15" customHeight="1">
      <c r="A590" s="39">
        <v>585</v>
      </c>
      <c r="B590" s="39" t="s">
        <v>6609</v>
      </c>
      <c r="C590" s="40" t="s">
        <v>1123</v>
      </c>
      <c r="D590" s="39" t="s">
        <v>6458</v>
      </c>
      <c r="E590" s="40" t="s">
        <v>438</v>
      </c>
      <c r="F590" s="40" t="s">
        <v>6610</v>
      </c>
      <c r="G590" s="39" t="s">
        <v>109</v>
      </c>
      <c r="H590" s="40" t="s">
        <v>1539</v>
      </c>
      <c r="I590" s="40" t="s">
        <v>104</v>
      </c>
      <c r="J590" s="50"/>
      <c r="K590" s="116">
        <f>IFERROR(VLOOKUP(B590,BD_CONTROL!$A$5:$M$4235,11,0),"")</f>
        <v>0</v>
      </c>
      <c r="L590" s="117">
        <f>IFERROR(VLOOKUP(B590,BD_CONTROL!$A$5:$M$4235,12,0),"")</f>
        <v>0</v>
      </c>
      <c r="M590" s="118">
        <f>IFERROR(VLOOKUP(B590,BD_CONTROL!$A$5:$M$4235,13,0),"")</f>
        <v>0</v>
      </c>
    </row>
    <row r="591" spans="1:13" ht="15" customHeight="1">
      <c r="A591" s="42">
        <v>586</v>
      </c>
      <c r="B591" s="42" t="s">
        <v>6611</v>
      </c>
      <c r="C591" s="43" t="s">
        <v>5051</v>
      </c>
      <c r="D591" s="42" t="s">
        <v>6458</v>
      </c>
      <c r="E591" s="43" t="s">
        <v>6485</v>
      </c>
      <c r="F591" s="43" t="s">
        <v>6612</v>
      </c>
      <c r="G591" s="42" t="s">
        <v>109</v>
      </c>
      <c r="H591" s="43" t="s">
        <v>1539</v>
      </c>
      <c r="I591" s="43" t="s">
        <v>104</v>
      </c>
      <c r="J591" s="55"/>
      <c r="K591" s="119">
        <f>IFERROR(VLOOKUP(B591,BD_CONTROL!$A$5:$M$4235,11,0),"")</f>
        <v>0</v>
      </c>
      <c r="L591" s="120">
        <f>IFERROR(VLOOKUP(B591,BD_CONTROL!$A$5:$M$4235,12,0),"")</f>
        <v>0</v>
      </c>
      <c r="M591" s="121">
        <f>IFERROR(VLOOKUP(B591,BD_CONTROL!$A$5:$M$4235,13,0),"")</f>
        <v>0</v>
      </c>
    </row>
    <row r="592" spans="1:13" ht="15" customHeight="1">
      <c r="A592" s="39">
        <v>587</v>
      </c>
      <c r="B592" s="39" t="s">
        <v>6613</v>
      </c>
      <c r="C592" s="40" t="s">
        <v>4751</v>
      </c>
      <c r="D592" s="39" t="s">
        <v>6458</v>
      </c>
      <c r="E592" s="40" t="s">
        <v>6614</v>
      </c>
      <c r="F592" s="40" t="s">
        <v>6615</v>
      </c>
      <c r="G592" s="39" t="s">
        <v>109</v>
      </c>
      <c r="H592" s="40" t="s">
        <v>1539</v>
      </c>
      <c r="I592" s="40" t="s">
        <v>104</v>
      </c>
      <c r="J592" s="50"/>
      <c r="K592" s="116">
        <f>IFERROR(VLOOKUP(B592,BD_CONTROL!$A$5:$M$4235,11,0),"")</f>
        <v>0</v>
      </c>
      <c r="L592" s="117">
        <f>IFERROR(VLOOKUP(B592,BD_CONTROL!$A$5:$M$4235,12,0),"")</f>
        <v>0</v>
      </c>
      <c r="M592" s="118">
        <f>IFERROR(VLOOKUP(B592,BD_CONTROL!$A$5:$M$4235,13,0),"")</f>
        <v>0</v>
      </c>
    </row>
    <row r="593" spans="1:13" ht="15" customHeight="1">
      <c r="A593" s="42">
        <v>588</v>
      </c>
      <c r="B593" s="42" t="s">
        <v>6616</v>
      </c>
      <c r="C593" s="43" t="s">
        <v>1086</v>
      </c>
      <c r="D593" s="42" t="s">
        <v>6458</v>
      </c>
      <c r="E593" s="43" t="s">
        <v>6516</v>
      </c>
      <c r="F593" s="43" t="s">
        <v>6617</v>
      </c>
      <c r="G593" s="42" t="s">
        <v>109</v>
      </c>
      <c r="H593" s="43" t="s">
        <v>1539</v>
      </c>
      <c r="I593" s="43" t="s">
        <v>104</v>
      </c>
      <c r="J593" s="55"/>
      <c r="K593" s="119" t="str">
        <f>IFERROR(VLOOKUP(B593,BD_CONTROL!$A$5:$M$4235,11,0),"")</f>
        <v>Instalado - Operando</v>
      </c>
      <c r="L593" s="120">
        <f>IFERROR(VLOOKUP(B593,BD_CONTROL!$A$5:$M$4235,12,0),"")</f>
        <v>46149</v>
      </c>
      <c r="M593" s="121">
        <f>IFERROR(VLOOKUP(B593,BD_CONTROL!$A$5:$M$4235,13,0),"")</f>
        <v>0</v>
      </c>
    </row>
    <row r="594" spans="1:13" ht="15" customHeight="1">
      <c r="A594" s="39">
        <v>589</v>
      </c>
      <c r="B594" s="39" t="s">
        <v>6618</v>
      </c>
      <c r="C594" s="40" t="s">
        <v>6470</v>
      </c>
      <c r="D594" s="39" t="s">
        <v>6458</v>
      </c>
      <c r="E594" s="40" t="s">
        <v>6605</v>
      </c>
      <c r="F594" s="40" t="s">
        <v>6619</v>
      </c>
      <c r="G594" s="39" t="s">
        <v>109</v>
      </c>
      <c r="H594" s="40" t="s">
        <v>1539</v>
      </c>
      <c r="I594" s="40" t="s">
        <v>104</v>
      </c>
      <c r="J594" s="50"/>
      <c r="K594" s="116">
        <f>IFERROR(VLOOKUP(B594,BD_CONTROL!$A$5:$M$4235,11,0),"")</f>
        <v>0</v>
      </c>
      <c r="L594" s="117">
        <f>IFERROR(VLOOKUP(B594,BD_CONTROL!$A$5:$M$4235,12,0),"")</f>
        <v>0</v>
      </c>
      <c r="M594" s="118">
        <f>IFERROR(VLOOKUP(B594,BD_CONTROL!$A$5:$M$4235,13,0),"")</f>
        <v>0</v>
      </c>
    </row>
    <row r="595" spans="1:13" ht="15" customHeight="1">
      <c r="A595" s="42">
        <v>590</v>
      </c>
      <c r="B595" s="42" t="s">
        <v>6620</v>
      </c>
      <c r="C595" s="43" t="s">
        <v>254</v>
      </c>
      <c r="D595" s="42" t="s">
        <v>6458</v>
      </c>
      <c r="E595" s="43" t="s">
        <v>1120</v>
      </c>
      <c r="F595" s="43" t="s">
        <v>1790</v>
      </c>
      <c r="G595" s="42" t="s">
        <v>109</v>
      </c>
      <c r="H595" s="43" t="s">
        <v>1539</v>
      </c>
      <c r="I595" s="43" t="s">
        <v>104</v>
      </c>
      <c r="J595" s="55"/>
      <c r="K595" s="119">
        <f>IFERROR(VLOOKUP(B595,BD_CONTROL!$A$5:$M$4235,11,0),"")</f>
        <v>0</v>
      </c>
      <c r="L595" s="120">
        <f>IFERROR(VLOOKUP(B595,BD_CONTROL!$A$5:$M$4235,12,0),"")</f>
        <v>0</v>
      </c>
      <c r="M595" s="121">
        <f>IFERROR(VLOOKUP(B595,BD_CONTROL!$A$5:$M$4235,13,0),"")</f>
        <v>0</v>
      </c>
    </row>
    <row r="596" spans="1:13" ht="15" customHeight="1">
      <c r="A596" s="39">
        <v>591</v>
      </c>
      <c r="B596" s="39" t="s">
        <v>6621</v>
      </c>
      <c r="C596" s="40" t="s">
        <v>1123</v>
      </c>
      <c r="D596" s="39" t="s">
        <v>6458</v>
      </c>
      <c r="E596" s="40" t="s">
        <v>6622</v>
      </c>
      <c r="F596" s="40" t="s">
        <v>6623</v>
      </c>
      <c r="G596" s="39" t="s">
        <v>109</v>
      </c>
      <c r="H596" s="40" t="s">
        <v>1539</v>
      </c>
      <c r="I596" s="40" t="s">
        <v>104</v>
      </c>
      <c r="J596" s="50"/>
      <c r="K596" s="116">
        <f>IFERROR(VLOOKUP(B596,BD_CONTROL!$A$5:$M$4235,11,0),"")</f>
        <v>0</v>
      </c>
      <c r="L596" s="117">
        <f>IFERROR(VLOOKUP(B596,BD_CONTROL!$A$5:$M$4235,12,0),"")</f>
        <v>0</v>
      </c>
      <c r="M596" s="118">
        <f>IFERROR(VLOOKUP(B596,BD_CONTROL!$A$5:$M$4235,13,0),"")</f>
        <v>0</v>
      </c>
    </row>
    <row r="597" spans="1:13" ht="15" customHeight="1">
      <c r="A597" s="42">
        <v>592</v>
      </c>
      <c r="B597" s="42" t="s">
        <v>6624</v>
      </c>
      <c r="C597" s="43" t="s">
        <v>6625</v>
      </c>
      <c r="D597" s="42" t="s">
        <v>6458</v>
      </c>
      <c r="E597" s="43" t="s">
        <v>6477</v>
      </c>
      <c r="F597" s="43" t="s">
        <v>6626</v>
      </c>
      <c r="G597" s="42" t="s">
        <v>109</v>
      </c>
      <c r="H597" s="43" t="s">
        <v>1539</v>
      </c>
      <c r="I597" s="43" t="s">
        <v>104</v>
      </c>
      <c r="J597" s="55"/>
      <c r="K597" s="119">
        <f>IFERROR(VLOOKUP(B597,BD_CONTROL!$A$5:$M$4235,11,0),"")</f>
        <v>0</v>
      </c>
      <c r="L597" s="120">
        <f>IFERROR(VLOOKUP(B597,BD_CONTROL!$A$5:$M$4235,12,0),"")</f>
        <v>0</v>
      </c>
      <c r="M597" s="121">
        <f>IFERROR(VLOOKUP(B597,BD_CONTROL!$A$5:$M$4235,13,0),"")</f>
        <v>0</v>
      </c>
    </row>
    <row r="598" spans="1:13" ht="15" customHeight="1">
      <c r="A598" s="39">
        <v>593</v>
      </c>
      <c r="B598" s="39" t="s">
        <v>6627</v>
      </c>
      <c r="C598" s="40" t="s">
        <v>6461</v>
      </c>
      <c r="D598" s="39" t="s">
        <v>6458</v>
      </c>
      <c r="E598" s="40" t="s">
        <v>6458</v>
      </c>
      <c r="F598" s="40" t="s">
        <v>6628</v>
      </c>
      <c r="G598" s="39" t="s">
        <v>109</v>
      </c>
      <c r="H598" s="40" t="s">
        <v>1539</v>
      </c>
      <c r="I598" s="40" t="s">
        <v>104</v>
      </c>
      <c r="J598" s="50"/>
      <c r="K598" s="116">
        <f>IFERROR(VLOOKUP(B598,BD_CONTROL!$A$5:$M$4235,11,0),"")</f>
        <v>0</v>
      </c>
      <c r="L598" s="117">
        <f>IFERROR(VLOOKUP(B598,BD_CONTROL!$A$5:$M$4235,12,0),"")</f>
        <v>0</v>
      </c>
      <c r="M598" s="118">
        <f>IFERROR(VLOOKUP(B598,BD_CONTROL!$A$5:$M$4235,13,0),"")</f>
        <v>0</v>
      </c>
    </row>
    <row r="599" spans="1:13" ht="15" customHeight="1">
      <c r="A599" s="42">
        <v>594</v>
      </c>
      <c r="B599" s="42" t="s">
        <v>6629</v>
      </c>
      <c r="C599" s="43" t="s">
        <v>6630</v>
      </c>
      <c r="D599" s="42" t="s">
        <v>6458</v>
      </c>
      <c r="E599" s="43" t="s">
        <v>6474</v>
      </c>
      <c r="F599" s="43" t="s">
        <v>6631</v>
      </c>
      <c r="G599" s="42" t="s">
        <v>109</v>
      </c>
      <c r="H599" s="43" t="s">
        <v>1539</v>
      </c>
      <c r="I599" s="43" t="s">
        <v>104</v>
      </c>
      <c r="J599" s="55"/>
      <c r="K599" s="119">
        <f>IFERROR(VLOOKUP(B599,BD_CONTROL!$A$5:$M$4235,11,0),"")</f>
        <v>0</v>
      </c>
      <c r="L599" s="120">
        <f>IFERROR(VLOOKUP(B599,BD_CONTROL!$A$5:$M$4235,12,0),"")</f>
        <v>0</v>
      </c>
      <c r="M599" s="121">
        <f>IFERROR(VLOOKUP(B599,BD_CONTROL!$A$5:$M$4235,13,0),"")</f>
        <v>0</v>
      </c>
    </row>
    <row r="600" spans="1:13" ht="15" customHeight="1">
      <c r="A600" s="39">
        <v>595</v>
      </c>
      <c r="B600" s="39" t="s">
        <v>6632</v>
      </c>
      <c r="C600" s="40" t="s">
        <v>6502</v>
      </c>
      <c r="D600" s="39" t="s">
        <v>6458</v>
      </c>
      <c r="E600" s="40" t="s">
        <v>6534</v>
      </c>
      <c r="F600" s="40" t="s">
        <v>6633</v>
      </c>
      <c r="G600" s="39" t="s">
        <v>109</v>
      </c>
      <c r="H600" s="40" t="s">
        <v>1539</v>
      </c>
      <c r="I600" s="40" t="s">
        <v>104</v>
      </c>
      <c r="J600" s="50"/>
      <c r="K600" s="116">
        <f>IFERROR(VLOOKUP(B600,BD_CONTROL!$A$5:$M$4235,11,0),"")</f>
        <v>0</v>
      </c>
      <c r="L600" s="117">
        <f>IFERROR(VLOOKUP(B600,BD_CONTROL!$A$5:$M$4235,12,0),"")</f>
        <v>0</v>
      </c>
      <c r="M600" s="118">
        <f>IFERROR(VLOOKUP(B600,BD_CONTROL!$A$5:$M$4235,13,0),"")</f>
        <v>0</v>
      </c>
    </row>
    <row r="601" spans="1:13" ht="15" customHeight="1">
      <c r="A601" s="42">
        <v>596</v>
      </c>
      <c r="B601" s="42" t="s">
        <v>6634</v>
      </c>
      <c r="C601" s="43" t="s">
        <v>6473</v>
      </c>
      <c r="D601" s="42" t="s">
        <v>6458</v>
      </c>
      <c r="E601" s="43" t="s">
        <v>6635</v>
      </c>
      <c r="F601" s="43" t="s">
        <v>1215</v>
      </c>
      <c r="G601" s="42" t="s">
        <v>109</v>
      </c>
      <c r="H601" s="43" t="s">
        <v>1539</v>
      </c>
      <c r="I601" s="43" t="s">
        <v>104</v>
      </c>
      <c r="J601" s="55"/>
      <c r="K601" s="119">
        <f>IFERROR(VLOOKUP(B601,BD_CONTROL!$A$5:$M$4235,11,0),"")</f>
        <v>0</v>
      </c>
      <c r="L601" s="120">
        <f>IFERROR(VLOOKUP(B601,BD_CONTROL!$A$5:$M$4235,12,0),"")</f>
        <v>0</v>
      </c>
      <c r="M601" s="121">
        <f>IFERROR(VLOOKUP(B601,BD_CONTROL!$A$5:$M$4235,13,0),"")</f>
        <v>0</v>
      </c>
    </row>
    <row r="602" spans="1:13" ht="15" customHeight="1">
      <c r="A602" s="39">
        <v>597</v>
      </c>
      <c r="B602" s="39" t="s">
        <v>6636</v>
      </c>
      <c r="C602" s="40" t="s">
        <v>6637</v>
      </c>
      <c r="D602" s="39" t="s">
        <v>6458</v>
      </c>
      <c r="E602" s="40" t="s">
        <v>6563</v>
      </c>
      <c r="F602" s="40" t="s">
        <v>2813</v>
      </c>
      <c r="G602" s="39" t="s">
        <v>109</v>
      </c>
      <c r="H602" s="40" t="s">
        <v>1539</v>
      </c>
      <c r="I602" s="40" t="s">
        <v>104</v>
      </c>
      <c r="J602" s="50"/>
      <c r="K602" s="116">
        <f>IFERROR(VLOOKUP(B602,BD_CONTROL!$A$5:$M$4235,11,0),"")</f>
        <v>0</v>
      </c>
      <c r="L602" s="117">
        <f>IFERROR(VLOOKUP(B602,BD_CONTROL!$A$5:$M$4235,12,0),"")</f>
        <v>0</v>
      </c>
      <c r="M602" s="118">
        <f>IFERROR(VLOOKUP(B602,BD_CONTROL!$A$5:$M$4235,13,0),"")</f>
        <v>0</v>
      </c>
    </row>
    <row r="603" spans="1:13" ht="15" customHeight="1">
      <c r="A603" s="42">
        <v>598</v>
      </c>
      <c r="B603" s="42" t="s">
        <v>6638</v>
      </c>
      <c r="C603" s="43" t="s">
        <v>6639</v>
      </c>
      <c r="D603" s="42" t="s">
        <v>6458</v>
      </c>
      <c r="E603" s="43" t="s">
        <v>6458</v>
      </c>
      <c r="F603" s="43" t="s">
        <v>6640</v>
      </c>
      <c r="G603" s="42" t="s">
        <v>109</v>
      </c>
      <c r="H603" s="43" t="s">
        <v>1539</v>
      </c>
      <c r="I603" s="43" t="s">
        <v>104</v>
      </c>
      <c r="J603" s="55"/>
      <c r="K603" s="119" t="str">
        <f>IFERROR(VLOOKUP(B603,BD_CONTROL!$A$5:$M$4235,11,0),"")</f>
        <v>Instalado - Operando</v>
      </c>
      <c r="L603" s="120">
        <f>IFERROR(VLOOKUP(B603,BD_CONTROL!$A$5:$M$4235,12,0),"")</f>
        <v>46150</v>
      </c>
      <c r="M603" s="121">
        <f>IFERROR(VLOOKUP(B603,BD_CONTROL!$A$5:$M$4235,13,0),"")</f>
        <v>0</v>
      </c>
    </row>
    <row r="604" spans="1:13" ht="15" customHeight="1">
      <c r="A604" s="39">
        <v>599</v>
      </c>
      <c r="B604" s="39" t="s">
        <v>6641</v>
      </c>
      <c r="C604" s="40" t="s">
        <v>1215</v>
      </c>
      <c r="D604" s="39" t="s">
        <v>6458</v>
      </c>
      <c r="E604" s="40" t="s">
        <v>6543</v>
      </c>
      <c r="F604" s="40" t="s">
        <v>127</v>
      </c>
      <c r="G604" s="39" t="s">
        <v>109</v>
      </c>
      <c r="H604" s="40" t="s">
        <v>1539</v>
      </c>
      <c r="I604" s="40" t="s">
        <v>104</v>
      </c>
      <c r="J604" s="50"/>
      <c r="K604" s="116">
        <f>IFERROR(VLOOKUP(B604,BD_CONTROL!$A$5:$M$4235,11,0),"")</f>
        <v>0</v>
      </c>
      <c r="L604" s="117">
        <f>IFERROR(VLOOKUP(B604,BD_CONTROL!$A$5:$M$4235,12,0),"")</f>
        <v>0</v>
      </c>
      <c r="M604" s="118">
        <f>IFERROR(VLOOKUP(B604,BD_CONTROL!$A$5:$M$4235,13,0),"")</f>
        <v>0</v>
      </c>
    </row>
    <row r="605" spans="1:13" ht="15" customHeight="1">
      <c r="A605" s="42">
        <v>600</v>
      </c>
      <c r="B605" s="42" t="s">
        <v>6642</v>
      </c>
      <c r="C605" s="43" t="s">
        <v>1348</v>
      </c>
      <c r="D605" s="42" t="s">
        <v>6458</v>
      </c>
      <c r="E605" s="43" t="s">
        <v>6458</v>
      </c>
      <c r="F605" s="43" t="s">
        <v>6643</v>
      </c>
      <c r="G605" s="42" t="s">
        <v>109</v>
      </c>
      <c r="H605" s="43" t="s">
        <v>1539</v>
      </c>
      <c r="I605" s="43" t="s">
        <v>104</v>
      </c>
      <c r="J605" s="55"/>
      <c r="K605" s="119">
        <f>IFERROR(VLOOKUP(B605,BD_CONTROL!$A$5:$M$4235,11,0),"")</f>
        <v>0</v>
      </c>
      <c r="L605" s="120">
        <f>IFERROR(VLOOKUP(B605,BD_CONTROL!$A$5:$M$4235,12,0),"")</f>
        <v>0</v>
      </c>
      <c r="M605" s="121">
        <f>IFERROR(VLOOKUP(B605,BD_CONTROL!$A$5:$M$4235,13,0),"")</f>
        <v>0</v>
      </c>
    </row>
    <row r="606" spans="1:13" ht="15" customHeight="1">
      <c r="A606" s="39">
        <v>601</v>
      </c>
      <c r="B606" s="39" t="s">
        <v>6644</v>
      </c>
      <c r="C606" s="40" t="s">
        <v>725</v>
      </c>
      <c r="D606" s="39" t="s">
        <v>6458</v>
      </c>
      <c r="E606" s="40" t="s">
        <v>6458</v>
      </c>
      <c r="F606" s="40" t="s">
        <v>6645</v>
      </c>
      <c r="G606" s="39" t="s">
        <v>109</v>
      </c>
      <c r="H606" s="40" t="s">
        <v>1539</v>
      </c>
      <c r="I606" s="40" t="s">
        <v>104</v>
      </c>
      <c r="J606" s="50"/>
      <c r="K606" s="116" t="str">
        <f>IFERROR(VLOOKUP(B606,BD_CONTROL!$A$5:$M$4235,11,0),"")</f>
        <v>Instalado - Operando</v>
      </c>
      <c r="L606" s="117">
        <f>IFERROR(VLOOKUP(B606,BD_CONTROL!$A$5:$M$4235,12,0),"")</f>
        <v>46140</v>
      </c>
      <c r="M606" s="118">
        <f>IFERROR(VLOOKUP(B606,BD_CONTROL!$A$5:$M$4235,13,0),"")</f>
        <v>0</v>
      </c>
    </row>
    <row r="607" spans="1:13" ht="15" customHeight="1">
      <c r="A607" s="42">
        <v>602</v>
      </c>
      <c r="B607" s="42" t="s">
        <v>6646</v>
      </c>
      <c r="C607" s="43" t="s">
        <v>2554</v>
      </c>
      <c r="D607" s="42" t="s">
        <v>6458</v>
      </c>
      <c r="E607" s="43" t="s">
        <v>6516</v>
      </c>
      <c r="F607" s="43" t="s">
        <v>6647</v>
      </c>
      <c r="G607" s="42" t="s">
        <v>109</v>
      </c>
      <c r="H607" s="43" t="s">
        <v>1539</v>
      </c>
      <c r="I607" s="43" t="s">
        <v>104</v>
      </c>
      <c r="J607" s="55"/>
      <c r="K607" s="119" t="str">
        <f>IFERROR(VLOOKUP(B607,BD_CONTROL!$A$5:$M$4235,11,0),"")</f>
        <v>Instalado - Operando</v>
      </c>
      <c r="L607" s="120">
        <f>IFERROR(VLOOKUP(B607,BD_CONTROL!$A$5:$M$4235,12,0),"")</f>
        <v>46149</v>
      </c>
      <c r="M607" s="121">
        <f>IFERROR(VLOOKUP(B607,BD_CONTROL!$A$5:$M$4235,13,0),"")</f>
        <v>0</v>
      </c>
    </row>
    <row r="608" spans="1:13" ht="15" customHeight="1">
      <c r="A608" s="39">
        <v>603</v>
      </c>
      <c r="B608" s="39" t="s">
        <v>6648</v>
      </c>
      <c r="C608" s="40" t="s">
        <v>6649</v>
      </c>
      <c r="D608" s="39" t="s">
        <v>6458</v>
      </c>
      <c r="E608" s="40" t="s">
        <v>4041</v>
      </c>
      <c r="F608" s="40" t="s">
        <v>6650</v>
      </c>
      <c r="G608" s="39" t="s">
        <v>109</v>
      </c>
      <c r="H608" s="40" t="s">
        <v>1539</v>
      </c>
      <c r="I608" s="40" t="s">
        <v>104</v>
      </c>
      <c r="J608" s="50"/>
      <c r="K608" s="116">
        <f>IFERROR(VLOOKUP(B608,BD_CONTROL!$A$5:$M$4235,11,0),"")</f>
        <v>0</v>
      </c>
      <c r="L608" s="117">
        <f>IFERROR(VLOOKUP(B608,BD_CONTROL!$A$5:$M$4235,12,0),"")</f>
        <v>0</v>
      </c>
      <c r="M608" s="118">
        <f>IFERROR(VLOOKUP(B608,BD_CONTROL!$A$5:$M$4235,13,0),"")</f>
        <v>0</v>
      </c>
    </row>
    <row r="609" spans="1:13" ht="15" customHeight="1">
      <c r="A609" s="42">
        <v>604</v>
      </c>
      <c r="B609" s="42" t="s">
        <v>6651</v>
      </c>
      <c r="C609" s="43" t="s">
        <v>5967</v>
      </c>
      <c r="D609" s="42" t="s">
        <v>6458</v>
      </c>
      <c r="E609" s="43" t="s">
        <v>6513</v>
      </c>
      <c r="F609" s="43" t="s">
        <v>6652</v>
      </c>
      <c r="G609" s="42" t="s">
        <v>109</v>
      </c>
      <c r="H609" s="43" t="s">
        <v>1539</v>
      </c>
      <c r="I609" s="43" t="s">
        <v>104</v>
      </c>
      <c r="J609" s="55"/>
      <c r="K609" s="119">
        <f>IFERROR(VLOOKUP(B609,BD_CONTROL!$A$5:$M$4235,11,0),"")</f>
        <v>0</v>
      </c>
      <c r="L609" s="120">
        <f>IFERROR(VLOOKUP(B609,BD_CONTROL!$A$5:$M$4235,12,0),"")</f>
        <v>0</v>
      </c>
      <c r="M609" s="121">
        <f>IFERROR(VLOOKUP(B609,BD_CONTROL!$A$5:$M$4235,13,0),"")</f>
        <v>0</v>
      </c>
    </row>
    <row r="610" spans="1:13" ht="15" customHeight="1">
      <c r="A610" s="39">
        <v>605</v>
      </c>
      <c r="B610" s="39" t="s">
        <v>6653</v>
      </c>
      <c r="C610" s="40" t="s">
        <v>1445</v>
      </c>
      <c r="D610" s="39" t="s">
        <v>6458</v>
      </c>
      <c r="E610" s="40" t="s">
        <v>6477</v>
      </c>
      <c r="F610" s="40" t="s">
        <v>5006</v>
      </c>
      <c r="G610" s="39" t="s">
        <v>109</v>
      </c>
      <c r="H610" s="40" t="s">
        <v>1539</v>
      </c>
      <c r="I610" s="40" t="s">
        <v>104</v>
      </c>
      <c r="J610" s="50"/>
      <c r="K610" s="116">
        <f>IFERROR(VLOOKUP(B610,BD_CONTROL!$A$5:$M$4235,11,0),"")</f>
        <v>0</v>
      </c>
      <c r="L610" s="117">
        <f>IFERROR(VLOOKUP(B610,BD_CONTROL!$A$5:$M$4235,12,0),"")</f>
        <v>0</v>
      </c>
      <c r="M610" s="118">
        <f>IFERROR(VLOOKUP(B610,BD_CONTROL!$A$5:$M$4235,13,0),"")</f>
        <v>0</v>
      </c>
    </row>
    <row r="611" spans="1:13" ht="15" customHeight="1">
      <c r="A611" s="42">
        <v>606</v>
      </c>
      <c r="B611" s="42" t="s">
        <v>6654</v>
      </c>
      <c r="C611" s="43" t="s">
        <v>6655</v>
      </c>
      <c r="D611" s="42" t="s">
        <v>6458</v>
      </c>
      <c r="E611" s="43" t="s">
        <v>6635</v>
      </c>
      <c r="F611" s="43" t="s">
        <v>6656</v>
      </c>
      <c r="G611" s="42" t="s">
        <v>109</v>
      </c>
      <c r="H611" s="43" t="s">
        <v>1539</v>
      </c>
      <c r="I611" s="43" t="s">
        <v>104</v>
      </c>
      <c r="J611" s="55"/>
      <c r="K611" s="119">
        <f>IFERROR(VLOOKUP(B611,BD_CONTROL!$A$5:$M$4235,11,0),"")</f>
        <v>0</v>
      </c>
      <c r="L611" s="120">
        <f>IFERROR(VLOOKUP(B611,BD_CONTROL!$A$5:$M$4235,12,0),"")</f>
        <v>0</v>
      </c>
      <c r="M611" s="121">
        <f>IFERROR(VLOOKUP(B611,BD_CONTROL!$A$5:$M$4235,13,0),"")</f>
        <v>0</v>
      </c>
    </row>
    <row r="612" spans="1:13" ht="15" customHeight="1">
      <c r="A612" s="39">
        <v>607</v>
      </c>
      <c r="B612" s="39" t="s">
        <v>6657</v>
      </c>
      <c r="C612" s="40" t="s">
        <v>1215</v>
      </c>
      <c r="D612" s="39" t="s">
        <v>6458</v>
      </c>
      <c r="E612" s="40" t="s">
        <v>6550</v>
      </c>
      <c r="F612" s="40" t="s">
        <v>6658</v>
      </c>
      <c r="G612" s="39" t="s">
        <v>109</v>
      </c>
      <c r="H612" s="40" t="s">
        <v>1539</v>
      </c>
      <c r="I612" s="40" t="s">
        <v>104</v>
      </c>
      <c r="J612" s="50"/>
      <c r="K612" s="116">
        <f>IFERROR(VLOOKUP(B612,BD_CONTROL!$A$5:$M$4235,11,0),"")</f>
        <v>0</v>
      </c>
      <c r="L612" s="117">
        <f>IFERROR(VLOOKUP(B612,BD_CONTROL!$A$5:$M$4235,12,0),"")</f>
        <v>0</v>
      </c>
      <c r="M612" s="118">
        <f>IFERROR(VLOOKUP(B612,BD_CONTROL!$A$5:$M$4235,13,0),"")</f>
        <v>0</v>
      </c>
    </row>
    <row r="613" spans="1:13" ht="15" customHeight="1">
      <c r="A613" s="42">
        <v>608</v>
      </c>
      <c r="B613" s="42" t="s">
        <v>6659</v>
      </c>
      <c r="C613" s="43" t="s">
        <v>6660</v>
      </c>
      <c r="D613" s="42" t="s">
        <v>6458</v>
      </c>
      <c r="E613" s="43" t="s">
        <v>6550</v>
      </c>
      <c r="F613" s="43" t="s">
        <v>6661</v>
      </c>
      <c r="G613" s="42" t="s">
        <v>109</v>
      </c>
      <c r="H613" s="43" t="s">
        <v>1539</v>
      </c>
      <c r="I613" s="43" t="s">
        <v>104</v>
      </c>
      <c r="J613" s="55"/>
      <c r="K613" s="119">
        <f>IFERROR(VLOOKUP(B613,BD_CONTROL!$A$5:$M$4235,11,0),"")</f>
        <v>0</v>
      </c>
      <c r="L613" s="120">
        <f>IFERROR(VLOOKUP(B613,BD_CONTROL!$A$5:$M$4235,12,0),"")</f>
        <v>0</v>
      </c>
      <c r="M613" s="121">
        <f>IFERROR(VLOOKUP(B613,BD_CONTROL!$A$5:$M$4235,13,0),"")</f>
        <v>0</v>
      </c>
    </row>
    <row r="614" spans="1:13" ht="15" customHeight="1">
      <c r="A614" s="39">
        <v>609</v>
      </c>
      <c r="B614" s="39" t="s">
        <v>6664</v>
      </c>
      <c r="C614" s="40" t="s">
        <v>6467</v>
      </c>
      <c r="D614" s="39" t="s">
        <v>6458</v>
      </c>
      <c r="E614" s="40" t="s">
        <v>6458</v>
      </c>
      <c r="F614" s="40" t="s">
        <v>6458</v>
      </c>
      <c r="G614" s="39" t="s">
        <v>102</v>
      </c>
      <c r="H614" s="40" t="s">
        <v>1539</v>
      </c>
      <c r="I614" s="40" t="s">
        <v>104</v>
      </c>
      <c r="J614" s="50"/>
      <c r="K614" s="116" t="str">
        <f>IFERROR(VLOOKUP(B614,BD_CONTROL!$A$5:$M$4235,11,0),"")</f>
        <v>Instalado - Operando</v>
      </c>
      <c r="L614" s="117">
        <f>IFERROR(VLOOKUP(B614,BD_CONTROL!$A$5:$M$4235,12,0),"")</f>
        <v>46148</v>
      </c>
      <c r="M614" s="118">
        <f>IFERROR(VLOOKUP(B614,BD_CONTROL!$A$5:$M$4235,13,0),"")</f>
        <v>0</v>
      </c>
    </row>
    <row r="615" spans="1:13" ht="15" customHeight="1">
      <c r="A615" s="42">
        <v>610</v>
      </c>
      <c r="B615" s="42" t="s">
        <v>6665</v>
      </c>
      <c r="C615" s="43" t="s">
        <v>6666</v>
      </c>
      <c r="D615" s="42" t="s">
        <v>6458</v>
      </c>
      <c r="E615" s="43" t="s">
        <v>438</v>
      </c>
      <c r="F615" s="43" t="s">
        <v>3167</v>
      </c>
      <c r="G615" s="42" t="s">
        <v>109</v>
      </c>
      <c r="H615" s="43" t="s">
        <v>1539</v>
      </c>
      <c r="I615" s="43" t="s">
        <v>104</v>
      </c>
      <c r="J615" s="55"/>
      <c r="K615" s="119">
        <f>IFERROR(VLOOKUP(B615,BD_CONTROL!$A$5:$M$4235,11,0),"")</f>
        <v>0</v>
      </c>
      <c r="L615" s="120">
        <f>IFERROR(VLOOKUP(B615,BD_CONTROL!$A$5:$M$4235,12,0),"")</f>
        <v>0</v>
      </c>
      <c r="M615" s="121">
        <f>IFERROR(VLOOKUP(B615,BD_CONTROL!$A$5:$M$4235,13,0),"")</f>
        <v>0</v>
      </c>
    </row>
    <row r="616" spans="1:13" ht="15" customHeight="1">
      <c r="A616" s="39">
        <v>611</v>
      </c>
      <c r="B616" s="39" t="s">
        <v>6667</v>
      </c>
      <c r="C616" s="40" t="s">
        <v>6668</v>
      </c>
      <c r="D616" s="39" t="s">
        <v>6458</v>
      </c>
      <c r="E616" s="40" t="s">
        <v>4041</v>
      </c>
      <c r="F616" s="40" t="s">
        <v>6669</v>
      </c>
      <c r="G616" s="39" t="s">
        <v>109</v>
      </c>
      <c r="H616" s="40" t="s">
        <v>1539</v>
      </c>
      <c r="I616" s="40" t="s">
        <v>104</v>
      </c>
      <c r="J616" s="50"/>
      <c r="K616" s="116">
        <f>IFERROR(VLOOKUP(B616,BD_CONTROL!$A$5:$M$4235,11,0),"")</f>
        <v>0</v>
      </c>
      <c r="L616" s="117">
        <f>IFERROR(VLOOKUP(B616,BD_CONTROL!$A$5:$M$4235,12,0),"")</f>
        <v>0</v>
      </c>
      <c r="M616" s="118">
        <f>IFERROR(VLOOKUP(B616,BD_CONTROL!$A$5:$M$4235,13,0),"")</f>
        <v>0</v>
      </c>
    </row>
    <row r="617" spans="1:13" ht="15" customHeight="1">
      <c r="A617" s="42">
        <v>612</v>
      </c>
      <c r="B617" s="42" t="s">
        <v>6670</v>
      </c>
      <c r="C617" s="43" t="s">
        <v>1086</v>
      </c>
      <c r="D617" s="42" t="s">
        <v>6458</v>
      </c>
      <c r="E617" s="43" t="s">
        <v>6582</v>
      </c>
      <c r="F617" s="43" t="s">
        <v>5396</v>
      </c>
      <c r="G617" s="42" t="s">
        <v>109</v>
      </c>
      <c r="H617" s="43" t="s">
        <v>1539</v>
      </c>
      <c r="I617" s="43" t="s">
        <v>104</v>
      </c>
      <c r="J617" s="55"/>
      <c r="K617" s="119" t="str">
        <f>IFERROR(VLOOKUP(B617,BD_CONTROL!$A$5:$M$4235,11,0),"")</f>
        <v>Instalado - Operando</v>
      </c>
      <c r="L617" s="120">
        <f>IFERROR(VLOOKUP(B617,BD_CONTROL!$A$5:$M$4235,12,0),"")</f>
        <v>46148</v>
      </c>
      <c r="M617" s="121">
        <f>IFERROR(VLOOKUP(B617,BD_CONTROL!$A$5:$M$4235,13,0),"")</f>
        <v>0</v>
      </c>
    </row>
    <row r="618" spans="1:13" ht="15" customHeight="1">
      <c r="A618" s="39">
        <v>613</v>
      </c>
      <c r="B618" s="39" t="s">
        <v>6671</v>
      </c>
      <c r="C618" s="40" t="s">
        <v>6672</v>
      </c>
      <c r="D618" s="39" t="s">
        <v>6458</v>
      </c>
      <c r="E618" s="40" t="s">
        <v>6635</v>
      </c>
      <c r="F618" s="40" t="s">
        <v>332</v>
      </c>
      <c r="G618" s="39" t="s">
        <v>109</v>
      </c>
      <c r="H618" s="40" t="s">
        <v>1539</v>
      </c>
      <c r="I618" s="40" t="s">
        <v>104</v>
      </c>
      <c r="J618" s="50"/>
      <c r="K618" s="116">
        <f>IFERROR(VLOOKUP(B618,BD_CONTROL!$A$5:$M$4235,11,0),"")</f>
        <v>0</v>
      </c>
      <c r="L618" s="117">
        <f>IFERROR(VLOOKUP(B618,BD_CONTROL!$A$5:$M$4235,12,0),"")</f>
        <v>0</v>
      </c>
      <c r="M618" s="118">
        <f>IFERROR(VLOOKUP(B618,BD_CONTROL!$A$5:$M$4235,13,0),"")</f>
        <v>0</v>
      </c>
    </row>
    <row r="619" spans="1:13" ht="15" customHeight="1">
      <c r="A619" s="42">
        <v>614</v>
      </c>
      <c r="B619" s="42" t="s">
        <v>6673</v>
      </c>
      <c r="C619" s="43" t="s">
        <v>6674</v>
      </c>
      <c r="D619" s="42" t="s">
        <v>6458</v>
      </c>
      <c r="E619" s="43" t="s">
        <v>6582</v>
      </c>
      <c r="F619" s="43" t="s">
        <v>6582</v>
      </c>
      <c r="G619" s="42" t="s">
        <v>102</v>
      </c>
      <c r="H619" s="43" t="s">
        <v>1539</v>
      </c>
      <c r="I619" s="43" t="s">
        <v>104</v>
      </c>
      <c r="J619" s="55"/>
      <c r="K619" s="119" t="str">
        <f>IFERROR(VLOOKUP(B619,BD_CONTROL!$A$5:$M$4235,11,0),"")</f>
        <v>Instalado - Operando</v>
      </c>
      <c r="L619" s="120">
        <f>IFERROR(VLOOKUP(B619,BD_CONTROL!$A$5:$M$4235,12,0),"")</f>
        <v>46148</v>
      </c>
      <c r="M619" s="121">
        <f>IFERROR(VLOOKUP(B619,BD_CONTROL!$A$5:$M$4235,13,0),"")</f>
        <v>0</v>
      </c>
    </row>
    <row r="620" spans="1:13" ht="15" customHeight="1">
      <c r="A620" s="39">
        <v>615</v>
      </c>
      <c r="B620" s="39" t="s">
        <v>6675</v>
      </c>
      <c r="C620" s="40" t="s">
        <v>2621</v>
      </c>
      <c r="D620" s="39" t="s">
        <v>6458</v>
      </c>
      <c r="E620" s="40" t="s">
        <v>4041</v>
      </c>
      <c r="F620" s="40" t="s">
        <v>6676</v>
      </c>
      <c r="G620" s="39" t="s">
        <v>109</v>
      </c>
      <c r="H620" s="40" t="s">
        <v>1539</v>
      </c>
      <c r="I620" s="40" t="s">
        <v>104</v>
      </c>
      <c r="J620" s="50"/>
      <c r="K620" s="116">
        <f>IFERROR(VLOOKUP(B620,BD_CONTROL!$A$5:$M$4235,11,0),"")</f>
        <v>0</v>
      </c>
      <c r="L620" s="117">
        <f>IFERROR(VLOOKUP(B620,BD_CONTROL!$A$5:$M$4235,12,0),"")</f>
        <v>0</v>
      </c>
      <c r="M620" s="118">
        <f>IFERROR(VLOOKUP(B620,BD_CONTROL!$A$5:$M$4235,13,0),"")</f>
        <v>0</v>
      </c>
    </row>
    <row r="621" spans="1:13" ht="15" customHeight="1">
      <c r="A621" s="42">
        <v>616</v>
      </c>
      <c r="B621" s="42" t="s">
        <v>6677</v>
      </c>
      <c r="C621" s="43" t="s">
        <v>6678</v>
      </c>
      <c r="D621" s="42" t="s">
        <v>6458</v>
      </c>
      <c r="E621" s="43" t="s">
        <v>6582</v>
      </c>
      <c r="F621" s="43" t="s">
        <v>6582</v>
      </c>
      <c r="G621" s="42" t="s">
        <v>102</v>
      </c>
      <c r="H621" s="43" t="s">
        <v>1539</v>
      </c>
      <c r="I621" s="43" t="s">
        <v>104</v>
      </c>
      <c r="J621" s="55"/>
      <c r="K621" s="119" t="str">
        <f>IFERROR(VLOOKUP(B621,BD_CONTROL!$A$5:$M$4235,11,0),"")</f>
        <v>Instalado - Operando</v>
      </c>
      <c r="L621" s="120">
        <f>IFERROR(VLOOKUP(B621,BD_CONTROL!$A$5:$M$4235,12,0),"")</f>
        <v>46148</v>
      </c>
      <c r="M621" s="121">
        <f>IFERROR(VLOOKUP(B621,BD_CONTROL!$A$5:$M$4235,13,0),"")</f>
        <v>0</v>
      </c>
    </row>
    <row r="622" spans="1:13" ht="15" customHeight="1">
      <c r="A622" s="39">
        <v>617</v>
      </c>
      <c r="B622" s="39" t="s">
        <v>6679</v>
      </c>
      <c r="C622" s="40" t="s">
        <v>3597</v>
      </c>
      <c r="D622" s="39" t="s">
        <v>6458</v>
      </c>
      <c r="E622" s="40" t="s">
        <v>6516</v>
      </c>
      <c r="F622" s="40" t="s">
        <v>6680</v>
      </c>
      <c r="G622" s="39" t="s">
        <v>109</v>
      </c>
      <c r="H622" s="40" t="s">
        <v>1539</v>
      </c>
      <c r="I622" s="40" t="s">
        <v>104</v>
      </c>
      <c r="J622" s="50"/>
      <c r="K622" s="116" t="str">
        <f>IFERROR(VLOOKUP(B622,BD_CONTROL!$A$5:$M$4235,11,0),"")</f>
        <v>Instalado - Operando</v>
      </c>
      <c r="L622" s="117">
        <f>IFERROR(VLOOKUP(B622,BD_CONTROL!$A$5:$M$4235,12,0),"")</f>
        <v>46149</v>
      </c>
      <c r="M622" s="118">
        <f>IFERROR(VLOOKUP(B622,BD_CONTROL!$A$5:$M$4235,13,0),"")</f>
        <v>0</v>
      </c>
    </row>
    <row r="623" spans="1:13" ht="15" customHeight="1">
      <c r="A623" s="42">
        <v>618</v>
      </c>
      <c r="B623" s="42" t="s">
        <v>6681</v>
      </c>
      <c r="C623" s="43" t="s">
        <v>6682</v>
      </c>
      <c r="D623" s="42" t="s">
        <v>6458</v>
      </c>
      <c r="E623" s="43" t="s">
        <v>6458</v>
      </c>
      <c r="F623" s="43" t="s">
        <v>6458</v>
      </c>
      <c r="G623" s="42" t="s">
        <v>102</v>
      </c>
      <c r="H623" s="43" t="s">
        <v>1539</v>
      </c>
      <c r="I623" s="43" t="s">
        <v>104</v>
      </c>
      <c r="J623" s="55"/>
      <c r="K623" s="119" t="str">
        <f>IFERROR(VLOOKUP(B623,BD_CONTROL!$A$5:$M$4235,11,0),"")</f>
        <v>Instalado - Operando</v>
      </c>
      <c r="L623" s="120">
        <f>IFERROR(VLOOKUP(B623,BD_CONTROL!$A$5:$M$4235,12,0),"")</f>
        <v>46150</v>
      </c>
      <c r="M623" s="121">
        <f>IFERROR(VLOOKUP(B623,BD_CONTROL!$A$5:$M$4235,13,0),"")</f>
        <v>0</v>
      </c>
    </row>
    <row r="624" spans="1:13" ht="15" customHeight="1">
      <c r="A624" s="39">
        <v>619</v>
      </c>
      <c r="B624" s="39" t="s">
        <v>6683</v>
      </c>
      <c r="C624" s="40" t="s">
        <v>6457</v>
      </c>
      <c r="D624" s="39" t="s">
        <v>6458</v>
      </c>
      <c r="E624" s="40" t="s">
        <v>6458</v>
      </c>
      <c r="F624" s="40" t="s">
        <v>6458</v>
      </c>
      <c r="G624" s="39" t="s">
        <v>109</v>
      </c>
      <c r="H624" s="40" t="s">
        <v>1539</v>
      </c>
      <c r="I624" s="40" t="s">
        <v>104</v>
      </c>
      <c r="J624" s="50"/>
      <c r="K624" s="116">
        <f>IFERROR(VLOOKUP(B624,BD_CONTROL!$A$5:$M$4235,11,0),"")</f>
        <v>0</v>
      </c>
      <c r="L624" s="117">
        <f>IFERROR(VLOOKUP(B624,BD_CONTROL!$A$5:$M$4235,12,0),"")</f>
        <v>0</v>
      </c>
      <c r="M624" s="118">
        <f>IFERROR(VLOOKUP(B624,BD_CONTROL!$A$5:$M$4235,13,0),"")</f>
        <v>0</v>
      </c>
    </row>
    <row r="625" spans="1:13" ht="15" customHeight="1">
      <c r="A625" s="42">
        <v>620</v>
      </c>
      <c r="B625" s="42" t="s">
        <v>6684</v>
      </c>
      <c r="C625" s="43" t="s">
        <v>3540</v>
      </c>
      <c r="D625" s="42" t="s">
        <v>6458</v>
      </c>
      <c r="E625" s="43" t="s">
        <v>6458</v>
      </c>
      <c r="F625" s="43" t="s">
        <v>6685</v>
      </c>
      <c r="G625" s="42" t="s">
        <v>109</v>
      </c>
      <c r="H625" s="43" t="s">
        <v>1539</v>
      </c>
      <c r="I625" s="43" t="s">
        <v>104</v>
      </c>
      <c r="J625" s="55"/>
      <c r="K625" s="119">
        <f>IFERROR(VLOOKUP(B625,BD_CONTROL!$A$5:$M$4235,11,0),"")</f>
        <v>0</v>
      </c>
      <c r="L625" s="120">
        <f>IFERROR(VLOOKUP(B625,BD_CONTROL!$A$5:$M$4235,12,0),"")</f>
        <v>0</v>
      </c>
      <c r="M625" s="121">
        <f>IFERROR(VLOOKUP(B625,BD_CONTROL!$A$5:$M$4235,13,0),"")</f>
        <v>0</v>
      </c>
    </row>
    <row r="626" spans="1:13" ht="15" customHeight="1">
      <c r="A626" s="39">
        <v>621</v>
      </c>
      <c r="B626" s="39" t="s">
        <v>6686</v>
      </c>
      <c r="C626" s="40" t="s">
        <v>6687</v>
      </c>
      <c r="D626" s="39" t="s">
        <v>6458</v>
      </c>
      <c r="E626" s="40" t="s">
        <v>6516</v>
      </c>
      <c r="F626" s="40" t="s">
        <v>6688</v>
      </c>
      <c r="G626" s="39" t="s">
        <v>109</v>
      </c>
      <c r="H626" s="40" t="s">
        <v>1539</v>
      </c>
      <c r="I626" s="40" t="s">
        <v>104</v>
      </c>
      <c r="J626" s="50"/>
      <c r="K626" s="116" t="str">
        <f>IFERROR(VLOOKUP(B626,BD_CONTROL!$A$5:$M$4235,11,0),"")</f>
        <v>Instalado - Operando</v>
      </c>
      <c r="L626" s="117">
        <f>IFERROR(VLOOKUP(B626,BD_CONTROL!$A$5:$M$4235,12,0),"")</f>
        <v>46150</v>
      </c>
      <c r="M626" s="118">
        <f>IFERROR(VLOOKUP(B626,BD_CONTROL!$A$5:$M$4235,13,0),"")</f>
        <v>0</v>
      </c>
    </row>
    <row r="627" spans="1:13" ht="15" customHeight="1">
      <c r="A627" s="42">
        <v>622</v>
      </c>
      <c r="B627" s="42" t="s">
        <v>6689</v>
      </c>
      <c r="C627" s="43" t="s">
        <v>6690</v>
      </c>
      <c r="D627" s="42" t="s">
        <v>6458</v>
      </c>
      <c r="E627" s="43" t="s">
        <v>6458</v>
      </c>
      <c r="F627" s="43" t="s">
        <v>6691</v>
      </c>
      <c r="G627" s="42" t="s">
        <v>109</v>
      </c>
      <c r="H627" s="43" t="s">
        <v>1539</v>
      </c>
      <c r="I627" s="43" t="s">
        <v>104</v>
      </c>
      <c r="J627" s="55"/>
      <c r="K627" s="119">
        <f>IFERROR(VLOOKUP(B627,BD_CONTROL!$A$5:$M$4235,11,0),"")</f>
        <v>0</v>
      </c>
      <c r="L627" s="120">
        <f>IFERROR(VLOOKUP(B627,BD_CONTROL!$A$5:$M$4235,12,0),"")</f>
        <v>0</v>
      </c>
      <c r="M627" s="121">
        <f>IFERROR(VLOOKUP(B627,BD_CONTROL!$A$5:$M$4235,13,0),"")</f>
        <v>0</v>
      </c>
    </row>
    <row r="628" spans="1:13" ht="15" customHeight="1">
      <c r="A628" s="39">
        <v>623</v>
      </c>
      <c r="B628" s="39" t="s">
        <v>6692</v>
      </c>
      <c r="C628" s="40" t="s">
        <v>6693</v>
      </c>
      <c r="D628" s="39" t="s">
        <v>6458</v>
      </c>
      <c r="E628" s="40" t="s">
        <v>6462</v>
      </c>
      <c r="F628" s="40" t="s">
        <v>6694</v>
      </c>
      <c r="G628" s="39" t="s">
        <v>109</v>
      </c>
      <c r="H628" s="40" t="s">
        <v>1539</v>
      </c>
      <c r="I628" s="40" t="s">
        <v>104</v>
      </c>
      <c r="J628" s="50"/>
      <c r="K628" s="116">
        <f>IFERROR(VLOOKUP(B628,BD_CONTROL!$A$5:$M$4235,11,0),"")</f>
        <v>0</v>
      </c>
      <c r="L628" s="117">
        <f>IFERROR(VLOOKUP(B628,BD_CONTROL!$A$5:$M$4235,12,0),"")</f>
        <v>0</v>
      </c>
      <c r="M628" s="118">
        <f>IFERROR(VLOOKUP(B628,BD_CONTROL!$A$5:$M$4235,13,0),"")</f>
        <v>0</v>
      </c>
    </row>
    <row r="629" spans="1:13" ht="15" customHeight="1">
      <c r="A629" s="42">
        <v>624</v>
      </c>
      <c r="B629" s="42" t="s">
        <v>6695</v>
      </c>
      <c r="C629" s="43" t="s">
        <v>6457</v>
      </c>
      <c r="D629" s="42" t="s">
        <v>6458</v>
      </c>
      <c r="E629" s="43" t="s">
        <v>6582</v>
      </c>
      <c r="F629" s="43" t="s">
        <v>6696</v>
      </c>
      <c r="G629" s="42" t="s">
        <v>102</v>
      </c>
      <c r="H629" s="43" t="s">
        <v>1539</v>
      </c>
      <c r="I629" s="43" t="s">
        <v>104</v>
      </c>
      <c r="J629" s="55"/>
      <c r="K629" s="119">
        <f>IFERROR(VLOOKUP(B629,BD_CONTROL!$A$5:$M$4235,11,0),"")</f>
        <v>0</v>
      </c>
      <c r="L629" s="120">
        <f>IFERROR(VLOOKUP(B629,BD_CONTROL!$A$5:$M$4235,12,0),"")</f>
        <v>0</v>
      </c>
      <c r="M629" s="121">
        <f>IFERROR(VLOOKUP(B629,BD_CONTROL!$A$5:$M$4235,13,0),"")</f>
        <v>0</v>
      </c>
    </row>
    <row r="630" spans="1:13" ht="15" customHeight="1">
      <c r="A630" s="39">
        <v>625</v>
      </c>
      <c r="B630" s="39" t="s">
        <v>6697</v>
      </c>
      <c r="C630" s="40" t="s">
        <v>6470</v>
      </c>
      <c r="D630" s="39" t="s">
        <v>6458</v>
      </c>
      <c r="E630" s="40" t="s">
        <v>6458</v>
      </c>
      <c r="F630" s="40" t="s">
        <v>6458</v>
      </c>
      <c r="G630" s="39" t="s">
        <v>102</v>
      </c>
      <c r="H630" s="40" t="s">
        <v>1539</v>
      </c>
      <c r="I630" s="40" t="s">
        <v>104</v>
      </c>
      <c r="J630" s="50"/>
      <c r="K630" s="116" t="str">
        <f>IFERROR(VLOOKUP(B630,BD_CONTROL!$A$5:$M$4235,11,0),"")</f>
        <v>Instalado - Operando</v>
      </c>
      <c r="L630" s="117">
        <f>IFERROR(VLOOKUP(B630,BD_CONTROL!$A$5:$M$4235,12,0),"")</f>
        <v>46150</v>
      </c>
      <c r="M630" s="118">
        <f>IFERROR(VLOOKUP(B630,BD_CONTROL!$A$5:$M$4235,13,0),"")</f>
        <v>0</v>
      </c>
    </row>
    <row r="631" spans="1:13" ht="15" customHeight="1">
      <c r="A631" s="42">
        <v>626</v>
      </c>
      <c r="B631" s="42" t="s">
        <v>6698</v>
      </c>
      <c r="C631" s="43" t="s">
        <v>6699</v>
      </c>
      <c r="D631" s="42" t="s">
        <v>6458</v>
      </c>
      <c r="E631" s="43" t="s">
        <v>6582</v>
      </c>
      <c r="F631" s="43" t="s">
        <v>6582</v>
      </c>
      <c r="G631" s="42" t="s">
        <v>109</v>
      </c>
      <c r="H631" s="43" t="s">
        <v>1539</v>
      </c>
      <c r="I631" s="43" t="s">
        <v>104</v>
      </c>
      <c r="J631" s="55"/>
      <c r="K631" s="119" t="str">
        <f>IFERROR(VLOOKUP(B631,BD_CONTROL!$A$5:$M$4235,11,0),"")</f>
        <v>Instalado - Sin Señal</v>
      </c>
      <c r="L631" s="120">
        <f>IFERROR(VLOOKUP(B631,BD_CONTROL!$A$5:$M$4235,12,0),"")</f>
        <v>46148</v>
      </c>
      <c r="M631" s="121">
        <f>IFERROR(VLOOKUP(B631,BD_CONTROL!$A$5:$M$4235,13,0),"")</f>
        <v>0</v>
      </c>
    </row>
    <row r="632" spans="1:13" ht="15" customHeight="1">
      <c r="A632" s="39">
        <v>627</v>
      </c>
      <c r="B632" s="39" t="s">
        <v>6700</v>
      </c>
      <c r="C632" s="40" t="s">
        <v>6701</v>
      </c>
      <c r="D632" s="39" t="s">
        <v>6458</v>
      </c>
      <c r="E632" s="40" t="s">
        <v>6474</v>
      </c>
      <c r="F632" s="40" t="s">
        <v>6702</v>
      </c>
      <c r="G632" s="39" t="s">
        <v>109</v>
      </c>
      <c r="H632" s="40" t="s">
        <v>1539</v>
      </c>
      <c r="I632" s="40" t="s">
        <v>104</v>
      </c>
      <c r="J632" s="50"/>
      <c r="K632" s="116">
        <f>IFERROR(VLOOKUP(B632,BD_CONTROL!$A$5:$M$4235,11,0),"")</f>
        <v>0</v>
      </c>
      <c r="L632" s="117">
        <f>IFERROR(VLOOKUP(B632,BD_CONTROL!$A$5:$M$4235,12,0),"")</f>
        <v>0</v>
      </c>
      <c r="M632" s="118">
        <f>IFERROR(VLOOKUP(B632,BD_CONTROL!$A$5:$M$4235,13,0),"")</f>
        <v>0</v>
      </c>
    </row>
    <row r="633" spans="1:13" ht="15" customHeight="1">
      <c r="A633" s="42">
        <v>628</v>
      </c>
      <c r="B633" s="42" t="s">
        <v>6703</v>
      </c>
      <c r="C633" s="43" t="s">
        <v>6502</v>
      </c>
      <c r="D633" s="42" t="s">
        <v>6458</v>
      </c>
      <c r="E633" s="43" t="s">
        <v>6513</v>
      </c>
      <c r="F633" s="43" t="s">
        <v>2613</v>
      </c>
      <c r="G633" s="42" t="s">
        <v>109</v>
      </c>
      <c r="H633" s="43" t="s">
        <v>1539</v>
      </c>
      <c r="I633" s="43" t="s">
        <v>104</v>
      </c>
      <c r="J633" s="55"/>
      <c r="K633" s="119">
        <f>IFERROR(VLOOKUP(B633,BD_CONTROL!$A$5:$M$4235,11,0),"")</f>
        <v>0</v>
      </c>
      <c r="L633" s="120">
        <f>IFERROR(VLOOKUP(B633,BD_CONTROL!$A$5:$M$4235,12,0),"")</f>
        <v>0</v>
      </c>
      <c r="M633" s="121">
        <f>IFERROR(VLOOKUP(B633,BD_CONTROL!$A$5:$M$4235,13,0),"")</f>
        <v>0</v>
      </c>
    </row>
    <row r="634" spans="1:13" ht="15" customHeight="1">
      <c r="A634" s="39">
        <v>629</v>
      </c>
      <c r="B634" s="39" t="s">
        <v>6704</v>
      </c>
      <c r="C634" s="40" t="s">
        <v>6461</v>
      </c>
      <c r="D634" s="39" t="s">
        <v>6458</v>
      </c>
      <c r="E634" s="40" t="s">
        <v>1120</v>
      </c>
      <c r="F634" s="40" t="s">
        <v>6705</v>
      </c>
      <c r="G634" s="39" t="s">
        <v>109</v>
      </c>
      <c r="H634" s="40" t="s">
        <v>1539</v>
      </c>
      <c r="I634" s="40" t="s">
        <v>104</v>
      </c>
      <c r="J634" s="50"/>
      <c r="K634" s="116">
        <f>IFERROR(VLOOKUP(B634,BD_CONTROL!$A$5:$M$4235,11,0),"")</f>
        <v>0</v>
      </c>
      <c r="L634" s="117">
        <f>IFERROR(VLOOKUP(B634,BD_CONTROL!$A$5:$M$4235,12,0),"")</f>
        <v>0</v>
      </c>
      <c r="M634" s="118">
        <f>IFERROR(VLOOKUP(B634,BD_CONTROL!$A$5:$M$4235,13,0),"")</f>
        <v>0</v>
      </c>
    </row>
    <row r="635" spans="1:13" ht="15" customHeight="1">
      <c r="A635" s="42">
        <v>630</v>
      </c>
      <c r="B635" s="42" t="s">
        <v>6706</v>
      </c>
      <c r="C635" s="43" t="s">
        <v>6707</v>
      </c>
      <c r="D635" s="42" t="s">
        <v>6458</v>
      </c>
      <c r="E635" s="43" t="s">
        <v>6513</v>
      </c>
      <c r="F635" s="43" t="s">
        <v>6513</v>
      </c>
      <c r="G635" s="42" t="s">
        <v>102</v>
      </c>
      <c r="H635" s="43" t="s">
        <v>1539</v>
      </c>
      <c r="I635" s="43" t="s">
        <v>104</v>
      </c>
      <c r="J635" s="55"/>
      <c r="K635" s="119">
        <f>IFERROR(VLOOKUP(B635,BD_CONTROL!$A$5:$M$4235,11,0),"")</f>
        <v>0</v>
      </c>
      <c r="L635" s="120">
        <f>IFERROR(VLOOKUP(B635,BD_CONTROL!$A$5:$M$4235,12,0),"")</f>
        <v>0</v>
      </c>
      <c r="M635" s="121">
        <f>IFERROR(VLOOKUP(B635,BD_CONTROL!$A$5:$M$4235,13,0),"")</f>
        <v>0</v>
      </c>
    </row>
    <row r="636" spans="1:13" ht="15" customHeight="1">
      <c r="A636" s="39">
        <v>631</v>
      </c>
      <c r="B636" s="39" t="s">
        <v>6708</v>
      </c>
      <c r="C636" s="40" t="s">
        <v>6470</v>
      </c>
      <c r="D636" s="39" t="s">
        <v>6458</v>
      </c>
      <c r="E636" s="40" t="s">
        <v>6491</v>
      </c>
      <c r="F636" s="40" t="s">
        <v>5303</v>
      </c>
      <c r="G636" s="39" t="s">
        <v>109</v>
      </c>
      <c r="H636" s="40" t="s">
        <v>1539</v>
      </c>
      <c r="I636" s="40" t="s">
        <v>104</v>
      </c>
      <c r="J636" s="50"/>
      <c r="K636" s="116">
        <f>IFERROR(VLOOKUP(B636,BD_CONTROL!$A$5:$M$4235,11,0),"")</f>
        <v>0</v>
      </c>
      <c r="L636" s="117">
        <f>IFERROR(VLOOKUP(B636,BD_CONTROL!$A$5:$M$4235,12,0),"")</f>
        <v>0</v>
      </c>
      <c r="M636" s="118">
        <f>IFERROR(VLOOKUP(B636,BD_CONTROL!$A$5:$M$4235,13,0),"")</f>
        <v>0</v>
      </c>
    </row>
    <row r="637" spans="1:13" ht="15" customHeight="1">
      <c r="A637" s="42">
        <v>632</v>
      </c>
      <c r="B637" s="42" t="s">
        <v>6709</v>
      </c>
      <c r="C637" s="43" t="s">
        <v>470</v>
      </c>
      <c r="D637" s="42" t="s">
        <v>6458</v>
      </c>
      <c r="E637" s="43" t="s">
        <v>6710</v>
      </c>
      <c r="F637" s="43" t="s">
        <v>6711</v>
      </c>
      <c r="G637" s="42" t="s">
        <v>109</v>
      </c>
      <c r="H637" s="43" t="s">
        <v>1539</v>
      </c>
      <c r="I637" s="43" t="s">
        <v>104</v>
      </c>
      <c r="J637" s="55"/>
      <c r="K637" s="119">
        <f>IFERROR(VLOOKUP(B637,BD_CONTROL!$A$5:$M$4235,11,0),"")</f>
        <v>0</v>
      </c>
      <c r="L637" s="120">
        <f>IFERROR(VLOOKUP(B637,BD_CONTROL!$A$5:$M$4235,12,0),"")</f>
        <v>0</v>
      </c>
      <c r="M637" s="121">
        <f>IFERROR(VLOOKUP(B637,BD_CONTROL!$A$5:$M$4235,13,0),"")</f>
        <v>0</v>
      </c>
    </row>
    <row r="638" spans="1:13" ht="15" customHeight="1">
      <c r="A638" s="39">
        <v>633</v>
      </c>
      <c r="B638" s="39" t="s">
        <v>6712</v>
      </c>
      <c r="C638" s="40" t="s">
        <v>6713</v>
      </c>
      <c r="D638" s="39" t="s">
        <v>6458</v>
      </c>
      <c r="E638" s="40" t="s">
        <v>6568</v>
      </c>
      <c r="F638" s="40" t="s">
        <v>3186</v>
      </c>
      <c r="G638" s="39" t="s">
        <v>109</v>
      </c>
      <c r="H638" s="40" t="s">
        <v>1539</v>
      </c>
      <c r="I638" s="40" t="s">
        <v>104</v>
      </c>
      <c r="J638" s="50"/>
      <c r="K638" s="116">
        <f>IFERROR(VLOOKUP(B638,BD_CONTROL!$A$5:$M$4235,11,0),"")</f>
        <v>0</v>
      </c>
      <c r="L638" s="117">
        <f>IFERROR(VLOOKUP(B638,BD_CONTROL!$A$5:$M$4235,12,0),"")</f>
        <v>0</v>
      </c>
      <c r="M638" s="118">
        <f>IFERROR(VLOOKUP(B638,BD_CONTROL!$A$5:$M$4235,13,0),"")</f>
        <v>0</v>
      </c>
    </row>
    <row r="639" spans="1:13" ht="15" customHeight="1">
      <c r="A639" s="42">
        <v>634</v>
      </c>
      <c r="B639" s="42" t="s">
        <v>6714</v>
      </c>
      <c r="C639" s="43" t="s">
        <v>6715</v>
      </c>
      <c r="D639" s="42" t="s">
        <v>6458</v>
      </c>
      <c r="E639" s="43" t="s">
        <v>6614</v>
      </c>
      <c r="F639" s="43" t="s">
        <v>789</v>
      </c>
      <c r="G639" s="42" t="s">
        <v>109</v>
      </c>
      <c r="H639" s="43" t="s">
        <v>1539</v>
      </c>
      <c r="I639" s="43" t="s">
        <v>104</v>
      </c>
      <c r="J639" s="55"/>
      <c r="K639" s="119">
        <f>IFERROR(VLOOKUP(B639,BD_CONTROL!$A$5:$M$4235,11,0),"")</f>
        <v>0</v>
      </c>
      <c r="L639" s="120">
        <f>IFERROR(VLOOKUP(B639,BD_CONTROL!$A$5:$M$4235,12,0),"")</f>
        <v>0</v>
      </c>
      <c r="M639" s="121">
        <f>IFERROR(VLOOKUP(B639,BD_CONTROL!$A$5:$M$4235,13,0),"")</f>
        <v>0</v>
      </c>
    </row>
    <row r="640" spans="1:13" ht="15" customHeight="1">
      <c r="A640" s="39">
        <v>635</v>
      </c>
      <c r="B640" s="39" t="s">
        <v>6716</v>
      </c>
      <c r="C640" s="40" t="s">
        <v>6473</v>
      </c>
      <c r="D640" s="39" t="s">
        <v>6458</v>
      </c>
      <c r="E640" s="40" t="s">
        <v>6462</v>
      </c>
      <c r="F640" s="40" t="s">
        <v>6717</v>
      </c>
      <c r="G640" s="39" t="s">
        <v>109</v>
      </c>
      <c r="H640" s="40" t="s">
        <v>1539</v>
      </c>
      <c r="I640" s="40" t="s">
        <v>104</v>
      </c>
      <c r="J640" s="50"/>
      <c r="K640" s="116">
        <f>IFERROR(VLOOKUP(B640,BD_CONTROL!$A$5:$M$4235,11,0),"")</f>
        <v>0</v>
      </c>
      <c r="L640" s="117">
        <f>IFERROR(VLOOKUP(B640,BD_CONTROL!$A$5:$M$4235,12,0),"")</f>
        <v>0</v>
      </c>
      <c r="M640" s="118">
        <f>IFERROR(VLOOKUP(B640,BD_CONTROL!$A$5:$M$4235,13,0),"")</f>
        <v>0</v>
      </c>
    </row>
    <row r="641" spans="1:13" ht="15" customHeight="1">
      <c r="A641" s="42">
        <v>636</v>
      </c>
      <c r="B641" s="42" t="s">
        <v>6718</v>
      </c>
      <c r="C641" s="43" t="s">
        <v>6719</v>
      </c>
      <c r="D641" s="42" t="s">
        <v>6458</v>
      </c>
      <c r="E641" s="43" t="s">
        <v>6485</v>
      </c>
      <c r="F641" s="43" t="s">
        <v>3875</v>
      </c>
      <c r="G641" s="42" t="s">
        <v>109</v>
      </c>
      <c r="H641" s="43" t="s">
        <v>1539</v>
      </c>
      <c r="I641" s="43" t="s">
        <v>104</v>
      </c>
      <c r="J641" s="55"/>
      <c r="K641" s="119">
        <f>IFERROR(VLOOKUP(B641,BD_CONTROL!$A$5:$M$4235,11,0),"")</f>
        <v>0</v>
      </c>
      <c r="L641" s="120">
        <f>IFERROR(VLOOKUP(B641,BD_CONTROL!$A$5:$M$4235,12,0),"")</f>
        <v>0</v>
      </c>
      <c r="M641" s="121">
        <f>IFERROR(VLOOKUP(B641,BD_CONTROL!$A$5:$M$4235,13,0),"")</f>
        <v>0</v>
      </c>
    </row>
    <row r="642" spans="1:13" ht="15" customHeight="1">
      <c r="A642" s="39">
        <v>637</v>
      </c>
      <c r="B642" s="39" t="s">
        <v>6720</v>
      </c>
      <c r="C642" s="40" t="s">
        <v>1327</v>
      </c>
      <c r="D642" s="39" t="s">
        <v>6458</v>
      </c>
      <c r="E642" s="40" t="s">
        <v>6568</v>
      </c>
      <c r="F642" s="40" t="s">
        <v>6721</v>
      </c>
      <c r="G642" s="39" t="s">
        <v>109</v>
      </c>
      <c r="H642" s="40" t="s">
        <v>1539</v>
      </c>
      <c r="I642" s="40" t="s">
        <v>104</v>
      </c>
      <c r="J642" s="50"/>
      <c r="K642" s="116">
        <f>IFERROR(VLOOKUP(B642,BD_CONTROL!$A$5:$M$4235,11,0),"")</f>
        <v>0</v>
      </c>
      <c r="L642" s="117">
        <f>IFERROR(VLOOKUP(B642,BD_CONTROL!$A$5:$M$4235,12,0),"")</f>
        <v>0</v>
      </c>
      <c r="M642" s="118">
        <f>IFERROR(VLOOKUP(B642,BD_CONTROL!$A$5:$M$4235,13,0),"")</f>
        <v>0</v>
      </c>
    </row>
    <row r="643" spans="1:13" ht="15" customHeight="1">
      <c r="A643" s="42">
        <v>638</v>
      </c>
      <c r="B643" s="42" t="s">
        <v>6722</v>
      </c>
      <c r="C643" s="43" t="s">
        <v>6723</v>
      </c>
      <c r="D643" s="42" t="s">
        <v>6458</v>
      </c>
      <c r="E643" s="43" t="s">
        <v>6550</v>
      </c>
      <c r="F643" s="43" t="s">
        <v>6724</v>
      </c>
      <c r="G643" s="42" t="s">
        <v>109</v>
      </c>
      <c r="H643" s="43" t="s">
        <v>1539</v>
      </c>
      <c r="I643" s="43" t="s">
        <v>104</v>
      </c>
      <c r="J643" s="55"/>
      <c r="K643" s="119">
        <f>IFERROR(VLOOKUP(B643,BD_CONTROL!$A$5:$M$4235,11,0),"")</f>
        <v>0</v>
      </c>
      <c r="L643" s="120">
        <f>IFERROR(VLOOKUP(B643,BD_CONTROL!$A$5:$M$4235,12,0),"")</f>
        <v>0</v>
      </c>
      <c r="M643" s="121">
        <f>IFERROR(VLOOKUP(B643,BD_CONTROL!$A$5:$M$4235,13,0),"")</f>
        <v>0</v>
      </c>
    </row>
    <row r="644" spans="1:13" ht="15" customHeight="1">
      <c r="A644" s="39">
        <v>639</v>
      </c>
      <c r="B644" s="39" t="s">
        <v>6725</v>
      </c>
      <c r="C644" s="40" t="s">
        <v>6726</v>
      </c>
      <c r="D644" s="39" t="s">
        <v>6458</v>
      </c>
      <c r="E644" s="40" t="s">
        <v>6474</v>
      </c>
      <c r="F644" s="40" t="s">
        <v>6475</v>
      </c>
      <c r="G644" s="39" t="s">
        <v>109</v>
      </c>
      <c r="H644" s="40" t="s">
        <v>1539</v>
      </c>
      <c r="I644" s="40" t="s">
        <v>104</v>
      </c>
      <c r="J644" s="50"/>
      <c r="K644" s="116">
        <f>IFERROR(VLOOKUP(B644,BD_CONTROL!$A$5:$M$4235,11,0),"")</f>
        <v>0</v>
      </c>
      <c r="L644" s="117">
        <f>IFERROR(VLOOKUP(B644,BD_CONTROL!$A$5:$M$4235,12,0),"")</f>
        <v>0</v>
      </c>
      <c r="M644" s="118">
        <f>IFERROR(VLOOKUP(B644,BD_CONTROL!$A$5:$M$4235,13,0),"")</f>
        <v>0</v>
      </c>
    </row>
    <row r="645" spans="1:13" ht="15" customHeight="1">
      <c r="A645" s="42">
        <v>640</v>
      </c>
      <c r="B645" s="42" t="s">
        <v>6727</v>
      </c>
      <c r="C645" s="43" t="s">
        <v>6728</v>
      </c>
      <c r="D645" s="42" t="s">
        <v>6458</v>
      </c>
      <c r="E645" s="43" t="s">
        <v>6568</v>
      </c>
      <c r="F645" s="43" t="s">
        <v>6729</v>
      </c>
      <c r="G645" s="42" t="s">
        <v>109</v>
      </c>
      <c r="H645" s="43" t="s">
        <v>1539</v>
      </c>
      <c r="I645" s="43" t="s">
        <v>104</v>
      </c>
      <c r="J645" s="55"/>
      <c r="K645" s="119">
        <f>IFERROR(VLOOKUP(B645,BD_CONTROL!$A$5:$M$4235,11,0),"")</f>
        <v>0</v>
      </c>
      <c r="L645" s="120">
        <f>IFERROR(VLOOKUP(B645,BD_CONTROL!$A$5:$M$4235,12,0),"")</f>
        <v>0</v>
      </c>
      <c r="M645" s="121">
        <f>IFERROR(VLOOKUP(B645,BD_CONTROL!$A$5:$M$4235,13,0),"")</f>
        <v>0</v>
      </c>
    </row>
    <row r="646" spans="1:13" ht="15" customHeight="1">
      <c r="A646" s="39">
        <v>641</v>
      </c>
      <c r="B646" s="39" t="s">
        <v>6730</v>
      </c>
      <c r="C646" s="40" t="s">
        <v>1337</v>
      </c>
      <c r="D646" s="39" t="s">
        <v>6458</v>
      </c>
      <c r="E646" s="40" t="s">
        <v>6458</v>
      </c>
      <c r="F646" s="40" t="s">
        <v>6587</v>
      </c>
      <c r="G646" s="39" t="s">
        <v>109</v>
      </c>
      <c r="H646" s="40" t="s">
        <v>1539</v>
      </c>
      <c r="I646" s="40" t="s">
        <v>104</v>
      </c>
      <c r="J646" s="50"/>
      <c r="K646" s="116">
        <f>IFERROR(VLOOKUP(B646,BD_CONTROL!$A$5:$M$4235,11,0),"")</f>
        <v>0</v>
      </c>
      <c r="L646" s="117">
        <f>IFERROR(VLOOKUP(B646,BD_CONTROL!$A$5:$M$4235,12,0),"")</f>
        <v>0</v>
      </c>
      <c r="M646" s="118">
        <f>IFERROR(VLOOKUP(B646,BD_CONTROL!$A$5:$M$4235,13,0),"")</f>
        <v>0</v>
      </c>
    </row>
    <row r="647" spans="1:13" ht="15" customHeight="1">
      <c r="A647" s="42">
        <v>642</v>
      </c>
      <c r="B647" s="42" t="s">
        <v>6731</v>
      </c>
      <c r="C647" s="43" t="s">
        <v>1215</v>
      </c>
      <c r="D647" s="42" t="s">
        <v>6458</v>
      </c>
      <c r="E647" s="43" t="s">
        <v>6543</v>
      </c>
      <c r="F647" s="43" t="s">
        <v>6548</v>
      </c>
      <c r="G647" s="42" t="s">
        <v>109</v>
      </c>
      <c r="H647" s="43" t="s">
        <v>1539</v>
      </c>
      <c r="I647" s="43" t="s">
        <v>104</v>
      </c>
      <c r="J647" s="55"/>
      <c r="K647" s="119">
        <f>IFERROR(VLOOKUP(B647,BD_CONTROL!$A$5:$M$4235,11,0),"")</f>
        <v>0</v>
      </c>
      <c r="L647" s="120">
        <f>IFERROR(VLOOKUP(B647,BD_CONTROL!$A$5:$M$4235,12,0),"")</f>
        <v>0</v>
      </c>
      <c r="M647" s="121">
        <f>IFERROR(VLOOKUP(B647,BD_CONTROL!$A$5:$M$4235,13,0),"")</f>
        <v>0</v>
      </c>
    </row>
    <row r="648" spans="1:13" ht="15" customHeight="1">
      <c r="A648" s="39">
        <v>643</v>
      </c>
      <c r="B648" s="39" t="s">
        <v>6732</v>
      </c>
      <c r="C648" s="40" t="s">
        <v>6733</v>
      </c>
      <c r="D648" s="39" t="s">
        <v>6458</v>
      </c>
      <c r="E648" s="40" t="s">
        <v>6563</v>
      </c>
      <c r="F648" s="40" t="s">
        <v>2813</v>
      </c>
      <c r="G648" s="39" t="s">
        <v>109</v>
      </c>
      <c r="H648" s="40" t="s">
        <v>1539</v>
      </c>
      <c r="I648" s="40" t="s">
        <v>104</v>
      </c>
      <c r="J648" s="50"/>
      <c r="K648" s="116">
        <f>IFERROR(VLOOKUP(B648,BD_CONTROL!$A$5:$M$4235,11,0),"")</f>
        <v>0</v>
      </c>
      <c r="L648" s="117">
        <f>IFERROR(VLOOKUP(B648,BD_CONTROL!$A$5:$M$4235,12,0),"")</f>
        <v>0</v>
      </c>
      <c r="M648" s="118">
        <f>IFERROR(VLOOKUP(B648,BD_CONTROL!$A$5:$M$4235,13,0),"")</f>
        <v>0</v>
      </c>
    </row>
    <row r="649" spans="1:13" ht="15" customHeight="1">
      <c r="A649" s="42">
        <v>644</v>
      </c>
      <c r="B649" s="42" t="s">
        <v>7570</v>
      </c>
      <c r="C649" s="43" t="s">
        <v>6735</v>
      </c>
      <c r="D649" s="42" t="s">
        <v>1530</v>
      </c>
      <c r="E649" s="43" t="s">
        <v>1546</v>
      </c>
      <c r="F649" s="43" t="s">
        <v>2134</v>
      </c>
      <c r="G649" s="42" t="s">
        <v>6739</v>
      </c>
      <c r="H649" s="43" t="s">
        <v>1539</v>
      </c>
      <c r="I649" s="43" t="s">
        <v>6741</v>
      </c>
      <c r="J649" s="55"/>
      <c r="K649" s="119">
        <f>IFERROR(VLOOKUP(B649,BD_CONTROL!$A$5:$M$4235,11,0),"")</f>
        <v>0</v>
      </c>
      <c r="L649" s="120">
        <f>IFERROR(VLOOKUP(B649,BD_CONTROL!$A$5:$M$4235,12,0),"")</f>
        <v>0</v>
      </c>
      <c r="M649" s="121">
        <f>IFERROR(VLOOKUP(B649,BD_CONTROL!$A$5:$M$4235,13,0),"")</f>
        <v>0</v>
      </c>
    </row>
    <row r="650" spans="1:13" ht="15" customHeight="1">
      <c r="A650" s="39">
        <v>645</v>
      </c>
      <c r="B650" s="39" t="s">
        <v>8100</v>
      </c>
      <c r="C650" s="40" t="s">
        <v>6735</v>
      </c>
      <c r="D650" s="39" t="s">
        <v>4690</v>
      </c>
      <c r="E650" s="40" t="s">
        <v>4956</v>
      </c>
      <c r="F650" s="40" t="s">
        <v>8101</v>
      </c>
      <c r="G650" s="39" t="s">
        <v>6739</v>
      </c>
      <c r="H650" s="40" t="s">
        <v>4693</v>
      </c>
      <c r="I650" s="40" t="s">
        <v>6741</v>
      </c>
      <c r="J650" s="50"/>
      <c r="K650" s="116">
        <f>IFERROR(VLOOKUP(B650,BD_CONTROL!$A$5:$M$4235,11,0),"")</f>
        <v>0</v>
      </c>
      <c r="L650" s="117">
        <f>IFERROR(VLOOKUP(B650,BD_CONTROL!$A$5:$M$4235,12,0),"")</f>
        <v>0</v>
      </c>
      <c r="M650" s="118">
        <f>IFERROR(VLOOKUP(B650,BD_CONTROL!$A$5:$M$4235,13,0),"")</f>
        <v>0</v>
      </c>
    </row>
    <row r="651" spans="1:13" ht="15" customHeight="1">
      <c r="A651" s="42">
        <v>646</v>
      </c>
      <c r="B651" s="42" t="s">
        <v>8102</v>
      </c>
      <c r="C651" s="43" t="s">
        <v>6735</v>
      </c>
      <c r="D651" s="42" t="s">
        <v>4690</v>
      </c>
      <c r="E651" s="43" t="s">
        <v>4691</v>
      </c>
      <c r="F651" s="43" t="s">
        <v>4691</v>
      </c>
      <c r="G651" s="42" t="s">
        <v>6739</v>
      </c>
      <c r="H651" s="43" t="s">
        <v>4693</v>
      </c>
      <c r="I651" s="43" t="s">
        <v>6741</v>
      </c>
      <c r="J651" s="55"/>
      <c r="K651" s="119">
        <f>IFERROR(VLOOKUP(B651,BD_CONTROL!$A$5:$M$4235,11,0),"")</f>
        <v>0</v>
      </c>
      <c r="L651" s="120">
        <f>IFERROR(VLOOKUP(B651,BD_CONTROL!$A$5:$M$4235,12,0),"")</f>
        <v>0</v>
      </c>
      <c r="M651" s="121">
        <f>IFERROR(VLOOKUP(B651,BD_CONTROL!$A$5:$M$4235,13,0),"")</f>
        <v>0</v>
      </c>
    </row>
    <row r="652" spans="1:13" ht="15" customHeight="1">
      <c r="A652" s="39">
        <v>647</v>
      </c>
      <c r="B652" s="39" t="s">
        <v>8103</v>
      </c>
      <c r="C652" s="40" t="s">
        <v>6735</v>
      </c>
      <c r="D652" s="39" t="s">
        <v>4690</v>
      </c>
      <c r="E652" s="40" t="s">
        <v>4691</v>
      </c>
      <c r="F652" s="40" t="s">
        <v>5267</v>
      </c>
      <c r="G652" s="39" t="s">
        <v>6739</v>
      </c>
      <c r="H652" s="40" t="s">
        <v>4693</v>
      </c>
      <c r="I652" s="40" t="s">
        <v>6741</v>
      </c>
      <c r="J652" s="50"/>
      <c r="K652" s="116">
        <f>IFERROR(VLOOKUP(B652,BD_CONTROL!$A$5:$M$4235,11,0),"")</f>
        <v>0</v>
      </c>
      <c r="L652" s="117">
        <f>IFERROR(VLOOKUP(B652,BD_CONTROL!$A$5:$M$4235,12,0),"")</f>
        <v>0</v>
      </c>
      <c r="M652" s="118">
        <f>IFERROR(VLOOKUP(B652,BD_CONTROL!$A$5:$M$4235,13,0),"")</f>
        <v>0</v>
      </c>
    </row>
    <row r="653" spans="1:13" ht="15" customHeight="1">
      <c r="A653" s="42">
        <v>648</v>
      </c>
      <c r="B653" s="42" t="s">
        <v>8104</v>
      </c>
      <c r="C653" s="43" t="s">
        <v>6735</v>
      </c>
      <c r="D653" s="42" t="s">
        <v>4690</v>
      </c>
      <c r="E653" s="43" t="s">
        <v>4696</v>
      </c>
      <c r="F653" s="43" t="s">
        <v>8105</v>
      </c>
      <c r="G653" s="42" t="s">
        <v>6739</v>
      </c>
      <c r="H653" s="43" t="s">
        <v>4693</v>
      </c>
      <c r="I653" s="43" t="s">
        <v>6741</v>
      </c>
      <c r="J653" s="55"/>
      <c r="K653" s="119">
        <f>IFERROR(VLOOKUP(B653,BD_CONTROL!$A$5:$M$4235,11,0),"")</f>
        <v>0</v>
      </c>
      <c r="L653" s="120">
        <f>IFERROR(VLOOKUP(B653,BD_CONTROL!$A$5:$M$4235,12,0),"")</f>
        <v>0</v>
      </c>
      <c r="M653" s="121">
        <f>IFERROR(VLOOKUP(B653,BD_CONTROL!$A$5:$M$4235,13,0),"")</f>
        <v>0</v>
      </c>
    </row>
    <row r="654" spans="1:13" ht="15" customHeight="1">
      <c r="A654" s="39">
        <v>649</v>
      </c>
      <c r="B654" s="39" t="s">
        <v>8106</v>
      </c>
      <c r="C654" s="40" t="s">
        <v>6735</v>
      </c>
      <c r="D654" s="39" t="s">
        <v>4690</v>
      </c>
      <c r="E654" s="40" t="s">
        <v>4696</v>
      </c>
      <c r="F654" s="40" t="s">
        <v>8107</v>
      </c>
      <c r="G654" s="39" t="s">
        <v>6739</v>
      </c>
      <c r="H654" s="40" t="s">
        <v>4693</v>
      </c>
      <c r="I654" s="40" t="s">
        <v>6741</v>
      </c>
      <c r="J654" s="50"/>
      <c r="K654" s="116">
        <f>IFERROR(VLOOKUP(B654,BD_CONTROL!$A$5:$M$4235,11,0),"")</f>
        <v>0</v>
      </c>
      <c r="L654" s="117">
        <f>IFERROR(VLOOKUP(B654,BD_CONTROL!$A$5:$M$4235,12,0),"")</f>
        <v>0</v>
      </c>
      <c r="M654" s="118">
        <f>IFERROR(VLOOKUP(B654,BD_CONTROL!$A$5:$M$4235,13,0),"")</f>
        <v>0</v>
      </c>
    </row>
    <row r="655" spans="1:13" ht="15" customHeight="1">
      <c r="A655" s="42">
        <v>650</v>
      </c>
      <c r="B655" s="42" t="s">
        <v>8108</v>
      </c>
      <c r="C655" s="43" t="s">
        <v>6735</v>
      </c>
      <c r="D655" s="42" t="s">
        <v>4690</v>
      </c>
      <c r="E655" s="43" t="s">
        <v>5111</v>
      </c>
      <c r="F655" s="43" t="s">
        <v>8109</v>
      </c>
      <c r="G655" s="42" t="s">
        <v>6739</v>
      </c>
      <c r="H655" s="43" t="s">
        <v>4693</v>
      </c>
      <c r="I655" s="43" t="s">
        <v>6741</v>
      </c>
      <c r="J655" s="55"/>
      <c r="K655" s="119">
        <f>IFERROR(VLOOKUP(B655,BD_CONTROL!$A$5:$M$4235,11,0),"")</f>
        <v>0</v>
      </c>
      <c r="L655" s="120">
        <f>IFERROR(VLOOKUP(B655,BD_CONTROL!$A$5:$M$4235,12,0),"")</f>
        <v>0</v>
      </c>
      <c r="M655" s="121">
        <f>IFERROR(VLOOKUP(B655,BD_CONTROL!$A$5:$M$4235,13,0),"")</f>
        <v>0</v>
      </c>
    </row>
    <row r="656" spans="1:13" ht="15" customHeight="1">
      <c r="A656" s="39">
        <v>651</v>
      </c>
      <c r="B656" s="39" t="s">
        <v>8110</v>
      </c>
      <c r="C656" s="40" t="s">
        <v>6735</v>
      </c>
      <c r="D656" s="39" t="s">
        <v>4690</v>
      </c>
      <c r="E656" s="40" t="s">
        <v>5443</v>
      </c>
      <c r="F656" s="40" t="s">
        <v>5443</v>
      </c>
      <c r="G656" s="39" t="s">
        <v>6739</v>
      </c>
      <c r="H656" s="40" t="s">
        <v>4693</v>
      </c>
      <c r="I656" s="40" t="s">
        <v>6741</v>
      </c>
      <c r="J656" s="50"/>
      <c r="K656" s="116">
        <f>IFERROR(VLOOKUP(B656,BD_CONTROL!$A$5:$M$4235,11,0),"")</f>
        <v>0</v>
      </c>
      <c r="L656" s="117">
        <f>IFERROR(VLOOKUP(B656,BD_CONTROL!$A$5:$M$4235,12,0),"")</f>
        <v>0</v>
      </c>
      <c r="M656" s="118">
        <f>IFERROR(VLOOKUP(B656,BD_CONTROL!$A$5:$M$4235,13,0),"")</f>
        <v>0</v>
      </c>
    </row>
    <row r="657" spans="1:13" ht="15" customHeight="1">
      <c r="A657" s="42">
        <v>652</v>
      </c>
      <c r="B657" s="42" t="s">
        <v>8111</v>
      </c>
      <c r="C657" s="43" t="s">
        <v>6735</v>
      </c>
      <c r="D657" s="42" t="s">
        <v>4690</v>
      </c>
      <c r="E657" s="43" t="s">
        <v>5443</v>
      </c>
      <c r="F657" s="43" t="s">
        <v>5443</v>
      </c>
      <c r="G657" s="42" t="s">
        <v>6739</v>
      </c>
      <c r="H657" s="43" t="s">
        <v>4693</v>
      </c>
      <c r="I657" s="43" t="s">
        <v>6741</v>
      </c>
      <c r="J657" s="55"/>
      <c r="K657" s="119">
        <f>IFERROR(VLOOKUP(B657,BD_CONTROL!$A$5:$M$4235,11,0),"")</f>
        <v>0</v>
      </c>
      <c r="L657" s="120">
        <f>IFERROR(VLOOKUP(B657,BD_CONTROL!$A$5:$M$4235,12,0),"")</f>
        <v>0</v>
      </c>
      <c r="M657" s="121">
        <f>IFERROR(VLOOKUP(B657,BD_CONTROL!$A$5:$M$4235,13,0),"")</f>
        <v>0</v>
      </c>
    </row>
    <row r="658" spans="1:13" ht="15" customHeight="1">
      <c r="A658" s="39">
        <v>653</v>
      </c>
      <c r="B658" s="39" t="s">
        <v>8112</v>
      </c>
      <c r="C658" s="40" t="s">
        <v>6735</v>
      </c>
      <c r="D658" s="39" t="s">
        <v>4690</v>
      </c>
      <c r="E658" s="40" t="s">
        <v>5443</v>
      </c>
      <c r="F658" s="40" t="s">
        <v>5443</v>
      </c>
      <c r="G658" s="39" t="s">
        <v>6739</v>
      </c>
      <c r="H658" s="40" t="s">
        <v>4693</v>
      </c>
      <c r="I658" s="40" t="s">
        <v>6741</v>
      </c>
      <c r="J658" s="50"/>
      <c r="K658" s="116">
        <f>IFERROR(VLOOKUP(B658,BD_CONTROL!$A$5:$M$4235,11,0),"")</f>
        <v>0</v>
      </c>
      <c r="L658" s="117">
        <f>IFERROR(VLOOKUP(B658,BD_CONTROL!$A$5:$M$4235,12,0),"")</f>
        <v>0</v>
      </c>
      <c r="M658" s="118">
        <f>IFERROR(VLOOKUP(B658,BD_CONTROL!$A$5:$M$4235,13,0),"")</f>
        <v>0</v>
      </c>
    </row>
    <row r="659" spans="1:13" ht="15" customHeight="1">
      <c r="A659" s="42">
        <v>654</v>
      </c>
      <c r="B659" s="42" t="s">
        <v>8113</v>
      </c>
      <c r="C659" s="43" t="s">
        <v>6735</v>
      </c>
      <c r="D659" s="42" t="s">
        <v>4690</v>
      </c>
      <c r="E659" s="43" t="s">
        <v>5443</v>
      </c>
      <c r="F659" s="43" t="s">
        <v>8114</v>
      </c>
      <c r="G659" s="42" t="s">
        <v>6739</v>
      </c>
      <c r="H659" s="43" t="s">
        <v>4693</v>
      </c>
      <c r="I659" s="43" t="s">
        <v>6741</v>
      </c>
      <c r="J659" s="55"/>
      <c r="K659" s="119">
        <f>IFERROR(VLOOKUP(B659,BD_CONTROL!$A$5:$M$4235,11,0),"")</f>
        <v>0</v>
      </c>
      <c r="L659" s="120">
        <f>IFERROR(VLOOKUP(B659,BD_CONTROL!$A$5:$M$4235,12,0),"")</f>
        <v>0</v>
      </c>
      <c r="M659" s="121">
        <f>IFERROR(VLOOKUP(B659,BD_CONTROL!$A$5:$M$4235,13,0),"")</f>
        <v>0</v>
      </c>
    </row>
    <row r="660" spans="1:13" ht="15" customHeight="1">
      <c r="A660" s="39">
        <v>655</v>
      </c>
      <c r="B660" s="39" t="s">
        <v>8115</v>
      </c>
      <c r="C660" s="40" t="s">
        <v>6735</v>
      </c>
      <c r="D660" s="39" t="s">
        <v>4690</v>
      </c>
      <c r="E660" s="40" t="s">
        <v>2756</v>
      </c>
      <c r="F660" s="40" t="s">
        <v>8116</v>
      </c>
      <c r="G660" s="39" t="s">
        <v>6739</v>
      </c>
      <c r="H660" s="40" t="s">
        <v>4693</v>
      </c>
      <c r="I660" s="40" t="s">
        <v>6741</v>
      </c>
      <c r="J660" s="50"/>
      <c r="K660" s="116">
        <f>IFERROR(VLOOKUP(B660,BD_CONTROL!$A$5:$M$4235,11,0),"")</f>
        <v>0</v>
      </c>
      <c r="L660" s="117">
        <f>IFERROR(VLOOKUP(B660,BD_CONTROL!$A$5:$M$4235,12,0),"")</f>
        <v>0</v>
      </c>
      <c r="M660" s="118">
        <f>IFERROR(VLOOKUP(B660,BD_CONTROL!$A$5:$M$4235,13,0),"")</f>
        <v>0</v>
      </c>
    </row>
    <row r="661" spans="1:13" ht="15" customHeight="1">
      <c r="A661" s="42">
        <v>656</v>
      </c>
      <c r="B661" s="42" t="s">
        <v>8117</v>
      </c>
      <c r="C661" s="43" t="s">
        <v>6735</v>
      </c>
      <c r="D661" s="42" t="s">
        <v>4690</v>
      </c>
      <c r="E661" s="43" t="s">
        <v>8118</v>
      </c>
      <c r="F661" s="43" t="s">
        <v>8119</v>
      </c>
      <c r="G661" s="42" t="s">
        <v>6739</v>
      </c>
      <c r="H661" s="43" t="s">
        <v>4693</v>
      </c>
      <c r="I661" s="43" t="s">
        <v>6741</v>
      </c>
      <c r="J661" s="55"/>
      <c r="K661" s="119">
        <f>IFERROR(VLOOKUP(B661,BD_CONTROL!$A$5:$M$4235,11,0),"")</f>
        <v>0</v>
      </c>
      <c r="L661" s="120">
        <f>IFERROR(VLOOKUP(B661,BD_CONTROL!$A$5:$M$4235,12,0),"")</f>
        <v>0</v>
      </c>
      <c r="M661" s="121">
        <f>IFERROR(VLOOKUP(B661,BD_CONTROL!$A$5:$M$4235,13,0),"")</f>
        <v>0</v>
      </c>
    </row>
    <row r="662" spans="1:13" ht="15" customHeight="1">
      <c r="A662" s="39">
        <v>657</v>
      </c>
      <c r="B662" s="39" t="s">
        <v>8120</v>
      </c>
      <c r="C662" s="40" t="s">
        <v>6735</v>
      </c>
      <c r="D662" s="39" t="s">
        <v>4690</v>
      </c>
      <c r="E662" s="40" t="s">
        <v>8118</v>
      </c>
      <c r="F662" s="40" t="s">
        <v>8119</v>
      </c>
      <c r="G662" s="39" t="s">
        <v>6739</v>
      </c>
      <c r="H662" s="40" t="s">
        <v>4693</v>
      </c>
      <c r="I662" s="40" t="s">
        <v>6741</v>
      </c>
      <c r="J662" s="50"/>
      <c r="K662" s="116">
        <f>IFERROR(VLOOKUP(B662,BD_CONTROL!$A$5:$M$4235,11,0),"")</f>
        <v>0</v>
      </c>
      <c r="L662" s="117">
        <f>IFERROR(VLOOKUP(B662,BD_CONTROL!$A$5:$M$4235,12,0),"")</f>
        <v>0</v>
      </c>
      <c r="M662" s="118">
        <f>IFERROR(VLOOKUP(B662,BD_CONTROL!$A$5:$M$4235,13,0),"")</f>
        <v>0</v>
      </c>
    </row>
    <row r="663" spans="1:13" ht="15" customHeight="1">
      <c r="A663" s="42">
        <v>658</v>
      </c>
      <c r="B663" s="42" t="s">
        <v>8121</v>
      </c>
      <c r="C663" s="43" t="s">
        <v>6735</v>
      </c>
      <c r="D663" s="42" t="s">
        <v>4690</v>
      </c>
      <c r="E663" s="43" t="s">
        <v>4708</v>
      </c>
      <c r="F663" s="43" t="s">
        <v>1323</v>
      </c>
      <c r="G663" s="42" t="s">
        <v>6739</v>
      </c>
      <c r="H663" s="43" t="s">
        <v>4693</v>
      </c>
      <c r="I663" s="43" t="s">
        <v>6741</v>
      </c>
      <c r="J663" s="55"/>
      <c r="K663" s="119">
        <f>IFERROR(VLOOKUP(B663,BD_CONTROL!$A$5:$M$4235,11,0),"")</f>
        <v>0</v>
      </c>
      <c r="L663" s="120">
        <f>IFERROR(VLOOKUP(B663,BD_CONTROL!$A$5:$M$4235,12,0),"")</f>
        <v>0</v>
      </c>
      <c r="M663" s="121">
        <f>IFERROR(VLOOKUP(B663,BD_CONTROL!$A$5:$M$4235,13,0),"")</f>
        <v>0</v>
      </c>
    </row>
    <row r="664" spans="1:13" ht="15" customHeight="1">
      <c r="A664" s="39">
        <v>659</v>
      </c>
      <c r="B664" s="39" t="s">
        <v>8123</v>
      </c>
      <c r="C664" s="40" t="s">
        <v>6735</v>
      </c>
      <c r="D664" s="39" t="s">
        <v>4690</v>
      </c>
      <c r="E664" s="40" t="s">
        <v>4715</v>
      </c>
      <c r="F664" s="40" t="s">
        <v>8124</v>
      </c>
      <c r="G664" s="39" t="s">
        <v>6739</v>
      </c>
      <c r="H664" s="40" t="s">
        <v>4693</v>
      </c>
      <c r="I664" s="40" t="s">
        <v>6741</v>
      </c>
      <c r="J664" s="50"/>
      <c r="K664" s="116">
        <f>IFERROR(VLOOKUP(B664,BD_CONTROL!$A$5:$M$4235,11,0),"")</f>
        <v>0</v>
      </c>
      <c r="L664" s="117">
        <f>IFERROR(VLOOKUP(B664,BD_CONTROL!$A$5:$M$4235,12,0),"")</f>
        <v>0</v>
      </c>
      <c r="M664" s="118">
        <f>IFERROR(VLOOKUP(B664,BD_CONTROL!$A$5:$M$4235,13,0),"")</f>
        <v>0</v>
      </c>
    </row>
    <row r="665" spans="1:13" ht="15" customHeight="1">
      <c r="A665" s="42">
        <v>660</v>
      </c>
      <c r="B665" s="42" t="s">
        <v>8125</v>
      </c>
      <c r="C665" s="43" t="s">
        <v>6735</v>
      </c>
      <c r="D665" s="42" t="s">
        <v>4690</v>
      </c>
      <c r="E665" s="43" t="s">
        <v>4844</v>
      </c>
      <c r="F665" s="43" t="s">
        <v>4844</v>
      </c>
      <c r="G665" s="42" t="s">
        <v>6739</v>
      </c>
      <c r="H665" s="43" t="s">
        <v>4693</v>
      </c>
      <c r="I665" s="43" t="s">
        <v>6741</v>
      </c>
      <c r="J665" s="55"/>
      <c r="K665" s="119">
        <f>IFERROR(VLOOKUP(B665,BD_CONTROL!$A$5:$M$4235,11,0),"")</f>
        <v>0</v>
      </c>
      <c r="L665" s="120">
        <f>IFERROR(VLOOKUP(B665,BD_CONTROL!$A$5:$M$4235,12,0),"")</f>
        <v>0</v>
      </c>
      <c r="M665" s="121">
        <f>IFERROR(VLOOKUP(B665,BD_CONTROL!$A$5:$M$4235,13,0),"")</f>
        <v>0</v>
      </c>
    </row>
    <row r="666" spans="1:13" ht="15" customHeight="1">
      <c r="A666" s="39">
        <v>661</v>
      </c>
      <c r="B666" s="39" t="s">
        <v>8126</v>
      </c>
      <c r="C666" s="40" t="s">
        <v>6735</v>
      </c>
      <c r="D666" s="39" t="s">
        <v>4690</v>
      </c>
      <c r="E666" s="40" t="s">
        <v>4704</v>
      </c>
      <c r="F666" s="40" t="s">
        <v>4238</v>
      </c>
      <c r="G666" s="39" t="s">
        <v>6739</v>
      </c>
      <c r="H666" s="40" t="s">
        <v>4693</v>
      </c>
      <c r="I666" s="40" t="s">
        <v>6741</v>
      </c>
      <c r="J666" s="50"/>
      <c r="K666" s="116">
        <f>IFERROR(VLOOKUP(B666,BD_CONTROL!$A$5:$M$4235,11,0),"")</f>
        <v>0</v>
      </c>
      <c r="L666" s="117">
        <f>IFERROR(VLOOKUP(B666,BD_CONTROL!$A$5:$M$4235,12,0),"")</f>
        <v>0</v>
      </c>
      <c r="M666" s="118">
        <f>IFERROR(VLOOKUP(B666,BD_CONTROL!$A$5:$M$4235,13,0),"")</f>
        <v>0</v>
      </c>
    </row>
    <row r="667" spans="1:13" ht="15" customHeight="1">
      <c r="A667" s="42">
        <v>662</v>
      </c>
      <c r="B667" s="42" t="s">
        <v>8127</v>
      </c>
      <c r="C667" s="43" t="s">
        <v>6735</v>
      </c>
      <c r="D667" s="42" t="s">
        <v>4690</v>
      </c>
      <c r="E667" s="43" t="s">
        <v>5281</v>
      </c>
      <c r="F667" s="43" t="s">
        <v>5282</v>
      </c>
      <c r="G667" s="42" t="s">
        <v>6739</v>
      </c>
      <c r="H667" s="43" t="s">
        <v>4693</v>
      </c>
      <c r="I667" s="43" t="s">
        <v>6741</v>
      </c>
      <c r="J667" s="55"/>
      <c r="K667" s="119">
        <f>IFERROR(VLOOKUP(B667,BD_CONTROL!$A$5:$M$4235,11,0),"")</f>
        <v>0</v>
      </c>
      <c r="L667" s="120">
        <f>IFERROR(VLOOKUP(B667,BD_CONTROL!$A$5:$M$4235,12,0),"")</f>
        <v>0</v>
      </c>
      <c r="M667" s="121">
        <f>IFERROR(VLOOKUP(B667,BD_CONTROL!$A$5:$M$4235,13,0),"")</f>
        <v>0</v>
      </c>
    </row>
    <row r="668" spans="1:13" ht="15" customHeight="1">
      <c r="A668" s="39">
        <v>663</v>
      </c>
      <c r="B668" s="39" t="s">
        <v>8128</v>
      </c>
      <c r="C668" s="40" t="s">
        <v>6735</v>
      </c>
      <c r="D668" s="39" t="s">
        <v>4690</v>
      </c>
      <c r="E668" s="40" t="s">
        <v>4832</v>
      </c>
      <c r="F668" s="40" t="s">
        <v>4832</v>
      </c>
      <c r="G668" s="39" t="s">
        <v>6739</v>
      </c>
      <c r="H668" s="40" t="s">
        <v>4693</v>
      </c>
      <c r="I668" s="40" t="s">
        <v>6741</v>
      </c>
      <c r="J668" s="50"/>
      <c r="K668" s="116">
        <f>IFERROR(VLOOKUP(B668,BD_CONTROL!$A$5:$M$4235,11,0),"")</f>
        <v>0</v>
      </c>
      <c r="L668" s="117">
        <f>IFERROR(VLOOKUP(B668,BD_CONTROL!$A$5:$M$4235,12,0),"")</f>
        <v>0</v>
      </c>
      <c r="M668" s="118">
        <f>IFERROR(VLOOKUP(B668,BD_CONTROL!$A$5:$M$4235,13,0),"")</f>
        <v>0</v>
      </c>
    </row>
    <row r="669" spans="1:13" ht="15" customHeight="1">
      <c r="A669" s="42">
        <v>664</v>
      </c>
      <c r="B669" s="42" t="s">
        <v>8129</v>
      </c>
      <c r="C669" s="43" t="s">
        <v>6735</v>
      </c>
      <c r="D669" s="42" t="s">
        <v>4690</v>
      </c>
      <c r="E669" s="43" t="s">
        <v>5007</v>
      </c>
      <c r="F669" s="43" t="s">
        <v>5007</v>
      </c>
      <c r="G669" s="42" t="s">
        <v>6739</v>
      </c>
      <c r="H669" s="43" t="s">
        <v>4693</v>
      </c>
      <c r="I669" s="43" t="s">
        <v>6741</v>
      </c>
      <c r="J669" s="55"/>
      <c r="K669" s="119">
        <f>IFERROR(VLOOKUP(B669,BD_CONTROL!$A$5:$M$4235,11,0),"")</f>
        <v>0</v>
      </c>
      <c r="L669" s="120">
        <f>IFERROR(VLOOKUP(B669,BD_CONTROL!$A$5:$M$4235,12,0),"")</f>
        <v>0</v>
      </c>
      <c r="M669" s="121">
        <f>IFERROR(VLOOKUP(B669,BD_CONTROL!$A$5:$M$4235,13,0),"")</f>
        <v>0</v>
      </c>
    </row>
    <row r="670" spans="1:13" ht="15" customHeight="1">
      <c r="A670" s="39">
        <v>665</v>
      </c>
      <c r="B670" s="39" t="s">
        <v>8130</v>
      </c>
      <c r="C670" s="40" t="s">
        <v>6735</v>
      </c>
      <c r="D670" s="39" t="s">
        <v>4690</v>
      </c>
      <c r="E670" s="40" t="s">
        <v>8131</v>
      </c>
      <c r="F670" s="40" t="s">
        <v>8132</v>
      </c>
      <c r="G670" s="39" t="s">
        <v>6739</v>
      </c>
      <c r="H670" s="40" t="s">
        <v>4693</v>
      </c>
      <c r="I670" s="40" t="s">
        <v>6741</v>
      </c>
      <c r="J670" s="50"/>
      <c r="K670" s="116">
        <f>IFERROR(VLOOKUP(B670,BD_CONTROL!$A$5:$M$4235,11,0),"")</f>
        <v>0</v>
      </c>
      <c r="L670" s="117">
        <f>IFERROR(VLOOKUP(B670,BD_CONTROL!$A$5:$M$4235,12,0),"")</f>
        <v>0</v>
      </c>
      <c r="M670" s="118">
        <f>IFERROR(VLOOKUP(B670,BD_CONTROL!$A$5:$M$4235,13,0),"")</f>
        <v>0</v>
      </c>
    </row>
    <row r="671" spans="1:13" ht="15" customHeight="1">
      <c r="A671" s="42">
        <v>666</v>
      </c>
      <c r="B671" s="42" t="s">
        <v>8133</v>
      </c>
      <c r="C671" s="43" t="s">
        <v>6735</v>
      </c>
      <c r="D671" s="42" t="s">
        <v>4690</v>
      </c>
      <c r="E671" s="43" t="s">
        <v>503</v>
      </c>
      <c r="F671" s="43" t="s">
        <v>8134</v>
      </c>
      <c r="G671" s="42" t="s">
        <v>6739</v>
      </c>
      <c r="H671" s="43" t="s">
        <v>4693</v>
      </c>
      <c r="I671" s="43" t="s">
        <v>6741</v>
      </c>
      <c r="J671" s="55"/>
      <c r="K671" s="119">
        <f>IFERROR(VLOOKUP(B671,BD_CONTROL!$A$5:$M$4235,11,0),"")</f>
        <v>0</v>
      </c>
      <c r="L671" s="120">
        <f>IFERROR(VLOOKUP(B671,BD_CONTROL!$A$5:$M$4235,12,0),"")</f>
        <v>0</v>
      </c>
      <c r="M671" s="121">
        <f>IFERROR(VLOOKUP(B671,BD_CONTROL!$A$5:$M$4235,13,0),"")</f>
        <v>0</v>
      </c>
    </row>
    <row r="672" spans="1:13" ht="15" customHeight="1">
      <c r="A672" s="39">
        <v>667</v>
      </c>
      <c r="B672" s="39" t="s">
        <v>8135</v>
      </c>
      <c r="C672" s="40" t="s">
        <v>6735</v>
      </c>
      <c r="D672" s="39" t="s">
        <v>4690</v>
      </c>
      <c r="E672" s="40" t="s">
        <v>5152</v>
      </c>
      <c r="F672" s="40" t="s">
        <v>8136</v>
      </c>
      <c r="G672" s="39" t="s">
        <v>6739</v>
      </c>
      <c r="H672" s="40" t="s">
        <v>4693</v>
      </c>
      <c r="I672" s="40" t="s">
        <v>6741</v>
      </c>
      <c r="J672" s="50"/>
      <c r="K672" s="116">
        <f>IFERROR(VLOOKUP(B672,BD_CONTROL!$A$5:$M$4235,11,0),"")</f>
        <v>0</v>
      </c>
      <c r="L672" s="117">
        <f>IFERROR(VLOOKUP(B672,BD_CONTROL!$A$5:$M$4235,12,0),"")</f>
        <v>0</v>
      </c>
      <c r="M672" s="118">
        <f>IFERROR(VLOOKUP(B672,BD_CONTROL!$A$5:$M$4235,13,0),"")</f>
        <v>0</v>
      </c>
    </row>
    <row r="673" spans="1:13" ht="15" customHeight="1">
      <c r="A673" s="42">
        <v>668</v>
      </c>
      <c r="B673" s="42" t="s">
        <v>8137</v>
      </c>
      <c r="C673" s="43" t="s">
        <v>6735</v>
      </c>
      <c r="D673" s="42" t="s">
        <v>4690</v>
      </c>
      <c r="E673" s="43" t="s">
        <v>5294</v>
      </c>
      <c r="F673" s="43" t="s">
        <v>5294</v>
      </c>
      <c r="G673" s="42" t="s">
        <v>6739</v>
      </c>
      <c r="H673" s="43" t="s">
        <v>4693</v>
      </c>
      <c r="I673" s="43" t="s">
        <v>6741</v>
      </c>
      <c r="J673" s="55"/>
      <c r="K673" s="119">
        <f>IFERROR(VLOOKUP(B673,BD_CONTROL!$A$5:$M$4235,11,0),"")</f>
        <v>0</v>
      </c>
      <c r="L673" s="120">
        <f>IFERROR(VLOOKUP(B673,BD_CONTROL!$A$5:$M$4235,12,0),"")</f>
        <v>0</v>
      </c>
      <c r="M673" s="121">
        <f>IFERROR(VLOOKUP(B673,BD_CONTROL!$A$5:$M$4235,13,0),"")</f>
        <v>0</v>
      </c>
    </row>
    <row r="674" spans="1:13" ht="15" customHeight="1">
      <c r="A674" s="39">
        <v>669</v>
      </c>
      <c r="B674" s="39" t="s">
        <v>8138</v>
      </c>
      <c r="C674" s="40" t="s">
        <v>6735</v>
      </c>
      <c r="D674" s="39" t="s">
        <v>4690</v>
      </c>
      <c r="E674" s="40" t="s">
        <v>5379</v>
      </c>
      <c r="F674" s="40" t="s">
        <v>8139</v>
      </c>
      <c r="G674" s="39" t="s">
        <v>6739</v>
      </c>
      <c r="H674" s="40" t="s">
        <v>4693</v>
      </c>
      <c r="I674" s="40" t="s">
        <v>6741</v>
      </c>
      <c r="J674" s="50"/>
      <c r="K674" s="116">
        <f>IFERROR(VLOOKUP(B674,BD_CONTROL!$A$5:$M$4235,11,0),"")</f>
        <v>0</v>
      </c>
      <c r="L674" s="117">
        <f>IFERROR(VLOOKUP(B674,BD_CONTROL!$A$5:$M$4235,12,0),"")</f>
        <v>0</v>
      </c>
      <c r="M674" s="118">
        <f>IFERROR(VLOOKUP(B674,BD_CONTROL!$A$5:$M$4235,13,0),"")</f>
        <v>0</v>
      </c>
    </row>
    <row r="675" spans="1:13" ht="15" customHeight="1">
      <c r="A675" s="42">
        <v>670</v>
      </c>
      <c r="B675" s="42" t="s">
        <v>8140</v>
      </c>
      <c r="C675" s="43" t="s">
        <v>6735</v>
      </c>
      <c r="D675" s="42" t="s">
        <v>4690</v>
      </c>
      <c r="E675" s="43" t="s">
        <v>5379</v>
      </c>
      <c r="F675" s="43" t="s">
        <v>8139</v>
      </c>
      <c r="G675" s="42" t="s">
        <v>6739</v>
      </c>
      <c r="H675" s="43" t="s">
        <v>4693</v>
      </c>
      <c r="I675" s="43" t="s">
        <v>6741</v>
      </c>
      <c r="J675" s="55"/>
      <c r="K675" s="119">
        <f>IFERROR(VLOOKUP(B675,BD_CONTROL!$A$5:$M$4235,11,0),"")</f>
        <v>0</v>
      </c>
      <c r="L675" s="120">
        <f>IFERROR(VLOOKUP(B675,BD_CONTROL!$A$5:$M$4235,12,0),"")</f>
        <v>0</v>
      </c>
      <c r="M675" s="121">
        <f>IFERROR(VLOOKUP(B675,BD_CONTROL!$A$5:$M$4235,13,0),"")</f>
        <v>0</v>
      </c>
    </row>
    <row r="676" spans="1:13" ht="15" customHeight="1">
      <c r="A676" s="39">
        <v>671</v>
      </c>
      <c r="B676" s="39" t="s">
        <v>8141</v>
      </c>
      <c r="C676" s="40" t="s">
        <v>6735</v>
      </c>
      <c r="D676" s="39" t="s">
        <v>4690</v>
      </c>
      <c r="E676" s="40" t="s">
        <v>5379</v>
      </c>
      <c r="F676" s="40" t="s">
        <v>8139</v>
      </c>
      <c r="G676" s="39" t="s">
        <v>6739</v>
      </c>
      <c r="H676" s="40" t="s">
        <v>4693</v>
      </c>
      <c r="I676" s="40" t="s">
        <v>6741</v>
      </c>
      <c r="J676" s="50"/>
      <c r="K676" s="116">
        <f>IFERROR(VLOOKUP(B676,BD_CONTROL!$A$5:$M$4235,11,0),"")</f>
        <v>0</v>
      </c>
      <c r="L676" s="117">
        <f>IFERROR(VLOOKUP(B676,BD_CONTROL!$A$5:$M$4235,12,0),"")</f>
        <v>0</v>
      </c>
      <c r="M676" s="118">
        <f>IFERROR(VLOOKUP(B676,BD_CONTROL!$A$5:$M$4235,13,0),"")</f>
        <v>0</v>
      </c>
    </row>
    <row r="677" spans="1:13" ht="15" customHeight="1">
      <c r="A677" s="42">
        <v>672</v>
      </c>
      <c r="B677" s="42" t="s">
        <v>8142</v>
      </c>
      <c r="C677" s="43" t="s">
        <v>6735</v>
      </c>
      <c r="D677" s="42" t="s">
        <v>4690</v>
      </c>
      <c r="E677" s="43" t="s">
        <v>5379</v>
      </c>
      <c r="F677" s="43" t="s">
        <v>8139</v>
      </c>
      <c r="G677" s="42" t="s">
        <v>6739</v>
      </c>
      <c r="H677" s="43" t="s">
        <v>4693</v>
      </c>
      <c r="I677" s="43" t="s">
        <v>6741</v>
      </c>
      <c r="J677" s="55"/>
      <c r="K677" s="119">
        <f>IFERROR(VLOOKUP(B677,BD_CONTROL!$A$5:$M$4235,11,0),"")</f>
        <v>0</v>
      </c>
      <c r="L677" s="120">
        <f>IFERROR(VLOOKUP(B677,BD_CONTROL!$A$5:$M$4235,12,0),"")</f>
        <v>0</v>
      </c>
      <c r="M677" s="121">
        <f>IFERROR(VLOOKUP(B677,BD_CONTROL!$A$5:$M$4235,13,0),"")</f>
        <v>0</v>
      </c>
    </row>
    <row r="678" spans="1:13" ht="15" customHeight="1">
      <c r="A678" s="39">
        <v>673</v>
      </c>
      <c r="B678" s="39" t="s">
        <v>8143</v>
      </c>
      <c r="C678" s="40" t="s">
        <v>6735</v>
      </c>
      <c r="D678" s="39" t="s">
        <v>4690</v>
      </c>
      <c r="E678" s="40" t="s">
        <v>1086</v>
      </c>
      <c r="F678" s="40" t="s">
        <v>8144</v>
      </c>
      <c r="G678" s="39" t="s">
        <v>6739</v>
      </c>
      <c r="H678" s="40" t="s">
        <v>4693</v>
      </c>
      <c r="I678" s="40" t="s">
        <v>6741</v>
      </c>
      <c r="J678" s="50"/>
      <c r="K678" s="116">
        <f>IFERROR(VLOOKUP(B678,BD_CONTROL!$A$5:$M$4235,11,0),"")</f>
        <v>0</v>
      </c>
      <c r="L678" s="117">
        <f>IFERROR(VLOOKUP(B678,BD_CONTROL!$A$5:$M$4235,12,0),"")</f>
        <v>0</v>
      </c>
      <c r="M678" s="118">
        <f>IFERROR(VLOOKUP(B678,BD_CONTROL!$A$5:$M$4235,13,0),"")</f>
        <v>0</v>
      </c>
    </row>
    <row r="679" spans="1:13" ht="15" customHeight="1">
      <c r="A679" s="42">
        <v>674</v>
      </c>
      <c r="B679" s="42" t="s">
        <v>8145</v>
      </c>
      <c r="C679" s="43" t="s">
        <v>6735</v>
      </c>
      <c r="D679" s="42" t="s">
        <v>4690</v>
      </c>
      <c r="E679" s="43" t="s">
        <v>4744</v>
      </c>
      <c r="F679" s="43" t="s">
        <v>4744</v>
      </c>
      <c r="G679" s="42" t="s">
        <v>6739</v>
      </c>
      <c r="H679" s="43" t="s">
        <v>4693</v>
      </c>
      <c r="I679" s="43" t="s">
        <v>6741</v>
      </c>
      <c r="J679" s="55"/>
      <c r="K679" s="119">
        <f>IFERROR(VLOOKUP(B679,BD_CONTROL!$A$5:$M$4235,11,0),"")</f>
        <v>0</v>
      </c>
      <c r="L679" s="120">
        <f>IFERROR(VLOOKUP(B679,BD_CONTROL!$A$5:$M$4235,12,0),"")</f>
        <v>0</v>
      </c>
      <c r="M679" s="121">
        <f>IFERROR(VLOOKUP(B679,BD_CONTROL!$A$5:$M$4235,13,0),"")</f>
        <v>0</v>
      </c>
    </row>
    <row r="680" spans="1:13" ht="15" customHeight="1">
      <c r="A680" s="39">
        <v>675</v>
      </c>
      <c r="B680" s="39" t="s">
        <v>8146</v>
      </c>
      <c r="C680" s="40" t="s">
        <v>6735</v>
      </c>
      <c r="D680" s="39" t="s">
        <v>4690</v>
      </c>
      <c r="E680" s="40" t="s">
        <v>4744</v>
      </c>
      <c r="F680" s="40" t="s">
        <v>4744</v>
      </c>
      <c r="G680" s="39" t="s">
        <v>6739</v>
      </c>
      <c r="H680" s="40" t="s">
        <v>4693</v>
      </c>
      <c r="I680" s="40" t="s">
        <v>6741</v>
      </c>
      <c r="J680" s="50"/>
      <c r="K680" s="116" t="str">
        <f>IFERROR(VLOOKUP(B680,BD_CONTROL!$A$5:$M$4235,11,0),"")</f>
        <v>Instalado - Sin Señal</v>
      </c>
      <c r="L680" s="117">
        <f>IFERROR(VLOOKUP(B680,BD_CONTROL!$A$5:$M$4235,12,0),"")</f>
        <v>46150</v>
      </c>
      <c r="M680" s="118">
        <f>IFERROR(VLOOKUP(B680,BD_CONTROL!$A$5:$M$4235,13,0),"")</f>
        <v>0</v>
      </c>
    </row>
    <row r="681" spans="1:13" ht="15" customHeight="1">
      <c r="A681" s="42">
        <v>676</v>
      </c>
      <c r="B681" s="42" t="s">
        <v>8147</v>
      </c>
      <c r="C681" s="43" t="s">
        <v>6735</v>
      </c>
      <c r="D681" s="42" t="s">
        <v>4690</v>
      </c>
      <c r="E681" s="43" t="s">
        <v>4744</v>
      </c>
      <c r="F681" s="43" t="s">
        <v>4744</v>
      </c>
      <c r="G681" s="42" t="s">
        <v>6739</v>
      </c>
      <c r="H681" s="43" t="s">
        <v>4693</v>
      </c>
      <c r="I681" s="43" t="s">
        <v>6741</v>
      </c>
      <c r="J681" s="55"/>
      <c r="K681" s="119">
        <f>IFERROR(VLOOKUP(B681,BD_CONTROL!$A$5:$M$4235,11,0),"")</f>
        <v>0</v>
      </c>
      <c r="L681" s="120">
        <f>IFERROR(VLOOKUP(B681,BD_CONTROL!$A$5:$M$4235,12,0),"")</f>
        <v>0</v>
      </c>
      <c r="M681" s="121">
        <f>IFERROR(VLOOKUP(B681,BD_CONTROL!$A$5:$M$4235,13,0),"")</f>
        <v>0</v>
      </c>
    </row>
    <row r="682" spans="1:13" ht="15" customHeight="1">
      <c r="A682" s="39">
        <v>677</v>
      </c>
      <c r="B682" s="39" t="s">
        <v>8148</v>
      </c>
      <c r="C682" s="40" t="s">
        <v>6735</v>
      </c>
      <c r="D682" s="39" t="s">
        <v>4690</v>
      </c>
      <c r="E682" s="40" t="s">
        <v>4744</v>
      </c>
      <c r="F682" s="40" t="s">
        <v>4744</v>
      </c>
      <c r="G682" s="39" t="s">
        <v>6739</v>
      </c>
      <c r="H682" s="40" t="s">
        <v>4693</v>
      </c>
      <c r="I682" s="40" t="s">
        <v>6741</v>
      </c>
      <c r="J682" s="50"/>
      <c r="K682" s="116" t="str">
        <f>IFERROR(VLOOKUP(B682,BD_CONTROL!$A$5:$M$4235,11,0),"")</f>
        <v>Instalado - Operando</v>
      </c>
      <c r="L682" s="117">
        <f>IFERROR(VLOOKUP(B682,BD_CONTROL!$A$5:$M$4235,12,0),"")</f>
        <v>46151</v>
      </c>
      <c r="M682" s="118">
        <f>IFERROR(VLOOKUP(B682,BD_CONTROL!$A$5:$M$4235,13,0),"")</f>
        <v>0</v>
      </c>
    </row>
    <row r="683" spans="1:13" ht="15" customHeight="1">
      <c r="A683" s="42">
        <v>678</v>
      </c>
      <c r="B683" s="42" t="s">
        <v>8149</v>
      </c>
      <c r="C683" s="43" t="s">
        <v>6735</v>
      </c>
      <c r="D683" s="42" t="s">
        <v>4690</v>
      </c>
      <c r="E683" s="43" t="s">
        <v>4744</v>
      </c>
      <c r="F683" s="43" t="s">
        <v>4744</v>
      </c>
      <c r="G683" s="42" t="s">
        <v>6739</v>
      </c>
      <c r="H683" s="43" t="s">
        <v>4693</v>
      </c>
      <c r="I683" s="43" t="s">
        <v>6741</v>
      </c>
      <c r="J683" s="55"/>
      <c r="K683" s="119" t="str">
        <f>IFERROR(VLOOKUP(B683,BD_CONTROL!$A$5:$M$4235,11,0),"")</f>
        <v>Instalado - Operando</v>
      </c>
      <c r="L683" s="120">
        <f>IFERROR(VLOOKUP(B683,BD_CONTROL!$A$5:$M$4235,12,0),"")</f>
        <v>46150</v>
      </c>
      <c r="M683" s="121">
        <f>IFERROR(VLOOKUP(B683,BD_CONTROL!$A$5:$M$4235,13,0),"")</f>
        <v>0</v>
      </c>
    </row>
    <row r="684" spans="1:13" ht="15" customHeight="1">
      <c r="A684" s="39">
        <v>679</v>
      </c>
      <c r="B684" s="39" t="s">
        <v>8150</v>
      </c>
      <c r="C684" s="40" t="s">
        <v>6735</v>
      </c>
      <c r="D684" s="39" t="s">
        <v>4690</v>
      </c>
      <c r="E684" s="40" t="s">
        <v>4744</v>
      </c>
      <c r="F684" s="40" t="s">
        <v>4744</v>
      </c>
      <c r="G684" s="39" t="s">
        <v>6739</v>
      </c>
      <c r="H684" s="40" t="s">
        <v>4693</v>
      </c>
      <c r="I684" s="40" t="s">
        <v>6741</v>
      </c>
      <c r="J684" s="50"/>
      <c r="K684" s="116" t="str">
        <f>IFERROR(VLOOKUP(B684,BD_CONTROL!$A$5:$M$4235,11,0),"")</f>
        <v>Instalado - Operando</v>
      </c>
      <c r="L684" s="117">
        <f>IFERROR(VLOOKUP(B684,BD_CONTROL!$A$5:$M$4235,12,0),"")</f>
        <v>46148</v>
      </c>
      <c r="M684" s="118">
        <f>IFERROR(VLOOKUP(B684,BD_CONTROL!$A$5:$M$4235,13,0),"")</f>
        <v>0</v>
      </c>
    </row>
    <row r="685" spans="1:13" ht="15" customHeight="1">
      <c r="A685" s="42">
        <v>680</v>
      </c>
      <c r="B685" s="42" t="s">
        <v>8151</v>
      </c>
      <c r="C685" s="43" t="s">
        <v>6735</v>
      </c>
      <c r="D685" s="42" t="s">
        <v>4690</v>
      </c>
      <c r="E685" s="43" t="s">
        <v>4744</v>
      </c>
      <c r="F685" s="43" t="s">
        <v>4744</v>
      </c>
      <c r="G685" s="42" t="s">
        <v>6739</v>
      </c>
      <c r="H685" s="43" t="s">
        <v>4693</v>
      </c>
      <c r="I685" s="43" t="s">
        <v>6741</v>
      </c>
      <c r="J685" s="55"/>
      <c r="K685" s="119" t="str">
        <f>IFERROR(VLOOKUP(B685,BD_CONTROL!$A$5:$M$4235,11,0),"")</f>
        <v>Instalado - Operando</v>
      </c>
      <c r="L685" s="120">
        <f>IFERROR(VLOOKUP(B685,BD_CONTROL!$A$5:$M$4235,12,0),"")</f>
        <v>46151</v>
      </c>
      <c r="M685" s="121">
        <f>IFERROR(VLOOKUP(B685,BD_CONTROL!$A$5:$M$4235,13,0),"")</f>
        <v>0</v>
      </c>
    </row>
    <row r="686" spans="1:13" ht="15" customHeight="1">
      <c r="A686" s="39">
        <v>681</v>
      </c>
      <c r="B686" s="39" t="s">
        <v>8152</v>
      </c>
      <c r="C686" s="40" t="s">
        <v>6735</v>
      </c>
      <c r="D686" s="39" t="s">
        <v>4690</v>
      </c>
      <c r="E686" s="40" t="s">
        <v>4744</v>
      </c>
      <c r="F686" s="40" t="s">
        <v>4744</v>
      </c>
      <c r="G686" s="39" t="s">
        <v>6739</v>
      </c>
      <c r="H686" s="40" t="s">
        <v>4693</v>
      </c>
      <c r="I686" s="40" t="s">
        <v>6741</v>
      </c>
      <c r="J686" s="50"/>
      <c r="K686" s="116" t="str">
        <f>IFERROR(VLOOKUP(B686,BD_CONTROL!$A$5:$M$4235,11,0),"")</f>
        <v>Instalado - Sin Señal</v>
      </c>
      <c r="L686" s="117">
        <f>IFERROR(VLOOKUP(B686,BD_CONTROL!$A$5:$M$4235,12,0),"")</f>
        <v>46151</v>
      </c>
      <c r="M686" s="118">
        <f>IFERROR(VLOOKUP(B686,BD_CONTROL!$A$5:$M$4235,13,0),"")</f>
        <v>0</v>
      </c>
    </row>
    <row r="687" spans="1:13" ht="15" customHeight="1">
      <c r="A687" s="42">
        <v>682</v>
      </c>
      <c r="B687" s="42" t="s">
        <v>8153</v>
      </c>
      <c r="C687" s="43" t="s">
        <v>6735</v>
      </c>
      <c r="D687" s="42" t="s">
        <v>4690</v>
      </c>
      <c r="E687" s="43" t="s">
        <v>4744</v>
      </c>
      <c r="F687" s="43" t="s">
        <v>4744</v>
      </c>
      <c r="G687" s="42" t="s">
        <v>6739</v>
      </c>
      <c r="H687" s="43" t="s">
        <v>4693</v>
      </c>
      <c r="I687" s="43" t="s">
        <v>6741</v>
      </c>
      <c r="J687" s="55"/>
      <c r="K687" s="119" t="str">
        <f>IFERROR(VLOOKUP(B687,BD_CONTROL!$A$5:$M$4235,11,0),"")</f>
        <v>Instalado - Sin Señal</v>
      </c>
      <c r="L687" s="120">
        <f>IFERROR(VLOOKUP(B687,BD_CONTROL!$A$5:$M$4235,12,0),"")</f>
        <v>46151</v>
      </c>
      <c r="M687" s="121">
        <f>IFERROR(VLOOKUP(B687,BD_CONTROL!$A$5:$M$4235,13,0),"")</f>
        <v>0</v>
      </c>
    </row>
    <row r="688" spans="1:13" ht="15" customHeight="1">
      <c r="A688" s="39">
        <v>683</v>
      </c>
      <c r="B688" s="39" t="s">
        <v>8154</v>
      </c>
      <c r="C688" s="40" t="s">
        <v>6735</v>
      </c>
      <c r="D688" s="39" t="s">
        <v>4690</v>
      </c>
      <c r="E688" s="40" t="s">
        <v>4744</v>
      </c>
      <c r="F688" s="40" t="s">
        <v>4744</v>
      </c>
      <c r="G688" s="39" t="s">
        <v>6739</v>
      </c>
      <c r="H688" s="40" t="s">
        <v>4693</v>
      </c>
      <c r="I688" s="40" t="s">
        <v>6741</v>
      </c>
      <c r="J688" s="50"/>
      <c r="K688" s="116" t="str">
        <f>IFERROR(VLOOKUP(B688,BD_CONTROL!$A$5:$M$4235,11,0),"")</f>
        <v>Instalado - Operando</v>
      </c>
      <c r="L688" s="117">
        <f>IFERROR(VLOOKUP(B688,BD_CONTROL!$A$5:$M$4235,12,0),"")</f>
        <v>46148</v>
      </c>
      <c r="M688" s="118">
        <f>IFERROR(VLOOKUP(B688,BD_CONTROL!$A$5:$M$4235,13,0),"")</f>
        <v>0</v>
      </c>
    </row>
    <row r="689" spans="1:13" ht="15" customHeight="1">
      <c r="A689" s="42">
        <v>684</v>
      </c>
      <c r="B689" s="42" t="s">
        <v>8155</v>
      </c>
      <c r="C689" s="43" t="s">
        <v>6735</v>
      </c>
      <c r="D689" s="42" t="s">
        <v>4690</v>
      </c>
      <c r="E689" s="43" t="s">
        <v>4744</v>
      </c>
      <c r="F689" s="43" t="s">
        <v>4744</v>
      </c>
      <c r="G689" s="42" t="s">
        <v>6739</v>
      </c>
      <c r="H689" s="43" t="s">
        <v>4693</v>
      </c>
      <c r="I689" s="43" t="s">
        <v>6741</v>
      </c>
      <c r="J689" s="55"/>
      <c r="K689" s="119" t="str">
        <f>IFERROR(VLOOKUP(B689,BD_CONTROL!$A$5:$M$4235,11,0),"")</f>
        <v>Instalado - Sin Señal</v>
      </c>
      <c r="L689" s="120">
        <f>IFERROR(VLOOKUP(B689,BD_CONTROL!$A$5:$M$4235,12,0),"")</f>
        <v>46148</v>
      </c>
      <c r="M689" s="121">
        <f>IFERROR(VLOOKUP(B689,BD_CONTROL!$A$5:$M$4235,13,0),"")</f>
        <v>0</v>
      </c>
    </row>
    <row r="690" spans="1:13" ht="15" customHeight="1">
      <c r="A690" s="39">
        <v>685</v>
      </c>
      <c r="B690" s="39" t="s">
        <v>8156</v>
      </c>
      <c r="C690" s="40" t="s">
        <v>6735</v>
      </c>
      <c r="D690" s="39" t="s">
        <v>4690</v>
      </c>
      <c r="E690" s="40" t="s">
        <v>4744</v>
      </c>
      <c r="F690" s="40" t="s">
        <v>658</v>
      </c>
      <c r="G690" s="39" t="s">
        <v>6739</v>
      </c>
      <c r="H690" s="40" t="s">
        <v>4693</v>
      </c>
      <c r="I690" s="40" t="s">
        <v>6741</v>
      </c>
      <c r="J690" s="50"/>
      <c r="K690" s="116">
        <f>IFERROR(VLOOKUP(B690,BD_CONTROL!$A$5:$M$4235,11,0),"")</f>
        <v>0</v>
      </c>
      <c r="L690" s="117">
        <f>IFERROR(VLOOKUP(B690,BD_CONTROL!$A$5:$M$4235,12,0),"")</f>
        <v>0</v>
      </c>
      <c r="M690" s="118">
        <f>IFERROR(VLOOKUP(B690,BD_CONTROL!$A$5:$M$4235,13,0),"")</f>
        <v>0</v>
      </c>
    </row>
    <row r="691" spans="1:13" ht="15" customHeight="1">
      <c r="A691" s="42">
        <v>686</v>
      </c>
      <c r="B691" s="42" t="s">
        <v>8157</v>
      </c>
      <c r="C691" s="43" t="s">
        <v>6735</v>
      </c>
      <c r="D691" s="42" t="s">
        <v>4690</v>
      </c>
      <c r="E691" s="43" t="s">
        <v>4750</v>
      </c>
      <c r="F691" s="43" t="s">
        <v>8158</v>
      </c>
      <c r="G691" s="42" t="s">
        <v>6739</v>
      </c>
      <c r="H691" s="43" t="s">
        <v>4693</v>
      </c>
      <c r="I691" s="43" t="s">
        <v>6741</v>
      </c>
      <c r="J691" s="55"/>
      <c r="K691" s="119">
        <f>IFERROR(VLOOKUP(B691,BD_CONTROL!$A$5:$M$4235,11,0),"")</f>
        <v>0</v>
      </c>
      <c r="L691" s="120">
        <f>IFERROR(VLOOKUP(B691,BD_CONTROL!$A$5:$M$4235,12,0),"")</f>
        <v>0</v>
      </c>
      <c r="M691" s="121">
        <f>IFERROR(VLOOKUP(B691,BD_CONTROL!$A$5:$M$4235,13,0),"")</f>
        <v>0</v>
      </c>
    </row>
    <row r="692" spans="1:13" ht="15" customHeight="1">
      <c r="A692" s="39">
        <v>687</v>
      </c>
      <c r="B692" s="39" t="s">
        <v>8159</v>
      </c>
      <c r="C692" s="40" t="s">
        <v>6735</v>
      </c>
      <c r="D692" s="39" t="s">
        <v>4690</v>
      </c>
      <c r="E692" s="40" t="s">
        <v>4750</v>
      </c>
      <c r="F692" s="40" t="s">
        <v>8158</v>
      </c>
      <c r="G692" s="39" t="s">
        <v>6739</v>
      </c>
      <c r="H692" s="40" t="s">
        <v>4693</v>
      </c>
      <c r="I692" s="40" t="s">
        <v>6741</v>
      </c>
      <c r="J692" s="50"/>
      <c r="K692" s="116">
        <f>IFERROR(VLOOKUP(B692,BD_CONTROL!$A$5:$M$4235,11,0),"")</f>
        <v>0</v>
      </c>
      <c r="L692" s="117">
        <f>IFERROR(VLOOKUP(B692,BD_CONTROL!$A$5:$M$4235,12,0),"")</f>
        <v>0</v>
      </c>
      <c r="M692" s="118">
        <f>IFERROR(VLOOKUP(B692,BD_CONTROL!$A$5:$M$4235,13,0),"")</f>
        <v>0</v>
      </c>
    </row>
    <row r="693" spans="1:13" ht="15" customHeight="1">
      <c r="A693" s="42">
        <v>688</v>
      </c>
      <c r="B693" s="42" t="s">
        <v>8160</v>
      </c>
      <c r="C693" s="43" t="s">
        <v>6735</v>
      </c>
      <c r="D693" s="42" t="s">
        <v>4690</v>
      </c>
      <c r="E693" s="43" t="s">
        <v>4879</v>
      </c>
      <c r="F693" s="43" t="s">
        <v>4879</v>
      </c>
      <c r="G693" s="42" t="s">
        <v>6739</v>
      </c>
      <c r="H693" s="43" t="s">
        <v>4693</v>
      </c>
      <c r="I693" s="43" t="s">
        <v>6741</v>
      </c>
      <c r="J693" s="55"/>
      <c r="K693" s="119">
        <f>IFERROR(VLOOKUP(B693,BD_CONTROL!$A$5:$M$4235,11,0),"")</f>
        <v>0</v>
      </c>
      <c r="L693" s="120">
        <f>IFERROR(VLOOKUP(B693,BD_CONTROL!$A$5:$M$4235,12,0),"")</f>
        <v>0</v>
      </c>
      <c r="M693" s="121">
        <f>IFERROR(VLOOKUP(B693,BD_CONTROL!$A$5:$M$4235,13,0),"")</f>
        <v>0</v>
      </c>
    </row>
    <row r="694" spans="1:13" ht="15" customHeight="1">
      <c r="A694" s="39">
        <v>689</v>
      </c>
      <c r="B694" s="39" t="s">
        <v>8161</v>
      </c>
      <c r="C694" s="40" t="s">
        <v>6735</v>
      </c>
      <c r="D694" s="39" t="s">
        <v>4690</v>
      </c>
      <c r="E694" s="40" t="s">
        <v>5297</v>
      </c>
      <c r="F694" s="40" t="s">
        <v>5297</v>
      </c>
      <c r="G694" s="39" t="s">
        <v>6739</v>
      </c>
      <c r="H694" s="40" t="s">
        <v>4693</v>
      </c>
      <c r="I694" s="40" t="s">
        <v>6741</v>
      </c>
      <c r="J694" s="50"/>
      <c r="K694" s="116">
        <f>IFERROR(VLOOKUP(B694,BD_CONTROL!$A$5:$M$4235,11,0),"")</f>
        <v>0</v>
      </c>
      <c r="L694" s="117">
        <f>IFERROR(VLOOKUP(B694,BD_CONTROL!$A$5:$M$4235,12,0),"")</f>
        <v>0</v>
      </c>
      <c r="M694" s="118">
        <f>IFERROR(VLOOKUP(B694,BD_CONTROL!$A$5:$M$4235,13,0),"")</f>
        <v>0</v>
      </c>
    </row>
    <row r="695" spans="1:13" ht="15" customHeight="1">
      <c r="A695" s="42">
        <v>690</v>
      </c>
      <c r="B695" s="42" t="s">
        <v>8162</v>
      </c>
      <c r="C695" s="43" t="s">
        <v>6735</v>
      </c>
      <c r="D695" s="42" t="s">
        <v>4690</v>
      </c>
      <c r="E695" s="43" t="s">
        <v>4758</v>
      </c>
      <c r="F695" s="43" t="s">
        <v>8163</v>
      </c>
      <c r="G695" s="42" t="s">
        <v>6739</v>
      </c>
      <c r="H695" s="43" t="s">
        <v>4693</v>
      </c>
      <c r="I695" s="43" t="s">
        <v>6741</v>
      </c>
      <c r="J695" s="55"/>
      <c r="K695" s="119">
        <f>IFERROR(VLOOKUP(B695,BD_CONTROL!$A$5:$M$4235,11,0),"")</f>
        <v>0</v>
      </c>
      <c r="L695" s="120">
        <f>IFERROR(VLOOKUP(B695,BD_CONTROL!$A$5:$M$4235,12,0),"")</f>
        <v>0</v>
      </c>
      <c r="M695" s="121">
        <f>IFERROR(VLOOKUP(B695,BD_CONTROL!$A$5:$M$4235,13,0),"")</f>
        <v>0</v>
      </c>
    </row>
    <row r="696" spans="1:13" ht="15" customHeight="1">
      <c r="A696" s="39">
        <v>691</v>
      </c>
      <c r="B696" s="39" t="s">
        <v>8164</v>
      </c>
      <c r="C696" s="40" t="s">
        <v>6735</v>
      </c>
      <c r="D696" s="39" t="s">
        <v>4690</v>
      </c>
      <c r="E696" s="40" t="s">
        <v>8165</v>
      </c>
      <c r="F696" s="40" t="s">
        <v>8165</v>
      </c>
      <c r="G696" s="39" t="s">
        <v>6739</v>
      </c>
      <c r="H696" s="40" t="s">
        <v>4693</v>
      </c>
      <c r="I696" s="40" t="s">
        <v>6741</v>
      </c>
      <c r="J696" s="50"/>
      <c r="K696" s="116">
        <f>IFERROR(VLOOKUP(B696,BD_CONTROL!$A$5:$M$4235,11,0),"")</f>
        <v>0</v>
      </c>
      <c r="L696" s="117">
        <f>IFERROR(VLOOKUP(B696,BD_CONTROL!$A$5:$M$4235,12,0),"")</f>
        <v>0</v>
      </c>
      <c r="M696" s="118">
        <f>IFERROR(VLOOKUP(B696,BD_CONTROL!$A$5:$M$4235,13,0),"")</f>
        <v>0</v>
      </c>
    </row>
    <row r="697" spans="1:13" ht="15" customHeight="1">
      <c r="A697" s="42">
        <v>692</v>
      </c>
      <c r="B697" s="42" t="s">
        <v>8166</v>
      </c>
      <c r="C697" s="43" t="s">
        <v>6735</v>
      </c>
      <c r="D697" s="42" t="s">
        <v>4690</v>
      </c>
      <c r="E697" s="43" t="s">
        <v>4944</v>
      </c>
      <c r="F697" s="43" t="s">
        <v>8167</v>
      </c>
      <c r="G697" s="42" t="s">
        <v>6739</v>
      </c>
      <c r="H697" s="43" t="s">
        <v>4693</v>
      </c>
      <c r="I697" s="43" t="s">
        <v>6741</v>
      </c>
      <c r="J697" s="55"/>
      <c r="K697" s="119">
        <f>IFERROR(VLOOKUP(B697,BD_CONTROL!$A$5:$M$4235,11,0),"")</f>
        <v>0</v>
      </c>
      <c r="L697" s="120">
        <f>IFERROR(VLOOKUP(B697,BD_CONTROL!$A$5:$M$4235,12,0),"")</f>
        <v>0</v>
      </c>
      <c r="M697" s="121">
        <f>IFERROR(VLOOKUP(B697,BD_CONTROL!$A$5:$M$4235,13,0),"")</f>
        <v>0</v>
      </c>
    </row>
    <row r="698" spans="1:13" ht="15" customHeight="1">
      <c r="A698" s="39">
        <v>693</v>
      </c>
      <c r="B698" s="39" t="s">
        <v>8170</v>
      </c>
      <c r="C698" s="40" t="s">
        <v>6735</v>
      </c>
      <c r="D698" s="39" t="s">
        <v>4690</v>
      </c>
      <c r="E698" s="40" t="s">
        <v>5088</v>
      </c>
      <c r="F698" s="40" t="s">
        <v>8171</v>
      </c>
      <c r="G698" s="39" t="s">
        <v>6739</v>
      </c>
      <c r="H698" s="40" t="s">
        <v>4693</v>
      </c>
      <c r="I698" s="40" t="s">
        <v>6741</v>
      </c>
      <c r="J698" s="50"/>
      <c r="K698" s="116">
        <f>IFERROR(VLOOKUP(B698,BD_CONTROL!$A$5:$M$4235,11,0),"")</f>
        <v>0</v>
      </c>
      <c r="L698" s="117">
        <f>IFERROR(VLOOKUP(B698,BD_CONTROL!$A$5:$M$4235,12,0),"")</f>
        <v>0</v>
      </c>
      <c r="M698" s="118">
        <f>IFERROR(VLOOKUP(B698,BD_CONTROL!$A$5:$M$4235,13,0),"")</f>
        <v>0</v>
      </c>
    </row>
    <row r="699" spans="1:13" ht="15" customHeight="1">
      <c r="A699" s="42">
        <v>694</v>
      </c>
      <c r="B699" s="42" t="s">
        <v>8172</v>
      </c>
      <c r="C699" s="43" t="s">
        <v>6735</v>
      </c>
      <c r="D699" s="42" t="s">
        <v>4690</v>
      </c>
      <c r="E699" s="43" t="s">
        <v>4793</v>
      </c>
      <c r="F699" s="43" t="s">
        <v>4793</v>
      </c>
      <c r="G699" s="42" t="s">
        <v>6739</v>
      </c>
      <c r="H699" s="43" t="s">
        <v>4693</v>
      </c>
      <c r="I699" s="43" t="s">
        <v>6741</v>
      </c>
      <c r="J699" s="55"/>
      <c r="K699" s="119">
        <f>IFERROR(VLOOKUP(B699,BD_CONTROL!$A$5:$M$4235,11,0),"")</f>
        <v>0</v>
      </c>
      <c r="L699" s="120">
        <f>IFERROR(VLOOKUP(B699,BD_CONTROL!$A$5:$M$4235,12,0),"")</f>
        <v>0</v>
      </c>
      <c r="M699" s="121">
        <f>IFERROR(VLOOKUP(B699,BD_CONTROL!$A$5:$M$4235,13,0),"")</f>
        <v>0</v>
      </c>
    </row>
    <row r="700" spans="1:13" ht="15" customHeight="1">
      <c r="A700" s="39">
        <v>695</v>
      </c>
      <c r="B700" s="39" t="s">
        <v>8173</v>
      </c>
      <c r="C700" s="40" t="s">
        <v>6735</v>
      </c>
      <c r="D700" s="39" t="s">
        <v>4690</v>
      </c>
      <c r="E700" s="40" t="s">
        <v>4793</v>
      </c>
      <c r="F700" s="40" t="s">
        <v>5065</v>
      </c>
      <c r="G700" s="39" t="s">
        <v>6739</v>
      </c>
      <c r="H700" s="40" t="s">
        <v>4693</v>
      </c>
      <c r="I700" s="40" t="s">
        <v>6741</v>
      </c>
      <c r="J700" s="50"/>
      <c r="K700" s="116">
        <f>IFERROR(VLOOKUP(B700,BD_CONTROL!$A$5:$M$4235,11,0),"")</f>
        <v>0</v>
      </c>
      <c r="L700" s="117">
        <f>IFERROR(VLOOKUP(B700,BD_CONTROL!$A$5:$M$4235,12,0),"")</f>
        <v>0</v>
      </c>
      <c r="M700" s="118">
        <f>IFERROR(VLOOKUP(B700,BD_CONTROL!$A$5:$M$4235,13,0),"")</f>
        <v>0</v>
      </c>
    </row>
    <row r="701" spans="1:13" ht="15" customHeight="1">
      <c r="A701" s="42">
        <v>696</v>
      </c>
      <c r="B701" s="42" t="s">
        <v>8174</v>
      </c>
      <c r="C701" s="43" t="s">
        <v>6735</v>
      </c>
      <c r="D701" s="42" t="s">
        <v>4690</v>
      </c>
      <c r="E701" s="43" t="s">
        <v>4793</v>
      </c>
      <c r="F701" s="43" t="s">
        <v>2263</v>
      </c>
      <c r="G701" s="42" t="s">
        <v>6739</v>
      </c>
      <c r="H701" s="43" t="s">
        <v>4693</v>
      </c>
      <c r="I701" s="43" t="s">
        <v>6741</v>
      </c>
      <c r="J701" s="55"/>
      <c r="K701" s="119">
        <f>IFERROR(VLOOKUP(B701,BD_CONTROL!$A$5:$M$4235,11,0),"")</f>
        <v>0</v>
      </c>
      <c r="L701" s="120">
        <f>IFERROR(VLOOKUP(B701,BD_CONTROL!$A$5:$M$4235,12,0),"")</f>
        <v>0</v>
      </c>
      <c r="M701" s="121">
        <f>IFERROR(VLOOKUP(B701,BD_CONTROL!$A$5:$M$4235,13,0),"")</f>
        <v>0</v>
      </c>
    </row>
    <row r="702" spans="1:13" ht="15" customHeight="1">
      <c r="A702" s="39">
        <v>697</v>
      </c>
      <c r="B702" s="39" t="s">
        <v>8177</v>
      </c>
      <c r="C702" s="40" t="s">
        <v>6735</v>
      </c>
      <c r="D702" s="39" t="s">
        <v>4690</v>
      </c>
      <c r="E702" s="40" t="s">
        <v>8178</v>
      </c>
      <c r="F702" s="40" t="s">
        <v>8179</v>
      </c>
      <c r="G702" s="39" t="s">
        <v>6739</v>
      </c>
      <c r="H702" s="40" t="s">
        <v>4693</v>
      </c>
      <c r="I702" s="40" t="s">
        <v>6741</v>
      </c>
      <c r="J702" s="50"/>
      <c r="K702" s="116">
        <f>IFERROR(VLOOKUP(B702,BD_CONTROL!$A$5:$M$4235,11,0),"")</f>
        <v>0</v>
      </c>
      <c r="L702" s="117">
        <f>IFERROR(VLOOKUP(B702,BD_CONTROL!$A$5:$M$4235,12,0),"")</f>
        <v>0</v>
      </c>
      <c r="M702" s="118">
        <f>IFERROR(VLOOKUP(B702,BD_CONTROL!$A$5:$M$4235,13,0),"")</f>
        <v>0</v>
      </c>
    </row>
    <row r="703" spans="1:13" ht="15" customHeight="1">
      <c r="A703" s="42">
        <v>698</v>
      </c>
      <c r="B703" s="42" t="s">
        <v>8180</v>
      </c>
      <c r="C703" s="43" t="s">
        <v>6735</v>
      </c>
      <c r="D703" s="42" t="s">
        <v>4690</v>
      </c>
      <c r="E703" s="43" t="s">
        <v>8178</v>
      </c>
      <c r="F703" s="43" t="s">
        <v>8179</v>
      </c>
      <c r="G703" s="42" t="s">
        <v>6739</v>
      </c>
      <c r="H703" s="43" t="s">
        <v>4693</v>
      </c>
      <c r="I703" s="43" t="s">
        <v>6741</v>
      </c>
      <c r="J703" s="55"/>
      <c r="K703" s="119">
        <f>IFERROR(VLOOKUP(B703,BD_CONTROL!$A$5:$M$4235,11,0),"")</f>
        <v>0</v>
      </c>
      <c r="L703" s="120">
        <f>IFERROR(VLOOKUP(B703,BD_CONTROL!$A$5:$M$4235,12,0),"")</f>
        <v>0</v>
      </c>
      <c r="M703" s="121">
        <f>IFERROR(VLOOKUP(B703,BD_CONTROL!$A$5:$M$4235,13,0),"")</f>
        <v>0</v>
      </c>
    </row>
    <row r="704" spans="1:13" ht="15" customHeight="1">
      <c r="A704" s="39">
        <v>699</v>
      </c>
      <c r="B704" s="39" t="s">
        <v>8181</v>
      </c>
      <c r="C704" s="40" t="s">
        <v>6735</v>
      </c>
      <c r="D704" s="39" t="s">
        <v>4690</v>
      </c>
      <c r="E704" s="40" t="s">
        <v>4808</v>
      </c>
      <c r="F704" s="40" t="s">
        <v>8182</v>
      </c>
      <c r="G704" s="39" t="s">
        <v>6739</v>
      </c>
      <c r="H704" s="40" t="s">
        <v>4693</v>
      </c>
      <c r="I704" s="40" t="s">
        <v>6741</v>
      </c>
      <c r="J704" s="50"/>
      <c r="K704" s="116">
        <f>IFERROR(VLOOKUP(B704,BD_CONTROL!$A$5:$M$4235,11,0),"")</f>
        <v>0</v>
      </c>
      <c r="L704" s="117">
        <f>IFERROR(VLOOKUP(B704,BD_CONTROL!$A$5:$M$4235,12,0),"")</f>
        <v>0</v>
      </c>
      <c r="M704" s="118">
        <f>IFERROR(VLOOKUP(B704,BD_CONTROL!$A$5:$M$4235,13,0),"")</f>
        <v>0</v>
      </c>
    </row>
    <row r="705" spans="1:13" ht="15" customHeight="1">
      <c r="A705" s="42">
        <v>700</v>
      </c>
      <c r="B705" s="42" t="s">
        <v>8183</v>
      </c>
      <c r="C705" s="43" t="s">
        <v>6735</v>
      </c>
      <c r="D705" s="42" t="s">
        <v>4690</v>
      </c>
      <c r="E705" s="43" t="s">
        <v>4812</v>
      </c>
      <c r="F705" s="43" t="s">
        <v>4812</v>
      </c>
      <c r="G705" s="42" t="s">
        <v>6739</v>
      </c>
      <c r="H705" s="43" t="s">
        <v>4693</v>
      </c>
      <c r="I705" s="43" t="s">
        <v>6741</v>
      </c>
      <c r="J705" s="55"/>
      <c r="K705" s="119" t="str">
        <f>IFERROR(VLOOKUP(B705,BD_CONTROL!$A$5:$M$4235,11,0),"")</f>
        <v>Instalado - Operando</v>
      </c>
      <c r="L705" s="120">
        <f>IFERROR(VLOOKUP(B705,BD_CONTROL!$A$5:$M$4235,12,0),"")</f>
        <v>46150</v>
      </c>
      <c r="M705" s="121">
        <f>IFERROR(VLOOKUP(B705,BD_CONTROL!$A$5:$M$4235,13,0),"")</f>
        <v>0</v>
      </c>
    </row>
    <row r="706" spans="1:13" ht="15" customHeight="1">
      <c r="A706" s="39">
        <v>701</v>
      </c>
      <c r="B706" s="39" t="s">
        <v>8184</v>
      </c>
      <c r="C706" s="40" t="s">
        <v>6735</v>
      </c>
      <c r="D706" s="39" t="s">
        <v>4690</v>
      </c>
      <c r="E706" s="40" t="s">
        <v>4812</v>
      </c>
      <c r="F706" s="40" t="s">
        <v>4812</v>
      </c>
      <c r="G706" s="39" t="s">
        <v>6739</v>
      </c>
      <c r="H706" s="40" t="s">
        <v>4693</v>
      </c>
      <c r="I706" s="40" t="s">
        <v>6741</v>
      </c>
      <c r="J706" s="50"/>
      <c r="K706" s="116" t="str">
        <f>IFERROR(VLOOKUP(B706,BD_CONTROL!$A$5:$M$4235,11,0),"")</f>
        <v>Instalado - Operando</v>
      </c>
      <c r="L706" s="117">
        <f>IFERROR(VLOOKUP(B706,BD_CONTROL!$A$5:$M$4235,12,0),"")</f>
        <v>46149</v>
      </c>
      <c r="M706" s="118">
        <f>IFERROR(VLOOKUP(B706,BD_CONTROL!$A$5:$M$4235,13,0),"")</f>
        <v>0</v>
      </c>
    </row>
    <row r="707" spans="1:13" ht="15" customHeight="1">
      <c r="A707" s="42">
        <v>702</v>
      </c>
      <c r="B707" s="42" t="s">
        <v>8185</v>
      </c>
      <c r="C707" s="43" t="s">
        <v>6735</v>
      </c>
      <c r="D707" s="42" t="s">
        <v>4690</v>
      </c>
      <c r="E707" s="43" t="s">
        <v>4812</v>
      </c>
      <c r="F707" s="43" t="s">
        <v>8186</v>
      </c>
      <c r="G707" s="42" t="s">
        <v>6739</v>
      </c>
      <c r="H707" s="43" t="s">
        <v>4693</v>
      </c>
      <c r="I707" s="43" t="s">
        <v>6741</v>
      </c>
      <c r="J707" s="55"/>
      <c r="K707" s="119" t="str">
        <f>IFERROR(VLOOKUP(B707,BD_CONTROL!$A$5:$M$4235,11,0),"")</f>
        <v>Instalado - Operando</v>
      </c>
      <c r="L707" s="120">
        <f>IFERROR(VLOOKUP(B707,BD_CONTROL!$A$5:$M$4235,12,0),"")</f>
        <v>46149</v>
      </c>
      <c r="M707" s="121">
        <f>IFERROR(VLOOKUP(B707,BD_CONTROL!$A$5:$M$4235,13,0),"")</f>
        <v>0</v>
      </c>
    </row>
    <row r="708" spans="1:13" ht="15" customHeight="1">
      <c r="A708" s="39">
        <v>703</v>
      </c>
      <c r="B708" s="39" t="s">
        <v>8187</v>
      </c>
      <c r="C708" s="40" t="s">
        <v>6735</v>
      </c>
      <c r="D708" s="39" t="s">
        <v>4690</v>
      </c>
      <c r="E708" s="40" t="s">
        <v>4816</v>
      </c>
      <c r="F708" s="40" t="s">
        <v>4816</v>
      </c>
      <c r="G708" s="39" t="s">
        <v>6739</v>
      </c>
      <c r="H708" s="40" t="s">
        <v>4693</v>
      </c>
      <c r="I708" s="40" t="s">
        <v>6741</v>
      </c>
      <c r="J708" s="50"/>
      <c r="K708" s="116">
        <f>IFERROR(VLOOKUP(B708,BD_CONTROL!$A$5:$M$4235,11,0),"")</f>
        <v>0</v>
      </c>
      <c r="L708" s="117">
        <f>IFERROR(VLOOKUP(B708,BD_CONTROL!$A$5:$M$4235,12,0),"")</f>
        <v>0</v>
      </c>
      <c r="M708" s="118">
        <f>IFERROR(VLOOKUP(B708,BD_CONTROL!$A$5:$M$4235,13,0),"")</f>
        <v>0</v>
      </c>
    </row>
    <row r="709" spans="1:13" ht="15" customHeight="1">
      <c r="A709" s="42">
        <v>704</v>
      </c>
      <c r="B709" s="42" t="s">
        <v>8188</v>
      </c>
      <c r="C709" s="43" t="s">
        <v>6735</v>
      </c>
      <c r="D709" s="42" t="s">
        <v>4690</v>
      </c>
      <c r="E709" s="43" t="s">
        <v>423</v>
      </c>
      <c r="F709" s="43" t="s">
        <v>8189</v>
      </c>
      <c r="G709" s="42" t="s">
        <v>6739</v>
      </c>
      <c r="H709" s="43" t="s">
        <v>4693</v>
      </c>
      <c r="I709" s="43" t="s">
        <v>6741</v>
      </c>
      <c r="J709" s="55"/>
      <c r="K709" s="119">
        <f>IFERROR(VLOOKUP(B709,BD_CONTROL!$A$5:$M$4235,11,0),"")</f>
        <v>0</v>
      </c>
      <c r="L709" s="120">
        <f>IFERROR(VLOOKUP(B709,BD_CONTROL!$A$5:$M$4235,12,0),"")</f>
        <v>0</v>
      </c>
      <c r="M709" s="121">
        <f>IFERROR(VLOOKUP(B709,BD_CONTROL!$A$5:$M$4235,13,0),"")</f>
        <v>0</v>
      </c>
    </row>
    <row r="710" spans="1:13" ht="15" customHeight="1">
      <c r="A710" s="39">
        <v>705</v>
      </c>
      <c r="B710" s="39" t="s">
        <v>8190</v>
      </c>
      <c r="C710" s="40" t="s">
        <v>6735</v>
      </c>
      <c r="D710" s="39" t="s">
        <v>4690</v>
      </c>
      <c r="E710" s="40" t="s">
        <v>4820</v>
      </c>
      <c r="F710" s="40" t="s">
        <v>4820</v>
      </c>
      <c r="G710" s="39" t="s">
        <v>6739</v>
      </c>
      <c r="H710" s="40" t="s">
        <v>4693</v>
      </c>
      <c r="I710" s="40" t="s">
        <v>6741</v>
      </c>
      <c r="J710" s="50"/>
      <c r="K710" s="116">
        <f>IFERROR(VLOOKUP(B710,BD_CONTROL!$A$5:$M$4235,11,0),"")</f>
        <v>0</v>
      </c>
      <c r="L710" s="117">
        <f>IFERROR(VLOOKUP(B710,BD_CONTROL!$A$5:$M$4235,12,0),"")</f>
        <v>0</v>
      </c>
      <c r="M710" s="118">
        <f>IFERROR(VLOOKUP(B710,BD_CONTROL!$A$5:$M$4235,13,0),"")</f>
        <v>0</v>
      </c>
    </row>
    <row r="711" spans="1:13" ht="15" customHeight="1">
      <c r="A711" s="42">
        <v>706</v>
      </c>
      <c r="B711" s="42" t="s">
        <v>8191</v>
      </c>
      <c r="C711" s="43" t="s">
        <v>6735</v>
      </c>
      <c r="D711" s="42" t="s">
        <v>4690</v>
      </c>
      <c r="E711" s="43" t="s">
        <v>4868</v>
      </c>
      <c r="F711" s="43" t="s">
        <v>4868</v>
      </c>
      <c r="G711" s="42" t="s">
        <v>6739</v>
      </c>
      <c r="H711" s="43" t="s">
        <v>4693</v>
      </c>
      <c r="I711" s="43" t="s">
        <v>6741</v>
      </c>
      <c r="J711" s="55"/>
      <c r="K711" s="119">
        <f>IFERROR(VLOOKUP(B711,BD_CONTROL!$A$5:$M$4235,11,0),"")</f>
        <v>0</v>
      </c>
      <c r="L711" s="120">
        <f>IFERROR(VLOOKUP(B711,BD_CONTROL!$A$5:$M$4235,12,0),"")</f>
        <v>0</v>
      </c>
      <c r="M711" s="121">
        <f>IFERROR(VLOOKUP(B711,BD_CONTROL!$A$5:$M$4235,13,0),"")</f>
        <v>0</v>
      </c>
    </row>
    <row r="712" spans="1:13" ht="15" customHeight="1">
      <c r="A712" s="39">
        <v>707</v>
      </c>
      <c r="B712" s="39" t="s">
        <v>8192</v>
      </c>
      <c r="C712" s="40" t="s">
        <v>6735</v>
      </c>
      <c r="D712" s="39" t="s">
        <v>4690</v>
      </c>
      <c r="E712" s="40" t="s">
        <v>4824</v>
      </c>
      <c r="F712" s="40" t="s">
        <v>8193</v>
      </c>
      <c r="G712" s="39" t="s">
        <v>6739</v>
      </c>
      <c r="H712" s="40" t="s">
        <v>4693</v>
      </c>
      <c r="I712" s="40" t="s">
        <v>6741</v>
      </c>
      <c r="J712" s="50"/>
      <c r="K712" s="116">
        <f>IFERROR(VLOOKUP(B712,BD_CONTROL!$A$5:$M$4235,11,0),"")</f>
        <v>0</v>
      </c>
      <c r="L712" s="117">
        <f>IFERROR(VLOOKUP(B712,BD_CONTROL!$A$5:$M$4235,12,0),"")</f>
        <v>0</v>
      </c>
      <c r="M712" s="118">
        <f>IFERROR(VLOOKUP(B712,BD_CONTROL!$A$5:$M$4235,13,0),"")</f>
        <v>0</v>
      </c>
    </row>
    <row r="713" spans="1:13" ht="15" customHeight="1">
      <c r="A713" s="42">
        <v>708</v>
      </c>
      <c r="B713" s="42" t="s">
        <v>8194</v>
      </c>
      <c r="C713" s="43" t="s">
        <v>6735</v>
      </c>
      <c r="D713" s="42" t="s">
        <v>4690</v>
      </c>
      <c r="E713" s="43" t="s">
        <v>4824</v>
      </c>
      <c r="F713" s="43" t="s">
        <v>8193</v>
      </c>
      <c r="G713" s="42" t="s">
        <v>6739</v>
      </c>
      <c r="H713" s="43" t="s">
        <v>4693</v>
      </c>
      <c r="I713" s="43" t="s">
        <v>6741</v>
      </c>
      <c r="J713" s="55"/>
      <c r="K713" s="119">
        <f>IFERROR(VLOOKUP(B713,BD_CONTROL!$A$5:$M$4235,11,0),"")</f>
        <v>0</v>
      </c>
      <c r="L713" s="120">
        <f>IFERROR(VLOOKUP(B713,BD_CONTROL!$A$5:$M$4235,12,0),"")</f>
        <v>0</v>
      </c>
      <c r="M713" s="121">
        <f>IFERROR(VLOOKUP(B713,BD_CONTROL!$A$5:$M$4235,13,0),"")</f>
        <v>0</v>
      </c>
    </row>
    <row r="714" spans="1:13" ht="15" customHeight="1">
      <c r="A714" s="39">
        <v>709</v>
      </c>
      <c r="B714" s="39" t="s">
        <v>8195</v>
      </c>
      <c r="C714" s="40" t="s">
        <v>6735</v>
      </c>
      <c r="D714" s="39" t="s">
        <v>4690</v>
      </c>
      <c r="E714" s="40" t="s">
        <v>4824</v>
      </c>
      <c r="F714" s="40" t="s">
        <v>8196</v>
      </c>
      <c r="G714" s="39" t="s">
        <v>6739</v>
      </c>
      <c r="H714" s="40" t="s">
        <v>4693</v>
      </c>
      <c r="I714" s="40" t="s">
        <v>6741</v>
      </c>
      <c r="J714" s="50"/>
      <c r="K714" s="116">
        <f>IFERROR(VLOOKUP(B714,BD_CONTROL!$A$5:$M$4235,11,0),"")</f>
        <v>0</v>
      </c>
      <c r="L714" s="117">
        <f>IFERROR(VLOOKUP(B714,BD_CONTROL!$A$5:$M$4235,12,0),"")</f>
        <v>0</v>
      </c>
      <c r="M714" s="118">
        <f>IFERROR(VLOOKUP(B714,BD_CONTROL!$A$5:$M$4235,13,0),"")</f>
        <v>0</v>
      </c>
    </row>
    <row r="715" spans="1:13" ht="15" customHeight="1">
      <c r="A715" s="42">
        <v>710</v>
      </c>
      <c r="B715" s="42" t="s">
        <v>8197</v>
      </c>
      <c r="C715" s="43" t="s">
        <v>6735</v>
      </c>
      <c r="D715" s="42" t="s">
        <v>4690</v>
      </c>
      <c r="E715" s="43" t="s">
        <v>4824</v>
      </c>
      <c r="F715" s="43" t="s">
        <v>4825</v>
      </c>
      <c r="G715" s="42" t="s">
        <v>6739</v>
      </c>
      <c r="H715" s="43" t="s">
        <v>4693</v>
      </c>
      <c r="I715" s="43" t="s">
        <v>6741</v>
      </c>
      <c r="J715" s="55"/>
      <c r="K715" s="119">
        <f>IFERROR(VLOOKUP(B715,BD_CONTROL!$A$5:$M$4235,11,0),"")</f>
        <v>0</v>
      </c>
      <c r="L715" s="120">
        <f>IFERROR(VLOOKUP(B715,BD_CONTROL!$A$5:$M$4235,12,0),"")</f>
        <v>0</v>
      </c>
      <c r="M715" s="121">
        <f>IFERROR(VLOOKUP(B715,BD_CONTROL!$A$5:$M$4235,13,0),"")</f>
        <v>0</v>
      </c>
    </row>
    <row r="716" spans="1:13" ht="15" customHeight="1">
      <c r="A716" s="39">
        <v>711</v>
      </c>
      <c r="B716" s="39" t="s">
        <v>8198</v>
      </c>
      <c r="C716" s="40" t="s">
        <v>6735</v>
      </c>
      <c r="D716" s="39" t="s">
        <v>4690</v>
      </c>
      <c r="E716" s="40" t="s">
        <v>8199</v>
      </c>
      <c r="F716" s="40" t="s">
        <v>8199</v>
      </c>
      <c r="G716" s="39" t="s">
        <v>6739</v>
      </c>
      <c r="H716" s="40" t="s">
        <v>4693</v>
      </c>
      <c r="I716" s="40" t="s">
        <v>6741</v>
      </c>
      <c r="J716" s="50"/>
      <c r="K716" s="116">
        <f>IFERROR(VLOOKUP(B716,BD_CONTROL!$A$5:$M$4235,11,0),"")</f>
        <v>0</v>
      </c>
      <c r="L716" s="117">
        <f>IFERROR(VLOOKUP(B716,BD_CONTROL!$A$5:$M$4235,12,0),"")</f>
        <v>0</v>
      </c>
      <c r="M716" s="118">
        <f>IFERROR(VLOOKUP(B716,BD_CONTROL!$A$5:$M$4235,13,0),"")</f>
        <v>0</v>
      </c>
    </row>
    <row r="717" spans="1:13" ht="15" customHeight="1">
      <c r="A717" s="42">
        <v>712</v>
      </c>
      <c r="B717" s="42" t="s">
        <v>8200</v>
      </c>
      <c r="C717" s="43" t="s">
        <v>6735</v>
      </c>
      <c r="D717" s="42" t="s">
        <v>4690</v>
      </c>
      <c r="E717" s="43" t="s">
        <v>4967</v>
      </c>
      <c r="F717" s="43" t="s">
        <v>8201</v>
      </c>
      <c r="G717" s="42" t="s">
        <v>6739</v>
      </c>
      <c r="H717" s="43" t="s">
        <v>4693</v>
      </c>
      <c r="I717" s="43" t="s">
        <v>6741</v>
      </c>
      <c r="J717" s="55"/>
      <c r="K717" s="119" t="str">
        <f>IFERROR(VLOOKUP(B717,BD_CONTROL!$A$5:$M$4235,11,0),"")</f>
        <v>Instalado - Sin Señal</v>
      </c>
      <c r="L717" s="120">
        <f>IFERROR(VLOOKUP(B717,BD_CONTROL!$A$5:$M$4235,12,0),"")</f>
        <v>46149</v>
      </c>
      <c r="M717" s="121">
        <f>IFERROR(VLOOKUP(B717,BD_CONTROL!$A$5:$M$4235,13,0),"")</f>
        <v>0</v>
      </c>
    </row>
    <row r="718" spans="1:13" ht="15" customHeight="1">
      <c r="A718" s="39">
        <v>713</v>
      </c>
      <c r="B718" s="39" t="s">
        <v>8202</v>
      </c>
      <c r="C718" s="40" t="s">
        <v>6735</v>
      </c>
      <c r="D718" s="39" t="s">
        <v>4690</v>
      </c>
      <c r="E718" s="40" t="s">
        <v>4828</v>
      </c>
      <c r="F718" s="40" t="s">
        <v>8203</v>
      </c>
      <c r="G718" s="39" t="s">
        <v>6739</v>
      </c>
      <c r="H718" s="40" t="s">
        <v>4693</v>
      </c>
      <c r="I718" s="40" t="s">
        <v>6741</v>
      </c>
      <c r="J718" s="50"/>
      <c r="K718" s="116">
        <f>IFERROR(VLOOKUP(B718,BD_CONTROL!$A$5:$M$4235,11,0),"")</f>
        <v>0</v>
      </c>
      <c r="L718" s="117">
        <f>IFERROR(VLOOKUP(B718,BD_CONTROL!$A$5:$M$4235,12,0),"")</f>
        <v>0</v>
      </c>
      <c r="M718" s="118">
        <f>IFERROR(VLOOKUP(B718,BD_CONTROL!$A$5:$M$4235,13,0),"")</f>
        <v>0</v>
      </c>
    </row>
    <row r="719" spans="1:13" ht="15" customHeight="1">
      <c r="A719" s="42">
        <v>714</v>
      </c>
      <c r="B719" s="42" t="s">
        <v>8204</v>
      </c>
      <c r="C719" s="43" t="s">
        <v>6735</v>
      </c>
      <c r="D719" s="42" t="s">
        <v>4690</v>
      </c>
      <c r="E719" s="43" t="s">
        <v>4828</v>
      </c>
      <c r="F719" s="43" t="s">
        <v>8203</v>
      </c>
      <c r="G719" s="42" t="s">
        <v>6739</v>
      </c>
      <c r="H719" s="43" t="s">
        <v>4693</v>
      </c>
      <c r="I719" s="43" t="s">
        <v>6741</v>
      </c>
      <c r="J719" s="55"/>
      <c r="K719" s="119">
        <f>IFERROR(VLOOKUP(B719,BD_CONTROL!$A$5:$M$4235,11,0),"")</f>
        <v>0</v>
      </c>
      <c r="L719" s="120">
        <f>IFERROR(VLOOKUP(B719,BD_CONTROL!$A$5:$M$4235,12,0),"")</f>
        <v>0</v>
      </c>
      <c r="M719" s="121">
        <f>IFERROR(VLOOKUP(B719,BD_CONTROL!$A$5:$M$4235,13,0),"")</f>
        <v>0</v>
      </c>
    </row>
    <row r="720" spans="1:13" ht="15" customHeight="1">
      <c r="A720" s="39">
        <v>715</v>
      </c>
      <c r="B720" s="39" t="s">
        <v>8205</v>
      </c>
      <c r="C720" s="40" t="s">
        <v>6735</v>
      </c>
      <c r="D720" s="39" t="s">
        <v>4690</v>
      </c>
      <c r="E720" s="40" t="s">
        <v>4740</v>
      </c>
      <c r="F720" s="40" t="s">
        <v>8206</v>
      </c>
      <c r="G720" s="39" t="s">
        <v>6739</v>
      </c>
      <c r="H720" s="40" t="s">
        <v>4693</v>
      </c>
      <c r="I720" s="40" t="s">
        <v>6741</v>
      </c>
      <c r="J720" s="50"/>
      <c r="K720" s="116">
        <f>IFERROR(VLOOKUP(B720,BD_CONTROL!$A$5:$M$4235,11,0),"")</f>
        <v>0</v>
      </c>
      <c r="L720" s="117">
        <f>IFERROR(VLOOKUP(B720,BD_CONTROL!$A$5:$M$4235,12,0),"")</f>
        <v>0</v>
      </c>
      <c r="M720" s="118">
        <f>IFERROR(VLOOKUP(B720,BD_CONTROL!$A$5:$M$4235,13,0),"")</f>
        <v>0</v>
      </c>
    </row>
    <row r="721" spans="1:13" ht="15" customHeight="1">
      <c r="A721" s="42">
        <v>716</v>
      </c>
      <c r="B721" s="42" t="s">
        <v>8207</v>
      </c>
      <c r="C721" s="43" t="s">
        <v>6735</v>
      </c>
      <c r="D721" s="42" t="s">
        <v>4690</v>
      </c>
      <c r="E721" s="43" t="s">
        <v>4740</v>
      </c>
      <c r="F721" s="43" t="s">
        <v>8208</v>
      </c>
      <c r="G721" s="42" t="s">
        <v>6739</v>
      </c>
      <c r="H721" s="43" t="s">
        <v>4693</v>
      </c>
      <c r="I721" s="43" t="s">
        <v>6741</v>
      </c>
      <c r="J721" s="55"/>
      <c r="K721" s="119">
        <f>IFERROR(VLOOKUP(B721,BD_CONTROL!$A$5:$M$4235,11,0),"")</f>
        <v>0</v>
      </c>
      <c r="L721" s="120">
        <f>IFERROR(VLOOKUP(B721,BD_CONTROL!$A$5:$M$4235,12,0),"")</f>
        <v>0</v>
      </c>
      <c r="M721" s="121">
        <f>IFERROR(VLOOKUP(B721,BD_CONTROL!$A$5:$M$4235,13,0),"")</f>
        <v>0</v>
      </c>
    </row>
    <row r="722" spans="1:13" ht="15" customHeight="1">
      <c r="A722" s="39">
        <v>717</v>
      </c>
      <c r="B722" s="39" t="s">
        <v>8209</v>
      </c>
      <c r="C722" s="40" t="s">
        <v>6735</v>
      </c>
      <c r="D722" s="39" t="s">
        <v>4690</v>
      </c>
      <c r="E722" s="40" t="s">
        <v>4691</v>
      </c>
      <c r="F722" s="40" t="s">
        <v>4691</v>
      </c>
      <c r="G722" s="39" t="s">
        <v>6739</v>
      </c>
      <c r="H722" s="40" t="s">
        <v>4693</v>
      </c>
      <c r="I722" s="40" t="s">
        <v>6741</v>
      </c>
      <c r="J722" s="50"/>
      <c r="K722" s="116" t="str">
        <f>IFERROR(VLOOKUP(B722,BD_CONTROL!$A$5:$M$4235,11,0),"")</f>
        <v>Instalado - Operando</v>
      </c>
      <c r="L722" s="117">
        <f>IFERROR(VLOOKUP(B722,BD_CONTROL!$A$5:$M$4235,12,0),"")</f>
        <v>46148</v>
      </c>
      <c r="M722" s="118">
        <f>IFERROR(VLOOKUP(B722,BD_CONTROL!$A$5:$M$4235,13,0),"")</f>
        <v>0</v>
      </c>
    </row>
    <row r="723" spans="1:13" ht="15" customHeight="1">
      <c r="A723" s="42">
        <v>718</v>
      </c>
      <c r="B723" s="42" t="s">
        <v>8210</v>
      </c>
      <c r="C723" s="43" t="s">
        <v>6735</v>
      </c>
      <c r="D723" s="42" t="s">
        <v>4690</v>
      </c>
      <c r="E723" s="43" t="s">
        <v>4744</v>
      </c>
      <c r="F723" s="43" t="s">
        <v>4744</v>
      </c>
      <c r="G723" s="42" t="s">
        <v>6739</v>
      </c>
      <c r="H723" s="43" t="s">
        <v>4693</v>
      </c>
      <c r="I723" s="43" t="s">
        <v>6741</v>
      </c>
      <c r="J723" s="55"/>
      <c r="K723" s="119" t="str">
        <f>IFERROR(VLOOKUP(B723,BD_CONTROL!$A$5:$M$4235,11,0),"")</f>
        <v>Instalado - Sin Señal</v>
      </c>
      <c r="L723" s="120">
        <f>IFERROR(VLOOKUP(B723,BD_CONTROL!$A$5:$M$4235,12,0),"")</f>
        <v>46149</v>
      </c>
      <c r="M723" s="121">
        <f>IFERROR(VLOOKUP(B723,BD_CONTROL!$A$5:$M$4235,13,0),"")</f>
        <v>0</v>
      </c>
    </row>
    <row r="724" spans="1:13" ht="15" customHeight="1">
      <c r="A724" s="39">
        <v>719</v>
      </c>
      <c r="B724" s="39" t="s">
        <v>8211</v>
      </c>
      <c r="C724" s="40" t="s">
        <v>6735</v>
      </c>
      <c r="D724" s="39" t="s">
        <v>4690</v>
      </c>
      <c r="E724" s="40" t="s">
        <v>5088</v>
      </c>
      <c r="F724" s="40" t="s">
        <v>8212</v>
      </c>
      <c r="G724" s="39" t="s">
        <v>6739</v>
      </c>
      <c r="H724" s="40" t="s">
        <v>4693</v>
      </c>
      <c r="I724" s="40" t="s">
        <v>6741</v>
      </c>
      <c r="J724" s="50"/>
      <c r="K724" s="116">
        <f>IFERROR(VLOOKUP(B724,BD_CONTROL!$A$5:$M$4235,11,0),"")</f>
        <v>0</v>
      </c>
      <c r="L724" s="117">
        <f>IFERROR(VLOOKUP(B724,BD_CONTROL!$A$5:$M$4235,12,0),"")</f>
        <v>0</v>
      </c>
      <c r="M724" s="118">
        <f>IFERROR(VLOOKUP(B724,BD_CONTROL!$A$5:$M$4235,13,0),"")</f>
        <v>0</v>
      </c>
    </row>
    <row r="725" spans="1:13" ht="15" customHeight="1">
      <c r="A725" s="42">
        <v>720</v>
      </c>
      <c r="B725" s="42" t="s">
        <v>8213</v>
      </c>
      <c r="C725" s="43" t="s">
        <v>6735</v>
      </c>
      <c r="D725" s="42" t="s">
        <v>4690</v>
      </c>
      <c r="E725" s="43" t="s">
        <v>4812</v>
      </c>
      <c r="F725" s="43" t="s">
        <v>8214</v>
      </c>
      <c r="G725" s="42" t="s">
        <v>6739</v>
      </c>
      <c r="H725" s="43" t="s">
        <v>4693</v>
      </c>
      <c r="I725" s="43" t="s">
        <v>6741</v>
      </c>
      <c r="J725" s="55"/>
      <c r="K725" s="119" t="str">
        <f>IFERROR(VLOOKUP(B725,BD_CONTROL!$A$5:$M$4235,11,0),"")</f>
        <v>Instalado - Operando</v>
      </c>
      <c r="L725" s="120">
        <f>IFERROR(VLOOKUP(B725,BD_CONTROL!$A$5:$M$4235,12,0),"")</f>
        <v>46150</v>
      </c>
      <c r="M725" s="121">
        <f>IFERROR(VLOOKUP(B725,BD_CONTROL!$A$5:$M$4235,13,0),"")</f>
        <v>0</v>
      </c>
    </row>
    <row r="726" spans="1:13" ht="15" customHeight="1">
      <c r="A726" s="39">
        <v>721</v>
      </c>
      <c r="B726" s="39" t="s">
        <v>8215</v>
      </c>
      <c r="C726" s="40" t="s">
        <v>6735</v>
      </c>
      <c r="D726" s="39" t="s">
        <v>4690</v>
      </c>
      <c r="E726" s="40" t="s">
        <v>4828</v>
      </c>
      <c r="F726" s="40" t="s">
        <v>8203</v>
      </c>
      <c r="G726" s="39" t="s">
        <v>6739</v>
      </c>
      <c r="H726" s="40" t="s">
        <v>4693</v>
      </c>
      <c r="I726" s="40" t="s">
        <v>6741</v>
      </c>
      <c r="J726" s="50"/>
      <c r="K726" s="116">
        <f>IFERROR(VLOOKUP(B726,BD_CONTROL!$A$5:$M$4235,11,0),"")</f>
        <v>0</v>
      </c>
      <c r="L726" s="117">
        <f>IFERROR(VLOOKUP(B726,BD_CONTROL!$A$5:$M$4235,12,0),"")</f>
        <v>0</v>
      </c>
      <c r="M726" s="118">
        <f>IFERROR(VLOOKUP(B726,BD_CONTROL!$A$5:$M$4235,13,0),"")</f>
        <v>0</v>
      </c>
    </row>
    <row r="727" spans="1:13" ht="15" customHeight="1">
      <c r="A727" s="42">
        <v>722</v>
      </c>
      <c r="B727" s="42" t="s">
        <v>8216</v>
      </c>
      <c r="C727" s="43" t="s">
        <v>6735</v>
      </c>
      <c r="D727" s="42" t="s">
        <v>4690</v>
      </c>
      <c r="E727" s="43" t="s">
        <v>5088</v>
      </c>
      <c r="F727" s="43" t="s">
        <v>8217</v>
      </c>
      <c r="G727" s="42" t="s">
        <v>6739</v>
      </c>
      <c r="H727" s="43" t="s">
        <v>4693</v>
      </c>
      <c r="I727" s="43" t="s">
        <v>6741</v>
      </c>
      <c r="J727" s="55"/>
      <c r="K727" s="119">
        <f>IFERROR(VLOOKUP(B727,BD_CONTROL!$A$5:$M$4235,11,0),"")</f>
        <v>0</v>
      </c>
      <c r="L727" s="120">
        <f>IFERROR(VLOOKUP(B727,BD_CONTROL!$A$5:$M$4235,12,0),"")</f>
        <v>0</v>
      </c>
      <c r="M727" s="121">
        <f>IFERROR(VLOOKUP(B727,BD_CONTROL!$A$5:$M$4235,13,0),"")</f>
        <v>0</v>
      </c>
    </row>
    <row r="728" spans="1:13" ht="15" customHeight="1">
      <c r="A728" s="39">
        <v>723</v>
      </c>
      <c r="B728" s="39" t="s">
        <v>8218</v>
      </c>
      <c r="C728" s="40" t="s">
        <v>6735</v>
      </c>
      <c r="D728" s="39" t="s">
        <v>4690</v>
      </c>
      <c r="E728" s="40" t="s">
        <v>4744</v>
      </c>
      <c r="F728" s="40" t="s">
        <v>8219</v>
      </c>
      <c r="G728" s="39" t="s">
        <v>6739</v>
      </c>
      <c r="H728" s="40" t="s">
        <v>4693</v>
      </c>
      <c r="I728" s="40" t="s">
        <v>6741</v>
      </c>
      <c r="J728" s="50"/>
      <c r="K728" s="116">
        <f>IFERROR(VLOOKUP(B728,BD_CONTROL!$A$5:$M$4235,11,0),"")</f>
        <v>0</v>
      </c>
      <c r="L728" s="117">
        <f>IFERROR(VLOOKUP(B728,BD_CONTROL!$A$5:$M$4235,12,0),"")</f>
        <v>0</v>
      </c>
      <c r="M728" s="118">
        <f>IFERROR(VLOOKUP(B728,BD_CONTROL!$A$5:$M$4235,13,0),"")</f>
        <v>0</v>
      </c>
    </row>
    <row r="729" spans="1:13" ht="15" customHeight="1">
      <c r="A729" s="42">
        <v>724</v>
      </c>
      <c r="B729" s="42" t="s">
        <v>8220</v>
      </c>
      <c r="C729" s="43" t="s">
        <v>6735</v>
      </c>
      <c r="D729" s="42" t="s">
        <v>4690</v>
      </c>
      <c r="E729" s="43" t="s">
        <v>4744</v>
      </c>
      <c r="F729" s="43" t="s">
        <v>4744</v>
      </c>
      <c r="G729" s="42" t="s">
        <v>6739</v>
      </c>
      <c r="H729" s="43" t="s">
        <v>4693</v>
      </c>
      <c r="I729" s="43" t="s">
        <v>6741</v>
      </c>
      <c r="J729" s="55"/>
      <c r="K729" s="119" t="str">
        <f>IFERROR(VLOOKUP(B729,BD_CONTROL!$A$5:$M$4235,11,0),"")</f>
        <v>Instalado - Sin Señal</v>
      </c>
      <c r="L729" s="120">
        <f>IFERROR(VLOOKUP(B729,BD_CONTROL!$A$5:$M$4235,12,0),"")</f>
        <v>46148</v>
      </c>
      <c r="M729" s="121">
        <f>IFERROR(VLOOKUP(B729,BD_CONTROL!$A$5:$M$4235,13,0),"")</f>
        <v>0</v>
      </c>
    </row>
    <row r="730" spans="1:13" ht="15" customHeight="1">
      <c r="A730" s="39">
        <v>725</v>
      </c>
      <c r="B730" s="39" t="s">
        <v>8223</v>
      </c>
      <c r="C730" s="40" t="s">
        <v>6735</v>
      </c>
      <c r="D730" s="39" t="s">
        <v>4690</v>
      </c>
      <c r="E730" s="40" t="s">
        <v>4828</v>
      </c>
      <c r="F730" s="40" t="s">
        <v>8203</v>
      </c>
      <c r="G730" s="39" t="s">
        <v>6739</v>
      </c>
      <c r="H730" s="40" t="s">
        <v>4693</v>
      </c>
      <c r="I730" s="40" t="s">
        <v>6741</v>
      </c>
      <c r="J730" s="50"/>
      <c r="K730" s="116">
        <f>IFERROR(VLOOKUP(B730,BD_CONTROL!$A$5:$M$4235,11,0),"")</f>
        <v>0</v>
      </c>
      <c r="L730" s="117">
        <f>IFERROR(VLOOKUP(B730,BD_CONTROL!$A$5:$M$4235,12,0),"")</f>
        <v>0</v>
      </c>
      <c r="M730" s="118">
        <f>IFERROR(VLOOKUP(B730,BD_CONTROL!$A$5:$M$4235,13,0),"")</f>
        <v>0</v>
      </c>
    </row>
    <row r="731" spans="1:13" ht="15" customHeight="1">
      <c r="A731" s="42">
        <v>726</v>
      </c>
      <c r="B731" s="42" t="s">
        <v>8225</v>
      </c>
      <c r="C731" s="43" t="s">
        <v>6735</v>
      </c>
      <c r="D731" s="42" t="s">
        <v>4690</v>
      </c>
      <c r="E731" s="43" t="s">
        <v>4744</v>
      </c>
      <c r="F731" s="43" t="s">
        <v>8219</v>
      </c>
      <c r="G731" s="42" t="s">
        <v>6739</v>
      </c>
      <c r="H731" s="43" t="s">
        <v>4693</v>
      </c>
      <c r="I731" s="43" t="s">
        <v>6741</v>
      </c>
      <c r="J731" s="55"/>
      <c r="K731" s="119">
        <f>IFERROR(VLOOKUP(B731,BD_CONTROL!$A$5:$M$4235,11,0),"")</f>
        <v>0</v>
      </c>
      <c r="L731" s="120">
        <f>IFERROR(VLOOKUP(B731,BD_CONTROL!$A$5:$M$4235,12,0),"")</f>
        <v>0</v>
      </c>
      <c r="M731" s="121">
        <f>IFERROR(VLOOKUP(B731,BD_CONTROL!$A$5:$M$4235,13,0),"")</f>
        <v>0</v>
      </c>
    </row>
    <row r="732" spans="1:13" ht="15" customHeight="1">
      <c r="A732" s="39">
        <v>727</v>
      </c>
      <c r="B732" s="39" t="s">
        <v>8226</v>
      </c>
      <c r="C732" s="40" t="s">
        <v>6735</v>
      </c>
      <c r="D732" s="39" t="s">
        <v>4690</v>
      </c>
      <c r="E732" s="40" t="s">
        <v>4744</v>
      </c>
      <c r="F732" s="40" t="s">
        <v>4744</v>
      </c>
      <c r="G732" s="39" t="s">
        <v>6739</v>
      </c>
      <c r="H732" s="40" t="s">
        <v>4693</v>
      </c>
      <c r="I732" s="40" t="s">
        <v>6741</v>
      </c>
      <c r="J732" s="50"/>
      <c r="K732" s="116">
        <f>IFERROR(VLOOKUP(B732,BD_CONTROL!$A$5:$M$4235,11,0),"")</f>
        <v>0</v>
      </c>
      <c r="L732" s="117">
        <f>IFERROR(VLOOKUP(B732,BD_CONTROL!$A$5:$M$4235,12,0),"")</f>
        <v>0</v>
      </c>
      <c r="M732" s="118">
        <f>IFERROR(VLOOKUP(B732,BD_CONTROL!$A$5:$M$4235,13,0),"")</f>
        <v>0</v>
      </c>
    </row>
    <row r="733" spans="1:13" ht="15" customHeight="1">
      <c r="A733" s="42">
        <v>728</v>
      </c>
      <c r="B733" s="42" t="s">
        <v>8227</v>
      </c>
      <c r="C733" s="43" t="s">
        <v>6735</v>
      </c>
      <c r="D733" s="42" t="s">
        <v>4690</v>
      </c>
      <c r="E733" s="43" t="s">
        <v>4744</v>
      </c>
      <c r="F733" s="43" t="s">
        <v>4744</v>
      </c>
      <c r="G733" s="42" t="s">
        <v>6739</v>
      </c>
      <c r="H733" s="43" t="s">
        <v>4693</v>
      </c>
      <c r="I733" s="43" t="s">
        <v>6741</v>
      </c>
      <c r="J733" s="55"/>
      <c r="K733" s="119" t="str">
        <f>IFERROR(VLOOKUP(B733,BD_CONTROL!$A$5:$M$4235,11,0),"")</f>
        <v>Instalado - Sin Señal</v>
      </c>
      <c r="L733" s="120">
        <f>IFERROR(VLOOKUP(B733,BD_CONTROL!$A$5:$M$4235,12,0),"")</f>
        <v>46148</v>
      </c>
      <c r="M733" s="121">
        <f>IFERROR(VLOOKUP(B733,BD_CONTROL!$A$5:$M$4235,13,0),"")</f>
        <v>0</v>
      </c>
    </row>
    <row r="734" spans="1:13" ht="15" customHeight="1">
      <c r="A734" s="39">
        <v>729</v>
      </c>
      <c r="B734" s="39" t="s">
        <v>8228</v>
      </c>
      <c r="C734" s="40" t="s">
        <v>6735</v>
      </c>
      <c r="D734" s="39" t="s">
        <v>4690</v>
      </c>
      <c r="E734" s="40" t="s">
        <v>5160</v>
      </c>
      <c r="F734" s="40" t="s">
        <v>8229</v>
      </c>
      <c r="G734" s="39" t="s">
        <v>6739</v>
      </c>
      <c r="H734" s="40" t="s">
        <v>4693</v>
      </c>
      <c r="I734" s="40" t="s">
        <v>6741</v>
      </c>
      <c r="J734" s="50"/>
      <c r="K734" s="116">
        <f>IFERROR(VLOOKUP(B734,BD_CONTROL!$A$5:$M$4235,11,0),"")</f>
        <v>0</v>
      </c>
      <c r="L734" s="117">
        <f>IFERROR(VLOOKUP(B734,BD_CONTROL!$A$5:$M$4235,12,0),"")</f>
        <v>0</v>
      </c>
      <c r="M734" s="118">
        <f>IFERROR(VLOOKUP(B734,BD_CONTROL!$A$5:$M$4235,13,0),"")</f>
        <v>0</v>
      </c>
    </row>
    <row r="735" spans="1:13" ht="15" customHeight="1">
      <c r="A735" s="42">
        <v>730</v>
      </c>
      <c r="B735" s="42" t="s">
        <v>8230</v>
      </c>
      <c r="C735" s="43" t="s">
        <v>6735</v>
      </c>
      <c r="D735" s="42" t="s">
        <v>4690</v>
      </c>
      <c r="E735" s="43" t="s">
        <v>4691</v>
      </c>
      <c r="F735" s="43" t="s">
        <v>4692</v>
      </c>
      <c r="G735" s="42" t="s">
        <v>6739</v>
      </c>
      <c r="H735" s="43" t="s">
        <v>4693</v>
      </c>
      <c r="I735" s="43" t="s">
        <v>6741</v>
      </c>
      <c r="J735" s="55"/>
      <c r="K735" s="119" t="str">
        <f>IFERROR(VLOOKUP(B735,BD_CONTROL!$A$5:$M$4235,11,0),"")</f>
        <v>Instalado - Operando</v>
      </c>
      <c r="L735" s="120">
        <f>IFERROR(VLOOKUP(B735,BD_CONTROL!$A$5:$M$4235,12,0),"")</f>
        <v>46147</v>
      </c>
      <c r="M735" s="121">
        <f>IFERROR(VLOOKUP(B735,BD_CONTROL!$A$5:$M$4235,13,0),"")</f>
        <v>0</v>
      </c>
    </row>
    <row r="736" spans="1:13" ht="15" customHeight="1">
      <c r="A736" s="39">
        <v>731</v>
      </c>
      <c r="B736" s="39" t="s">
        <v>8231</v>
      </c>
      <c r="C736" s="40" t="s">
        <v>6735</v>
      </c>
      <c r="D736" s="39" t="s">
        <v>4690</v>
      </c>
      <c r="E736" s="40" t="s">
        <v>5013</v>
      </c>
      <c r="F736" s="40" t="s">
        <v>8232</v>
      </c>
      <c r="G736" s="39" t="s">
        <v>6739</v>
      </c>
      <c r="H736" s="40" t="s">
        <v>4693</v>
      </c>
      <c r="I736" s="40" t="s">
        <v>6741</v>
      </c>
      <c r="J736" s="50"/>
      <c r="K736" s="116">
        <f>IFERROR(VLOOKUP(B736,BD_CONTROL!$A$5:$M$4235,11,0),"")</f>
        <v>0</v>
      </c>
      <c r="L736" s="117">
        <f>IFERROR(VLOOKUP(B736,BD_CONTROL!$A$5:$M$4235,12,0),"")</f>
        <v>0</v>
      </c>
      <c r="M736" s="118">
        <f>IFERROR(VLOOKUP(B736,BD_CONTROL!$A$5:$M$4235,13,0),"")</f>
        <v>0</v>
      </c>
    </row>
    <row r="737" spans="1:13" ht="15" customHeight="1">
      <c r="A737" s="42">
        <v>732</v>
      </c>
      <c r="B737" s="42" t="s">
        <v>8233</v>
      </c>
      <c r="C737" s="43" t="s">
        <v>6735</v>
      </c>
      <c r="D737" s="42" t="s">
        <v>4690</v>
      </c>
      <c r="E737" s="43" t="s">
        <v>5134</v>
      </c>
      <c r="F737" s="43" t="s">
        <v>5135</v>
      </c>
      <c r="G737" s="42" t="s">
        <v>6739</v>
      </c>
      <c r="H737" s="43" t="s">
        <v>4693</v>
      </c>
      <c r="I737" s="43" t="s">
        <v>6741</v>
      </c>
      <c r="J737" s="55"/>
      <c r="K737" s="119">
        <f>IFERROR(VLOOKUP(B737,BD_CONTROL!$A$5:$M$4235,11,0),"")</f>
        <v>0</v>
      </c>
      <c r="L737" s="120">
        <f>IFERROR(VLOOKUP(B737,BD_CONTROL!$A$5:$M$4235,12,0),"")</f>
        <v>0</v>
      </c>
      <c r="M737" s="121">
        <f>IFERROR(VLOOKUP(B737,BD_CONTROL!$A$5:$M$4235,13,0),"")</f>
        <v>0</v>
      </c>
    </row>
    <row r="738" spans="1:13" ht="15" customHeight="1">
      <c r="A738" s="39">
        <v>733</v>
      </c>
      <c r="B738" s="39" t="s">
        <v>8234</v>
      </c>
      <c r="C738" s="40" t="s">
        <v>6735</v>
      </c>
      <c r="D738" s="39" t="s">
        <v>4690</v>
      </c>
      <c r="E738" s="40" t="s">
        <v>4740</v>
      </c>
      <c r="F738" s="40" t="s">
        <v>4836</v>
      </c>
      <c r="G738" s="39" t="s">
        <v>6739</v>
      </c>
      <c r="H738" s="40" t="s">
        <v>4693</v>
      </c>
      <c r="I738" s="40" t="s">
        <v>6741</v>
      </c>
      <c r="J738" s="50"/>
      <c r="K738" s="116">
        <f>IFERROR(VLOOKUP(B738,BD_CONTROL!$A$5:$M$4235,11,0),"")</f>
        <v>0</v>
      </c>
      <c r="L738" s="117">
        <f>IFERROR(VLOOKUP(B738,BD_CONTROL!$A$5:$M$4235,12,0),"")</f>
        <v>0</v>
      </c>
      <c r="M738" s="118">
        <f>IFERROR(VLOOKUP(B738,BD_CONTROL!$A$5:$M$4235,13,0),"")</f>
        <v>0</v>
      </c>
    </row>
    <row r="739" spans="1:13" ht="15" customHeight="1">
      <c r="A739" s="42">
        <v>734</v>
      </c>
      <c r="B739" s="42" t="s">
        <v>8235</v>
      </c>
      <c r="C739" s="43" t="s">
        <v>6735</v>
      </c>
      <c r="D739" s="42" t="s">
        <v>4690</v>
      </c>
      <c r="E739" s="43" t="s">
        <v>4824</v>
      </c>
      <c r="F739" s="43" t="s">
        <v>8193</v>
      </c>
      <c r="G739" s="42" t="s">
        <v>6739</v>
      </c>
      <c r="H739" s="43" t="s">
        <v>4693</v>
      </c>
      <c r="I739" s="43" t="s">
        <v>6741</v>
      </c>
      <c r="J739" s="55"/>
      <c r="K739" s="119">
        <f>IFERROR(VLOOKUP(B739,BD_CONTROL!$A$5:$M$4235,11,0),"")</f>
        <v>0</v>
      </c>
      <c r="L739" s="120">
        <f>IFERROR(VLOOKUP(B739,BD_CONTROL!$A$5:$M$4235,12,0),"")</f>
        <v>0</v>
      </c>
      <c r="M739" s="121">
        <f>IFERROR(VLOOKUP(B739,BD_CONTROL!$A$5:$M$4235,13,0),"")</f>
        <v>0</v>
      </c>
    </row>
    <row r="740" spans="1:13" ht="15" customHeight="1">
      <c r="A740" s="39">
        <v>735</v>
      </c>
      <c r="B740" s="39" t="s">
        <v>8236</v>
      </c>
      <c r="C740" s="40" t="s">
        <v>6735</v>
      </c>
      <c r="D740" s="39" t="s">
        <v>4690</v>
      </c>
      <c r="E740" s="40" t="s">
        <v>4944</v>
      </c>
      <c r="F740" s="40" t="s">
        <v>8167</v>
      </c>
      <c r="G740" s="39" t="s">
        <v>6739</v>
      </c>
      <c r="H740" s="40" t="s">
        <v>4693</v>
      </c>
      <c r="I740" s="40" t="s">
        <v>6741</v>
      </c>
      <c r="J740" s="50"/>
      <c r="K740" s="116">
        <f>IFERROR(VLOOKUP(B740,BD_CONTROL!$A$5:$M$4235,11,0),"")</f>
        <v>0</v>
      </c>
      <c r="L740" s="117">
        <f>IFERROR(VLOOKUP(B740,BD_CONTROL!$A$5:$M$4235,12,0),"")</f>
        <v>0</v>
      </c>
      <c r="M740" s="118">
        <f>IFERROR(VLOOKUP(B740,BD_CONTROL!$A$5:$M$4235,13,0),"")</f>
        <v>0</v>
      </c>
    </row>
    <row r="741" spans="1:13" ht="15" customHeight="1">
      <c r="A741" s="42">
        <v>736</v>
      </c>
      <c r="B741" s="42" t="s">
        <v>8237</v>
      </c>
      <c r="C741" s="43" t="s">
        <v>6735</v>
      </c>
      <c r="D741" s="42" t="s">
        <v>4690</v>
      </c>
      <c r="E741" s="43" t="s">
        <v>4729</v>
      </c>
      <c r="F741" s="43" t="s">
        <v>8238</v>
      </c>
      <c r="G741" s="42" t="s">
        <v>6739</v>
      </c>
      <c r="H741" s="43" t="s">
        <v>4693</v>
      </c>
      <c r="I741" s="43" t="s">
        <v>6741</v>
      </c>
      <c r="J741" s="55"/>
      <c r="K741" s="119">
        <f>IFERROR(VLOOKUP(B741,BD_CONTROL!$A$5:$M$4235,11,0),"")</f>
        <v>0</v>
      </c>
      <c r="L741" s="120">
        <f>IFERROR(VLOOKUP(B741,BD_CONTROL!$A$5:$M$4235,12,0),"")</f>
        <v>0</v>
      </c>
      <c r="M741" s="121">
        <f>IFERROR(VLOOKUP(B741,BD_CONTROL!$A$5:$M$4235,13,0),"")</f>
        <v>0</v>
      </c>
    </row>
    <row r="742" spans="1:13" ht="15" customHeight="1">
      <c r="A742" s="39">
        <v>737</v>
      </c>
      <c r="B742" s="39" t="s">
        <v>8239</v>
      </c>
      <c r="C742" s="40" t="s">
        <v>6735</v>
      </c>
      <c r="D742" s="39" t="s">
        <v>4690</v>
      </c>
      <c r="E742" s="40" t="s">
        <v>4820</v>
      </c>
      <c r="F742" s="40" t="s">
        <v>8240</v>
      </c>
      <c r="G742" s="39" t="s">
        <v>6739</v>
      </c>
      <c r="H742" s="40" t="s">
        <v>4693</v>
      </c>
      <c r="I742" s="40" t="s">
        <v>6741</v>
      </c>
      <c r="J742" s="50"/>
      <c r="K742" s="116">
        <f>IFERROR(VLOOKUP(B742,BD_CONTROL!$A$5:$M$4235,11,0),"")</f>
        <v>0</v>
      </c>
      <c r="L742" s="117">
        <f>IFERROR(VLOOKUP(B742,BD_CONTROL!$A$5:$M$4235,12,0),"")</f>
        <v>0</v>
      </c>
      <c r="M742" s="118">
        <f>IFERROR(VLOOKUP(B742,BD_CONTROL!$A$5:$M$4235,13,0),"")</f>
        <v>0</v>
      </c>
    </row>
    <row r="743" spans="1:13" ht="15" customHeight="1">
      <c r="A743" s="42">
        <v>738</v>
      </c>
      <c r="B743" s="42" t="s">
        <v>8241</v>
      </c>
      <c r="C743" s="43" t="s">
        <v>6735</v>
      </c>
      <c r="D743" s="42" t="s">
        <v>4690</v>
      </c>
      <c r="E743" s="43" t="s">
        <v>4736</v>
      </c>
      <c r="F743" s="43" t="s">
        <v>8242</v>
      </c>
      <c r="G743" s="42" t="s">
        <v>6739</v>
      </c>
      <c r="H743" s="43" t="s">
        <v>4693</v>
      </c>
      <c r="I743" s="43" t="s">
        <v>6741</v>
      </c>
      <c r="J743" s="55"/>
      <c r="K743" s="119">
        <f>IFERROR(VLOOKUP(B743,BD_CONTROL!$A$5:$M$4235,11,0),"")</f>
        <v>0</v>
      </c>
      <c r="L743" s="120">
        <f>IFERROR(VLOOKUP(B743,BD_CONTROL!$A$5:$M$4235,12,0),"")</f>
        <v>0</v>
      </c>
      <c r="M743" s="121">
        <f>IFERROR(VLOOKUP(B743,BD_CONTROL!$A$5:$M$4235,13,0),"")</f>
        <v>0</v>
      </c>
    </row>
    <row r="744" spans="1:13" ht="15" customHeight="1">
      <c r="A744" s="39">
        <v>739</v>
      </c>
      <c r="B744" s="39" t="s">
        <v>8246</v>
      </c>
      <c r="C744" s="40" t="s">
        <v>6735</v>
      </c>
      <c r="D744" s="39" t="s">
        <v>4690</v>
      </c>
      <c r="E744" s="40" t="s">
        <v>5379</v>
      </c>
      <c r="F744" s="40" t="s">
        <v>8139</v>
      </c>
      <c r="G744" s="39" t="s">
        <v>6739</v>
      </c>
      <c r="H744" s="40" t="s">
        <v>4693</v>
      </c>
      <c r="I744" s="40" t="s">
        <v>6741</v>
      </c>
      <c r="J744" s="50"/>
      <c r="K744" s="116">
        <f>IFERROR(VLOOKUP(B744,BD_CONTROL!$A$5:$M$4235,11,0),"")</f>
        <v>0</v>
      </c>
      <c r="L744" s="117">
        <f>IFERROR(VLOOKUP(B744,BD_CONTROL!$A$5:$M$4235,12,0),"")</f>
        <v>0</v>
      </c>
      <c r="M744" s="118">
        <f>IFERROR(VLOOKUP(B744,BD_CONTROL!$A$5:$M$4235,13,0),"")</f>
        <v>0</v>
      </c>
    </row>
    <row r="745" spans="1:13" ht="15" customHeight="1">
      <c r="A745" s="42">
        <v>740</v>
      </c>
      <c r="B745" s="42" t="s">
        <v>8247</v>
      </c>
      <c r="C745" s="43" t="s">
        <v>6735</v>
      </c>
      <c r="D745" s="42" t="s">
        <v>4690</v>
      </c>
      <c r="E745" s="43" t="s">
        <v>4812</v>
      </c>
      <c r="F745" s="43" t="s">
        <v>4812</v>
      </c>
      <c r="G745" s="42" t="s">
        <v>6739</v>
      </c>
      <c r="H745" s="43" t="s">
        <v>4693</v>
      </c>
      <c r="I745" s="43" t="s">
        <v>6741</v>
      </c>
      <c r="J745" s="55"/>
      <c r="K745" s="119">
        <f>IFERROR(VLOOKUP(B745,BD_CONTROL!$A$5:$M$4235,11,0),"")</f>
        <v>0</v>
      </c>
      <c r="L745" s="120">
        <f>IFERROR(VLOOKUP(B745,BD_CONTROL!$A$5:$M$4235,12,0),"")</f>
        <v>0</v>
      </c>
      <c r="M745" s="121">
        <f>IFERROR(VLOOKUP(B745,BD_CONTROL!$A$5:$M$4235,13,0),"")</f>
        <v>0</v>
      </c>
    </row>
    <row r="746" spans="1:13" ht="15" customHeight="1">
      <c r="A746" s="39">
        <v>741</v>
      </c>
      <c r="B746" s="39" t="s">
        <v>8248</v>
      </c>
      <c r="C746" s="40" t="s">
        <v>6735</v>
      </c>
      <c r="D746" s="39" t="s">
        <v>4690</v>
      </c>
      <c r="E746" s="40" t="s">
        <v>4993</v>
      </c>
      <c r="F746" s="40" t="s">
        <v>4993</v>
      </c>
      <c r="G746" s="39" t="s">
        <v>6739</v>
      </c>
      <c r="H746" s="40" t="s">
        <v>4693</v>
      </c>
      <c r="I746" s="40" t="s">
        <v>6741</v>
      </c>
      <c r="J746" s="50"/>
      <c r="K746" s="116">
        <f>IFERROR(VLOOKUP(B746,BD_CONTROL!$A$5:$M$4235,11,0),"")</f>
        <v>0</v>
      </c>
      <c r="L746" s="117">
        <f>IFERROR(VLOOKUP(B746,BD_CONTROL!$A$5:$M$4235,12,0),"")</f>
        <v>0</v>
      </c>
      <c r="M746" s="118">
        <f>IFERROR(VLOOKUP(B746,BD_CONTROL!$A$5:$M$4235,13,0),"")</f>
        <v>0</v>
      </c>
    </row>
    <row r="747" spans="1:13" ht="15" customHeight="1">
      <c r="A747" s="42">
        <v>742</v>
      </c>
      <c r="B747" s="42" t="s">
        <v>8249</v>
      </c>
      <c r="C747" s="43" t="s">
        <v>6735</v>
      </c>
      <c r="D747" s="42" t="s">
        <v>4690</v>
      </c>
      <c r="E747" s="43" t="s">
        <v>5443</v>
      </c>
      <c r="F747" s="43" t="s">
        <v>5443</v>
      </c>
      <c r="G747" s="42" t="s">
        <v>6739</v>
      </c>
      <c r="H747" s="43" t="s">
        <v>4693</v>
      </c>
      <c r="I747" s="43" t="s">
        <v>6741</v>
      </c>
      <c r="J747" s="55"/>
      <c r="K747" s="119">
        <f>IFERROR(VLOOKUP(B747,BD_CONTROL!$A$5:$M$4235,11,0),"")</f>
        <v>0</v>
      </c>
      <c r="L747" s="120">
        <f>IFERROR(VLOOKUP(B747,BD_CONTROL!$A$5:$M$4235,12,0),"")</f>
        <v>0</v>
      </c>
      <c r="M747" s="121">
        <f>IFERROR(VLOOKUP(B747,BD_CONTROL!$A$5:$M$4235,13,0),"")</f>
        <v>0</v>
      </c>
    </row>
    <row r="748" spans="1:13" ht="15" customHeight="1">
      <c r="A748" s="39">
        <v>743</v>
      </c>
      <c r="B748" s="39" t="s">
        <v>8250</v>
      </c>
      <c r="C748" s="40" t="s">
        <v>6735</v>
      </c>
      <c r="D748" s="39" t="s">
        <v>4690</v>
      </c>
      <c r="E748" s="40" t="s">
        <v>4744</v>
      </c>
      <c r="F748" s="40" t="s">
        <v>4744</v>
      </c>
      <c r="G748" s="39" t="s">
        <v>6739</v>
      </c>
      <c r="H748" s="40" t="s">
        <v>4693</v>
      </c>
      <c r="I748" s="40" t="s">
        <v>6741</v>
      </c>
      <c r="J748" s="50"/>
      <c r="K748" s="116" t="str">
        <f>IFERROR(VLOOKUP(B748,BD_CONTROL!$A$5:$M$4235,11,0),"")</f>
        <v>Instalado - Operando</v>
      </c>
      <c r="L748" s="117">
        <f>IFERROR(VLOOKUP(B748,BD_CONTROL!$A$5:$M$4235,12,0),"")</f>
        <v>46148</v>
      </c>
      <c r="M748" s="118">
        <f>IFERROR(VLOOKUP(B748,BD_CONTROL!$A$5:$M$4235,13,0),"")</f>
        <v>0</v>
      </c>
    </row>
    <row r="749" spans="1:13" ht="15" customHeight="1">
      <c r="A749" s="42">
        <v>744</v>
      </c>
      <c r="B749" s="42" t="s">
        <v>8251</v>
      </c>
      <c r="C749" s="43" t="s">
        <v>6735</v>
      </c>
      <c r="D749" s="42" t="s">
        <v>4690</v>
      </c>
      <c r="E749" s="43" t="s">
        <v>4828</v>
      </c>
      <c r="F749" s="43" t="s">
        <v>8203</v>
      </c>
      <c r="G749" s="42" t="s">
        <v>6739</v>
      </c>
      <c r="H749" s="43" t="s">
        <v>4693</v>
      </c>
      <c r="I749" s="43" t="s">
        <v>6741</v>
      </c>
      <c r="J749" s="55"/>
      <c r="K749" s="119">
        <f>IFERROR(VLOOKUP(B749,BD_CONTROL!$A$5:$M$4235,11,0),"")</f>
        <v>0</v>
      </c>
      <c r="L749" s="120">
        <f>IFERROR(VLOOKUP(B749,BD_CONTROL!$A$5:$M$4235,12,0),"")</f>
        <v>0</v>
      </c>
      <c r="M749" s="121">
        <f>IFERROR(VLOOKUP(B749,BD_CONTROL!$A$5:$M$4235,13,0),"")</f>
        <v>0</v>
      </c>
    </row>
    <row r="750" spans="1:13" ht="15" customHeight="1">
      <c r="A750" s="39">
        <v>745</v>
      </c>
      <c r="B750" s="39" t="s">
        <v>8252</v>
      </c>
      <c r="C750" s="40" t="s">
        <v>6735</v>
      </c>
      <c r="D750" s="39" t="s">
        <v>4690</v>
      </c>
      <c r="E750" s="40" t="s">
        <v>4812</v>
      </c>
      <c r="F750" s="40" t="s">
        <v>4812</v>
      </c>
      <c r="G750" s="39" t="s">
        <v>6739</v>
      </c>
      <c r="H750" s="40" t="s">
        <v>4693</v>
      </c>
      <c r="I750" s="40" t="s">
        <v>6741</v>
      </c>
      <c r="J750" s="50"/>
      <c r="K750" s="116" t="str">
        <f>IFERROR(VLOOKUP(B750,BD_CONTROL!$A$5:$M$4235,11,0),"")</f>
        <v>Instalado - Sin Señal</v>
      </c>
      <c r="L750" s="117">
        <f>IFERROR(VLOOKUP(B750,BD_CONTROL!$A$5:$M$4235,12,0),"")</f>
        <v>46149</v>
      </c>
      <c r="M750" s="118">
        <f>IFERROR(VLOOKUP(B750,BD_CONTROL!$A$5:$M$4235,13,0),"")</f>
        <v>0</v>
      </c>
    </row>
    <row r="751" spans="1:13" ht="15" customHeight="1">
      <c r="A751" s="42">
        <v>746</v>
      </c>
      <c r="B751" s="42" t="s">
        <v>8253</v>
      </c>
      <c r="C751" s="43" t="s">
        <v>6735</v>
      </c>
      <c r="D751" s="42" t="s">
        <v>4690</v>
      </c>
      <c r="E751" s="43" t="s">
        <v>4857</v>
      </c>
      <c r="F751" s="43" t="s">
        <v>8254</v>
      </c>
      <c r="G751" s="42" t="s">
        <v>6739</v>
      </c>
      <c r="H751" s="43" t="s">
        <v>4693</v>
      </c>
      <c r="I751" s="43" t="s">
        <v>6741</v>
      </c>
      <c r="J751" s="55"/>
      <c r="K751" s="119">
        <f>IFERROR(VLOOKUP(B751,BD_CONTROL!$A$5:$M$4235,11,0),"")</f>
        <v>0</v>
      </c>
      <c r="L751" s="120">
        <f>IFERROR(VLOOKUP(B751,BD_CONTROL!$A$5:$M$4235,12,0),"")</f>
        <v>0</v>
      </c>
      <c r="M751" s="121">
        <f>IFERROR(VLOOKUP(B751,BD_CONTROL!$A$5:$M$4235,13,0),"")</f>
        <v>0</v>
      </c>
    </row>
    <row r="752" spans="1:13" ht="15" customHeight="1">
      <c r="A752" s="39">
        <v>747</v>
      </c>
      <c r="B752" s="39" t="s">
        <v>8255</v>
      </c>
      <c r="C752" s="40" t="s">
        <v>6735</v>
      </c>
      <c r="D752" s="39" t="s">
        <v>4690</v>
      </c>
      <c r="E752" s="40" t="s">
        <v>2756</v>
      </c>
      <c r="F752" s="40" t="s">
        <v>8256</v>
      </c>
      <c r="G752" s="39" t="s">
        <v>6739</v>
      </c>
      <c r="H752" s="40" t="s">
        <v>4693</v>
      </c>
      <c r="I752" s="40" t="s">
        <v>6741</v>
      </c>
      <c r="J752" s="50"/>
      <c r="K752" s="116">
        <f>IFERROR(VLOOKUP(B752,BD_CONTROL!$A$5:$M$4235,11,0),"")</f>
        <v>0</v>
      </c>
      <c r="L752" s="117">
        <f>IFERROR(VLOOKUP(B752,BD_CONTROL!$A$5:$M$4235,12,0),"")</f>
        <v>0</v>
      </c>
      <c r="M752" s="118">
        <f>IFERROR(VLOOKUP(B752,BD_CONTROL!$A$5:$M$4235,13,0),"")</f>
        <v>0</v>
      </c>
    </row>
    <row r="753" spans="1:13" ht="15" customHeight="1">
      <c r="A753" s="42">
        <v>748</v>
      </c>
      <c r="B753" s="42" t="s">
        <v>8257</v>
      </c>
      <c r="C753" s="43" t="s">
        <v>6735</v>
      </c>
      <c r="D753" s="42" t="s">
        <v>4690</v>
      </c>
      <c r="E753" s="43" t="s">
        <v>4872</v>
      </c>
      <c r="F753" s="43" t="s">
        <v>8258</v>
      </c>
      <c r="G753" s="42" t="s">
        <v>6739</v>
      </c>
      <c r="H753" s="43" t="s">
        <v>4693</v>
      </c>
      <c r="I753" s="43" t="s">
        <v>6741</v>
      </c>
      <c r="J753" s="55"/>
      <c r="K753" s="119">
        <f>IFERROR(VLOOKUP(B753,BD_CONTROL!$A$5:$M$4235,11,0),"")</f>
        <v>0</v>
      </c>
      <c r="L753" s="120">
        <f>IFERROR(VLOOKUP(B753,BD_CONTROL!$A$5:$M$4235,12,0),"")</f>
        <v>0</v>
      </c>
      <c r="M753" s="121">
        <f>IFERROR(VLOOKUP(B753,BD_CONTROL!$A$5:$M$4235,13,0),"")</f>
        <v>0</v>
      </c>
    </row>
    <row r="754" spans="1:13" ht="15" customHeight="1">
      <c r="A754" s="39">
        <v>749</v>
      </c>
      <c r="B754" s="39" t="s">
        <v>8259</v>
      </c>
      <c r="C754" s="40" t="s">
        <v>6735</v>
      </c>
      <c r="D754" s="39" t="s">
        <v>4690</v>
      </c>
      <c r="E754" s="40" t="s">
        <v>4736</v>
      </c>
      <c r="F754" s="40" t="s">
        <v>8242</v>
      </c>
      <c r="G754" s="39" t="s">
        <v>6739</v>
      </c>
      <c r="H754" s="40" t="s">
        <v>4693</v>
      </c>
      <c r="I754" s="40" t="s">
        <v>6741</v>
      </c>
      <c r="J754" s="50"/>
      <c r="K754" s="116">
        <f>IFERROR(VLOOKUP(B754,BD_CONTROL!$A$5:$M$4235,11,0),"")</f>
        <v>0</v>
      </c>
      <c r="L754" s="117">
        <f>IFERROR(VLOOKUP(B754,BD_CONTROL!$A$5:$M$4235,12,0),"")</f>
        <v>0</v>
      </c>
      <c r="M754" s="118">
        <f>IFERROR(VLOOKUP(B754,BD_CONTROL!$A$5:$M$4235,13,0),"")</f>
        <v>0</v>
      </c>
    </row>
    <row r="755" spans="1:13" ht="15" customHeight="1">
      <c r="A755" s="42">
        <v>750</v>
      </c>
      <c r="B755" s="42" t="s">
        <v>8260</v>
      </c>
      <c r="C755" s="43" t="s">
        <v>6735</v>
      </c>
      <c r="D755" s="42" t="s">
        <v>4690</v>
      </c>
      <c r="E755" s="43" t="s">
        <v>5297</v>
      </c>
      <c r="F755" s="43" t="s">
        <v>5297</v>
      </c>
      <c r="G755" s="42" t="s">
        <v>6739</v>
      </c>
      <c r="H755" s="43" t="s">
        <v>4693</v>
      </c>
      <c r="I755" s="43" t="s">
        <v>6741</v>
      </c>
      <c r="J755" s="55"/>
      <c r="K755" s="119">
        <f>IFERROR(VLOOKUP(B755,BD_CONTROL!$A$5:$M$4235,11,0),"")</f>
        <v>0</v>
      </c>
      <c r="L755" s="120">
        <f>IFERROR(VLOOKUP(B755,BD_CONTROL!$A$5:$M$4235,12,0),"")</f>
        <v>0</v>
      </c>
      <c r="M755" s="121">
        <f>IFERROR(VLOOKUP(B755,BD_CONTROL!$A$5:$M$4235,13,0),"")</f>
        <v>0</v>
      </c>
    </row>
    <row r="756" spans="1:13" ht="15" customHeight="1">
      <c r="A756" s="39">
        <v>751</v>
      </c>
      <c r="B756" s="39" t="s">
        <v>8261</v>
      </c>
      <c r="C756" s="40" t="s">
        <v>6735</v>
      </c>
      <c r="D756" s="39" t="s">
        <v>4690</v>
      </c>
      <c r="E756" s="40" t="s">
        <v>4816</v>
      </c>
      <c r="F756" s="40" t="s">
        <v>4816</v>
      </c>
      <c r="G756" s="39" t="s">
        <v>6739</v>
      </c>
      <c r="H756" s="40" t="s">
        <v>4693</v>
      </c>
      <c r="I756" s="40" t="s">
        <v>6741</v>
      </c>
      <c r="J756" s="50"/>
      <c r="K756" s="116">
        <f>IFERROR(VLOOKUP(B756,BD_CONTROL!$A$5:$M$4235,11,0),"")</f>
        <v>0</v>
      </c>
      <c r="L756" s="117">
        <f>IFERROR(VLOOKUP(B756,BD_CONTROL!$A$5:$M$4235,12,0),"")</f>
        <v>0</v>
      </c>
      <c r="M756" s="118">
        <f>IFERROR(VLOOKUP(B756,BD_CONTROL!$A$5:$M$4235,13,0),"")</f>
        <v>0</v>
      </c>
    </row>
    <row r="757" spans="1:13" ht="15" customHeight="1">
      <c r="A757" s="42">
        <v>752</v>
      </c>
      <c r="B757" s="42" t="s">
        <v>8262</v>
      </c>
      <c r="C757" s="43" t="s">
        <v>6735</v>
      </c>
      <c r="D757" s="42" t="s">
        <v>4690</v>
      </c>
      <c r="E757" s="43" t="s">
        <v>4824</v>
      </c>
      <c r="F757" s="43" t="s">
        <v>8193</v>
      </c>
      <c r="G757" s="42" t="s">
        <v>6739</v>
      </c>
      <c r="H757" s="43" t="s">
        <v>4693</v>
      </c>
      <c r="I757" s="43" t="s">
        <v>6741</v>
      </c>
      <c r="J757" s="55"/>
      <c r="K757" s="119">
        <f>IFERROR(VLOOKUP(B757,BD_CONTROL!$A$5:$M$4235,11,0),"")</f>
        <v>0</v>
      </c>
      <c r="L757" s="120">
        <f>IFERROR(VLOOKUP(B757,BD_CONTROL!$A$5:$M$4235,12,0),"")</f>
        <v>0</v>
      </c>
      <c r="M757" s="121">
        <f>IFERROR(VLOOKUP(B757,BD_CONTROL!$A$5:$M$4235,13,0),"")</f>
        <v>0</v>
      </c>
    </row>
    <row r="758" spans="1:13" ht="15" customHeight="1">
      <c r="A758" s="39">
        <v>753</v>
      </c>
      <c r="B758" s="39" t="s">
        <v>8263</v>
      </c>
      <c r="C758" s="40" t="s">
        <v>6735</v>
      </c>
      <c r="D758" s="39" t="s">
        <v>4690</v>
      </c>
      <c r="E758" s="40" t="s">
        <v>4812</v>
      </c>
      <c r="F758" s="40" t="s">
        <v>4812</v>
      </c>
      <c r="G758" s="39" t="s">
        <v>6739</v>
      </c>
      <c r="H758" s="40" t="s">
        <v>4693</v>
      </c>
      <c r="I758" s="40" t="s">
        <v>6741</v>
      </c>
      <c r="J758" s="50"/>
      <c r="K758" s="116">
        <f>IFERROR(VLOOKUP(B758,BD_CONTROL!$A$5:$M$4235,11,0),"")</f>
        <v>0</v>
      </c>
      <c r="L758" s="117">
        <f>IFERROR(VLOOKUP(B758,BD_CONTROL!$A$5:$M$4235,12,0),"")</f>
        <v>0</v>
      </c>
      <c r="M758" s="118">
        <f>IFERROR(VLOOKUP(B758,BD_CONTROL!$A$5:$M$4235,13,0),"")</f>
        <v>0</v>
      </c>
    </row>
    <row r="759" spans="1:13" ht="15" customHeight="1">
      <c r="A759" s="42">
        <v>754</v>
      </c>
      <c r="B759" s="42" t="s">
        <v>8264</v>
      </c>
      <c r="C759" s="43" t="s">
        <v>6735</v>
      </c>
      <c r="D759" s="42" t="s">
        <v>4690</v>
      </c>
      <c r="E759" s="43" t="s">
        <v>4786</v>
      </c>
      <c r="F759" s="43" t="s">
        <v>5062</v>
      </c>
      <c r="G759" s="42" t="s">
        <v>6739</v>
      </c>
      <c r="H759" s="43" t="s">
        <v>4693</v>
      </c>
      <c r="I759" s="43" t="s">
        <v>6741</v>
      </c>
      <c r="J759" s="55"/>
      <c r="K759" s="119">
        <f>IFERROR(VLOOKUP(B759,BD_CONTROL!$A$5:$M$4235,11,0),"")</f>
        <v>0</v>
      </c>
      <c r="L759" s="120">
        <f>IFERROR(VLOOKUP(B759,BD_CONTROL!$A$5:$M$4235,12,0),"")</f>
        <v>0</v>
      </c>
      <c r="M759" s="121">
        <f>IFERROR(VLOOKUP(B759,BD_CONTROL!$A$5:$M$4235,13,0),"")</f>
        <v>0</v>
      </c>
    </row>
    <row r="760" spans="1:13" ht="15" customHeight="1">
      <c r="A760" s="39">
        <v>755</v>
      </c>
      <c r="B760" s="39" t="s">
        <v>8265</v>
      </c>
      <c r="C760" s="40" t="s">
        <v>6735</v>
      </c>
      <c r="D760" s="39" t="s">
        <v>4690</v>
      </c>
      <c r="E760" s="40" t="s">
        <v>4879</v>
      </c>
      <c r="F760" s="40" t="s">
        <v>4879</v>
      </c>
      <c r="G760" s="39" t="s">
        <v>6739</v>
      </c>
      <c r="H760" s="40" t="s">
        <v>4693</v>
      </c>
      <c r="I760" s="40" t="s">
        <v>6741</v>
      </c>
      <c r="J760" s="50"/>
      <c r="K760" s="116">
        <f>IFERROR(VLOOKUP(B760,BD_CONTROL!$A$5:$M$4235,11,0),"")</f>
        <v>0</v>
      </c>
      <c r="L760" s="117">
        <f>IFERROR(VLOOKUP(B760,BD_CONTROL!$A$5:$M$4235,12,0),"")</f>
        <v>0</v>
      </c>
      <c r="M760" s="118">
        <f>IFERROR(VLOOKUP(B760,BD_CONTROL!$A$5:$M$4235,13,0),"")</f>
        <v>0</v>
      </c>
    </row>
    <row r="761" spans="1:13" ht="15" customHeight="1">
      <c r="A761" s="42">
        <v>756</v>
      </c>
      <c r="B761" s="42" t="s">
        <v>8266</v>
      </c>
      <c r="C761" s="43" t="s">
        <v>6735</v>
      </c>
      <c r="D761" s="42" t="s">
        <v>4690</v>
      </c>
      <c r="E761" s="43" t="s">
        <v>8267</v>
      </c>
      <c r="F761" s="43" t="s">
        <v>8268</v>
      </c>
      <c r="G761" s="42" t="s">
        <v>6739</v>
      </c>
      <c r="H761" s="43" t="s">
        <v>4693</v>
      </c>
      <c r="I761" s="43" t="s">
        <v>6741</v>
      </c>
      <c r="J761" s="55"/>
      <c r="K761" s="119">
        <f>IFERROR(VLOOKUP(B761,BD_CONTROL!$A$5:$M$4235,11,0),"")</f>
        <v>0</v>
      </c>
      <c r="L761" s="120">
        <f>IFERROR(VLOOKUP(B761,BD_CONTROL!$A$5:$M$4235,12,0),"")</f>
        <v>0</v>
      </c>
      <c r="M761" s="121">
        <f>IFERROR(VLOOKUP(B761,BD_CONTROL!$A$5:$M$4235,13,0),"")</f>
        <v>0</v>
      </c>
    </row>
    <row r="762" spans="1:13" ht="15" customHeight="1">
      <c r="A762" s="39">
        <v>757</v>
      </c>
      <c r="B762" s="39" t="s">
        <v>8269</v>
      </c>
      <c r="C762" s="40" t="s">
        <v>6735</v>
      </c>
      <c r="D762" s="39" t="s">
        <v>4690</v>
      </c>
      <c r="E762" s="40" t="s">
        <v>4812</v>
      </c>
      <c r="F762" s="40" t="s">
        <v>4812</v>
      </c>
      <c r="G762" s="39" t="s">
        <v>6739</v>
      </c>
      <c r="H762" s="40" t="s">
        <v>4693</v>
      </c>
      <c r="I762" s="40" t="s">
        <v>6741</v>
      </c>
      <c r="J762" s="50"/>
      <c r="K762" s="116">
        <f>IFERROR(VLOOKUP(B762,BD_CONTROL!$A$5:$M$4235,11,0),"")</f>
        <v>0</v>
      </c>
      <c r="L762" s="117">
        <f>IFERROR(VLOOKUP(B762,BD_CONTROL!$A$5:$M$4235,12,0),"")</f>
        <v>0</v>
      </c>
      <c r="M762" s="118">
        <f>IFERROR(VLOOKUP(B762,BD_CONTROL!$A$5:$M$4235,13,0),"")</f>
        <v>0</v>
      </c>
    </row>
    <row r="763" spans="1:13" ht="15" customHeight="1">
      <c r="A763" s="42">
        <v>758</v>
      </c>
      <c r="B763" s="42" t="s">
        <v>8270</v>
      </c>
      <c r="C763" s="43" t="s">
        <v>6735</v>
      </c>
      <c r="D763" s="42" t="s">
        <v>4690</v>
      </c>
      <c r="E763" s="43" t="s">
        <v>4812</v>
      </c>
      <c r="F763" s="43" t="s">
        <v>4812</v>
      </c>
      <c r="G763" s="42" t="s">
        <v>6739</v>
      </c>
      <c r="H763" s="43" t="s">
        <v>4693</v>
      </c>
      <c r="I763" s="43" t="s">
        <v>6741</v>
      </c>
      <c r="J763" s="55"/>
      <c r="K763" s="119">
        <f>IFERROR(VLOOKUP(B763,BD_CONTROL!$A$5:$M$4235,11,0),"")</f>
        <v>0</v>
      </c>
      <c r="L763" s="120">
        <f>IFERROR(VLOOKUP(B763,BD_CONTROL!$A$5:$M$4235,12,0),"")</f>
        <v>0</v>
      </c>
      <c r="M763" s="121">
        <f>IFERROR(VLOOKUP(B763,BD_CONTROL!$A$5:$M$4235,13,0),"")</f>
        <v>0</v>
      </c>
    </row>
    <row r="764" spans="1:13" ht="15" customHeight="1">
      <c r="A764" s="39">
        <v>759</v>
      </c>
      <c r="B764" s="39" t="s">
        <v>8272</v>
      </c>
      <c r="C764" s="40" t="s">
        <v>6735</v>
      </c>
      <c r="D764" s="39" t="s">
        <v>4690</v>
      </c>
      <c r="E764" s="40" t="s">
        <v>4740</v>
      </c>
      <c r="F764" s="40" t="s">
        <v>8206</v>
      </c>
      <c r="G764" s="39" t="s">
        <v>6739</v>
      </c>
      <c r="H764" s="40" t="s">
        <v>4693</v>
      </c>
      <c r="I764" s="40" t="s">
        <v>6741</v>
      </c>
      <c r="J764" s="50"/>
      <c r="K764" s="116">
        <f>IFERROR(VLOOKUP(B764,BD_CONTROL!$A$5:$M$4235,11,0),"")</f>
        <v>0</v>
      </c>
      <c r="L764" s="117">
        <f>IFERROR(VLOOKUP(B764,BD_CONTROL!$A$5:$M$4235,12,0),"")</f>
        <v>0</v>
      </c>
      <c r="M764" s="118">
        <f>IFERROR(VLOOKUP(B764,BD_CONTROL!$A$5:$M$4235,13,0),"")</f>
        <v>0</v>
      </c>
    </row>
    <row r="765" spans="1:13" ht="15" customHeight="1">
      <c r="A765" s="42">
        <v>760</v>
      </c>
      <c r="B765" s="42" t="s">
        <v>8273</v>
      </c>
      <c r="C765" s="43" t="s">
        <v>6735</v>
      </c>
      <c r="D765" s="42" t="s">
        <v>4690</v>
      </c>
      <c r="E765" s="43" t="s">
        <v>4820</v>
      </c>
      <c r="F765" s="43" t="s">
        <v>4820</v>
      </c>
      <c r="G765" s="42" t="s">
        <v>6739</v>
      </c>
      <c r="H765" s="43" t="s">
        <v>4693</v>
      </c>
      <c r="I765" s="43" t="s">
        <v>6741</v>
      </c>
      <c r="J765" s="55"/>
      <c r="K765" s="119">
        <f>IFERROR(VLOOKUP(B765,BD_CONTROL!$A$5:$M$4235,11,0),"")</f>
        <v>0</v>
      </c>
      <c r="L765" s="120">
        <f>IFERROR(VLOOKUP(B765,BD_CONTROL!$A$5:$M$4235,12,0),"")</f>
        <v>0</v>
      </c>
      <c r="M765" s="121">
        <f>IFERROR(VLOOKUP(B765,BD_CONTROL!$A$5:$M$4235,13,0),"")</f>
        <v>0</v>
      </c>
    </row>
    <row r="766" spans="1:13" ht="15" customHeight="1">
      <c r="A766" s="39">
        <v>761</v>
      </c>
      <c r="B766" s="39" t="s">
        <v>8274</v>
      </c>
      <c r="C766" s="40" t="s">
        <v>6735</v>
      </c>
      <c r="D766" s="39" t="s">
        <v>4690</v>
      </c>
      <c r="E766" s="40" t="s">
        <v>658</v>
      </c>
      <c r="F766" s="40" t="s">
        <v>8275</v>
      </c>
      <c r="G766" s="39" t="s">
        <v>6739</v>
      </c>
      <c r="H766" s="40" t="s">
        <v>4693</v>
      </c>
      <c r="I766" s="40" t="s">
        <v>6741</v>
      </c>
      <c r="J766" s="50"/>
      <c r="K766" s="116">
        <f>IFERROR(VLOOKUP(B766,BD_CONTROL!$A$5:$M$4235,11,0),"")</f>
        <v>0</v>
      </c>
      <c r="L766" s="117">
        <f>IFERROR(VLOOKUP(B766,BD_CONTROL!$A$5:$M$4235,12,0),"")</f>
        <v>0</v>
      </c>
      <c r="M766" s="118">
        <f>IFERROR(VLOOKUP(B766,BD_CONTROL!$A$5:$M$4235,13,0),"")</f>
        <v>0</v>
      </c>
    </row>
    <row r="767" spans="1:13" ht="15" customHeight="1">
      <c r="A767" s="42">
        <v>762</v>
      </c>
      <c r="B767" s="42" t="s">
        <v>8276</v>
      </c>
      <c r="C767" s="43" t="s">
        <v>6735</v>
      </c>
      <c r="D767" s="42" t="s">
        <v>4690</v>
      </c>
      <c r="E767" s="43" t="s">
        <v>658</v>
      </c>
      <c r="F767" s="43" t="s">
        <v>8275</v>
      </c>
      <c r="G767" s="42" t="s">
        <v>6739</v>
      </c>
      <c r="H767" s="43" t="s">
        <v>4693</v>
      </c>
      <c r="I767" s="43" t="s">
        <v>6741</v>
      </c>
      <c r="J767" s="55"/>
      <c r="K767" s="119">
        <f>IFERROR(VLOOKUP(B767,BD_CONTROL!$A$5:$M$4235,11,0),"")</f>
        <v>0</v>
      </c>
      <c r="L767" s="120">
        <f>IFERROR(VLOOKUP(B767,BD_CONTROL!$A$5:$M$4235,12,0),"")</f>
        <v>0</v>
      </c>
      <c r="M767" s="121">
        <f>IFERROR(VLOOKUP(B767,BD_CONTROL!$A$5:$M$4235,13,0),"")</f>
        <v>0</v>
      </c>
    </row>
    <row r="768" spans="1:13" ht="15" customHeight="1">
      <c r="A768" s="39">
        <v>763</v>
      </c>
      <c r="B768" s="39" t="s">
        <v>8277</v>
      </c>
      <c r="C768" s="40" t="s">
        <v>6735</v>
      </c>
      <c r="D768" s="39" t="s">
        <v>4690</v>
      </c>
      <c r="E768" s="40" t="s">
        <v>4696</v>
      </c>
      <c r="F768" s="40" t="s">
        <v>8105</v>
      </c>
      <c r="G768" s="39" t="s">
        <v>6739</v>
      </c>
      <c r="H768" s="40" t="s">
        <v>4693</v>
      </c>
      <c r="I768" s="40" t="s">
        <v>6741</v>
      </c>
      <c r="J768" s="50"/>
      <c r="K768" s="116">
        <f>IFERROR(VLOOKUP(B768,BD_CONTROL!$A$5:$M$4235,11,0),"")</f>
        <v>0</v>
      </c>
      <c r="L768" s="117">
        <f>IFERROR(VLOOKUP(B768,BD_CONTROL!$A$5:$M$4235,12,0),"")</f>
        <v>0</v>
      </c>
      <c r="M768" s="118">
        <f>IFERROR(VLOOKUP(B768,BD_CONTROL!$A$5:$M$4235,13,0),"")</f>
        <v>0</v>
      </c>
    </row>
    <row r="769" spans="1:13" ht="15" customHeight="1">
      <c r="A769" s="42">
        <v>764</v>
      </c>
      <c r="B769" s="42" t="s">
        <v>8278</v>
      </c>
      <c r="C769" s="43" t="s">
        <v>6735</v>
      </c>
      <c r="D769" s="42" t="s">
        <v>4690</v>
      </c>
      <c r="E769" s="43" t="s">
        <v>4762</v>
      </c>
      <c r="F769" s="43" t="s">
        <v>8279</v>
      </c>
      <c r="G769" s="42" t="s">
        <v>6739</v>
      </c>
      <c r="H769" s="43" t="s">
        <v>4693</v>
      </c>
      <c r="I769" s="43" t="s">
        <v>6741</v>
      </c>
      <c r="J769" s="55"/>
      <c r="K769" s="119">
        <f>IFERROR(VLOOKUP(B769,BD_CONTROL!$A$5:$M$4235,11,0),"")</f>
        <v>0</v>
      </c>
      <c r="L769" s="120">
        <f>IFERROR(VLOOKUP(B769,BD_CONTROL!$A$5:$M$4235,12,0),"")</f>
        <v>0</v>
      </c>
      <c r="M769" s="121">
        <f>IFERROR(VLOOKUP(B769,BD_CONTROL!$A$5:$M$4235,13,0),"")</f>
        <v>0</v>
      </c>
    </row>
    <row r="770" spans="1:13" ht="15" customHeight="1">
      <c r="A770" s="39">
        <v>765</v>
      </c>
      <c r="B770" s="39" t="s">
        <v>8280</v>
      </c>
      <c r="C770" s="40" t="s">
        <v>6735</v>
      </c>
      <c r="D770" s="39" t="s">
        <v>4690</v>
      </c>
      <c r="E770" s="40" t="s">
        <v>4793</v>
      </c>
      <c r="F770" s="40" t="s">
        <v>4793</v>
      </c>
      <c r="G770" s="39" t="s">
        <v>6739</v>
      </c>
      <c r="H770" s="40" t="s">
        <v>4693</v>
      </c>
      <c r="I770" s="40" t="s">
        <v>6741</v>
      </c>
      <c r="J770" s="50"/>
      <c r="K770" s="116">
        <f>IFERROR(VLOOKUP(B770,BD_CONTROL!$A$5:$M$4235,11,0),"")</f>
        <v>0</v>
      </c>
      <c r="L770" s="117">
        <f>IFERROR(VLOOKUP(B770,BD_CONTROL!$A$5:$M$4235,12,0),"")</f>
        <v>0</v>
      </c>
      <c r="M770" s="118">
        <f>IFERROR(VLOOKUP(B770,BD_CONTROL!$A$5:$M$4235,13,0),"")</f>
        <v>0</v>
      </c>
    </row>
    <row r="771" spans="1:13" ht="15" customHeight="1">
      <c r="A771" s="42">
        <v>766</v>
      </c>
      <c r="B771" s="42" t="s">
        <v>8638</v>
      </c>
      <c r="C771" s="43" t="s">
        <v>6735</v>
      </c>
      <c r="D771" s="42" t="s">
        <v>6458</v>
      </c>
      <c r="E771" s="43" t="s">
        <v>6516</v>
      </c>
      <c r="F771" s="43" t="s">
        <v>8639</v>
      </c>
      <c r="G771" s="42" t="s">
        <v>6739</v>
      </c>
      <c r="H771" s="43" t="s">
        <v>1539</v>
      </c>
      <c r="I771" s="43" t="s">
        <v>6741</v>
      </c>
      <c r="J771" s="55"/>
      <c r="K771" s="119">
        <f>IFERROR(VLOOKUP(B771,BD_CONTROL!$A$5:$M$4235,11,0),"")</f>
        <v>0</v>
      </c>
      <c r="L771" s="120">
        <f>IFERROR(VLOOKUP(B771,BD_CONTROL!$A$5:$M$4235,12,0),"")</f>
        <v>0</v>
      </c>
      <c r="M771" s="121">
        <f>IFERROR(VLOOKUP(B771,BD_CONTROL!$A$5:$M$4235,13,0),"")</f>
        <v>0</v>
      </c>
    </row>
    <row r="772" spans="1:13" ht="15" customHeight="1">
      <c r="A772" s="39">
        <v>767</v>
      </c>
      <c r="B772" s="39" t="s">
        <v>8640</v>
      </c>
      <c r="C772" s="40" t="s">
        <v>6735</v>
      </c>
      <c r="D772" s="39" t="s">
        <v>6458</v>
      </c>
      <c r="E772" s="40" t="s">
        <v>6458</v>
      </c>
      <c r="F772" s="40" t="s">
        <v>6458</v>
      </c>
      <c r="G772" s="39" t="s">
        <v>6739</v>
      </c>
      <c r="H772" s="40" t="s">
        <v>1539</v>
      </c>
      <c r="I772" s="40" t="s">
        <v>6741</v>
      </c>
      <c r="J772" s="50"/>
      <c r="K772" s="116">
        <f>IFERROR(VLOOKUP(B772,BD_CONTROL!$A$5:$M$4235,11,0),"")</f>
        <v>0</v>
      </c>
      <c r="L772" s="117">
        <f>IFERROR(VLOOKUP(B772,BD_CONTROL!$A$5:$M$4235,12,0),"")</f>
        <v>0</v>
      </c>
      <c r="M772" s="118">
        <f>IFERROR(VLOOKUP(B772,BD_CONTROL!$A$5:$M$4235,13,0),"")</f>
        <v>0</v>
      </c>
    </row>
    <row r="773" spans="1:13" ht="15" customHeight="1">
      <c r="A773" s="42">
        <v>768</v>
      </c>
      <c r="B773" s="42" t="s">
        <v>8641</v>
      </c>
      <c r="C773" s="43" t="s">
        <v>6735</v>
      </c>
      <c r="D773" s="42" t="s">
        <v>6458</v>
      </c>
      <c r="E773" s="43" t="s">
        <v>6635</v>
      </c>
      <c r="F773" s="43" t="s">
        <v>8642</v>
      </c>
      <c r="G773" s="42" t="s">
        <v>6739</v>
      </c>
      <c r="H773" s="43" t="s">
        <v>1539</v>
      </c>
      <c r="I773" s="43" t="s">
        <v>6741</v>
      </c>
      <c r="J773" s="55"/>
      <c r="K773" s="119">
        <f>IFERROR(VLOOKUP(B773,BD_CONTROL!$A$5:$M$4235,11,0),"")</f>
        <v>0</v>
      </c>
      <c r="L773" s="120">
        <f>IFERROR(VLOOKUP(B773,BD_CONTROL!$A$5:$M$4235,12,0),"")</f>
        <v>0</v>
      </c>
      <c r="M773" s="121">
        <f>IFERROR(VLOOKUP(B773,BD_CONTROL!$A$5:$M$4235,13,0),"")</f>
        <v>0</v>
      </c>
    </row>
    <row r="774" spans="1:13" ht="15" customHeight="1">
      <c r="A774" s="39">
        <v>769</v>
      </c>
      <c r="B774" s="39" t="s">
        <v>8643</v>
      </c>
      <c r="C774" s="40" t="s">
        <v>6735</v>
      </c>
      <c r="D774" s="39" t="s">
        <v>6458</v>
      </c>
      <c r="E774" s="40" t="s">
        <v>6477</v>
      </c>
      <c r="F774" s="40" t="s">
        <v>4755</v>
      </c>
      <c r="G774" s="39" t="s">
        <v>6739</v>
      </c>
      <c r="H774" s="40" t="s">
        <v>1539</v>
      </c>
      <c r="I774" s="40" t="s">
        <v>6741</v>
      </c>
      <c r="J774" s="50"/>
      <c r="K774" s="116">
        <f>IFERROR(VLOOKUP(B774,BD_CONTROL!$A$5:$M$4235,11,0),"")</f>
        <v>0</v>
      </c>
      <c r="L774" s="117">
        <f>IFERROR(VLOOKUP(B774,BD_CONTROL!$A$5:$M$4235,12,0),"")</f>
        <v>0</v>
      </c>
      <c r="M774" s="118">
        <f>IFERROR(VLOOKUP(B774,BD_CONTROL!$A$5:$M$4235,13,0),"")</f>
        <v>0</v>
      </c>
    </row>
    <row r="775" spans="1:13" ht="15" customHeight="1">
      <c r="A775" s="42">
        <v>770</v>
      </c>
      <c r="B775" s="42" t="s">
        <v>8644</v>
      </c>
      <c r="C775" s="43" t="s">
        <v>6735</v>
      </c>
      <c r="D775" s="42" t="s">
        <v>6458</v>
      </c>
      <c r="E775" s="43" t="s">
        <v>438</v>
      </c>
      <c r="F775" s="43" t="s">
        <v>8645</v>
      </c>
      <c r="G775" s="42" t="s">
        <v>6739</v>
      </c>
      <c r="H775" s="43" t="s">
        <v>1539</v>
      </c>
      <c r="I775" s="43" t="s">
        <v>6741</v>
      </c>
      <c r="J775" s="55"/>
      <c r="K775" s="119">
        <f>IFERROR(VLOOKUP(B775,BD_CONTROL!$A$5:$M$4235,11,0),"")</f>
        <v>0</v>
      </c>
      <c r="L775" s="120">
        <f>IFERROR(VLOOKUP(B775,BD_CONTROL!$A$5:$M$4235,12,0),"")</f>
        <v>0</v>
      </c>
      <c r="M775" s="121">
        <f>IFERROR(VLOOKUP(B775,BD_CONTROL!$A$5:$M$4235,13,0),"")</f>
        <v>0</v>
      </c>
    </row>
    <row r="776" spans="1:13" ht="15" customHeight="1">
      <c r="A776" s="39">
        <v>771</v>
      </c>
      <c r="B776" s="39" t="s">
        <v>8646</v>
      </c>
      <c r="C776" s="40" t="s">
        <v>6735</v>
      </c>
      <c r="D776" s="39" t="s">
        <v>6458</v>
      </c>
      <c r="E776" s="40" t="s">
        <v>6474</v>
      </c>
      <c r="F776" s="40" t="s">
        <v>6702</v>
      </c>
      <c r="G776" s="39" t="s">
        <v>6739</v>
      </c>
      <c r="H776" s="40" t="s">
        <v>1539</v>
      </c>
      <c r="I776" s="40" t="s">
        <v>6741</v>
      </c>
      <c r="J776" s="50"/>
      <c r="K776" s="116">
        <f>IFERROR(VLOOKUP(B776,BD_CONTROL!$A$5:$M$4235,11,0),"")</f>
        <v>0</v>
      </c>
      <c r="L776" s="117">
        <f>IFERROR(VLOOKUP(B776,BD_CONTROL!$A$5:$M$4235,12,0),"")</f>
        <v>0</v>
      </c>
      <c r="M776" s="118">
        <f>IFERROR(VLOOKUP(B776,BD_CONTROL!$A$5:$M$4235,13,0),"")</f>
        <v>0</v>
      </c>
    </row>
    <row r="777" spans="1:13" ht="15" customHeight="1">
      <c r="A777" s="42">
        <v>772</v>
      </c>
      <c r="B777" s="42" t="s">
        <v>8647</v>
      </c>
      <c r="C777" s="43" t="s">
        <v>6735</v>
      </c>
      <c r="D777" s="42" t="s">
        <v>6458</v>
      </c>
      <c r="E777" s="43" t="s">
        <v>6458</v>
      </c>
      <c r="F777" s="43" t="s">
        <v>6458</v>
      </c>
      <c r="G777" s="42" t="s">
        <v>6739</v>
      </c>
      <c r="H777" s="43" t="s">
        <v>1539</v>
      </c>
      <c r="I777" s="43" t="s">
        <v>6741</v>
      </c>
      <c r="J777" s="55"/>
      <c r="K777" s="119" t="str">
        <f>IFERROR(VLOOKUP(B777,BD_CONTROL!$A$5:$M$4235,11,0),"")</f>
        <v>Instalado - Operando</v>
      </c>
      <c r="L777" s="120">
        <f>IFERROR(VLOOKUP(B777,BD_CONTROL!$A$5:$M$4235,12,0),"")</f>
        <v>46147</v>
      </c>
      <c r="M777" s="121">
        <f>IFERROR(VLOOKUP(B777,BD_CONTROL!$A$5:$M$4235,13,0),"")</f>
        <v>0</v>
      </c>
    </row>
    <row r="778" spans="1:13" ht="15" customHeight="1">
      <c r="A778" s="39">
        <v>773</v>
      </c>
      <c r="B778" s="39" t="s">
        <v>8648</v>
      </c>
      <c r="C778" s="40" t="s">
        <v>6735</v>
      </c>
      <c r="D778" s="39" t="s">
        <v>6458</v>
      </c>
      <c r="E778" s="40" t="s">
        <v>6582</v>
      </c>
      <c r="F778" s="40" t="s">
        <v>6582</v>
      </c>
      <c r="G778" s="39" t="s">
        <v>6739</v>
      </c>
      <c r="H778" s="40" t="s">
        <v>1539</v>
      </c>
      <c r="I778" s="40" t="s">
        <v>6741</v>
      </c>
      <c r="J778" s="50"/>
      <c r="K778" s="116">
        <f>IFERROR(VLOOKUP(B778,BD_CONTROL!$A$5:$M$4235,11,0),"")</f>
        <v>0</v>
      </c>
      <c r="L778" s="117">
        <f>IFERROR(VLOOKUP(B778,BD_CONTROL!$A$5:$M$4235,12,0),"")</f>
        <v>0</v>
      </c>
      <c r="M778" s="118">
        <f>IFERROR(VLOOKUP(B778,BD_CONTROL!$A$5:$M$4235,13,0),"")</f>
        <v>0</v>
      </c>
    </row>
    <row r="779" spans="1:13" ht="15" customHeight="1">
      <c r="A779" s="42">
        <v>774</v>
      </c>
      <c r="B779" s="42" t="s">
        <v>8649</v>
      </c>
      <c r="C779" s="43" t="s">
        <v>6735</v>
      </c>
      <c r="D779" s="42" t="s">
        <v>6458</v>
      </c>
      <c r="E779" s="43" t="s">
        <v>6582</v>
      </c>
      <c r="F779" s="43" t="s">
        <v>6582</v>
      </c>
      <c r="G779" s="42" t="s">
        <v>6739</v>
      </c>
      <c r="H779" s="43" t="s">
        <v>1539</v>
      </c>
      <c r="I779" s="43" t="s">
        <v>6741</v>
      </c>
      <c r="J779" s="55"/>
      <c r="K779" s="119">
        <f>IFERROR(VLOOKUP(B779,BD_CONTROL!$A$5:$M$4235,11,0),"")</f>
        <v>0</v>
      </c>
      <c r="L779" s="120">
        <f>IFERROR(VLOOKUP(B779,BD_CONTROL!$A$5:$M$4235,12,0),"")</f>
        <v>0</v>
      </c>
      <c r="M779" s="121">
        <f>IFERROR(VLOOKUP(B779,BD_CONTROL!$A$5:$M$4235,13,0),"")</f>
        <v>0</v>
      </c>
    </row>
    <row r="780" spans="1:13" ht="15" customHeight="1">
      <c r="A780" s="39">
        <v>775</v>
      </c>
      <c r="B780" s="39" t="s">
        <v>8650</v>
      </c>
      <c r="C780" s="40" t="s">
        <v>6735</v>
      </c>
      <c r="D780" s="39" t="s">
        <v>6458</v>
      </c>
      <c r="E780" s="40" t="s">
        <v>6458</v>
      </c>
      <c r="F780" s="40" t="s">
        <v>6458</v>
      </c>
      <c r="G780" s="39" t="s">
        <v>6739</v>
      </c>
      <c r="H780" s="40" t="s">
        <v>1539</v>
      </c>
      <c r="I780" s="40" t="s">
        <v>6741</v>
      </c>
      <c r="J780" s="50"/>
      <c r="K780" s="116" t="str">
        <f>IFERROR(VLOOKUP(B780,BD_CONTROL!$A$5:$M$4235,11,0),"")</f>
        <v>Instalado - Operando</v>
      </c>
      <c r="L780" s="117">
        <f>IFERROR(VLOOKUP(B780,BD_CONTROL!$A$5:$M$4235,12,0),"")</f>
        <v>46151</v>
      </c>
      <c r="M780" s="118">
        <f>IFERROR(VLOOKUP(B780,BD_CONTROL!$A$5:$M$4235,13,0),"")</f>
        <v>0</v>
      </c>
    </row>
    <row r="781" spans="1:13" ht="15" customHeight="1">
      <c r="A781" s="42">
        <v>776</v>
      </c>
      <c r="B781" s="42" t="s">
        <v>8651</v>
      </c>
      <c r="C781" s="43" t="s">
        <v>6735</v>
      </c>
      <c r="D781" s="42" t="s">
        <v>6458</v>
      </c>
      <c r="E781" s="43" t="s">
        <v>6458</v>
      </c>
      <c r="F781" s="43" t="s">
        <v>6458</v>
      </c>
      <c r="G781" s="42" t="s">
        <v>6739</v>
      </c>
      <c r="H781" s="43" t="s">
        <v>1539</v>
      </c>
      <c r="I781" s="43" t="s">
        <v>6741</v>
      </c>
      <c r="J781" s="55"/>
      <c r="K781" s="119" t="str">
        <f>IFERROR(VLOOKUP(B781,BD_CONTROL!$A$5:$M$4235,11,0),"")</f>
        <v>Instalado - Operando</v>
      </c>
      <c r="L781" s="120">
        <f>IFERROR(VLOOKUP(B781,BD_CONTROL!$A$5:$M$4235,12,0),"")</f>
        <v>46147</v>
      </c>
      <c r="M781" s="121">
        <f>IFERROR(VLOOKUP(B781,BD_CONTROL!$A$5:$M$4235,13,0),"")</f>
        <v>0</v>
      </c>
    </row>
    <row r="782" spans="1:13" ht="15" customHeight="1">
      <c r="A782" s="39">
        <v>777</v>
      </c>
      <c r="B782" s="39" t="s">
        <v>8652</v>
      </c>
      <c r="C782" s="40" t="s">
        <v>6735</v>
      </c>
      <c r="D782" s="39" t="s">
        <v>6458</v>
      </c>
      <c r="E782" s="40" t="s">
        <v>6528</v>
      </c>
      <c r="F782" s="40" t="s">
        <v>6528</v>
      </c>
      <c r="G782" s="39" t="s">
        <v>6739</v>
      </c>
      <c r="H782" s="40" t="s">
        <v>1539</v>
      </c>
      <c r="I782" s="40" t="s">
        <v>6741</v>
      </c>
      <c r="J782" s="50"/>
      <c r="K782" s="116">
        <f>IFERROR(VLOOKUP(B782,BD_CONTROL!$A$5:$M$4235,11,0),"")</f>
        <v>0</v>
      </c>
      <c r="L782" s="117">
        <f>IFERROR(VLOOKUP(B782,BD_CONTROL!$A$5:$M$4235,12,0),"")</f>
        <v>0</v>
      </c>
      <c r="M782" s="118">
        <f>IFERROR(VLOOKUP(B782,BD_CONTROL!$A$5:$M$4235,13,0),"")</f>
        <v>0</v>
      </c>
    </row>
    <row r="783" spans="1:13" ht="15" customHeight="1">
      <c r="A783" s="42">
        <v>778</v>
      </c>
      <c r="B783" s="42" t="s">
        <v>8653</v>
      </c>
      <c r="C783" s="43" t="s">
        <v>6735</v>
      </c>
      <c r="D783" s="42" t="s">
        <v>6458</v>
      </c>
      <c r="E783" s="43" t="s">
        <v>6458</v>
      </c>
      <c r="F783" s="43" t="s">
        <v>6458</v>
      </c>
      <c r="G783" s="42" t="s">
        <v>6739</v>
      </c>
      <c r="H783" s="43" t="s">
        <v>1539</v>
      </c>
      <c r="I783" s="43" t="s">
        <v>6741</v>
      </c>
      <c r="J783" s="55"/>
      <c r="K783" s="119">
        <f>IFERROR(VLOOKUP(B783,BD_CONTROL!$A$5:$M$4235,11,0),"")</f>
        <v>0</v>
      </c>
      <c r="L783" s="120">
        <f>IFERROR(VLOOKUP(B783,BD_CONTROL!$A$5:$M$4235,12,0),"")</f>
        <v>0</v>
      </c>
      <c r="M783" s="121">
        <f>IFERROR(VLOOKUP(B783,BD_CONTROL!$A$5:$M$4235,13,0),"")</f>
        <v>0</v>
      </c>
    </row>
    <row r="784" spans="1:13" ht="15" customHeight="1">
      <c r="A784" s="39">
        <v>779</v>
      </c>
      <c r="B784" s="39" t="s">
        <v>8654</v>
      </c>
      <c r="C784" s="40" t="s">
        <v>6735</v>
      </c>
      <c r="D784" s="39" t="s">
        <v>6458</v>
      </c>
      <c r="E784" s="40" t="s">
        <v>6458</v>
      </c>
      <c r="F784" s="40" t="s">
        <v>6458</v>
      </c>
      <c r="G784" s="39" t="s">
        <v>6739</v>
      </c>
      <c r="H784" s="40" t="s">
        <v>1539</v>
      </c>
      <c r="I784" s="40" t="s">
        <v>6741</v>
      </c>
      <c r="J784" s="50"/>
      <c r="K784" s="116">
        <f>IFERROR(VLOOKUP(B784,BD_CONTROL!$A$5:$M$4235,11,0),"")</f>
        <v>0</v>
      </c>
      <c r="L784" s="117">
        <f>IFERROR(VLOOKUP(B784,BD_CONTROL!$A$5:$M$4235,12,0),"")</f>
        <v>0</v>
      </c>
      <c r="M784" s="118">
        <f>IFERROR(VLOOKUP(B784,BD_CONTROL!$A$5:$M$4235,13,0),"")</f>
        <v>0</v>
      </c>
    </row>
  </sheetData>
  <mergeCells count="3">
    <mergeCell ref="A1:M2"/>
    <mergeCell ref="A3:M3"/>
    <mergeCell ref="A4:M4"/>
  </mergeCells>
  <conditionalFormatting sqref="K6:K784">
    <cfRule type="expression" dxfId="17" priority="2">
      <formula>EXACT($K6,"INSTALADO - OPERANDO")</formula>
    </cfRule>
    <cfRule type="expression" dxfId="16" priority="3">
      <formula>EXACT($K6,"INSTALADO - SIN SEÑAL")</formula>
    </cfRule>
    <cfRule type="expression" dxfId="15" priority="4">
      <formula>EXACT($K6,"EQUIPO EN ALMACÉN")</formula>
    </cfRule>
    <cfRule type="expression" dxfId="14" priority="5">
      <formula>EXACT($K6,"PROGRAMADO")</formula>
    </cfRule>
    <cfRule type="expression" dxfId="13" priority="6">
      <formula>EXACT($K6,"VISITADO")</formula>
    </cfRule>
    <cfRule type="expression" dxfId="12" priority="7">
      <formula>EXACT($K6,"SIN INMUEBLE")</formula>
    </cfRule>
  </conditionalFormatting>
  <dataValidations count="1">
    <dataValidation type="list" allowBlank="1" sqref="K6:K784" xr:uid="{00000000-0002-0000-0F00-000000000000}">
      <formula1>"INSTALADO - OPERANDO,INSTALADO - SIN SEÑAL,EQUIPO EN ALMACÉN,PROGRAMADO,VISITADO,SIN INMUEBLE"</formula1>
      <formula2>0</formula2>
    </dataValidation>
  </dataValidation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B5E20"/>
  </sheetPr>
  <dimension ref="A1:M740"/>
  <sheetViews>
    <sheetView showGridLines="0" zoomScaleNormal="100" workbookViewId="0">
      <pane ySplit="5" topLeftCell="A6" activePane="bottomLeft" state="frozen"/>
      <selection pane="bottomLeft"/>
    </sheetView>
  </sheetViews>
  <sheetFormatPr defaultColWidth="8.7109375" defaultRowHeight="15"/>
  <cols>
    <col min="1" max="1" width="5" customWidth="1"/>
    <col min="2" max="2" width="14" customWidth="1"/>
    <col min="3" max="3" width="36" customWidth="1"/>
    <col min="4" max="5" width="18" customWidth="1"/>
    <col min="6" max="6" width="16" customWidth="1"/>
    <col min="7" max="7" width="9" customWidth="1"/>
    <col min="8" max="8" width="20" customWidth="1"/>
    <col min="9" max="10" width="14" customWidth="1"/>
    <col min="11" max="11" width="26" customWidth="1"/>
    <col min="12" max="12" width="18" customWidth="1"/>
    <col min="13" max="13" width="30" customWidth="1"/>
  </cols>
  <sheetData>
    <row r="1" spans="1:13" ht="30" customHeight="1">
      <c r="A1" s="256" t="s">
        <v>9839</v>
      </c>
      <c r="B1" s="260"/>
      <c r="C1" s="260"/>
      <c r="D1" s="260"/>
      <c r="E1" s="260"/>
      <c r="F1" s="260"/>
      <c r="G1" s="260"/>
      <c r="H1" s="260"/>
      <c r="I1" s="260"/>
      <c r="J1" s="260"/>
      <c r="K1" s="260"/>
      <c r="L1" s="260"/>
      <c r="M1" s="260"/>
    </row>
    <row r="2" spans="1:13" ht="3.75" customHeight="1">
      <c r="A2" s="260"/>
      <c r="B2" s="260"/>
      <c r="C2" s="260"/>
      <c r="D2" s="260"/>
      <c r="E2" s="260"/>
      <c r="F2" s="260"/>
      <c r="G2" s="260"/>
      <c r="H2" s="260"/>
      <c r="I2" s="260"/>
      <c r="J2" s="260"/>
      <c r="K2" s="260"/>
      <c r="L2" s="260"/>
      <c r="M2" s="260"/>
    </row>
    <row r="3" spans="1:13" ht="15.75" customHeight="1">
      <c r="A3" s="193" t="s">
        <v>9832</v>
      </c>
      <c r="B3" s="260"/>
      <c r="C3" s="260"/>
      <c r="D3" s="260"/>
      <c r="E3" s="260"/>
      <c r="F3" s="260"/>
      <c r="G3" s="260"/>
      <c r="H3" s="260"/>
      <c r="I3" s="260"/>
      <c r="J3" s="260"/>
      <c r="K3" s="260"/>
      <c r="L3" s="260"/>
      <c r="M3" s="260"/>
    </row>
    <row r="4" spans="1:13" ht="3" customHeight="1">
      <c r="A4" s="257"/>
      <c r="B4" s="260"/>
      <c r="C4" s="260"/>
      <c r="D4" s="260"/>
      <c r="E4" s="260"/>
      <c r="F4" s="260"/>
      <c r="G4" s="260"/>
      <c r="H4" s="260"/>
      <c r="I4" s="260"/>
      <c r="J4" s="260"/>
      <c r="K4" s="260"/>
      <c r="L4" s="260"/>
      <c r="M4" s="260"/>
    </row>
    <row r="5" spans="1:13" ht="21.75" customHeight="1">
      <c r="A5" s="127" t="s">
        <v>9783</v>
      </c>
      <c r="B5" s="127" t="s">
        <v>84</v>
      </c>
      <c r="C5" s="127" t="s">
        <v>86</v>
      </c>
      <c r="D5" s="127" t="s">
        <v>87</v>
      </c>
      <c r="E5" s="127" t="s">
        <v>88</v>
      </c>
      <c r="F5" s="127" t="s">
        <v>89</v>
      </c>
      <c r="G5" s="127" t="s">
        <v>90</v>
      </c>
      <c r="H5" s="127" t="s">
        <v>92</v>
      </c>
      <c r="I5" s="127" t="s">
        <v>93</v>
      </c>
      <c r="J5" s="127" t="s">
        <v>9833</v>
      </c>
      <c r="K5" s="127" t="s">
        <v>94</v>
      </c>
      <c r="L5" s="127" t="s">
        <v>95</v>
      </c>
      <c r="M5" s="127" t="s">
        <v>96</v>
      </c>
    </row>
    <row r="6" spans="1:13" ht="15" customHeight="1">
      <c r="A6" s="39">
        <v>1</v>
      </c>
      <c r="B6" s="39" t="s">
        <v>1105</v>
      </c>
      <c r="C6" s="40" t="s">
        <v>1106</v>
      </c>
      <c r="D6" s="39" t="s">
        <v>1107</v>
      </c>
      <c r="E6" s="40" t="s">
        <v>1108</v>
      </c>
      <c r="F6" s="40" t="s">
        <v>1109</v>
      </c>
      <c r="G6" s="39" t="s">
        <v>102</v>
      </c>
      <c r="H6" s="40" t="s">
        <v>1110</v>
      </c>
      <c r="I6" s="40" t="s">
        <v>104</v>
      </c>
      <c r="J6" s="50"/>
      <c r="K6" s="116">
        <f>IFERROR(VLOOKUP(B6,BD_CONTROL!$A$5:$M$4235,11,0),"")</f>
        <v>0</v>
      </c>
      <c r="L6" s="117">
        <f>IFERROR(VLOOKUP(B6,BD_CONTROL!$A$5:$M$4235,12,0),"")</f>
        <v>0</v>
      </c>
      <c r="M6" s="118">
        <f>IFERROR(VLOOKUP(B6,BD_CONTROL!$A$5:$M$4235,13,0),"")</f>
        <v>0</v>
      </c>
    </row>
    <row r="7" spans="1:13" ht="15" customHeight="1">
      <c r="A7" s="42">
        <v>2</v>
      </c>
      <c r="B7" s="42" t="s">
        <v>1111</v>
      </c>
      <c r="C7" s="43" t="s">
        <v>1112</v>
      </c>
      <c r="D7" s="42" t="s">
        <v>1107</v>
      </c>
      <c r="E7" s="43" t="s">
        <v>1113</v>
      </c>
      <c r="F7" s="43" t="s">
        <v>1114</v>
      </c>
      <c r="G7" s="42" t="s">
        <v>102</v>
      </c>
      <c r="H7" s="43" t="s">
        <v>1110</v>
      </c>
      <c r="I7" s="43" t="s">
        <v>104</v>
      </c>
      <c r="J7" s="55"/>
      <c r="K7" s="119">
        <f>IFERROR(VLOOKUP(B7,BD_CONTROL!$A$5:$M$4235,11,0),"")</f>
        <v>0</v>
      </c>
      <c r="L7" s="120">
        <f>IFERROR(VLOOKUP(B7,BD_CONTROL!$A$5:$M$4235,12,0),"")</f>
        <v>0</v>
      </c>
      <c r="M7" s="121">
        <f>IFERROR(VLOOKUP(B7,BD_CONTROL!$A$5:$M$4235,13,0),"")</f>
        <v>0</v>
      </c>
    </row>
    <row r="8" spans="1:13" ht="15" customHeight="1">
      <c r="A8" s="39">
        <v>3</v>
      </c>
      <c r="B8" s="39" t="s">
        <v>1115</v>
      </c>
      <c r="C8" s="40" t="s">
        <v>1116</v>
      </c>
      <c r="D8" s="39" t="s">
        <v>1107</v>
      </c>
      <c r="E8" s="40" t="s">
        <v>1108</v>
      </c>
      <c r="F8" s="40" t="s">
        <v>1107</v>
      </c>
      <c r="G8" s="39" t="s">
        <v>102</v>
      </c>
      <c r="H8" s="40" t="s">
        <v>1110</v>
      </c>
      <c r="I8" s="40" t="s">
        <v>104</v>
      </c>
      <c r="J8" s="50"/>
      <c r="K8" s="116">
        <f>IFERROR(VLOOKUP(B8,BD_CONTROL!$A$5:$M$4235,11,0),"")</f>
        <v>0</v>
      </c>
      <c r="L8" s="117">
        <f>IFERROR(VLOOKUP(B8,BD_CONTROL!$A$5:$M$4235,12,0),"")</f>
        <v>0</v>
      </c>
      <c r="M8" s="118">
        <f>IFERROR(VLOOKUP(B8,BD_CONTROL!$A$5:$M$4235,13,0),"")</f>
        <v>0</v>
      </c>
    </row>
    <row r="9" spans="1:13" ht="15" customHeight="1">
      <c r="A9" s="42">
        <v>4</v>
      </c>
      <c r="B9" s="42" t="s">
        <v>1117</v>
      </c>
      <c r="C9" s="43" t="s">
        <v>1118</v>
      </c>
      <c r="D9" s="42" t="s">
        <v>1107</v>
      </c>
      <c r="E9" s="43" t="s">
        <v>1119</v>
      </c>
      <c r="F9" s="43" t="s">
        <v>1120</v>
      </c>
      <c r="G9" s="42" t="s">
        <v>102</v>
      </c>
      <c r="H9" s="43" t="s">
        <v>1110</v>
      </c>
      <c r="I9" s="43" t="s">
        <v>104</v>
      </c>
      <c r="J9" s="55"/>
      <c r="K9" s="119">
        <f>IFERROR(VLOOKUP(B9,BD_CONTROL!$A$5:$M$4235,11,0),"")</f>
        <v>0</v>
      </c>
      <c r="L9" s="120">
        <f>IFERROR(VLOOKUP(B9,BD_CONTROL!$A$5:$M$4235,12,0),"")</f>
        <v>0</v>
      </c>
      <c r="M9" s="121">
        <f>IFERROR(VLOOKUP(B9,BD_CONTROL!$A$5:$M$4235,13,0),"")</f>
        <v>0</v>
      </c>
    </row>
    <row r="10" spans="1:13" ht="15" customHeight="1">
      <c r="A10" s="39">
        <v>5</v>
      </c>
      <c r="B10" s="39" t="s">
        <v>1121</v>
      </c>
      <c r="C10" s="40" t="s">
        <v>1122</v>
      </c>
      <c r="D10" s="39" t="s">
        <v>1107</v>
      </c>
      <c r="E10" s="40" t="s">
        <v>1123</v>
      </c>
      <c r="F10" s="40" t="s">
        <v>1123</v>
      </c>
      <c r="G10" s="39" t="s">
        <v>102</v>
      </c>
      <c r="H10" s="40" t="s">
        <v>1110</v>
      </c>
      <c r="I10" s="40" t="s">
        <v>104</v>
      </c>
      <c r="J10" s="50"/>
      <c r="K10" s="116">
        <f>IFERROR(VLOOKUP(B10,BD_CONTROL!$A$5:$M$4235,11,0),"")</f>
        <v>0</v>
      </c>
      <c r="L10" s="117">
        <f>IFERROR(VLOOKUP(B10,BD_CONTROL!$A$5:$M$4235,12,0),"")</f>
        <v>0</v>
      </c>
      <c r="M10" s="118">
        <f>IFERROR(VLOOKUP(B10,BD_CONTROL!$A$5:$M$4235,13,0),"")</f>
        <v>0</v>
      </c>
    </row>
    <row r="11" spans="1:13" ht="15" customHeight="1">
      <c r="A11" s="42">
        <v>6</v>
      </c>
      <c r="B11" s="42" t="s">
        <v>1124</v>
      </c>
      <c r="C11" s="43" t="s">
        <v>1125</v>
      </c>
      <c r="D11" s="42" t="s">
        <v>1107</v>
      </c>
      <c r="E11" s="43" t="s">
        <v>1119</v>
      </c>
      <c r="F11" s="43" t="s">
        <v>1126</v>
      </c>
      <c r="G11" s="42" t="s">
        <v>102</v>
      </c>
      <c r="H11" s="43" t="s">
        <v>1110</v>
      </c>
      <c r="I11" s="43" t="s">
        <v>104</v>
      </c>
      <c r="J11" s="55"/>
      <c r="K11" s="119">
        <f>IFERROR(VLOOKUP(B11,BD_CONTROL!$A$5:$M$4235,11,0),"")</f>
        <v>0</v>
      </c>
      <c r="L11" s="120">
        <f>IFERROR(VLOOKUP(B11,BD_CONTROL!$A$5:$M$4235,12,0),"")</f>
        <v>0</v>
      </c>
      <c r="M11" s="121">
        <f>IFERROR(VLOOKUP(B11,BD_CONTROL!$A$5:$M$4235,13,0),"")</f>
        <v>0</v>
      </c>
    </row>
    <row r="12" spans="1:13" ht="15" customHeight="1">
      <c r="A12" s="39">
        <v>7</v>
      </c>
      <c r="B12" s="39" t="s">
        <v>1127</v>
      </c>
      <c r="C12" s="40" t="s">
        <v>245</v>
      </c>
      <c r="D12" s="39" t="s">
        <v>1107</v>
      </c>
      <c r="E12" s="40" t="s">
        <v>1108</v>
      </c>
      <c r="F12" s="40" t="s">
        <v>1128</v>
      </c>
      <c r="G12" s="39" t="s">
        <v>102</v>
      </c>
      <c r="H12" s="40" t="s">
        <v>1110</v>
      </c>
      <c r="I12" s="40" t="s">
        <v>104</v>
      </c>
      <c r="J12" s="50"/>
      <c r="K12" s="116">
        <f>IFERROR(VLOOKUP(B12,BD_CONTROL!$A$5:$M$4235,11,0),"")</f>
        <v>0</v>
      </c>
      <c r="L12" s="117">
        <f>IFERROR(VLOOKUP(B12,BD_CONTROL!$A$5:$M$4235,12,0),"")</f>
        <v>0</v>
      </c>
      <c r="M12" s="118">
        <f>IFERROR(VLOOKUP(B12,BD_CONTROL!$A$5:$M$4235,13,0),"")</f>
        <v>0</v>
      </c>
    </row>
    <row r="13" spans="1:13" ht="15" customHeight="1">
      <c r="A13" s="42">
        <v>8</v>
      </c>
      <c r="B13" s="42" t="s">
        <v>1129</v>
      </c>
      <c r="C13" s="43" t="s">
        <v>1130</v>
      </c>
      <c r="D13" s="42" t="s">
        <v>1107</v>
      </c>
      <c r="E13" s="43" t="s">
        <v>1131</v>
      </c>
      <c r="F13" s="43" t="s">
        <v>1131</v>
      </c>
      <c r="G13" s="42" t="s">
        <v>102</v>
      </c>
      <c r="H13" s="43" t="s">
        <v>1110</v>
      </c>
      <c r="I13" s="43" t="s">
        <v>104</v>
      </c>
      <c r="J13" s="55"/>
      <c r="K13" s="119">
        <f>IFERROR(VLOOKUP(B13,BD_CONTROL!$A$5:$M$4235,11,0),"")</f>
        <v>0</v>
      </c>
      <c r="L13" s="120">
        <f>IFERROR(VLOOKUP(B13,BD_CONTROL!$A$5:$M$4235,12,0),"")</f>
        <v>0</v>
      </c>
      <c r="M13" s="121">
        <f>IFERROR(VLOOKUP(B13,BD_CONTROL!$A$5:$M$4235,13,0),"")</f>
        <v>0</v>
      </c>
    </row>
    <row r="14" spans="1:13" ht="15" customHeight="1">
      <c r="A14" s="39">
        <v>9</v>
      </c>
      <c r="B14" s="39" t="s">
        <v>1132</v>
      </c>
      <c r="C14" s="40" t="s">
        <v>204</v>
      </c>
      <c r="D14" s="39" t="s">
        <v>1107</v>
      </c>
      <c r="E14" s="40" t="s">
        <v>1108</v>
      </c>
      <c r="F14" s="40" t="s">
        <v>1133</v>
      </c>
      <c r="G14" s="39" t="s">
        <v>102</v>
      </c>
      <c r="H14" s="40" t="s">
        <v>1110</v>
      </c>
      <c r="I14" s="40" t="s">
        <v>104</v>
      </c>
      <c r="J14" s="50"/>
      <c r="K14" s="116">
        <f>IFERROR(VLOOKUP(B14,BD_CONTROL!$A$5:$M$4235,11,0),"")</f>
        <v>0</v>
      </c>
      <c r="L14" s="117">
        <f>IFERROR(VLOOKUP(B14,BD_CONTROL!$A$5:$M$4235,12,0),"")</f>
        <v>0</v>
      </c>
      <c r="M14" s="118">
        <f>IFERROR(VLOOKUP(B14,BD_CONTROL!$A$5:$M$4235,13,0),"")</f>
        <v>0</v>
      </c>
    </row>
    <row r="15" spans="1:13" ht="15" customHeight="1">
      <c r="A15" s="42">
        <v>10</v>
      </c>
      <c r="B15" s="42" t="s">
        <v>1134</v>
      </c>
      <c r="C15" s="43" t="s">
        <v>362</v>
      </c>
      <c r="D15" s="42" t="s">
        <v>1107</v>
      </c>
      <c r="E15" s="43" t="s">
        <v>1131</v>
      </c>
      <c r="F15" s="43" t="s">
        <v>1135</v>
      </c>
      <c r="G15" s="42" t="s">
        <v>102</v>
      </c>
      <c r="H15" s="43" t="s">
        <v>1110</v>
      </c>
      <c r="I15" s="43" t="s">
        <v>104</v>
      </c>
      <c r="J15" s="55"/>
      <c r="K15" s="119">
        <f>IFERROR(VLOOKUP(B15,BD_CONTROL!$A$5:$M$4235,11,0),"")</f>
        <v>0</v>
      </c>
      <c r="L15" s="120">
        <f>IFERROR(VLOOKUP(B15,BD_CONTROL!$A$5:$M$4235,12,0),"")</f>
        <v>0</v>
      </c>
      <c r="M15" s="121">
        <f>IFERROR(VLOOKUP(B15,BD_CONTROL!$A$5:$M$4235,13,0),"")</f>
        <v>0</v>
      </c>
    </row>
    <row r="16" spans="1:13" ht="15" customHeight="1">
      <c r="A16" s="39">
        <v>11</v>
      </c>
      <c r="B16" s="39" t="s">
        <v>1136</v>
      </c>
      <c r="C16" s="40" t="s">
        <v>1137</v>
      </c>
      <c r="D16" s="39" t="s">
        <v>1107</v>
      </c>
      <c r="E16" s="40" t="s">
        <v>1131</v>
      </c>
      <c r="F16" s="40" t="s">
        <v>1131</v>
      </c>
      <c r="G16" s="39" t="s">
        <v>102</v>
      </c>
      <c r="H16" s="40" t="s">
        <v>1110</v>
      </c>
      <c r="I16" s="40" t="s">
        <v>104</v>
      </c>
      <c r="J16" s="50"/>
      <c r="K16" s="116">
        <f>IFERROR(VLOOKUP(B16,BD_CONTROL!$A$5:$M$4235,11,0),"")</f>
        <v>0</v>
      </c>
      <c r="L16" s="117">
        <f>IFERROR(VLOOKUP(B16,BD_CONTROL!$A$5:$M$4235,12,0),"")</f>
        <v>0</v>
      </c>
      <c r="M16" s="118">
        <f>IFERROR(VLOOKUP(B16,BD_CONTROL!$A$5:$M$4235,13,0),"")</f>
        <v>0</v>
      </c>
    </row>
    <row r="17" spans="1:13" ht="15" customHeight="1">
      <c r="A17" s="42">
        <v>12</v>
      </c>
      <c r="B17" s="42" t="s">
        <v>1138</v>
      </c>
      <c r="C17" s="43" t="s">
        <v>1139</v>
      </c>
      <c r="D17" s="42" t="s">
        <v>1107</v>
      </c>
      <c r="E17" s="43" t="s">
        <v>1113</v>
      </c>
      <c r="F17" s="43" t="s">
        <v>1113</v>
      </c>
      <c r="G17" s="42" t="s">
        <v>102</v>
      </c>
      <c r="H17" s="43" t="s">
        <v>1110</v>
      </c>
      <c r="I17" s="43" t="s">
        <v>104</v>
      </c>
      <c r="J17" s="55"/>
      <c r="K17" s="119">
        <f>IFERROR(VLOOKUP(B17,BD_CONTROL!$A$5:$M$4235,11,0),"")</f>
        <v>0</v>
      </c>
      <c r="L17" s="120">
        <f>IFERROR(VLOOKUP(B17,BD_CONTROL!$A$5:$M$4235,12,0),"")</f>
        <v>0</v>
      </c>
      <c r="M17" s="121">
        <f>IFERROR(VLOOKUP(B17,BD_CONTROL!$A$5:$M$4235,13,0),"")</f>
        <v>0</v>
      </c>
    </row>
    <row r="18" spans="1:13" ht="15" customHeight="1">
      <c r="A18" s="39">
        <v>13</v>
      </c>
      <c r="B18" s="39" t="s">
        <v>1140</v>
      </c>
      <c r="C18" s="40" t="s">
        <v>1141</v>
      </c>
      <c r="D18" s="39" t="s">
        <v>1107</v>
      </c>
      <c r="E18" s="40" t="s">
        <v>1142</v>
      </c>
      <c r="F18" s="40" t="s">
        <v>1142</v>
      </c>
      <c r="G18" s="39" t="s">
        <v>102</v>
      </c>
      <c r="H18" s="40" t="s">
        <v>1110</v>
      </c>
      <c r="I18" s="40" t="s">
        <v>104</v>
      </c>
      <c r="J18" s="50"/>
      <c r="K18" s="116">
        <f>IFERROR(VLOOKUP(B18,BD_CONTROL!$A$5:$M$4235,11,0),"")</f>
        <v>0</v>
      </c>
      <c r="L18" s="117">
        <f>IFERROR(VLOOKUP(B18,BD_CONTROL!$A$5:$M$4235,12,0),"")</f>
        <v>0</v>
      </c>
      <c r="M18" s="118">
        <f>IFERROR(VLOOKUP(B18,BD_CONTROL!$A$5:$M$4235,13,0),"")</f>
        <v>0</v>
      </c>
    </row>
    <row r="19" spans="1:13" ht="15" customHeight="1">
      <c r="A19" s="42">
        <v>14</v>
      </c>
      <c r="B19" s="42" t="s">
        <v>1143</v>
      </c>
      <c r="C19" s="43" t="s">
        <v>1144</v>
      </c>
      <c r="D19" s="42" t="s">
        <v>1107</v>
      </c>
      <c r="E19" s="43" t="s">
        <v>1131</v>
      </c>
      <c r="F19" s="43" t="s">
        <v>1131</v>
      </c>
      <c r="G19" s="42" t="s">
        <v>102</v>
      </c>
      <c r="H19" s="43" t="s">
        <v>1110</v>
      </c>
      <c r="I19" s="43" t="s">
        <v>104</v>
      </c>
      <c r="J19" s="55"/>
      <c r="K19" s="119">
        <f>IFERROR(VLOOKUP(B19,BD_CONTROL!$A$5:$M$4235,11,0),"")</f>
        <v>0</v>
      </c>
      <c r="L19" s="120">
        <f>IFERROR(VLOOKUP(B19,BD_CONTROL!$A$5:$M$4235,12,0),"")</f>
        <v>0</v>
      </c>
      <c r="M19" s="121">
        <f>IFERROR(VLOOKUP(B19,BD_CONTROL!$A$5:$M$4235,13,0),"")</f>
        <v>0</v>
      </c>
    </row>
    <row r="20" spans="1:13" ht="15" customHeight="1">
      <c r="A20" s="39">
        <v>15</v>
      </c>
      <c r="B20" s="39" t="s">
        <v>1145</v>
      </c>
      <c r="C20" s="40" t="s">
        <v>1146</v>
      </c>
      <c r="D20" s="39" t="s">
        <v>1107</v>
      </c>
      <c r="E20" s="40" t="s">
        <v>1147</v>
      </c>
      <c r="F20" s="40" t="s">
        <v>1148</v>
      </c>
      <c r="G20" s="39" t="s">
        <v>102</v>
      </c>
      <c r="H20" s="40" t="s">
        <v>1110</v>
      </c>
      <c r="I20" s="40" t="s">
        <v>104</v>
      </c>
      <c r="J20" s="50"/>
      <c r="K20" s="116">
        <f>IFERROR(VLOOKUP(B20,BD_CONTROL!$A$5:$M$4235,11,0),"")</f>
        <v>0</v>
      </c>
      <c r="L20" s="117">
        <f>IFERROR(VLOOKUP(B20,BD_CONTROL!$A$5:$M$4235,12,0),"")</f>
        <v>0</v>
      </c>
      <c r="M20" s="118">
        <f>IFERROR(VLOOKUP(B20,BD_CONTROL!$A$5:$M$4235,13,0),"")</f>
        <v>0</v>
      </c>
    </row>
    <row r="21" spans="1:13" ht="15" customHeight="1">
      <c r="A21" s="42">
        <v>16</v>
      </c>
      <c r="B21" s="42" t="s">
        <v>1149</v>
      </c>
      <c r="C21" s="43" t="s">
        <v>1150</v>
      </c>
      <c r="D21" s="42" t="s">
        <v>1107</v>
      </c>
      <c r="E21" s="43" t="s">
        <v>1119</v>
      </c>
      <c r="F21" s="43" t="s">
        <v>307</v>
      </c>
      <c r="G21" s="42" t="s">
        <v>102</v>
      </c>
      <c r="H21" s="43" t="s">
        <v>1110</v>
      </c>
      <c r="I21" s="43" t="s">
        <v>104</v>
      </c>
      <c r="J21" s="55"/>
      <c r="K21" s="119">
        <f>IFERROR(VLOOKUP(B21,BD_CONTROL!$A$5:$M$4235,11,0),"")</f>
        <v>0</v>
      </c>
      <c r="L21" s="120">
        <f>IFERROR(VLOOKUP(B21,BD_CONTROL!$A$5:$M$4235,12,0),"")</f>
        <v>0</v>
      </c>
      <c r="M21" s="121">
        <f>IFERROR(VLOOKUP(B21,BD_CONTROL!$A$5:$M$4235,13,0),"")</f>
        <v>0</v>
      </c>
    </row>
    <row r="22" spans="1:13" ht="15" customHeight="1">
      <c r="A22" s="39">
        <v>17</v>
      </c>
      <c r="B22" s="39" t="s">
        <v>1151</v>
      </c>
      <c r="C22" s="40" t="s">
        <v>1152</v>
      </c>
      <c r="D22" s="39" t="s">
        <v>1107</v>
      </c>
      <c r="E22" s="40" t="s">
        <v>1108</v>
      </c>
      <c r="F22" s="40" t="s">
        <v>1153</v>
      </c>
      <c r="G22" s="39" t="s">
        <v>102</v>
      </c>
      <c r="H22" s="40" t="s">
        <v>1110</v>
      </c>
      <c r="I22" s="40" t="s">
        <v>104</v>
      </c>
      <c r="J22" s="50"/>
      <c r="K22" s="116">
        <f>IFERROR(VLOOKUP(B22,BD_CONTROL!$A$5:$M$4235,11,0),"")</f>
        <v>0</v>
      </c>
      <c r="L22" s="117">
        <f>IFERROR(VLOOKUP(B22,BD_CONTROL!$A$5:$M$4235,12,0),"")</f>
        <v>0</v>
      </c>
      <c r="M22" s="118">
        <f>IFERROR(VLOOKUP(B22,BD_CONTROL!$A$5:$M$4235,13,0),"")</f>
        <v>0</v>
      </c>
    </row>
    <row r="23" spans="1:13" ht="15" customHeight="1">
      <c r="A23" s="42">
        <v>18</v>
      </c>
      <c r="B23" s="42" t="s">
        <v>1154</v>
      </c>
      <c r="C23" s="43" t="s">
        <v>1155</v>
      </c>
      <c r="D23" s="42" t="s">
        <v>1107</v>
      </c>
      <c r="E23" s="43" t="s">
        <v>1156</v>
      </c>
      <c r="F23" s="43" t="s">
        <v>1157</v>
      </c>
      <c r="G23" s="42" t="s">
        <v>102</v>
      </c>
      <c r="H23" s="43" t="s">
        <v>1110</v>
      </c>
      <c r="I23" s="43" t="s">
        <v>104</v>
      </c>
      <c r="J23" s="55"/>
      <c r="K23" s="119">
        <f>IFERROR(VLOOKUP(B23,BD_CONTROL!$A$5:$M$4235,11,0),"")</f>
        <v>0</v>
      </c>
      <c r="L23" s="120">
        <f>IFERROR(VLOOKUP(B23,BD_CONTROL!$A$5:$M$4235,12,0),"")</f>
        <v>0</v>
      </c>
      <c r="M23" s="121">
        <f>IFERROR(VLOOKUP(B23,BD_CONTROL!$A$5:$M$4235,13,0),"")</f>
        <v>0</v>
      </c>
    </row>
    <row r="24" spans="1:13" ht="15" customHeight="1">
      <c r="A24" s="39">
        <v>19</v>
      </c>
      <c r="B24" s="39" t="s">
        <v>1158</v>
      </c>
      <c r="C24" s="40" t="s">
        <v>1159</v>
      </c>
      <c r="D24" s="39" t="s">
        <v>1107</v>
      </c>
      <c r="E24" s="40" t="s">
        <v>1142</v>
      </c>
      <c r="F24" s="40" t="s">
        <v>1142</v>
      </c>
      <c r="G24" s="39" t="s">
        <v>102</v>
      </c>
      <c r="H24" s="40" t="s">
        <v>1110</v>
      </c>
      <c r="I24" s="40" t="s">
        <v>104</v>
      </c>
      <c r="J24" s="50"/>
      <c r="K24" s="116">
        <f>IFERROR(VLOOKUP(B24,BD_CONTROL!$A$5:$M$4235,11,0),"")</f>
        <v>0</v>
      </c>
      <c r="L24" s="117">
        <f>IFERROR(VLOOKUP(B24,BD_CONTROL!$A$5:$M$4235,12,0),"")</f>
        <v>0</v>
      </c>
      <c r="M24" s="118">
        <f>IFERROR(VLOOKUP(B24,BD_CONTROL!$A$5:$M$4235,13,0),"")</f>
        <v>0</v>
      </c>
    </row>
    <row r="25" spans="1:13" ht="15" customHeight="1">
      <c r="A25" s="42">
        <v>20</v>
      </c>
      <c r="B25" s="42" t="s">
        <v>1160</v>
      </c>
      <c r="C25" s="43" t="s">
        <v>1161</v>
      </c>
      <c r="D25" s="42" t="s">
        <v>1107</v>
      </c>
      <c r="E25" s="43" t="s">
        <v>1108</v>
      </c>
      <c r="F25" s="43" t="s">
        <v>1162</v>
      </c>
      <c r="G25" s="42" t="s">
        <v>102</v>
      </c>
      <c r="H25" s="43" t="s">
        <v>1110</v>
      </c>
      <c r="I25" s="43" t="s">
        <v>104</v>
      </c>
      <c r="J25" s="55"/>
      <c r="K25" s="119">
        <f>IFERROR(VLOOKUP(B25,BD_CONTROL!$A$5:$M$4235,11,0),"")</f>
        <v>0</v>
      </c>
      <c r="L25" s="120">
        <f>IFERROR(VLOOKUP(B25,BD_CONTROL!$A$5:$M$4235,12,0),"")</f>
        <v>0</v>
      </c>
      <c r="M25" s="121">
        <f>IFERROR(VLOOKUP(B25,BD_CONTROL!$A$5:$M$4235,13,0),"")</f>
        <v>0</v>
      </c>
    </row>
    <row r="26" spans="1:13" ht="15" customHeight="1">
      <c r="A26" s="39">
        <v>21</v>
      </c>
      <c r="B26" s="39" t="s">
        <v>1163</v>
      </c>
      <c r="C26" s="40" t="s">
        <v>1164</v>
      </c>
      <c r="D26" s="39" t="s">
        <v>1107</v>
      </c>
      <c r="E26" s="40" t="s">
        <v>1165</v>
      </c>
      <c r="F26" s="40" t="s">
        <v>1107</v>
      </c>
      <c r="G26" s="39" t="s">
        <v>102</v>
      </c>
      <c r="H26" s="40" t="s">
        <v>1110</v>
      </c>
      <c r="I26" s="40" t="s">
        <v>104</v>
      </c>
      <c r="J26" s="50"/>
      <c r="K26" s="116">
        <f>IFERROR(VLOOKUP(B26,BD_CONTROL!$A$5:$M$4235,11,0),"")</f>
        <v>0</v>
      </c>
      <c r="L26" s="117">
        <f>IFERROR(VLOOKUP(B26,BD_CONTROL!$A$5:$M$4235,12,0),"")</f>
        <v>0</v>
      </c>
      <c r="M26" s="118">
        <f>IFERROR(VLOOKUP(B26,BD_CONTROL!$A$5:$M$4235,13,0),"")</f>
        <v>0</v>
      </c>
    </row>
    <row r="27" spans="1:13" ht="15" customHeight="1">
      <c r="A27" s="42">
        <v>22</v>
      </c>
      <c r="B27" s="42" t="s">
        <v>1166</v>
      </c>
      <c r="C27" s="43" t="s">
        <v>1167</v>
      </c>
      <c r="D27" s="42" t="s">
        <v>1107</v>
      </c>
      <c r="E27" s="43" t="s">
        <v>1131</v>
      </c>
      <c r="F27" s="43" t="s">
        <v>1131</v>
      </c>
      <c r="G27" s="42" t="s">
        <v>102</v>
      </c>
      <c r="H27" s="43" t="s">
        <v>1110</v>
      </c>
      <c r="I27" s="43" t="s">
        <v>104</v>
      </c>
      <c r="J27" s="55"/>
      <c r="K27" s="119">
        <f>IFERROR(VLOOKUP(B27,BD_CONTROL!$A$5:$M$4235,11,0),"")</f>
        <v>0</v>
      </c>
      <c r="L27" s="120">
        <f>IFERROR(VLOOKUP(B27,BD_CONTROL!$A$5:$M$4235,12,0),"")</f>
        <v>0</v>
      </c>
      <c r="M27" s="121">
        <f>IFERROR(VLOOKUP(B27,BD_CONTROL!$A$5:$M$4235,13,0),"")</f>
        <v>0</v>
      </c>
    </row>
    <row r="28" spans="1:13" ht="15" customHeight="1">
      <c r="A28" s="39">
        <v>23</v>
      </c>
      <c r="B28" s="39" t="s">
        <v>1168</v>
      </c>
      <c r="C28" s="40" t="s">
        <v>126</v>
      </c>
      <c r="D28" s="39" t="s">
        <v>1107</v>
      </c>
      <c r="E28" s="40" t="s">
        <v>725</v>
      </c>
      <c r="F28" s="40" t="s">
        <v>1107</v>
      </c>
      <c r="G28" s="39" t="s">
        <v>102</v>
      </c>
      <c r="H28" s="40" t="s">
        <v>1110</v>
      </c>
      <c r="I28" s="40" t="s">
        <v>104</v>
      </c>
      <c r="J28" s="50"/>
      <c r="K28" s="116">
        <f>IFERROR(VLOOKUP(B28,BD_CONTROL!$A$5:$M$4235,11,0),"")</f>
        <v>0</v>
      </c>
      <c r="L28" s="117">
        <f>IFERROR(VLOOKUP(B28,BD_CONTROL!$A$5:$M$4235,12,0),"")</f>
        <v>0</v>
      </c>
      <c r="M28" s="118">
        <f>IFERROR(VLOOKUP(B28,BD_CONTROL!$A$5:$M$4235,13,0),"")</f>
        <v>0</v>
      </c>
    </row>
    <row r="29" spans="1:13" ht="15" customHeight="1">
      <c r="A29" s="42">
        <v>24</v>
      </c>
      <c r="B29" s="42" t="s">
        <v>1169</v>
      </c>
      <c r="C29" s="43" t="s">
        <v>1170</v>
      </c>
      <c r="D29" s="42" t="s">
        <v>1107</v>
      </c>
      <c r="E29" s="43" t="s">
        <v>1123</v>
      </c>
      <c r="F29" s="43" t="s">
        <v>1123</v>
      </c>
      <c r="G29" s="42" t="s">
        <v>102</v>
      </c>
      <c r="H29" s="43" t="s">
        <v>1110</v>
      </c>
      <c r="I29" s="43" t="s">
        <v>104</v>
      </c>
      <c r="J29" s="55"/>
      <c r="K29" s="119">
        <f>IFERROR(VLOOKUP(B29,BD_CONTROL!$A$5:$M$4235,11,0),"")</f>
        <v>0</v>
      </c>
      <c r="L29" s="120">
        <f>IFERROR(VLOOKUP(B29,BD_CONTROL!$A$5:$M$4235,12,0),"")</f>
        <v>0</v>
      </c>
      <c r="M29" s="121">
        <f>IFERROR(VLOOKUP(B29,BD_CONTROL!$A$5:$M$4235,13,0),"")</f>
        <v>0</v>
      </c>
    </row>
    <row r="30" spans="1:13" ht="15" customHeight="1">
      <c r="A30" s="39">
        <v>25</v>
      </c>
      <c r="B30" s="39" t="s">
        <v>1171</v>
      </c>
      <c r="C30" s="40" t="s">
        <v>311</v>
      </c>
      <c r="D30" s="39" t="s">
        <v>1107</v>
      </c>
      <c r="E30" s="40" t="s">
        <v>1172</v>
      </c>
      <c r="F30" s="40" t="s">
        <v>1173</v>
      </c>
      <c r="G30" s="39" t="s">
        <v>102</v>
      </c>
      <c r="H30" s="40" t="s">
        <v>1110</v>
      </c>
      <c r="I30" s="40" t="s">
        <v>104</v>
      </c>
      <c r="J30" s="50"/>
      <c r="K30" s="116">
        <f>IFERROR(VLOOKUP(B30,BD_CONTROL!$A$5:$M$4235,11,0),"")</f>
        <v>0</v>
      </c>
      <c r="L30" s="117">
        <f>IFERROR(VLOOKUP(B30,BD_CONTROL!$A$5:$M$4235,12,0),"")</f>
        <v>0</v>
      </c>
      <c r="M30" s="118">
        <f>IFERROR(VLOOKUP(B30,BD_CONTROL!$A$5:$M$4235,13,0),"")</f>
        <v>0</v>
      </c>
    </row>
    <row r="31" spans="1:13" ht="15" customHeight="1">
      <c r="A31" s="42">
        <v>26</v>
      </c>
      <c r="B31" s="42" t="s">
        <v>1174</v>
      </c>
      <c r="C31" s="43" t="s">
        <v>1175</v>
      </c>
      <c r="D31" s="42" t="s">
        <v>1107</v>
      </c>
      <c r="E31" s="43" t="s">
        <v>1123</v>
      </c>
      <c r="F31" s="43" t="s">
        <v>1123</v>
      </c>
      <c r="G31" s="42" t="s">
        <v>102</v>
      </c>
      <c r="H31" s="43" t="s">
        <v>1110</v>
      </c>
      <c r="I31" s="43" t="s">
        <v>104</v>
      </c>
      <c r="J31" s="55"/>
      <c r="K31" s="119">
        <f>IFERROR(VLOOKUP(B31,BD_CONTROL!$A$5:$M$4235,11,0),"")</f>
        <v>0</v>
      </c>
      <c r="L31" s="120">
        <f>IFERROR(VLOOKUP(B31,BD_CONTROL!$A$5:$M$4235,12,0),"")</f>
        <v>0</v>
      </c>
      <c r="M31" s="121">
        <f>IFERROR(VLOOKUP(B31,BD_CONTROL!$A$5:$M$4235,13,0),"")</f>
        <v>0</v>
      </c>
    </row>
    <row r="32" spans="1:13" ht="15" customHeight="1">
      <c r="A32" s="39">
        <v>27</v>
      </c>
      <c r="B32" s="39" t="s">
        <v>1176</v>
      </c>
      <c r="C32" s="40" t="s">
        <v>1177</v>
      </c>
      <c r="D32" s="39" t="s">
        <v>1107</v>
      </c>
      <c r="E32" s="40" t="s">
        <v>1131</v>
      </c>
      <c r="F32" s="40" t="s">
        <v>1131</v>
      </c>
      <c r="G32" s="39" t="s">
        <v>102</v>
      </c>
      <c r="H32" s="40" t="s">
        <v>1110</v>
      </c>
      <c r="I32" s="40" t="s">
        <v>104</v>
      </c>
      <c r="J32" s="50"/>
      <c r="K32" s="116">
        <f>IFERROR(VLOOKUP(B32,BD_CONTROL!$A$5:$M$4235,11,0),"")</f>
        <v>0</v>
      </c>
      <c r="L32" s="117">
        <f>IFERROR(VLOOKUP(B32,BD_CONTROL!$A$5:$M$4235,12,0),"")</f>
        <v>0</v>
      </c>
      <c r="M32" s="118">
        <f>IFERROR(VLOOKUP(B32,BD_CONTROL!$A$5:$M$4235,13,0),"")</f>
        <v>0</v>
      </c>
    </row>
    <row r="33" spans="1:13" ht="15" customHeight="1">
      <c r="A33" s="42">
        <v>28</v>
      </c>
      <c r="B33" s="42" t="s">
        <v>1178</v>
      </c>
      <c r="C33" s="43" t="s">
        <v>1179</v>
      </c>
      <c r="D33" s="42" t="s">
        <v>1107</v>
      </c>
      <c r="E33" s="43" t="s">
        <v>1108</v>
      </c>
      <c r="F33" s="43" t="s">
        <v>1180</v>
      </c>
      <c r="G33" s="42" t="s">
        <v>102</v>
      </c>
      <c r="H33" s="43" t="s">
        <v>1110</v>
      </c>
      <c r="I33" s="43" t="s">
        <v>104</v>
      </c>
      <c r="J33" s="55"/>
      <c r="K33" s="119">
        <f>IFERROR(VLOOKUP(B33,BD_CONTROL!$A$5:$M$4235,11,0),"")</f>
        <v>0</v>
      </c>
      <c r="L33" s="120">
        <f>IFERROR(VLOOKUP(B33,BD_CONTROL!$A$5:$M$4235,12,0),"")</f>
        <v>0</v>
      </c>
      <c r="M33" s="121">
        <f>IFERROR(VLOOKUP(B33,BD_CONTROL!$A$5:$M$4235,13,0),"")</f>
        <v>0</v>
      </c>
    </row>
    <row r="34" spans="1:13" ht="15" customHeight="1">
      <c r="A34" s="39">
        <v>29</v>
      </c>
      <c r="B34" s="39" t="s">
        <v>1181</v>
      </c>
      <c r="C34" s="40" t="s">
        <v>1182</v>
      </c>
      <c r="D34" s="39" t="s">
        <v>1107</v>
      </c>
      <c r="E34" s="40" t="s">
        <v>1108</v>
      </c>
      <c r="F34" s="40" t="s">
        <v>1183</v>
      </c>
      <c r="G34" s="39" t="s">
        <v>102</v>
      </c>
      <c r="H34" s="40" t="s">
        <v>1184</v>
      </c>
      <c r="I34" s="40" t="s">
        <v>104</v>
      </c>
      <c r="J34" s="50"/>
      <c r="K34" s="116">
        <f>IFERROR(VLOOKUP(B34,BD_CONTROL!$A$5:$M$4235,11,0),"")</f>
        <v>0</v>
      </c>
      <c r="L34" s="117">
        <f>IFERROR(VLOOKUP(B34,BD_CONTROL!$A$5:$M$4235,12,0),"")</f>
        <v>0</v>
      </c>
      <c r="M34" s="118">
        <f>IFERROR(VLOOKUP(B34,BD_CONTROL!$A$5:$M$4235,13,0),"")</f>
        <v>0</v>
      </c>
    </row>
    <row r="35" spans="1:13" ht="15" customHeight="1">
      <c r="A35" s="42">
        <v>30</v>
      </c>
      <c r="B35" s="42" t="s">
        <v>1185</v>
      </c>
      <c r="C35" s="43" t="s">
        <v>1186</v>
      </c>
      <c r="D35" s="42" t="s">
        <v>1107</v>
      </c>
      <c r="E35" s="43" t="s">
        <v>1108</v>
      </c>
      <c r="F35" s="43" t="s">
        <v>1187</v>
      </c>
      <c r="G35" s="42" t="s">
        <v>102</v>
      </c>
      <c r="H35" s="43" t="s">
        <v>1184</v>
      </c>
      <c r="I35" s="43" t="s">
        <v>104</v>
      </c>
      <c r="J35" s="55"/>
      <c r="K35" s="119">
        <f>IFERROR(VLOOKUP(B35,BD_CONTROL!$A$5:$M$4235,11,0),"")</f>
        <v>0</v>
      </c>
      <c r="L35" s="120">
        <f>IFERROR(VLOOKUP(B35,BD_CONTROL!$A$5:$M$4235,12,0),"")</f>
        <v>0</v>
      </c>
      <c r="M35" s="121">
        <f>IFERROR(VLOOKUP(B35,BD_CONTROL!$A$5:$M$4235,13,0),"")</f>
        <v>0</v>
      </c>
    </row>
    <row r="36" spans="1:13" ht="15" customHeight="1">
      <c r="A36" s="39">
        <v>31</v>
      </c>
      <c r="B36" s="39" t="s">
        <v>1188</v>
      </c>
      <c r="C36" s="40" t="s">
        <v>1189</v>
      </c>
      <c r="D36" s="39" t="s">
        <v>1107</v>
      </c>
      <c r="E36" s="40" t="s">
        <v>1190</v>
      </c>
      <c r="F36" s="40" t="s">
        <v>1191</v>
      </c>
      <c r="G36" s="39" t="s">
        <v>102</v>
      </c>
      <c r="H36" s="40" t="s">
        <v>1110</v>
      </c>
      <c r="I36" s="40" t="s">
        <v>104</v>
      </c>
      <c r="J36" s="50"/>
      <c r="K36" s="116">
        <f>IFERROR(VLOOKUP(B36,BD_CONTROL!$A$5:$M$4235,11,0),"")</f>
        <v>0</v>
      </c>
      <c r="L36" s="117">
        <f>IFERROR(VLOOKUP(B36,BD_CONTROL!$A$5:$M$4235,12,0),"")</f>
        <v>0</v>
      </c>
      <c r="M36" s="118">
        <f>IFERROR(VLOOKUP(B36,BD_CONTROL!$A$5:$M$4235,13,0),"")</f>
        <v>0</v>
      </c>
    </row>
    <row r="37" spans="1:13" ht="15" customHeight="1">
      <c r="A37" s="42">
        <v>32</v>
      </c>
      <c r="B37" s="42" t="s">
        <v>1192</v>
      </c>
      <c r="C37" s="43" t="s">
        <v>1193</v>
      </c>
      <c r="D37" s="42" t="s">
        <v>1107</v>
      </c>
      <c r="E37" s="43" t="s">
        <v>1194</v>
      </c>
      <c r="F37" s="43" t="s">
        <v>1135</v>
      </c>
      <c r="G37" s="42" t="s">
        <v>102</v>
      </c>
      <c r="H37" s="43" t="s">
        <v>1110</v>
      </c>
      <c r="I37" s="43" t="s">
        <v>104</v>
      </c>
      <c r="J37" s="55"/>
      <c r="K37" s="119">
        <f>IFERROR(VLOOKUP(B37,BD_CONTROL!$A$5:$M$4235,11,0),"")</f>
        <v>0</v>
      </c>
      <c r="L37" s="120">
        <f>IFERROR(VLOOKUP(B37,BD_CONTROL!$A$5:$M$4235,12,0),"")</f>
        <v>0</v>
      </c>
      <c r="M37" s="121">
        <f>IFERROR(VLOOKUP(B37,BD_CONTROL!$A$5:$M$4235,13,0),"")</f>
        <v>0</v>
      </c>
    </row>
    <row r="38" spans="1:13" ht="15" customHeight="1">
      <c r="A38" s="39">
        <v>33</v>
      </c>
      <c r="B38" s="39" t="s">
        <v>1195</v>
      </c>
      <c r="C38" s="40" t="s">
        <v>1196</v>
      </c>
      <c r="D38" s="39" t="s">
        <v>1107</v>
      </c>
      <c r="E38" s="40" t="s">
        <v>1197</v>
      </c>
      <c r="F38" s="40" t="s">
        <v>1107</v>
      </c>
      <c r="G38" s="39" t="s">
        <v>102</v>
      </c>
      <c r="H38" s="40" t="s">
        <v>1110</v>
      </c>
      <c r="I38" s="40" t="s">
        <v>104</v>
      </c>
      <c r="J38" s="50"/>
      <c r="K38" s="116">
        <f>IFERROR(VLOOKUP(B38,BD_CONTROL!$A$5:$M$4235,11,0),"")</f>
        <v>0</v>
      </c>
      <c r="L38" s="117">
        <f>IFERROR(VLOOKUP(B38,BD_CONTROL!$A$5:$M$4235,12,0),"")</f>
        <v>0</v>
      </c>
      <c r="M38" s="118">
        <f>IFERROR(VLOOKUP(B38,BD_CONTROL!$A$5:$M$4235,13,0),"")</f>
        <v>0</v>
      </c>
    </row>
    <row r="39" spans="1:13" ht="15" customHeight="1">
      <c r="A39" s="42">
        <v>34</v>
      </c>
      <c r="B39" s="42" t="s">
        <v>2928</v>
      </c>
      <c r="C39" s="43" t="s">
        <v>2929</v>
      </c>
      <c r="D39" s="42" t="s">
        <v>553</v>
      </c>
      <c r="E39" s="43" t="s">
        <v>2930</v>
      </c>
      <c r="F39" s="43" t="s">
        <v>2930</v>
      </c>
      <c r="G39" s="42" t="s">
        <v>109</v>
      </c>
      <c r="H39" s="43" t="s">
        <v>1184</v>
      </c>
      <c r="I39" s="43" t="s">
        <v>104</v>
      </c>
      <c r="J39" s="55"/>
      <c r="K39" s="119" t="str">
        <f>IFERROR(VLOOKUP(B39,BD_CONTROL!$A$5:$M$4235,11,0),"")</f>
        <v>Instalado - Sin Señal</v>
      </c>
      <c r="L39" s="120">
        <f>IFERROR(VLOOKUP(B39,BD_CONTROL!$A$5:$M$4235,12,0),"")</f>
        <v>46148</v>
      </c>
      <c r="M39" s="121">
        <f>IFERROR(VLOOKUP(B39,BD_CONTROL!$A$5:$M$4235,13,0),"")</f>
        <v>0</v>
      </c>
    </row>
    <row r="40" spans="1:13" ht="15" customHeight="1">
      <c r="A40" s="39">
        <v>35</v>
      </c>
      <c r="B40" s="39" t="s">
        <v>2942</v>
      </c>
      <c r="C40" s="40" t="s">
        <v>2943</v>
      </c>
      <c r="D40" s="39" t="s">
        <v>553</v>
      </c>
      <c r="E40" s="40" t="s">
        <v>2944</v>
      </c>
      <c r="F40" s="40" t="s">
        <v>2944</v>
      </c>
      <c r="G40" s="39" t="s">
        <v>109</v>
      </c>
      <c r="H40" s="40" t="s">
        <v>1184</v>
      </c>
      <c r="I40" s="40" t="s">
        <v>104</v>
      </c>
      <c r="J40" s="50"/>
      <c r="K40" s="116">
        <f>IFERROR(VLOOKUP(B40,BD_CONTROL!$A$5:$M$4235,11,0),"")</f>
        <v>0</v>
      </c>
      <c r="L40" s="117">
        <f>IFERROR(VLOOKUP(B40,BD_CONTROL!$A$5:$M$4235,12,0),"")</f>
        <v>0</v>
      </c>
      <c r="M40" s="118">
        <f>IFERROR(VLOOKUP(B40,BD_CONTROL!$A$5:$M$4235,13,0),"")</f>
        <v>0</v>
      </c>
    </row>
    <row r="41" spans="1:13" ht="15" customHeight="1">
      <c r="A41" s="42">
        <v>36</v>
      </c>
      <c r="B41" s="42" t="s">
        <v>2945</v>
      </c>
      <c r="C41" s="43" t="s">
        <v>2946</v>
      </c>
      <c r="D41" s="42" t="s">
        <v>553</v>
      </c>
      <c r="E41" s="43" t="s">
        <v>2947</v>
      </c>
      <c r="F41" s="43" t="s">
        <v>2948</v>
      </c>
      <c r="G41" s="42" t="s">
        <v>109</v>
      </c>
      <c r="H41" s="43" t="s">
        <v>1184</v>
      </c>
      <c r="I41" s="43" t="s">
        <v>104</v>
      </c>
      <c r="J41" s="55"/>
      <c r="K41" s="119" t="str">
        <f>IFERROR(VLOOKUP(B41,BD_CONTROL!$A$5:$M$4235,11,0),"")</f>
        <v>Instalado - Operando</v>
      </c>
      <c r="L41" s="120">
        <f>IFERROR(VLOOKUP(B41,BD_CONTROL!$A$5:$M$4235,12,0),"")</f>
        <v>46149</v>
      </c>
      <c r="M41" s="121">
        <f>IFERROR(VLOOKUP(B41,BD_CONTROL!$A$5:$M$4235,13,0),"")</f>
        <v>0</v>
      </c>
    </row>
    <row r="42" spans="1:13" ht="15" customHeight="1">
      <c r="A42" s="39">
        <v>37</v>
      </c>
      <c r="B42" s="39" t="s">
        <v>2949</v>
      </c>
      <c r="C42" s="40" t="s">
        <v>2950</v>
      </c>
      <c r="D42" s="39" t="s">
        <v>553</v>
      </c>
      <c r="E42" s="40" t="s">
        <v>2951</v>
      </c>
      <c r="F42" s="40" t="s">
        <v>2952</v>
      </c>
      <c r="G42" s="39" t="s">
        <v>109</v>
      </c>
      <c r="H42" s="40" t="s">
        <v>1184</v>
      </c>
      <c r="I42" s="40" t="s">
        <v>104</v>
      </c>
      <c r="J42" s="50"/>
      <c r="K42" s="116">
        <f>IFERROR(VLOOKUP(B42,BD_CONTROL!$A$5:$M$4235,11,0),"")</f>
        <v>0</v>
      </c>
      <c r="L42" s="117">
        <f>IFERROR(VLOOKUP(B42,BD_CONTROL!$A$5:$M$4235,12,0),"")</f>
        <v>0</v>
      </c>
      <c r="M42" s="118">
        <f>IFERROR(VLOOKUP(B42,BD_CONTROL!$A$5:$M$4235,13,0),"")</f>
        <v>0</v>
      </c>
    </row>
    <row r="43" spans="1:13" ht="15" customHeight="1">
      <c r="A43" s="42">
        <v>38</v>
      </c>
      <c r="B43" s="42" t="s">
        <v>2953</v>
      </c>
      <c r="C43" s="43" t="s">
        <v>2455</v>
      </c>
      <c r="D43" s="42" t="s">
        <v>553</v>
      </c>
      <c r="E43" s="43" t="s">
        <v>2954</v>
      </c>
      <c r="F43" s="43" t="s">
        <v>2954</v>
      </c>
      <c r="G43" s="42" t="s">
        <v>109</v>
      </c>
      <c r="H43" s="43" t="s">
        <v>1184</v>
      </c>
      <c r="I43" s="43" t="s">
        <v>104</v>
      </c>
      <c r="J43" s="55"/>
      <c r="K43" s="119">
        <f>IFERROR(VLOOKUP(B43,BD_CONTROL!$A$5:$M$4235,11,0),"")</f>
        <v>0</v>
      </c>
      <c r="L43" s="120">
        <f>IFERROR(VLOOKUP(B43,BD_CONTROL!$A$5:$M$4235,12,0),"")</f>
        <v>0</v>
      </c>
      <c r="M43" s="121">
        <f>IFERROR(VLOOKUP(B43,BD_CONTROL!$A$5:$M$4235,13,0),"")</f>
        <v>0</v>
      </c>
    </row>
    <row r="44" spans="1:13" ht="15" customHeight="1">
      <c r="A44" s="39">
        <v>39</v>
      </c>
      <c r="B44" s="39" t="s">
        <v>2958</v>
      </c>
      <c r="C44" s="40" t="s">
        <v>2959</v>
      </c>
      <c r="D44" s="39" t="s">
        <v>553</v>
      </c>
      <c r="E44" s="40" t="s">
        <v>2960</v>
      </c>
      <c r="F44" s="40" t="s">
        <v>2960</v>
      </c>
      <c r="G44" s="39" t="s">
        <v>102</v>
      </c>
      <c r="H44" s="40" t="s">
        <v>1110</v>
      </c>
      <c r="I44" s="40" t="s">
        <v>104</v>
      </c>
      <c r="J44" s="50"/>
      <c r="K44" s="116">
        <f>IFERROR(VLOOKUP(B44,BD_CONTROL!$A$5:$M$4235,11,0),"")</f>
        <v>0</v>
      </c>
      <c r="L44" s="117">
        <f>IFERROR(VLOOKUP(B44,BD_CONTROL!$A$5:$M$4235,12,0),"")</f>
        <v>0</v>
      </c>
      <c r="M44" s="118">
        <f>IFERROR(VLOOKUP(B44,BD_CONTROL!$A$5:$M$4235,13,0),"")</f>
        <v>0</v>
      </c>
    </row>
    <row r="45" spans="1:13" ht="15" customHeight="1">
      <c r="A45" s="42">
        <v>40</v>
      </c>
      <c r="B45" s="42" t="s">
        <v>2961</v>
      </c>
      <c r="C45" s="43" t="s">
        <v>2165</v>
      </c>
      <c r="D45" s="42" t="s">
        <v>553</v>
      </c>
      <c r="E45" s="43" t="s">
        <v>2962</v>
      </c>
      <c r="F45" s="43" t="s">
        <v>2962</v>
      </c>
      <c r="G45" s="42" t="s">
        <v>109</v>
      </c>
      <c r="H45" s="43" t="s">
        <v>1184</v>
      </c>
      <c r="I45" s="43" t="s">
        <v>104</v>
      </c>
      <c r="J45" s="55"/>
      <c r="K45" s="119">
        <f>IFERROR(VLOOKUP(B45,BD_CONTROL!$A$5:$M$4235,11,0),"")</f>
        <v>0</v>
      </c>
      <c r="L45" s="120">
        <f>IFERROR(VLOOKUP(B45,BD_CONTROL!$A$5:$M$4235,12,0),"")</f>
        <v>0</v>
      </c>
      <c r="M45" s="121">
        <f>IFERROR(VLOOKUP(B45,BD_CONTROL!$A$5:$M$4235,13,0),"")</f>
        <v>0</v>
      </c>
    </row>
    <row r="46" spans="1:13" ht="15" customHeight="1">
      <c r="A46" s="39">
        <v>41</v>
      </c>
      <c r="B46" s="39" t="s">
        <v>2963</v>
      </c>
      <c r="C46" s="40" t="s">
        <v>2964</v>
      </c>
      <c r="D46" s="39" t="s">
        <v>553</v>
      </c>
      <c r="E46" s="40" t="s">
        <v>2965</v>
      </c>
      <c r="F46" s="40" t="s">
        <v>2966</v>
      </c>
      <c r="G46" s="39" t="s">
        <v>109</v>
      </c>
      <c r="H46" s="40" t="s">
        <v>1184</v>
      </c>
      <c r="I46" s="40" t="s">
        <v>104</v>
      </c>
      <c r="J46" s="50"/>
      <c r="K46" s="116">
        <f>IFERROR(VLOOKUP(B46,BD_CONTROL!$A$5:$M$4235,11,0),"")</f>
        <v>0</v>
      </c>
      <c r="L46" s="117">
        <f>IFERROR(VLOOKUP(B46,BD_CONTROL!$A$5:$M$4235,12,0),"")</f>
        <v>0</v>
      </c>
      <c r="M46" s="118">
        <f>IFERROR(VLOOKUP(B46,BD_CONTROL!$A$5:$M$4235,13,0),"")</f>
        <v>0</v>
      </c>
    </row>
    <row r="47" spans="1:13" ht="15" customHeight="1">
      <c r="A47" s="42">
        <v>42</v>
      </c>
      <c r="B47" s="42" t="s">
        <v>2967</v>
      </c>
      <c r="C47" s="43" t="s">
        <v>2968</v>
      </c>
      <c r="D47" s="42" t="s">
        <v>553</v>
      </c>
      <c r="E47" s="43" t="s">
        <v>2965</v>
      </c>
      <c r="F47" s="43" t="s">
        <v>2969</v>
      </c>
      <c r="G47" s="42" t="s">
        <v>109</v>
      </c>
      <c r="H47" s="43" t="s">
        <v>1184</v>
      </c>
      <c r="I47" s="43" t="s">
        <v>104</v>
      </c>
      <c r="J47" s="55"/>
      <c r="K47" s="119">
        <f>IFERROR(VLOOKUP(B47,BD_CONTROL!$A$5:$M$4235,11,0),"")</f>
        <v>0</v>
      </c>
      <c r="L47" s="120">
        <f>IFERROR(VLOOKUP(B47,BD_CONTROL!$A$5:$M$4235,12,0),"")</f>
        <v>0</v>
      </c>
      <c r="M47" s="121">
        <f>IFERROR(VLOOKUP(B47,BD_CONTROL!$A$5:$M$4235,13,0),"")</f>
        <v>0</v>
      </c>
    </row>
    <row r="48" spans="1:13" ht="15" customHeight="1">
      <c r="A48" s="39">
        <v>43</v>
      </c>
      <c r="B48" s="39" t="s">
        <v>2979</v>
      </c>
      <c r="C48" s="40" t="s">
        <v>2425</v>
      </c>
      <c r="D48" s="39" t="s">
        <v>553</v>
      </c>
      <c r="E48" s="40" t="s">
        <v>2954</v>
      </c>
      <c r="F48" s="40" t="s">
        <v>2980</v>
      </c>
      <c r="G48" s="39" t="s">
        <v>109</v>
      </c>
      <c r="H48" s="40" t="s">
        <v>1184</v>
      </c>
      <c r="I48" s="40" t="s">
        <v>104</v>
      </c>
      <c r="J48" s="50"/>
      <c r="K48" s="116">
        <f>IFERROR(VLOOKUP(B48,BD_CONTROL!$A$5:$M$4235,11,0),"")</f>
        <v>0</v>
      </c>
      <c r="L48" s="117">
        <f>IFERROR(VLOOKUP(B48,BD_CONTROL!$A$5:$M$4235,12,0),"")</f>
        <v>0</v>
      </c>
      <c r="M48" s="118">
        <f>IFERROR(VLOOKUP(B48,BD_CONTROL!$A$5:$M$4235,13,0),"")</f>
        <v>0</v>
      </c>
    </row>
    <row r="49" spans="1:13" ht="15" customHeight="1">
      <c r="A49" s="42">
        <v>44</v>
      </c>
      <c r="B49" s="42" t="s">
        <v>2983</v>
      </c>
      <c r="C49" s="43" t="s">
        <v>2433</v>
      </c>
      <c r="D49" s="42" t="s">
        <v>553</v>
      </c>
      <c r="E49" s="43" t="s">
        <v>2944</v>
      </c>
      <c r="F49" s="43" t="s">
        <v>2984</v>
      </c>
      <c r="G49" s="42" t="s">
        <v>109</v>
      </c>
      <c r="H49" s="43" t="s">
        <v>1184</v>
      </c>
      <c r="I49" s="43" t="s">
        <v>104</v>
      </c>
      <c r="J49" s="55"/>
      <c r="K49" s="119">
        <f>IFERROR(VLOOKUP(B49,BD_CONTROL!$A$5:$M$4235,11,0),"")</f>
        <v>0</v>
      </c>
      <c r="L49" s="120">
        <f>IFERROR(VLOOKUP(B49,BD_CONTROL!$A$5:$M$4235,12,0),"")</f>
        <v>0</v>
      </c>
      <c r="M49" s="121">
        <f>IFERROR(VLOOKUP(B49,BD_CONTROL!$A$5:$M$4235,13,0),"")</f>
        <v>0</v>
      </c>
    </row>
    <row r="50" spans="1:13" ht="15" customHeight="1">
      <c r="A50" s="39">
        <v>45</v>
      </c>
      <c r="B50" s="39" t="s">
        <v>2987</v>
      </c>
      <c r="C50" s="40" t="s">
        <v>140</v>
      </c>
      <c r="D50" s="39" t="s">
        <v>553</v>
      </c>
      <c r="E50" s="40" t="s">
        <v>2988</v>
      </c>
      <c r="F50" s="40" t="s">
        <v>2989</v>
      </c>
      <c r="G50" s="39" t="s">
        <v>109</v>
      </c>
      <c r="H50" s="40" t="s">
        <v>1184</v>
      </c>
      <c r="I50" s="40" t="s">
        <v>104</v>
      </c>
      <c r="J50" s="50"/>
      <c r="K50" s="116">
        <f>IFERROR(VLOOKUP(B50,BD_CONTROL!$A$5:$M$4235,11,0),"")</f>
        <v>0</v>
      </c>
      <c r="L50" s="117">
        <f>IFERROR(VLOOKUP(B50,BD_CONTROL!$A$5:$M$4235,12,0),"")</f>
        <v>0</v>
      </c>
      <c r="M50" s="118">
        <f>IFERROR(VLOOKUP(B50,BD_CONTROL!$A$5:$M$4235,13,0),"")</f>
        <v>0</v>
      </c>
    </row>
    <row r="51" spans="1:13" ht="15" customHeight="1">
      <c r="A51" s="42">
        <v>46</v>
      </c>
      <c r="B51" s="42" t="s">
        <v>2990</v>
      </c>
      <c r="C51" s="43" t="s">
        <v>2991</v>
      </c>
      <c r="D51" s="42" t="s">
        <v>553</v>
      </c>
      <c r="E51" s="43" t="s">
        <v>2992</v>
      </c>
      <c r="F51" s="43" t="s">
        <v>2993</v>
      </c>
      <c r="G51" s="42" t="s">
        <v>109</v>
      </c>
      <c r="H51" s="43" t="s">
        <v>1184</v>
      </c>
      <c r="I51" s="43" t="s">
        <v>104</v>
      </c>
      <c r="J51" s="55"/>
      <c r="K51" s="119" t="str">
        <f>IFERROR(VLOOKUP(B51,BD_CONTROL!$A$5:$M$4235,11,0),"")</f>
        <v>Instalado - Operando</v>
      </c>
      <c r="L51" s="120">
        <f>IFERROR(VLOOKUP(B51,BD_CONTROL!$A$5:$M$4235,12,0),"")</f>
        <v>46149</v>
      </c>
      <c r="M51" s="121">
        <f>IFERROR(VLOOKUP(B51,BD_CONTROL!$A$5:$M$4235,13,0),"")</f>
        <v>0</v>
      </c>
    </row>
    <row r="52" spans="1:13" ht="15" customHeight="1">
      <c r="A52" s="39">
        <v>47</v>
      </c>
      <c r="B52" s="39" t="s">
        <v>2998</v>
      </c>
      <c r="C52" s="40" t="s">
        <v>2999</v>
      </c>
      <c r="D52" s="39" t="s">
        <v>553</v>
      </c>
      <c r="E52" s="40" t="s">
        <v>3000</v>
      </c>
      <c r="F52" s="40" t="s">
        <v>3001</v>
      </c>
      <c r="G52" s="39" t="s">
        <v>102</v>
      </c>
      <c r="H52" s="40" t="s">
        <v>1184</v>
      </c>
      <c r="I52" s="40" t="s">
        <v>104</v>
      </c>
      <c r="J52" s="50"/>
      <c r="K52" s="116" t="str">
        <f>IFERROR(VLOOKUP(B52,BD_CONTROL!$A$5:$M$4235,11,0),"")</f>
        <v>Instalado - Operando</v>
      </c>
      <c r="L52" s="117">
        <f>IFERROR(VLOOKUP(B52,BD_CONTROL!$A$5:$M$4235,12,0),"")</f>
        <v>46149</v>
      </c>
      <c r="M52" s="118">
        <f>IFERROR(VLOOKUP(B52,BD_CONTROL!$A$5:$M$4235,13,0),"")</f>
        <v>0</v>
      </c>
    </row>
    <row r="53" spans="1:13" ht="15" customHeight="1">
      <c r="A53" s="42">
        <v>48</v>
      </c>
      <c r="B53" s="42" t="s">
        <v>3012</v>
      </c>
      <c r="C53" s="43" t="s">
        <v>3013</v>
      </c>
      <c r="D53" s="42" t="s">
        <v>553</v>
      </c>
      <c r="E53" s="43" t="s">
        <v>2947</v>
      </c>
      <c r="F53" s="43" t="s">
        <v>3014</v>
      </c>
      <c r="G53" s="42" t="s">
        <v>109</v>
      </c>
      <c r="H53" s="43" t="s">
        <v>1184</v>
      </c>
      <c r="I53" s="43" t="s">
        <v>104</v>
      </c>
      <c r="J53" s="55"/>
      <c r="K53" s="119" t="str">
        <f>IFERROR(VLOOKUP(B53,BD_CONTROL!$A$5:$M$4235,11,0),"")</f>
        <v>Instalado - Operando</v>
      </c>
      <c r="L53" s="120">
        <f>IFERROR(VLOOKUP(B53,BD_CONTROL!$A$5:$M$4235,12,0),"")</f>
        <v>46149</v>
      </c>
      <c r="M53" s="121" t="str">
        <f>IFERROR(VLOOKUP(B53,BD_CONTROL!$A$5:$M$4235,13,0),"")</f>
        <v>Se levanta ticket 265818 por baja velocidad</v>
      </c>
    </row>
    <row r="54" spans="1:13" ht="15" customHeight="1">
      <c r="A54" s="39">
        <v>49</v>
      </c>
      <c r="B54" s="39" t="s">
        <v>3016</v>
      </c>
      <c r="C54" s="40" t="s">
        <v>3017</v>
      </c>
      <c r="D54" s="39" t="s">
        <v>553</v>
      </c>
      <c r="E54" s="40" t="s">
        <v>3018</v>
      </c>
      <c r="F54" s="40" t="s">
        <v>3019</v>
      </c>
      <c r="G54" s="39" t="s">
        <v>109</v>
      </c>
      <c r="H54" s="40" t="s">
        <v>1184</v>
      </c>
      <c r="I54" s="40" t="s">
        <v>104</v>
      </c>
      <c r="J54" s="50"/>
      <c r="K54" s="116">
        <f>IFERROR(VLOOKUP(B54,BD_CONTROL!$A$5:$M$4235,11,0),"")</f>
        <v>0</v>
      </c>
      <c r="L54" s="117">
        <f>IFERROR(VLOOKUP(B54,BD_CONTROL!$A$5:$M$4235,12,0),"")</f>
        <v>0</v>
      </c>
      <c r="M54" s="118">
        <f>IFERROR(VLOOKUP(B54,BD_CONTROL!$A$5:$M$4235,13,0),"")</f>
        <v>0</v>
      </c>
    </row>
    <row r="55" spans="1:13" ht="15" customHeight="1">
      <c r="A55" s="42">
        <v>50</v>
      </c>
      <c r="B55" s="42" t="s">
        <v>3020</v>
      </c>
      <c r="C55" s="43" t="s">
        <v>2333</v>
      </c>
      <c r="D55" s="42" t="s">
        <v>553</v>
      </c>
      <c r="E55" s="43" t="s">
        <v>2944</v>
      </c>
      <c r="F55" s="43" t="s">
        <v>3021</v>
      </c>
      <c r="G55" s="42" t="s">
        <v>109</v>
      </c>
      <c r="H55" s="43" t="s">
        <v>1184</v>
      </c>
      <c r="I55" s="43" t="s">
        <v>104</v>
      </c>
      <c r="J55" s="55"/>
      <c r="K55" s="119">
        <f>IFERROR(VLOOKUP(B55,BD_CONTROL!$A$5:$M$4235,11,0),"")</f>
        <v>0</v>
      </c>
      <c r="L55" s="120">
        <f>IFERROR(VLOOKUP(B55,BD_CONTROL!$A$5:$M$4235,12,0),"")</f>
        <v>0</v>
      </c>
      <c r="M55" s="121">
        <f>IFERROR(VLOOKUP(B55,BD_CONTROL!$A$5:$M$4235,13,0),"")</f>
        <v>0</v>
      </c>
    </row>
    <row r="56" spans="1:13" ht="15" customHeight="1">
      <c r="A56" s="39">
        <v>51</v>
      </c>
      <c r="B56" s="39" t="s">
        <v>3022</v>
      </c>
      <c r="C56" s="40" t="s">
        <v>2240</v>
      </c>
      <c r="D56" s="39" t="s">
        <v>553</v>
      </c>
      <c r="E56" s="40" t="s">
        <v>2971</v>
      </c>
      <c r="F56" s="40" t="s">
        <v>3023</v>
      </c>
      <c r="G56" s="39" t="s">
        <v>109</v>
      </c>
      <c r="H56" s="40" t="s">
        <v>1184</v>
      </c>
      <c r="I56" s="40" t="s">
        <v>104</v>
      </c>
      <c r="J56" s="50"/>
      <c r="K56" s="116">
        <f>IFERROR(VLOOKUP(B56,BD_CONTROL!$A$5:$M$4235,11,0),"")</f>
        <v>0</v>
      </c>
      <c r="L56" s="117">
        <f>IFERROR(VLOOKUP(B56,BD_CONTROL!$A$5:$M$4235,12,0),"")</f>
        <v>0</v>
      </c>
      <c r="M56" s="118">
        <f>IFERROR(VLOOKUP(B56,BD_CONTROL!$A$5:$M$4235,13,0),"")</f>
        <v>0</v>
      </c>
    </row>
    <row r="57" spans="1:13" ht="15" customHeight="1">
      <c r="A57" s="42">
        <v>52</v>
      </c>
      <c r="B57" s="42" t="s">
        <v>3024</v>
      </c>
      <c r="C57" s="43" t="s">
        <v>2303</v>
      </c>
      <c r="D57" s="42" t="s">
        <v>553</v>
      </c>
      <c r="E57" s="43" t="s">
        <v>3025</v>
      </c>
      <c r="F57" s="43" t="s">
        <v>1086</v>
      </c>
      <c r="G57" s="42" t="s">
        <v>109</v>
      </c>
      <c r="H57" s="43" t="s">
        <v>1110</v>
      </c>
      <c r="I57" s="43" t="s">
        <v>104</v>
      </c>
      <c r="J57" s="55"/>
      <c r="K57" s="119">
        <f>IFERROR(VLOOKUP(B57,BD_CONTROL!$A$5:$M$4235,11,0),"")</f>
        <v>0</v>
      </c>
      <c r="L57" s="120">
        <f>IFERROR(VLOOKUP(B57,BD_CONTROL!$A$5:$M$4235,12,0),"")</f>
        <v>0</v>
      </c>
      <c r="M57" s="121">
        <f>IFERROR(VLOOKUP(B57,BD_CONTROL!$A$5:$M$4235,13,0),"")</f>
        <v>0</v>
      </c>
    </row>
    <row r="58" spans="1:13" ht="15" customHeight="1">
      <c r="A58" s="39">
        <v>53</v>
      </c>
      <c r="B58" s="39" t="s">
        <v>3030</v>
      </c>
      <c r="C58" s="40" t="s">
        <v>3031</v>
      </c>
      <c r="D58" s="39" t="s">
        <v>553</v>
      </c>
      <c r="E58" s="40" t="s">
        <v>3032</v>
      </c>
      <c r="F58" s="40" t="s">
        <v>1579</v>
      </c>
      <c r="G58" s="39" t="s">
        <v>109</v>
      </c>
      <c r="H58" s="40" t="s">
        <v>1110</v>
      </c>
      <c r="I58" s="40" t="s">
        <v>104</v>
      </c>
      <c r="J58" s="50"/>
      <c r="K58" s="116">
        <f>IFERROR(VLOOKUP(B58,BD_CONTROL!$A$5:$M$4235,11,0),"")</f>
        <v>0</v>
      </c>
      <c r="L58" s="117">
        <f>IFERROR(VLOOKUP(B58,BD_CONTROL!$A$5:$M$4235,12,0),"")</f>
        <v>0</v>
      </c>
      <c r="M58" s="118">
        <f>IFERROR(VLOOKUP(B58,BD_CONTROL!$A$5:$M$4235,13,0),"")</f>
        <v>0</v>
      </c>
    </row>
    <row r="59" spans="1:13" ht="15" customHeight="1">
      <c r="A59" s="42">
        <v>54</v>
      </c>
      <c r="B59" s="42" t="s">
        <v>3033</v>
      </c>
      <c r="C59" s="43" t="s">
        <v>2295</v>
      </c>
      <c r="D59" s="42" t="s">
        <v>553</v>
      </c>
      <c r="E59" s="43" t="s">
        <v>1323</v>
      </c>
      <c r="F59" s="43" t="s">
        <v>3034</v>
      </c>
      <c r="G59" s="42" t="s">
        <v>109</v>
      </c>
      <c r="H59" s="43" t="s">
        <v>1110</v>
      </c>
      <c r="I59" s="43" t="s">
        <v>104</v>
      </c>
      <c r="J59" s="55"/>
      <c r="K59" s="119">
        <f>IFERROR(VLOOKUP(B59,BD_CONTROL!$A$5:$M$4235,11,0),"")</f>
        <v>0</v>
      </c>
      <c r="L59" s="120">
        <f>IFERROR(VLOOKUP(B59,BD_CONTROL!$A$5:$M$4235,12,0),"")</f>
        <v>0</v>
      </c>
      <c r="M59" s="121">
        <f>IFERROR(VLOOKUP(B59,BD_CONTROL!$A$5:$M$4235,13,0),"")</f>
        <v>0</v>
      </c>
    </row>
    <row r="60" spans="1:13" ht="15" customHeight="1">
      <c r="A60" s="39">
        <v>55</v>
      </c>
      <c r="B60" s="39" t="s">
        <v>3035</v>
      </c>
      <c r="C60" s="40" t="s">
        <v>3036</v>
      </c>
      <c r="D60" s="39" t="s">
        <v>553</v>
      </c>
      <c r="E60" s="40" t="s">
        <v>2960</v>
      </c>
      <c r="F60" s="40" t="s">
        <v>3037</v>
      </c>
      <c r="G60" s="39" t="s">
        <v>109</v>
      </c>
      <c r="H60" s="40" t="s">
        <v>1110</v>
      </c>
      <c r="I60" s="40" t="s">
        <v>104</v>
      </c>
      <c r="J60" s="50"/>
      <c r="K60" s="116">
        <f>IFERROR(VLOOKUP(B60,BD_CONTROL!$A$5:$M$4235,11,0),"")</f>
        <v>0</v>
      </c>
      <c r="L60" s="117">
        <f>IFERROR(VLOOKUP(B60,BD_CONTROL!$A$5:$M$4235,12,0),"")</f>
        <v>0</v>
      </c>
      <c r="M60" s="118">
        <f>IFERROR(VLOOKUP(B60,BD_CONTROL!$A$5:$M$4235,13,0),"")</f>
        <v>0</v>
      </c>
    </row>
    <row r="61" spans="1:13" ht="15" customHeight="1">
      <c r="A61" s="42">
        <v>56</v>
      </c>
      <c r="B61" s="42" t="s">
        <v>3038</v>
      </c>
      <c r="C61" s="43" t="s">
        <v>3039</v>
      </c>
      <c r="D61" s="42" t="s">
        <v>553</v>
      </c>
      <c r="E61" s="43" t="s">
        <v>3040</v>
      </c>
      <c r="F61" s="43" t="s">
        <v>3041</v>
      </c>
      <c r="G61" s="42" t="s">
        <v>109</v>
      </c>
      <c r="H61" s="43" t="s">
        <v>1184</v>
      </c>
      <c r="I61" s="43" t="s">
        <v>104</v>
      </c>
      <c r="J61" s="55"/>
      <c r="K61" s="119">
        <f>IFERROR(VLOOKUP(B61,BD_CONTROL!$A$5:$M$4235,11,0),"")</f>
        <v>0</v>
      </c>
      <c r="L61" s="120">
        <f>IFERROR(VLOOKUP(B61,BD_CONTROL!$A$5:$M$4235,12,0),"")</f>
        <v>0</v>
      </c>
      <c r="M61" s="121">
        <f>IFERROR(VLOOKUP(B61,BD_CONTROL!$A$5:$M$4235,13,0),"")</f>
        <v>0</v>
      </c>
    </row>
    <row r="62" spans="1:13" ht="15" customHeight="1">
      <c r="A62" s="39">
        <v>57</v>
      </c>
      <c r="B62" s="39" t="s">
        <v>3054</v>
      </c>
      <c r="C62" s="40" t="s">
        <v>3055</v>
      </c>
      <c r="D62" s="39" t="s">
        <v>553</v>
      </c>
      <c r="E62" s="40" t="s">
        <v>3056</v>
      </c>
      <c r="F62" s="40" t="s">
        <v>3057</v>
      </c>
      <c r="G62" s="39" t="s">
        <v>109</v>
      </c>
      <c r="H62" s="40" t="s">
        <v>1184</v>
      </c>
      <c r="I62" s="40" t="s">
        <v>104</v>
      </c>
      <c r="J62" s="50"/>
      <c r="K62" s="116">
        <f>IFERROR(VLOOKUP(B62,BD_CONTROL!$A$5:$M$4235,11,0),"")</f>
        <v>0</v>
      </c>
      <c r="L62" s="117">
        <f>IFERROR(VLOOKUP(B62,BD_CONTROL!$A$5:$M$4235,12,0),"")</f>
        <v>0</v>
      </c>
      <c r="M62" s="118">
        <f>IFERROR(VLOOKUP(B62,BD_CONTROL!$A$5:$M$4235,13,0),"")</f>
        <v>0</v>
      </c>
    </row>
    <row r="63" spans="1:13" ht="15" customHeight="1">
      <c r="A63" s="42">
        <v>58</v>
      </c>
      <c r="B63" s="42" t="s">
        <v>3066</v>
      </c>
      <c r="C63" s="43" t="s">
        <v>2290</v>
      </c>
      <c r="D63" s="42" t="s">
        <v>553</v>
      </c>
      <c r="E63" s="43" t="s">
        <v>2960</v>
      </c>
      <c r="F63" s="43" t="s">
        <v>2563</v>
      </c>
      <c r="G63" s="42" t="s">
        <v>109</v>
      </c>
      <c r="H63" s="43" t="s">
        <v>1110</v>
      </c>
      <c r="I63" s="43" t="s">
        <v>104</v>
      </c>
      <c r="J63" s="55"/>
      <c r="K63" s="119">
        <f>IFERROR(VLOOKUP(B63,BD_CONTROL!$A$5:$M$4235,11,0),"")</f>
        <v>0</v>
      </c>
      <c r="L63" s="120">
        <f>IFERROR(VLOOKUP(B63,BD_CONTROL!$A$5:$M$4235,12,0),"")</f>
        <v>0</v>
      </c>
      <c r="M63" s="121">
        <f>IFERROR(VLOOKUP(B63,BD_CONTROL!$A$5:$M$4235,13,0),"")</f>
        <v>0</v>
      </c>
    </row>
    <row r="64" spans="1:13" ht="15" customHeight="1">
      <c r="A64" s="39">
        <v>59</v>
      </c>
      <c r="B64" s="39" t="s">
        <v>3067</v>
      </c>
      <c r="C64" s="40" t="s">
        <v>3068</v>
      </c>
      <c r="D64" s="39" t="s">
        <v>553</v>
      </c>
      <c r="E64" s="40" t="s">
        <v>3069</v>
      </c>
      <c r="F64" s="40" t="s">
        <v>3070</v>
      </c>
      <c r="G64" s="39" t="s">
        <v>102</v>
      </c>
      <c r="H64" s="40" t="s">
        <v>1184</v>
      </c>
      <c r="I64" s="40" t="s">
        <v>104</v>
      </c>
      <c r="J64" s="50"/>
      <c r="K64" s="116" t="str">
        <f>IFERROR(VLOOKUP(B64,BD_CONTROL!$A$5:$M$4235,11,0),"")</f>
        <v>Instalado - Operando</v>
      </c>
      <c r="L64" s="117">
        <f>IFERROR(VLOOKUP(B64,BD_CONTROL!$A$5:$M$4235,12,0),"")</f>
        <v>46149</v>
      </c>
      <c r="M64" s="118">
        <f>IFERROR(VLOOKUP(B64,BD_CONTROL!$A$5:$M$4235,13,0),"")</f>
        <v>0</v>
      </c>
    </row>
    <row r="65" spans="1:13" ht="15" customHeight="1">
      <c r="A65" s="42">
        <v>60</v>
      </c>
      <c r="B65" s="42" t="s">
        <v>3081</v>
      </c>
      <c r="C65" s="43" t="s">
        <v>3082</v>
      </c>
      <c r="D65" s="42" t="s">
        <v>553</v>
      </c>
      <c r="E65" s="43" t="s">
        <v>3083</v>
      </c>
      <c r="F65" s="43" t="s">
        <v>3084</v>
      </c>
      <c r="G65" s="42" t="s">
        <v>109</v>
      </c>
      <c r="H65" s="43" t="s">
        <v>1184</v>
      </c>
      <c r="I65" s="43" t="s">
        <v>104</v>
      </c>
      <c r="J65" s="55"/>
      <c r="K65" s="119">
        <f>IFERROR(VLOOKUP(B65,BD_CONTROL!$A$5:$M$4235,11,0),"")</f>
        <v>0</v>
      </c>
      <c r="L65" s="120">
        <f>IFERROR(VLOOKUP(B65,BD_CONTROL!$A$5:$M$4235,12,0),"")</f>
        <v>0</v>
      </c>
      <c r="M65" s="121">
        <f>IFERROR(VLOOKUP(B65,BD_CONTROL!$A$5:$M$4235,13,0),"")</f>
        <v>0</v>
      </c>
    </row>
    <row r="66" spans="1:13" ht="15" customHeight="1">
      <c r="A66" s="39">
        <v>61</v>
      </c>
      <c r="B66" s="39" t="s">
        <v>3095</v>
      </c>
      <c r="C66" s="40" t="s">
        <v>3096</v>
      </c>
      <c r="D66" s="39" t="s">
        <v>553</v>
      </c>
      <c r="E66" s="40" t="s">
        <v>3097</v>
      </c>
      <c r="F66" s="40" t="s">
        <v>3098</v>
      </c>
      <c r="G66" s="39" t="s">
        <v>109</v>
      </c>
      <c r="H66" s="40" t="s">
        <v>1184</v>
      </c>
      <c r="I66" s="40" t="s">
        <v>104</v>
      </c>
      <c r="J66" s="50"/>
      <c r="K66" s="116">
        <f>IFERROR(VLOOKUP(B66,BD_CONTROL!$A$5:$M$4235,11,0),"")</f>
        <v>0</v>
      </c>
      <c r="L66" s="117">
        <f>IFERROR(VLOOKUP(B66,BD_CONTROL!$A$5:$M$4235,12,0),"")</f>
        <v>0</v>
      </c>
      <c r="M66" s="118">
        <f>IFERROR(VLOOKUP(B66,BD_CONTROL!$A$5:$M$4235,13,0),"")</f>
        <v>0</v>
      </c>
    </row>
    <row r="67" spans="1:13" ht="15" customHeight="1">
      <c r="A67" s="42">
        <v>62</v>
      </c>
      <c r="B67" s="42" t="s">
        <v>3132</v>
      </c>
      <c r="C67" s="43" t="s">
        <v>3133</v>
      </c>
      <c r="D67" s="42" t="s">
        <v>553</v>
      </c>
      <c r="E67" s="43" t="s">
        <v>3134</v>
      </c>
      <c r="F67" s="43" t="s">
        <v>3134</v>
      </c>
      <c r="G67" s="42" t="s">
        <v>109</v>
      </c>
      <c r="H67" s="43" t="s">
        <v>1184</v>
      </c>
      <c r="I67" s="43" t="s">
        <v>104</v>
      </c>
      <c r="J67" s="55"/>
      <c r="K67" s="119" t="str">
        <f>IFERROR(VLOOKUP(B67,BD_CONTROL!$A$5:$M$4235,11,0),"")</f>
        <v>Instalado - Operando</v>
      </c>
      <c r="L67" s="120">
        <f>IFERROR(VLOOKUP(B67,BD_CONTROL!$A$5:$M$4235,12,0),"")</f>
        <v>46148</v>
      </c>
      <c r="M67" s="121">
        <f>IFERROR(VLOOKUP(B67,BD_CONTROL!$A$5:$M$4235,13,0),"")</f>
        <v>0</v>
      </c>
    </row>
    <row r="68" spans="1:13" ht="15" customHeight="1">
      <c r="A68" s="39">
        <v>63</v>
      </c>
      <c r="B68" s="39" t="s">
        <v>3135</v>
      </c>
      <c r="C68" s="40" t="s">
        <v>3136</v>
      </c>
      <c r="D68" s="39" t="s">
        <v>553</v>
      </c>
      <c r="E68" s="40" t="s">
        <v>3056</v>
      </c>
      <c r="F68" s="40" t="s">
        <v>3137</v>
      </c>
      <c r="G68" s="39" t="s">
        <v>109</v>
      </c>
      <c r="H68" s="40" t="s">
        <v>1184</v>
      </c>
      <c r="I68" s="40" t="s">
        <v>104</v>
      </c>
      <c r="J68" s="50"/>
      <c r="K68" s="116">
        <f>IFERROR(VLOOKUP(B68,BD_CONTROL!$A$5:$M$4235,11,0),"")</f>
        <v>0</v>
      </c>
      <c r="L68" s="117">
        <f>IFERROR(VLOOKUP(B68,BD_CONTROL!$A$5:$M$4235,12,0),"")</f>
        <v>0</v>
      </c>
      <c r="M68" s="118">
        <f>IFERROR(VLOOKUP(B68,BD_CONTROL!$A$5:$M$4235,13,0),"")</f>
        <v>0</v>
      </c>
    </row>
    <row r="69" spans="1:13" ht="15" customHeight="1">
      <c r="A69" s="42">
        <v>64</v>
      </c>
      <c r="B69" s="42" t="s">
        <v>3141</v>
      </c>
      <c r="C69" s="43" t="s">
        <v>2476</v>
      </c>
      <c r="D69" s="42" t="s">
        <v>553</v>
      </c>
      <c r="E69" s="43" t="s">
        <v>3056</v>
      </c>
      <c r="F69" s="43" t="s">
        <v>3142</v>
      </c>
      <c r="G69" s="42" t="s">
        <v>109</v>
      </c>
      <c r="H69" s="43" t="s">
        <v>1184</v>
      </c>
      <c r="I69" s="43" t="s">
        <v>104</v>
      </c>
      <c r="J69" s="55"/>
      <c r="K69" s="119">
        <f>IFERROR(VLOOKUP(B69,BD_CONTROL!$A$5:$M$4235,11,0),"")</f>
        <v>0</v>
      </c>
      <c r="L69" s="120">
        <f>IFERROR(VLOOKUP(B69,BD_CONTROL!$A$5:$M$4235,12,0),"")</f>
        <v>0</v>
      </c>
      <c r="M69" s="121">
        <f>IFERROR(VLOOKUP(B69,BD_CONTROL!$A$5:$M$4235,13,0),"")</f>
        <v>0</v>
      </c>
    </row>
    <row r="70" spans="1:13" ht="15" customHeight="1">
      <c r="A70" s="39">
        <v>65</v>
      </c>
      <c r="B70" s="39" t="s">
        <v>3149</v>
      </c>
      <c r="C70" s="40" t="s">
        <v>3150</v>
      </c>
      <c r="D70" s="39" t="s">
        <v>553</v>
      </c>
      <c r="E70" s="40" t="s">
        <v>3018</v>
      </c>
      <c r="F70" s="40" t="s">
        <v>3151</v>
      </c>
      <c r="G70" s="39" t="s">
        <v>109</v>
      </c>
      <c r="H70" s="40" t="s">
        <v>1184</v>
      </c>
      <c r="I70" s="40" t="s">
        <v>104</v>
      </c>
      <c r="J70" s="50"/>
      <c r="K70" s="116" t="str">
        <f>IFERROR(VLOOKUP(B70,BD_CONTROL!$A$5:$M$4235,11,0),"")</f>
        <v>Instalado - Operando</v>
      </c>
      <c r="L70" s="117">
        <f>IFERROR(VLOOKUP(B70,BD_CONTROL!$A$5:$M$4235,12,0),"")</f>
        <v>46148</v>
      </c>
      <c r="M70" s="118">
        <f>IFERROR(VLOOKUP(B70,BD_CONTROL!$A$5:$M$4235,13,0),"")</f>
        <v>0</v>
      </c>
    </row>
    <row r="71" spans="1:13" ht="15" customHeight="1">
      <c r="A71" s="42">
        <v>66</v>
      </c>
      <c r="B71" s="42" t="s">
        <v>3156</v>
      </c>
      <c r="C71" s="43" t="s">
        <v>2149</v>
      </c>
      <c r="D71" s="42" t="s">
        <v>553</v>
      </c>
      <c r="E71" s="43" t="s">
        <v>3025</v>
      </c>
      <c r="F71" s="43" t="s">
        <v>3157</v>
      </c>
      <c r="G71" s="42" t="s">
        <v>109</v>
      </c>
      <c r="H71" s="43" t="s">
        <v>1110</v>
      </c>
      <c r="I71" s="43" t="s">
        <v>104</v>
      </c>
      <c r="J71" s="55"/>
      <c r="K71" s="119">
        <f>IFERROR(VLOOKUP(B71,BD_CONTROL!$A$5:$M$4235,11,0),"")</f>
        <v>0</v>
      </c>
      <c r="L71" s="120">
        <f>IFERROR(VLOOKUP(B71,BD_CONTROL!$A$5:$M$4235,12,0),"")</f>
        <v>0</v>
      </c>
      <c r="M71" s="121">
        <f>IFERROR(VLOOKUP(B71,BD_CONTROL!$A$5:$M$4235,13,0),"")</f>
        <v>0</v>
      </c>
    </row>
    <row r="72" spans="1:13" ht="15" customHeight="1">
      <c r="A72" s="39">
        <v>67</v>
      </c>
      <c r="B72" s="39" t="s">
        <v>3158</v>
      </c>
      <c r="C72" s="40" t="s">
        <v>3159</v>
      </c>
      <c r="D72" s="39" t="s">
        <v>553</v>
      </c>
      <c r="E72" s="40" t="s">
        <v>2965</v>
      </c>
      <c r="F72" s="40" t="s">
        <v>3160</v>
      </c>
      <c r="G72" s="39" t="s">
        <v>109</v>
      </c>
      <c r="H72" s="40" t="s">
        <v>1184</v>
      </c>
      <c r="I72" s="40" t="s">
        <v>104</v>
      </c>
      <c r="J72" s="50"/>
      <c r="K72" s="116">
        <f>IFERROR(VLOOKUP(B72,BD_CONTROL!$A$5:$M$4235,11,0),"")</f>
        <v>0</v>
      </c>
      <c r="L72" s="117">
        <f>IFERROR(VLOOKUP(B72,BD_CONTROL!$A$5:$M$4235,12,0),"")</f>
        <v>0</v>
      </c>
      <c r="M72" s="118">
        <f>IFERROR(VLOOKUP(B72,BD_CONTROL!$A$5:$M$4235,13,0),"")</f>
        <v>0</v>
      </c>
    </row>
    <row r="73" spans="1:13" ht="15" customHeight="1">
      <c r="A73" s="42">
        <v>68</v>
      </c>
      <c r="B73" s="42" t="s">
        <v>3165</v>
      </c>
      <c r="C73" s="43" t="s">
        <v>3166</v>
      </c>
      <c r="D73" s="42" t="s">
        <v>553</v>
      </c>
      <c r="E73" s="43" t="s">
        <v>2992</v>
      </c>
      <c r="F73" s="43" t="s">
        <v>3167</v>
      </c>
      <c r="G73" s="42" t="s">
        <v>109</v>
      </c>
      <c r="H73" s="43" t="s">
        <v>1184</v>
      </c>
      <c r="I73" s="43" t="s">
        <v>104</v>
      </c>
      <c r="J73" s="55"/>
      <c r="K73" s="119" t="str">
        <f>IFERROR(VLOOKUP(B73,BD_CONTROL!$A$5:$M$4235,11,0),"")</f>
        <v>Instalado - Sin Señal</v>
      </c>
      <c r="L73" s="120">
        <f>IFERROR(VLOOKUP(B73,BD_CONTROL!$A$5:$M$4235,12,0),"")</f>
        <v>46148</v>
      </c>
      <c r="M73" s="121" t="str">
        <f>IFERROR(VLOOKUP(B73,BD_CONTROL!$A$5:$M$4235,13,0),"")</f>
        <v>Se levanta ticket 265768 por problemas para entrar a la red</v>
      </c>
    </row>
    <row r="74" spans="1:13" ht="15" customHeight="1">
      <c r="A74" s="39">
        <v>69</v>
      </c>
      <c r="B74" s="39" t="s">
        <v>3178</v>
      </c>
      <c r="C74" s="40" t="s">
        <v>3179</v>
      </c>
      <c r="D74" s="39" t="s">
        <v>553</v>
      </c>
      <c r="E74" s="40" t="s">
        <v>2960</v>
      </c>
      <c r="F74" s="40" t="s">
        <v>3180</v>
      </c>
      <c r="G74" s="39" t="s">
        <v>102</v>
      </c>
      <c r="H74" s="40" t="s">
        <v>1110</v>
      </c>
      <c r="I74" s="40" t="s">
        <v>104</v>
      </c>
      <c r="J74" s="50"/>
      <c r="K74" s="116">
        <f>IFERROR(VLOOKUP(B74,BD_CONTROL!$A$5:$M$4235,11,0),"")</f>
        <v>0</v>
      </c>
      <c r="L74" s="117">
        <f>IFERROR(VLOOKUP(B74,BD_CONTROL!$A$5:$M$4235,12,0),"")</f>
        <v>0</v>
      </c>
      <c r="M74" s="118">
        <f>IFERROR(VLOOKUP(B74,BD_CONTROL!$A$5:$M$4235,13,0),"")</f>
        <v>0</v>
      </c>
    </row>
    <row r="75" spans="1:13" ht="15" customHeight="1">
      <c r="A75" s="42">
        <v>70</v>
      </c>
      <c r="B75" s="42" t="s">
        <v>3183</v>
      </c>
      <c r="C75" s="43" t="s">
        <v>2317</v>
      </c>
      <c r="D75" s="42" t="s">
        <v>553</v>
      </c>
      <c r="E75" s="43" t="s">
        <v>2954</v>
      </c>
      <c r="F75" s="43" t="s">
        <v>511</v>
      </c>
      <c r="G75" s="42" t="s">
        <v>109</v>
      </c>
      <c r="H75" s="43" t="s">
        <v>1184</v>
      </c>
      <c r="I75" s="43" t="s">
        <v>104</v>
      </c>
      <c r="J75" s="55"/>
      <c r="K75" s="119">
        <f>IFERROR(VLOOKUP(B75,BD_CONTROL!$A$5:$M$4235,11,0),"")</f>
        <v>0</v>
      </c>
      <c r="L75" s="120">
        <f>IFERROR(VLOOKUP(B75,BD_CONTROL!$A$5:$M$4235,12,0),"")</f>
        <v>0</v>
      </c>
      <c r="M75" s="121">
        <f>IFERROR(VLOOKUP(B75,BD_CONTROL!$A$5:$M$4235,13,0),"")</f>
        <v>0</v>
      </c>
    </row>
    <row r="76" spans="1:13" ht="15" customHeight="1">
      <c r="A76" s="39">
        <v>71</v>
      </c>
      <c r="B76" s="39" t="s">
        <v>3184</v>
      </c>
      <c r="C76" s="40" t="s">
        <v>3185</v>
      </c>
      <c r="D76" s="39" t="s">
        <v>553</v>
      </c>
      <c r="E76" s="40" t="s">
        <v>3025</v>
      </c>
      <c r="F76" s="40" t="s">
        <v>3186</v>
      </c>
      <c r="G76" s="39" t="s">
        <v>109</v>
      </c>
      <c r="H76" s="40" t="s">
        <v>1110</v>
      </c>
      <c r="I76" s="40" t="s">
        <v>104</v>
      </c>
      <c r="J76" s="50"/>
      <c r="K76" s="116">
        <f>IFERROR(VLOOKUP(B76,BD_CONTROL!$A$5:$M$4235,11,0),"")</f>
        <v>0</v>
      </c>
      <c r="L76" s="117">
        <f>IFERROR(VLOOKUP(B76,BD_CONTROL!$A$5:$M$4235,12,0),"")</f>
        <v>0</v>
      </c>
      <c r="M76" s="118">
        <f>IFERROR(VLOOKUP(B76,BD_CONTROL!$A$5:$M$4235,13,0),"")</f>
        <v>0</v>
      </c>
    </row>
    <row r="77" spans="1:13" ht="15" customHeight="1">
      <c r="A77" s="42">
        <v>72</v>
      </c>
      <c r="B77" s="42" t="s">
        <v>3190</v>
      </c>
      <c r="C77" s="43" t="s">
        <v>3191</v>
      </c>
      <c r="D77" s="42" t="s">
        <v>553</v>
      </c>
      <c r="E77" s="43" t="s">
        <v>3154</v>
      </c>
      <c r="F77" s="43" t="s">
        <v>3192</v>
      </c>
      <c r="G77" s="42" t="s">
        <v>109</v>
      </c>
      <c r="H77" s="43" t="s">
        <v>1184</v>
      </c>
      <c r="I77" s="43" t="s">
        <v>104</v>
      </c>
      <c r="J77" s="55"/>
      <c r="K77" s="119">
        <f>IFERROR(VLOOKUP(B77,BD_CONTROL!$A$5:$M$4235,11,0),"")</f>
        <v>0</v>
      </c>
      <c r="L77" s="120">
        <f>IFERROR(VLOOKUP(B77,BD_CONTROL!$A$5:$M$4235,12,0),"")</f>
        <v>0</v>
      </c>
      <c r="M77" s="121">
        <f>IFERROR(VLOOKUP(B77,BD_CONTROL!$A$5:$M$4235,13,0),"")</f>
        <v>0</v>
      </c>
    </row>
    <row r="78" spans="1:13" ht="15" customHeight="1">
      <c r="A78" s="39">
        <v>73</v>
      </c>
      <c r="B78" s="39" t="s">
        <v>3193</v>
      </c>
      <c r="C78" s="40" t="s">
        <v>3194</v>
      </c>
      <c r="D78" s="39" t="s">
        <v>553</v>
      </c>
      <c r="E78" s="40" t="s">
        <v>3195</v>
      </c>
      <c r="F78" s="40" t="s">
        <v>3196</v>
      </c>
      <c r="G78" s="39" t="s">
        <v>109</v>
      </c>
      <c r="H78" s="40" t="s">
        <v>1184</v>
      </c>
      <c r="I78" s="40" t="s">
        <v>104</v>
      </c>
      <c r="J78" s="50"/>
      <c r="K78" s="116">
        <f>IFERROR(VLOOKUP(B78,BD_CONTROL!$A$5:$M$4235,11,0),"")</f>
        <v>0</v>
      </c>
      <c r="L78" s="117">
        <f>IFERROR(VLOOKUP(B78,BD_CONTROL!$A$5:$M$4235,12,0),"")</f>
        <v>0</v>
      </c>
      <c r="M78" s="118">
        <f>IFERROR(VLOOKUP(B78,BD_CONTROL!$A$5:$M$4235,13,0),"")</f>
        <v>0</v>
      </c>
    </row>
    <row r="79" spans="1:13" ht="15" customHeight="1">
      <c r="A79" s="42">
        <v>74</v>
      </c>
      <c r="B79" s="42" t="s">
        <v>3197</v>
      </c>
      <c r="C79" s="43" t="s">
        <v>2541</v>
      </c>
      <c r="D79" s="42" t="s">
        <v>553</v>
      </c>
      <c r="E79" s="43" t="s">
        <v>2965</v>
      </c>
      <c r="F79" s="43" t="s">
        <v>3198</v>
      </c>
      <c r="G79" s="42" t="s">
        <v>109</v>
      </c>
      <c r="H79" s="43" t="s">
        <v>1184</v>
      </c>
      <c r="I79" s="43" t="s">
        <v>104</v>
      </c>
      <c r="J79" s="55"/>
      <c r="K79" s="119">
        <f>IFERROR(VLOOKUP(B79,BD_CONTROL!$A$5:$M$4235,11,0),"")</f>
        <v>0</v>
      </c>
      <c r="L79" s="120">
        <f>IFERROR(VLOOKUP(B79,BD_CONTROL!$A$5:$M$4235,12,0),"")</f>
        <v>0</v>
      </c>
      <c r="M79" s="121">
        <f>IFERROR(VLOOKUP(B79,BD_CONTROL!$A$5:$M$4235,13,0),"")</f>
        <v>0</v>
      </c>
    </row>
    <row r="80" spans="1:13" ht="15" customHeight="1">
      <c r="A80" s="39">
        <v>75</v>
      </c>
      <c r="B80" s="39" t="s">
        <v>3199</v>
      </c>
      <c r="C80" s="40" t="s">
        <v>3200</v>
      </c>
      <c r="D80" s="39" t="s">
        <v>553</v>
      </c>
      <c r="E80" s="40" t="s">
        <v>3025</v>
      </c>
      <c r="F80" s="40" t="s">
        <v>3201</v>
      </c>
      <c r="G80" s="39" t="s">
        <v>109</v>
      </c>
      <c r="H80" s="40" t="s">
        <v>1110</v>
      </c>
      <c r="I80" s="40" t="s">
        <v>104</v>
      </c>
      <c r="J80" s="50"/>
      <c r="K80" s="116">
        <f>IFERROR(VLOOKUP(B80,BD_CONTROL!$A$5:$M$4235,11,0),"")</f>
        <v>0</v>
      </c>
      <c r="L80" s="117">
        <f>IFERROR(VLOOKUP(B80,BD_CONTROL!$A$5:$M$4235,12,0),"")</f>
        <v>0</v>
      </c>
      <c r="M80" s="118">
        <f>IFERROR(VLOOKUP(B80,BD_CONTROL!$A$5:$M$4235,13,0),"")</f>
        <v>0</v>
      </c>
    </row>
    <row r="81" spans="1:13" ht="15" customHeight="1">
      <c r="A81" s="42">
        <v>76</v>
      </c>
      <c r="B81" s="42" t="s">
        <v>3208</v>
      </c>
      <c r="C81" s="43" t="s">
        <v>3209</v>
      </c>
      <c r="D81" s="42" t="s">
        <v>553</v>
      </c>
      <c r="E81" s="43" t="s">
        <v>3052</v>
      </c>
      <c r="F81" s="43" t="s">
        <v>3210</v>
      </c>
      <c r="G81" s="42" t="s">
        <v>109</v>
      </c>
      <c r="H81" s="43" t="s">
        <v>1184</v>
      </c>
      <c r="I81" s="43" t="s">
        <v>104</v>
      </c>
      <c r="J81" s="55"/>
      <c r="K81" s="119">
        <f>IFERROR(VLOOKUP(B81,BD_CONTROL!$A$5:$M$4235,11,0),"")</f>
        <v>0</v>
      </c>
      <c r="L81" s="120">
        <f>IFERROR(VLOOKUP(B81,BD_CONTROL!$A$5:$M$4235,12,0),"")</f>
        <v>0</v>
      </c>
      <c r="M81" s="121">
        <f>IFERROR(VLOOKUP(B81,BD_CONTROL!$A$5:$M$4235,13,0),"")</f>
        <v>0</v>
      </c>
    </row>
    <row r="82" spans="1:13" ht="15" customHeight="1">
      <c r="A82" s="39">
        <v>77</v>
      </c>
      <c r="B82" s="39" t="s">
        <v>3214</v>
      </c>
      <c r="C82" s="40" t="s">
        <v>3215</v>
      </c>
      <c r="D82" s="39" t="s">
        <v>553</v>
      </c>
      <c r="E82" s="40" t="s">
        <v>2954</v>
      </c>
      <c r="F82" s="40" t="s">
        <v>3216</v>
      </c>
      <c r="G82" s="39" t="s">
        <v>109</v>
      </c>
      <c r="H82" s="40" t="s">
        <v>1184</v>
      </c>
      <c r="I82" s="40" t="s">
        <v>104</v>
      </c>
      <c r="J82" s="50"/>
      <c r="K82" s="116">
        <f>IFERROR(VLOOKUP(B82,BD_CONTROL!$A$5:$M$4235,11,0),"")</f>
        <v>0</v>
      </c>
      <c r="L82" s="117">
        <f>IFERROR(VLOOKUP(B82,BD_CONTROL!$A$5:$M$4235,12,0),"")</f>
        <v>0</v>
      </c>
      <c r="M82" s="118">
        <f>IFERROR(VLOOKUP(B82,BD_CONTROL!$A$5:$M$4235,13,0),"")</f>
        <v>0</v>
      </c>
    </row>
    <row r="83" spans="1:13" ht="15" customHeight="1">
      <c r="A83" s="42">
        <v>78</v>
      </c>
      <c r="B83" s="42" t="s">
        <v>3217</v>
      </c>
      <c r="C83" s="43" t="s">
        <v>2575</v>
      </c>
      <c r="D83" s="42" t="s">
        <v>553</v>
      </c>
      <c r="E83" s="43" t="s">
        <v>2954</v>
      </c>
      <c r="F83" s="43" t="s">
        <v>3218</v>
      </c>
      <c r="G83" s="42" t="s">
        <v>109</v>
      </c>
      <c r="H83" s="43" t="s">
        <v>1184</v>
      </c>
      <c r="I83" s="43" t="s">
        <v>104</v>
      </c>
      <c r="J83" s="55"/>
      <c r="K83" s="119">
        <f>IFERROR(VLOOKUP(B83,BD_CONTROL!$A$5:$M$4235,11,0),"")</f>
        <v>0</v>
      </c>
      <c r="L83" s="120">
        <f>IFERROR(VLOOKUP(B83,BD_CONTROL!$A$5:$M$4235,12,0),"")</f>
        <v>0</v>
      </c>
      <c r="M83" s="121">
        <f>IFERROR(VLOOKUP(B83,BD_CONTROL!$A$5:$M$4235,13,0),"")</f>
        <v>0</v>
      </c>
    </row>
    <row r="84" spans="1:13" ht="15" customHeight="1">
      <c r="A84" s="39">
        <v>79</v>
      </c>
      <c r="B84" s="39" t="s">
        <v>3219</v>
      </c>
      <c r="C84" s="40" t="s">
        <v>3220</v>
      </c>
      <c r="D84" s="39" t="s">
        <v>553</v>
      </c>
      <c r="E84" s="40" t="s">
        <v>2960</v>
      </c>
      <c r="F84" s="40" t="s">
        <v>3221</v>
      </c>
      <c r="G84" s="39" t="s">
        <v>109</v>
      </c>
      <c r="H84" s="40" t="s">
        <v>1110</v>
      </c>
      <c r="I84" s="40" t="s">
        <v>104</v>
      </c>
      <c r="J84" s="50"/>
      <c r="K84" s="116">
        <f>IFERROR(VLOOKUP(B84,BD_CONTROL!$A$5:$M$4235,11,0),"")</f>
        <v>0</v>
      </c>
      <c r="L84" s="117">
        <f>IFERROR(VLOOKUP(B84,BD_CONTROL!$A$5:$M$4235,12,0),"")</f>
        <v>0</v>
      </c>
      <c r="M84" s="118">
        <f>IFERROR(VLOOKUP(B84,BD_CONTROL!$A$5:$M$4235,13,0),"")</f>
        <v>0</v>
      </c>
    </row>
    <row r="85" spans="1:13" ht="15" customHeight="1">
      <c r="A85" s="42">
        <v>80</v>
      </c>
      <c r="B85" s="42" t="s">
        <v>3222</v>
      </c>
      <c r="C85" s="43" t="s">
        <v>2595</v>
      </c>
      <c r="D85" s="42" t="s">
        <v>553</v>
      </c>
      <c r="E85" s="43" t="s">
        <v>3223</v>
      </c>
      <c r="F85" s="43" t="s">
        <v>3224</v>
      </c>
      <c r="G85" s="42" t="s">
        <v>109</v>
      </c>
      <c r="H85" s="43" t="s">
        <v>1184</v>
      </c>
      <c r="I85" s="43" t="s">
        <v>104</v>
      </c>
      <c r="J85" s="55"/>
      <c r="K85" s="119">
        <f>IFERROR(VLOOKUP(B85,BD_CONTROL!$A$5:$M$4235,11,0),"")</f>
        <v>0</v>
      </c>
      <c r="L85" s="120">
        <f>IFERROR(VLOOKUP(B85,BD_CONTROL!$A$5:$M$4235,12,0),"")</f>
        <v>0</v>
      </c>
      <c r="M85" s="121">
        <f>IFERROR(VLOOKUP(B85,BD_CONTROL!$A$5:$M$4235,13,0),"")</f>
        <v>0</v>
      </c>
    </row>
    <row r="86" spans="1:13" ht="15" customHeight="1">
      <c r="A86" s="39">
        <v>81</v>
      </c>
      <c r="B86" s="39" t="s">
        <v>3229</v>
      </c>
      <c r="C86" s="40" t="s">
        <v>2562</v>
      </c>
      <c r="D86" s="39" t="s">
        <v>553</v>
      </c>
      <c r="E86" s="40" t="s">
        <v>2965</v>
      </c>
      <c r="F86" s="40" t="s">
        <v>3230</v>
      </c>
      <c r="G86" s="39" t="s">
        <v>109</v>
      </c>
      <c r="H86" s="40" t="s">
        <v>1184</v>
      </c>
      <c r="I86" s="40" t="s">
        <v>104</v>
      </c>
      <c r="J86" s="50"/>
      <c r="K86" s="116">
        <f>IFERROR(VLOOKUP(B86,BD_CONTROL!$A$5:$M$4235,11,0),"")</f>
        <v>0</v>
      </c>
      <c r="L86" s="117">
        <f>IFERROR(VLOOKUP(B86,BD_CONTROL!$A$5:$M$4235,12,0),"")</f>
        <v>0</v>
      </c>
      <c r="M86" s="118">
        <f>IFERROR(VLOOKUP(B86,BD_CONTROL!$A$5:$M$4235,13,0),"")</f>
        <v>0</v>
      </c>
    </row>
    <row r="87" spans="1:13" ht="15" customHeight="1">
      <c r="A87" s="42">
        <v>82</v>
      </c>
      <c r="B87" s="42" t="s">
        <v>3231</v>
      </c>
      <c r="C87" s="43" t="s">
        <v>2610</v>
      </c>
      <c r="D87" s="42" t="s">
        <v>553</v>
      </c>
      <c r="E87" s="43" t="s">
        <v>2954</v>
      </c>
      <c r="F87" s="43" t="s">
        <v>3232</v>
      </c>
      <c r="G87" s="42" t="s">
        <v>109</v>
      </c>
      <c r="H87" s="43" t="s">
        <v>1184</v>
      </c>
      <c r="I87" s="43" t="s">
        <v>104</v>
      </c>
      <c r="J87" s="55"/>
      <c r="K87" s="119">
        <f>IFERROR(VLOOKUP(B87,BD_CONTROL!$A$5:$M$4235,11,0),"")</f>
        <v>0</v>
      </c>
      <c r="L87" s="120">
        <f>IFERROR(VLOOKUP(B87,BD_CONTROL!$A$5:$M$4235,12,0),"")</f>
        <v>0</v>
      </c>
      <c r="M87" s="121">
        <f>IFERROR(VLOOKUP(B87,BD_CONTROL!$A$5:$M$4235,13,0),"")</f>
        <v>0</v>
      </c>
    </row>
    <row r="88" spans="1:13" ht="15" customHeight="1">
      <c r="A88" s="39">
        <v>83</v>
      </c>
      <c r="B88" s="39" t="s">
        <v>3238</v>
      </c>
      <c r="C88" s="40" t="s">
        <v>3239</v>
      </c>
      <c r="D88" s="39" t="s">
        <v>553</v>
      </c>
      <c r="E88" s="40" t="s">
        <v>2944</v>
      </c>
      <c r="F88" s="40" t="s">
        <v>3240</v>
      </c>
      <c r="G88" s="39" t="s">
        <v>109</v>
      </c>
      <c r="H88" s="40" t="s">
        <v>1184</v>
      </c>
      <c r="I88" s="40" t="s">
        <v>104</v>
      </c>
      <c r="J88" s="50"/>
      <c r="K88" s="116">
        <f>IFERROR(VLOOKUP(B88,BD_CONTROL!$A$5:$M$4235,11,0),"")</f>
        <v>0</v>
      </c>
      <c r="L88" s="117">
        <f>IFERROR(VLOOKUP(B88,BD_CONTROL!$A$5:$M$4235,12,0),"")</f>
        <v>0</v>
      </c>
      <c r="M88" s="118">
        <f>IFERROR(VLOOKUP(B88,BD_CONTROL!$A$5:$M$4235,13,0),"")</f>
        <v>0</v>
      </c>
    </row>
    <row r="89" spans="1:13" ht="15" customHeight="1">
      <c r="A89" s="42">
        <v>84</v>
      </c>
      <c r="B89" s="42" t="s">
        <v>3241</v>
      </c>
      <c r="C89" s="43" t="s">
        <v>3242</v>
      </c>
      <c r="D89" s="42" t="s">
        <v>553</v>
      </c>
      <c r="E89" s="43" t="s">
        <v>3243</v>
      </c>
      <c r="F89" s="43" t="s">
        <v>3244</v>
      </c>
      <c r="G89" s="42" t="s">
        <v>109</v>
      </c>
      <c r="H89" s="43" t="s">
        <v>1184</v>
      </c>
      <c r="I89" s="43" t="s">
        <v>104</v>
      </c>
      <c r="J89" s="55"/>
      <c r="K89" s="119">
        <f>IFERROR(VLOOKUP(B89,BD_CONTROL!$A$5:$M$4235,11,0),"")</f>
        <v>0</v>
      </c>
      <c r="L89" s="120">
        <f>IFERROR(VLOOKUP(B89,BD_CONTROL!$A$5:$M$4235,12,0),"")</f>
        <v>0</v>
      </c>
      <c r="M89" s="121">
        <f>IFERROR(VLOOKUP(B89,BD_CONTROL!$A$5:$M$4235,13,0),"")</f>
        <v>0</v>
      </c>
    </row>
    <row r="90" spans="1:13" ht="15" customHeight="1">
      <c r="A90" s="39">
        <v>85</v>
      </c>
      <c r="B90" s="39" t="s">
        <v>3264</v>
      </c>
      <c r="C90" s="40" t="s">
        <v>3265</v>
      </c>
      <c r="D90" s="39" t="s">
        <v>553</v>
      </c>
      <c r="E90" s="40" t="s">
        <v>2944</v>
      </c>
      <c r="F90" s="40" t="s">
        <v>3266</v>
      </c>
      <c r="G90" s="39" t="s">
        <v>109</v>
      </c>
      <c r="H90" s="40" t="s">
        <v>1184</v>
      </c>
      <c r="I90" s="40" t="s">
        <v>104</v>
      </c>
      <c r="J90" s="50"/>
      <c r="K90" s="116">
        <f>IFERROR(VLOOKUP(B90,BD_CONTROL!$A$5:$M$4235,11,0),"")</f>
        <v>0</v>
      </c>
      <c r="L90" s="117">
        <f>IFERROR(VLOOKUP(B90,BD_CONTROL!$A$5:$M$4235,12,0),"")</f>
        <v>0</v>
      </c>
      <c r="M90" s="118">
        <f>IFERROR(VLOOKUP(B90,BD_CONTROL!$A$5:$M$4235,13,0),"")</f>
        <v>0</v>
      </c>
    </row>
    <row r="91" spans="1:13" ht="15" customHeight="1">
      <c r="A91" s="42">
        <v>86</v>
      </c>
      <c r="B91" s="42" t="s">
        <v>3273</v>
      </c>
      <c r="C91" s="43" t="s">
        <v>3274</v>
      </c>
      <c r="D91" s="42" t="s">
        <v>553</v>
      </c>
      <c r="E91" s="43" t="s">
        <v>3243</v>
      </c>
      <c r="F91" s="43" t="s">
        <v>2394</v>
      </c>
      <c r="G91" s="42" t="s">
        <v>109</v>
      </c>
      <c r="H91" s="43" t="s">
        <v>1184</v>
      </c>
      <c r="I91" s="43" t="s">
        <v>104</v>
      </c>
      <c r="J91" s="55"/>
      <c r="K91" s="119">
        <f>IFERROR(VLOOKUP(B91,BD_CONTROL!$A$5:$M$4235,11,0),"")</f>
        <v>0</v>
      </c>
      <c r="L91" s="120">
        <f>IFERROR(VLOOKUP(B91,BD_CONTROL!$A$5:$M$4235,12,0),"")</f>
        <v>0</v>
      </c>
      <c r="M91" s="121">
        <f>IFERROR(VLOOKUP(B91,BD_CONTROL!$A$5:$M$4235,13,0),"")</f>
        <v>0</v>
      </c>
    </row>
    <row r="92" spans="1:13" ht="15" customHeight="1">
      <c r="A92" s="39">
        <v>87</v>
      </c>
      <c r="B92" s="39" t="s">
        <v>3275</v>
      </c>
      <c r="C92" s="40" t="s">
        <v>3276</v>
      </c>
      <c r="D92" s="39" t="s">
        <v>553</v>
      </c>
      <c r="E92" s="40" t="s">
        <v>3052</v>
      </c>
      <c r="F92" s="40" t="s">
        <v>3277</v>
      </c>
      <c r="G92" s="39" t="s">
        <v>109</v>
      </c>
      <c r="H92" s="40" t="s">
        <v>1184</v>
      </c>
      <c r="I92" s="40" t="s">
        <v>104</v>
      </c>
      <c r="J92" s="50"/>
      <c r="K92" s="116">
        <f>IFERROR(VLOOKUP(B92,BD_CONTROL!$A$5:$M$4235,11,0),"")</f>
        <v>0</v>
      </c>
      <c r="L92" s="117">
        <f>IFERROR(VLOOKUP(B92,BD_CONTROL!$A$5:$M$4235,12,0),"")</f>
        <v>0</v>
      </c>
      <c r="M92" s="118">
        <f>IFERROR(VLOOKUP(B92,BD_CONTROL!$A$5:$M$4235,13,0),"")</f>
        <v>0</v>
      </c>
    </row>
    <row r="93" spans="1:13" ht="15" customHeight="1">
      <c r="A93" s="42">
        <v>88</v>
      </c>
      <c r="B93" s="42" t="s">
        <v>3281</v>
      </c>
      <c r="C93" s="43" t="s">
        <v>3282</v>
      </c>
      <c r="D93" s="42" t="s">
        <v>553</v>
      </c>
      <c r="E93" s="43" t="s">
        <v>2954</v>
      </c>
      <c r="F93" s="43" t="s">
        <v>3283</v>
      </c>
      <c r="G93" s="42" t="s">
        <v>109</v>
      </c>
      <c r="H93" s="43" t="s">
        <v>1184</v>
      </c>
      <c r="I93" s="43" t="s">
        <v>104</v>
      </c>
      <c r="J93" s="55"/>
      <c r="K93" s="119">
        <f>IFERROR(VLOOKUP(B93,BD_CONTROL!$A$5:$M$4235,11,0),"")</f>
        <v>0</v>
      </c>
      <c r="L93" s="120">
        <f>IFERROR(VLOOKUP(B93,BD_CONTROL!$A$5:$M$4235,12,0),"")</f>
        <v>0</v>
      </c>
      <c r="M93" s="121">
        <f>IFERROR(VLOOKUP(B93,BD_CONTROL!$A$5:$M$4235,13,0),"")</f>
        <v>0</v>
      </c>
    </row>
    <row r="94" spans="1:13" ht="15" customHeight="1">
      <c r="A94" s="39">
        <v>89</v>
      </c>
      <c r="B94" s="39" t="s">
        <v>3286</v>
      </c>
      <c r="C94" s="40" t="s">
        <v>3287</v>
      </c>
      <c r="D94" s="39" t="s">
        <v>553</v>
      </c>
      <c r="E94" s="40" t="s">
        <v>2944</v>
      </c>
      <c r="F94" s="40" t="s">
        <v>3288</v>
      </c>
      <c r="G94" s="39" t="s">
        <v>109</v>
      </c>
      <c r="H94" s="40" t="s">
        <v>1184</v>
      </c>
      <c r="I94" s="40" t="s">
        <v>104</v>
      </c>
      <c r="J94" s="50"/>
      <c r="K94" s="116">
        <f>IFERROR(VLOOKUP(B94,BD_CONTROL!$A$5:$M$4235,11,0),"")</f>
        <v>0</v>
      </c>
      <c r="L94" s="117">
        <f>IFERROR(VLOOKUP(B94,BD_CONTROL!$A$5:$M$4235,12,0),"")</f>
        <v>0</v>
      </c>
      <c r="M94" s="118">
        <f>IFERROR(VLOOKUP(B94,BD_CONTROL!$A$5:$M$4235,13,0),"")</f>
        <v>0</v>
      </c>
    </row>
    <row r="95" spans="1:13" ht="15" customHeight="1">
      <c r="A95" s="42">
        <v>90</v>
      </c>
      <c r="B95" s="42" t="s">
        <v>3289</v>
      </c>
      <c r="C95" s="43" t="s">
        <v>2712</v>
      </c>
      <c r="D95" s="42" t="s">
        <v>553</v>
      </c>
      <c r="E95" s="43" t="s">
        <v>2926</v>
      </c>
      <c r="F95" s="43" t="s">
        <v>3290</v>
      </c>
      <c r="G95" s="42" t="s">
        <v>109</v>
      </c>
      <c r="H95" s="43" t="s">
        <v>1184</v>
      </c>
      <c r="I95" s="43" t="s">
        <v>104</v>
      </c>
      <c r="J95" s="55"/>
      <c r="K95" s="119">
        <f>IFERROR(VLOOKUP(B95,BD_CONTROL!$A$5:$M$4235,11,0),"")</f>
        <v>0</v>
      </c>
      <c r="L95" s="120">
        <f>IFERROR(VLOOKUP(B95,BD_CONTROL!$A$5:$M$4235,12,0),"")</f>
        <v>0</v>
      </c>
      <c r="M95" s="121">
        <f>IFERROR(VLOOKUP(B95,BD_CONTROL!$A$5:$M$4235,13,0),"")</f>
        <v>0</v>
      </c>
    </row>
    <row r="96" spans="1:13" ht="15" customHeight="1">
      <c r="A96" s="39">
        <v>91</v>
      </c>
      <c r="B96" s="39" t="s">
        <v>3291</v>
      </c>
      <c r="C96" s="40" t="s">
        <v>3292</v>
      </c>
      <c r="D96" s="39" t="s">
        <v>553</v>
      </c>
      <c r="E96" s="40" t="s">
        <v>3018</v>
      </c>
      <c r="F96" s="40" t="s">
        <v>3293</v>
      </c>
      <c r="G96" s="39" t="s">
        <v>109</v>
      </c>
      <c r="H96" s="40" t="s">
        <v>1184</v>
      </c>
      <c r="I96" s="40" t="s">
        <v>104</v>
      </c>
      <c r="J96" s="50"/>
      <c r="K96" s="116">
        <f>IFERROR(VLOOKUP(B96,BD_CONTROL!$A$5:$M$4235,11,0),"")</f>
        <v>0</v>
      </c>
      <c r="L96" s="117">
        <f>IFERROR(VLOOKUP(B96,BD_CONTROL!$A$5:$M$4235,12,0),"")</f>
        <v>0</v>
      </c>
      <c r="M96" s="118">
        <f>IFERROR(VLOOKUP(B96,BD_CONTROL!$A$5:$M$4235,13,0),"")</f>
        <v>0</v>
      </c>
    </row>
    <row r="97" spans="1:13" ht="15" customHeight="1">
      <c r="A97" s="42">
        <v>92</v>
      </c>
      <c r="B97" s="42" t="s">
        <v>3294</v>
      </c>
      <c r="C97" s="43" t="s">
        <v>3295</v>
      </c>
      <c r="D97" s="42" t="s">
        <v>553</v>
      </c>
      <c r="E97" s="43" t="s">
        <v>3223</v>
      </c>
      <c r="F97" s="43" t="s">
        <v>3223</v>
      </c>
      <c r="G97" s="42" t="s">
        <v>102</v>
      </c>
      <c r="H97" s="43" t="s">
        <v>1184</v>
      </c>
      <c r="I97" s="43" t="s">
        <v>104</v>
      </c>
      <c r="J97" s="55"/>
      <c r="K97" s="119">
        <f>IFERROR(VLOOKUP(B97,BD_CONTROL!$A$5:$M$4235,11,0),"")</f>
        <v>0</v>
      </c>
      <c r="L97" s="120">
        <f>IFERROR(VLOOKUP(B97,BD_CONTROL!$A$5:$M$4235,12,0),"")</f>
        <v>0</v>
      </c>
      <c r="M97" s="121">
        <f>IFERROR(VLOOKUP(B97,BD_CONTROL!$A$5:$M$4235,13,0),"")</f>
        <v>0</v>
      </c>
    </row>
    <row r="98" spans="1:13" ht="15" customHeight="1">
      <c r="A98" s="39">
        <v>93</v>
      </c>
      <c r="B98" s="39" t="s">
        <v>3296</v>
      </c>
      <c r="C98" s="40" t="s">
        <v>3297</v>
      </c>
      <c r="D98" s="39" t="s">
        <v>553</v>
      </c>
      <c r="E98" s="40" t="s">
        <v>3018</v>
      </c>
      <c r="F98" s="40" t="s">
        <v>3019</v>
      </c>
      <c r="G98" s="39" t="s">
        <v>109</v>
      </c>
      <c r="H98" s="40" t="s">
        <v>1184</v>
      </c>
      <c r="I98" s="40" t="s">
        <v>104</v>
      </c>
      <c r="J98" s="50"/>
      <c r="K98" s="116">
        <f>IFERROR(VLOOKUP(B98,BD_CONTROL!$A$5:$M$4235,11,0),"")</f>
        <v>0</v>
      </c>
      <c r="L98" s="117">
        <f>IFERROR(VLOOKUP(B98,BD_CONTROL!$A$5:$M$4235,12,0),"")</f>
        <v>0</v>
      </c>
      <c r="M98" s="118">
        <f>IFERROR(VLOOKUP(B98,BD_CONTROL!$A$5:$M$4235,13,0),"")</f>
        <v>0</v>
      </c>
    </row>
    <row r="99" spans="1:13" ht="15" customHeight="1">
      <c r="A99" s="42">
        <v>94</v>
      </c>
      <c r="B99" s="42" t="s">
        <v>3298</v>
      </c>
      <c r="C99" s="43" t="s">
        <v>3299</v>
      </c>
      <c r="D99" s="42" t="s">
        <v>553</v>
      </c>
      <c r="E99" s="43" t="s">
        <v>3018</v>
      </c>
      <c r="F99" s="43" t="s">
        <v>3299</v>
      </c>
      <c r="G99" s="42" t="s">
        <v>109</v>
      </c>
      <c r="H99" s="43" t="s">
        <v>1184</v>
      </c>
      <c r="I99" s="43" t="s">
        <v>104</v>
      </c>
      <c r="J99" s="55"/>
      <c r="K99" s="119">
        <f>IFERROR(VLOOKUP(B99,BD_CONTROL!$A$5:$M$4235,11,0),"")</f>
        <v>0</v>
      </c>
      <c r="L99" s="120">
        <f>IFERROR(VLOOKUP(B99,BD_CONTROL!$A$5:$M$4235,12,0),"")</f>
        <v>0</v>
      </c>
      <c r="M99" s="121">
        <f>IFERROR(VLOOKUP(B99,BD_CONTROL!$A$5:$M$4235,13,0),"")</f>
        <v>0</v>
      </c>
    </row>
    <row r="100" spans="1:13" ht="15" customHeight="1">
      <c r="A100" s="39">
        <v>95</v>
      </c>
      <c r="B100" s="39" t="s">
        <v>3300</v>
      </c>
      <c r="C100" s="40" t="s">
        <v>3301</v>
      </c>
      <c r="D100" s="39" t="s">
        <v>553</v>
      </c>
      <c r="E100" s="40" t="s">
        <v>2944</v>
      </c>
      <c r="F100" s="40" t="s">
        <v>3021</v>
      </c>
      <c r="G100" s="39" t="s">
        <v>109</v>
      </c>
      <c r="H100" s="40" t="s">
        <v>1184</v>
      </c>
      <c r="I100" s="40" t="s">
        <v>104</v>
      </c>
      <c r="J100" s="50"/>
      <c r="K100" s="116">
        <f>IFERROR(VLOOKUP(B100,BD_CONTROL!$A$5:$M$4235,11,0),"")</f>
        <v>0</v>
      </c>
      <c r="L100" s="117">
        <f>IFERROR(VLOOKUP(B100,BD_CONTROL!$A$5:$M$4235,12,0),"")</f>
        <v>0</v>
      </c>
      <c r="M100" s="118">
        <f>IFERROR(VLOOKUP(B100,BD_CONTROL!$A$5:$M$4235,13,0),"")</f>
        <v>0</v>
      </c>
    </row>
    <row r="101" spans="1:13" ht="15" customHeight="1">
      <c r="A101" s="42">
        <v>96</v>
      </c>
      <c r="B101" s="42" t="s">
        <v>3307</v>
      </c>
      <c r="C101" s="43" t="s">
        <v>1579</v>
      </c>
      <c r="D101" s="42" t="s">
        <v>553</v>
      </c>
      <c r="E101" s="43" t="s">
        <v>3032</v>
      </c>
      <c r="F101" s="43" t="s">
        <v>3308</v>
      </c>
      <c r="G101" s="42" t="s">
        <v>109</v>
      </c>
      <c r="H101" s="43" t="s">
        <v>1110</v>
      </c>
      <c r="I101" s="43" t="s">
        <v>104</v>
      </c>
      <c r="J101" s="55"/>
      <c r="K101" s="119">
        <f>IFERROR(VLOOKUP(B101,BD_CONTROL!$A$5:$M$4235,11,0),"")</f>
        <v>0</v>
      </c>
      <c r="L101" s="120">
        <f>IFERROR(VLOOKUP(B101,BD_CONTROL!$A$5:$M$4235,12,0),"")</f>
        <v>0</v>
      </c>
      <c r="M101" s="121">
        <f>IFERROR(VLOOKUP(B101,BD_CONTROL!$A$5:$M$4235,13,0),"")</f>
        <v>0</v>
      </c>
    </row>
    <row r="102" spans="1:13" ht="15" customHeight="1">
      <c r="A102" s="39">
        <v>97</v>
      </c>
      <c r="B102" s="39" t="s">
        <v>3309</v>
      </c>
      <c r="C102" s="40" t="s">
        <v>3310</v>
      </c>
      <c r="D102" s="39" t="s">
        <v>553</v>
      </c>
      <c r="E102" s="40" t="s">
        <v>3025</v>
      </c>
      <c r="F102" s="40" t="s">
        <v>3157</v>
      </c>
      <c r="G102" s="39" t="s">
        <v>109</v>
      </c>
      <c r="H102" s="40" t="s">
        <v>1110</v>
      </c>
      <c r="I102" s="40" t="s">
        <v>104</v>
      </c>
      <c r="J102" s="50"/>
      <c r="K102" s="116">
        <f>IFERROR(VLOOKUP(B102,BD_CONTROL!$A$5:$M$4235,11,0),"")</f>
        <v>0</v>
      </c>
      <c r="L102" s="117">
        <f>IFERROR(VLOOKUP(B102,BD_CONTROL!$A$5:$M$4235,12,0),"")</f>
        <v>0</v>
      </c>
      <c r="M102" s="118">
        <f>IFERROR(VLOOKUP(B102,BD_CONTROL!$A$5:$M$4235,13,0),"")</f>
        <v>0</v>
      </c>
    </row>
    <row r="103" spans="1:13" ht="15" customHeight="1">
      <c r="A103" s="42">
        <v>98</v>
      </c>
      <c r="B103" s="42" t="s">
        <v>3311</v>
      </c>
      <c r="C103" s="43" t="s">
        <v>3312</v>
      </c>
      <c r="D103" s="42" t="s">
        <v>553</v>
      </c>
      <c r="E103" s="43" t="s">
        <v>3025</v>
      </c>
      <c r="F103" s="43" t="s">
        <v>3313</v>
      </c>
      <c r="G103" s="42" t="s">
        <v>109</v>
      </c>
      <c r="H103" s="43" t="s">
        <v>1184</v>
      </c>
      <c r="I103" s="43" t="s">
        <v>104</v>
      </c>
      <c r="J103" s="55"/>
      <c r="K103" s="119">
        <f>IFERROR(VLOOKUP(B103,BD_CONTROL!$A$5:$M$4235,11,0),"")</f>
        <v>0</v>
      </c>
      <c r="L103" s="120">
        <f>IFERROR(VLOOKUP(B103,BD_CONTROL!$A$5:$M$4235,12,0),"")</f>
        <v>0</v>
      </c>
      <c r="M103" s="121">
        <f>IFERROR(VLOOKUP(B103,BD_CONTROL!$A$5:$M$4235,13,0),"")</f>
        <v>0</v>
      </c>
    </row>
    <row r="104" spans="1:13" ht="15" customHeight="1">
      <c r="A104" s="39">
        <v>99</v>
      </c>
      <c r="B104" s="39" t="s">
        <v>3314</v>
      </c>
      <c r="C104" s="40" t="s">
        <v>3315</v>
      </c>
      <c r="D104" s="39" t="s">
        <v>553</v>
      </c>
      <c r="E104" s="40" t="s">
        <v>2992</v>
      </c>
      <c r="F104" s="40" t="s">
        <v>3315</v>
      </c>
      <c r="G104" s="39" t="s">
        <v>109</v>
      </c>
      <c r="H104" s="40" t="s">
        <v>1184</v>
      </c>
      <c r="I104" s="40" t="s">
        <v>104</v>
      </c>
      <c r="J104" s="50"/>
      <c r="K104" s="116" t="str">
        <f>IFERROR(VLOOKUP(B104,BD_CONTROL!$A$5:$M$4235,11,0),"")</f>
        <v>Instalado - Operando</v>
      </c>
      <c r="L104" s="117">
        <f>IFERROR(VLOOKUP(B104,BD_CONTROL!$A$5:$M$4235,12,0),"")</f>
        <v>46149</v>
      </c>
      <c r="M104" s="118">
        <f>IFERROR(VLOOKUP(B104,BD_CONTROL!$A$5:$M$4235,13,0),"")</f>
        <v>0</v>
      </c>
    </row>
    <row r="105" spans="1:13" ht="15" customHeight="1">
      <c r="A105" s="42">
        <v>100</v>
      </c>
      <c r="B105" s="42" t="s">
        <v>3318</v>
      </c>
      <c r="C105" s="43" t="s">
        <v>3319</v>
      </c>
      <c r="D105" s="42" t="s">
        <v>553</v>
      </c>
      <c r="E105" s="43" t="s">
        <v>3320</v>
      </c>
      <c r="F105" s="43" t="s">
        <v>3320</v>
      </c>
      <c r="G105" s="42" t="s">
        <v>109</v>
      </c>
      <c r="H105" s="43" t="s">
        <v>1184</v>
      </c>
      <c r="I105" s="43" t="s">
        <v>104</v>
      </c>
      <c r="J105" s="55"/>
      <c r="K105" s="119">
        <f>IFERROR(VLOOKUP(B105,BD_CONTROL!$A$5:$M$4235,11,0),"")</f>
        <v>0</v>
      </c>
      <c r="L105" s="120">
        <f>IFERROR(VLOOKUP(B105,BD_CONTROL!$A$5:$M$4235,12,0),"")</f>
        <v>0</v>
      </c>
      <c r="M105" s="121">
        <f>IFERROR(VLOOKUP(B105,BD_CONTROL!$A$5:$M$4235,13,0),"")</f>
        <v>0</v>
      </c>
    </row>
    <row r="106" spans="1:13" ht="15" customHeight="1">
      <c r="A106" s="39">
        <v>101</v>
      </c>
      <c r="B106" s="39" t="s">
        <v>3342</v>
      </c>
      <c r="C106" s="40" t="s">
        <v>3343</v>
      </c>
      <c r="D106" s="39" t="s">
        <v>553</v>
      </c>
      <c r="E106" s="40" t="s">
        <v>2965</v>
      </c>
      <c r="F106" s="40" t="s">
        <v>3344</v>
      </c>
      <c r="G106" s="39" t="s">
        <v>109</v>
      </c>
      <c r="H106" s="40" t="s">
        <v>1184</v>
      </c>
      <c r="I106" s="40" t="s">
        <v>104</v>
      </c>
      <c r="J106" s="50"/>
      <c r="K106" s="116">
        <f>IFERROR(VLOOKUP(B106,BD_CONTROL!$A$5:$M$4235,11,0),"")</f>
        <v>0</v>
      </c>
      <c r="L106" s="117">
        <f>IFERROR(VLOOKUP(B106,BD_CONTROL!$A$5:$M$4235,12,0),"")</f>
        <v>0</v>
      </c>
      <c r="M106" s="118">
        <f>IFERROR(VLOOKUP(B106,BD_CONTROL!$A$5:$M$4235,13,0),"")</f>
        <v>0</v>
      </c>
    </row>
    <row r="107" spans="1:13" ht="15" customHeight="1">
      <c r="A107" s="42">
        <v>102</v>
      </c>
      <c r="B107" s="42" t="s">
        <v>3349</v>
      </c>
      <c r="C107" s="43" t="s">
        <v>3350</v>
      </c>
      <c r="D107" s="42" t="s">
        <v>553</v>
      </c>
      <c r="E107" s="43" t="s">
        <v>3243</v>
      </c>
      <c r="F107" s="43" t="s">
        <v>3351</v>
      </c>
      <c r="G107" s="42" t="s">
        <v>109</v>
      </c>
      <c r="H107" s="43" t="s">
        <v>1184</v>
      </c>
      <c r="I107" s="43" t="s">
        <v>104</v>
      </c>
      <c r="J107" s="55"/>
      <c r="K107" s="119">
        <f>IFERROR(VLOOKUP(B107,BD_CONTROL!$A$5:$M$4235,11,0),"")</f>
        <v>0</v>
      </c>
      <c r="L107" s="120">
        <f>IFERROR(VLOOKUP(B107,BD_CONTROL!$A$5:$M$4235,12,0),"")</f>
        <v>0</v>
      </c>
      <c r="M107" s="121">
        <f>IFERROR(VLOOKUP(B107,BD_CONTROL!$A$5:$M$4235,13,0),"")</f>
        <v>0</v>
      </c>
    </row>
    <row r="108" spans="1:13" ht="15" customHeight="1">
      <c r="A108" s="39">
        <v>103</v>
      </c>
      <c r="B108" s="39" t="s">
        <v>3355</v>
      </c>
      <c r="C108" s="40" t="s">
        <v>3356</v>
      </c>
      <c r="D108" s="39" t="s">
        <v>553</v>
      </c>
      <c r="E108" s="40" t="s">
        <v>3154</v>
      </c>
      <c r="F108" s="40" t="s">
        <v>3357</v>
      </c>
      <c r="G108" s="39" t="s">
        <v>109</v>
      </c>
      <c r="H108" s="40" t="s">
        <v>1184</v>
      </c>
      <c r="I108" s="40" t="s">
        <v>104</v>
      </c>
      <c r="J108" s="50"/>
      <c r="K108" s="116">
        <f>IFERROR(VLOOKUP(B108,BD_CONTROL!$A$5:$M$4235,11,0),"")</f>
        <v>0</v>
      </c>
      <c r="L108" s="117">
        <f>IFERROR(VLOOKUP(B108,BD_CONTROL!$A$5:$M$4235,12,0),"")</f>
        <v>0</v>
      </c>
      <c r="M108" s="118">
        <f>IFERROR(VLOOKUP(B108,BD_CONTROL!$A$5:$M$4235,13,0),"")</f>
        <v>0</v>
      </c>
    </row>
    <row r="109" spans="1:13" ht="15" customHeight="1">
      <c r="A109" s="42">
        <v>104</v>
      </c>
      <c r="B109" s="42" t="s">
        <v>3362</v>
      </c>
      <c r="C109" s="43" t="s">
        <v>3049</v>
      </c>
      <c r="D109" s="42" t="s">
        <v>553</v>
      </c>
      <c r="E109" s="43" t="s">
        <v>2954</v>
      </c>
      <c r="F109" s="43" t="s">
        <v>3049</v>
      </c>
      <c r="G109" s="42" t="s">
        <v>109</v>
      </c>
      <c r="H109" s="43" t="s">
        <v>1184</v>
      </c>
      <c r="I109" s="43" t="s">
        <v>104</v>
      </c>
      <c r="J109" s="55"/>
      <c r="K109" s="119">
        <f>IFERROR(VLOOKUP(B109,BD_CONTROL!$A$5:$M$4235,11,0),"")</f>
        <v>0</v>
      </c>
      <c r="L109" s="120">
        <f>IFERROR(VLOOKUP(B109,BD_CONTROL!$A$5:$M$4235,12,0),"")</f>
        <v>0</v>
      </c>
      <c r="M109" s="121">
        <f>IFERROR(VLOOKUP(B109,BD_CONTROL!$A$5:$M$4235,13,0),"")</f>
        <v>0</v>
      </c>
    </row>
    <row r="110" spans="1:13" ht="15" customHeight="1">
      <c r="A110" s="39">
        <v>105</v>
      </c>
      <c r="B110" s="39" t="s">
        <v>3363</v>
      </c>
      <c r="C110" s="40" t="s">
        <v>3364</v>
      </c>
      <c r="D110" s="39" t="s">
        <v>553</v>
      </c>
      <c r="E110" s="40" t="s">
        <v>3365</v>
      </c>
      <c r="F110" s="40" t="s">
        <v>1238</v>
      </c>
      <c r="G110" s="39" t="s">
        <v>109</v>
      </c>
      <c r="H110" s="40" t="s">
        <v>1184</v>
      </c>
      <c r="I110" s="40" t="s">
        <v>104</v>
      </c>
      <c r="J110" s="50"/>
      <c r="K110" s="116">
        <f>IFERROR(VLOOKUP(B110,BD_CONTROL!$A$5:$M$4235,11,0),"")</f>
        <v>0</v>
      </c>
      <c r="L110" s="117">
        <f>IFERROR(VLOOKUP(B110,BD_CONTROL!$A$5:$M$4235,12,0),"")</f>
        <v>0</v>
      </c>
      <c r="M110" s="118">
        <f>IFERROR(VLOOKUP(B110,BD_CONTROL!$A$5:$M$4235,13,0),"")</f>
        <v>0</v>
      </c>
    </row>
    <row r="111" spans="1:13" ht="15" customHeight="1">
      <c r="A111" s="42">
        <v>106</v>
      </c>
      <c r="B111" s="42" t="s">
        <v>3368</v>
      </c>
      <c r="C111" s="43" t="s">
        <v>3369</v>
      </c>
      <c r="D111" s="42" t="s">
        <v>3370</v>
      </c>
      <c r="E111" s="43" t="s">
        <v>3371</v>
      </c>
      <c r="F111" s="43" t="s">
        <v>3372</v>
      </c>
      <c r="G111" s="42" t="s">
        <v>102</v>
      </c>
      <c r="H111" s="43" t="s">
        <v>1110</v>
      </c>
      <c r="I111" s="43" t="s">
        <v>104</v>
      </c>
      <c r="J111" s="55"/>
      <c r="K111" s="119" t="str">
        <f>IFERROR(VLOOKUP(B111,BD_CONTROL!$A$5:$M$4235,11,0),"")</f>
        <v>Instalado - Operando</v>
      </c>
      <c r="L111" s="120">
        <f>IFERROR(VLOOKUP(B111,BD_CONTROL!$A$5:$M$4235,12,0),"")</f>
        <v>46135</v>
      </c>
      <c r="M111" s="121">
        <f>IFERROR(VLOOKUP(B111,BD_CONTROL!$A$5:$M$4235,13,0),"")</f>
        <v>0</v>
      </c>
    </row>
    <row r="112" spans="1:13" ht="15" customHeight="1">
      <c r="A112" s="39">
        <v>107</v>
      </c>
      <c r="B112" s="39" t="s">
        <v>3373</v>
      </c>
      <c r="C112" s="40" t="s">
        <v>3374</v>
      </c>
      <c r="D112" s="39" t="s">
        <v>3370</v>
      </c>
      <c r="E112" s="40" t="s">
        <v>3375</v>
      </c>
      <c r="F112" s="40" t="s">
        <v>3376</v>
      </c>
      <c r="G112" s="39" t="s">
        <v>102</v>
      </c>
      <c r="H112" s="40" t="s">
        <v>1184</v>
      </c>
      <c r="I112" s="40" t="s">
        <v>104</v>
      </c>
      <c r="J112" s="50"/>
      <c r="K112" s="116">
        <f>IFERROR(VLOOKUP(B112,BD_CONTROL!$A$5:$M$4235,11,0),"")</f>
        <v>0</v>
      </c>
      <c r="L112" s="117">
        <f>IFERROR(VLOOKUP(B112,BD_CONTROL!$A$5:$M$4235,12,0),"")</f>
        <v>0</v>
      </c>
      <c r="M112" s="118">
        <f>IFERROR(VLOOKUP(B112,BD_CONTROL!$A$5:$M$4235,13,0),"")</f>
        <v>0</v>
      </c>
    </row>
    <row r="113" spans="1:13" ht="15" customHeight="1">
      <c r="A113" s="42">
        <v>108</v>
      </c>
      <c r="B113" s="42" t="s">
        <v>3377</v>
      </c>
      <c r="C113" s="43" t="s">
        <v>3378</v>
      </c>
      <c r="D113" s="42" t="s">
        <v>3370</v>
      </c>
      <c r="E113" s="43" t="s">
        <v>3379</v>
      </c>
      <c r="F113" s="43" t="s">
        <v>2782</v>
      </c>
      <c r="G113" s="42" t="s">
        <v>102</v>
      </c>
      <c r="H113" s="43" t="s">
        <v>1110</v>
      </c>
      <c r="I113" s="43" t="s">
        <v>104</v>
      </c>
      <c r="J113" s="55"/>
      <c r="K113" s="119">
        <f>IFERROR(VLOOKUP(B113,BD_CONTROL!$A$5:$M$4235,11,0),"")</f>
        <v>0</v>
      </c>
      <c r="L113" s="120">
        <f>IFERROR(VLOOKUP(B113,BD_CONTROL!$A$5:$M$4235,12,0),"")</f>
        <v>0</v>
      </c>
      <c r="M113" s="121">
        <f>IFERROR(VLOOKUP(B113,BD_CONTROL!$A$5:$M$4235,13,0),"")</f>
        <v>0</v>
      </c>
    </row>
    <row r="114" spans="1:13" ht="15" customHeight="1">
      <c r="A114" s="39">
        <v>109</v>
      </c>
      <c r="B114" s="39" t="s">
        <v>3380</v>
      </c>
      <c r="C114" s="40" t="s">
        <v>3381</v>
      </c>
      <c r="D114" s="39" t="s">
        <v>3370</v>
      </c>
      <c r="E114" s="40" t="s">
        <v>3382</v>
      </c>
      <c r="F114" s="40" t="s">
        <v>1440</v>
      </c>
      <c r="G114" s="39" t="s">
        <v>102</v>
      </c>
      <c r="H114" s="40" t="s">
        <v>1184</v>
      </c>
      <c r="I114" s="40" t="s">
        <v>104</v>
      </c>
      <c r="J114" s="50"/>
      <c r="K114" s="116">
        <f>IFERROR(VLOOKUP(B114,BD_CONTROL!$A$5:$M$4235,11,0),"")</f>
        <v>0</v>
      </c>
      <c r="L114" s="117">
        <f>IFERROR(VLOOKUP(B114,BD_CONTROL!$A$5:$M$4235,12,0),"")</f>
        <v>0</v>
      </c>
      <c r="M114" s="118">
        <f>IFERROR(VLOOKUP(B114,BD_CONTROL!$A$5:$M$4235,13,0),"")</f>
        <v>0</v>
      </c>
    </row>
    <row r="115" spans="1:13" ht="15" customHeight="1">
      <c r="A115" s="42">
        <v>110</v>
      </c>
      <c r="B115" s="42" t="s">
        <v>3383</v>
      </c>
      <c r="C115" s="43" t="s">
        <v>3384</v>
      </c>
      <c r="D115" s="42" t="s">
        <v>3370</v>
      </c>
      <c r="E115" s="43" t="s">
        <v>3385</v>
      </c>
      <c r="F115" s="43" t="s">
        <v>3386</v>
      </c>
      <c r="G115" s="42" t="s">
        <v>102</v>
      </c>
      <c r="H115" s="43" t="s">
        <v>1184</v>
      </c>
      <c r="I115" s="43" t="s">
        <v>104</v>
      </c>
      <c r="J115" s="55"/>
      <c r="K115" s="119">
        <f>IFERROR(VLOOKUP(B115,BD_CONTROL!$A$5:$M$4235,11,0),"")</f>
        <v>0</v>
      </c>
      <c r="L115" s="120">
        <f>IFERROR(VLOOKUP(B115,BD_CONTROL!$A$5:$M$4235,12,0),"")</f>
        <v>0</v>
      </c>
      <c r="M115" s="121">
        <f>IFERROR(VLOOKUP(B115,BD_CONTROL!$A$5:$M$4235,13,0),"")</f>
        <v>0</v>
      </c>
    </row>
    <row r="116" spans="1:13" ht="15" customHeight="1">
      <c r="A116" s="39">
        <v>111</v>
      </c>
      <c r="B116" s="39" t="s">
        <v>3393</v>
      </c>
      <c r="C116" s="40" t="s">
        <v>3394</v>
      </c>
      <c r="D116" s="39" t="s">
        <v>3370</v>
      </c>
      <c r="E116" s="40" t="s">
        <v>3395</v>
      </c>
      <c r="F116" s="40" t="s">
        <v>2622</v>
      </c>
      <c r="G116" s="39" t="s">
        <v>102</v>
      </c>
      <c r="H116" s="40" t="s">
        <v>1110</v>
      </c>
      <c r="I116" s="40" t="s">
        <v>104</v>
      </c>
      <c r="J116" s="50"/>
      <c r="K116" s="116">
        <f>IFERROR(VLOOKUP(B116,BD_CONTROL!$A$5:$M$4235,11,0),"")</f>
        <v>0</v>
      </c>
      <c r="L116" s="117">
        <f>IFERROR(VLOOKUP(B116,BD_CONTROL!$A$5:$M$4235,12,0),"")</f>
        <v>0</v>
      </c>
      <c r="M116" s="118">
        <f>IFERROR(VLOOKUP(B116,BD_CONTROL!$A$5:$M$4235,13,0),"")</f>
        <v>0</v>
      </c>
    </row>
    <row r="117" spans="1:13" ht="15" customHeight="1">
      <c r="A117" s="42">
        <v>112</v>
      </c>
      <c r="B117" s="42" t="s">
        <v>3396</v>
      </c>
      <c r="C117" s="43" t="s">
        <v>3397</v>
      </c>
      <c r="D117" s="42" t="s">
        <v>3370</v>
      </c>
      <c r="E117" s="43" t="s">
        <v>3398</v>
      </c>
      <c r="F117" s="43" t="s">
        <v>3399</v>
      </c>
      <c r="G117" s="42" t="s">
        <v>109</v>
      </c>
      <c r="H117" s="43" t="s">
        <v>1184</v>
      </c>
      <c r="I117" s="43" t="s">
        <v>104</v>
      </c>
      <c r="J117" s="55"/>
      <c r="K117" s="119">
        <f>IFERROR(VLOOKUP(B117,BD_CONTROL!$A$5:$M$4235,11,0),"")</f>
        <v>0</v>
      </c>
      <c r="L117" s="120">
        <f>IFERROR(VLOOKUP(B117,BD_CONTROL!$A$5:$M$4235,12,0),"")</f>
        <v>0</v>
      </c>
      <c r="M117" s="121">
        <f>IFERROR(VLOOKUP(B117,BD_CONTROL!$A$5:$M$4235,13,0),"")</f>
        <v>0</v>
      </c>
    </row>
    <row r="118" spans="1:13" ht="15" customHeight="1">
      <c r="A118" s="39">
        <v>113</v>
      </c>
      <c r="B118" s="39" t="s">
        <v>3400</v>
      </c>
      <c r="C118" s="40" t="s">
        <v>725</v>
      </c>
      <c r="D118" s="39" t="s">
        <v>3370</v>
      </c>
      <c r="E118" s="40" t="s">
        <v>3385</v>
      </c>
      <c r="F118" s="40" t="s">
        <v>3401</v>
      </c>
      <c r="G118" s="39" t="s">
        <v>102</v>
      </c>
      <c r="H118" s="40" t="s">
        <v>1184</v>
      </c>
      <c r="I118" s="40" t="s">
        <v>104</v>
      </c>
      <c r="J118" s="50"/>
      <c r="K118" s="116">
        <f>IFERROR(VLOOKUP(B118,BD_CONTROL!$A$5:$M$4235,11,0),"")</f>
        <v>0</v>
      </c>
      <c r="L118" s="117">
        <f>IFERROR(VLOOKUP(B118,BD_CONTROL!$A$5:$M$4235,12,0),"")</f>
        <v>0</v>
      </c>
      <c r="M118" s="118">
        <f>IFERROR(VLOOKUP(B118,BD_CONTROL!$A$5:$M$4235,13,0),"")</f>
        <v>0</v>
      </c>
    </row>
    <row r="119" spans="1:13" ht="15" customHeight="1">
      <c r="A119" s="42">
        <v>114</v>
      </c>
      <c r="B119" s="42" t="s">
        <v>3402</v>
      </c>
      <c r="C119" s="43" t="s">
        <v>3403</v>
      </c>
      <c r="D119" s="42" t="s">
        <v>3370</v>
      </c>
      <c r="E119" s="43" t="s">
        <v>3404</v>
      </c>
      <c r="F119" s="43" t="s">
        <v>3404</v>
      </c>
      <c r="G119" s="42" t="s">
        <v>109</v>
      </c>
      <c r="H119" s="43" t="s">
        <v>1110</v>
      </c>
      <c r="I119" s="43" t="s">
        <v>104</v>
      </c>
      <c r="J119" s="55"/>
      <c r="K119" s="119">
        <f>IFERROR(VLOOKUP(B119,BD_CONTROL!$A$5:$M$4235,11,0),"")</f>
        <v>0</v>
      </c>
      <c r="L119" s="120">
        <f>IFERROR(VLOOKUP(B119,BD_CONTROL!$A$5:$M$4235,12,0),"")</f>
        <v>0</v>
      </c>
      <c r="M119" s="121">
        <f>IFERROR(VLOOKUP(B119,BD_CONTROL!$A$5:$M$4235,13,0),"")</f>
        <v>0</v>
      </c>
    </row>
    <row r="120" spans="1:13" ht="15" customHeight="1">
      <c r="A120" s="39">
        <v>115</v>
      </c>
      <c r="B120" s="39" t="s">
        <v>3405</v>
      </c>
      <c r="C120" s="40" t="s">
        <v>486</v>
      </c>
      <c r="D120" s="39" t="s">
        <v>3370</v>
      </c>
      <c r="E120" s="40" t="s">
        <v>3385</v>
      </c>
      <c r="F120" s="40" t="s">
        <v>3406</v>
      </c>
      <c r="G120" s="39" t="s">
        <v>102</v>
      </c>
      <c r="H120" s="40" t="s">
        <v>1184</v>
      </c>
      <c r="I120" s="40" t="s">
        <v>104</v>
      </c>
      <c r="J120" s="50"/>
      <c r="K120" s="116">
        <f>IFERROR(VLOOKUP(B120,BD_CONTROL!$A$5:$M$4235,11,0),"")</f>
        <v>0</v>
      </c>
      <c r="L120" s="117">
        <f>IFERROR(VLOOKUP(B120,BD_CONTROL!$A$5:$M$4235,12,0),"")</f>
        <v>0</v>
      </c>
      <c r="M120" s="118">
        <f>IFERROR(VLOOKUP(B120,BD_CONTROL!$A$5:$M$4235,13,0),"")</f>
        <v>0</v>
      </c>
    </row>
    <row r="121" spans="1:13" ht="15" customHeight="1">
      <c r="A121" s="42">
        <v>116</v>
      </c>
      <c r="B121" s="42" t="s">
        <v>3407</v>
      </c>
      <c r="C121" s="43" t="s">
        <v>1323</v>
      </c>
      <c r="D121" s="42" t="s">
        <v>3370</v>
      </c>
      <c r="E121" s="43" t="s">
        <v>3408</v>
      </c>
      <c r="F121" s="43" t="s">
        <v>3409</v>
      </c>
      <c r="G121" s="42" t="s">
        <v>102</v>
      </c>
      <c r="H121" s="43" t="s">
        <v>1110</v>
      </c>
      <c r="I121" s="43" t="s">
        <v>104</v>
      </c>
      <c r="J121" s="55"/>
      <c r="K121" s="119" t="str">
        <f>IFERROR(VLOOKUP(B121,BD_CONTROL!$A$5:$M$4235,11,0),"")</f>
        <v>Instalado - Operando</v>
      </c>
      <c r="L121" s="120">
        <f>IFERROR(VLOOKUP(B121,BD_CONTROL!$A$5:$M$4235,12,0),"")</f>
        <v>46134</v>
      </c>
      <c r="M121" s="121">
        <f>IFERROR(VLOOKUP(B121,BD_CONTROL!$A$5:$M$4235,13,0),"")</f>
        <v>0</v>
      </c>
    </row>
    <row r="122" spans="1:13" ht="15" customHeight="1">
      <c r="A122" s="39">
        <v>117</v>
      </c>
      <c r="B122" s="39" t="s">
        <v>3410</v>
      </c>
      <c r="C122" s="40" t="s">
        <v>3411</v>
      </c>
      <c r="D122" s="39" t="s">
        <v>3370</v>
      </c>
      <c r="E122" s="40" t="s">
        <v>3412</v>
      </c>
      <c r="F122" s="40" t="s">
        <v>3413</v>
      </c>
      <c r="G122" s="39" t="s">
        <v>109</v>
      </c>
      <c r="H122" s="40" t="s">
        <v>1110</v>
      </c>
      <c r="I122" s="40" t="s">
        <v>104</v>
      </c>
      <c r="J122" s="50"/>
      <c r="K122" s="116" t="str">
        <f>IFERROR(VLOOKUP(B122,BD_CONTROL!$A$5:$M$4235,11,0),"")</f>
        <v>Instalado - Operando</v>
      </c>
      <c r="L122" s="117">
        <f>IFERROR(VLOOKUP(B122,BD_CONTROL!$A$5:$M$4235,12,0),"")</f>
        <v>46134</v>
      </c>
      <c r="M122" s="118">
        <f>IFERROR(VLOOKUP(B122,BD_CONTROL!$A$5:$M$4235,13,0),"")</f>
        <v>0</v>
      </c>
    </row>
    <row r="123" spans="1:13" ht="15" customHeight="1">
      <c r="A123" s="42">
        <v>118</v>
      </c>
      <c r="B123" s="42" t="s">
        <v>3414</v>
      </c>
      <c r="C123" s="43" t="s">
        <v>3415</v>
      </c>
      <c r="D123" s="42" t="s">
        <v>3370</v>
      </c>
      <c r="E123" s="43" t="s">
        <v>3416</v>
      </c>
      <c r="F123" s="43" t="s">
        <v>3417</v>
      </c>
      <c r="G123" s="42" t="s">
        <v>102</v>
      </c>
      <c r="H123" s="43" t="s">
        <v>1110</v>
      </c>
      <c r="I123" s="43" t="s">
        <v>104</v>
      </c>
      <c r="J123" s="55"/>
      <c r="K123" s="119" t="str">
        <f>IFERROR(VLOOKUP(B123,BD_CONTROL!$A$5:$M$4235,11,0),"")</f>
        <v>Instalado - Operando</v>
      </c>
      <c r="L123" s="120">
        <f>IFERROR(VLOOKUP(B123,BD_CONTROL!$A$5:$M$4235,12,0),"")</f>
        <v>46134</v>
      </c>
      <c r="M123" s="121">
        <f>IFERROR(VLOOKUP(B123,BD_CONTROL!$A$5:$M$4235,13,0),"")</f>
        <v>0</v>
      </c>
    </row>
    <row r="124" spans="1:13" ht="15" customHeight="1">
      <c r="A124" s="39">
        <v>119</v>
      </c>
      <c r="B124" s="39" t="s">
        <v>3418</v>
      </c>
      <c r="C124" s="40" t="s">
        <v>3419</v>
      </c>
      <c r="D124" s="39" t="s">
        <v>3370</v>
      </c>
      <c r="E124" s="40" t="s">
        <v>3384</v>
      </c>
      <c r="F124" s="40" t="s">
        <v>3420</v>
      </c>
      <c r="G124" s="39" t="s">
        <v>102</v>
      </c>
      <c r="H124" s="40" t="s">
        <v>1110</v>
      </c>
      <c r="I124" s="40" t="s">
        <v>104</v>
      </c>
      <c r="J124" s="50"/>
      <c r="K124" s="116" t="str">
        <f>IFERROR(VLOOKUP(B124,BD_CONTROL!$A$5:$M$4235,11,0),"")</f>
        <v>Instalado - Operando</v>
      </c>
      <c r="L124" s="117">
        <f>IFERROR(VLOOKUP(B124,BD_CONTROL!$A$5:$M$4235,12,0),"")</f>
        <v>46148</v>
      </c>
      <c r="M124" s="118" t="str">
        <f>IFERROR(VLOOKUP(B124,BD_CONTROL!$A$5:$M$4235,13,0),"")</f>
        <v>Este equipo no se encuentra cargado en la aplicación</v>
      </c>
    </row>
    <row r="125" spans="1:13" ht="15" customHeight="1">
      <c r="A125" s="42">
        <v>120</v>
      </c>
      <c r="B125" s="42" t="s">
        <v>3422</v>
      </c>
      <c r="C125" s="43" t="s">
        <v>3423</v>
      </c>
      <c r="D125" s="42" t="s">
        <v>3370</v>
      </c>
      <c r="E125" s="43" t="s">
        <v>3385</v>
      </c>
      <c r="F125" s="43" t="s">
        <v>3424</v>
      </c>
      <c r="G125" s="42" t="s">
        <v>102</v>
      </c>
      <c r="H125" s="43" t="s">
        <v>1184</v>
      </c>
      <c r="I125" s="43" t="s">
        <v>104</v>
      </c>
      <c r="J125" s="55"/>
      <c r="K125" s="119">
        <f>IFERROR(VLOOKUP(B125,BD_CONTROL!$A$5:$M$4235,11,0),"")</f>
        <v>0</v>
      </c>
      <c r="L125" s="120">
        <f>IFERROR(VLOOKUP(B125,BD_CONTROL!$A$5:$M$4235,12,0),"")</f>
        <v>0</v>
      </c>
      <c r="M125" s="121">
        <f>IFERROR(VLOOKUP(B125,BD_CONTROL!$A$5:$M$4235,13,0),"")</f>
        <v>0</v>
      </c>
    </row>
    <row r="126" spans="1:13" ht="15" customHeight="1">
      <c r="A126" s="39">
        <v>121</v>
      </c>
      <c r="B126" s="39" t="s">
        <v>3425</v>
      </c>
      <c r="C126" s="40" t="s">
        <v>3426</v>
      </c>
      <c r="D126" s="39" t="s">
        <v>3370</v>
      </c>
      <c r="E126" s="40" t="s">
        <v>3416</v>
      </c>
      <c r="F126" s="40" t="s">
        <v>3416</v>
      </c>
      <c r="G126" s="39" t="s">
        <v>102</v>
      </c>
      <c r="H126" s="40" t="s">
        <v>1110</v>
      </c>
      <c r="I126" s="40" t="s">
        <v>104</v>
      </c>
      <c r="J126" s="50"/>
      <c r="K126" s="116" t="str">
        <f>IFERROR(VLOOKUP(B126,BD_CONTROL!$A$5:$M$4235,11,0),"")</f>
        <v>Instalado - Operando</v>
      </c>
      <c r="L126" s="117">
        <f>IFERROR(VLOOKUP(B126,BD_CONTROL!$A$5:$M$4235,12,0),"")</f>
        <v>46139</v>
      </c>
      <c r="M126" s="118">
        <f>IFERROR(VLOOKUP(B126,BD_CONTROL!$A$5:$M$4235,13,0),"")</f>
        <v>0</v>
      </c>
    </row>
    <row r="127" spans="1:13" ht="15" customHeight="1">
      <c r="A127" s="42">
        <v>122</v>
      </c>
      <c r="B127" s="42" t="s">
        <v>3427</v>
      </c>
      <c r="C127" s="43" t="s">
        <v>1123</v>
      </c>
      <c r="D127" s="42" t="s">
        <v>3370</v>
      </c>
      <c r="E127" s="43" t="s">
        <v>3428</v>
      </c>
      <c r="F127" s="43" t="s">
        <v>3429</v>
      </c>
      <c r="G127" s="42" t="s">
        <v>102</v>
      </c>
      <c r="H127" s="43" t="s">
        <v>1184</v>
      </c>
      <c r="I127" s="43" t="s">
        <v>104</v>
      </c>
      <c r="J127" s="55"/>
      <c r="K127" s="119" t="str">
        <f>IFERROR(VLOOKUP(B127,BD_CONTROL!$A$5:$M$4235,11,0),"")</f>
        <v>Instalado - Operando</v>
      </c>
      <c r="L127" s="120">
        <f>IFERROR(VLOOKUP(B127,BD_CONTROL!$A$5:$M$4235,12,0),"")</f>
        <v>46147</v>
      </c>
      <c r="M127" s="121" t="str">
        <f>IFERROR(VLOOKUP(B127,BD_CONTROL!$A$5:$M$4235,13,0),"")</f>
        <v>El equipo no se encuentra cargado en la aplicación</v>
      </c>
    </row>
    <row r="128" spans="1:13" ht="15" customHeight="1">
      <c r="A128" s="39">
        <v>123</v>
      </c>
      <c r="B128" s="39" t="s">
        <v>3431</v>
      </c>
      <c r="C128" s="40" t="s">
        <v>3381</v>
      </c>
      <c r="D128" s="39" t="s">
        <v>3370</v>
      </c>
      <c r="E128" s="40" t="s">
        <v>3428</v>
      </c>
      <c r="F128" s="40" t="s">
        <v>3432</v>
      </c>
      <c r="G128" s="39" t="s">
        <v>102</v>
      </c>
      <c r="H128" s="40" t="s">
        <v>1184</v>
      </c>
      <c r="I128" s="40" t="s">
        <v>104</v>
      </c>
      <c r="J128" s="50"/>
      <c r="K128" s="116">
        <f>IFERROR(VLOOKUP(B128,BD_CONTROL!$A$5:$M$4235,11,0),"")</f>
        <v>0</v>
      </c>
      <c r="L128" s="117">
        <f>IFERROR(VLOOKUP(B128,BD_CONTROL!$A$5:$M$4235,12,0),"")</f>
        <v>0</v>
      </c>
      <c r="M128" s="118">
        <f>IFERROR(VLOOKUP(B128,BD_CONTROL!$A$5:$M$4235,13,0),"")</f>
        <v>0</v>
      </c>
    </row>
    <row r="129" spans="1:13" ht="15" customHeight="1">
      <c r="A129" s="42">
        <v>124</v>
      </c>
      <c r="B129" s="42" t="s">
        <v>3433</v>
      </c>
      <c r="C129" s="43" t="s">
        <v>3434</v>
      </c>
      <c r="D129" s="42" t="s">
        <v>3370</v>
      </c>
      <c r="E129" s="43" t="s">
        <v>3384</v>
      </c>
      <c r="F129" s="43" t="s">
        <v>3435</v>
      </c>
      <c r="G129" s="42" t="s">
        <v>102</v>
      </c>
      <c r="H129" s="43" t="s">
        <v>1110</v>
      </c>
      <c r="I129" s="43" t="s">
        <v>104</v>
      </c>
      <c r="J129" s="55"/>
      <c r="K129" s="119">
        <f>IFERROR(VLOOKUP(B129,BD_CONTROL!$A$5:$M$4235,11,0),"")</f>
        <v>0</v>
      </c>
      <c r="L129" s="120">
        <f>IFERROR(VLOOKUP(B129,BD_CONTROL!$A$5:$M$4235,12,0),"")</f>
        <v>0</v>
      </c>
      <c r="M129" s="121">
        <f>IFERROR(VLOOKUP(B129,BD_CONTROL!$A$5:$M$4235,13,0),"")</f>
        <v>0</v>
      </c>
    </row>
    <row r="130" spans="1:13" ht="15" customHeight="1">
      <c r="A130" s="39">
        <v>125</v>
      </c>
      <c r="B130" s="39" t="s">
        <v>3439</v>
      </c>
      <c r="C130" s="40" t="s">
        <v>3440</v>
      </c>
      <c r="D130" s="39" t="s">
        <v>3370</v>
      </c>
      <c r="E130" s="40" t="s">
        <v>3384</v>
      </c>
      <c r="F130" s="40" t="s">
        <v>3441</v>
      </c>
      <c r="G130" s="39" t="s">
        <v>102</v>
      </c>
      <c r="H130" s="40" t="s">
        <v>1110</v>
      </c>
      <c r="I130" s="40" t="s">
        <v>104</v>
      </c>
      <c r="J130" s="50"/>
      <c r="K130" s="116">
        <f>IFERROR(VLOOKUP(B130,BD_CONTROL!$A$5:$M$4235,11,0),"")</f>
        <v>0</v>
      </c>
      <c r="L130" s="117">
        <f>IFERROR(VLOOKUP(B130,BD_CONTROL!$A$5:$M$4235,12,0),"")</f>
        <v>0</v>
      </c>
      <c r="M130" s="118">
        <f>IFERROR(VLOOKUP(B130,BD_CONTROL!$A$5:$M$4235,13,0),"")</f>
        <v>0</v>
      </c>
    </row>
    <row r="131" spans="1:13" ht="15" customHeight="1">
      <c r="A131" s="42">
        <v>126</v>
      </c>
      <c r="B131" s="42" t="s">
        <v>3442</v>
      </c>
      <c r="C131" s="43" t="s">
        <v>3443</v>
      </c>
      <c r="D131" s="42" t="s">
        <v>3370</v>
      </c>
      <c r="E131" s="43" t="s">
        <v>3444</v>
      </c>
      <c r="F131" s="43" t="s">
        <v>3445</v>
      </c>
      <c r="G131" s="42" t="s">
        <v>102</v>
      </c>
      <c r="H131" s="43" t="s">
        <v>1110</v>
      </c>
      <c r="I131" s="43" t="s">
        <v>104</v>
      </c>
      <c r="J131" s="55"/>
      <c r="K131" s="119">
        <f>IFERROR(VLOOKUP(B131,BD_CONTROL!$A$5:$M$4235,11,0),"")</f>
        <v>0</v>
      </c>
      <c r="L131" s="120">
        <f>IFERROR(VLOOKUP(B131,BD_CONTROL!$A$5:$M$4235,12,0),"")</f>
        <v>0</v>
      </c>
      <c r="M131" s="121">
        <f>IFERROR(VLOOKUP(B131,BD_CONTROL!$A$5:$M$4235,13,0),"")</f>
        <v>0</v>
      </c>
    </row>
    <row r="132" spans="1:13" ht="15" customHeight="1">
      <c r="A132" s="39">
        <v>127</v>
      </c>
      <c r="B132" s="39" t="s">
        <v>3453</v>
      </c>
      <c r="C132" s="40" t="s">
        <v>3454</v>
      </c>
      <c r="D132" s="39" t="s">
        <v>3370</v>
      </c>
      <c r="E132" s="40" t="s">
        <v>3455</v>
      </c>
      <c r="F132" s="40" t="s">
        <v>3456</v>
      </c>
      <c r="G132" s="39" t="s">
        <v>102</v>
      </c>
      <c r="H132" s="40" t="s">
        <v>1110</v>
      </c>
      <c r="I132" s="40" t="s">
        <v>104</v>
      </c>
      <c r="J132" s="50"/>
      <c r="K132" s="116">
        <f>IFERROR(VLOOKUP(B132,BD_CONTROL!$A$5:$M$4235,11,0),"")</f>
        <v>0</v>
      </c>
      <c r="L132" s="117">
        <f>IFERROR(VLOOKUP(B132,BD_CONTROL!$A$5:$M$4235,12,0),"")</f>
        <v>0</v>
      </c>
      <c r="M132" s="118">
        <f>IFERROR(VLOOKUP(B132,BD_CONTROL!$A$5:$M$4235,13,0),"")</f>
        <v>0</v>
      </c>
    </row>
    <row r="133" spans="1:13" ht="15" customHeight="1">
      <c r="A133" s="42">
        <v>128</v>
      </c>
      <c r="B133" s="42" t="s">
        <v>3457</v>
      </c>
      <c r="C133" s="43" t="s">
        <v>1295</v>
      </c>
      <c r="D133" s="42" t="s">
        <v>3370</v>
      </c>
      <c r="E133" s="43" t="s">
        <v>3375</v>
      </c>
      <c r="F133" s="43" t="s">
        <v>3458</v>
      </c>
      <c r="G133" s="42" t="s">
        <v>102</v>
      </c>
      <c r="H133" s="43" t="s">
        <v>1110</v>
      </c>
      <c r="I133" s="43" t="s">
        <v>104</v>
      </c>
      <c r="J133" s="55"/>
      <c r="K133" s="119">
        <f>IFERROR(VLOOKUP(B133,BD_CONTROL!$A$5:$M$4235,11,0),"")</f>
        <v>0</v>
      </c>
      <c r="L133" s="120">
        <f>IFERROR(VLOOKUP(B133,BD_CONTROL!$A$5:$M$4235,12,0),"")</f>
        <v>0</v>
      </c>
      <c r="M133" s="121">
        <f>IFERROR(VLOOKUP(B133,BD_CONTROL!$A$5:$M$4235,13,0),"")</f>
        <v>0</v>
      </c>
    </row>
    <row r="134" spans="1:13" ht="15" customHeight="1">
      <c r="A134" s="39">
        <v>129</v>
      </c>
      <c r="B134" s="39" t="s">
        <v>3459</v>
      </c>
      <c r="C134" s="40" t="s">
        <v>348</v>
      </c>
      <c r="D134" s="39" t="s">
        <v>3370</v>
      </c>
      <c r="E134" s="40" t="s">
        <v>3460</v>
      </c>
      <c r="F134" s="40" t="s">
        <v>3461</v>
      </c>
      <c r="G134" s="39" t="s">
        <v>109</v>
      </c>
      <c r="H134" s="40" t="s">
        <v>1110</v>
      </c>
      <c r="I134" s="40" t="s">
        <v>104</v>
      </c>
      <c r="J134" s="50"/>
      <c r="K134" s="116">
        <f>IFERROR(VLOOKUP(B134,BD_CONTROL!$A$5:$M$4235,11,0),"")</f>
        <v>0</v>
      </c>
      <c r="L134" s="117">
        <f>IFERROR(VLOOKUP(B134,BD_CONTROL!$A$5:$M$4235,12,0),"")</f>
        <v>0</v>
      </c>
      <c r="M134" s="118">
        <f>IFERROR(VLOOKUP(B134,BD_CONTROL!$A$5:$M$4235,13,0),"")</f>
        <v>0</v>
      </c>
    </row>
    <row r="135" spans="1:13" ht="15" customHeight="1">
      <c r="A135" s="42">
        <v>130</v>
      </c>
      <c r="B135" s="42" t="s">
        <v>3462</v>
      </c>
      <c r="C135" s="43" t="s">
        <v>725</v>
      </c>
      <c r="D135" s="42" t="s">
        <v>3370</v>
      </c>
      <c r="E135" s="43" t="s">
        <v>3460</v>
      </c>
      <c r="F135" s="43" t="s">
        <v>3463</v>
      </c>
      <c r="G135" s="42" t="s">
        <v>109</v>
      </c>
      <c r="H135" s="43" t="s">
        <v>1110</v>
      </c>
      <c r="I135" s="43" t="s">
        <v>104</v>
      </c>
      <c r="J135" s="55"/>
      <c r="K135" s="119">
        <f>IFERROR(VLOOKUP(B135,BD_CONTROL!$A$5:$M$4235,11,0),"")</f>
        <v>0</v>
      </c>
      <c r="L135" s="120">
        <f>IFERROR(VLOOKUP(B135,BD_CONTROL!$A$5:$M$4235,12,0),"")</f>
        <v>0</v>
      </c>
      <c r="M135" s="121">
        <f>IFERROR(VLOOKUP(B135,BD_CONTROL!$A$5:$M$4235,13,0),"")</f>
        <v>0</v>
      </c>
    </row>
    <row r="136" spans="1:13" ht="15" customHeight="1">
      <c r="A136" s="39">
        <v>131</v>
      </c>
      <c r="B136" s="39" t="s">
        <v>3467</v>
      </c>
      <c r="C136" s="40" t="s">
        <v>3468</v>
      </c>
      <c r="D136" s="39" t="s">
        <v>3370</v>
      </c>
      <c r="E136" s="40" t="s">
        <v>3379</v>
      </c>
      <c r="F136" s="40" t="s">
        <v>3379</v>
      </c>
      <c r="G136" s="39" t="s">
        <v>102</v>
      </c>
      <c r="H136" s="40" t="s">
        <v>1110</v>
      </c>
      <c r="I136" s="40" t="s">
        <v>104</v>
      </c>
      <c r="J136" s="50"/>
      <c r="K136" s="116">
        <f>IFERROR(VLOOKUP(B136,BD_CONTROL!$A$5:$M$4235,11,0),"")</f>
        <v>0</v>
      </c>
      <c r="L136" s="117">
        <f>IFERROR(VLOOKUP(B136,BD_CONTROL!$A$5:$M$4235,12,0),"")</f>
        <v>0</v>
      </c>
      <c r="M136" s="118">
        <f>IFERROR(VLOOKUP(B136,BD_CONTROL!$A$5:$M$4235,13,0),"")</f>
        <v>0</v>
      </c>
    </row>
    <row r="137" spans="1:13" ht="15" customHeight="1">
      <c r="A137" s="42">
        <v>132</v>
      </c>
      <c r="B137" s="42" t="s">
        <v>3469</v>
      </c>
      <c r="C137" s="43" t="s">
        <v>3470</v>
      </c>
      <c r="D137" s="42" t="s">
        <v>3370</v>
      </c>
      <c r="E137" s="43" t="s">
        <v>3471</v>
      </c>
      <c r="F137" s="43" t="s">
        <v>3472</v>
      </c>
      <c r="G137" s="42" t="s">
        <v>109</v>
      </c>
      <c r="H137" s="43" t="s">
        <v>1110</v>
      </c>
      <c r="I137" s="43" t="s">
        <v>104</v>
      </c>
      <c r="J137" s="55"/>
      <c r="K137" s="119" t="str">
        <f>IFERROR(VLOOKUP(B137,BD_CONTROL!$A$5:$M$4235,11,0),"")</f>
        <v>Instalado - Operando</v>
      </c>
      <c r="L137" s="120">
        <f>IFERROR(VLOOKUP(B137,BD_CONTROL!$A$5:$M$4235,12,0),"")</f>
        <v>46149</v>
      </c>
      <c r="M137" s="121" t="str">
        <f>IFERROR(VLOOKUP(B137,BD_CONTROL!$A$5:$M$4235,13,0),"")</f>
        <v>Este equipo no se encuentra cargado en la Aplicación</v>
      </c>
    </row>
    <row r="138" spans="1:13" ht="15" customHeight="1">
      <c r="A138" s="39">
        <v>133</v>
      </c>
      <c r="B138" s="39" t="s">
        <v>3474</v>
      </c>
      <c r="C138" s="40" t="s">
        <v>3475</v>
      </c>
      <c r="D138" s="39" t="s">
        <v>3370</v>
      </c>
      <c r="E138" s="40" t="s">
        <v>3375</v>
      </c>
      <c r="F138" s="40" t="s">
        <v>3376</v>
      </c>
      <c r="G138" s="39" t="s">
        <v>102</v>
      </c>
      <c r="H138" s="40" t="s">
        <v>1184</v>
      </c>
      <c r="I138" s="40" t="s">
        <v>104</v>
      </c>
      <c r="J138" s="50"/>
      <c r="K138" s="116">
        <f>IFERROR(VLOOKUP(B138,BD_CONTROL!$A$5:$M$4235,11,0),"")</f>
        <v>0</v>
      </c>
      <c r="L138" s="117">
        <f>IFERROR(VLOOKUP(B138,BD_CONTROL!$A$5:$M$4235,12,0),"")</f>
        <v>0</v>
      </c>
      <c r="M138" s="118">
        <f>IFERROR(VLOOKUP(B138,BD_CONTROL!$A$5:$M$4235,13,0),"")</f>
        <v>0</v>
      </c>
    </row>
    <row r="139" spans="1:13" ht="15" customHeight="1">
      <c r="A139" s="42">
        <v>134</v>
      </c>
      <c r="B139" s="42" t="s">
        <v>3476</v>
      </c>
      <c r="C139" s="43" t="s">
        <v>3477</v>
      </c>
      <c r="D139" s="42" t="s">
        <v>3370</v>
      </c>
      <c r="E139" s="43" t="s">
        <v>3384</v>
      </c>
      <c r="F139" s="43" t="s">
        <v>3478</v>
      </c>
      <c r="G139" s="42" t="s">
        <v>102</v>
      </c>
      <c r="H139" s="43" t="s">
        <v>1110</v>
      </c>
      <c r="I139" s="43" t="s">
        <v>104</v>
      </c>
      <c r="J139" s="55"/>
      <c r="K139" s="119" t="str">
        <f>IFERROR(VLOOKUP(B139,BD_CONTROL!$A$5:$M$4235,11,0),"")</f>
        <v>Instalado - Operando</v>
      </c>
      <c r="L139" s="120">
        <f>IFERROR(VLOOKUP(B139,BD_CONTROL!$A$5:$M$4235,12,0),"")</f>
        <v>46148</v>
      </c>
      <c r="M139" s="121" t="str">
        <f>IFERROR(VLOOKUP(B139,BD_CONTROL!$A$5:$M$4235,13,0),"")</f>
        <v>Este equipo no se encuentra cargado en la aplicación</v>
      </c>
    </row>
    <row r="140" spans="1:13" ht="15" customHeight="1">
      <c r="A140" s="39">
        <v>135</v>
      </c>
      <c r="B140" s="39" t="s">
        <v>3479</v>
      </c>
      <c r="C140" s="40" t="s">
        <v>3480</v>
      </c>
      <c r="D140" s="39" t="s">
        <v>3370</v>
      </c>
      <c r="E140" s="40" t="s">
        <v>3481</v>
      </c>
      <c r="F140" s="40" t="s">
        <v>3482</v>
      </c>
      <c r="G140" s="39" t="s">
        <v>102</v>
      </c>
      <c r="H140" s="40" t="s">
        <v>1110</v>
      </c>
      <c r="I140" s="40" t="s">
        <v>104</v>
      </c>
      <c r="J140" s="50"/>
      <c r="K140" s="116">
        <f>IFERROR(VLOOKUP(B140,BD_CONTROL!$A$5:$M$4235,11,0),"")</f>
        <v>0</v>
      </c>
      <c r="L140" s="117">
        <f>IFERROR(VLOOKUP(B140,BD_CONTROL!$A$5:$M$4235,12,0),"")</f>
        <v>0</v>
      </c>
      <c r="M140" s="118">
        <f>IFERROR(VLOOKUP(B140,BD_CONTROL!$A$5:$M$4235,13,0),"")</f>
        <v>0</v>
      </c>
    </row>
    <row r="141" spans="1:13" ht="15" customHeight="1">
      <c r="A141" s="42">
        <v>136</v>
      </c>
      <c r="B141" s="42" t="s">
        <v>3483</v>
      </c>
      <c r="C141" s="43" t="s">
        <v>3381</v>
      </c>
      <c r="D141" s="42" t="s">
        <v>3370</v>
      </c>
      <c r="E141" s="43" t="s">
        <v>3416</v>
      </c>
      <c r="F141" s="43" t="s">
        <v>3484</v>
      </c>
      <c r="G141" s="42" t="s">
        <v>109</v>
      </c>
      <c r="H141" s="43" t="s">
        <v>1110</v>
      </c>
      <c r="I141" s="43" t="s">
        <v>104</v>
      </c>
      <c r="J141" s="55"/>
      <c r="K141" s="119" t="str">
        <f>IFERROR(VLOOKUP(B141,BD_CONTROL!$A$5:$M$4235,11,0),"")</f>
        <v>Instalado - Operando</v>
      </c>
      <c r="L141" s="120">
        <f>IFERROR(VLOOKUP(B141,BD_CONTROL!$A$5:$M$4235,12,0),"")</f>
        <v>46141</v>
      </c>
      <c r="M141" s="121">
        <f>IFERROR(VLOOKUP(B141,BD_CONTROL!$A$5:$M$4235,13,0),"")</f>
        <v>0</v>
      </c>
    </row>
    <row r="142" spans="1:13" ht="15" customHeight="1">
      <c r="A142" s="39">
        <v>137</v>
      </c>
      <c r="B142" s="39" t="s">
        <v>3485</v>
      </c>
      <c r="C142" s="40" t="s">
        <v>1086</v>
      </c>
      <c r="D142" s="39" t="s">
        <v>3370</v>
      </c>
      <c r="E142" s="40" t="s">
        <v>3371</v>
      </c>
      <c r="F142" s="40" t="s">
        <v>3486</v>
      </c>
      <c r="G142" s="39" t="s">
        <v>109</v>
      </c>
      <c r="H142" s="40" t="s">
        <v>1110</v>
      </c>
      <c r="I142" s="40" t="s">
        <v>104</v>
      </c>
      <c r="J142" s="50"/>
      <c r="K142" s="116" t="str">
        <f>IFERROR(VLOOKUP(B142,BD_CONTROL!$A$5:$M$4235,11,0),"")</f>
        <v>Instalado - Operando</v>
      </c>
      <c r="L142" s="117">
        <f>IFERROR(VLOOKUP(B142,BD_CONTROL!$A$5:$M$4235,12,0),"")</f>
        <v>46140</v>
      </c>
      <c r="M142" s="118">
        <f>IFERROR(VLOOKUP(B142,BD_CONTROL!$A$5:$M$4235,13,0),"")</f>
        <v>0</v>
      </c>
    </row>
    <row r="143" spans="1:13" ht="15" customHeight="1">
      <c r="A143" s="42">
        <v>138</v>
      </c>
      <c r="B143" s="42" t="s">
        <v>3487</v>
      </c>
      <c r="C143" s="43" t="s">
        <v>3488</v>
      </c>
      <c r="D143" s="42" t="s">
        <v>3370</v>
      </c>
      <c r="E143" s="43" t="s">
        <v>3416</v>
      </c>
      <c r="F143" s="43" t="s">
        <v>3416</v>
      </c>
      <c r="G143" s="42" t="s">
        <v>102</v>
      </c>
      <c r="H143" s="43" t="s">
        <v>1110</v>
      </c>
      <c r="I143" s="43" t="s">
        <v>104</v>
      </c>
      <c r="J143" s="55"/>
      <c r="K143" s="119" t="str">
        <f>IFERROR(VLOOKUP(B143,BD_CONTROL!$A$5:$M$4235,11,0),"")</f>
        <v>Instalado - Operando</v>
      </c>
      <c r="L143" s="120">
        <f>IFERROR(VLOOKUP(B143,BD_CONTROL!$A$5:$M$4235,12,0),"")</f>
        <v>46141</v>
      </c>
      <c r="M143" s="121">
        <f>IFERROR(VLOOKUP(B143,BD_CONTROL!$A$5:$M$4235,13,0),"")</f>
        <v>0</v>
      </c>
    </row>
    <row r="144" spans="1:13" ht="15" customHeight="1">
      <c r="A144" s="39">
        <v>139</v>
      </c>
      <c r="B144" s="39" t="s">
        <v>3492</v>
      </c>
      <c r="C144" s="40" t="s">
        <v>725</v>
      </c>
      <c r="D144" s="39" t="s">
        <v>3370</v>
      </c>
      <c r="E144" s="40" t="s">
        <v>3493</v>
      </c>
      <c r="F144" s="40" t="s">
        <v>3494</v>
      </c>
      <c r="G144" s="39" t="s">
        <v>102</v>
      </c>
      <c r="H144" s="40" t="s">
        <v>1110</v>
      </c>
      <c r="I144" s="40" t="s">
        <v>104</v>
      </c>
      <c r="J144" s="50"/>
      <c r="K144" s="116">
        <f>IFERROR(VLOOKUP(B144,BD_CONTROL!$A$5:$M$4235,11,0),"")</f>
        <v>0</v>
      </c>
      <c r="L144" s="117">
        <f>IFERROR(VLOOKUP(B144,BD_CONTROL!$A$5:$M$4235,12,0),"")</f>
        <v>0</v>
      </c>
      <c r="M144" s="118">
        <f>IFERROR(VLOOKUP(B144,BD_CONTROL!$A$5:$M$4235,13,0),"")</f>
        <v>0</v>
      </c>
    </row>
    <row r="145" spans="1:13" ht="15" customHeight="1">
      <c r="A145" s="42">
        <v>140</v>
      </c>
      <c r="B145" s="42" t="s">
        <v>3495</v>
      </c>
      <c r="C145" s="43" t="s">
        <v>2256</v>
      </c>
      <c r="D145" s="42" t="s">
        <v>3370</v>
      </c>
      <c r="E145" s="43" t="s">
        <v>3371</v>
      </c>
      <c r="F145" s="43" t="s">
        <v>3496</v>
      </c>
      <c r="G145" s="42" t="s">
        <v>109</v>
      </c>
      <c r="H145" s="43" t="s">
        <v>1110</v>
      </c>
      <c r="I145" s="43" t="s">
        <v>104</v>
      </c>
      <c r="J145" s="55"/>
      <c r="K145" s="119" t="str">
        <f>IFERROR(VLOOKUP(B145,BD_CONTROL!$A$5:$M$4235,11,0),"")</f>
        <v>Instalado - Operando</v>
      </c>
      <c r="L145" s="120">
        <f>IFERROR(VLOOKUP(B145,BD_CONTROL!$A$5:$M$4235,12,0),"")</f>
        <v>46140</v>
      </c>
      <c r="M145" s="121">
        <f>IFERROR(VLOOKUP(B145,BD_CONTROL!$A$5:$M$4235,13,0),"")</f>
        <v>0</v>
      </c>
    </row>
    <row r="146" spans="1:13" ht="15" customHeight="1">
      <c r="A146" s="39">
        <v>141</v>
      </c>
      <c r="B146" s="39" t="s">
        <v>3497</v>
      </c>
      <c r="C146" s="40" t="s">
        <v>1295</v>
      </c>
      <c r="D146" s="39" t="s">
        <v>3370</v>
      </c>
      <c r="E146" s="40" t="s">
        <v>3428</v>
      </c>
      <c r="F146" s="40" t="s">
        <v>3498</v>
      </c>
      <c r="G146" s="39" t="s">
        <v>102</v>
      </c>
      <c r="H146" s="40" t="s">
        <v>1184</v>
      </c>
      <c r="I146" s="40" t="s">
        <v>104</v>
      </c>
      <c r="J146" s="50"/>
      <c r="K146" s="116">
        <f>IFERROR(VLOOKUP(B146,BD_CONTROL!$A$5:$M$4235,11,0),"")</f>
        <v>0</v>
      </c>
      <c r="L146" s="117">
        <f>IFERROR(VLOOKUP(B146,BD_CONTROL!$A$5:$M$4235,12,0),"")</f>
        <v>0</v>
      </c>
      <c r="M146" s="118">
        <f>IFERROR(VLOOKUP(B146,BD_CONTROL!$A$5:$M$4235,13,0),"")</f>
        <v>0</v>
      </c>
    </row>
    <row r="147" spans="1:13" ht="15" customHeight="1">
      <c r="A147" s="42">
        <v>142</v>
      </c>
      <c r="B147" s="42" t="s">
        <v>3499</v>
      </c>
      <c r="C147" s="43" t="s">
        <v>3500</v>
      </c>
      <c r="D147" s="42" t="s">
        <v>3370</v>
      </c>
      <c r="E147" s="43" t="s">
        <v>3385</v>
      </c>
      <c r="F147" s="43" t="s">
        <v>3424</v>
      </c>
      <c r="G147" s="42" t="s">
        <v>102</v>
      </c>
      <c r="H147" s="43" t="s">
        <v>1184</v>
      </c>
      <c r="I147" s="43" t="s">
        <v>104</v>
      </c>
      <c r="J147" s="55"/>
      <c r="K147" s="119">
        <f>IFERROR(VLOOKUP(B147,BD_CONTROL!$A$5:$M$4235,11,0),"")</f>
        <v>0</v>
      </c>
      <c r="L147" s="120">
        <f>IFERROR(VLOOKUP(B147,BD_CONTROL!$A$5:$M$4235,12,0),"")</f>
        <v>0</v>
      </c>
      <c r="M147" s="121">
        <f>IFERROR(VLOOKUP(B147,BD_CONTROL!$A$5:$M$4235,13,0),"")</f>
        <v>0</v>
      </c>
    </row>
    <row r="148" spans="1:13" ht="15" customHeight="1">
      <c r="A148" s="39">
        <v>143</v>
      </c>
      <c r="B148" s="39" t="s">
        <v>3501</v>
      </c>
      <c r="C148" s="40" t="s">
        <v>437</v>
      </c>
      <c r="D148" s="39" t="s">
        <v>3370</v>
      </c>
      <c r="E148" s="40" t="s">
        <v>3375</v>
      </c>
      <c r="F148" s="40" t="s">
        <v>3502</v>
      </c>
      <c r="G148" s="39" t="s">
        <v>102</v>
      </c>
      <c r="H148" s="40" t="s">
        <v>1184</v>
      </c>
      <c r="I148" s="40" t="s">
        <v>104</v>
      </c>
      <c r="J148" s="50"/>
      <c r="K148" s="116">
        <f>IFERROR(VLOOKUP(B148,BD_CONTROL!$A$5:$M$4235,11,0),"")</f>
        <v>0</v>
      </c>
      <c r="L148" s="117">
        <f>IFERROR(VLOOKUP(B148,BD_CONTROL!$A$5:$M$4235,12,0),"")</f>
        <v>0</v>
      </c>
      <c r="M148" s="118">
        <f>IFERROR(VLOOKUP(B148,BD_CONTROL!$A$5:$M$4235,13,0),"")</f>
        <v>0</v>
      </c>
    </row>
    <row r="149" spans="1:13" ht="15" customHeight="1">
      <c r="A149" s="42">
        <v>144</v>
      </c>
      <c r="B149" s="42" t="s">
        <v>3513</v>
      </c>
      <c r="C149" s="43" t="s">
        <v>3514</v>
      </c>
      <c r="D149" s="42" t="s">
        <v>3370</v>
      </c>
      <c r="E149" s="43" t="s">
        <v>3382</v>
      </c>
      <c r="F149" s="43" t="s">
        <v>3515</v>
      </c>
      <c r="G149" s="42" t="s">
        <v>102</v>
      </c>
      <c r="H149" s="43" t="s">
        <v>1184</v>
      </c>
      <c r="I149" s="43" t="s">
        <v>104</v>
      </c>
      <c r="J149" s="55"/>
      <c r="K149" s="119">
        <f>IFERROR(VLOOKUP(B149,BD_CONTROL!$A$5:$M$4235,11,0),"")</f>
        <v>0</v>
      </c>
      <c r="L149" s="120">
        <f>IFERROR(VLOOKUP(B149,BD_CONTROL!$A$5:$M$4235,12,0),"")</f>
        <v>0</v>
      </c>
      <c r="M149" s="121">
        <f>IFERROR(VLOOKUP(B149,BD_CONTROL!$A$5:$M$4235,13,0),"")</f>
        <v>0</v>
      </c>
    </row>
    <row r="150" spans="1:13" ht="15" customHeight="1">
      <c r="A150" s="39">
        <v>145</v>
      </c>
      <c r="B150" s="39" t="s">
        <v>3516</v>
      </c>
      <c r="C150" s="40" t="s">
        <v>3381</v>
      </c>
      <c r="D150" s="39" t="s">
        <v>3370</v>
      </c>
      <c r="E150" s="40" t="s">
        <v>3517</v>
      </c>
      <c r="F150" s="40" t="s">
        <v>3518</v>
      </c>
      <c r="G150" s="39" t="s">
        <v>102</v>
      </c>
      <c r="H150" s="40" t="s">
        <v>1110</v>
      </c>
      <c r="I150" s="40" t="s">
        <v>104</v>
      </c>
      <c r="J150" s="50"/>
      <c r="K150" s="116" t="str">
        <f>IFERROR(VLOOKUP(B150,BD_CONTROL!$A$5:$M$4235,11,0),"")</f>
        <v>Instalado - Operando</v>
      </c>
      <c r="L150" s="117">
        <f>IFERROR(VLOOKUP(B150,BD_CONTROL!$A$5:$M$4235,12,0),"")</f>
        <v>46141</v>
      </c>
      <c r="M150" s="118">
        <f>IFERROR(VLOOKUP(B150,BD_CONTROL!$A$5:$M$4235,13,0),"")</f>
        <v>0</v>
      </c>
    </row>
    <row r="151" spans="1:13" ht="15" customHeight="1">
      <c r="A151" s="42">
        <v>146</v>
      </c>
      <c r="B151" s="42" t="s">
        <v>3519</v>
      </c>
      <c r="C151" s="43" t="s">
        <v>1295</v>
      </c>
      <c r="D151" s="42" t="s">
        <v>3370</v>
      </c>
      <c r="E151" s="43" t="s">
        <v>3517</v>
      </c>
      <c r="F151" s="43" t="s">
        <v>3520</v>
      </c>
      <c r="G151" s="42" t="s">
        <v>102</v>
      </c>
      <c r="H151" s="43" t="s">
        <v>1110</v>
      </c>
      <c r="I151" s="43" t="s">
        <v>104</v>
      </c>
      <c r="J151" s="55"/>
      <c r="K151" s="119" t="str">
        <f>IFERROR(VLOOKUP(B151,BD_CONTROL!$A$5:$M$4235,11,0),"")</f>
        <v>Instalado - Operando</v>
      </c>
      <c r="L151" s="120">
        <f>IFERROR(VLOOKUP(B151,BD_CONTROL!$A$5:$M$4235,12,0),"")</f>
        <v>46141</v>
      </c>
      <c r="M151" s="121">
        <f>IFERROR(VLOOKUP(B151,BD_CONTROL!$A$5:$M$4235,13,0),"")</f>
        <v>0</v>
      </c>
    </row>
    <row r="152" spans="1:13" ht="15" customHeight="1">
      <c r="A152" s="39">
        <v>147</v>
      </c>
      <c r="B152" s="39" t="s">
        <v>3521</v>
      </c>
      <c r="C152" s="40" t="s">
        <v>3522</v>
      </c>
      <c r="D152" s="39" t="s">
        <v>3370</v>
      </c>
      <c r="E152" s="40" t="s">
        <v>3384</v>
      </c>
      <c r="F152" s="40" t="s">
        <v>3384</v>
      </c>
      <c r="G152" s="39" t="s">
        <v>102</v>
      </c>
      <c r="H152" s="40" t="s">
        <v>1110</v>
      </c>
      <c r="I152" s="40" t="s">
        <v>104</v>
      </c>
      <c r="J152" s="50"/>
      <c r="K152" s="116" t="str">
        <f>IFERROR(VLOOKUP(B152,BD_CONTROL!$A$5:$M$4235,11,0),"")</f>
        <v>Instalado - Operando</v>
      </c>
      <c r="L152" s="117">
        <f>IFERROR(VLOOKUP(B152,BD_CONTROL!$A$5:$M$4235,12,0),"")</f>
        <v>46148</v>
      </c>
      <c r="M152" s="118" t="str">
        <f>IFERROR(VLOOKUP(B152,BD_CONTROL!$A$5:$M$4235,13,0),"")</f>
        <v>Este equipo no se encuentra cargado en la aplicación</v>
      </c>
    </row>
    <row r="153" spans="1:13" ht="15" customHeight="1">
      <c r="A153" s="42">
        <v>148</v>
      </c>
      <c r="B153" s="42" t="s">
        <v>3523</v>
      </c>
      <c r="C153" s="43" t="s">
        <v>3524</v>
      </c>
      <c r="D153" s="42" t="s">
        <v>3370</v>
      </c>
      <c r="E153" s="43" t="s">
        <v>3385</v>
      </c>
      <c r="F153" s="43" t="s">
        <v>3525</v>
      </c>
      <c r="G153" s="42" t="s">
        <v>102</v>
      </c>
      <c r="H153" s="43" t="s">
        <v>1184</v>
      </c>
      <c r="I153" s="43" t="s">
        <v>104</v>
      </c>
      <c r="J153" s="55"/>
      <c r="K153" s="119" t="str">
        <f>IFERROR(VLOOKUP(B153,BD_CONTROL!$A$5:$M$4235,11,0),"")</f>
        <v>Instalado - Operando</v>
      </c>
      <c r="L153" s="120">
        <f>IFERROR(VLOOKUP(B153,BD_CONTROL!$A$5:$M$4235,12,0),"")</f>
        <v>46148</v>
      </c>
      <c r="M153" s="121">
        <f>IFERROR(VLOOKUP(B153,BD_CONTROL!$A$5:$M$4235,13,0),"")</f>
        <v>0</v>
      </c>
    </row>
    <row r="154" spans="1:13" ht="15" customHeight="1">
      <c r="A154" s="39">
        <v>149</v>
      </c>
      <c r="B154" s="39" t="s">
        <v>3529</v>
      </c>
      <c r="C154" s="40" t="s">
        <v>3381</v>
      </c>
      <c r="D154" s="39" t="s">
        <v>3370</v>
      </c>
      <c r="E154" s="40" t="s">
        <v>3460</v>
      </c>
      <c r="F154" s="40" t="s">
        <v>3530</v>
      </c>
      <c r="G154" s="39" t="s">
        <v>102</v>
      </c>
      <c r="H154" s="40" t="s">
        <v>1110</v>
      </c>
      <c r="I154" s="40" t="s">
        <v>104</v>
      </c>
      <c r="J154" s="50"/>
      <c r="K154" s="116">
        <f>IFERROR(VLOOKUP(B154,BD_CONTROL!$A$5:$M$4235,11,0),"")</f>
        <v>0</v>
      </c>
      <c r="L154" s="117">
        <f>IFERROR(VLOOKUP(B154,BD_CONTROL!$A$5:$M$4235,12,0),"")</f>
        <v>0</v>
      </c>
      <c r="M154" s="118">
        <f>IFERROR(VLOOKUP(B154,BD_CONTROL!$A$5:$M$4235,13,0),"")</f>
        <v>0</v>
      </c>
    </row>
    <row r="155" spans="1:13" ht="15" customHeight="1">
      <c r="A155" s="42">
        <v>150</v>
      </c>
      <c r="B155" s="42" t="s">
        <v>3533</v>
      </c>
      <c r="C155" s="43" t="s">
        <v>1295</v>
      </c>
      <c r="D155" s="42" t="s">
        <v>3370</v>
      </c>
      <c r="E155" s="43" t="s">
        <v>3375</v>
      </c>
      <c r="F155" s="43" t="s">
        <v>3534</v>
      </c>
      <c r="G155" s="42" t="s">
        <v>102</v>
      </c>
      <c r="H155" s="43" t="s">
        <v>1184</v>
      </c>
      <c r="I155" s="43" t="s">
        <v>104</v>
      </c>
      <c r="J155" s="55"/>
      <c r="K155" s="119">
        <f>IFERROR(VLOOKUP(B155,BD_CONTROL!$A$5:$M$4235,11,0),"")</f>
        <v>0</v>
      </c>
      <c r="L155" s="120">
        <f>IFERROR(VLOOKUP(B155,BD_CONTROL!$A$5:$M$4235,12,0),"")</f>
        <v>0</v>
      </c>
      <c r="M155" s="121">
        <f>IFERROR(VLOOKUP(B155,BD_CONTROL!$A$5:$M$4235,13,0),"")</f>
        <v>0</v>
      </c>
    </row>
    <row r="156" spans="1:13" ht="15" customHeight="1">
      <c r="A156" s="39">
        <v>151</v>
      </c>
      <c r="B156" s="39" t="s">
        <v>3535</v>
      </c>
      <c r="C156" s="40" t="s">
        <v>3437</v>
      </c>
      <c r="D156" s="39" t="s">
        <v>3370</v>
      </c>
      <c r="E156" s="40" t="s">
        <v>3375</v>
      </c>
      <c r="F156" s="40" t="s">
        <v>3536</v>
      </c>
      <c r="G156" s="39" t="s">
        <v>102</v>
      </c>
      <c r="H156" s="40" t="s">
        <v>1184</v>
      </c>
      <c r="I156" s="40" t="s">
        <v>104</v>
      </c>
      <c r="J156" s="50"/>
      <c r="K156" s="116">
        <f>IFERROR(VLOOKUP(B156,BD_CONTROL!$A$5:$M$4235,11,0),"")</f>
        <v>0</v>
      </c>
      <c r="L156" s="117">
        <f>IFERROR(VLOOKUP(B156,BD_CONTROL!$A$5:$M$4235,12,0),"")</f>
        <v>0</v>
      </c>
      <c r="M156" s="118">
        <f>IFERROR(VLOOKUP(B156,BD_CONTROL!$A$5:$M$4235,13,0),"")</f>
        <v>0</v>
      </c>
    </row>
    <row r="157" spans="1:13" ht="15" customHeight="1">
      <c r="A157" s="42">
        <v>152</v>
      </c>
      <c r="B157" s="42" t="s">
        <v>3539</v>
      </c>
      <c r="C157" s="43" t="s">
        <v>3540</v>
      </c>
      <c r="D157" s="42" t="s">
        <v>3370</v>
      </c>
      <c r="E157" s="43" t="s">
        <v>1244</v>
      </c>
      <c r="F157" s="43" t="s">
        <v>3541</v>
      </c>
      <c r="G157" s="42" t="s">
        <v>102</v>
      </c>
      <c r="H157" s="43" t="s">
        <v>1184</v>
      </c>
      <c r="I157" s="43" t="s">
        <v>104</v>
      </c>
      <c r="J157" s="55"/>
      <c r="K157" s="119">
        <f>IFERROR(VLOOKUP(B157,BD_CONTROL!$A$5:$M$4235,11,0),"")</f>
        <v>0</v>
      </c>
      <c r="L157" s="120">
        <f>IFERROR(VLOOKUP(B157,BD_CONTROL!$A$5:$M$4235,12,0),"")</f>
        <v>0</v>
      </c>
      <c r="M157" s="121">
        <f>IFERROR(VLOOKUP(B157,BD_CONTROL!$A$5:$M$4235,13,0),"")</f>
        <v>0</v>
      </c>
    </row>
    <row r="158" spans="1:13" ht="15" customHeight="1">
      <c r="A158" s="39">
        <v>153</v>
      </c>
      <c r="B158" s="39" t="s">
        <v>3542</v>
      </c>
      <c r="C158" s="40" t="s">
        <v>254</v>
      </c>
      <c r="D158" s="39" t="s">
        <v>3370</v>
      </c>
      <c r="E158" s="40" t="s">
        <v>3384</v>
      </c>
      <c r="F158" s="40" t="s">
        <v>3384</v>
      </c>
      <c r="G158" s="39" t="s">
        <v>102</v>
      </c>
      <c r="H158" s="40" t="s">
        <v>1110</v>
      </c>
      <c r="I158" s="40" t="s">
        <v>104</v>
      </c>
      <c r="J158" s="50"/>
      <c r="K158" s="116" t="str">
        <f>IFERROR(VLOOKUP(B158,BD_CONTROL!$A$5:$M$4235,11,0),"")</f>
        <v>Instalado - Operando</v>
      </c>
      <c r="L158" s="117">
        <f>IFERROR(VLOOKUP(B158,BD_CONTROL!$A$5:$M$4235,12,0),"")</f>
        <v>46148</v>
      </c>
      <c r="M158" s="118" t="str">
        <f>IFERROR(VLOOKUP(B158,BD_CONTROL!$A$5:$M$4235,13,0),"")</f>
        <v>Este equipo no se encuentra cargado en la aplicación</v>
      </c>
    </row>
    <row r="159" spans="1:13" ht="15" customHeight="1">
      <c r="A159" s="42">
        <v>154</v>
      </c>
      <c r="B159" s="42" t="s">
        <v>3543</v>
      </c>
      <c r="C159" s="43" t="s">
        <v>3544</v>
      </c>
      <c r="D159" s="42" t="s">
        <v>3370</v>
      </c>
      <c r="E159" s="43" t="s">
        <v>3375</v>
      </c>
      <c r="F159" s="43" t="s">
        <v>3545</v>
      </c>
      <c r="G159" s="42" t="s">
        <v>102</v>
      </c>
      <c r="H159" s="43" t="s">
        <v>1184</v>
      </c>
      <c r="I159" s="43" t="s">
        <v>104</v>
      </c>
      <c r="J159" s="55"/>
      <c r="K159" s="119">
        <f>IFERROR(VLOOKUP(B159,BD_CONTROL!$A$5:$M$4235,11,0),"")</f>
        <v>0</v>
      </c>
      <c r="L159" s="120">
        <f>IFERROR(VLOOKUP(B159,BD_CONTROL!$A$5:$M$4235,12,0),"")</f>
        <v>0</v>
      </c>
      <c r="M159" s="121">
        <f>IFERROR(VLOOKUP(B159,BD_CONTROL!$A$5:$M$4235,13,0),"")</f>
        <v>0</v>
      </c>
    </row>
    <row r="160" spans="1:13" ht="15" customHeight="1">
      <c r="A160" s="39">
        <v>155</v>
      </c>
      <c r="B160" s="39" t="s">
        <v>3546</v>
      </c>
      <c r="C160" s="40" t="s">
        <v>437</v>
      </c>
      <c r="D160" s="39" t="s">
        <v>3370</v>
      </c>
      <c r="E160" s="40" t="s">
        <v>3547</v>
      </c>
      <c r="F160" s="40" t="s">
        <v>3548</v>
      </c>
      <c r="G160" s="39" t="s">
        <v>102</v>
      </c>
      <c r="H160" s="40" t="s">
        <v>1110</v>
      </c>
      <c r="I160" s="40" t="s">
        <v>104</v>
      </c>
      <c r="J160" s="50"/>
      <c r="K160" s="116" t="str">
        <f>IFERROR(VLOOKUP(B160,BD_CONTROL!$A$5:$M$4235,11,0),"")</f>
        <v>Instalado - Operando</v>
      </c>
      <c r="L160" s="117">
        <f>IFERROR(VLOOKUP(B160,BD_CONTROL!$A$5:$M$4235,12,0),"")</f>
        <v>46142</v>
      </c>
      <c r="M160" s="118">
        <f>IFERROR(VLOOKUP(B160,BD_CONTROL!$A$5:$M$4235,13,0),"")</f>
        <v>0</v>
      </c>
    </row>
    <row r="161" spans="1:13" ht="15" customHeight="1">
      <c r="A161" s="42">
        <v>156</v>
      </c>
      <c r="B161" s="42" t="s">
        <v>3549</v>
      </c>
      <c r="C161" s="43" t="s">
        <v>348</v>
      </c>
      <c r="D161" s="42" t="s">
        <v>3370</v>
      </c>
      <c r="E161" s="43" t="s">
        <v>3385</v>
      </c>
      <c r="F161" s="43" t="s">
        <v>3385</v>
      </c>
      <c r="G161" s="42" t="s">
        <v>102</v>
      </c>
      <c r="H161" s="43" t="s">
        <v>1184</v>
      </c>
      <c r="I161" s="43" t="s">
        <v>104</v>
      </c>
      <c r="J161" s="55"/>
      <c r="K161" s="119" t="str">
        <f>IFERROR(VLOOKUP(B161,BD_CONTROL!$A$5:$M$4235,11,0),"")</f>
        <v>Instalado - Operando</v>
      </c>
      <c r="L161" s="120">
        <f>IFERROR(VLOOKUP(B161,BD_CONTROL!$A$5:$M$4235,12,0),"")</f>
        <v>46149</v>
      </c>
      <c r="M161" s="121">
        <f>IFERROR(VLOOKUP(B161,BD_CONTROL!$A$5:$M$4235,13,0),"")</f>
        <v>0</v>
      </c>
    </row>
    <row r="162" spans="1:13" ht="15" customHeight="1">
      <c r="A162" s="39">
        <v>157</v>
      </c>
      <c r="B162" s="39" t="s">
        <v>3550</v>
      </c>
      <c r="C162" s="40" t="s">
        <v>2726</v>
      </c>
      <c r="D162" s="39" t="s">
        <v>3370</v>
      </c>
      <c r="E162" s="40" t="s">
        <v>3551</v>
      </c>
      <c r="F162" s="40" t="s">
        <v>3552</v>
      </c>
      <c r="G162" s="39" t="s">
        <v>102</v>
      </c>
      <c r="H162" s="40" t="s">
        <v>1184</v>
      </c>
      <c r="I162" s="40" t="s">
        <v>104</v>
      </c>
      <c r="J162" s="50"/>
      <c r="K162" s="116">
        <f>IFERROR(VLOOKUP(B162,BD_CONTROL!$A$5:$M$4235,11,0),"")</f>
        <v>0</v>
      </c>
      <c r="L162" s="117">
        <f>IFERROR(VLOOKUP(B162,BD_CONTROL!$A$5:$M$4235,12,0),"")</f>
        <v>0</v>
      </c>
      <c r="M162" s="118">
        <f>IFERROR(VLOOKUP(B162,BD_CONTROL!$A$5:$M$4235,13,0),"")</f>
        <v>0</v>
      </c>
    </row>
    <row r="163" spans="1:13" ht="15" customHeight="1">
      <c r="A163" s="42">
        <v>158</v>
      </c>
      <c r="B163" s="42" t="s">
        <v>3553</v>
      </c>
      <c r="C163" s="43" t="s">
        <v>3554</v>
      </c>
      <c r="D163" s="42" t="s">
        <v>3370</v>
      </c>
      <c r="E163" s="43" t="s">
        <v>1244</v>
      </c>
      <c r="F163" s="43" t="s">
        <v>3555</v>
      </c>
      <c r="G163" s="42" t="s">
        <v>109</v>
      </c>
      <c r="H163" s="43" t="s">
        <v>1184</v>
      </c>
      <c r="I163" s="43" t="s">
        <v>104</v>
      </c>
      <c r="J163" s="55"/>
      <c r="K163" s="119">
        <f>IFERROR(VLOOKUP(B163,BD_CONTROL!$A$5:$M$4235,11,0),"")</f>
        <v>0</v>
      </c>
      <c r="L163" s="120">
        <f>IFERROR(VLOOKUP(B163,BD_CONTROL!$A$5:$M$4235,12,0),"")</f>
        <v>0</v>
      </c>
      <c r="M163" s="121">
        <f>IFERROR(VLOOKUP(B163,BD_CONTROL!$A$5:$M$4235,13,0),"")</f>
        <v>0</v>
      </c>
    </row>
    <row r="164" spans="1:13" ht="15" customHeight="1">
      <c r="A164" s="39">
        <v>159</v>
      </c>
      <c r="B164" s="39" t="s">
        <v>3556</v>
      </c>
      <c r="C164" s="40" t="s">
        <v>3557</v>
      </c>
      <c r="D164" s="39" t="s">
        <v>3370</v>
      </c>
      <c r="E164" s="40" t="s">
        <v>3558</v>
      </c>
      <c r="F164" s="40" t="s">
        <v>3559</v>
      </c>
      <c r="G164" s="39" t="s">
        <v>109</v>
      </c>
      <c r="H164" s="40" t="s">
        <v>1184</v>
      </c>
      <c r="I164" s="40" t="s">
        <v>104</v>
      </c>
      <c r="J164" s="50"/>
      <c r="K164" s="116">
        <f>IFERROR(VLOOKUP(B164,BD_CONTROL!$A$5:$M$4235,11,0),"")</f>
        <v>0</v>
      </c>
      <c r="L164" s="117">
        <f>IFERROR(VLOOKUP(B164,BD_CONTROL!$A$5:$M$4235,12,0),"")</f>
        <v>0</v>
      </c>
      <c r="M164" s="118">
        <f>IFERROR(VLOOKUP(B164,BD_CONTROL!$A$5:$M$4235,13,0),"")</f>
        <v>0</v>
      </c>
    </row>
    <row r="165" spans="1:13" ht="15" customHeight="1">
      <c r="A165" s="42">
        <v>160</v>
      </c>
      <c r="B165" s="42" t="s">
        <v>3560</v>
      </c>
      <c r="C165" s="43" t="s">
        <v>2571</v>
      </c>
      <c r="D165" s="42" t="s">
        <v>3370</v>
      </c>
      <c r="E165" s="43" t="s">
        <v>3561</v>
      </c>
      <c r="F165" s="43" t="s">
        <v>3562</v>
      </c>
      <c r="G165" s="42" t="s">
        <v>102</v>
      </c>
      <c r="H165" s="43" t="s">
        <v>1110</v>
      </c>
      <c r="I165" s="43" t="s">
        <v>104</v>
      </c>
      <c r="J165" s="55"/>
      <c r="K165" s="119">
        <f>IFERROR(VLOOKUP(B165,BD_CONTROL!$A$5:$M$4235,11,0),"")</f>
        <v>0</v>
      </c>
      <c r="L165" s="120">
        <f>IFERROR(VLOOKUP(B165,BD_CONTROL!$A$5:$M$4235,12,0),"")</f>
        <v>0</v>
      </c>
      <c r="M165" s="121">
        <f>IFERROR(VLOOKUP(B165,BD_CONTROL!$A$5:$M$4235,13,0),"")</f>
        <v>0</v>
      </c>
    </row>
    <row r="166" spans="1:13" ht="15" customHeight="1">
      <c r="A166" s="39">
        <v>161</v>
      </c>
      <c r="B166" s="39" t="s">
        <v>3563</v>
      </c>
      <c r="C166" s="40" t="s">
        <v>3564</v>
      </c>
      <c r="D166" s="39" t="s">
        <v>3370</v>
      </c>
      <c r="E166" s="40" t="s">
        <v>3408</v>
      </c>
      <c r="F166" s="40" t="s">
        <v>3565</v>
      </c>
      <c r="G166" s="39" t="s">
        <v>109</v>
      </c>
      <c r="H166" s="40" t="s">
        <v>1110</v>
      </c>
      <c r="I166" s="40" t="s">
        <v>104</v>
      </c>
      <c r="J166" s="50"/>
      <c r="K166" s="116" t="str">
        <f>IFERROR(VLOOKUP(B166,BD_CONTROL!$A$5:$M$4235,11,0),"")</f>
        <v>Instalado - Operando</v>
      </c>
      <c r="L166" s="117">
        <f>IFERROR(VLOOKUP(B166,BD_CONTROL!$A$5:$M$4235,12,0),"")</f>
        <v>46142</v>
      </c>
      <c r="M166" s="118">
        <f>IFERROR(VLOOKUP(B166,BD_CONTROL!$A$5:$M$4235,13,0),"")</f>
        <v>0</v>
      </c>
    </row>
    <row r="167" spans="1:13" ht="15" customHeight="1">
      <c r="A167" s="42">
        <v>162</v>
      </c>
      <c r="B167" s="42" t="s">
        <v>3566</v>
      </c>
      <c r="C167" s="43" t="s">
        <v>3567</v>
      </c>
      <c r="D167" s="42" t="s">
        <v>3370</v>
      </c>
      <c r="E167" s="43" t="s">
        <v>3371</v>
      </c>
      <c r="F167" s="43" t="s">
        <v>3568</v>
      </c>
      <c r="G167" s="42" t="s">
        <v>109</v>
      </c>
      <c r="H167" s="43" t="s">
        <v>1110</v>
      </c>
      <c r="I167" s="43" t="s">
        <v>104</v>
      </c>
      <c r="J167" s="55"/>
      <c r="K167" s="119" t="str">
        <f>IFERROR(VLOOKUP(B167,BD_CONTROL!$A$5:$M$4235,11,0),"")</f>
        <v>Instalado - Operando</v>
      </c>
      <c r="L167" s="120">
        <f>IFERROR(VLOOKUP(B167,BD_CONTROL!$A$5:$M$4235,12,0),"")</f>
        <v>46140</v>
      </c>
      <c r="M167" s="121">
        <f>IFERROR(VLOOKUP(B167,BD_CONTROL!$A$5:$M$4235,13,0),"")</f>
        <v>0</v>
      </c>
    </row>
    <row r="168" spans="1:13" ht="15" customHeight="1">
      <c r="A168" s="39">
        <v>163</v>
      </c>
      <c r="B168" s="39" t="s">
        <v>3575</v>
      </c>
      <c r="C168" s="40" t="s">
        <v>3369</v>
      </c>
      <c r="D168" s="39" t="s">
        <v>3370</v>
      </c>
      <c r="E168" s="40" t="s">
        <v>3576</v>
      </c>
      <c r="F168" s="40" t="s">
        <v>3577</v>
      </c>
      <c r="G168" s="39" t="s">
        <v>102</v>
      </c>
      <c r="H168" s="40" t="s">
        <v>1110</v>
      </c>
      <c r="I168" s="40" t="s">
        <v>104</v>
      </c>
      <c r="J168" s="50"/>
      <c r="K168" s="116" t="str">
        <f>IFERROR(VLOOKUP(B168,BD_CONTROL!$A$5:$M$4235,11,0),"")</f>
        <v>Instalado - Operando</v>
      </c>
      <c r="L168" s="117">
        <f>IFERROR(VLOOKUP(B168,BD_CONTROL!$A$5:$M$4235,12,0),"")</f>
        <v>46142</v>
      </c>
      <c r="M168" s="118">
        <f>IFERROR(VLOOKUP(B168,BD_CONTROL!$A$5:$M$4235,13,0),"")</f>
        <v>0</v>
      </c>
    </row>
    <row r="169" spans="1:13" ht="15" customHeight="1">
      <c r="A169" s="42">
        <v>164</v>
      </c>
      <c r="B169" s="42" t="s">
        <v>3580</v>
      </c>
      <c r="C169" s="43" t="s">
        <v>3581</v>
      </c>
      <c r="D169" s="42" t="s">
        <v>3370</v>
      </c>
      <c r="E169" s="43" t="s">
        <v>3582</v>
      </c>
      <c r="F169" s="43" t="s">
        <v>3583</v>
      </c>
      <c r="G169" s="42" t="s">
        <v>109</v>
      </c>
      <c r="H169" s="43" t="s">
        <v>1110</v>
      </c>
      <c r="I169" s="43" t="s">
        <v>104</v>
      </c>
      <c r="J169" s="55"/>
      <c r="K169" s="119">
        <f>IFERROR(VLOOKUP(B169,BD_CONTROL!$A$5:$M$4235,11,0),"")</f>
        <v>0</v>
      </c>
      <c r="L169" s="120">
        <f>IFERROR(VLOOKUP(B169,BD_CONTROL!$A$5:$M$4235,12,0),"")</f>
        <v>0</v>
      </c>
      <c r="M169" s="121">
        <f>IFERROR(VLOOKUP(B169,BD_CONTROL!$A$5:$M$4235,13,0),"")</f>
        <v>0</v>
      </c>
    </row>
    <row r="170" spans="1:13" ht="15" customHeight="1">
      <c r="A170" s="39">
        <v>165</v>
      </c>
      <c r="B170" s="39" t="s">
        <v>3584</v>
      </c>
      <c r="C170" s="40" t="s">
        <v>1215</v>
      </c>
      <c r="D170" s="39" t="s">
        <v>3370</v>
      </c>
      <c r="E170" s="40" t="s">
        <v>3460</v>
      </c>
      <c r="F170" s="40" t="s">
        <v>3585</v>
      </c>
      <c r="G170" s="39" t="s">
        <v>109</v>
      </c>
      <c r="H170" s="40" t="s">
        <v>1110</v>
      </c>
      <c r="I170" s="40" t="s">
        <v>104</v>
      </c>
      <c r="J170" s="50"/>
      <c r="K170" s="116">
        <f>IFERROR(VLOOKUP(B170,BD_CONTROL!$A$5:$M$4235,11,0),"")</f>
        <v>0</v>
      </c>
      <c r="L170" s="117">
        <f>IFERROR(VLOOKUP(B170,BD_CONTROL!$A$5:$M$4235,12,0),"")</f>
        <v>0</v>
      </c>
      <c r="M170" s="118">
        <f>IFERROR(VLOOKUP(B170,BD_CONTROL!$A$5:$M$4235,13,0),"")</f>
        <v>0</v>
      </c>
    </row>
    <row r="171" spans="1:13" ht="15" customHeight="1">
      <c r="A171" s="42">
        <v>166</v>
      </c>
      <c r="B171" s="42" t="s">
        <v>3586</v>
      </c>
      <c r="C171" s="43" t="s">
        <v>1123</v>
      </c>
      <c r="D171" s="42" t="s">
        <v>3370</v>
      </c>
      <c r="E171" s="43" t="s">
        <v>3587</v>
      </c>
      <c r="F171" s="43" t="s">
        <v>3588</v>
      </c>
      <c r="G171" s="42" t="s">
        <v>109</v>
      </c>
      <c r="H171" s="43" t="s">
        <v>1110</v>
      </c>
      <c r="I171" s="43" t="s">
        <v>104</v>
      </c>
      <c r="J171" s="55"/>
      <c r="K171" s="119">
        <f>IFERROR(VLOOKUP(B171,BD_CONTROL!$A$5:$M$4235,11,0),"")</f>
        <v>0</v>
      </c>
      <c r="L171" s="120">
        <f>IFERROR(VLOOKUP(B171,BD_CONTROL!$A$5:$M$4235,12,0),"")</f>
        <v>0</v>
      </c>
      <c r="M171" s="121">
        <f>IFERROR(VLOOKUP(B171,BD_CONTROL!$A$5:$M$4235,13,0),"")</f>
        <v>0</v>
      </c>
    </row>
    <row r="172" spans="1:13" ht="15" customHeight="1">
      <c r="A172" s="39">
        <v>167</v>
      </c>
      <c r="B172" s="39" t="s">
        <v>3589</v>
      </c>
      <c r="C172" s="40" t="s">
        <v>3590</v>
      </c>
      <c r="D172" s="39" t="s">
        <v>3370</v>
      </c>
      <c r="E172" s="40" t="s">
        <v>1244</v>
      </c>
      <c r="F172" s="40" t="s">
        <v>3591</v>
      </c>
      <c r="G172" s="39" t="s">
        <v>102</v>
      </c>
      <c r="H172" s="40" t="s">
        <v>1184</v>
      </c>
      <c r="I172" s="40" t="s">
        <v>104</v>
      </c>
      <c r="J172" s="50"/>
      <c r="K172" s="116">
        <f>IFERROR(VLOOKUP(B172,BD_CONTROL!$A$5:$M$4235,11,0),"")</f>
        <v>0</v>
      </c>
      <c r="L172" s="117">
        <f>IFERROR(VLOOKUP(B172,BD_CONTROL!$A$5:$M$4235,12,0),"")</f>
        <v>0</v>
      </c>
      <c r="M172" s="118">
        <f>IFERROR(VLOOKUP(B172,BD_CONTROL!$A$5:$M$4235,13,0),"")</f>
        <v>0</v>
      </c>
    </row>
    <row r="173" spans="1:13" ht="15" customHeight="1">
      <c r="A173" s="42">
        <v>168</v>
      </c>
      <c r="B173" s="42" t="s">
        <v>3592</v>
      </c>
      <c r="C173" s="43" t="s">
        <v>437</v>
      </c>
      <c r="D173" s="42" t="s">
        <v>3370</v>
      </c>
      <c r="E173" s="43" t="s">
        <v>3384</v>
      </c>
      <c r="F173" s="43" t="s">
        <v>3478</v>
      </c>
      <c r="G173" s="42" t="s">
        <v>102</v>
      </c>
      <c r="H173" s="43" t="s">
        <v>1110</v>
      </c>
      <c r="I173" s="43" t="s">
        <v>104</v>
      </c>
      <c r="J173" s="55"/>
      <c r="K173" s="119">
        <f>IFERROR(VLOOKUP(B173,BD_CONTROL!$A$5:$M$4235,11,0),"")</f>
        <v>0</v>
      </c>
      <c r="L173" s="120">
        <f>IFERROR(VLOOKUP(B173,BD_CONTROL!$A$5:$M$4235,12,0),"")</f>
        <v>0</v>
      </c>
      <c r="M173" s="121">
        <f>IFERROR(VLOOKUP(B173,BD_CONTROL!$A$5:$M$4235,13,0),"")</f>
        <v>0</v>
      </c>
    </row>
    <row r="174" spans="1:13" ht="15" customHeight="1">
      <c r="A174" s="39">
        <v>169</v>
      </c>
      <c r="B174" s="39" t="s">
        <v>3593</v>
      </c>
      <c r="C174" s="40" t="s">
        <v>3594</v>
      </c>
      <c r="D174" s="39" t="s">
        <v>3370</v>
      </c>
      <c r="E174" s="40" t="s">
        <v>3398</v>
      </c>
      <c r="F174" s="40" t="s">
        <v>3595</v>
      </c>
      <c r="G174" s="39" t="s">
        <v>109</v>
      </c>
      <c r="H174" s="40" t="s">
        <v>1184</v>
      </c>
      <c r="I174" s="40" t="s">
        <v>104</v>
      </c>
      <c r="J174" s="50"/>
      <c r="K174" s="116">
        <f>IFERROR(VLOOKUP(B174,BD_CONTROL!$A$5:$M$4235,11,0),"")</f>
        <v>0</v>
      </c>
      <c r="L174" s="117">
        <f>IFERROR(VLOOKUP(B174,BD_CONTROL!$A$5:$M$4235,12,0),"")</f>
        <v>0</v>
      </c>
      <c r="M174" s="118">
        <f>IFERROR(VLOOKUP(B174,BD_CONTROL!$A$5:$M$4235,13,0),"")</f>
        <v>0</v>
      </c>
    </row>
    <row r="175" spans="1:13" ht="15" customHeight="1">
      <c r="A175" s="42">
        <v>170</v>
      </c>
      <c r="B175" s="42" t="s">
        <v>3596</v>
      </c>
      <c r="C175" s="43" t="s">
        <v>3597</v>
      </c>
      <c r="D175" s="42" t="s">
        <v>3370</v>
      </c>
      <c r="E175" s="43" t="s">
        <v>3598</v>
      </c>
      <c r="F175" s="43" t="s">
        <v>3599</v>
      </c>
      <c r="G175" s="42" t="s">
        <v>109</v>
      </c>
      <c r="H175" s="43" t="s">
        <v>1110</v>
      </c>
      <c r="I175" s="43" t="s">
        <v>104</v>
      </c>
      <c r="J175" s="55"/>
      <c r="K175" s="119">
        <f>IFERROR(VLOOKUP(B175,BD_CONTROL!$A$5:$M$4235,11,0),"")</f>
        <v>0</v>
      </c>
      <c r="L175" s="120">
        <f>IFERROR(VLOOKUP(B175,BD_CONTROL!$A$5:$M$4235,12,0),"")</f>
        <v>0</v>
      </c>
      <c r="M175" s="121">
        <f>IFERROR(VLOOKUP(B175,BD_CONTROL!$A$5:$M$4235,13,0),"")</f>
        <v>0</v>
      </c>
    </row>
    <row r="176" spans="1:13" ht="15" customHeight="1">
      <c r="A176" s="39">
        <v>171</v>
      </c>
      <c r="B176" s="39" t="s">
        <v>3600</v>
      </c>
      <c r="C176" s="40" t="s">
        <v>3601</v>
      </c>
      <c r="D176" s="39" t="s">
        <v>3370</v>
      </c>
      <c r="E176" s="40" t="s">
        <v>3385</v>
      </c>
      <c r="F176" s="40" t="s">
        <v>3602</v>
      </c>
      <c r="G176" s="39" t="s">
        <v>102</v>
      </c>
      <c r="H176" s="40" t="s">
        <v>1184</v>
      </c>
      <c r="I176" s="40" t="s">
        <v>104</v>
      </c>
      <c r="J176" s="50"/>
      <c r="K176" s="116" t="str">
        <f>IFERROR(VLOOKUP(B176,BD_CONTROL!$A$5:$M$4235,11,0),"")</f>
        <v>Instalado - Operando</v>
      </c>
      <c r="L176" s="117">
        <f>IFERROR(VLOOKUP(B176,BD_CONTROL!$A$5:$M$4235,12,0),"")</f>
        <v>46149</v>
      </c>
      <c r="M176" s="118">
        <f>IFERROR(VLOOKUP(B176,BD_CONTROL!$A$5:$M$4235,13,0),"")</f>
        <v>0</v>
      </c>
    </row>
    <row r="177" spans="1:13" ht="15" customHeight="1">
      <c r="A177" s="42">
        <v>172</v>
      </c>
      <c r="B177" s="42" t="s">
        <v>3603</v>
      </c>
      <c r="C177" s="43" t="s">
        <v>3604</v>
      </c>
      <c r="D177" s="42" t="s">
        <v>3370</v>
      </c>
      <c r="E177" s="43" t="s">
        <v>3379</v>
      </c>
      <c r="F177" s="43" t="s">
        <v>3605</v>
      </c>
      <c r="G177" s="42" t="s">
        <v>109</v>
      </c>
      <c r="H177" s="43" t="s">
        <v>1110</v>
      </c>
      <c r="I177" s="43" t="s">
        <v>104</v>
      </c>
      <c r="J177" s="55"/>
      <c r="K177" s="119">
        <f>IFERROR(VLOOKUP(B177,BD_CONTROL!$A$5:$M$4235,11,0),"")</f>
        <v>0</v>
      </c>
      <c r="L177" s="120">
        <f>IFERROR(VLOOKUP(B177,BD_CONTROL!$A$5:$M$4235,12,0),"")</f>
        <v>0</v>
      </c>
      <c r="M177" s="121">
        <f>IFERROR(VLOOKUP(B177,BD_CONTROL!$A$5:$M$4235,13,0),"")</f>
        <v>0</v>
      </c>
    </row>
    <row r="178" spans="1:13" ht="15" customHeight="1">
      <c r="A178" s="39">
        <v>173</v>
      </c>
      <c r="B178" s="39" t="s">
        <v>3606</v>
      </c>
      <c r="C178" s="40" t="s">
        <v>3607</v>
      </c>
      <c r="D178" s="39" t="s">
        <v>3370</v>
      </c>
      <c r="E178" s="40" t="s">
        <v>3428</v>
      </c>
      <c r="F178" s="40" t="s">
        <v>3608</v>
      </c>
      <c r="G178" s="39" t="s">
        <v>102</v>
      </c>
      <c r="H178" s="40" t="s">
        <v>1184</v>
      </c>
      <c r="I178" s="40" t="s">
        <v>104</v>
      </c>
      <c r="J178" s="50"/>
      <c r="K178" s="116">
        <f>IFERROR(VLOOKUP(B178,BD_CONTROL!$A$5:$M$4235,11,0),"")</f>
        <v>0</v>
      </c>
      <c r="L178" s="117">
        <f>IFERROR(VLOOKUP(B178,BD_CONTROL!$A$5:$M$4235,12,0),"")</f>
        <v>0</v>
      </c>
      <c r="M178" s="118">
        <f>IFERROR(VLOOKUP(B178,BD_CONTROL!$A$5:$M$4235,13,0),"")</f>
        <v>0</v>
      </c>
    </row>
    <row r="179" spans="1:13" ht="15" customHeight="1">
      <c r="A179" s="42">
        <v>174</v>
      </c>
      <c r="B179" s="42" t="s">
        <v>3609</v>
      </c>
      <c r="C179" s="43" t="s">
        <v>2621</v>
      </c>
      <c r="D179" s="42" t="s">
        <v>3370</v>
      </c>
      <c r="E179" s="43" t="s">
        <v>3385</v>
      </c>
      <c r="F179" s="43" t="s">
        <v>3610</v>
      </c>
      <c r="G179" s="42" t="s">
        <v>102</v>
      </c>
      <c r="H179" s="43" t="s">
        <v>1184</v>
      </c>
      <c r="I179" s="43" t="s">
        <v>104</v>
      </c>
      <c r="J179" s="55"/>
      <c r="K179" s="119">
        <f>IFERROR(VLOOKUP(B179,BD_CONTROL!$A$5:$M$4235,11,0),"")</f>
        <v>0</v>
      </c>
      <c r="L179" s="120">
        <f>IFERROR(VLOOKUP(B179,BD_CONTROL!$A$5:$M$4235,12,0),"")</f>
        <v>0</v>
      </c>
      <c r="M179" s="121">
        <f>IFERROR(VLOOKUP(B179,BD_CONTROL!$A$5:$M$4235,13,0),"")</f>
        <v>0</v>
      </c>
    </row>
    <row r="180" spans="1:13" ht="15" customHeight="1">
      <c r="A180" s="39">
        <v>175</v>
      </c>
      <c r="B180" s="39" t="s">
        <v>3611</v>
      </c>
      <c r="C180" s="40" t="s">
        <v>3612</v>
      </c>
      <c r="D180" s="39" t="s">
        <v>3370</v>
      </c>
      <c r="E180" s="40" t="s">
        <v>3384</v>
      </c>
      <c r="F180" s="40" t="s">
        <v>3613</v>
      </c>
      <c r="G180" s="39" t="s">
        <v>102</v>
      </c>
      <c r="H180" s="40" t="s">
        <v>1110</v>
      </c>
      <c r="I180" s="40" t="s">
        <v>104</v>
      </c>
      <c r="J180" s="50"/>
      <c r="K180" s="116" t="str">
        <f>IFERROR(VLOOKUP(B180,BD_CONTROL!$A$5:$M$4235,11,0),"")</f>
        <v>Instalado - Operando</v>
      </c>
      <c r="L180" s="117">
        <f>IFERROR(VLOOKUP(B180,BD_CONTROL!$A$5:$M$4235,12,0),"")</f>
        <v>46149</v>
      </c>
      <c r="M180" s="118" t="str">
        <f>IFERROR(VLOOKUP(B180,BD_CONTROL!$A$5:$M$4235,13,0),"")</f>
        <v>Este equipo no se encuentra cargado en la Aplicación</v>
      </c>
    </row>
    <row r="181" spans="1:13" ht="15" customHeight="1">
      <c r="A181" s="42">
        <v>176</v>
      </c>
      <c r="B181" s="42" t="s">
        <v>3614</v>
      </c>
      <c r="C181" s="43" t="s">
        <v>1323</v>
      </c>
      <c r="D181" s="42" t="s">
        <v>3370</v>
      </c>
      <c r="E181" s="43" t="s">
        <v>3615</v>
      </c>
      <c r="F181" s="43" t="s">
        <v>3616</v>
      </c>
      <c r="G181" s="42" t="s">
        <v>109</v>
      </c>
      <c r="H181" s="43" t="s">
        <v>1110</v>
      </c>
      <c r="I181" s="43" t="s">
        <v>104</v>
      </c>
      <c r="J181" s="55"/>
      <c r="K181" s="119">
        <f>IFERROR(VLOOKUP(B181,BD_CONTROL!$A$5:$M$4235,11,0),"")</f>
        <v>0</v>
      </c>
      <c r="L181" s="120">
        <f>IFERROR(VLOOKUP(B181,BD_CONTROL!$A$5:$M$4235,12,0),"")</f>
        <v>0</v>
      </c>
      <c r="M181" s="121">
        <f>IFERROR(VLOOKUP(B181,BD_CONTROL!$A$5:$M$4235,13,0),"")</f>
        <v>0</v>
      </c>
    </row>
    <row r="182" spans="1:13" ht="15" customHeight="1">
      <c r="A182" s="39">
        <v>177</v>
      </c>
      <c r="B182" s="39" t="s">
        <v>3617</v>
      </c>
      <c r="C182" s="40" t="s">
        <v>3527</v>
      </c>
      <c r="D182" s="39" t="s">
        <v>3370</v>
      </c>
      <c r="E182" s="40" t="s">
        <v>3131</v>
      </c>
      <c r="F182" s="40" t="s">
        <v>3618</v>
      </c>
      <c r="G182" s="39" t="s">
        <v>102</v>
      </c>
      <c r="H182" s="40" t="s">
        <v>1184</v>
      </c>
      <c r="I182" s="40" t="s">
        <v>104</v>
      </c>
      <c r="J182" s="50"/>
      <c r="K182" s="116">
        <f>IFERROR(VLOOKUP(B182,BD_CONTROL!$A$5:$M$4235,11,0),"")</f>
        <v>0</v>
      </c>
      <c r="L182" s="117">
        <f>IFERROR(VLOOKUP(B182,BD_CONTROL!$A$5:$M$4235,12,0),"")</f>
        <v>0</v>
      </c>
      <c r="M182" s="118">
        <f>IFERROR(VLOOKUP(B182,BD_CONTROL!$A$5:$M$4235,13,0),"")</f>
        <v>0</v>
      </c>
    </row>
    <row r="183" spans="1:13" ht="15" customHeight="1">
      <c r="A183" s="42">
        <v>178</v>
      </c>
      <c r="B183" s="42" t="s">
        <v>3619</v>
      </c>
      <c r="C183" s="43" t="s">
        <v>1295</v>
      </c>
      <c r="D183" s="42" t="s">
        <v>3370</v>
      </c>
      <c r="E183" s="43" t="s">
        <v>3371</v>
      </c>
      <c r="F183" s="43" t="s">
        <v>3620</v>
      </c>
      <c r="G183" s="42" t="s">
        <v>109</v>
      </c>
      <c r="H183" s="43" t="s">
        <v>1110</v>
      </c>
      <c r="I183" s="43" t="s">
        <v>104</v>
      </c>
      <c r="J183" s="55"/>
      <c r="K183" s="119" t="str">
        <f>IFERROR(VLOOKUP(B183,BD_CONTROL!$A$5:$M$4235,11,0),"")</f>
        <v>Instalado - Operando</v>
      </c>
      <c r="L183" s="120">
        <f>IFERROR(VLOOKUP(B183,BD_CONTROL!$A$5:$M$4235,12,0),"")</f>
        <v>46140</v>
      </c>
      <c r="M183" s="121">
        <f>IFERROR(VLOOKUP(B183,BD_CONTROL!$A$5:$M$4235,13,0),"")</f>
        <v>0</v>
      </c>
    </row>
    <row r="184" spans="1:13" ht="15" customHeight="1">
      <c r="A184" s="39">
        <v>179</v>
      </c>
      <c r="B184" s="39" t="s">
        <v>3621</v>
      </c>
      <c r="C184" s="40" t="s">
        <v>2256</v>
      </c>
      <c r="D184" s="39" t="s">
        <v>3370</v>
      </c>
      <c r="E184" s="40" t="s">
        <v>3384</v>
      </c>
      <c r="F184" s="40" t="s">
        <v>3622</v>
      </c>
      <c r="G184" s="39" t="s">
        <v>102</v>
      </c>
      <c r="H184" s="40" t="s">
        <v>1110</v>
      </c>
      <c r="I184" s="40" t="s">
        <v>104</v>
      </c>
      <c r="J184" s="50"/>
      <c r="K184" s="116" t="str">
        <f>IFERROR(VLOOKUP(B184,BD_CONTROL!$A$5:$M$4235,11,0),"")</f>
        <v>Instalado - Operando</v>
      </c>
      <c r="L184" s="117">
        <f>IFERROR(VLOOKUP(B184,BD_CONTROL!$A$5:$M$4235,12,0),"")</f>
        <v>46149</v>
      </c>
      <c r="M184" s="118" t="str">
        <f>IFERROR(VLOOKUP(B184,BD_CONTROL!$A$5:$M$4235,13,0),"")</f>
        <v>Este equipo no se encuentra cargado en la Aplicación</v>
      </c>
    </row>
    <row r="185" spans="1:13" ht="15" customHeight="1">
      <c r="A185" s="42">
        <v>180</v>
      </c>
      <c r="B185" s="42" t="s">
        <v>3623</v>
      </c>
      <c r="C185" s="43" t="s">
        <v>3624</v>
      </c>
      <c r="D185" s="42" t="s">
        <v>3370</v>
      </c>
      <c r="E185" s="43" t="s">
        <v>3408</v>
      </c>
      <c r="F185" s="43" t="s">
        <v>3625</v>
      </c>
      <c r="G185" s="42" t="s">
        <v>109</v>
      </c>
      <c r="H185" s="43" t="s">
        <v>1110</v>
      </c>
      <c r="I185" s="43" t="s">
        <v>104</v>
      </c>
      <c r="J185" s="55"/>
      <c r="K185" s="119" t="str">
        <f>IFERROR(VLOOKUP(B185,BD_CONTROL!$A$5:$M$4235,11,0),"")</f>
        <v>Instalado - Operando</v>
      </c>
      <c r="L185" s="120">
        <f>IFERROR(VLOOKUP(B185,BD_CONTROL!$A$5:$M$4235,12,0),"")</f>
        <v>46142</v>
      </c>
      <c r="M185" s="121">
        <f>IFERROR(VLOOKUP(B185,BD_CONTROL!$A$5:$M$4235,13,0),"")</f>
        <v>0</v>
      </c>
    </row>
    <row r="186" spans="1:13" ht="15" customHeight="1">
      <c r="A186" s="39">
        <v>181</v>
      </c>
      <c r="B186" s="39" t="s">
        <v>3626</v>
      </c>
      <c r="C186" s="40" t="s">
        <v>3369</v>
      </c>
      <c r="D186" s="39" t="s">
        <v>3370</v>
      </c>
      <c r="E186" s="40" t="s">
        <v>3384</v>
      </c>
      <c r="F186" s="40" t="s">
        <v>3627</v>
      </c>
      <c r="G186" s="39" t="s">
        <v>102</v>
      </c>
      <c r="H186" s="40" t="s">
        <v>1110</v>
      </c>
      <c r="I186" s="40" t="s">
        <v>104</v>
      </c>
      <c r="J186" s="50"/>
      <c r="K186" s="116" t="str">
        <f>IFERROR(VLOOKUP(B186,BD_CONTROL!$A$5:$M$4235,11,0),"")</f>
        <v>Instalado - Operando</v>
      </c>
      <c r="L186" s="117">
        <f>IFERROR(VLOOKUP(B186,BD_CONTROL!$A$5:$M$4235,12,0),"")</f>
        <v>46149</v>
      </c>
      <c r="M186" s="118" t="str">
        <f>IFERROR(VLOOKUP(B186,BD_CONTROL!$A$5:$M$4235,13,0),"")</f>
        <v>Este equipo no se encuentra cargado en la Aplicación</v>
      </c>
    </row>
    <row r="187" spans="1:13" ht="15" customHeight="1">
      <c r="A187" s="42">
        <v>182</v>
      </c>
      <c r="B187" s="42" t="s">
        <v>3628</v>
      </c>
      <c r="C187" s="43" t="s">
        <v>3629</v>
      </c>
      <c r="D187" s="42" t="s">
        <v>3370</v>
      </c>
      <c r="E187" s="43" t="s">
        <v>3384</v>
      </c>
      <c r="F187" s="43" t="s">
        <v>1123</v>
      </c>
      <c r="G187" s="42" t="s">
        <v>102</v>
      </c>
      <c r="H187" s="43" t="s">
        <v>1110</v>
      </c>
      <c r="I187" s="43" t="s">
        <v>104</v>
      </c>
      <c r="J187" s="55"/>
      <c r="K187" s="119" t="str">
        <f>IFERROR(VLOOKUP(B187,BD_CONTROL!$A$5:$M$4235,11,0),"")</f>
        <v>Instalado - Operando</v>
      </c>
      <c r="L187" s="120">
        <f>IFERROR(VLOOKUP(B187,BD_CONTROL!$A$5:$M$4235,12,0),"")</f>
        <v>46148</v>
      </c>
      <c r="M187" s="121" t="str">
        <f>IFERROR(VLOOKUP(B187,BD_CONTROL!$A$5:$M$4235,13,0),"")</f>
        <v>Este equipo no se encuentra cargado en la aplicación</v>
      </c>
    </row>
    <row r="188" spans="1:13" ht="15" customHeight="1">
      <c r="A188" s="39">
        <v>183</v>
      </c>
      <c r="B188" s="39" t="s">
        <v>3630</v>
      </c>
      <c r="C188" s="40" t="s">
        <v>3381</v>
      </c>
      <c r="D188" s="39" t="s">
        <v>3370</v>
      </c>
      <c r="E188" s="40" t="s">
        <v>3385</v>
      </c>
      <c r="F188" s="40" t="s">
        <v>3631</v>
      </c>
      <c r="G188" s="39" t="s">
        <v>102</v>
      </c>
      <c r="H188" s="40" t="s">
        <v>1184</v>
      </c>
      <c r="I188" s="40" t="s">
        <v>104</v>
      </c>
      <c r="J188" s="50"/>
      <c r="K188" s="116">
        <f>IFERROR(VLOOKUP(B188,BD_CONTROL!$A$5:$M$4235,11,0),"")</f>
        <v>0</v>
      </c>
      <c r="L188" s="117">
        <f>IFERROR(VLOOKUP(B188,BD_CONTROL!$A$5:$M$4235,12,0),"")</f>
        <v>0</v>
      </c>
      <c r="M188" s="118">
        <f>IFERROR(VLOOKUP(B188,BD_CONTROL!$A$5:$M$4235,13,0),"")</f>
        <v>0</v>
      </c>
    </row>
    <row r="189" spans="1:13" ht="15" customHeight="1">
      <c r="A189" s="42">
        <v>184</v>
      </c>
      <c r="B189" s="42" t="s">
        <v>3634</v>
      </c>
      <c r="C189" s="43" t="s">
        <v>486</v>
      </c>
      <c r="D189" s="42" t="s">
        <v>3370</v>
      </c>
      <c r="E189" s="43" t="s">
        <v>3460</v>
      </c>
      <c r="F189" s="43" t="s">
        <v>3635</v>
      </c>
      <c r="G189" s="42" t="s">
        <v>109</v>
      </c>
      <c r="H189" s="43" t="s">
        <v>1110</v>
      </c>
      <c r="I189" s="43" t="s">
        <v>104</v>
      </c>
      <c r="J189" s="55"/>
      <c r="K189" s="119">
        <f>IFERROR(VLOOKUP(B189,BD_CONTROL!$A$5:$M$4235,11,0),"")</f>
        <v>0</v>
      </c>
      <c r="L189" s="120">
        <f>IFERROR(VLOOKUP(B189,BD_CONTROL!$A$5:$M$4235,12,0),"")</f>
        <v>0</v>
      </c>
      <c r="M189" s="121">
        <f>IFERROR(VLOOKUP(B189,BD_CONTROL!$A$5:$M$4235,13,0),"")</f>
        <v>0</v>
      </c>
    </row>
    <row r="190" spans="1:13" ht="15" customHeight="1">
      <c r="A190" s="39">
        <v>185</v>
      </c>
      <c r="B190" s="39" t="s">
        <v>3636</v>
      </c>
      <c r="C190" s="40" t="s">
        <v>3637</v>
      </c>
      <c r="D190" s="39" t="s">
        <v>3370</v>
      </c>
      <c r="E190" s="40" t="s">
        <v>3558</v>
      </c>
      <c r="F190" s="40" t="s">
        <v>3638</v>
      </c>
      <c r="G190" s="39" t="s">
        <v>102</v>
      </c>
      <c r="H190" s="40" t="s">
        <v>1184</v>
      </c>
      <c r="I190" s="40" t="s">
        <v>104</v>
      </c>
      <c r="J190" s="50"/>
      <c r="K190" s="116">
        <f>IFERROR(VLOOKUP(B190,BD_CONTROL!$A$5:$M$4235,11,0),"")</f>
        <v>0</v>
      </c>
      <c r="L190" s="117">
        <f>IFERROR(VLOOKUP(B190,BD_CONTROL!$A$5:$M$4235,12,0),"")</f>
        <v>0</v>
      </c>
      <c r="M190" s="118">
        <f>IFERROR(VLOOKUP(B190,BD_CONTROL!$A$5:$M$4235,13,0),"")</f>
        <v>0</v>
      </c>
    </row>
    <row r="191" spans="1:13" ht="15" customHeight="1">
      <c r="A191" s="42">
        <v>186</v>
      </c>
      <c r="B191" s="42" t="s">
        <v>3639</v>
      </c>
      <c r="C191" s="43" t="s">
        <v>3640</v>
      </c>
      <c r="D191" s="42" t="s">
        <v>3370</v>
      </c>
      <c r="E191" s="43" t="s">
        <v>324</v>
      </c>
      <c r="F191" s="43" t="s">
        <v>3641</v>
      </c>
      <c r="G191" s="42" t="s">
        <v>102</v>
      </c>
      <c r="H191" s="43" t="s">
        <v>1110</v>
      </c>
      <c r="I191" s="43" t="s">
        <v>104</v>
      </c>
      <c r="J191" s="55"/>
      <c r="K191" s="119" t="str">
        <f>IFERROR(VLOOKUP(B191,BD_CONTROL!$A$5:$M$4235,11,0),"")</f>
        <v>Instalado - Operando</v>
      </c>
      <c r="L191" s="120">
        <f>IFERROR(VLOOKUP(B191,BD_CONTROL!$A$5:$M$4235,12,0),"")</f>
        <v>46149</v>
      </c>
      <c r="M191" s="121" t="str">
        <f>IFERROR(VLOOKUP(B191,BD_CONTROL!$A$5:$M$4235,13,0),"")</f>
        <v>Este equipo no se encuentra cargado en la Aplicación</v>
      </c>
    </row>
    <row r="192" spans="1:13" ht="15" customHeight="1">
      <c r="A192" s="39">
        <v>187</v>
      </c>
      <c r="B192" s="39" t="s">
        <v>3642</v>
      </c>
      <c r="C192" s="40" t="s">
        <v>3643</v>
      </c>
      <c r="D192" s="39" t="s">
        <v>3370</v>
      </c>
      <c r="E192" s="40" t="s">
        <v>3644</v>
      </c>
      <c r="F192" s="40" t="s">
        <v>3645</v>
      </c>
      <c r="G192" s="39" t="s">
        <v>102</v>
      </c>
      <c r="H192" s="40" t="s">
        <v>1110</v>
      </c>
      <c r="I192" s="40" t="s">
        <v>104</v>
      </c>
      <c r="J192" s="50"/>
      <c r="K192" s="116">
        <f>IFERROR(VLOOKUP(B192,BD_CONTROL!$A$5:$M$4235,11,0),"")</f>
        <v>0</v>
      </c>
      <c r="L192" s="117">
        <f>IFERROR(VLOOKUP(B192,BD_CONTROL!$A$5:$M$4235,12,0),"")</f>
        <v>0</v>
      </c>
      <c r="M192" s="118">
        <f>IFERROR(VLOOKUP(B192,BD_CONTROL!$A$5:$M$4235,13,0),"")</f>
        <v>0</v>
      </c>
    </row>
    <row r="193" spans="1:13" ht="15" customHeight="1">
      <c r="A193" s="42">
        <v>188</v>
      </c>
      <c r="B193" s="42" t="s">
        <v>3646</v>
      </c>
      <c r="C193" s="43" t="s">
        <v>3647</v>
      </c>
      <c r="D193" s="42" t="s">
        <v>3370</v>
      </c>
      <c r="E193" s="43" t="s">
        <v>3551</v>
      </c>
      <c r="F193" s="43" t="s">
        <v>3648</v>
      </c>
      <c r="G193" s="42" t="s">
        <v>102</v>
      </c>
      <c r="H193" s="43" t="s">
        <v>1184</v>
      </c>
      <c r="I193" s="43" t="s">
        <v>104</v>
      </c>
      <c r="J193" s="55"/>
      <c r="K193" s="119">
        <f>IFERROR(VLOOKUP(B193,BD_CONTROL!$A$5:$M$4235,11,0),"")</f>
        <v>0</v>
      </c>
      <c r="L193" s="120">
        <f>IFERROR(VLOOKUP(B193,BD_CONTROL!$A$5:$M$4235,12,0),"")</f>
        <v>0</v>
      </c>
      <c r="M193" s="121">
        <f>IFERROR(VLOOKUP(B193,BD_CONTROL!$A$5:$M$4235,13,0),"")</f>
        <v>0</v>
      </c>
    </row>
    <row r="194" spans="1:13" ht="15" customHeight="1">
      <c r="A194" s="39">
        <v>189</v>
      </c>
      <c r="B194" s="39" t="s">
        <v>3649</v>
      </c>
      <c r="C194" s="40" t="s">
        <v>3650</v>
      </c>
      <c r="D194" s="39" t="s">
        <v>3370</v>
      </c>
      <c r="E194" s="40" t="s">
        <v>3651</v>
      </c>
      <c r="F194" s="40" t="s">
        <v>3651</v>
      </c>
      <c r="G194" s="39" t="s">
        <v>109</v>
      </c>
      <c r="H194" s="40" t="s">
        <v>1110</v>
      </c>
      <c r="I194" s="40" t="s">
        <v>104</v>
      </c>
      <c r="J194" s="50"/>
      <c r="K194" s="116">
        <f>IFERROR(VLOOKUP(B194,BD_CONTROL!$A$5:$M$4235,11,0),"")</f>
        <v>0</v>
      </c>
      <c r="L194" s="117">
        <f>IFERROR(VLOOKUP(B194,BD_CONTROL!$A$5:$M$4235,12,0),"")</f>
        <v>0</v>
      </c>
      <c r="M194" s="118">
        <f>IFERROR(VLOOKUP(B194,BD_CONTROL!$A$5:$M$4235,13,0),"")</f>
        <v>0</v>
      </c>
    </row>
    <row r="195" spans="1:13" ht="15" customHeight="1">
      <c r="A195" s="42">
        <v>190</v>
      </c>
      <c r="B195" s="42" t="s">
        <v>3652</v>
      </c>
      <c r="C195" s="43" t="s">
        <v>3653</v>
      </c>
      <c r="D195" s="42" t="s">
        <v>3370</v>
      </c>
      <c r="E195" s="43" t="s">
        <v>3416</v>
      </c>
      <c r="F195" s="43" t="s">
        <v>3416</v>
      </c>
      <c r="G195" s="42" t="s">
        <v>102</v>
      </c>
      <c r="H195" s="43" t="s">
        <v>1110</v>
      </c>
      <c r="I195" s="43" t="s">
        <v>104</v>
      </c>
      <c r="J195" s="55"/>
      <c r="K195" s="119">
        <f>IFERROR(VLOOKUP(B195,BD_CONTROL!$A$5:$M$4235,11,0),"")</f>
        <v>0</v>
      </c>
      <c r="L195" s="120">
        <f>IFERROR(VLOOKUP(B195,BD_CONTROL!$A$5:$M$4235,12,0),"")</f>
        <v>0</v>
      </c>
      <c r="M195" s="121">
        <f>IFERROR(VLOOKUP(B195,BD_CONTROL!$A$5:$M$4235,13,0),"")</f>
        <v>0</v>
      </c>
    </row>
    <row r="196" spans="1:13" ht="15" customHeight="1">
      <c r="A196" s="39">
        <v>191</v>
      </c>
      <c r="B196" s="39" t="s">
        <v>3654</v>
      </c>
      <c r="C196" s="40" t="s">
        <v>3001</v>
      </c>
      <c r="D196" s="39" t="s">
        <v>3370</v>
      </c>
      <c r="E196" s="40" t="s">
        <v>3428</v>
      </c>
      <c r="F196" s="40" t="s">
        <v>3655</v>
      </c>
      <c r="G196" s="39" t="s">
        <v>102</v>
      </c>
      <c r="H196" s="40" t="s">
        <v>1184</v>
      </c>
      <c r="I196" s="40" t="s">
        <v>104</v>
      </c>
      <c r="J196" s="50"/>
      <c r="K196" s="116">
        <f>IFERROR(VLOOKUP(B196,BD_CONTROL!$A$5:$M$4235,11,0),"")</f>
        <v>0</v>
      </c>
      <c r="L196" s="117">
        <f>IFERROR(VLOOKUP(B196,BD_CONTROL!$A$5:$M$4235,12,0),"")</f>
        <v>0</v>
      </c>
      <c r="M196" s="118">
        <f>IFERROR(VLOOKUP(B196,BD_CONTROL!$A$5:$M$4235,13,0),"")</f>
        <v>0</v>
      </c>
    </row>
    <row r="197" spans="1:13" ht="15" customHeight="1">
      <c r="A197" s="42">
        <v>192</v>
      </c>
      <c r="B197" s="42" t="s">
        <v>3656</v>
      </c>
      <c r="C197" s="43" t="s">
        <v>3657</v>
      </c>
      <c r="D197" s="42" t="s">
        <v>3370</v>
      </c>
      <c r="E197" s="43" t="s">
        <v>3658</v>
      </c>
      <c r="F197" s="43" t="s">
        <v>3659</v>
      </c>
      <c r="G197" s="42" t="s">
        <v>102</v>
      </c>
      <c r="H197" s="43" t="s">
        <v>1184</v>
      </c>
      <c r="I197" s="43" t="s">
        <v>104</v>
      </c>
      <c r="J197" s="55"/>
      <c r="K197" s="119">
        <f>IFERROR(VLOOKUP(B197,BD_CONTROL!$A$5:$M$4235,11,0),"")</f>
        <v>0</v>
      </c>
      <c r="L197" s="120">
        <f>IFERROR(VLOOKUP(B197,BD_CONTROL!$A$5:$M$4235,12,0),"")</f>
        <v>0</v>
      </c>
      <c r="M197" s="121">
        <f>IFERROR(VLOOKUP(B197,BD_CONTROL!$A$5:$M$4235,13,0),"")</f>
        <v>0</v>
      </c>
    </row>
    <row r="198" spans="1:13" ht="15" customHeight="1">
      <c r="A198" s="39">
        <v>193</v>
      </c>
      <c r="B198" s="39" t="s">
        <v>3660</v>
      </c>
      <c r="C198" s="40" t="s">
        <v>3661</v>
      </c>
      <c r="D198" s="39" t="s">
        <v>3370</v>
      </c>
      <c r="E198" s="40" t="s">
        <v>3385</v>
      </c>
      <c r="F198" s="40" t="s">
        <v>3662</v>
      </c>
      <c r="G198" s="39" t="s">
        <v>102</v>
      </c>
      <c r="H198" s="40" t="s">
        <v>1184</v>
      </c>
      <c r="I198" s="40" t="s">
        <v>104</v>
      </c>
      <c r="J198" s="50"/>
      <c r="K198" s="116" t="str">
        <f>IFERROR(VLOOKUP(B198,BD_CONTROL!$A$5:$M$4235,11,0),"")</f>
        <v>Instalado - Operando</v>
      </c>
      <c r="L198" s="117">
        <f>IFERROR(VLOOKUP(B198,BD_CONTROL!$A$5:$M$4235,12,0),"")</f>
        <v>46148</v>
      </c>
      <c r="M198" s="118">
        <f>IFERROR(VLOOKUP(B198,BD_CONTROL!$A$5:$M$4235,13,0),"")</f>
        <v>0</v>
      </c>
    </row>
    <row r="199" spans="1:13" ht="15" customHeight="1">
      <c r="A199" s="42">
        <v>194</v>
      </c>
      <c r="B199" s="42" t="s">
        <v>3667</v>
      </c>
      <c r="C199" s="43" t="s">
        <v>3668</v>
      </c>
      <c r="D199" s="42" t="s">
        <v>3370</v>
      </c>
      <c r="E199" s="43" t="s">
        <v>3460</v>
      </c>
      <c r="F199" s="43" t="s">
        <v>3669</v>
      </c>
      <c r="G199" s="42" t="s">
        <v>109</v>
      </c>
      <c r="H199" s="43" t="s">
        <v>1110</v>
      </c>
      <c r="I199" s="43" t="s">
        <v>104</v>
      </c>
      <c r="J199" s="55"/>
      <c r="K199" s="119">
        <f>IFERROR(VLOOKUP(B199,BD_CONTROL!$A$5:$M$4235,11,0),"")</f>
        <v>0</v>
      </c>
      <c r="L199" s="120">
        <f>IFERROR(VLOOKUP(B199,BD_CONTROL!$A$5:$M$4235,12,0),"")</f>
        <v>0</v>
      </c>
      <c r="M199" s="121">
        <f>IFERROR(VLOOKUP(B199,BD_CONTROL!$A$5:$M$4235,13,0),"")</f>
        <v>0</v>
      </c>
    </row>
    <row r="200" spans="1:13" ht="15" customHeight="1">
      <c r="A200" s="39">
        <v>195</v>
      </c>
      <c r="B200" s="39" t="s">
        <v>3673</v>
      </c>
      <c r="C200" s="40" t="s">
        <v>3674</v>
      </c>
      <c r="D200" s="39" t="s">
        <v>3370</v>
      </c>
      <c r="E200" s="40" t="s">
        <v>3644</v>
      </c>
      <c r="F200" s="40" t="s">
        <v>3379</v>
      </c>
      <c r="G200" s="39" t="s">
        <v>102</v>
      </c>
      <c r="H200" s="40" t="s">
        <v>1110</v>
      </c>
      <c r="I200" s="40" t="s">
        <v>104</v>
      </c>
      <c r="J200" s="50"/>
      <c r="K200" s="116">
        <f>IFERROR(VLOOKUP(B200,BD_CONTROL!$A$5:$M$4235,11,0),"")</f>
        <v>0</v>
      </c>
      <c r="L200" s="117">
        <f>IFERROR(VLOOKUP(B200,BD_CONTROL!$A$5:$M$4235,12,0),"")</f>
        <v>0</v>
      </c>
      <c r="M200" s="118">
        <f>IFERROR(VLOOKUP(B200,BD_CONTROL!$A$5:$M$4235,13,0),"")</f>
        <v>0</v>
      </c>
    </row>
    <row r="201" spans="1:13" ht="15" customHeight="1">
      <c r="A201" s="42">
        <v>196</v>
      </c>
      <c r="B201" s="42" t="s">
        <v>3675</v>
      </c>
      <c r="C201" s="43" t="s">
        <v>3676</v>
      </c>
      <c r="D201" s="42" t="s">
        <v>3370</v>
      </c>
      <c r="E201" s="43" t="s">
        <v>1244</v>
      </c>
      <c r="F201" s="43" t="s">
        <v>3677</v>
      </c>
      <c r="G201" s="42" t="s">
        <v>102</v>
      </c>
      <c r="H201" s="43" t="s">
        <v>1184</v>
      </c>
      <c r="I201" s="43" t="s">
        <v>104</v>
      </c>
      <c r="J201" s="55"/>
      <c r="K201" s="119">
        <f>IFERROR(VLOOKUP(B201,BD_CONTROL!$A$5:$M$4235,11,0),"")</f>
        <v>0</v>
      </c>
      <c r="L201" s="120">
        <f>IFERROR(VLOOKUP(B201,BD_CONTROL!$A$5:$M$4235,12,0),"")</f>
        <v>0</v>
      </c>
      <c r="M201" s="121">
        <f>IFERROR(VLOOKUP(B201,BD_CONTROL!$A$5:$M$4235,13,0),"")</f>
        <v>0</v>
      </c>
    </row>
    <row r="202" spans="1:13" ht="15" customHeight="1">
      <c r="A202" s="39">
        <v>197</v>
      </c>
      <c r="B202" s="39" t="s">
        <v>3678</v>
      </c>
      <c r="C202" s="40" t="s">
        <v>1313</v>
      </c>
      <c r="D202" s="39" t="s">
        <v>3370</v>
      </c>
      <c r="E202" s="40" t="s">
        <v>3375</v>
      </c>
      <c r="F202" s="40" t="s">
        <v>3375</v>
      </c>
      <c r="G202" s="39" t="s">
        <v>102</v>
      </c>
      <c r="H202" s="40" t="s">
        <v>1184</v>
      </c>
      <c r="I202" s="40" t="s">
        <v>104</v>
      </c>
      <c r="J202" s="50"/>
      <c r="K202" s="116">
        <f>IFERROR(VLOOKUP(B202,BD_CONTROL!$A$5:$M$4235,11,0),"")</f>
        <v>0</v>
      </c>
      <c r="L202" s="117">
        <f>IFERROR(VLOOKUP(B202,BD_CONTROL!$A$5:$M$4235,12,0),"")</f>
        <v>0</v>
      </c>
      <c r="M202" s="118">
        <f>IFERROR(VLOOKUP(B202,BD_CONTROL!$A$5:$M$4235,13,0),"")</f>
        <v>0</v>
      </c>
    </row>
    <row r="203" spans="1:13" ht="15" customHeight="1">
      <c r="A203" s="42">
        <v>198</v>
      </c>
      <c r="B203" s="42" t="s">
        <v>3679</v>
      </c>
      <c r="C203" s="43" t="s">
        <v>3680</v>
      </c>
      <c r="D203" s="42" t="s">
        <v>3370</v>
      </c>
      <c r="E203" s="43" t="s">
        <v>3385</v>
      </c>
      <c r="F203" s="43" t="s">
        <v>1204</v>
      </c>
      <c r="G203" s="42" t="s">
        <v>102</v>
      </c>
      <c r="H203" s="43" t="s">
        <v>1184</v>
      </c>
      <c r="I203" s="43" t="s">
        <v>104</v>
      </c>
      <c r="J203" s="55"/>
      <c r="K203" s="119">
        <f>IFERROR(VLOOKUP(B203,BD_CONTROL!$A$5:$M$4235,11,0),"")</f>
        <v>0</v>
      </c>
      <c r="L203" s="120">
        <f>IFERROR(VLOOKUP(B203,BD_CONTROL!$A$5:$M$4235,12,0),"")</f>
        <v>0</v>
      </c>
      <c r="M203" s="121">
        <f>IFERROR(VLOOKUP(B203,BD_CONTROL!$A$5:$M$4235,13,0),"")</f>
        <v>0</v>
      </c>
    </row>
    <row r="204" spans="1:13" ht="15" customHeight="1">
      <c r="A204" s="39">
        <v>199</v>
      </c>
      <c r="B204" s="39" t="s">
        <v>3683</v>
      </c>
      <c r="C204" s="40" t="s">
        <v>3684</v>
      </c>
      <c r="D204" s="39" t="s">
        <v>3370</v>
      </c>
      <c r="E204" s="40" t="s">
        <v>3685</v>
      </c>
      <c r="F204" s="40" t="s">
        <v>3686</v>
      </c>
      <c r="G204" s="39" t="s">
        <v>109</v>
      </c>
      <c r="H204" s="40" t="s">
        <v>1184</v>
      </c>
      <c r="I204" s="40" t="s">
        <v>104</v>
      </c>
      <c r="J204" s="50"/>
      <c r="K204" s="116">
        <f>IFERROR(VLOOKUP(B204,BD_CONTROL!$A$5:$M$4235,11,0),"")</f>
        <v>0</v>
      </c>
      <c r="L204" s="117">
        <f>IFERROR(VLOOKUP(B204,BD_CONTROL!$A$5:$M$4235,12,0),"")</f>
        <v>0</v>
      </c>
      <c r="M204" s="118">
        <f>IFERROR(VLOOKUP(B204,BD_CONTROL!$A$5:$M$4235,13,0),"")</f>
        <v>0</v>
      </c>
    </row>
    <row r="205" spans="1:13" ht="15" customHeight="1">
      <c r="A205" s="42">
        <v>200</v>
      </c>
      <c r="B205" s="42" t="s">
        <v>3687</v>
      </c>
      <c r="C205" s="43" t="s">
        <v>1295</v>
      </c>
      <c r="D205" s="42" t="s">
        <v>3370</v>
      </c>
      <c r="E205" s="43" t="s">
        <v>3460</v>
      </c>
      <c r="F205" s="43" t="s">
        <v>3688</v>
      </c>
      <c r="G205" s="42" t="s">
        <v>109</v>
      </c>
      <c r="H205" s="43" t="s">
        <v>1110</v>
      </c>
      <c r="I205" s="43" t="s">
        <v>104</v>
      </c>
      <c r="J205" s="55"/>
      <c r="K205" s="119">
        <f>IFERROR(VLOOKUP(B205,BD_CONTROL!$A$5:$M$4235,11,0),"")</f>
        <v>0</v>
      </c>
      <c r="L205" s="120">
        <f>IFERROR(VLOOKUP(B205,BD_CONTROL!$A$5:$M$4235,12,0),"")</f>
        <v>0</v>
      </c>
      <c r="M205" s="121">
        <f>IFERROR(VLOOKUP(B205,BD_CONTROL!$A$5:$M$4235,13,0),"")</f>
        <v>0</v>
      </c>
    </row>
    <row r="206" spans="1:13" ht="15" customHeight="1">
      <c r="A206" s="39">
        <v>201</v>
      </c>
      <c r="B206" s="39" t="s">
        <v>3689</v>
      </c>
      <c r="C206" s="40" t="s">
        <v>3394</v>
      </c>
      <c r="D206" s="39" t="s">
        <v>3370</v>
      </c>
      <c r="E206" s="40" t="s">
        <v>1244</v>
      </c>
      <c r="F206" s="40" t="s">
        <v>3690</v>
      </c>
      <c r="G206" s="39" t="s">
        <v>102</v>
      </c>
      <c r="H206" s="40" t="s">
        <v>1184</v>
      </c>
      <c r="I206" s="40" t="s">
        <v>104</v>
      </c>
      <c r="J206" s="50"/>
      <c r="K206" s="116">
        <f>IFERROR(VLOOKUP(B206,BD_CONTROL!$A$5:$M$4235,11,0),"")</f>
        <v>0</v>
      </c>
      <c r="L206" s="117">
        <f>IFERROR(VLOOKUP(B206,BD_CONTROL!$A$5:$M$4235,12,0),"")</f>
        <v>0</v>
      </c>
      <c r="M206" s="118">
        <f>IFERROR(VLOOKUP(B206,BD_CONTROL!$A$5:$M$4235,13,0),"")</f>
        <v>0</v>
      </c>
    </row>
    <row r="207" spans="1:13" ht="15" customHeight="1">
      <c r="A207" s="42">
        <v>202</v>
      </c>
      <c r="B207" s="42" t="s">
        <v>3691</v>
      </c>
      <c r="C207" s="43" t="s">
        <v>3692</v>
      </c>
      <c r="D207" s="42" t="s">
        <v>3370</v>
      </c>
      <c r="E207" s="43" t="s">
        <v>3385</v>
      </c>
      <c r="F207" s="43" t="s">
        <v>3693</v>
      </c>
      <c r="G207" s="42" t="s">
        <v>102</v>
      </c>
      <c r="H207" s="43" t="s">
        <v>1184</v>
      </c>
      <c r="I207" s="43" t="s">
        <v>104</v>
      </c>
      <c r="J207" s="55"/>
      <c r="K207" s="119">
        <f>IFERROR(VLOOKUP(B207,BD_CONTROL!$A$5:$M$4235,11,0),"")</f>
        <v>0</v>
      </c>
      <c r="L207" s="120">
        <f>IFERROR(VLOOKUP(B207,BD_CONTROL!$A$5:$M$4235,12,0),"")</f>
        <v>0</v>
      </c>
      <c r="M207" s="121">
        <f>IFERROR(VLOOKUP(B207,BD_CONTROL!$A$5:$M$4235,13,0),"")</f>
        <v>0</v>
      </c>
    </row>
    <row r="208" spans="1:13" ht="15" customHeight="1">
      <c r="A208" s="39">
        <v>203</v>
      </c>
      <c r="B208" s="39" t="s">
        <v>3701</v>
      </c>
      <c r="C208" s="40" t="s">
        <v>3702</v>
      </c>
      <c r="D208" s="39" t="s">
        <v>3370</v>
      </c>
      <c r="E208" s="40" t="s">
        <v>3703</v>
      </c>
      <c r="F208" s="40" t="s">
        <v>3704</v>
      </c>
      <c r="G208" s="39" t="s">
        <v>109</v>
      </c>
      <c r="H208" s="40" t="s">
        <v>1110</v>
      </c>
      <c r="I208" s="40" t="s">
        <v>104</v>
      </c>
      <c r="J208" s="50"/>
      <c r="K208" s="116">
        <f>IFERROR(VLOOKUP(B208,BD_CONTROL!$A$5:$M$4235,11,0),"")</f>
        <v>0</v>
      </c>
      <c r="L208" s="117">
        <f>IFERROR(VLOOKUP(B208,BD_CONTROL!$A$5:$M$4235,12,0),"")</f>
        <v>0</v>
      </c>
      <c r="M208" s="118">
        <f>IFERROR(VLOOKUP(B208,BD_CONTROL!$A$5:$M$4235,13,0),"")</f>
        <v>0</v>
      </c>
    </row>
    <row r="209" spans="1:13" ht="15" customHeight="1">
      <c r="A209" s="42">
        <v>204</v>
      </c>
      <c r="B209" s="42" t="s">
        <v>3705</v>
      </c>
      <c r="C209" s="43" t="s">
        <v>3706</v>
      </c>
      <c r="D209" s="42" t="s">
        <v>3370</v>
      </c>
      <c r="E209" s="43" t="s">
        <v>3707</v>
      </c>
      <c r="F209" s="43" t="s">
        <v>3708</v>
      </c>
      <c r="G209" s="42" t="s">
        <v>109</v>
      </c>
      <c r="H209" s="43" t="s">
        <v>1110</v>
      </c>
      <c r="I209" s="43" t="s">
        <v>104</v>
      </c>
      <c r="J209" s="55"/>
      <c r="K209" s="119">
        <f>IFERROR(VLOOKUP(B209,BD_CONTROL!$A$5:$M$4235,11,0),"")</f>
        <v>0</v>
      </c>
      <c r="L209" s="120">
        <f>IFERROR(VLOOKUP(B209,BD_CONTROL!$A$5:$M$4235,12,0),"")</f>
        <v>0</v>
      </c>
      <c r="M209" s="121">
        <f>IFERROR(VLOOKUP(B209,BD_CONTROL!$A$5:$M$4235,13,0),"")</f>
        <v>0</v>
      </c>
    </row>
    <row r="210" spans="1:13" ht="15" customHeight="1">
      <c r="A210" s="39">
        <v>205</v>
      </c>
      <c r="B210" s="39" t="s">
        <v>3709</v>
      </c>
      <c r="C210" s="40" t="s">
        <v>2787</v>
      </c>
      <c r="D210" s="39" t="s">
        <v>3370</v>
      </c>
      <c r="E210" s="40" t="s">
        <v>3558</v>
      </c>
      <c r="F210" s="40" t="s">
        <v>2787</v>
      </c>
      <c r="G210" s="39" t="s">
        <v>102</v>
      </c>
      <c r="H210" s="40" t="s">
        <v>1184</v>
      </c>
      <c r="I210" s="40" t="s">
        <v>104</v>
      </c>
      <c r="J210" s="50"/>
      <c r="K210" s="116">
        <f>IFERROR(VLOOKUP(B210,BD_CONTROL!$A$5:$M$4235,11,0),"")</f>
        <v>0</v>
      </c>
      <c r="L210" s="117">
        <f>IFERROR(VLOOKUP(B210,BD_CONTROL!$A$5:$M$4235,12,0),"")</f>
        <v>0</v>
      </c>
      <c r="M210" s="118">
        <f>IFERROR(VLOOKUP(B210,BD_CONTROL!$A$5:$M$4235,13,0),"")</f>
        <v>0</v>
      </c>
    </row>
    <row r="211" spans="1:13" ht="15" customHeight="1">
      <c r="A211" s="42">
        <v>206</v>
      </c>
      <c r="B211" s="42" t="s">
        <v>3712</v>
      </c>
      <c r="C211" s="43" t="s">
        <v>3713</v>
      </c>
      <c r="D211" s="42" t="s">
        <v>3370</v>
      </c>
      <c r="E211" s="43" t="s">
        <v>3714</v>
      </c>
      <c r="F211" s="43" t="s">
        <v>3715</v>
      </c>
      <c r="G211" s="42" t="s">
        <v>109</v>
      </c>
      <c r="H211" s="43" t="s">
        <v>1110</v>
      </c>
      <c r="I211" s="43" t="s">
        <v>104</v>
      </c>
      <c r="J211" s="55"/>
      <c r="K211" s="119">
        <f>IFERROR(VLOOKUP(B211,BD_CONTROL!$A$5:$M$4235,11,0),"")</f>
        <v>0</v>
      </c>
      <c r="L211" s="120">
        <f>IFERROR(VLOOKUP(B211,BD_CONTROL!$A$5:$M$4235,12,0),"")</f>
        <v>0</v>
      </c>
      <c r="M211" s="121">
        <f>IFERROR(VLOOKUP(B211,BD_CONTROL!$A$5:$M$4235,13,0),"")</f>
        <v>0</v>
      </c>
    </row>
    <row r="212" spans="1:13" ht="15" customHeight="1">
      <c r="A212" s="39">
        <v>207</v>
      </c>
      <c r="B212" s="39" t="s">
        <v>3720</v>
      </c>
      <c r="C212" s="40" t="s">
        <v>3721</v>
      </c>
      <c r="D212" s="39" t="s">
        <v>3370</v>
      </c>
      <c r="E212" s="40" t="s">
        <v>3428</v>
      </c>
      <c r="F212" s="40" t="s">
        <v>3722</v>
      </c>
      <c r="G212" s="39" t="s">
        <v>109</v>
      </c>
      <c r="H212" s="40" t="s">
        <v>1184</v>
      </c>
      <c r="I212" s="40" t="s">
        <v>104</v>
      </c>
      <c r="J212" s="50"/>
      <c r="K212" s="116">
        <f>IFERROR(VLOOKUP(B212,BD_CONTROL!$A$5:$M$4235,11,0),"")</f>
        <v>0</v>
      </c>
      <c r="L212" s="117">
        <f>IFERROR(VLOOKUP(B212,BD_CONTROL!$A$5:$M$4235,12,0),"")</f>
        <v>0</v>
      </c>
      <c r="M212" s="118">
        <f>IFERROR(VLOOKUP(B212,BD_CONTROL!$A$5:$M$4235,13,0),"")</f>
        <v>0</v>
      </c>
    </row>
    <row r="213" spans="1:13" ht="15" customHeight="1">
      <c r="A213" s="42">
        <v>208</v>
      </c>
      <c r="B213" s="42" t="s">
        <v>3723</v>
      </c>
      <c r="C213" s="43" t="s">
        <v>3454</v>
      </c>
      <c r="D213" s="42" t="s">
        <v>3370</v>
      </c>
      <c r="E213" s="43" t="s">
        <v>3724</v>
      </c>
      <c r="F213" s="43" t="s">
        <v>527</v>
      </c>
      <c r="G213" s="42" t="s">
        <v>109</v>
      </c>
      <c r="H213" s="43" t="s">
        <v>1184</v>
      </c>
      <c r="I213" s="43" t="s">
        <v>104</v>
      </c>
      <c r="J213" s="55"/>
      <c r="K213" s="119">
        <f>IFERROR(VLOOKUP(B213,BD_CONTROL!$A$5:$M$4235,11,0),"")</f>
        <v>0</v>
      </c>
      <c r="L213" s="120">
        <f>IFERROR(VLOOKUP(B213,BD_CONTROL!$A$5:$M$4235,12,0),"")</f>
        <v>0</v>
      </c>
      <c r="M213" s="121">
        <f>IFERROR(VLOOKUP(B213,BD_CONTROL!$A$5:$M$4235,13,0),"")</f>
        <v>0</v>
      </c>
    </row>
    <row r="214" spans="1:13" ht="15" customHeight="1">
      <c r="A214" s="39">
        <v>209</v>
      </c>
      <c r="B214" s="39" t="s">
        <v>3726</v>
      </c>
      <c r="C214" s="40" t="s">
        <v>752</v>
      </c>
      <c r="D214" s="39" t="s">
        <v>3370</v>
      </c>
      <c r="E214" s="40" t="s">
        <v>1244</v>
      </c>
      <c r="F214" s="40" t="s">
        <v>3555</v>
      </c>
      <c r="G214" s="39" t="s">
        <v>109</v>
      </c>
      <c r="H214" s="40" t="s">
        <v>1184</v>
      </c>
      <c r="I214" s="40" t="s">
        <v>104</v>
      </c>
      <c r="J214" s="50"/>
      <c r="K214" s="116">
        <f>IFERROR(VLOOKUP(B214,BD_CONTROL!$A$5:$M$4235,11,0),"")</f>
        <v>0</v>
      </c>
      <c r="L214" s="117">
        <f>IFERROR(VLOOKUP(B214,BD_CONTROL!$A$5:$M$4235,12,0),"")</f>
        <v>0</v>
      </c>
      <c r="M214" s="118">
        <f>IFERROR(VLOOKUP(B214,BD_CONTROL!$A$5:$M$4235,13,0),"")</f>
        <v>0</v>
      </c>
    </row>
    <row r="215" spans="1:13" ht="15" customHeight="1">
      <c r="A215" s="42">
        <v>210</v>
      </c>
      <c r="B215" s="42" t="s">
        <v>3727</v>
      </c>
      <c r="C215" s="43" t="s">
        <v>1374</v>
      </c>
      <c r="D215" s="42" t="s">
        <v>3370</v>
      </c>
      <c r="E215" s="43" t="s">
        <v>3728</v>
      </c>
      <c r="F215" s="43" t="s">
        <v>3729</v>
      </c>
      <c r="G215" s="42" t="s">
        <v>109</v>
      </c>
      <c r="H215" s="43" t="s">
        <v>1110</v>
      </c>
      <c r="I215" s="43" t="s">
        <v>104</v>
      </c>
      <c r="J215" s="55"/>
      <c r="K215" s="119">
        <f>IFERROR(VLOOKUP(B215,BD_CONTROL!$A$5:$M$4235,11,0),"")</f>
        <v>0</v>
      </c>
      <c r="L215" s="120">
        <f>IFERROR(VLOOKUP(B215,BD_CONTROL!$A$5:$M$4235,12,0),"")</f>
        <v>0</v>
      </c>
      <c r="M215" s="121">
        <f>IFERROR(VLOOKUP(B215,BD_CONTROL!$A$5:$M$4235,13,0),"")</f>
        <v>0</v>
      </c>
    </row>
    <row r="216" spans="1:13" ht="15" customHeight="1">
      <c r="A216" s="39">
        <v>211</v>
      </c>
      <c r="B216" s="39" t="s">
        <v>3730</v>
      </c>
      <c r="C216" s="40" t="s">
        <v>725</v>
      </c>
      <c r="D216" s="39" t="s">
        <v>3370</v>
      </c>
      <c r="E216" s="40" t="s">
        <v>3714</v>
      </c>
      <c r="F216" s="40" t="s">
        <v>3731</v>
      </c>
      <c r="G216" s="39" t="s">
        <v>109</v>
      </c>
      <c r="H216" s="40" t="s">
        <v>1110</v>
      </c>
      <c r="I216" s="40" t="s">
        <v>104</v>
      </c>
      <c r="J216" s="50"/>
      <c r="K216" s="116">
        <f>IFERROR(VLOOKUP(B216,BD_CONTROL!$A$5:$M$4235,11,0),"")</f>
        <v>0</v>
      </c>
      <c r="L216" s="117">
        <f>IFERROR(VLOOKUP(B216,BD_CONTROL!$A$5:$M$4235,12,0),"")</f>
        <v>0</v>
      </c>
      <c r="M216" s="118">
        <f>IFERROR(VLOOKUP(B216,BD_CONTROL!$A$5:$M$4235,13,0),"")</f>
        <v>0</v>
      </c>
    </row>
    <row r="217" spans="1:13" ht="15" customHeight="1">
      <c r="A217" s="42">
        <v>212</v>
      </c>
      <c r="B217" s="42" t="s">
        <v>3732</v>
      </c>
      <c r="C217" s="43" t="s">
        <v>1244</v>
      </c>
      <c r="D217" s="42" t="s">
        <v>3370</v>
      </c>
      <c r="E217" s="43" t="s">
        <v>1244</v>
      </c>
      <c r="F217" s="43" t="s">
        <v>423</v>
      </c>
      <c r="G217" s="42" t="s">
        <v>109</v>
      </c>
      <c r="H217" s="43" t="s">
        <v>1184</v>
      </c>
      <c r="I217" s="43" t="s">
        <v>104</v>
      </c>
      <c r="J217" s="55"/>
      <c r="K217" s="119">
        <f>IFERROR(VLOOKUP(B217,BD_CONTROL!$A$5:$M$4235,11,0),"")</f>
        <v>0</v>
      </c>
      <c r="L217" s="120">
        <f>IFERROR(VLOOKUP(B217,BD_CONTROL!$A$5:$M$4235,12,0),"")</f>
        <v>0</v>
      </c>
      <c r="M217" s="121">
        <f>IFERROR(VLOOKUP(B217,BD_CONTROL!$A$5:$M$4235,13,0),"")</f>
        <v>0</v>
      </c>
    </row>
    <row r="218" spans="1:13" ht="15" customHeight="1">
      <c r="A218" s="39">
        <v>213</v>
      </c>
      <c r="B218" s="39" t="s">
        <v>3739</v>
      </c>
      <c r="C218" s="40" t="s">
        <v>3740</v>
      </c>
      <c r="D218" s="39" t="s">
        <v>3370</v>
      </c>
      <c r="E218" s="40" t="s">
        <v>3558</v>
      </c>
      <c r="F218" s="40" t="s">
        <v>3741</v>
      </c>
      <c r="G218" s="39" t="s">
        <v>102</v>
      </c>
      <c r="H218" s="40" t="s">
        <v>1184</v>
      </c>
      <c r="I218" s="40" t="s">
        <v>104</v>
      </c>
      <c r="J218" s="50"/>
      <c r="K218" s="116">
        <f>IFERROR(VLOOKUP(B218,BD_CONTROL!$A$5:$M$4235,11,0),"")</f>
        <v>0</v>
      </c>
      <c r="L218" s="117">
        <f>IFERROR(VLOOKUP(B218,BD_CONTROL!$A$5:$M$4235,12,0),"")</f>
        <v>0</v>
      </c>
      <c r="M218" s="118">
        <f>IFERROR(VLOOKUP(B218,BD_CONTROL!$A$5:$M$4235,13,0),"")</f>
        <v>0</v>
      </c>
    </row>
    <row r="219" spans="1:13" ht="15" customHeight="1">
      <c r="A219" s="42">
        <v>214</v>
      </c>
      <c r="B219" s="42" t="s">
        <v>3742</v>
      </c>
      <c r="C219" s="43" t="s">
        <v>3743</v>
      </c>
      <c r="D219" s="42" t="s">
        <v>3370</v>
      </c>
      <c r="E219" s="43" t="s">
        <v>3416</v>
      </c>
      <c r="F219" s="43" t="s">
        <v>3416</v>
      </c>
      <c r="G219" s="42" t="s">
        <v>102</v>
      </c>
      <c r="H219" s="43" t="s">
        <v>1110</v>
      </c>
      <c r="I219" s="43" t="s">
        <v>104</v>
      </c>
      <c r="J219" s="55"/>
      <c r="K219" s="119">
        <f>IFERROR(VLOOKUP(B219,BD_CONTROL!$A$5:$M$4235,11,0),"")</f>
        <v>0</v>
      </c>
      <c r="L219" s="120">
        <f>IFERROR(VLOOKUP(B219,BD_CONTROL!$A$5:$M$4235,12,0),"")</f>
        <v>0</v>
      </c>
      <c r="M219" s="121">
        <f>IFERROR(VLOOKUP(B219,BD_CONTROL!$A$5:$M$4235,13,0),"")</f>
        <v>0</v>
      </c>
    </row>
    <row r="220" spans="1:13" ht="15" customHeight="1">
      <c r="A220" s="39">
        <v>215</v>
      </c>
      <c r="B220" s="39" t="s">
        <v>3744</v>
      </c>
      <c r="C220" s="40" t="s">
        <v>3745</v>
      </c>
      <c r="D220" s="39" t="s">
        <v>3370</v>
      </c>
      <c r="E220" s="40" t="s">
        <v>3746</v>
      </c>
      <c r="F220" s="40" t="s">
        <v>3747</v>
      </c>
      <c r="G220" s="39" t="s">
        <v>109</v>
      </c>
      <c r="H220" s="40" t="s">
        <v>1184</v>
      </c>
      <c r="I220" s="40" t="s">
        <v>104</v>
      </c>
      <c r="J220" s="50"/>
      <c r="K220" s="116">
        <f>IFERROR(VLOOKUP(B220,BD_CONTROL!$A$5:$M$4235,11,0),"")</f>
        <v>0</v>
      </c>
      <c r="L220" s="117">
        <f>IFERROR(VLOOKUP(B220,BD_CONTROL!$A$5:$M$4235,12,0),"")</f>
        <v>0</v>
      </c>
      <c r="M220" s="118">
        <f>IFERROR(VLOOKUP(B220,BD_CONTROL!$A$5:$M$4235,13,0),"")</f>
        <v>0</v>
      </c>
    </row>
    <row r="221" spans="1:13" ht="15" customHeight="1">
      <c r="A221" s="42">
        <v>216</v>
      </c>
      <c r="B221" s="42" t="s">
        <v>3748</v>
      </c>
      <c r="C221" s="43" t="s">
        <v>3384</v>
      </c>
      <c r="D221" s="42" t="s">
        <v>3370</v>
      </c>
      <c r="E221" s="43" t="s">
        <v>3749</v>
      </c>
      <c r="F221" s="43" t="s">
        <v>3750</v>
      </c>
      <c r="G221" s="42" t="s">
        <v>109</v>
      </c>
      <c r="H221" s="43" t="s">
        <v>1184</v>
      </c>
      <c r="I221" s="43" t="s">
        <v>104</v>
      </c>
      <c r="J221" s="55"/>
      <c r="K221" s="119" t="str">
        <f>IFERROR(VLOOKUP(B221,BD_CONTROL!$A$5:$M$4235,11,0),"")</f>
        <v>Instalado - Operando</v>
      </c>
      <c r="L221" s="120">
        <f>IFERROR(VLOOKUP(B221,BD_CONTROL!$A$5:$M$4235,12,0),"")</f>
        <v>46148</v>
      </c>
      <c r="M221" s="121">
        <f>IFERROR(VLOOKUP(B221,BD_CONTROL!$A$5:$M$4235,13,0),"")</f>
        <v>0</v>
      </c>
    </row>
    <row r="222" spans="1:13" ht="15" customHeight="1">
      <c r="A222" s="39">
        <v>217</v>
      </c>
      <c r="B222" s="39" t="s">
        <v>3755</v>
      </c>
      <c r="C222" s="40" t="s">
        <v>3676</v>
      </c>
      <c r="D222" s="39" t="s">
        <v>3370</v>
      </c>
      <c r="E222" s="40" t="s">
        <v>3756</v>
      </c>
      <c r="F222" s="40" t="s">
        <v>3756</v>
      </c>
      <c r="G222" s="39" t="s">
        <v>109</v>
      </c>
      <c r="H222" s="40" t="s">
        <v>1110</v>
      </c>
      <c r="I222" s="40" t="s">
        <v>104</v>
      </c>
      <c r="J222" s="50"/>
      <c r="K222" s="116">
        <f>IFERROR(VLOOKUP(B222,BD_CONTROL!$A$5:$M$4235,11,0),"")</f>
        <v>0</v>
      </c>
      <c r="L222" s="117">
        <f>IFERROR(VLOOKUP(B222,BD_CONTROL!$A$5:$M$4235,12,0),"")</f>
        <v>0</v>
      </c>
      <c r="M222" s="118">
        <f>IFERROR(VLOOKUP(B222,BD_CONTROL!$A$5:$M$4235,13,0),"")</f>
        <v>0</v>
      </c>
    </row>
    <row r="223" spans="1:13" ht="15" customHeight="1">
      <c r="A223" s="42">
        <v>218</v>
      </c>
      <c r="B223" s="42" t="s">
        <v>3757</v>
      </c>
      <c r="C223" s="43" t="s">
        <v>1123</v>
      </c>
      <c r="D223" s="42" t="s">
        <v>3370</v>
      </c>
      <c r="E223" s="43" t="s">
        <v>3707</v>
      </c>
      <c r="F223" s="43" t="s">
        <v>706</v>
      </c>
      <c r="G223" s="42" t="s">
        <v>109</v>
      </c>
      <c r="H223" s="43" t="s">
        <v>1110</v>
      </c>
      <c r="I223" s="43" t="s">
        <v>104</v>
      </c>
      <c r="J223" s="55"/>
      <c r="K223" s="119">
        <f>IFERROR(VLOOKUP(B223,BD_CONTROL!$A$5:$M$4235,11,0),"")</f>
        <v>0</v>
      </c>
      <c r="L223" s="120">
        <f>IFERROR(VLOOKUP(B223,BD_CONTROL!$A$5:$M$4235,12,0),"")</f>
        <v>0</v>
      </c>
      <c r="M223" s="121">
        <f>IFERROR(VLOOKUP(B223,BD_CONTROL!$A$5:$M$4235,13,0),"")</f>
        <v>0</v>
      </c>
    </row>
    <row r="224" spans="1:13" ht="15" customHeight="1">
      <c r="A224" s="39">
        <v>219</v>
      </c>
      <c r="B224" s="39" t="s">
        <v>3758</v>
      </c>
      <c r="C224" s="40" t="s">
        <v>3759</v>
      </c>
      <c r="D224" s="39" t="s">
        <v>3370</v>
      </c>
      <c r="E224" s="40" t="s">
        <v>3587</v>
      </c>
      <c r="F224" s="40" t="s">
        <v>3760</v>
      </c>
      <c r="G224" s="39" t="s">
        <v>109</v>
      </c>
      <c r="H224" s="40" t="s">
        <v>1110</v>
      </c>
      <c r="I224" s="40" t="s">
        <v>104</v>
      </c>
      <c r="J224" s="50"/>
      <c r="K224" s="116">
        <f>IFERROR(VLOOKUP(B224,BD_CONTROL!$A$5:$M$4235,11,0),"")</f>
        <v>0</v>
      </c>
      <c r="L224" s="117">
        <f>IFERROR(VLOOKUP(B224,BD_CONTROL!$A$5:$M$4235,12,0),"")</f>
        <v>0</v>
      </c>
      <c r="M224" s="118">
        <f>IFERROR(VLOOKUP(B224,BD_CONTROL!$A$5:$M$4235,13,0),"")</f>
        <v>0</v>
      </c>
    </row>
    <row r="225" spans="1:13" ht="15" customHeight="1">
      <c r="A225" s="42">
        <v>220</v>
      </c>
      <c r="B225" s="42" t="s">
        <v>3761</v>
      </c>
      <c r="C225" s="43" t="s">
        <v>1295</v>
      </c>
      <c r="D225" s="42" t="s">
        <v>3370</v>
      </c>
      <c r="E225" s="43" t="s">
        <v>3762</v>
      </c>
      <c r="F225" s="43" t="s">
        <v>3763</v>
      </c>
      <c r="G225" s="42" t="s">
        <v>109</v>
      </c>
      <c r="H225" s="43" t="s">
        <v>1184</v>
      </c>
      <c r="I225" s="43" t="s">
        <v>104</v>
      </c>
      <c r="J225" s="55"/>
      <c r="K225" s="119">
        <f>IFERROR(VLOOKUP(B225,BD_CONTROL!$A$5:$M$4235,11,0),"")</f>
        <v>0</v>
      </c>
      <c r="L225" s="120">
        <f>IFERROR(VLOOKUP(B225,BD_CONTROL!$A$5:$M$4235,12,0),"")</f>
        <v>0</v>
      </c>
      <c r="M225" s="121">
        <f>IFERROR(VLOOKUP(B225,BD_CONTROL!$A$5:$M$4235,13,0),"")</f>
        <v>0</v>
      </c>
    </row>
    <row r="226" spans="1:13" ht="15" customHeight="1">
      <c r="A226" s="39">
        <v>221</v>
      </c>
      <c r="B226" s="39" t="s">
        <v>3764</v>
      </c>
      <c r="C226" s="40" t="s">
        <v>1057</v>
      </c>
      <c r="D226" s="39" t="s">
        <v>3370</v>
      </c>
      <c r="E226" s="40" t="s">
        <v>3385</v>
      </c>
      <c r="F226" s="40" t="s">
        <v>3765</v>
      </c>
      <c r="G226" s="39" t="s">
        <v>102</v>
      </c>
      <c r="H226" s="40" t="s">
        <v>1184</v>
      </c>
      <c r="I226" s="40" t="s">
        <v>104</v>
      </c>
      <c r="J226" s="50"/>
      <c r="K226" s="116">
        <f>IFERROR(VLOOKUP(B226,BD_CONTROL!$A$5:$M$4235,11,0),"")</f>
        <v>0</v>
      </c>
      <c r="L226" s="117">
        <f>IFERROR(VLOOKUP(B226,BD_CONTROL!$A$5:$M$4235,12,0),"")</f>
        <v>0</v>
      </c>
      <c r="M226" s="118">
        <f>IFERROR(VLOOKUP(B226,BD_CONTROL!$A$5:$M$4235,13,0),"")</f>
        <v>0</v>
      </c>
    </row>
    <row r="227" spans="1:13" ht="15" customHeight="1">
      <c r="A227" s="42">
        <v>222</v>
      </c>
      <c r="B227" s="42" t="s">
        <v>3766</v>
      </c>
      <c r="C227" s="43" t="s">
        <v>3767</v>
      </c>
      <c r="D227" s="42" t="s">
        <v>3370</v>
      </c>
      <c r="E227" s="43" t="s">
        <v>3582</v>
      </c>
      <c r="F227" s="43" t="s">
        <v>3768</v>
      </c>
      <c r="G227" s="42" t="s">
        <v>109</v>
      </c>
      <c r="H227" s="43" t="s">
        <v>1110</v>
      </c>
      <c r="I227" s="43" t="s">
        <v>104</v>
      </c>
      <c r="J227" s="55"/>
      <c r="K227" s="119">
        <f>IFERROR(VLOOKUP(B227,BD_CONTROL!$A$5:$M$4235,11,0),"")</f>
        <v>0</v>
      </c>
      <c r="L227" s="120">
        <f>IFERROR(VLOOKUP(B227,BD_CONTROL!$A$5:$M$4235,12,0),"")</f>
        <v>0</v>
      </c>
      <c r="M227" s="121">
        <f>IFERROR(VLOOKUP(B227,BD_CONTROL!$A$5:$M$4235,13,0),"")</f>
        <v>0</v>
      </c>
    </row>
    <row r="228" spans="1:13" ht="15" customHeight="1">
      <c r="A228" s="39">
        <v>223</v>
      </c>
      <c r="B228" s="39" t="s">
        <v>3769</v>
      </c>
      <c r="C228" s="40" t="s">
        <v>1327</v>
      </c>
      <c r="D228" s="39" t="s">
        <v>3370</v>
      </c>
      <c r="E228" s="40" t="s">
        <v>3770</v>
      </c>
      <c r="F228" s="40" t="s">
        <v>3771</v>
      </c>
      <c r="G228" s="39" t="s">
        <v>102</v>
      </c>
      <c r="H228" s="40" t="s">
        <v>1184</v>
      </c>
      <c r="I228" s="40" t="s">
        <v>104</v>
      </c>
      <c r="J228" s="50"/>
      <c r="K228" s="116">
        <f>IFERROR(VLOOKUP(B228,BD_CONTROL!$A$5:$M$4235,11,0),"")</f>
        <v>0</v>
      </c>
      <c r="L228" s="117">
        <f>IFERROR(VLOOKUP(B228,BD_CONTROL!$A$5:$M$4235,12,0),"")</f>
        <v>0</v>
      </c>
      <c r="M228" s="118">
        <f>IFERROR(VLOOKUP(B228,BD_CONTROL!$A$5:$M$4235,13,0),"")</f>
        <v>0</v>
      </c>
    </row>
    <row r="229" spans="1:13" ht="15" customHeight="1">
      <c r="A229" s="42">
        <v>224</v>
      </c>
      <c r="B229" s="42" t="s">
        <v>3772</v>
      </c>
      <c r="C229" s="43" t="s">
        <v>3773</v>
      </c>
      <c r="D229" s="42" t="s">
        <v>3370</v>
      </c>
      <c r="E229" s="43" t="s">
        <v>3774</v>
      </c>
      <c r="F229" s="43" t="s">
        <v>3775</v>
      </c>
      <c r="G229" s="42" t="s">
        <v>109</v>
      </c>
      <c r="H229" s="43" t="s">
        <v>1110</v>
      </c>
      <c r="I229" s="43" t="s">
        <v>104</v>
      </c>
      <c r="J229" s="55"/>
      <c r="K229" s="119">
        <f>IFERROR(VLOOKUP(B229,BD_CONTROL!$A$5:$M$4235,11,0),"")</f>
        <v>0</v>
      </c>
      <c r="L229" s="120">
        <f>IFERROR(VLOOKUP(B229,BD_CONTROL!$A$5:$M$4235,12,0),"")</f>
        <v>0</v>
      </c>
      <c r="M229" s="121">
        <f>IFERROR(VLOOKUP(B229,BD_CONTROL!$A$5:$M$4235,13,0),"")</f>
        <v>0</v>
      </c>
    </row>
    <row r="230" spans="1:13" ht="15" customHeight="1">
      <c r="A230" s="39">
        <v>225</v>
      </c>
      <c r="B230" s="39" t="s">
        <v>3780</v>
      </c>
      <c r="C230" s="40" t="s">
        <v>3781</v>
      </c>
      <c r="D230" s="39" t="s">
        <v>3370</v>
      </c>
      <c r="E230" s="40" t="s">
        <v>3644</v>
      </c>
      <c r="F230" s="40" t="s">
        <v>3782</v>
      </c>
      <c r="G230" s="39" t="s">
        <v>109</v>
      </c>
      <c r="H230" s="40" t="s">
        <v>1110</v>
      </c>
      <c r="I230" s="40" t="s">
        <v>104</v>
      </c>
      <c r="J230" s="50"/>
      <c r="K230" s="116">
        <f>IFERROR(VLOOKUP(B230,BD_CONTROL!$A$5:$M$4235,11,0),"")</f>
        <v>0</v>
      </c>
      <c r="L230" s="117">
        <f>IFERROR(VLOOKUP(B230,BD_CONTROL!$A$5:$M$4235,12,0),"")</f>
        <v>0</v>
      </c>
      <c r="M230" s="118">
        <f>IFERROR(VLOOKUP(B230,BD_CONTROL!$A$5:$M$4235,13,0),"")</f>
        <v>0</v>
      </c>
    </row>
    <row r="231" spans="1:13" ht="15" customHeight="1">
      <c r="A231" s="42">
        <v>226</v>
      </c>
      <c r="B231" s="42" t="s">
        <v>3840</v>
      </c>
      <c r="C231" s="43" t="s">
        <v>3841</v>
      </c>
      <c r="D231" s="42" t="s">
        <v>3370</v>
      </c>
      <c r="E231" s="43" t="s">
        <v>3842</v>
      </c>
      <c r="F231" s="43" t="s">
        <v>3843</v>
      </c>
      <c r="G231" s="42" t="s">
        <v>102</v>
      </c>
      <c r="H231" s="43" t="s">
        <v>1110</v>
      </c>
      <c r="I231" s="43" t="s">
        <v>104</v>
      </c>
      <c r="J231" s="55"/>
      <c r="K231" s="119">
        <f>IFERROR(VLOOKUP(B231,BD_CONTROL!$A$5:$M$4235,11,0),"")</f>
        <v>0</v>
      </c>
      <c r="L231" s="120">
        <f>IFERROR(VLOOKUP(B231,BD_CONTROL!$A$5:$M$4235,12,0),"")</f>
        <v>0</v>
      </c>
      <c r="M231" s="121">
        <f>IFERROR(VLOOKUP(B231,BD_CONTROL!$A$5:$M$4235,13,0),"")</f>
        <v>0</v>
      </c>
    </row>
    <row r="232" spans="1:13" ht="15" customHeight="1">
      <c r="A232" s="39">
        <v>227</v>
      </c>
      <c r="B232" s="39" t="s">
        <v>3844</v>
      </c>
      <c r="C232" s="40" t="s">
        <v>3845</v>
      </c>
      <c r="D232" s="39" t="s">
        <v>3370</v>
      </c>
      <c r="E232" s="40" t="s">
        <v>3842</v>
      </c>
      <c r="F232" s="40" t="s">
        <v>3846</v>
      </c>
      <c r="G232" s="39" t="s">
        <v>109</v>
      </c>
      <c r="H232" s="40" t="s">
        <v>1110</v>
      </c>
      <c r="I232" s="40" t="s">
        <v>104</v>
      </c>
      <c r="J232" s="50"/>
      <c r="K232" s="116">
        <f>IFERROR(VLOOKUP(B232,BD_CONTROL!$A$5:$M$4235,11,0),"")</f>
        <v>0</v>
      </c>
      <c r="L232" s="117">
        <f>IFERROR(VLOOKUP(B232,BD_CONTROL!$A$5:$M$4235,12,0),"")</f>
        <v>0</v>
      </c>
      <c r="M232" s="118">
        <f>IFERROR(VLOOKUP(B232,BD_CONTROL!$A$5:$M$4235,13,0),"")</f>
        <v>0</v>
      </c>
    </row>
    <row r="233" spans="1:13" ht="15" customHeight="1">
      <c r="A233" s="42">
        <v>228</v>
      </c>
      <c r="B233" s="42" t="s">
        <v>3851</v>
      </c>
      <c r="C233" s="43" t="s">
        <v>3852</v>
      </c>
      <c r="D233" s="42" t="s">
        <v>3370</v>
      </c>
      <c r="E233" s="43" t="s">
        <v>3558</v>
      </c>
      <c r="F233" s="43" t="s">
        <v>3853</v>
      </c>
      <c r="G233" s="42" t="s">
        <v>102</v>
      </c>
      <c r="H233" s="43" t="s">
        <v>1184</v>
      </c>
      <c r="I233" s="43" t="s">
        <v>104</v>
      </c>
      <c r="J233" s="55"/>
      <c r="K233" s="119">
        <f>IFERROR(VLOOKUP(B233,BD_CONTROL!$A$5:$M$4235,11,0),"")</f>
        <v>0</v>
      </c>
      <c r="L233" s="120">
        <f>IFERROR(VLOOKUP(B233,BD_CONTROL!$A$5:$M$4235,12,0),"")</f>
        <v>0</v>
      </c>
      <c r="M233" s="121">
        <f>IFERROR(VLOOKUP(B233,BD_CONTROL!$A$5:$M$4235,13,0),"")</f>
        <v>0</v>
      </c>
    </row>
    <row r="234" spans="1:13" ht="15" customHeight="1">
      <c r="A234" s="39">
        <v>229</v>
      </c>
      <c r="B234" s="39" t="s">
        <v>3858</v>
      </c>
      <c r="C234" s="40" t="s">
        <v>3859</v>
      </c>
      <c r="D234" s="39" t="s">
        <v>3370</v>
      </c>
      <c r="E234" s="40" t="s">
        <v>3582</v>
      </c>
      <c r="F234" s="40" t="s">
        <v>3860</v>
      </c>
      <c r="G234" s="39" t="s">
        <v>109</v>
      </c>
      <c r="H234" s="40" t="s">
        <v>1184</v>
      </c>
      <c r="I234" s="40" t="s">
        <v>104</v>
      </c>
      <c r="J234" s="50"/>
      <c r="K234" s="116">
        <f>IFERROR(VLOOKUP(B234,BD_CONTROL!$A$5:$M$4235,11,0),"")</f>
        <v>0</v>
      </c>
      <c r="L234" s="117">
        <f>IFERROR(VLOOKUP(B234,BD_CONTROL!$A$5:$M$4235,12,0),"")</f>
        <v>0</v>
      </c>
      <c r="M234" s="118">
        <f>IFERROR(VLOOKUP(B234,BD_CONTROL!$A$5:$M$4235,13,0),"")</f>
        <v>0</v>
      </c>
    </row>
    <row r="235" spans="1:13" ht="15" customHeight="1">
      <c r="A235" s="42">
        <v>230</v>
      </c>
      <c r="B235" s="42" t="s">
        <v>3861</v>
      </c>
      <c r="C235" s="43" t="s">
        <v>3862</v>
      </c>
      <c r="D235" s="42" t="s">
        <v>3370</v>
      </c>
      <c r="E235" s="43" t="s">
        <v>3582</v>
      </c>
      <c r="F235" s="43" t="s">
        <v>3863</v>
      </c>
      <c r="G235" s="42" t="s">
        <v>109</v>
      </c>
      <c r="H235" s="43" t="s">
        <v>1110</v>
      </c>
      <c r="I235" s="43" t="s">
        <v>104</v>
      </c>
      <c r="J235" s="55"/>
      <c r="K235" s="119" t="str">
        <f>IFERROR(VLOOKUP(B235,BD_CONTROL!$A$5:$M$4235,11,0),"")</f>
        <v>Instalado - Operando</v>
      </c>
      <c r="L235" s="120">
        <f>IFERROR(VLOOKUP(B235,BD_CONTROL!$A$5:$M$4235,12,0),"")</f>
        <v>46149</v>
      </c>
      <c r="M235" s="121" t="str">
        <f>IFERROR(VLOOKUP(B235,BD_CONTROL!$A$5:$M$4235,13,0),"")</f>
        <v>Este equipo no se encuentra cargado en la Aplicación</v>
      </c>
    </row>
    <row r="236" spans="1:13" ht="15" customHeight="1">
      <c r="A236" s="39">
        <v>231</v>
      </c>
      <c r="B236" s="39" t="s">
        <v>3864</v>
      </c>
      <c r="C236" s="40" t="s">
        <v>3865</v>
      </c>
      <c r="D236" s="39" t="s">
        <v>3370</v>
      </c>
      <c r="E236" s="40" t="s">
        <v>3582</v>
      </c>
      <c r="F236" s="40" t="s">
        <v>3866</v>
      </c>
      <c r="G236" s="39" t="s">
        <v>109</v>
      </c>
      <c r="H236" s="40" t="s">
        <v>1110</v>
      </c>
      <c r="I236" s="40" t="s">
        <v>104</v>
      </c>
      <c r="J236" s="50"/>
      <c r="K236" s="116">
        <f>IFERROR(VLOOKUP(B236,BD_CONTROL!$A$5:$M$4235,11,0),"")</f>
        <v>0</v>
      </c>
      <c r="L236" s="117">
        <f>IFERROR(VLOOKUP(B236,BD_CONTROL!$A$5:$M$4235,12,0),"")</f>
        <v>0</v>
      </c>
      <c r="M236" s="118">
        <f>IFERROR(VLOOKUP(B236,BD_CONTROL!$A$5:$M$4235,13,0),"")</f>
        <v>0</v>
      </c>
    </row>
    <row r="237" spans="1:13" ht="15" customHeight="1">
      <c r="A237" s="42">
        <v>232</v>
      </c>
      <c r="B237" s="42" t="s">
        <v>3870</v>
      </c>
      <c r="C237" s="43" t="s">
        <v>3871</v>
      </c>
      <c r="D237" s="42" t="s">
        <v>3370</v>
      </c>
      <c r="E237" s="43" t="s">
        <v>3404</v>
      </c>
      <c r="F237" s="43" t="s">
        <v>3872</v>
      </c>
      <c r="G237" s="42" t="s">
        <v>102</v>
      </c>
      <c r="H237" s="43" t="s">
        <v>1110</v>
      </c>
      <c r="I237" s="43" t="s">
        <v>104</v>
      </c>
      <c r="J237" s="55"/>
      <c r="K237" s="119">
        <f>IFERROR(VLOOKUP(B237,BD_CONTROL!$A$5:$M$4235,11,0),"")</f>
        <v>0</v>
      </c>
      <c r="L237" s="120">
        <f>IFERROR(VLOOKUP(B237,BD_CONTROL!$A$5:$M$4235,12,0),"")</f>
        <v>0</v>
      </c>
      <c r="M237" s="121">
        <f>IFERROR(VLOOKUP(B237,BD_CONTROL!$A$5:$M$4235,13,0),"")</f>
        <v>0</v>
      </c>
    </row>
    <row r="238" spans="1:13" ht="15" customHeight="1">
      <c r="A238" s="39">
        <v>233</v>
      </c>
      <c r="B238" s="39" t="s">
        <v>3873</v>
      </c>
      <c r="C238" s="40" t="s">
        <v>3874</v>
      </c>
      <c r="D238" s="39" t="s">
        <v>3370</v>
      </c>
      <c r="E238" s="40" t="s">
        <v>3551</v>
      </c>
      <c r="F238" s="40" t="s">
        <v>3875</v>
      </c>
      <c r="G238" s="39" t="s">
        <v>109</v>
      </c>
      <c r="H238" s="40" t="s">
        <v>1184</v>
      </c>
      <c r="I238" s="40" t="s">
        <v>104</v>
      </c>
      <c r="J238" s="50"/>
      <c r="K238" s="116">
        <f>IFERROR(VLOOKUP(B238,BD_CONTROL!$A$5:$M$4235,11,0),"")</f>
        <v>0</v>
      </c>
      <c r="L238" s="117">
        <f>IFERROR(VLOOKUP(B238,BD_CONTROL!$A$5:$M$4235,12,0),"")</f>
        <v>0</v>
      </c>
      <c r="M238" s="118">
        <f>IFERROR(VLOOKUP(B238,BD_CONTROL!$A$5:$M$4235,13,0),"")</f>
        <v>0</v>
      </c>
    </row>
    <row r="239" spans="1:13" ht="15" customHeight="1">
      <c r="A239" s="42">
        <v>234</v>
      </c>
      <c r="B239" s="42" t="s">
        <v>3881</v>
      </c>
      <c r="C239" s="43" t="s">
        <v>3882</v>
      </c>
      <c r="D239" s="42" t="s">
        <v>3370</v>
      </c>
      <c r="E239" s="43" t="s">
        <v>3645</v>
      </c>
      <c r="F239" s="43" t="s">
        <v>3883</v>
      </c>
      <c r="G239" s="42" t="s">
        <v>109</v>
      </c>
      <c r="H239" s="43" t="s">
        <v>1110</v>
      </c>
      <c r="I239" s="43" t="s">
        <v>104</v>
      </c>
      <c r="J239" s="55"/>
      <c r="K239" s="119">
        <f>IFERROR(VLOOKUP(B239,BD_CONTROL!$A$5:$M$4235,11,0),"")</f>
        <v>0</v>
      </c>
      <c r="L239" s="120">
        <f>IFERROR(VLOOKUP(B239,BD_CONTROL!$A$5:$M$4235,12,0),"")</f>
        <v>0</v>
      </c>
      <c r="M239" s="121">
        <f>IFERROR(VLOOKUP(B239,BD_CONTROL!$A$5:$M$4235,13,0),"")</f>
        <v>0</v>
      </c>
    </row>
    <row r="240" spans="1:13" ht="15" customHeight="1">
      <c r="A240" s="39">
        <v>235</v>
      </c>
      <c r="B240" s="39" t="s">
        <v>3894</v>
      </c>
      <c r="C240" s="40" t="s">
        <v>3895</v>
      </c>
      <c r="D240" s="39" t="s">
        <v>3370</v>
      </c>
      <c r="E240" s="40" t="s">
        <v>3385</v>
      </c>
      <c r="F240" s="40" t="s">
        <v>3385</v>
      </c>
      <c r="G240" s="39" t="s">
        <v>102</v>
      </c>
      <c r="H240" s="40" t="s">
        <v>1184</v>
      </c>
      <c r="I240" s="40" t="s">
        <v>104</v>
      </c>
      <c r="J240" s="50"/>
      <c r="K240" s="116">
        <f>IFERROR(VLOOKUP(B240,BD_CONTROL!$A$5:$M$4235,11,0),"")</f>
        <v>0</v>
      </c>
      <c r="L240" s="117">
        <f>IFERROR(VLOOKUP(B240,BD_CONTROL!$A$5:$M$4235,12,0),"")</f>
        <v>0</v>
      </c>
      <c r="M240" s="118">
        <f>IFERROR(VLOOKUP(B240,BD_CONTROL!$A$5:$M$4235,13,0),"")</f>
        <v>0</v>
      </c>
    </row>
    <row r="241" spans="1:13" ht="15" customHeight="1">
      <c r="A241" s="42">
        <v>236</v>
      </c>
      <c r="B241" s="42" t="s">
        <v>3896</v>
      </c>
      <c r="C241" s="43" t="s">
        <v>390</v>
      </c>
      <c r="D241" s="42" t="s">
        <v>3370</v>
      </c>
      <c r="E241" s="43" t="s">
        <v>3385</v>
      </c>
      <c r="F241" s="43" t="s">
        <v>3897</v>
      </c>
      <c r="G241" s="42" t="s">
        <v>102</v>
      </c>
      <c r="H241" s="43" t="s">
        <v>1184</v>
      </c>
      <c r="I241" s="43" t="s">
        <v>104</v>
      </c>
      <c r="J241" s="55"/>
      <c r="K241" s="119">
        <f>IFERROR(VLOOKUP(B241,BD_CONTROL!$A$5:$M$4235,11,0),"")</f>
        <v>0</v>
      </c>
      <c r="L241" s="120">
        <f>IFERROR(VLOOKUP(B241,BD_CONTROL!$A$5:$M$4235,12,0),"")</f>
        <v>0</v>
      </c>
      <c r="M241" s="121">
        <f>IFERROR(VLOOKUP(B241,BD_CONTROL!$A$5:$M$4235,13,0),"")</f>
        <v>0</v>
      </c>
    </row>
    <row r="242" spans="1:13" ht="15" customHeight="1">
      <c r="A242" s="39">
        <v>237</v>
      </c>
      <c r="B242" s="39" t="s">
        <v>3898</v>
      </c>
      <c r="C242" s="40" t="s">
        <v>3899</v>
      </c>
      <c r="D242" s="39" t="s">
        <v>3370</v>
      </c>
      <c r="E242" s="40" t="s">
        <v>3900</v>
      </c>
      <c r="F242" s="40" t="s">
        <v>3770</v>
      </c>
      <c r="G242" s="39" t="s">
        <v>109</v>
      </c>
      <c r="H242" s="40" t="s">
        <v>1184</v>
      </c>
      <c r="I242" s="40" t="s">
        <v>104</v>
      </c>
      <c r="J242" s="50"/>
      <c r="K242" s="116">
        <f>IFERROR(VLOOKUP(B242,BD_CONTROL!$A$5:$M$4235,11,0),"")</f>
        <v>0</v>
      </c>
      <c r="L242" s="117">
        <f>IFERROR(VLOOKUP(B242,BD_CONTROL!$A$5:$M$4235,12,0),"")</f>
        <v>0</v>
      </c>
      <c r="M242" s="118">
        <f>IFERROR(VLOOKUP(B242,BD_CONTROL!$A$5:$M$4235,13,0),"")</f>
        <v>0</v>
      </c>
    </row>
    <row r="243" spans="1:13" ht="15" customHeight="1">
      <c r="A243" s="42">
        <v>238</v>
      </c>
      <c r="B243" s="42" t="s">
        <v>3901</v>
      </c>
      <c r="C243" s="43" t="s">
        <v>3902</v>
      </c>
      <c r="D243" s="42" t="s">
        <v>3370</v>
      </c>
      <c r="E243" s="43" t="s">
        <v>3749</v>
      </c>
      <c r="F243" s="43" t="s">
        <v>3903</v>
      </c>
      <c r="G243" s="42" t="s">
        <v>109</v>
      </c>
      <c r="H243" s="43" t="s">
        <v>1184</v>
      </c>
      <c r="I243" s="43" t="s">
        <v>104</v>
      </c>
      <c r="J243" s="55"/>
      <c r="K243" s="119" t="str">
        <f>IFERROR(VLOOKUP(B243,BD_CONTROL!$A$5:$M$4235,11,0),"")</f>
        <v>Instalado - Operando</v>
      </c>
      <c r="L243" s="120">
        <f>IFERROR(VLOOKUP(B243,BD_CONTROL!$A$5:$M$4235,12,0),"")</f>
        <v>46148</v>
      </c>
      <c r="M243" s="121">
        <f>IFERROR(VLOOKUP(B243,BD_CONTROL!$A$5:$M$4235,13,0),"")</f>
        <v>0</v>
      </c>
    </row>
    <row r="244" spans="1:13" ht="15" customHeight="1">
      <c r="A244" s="39">
        <v>239</v>
      </c>
      <c r="B244" s="39" t="s">
        <v>3904</v>
      </c>
      <c r="C244" s="40" t="s">
        <v>3905</v>
      </c>
      <c r="D244" s="39" t="s">
        <v>3370</v>
      </c>
      <c r="E244" s="40" t="s">
        <v>3644</v>
      </c>
      <c r="F244" s="40" t="s">
        <v>3906</v>
      </c>
      <c r="G244" s="39" t="s">
        <v>102</v>
      </c>
      <c r="H244" s="40" t="s">
        <v>1110</v>
      </c>
      <c r="I244" s="40" t="s">
        <v>104</v>
      </c>
      <c r="J244" s="50"/>
      <c r="K244" s="116" t="str">
        <f>IFERROR(VLOOKUP(B244,BD_CONTROL!$A$5:$M$4235,11,0),"")</f>
        <v>Instalado - Operando</v>
      </c>
      <c r="L244" s="117">
        <f>IFERROR(VLOOKUP(B244,BD_CONTROL!$A$5:$M$4235,12,0),"")</f>
        <v>46148</v>
      </c>
      <c r="M244" s="118">
        <f>IFERROR(VLOOKUP(B244,BD_CONTROL!$A$5:$M$4235,13,0),"")</f>
        <v>0</v>
      </c>
    </row>
    <row r="245" spans="1:13" ht="15" customHeight="1">
      <c r="A245" s="42">
        <v>240</v>
      </c>
      <c r="B245" s="42" t="s">
        <v>3907</v>
      </c>
      <c r="C245" s="43" t="s">
        <v>3908</v>
      </c>
      <c r="D245" s="42" t="s">
        <v>3370</v>
      </c>
      <c r="E245" s="43" t="s">
        <v>3561</v>
      </c>
      <c r="F245" s="43" t="s">
        <v>3909</v>
      </c>
      <c r="G245" s="42" t="s">
        <v>102</v>
      </c>
      <c r="H245" s="43" t="s">
        <v>1110</v>
      </c>
      <c r="I245" s="43" t="s">
        <v>104</v>
      </c>
      <c r="J245" s="55"/>
      <c r="K245" s="119">
        <f>IFERROR(VLOOKUP(B245,BD_CONTROL!$A$5:$M$4235,11,0),"")</f>
        <v>0</v>
      </c>
      <c r="L245" s="120">
        <f>IFERROR(VLOOKUP(B245,BD_CONTROL!$A$5:$M$4235,12,0),"")</f>
        <v>0</v>
      </c>
      <c r="M245" s="121">
        <f>IFERROR(VLOOKUP(B245,BD_CONTROL!$A$5:$M$4235,13,0),"")</f>
        <v>0</v>
      </c>
    </row>
    <row r="246" spans="1:13" ht="15" customHeight="1">
      <c r="A246" s="39">
        <v>241</v>
      </c>
      <c r="B246" s="39" t="s">
        <v>3910</v>
      </c>
      <c r="C246" s="40" t="s">
        <v>3911</v>
      </c>
      <c r="D246" s="39" t="s">
        <v>3370</v>
      </c>
      <c r="E246" s="40" t="s">
        <v>3561</v>
      </c>
      <c r="F246" s="40" t="s">
        <v>3912</v>
      </c>
      <c r="G246" s="39" t="s">
        <v>109</v>
      </c>
      <c r="H246" s="40" t="s">
        <v>1110</v>
      </c>
      <c r="I246" s="40" t="s">
        <v>104</v>
      </c>
      <c r="J246" s="50"/>
      <c r="K246" s="116">
        <f>IFERROR(VLOOKUP(B246,BD_CONTROL!$A$5:$M$4235,11,0),"")</f>
        <v>0</v>
      </c>
      <c r="L246" s="117">
        <f>IFERROR(VLOOKUP(B246,BD_CONTROL!$A$5:$M$4235,12,0),"")</f>
        <v>0</v>
      </c>
      <c r="M246" s="118">
        <f>IFERROR(VLOOKUP(B246,BD_CONTROL!$A$5:$M$4235,13,0),"")</f>
        <v>0</v>
      </c>
    </row>
    <row r="247" spans="1:13" ht="15" customHeight="1">
      <c r="A247" s="42">
        <v>242</v>
      </c>
      <c r="B247" s="42" t="s">
        <v>3925</v>
      </c>
      <c r="C247" s="43" t="s">
        <v>3926</v>
      </c>
      <c r="D247" s="42" t="s">
        <v>3370</v>
      </c>
      <c r="E247" s="43" t="s">
        <v>3927</v>
      </c>
      <c r="F247" s="43" t="s">
        <v>3928</v>
      </c>
      <c r="G247" s="42" t="s">
        <v>109</v>
      </c>
      <c r="H247" s="43" t="s">
        <v>1184</v>
      </c>
      <c r="I247" s="43" t="s">
        <v>104</v>
      </c>
      <c r="J247" s="55"/>
      <c r="K247" s="119">
        <f>IFERROR(VLOOKUP(B247,BD_CONTROL!$A$5:$M$4235,11,0),"")</f>
        <v>0</v>
      </c>
      <c r="L247" s="120">
        <f>IFERROR(VLOOKUP(B247,BD_CONTROL!$A$5:$M$4235,12,0),"")</f>
        <v>0</v>
      </c>
      <c r="M247" s="121">
        <f>IFERROR(VLOOKUP(B247,BD_CONTROL!$A$5:$M$4235,13,0),"")</f>
        <v>0</v>
      </c>
    </row>
    <row r="248" spans="1:13" ht="15" customHeight="1">
      <c r="A248" s="39">
        <v>243</v>
      </c>
      <c r="B248" s="39" t="s">
        <v>3929</v>
      </c>
      <c r="C248" s="40" t="s">
        <v>3930</v>
      </c>
      <c r="D248" s="39" t="s">
        <v>3370</v>
      </c>
      <c r="E248" s="40" t="s">
        <v>3371</v>
      </c>
      <c r="F248" s="40" t="s">
        <v>3931</v>
      </c>
      <c r="G248" s="39" t="s">
        <v>109</v>
      </c>
      <c r="H248" s="40" t="s">
        <v>1110</v>
      </c>
      <c r="I248" s="40" t="s">
        <v>104</v>
      </c>
      <c r="J248" s="50"/>
      <c r="K248" s="116">
        <f>IFERROR(VLOOKUP(B248,BD_CONTROL!$A$5:$M$4235,11,0),"")</f>
        <v>0</v>
      </c>
      <c r="L248" s="117">
        <f>IFERROR(VLOOKUP(B248,BD_CONTROL!$A$5:$M$4235,12,0),"")</f>
        <v>0</v>
      </c>
      <c r="M248" s="118">
        <f>IFERROR(VLOOKUP(B248,BD_CONTROL!$A$5:$M$4235,13,0),"")</f>
        <v>0</v>
      </c>
    </row>
    <row r="249" spans="1:13" ht="15" customHeight="1">
      <c r="A249" s="42">
        <v>244</v>
      </c>
      <c r="B249" s="42" t="s">
        <v>3940</v>
      </c>
      <c r="C249" s="43" t="s">
        <v>3941</v>
      </c>
      <c r="D249" s="42" t="s">
        <v>3370</v>
      </c>
      <c r="E249" s="43" t="s">
        <v>3379</v>
      </c>
      <c r="F249" s="43" t="s">
        <v>3942</v>
      </c>
      <c r="G249" s="42" t="s">
        <v>102</v>
      </c>
      <c r="H249" s="43" t="s">
        <v>1110</v>
      </c>
      <c r="I249" s="43" t="s">
        <v>104</v>
      </c>
      <c r="J249" s="55"/>
      <c r="K249" s="119">
        <f>IFERROR(VLOOKUP(B249,BD_CONTROL!$A$5:$M$4235,11,0),"")</f>
        <v>0</v>
      </c>
      <c r="L249" s="120">
        <f>IFERROR(VLOOKUP(B249,BD_CONTROL!$A$5:$M$4235,12,0),"")</f>
        <v>0</v>
      </c>
      <c r="M249" s="121">
        <f>IFERROR(VLOOKUP(B249,BD_CONTROL!$A$5:$M$4235,13,0),"")</f>
        <v>0</v>
      </c>
    </row>
    <row r="250" spans="1:13" ht="15" customHeight="1">
      <c r="A250" s="39">
        <v>245</v>
      </c>
      <c r="B250" s="39" t="s">
        <v>3943</v>
      </c>
      <c r="C250" s="40" t="s">
        <v>3944</v>
      </c>
      <c r="D250" s="39" t="s">
        <v>3370</v>
      </c>
      <c r="E250" s="40" t="s">
        <v>3379</v>
      </c>
      <c r="F250" s="40" t="s">
        <v>3945</v>
      </c>
      <c r="G250" s="39" t="s">
        <v>102</v>
      </c>
      <c r="H250" s="40" t="s">
        <v>1110</v>
      </c>
      <c r="I250" s="40" t="s">
        <v>104</v>
      </c>
      <c r="J250" s="50"/>
      <c r="K250" s="116">
        <f>IFERROR(VLOOKUP(B250,BD_CONTROL!$A$5:$M$4235,11,0),"")</f>
        <v>0</v>
      </c>
      <c r="L250" s="117">
        <f>IFERROR(VLOOKUP(B250,BD_CONTROL!$A$5:$M$4235,12,0),"")</f>
        <v>0</v>
      </c>
      <c r="M250" s="118">
        <f>IFERROR(VLOOKUP(B250,BD_CONTROL!$A$5:$M$4235,13,0),"")</f>
        <v>0</v>
      </c>
    </row>
    <row r="251" spans="1:13" ht="15" customHeight="1">
      <c r="A251" s="42">
        <v>246</v>
      </c>
      <c r="B251" s="42" t="s">
        <v>3946</v>
      </c>
      <c r="C251" s="43" t="s">
        <v>3947</v>
      </c>
      <c r="D251" s="42" t="s">
        <v>3370</v>
      </c>
      <c r="E251" s="43" t="s">
        <v>1244</v>
      </c>
      <c r="F251" s="43" t="s">
        <v>3948</v>
      </c>
      <c r="G251" s="42" t="s">
        <v>109</v>
      </c>
      <c r="H251" s="43" t="s">
        <v>1184</v>
      </c>
      <c r="I251" s="43" t="s">
        <v>104</v>
      </c>
      <c r="J251" s="55"/>
      <c r="K251" s="119">
        <f>IFERROR(VLOOKUP(B251,BD_CONTROL!$A$5:$M$4235,11,0),"")</f>
        <v>0</v>
      </c>
      <c r="L251" s="120">
        <f>IFERROR(VLOOKUP(B251,BD_CONTROL!$A$5:$M$4235,12,0),"")</f>
        <v>0</v>
      </c>
      <c r="M251" s="121">
        <f>IFERROR(VLOOKUP(B251,BD_CONTROL!$A$5:$M$4235,13,0),"")</f>
        <v>0</v>
      </c>
    </row>
    <row r="252" spans="1:13" ht="15" customHeight="1">
      <c r="A252" s="39">
        <v>247</v>
      </c>
      <c r="B252" s="39" t="s">
        <v>3949</v>
      </c>
      <c r="C252" s="40" t="s">
        <v>3950</v>
      </c>
      <c r="D252" s="39" t="s">
        <v>3370</v>
      </c>
      <c r="E252" s="40" t="s">
        <v>3455</v>
      </c>
      <c r="F252" s="40" t="s">
        <v>3951</v>
      </c>
      <c r="G252" s="39" t="s">
        <v>109</v>
      </c>
      <c r="H252" s="40" t="s">
        <v>1110</v>
      </c>
      <c r="I252" s="40" t="s">
        <v>104</v>
      </c>
      <c r="J252" s="50"/>
      <c r="K252" s="116">
        <f>IFERROR(VLOOKUP(B252,BD_CONTROL!$A$5:$M$4235,11,0),"")</f>
        <v>0</v>
      </c>
      <c r="L252" s="117">
        <f>IFERROR(VLOOKUP(B252,BD_CONTROL!$A$5:$M$4235,12,0),"")</f>
        <v>0</v>
      </c>
      <c r="M252" s="118">
        <f>IFERROR(VLOOKUP(B252,BD_CONTROL!$A$5:$M$4235,13,0),"")</f>
        <v>0</v>
      </c>
    </row>
    <row r="253" spans="1:13" ht="15" customHeight="1">
      <c r="A253" s="42">
        <v>248</v>
      </c>
      <c r="B253" s="42" t="s">
        <v>3952</v>
      </c>
      <c r="C253" s="43" t="s">
        <v>3953</v>
      </c>
      <c r="D253" s="42" t="s">
        <v>3370</v>
      </c>
      <c r="E253" s="43" t="s">
        <v>3455</v>
      </c>
      <c r="F253" s="43" t="s">
        <v>3954</v>
      </c>
      <c r="G253" s="42" t="s">
        <v>109</v>
      </c>
      <c r="H253" s="43" t="s">
        <v>1110</v>
      </c>
      <c r="I253" s="43" t="s">
        <v>104</v>
      </c>
      <c r="J253" s="55"/>
      <c r="K253" s="119">
        <f>IFERROR(VLOOKUP(B253,BD_CONTROL!$A$5:$M$4235,11,0),"")</f>
        <v>0</v>
      </c>
      <c r="L253" s="120">
        <f>IFERROR(VLOOKUP(B253,BD_CONTROL!$A$5:$M$4235,12,0),"")</f>
        <v>0</v>
      </c>
      <c r="M253" s="121">
        <f>IFERROR(VLOOKUP(B253,BD_CONTROL!$A$5:$M$4235,13,0),"")</f>
        <v>0</v>
      </c>
    </row>
    <row r="254" spans="1:13" ht="15" customHeight="1">
      <c r="A254" s="39">
        <v>249</v>
      </c>
      <c r="B254" s="39" t="s">
        <v>3955</v>
      </c>
      <c r="C254" s="40" t="s">
        <v>3956</v>
      </c>
      <c r="D254" s="39" t="s">
        <v>3370</v>
      </c>
      <c r="E254" s="40" t="s">
        <v>3455</v>
      </c>
      <c r="F254" s="40" t="s">
        <v>3957</v>
      </c>
      <c r="G254" s="39" t="s">
        <v>109</v>
      </c>
      <c r="H254" s="40" t="s">
        <v>1110</v>
      </c>
      <c r="I254" s="40" t="s">
        <v>104</v>
      </c>
      <c r="J254" s="50"/>
      <c r="K254" s="116">
        <f>IFERROR(VLOOKUP(B254,BD_CONTROL!$A$5:$M$4235,11,0),"")</f>
        <v>0</v>
      </c>
      <c r="L254" s="117">
        <f>IFERROR(VLOOKUP(B254,BD_CONTROL!$A$5:$M$4235,12,0),"")</f>
        <v>0</v>
      </c>
      <c r="M254" s="118">
        <f>IFERROR(VLOOKUP(B254,BD_CONTROL!$A$5:$M$4235,13,0),"")</f>
        <v>0</v>
      </c>
    </row>
    <row r="255" spans="1:13" ht="15" customHeight="1">
      <c r="A255" s="42">
        <v>250</v>
      </c>
      <c r="B255" s="42" t="s">
        <v>3962</v>
      </c>
      <c r="C255" s="43" t="s">
        <v>3963</v>
      </c>
      <c r="D255" s="42" t="s">
        <v>3370</v>
      </c>
      <c r="E255" s="43" t="s">
        <v>3615</v>
      </c>
      <c r="F255" s="43" t="s">
        <v>3964</v>
      </c>
      <c r="G255" s="42" t="s">
        <v>109</v>
      </c>
      <c r="H255" s="43" t="s">
        <v>1110</v>
      </c>
      <c r="I255" s="43" t="s">
        <v>104</v>
      </c>
      <c r="J255" s="55"/>
      <c r="K255" s="119">
        <f>IFERROR(VLOOKUP(B255,BD_CONTROL!$A$5:$M$4235,11,0),"")</f>
        <v>0</v>
      </c>
      <c r="L255" s="120">
        <f>IFERROR(VLOOKUP(B255,BD_CONTROL!$A$5:$M$4235,12,0),"")</f>
        <v>0</v>
      </c>
      <c r="M255" s="121">
        <f>IFERROR(VLOOKUP(B255,BD_CONTROL!$A$5:$M$4235,13,0),"")</f>
        <v>0</v>
      </c>
    </row>
    <row r="256" spans="1:13" ht="15" customHeight="1">
      <c r="A256" s="39">
        <v>251</v>
      </c>
      <c r="B256" s="39" t="s">
        <v>3965</v>
      </c>
      <c r="C256" s="40" t="s">
        <v>3966</v>
      </c>
      <c r="D256" s="39" t="s">
        <v>3370</v>
      </c>
      <c r="E256" s="40" t="s">
        <v>3967</v>
      </c>
      <c r="F256" s="40" t="s">
        <v>3968</v>
      </c>
      <c r="G256" s="39" t="s">
        <v>109</v>
      </c>
      <c r="H256" s="40" t="s">
        <v>1110</v>
      </c>
      <c r="I256" s="40" t="s">
        <v>104</v>
      </c>
      <c r="J256" s="50"/>
      <c r="K256" s="116">
        <f>IFERROR(VLOOKUP(B256,BD_CONTROL!$A$5:$M$4235,11,0),"")</f>
        <v>0</v>
      </c>
      <c r="L256" s="117">
        <f>IFERROR(VLOOKUP(B256,BD_CONTROL!$A$5:$M$4235,12,0),"")</f>
        <v>0</v>
      </c>
      <c r="M256" s="118">
        <f>IFERROR(VLOOKUP(B256,BD_CONTROL!$A$5:$M$4235,13,0),"")</f>
        <v>0</v>
      </c>
    </row>
    <row r="257" spans="1:13" ht="15" customHeight="1">
      <c r="A257" s="42">
        <v>252</v>
      </c>
      <c r="B257" s="42" t="s">
        <v>3976</v>
      </c>
      <c r="C257" s="43" t="s">
        <v>3977</v>
      </c>
      <c r="D257" s="42" t="s">
        <v>3370</v>
      </c>
      <c r="E257" s="43" t="s">
        <v>3978</v>
      </c>
      <c r="F257" s="43" t="s">
        <v>3979</v>
      </c>
      <c r="G257" s="42" t="s">
        <v>109</v>
      </c>
      <c r="H257" s="43" t="s">
        <v>1110</v>
      </c>
      <c r="I257" s="43" t="s">
        <v>104</v>
      </c>
      <c r="J257" s="55"/>
      <c r="K257" s="119">
        <f>IFERROR(VLOOKUP(B257,BD_CONTROL!$A$5:$M$4235,11,0),"")</f>
        <v>0</v>
      </c>
      <c r="L257" s="120">
        <f>IFERROR(VLOOKUP(B257,BD_CONTROL!$A$5:$M$4235,12,0),"")</f>
        <v>0</v>
      </c>
      <c r="M257" s="121">
        <f>IFERROR(VLOOKUP(B257,BD_CONTROL!$A$5:$M$4235,13,0),"")</f>
        <v>0</v>
      </c>
    </row>
    <row r="258" spans="1:13" ht="15" customHeight="1">
      <c r="A258" s="39">
        <v>253</v>
      </c>
      <c r="B258" s="39" t="s">
        <v>3985</v>
      </c>
      <c r="C258" s="40" t="s">
        <v>3986</v>
      </c>
      <c r="D258" s="39" t="s">
        <v>3370</v>
      </c>
      <c r="E258" s="40" t="s">
        <v>3428</v>
      </c>
      <c r="F258" s="40" t="s">
        <v>3987</v>
      </c>
      <c r="G258" s="39" t="s">
        <v>102</v>
      </c>
      <c r="H258" s="40" t="s">
        <v>1184</v>
      </c>
      <c r="I258" s="40" t="s">
        <v>104</v>
      </c>
      <c r="J258" s="50"/>
      <c r="K258" s="116">
        <f>IFERROR(VLOOKUP(B258,BD_CONTROL!$A$5:$M$4235,11,0),"")</f>
        <v>0</v>
      </c>
      <c r="L258" s="117">
        <f>IFERROR(VLOOKUP(B258,BD_CONTROL!$A$5:$M$4235,12,0),"")</f>
        <v>0</v>
      </c>
      <c r="M258" s="118">
        <f>IFERROR(VLOOKUP(B258,BD_CONTROL!$A$5:$M$4235,13,0),"")</f>
        <v>0</v>
      </c>
    </row>
    <row r="259" spans="1:13" ht="15" customHeight="1">
      <c r="A259" s="42">
        <v>254</v>
      </c>
      <c r="B259" s="42" t="s">
        <v>3997</v>
      </c>
      <c r="C259" s="43" t="s">
        <v>3998</v>
      </c>
      <c r="D259" s="42" t="s">
        <v>3370</v>
      </c>
      <c r="E259" s="43" t="s">
        <v>3746</v>
      </c>
      <c r="F259" s="43" t="s">
        <v>3999</v>
      </c>
      <c r="G259" s="42" t="s">
        <v>109</v>
      </c>
      <c r="H259" s="43" t="s">
        <v>1184</v>
      </c>
      <c r="I259" s="43" t="s">
        <v>104</v>
      </c>
      <c r="J259" s="55"/>
      <c r="K259" s="119">
        <f>IFERROR(VLOOKUP(B259,BD_CONTROL!$A$5:$M$4235,11,0),"")</f>
        <v>0</v>
      </c>
      <c r="L259" s="120">
        <f>IFERROR(VLOOKUP(B259,BD_CONTROL!$A$5:$M$4235,12,0),"")</f>
        <v>0</v>
      </c>
      <c r="M259" s="121">
        <f>IFERROR(VLOOKUP(B259,BD_CONTROL!$A$5:$M$4235,13,0),"")</f>
        <v>0</v>
      </c>
    </row>
    <row r="260" spans="1:13" ht="15" customHeight="1">
      <c r="A260" s="39">
        <v>255</v>
      </c>
      <c r="B260" s="39" t="s">
        <v>4000</v>
      </c>
      <c r="C260" s="40" t="s">
        <v>4001</v>
      </c>
      <c r="D260" s="39" t="s">
        <v>3370</v>
      </c>
      <c r="E260" s="40" t="s">
        <v>3460</v>
      </c>
      <c r="F260" s="40" t="s">
        <v>4002</v>
      </c>
      <c r="G260" s="39" t="s">
        <v>102</v>
      </c>
      <c r="H260" s="40" t="s">
        <v>1110</v>
      </c>
      <c r="I260" s="40" t="s">
        <v>104</v>
      </c>
      <c r="J260" s="50"/>
      <c r="K260" s="116">
        <f>IFERROR(VLOOKUP(B260,BD_CONTROL!$A$5:$M$4235,11,0),"")</f>
        <v>0</v>
      </c>
      <c r="L260" s="117">
        <f>IFERROR(VLOOKUP(B260,BD_CONTROL!$A$5:$M$4235,12,0),"")</f>
        <v>0</v>
      </c>
      <c r="M260" s="118">
        <f>IFERROR(VLOOKUP(B260,BD_CONTROL!$A$5:$M$4235,13,0),"")</f>
        <v>0</v>
      </c>
    </row>
    <row r="261" spans="1:13" ht="15" customHeight="1">
      <c r="A261" s="42">
        <v>256</v>
      </c>
      <c r="B261" s="42" t="s">
        <v>4003</v>
      </c>
      <c r="C261" s="43" t="s">
        <v>4004</v>
      </c>
      <c r="D261" s="42" t="s">
        <v>3370</v>
      </c>
      <c r="E261" s="43" t="s">
        <v>3756</v>
      </c>
      <c r="F261" s="43" t="s">
        <v>4005</v>
      </c>
      <c r="G261" s="42" t="s">
        <v>109</v>
      </c>
      <c r="H261" s="43" t="s">
        <v>1110</v>
      </c>
      <c r="I261" s="43" t="s">
        <v>104</v>
      </c>
      <c r="J261" s="55"/>
      <c r="K261" s="119">
        <f>IFERROR(VLOOKUP(B261,BD_CONTROL!$A$5:$M$4235,11,0),"")</f>
        <v>0</v>
      </c>
      <c r="L261" s="120">
        <f>IFERROR(VLOOKUP(B261,BD_CONTROL!$A$5:$M$4235,12,0),"")</f>
        <v>0</v>
      </c>
      <c r="M261" s="121">
        <f>IFERROR(VLOOKUP(B261,BD_CONTROL!$A$5:$M$4235,13,0),"")</f>
        <v>0</v>
      </c>
    </row>
    <row r="262" spans="1:13" ht="15" customHeight="1">
      <c r="A262" s="39">
        <v>257</v>
      </c>
      <c r="B262" s="39" t="s">
        <v>4006</v>
      </c>
      <c r="C262" s="40" t="s">
        <v>4007</v>
      </c>
      <c r="D262" s="39" t="s">
        <v>3370</v>
      </c>
      <c r="E262" s="40" t="s">
        <v>3756</v>
      </c>
      <c r="F262" s="40" t="s">
        <v>4008</v>
      </c>
      <c r="G262" s="39" t="s">
        <v>102</v>
      </c>
      <c r="H262" s="40" t="s">
        <v>1110</v>
      </c>
      <c r="I262" s="40" t="s">
        <v>104</v>
      </c>
      <c r="J262" s="50"/>
      <c r="K262" s="116">
        <f>IFERROR(VLOOKUP(B262,BD_CONTROL!$A$5:$M$4235,11,0),"")</f>
        <v>0</v>
      </c>
      <c r="L262" s="117">
        <f>IFERROR(VLOOKUP(B262,BD_CONTROL!$A$5:$M$4235,12,0),"")</f>
        <v>0</v>
      </c>
      <c r="M262" s="118">
        <f>IFERROR(VLOOKUP(B262,BD_CONTROL!$A$5:$M$4235,13,0),"")</f>
        <v>0</v>
      </c>
    </row>
    <row r="263" spans="1:13" ht="15" customHeight="1">
      <c r="A263" s="42">
        <v>258</v>
      </c>
      <c r="B263" s="42" t="s">
        <v>4009</v>
      </c>
      <c r="C263" s="43" t="s">
        <v>4010</v>
      </c>
      <c r="D263" s="42" t="s">
        <v>3370</v>
      </c>
      <c r="E263" s="43" t="s">
        <v>4011</v>
      </c>
      <c r="F263" s="43" t="s">
        <v>4011</v>
      </c>
      <c r="G263" s="42" t="s">
        <v>109</v>
      </c>
      <c r="H263" s="43" t="s">
        <v>1184</v>
      </c>
      <c r="I263" s="43" t="s">
        <v>104</v>
      </c>
      <c r="J263" s="55"/>
      <c r="K263" s="119">
        <f>IFERROR(VLOOKUP(B263,BD_CONTROL!$A$5:$M$4235,11,0),"")</f>
        <v>0</v>
      </c>
      <c r="L263" s="120">
        <f>IFERROR(VLOOKUP(B263,BD_CONTROL!$A$5:$M$4235,12,0),"")</f>
        <v>0</v>
      </c>
      <c r="M263" s="121">
        <f>IFERROR(VLOOKUP(B263,BD_CONTROL!$A$5:$M$4235,13,0),"")</f>
        <v>0</v>
      </c>
    </row>
    <row r="264" spans="1:13" ht="15" customHeight="1">
      <c r="A264" s="39">
        <v>259</v>
      </c>
      <c r="B264" s="39" t="s">
        <v>4012</v>
      </c>
      <c r="C264" s="40" t="s">
        <v>4013</v>
      </c>
      <c r="D264" s="39" t="s">
        <v>3370</v>
      </c>
      <c r="E264" s="40" t="s">
        <v>3471</v>
      </c>
      <c r="F264" s="40" t="s">
        <v>4014</v>
      </c>
      <c r="G264" s="39" t="s">
        <v>109</v>
      </c>
      <c r="H264" s="40" t="s">
        <v>1184</v>
      </c>
      <c r="I264" s="40" t="s">
        <v>104</v>
      </c>
      <c r="J264" s="50"/>
      <c r="K264" s="116">
        <f>IFERROR(VLOOKUP(B264,BD_CONTROL!$A$5:$M$4235,11,0),"")</f>
        <v>0</v>
      </c>
      <c r="L264" s="117">
        <f>IFERROR(VLOOKUP(B264,BD_CONTROL!$A$5:$M$4235,12,0),"")</f>
        <v>0</v>
      </c>
      <c r="M264" s="118">
        <f>IFERROR(VLOOKUP(B264,BD_CONTROL!$A$5:$M$4235,13,0),"")</f>
        <v>0</v>
      </c>
    </row>
    <row r="265" spans="1:13" ht="15" customHeight="1">
      <c r="A265" s="42">
        <v>260</v>
      </c>
      <c r="B265" s="42" t="s">
        <v>4028</v>
      </c>
      <c r="C265" s="43" t="s">
        <v>4029</v>
      </c>
      <c r="D265" s="42" t="s">
        <v>3370</v>
      </c>
      <c r="E265" s="43" t="s">
        <v>3598</v>
      </c>
      <c r="F265" s="43" t="s">
        <v>4030</v>
      </c>
      <c r="G265" s="42" t="s">
        <v>109</v>
      </c>
      <c r="H265" s="43" t="s">
        <v>1110</v>
      </c>
      <c r="I265" s="43" t="s">
        <v>104</v>
      </c>
      <c r="J265" s="55"/>
      <c r="K265" s="119">
        <f>IFERROR(VLOOKUP(B265,BD_CONTROL!$A$5:$M$4235,11,0),"")</f>
        <v>0</v>
      </c>
      <c r="L265" s="120">
        <f>IFERROR(VLOOKUP(B265,BD_CONTROL!$A$5:$M$4235,12,0),"")</f>
        <v>0</v>
      </c>
      <c r="M265" s="121">
        <f>IFERROR(VLOOKUP(B265,BD_CONTROL!$A$5:$M$4235,13,0),"")</f>
        <v>0</v>
      </c>
    </row>
    <row r="266" spans="1:13" ht="15" customHeight="1">
      <c r="A266" s="39">
        <v>261</v>
      </c>
      <c r="B266" s="39" t="s">
        <v>4035</v>
      </c>
      <c r="C266" s="40" t="s">
        <v>4036</v>
      </c>
      <c r="D266" s="39" t="s">
        <v>3370</v>
      </c>
      <c r="E266" s="40" t="s">
        <v>3444</v>
      </c>
      <c r="F266" s="40" t="s">
        <v>4037</v>
      </c>
      <c r="G266" s="39" t="s">
        <v>109</v>
      </c>
      <c r="H266" s="40" t="s">
        <v>1110</v>
      </c>
      <c r="I266" s="40" t="s">
        <v>104</v>
      </c>
      <c r="J266" s="50"/>
      <c r="K266" s="116">
        <f>IFERROR(VLOOKUP(B266,BD_CONTROL!$A$5:$M$4235,11,0),"")</f>
        <v>0</v>
      </c>
      <c r="L266" s="117">
        <f>IFERROR(VLOOKUP(B266,BD_CONTROL!$A$5:$M$4235,12,0),"")</f>
        <v>0</v>
      </c>
      <c r="M266" s="118">
        <f>IFERROR(VLOOKUP(B266,BD_CONTROL!$A$5:$M$4235,13,0),"")</f>
        <v>0</v>
      </c>
    </row>
    <row r="267" spans="1:13" ht="15" customHeight="1">
      <c r="A267" s="42">
        <v>262</v>
      </c>
      <c r="B267" s="42" t="s">
        <v>4045</v>
      </c>
      <c r="C267" s="43" t="s">
        <v>4046</v>
      </c>
      <c r="D267" s="42" t="s">
        <v>3370</v>
      </c>
      <c r="E267" s="43" t="s">
        <v>3416</v>
      </c>
      <c r="F267" s="43" t="s">
        <v>4047</v>
      </c>
      <c r="G267" s="42" t="s">
        <v>102</v>
      </c>
      <c r="H267" s="43" t="s">
        <v>1110</v>
      </c>
      <c r="I267" s="43" t="s">
        <v>104</v>
      </c>
      <c r="J267" s="55"/>
      <c r="K267" s="119">
        <f>IFERROR(VLOOKUP(B267,BD_CONTROL!$A$5:$M$4235,11,0),"")</f>
        <v>0</v>
      </c>
      <c r="L267" s="120">
        <f>IFERROR(VLOOKUP(B267,BD_CONTROL!$A$5:$M$4235,12,0),"")</f>
        <v>0</v>
      </c>
      <c r="M267" s="121">
        <f>IFERROR(VLOOKUP(B267,BD_CONTROL!$A$5:$M$4235,13,0),"")</f>
        <v>0</v>
      </c>
    </row>
    <row r="268" spans="1:13" ht="15" customHeight="1">
      <c r="A268" s="39">
        <v>263</v>
      </c>
      <c r="B268" s="39" t="s">
        <v>4069</v>
      </c>
      <c r="C268" s="40" t="s">
        <v>4070</v>
      </c>
      <c r="D268" s="39" t="s">
        <v>3370</v>
      </c>
      <c r="E268" s="40" t="s">
        <v>4071</v>
      </c>
      <c r="F268" s="40" t="s">
        <v>2271</v>
      </c>
      <c r="G268" s="39" t="s">
        <v>109</v>
      </c>
      <c r="H268" s="40" t="s">
        <v>1110</v>
      </c>
      <c r="I268" s="40" t="s">
        <v>104</v>
      </c>
      <c r="J268" s="50"/>
      <c r="K268" s="116">
        <f>IFERROR(VLOOKUP(B268,BD_CONTROL!$A$5:$M$4235,11,0),"")</f>
        <v>0</v>
      </c>
      <c r="L268" s="117">
        <f>IFERROR(VLOOKUP(B268,BD_CONTROL!$A$5:$M$4235,12,0),"")</f>
        <v>0</v>
      </c>
      <c r="M268" s="118">
        <f>IFERROR(VLOOKUP(B268,BD_CONTROL!$A$5:$M$4235,13,0),"")</f>
        <v>0</v>
      </c>
    </row>
    <row r="269" spans="1:13" ht="15" customHeight="1">
      <c r="A269" s="42">
        <v>264</v>
      </c>
      <c r="B269" s="42" t="s">
        <v>4078</v>
      </c>
      <c r="C269" s="43" t="s">
        <v>4079</v>
      </c>
      <c r="D269" s="42" t="s">
        <v>3370</v>
      </c>
      <c r="E269" s="43" t="s">
        <v>3770</v>
      </c>
      <c r="F269" s="43" t="s">
        <v>3771</v>
      </c>
      <c r="G269" s="42" t="s">
        <v>109</v>
      </c>
      <c r="H269" s="43" t="s">
        <v>1184</v>
      </c>
      <c r="I269" s="43" t="s">
        <v>104</v>
      </c>
      <c r="J269" s="55"/>
      <c r="K269" s="119">
        <f>IFERROR(VLOOKUP(B269,BD_CONTROL!$A$5:$M$4235,11,0),"")</f>
        <v>0</v>
      </c>
      <c r="L269" s="120">
        <f>IFERROR(VLOOKUP(B269,BD_CONTROL!$A$5:$M$4235,12,0),"")</f>
        <v>0</v>
      </c>
      <c r="M269" s="121">
        <f>IFERROR(VLOOKUP(B269,BD_CONTROL!$A$5:$M$4235,13,0),"")</f>
        <v>0</v>
      </c>
    </row>
    <row r="270" spans="1:13" ht="15" customHeight="1">
      <c r="A270" s="39">
        <v>265</v>
      </c>
      <c r="B270" s="39" t="s">
        <v>4080</v>
      </c>
      <c r="C270" s="40" t="s">
        <v>4081</v>
      </c>
      <c r="D270" s="39" t="s">
        <v>3370</v>
      </c>
      <c r="E270" s="40" t="s">
        <v>3664</v>
      </c>
      <c r="F270" s="40" t="s">
        <v>3770</v>
      </c>
      <c r="G270" s="39" t="s">
        <v>109</v>
      </c>
      <c r="H270" s="40" t="s">
        <v>1184</v>
      </c>
      <c r="I270" s="40" t="s">
        <v>104</v>
      </c>
      <c r="J270" s="50"/>
      <c r="K270" s="116">
        <f>IFERROR(VLOOKUP(B270,BD_CONTROL!$A$5:$M$4235,11,0),"")</f>
        <v>0</v>
      </c>
      <c r="L270" s="117">
        <f>IFERROR(VLOOKUP(B270,BD_CONTROL!$A$5:$M$4235,12,0),"")</f>
        <v>0</v>
      </c>
      <c r="M270" s="118">
        <f>IFERROR(VLOOKUP(B270,BD_CONTROL!$A$5:$M$4235,13,0),"")</f>
        <v>0</v>
      </c>
    </row>
    <row r="271" spans="1:13" ht="15" customHeight="1">
      <c r="A271" s="42">
        <v>266</v>
      </c>
      <c r="B271" s="42" t="s">
        <v>4097</v>
      </c>
      <c r="C271" s="43" t="s">
        <v>4098</v>
      </c>
      <c r="D271" s="42" t="s">
        <v>3370</v>
      </c>
      <c r="E271" s="43" t="s">
        <v>4099</v>
      </c>
      <c r="F271" s="43" t="s">
        <v>4100</v>
      </c>
      <c r="G271" s="42" t="s">
        <v>109</v>
      </c>
      <c r="H271" s="43" t="s">
        <v>1184</v>
      </c>
      <c r="I271" s="43" t="s">
        <v>104</v>
      </c>
      <c r="J271" s="55"/>
      <c r="K271" s="119">
        <f>IFERROR(VLOOKUP(B271,BD_CONTROL!$A$5:$M$4235,11,0),"")</f>
        <v>0</v>
      </c>
      <c r="L271" s="120">
        <f>IFERROR(VLOOKUP(B271,BD_CONTROL!$A$5:$M$4235,12,0),"")</f>
        <v>0</v>
      </c>
      <c r="M271" s="121">
        <f>IFERROR(VLOOKUP(B271,BD_CONTROL!$A$5:$M$4235,13,0),"")</f>
        <v>0</v>
      </c>
    </row>
    <row r="272" spans="1:13" ht="15" customHeight="1">
      <c r="A272" s="39">
        <v>267</v>
      </c>
      <c r="B272" s="39" t="s">
        <v>4101</v>
      </c>
      <c r="C272" s="40" t="s">
        <v>4102</v>
      </c>
      <c r="D272" s="39" t="s">
        <v>3370</v>
      </c>
      <c r="E272" s="40" t="s">
        <v>324</v>
      </c>
      <c r="F272" s="40" t="s">
        <v>4103</v>
      </c>
      <c r="G272" s="39" t="s">
        <v>102</v>
      </c>
      <c r="H272" s="40" t="s">
        <v>1110</v>
      </c>
      <c r="I272" s="40" t="s">
        <v>104</v>
      </c>
      <c r="J272" s="50"/>
      <c r="K272" s="116">
        <f>IFERROR(VLOOKUP(B272,BD_CONTROL!$A$5:$M$4235,11,0),"")</f>
        <v>0</v>
      </c>
      <c r="L272" s="117">
        <f>IFERROR(VLOOKUP(B272,BD_CONTROL!$A$5:$M$4235,12,0),"")</f>
        <v>0</v>
      </c>
      <c r="M272" s="118">
        <f>IFERROR(VLOOKUP(B272,BD_CONTROL!$A$5:$M$4235,13,0),"")</f>
        <v>0</v>
      </c>
    </row>
    <row r="273" spans="1:13" ht="15" customHeight="1">
      <c r="A273" s="42">
        <v>268</v>
      </c>
      <c r="B273" s="42" t="s">
        <v>4104</v>
      </c>
      <c r="C273" s="43" t="s">
        <v>4105</v>
      </c>
      <c r="D273" s="42" t="s">
        <v>3370</v>
      </c>
      <c r="E273" s="43" t="s">
        <v>3404</v>
      </c>
      <c r="F273" s="43" t="s">
        <v>4106</v>
      </c>
      <c r="G273" s="42" t="s">
        <v>102</v>
      </c>
      <c r="H273" s="43" t="s">
        <v>1110</v>
      </c>
      <c r="I273" s="43" t="s">
        <v>104</v>
      </c>
      <c r="J273" s="55"/>
      <c r="K273" s="119">
        <f>IFERROR(VLOOKUP(B273,BD_CONTROL!$A$5:$M$4235,11,0),"")</f>
        <v>0</v>
      </c>
      <c r="L273" s="120">
        <f>IFERROR(VLOOKUP(B273,BD_CONTROL!$A$5:$M$4235,12,0),"")</f>
        <v>0</v>
      </c>
      <c r="M273" s="121">
        <f>IFERROR(VLOOKUP(B273,BD_CONTROL!$A$5:$M$4235,13,0),"")</f>
        <v>0</v>
      </c>
    </row>
    <row r="274" spans="1:13" ht="15" customHeight="1">
      <c r="A274" s="39">
        <v>269</v>
      </c>
      <c r="B274" s="39" t="s">
        <v>4113</v>
      </c>
      <c r="C274" s="40" t="s">
        <v>4114</v>
      </c>
      <c r="D274" s="39" t="s">
        <v>3370</v>
      </c>
      <c r="E274" s="40" t="s">
        <v>4115</v>
      </c>
      <c r="F274" s="40" t="s">
        <v>4116</v>
      </c>
      <c r="G274" s="39" t="s">
        <v>109</v>
      </c>
      <c r="H274" s="40" t="s">
        <v>1110</v>
      </c>
      <c r="I274" s="40" t="s">
        <v>104</v>
      </c>
      <c r="J274" s="50"/>
      <c r="K274" s="116">
        <f>IFERROR(VLOOKUP(B274,BD_CONTROL!$A$5:$M$4235,11,0),"")</f>
        <v>0</v>
      </c>
      <c r="L274" s="117">
        <f>IFERROR(VLOOKUP(B274,BD_CONTROL!$A$5:$M$4235,12,0),"")</f>
        <v>0</v>
      </c>
      <c r="M274" s="118">
        <f>IFERROR(VLOOKUP(B274,BD_CONTROL!$A$5:$M$4235,13,0),"")</f>
        <v>0</v>
      </c>
    </row>
    <row r="275" spans="1:13" ht="15" customHeight="1">
      <c r="A275" s="42">
        <v>270</v>
      </c>
      <c r="B275" s="42" t="s">
        <v>4117</v>
      </c>
      <c r="C275" s="43" t="s">
        <v>4118</v>
      </c>
      <c r="D275" s="42" t="s">
        <v>3370</v>
      </c>
      <c r="E275" s="43" t="s">
        <v>4119</v>
      </c>
      <c r="F275" s="43" t="s">
        <v>1232</v>
      </c>
      <c r="G275" s="42" t="s">
        <v>109</v>
      </c>
      <c r="H275" s="43" t="s">
        <v>1184</v>
      </c>
      <c r="I275" s="43" t="s">
        <v>104</v>
      </c>
      <c r="J275" s="55"/>
      <c r="K275" s="119">
        <f>IFERROR(VLOOKUP(B275,BD_CONTROL!$A$5:$M$4235,11,0),"")</f>
        <v>0</v>
      </c>
      <c r="L275" s="120">
        <f>IFERROR(VLOOKUP(B275,BD_CONTROL!$A$5:$M$4235,12,0),"")</f>
        <v>0</v>
      </c>
      <c r="M275" s="121">
        <f>IFERROR(VLOOKUP(B275,BD_CONTROL!$A$5:$M$4235,13,0),"")</f>
        <v>0</v>
      </c>
    </row>
    <row r="276" spans="1:13" ht="15" customHeight="1">
      <c r="A276" s="39">
        <v>271</v>
      </c>
      <c r="B276" s="39" t="s">
        <v>4120</v>
      </c>
      <c r="C276" s="40" t="s">
        <v>4121</v>
      </c>
      <c r="D276" s="39" t="s">
        <v>3370</v>
      </c>
      <c r="E276" s="40" t="s">
        <v>3382</v>
      </c>
      <c r="F276" s="40" t="s">
        <v>3084</v>
      </c>
      <c r="G276" s="39" t="s">
        <v>109</v>
      </c>
      <c r="H276" s="40" t="s">
        <v>1184</v>
      </c>
      <c r="I276" s="40" t="s">
        <v>104</v>
      </c>
      <c r="J276" s="50"/>
      <c r="K276" s="116">
        <f>IFERROR(VLOOKUP(B276,BD_CONTROL!$A$5:$M$4235,11,0),"")</f>
        <v>0</v>
      </c>
      <c r="L276" s="117">
        <f>IFERROR(VLOOKUP(B276,BD_CONTROL!$A$5:$M$4235,12,0),"")</f>
        <v>0</v>
      </c>
      <c r="M276" s="118">
        <f>IFERROR(VLOOKUP(B276,BD_CONTROL!$A$5:$M$4235,13,0),"")</f>
        <v>0</v>
      </c>
    </row>
    <row r="277" spans="1:13" ht="15" customHeight="1">
      <c r="A277" s="42">
        <v>272</v>
      </c>
      <c r="B277" s="42" t="s">
        <v>4122</v>
      </c>
      <c r="C277" s="43" t="s">
        <v>4123</v>
      </c>
      <c r="D277" s="42" t="s">
        <v>3370</v>
      </c>
      <c r="E277" s="43" t="s">
        <v>4124</v>
      </c>
      <c r="F277" s="43" t="s">
        <v>4125</v>
      </c>
      <c r="G277" s="42" t="s">
        <v>109</v>
      </c>
      <c r="H277" s="43" t="s">
        <v>1184</v>
      </c>
      <c r="I277" s="43" t="s">
        <v>104</v>
      </c>
      <c r="J277" s="55"/>
      <c r="K277" s="119">
        <f>IFERROR(VLOOKUP(B277,BD_CONTROL!$A$5:$M$4235,11,0),"")</f>
        <v>0</v>
      </c>
      <c r="L277" s="120">
        <f>IFERROR(VLOOKUP(B277,BD_CONTROL!$A$5:$M$4235,12,0),"")</f>
        <v>0</v>
      </c>
      <c r="M277" s="121">
        <f>IFERROR(VLOOKUP(B277,BD_CONTROL!$A$5:$M$4235,13,0),"")</f>
        <v>0</v>
      </c>
    </row>
    <row r="278" spans="1:13" ht="15" customHeight="1">
      <c r="A278" s="39">
        <v>273</v>
      </c>
      <c r="B278" s="39" t="s">
        <v>4129</v>
      </c>
      <c r="C278" s="40" t="s">
        <v>4130</v>
      </c>
      <c r="D278" s="39" t="s">
        <v>3370</v>
      </c>
      <c r="E278" s="40" t="s">
        <v>3927</v>
      </c>
      <c r="F278" s="40" t="s">
        <v>4131</v>
      </c>
      <c r="G278" s="39" t="s">
        <v>109</v>
      </c>
      <c r="H278" s="40" t="s">
        <v>1184</v>
      </c>
      <c r="I278" s="40" t="s">
        <v>104</v>
      </c>
      <c r="J278" s="50"/>
      <c r="K278" s="116">
        <f>IFERROR(VLOOKUP(B278,BD_CONTROL!$A$5:$M$4235,11,0),"")</f>
        <v>0</v>
      </c>
      <c r="L278" s="117">
        <f>IFERROR(VLOOKUP(B278,BD_CONTROL!$A$5:$M$4235,12,0),"")</f>
        <v>0</v>
      </c>
      <c r="M278" s="118">
        <f>IFERROR(VLOOKUP(B278,BD_CONTROL!$A$5:$M$4235,13,0),"")</f>
        <v>0</v>
      </c>
    </row>
    <row r="279" spans="1:13" ht="15" customHeight="1">
      <c r="A279" s="42">
        <v>274</v>
      </c>
      <c r="B279" s="42" t="s">
        <v>4136</v>
      </c>
      <c r="C279" s="43" t="s">
        <v>4137</v>
      </c>
      <c r="D279" s="42" t="s">
        <v>3370</v>
      </c>
      <c r="E279" s="43" t="s">
        <v>3576</v>
      </c>
      <c r="F279" s="43" t="s">
        <v>4138</v>
      </c>
      <c r="G279" s="42" t="s">
        <v>109</v>
      </c>
      <c r="H279" s="43" t="s">
        <v>1110</v>
      </c>
      <c r="I279" s="43" t="s">
        <v>104</v>
      </c>
      <c r="J279" s="55"/>
      <c r="K279" s="119">
        <f>IFERROR(VLOOKUP(B279,BD_CONTROL!$A$5:$M$4235,11,0),"")</f>
        <v>0</v>
      </c>
      <c r="L279" s="120">
        <f>IFERROR(VLOOKUP(B279,BD_CONTROL!$A$5:$M$4235,12,0),"")</f>
        <v>0</v>
      </c>
      <c r="M279" s="121">
        <f>IFERROR(VLOOKUP(B279,BD_CONTROL!$A$5:$M$4235,13,0),"")</f>
        <v>0</v>
      </c>
    </row>
    <row r="280" spans="1:13" ht="15" customHeight="1">
      <c r="A280" s="39">
        <v>275</v>
      </c>
      <c r="B280" s="39" t="s">
        <v>4142</v>
      </c>
      <c r="C280" s="40" t="s">
        <v>4143</v>
      </c>
      <c r="D280" s="39" t="s">
        <v>3370</v>
      </c>
      <c r="E280" s="40" t="s">
        <v>3379</v>
      </c>
      <c r="F280" s="40" t="s">
        <v>3605</v>
      </c>
      <c r="G280" s="39" t="s">
        <v>109</v>
      </c>
      <c r="H280" s="40" t="s">
        <v>1110</v>
      </c>
      <c r="I280" s="40" t="s">
        <v>104</v>
      </c>
      <c r="J280" s="50"/>
      <c r="K280" s="116">
        <f>IFERROR(VLOOKUP(B280,BD_CONTROL!$A$5:$M$4235,11,0),"")</f>
        <v>0</v>
      </c>
      <c r="L280" s="117">
        <f>IFERROR(VLOOKUP(B280,BD_CONTROL!$A$5:$M$4235,12,0),"")</f>
        <v>0</v>
      </c>
      <c r="M280" s="118">
        <f>IFERROR(VLOOKUP(B280,BD_CONTROL!$A$5:$M$4235,13,0),"")</f>
        <v>0</v>
      </c>
    </row>
    <row r="281" spans="1:13" ht="15" customHeight="1">
      <c r="A281" s="42">
        <v>276</v>
      </c>
      <c r="B281" s="42" t="s">
        <v>4144</v>
      </c>
      <c r="C281" s="43" t="s">
        <v>4145</v>
      </c>
      <c r="D281" s="42" t="s">
        <v>3370</v>
      </c>
      <c r="E281" s="43" t="s">
        <v>1244</v>
      </c>
      <c r="F281" s="43" t="s">
        <v>4146</v>
      </c>
      <c r="G281" s="42" t="s">
        <v>109</v>
      </c>
      <c r="H281" s="43" t="s">
        <v>1184</v>
      </c>
      <c r="I281" s="43" t="s">
        <v>104</v>
      </c>
      <c r="J281" s="55"/>
      <c r="K281" s="119">
        <f>IFERROR(VLOOKUP(B281,BD_CONTROL!$A$5:$M$4235,11,0),"")</f>
        <v>0</v>
      </c>
      <c r="L281" s="120">
        <f>IFERROR(VLOOKUP(B281,BD_CONTROL!$A$5:$M$4235,12,0),"")</f>
        <v>0</v>
      </c>
      <c r="M281" s="121">
        <f>IFERROR(VLOOKUP(B281,BD_CONTROL!$A$5:$M$4235,13,0),"")</f>
        <v>0</v>
      </c>
    </row>
    <row r="282" spans="1:13" ht="15" customHeight="1">
      <c r="A282" s="39">
        <v>277</v>
      </c>
      <c r="B282" s="39" t="s">
        <v>4147</v>
      </c>
      <c r="C282" s="40" t="s">
        <v>4148</v>
      </c>
      <c r="D282" s="39" t="s">
        <v>3370</v>
      </c>
      <c r="E282" s="40" t="s">
        <v>1244</v>
      </c>
      <c r="F282" s="40" t="s">
        <v>3591</v>
      </c>
      <c r="G282" s="39" t="s">
        <v>102</v>
      </c>
      <c r="H282" s="40" t="s">
        <v>1184</v>
      </c>
      <c r="I282" s="40" t="s">
        <v>104</v>
      </c>
      <c r="J282" s="50"/>
      <c r="K282" s="116">
        <f>IFERROR(VLOOKUP(B282,BD_CONTROL!$A$5:$M$4235,11,0),"")</f>
        <v>0</v>
      </c>
      <c r="L282" s="117">
        <f>IFERROR(VLOOKUP(B282,BD_CONTROL!$A$5:$M$4235,12,0),"")</f>
        <v>0</v>
      </c>
      <c r="M282" s="118">
        <f>IFERROR(VLOOKUP(B282,BD_CONTROL!$A$5:$M$4235,13,0),"")</f>
        <v>0</v>
      </c>
    </row>
    <row r="283" spans="1:13" ht="15" customHeight="1">
      <c r="A283" s="42">
        <v>278</v>
      </c>
      <c r="B283" s="42" t="s">
        <v>4149</v>
      </c>
      <c r="C283" s="43" t="s">
        <v>4150</v>
      </c>
      <c r="D283" s="42" t="s">
        <v>3370</v>
      </c>
      <c r="E283" s="43" t="s">
        <v>1244</v>
      </c>
      <c r="F283" s="43" t="s">
        <v>3591</v>
      </c>
      <c r="G283" s="42" t="s">
        <v>109</v>
      </c>
      <c r="H283" s="43" t="s">
        <v>1184</v>
      </c>
      <c r="I283" s="43" t="s">
        <v>104</v>
      </c>
      <c r="J283" s="55"/>
      <c r="K283" s="119">
        <f>IFERROR(VLOOKUP(B283,BD_CONTROL!$A$5:$M$4235,11,0),"")</f>
        <v>0</v>
      </c>
      <c r="L283" s="120">
        <f>IFERROR(VLOOKUP(B283,BD_CONTROL!$A$5:$M$4235,12,0),"")</f>
        <v>0</v>
      </c>
      <c r="M283" s="121">
        <f>IFERROR(VLOOKUP(B283,BD_CONTROL!$A$5:$M$4235,13,0),"")</f>
        <v>0</v>
      </c>
    </row>
    <row r="284" spans="1:13" ht="15" customHeight="1">
      <c r="A284" s="39">
        <v>279</v>
      </c>
      <c r="B284" s="39" t="s">
        <v>4151</v>
      </c>
      <c r="C284" s="40" t="s">
        <v>4152</v>
      </c>
      <c r="D284" s="39" t="s">
        <v>3370</v>
      </c>
      <c r="E284" s="40" t="s">
        <v>1244</v>
      </c>
      <c r="F284" s="40" t="s">
        <v>658</v>
      </c>
      <c r="G284" s="39" t="s">
        <v>102</v>
      </c>
      <c r="H284" s="40" t="s">
        <v>1184</v>
      </c>
      <c r="I284" s="40" t="s">
        <v>104</v>
      </c>
      <c r="J284" s="50"/>
      <c r="K284" s="116">
        <f>IFERROR(VLOOKUP(B284,BD_CONTROL!$A$5:$M$4235,11,0),"")</f>
        <v>0</v>
      </c>
      <c r="L284" s="117">
        <f>IFERROR(VLOOKUP(B284,BD_CONTROL!$A$5:$M$4235,12,0),"")</f>
        <v>0</v>
      </c>
      <c r="M284" s="118">
        <f>IFERROR(VLOOKUP(B284,BD_CONTROL!$A$5:$M$4235,13,0),"")</f>
        <v>0</v>
      </c>
    </row>
    <row r="285" spans="1:13" ht="15" customHeight="1">
      <c r="A285" s="42">
        <v>280</v>
      </c>
      <c r="B285" s="42" t="s">
        <v>4153</v>
      </c>
      <c r="C285" s="43" t="s">
        <v>4154</v>
      </c>
      <c r="D285" s="42" t="s">
        <v>3370</v>
      </c>
      <c r="E285" s="43" t="s">
        <v>1244</v>
      </c>
      <c r="F285" s="43" t="s">
        <v>4155</v>
      </c>
      <c r="G285" s="42" t="s">
        <v>109</v>
      </c>
      <c r="H285" s="43" t="s">
        <v>1184</v>
      </c>
      <c r="I285" s="43" t="s">
        <v>104</v>
      </c>
      <c r="J285" s="55"/>
      <c r="K285" s="119">
        <f>IFERROR(VLOOKUP(B285,BD_CONTROL!$A$5:$M$4235,11,0),"")</f>
        <v>0</v>
      </c>
      <c r="L285" s="120">
        <f>IFERROR(VLOOKUP(B285,BD_CONTROL!$A$5:$M$4235,12,0),"")</f>
        <v>0</v>
      </c>
      <c r="M285" s="121">
        <f>IFERROR(VLOOKUP(B285,BD_CONTROL!$A$5:$M$4235,13,0),"")</f>
        <v>0</v>
      </c>
    </row>
    <row r="286" spans="1:13" ht="15" customHeight="1">
      <c r="A286" s="39">
        <v>281</v>
      </c>
      <c r="B286" s="39" t="s">
        <v>4156</v>
      </c>
      <c r="C286" s="40" t="s">
        <v>4157</v>
      </c>
      <c r="D286" s="39" t="s">
        <v>3370</v>
      </c>
      <c r="E286" s="40" t="s">
        <v>3517</v>
      </c>
      <c r="F286" s="40" t="s">
        <v>1123</v>
      </c>
      <c r="G286" s="39" t="s">
        <v>109</v>
      </c>
      <c r="H286" s="40" t="s">
        <v>1110</v>
      </c>
      <c r="I286" s="40" t="s">
        <v>104</v>
      </c>
      <c r="J286" s="50"/>
      <c r="K286" s="116">
        <f>IFERROR(VLOOKUP(B286,BD_CONTROL!$A$5:$M$4235,11,0),"")</f>
        <v>0</v>
      </c>
      <c r="L286" s="117">
        <f>IFERROR(VLOOKUP(B286,BD_CONTROL!$A$5:$M$4235,12,0),"")</f>
        <v>0</v>
      </c>
      <c r="M286" s="118">
        <f>IFERROR(VLOOKUP(B286,BD_CONTROL!$A$5:$M$4235,13,0),"")</f>
        <v>0</v>
      </c>
    </row>
    <row r="287" spans="1:13" ht="15" customHeight="1">
      <c r="A287" s="42">
        <v>282</v>
      </c>
      <c r="B287" s="42" t="s">
        <v>4158</v>
      </c>
      <c r="C287" s="43" t="s">
        <v>4159</v>
      </c>
      <c r="D287" s="42" t="s">
        <v>3370</v>
      </c>
      <c r="E287" s="43" t="s">
        <v>3517</v>
      </c>
      <c r="F287" s="43" t="s">
        <v>4160</v>
      </c>
      <c r="G287" s="42" t="s">
        <v>109</v>
      </c>
      <c r="H287" s="43" t="s">
        <v>1110</v>
      </c>
      <c r="I287" s="43" t="s">
        <v>104</v>
      </c>
      <c r="J287" s="55"/>
      <c r="K287" s="119">
        <f>IFERROR(VLOOKUP(B287,BD_CONTROL!$A$5:$M$4235,11,0),"")</f>
        <v>0</v>
      </c>
      <c r="L287" s="120">
        <f>IFERROR(VLOOKUP(B287,BD_CONTROL!$A$5:$M$4235,12,0),"")</f>
        <v>0</v>
      </c>
      <c r="M287" s="121">
        <f>IFERROR(VLOOKUP(B287,BD_CONTROL!$A$5:$M$4235,13,0),"")</f>
        <v>0</v>
      </c>
    </row>
    <row r="288" spans="1:13" ht="15" customHeight="1">
      <c r="A288" s="39">
        <v>283</v>
      </c>
      <c r="B288" s="39" t="s">
        <v>4168</v>
      </c>
      <c r="C288" s="40" t="s">
        <v>4169</v>
      </c>
      <c r="D288" s="39" t="s">
        <v>3370</v>
      </c>
      <c r="E288" s="40" t="s">
        <v>3547</v>
      </c>
      <c r="F288" s="40" t="s">
        <v>1323</v>
      </c>
      <c r="G288" s="39" t="s">
        <v>102</v>
      </c>
      <c r="H288" s="40" t="s">
        <v>1110</v>
      </c>
      <c r="I288" s="40" t="s">
        <v>104</v>
      </c>
      <c r="J288" s="50"/>
      <c r="K288" s="116" t="str">
        <f>IFERROR(VLOOKUP(B288,BD_CONTROL!$A$5:$M$4235,11,0),"")</f>
        <v>Instalado - Operando</v>
      </c>
      <c r="L288" s="117">
        <f>IFERROR(VLOOKUP(B288,BD_CONTROL!$A$5:$M$4235,12,0),"")</f>
        <v>46148</v>
      </c>
      <c r="M288" s="118">
        <f>IFERROR(VLOOKUP(B288,BD_CONTROL!$A$5:$M$4235,13,0),"")</f>
        <v>0</v>
      </c>
    </row>
    <row r="289" spans="1:13" ht="15" customHeight="1">
      <c r="A289" s="42">
        <v>284</v>
      </c>
      <c r="B289" s="42" t="s">
        <v>4170</v>
      </c>
      <c r="C289" s="43" t="s">
        <v>4171</v>
      </c>
      <c r="D289" s="42" t="s">
        <v>3370</v>
      </c>
      <c r="E289" s="43" t="s">
        <v>3547</v>
      </c>
      <c r="F289" s="43" t="s">
        <v>4172</v>
      </c>
      <c r="G289" s="42" t="s">
        <v>102</v>
      </c>
      <c r="H289" s="43" t="s">
        <v>1110</v>
      </c>
      <c r="I289" s="43" t="s">
        <v>104</v>
      </c>
      <c r="J289" s="55"/>
      <c r="K289" s="119" t="str">
        <f>IFERROR(VLOOKUP(B289,BD_CONTROL!$A$5:$M$4235,11,0),"")</f>
        <v>Instalado - Operando</v>
      </c>
      <c r="L289" s="120">
        <f>IFERROR(VLOOKUP(B289,BD_CONTROL!$A$5:$M$4235,12,0),"")</f>
        <v>46148</v>
      </c>
      <c r="M289" s="121">
        <f>IFERROR(VLOOKUP(B289,BD_CONTROL!$A$5:$M$4235,13,0),"")</f>
        <v>0</v>
      </c>
    </row>
    <row r="290" spans="1:13" ht="15" customHeight="1">
      <c r="A290" s="39">
        <v>285</v>
      </c>
      <c r="B290" s="39" t="s">
        <v>4197</v>
      </c>
      <c r="C290" s="40" t="s">
        <v>4198</v>
      </c>
      <c r="D290" s="39" t="s">
        <v>3370</v>
      </c>
      <c r="E290" s="40" t="s">
        <v>3460</v>
      </c>
      <c r="F290" s="40" t="s">
        <v>4199</v>
      </c>
      <c r="G290" s="39" t="s">
        <v>109</v>
      </c>
      <c r="H290" s="40" t="s">
        <v>1110</v>
      </c>
      <c r="I290" s="40" t="s">
        <v>104</v>
      </c>
      <c r="J290" s="50"/>
      <c r="K290" s="116">
        <f>IFERROR(VLOOKUP(B290,BD_CONTROL!$A$5:$M$4235,11,0),"")</f>
        <v>0</v>
      </c>
      <c r="L290" s="117">
        <f>IFERROR(VLOOKUP(B290,BD_CONTROL!$A$5:$M$4235,12,0),"")</f>
        <v>0</v>
      </c>
      <c r="M290" s="118">
        <f>IFERROR(VLOOKUP(B290,BD_CONTROL!$A$5:$M$4235,13,0),"")</f>
        <v>0</v>
      </c>
    </row>
    <row r="291" spans="1:13" ht="15" customHeight="1">
      <c r="A291" s="42">
        <v>286</v>
      </c>
      <c r="B291" s="42" t="s">
        <v>4200</v>
      </c>
      <c r="C291" s="43" t="s">
        <v>4201</v>
      </c>
      <c r="D291" s="42" t="s">
        <v>3370</v>
      </c>
      <c r="E291" s="43" t="s">
        <v>3408</v>
      </c>
      <c r="F291" s="43" t="s">
        <v>4202</v>
      </c>
      <c r="G291" s="42" t="s">
        <v>102</v>
      </c>
      <c r="H291" s="43" t="s">
        <v>1110</v>
      </c>
      <c r="I291" s="43" t="s">
        <v>104</v>
      </c>
      <c r="J291" s="55"/>
      <c r="K291" s="119">
        <f>IFERROR(VLOOKUP(B291,BD_CONTROL!$A$5:$M$4235,11,0),"")</f>
        <v>0</v>
      </c>
      <c r="L291" s="120">
        <f>IFERROR(VLOOKUP(B291,BD_CONTROL!$A$5:$M$4235,12,0),"")</f>
        <v>0</v>
      </c>
      <c r="M291" s="121">
        <f>IFERROR(VLOOKUP(B291,BD_CONTROL!$A$5:$M$4235,13,0),"")</f>
        <v>0</v>
      </c>
    </row>
    <row r="292" spans="1:13" ht="15" customHeight="1">
      <c r="A292" s="39">
        <v>287</v>
      </c>
      <c r="B292" s="39" t="s">
        <v>4203</v>
      </c>
      <c r="C292" s="40" t="s">
        <v>4204</v>
      </c>
      <c r="D292" s="39" t="s">
        <v>3370</v>
      </c>
      <c r="E292" s="40" t="s">
        <v>3408</v>
      </c>
      <c r="F292" s="40" t="s">
        <v>1292</v>
      </c>
      <c r="G292" s="39" t="s">
        <v>109</v>
      </c>
      <c r="H292" s="40" t="s">
        <v>1110</v>
      </c>
      <c r="I292" s="40" t="s">
        <v>104</v>
      </c>
      <c r="J292" s="50"/>
      <c r="K292" s="116">
        <f>IFERROR(VLOOKUP(B292,BD_CONTROL!$A$5:$M$4235,11,0),"")</f>
        <v>0</v>
      </c>
      <c r="L292" s="117">
        <f>IFERROR(VLOOKUP(B292,BD_CONTROL!$A$5:$M$4235,12,0),"")</f>
        <v>0</v>
      </c>
      <c r="M292" s="118">
        <f>IFERROR(VLOOKUP(B292,BD_CONTROL!$A$5:$M$4235,13,0),"")</f>
        <v>0</v>
      </c>
    </row>
    <row r="293" spans="1:13" ht="15" customHeight="1">
      <c r="A293" s="42">
        <v>288</v>
      </c>
      <c r="B293" s="42" t="s">
        <v>4205</v>
      </c>
      <c r="C293" s="43" t="s">
        <v>4206</v>
      </c>
      <c r="D293" s="42" t="s">
        <v>3370</v>
      </c>
      <c r="E293" s="43" t="s">
        <v>3408</v>
      </c>
      <c r="F293" s="43" t="s">
        <v>4207</v>
      </c>
      <c r="G293" s="42" t="s">
        <v>109</v>
      </c>
      <c r="H293" s="43" t="s">
        <v>1110</v>
      </c>
      <c r="I293" s="43" t="s">
        <v>104</v>
      </c>
      <c r="J293" s="55"/>
      <c r="K293" s="119">
        <f>IFERROR(VLOOKUP(B293,BD_CONTROL!$A$5:$M$4235,11,0),"")</f>
        <v>0</v>
      </c>
      <c r="L293" s="120">
        <f>IFERROR(VLOOKUP(B293,BD_CONTROL!$A$5:$M$4235,12,0),"")</f>
        <v>0</v>
      </c>
      <c r="M293" s="121">
        <f>IFERROR(VLOOKUP(B293,BD_CONTROL!$A$5:$M$4235,13,0),"")</f>
        <v>0</v>
      </c>
    </row>
    <row r="294" spans="1:13" ht="15" customHeight="1">
      <c r="A294" s="39">
        <v>289</v>
      </c>
      <c r="B294" s="39" t="s">
        <v>4221</v>
      </c>
      <c r="C294" s="40" t="s">
        <v>4222</v>
      </c>
      <c r="D294" s="39" t="s">
        <v>3370</v>
      </c>
      <c r="E294" s="40" t="s">
        <v>3375</v>
      </c>
      <c r="F294" s="40" t="s">
        <v>4223</v>
      </c>
      <c r="G294" s="39" t="s">
        <v>102</v>
      </c>
      <c r="H294" s="40" t="s">
        <v>1184</v>
      </c>
      <c r="I294" s="40" t="s">
        <v>104</v>
      </c>
      <c r="J294" s="50"/>
      <c r="K294" s="116">
        <f>IFERROR(VLOOKUP(B294,BD_CONTROL!$A$5:$M$4235,11,0),"")</f>
        <v>0</v>
      </c>
      <c r="L294" s="117">
        <f>IFERROR(VLOOKUP(B294,BD_CONTROL!$A$5:$M$4235,12,0),"")</f>
        <v>0</v>
      </c>
      <c r="M294" s="118">
        <f>IFERROR(VLOOKUP(B294,BD_CONTROL!$A$5:$M$4235,13,0),"")</f>
        <v>0</v>
      </c>
    </row>
    <row r="295" spans="1:13" ht="15" customHeight="1">
      <c r="A295" s="42">
        <v>290</v>
      </c>
      <c r="B295" s="42" t="s">
        <v>4228</v>
      </c>
      <c r="C295" s="43" t="s">
        <v>4229</v>
      </c>
      <c r="D295" s="42" t="s">
        <v>3370</v>
      </c>
      <c r="E295" s="43" t="s">
        <v>3416</v>
      </c>
      <c r="F295" s="43" t="s">
        <v>4230</v>
      </c>
      <c r="G295" s="42" t="s">
        <v>102</v>
      </c>
      <c r="H295" s="43" t="s">
        <v>1110</v>
      </c>
      <c r="I295" s="43" t="s">
        <v>104</v>
      </c>
      <c r="J295" s="55"/>
      <c r="K295" s="119">
        <f>IFERROR(VLOOKUP(B295,BD_CONTROL!$A$5:$M$4235,11,0),"")</f>
        <v>0</v>
      </c>
      <c r="L295" s="120">
        <f>IFERROR(VLOOKUP(B295,BD_CONTROL!$A$5:$M$4235,12,0),"")</f>
        <v>0</v>
      </c>
      <c r="M295" s="121">
        <f>IFERROR(VLOOKUP(B295,BD_CONTROL!$A$5:$M$4235,13,0),"")</f>
        <v>0</v>
      </c>
    </row>
    <row r="296" spans="1:13" ht="15" customHeight="1">
      <c r="A296" s="39">
        <v>291</v>
      </c>
      <c r="B296" s="39" t="s">
        <v>4231</v>
      </c>
      <c r="C296" s="40" t="s">
        <v>4232</v>
      </c>
      <c r="D296" s="39" t="s">
        <v>3370</v>
      </c>
      <c r="E296" s="40" t="s">
        <v>3416</v>
      </c>
      <c r="F296" s="40" t="s">
        <v>3416</v>
      </c>
      <c r="G296" s="39" t="s">
        <v>109</v>
      </c>
      <c r="H296" s="40" t="s">
        <v>1110</v>
      </c>
      <c r="I296" s="40" t="s">
        <v>104</v>
      </c>
      <c r="J296" s="50"/>
      <c r="K296" s="116">
        <f>IFERROR(VLOOKUP(B296,BD_CONTROL!$A$5:$M$4235,11,0),"")</f>
        <v>0</v>
      </c>
      <c r="L296" s="117">
        <f>IFERROR(VLOOKUP(B296,BD_CONTROL!$A$5:$M$4235,12,0),"")</f>
        <v>0</v>
      </c>
      <c r="M296" s="118">
        <f>IFERROR(VLOOKUP(B296,BD_CONTROL!$A$5:$M$4235,13,0),"")</f>
        <v>0</v>
      </c>
    </row>
    <row r="297" spans="1:13" ht="15" customHeight="1">
      <c r="A297" s="42">
        <v>292</v>
      </c>
      <c r="B297" s="42" t="s">
        <v>4233</v>
      </c>
      <c r="C297" s="43" t="s">
        <v>4234</v>
      </c>
      <c r="D297" s="42" t="s">
        <v>3370</v>
      </c>
      <c r="E297" s="43" t="s">
        <v>3416</v>
      </c>
      <c r="F297" s="43" t="s">
        <v>4235</v>
      </c>
      <c r="G297" s="42" t="s">
        <v>109</v>
      </c>
      <c r="H297" s="43" t="s">
        <v>1110</v>
      </c>
      <c r="I297" s="43" t="s">
        <v>104</v>
      </c>
      <c r="J297" s="55"/>
      <c r="K297" s="119">
        <f>IFERROR(VLOOKUP(B297,BD_CONTROL!$A$5:$M$4235,11,0),"")</f>
        <v>0</v>
      </c>
      <c r="L297" s="120">
        <f>IFERROR(VLOOKUP(B297,BD_CONTROL!$A$5:$M$4235,12,0),"")</f>
        <v>0</v>
      </c>
      <c r="M297" s="121">
        <f>IFERROR(VLOOKUP(B297,BD_CONTROL!$A$5:$M$4235,13,0),"")</f>
        <v>0</v>
      </c>
    </row>
    <row r="298" spans="1:13" ht="15" customHeight="1">
      <c r="A298" s="39">
        <v>293</v>
      </c>
      <c r="B298" s="39" t="s">
        <v>4245</v>
      </c>
      <c r="C298" s="40" t="s">
        <v>4246</v>
      </c>
      <c r="D298" s="39" t="s">
        <v>3370</v>
      </c>
      <c r="E298" s="40" t="s">
        <v>4071</v>
      </c>
      <c r="F298" s="40" t="s">
        <v>4247</v>
      </c>
      <c r="G298" s="39" t="s">
        <v>109</v>
      </c>
      <c r="H298" s="40" t="s">
        <v>1110</v>
      </c>
      <c r="I298" s="40" t="s">
        <v>104</v>
      </c>
      <c r="J298" s="50"/>
      <c r="K298" s="116">
        <f>IFERROR(VLOOKUP(B298,BD_CONTROL!$A$5:$M$4235,11,0),"")</f>
        <v>0</v>
      </c>
      <c r="L298" s="117">
        <f>IFERROR(VLOOKUP(B298,BD_CONTROL!$A$5:$M$4235,12,0),"")</f>
        <v>0</v>
      </c>
      <c r="M298" s="118">
        <f>IFERROR(VLOOKUP(B298,BD_CONTROL!$A$5:$M$4235,13,0),"")</f>
        <v>0</v>
      </c>
    </row>
    <row r="299" spans="1:13" ht="15" customHeight="1">
      <c r="A299" s="42">
        <v>294</v>
      </c>
      <c r="B299" s="42" t="s">
        <v>4252</v>
      </c>
      <c r="C299" s="43" t="s">
        <v>4253</v>
      </c>
      <c r="D299" s="42" t="s">
        <v>3370</v>
      </c>
      <c r="E299" s="43" t="s">
        <v>1244</v>
      </c>
      <c r="F299" s="43" t="s">
        <v>4254</v>
      </c>
      <c r="G299" s="42" t="s">
        <v>102</v>
      </c>
      <c r="H299" s="43" t="s">
        <v>1184</v>
      </c>
      <c r="I299" s="43" t="s">
        <v>104</v>
      </c>
      <c r="J299" s="55"/>
      <c r="K299" s="119">
        <f>IFERROR(VLOOKUP(B299,BD_CONTROL!$A$5:$M$4235,11,0),"")</f>
        <v>0</v>
      </c>
      <c r="L299" s="120">
        <f>IFERROR(VLOOKUP(B299,BD_CONTROL!$A$5:$M$4235,12,0),"")</f>
        <v>0</v>
      </c>
      <c r="M299" s="121">
        <f>IFERROR(VLOOKUP(B299,BD_CONTROL!$A$5:$M$4235,13,0),"")</f>
        <v>0</v>
      </c>
    </row>
    <row r="300" spans="1:13" ht="15" customHeight="1">
      <c r="A300" s="39">
        <v>295</v>
      </c>
      <c r="B300" s="39" t="s">
        <v>4255</v>
      </c>
      <c r="C300" s="40" t="s">
        <v>390</v>
      </c>
      <c r="D300" s="39" t="s">
        <v>3370</v>
      </c>
      <c r="E300" s="40" t="s">
        <v>3416</v>
      </c>
      <c r="F300" s="40" t="s">
        <v>4256</v>
      </c>
      <c r="G300" s="39" t="s">
        <v>109</v>
      </c>
      <c r="H300" s="40" t="s">
        <v>1110</v>
      </c>
      <c r="I300" s="40" t="s">
        <v>104</v>
      </c>
      <c r="J300" s="50"/>
      <c r="K300" s="116">
        <f>IFERROR(VLOOKUP(B300,BD_CONTROL!$A$5:$M$4235,11,0),"")</f>
        <v>0</v>
      </c>
      <c r="L300" s="117">
        <f>IFERROR(VLOOKUP(B300,BD_CONTROL!$A$5:$M$4235,12,0),"")</f>
        <v>0</v>
      </c>
      <c r="M300" s="118">
        <f>IFERROR(VLOOKUP(B300,BD_CONTROL!$A$5:$M$4235,13,0),"")</f>
        <v>0</v>
      </c>
    </row>
    <row r="301" spans="1:13" ht="15" customHeight="1">
      <c r="A301" s="42">
        <v>296</v>
      </c>
      <c r="B301" s="42" t="s">
        <v>4260</v>
      </c>
      <c r="C301" s="43" t="s">
        <v>4261</v>
      </c>
      <c r="D301" s="42" t="s">
        <v>3370</v>
      </c>
      <c r="E301" s="43" t="s">
        <v>3582</v>
      </c>
      <c r="F301" s="43" t="s">
        <v>3768</v>
      </c>
      <c r="G301" s="42" t="s">
        <v>109</v>
      </c>
      <c r="H301" s="43" t="s">
        <v>1110</v>
      </c>
      <c r="I301" s="43" t="s">
        <v>104</v>
      </c>
      <c r="J301" s="55"/>
      <c r="K301" s="119">
        <f>IFERROR(VLOOKUP(B301,BD_CONTROL!$A$5:$M$4235,11,0),"")</f>
        <v>0</v>
      </c>
      <c r="L301" s="120">
        <f>IFERROR(VLOOKUP(B301,BD_CONTROL!$A$5:$M$4235,12,0),"")</f>
        <v>0</v>
      </c>
      <c r="M301" s="121">
        <f>IFERROR(VLOOKUP(B301,BD_CONTROL!$A$5:$M$4235,13,0),"")</f>
        <v>0</v>
      </c>
    </row>
    <row r="302" spans="1:13" ht="15" customHeight="1">
      <c r="A302" s="39">
        <v>297</v>
      </c>
      <c r="B302" s="39" t="s">
        <v>4264</v>
      </c>
      <c r="C302" s="40" t="s">
        <v>4265</v>
      </c>
      <c r="D302" s="39" t="s">
        <v>3370</v>
      </c>
      <c r="E302" s="40" t="s">
        <v>3428</v>
      </c>
      <c r="F302" s="40" t="s">
        <v>455</v>
      </c>
      <c r="G302" s="39" t="s">
        <v>102</v>
      </c>
      <c r="H302" s="40" t="s">
        <v>1184</v>
      </c>
      <c r="I302" s="40" t="s">
        <v>104</v>
      </c>
      <c r="J302" s="50"/>
      <c r="K302" s="116">
        <f>IFERROR(VLOOKUP(B302,BD_CONTROL!$A$5:$M$4235,11,0),"")</f>
        <v>0</v>
      </c>
      <c r="L302" s="117">
        <f>IFERROR(VLOOKUP(B302,BD_CONTROL!$A$5:$M$4235,12,0),"")</f>
        <v>0</v>
      </c>
      <c r="M302" s="118">
        <f>IFERROR(VLOOKUP(B302,BD_CONTROL!$A$5:$M$4235,13,0),"")</f>
        <v>0</v>
      </c>
    </row>
    <row r="303" spans="1:13" ht="15" customHeight="1">
      <c r="A303" s="42">
        <v>298</v>
      </c>
      <c r="B303" s="42" t="s">
        <v>4266</v>
      </c>
      <c r="C303" s="43" t="s">
        <v>4267</v>
      </c>
      <c r="D303" s="42" t="s">
        <v>3370</v>
      </c>
      <c r="E303" s="43" t="s">
        <v>3428</v>
      </c>
      <c r="F303" s="43" t="s">
        <v>3370</v>
      </c>
      <c r="G303" s="42" t="s">
        <v>102</v>
      </c>
      <c r="H303" s="43" t="s">
        <v>1184</v>
      </c>
      <c r="I303" s="43" t="s">
        <v>104</v>
      </c>
      <c r="J303" s="55"/>
      <c r="K303" s="119">
        <f>IFERROR(VLOOKUP(B303,BD_CONTROL!$A$5:$M$4235,11,0),"")</f>
        <v>0</v>
      </c>
      <c r="L303" s="120">
        <f>IFERROR(VLOOKUP(B303,BD_CONTROL!$A$5:$M$4235,12,0),"")</f>
        <v>0</v>
      </c>
      <c r="M303" s="121">
        <f>IFERROR(VLOOKUP(B303,BD_CONTROL!$A$5:$M$4235,13,0),"")</f>
        <v>0</v>
      </c>
    </row>
    <row r="304" spans="1:13" ht="15" customHeight="1">
      <c r="A304" s="39">
        <v>299</v>
      </c>
      <c r="B304" s="39" t="s">
        <v>4268</v>
      </c>
      <c r="C304" s="40" t="s">
        <v>4269</v>
      </c>
      <c r="D304" s="39" t="s">
        <v>3370</v>
      </c>
      <c r="E304" s="40" t="s">
        <v>3375</v>
      </c>
      <c r="F304" s="40" t="s">
        <v>4270</v>
      </c>
      <c r="G304" s="39" t="s">
        <v>109</v>
      </c>
      <c r="H304" s="40" t="s">
        <v>1184</v>
      </c>
      <c r="I304" s="40" t="s">
        <v>104</v>
      </c>
      <c r="J304" s="50"/>
      <c r="K304" s="116">
        <f>IFERROR(VLOOKUP(B304,BD_CONTROL!$A$5:$M$4235,11,0),"")</f>
        <v>0</v>
      </c>
      <c r="L304" s="117">
        <f>IFERROR(VLOOKUP(B304,BD_CONTROL!$A$5:$M$4235,12,0),"")</f>
        <v>0</v>
      </c>
      <c r="M304" s="118">
        <f>IFERROR(VLOOKUP(B304,BD_CONTROL!$A$5:$M$4235,13,0),"")</f>
        <v>0</v>
      </c>
    </row>
    <row r="305" spans="1:13" ht="15" customHeight="1">
      <c r="A305" s="42">
        <v>300</v>
      </c>
      <c r="B305" s="42" t="s">
        <v>4271</v>
      </c>
      <c r="C305" s="43" t="s">
        <v>4272</v>
      </c>
      <c r="D305" s="42" t="s">
        <v>3370</v>
      </c>
      <c r="E305" s="43" t="s">
        <v>3375</v>
      </c>
      <c r="F305" s="43" t="s">
        <v>3376</v>
      </c>
      <c r="G305" s="42" t="s">
        <v>102</v>
      </c>
      <c r="H305" s="43" t="s">
        <v>1184</v>
      </c>
      <c r="I305" s="43" t="s">
        <v>104</v>
      </c>
      <c r="J305" s="55"/>
      <c r="K305" s="119">
        <f>IFERROR(VLOOKUP(B305,BD_CONTROL!$A$5:$M$4235,11,0),"")</f>
        <v>0</v>
      </c>
      <c r="L305" s="120">
        <f>IFERROR(VLOOKUP(B305,BD_CONTROL!$A$5:$M$4235,12,0),"")</f>
        <v>0</v>
      </c>
      <c r="M305" s="121">
        <f>IFERROR(VLOOKUP(B305,BD_CONTROL!$A$5:$M$4235,13,0),"")</f>
        <v>0</v>
      </c>
    </row>
    <row r="306" spans="1:13" ht="15" customHeight="1">
      <c r="A306" s="39">
        <v>301</v>
      </c>
      <c r="B306" s="39" t="s">
        <v>4276</v>
      </c>
      <c r="C306" s="40" t="s">
        <v>4277</v>
      </c>
      <c r="D306" s="39" t="s">
        <v>3370</v>
      </c>
      <c r="E306" s="40" t="s">
        <v>3416</v>
      </c>
      <c r="F306" s="40" t="s">
        <v>4235</v>
      </c>
      <c r="G306" s="39" t="s">
        <v>102</v>
      </c>
      <c r="H306" s="40" t="s">
        <v>1110</v>
      </c>
      <c r="I306" s="40" t="s">
        <v>104</v>
      </c>
      <c r="J306" s="50"/>
      <c r="K306" s="116">
        <f>IFERROR(VLOOKUP(B306,BD_CONTROL!$A$5:$M$4235,11,0),"")</f>
        <v>0</v>
      </c>
      <c r="L306" s="117">
        <f>IFERROR(VLOOKUP(B306,BD_CONTROL!$A$5:$M$4235,12,0),"")</f>
        <v>0</v>
      </c>
      <c r="M306" s="118">
        <f>IFERROR(VLOOKUP(B306,BD_CONTROL!$A$5:$M$4235,13,0),"")</f>
        <v>0</v>
      </c>
    </row>
    <row r="307" spans="1:13" ht="15" customHeight="1">
      <c r="A307" s="42">
        <v>302</v>
      </c>
      <c r="B307" s="42" t="s">
        <v>4278</v>
      </c>
      <c r="C307" s="43" t="s">
        <v>4279</v>
      </c>
      <c r="D307" s="42" t="s">
        <v>3370</v>
      </c>
      <c r="E307" s="43" t="s">
        <v>3517</v>
      </c>
      <c r="F307" s="43" t="s">
        <v>865</v>
      </c>
      <c r="G307" s="42" t="s">
        <v>109</v>
      </c>
      <c r="H307" s="43" t="s">
        <v>1110</v>
      </c>
      <c r="I307" s="43" t="s">
        <v>104</v>
      </c>
      <c r="J307" s="55"/>
      <c r="K307" s="119">
        <f>IFERROR(VLOOKUP(B307,BD_CONTROL!$A$5:$M$4235,11,0),"")</f>
        <v>0</v>
      </c>
      <c r="L307" s="120">
        <f>IFERROR(VLOOKUP(B307,BD_CONTROL!$A$5:$M$4235,12,0),"")</f>
        <v>0</v>
      </c>
      <c r="M307" s="121">
        <f>IFERROR(VLOOKUP(B307,BD_CONTROL!$A$5:$M$4235,13,0),"")</f>
        <v>0</v>
      </c>
    </row>
    <row r="308" spans="1:13" ht="15" customHeight="1">
      <c r="A308" s="39">
        <v>303</v>
      </c>
      <c r="B308" s="39" t="s">
        <v>4280</v>
      </c>
      <c r="C308" s="40" t="s">
        <v>4281</v>
      </c>
      <c r="D308" s="39" t="s">
        <v>3370</v>
      </c>
      <c r="E308" s="40" t="s">
        <v>3517</v>
      </c>
      <c r="F308" s="40" t="s">
        <v>4282</v>
      </c>
      <c r="G308" s="39" t="s">
        <v>109</v>
      </c>
      <c r="H308" s="40" t="s">
        <v>1110</v>
      </c>
      <c r="I308" s="40" t="s">
        <v>104</v>
      </c>
      <c r="J308" s="50"/>
      <c r="K308" s="116">
        <f>IFERROR(VLOOKUP(B308,BD_CONTROL!$A$5:$M$4235,11,0),"")</f>
        <v>0</v>
      </c>
      <c r="L308" s="117">
        <f>IFERROR(VLOOKUP(B308,BD_CONTROL!$A$5:$M$4235,12,0),"")</f>
        <v>0</v>
      </c>
      <c r="M308" s="118">
        <f>IFERROR(VLOOKUP(B308,BD_CONTROL!$A$5:$M$4235,13,0),"")</f>
        <v>0</v>
      </c>
    </row>
    <row r="309" spans="1:13" ht="15" customHeight="1">
      <c r="A309" s="42">
        <v>304</v>
      </c>
      <c r="B309" s="42" t="s">
        <v>4283</v>
      </c>
      <c r="C309" s="43" t="s">
        <v>4284</v>
      </c>
      <c r="D309" s="42" t="s">
        <v>3370</v>
      </c>
      <c r="E309" s="43" t="s">
        <v>3371</v>
      </c>
      <c r="F309" s="43" t="s">
        <v>3931</v>
      </c>
      <c r="G309" s="42" t="s">
        <v>109</v>
      </c>
      <c r="H309" s="43" t="s">
        <v>1110</v>
      </c>
      <c r="I309" s="43" t="s">
        <v>104</v>
      </c>
      <c r="J309" s="55"/>
      <c r="K309" s="119">
        <f>IFERROR(VLOOKUP(B309,BD_CONTROL!$A$5:$M$4235,11,0),"")</f>
        <v>0</v>
      </c>
      <c r="L309" s="120">
        <f>IFERROR(VLOOKUP(B309,BD_CONTROL!$A$5:$M$4235,12,0),"")</f>
        <v>0</v>
      </c>
      <c r="M309" s="121">
        <f>IFERROR(VLOOKUP(B309,BD_CONTROL!$A$5:$M$4235,13,0),"")</f>
        <v>0</v>
      </c>
    </row>
    <row r="310" spans="1:13" ht="15" customHeight="1">
      <c r="A310" s="39">
        <v>305</v>
      </c>
      <c r="B310" s="39" t="s">
        <v>4285</v>
      </c>
      <c r="C310" s="40" t="s">
        <v>4286</v>
      </c>
      <c r="D310" s="39" t="s">
        <v>3370</v>
      </c>
      <c r="E310" s="40" t="s">
        <v>3416</v>
      </c>
      <c r="F310" s="40" t="s">
        <v>4287</v>
      </c>
      <c r="G310" s="39" t="s">
        <v>109</v>
      </c>
      <c r="H310" s="40" t="s">
        <v>1110</v>
      </c>
      <c r="I310" s="40" t="s">
        <v>104</v>
      </c>
      <c r="J310" s="50"/>
      <c r="K310" s="116">
        <f>IFERROR(VLOOKUP(B310,BD_CONTROL!$A$5:$M$4235,11,0),"")</f>
        <v>0</v>
      </c>
      <c r="L310" s="117">
        <f>IFERROR(VLOOKUP(B310,BD_CONTROL!$A$5:$M$4235,12,0),"")</f>
        <v>0</v>
      </c>
      <c r="M310" s="118">
        <f>IFERROR(VLOOKUP(B310,BD_CONTROL!$A$5:$M$4235,13,0),"")</f>
        <v>0</v>
      </c>
    </row>
    <row r="311" spans="1:13" ht="15" customHeight="1">
      <c r="A311" s="42">
        <v>306</v>
      </c>
      <c r="B311" s="42" t="s">
        <v>4288</v>
      </c>
      <c r="C311" s="43" t="s">
        <v>4289</v>
      </c>
      <c r="D311" s="42" t="s">
        <v>3370</v>
      </c>
      <c r="E311" s="43" t="s">
        <v>3842</v>
      </c>
      <c r="F311" s="43" t="s">
        <v>4290</v>
      </c>
      <c r="G311" s="42" t="s">
        <v>109</v>
      </c>
      <c r="H311" s="43" t="s">
        <v>1110</v>
      </c>
      <c r="I311" s="43" t="s">
        <v>104</v>
      </c>
      <c r="J311" s="55"/>
      <c r="K311" s="119">
        <f>IFERROR(VLOOKUP(B311,BD_CONTROL!$A$5:$M$4235,11,0),"")</f>
        <v>0</v>
      </c>
      <c r="L311" s="120">
        <f>IFERROR(VLOOKUP(B311,BD_CONTROL!$A$5:$M$4235,12,0),"")</f>
        <v>0</v>
      </c>
      <c r="M311" s="121">
        <f>IFERROR(VLOOKUP(B311,BD_CONTROL!$A$5:$M$4235,13,0),"")</f>
        <v>0</v>
      </c>
    </row>
    <row r="312" spans="1:13" ht="15" customHeight="1">
      <c r="A312" s="39">
        <v>307</v>
      </c>
      <c r="B312" s="39" t="s">
        <v>4291</v>
      </c>
      <c r="C312" s="40" t="s">
        <v>4292</v>
      </c>
      <c r="D312" s="39" t="s">
        <v>3370</v>
      </c>
      <c r="E312" s="40" t="s">
        <v>3444</v>
      </c>
      <c r="F312" s="40" t="s">
        <v>4293</v>
      </c>
      <c r="G312" s="39" t="s">
        <v>109</v>
      </c>
      <c r="H312" s="40" t="s">
        <v>1110</v>
      </c>
      <c r="I312" s="40" t="s">
        <v>104</v>
      </c>
      <c r="J312" s="50"/>
      <c r="K312" s="116">
        <f>IFERROR(VLOOKUP(B312,BD_CONTROL!$A$5:$M$4235,11,0),"")</f>
        <v>0</v>
      </c>
      <c r="L312" s="117">
        <f>IFERROR(VLOOKUP(B312,BD_CONTROL!$A$5:$M$4235,12,0),"")</f>
        <v>0</v>
      </c>
      <c r="M312" s="118">
        <f>IFERROR(VLOOKUP(B312,BD_CONTROL!$A$5:$M$4235,13,0),"")</f>
        <v>0</v>
      </c>
    </row>
    <row r="313" spans="1:13" ht="15" customHeight="1">
      <c r="A313" s="42">
        <v>308</v>
      </c>
      <c r="B313" s="42" t="s">
        <v>4294</v>
      </c>
      <c r="C313" s="43" t="s">
        <v>4295</v>
      </c>
      <c r="D313" s="42" t="s">
        <v>3370</v>
      </c>
      <c r="E313" s="43" t="s">
        <v>1244</v>
      </c>
      <c r="F313" s="43" t="s">
        <v>3948</v>
      </c>
      <c r="G313" s="42" t="s">
        <v>109</v>
      </c>
      <c r="H313" s="43" t="s">
        <v>1184</v>
      </c>
      <c r="I313" s="43" t="s">
        <v>104</v>
      </c>
      <c r="J313" s="55"/>
      <c r="K313" s="119">
        <f>IFERROR(VLOOKUP(B313,BD_CONTROL!$A$5:$M$4235,11,0),"")</f>
        <v>0</v>
      </c>
      <c r="L313" s="120">
        <f>IFERROR(VLOOKUP(B313,BD_CONTROL!$A$5:$M$4235,12,0),"")</f>
        <v>0</v>
      </c>
      <c r="M313" s="121">
        <f>IFERROR(VLOOKUP(B313,BD_CONTROL!$A$5:$M$4235,13,0),"")</f>
        <v>0</v>
      </c>
    </row>
    <row r="314" spans="1:13" ht="15" customHeight="1">
      <c r="A314" s="39">
        <v>309</v>
      </c>
      <c r="B314" s="39" t="s">
        <v>4303</v>
      </c>
      <c r="C314" s="40" t="s">
        <v>4304</v>
      </c>
      <c r="D314" s="39" t="s">
        <v>3370</v>
      </c>
      <c r="E314" s="40" t="s">
        <v>3746</v>
      </c>
      <c r="F314" s="40" t="s">
        <v>4305</v>
      </c>
      <c r="G314" s="39" t="s">
        <v>109</v>
      </c>
      <c r="H314" s="40" t="s">
        <v>1184</v>
      </c>
      <c r="I314" s="40" t="s">
        <v>104</v>
      </c>
      <c r="J314" s="50"/>
      <c r="K314" s="116">
        <f>IFERROR(VLOOKUP(B314,BD_CONTROL!$A$5:$M$4235,11,0),"")</f>
        <v>0</v>
      </c>
      <c r="L314" s="117">
        <f>IFERROR(VLOOKUP(B314,BD_CONTROL!$A$5:$M$4235,12,0),"")</f>
        <v>0</v>
      </c>
      <c r="M314" s="118">
        <f>IFERROR(VLOOKUP(B314,BD_CONTROL!$A$5:$M$4235,13,0),"")</f>
        <v>0</v>
      </c>
    </row>
    <row r="315" spans="1:13" ht="15" customHeight="1">
      <c r="A315" s="42">
        <v>310</v>
      </c>
      <c r="B315" s="42" t="s">
        <v>4306</v>
      </c>
      <c r="C315" s="43" t="s">
        <v>4307</v>
      </c>
      <c r="D315" s="42" t="s">
        <v>3370</v>
      </c>
      <c r="E315" s="43" t="s">
        <v>3746</v>
      </c>
      <c r="F315" s="43" t="s">
        <v>4308</v>
      </c>
      <c r="G315" s="42" t="s">
        <v>109</v>
      </c>
      <c r="H315" s="43" t="s">
        <v>1184</v>
      </c>
      <c r="I315" s="43" t="s">
        <v>104</v>
      </c>
      <c r="J315" s="55"/>
      <c r="K315" s="119">
        <f>IFERROR(VLOOKUP(B315,BD_CONTROL!$A$5:$M$4235,11,0),"")</f>
        <v>0</v>
      </c>
      <c r="L315" s="120">
        <f>IFERROR(VLOOKUP(B315,BD_CONTROL!$A$5:$M$4235,12,0),"")</f>
        <v>0</v>
      </c>
      <c r="M315" s="121">
        <f>IFERROR(VLOOKUP(B315,BD_CONTROL!$A$5:$M$4235,13,0),"")</f>
        <v>0</v>
      </c>
    </row>
    <row r="316" spans="1:13" ht="15" customHeight="1">
      <c r="A316" s="39">
        <v>311</v>
      </c>
      <c r="B316" s="39" t="s">
        <v>4309</v>
      </c>
      <c r="C316" s="40" t="s">
        <v>4310</v>
      </c>
      <c r="D316" s="39" t="s">
        <v>3370</v>
      </c>
      <c r="E316" s="40" t="s">
        <v>3471</v>
      </c>
      <c r="F316" s="40" t="s">
        <v>4037</v>
      </c>
      <c r="G316" s="39" t="s">
        <v>109</v>
      </c>
      <c r="H316" s="40" t="s">
        <v>1110</v>
      </c>
      <c r="I316" s="40" t="s">
        <v>104</v>
      </c>
      <c r="J316" s="50"/>
      <c r="K316" s="116" t="str">
        <f>IFERROR(VLOOKUP(B316,BD_CONTROL!$A$5:$M$4235,11,0),"")</f>
        <v>Instalado - Operando</v>
      </c>
      <c r="L316" s="117">
        <f>IFERROR(VLOOKUP(B316,BD_CONTROL!$A$5:$M$4235,12,0),"")</f>
        <v>46148</v>
      </c>
      <c r="M316" s="118" t="str">
        <f>IFERROR(VLOOKUP(B316,BD_CONTROL!$A$5:$M$4235,13,0),"")</f>
        <v>Este equipo no se encuentra cargado en la aplicación</v>
      </c>
    </row>
    <row r="317" spans="1:13" ht="15" customHeight="1">
      <c r="A317" s="42">
        <v>312</v>
      </c>
      <c r="B317" s="42" t="s">
        <v>4311</v>
      </c>
      <c r="C317" s="43" t="s">
        <v>4312</v>
      </c>
      <c r="D317" s="42" t="s">
        <v>3370</v>
      </c>
      <c r="E317" s="43" t="s">
        <v>3455</v>
      </c>
      <c r="F317" s="43" t="s">
        <v>3951</v>
      </c>
      <c r="G317" s="42" t="s">
        <v>109</v>
      </c>
      <c r="H317" s="43" t="s">
        <v>1110</v>
      </c>
      <c r="I317" s="43" t="s">
        <v>104</v>
      </c>
      <c r="J317" s="55"/>
      <c r="K317" s="119">
        <f>IFERROR(VLOOKUP(B317,BD_CONTROL!$A$5:$M$4235,11,0),"")</f>
        <v>0</v>
      </c>
      <c r="L317" s="120">
        <f>IFERROR(VLOOKUP(B317,BD_CONTROL!$A$5:$M$4235,12,0),"")</f>
        <v>0</v>
      </c>
      <c r="M317" s="121">
        <f>IFERROR(VLOOKUP(B317,BD_CONTROL!$A$5:$M$4235,13,0),"")</f>
        <v>0</v>
      </c>
    </row>
    <row r="318" spans="1:13" ht="15" customHeight="1">
      <c r="A318" s="39">
        <v>313</v>
      </c>
      <c r="B318" s="39" t="s">
        <v>4313</v>
      </c>
      <c r="C318" s="40" t="s">
        <v>4314</v>
      </c>
      <c r="D318" s="39" t="s">
        <v>3370</v>
      </c>
      <c r="E318" s="40" t="s">
        <v>3455</v>
      </c>
      <c r="F318" s="40" t="s">
        <v>3954</v>
      </c>
      <c r="G318" s="39" t="s">
        <v>109</v>
      </c>
      <c r="H318" s="40" t="s">
        <v>1110</v>
      </c>
      <c r="I318" s="40" t="s">
        <v>104</v>
      </c>
      <c r="J318" s="50"/>
      <c r="K318" s="116">
        <f>IFERROR(VLOOKUP(B318,BD_CONTROL!$A$5:$M$4235,11,0),"")</f>
        <v>0</v>
      </c>
      <c r="L318" s="117">
        <f>IFERROR(VLOOKUP(B318,BD_CONTROL!$A$5:$M$4235,12,0),"")</f>
        <v>0</v>
      </c>
      <c r="M318" s="118">
        <f>IFERROR(VLOOKUP(B318,BD_CONTROL!$A$5:$M$4235,13,0),"")</f>
        <v>0</v>
      </c>
    </row>
    <row r="319" spans="1:13" ht="15" customHeight="1">
      <c r="A319" s="42">
        <v>314</v>
      </c>
      <c r="B319" s="42" t="s">
        <v>4315</v>
      </c>
      <c r="C319" s="43" t="s">
        <v>4316</v>
      </c>
      <c r="D319" s="42" t="s">
        <v>3370</v>
      </c>
      <c r="E319" s="43" t="s">
        <v>3384</v>
      </c>
      <c r="F319" s="43" t="s">
        <v>4317</v>
      </c>
      <c r="G319" s="42" t="s">
        <v>102</v>
      </c>
      <c r="H319" s="43" t="s">
        <v>1110</v>
      </c>
      <c r="I319" s="43" t="s">
        <v>104</v>
      </c>
      <c r="J319" s="55"/>
      <c r="K319" s="119" t="str">
        <f>IFERROR(VLOOKUP(B319,BD_CONTROL!$A$5:$M$4235,11,0),"")</f>
        <v>Instalado - Operando</v>
      </c>
      <c r="L319" s="120">
        <f>IFERROR(VLOOKUP(B319,BD_CONTROL!$A$5:$M$4235,12,0),"")</f>
        <v>46148</v>
      </c>
      <c r="M319" s="121" t="str">
        <f>IFERROR(VLOOKUP(B319,BD_CONTROL!$A$5:$M$4235,13,0),"")</f>
        <v>Este equipo no se encuentra cargado en la aplicación</v>
      </c>
    </row>
    <row r="320" spans="1:13" ht="15" customHeight="1">
      <c r="A320" s="39">
        <v>315</v>
      </c>
      <c r="B320" s="39" t="s">
        <v>4326</v>
      </c>
      <c r="C320" s="40" t="s">
        <v>4327</v>
      </c>
      <c r="D320" s="39" t="s">
        <v>3370</v>
      </c>
      <c r="E320" s="40" t="s">
        <v>4071</v>
      </c>
      <c r="F320" s="40" t="s">
        <v>4247</v>
      </c>
      <c r="G320" s="39" t="s">
        <v>109</v>
      </c>
      <c r="H320" s="40" t="s">
        <v>1110</v>
      </c>
      <c r="I320" s="40" t="s">
        <v>104</v>
      </c>
      <c r="J320" s="50"/>
      <c r="K320" s="116">
        <f>IFERROR(VLOOKUP(B320,BD_CONTROL!$A$5:$M$4235,11,0),"")</f>
        <v>0</v>
      </c>
      <c r="L320" s="117">
        <f>IFERROR(VLOOKUP(B320,BD_CONTROL!$A$5:$M$4235,12,0),"")</f>
        <v>0</v>
      </c>
      <c r="M320" s="118">
        <f>IFERROR(VLOOKUP(B320,BD_CONTROL!$A$5:$M$4235,13,0),"")</f>
        <v>0</v>
      </c>
    </row>
    <row r="321" spans="1:13" ht="15" customHeight="1">
      <c r="A321" s="42">
        <v>316</v>
      </c>
      <c r="B321" s="42" t="s">
        <v>4328</v>
      </c>
      <c r="C321" s="43" t="s">
        <v>4329</v>
      </c>
      <c r="D321" s="42" t="s">
        <v>3370</v>
      </c>
      <c r="E321" s="43" t="s">
        <v>3714</v>
      </c>
      <c r="F321" s="43" t="s">
        <v>4330</v>
      </c>
      <c r="G321" s="42" t="s">
        <v>109</v>
      </c>
      <c r="H321" s="43" t="s">
        <v>1110</v>
      </c>
      <c r="I321" s="43" t="s">
        <v>104</v>
      </c>
      <c r="J321" s="55"/>
      <c r="K321" s="119">
        <f>IFERROR(VLOOKUP(B321,BD_CONTROL!$A$5:$M$4235,11,0),"")</f>
        <v>0</v>
      </c>
      <c r="L321" s="120">
        <f>IFERROR(VLOOKUP(B321,BD_CONTROL!$A$5:$M$4235,12,0),"")</f>
        <v>0</v>
      </c>
      <c r="M321" s="121">
        <f>IFERROR(VLOOKUP(B321,BD_CONTROL!$A$5:$M$4235,13,0),"")</f>
        <v>0</v>
      </c>
    </row>
    <row r="322" spans="1:13" ht="15" customHeight="1">
      <c r="A322" s="39">
        <v>317</v>
      </c>
      <c r="B322" s="39" t="s">
        <v>4333</v>
      </c>
      <c r="C322" s="40" t="s">
        <v>4334</v>
      </c>
      <c r="D322" s="39" t="s">
        <v>3370</v>
      </c>
      <c r="E322" s="40" t="s">
        <v>3728</v>
      </c>
      <c r="F322" s="40" t="s">
        <v>4335</v>
      </c>
      <c r="G322" s="39" t="s">
        <v>109</v>
      </c>
      <c r="H322" s="40" t="s">
        <v>1110</v>
      </c>
      <c r="I322" s="40" t="s">
        <v>104</v>
      </c>
      <c r="J322" s="50"/>
      <c r="K322" s="116">
        <f>IFERROR(VLOOKUP(B322,BD_CONTROL!$A$5:$M$4235,11,0),"")</f>
        <v>0</v>
      </c>
      <c r="L322" s="117">
        <f>IFERROR(VLOOKUP(B322,BD_CONTROL!$A$5:$M$4235,12,0),"")</f>
        <v>0</v>
      </c>
      <c r="M322" s="118">
        <f>IFERROR(VLOOKUP(B322,BD_CONTROL!$A$5:$M$4235,13,0),"")</f>
        <v>0</v>
      </c>
    </row>
    <row r="323" spans="1:13" ht="15" customHeight="1">
      <c r="A323" s="42">
        <v>318</v>
      </c>
      <c r="B323" s="42" t="s">
        <v>4336</v>
      </c>
      <c r="C323" s="43" t="s">
        <v>4337</v>
      </c>
      <c r="D323" s="42" t="s">
        <v>3370</v>
      </c>
      <c r="E323" s="43" t="s">
        <v>3756</v>
      </c>
      <c r="F323" s="43" t="s">
        <v>4005</v>
      </c>
      <c r="G323" s="42" t="s">
        <v>109</v>
      </c>
      <c r="H323" s="43" t="s">
        <v>1110</v>
      </c>
      <c r="I323" s="43" t="s">
        <v>104</v>
      </c>
      <c r="J323" s="55"/>
      <c r="K323" s="119">
        <f>IFERROR(VLOOKUP(B323,BD_CONTROL!$A$5:$M$4235,11,0),"")</f>
        <v>0</v>
      </c>
      <c r="L323" s="120">
        <f>IFERROR(VLOOKUP(B323,BD_CONTROL!$A$5:$M$4235,12,0),"")</f>
        <v>0</v>
      </c>
      <c r="M323" s="121">
        <f>IFERROR(VLOOKUP(B323,BD_CONTROL!$A$5:$M$4235,13,0),"")</f>
        <v>0</v>
      </c>
    </row>
    <row r="324" spans="1:13" ht="15" customHeight="1">
      <c r="A324" s="39">
        <v>319</v>
      </c>
      <c r="B324" s="39" t="s">
        <v>4340</v>
      </c>
      <c r="C324" s="40" t="s">
        <v>4341</v>
      </c>
      <c r="D324" s="39" t="s">
        <v>3370</v>
      </c>
      <c r="E324" s="40" t="s">
        <v>3444</v>
      </c>
      <c r="F324" s="40" t="s">
        <v>4342</v>
      </c>
      <c r="G324" s="39" t="s">
        <v>109</v>
      </c>
      <c r="H324" s="40" t="s">
        <v>1110</v>
      </c>
      <c r="I324" s="40" t="s">
        <v>104</v>
      </c>
      <c r="J324" s="50"/>
      <c r="K324" s="116">
        <f>IFERROR(VLOOKUP(B324,BD_CONTROL!$A$5:$M$4235,11,0),"")</f>
        <v>0</v>
      </c>
      <c r="L324" s="117">
        <f>IFERROR(VLOOKUP(B324,BD_CONTROL!$A$5:$M$4235,12,0),"")</f>
        <v>0</v>
      </c>
      <c r="M324" s="118">
        <f>IFERROR(VLOOKUP(B324,BD_CONTROL!$A$5:$M$4235,13,0),"")</f>
        <v>0</v>
      </c>
    </row>
    <row r="325" spans="1:13" ht="15" customHeight="1">
      <c r="A325" s="42">
        <v>320</v>
      </c>
      <c r="B325" s="42" t="s">
        <v>4343</v>
      </c>
      <c r="C325" s="43" t="s">
        <v>4344</v>
      </c>
      <c r="D325" s="42" t="s">
        <v>3370</v>
      </c>
      <c r="E325" s="43" t="s">
        <v>3444</v>
      </c>
      <c r="F325" s="43" t="s">
        <v>4037</v>
      </c>
      <c r="G325" s="42" t="s">
        <v>109</v>
      </c>
      <c r="H325" s="43" t="s">
        <v>1110</v>
      </c>
      <c r="I325" s="43" t="s">
        <v>104</v>
      </c>
      <c r="J325" s="55"/>
      <c r="K325" s="119">
        <f>IFERROR(VLOOKUP(B325,BD_CONTROL!$A$5:$M$4235,11,0),"")</f>
        <v>0</v>
      </c>
      <c r="L325" s="120">
        <f>IFERROR(VLOOKUP(B325,BD_CONTROL!$A$5:$M$4235,12,0),"")</f>
        <v>0</v>
      </c>
      <c r="M325" s="121">
        <f>IFERROR(VLOOKUP(B325,BD_CONTROL!$A$5:$M$4235,13,0),"")</f>
        <v>0</v>
      </c>
    </row>
    <row r="326" spans="1:13" ht="15" customHeight="1">
      <c r="A326" s="39">
        <v>321</v>
      </c>
      <c r="B326" s="39" t="s">
        <v>4347</v>
      </c>
      <c r="C326" s="40" t="s">
        <v>4348</v>
      </c>
      <c r="D326" s="39" t="s">
        <v>3370</v>
      </c>
      <c r="E326" s="40" t="s">
        <v>3927</v>
      </c>
      <c r="F326" s="40" t="s">
        <v>3928</v>
      </c>
      <c r="G326" s="39" t="s">
        <v>109</v>
      </c>
      <c r="H326" s="40" t="s">
        <v>1184</v>
      </c>
      <c r="I326" s="40" t="s">
        <v>104</v>
      </c>
      <c r="J326" s="50"/>
      <c r="K326" s="116">
        <f>IFERROR(VLOOKUP(B326,BD_CONTROL!$A$5:$M$4235,11,0),"")</f>
        <v>0</v>
      </c>
      <c r="L326" s="117">
        <f>IFERROR(VLOOKUP(B326,BD_CONTROL!$A$5:$M$4235,12,0),"")</f>
        <v>0</v>
      </c>
      <c r="M326" s="118">
        <f>IFERROR(VLOOKUP(B326,BD_CONTROL!$A$5:$M$4235,13,0),"")</f>
        <v>0</v>
      </c>
    </row>
    <row r="327" spans="1:13" ht="15" customHeight="1">
      <c r="A327" s="42">
        <v>322</v>
      </c>
      <c r="B327" s="42" t="s">
        <v>4352</v>
      </c>
      <c r="C327" s="43" t="s">
        <v>4353</v>
      </c>
      <c r="D327" s="42" t="s">
        <v>3370</v>
      </c>
      <c r="E327" s="43" t="s">
        <v>3615</v>
      </c>
      <c r="F327" s="43" t="s">
        <v>4354</v>
      </c>
      <c r="G327" s="42" t="s">
        <v>109</v>
      </c>
      <c r="H327" s="43" t="s">
        <v>1110</v>
      </c>
      <c r="I327" s="43" t="s">
        <v>104</v>
      </c>
      <c r="J327" s="55"/>
      <c r="K327" s="119">
        <f>IFERROR(VLOOKUP(B327,BD_CONTROL!$A$5:$M$4235,11,0),"")</f>
        <v>0</v>
      </c>
      <c r="L327" s="120">
        <f>IFERROR(VLOOKUP(B327,BD_CONTROL!$A$5:$M$4235,12,0),"")</f>
        <v>0</v>
      </c>
      <c r="M327" s="121">
        <f>IFERROR(VLOOKUP(B327,BD_CONTROL!$A$5:$M$4235,13,0),"")</f>
        <v>0</v>
      </c>
    </row>
    <row r="328" spans="1:13" ht="15" customHeight="1">
      <c r="A328" s="39">
        <v>323</v>
      </c>
      <c r="B328" s="39" t="s">
        <v>4355</v>
      </c>
      <c r="C328" s="40" t="s">
        <v>4356</v>
      </c>
      <c r="D328" s="39" t="s">
        <v>3370</v>
      </c>
      <c r="E328" s="40" t="s">
        <v>3371</v>
      </c>
      <c r="F328" s="40" t="s">
        <v>4357</v>
      </c>
      <c r="G328" s="39" t="s">
        <v>109</v>
      </c>
      <c r="H328" s="40" t="s">
        <v>1110</v>
      </c>
      <c r="I328" s="40" t="s">
        <v>104</v>
      </c>
      <c r="J328" s="50"/>
      <c r="K328" s="116">
        <f>IFERROR(VLOOKUP(B328,BD_CONTROL!$A$5:$M$4235,11,0),"")</f>
        <v>0</v>
      </c>
      <c r="L328" s="117">
        <f>IFERROR(VLOOKUP(B328,BD_CONTROL!$A$5:$M$4235,12,0),"")</f>
        <v>0</v>
      </c>
      <c r="M328" s="118">
        <f>IFERROR(VLOOKUP(B328,BD_CONTROL!$A$5:$M$4235,13,0),"")</f>
        <v>0</v>
      </c>
    </row>
    <row r="329" spans="1:13" ht="15" customHeight="1">
      <c r="A329" s="42">
        <v>324</v>
      </c>
      <c r="B329" s="42" t="s">
        <v>4358</v>
      </c>
      <c r="C329" s="43" t="s">
        <v>4359</v>
      </c>
      <c r="D329" s="42" t="s">
        <v>3370</v>
      </c>
      <c r="E329" s="43" t="s">
        <v>3371</v>
      </c>
      <c r="F329" s="43" t="s">
        <v>4360</v>
      </c>
      <c r="G329" s="42" t="s">
        <v>109</v>
      </c>
      <c r="H329" s="43" t="s">
        <v>1110</v>
      </c>
      <c r="I329" s="43" t="s">
        <v>104</v>
      </c>
      <c r="J329" s="55"/>
      <c r="K329" s="119">
        <f>IFERROR(VLOOKUP(B329,BD_CONTROL!$A$5:$M$4235,11,0),"")</f>
        <v>0</v>
      </c>
      <c r="L329" s="120">
        <f>IFERROR(VLOOKUP(B329,BD_CONTROL!$A$5:$M$4235,12,0),"")</f>
        <v>0</v>
      </c>
      <c r="M329" s="121">
        <f>IFERROR(VLOOKUP(B329,BD_CONTROL!$A$5:$M$4235,13,0),"")</f>
        <v>0</v>
      </c>
    </row>
    <row r="330" spans="1:13" ht="15" customHeight="1">
      <c r="A330" s="39">
        <v>325</v>
      </c>
      <c r="B330" s="39" t="s">
        <v>4368</v>
      </c>
      <c r="C330" s="40" t="s">
        <v>4369</v>
      </c>
      <c r="D330" s="39" t="s">
        <v>3370</v>
      </c>
      <c r="E330" s="40" t="s">
        <v>3842</v>
      </c>
      <c r="F330" s="40" t="s">
        <v>3843</v>
      </c>
      <c r="G330" s="39" t="s">
        <v>109</v>
      </c>
      <c r="H330" s="40" t="s">
        <v>1110</v>
      </c>
      <c r="I330" s="40" t="s">
        <v>104</v>
      </c>
      <c r="J330" s="50"/>
      <c r="K330" s="116">
        <f>IFERROR(VLOOKUP(B330,BD_CONTROL!$A$5:$M$4235,11,0),"")</f>
        <v>0</v>
      </c>
      <c r="L330" s="117">
        <f>IFERROR(VLOOKUP(B330,BD_CONTROL!$A$5:$M$4235,12,0),"")</f>
        <v>0</v>
      </c>
      <c r="M330" s="118">
        <f>IFERROR(VLOOKUP(B330,BD_CONTROL!$A$5:$M$4235,13,0),"")</f>
        <v>0</v>
      </c>
    </row>
    <row r="331" spans="1:13" ht="15" customHeight="1">
      <c r="A331" s="42">
        <v>326</v>
      </c>
      <c r="B331" s="42" t="s">
        <v>4373</v>
      </c>
      <c r="C331" s="43" t="s">
        <v>4374</v>
      </c>
      <c r="D331" s="42" t="s">
        <v>3370</v>
      </c>
      <c r="E331" s="43" t="s">
        <v>4375</v>
      </c>
      <c r="F331" s="43" t="s">
        <v>4376</v>
      </c>
      <c r="G331" s="42" t="s">
        <v>109</v>
      </c>
      <c r="H331" s="43" t="s">
        <v>1184</v>
      </c>
      <c r="I331" s="43" t="s">
        <v>104</v>
      </c>
      <c r="J331" s="55"/>
      <c r="K331" s="119">
        <f>IFERROR(VLOOKUP(B331,BD_CONTROL!$A$5:$M$4235,11,0),"")</f>
        <v>0</v>
      </c>
      <c r="L331" s="120">
        <f>IFERROR(VLOOKUP(B331,BD_CONTROL!$A$5:$M$4235,12,0),"")</f>
        <v>0</v>
      </c>
      <c r="M331" s="121">
        <f>IFERROR(VLOOKUP(B331,BD_CONTROL!$A$5:$M$4235,13,0),"")</f>
        <v>0</v>
      </c>
    </row>
    <row r="332" spans="1:13" ht="15" customHeight="1">
      <c r="A332" s="39">
        <v>327</v>
      </c>
      <c r="B332" s="39" t="s">
        <v>4385</v>
      </c>
      <c r="C332" s="40" t="s">
        <v>4386</v>
      </c>
      <c r="D332" s="39" t="s">
        <v>3370</v>
      </c>
      <c r="E332" s="40" t="s">
        <v>3382</v>
      </c>
      <c r="F332" s="40" t="s">
        <v>4387</v>
      </c>
      <c r="G332" s="39" t="s">
        <v>102</v>
      </c>
      <c r="H332" s="40" t="s">
        <v>1184</v>
      </c>
      <c r="I332" s="40" t="s">
        <v>104</v>
      </c>
      <c r="J332" s="50"/>
      <c r="K332" s="116">
        <f>IFERROR(VLOOKUP(B332,BD_CONTROL!$A$5:$M$4235,11,0),"")</f>
        <v>0</v>
      </c>
      <c r="L332" s="117">
        <f>IFERROR(VLOOKUP(B332,BD_CONTROL!$A$5:$M$4235,12,0),"")</f>
        <v>0</v>
      </c>
      <c r="M332" s="118">
        <f>IFERROR(VLOOKUP(B332,BD_CONTROL!$A$5:$M$4235,13,0),"")</f>
        <v>0</v>
      </c>
    </row>
    <row r="333" spans="1:13" ht="15" customHeight="1">
      <c r="A333" s="42">
        <v>328</v>
      </c>
      <c r="B333" s="42" t="s">
        <v>4388</v>
      </c>
      <c r="C333" s="43" t="s">
        <v>4389</v>
      </c>
      <c r="D333" s="42" t="s">
        <v>3370</v>
      </c>
      <c r="E333" s="43" t="s">
        <v>3756</v>
      </c>
      <c r="F333" s="43" t="s">
        <v>4008</v>
      </c>
      <c r="G333" s="42" t="s">
        <v>109</v>
      </c>
      <c r="H333" s="43" t="s">
        <v>1110</v>
      </c>
      <c r="I333" s="43" t="s">
        <v>104</v>
      </c>
      <c r="J333" s="55"/>
      <c r="K333" s="119">
        <f>IFERROR(VLOOKUP(B333,BD_CONTROL!$A$5:$M$4235,11,0),"")</f>
        <v>0</v>
      </c>
      <c r="L333" s="120">
        <f>IFERROR(VLOOKUP(B333,BD_CONTROL!$A$5:$M$4235,12,0),"")</f>
        <v>0</v>
      </c>
      <c r="M333" s="121">
        <f>IFERROR(VLOOKUP(B333,BD_CONTROL!$A$5:$M$4235,13,0),"")</f>
        <v>0</v>
      </c>
    </row>
    <row r="334" spans="1:13" ht="15" customHeight="1">
      <c r="A334" s="39">
        <v>329</v>
      </c>
      <c r="B334" s="39" t="s">
        <v>4390</v>
      </c>
      <c r="C334" s="40" t="s">
        <v>4391</v>
      </c>
      <c r="D334" s="39" t="s">
        <v>3370</v>
      </c>
      <c r="E334" s="40" t="s">
        <v>3481</v>
      </c>
      <c r="F334" s="40" t="s">
        <v>3482</v>
      </c>
      <c r="G334" s="39" t="s">
        <v>102</v>
      </c>
      <c r="H334" s="40" t="s">
        <v>1110</v>
      </c>
      <c r="I334" s="40" t="s">
        <v>104</v>
      </c>
      <c r="J334" s="50"/>
      <c r="K334" s="116">
        <f>IFERROR(VLOOKUP(B334,BD_CONTROL!$A$5:$M$4235,11,0),"")</f>
        <v>0</v>
      </c>
      <c r="L334" s="117">
        <f>IFERROR(VLOOKUP(B334,BD_CONTROL!$A$5:$M$4235,12,0),"")</f>
        <v>0</v>
      </c>
      <c r="M334" s="118">
        <f>IFERROR(VLOOKUP(B334,BD_CONTROL!$A$5:$M$4235,13,0),"")</f>
        <v>0</v>
      </c>
    </row>
    <row r="335" spans="1:13" ht="15" customHeight="1">
      <c r="A335" s="42">
        <v>330</v>
      </c>
      <c r="B335" s="42" t="s">
        <v>4392</v>
      </c>
      <c r="C335" s="43" t="s">
        <v>4393</v>
      </c>
      <c r="D335" s="42" t="s">
        <v>3370</v>
      </c>
      <c r="E335" s="43" t="s">
        <v>3714</v>
      </c>
      <c r="F335" s="43" t="s">
        <v>4394</v>
      </c>
      <c r="G335" s="42" t="s">
        <v>109</v>
      </c>
      <c r="H335" s="43" t="s">
        <v>1110</v>
      </c>
      <c r="I335" s="43" t="s">
        <v>104</v>
      </c>
      <c r="J335" s="55"/>
      <c r="K335" s="119">
        <f>IFERROR(VLOOKUP(B335,BD_CONTROL!$A$5:$M$4235,11,0),"")</f>
        <v>0</v>
      </c>
      <c r="L335" s="120">
        <f>IFERROR(VLOOKUP(B335,BD_CONTROL!$A$5:$M$4235,12,0),"")</f>
        <v>0</v>
      </c>
      <c r="M335" s="121">
        <f>IFERROR(VLOOKUP(B335,BD_CONTROL!$A$5:$M$4235,13,0),"")</f>
        <v>0</v>
      </c>
    </row>
    <row r="336" spans="1:13" ht="15" customHeight="1">
      <c r="A336" s="39">
        <v>331</v>
      </c>
      <c r="B336" s="39" t="s">
        <v>4395</v>
      </c>
      <c r="C336" s="40" t="s">
        <v>4396</v>
      </c>
      <c r="D336" s="39" t="s">
        <v>3370</v>
      </c>
      <c r="E336" s="40" t="s">
        <v>3770</v>
      </c>
      <c r="F336" s="40" t="s">
        <v>4397</v>
      </c>
      <c r="G336" s="39" t="s">
        <v>109</v>
      </c>
      <c r="H336" s="40" t="s">
        <v>1184</v>
      </c>
      <c r="I336" s="40" t="s">
        <v>104</v>
      </c>
      <c r="J336" s="50"/>
      <c r="K336" s="116">
        <f>IFERROR(VLOOKUP(B336,BD_CONTROL!$A$5:$M$4235,11,0),"")</f>
        <v>0</v>
      </c>
      <c r="L336" s="117">
        <f>IFERROR(VLOOKUP(B336,BD_CONTROL!$A$5:$M$4235,12,0),"")</f>
        <v>0</v>
      </c>
      <c r="M336" s="118">
        <f>IFERROR(VLOOKUP(B336,BD_CONTROL!$A$5:$M$4235,13,0),"")</f>
        <v>0</v>
      </c>
    </row>
    <row r="337" spans="1:13" ht="15" customHeight="1">
      <c r="A337" s="42">
        <v>332</v>
      </c>
      <c r="B337" s="42" t="s">
        <v>4398</v>
      </c>
      <c r="C337" s="43" t="s">
        <v>4399</v>
      </c>
      <c r="D337" s="42" t="s">
        <v>3370</v>
      </c>
      <c r="E337" s="43" t="s">
        <v>3749</v>
      </c>
      <c r="F337" s="43" t="s">
        <v>3903</v>
      </c>
      <c r="G337" s="42" t="s">
        <v>109</v>
      </c>
      <c r="H337" s="43" t="s">
        <v>1184</v>
      </c>
      <c r="I337" s="43" t="s">
        <v>104</v>
      </c>
      <c r="J337" s="55"/>
      <c r="K337" s="119">
        <f>IFERROR(VLOOKUP(B337,BD_CONTROL!$A$5:$M$4235,11,0),"")</f>
        <v>0</v>
      </c>
      <c r="L337" s="120">
        <f>IFERROR(VLOOKUP(B337,BD_CONTROL!$A$5:$M$4235,12,0),"")</f>
        <v>0</v>
      </c>
      <c r="M337" s="121">
        <f>IFERROR(VLOOKUP(B337,BD_CONTROL!$A$5:$M$4235,13,0),"")</f>
        <v>0</v>
      </c>
    </row>
    <row r="338" spans="1:13" ht="15" customHeight="1">
      <c r="A338" s="39">
        <v>333</v>
      </c>
      <c r="B338" s="39" t="s">
        <v>4400</v>
      </c>
      <c r="C338" s="40" t="s">
        <v>4401</v>
      </c>
      <c r="D338" s="39" t="s">
        <v>3370</v>
      </c>
      <c r="E338" s="40" t="s">
        <v>3561</v>
      </c>
      <c r="F338" s="40" t="s">
        <v>4402</v>
      </c>
      <c r="G338" s="39" t="s">
        <v>102</v>
      </c>
      <c r="H338" s="40" t="s">
        <v>1110</v>
      </c>
      <c r="I338" s="40" t="s">
        <v>104</v>
      </c>
      <c r="J338" s="50"/>
      <c r="K338" s="116">
        <f>IFERROR(VLOOKUP(B338,BD_CONTROL!$A$5:$M$4235,11,0),"")</f>
        <v>0</v>
      </c>
      <c r="L338" s="117">
        <f>IFERROR(VLOOKUP(B338,BD_CONTROL!$A$5:$M$4235,12,0),"")</f>
        <v>0</v>
      </c>
      <c r="M338" s="118">
        <f>IFERROR(VLOOKUP(B338,BD_CONTROL!$A$5:$M$4235,13,0),"")</f>
        <v>0</v>
      </c>
    </row>
    <row r="339" spans="1:13" ht="15" customHeight="1">
      <c r="A339" s="42">
        <v>334</v>
      </c>
      <c r="B339" s="42" t="s">
        <v>4403</v>
      </c>
      <c r="C339" s="43" t="s">
        <v>4404</v>
      </c>
      <c r="D339" s="42" t="s">
        <v>3370</v>
      </c>
      <c r="E339" s="43" t="s">
        <v>3416</v>
      </c>
      <c r="F339" s="43" t="s">
        <v>3416</v>
      </c>
      <c r="G339" s="42" t="s">
        <v>102</v>
      </c>
      <c r="H339" s="43" t="s">
        <v>1110</v>
      </c>
      <c r="I339" s="43" t="s">
        <v>104</v>
      </c>
      <c r="J339" s="55"/>
      <c r="K339" s="119" t="str">
        <f>IFERROR(VLOOKUP(B339,BD_CONTROL!$A$5:$M$4235,11,0),"")</f>
        <v>Instalado - Operando</v>
      </c>
      <c r="L339" s="120">
        <f>IFERROR(VLOOKUP(B339,BD_CONTROL!$A$5:$M$4235,12,0),"")</f>
        <v>46149</v>
      </c>
      <c r="M339" s="121">
        <f>IFERROR(VLOOKUP(B339,BD_CONTROL!$A$5:$M$4235,13,0),"")</f>
        <v>0</v>
      </c>
    </row>
    <row r="340" spans="1:13" ht="15" customHeight="1">
      <c r="A340" s="39">
        <v>335</v>
      </c>
      <c r="B340" s="39" t="s">
        <v>4405</v>
      </c>
      <c r="C340" s="40" t="s">
        <v>4406</v>
      </c>
      <c r="D340" s="39" t="s">
        <v>3370</v>
      </c>
      <c r="E340" s="40" t="s">
        <v>3707</v>
      </c>
      <c r="F340" s="40" t="s">
        <v>3049</v>
      </c>
      <c r="G340" s="39" t="s">
        <v>109</v>
      </c>
      <c r="H340" s="40" t="s">
        <v>1110</v>
      </c>
      <c r="I340" s="40" t="s">
        <v>104</v>
      </c>
      <c r="J340" s="50"/>
      <c r="K340" s="116">
        <f>IFERROR(VLOOKUP(B340,BD_CONTROL!$A$5:$M$4235,11,0),"")</f>
        <v>0</v>
      </c>
      <c r="L340" s="117">
        <f>IFERROR(VLOOKUP(B340,BD_CONTROL!$A$5:$M$4235,12,0),"")</f>
        <v>0</v>
      </c>
      <c r="M340" s="118">
        <f>IFERROR(VLOOKUP(B340,BD_CONTROL!$A$5:$M$4235,13,0),"")</f>
        <v>0</v>
      </c>
    </row>
    <row r="341" spans="1:13" ht="15" customHeight="1">
      <c r="A341" s="42">
        <v>336</v>
      </c>
      <c r="B341" s="42" t="s">
        <v>4407</v>
      </c>
      <c r="C341" s="43" t="s">
        <v>4408</v>
      </c>
      <c r="D341" s="42" t="s">
        <v>3370</v>
      </c>
      <c r="E341" s="43" t="s">
        <v>3379</v>
      </c>
      <c r="F341" s="43" t="s">
        <v>3942</v>
      </c>
      <c r="G341" s="42" t="s">
        <v>102</v>
      </c>
      <c r="H341" s="43" t="s">
        <v>1110</v>
      </c>
      <c r="I341" s="43" t="s">
        <v>104</v>
      </c>
      <c r="J341" s="55"/>
      <c r="K341" s="119">
        <f>IFERROR(VLOOKUP(B341,BD_CONTROL!$A$5:$M$4235,11,0),"")</f>
        <v>0</v>
      </c>
      <c r="L341" s="120">
        <f>IFERROR(VLOOKUP(B341,BD_CONTROL!$A$5:$M$4235,12,0),"")</f>
        <v>0</v>
      </c>
      <c r="M341" s="121">
        <f>IFERROR(VLOOKUP(B341,BD_CONTROL!$A$5:$M$4235,13,0),"")</f>
        <v>0</v>
      </c>
    </row>
    <row r="342" spans="1:13" ht="15" customHeight="1">
      <c r="A342" s="39">
        <v>337</v>
      </c>
      <c r="B342" s="39" t="s">
        <v>4409</v>
      </c>
      <c r="C342" s="40" t="s">
        <v>4410</v>
      </c>
      <c r="D342" s="39" t="s">
        <v>3370</v>
      </c>
      <c r="E342" s="40" t="s">
        <v>3615</v>
      </c>
      <c r="F342" s="40" t="s">
        <v>3964</v>
      </c>
      <c r="G342" s="39" t="s">
        <v>109</v>
      </c>
      <c r="H342" s="40" t="s">
        <v>1110</v>
      </c>
      <c r="I342" s="40" t="s">
        <v>104</v>
      </c>
      <c r="J342" s="50"/>
      <c r="K342" s="116">
        <f>IFERROR(VLOOKUP(B342,BD_CONTROL!$A$5:$M$4235,11,0),"")</f>
        <v>0</v>
      </c>
      <c r="L342" s="117">
        <f>IFERROR(VLOOKUP(B342,BD_CONTROL!$A$5:$M$4235,12,0),"")</f>
        <v>0</v>
      </c>
      <c r="M342" s="118">
        <f>IFERROR(VLOOKUP(B342,BD_CONTROL!$A$5:$M$4235,13,0),"")</f>
        <v>0</v>
      </c>
    </row>
    <row r="343" spans="1:13" ht="15" customHeight="1">
      <c r="A343" s="42">
        <v>338</v>
      </c>
      <c r="B343" s="42" t="s">
        <v>4414</v>
      </c>
      <c r="C343" s="43" t="s">
        <v>4415</v>
      </c>
      <c r="D343" s="42" t="s">
        <v>3370</v>
      </c>
      <c r="E343" s="43" t="s">
        <v>3428</v>
      </c>
      <c r="F343" s="43" t="s">
        <v>3987</v>
      </c>
      <c r="G343" s="42" t="s">
        <v>109</v>
      </c>
      <c r="H343" s="43" t="s">
        <v>1184</v>
      </c>
      <c r="I343" s="43" t="s">
        <v>104</v>
      </c>
      <c r="J343" s="55"/>
      <c r="K343" s="119">
        <f>IFERROR(VLOOKUP(B343,BD_CONTROL!$A$5:$M$4235,11,0),"")</f>
        <v>0</v>
      </c>
      <c r="L343" s="120">
        <f>IFERROR(VLOOKUP(B343,BD_CONTROL!$A$5:$M$4235,12,0),"")</f>
        <v>0</v>
      </c>
      <c r="M343" s="121">
        <f>IFERROR(VLOOKUP(B343,BD_CONTROL!$A$5:$M$4235,13,0),"")</f>
        <v>0</v>
      </c>
    </row>
    <row r="344" spans="1:13" ht="15" customHeight="1">
      <c r="A344" s="39">
        <v>339</v>
      </c>
      <c r="B344" s="39" t="s">
        <v>4421</v>
      </c>
      <c r="C344" s="40" t="s">
        <v>4422</v>
      </c>
      <c r="D344" s="39" t="s">
        <v>3370</v>
      </c>
      <c r="E344" s="40" t="s">
        <v>3460</v>
      </c>
      <c r="F344" s="40" t="s">
        <v>4002</v>
      </c>
      <c r="G344" s="39" t="s">
        <v>109</v>
      </c>
      <c r="H344" s="40" t="s">
        <v>1110</v>
      </c>
      <c r="I344" s="40" t="s">
        <v>104</v>
      </c>
      <c r="J344" s="50"/>
      <c r="K344" s="116">
        <f>IFERROR(VLOOKUP(B344,BD_CONTROL!$A$5:$M$4235,11,0),"")</f>
        <v>0</v>
      </c>
      <c r="L344" s="117">
        <f>IFERROR(VLOOKUP(B344,BD_CONTROL!$A$5:$M$4235,12,0),"")</f>
        <v>0</v>
      </c>
      <c r="M344" s="118">
        <f>IFERROR(VLOOKUP(B344,BD_CONTROL!$A$5:$M$4235,13,0),"")</f>
        <v>0</v>
      </c>
    </row>
    <row r="345" spans="1:13" ht="15" customHeight="1">
      <c r="A345" s="42">
        <v>340</v>
      </c>
      <c r="B345" s="42" t="s">
        <v>4423</v>
      </c>
      <c r="C345" s="43" t="s">
        <v>4424</v>
      </c>
      <c r="D345" s="42" t="s">
        <v>3370</v>
      </c>
      <c r="E345" s="43" t="s">
        <v>4011</v>
      </c>
      <c r="F345" s="43" t="s">
        <v>4011</v>
      </c>
      <c r="G345" s="42" t="s">
        <v>109</v>
      </c>
      <c r="H345" s="43" t="s">
        <v>1184</v>
      </c>
      <c r="I345" s="43" t="s">
        <v>104</v>
      </c>
      <c r="J345" s="55"/>
      <c r="K345" s="119">
        <f>IFERROR(VLOOKUP(B345,BD_CONTROL!$A$5:$M$4235,11,0),"")</f>
        <v>0</v>
      </c>
      <c r="L345" s="120">
        <f>IFERROR(VLOOKUP(B345,BD_CONTROL!$A$5:$M$4235,12,0),"")</f>
        <v>0</v>
      </c>
      <c r="M345" s="121">
        <f>IFERROR(VLOOKUP(B345,BD_CONTROL!$A$5:$M$4235,13,0),"")</f>
        <v>0</v>
      </c>
    </row>
    <row r="346" spans="1:13" ht="15" customHeight="1">
      <c r="A346" s="39">
        <v>341</v>
      </c>
      <c r="B346" s="39" t="s">
        <v>4425</v>
      </c>
      <c r="C346" s="40" t="s">
        <v>4426</v>
      </c>
      <c r="D346" s="39" t="s">
        <v>3370</v>
      </c>
      <c r="E346" s="40" t="s">
        <v>3471</v>
      </c>
      <c r="F346" s="40" t="s">
        <v>4014</v>
      </c>
      <c r="G346" s="39" t="s">
        <v>109</v>
      </c>
      <c r="H346" s="40" t="s">
        <v>1184</v>
      </c>
      <c r="I346" s="40" t="s">
        <v>104</v>
      </c>
      <c r="J346" s="50"/>
      <c r="K346" s="116">
        <f>IFERROR(VLOOKUP(B346,BD_CONTROL!$A$5:$M$4235,11,0),"")</f>
        <v>0</v>
      </c>
      <c r="L346" s="117">
        <f>IFERROR(VLOOKUP(B346,BD_CONTROL!$A$5:$M$4235,12,0),"")</f>
        <v>0</v>
      </c>
      <c r="M346" s="118">
        <f>IFERROR(VLOOKUP(B346,BD_CONTROL!$A$5:$M$4235,13,0),"")</f>
        <v>0</v>
      </c>
    </row>
    <row r="347" spans="1:13" ht="15" customHeight="1">
      <c r="A347" s="42">
        <v>342</v>
      </c>
      <c r="B347" s="42" t="s">
        <v>4427</v>
      </c>
      <c r="C347" s="43" t="s">
        <v>4428</v>
      </c>
      <c r="D347" s="42" t="s">
        <v>3370</v>
      </c>
      <c r="E347" s="43" t="s">
        <v>3598</v>
      </c>
      <c r="F347" s="43" t="s">
        <v>4030</v>
      </c>
      <c r="G347" s="42" t="s">
        <v>109</v>
      </c>
      <c r="H347" s="43" t="s">
        <v>1110</v>
      </c>
      <c r="I347" s="43" t="s">
        <v>104</v>
      </c>
      <c r="J347" s="55"/>
      <c r="K347" s="119">
        <f>IFERROR(VLOOKUP(B347,BD_CONTROL!$A$5:$M$4235,11,0),"")</f>
        <v>0</v>
      </c>
      <c r="L347" s="120">
        <f>IFERROR(VLOOKUP(B347,BD_CONTROL!$A$5:$M$4235,12,0),"")</f>
        <v>0</v>
      </c>
      <c r="M347" s="121">
        <f>IFERROR(VLOOKUP(B347,BD_CONTROL!$A$5:$M$4235,13,0),"")</f>
        <v>0</v>
      </c>
    </row>
    <row r="348" spans="1:13" ht="15" customHeight="1">
      <c r="A348" s="39">
        <v>343</v>
      </c>
      <c r="B348" s="39" t="s">
        <v>4429</v>
      </c>
      <c r="C348" s="40" t="s">
        <v>4430</v>
      </c>
      <c r="D348" s="39" t="s">
        <v>3370</v>
      </c>
      <c r="E348" s="40" t="s">
        <v>3375</v>
      </c>
      <c r="F348" s="40" t="s">
        <v>3376</v>
      </c>
      <c r="G348" s="39" t="s">
        <v>102</v>
      </c>
      <c r="H348" s="40" t="s">
        <v>1184</v>
      </c>
      <c r="I348" s="40" t="s">
        <v>104</v>
      </c>
      <c r="J348" s="50"/>
      <c r="K348" s="116">
        <f>IFERROR(VLOOKUP(B348,BD_CONTROL!$A$5:$M$4235,11,0),"")</f>
        <v>0</v>
      </c>
      <c r="L348" s="117">
        <f>IFERROR(VLOOKUP(B348,BD_CONTROL!$A$5:$M$4235,12,0),"")</f>
        <v>0</v>
      </c>
      <c r="M348" s="118">
        <f>IFERROR(VLOOKUP(B348,BD_CONTROL!$A$5:$M$4235,13,0),"")</f>
        <v>0</v>
      </c>
    </row>
    <row r="349" spans="1:13" ht="15" customHeight="1">
      <c r="A349" s="42">
        <v>344</v>
      </c>
      <c r="B349" s="42" t="s">
        <v>4431</v>
      </c>
      <c r="C349" s="43" t="s">
        <v>4432</v>
      </c>
      <c r="D349" s="42" t="s">
        <v>3370</v>
      </c>
      <c r="E349" s="43" t="s">
        <v>3375</v>
      </c>
      <c r="F349" s="43" t="s">
        <v>3376</v>
      </c>
      <c r="G349" s="42" t="s">
        <v>102</v>
      </c>
      <c r="H349" s="43" t="s">
        <v>1184</v>
      </c>
      <c r="I349" s="43" t="s">
        <v>104</v>
      </c>
      <c r="J349" s="55"/>
      <c r="K349" s="119">
        <f>IFERROR(VLOOKUP(B349,BD_CONTROL!$A$5:$M$4235,11,0),"")</f>
        <v>0</v>
      </c>
      <c r="L349" s="120">
        <f>IFERROR(VLOOKUP(B349,BD_CONTROL!$A$5:$M$4235,12,0),"")</f>
        <v>0</v>
      </c>
      <c r="M349" s="121">
        <f>IFERROR(VLOOKUP(B349,BD_CONTROL!$A$5:$M$4235,13,0),"")</f>
        <v>0</v>
      </c>
    </row>
    <row r="350" spans="1:13" ht="15" customHeight="1">
      <c r="A350" s="39">
        <v>345</v>
      </c>
      <c r="B350" s="39" t="s">
        <v>4433</v>
      </c>
      <c r="C350" s="40" t="s">
        <v>4434</v>
      </c>
      <c r="D350" s="39" t="s">
        <v>3370</v>
      </c>
      <c r="E350" s="40" t="s">
        <v>3416</v>
      </c>
      <c r="F350" s="40" t="s">
        <v>4435</v>
      </c>
      <c r="G350" s="39" t="s">
        <v>102</v>
      </c>
      <c r="H350" s="40" t="s">
        <v>1110</v>
      </c>
      <c r="I350" s="40" t="s">
        <v>104</v>
      </c>
      <c r="J350" s="50"/>
      <c r="K350" s="116">
        <f>IFERROR(VLOOKUP(B350,BD_CONTROL!$A$5:$M$4235,11,0),"")</f>
        <v>0</v>
      </c>
      <c r="L350" s="117">
        <f>IFERROR(VLOOKUP(B350,BD_CONTROL!$A$5:$M$4235,12,0),"")</f>
        <v>0</v>
      </c>
      <c r="M350" s="118">
        <f>IFERROR(VLOOKUP(B350,BD_CONTROL!$A$5:$M$4235,13,0),"")</f>
        <v>0</v>
      </c>
    </row>
    <row r="351" spans="1:13" ht="15" customHeight="1">
      <c r="A351" s="42">
        <v>346</v>
      </c>
      <c r="B351" s="42" t="s">
        <v>4441</v>
      </c>
      <c r="C351" s="43" t="s">
        <v>4442</v>
      </c>
      <c r="D351" s="42" t="s">
        <v>3370</v>
      </c>
      <c r="E351" s="43" t="s">
        <v>3558</v>
      </c>
      <c r="F351" s="43" t="s">
        <v>4443</v>
      </c>
      <c r="G351" s="42" t="s">
        <v>102</v>
      </c>
      <c r="H351" s="43" t="s">
        <v>1184</v>
      </c>
      <c r="I351" s="43" t="s">
        <v>104</v>
      </c>
      <c r="J351" s="55"/>
      <c r="K351" s="119">
        <f>IFERROR(VLOOKUP(B351,BD_CONTROL!$A$5:$M$4235,11,0),"")</f>
        <v>0</v>
      </c>
      <c r="L351" s="120">
        <f>IFERROR(VLOOKUP(B351,BD_CONTROL!$A$5:$M$4235,12,0),"")</f>
        <v>0</v>
      </c>
      <c r="M351" s="121">
        <f>IFERROR(VLOOKUP(B351,BD_CONTROL!$A$5:$M$4235,13,0),"")</f>
        <v>0</v>
      </c>
    </row>
    <row r="352" spans="1:13" ht="15" customHeight="1">
      <c r="A352" s="39">
        <v>347</v>
      </c>
      <c r="B352" s="39" t="s">
        <v>4447</v>
      </c>
      <c r="C352" s="40" t="s">
        <v>4448</v>
      </c>
      <c r="D352" s="39" t="s">
        <v>3370</v>
      </c>
      <c r="E352" s="40" t="s">
        <v>3416</v>
      </c>
      <c r="F352" s="40" t="s">
        <v>3416</v>
      </c>
      <c r="G352" s="39" t="s">
        <v>102</v>
      </c>
      <c r="H352" s="40" t="s">
        <v>1110</v>
      </c>
      <c r="I352" s="40" t="s">
        <v>104</v>
      </c>
      <c r="J352" s="50"/>
      <c r="K352" s="116">
        <f>IFERROR(VLOOKUP(B352,BD_CONTROL!$A$5:$M$4235,11,0),"")</f>
        <v>0</v>
      </c>
      <c r="L352" s="117">
        <f>IFERROR(VLOOKUP(B352,BD_CONTROL!$A$5:$M$4235,12,0),"")</f>
        <v>0</v>
      </c>
      <c r="M352" s="118">
        <f>IFERROR(VLOOKUP(B352,BD_CONTROL!$A$5:$M$4235,13,0),"")</f>
        <v>0</v>
      </c>
    </row>
    <row r="353" spans="1:13" ht="15" customHeight="1">
      <c r="A353" s="42">
        <v>348</v>
      </c>
      <c r="B353" s="42" t="s">
        <v>4452</v>
      </c>
      <c r="C353" s="43" t="s">
        <v>4453</v>
      </c>
      <c r="D353" s="42" t="s">
        <v>3370</v>
      </c>
      <c r="E353" s="43" t="s">
        <v>3412</v>
      </c>
      <c r="F353" s="43" t="s">
        <v>4454</v>
      </c>
      <c r="G353" s="42" t="s">
        <v>109</v>
      </c>
      <c r="H353" s="43" t="s">
        <v>1110</v>
      </c>
      <c r="I353" s="43" t="s">
        <v>104</v>
      </c>
      <c r="J353" s="55"/>
      <c r="K353" s="119">
        <f>IFERROR(VLOOKUP(B353,BD_CONTROL!$A$5:$M$4235,11,0),"")</f>
        <v>0</v>
      </c>
      <c r="L353" s="120">
        <f>IFERROR(VLOOKUP(B353,BD_CONTROL!$A$5:$M$4235,12,0),"")</f>
        <v>0</v>
      </c>
      <c r="M353" s="121">
        <f>IFERROR(VLOOKUP(B353,BD_CONTROL!$A$5:$M$4235,13,0),"")</f>
        <v>0</v>
      </c>
    </row>
    <row r="354" spans="1:13" ht="15" customHeight="1">
      <c r="A354" s="39">
        <v>349</v>
      </c>
      <c r="B354" s="39" t="s">
        <v>4460</v>
      </c>
      <c r="C354" s="40" t="s">
        <v>4461</v>
      </c>
      <c r="D354" s="39" t="s">
        <v>3370</v>
      </c>
      <c r="E354" s="40" t="s">
        <v>3714</v>
      </c>
      <c r="F354" s="40" t="s">
        <v>4462</v>
      </c>
      <c r="G354" s="39" t="s">
        <v>102</v>
      </c>
      <c r="H354" s="40" t="s">
        <v>1110</v>
      </c>
      <c r="I354" s="40" t="s">
        <v>104</v>
      </c>
      <c r="J354" s="50"/>
      <c r="K354" s="116">
        <f>IFERROR(VLOOKUP(B354,BD_CONTROL!$A$5:$M$4235,11,0),"")</f>
        <v>0</v>
      </c>
      <c r="L354" s="117">
        <f>IFERROR(VLOOKUP(B354,BD_CONTROL!$A$5:$M$4235,12,0),"")</f>
        <v>0</v>
      </c>
      <c r="M354" s="118">
        <f>IFERROR(VLOOKUP(B354,BD_CONTROL!$A$5:$M$4235,13,0),"")</f>
        <v>0</v>
      </c>
    </row>
    <row r="355" spans="1:13" ht="15" customHeight="1">
      <c r="A355" s="42">
        <v>350</v>
      </c>
      <c r="B355" s="42" t="s">
        <v>4463</v>
      </c>
      <c r="C355" s="43" t="s">
        <v>4464</v>
      </c>
      <c r="D355" s="42" t="s">
        <v>3370</v>
      </c>
      <c r="E355" s="43" t="s">
        <v>3404</v>
      </c>
      <c r="F355" s="43" t="s">
        <v>4465</v>
      </c>
      <c r="G355" s="42" t="s">
        <v>102</v>
      </c>
      <c r="H355" s="43" t="s">
        <v>1110</v>
      </c>
      <c r="I355" s="43" t="s">
        <v>104</v>
      </c>
      <c r="J355" s="55"/>
      <c r="K355" s="119">
        <f>IFERROR(VLOOKUP(B355,BD_CONTROL!$A$5:$M$4235,11,0),"")</f>
        <v>0</v>
      </c>
      <c r="L355" s="120">
        <f>IFERROR(VLOOKUP(B355,BD_CONTROL!$A$5:$M$4235,12,0),"")</f>
        <v>0</v>
      </c>
      <c r="M355" s="121">
        <f>IFERROR(VLOOKUP(B355,BD_CONTROL!$A$5:$M$4235,13,0),"")</f>
        <v>0</v>
      </c>
    </row>
    <row r="356" spans="1:13" ht="15" customHeight="1">
      <c r="A356" s="39">
        <v>351</v>
      </c>
      <c r="B356" s="39" t="s">
        <v>4466</v>
      </c>
      <c r="C356" s="40" t="s">
        <v>4467</v>
      </c>
      <c r="D356" s="39" t="s">
        <v>3370</v>
      </c>
      <c r="E356" s="40" t="s">
        <v>3385</v>
      </c>
      <c r="F356" s="40" t="s">
        <v>3385</v>
      </c>
      <c r="G356" s="39" t="s">
        <v>102</v>
      </c>
      <c r="H356" s="40" t="s">
        <v>1184</v>
      </c>
      <c r="I356" s="40" t="s">
        <v>104</v>
      </c>
      <c r="J356" s="50"/>
      <c r="K356" s="116">
        <f>IFERROR(VLOOKUP(B356,BD_CONTROL!$A$5:$M$4235,11,0),"")</f>
        <v>0</v>
      </c>
      <c r="L356" s="117">
        <f>IFERROR(VLOOKUP(B356,BD_CONTROL!$A$5:$M$4235,12,0),"")</f>
        <v>0</v>
      </c>
      <c r="M356" s="118">
        <f>IFERROR(VLOOKUP(B356,BD_CONTROL!$A$5:$M$4235,13,0),"")</f>
        <v>0</v>
      </c>
    </row>
    <row r="357" spans="1:13" ht="15" customHeight="1">
      <c r="A357" s="42">
        <v>352</v>
      </c>
      <c r="B357" s="42" t="s">
        <v>4468</v>
      </c>
      <c r="C357" s="43" t="s">
        <v>3581</v>
      </c>
      <c r="D357" s="42" t="s">
        <v>3370</v>
      </c>
      <c r="E357" s="43" t="s">
        <v>3385</v>
      </c>
      <c r="F357" s="43" t="s">
        <v>3897</v>
      </c>
      <c r="G357" s="42" t="s">
        <v>102</v>
      </c>
      <c r="H357" s="43" t="s">
        <v>1184</v>
      </c>
      <c r="I357" s="43" t="s">
        <v>104</v>
      </c>
      <c r="J357" s="55"/>
      <c r="K357" s="119">
        <f>IFERROR(VLOOKUP(B357,BD_CONTROL!$A$5:$M$4235,11,0),"")</f>
        <v>0</v>
      </c>
      <c r="L357" s="120">
        <f>IFERROR(VLOOKUP(B357,BD_CONTROL!$A$5:$M$4235,12,0),"")</f>
        <v>0</v>
      </c>
      <c r="M357" s="121">
        <f>IFERROR(VLOOKUP(B357,BD_CONTROL!$A$5:$M$4235,13,0),"")</f>
        <v>0</v>
      </c>
    </row>
    <row r="358" spans="1:13" ht="15" customHeight="1">
      <c r="A358" s="39">
        <v>353</v>
      </c>
      <c r="B358" s="39" t="s">
        <v>4469</v>
      </c>
      <c r="C358" s="40" t="s">
        <v>4470</v>
      </c>
      <c r="D358" s="39" t="s">
        <v>3370</v>
      </c>
      <c r="E358" s="40" t="s">
        <v>3900</v>
      </c>
      <c r="F358" s="40" t="s">
        <v>3528</v>
      </c>
      <c r="G358" s="39" t="s">
        <v>109</v>
      </c>
      <c r="H358" s="40" t="s">
        <v>1184</v>
      </c>
      <c r="I358" s="40" t="s">
        <v>104</v>
      </c>
      <c r="J358" s="50"/>
      <c r="K358" s="116">
        <f>IFERROR(VLOOKUP(B358,BD_CONTROL!$A$5:$M$4235,11,0),"")</f>
        <v>0</v>
      </c>
      <c r="L358" s="117">
        <f>IFERROR(VLOOKUP(B358,BD_CONTROL!$A$5:$M$4235,12,0),"")</f>
        <v>0</v>
      </c>
      <c r="M358" s="118">
        <f>IFERROR(VLOOKUP(B358,BD_CONTROL!$A$5:$M$4235,13,0),"")</f>
        <v>0</v>
      </c>
    </row>
    <row r="359" spans="1:13" ht="15" customHeight="1">
      <c r="A359" s="42">
        <v>354</v>
      </c>
      <c r="B359" s="42" t="s">
        <v>4471</v>
      </c>
      <c r="C359" s="43" t="s">
        <v>4472</v>
      </c>
      <c r="D359" s="42" t="s">
        <v>3370</v>
      </c>
      <c r="E359" s="43" t="s">
        <v>3379</v>
      </c>
      <c r="F359" s="43" t="s">
        <v>1511</v>
      </c>
      <c r="G359" s="42" t="s">
        <v>109</v>
      </c>
      <c r="H359" s="43" t="s">
        <v>1110</v>
      </c>
      <c r="I359" s="43" t="s">
        <v>104</v>
      </c>
      <c r="J359" s="55"/>
      <c r="K359" s="119">
        <f>IFERROR(VLOOKUP(B359,BD_CONTROL!$A$5:$M$4235,11,0),"")</f>
        <v>0</v>
      </c>
      <c r="L359" s="120">
        <f>IFERROR(VLOOKUP(B359,BD_CONTROL!$A$5:$M$4235,12,0),"")</f>
        <v>0</v>
      </c>
      <c r="M359" s="121">
        <f>IFERROR(VLOOKUP(B359,BD_CONTROL!$A$5:$M$4235,13,0),"")</f>
        <v>0</v>
      </c>
    </row>
    <row r="360" spans="1:13" ht="15" customHeight="1">
      <c r="A360" s="39">
        <v>355</v>
      </c>
      <c r="B360" s="39" t="s">
        <v>4473</v>
      </c>
      <c r="C360" s="40" t="s">
        <v>4474</v>
      </c>
      <c r="D360" s="39" t="s">
        <v>3370</v>
      </c>
      <c r="E360" s="40" t="s">
        <v>3428</v>
      </c>
      <c r="F360" s="40" t="s">
        <v>4475</v>
      </c>
      <c r="G360" s="39" t="s">
        <v>102</v>
      </c>
      <c r="H360" s="40" t="s">
        <v>1184</v>
      </c>
      <c r="I360" s="40" t="s">
        <v>104</v>
      </c>
      <c r="J360" s="50"/>
      <c r="K360" s="116">
        <f>IFERROR(VLOOKUP(B360,BD_CONTROL!$A$5:$M$4235,11,0),"")</f>
        <v>0</v>
      </c>
      <c r="L360" s="117">
        <f>IFERROR(VLOOKUP(B360,BD_CONTROL!$A$5:$M$4235,12,0),"")</f>
        <v>0</v>
      </c>
      <c r="M360" s="118">
        <f>IFERROR(VLOOKUP(B360,BD_CONTROL!$A$5:$M$4235,13,0),"")</f>
        <v>0</v>
      </c>
    </row>
    <row r="361" spans="1:13" ht="15" customHeight="1">
      <c r="A361" s="42">
        <v>356</v>
      </c>
      <c r="B361" s="42" t="s">
        <v>4476</v>
      </c>
      <c r="C361" s="43" t="s">
        <v>4477</v>
      </c>
      <c r="D361" s="42" t="s">
        <v>3370</v>
      </c>
      <c r="E361" s="43" t="s">
        <v>3746</v>
      </c>
      <c r="F361" s="43" t="s">
        <v>4478</v>
      </c>
      <c r="G361" s="42" t="s">
        <v>109</v>
      </c>
      <c r="H361" s="43" t="s">
        <v>1184</v>
      </c>
      <c r="I361" s="43" t="s">
        <v>104</v>
      </c>
      <c r="J361" s="55"/>
      <c r="K361" s="119">
        <f>IFERROR(VLOOKUP(B361,BD_CONTROL!$A$5:$M$4235,11,0),"")</f>
        <v>0</v>
      </c>
      <c r="L361" s="120">
        <f>IFERROR(VLOOKUP(B361,BD_CONTROL!$A$5:$M$4235,12,0),"")</f>
        <v>0</v>
      </c>
      <c r="M361" s="121">
        <f>IFERROR(VLOOKUP(B361,BD_CONTROL!$A$5:$M$4235,13,0),"")</f>
        <v>0</v>
      </c>
    </row>
    <row r="362" spans="1:13" ht="15" customHeight="1">
      <c r="A362" s="39">
        <v>357</v>
      </c>
      <c r="B362" s="39" t="s">
        <v>4479</v>
      </c>
      <c r="C362" s="40" t="s">
        <v>4480</v>
      </c>
      <c r="D362" s="39" t="s">
        <v>3370</v>
      </c>
      <c r="E362" s="40" t="s">
        <v>3770</v>
      </c>
      <c r="F362" s="40" t="s">
        <v>4481</v>
      </c>
      <c r="G362" s="39" t="s">
        <v>109</v>
      </c>
      <c r="H362" s="40" t="s">
        <v>1184</v>
      </c>
      <c r="I362" s="40" t="s">
        <v>104</v>
      </c>
      <c r="J362" s="50"/>
      <c r="K362" s="116">
        <f>IFERROR(VLOOKUP(B362,BD_CONTROL!$A$5:$M$4235,11,0),"")</f>
        <v>0</v>
      </c>
      <c r="L362" s="117">
        <f>IFERROR(VLOOKUP(B362,BD_CONTROL!$A$5:$M$4235,12,0),"")</f>
        <v>0</v>
      </c>
      <c r="M362" s="118">
        <f>IFERROR(VLOOKUP(B362,BD_CONTROL!$A$5:$M$4235,13,0),"")</f>
        <v>0</v>
      </c>
    </row>
    <row r="363" spans="1:13" ht="15" customHeight="1">
      <c r="A363" s="42">
        <v>358</v>
      </c>
      <c r="B363" s="42" t="s">
        <v>4490</v>
      </c>
      <c r="C363" s="43" t="s">
        <v>4491</v>
      </c>
      <c r="D363" s="42" t="s">
        <v>3370</v>
      </c>
      <c r="E363" s="43" t="s">
        <v>4119</v>
      </c>
      <c r="F363" s="43" t="s">
        <v>4492</v>
      </c>
      <c r="G363" s="42" t="s">
        <v>109</v>
      </c>
      <c r="H363" s="43" t="s">
        <v>1184</v>
      </c>
      <c r="I363" s="43" t="s">
        <v>104</v>
      </c>
      <c r="J363" s="55"/>
      <c r="K363" s="119">
        <f>IFERROR(VLOOKUP(B363,BD_CONTROL!$A$5:$M$4235,11,0),"")</f>
        <v>0</v>
      </c>
      <c r="L363" s="120">
        <f>IFERROR(VLOOKUP(B363,BD_CONTROL!$A$5:$M$4235,12,0),"")</f>
        <v>0</v>
      </c>
      <c r="M363" s="121">
        <f>IFERROR(VLOOKUP(B363,BD_CONTROL!$A$5:$M$4235,13,0),"")</f>
        <v>0</v>
      </c>
    </row>
    <row r="364" spans="1:13" ht="15" customHeight="1">
      <c r="A364" s="39">
        <v>359</v>
      </c>
      <c r="B364" s="39" t="s">
        <v>4493</v>
      </c>
      <c r="C364" s="40" t="s">
        <v>4494</v>
      </c>
      <c r="D364" s="39" t="s">
        <v>3370</v>
      </c>
      <c r="E364" s="40" t="s">
        <v>3762</v>
      </c>
      <c r="F364" s="40" t="s">
        <v>4495</v>
      </c>
      <c r="G364" s="39" t="s">
        <v>109</v>
      </c>
      <c r="H364" s="40" t="s">
        <v>1184</v>
      </c>
      <c r="I364" s="40" t="s">
        <v>104</v>
      </c>
      <c r="J364" s="50"/>
      <c r="K364" s="116">
        <f>IFERROR(VLOOKUP(B364,BD_CONTROL!$A$5:$M$4235,11,0),"")</f>
        <v>0</v>
      </c>
      <c r="L364" s="117">
        <f>IFERROR(VLOOKUP(B364,BD_CONTROL!$A$5:$M$4235,12,0),"")</f>
        <v>0</v>
      </c>
      <c r="M364" s="118">
        <f>IFERROR(VLOOKUP(B364,BD_CONTROL!$A$5:$M$4235,13,0),"")</f>
        <v>0</v>
      </c>
    </row>
    <row r="365" spans="1:13" ht="15" customHeight="1">
      <c r="A365" s="42">
        <v>360</v>
      </c>
      <c r="B365" s="42" t="s">
        <v>4499</v>
      </c>
      <c r="C365" s="43" t="s">
        <v>4500</v>
      </c>
      <c r="D365" s="42" t="s">
        <v>3370</v>
      </c>
      <c r="E365" s="43" t="s">
        <v>3644</v>
      </c>
      <c r="F365" s="43" t="s">
        <v>3906</v>
      </c>
      <c r="G365" s="42" t="s">
        <v>109</v>
      </c>
      <c r="H365" s="43" t="s">
        <v>1110</v>
      </c>
      <c r="I365" s="43" t="s">
        <v>104</v>
      </c>
      <c r="J365" s="55"/>
      <c r="K365" s="119">
        <f>IFERROR(VLOOKUP(B365,BD_CONTROL!$A$5:$M$4235,11,0),"")</f>
        <v>0</v>
      </c>
      <c r="L365" s="120">
        <f>IFERROR(VLOOKUP(B365,BD_CONTROL!$A$5:$M$4235,12,0),"")</f>
        <v>0</v>
      </c>
      <c r="M365" s="121">
        <f>IFERROR(VLOOKUP(B365,BD_CONTROL!$A$5:$M$4235,13,0),"")</f>
        <v>0</v>
      </c>
    </row>
    <row r="366" spans="1:13" ht="15" customHeight="1">
      <c r="A366" s="39">
        <v>361</v>
      </c>
      <c r="B366" s="39" t="s">
        <v>4501</v>
      </c>
      <c r="C366" s="40" t="s">
        <v>4502</v>
      </c>
      <c r="D366" s="39" t="s">
        <v>3370</v>
      </c>
      <c r="E366" s="40" t="s">
        <v>3644</v>
      </c>
      <c r="F366" s="40" t="s">
        <v>4503</v>
      </c>
      <c r="G366" s="39" t="s">
        <v>102</v>
      </c>
      <c r="H366" s="40" t="s">
        <v>1110</v>
      </c>
      <c r="I366" s="40" t="s">
        <v>104</v>
      </c>
      <c r="J366" s="50"/>
      <c r="K366" s="116">
        <f>IFERROR(VLOOKUP(B366,BD_CONTROL!$A$5:$M$4235,11,0),"")</f>
        <v>0</v>
      </c>
      <c r="L366" s="117">
        <f>IFERROR(VLOOKUP(B366,BD_CONTROL!$A$5:$M$4235,12,0),"")</f>
        <v>0</v>
      </c>
      <c r="M366" s="118">
        <f>IFERROR(VLOOKUP(B366,BD_CONTROL!$A$5:$M$4235,13,0),"")</f>
        <v>0</v>
      </c>
    </row>
    <row r="367" spans="1:13" ht="15" customHeight="1">
      <c r="A367" s="42">
        <v>362</v>
      </c>
      <c r="B367" s="42" t="s">
        <v>4504</v>
      </c>
      <c r="C367" s="43" t="s">
        <v>4505</v>
      </c>
      <c r="D367" s="42" t="s">
        <v>3370</v>
      </c>
      <c r="E367" s="43" t="s">
        <v>3379</v>
      </c>
      <c r="F367" s="43" t="s">
        <v>4506</v>
      </c>
      <c r="G367" s="42" t="s">
        <v>102</v>
      </c>
      <c r="H367" s="43" t="s">
        <v>1110</v>
      </c>
      <c r="I367" s="43" t="s">
        <v>104</v>
      </c>
      <c r="J367" s="55"/>
      <c r="K367" s="119">
        <f>IFERROR(VLOOKUP(B367,BD_CONTROL!$A$5:$M$4235,11,0),"")</f>
        <v>0</v>
      </c>
      <c r="L367" s="120">
        <f>IFERROR(VLOOKUP(B367,BD_CONTROL!$A$5:$M$4235,12,0),"")</f>
        <v>0</v>
      </c>
      <c r="M367" s="121">
        <f>IFERROR(VLOOKUP(B367,BD_CONTROL!$A$5:$M$4235,13,0),"")</f>
        <v>0</v>
      </c>
    </row>
    <row r="368" spans="1:13" ht="15" customHeight="1">
      <c r="A368" s="39">
        <v>363</v>
      </c>
      <c r="B368" s="39" t="s">
        <v>4507</v>
      </c>
      <c r="C368" s="40" t="s">
        <v>4508</v>
      </c>
      <c r="D368" s="39" t="s">
        <v>3370</v>
      </c>
      <c r="E368" s="40" t="s">
        <v>3131</v>
      </c>
      <c r="F368" s="40" t="s">
        <v>3131</v>
      </c>
      <c r="G368" s="39" t="s">
        <v>109</v>
      </c>
      <c r="H368" s="40" t="s">
        <v>1184</v>
      </c>
      <c r="I368" s="40" t="s">
        <v>104</v>
      </c>
      <c r="J368" s="50"/>
      <c r="K368" s="116">
        <f>IFERROR(VLOOKUP(B368,BD_CONTROL!$A$5:$M$4235,11,0),"")</f>
        <v>0</v>
      </c>
      <c r="L368" s="117">
        <f>IFERROR(VLOOKUP(B368,BD_CONTROL!$A$5:$M$4235,12,0),"")</f>
        <v>0</v>
      </c>
      <c r="M368" s="118">
        <f>IFERROR(VLOOKUP(B368,BD_CONTROL!$A$5:$M$4235,13,0),"")</f>
        <v>0</v>
      </c>
    </row>
    <row r="369" spans="1:13" ht="15" customHeight="1">
      <c r="A369" s="42">
        <v>364</v>
      </c>
      <c r="B369" s="42" t="s">
        <v>4509</v>
      </c>
      <c r="C369" s="43" t="s">
        <v>4510</v>
      </c>
      <c r="D369" s="42" t="s">
        <v>3370</v>
      </c>
      <c r="E369" s="43" t="s">
        <v>3416</v>
      </c>
      <c r="F369" s="43" t="s">
        <v>4511</v>
      </c>
      <c r="G369" s="42" t="s">
        <v>102</v>
      </c>
      <c r="H369" s="43" t="s">
        <v>1110</v>
      </c>
      <c r="I369" s="43" t="s">
        <v>104</v>
      </c>
      <c r="J369" s="55"/>
      <c r="K369" s="119" t="str">
        <f>IFERROR(VLOOKUP(B369,BD_CONTROL!$A$5:$M$4235,11,0),"")</f>
        <v>Instalado - Operando</v>
      </c>
      <c r="L369" s="120">
        <f>IFERROR(VLOOKUP(B369,BD_CONTROL!$A$5:$M$4235,12,0),"")</f>
        <v>46149</v>
      </c>
      <c r="M369" s="121">
        <f>IFERROR(VLOOKUP(B369,BD_CONTROL!$A$5:$M$4235,13,0),"")</f>
        <v>0</v>
      </c>
    </row>
    <row r="370" spans="1:13" ht="15" customHeight="1">
      <c r="A370" s="39">
        <v>365</v>
      </c>
      <c r="B370" s="39" t="s">
        <v>4512</v>
      </c>
      <c r="C370" s="40" t="s">
        <v>4513</v>
      </c>
      <c r="D370" s="39" t="s">
        <v>3370</v>
      </c>
      <c r="E370" s="40" t="s">
        <v>3770</v>
      </c>
      <c r="F370" s="40" t="s">
        <v>4514</v>
      </c>
      <c r="G370" s="39" t="s">
        <v>109</v>
      </c>
      <c r="H370" s="40" t="s">
        <v>1184</v>
      </c>
      <c r="I370" s="40" t="s">
        <v>104</v>
      </c>
      <c r="J370" s="50"/>
      <c r="K370" s="116">
        <f>IFERROR(VLOOKUP(B370,BD_CONTROL!$A$5:$M$4235,11,0),"")</f>
        <v>0</v>
      </c>
      <c r="L370" s="117">
        <f>IFERROR(VLOOKUP(B370,BD_CONTROL!$A$5:$M$4235,12,0),"")</f>
        <v>0</v>
      </c>
      <c r="M370" s="118">
        <f>IFERROR(VLOOKUP(B370,BD_CONTROL!$A$5:$M$4235,13,0),"")</f>
        <v>0</v>
      </c>
    </row>
    <row r="371" spans="1:13" ht="15" customHeight="1">
      <c r="A371" s="42">
        <v>366</v>
      </c>
      <c r="B371" s="42" t="s">
        <v>4515</v>
      </c>
      <c r="C371" s="43" t="s">
        <v>4516</v>
      </c>
      <c r="D371" s="42" t="s">
        <v>3370</v>
      </c>
      <c r="E371" s="43" t="s">
        <v>3770</v>
      </c>
      <c r="F371" s="43" t="s">
        <v>4517</v>
      </c>
      <c r="G371" s="42" t="s">
        <v>102</v>
      </c>
      <c r="H371" s="43" t="s">
        <v>1184</v>
      </c>
      <c r="I371" s="43" t="s">
        <v>104</v>
      </c>
      <c r="J371" s="55"/>
      <c r="K371" s="119">
        <f>IFERROR(VLOOKUP(B371,BD_CONTROL!$A$5:$M$4235,11,0),"")</f>
        <v>0</v>
      </c>
      <c r="L371" s="120">
        <f>IFERROR(VLOOKUP(B371,BD_CONTROL!$A$5:$M$4235,12,0),"")</f>
        <v>0</v>
      </c>
      <c r="M371" s="121">
        <f>IFERROR(VLOOKUP(B371,BD_CONTROL!$A$5:$M$4235,13,0),"")</f>
        <v>0</v>
      </c>
    </row>
    <row r="372" spans="1:13" ht="15" customHeight="1">
      <c r="A372" s="39">
        <v>367</v>
      </c>
      <c r="B372" s="39" t="s">
        <v>4521</v>
      </c>
      <c r="C372" s="40" t="s">
        <v>4522</v>
      </c>
      <c r="D372" s="39" t="s">
        <v>3370</v>
      </c>
      <c r="E372" s="40" t="s">
        <v>3547</v>
      </c>
      <c r="F372" s="40" t="s">
        <v>4172</v>
      </c>
      <c r="G372" s="39" t="s">
        <v>102</v>
      </c>
      <c r="H372" s="40" t="s">
        <v>1110</v>
      </c>
      <c r="I372" s="40" t="s">
        <v>104</v>
      </c>
      <c r="J372" s="50"/>
      <c r="K372" s="116" t="str">
        <f>IFERROR(VLOOKUP(B372,BD_CONTROL!$A$5:$M$4235,11,0),"")</f>
        <v>Instalado - Operando</v>
      </c>
      <c r="L372" s="117">
        <f>IFERROR(VLOOKUP(B372,BD_CONTROL!$A$5:$M$4235,12,0),"")</f>
        <v>46148</v>
      </c>
      <c r="M372" s="118">
        <f>IFERROR(VLOOKUP(B372,BD_CONTROL!$A$5:$M$4235,13,0),"")</f>
        <v>0</v>
      </c>
    </row>
    <row r="373" spans="1:13" ht="15" customHeight="1">
      <c r="A373" s="42">
        <v>368</v>
      </c>
      <c r="B373" s="42" t="s">
        <v>4523</v>
      </c>
      <c r="C373" s="43" t="s">
        <v>4524</v>
      </c>
      <c r="D373" s="42" t="s">
        <v>3370</v>
      </c>
      <c r="E373" s="43" t="s">
        <v>3408</v>
      </c>
      <c r="F373" s="43" t="s">
        <v>4202</v>
      </c>
      <c r="G373" s="42" t="s">
        <v>102</v>
      </c>
      <c r="H373" s="43" t="s">
        <v>1110</v>
      </c>
      <c r="I373" s="43" t="s">
        <v>104</v>
      </c>
      <c r="J373" s="55"/>
      <c r="K373" s="119">
        <f>IFERROR(VLOOKUP(B373,BD_CONTROL!$A$5:$M$4235,11,0),"")</f>
        <v>0</v>
      </c>
      <c r="L373" s="120">
        <f>IFERROR(VLOOKUP(B373,BD_CONTROL!$A$5:$M$4235,12,0),"")</f>
        <v>0</v>
      </c>
      <c r="M373" s="121">
        <f>IFERROR(VLOOKUP(B373,BD_CONTROL!$A$5:$M$4235,13,0),"")</f>
        <v>0</v>
      </c>
    </row>
    <row r="374" spans="1:13" ht="15" customHeight="1">
      <c r="A374" s="39">
        <v>369</v>
      </c>
      <c r="B374" s="39" t="s">
        <v>4525</v>
      </c>
      <c r="C374" s="40" t="s">
        <v>4526</v>
      </c>
      <c r="D374" s="39" t="s">
        <v>3370</v>
      </c>
      <c r="E374" s="40" t="s">
        <v>3416</v>
      </c>
      <c r="F374" s="40" t="s">
        <v>3416</v>
      </c>
      <c r="G374" s="39" t="s">
        <v>102</v>
      </c>
      <c r="H374" s="40" t="s">
        <v>1110</v>
      </c>
      <c r="I374" s="40" t="s">
        <v>104</v>
      </c>
      <c r="J374" s="50"/>
      <c r="K374" s="116">
        <f>IFERROR(VLOOKUP(B374,BD_CONTROL!$A$5:$M$4235,11,0),"")</f>
        <v>0</v>
      </c>
      <c r="L374" s="117">
        <f>IFERROR(VLOOKUP(B374,BD_CONTROL!$A$5:$M$4235,12,0),"")</f>
        <v>0</v>
      </c>
      <c r="M374" s="118">
        <f>IFERROR(VLOOKUP(B374,BD_CONTROL!$A$5:$M$4235,13,0),"")</f>
        <v>0</v>
      </c>
    </row>
    <row r="375" spans="1:13" ht="15" customHeight="1">
      <c r="A375" s="42">
        <v>370</v>
      </c>
      <c r="B375" s="42" t="s">
        <v>4527</v>
      </c>
      <c r="C375" s="43" t="s">
        <v>4528</v>
      </c>
      <c r="D375" s="42" t="s">
        <v>3370</v>
      </c>
      <c r="E375" s="43" t="s">
        <v>3576</v>
      </c>
      <c r="F375" s="43" t="s">
        <v>4138</v>
      </c>
      <c r="G375" s="42" t="s">
        <v>109</v>
      </c>
      <c r="H375" s="43" t="s">
        <v>1110</v>
      </c>
      <c r="I375" s="43" t="s">
        <v>104</v>
      </c>
      <c r="J375" s="55"/>
      <c r="K375" s="119">
        <f>IFERROR(VLOOKUP(B375,BD_CONTROL!$A$5:$M$4235,11,0),"")</f>
        <v>0</v>
      </c>
      <c r="L375" s="120">
        <f>IFERROR(VLOOKUP(B375,BD_CONTROL!$A$5:$M$4235,12,0),"")</f>
        <v>0</v>
      </c>
      <c r="M375" s="121">
        <f>IFERROR(VLOOKUP(B375,BD_CONTROL!$A$5:$M$4235,13,0),"")</f>
        <v>0</v>
      </c>
    </row>
    <row r="376" spans="1:13" ht="15" customHeight="1">
      <c r="A376" s="39">
        <v>371</v>
      </c>
      <c r="B376" s="39" t="s">
        <v>4531</v>
      </c>
      <c r="C376" s="40" t="s">
        <v>4532</v>
      </c>
      <c r="D376" s="39" t="s">
        <v>3370</v>
      </c>
      <c r="E376" s="40" t="s">
        <v>1244</v>
      </c>
      <c r="F376" s="40" t="s">
        <v>4533</v>
      </c>
      <c r="G376" s="39" t="s">
        <v>102</v>
      </c>
      <c r="H376" s="40" t="s">
        <v>1184</v>
      </c>
      <c r="I376" s="40" t="s">
        <v>104</v>
      </c>
      <c r="J376" s="50"/>
      <c r="K376" s="116">
        <f>IFERROR(VLOOKUP(B376,BD_CONTROL!$A$5:$M$4235,11,0),"")</f>
        <v>0</v>
      </c>
      <c r="L376" s="117">
        <f>IFERROR(VLOOKUP(B376,BD_CONTROL!$A$5:$M$4235,12,0),"")</f>
        <v>0</v>
      </c>
      <c r="M376" s="118">
        <f>IFERROR(VLOOKUP(B376,BD_CONTROL!$A$5:$M$4235,13,0),"")</f>
        <v>0</v>
      </c>
    </row>
    <row r="377" spans="1:13" ht="15" customHeight="1">
      <c r="A377" s="42">
        <v>372</v>
      </c>
      <c r="B377" s="42" t="s">
        <v>4537</v>
      </c>
      <c r="C377" s="43" t="s">
        <v>4538</v>
      </c>
      <c r="D377" s="42" t="s">
        <v>3370</v>
      </c>
      <c r="E377" s="43" t="s">
        <v>3481</v>
      </c>
      <c r="F377" s="43" t="s">
        <v>3481</v>
      </c>
      <c r="G377" s="42" t="s">
        <v>102</v>
      </c>
      <c r="H377" s="43" t="s">
        <v>1110</v>
      </c>
      <c r="I377" s="43" t="s">
        <v>104</v>
      </c>
      <c r="J377" s="55"/>
      <c r="K377" s="119">
        <f>IFERROR(VLOOKUP(B377,BD_CONTROL!$A$5:$M$4235,11,0),"")</f>
        <v>0</v>
      </c>
      <c r="L377" s="120">
        <f>IFERROR(VLOOKUP(B377,BD_CONTROL!$A$5:$M$4235,12,0),"")</f>
        <v>0</v>
      </c>
      <c r="M377" s="121">
        <f>IFERROR(VLOOKUP(B377,BD_CONTROL!$A$5:$M$4235,13,0),"")</f>
        <v>0</v>
      </c>
    </row>
    <row r="378" spans="1:13" ht="15" customHeight="1">
      <c r="A378" s="39">
        <v>373</v>
      </c>
      <c r="B378" s="39" t="s">
        <v>4542</v>
      </c>
      <c r="C378" s="40" t="s">
        <v>4543</v>
      </c>
      <c r="D378" s="39" t="s">
        <v>3370</v>
      </c>
      <c r="E378" s="40" t="s">
        <v>3644</v>
      </c>
      <c r="F378" s="40" t="s">
        <v>3782</v>
      </c>
      <c r="G378" s="39" t="s">
        <v>109</v>
      </c>
      <c r="H378" s="40" t="s">
        <v>1110</v>
      </c>
      <c r="I378" s="40" t="s">
        <v>104</v>
      </c>
      <c r="J378" s="50"/>
      <c r="K378" s="116">
        <f>IFERROR(VLOOKUP(B378,BD_CONTROL!$A$5:$M$4235,11,0),"")</f>
        <v>0</v>
      </c>
      <c r="L378" s="117">
        <f>IFERROR(VLOOKUP(B378,BD_CONTROL!$A$5:$M$4235,12,0),"")</f>
        <v>0</v>
      </c>
      <c r="M378" s="118">
        <f>IFERROR(VLOOKUP(B378,BD_CONTROL!$A$5:$M$4235,13,0),"")</f>
        <v>0</v>
      </c>
    </row>
    <row r="379" spans="1:13" ht="15" customHeight="1">
      <c r="A379" s="42">
        <v>374</v>
      </c>
      <c r="B379" s="42" t="s">
        <v>4548</v>
      </c>
      <c r="C379" s="43" t="s">
        <v>4549</v>
      </c>
      <c r="D379" s="42" t="s">
        <v>3370</v>
      </c>
      <c r="E379" s="43" t="s">
        <v>3404</v>
      </c>
      <c r="F379" s="43" t="s">
        <v>4550</v>
      </c>
      <c r="G379" s="42" t="s">
        <v>109</v>
      </c>
      <c r="H379" s="43" t="s">
        <v>1110</v>
      </c>
      <c r="I379" s="43" t="s">
        <v>104</v>
      </c>
      <c r="J379" s="55"/>
      <c r="K379" s="119">
        <f>IFERROR(VLOOKUP(B379,BD_CONTROL!$A$5:$M$4235,11,0),"")</f>
        <v>0</v>
      </c>
      <c r="L379" s="120">
        <f>IFERROR(VLOOKUP(B379,BD_CONTROL!$A$5:$M$4235,12,0),"")</f>
        <v>0</v>
      </c>
      <c r="M379" s="121">
        <f>IFERROR(VLOOKUP(B379,BD_CONTROL!$A$5:$M$4235,13,0),"")</f>
        <v>0</v>
      </c>
    </row>
    <row r="380" spans="1:13" ht="15" customHeight="1">
      <c r="A380" s="39">
        <v>375</v>
      </c>
      <c r="B380" s="39" t="s">
        <v>4556</v>
      </c>
      <c r="C380" s="40" t="s">
        <v>4557</v>
      </c>
      <c r="D380" s="39" t="s">
        <v>3370</v>
      </c>
      <c r="E380" s="40" t="s">
        <v>3651</v>
      </c>
      <c r="F380" s="40" t="s">
        <v>3651</v>
      </c>
      <c r="G380" s="39" t="s">
        <v>109</v>
      </c>
      <c r="H380" s="40" t="s">
        <v>1110</v>
      </c>
      <c r="I380" s="40" t="s">
        <v>104</v>
      </c>
      <c r="J380" s="50"/>
      <c r="K380" s="116">
        <f>IFERROR(VLOOKUP(B380,BD_CONTROL!$A$5:$M$4235,11,0),"")</f>
        <v>0</v>
      </c>
      <c r="L380" s="117">
        <f>IFERROR(VLOOKUP(B380,BD_CONTROL!$A$5:$M$4235,12,0),"")</f>
        <v>0</v>
      </c>
      <c r="M380" s="118">
        <f>IFERROR(VLOOKUP(B380,BD_CONTROL!$A$5:$M$4235,13,0),"")</f>
        <v>0</v>
      </c>
    </row>
    <row r="381" spans="1:13" ht="15" customHeight="1">
      <c r="A381" s="42">
        <v>376</v>
      </c>
      <c r="B381" s="42" t="s">
        <v>4567</v>
      </c>
      <c r="C381" s="43" t="s">
        <v>4568</v>
      </c>
      <c r="D381" s="42" t="s">
        <v>3370</v>
      </c>
      <c r="E381" s="43" t="s">
        <v>3416</v>
      </c>
      <c r="F381" s="43" t="s">
        <v>4511</v>
      </c>
      <c r="G381" s="42" t="s">
        <v>102</v>
      </c>
      <c r="H381" s="43" t="s">
        <v>1110</v>
      </c>
      <c r="I381" s="43" t="s">
        <v>104</v>
      </c>
      <c r="J381" s="55"/>
      <c r="K381" s="119" t="str">
        <f>IFERROR(VLOOKUP(B381,BD_CONTROL!$A$5:$M$4235,11,0),"")</f>
        <v>Instalado - Operando</v>
      </c>
      <c r="L381" s="120">
        <f>IFERROR(VLOOKUP(B381,BD_CONTROL!$A$5:$M$4235,12,0),"")</f>
        <v>46149</v>
      </c>
      <c r="M381" s="121">
        <f>IFERROR(VLOOKUP(B381,BD_CONTROL!$A$5:$M$4235,13,0),"")</f>
        <v>0</v>
      </c>
    </row>
    <row r="382" spans="1:13" ht="15" customHeight="1">
      <c r="A382" s="39">
        <v>377</v>
      </c>
      <c r="B382" s="39" t="s">
        <v>4569</v>
      </c>
      <c r="C382" s="40" t="s">
        <v>4570</v>
      </c>
      <c r="D382" s="39" t="s">
        <v>3370</v>
      </c>
      <c r="E382" s="40" t="s">
        <v>3471</v>
      </c>
      <c r="F382" s="40" t="s">
        <v>4037</v>
      </c>
      <c r="G382" s="39" t="s">
        <v>109</v>
      </c>
      <c r="H382" s="40" t="s">
        <v>1110</v>
      </c>
      <c r="I382" s="40" t="s">
        <v>104</v>
      </c>
      <c r="J382" s="50"/>
      <c r="K382" s="116" t="str">
        <f>IFERROR(VLOOKUP(B382,BD_CONTROL!$A$5:$M$4235,11,0),"")</f>
        <v>Instalado - Operando</v>
      </c>
      <c r="L382" s="117">
        <f>IFERROR(VLOOKUP(B382,BD_CONTROL!$A$5:$M$4235,12,0),"")</f>
        <v>46148</v>
      </c>
      <c r="M382" s="118" t="str">
        <f>IFERROR(VLOOKUP(B382,BD_CONTROL!$A$5:$M$4235,13,0),"")</f>
        <v>Este equipo no se encuentra cargado en la aplicación</v>
      </c>
    </row>
    <row r="383" spans="1:13" ht="15" customHeight="1">
      <c r="A383" s="42">
        <v>378</v>
      </c>
      <c r="B383" s="42" t="s">
        <v>4571</v>
      </c>
      <c r="C383" s="43" t="s">
        <v>4572</v>
      </c>
      <c r="D383" s="42" t="s">
        <v>3370</v>
      </c>
      <c r="E383" s="43" t="s">
        <v>3404</v>
      </c>
      <c r="F383" s="43" t="s">
        <v>3880</v>
      </c>
      <c r="G383" s="42" t="s">
        <v>102</v>
      </c>
      <c r="H383" s="43" t="s">
        <v>1110</v>
      </c>
      <c r="I383" s="43" t="s">
        <v>104</v>
      </c>
      <c r="J383" s="55"/>
      <c r="K383" s="119">
        <f>IFERROR(VLOOKUP(B383,BD_CONTROL!$A$5:$M$4235,11,0),"")</f>
        <v>0</v>
      </c>
      <c r="L383" s="120">
        <f>IFERROR(VLOOKUP(B383,BD_CONTROL!$A$5:$M$4235,12,0),"")</f>
        <v>0</v>
      </c>
      <c r="M383" s="121">
        <f>IFERROR(VLOOKUP(B383,BD_CONTROL!$A$5:$M$4235,13,0),"")</f>
        <v>0</v>
      </c>
    </row>
    <row r="384" spans="1:13" ht="15" customHeight="1">
      <c r="A384" s="39">
        <v>379</v>
      </c>
      <c r="B384" s="39" t="s">
        <v>4573</v>
      </c>
      <c r="C384" s="40" t="s">
        <v>4574</v>
      </c>
      <c r="D384" s="39" t="s">
        <v>3370</v>
      </c>
      <c r="E384" s="40" t="s">
        <v>3714</v>
      </c>
      <c r="F384" s="40" t="s">
        <v>3714</v>
      </c>
      <c r="G384" s="39" t="s">
        <v>109</v>
      </c>
      <c r="H384" s="40" t="s">
        <v>1110</v>
      </c>
      <c r="I384" s="40" t="s">
        <v>104</v>
      </c>
      <c r="J384" s="50"/>
      <c r="K384" s="116">
        <f>IFERROR(VLOOKUP(B384,BD_CONTROL!$A$5:$M$4235,11,0),"")</f>
        <v>0</v>
      </c>
      <c r="L384" s="117">
        <f>IFERROR(VLOOKUP(B384,BD_CONTROL!$A$5:$M$4235,12,0),"")</f>
        <v>0</v>
      </c>
      <c r="M384" s="118">
        <f>IFERROR(VLOOKUP(B384,BD_CONTROL!$A$5:$M$4235,13,0),"")</f>
        <v>0</v>
      </c>
    </row>
    <row r="385" spans="1:13" ht="15" customHeight="1">
      <c r="A385" s="42">
        <v>380</v>
      </c>
      <c r="B385" s="42" t="s">
        <v>4583</v>
      </c>
      <c r="C385" s="43" t="s">
        <v>4584</v>
      </c>
      <c r="D385" s="42" t="s">
        <v>3370</v>
      </c>
      <c r="E385" s="43" t="s">
        <v>3598</v>
      </c>
      <c r="F385" s="43" t="s">
        <v>4585</v>
      </c>
      <c r="G385" s="42" t="s">
        <v>109</v>
      </c>
      <c r="H385" s="43" t="s">
        <v>1110</v>
      </c>
      <c r="I385" s="43" t="s">
        <v>104</v>
      </c>
      <c r="J385" s="55"/>
      <c r="K385" s="119">
        <f>IFERROR(VLOOKUP(B385,BD_CONTROL!$A$5:$M$4235,11,0),"")</f>
        <v>0</v>
      </c>
      <c r="L385" s="120">
        <f>IFERROR(VLOOKUP(B385,BD_CONTROL!$A$5:$M$4235,12,0),"")</f>
        <v>0</v>
      </c>
      <c r="M385" s="121">
        <f>IFERROR(VLOOKUP(B385,BD_CONTROL!$A$5:$M$4235,13,0),"")</f>
        <v>0</v>
      </c>
    </row>
    <row r="386" spans="1:13" ht="15" customHeight="1">
      <c r="A386" s="39">
        <v>381</v>
      </c>
      <c r="B386" s="39" t="s">
        <v>4586</v>
      </c>
      <c r="C386" s="40" t="s">
        <v>4587</v>
      </c>
      <c r="D386" s="39" t="s">
        <v>3370</v>
      </c>
      <c r="E386" s="40" t="s">
        <v>3385</v>
      </c>
      <c r="F386" s="40" t="s">
        <v>2860</v>
      </c>
      <c r="G386" s="39" t="s">
        <v>102</v>
      </c>
      <c r="H386" s="40" t="s">
        <v>1184</v>
      </c>
      <c r="I386" s="40" t="s">
        <v>104</v>
      </c>
      <c r="J386" s="50"/>
      <c r="K386" s="116">
        <f>IFERROR(VLOOKUP(B386,BD_CONTROL!$A$5:$M$4235,11,0),"")</f>
        <v>0</v>
      </c>
      <c r="L386" s="117">
        <f>IFERROR(VLOOKUP(B386,BD_CONTROL!$A$5:$M$4235,12,0),"")</f>
        <v>0</v>
      </c>
      <c r="M386" s="118">
        <f>IFERROR(VLOOKUP(B386,BD_CONTROL!$A$5:$M$4235,13,0),"")</f>
        <v>0</v>
      </c>
    </row>
    <row r="387" spans="1:13" ht="15" customHeight="1">
      <c r="A387" s="42">
        <v>382</v>
      </c>
      <c r="B387" s="42" t="s">
        <v>4598</v>
      </c>
      <c r="C387" s="43" t="s">
        <v>4599</v>
      </c>
      <c r="D387" s="42" t="s">
        <v>3370</v>
      </c>
      <c r="E387" s="43" t="s">
        <v>3385</v>
      </c>
      <c r="F387" s="43" t="s">
        <v>2860</v>
      </c>
      <c r="G387" s="42" t="s">
        <v>102</v>
      </c>
      <c r="H387" s="43" t="s">
        <v>1184</v>
      </c>
      <c r="I387" s="43" t="s">
        <v>104</v>
      </c>
      <c r="J387" s="55"/>
      <c r="K387" s="119">
        <f>IFERROR(VLOOKUP(B387,BD_CONTROL!$A$5:$M$4235,11,0),"")</f>
        <v>0</v>
      </c>
      <c r="L387" s="120">
        <f>IFERROR(VLOOKUP(B387,BD_CONTROL!$A$5:$M$4235,12,0),"")</f>
        <v>0</v>
      </c>
      <c r="M387" s="121">
        <f>IFERROR(VLOOKUP(B387,BD_CONTROL!$A$5:$M$4235,13,0),"")</f>
        <v>0</v>
      </c>
    </row>
    <row r="388" spans="1:13" ht="15" customHeight="1">
      <c r="A388" s="39">
        <v>383</v>
      </c>
      <c r="B388" s="39" t="s">
        <v>4603</v>
      </c>
      <c r="C388" s="40" t="s">
        <v>4604</v>
      </c>
      <c r="D388" s="39" t="s">
        <v>3370</v>
      </c>
      <c r="E388" s="40" t="s">
        <v>3481</v>
      </c>
      <c r="F388" s="40" t="s">
        <v>3482</v>
      </c>
      <c r="G388" s="39" t="s">
        <v>102</v>
      </c>
      <c r="H388" s="40" t="s">
        <v>1110</v>
      </c>
      <c r="I388" s="40" t="s">
        <v>104</v>
      </c>
      <c r="J388" s="50"/>
      <c r="K388" s="116">
        <f>IFERROR(VLOOKUP(B388,BD_CONTROL!$A$5:$M$4235,11,0),"")</f>
        <v>0</v>
      </c>
      <c r="L388" s="117">
        <f>IFERROR(VLOOKUP(B388,BD_CONTROL!$A$5:$M$4235,12,0),"")</f>
        <v>0</v>
      </c>
      <c r="M388" s="118">
        <f>IFERROR(VLOOKUP(B388,BD_CONTROL!$A$5:$M$4235,13,0),"")</f>
        <v>0</v>
      </c>
    </row>
    <row r="389" spans="1:13" ht="15" customHeight="1">
      <c r="A389" s="42">
        <v>384</v>
      </c>
      <c r="B389" s="42" t="s">
        <v>4605</v>
      </c>
      <c r="C389" s="43" t="s">
        <v>4606</v>
      </c>
      <c r="D389" s="42" t="s">
        <v>3370</v>
      </c>
      <c r="E389" s="43" t="s">
        <v>3644</v>
      </c>
      <c r="F389" s="43" t="s">
        <v>4607</v>
      </c>
      <c r="G389" s="42" t="s">
        <v>109</v>
      </c>
      <c r="H389" s="43" t="s">
        <v>1110</v>
      </c>
      <c r="I389" s="43" t="s">
        <v>104</v>
      </c>
      <c r="J389" s="55"/>
      <c r="K389" s="119">
        <f>IFERROR(VLOOKUP(B389,BD_CONTROL!$A$5:$M$4235,11,0),"")</f>
        <v>0</v>
      </c>
      <c r="L389" s="120">
        <f>IFERROR(VLOOKUP(B389,BD_CONTROL!$A$5:$M$4235,12,0),"")</f>
        <v>0</v>
      </c>
      <c r="M389" s="121">
        <f>IFERROR(VLOOKUP(B389,BD_CONTROL!$A$5:$M$4235,13,0),"")</f>
        <v>0</v>
      </c>
    </row>
    <row r="390" spans="1:13" ht="15" customHeight="1">
      <c r="A390" s="39">
        <v>385</v>
      </c>
      <c r="B390" s="39" t="s">
        <v>4608</v>
      </c>
      <c r="C390" s="40" t="s">
        <v>4609</v>
      </c>
      <c r="D390" s="39" t="s">
        <v>3370</v>
      </c>
      <c r="E390" s="40" t="s">
        <v>3460</v>
      </c>
      <c r="F390" s="40" t="s">
        <v>4199</v>
      </c>
      <c r="G390" s="39" t="s">
        <v>109</v>
      </c>
      <c r="H390" s="40" t="s">
        <v>1110</v>
      </c>
      <c r="I390" s="40" t="s">
        <v>104</v>
      </c>
      <c r="J390" s="50"/>
      <c r="K390" s="116">
        <f>IFERROR(VLOOKUP(B390,BD_CONTROL!$A$5:$M$4235,11,0),"")</f>
        <v>0</v>
      </c>
      <c r="L390" s="117">
        <f>IFERROR(VLOOKUP(B390,BD_CONTROL!$A$5:$M$4235,12,0),"")</f>
        <v>0</v>
      </c>
      <c r="M390" s="118">
        <f>IFERROR(VLOOKUP(B390,BD_CONTROL!$A$5:$M$4235,13,0),"")</f>
        <v>0</v>
      </c>
    </row>
    <row r="391" spans="1:13" ht="15" customHeight="1">
      <c r="A391" s="42">
        <v>386</v>
      </c>
      <c r="B391" s="42" t="s">
        <v>4610</v>
      </c>
      <c r="C391" s="43" t="s">
        <v>4611</v>
      </c>
      <c r="D391" s="42" t="s">
        <v>3370</v>
      </c>
      <c r="E391" s="43" t="s">
        <v>3762</v>
      </c>
      <c r="F391" s="43" t="s">
        <v>4612</v>
      </c>
      <c r="G391" s="42" t="s">
        <v>109</v>
      </c>
      <c r="H391" s="43" t="s">
        <v>1184</v>
      </c>
      <c r="I391" s="43" t="s">
        <v>104</v>
      </c>
      <c r="J391" s="55"/>
      <c r="K391" s="119">
        <f>IFERROR(VLOOKUP(B391,BD_CONTROL!$A$5:$M$4235,11,0),"")</f>
        <v>0</v>
      </c>
      <c r="L391" s="120">
        <f>IFERROR(VLOOKUP(B391,BD_CONTROL!$A$5:$M$4235,12,0),"")</f>
        <v>0</v>
      </c>
      <c r="M391" s="121">
        <f>IFERROR(VLOOKUP(B391,BD_CONTROL!$A$5:$M$4235,13,0),"")</f>
        <v>0</v>
      </c>
    </row>
    <row r="392" spans="1:13" ht="15" customHeight="1">
      <c r="A392" s="39">
        <v>387</v>
      </c>
      <c r="B392" s="39" t="s">
        <v>4613</v>
      </c>
      <c r="C392" s="40" t="s">
        <v>4614</v>
      </c>
      <c r="D392" s="39" t="s">
        <v>3370</v>
      </c>
      <c r="E392" s="40" t="s">
        <v>3131</v>
      </c>
      <c r="F392" s="40" t="s">
        <v>4615</v>
      </c>
      <c r="G392" s="39" t="s">
        <v>102</v>
      </c>
      <c r="H392" s="40" t="s">
        <v>1184</v>
      </c>
      <c r="I392" s="40" t="s">
        <v>104</v>
      </c>
      <c r="J392" s="50"/>
      <c r="K392" s="116">
        <f>IFERROR(VLOOKUP(B392,BD_CONTROL!$A$5:$M$4235,11,0),"")</f>
        <v>0</v>
      </c>
      <c r="L392" s="117">
        <f>IFERROR(VLOOKUP(B392,BD_CONTROL!$A$5:$M$4235,12,0),"")</f>
        <v>0</v>
      </c>
      <c r="M392" s="118">
        <f>IFERROR(VLOOKUP(B392,BD_CONTROL!$A$5:$M$4235,13,0),"")</f>
        <v>0</v>
      </c>
    </row>
    <row r="393" spans="1:13" ht="15" customHeight="1">
      <c r="A393" s="42">
        <v>388</v>
      </c>
      <c r="B393" s="42" t="s">
        <v>4618</v>
      </c>
      <c r="C393" s="43" t="s">
        <v>4619</v>
      </c>
      <c r="D393" s="42" t="s">
        <v>3370</v>
      </c>
      <c r="E393" s="43" t="s">
        <v>3615</v>
      </c>
      <c r="F393" s="43" t="s">
        <v>4354</v>
      </c>
      <c r="G393" s="42" t="s">
        <v>109</v>
      </c>
      <c r="H393" s="43" t="s">
        <v>1110</v>
      </c>
      <c r="I393" s="43" t="s">
        <v>104</v>
      </c>
      <c r="J393" s="55"/>
      <c r="K393" s="119">
        <f>IFERROR(VLOOKUP(B393,BD_CONTROL!$A$5:$M$4235,11,0),"")</f>
        <v>0</v>
      </c>
      <c r="L393" s="120">
        <f>IFERROR(VLOOKUP(B393,BD_CONTROL!$A$5:$M$4235,12,0),"")</f>
        <v>0</v>
      </c>
      <c r="M393" s="121">
        <f>IFERROR(VLOOKUP(B393,BD_CONTROL!$A$5:$M$4235,13,0),"")</f>
        <v>0</v>
      </c>
    </row>
    <row r="394" spans="1:13" ht="15" customHeight="1">
      <c r="A394" s="39">
        <v>389</v>
      </c>
      <c r="B394" s="39" t="s">
        <v>4624</v>
      </c>
      <c r="C394" s="40" t="s">
        <v>4625</v>
      </c>
      <c r="D394" s="39" t="s">
        <v>3370</v>
      </c>
      <c r="E394" s="40" t="s">
        <v>1244</v>
      </c>
      <c r="F394" s="40" t="s">
        <v>3948</v>
      </c>
      <c r="G394" s="39" t="s">
        <v>109</v>
      </c>
      <c r="H394" s="40" t="s">
        <v>1184</v>
      </c>
      <c r="I394" s="40" t="s">
        <v>104</v>
      </c>
      <c r="J394" s="50"/>
      <c r="K394" s="116">
        <f>IFERROR(VLOOKUP(B394,BD_CONTROL!$A$5:$M$4235,11,0),"")</f>
        <v>0</v>
      </c>
      <c r="L394" s="117">
        <f>IFERROR(VLOOKUP(B394,BD_CONTROL!$A$5:$M$4235,12,0),"")</f>
        <v>0</v>
      </c>
      <c r="M394" s="118">
        <f>IFERROR(VLOOKUP(B394,BD_CONTROL!$A$5:$M$4235,13,0),"")</f>
        <v>0</v>
      </c>
    </row>
    <row r="395" spans="1:13" ht="15" customHeight="1">
      <c r="A395" s="42">
        <v>390</v>
      </c>
      <c r="B395" s="42" t="s">
        <v>4636</v>
      </c>
      <c r="C395" s="43" t="s">
        <v>4637</v>
      </c>
      <c r="D395" s="42" t="s">
        <v>3370</v>
      </c>
      <c r="E395" s="43" t="s">
        <v>3481</v>
      </c>
      <c r="F395" s="43" t="s">
        <v>3482</v>
      </c>
      <c r="G395" s="42" t="s">
        <v>109</v>
      </c>
      <c r="H395" s="43" t="s">
        <v>1110</v>
      </c>
      <c r="I395" s="43" t="s">
        <v>104</v>
      </c>
      <c r="J395" s="55"/>
      <c r="K395" s="119">
        <f>IFERROR(VLOOKUP(B395,BD_CONTROL!$A$5:$M$4235,11,0),"")</f>
        <v>0</v>
      </c>
      <c r="L395" s="120">
        <f>IFERROR(VLOOKUP(B395,BD_CONTROL!$A$5:$M$4235,12,0),"")</f>
        <v>0</v>
      </c>
      <c r="M395" s="121">
        <f>IFERROR(VLOOKUP(B395,BD_CONTROL!$A$5:$M$4235,13,0),"")</f>
        <v>0</v>
      </c>
    </row>
    <row r="396" spans="1:13" ht="15" customHeight="1">
      <c r="A396" s="39">
        <v>391</v>
      </c>
      <c r="B396" s="39" t="s">
        <v>4638</v>
      </c>
      <c r="C396" s="40" t="s">
        <v>4516</v>
      </c>
      <c r="D396" s="39" t="s">
        <v>3370</v>
      </c>
      <c r="E396" s="40" t="s">
        <v>3770</v>
      </c>
      <c r="F396" s="40" t="s">
        <v>4517</v>
      </c>
      <c r="G396" s="39" t="s">
        <v>109</v>
      </c>
      <c r="H396" s="40" t="s">
        <v>1184</v>
      </c>
      <c r="I396" s="40" t="s">
        <v>104</v>
      </c>
      <c r="J396" s="50"/>
      <c r="K396" s="116">
        <f>IFERROR(VLOOKUP(B396,BD_CONTROL!$A$5:$M$4235,11,0),"")</f>
        <v>0</v>
      </c>
      <c r="L396" s="117">
        <f>IFERROR(VLOOKUP(B396,BD_CONTROL!$A$5:$M$4235,12,0),"")</f>
        <v>0</v>
      </c>
      <c r="M396" s="118">
        <f>IFERROR(VLOOKUP(B396,BD_CONTROL!$A$5:$M$4235,13,0),"")</f>
        <v>0</v>
      </c>
    </row>
    <row r="397" spans="1:13" ht="15" customHeight="1">
      <c r="A397" s="42">
        <v>392</v>
      </c>
      <c r="B397" s="42" t="s">
        <v>4642</v>
      </c>
      <c r="C397" s="43" t="s">
        <v>3597</v>
      </c>
      <c r="D397" s="42" t="s">
        <v>3370</v>
      </c>
      <c r="E397" s="43" t="s">
        <v>324</v>
      </c>
      <c r="F397" s="43" t="s">
        <v>3641</v>
      </c>
      <c r="G397" s="42" t="s">
        <v>102</v>
      </c>
      <c r="H397" s="43" t="s">
        <v>1110</v>
      </c>
      <c r="I397" s="43" t="s">
        <v>104</v>
      </c>
      <c r="J397" s="55"/>
      <c r="K397" s="119" t="str">
        <f>IFERROR(VLOOKUP(B397,BD_CONTROL!$A$5:$M$4235,11,0),"")</f>
        <v>Instalado - Operando</v>
      </c>
      <c r="L397" s="120">
        <f>IFERROR(VLOOKUP(B397,BD_CONTROL!$A$5:$M$4235,12,0),"")</f>
        <v>46149</v>
      </c>
      <c r="M397" s="121" t="str">
        <f>IFERROR(VLOOKUP(B397,BD_CONTROL!$A$5:$M$4235,13,0),"")</f>
        <v>Este equipo no se encuentra cargado en la Aplicación</v>
      </c>
    </row>
    <row r="398" spans="1:13" ht="15" customHeight="1">
      <c r="A398" s="39">
        <v>393</v>
      </c>
      <c r="B398" s="39" t="s">
        <v>4643</v>
      </c>
      <c r="C398" s="40" t="s">
        <v>4644</v>
      </c>
      <c r="D398" s="39" t="s">
        <v>3370</v>
      </c>
      <c r="E398" s="40" t="s">
        <v>3481</v>
      </c>
      <c r="F398" s="40" t="s">
        <v>3482</v>
      </c>
      <c r="G398" s="39" t="s">
        <v>109</v>
      </c>
      <c r="H398" s="40" t="s">
        <v>1110</v>
      </c>
      <c r="I398" s="40" t="s">
        <v>104</v>
      </c>
      <c r="J398" s="50"/>
      <c r="K398" s="116">
        <f>IFERROR(VLOOKUP(B398,BD_CONTROL!$A$5:$M$4235,11,0),"")</f>
        <v>0</v>
      </c>
      <c r="L398" s="117">
        <f>IFERROR(VLOOKUP(B398,BD_CONTROL!$A$5:$M$4235,12,0),"")</f>
        <v>0</v>
      </c>
      <c r="M398" s="118">
        <f>IFERROR(VLOOKUP(B398,BD_CONTROL!$A$5:$M$4235,13,0),"")</f>
        <v>0</v>
      </c>
    </row>
    <row r="399" spans="1:13" ht="15" customHeight="1">
      <c r="A399" s="42">
        <v>394</v>
      </c>
      <c r="B399" s="42" t="s">
        <v>4645</v>
      </c>
      <c r="C399" s="43" t="s">
        <v>4646</v>
      </c>
      <c r="D399" s="42" t="s">
        <v>3370</v>
      </c>
      <c r="E399" s="43" t="s">
        <v>3703</v>
      </c>
      <c r="F399" s="43" t="s">
        <v>4647</v>
      </c>
      <c r="G399" s="42" t="s">
        <v>109</v>
      </c>
      <c r="H399" s="43" t="s">
        <v>1110</v>
      </c>
      <c r="I399" s="43" t="s">
        <v>104</v>
      </c>
      <c r="J399" s="55"/>
      <c r="K399" s="119">
        <f>IFERROR(VLOOKUP(B399,BD_CONTROL!$A$5:$M$4235,11,0),"")</f>
        <v>0</v>
      </c>
      <c r="L399" s="120">
        <f>IFERROR(VLOOKUP(B399,BD_CONTROL!$A$5:$M$4235,12,0),"")</f>
        <v>0</v>
      </c>
      <c r="M399" s="121">
        <f>IFERROR(VLOOKUP(B399,BD_CONTROL!$A$5:$M$4235,13,0),"")</f>
        <v>0</v>
      </c>
    </row>
    <row r="400" spans="1:13" ht="15" customHeight="1">
      <c r="A400" s="39">
        <v>395</v>
      </c>
      <c r="B400" s="39" t="s">
        <v>4648</v>
      </c>
      <c r="C400" s="40" t="s">
        <v>4649</v>
      </c>
      <c r="D400" s="39" t="s">
        <v>3370</v>
      </c>
      <c r="E400" s="40" t="s">
        <v>3371</v>
      </c>
      <c r="F400" s="40" t="s">
        <v>3547</v>
      </c>
      <c r="G400" s="39" t="s">
        <v>109</v>
      </c>
      <c r="H400" s="40" t="s">
        <v>1110</v>
      </c>
      <c r="I400" s="40" t="s">
        <v>104</v>
      </c>
      <c r="J400" s="50"/>
      <c r="K400" s="116" t="str">
        <f>IFERROR(VLOOKUP(B400,BD_CONTROL!$A$5:$M$4235,11,0),"")</f>
        <v>Instalado - Operando</v>
      </c>
      <c r="L400" s="117">
        <f>IFERROR(VLOOKUP(B400,BD_CONTROL!$A$5:$M$4235,12,0),"")</f>
        <v>46149</v>
      </c>
      <c r="M400" s="118">
        <f>IFERROR(VLOOKUP(B400,BD_CONTROL!$A$5:$M$4235,13,0),"")</f>
        <v>0</v>
      </c>
    </row>
    <row r="401" spans="1:13" ht="15" customHeight="1">
      <c r="A401" s="42">
        <v>396</v>
      </c>
      <c r="B401" s="42" t="s">
        <v>4650</v>
      </c>
      <c r="C401" s="43" t="s">
        <v>4651</v>
      </c>
      <c r="D401" s="42" t="s">
        <v>3370</v>
      </c>
      <c r="E401" s="43" t="s">
        <v>3385</v>
      </c>
      <c r="F401" s="43" t="s">
        <v>4652</v>
      </c>
      <c r="G401" s="42" t="s">
        <v>109</v>
      </c>
      <c r="H401" s="43" t="s">
        <v>1184</v>
      </c>
      <c r="I401" s="43" t="s">
        <v>104</v>
      </c>
      <c r="J401" s="55"/>
      <c r="K401" s="119" t="str">
        <f>IFERROR(VLOOKUP(B401,BD_CONTROL!$A$5:$M$4235,11,0),"")</f>
        <v>Instalado - Operando</v>
      </c>
      <c r="L401" s="120">
        <f>IFERROR(VLOOKUP(B401,BD_CONTROL!$A$5:$M$4235,12,0),"")</f>
        <v>46149</v>
      </c>
      <c r="M401" s="121">
        <f>IFERROR(VLOOKUP(B401,BD_CONTROL!$A$5:$M$4235,13,0),"")</f>
        <v>0</v>
      </c>
    </row>
    <row r="402" spans="1:13" ht="15" customHeight="1">
      <c r="A402" s="39">
        <v>397</v>
      </c>
      <c r="B402" s="39" t="s">
        <v>4655</v>
      </c>
      <c r="C402" s="40" t="s">
        <v>4656</v>
      </c>
      <c r="D402" s="39" t="s">
        <v>3370</v>
      </c>
      <c r="E402" s="40" t="s">
        <v>3576</v>
      </c>
      <c r="F402" s="40" t="s">
        <v>4657</v>
      </c>
      <c r="G402" s="39" t="s">
        <v>109</v>
      </c>
      <c r="H402" s="40" t="s">
        <v>1110</v>
      </c>
      <c r="I402" s="40" t="s">
        <v>104</v>
      </c>
      <c r="J402" s="50"/>
      <c r="K402" s="116">
        <f>IFERROR(VLOOKUP(B402,BD_CONTROL!$A$5:$M$4235,11,0),"")</f>
        <v>0</v>
      </c>
      <c r="L402" s="117">
        <f>IFERROR(VLOOKUP(B402,BD_CONTROL!$A$5:$M$4235,12,0),"")</f>
        <v>0</v>
      </c>
      <c r="M402" s="118">
        <f>IFERROR(VLOOKUP(B402,BD_CONTROL!$A$5:$M$4235,13,0),"")</f>
        <v>0</v>
      </c>
    </row>
    <row r="403" spans="1:13" ht="15" customHeight="1">
      <c r="A403" s="42">
        <v>398</v>
      </c>
      <c r="B403" s="42" t="s">
        <v>4658</v>
      </c>
      <c r="C403" s="43" t="s">
        <v>4659</v>
      </c>
      <c r="D403" s="42" t="s">
        <v>3370</v>
      </c>
      <c r="E403" s="43" t="s">
        <v>3404</v>
      </c>
      <c r="F403" s="43" t="s">
        <v>4465</v>
      </c>
      <c r="G403" s="42" t="s">
        <v>102</v>
      </c>
      <c r="H403" s="43" t="s">
        <v>1110</v>
      </c>
      <c r="I403" s="43" t="s">
        <v>104</v>
      </c>
      <c r="J403" s="55"/>
      <c r="K403" s="119">
        <f>IFERROR(VLOOKUP(B403,BD_CONTROL!$A$5:$M$4235,11,0),"")</f>
        <v>0</v>
      </c>
      <c r="L403" s="120">
        <f>IFERROR(VLOOKUP(B403,BD_CONTROL!$A$5:$M$4235,12,0),"")</f>
        <v>0</v>
      </c>
      <c r="M403" s="121">
        <f>IFERROR(VLOOKUP(B403,BD_CONTROL!$A$5:$M$4235,13,0),"")</f>
        <v>0</v>
      </c>
    </row>
    <row r="404" spans="1:13" ht="15" customHeight="1">
      <c r="A404" s="39">
        <v>399</v>
      </c>
      <c r="B404" s="39" t="s">
        <v>4660</v>
      </c>
      <c r="C404" s="40" t="s">
        <v>4661</v>
      </c>
      <c r="D404" s="39" t="s">
        <v>3370</v>
      </c>
      <c r="E404" s="40" t="s">
        <v>3561</v>
      </c>
      <c r="F404" s="40" t="s">
        <v>4662</v>
      </c>
      <c r="G404" s="39" t="s">
        <v>102</v>
      </c>
      <c r="H404" s="40" t="s">
        <v>1110</v>
      </c>
      <c r="I404" s="40" t="s">
        <v>104</v>
      </c>
      <c r="J404" s="50"/>
      <c r="K404" s="116">
        <f>IFERROR(VLOOKUP(B404,BD_CONTROL!$A$5:$M$4235,11,0),"")</f>
        <v>0</v>
      </c>
      <c r="L404" s="117">
        <f>IFERROR(VLOOKUP(B404,BD_CONTROL!$A$5:$M$4235,12,0),"")</f>
        <v>0</v>
      </c>
      <c r="M404" s="118">
        <f>IFERROR(VLOOKUP(B404,BD_CONTROL!$A$5:$M$4235,13,0),"")</f>
        <v>0</v>
      </c>
    </row>
    <row r="405" spans="1:13" ht="15" customHeight="1">
      <c r="A405" s="42">
        <v>400</v>
      </c>
      <c r="B405" s="42" t="s">
        <v>4663</v>
      </c>
      <c r="C405" s="43" t="s">
        <v>4664</v>
      </c>
      <c r="D405" s="42" t="s">
        <v>3370</v>
      </c>
      <c r="E405" s="43" t="s">
        <v>3404</v>
      </c>
      <c r="F405" s="43" t="s">
        <v>4665</v>
      </c>
      <c r="G405" s="42" t="s">
        <v>109</v>
      </c>
      <c r="H405" s="43" t="s">
        <v>1110</v>
      </c>
      <c r="I405" s="43" t="s">
        <v>104</v>
      </c>
      <c r="J405" s="55"/>
      <c r="K405" s="119">
        <f>IFERROR(VLOOKUP(B405,BD_CONTROL!$A$5:$M$4235,11,0),"")</f>
        <v>0</v>
      </c>
      <c r="L405" s="120">
        <f>IFERROR(VLOOKUP(B405,BD_CONTROL!$A$5:$M$4235,12,0),"")</f>
        <v>0</v>
      </c>
      <c r="M405" s="121">
        <f>IFERROR(VLOOKUP(B405,BD_CONTROL!$A$5:$M$4235,13,0),"")</f>
        <v>0</v>
      </c>
    </row>
    <row r="406" spans="1:13" ht="15" customHeight="1">
      <c r="A406" s="39">
        <v>401</v>
      </c>
      <c r="B406" s="39" t="s">
        <v>4666</v>
      </c>
      <c r="C406" s="40" t="s">
        <v>4667</v>
      </c>
      <c r="D406" s="39" t="s">
        <v>3370</v>
      </c>
      <c r="E406" s="40" t="s">
        <v>3404</v>
      </c>
      <c r="F406" s="40" t="s">
        <v>4668</v>
      </c>
      <c r="G406" s="39" t="s">
        <v>102</v>
      </c>
      <c r="H406" s="40" t="s">
        <v>1110</v>
      </c>
      <c r="I406" s="40" t="s">
        <v>104</v>
      </c>
      <c r="J406" s="50"/>
      <c r="K406" s="116">
        <f>IFERROR(VLOOKUP(B406,BD_CONTROL!$A$5:$M$4235,11,0),"")</f>
        <v>0</v>
      </c>
      <c r="L406" s="117">
        <f>IFERROR(VLOOKUP(B406,BD_CONTROL!$A$5:$M$4235,12,0),"")</f>
        <v>0</v>
      </c>
      <c r="M406" s="118">
        <f>IFERROR(VLOOKUP(B406,BD_CONTROL!$A$5:$M$4235,13,0),"")</f>
        <v>0</v>
      </c>
    </row>
    <row r="407" spans="1:13" ht="15" customHeight="1">
      <c r="A407" s="42">
        <v>402</v>
      </c>
      <c r="B407" s="42" t="s">
        <v>4669</v>
      </c>
      <c r="C407" s="43" t="s">
        <v>4670</v>
      </c>
      <c r="D407" s="42" t="s">
        <v>3370</v>
      </c>
      <c r="E407" s="43" t="s">
        <v>3517</v>
      </c>
      <c r="F407" s="43" t="s">
        <v>4160</v>
      </c>
      <c r="G407" s="42" t="s">
        <v>109</v>
      </c>
      <c r="H407" s="43" t="s">
        <v>1110</v>
      </c>
      <c r="I407" s="43" t="s">
        <v>104</v>
      </c>
      <c r="J407" s="55"/>
      <c r="K407" s="119">
        <f>IFERROR(VLOOKUP(B407,BD_CONTROL!$A$5:$M$4235,11,0),"")</f>
        <v>0</v>
      </c>
      <c r="L407" s="120">
        <f>IFERROR(VLOOKUP(B407,BD_CONTROL!$A$5:$M$4235,12,0),"")</f>
        <v>0</v>
      </c>
      <c r="M407" s="121">
        <f>IFERROR(VLOOKUP(B407,BD_CONTROL!$A$5:$M$4235,13,0),"")</f>
        <v>0</v>
      </c>
    </row>
    <row r="408" spans="1:13" ht="15" customHeight="1">
      <c r="A408" s="39">
        <v>403</v>
      </c>
      <c r="B408" s="39" t="s">
        <v>4671</v>
      </c>
      <c r="C408" s="40" t="s">
        <v>4672</v>
      </c>
      <c r="D408" s="39" t="s">
        <v>3370</v>
      </c>
      <c r="E408" s="40" t="s">
        <v>3416</v>
      </c>
      <c r="F408" s="40" t="s">
        <v>4673</v>
      </c>
      <c r="G408" s="39" t="s">
        <v>109</v>
      </c>
      <c r="H408" s="40" t="s">
        <v>1110</v>
      </c>
      <c r="I408" s="40" t="s">
        <v>104</v>
      </c>
      <c r="J408" s="50"/>
      <c r="K408" s="116" t="str">
        <f>IFERROR(VLOOKUP(B408,BD_CONTROL!$A$5:$M$4235,11,0),"")</f>
        <v>Instalado - Operando</v>
      </c>
      <c r="L408" s="117">
        <f>IFERROR(VLOOKUP(B408,BD_CONTROL!$A$5:$M$4235,12,0),"")</f>
        <v>46149</v>
      </c>
      <c r="M408" s="118">
        <f>IFERROR(VLOOKUP(B408,BD_CONTROL!$A$5:$M$4235,13,0),"")</f>
        <v>0</v>
      </c>
    </row>
    <row r="409" spans="1:13" ht="15" customHeight="1">
      <c r="A409" s="42">
        <v>404</v>
      </c>
      <c r="B409" s="42" t="s">
        <v>4677</v>
      </c>
      <c r="C409" s="43" t="s">
        <v>4678</v>
      </c>
      <c r="D409" s="42" t="s">
        <v>3370</v>
      </c>
      <c r="E409" s="43" t="s">
        <v>3416</v>
      </c>
      <c r="F409" s="43" t="s">
        <v>3416</v>
      </c>
      <c r="G409" s="42" t="s">
        <v>102</v>
      </c>
      <c r="H409" s="43" t="s">
        <v>1110</v>
      </c>
      <c r="I409" s="43" t="s">
        <v>104</v>
      </c>
      <c r="J409" s="55"/>
      <c r="K409" s="119">
        <f>IFERROR(VLOOKUP(B409,BD_CONTROL!$A$5:$M$4235,11,0),"")</f>
        <v>0</v>
      </c>
      <c r="L409" s="120">
        <f>IFERROR(VLOOKUP(B409,BD_CONTROL!$A$5:$M$4235,12,0),"")</f>
        <v>0</v>
      </c>
      <c r="M409" s="121">
        <f>IFERROR(VLOOKUP(B409,BD_CONTROL!$A$5:$M$4235,13,0),"")</f>
        <v>0</v>
      </c>
    </row>
    <row r="410" spans="1:13" ht="15" customHeight="1">
      <c r="A410" s="39">
        <v>405</v>
      </c>
      <c r="B410" s="39" t="s">
        <v>4679</v>
      </c>
      <c r="C410" s="40" t="s">
        <v>4680</v>
      </c>
      <c r="D410" s="39" t="s">
        <v>3370</v>
      </c>
      <c r="E410" s="40" t="s">
        <v>324</v>
      </c>
      <c r="F410" s="40" t="s">
        <v>4681</v>
      </c>
      <c r="G410" s="39" t="s">
        <v>109</v>
      </c>
      <c r="H410" s="40" t="s">
        <v>1110</v>
      </c>
      <c r="I410" s="40" t="s">
        <v>104</v>
      </c>
      <c r="J410" s="50"/>
      <c r="K410" s="116">
        <f>IFERROR(VLOOKUP(B410,BD_CONTROL!$A$5:$M$4235,11,0),"")</f>
        <v>0</v>
      </c>
      <c r="L410" s="117">
        <f>IFERROR(VLOOKUP(B410,BD_CONTROL!$A$5:$M$4235,12,0),"")</f>
        <v>0</v>
      </c>
      <c r="M410" s="118">
        <f>IFERROR(VLOOKUP(B410,BD_CONTROL!$A$5:$M$4235,13,0),"")</f>
        <v>0</v>
      </c>
    </row>
    <row r="411" spans="1:13" ht="15" customHeight="1">
      <c r="A411" s="42">
        <v>406</v>
      </c>
      <c r="B411" s="42" t="s">
        <v>4685</v>
      </c>
      <c r="C411" s="43" t="s">
        <v>4686</v>
      </c>
      <c r="D411" s="42" t="s">
        <v>3370</v>
      </c>
      <c r="E411" s="43" t="s">
        <v>3395</v>
      </c>
      <c r="F411" s="43" t="s">
        <v>4687</v>
      </c>
      <c r="G411" s="42" t="s">
        <v>102</v>
      </c>
      <c r="H411" s="43" t="s">
        <v>1110</v>
      </c>
      <c r="I411" s="43" t="s">
        <v>104</v>
      </c>
      <c r="J411" s="55"/>
      <c r="K411" s="119">
        <f>IFERROR(VLOOKUP(B411,BD_CONTROL!$A$5:$M$4235,11,0),"")</f>
        <v>0</v>
      </c>
      <c r="L411" s="120">
        <f>IFERROR(VLOOKUP(B411,BD_CONTROL!$A$5:$M$4235,12,0),"")</f>
        <v>0</v>
      </c>
      <c r="M411" s="121">
        <f>IFERROR(VLOOKUP(B411,BD_CONTROL!$A$5:$M$4235,13,0),"")</f>
        <v>0</v>
      </c>
    </row>
    <row r="412" spans="1:13" ht="15" customHeight="1">
      <c r="A412" s="39">
        <v>407</v>
      </c>
      <c r="B412" s="39" t="s">
        <v>7474</v>
      </c>
      <c r="C412" s="40" t="s">
        <v>6735</v>
      </c>
      <c r="D412" s="39" t="s">
        <v>1107</v>
      </c>
      <c r="E412" s="40" t="s">
        <v>1147</v>
      </c>
      <c r="F412" s="40" t="s">
        <v>1147</v>
      </c>
      <c r="G412" s="39" t="s">
        <v>6739</v>
      </c>
      <c r="H412" s="40" t="s">
        <v>1110</v>
      </c>
      <c r="I412" s="40" t="s">
        <v>6741</v>
      </c>
      <c r="J412" s="50"/>
      <c r="K412" s="116">
        <f>IFERROR(VLOOKUP(B412,BD_CONTROL!$A$5:$M$4235,11,0),"")</f>
        <v>0</v>
      </c>
      <c r="L412" s="117">
        <f>IFERROR(VLOOKUP(B412,BD_CONTROL!$A$5:$M$4235,12,0),"")</f>
        <v>0</v>
      </c>
      <c r="M412" s="118">
        <f>IFERROR(VLOOKUP(B412,BD_CONTROL!$A$5:$M$4235,13,0),"")</f>
        <v>0</v>
      </c>
    </row>
    <row r="413" spans="1:13" ht="15" customHeight="1">
      <c r="A413" s="42">
        <v>408</v>
      </c>
      <c r="B413" s="42" t="s">
        <v>7475</v>
      </c>
      <c r="C413" s="43" t="s">
        <v>6735</v>
      </c>
      <c r="D413" s="42" t="s">
        <v>1107</v>
      </c>
      <c r="E413" s="43" t="s">
        <v>1147</v>
      </c>
      <c r="F413" s="43" t="s">
        <v>1147</v>
      </c>
      <c r="G413" s="42" t="s">
        <v>6739</v>
      </c>
      <c r="H413" s="43" t="s">
        <v>1110</v>
      </c>
      <c r="I413" s="43" t="s">
        <v>6741</v>
      </c>
      <c r="J413" s="55"/>
      <c r="K413" s="119">
        <f>IFERROR(VLOOKUP(B413,BD_CONTROL!$A$5:$M$4235,11,0),"")</f>
        <v>0</v>
      </c>
      <c r="L413" s="120">
        <f>IFERROR(VLOOKUP(B413,BD_CONTROL!$A$5:$M$4235,12,0),"")</f>
        <v>0</v>
      </c>
      <c r="M413" s="121">
        <f>IFERROR(VLOOKUP(B413,BD_CONTROL!$A$5:$M$4235,13,0),"")</f>
        <v>0</v>
      </c>
    </row>
    <row r="414" spans="1:13" ht="15" customHeight="1">
      <c r="A414" s="39">
        <v>409</v>
      </c>
      <c r="B414" s="39" t="s">
        <v>7476</v>
      </c>
      <c r="C414" s="40" t="s">
        <v>6735</v>
      </c>
      <c r="D414" s="39" t="s">
        <v>1107</v>
      </c>
      <c r="E414" s="40" t="s">
        <v>1147</v>
      </c>
      <c r="F414" s="40" t="s">
        <v>1147</v>
      </c>
      <c r="G414" s="39" t="s">
        <v>6739</v>
      </c>
      <c r="H414" s="40" t="s">
        <v>1110</v>
      </c>
      <c r="I414" s="40" t="s">
        <v>6741</v>
      </c>
      <c r="J414" s="50"/>
      <c r="K414" s="116">
        <f>IFERROR(VLOOKUP(B414,BD_CONTROL!$A$5:$M$4235,11,0),"")</f>
        <v>0</v>
      </c>
      <c r="L414" s="117">
        <f>IFERROR(VLOOKUP(B414,BD_CONTROL!$A$5:$M$4235,12,0),"")</f>
        <v>0</v>
      </c>
      <c r="M414" s="118">
        <f>IFERROR(VLOOKUP(B414,BD_CONTROL!$A$5:$M$4235,13,0),"")</f>
        <v>0</v>
      </c>
    </row>
    <row r="415" spans="1:13" ht="15" customHeight="1">
      <c r="A415" s="42">
        <v>410</v>
      </c>
      <c r="B415" s="42" t="s">
        <v>7477</v>
      </c>
      <c r="C415" s="43" t="s">
        <v>6735</v>
      </c>
      <c r="D415" s="42" t="s">
        <v>1107</v>
      </c>
      <c r="E415" s="43" t="s">
        <v>1147</v>
      </c>
      <c r="F415" s="43" t="s">
        <v>1147</v>
      </c>
      <c r="G415" s="42" t="s">
        <v>6739</v>
      </c>
      <c r="H415" s="43" t="s">
        <v>1110</v>
      </c>
      <c r="I415" s="43" t="s">
        <v>6741</v>
      </c>
      <c r="J415" s="55"/>
      <c r="K415" s="119">
        <f>IFERROR(VLOOKUP(B415,BD_CONTROL!$A$5:$M$4235,11,0),"")</f>
        <v>0</v>
      </c>
      <c r="L415" s="120">
        <f>IFERROR(VLOOKUP(B415,BD_CONTROL!$A$5:$M$4235,12,0),"")</f>
        <v>0</v>
      </c>
      <c r="M415" s="121">
        <f>IFERROR(VLOOKUP(B415,BD_CONTROL!$A$5:$M$4235,13,0),"")</f>
        <v>0</v>
      </c>
    </row>
    <row r="416" spans="1:13" ht="15" customHeight="1">
      <c r="A416" s="39">
        <v>411</v>
      </c>
      <c r="B416" s="39" t="s">
        <v>7478</v>
      </c>
      <c r="C416" s="40" t="s">
        <v>6735</v>
      </c>
      <c r="D416" s="39" t="s">
        <v>1107</v>
      </c>
      <c r="E416" s="40" t="s">
        <v>1119</v>
      </c>
      <c r="F416" s="40" t="s">
        <v>1119</v>
      </c>
      <c r="G416" s="39" t="s">
        <v>6739</v>
      </c>
      <c r="H416" s="40" t="s">
        <v>1110</v>
      </c>
      <c r="I416" s="40" t="s">
        <v>6741</v>
      </c>
      <c r="J416" s="50"/>
      <c r="K416" s="116">
        <f>IFERROR(VLOOKUP(B416,BD_CONTROL!$A$5:$M$4235,11,0),"")</f>
        <v>0</v>
      </c>
      <c r="L416" s="117">
        <f>IFERROR(VLOOKUP(B416,BD_CONTROL!$A$5:$M$4235,12,0),"")</f>
        <v>0</v>
      </c>
      <c r="M416" s="118">
        <f>IFERROR(VLOOKUP(B416,BD_CONTROL!$A$5:$M$4235,13,0),"")</f>
        <v>0</v>
      </c>
    </row>
    <row r="417" spans="1:13" ht="15" customHeight="1">
      <c r="A417" s="42">
        <v>412</v>
      </c>
      <c r="B417" s="42" t="s">
        <v>7479</v>
      </c>
      <c r="C417" s="43" t="s">
        <v>6735</v>
      </c>
      <c r="D417" s="42" t="s">
        <v>1107</v>
      </c>
      <c r="E417" s="43" t="s">
        <v>1119</v>
      </c>
      <c r="F417" s="43" t="s">
        <v>1119</v>
      </c>
      <c r="G417" s="42" t="s">
        <v>6739</v>
      </c>
      <c r="H417" s="43" t="s">
        <v>1110</v>
      </c>
      <c r="I417" s="43" t="s">
        <v>6741</v>
      </c>
      <c r="J417" s="55"/>
      <c r="K417" s="119">
        <f>IFERROR(VLOOKUP(B417,BD_CONTROL!$A$5:$M$4235,11,0),"")</f>
        <v>0</v>
      </c>
      <c r="L417" s="120">
        <f>IFERROR(VLOOKUP(B417,BD_CONTROL!$A$5:$M$4235,12,0),"")</f>
        <v>0</v>
      </c>
      <c r="M417" s="121">
        <f>IFERROR(VLOOKUP(B417,BD_CONTROL!$A$5:$M$4235,13,0),"")</f>
        <v>0</v>
      </c>
    </row>
    <row r="418" spans="1:13" ht="15" customHeight="1">
      <c r="A418" s="39">
        <v>413</v>
      </c>
      <c r="B418" s="39" t="s">
        <v>7480</v>
      </c>
      <c r="C418" s="40" t="s">
        <v>6735</v>
      </c>
      <c r="D418" s="39" t="s">
        <v>1107</v>
      </c>
      <c r="E418" s="40" t="s">
        <v>1119</v>
      </c>
      <c r="F418" s="40" t="s">
        <v>1119</v>
      </c>
      <c r="G418" s="39" t="s">
        <v>6739</v>
      </c>
      <c r="H418" s="40" t="s">
        <v>1110</v>
      </c>
      <c r="I418" s="40" t="s">
        <v>6741</v>
      </c>
      <c r="J418" s="50"/>
      <c r="K418" s="116">
        <f>IFERROR(VLOOKUP(B418,BD_CONTROL!$A$5:$M$4235,11,0),"")</f>
        <v>0</v>
      </c>
      <c r="L418" s="117">
        <f>IFERROR(VLOOKUP(B418,BD_CONTROL!$A$5:$M$4235,12,0),"")</f>
        <v>0</v>
      </c>
      <c r="M418" s="118">
        <f>IFERROR(VLOOKUP(B418,BD_CONTROL!$A$5:$M$4235,13,0),"")</f>
        <v>0</v>
      </c>
    </row>
    <row r="419" spans="1:13" ht="15" customHeight="1">
      <c r="A419" s="42">
        <v>414</v>
      </c>
      <c r="B419" s="42" t="s">
        <v>7481</v>
      </c>
      <c r="C419" s="43" t="s">
        <v>6735</v>
      </c>
      <c r="D419" s="42" t="s">
        <v>1107</v>
      </c>
      <c r="E419" s="43" t="s">
        <v>1119</v>
      </c>
      <c r="F419" s="43" t="s">
        <v>1119</v>
      </c>
      <c r="G419" s="42" t="s">
        <v>6739</v>
      </c>
      <c r="H419" s="43" t="s">
        <v>1110</v>
      </c>
      <c r="I419" s="43" t="s">
        <v>6741</v>
      </c>
      <c r="J419" s="55"/>
      <c r="K419" s="119">
        <f>IFERROR(VLOOKUP(B419,BD_CONTROL!$A$5:$M$4235,11,0),"")</f>
        <v>0</v>
      </c>
      <c r="L419" s="120">
        <f>IFERROR(VLOOKUP(B419,BD_CONTROL!$A$5:$M$4235,12,0),"")</f>
        <v>0</v>
      </c>
      <c r="M419" s="121">
        <f>IFERROR(VLOOKUP(B419,BD_CONTROL!$A$5:$M$4235,13,0),"")</f>
        <v>0</v>
      </c>
    </row>
    <row r="420" spans="1:13" ht="15" customHeight="1">
      <c r="A420" s="39">
        <v>415</v>
      </c>
      <c r="B420" s="39" t="s">
        <v>7482</v>
      </c>
      <c r="C420" s="40" t="s">
        <v>6735</v>
      </c>
      <c r="D420" s="39" t="s">
        <v>1107</v>
      </c>
      <c r="E420" s="40" t="s">
        <v>1194</v>
      </c>
      <c r="F420" s="40" t="s">
        <v>1194</v>
      </c>
      <c r="G420" s="39" t="s">
        <v>6739</v>
      </c>
      <c r="H420" s="40" t="s">
        <v>1110</v>
      </c>
      <c r="I420" s="40" t="s">
        <v>6741</v>
      </c>
      <c r="J420" s="50"/>
      <c r="K420" s="116">
        <f>IFERROR(VLOOKUP(B420,BD_CONTROL!$A$5:$M$4235,11,0),"")</f>
        <v>0</v>
      </c>
      <c r="L420" s="117">
        <f>IFERROR(VLOOKUP(B420,BD_CONTROL!$A$5:$M$4235,12,0),"")</f>
        <v>0</v>
      </c>
      <c r="M420" s="118">
        <f>IFERROR(VLOOKUP(B420,BD_CONTROL!$A$5:$M$4235,13,0),"")</f>
        <v>0</v>
      </c>
    </row>
    <row r="421" spans="1:13" ht="15" customHeight="1">
      <c r="A421" s="42">
        <v>416</v>
      </c>
      <c r="B421" s="42" t="s">
        <v>7483</v>
      </c>
      <c r="C421" s="43" t="s">
        <v>6735</v>
      </c>
      <c r="D421" s="42" t="s">
        <v>1107</v>
      </c>
      <c r="E421" s="43" t="s">
        <v>1194</v>
      </c>
      <c r="F421" s="43" t="s">
        <v>1194</v>
      </c>
      <c r="G421" s="42" t="s">
        <v>6739</v>
      </c>
      <c r="H421" s="43" t="s">
        <v>1110</v>
      </c>
      <c r="I421" s="43" t="s">
        <v>6741</v>
      </c>
      <c r="J421" s="55"/>
      <c r="K421" s="119">
        <f>IFERROR(VLOOKUP(B421,BD_CONTROL!$A$5:$M$4235,11,0),"")</f>
        <v>0</v>
      </c>
      <c r="L421" s="120">
        <f>IFERROR(VLOOKUP(B421,BD_CONTROL!$A$5:$M$4235,12,0),"")</f>
        <v>0</v>
      </c>
      <c r="M421" s="121">
        <f>IFERROR(VLOOKUP(B421,BD_CONTROL!$A$5:$M$4235,13,0),"")</f>
        <v>0</v>
      </c>
    </row>
    <row r="422" spans="1:13" ht="15" customHeight="1">
      <c r="A422" s="39">
        <v>417</v>
      </c>
      <c r="B422" s="39" t="s">
        <v>7484</v>
      </c>
      <c r="C422" s="40" t="s">
        <v>6735</v>
      </c>
      <c r="D422" s="39" t="s">
        <v>1107</v>
      </c>
      <c r="E422" s="40" t="s">
        <v>1194</v>
      </c>
      <c r="F422" s="40" t="s">
        <v>1194</v>
      </c>
      <c r="G422" s="39" t="s">
        <v>6739</v>
      </c>
      <c r="H422" s="40" t="s">
        <v>1110</v>
      </c>
      <c r="I422" s="40" t="s">
        <v>6741</v>
      </c>
      <c r="J422" s="50"/>
      <c r="K422" s="116">
        <f>IFERROR(VLOOKUP(B422,BD_CONTROL!$A$5:$M$4235,11,0),"")</f>
        <v>0</v>
      </c>
      <c r="L422" s="117">
        <f>IFERROR(VLOOKUP(B422,BD_CONTROL!$A$5:$M$4235,12,0),"")</f>
        <v>0</v>
      </c>
      <c r="M422" s="118">
        <f>IFERROR(VLOOKUP(B422,BD_CONTROL!$A$5:$M$4235,13,0),"")</f>
        <v>0</v>
      </c>
    </row>
    <row r="423" spans="1:13" ht="15" customHeight="1">
      <c r="A423" s="42">
        <v>418</v>
      </c>
      <c r="B423" s="42" t="s">
        <v>7485</v>
      </c>
      <c r="C423" s="43" t="s">
        <v>6735</v>
      </c>
      <c r="D423" s="42" t="s">
        <v>1107</v>
      </c>
      <c r="E423" s="43" t="s">
        <v>1194</v>
      </c>
      <c r="F423" s="43" t="s">
        <v>1194</v>
      </c>
      <c r="G423" s="42" t="s">
        <v>6739</v>
      </c>
      <c r="H423" s="43" t="s">
        <v>1110</v>
      </c>
      <c r="I423" s="43" t="s">
        <v>6741</v>
      </c>
      <c r="J423" s="55"/>
      <c r="K423" s="119">
        <f>IFERROR(VLOOKUP(B423,BD_CONTROL!$A$5:$M$4235,11,0),"")</f>
        <v>0</v>
      </c>
      <c r="L423" s="120">
        <f>IFERROR(VLOOKUP(B423,BD_CONTROL!$A$5:$M$4235,12,0),"")</f>
        <v>0</v>
      </c>
      <c r="M423" s="121">
        <f>IFERROR(VLOOKUP(B423,BD_CONTROL!$A$5:$M$4235,13,0),"")</f>
        <v>0</v>
      </c>
    </row>
    <row r="424" spans="1:13" ht="15" customHeight="1">
      <c r="A424" s="39">
        <v>419</v>
      </c>
      <c r="B424" s="39" t="s">
        <v>7486</v>
      </c>
      <c r="C424" s="40" t="s">
        <v>6735</v>
      </c>
      <c r="D424" s="39" t="s">
        <v>1107</v>
      </c>
      <c r="E424" s="40" t="s">
        <v>1194</v>
      </c>
      <c r="F424" s="40" t="s">
        <v>1194</v>
      </c>
      <c r="G424" s="39" t="s">
        <v>6739</v>
      </c>
      <c r="H424" s="40" t="s">
        <v>1110</v>
      </c>
      <c r="I424" s="40" t="s">
        <v>6741</v>
      </c>
      <c r="J424" s="50"/>
      <c r="K424" s="116">
        <f>IFERROR(VLOOKUP(B424,BD_CONTROL!$A$5:$M$4235,11,0),"")</f>
        <v>0</v>
      </c>
      <c r="L424" s="117">
        <f>IFERROR(VLOOKUP(B424,BD_CONTROL!$A$5:$M$4235,12,0),"")</f>
        <v>0</v>
      </c>
      <c r="M424" s="118">
        <f>IFERROR(VLOOKUP(B424,BD_CONTROL!$A$5:$M$4235,13,0),"")</f>
        <v>0</v>
      </c>
    </row>
    <row r="425" spans="1:13" ht="15" customHeight="1">
      <c r="A425" s="42">
        <v>420</v>
      </c>
      <c r="B425" s="42" t="s">
        <v>7487</v>
      </c>
      <c r="C425" s="43" t="s">
        <v>6735</v>
      </c>
      <c r="D425" s="42" t="s">
        <v>1107</v>
      </c>
      <c r="E425" s="43" t="s">
        <v>1194</v>
      </c>
      <c r="F425" s="43" t="s">
        <v>1194</v>
      </c>
      <c r="G425" s="42" t="s">
        <v>6739</v>
      </c>
      <c r="H425" s="43" t="s">
        <v>1110</v>
      </c>
      <c r="I425" s="43" t="s">
        <v>6741</v>
      </c>
      <c r="J425" s="55"/>
      <c r="K425" s="119">
        <f>IFERROR(VLOOKUP(B425,BD_CONTROL!$A$5:$M$4235,11,0),"")</f>
        <v>0</v>
      </c>
      <c r="L425" s="120">
        <f>IFERROR(VLOOKUP(B425,BD_CONTROL!$A$5:$M$4235,12,0),"")</f>
        <v>0</v>
      </c>
      <c r="M425" s="121">
        <f>IFERROR(VLOOKUP(B425,BD_CONTROL!$A$5:$M$4235,13,0),"")</f>
        <v>0</v>
      </c>
    </row>
    <row r="426" spans="1:13" ht="15" customHeight="1">
      <c r="A426" s="39">
        <v>421</v>
      </c>
      <c r="B426" s="39" t="s">
        <v>7488</v>
      </c>
      <c r="C426" s="40" t="s">
        <v>6735</v>
      </c>
      <c r="D426" s="39" t="s">
        <v>1107</v>
      </c>
      <c r="E426" s="40" t="s">
        <v>1108</v>
      </c>
      <c r="F426" s="40" t="s">
        <v>1108</v>
      </c>
      <c r="G426" s="39" t="s">
        <v>6739</v>
      </c>
      <c r="H426" s="40" t="s">
        <v>1110</v>
      </c>
      <c r="I426" s="40" t="s">
        <v>6741</v>
      </c>
      <c r="J426" s="50"/>
      <c r="K426" s="116">
        <f>IFERROR(VLOOKUP(B426,BD_CONTROL!$A$5:$M$4235,11,0),"")</f>
        <v>0</v>
      </c>
      <c r="L426" s="117">
        <f>IFERROR(VLOOKUP(B426,BD_CONTROL!$A$5:$M$4235,12,0),"")</f>
        <v>0</v>
      </c>
      <c r="M426" s="118">
        <f>IFERROR(VLOOKUP(B426,BD_CONTROL!$A$5:$M$4235,13,0),"")</f>
        <v>0</v>
      </c>
    </row>
    <row r="427" spans="1:13" ht="15" customHeight="1">
      <c r="A427" s="42">
        <v>422</v>
      </c>
      <c r="B427" s="42" t="s">
        <v>7489</v>
      </c>
      <c r="C427" s="43" t="s">
        <v>6735</v>
      </c>
      <c r="D427" s="42" t="s">
        <v>1107</v>
      </c>
      <c r="E427" s="43" t="s">
        <v>1108</v>
      </c>
      <c r="F427" s="43" t="s">
        <v>1108</v>
      </c>
      <c r="G427" s="42" t="s">
        <v>6739</v>
      </c>
      <c r="H427" s="43" t="s">
        <v>1110</v>
      </c>
      <c r="I427" s="43" t="s">
        <v>6741</v>
      </c>
      <c r="J427" s="55"/>
      <c r="K427" s="119">
        <f>IFERROR(VLOOKUP(B427,BD_CONTROL!$A$5:$M$4235,11,0),"")</f>
        <v>0</v>
      </c>
      <c r="L427" s="120">
        <f>IFERROR(VLOOKUP(B427,BD_CONTROL!$A$5:$M$4235,12,0),"")</f>
        <v>0</v>
      </c>
      <c r="M427" s="121">
        <f>IFERROR(VLOOKUP(B427,BD_CONTROL!$A$5:$M$4235,13,0),"")</f>
        <v>0</v>
      </c>
    </row>
    <row r="428" spans="1:13" ht="15" customHeight="1">
      <c r="A428" s="39">
        <v>423</v>
      </c>
      <c r="B428" s="39" t="s">
        <v>7490</v>
      </c>
      <c r="C428" s="40" t="s">
        <v>6735</v>
      </c>
      <c r="D428" s="39" t="s">
        <v>1107</v>
      </c>
      <c r="E428" s="40" t="s">
        <v>1108</v>
      </c>
      <c r="F428" s="40" t="s">
        <v>1108</v>
      </c>
      <c r="G428" s="39" t="s">
        <v>6739</v>
      </c>
      <c r="H428" s="40" t="s">
        <v>1110</v>
      </c>
      <c r="I428" s="40" t="s">
        <v>6741</v>
      </c>
      <c r="J428" s="50"/>
      <c r="K428" s="116">
        <f>IFERROR(VLOOKUP(B428,BD_CONTROL!$A$5:$M$4235,11,0),"")</f>
        <v>0</v>
      </c>
      <c r="L428" s="117">
        <f>IFERROR(VLOOKUP(B428,BD_CONTROL!$A$5:$M$4235,12,0),"")</f>
        <v>0</v>
      </c>
      <c r="M428" s="118">
        <f>IFERROR(VLOOKUP(B428,BD_CONTROL!$A$5:$M$4235,13,0),"")</f>
        <v>0</v>
      </c>
    </row>
    <row r="429" spans="1:13" ht="15" customHeight="1">
      <c r="A429" s="42">
        <v>424</v>
      </c>
      <c r="B429" s="42" t="s">
        <v>7491</v>
      </c>
      <c r="C429" s="43" t="s">
        <v>6735</v>
      </c>
      <c r="D429" s="42" t="s">
        <v>1107</v>
      </c>
      <c r="E429" s="43" t="s">
        <v>1108</v>
      </c>
      <c r="F429" s="43" t="s">
        <v>1108</v>
      </c>
      <c r="G429" s="42" t="s">
        <v>6739</v>
      </c>
      <c r="H429" s="43" t="s">
        <v>1110</v>
      </c>
      <c r="I429" s="43" t="s">
        <v>6741</v>
      </c>
      <c r="J429" s="55"/>
      <c r="K429" s="119">
        <f>IFERROR(VLOOKUP(B429,BD_CONTROL!$A$5:$M$4235,11,0),"")</f>
        <v>0</v>
      </c>
      <c r="L429" s="120">
        <f>IFERROR(VLOOKUP(B429,BD_CONTROL!$A$5:$M$4235,12,0),"")</f>
        <v>0</v>
      </c>
      <c r="M429" s="121">
        <f>IFERROR(VLOOKUP(B429,BD_CONTROL!$A$5:$M$4235,13,0),"")</f>
        <v>0</v>
      </c>
    </row>
    <row r="430" spans="1:13" ht="15" customHeight="1">
      <c r="A430" s="39">
        <v>425</v>
      </c>
      <c r="B430" s="39" t="s">
        <v>7492</v>
      </c>
      <c r="C430" s="40" t="s">
        <v>6735</v>
      </c>
      <c r="D430" s="39" t="s">
        <v>1107</v>
      </c>
      <c r="E430" s="40" t="s">
        <v>1108</v>
      </c>
      <c r="F430" s="40" t="s">
        <v>1108</v>
      </c>
      <c r="G430" s="39" t="s">
        <v>6739</v>
      </c>
      <c r="H430" s="40" t="s">
        <v>1110</v>
      </c>
      <c r="I430" s="40" t="s">
        <v>6741</v>
      </c>
      <c r="J430" s="50"/>
      <c r="K430" s="116">
        <f>IFERROR(VLOOKUP(B430,BD_CONTROL!$A$5:$M$4235,11,0),"")</f>
        <v>0</v>
      </c>
      <c r="L430" s="117">
        <f>IFERROR(VLOOKUP(B430,BD_CONTROL!$A$5:$M$4235,12,0),"")</f>
        <v>0</v>
      </c>
      <c r="M430" s="118">
        <f>IFERROR(VLOOKUP(B430,BD_CONTROL!$A$5:$M$4235,13,0),"")</f>
        <v>0</v>
      </c>
    </row>
    <row r="431" spans="1:13" ht="15" customHeight="1">
      <c r="A431" s="42">
        <v>426</v>
      </c>
      <c r="B431" s="42" t="s">
        <v>7493</v>
      </c>
      <c r="C431" s="43" t="s">
        <v>6735</v>
      </c>
      <c r="D431" s="42" t="s">
        <v>1107</v>
      </c>
      <c r="E431" s="43" t="s">
        <v>1108</v>
      </c>
      <c r="F431" s="43" t="s">
        <v>1108</v>
      </c>
      <c r="G431" s="42" t="s">
        <v>6739</v>
      </c>
      <c r="H431" s="43" t="s">
        <v>1110</v>
      </c>
      <c r="I431" s="43" t="s">
        <v>6741</v>
      </c>
      <c r="J431" s="55"/>
      <c r="K431" s="119">
        <f>IFERROR(VLOOKUP(B431,BD_CONTROL!$A$5:$M$4235,11,0),"")</f>
        <v>0</v>
      </c>
      <c r="L431" s="120">
        <f>IFERROR(VLOOKUP(B431,BD_CONTROL!$A$5:$M$4235,12,0),"")</f>
        <v>0</v>
      </c>
      <c r="M431" s="121">
        <f>IFERROR(VLOOKUP(B431,BD_CONTROL!$A$5:$M$4235,13,0),"")</f>
        <v>0</v>
      </c>
    </row>
    <row r="432" spans="1:13" ht="15" customHeight="1">
      <c r="A432" s="39">
        <v>427</v>
      </c>
      <c r="B432" s="39" t="s">
        <v>7494</v>
      </c>
      <c r="C432" s="40" t="s">
        <v>6735</v>
      </c>
      <c r="D432" s="39" t="s">
        <v>1107</v>
      </c>
      <c r="E432" s="40" t="s">
        <v>1108</v>
      </c>
      <c r="F432" s="40" t="s">
        <v>1108</v>
      </c>
      <c r="G432" s="39" t="s">
        <v>6739</v>
      </c>
      <c r="H432" s="40" t="s">
        <v>1184</v>
      </c>
      <c r="I432" s="40" t="s">
        <v>6741</v>
      </c>
      <c r="J432" s="50"/>
      <c r="K432" s="116">
        <f>IFERROR(VLOOKUP(B432,BD_CONTROL!$A$5:$M$4235,11,0),"")</f>
        <v>0</v>
      </c>
      <c r="L432" s="117">
        <f>IFERROR(VLOOKUP(B432,BD_CONTROL!$A$5:$M$4235,12,0),"")</f>
        <v>0</v>
      </c>
      <c r="M432" s="118">
        <f>IFERROR(VLOOKUP(B432,BD_CONTROL!$A$5:$M$4235,13,0),"")</f>
        <v>0</v>
      </c>
    </row>
    <row r="433" spans="1:13" ht="15" customHeight="1">
      <c r="A433" s="42">
        <v>428</v>
      </c>
      <c r="B433" s="42" t="s">
        <v>7495</v>
      </c>
      <c r="C433" s="43" t="s">
        <v>6735</v>
      </c>
      <c r="D433" s="42" t="s">
        <v>1107</v>
      </c>
      <c r="E433" s="43" t="s">
        <v>1108</v>
      </c>
      <c r="F433" s="43" t="s">
        <v>1108</v>
      </c>
      <c r="G433" s="42" t="s">
        <v>6739</v>
      </c>
      <c r="H433" s="43" t="s">
        <v>1110</v>
      </c>
      <c r="I433" s="43" t="s">
        <v>6741</v>
      </c>
      <c r="J433" s="55"/>
      <c r="K433" s="119">
        <f>IFERROR(VLOOKUP(B433,BD_CONTROL!$A$5:$M$4235,11,0),"")</f>
        <v>0</v>
      </c>
      <c r="L433" s="120">
        <f>IFERROR(VLOOKUP(B433,BD_CONTROL!$A$5:$M$4235,12,0),"")</f>
        <v>0</v>
      </c>
      <c r="M433" s="121">
        <f>IFERROR(VLOOKUP(B433,BD_CONTROL!$A$5:$M$4235,13,0),"")</f>
        <v>0</v>
      </c>
    </row>
    <row r="434" spans="1:13" ht="15" customHeight="1">
      <c r="A434" s="39">
        <v>429</v>
      </c>
      <c r="B434" s="39" t="s">
        <v>7496</v>
      </c>
      <c r="C434" s="40" t="s">
        <v>6735</v>
      </c>
      <c r="D434" s="39" t="s">
        <v>1107</v>
      </c>
      <c r="E434" s="40" t="s">
        <v>1142</v>
      </c>
      <c r="F434" s="40" t="s">
        <v>1142</v>
      </c>
      <c r="G434" s="39" t="s">
        <v>6739</v>
      </c>
      <c r="H434" s="40" t="s">
        <v>1110</v>
      </c>
      <c r="I434" s="40" t="s">
        <v>6741</v>
      </c>
      <c r="J434" s="50"/>
      <c r="K434" s="116">
        <f>IFERROR(VLOOKUP(B434,BD_CONTROL!$A$5:$M$4235,11,0),"")</f>
        <v>0</v>
      </c>
      <c r="L434" s="117">
        <f>IFERROR(VLOOKUP(B434,BD_CONTROL!$A$5:$M$4235,12,0),"")</f>
        <v>0</v>
      </c>
      <c r="M434" s="118">
        <f>IFERROR(VLOOKUP(B434,BD_CONTROL!$A$5:$M$4235,13,0),"")</f>
        <v>0</v>
      </c>
    </row>
    <row r="435" spans="1:13" ht="15" customHeight="1">
      <c r="A435" s="42">
        <v>430</v>
      </c>
      <c r="B435" s="42" t="s">
        <v>7497</v>
      </c>
      <c r="C435" s="43" t="s">
        <v>6735</v>
      </c>
      <c r="D435" s="42" t="s">
        <v>1107</v>
      </c>
      <c r="E435" s="43" t="s">
        <v>1142</v>
      </c>
      <c r="F435" s="43" t="s">
        <v>1142</v>
      </c>
      <c r="G435" s="42" t="s">
        <v>6739</v>
      </c>
      <c r="H435" s="43" t="s">
        <v>1110</v>
      </c>
      <c r="I435" s="43" t="s">
        <v>6741</v>
      </c>
      <c r="J435" s="55"/>
      <c r="K435" s="119">
        <f>IFERROR(VLOOKUP(B435,BD_CONTROL!$A$5:$M$4235,11,0),"")</f>
        <v>0</v>
      </c>
      <c r="L435" s="120">
        <f>IFERROR(VLOOKUP(B435,BD_CONTROL!$A$5:$M$4235,12,0),"")</f>
        <v>0</v>
      </c>
      <c r="M435" s="121">
        <f>IFERROR(VLOOKUP(B435,BD_CONTROL!$A$5:$M$4235,13,0),"")</f>
        <v>0</v>
      </c>
    </row>
    <row r="436" spans="1:13" ht="15" customHeight="1">
      <c r="A436" s="39">
        <v>431</v>
      </c>
      <c r="B436" s="39" t="s">
        <v>7498</v>
      </c>
      <c r="C436" s="40" t="s">
        <v>6735</v>
      </c>
      <c r="D436" s="39" t="s">
        <v>1107</v>
      </c>
      <c r="E436" s="40" t="s">
        <v>1131</v>
      </c>
      <c r="F436" s="40" t="s">
        <v>1131</v>
      </c>
      <c r="G436" s="39" t="s">
        <v>6739</v>
      </c>
      <c r="H436" s="40" t="s">
        <v>1110</v>
      </c>
      <c r="I436" s="40" t="s">
        <v>6741</v>
      </c>
      <c r="J436" s="50"/>
      <c r="K436" s="116">
        <f>IFERROR(VLOOKUP(B436,BD_CONTROL!$A$5:$M$4235,11,0),"")</f>
        <v>0</v>
      </c>
      <c r="L436" s="117">
        <f>IFERROR(VLOOKUP(B436,BD_CONTROL!$A$5:$M$4235,12,0),"")</f>
        <v>0</v>
      </c>
      <c r="M436" s="118">
        <f>IFERROR(VLOOKUP(B436,BD_CONTROL!$A$5:$M$4235,13,0),"")</f>
        <v>0</v>
      </c>
    </row>
    <row r="437" spans="1:13" ht="15" customHeight="1">
      <c r="A437" s="42">
        <v>432</v>
      </c>
      <c r="B437" s="42" t="s">
        <v>7499</v>
      </c>
      <c r="C437" s="43" t="s">
        <v>6735</v>
      </c>
      <c r="D437" s="42" t="s">
        <v>1107</v>
      </c>
      <c r="E437" s="43" t="s">
        <v>1131</v>
      </c>
      <c r="F437" s="43" t="s">
        <v>1131</v>
      </c>
      <c r="G437" s="42" t="s">
        <v>6739</v>
      </c>
      <c r="H437" s="43" t="s">
        <v>1110</v>
      </c>
      <c r="I437" s="43" t="s">
        <v>6741</v>
      </c>
      <c r="J437" s="55"/>
      <c r="K437" s="119">
        <f>IFERROR(VLOOKUP(B437,BD_CONTROL!$A$5:$M$4235,11,0),"")</f>
        <v>0</v>
      </c>
      <c r="L437" s="120">
        <f>IFERROR(VLOOKUP(B437,BD_CONTROL!$A$5:$M$4235,12,0),"")</f>
        <v>0</v>
      </c>
      <c r="M437" s="121">
        <f>IFERROR(VLOOKUP(B437,BD_CONTROL!$A$5:$M$4235,13,0),"")</f>
        <v>0</v>
      </c>
    </row>
    <row r="438" spans="1:13" ht="15" customHeight="1">
      <c r="A438" s="39">
        <v>433</v>
      </c>
      <c r="B438" s="39" t="s">
        <v>7500</v>
      </c>
      <c r="C438" s="40" t="s">
        <v>6735</v>
      </c>
      <c r="D438" s="39" t="s">
        <v>1107</v>
      </c>
      <c r="E438" s="40" t="s">
        <v>1131</v>
      </c>
      <c r="F438" s="40" t="s">
        <v>1131</v>
      </c>
      <c r="G438" s="39" t="s">
        <v>6739</v>
      </c>
      <c r="H438" s="40" t="s">
        <v>1110</v>
      </c>
      <c r="I438" s="40" t="s">
        <v>6741</v>
      </c>
      <c r="J438" s="50"/>
      <c r="K438" s="116">
        <f>IFERROR(VLOOKUP(B438,BD_CONTROL!$A$5:$M$4235,11,0),"")</f>
        <v>0</v>
      </c>
      <c r="L438" s="117">
        <f>IFERROR(VLOOKUP(B438,BD_CONTROL!$A$5:$M$4235,12,0),"")</f>
        <v>0</v>
      </c>
      <c r="M438" s="118">
        <f>IFERROR(VLOOKUP(B438,BD_CONTROL!$A$5:$M$4235,13,0),"")</f>
        <v>0</v>
      </c>
    </row>
    <row r="439" spans="1:13" ht="15" customHeight="1">
      <c r="A439" s="42">
        <v>434</v>
      </c>
      <c r="B439" s="42" t="s">
        <v>7501</v>
      </c>
      <c r="C439" s="43" t="s">
        <v>6735</v>
      </c>
      <c r="D439" s="42" t="s">
        <v>1107</v>
      </c>
      <c r="E439" s="43" t="s">
        <v>1156</v>
      </c>
      <c r="F439" s="43" t="s">
        <v>1156</v>
      </c>
      <c r="G439" s="42" t="s">
        <v>6739</v>
      </c>
      <c r="H439" s="43" t="s">
        <v>1110</v>
      </c>
      <c r="I439" s="43" t="s">
        <v>6741</v>
      </c>
      <c r="J439" s="55"/>
      <c r="K439" s="119">
        <f>IFERROR(VLOOKUP(B439,BD_CONTROL!$A$5:$M$4235,11,0),"")</f>
        <v>0</v>
      </c>
      <c r="L439" s="120">
        <f>IFERROR(VLOOKUP(B439,BD_CONTROL!$A$5:$M$4235,12,0),"")</f>
        <v>0</v>
      </c>
      <c r="M439" s="121">
        <f>IFERROR(VLOOKUP(B439,BD_CONTROL!$A$5:$M$4235,13,0),"")</f>
        <v>0</v>
      </c>
    </row>
    <row r="440" spans="1:13" ht="15" customHeight="1">
      <c r="A440" s="39">
        <v>435</v>
      </c>
      <c r="B440" s="39" t="s">
        <v>7502</v>
      </c>
      <c r="C440" s="40" t="s">
        <v>6735</v>
      </c>
      <c r="D440" s="39" t="s">
        <v>1107</v>
      </c>
      <c r="E440" s="40" t="s">
        <v>1156</v>
      </c>
      <c r="F440" s="40" t="s">
        <v>1156</v>
      </c>
      <c r="G440" s="39" t="s">
        <v>6739</v>
      </c>
      <c r="H440" s="40" t="s">
        <v>1110</v>
      </c>
      <c r="I440" s="40" t="s">
        <v>6741</v>
      </c>
      <c r="J440" s="50"/>
      <c r="K440" s="116">
        <f>IFERROR(VLOOKUP(B440,BD_CONTROL!$A$5:$M$4235,11,0),"")</f>
        <v>0</v>
      </c>
      <c r="L440" s="117">
        <f>IFERROR(VLOOKUP(B440,BD_CONTROL!$A$5:$M$4235,12,0),"")</f>
        <v>0</v>
      </c>
      <c r="M440" s="118">
        <f>IFERROR(VLOOKUP(B440,BD_CONTROL!$A$5:$M$4235,13,0),"")</f>
        <v>0</v>
      </c>
    </row>
    <row r="441" spans="1:13" ht="15" customHeight="1">
      <c r="A441" s="42">
        <v>436</v>
      </c>
      <c r="B441" s="42" t="s">
        <v>7503</v>
      </c>
      <c r="C441" s="43" t="s">
        <v>6735</v>
      </c>
      <c r="D441" s="42" t="s">
        <v>1107</v>
      </c>
      <c r="E441" s="43" t="s">
        <v>1156</v>
      </c>
      <c r="F441" s="43" t="s">
        <v>1156</v>
      </c>
      <c r="G441" s="42" t="s">
        <v>6739</v>
      </c>
      <c r="H441" s="43" t="s">
        <v>1110</v>
      </c>
      <c r="I441" s="43" t="s">
        <v>6741</v>
      </c>
      <c r="J441" s="55"/>
      <c r="K441" s="119">
        <f>IFERROR(VLOOKUP(B441,BD_CONTROL!$A$5:$M$4235,11,0),"")</f>
        <v>0</v>
      </c>
      <c r="L441" s="120">
        <f>IFERROR(VLOOKUP(B441,BD_CONTROL!$A$5:$M$4235,12,0),"")</f>
        <v>0</v>
      </c>
      <c r="M441" s="121">
        <f>IFERROR(VLOOKUP(B441,BD_CONTROL!$A$5:$M$4235,13,0),"")</f>
        <v>0</v>
      </c>
    </row>
    <row r="442" spans="1:13" ht="15" customHeight="1">
      <c r="A442" s="39">
        <v>437</v>
      </c>
      <c r="B442" s="39" t="s">
        <v>7504</v>
      </c>
      <c r="C442" s="40" t="s">
        <v>6735</v>
      </c>
      <c r="D442" s="39" t="s">
        <v>1107</v>
      </c>
      <c r="E442" s="40" t="s">
        <v>1190</v>
      </c>
      <c r="F442" s="40" t="s">
        <v>7505</v>
      </c>
      <c r="G442" s="39" t="s">
        <v>6739</v>
      </c>
      <c r="H442" s="40" t="s">
        <v>1110</v>
      </c>
      <c r="I442" s="40" t="s">
        <v>6741</v>
      </c>
      <c r="J442" s="50"/>
      <c r="K442" s="116">
        <f>IFERROR(VLOOKUP(B442,BD_CONTROL!$A$5:$M$4235,11,0),"")</f>
        <v>0</v>
      </c>
      <c r="L442" s="117">
        <f>IFERROR(VLOOKUP(B442,BD_CONTROL!$A$5:$M$4235,12,0),"")</f>
        <v>0</v>
      </c>
      <c r="M442" s="118">
        <f>IFERROR(VLOOKUP(B442,BD_CONTROL!$A$5:$M$4235,13,0),"")</f>
        <v>0</v>
      </c>
    </row>
    <row r="443" spans="1:13" ht="15" customHeight="1">
      <c r="A443" s="42">
        <v>438</v>
      </c>
      <c r="B443" s="42" t="s">
        <v>7506</v>
      </c>
      <c r="C443" s="43" t="s">
        <v>6735</v>
      </c>
      <c r="D443" s="42" t="s">
        <v>1107</v>
      </c>
      <c r="E443" s="43" t="s">
        <v>1190</v>
      </c>
      <c r="F443" s="43" t="s">
        <v>7505</v>
      </c>
      <c r="G443" s="42" t="s">
        <v>6739</v>
      </c>
      <c r="H443" s="43" t="s">
        <v>1110</v>
      </c>
      <c r="I443" s="43" t="s">
        <v>6741</v>
      </c>
      <c r="J443" s="55"/>
      <c r="K443" s="119">
        <f>IFERROR(VLOOKUP(B443,BD_CONTROL!$A$5:$M$4235,11,0),"")</f>
        <v>0</v>
      </c>
      <c r="L443" s="120">
        <f>IFERROR(VLOOKUP(B443,BD_CONTROL!$A$5:$M$4235,12,0),"")</f>
        <v>0</v>
      </c>
      <c r="M443" s="121">
        <f>IFERROR(VLOOKUP(B443,BD_CONTROL!$A$5:$M$4235,13,0),"")</f>
        <v>0</v>
      </c>
    </row>
    <row r="444" spans="1:13" ht="15" customHeight="1">
      <c r="A444" s="39">
        <v>439</v>
      </c>
      <c r="B444" s="39" t="s">
        <v>7507</v>
      </c>
      <c r="C444" s="40" t="s">
        <v>6735</v>
      </c>
      <c r="D444" s="39" t="s">
        <v>1107</v>
      </c>
      <c r="E444" s="40" t="s">
        <v>4691</v>
      </c>
      <c r="F444" s="40" t="s">
        <v>4691</v>
      </c>
      <c r="G444" s="39" t="s">
        <v>6739</v>
      </c>
      <c r="H444" s="40" t="s">
        <v>1110</v>
      </c>
      <c r="I444" s="40" t="s">
        <v>6741</v>
      </c>
      <c r="J444" s="50"/>
      <c r="K444" s="116">
        <f>IFERROR(VLOOKUP(B444,BD_CONTROL!$A$5:$M$4235,11,0),"")</f>
        <v>0</v>
      </c>
      <c r="L444" s="117">
        <f>IFERROR(VLOOKUP(B444,BD_CONTROL!$A$5:$M$4235,12,0),"")</f>
        <v>0</v>
      </c>
      <c r="M444" s="118">
        <f>IFERROR(VLOOKUP(B444,BD_CONTROL!$A$5:$M$4235,13,0),"")</f>
        <v>0</v>
      </c>
    </row>
    <row r="445" spans="1:13" ht="15" customHeight="1">
      <c r="A445" s="42">
        <v>440</v>
      </c>
      <c r="B445" s="42" t="s">
        <v>7508</v>
      </c>
      <c r="C445" s="43" t="s">
        <v>6735</v>
      </c>
      <c r="D445" s="42" t="s">
        <v>1107</v>
      </c>
      <c r="E445" s="43" t="s">
        <v>4691</v>
      </c>
      <c r="F445" s="43" t="s">
        <v>4691</v>
      </c>
      <c r="G445" s="42" t="s">
        <v>6739</v>
      </c>
      <c r="H445" s="43" t="s">
        <v>1110</v>
      </c>
      <c r="I445" s="43" t="s">
        <v>6741</v>
      </c>
      <c r="J445" s="55"/>
      <c r="K445" s="119">
        <f>IFERROR(VLOOKUP(B445,BD_CONTROL!$A$5:$M$4235,11,0),"")</f>
        <v>0</v>
      </c>
      <c r="L445" s="120">
        <f>IFERROR(VLOOKUP(B445,BD_CONTROL!$A$5:$M$4235,12,0),"")</f>
        <v>0</v>
      </c>
      <c r="M445" s="121">
        <f>IFERROR(VLOOKUP(B445,BD_CONTROL!$A$5:$M$4235,13,0),"")</f>
        <v>0</v>
      </c>
    </row>
    <row r="446" spans="1:13" ht="15" customHeight="1">
      <c r="A446" s="39">
        <v>441</v>
      </c>
      <c r="B446" s="39" t="s">
        <v>7509</v>
      </c>
      <c r="C446" s="40" t="s">
        <v>6735</v>
      </c>
      <c r="D446" s="39" t="s">
        <v>1107</v>
      </c>
      <c r="E446" s="40" t="s">
        <v>4691</v>
      </c>
      <c r="F446" s="40" t="s">
        <v>4691</v>
      </c>
      <c r="G446" s="39" t="s">
        <v>6739</v>
      </c>
      <c r="H446" s="40" t="s">
        <v>1110</v>
      </c>
      <c r="I446" s="40" t="s">
        <v>6741</v>
      </c>
      <c r="J446" s="50"/>
      <c r="K446" s="116">
        <f>IFERROR(VLOOKUP(B446,BD_CONTROL!$A$5:$M$4235,11,0),"")</f>
        <v>0</v>
      </c>
      <c r="L446" s="117">
        <f>IFERROR(VLOOKUP(B446,BD_CONTROL!$A$5:$M$4235,12,0),"")</f>
        <v>0</v>
      </c>
      <c r="M446" s="118">
        <f>IFERROR(VLOOKUP(B446,BD_CONTROL!$A$5:$M$4235,13,0),"")</f>
        <v>0</v>
      </c>
    </row>
    <row r="447" spans="1:13" ht="15" customHeight="1">
      <c r="A447" s="42">
        <v>442</v>
      </c>
      <c r="B447" s="42" t="s">
        <v>7510</v>
      </c>
      <c r="C447" s="43" t="s">
        <v>6735</v>
      </c>
      <c r="D447" s="42" t="s">
        <v>1107</v>
      </c>
      <c r="E447" s="43" t="s">
        <v>4691</v>
      </c>
      <c r="F447" s="43" t="s">
        <v>4691</v>
      </c>
      <c r="G447" s="42" t="s">
        <v>6739</v>
      </c>
      <c r="H447" s="43" t="s">
        <v>1110</v>
      </c>
      <c r="I447" s="43" t="s">
        <v>6741</v>
      </c>
      <c r="J447" s="55"/>
      <c r="K447" s="119">
        <f>IFERROR(VLOOKUP(B447,BD_CONTROL!$A$5:$M$4235,11,0),"")</f>
        <v>0</v>
      </c>
      <c r="L447" s="120">
        <f>IFERROR(VLOOKUP(B447,BD_CONTROL!$A$5:$M$4235,12,0),"")</f>
        <v>0</v>
      </c>
      <c r="M447" s="121">
        <f>IFERROR(VLOOKUP(B447,BD_CONTROL!$A$5:$M$4235,13,0),"")</f>
        <v>0</v>
      </c>
    </row>
    <row r="448" spans="1:13" ht="15" customHeight="1">
      <c r="A448" s="39">
        <v>443</v>
      </c>
      <c r="B448" s="39" t="s">
        <v>7511</v>
      </c>
      <c r="C448" s="40" t="s">
        <v>6735</v>
      </c>
      <c r="D448" s="39" t="s">
        <v>1107</v>
      </c>
      <c r="E448" s="40" t="s">
        <v>1197</v>
      </c>
      <c r="F448" s="40" t="s">
        <v>1197</v>
      </c>
      <c r="G448" s="39" t="s">
        <v>6739</v>
      </c>
      <c r="H448" s="40" t="s">
        <v>1110</v>
      </c>
      <c r="I448" s="40" t="s">
        <v>6741</v>
      </c>
      <c r="J448" s="50"/>
      <c r="K448" s="116">
        <f>IFERROR(VLOOKUP(B448,BD_CONTROL!$A$5:$M$4235,11,0),"")</f>
        <v>0</v>
      </c>
      <c r="L448" s="117">
        <f>IFERROR(VLOOKUP(B448,BD_CONTROL!$A$5:$M$4235,12,0),"")</f>
        <v>0</v>
      </c>
      <c r="M448" s="118">
        <f>IFERROR(VLOOKUP(B448,BD_CONTROL!$A$5:$M$4235,13,0),"")</f>
        <v>0</v>
      </c>
    </row>
    <row r="449" spans="1:13" ht="15" customHeight="1">
      <c r="A449" s="42">
        <v>444</v>
      </c>
      <c r="B449" s="42" t="s">
        <v>7512</v>
      </c>
      <c r="C449" s="43" t="s">
        <v>6735</v>
      </c>
      <c r="D449" s="42" t="s">
        <v>1107</v>
      </c>
      <c r="E449" s="43" t="s">
        <v>1197</v>
      </c>
      <c r="F449" s="43" t="s">
        <v>1197</v>
      </c>
      <c r="G449" s="42" t="s">
        <v>6739</v>
      </c>
      <c r="H449" s="43" t="s">
        <v>1110</v>
      </c>
      <c r="I449" s="43" t="s">
        <v>6741</v>
      </c>
      <c r="J449" s="55"/>
      <c r="K449" s="119">
        <f>IFERROR(VLOOKUP(B449,BD_CONTROL!$A$5:$M$4235,11,0),"")</f>
        <v>0</v>
      </c>
      <c r="L449" s="120">
        <f>IFERROR(VLOOKUP(B449,BD_CONTROL!$A$5:$M$4235,12,0),"")</f>
        <v>0</v>
      </c>
      <c r="M449" s="121">
        <f>IFERROR(VLOOKUP(B449,BD_CONTROL!$A$5:$M$4235,13,0),"")</f>
        <v>0</v>
      </c>
    </row>
    <row r="450" spans="1:13" ht="15" customHeight="1">
      <c r="A450" s="39">
        <v>445</v>
      </c>
      <c r="B450" s="39" t="s">
        <v>7513</v>
      </c>
      <c r="C450" s="40" t="s">
        <v>6735</v>
      </c>
      <c r="D450" s="39" t="s">
        <v>1107</v>
      </c>
      <c r="E450" s="40" t="s">
        <v>1197</v>
      </c>
      <c r="F450" s="40" t="s">
        <v>7514</v>
      </c>
      <c r="G450" s="39" t="s">
        <v>6739</v>
      </c>
      <c r="H450" s="40" t="s">
        <v>1110</v>
      </c>
      <c r="I450" s="40" t="s">
        <v>6741</v>
      </c>
      <c r="J450" s="50"/>
      <c r="K450" s="116">
        <f>IFERROR(VLOOKUP(B450,BD_CONTROL!$A$5:$M$4235,11,0),"")</f>
        <v>0</v>
      </c>
      <c r="L450" s="117">
        <f>IFERROR(VLOOKUP(B450,BD_CONTROL!$A$5:$M$4235,12,0),"")</f>
        <v>0</v>
      </c>
      <c r="M450" s="118">
        <f>IFERROR(VLOOKUP(B450,BD_CONTROL!$A$5:$M$4235,13,0),"")</f>
        <v>0</v>
      </c>
    </row>
    <row r="451" spans="1:13" ht="15" customHeight="1">
      <c r="A451" s="42">
        <v>446</v>
      </c>
      <c r="B451" s="42" t="s">
        <v>7515</v>
      </c>
      <c r="C451" s="43" t="s">
        <v>6735</v>
      </c>
      <c r="D451" s="42" t="s">
        <v>1107</v>
      </c>
      <c r="E451" s="43" t="s">
        <v>1197</v>
      </c>
      <c r="F451" s="43" t="s">
        <v>1197</v>
      </c>
      <c r="G451" s="42" t="s">
        <v>6739</v>
      </c>
      <c r="H451" s="43" t="s">
        <v>1110</v>
      </c>
      <c r="I451" s="43" t="s">
        <v>6741</v>
      </c>
      <c r="J451" s="55"/>
      <c r="K451" s="119">
        <f>IFERROR(VLOOKUP(B451,BD_CONTROL!$A$5:$M$4235,11,0),"")</f>
        <v>0</v>
      </c>
      <c r="L451" s="120">
        <f>IFERROR(VLOOKUP(B451,BD_CONTROL!$A$5:$M$4235,12,0),"")</f>
        <v>0</v>
      </c>
      <c r="M451" s="121">
        <f>IFERROR(VLOOKUP(B451,BD_CONTROL!$A$5:$M$4235,13,0),"")</f>
        <v>0</v>
      </c>
    </row>
    <row r="452" spans="1:13" ht="15" customHeight="1">
      <c r="A452" s="39">
        <v>447</v>
      </c>
      <c r="B452" s="39" t="s">
        <v>7516</v>
      </c>
      <c r="C452" s="40" t="s">
        <v>6735</v>
      </c>
      <c r="D452" s="39" t="s">
        <v>1107</v>
      </c>
      <c r="E452" s="40" t="s">
        <v>1165</v>
      </c>
      <c r="F452" s="40" t="s">
        <v>1165</v>
      </c>
      <c r="G452" s="39" t="s">
        <v>6739</v>
      </c>
      <c r="H452" s="40" t="s">
        <v>1110</v>
      </c>
      <c r="I452" s="40" t="s">
        <v>6741</v>
      </c>
      <c r="J452" s="50"/>
      <c r="K452" s="116">
        <f>IFERROR(VLOOKUP(B452,BD_CONTROL!$A$5:$M$4235,11,0),"")</f>
        <v>0</v>
      </c>
      <c r="L452" s="117">
        <f>IFERROR(VLOOKUP(B452,BD_CONTROL!$A$5:$M$4235,12,0),"")</f>
        <v>0</v>
      </c>
      <c r="M452" s="118">
        <f>IFERROR(VLOOKUP(B452,BD_CONTROL!$A$5:$M$4235,13,0),"")</f>
        <v>0</v>
      </c>
    </row>
    <row r="453" spans="1:13" ht="15" customHeight="1">
      <c r="A453" s="42">
        <v>448</v>
      </c>
      <c r="B453" s="42" t="s">
        <v>7517</v>
      </c>
      <c r="C453" s="43" t="s">
        <v>6735</v>
      </c>
      <c r="D453" s="42" t="s">
        <v>1107</v>
      </c>
      <c r="E453" s="43" t="s">
        <v>1165</v>
      </c>
      <c r="F453" s="43" t="s">
        <v>1165</v>
      </c>
      <c r="G453" s="42" t="s">
        <v>6739</v>
      </c>
      <c r="H453" s="43" t="s">
        <v>1110</v>
      </c>
      <c r="I453" s="43" t="s">
        <v>6741</v>
      </c>
      <c r="J453" s="55"/>
      <c r="K453" s="119">
        <f>IFERROR(VLOOKUP(B453,BD_CONTROL!$A$5:$M$4235,11,0),"")</f>
        <v>0</v>
      </c>
      <c r="L453" s="120">
        <f>IFERROR(VLOOKUP(B453,BD_CONTROL!$A$5:$M$4235,12,0),"")</f>
        <v>0</v>
      </c>
      <c r="M453" s="121">
        <f>IFERROR(VLOOKUP(B453,BD_CONTROL!$A$5:$M$4235,13,0),"")</f>
        <v>0</v>
      </c>
    </row>
    <row r="454" spans="1:13" ht="15" customHeight="1">
      <c r="A454" s="39">
        <v>449</v>
      </c>
      <c r="B454" s="39" t="s">
        <v>7518</v>
      </c>
      <c r="C454" s="40" t="s">
        <v>6735</v>
      </c>
      <c r="D454" s="39" t="s">
        <v>1107</v>
      </c>
      <c r="E454" s="40" t="s">
        <v>1165</v>
      </c>
      <c r="F454" s="40" t="s">
        <v>1165</v>
      </c>
      <c r="G454" s="39" t="s">
        <v>6739</v>
      </c>
      <c r="H454" s="40" t="s">
        <v>1110</v>
      </c>
      <c r="I454" s="40" t="s">
        <v>6741</v>
      </c>
      <c r="J454" s="50"/>
      <c r="K454" s="116">
        <f>IFERROR(VLOOKUP(B454,BD_CONTROL!$A$5:$M$4235,11,0),"")</f>
        <v>0</v>
      </c>
      <c r="L454" s="117">
        <f>IFERROR(VLOOKUP(B454,BD_CONTROL!$A$5:$M$4235,12,0),"")</f>
        <v>0</v>
      </c>
      <c r="M454" s="118">
        <f>IFERROR(VLOOKUP(B454,BD_CONTROL!$A$5:$M$4235,13,0),"")</f>
        <v>0</v>
      </c>
    </row>
    <row r="455" spans="1:13" ht="15" customHeight="1">
      <c r="A455" s="42">
        <v>450</v>
      </c>
      <c r="B455" s="42" t="s">
        <v>7519</v>
      </c>
      <c r="C455" s="43" t="s">
        <v>6735</v>
      </c>
      <c r="D455" s="42" t="s">
        <v>1107</v>
      </c>
      <c r="E455" s="43" t="s">
        <v>1165</v>
      </c>
      <c r="F455" s="43" t="s">
        <v>1165</v>
      </c>
      <c r="G455" s="42" t="s">
        <v>6739</v>
      </c>
      <c r="H455" s="43" t="s">
        <v>1110</v>
      </c>
      <c r="I455" s="43" t="s">
        <v>6741</v>
      </c>
      <c r="J455" s="55"/>
      <c r="K455" s="119">
        <f>IFERROR(VLOOKUP(B455,BD_CONTROL!$A$5:$M$4235,11,0),"")</f>
        <v>0</v>
      </c>
      <c r="L455" s="120">
        <f>IFERROR(VLOOKUP(B455,BD_CONTROL!$A$5:$M$4235,12,0),"")</f>
        <v>0</v>
      </c>
      <c r="M455" s="121">
        <f>IFERROR(VLOOKUP(B455,BD_CONTROL!$A$5:$M$4235,13,0),"")</f>
        <v>0</v>
      </c>
    </row>
    <row r="456" spans="1:13" ht="15" customHeight="1">
      <c r="A456" s="39">
        <v>451</v>
      </c>
      <c r="B456" s="39" t="s">
        <v>7520</v>
      </c>
      <c r="C456" s="40" t="s">
        <v>6735</v>
      </c>
      <c r="D456" s="39" t="s">
        <v>1107</v>
      </c>
      <c r="E456" s="40" t="s">
        <v>1165</v>
      </c>
      <c r="F456" s="40" t="s">
        <v>1165</v>
      </c>
      <c r="G456" s="39" t="s">
        <v>6739</v>
      </c>
      <c r="H456" s="40" t="s">
        <v>1110</v>
      </c>
      <c r="I456" s="40" t="s">
        <v>6741</v>
      </c>
      <c r="J456" s="50"/>
      <c r="K456" s="116">
        <f>IFERROR(VLOOKUP(B456,BD_CONTROL!$A$5:$M$4235,11,0),"")</f>
        <v>0</v>
      </c>
      <c r="L456" s="117">
        <f>IFERROR(VLOOKUP(B456,BD_CONTROL!$A$5:$M$4235,12,0),"")</f>
        <v>0</v>
      </c>
      <c r="M456" s="118">
        <f>IFERROR(VLOOKUP(B456,BD_CONTROL!$A$5:$M$4235,13,0),"")</f>
        <v>0</v>
      </c>
    </row>
    <row r="457" spans="1:13" ht="15" customHeight="1">
      <c r="A457" s="42">
        <v>452</v>
      </c>
      <c r="B457" s="42" t="s">
        <v>7521</v>
      </c>
      <c r="C457" s="43" t="s">
        <v>6735</v>
      </c>
      <c r="D457" s="42" t="s">
        <v>1107</v>
      </c>
      <c r="E457" s="43" t="s">
        <v>1165</v>
      </c>
      <c r="F457" s="43" t="s">
        <v>7522</v>
      </c>
      <c r="G457" s="42" t="s">
        <v>6739</v>
      </c>
      <c r="H457" s="43" t="s">
        <v>1110</v>
      </c>
      <c r="I457" s="43" t="s">
        <v>6741</v>
      </c>
      <c r="J457" s="55"/>
      <c r="K457" s="119">
        <f>IFERROR(VLOOKUP(B457,BD_CONTROL!$A$5:$M$4235,11,0),"")</f>
        <v>0</v>
      </c>
      <c r="L457" s="120">
        <f>IFERROR(VLOOKUP(B457,BD_CONTROL!$A$5:$M$4235,12,0),"")</f>
        <v>0</v>
      </c>
      <c r="M457" s="121">
        <f>IFERROR(VLOOKUP(B457,BD_CONTROL!$A$5:$M$4235,13,0),"")</f>
        <v>0</v>
      </c>
    </row>
    <row r="458" spans="1:13" ht="15" customHeight="1">
      <c r="A458" s="39">
        <v>453</v>
      </c>
      <c r="B458" s="39" t="s">
        <v>7523</v>
      </c>
      <c r="C458" s="40" t="s">
        <v>6735</v>
      </c>
      <c r="D458" s="39" t="s">
        <v>1107</v>
      </c>
      <c r="E458" s="40" t="s">
        <v>1165</v>
      </c>
      <c r="F458" s="40" t="s">
        <v>7524</v>
      </c>
      <c r="G458" s="39" t="s">
        <v>6739</v>
      </c>
      <c r="H458" s="40" t="s">
        <v>1110</v>
      </c>
      <c r="I458" s="40" t="s">
        <v>6741</v>
      </c>
      <c r="J458" s="50"/>
      <c r="K458" s="116">
        <f>IFERROR(VLOOKUP(B458,BD_CONTROL!$A$5:$M$4235,11,0),"")</f>
        <v>0</v>
      </c>
      <c r="L458" s="117">
        <f>IFERROR(VLOOKUP(B458,BD_CONTROL!$A$5:$M$4235,12,0),"")</f>
        <v>0</v>
      </c>
      <c r="M458" s="118">
        <f>IFERROR(VLOOKUP(B458,BD_CONTROL!$A$5:$M$4235,13,0),"")</f>
        <v>0</v>
      </c>
    </row>
    <row r="459" spans="1:13" ht="15" customHeight="1">
      <c r="A459" s="42">
        <v>454</v>
      </c>
      <c r="B459" s="42" t="s">
        <v>7525</v>
      </c>
      <c r="C459" s="43" t="s">
        <v>6735</v>
      </c>
      <c r="D459" s="42" t="s">
        <v>1107</v>
      </c>
      <c r="E459" s="43" t="s">
        <v>1165</v>
      </c>
      <c r="F459" s="43" t="s">
        <v>1165</v>
      </c>
      <c r="G459" s="42" t="s">
        <v>6739</v>
      </c>
      <c r="H459" s="43" t="s">
        <v>1110</v>
      </c>
      <c r="I459" s="43" t="s">
        <v>6741</v>
      </c>
      <c r="J459" s="55"/>
      <c r="K459" s="119">
        <f>IFERROR(VLOOKUP(B459,BD_CONTROL!$A$5:$M$4235,11,0),"")</f>
        <v>0</v>
      </c>
      <c r="L459" s="120">
        <f>IFERROR(VLOOKUP(B459,BD_CONTROL!$A$5:$M$4235,12,0),"")</f>
        <v>0</v>
      </c>
      <c r="M459" s="121">
        <f>IFERROR(VLOOKUP(B459,BD_CONTROL!$A$5:$M$4235,13,0),"")</f>
        <v>0</v>
      </c>
    </row>
    <row r="460" spans="1:13" ht="15" customHeight="1">
      <c r="A460" s="39">
        <v>455</v>
      </c>
      <c r="B460" s="39" t="s">
        <v>7526</v>
      </c>
      <c r="C460" s="40" t="s">
        <v>6735</v>
      </c>
      <c r="D460" s="39" t="s">
        <v>1107</v>
      </c>
      <c r="E460" s="40" t="s">
        <v>1172</v>
      </c>
      <c r="F460" s="40" t="s">
        <v>1172</v>
      </c>
      <c r="G460" s="39" t="s">
        <v>6739</v>
      </c>
      <c r="H460" s="40" t="s">
        <v>1110</v>
      </c>
      <c r="I460" s="40" t="s">
        <v>6741</v>
      </c>
      <c r="J460" s="50"/>
      <c r="K460" s="116">
        <f>IFERROR(VLOOKUP(B460,BD_CONTROL!$A$5:$M$4235,11,0),"")</f>
        <v>0</v>
      </c>
      <c r="L460" s="117">
        <f>IFERROR(VLOOKUP(B460,BD_CONTROL!$A$5:$M$4235,12,0),"")</f>
        <v>0</v>
      </c>
      <c r="M460" s="118">
        <f>IFERROR(VLOOKUP(B460,BD_CONTROL!$A$5:$M$4235,13,0),"")</f>
        <v>0</v>
      </c>
    </row>
    <row r="461" spans="1:13" ht="15" customHeight="1">
      <c r="A461" s="42">
        <v>456</v>
      </c>
      <c r="B461" s="42" t="s">
        <v>7527</v>
      </c>
      <c r="C461" s="43" t="s">
        <v>6735</v>
      </c>
      <c r="D461" s="42" t="s">
        <v>1107</v>
      </c>
      <c r="E461" s="43" t="s">
        <v>1172</v>
      </c>
      <c r="F461" s="43" t="s">
        <v>1172</v>
      </c>
      <c r="G461" s="42" t="s">
        <v>6739</v>
      </c>
      <c r="H461" s="43" t="s">
        <v>1110</v>
      </c>
      <c r="I461" s="43" t="s">
        <v>6741</v>
      </c>
      <c r="J461" s="55"/>
      <c r="K461" s="119">
        <f>IFERROR(VLOOKUP(B461,BD_CONTROL!$A$5:$M$4235,11,0),"")</f>
        <v>0</v>
      </c>
      <c r="L461" s="120">
        <f>IFERROR(VLOOKUP(B461,BD_CONTROL!$A$5:$M$4235,12,0),"")</f>
        <v>0</v>
      </c>
      <c r="M461" s="121">
        <f>IFERROR(VLOOKUP(B461,BD_CONTROL!$A$5:$M$4235,13,0),"")</f>
        <v>0</v>
      </c>
    </row>
    <row r="462" spans="1:13" ht="15" customHeight="1">
      <c r="A462" s="39">
        <v>457</v>
      </c>
      <c r="B462" s="39" t="s">
        <v>7528</v>
      </c>
      <c r="C462" s="40" t="s">
        <v>6735</v>
      </c>
      <c r="D462" s="39" t="s">
        <v>1107</v>
      </c>
      <c r="E462" s="40" t="s">
        <v>1172</v>
      </c>
      <c r="F462" s="40" t="s">
        <v>1172</v>
      </c>
      <c r="G462" s="39" t="s">
        <v>6739</v>
      </c>
      <c r="H462" s="40" t="s">
        <v>1110</v>
      </c>
      <c r="I462" s="40" t="s">
        <v>6741</v>
      </c>
      <c r="J462" s="50"/>
      <c r="K462" s="116">
        <f>IFERROR(VLOOKUP(B462,BD_CONTROL!$A$5:$M$4235,11,0),"")</f>
        <v>0</v>
      </c>
      <c r="L462" s="117">
        <f>IFERROR(VLOOKUP(B462,BD_CONTROL!$A$5:$M$4235,12,0),"")</f>
        <v>0</v>
      </c>
      <c r="M462" s="118">
        <f>IFERROR(VLOOKUP(B462,BD_CONTROL!$A$5:$M$4235,13,0),"")</f>
        <v>0</v>
      </c>
    </row>
    <row r="463" spans="1:13" ht="15" customHeight="1">
      <c r="A463" s="42">
        <v>458</v>
      </c>
      <c r="B463" s="42" t="s">
        <v>7529</v>
      </c>
      <c r="C463" s="43" t="s">
        <v>6735</v>
      </c>
      <c r="D463" s="42" t="s">
        <v>1107</v>
      </c>
      <c r="E463" s="43" t="s">
        <v>1172</v>
      </c>
      <c r="F463" s="43" t="s">
        <v>1172</v>
      </c>
      <c r="G463" s="42" t="s">
        <v>6739</v>
      </c>
      <c r="H463" s="43" t="s">
        <v>1110</v>
      </c>
      <c r="I463" s="43" t="s">
        <v>6741</v>
      </c>
      <c r="J463" s="55"/>
      <c r="K463" s="119">
        <f>IFERROR(VLOOKUP(B463,BD_CONTROL!$A$5:$M$4235,11,0),"")</f>
        <v>0</v>
      </c>
      <c r="L463" s="120">
        <f>IFERROR(VLOOKUP(B463,BD_CONTROL!$A$5:$M$4235,12,0),"")</f>
        <v>0</v>
      </c>
      <c r="M463" s="121">
        <f>IFERROR(VLOOKUP(B463,BD_CONTROL!$A$5:$M$4235,13,0),"")</f>
        <v>0</v>
      </c>
    </row>
    <row r="464" spans="1:13" ht="15" customHeight="1">
      <c r="A464" s="39">
        <v>459</v>
      </c>
      <c r="B464" s="39" t="s">
        <v>7530</v>
      </c>
      <c r="C464" s="40" t="s">
        <v>6735</v>
      </c>
      <c r="D464" s="39" t="s">
        <v>1107</v>
      </c>
      <c r="E464" s="40" t="s">
        <v>1172</v>
      </c>
      <c r="F464" s="40" t="s">
        <v>1172</v>
      </c>
      <c r="G464" s="39" t="s">
        <v>6739</v>
      </c>
      <c r="H464" s="40" t="s">
        <v>1110</v>
      </c>
      <c r="I464" s="40" t="s">
        <v>6741</v>
      </c>
      <c r="J464" s="50"/>
      <c r="K464" s="116">
        <f>IFERROR(VLOOKUP(B464,BD_CONTROL!$A$5:$M$4235,11,0),"")</f>
        <v>0</v>
      </c>
      <c r="L464" s="117">
        <f>IFERROR(VLOOKUP(B464,BD_CONTROL!$A$5:$M$4235,12,0),"")</f>
        <v>0</v>
      </c>
      <c r="M464" s="118">
        <f>IFERROR(VLOOKUP(B464,BD_CONTROL!$A$5:$M$4235,13,0),"")</f>
        <v>0</v>
      </c>
    </row>
    <row r="465" spans="1:13" ht="15" customHeight="1">
      <c r="A465" s="42">
        <v>460</v>
      </c>
      <c r="B465" s="42" t="s">
        <v>7531</v>
      </c>
      <c r="C465" s="43" t="s">
        <v>6735</v>
      </c>
      <c r="D465" s="42" t="s">
        <v>1107</v>
      </c>
      <c r="E465" s="43" t="s">
        <v>1172</v>
      </c>
      <c r="F465" s="43" t="s">
        <v>1172</v>
      </c>
      <c r="G465" s="42" t="s">
        <v>6739</v>
      </c>
      <c r="H465" s="43" t="s">
        <v>1110</v>
      </c>
      <c r="I465" s="43" t="s">
        <v>6741</v>
      </c>
      <c r="J465" s="55"/>
      <c r="K465" s="119">
        <f>IFERROR(VLOOKUP(B465,BD_CONTROL!$A$5:$M$4235,11,0),"")</f>
        <v>0</v>
      </c>
      <c r="L465" s="120">
        <f>IFERROR(VLOOKUP(B465,BD_CONTROL!$A$5:$M$4235,12,0),"")</f>
        <v>0</v>
      </c>
      <c r="M465" s="121">
        <f>IFERROR(VLOOKUP(B465,BD_CONTROL!$A$5:$M$4235,13,0),"")</f>
        <v>0</v>
      </c>
    </row>
    <row r="466" spans="1:13" ht="15" customHeight="1">
      <c r="A466" s="39">
        <v>461</v>
      </c>
      <c r="B466" s="39" t="s">
        <v>7532</v>
      </c>
      <c r="C466" s="40" t="s">
        <v>6735</v>
      </c>
      <c r="D466" s="39" t="s">
        <v>1107</v>
      </c>
      <c r="E466" s="40" t="s">
        <v>725</v>
      </c>
      <c r="F466" s="40" t="s">
        <v>725</v>
      </c>
      <c r="G466" s="39" t="s">
        <v>6739</v>
      </c>
      <c r="H466" s="40" t="s">
        <v>1110</v>
      </c>
      <c r="I466" s="40" t="s">
        <v>6741</v>
      </c>
      <c r="J466" s="50"/>
      <c r="K466" s="116">
        <f>IFERROR(VLOOKUP(B466,BD_CONTROL!$A$5:$M$4235,11,0),"")</f>
        <v>0</v>
      </c>
      <c r="L466" s="117">
        <f>IFERROR(VLOOKUP(B466,BD_CONTROL!$A$5:$M$4235,12,0),"")</f>
        <v>0</v>
      </c>
      <c r="M466" s="118">
        <f>IFERROR(VLOOKUP(B466,BD_CONTROL!$A$5:$M$4235,13,0),"")</f>
        <v>0</v>
      </c>
    </row>
    <row r="467" spans="1:13" ht="15" customHeight="1">
      <c r="A467" s="42">
        <v>462</v>
      </c>
      <c r="B467" s="42" t="s">
        <v>7533</v>
      </c>
      <c r="C467" s="43" t="s">
        <v>6735</v>
      </c>
      <c r="D467" s="42" t="s">
        <v>1107</v>
      </c>
      <c r="E467" s="43" t="s">
        <v>725</v>
      </c>
      <c r="F467" s="43" t="s">
        <v>725</v>
      </c>
      <c r="G467" s="42" t="s">
        <v>6739</v>
      </c>
      <c r="H467" s="43" t="s">
        <v>1110</v>
      </c>
      <c r="I467" s="43" t="s">
        <v>6741</v>
      </c>
      <c r="J467" s="55"/>
      <c r="K467" s="119">
        <f>IFERROR(VLOOKUP(B467,BD_CONTROL!$A$5:$M$4235,11,0),"")</f>
        <v>0</v>
      </c>
      <c r="L467" s="120">
        <f>IFERROR(VLOOKUP(B467,BD_CONTROL!$A$5:$M$4235,12,0),"")</f>
        <v>0</v>
      </c>
      <c r="M467" s="121">
        <f>IFERROR(VLOOKUP(B467,BD_CONTROL!$A$5:$M$4235,13,0),"")</f>
        <v>0</v>
      </c>
    </row>
    <row r="468" spans="1:13" ht="15" customHeight="1">
      <c r="A468" s="39">
        <v>463</v>
      </c>
      <c r="B468" s="39" t="s">
        <v>7534</v>
      </c>
      <c r="C468" s="40" t="s">
        <v>6735</v>
      </c>
      <c r="D468" s="39" t="s">
        <v>1107</v>
      </c>
      <c r="E468" s="40" t="s">
        <v>745</v>
      </c>
      <c r="F468" s="40" t="s">
        <v>745</v>
      </c>
      <c r="G468" s="39" t="s">
        <v>6739</v>
      </c>
      <c r="H468" s="40" t="s">
        <v>1110</v>
      </c>
      <c r="I468" s="40" t="s">
        <v>6741</v>
      </c>
      <c r="J468" s="50"/>
      <c r="K468" s="116">
        <f>IFERROR(VLOOKUP(B468,BD_CONTROL!$A$5:$M$4235,11,0),"")</f>
        <v>0</v>
      </c>
      <c r="L468" s="117">
        <f>IFERROR(VLOOKUP(B468,BD_CONTROL!$A$5:$M$4235,12,0),"")</f>
        <v>0</v>
      </c>
      <c r="M468" s="118">
        <f>IFERROR(VLOOKUP(B468,BD_CONTROL!$A$5:$M$4235,13,0),"")</f>
        <v>0</v>
      </c>
    </row>
    <row r="469" spans="1:13" ht="15" customHeight="1">
      <c r="A469" s="42">
        <v>464</v>
      </c>
      <c r="B469" s="42" t="s">
        <v>7535</v>
      </c>
      <c r="C469" s="43" t="s">
        <v>6735</v>
      </c>
      <c r="D469" s="42" t="s">
        <v>1107</v>
      </c>
      <c r="E469" s="43" t="s">
        <v>1108</v>
      </c>
      <c r="F469" s="43" t="s">
        <v>1108</v>
      </c>
      <c r="G469" s="42" t="s">
        <v>6739</v>
      </c>
      <c r="H469" s="43" t="s">
        <v>1110</v>
      </c>
      <c r="I469" s="43" t="s">
        <v>6741</v>
      </c>
      <c r="J469" s="55"/>
      <c r="K469" s="119">
        <f>IFERROR(VLOOKUP(B469,BD_CONTROL!$A$5:$M$4235,11,0),"")</f>
        <v>0</v>
      </c>
      <c r="L469" s="120">
        <f>IFERROR(VLOOKUP(B469,BD_CONTROL!$A$5:$M$4235,12,0),"")</f>
        <v>0</v>
      </c>
      <c r="M469" s="121">
        <f>IFERROR(VLOOKUP(B469,BD_CONTROL!$A$5:$M$4235,13,0),"")</f>
        <v>0</v>
      </c>
    </row>
    <row r="470" spans="1:13" ht="15" customHeight="1">
      <c r="A470" s="39">
        <v>465</v>
      </c>
      <c r="B470" s="39" t="s">
        <v>7536</v>
      </c>
      <c r="C470" s="40" t="s">
        <v>6735</v>
      </c>
      <c r="D470" s="39" t="s">
        <v>1107</v>
      </c>
      <c r="E470" s="40" t="s">
        <v>1113</v>
      </c>
      <c r="F470" s="40" t="s">
        <v>1113</v>
      </c>
      <c r="G470" s="39" t="s">
        <v>6739</v>
      </c>
      <c r="H470" s="40" t="s">
        <v>1110</v>
      </c>
      <c r="I470" s="40" t="s">
        <v>6741</v>
      </c>
      <c r="J470" s="50"/>
      <c r="K470" s="116">
        <f>IFERROR(VLOOKUP(B470,BD_CONTROL!$A$5:$M$4235,11,0),"")</f>
        <v>0</v>
      </c>
      <c r="L470" s="117">
        <f>IFERROR(VLOOKUP(B470,BD_CONTROL!$A$5:$M$4235,12,0),"")</f>
        <v>0</v>
      </c>
      <c r="M470" s="118">
        <f>IFERROR(VLOOKUP(B470,BD_CONTROL!$A$5:$M$4235,13,0),"")</f>
        <v>0</v>
      </c>
    </row>
    <row r="471" spans="1:13" ht="15" customHeight="1">
      <c r="A471" s="42">
        <v>466</v>
      </c>
      <c r="B471" s="42" t="s">
        <v>7537</v>
      </c>
      <c r="C471" s="43" t="s">
        <v>6735</v>
      </c>
      <c r="D471" s="42" t="s">
        <v>1107</v>
      </c>
      <c r="E471" s="43" t="s">
        <v>1113</v>
      </c>
      <c r="F471" s="43" t="s">
        <v>1113</v>
      </c>
      <c r="G471" s="42" t="s">
        <v>6739</v>
      </c>
      <c r="H471" s="43" t="s">
        <v>1110</v>
      </c>
      <c r="I471" s="43" t="s">
        <v>6741</v>
      </c>
      <c r="J471" s="55"/>
      <c r="K471" s="119">
        <f>IFERROR(VLOOKUP(B471,BD_CONTROL!$A$5:$M$4235,11,0),"")</f>
        <v>0</v>
      </c>
      <c r="L471" s="120">
        <f>IFERROR(VLOOKUP(B471,BD_CONTROL!$A$5:$M$4235,12,0),"")</f>
        <v>0</v>
      </c>
      <c r="M471" s="121">
        <f>IFERROR(VLOOKUP(B471,BD_CONTROL!$A$5:$M$4235,13,0),"")</f>
        <v>0</v>
      </c>
    </row>
    <row r="472" spans="1:13" ht="15" customHeight="1">
      <c r="A472" s="39">
        <v>467</v>
      </c>
      <c r="B472" s="39" t="s">
        <v>7538</v>
      </c>
      <c r="C472" s="40" t="s">
        <v>6735</v>
      </c>
      <c r="D472" s="39" t="s">
        <v>1107</v>
      </c>
      <c r="E472" s="40" t="s">
        <v>1113</v>
      </c>
      <c r="F472" s="40" t="s">
        <v>1113</v>
      </c>
      <c r="G472" s="39" t="s">
        <v>6739</v>
      </c>
      <c r="H472" s="40" t="s">
        <v>1110</v>
      </c>
      <c r="I472" s="40" t="s">
        <v>6741</v>
      </c>
      <c r="J472" s="50"/>
      <c r="K472" s="116">
        <f>IFERROR(VLOOKUP(B472,BD_CONTROL!$A$5:$M$4235,11,0),"")</f>
        <v>0</v>
      </c>
      <c r="L472" s="117">
        <f>IFERROR(VLOOKUP(B472,BD_CONTROL!$A$5:$M$4235,12,0),"")</f>
        <v>0</v>
      </c>
      <c r="M472" s="118">
        <f>IFERROR(VLOOKUP(B472,BD_CONTROL!$A$5:$M$4235,13,0),"")</f>
        <v>0</v>
      </c>
    </row>
    <row r="473" spans="1:13" ht="15" customHeight="1">
      <c r="A473" s="42">
        <v>468</v>
      </c>
      <c r="B473" s="42" t="s">
        <v>7539</v>
      </c>
      <c r="C473" s="43" t="s">
        <v>6735</v>
      </c>
      <c r="D473" s="42" t="s">
        <v>1107</v>
      </c>
      <c r="E473" s="43" t="s">
        <v>1113</v>
      </c>
      <c r="F473" s="43" t="s">
        <v>1113</v>
      </c>
      <c r="G473" s="42" t="s">
        <v>6739</v>
      </c>
      <c r="H473" s="43" t="s">
        <v>1110</v>
      </c>
      <c r="I473" s="43" t="s">
        <v>6741</v>
      </c>
      <c r="J473" s="55"/>
      <c r="K473" s="119">
        <f>IFERROR(VLOOKUP(B473,BD_CONTROL!$A$5:$M$4235,11,0),"")</f>
        <v>0</v>
      </c>
      <c r="L473" s="120">
        <f>IFERROR(VLOOKUP(B473,BD_CONTROL!$A$5:$M$4235,12,0),"")</f>
        <v>0</v>
      </c>
      <c r="M473" s="121">
        <f>IFERROR(VLOOKUP(B473,BD_CONTROL!$A$5:$M$4235,13,0),"")</f>
        <v>0</v>
      </c>
    </row>
    <row r="474" spans="1:13" ht="15" customHeight="1">
      <c r="A474" s="39">
        <v>469</v>
      </c>
      <c r="B474" s="39" t="s">
        <v>7540</v>
      </c>
      <c r="C474" s="40" t="s">
        <v>6735</v>
      </c>
      <c r="D474" s="39" t="s">
        <v>1107</v>
      </c>
      <c r="E474" s="40" t="s">
        <v>1131</v>
      </c>
      <c r="F474" s="40" t="s">
        <v>1131</v>
      </c>
      <c r="G474" s="39" t="s">
        <v>6739</v>
      </c>
      <c r="H474" s="40" t="s">
        <v>1110</v>
      </c>
      <c r="I474" s="40" t="s">
        <v>6741</v>
      </c>
      <c r="J474" s="50"/>
      <c r="K474" s="116">
        <f>IFERROR(VLOOKUP(B474,BD_CONTROL!$A$5:$M$4235,11,0),"")</f>
        <v>0</v>
      </c>
      <c r="L474" s="117">
        <f>IFERROR(VLOOKUP(B474,BD_CONTROL!$A$5:$M$4235,12,0),"")</f>
        <v>0</v>
      </c>
      <c r="M474" s="118">
        <f>IFERROR(VLOOKUP(B474,BD_CONTROL!$A$5:$M$4235,13,0),"")</f>
        <v>0</v>
      </c>
    </row>
    <row r="475" spans="1:13" ht="15" customHeight="1">
      <c r="A475" s="42">
        <v>470</v>
      </c>
      <c r="B475" s="42" t="s">
        <v>7541</v>
      </c>
      <c r="C475" s="43" t="s">
        <v>6735</v>
      </c>
      <c r="D475" s="42" t="s">
        <v>1107</v>
      </c>
      <c r="E475" s="43" t="s">
        <v>1131</v>
      </c>
      <c r="F475" s="43" t="s">
        <v>1131</v>
      </c>
      <c r="G475" s="42" t="s">
        <v>6739</v>
      </c>
      <c r="H475" s="43" t="s">
        <v>1110</v>
      </c>
      <c r="I475" s="43" t="s">
        <v>6741</v>
      </c>
      <c r="J475" s="55"/>
      <c r="K475" s="119">
        <f>IFERROR(VLOOKUP(B475,BD_CONTROL!$A$5:$M$4235,11,0),"")</f>
        <v>0</v>
      </c>
      <c r="L475" s="120">
        <f>IFERROR(VLOOKUP(B475,BD_CONTROL!$A$5:$M$4235,12,0),"")</f>
        <v>0</v>
      </c>
      <c r="M475" s="121">
        <f>IFERROR(VLOOKUP(B475,BD_CONTROL!$A$5:$M$4235,13,0),"")</f>
        <v>0</v>
      </c>
    </row>
    <row r="476" spans="1:13" ht="15" customHeight="1">
      <c r="A476" s="39">
        <v>471</v>
      </c>
      <c r="B476" s="39" t="s">
        <v>7542</v>
      </c>
      <c r="C476" s="40" t="s">
        <v>6735</v>
      </c>
      <c r="D476" s="39" t="s">
        <v>1107</v>
      </c>
      <c r="E476" s="40" t="s">
        <v>1147</v>
      </c>
      <c r="F476" s="40" t="s">
        <v>1147</v>
      </c>
      <c r="G476" s="39" t="s">
        <v>6739</v>
      </c>
      <c r="H476" s="40" t="s">
        <v>1110</v>
      </c>
      <c r="I476" s="40" t="s">
        <v>6741</v>
      </c>
      <c r="J476" s="50"/>
      <c r="K476" s="116">
        <f>IFERROR(VLOOKUP(B476,BD_CONTROL!$A$5:$M$4235,11,0),"")</f>
        <v>0</v>
      </c>
      <c r="L476" s="117">
        <f>IFERROR(VLOOKUP(B476,BD_CONTROL!$A$5:$M$4235,12,0),"")</f>
        <v>0</v>
      </c>
      <c r="M476" s="118">
        <f>IFERROR(VLOOKUP(B476,BD_CONTROL!$A$5:$M$4235,13,0),"")</f>
        <v>0</v>
      </c>
    </row>
    <row r="477" spans="1:13" ht="15" customHeight="1">
      <c r="A477" s="42">
        <v>472</v>
      </c>
      <c r="B477" s="42" t="s">
        <v>7543</v>
      </c>
      <c r="C477" s="43" t="s">
        <v>6735</v>
      </c>
      <c r="D477" s="42" t="s">
        <v>1107</v>
      </c>
      <c r="E477" s="43" t="s">
        <v>1108</v>
      </c>
      <c r="F477" s="43" t="s">
        <v>1108</v>
      </c>
      <c r="G477" s="42" t="s">
        <v>6739</v>
      </c>
      <c r="H477" s="43" t="s">
        <v>1184</v>
      </c>
      <c r="I477" s="43" t="s">
        <v>6741</v>
      </c>
      <c r="J477" s="55"/>
      <c r="K477" s="119">
        <f>IFERROR(VLOOKUP(B477,BD_CONTROL!$A$5:$M$4235,11,0),"")</f>
        <v>0</v>
      </c>
      <c r="L477" s="120">
        <f>IFERROR(VLOOKUP(B477,BD_CONTROL!$A$5:$M$4235,12,0),"")</f>
        <v>0</v>
      </c>
      <c r="M477" s="121">
        <f>IFERROR(VLOOKUP(B477,BD_CONTROL!$A$5:$M$4235,13,0),"")</f>
        <v>0</v>
      </c>
    </row>
    <row r="478" spans="1:13" ht="15" customHeight="1">
      <c r="A478" s="39">
        <v>473</v>
      </c>
      <c r="B478" s="39" t="s">
        <v>7544</v>
      </c>
      <c r="C478" s="40" t="s">
        <v>6735</v>
      </c>
      <c r="D478" s="39" t="s">
        <v>1107</v>
      </c>
      <c r="E478" s="40" t="s">
        <v>1156</v>
      </c>
      <c r="F478" s="40" t="s">
        <v>1156</v>
      </c>
      <c r="G478" s="39" t="s">
        <v>6739</v>
      </c>
      <c r="H478" s="40" t="s">
        <v>1110</v>
      </c>
      <c r="I478" s="40" t="s">
        <v>6741</v>
      </c>
      <c r="J478" s="50"/>
      <c r="K478" s="116">
        <f>IFERROR(VLOOKUP(B478,BD_CONTROL!$A$5:$M$4235,11,0),"")</f>
        <v>0</v>
      </c>
      <c r="L478" s="117">
        <f>IFERROR(VLOOKUP(B478,BD_CONTROL!$A$5:$M$4235,12,0),"")</f>
        <v>0</v>
      </c>
      <c r="M478" s="118">
        <f>IFERROR(VLOOKUP(B478,BD_CONTROL!$A$5:$M$4235,13,0),"")</f>
        <v>0</v>
      </c>
    </row>
    <row r="479" spans="1:13" ht="15" customHeight="1">
      <c r="A479" s="42">
        <v>474</v>
      </c>
      <c r="B479" s="42" t="s">
        <v>7545</v>
      </c>
      <c r="C479" s="43" t="s">
        <v>6735</v>
      </c>
      <c r="D479" s="42" t="s">
        <v>1107</v>
      </c>
      <c r="E479" s="43" t="s">
        <v>1131</v>
      </c>
      <c r="F479" s="43" t="s">
        <v>1131</v>
      </c>
      <c r="G479" s="42" t="s">
        <v>6739</v>
      </c>
      <c r="H479" s="43" t="s">
        <v>1110</v>
      </c>
      <c r="I479" s="43" t="s">
        <v>6741</v>
      </c>
      <c r="J479" s="55"/>
      <c r="K479" s="119">
        <f>IFERROR(VLOOKUP(B479,BD_CONTROL!$A$5:$M$4235,11,0),"")</f>
        <v>0</v>
      </c>
      <c r="L479" s="120">
        <f>IFERROR(VLOOKUP(B479,BD_CONTROL!$A$5:$M$4235,12,0),"")</f>
        <v>0</v>
      </c>
      <c r="M479" s="121">
        <f>IFERROR(VLOOKUP(B479,BD_CONTROL!$A$5:$M$4235,13,0),"")</f>
        <v>0</v>
      </c>
    </row>
    <row r="480" spans="1:13" ht="15" customHeight="1">
      <c r="A480" s="39">
        <v>475</v>
      </c>
      <c r="B480" s="39" t="s">
        <v>7546</v>
      </c>
      <c r="C480" s="40" t="s">
        <v>6735</v>
      </c>
      <c r="D480" s="39" t="s">
        <v>1107</v>
      </c>
      <c r="E480" s="40" t="s">
        <v>1172</v>
      </c>
      <c r="F480" s="40" t="s">
        <v>1172</v>
      </c>
      <c r="G480" s="39" t="s">
        <v>6739</v>
      </c>
      <c r="H480" s="40" t="s">
        <v>1110</v>
      </c>
      <c r="I480" s="40" t="s">
        <v>6741</v>
      </c>
      <c r="J480" s="50"/>
      <c r="K480" s="116">
        <f>IFERROR(VLOOKUP(B480,BD_CONTROL!$A$5:$M$4235,11,0),"")</f>
        <v>0</v>
      </c>
      <c r="L480" s="117">
        <f>IFERROR(VLOOKUP(B480,BD_CONTROL!$A$5:$M$4235,12,0),"")</f>
        <v>0</v>
      </c>
      <c r="M480" s="118">
        <f>IFERROR(VLOOKUP(B480,BD_CONTROL!$A$5:$M$4235,13,0),"")</f>
        <v>0</v>
      </c>
    </row>
    <row r="481" spans="1:13" ht="15" customHeight="1">
      <c r="A481" s="42">
        <v>476</v>
      </c>
      <c r="B481" s="42" t="s">
        <v>7547</v>
      </c>
      <c r="C481" s="43" t="s">
        <v>6735</v>
      </c>
      <c r="D481" s="42" t="s">
        <v>1107</v>
      </c>
      <c r="E481" s="43" t="s">
        <v>725</v>
      </c>
      <c r="F481" s="43" t="s">
        <v>725</v>
      </c>
      <c r="G481" s="42" t="s">
        <v>6739</v>
      </c>
      <c r="H481" s="43" t="s">
        <v>1110</v>
      </c>
      <c r="I481" s="43" t="s">
        <v>6741</v>
      </c>
      <c r="J481" s="55"/>
      <c r="K481" s="119">
        <f>IFERROR(VLOOKUP(B481,BD_CONTROL!$A$5:$M$4235,11,0),"")</f>
        <v>0</v>
      </c>
      <c r="L481" s="120">
        <f>IFERROR(VLOOKUP(B481,BD_CONTROL!$A$5:$M$4235,12,0),"")</f>
        <v>0</v>
      </c>
      <c r="M481" s="121">
        <f>IFERROR(VLOOKUP(B481,BD_CONTROL!$A$5:$M$4235,13,0),"")</f>
        <v>0</v>
      </c>
    </row>
    <row r="482" spans="1:13" ht="15" customHeight="1">
      <c r="A482" s="39">
        <v>477</v>
      </c>
      <c r="B482" s="39" t="s">
        <v>7548</v>
      </c>
      <c r="C482" s="40" t="s">
        <v>6735</v>
      </c>
      <c r="D482" s="39" t="s">
        <v>1107</v>
      </c>
      <c r="E482" s="40" t="s">
        <v>1131</v>
      </c>
      <c r="F482" s="40" t="s">
        <v>1131</v>
      </c>
      <c r="G482" s="39" t="s">
        <v>6739</v>
      </c>
      <c r="H482" s="40" t="s">
        <v>1110</v>
      </c>
      <c r="I482" s="40" t="s">
        <v>6741</v>
      </c>
      <c r="J482" s="50"/>
      <c r="K482" s="116">
        <f>IFERROR(VLOOKUP(B482,BD_CONTROL!$A$5:$M$4235,11,0),"")</f>
        <v>0</v>
      </c>
      <c r="L482" s="117">
        <f>IFERROR(VLOOKUP(B482,BD_CONTROL!$A$5:$M$4235,12,0),"")</f>
        <v>0</v>
      </c>
      <c r="M482" s="118">
        <f>IFERROR(VLOOKUP(B482,BD_CONTROL!$A$5:$M$4235,13,0),"")</f>
        <v>0</v>
      </c>
    </row>
    <row r="483" spans="1:13" ht="15" customHeight="1">
      <c r="A483" s="42">
        <v>478</v>
      </c>
      <c r="B483" s="42" t="s">
        <v>7549</v>
      </c>
      <c r="C483" s="43" t="s">
        <v>6735</v>
      </c>
      <c r="D483" s="42" t="s">
        <v>1107</v>
      </c>
      <c r="E483" s="43" t="s">
        <v>1131</v>
      </c>
      <c r="F483" s="43" t="s">
        <v>1131</v>
      </c>
      <c r="G483" s="42" t="s">
        <v>6739</v>
      </c>
      <c r="H483" s="43" t="s">
        <v>1110</v>
      </c>
      <c r="I483" s="43" t="s">
        <v>6741</v>
      </c>
      <c r="J483" s="55"/>
      <c r="K483" s="119">
        <f>IFERROR(VLOOKUP(B483,BD_CONTROL!$A$5:$M$4235,11,0),"")</f>
        <v>0</v>
      </c>
      <c r="L483" s="120">
        <f>IFERROR(VLOOKUP(B483,BD_CONTROL!$A$5:$M$4235,12,0),"")</f>
        <v>0</v>
      </c>
      <c r="M483" s="121">
        <f>IFERROR(VLOOKUP(B483,BD_CONTROL!$A$5:$M$4235,13,0),"")</f>
        <v>0</v>
      </c>
    </row>
    <row r="484" spans="1:13" ht="15" customHeight="1">
      <c r="A484" s="39">
        <v>479</v>
      </c>
      <c r="B484" s="39" t="s">
        <v>7550</v>
      </c>
      <c r="C484" s="40" t="s">
        <v>6735</v>
      </c>
      <c r="D484" s="39" t="s">
        <v>1107</v>
      </c>
      <c r="E484" s="40" t="s">
        <v>4691</v>
      </c>
      <c r="F484" s="40" t="s">
        <v>4691</v>
      </c>
      <c r="G484" s="39" t="s">
        <v>6739</v>
      </c>
      <c r="H484" s="40" t="s">
        <v>1110</v>
      </c>
      <c r="I484" s="40" t="s">
        <v>6741</v>
      </c>
      <c r="J484" s="50"/>
      <c r="K484" s="116">
        <f>IFERROR(VLOOKUP(B484,BD_CONTROL!$A$5:$M$4235,11,0),"")</f>
        <v>0</v>
      </c>
      <c r="L484" s="117">
        <f>IFERROR(VLOOKUP(B484,BD_CONTROL!$A$5:$M$4235,12,0),"")</f>
        <v>0</v>
      </c>
      <c r="M484" s="118">
        <f>IFERROR(VLOOKUP(B484,BD_CONTROL!$A$5:$M$4235,13,0),"")</f>
        <v>0</v>
      </c>
    </row>
    <row r="485" spans="1:13" ht="15" customHeight="1">
      <c r="A485" s="42">
        <v>480</v>
      </c>
      <c r="B485" s="42" t="s">
        <v>7551</v>
      </c>
      <c r="C485" s="43" t="s">
        <v>6735</v>
      </c>
      <c r="D485" s="42" t="s">
        <v>1107</v>
      </c>
      <c r="E485" s="43" t="s">
        <v>1131</v>
      </c>
      <c r="F485" s="43" t="s">
        <v>1131</v>
      </c>
      <c r="G485" s="42" t="s">
        <v>6739</v>
      </c>
      <c r="H485" s="43" t="s">
        <v>1110</v>
      </c>
      <c r="I485" s="43" t="s">
        <v>6741</v>
      </c>
      <c r="J485" s="55"/>
      <c r="K485" s="119">
        <f>IFERROR(VLOOKUP(B485,BD_CONTROL!$A$5:$M$4235,11,0),"")</f>
        <v>0</v>
      </c>
      <c r="L485" s="120">
        <f>IFERROR(VLOOKUP(B485,BD_CONTROL!$A$5:$M$4235,12,0),"")</f>
        <v>0</v>
      </c>
      <c r="M485" s="121">
        <f>IFERROR(VLOOKUP(B485,BD_CONTROL!$A$5:$M$4235,13,0),"")</f>
        <v>0</v>
      </c>
    </row>
    <row r="486" spans="1:13" ht="15" customHeight="1">
      <c r="A486" s="39">
        <v>481</v>
      </c>
      <c r="B486" s="39" t="s">
        <v>7552</v>
      </c>
      <c r="C486" s="40" t="s">
        <v>6735</v>
      </c>
      <c r="D486" s="39" t="s">
        <v>1107</v>
      </c>
      <c r="E486" s="40" t="s">
        <v>1156</v>
      </c>
      <c r="F486" s="40" t="s">
        <v>1156</v>
      </c>
      <c r="G486" s="39" t="s">
        <v>6739</v>
      </c>
      <c r="H486" s="40" t="s">
        <v>1110</v>
      </c>
      <c r="I486" s="40" t="s">
        <v>6741</v>
      </c>
      <c r="J486" s="50"/>
      <c r="K486" s="116">
        <f>IFERROR(VLOOKUP(B486,BD_CONTROL!$A$5:$M$4235,11,0),"")</f>
        <v>0</v>
      </c>
      <c r="L486" s="117">
        <f>IFERROR(VLOOKUP(B486,BD_CONTROL!$A$5:$M$4235,12,0),"")</f>
        <v>0</v>
      </c>
      <c r="M486" s="118">
        <f>IFERROR(VLOOKUP(B486,BD_CONTROL!$A$5:$M$4235,13,0),"")</f>
        <v>0</v>
      </c>
    </row>
    <row r="487" spans="1:13" ht="15" customHeight="1">
      <c r="A487" s="42">
        <v>482</v>
      </c>
      <c r="B487" s="42" t="s">
        <v>7553</v>
      </c>
      <c r="C487" s="43" t="s">
        <v>6735</v>
      </c>
      <c r="D487" s="42" t="s">
        <v>1107</v>
      </c>
      <c r="E487" s="43" t="s">
        <v>1165</v>
      </c>
      <c r="F487" s="43" t="s">
        <v>7524</v>
      </c>
      <c r="G487" s="42" t="s">
        <v>6739</v>
      </c>
      <c r="H487" s="43" t="s">
        <v>1110</v>
      </c>
      <c r="I487" s="43" t="s">
        <v>6741</v>
      </c>
      <c r="J487" s="55"/>
      <c r="K487" s="119">
        <f>IFERROR(VLOOKUP(B487,BD_CONTROL!$A$5:$M$4235,11,0),"")</f>
        <v>0</v>
      </c>
      <c r="L487" s="120">
        <f>IFERROR(VLOOKUP(B487,BD_CONTROL!$A$5:$M$4235,12,0),"")</f>
        <v>0</v>
      </c>
      <c r="M487" s="121">
        <f>IFERROR(VLOOKUP(B487,BD_CONTROL!$A$5:$M$4235,13,0),"")</f>
        <v>0</v>
      </c>
    </row>
    <row r="488" spans="1:13" ht="15" customHeight="1">
      <c r="A488" s="39">
        <v>483</v>
      </c>
      <c r="B488" s="39" t="s">
        <v>7554</v>
      </c>
      <c r="C488" s="40" t="s">
        <v>6735</v>
      </c>
      <c r="D488" s="39" t="s">
        <v>1107</v>
      </c>
      <c r="E488" s="40" t="s">
        <v>1131</v>
      </c>
      <c r="F488" s="40" t="s">
        <v>1131</v>
      </c>
      <c r="G488" s="39" t="s">
        <v>6739</v>
      </c>
      <c r="H488" s="40" t="s">
        <v>1110</v>
      </c>
      <c r="I488" s="40" t="s">
        <v>6741</v>
      </c>
      <c r="J488" s="50"/>
      <c r="K488" s="116">
        <f>IFERROR(VLOOKUP(B488,BD_CONTROL!$A$5:$M$4235,11,0),"")</f>
        <v>0</v>
      </c>
      <c r="L488" s="117">
        <f>IFERROR(VLOOKUP(B488,BD_CONTROL!$A$5:$M$4235,12,0),"")</f>
        <v>0</v>
      </c>
      <c r="M488" s="118">
        <f>IFERROR(VLOOKUP(B488,BD_CONTROL!$A$5:$M$4235,13,0),"")</f>
        <v>0</v>
      </c>
    </row>
    <row r="489" spans="1:13" ht="15" customHeight="1">
      <c r="A489" s="42">
        <v>484</v>
      </c>
      <c r="B489" s="42" t="s">
        <v>7555</v>
      </c>
      <c r="C489" s="43" t="s">
        <v>6735</v>
      </c>
      <c r="D489" s="42" t="s">
        <v>1107</v>
      </c>
      <c r="E489" s="43" t="s">
        <v>1194</v>
      </c>
      <c r="F489" s="43" t="s">
        <v>7556</v>
      </c>
      <c r="G489" s="42" t="s">
        <v>6739</v>
      </c>
      <c r="H489" s="43" t="s">
        <v>1110</v>
      </c>
      <c r="I489" s="43" t="s">
        <v>6741</v>
      </c>
      <c r="J489" s="55"/>
      <c r="K489" s="119">
        <f>IFERROR(VLOOKUP(B489,BD_CONTROL!$A$5:$M$4235,11,0),"")</f>
        <v>0</v>
      </c>
      <c r="L489" s="120">
        <f>IFERROR(VLOOKUP(B489,BD_CONTROL!$A$5:$M$4235,12,0),"")</f>
        <v>0</v>
      </c>
      <c r="M489" s="121">
        <f>IFERROR(VLOOKUP(B489,BD_CONTROL!$A$5:$M$4235,13,0),"")</f>
        <v>0</v>
      </c>
    </row>
    <row r="490" spans="1:13" ht="15" customHeight="1">
      <c r="A490" s="39">
        <v>485</v>
      </c>
      <c r="B490" s="39" t="s">
        <v>7557</v>
      </c>
      <c r="C490" s="40" t="s">
        <v>6735</v>
      </c>
      <c r="D490" s="39" t="s">
        <v>1107</v>
      </c>
      <c r="E490" s="40" t="s">
        <v>1197</v>
      </c>
      <c r="F490" s="40" t="s">
        <v>1197</v>
      </c>
      <c r="G490" s="39" t="s">
        <v>6739</v>
      </c>
      <c r="H490" s="40" t="s">
        <v>1110</v>
      </c>
      <c r="I490" s="40" t="s">
        <v>6741</v>
      </c>
      <c r="J490" s="50"/>
      <c r="K490" s="116">
        <f>IFERROR(VLOOKUP(B490,BD_CONTROL!$A$5:$M$4235,11,0),"")</f>
        <v>0</v>
      </c>
      <c r="L490" s="117">
        <f>IFERROR(VLOOKUP(B490,BD_CONTROL!$A$5:$M$4235,12,0),"")</f>
        <v>0</v>
      </c>
      <c r="M490" s="118">
        <f>IFERROR(VLOOKUP(B490,BD_CONTROL!$A$5:$M$4235,13,0),"")</f>
        <v>0</v>
      </c>
    </row>
    <row r="491" spans="1:13" ht="15" customHeight="1">
      <c r="A491" s="42">
        <v>486</v>
      </c>
      <c r="B491" s="42" t="s">
        <v>7558</v>
      </c>
      <c r="C491" s="43" t="s">
        <v>6735</v>
      </c>
      <c r="D491" s="42" t="s">
        <v>1107</v>
      </c>
      <c r="E491" s="43" t="s">
        <v>4691</v>
      </c>
      <c r="F491" s="43" t="s">
        <v>4691</v>
      </c>
      <c r="G491" s="42" t="s">
        <v>6739</v>
      </c>
      <c r="H491" s="43" t="s">
        <v>1110</v>
      </c>
      <c r="I491" s="43" t="s">
        <v>6741</v>
      </c>
      <c r="J491" s="55"/>
      <c r="K491" s="119">
        <f>IFERROR(VLOOKUP(B491,BD_CONTROL!$A$5:$M$4235,11,0),"")</f>
        <v>0</v>
      </c>
      <c r="L491" s="120">
        <f>IFERROR(VLOOKUP(B491,BD_CONTROL!$A$5:$M$4235,12,0),"")</f>
        <v>0</v>
      </c>
      <c r="M491" s="121">
        <f>IFERROR(VLOOKUP(B491,BD_CONTROL!$A$5:$M$4235,13,0),"")</f>
        <v>0</v>
      </c>
    </row>
    <row r="492" spans="1:13" ht="15" customHeight="1">
      <c r="A492" s="39">
        <v>487</v>
      </c>
      <c r="B492" s="39" t="s">
        <v>7559</v>
      </c>
      <c r="C492" s="40" t="s">
        <v>6735</v>
      </c>
      <c r="D492" s="39" t="s">
        <v>1107</v>
      </c>
      <c r="E492" s="40" t="s">
        <v>1108</v>
      </c>
      <c r="F492" s="40" t="s">
        <v>1108</v>
      </c>
      <c r="G492" s="39" t="s">
        <v>6739</v>
      </c>
      <c r="H492" s="40" t="s">
        <v>1184</v>
      </c>
      <c r="I492" s="40" t="s">
        <v>6741</v>
      </c>
      <c r="J492" s="50"/>
      <c r="K492" s="116">
        <f>IFERROR(VLOOKUP(B492,BD_CONTROL!$A$5:$M$4235,11,0),"")</f>
        <v>0</v>
      </c>
      <c r="L492" s="117">
        <f>IFERROR(VLOOKUP(B492,BD_CONTROL!$A$5:$M$4235,12,0),"")</f>
        <v>0</v>
      </c>
      <c r="M492" s="118">
        <f>IFERROR(VLOOKUP(B492,BD_CONTROL!$A$5:$M$4235,13,0),"")</f>
        <v>0</v>
      </c>
    </row>
    <row r="493" spans="1:13" ht="15" customHeight="1">
      <c r="A493" s="42">
        <v>488</v>
      </c>
      <c r="B493" s="42" t="s">
        <v>7560</v>
      </c>
      <c r="C493" s="43" t="s">
        <v>6735</v>
      </c>
      <c r="D493" s="42" t="s">
        <v>1107</v>
      </c>
      <c r="E493" s="43" t="s">
        <v>1142</v>
      </c>
      <c r="F493" s="43" t="s">
        <v>1142</v>
      </c>
      <c r="G493" s="42" t="s">
        <v>6739</v>
      </c>
      <c r="H493" s="43" t="s">
        <v>1110</v>
      </c>
      <c r="I493" s="43" t="s">
        <v>6741</v>
      </c>
      <c r="J493" s="55"/>
      <c r="K493" s="119">
        <f>IFERROR(VLOOKUP(B493,BD_CONTROL!$A$5:$M$4235,11,0),"")</f>
        <v>0</v>
      </c>
      <c r="L493" s="120">
        <f>IFERROR(VLOOKUP(B493,BD_CONTROL!$A$5:$M$4235,12,0),"")</f>
        <v>0</v>
      </c>
      <c r="M493" s="121">
        <f>IFERROR(VLOOKUP(B493,BD_CONTROL!$A$5:$M$4235,13,0),"")</f>
        <v>0</v>
      </c>
    </row>
    <row r="494" spans="1:13" ht="15" customHeight="1">
      <c r="A494" s="39">
        <v>489</v>
      </c>
      <c r="B494" s="39" t="s">
        <v>7561</v>
      </c>
      <c r="C494" s="40" t="s">
        <v>6735</v>
      </c>
      <c r="D494" s="39" t="s">
        <v>1107</v>
      </c>
      <c r="E494" s="40" t="s">
        <v>1156</v>
      </c>
      <c r="F494" s="40" t="s">
        <v>1156</v>
      </c>
      <c r="G494" s="39" t="s">
        <v>6739</v>
      </c>
      <c r="H494" s="40" t="s">
        <v>1110</v>
      </c>
      <c r="I494" s="40" t="s">
        <v>6741</v>
      </c>
      <c r="J494" s="50"/>
      <c r="K494" s="116">
        <f>IFERROR(VLOOKUP(B494,BD_CONTROL!$A$5:$M$4235,11,0),"")</f>
        <v>0</v>
      </c>
      <c r="L494" s="117">
        <f>IFERROR(VLOOKUP(B494,BD_CONTROL!$A$5:$M$4235,12,0),"")</f>
        <v>0</v>
      </c>
      <c r="M494" s="118">
        <f>IFERROR(VLOOKUP(B494,BD_CONTROL!$A$5:$M$4235,13,0),"")</f>
        <v>0</v>
      </c>
    </row>
    <row r="495" spans="1:13" ht="15" customHeight="1">
      <c r="A495" s="42">
        <v>490</v>
      </c>
      <c r="B495" s="42" t="s">
        <v>7562</v>
      </c>
      <c r="C495" s="43" t="s">
        <v>6735</v>
      </c>
      <c r="D495" s="42" t="s">
        <v>1107</v>
      </c>
      <c r="E495" s="43" t="s">
        <v>1156</v>
      </c>
      <c r="F495" s="43" t="s">
        <v>1156</v>
      </c>
      <c r="G495" s="42" t="s">
        <v>6739</v>
      </c>
      <c r="H495" s="43" t="s">
        <v>1110</v>
      </c>
      <c r="I495" s="43" t="s">
        <v>6741</v>
      </c>
      <c r="J495" s="55"/>
      <c r="K495" s="119">
        <f>IFERROR(VLOOKUP(B495,BD_CONTROL!$A$5:$M$4235,11,0),"")</f>
        <v>0</v>
      </c>
      <c r="L495" s="120">
        <f>IFERROR(VLOOKUP(B495,BD_CONTROL!$A$5:$M$4235,12,0),"")</f>
        <v>0</v>
      </c>
      <c r="M495" s="121">
        <f>IFERROR(VLOOKUP(B495,BD_CONTROL!$A$5:$M$4235,13,0),"")</f>
        <v>0</v>
      </c>
    </row>
    <row r="496" spans="1:13" ht="15" customHeight="1">
      <c r="A496" s="39">
        <v>491</v>
      </c>
      <c r="B496" s="39" t="s">
        <v>7563</v>
      </c>
      <c r="C496" s="40" t="s">
        <v>6735</v>
      </c>
      <c r="D496" s="39" t="s">
        <v>1107</v>
      </c>
      <c r="E496" s="40" t="s">
        <v>1172</v>
      </c>
      <c r="F496" s="40" t="s">
        <v>1172</v>
      </c>
      <c r="G496" s="39" t="s">
        <v>6739</v>
      </c>
      <c r="H496" s="40" t="s">
        <v>1110</v>
      </c>
      <c r="I496" s="40" t="s">
        <v>6741</v>
      </c>
      <c r="J496" s="50"/>
      <c r="K496" s="116">
        <f>IFERROR(VLOOKUP(B496,BD_CONTROL!$A$5:$M$4235,11,0),"")</f>
        <v>0</v>
      </c>
      <c r="L496" s="117">
        <f>IFERROR(VLOOKUP(B496,BD_CONTROL!$A$5:$M$4235,12,0),"")</f>
        <v>0</v>
      </c>
      <c r="M496" s="118">
        <f>IFERROR(VLOOKUP(B496,BD_CONTROL!$A$5:$M$4235,13,0),"")</f>
        <v>0</v>
      </c>
    </row>
    <row r="497" spans="1:13" ht="15" customHeight="1">
      <c r="A497" s="42">
        <v>492</v>
      </c>
      <c r="B497" s="42" t="s">
        <v>7564</v>
      </c>
      <c r="C497" s="43" t="s">
        <v>6735</v>
      </c>
      <c r="D497" s="42" t="s">
        <v>1107</v>
      </c>
      <c r="E497" s="43" t="s">
        <v>745</v>
      </c>
      <c r="F497" s="43" t="s">
        <v>745</v>
      </c>
      <c r="G497" s="42" t="s">
        <v>6739</v>
      </c>
      <c r="H497" s="43" t="s">
        <v>1110</v>
      </c>
      <c r="I497" s="43" t="s">
        <v>6741</v>
      </c>
      <c r="J497" s="55"/>
      <c r="K497" s="119">
        <f>IFERROR(VLOOKUP(B497,BD_CONTROL!$A$5:$M$4235,11,0),"")</f>
        <v>0</v>
      </c>
      <c r="L497" s="120">
        <f>IFERROR(VLOOKUP(B497,BD_CONTROL!$A$5:$M$4235,12,0),"")</f>
        <v>0</v>
      </c>
      <c r="M497" s="121">
        <f>IFERROR(VLOOKUP(B497,BD_CONTROL!$A$5:$M$4235,13,0),"")</f>
        <v>0</v>
      </c>
    </row>
    <row r="498" spans="1:13" ht="15" customHeight="1">
      <c r="A498" s="39">
        <v>493</v>
      </c>
      <c r="B498" s="39" t="s">
        <v>7565</v>
      </c>
      <c r="C498" s="40" t="s">
        <v>6735</v>
      </c>
      <c r="D498" s="39" t="s">
        <v>1107</v>
      </c>
      <c r="E498" s="40" t="s">
        <v>1172</v>
      </c>
      <c r="F498" s="40" t="s">
        <v>1172</v>
      </c>
      <c r="G498" s="39" t="s">
        <v>6739</v>
      </c>
      <c r="H498" s="40" t="s">
        <v>1110</v>
      </c>
      <c r="I498" s="40" t="s">
        <v>6741</v>
      </c>
      <c r="J498" s="50"/>
      <c r="K498" s="116">
        <f>IFERROR(VLOOKUP(B498,BD_CONTROL!$A$5:$M$4235,11,0),"")</f>
        <v>0</v>
      </c>
      <c r="L498" s="117">
        <f>IFERROR(VLOOKUP(B498,BD_CONTROL!$A$5:$M$4235,12,0),"")</f>
        <v>0</v>
      </c>
      <c r="M498" s="118">
        <f>IFERROR(VLOOKUP(B498,BD_CONTROL!$A$5:$M$4235,13,0),"")</f>
        <v>0</v>
      </c>
    </row>
    <row r="499" spans="1:13" ht="15" customHeight="1">
      <c r="A499" s="42">
        <v>494</v>
      </c>
      <c r="B499" s="42" t="s">
        <v>7566</v>
      </c>
      <c r="C499" s="43" t="s">
        <v>6735</v>
      </c>
      <c r="D499" s="42" t="s">
        <v>1107</v>
      </c>
      <c r="E499" s="43" t="s">
        <v>1172</v>
      </c>
      <c r="F499" s="43" t="s">
        <v>1172</v>
      </c>
      <c r="G499" s="42" t="s">
        <v>6739</v>
      </c>
      <c r="H499" s="43" t="s">
        <v>1110</v>
      </c>
      <c r="I499" s="43" t="s">
        <v>6741</v>
      </c>
      <c r="J499" s="55"/>
      <c r="K499" s="119">
        <f>IFERROR(VLOOKUP(B499,BD_CONTROL!$A$5:$M$4235,11,0),"")</f>
        <v>0</v>
      </c>
      <c r="L499" s="120">
        <f>IFERROR(VLOOKUP(B499,BD_CONTROL!$A$5:$M$4235,12,0),"")</f>
        <v>0</v>
      </c>
      <c r="M499" s="121">
        <f>IFERROR(VLOOKUP(B499,BD_CONTROL!$A$5:$M$4235,13,0),"")</f>
        <v>0</v>
      </c>
    </row>
    <row r="500" spans="1:13" ht="15" customHeight="1">
      <c r="A500" s="39">
        <v>495</v>
      </c>
      <c r="B500" s="39" t="s">
        <v>7567</v>
      </c>
      <c r="C500" s="40" t="s">
        <v>6735</v>
      </c>
      <c r="D500" s="39" t="s">
        <v>1107</v>
      </c>
      <c r="E500" s="40" t="s">
        <v>1190</v>
      </c>
      <c r="F500" s="40" t="s">
        <v>7568</v>
      </c>
      <c r="G500" s="39" t="s">
        <v>6739</v>
      </c>
      <c r="H500" s="40" t="s">
        <v>1110</v>
      </c>
      <c r="I500" s="40" t="s">
        <v>6741</v>
      </c>
      <c r="J500" s="50"/>
      <c r="K500" s="116">
        <f>IFERROR(VLOOKUP(B500,BD_CONTROL!$A$5:$M$4235,11,0),"")</f>
        <v>0</v>
      </c>
      <c r="L500" s="117">
        <f>IFERROR(VLOOKUP(B500,BD_CONTROL!$A$5:$M$4235,12,0),"")</f>
        <v>0</v>
      </c>
      <c r="M500" s="118">
        <f>IFERROR(VLOOKUP(B500,BD_CONTROL!$A$5:$M$4235,13,0),"")</f>
        <v>0</v>
      </c>
    </row>
    <row r="501" spans="1:13" ht="15" customHeight="1">
      <c r="A501" s="42">
        <v>496</v>
      </c>
      <c r="B501" s="42" t="s">
        <v>7569</v>
      </c>
      <c r="C501" s="43" t="s">
        <v>6735</v>
      </c>
      <c r="D501" s="42" t="s">
        <v>1107</v>
      </c>
      <c r="E501" s="43" t="s">
        <v>1131</v>
      </c>
      <c r="F501" s="43" t="s">
        <v>1131</v>
      </c>
      <c r="G501" s="42" t="s">
        <v>6739</v>
      </c>
      <c r="H501" s="43" t="s">
        <v>1110</v>
      </c>
      <c r="I501" s="43" t="s">
        <v>6741</v>
      </c>
      <c r="J501" s="55"/>
      <c r="K501" s="119">
        <f>IFERROR(VLOOKUP(B501,BD_CONTROL!$A$5:$M$4235,11,0),"")</f>
        <v>0</v>
      </c>
      <c r="L501" s="120">
        <f>IFERROR(VLOOKUP(B501,BD_CONTROL!$A$5:$M$4235,12,0),"")</f>
        <v>0</v>
      </c>
      <c r="M501" s="121">
        <f>IFERROR(VLOOKUP(B501,BD_CONTROL!$A$5:$M$4235,13,0),"")</f>
        <v>0</v>
      </c>
    </row>
    <row r="502" spans="1:13" ht="15" customHeight="1">
      <c r="A502" s="39">
        <v>497</v>
      </c>
      <c r="B502" s="39" t="s">
        <v>7571</v>
      </c>
      <c r="C502" s="40" t="s">
        <v>6735</v>
      </c>
      <c r="D502" s="39" t="s">
        <v>553</v>
      </c>
      <c r="E502" s="40" t="s">
        <v>7572</v>
      </c>
      <c r="F502" s="40" t="s">
        <v>7572</v>
      </c>
      <c r="G502" s="39" t="s">
        <v>6739</v>
      </c>
      <c r="H502" s="40" t="s">
        <v>1184</v>
      </c>
      <c r="I502" s="40" t="s">
        <v>6741</v>
      </c>
      <c r="J502" s="50"/>
      <c r="K502" s="116">
        <f>IFERROR(VLOOKUP(B502,BD_CONTROL!$A$5:$M$4235,11,0),"")</f>
        <v>0</v>
      </c>
      <c r="L502" s="117">
        <f>IFERROR(VLOOKUP(B502,BD_CONTROL!$A$5:$M$4235,12,0),"")</f>
        <v>0</v>
      </c>
      <c r="M502" s="118">
        <f>IFERROR(VLOOKUP(B502,BD_CONTROL!$A$5:$M$4235,13,0),"")</f>
        <v>0</v>
      </c>
    </row>
    <row r="503" spans="1:13" ht="15" customHeight="1">
      <c r="A503" s="42">
        <v>498</v>
      </c>
      <c r="B503" s="42" t="s">
        <v>7574</v>
      </c>
      <c r="C503" s="43" t="s">
        <v>6735</v>
      </c>
      <c r="D503" s="42" t="s">
        <v>553</v>
      </c>
      <c r="E503" s="43" t="s">
        <v>2947</v>
      </c>
      <c r="F503" s="43" t="s">
        <v>2948</v>
      </c>
      <c r="G503" s="42" t="s">
        <v>6739</v>
      </c>
      <c r="H503" s="43" t="s">
        <v>1184</v>
      </c>
      <c r="I503" s="43" t="s">
        <v>6741</v>
      </c>
      <c r="J503" s="55"/>
      <c r="K503" s="119" t="str">
        <f>IFERROR(VLOOKUP(B503,BD_CONTROL!$A$5:$M$4235,11,0),"")</f>
        <v>Instalado - Operando</v>
      </c>
      <c r="L503" s="120">
        <f>IFERROR(VLOOKUP(B503,BD_CONTROL!$A$5:$M$4235,12,0),"")</f>
        <v>46150</v>
      </c>
      <c r="M503" s="121">
        <f>IFERROR(VLOOKUP(B503,BD_CONTROL!$A$5:$M$4235,13,0),"")</f>
        <v>0</v>
      </c>
    </row>
    <row r="504" spans="1:13" ht="15" customHeight="1">
      <c r="A504" s="39">
        <v>499</v>
      </c>
      <c r="B504" s="39" t="s">
        <v>7575</v>
      </c>
      <c r="C504" s="40" t="s">
        <v>6735</v>
      </c>
      <c r="D504" s="39" t="s">
        <v>553</v>
      </c>
      <c r="E504" s="40" t="s">
        <v>2947</v>
      </c>
      <c r="F504" s="40" t="s">
        <v>5112</v>
      </c>
      <c r="G504" s="39" t="s">
        <v>6739</v>
      </c>
      <c r="H504" s="40" t="s">
        <v>1184</v>
      </c>
      <c r="I504" s="40" t="s">
        <v>6741</v>
      </c>
      <c r="J504" s="50"/>
      <c r="K504" s="116" t="str">
        <f>IFERROR(VLOOKUP(B504,BD_CONTROL!$A$5:$M$4235,11,0),"")</f>
        <v>Instalado - Operando</v>
      </c>
      <c r="L504" s="117">
        <f>IFERROR(VLOOKUP(B504,BD_CONTROL!$A$5:$M$4235,12,0),"")</f>
        <v>46150</v>
      </c>
      <c r="M504" s="118">
        <f>IFERROR(VLOOKUP(B504,BD_CONTROL!$A$5:$M$4235,13,0),"")</f>
        <v>0</v>
      </c>
    </row>
    <row r="505" spans="1:13" ht="15" customHeight="1">
      <c r="A505" s="42">
        <v>500</v>
      </c>
      <c r="B505" s="42" t="s">
        <v>7577</v>
      </c>
      <c r="C505" s="43" t="s">
        <v>6735</v>
      </c>
      <c r="D505" s="42" t="s">
        <v>553</v>
      </c>
      <c r="E505" s="43" t="s">
        <v>1323</v>
      </c>
      <c r="F505" s="43" t="s">
        <v>1440</v>
      </c>
      <c r="G505" s="42" t="s">
        <v>6739</v>
      </c>
      <c r="H505" s="43" t="s">
        <v>1110</v>
      </c>
      <c r="I505" s="43" t="s">
        <v>6741</v>
      </c>
      <c r="J505" s="55"/>
      <c r="K505" s="119">
        <f>IFERROR(VLOOKUP(B505,BD_CONTROL!$A$5:$M$4235,11,0),"")</f>
        <v>0</v>
      </c>
      <c r="L505" s="120">
        <f>IFERROR(VLOOKUP(B505,BD_CONTROL!$A$5:$M$4235,12,0),"")</f>
        <v>0</v>
      </c>
      <c r="M505" s="121">
        <f>IFERROR(VLOOKUP(B505,BD_CONTROL!$A$5:$M$4235,13,0),"")</f>
        <v>0</v>
      </c>
    </row>
    <row r="506" spans="1:13" ht="15" customHeight="1">
      <c r="A506" s="39">
        <v>501</v>
      </c>
      <c r="B506" s="39" t="s">
        <v>7578</v>
      </c>
      <c r="C506" s="40" t="s">
        <v>6735</v>
      </c>
      <c r="D506" s="39" t="s">
        <v>553</v>
      </c>
      <c r="E506" s="40" t="s">
        <v>1323</v>
      </c>
      <c r="F506" s="40" t="s">
        <v>1258</v>
      </c>
      <c r="G506" s="39" t="s">
        <v>6739</v>
      </c>
      <c r="H506" s="40" t="s">
        <v>1110</v>
      </c>
      <c r="I506" s="40" t="s">
        <v>6741</v>
      </c>
      <c r="J506" s="50"/>
      <c r="K506" s="116">
        <f>IFERROR(VLOOKUP(B506,BD_CONTROL!$A$5:$M$4235,11,0),"")</f>
        <v>0</v>
      </c>
      <c r="L506" s="117">
        <f>IFERROR(VLOOKUP(B506,BD_CONTROL!$A$5:$M$4235,12,0),"")</f>
        <v>0</v>
      </c>
      <c r="M506" s="118">
        <f>IFERROR(VLOOKUP(B506,BD_CONTROL!$A$5:$M$4235,13,0),"")</f>
        <v>0</v>
      </c>
    </row>
    <row r="507" spans="1:13" ht="15" customHeight="1">
      <c r="A507" s="42">
        <v>502</v>
      </c>
      <c r="B507" s="42" t="s">
        <v>7579</v>
      </c>
      <c r="C507" s="43" t="s">
        <v>6735</v>
      </c>
      <c r="D507" s="42" t="s">
        <v>553</v>
      </c>
      <c r="E507" s="43" t="s">
        <v>3083</v>
      </c>
      <c r="F507" s="43" t="s">
        <v>3084</v>
      </c>
      <c r="G507" s="42" t="s">
        <v>6739</v>
      </c>
      <c r="H507" s="43" t="s">
        <v>1184</v>
      </c>
      <c r="I507" s="43" t="s">
        <v>6741</v>
      </c>
      <c r="J507" s="55"/>
      <c r="K507" s="119">
        <f>IFERROR(VLOOKUP(B507,BD_CONTROL!$A$5:$M$4235,11,0),"")</f>
        <v>0</v>
      </c>
      <c r="L507" s="120">
        <f>IFERROR(VLOOKUP(B507,BD_CONTROL!$A$5:$M$4235,12,0),"")</f>
        <v>0</v>
      </c>
      <c r="M507" s="121">
        <f>IFERROR(VLOOKUP(B507,BD_CONTROL!$A$5:$M$4235,13,0),"")</f>
        <v>0</v>
      </c>
    </row>
    <row r="508" spans="1:13" ht="15" customHeight="1">
      <c r="A508" s="39">
        <v>503</v>
      </c>
      <c r="B508" s="39" t="s">
        <v>7594</v>
      </c>
      <c r="C508" s="40" t="s">
        <v>6735</v>
      </c>
      <c r="D508" s="39" t="s">
        <v>553</v>
      </c>
      <c r="E508" s="40" t="s">
        <v>7595</v>
      </c>
      <c r="F508" s="40" t="s">
        <v>7596</v>
      </c>
      <c r="G508" s="39" t="s">
        <v>6739</v>
      </c>
      <c r="H508" s="40" t="s">
        <v>1184</v>
      </c>
      <c r="I508" s="40" t="s">
        <v>6741</v>
      </c>
      <c r="J508" s="50"/>
      <c r="K508" s="116">
        <f>IFERROR(VLOOKUP(B508,BD_CONTROL!$A$5:$M$4235,11,0),"")</f>
        <v>0</v>
      </c>
      <c r="L508" s="117">
        <f>IFERROR(VLOOKUP(B508,BD_CONTROL!$A$5:$M$4235,12,0),"")</f>
        <v>0</v>
      </c>
      <c r="M508" s="118">
        <f>IFERROR(VLOOKUP(B508,BD_CONTROL!$A$5:$M$4235,13,0),"")</f>
        <v>0</v>
      </c>
    </row>
    <row r="509" spans="1:13" ht="15" customHeight="1">
      <c r="A509" s="42">
        <v>504</v>
      </c>
      <c r="B509" s="42" t="s">
        <v>7597</v>
      </c>
      <c r="C509" s="43" t="s">
        <v>6735</v>
      </c>
      <c r="D509" s="42" t="s">
        <v>553</v>
      </c>
      <c r="E509" s="43" t="s">
        <v>7595</v>
      </c>
      <c r="F509" s="43" t="s">
        <v>7598</v>
      </c>
      <c r="G509" s="42" t="s">
        <v>6739</v>
      </c>
      <c r="H509" s="43" t="s">
        <v>1184</v>
      </c>
      <c r="I509" s="43" t="s">
        <v>6741</v>
      </c>
      <c r="J509" s="55"/>
      <c r="K509" s="119">
        <f>IFERROR(VLOOKUP(B509,BD_CONTROL!$A$5:$M$4235,11,0),"")</f>
        <v>0</v>
      </c>
      <c r="L509" s="120">
        <f>IFERROR(VLOOKUP(B509,BD_CONTROL!$A$5:$M$4235,12,0),"")</f>
        <v>0</v>
      </c>
      <c r="M509" s="121">
        <f>IFERROR(VLOOKUP(B509,BD_CONTROL!$A$5:$M$4235,13,0),"")</f>
        <v>0</v>
      </c>
    </row>
    <row r="510" spans="1:13" ht="15" customHeight="1">
      <c r="A510" s="39">
        <v>505</v>
      </c>
      <c r="B510" s="39" t="s">
        <v>7599</v>
      </c>
      <c r="C510" s="40" t="s">
        <v>6735</v>
      </c>
      <c r="D510" s="39" t="s">
        <v>553</v>
      </c>
      <c r="E510" s="40" t="s">
        <v>2988</v>
      </c>
      <c r="F510" s="40" t="s">
        <v>5970</v>
      </c>
      <c r="G510" s="39" t="s">
        <v>6739</v>
      </c>
      <c r="H510" s="40" t="s">
        <v>1184</v>
      </c>
      <c r="I510" s="40" t="s">
        <v>6741</v>
      </c>
      <c r="J510" s="50"/>
      <c r="K510" s="116">
        <f>IFERROR(VLOOKUP(B510,BD_CONTROL!$A$5:$M$4235,11,0),"")</f>
        <v>0</v>
      </c>
      <c r="L510" s="117">
        <f>IFERROR(VLOOKUP(B510,BD_CONTROL!$A$5:$M$4235,12,0),"")</f>
        <v>0</v>
      </c>
      <c r="M510" s="118">
        <f>IFERROR(VLOOKUP(B510,BD_CONTROL!$A$5:$M$4235,13,0),"")</f>
        <v>0</v>
      </c>
    </row>
    <row r="511" spans="1:13" ht="15" customHeight="1">
      <c r="A511" s="42">
        <v>506</v>
      </c>
      <c r="B511" s="42" t="s">
        <v>7603</v>
      </c>
      <c r="C511" s="43" t="s">
        <v>6735</v>
      </c>
      <c r="D511" s="42" t="s">
        <v>553</v>
      </c>
      <c r="E511" s="43" t="s">
        <v>2960</v>
      </c>
      <c r="F511" s="43" t="s">
        <v>3180</v>
      </c>
      <c r="G511" s="42" t="s">
        <v>6739</v>
      </c>
      <c r="H511" s="43" t="s">
        <v>1110</v>
      </c>
      <c r="I511" s="43" t="s">
        <v>6741</v>
      </c>
      <c r="J511" s="55"/>
      <c r="K511" s="119">
        <f>IFERROR(VLOOKUP(B511,BD_CONTROL!$A$5:$M$4235,11,0),"")</f>
        <v>0</v>
      </c>
      <c r="L511" s="120">
        <f>IFERROR(VLOOKUP(B511,BD_CONTROL!$A$5:$M$4235,12,0),"")</f>
        <v>0</v>
      </c>
      <c r="M511" s="121">
        <f>IFERROR(VLOOKUP(B511,BD_CONTROL!$A$5:$M$4235,13,0),"")</f>
        <v>0</v>
      </c>
    </row>
    <row r="512" spans="1:13" ht="15" customHeight="1">
      <c r="A512" s="39">
        <v>507</v>
      </c>
      <c r="B512" s="39" t="s">
        <v>7604</v>
      </c>
      <c r="C512" s="40" t="s">
        <v>6735</v>
      </c>
      <c r="D512" s="39" t="s">
        <v>553</v>
      </c>
      <c r="E512" s="40" t="s">
        <v>2960</v>
      </c>
      <c r="F512" s="40" t="s">
        <v>2563</v>
      </c>
      <c r="G512" s="39" t="s">
        <v>6739</v>
      </c>
      <c r="H512" s="40" t="s">
        <v>1110</v>
      </c>
      <c r="I512" s="40" t="s">
        <v>6741</v>
      </c>
      <c r="J512" s="50"/>
      <c r="K512" s="116">
        <f>IFERROR(VLOOKUP(B512,BD_CONTROL!$A$5:$M$4235,11,0),"")</f>
        <v>0</v>
      </c>
      <c r="L512" s="117">
        <f>IFERROR(VLOOKUP(B512,BD_CONTROL!$A$5:$M$4235,12,0),"")</f>
        <v>0</v>
      </c>
      <c r="M512" s="118">
        <f>IFERROR(VLOOKUP(B512,BD_CONTROL!$A$5:$M$4235,13,0),"")</f>
        <v>0</v>
      </c>
    </row>
    <row r="513" spans="1:13" ht="15" customHeight="1">
      <c r="A513" s="42">
        <v>508</v>
      </c>
      <c r="B513" s="42" t="s">
        <v>7605</v>
      </c>
      <c r="C513" s="43" t="s">
        <v>6735</v>
      </c>
      <c r="D513" s="42" t="s">
        <v>553</v>
      </c>
      <c r="E513" s="43" t="s">
        <v>2960</v>
      </c>
      <c r="F513" s="43" t="s">
        <v>7606</v>
      </c>
      <c r="G513" s="42" t="s">
        <v>6739</v>
      </c>
      <c r="H513" s="43" t="s">
        <v>1110</v>
      </c>
      <c r="I513" s="43" t="s">
        <v>6741</v>
      </c>
      <c r="J513" s="55"/>
      <c r="K513" s="119">
        <f>IFERROR(VLOOKUP(B513,BD_CONTROL!$A$5:$M$4235,11,0),"")</f>
        <v>0</v>
      </c>
      <c r="L513" s="120">
        <f>IFERROR(VLOOKUP(B513,BD_CONTROL!$A$5:$M$4235,12,0),"")</f>
        <v>0</v>
      </c>
      <c r="M513" s="121">
        <f>IFERROR(VLOOKUP(B513,BD_CONTROL!$A$5:$M$4235,13,0),"")</f>
        <v>0</v>
      </c>
    </row>
    <row r="514" spans="1:13" ht="15" customHeight="1">
      <c r="A514" s="39">
        <v>509</v>
      </c>
      <c r="B514" s="39" t="s">
        <v>7616</v>
      </c>
      <c r="C514" s="40" t="s">
        <v>6735</v>
      </c>
      <c r="D514" s="39" t="s">
        <v>553</v>
      </c>
      <c r="E514" s="40" t="s">
        <v>3069</v>
      </c>
      <c r="F514" s="40" t="s">
        <v>7617</v>
      </c>
      <c r="G514" s="39" t="s">
        <v>6739</v>
      </c>
      <c r="H514" s="40" t="s">
        <v>1184</v>
      </c>
      <c r="I514" s="40" t="s">
        <v>6741</v>
      </c>
      <c r="J514" s="50"/>
      <c r="K514" s="116" t="str">
        <f>IFERROR(VLOOKUP(B514,BD_CONTROL!$A$5:$M$4235,11,0),"")</f>
        <v>Instalado - Operando</v>
      </c>
      <c r="L514" s="117">
        <f>IFERROR(VLOOKUP(B514,BD_CONTROL!$A$5:$M$4235,12,0),"")</f>
        <v>46150</v>
      </c>
      <c r="M514" s="118">
        <f>IFERROR(VLOOKUP(B514,BD_CONTROL!$A$5:$M$4235,13,0),"")</f>
        <v>0</v>
      </c>
    </row>
    <row r="515" spans="1:13" ht="15" customHeight="1">
      <c r="A515" s="42">
        <v>510</v>
      </c>
      <c r="B515" s="42" t="s">
        <v>7618</v>
      </c>
      <c r="C515" s="43" t="s">
        <v>6735</v>
      </c>
      <c r="D515" s="42" t="s">
        <v>553</v>
      </c>
      <c r="E515" s="43" t="s">
        <v>7619</v>
      </c>
      <c r="F515" s="43" t="s">
        <v>7619</v>
      </c>
      <c r="G515" s="42" t="s">
        <v>6739</v>
      </c>
      <c r="H515" s="43" t="s">
        <v>1110</v>
      </c>
      <c r="I515" s="43" t="s">
        <v>6741</v>
      </c>
      <c r="J515" s="55"/>
      <c r="K515" s="119">
        <f>IFERROR(VLOOKUP(B515,BD_CONTROL!$A$5:$M$4235,11,0),"")</f>
        <v>0</v>
      </c>
      <c r="L515" s="120">
        <f>IFERROR(VLOOKUP(B515,BD_CONTROL!$A$5:$M$4235,12,0),"")</f>
        <v>0</v>
      </c>
      <c r="M515" s="121">
        <f>IFERROR(VLOOKUP(B515,BD_CONTROL!$A$5:$M$4235,13,0),"")</f>
        <v>0</v>
      </c>
    </row>
    <row r="516" spans="1:13" ht="15" customHeight="1">
      <c r="A516" s="39">
        <v>511</v>
      </c>
      <c r="B516" s="39" t="s">
        <v>7620</v>
      </c>
      <c r="C516" s="40" t="s">
        <v>6735</v>
      </c>
      <c r="D516" s="39" t="s">
        <v>553</v>
      </c>
      <c r="E516" s="40" t="s">
        <v>7619</v>
      </c>
      <c r="F516" s="40" t="s">
        <v>7621</v>
      </c>
      <c r="G516" s="39" t="s">
        <v>6739</v>
      </c>
      <c r="H516" s="40" t="s">
        <v>1110</v>
      </c>
      <c r="I516" s="40" t="s">
        <v>6741</v>
      </c>
      <c r="J516" s="50"/>
      <c r="K516" s="116">
        <f>IFERROR(VLOOKUP(B516,BD_CONTROL!$A$5:$M$4235,11,0),"")</f>
        <v>0</v>
      </c>
      <c r="L516" s="117">
        <f>IFERROR(VLOOKUP(B516,BD_CONTROL!$A$5:$M$4235,12,0),"")</f>
        <v>0</v>
      </c>
      <c r="M516" s="118">
        <f>IFERROR(VLOOKUP(B516,BD_CONTROL!$A$5:$M$4235,13,0),"")</f>
        <v>0</v>
      </c>
    </row>
    <row r="517" spans="1:13" ht="15" customHeight="1">
      <c r="A517" s="42">
        <v>512</v>
      </c>
      <c r="B517" s="42" t="s">
        <v>7624</v>
      </c>
      <c r="C517" s="43" t="s">
        <v>6735</v>
      </c>
      <c r="D517" s="42" t="s">
        <v>553</v>
      </c>
      <c r="E517" s="43" t="s">
        <v>3134</v>
      </c>
      <c r="F517" s="43" t="s">
        <v>7625</v>
      </c>
      <c r="G517" s="42" t="s">
        <v>6739</v>
      </c>
      <c r="H517" s="43" t="s">
        <v>1184</v>
      </c>
      <c r="I517" s="43" t="s">
        <v>6741</v>
      </c>
      <c r="J517" s="55"/>
      <c r="K517" s="119">
        <f>IFERROR(VLOOKUP(B517,BD_CONTROL!$A$5:$M$4235,11,0),"")</f>
        <v>0</v>
      </c>
      <c r="L517" s="120">
        <f>IFERROR(VLOOKUP(B517,BD_CONTROL!$A$5:$M$4235,12,0),"")</f>
        <v>0</v>
      </c>
      <c r="M517" s="121">
        <f>IFERROR(VLOOKUP(B517,BD_CONTROL!$A$5:$M$4235,13,0),"")</f>
        <v>0</v>
      </c>
    </row>
    <row r="518" spans="1:13" ht="15" customHeight="1">
      <c r="A518" s="39">
        <v>513</v>
      </c>
      <c r="B518" s="39" t="s">
        <v>7626</v>
      </c>
      <c r="C518" s="40" t="s">
        <v>6735</v>
      </c>
      <c r="D518" s="39" t="s">
        <v>553</v>
      </c>
      <c r="E518" s="40" t="s">
        <v>3134</v>
      </c>
      <c r="F518" s="40" t="s">
        <v>7627</v>
      </c>
      <c r="G518" s="39" t="s">
        <v>6739</v>
      </c>
      <c r="H518" s="40" t="s">
        <v>1184</v>
      </c>
      <c r="I518" s="40" t="s">
        <v>6741</v>
      </c>
      <c r="J518" s="50"/>
      <c r="K518" s="116">
        <f>IFERROR(VLOOKUP(B518,BD_CONTROL!$A$5:$M$4235,11,0),"")</f>
        <v>0</v>
      </c>
      <c r="L518" s="117">
        <f>IFERROR(VLOOKUP(B518,BD_CONTROL!$A$5:$M$4235,12,0),"")</f>
        <v>0</v>
      </c>
      <c r="M518" s="118">
        <f>IFERROR(VLOOKUP(B518,BD_CONTROL!$A$5:$M$4235,13,0),"")</f>
        <v>0</v>
      </c>
    </row>
    <row r="519" spans="1:13" ht="15" customHeight="1">
      <c r="A519" s="42">
        <v>514</v>
      </c>
      <c r="B519" s="42" t="s">
        <v>7636</v>
      </c>
      <c r="C519" s="43" t="s">
        <v>6735</v>
      </c>
      <c r="D519" s="42" t="s">
        <v>553</v>
      </c>
      <c r="E519" s="43" t="s">
        <v>2960</v>
      </c>
      <c r="F519" s="43" t="s">
        <v>2960</v>
      </c>
      <c r="G519" s="42" t="s">
        <v>6739</v>
      </c>
      <c r="H519" s="43" t="s">
        <v>1110</v>
      </c>
      <c r="I519" s="43" t="s">
        <v>6741</v>
      </c>
      <c r="J519" s="55"/>
      <c r="K519" s="119">
        <f>IFERROR(VLOOKUP(B519,BD_CONTROL!$A$5:$M$4235,11,0),"")</f>
        <v>0</v>
      </c>
      <c r="L519" s="120">
        <f>IFERROR(VLOOKUP(B519,BD_CONTROL!$A$5:$M$4235,12,0),"")</f>
        <v>0</v>
      </c>
      <c r="M519" s="121">
        <f>IFERROR(VLOOKUP(B519,BD_CONTROL!$A$5:$M$4235,13,0),"")</f>
        <v>0</v>
      </c>
    </row>
    <row r="520" spans="1:13" ht="15" customHeight="1">
      <c r="A520" s="39">
        <v>515</v>
      </c>
      <c r="B520" s="39" t="s">
        <v>7640</v>
      </c>
      <c r="C520" s="40" t="s">
        <v>6735</v>
      </c>
      <c r="D520" s="39" t="s">
        <v>553</v>
      </c>
      <c r="E520" s="40" t="s">
        <v>2992</v>
      </c>
      <c r="F520" s="40" t="s">
        <v>3167</v>
      </c>
      <c r="G520" s="39" t="s">
        <v>6739</v>
      </c>
      <c r="H520" s="40" t="s">
        <v>1184</v>
      </c>
      <c r="I520" s="40" t="s">
        <v>6741</v>
      </c>
      <c r="J520" s="50"/>
      <c r="K520" s="116">
        <f>IFERROR(VLOOKUP(B520,BD_CONTROL!$A$5:$M$4235,11,0),"")</f>
        <v>0</v>
      </c>
      <c r="L520" s="117">
        <f>IFERROR(VLOOKUP(B520,BD_CONTROL!$A$5:$M$4235,12,0),"")</f>
        <v>0</v>
      </c>
      <c r="M520" s="118">
        <f>IFERROR(VLOOKUP(B520,BD_CONTROL!$A$5:$M$4235,13,0),"")</f>
        <v>0</v>
      </c>
    </row>
    <row r="521" spans="1:13" ht="15" customHeight="1">
      <c r="A521" s="42">
        <v>516</v>
      </c>
      <c r="B521" s="42" t="s">
        <v>7641</v>
      </c>
      <c r="C521" s="43" t="s">
        <v>6735</v>
      </c>
      <c r="D521" s="42" t="s">
        <v>553</v>
      </c>
      <c r="E521" s="43" t="s">
        <v>2992</v>
      </c>
      <c r="F521" s="43" t="s">
        <v>3167</v>
      </c>
      <c r="G521" s="42" t="s">
        <v>6739</v>
      </c>
      <c r="H521" s="43" t="s">
        <v>1184</v>
      </c>
      <c r="I521" s="43" t="s">
        <v>6741</v>
      </c>
      <c r="J521" s="55"/>
      <c r="K521" s="119">
        <f>IFERROR(VLOOKUP(B521,BD_CONTROL!$A$5:$M$4235,11,0),"")</f>
        <v>0</v>
      </c>
      <c r="L521" s="120">
        <f>IFERROR(VLOOKUP(B521,BD_CONTROL!$A$5:$M$4235,12,0),"")</f>
        <v>0</v>
      </c>
      <c r="M521" s="121">
        <f>IFERROR(VLOOKUP(B521,BD_CONTROL!$A$5:$M$4235,13,0),"")</f>
        <v>0</v>
      </c>
    </row>
    <row r="522" spans="1:13" ht="15" customHeight="1">
      <c r="A522" s="39">
        <v>517</v>
      </c>
      <c r="B522" s="39" t="s">
        <v>7642</v>
      </c>
      <c r="C522" s="40" t="s">
        <v>6735</v>
      </c>
      <c r="D522" s="39" t="s">
        <v>553</v>
      </c>
      <c r="E522" s="40" t="s">
        <v>3056</v>
      </c>
      <c r="F522" s="40" t="s">
        <v>3056</v>
      </c>
      <c r="G522" s="39" t="s">
        <v>6739</v>
      </c>
      <c r="H522" s="40" t="s">
        <v>1184</v>
      </c>
      <c r="I522" s="40" t="s">
        <v>6741</v>
      </c>
      <c r="J522" s="50"/>
      <c r="K522" s="116">
        <f>IFERROR(VLOOKUP(B522,BD_CONTROL!$A$5:$M$4235,11,0),"")</f>
        <v>0</v>
      </c>
      <c r="L522" s="117">
        <f>IFERROR(VLOOKUP(B522,BD_CONTROL!$A$5:$M$4235,12,0),"")</f>
        <v>0</v>
      </c>
      <c r="M522" s="118">
        <f>IFERROR(VLOOKUP(B522,BD_CONTROL!$A$5:$M$4235,13,0),"")</f>
        <v>0</v>
      </c>
    </row>
    <row r="523" spans="1:13" ht="15" customHeight="1">
      <c r="A523" s="42">
        <v>518</v>
      </c>
      <c r="B523" s="42" t="s">
        <v>7643</v>
      </c>
      <c r="C523" s="43" t="s">
        <v>6735</v>
      </c>
      <c r="D523" s="42" t="s">
        <v>553</v>
      </c>
      <c r="E523" s="43" t="s">
        <v>3056</v>
      </c>
      <c r="F523" s="43" t="s">
        <v>3056</v>
      </c>
      <c r="G523" s="42" t="s">
        <v>6739</v>
      </c>
      <c r="H523" s="43" t="s">
        <v>1184</v>
      </c>
      <c r="I523" s="43" t="s">
        <v>6741</v>
      </c>
      <c r="J523" s="55"/>
      <c r="K523" s="119">
        <f>IFERROR(VLOOKUP(B523,BD_CONTROL!$A$5:$M$4235,11,0),"")</f>
        <v>0</v>
      </c>
      <c r="L523" s="120">
        <f>IFERROR(VLOOKUP(B523,BD_CONTROL!$A$5:$M$4235,12,0),"")</f>
        <v>0</v>
      </c>
      <c r="M523" s="121">
        <f>IFERROR(VLOOKUP(B523,BD_CONTROL!$A$5:$M$4235,13,0),"")</f>
        <v>0</v>
      </c>
    </row>
    <row r="524" spans="1:13" ht="15" customHeight="1">
      <c r="A524" s="39">
        <v>519</v>
      </c>
      <c r="B524" s="39" t="s">
        <v>7647</v>
      </c>
      <c r="C524" s="40" t="s">
        <v>6735</v>
      </c>
      <c r="D524" s="39" t="s">
        <v>553</v>
      </c>
      <c r="E524" s="40" t="s">
        <v>7572</v>
      </c>
      <c r="F524" s="40" t="s">
        <v>7572</v>
      </c>
      <c r="G524" s="39" t="s">
        <v>6739</v>
      </c>
      <c r="H524" s="40" t="s">
        <v>1184</v>
      </c>
      <c r="I524" s="40" t="s">
        <v>6741</v>
      </c>
      <c r="J524" s="50"/>
      <c r="K524" s="116">
        <f>IFERROR(VLOOKUP(B524,BD_CONTROL!$A$5:$M$4235,11,0),"")</f>
        <v>0</v>
      </c>
      <c r="L524" s="117">
        <f>IFERROR(VLOOKUP(B524,BD_CONTROL!$A$5:$M$4235,12,0),"")</f>
        <v>0</v>
      </c>
      <c r="M524" s="118">
        <f>IFERROR(VLOOKUP(B524,BD_CONTROL!$A$5:$M$4235,13,0),"")</f>
        <v>0</v>
      </c>
    </row>
    <row r="525" spans="1:13" ht="15" customHeight="1">
      <c r="A525" s="42">
        <v>520</v>
      </c>
      <c r="B525" s="42" t="s">
        <v>7648</v>
      </c>
      <c r="C525" s="43" t="s">
        <v>6735</v>
      </c>
      <c r="D525" s="42" t="s">
        <v>553</v>
      </c>
      <c r="E525" s="43" t="s">
        <v>3243</v>
      </c>
      <c r="F525" s="43" t="s">
        <v>3243</v>
      </c>
      <c r="G525" s="42" t="s">
        <v>6739</v>
      </c>
      <c r="H525" s="43" t="s">
        <v>1184</v>
      </c>
      <c r="I525" s="43" t="s">
        <v>6741</v>
      </c>
      <c r="J525" s="55"/>
      <c r="K525" s="119">
        <f>IFERROR(VLOOKUP(B525,BD_CONTROL!$A$5:$M$4235,11,0),"")</f>
        <v>0</v>
      </c>
      <c r="L525" s="120">
        <f>IFERROR(VLOOKUP(B525,BD_CONTROL!$A$5:$M$4235,12,0),"")</f>
        <v>0</v>
      </c>
      <c r="M525" s="121">
        <f>IFERROR(VLOOKUP(B525,BD_CONTROL!$A$5:$M$4235,13,0),"")</f>
        <v>0</v>
      </c>
    </row>
    <row r="526" spans="1:13" ht="15" customHeight="1">
      <c r="A526" s="39">
        <v>521</v>
      </c>
      <c r="B526" s="39" t="s">
        <v>7650</v>
      </c>
      <c r="C526" s="40" t="s">
        <v>6735</v>
      </c>
      <c r="D526" s="39" t="s">
        <v>553</v>
      </c>
      <c r="E526" s="40" t="s">
        <v>2944</v>
      </c>
      <c r="F526" s="40" t="s">
        <v>2944</v>
      </c>
      <c r="G526" s="39" t="s">
        <v>6739</v>
      </c>
      <c r="H526" s="40" t="s">
        <v>1184</v>
      </c>
      <c r="I526" s="40" t="s">
        <v>6741</v>
      </c>
      <c r="J526" s="50"/>
      <c r="K526" s="116">
        <f>IFERROR(VLOOKUP(B526,BD_CONTROL!$A$5:$M$4235,11,0),"")</f>
        <v>0</v>
      </c>
      <c r="L526" s="117">
        <f>IFERROR(VLOOKUP(B526,BD_CONTROL!$A$5:$M$4235,12,0),"")</f>
        <v>0</v>
      </c>
      <c r="M526" s="118">
        <f>IFERROR(VLOOKUP(B526,BD_CONTROL!$A$5:$M$4235,13,0),"")</f>
        <v>0</v>
      </c>
    </row>
    <row r="527" spans="1:13" ht="15" customHeight="1">
      <c r="A527" s="42">
        <v>522</v>
      </c>
      <c r="B527" s="42" t="s">
        <v>7652</v>
      </c>
      <c r="C527" s="43" t="s">
        <v>6735</v>
      </c>
      <c r="D527" s="42" t="s">
        <v>553</v>
      </c>
      <c r="E527" s="43" t="s">
        <v>2944</v>
      </c>
      <c r="F527" s="43" t="s">
        <v>2944</v>
      </c>
      <c r="G527" s="42" t="s">
        <v>6739</v>
      </c>
      <c r="H527" s="43" t="s">
        <v>1184</v>
      </c>
      <c r="I527" s="43" t="s">
        <v>6741</v>
      </c>
      <c r="J527" s="55"/>
      <c r="K527" s="119">
        <f>IFERROR(VLOOKUP(B527,BD_CONTROL!$A$5:$M$4235,11,0),"")</f>
        <v>0</v>
      </c>
      <c r="L527" s="120">
        <f>IFERROR(VLOOKUP(B527,BD_CONTROL!$A$5:$M$4235,12,0),"")</f>
        <v>0</v>
      </c>
      <c r="M527" s="121">
        <f>IFERROR(VLOOKUP(B527,BD_CONTROL!$A$5:$M$4235,13,0),"")</f>
        <v>0</v>
      </c>
    </row>
    <row r="528" spans="1:13" ht="15" customHeight="1">
      <c r="A528" s="39">
        <v>523</v>
      </c>
      <c r="B528" s="39" t="s">
        <v>7675</v>
      </c>
      <c r="C528" s="40" t="s">
        <v>6735</v>
      </c>
      <c r="D528" s="39" t="s">
        <v>3370</v>
      </c>
      <c r="E528" s="40" t="s">
        <v>3842</v>
      </c>
      <c r="F528" s="40" t="s">
        <v>7676</v>
      </c>
      <c r="G528" s="39" t="s">
        <v>6739</v>
      </c>
      <c r="H528" s="40" t="s">
        <v>1110</v>
      </c>
      <c r="I528" s="40" t="s">
        <v>6741</v>
      </c>
      <c r="J528" s="50"/>
      <c r="K528" s="116">
        <f>IFERROR(VLOOKUP(B528,BD_CONTROL!$A$5:$M$4235,11,0),"")</f>
        <v>0</v>
      </c>
      <c r="L528" s="117">
        <f>IFERROR(VLOOKUP(B528,BD_CONTROL!$A$5:$M$4235,12,0),"")</f>
        <v>0</v>
      </c>
      <c r="M528" s="118">
        <f>IFERROR(VLOOKUP(B528,BD_CONTROL!$A$5:$M$4235,13,0),"")</f>
        <v>0</v>
      </c>
    </row>
    <row r="529" spans="1:13" ht="15" customHeight="1">
      <c r="A529" s="42">
        <v>524</v>
      </c>
      <c r="B529" s="42" t="s">
        <v>7679</v>
      </c>
      <c r="C529" s="43" t="s">
        <v>6735</v>
      </c>
      <c r="D529" s="42" t="s">
        <v>3370</v>
      </c>
      <c r="E529" s="43" t="s">
        <v>3558</v>
      </c>
      <c r="F529" s="43" t="s">
        <v>7680</v>
      </c>
      <c r="G529" s="42" t="s">
        <v>6739</v>
      </c>
      <c r="H529" s="43" t="s">
        <v>1184</v>
      </c>
      <c r="I529" s="43" t="s">
        <v>6741</v>
      </c>
      <c r="J529" s="55"/>
      <c r="K529" s="119">
        <f>IFERROR(VLOOKUP(B529,BD_CONTROL!$A$5:$M$4235,11,0),"")</f>
        <v>0</v>
      </c>
      <c r="L529" s="120">
        <f>IFERROR(VLOOKUP(B529,BD_CONTROL!$A$5:$M$4235,12,0),"")</f>
        <v>0</v>
      </c>
      <c r="M529" s="121">
        <f>IFERROR(VLOOKUP(B529,BD_CONTROL!$A$5:$M$4235,13,0),"")</f>
        <v>0</v>
      </c>
    </row>
    <row r="530" spans="1:13" ht="15" customHeight="1">
      <c r="A530" s="39">
        <v>525</v>
      </c>
      <c r="B530" s="39" t="s">
        <v>7681</v>
      </c>
      <c r="C530" s="40" t="s">
        <v>6735</v>
      </c>
      <c r="D530" s="39" t="s">
        <v>3370</v>
      </c>
      <c r="E530" s="40" t="s">
        <v>3558</v>
      </c>
      <c r="F530" s="40" t="s">
        <v>7680</v>
      </c>
      <c r="G530" s="39" t="s">
        <v>6739</v>
      </c>
      <c r="H530" s="40" t="s">
        <v>1184</v>
      </c>
      <c r="I530" s="40" t="s">
        <v>6741</v>
      </c>
      <c r="J530" s="50"/>
      <c r="K530" s="116">
        <f>IFERROR(VLOOKUP(B530,BD_CONTROL!$A$5:$M$4235,11,0),"")</f>
        <v>0</v>
      </c>
      <c r="L530" s="117">
        <f>IFERROR(VLOOKUP(B530,BD_CONTROL!$A$5:$M$4235,12,0),"")</f>
        <v>0</v>
      </c>
      <c r="M530" s="118">
        <f>IFERROR(VLOOKUP(B530,BD_CONTROL!$A$5:$M$4235,13,0),"")</f>
        <v>0</v>
      </c>
    </row>
    <row r="531" spans="1:13" ht="15" customHeight="1">
      <c r="A531" s="42">
        <v>526</v>
      </c>
      <c r="B531" s="42" t="s">
        <v>7682</v>
      </c>
      <c r="C531" s="43" t="s">
        <v>6735</v>
      </c>
      <c r="D531" s="42" t="s">
        <v>3370</v>
      </c>
      <c r="E531" s="43" t="s">
        <v>3558</v>
      </c>
      <c r="F531" s="43" t="s">
        <v>7680</v>
      </c>
      <c r="G531" s="42" t="s">
        <v>6739</v>
      </c>
      <c r="H531" s="43" t="s">
        <v>1184</v>
      </c>
      <c r="I531" s="43" t="s">
        <v>6741</v>
      </c>
      <c r="J531" s="55"/>
      <c r="K531" s="119">
        <f>IFERROR(VLOOKUP(B531,BD_CONTROL!$A$5:$M$4235,11,0),"")</f>
        <v>0</v>
      </c>
      <c r="L531" s="120">
        <f>IFERROR(VLOOKUP(B531,BD_CONTROL!$A$5:$M$4235,12,0),"")</f>
        <v>0</v>
      </c>
      <c r="M531" s="121">
        <f>IFERROR(VLOOKUP(B531,BD_CONTROL!$A$5:$M$4235,13,0),"")</f>
        <v>0</v>
      </c>
    </row>
    <row r="532" spans="1:13" ht="15" customHeight="1">
      <c r="A532" s="39">
        <v>527</v>
      </c>
      <c r="B532" s="39" t="s">
        <v>7683</v>
      </c>
      <c r="C532" s="40" t="s">
        <v>6735</v>
      </c>
      <c r="D532" s="39" t="s">
        <v>3370</v>
      </c>
      <c r="E532" s="40" t="s">
        <v>3558</v>
      </c>
      <c r="F532" s="40" t="s">
        <v>7680</v>
      </c>
      <c r="G532" s="39" t="s">
        <v>6739</v>
      </c>
      <c r="H532" s="40" t="s">
        <v>1184</v>
      </c>
      <c r="I532" s="40" t="s">
        <v>6741</v>
      </c>
      <c r="J532" s="50"/>
      <c r="K532" s="116">
        <f>IFERROR(VLOOKUP(B532,BD_CONTROL!$A$5:$M$4235,11,0),"")</f>
        <v>0</v>
      </c>
      <c r="L532" s="117">
        <f>IFERROR(VLOOKUP(B532,BD_CONTROL!$A$5:$M$4235,12,0),"")</f>
        <v>0</v>
      </c>
      <c r="M532" s="118">
        <f>IFERROR(VLOOKUP(B532,BD_CONTROL!$A$5:$M$4235,13,0),"")</f>
        <v>0</v>
      </c>
    </row>
    <row r="533" spans="1:13" ht="15" customHeight="1">
      <c r="A533" s="42">
        <v>528</v>
      </c>
      <c r="B533" s="42" t="s">
        <v>7684</v>
      </c>
      <c r="C533" s="43" t="s">
        <v>6735</v>
      </c>
      <c r="D533" s="42" t="s">
        <v>3370</v>
      </c>
      <c r="E533" s="43" t="s">
        <v>3558</v>
      </c>
      <c r="F533" s="43" t="s">
        <v>7680</v>
      </c>
      <c r="G533" s="42" t="s">
        <v>6739</v>
      </c>
      <c r="H533" s="43" t="s">
        <v>1184</v>
      </c>
      <c r="I533" s="43" t="s">
        <v>6741</v>
      </c>
      <c r="J533" s="55"/>
      <c r="K533" s="119">
        <f>IFERROR(VLOOKUP(B533,BD_CONTROL!$A$5:$M$4235,11,0),"")</f>
        <v>0</v>
      </c>
      <c r="L533" s="120">
        <f>IFERROR(VLOOKUP(B533,BD_CONTROL!$A$5:$M$4235,12,0),"")</f>
        <v>0</v>
      </c>
      <c r="M533" s="121">
        <f>IFERROR(VLOOKUP(B533,BD_CONTROL!$A$5:$M$4235,13,0),"")</f>
        <v>0</v>
      </c>
    </row>
    <row r="534" spans="1:13" ht="15" customHeight="1">
      <c r="A534" s="39">
        <v>529</v>
      </c>
      <c r="B534" s="39" t="s">
        <v>7685</v>
      </c>
      <c r="C534" s="40" t="s">
        <v>6735</v>
      </c>
      <c r="D534" s="39" t="s">
        <v>3370</v>
      </c>
      <c r="E534" s="40" t="s">
        <v>3558</v>
      </c>
      <c r="F534" s="40" t="s">
        <v>7680</v>
      </c>
      <c r="G534" s="39" t="s">
        <v>6739</v>
      </c>
      <c r="H534" s="40" t="s">
        <v>1184</v>
      </c>
      <c r="I534" s="40" t="s">
        <v>6741</v>
      </c>
      <c r="J534" s="50"/>
      <c r="K534" s="116">
        <f>IFERROR(VLOOKUP(B534,BD_CONTROL!$A$5:$M$4235,11,0),"")</f>
        <v>0</v>
      </c>
      <c r="L534" s="117">
        <f>IFERROR(VLOOKUP(B534,BD_CONTROL!$A$5:$M$4235,12,0),"")</f>
        <v>0</v>
      </c>
      <c r="M534" s="118">
        <f>IFERROR(VLOOKUP(B534,BD_CONTROL!$A$5:$M$4235,13,0),"")</f>
        <v>0</v>
      </c>
    </row>
    <row r="535" spans="1:13" ht="15" customHeight="1">
      <c r="A535" s="42">
        <v>530</v>
      </c>
      <c r="B535" s="42" t="s">
        <v>7688</v>
      </c>
      <c r="C535" s="43" t="s">
        <v>6735</v>
      </c>
      <c r="D535" s="42" t="s">
        <v>3370</v>
      </c>
      <c r="E535" s="43" t="s">
        <v>3582</v>
      </c>
      <c r="F535" s="43" t="s">
        <v>3583</v>
      </c>
      <c r="G535" s="42" t="s">
        <v>6739</v>
      </c>
      <c r="H535" s="43" t="s">
        <v>1110</v>
      </c>
      <c r="I535" s="43" t="s">
        <v>6741</v>
      </c>
      <c r="J535" s="55"/>
      <c r="K535" s="119">
        <f>IFERROR(VLOOKUP(B535,BD_CONTROL!$A$5:$M$4235,11,0),"")</f>
        <v>0</v>
      </c>
      <c r="L535" s="120">
        <f>IFERROR(VLOOKUP(B535,BD_CONTROL!$A$5:$M$4235,12,0),"")</f>
        <v>0</v>
      </c>
      <c r="M535" s="121">
        <f>IFERROR(VLOOKUP(B535,BD_CONTROL!$A$5:$M$4235,13,0),"")</f>
        <v>0</v>
      </c>
    </row>
    <row r="536" spans="1:13" ht="15" customHeight="1">
      <c r="A536" s="39">
        <v>531</v>
      </c>
      <c r="B536" s="39" t="s">
        <v>7689</v>
      </c>
      <c r="C536" s="40" t="s">
        <v>6735</v>
      </c>
      <c r="D536" s="39" t="s">
        <v>3370</v>
      </c>
      <c r="E536" s="40" t="s">
        <v>3774</v>
      </c>
      <c r="F536" s="40" t="s">
        <v>7690</v>
      </c>
      <c r="G536" s="39" t="s">
        <v>6739</v>
      </c>
      <c r="H536" s="40" t="s">
        <v>1110</v>
      </c>
      <c r="I536" s="40" t="s">
        <v>6741</v>
      </c>
      <c r="J536" s="50"/>
      <c r="K536" s="116">
        <f>IFERROR(VLOOKUP(B536,BD_CONTROL!$A$5:$M$4235,11,0),"")</f>
        <v>0</v>
      </c>
      <c r="L536" s="117">
        <f>IFERROR(VLOOKUP(B536,BD_CONTROL!$A$5:$M$4235,12,0),"")</f>
        <v>0</v>
      </c>
      <c r="M536" s="118">
        <f>IFERROR(VLOOKUP(B536,BD_CONTROL!$A$5:$M$4235,13,0),"")</f>
        <v>0</v>
      </c>
    </row>
    <row r="537" spans="1:13" ht="15" customHeight="1">
      <c r="A537" s="42">
        <v>532</v>
      </c>
      <c r="B537" s="42" t="s">
        <v>7700</v>
      </c>
      <c r="C537" s="43" t="s">
        <v>6735</v>
      </c>
      <c r="D537" s="42" t="s">
        <v>3370</v>
      </c>
      <c r="E537" s="43" t="s">
        <v>3412</v>
      </c>
      <c r="F537" s="43" t="s">
        <v>3413</v>
      </c>
      <c r="G537" s="42" t="s">
        <v>6739</v>
      </c>
      <c r="H537" s="43" t="s">
        <v>1110</v>
      </c>
      <c r="I537" s="43" t="s">
        <v>6741</v>
      </c>
      <c r="J537" s="55"/>
      <c r="K537" s="119">
        <f>IFERROR(VLOOKUP(B537,BD_CONTROL!$A$5:$M$4235,11,0),"")</f>
        <v>0</v>
      </c>
      <c r="L537" s="120">
        <f>IFERROR(VLOOKUP(B537,BD_CONTROL!$A$5:$M$4235,12,0),"")</f>
        <v>0</v>
      </c>
      <c r="M537" s="121">
        <f>IFERROR(VLOOKUP(B537,BD_CONTROL!$A$5:$M$4235,13,0),"")</f>
        <v>0</v>
      </c>
    </row>
    <row r="538" spans="1:13" ht="15" customHeight="1">
      <c r="A538" s="39">
        <v>533</v>
      </c>
      <c r="B538" s="39" t="s">
        <v>7701</v>
      </c>
      <c r="C538" s="40" t="s">
        <v>6735</v>
      </c>
      <c r="D538" s="39" t="s">
        <v>3370</v>
      </c>
      <c r="E538" s="40" t="s">
        <v>3412</v>
      </c>
      <c r="F538" s="40" t="s">
        <v>7702</v>
      </c>
      <c r="G538" s="39" t="s">
        <v>6739</v>
      </c>
      <c r="H538" s="40" t="s">
        <v>1110</v>
      </c>
      <c r="I538" s="40" t="s">
        <v>6741</v>
      </c>
      <c r="J538" s="50"/>
      <c r="K538" s="116">
        <f>IFERROR(VLOOKUP(B538,BD_CONTROL!$A$5:$M$4235,11,0),"")</f>
        <v>0</v>
      </c>
      <c r="L538" s="117">
        <f>IFERROR(VLOOKUP(B538,BD_CONTROL!$A$5:$M$4235,12,0),"")</f>
        <v>0</v>
      </c>
      <c r="M538" s="118">
        <f>IFERROR(VLOOKUP(B538,BD_CONTROL!$A$5:$M$4235,13,0),"")</f>
        <v>0</v>
      </c>
    </row>
    <row r="539" spans="1:13" ht="15" customHeight="1">
      <c r="A539" s="42">
        <v>534</v>
      </c>
      <c r="B539" s="42" t="s">
        <v>7703</v>
      </c>
      <c r="C539" s="43" t="s">
        <v>6735</v>
      </c>
      <c r="D539" s="42" t="s">
        <v>3370</v>
      </c>
      <c r="E539" s="43" t="s">
        <v>3551</v>
      </c>
      <c r="F539" s="43" t="s">
        <v>3648</v>
      </c>
      <c r="G539" s="42" t="s">
        <v>6739</v>
      </c>
      <c r="H539" s="43" t="s">
        <v>1184</v>
      </c>
      <c r="I539" s="43" t="s">
        <v>6741</v>
      </c>
      <c r="J539" s="55"/>
      <c r="K539" s="119">
        <f>IFERROR(VLOOKUP(B539,BD_CONTROL!$A$5:$M$4235,11,0),"")</f>
        <v>0</v>
      </c>
      <c r="L539" s="120">
        <f>IFERROR(VLOOKUP(B539,BD_CONTROL!$A$5:$M$4235,12,0),"")</f>
        <v>0</v>
      </c>
      <c r="M539" s="121">
        <f>IFERROR(VLOOKUP(B539,BD_CONTROL!$A$5:$M$4235,13,0),"")</f>
        <v>0</v>
      </c>
    </row>
    <row r="540" spans="1:13" ht="15" customHeight="1">
      <c r="A540" s="39">
        <v>535</v>
      </c>
      <c r="B540" s="39" t="s">
        <v>7707</v>
      </c>
      <c r="C540" s="40" t="s">
        <v>6735</v>
      </c>
      <c r="D540" s="39" t="s">
        <v>3370</v>
      </c>
      <c r="E540" s="40" t="s">
        <v>3714</v>
      </c>
      <c r="F540" s="40" t="s">
        <v>4462</v>
      </c>
      <c r="G540" s="39" t="s">
        <v>6739</v>
      </c>
      <c r="H540" s="40" t="s">
        <v>1110</v>
      </c>
      <c r="I540" s="40" t="s">
        <v>6741</v>
      </c>
      <c r="J540" s="50"/>
      <c r="K540" s="116">
        <f>IFERROR(VLOOKUP(B540,BD_CONTROL!$A$5:$M$4235,11,0),"")</f>
        <v>0</v>
      </c>
      <c r="L540" s="117">
        <f>IFERROR(VLOOKUP(B540,BD_CONTROL!$A$5:$M$4235,12,0),"")</f>
        <v>0</v>
      </c>
      <c r="M540" s="118">
        <f>IFERROR(VLOOKUP(B540,BD_CONTROL!$A$5:$M$4235,13,0),"")</f>
        <v>0</v>
      </c>
    </row>
    <row r="541" spans="1:13" ht="15" customHeight="1">
      <c r="A541" s="42">
        <v>536</v>
      </c>
      <c r="B541" s="42" t="s">
        <v>7708</v>
      </c>
      <c r="C541" s="43" t="s">
        <v>6735</v>
      </c>
      <c r="D541" s="42" t="s">
        <v>3370</v>
      </c>
      <c r="E541" s="43" t="s">
        <v>3714</v>
      </c>
      <c r="F541" s="43" t="s">
        <v>7709</v>
      </c>
      <c r="G541" s="42" t="s">
        <v>6739</v>
      </c>
      <c r="H541" s="43" t="s">
        <v>1110</v>
      </c>
      <c r="I541" s="43" t="s">
        <v>6741</v>
      </c>
      <c r="J541" s="55"/>
      <c r="K541" s="119">
        <f>IFERROR(VLOOKUP(B541,BD_CONTROL!$A$5:$M$4235,11,0),"")</f>
        <v>0</v>
      </c>
      <c r="L541" s="120">
        <f>IFERROR(VLOOKUP(B541,BD_CONTROL!$A$5:$M$4235,12,0),"")</f>
        <v>0</v>
      </c>
      <c r="M541" s="121">
        <f>IFERROR(VLOOKUP(B541,BD_CONTROL!$A$5:$M$4235,13,0),"")</f>
        <v>0</v>
      </c>
    </row>
    <row r="542" spans="1:13" ht="15" customHeight="1">
      <c r="A542" s="39">
        <v>537</v>
      </c>
      <c r="B542" s="39" t="s">
        <v>7710</v>
      </c>
      <c r="C542" s="40" t="s">
        <v>6735</v>
      </c>
      <c r="D542" s="39" t="s">
        <v>3370</v>
      </c>
      <c r="E542" s="40" t="s">
        <v>3714</v>
      </c>
      <c r="F542" s="40" t="s">
        <v>7711</v>
      </c>
      <c r="G542" s="39" t="s">
        <v>6739</v>
      </c>
      <c r="H542" s="40" t="s">
        <v>1110</v>
      </c>
      <c r="I542" s="40" t="s">
        <v>6741</v>
      </c>
      <c r="J542" s="50"/>
      <c r="K542" s="116">
        <f>IFERROR(VLOOKUP(B542,BD_CONTROL!$A$5:$M$4235,11,0),"")</f>
        <v>0</v>
      </c>
      <c r="L542" s="117">
        <f>IFERROR(VLOOKUP(B542,BD_CONTROL!$A$5:$M$4235,12,0),"")</f>
        <v>0</v>
      </c>
      <c r="M542" s="118">
        <f>IFERROR(VLOOKUP(B542,BD_CONTROL!$A$5:$M$4235,13,0),"")</f>
        <v>0</v>
      </c>
    </row>
    <row r="543" spans="1:13" ht="15" customHeight="1">
      <c r="A543" s="42">
        <v>538</v>
      </c>
      <c r="B543" s="42" t="s">
        <v>7712</v>
      </c>
      <c r="C543" s="43" t="s">
        <v>6735</v>
      </c>
      <c r="D543" s="42" t="s">
        <v>3370</v>
      </c>
      <c r="E543" s="43" t="s">
        <v>3714</v>
      </c>
      <c r="F543" s="43" t="s">
        <v>7713</v>
      </c>
      <c r="G543" s="42" t="s">
        <v>6739</v>
      </c>
      <c r="H543" s="43" t="s">
        <v>1110</v>
      </c>
      <c r="I543" s="43" t="s">
        <v>6741</v>
      </c>
      <c r="J543" s="55"/>
      <c r="K543" s="119">
        <f>IFERROR(VLOOKUP(B543,BD_CONTROL!$A$5:$M$4235,11,0),"")</f>
        <v>0</v>
      </c>
      <c r="L543" s="120">
        <f>IFERROR(VLOOKUP(B543,BD_CONTROL!$A$5:$M$4235,12,0),"")</f>
        <v>0</v>
      </c>
      <c r="M543" s="121">
        <f>IFERROR(VLOOKUP(B543,BD_CONTROL!$A$5:$M$4235,13,0),"")</f>
        <v>0</v>
      </c>
    </row>
    <row r="544" spans="1:13" ht="15" customHeight="1">
      <c r="A544" s="39">
        <v>539</v>
      </c>
      <c r="B544" s="39" t="s">
        <v>7717</v>
      </c>
      <c r="C544" s="40" t="s">
        <v>6735</v>
      </c>
      <c r="D544" s="39" t="s">
        <v>3370</v>
      </c>
      <c r="E544" s="40" t="s">
        <v>3395</v>
      </c>
      <c r="F544" s="40" t="s">
        <v>4687</v>
      </c>
      <c r="G544" s="39" t="s">
        <v>6739</v>
      </c>
      <c r="H544" s="40" t="s">
        <v>1110</v>
      </c>
      <c r="I544" s="40" t="s">
        <v>6741</v>
      </c>
      <c r="J544" s="50"/>
      <c r="K544" s="116" t="str">
        <f>IFERROR(VLOOKUP(B544,BD_CONTROL!$A$5:$M$4235,11,0),"")</f>
        <v>Instalado - Operando</v>
      </c>
      <c r="L544" s="117">
        <f>IFERROR(VLOOKUP(B544,BD_CONTROL!$A$5:$M$4235,12,0),"")</f>
        <v>46148</v>
      </c>
      <c r="M544" s="118" t="str">
        <f>IFERROR(VLOOKUP(B544,BD_CONTROL!$A$5:$M$4235,13,0),"")</f>
        <v>Este equipo no se encuentra cargado en la aplicación</v>
      </c>
    </row>
    <row r="545" spans="1:13" ht="15" customHeight="1">
      <c r="A545" s="42">
        <v>540</v>
      </c>
      <c r="B545" s="42" t="s">
        <v>7718</v>
      </c>
      <c r="C545" s="43" t="s">
        <v>6735</v>
      </c>
      <c r="D545" s="42" t="s">
        <v>3370</v>
      </c>
      <c r="E545" s="43" t="s">
        <v>3395</v>
      </c>
      <c r="F545" s="43" t="s">
        <v>4687</v>
      </c>
      <c r="G545" s="42" t="s">
        <v>6739</v>
      </c>
      <c r="H545" s="43" t="s">
        <v>1110</v>
      </c>
      <c r="I545" s="43" t="s">
        <v>6741</v>
      </c>
      <c r="J545" s="55"/>
      <c r="K545" s="119">
        <f>IFERROR(VLOOKUP(B545,BD_CONTROL!$A$5:$M$4235,11,0),"")</f>
        <v>0</v>
      </c>
      <c r="L545" s="120">
        <f>IFERROR(VLOOKUP(B545,BD_CONTROL!$A$5:$M$4235,12,0),"")</f>
        <v>0</v>
      </c>
      <c r="M545" s="121">
        <f>IFERROR(VLOOKUP(B545,BD_CONTROL!$A$5:$M$4235,13,0),"")</f>
        <v>0</v>
      </c>
    </row>
    <row r="546" spans="1:13" ht="15" customHeight="1">
      <c r="A546" s="39">
        <v>541</v>
      </c>
      <c r="B546" s="39" t="s">
        <v>7721</v>
      </c>
      <c r="C546" s="40" t="s">
        <v>6735</v>
      </c>
      <c r="D546" s="39" t="s">
        <v>3370</v>
      </c>
      <c r="E546" s="40" t="s">
        <v>3404</v>
      </c>
      <c r="F546" s="40" t="s">
        <v>3404</v>
      </c>
      <c r="G546" s="39" t="s">
        <v>6739</v>
      </c>
      <c r="H546" s="40" t="s">
        <v>1110</v>
      </c>
      <c r="I546" s="40" t="s">
        <v>6741</v>
      </c>
      <c r="J546" s="50"/>
      <c r="K546" s="116">
        <f>IFERROR(VLOOKUP(B546,BD_CONTROL!$A$5:$M$4235,11,0),"")</f>
        <v>0</v>
      </c>
      <c r="L546" s="117">
        <f>IFERROR(VLOOKUP(B546,BD_CONTROL!$A$5:$M$4235,12,0),"")</f>
        <v>0</v>
      </c>
      <c r="M546" s="118">
        <f>IFERROR(VLOOKUP(B546,BD_CONTROL!$A$5:$M$4235,13,0),"")</f>
        <v>0</v>
      </c>
    </row>
    <row r="547" spans="1:13" ht="15" customHeight="1">
      <c r="A547" s="42">
        <v>542</v>
      </c>
      <c r="B547" s="42" t="s">
        <v>7722</v>
      </c>
      <c r="C547" s="43" t="s">
        <v>6735</v>
      </c>
      <c r="D547" s="42" t="s">
        <v>3370</v>
      </c>
      <c r="E547" s="43" t="s">
        <v>3404</v>
      </c>
      <c r="F547" s="43" t="s">
        <v>3404</v>
      </c>
      <c r="G547" s="42" t="s">
        <v>6739</v>
      </c>
      <c r="H547" s="43" t="s">
        <v>1110</v>
      </c>
      <c r="I547" s="43" t="s">
        <v>6741</v>
      </c>
      <c r="J547" s="55"/>
      <c r="K547" s="119">
        <f>IFERROR(VLOOKUP(B547,BD_CONTROL!$A$5:$M$4235,11,0),"")</f>
        <v>0</v>
      </c>
      <c r="L547" s="120">
        <f>IFERROR(VLOOKUP(B547,BD_CONTROL!$A$5:$M$4235,12,0),"")</f>
        <v>0</v>
      </c>
      <c r="M547" s="121">
        <f>IFERROR(VLOOKUP(B547,BD_CONTROL!$A$5:$M$4235,13,0),"")</f>
        <v>0</v>
      </c>
    </row>
    <row r="548" spans="1:13" ht="15" customHeight="1">
      <c r="A548" s="39">
        <v>543</v>
      </c>
      <c r="B548" s="39" t="s">
        <v>7723</v>
      </c>
      <c r="C548" s="40" t="s">
        <v>6735</v>
      </c>
      <c r="D548" s="39" t="s">
        <v>3370</v>
      </c>
      <c r="E548" s="40" t="s">
        <v>3385</v>
      </c>
      <c r="F548" s="40" t="s">
        <v>3385</v>
      </c>
      <c r="G548" s="39" t="s">
        <v>6739</v>
      </c>
      <c r="H548" s="40" t="s">
        <v>1184</v>
      </c>
      <c r="I548" s="40" t="s">
        <v>6741</v>
      </c>
      <c r="J548" s="50"/>
      <c r="K548" s="116">
        <f>IFERROR(VLOOKUP(B548,BD_CONTROL!$A$5:$M$4235,11,0),"")</f>
        <v>0</v>
      </c>
      <c r="L548" s="117">
        <f>IFERROR(VLOOKUP(B548,BD_CONTROL!$A$5:$M$4235,12,0),"")</f>
        <v>0</v>
      </c>
      <c r="M548" s="118">
        <f>IFERROR(VLOOKUP(B548,BD_CONTROL!$A$5:$M$4235,13,0),"")</f>
        <v>0</v>
      </c>
    </row>
    <row r="549" spans="1:13" ht="15" customHeight="1">
      <c r="A549" s="42">
        <v>544</v>
      </c>
      <c r="B549" s="42" t="s">
        <v>7724</v>
      </c>
      <c r="C549" s="43" t="s">
        <v>6735</v>
      </c>
      <c r="D549" s="42" t="s">
        <v>3370</v>
      </c>
      <c r="E549" s="43" t="s">
        <v>3385</v>
      </c>
      <c r="F549" s="43" t="s">
        <v>3385</v>
      </c>
      <c r="G549" s="42" t="s">
        <v>6739</v>
      </c>
      <c r="H549" s="43" t="s">
        <v>1184</v>
      </c>
      <c r="I549" s="43" t="s">
        <v>6741</v>
      </c>
      <c r="J549" s="55"/>
      <c r="K549" s="119">
        <f>IFERROR(VLOOKUP(B549,BD_CONTROL!$A$5:$M$4235,11,0),"")</f>
        <v>0</v>
      </c>
      <c r="L549" s="120">
        <f>IFERROR(VLOOKUP(B549,BD_CONTROL!$A$5:$M$4235,12,0),"")</f>
        <v>0</v>
      </c>
      <c r="M549" s="121">
        <f>IFERROR(VLOOKUP(B549,BD_CONTROL!$A$5:$M$4235,13,0),"")</f>
        <v>0</v>
      </c>
    </row>
    <row r="550" spans="1:13" ht="15" customHeight="1">
      <c r="A550" s="39">
        <v>545</v>
      </c>
      <c r="B550" s="39" t="s">
        <v>7725</v>
      </c>
      <c r="C550" s="40" t="s">
        <v>6735</v>
      </c>
      <c r="D550" s="39" t="s">
        <v>3370</v>
      </c>
      <c r="E550" s="40" t="s">
        <v>3385</v>
      </c>
      <c r="F550" s="40" t="s">
        <v>3385</v>
      </c>
      <c r="G550" s="39" t="s">
        <v>6739</v>
      </c>
      <c r="H550" s="40" t="s">
        <v>1184</v>
      </c>
      <c r="I550" s="40" t="s">
        <v>6741</v>
      </c>
      <c r="J550" s="50"/>
      <c r="K550" s="116">
        <f>IFERROR(VLOOKUP(B550,BD_CONTROL!$A$5:$M$4235,11,0),"")</f>
        <v>0</v>
      </c>
      <c r="L550" s="117">
        <f>IFERROR(VLOOKUP(B550,BD_CONTROL!$A$5:$M$4235,12,0),"")</f>
        <v>0</v>
      </c>
      <c r="M550" s="118">
        <f>IFERROR(VLOOKUP(B550,BD_CONTROL!$A$5:$M$4235,13,0),"")</f>
        <v>0</v>
      </c>
    </row>
    <row r="551" spans="1:13" ht="15" customHeight="1">
      <c r="A551" s="42">
        <v>546</v>
      </c>
      <c r="B551" s="42" t="s">
        <v>7726</v>
      </c>
      <c r="C551" s="43" t="s">
        <v>6735</v>
      </c>
      <c r="D551" s="42" t="s">
        <v>3370</v>
      </c>
      <c r="E551" s="43" t="s">
        <v>3385</v>
      </c>
      <c r="F551" s="43" t="s">
        <v>3385</v>
      </c>
      <c r="G551" s="42" t="s">
        <v>6739</v>
      </c>
      <c r="H551" s="43" t="s">
        <v>1110</v>
      </c>
      <c r="I551" s="43" t="s">
        <v>6741</v>
      </c>
      <c r="J551" s="55"/>
      <c r="K551" s="119">
        <f>IFERROR(VLOOKUP(B551,BD_CONTROL!$A$5:$M$4235,11,0),"")</f>
        <v>0</v>
      </c>
      <c r="L551" s="120">
        <f>IFERROR(VLOOKUP(B551,BD_CONTROL!$A$5:$M$4235,12,0),"")</f>
        <v>0</v>
      </c>
      <c r="M551" s="121">
        <f>IFERROR(VLOOKUP(B551,BD_CONTROL!$A$5:$M$4235,13,0),"")</f>
        <v>0</v>
      </c>
    </row>
    <row r="552" spans="1:13" ht="15" customHeight="1">
      <c r="A552" s="39">
        <v>547</v>
      </c>
      <c r="B552" s="39" t="s">
        <v>7727</v>
      </c>
      <c r="C552" s="40" t="s">
        <v>6735</v>
      </c>
      <c r="D552" s="39" t="s">
        <v>3370</v>
      </c>
      <c r="E552" s="40" t="s">
        <v>3385</v>
      </c>
      <c r="F552" s="40" t="s">
        <v>3385</v>
      </c>
      <c r="G552" s="39" t="s">
        <v>6739</v>
      </c>
      <c r="H552" s="40" t="s">
        <v>1184</v>
      </c>
      <c r="I552" s="40" t="s">
        <v>6741</v>
      </c>
      <c r="J552" s="50"/>
      <c r="K552" s="116">
        <f>IFERROR(VLOOKUP(B552,BD_CONTROL!$A$5:$M$4235,11,0),"")</f>
        <v>0</v>
      </c>
      <c r="L552" s="117">
        <f>IFERROR(VLOOKUP(B552,BD_CONTROL!$A$5:$M$4235,12,0),"")</f>
        <v>0</v>
      </c>
      <c r="M552" s="118">
        <f>IFERROR(VLOOKUP(B552,BD_CONTROL!$A$5:$M$4235,13,0),"")</f>
        <v>0</v>
      </c>
    </row>
    <row r="553" spans="1:13" ht="15" customHeight="1">
      <c r="A553" s="42">
        <v>548</v>
      </c>
      <c r="B553" s="42" t="s">
        <v>7728</v>
      </c>
      <c r="C553" s="43" t="s">
        <v>6735</v>
      </c>
      <c r="D553" s="42" t="s">
        <v>3370</v>
      </c>
      <c r="E553" s="43" t="s">
        <v>3385</v>
      </c>
      <c r="F553" s="43" t="s">
        <v>3385</v>
      </c>
      <c r="G553" s="42" t="s">
        <v>6739</v>
      </c>
      <c r="H553" s="43" t="s">
        <v>1184</v>
      </c>
      <c r="I553" s="43" t="s">
        <v>6741</v>
      </c>
      <c r="J553" s="55"/>
      <c r="K553" s="119">
        <f>IFERROR(VLOOKUP(B553,BD_CONTROL!$A$5:$M$4235,11,0),"")</f>
        <v>0</v>
      </c>
      <c r="L553" s="120">
        <f>IFERROR(VLOOKUP(B553,BD_CONTROL!$A$5:$M$4235,12,0),"")</f>
        <v>0</v>
      </c>
      <c r="M553" s="121">
        <f>IFERROR(VLOOKUP(B553,BD_CONTROL!$A$5:$M$4235,13,0),"")</f>
        <v>0</v>
      </c>
    </row>
    <row r="554" spans="1:13" ht="15" customHeight="1">
      <c r="A554" s="39">
        <v>549</v>
      </c>
      <c r="B554" s="39" t="s">
        <v>7729</v>
      </c>
      <c r="C554" s="40" t="s">
        <v>6735</v>
      </c>
      <c r="D554" s="39" t="s">
        <v>3370</v>
      </c>
      <c r="E554" s="40" t="s">
        <v>3385</v>
      </c>
      <c r="F554" s="40" t="s">
        <v>3385</v>
      </c>
      <c r="G554" s="39" t="s">
        <v>6739</v>
      </c>
      <c r="H554" s="40" t="s">
        <v>1184</v>
      </c>
      <c r="I554" s="40" t="s">
        <v>6741</v>
      </c>
      <c r="J554" s="50"/>
      <c r="K554" s="116">
        <f>IFERROR(VLOOKUP(B554,BD_CONTROL!$A$5:$M$4235,11,0),"")</f>
        <v>0</v>
      </c>
      <c r="L554" s="117">
        <f>IFERROR(VLOOKUP(B554,BD_CONTROL!$A$5:$M$4235,12,0),"")</f>
        <v>0</v>
      </c>
      <c r="M554" s="118">
        <f>IFERROR(VLOOKUP(B554,BD_CONTROL!$A$5:$M$4235,13,0),"")</f>
        <v>0</v>
      </c>
    </row>
    <row r="555" spans="1:13" ht="15" customHeight="1">
      <c r="A555" s="42">
        <v>550</v>
      </c>
      <c r="B555" s="42" t="s">
        <v>7730</v>
      </c>
      <c r="C555" s="43" t="s">
        <v>6735</v>
      </c>
      <c r="D555" s="42" t="s">
        <v>3370</v>
      </c>
      <c r="E555" s="43" t="s">
        <v>3493</v>
      </c>
      <c r="F555" s="43" t="s">
        <v>7731</v>
      </c>
      <c r="G555" s="42" t="s">
        <v>6739</v>
      </c>
      <c r="H555" s="43" t="s">
        <v>1110</v>
      </c>
      <c r="I555" s="43" t="s">
        <v>6741</v>
      </c>
      <c r="J555" s="55"/>
      <c r="K555" s="119">
        <f>IFERROR(VLOOKUP(B555,BD_CONTROL!$A$5:$M$4235,11,0),"")</f>
        <v>0</v>
      </c>
      <c r="L555" s="120">
        <f>IFERROR(VLOOKUP(B555,BD_CONTROL!$A$5:$M$4235,12,0),"")</f>
        <v>0</v>
      </c>
      <c r="M555" s="121">
        <f>IFERROR(VLOOKUP(B555,BD_CONTROL!$A$5:$M$4235,13,0),"")</f>
        <v>0</v>
      </c>
    </row>
    <row r="556" spans="1:13" ht="15" customHeight="1">
      <c r="A556" s="39">
        <v>551</v>
      </c>
      <c r="B556" s="39" t="s">
        <v>7732</v>
      </c>
      <c r="C556" s="40" t="s">
        <v>6735</v>
      </c>
      <c r="D556" s="39" t="s">
        <v>3370</v>
      </c>
      <c r="E556" s="40" t="s">
        <v>3900</v>
      </c>
      <c r="F556" s="40" t="s">
        <v>3528</v>
      </c>
      <c r="G556" s="39" t="s">
        <v>6739</v>
      </c>
      <c r="H556" s="40" t="s">
        <v>1184</v>
      </c>
      <c r="I556" s="40" t="s">
        <v>6741</v>
      </c>
      <c r="J556" s="50"/>
      <c r="K556" s="116">
        <f>IFERROR(VLOOKUP(B556,BD_CONTROL!$A$5:$M$4235,11,0),"")</f>
        <v>0</v>
      </c>
      <c r="L556" s="117">
        <f>IFERROR(VLOOKUP(B556,BD_CONTROL!$A$5:$M$4235,12,0),"")</f>
        <v>0</v>
      </c>
      <c r="M556" s="118">
        <f>IFERROR(VLOOKUP(B556,BD_CONTROL!$A$5:$M$4235,13,0),"")</f>
        <v>0</v>
      </c>
    </row>
    <row r="557" spans="1:13" ht="15" customHeight="1">
      <c r="A557" s="42">
        <v>552</v>
      </c>
      <c r="B557" s="42" t="s">
        <v>7733</v>
      </c>
      <c r="C557" s="43" t="s">
        <v>6735</v>
      </c>
      <c r="D557" s="42" t="s">
        <v>3370</v>
      </c>
      <c r="E557" s="43" t="s">
        <v>3749</v>
      </c>
      <c r="F557" s="43" t="s">
        <v>3927</v>
      </c>
      <c r="G557" s="42" t="s">
        <v>6739</v>
      </c>
      <c r="H557" s="43" t="s">
        <v>1184</v>
      </c>
      <c r="I557" s="43" t="s">
        <v>6741</v>
      </c>
      <c r="J557" s="55"/>
      <c r="K557" s="119">
        <f>IFERROR(VLOOKUP(B557,BD_CONTROL!$A$5:$M$4235,11,0),"")</f>
        <v>0</v>
      </c>
      <c r="L557" s="120">
        <f>IFERROR(VLOOKUP(B557,BD_CONTROL!$A$5:$M$4235,12,0),"")</f>
        <v>0</v>
      </c>
      <c r="M557" s="121">
        <f>IFERROR(VLOOKUP(B557,BD_CONTROL!$A$5:$M$4235,13,0),"")</f>
        <v>0</v>
      </c>
    </row>
    <row r="558" spans="1:13" ht="15" customHeight="1">
      <c r="A558" s="39">
        <v>553</v>
      </c>
      <c r="B558" s="39" t="s">
        <v>7734</v>
      </c>
      <c r="C558" s="40" t="s">
        <v>6735</v>
      </c>
      <c r="D558" s="39" t="s">
        <v>3370</v>
      </c>
      <c r="E558" s="40" t="s">
        <v>3749</v>
      </c>
      <c r="F558" s="40" t="s">
        <v>3432</v>
      </c>
      <c r="G558" s="39" t="s">
        <v>6739</v>
      </c>
      <c r="H558" s="40" t="s">
        <v>1184</v>
      </c>
      <c r="I558" s="40" t="s">
        <v>6741</v>
      </c>
      <c r="J558" s="50"/>
      <c r="K558" s="116">
        <f>IFERROR(VLOOKUP(B558,BD_CONTROL!$A$5:$M$4235,11,0),"")</f>
        <v>0</v>
      </c>
      <c r="L558" s="117">
        <f>IFERROR(VLOOKUP(B558,BD_CONTROL!$A$5:$M$4235,12,0),"")</f>
        <v>0</v>
      </c>
      <c r="M558" s="118">
        <f>IFERROR(VLOOKUP(B558,BD_CONTROL!$A$5:$M$4235,13,0),"")</f>
        <v>0</v>
      </c>
    </row>
    <row r="559" spans="1:13" ht="15" customHeight="1">
      <c r="A559" s="42">
        <v>554</v>
      </c>
      <c r="B559" s="42" t="s">
        <v>7735</v>
      </c>
      <c r="C559" s="43" t="s">
        <v>6735</v>
      </c>
      <c r="D559" s="42" t="s">
        <v>3370</v>
      </c>
      <c r="E559" s="43" t="s">
        <v>3644</v>
      </c>
      <c r="F559" s="43" t="s">
        <v>3379</v>
      </c>
      <c r="G559" s="42" t="s">
        <v>6739</v>
      </c>
      <c r="H559" s="43" t="s">
        <v>1110</v>
      </c>
      <c r="I559" s="43" t="s">
        <v>6741</v>
      </c>
      <c r="J559" s="55"/>
      <c r="K559" s="119">
        <f>IFERROR(VLOOKUP(B559,BD_CONTROL!$A$5:$M$4235,11,0),"")</f>
        <v>0</v>
      </c>
      <c r="L559" s="120">
        <f>IFERROR(VLOOKUP(B559,BD_CONTROL!$A$5:$M$4235,12,0),"")</f>
        <v>0</v>
      </c>
      <c r="M559" s="121">
        <f>IFERROR(VLOOKUP(B559,BD_CONTROL!$A$5:$M$4235,13,0),"")</f>
        <v>0</v>
      </c>
    </row>
    <row r="560" spans="1:13" ht="15" customHeight="1">
      <c r="A560" s="39">
        <v>555</v>
      </c>
      <c r="B560" s="39" t="s">
        <v>7736</v>
      </c>
      <c r="C560" s="40" t="s">
        <v>6735</v>
      </c>
      <c r="D560" s="39" t="s">
        <v>3370</v>
      </c>
      <c r="E560" s="40" t="s">
        <v>3644</v>
      </c>
      <c r="F560" s="40" t="s">
        <v>3379</v>
      </c>
      <c r="G560" s="39" t="s">
        <v>6739</v>
      </c>
      <c r="H560" s="40" t="s">
        <v>1110</v>
      </c>
      <c r="I560" s="40" t="s">
        <v>6741</v>
      </c>
      <c r="J560" s="50"/>
      <c r="K560" s="116">
        <f>IFERROR(VLOOKUP(B560,BD_CONTROL!$A$5:$M$4235,11,0),"")</f>
        <v>0</v>
      </c>
      <c r="L560" s="117">
        <f>IFERROR(VLOOKUP(B560,BD_CONTROL!$A$5:$M$4235,12,0),"")</f>
        <v>0</v>
      </c>
      <c r="M560" s="118">
        <f>IFERROR(VLOOKUP(B560,BD_CONTROL!$A$5:$M$4235,13,0),"")</f>
        <v>0</v>
      </c>
    </row>
    <row r="561" spans="1:13" ht="15" customHeight="1">
      <c r="A561" s="42">
        <v>556</v>
      </c>
      <c r="B561" s="42" t="s">
        <v>7737</v>
      </c>
      <c r="C561" s="43" t="s">
        <v>6735</v>
      </c>
      <c r="D561" s="42" t="s">
        <v>3370</v>
      </c>
      <c r="E561" s="43" t="s">
        <v>3644</v>
      </c>
      <c r="F561" s="43" t="s">
        <v>7738</v>
      </c>
      <c r="G561" s="42" t="s">
        <v>6739</v>
      </c>
      <c r="H561" s="43" t="s">
        <v>1110</v>
      </c>
      <c r="I561" s="43" t="s">
        <v>6741</v>
      </c>
      <c r="J561" s="55"/>
      <c r="K561" s="119">
        <f>IFERROR(VLOOKUP(B561,BD_CONTROL!$A$5:$M$4235,11,0),"")</f>
        <v>0</v>
      </c>
      <c r="L561" s="120">
        <f>IFERROR(VLOOKUP(B561,BD_CONTROL!$A$5:$M$4235,12,0),"")</f>
        <v>0</v>
      </c>
      <c r="M561" s="121">
        <f>IFERROR(VLOOKUP(B561,BD_CONTROL!$A$5:$M$4235,13,0),"")</f>
        <v>0</v>
      </c>
    </row>
    <row r="562" spans="1:13" ht="15" customHeight="1">
      <c r="A562" s="39">
        <v>557</v>
      </c>
      <c r="B562" s="39" t="s">
        <v>7739</v>
      </c>
      <c r="C562" s="40" t="s">
        <v>6735</v>
      </c>
      <c r="D562" s="39" t="s">
        <v>3370</v>
      </c>
      <c r="E562" s="40" t="s">
        <v>3644</v>
      </c>
      <c r="F562" s="40" t="s">
        <v>7740</v>
      </c>
      <c r="G562" s="39" t="s">
        <v>6739</v>
      </c>
      <c r="H562" s="40" t="s">
        <v>1110</v>
      </c>
      <c r="I562" s="40" t="s">
        <v>6741</v>
      </c>
      <c r="J562" s="50"/>
      <c r="K562" s="116">
        <f>IFERROR(VLOOKUP(B562,BD_CONTROL!$A$5:$M$4235,11,0),"")</f>
        <v>0</v>
      </c>
      <c r="L562" s="117">
        <f>IFERROR(VLOOKUP(B562,BD_CONTROL!$A$5:$M$4235,12,0),"")</f>
        <v>0</v>
      </c>
      <c r="M562" s="118">
        <f>IFERROR(VLOOKUP(B562,BD_CONTROL!$A$5:$M$4235,13,0),"")</f>
        <v>0</v>
      </c>
    </row>
    <row r="563" spans="1:13" ht="15" customHeight="1">
      <c r="A563" s="42">
        <v>558</v>
      </c>
      <c r="B563" s="42" t="s">
        <v>7741</v>
      </c>
      <c r="C563" s="43" t="s">
        <v>6735</v>
      </c>
      <c r="D563" s="42" t="s">
        <v>3370</v>
      </c>
      <c r="E563" s="43" t="s">
        <v>4124</v>
      </c>
      <c r="F563" s="43" t="s">
        <v>7742</v>
      </c>
      <c r="G563" s="42" t="s">
        <v>6739</v>
      </c>
      <c r="H563" s="43" t="s">
        <v>1184</v>
      </c>
      <c r="I563" s="43" t="s">
        <v>6741</v>
      </c>
      <c r="J563" s="55"/>
      <c r="K563" s="119">
        <f>IFERROR(VLOOKUP(B563,BD_CONTROL!$A$5:$M$4235,11,0),"")</f>
        <v>0</v>
      </c>
      <c r="L563" s="120">
        <f>IFERROR(VLOOKUP(B563,BD_CONTROL!$A$5:$M$4235,12,0),"")</f>
        <v>0</v>
      </c>
      <c r="M563" s="121">
        <f>IFERROR(VLOOKUP(B563,BD_CONTROL!$A$5:$M$4235,13,0),"")</f>
        <v>0</v>
      </c>
    </row>
    <row r="564" spans="1:13" ht="15" customHeight="1">
      <c r="A564" s="39">
        <v>559</v>
      </c>
      <c r="B564" s="39" t="s">
        <v>7743</v>
      </c>
      <c r="C564" s="40" t="s">
        <v>6735</v>
      </c>
      <c r="D564" s="39" t="s">
        <v>3370</v>
      </c>
      <c r="E564" s="40" t="s">
        <v>3561</v>
      </c>
      <c r="F564" s="40" t="s">
        <v>3561</v>
      </c>
      <c r="G564" s="39" t="s">
        <v>6739</v>
      </c>
      <c r="H564" s="40" t="s">
        <v>1110</v>
      </c>
      <c r="I564" s="40" t="s">
        <v>6741</v>
      </c>
      <c r="J564" s="50"/>
      <c r="K564" s="116">
        <f>IFERROR(VLOOKUP(B564,BD_CONTROL!$A$5:$M$4235,11,0),"")</f>
        <v>0</v>
      </c>
      <c r="L564" s="117">
        <f>IFERROR(VLOOKUP(B564,BD_CONTROL!$A$5:$M$4235,12,0),"")</f>
        <v>0</v>
      </c>
      <c r="M564" s="118">
        <f>IFERROR(VLOOKUP(B564,BD_CONTROL!$A$5:$M$4235,13,0),"")</f>
        <v>0</v>
      </c>
    </row>
    <row r="565" spans="1:13" ht="15" customHeight="1">
      <c r="A565" s="42">
        <v>560</v>
      </c>
      <c r="B565" s="42" t="s">
        <v>7744</v>
      </c>
      <c r="C565" s="43" t="s">
        <v>6735</v>
      </c>
      <c r="D565" s="42" t="s">
        <v>3370</v>
      </c>
      <c r="E565" s="43" t="s">
        <v>3561</v>
      </c>
      <c r="F565" s="43" t="s">
        <v>3561</v>
      </c>
      <c r="G565" s="42" t="s">
        <v>6739</v>
      </c>
      <c r="H565" s="43" t="s">
        <v>1110</v>
      </c>
      <c r="I565" s="43" t="s">
        <v>6741</v>
      </c>
      <c r="J565" s="55"/>
      <c r="K565" s="119">
        <f>IFERROR(VLOOKUP(B565,BD_CONTROL!$A$5:$M$4235,11,0),"")</f>
        <v>0</v>
      </c>
      <c r="L565" s="120">
        <f>IFERROR(VLOOKUP(B565,BD_CONTROL!$A$5:$M$4235,12,0),"")</f>
        <v>0</v>
      </c>
      <c r="M565" s="121">
        <f>IFERROR(VLOOKUP(B565,BD_CONTROL!$A$5:$M$4235,13,0),"")</f>
        <v>0</v>
      </c>
    </row>
    <row r="566" spans="1:13" ht="15" customHeight="1">
      <c r="A566" s="39">
        <v>561</v>
      </c>
      <c r="B566" s="39" t="s">
        <v>7745</v>
      </c>
      <c r="C566" s="40" t="s">
        <v>6735</v>
      </c>
      <c r="D566" s="39" t="s">
        <v>3370</v>
      </c>
      <c r="E566" s="40" t="s">
        <v>3561</v>
      </c>
      <c r="F566" s="40" t="s">
        <v>3561</v>
      </c>
      <c r="G566" s="39" t="s">
        <v>6739</v>
      </c>
      <c r="H566" s="40" t="s">
        <v>1110</v>
      </c>
      <c r="I566" s="40" t="s">
        <v>6741</v>
      </c>
      <c r="J566" s="50"/>
      <c r="K566" s="116">
        <f>IFERROR(VLOOKUP(B566,BD_CONTROL!$A$5:$M$4235,11,0),"")</f>
        <v>0</v>
      </c>
      <c r="L566" s="117">
        <f>IFERROR(VLOOKUP(B566,BD_CONTROL!$A$5:$M$4235,12,0),"")</f>
        <v>0</v>
      </c>
      <c r="M566" s="118">
        <f>IFERROR(VLOOKUP(B566,BD_CONTROL!$A$5:$M$4235,13,0),"")</f>
        <v>0</v>
      </c>
    </row>
    <row r="567" spans="1:13" ht="15" customHeight="1">
      <c r="A567" s="42">
        <v>562</v>
      </c>
      <c r="B567" s="42" t="s">
        <v>7746</v>
      </c>
      <c r="C567" s="43" t="s">
        <v>6735</v>
      </c>
      <c r="D567" s="42" t="s">
        <v>3370</v>
      </c>
      <c r="E567" s="43" t="s">
        <v>3561</v>
      </c>
      <c r="F567" s="43" t="s">
        <v>3561</v>
      </c>
      <c r="G567" s="42" t="s">
        <v>6739</v>
      </c>
      <c r="H567" s="43" t="s">
        <v>1110</v>
      </c>
      <c r="I567" s="43" t="s">
        <v>6741</v>
      </c>
      <c r="J567" s="55"/>
      <c r="K567" s="119">
        <f>IFERROR(VLOOKUP(B567,BD_CONTROL!$A$5:$M$4235,11,0),"")</f>
        <v>0</v>
      </c>
      <c r="L567" s="120">
        <f>IFERROR(VLOOKUP(B567,BD_CONTROL!$A$5:$M$4235,12,0),"")</f>
        <v>0</v>
      </c>
      <c r="M567" s="121">
        <f>IFERROR(VLOOKUP(B567,BD_CONTROL!$A$5:$M$4235,13,0),"")</f>
        <v>0</v>
      </c>
    </row>
    <row r="568" spans="1:13" ht="15" customHeight="1">
      <c r="A568" s="39">
        <v>563</v>
      </c>
      <c r="B568" s="39" t="s">
        <v>7754</v>
      </c>
      <c r="C568" s="40" t="s">
        <v>6735</v>
      </c>
      <c r="D568" s="39" t="s">
        <v>3370</v>
      </c>
      <c r="E568" s="40" t="s">
        <v>7755</v>
      </c>
      <c r="F568" s="40" t="s">
        <v>7756</v>
      </c>
      <c r="G568" s="39" t="s">
        <v>6739</v>
      </c>
      <c r="H568" s="40" t="s">
        <v>1184</v>
      </c>
      <c r="I568" s="40" t="s">
        <v>6741</v>
      </c>
      <c r="J568" s="50"/>
      <c r="K568" s="116">
        <f>IFERROR(VLOOKUP(B568,BD_CONTROL!$A$5:$M$4235,11,0),"")</f>
        <v>0</v>
      </c>
      <c r="L568" s="117">
        <f>IFERROR(VLOOKUP(B568,BD_CONTROL!$A$5:$M$4235,12,0),"")</f>
        <v>0</v>
      </c>
      <c r="M568" s="118">
        <f>IFERROR(VLOOKUP(B568,BD_CONTROL!$A$5:$M$4235,13,0),"")</f>
        <v>0</v>
      </c>
    </row>
    <row r="569" spans="1:13" ht="15" customHeight="1">
      <c r="A569" s="42">
        <v>564</v>
      </c>
      <c r="B569" s="42" t="s">
        <v>7757</v>
      </c>
      <c r="C569" s="43" t="s">
        <v>6735</v>
      </c>
      <c r="D569" s="42" t="s">
        <v>3370</v>
      </c>
      <c r="E569" s="43" t="s">
        <v>3927</v>
      </c>
      <c r="F569" s="43" t="s">
        <v>3616</v>
      </c>
      <c r="G569" s="42" t="s">
        <v>6739</v>
      </c>
      <c r="H569" s="43" t="s">
        <v>1184</v>
      </c>
      <c r="I569" s="43" t="s">
        <v>6741</v>
      </c>
      <c r="J569" s="55"/>
      <c r="K569" s="119">
        <f>IFERROR(VLOOKUP(B569,BD_CONTROL!$A$5:$M$4235,11,0),"")</f>
        <v>0</v>
      </c>
      <c r="L569" s="120">
        <f>IFERROR(VLOOKUP(B569,BD_CONTROL!$A$5:$M$4235,12,0),"")</f>
        <v>0</v>
      </c>
      <c r="M569" s="121">
        <f>IFERROR(VLOOKUP(B569,BD_CONTROL!$A$5:$M$4235,13,0),"")</f>
        <v>0</v>
      </c>
    </row>
    <row r="570" spans="1:13" ht="15" customHeight="1">
      <c r="A570" s="39">
        <v>565</v>
      </c>
      <c r="B570" s="39" t="s">
        <v>7765</v>
      </c>
      <c r="C570" s="40" t="s">
        <v>6735</v>
      </c>
      <c r="D570" s="39" t="s">
        <v>3370</v>
      </c>
      <c r="E570" s="40" t="s">
        <v>3576</v>
      </c>
      <c r="F570" s="40" t="s">
        <v>7766</v>
      </c>
      <c r="G570" s="39" t="s">
        <v>6739</v>
      </c>
      <c r="H570" s="40" t="s">
        <v>1110</v>
      </c>
      <c r="I570" s="40" t="s">
        <v>6741</v>
      </c>
      <c r="J570" s="50"/>
      <c r="K570" s="116">
        <f>IFERROR(VLOOKUP(B570,BD_CONTROL!$A$5:$M$4235,11,0),"")</f>
        <v>0</v>
      </c>
      <c r="L570" s="117">
        <f>IFERROR(VLOOKUP(B570,BD_CONTROL!$A$5:$M$4235,12,0),"")</f>
        <v>0</v>
      </c>
      <c r="M570" s="118">
        <f>IFERROR(VLOOKUP(B570,BD_CONTROL!$A$5:$M$4235,13,0),"")</f>
        <v>0</v>
      </c>
    </row>
    <row r="571" spans="1:13" ht="15" customHeight="1">
      <c r="A571" s="42">
        <v>566</v>
      </c>
      <c r="B571" s="42" t="s">
        <v>7767</v>
      </c>
      <c r="C571" s="43" t="s">
        <v>6735</v>
      </c>
      <c r="D571" s="42" t="s">
        <v>3370</v>
      </c>
      <c r="E571" s="43" t="s">
        <v>7768</v>
      </c>
      <c r="F571" s="43" t="s">
        <v>7769</v>
      </c>
      <c r="G571" s="42" t="s">
        <v>6739</v>
      </c>
      <c r="H571" s="43" t="s">
        <v>1110</v>
      </c>
      <c r="I571" s="43" t="s">
        <v>6741</v>
      </c>
      <c r="J571" s="55"/>
      <c r="K571" s="119">
        <f>IFERROR(VLOOKUP(B571,BD_CONTROL!$A$5:$M$4235,11,0),"")</f>
        <v>0</v>
      </c>
      <c r="L571" s="120">
        <f>IFERROR(VLOOKUP(B571,BD_CONTROL!$A$5:$M$4235,12,0),"")</f>
        <v>0</v>
      </c>
      <c r="M571" s="121">
        <f>IFERROR(VLOOKUP(B571,BD_CONTROL!$A$5:$M$4235,13,0),"")</f>
        <v>0</v>
      </c>
    </row>
    <row r="572" spans="1:13" ht="15" customHeight="1">
      <c r="A572" s="39">
        <v>567</v>
      </c>
      <c r="B572" s="39" t="s">
        <v>7770</v>
      </c>
      <c r="C572" s="40" t="s">
        <v>6735</v>
      </c>
      <c r="D572" s="39" t="s">
        <v>3370</v>
      </c>
      <c r="E572" s="40" t="s">
        <v>3371</v>
      </c>
      <c r="F572" s="40" t="s">
        <v>7771</v>
      </c>
      <c r="G572" s="39" t="s">
        <v>6739</v>
      </c>
      <c r="H572" s="40" t="s">
        <v>1110</v>
      </c>
      <c r="I572" s="40" t="s">
        <v>6741</v>
      </c>
      <c r="J572" s="50"/>
      <c r="K572" s="116">
        <f>IFERROR(VLOOKUP(B572,BD_CONTROL!$A$5:$M$4235,11,0),"")</f>
        <v>0</v>
      </c>
      <c r="L572" s="117">
        <f>IFERROR(VLOOKUP(B572,BD_CONTROL!$A$5:$M$4235,12,0),"")</f>
        <v>0</v>
      </c>
      <c r="M572" s="118">
        <f>IFERROR(VLOOKUP(B572,BD_CONTROL!$A$5:$M$4235,13,0),"")</f>
        <v>0</v>
      </c>
    </row>
    <row r="573" spans="1:13" ht="15" customHeight="1">
      <c r="A573" s="42">
        <v>568</v>
      </c>
      <c r="B573" s="42" t="s">
        <v>7772</v>
      </c>
      <c r="C573" s="43" t="s">
        <v>6735</v>
      </c>
      <c r="D573" s="42" t="s">
        <v>3370</v>
      </c>
      <c r="E573" s="43" t="s">
        <v>3371</v>
      </c>
      <c r="F573" s="43" t="s">
        <v>7773</v>
      </c>
      <c r="G573" s="42" t="s">
        <v>6739</v>
      </c>
      <c r="H573" s="43" t="s">
        <v>1110</v>
      </c>
      <c r="I573" s="43" t="s">
        <v>6741</v>
      </c>
      <c r="J573" s="55"/>
      <c r="K573" s="119">
        <f>IFERROR(VLOOKUP(B573,BD_CONTROL!$A$5:$M$4235,11,0),"")</f>
        <v>0</v>
      </c>
      <c r="L573" s="120">
        <f>IFERROR(VLOOKUP(B573,BD_CONTROL!$A$5:$M$4235,12,0),"")</f>
        <v>0</v>
      </c>
      <c r="M573" s="121">
        <f>IFERROR(VLOOKUP(B573,BD_CONTROL!$A$5:$M$4235,13,0),"")</f>
        <v>0</v>
      </c>
    </row>
    <row r="574" spans="1:13" ht="15" customHeight="1">
      <c r="A574" s="39">
        <v>569</v>
      </c>
      <c r="B574" s="39" t="s">
        <v>7774</v>
      </c>
      <c r="C574" s="40" t="s">
        <v>6735</v>
      </c>
      <c r="D574" s="39" t="s">
        <v>3370</v>
      </c>
      <c r="E574" s="40" t="s">
        <v>3371</v>
      </c>
      <c r="F574" s="40" t="s">
        <v>7775</v>
      </c>
      <c r="G574" s="39" t="s">
        <v>6739</v>
      </c>
      <c r="H574" s="40" t="s">
        <v>1110</v>
      </c>
      <c r="I574" s="40" t="s">
        <v>6741</v>
      </c>
      <c r="J574" s="50"/>
      <c r="K574" s="116">
        <f>IFERROR(VLOOKUP(B574,BD_CONTROL!$A$5:$M$4235,11,0),"")</f>
        <v>0</v>
      </c>
      <c r="L574" s="117">
        <f>IFERROR(VLOOKUP(B574,BD_CONTROL!$A$5:$M$4235,12,0),"")</f>
        <v>0</v>
      </c>
      <c r="M574" s="118">
        <f>IFERROR(VLOOKUP(B574,BD_CONTROL!$A$5:$M$4235,13,0),"")</f>
        <v>0</v>
      </c>
    </row>
    <row r="575" spans="1:13" ht="15" customHeight="1">
      <c r="A575" s="42">
        <v>570</v>
      </c>
      <c r="B575" s="42" t="s">
        <v>7776</v>
      </c>
      <c r="C575" s="43" t="s">
        <v>6735</v>
      </c>
      <c r="D575" s="42" t="s">
        <v>3370</v>
      </c>
      <c r="E575" s="43" t="s">
        <v>3651</v>
      </c>
      <c r="F575" s="43" t="s">
        <v>3651</v>
      </c>
      <c r="G575" s="42" t="s">
        <v>6739</v>
      </c>
      <c r="H575" s="43" t="s">
        <v>1110</v>
      </c>
      <c r="I575" s="43" t="s">
        <v>6741</v>
      </c>
      <c r="J575" s="55"/>
      <c r="K575" s="119">
        <f>IFERROR(VLOOKUP(B575,BD_CONTROL!$A$5:$M$4235,11,0),"")</f>
        <v>0</v>
      </c>
      <c r="L575" s="120">
        <f>IFERROR(VLOOKUP(B575,BD_CONTROL!$A$5:$M$4235,12,0),"")</f>
        <v>0</v>
      </c>
      <c r="M575" s="121">
        <f>IFERROR(VLOOKUP(B575,BD_CONTROL!$A$5:$M$4235,13,0),"")</f>
        <v>0</v>
      </c>
    </row>
    <row r="576" spans="1:13" ht="15" customHeight="1">
      <c r="A576" s="39">
        <v>571</v>
      </c>
      <c r="B576" s="39" t="s">
        <v>7777</v>
      </c>
      <c r="C576" s="40" t="s">
        <v>6735</v>
      </c>
      <c r="D576" s="39" t="s">
        <v>3370</v>
      </c>
      <c r="E576" s="40" t="s">
        <v>3651</v>
      </c>
      <c r="F576" s="40" t="s">
        <v>7778</v>
      </c>
      <c r="G576" s="39" t="s">
        <v>6739</v>
      </c>
      <c r="H576" s="40" t="s">
        <v>1110</v>
      </c>
      <c r="I576" s="40" t="s">
        <v>6741</v>
      </c>
      <c r="J576" s="50"/>
      <c r="K576" s="116">
        <f>IFERROR(VLOOKUP(B576,BD_CONTROL!$A$5:$M$4235,11,0),"")</f>
        <v>0</v>
      </c>
      <c r="L576" s="117">
        <f>IFERROR(VLOOKUP(B576,BD_CONTROL!$A$5:$M$4235,12,0),"")</f>
        <v>0</v>
      </c>
      <c r="M576" s="118">
        <f>IFERROR(VLOOKUP(B576,BD_CONTROL!$A$5:$M$4235,13,0),"")</f>
        <v>0</v>
      </c>
    </row>
    <row r="577" spans="1:13" ht="15" customHeight="1">
      <c r="A577" s="42">
        <v>572</v>
      </c>
      <c r="B577" s="42" t="s">
        <v>7779</v>
      </c>
      <c r="C577" s="43" t="s">
        <v>6735</v>
      </c>
      <c r="D577" s="42" t="s">
        <v>3370</v>
      </c>
      <c r="E577" s="43" t="s">
        <v>7780</v>
      </c>
      <c r="F577" s="43" t="s">
        <v>7781</v>
      </c>
      <c r="G577" s="42" t="s">
        <v>6739</v>
      </c>
      <c r="H577" s="43" t="s">
        <v>1110</v>
      </c>
      <c r="I577" s="43" t="s">
        <v>6741</v>
      </c>
      <c r="J577" s="55"/>
      <c r="K577" s="119">
        <f>IFERROR(VLOOKUP(B577,BD_CONTROL!$A$5:$M$4235,11,0),"")</f>
        <v>0</v>
      </c>
      <c r="L577" s="120">
        <f>IFERROR(VLOOKUP(B577,BD_CONTROL!$A$5:$M$4235,12,0),"")</f>
        <v>0</v>
      </c>
      <c r="M577" s="121">
        <f>IFERROR(VLOOKUP(B577,BD_CONTROL!$A$5:$M$4235,13,0),"")</f>
        <v>0</v>
      </c>
    </row>
    <row r="578" spans="1:13" ht="15" customHeight="1">
      <c r="A578" s="39">
        <v>573</v>
      </c>
      <c r="B578" s="39" t="s">
        <v>7782</v>
      </c>
      <c r="C578" s="40" t="s">
        <v>6735</v>
      </c>
      <c r="D578" s="39" t="s">
        <v>3370</v>
      </c>
      <c r="E578" s="40" t="s">
        <v>3379</v>
      </c>
      <c r="F578" s="40" t="s">
        <v>3379</v>
      </c>
      <c r="G578" s="39" t="s">
        <v>6739</v>
      </c>
      <c r="H578" s="40" t="s">
        <v>1110</v>
      </c>
      <c r="I578" s="40" t="s">
        <v>6741</v>
      </c>
      <c r="J578" s="50"/>
      <c r="K578" s="116">
        <f>IFERROR(VLOOKUP(B578,BD_CONTROL!$A$5:$M$4235,11,0),"")</f>
        <v>0</v>
      </c>
      <c r="L578" s="117">
        <f>IFERROR(VLOOKUP(B578,BD_CONTROL!$A$5:$M$4235,12,0),"")</f>
        <v>0</v>
      </c>
      <c r="M578" s="118">
        <f>IFERROR(VLOOKUP(B578,BD_CONTROL!$A$5:$M$4235,13,0),"")</f>
        <v>0</v>
      </c>
    </row>
    <row r="579" spans="1:13" ht="15" customHeight="1">
      <c r="A579" s="42">
        <v>574</v>
      </c>
      <c r="B579" s="42" t="s">
        <v>7783</v>
      </c>
      <c r="C579" s="43" t="s">
        <v>6735</v>
      </c>
      <c r="D579" s="42" t="s">
        <v>3370</v>
      </c>
      <c r="E579" s="43" t="s">
        <v>3379</v>
      </c>
      <c r="F579" s="43" t="s">
        <v>3379</v>
      </c>
      <c r="G579" s="42" t="s">
        <v>6739</v>
      </c>
      <c r="H579" s="43" t="s">
        <v>1110</v>
      </c>
      <c r="I579" s="43" t="s">
        <v>6741</v>
      </c>
      <c r="J579" s="55"/>
      <c r="K579" s="119">
        <f>IFERROR(VLOOKUP(B579,BD_CONTROL!$A$5:$M$4235,11,0),"")</f>
        <v>0</v>
      </c>
      <c r="L579" s="120">
        <f>IFERROR(VLOOKUP(B579,BD_CONTROL!$A$5:$M$4235,12,0),"")</f>
        <v>0</v>
      </c>
      <c r="M579" s="121">
        <f>IFERROR(VLOOKUP(B579,BD_CONTROL!$A$5:$M$4235,13,0),"")</f>
        <v>0</v>
      </c>
    </row>
    <row r="580" spans="1:13" ht="15" customHeight="1">
      <c r="A580" s="39">
        <v>575</v>
      </c>
      <c r="B580" s="39" t="s">
        <v>7784</v>
      </c>
      <c r="C580" s="40" t="s">
        <v>6735</v>
      </c>
      <c r="D580" s="39" t="s">
        <v>3370</v>
      </c>
      <c r="E580" s="40" t="s">
        <v>3379</v>
      </c>
      <c r="F580" s="40" t="s">
        <v>3379</v>
      </c>
      <c r="G580" s="39" t="s">
        <v>6739</v>
      </c>
      <c r="H580" s="40" t="s">
        <v>1110</v>
      </c>
      <c r="I580" s="40" t="s">
        <v>6741</v>
      </c>
      <c r="J580" s="50"/>
      <c r="K580" s="116">
        <f>IFERROR(VLOOKUP(B580,BD_CONTROL!$A$5:$M$4235,11,0),"")</f>
        <v>0</v>
      </c>
      <c r="L580" s="117">
        <f>IFERROR(VLOOKUP(B580,BD_CONTROL!$A$5:$M$4235,12,0),"")</f>
        <v>0</v>
      </c>
      <c r="M580" s="118">
        <f>IFERROR(VLOOKUP(B580,BD_CONTROL!$A$5:$M$4235,13,0),"")</f>
        <v>0</v>
      </c>
    </row>
    <row r="581" spans="1:13" ht="15" customHeight="1">
      <c r="A581" s="42">
        <v>576</v>
      </c>
      <c r="B581" s="42" t="s">
        <v>7785</v>
      </c>
      <c r="C581" s="43" t="s">
        <v>6735</v>
      </c>
      <c r="D581" s="42" t="s">
        <v>3370</v>
      </c>
      <c r="E581" s="43" t="s">
        <v>3379</v>
      </c>
      <c r="F581" s="43" t="s">
        <v>7786</v>
      </c>
      <c r="G581" s="42" t="s">
        <v>6739</v>
      </c>
      <c r="H581" s="43" t="s">
        <v>1110</v>
      </c>
      <c r="I581" s="43" t="s">
        <v>6741</v>
      </c>
      <c r="J581" s="55"/>
      <c r="K581" s="119">
        <f>IFERROR(VLOOKUP(B581,BD_CONTROL!$A$5:$M$4235,11,0),"")</f>
        <v>0</v>
      </c>
      <c r="L581" s="120">
        <f>IFERROR(VLOOKUP(B581,BD_CONTROL!$A$5:$M$4235,12,0),"")</f>
        <v>0</v>
      </c>
      <c r="M581" s="121">
        <f>IFERROR(VLOOKUP(B581,BD_CONTROL!$A$5:$M$4235,13,0),"")</f>
        <v>0</v>
      </c>
    </row>
    <row r="582" spans="1:13" ht="15" customHeight="1">
      <c r="A582" s="39">
        <v>577</v>
      </c>
      <c r="B582" s="39" t="s">
        <v>7787</v>
      </c>
      <c r="C582" s="40" t="s">
        <v>6735</v>
      </c>
      <c r="D582" s="39" t="s">
        <v>3370</v>
      </c>
      <c r="E582" s="40" t="s">
        <v>3379</v>
      </c>
      <c r="F582" s="40" t="s">
        <v>7788</v>
      </c>
      <c r="G582" s="39" t="s">
        <v>6739</v>
      </c>
      <c r="H582" s="40" t="s">
        <v>1110</v>
      </c>
      <c r="I582" s="40" t="s">
        <v>6741</v>
      </c>
      <c r="J582" s="50"/>
      <c r="K582" s="116">
        <f>IFERROR(VLOOKUP(B582,BD_CONTROL!$A$5:$M$4235,11,0),"")</f>
        <v>0</v>
      </c>
      <c r="L582" s="117">
        <f>IFERROR(VLOOKUP(B582,BD_CONTROL!$A$5:$M$4235,12,0),"")</f>
        <v>0</v>
      </c>
      <c r="M582" s="118">
        <f>IFERROR(VLOOKUP(B582,BD_CONTROL!$A$5:$M$4235,13,0),"")</f>
        <v>0</v>
      </c>
    </row>
    <row r="583" spans="1:13" ht="15" customHeight="1">
      <c r="A583" s="42">
        <v>578</v>
      </c>
      <c r="B583" s="42" t="s">
        <v>7789</v>
      </c>
      <c r="C583" s="43" t="s">
        <v>6735</v>
      </c>
      <c r="D583" s="42" t="s">
        <v>3370</v>
      </c>
      <c r="E583" s="43" t="s">
        <v>3384</v>
      </c>
      <c r="F583" s="43" t="s">
        <v>3435</v>
      </c>
      <c r="G583" s="42" t="s">
        <v>6739</v>
      </c>
      <c r="H583" s="43" t="s">
        <v>1110</v>
      </c>
      <c r="I583" s="43" t="s">
        <v>6741</v>
      </c>
      <c r="J583" s="55"/>
      <c r="K583" s="119">
        <f>IFERROR(VLOOKUP(B583,BD_CONTROL!$A$5:$M$4235,11,0),"")</f>
        <v>0</v>
      </c>
      <c r="L583" s="120">
        <f>IFERROR(VLOOKUP(B583,BD_CONTROL!$A$5:$M$4235,12,0),"")</f>
        <v>0</v>
      </c>
      <c r="M583" s="121">
        <f>IFERROR(VLOOKUP(B583,BD_CONTROL!$A$5:$M$4235,13,0),"")</f>
        <v>0</v>
      </c>
    </row>
    <row r="584" spans="1:13" ht="15" customHeight="1">
      <c r="A584" s="39">
        <v>579</v>
      </c>
      <c r="B584" s="39" t="s">
        <v>7790</v>
      </c>
      <c r="C584" s="40" t="s">
        <v>6735</v>
      </c>
      <c r="D584" s="39" t="s">
        <v>3370</v>
      </c>
      <c r="E584" s="40" t="s">
        <v>3384</v>
      </c>
      <c r="F584" s="40" t="s">
        <v>3435</v>
      </c>
      <c r="G584" s="39" t="s">
        <v>6739</v>
      </c>
      <c r="H584" s="40" t="s">
        <v>1110</v>
      </c>
      <c r="I584" s="40" t="s">
        <v>6741</v>
      </c>
      <c r="J584" s="50"/>
      <c r="K584" s="116">
        <f>IFERROR(VLOOKUP(B584,BD_CONTROL!$A$5:$M$4235,11,0),"")</f>
        <v>0</v>
      </c>
      <c r="L584" s="117">
        <f>IFERROR(VLOOKUP(B584,BD_CONTROL!$A$5:$M$4235,12,0),"")</f>
        <v>0</v>
      </c>
      <c r="M584" s="118">
        <f>IFERROR(VLOOKUP(B584,BD_CONTROL!$A$5:$M$4235,13,0),"")</f>
        <v>0</v>
      </c>
    </row>
    <row r="585" spans="1:13" ht="15" customHeight="1">
      <c r="A585" s="42">
        <v>580</v>
      </c>
      <c r="B585" s="42" t="s">
        <v>7791</v>
      </c>
      <c r="C585" s="43" t="s">
        <v>6735</v>
      </c>
      <c r="D585" s="42" t="s">
        <v>3370</v>
      </c>
      <c r="E585" s="43" t="s">
        <v>3384</v>
      </c>
      <c r="F585" s="43" t="s">
        <v>3435</v>
      </c>
      <c r="G585" s="42" t="s">
        <v>6739</v>
      </c>
      <c r="H585" s="43" t="s">
        <v>1110</v>
      </c>
      <c r="I585" s="43" t="s">
        <v>6741</v>
      </c>
      <c r="J585" s="55"/>
      <c r="K585" s="119">
        <f>IFERROR(VLOOKUP(B585,BD_CONTROL!$A$5:$M$4235,11,0),"")</f>
        <v>0</v>
      </c>
      <c r="L585" s="120">
        <f>IFERROR(VLOOKUP(B585,BD_CONTROL!$A$5:$M$4235,12,0),"")</f>
        <v>0</v>
      </c>
      <c r="M585" s="121">
        <f>IFERROR(VLOOKUP(B585,BD_CONTROL!$A$5:$M$4235,13,0),"")</f>
        <v>0</v>
      </c>
    </row>
    <row r="586" spans="1:13" ht="15" customHeight="1">
      <c r="A586" s="39">
        <v>581</v>
      </c>
      <c r="B586" s="39" t="s">
        <v>7792</v>
      </c>
      <c r="C586" s="40" t="s">
        <v>6735</v>
      </c>
      <c r="D586" s="39" t="s">
        <v>3370</v>
      </c>
      <c r="E586" s="40" t="s">
        <v>3384</v>
      </c>
      <c r="F586" s="40" t="s">
        <v>3435</v>
      </c>
      <c r="G586" s="39" t="s">
        <v>6739</v>
      </c>
      <c r="H586" s="40" t="s">
        <v>1110</v>
      </c>
      <c r="I586" s="40" t="s">
        <v>6741</v>
      </c>
      <c r="J586" s="50"/>
      <c r="K586" s="116" t="str">
        <f>IFERROR(VLOOKUP(B586,BD_CONTROL!$A$5:$M$4235,11,0),"")</f>
        <v>Instalado - Sin Señal</v>
      </c>
      <c r="L586" s="117">
        <f>IFERROR(VLOOKUP(B586,BD_CONTROL!$A$5:$M$4235,12,0),"")</f>
        <v>46146</v>
      </c>
      <c r="M586" s="118" t="str">
        <f>IFERROR(VLOOKUP(B586,BD_CONTROL!$A$5:$M$4235,13,0),"")</f>
        <v>Reporte mesa de ayuda, no se encontró en APP</v>
      </c>
    </row>
    <row r="587" spans="1:13" ht="15" customHeight="1">
      <c r="A587" s="42">
        <v>582</v>
      </c>
      <c r="B587" s="42" t="s">
        <v>7794</v>
      </c>
      <c r="C587" s="43" t="s">
        <v>6735</v>
      </c>
      <c r="D587" s="42" t="s">
        <v>3370</v>
      </c>
      <c r="E587" s="43" t="s">
        <v>3384</v>
      </c>
      <c r="F587" s="43" t="s">
        <v>3435</v>
      </c>
      <c r="G587" s="42" t="s">
        <v>6739</v>
      </c>
      <c r="H587" s="43" t="s">
        <v>1110</v>
      </c>
      <c r="I587" s="43" t="s">
        <v>6741</v>
      </c>
      <c r="J587" s="55"/>
      <c r="K587" s="119">
        <f>IFERROR(VLOOKUP(B587,BD_CONTROL!$A$5:$M$4235,11,0),"")</f>
        <v>0</v>
      </c>
      <c r="L587" s="120">
        <f>IFERROR(VLOOKUP(B587,BD_CONTROL!$A$5:$M$4235,12,0),"")</f>
        <v>0</v>
      </c>
      <c r="M587" s="121">
        <f>IFERROR(VLOOKUP(B587,BD_CONTROL!$A$5:$M$4235,13,0),"")</f>
        <v>0</v>
      </c>
    </row>
    <row r="588" spans="1:13" ht="15" customHeight="1">
      <c r="A588" s="39">
        <v>583</v>
      </c>
      <c r="B588" s="39" t="s">
        <v>7795</v>
      </c>
      <c r="C588" s="40" t="s">
        <v>6735</v>
      </c>
      <c r="D588" s="39" t="s">
        <v>3370</v>
      </c>
      <c r="E588" s="40" t="s">
        <v>3384</v>
      </c>
      <c r="F588" s="40" t="s">
        <v>3435</v>
      </c>
      <c r="G588" s="39" t="s">
        <v>6739</v>
      </c>
      <c r="H588" s="40" t="s">
        <v>1110</v>
      </c>
      <c r="I588" s="40" t="s">
        <v>6741</v>
      </c>
      <c r="J588" s="50"/>
      <c r="K588" s="116">
        <f>IFERROR(VLOOKUP(B588,BD_CONTROL!$A$5:$M$4235,11,0),"")</f>
        <v>0</v>
      </c>
      <c r="L588" s="117">
        <f>IFERROR(VLOOKUP(B588,BD_CONTROL!$A$5:$M$4235,12,0),"")</f>
        <v>0</v>
      </c>
      <c r="M588" s="118">
        <f>IFERROR(VLOOKUP(B588,BD_CONTROL!$A$5:$M$4235,13,0),"")</f>
        <v>0</v>
      </c>
    </row>
    <row r="589" spans="1:13" ht="15" customHeight="1">
      <c r="A589" s="42">
        <v>584</v>
      </c>
      <c r="B589" s="42" t="s">
        <v>7796</v>
      </c>
      <c r="C589" s="43" t="s">
        <v>6735</v>
      </c>
      <c r="D589" s="42" t="s">
        <v>3370</v>
      </c>
      <c r="E589" s="43" t="s">
        <v>3384</v>
      </c>
      <c r="F589" s="43" t="s">
        <v>3435</v>
      </c>
      <c r="G589" s="42" t="s">
        <v>6739</v>
      </c>
      <c r="H589" s="43" t="s">
        <v>1110</v>
      </c>
      <c r="I589" s="43" t="s">
        <v>6741</v>
      </c>
      <c r="J589" s="55"/>
      <c r="K589" s="119" t="str">
        <f>IFERROR(VLOOKUP(B589,BD_CONTROL!$A$5:$M$4235,11,0),"")</f>
        <v>Instalado - Operando</v>
      </c>
      <c r="L589" s="120">
        <f>IFERROR(VLOOKUP(B589,BD_CONTROL!$A$5:$M$4235,12,0),"")</f>
        <v>46149</v>
      </c>
      <c r="M589" s="121" t="str">
        <f>IFERROR(VLOOKUP(B589,BD_CONTROL!$A$5:$M$4235,13,0),"")</f>
        <v>*Este equipo no se encuentra cargado en la Aplicación</v>
      </c>
    </row>
    <row r="590" spans="1:13" ht="15" customHeight="1">
      <c r="A590" s="39">
        <v>585</v>
      </c>
      <c r="B590" s="39" t="s">
        <v>7798</v>
      </c>
      <c r="C590" s="40" t="s">
        <v>6735</v>
      </c>
      <c r="D590" s="39" t="s">
        <v>3370</v>
      </c>
      <c r="E590" s="40" t="s">
        <v>3384</v>
      </c>
      <c r="F590" s="40" t="s">
        <v>3435</v>
      </c>
      <c r="G590" s="39" t="s">
        <v>6739</v>
      </c>
      <c r="H590" s="40" t="s">
        <v>1110</v>
      </c>
      <c r="I590" s="40" t="s">
        <v>6741</v>
      </c>
      <c r="J590" s="50"/>
      <c r="K590" s="116">
        <f>IFERROR(VLOOKUP(B590,BD_CONTROL!$A$5:$M$4235,11,0),"")</f>
        <v>0</v>
      </c>
      <c r="L590" s="117">
        <f>IFERROR(VLOOKUP(B590,BD_CONTROL!$A$5:$M$4235,12,0),"")</f>
        <v>0</v>
      </c>
      <c r="M590" s="118">
        <f>IFERROR(VLOOKUP(B590,BD_CONTROL!$A$5:$M$4235,13,0),"")</f>
        <v>0</v>
      </c>
    </row>
    <row r="591" spans="1:13" ht="15" customHeight="1">
      <c r="A591" s="42">
        <v>586</v>
      </c>
      <c r="B591" s="42" t="s">
        <v>7799</v>
      </c>
      <c r="C591" s="43" t="s">
        <v>6735</v>
      </c>
      <c r="D591" s="42" t="s">
        <v>3370</v>
      </c>
      <c r="E591" s="43" t="s">
        <v>3384</v>
      </c>
      <c r="F591" s="43" t="s">
        <v>3435</v>
      </c>
      <c r="G591" s="42" t="s">
        <v>6739</v>
      </c>
      <c r="H591" s="43" t="s">
        <v>1110</v>
      </c>
      <c r="I591" s="43" t="s">
        <v>6741</v>
      </c>
      <c r="J591" s="55"/>
      <c r="K591" s="119">
        <f>IFERROR(VLOOKUP(B591,BD_CONTROL!$A$5:$M$4235,11,0),"")</f>
        <v>0</v>
      </c>
      <c r="L591" s="120">
        <f>IFERROR(VLOOKUP(B591,BD_CONTROL!$A$5:$M$4235,12,0),"")</f>
        <v>0</v>
      </c>
      <c r="M591" s="121">
        <f>IFERROR(VLOOKUP(B591,BD_CONTROL!$A$5:$M$4235,13,0),"")</f>
        <v>0</v>
      </c>
    </row>
    <row r="592" spans="1:13" ht="15" customHeight="1">
      <c r="A592" s="39">
        <v>587</v>
      </c>
      <c r="B592" s="39" t="s">
        <v>7800</v>
      </c>
      <c r="C592" s="40" t="s">
        <v>6735</v>
      </c>
      <c r="D592" s="39" t="s">
        <v>3370</v>
      </c>
      <c r="E592" s="40" t="s">
        <v>1244</v>
      </c>
      <c r="F592" s="40" t="s">
        <v>3591</v>
      </c>
      <c r="G592" s="39" t="s">
        <v>6739</v>
      </c>
      <c r="H592" s="40" t="s">
        <v>1184</v>
      </c>
      <c r="I592" s="40" t="s">
        <v>6741</v>
      </c>
      <c r="J592" s="50"/>
      <c r="K592" s="116">
        <f>IFERROR(VLOOKUP(B592,BD_CONTROL!$A$5:$M$4235,11,0),"")</f>
        <v>0</v>
      </c>
      <c r="L592" s="117">
        <f>IFERROR(VLOOKUP(B592,BD_CONTROL!$A$5:$M$4235,12,0),"")</f>
        <v>0</v>
      </c>
      <c r="M592" s="118">
        <f>IFERROR(VLOOKUP(B592,BD_CONTROL!$A$5:$M$4235,13,0),"")</f>
        <v>0</v>
      </c>
    </row>
    <row r="593" spans="1:13" ht="15" customHeight="1">
      <c r="A593" s="42">
        <v>588</v>
      </c>
      <c r="B593" s="42" t="s">
        <v>7801</v>
      </c>
      <c r="C593" s="43" t="s">
        <v>6735</v>
      </c>
      <c r="D593" s="42" t="s">
        <v>3370</v>
      </c>
      <c r="E593" s="43" t="s">
        <v>1244</v>
      </c>
      <c r="F593" s="43" t="s">
        <v>3591</v>
      </c>
      <c r="G593" s="42" t="s">
        <v>6739</v>
      </c>
      <c r="H593" s="43" t="s">
        <v>1184</v>
      </c>
      <c r="I593" s="43" t="s">
        <v>6741</v>
      </c>
      <c r="J593" s="55"/>
      <c r="K593" s="119">
        <f>IFERROR(VLOOKUP(B593,BD_CONTROL!$A$5:$M$4235,11,0),"")</f>
        <v>0</v>
      </c>
      <c r="L593" s="120">
        <f>IFERROR(VLOOKUP(B593,BD_CONTROL!$A$5:$M$4235,12,0),"")</f>
        <v>0</v>
      </c>
      <c r="M593" s="121">
        <f>IFERROR(VLOOKUP(B593,BD_CONTROL!$A$5:$M$4235,13,0),"")</f>
        <v>0</v>
      </c>
    </row>
    <row r="594" spans="1:13" ht="15" customHeight="1">
      <c r="A594" s="39">
        <v>589</v>
      </c>
      <c r="B594" s="39" t="s">
        <v>7802</v>
      </c>
      <c r="C594" s="40" t="s">
        <v>6735</v>
      </c>
      <c r="D594" s="39" t="s">
        <v>3370</v>
      </c>
      <c r="E594" s="40" t="s">
        <v>1244</v>
      </c>
      <c r="F594" s="40" t="s">
        <v>3591</v>
      </c>
      <c r="G594" s="39" t="s">
        <v>6739</v>
      </c>
      <c r="H594" s="40" t="s">
        <v>1184</v>
      </c>
      <c r="I594" s="40" t="s">
        <v>6741</v>
      </c>
      <c r="J594" s="50"/>
      <c r="K594" s="116">
        <f>IFERROR(VLOOKUP(B594,BD_CONTROL!$A$5:$M$4235,11,0),"")</f>
        <v>0</v>
      </c>
      <c r="L594" s="117">
        <f>IFERROR(VLOOKUP(B594,BD_CONTROL!$A$5:$M$4235,12,0),"")</f>
        <v>0</v>
      </c>
      <c r="M594" s="118">
        <f>IFERROR(VLOOKUP(B594,BD_CONTROL!$A$5:$M$4235,13,0),"")</f>
        <v>0</v>
      </c>
    </row>
    <row r="595" spans="1:13" ht="15" customHeight="1">
      <c r="A595" s="42">
        <v>590</v>
      </c>
      <c r="B595" s="42" t="s">
        <v>7803</v>
      </c>
      <c r="C595" s="43" t="s">
        <v>6735</v>
      </c>
      <c r="D595" s="42" t="s">
        <v>3370</v>
      </c>
      <c r="E595" s="43" t="s">
        <v>1244</v>
      </c>
      <c r="F595" s="43" t="s">
        <v>3591</v>
      </c>
      <c r="G595" s="42" t="s">
        <v>6739</v>
      </c>
      <c r="H595" s="43" t="s">
        <v>1184</v>
      </c>
      <c r="I595" s="43" t="s">
        <v>6741</v>
      </c>
      <c r="J595" s="55"/>
      <c r="K595" s="119">
        <f>IFERROR(VLOOKUP(B595,BD_CONTROL!$A$5:$M$4235,11,0),"")</f>
        <v>0</v>
      </c>
      <c r="L595" s="120">
        <f>IFERROR(VLOOKUP(B595,BD_CONTROL!$A$5:$M$4235,12,0),"")</f>
        <v>0</v>
      </c>
      <c r="M595" s="121">
        <f>IFERROR(VLOOKUP(B595,BD_CONTROL!$A$5:$M$4235,13,0),"")</f>
        <v>0</v>
      </c>
    </row>
    <row r="596" spans="1:13" ht="15" customHeight="1">
      <c r="A596" s="39">
        <v>591</v>
      </c>
      <c r="B596" s="39" t="s">
        <v>7804</v>
      </c>
      <c r="C596" s="40" t="s">
        <v>6735</v>
      </c>
      <c r="D596" s="39" t="s">
        <v>3370</v>
      </c>
      <c r="E596" s="40" t="s">
        <v>1244</v>
      </c>
      <c r="F596" s="40" t="s">
        <v>4155</v>
      </c>
      <c r="G596" s="39" t="s">
        <v>6739</v>
      </c>
      <c r="H596" s="40" t="s">
        <v>1184</v>
      </c>
      <c r="I596" s="40" t="s">
        <v>6741</v>
      </c>
      <c r="J596" s="50"/>
      <c r="K596" s="116">
        <f>IFERROR(VLOOKUP(B596,BD_CONTROL!$A$5:$M$4235,11,0),"")</f>
        <v>0</v>
      </c>
      <c r="L596" s="117">
        <f>IFERROR(VLOOKUP(B596,BD_CONTROL!$A$5:$M$4235,12,0),"")</f>
        <v>0</v>
      </c>
      <c r="M596" s="118">
        <f>IFERROR(VLOOKUP(B596,BD_CONTROL!$A$5:$M$4235,13,0),"")</f>
        <v>0</v>
      </c>
    </row>
    <row r="597" spans="1:13" ht="15" customHeight="1">
      <c r="A597" s="42">
        <v>592</v>
      </c>
      <c r="B597" s="42" t="s">
        <v>7805</v>
      </c>
      <c r="C597" s="43" t="s">
        <v>6735</v>
      </c>
      <c r="D597" s="42" t="s">
        <v>3370</v>
      </c>
      <c r="E597" s="43" t="s">
        <v>1244</v>
      </c>
      <c r="F597" s="43" t="s">
        <v>3555</v>
      </c>
      <c r="G597" s="42" t="s">
        <v>6739</v>
      </c>
      <c r="H597" s="43" t="s">
        <v>1184</v>
      </c>
      <c r="I597" s="43" t="s">
        <v>6741</v>
      </c>
      <c r="J597" s="55"/>
      <c r="K597" s="119">
        <f>IFERROR(VLOOKUP(B597,BD_CONTROL!$A$5:$M$4235,11,0),"")</f>
        <v>0</v>
      </c>
      <c r="L597" s="120">
        <f>IFERROR(VLOOKUP(B597,BD_CONTROL!$A$5:$M$4235,12,0),"")</f>
        <v>0</v>
      </c>
      <c r="M597" s="121">
        <f>IFERROR(VLOOKUP(B597,BD_CONTROL!$A$5:$M$4235,13,0),"")</f>
        <v>0</v>
      </c>
    </row>
    <row r="598" spans="1:13" ht="15" customHeight="1">
      <c r="A598" s="39">
        <v>593</v>
      </c>
      <c r="B598" s="39" t="s">
        <v>7806</v>
      </c>
      <c r="C598" s="40" t="s">
        <v>6735</v>
      </c>
      <c r="D598" s="39" t="s">
        <v>3370</v>
      </c>
      <c r="E598" s="40" t="s">
        <v>1244</v>
      </c>
      <c r="F598" s="40" t="s">
        <v>3948</v>
      </c>
      <c r="G598" s="39" t="s">
        <v>6739</v>
      </c>
      <c r="H598" s="40" t="s">
        <v>1184</v>
      </c>
      <c r="I598" s="40" t="s">
        <v>6741</v>
      </c>
      <c r="J598" s="50"/>
      <c r="K598" s="116">
        <f>IFERROR(VLOOKUP(B598,BD_CONTROL!$A$5:$M$4235,11,0),"")</f>
        <v>0</v>
      </c>
      <c r="L598" s="117">
        <f>IFERROR(VLOOKUP(B598,BD_CONTROL!$A$5:$M$4235,12,0),"")</f>
        <v>0</v>
      </c>
      <c r="M598" s="118">
        <f>IFERROR(VLOOKUP(B598,BD_CONTROL!$A$5:$M$4235,13,0),"")</f>
        <v>0</v>
      </c>
    </row>
    <row r="599" spans="1:13" ht="15" customHeight="1">
      <c r="A599" s="42">
        <v>594</v>
      </c>
      <c r="B599" s="42" t="s">
        <v>7807</v>
      </c>
      <c r="C599" s="43" t="s">
        <v>6735</v>
      </c>
      <c r="D599" s="42" t="s">
        <v>3370</v>
      </c>
      <c r="E599" s="43" t="s">
        <v>3517</v>
      </c>
      <c r="F599" s="43" t="s">
        <v>5698</v>
      </c>
      <c r="G599" s="42" t="s">
        <v>6739</v>
      </c>
      <c r="H599" s="43" t="s">
        <v>1110</v>
      </c>
      <c r="I599" s="43" t="s">
        <v>6741</v>
      </c>
      <c r="J599" s="55"/>
      <c r="K599" s="119">
        <f>IFERROR(VLOOKUP(B599,BD_CONTROL!$A$5:$M$4235,11,0),"")</f>
        <v>0</v>
      </c>
      <c r="L599" s="120">
        <f>IFERROR(VLOOKUP(B599,BD_CONTROL!$A$5:$M$4235,12,0),"")</f>
        <v>0</v>
      </c>
      <c r="M599" s="121">
        <f>IFERROR(VLOOKUP(B599,BD_CONTROL!$A$5:$M$4235,13,0),"")</f>
        <v>0</v>
      </c>
    </row>
    <row r="600" spans="1:13" ht="15" customHeight="1">
      <c r="A600" s="39">
        <v>595</v>
      </c>
      <c r="B600" s="39" t="s">
        <v>7808</v>
      </c>
      <c r="C600" s="40" t="s">
        <v>6735</v>
      </c>
      <c r="D600" s="39" t="s">
        <v>3370</v>
      </c>
      <c r="E600" s="40" t="s">
        <v>3703</v>
      </c>
      <c r="F600" s="40" t="s">
        <v>7809</v>
      </c>
      <c r="G600" s="39" t="s">
        <v>6739</v>
      </c>
      <c r="H600" s="40" t="s">
        <v>1110</v>
      </c>
      <c r="I600" s="40" t="s">
        <v>6741</v>
      </c>
      <c r="J600" s="50"/>
      <c r="K600" s="116">
        <f>IFERROR(VLOOKUP(B600,BD_CONTROL!$A$5:$M$4235,11,0),"")</f>
        <v>0</v>
      </c>
      <c r="L600" s="117">
        <f>IFERROR(VLOOKUP(B600,BD_CONTROL!$A$5:$M$4235,12,0),"")</f>
        <v>0</v>
      </c>
      <c r="M600" s="118">
        <f>IFERROR(VLOOKUP(B600,BD_CONTROL!$A$5:$M$4235,13,0),"")</f>
        <v>0</v>
      </c>
    </row>
    <row r="601" spans="1:13" ht="15" customHeight="1">
      <c r="A601" s="42">
        <v>596</v>
      </c>
      <c r="B601" s="42" t="s">
        <v>7810</v>
      </c>
      <c r="C601" s="43" t="s">
        <v>6735</v>
      </c>
      <c r="D601" s="42" t="s">
        <v>3370</v>
      </c>
      <c r="E601" s="43" t="s">
        <v>3455</v>
      </c>
      <c r="F601" s="43" t="s">
        <v>7811</v>
      </c>
      <c r="G601" s="42" t="s">
        <v>6739</v>
      </c>
      <c r="H601" s="43" t="s">
        <v>1110</v>
      </c>
      <c r="I601" s="43" t="s">
        <v>6741</v>
      </c>
      <c r="J601" s="55"/>
      <c r="K601" s="119">
        <f>IFERROR(VLOOKUP(B601,BD_CONTROL!$A$5:$M$4235,11,0),"")</f>
        <v>0</v>
      </c>
      <c r="L601" s="120">
        <f>IFERROR(VLOOKUP(B601,BD_CONTROL!$A$5:$M$4235,12,0),"")</f>
        <v>0</v>
      </c>
      <c r="M601" s="121">
        <f>IFERROR(VLOOKUP(B601,BD_CONTROL!$A$5:$M$4235,13,0),"")</f>
        <v>0</v>
      </c>
    </row>
    <row r="602" spans="1:13" ht="15" customHeight="1">
      <c r="A602" s="39">
        <v>597</v>
      </c>
      <c r="B602" s="39" t="s">
        <v>7812</v>
      </c>
      <c r="C602" s="40" t="s">
        <v>6735</v>
      </c>
      <c r="D602" s="39" t="s">
        <v>3370</v>
      </c>
      <c r="E602" s="40" t="s">
        <v>3455</v>
      </c>
      <c r="F602" s="40" t="s">
        <v>3954</v>
      </c>
      <c r="G602" s="39" t="s">
        <v>6739</v>
      </c>
      <c r="H602" s="40" t="s">
        <v>1110</v>
      </c>
      <c r="I602" s="40" t="s">
        <v>6741</v>
      </c>
      <c r="J602" s="50"/>
      <c r="K602" s="116">
        <f>IFERROR(VLOOKUP(B602,BD_CONTROL!$A$5:$M$4235,11,0),"")</f>
        <v>0</v>
      </c>
      <c r="L602" s="117">
        <f>IFERROR(VLOOKUP(B602,BD_CONTROL!$A$5:$M$4235,12,0),"")</f>
        <v>0</v>
      </c>
      <c r="M602" s="118">
        <f>IFERROR(VLOOKUP(B602,BD_CONTROL!$A$5:$M$4235,13,0),"")</f>
        <v>0</v>
      </c>
    </row>
    <row r="603" spans="1:13" ht="15" customHeight="1">
      <c r="A603" s="42">
        <v>598</v>
      </c>
      <c r="B603" s="42" t="s">
        <v>7813</v>
      </c>
      <c r="C603" s="43" t="s">
        <v>6735</v>
      </c>
      <c r="D603" s="42" t="s">
        <v>3370</v>
      </c>
      <c r="E603" s="43" t="s">
        <v>3615</v>
      </c>
      <c r="F603" s="43" t="s">
        <v>7814</v>
      </c>
      <c r="G603" s="42" t="s">
        <v>6739</v>
      </c>
      <c r="H603" s="43" t="s">
        <v>1110</v>
      </c>
      <c r="I603" s="43" t="s">
        <v>6741</v>
      </c>
      <c r="J603" s="55"/>
      <c r="K603" s="119">
        <f>IFERROR(VLOOKUP(B603,BD_CONTROL!$A$5:$M$4235,11,0),"")</f>
        <v>0</v>
      </c>
      <c r="L603" s="120">
        <f>IFERROR(VLOOKUP(B603,BD_CONTROL!$A$5:$M$4235,12,0),"")</f>
        <v>0</v>
      </c>
      <c r="M603" s="121">
        <f>IFERROR(VLOOKUP(B603,BD_CONTROL!$A$5:$M$4235,13,0),"")</f>
        <v>0</v>
      </c>
    </row>
    <row r="604" spans="1:13" ht="15" customHeight="1">
      <c r="A604" s="39">
        <v>599</v>
      </c>
      <c r="B604" s="39" t="s">
        <v>7815</v>
      </c>
      <c r="C604" s="40" t="s">
        <v>6735</v>
      </c>
      <c r="D604" s="39" t="s">
        <v>3370</v>
      </c>
      <c r="E604" s="40" t="s">
        <v>3615</v>
      </c>
      <c r="F604" s="40" t="s">
        <v>7816</v>
      </c>
      <c r="G604" s="39" t="s">
        <v>6739</v>
      </c>
      <c r="H604" s="40" t="s">
        <v>1110</v>
      </c>
      <c r="I604" s="40" t="s">
        <v>6741</v>
      </c>
      <c r="J604" s="50"/>
      <c r="K604" s="116">
        <f>IFERROR(VLOOKUP(B604,BD_CONTROL!$A$5:$M$4235,11,0),"")</f>
        <v>0</v>
      </c>
      <c r="L604" s="117">
        <f>IFERROR(VLOOKUP(B604,BD_CONTROL!$A$5:$M$4235,12,0),"")</f>
        <v>0</v>
      </c>
      <c r="M604" s="118">
        <f>IFERROR(VLOOKUP(B604,BD_CONTROL!$A$5:$M$4235,13,0),"")</f>
        <v>0</v>
      </c>
    </row>
    <row r="605" spans="1:13" ht="15" customHeight="1">
      <c r="A605" s="42">
        <v>600</v>
      </c>
      <c r="B605" s="42" t="s">
        <v>7817</v>
      </c>
      <c r="C605" s="43" t="s">
        <v>6735</v>
      </c>
      <c r="D605" s="42" t="s">
        <v>3370</v>
      </c>
      <c r="E605" s="43" t="s">
        <v>3615</v>
      </c>
      <c r="F605" s="43" t="s">
        <v>3616</v>
      </c>
      <c r="G605" s="42" t="s">
        <v>6739</v>
      </c>
      <c r="H605" s="43" t="s">
        <v>1110</v>
      </c>
      <c r="I605" s="43" t="s">
        <v>6741</v>
      </c>
      <c r="J605" s="55"/>
      <c r="K605" s="119">
        <f>IFERROR(VLOOKUP(B605,BD_CONTROL!$A$5:$M$4235,11,0),"")</f>
        <v>0</v>
      </c>
      <c r="L605" s="120">
        <f>IFERROR(VLOOKUP(B605,BD_CONTROL!$A$5:$M$4235,12,0),"")</f>
        <v>0</v>
      </c>
      <c r="M605" s="121">
        <f>IFERROR(VLOOKUP(B605,BD_CONTROL!$A$5:$M$4235,13,0),"")</f>
        <v>0</v>
      </c>
    </row>
    <row r="606" spans="1:13" ht="15" customHeight="1">
      <c r="A606" s="39">
        <v>601</v>
      </c>
      <c r="B606" s="39" t="s">
        <v>7820</v>
      </c>
      <c r="C606" s="40" t="s">
        <v>6735</v>
      </c>
      <c r="D606" s="39" t="s">
        <v>3370</v>
      </c>
      <c r="E606" s="40" t="s">
        <v>324</v>
      </c>
      <c r="F606" s="40" t="s">
        <v>7821</v>
      </c>
      <c r="G606" s="39" t="s">
        <v>6739</v>
      </c>
      <c r="H606" s="40" t="s">
        <v>1110</v>
      </c>
      <c r="I606" s="40" t="s">
        <v>6741</v>
      </c>
      <c r="J606" s="50"/>
      <c r="K606" s="116" t="str">
        <f>IFERROR(VLOOKUP(B606,BD_CONTROL!$A$5:$M$4235,11,0),"")</f>
        <v>Instalado - Operando</v>
      </c>
      <c r="L606" s="117">
        <f>IFERROR(VLOOKUP(B606,BD_CONTROL!$A$5:$M$4235,12,0),"")</f>
        <v>46148</v>
      </c>
      <c r="M606" s="118" t="str">
        <f>IFERROR(VLOOKUP(B606,BD_CONTROL!$A$5:$M$4235,13,0),"")</f>
        <v>El equipo no se encuentra cargado en la aplicación</v>
      </c>
    </row>
    <row r="607" spans="1:13" ht="15" customHeight="1">
      <c r="A607" s="42">
        <v>602</v>
      </c>
      <c r="B607" s="42" t="s">
        <v>7822</v>
      </c>
      <c r="C607" s="43" t="s">
        <v>6735</v>
      </c>
      <c r="D607" s="42" t="s">
        <v>3370</v>
      </c>
      <c r="E607" s="43" t="s">
        <v>324</v>
      </c>
      <c r="F607" s="43" t="s">
        <v>3641</v>
      </c>
      <c r="G607" s="42" t="s">
        <v>6739</v>
      </c>
      <c r="H607" s="43" t="s">
        <v>1110</v>
      </c>
      <c r="I607" s="43" t="s">
        <v>6741</v>
      </c>
      <c r="J607" s="55"/>
      <c r="K607" s="119">
        <f>IFERROR(VLOOKUP(B607,BD_CONTROL!$A$5:$M$4235,11,0),"")</f>
        <v>0</v>
      </c>
      <c r="L607" s="120">
        <f>IFERROR(VLOOKUP(B607,BD_CONTROL!$A$5:$M$4235,12,0),"")</f>
        <v>0</v>
      </c>
      <c r="M607" s="121">
        <f>IFERROR(VLOOKUP(B607,BD_CONTROL!$A$5:$M$4235,13,0),"")</f>
        <v>0</v>
      </c>
    </row>
    <row r="608" spans="1:13" ht="15" customHeight="1">
      <c r="A608" s="39">
        <v>603</v>
      </c>
      <c r="B608" s="39" t="s">
        <v>7823</v>
      </c>
      <c r="C608" s="40" t="s">
        <v>6735</v>
      </c>
      <c r="D608" s="39" t="s">
        <v>3370</v>
      </c>
      <c r="E608" s="40" t="s">
        <v>324</v>
      </c>
      <c r="F608" s="40" t="s">
        <v>7824</v>
      </c>
      <c r="G608" s="39" t="s">
        <v>6739</v>
      </c>
      <c r="H608" s="40" t="s">
        <v>1110</v>
      </c>
      <c r="I608" s="40" t="s">
        <v>6741</v>
      </c>
      <c r="J608" s="50"/>
      <c r="K608" s="116" t="str">
        <f>IFERROR(VLOOKUP(B608,BD_CONTROL!$A$5:$M$4235,11,0),"")</f>
        <v>Instalado - Operando</v>
      </c>
      <c r="L608" s="117">
        <f>IFERROR(VLOOKUP(B608,BD_CONTROL!$A$5:$M$4235,12,0),"")</f>
        <v>46147</v>
      </c>
      <c r="M608" s="118" t="str">
        <f>IFERROR(VLOOKUP(B608,BD_CONTROL!$A$5:$M$4235,13,0),"")</f>
        <v>El equipo no se encuentra cargado en la aplicación</v>
      </c>
    </row>
    <row r="609" spans="1:13" ht="15" customHeight="1">
      <c r="A609" s="42">
        <v>604</v>
      </c>
      <c r="B609" s="42" t="s">
        <v>7825</v>
      </c>
      <c r="C609" s="43" t="s">
        <v>6735</v>
      </c>
      <c r="D609" s="42" t="s">
        <v>3370</v>
      </c>
      <c r="E609" s="43" t="s">
        <v>3967</v>
      </c>
      <c r="F609" s="43" t="s">
        <v>3968</v>
      </c>
      <c r="G609" s="42" t="s">
        <v>6739</v>
      </c>
      <c r="H609" s="43" t="s">
        <v>1110</v>
      </c>
      <c r="I609" s="43" t="s">
        <v>6741</v>
      </c>
      <c r="J609" s="55"/>
      <c r="K609" s="119">
        <f>IFERROR(VLOOKUP(B609,BD_CONTROL!$A$5:$M$4235,11,0),"")</f>
        <v>0</v>
      </c>
      <c r="L609" s="120">
        <f>IFERROR(VLOOKUP(B609,BD_CONTROL!$A$5:$M$4235,12,0),"")</f>
        <v>0</v>
      </c>
      <c r="M609" s="121">
        <f>IFERROR(VLOOKUP(B609,BD_CONTROL!$A$5:$M$4235,13,0),"")</f>
        <v>0</v>
      </c>
    </row>
    <row r="610" spans="1:13" ht="15" customHeight="1">
      <c r="A610" s="39">
        <v>605</v>
      </c>
      <c r="B610" s="39" t="s">
        <v>7828</v>
      </c>
      <c r="C610" s="40" t="s">
        <v>6735</v>
      </c>
      <c r="D610" s="39" t="s">
        <v>3370</v>
      </c>
      <c r="E610" s="40" t="s">
        <v>3547</v>
      </c>
      <c r="F610" s="40" t="s">
        <v>3547</v>
      </c>
      <c r="G610" s="39" t="s">
        <v>6739</v>
      </c>
      <c r="H610" s="40" t="s">
        <v>1110</v>
      </c>
      <c r="I610" s="40" t="s">
        <v>6741</v>
      </c>
      <c r="J610" s="50"/>
      <c r="K610" s="116">
        <f>IFERROR(VLOOKUP(B610,BD_CONTROL!$A$5:$M$4235,11,0),"")</f>
        <v>0</v>
      </c>
      <c r="L610" s="117">
        <f>IFERROR(VLOOKUP(B610,BD_CONTROL!$A$5:$M$4235,12,0),"")</f>
        <v>0</v>
      </c>
      <c r="M610" s="118">
        <f>IFERROR(VLOOKUP(B610,BD_CONTROL!$A$5:$M$4235,13,0),"")</f>
        <v>0</v>
      </c>
    </row>
    <row r="611" spans="1:13" ht="15" customHeight="1">
      <c r="A611" s="42">
        <v>606</v>
      </c>
      <c r="B611" s="42" t="s">
        <v>7829</v>
      </c>
      <c r="C611" s="43" t="s">
        <v>6735</v>
      </c>
      <c r="D611" s="42" t="s">
        <v>3370</v>
      </c>
      <c r="E611" s="43" t="s">
        <v>3547</v>
      </c>
      <c r="F611" s="43" t="s">
        <v>3547</v>
      </c>
      <c r="G611" s="42" t="s">
        <v>6739</v>
      </c>
      <c r="H611" s="43" t="s">
        <v>1110</v>
      </c>
      <c r="I611" s="43" t="s">
        <v>6741</v>
      </c>
      <c r="J611" s="55"/>
      <c r="K611" s="119" t="str">
        <f>IFERROR(VLOOKUP(B611,BD_CONTROL!$A$5:$M$4235,11,0),"")</f>
        <v>Instalado - Operando</v>
      </c>
      <c r="L611" s="120">
        <f>IFERROR(VLOOKUP(B611,BD_CONTROL!$A$5:$M$4235,12,0),"")</f>
        <v>46149</v>
      </c>
      <c r="M611" s="121">
        <f>IFERROR(VLOOKUP(B611,BD_CONTROL!$A$5:$M$4235,13,0),"")</f>
        <v>0</v>
      </c>
    </row>
    <row r="612" spans="1:13" ht="15" customHeight="1">
      <c r="A612" s="39">
        <v>607</v>
      </c>
      <c r="B612" s="39" t="s">
        <v>7837</v>
      </c>
      <c r="C612" s="40" t="s">
        <v>6735</v>
      </c>
      <c r="D612" s="39" t="s">
        <v>3370</v>
      </c>
      <c r="E612" s="40" t="s">
        <v>3428</v>
      </c>
      <c r="F612" s="40" t="s">
        <v>3498</v>
      </c>
      <c r="G612" s="39" t="s">
        <v>6739</v>
      </c>
      <c r="H612" s="40" t="s">
        <v>1184</v>
      </c>
      <c r="I612" s="40" t="s">
        <v>6741</v>
      </c>
      <c r="J612" s="50"/>
      <c r="K612" s="116">
        <f>IFERROR(VLOOKUP(B612,BD_CONTROL!$A$5:$M$4235,11,0),"")</f>
        <v>0</v>
      </c>
      <c r="L612" s="117">
        <f>IFERROR(VLOOKUP(B612,BD_CONTROL!$A$5:$M$4235,12,0),"")</f>
        <v>0</v>
      </c>
      <c r="M612" s="118">
        <f>IFERROR(VLOOKUP(B612,BD_CONTROL!$A$5:$M$4235,13,0),"")</f>
        <v>0</v>
      </c>
    </row>
    <row r="613" spans="1:13" ht="15" customHeight="1">
      <c r="A613" s="42">
        <v>608</v>
      </c>
      <c r="B613" s="42" t="s">
        <v>7838</v>
      </c>
      <c r="C613" s="43" t="s">
        <v>6735</v>
      </c>
      <c r="D613" s="42" t="s">
        <v>3370</v>
      </c>
      <c r="E613" s="43" t="s">
        <v>7839</v>
      </c>
      <c r="F613" s="43" t="s">
        <v>7839</v>
      </c>
      <c r="G613" s="42" t="s">
        <v>6739</v>
      </c>
      <c r="H613" s="43" t="s">
        <v>1110</v>
      </c>
      <c r="I613" s="43" t="s">
        <v>6741</v>
      </c>
      <c r="J613" s="55"/>
      <c r="K613" s="119">
        <f>IFERROR(VLOOKUP(B613,BD_CONTROL!$A$5:$M$4235,11,0),"")</f>
        <v>0</v>
      </c>
      <c r="L613" s="120">
        <f>IFERROR(VLOOKUP(B613,BD_CONTROL!$A$5:$M$4235,12,0),"")</f>
        <v>0</v>
      </c>
      <c r="M613" s="121">
        <f>IFERROR(VLOOKUP(B613,BD_CONTROL!$A$5:$M$4235,13,0),"")</f>
        <v>0</v>
      </c>
    </row>
    <row r="614" spans="1:13" ht="15" customHeight="1">
      <c r="A614" s="39">
        <v>609</v>
      </c>
      <c r="B614" s="39" t="s">
        <v>7840</v>
      </c>
      <c r="C614" s="40" t="s">
        <v>6735</v>
      </c>
      <c r="D614" s="39" t="s">
        <v>3370</v>
      </c>
      <c r="E614" s="40" t="s">
        <v>3746</v>
      </c>
      <c r="F614" s="40" t="s">
        <v>7841</v>
      </c>
      <c r="G614" s="39" t="s">
        <v>6739</v>
      </c>
      <c r="H614" s="40" t="s">
        <v>1184</v>
      </c>
      <c r="I614" s="40" t="s">
        <v>6741</v>
      </c>
      <c r="J614" s="50"/>
      <c r="K614" s="116">
        <f>IFERROR(VLOOKUP(B614,BD_CONTROL!$A$5:$M$4235,11,0),"")</f>
        <v>0</v>
      </c>
      <c r="L614" s="117">
        <f>IFERROR(VLOOKUP(B614,BD_CONTROL!$A$5:$M$4235,12,0),"")</f>
        <v>0</v>
      </c>
      <c r="M614" s="118">
        <f>IFERROR(VLOOKUP(B614,BD_CONTROL!$A$5:$M$4235,13,0),"")</f>
        <v>0</v>
      </c>
    </row>
    <row r="615" spans="1:13" ht="15" customHeight="1">
      <c r="A615" s="42">
        <v>610</v>
      </c>
      <c r="B615" s="42" t="s">
        <v>7851</v>
      </c>
      <c r="C615" s="43" t="s">
        <v>6735</v>
      </c>
      <c r="D615" s="42" t="s">
        <v>3370</v>
      </c>
      <c r="E615" s="43" t="s">
        <v>3460</v>
      </c>
      <c r="F615" s="43" t="s">
        <v>5282</v>
      </c>
      <c r="G615" s="42" t="s">
        <v>6739</v>
      </c>
      <c r="H615" s="43" t="s">
        <v>1110</v>
      </c>
      <c r="I615" s="43" t="s">
        <v>6741</v>
      </c>
      <c r="J615" s="55"/>
      <c r="K615" s="119">
        <f>IFERROR(VLOOKUP(B615,BD_CONTROL!$A$5:$M$4235,11,0),"")</f>
        <v>0</v>
      </c>
      <c r="L615" s="120">
        <f>IFERROR(VLOOKUP(B615,BD_CONTROL!$A$5:$M$4235,12,0),"")</f>
        <v>0</v>
      </c>
      <c r="M615" s="121">
        <f>IFERROR(VLOOKUP(B615,BD_CONTROL!$A$5:$M$4235,13,0),"")</f>
        <v>0</v>
      </c>
    </row>
    <row r="616" spans="1:13" ht="15" customHeight="1">
      <c r="A616" s="39">
        <v>611</v>
      </c>
      <c r="B616" s="39" t="s">
        <v>7852</v>
      </c>
      <c r="C616" s="40" t="s">
        <v>6735</v>
      </c>
      <c r="D616" s="39" t="s">
        <v>3370</v>
      </c>
      <c r="E616" s="40" t="s">
        <v>3460</v>
      </c>
      <c r="F616" s="40" t="s">
        <v>7853</v>
      </c>
      <c r="G616" s="39" t="s">
        <v>6739</v>
      </c>
      <c r="H616" s="40" t="s">
        <v>1110</v>
      </c>
      <c r="I616" s="40" t="s">
        <v>6741</v>
      </c>
      <c r="J616" s="50"/>
      <c r="K616" s="116">
        <f>IFERROR(VLOOKUP(B616,BD_CONTROL!$A$5:$M$4235,11,0),"")</f>
        <v>0</v>
      </c>
      <c r="L616" s="117">
        <f>IFERROR(VLOOKUP(B616,BD_CONTROL!$A$5:$M$4235,12,0),"")</f>
        <v>0</v>
      </c>
      <c r="M616" s="118">
        <f>IFERROR(VLOOKUP(B616,BD_CONTROL!$A$5:$M$4235,13,0),"")</f>
        <v>0</v>
      </c>
    </row>
    <row r="617" spans="1:13" ht="15" customHeight="1">
      <c r="A617" s="42">
        <v>612</v>
      </c>
      <c r="B617" s="42" t="s">
        <v>7854</v>
      </c>
      <c r="C617" s="43" t="s">
        <v>6735</v>
      </c>
      <c r="D617" s="42" t="s">
        <v>3370</v>
      </c>
      <c r="E617" s="43" t="s">
        <v>3460</v>
      </c>
      <c r="F617" s="43" t="s">
        <v>7855</v>
      </c>
      <c r="G617" s="42" t="s">
        <v>6739</v>
      </c>
      <c r="H617" s="43" t="s">
        <v>1110</v>
      </c>
      <c r="I617" s="43" t="s">
        <v>6741</v>
      </c>
      <c r="J617" s="55"/>
      <c r="K617" s="119">
        <f>IFERROR(VLOOKUP(B617,BD_CONTROL!$A$5:$M$4235,11,0),"")</f>
        <v>0</v>
      </c>
      <c r="L617" s="120">
        <f>IFERROR(VLOOKUP(B617,BD_CONTROL!$A$5:$M$4235,12,0),"")</f>
        <v>0</v>
      </c>
      <c r="M617" s="121">
        <f>IFERROR(VLOOKUP(B617,BD_CONTROL!$A$5:$M$4235,13,0),"")</f>
        <v>0</v>
      </c>
    </row>
    <row r="618" spans="1:13" ht="15" customHeight="1">
      <c r="A618" s="39">
        <v>613</v>
      </c>
      <c r="B618" s="39" t="s">
        <v>7856</v>
      </c>
      <c r="C618" s="40" t="s">
        <v>6735</v>
      </c>
      <c r="D618" s="39" t="s">
        <v>3370</v>
      </c>
      <c r="E618" s="40" t="s">
        <v>3756</v>
      </c>
      <c r="F618" s="40" t="s">
        <v>3756</v>
      </c>
      <c r="G618" s="39" t="s">
        <v>6739</v>
      </c>
      <c r="H618" s="40" t="s">
        <v>1110</v>
      </c>
      <c r="I618" s="40" t="s">
        <v>6741</v>
      </c>
      <c r="J618" s="50"/>
      <c r="K618" s="116">
        <f>IFERROR(VLOOKUP(B618,BD_CONTROL!$A$5:$M$4235,11,0),"")</f>
        <v>0</v>
      </c>
      <c r="L618" s="117">
        <f>IFERROR(VLOOKUP(B618,BD_CONTROL!$A$5:$M$4235,12,0),"")</f>
        <v>0</v>
      </c>
      <c r="M618" s="118">
        <f>IFERROR(VLOOKUP(B618,BD_CONTROL!$A$5:$M$4235,13,0),"")</f>
        <v>0</v>
      </c>
    </row>
    <row r="619" spans="1:13" ht="15" customHeight="1">
      <c r="A619" s="42">
        <v>614</v>
      </c>
      <c r="B619" s="42" t="s">
        <v>7857</v>
      </c>
      <c r="C619" s="43" t="s">
        <v>6735</v>
      </c>
      <c r="D619" s="42" t="s">
        <v>3370</v>
      </c>
      <c r="E619" s="43" t="s">
        <v>3756</v>
      </c>
      <c r="F619" s="43" t="s">
        <v>7858</v>
      </c>
      <c r="G619" s="42" t="s">
        <v>6739</v>
      </c>
      <c r="H619" s="43" t="s">
        <v>1110</v>
      </c>
      <c r="I619" s="43" t="s">
        <v>6741</v>
      </c>
      <c r="J619" s="55"/>
      <c r="K619" s="119">
        <f>IFERROR(VLOOKUP(B619,BD_CONTROL!$A$5:$M$4235,11,0),"")</f>
        <v>0</v>
      </c>
      <c r="L619" s="120">
        <f>IFERROR(VLOOKUP(B619,BD_CONTROL!$A$5:$M$4235,12,0),"")</f>
        <v>0</v>
      </c>
      <c r="M619" s="121">
        <f>IFERROR(VLOOKUP(B619,BD_CONTROL!$A$5:$M$4235,13,0),"")</f>
        <v>0</v>
      </c>
    </row>
    <row r="620" spans="1:13" ht="15" customHeight="1">
      <c r="A620" s="39">
        <v>615</v>
      </c>
      <c r="B620" s="39" t="s">
        <v>7859</v>
      </c>
      <c r="C620" s="40" t="s">
        <v>6735</v>
      </c>
      <c r="D620" s="39" t="s">
        <v>3370</v>
      </c>
      <c r="E620" s="40" t="s">
        <v>3408</v>
      </c>
      <c r="F620" s="40" t="s">
        <v>3565</v>
      </c>
      <c r="G620" s="39" t="s">
        <v>6739</v>
      </c>
      <c r="H620" s="40" t="s">
        <v>1110</v>
      </c>
      <c r="I620" s="40" t="s">
        <v>6741</v>
      </c>
      <c r="J620" s="50"/>
      <c r="K620" s="116">
        <f>IFERROR(VLOOKUP(B620,BD_CONTROL!$A$5:$M$4235,11,0),"")</f>
        <v>0</v>
      </c>
      <c r="L620" s="117">
        <f>IFERROR(VLOOKUP(B620,BD_CONTROL!$A$5:$M$4235,12,0),"")</f>
        <v>0</v>
      </c>
      <c r="M620" s="118">
        <f>IFERROR(VLOOKUP(B620,BD_CONTROL!$A$5:$M$4235,13,0),"")</f>
        <v>0</v>
      </c>
    </row>
    <row r="621" spans="1:13" ht="15" customHeight="1">
      <c r="A621" s="42">
        <v>616</v>
      </c>
      <c r="B621" s="42" t="s">
        <v>7860</v>
      </c>
      <c r="C621" s="43" t="s">
        <v>6735</v>
      </c>
      <c r="D621" s="42" t="s">
        <v>3370</v>
      </c>
      <c r="E621" s="43" t="s">
        <v>3408</v>
      </c>
      <c r="F621" s="43" t="s">
        <v>7861</v>
      </c>
      <c r="G621" s="42" t="s">
        <v>6739</v>
      </c>
      <c r="H621" s="43" t="s">
        <v>1110</v>
      </c>
      <c r="I621" s="43" t="s">
        <v>6741</v>
      </c>
      <c r="J621" s="55"/>
      <c r="K621" s="119">
        <f>IFERROR(VLOOKUP(B621,BD_CONTROL!$A$5:$M$4235,11,0),"")</f>
        <v>0</v>
      </c>
      <c r="L621" s="120">
        <f>IFERROR(VLOOKUP(B621,BD_CONTROL!$A$5:$M$4235,12,0),"")</f>
        <v>0</v>
      </c>
      <c r="M621" s="121">
        <f>IFERROR(VLOOKUP(B621,BD_CONTROL!$A$5:$M$4235,13,0),"")</f>
        <v>0</v>
      </c>
    </row>
    <row r="622" spans="1:13" ht="15" customHeight="1">
      <c r="A622" s="39">
        <v>617</v>
      </c>
      <c r="B622" s="39" t="s">
        <v>7862</v>
      </c>
      <c r="C622" s="40" t="s">
        <v>6735</v>
      </c>
      <c r="D622" s="39" t="s">
        <v>3370</v>
      </c>
      <c r="E622" s="40" t="s">
        <v>3408</v>
      </c>
      <c r="F622" s="40" t="s">
        <v>7863</v>
      </c>
      <c r="G622" s="39" t="s">
        <v>6739</v>
      </c>
      <c r="H622" s="40" t="s">
        <v>1110</v>
      </c>
      <c r="I622" s="40" t="s">
        <v>6741</v>
      </c>
      <c r="J622" s="50"/>
      <c r="K622" s="116">
        <f>IFERROR(VLOOKUP(B622,BD_CONTROL!$A$5:$M$4235,11,0),"")</f>
        <v>0</v>
      </c>
      <c r="L622" s="117">
        <f>IFERROR(VLOOKUP(B622,BD_CONTROL!$A$5:$M$4235,12,0),"")</f>
        <v>0</v>
      </c>
      <c r="M622" s="118">
        <f>IFERROR(VLOOKUP(B622,BD_CONTROL!$A$5:$M$4235,13,0),"")</f>
        <v>0</v>
      </c>
    </row>
    <row r="623" spans="1:13" ht="15" customHeight="1">
      <c r="A623" s="42">
        <v>618</v>
      </c>
      <c r="B623" s="42" t="s">
        <v>7864</v>
      </c>
      <c r="C623" s="43" t="s">
        <v>6735</v>
      </c>
      <c r="D623" s="42" t="s">
        <v>3370</v>
      </c>
      <c r="E623" s="43" t="s">
        <v>4011</v>
      </c>
      <c r="F623" s="43" t="s">
        <v>4011</v>
      </c>
      <c r="G623" s="42" t="s">
        <v>6739</v>
      </c>
      <c r="H623" s="43" t="s">
        <v>1184</v>
      </c>
      <c r="I623" s="43" t="s">
        <v>6741</v>
      </c>
      <c r="J623" s="55"/>
      <c r="K623" s="119">
        <f>IFERROR(VLOOKUP(B623,BD_CONTROL!$A$5:$M$4235,11,0),"")</f>
        <v>0</v>
      </c>
      <c r="L623" s="120">
        <f>IFERROR(VLOOKUP(B623,BD_CONTROL!$A$5:$M$4235,12,0),"")</f>
        <v>0</v>
      </c>
      <c r="M623" s="121">
        <f>IFERROR(VLOOKUP(B623,BD_CONTROL!$A$5:$M$4235,13,0),"")</f>
        <v>0</v>
      </c>
    </row>
    <row r="624" spans="1:13" ht="15" customHeight="1">
      <c r="A624" s="39">
        <v>619</v>
      </c>
      <c r="B624" s="39" t="s">
        <v>7865</v>
      </c>
      <c r="C624" s="40" t="s">
        <v>6735</v>
      </c>
      <c r="D624" s="39" t="s">
        <v>3370</v>
      </c>
      <c r="E624" s="40" t="s">
        <v>4011</v>
      </c>
      <c r="F624" s="40" t="s">
        <v>3528</v>
      </c>
      <c r="G624" s="39" t="s">
        <v>6739</v>
      </c>
      <c r="H624" s="40" t="s">
        <v>1184</v>
      </c>
      <c r="I624" s="40" t="s">
        <v>6741</v>
      </c>
      <c r="J624" s="50"/>
      <c r="K624" s="116">
        <f>IFERROR(VLOOKUP(B624,BD_CONTROL!$A$5:$M$4235,11,0),"")</f>
        <v>0</v>
      </c>
      <c r="L624" s="117">
        <f>IFERROR(VLOOKUP(B624,BD_CONTROL!$A$5:$M$4235,12,0),"")</f>
        <v>0</v>
      </c>
      <c r="M624" s="118">
        <f>IFERROR(VLOOKUP(B624,BD_CONTROL!$A$5:$M$4235,13,0),"")</f>
        <v>0</v>
      </c>
    </row>
    <row r="625" spans="1:13" ht="15" customHeight="1">
      <c r="A625" s="42">
        <v>620</v>
      </c>
      <c r="B625" s="42" t="s">
        <v>7866</v>
      </c>
      <c r="C625" s="43" t="s">
        <v>6735</v>
      </c>
      <c r="D625" s="42" t="s">
        <v>3370</v>
      </c>
      <c r="E625" s="43" t="s">
        <v>3471</v>
      </c>
      <c r="F625" s="43" t="s">
        <v>7867</v>
      </c>
      <c r="G625" s="42" t="s">
        <v>6739</v>
      </c>
      <c r="H625" s="43" t="s">
        <v>1110</v>
      </c>
      <c r="I625" s="43" t="s">
        <v>6741</v>
      </c>
      <c r="J625" s="55"/>
      <c r="K625" s="119" t="str">
        <f>IFERROR(VLOOKUP(B625,BD_CONTROL!$A$5:$M$4235,11,0),"")</f>
        <v>Instalado - Operando</v>
      </c>
      <c r="L625" s="120">
        <f>IFERROR(VLOOKUP(B625,BD_CONTROL!$A$5:$M$4235,12,0),"")</f>
        <v>46150</v>
      </c>
      <c r="M625" s="121" t="str">
        <f>IFERROR(VLOOKUP(B625,BD_CONTROL!$A$5:$M$4235,13,0),"")</f>
        <v>El equipo no se encuentra cargado en la aplicación</v>
      </c>
    </row>
    <row r="626" spans="1:13" ht="15" customHeight="1">
      <c r="A626" s="39">
        <v>621</v>
      </c>
      <c r="B626" s="39" t="s">
        <v>7868</v>
      </c>
      <c r="C626" s="40" t="s">
        <v>6735</v>
      </c>
      <c r="D626" s="39" t="s">
        <v>3370</v>
      </c>
      <c r="E626" s="40" t="s">
        <v>3471</v>
      </c>
      <c r="F626" s="40" t="s">
        <v>7869</v>
      </c>
      <c r="G626" s="39" t="s">
        <v>6739</v>
      </c>
      <c r="H626" s="40" t="s">
        <v>1110</v>
      </c>
      <c r="I626" s="40" t="s">
        <v>6741</v>
      </c>
      <c r="J626" s="50"/>
      <c r="K626" s="116" t="str">
        <f>IFERROR(VLOOKUP(B626,BD_CONTROL!$A$5:$M$4235,11,0),"")</f>
        <v>Instalado - Operando</v>
      </c>
      <c r="L626" s="117">
        <f>IFERROR(VLOOKUP(B626,BD_CONTROL!$A$5:$M$4235,12,0),"")</f>
        <v>46150</v>
      </c>
      <c r="M626" s="118" t="str">
        <f>IFERROR(VLOOKUP(B626,BD_CONTROL!$A$5:$M$4235,13,0),"")</f>
        <v>El equipo no se encuentra cargado en la aplicación</v>
      </c>
    </row>
    <row r="627" spans="1:13" ht="15" customHeight="1">
      <c r="A627" s="42">
        <v>622</v>
      </c>
      <c r="B627" s="42" t="s">
        <v>7870</v>
      </c>
      <c r="C627" s="43" t="s">
        <v>6735</v>
      </c>
      <c r="D627" s="42" t="s">
        <v>3370</v>
      </c>
      <c r="E627" s="43" t="s">
        <v>3471</v>
      </c>
      <c r="F627" s="43" t="s">
        <v>7871</v>
      </c>
      <c r="G627" s="42" t="s">
        <v>6739</v>
      </c>
      <c r="H627" s="43" t="s">
        <v>1110</v>
      </c>
      <c r="I627" s="43" t="s">
        <v>6741</v>
      </c>
      <c r="J627" s="55"/>
      <c r="K627" s="119" t="str">
        <f>IFERROR(VLOOKUP(B627,BD_CONTROL!$A$5:$M$4235,11,0),"")</f>
        <v>Instalado - Operando</v>
      </c>
      <c r="L627" s="120">
        <f>IFERROR(VLOOKUP(B627,BD_CONTROL!$A$5:$M$4235,12,0),"")</f>
        <v>46149</v>
      </c>
      <c r="M627" s="121" t="str">
        <f>IFERROR(VLOOKUP(B627,BD_CONTROL!$A$5:$M$4235,13,0),"")</f>
        <v>Este equipo no se encuentra cargado en la Aplicación</v>
      </c>
    </row>
    <row r="628" spans="1:13" ht="15" customHeight="1">
      <c r="A628" s="39">
        <v>623</v>
      </c>
      <c r="B628" s="39" t="s">
        <v>7872</v>
      </c>
      <c r="C628" s="40" t="s">
        <v>6735</v>
      </c>
      <c r="D628" s="39" t="s">
        <v>3370</v>
      </c>
      <c r="E628" s="40" t="s">
        <v>3471</v>
      </c>
      <c r="F628" s="40" t="s">
        <v>4037</v>
      </c>
      <c r="G628" s="39" t="s">
        <v>6739</v>
      </c>
      <c r="H628" s="40" t="s">
        <v>1110</v>
      </c>
      <c r="I628" s="40" t="s">
        <v>6741</v>
      </c>
      <c r="J628" s="50"/>
      <c r="K628" s="116" t="str">
        <f>IFERROR(VLOOKUP(B628,BD_CONTROL!$A$5:$M$4235,11,0),"")</f>
        <v>Instalado - Operando</v>
      </c>
      <c r="L628" s="117">
        <f>IFERROR(VLOOKUP(B628,BD_CONTROL!$A$5:$M$4235,12,0),"")</f>
        <v>46148</v>
      </c>
      <c r="M628" s="118" t="str">
        <f>IFERROR(VLOOKUP(B628,BD_CONTROL!$A$5:$M$4235,13,0),"")</f>
        <v>Este equipo no se encuentra cargado en la aplicación</v>
      </c>
    </row>
    <row r="629" spans="1:13" ht="15" customHeight="1">
      <c r="A629" s="42">
        <v>624</v>
      </c>
      <c r="B629" s="42" t="s">
        <v>7881</v>
      </c>
      <c r="C629" s="43" t="s">
        <v>6735</v>
      </c>
      <c r="D629" s="42" t="s">
        <v>3370</v>
      </c>
      <c r="E629" s="43" t="s">
        <v>7882</v>
      </c>
      <c r="F629" s="43" t="s">
        <v>7882</v>
      </c>
      <c r="G629" s="42" t="s">
        <v>6739</v>
      </c>
      <c r="H629" s="43" t="s">
        <v>1110</v>
      </c>
      <c r="I629" s="43" t="s">
        <v>6741</v>
      </c>
      <c r="J629" s="55"/>
      <c r="K629" s="119">
        <f>IFERROR(VLOOKUP(B629,BD_CONTROL!$A$5:$M$4235,11,0),"")</f>
        <v>0</v>
      </c>
      <c r="L629" s="120">
        <f>IFERROR(VLOOKUP(B629,BD_CONTROL!$A$5:$M$4235,12,0),"")</f>
        <v>0</v>
      </c>
      <c r="M629" s="121">
        <f>IFERROR(VLOOKUP(B629,BD_CONTROL!$A$5:$M$4235,13,0),"")</f>
        <v>0</v>
      </c>
    </row>
    <row r="630" spans="1:13" ht="15" customHeight="1">
      <c r="A630" s="39">
        <v>625</v>
      </c>
      <c r="B630" s="39" t="s">
        <v>7883</v>
      </c>
      <c r="C630" s="40" t="s">
        <v>6735</v>
      </c>
      <c r="D630" s="39" t="s">
        <v>3370</v>
      </c>
      <c r="E630" s="40" t="s">
        <v>3398</v>
      </c>
      <c r="F630" s="40" t="s">
        <v>3399</v>
      </c>
      <c r="G630" s="39" t="s">
        <v>6739</v>
      </c>
      <c r="H630" s="40" t="s">
        <v>1184</v>
      </c>
      <c r="I630" s="40" t="s">
        <v>6741</v>
      </c>
      <c r="J630" s="50"/>
      <c r="K630" s="116">
        <f>IFERROR(VLOOKUP(B630,BD_CONTROL!$A$5:$M$4235,11,0),"")</f>
        <v>0</v>
      </c>
      <c r="L630" s="117">
        <f>IFERROR(VLOOKUP(B630,BD_CONTROL!$A$5:$M$4235,12,0),"")</f>
        <v>0</v>
      </c>
      <c r="M630" s="118">
        <f>IFERROR(VLOOKUP(B630,BD_CONTROL!$A$5:$M$4235,13,0),"")</f>
        <v>0</v>
      </c>
    </row>
    <row r="631" spans="1:13" ht="15" customHeight="1">
      <c r="A631" s="42">
        <v>626</v>
      </c>
      <c r="B631" s="42" t="s">
        <v>7884</v>
      </c>
      <c r="C631" s="43" t="s">
        <v>6735</v>
      </c>
      <c r="D631" s="42" t="s">
        <v>3370</v>
      </c>
      <c r="E631" s="43" t="s">
        <v>3724</v>
      </c>
      <c r="F631" s="43" t="s">
        <v>7885</v>
      </c>
      <c r="G631" s="42" t="s">
        <v>6739</v>
      </c>
      <c r="H631" s="43" t="s">
        <v>1184</v>
      </c>
      <c r="I631" s="43" t="s">
        <v>6741</v>
      </c>
      <c r="J631" s="55"/>
      <c r="K631" s="119">
        <f>IFERROR(VLOOKUP(B631,BD_CONTROL!$A$5:$M$4235,11,0),"")</f>
        <v>0</v>
      </c>
      <c r="L631" s="120">
        <f>IFERROR(VLOOKUP(B631,BD_CONTROL!$A$5:$M$4235,12,0),"")</f>
        <v>0</v>
      </c>
      <c r="M631" s="121">
        <f>IFERROR(VLOOKUP(B631,BD_CONTROL!$A$5:$M$4235,13,0),"")</f>
        <v>0</v>
      </c>
    </row>
    <row r="632" spans="1:13" ht="15" customHeight="1">
      <c r="A632" s="39">
        <v>627</v>
      </c>
      <c r="B632" s="39" t="s">
        <v>7900</v>
      </c>
      <c r="C632" s="40" t="s">
        <v>6735</v>
      </c>
      <c r="D632" s="39" t="s">
        <v>3370</v>
      </c>
      <c r="E632" s="40" t="s">
        <v>3598</v>
      </c>
      <c r="F632" s="40" t="s">
        <v>7901</v>
      </c>
      <c r="G632" s="39" t="s">
        <v>6739</v>
      </c>
      <c r="H632" s="40" t="s">
        <v>1110</v>
      </c>
      <c r="I632" s="40" t="s">
        <v>6741</v>
      </c>
      <c r="J632" s="50"/>
      <c r="K632" s="116">
        <f>IFERROR(VLOOKUP(B632,BD_CONTROL!$A$5:$M$4235,11,0),"")</f>
        <v>0</v>
      </c>
      <c r="L632" s="117">
        <f>IFERROR(VLOOKUP(B632,BD_CONTROL!$A$5:$M$4235,12,0),"")</f>
        <v>0</v>
      </c>
      <c r="M632" s="118">
        <f>IFERROR(VLOOKUP(B632,BD_CONTROL!$A$5:$M$4235,13,0),"")</f>
        <v>0</v>
      </c>
    </row>
    <row r="633" spans="1:13" ht="15" customHeight="1">
      <c r="A633" s="42">
        <v>628</v>
      </c>
      <c r="B633" s="42" t="s">
        <v>7902</v>
      </c>
      <c r="C633" s="43" t="s">
        <v>6735</v>
      </c>
      <c r="D633" s="42" t="s">
        <v>3370</v>
      </c>
      <c r="E633" s="43" t="s">
        <v>3444</v>
      </c>
      <c r="F633" s="43" t="s">
        <v>4037</v>
      </c>
      <c r="G633" s="42" t="s">
        <v>6739</v>
      </c>
      <c r="H633" s="43" t="s">
        <v>1110</v>
      </c>
      <c r="I633" s="43" t="s">
        <v>6741</v>
      </c>
      <c r="J633" s="55"/>
      <c r="K633" s="119">
        <f>IFERROR(VLOOKUP(B633,BD_CONTROL!$A$5:$M$4235,11,0),"")</f>
        <v>0</v>
      </c>
      <c r="L633" s="120">
        <f>IFERROR(VLOOKUP(B633,BD_CONTROL!$A$5:$M$4235,12,0),"")</f>
        <v>0</v>
      </c>
      <c r="M633" s="121">
        <f>IFERROR(VLOOKUP(B633,BD_CONTROL!$A$5:$M$4235,13,0),"")</f>
        <v>0</v>
      </c>
    </row>
    <row r="634" spans="1:13" ht="15" customHeight="1">
      <c r="A634" s="39">
        <v>629</v>
      </c>
      <c r="B634" s="39" t="s">
        <v>7903</v>
      </c>
      <c r="C634" s="40" t="s">
        <v>6735</v>
      </c>
      <c r="D634" s="39" t="s">
        <v>3370</v>
      </c>
      <c r="E634" s="40" t="s">
        <v>3375</v>
      </c>
      <c r="F634" s="40" t="s">
        <v>3376</v>
      </c>
      <c r="G634" s="39" t="s">
        <v>6739</v>
      </c>
      <c r="H634" s="40" t="s">
        <v>1110</v>
      </c>
      <c r="I634" s="40" t="s">
        <v>6741</v>
      </c>
      <c r="J634" s="50"/>
      <c r="K634" s="116">
        <f>IFERROR(VLOOKUP(B634,BD_CONTROL!$A$5:$M$4235,11,0),"")</f>
        <v>0</v>
      </c>
      <c r="L634" s="117">
        <f>IFERROR(VLOOKUP(B634,BD_CONTROL!$A$5:$M$4235,12,0),"")</f>
        <v>0</v>
      </c>
      <c r="M634" s="118">
        <f>IFERROR(VLOOKUP(B634,BD_CONTROL!$A$5:$M$4235,13,0),"")</f>
        <v>0</v>
      </c>
    </row>
    <row r="635" spans="1:13" ht="15" customHeight="1">
      <c r="A635" s="42">
        <v>630</v>
      </c>
      <c r="B635" s="42" t="s">
        <v>7904</v>
      </c>
      <c r="C635" s="43" t="s">
        <v>6735</v>
      </c>
      <c r="D635" s="42" t="s">
        <v>3370</v>
      </c>
      <c r="E635" s="43" t="s">
        <v>3375</v>
      </c>
      <c r="F635" s="43" t="s">
        <v>3376</v>
      </c>
      <c r="G635" s="42" t="s">
        <v>6739</v>
      </c>
      <c r="H635" s="43" t="s">
        <v>1184</v>
      </c>
      <c r="I635" s="43" t="s">
        <v>6741</v>
      </c>
      <c r="J635" s="55"/>
      <c r="K635" s="119">
        <f>IFERROR(VLOOKUP(B635,BD_CONTROL!$A$5:$M$4235,11,0),"")</f>
        <v>0</v>
      </c>
      <c r="L635" s="120">
        <f>IFERROR(VLOOKUP(B635,BD_CONTROL!$A$5:$M$4235,12,0),"")</f>
        <v>0</v>
      </c>
      <c r="M635" s="121">
        <f>IFERROR(VLOOKUP(B635,BD_CONTROL!$A$5:$M$4235,13,0),"")</f>
        <v>0</v>
      </c>
    </row>
    <row r="636" spans="1:13" ht="15" customHeight="1">
      <c r="A636" s="39">
        <v>631</v>
      </c>
      <c r="B636" s="39" t="s">
        <v>7905</v>
      </c>
      <c r="C636" s="40" t="s">
        <v>6735</v>
      </c>
      <c r="D636" s="39" t="s">
        <v>3370</v>
      </c>
      <c r="E636" s="40" t="s">
        <v>3375</v>
      </c>
      <c r="F636" s="40" t="s">
        <v>3376</v>
      </c>
      <c r="G636" s="39" t="s">
        <v>6739</v>
      </c>
      <c r="H636" s="40" t="s">
        <v>1184</v>
      </c>
      <c r="I636" s="40" t="s">
        <v>6741</v>
      </c>
      <c r="J636" s="50"/>
      <c r="K636" s="116">
        <f>IFERROR(VLOOKUP(B636,BD_CONTROL!$A$5:$M$4235,11,0),"")</f>
        <v>0</v>
      </c>
      <c r="L636" s="117">
        <f>IFERROR(VLOOKUP(B636,BD_CONTROL!$A$5:$M$4235,12,0),"")</f>
        <v>0</v>
      </c>
      <c r="M636" s="118">
        <f>IFERROR(VLOOKUP(B636,BD_CONTROL!$A$5:$M$4235,13,0),"")</f>
        <v>0</v>
      </c>
    </row>
    <row r="637" spans="1:13" ht="15" customHeight="1">
      <c r="A637" s="42">
        <v>632</v>
      </c>
      <c r="B637" s="42" t="s">
        <v>7906</v>
      </c>
      <c r="C637" s="43" t="s">
        <v>6735</v>
      </c>
      <c r="D637" s="42" t="s">
        <v>3370</v>
      </c>
      <c r="E637" s="43" t="s">
        <v>3375</v>
      </c>
      <c r="F637" s="43" t="s">
        <v>3376</v>
      </c>
      <c r="G637" s="42" t="s">
        <v>6739</v>
      </c>
      <c r="H637" s="43" t="s">
        <v>1184</v>
      </c>
      <c r="I637" s="43" t="s">
        <v>6741</v>
      </c>
      <c r="J637" s="55"/>
      <c r="K637" s="119">
        <f>IFERROR(VLOOKUP(B637,BD_CONTROL!$A$5:$M$4235,11,0),"")</f>
        <v>0</v>
      </c>
      <c r="L637" s="120">
        <f>IFERROR(VLOOKUP(B637,BD_CONTROL!$A$5:$M$4235,12,0),"")</f>
        <v>0</v>
      </c>
      <c r="M637" s="121">
        <f>IFERROR(VLOOKUP(B637,BD_CONTROL!$A$5:$M$4235,13,0),"")</f>
        <v>0</v>
      </c>
    </row>
    <row r="638" spans="1:13" ht="15" customHeight="1">
      <c r="A638" s="39">
        <v>633</v>
      </c>
      <c r="B638" s="39" t="s">
        <v>7908</v>
      </c>
      <c r="C638" s="40" t="s">
        <v>6735</v>
      </c>
      <c r="D638" s="39" t="s">
        <v>3370</v>
      </c>
      <c r="E638" s="40" t="s">
        <v>3416</v>
      </c>
      <c r="F638" s="40" t="s">
        <v>7909</v>
      </c>
      <c r="G638" s="39" t="s">
        <v>6739</v>
      </c>
      <c r="H638" s="40" t="s">
        <v>1110</v>
      </c>
      <c r="I638" s="40" t="s">
        <v>6741</v>
      </c>
      <c r="J638" s="50"/>
      <c r="K638" s="116">
        <f>IFERROR(VLOOKUP(B638,BD_CONTROL!$A$5:$M$4235,11,0),"")</f>
        <v>0</v>
      </c>
      <c r="L638" s="117">
        <f>IFERROR(VLOOKUP(B638,BD_CONTROL!$A$5:$M$4235,12,0),"")</f>
        <v>0</v>
      </c>
      <c r="M638" s="118">
        <f>IFERROR(VLOOKUP(B638,BD_CONTROL!$A$5:$M$4235,13,0),"")</f>
        <v>0</v>
      </c>
    </row>
    <row r="639" spans="1:13" ht="15" customHeight="1">
      <c r="A639" s="42">
        <v>634</v>
      </c>
      <c r="B639" s="42" t="s">
        <v>7910</v>
      </c>
      <c r="C639" s="43" t="s">
        <v>6735</v>
      </c>
      <c r="D639" s="42" t="s">
        <v>3370</v>
      </c>
      <c r="E639" s="43" t="s">
        <v>3416</v>
      </c>
      <c r="F639" s="43" t="s">
        <v>3484</v>
      </c>
      <c r="G639" s="42" t="s">
        <v>6739</v>
      </c>
      <c r="H639" s="43" t="s">
        <v>1110</v>
      </c>
      <c r="I639" s="43" t="s">
        <v>6741</v>
      </c>
      <c r="J639" s="55"/>
      <c r="K639" s="119">
        <f>IFERROR(VLOOKUP(B639,BD_CONTROL!$A$5:$M$4235,11,0),"")</f>
        <v>0</v>
      </c>
      <c r="L639" s="120">
        <f>IFERROR(VLOOKUP(B639,BD_CONTROL!$A$5:$M$4235,12,0),"")</f>
        <v>0</v>
      </c>
      <c r="M639" s="121">
        <f>IFERROR(VLOOKUP(B639,BD_CONTROL!$A$5:$M$4235,13,0),"")</f>
        <v>0</v>
      </c>
    </row>
    <row r="640" spans="1:13" ht="15" customHeight="1">
      <c r="A640" s="39">
        <v>635</v>
      </c>
      <c r="B640" s="39" t="s">
        <v>7911</v>
      </c>
      <c r="C640" s="40" t="s">
        <v>6735</v>
      </c>
      <c r="D640" s="39" t="s">
        <v>3370</v>
      </c>
      <c r="E640" s="40" t="s">
        <v>3416</v>
      </c>
      <c r="F640" s="40" t="s">
        <v>7912</v>
      </c>
      <c r="G640" s="39" t="s">
        <v>6739</v>
      </c>
      <c r="H640" s="40" t="s">
        <v>1110</v>
      </c>
      <c r="I640" s="40" t="s">
        <v>6741</v>
      </c>
      <c r="J640" s="50"/>
      <c r="K640" s="116">
        <f>IFERROR(VLOOKUP(B640,BD_CONTROL!$A$5:$M$4235,11,0),"")</f>
        <v>0</v>
      </c>
      <c r="L640" s="117">
        <f>IFERROR(VLOOKUP(B640,BD_CONTROL!$A$5:$M$4235,12,0),"")</f>
        <v>0</v>
      </c>
      <c r="M640" s="118">
        <f>IFERROR(VLOOKUP(B640,BD_CONTROL!$A$5:$M$4235,13,0),"")</f>
        <v>0</v>
      </c>
    </row>
    <row r="641" spans="1:13" ht="15" customHeight="1">
      <c r="A641" s="42">
        <v>636</v>
      </c>
      <c r="B641" s="42" t="s">
        <v>7913</v>
      </c>
      <c r="C641" s="43" t="s">
        <v>6735</v>
      </c>
      <c r="D641" s="42" t="s">
        <v>3370</v>
      </c>
      <c r="E641" s="43" t="s">
        <v>3416</v>
      </c>
      <c r="F641" s="43" t="s">
        <v>7914</v>
      </c>
      <c r="G641" s="42" t="s">
        <v>6739</v>
      </c>
      <c r="H641" s="43" t="s">
        <v>1110</v>
      </c>
      <c r="I641" s="43" t="s">
        <v>6741</v>
      </c>
      <c r="J641" s="55"/>
      <c r="K641" s="119">
        <f>IFERROR(VLOOKUP(B641,BD_CONTROL!$A$5:$M$4235,11,0),"")</f>
        <v>0</v>
      </c>
      <c r="L641" s="120">
        <f>IFERROR(VLOOKUP(B641,BD_CONTROL!$A$5:$M$4235,12,0),"")</f>
        <v>0</v>
      </c>
      <c r="M641" s="121">
        <f>IFERROR(VLOOKUP(B641,BD_CONTROL!$A$5:$M$4235,13,0),"")</f>
        <v>0</v>
      </c>
    </row>
    <row r="642" spans="1:13" ht="15" customHeight="1">
      <c r="A642" s="39">
        <v>637</v>
      </c>
      <c r="B642" s="39" t="s">
        <v>7915</v>
      </c>
      <c r="C642" s="40" t="s">
        <v>6735</v>
      </c>
      <c r="D642" s="39" t="s">
        <v>3370</v>
      </c>
      <c r="E642" s="40" t="s">
        <v>3131</v>
      </c>
      <c r="F642" s="40" t="s">
        <v>3618</v>
      </c>
      <c r="G642" s="39" t="s">
        <v>6739</v>
      </c>
      <c r="H642" s="40" t="s">
        <v>1184</v>
      </c>
      <c r="I642" s="40" t="s">
        <v>6741</v>
      </c>
      <c r="J642" s="50"/>
      <c r="K642" s="116">
        <f>IFERROR(VLOOKUP(B642,BD_CONTROL!$A$5:$M$4235,11,0),"")</f>
        <v>0</v>
      </c>
      <c r="L642" s="117">
        <f>IFERROR(VLOOKUP(B642,BD_CONTROL!$A$5:$M$4235,12,0),"")</f>
        <v>0</v>
      </c>
      <c r="M642" s="118">
        <f>IFERROR(VLOOKUP(B642,BD_CONTROL!$A$5:$M$4235,13,0),"")</f>
        <v>0</v>
      </c>
    </row>
    <row r="643" spans="1:13" ht="15" customHeight="1">
      <c r="A643" s="42">
        <v>638</v>
      </c>
      <c r="B643" s="42" t="s">
        <v>7928</v>
      </c>
      <c r="C643" s="43" t="s">
        <v>6735</v>
      </c>
      <c r="D643" s="42" t="s">
        <v>3370</v>
      </c>
      <c r="E643" s="43" t="s">
        <v>3770</v>
      </c>
      <c r="F643" s="43" t="s">
        <v>7929</v>
      </c>
      <c r="G643" s="42" t="s">
        <v>6739</v>
      </c>
      <c r="H643" s="43" t="s">
        <v>1184</v>
      </c>
      <c r="I643" s="43" t="s">
        <v>6741</v>
      </c>
      <c r="J643" s="55"/>
      <c r="K643" s="119" t="str">
        <f>IFERROR(VLOOKUP(B643,BD_CONTROL!$A$5:$M$4235,11,0),"")</f>
        <v>Instalado - Operando</v>
      </c>
      <c r="L643" s="120">
        <f>IFERROR(VLOOKUP(B643,BD_CONTROL!$A$5:$M$4235,12,0),"")</f>
        <v>46150</v>
      </c>
      <c r="M643" s="121">
        <f>IFERROR(VLOOKUP(B643,BD_CONTROL!$A$5:$M$4235,13,0),"")</f>
        <v>0</v>
      </c>
    </row>
    <row r="644" spans="1:13" ht="15" customHeight="1">
      <c r="A644" s="39">
        <v>639</v>
      </c>
      <c r="B644" s="39" t="s">
        <v>7930</v>
      </c>
      <c r="C644" s="40" t="s">
        <v>6735</v>
      </c>
      <c r="D644" s="39" t="s">
        <v>3370</v>
      </c>
      <c r="E644" s="40" t="s">
        <v>3770</v>
      </c>
      <c r="F644" s="40" t="s">
        <v>4103</v>
      </c>
      <c r="G644" s="39" t="s">
        <v>6739</v>
      </c>
      <c r="H644" s="40" t="s">
        <v>1184</v>
      </c>
      <c r="I644" s="40" t="s">
        <v>6741</v>
      </c>
      <c r="J644" s="50"/>
      <c r="K644" s="116">
        <f>IFERROR(VLOOKUP(B644,BD_CONTROL!$A$5:$M$4235,11,0),"")</f>
        <v>0</v>
      </c>
      <c r="L644" s="117">
        <f>IFERROR(VLOOKUP(B644,BD_CONTROL!$A$5:$M$4235,12,0),"")</f>
        <v>0</v>
      </c>
      <c r="M644" s="118">
        <f>IFERROR(VLOOKUP(B644,BD_CONTROL!$A$5:$M$4235,13,0),"")</f>
        <v>0</v>
      </c>
    </row>
    <row r="645" spans="1:13" ht="15" customHeight="1">
      <c r="A645" s="42">
        <v>640</v>
      </c>
      <c r="B645" s="42" t="s">
        <v>7931</v>
      </c>
      <c r="C645" s="43" t="s">
        <v>6735</v>
      </c>
      <c r="D645" s="42" t="s">
        <v>3370</v>
      </c>
      <c r="E645" s="43" t="s">
        <v>3382</v>
      </c>
      <c r="F645" s="43" t="s">
        <v>7932</v>
      </c>
      <c r="G645" s="42" t="s">
        <v>6739</v>
      </c>
      <c r="H645" s="43" t="s">
        <v>1184</v>
      </c>
      <c r="I645" s="43" t="s">
        <v>6741</v>
      </c>
      <c r="J645" s="55"/>
      <c r="K645" s="119">
        <f>IFERROR(VLOOKUP(B645,BD_CONTROL!$A$5:$M$4235,11,0),"")</f>
        <v>0</v>
      </c>
      <c r="L645" s="120">
        <f>IFERROR(VLOOKUP(B645,BD_CONTROL!$A$5:$M$4235,12,0),"")</f>
        <v>0</v>
      </c>
      <c r="M645" s="121">
        <f>IFERROR(VLOOKUP(B645,BD_CONTROL!$A$5:$M$4235,13,0),"")</f>
        <v>0</v>
      </c>
    </row>
    <row r="646" spans="1:13" ht="15" customHeight="1">
      <c r="A646" s="39">
        <v>641</v>
      </c>
      <c r="B646" s="39" t="s">
        <v>7933</v>
      </c>
      <c r="C646" s="40" t="s">
        <v>6735</v>
      </c>
      <c r="D646" s="39" t="s">
        <v>3370</v>
      </c>
      <c r="E646" s="40" t="s">
        <v>3382</v>
      </c>
      <c r="F646" s="40" t="s">
        <v>3382</v>
      </c>
      <c r="G646" s="39" t="s">
        <v>6739</v>
      </c>
      <c r="H646" s="40" t="s">
        <v>1184</v>
      </c>
      <c r="I646" s="40" t="s">
        <v>6741</v>
      </c>
      <c r="J646" s="50"/>
      <c r="K646" s="116">
        <f>IFERROR(VLOOKUP(B646,BD_CONTROL!$A$5:$M$4235,11,0),"")</f>
        <v>0</v>
      </c>
      <c r="L646" s="117">
        <f>IFERROR(VLOOKUP(B646,BD_CONTROL!$A$5:$M$4235,12,0),"")</f>
        <v>0</v>
      </c>
      <c r="M646" s="118">
        <f>IFERROR(VLOOKUP(B646,BD_CONTROL!$A$5:$M$4235,13,0),"")</f>
        <v>0</v>
      </c>
    </row>
    <row r="647" spans="1:13" ht="15" customHeight="1">
      <c r="A647" s="42">
        <v>642</v>
      </c>
      <c r="B647" s="42" t="s">
        <v>7934</v>
      </c>
      <c r="C647" s="43" t="s">
        <v>6735</v>
      </c>
      <c r="D647" s="42" t="s">
        <v>3370</v>
      </c>
      <c r="E647" s="43" t="s">
        <v>3481</v>
      </c>
      <c r="F647" s="43" t="s">
        <v>3482</v>
      </c>
      <c r="G647" s="42" t="s">
        <v>6739</v>
      </c>
      <c r="H647" s="43" t="s">
        <v>1110</v>
      </c>
      <c r="I647" s="43" t="s">
        <v>6741</v>
      </c>
      <c r="J647" s="55"/>
      <c r="K647" s="119" t="str">
        <f>IFERROR(VLOOKUP(B647,BD_CONTROL!$A$5:$M$4235,11,0),"")</f>
        <v>Instalado - Operando</v>
      </c>
      <c r="L647" s="120">
        <f>IFERROR(VLOOKUP(B647,BD_CONTROL!$A$5:$M$4235,12,0),"")</f>
        <v>46147</v>
      </c>
      <c r="M647" s="121" t="str">
        <f>IFERROR(VLOOKUP(B647,BD_CONTROL!$A$5:$M$4235,13,0),"")</f>
        <v>Equipo no se encuentra cargado en la aplicación</v>
      </c>
    </row>
    <row r="648" spans="1:13" ht="15" customHeight="1">
      <c r="A648" s="39">
        <v>643</v>
      </c>
      <c r="B648" s="39" t="s">
        <v>7936</v>
      </c>
      <c r="C648" s="40" t="s">
        <v>6735</v>
      </c>
      <c r="D648" s="39" t="s">
        <v>3370</v>
      </c>
      <c r="E648" s="40" t="s">
        <v>3481</v>
      </c>
      <c r="F648" s="40" t="s">
        <v>3482</v>
      </c>
      <c r="G648" s="39" t="s">
        <v>6739</v>
      </c>
      <c r="H648" s="40" t="s">
        <v>1110</v>
      </c>
      <c r="I648" s="40" t="s">
        <v>6741</v>
      </c>
      <c r="J648" s="50"/>
      <c r="K648" s="116">
        <f>IFERROR(VLOOKUP(B648,BD_CONTROL!$A$5:$M$4235,11,0),"")</f>
        <v>0</v>
      </c>
      <c r="L648" s="117">
        <f>IFERROR(VLOOKUP(B648,BD_CONTROL!$A$5:$M$4235,12,0),"")</f>
        <v>0</v>
      </c>
      <c r="M648" s="118">
        <f>IFERROR(VLOOKUP(B648,BD_CONTROL!$A$5:$M$4235,13,0),"")</f>
        <v>0</v>
      </c>
    </row>
    <row r="649" spans="1:13" ht="15" customHeight="1">
      <c r="A649" s="42">
        <v>644</v>
      </c>
      <c r="B649" s="42" t="s">
        <v>7943</v>
      </c>
      <c r="C649" s="43" t="s">
        <v>6735</v>
      </c>
      <c r="D649" s="42" t="s">
        <v>3370</v>
      </c>
      <c r="E649" s="43" t="s">
        <v>3598</v>
      </c>
      <c r="F649" s="43" t="s">
        <v>7944</v>
      </c>
      <c r="G649" s="42" t="s">
        <v>6739</v>
      </c>
      <c r="H649" s="43" t="s">
        <v>1110</v>
      </c>
      <c r="I649" s="43" t="s">
        <v>6741</v>
      </c>
      <c r="J649" s="55"/>
      <c r="K649" s="119">
        <f>IFERROR(VLOOKUP(B649,BD_CONTROL!$A$5:$M$4235,11,0),"")</f>
        <v>0</v>
      </c>
      <c r="L649" s="120">
        <f>IFERROR(VLOOKUP(B649,BD_CONTROL!$A$5:$M$4235,12,0),"")</f>
        <v>0</v>
      </c>
      <c r="M649" s="121">
        <f>IFERROR(VLOOKUP(B649,BD_CONTROL!$A$5:$M$4235,13,0),"")</f>
        <v>0</v>
      </c>
    </row>
    <row r="650" spans="1:13" ht="15" customHeight="1">
      <c r="A650" s="39">
        <v>645</v>
      </c>
      <c r="B650" s="39" t="s">
        <v>7945</v>
      </c>
      <c r="C650" s="40" t="s">
        <v>6735</v>
      </c>
      <c r="D650" s="39" t="s">
        <v>3370</v>
      </c>
      <c r="E650" s="40" t="s">
        <v>3416</v>
      </c>
      <c r="F650" s="40" t="s">
        <v>7946</v>
      </c>
      <c r="G650" s="39" t="s">
        <v>6739</v>
      </c>
      <c r="H650" s="40" t="s">
        <v>1110</v>
      </c>
      <c r="I650" s="40" t="s">
        <v>6741</v>
      </c>
      <c r="J650" s="50"/>
      <c r="K650" s="116">
        <f>IFERROR(VLOOKUP(B650,BD_CONTROL!$A$5:$M$4235,11,0),"")</f>
        <v>0</v>
      </c>
      <c r="L650" s="117">
        <f>IFERROR(VLOOKUP(B650,BD_CONTROL!$A$5:$M$4235,12,0),"")</f>
        <v>0</v>
      </c>
      <c r="M650" s="118">
        <f>IFERROR(VLOOKUP(B650,BD_CONTROL!$A$5:$M$4235,13,0),"")</f>
        <v>0</v>
      </c>
    </row>
    <row r="651" spans="1:13" ht="15" customHeight="1">
      <c r="A651" s="42">
        <v>646</v>
      </c>
      <c r="B651" s="42" t="s">
        <v>7947</v>
      </c>
      <c r="C651" s="43" t="s">
        <v>6735</v>
      </c>
      <c r="D651" s="42" t="s">
        <v>3370</v>
      </c>
      <c r="E651" s="43" t="s">
        <v>3416</v>
      </c>
      <c r="F651" s="43" t="s">
        <v>4511</v>
      </c>
      <c r="G651" s="42" t="s">
        <v>6739</v>
      </c>
      <c r="H651" s="43" t="s">
        <v>1110</v>
      </c>
      <c r="I651" s="43" t="s">
        <v>6741</v>
      </c>
      <c r="J651" s="55"/>
      <c r="K651" s="119">
        <f>IFERROR(VLOOKUP(B651,BD_CONTROL!$A$5:$M$4235,11,0),"")</f>
        <v>0</v>
      </c>
      <c r="L651" s="120">
        <f>IFERROR(VLOOKUP(B651,BD_CONTROL!$A$5:$M$4235,12,0),"")</f>
        <v>0</v>
      </c>
      <c r="M651" s="121">
        <f>IFERROR(VLOOKUP(B651,BD_CONTROL!$A$5:$M$4235,13,0),"")</f>
        <v>0</v>
      </c>
    </row>
    <row r="652" spans="1:13" ht="15" customHeight="1">
      <c r="A652" s="39">
        <v>647</v>
      </c>
      <c r="B652" s="39" t="s">
        <v>7948</v>
      </c>
      <c r="C652" s="40" t="s">
        <v>6735</v>
      </c>
      <c r="D652" s="39" t="s">
        <v>3370</v>
      </c>
      <c r="E652" s="40" t="s">
        <v>3416</v>
      </c>
      <c r="F652" s="40" t="s">
        <v>7949</v>
      </c>
      <c r="G652" s="39" t="s">
        <v>6739</v>
      </c>
      <c r="H652" s="40" t="s">
        <v>1110</v>
      </c>
      <c r="I652" s="40" t="s">
        <v>6741</v>
      </c>
      <c r="J652" s="50"/>
      <c r="K652" s="116">
        <f>IFERROR(VLOOKUP(B652,BD_CONTROL!$A$5:$M$4235,11,0),"")</f>
        <v>0</v>
      </c>
      <c r="L652" s="117">
        <f>IFERROR(VLOOKUP(B652,BD_CONTROL!$A$5:$M$4235,12,0),"")</f>
        <v>0</v>
      </c>
      <c r="M652" s="118">
        <f>IFERROR(VLOOKUP(B652,BD_CONTROL!$A$5:$M$4235,13,0),"")</f>
        <v>0</v>
      </c>
    </row>
    <row r="653" spans="1:13" ht="15" customHeight="1">
      <c r="A653" s="42">
        <v>648</v>
      </c>
      <c r="B653" s="42" t="s">
        <v>7950</v>
      </c>
      <c r="C653" s="43" t="s">
        <v>6735</v>
      </c>
      <c r="D653" s="42" t="s">
        <v>3370</v>
      </c>
      <c r="E653" s="43" t="s">
        <v>3416</v>
      </c>
      <c r="F653" s="43" t="s">
        <v>7951</v>
      </c>
      <c r="G653" s="42" t="s">
        <v>6739</v>
      </c>
      <c r="H653" s="43" t="s">
        <v>1110</v>
      </c>
      <c r="I653" s="43" t="s">
        <v>6741</v>
      </c>
      <c r="J653" s="55"/>
      <c r="K653" s="119">
        <f>IFERROR(VLOOKUP(B653,BD_CONTROL!$A$5:$M$4235,11,0),"")</f>
        <v>0</v>
      </c>
      <c r="L653" s="120">
        <f>IFERROR(VLOOKUP(B653,BD_CONTROL!$A$5:$M$4235,12,0),"")</f>
        <v>0</v>
      </c>
      <c r="M653" s="121">
        <f>IFERROR(VLOOKUP(B653,BD_CONTROL!$A$5:$M$4235,13,0),"")</f>
        <v>0</v>
      </c>
    </row>
    <row r="654" spans="1:13" ht="15" customHeight="1">
      <c r="A654" s="39">
        <v>649</v>
      </c>
      <c r="B654" s="39" t="s">
        <v>7952</v>
      </c>
      <c r="C654" s="40" t="s">
        <v>6735</v>
      </c>
      <c r="D654" s="39" t="s">
        <v>3370</v>
      </c>
      <c r="E654" s="40" t="s">
        <v>3371</v>
      </c>
      <c r="F654" s="40" t="s">
        <v>7953</v>
      </c>
      <c r="G654" s="39" t="s">
        <v>6739</v>
      </c>
      <c r="H654" s="40" t="s">
        <v>1110</v>
      </c>
      <c r="I654" s="40" t="s">
        <v>6741</v>
      </c>
      <c r="J654" s="50"/>
      <c r="K654" s="116">
        <f>IFERROR(VLOOKUP(B654,BD_CONTROL!$A$5:$M$4235,11,0),"")</f>
        <v>0</v>
      </c>
      <c r="L654" s="117">
        <f>IFERROR(VLOOKUP(B654,BD_CONTROL!$A$5:$M$4235,12,0),"")</f>
        <v>0</v>
      </c>
      <c r="M654" s="118">
        <f>IFERROR(VLOOKUP(B654,BD_CONTROL!$A$5:$M$4235,13,0),"")</f>
        <v>0</v>
      </c>
    </row>
    <row r="655" spans="1:13" ht="15" customHeight="1">
      <c r="A655" s="42">
        <v>650</v>
      </c>
      <c r="B655" s="42" t="s">
        <v>7956</v>
      </c>
      <c r="C655" s="43" t="s">
        <v>6735</v>
      </c>
      <c r="D655" s="42" t="s">
        <v>3370</v>
      </c>
      <c r="E655" s="43" t="s">
        <v>3558</v>
      </c>
      <c r="F655" s="43" t="s">
        <v>7680</v>
      </c>
      <c r="G655" s="42" t="s">
        <v>6739</v>
      </c>
      <c r="H655" s="43" t="s">
        <v>1184</v>
      </c>
      <c r="I655" s="43" t="s">
        <v>6741</v>
      </c>
      <c r="J655" s="55"/>
      <c r="K655" s="119">
        <f>IFERROR(VLOOKUP(B655,BD_CONTROL!$A$5:$M$4235,11,0),"")</f>
        <v>0</v>
      </c>
      <c r="L655" s="120">
        <f>IFERROR(VLOOKUP(B655,BD_CONTROL!$A$5:$M$4235,12,0),"")</f>
        <v>0</v>
      </c>
      <c r="M655" s="121">
        <f>IFERROR(VLOOKUP(B655,BD_CONTROL!$A$5:$M$4235,13,0),"")</f>
        <v>0</v>
      </c>
    </row>
    <row r="656" spans="1:13" ht="15" customHeight="1">
      <c r="A656" s="39">
        <v>651</v>
      </c>
      <c r="B656" s="39" t="s">
        <v>7957</v>
      </c>
      <c r="C656" s="40" t="s">
        <v>6735</v>
      </c>
      <c r="D656" s="39" t="s">
        <v>3370</v>
      </c>
      <c r="E656" s="40" t="s">
        <v>1244</v>
      </c>
      <c r="F656" s="40" t="s">
        <v>3591</v>
      </c>
      <c r="G656" s="39" t="s">
        <v>6739</v>
      </c>
      <c r="H656" s="40" t="s">
        <v>1184</v>
      </c>
      <c r="I656" s="40" t="s">
        <v>6741</v>
      </c>
      <c r="J656" s="50"/>
      <c r="K656" s="116">
        <f>IFERROR(VLOOKUP(B656,BD_CONTROL!$A$5:$M$4235,11,0),"")</f>
        <v>0</v>
      </c>
      <c r="L656" s="117">
        <f>IFERROR(VLOOKUP(B656,BD_CONTROL!$A$5:$M$4235,12,0),"")</f>
        <v>0</v>
      </c>
      <c r="M656" s="118">
        <f>IFERROR(VLOOKUP(B656,BD_CONTROL!$A$5:$M$4235,13,0),"")</f>
        <v>0</v>
      </c>
    </row>
    <row r="657" spans="1:13" ht="15" customHeight="1">
      <c r="A657" s="42">
        <v>652</v>
      </c>
      <c r="B657" s="42" t="s">
        <v>7958</v>
      </c>
      <c r="C657" s="43" t="s">
        <v>6735</v>
      </c>
      <c r="D657" s="42" t="s">
        <v>3370</v>
      </c>
      <c r="E657" s="43" t="s">
        <v>3558</v>
      </c>
      <c r="F657" s="43" t="s">
        <v>7680</v>
      </c>
      <c r="G657" s="42" t="s">
        <v>6739</v>
      </c>
      <c r="H657" s="43" t="s">
        <v>1184</v>
      </c>
      <c r="I657" s="43" t="s">
        <v>6741</v>
      </c>
      <c r="J657" s="55"/>
      <c r="K657" s="119">
        <f>IFERROR(VLOOKUP(B657,BD_CONTROL!$A$5:$M$4235,11,0),"")</f>
        <v>0</v>
      </c>
      <c r="L657" s="120">
        <f>IFERROR(VLOOKUP(B657,BD_CONTROL!$A$5:$M$4235,12,0),"")</f>
        <v>0</v>
      </c>
      <c r="M657" s="121">
        <f>IFERROR(VLOOKUP(B657,BD_CONTROL!$A$5:$M$4235,13,0),"")</f>
        <v>0</v>
      </c>
    </row>
    <row r="658" spans="1:13" ht="15" customHeight="1">
      <c r="A658" s="39">
        <v>653</v>
      </c>
      <c r="B658" s="39" t="s">
        <v>7963</v>
      </c>
      <c r="C658" s="40" t="s">
        <v>6735</v>
      </c>
      <c r="D658" s="39" t="s">
        <v>3370</v>
      </c>
      <c r="E658" s="40" t="s">
        <v>3428</v>
      </c>
      <c r="F658" s="40" t="s">
        <v>3432</v>
      </c>
      <c r="G658" s="39" t="s">
        <v>6739</v>
      </c>
      <c r="H658" s="40" t="s">
        <v>1184</v>
      </c>
      <c r="I658" s="40" t="s">
        <v>6741</v>
      </c>
      <c r="J658" s="50"/>
      <c r="K658" s="116">
        <f>IFERROR(VLOOKUP(B658,BD_CONTROL!$A$5:$M$4235,11,0),"")</f>
        <v>0</v>
      </c>
      <c r="L658" s="117">
        <f>IFERROR(VLOOKUP(B658,BD_CONTROL!$A$5:$M$4235,12,0),"")</f>
        <v>0</v>
      </c>
      <c r="M658" s="118">
        <f>IFERROR(VLOOKUP(B658,BD_CONTROL!$A$5:$M$4235,13,0),"")</f>
        <v>0</v>
      </c>
    </row>
    <row r="659" spans="1:13" ht="15" customHeight="1">
      <c r="A659" s="42">
        <v>654</v>
      </c>
      <c r="B659" s="42" t="s">
        <v>7964</v>
      </c>
      <c r="C659" s="43" t="s">
        <v>6735</v>
      </c>
      <c r="D659" s="42" t="s">
        <v>3370</v>
      </c>
      <c r="E659" s="43" t="s">
        <v>3428</v>
      </c>
      <c r="F659" s="43" t="s">
        <v>3498</v>
      </c>
      <c r="G659" s="42" t="s">
        <v>6739</v>
      </c>
      <c r="H659" s="43" t="s">
        <v>1184</v>
      </c>
      <c r="I659" s="43" t="s">
        <v>6741</v>
      </c>
      <c r="J659" s="55"/>
      <c r="K659" s="119">
        <f>IFERROR(VLOOKUP(B659,BD_CONTROL!$A$5:$M$4235,11,0),"")</f>
        <v>0</v>
      </c>
      <c r="L659" s="120">
        <f>IFERROR(VLOOKUP(B659,BD_CONTROL!$A$5:$M$4235,12,0),"")</f>
        <v>0</v>
      </c>
      <c r="M659" s="121">
        <f>IFERROR(VLOOKUP(B659,BD_CONTROL!$A$5:$M$4235,13,0),"")</f>
        <v>0</v>
      </c>
    </row>
    <row r="660" spans="1:13" ht="15" customHeight="1">
      <c r="A660" s="39">
        <v>655</v>
      </c>
      <c r="B660" s="39" t="s">
        <v>7965</v>
      </c>
      <c r="C660" s="40" t="s">
        <v>6735</v>
      </c>
      <c r="D660" s="39" t="s">
        <v>3370</v>
      </c>
      <c r="E660" s="40" t="s">
        <v>3428</v>
      </c>
      <c r="F660" s="40" t="s">
        <v>3432</v>
      </c>
      <c r="G660" s="39" t="s">
        <v>6739</v>
      </c>
      <c r="H660" s="40" t="s">
        <v>1184</v>
      </c>
      <c r="I660" s="40" t="s">
        <v>6741</v>
      </c>
      <c r="J660" s="50"/>
      <c r="K660" s="116">
        <f>IFERROR(VLOOKUP(B660,BD_CONTROL!$A$5:$M$4235,11,0),"")</f>
        <v>0</v>
      </c>
      <c r="L660" s="117">
        <f>IFERROR(VLOOKUP(B660,BD_CONTROL!$A$5:$M$4235,12,0),"")</f>
        <v>0</v>
      </c>
      <c r="M660" s="118">
        <f>IFERROR(VLOOKUP(B660,BD_CONTROL!$A$5:$M$4235,13,0),"")</f>
        <v>0</v>
      </c>
    </row>
    <row r="661" spans="1:13" ht="15" customHeight="1">
      <c r="A661" s="42">
        <v>656</v>
      </c>
      <c r="B661" s="42" t="s">
        <v>7966</v>
      </c>
      <c r="C661" s="43" t="s">
        <v>6735</v>
      </c>
      <c r="D661" s="42" t="s">
        <v>3370</v>
      </c>
      <c r="E661" s="43" t="s">
        <v>3724</v>
      </c>
      <c r="F661" s="43" t="s">
        <v>3724</v>
      </c>
      <c r="G661" s="42" t="s">
        <v>6739</v>
      </c>
      <c r="H661" s="43" t="s">
        <v>1184</v>
      </c>
      <c r="I661" s="43" t="s">
        <v>6741</v>
      </c>
      <c r="J661" s="55"/>
      <c r="K661" s="119">
        <f>IFERROR(VLOOKUP(B661,BD_CONTROL!$A$5:$M$4235,11,0),"")</f>
        <v>0</v>
      </c>
      <c r="L661" s="120">
        <f>IFERROR(VLOOKUP(B661,BD_CONTROL!$A$5:$M$4235,12,0),"")</f>
        <v>0</v>
      </c>
      <c r="M661" s="121">
        <f>IFERROR(VLOOKUP(B661,BD_CONTROL!$A$5:$M$4235,13,0),"")</f>
        <v>0</v>
      </c>
    </row>
    <row r="662" spans="1:13" ht="15" customHeight="1">
      <c r="A662" s="39">
        <v>657</v>
      </c>
      <c r="B662" s="39" t="s">
        <v>7967</v>
      </c>
      <c r="C662" s="40" t="s">
        <v>6735</v>
      </c>
      <c r="D662" s="39" t="s">
        <v>3370</v>
      </c>
      <c r="E662" s="40" t="s">
        <v>3770</v>
      </c>
      <c r="F662" s="40" t="s">
        <v>7968</v>
      </c>
      <c r="G662" s="39" t="s">
        <v>6739</v>
      </c>
      <c r="H662" s="40" t="s">
        <v>1184</v>
      </c>
      <c r="I662" s="40" t="s">
        <v>6741</v>
      </c>
      <c r="J662" s="50"/>
      <c r="K662" s="116">
        <f>IFERROR(VLOOKUP(B662,BD_CONTROL!$A$5:$M$4235,11,0),"")</f>
        <v>0</v>
      </c>
      <c r="L662" s="117">
        <f>IFERROR(VLOOKUP(B662,BD_CONTROL!$A$5:$M$4235,12,0),"")</f>
        <v>0</v>
      </c>
      <c r="M662" s="118">
        <f>IFERROR(VLOOKUP(B662,BD_CONTROL!$A$5:$M$4235,13,0),"")</f>
        <v>0</v>
      </c>
    </row>
    <row r="663" spans="1:13" ht="15" customHeight="1">
      <c r="A663" s="42">
        <v>658</v>
      </c>
      <c r="B663" s="42" t="s">
        <v>7969</v>
      </c>
      <c r="C663" s="43" t="s">
        <v>6735</v>
      </c>
      <c r="D663" s="42" t="s">
        <v>3370</v>
      </c>
      <c r="E663" s="43" t="s">
        <v>3404</v>
      </c>
      <c r="F663" s="43" t="s">
        <v>3404</v>
      </c>
      <c r="G663" s="42" t="s">
        <v>6739</v>
      </c>
      <c r="H663" s="43" t="s">
        <v>1110</v>
      </c>
      <c r="I663" s="43" t="s">
        <v>6741</v>
      </c>
      <c r="J663" s="55"/>
      <c r="K663" s="119">
        <f>IFERROR(VLOOKUP(B663,BD_CONTROL!$A$5:$M$4235,11,0),"")</f>
        <v>0</v>
      </c>
      <c r="L663" s="120">
        <f>IFERROR(VLOOKUP(B663,BD_CONTROL!$A$5:$M$4235,12,0),"")</f>
        <v>0</v>
      </c>
      <c r="M663" s="121">
        <f>IFERROR(VLOOKUP(B663,BD_CONTROL!$A$5:$M$4235,13,0),"")</f>
        <v>0</v>
      </c>
    </row>
    <row r="664" spans="1:13" ht="15" customHeight="1">
      <c r="A664" s="39">
        <v>659</v>
      </c>
      <c r="B664" s="39" t="s">
        <v>7979</v>
      </c>
      <c r="C664" s="40" t="s">
        <v>6735</v>
      </c>
      <c r="D664" s="39" t="s">
        <v>3370</v>
      </c>
      <c r="E664" s="40" t="s">
        <v>3416</v>
      </c>
      <c r="F664" s="40" t="s">
        <v>7951</v>
      </c>
      <c r="G664" s="39" t="s">
        <v>6739</v>
      </c>
      <c r="H664" s="40" t="s">
        <v>1110</v>
      </c>
      <c r="I664" s="40" t="s">
        <v>6741</v>
      </c>
      <c r="J664" s="50"/>
      <c r="K664" s="116">
        <f>IFERROR(VLOOKUP(B664,BD_CONTROL!$A$5:$M$4235,11,0),"")</f>
        <v>0</v>
      </c>
      <c r="L664" s="117">
        <f>IFERROR(VLOOKUP(B664,BD_CONTROL!$A$5:$M$4235,12,0),"")</f>
        <v>0</v>
      </c>
      <c r="M664" s="118">
        <f>IFERROR(VLOOKUP(B664,BD_CONTROL!$A$5:$M$4235,13,0),"")</f>
        <v>0</v>
      </c>
    </row>
    <row r="665" spans="1:13" ht="15" customHeight="1">
      <c r="A665" s="42">
        <v>660</v>
      </c>
      <c r="B665" s="42" t="s">
        <v>7980</v>
      </c>
      <c r="C665" s="43" t="s">
        <v>6735</v>
      </c>
      <c r="D665" s="42" t="s">
        <v>3370</v>
      </c>
      <c r="E665" s="43" t="s">
        <v>3395</v>
      </c>
      <c r="F665" s="43" t="s">
        <v>4687</v>
      </c>
      <c r="G665" s="42" t="s">
        <v>6739</v>
      </c>
      <c r="H665" s="43" t="s">
        <v>1110</v>
      </c>
      <c r="I665" s="43" t="s">
        <v>6741</v>
      </c>
      <c r="J665" s="55"/>
      <c r="K665" s="119">
        <f>IFERROR(VLOOKUP(B665,BD_CONTROL!$A$5:$M$4235,11,0),"")</f>
        <v>0</v>
      </c>
      <c r="L665" s="120">
        <f>IFERROR(VLOOKUP(B665,BD_CONTROL!$A$5:$M$4235,12,0),"")</f>
        <v>0</v>
      </c>
      <c r="M665" s="121">
        <f>IFERROR(VLOOKUP(B665,BD_CONTROL!$A$5:$M$4235,13,0),"")</f>
        <v>0</v>
      </c>
    </row>
    <row r="666" spans="1:13" ht="15" customHeight="1">
      <c r="A666" s="39">
        <v>661</v>
      </c>
      <c r="B666" s="39" t="s">
        <v>7982</v>
      </c>
      <c r="C666" s="40" t="s">
        <v>6735</v>
      </c>
      <c r="D666" s="39" t="s">
        <v>3370</v>
      </c>
      <c r="E666" s="40" t="s">
        <v>3558</v>
      </c>
      <c r="F666" s="40" t="s">
        <v>7680</v>
      </c>
      <c r="G666" s="39" t="s">
        <v>6739</v>
      </c>
      <c r="H666" s="40" t="s">
        <v>1184</v>
      </c>
      <c r="I666" s="40" t="s">
        <v>6741</v>
      </c>
      <c r="J666" s="50"/>
      <c r="K666" s="116">
        <f>IFERROR(VLOOKUP(B666,BD_CONTROL!$A$5:$M$4235,11,0),"")</f>
        <v>0</v>
      </c>
      <c r="L666" s="117">
        <f>IFERROR(VLOOKUP(B666,BD_CONTROL!$A$5:$M$4235,12,0),"")</f>
        <v>0</v>
      </c>
      <c r="M666" s="118">
        <f>IFERROR(VLOOKUP(B666,BD_CONTROL!$A$5:$M$4235,13,0),"")</f>
        <v>0</v>
      </c>
    </row>
    <row r="667" spans="1:13" ht="15" customHeight="1">
      <c r="A667" s="42">
        <v>662</v>
      </c>
      <c r="B667" s="42" t="s">
        <v>7985</v>
      </c>
      <c r="C667" s="43" t="s">
        <v>6735</v>
      </c>
      <c r="D667" s="42" t="s">
        <v>3370</v>
      </c>
      <c r="E667" s="43" t="s">
        <v>3371</v>
      </c>
      <c r="F667" s="43" t="s">
        <v>7953</v>
      </c>
      <c r="G667" s="42" t="s">
        <v>6739</v>
      </c>
      <c r="H667" s="43" t="s">
        <v>1110</v>
      </c>
      <c r="I667" s="43" t="s">
        <v>6741</v>
      </c>
      <c r="J667" s="55"/>
      <c r="K667" s="119">
        <f>IFERROR(VLOOKUP(B667,BD_CONTROL!$A$5:$M$4235,11,0),"")</f>
        <v>0</v>
      </c>
      <c r="L667" s="120">
        <f>IFERROR(VLOOKUP(B667,BD_CONTROL!$A$5:$M$4235,12,0),"")</f>
        <v>0</v>
      </c>
      <c r="M667" s="121">
        <f>IFERROR(VLOOKUP(B667,BD_CONTROL!$A$5:$M$4235,13,0),"")</f>
        <v>0</v>
      </c>
    </row>
    <row r="668" spans="1:13" ht="15" customHeight="1">
      <c r="A668" s="39">
        <v>663</v>
      </c>
      <c r="B668" s="39" t="s">
        <v>7987</v>
      </c>
      <c r="C668" s="40" t="s">
        <v>6735</v>
      </c>
      <c r="D668" s="39" t="s">
        <v>3370</v>
      </c>
      <c r="E668" s="40" t="s">
        <v>3428</v>
      </c>
      <c r="F668" s="40" t="s">
        <v>4475</v>
      </c>
      <c r="G668" s="39" t="s">
        <v>6739</v>
      </c>
      <c r="H668" s="40" t="s">
        <v>1184</v>
      </c>
      <c r="I668" s="40" t="s">
        <v>6741</v>
      </c>
      <c r="J668" s="50"/>
      <c r="K668" s="116">
        <f>IFERROR(VLOOKUP(B668,BD_CONTROL!$A$5:$M$4235,11,0),"")</f>
        <v>0</v>
      </c>
      <c r="L668" s="117">
        <f>IFERROR(VLOOKUP(B668,BD_CONTROL!$A$5:$M$4235,12,0),"")</f>
        <v>0</v>
      </c>
      <c r="M668" s="118">
        <f>IFERROR(VLOOKUP(B668,BD_CONTROL!$A$5:$M$4235,13,0),"")</f>
        <v>0</v>
      </c>
    </row>
    <row r="669" spans="1:13" ht="15" customHeight="1">
      <c r="A669" s="42">
        <v>664</v>
      </c>
      <c r="B669" s="42" t="s">
        <v>7988</v>
      </c>
      <c r="C669" s="43" t="s">
        <v>6735</v>
      </c>
      <c r="D669" s="42" t="s">
        <v>3370</v>
      </c>
      <c r="E669" s="43" t="s">
        <v>3428</v>
      </c>
      <c r="F669" s="43" t="s">
        <v>7989</v>
      </c>
      <c r="G669" s="42" t="s">
        <v>6739</v>
      </c>
      <c r="H669" s="43" t="s">
        <v>1184</v>
      </c>
      <c r="I669" s="43" t="s">
        <v>6741</v>
      </c>
      <c r="J669" s="55"/>
      <c r="K669" s="119" t="str">
        <f>IFERROR(VLOOKUP(B669,BD_CONTROL!$A$5:$M$4235,11,0),"")</f>
        <v>Instalado - Operando</v>
      </c>
      <c r="L669" s="120">
        <f>IFERROR(VLOOKUP(B669,BD_CONTROL!$A$5:$M$4235,12,0),"")</f>
        <v>46148</v>
      </c>
      <c r="M669" s="121">
        <f>IFERROR(VLOOKUP(B669,BD_CONTROL!$A$5:$M$4235,13,0),"")</f>
        <v>0</v>
      </c>
    </row>
    <row r="670" spans="1:13" ht="15" customHeight="1">
      <c r="A670" s="39">
        <v>665</v>
      </c>
      <c r="B670" s="39" t="s">
        <v>7991</v>
      </c>
      <c r="C670" s="40" t="s">
        <v>6735</v>
      </c>
      <c r="D670" s="39" t="s">
        <v>3370</v>
      </c>
      <c r="E670" s="40" t="s">
        <v>3714</v>
      </c>
      <c r="F670" s="40" t="s">
        <v>7992</v>
      </c>
      <c r="G670" s="39" t="s">
        <v>6739</v>
      </c>
      <c r="H670" s="40" t="s">
        <v>1110</v>
      </c>
      <c r="I670" s="40" t="s">
        <v>6741</v>
      </c>
      <c r="J670" s="50"/>
      <c r="K670" s="116">
        <f>IFERROR(VLOOKUP(B670,BD_CONTROL!$A$5:$M$4235,11,0),"")</f>
        <v>0</v>
      </c>
      <c r="L670" s="117">
        <f>IFERROR(VLOOKUP(B670,BD_CONTROL!$A$5:$M$4235,12,0),"")</f>
        <v>0</v>
      </c>
      <c r="M670" s="118">
        <f>IFERROR(VLOOKUP(B670,BD_CONTROL!$A$5:$M$4235,13,0),"")</f>
        <v>0</v>
      </c>
    </row>
    <row r="671" spans="1:13" ht="15" customHeight="1">
      <c r="A671" s="42">
        <v>666</v>
      </c>
      <c r="B671" s="42" t="s">
        <v>7995</v>
      </c>
      <c r="C671" s="43" t="s">
        <v>6735</v>
      </c>
      <c r="D671" s="42" t="s">
        <v>3370</v>
      </c>
      <c r="E671" s="43" t="s">
        <v>3842</v>
      </c>
      <c r="F671" s="43" t="s">
        <v>7996</v>
      </c>
      <c r="G671" s="42" t="s">
        <v>6739</v>
      </c>
      <c r="H671" s="43" t="s">
        <v>1110</v>
      </c>
      <c r="I671" s="43" t="s">
        <v>6741</v>
      </c>
      <c r="J671" s="55"/>
      <c r="K671" s="119">
        <f>IFERROR(VLOOKUP(B671,BD_CONTROL!$A$5:$M$4235,11,0),"")</f>
        <v>0</v>
      </c>
      <c r="L671" s="120">
        <f>IFERROR(VLOOKUP(B671,BD_CONTROL!$A$5:$M$4235,12,0),"")</f>
        <v>0</v>
      </c>
      <c r="M671" s="121">
        <f>IFERROR(VLOOKUP(B671,BD_CONTROL!$A$5:$M$4235,13,0),"")</f>
        <v>0</v>
      </c>
    </row>
    <row r="672" spans="1:13" ht="15" customHeight="1">
      <c r="A672" s="39">
        <v>667</v>
      </c>
      <c r="B672" s="39" t="s">
        <v>7997</v>
      </c>
      <c r="C672" s="40" t="s">
        <v>6735</v>
      </c>
      <c r="D672" s="39" t="s">
        <v>3370</v>
      </c>
      <c r="E672" s="40" t="s">
        <v>7998</v>
      </c>
      <c r="F672" s="40" t="s">
        <v>7999</v>
      </c>
      <c r="G672" s="39" t="s">
        <v>6739</v>
      </c>
      <c r="H672" s="40" t="s">
        <v>1184</v>
      </c>
      <c r="I672" s="40" t="s">
        <v>6741</v>
      </c>
      <c r="J672" s="50"/>
      <c r="K672" s="116">
        <f>IFERROR(VLOOKUP(B672,BD_CONTROL!$A$5:$M$4235,11,0),"")</f>
        <v>0</v>
      </c>
      <c r="L672" s="117">
        <f>IFERROR(VLOOKUP(B672,BD_CONTROL!$A$5:$M$4235,12,0),"")</f>
        <v>0</v>
      </c>
      <c r="M672" s="118">
        <f>IFERROR(VLOOKUP(B672,BD_CONTROL!$A$5:$M$4235,13,0),"")</f>
        <v>0</v>
      </c>
    </row>
    <row r="673" spans="1:13" ht="15" customHeight="1">
      <c r="A673" s="42">
        <v>668</v>
      </c>
      <c r="B673" s="42" t="s">
        <v>8000</v>
      </c>
      <c r="C673" s="43" t="s">
        <v>6735</v>
      </c>
      <c r="D673" s="42" t="s">
        <v>3370</v>
      </c>
      <c r="E673" s="43" t="s">
        <v>7998</v>
      </c>
      <c r="F673" s="43" t="s">
        <v>7999</v>
      </c>
      <c r="G673" s="42" t="s">
        <v>6739</v>
      </c>
      <c r="H673" s="43" t="s">
        <v>1184</v>
      </c>
      <c r="I673" s="43" t="s">
        <v>6741</v>
      </c>
      <c r="J673" s="55"/>
      <c r="K673" s="119">
        <f>IFERROR(VLOOKUP(B673,BD_CONTROL!$A$5:$M$4235,11,0),"")</f>
        <v>0</v>
      </c>
      <c r="L673" s="120">
        <f>IFERROR(VLOOKUP(B673,BD_CONTROL!$A$5:$M$4235,12,0),"")</f>
        <v>0</v>
      </c>
      <c r="M673" s="121">
        <f>IFERROR(VLOOKUP(B673,BD_CONTROL!$A$5:$M$4235,13,0),"")</f>
        <v>0</v>
      </c>
    </row>
    <row r="674" spans="1:13" ht="15" customHeight="1">
      <c r="A674" s="39">
        <v>669</v>
      </c>
      <c r="B674" s="39" t="s">
        <v>8001</v>
      </c>
      <c r="C674" s="40" t="s">
        <v>6735</v>
      </c>
      <c r="D674" s="39" t="s">
        <v>3370</v>
      </c>
      <c r="E674" s="40" t="s">
        <v>3371</v>
      </c>
      <c r="F674" s="40" t="s">
        <v>1714</v>
      </c>
      <c r="G674" s="39" t="s">
        <v>6739</v>
      </c>
      <c r="H674" s="40" t="s">
        <v>1110</v>
      </c>
      <c r="I674" s="40" t="s">
        <v>6741</v>
      </c>
      <c r="J674" s="50"/>
      <c r="K674" s="116">
        <f>IFERROR(VLOOKUP(B674,BD_CONTROL!$A$5:$M$4235,11,0),"")</f>
        <v>0</v>
      </c>
      <c r="L674" s="117">
        <f>IFERROR(VLOOKUP(B674,BD_CONTROL!$A$5:$M$4235,12,0),"")</f>
        <v>0</v>
      </c>
      <c r="M674" s="118">
        <f>IFERROR(VLOOKUP(B674,BD_CONTROL!$A$5:$M$4235,13,0),"")</f>
        <v>0</v>
      </c>
    </row>
    <row r="675" spans="1:13" ht="15" customHeight="1">
      <c r="A675" s="42">
        <v>670</v>
      </c>
      <c r="B675" s="42" t="s">
        <v>8002</v>
      </c>
      <c r="C675" s="43" t="s">
        <v>6735</v>
      </c>
      <c r="D675" s="42" t="s">
        <v>3370</v>
      </c>
      <c r="E675" s="43" t="s">
        <v>7998</v>
      </c>
      <c r="F675" s="43" t="s">
        <v>7999</v>
      </c>
      <c r="G675" s="42" t="s">
        <v>6739</v>
      </c>
      <c r="H675" s="43" t="s">
        <v>1184</v>
      </c>
      <c r="I675" s="43" t="s">
        <v>6741</v>
      </c>
      <c r="J675" s="55"/>
      <c r="K675" s="119">
        <f>IFERROR(VLOOKUP(B675,BD_CONTROL!$A$5:$M$4235,11,0),"")</f>
        <v>0</v>
      </c>
      <c r="L675" s="120">
        <f>IFERROR(VLOOKUP(B675,BD_CONTROL!$A$5:$M$4235,12,0),"")</f>
        <v>0</v>
      </c>
      <c r="M675" s="121">
        <f>IFERROR(VLOOKUP(B675,BD_CONTROL!$A$5:$M$4235,13,0),"")</f>
        <v>0</v>
      </c>
    </row>
    <row r="676" spans="1:13" ht="15" customHeight="1">
      <c r="A676" s="39">
        <v>671</v>
      </c>
      <c r="B676" s="39" t="s">
        <v>8003</v>
      </c>
      <c r="C676" s="40" t="s">
        <v>6735</v>
      </c>
      <c r="D676" s="39" t="s">
        <v>3370</v>
      </c>
      <c r="E676" s="40" t="s">
        <v>3685</v>
      </c>
      <c r="F676" s="40" t="s">
        <v>8004</v>
      </c>
      <c r="G676" s="39" t="s">
        <v>6739</v>
      </c>
      <c r="H676" s="40" t="s">
        <v>1184</v>
      </c>
      <c r="I676" s="40" t="s">
        <v>6741</v>
      </c>
      <c r="J676" s="50"/>
      <c r="K676" s="116">
        <f>IFERROR(VLOOKUP(B676,BD_CONTROL!$A$5:$M$4235,11,0),"")</f>
        <v>0</v>
      </c>
      <c r="L676" s="117">
        <f>IFERROR(VLOOKUP(B676,BD_CONTROL!$A$5:$M$4235,12,0),"")</f>
        <v>0</v>
      </c>
      <c r="M676" s="118">
        <f>IFERROR(VLOOKUP(B676,BD_CONTROL!$A$5:$M$4235,13,0),"")</f>
        <v>0</v>
      </c>
    </row>
    <row r="677" spans="1:13" ht="15" customHeight="1">
      <c r="A677" s="42">
        <v>672</v>
      </c>
      <c r="B677" s="42" t="s">
        <v>8005</v>
      </c>
      <c r="C677" s="43" t="s">
        <v>6735</v>
      </c>
      <c r="D677" s="42" t="s">
        <v>3370</v>
      </c>
      <c r="E677" s="43" t="s">
        <v>3576</v>
      </c>
      <c r="F677" s="43" t="s">
        <v>3577</v>
      </c>
      <c r="G677" s="42" t="s">
        <v>6739</v>
      </c>
      <c r="H677" s="43" t="s">
        <v>1110</v>
      </c>
      <c r="I677" s="43" t="s">
        <v>6741</v>
      </c>
      <c r="J677" s="55"/>
      <c r="K677" s="119">
        <f>IFERROR(VLOOKUP(B677,BD_CONTROL!$A$5:$M$4235,11,0),"")</f>
        <v>0</v>
      </c>
      <c r="L677" s="120">
        <f>IFERROR(VLOOKUP(B677,BD_CONTROL!$A$5:$M$4235,12,0),"")</f>
        <v>0</v>
      </c>
      <c r="M677" s="121">
        <f>IFERROR(VLOOKUP(B677,BD_CONTROL!$A$5:$M$4235,13,0),"")</f>
        <v>0</v>
      </c>
    </row>
    <row r="678" spans="1:13" ht="15" customHeight="1">
      <c r="A678" s="39">
        <v>673</v>
      </c>
      <c r="B678" s="39" t="s">
        <v>8006</v>
      </c>
      <c r="C678" s="40" t="s">
        <v>6735</v>
      </c>
      <c r="D678" s="39" t="s">
        <v>3370</v>
      </c>
      <c r="E678" s="40" t="s">
        <v>3460</v>
      </c>
      <c r="F678" s="40" t="s">
        <v>4002</v>
      </c>
      <c r="G678" s="39" t="s">
        <v>6739</v>
      </c>
      <c r="H678" s="40" t="s">
        <v>1110</v>
      </c>
      <c r="I678" s="40" t="s">
        <v>6741</v>
      </c>
      <c r="J678" s="50"/>
      <c r="K678" s="116">
        <f>IFERROR(VLOOKUP(B678,BD_CONTROL!$A$5:$M$4235,11,0),"")</f>
        <v>0</v>
      </c>
      <c r="L678" s="117">
        <f>IFERROR(VLOOKUP(B678,BD_CONTROL!$A$5:$M$4235,12,0),"")</f>
        <v>0</v>
      </c>
      <c r="M678" s="118">
        <f>IFERROR(VLOOKUP(B678,BD_CONTROL!$A$5:$M$4235,13,0),"")</f>
        <v>0</v>
      </c>
    </row>
    <row r="679" spans="1:13" ht="15" customHeight="1">
      <c r="A679" s="42">
        <v>674</v>
      </c>
      <c r="B679" s="42" t="s">
        <v>8007</v>
      </c>
      <c r="C679" s="43" t="s">
        <v>6735</v>
      </c>
      <c r="D679" s="42" t="s">
        <v>3370</v>
      </c>
      <c r="E679" s="43" t="s">
        <v>3375</v>
      </c>
      <c r="F679" s="43" t="s">
        <v>3376</v>
      </c>
      <c r="G679" s="42" t="s">
        <v>6739</v>
      </c>
      <c r="H679" s="43" t="s">
        <v>1184</v>
      </c>
      <c r="I679" s="43" t="s">
        <v>6741</v>
      </c>
      <c r="J679" s="55"/>
      <c r="K679" s="119">
        <f>IFERROR(VLOOKUP(B679,BD_CONTROL!$A$5:$M$4235,11,0),"")</f>
        <v>0</v>
      </c>
      <c r="L679" s="120">
        <f>IFERROR(VLOOKUP(B679,BD_CONTROL!$A$5:$M$4235,12,0),"")</f>
        <v>0</v>
      </c>
      <c r="M679" s="121">
        <f>IFERROR(VLOOKUP(B679,BD_CONTROL!$A$5:$M$4235,13,0),"")</f>
        <v>0</v>
      </c>
    </row>
    <row r="680" spans="1:13" ht="15" customHeight="1">
      <c r="A680" s="39">
        <v>675</v>
      </c>
      <c r="B680" s="39" t="s">
        <v>8008</v>
      </c>
      <c r="C680" s="40" t="s">
        <v>6735</v>
      </c>
      <c r="D680" s="39" t="s">
        <v>3370</v>
      </c>
      <c r="E680" s="40" t="s">
        <v>3416</v>
      </c>
      <c r="F680" s="40" t="s">
        <v>4511</v>
      </c>
      <c r="G680" s="39" t="s">
        <v>6739</v>
      </c>
      <c r="H680" s="40" t="s">
        <v>1110</v>
      </c>
      <c r="I680" s="40" t="s">
        <v>6741</v>
      </c>
      <c r="J680" s="50"/>
      <c r="K680" s="116">
        <f>IFERROR(VLOOKUP(B680,BD_CONTROL!$A$5:$M$4235,11,0),"")</f>
        <v>0</v>
      </c>
      <c r="L680" s="117">
        <f>IFERROR(VLOOKUP(B680,BD_CONTROL!$A$5:$M$4235,12,0),"")</f>
        <v>0</v>
      </c>
      <c r="M680" s="118">
        <f>IFERROR(VLOOKUP(B680,BD_CONTROL!$A$5:$M$4235,13,0),"")</f>
        <v>0</v>
      </c>
    </row>
    <row r="681" spans="1:13" ht="15" customHeight="1">
      <c r="A681" s="42">
        <v>676</v>
      </c>
      <c r="B681" s="42" t="s">
        <v>8009</v>
      </c>
      <c r="C681" s="43" t="s">
        <v>6735</v>
      </c>
      <c r="D681" s="42" t="s">
        <v>3370</v>
      </c>
      <c r="E681" s="43" t="s">
        <v>1244</v>
      </c>
      <c r="F681" s="43" t="s">
        <v>3591</v>
      </c>
      <c r="G681" s="42" t="s">
        <v>6739</v>
      </c>
      <c r="H681" s="43" t="s">
        <v>1184</v>
      </c>
      <c r="I681" s="43" t="s">
        <v>6741</v>
      </c>
      <c r="J681" s="55"/>
      <c r="K681" s="119">
        <f>IFERROR(VLOOKUP(B681,BD_CONTROL!$A$5:$M$4235,11,0),"")</f>
        <v>0</v>
      </c>
      <c r="L681" s="120">
        <f>IFERROR(VLOOKUP(B681,BD_CONTROL!$A$5:$M$4235,12,0),"")</f>
        <v>0</v>
      </c>
      <c r="M681" s="121">
        <f>IFERROR(VLOOKUP(B681,BD_CONTROL!$A$5:$M$4235,13,0),"")</f>
        <v>0</v>
      </c>
    </row>
    <row r="682" spans="1:13" ht="15" customHeight="1">
      <c r="A682" s="39">
        <v>677</v>
      </c>
      <c r="B682" s="39" t="s">
        <v>8014</v>
      </c>
      <c r="C682" s="40" t="s">
        <v>6735</v>
      </c>
      <c r="D682" s="39" t="s">
        <v>3370</v>
      </c>
      <c r="E682" s="40" t="s">
        <v>3379</v>
      </c>
      <c r="F682" s="40" t="s">
        <v>3379</v>
      </c>
      <c r="G682" s="39" t="s">
        <v>6739</v>
      </c>
      <c r="H682" s="40" t="s">
        <v>1110</v>
      </c>
      <c r="I682" s="40" t="s">
        <v>6741</v>
      </c>
      <c r="J682" s="50"/>
      <c r="K682" s="116">
        <f>IFERROR(VLOOKUP(B682,BD_CONTROL!$A$5:$M$4235,11,0),"")</f>
        <v>0</v>
      </c>
      <c r="L682" s="117">
        <f>IFERROR(VLOOKUP(B682,BD_CONTROL!$A$5:$M$4235,12,0),"")</f>
        <v>0</v>
      </c>
      <c r="M682" s="118">
        <f>IFERROR(VLOOKUP(B682,BD_CONTROL!$A$5:$M$4235,13,0),"")</f>
        <v>0</v>
      </c>
    </row>
    <row r="683" spans="1:13" ht="15" customHeight="1">
      <c r="A683" s="42">
        <v>678</v>
      </c>
      <c r="B683" s="42" t="s">
        <v>8016</v>
      </c>
      <c r="C683" s="43" t="s">
        <v>6735</v>
      </c>
      <c r="D683" s="42" t="s">
        <v>3370</v>
      </c>
      <c r="E683" s="43" t="s">
        <v>3385</v>
      </c>
      <c r="F683" s="43" t="s">
        <v>3385</v>
      </c>
      <c r="G683" s="42" t="s">
        <v>6739</v>
      </c>
      <c r="H683" s="43" t="s">
        <v>1184</v>
      </c>
      <c r="I683" s="43" t="s">
        <v>6741</v>
      </c>
      <c r="J683" s="55"/>
      <c r="K683" s="119">
        <f>IFERROR(VLOOKUP(B683,BD_CONTROL!$A$5:$M$4235,11,0),"")</f>
        <v>0</v>
      </c>
      <c r="L683" s="120">
        <f>IFERROR(VLOOKUP(B683,BD_CONTROL!$A$5:$M$4235,12,0),"")</f>
        <v>0</v>
      </c>
      <c r="M683" s="121">
        <f>IFERROR(VLOOKUP(B683,BD_CONTROL!$A$5:$M$4235,13,0),"")</f>
        <v>0</v>
      </c>
    </row>
    <row r="684" spans="1:13" ht="15" customHeight="1">
      <c r="A684" s="39">
        <v>679</v>
      </c>
      <c r="B684" s="39" t="s">
        <v>8017</v>
      </c>
      <c r="C684" s="40" t="s">
        <v>6735</v>
      </c>
      <c r="D684" s="39" t="s">
        <v>3370</v>
      </c>
      <c r="E684" s="40" t="s">
        <v>3385</v>
      </c>
      <c r="F684" s="40" t="s">
        <v>3385</v>
      </c>
      <c r="G684" s="39" t="s">
        <v>6739</v>
      </c>
      <c r="H684" s="40" t="s">
        <v>1110</v>
      </c>
      <c r="I684" s="40" t="s">
        <v>6741</v>
      </c>
      <c r="J684" s="50"/>
      <c r="K684" s="116">
        <f>IFERROR(VLOOKUP(B684,BD_CONTROL!$A$5:$M$4235,11,0),"")</f>
        <v>0</v>
      </c>
      <c r="L684" s="117">
        <f>IFERROR(VLOOKUP(B684,BD_CONTROL!$A$5:$M$4235,12,0),"")</f>
        <v>0</v>
      </c>
      <c r="M684" s="118">
        <f>IFERROR(VLOOKUP(B684,BD_CONTROL!$A$5:$M$4235,13,0),"")</f>
        <v>0</v>
      </c>
    </row>
    <row r="685" spans="1:13" ht="15" customHeight="1">
      <c r="A685" s="42">
        <v>680</v>
      </c>
      <c r="B685" s="42" t="s">
        <v>8018</v>
      </c>
      <c r="C685" s="43" t="s">
        <v>6735</v>
      </c>
      <c r="D685" s="42" t="s">
        <v>3370</v>
      </c>
      <c r="E685" s="43" t="s">
        <v>3385</v>
      </c>
      <c r="F685" s="43" t="s">
        <v>3385</v>
      </c>
      <c r="G685" s="42" t="s">
        <v>6739</v>
      </c>
      <c r="H685" s="43" t="s">
        <v>1184</v>
      </c>
      <c r="I685" s="43" t="s">
        <v>6741</v>
      </c>
      <c r="J685" s="55"/>
      <c r="K685" s="119">
        <f>IFERROR(VLOOKUP(B685,BD_CONTROL!$A$5:$M$4235,11,0),"")</f>
        <v>0</v>
      </c>
      <c r="L685" s="120">
        <f>IFERROR(VLOOKUP(B685,BD_CONTROL!$A$5:$M$4235,12,0),"")</f>
        <v>0</v>
      </c>
      <c r="M685" s="121">
        <f>IFERROR(VLOOKUP(B685,BD_CONTROL!$A$5:$M$4235,13,0),"")</f>
        <v>0</v>
      </c>
    </row>
    <row r="686" spans="1:13" ht="15" customHeight="1">
      <c r="A686" s="39">
        <v>681</v>
      </c>
      <c r="B686" s="39" t="s">
        <v>8019</v>
      </c>
      <c r="C686" s="40" t="s">
        <v>6735</v>
      </c>
      <c r="D686" s="39" t="s">
        <v>3370</v>
      </c>
      <c r="E686" s="40" t="s">
        <v>3385</v>
      </c>
      <c r="F686" s="40" t="s">
        <v>3385</v>
      </c>
      <c r="G686" s="39" t="s">
        <v>6739</v>
      </c>
      <c r="H686" s="40" t="s">
        <v>1184</v>
      </c>
      <c r="I686" s="40" t="s">
        <v>6741</v>
      </c>
      <c r="J686" s="50"/>
      <c r="K686" s="116">
        <f>IFERROR(VLOOKUP(B686,BD_CONTROL!$A$5:$M$4235,11,0),"")</f>
        <v>0</v>
      </c>
      <c r="L686" s="117">
        <f>IFERROR(VLOOKUP(B686,BD_CONTROL!$A$5:$M$4235,12,0),"")</f>
        <v>0</v>
      </c>
      <c r="M686" s="118">
        <f>IFERROR(VLOOKUP(B686,BD_CONTROL!$A$5:$M$4235,13,0),"")</f>
        <v>0</v>
      </c>
    </row>
    <row r="687" spans="1:13" ht="15" customHeight="1">
      <c r="A687" s="42">
        <v>682</v>
      </c>
      <c r="B687" s="42" t="s">
        <v>8020</v>
      </c>
      <c r="C687" s="43" t="s">
        <v>6735</v>
      </c>
      <c r="D687" s="42" t="s">
        <v>3370</v>
      </c>
      <c r="E687" s="43" t="s">
        <v>3404</v>
      </c>
      <c r="F687" s="43" t="s">
        <v>3404</v>
      </c>
      <c r="G687" s="42" t="s">
        <v>6739</v>
      </c>
      <c r="H687" s="43" t="s">
        <v>1110</v>
      </c>
      <c r="I687" s="43" t="s">
        <v>6741</v>
      </c>
      <c r="J687" s="55"/>
      <c r="K687" s="119">
        <f>IFERROR(VLOOKUP(B687,BD_CONTROL!$A$5:$M$4235,11,0),"")</f>
        <v>0</v>
      </c>
      <c r="L687" s="120">
        <f>IFERROR(VLOOKUP(B687,BD_CONTROL!$A$5:$M$4235,12,0),"")</f>
        <v>0</v>
      </c>
      <c r="M687" s="121">
        <f>IFERROR(VLOOKUP(B687,BD_CONTROL!$A$5:$M$4235,13,0),"")</f>
        <v>0</v>
      </c>
    </row>
    <row r="688" spans="1:13" ht="15" customHeight="1">
      <c r="A688" s="39">
        <v>683</v>
      </c>
      <c r="B688" s="39" t="s">
        <v>8021</v>
      </c>
      <c r="C688" s="40" t="s">
        <v>6735</v>
      </c>
      <c r="D688" s="39" t="s">
        <v>3370</v>
      </c>
      <c r="E688" s="40" t="s">
        <v>3404</v>
      </c>
      <c r="F688" s="40" t="s">
        <v>3404</v>
      </c>
      <c r="G688" s="39" t="s">
        <v>6739</v>
      </c>
      <c r="H688" s="40" t="s">
        <v>1110</v>
      </c>
      <c r="I688" s="40" t="s">
        <v>6741</v>
      </c>
      <c r="J688" s="50"/>
      <c r="K688" s="116">
        <f>IFERROR(VLOOKUP(B688,BD_CONTROL!$A$5:$M$4235,11,0),"")</f>
        <v>0</v>
      </c>
      <c r="L688" s="117">
        <f>IFERROR(VLOOKUP(B688,BD_CONTROL!$A$5:$M$4235,12,0),"")</f>
        <v>0</v>
      </c>
      <c r="M688" s="118">
        <f>IFERROR(VLOOKUP(B688,BD_CONTROL!$A$5:$M$4235,13,0),"")</f>
        <v>0</v>
      </c>
    </row>
    <row r="689" spans="1:13" ht="15" customHeight="1">
      <c r="A689" s="42">
        <v>684</v>
      </c>
      <c r="B689" s="42" t="s">
        <v>8022</v>
      </c>
      <c r="C689" s="43" t="s">
        <v>6735</v>
      </c>
      <c r="D689" s="42" t="s">
        <v>3370</v>
      </c>
      <c r="E689" s="43" t="s">
        <v>7998</v>
      </c>
      <c r="F689" s="43" t="s">
        <v>7998</v>
      </c>
      <c r="G689" s="42" t="s">
        <v>6739</v>
      </c>
      <c r="H689" s="43" t="s">
        <v>1184</v>
      </c>
      <c r="I689" s="43" t="s">
        <v>6741</v>
      </c>
      <c r="J689" s="55"/>
      <c r="K689" s="119">
        <f>IFERROR(VLOOKUP(B689,BD_CONTROL!$A$5:$M$4235,11,0),"")</f>
        <v>0</v>
      </c>
      <c r="L689" s="120">
        <f>IFERROR(VLOOKUP(B689,BD_CONTROL!$A$5:$M$4235,12,0),"")</f>
        <v>0</v>
      </c>
      <c r="M689" s="121">
        <f>IFERROR(VLOOKUP(B689,BD_CONTROL!$A$5:$M$4235,13,0),"")</f>
        <v>0</v>
      </c>
    </row>
    <row r="690" spans="1:13" ht="15" customHeight="1">
      <c r="A690" s="39">
        <v>685</v>
      </c>
      <c r="B690" s="39" t="s">
        <v>8023</v>
      </c>
      <c r="C690" s="40" t="s">
        <v>6735</v>
      </c>
      <c r="D690" s="39" t="s">
        <v>3370</v>
      </c>
      <c r="E690" s="40" t="s">
        <v>3404</v>
      </c>
      <c r="F690" s="40" t="s">
        <v>3404</v>
      </c>
      <c r="G690" s="39" t="s">
        <v>6739</v>
      </c>
      <c r="H690" s="40" t="s">
        <v>1110</v>
      </c>
      <c r="I690" s="40" t="s">
        <v>6741</v>
      </c>
      <c r="J690" s="50"/>
      <c r="K690" s="116">
        <f>IFERROR(VLOOKUP(B690,BD_CONTROL!$A$5:$M$4235,11,0),"")</f>
        <v>0</v>
      </c>
      <c r="L690" s="117">
        <f>IFERROR(VLOOKUP(B690,BD_CONTROL!$A$5:$M$4235,12,0),"")</f>
        <v>0</v>
      </c>
      <c r="M690" s="118">
        <f>IFERROR(VLOOKUP(B690,BD_CONTROL!$A$5:$M$4235,13,0),"")</f>
        <v>0</v>
      </c>
    </row>
    <row r="691" spans="1:13" ht="15" customHeight="1">
      <c r="A691" s="42">
        <v>686</v>
      </c>
      <c r="B691" s="42" t="s">
        <v>8024</v>
      </c>
      <c r="C691" s="43" t="s">
        <v>6735</v>
      </c>
      <c r="D691" s="42" t="s">
        <v>3370</v>
      </c>
      <c r="E691" s="43" t="s">
        <v>7998</v>
      </c>
      <c r="F691" s="43" t="s">
        <v>7998</v>
      </c>
      <c r="G691" s="42" t="s">
        <v>6739</v>
      </c>
      <c r="H691" s="43" t="s">
        <v>1184</v>
      </c>
      <c r="I691" s="43" t="s">
        <v>6741</v>
      </c>
      <c r="J691" s="55"/>
      <c r="K691" s="119">
        <f>IFERROR(VLOOKUP(B691,BD_CONTROL!$A$5:$M$4235,11,0),"")</f>
        <v>0</v>
      </c>
      <c r="L691" s="120">
        <f>IFERROR(VLOOKUP(B691,BD_CONTROL!$A$5:$M$4235,12,0),"")</f>
        <v>0</v>
      </c>
      <c r="M691" s="121">
        <f>IFERROR(VLOOKUP(B691,BD_CONTROL!$A$5:$M$4235,13,0),"")</f>
        <v>0</v>
      </c>
    </row>
    <row r="692" spans="1:13" ht="15" customHeight="1">
      <c r="A692" s="39">
        <v>687</v>
      </c>
      <c r="B692" s="39" t="s">
        <v>8025</v>
      </c>
      <c r="C692" s="40" t="s">
        <v>6735</v>
      </c>
      <c r="D692" s="39" t="s">
        <v>3370</v>
      </c>
      <c r="E692" s="40" t="s">
        <v>7839</v>
      </c>
      <c r="F692" s="40" t="s">
        <v>7839</v>
      </c>
      <c r="G692" s="39" t="s">
        <v>6739</v>
      </c>
      <c r="H692" s="40" t="s">
        <v>1110</v>
      </c>
      <c r="I692" s="40" t="s">
        <v>6741</v>
      </c>
      <c r="J692" s="50"/>
      <c r="K692" s="116">
        <f>IFERROR(VLOOKUP(B692,BD_CONTROL!$A$5:$M$4235,11,0),"")</f>
        <v>0</v>
      </c>
      <c r="L692" s="117">
        <f>IFERROR(VLOOKUP(B692,BD_CONTROL!$A$5:$M$4235,12,0),"")</f>
        <v>0</v>
      </c>
      <c r="M692" s="118">
        <f>IFERROR(VLOOKUP(B692,BD_CONTROL!$A$5:$M$4235,13,0),"")</f>
        <v>0</v>
      </c>
    </row>
    <row r="693" spans="1:13" ht="15" customHeight="1">
      <c r="A693" s="42">
        <v>688</v>
      </c>
      <c r="B693" s="42" t="s">
        <v>8026</v>
      </c>
      <c r="C693" s="43" t="s">
        <v>6735</v>
      </c>
      <c r="D693" s="42" t="s">
        <v>3370</v>
      </c>
      <c r="E693" s="43" t="s">
        <v>7998</v>
      </c>
      <c r="F693" s="43" t="s">
        <v>7998</v>
      </c>
      <c r="G693" s="42" t="s">
        <v>6739</v>
      </c>
      <c r="H693" s="43" t="s">
        <v>1184</v>
      </c>
      <c r="I693" s="43" t="s">
        <v>6741</v>
      </c>
      <c r="J693" s="55"/>
      <c r="K693" s="119">
        <f>IFERROR(VLOOKUP(B693,BD_CONTROL!$A$5:$M$4235,11,0),"")</f>
        <v>0</v>
      </c>
      <c r="L693" s="120">
        <f>IFERROR(VLOOKUP(B693,BD_CONTROL!$A$5:$M$4235,12,0),"")</f>
        <v>0</v>
      </c>
      <c r="M693" s="121">
        <f>IFERROR(VLOOKUP(B693,BD_CONTROL!$A$5:$M$4235,13,0),"")</f>
        <v>0</v>
      </c>
    </row>
    <row r="694" spans="1:13" ht="15" customHeight="1">
      <c r="A694" s="39">
        <v>689</v>
      </c>
      <c r="B694" s="39" t="s">
        <v>8027</v>
      </c>
      <c r="C694" s="40" t="s">
        <v>6735</v>
      </c>
      <c r="D694" s="39" t="s">
        <v>3370</v>
      </c>
      <c r="E694" s="40" t="s">
        <v>3651</v>
      </c>
      <c r="F694" s="40" t="s">
        <v>8028</v>
      </c>
      <c r="G694" s="39" t="s">
        <v>6739</v>
      </c>
      <c r="H694" s="40" t="s">
        <v>1110</v>
      </c>
      <c r="I694" s="40" t="s">
        <v>6741</v>
      </c>
      <c r="J694" s="50"/>
      <c r="K694" s="116">
        <f>IFERROR(VLOOKUP(B694,BD_CONTROL!$A$5:$M$4235,11,0),"")</f>
        <v>0</v>
      </c>
      <c r="L694" s="117">
        <f>IFERROR(VLOOKUP(B694,BD_CONTROL!$A$5:$M$4235,12,0),"")</f>
        <v>0</v>
      </c>
      <c r="M694" s="118">
        <f>IFERROR(VLOOKUP(B694,BD_CONTROL!$A$5:$M$4235,13,0),"")</f>
        <v>0</v>
      </c>
    </row>
    <row r="695" spans="1:13" ht="15" customHeight="1">
      <c r="A695" s="42">
        <v>690</v>
      </c>
      <c r="B695" s="42" t="s">
        <v>8029</v>
      </c>
      <c r="C695" s="43" t="s">
        <v>6735</v>
      </c>
      <c r="D695" s="42" t="s">
        <v>3370</v>
      </c>
      <c r="E695" s="43" t="s">
        <v>3379</v>
      </c>
      <c r="F695" s="43" t="s">
        <v>3379</v>
      </c>
      <c r="G695" s="42" t="s">
        <v>6739</v>
      </c>
      <c r="H695" s="43" t="s">
        <v>1110</v>
      </c>
      <c r="I695" s="43" t="s">
        <v>6741</v>
      </c>
      <c r="J695" s="55"/>
      <c r="K695" s="119">
        <f>IFERROR(VLOOKUP(B695,BD_CONTROL!$A$5:$M$4235,11,0),"")</f>
        <v>0</v>
      </c>
      <c r="L695" s="120">
        <f>IFERROR(VLOOKUP(B695,BD_CONTROL!$A$5:$M$4235,12,0),"")</f>
        <v>0</v>
      </c>
      <c r="M695" s="121">
        <f>IFERROR(VLOOKUP(B695,BD_CONTROL!$A$5:$M$4235,13,0),"")</f>
        <v>0</v>
      </c>
    </row>
    <row r="696" spans="1:13" ht="15" customHeight="1">
      <c r="A696" s="39">
        <v>691</v>
      </c>
      <c r="B696" s="39" t="s">
        <v>8031</v>
      </c>
      <c r="C696" s="40" t="s">
        <v>6735</v>
      </c>
      <c r="D696" s="39" t="s">
        <v>3370</v>
      </c>
      <c r="E696" s="40" t="s">
        <v>7998</v>
      </c>
      <c r="F696" s="40" t="s">
        <v>7998</v>
      </c>
      <c r="G696" s="39" t="s">
        <v>6739</v>
      </c>
      <c r="H696" s="40" t="s">
        <v>1184</v>
      </c>
      <c r="I696" s="40" t="s">
        <v>6741</v>
      </c>
      <c r="J696" s="50"/>
      <c r="K696" s="116">
        <f>IFERROR(VLOOKUP(B696,BD_CONTROL!$A$5:$M$4235,11,0),"")</f>
        <v>0</v>
      </c>
      <c r="L696" s="117">
        <f>IFERROR(VLOOKUP(B696,BD_CONTROL!$A$5:$M$4235,12,0),"")</f>
        <v>0</v>
      </c>
      <c r="M696" s="118">
        <f>IFERROR(VLOOKUP(B696,BD_CONTROL!$A$5:$M$4235,13,0),"")</f>
        <v>0</v>
      </c>
    </row>
    <row r="697" spans="1:13" ht="15" customHeight="1">
      <c r="A697" s="42">
        <v>692</v>
      </c>
      <c r="B697" s="42" t="s">
        <v>8036</v>
      </c>
      <c r="C697" s="43" t="s">
        <v>6735</v>
      </c>
      <c r="D697" s="42" t="s">
        <v>3370</v>
      </c>
      <c r="E697" s="43" t="s">
        <v>3379</v>
      </c>
      <c r="F697" s="43" t="s">
        <v>3379</v>
      </c>
      <c r="G697" s="42" t="s">
        <v>6739</v>
      </c>
      <c r="H697" s="43" t="s">
        <v>1110</v>
      </c>
      <c r="I697" s="43" t="s">
        <v>6741</v>
      </c>
      <c r="J697" s="55"/>
      <c r="K697" s="119">
        <f>IFERROR(VLOOKUP(B697,BD_CONTROL!$A$5:$M$4235,11,0),"")</f>
        <v>0</v>
      </c>
      <c r="L697" s="120">
        <f>IFERROR(VLOOKUP(B697,BD_CONTROL!$A$5:$M$4235,12,0),"")</f>
        <v>0</v>
      </c>
      <c r="M697" s="121">
        <f>IFERROR(VLOOKUP(B697,BD_CONTROL!$A$5:$M$4235,13,0),"")</f>
        <v>0</v>
      </c>
    </row>
    <row r="698" spans="1:13" ht="15" customHeight="1">
      <c r="A698" s="39">
        <v>693</v>
      </c>
      <c r="B698" s="39" t="s">
        <v>8037</v>
      </c>
      <c r="C698" s="40" t="s">
        <v>6735</v>
      </c>
      <c r="D698" s="39" t="s">
        <v>3370</v>
      </c>
      <c r="E698" s="40" t="s">
        <v>3385</v>
      </c>
      <c r="F698" s="40" t="s">
        <v>3385</v>
      </c>
      <c r="G698" s="39" t="s">
        <v>6739</v>
      </c>
      <c r="H698" s="40" t="s">
        <v>1184</v>
      </c>
      <c r="I698" s="40" t="s">
        <v>6741</v>
      </c>
      <c r="J698" s="50"/>
      <c r="K698" s="116">
        <f>IFERROR(VLOOKUP(B698,BD_CONTROL!$A$5:$M$4235,11,0),"")</f>
        <v>0</v>
      </c>
      <c r="L698" s="117">
        <f>IFERROR(VLOOKUP(B698,BD_CONTROL!$A$5:$M$4235,12,0),"")</f>
        <v>0</v>
      </c>
      <c r="M698" s="118">
        <f>IFERROR(VLOOKUP(B698,BD_CONTROL!$A$5:$M$4235,13,0),"")</f>
        <v>0</v>
      </c>
    </row>
    <row r="699" spans="1:13" ht="15" customHeight="1">
      <c r="A699" s="42">
        <v>694</v>
      </c>
      <c r="B699" s="42" t="s">
        <v>8038</v>
      </c>
      <c r="C699" s="43" t="s">
        <v>6735</v>
      </c>
      <c r="D699" s="42" t="s">
        <v>3370</v>
      </c>
      <c r="E699" s="43" t="s">
        <v>3404</v>
      </c>
      <c r="F699" s="43" t="s">
        <v>3404</v>
      </c>
      <c r="G699" s="42" t="s">
        <v>6739</v>
      </c>
      <c r="H699" s="43" t="s">
        <v>1110</v>
      </c>
      <c r="I699" s="43" t="s">
        <v>6741</v>
      </c>
      <c r="J699" s="55"/>
      <c r="K699" s="119">
        <f>IFERROR(VLOOKUP(B699,BD_CONTROL!$A$5:$M$4235,11,0),"")</f>
        <v>0</v>
      </c>
      <c r="L699" s="120">
        <f>IFERROR(VLOOKUP(B699,BD_CONTROL!$A$5:$M$4235,12,0),"")</f>
        <v>0</v>
      </c>
      <c r="M699" s="121">
        <f>IFERROR(VLOOKUP(B699,BD_CONTROL!$A$5:$M$4235,13,0),"")</f>
        <v>0</v>
      </c>
    </row>
    <row r="700" spans="1:13" ht="15" customHeight="1">
      <c r="A700" s="39">
        <v>695</v>
      </c>
      <c r="B700" s="39" t="s">
        <v>8039</v>
      </c>
      <c r="C700" s="40" t="s">
        <v>6735</v>
      </c>
      <c r="D700" s="39" t="s">
        <v>3370</v>
      </c>
      <c r="E700" s="40" t="s">
        <v>7998</v>
      </c>
      <c r="F700" s="40" t="s">
        <v>7998</v>
      </c>
      <c r="G700" s="39" t="s">
        <v>6739</v>
      </c>
      <c r="H700" s="40" t="s">
        <v>1184</v>
      </c>
      <c r="I700" s="40" t="s">
        <v>6741</v>
      </c>
      <c r="J700" s="50"/>
      <c r="K700" s="116">
        <f>IFERROR(VLOOKUP(B700,BD_CONTROL!$A$5:$M$4235,11,0),"")</f>
        <v>0</v>
      </c>
      <c r="L700" s="117">
        <f>IFERROR(VLOOKUP(B700,BD_CONTROL!$A$5:$M$4235,12,0),"")</f>
        <v>0</v>
      </c>
      <c r="M700" s="118">
        <f>IFERROR(VLOOKUP(B700,BD_CONTROL!$A$5:$M$4235,13,0),"")</f>
        <v>0</v>
      </c>
    </row>
    <row r="701" spans="1:13" ht="15" customHeight="1">
      <c r="A701" s="42">
        <v>696</v>
      </c>
      <c r="B701" s="42" t="s">
        <v>8042</v>
      </c>
      <c r="C701" s="43" t="s">
        <v>6735</v>
      </c>
      <c r="D701" s="42" t="s">
        <v>3370</v>
      </c>
      <c r="E701" s="43" t="s">
        <v>3967</v>
      </c>
      <c r="F701" s="43" t="s">
        <v>8043</v>
      </c>
      <c r="G701" s="42" t="s">
        <v>6739</v>
      </c>
      <c r="H701" s="43" t="s">
        <v>1110</v>
      </c>
      <c r="I701" s="43" t="s">
        <v>6741</v>
      </c>
      <c r="J701" s="55"/>
      <c r="K701" s="119">
        <f>IFERROR(VLOOKUP(B701,BD_CONTROL!$A$5:$M$4235,11,0),"")</f>
        <v>0</v>
      </c>
      <c r="L701" s="120">
        <f>IFERROR(VLOOKUP(B701,BD_CONTROL!$A$5:$M$4235,12,0),"")</f>
        <v>0</v>
      </c>
      <c r="M701" s="121">
        <f>IFERROR(VLOOKUP(B701,BD_CONTROL!$A$5:$M$4235,13,0),"")</f>
        <v>0</v>
      </c>
    </row>
    <row r="702" spans="1:13" ht="15" customHeight="1">
      <c r="A702" s="39">
        <v>697</v>
      </c>
      <c r="B702" s="39" t="s">
        <v>8046</v>
      </c>
      <c r="C702" s="40" t="s">
        <v>6735</v>
      </c>
      <c r="D702" s="39" t="s">
        <v>3370</v>
      </c>
      <c r="E702" s="40" t="s">
        <v>3385</v>
      </c>
      <c r="F702" s="40" t="s">
        <v>3385</v>
      </c>
      <c r="G702" s="39" t="s">
        <v>6739</v>
      </c>
      <c r="H702" s="40" t="s">
        <v>1184</v>
      </c>
      <c r="I702" s="40" t="s">
        <v>6741</v>
      </c>
      <c r="J702" s="50"/>
      <c r="K702" s="116" t="str">
        <f>IFERROR(VLOOKUP(B702,BD_CONTROL!$A$5:$M$4235,11,0),"")</f>
        <v>Instalado - Operando</v>
      </c>
      <c r="L702" s="117">
        <f>IFERROR(VLOOKUP(B702,BD_CONTROL!$A$5:$M$4235,12,0),"")</f>
        <v>46148</v>
      </c>
      <c r="M702" s="118">
        <f>IFERROR(VLOOKUP(B702,BD_CONTROL!$A$5:$M$4235,13,0),"")</f>
        <v>0</v>
      </c>
    </row>
    <row r="703" spans="1:13" ht="15" customHeight="1">
      <c r="A703" s="42">
        <v>698</v>
      </c>
      <c r="B703" s="42" t="s">
        <v>8047</v>
      </c>
      <c r="C703" s="43" t="s">
        <v>6735</v>
      </c>
      <c r="D703" s="42" t="s">
        <v>3370</v>
      </c>
      <c r="E703" s="43" t="s">
        <v>3561</v>
      </c>
      <c r="F703" s="43" t="s">
        <v>3561</v>
      </c>
      <c r="G703" s="42" t="s">
        <v>6739</v>
      </c>
      <c r="H703" s="43" t="s">
        <v>1110</v>
      </c>
      <c r="I703" s="43" t="s">
        <v>6741</v>
      </c>
      <c r="J703" s="55"/>
      <c r="K703" s="119">
        <f>IFERROR(VLOOKUP(B703,BD_CONTROL!$A$5:$M$4235,11,0),"")</f>
        <v>0</v>
      </c>
      <c r="L703" s="120">
        <f>IFERROR(VLOOKUP(B703,BD_CONTROL!$A$5:$M$4235,12,0),"")</f>
        <v>0</v>
      </c>
      <c r="M703" s="121">
        <f>IFERROR(VLOOKUP(B703,BD_CONTROL!$A$5:$M$4235,13,0),"")</f>
        <v>0</v>
      </c>
    </row>
    <row r="704" spans="1:13" ht="15" customHeight="1">
      <c r="A704" s="39">
        <v>699</v>
      </c>
      <c r="B704" s="39" t="s">
        <v>8048</v>
      </c>
      <c r="C704" s="40" t="s">
        <v>6735</v>
      </c>
      <c r="D704" s="39" t="s">
        <v>3370</v>
      </c>
      <c r="E704" s="40" t="s">
        <v>3384</v>
      </c>
      <c r="F704" s="40" t="s">
        <v>3435</v>
      </c>
      <c r="G704" s="39" t="s">
        <v>6739</v>
      </c>
      <c r="H704" s="40" t="s">
        <v>1110</v>
      </c>
      <c r="I704" s="40" t="s">
        <v>6741</v>
      </c>
      <c r="J704" s="50"/>
      <c r="K704" s="116">
        <f>IFERROR(VLOOKUP(B704,BD_CONTROL!$A$5:$M$4235,11,0),"")</f>
        <v>0</v>
      </c>
      <c r="L704" s="117">
        <f>IFERROR(VLOOKUP(B704,BD_CONTROL!$A$5:$M$4235,12,0),"")</f>
        <v>0</v>
      </c>
      <c r="M704" s="118">
        <f>IFERROR(VLOOKUP(B704,BD_CONTROL!$A$5:$M$4235,13,0),"")</f>
        <v>0</v>
      </c>
    </row>
    <row r="705" spans="1:13" ht="15" customHeight="1">
      <c r="A705" s="42">
        <v>700</v>
      </c>
      <c r="B705" s="42" t="s">
        <v>8049</v>
      </c>
      <c r="C705" s="43" t="s">
        <v>6735</v>
      </c>
      <c r="D705" s="42" t="s">
        <v>3370</v>
      </c>
      <c r="E705" s="43" t="s">
        <v>324</v>
      </c>
      <c r="F705" s="43" t="s">
        <v>7824</v>
      </c>
      <c r="G705" s="42" t="s">
        <v>6739</v>
      </c>
      <c r="H705" s="43" t="s">
        <v>1110</v>
      </c>
      <c r="I705" s="43" t="s">
        <v>6741</v>
      </c>
      <c r="J705" s="55"/>
      <c r="K705" s="119">
        <f>IFERROR(VLOOKUP(B705,BD_CONTROL!$A$5:$M$4235,11,0),"")</f>
        <v>0</v>
      </c>
      <c r="L705" s="120">
        <f>IFERROR(VLOOKUP(B705,BD_CONTROL!$A$5:$M$4235,12,0),"")</f>
        <v>0</v>
      </c>
      <c r="M705" s="121">
        <f>IFERROR(VLOOKUP(B705,BD_CONTROL!$A$5:$M$4235,13,0),"")</f>
        <v>0</v>
      </c>
    </row>
    <row r="706" spans="1:13" ht="15" customHeight="1">
      <c r="A706" s="39">
        <v>701</v>
      </c>
      <c r="B706" s="39" t="s">
        <v>8050</v>
      </c>
      <c r="C706" s="40" t="s">
        <v>6735</v>
      </c>
      <c r="D706" s="39" t="s">
        <v>3370</v>
      </c>
      <c r="E706" s="40" t="s">
        <v>3416</v>
      </c>
      <c r="F706" s="40" t="s">
        <v>7914</v>
      </c>
      <c r="G706" s="39" t="s">
        <v>6739</v>
      </c>
      <c r="H706" s="40" t="s">
        <v>1110</v>
      </c>
      <c r="I706" s="40" t="s">
        <v>6741</v>
      </c>
      <c r="J706" s="50"/>
      <c r="K706" s="116">
        <f>IFERROR(VLOOKUP(B706,BD_CONTROL!$A$5:$M$4235,11,0),"")</f>
        <v>0</v>
      </c>
      <c r="L706" s="117">
        <f>IFERROR(VLOOKUP(B706,BD_CONTROL!$A$5:$M$4235,12,0),"")</f>
        <v>0</v>
      </c>
      <c r="M706" s="118">
        <f>IFERROR(VLOOKUP(B706,BD_CONTROL!$A$5:$M$4235,13,0),"")</f>
        <v>0</v>
      </c>
    </row>
    <row r="707" spans="1:13" ht="15" customHeight="1">
      <c r="A707" s="42">
        <v>702</v>
      </c>
      <c r="B707" s="42" t="s">
        <v>8053</v>
      </c>
      <c r="C707" s="43" t="s">
        <v>6735</v>
      </c>
      <c r="D707" s="42" t="s">
        <v>3370</v>
      </c>
      <c r="E707" s="43" t="s">
        <v>3598</v>
      </c>
      <c r="F707" s="43" t="s">
        <v>7944</v>
      </c>
      <c r="G707" s="42" t="s">
        <v>6739</v>
      </c>
      <c r="H707" s="43" t="s">
        <v>1110</v>
      </c>
      <c r="I707" s="43" t="s">
        <v>6741</v>
      </c>
      <c r="J707" s="55"/>
      <c r="K707" s="119">
        <f>IFERROR(VLOOKUP(B707,BD_CONTROL!$A$5:$M$4235,11,0),"")</f>
        <v>0</v>
      </c>
      <c r="L707" s="120">
        <f>IFERROR(VLOOKUP(B707,BD_CONTROL!$A$5:$M$4235,12,0),"")</f>
        <v>0</v>
      </c>
      <c r="M707" s="121">
        <f>IFERROR(VLOOKUP(B707,BD_CONTROL!$A$5:$M$4235,13,0),"")</f>
        <v>0</v>
      </c>
    </row>
    <row r="708" spans="1:13" ht="15" customHeight="1">
      <c r="A708" s="39">
        <v>703</v>
      </c>
      <c r="B708" s="39" t="s">
        <v>8054</v>
      </c>
      <c r="C708" s="40" t="s">
        <v>6735</v>
      </c>
      <c r="D708" s="39" t="s">
        <v>3370</v>
      </c>
      <c r="E708" s="40" t="s">
        <v>3558</v>
      </c>
      <c r="F708" s="40" t="s">
        <v>7680</v>
      </c>
      <c r="G708" s="39" t="s">
        <v>6739</v>
      </c>
      <c r="H708" s="40" t="s">
        <v>1184</v>
      </c>
      <c r="I708" s="40" t="s">
        <v>6741</v>
      </c>
      <c r="J708" s="50"/>
      <c r="K708" s="116">
        <f>IFERROR(VLOOKUP(B708,BD_CONTROL!$A$5:$M$4235,11,0),"")</f>
        <v>0</v>
      </c>
      <c r="L708" s="117">
        <f>IFERROR(VLOOKUP(B708,BD_CONTROL!$A$5:$M$4235,12,0),"")</f>
        <v>0</v>
      </c>
      <c r="M708" s="118">
        <f>IFERROR(VLOOKUP(B708,BD_CONTROL!$A$5:$M$4235,13,0),"")</f>
        <v>0</v>
      </c>
    </row>
    <row r="709" spans="1:13" ht="15" customHeight="1">
      <c r="A709" s="42">
        <v>704</v>
      </c>
      <c r="B709" s="42" t="s">
        <v>8055</v>
      </c>
      <c r="C709" s="43" t="s">
        <v>6735</v>
      </c>
      <c r="D709" s="42" t="s">
        <v>3370</v>
      </c>
      <c r="E709" s="43" t="s">
        <v>3375</v>
      </c>
      <c r="F709" s="43" t="s">
        <v>3376</v>
      </c>
      <c r="G709" s="42" t="s">
        <v>6739</v>
      </c>
      <c r="H709" s="43" t="s">
        <v>1184</v>
      </c>
      <c r="I709" s="43" t="s">
        <v>6741</v>
      </c>
      <c r="J709" s="55"/>
      <c r="K709" s="119">
        <f>IFERROR(VLOOKUP(B709,BD_CONTROL!$A$5:$M$4235,11,0),"")</f>
        <v>0</v>
      </c>
      <c r="L709" s="120">
        <f>IFERROR(VLOOKUP(B709,BD_CONTROL!$A$5:$M$4235,12,0),"")</f>
        <v>0</v>
      </c>
      <c r="M709" s="121">
        <f>IFERROR(VLOOKUP(B709,BD_CONTROL!$A$5:$M$4235,13,0),"")</f>
        <v>0</v>
      </c>
    </row>
    <row r="710" spans="1:13" ht="15" customHeight="1">
      <c r="A710" s="39">
        <v>705</v>
      </c>
      <c r="B710" s="39" t="s">
        <v>8056</v>
      </c>
      <c r="C710" s="40" t="s">
        <v>6735</v>
      </c>
      <c r="D710" s="39" t="s">
        <v>3370</v>
      </c>
      <c r="E710" s="40" t="s">
        <v>3385</v>
      </c>
      <c r="F710" s="40" t="s">
        <v>3385</v>
      </c>
      <c r="G710" s="39" t="s">
        <v>6739</v>
      </c>
      <c r="H710" s="40" t="s">
        <v>1184</v>
      </c>
      <c r="I710" s="40" t="s">
        <v>6741</v>
      </c>
      <c r="J710" s="50"/>
      <c r="K710" s="116">
        <f>IFERROR(VLOOKUP(B710,BD_CONTROL!$A$5:$M$4235,11,0),"")</f>
        <v>0</v>
      </c>
      <c r="L710" s="117">
        <f>IFERROR(VLOOKUP(B710,BD_CONTROL!$A$5:$M$4235,12,0),"")</f>
        <v>0</v>
      </c>
      <c r="M710" s="118">
        <f>IFERROR(VLOOKUP(B710,BD_CONTROL!$A$5:$M$4235,13,0),"")</f>
        <v>0</v>
      </c>
    </row>
    <row r="711" spans="1:13" ht="15" customHeight="1">
      <c r="A711" s="42">
        <v>706</v>
      </c>
      <c r="B711" s="42" t="s">
        <v>8057</v>
      </c>
      <c r="C711" s="43" t="s">
        <v>6735</v>
      </c>
      <c r="D711" s="42" t="s">
        <v>3370</v>
      </c>
      <c r="E711" s="43" t="s">
        <v>3385</v>
      </c>
      <c r="F711" s="43" t="s">
        <v>3385</v>
      </c>
      <c r="G711" s="42" t="s">
        <v>6739</v>
      </c>
      <c r="H711" s="43" t="s">
        <v>1184</v>
      </c>
      <c r="I711" s="43" t="s">
        <v>6741</v>
      </c>
      <c r="J711" s="55"/>
      <c r="K711" s="119">
        <f>IFERROR(VLOOKUP(B711,BD_CONTROL!$A$5:$M$4235,11,0),"")</f>
        <v>0</v>
      </c>
      <c r="L711" s="120">
        <f>IFERROR(VLOOKUP(B711,BD_CONTROL!$A$5:$M$4235,12,0),"")</f>
        <v>0</v>
      </c>
      <c r="M711" s="121">
        <f>IFERROR(VLOOKUP(B711,BD_CONTROL!$A$5:$M$4235,13,0),"")</f>
        <v>0</v>
      </c>
    </row>
    <row r="712" spans="1:13" ht="15" customHeight="1">
      <c r="A712" s="39">
        <v>707</v>
      </c>
      <c r="B712" s="39" t="s">
        <v>8058</v>
      </c>
      <c r="C712" s="40" t="s">
        <v>6735</v>
      </c>
      <c r="D712" s="39" t="s">
        <v>3370</v>
      </c>
      <c r="E712" s="40" t="s">
        <v>3385</v>
      </c>
      <c r="F712" s="40" t="s">
        <v>3385</v>
      </c>
      <c r="G712" s="39" t="s">
        <v>6739</v>
      </c>
      <c r="H712" s="40" t="s">
        <v>1110</v>
      </c>
      <c r="I712" s="40" t="s">
        <v>6741</v>
      </c>
      <c r="J712" s="50"/>
      <c r="K712" s="116">
        <f>IFERROR(VLOOKUP(B712,BD_CONTROL!$A$5:$M$4235,11,0),"")</f>
        <v>0</v>
      </c>
      <c r="L712" s="117">
        <f>IFERROR(VLOOKUP(B712,BD_CONTROL!$A$5:$M$4235,12,0),"")</f>
        <v>0</v>
      </c>
      <c r="M712" s="118">
        <f>IFERROR(VLOOKUP(B712,BD_CONTROL!$A$5:$M$4235,13,0),"")</f>
        <v>0</v>
      </c>
    </row>
    <row r="713" spans="1:13" ht="15" customHeight="1">
      <c r="A713" s="42">
        <v>708</v>
      </c>
      <c r="B713" s="42" t="s">
        <v>8059</v>
      </c>
      <c r="C713" s="43" t="s">
        <v>6735</v>
      </c>
      <c r="D713" s="42" t="s">
        <v>3370</v>
      </c>
      <c r="E713" s="43" t="s">
        <v>3385</v>
      </c>
      <c r="F713" s="43" t="s">
        <v>3385</v>
      </c>
      <c r="G713" s="42" t="s">
        <v>6739</v>
      </c>
      <c r="H713" s="43" t="s">
        <v>1184</v>
      </c>
      <c r="I713" s="43" t="s">
        <v>6741</v>
      </c>
      <c r="J713" s="55"/>
      <c r="K713" s="119">
        <f>IFERROR(VLOOKUP(B713,BD_CONTROL!$A$5:$M$4235,11,0),"")</f>
        <v>0</v>
      </c>
      <c r="L713" s="120">
        <f>IFERROR(VLOOKUP(B713,BD_CONTROL!$A$5:$M$4235,12,0),"")</f>
        <v>0</v>
      </c>
      <c r="M713" s="121">
        <f>IFERROR(VLOOKUP(B713,BD_CONTROL!$A$5:$M$4235,13,0),"")</f>
        <v>0</v>
      </c>
    </row>
    <row r="714" spans="1:13" ht="15" customHeight="1">
      <c r="A714" s="39">
        <v>709</v>
      </c>
      <c r="B714" s="39" t="s">
        <v>8060</v>
      </c>
      <c r="C714" s="40" t="s">
        <v>6735</v>
      </c>
      <c r="D714" s="39" t="s">
        <v>3370</v>
      </c>
      <c r="E714" s="40" t="s">
        <v>3385</v>
      </c>
      <c r="F714" s="40" t="s">
        <v>3385</v>
      </c>
      <c r="G714" s="39" t="s">
        <v>6739</v>
      </c>
      <c r="H714" s="40" t="s">
        <v>1184</v>
      </c>
      <c r="I714" s="40" t="s">
        <v>6741</v>
      </c>
      <c r="J714" s="50"/>
      <c r="K714" s="116">
        <f>IFERROR(VLOOKUP(B714,BD_CONTROL!$A$5:$M$4235,11,0),"")</f>
        <v>0</v>
      </c>
      <c r="L714" s="117">
        <f>IFERROR(VLOOKUP(B714,BD_CONTROL!$A$5:$M$4235,12,0),"")</f>
        <v>0</v>
      </c>
      <c r="M714" s="118">
        <f>IFERROR(VLOOKUP(B714,BD_CONTROL!$A$5:$M$4235,13,0),"")</f>
        <v>0</v>
      </c>
    </row>
    <row r="715" spans="1:13" ht="15" customHeight="1">
      <c r="A715" s="42">
        <v>710</v>
      </c>
      <c r="B715" s="42" t="s">
        <v>8061</v>
      </c>
      <c r="C715" s="43" t="s">
        <v>6735</v>
      </c>
      <c r="D715" s="42" t="s">
        <v>3370</v>
      </c>
      <c r="E715" s="43" t="s">
        <v>3385</v>
      </c>
      <c r="F715" s="43" t="s">
        <v>3385</v>
      </c>
      <c r="G715" s="42" t="s">
        <v>6739</v>
      </c>
      <c r="H715" s="43" t="s">
        <v>1184</v>
      </c>
      <c r="I715" s="43" t="s">
        <v>6741</v>
      </c>
      <c r="J715" s="55"/>
      <c r="K715" s="119">
        <f>IFERROR(VLOOKUP(B715,BD_CONTROL!$A$5:$M$4235,11,0),"")</f>
        <v>0</v>
      </c>
      <c r="L715" s="120">
        <f>IFERROR(VLOOKUP(B715,BD_CONTROL!$A$5:$M$4235,12,0),"")</f>
        <v>0</v>
      </c>
      <c r="M715" s="121">
        <f>IFERROR(VLOOKUP(B715,BD_CONTROL!$A$5:$M$4235,13,0),"")</f>
        <v>0</v>
      </c>
    </row>
    <row r="716" spans="1:13" ht="15" customHeight="1">
      <c r="A716" s="39">
        <v>711</v>
      </c>
      <c r="B716" s="39" t="s">
        <v>8062</v>
      </c>
      <c r="C716" s="40" t="s">
        <v>6735</v>
      </c>
      <c r="D716" s="39" t="s">
        <v>3370</v>
      </c>
      <c r="E716" s="40" t="s">
        <v>3385</v>
      </c>
      <c r="F716" s="40" t="s">
        <v>3385</v>
      </c>
      <c r="G716" s="39" t="s">
        <v>6739</v>
      </c>
      <c r="H716" s="40" t="s">
        <v>1184</v>
      </c>
      <c r="I716" s="40" t="s">
        <v>6741</v>
      </c>
      <c r="J716" s="50"/>
      <c r="K716" s="116">
        <f>IFERROR(VLOOKUP(B716,BD_CONTROL!$A$5:$M$4235,11,0),"")</f>
        <v>0</v>
      </c>
      <c r="L716" s="117">
        <f>IFERROR(VLOOKUP(B716,BD_CONTROL!$A$5:$M$4235,12,0),"")</f>
        <v>0</v>
      </c>
      <c r="M716" s="118">
        <f>IFERROR(VLOOKUP(B716,BD_CONTROL!$A$5:$M$4235,13,0),"")</f>
        <v>0</v>
      </c>
    </row>
    <row r="717" spans="1:13" ht="15" customHeight="1">
      <c r="A717" s="42">
        <v>712</v>
      </c>
      <c r="B717" s="42" t="s">
        <v>8063</v>
      </c>
      <c r="C717" s="43" t="s">
        <v>6735</v>
      </c>
      <c r="D717" s="42" t="s">
        <v>3370</v>
      </c>
      <c r="E717" s="43" t="s">
        <v>3385</v>
      </c>
      <c r="F717" s="43" t="s">
        <v>3385</v>
      </c>
      <c r="G717" s="42" t="s">
        <v>6739</v>
      </c>
      <c r="H717" s="43" t="s">
        <v>1184</v>
      </c>
      <c r="I717" s="43" t="s">
        <v>6741</v>
      </c>
      <c r="J717" s="55"/>
      <c r="K717" s="119">
        <f>IFERROR(VLOOKUP(B717,BD_CONTROL!$A$5:$M$4235,11,0),"")</f>
        <v>0</v>
      </c>
      <c r="L717" s="120">
        <f>IFERROR(VLOOKUP(B717,BD_CONTROL!$A$5:$M$4235,12,0),"")</f>
        <v>0</v>
      </c>
      <c r="M717" s="121">
        <f>IFERROR(VLOOKUP(B717,BD_CONTROL!$A$5:$M$4235,13,0),"")</f>
        <v>0</v>
      </c>
    </row>
    <row r="718" spans="1:13" ht="15" customHeight="1">
      <c r="A718" s="39">
        <v>713</v>
      </c>
      <c r="B718" s="39" t="s">
        <v>8064</v>
      </c>
      <c r="C718" s="40" t="s">
        <v>6735</v>
      </c>
      <c r="D718" s="39" t="s">
        <v>3370</v>
      </c>
      <c r="E718" s="40" t="s">
        <v>3385</v>
      </c>
      <c r="F718" s="40" t="s">
        <v>3385</v>
      </c>
      <c r="G718" s="39" t="s">
        <v>6739</v>
      </c>
      <c r="H718" s="40" t="s">
        <v>1110</v>
      </c>
      <c r="I718" s="40" t="s">
        <v>6741</v>
      </c>
      <c r="J718" s="50"/>
      <c r="K718" s="116">
        <f>IFERROR(VLOOKUP(B718,BD_CONTROL!$A$5:$M$4235,11,0),"")</f>
        <v>0</v>
      </c>
      <c r="L718" s="117">
        <f>IFERROR(VLOOKUP(B718,BD_CONTROL!$A$5:$M$4235,12,0),"")</f>
        <v>0</v>
      </c>
      <c r="M718" s="118">
        <f>IFERROR(VLOOKUP(B718,BD_CONTROL!$A$5:$M$4235,13,0),"")</f>
        <v>0</v>
      </c>
    </row>
    <row r="719" spans="1:13" ht="15" customHeight="1">
      <c r="A719" s="42">
        <v>714</v>
      </c>
      <c r="B719" s="42" t="s">
        <v>8065</v>
      </c>
      <c r="C719" s="43" t="s">
        <v>6735</v>
      </c>
      <c r="D719" s="42" t="s">
        <v>3370</v>
      </c>
      <c r="E719" s="43" t="s">
        <v>3379</v>
      </c>
      <c r="F719" s="43" t="s">
        <v>3379</v>
      </c>
      <c r="G719" s="42" t="s">
        <v>6739</v>
      </c>
      <c r="H719" s="43" t="s">
        <v>1110</v>
      </c>
      <c r="I719" s="43" t="s">
        <v>6741</v>
      </c>
      <c r="J719" s="55"/>
      <c r="K719" s="119">
        <f>IFERROR(VLOOKUP(B719,BD_CONTROL!$A$5:$M$4235,11,0),"")</f>
        <v>0</v>
      </c>
      <c r="L719" s="120">
        <f>IFERROR(VLOOKUP(B719,BD_CONTROL!$A$5:$M$4235,12,0),"")</f>
        <v>0</v>
      </c>
      <c r="M719" s="121">
        <f>IFERROR(VLOOKUP(B719,BD_CONTROL!$A$5:$M$4235,13,0),"")</f>
        <v>0</v>
      </c>
    </row>
    <row r="720" spans="1:13" ht="15" customHeight="1">
      <c r="A720" s="39">
        <v>715</v>
      </c>
      <c r="B720" s="39" t="s">
        <v>8066</v>
      </c>
      <c r="C720" s="40" t="s">
        <v>6735</v>
      </c>
      <c r="D720" s="39" t="s">
        <v>3370</v>
      </c>
      <c r="E720" s="40" t="s">
        <v>3379</v>
      </c>
      <c r="F720" s="40" t="s">
        <v>3379</v>
      </c>
      <c r="G720" s="39" t="s">
        <v>6739</v>
      </c>
      <c r="H720" s="40" t="s">
        <v>1110</v>
      </c>
      <c r="I720" s="40" t="s">
        <v>6741</v>
      </c>
      <c r="J720" s="50"/>
      <c r="K720" s="116">
        <f>IFERROR(VLOOKUP(B720,BD_CONTROL!$A$5:$M$4235,11,0),"")</f>
        <v>0</v>
      </c>
      <c r="L720" s="117">
        <f>IFERROR(VLOOKUP(B720,BD_CONTROL!$A$5:$M$4235,12,0),"")</f>
        <v>0</v>
      </c>
      <c r="M720" s="118">
        <f>IFERROR(VLOOKUP(B720,BD_CONTROL!$A$5:$M$4235,13,0),"")</f>
        <v>0</v>
      </c>
    </row>
    <row r="721" spans="1:13" ht="15" customHeight="1">
      <c r="A721" s="42">
        <v>716</v>
      </c>
      <c r="B721" s="42" t="s">
        <v>8067</v>
      </c>
      <c r="C721" s="43" t="s">
        <v>6735</v>
      </c>
      <c r="D721" s="42" t="s">
        <v>3370</v>
      </c>
      <c r="E721" s="43" t="s">
        <v>3379</v>
      </c>
      <c r="F721" s="43" t="s">
        <v>3379</v>
      </c>
      <c r="G721" s="42" t="s">
        <v>6739</v>
      </c>
      <c r="H721" s="43" t="s">
        <v>1110</v>
      </c>
      <c r="I721" s="43" t="s">
        <v>6741</v>
      </c>
      <c r="J721" s="55"/>
      <c r="K721" s="119">
        <f>IFERROR(VLOOKUP(B721,BD_CONTROL!$A$5:$M$4235,11,0),"")</f>
        <v>0</v>
      </c>
      <c r="L721" s="120">
        <f>IFERROR(VLOOKUP(B721,BD_CONTROL!$A$5:$M$4235,12,0),"")</f>
        <v>0</v>
      </c>
      <c r="M721" s="121">
        <f>IFERROR(VLOOKUP(B721,BD_CONTROL!$A$5:$M$4235,13,0),"")</f>
        <v>0</v>
      </c>
    </row>
    <row r="722" spans="1:13" ht="15" customHeight="1">
      <c r="A722" s="39">
        <v>717</v>
      </c>
      <c r="B722" s="39" t="s">
        <v>8068</v>
      </c>
      <c r="C722" s="40" t="s">
        <v>6735</v>
      </c>
      <c r="D722" s="39" t="s">
        <v>3370</v>
      </c>
      <c r="E722" s="40" t="s">
        <v>3379</v>
      </c>
      <c r="F722" s="40" t="s">
        <v>3379</v>
      </c>
      <c r="G722" s="39" t="s">
        <v>6739</v>
      </c>
      <c r="H722" s="40" t="s">
        <v>1110</v>
      </c>
      <c r="I722" s="40" t="s">
        <v>6741</v>
      </c>
      <c r="J722" s="50"/>
      <c r="K722" s="116">
        <f>IFERROR(VLOOKUP(B722,BD_CONTROL!$A$5:$M$4235,11,0),"")</f>
        <v>0</v>
      </c>
      <c r="L722" s="117">
        <f>IFERROR(VLOOKUP(B722,BD_CONTROL!$A$5:$M$4235,12,0),"")</f>
        <v>0</v>
      </c>
      <c r="M722" s="118">
        <f>IFERROR(VLOOKUP(B722,BD_CONTROL!$A$5:$M$4235,13,0),"")</f>
        <v>0</v>
      </c>
    </row>
    <row r="723" spans="1:13" ht="15" customHeight="1">
      <c r="A723" s="42">
        <v>718</v>
      </c>
      <c r="B723" s="42" t="s">
        <v>8069</v>
      </c>
      <c r="C723" s="43" t="s">
        <v>6735</v>
      </c>
      <c r="D723" s="42" t="s">
        <v>3370</v>
      </c>
      <c r="E723" s="43" t="s">
        <v>3379</v>
      </c>
      <c r="F723" s="43" t="s">
        <v>3379</v>
      </c>
      <c r="G723" s="42" t="s">
        <v>6739</v>
      </c>
      <c r="H723" s="43" t="s">
        <v>1110</v>
      </c>
      <c r="I723" s="43" t="s">
        <v>6741</v>
      </c>
      <c r="J723" s="55"/>
      <c r="K723" s="119">
        <f>IFERROR(VLOOKUP(B723,BD_CONTROL!$A$5:$M$4235,11,0),"")</f>
        <v>0</v>
      </c>
      <c r="L723" s="120">
        <f>IFERROR(VLOOKUP(B723,BD_CONTROL!$A$5:$M$4235,12,0),"")</f>
        <v>0</v>
      </c>
      <c r="M723" s="121">
        <f>IFERROR(VLOOKUP(B723,BD_CONTROL!$A$5:$M$4235,13,0),"")</f>
        <v>0</v>
      </c>
    </row>
    <row r="724" spans="1:13" ht="15" customHeight="1">
      <c r="A724" s="39">
        <v>719</v>
      </c>
      <c r="B724" s="39" t="s">
        <v>8071</v>
      </c>
      <c r="C724" s="40" t="s">
        <v>6735</v>
      </c>
      <c r="D724" s="39" t="s">
        <v>3370</v>
      </c>
      <c r="E724" s="40" t="s">
        <v>3404</v>
      </c>
      <c r="F724" s="40" t="s">
        <v>3404</v>
      </c>
      <c r="G724" s="39" t="s">
        <v>6739</v>
      </c>
      <c r="H724" s="40" t="s">
        <v>1110</v>
      </c>
      <c r="I724" s="40" t="s">
        <v>6741</v>
      </c>
      <c r="J724" s="50"/>
      <c r="K724" s="116">
        <f>IFERROR(VLOOKUP(B724,BD_CONTROL!$A$5:$M$4235,11,0),"")</f>
        <v>0</v>
      </c>
      <c r="L724" s="117">
        <f>IFERROR(VLOOKUP(B724,BD_CONTROL!$A$5:$M$4235,12,0),"")</f>
        <v>0</v>
      </c>
      <c r="M724" s="118">
        <f>IFERROR(VLOOKUP(B724,BD_CONTROL!$A$5:$M$4235,13,0),"")</f>
        <v>0</v>
      </c>
    </row>
    <row r="725" spans="1:13" ht="15" customHeight="1">
      <c r="A725" s="42">
        <v>720</v>
      </c>
      <c r="B725" s="42" t="s">
        <v>8081</v>
      </c>
      <c r="C725" s="43" t="s">
        <v>6735</v>
      </c>
      <c r="D725" s="42" t="s">
        <v>3370</v>
      </c>
      <c r="E725" s="43" t="s">
        <v>3900</v>
      </c>
      <c r="F725" s="43" t="s">
        <v>3900</v>
      </c>
      <c r="G725" s="42" t="s">
        <v>6739</v>
      </c>
      <c r="H725" s="43" t="s">
        <v>1184</v>
      </c>
      <c r="I725" s="43" t="s">
        <v>6741</v>
      </c>
      <c r="J725" s="55"/>
      <c r="K725" s="119">
        <f>IFERROR(VLOOKUP(B725,BD_CONTROL!$A$5:$M$4235,11,0),"")</f>
        <v>0</v>
      </c>
      <c r="L725" s="120">
        <f>IFERROR(VLOOKUP(B725,BD_CONTROL!$A$5:$M$4235,12,0),"")</f>
        <v>0</v>
      </c>
      <c r="M725" s="121">
        <f>IFERROR(VLOOKUP(B725,BD_CONTROL!$A$5:$M$4235,13,0),"")</f>
        <v>0</v>
      </c>
    </row>
    <row r="726" spans="1:13" ht="15" customHeight="1">
      <c r="A726" s="39">
        <v>721</v>
      </c>
      <c r="B726" s="39" t="s">
        <v>8082</v>
      </c>
      <c r="C726" s="40" t="s">
        <v>6735</v>
      </c>
      <c r="D726" s="39" t="s">
        <v>3370</v>
      </c>
      <c r="E726" s="40" t="s">
        <v>3714</v>
      </c>
      <c r="F726" s="40" t="s">
        <v>7713</v>
      </c>
      <c r="G726" s="39" t="s">
        <v>6739</v>
      </c>
      <c r="H726" s="40" t="s">
        <v>1110</v>
      </c>
      <c r="I726" s="40" t="s">
        <v>6741</v>
      </c>
      <c r="J726" s="50"/>
      <c r="K726" s="116">
        <f>IFERROR(VLOOKUP(B726,BD_CONTROL!$A$5:$M$4235,11,0),"")</f>
        <v>0</v>
      </c>
      <c r="L726" s="117">
        <f>IFERROR(VLOOKUP(B726,BD_CONTROL!$A$5:$M$4235,12,0),"")</f>
        <v>0</v>
      </c>
      <c r="M726" s="118">
        <f>IFERROR(VLOOKUP(B726,BD_CONTROL!$A$5:$M$4235,13,0),"")</f>
        <v>0</v>
      </c>
    </row>
    <row r="727" spans="1:13" ht="15" customHeight="1">
      <c r="A727" s="42">
        <v>722</v>
      </c>
      <c r="B727" s="42" t="s">
        <v>8083</v>
      </c>
      <c r="C727" s="43" t="s">
        <v>6735</v>
      </c>
      <c r="D727" s="42" t="s">
        <v>3370</v>
      </c>
      <c r="E727" s="43" t="s">
        <v>4124</v>
      </c>
      <c r="F727" s="43" t="s">
        <v>7742</v>
      </c>
      <c r="G727" s="42" t="s">
        <v>6739</v>
      </c>
      <c r="H727" s="43" t="s">
        <v>1184</v>
      </c>
      <c r="I727" s="43" t="s">
        <v>6741</v>
      </c>
      <c r="J727" s="55"/>
      <c r="K727" s="119">
        <f>IFERROR(VLOOKUP(B727,BD_CONTROL!$A$5:$M$4235,11,0),"")</f>
        <v>0</v>
      </c>
      <c r="L727" s="120">
        <f>IFERROR(VLOOKUP(B727,BD_CONTROL!$A$5:$M$4235,12,0),"")</f>
        <v>0</v>
      </c>
      <c r="M727" s="121">
        <f>IFERROR(VLOOKUP(B727,BD_CONTROL!$A$5:$M$4235,13,0),"")</f>
        <v>0</v>
      </c>
    </row>
    <row r="728" spans="1:13" ht="15" customHeight="1">
      <c r="A728" s="39">
        <v>723</v>
      </c>
      <c r="B728" s="39" t="s">
        <v>8084</v>
      </c>
      <c r="C728" s="40" t="s">
        <v>6735</v>
      </c>
      <c r="D728" s="39" t="s">
        <v>3370</v>
      </c>
      <c r="E728" s="40" t="s">
        <v>3561</v>
      </c>
      <c r="F728" s="40" t="s">
        <v>3561</v>
      </c>
      <c r="G728" s="39" t="s">
        <v>6739</v>
      </c>
      <c r="H728" s="40" t="s">
        <v>1110</v>
      </c>
      <c r="I728" s="40" t="s">
        <v>6741</v>
      </c>
      <c r="J728" s="50"/>
      <c r="K728" s="116">
        <f>IFERROR(VLOOKUP(B728,BD_CONTROL!$A$5:$M$4235,11,0),"")</f>
        <v>0</v>
      </c>
      <c r="L728" s="117">
        <f>IFERROR(VLOOKUP(B728,BD_CONTROL!$A$5:$M$4235,12,0),"")</f>
        <v>0</v>
      </c>
      <c r="M728" s="118">
        <f>IFERROR(VLOOKUP(B728,BD_CONTROL!$A$5:$M$4235,13,0),"")</f>
        <v>0</v>
      </c>
    </row>
    <row r="729" spans="1:13" ht="15" customHeight="1">
      <c r="A729" s="42">
        <v>724</v>
      </c>
      <c r="B729" s="42" t="s">
        <v>8085</v>
      </c>
      <c r="C729" s="43" t="s">
        <v>6735</v>
      </c>
      <c r="D729" s="42" t="s">
        <v>3370</v>
      </c>
      <c r="E729" s="43" t="s">
        <v>324</v>
      </c>
      <c r="F729" s="43" t="s">
        <v>7824</v>
      </c>
      <c r="G729" s="42" t="s">
        <v>6739</v>
      </c>
      <c r="H729" s="43" t="s">
        <v>1110</v>
      </c>
      <c r="I729" s="43" t="s">
        <v>6741</v>
      </c>
      <c r="J729" s="55"/>
      <c r="K729" s="119" t="str">
        <f>IFERROR(VLOOKUP(B729,BD_CONTROL!$A$5:$M$4235,11,0),"")</f>
        <v>Instalado - Operando</v>
      </c>
      <c r="L729" s="120">
        <f>IFERROR(VLOOKUP(B729,BD_CONTROL!$A$5:$M$4235,12,0),"")</f>
        <v>46148</v>
      </c>
      <c r="M729" s="121" t="str">
        <f>IFERROR(VLOOKUP(B729,BD_CONTROL!$A$5:$M$4235,13,0),"")</f>
        <v>Este equipo no se encuentra cargado en la aplicación</v>
      </c>
    </row>
    <row r="730" spans="1:13" ht="15" customHeight="1">
      <c r="A730" s="39">
        <v>725</v>
      </c>
      <c r="B730" s="39" t="s">
        <v>8086</v>
      </c>
      <c r="C730" s="40" t="s">
        <v>6735</v>
      </c>
      <c r="D730" s="39" t="s">
        <v>3370</v>
      </c>
      <c r="E730" s="40" t="s">
        <v>1244</v>
      </c>
      <c r="F730" s="40" t="s">
        <v>8087</v>
      </c>
      <c r="G730" s="39" t="s">
        <v>6739</v>
      </c>
      <c r="H730" s="40" t="s">
        <v>1184</v>
      </c>
      <c r="I730" s="40" t="s">
        <v>6741</v>
      </c>
      <c r="J730" s="50"/>
      <c r="K730" s="116">
        <f>IFERROR(VLOOKUP(B730,BD_CONTROL!$A$5:$M$4235,11,0),"")</f>
        <v>0</v>
      </c>
      <c r="L730" s="117">
        <f>IFERROR(VLOOKUP(B730,BD_CONTROL!$A$5:$M$4235,12,0),"")</f>
        <v>0</v>
      </c>
      <c r="M730" s="118">
        <f>IFERROR(VLOOKUP(B730,BD_CONTROL!$A$5:$M$4235,13,0),"")</f>
        <v>0</v>
      </c>
    </row>
    <row r="731" spans="1:13" ht="15" customHeight="1">
      <c r="A731" s="42">
        <v>726</v>
      </c>
      <c r="B731" s="42" t="s">
        <v>8088</v>
      </c>
      <c r="C731" s="43" t="s">
        <v>6735</v>
      </c>
      <c r="D731" s="42" t="s">
        <v>3370</v>
      </c>
      <c r="E731" s="43" t="s">
        <v>3927</v>
      </c>
      <c r="F731" s="43" t="s">
        <v>8089</v>
      </c>
      <c r="G731" s="42" t="s">
        <v>6739</v>
      </c>
      <c r="H731" s="43" t="s">
        <v>1184</v>
      </c>
      <c r="I731" s="43" t="s">
        <v>6741</v>
      </c>
      <c r="J731" s="55"/>
      <c r="K731" s="119">
        <f>IFERROR(VLOOKUP(B731,BD_CONTROL!$A$5:$M$4235,11,0),"")</f>
        <v>0</v>
      </c>
      <c r="L731" s="120">
        <f>IFERROR(VLOOKUP(B731,BD_CONTROL!$A$5:$M$4235,12,0),"")</f>
        <v>0</v>
      </c>
      <c r="M731" s="121">
        <f>IFERROR(VLOOKUP(B731,BD_CONTROL!$A$5:$M$4235,13,0),"")</f>
        <v>0</v>
      </c>
    </row>
    <row r="732" spans="1:13" ht="15" customHeight="1">
      <c r="A732" s="39">
        <v>727</v>
      </c>
      <c r="B732" s="39" t="s">
        <v>8090</v>
      </c>
      <c r="C732" s="40" t="s">
        <v>6735</v>
      </c>
      <c r="D732" s="39" t="s">
        <v>3370</v>
      </c>
      <c r="E732" s="40" t="s">
        <v>3404</v>
      </c>
      <c r="F732" s="40" t="s">
        <v>3404</v>
      </c>
      <c r="G732" s="39" t="s">
        <v>6739</v>
      </c>
      <c r="H732" s="40" t="s">
        <v>1110</v>
      </c>
      <c r="I732" s="40" t="s">
        <v>6741</v>
      </c>
      <c r="J732" s="50"/>
      <c r="K732" s="116">
        <f>IFERROR(VLOOKUP(B732,BD_CONTROL!$A$5:$M$4235,11,0),"")</f>
        <v>0</v>
      </c>
      <c r="L732" s="117">
        <f>IFERROR(VLOOKUP(B732,BD_CONTROL!$A$5:$M$4235,12,0),"")</f>
        <v>0</v>
      </c>
      <c r="M732" s="118">
        <f>IFERROR(VLOOKUP(B732,BD_CONTROL!$A$5:$M$4235,13,0),"")</f>
        <v>0</v>
      </c>
    </row>
    <row r="733" spans="1:13" ht="15" customHeight="1">
      <c r="A733" s="42">
        <v>728</v>
      </c>
      <c r="B733" s="42" t="s">
        <v>8091</v>
      </c>
      <c r="C733" s="43" t="s">
        <v>6735</v>
      </c>
      <c r="D733" s="42" t="s">
        <v>3370</v>
      </c>
      <c r="E733" s="43" t="s">
        <v>3404</v>
      </c>
      <c r="F733" s="43" t="s">
        <v>3404</v>
      </c>
      <c r="G733" s="42" t="s">
        <v>6739</v>
      </c>
      <c r="H733" s="43" t="s">
        <v>1110</v>
      </c>
      <c r="I733" s="43" t="s">
        <v>6741</v>
      </c>
      <c r="J733" s="55"/>
      <c r="K733" s="119">
        <f>IFERROR(VLOOKUP(B733,BD_CONTROL!$A$5:$M$4235,11,0),"")</f>
        <v>0</v>
      </c>
      <c r="L733" s="120">
        <f>IFERROR(VLOOKUP(B733,BD_CONTROL!$A$5:$M$4235,12,0),"")</f>
        <v>0</v>
      </c>
      <c r="M733" s="121">
        <f>IFERROR(VLOOKUP(B733,BD_CONTROL!$A$5:$M$4235,13,0),"")</f>
        <v>0</v>
      </c>
    </row>
    <row r="734" spans="1:13" ht="15" customHeight="1">
      <c r="A734" s="39">
        <v>729</v>
      </c>
      <c r="B734" s="39" t="s">
        <v>8092</v>
      </c>
      <c r="C734" s="40" t="s">
        <v>6735</v>
      </c>
      <c r="D734" s="39" t="s">
        <v>3370</v>
      </c>
      <c r="E734" s="40" t="s">
        <v>324</v>
      </c>
      <c r="F734" s="40" t="s">
        <v>7824</v>
      </c>
      <c r="G734" s="39" t="s">
        <v>6739</v>
      </c>
      <c r="H734" s="40" t="s">
        <v>1110</v>
      </c>
      <c r="I734" s="40" t="s">
        <v>6741</v>
      </c>
      <c r="J734" s="50"/>
      <c r="K734" s="116">
        <f>IFERROR(VLOOKUP(B734,BD_CONTROL!$A$5:$M$4235,11,0),"")</f>
        <v>0</v>
      </c>
      <c r="L734" s="117">
        <f>IFERROR(VLOOKUP(B734,BD_CONTROL!$A$5:$M$4235,12,0),"")</f>
        <v>0</v>
      </c>
      <c r="M734" s="118">
        <f>IFERROR(VLOOKUP(B734,BD_CONTROL!$A$5:$M$4235,13,0),"")</f>
        <v>0</v>
      </c>
    </row>
    <row r="735" spans="1:13" ht="15" customHeight="1">
      <c r="A735" s="42">
        <v>730</v>
      </c>
      <c r="B735" s="42" t="s">
        <v>8093</v>
      </c>
      <c r="C735" s="43" t="s">
        <v>6735</v>
      </c>
      <c r="D735" s="42" t="s">
        <v>3370</v>
      </c>
      <c r="E735" s="43" t="s">
        <v>3558</v>
      </c>
      <c r="F735" s="43" t="s">
        <v>7680</v>
      </c>
      <c r="G735" s="42" t="s">
        <v>6739</v>
      </c>
      <c r="H735" s="43" t="s">
        <v>1184</v>
      </c>
      <c r="I735" s="43" t="s">
        <v>6741</v>
      </c>
      <c r="J735" s="55"/>
      <c r="K735" s="119">
        <f>IFERROR(VLOOKUP(B735,BD_CONTROL!$A$5:$M$4235,11,0),"")</f>
        <v>0</v>
      </c>
      <c r="L735" s="120">
        <f>IFERROR(VLOOKUP(B735,BD_CONTROL!$A$5:$M$4235,12,0),"")</f>
        <v>0</v>
      </c>
      <c r="M735" s="121">
        <f>IFERROR(VLOOKUP(B735,BD_CONTROL!$A$5:$M$4235,13,0),"")</f>
        <v>0</v>
      </c>
    </row>
    <row r="736" spans="1:13" ht="15" customHeight="1">
      <c r="A736" s="39">
        <v>731</v>
      </c>
      <c r="B736" s="39" t="s">
        <v>8094</v>
      </c>
      <c r="C736" s="40" t="s">
        <v>6735</v>
      </c>
      <c r="D736" s="39" t="s">
        <v>3370</v>
      </c>
      <c r="E736" s="40" t="s">
        <v>3404</v>
      </c>
      <c r="F736" s="40" t="s">
        <v>3404</v>
      </c>
      <c r="G736" s="39" t="s">
        <v>6739</v>
      </c>
      <c r="H736" s="40" t="s">
        <v>1110</v>
      </c>
      <c r="I736" s="40" t="s">
        <v>6741</v>
      </c>
      <c r="J736" s="50"/>
      <c r="K736" s="116">
        <f>IFERROR(VLOOKUP(B736,BD_CONTROL!$A$5:$M$4235,11,0),"")</f>
        <v>0</v>
      </c>
      <c r="L736" s="117">
        <f>IFERROR(VLOOKUP(B736,BD_CONTROL!$A$5:$M$4235,12,0),"")</f>
        <v>0</v>
      </c>
      <c r="M736" s="118">
        <f>IFERROR(VLOOKUP(B736,BD_CONTROL!$A$5:$M$4235,13,0),"")</f>
        <v>0</v>
      </c>
    </row>
    <row r="737" spans="1:13" ht="15" customHeight="1">
      <c r="A737" s="42">
        <v>732</v>
      </c>
      <c r="B737" s="42" t="s">
        <v>8096</v>
      </c>
      <c r="C737" s="43" t="s">
        <v>6735</v>
      </c>
      <c r="D737" s="42" t="s">
        <v>3370</v>
      </c>
      <c r="E737" s="43" t="s">
        <v>3416</v>
      </c>
      <c r="F737" s="43" t="s">
        <v>4511</v>
      </c>
      <c r="G737" s="42" t="s">
        <v>6739</v>
      </c>
      <c r="H737" s="43" t="s">
        <v>1110</v>
      </c>
      <c r="I737" s="43" t="s">
        <v>6741</v>
      </c>
      <c r="J737" s="55"/>
      <c r="K737" s="119">
        <f>IFERROR(VLOOKUP(B737,BD_CONTROL!$A$5:$M$4235,11,0),"")</f>
        <v>0</v>
      </c>
      <c r="L737" s="120">
        <f>IFERROR(VLOOKUP(B737,BD_CONTROL!$A$5:$M$4235,12,0),"")</f>
        <v>0</v>
      </c>
      <c r="M737" s="121">
        <f>IFERROR(VLOOKUP(B737,BD_CONTROL!$A$5:$M$4235,13,0),"")</f>
        <v>0</v>
      </c>
    </row>
    <row r="738" spans="1:13" ht="15" customHeight="1">
      <c r="A738" s="39">
        <v>733</v>
      </c>
      <c r="B738" s="39" t="s">
        <v>8097</v>
      </c>
      <c r="C738" s="40" t="s">
        <v>6735</v>
      </c>
      <c r="D738" s="39" t="s">
        <v>3370</v>
      </c>
      <c r="E738" s="40" t="s">
        <v>3416</v>
      </c>
      <c r="F738" s="40" t="s">
        <v>4511</v>
      </c>
      <c r="G738" s="39" t="s">
        <v>6739</v>
      </c>
      <c r="H738" s="40" t="s">
        <v>1110</v>
      </c>
      <c r="I738" s="40" t="s">
        <v>6741</v>
      </c>
      <c r="J738" s="50"/>
      <c r="K738" s="116">
        <f>IFERROR(VLOOKUP(B738,BD_CONTROL!$A$5:$M$4235,11,0),"")</f>
        <v>0</v>
      </c>
      <c r="L738" s="117">
        <f>IFERROR(VLOOKUP(B738,BD_CONTROL!$A$5:$M$4235,12,0),"")</f>
        <v>0</v>
      </c>
      <c r="M738" s="118">
        <f>IFERROR(VLOOKUP(B738,BD_CONTROL!$A$5:$M$4235,13,0),"")</f>
        <v>0</v>
      </c>
    </row>
    <row r="739" spans="1:13" ht="15" customHeight="1">
      <c r="A739" s="42">
        <v>734</v>
      </c>
      <c r="B739" s="42" t="s">
        <v>8098</v>
      </c>
      <c r="C739" s="43" t="s">
        <v>6735</v>
      </c>
      <c r="D739" s="42" t="s">
        <v>3370</v>
      </c>
      <c r="E739" s="43" t="s">
        <v>3416</v>
      </c>
      <c r="F739" s="43" t="s">
        <v>4511</v>
      </c>
      <c r="G739" s="42" t="s">
        <v>6739</v>
      </c>
      <c r="H739" s="43" t="s">
        <v>1110</v>
      </c>
      <c r="I739" s="43" t="s">
        <v>6741</v>
      </c>
      <c r="J739" s="55"/>
      <c r="K739" s="119">
        <f>IFERROR(VLOOKUP(B739,BD_CONTROL!$A$5:$M$4235,11,0),"")</f>
        <v>0</v>
      </c>
      <c r="L739" s="120">
        <f>IFERROR(VLOOKUP(B739,BD_CONTROL!$A$5:$M$4235,12,0),"")</f>
        <v>0</v>
      </c>
      <c r="M739" s="121">
        <f>IFERROR(VLOOKUP(B739,BD_CONTROL!$A$5:$M$4235,13,0),"")</f>
        <v>0</v>
      </c>
    </row>
    <row r="740" spans="1:13" ht="15" customHeight="1">
      <c r="A740" s="39">
        <v>735</v>
      </c>
      <c r="B740" s="39" t="s">
        <v>8099</v>
      </c>
      <c r="C740" s="40" t="s">
        <v>6735</v>
      </c>
      <c r="D740" s="39" t="s">
        <v>3370</v>
      </c>
      <c r="E740" s="40" t="s">
        <v>3416</v>
      </c>
      <c r="F740" s="40" t="s">
        <v>4511</v>
      </c>
      <c r="G740" s="39" t="s">
        <v>6739</v>
      </c>
      <c r="H740" s="40" t="s">
        <v>1110</v>
      </c>
      <c r="I740" s="40" t="s">
        <v>6741</v>
      </c>
      <c r="J740" s="50"/>
      <c r="K740" s="116">
        <f>IFERROR(VLOOKUP(B740,BD_CONTROL!$A$5:$M$4235,11,0),"")</f>
        <v>0</v>
      </c>
      <c r="L740" s="117">
        <f>IFERROR(VLOOKUP(B740,BD_CONTROL!$A$5:$M$4235,12,0),"")</f>
        <v>0</v>
      </c>
      <c r="M740" s="118">
        <f>IFERROR(VLOOKUP(B740,BD_CONTROL!$A$5:$M$4235,13,0),"")</f>
        <v>0</v>
      </c>
    </row>
  </sheetData>
  <mergeCells count="3">
    <mergeCell ref="A1:M2"/>
    <mergeCell ref="A3:M3"/>
    <mergeCell ref="A4:M4"/>
  </mergeCells>
  <conditionalFormatting sqref="K6:K740">
    <cfRule type="expression" dxfId="11" priority="2">
      <formula>EXACT($K6,"INSTALADO - OPERANDO")</formula>
    </cfRule>
    <cfRule type="expression" dxfId="10" priority="3">
      <formula>EXACT($K6,"INSTALADO - SIN SEÑAL")</formula>
    </cfRule>
    <cfRule type="expression" dxfId="9" priority="4">
      <formula>EXACT($K6,"EQUIPO EN ALMACÉN")</formula>
    </cfRule>
    <cfRule type="expression" dxfId="8" priority="5">
      <formula>EXACT($K6,"PROGRAMADO")</formula>
    </cfRule>
    <cfRule type="expression" dxfId="7" priority="6">
      <formula>EXACT($K6,"VISITADO")</formula>
    </cfRule>
    <cfRule type="expression" dxfId="6" priority="7">
      <formula>EXACT($K6,"SIN INMUEBLE")</formula>
    </cfRule>
  </conditionalFormatting>
  <dataValidations count="1">
    <dataValidation type="list" allowBlank="1" sqref="K6:K740" xr:uid="{00000000-0002-0000-1000-000000000000}">
      <formula1>"INSTALADO - OPERANDO,INSTALADO - SIN SEÑAL,EQUIPO EN ALMACÉN,PROGRAMADO,VISITADO,SIN INMUEBLE"</formula1>
      <formula2>0</formula2>
    </dataValidation>
  </dataValidation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6847"/>
  </sheetPr>
  <dimension ref="A1:M1135"/>
  <sheetViews>
    <sheetView showGridLines="0" zoomScaleNormal="100" workbookViewId="0">
      <pane ySplit="5" topLeftCell="A6" activePane="bottomLeft" state="frozen"/>
      <selection pane="bottomLeft" activeCell="K36" sqref="K36"/>
    </sheetView>
  </sheetViews>
  <sheetFormatPr defaultColWidth="8.7109375" defaultRowHeight="15"/>
  <cols>
    <col min="1" max="1" width="5" customWidth="1"/>
    <col min="2" max="2" width="14" customWidth="1"/>
    <col min="3" max="3" width="36" customWidth="1"/>
    <col min="4" max="5" width="18" customWidth="1"/>
    <col min="6" max="6" width="16" customWidth="1"/>
    <col min="7" max="7" width="9" customWidth="1"/>
    <col min="8" max="8" width="20" customWidth="1"/>
    <col min="9" max="10" width="14" customWidth="1"/>
    <col min="11" max="11" width="26" customWidth="1"/>
    <col min="12" max="12" width="18" customWidth="1"/>
    <col min="13" max="13" width="30" customWidth="1"/>
  </cols>
  <sheetData>
    <row r="1" spans="1:13" ht="30" customHeight="1">
      <c r="A1" s="258" t="s">
        <v>9840</v>
      </c>
      <c r="B1" s="260"/>
      <c r="C1" s="260"/>
      <c r="D1" s="260"/>
      <c r="E1" s="260"/>
      <c r="F1" s="260"/>
      <c r="G1" s="260"/>
      <c r="H1" s="260"/>
      <c r="I1" s="260"/>
      <c r="J1" s="260"/>
      <c r="K1" s="260"/>
      <c r="L1" s="260"/>
      <c r="M1" s="260"/>
    </row>
    <row r="2" spans="1:13" ht="3.75" customHeight="1">
      <c r="A2" s="260"/>
      <c r="B2" s="260"/>
      <c r="C2" s="260"/>
      <c r="D2" s="260"/>
      <c r="E2" s="260"/>
      <c r="F2" s="260"/>
      <c r="G2" s="260"/>
      <c r="H2" s="260"/>
      <c r="I2" s="260"/>
      <c r="J2" s="260"/>
      <c r="K2" s="260"/>
      <c r="L2" s="260"/>
      <c r="M2" s="260"/>
    </row>
    <row r="3" spans="1:13" ht="15.75" customHeight="1">
      <c r="A3" s="193" t="s">
        <v>9832</v>
      </c>
      <c r="B3" s="260"/>
      <c r="C3" s="260"/>
      <c r="D3" s="260"/>
      <c r="E3" s="260"/>
      <c r="F3" s="260"/>
      <c r="G3" s="260"/>
      <c r="H3" s="260"/>
      <c r="I3" s="260"/>
      <c r="J3" s="260"/>
      <c r="K3" s="260"/>
      <c r="L3" s="260"/>
      <c r="M3" s="260"/>
    </row>
    <row r="4" spans="1:13" ht="3" customHeight="1">
      <c r="A4" s="259"/>
      <c r="B4" s="260"/>
      <c r="C4" s="260"/>
      <c r="D4" s="260"/>
      <c r="E4" s="260"/>
      <c r="F4" s="260"/>
      <c r="G4" s="260"/>
      <c r="H4" s="260"/>
      <c r="I4" s="260"/>
      <c r="J4" s="260"/>
      <c r="K4" s="260"/>
      <c r="L4" s="260"/>
      <c r="M4" s="260"/>
    </row>
    <row r="5" spans="1:13" ht="21.75" customHeight="1">
      <c r="A5" s="128" t="s">
        <v>9783</v>
      </c>
      <c r="B5" s="128" t="s">
        <v>84</v>
      </c>
      <c r="C5" s="128" t="s">
        <v>86</v>
      </c>
      <c r="D5" s="128" t="s">
        <v>87</v>
      </c>
      <c r="E5" s="128" t="s">
        <v>88</v>
      </c>
      <c r="F5" s="128" t="s">
        <v>89</v>
      </c>
      <c r="G5" s="128" t="s">
        <v>90</v>
      </c>
      <c r="H5" s="128" t="s">
        <v>92</v>
      </c>
      <c r="I5" s="128" t="s">
        <v>93</v>
      </c>
      <c r="J5" s="128" t="s">
        <v>9833</v>
      </c>
      <c r="K5" s="128" t="s">
        <v>94</v>
      </c>
      <c r="L5" s="128" t="s">
        <v>95</v>
      </c>
      <c r="M5" s="128" t="s">
        <v>96</v>
      </c>
    </row>
    <row r="6" spans="1:13" ht="15" customHeight="1">
      <c r="A6" s="39">
        <v>1</v>
      </c>
      <c r="B6" s="39" t="s">
        <v>1528</v>
      </c>
      <c r="C6" s="40" t="s">
        <v>1529</v>
      </c>
      <c r="D6" s="39" t="s">
        <v>1530</v>
      </c>
      <c r="E6" s="40" t="s">
        <v>1531</v>
      </c>
      <c r="F6" s="40" t="s">
        <v>1531</v>
      </c>
      <c r="G6" s="39" t="s">
        <v>102</v>
      </c>
      <c r="H6" s="40" t="s">
        <v>1532</v>
      </c>
      <c r="I6" s="40" t="s">
        <v>104</v>
      </c>
      <c r="J6" s="50"/>
      <c r="K6" s="116">
        <f>IFERROR(VLOOKUP(B6,BD_CONTROL!$A$5:$M$4235,11,0),"")</f>
        <v>0</v>
      </c>
      <c r="L6" s="117">
        <f>IFERROR(VLOOKUP(B6,BD_CONTROL!$A$5:$M$4235,12,0),"")</f>
        <v>0</v>
      </c>
      <c r="M6" s="118">
        <f>IFERROR(VLOOKUP(B6,BD_CONTROL!$A$5:$M$4235,13,0),"")</f>
        <v>0</v>
      </c>
    </row>
    <row r="7" spans="1:13" ht="15" customHeight="1">
      <c r="A7" s="42">
        <v>2</v>
      </c>
      <c r="B7" s="42" t="s">
        <v>1533</v>
      </c>
      <c r="C7" s="43" t="s">
        <v>1534</v>
      </c>
      <c r="D7" s="42" t="s">
        <v>1530</v>
      </c>
      <c r="E7" s="43" t="s">
        <v>1531</v>
      </c>
      <c r="F7" s="43" t="s">
        <v>1531</v>
      </c>
      <c r="G7" s="42" t="s">
        <v>102</v>
      </c>
      <c r="H7" s="43" t="s">
        <v>1532</v>
      </c>
      <c r="I7" s="43" t="s">
        <v>104</v>
      </c>
      <c r="J7" s="55"/>
      <c r="K7" s="119">
        <f>IFERROR(VLOOKUP(B7,BD_CONTROL!$A$5:$M$4235,11,0),"")</f>
        <v>0</v>
      </c>
      <c r="L7" s="120">
        <f>IFERROR(VLOOKUP(B7,BD_CONTROL!$A$5:$M$4235,12,0),"")</f>
        <v>0</v>
      </c>
      <c r="M7" s="121">
        <f>IFERROR(VLOOKUP(B7,BD_CONTROL!$A$5:$M$4235,13,0),"")</f>
        <v>0</v>
      </c>
    </row>
    <row r="8" spans="1:13" ht="15" customHeight="1">
      <c r="A8" s="39">
        <v>3</v>
      </c>
      <c r="B8" s="39" t="s">
        <v>1547</v>
      </c>
      <c r="C8" s="40" t="s">
        <v>1548</v>
      </c>
      <c r="D8" s="39" t="s">
        <v>1530</v>
      </c>
      <c r="E8" s="40" t="s">
        <v>1549</v>
      </c>
      <c r="F8" s="40" t="s">
        <v>1550</v>
      </c>
      <c r="G8" s="39" t="s">
        <v>109</v>
      </c>
      <c r="H8" s="40" t="s">
        <v>1532</v>
      </c>
      <c r="I8" s="40" t="s">
        <v>104</v>
      </c>
      <c r="J8" s="50"/>
      <c r="K8" s="116">
        <f>IFERROR(VLOOKUP(B8,BD_CONTROL!$A$5:$M$4235,11,0),"")</f>
        <v>0</v>
      </c>
      <c r="L8" s="117">
        <f>IFERROR(VLOOKUP(B8,BD_CONTROL!$A$5:$M$4235,12,0),"")</f>
        <v>0</v>
      </c>
      <c r="M8" s="118">
        <f>IFERROR(VLOOKUP(B8,BD_CONTROL!$A$5:$M$4235,13,0),"")</f>
        <v>0</v>
      </c>
    </row>
    <row r="9" spans="1:13" ht="15" customHeight="1">
      <c r="A9" s="42">
        <v>4</v>
      </c>
      <c r="B9" s="42" t="s">
        <v>1574</v>
      </c>
      <c r="C9" s="43" t="s">
        <v>1570</v>
      </c>
      <c r="D9" s="42" t="s">
        <v>1530</v>
      </c>
      <c r="E9" s="43" t="s">
        <v>1531</v>
      </c>
      <c r="F9" s="43" t="s">
        <v>1575</v>
      </c>
      <c r="G9" s="42" t="s">
        <v>109</v>
      </c>
      <c r="H9" s="43" t="s">
        <v>1532</v>
      </c>
      <c r="I9" s="43" t="s">
        <v>104</v>
      </c>
      <c r="J9" s="55"/>
      <c r="K9" s="119">
        <f>IFERROR(VLOOKUP(B9,BD_CONTROL!$A$5:$M$4235,11,0),"")</f>
        <v>0</v>
      </c>
      <c r="L9" s="120">
        <f>IFERROR(VLOOKUP(B9,BD_CONTROL!$A$5:$M$4235,12,0),"")</f>
        <v>0</v>
      </c>
      <c r="M9" s="121">
        <f>IFERROR(VLOOKUP(B9,BD_CONTROL!$A$5:$M$4235,13,0),"")</f>
        <v>0</v>
      </c>
    </row>
    <row r="10" spans="1:13" ht="15" customHeight="1">
      <c r="A10" s="39">
        <v>5</v>
      </c>
      <c r="B10" s="39" t="s">
        <v>1576</v>
      </c>
      <c r="C10" s="40" t="s">
        <v>1577</v>
      </c>
      <c r="D10" s="39" t="s">
        <v>1530</v>
      </c>
      <c r="E10" s="40" t="s">
        <v>1578</v>
      </c>
      <c r="F10" s="40" t="s">
        <v>1579</v>
      </c>
      <c r="G10" s="39" t="s">
        <v>109</v>
      </c>
      <c r="H10" s="40" t="s">
        <v>1532</v>
      </c>
      <c r="I10" s="40" t="s">
        <v>104</v>
      </c>
      <c r="J10" s="50"/>
      <c r="K10" s="116">
        <f>IFERROR(VLOOKUP(B10,BD_CONTROL!$A$5:$M$4235,11,0),"")</f>
        <v>0</v>
      </c>
      <c r="L10" s="117">
        <f>IFERROR(VLOOKUP(B10,BD_CONTROL!$A$5:$M$4235,12,0),"")</f>
        <v>0</v>
      </c>
      <c r="M10" s="118">
        <f>IFERROR(VLOOKUP(B10,BD_CONTROL!$A$5:$M$4235,13,0),"")</f>
        <v>0</v>
      </c>
    </row>
    <row r="11" spans="1:13" ht="15" customHeight="1">
      <c r="A11" s="42">
        <v>6</v>
      </c>
      <c r="B11" s="42" t="s">
        <v>1594</v>
      </c>
      <c r="C11" s="43" t="s">
        <v>1595</v>
      </c>
      <c r="D11" s="42" t="s">
        <v>1530</v>
      </c>
      <c r="E11" s="43" t="s">
        <v>1596</v>
      </c>
      <c r="F11" s="43" t="s">
        <v>1597</v>
      </c>
      <c r="G11" s="42" t="s">
        <v>109</v>
      </c>
      <c r="H11" s="43" t="s">
        <v>1532</v>
      </c>
      <c r="I11" s="43" t="s">
        <v>104</v>
      </c>
      <c r="J11" s="55"/>
      <c r="K11" s="119">
        <f>IFERROR(VLOOKUP(B11,BD_CONTROL!$A$5:$M$4235,11,0),"")</f>
        <v>0</v>
      </c>
      <c r="L11" s="120">
        <f>IFERROR(VLOOKUP(B11,BD_CONTROL!$A$5:$M$4235,12,0),"")</f>
        <v>0</v>
      </c>
      <c r="M11" s="121">
        <f>IFERROR(VLOOKUP(B11,BD_CONTROL!$A$5:$M$4235,13,0),"")</f>
        <v>0</v>
      </c>
    </row>
    <row r="12" spans="1:13" ht="15" customHeight="1">
      <c r="A12" s="39">
        <v>7</v>
      </c>
      <c r="B12" s="39" t="s">
        <v>1598</v>
      </c>
      <c r="C12" s="40" t="s">
        <v>1599</v>
      </c>
      <c r="D12" s="39" t="s">
        <v>1530</v>
      </c>
      <c r="E12" s="40" t="s">
        <v>1600</v>
      </c>
      <c r="F12" s="40" t="s">
        <v>1601</v>
      </c>
      <c r="G12" s="39" t="s">
        <v>109</v>
      </c>
      <c r="H12" s="40" t="s">
        <v>1532</v>
      </c>
      <c r="I12" s="40" t="s">
        <v>104</v>
      </c>
      <c r="J12" s="50"/>
      <c r="K12" s="116" t="str">
        <f>IFERROR(VLOOKUP(B12,BD_CONTROL!$A$5:$M$4235,11,0),"")</f>
        <v>Instalado - Operando</v>
      </c>
      <c r="L12" s="117">
        <f>IFERROR(VLOOKUP(B12,BD_CONTROL!$A$5:$M$4235,12,0),"")</f>
        <v>46150</v>
      </c>
      <c r="M12" s="118">
        <f>IFERROR(VLOOKUP(B12,BD_CONTROL!$A$5:$M$4235,13,0),"")</f>
        <v>0</v>
      </c>
    </row>
    <row r="13" spans="1:13" ht="15" customHeight="1">
      <c r="A13" s="42">
        <v>8</v>
      </c>
      <c r="B13" s="42" t="s">
        <v>1605</v>
      </c>
      <c r="C13" s="43" t="s">
        <v>1606</v>
      </c>
      <c r="D13" s="42" t="s">
        <v>1530</v>
      </c>
      <c r="E13" s="43" t="s">
        <v>1607</v>
      </c>
      <c r="F13" s="43" t="s">
        <v>1422</v>
      </c>
      <c r="G13" s="42" t="s">
        <v>109</v>
      </c>
      <c r="H13" s="43" t="s">
        <v>1532</v>
      </c>
      <c r="I13" s="43" t="s">
        <v>104</v>
      </c>
      <c r="J13" s="55"/>
      <c r="K13" s="119" t="str">
        <f>IFERROR(VLOOKUP(B13,BD_CONTROL!$A$5:$M$4235,11,0),"")</f>
        <v>Instalado - Operando</v>
      </c>
      <c r="L13" s="120">
        <f>IFERROR(VLOOKUP(B13,BD_CONTROL!$A$5:$M$4235,12,0),"")</f>
        <v>46150</v>
      </c>
      <c r="M13" s="121">
        <f>IFERROR(VLOOKUP(B13,BD_CONTROL!$A$5:$M$4235,13,0),"")</f>
        <v>0</v>
      </c>
    </row>
    <row r="14" spans="1:13" ht="15" customHeight="1">
      <c r="A14" s="39">
        <v>9</v>
      </c>
      <c r="B14" s="39" t="s">
        <v>1626</v>
      </c>
      <c r="C14" s="40" t="s">
        <v>1627</v>
      </c>
      <c r="D14" s="39" t="s">
        <v>1530</v>
      </c>
      <c r="E14" s="40" t="s">
        <v>1628</v>
      </c>
      <c r="F14" s="40" t="s">
        <v>1629</v>
      </c>
      <c r="G14" s="39" t="s">
        <v>109</v>
      </c>
      <c r="H14" s="40" t="s">
        <v>1532</v>
      </c>
      <c r="I14" s="40" t="s">
        <v>104</v>
      </c>
      <c r="J14" s="50"/>
      <c r="K14" s="116" t="str">
        <f>IFERROR(VLOOKUP(B14,BD_CONTROL!$A$5:$M$4235,11,0),"")</f>
        <v>Instalado - Operando</v>
      </c>
      <c r="L14" s="117">
        <f>IFERROR(VLOOKUP(B14,BD_CONTROL!$A$5:$M$4235,12,0),"")</f>
        <v>46141</v>
      </c>
      <c r="M14" s="118">
        <f>IFERROR(VLOOKUP(B14,BD_CONTROL!$A$5:$M$4235,13,0),"")</f>
        <v>0</v>
      </c>
    </row>
    <row r="15" spans="1:13" ht="15" customHeight="1">
      <c r="A15" s="42">
        <v>10</v>
      </c>
      <c r="B15" s="42" t="s">
        <v>1635</v>
      </c>
      <c r="C15" s="43" t="s">
        <v>1636</v>
      </c>
      <c r="D15" s="42" t="s">
        <v>1530</v>
      </c>
      <c r="E15" s="43" t="s">
        <v>1607</v>
      </c>
      <c r="F15" s="43" t="s">
        <v>1636</v>
      </c>
      <c r="G15" s="42" t="s">
        <v>109</v>
      </c>
      <c r="H15" s="43" t="s">
        <v>1532</v>
      </c>
      <c r="I15" s="43" t="s">
        <v>104</v>
      </c>
      <c r="J15" s="55"/>
      <c r="K15" s="119">
        <f>IFERROR(VLOOKUP(B15,BD_CONTROL!$A$5:$M$4235,11,0),"")</f>
        <v>0</v>
      </c>
      <c r="L15" s="120">
        <f>IFERROR(VLOOKUP(B15,BD_CONTROL!$A$5:$M$4235,12,0),"")</f>
        <v>0</v>
      </c>
      <c r="M15" s="121">
        <f>IFERROR(VLOOKUP(B15,BD_CONTROL!$A$5:$M$4235,13,0),"")</f>
        <v>0</v>
      </c>
    </row>
    <row r="16" spans="1:13" ht="15" customHeight="1">
      <c r="A16" s="39">
        <v>11</v>
      </c>
      <c r="B16" s="39" t="s">
        <v>1637</v>
      </c>
      <c r="C16" s="40" t="s">
        <v>1638</v>
      </c>
      <c r="D16" s="39" t="s">
        <v>1530</v>
      </c>
      <c r="E16" s="40" t="s">
        <v>1639</v>
      </c>
      <c r="F16" s="40" t="s">
        <v>1640</v>
      </c>
      <c r="G16" s="39" t="s">
        <v>109</v>
      </c>
      <c r="H16" s="40" t="s">
        <v>1532</v>
      </c>
      <c r="I16" s="40" t="s">
        <v>104</v>
      </c>
      <c r="J16" s="50"/>
      <c r="K16" s="116">
        <f>IFERROR(VLOOKUP(B16,BD_CONTROL!$A$5:$M$4235,11,0),"")</f>
        <v>0</v>
      </c>
      <c r="L16" s="117">
        <f>IFERROR(VLOOKUP(B16,BD_CONTROL!$A$5:$M$4235,12,0),"")</f>
        <v>0</v>
      </c>
      <c r="M16" s="118">
        <f>IFERROR(VLOOKUP(B16,BD_CONTROL!$A$5:$M$4235,13,0),"")</f>
        <v>0</v>
      </c>
    </row>
    <row r="17" spans="1:13" ht="15" customHeight="1">
      <c r="A17" s="42">
        <v>12</v>
      </c>
      <c r="B17" s="42" t="s">
        <v>1648</v>
      </c>
      <c r="C17" s="43" t="s">
        <v>1648</v>
      </c>
      <c r="D17" s="42" t="s">
        <v>1530</v>
      </c>
      <c r="E17" s="43" t="s">
        <v>1649</v>
      </c>
      <c r="F17" s="43" t="s">
        <v>1650</v>
      </c>
      <c r="G17" s="42" t="s">
        <v>109</v>
      </c>
      <c r="H17" s="43" t="s">
        <v>1532</v>
      </c>
      <c r="I17" s="43" t="s">
        <v>104</v>
      </c>
      <c r="J17" s="55"/>
      <c r="K17" s="119">
        <f>IFERROR(VLOOKUP(B17,BD_CONTROL!$A$5:$M$4235,11,0),"")</f>
        <v>0</v>
      </c>
      <c r="L17" s="120">
        <f>IFERROR(VLOOKUP(B17,BD_CONTROL!$A$5:$M$4235,12,0),"")</f>
        <v>0</v>
      </c>
      <c r="M17" s="121">
        <f>IFERROR(VLOOKUP(B17,BD_CONTROL!$A$5:$M$4235,13,0),"")</f>
        <v>0</v>
      </c>
    </row>
    <row r="18" spans="1:13" ht="15" customHeight="1">
      <c r="A18" s="39">
        <v>13</v>
      </c>
      <c r="B18" s="39" t="s">
        <v>1651</v>
      </c>
      <c r="C18" s="40" t="s">
        <v>1652</v>
      </c>
      <c r="D18" s="39" t="s">
        <v>1530</v>
      </c>
      <c r="E18" s="40" t="s">
        <v>1653</v>
      </c>
      <c r="F18" s="40" t="s">
        <v>1654</v>
      </c>
      <c r="G18" s="39" t="s">
        <v>109</v>
      </c>
      <c r="H18" s="40" t="s">
        <v>1532</v>
      </c>
      <c r="I18" s="40" t="s">
        <v>104</v>
      </c>
      <c r="J18" s="50"/>
      <c r="K18" s="116" t="str">
        <f>IFERROR(VLOOKUP(B18,BD_CONTROL!$A$5:$M$4235,11,0),"")</f>
        <v>Instalado - Operando</v>
      </c>
      <c r="L18" s="117">
        <f>IFERROR(VLOOKUP(B18,BD_CONTROL!$A$5:$M$4235,12,0),"")</f>
        <v>46150</v>
      </c>
      <c r="M18" s="118">
        <f>IFERROR(VLOOKUP(B18,BD_CONTROL!$A$5:$M$4235,13,0),"")</f>
        <v>0</v>
      </c>
    </row>
    <row r="19" spans="1:13" ht="15" customHeight="1">
      <c r="A19" s="42">
        <v>14</v>
      </c>
      <c r="B19" s="42" t="s">
        <v>1655</v>
      </c>
      <c r="C19" s="43" t="s">
        <v>1656</v>
      </c>
      <c r="D19" s="42" t="s">
        <v>1530</v>
      </c>
      <c r="E19" s="43" t="s">
        <v>1653</v>
      </c>
      <c r="F19" s="43" t="s">
        <v>1657</v>
      </c>
      <c r="G19" s="42" t="s">
        <v>109</v>
      </c>
      <c r="H19" s="43" t="s">
        <v>1532</v>
      </c>
      <c r="I19" s="43" t="s">
        <v>104</v>
      </c>
      <c r="J19" s="55"/>
      <c r="K19" s="119" t="str">
        <f>IFERROR(VLOOKUP(B19,BD_CONTROL!$A$5:$M$4235,11,0),"")</f>
        <v>Instalado - Sin Señal</v>
      </c>
      <c r="L19" s="120">
        <f>IFERROR(VLOOKUP(B19,BD_CONTROL!$A$5:$M$4235,12,0),"")</f>
        <v>46139</v>
      </c>
      <c r="M19" s="121">
        <f>IFERROR(VLOOKUP(B19,BD_CONTROL!$A$5:$M$4235,13,0),"")</f>
        <v>0</v>
      </c>
    </row>
    <row r="20" spans="1:13" ht="15" customHeight="1">
      <c r="A20" s="39">
        <v>15</v>
      </c>
      <c r="B20" s="39" t="s">
        <v>1662</v>
      </c>
      <c r="C20" s="40" t="s">
        <v>1663</v>
      </c>
      <c r="D20" s="39" t="s">
        <v>1530</v>
      </c>
      <c r="E20" s="40" t="s">
        <v>1578</v>
      </c>
      <c r="F20" s="40" t="s">
        <v>1664</v>
      </c>
      <c r="G20" s="39" t="s">
        <v>109</v>
      </c>
      <c r="H20" s="40" t="s">
        <v>1532</v>
      </c>
      <c r="I20" s="40" t="s">
        <v>104</v>
      </c>
      <c r="J20" s="50"/>
      <c r="K20" s="116" t="str">
        <f>IFERROR(VLOOKUP(B20,BD_CONTROL!$A$5:$M$4235,11,0),"")</f>
        <v>Instalado - Operando</v>
      </c>
      <c r="L20" s="117">
        <f>IFERROR(VLOOKUP(B20,BD_CONTROL!$A$5:$M$4235,12,0),"")</f>
        <v>46147</v>
      </c>
      <c r="M20" s="118">
        <f>IFERROR(VLOOKUP(B20,BD_CONTROL!$A$5:$M$4235,13,0),"")</f>
        <v>0</v>
      </c>
    </row>
    <row r="21" spans="1:13" ht="15" customHeight="1">
      <c r="A21" s="42">
        <v>16</v>
      </c>
      <c r="B21" s="42" t="s">
        <v>1665</v>
      </c>
      <c r="C21" s="43" t="s">
        <v>1666</v>
      </c>
      <c r="D21" s="42" t="s">
        <v>1530</v>
      </c>
      <c r="E21" s="43" t="s">
        <v>1578</v>
      </c>
      <c r="F21" s="43" t="s">
        <v>1667</v>
      </c>
      <c r="G21" s="42" t="s">
        <v>109</v>
      </c>
      <c r="H21" s="43" t="s">
        <v>1532</v>
      </c>
      <c r="I21" s="43" t="s">
        <v>104</v>
      </c>
      <c r="J21" s="55"/>
      <c r="K21" s="119">
        <f>IFERROR(VLOOKUP(B21,BD_CONTROL!$A$5:$M$4235,11,0),"")</f>
        <v>0</v>
      </c>
      <c r="L21" s="120">
        <f>IFERROR(VLOOKUP(B21,BD_CONTROL!$A$5:$M$4235,12,0),"")</f>
        <v>0</v>
      </c>
      <c r="M21" s="121">
        <f>IFERROR(VLOOKUP(B21,BD_CONTROL!$A$5:$M$4235,13,0),"")</f>
        <v>0</v>
      </c>
    </row>
    <row r="22" spans="1:13" ht="15" customHeight="1">
      <c r="A22" s="39">
        <v>17</v>
      </c>
      <c r="B22" s="39" t="s">
        <v>1668</v>
      </c>
      <c r="C22" s="40" t="s">
        <v>1669</v>
      </c>
      <c r="D22" s="39" t="s">
        <v>1530</v>
      </c>
      <c r="E22" s="40" t="s">
        <v>1578</v>
      </c>
      <c r="F22" s="40" t="s">
        <v>1670</v>
      </c>
      <c r="G22" s="39" t="s">
        <v>109</v>
      </c>
      <c r="H22" s="40" t="s">
        <v>1532</v>
      </c>
      <c r="I22" s="40" t="s">
        <v>104</v>
      </c>
      <c r="J22" s="50"/>
      <c r="K22" s="116" t="str">
        <f>IFERROR(VLOOKUP(B22,BD_CONTROL!$A$5:$M$4235,11,0),"")</f>
        <v>Instalado - Operando</v>
      </c>
      <c r="L22" s="117">
        <f>IFERROR(VLOOKUP(B22,BD_CONTROL!$A$5:$M$4235,12,0),"")</f>
        <v>46140</v>
      </c>
      <c r="M22" s="118">
        <f>IFERROR(VLOOKUP(B22,BD_CONTROL!$A$5:$M$4235,13,0),"")</f>
        <v>0</v>
      </c>
    </row>
    <row r="23" spans="1:13" ht="15" customHeight="1">
      <c r="A23" s="42">
        <v>18</v>
      </c>
      <c r="B23" s="42" t="s">
        <v>1678</v>
      </c>
      <c r="C23" s="43" t="s">
        <v>1679</v>
      </c>
      <c r="D23" s="42" t="s">
        <v>1530</v>
      </c>
      <c r="E23" s="43" t="s">
        <v>1549</v>
      </c>
      <c r="F23" s="43" t="s">
        <v>1680</v>
      </c>
      <c r="G23" s="42" t="s">
        <v>109</v>
      </c>
      <c r="H23" s="43" t="s">
        <v>1532</v>
      </c>
      <c r="I23" s="43" t="s">
        <v>104</v>
      </c>
      <c r="J23" s="55"/>
      <c r="K23" s="119">
        <f>IFERROR(VLOOKUP(B23,BD_CONTROL!$A$5:$M$4235,11,0),"")</f>
        <v>0</v>
      </c>
      <c r="L23" s="120">
        <f>IFERROR(VLOOKUP(B23,BD_CONTROL!$A$5:$M$4235,12,0),"")</f>
        <v>0</v>
      </c>
      <c r="M23" s="121">
        <f>IFERROR(VLOOKUP(B23,BD_CONTROL!$A$5:$M$4235,13,0),"")</f>
        <v>0</v>
      </c>
    </row>
    <row r="24" spans="1:13" ht="15" customHeight="1">
      <c r="A24" s="39">
        <v>19</v>
      </c>
      <c r="B24" s="39" t="s">
        <v>1681</v>
      </c>
      <c r="C24" s="40" t="s">
        <v>1682</v>
      </c>
      <c r="D24" s="39" t="s">
        <v>1530</v>
      </c>
      <c r="E24" s="40" t="s">
        <v>1683</v>
      </c>
      <c r="F24" s="40" t="s">
        <v>1684</v>
      </c>
      <c r="G24" s="39" t="s">
        <v>109</v>
      </c>
      <c r="H24" s="40" t="s">
        <v>1532</v>
      </c>
      <c r="I24" s="40" t="s">
        <v>104</v>
      </c>
      <c r="J24" s="50"/>
      <c r="K24" s="116" t="str">
        <f>IFERROR(VLOOKUP(B24,BD_CONTROL!$A$5:$M$4235,11,0),"")</f>
        <v>Instalado - Sin Señal</v>
      </c>
      <c r="L24" s="117">
        <f>IFERROR(VLOOKUP(B24,BD_CONTROL!$A$5:$M$4235,12,0),"")</f>
        <v>46139</v>
      </c>
      <c r="M24" s="118">
        <f>IFERROR(VLOOKUP(B24,BD_CONTROL!$A$5:$M$4235,13,0),"")</f>
        <v>0</v>
      </c>
    </row>
    <row r="25" spans="1:13" ht="15" customHeight="1">
      <c r="A25" s="42">
        <v>20</v>
      </c>
      <c r="B25" s="42" t="s">
        <v>1685</v>
      </c>
      <c r="C25" s="43" t="s">
        <v>1686</v>
      </c>
      <c r="D25" s="42" t="s">
        <v>1530</v>
      </c>
      <c r="E25" s="43" t="s">
        <v>1687</v>
      </c>
      <c r="F25" s="43" t="s">
        <v>1686</v>
      </c>
      <c r="G25" s="42" t="s">
        <v>109</v>
      </c>
      <c r="H25" s="43" t="s">
        <v>1532</v>
      </c>
      <c r="I25" s="43" t="s">
        <v>104</v>
      </c>
      <c r="J25" s="55"/>
      <c r="K25" s="119" t="str">
        <f>IFERROR(VLOOKUP(B25,BD_CONTROL!$A$5:$M$4235,11,0),"")</f>
        <v>Instalado - Operando</v>
      </c>
      <c r="L25" s="120">
        <f>IFERROR(VLOOKUP(B25,BD_CONTROL!$A$5:$M$4235,12,0),"")</f>
        <v>46141</v>
      </c>
      <c r="M25" s="121">
        <f>IFERROR(VLOOKUP(B25,BD_CONTROL!$A$5:$M$4235,13,0),"")</f>
        <v>0</v>
      </c>
    </row>
    <row r="26" spans="1:13" ht="15" customHeight="1">
      <c r="A26" s="39">
        <v>21</v>
      </c>
      <c r="B26" s="39" t="s">
        <v>1688</v>
      </c>
      <c r="C26" s="40" t="s">
        <v>1689</v>
      </c>
      <c r="D26" s="39" t="s">
        <v>1530</v>
      </c>
      <c r="E26" s="40" t="s">
        <v>1687</v>
      </c>
      <c r="F26" s="40" t="s">
        <v>1690</v>
      </c>
      <c r="G26" s="39" t="s">
        <v>109</v>
      </c>
      <c r="H26" s="40" t="s">
        <v>1532</v>
      </c>
      <c r="I26" s="40" t="s">
        <v>104</v>
      </c>
      <c r="J26" s="50"/>
      <c r="K26" s="116" t="str">
        <f>IFERROR(VLOOKUP(B26,BD_CONTROL!$A$5:$M$4235,11,0),"")</f>
        <v>Instalado - Operando</v>
      </c>
      <c r="L26" s="117">
        <f>IFERROR(VLOOKUP(B26,BD_CONTROL!$A$5:$M$4235,12,0),"")</f>
        <v>46140</v>
      </c>
      <c r="M26" s="118">
        <f>IFERROR(VLOOKUP(B26,BD_CONTROL!$A$5:$M$4235,13,0),"")</f>
        <v>0</v>
      </c>
    </row>
    <row r="27" spans="1:13" ht="15" customHeight="1">
      <c r="A27" s="42">
        <v>22</v>
      </c>
      <c r="B27" s="42" t="s">
        <v>1699</v>
      </c>
      <c r="C27" s="43" t="s">
        <v>1700</v>
      </c>
      <c r="D27" s="42" t="s">
        <v>1530</v>
      </c>
      <c r="E27" s="43" t="s">
        <v>1596</v>
      </c>
      <c r="F27" s="43" t="s">
        <v>1701</v>
      </c>
      <c r="G27" s="42" t="s">
        <v>109</v>
      </c>
      <c r="H27" s="43" t="s">
        <v>1532</v>
      </c>
      <c r="I27" s="43" t="s">
        <v>104</v>
      </c>
      <c r="J27" s="55"/>
      <c r="K27" s="119">
        <f>IFERROR(VLOOKUP(B27,BD_CONTROL!$A$5:$M$4235,11,0),"")</f>
        <v>0</v>
      </c>
      <c r="L27" s="120">
        <f>IFERROR(VLOOKUP(B27,BD_CONTROL!$A$5:$M$4235,12,0),"")</f>
        <v>0</v>
      </c>
      <c r="M27" s="121">
        <f>IFERROR(VLOOKUP(B27,BD_CONTROL!$A$5:$M$4235,13,0),"")</f>
        <v>0</v>
      </c>
    </row>
    <row r="28" spans="1:13" ht="15" customHeight="1">
      <c r="A28" s="39">
        <v>23</v>
      </c>
      <c r="B28" s="39" t="s">
        <v>1702</v>
      </c>
      <c r="C28" s="40" t="s">
        <v>1703</v>
      </c>
      <c r="D28" s="39" t="s">
        <v>1530</v>
      </c>
      <c r="E28" s="40" t="s">
        <v>1596</v>
      </c>
      <c r="F28" s="40" t="s">
        <v>1704</v>
      </c>
      <c r="G28" s="39" t="s">
        <v>109</v>
      </c>
      <c r="H28" s="40" t="s">
        <v>1532</v>
      </c>
      <c r="I28" s="40" t="s">
        <v>104</v>
      </c>
      <c r="J28" s="50"/>
      <c r="K28" s="116">
        <f>IFERROR(VLOOKUP(B28,BD_CONTROL!$A$5:$M$4235,11,0),"")</f>
        <v>0</v>
      </c>
      <c r="L28" s="117">
        <f>IFERROR(VLOOKUP(B28,BD_CONTROL!$A$5:$M$4235,12,0),"")</f>
        <v>0</v>
      </c>
      <c r="M28" s="118">
        <f>IFERROR(VLOOKUP(B28,BD_CONTROL!$A$5:$M$4235,13,0),"")</f>
        <v>0</v>
      </c>
    </row>
    <row r="29" spans="1:13" ht="15" customHeight="1">
      <c r="A29" s="42">
        <v>24</v>
      </c>
      <c r="B29" s="42" t="s">
        <v>1705</v>
      </c>
      <c r="C29" s="43" t="s">
        <v>1706</v>
      </c>
      <c r="D29" s="42" t="s">
        <v>1530</v>
      </c>
      <c r="E29" s="43" t="s">
        <v>1707</v>
      </c>
      <c r="F29" s="43" t="s">
        <v>423</v>
      </c>
      <c r="G29" s="42" t="s">
        <v>109</v>
      </c>
      <c r="H29" s="43" t="s">
        <v>1532</v>
      </c>
      <c r="I29" s="43" t="s">
        <v>104</v>
      </c>
      <c r="J29" s="55"/>
      <c r="K29" s="119">
        <f>IFERROR(VLOOKUP(B29,BD_CONTROL!$A$5:$M$4235,11,0),"")</f>
        <v>0</v>
      </c>
      <c r="L29" s="120">
        <f>IFERROR(VLOOKUP(B29,BD_CONTROL!$A$5:$M$4235,12,0),"")</f>
        <v>0</v>
      </c>
      <c r="M29" s="121">
        <f>IFERROR(VLOOKUP(B29,BD_CONTROL!$A$5:$M$4235,13,0),"")</f>
        <v>0</v>
      </c>
    </row>
    <row r="30" spans="1:13" ht="15" customHeight="1">
      <c r="A30" s="39">
        <v>25</v>
      </c>
      <c r="B30" s="39" t="s">
        <v>1708</v>
      </c>
      <c r="C30" s="40" t="s">
        <v>1709</v>
      </c>
      <c r="D30" s="39" t="s">
        <v>1530</v>
      </c>
      <c r="E30" s="40" t="s">
        <v>1710</v>
      </c>
      <c r="F30" s="40" t="s">
        <v>1711</v>
      </c>
      <c r="G30" s="39" t="s">
        <v>109</v>
      </c>
      <c r="H30" s="40" t="s">
        <v>1532</v>
      </c>
      <c r="I30" s="40" t="s">
        <v>104</v>
      </c>
      <c r="J30" s="50"/>
      <c r="K30" s="116">
        <f>IFERROR(VLOOKUP(B30,BD_CONTROL!$A$5:$M$4235,11,0),"")</f>
        <v>0</v>
      </c>
      <c r="L30" s="117">
        <f>IFERROR(VLOOKUP(B30,BD_CONTROL!$A$5:$M$4235,12,0),"")</f>
        <v>0</v>
      </c>
      <c r="M30" s="118">
        <f>IFERROR(VLOOKUP(B30,BD_CONTROL!$A$5:$M$4235,13,0),"")</f>
        <v>0</v>
      </c>
    </row>
    <row r="31" spans="1:13" ht="15" customHeight="1">
      <c r="A31" s="42">
        <v>26</v>
      </c>
      <c r="B31" s="42" t="s">
        <v>1712</v>
      </c>
      <c r="C31" s="43" t="s">
        <v>1713</v>
      </c>
      <c r="D31" s="42" t="s">
        <v>1530</v>
      </c>
      <c r="E31" s="43" t="s">
        <v>1714</v>
      </c>
      <c r="F31" s="43" t="s">
        <v>1715</v>
      </c>
      <c r="G31" s="42" t="s">
        <v>109</v>
      </c>
      <c r="H31" s="43" t="s">
        <v>1532</v>
      </c>
      <c r="I31" s="43" t="s">
        <v>104</v>
      </c>
      <c r="J31" s="55"/>
      <c r="K31" s="119" t="str">
        <f>IFERROR(VLOOKUP(B31,BD_CONTROL!$A$5:$M$4235,11,0),"")</f>
        <v>Instalado - Sin Señal</v>
      </c>
      <c r="L31" s="120">
        <f>IFERROR(VLOOKUP(B31,BD_CONTROL!$A$5:$M$4235,12,0),"")</f>
        <v>46148</v>
      </c>
      <c r="M31" s="121" t="str">
        <f>IFERROR(VLOOKUP(B31,BD_CONTROL!$A$5:$M$4235,13,0),"")</f>
        <v xml:space="preserve">Instalado, no operando, con reporte a mesa de ayuda
</v>
      </c>
    </row>
    <row r="32" spans="1:13" ht="15" customHeight="1">
      <c r="A32" s="39">
        <v>27</v>
      </c>
      <c r="B32" s="39" t="s">
        <v>1717</v>
      </c>
      <c r="C32" s="40" t="s">
        <v>1718</v>
      </c>
      <c r="D32" s="39" t="s">
        <v>1530</v>
      </c>
      <c r="E32" s="40" t="s">
        <v>1719</v>
      </c>
      <c r="F32" s="40" t="s">
        <v>1720</v>
      </c>
      <c r="G32" s="39" t="s">
        <v>109</v>
      </c>
      <c r="H32" s="40" t="s">
        <v>1532</v>
      </c>
      <c r="I32" s="40" t="s">
        <v>104</v>
      </c>
      <c r="J32" s="50"/>
      <c r="K32" s="116">
        <f>IFERROR(VLOOKUP(B32,BD_CONTROL!$A$5:$M$4235,11,0),"")</f>
        <v>0</v>
      </c>
      <c r="L32" s="117">
        <f>IFERROR(VLOOKUP(B32,BD_CONTROL!$A$5:$M$4235,12,0),"")</f>
        <v>0</v>
      </c>
      <c r="M32" s="118">
        <f>IFERROR(VLOOKUP(B32,BD_CONTROL!$A$5:$M$4235,13,0),"")</f>
        <v>0</v>
      </c>
    </row>
    <row r="33" spans="1:13" ht="15" customHeight="1">
      <c r="A33" s="42">
        <v>28</v>
      </c>
      <c r="B33" s="42" t="s">
        <v>1721</v>
      </c>
      <c r="C33" s="43" t="s">
        <v>1722</v>
      </c>
      <c r="D33" s="42" t="s">
        <v>1530</v>
      </c>
      <c r="E33" s="43" t="s">
        <v>1719</v>
      </c>
      <c r="F33" s="43" t="s">
        <v>1723</v>
      </c>
      <c r="G33" s="42" t="s">
        <v>109</v>
      </c>
      <c r="H33" s="43" t="s">
        <v>1532</v>
      </c>
      <c r="I33" s="43" t="s">
        <v>104</v>
      </c>
      <c r="J33" s="55"/>
      <c r="K33" s="119">
        <f>IFERROR(VLOOKUP(B33,BD_CONTROL!$A$5:$M$4235,11,0),"")</f>
        <v>0</v>
      </c>
      <c r="L33" s="120">
        <f>IFERROR(VLOOKUP(B33,BD_CONTROL!$A$5:$M$4235,12,0),"")</f>
        <v>0</v>
      </c>
      <c r="M33" s="121">
        <f>IFERROR(VLOOKUP(B33,BD_CONTROL!$A$5:$M$4235,13,0),"")</f>
        <v>0</v>
      </c>
    </row>
    <row r="34" spans="1:13" ht="15" customHeight="1">
      <c r="A34" s="39">
        <v>29</v>
      </c>
      <c r="B34" s="39" t="s">
        <v>1729</v>
      </c>
      <c r="C34" s="40" t="s">
        <v>1730</v>
      </c>
      <c r="D34" s="39" t="s">
        <v>1530</v>
      </c>
      <c r="E34" s="40" t="s">
        <v>1731</v>
      </c>
      <c r="F34" s="40" t="s">
        <v>1730</v>
      </c>
      <c r="G34" s="39" t="s">
        <v>109</v>
      </c>
      <c r="H34" s="40" t="s">
        <v>1532</v>
      </c>
      <c r="I34" s="40" t="s">
        <v>104</v>
      </c>
      <c r="J34" s="50"/>
      <c r="K34" s="116" t="str">
        <f>IFERROR(VLOOKUP(B34,BD_CONTROL!$A$5:$M$4235,11,0),"")</f>
        <v>Instalado - Operando</v>
      </c>
      <c r="L34" s="117">
        <f>IFERROR(VLOOKUP(B34,BD_CONTROL!$A$5:$M$4235,12,0),"")</f>
        <v>46140</v>
      </c>
      <c r="M34" s="118">
        <f>IFERROR(VLOOKUP(B34,BD_CONTROL!$A$5:$M$4235,13,0),"")</f>
        <v>0</v>
      </c>
    </row>
    <row r="35" spans="1:13" ht="15" customHeight="1">
      <c r="A35" s="42">
        <v>30</v>
      </c>
      <c r="B35" s="42" t="s">
        <v>1732</v>
      </c>
      <c r="C35" s="43" t="s">
        <v>1733</v>
      </c>
      <c r="D35" s="42" t="s">
        <v>1530</v>
      </c>
      <c r="E35" s="43" t="s">
        <v>1734</v>
      </c>
      <c r="F35" s="43" t="s">
        <v>1735</v>
      </c>
      <c r="G35" s="42" t="s">
        <v>109</v>
      </c>
      <c r="H35" s="43" t="s">
        <v>1532</v>
      </c>
      <c r="I35" s="43" t="s">
        <v>104</v>
      </c>
      <c r="J35" s="55"/>
      <c r="K35" s="119" t="str">
        <f>IFERROR(VLOOKUP(B35,BD_CONTROL!$A$5:$M$4235,11,0),"")</f>
        <v>Instalado - Sin Señal</v>
      </c>
      <c r="L35" s="120">
        <f>IFERROR(VLOOKUP(B35,BD_CONTROL!$A$5:$M$4235,12,0),"")</f>
        <v>46140</v>
      </c>
      <c r="M35" s="121" t="str">
        <f>IFERROR(VLOOKUP(B35,BD_CONTROL!$A$5:$M$4235,13,0),"")</f>
        <v>INSTALADO= Instalado, no operando, con reporte a mesa de ayuda</v>
      </c>
    </row>
    <row r="36" spans="1:13" ht="15" customHeight="1">
      <c r="A36" s="39">
        <v>31</v>
      </c>
      <c r="B36" s="39" t="s">
        <v>1737</v>
      </c>
      <c r="C36" s="40" t="s">
        <v>1738</v>
      </c>
      <c r="D36" s="39" t="s">
        <v>1530</v>
      </c>
      <c r="E36" s="40" t="s">
        <v>1734</v>
      </c>
      <c r="F36" s="40" t="s">
        <v>1739</v>
      </c>
      <c r="G36" s="39" t="s">
        <v>109</v>
      </c>
      <c r="H36" s="40" t="s">
        <v>1532</v>
      </c>
      <c r="I36" s="40" t="s">
        <v>104</v>
      </c>
      <c r="J36" s="50"/>
      <c r="K36" s="116" t="str">
        <f>IFERROR(VLOOKUP(B36,BD_CONTROL!$A$5:$M$4235,11,0),"")</f>
        <v>Instalado - Sin Señal</v>
      </c>
      <c r="L36" s="117">
        <f>IFERROR(VLOOKUP(B36,BD_CONTROL!$A$5:$M$4235,12,0),"")</f>
        <v>46141</v>
      </c>
      <c r="M36" s="118" t="str">
        <f>IFERROR(VLOOKUP(B36,BD_CONTROL!$A$5:$M$4235,13,0),"")</f>
        <v>Instalado, no operando, con reporte a mesa de ayuda</v>
      </c>
    </row>
    <row r="37" spans="1:13" ht="15" customHeight="1">
      <c r="A37" s="42">
        <v>32</v>
      </c>
      <c r="B37" s="42" t="s">
        <v>1741</v>
      </c>
      <c r="C37" s="43" t="s">
        <v>1742</v>
      </c>
      <c r="D37" s="42" t="s">
        <v>1530</v>
      </c>
      <c r="E37" s="43" t="s">
        <v>1734</v>
      </c>
      <c r="F37" s="43" t="s">
        <v>1743</v>
      </c>
      <c r="G37" s="42" t="s">
        <v>109</v>
      </c>
      <c r="H37" s="43" t="s">
        <v>1532</v>
      </c>
      <c r="I37" s="43" t="s">
        <v>104</v>
      </c>
      <c r="J37" s="55"/>
      <c r="K37" s="119">
        <f>IFERROR(VLOOKUP(B37,BD_CONTROL!$A$5:$M$4235,11,0),"")</f>
        <v>0</v>
      </c>
      <c r="L37" s="120">
        <f>IFERROR(VLOOKUP(B37,BD_CONTROL!$A$5:$M$4235,12,0),"")</f>
        <v>0</v>
      </c>
      <c r="M37" s="121">
        <f>IFERROR(VLOOKUP(B37,BD_CONTROL!$A$5:$M$4235,13,0),"")</f>
        <v>0</v>
      </c>
    </row>
    <row r="38" spans="1:13" ht="15" customHeight="1">
      <c r="A38" s="39">
        <v>33</v>
      </c>
      <c r="B38" s="39" t="s">
        <v>1744</v>
      </c>
      <c r="C38" s="40" t="s">
        <v>1745</v>
      </c>
      <c r="D38" s="39" t="s">
        <v>1530</v>
      </c>
      <c r="E38" s="40" t="s">
        <v>1600</v>
      </c>
      <c r="F38" s="40" t="s">
        <v>1746</v>
      </c>
      <c r="G38" s="39" t="s">
        <v>109</v>
      </c>
      <c r="H38" s="40" t="s">
        <v>1532</v>
      </c>
      <c r="I38" s="40" t="s">
        <v>104</v>
      </c>
      <c r="J38" s="50"/>
      <c r="K38" s="116" t="str">
        <f>IFERROR(VLOOKUP(B38,BD_CONTROL!$A$5:$M$4235,11,0),"")</f>
        <v>Instalado - Sin Señal</v>
      </c>
      <c r="L38" s="117">
        <f>IFERROR(VLOOKUP(B38,BD_CONTROL!$A$5:$M$4235,12,0),"")</f>
        <v>46140</v>
      </c>
      <c r="M38" s="118" t="str">
        <f>IFERROR(VLOOKUP(B38,BD_CONTROL!$A$5:$M$4235,13,0),"")</f>
        <v>INSTALADO= Instalado, no operando, con reporte a mesa de ayuda</v>
      </c>
    </row>
    <row r="39" spans="1:13" ht="15" customHeight="1">
      <c r="A39" s="42">
        <v>34</v>
      </c>
      <c r="B39" s="42" t="s">
        <v>1747</v>
      </c>
      <c r="C39" s="43" t="s">
        <v>1748</v>
      </c>
      <c r="D39" s="42" t="s">
        <v>1530</v>
      </c>
      <c r="E39" s="43" t="s">
        <v>1749</v>
      </c>
      <c r="F39" s="43" t="s">
        <v>1750</v>
      </c>
      <c r="G39" s="42" t="s">
        <v>109</v>
      </c>
      <c r="H39" s="43" t="s">
        <v>1532</v>
      </c>
      <c r="I39" s="43" t="s">
        <v>104</v>
      </c>
      <c r="J39" s="55"/>
      <c r="K39" s="119" t="str">
        <f>IFERROR(VLOOKUP(B39,BD_CONTROL!$A$5:$M$4235,11,0),"")</f>
        <v>Instalado - Sin Señal</v>
      </c>
      <c r="L39" s="120">
        <f>IFERROR(VLOOKUP(B39,BD_CONTROL!$A$5:$M$4235,12,0),"")</f>
        <v>46139</v>
      </c>
      <c r="M39" s="121">
        <f>IFERROR(VLOOKUP(B39,BD_CONTROL!$A$5:$M$4235,13,0),"")</f>
        <v>0</v>
      </c>
    </row>
    <row r="40" spans="1:13" ht="15" customHeight="1">
      <c r="A40" s="39">
        <v>35</v>
      </c>
      <c r="B40" s="39" t="s">
        <v>1751</v>
      </c>
      <c r="C40" s="40" t="s">
        <v>1752</v>
      </c>
      <c r="D40" s="39" t="s">
        <v>1530</v>
      </c>
      <c r="E40" s="40" t="s">
        <v>1734</v>
      </c>
      <c r="F40" s="40" t="s">
        <v>1753</v>
      </c>
      <c r="G40" s="39" t="s">
        <v>109</v>
      </c>
      <c r="H40" s="40" t="s">
        <v>1532</v>
      </c>
      <c r="I40" s="40" t="s">
        <v>104</v>
      </c>
      <c r="J40" s="50"/>
      <c r="K40" s="116" t="str">
        <f>IFERROR(VLOOKUP(B40,BD_CONTROL!$A$5:$M$4235,11,0),"")</f>
        <v>Instalado - Operando</v>
      </c>
      <c r="L40" s="117">
        <f>IFERROR(VLOOKUP(B40,BD_CONTROL!$A$5:$M$4235,12,0),"")</f>
        <v>46139</v>
      </c>
      <c r="M40" s="118">
        <f>IFERROR(VLOOKUP(B40,BD_CONTROL!$A$5:$M$4235,13,0),"")</f>
        <v>0</v>
      </c>
    </row>
    <row r="41" spans="1:13" ht="15" customHeight="1">
      <c r="A41" s="42">
        <v>36</v>
      </c>
      <c r="B41" s="42" t="s">
        <v>1754</v>
      </c>
      <c r="C41" s="43" t="s">
        <v>1755</v>
      </c>
      <c r="D41" s="42" t="s">
        <v>1530</v>
      </c>
      <c r="E41" s="43" t="s">
        <v>1756</v>
      </c>
      <c r="F41" s="43" t="s">
        <v>1757</v>
      </c>
      <c r="G41" s="42" t="s">
        <v>109</v>
      </c>
      <c r="H41" s="43" t="s">
        <v>1532</v>
      </c>
      <c r="I41" s="43" t="s">
        <v>104</v>
      </c>
      <c r="J41" s="55"/>
      <c r="K41" s="119">
        <f>IFERROR(VLOOKUP(B41,BD_CONTROL!$A$5:$M$4235,11,0),"")</f>
        <v>0</v>
      </c>
      <c r="L41" s="120">
        <f>IFERROR(VLOOKUP(B41,BD_CONTROL!$A$5:$M$4235,12,0),"")</f>
        <v>0</v>
      </c>
      <c r="M41" s="121">
        <f>IFERROR(VLOOKUP(B41,BD_CONTROL!$A$5:$M$4235,13,0),"")</f>
        <v>0</v>
      </c>
    </row>
    <row r="42" spans="1:13" ht="15" customHeight="1">
      <c r="A42" s="39">
        <v>37</v>
      </c>
      <c r="B42" s="39" t="s">
        <v>1758</v>
      </c>
      <c r="C42" s="40" t="s">
        <v>1759</v>
      </c>
      <c r="D42" s="39" t="s">
        <v>1530</v>
      </c>
      <c r="E42" s="40" t="s">
        <v>1607</v>
      </c>
      <c r="F42" s="40" t="s">
        <v>1759</v>
      </c>
      <c r="G42" s="39" t="s">
        <v>102</v>
      </c>
      <c r="H42" s="40" t="s">
        <v>1532</v>
      </c>
      <c r="I42" s="40" t="s">
        <v>104</v>
      </c>
      <c r="J42" s="50"/>
      <c r="K42" s="116">
        <f>IFERROR(VLOOKUP(B42,BD_CONTROL!$A$5:$M$4235,11,0),"")</f>
        <v>0</v>
      </c>
      <c r="L42" s="117">
        <f>IFERROR(VLOOKUP(B42,BD_CONTROL!$A$5:$M$4235,12,0),"")</f>
        <v>0</v>
      </c>
      <c r="M42" s="118">
        <f>IFERROR(VLOOKUP(B42,BD_CONTROL!$A$5:$M$4235,13,0),"")</f>
        <v>0</v>
      </c>
    </row>
    <row r="43" spans="1:13" ht="15" customHeight="1">
      <c r="A43" s="42">
        <v>38</v>
      </c>
      <c r="B43" s="42" t="s">
        <v>1760</v>
      </c>
      <c r="C43" s="43" t="s">
        <v>1761</v>
      </c>
      <c r="D43" s="42" t="s">
        <v>1530</v>
      </c>
      <c r="E43" s="43" t="s">
        <v>1639</v>
      </c>
      <c r="F43" s="43" t="s">
        <v>1762</v>
      </c>
      <c r="G43" s="42" t="s">
        <v>109</v>
      </c>
      <c r="H43" s="43" t="s">
        <v>1532</v>
      </c>
      <c r="I43" s="43" t="s">
        <v>104</v>
      </c>
      <c r="J43" s="55"/>
      <c r="K43" s="119">
        <f>IFERROR(VLOOKUP(B43,BD_CONTROL!$A$5:$M$4235,11,0),"")</f>
        <v>0</v>
      </c>
      <c r="L43" s="120">
        <f>IFERROR(VLOOKUP(B43,BD_CONTROL!$A$5:$M$4235,12,0),"")</f>
        <v>0</v>
      </c>
      <c r="M43" s="121">
        <f>IFERROR(VLOOKUP(B43,BD_CONTROL!$A$5:$M$4235,13,0),"")</f>
        <v>0</v>
      </c>
    </row>
    <row r="44" spans="1:13" ht="15" customHeight="1">
      <c r="A44" s="39">
        <v>39</v>
      </c>
      <c r="B44" s="39" t="s">
        <v>1763</v>
      </c>
      <c r="C44" s="40" t="s">
        <v>1764</v>
      </c>
      <c r="D44" s="39" t="s">
        <v>1530</v>
      </c>
      <c r="E44" s="40" t="s">
        <v>1734</v>
      </c>
      <c r="F44" s="40" t="s">
        <v>1765</v>
      </c>
      <c r="G44" s="39" t="s">
        <v>109</v>
      </c>
      <c r="H44" s="40" t="s">
        <v>1532</v>
      </c>
      <c r="I44" s="40" t="s">
        <v>104</v>
      </c>
      <c r="J44" s="50"/>
      <c r="K44" s="116" t="str">
        <f>IFERROR(VLOOKUP(B44,BD_CONTROL!$A$5:$M$4235,11,0),"")</f>
        <v>Instalado - Sin Señal</v>
      </c>
      <c r="L44" s="117">
        <f>IFERROR(VLOOKUP(B44,BD_CONTROL!$A$5:$M$4235,12,0),"")</f>
        <v>46142</v>
      </c>
      <c r="M44" s="118">
        <f>IFERROR(VLOOKUP(B44,BD_CONTROL!$A$5:$M$4235,13,0),"")</f>
        <v>0</v>
      </c>
    </row>
    <row r="45" spans="1:13" ht="15" customHeight="1">
      <c r="A45" s="42">
        <v>40</v>
      </c>
      <c r="B45" s="42" t="s">
        <v>1769</v>
      </c>
      <c r="C45" s="43" t="s">
        <v>1770</v>
      </c>
      <c r="D45" s="42" t="s">
        <v>1530</v>
      </c>
      <c r="E45" s="43" t="s">
        <v>1549</v>
      </c>
      <c r="F45" s="43" t="s">
        <v>1771</v>
      </c>
      <c r="G45" s="42" t="s">
        <v>109</v>
      </c>
      <c r="H45" s="43" t="s">
        <v>1532</v>
      </c>
      <c r="I45" s="43" t="s">
        <v>104</v>
      </c>
      <c r="J45" s="55"/>
      <c r="K45" s="119">
        <f>IFERROR(VLOOKUP(B45,BD_CONTROL!$A$5:$M$4235,11,0),"")</f>
        <v>0</v>
      </c>
      <c r="L45" s="120">
        <f>IFERROR(VLOOKUP(B45,BD_CONTROL!$A$5:$M$4235,12,0),"")</f>
        <v>0</v>
      </c>
      <c r="M45" s="121">
        <f>IFERROR(VLOOKUP(B45,BD_CONTROL!$A$5:$M$4235,13,0),"")</f>
        <v>0</v>
      </c>
    </row>
    <row r="46" spans="1:13" ht="15" customHeight="1">
      <c r="A46" s="39">
        <v>41</v>
      </c>
      <c r="B46" s="39" t="s">
        <v>1772</v>
      </c>
      <c r="C46" s="40" t="s">
        <v>1773</v>
      </c>
      <c r="D46" s="39" t="s">
        <v>1530</v>
      </c>
      <c r="E46" s="40" t="s">
        <v>1687</v>
      </c>
      <c r="F46" s="40" t="s">
        <v>1774</v>
      </c>
      <c r="G46" s="39" t="s">
        <v>109</v>
      </c>
      <c r="H46" s="40" t="s">
        <v>1532</v>
      </c>
      <c r="I46" s="40" t="s">
        <v>104</v>
      </c>
      <c r="J46" s="50"/>
      <c r="K46" s="116" t="str">
        <f>IFERROR(VLOOKUP(B46,BD_CONTROL!$A$5:$M$4235,11,0),"")</f>
        <v>Instalado - Sin Señal</v>
      </c>
      <c r="L46" s="117">
        <f>IFERROR(VLOOKUP(B46,BD_CONTROL!$A$5:$M$4235,12,0),"")</f>
        <v>46141</v>
      </c>
      <c r="M46" s="118" t="str">
        <f>IFERROR(VLOOKUP(B46,BD_CONTROL!$A$5:$M$4235,13,0),"")</f>
        <v>Instalado, no operando, con reporte a mesa de ayuda</v>
      </c>
    </row>
    <row r="47" spans="1:13" ht="15" customHeight="1">
      <c r="A47" s="42">
        <v>42</v>
      </c>
      <c r="B47" s="42" t="s">
        <v>1782</v>
      </c>
      <c r="C47" s="43" t="s">
        <v>1783</v>
      </c>
      <c r="D47" s="42" t="s">
        <v>1530</v>
      </c>
      <c r="E47" s="43" t="s">
        <v>1600</v>
      </c>
      <c r="F47" s="43" t="s">
        <v>1784</v>
      </c>
      <c r="G47" s="42" t="s">
        <v>109</v>
      </c>
      <c r="H47" s="43" t="s">
        <v>1532</v>
      </c>
      <c r="I47" s="43" t="s">
        <v>104</v>
      </c>
      <c r="J47" s="55"/>
      <c r="K47" s="119" t="str">
        <f>IFERROR(VLOOKUP(B47,BD_CONTROL!$A$5:$M$4235,11,0),"")</f>
        <v>Instalado - Operando</v>
      </c>
      <c r="L47" s="120">
        <f>IFERROR(VLOOKUP(B47,BD_CONTROL!$A$5:$M$4235,12,0),"")</f>
        <v>46149</v>
      </c>
      <c r="M47" s="121">
        <f>IFERROR(VLOOKUP(B47,BD_CONTROL!$A$5:$M$4235,13,0),"")</f>
        <v>0</v>
      </c>
    </row>
    <row r="48" spans="1:13" ht="15" customHeight="1">
      <c r="A48" s="39">
        <v>43</v>
      </c>
      <c r="B48" s="39" t="s">
        <v>1785</v>
      </c>
      <c r="C48" s="40" t="s">
        <v>1786</v>
      </c>
      <c r="D48" s="39" t="s">
        <v>1530</v>
      </c>
      <c r="E48" s="40" t="s">
        <v>1549</v>
      </c>
      <c r="F48" s="40" t="s">
        <v>1787</v>
      </c>
      <c r="G48" s="39" t="s">
        <v>109</v>
      </c>
      <c r="H48" s="40" t="s">
        <v>1532</v>
      </c>
      <c r="I48" s="40" t="s">
        <v>104</v>
      </c>
      <c r="J48" s="50"/>
      <c r="K48" s="116">
        <f>IFERROR(VLOOKUP(B48,BD_CONTROL!$A$5:$M$4235,11,0),"")</f>
        <v>0</v>
      </c>
      <c r="L48" s="117">
        <f>IFERROR(VLOOKUP(B48,BD_CONTROL!$A$5:$M$4235,12,0),"")</f>
        <v>0</v>
      </c>
      <c r="M48" s="118">
        <f>IFERROR(VLOOKUP(B48,BD_CONTROL!$A$5:$M$4235,13,0),"")</f>
        <v>0</v>
      </c>
    </row>
    <row r="49" spans="1:13" ht="15" customHeight="1">
      <c r="A49" s="42">
        <v>44</v>
      </c>
      <c r="B49" s="42" t="s">
        <v>1788</v>
      </c>
      <c r="C49" s="43" t="s">
        <v>1789</v>
      </c>
      <c r="D49" s="42" t="s">
        <v>1530</v>
      </c>
      <c r="E49" s="43" t="s">
        <v>1687</v>
      </c>
      <c r="F49" s="43" t="s">
        <v>1790</v>
      </c>
      <c r="G49" s="42" t="s">
        <v>109</v>
      </c>
      <c r="H49" s="43" t="s">
        <v>1532</v>
      </c>
      <c r="I49" s="43" t="s">
        <v>104</v>
      </c>
      <c r="J49" s="55"/>
      <c r="K49" s="119" t="str">
        <f>IFERROR(VLOOKUP(B49,BD_CONTROL!$A$5:$M$4235,11,0),"")</f>
        <v>Instalado - Operando</v>
      </c>
      <c r="L49" s="120">
        <f>IFERROR(VLOOKUP(B49,BD_CONTROL!$A$5:$M$4235,12,0),"")</f>
        <v>46140</v>
      </c>
      <c r="M49" s="121">
        <f>IFERROR(VLOOKUP(B49,BD_CONTROL!$A$5:$M$4235,13,0),"")</f>
        <v>0</v>
      </c>
    </row>
    <row r="50" spans="1:13" ht="15" customHeight="1">
      <c r="A50" s="39">
        <v>45</v>
      </c>
      <c r="B50" s="39" t="s">
        <v>1794</v>
      </c>
      <c r="C50" s="40" t="s">
        <v>1795</v>
      </c>
      <c r="D50" s="39" t="s">
        <v>1530</v>
      </c>
      <c r="E50" s="40" t="s">
        <v>1710</v>
      </c>
      <c r="F50" s="40" t="s">
        <v>1796</v>
      </c>
      <c r="G50" s="39" t="s">
        <v>109</v>
      </c>
      <c r="H50" s="40" t="s">
        <v>1532</v>
      </c>
      <c r="I50" s="40" t="s">
        <v>104</v>
      </c>
      <c r="J50" s="50"/>
      <c r="K50" s="116">
        <f>IFERROR(VLOOKUP(B50,BD_CONTROL!$A$5:$M$4235,11,0),"")</f>
        <v>0</v>
      </c>
      <c r="L50" s="117">
        <f>IFERROR(VLOOKUP(B50,BD_CONTROL!$A$5:$M$4235,12,0),"")</f>
        <v>0</v>
      </c>
      <c r="M50" s="118">
        <f>IFERROR(VLOOKUP(B50,BD_CONTROL!$A$5:$M$4235,13,0),"")</f>
        <v>0</v>
      </c>
    </row>
    <row r="51" spans="1:13" ht="15" customHeight="1">
      <c r="A51" s="42">
        <v>46</v>
      </c>
      <c r="B51" s="42" t="s">
        <v>1817</v>
      </c>
      <c r="C51" s="43" t="s">
        <v>1818</v>
      </c>
      <c r="D51" s="42" t="s">
        <v>1530</v>
      </c>
      <c r="E51" s="43" t="s">
        <v>1819</v>
      </c>
      <c r="F51" s="43" t="s">
        <v>1820</v>
      </c>
      <c r="G51" s="42" t="s">
        <v>109</v>
      </c>
      <c r="H51" s="43" t="s">
        <v>1532</v>
      </c>
      <c r="I51" s="43" t="s">
        <v>104</v>
      </c>
      <c r="J51" s="55"/>
      <c r="K51" s="119" t="str">
        <f>IFERROR(VLOOKUP(B51,BD_CONTROL!$A$5:$M$4235,11,0),"")</f>
        <v>Instalado - Operando</v>
      </c>
      <c r="L51" s="120">
        <f>IFERROR(VLOOKUP(B51,BD_CONTROL!$A$5:$M$4235,12,0),"")</f>
        <v>46148</v>
      </c>
      <c r="M51" s="121">
        <f>IFERROR(VLOOKUP(B51,BD_CONTROL!$A$5:$M$4235,13,0),"")</f>
        <v>0</v>
      </c>
    </row>
    <row r="52" spans="1:13" ht="15" customHeight="1">
      <c r="A52" s="39">
        <v>47</v>
      </c>
      <c r="B52" s="39" t="s">
        <v>1826</v>
      </c>
      <c r="C52" s="40" t="s">
        <v>1827</v>
      </c>
      <c r="D52" s="39" t="s">
        <v>1530</v>
      </c>
      <c r="E52" s="40" t="s">
        <v>1828</v>
      </c>
      <c r="F52" s="40" t="s">
        <v>1827</v>
      </c>
      <c r="G52" s="39" t="s">
        <v>109</v>
      </c>
      <c r="H52" s="40" t="s">
        <v>1532</v>
      </c>
      <c r="I52" s="40" t="s">
        <v>104</v>
      </c>
      <c r="J52" s="50"/>
      <c r="K52" s="116" t="str">
        <f>IFERROR(VLOOKUP(B52,BD_CONTROL!$A$5:$M$4235,11,0),"")</f>
        <v>Instalado - Operando</v>
      </c>
      <c r="L52" s="117">
        <f>IFERROR(VLOOKUP(B52,BD_CONTROL!$A$5:$M$4235,12,0),"")</f>
        <v>46148</v>
      </c>
      <c r="M52" s="118">
        <f>IFERROR(VLOOKUP(B52,BD_CONTROL!$A$5:$M$4235,13,0),"")</f>
        <v>0</v>
      </c>
    </row>
    <row r="53" spans="1:13" ht="15" customHeight="1">
      <c r="A53" s="42">
        <v>48</v>
      </c>
      <c r="B53" s="42" t="s">
        <v>1829</v>
      </c>
      <c r="C53" s="43" t="s">
        <v>1830</v>
      </c>
      <c r="D53" s="42" t="s">
        <v>1530</v>
      </c>
      <c r="E53" s="43" t="s">
        <v>1828</v>
      </c>
      <c r="F53" s="43" t="s">
        <v>1831</v>
      </c>
      <c r="G53" s="42" t="s">
        <v>109</v>
      </c>
      <c r="H53" s="43" t="s">
        <v>1532</v>
      </c>
      <c r="I53" s="43" t="s">
        <v>104</v>
      </c>
      <c r="J53" s="55"/>
      <c r="K53" s="119" t="str">
        <f>IFERROR(VLOOKUP(B53,BD_CONTROL!$A$5:$M$4235,11,0),"")</f>
        <v>Instalado - Operando</v>
      </c>
      <c r="L53" s="120">
        <f>IFERROR(VLOOKUP(B53,BD_CONTROL!$A$5:$M$4235,12,0),"")</f>
        <v>46150</v>
      </c>
      <c r="M53" s="121">
        <f>IFERROR(VLOOKUP(B53,BD_CONTROL!$A$5:$M$4235,13,0),"")</f>
        <v>0</v>
      </c>
    </row>
    <row r="54" spans="1:13" ht="15" customHeight="1">
      <c r="A54" s="39">
        <v>49</v>
      </c>
      <c r="B54" s="39" t="s">
        <v>1832</v>
      </c>
      <c r="C54" s="40" t="s">
        <v>1833</v>
      </c>
      <c r="D54" s="39" t="s">
        <v>1530</v>
      </c>
      <c r="E54" s="40" t="s">
        <v>1828</v>
      </c>
      <c r="F54" s="40" t="s">
        <v>1834</v>
      </c>
      <c r="G54" s="39" t="s">
        <v>109</v>
      </c>
      <c r="H54" s="40" t="s">
        <v>1532</v>
      </c>
      <c r="I54" s="40" t="s">
        <v>104</v>
      </c>
      <c r="J54" s="50"/>
      <c r="K54" s="116" t="str">
        <f>IFERROR(VLOOKUP(B54,BD_CONTROL!$A$5:$M$4235,11,0),"")</f>
        <v>Instalado - Operando</v>
      </c>
      <c r="L54" s="117">
        <f>IFERROR(VLOOKUP(B54,BD_CONTROL!$A$5:$M$4235,12,0),"")</f>
        <v>46150</v>
      </c>
      <c r="M54" s="118">
        <f>IFERROR(VLOOKUP(B54,BD_CONTROL!$A$5:$M$4235,13,0),"")</f>
        <v>0</v>
      </c>
    </row>
    <row r="55" spans="1:13" ht="15" customHeight="1">
      <c r="A55" s="42">
        <v>50</v>
      </c>
      <c r="B55" s="42" t="s">
        <v>1837</v>
      </c>
      <c r="C55" s="43" t="s">
        <v>1838</v>
      </c>
      <c r="D55" s="42" t="s">
        <v>1530</v>
      </c>
      <c r="E55" s="43" t="s">
        <v>1649</v>
      </c>
      <c r="F55" s="43" t="s">
        <v>1839</v>
      </c>
      <c r="G55" s="42" t="s">
        <v>109</v>
      </c>
      <c r="H55" s="43" t="s">
        <v>1532</v>
      </c>
      <c r="I55" s="43" t="s">
        <v>104</v>
      </c>
      <c r="J55" s="55"/>
      <c r="K55" s="119">
        <f>IFERROR(VLOOKUP(B55,BD_CONTROL!$A$5:$M$4235,11,0),"")</f>
        <v>0</v>
      </c>
      <c r="L55" s="120">
        <f>IFERROR(VLOOKUP(B55,BD_CONTROL!$A$5:$M$4235,12,0),"")</f>
        <v>0</v>
      </c>
      <c r="M55" s="121">
        <f>IFERROR(VLOOKUP(B55,BD_CONTROL!$A$5:$M$4235,13,0),"")</f>
        <v>0</v>
      </c>
    </row>
    <row r="56" spans="1:13" ht="15" customHeight="1">
      <c r="A56" s="39">
        <v>51</v>
      </c>
      <c r="B56" s="39" t="s">
        <v>1840</v>
      </c>
      <c r="C56" s="40" t="s">
        <v>1841</v>
      </c>
      <c r="D56" s="39" t="s">
        <v>1530</v>
      </c>
      <c r="E56" s="40" t="s">
        <v>1649</v>
      </c>
      <c r="F56" s="40" t="s">
        <v>1842</v>
      </c>
      <c r="G56" s="39" t="s">
        <v>109</v>
      </c>
      <c r="H56" s="40" t="s">
        <v>1532</v>
      </c>
      <c r="I56" s="40" t="s">
        <v>104</v>
      </c>
      <c r="J56" s="50"/>
      <c r="K56" s="116">
        <f>IFERROR(VLOOKUP(B56,BD_CONTROL!$A$5:$M$4235,11,0),"")</f>
        <v>0</v>
      </c>
      <c r="L56" s="117">
        <f>IFERROR(VLOOKUP(B56,BD_CONTROL!$A$5:$M$4235,12,0),"")</f>
        <v>0</v>
      </c>
      <c r="M56" s="118">
        <f>IFERROR(VLOOKUP(B56,BD_CONTROL!$A$5:$M$4235,13,0),"")</f>
        <v>0</v>
      </c>
    </row>
    <row r="57" spans="1:13" ht="15" customHeight="1">
      <c r="A57" s="42">
        <v>52</v>
      </c>
      <c r="B57" s="42" t="s">
        <v>1843</v>
      </c>
      <c r="C57" s="43" t="s">
        <v>1844</v>
      </c>
      <c r="D57" s="42" t="s">
        <v>1530</v>
      </c>
      <c r="E57" s="43" t="s">
        <v>1653</v>
      </c>
      <c r="F57" s="43" t="s">
        <v>1845</v>
      </c>
      <c r="G57" s="42" t="s">
        <v>109</v>
      </c>
      <c r="H57" s="43" t="s">
        <v>1532</v>
      </c>
      <c r="I57" s="43" t="s">
        <v>104</v>
      </c>
      <c r="J57" s="55"/>
      <c r="K57" s="119" t="str">
        <f>IFERROR(VLOOKUP(B57,BD_CONTROL!$A$5:$M$4235,11,0),"")</f>
        <v>Instalado - Sin Señal</v>
      </c>
      <c r="L57" s="120">
        <f>IFERROR(VLOOKUP(B57,BD_CONTROL!$A$5:$M$4235,12,0),"")</f>
        <v>46150</v>
      </c>
      <c r="M57" s="121" t="str">
        <f>IFERROR(VLOOKUP(B57,BD_CONTROL!$A$5:$M$4235,13,0),"")</f>
        <v>Instalado, no operando, con reporte a mesa de ayuda</v>
      </c>
    </row>
    <row r="58" spans="1:13" ht="15" customHeight="1">
      <c r="A58" s="39">
        <v>53</v>
      </c>
      <c r="B58" s="39" t="s">
        <v>1846</v>
      </c>
      <c r="C58" s="40" t="s">
        <v>1847</v>
      </c>
      <c r="D58" s="39" t="s">
        <v>1530</v>
      </c>
      <c r="E58" s="40" t="s">
        <v>1756</v>
      </c>
      <c r="F58" s="40" t="s">
        <v>1847</v>
      </c>
      <c r="G58" s="39" t="s">
        <v>109</v>
      </c>
      <c r="H58" s="40" t="s">
        <v>1532</v>
      </c>
      <c r="I58" s="40" t="s">
        <v>104</v>
      </c>
      <c r="J58" s="50"/>
      <c r="K58" s="116">
        <f>IFERROR(VLOOKUP(B58,BD_CONTROL!$A$5:$M$4235,11,0),"")</f>
        <v>0</v>
      </c>
      <c r="L58" s="117">
        <f>IFERROR(VLOOKUP(B58,BD_CONTROL!$A$5:$M$4235,12,0),"")</f>
        <v>0</v>
      </c>
      <c r="M58" s="118">
        <f>IFERROR(VLOOKUP(B58,BD_CONTROL!$A$5:$M$4235,13,0),"")</f>
        <v>0</v>
      </c>
    </row>
    <row r="59" spans="1:13" ht="15" customHeight="1">
      <c r="A59" s="42">
        <v>54</v>
      </c>
      <c r="B59" s="42" t="s">
        <v>1848</v>
      </c>
      <c r="C59" s="43" t="s">
        <v>1849</v>
      </c>
      <c r="D59" s="42" t="s">
        <v>1530</v>
      </c>
      <c r="E59" s="43" t="s">
        <v>1607</v>
      </c>
      <c r="F59" s="43" t="s">
        <v>1849</v>
      </c>
      <c r="G59" s="42" t="s">
        <v>109</v>
      </c>
      <c r="H59" s="43" t="s">
        <v>1532</v>
      </c>
      <c r="I59" s="43" t="s">
        <v>104</v>
      </c>
      <c r="J59" s="55"/>
      <c r="K59" s="119">
        <f>IFERROR(VLOOKUP(B59,BD_CONTROL!$A$5:$M$4235,11,0),"")</f>
        <v>0</v>
      </c>
      <c r="L59" s="120">
        <f>IFERROR(VLOOKUP(B59,BD_CONTROL!$A$5:$M$4235,12,0),"")</f>
        <v>0</v>
      </c>
      <c r="M59" s="121">
        <f>IFERROR(VLOOKUP(B59,BD_CONTROL!$A$5:$M$4235,13,0),"")</f>
        <v>0</v>
      </c>
    </row>
    <row r="60" spans="1:13" ht="15" customHeight="1">
      <c r="A60" s="39">
        <v>55</v>
      </c>
      <c r="B60" s="39" t="s">
        <v>1850</v>
      </c>
      <c r="C60" s="40" t="s">
        <v>1851</v>
      </c>
      <c r="D60" s="39" t="s">
        <v>1530</v>
      </c>
      <c r="E60" s="40" t="s">
        <v>1607</v>
      </c>
      <c r="F60" s="40" t="s">
        <v>1852</v>
      </c>
      <c r="G60" s="39" t="s">
        <v>109</v>
      </c>
      <c r="H60" s="40" t="s">
        <v>1532</v>
      </c>
      <c r="I60" s="40" t="s">
        <v>104</v>
      </c>
      <c r="J60" s="50"/>
      <c r="K60" s="116" t="str">
        <f>IFERROR(VLOOKUP(B60,BD_CONTROL!$A$5:$M$4235,11,0),"")</f>
        <v>Instalado - Operando</v>
      </c>
      <c r="L60" s="117">
        <f>IFERROR(VLOOKUP(B60,BD_CONTROL!$A$5:$M$4235,12,0),"")</f>
        <v>46150</v>
      </c>
      <c r="M60" s="118">
        <f>IFERROR(VLOOKUP(B60,BD_CONTROL!$A$5:$M$4235,13,0),"")</f>
        <v>0</v>
      </c>
    </row>
    <row r="61" spans="1:13" ht="15" customHeight="1">
      <c r="A61" s="42">
        <v>56</v>
      </c>
      <c r="B61" s="42" t="s">
        <v>1853</v>
      </c>
      <c r="C61" s="43" t="s">
        <v>1854</v>
      </c>
      <c r="D61" s="42" t="s">
        <v>1530</v>
      </c>
      <c r="E61" s="43" t="s">
        <v>1607</v>
      </c>
      <c r="F61" s="43" t="s">
        <v>1855</v>
      </c>
      <c r="G61" s="42" t="s">
        <v>109</v>
      </c>
      <c r="H61" s="43" t="s">
        <v>1532</v>
      </c>
      <c r="I61" s="43" t="s">
        <v>104</v>
      </c>
      <c r="J61" s="55"/>
      <c r="K61" s="119">
        <f>IFERROR(VLOOKUP(B61,BD_CONTROL!$A$5:$M$4235,11,0),"")</f>
        <v>0</v>
      </c>
      <c r="L61" s="120">
        <f>IFERROR(VLOOKUP(B61,BD_CONTROL!$A$5:$M$4235,12,0),"")</f>
        <v>0</v>
      </c>
      <c r="M61" s="121">
        <f>IFERROR(VLOOKUP(B61,BD_CONTROL!$A$5:$M$4235,13,0),"")</f>
        <v>0</v>
      </c>
    </row>
    <row r="62" spans="1:13" ht="15" customHeight="1">
      <c r="A62" s="39">
        <v>57</v>
      </c>
      <c r="B62" s="39" t="s">
        <v>1856</v>
      </c>
      <c r="C62" s="40" t="s">
        <v>1857</v>
      </c>
      <c r="D62" s="39" t="s">
        <v>1530</v>
      </c>
      <c r="E62" s="40" t="s">
        <v>1639</v>
      </c>
      <c r="F62" s="40" t="s">
        <v>1858</v>
      </c>
      <c r="G62" s="39" t="s">
        <v>109</v>
      </c>
      <c r="H62" s="40" t="s">
        <v>1532</v>
      </c>
      <c r="I62" s="40" t="s">
        <v>104</v>
      </c>
      <c r="J62" s="50"/>
      <c r="K62" s="116">
        <f>IFERROR(VLOOKUP(B62,BD_CONTROL!$A$5:$M$4235,11,0),"")</f>
        <v>0</v>
      </c>
      <c r="L62" s="117">
        <f>IFERROR(VLOOKUP(B62,BD_CONTROL!$A$5:$M$4235,12,0),"")</f>
        <v>0</v>
      </c>
      <c r="M62" s="118">
        <f>IFERROR(VLOOKUP(B62,BD_CONTROL!$A$5:$M$4235,13,0),"")</f>
        <v>0</v>
      </c>
    </row>
    <row r="63" spans="1:13" ht="15" customHeight="1">
      <c r="A63" s="42">
        <v>58</v>
      </c>
      <c r="B63" s="42" t="s">
        <v>1859</v>
      </c>
      <c r="C63" s="43" t="s">
        <v>1860</v>
      </c>
      <c r="D63" s="42" t="s">
        <v>1530</v>
      </c>
      <c r="E63" s="43" t="s">
        <v>1531</v>
      </c>
      <c r="F63" s="43" t="s">
        <v>1861</v>
      </c>
      <c r="G63" s="42" t="s">
        <v>109</v>
      </c>
      <c r="H63" s="43" t="s">
        <v>1532</v>
      </c>
      <c r="I63" s="43" t="s">
        <v>104</v>
      </c>
      <c r="J63" s="55"/>
      <c r="K63" s="119" t="str">
        <f>IFERROR(VLOOKUP(B63,BD_CONTROL!$A$5:$M$4235,11,0),"")</f>
        <v>Instalado - Sin Señal</v>
      </c>
      <c r="L63" s="120">
        <f>IFERROR(VLOOKUP(B63,BD_CONTROL!$A$5:$M$4235,12,0),"")</f>
        <v>46142</v>
      </c>
      <c r="M63" s="121">
        <f>IFERROR(VLOOKUP(B63,BD_CONTROL!$A$5:$M$4235,13,0),"")</f>
        <v>0</v>
      </c>
    </row>
    <row r="64" spans="1:13" ht="15" customHeight="1">
      <c r="A64" s="39">
        <v>59</v>
      </c>
      <c r="B64" s="39" t="s">
        <v>1862</v>
      </c>
      <c r="C64" s="40" t="s">
        <v>1863</v>
      </c>
      <c r="D64" s="39" t="s">
        <v>1530</v>
      </c>
      <c r="E64" s="40" t="s">
        <v>1531</v>
      </c>
      <c r="F64" s="40" t="s">
        <v>1864</v>
      </c>
      <c r="G64" s="39" t="s">
        <v>109</v>
      </c>
      <c r="H64" s="40" t="s">
        <v>1532</v>
      </c>
      <c r="I64" s="40" t="s">
        <v>104</v>
      </c>
      <c r="J64" s="50"/>
      <c r="K64" s="116" t="str">
        <f>IFERROR(VLOOKUP(B64,BD_CONTROL!$A$5:$M$4235,11,0),"")</f>
        <v>Instalado - Operando</v>
      </c>
      <c r="L64" s="117">
        <f>IFERROR(VLOOKUP(B64,BD_CONTROL!$A$5:$M$4235,12,0),"")</f>
        <v>46149</v>
      </c>
      <c r="M64" s="118">
        <f>IFERROR(VLOOKUP(B64,BD_CONTROL!$A$5:$M$4235,13,0),"")</f>
        <v>0</v>
      </c>
    </row>
    <row r="65" spans="1:13" ht="15" customHeight="1">
      <c r="A65" s="42">
        <v>60</v>
      </c>
      <c r="B65" s="42" t="s">
        <v>1865</v>
      </c>
      <c r="C65" s="43" t="s">
        <v>1866</v>
      </c>
      <c r="D65" s="42" t="s">
        <v>1530</v>
      </c>
      <c r="E65" s="43" t="s">
        <v>1531</v>
      </c>
      <c r="F65" s="43" t="s">
        <v>1867</v>
      </c>
      <c r="G65" s="42" t="s">
        <v>109</v>
      </c>
      <c r="H65" s="43" t="s">
        <v>1532</v>
      </c>
      <c r="I65" s="43" t="s">
        <v>104</v>
      </c>
      <c r="J65" s="55"/>
      <c r="K65" s="119">
        <f>IFERROR(VLOOKUP(B65,BD_CONTROL!$A$5:$M$4235,11,0),"")</f>
        <v>0</v>
      </c>
      <c r="L65" s="120">
        <f>IFERROR(VLOOKUP(B65,BD_CONTROL!$A$5:$M$4235,12,0),"")</f>
        <v>0</v>
      </c>
      <c r="M65" s="121">
        <f>IFERROR(VLOOKUP(B65,BD_CONTROL!$A$5:$M$4235,13,0),"")</f>
        <v>0</v>
      </c>
    </row>
    <row r="66" spans="1:13" ht="15" customHeight="1">
      <c r="A66" s="39">
        <v>61</v>
      </c>
      <c r="B66" s="39" t="s">
        <v>1868</v>
      </c>
      <c r="C66" s="40" t="s">
        <v>1869</v>
      </c>
      <c r="D66" s="39" t="s">
        <v>1530</v>
      </c>
      <c r="E66" s="40" t="s">
        <v>1870</v>
      </c>
      <c r="F66" s="40" t="s">
        <v>1871</v>
      </c>
      <c r="G66" s="39" t="s">
        <v>109</v>
      </c>
      <c r="H66" s="40" t="s">
        <v>1532</v>
      </c>
      <c r="I66" s="40" t="s">
        <v>104</v>
      </c>
      <c r="J66" s="50"/>
      <c r="K66" s="116">
        <f>IFERROR(VLOOKUP(B66,BD_CONTROL!$A$5:$M$4235,11,0),"")</f>
        <v>0</v>
      </c>
      <c r="L66" s="117">
        <f>IFERROR(VLOOKUP(B66,BD_CONTROL!$A$5:$M$4235,12,0),"")</f>
        <v>0</v>
      </c>
      <c r="M66" s="118">
        <f>IFERROR(VLOOKUP(B66,BD_CONTROL!$A$5:$M$4235,13,0),"")</f>
        <v>0</v>
      </c>
    </row>
    <row r="67" spans="1:13" ht="15" customHeight="1">
      <c r="A67" s="42">
        <v>62</v>
      </c>
      <c r="B67" s="42" t="s">
        <v>1872</v>
      </c>
      <c r="C67" s="43" t="s">
        <v>1873</v>
      </c>
      <c r="D67" s="42" t="s">
        <v>1530</v>
      </c>
      <c r="E67" s="43" t="s">
        <v>1578</v>
      </c>
      <c r="F67" s="43" t="s">
        <v>1874</v>
      </c>
      <c r="G67" s="42" t="s">
        <v>109</v>
      </c>
      <c r="H67" s="43" t="s">
        <v>1532</v>
      </c>
      <c r="I67" s="43" t="s">
        <v>104</v>
      </c>
      <c r="J67" s="55"/>
      <c r="K67" s="119" t="str">
        <f>IFERROR(VLOOKUP(B67,BD_CONTROL!$A$5:$M$4235,11,0),"")</f>
        <v>Instalado - Operando</v>
      </c>
      <c r="L67" s="120">
        <f>IFERROR(VLOOKUP(B67,BD_CONTROL!$A$5:$M$4235,12,0),"")</f>
        <v>46140</v>
      </c>
      <c r="M67" s="121">
        <f>IFERROR(VLOOKUP(B67,BD_CONTROL!$A$5:$M$4235,13,0),"")</f>
        <v>0</v>
      </c>
    </row>
    <row r="68" spans="1:13" ht="15" customHeight="1">
      <c r="A68" s="39">
        <v>63</v>
      </c>
      <c r="B68" s="39" t="s">
        <v>1875</v>
      </c>
      <c r="C68" s="40" t="s">
        <v>1876</v>
      </c>
      <c r="D68" s="39" t="s">
        <v>1530</v>
      </c>
      <c r="E68" s="40" t="s">
        <v>1578</v>
      </c>
      <c r="F68" s="40" t="s">
        <v>1877</v>
      </c>
      <c r="G68" s="39" t="s">
        <v>109</v>
      </c>
      <c r="H68" s="40" t="s">
        <v>1532</v>
      </c>
      <c r="I68" s="40" t="s">
        <v>104</v>
      </c>
      <c r="J68" s="50"/>
      <c r="K68" s="116" t="str">
        <f>IFERROR(VLOOKUP(B68,BD_CONTROL!$A$5:$M$4235,11,0),"")</f>
        <v>Instalado - Operando</v>
      </c>
      <c r="L68" s="117">
        <f>IFERROR(VLOOKUP(B68,BD_CONTROL!$A$5:$M$4235,12,0),"")</f>
        <v>46148</v>
      </c>
      <c r="M68" s="118">
        <f>IFERROR(VLOOKUP(B68,BD_CONTROL!$A$5:$M$4235,13,0),"")</f>
        <v>0</v>
      </c>
    </row>
    <row r="69" spans="1:13" ht="15" customHeight="1">
      <c r="A69" s="42">
        <v>64</v>
      </c>
      <c r="B69" s="42" t="s">
        <v>1911</v>
      </c>
      <c r="C69" s="43" t="s">
        <v>1912</v>
      </c>
      <c r="D69" s="42" t="s">
        <v>1530</v>
      </c>
      <c r="E69" s="43" t="s">
        <v>1549</v>
      </c>
      <c r="F69" s="43" t="s">
        <v>1912</v>
      </c>
      <c r="G69" s="42" t="s">
        <v>109</v>
      </c>
      <c r="H69" s="43" t="s">
        <v>1532</v>
      </c>
      <c r="I69" s="43" t="s">
        <v>104</v>
      </c>
      <c r="J69" s="55"/>
      <c r="K69" s="119">
        <f>IFERROR(VLOOKUP(B69,BD_CONTROL!$A$5:$M$4235,11,0),"")</f>
        <v>0</v>
      </c>
      <c r="L69" s="120">
        <f>IFERROR(VLOOKUP(B69,BD_CONTROL!$A$5:$M$4235,12,0),"")</f>
        <v>0</v>
      </c>
      <c r="M69" s="121">
        <f>IFERROR(VLOOKUP(B69,BD_CONTROL!$A$5:$M$4235,13,0),"")</f>
        <v>0</v>
      </c>
    </row>
    <row r="70" spans="1:13" ht="15" customHeight="1">
      <c r="A70" s="39">
        <v>65</v>
      </c>
      <c r="B70" s="39" t="s">
        <v>1913</v>
      </c>
      <c r="C70" s="40" t="s">
        <v>1914</v>
      </c>
      <c r="D70" s="39" t="s">
        <v>1530</v>
      </c>
      <c r="E70" s="40" t="s">
        <v>1549</v>
      </c>
      <c r="F70" s="40" t="s">
        <v>1914</v>
      </c>
      <c r="G70" s="39" t="s">
        <v>109</v>
      </c>
      <c r="H70" s="40" t="s">
        <v>1532</v>
      </c>
      <c r="I70" s="40" t="s">
        <v>104</v>
      </c>
      <c r="J70" s="50"/>
      <c r="K70" s="116" t="str">
        <f>IFERROR(VLOOKUP(B70,BD_CONTROL!$A$5:$M$4235,11,0),"")</f>
        <v>Instalado - Operando</v>
      </c>
      <c r="L70" s="117">
        <f>IFERROR(VLOOKUP(B70,BD_CONTROL!$A$5:$M$4235,12,0),"")</f>
        <v>46148</v>
      </c>
      <c r="M70" s="118">
        <f>IFERROR(VLOOKUP(B70,BD_CONTROL!$A$5:$M$4235,13,0),"")</f>
        <v>0</v>
      </c>
    </row>
    <row r="71" spans="1:13" ht="15" customHeight="1">
      <c r="A71" s="42">
        <v>66</v>
      </c>
      <c r="B71" s="42" t="s">
        <v>1915</v>
      </c>
      <c r="C71" s="43" t="s">
        <v>1916</v>
      </c>
      <c r="D71" s="42" t="s">
        <v>1530</v>
      </c>
      <c r="E71" s="43" t="s">
        <v>1687</v>
      </c>
      <c r="F71" s="43" t="s">
        <v>1917</v>
      </c>
      <c r="G71" s="42" t="s">
        <v>109</v>
      </c>
      <c r="H71" s="43" t="s">
        <v>1532</v>
      </c>
      <c r="I71" s="43" t="s">
        <v>104</v>
      </c>
      <c r="J71" s="55"/>
      <c r="K71" s="119" t="str">
        <f>IFERROR(VLOOKUP(B71,BD_CONTROL!$A$5:$M$4235,11,0),"")</f>
        <v>Instalado - Operando</v>
      </c>
      <c r="L71" s="120">
        <f>IFERROR(VLOOKUP(B71,BD_CONTROL!$A$5:$M$4235,12,0),"")</f>
        <v>46142</v>
      </c>
      <c r="M71" s="121">
        <f>IFERROR(VLOOKUP(B71,BD_CONTROL!$A$5:$M$4235,13,0),"")</f>
        <v>0</v>
      </c>
    </row>
    <row r="72" spans="1:13" ht="15" customHeight="1">
      <c r="A72" s="39">
        <v>67</v>
      </c>
      <c r="B72" s="39" t="s">
        <v>1928</v>
      </c>
      <c r="C72" s="40" t="s">
        <v>1929</v>
      </c>
      <c r="D72" s="39" t="s">
        <v>1530</v>
      </c>
      <c r="E72" s="40" t="s">
        <v>1707</v>
      </c>
      <c r="F72" s="40" t="s">
        <v>1930</v>
      </c>
      <c r="G72" s="39" t="s">
        <v>109</v>
      </c>
      <c r="H72" s="40" t="s">
        <v>1532</v>
      </c>
      <c r="I72" s="40" t="s">
        <v>104</v>
      </c>
      <c r="J72" s="50"/>
      <c r="K72" s="116">
        <f>IFERROR(VLOOKUP(B72,BD_CONTROL!$A$5:$M$4235,11,0),"")</f>
        <v>0</v>
      </c>
      <c r="L72" s="117">
        <f>IFERROR(VLOOKUP(B72,BD_CONTROL!$A$5:$M$4235,12,0),"")</f>
        <v>0</v>
      </c>
      <c r="M72" s="118">
        <f>IFERROR(VLOOKUP(B72,BD_CONTROL!$A$5:$M$4235,13,0),"")</f>
        <v>0</v>
      </c>
    </row>
    <row r="73" spans="1:13" ht="15" customHeight="1">
      <c r="A73" s="42">
        <v>68</v>
      </c>
      <c r="B73" s="42" t="s">
        <v>1931</v>
      </c>
      <c r="C73" s="43" t="s">
        <v>1932</v>
      </c>
      <c r="D73" s="42" t="s">
        <v>1530</v>
      </c>
      <c r="E73" s="43" t="s">
        <v>1687</v>
      </c>
      <c r="F73" s="43" t="s">
        <v>1933</v>
      </c>
      <c r="G73" s="42" t="s">
        <v>109</v>
      </c>
      <c r="H73" s="43" t="s">
        <v>1532</v>
      </c>
      <c r="I73" s="43" t="s">
        <v>104</v>
      </c>
      <c r="J73" s="55"/>
      <c r="K73" s="119" t="str">
        <f>IFERROR(VLOOKUP(B73,BD_CONTROL!$A$5:$M$4235,11,0),"")</f>
        <v>Instalado - Operando</v>
      </c>
      <c r="L73" s="120">
        <f>IFERROR(VLOOKUP(B73,BD_CONTROL!$A$5:$M$4235,12,0),"")</f>
        <v>46139</v>
      </c>
      <c r="M73" s="121">
        <f>IFERROR(VLOOKUP(B73,BD_CONTROL!$A$5:$M$4235,13,0),"")</f>
        <v>0</v>
      </c>
    </row>
    <row r="74" spans="1:13" ht="15" customHeight="1">
      <c r="A74" s="39">
        <v>69</v>
      </c>
      <c r="B74" s="39" t="s">
        <v>1934</v>
      </c>
      <c r="C74" s="40" t="s">
        <v>1935</v>
      </c>
      <c r="D74" s="39" t="s">
        <v>1530</v>
      </c>
      <c r="E74" s="40" t="s">
        <v>1707</v>
      </c>
      <c r="F74" s="40" t="s">
        <v>1936</v>
      </c>
      <c r="G74" s="39" t="s">
        <v>109</v>
      </c>
      <c r="H74" s="40" t="s">
        <v>1532</v>
      </c>
      <c r="I74" s="40" t="s">
        <v>104</v>
      </c>
      <c r="J74" s="50"/>
      <c r="K74" s="116">
        <f>IFERROR(VLOOKUP(B74,BD_CONTROL!$A$5:$M$4235,11,0),"")</f>
        <v>0</v>
      </c>
      <c r="L74" s="117">
        <f>IFERROR(VLOOKUP(B74,BD_CONTROL!$A$5:$M$4235,12,0),"")</f>
        <v>0</v>
      </c>
      <c r="M74" s="118">
        <f>IFERROR(VLOOKUP(B74,BD_CONTROL!$A$5:$M$4235,13,0),"")</f>
        <v>0</v>
      </c>
    </row>
    <row r="75" spans="1:13" ht="15" customHeight="1">
      <c r="A75" s="42">
        <v>70</v>
      </c>
      <c r="B75" s="42" t="s">
        <v>1937</v>
      </c>
      <c r="C75" s="43" t="s">
        <v>1938</v>
      </c>
      <c r="D75" s="42" t="s">
        <v>1530</v>
      </c>
      <c r="E75" s="43" t="s">
        <v>1710</v>
      </c>
      <c r="F75" s="43" t="s">
        <v>1710</v>
      </c>
      <c r="G75" s="42" t="s">
        <v>102</v>
      </c>
      <c r="H75" s="43" t="s">
        <v>1532</v>
      </c>
      <c r="I75" s="43" t="s">
        <v>104</v>
      </c>
      <c r="J75" s="55"/>
      <c r="K75" s="119">
        <f>IFERROR(VLOOKUP(B75,BD_CONTROL!$A$5:$M$4235,11,0),"")</f>
        <v>0</v>
      </c>
      <c r="L75" s="120">
        <f>IFERROR(VLOOKUP(B75,BD_CONTROL!$A$5:$M$4235,12,0),"")</f>
        <v>0</v>
      </c>
      <c r="M75" s="121">
        <f>IFERROR(VLOOKUP(B75,BD_CONTROL!$A$5:$M$4235,13,0),"")</f>
        <v>0</v>
      </c>
    </row>
    <row r="76" spans="1:13" ht="15" customHeight="1">
      <c r="A76" s="39">
        <v>71</v>
      </c>
      <c r="B76" s="39" t="s">
        <v>1939</v>
      </c>
      <c r="C76" s="40" t="s">
        <v>1940</v>
      </c>
      <c r="D76" s="39" t="s">
        <v>1530</v>
      </c>
      <c r="E76" s="40" t="s">
        <v>1710</v>
      </c>
      <c r="F76" s="40" t="s">
        <v>1941</v>
      </c>
      <c r="G76" s="39" t="s">
        <v>109</v>
      </c>
      <c r="H76" s="40" t="s">
        <v>1532</v>
      </c>
      <c r="I76" s="40" t="s">
        <v>104</v>
      </c>
      <c r="J76" s="50"/>
      <c r="K76" s="116">
        <f>IFERROR(VLOOKUP(B76,BD_CONTROL!$A$5:$M$4235,11,0),"")</f>
        <v>0</v>
      </c>
      <c r="L76" s="117">
        <f>IFERROR(VLOOKUP(B76,BD_CONTROL!$A$5:$M$4235,12,0),"")</f>
        <v>0</v>
      </c>
      <c r="M76" s="118">
        <f>IFERROR(VLOOKUP(B76,BD_CONTROL!$A$5:$M$4235,13,0),"")</f>
        <v>0</v>
      </c>
    </row>
    <row r="77" spans="1:13" ht="15" customHeight="1">
      <c r="A77" s="42">
        <v>72</v>
      </c>
      <c r="B77" s="42" t="s">
        <v>1942</v>
      </c>
      <c r="C77" s="43" t="s">
        <v>1943</v>
      </c>
      <c r="D77" s="42" t="s">
        <v>1530</v>
      </c>
      <c r="E77" s="43" t="s">
        <v>1710</v>
      </c>
      <c r="F77" s="43" t="s">
        <v>1944</v>
      </c>
      <c r="G77" s="42" t="s">
        <v>109</v>
      </c>
      <c r="H77" s="43" t="s">
        <v>1532</v>
      </c>
      <c r="I77" s="43" t="s">
        <v>104</v>
      </c>
      <c r="J77" s="55"/>
      <c r="K77" s="119">
        <f>IFERROR(VLOOKUP(B77,BD_CONTROL!$A$5:$M$4235,11,0),"")</f>
        <v>0</v>
      </c>
      <c r="L77" s="120">
        <f>IFERROR(VLOOKUP(B77,BD_CONTROL!$A$5:$M$4235,12,0),"")</f>
        <v>0</v>
      </c>
      <c r="M77" s="121">
        <f>IFERROR(VLOOKUP(B77,BD_CONTROL!$A$5:$M$4235,13,0),"")</f>
        <v>0</v>
      </c>
    </row>
    <row r="78" spans="1:13" ht="15" customHeight="1">
      <c r="A78" s="39">
        <v>73</v>
      </c>
      <c r="B78" s="39" t="s">
        <v>1945</v>
      </c>
      <c r="C78" s="40" t="s">
        <v>1946</v>
      </c>
      <c r="D78" s="39" t="s">
        <v>1530</v>
      </c>
      <c r="E78" s="40" t="s">
        <v>1719</v>
      </c>
      <c r="F78" s="40" t="s">
        <v>1946</v>
      </c>
      <c r="G78" s="39" t="s">
        <v>109</v>
      </c>
      <c r="H78" s="40" t="s">
        <v>1532</v>
      </c>
      <c r="I78" s="40" t="s">
        <v>104</v>
      </c>
      <c r="J78" s="50"/>
      <c r="K78" s="116">
        <f>IFERROR(VLOOKUP(B78,BD_CONTROL!$A$5:$M$4235,11,0),"")</f>
        <v>0</v>
      </c>
      <c r="L78" s="117">
        <f>IFERROR(VLOOKUP(B78,BD_CONTROL!$A$5:$M$4235,12,0),"")</f>
        <v>0</v>
      </c>
      <c r="M78" s="118">
        <f>IFERROR(VLOOKUP(B78,BD_CONTROL!$A$5:$M$4235,13,0),"")</f>
        <v>0</v>
      </c>
    </row>
    <row r="79" spans="1:13" ht="15" customHeight="1">
      <c r="A79" s="42">
        <v>74</v>
      </c>
      <c r="B79" s="42" t="s">
        <v>1947</v>
      </c>
      <c r="C79" s="43" t="s">
        <v>1948</v>
      </c>
      <c r="D79" s="42" t="s">
        <v>1530</v>
      </c>
      <c r="E79" s="43" t="s">
        <v>1949</v>
      </c>
      <c r="F79" s="43" t="s">
        <v>1950</v>
      </c>
      <c r="G79" s="42" t="s">
        <v>109</v>
      </c>
      <c r="H79" s="43" t="s">
        <v>1532</v>
      </c>
      <c r="I79" s="43" t="s">
        <v>104</v>
      </c>
      <c r="J79" s="55"/>
      <c r="K79" s="119" t="str">
        <f>IFERROR(VLOOKUP(B79,BD_CONTROL!$A$5:$M$4235,11,0),"")</f>
        <v>Instalado - Operando</v>
      </c>
      <c r="L79" s="120">
        <f>IFERROR(VLOOKUP(B79,BD_CONTROL!$A$5:$M$4235,12,0),"")</f>
        <v>46140</v>
      </c>
      <c r="M79" s="121">
        <f>IFERROR(VLOOKUP(B79,BD_CONTROL!$A$5:$M$4235,13,0),"")</f>
        <v>0</v>
      </c>
    </row>
    <row r="80" spans="1:13" ht="15" customHeight="1">
      <c r="A80" s="39">
        <v>75</v>
      </c>
      <c r="B80" s="39" t="s">
        <v>1953</v>
      </c>
      <c r="C80" s="40" t="s">
        <v>1954</v>
      </c>
      <c r="D80" s="39" t="s">
        <v>1530</v>
      </c>
      <c r="E80" s="40" t="s">
        <v>1549</v>
      </c>
      <c r="F80" s="40" t="s">
        <v>1955</v>
      </c>
      <c r="G80" s="39" t="s">
        <v>109</v>
      </c>
      <c r="H80" s="40" t="s">
        <v>1532</v>
      </c>
      <c r="I80" s="40" t="s">
        <v>104</v>
      </c>
      <c r="J80" s="50"/>
      <c r="K80" s="116">
        <f>IFERROR(VLOOKUP(B80,BD_CONTROL!$A$5:$M$4235,11,0),"")</f>
        <v>0</v>
      </c>
      <c r="L80" s="117">
        <f>IFERROR(VLOOKUP(B80,BD_CONTROL!$A$5:$M$4235,12,0),"")</f>
        <v>0</v>
      </c>
      <c r="M80" s="118">
        <f>IFERROR(VLOOKUP(B80,BD_CONTROL!$A$5:$M$4235,13,0),"")</f>
        <v>0</v>
      </c>
    </row>
    <row r="81" spans="1:13" ht="15" customHeight="1">
      <c r="A81" s="42">
        <v>76</v>
      </c>
      <c r="B81" s="42" t="s">
        <v>1956</v>
      </c>
      <c r="C81" s="43" t="s">
        <v>1957</v>
      </c>
      <c r="D81" s="42" t="s">
        <v>1530</v>
      </c>
      <c r="E81" s="43" t="s">
        <v>1683</v>
      </c>
      <c r="F81" s="43" t="s">
        <v>1683</v>
      </c>
      <c r="G81" s="42" t="s">
        <v>109</v>
      </c>
      <c r="H81" s="43" t="s">
        <v>1532</v>
      </c>
      <c r="I81" s="43" t="s">
        <v>104</v>
      </c>
      <c r="J81" s="55"/>
      <c r="K81" s="119" t="str">
        <f>IFERROR(VLOOKUP(B81,BD_CONTROL!$A$5:$M$4235,11,0),"")</f>
        <v>Instalado - Operando</v>
      </c>
      <c r="L81" s="120">
        <f>IFERROR(VLOOKUP(B81,BD_CONTROL!$A$5:$M$4235,12,0),"")</f>
        <v>46139</v>
      </c>
      <c r="M81" s="121">
        <f>IFERROR(VLOOKUP(B81,BD_CONTROL!$A$5:$M$4235,13,0),"")</f>
        <v>0</v>
      </c>
    </row>
    <row r="82" spans="1:13" ht="15" customHeight="1">
      <c r="A82" s="39">
        <v>77</v>
      </c>
      <c r="B82" s="39" t="s">
        <v>1958</v>
      </c>
      <c r="C82" s="40" t="s">
        <v>1959</v>
      </c>
      <c r="D82" s="39" t="s">
        <v>1530</v>
      </c>
      <c r="E82" s="40" t="s">
        <v>1683</v>
      </c>
      <c r="F82" s="40" t="s">
        <v>1960</v>
      </c>
      <c r="G82" s="39" t="s">
        <v>109</v>
      </c>
      <c r="H82" s="40" t="s">
        <v>1532</v>
      </c>
      <c r="I82" s="40" t="s">
        <v>104</v>
      </c>
      <c r="J82" s="50"/>
      <c r="K82" s="116">
        <f>IFERROR(VLOOKUP(B82,BD_CONTROL!$A$5:$M$4235,11,0),"")</f>
        <v>0</v>
      </c>
      <c r="L82" s="117">
        <f>IFERROR(VLOOKUP(B82,BD_CONTROL!$A$5:$M$4235,12,0),"")</f>
        <v>0</v>
      </c>
      <c r="M82" s="118">
        <f>IFERROR(VLOOKUP(B82,BD_CONTROL!$A$5:$M$4235,13,0),"")</f>
        <v>0</v>
      </c>
    </row>
    <row r="83" spans="1:13" ht="15" customHeight="1">
      <c r="A83" s="42">
        <v>78</v>
      </c>
      <c r="B83" s="42" t="s">
        <v>1961</v>
      </c>
      <c r="C83" s="43" t="s">
        <v>1962</v>
      </c>
      <c r="D83" s="42" t="s">
        <v>1530</v>
      </c>
      <c r="E83" s="43" t="s">
        <v>1963</v>
      </c>
      <c r="F83" s="43" t="s">
        <v>1790</v>
      </c>
      <c r="G83" s="42" t="s">
        <v>109</v>
      </c>
      <c r="H83" s="43" t="s">
        <v>1532</v>
      </c>
      <c r="I83" s="43" t="s">
        <v>104</v>
      </c>
      <c r="J83" s="55"/>
      <c r="K83" s="119" t="str">
        <f>IFERROR(VLOOKUP(B83,BD_CONTROL!$A$5:$M$4235,11,0),"")</f>
        <v>Instalado - Operando</v>
      </c>
      <c r="L83" s="120">
        <f>IFERROR(VLOOKUP(B83,BD_CONTROL!$A$5:$M$4235,12,0),"")</f>
        <v>46148</v>
      </c>
      <c r="M83" s="121">
        <f>IFERROR(VLOOKUP(B83,BD_CONTROL!$A$5:$M$4235,13,0),"")</f>
        <v>0</v>
      </c>
    </row>
    <row r="84" spans="1:13" ht="15" customHeight="1">
      <c r="A84" s="39">
        <v>79</v>
      </c>
      <c r="B84" s="39" t="s">
        <v>1964</v>
      </c>
      <c r="C84" s="40" t="s">
        <v>1965</v>
      </c>
      <c r="D84" s="39" t="s">
        <v>1530</v>
      </c>
      <c r="E84" s="40" t="s">
        <v>1966</v>
      </c>
      <c r="F84" s="40" t="s">
        <v>1967</v>
      </c>
      <c r="G84" s="39" t="s">
        <v>109</v>
      </c>
      <c r="H84" s="40" t="s">
        <v>1532</v>
      </c>
      <c r="I84" s="40" t="s">
        <v>104</v>
      </c>
      <c r="J84" s="50"/>
      <c r="K84" s="116" t="str">
        <f>IFERROR(VLOOKUP(B84,BD_CONTROL!$A$5:$M$4235,11,0),"")</f>
        <v>Instalado - Sin Señal</v>
      </c>
      <c r="L84" s="117">
        <f>IFERROR(VLOOKUP(B84,BD_CONTROL!$A$5:$M$4235,12,0),"")</f>
        <v>46140</v>
      </c>
      <c r="M84" s="118" t="str">
        <f>IFERROR(VLOOKUP(B84,BD_CONTROL!$A$5:$M$4235,13,0),"")</f>
        <v>INSTALADO= Instalado, no operando, con reporte a mesa de ayuda</v>
      </c>
    </row>
    <row r="85" spans="1:13" ht="15" customHeight="1">
      <c r="A85" s="42">
        <v>80</v>
      </c>
      <c r="B85" s="42" t="s">
        <v>1968</v>
      </c>
      <c r="C85" s="43" t="s">
        <v>1969</v>
      </c>
      <c r="D85" s="42" t="s">
        <v>1530</v>
      </c>
      <c r="E85" s="43" t="s">
        <v>1731</v>
      </c>
      <c r="F85" s="43" t="s">
        <v>1970</v>
      </c>
      <c r="G85" s="42" t="s">
        <v>109</v>
      </c>
      <c r="H85" s="43" t="s">
        <v>1532</v>
      </c>
      <c r="I85" s="43" t="s">
        <v>104</v>
      </c>
      <c r="J85" s="55"/>
      <c r="K85" s="119" t="str">
        <f>IFERROR(VLOOKUP(B85,BD_CONTROL!$A$5:$M$4235,11,0),"")</f>
        <v>Instalado - Operando</v>
      </c>
      <c r="L85" s="120">
        <f>IFERROR(VLOOKUP(B85,BD_CONTROL!$A$5:$M$4235,12,0),"")</f>
        <v>46141</v>
      </c>
      <c r="M85" s="121">
        <f>IFERROR(VLOOKUP(B85,BD_CONTROL!$A$5:$M$4235,13,0),"")</f>
        <v>0</v>
      </c>
    </row>
    <row r="86" spans="1:13" ht="15" customHeight="1">
      <c r="A86" s="39">
        <v>81</v>
      </c>
      <c r="B86" s="39" t="s">
        <v>1971</v>
      </c>
      <c r="C86" s="40" t="s">
        <v>1972</v>
      </c>
      <c r="D86" s="39" t="s">
        <v>1530</v>
      </c>
      <c r="E86" s="40" t="s">
        <v>1734</v>
      </c>
      <c r="F86" s="40" t="s">
        <v>1973</v>
      </c>
      <c r="G86" s="39" t="s">
        <v>109</v>
      </c>
      <c r="H86" s="40" t="s">
        <v>1532</v>
      </c>
      <c r="I86" s="40" t="s">
        <v>104</v>
      </c>
      <c r="J86" s="50"/>
      <c r="K86" s="116" t="str">
        <f>IFERROR(VLOOKUP(B86,BD_CONTROL!$A$5:$M$4235,11,0),"")</f>
        <v>Instalado - Operando</v>
      </c>
      <c r="L86" s="117">
        <f>IFERROR(VLOOKUP(B86,BD_CONTROL!$A$5:$M$4235,12,0),"")</f>
        <v>46148</v>
      </c>
      <c r="M86" s="118">
        <f>IFERROR(VLOOKUP(B86,BD_CONTROL!$A$5:$M$4235,13,0),"")</f>
        <v>0</v>
      </c>
    </row>
    <row r="87" spans="1:13" ht="15" customHeight="1">
      <c r="A87" s="42">
        <v>82</v>
      </c>
      <c r="B87" s="42" t="s">
        <v>1974</v>
      </c>
      <c r="C87" s="43" t="s">
        <v>1975</v>
      </c>
      <c r="D87" s="42" t="s">
        <v>1530</v>
      </c>
      <c r="E87" s="43" t="s">
        <v>1600</v>
      </c>
      <c r="F87" s="43" t="s">
        <v>1976</v>
      </c>
      <c r="G87" s="42" t="s">
        <v>109</v>
      </c>
      <c r="H87" s="43" t="s">
        <v>1532</v>
      </c>
      <c r="I87" s="43" t="s">
        <v>104</v>
      </c>
      <c r="J87" s="55"/>
      <c r="K87" s="119" t="str">
        <f>IFERROR(VLOOKUP(B87,BD_CONTROL!$A$5:$M$4235,11,0),"")</f>
        <v>Instalado - Operando</v>
      </c>
      <c r="L87" s="120">
        <f>IFERROR(VLOOKUP(B87,BD_CONTROL!$A$5:$M$4235,12,0),"")</f>
        <v>46149</v>
      </c>
      <c r="M87" s="121">
        <f>IFERROR(VLOOKUP(B87,BD_CONTROL!$A$5:$M$4235,13,0),"")</f>
        <v>0</v>
      </c>
    </row>
    <row r="88" spans="1:13" ht="15" customHeight="1">
      <c r="A88" s="39">
        <v>83</v>
      </c>
      <c r="B88" s="39" t="s">
        <v>1977</v>
      </c>
      <c r="C88" s="40" t="s">
        <v>1978</v>
      </c>
      <c r="D88" s="39" t="s">
        <v>1530</v>
      </c>
      <c r="E88" s="40" t="s">
        <v>1979</v>
      </c>
      <c r="F88" s="40" t="s">
        <v>1980</v>
      </c>
      <c r="G88" s="39" t="s">
        <v>109</v>
      </c>
      <c r="H88" s="40" t="s">
        <v>1532</v>
      </c>
      <c r="I88" s="40" t="s">
        <v>104</v>
      </c>
      <c r="J88" s="50"/>
      <c r="K88" s="116" t="str">
        <f>IFERROR(VLOOKUP(B88,BD_CONTROL!$A$5:$M$4235,11,0),"")</f>
        <v>Instalado - Operando</v>
      </c>
      <c r="L88" s="117">
        <f>IFERROR(VLOOKUP(B88,BD_CONTROL!$A$5:$M$4235,12,0),"")</f>
        <v>46147</v>
      </c>
      <c r="M88" s="118">
        <f>IFERROR(VLOOKUP(B88,BD_CONTROL!$A$5:$M$4235,13,0),"")</f>
        <v>0</v>
      </c>
    </row>
    <row r="89" spans="1:13" ht="15" customHeight="1">
      <c r="A89" s="42">
        <v>84</v>
      </c>
      <c r="B89" s="42" t="s">
        <v>1981</v>
      </c>
      <c r="C89" s="43" t="s">
        <v>1982</v>
      </c>
      <c r="D89" s="42" t="s">
        <v>1530</v>
      </c>
      <c r="E89" s="43" t="s">
        <v>1749</v>
      </c>
      <c r="F89" s="43" t="s">
        <v>1983</v>
      </c>
      <c r="G89" s="42" t="s">
        <v>109</v>
      </c>
      <c r="H89" s="43" t="s">
        <v>1532</v>
      </c>
      <c r="I89" s="43" t="s">
        <v>104</v>
      </c>
      <c r="J89" s="55"/>
      <c r="K89" s="119" t="str">
        <f>IFERROR(VLOOKUP(B89,BD_CONTROL!$A$5:$M$4235,11,0),"")</f>
        <v>Instalado - Sin Señal</v>
      </c>
      <c r="L89" s="120">
        <f>IFERROR(VLOOKUP(B89,BD_CONTROL!$A$5:$M$4235,12,0),"")</f>
        <v>46148</v>
      </c>
      <c r="M89" s="121" t="str">
        <f>IFERROR(VLOOKUP(B89,BD_CONTROL!$A$5:$M$4235,13,0),"")</f>
        <v>Instalado, no operando, con reporte a mesa de ayuda</v>
      </c>
    </row>
    <row r="90" spans="1:13" ht="15" customHeight="1">
      <c r="A90" s="39">
        <v>85</v>
      </c>
      <c r="B90" s="39" t="s">
        <v>1984</v>
      </c>
      <c r="C90" s="40" t="s">
        <v>1985</v>
      </c>
      <c r="D90" s="39" t="s">
        <v>1530</v>
      </c>
      <c r="E90" s="40" t="s">
        <v>1628</v>
      </c>
      <c r="F90" s="40" t="s">
        <v>1986</v>
      </c>
      <c r="G90" s="39" t="s">
        <v>109</v>
      </c>
      <c r="H90" s="40" t="s">
        <v>1532</v>
      </c>
      <c r="I90" s="40" t="s">
        <v>104</v>
      </c>
      <c r="J90" s="50"/>
      <c r="K90" s="116" t="str">
        <f>IFERROR(VLOOKUP(B90,BD_CONTROL!$A$5:$M$4235,11,0),"")</f>
        <v>Instalado - Operando</v>
      </c>
      <c r="L90" s="117">
        <f>IFERROR(VLOOKUP(B90,BD_CONTROL!$A$5:$M$4235,12,0),"")</f>
        <v>46140</v>
      </c>
      <c r="M90" s="118">
        <f>IFERROR(VLOOKUP(B90,BD_CONTROL!$A$5:$M$4235,13,0),"")</f>
        <v>0</v>
      </c>
    </row>
    <row r="91" spans="1:13" ht="15" customHeight="1">
      <c r="A91" s="42">
        <v>86</v>
      </c>
      <c r="B91" s="42" t="s">
        <v>1987</v>
      </c>
      <c r="C91" s="43" t="s">
        <v>1988</v>
      </c>
      <c r="D91" s="42" t="s">
        <v>1530</v>
      </c>
      <c r="E91" s="43" t="s">
        <v>1628</v>
      </c>
      <c r="F91" s="43" t="s">
        <v>1989</v>
      </c>
      <c r="G91" s="42" t="s">
        <v>109</v>
      </c>
      <c r="H91" s="43" t="s">
        <v>1532</v>
      </c>
      <c r="I91" s="43" t="s">
        <v>104</v>
      </c>
      <c r="J91" s="55"/>
      <c r="K91" s="119" t="str">
        <f>IFERROR(VLOOKUP(B91,BD_CONTROL!$A$5:$M$4235,11,0),"")</f>
        <v>Instalado - Operando</v>
      </c>
      <c r="L91" s="120">
        <f>IFERROR(VLOOKUP(B91,BD_CONTROL!$A$5:$M$4235,12,0),"")</f>
        <v>46141</v>
      </c>
      <c r="M91" s="121">
        <f>IFERROR(VLOOKUP(B91,BD_CONTROL!$A$5:$M$4235,13,0),"")</f>
        <v>0</v>
      </c>
    </row>
    <row r="92" spans="1:13" ht="15" customHeight="1">
      <c r="A92" s="39">
        <v>87</v>
      </c>
      <c r="B92" s="39" t="s">
        <v>1992</v>
      </c>
      <c r="C92" s="40" t="s">
        <v>1993</v>
      </c>
      <c r="D92" s="39" t="s">
        <v>1530</v>
      </c>
      <c r="E92" s="40" t="s">
        <v>1870</v>
      </c>
      <c r="F92" s="40" t="s">
        <v>1993</v>
      </c>
      <c r="G92" s="39" t="s">
        <v>109</v>
      </c>
      <c r="H92" s="40" t="s">
        <v>1532</v>
      </c>
      <c r="I92" s="40" t="s">
        <v>104</v>
      </c>
      <c r="J92" s="50"/>
      <c r="K92" s="116">
        <f>IFERROR(VLOOKUP(B92,BD_CONTROL!$A$5:$M$4235,11,0),"")</f>
        <v>0</v>
      </c>
      <c r="L92" s="117">
        <f>IFERROR(VLOOKUP(B92,BD_CONTROL!$A$5:$M$4235,12,0),"")</f>
        <v>0</v>
      </c>
      <c r="M92" s="118">
        <f>IFERROR(VLOOKUP(B92,BD_CONTROL!$A$5:$M$4235,13,0),"")</f>
        <v>0</v>
      </c>
    </row>
    <row r="93" spans="1:13" ht="15" customHeight="1">
      <c r="A93" s="42">
        <v>88</v>
      </c>
      <c r="B93" s="42" t="s">
        <v>1994</v>
      </c>
      <c r="C93" s="43" t="s">
        <v>1995</v>
      </c>
      <c r="D93" s="42" t="s">
        <v>1530</v>
      </c>
      <c r="E93" s="43" t="s">
        <v>1549</v>
      </c>
      <c r="F93" s="43" t="s">
        <v>1995</v>
      </c>
      <c r="G93" s="42" t="s">
        <v>109</v>
      </c>
      <c r="H93" s="43" t="s">
        <v>1532</v>
      </c>
      <c r="I93" s="43" t="s">
        <v>104</v>
      </c>
      <c r="J93" s="55"/>
      <c r="K93" s="119" t="str">
        <f>IFERROR(VLOOKUP(B93,BD_CONTROL!$A$5:$M$4235,11,0),"")</f>
        <v>Instalado - Operando</v>
      </c>
      <c r="L93" s="120">
        <f>IFERROR(VLOOKUP(B93,BD_CONTROL!$A$5:$M$4235,12,0),"")</f>
        <v>46149</v>
      </c>
      <c r="M93" s="121">
        <f>IFERROR(VLOOKUP(B93,BD_CONTROL!$A$5:$M$4235,13,0),"")</f>
        <v>0</v>
      </c>
    </row>
    <row r="94" spans="1:13" ht="15" customHeight="1">
      <c r="A94" s="39">
        <v>89</v>
      </c>
      <c r="B94" s="39" t="s">
        <v>1998</v>
      </c>
      <c r="C94" s="40" t="s">
        <v>1999</v>
      </c>
      <c r="D94" s="39" t="s">
        <v>1530</v>
      </c>
      <c r="E94" s="40" t="s">
        <v>1734</v>
      </c>
      <c r="F94" s="40" t="s">
        <v>1238</v>
      </c>
      <c r="G94" s="39" t="s">
        <v>109</v>
      </c>
      <c r="H94" s="40" t="s">
        <v>1532</v>
      </c>
      <c r="I94" s="40" t="s">
        <v>104</v>
      </c>
      <c r="J94" s="50"/>
      <c r="K94" s="116" t="str">
        <f>IFERROR(VLOOKUP(B94,BD_CONTROL!$A$5:$M$4235,11,0),"")</f>
        <v>Instalado - Operando</v>
      </c>
      <c r="L94" s="117">
        <f>IFERROR(VLOOKUP(B94,BD_CONTROL!$A$5:$M$4235,12,0),"")</f>
        <v>46149</v>
      </c>
      <c r="M94" s="118">
        <f>IFERROR(VLOOKUP(B94,BD_CONTROL!$A$5:$M$4235,13,0),"")</f>
        <v>0</v>
      </c>
    </row>
    <row r="95" spans="1:13" ht="15" customHeight="1">
      <c r="A95" s="42">
        <v>90</v>
      </c>
      <c r="B95" s="42" t="s">
        <v>2000</v>
      </c>
      <c r="C95" s="43" t="s">
        <v>2001</v>
      </c>
      <c r="D95" s="42" t="s">
        <v>1530</v>
      </c>
      <c r="E95" s="43" t="s">
        <v>1979</v>
      </c>
      <c r="F95" s="43" t="s">
        <v>2002</v>
      </c>
      <c r="G95" s="42" t="s">
        <v>109</v>
      </c>
      <c r="H95" s="43" t="s">
        <v>1532</v>
      </c>
      <c r="I95" s="43" t="s">
        <v>104</v>
      </c>
      <c r="J95" s="55"/>
      <c r="K95" s="119" t="str">
        <f>IFERROR(VLOOKUP(B95,BD_CONTROL!$A$5:$M$4235,11,0),"")</f>
        <v>Instalado - Operando</v>
      </c>
      <c r="L95" s="120">
        <f>IFERROR(VLOOKUP(B95,BD_CONTROL!$A$5:$M$4235,12,0),"")</f>
        <v>46148</v>
      </c>
      <c r="M95" s="121">
        <f>IFERROR(VLOOKUP(B95,BD_CONTROL!$A$5:$M$4235,13,0),"")</f>
        <v>0</v>
      </c>
    </row>
    <row r="96" spans="1:13" ht="15" customHeight="1">
      <c r="A96" s="39">
        <v>91</v>
      </c>
      <c r="B96" s="39" t="s">
        <v>2003</v>
      </c>
      <c r="C96" s="40" t="s">
        <v>2004</v>
      </c>
      <c r="D96" s="39" t="s">
        <v>1530</v>
      </c>
      <c r="E96" s="40" t="s">
        <v>1628</v>
      </c>
      <c r="F96" s="40" t="s">
        <v>461</v>
      </c>
      <c r="G96" s="39" t="s">
        <v>109</v>
      </c>
      <c r="H96" s="40" t="s">
        <v>1532</v>
      </c>
      <c r="I96" s="40" t="s">
        <v>104</v>
      </c>
      <c r="J96" s="50"/>
      <c r="K96" s="116" t="str">
        <f>IFERROR(VLOOKUP(B96,BD_CONTROL!$A$5:$M$4235,11,0),"")</f>
        <v>Instalado - Operando</v>
      </c>
      <c r="L96" s="117">
        <f>IFERROR(VLOOKUP(B96,BD_CONTROL!$A$5:$M$4235,12,0),"")</f>
        <v>46140</v>
      </c>
      <c r="M96" s="118">
        <f>IFERROR(VLOOKUP(B96,BD_CONTROL!$A$5:$M$4235,13,0),"")</f>
        <v>0</v>
      </c>
    </row>
    <row r="97" spans="1:13" ht="15" customHeight="1">
      <c r="A97" s="42">
        <v>92</v>
      </c>
      <c r="B97" s="42" t="s">
        <v>2007</v>
      </c>
      <c r="C97" s="43" t="s">
        <v>2008</v>
      </c>
      <c r="D97" s="42" t="s">
        <v>1530</v>
      </c>
      <c r="E97" s="43" t="s">
        <v>1653</v>
      </c>
      <c r="F97" s="43" t="s">
        <v>1379</v>
      </c>
      <c r="G97" s="42" t="s">
        <v>102</v>
      </c>
      <c r="H97" s="43" t="s">
        <v>1532</v>
      </c>
      <c r="I97" s="43" t="s">
        <v>104</v>
      </c>
      <c r="J97" s="55"/>
      <c r="K97" s="119" t="str">
        <f>IFERROR(VLOOKUP(B97,BD_CONTROL!$A$5:$M$4235,11,0),"")</f>
        <v>Instalado - Operando</v>
      </c>
      <c r="L97" s="120">
        <f>IFERROR(VLOOKUP(B97,BD_CONTROL!$A$5:$M$4235,12,0),"")</f>
        <v>46148</v>
      </c>
      <c r="M97" s="121">
        <f>IFERROR(VLOOKUP(B97,BD_CONTROL!$A$5:$M$4235,13,0),"")</f>
        <v>0</v>
      </c>
    </row>
    <row r="98" spans="1:13" ht="15" customHeight="1">
      <c r="A98" s="39">
        <v>93</v>
      </c>
      <c r="B98" s="39" t="s">
        <v>2029</v>
      </c>
      <c r="C98" s="40" t="s">
        <v>2030</v>
      </c>
      <c r="D98" s="39" t="s">
        <v>1530</v>
      </c>
      <c r="E98" s="40" t="s">
        <v>1710</v>
      </c>
      <c r="F98" s="40" t="s">
        <v>2031</v>
      </c>
      <c r="G98" s="39" t="s">
        <v>109</v>
      </c>
      <c r="H98" s="40" t="s">
        <v>1532</v>
      </c>
      <c r="I98" s="40" t="s">
        <v>104</v>
      </c>
      <c r="J98" s="50"/>
      <c r="K98" s="116">
        <f>IFERROR(VLOOKUP(B98,BD_CONTROL!$A$5:$M$4235,11,0),"")</f>
        <v>0</v>
      </c>
      <c r="L98" s="117">
        <f>IFERROR(VLOOKUP(B98,BD_CONTROL!$A$5:$M$4235,12,0),"")</f>
        <v>0</v>
      </c>
      <c r="M98" s="118">
        <f>IFERROR(VLOOKUP(B98,BD_CONTROL!$A$5:$M$4235,13,0),"")</f>
        <v>0</v>
      </c>
    </row>
    <row r="99" spans="1:13" ht="15" customHeight="1">
      <c r="A99" s="42">
        <v>94</v>
      </c>
      <c r="B99" s="42" t="s">
        <v>2032</v>
      </c>
      <c r="C99" s="43" t="s">
        <v>2033</v>
      </c>
      <c r="D99" s="42" t="s">
        <v>1530</v>
      </c>
      <c r="E99" s="43" t="s">
        <v>1710</v>
      </c>
      <c r="F99" s="43" t="s">
        <v>2034</v>
      </c>
      <c r="G99" s="42" t="s">
        <v>109</v>
      </c>
      <c r="H99" s="43" t="s">
        <v>1532</v>
      </c>
      <c r="I99" s="43" t="s">
        <v>104</v>
      </c>
      <c r="J99" s="55"/>
      <c r="K99" s="119">
        <f>IFERROR(VLOOKUP(B99,BD_CONTROL!$A$5:$M$4235,11,0),"")</f>
        <v>0</v>
      </c>
      <c r="L99" s="120">
        <f>IFERROR(VLOOKUP(B99,BD_CONTROL!$A$5:$M$4235,12,0),"")</f>
        <v>0</v>
      </c>
      <c r="M99" s="121">
        <f>IFERROR(VLOOKUP(B99,BD_CONTROL!$A$5:$M$4235,13,0),"")</f>
        <v>0</v>
      </c>
    </row>
    <row r="100" spans="1:13" ht="15" customHeight="1">
      <c r="A100" s="39">
        <v>95</v>
      </c>
      <c r="B100" s="39" t="s">
        <v>2035</v>
      </c>
      <c r="C100" s="40" t="s">
        <v>2036</v>
      </c>
      <c r="D100" s="39" t="s">
        <v>1530</v>
      </c>
      <c r="E100" s="40" t="s">
        <v>1719</v>
      </c>
      <c r="F100" s="40" t="s">
        <v>2037</v>
      </c>
      <c r="G100" s="39" t="s">
        <v>109</v>
      </c>
      <c r="H100" s="40" t="s">
        <v>1532</v>
      </c>
      <c r="I100" s="40" t="s">
        <v>104</v>
      </c>
      <c r="J100" s="50"/>
      <c r="K100" s="116">
        <f>IFERROR(VLOOKUP(B100,BD_CONTROL!$A$5:$M$4235,11,0),"")</f>
        <v>0</v>
      </c>
      <c r="L100" s="117">
        <f>IFERROR(VLOOKUP(B100,BD_CONTROL!$A$5:$M$4235,12,0),"")</f>
        <v>0</v>
      </c>
      <c r="M100" s="118">
        <f>IFERROR(VLOOKUP(B100,BD_CONTROL!$A$5:$M$4235,13,0),"")</f>
        <v>0</v>
      </c>
    </row>
    <row r="101" spans="1:13" ht="15" customHeight="1">
      <c r="A101" s="42">
        <v>96</v>
      </c>
      <c r="B101" s="42" t="s">
        <v>2044</v>
      </c>
      <c r="C101" s="43" t="s">
        <v>2045</v>
      </c>
      <c r="D101" s="42" t="s">
        <v>1530</v>
      </c>
      <c r="E101" s="43" t="s">
        <v>1600</v>
      </c>
      <c r="F101" s="43" t="s">
        <v>1600</v>
      </c>
      <c r="G101" s="42" t="s">
        <v>102</v>
      </c>
      <c r="H101" s="43" t="s">
        <v>1532</v>
      </c>
      <c r="I101" s="43" t="s">
        <v>104</v>
      </c>
      <c r="J101" s="55"/>
      <c r="K101" s="119">
        <f>IFERROR(VLOOKUP(B101,BD_CONTROL!$A$5:$M$4235,11,0),"")</f>
        <v>0</v>
      </c>
      <c r="L101" s="120">
        <f>IFERROR(VLOOKUP(B101,BD_CONTROL!$A$5:$M$4235,12,0),"")</f>
        <v>0</v>
      </c>
      <c r="M101" s="121">
        <f>IFERROR(VLOOKUP(B101,BD_CONTROL!$A$5:$M$4235,13,0),"")</f>
        <v>0</v>
      </c>
    </row>
    <row r="102" spans="1:13" ht="15" customHeight="1">
      <c r="A102" s="39">
        <v>97</v>
      </c>
      <c r="B102" s="39" t="s">
        <v>2046</v>
      </c>
      <c r="C102" s="40" t="s">
        <v>2047</v>
      </c>
      <c r="D102" s="39" t="s">
        <v>1530</v>
      </c>
      <c r="E102" s="40" t="s">
        <v>1639</v>
      </c>
      <c r="F102" s="40" t="s">
        <v>2047</v>
      </c>
      <c r="G102" s="39" t="s">
        <v>109</v>
      </c>
      <c r="H102" s="40" t="s">
        <v>1532</v>
      </c>
      <c r="I102" s="40" t="s">
        <v>104</v>
      </c>
      <c r="J102" s="50"/>
      <c r="K102" s="116">
        <f>IFERROR(VLOOKUP(B102,BD_CONTROL!$A$5:$M$4235,11,0),"")</f>
        <v>0</v>
      </c>
      <c r="L102" s="117">
        <f>IFERROR(VLOOKUP(B102,BD_CONTROL!$A$5:$M$4235,12,0),"")</f>
        <v>0</v>
      </c>
      <c r="M102" s="118">
        <f>IFERROR(VLOOKUP(B102,BD_CONTROL!$A$5:$M$4235,13,0),"")</f>
        <v>0</v>
      </c>
    </row>
    <row r="103" spans="1:13" ht="15" customHeight="1">
      <c r="A103" s="42">
        <v>98</v>
      </c>
      <c r="B103" s="42" t="s">
        <v>2062</v>
      </c>
      <c r="C103" s="43" t="s">
        <v>2063</v>
      </c>
      <c r="D103" s="42" t="s">
        <v>1530</v>
      </c>
      <c r="E103" s="43" t="s">
        <v>1549</v>
      </c>
      <c r="F103" s="43" t="s">
        <v>2064</v>
      </c>
      <c r="G103" s="42" t="s">
        <v>109</v>
      </c>
      <c r="H103" s="43" t="s">
        <v>1532</v>
      </c>
      <c r="I103" s="43" t="s">
        <v>104</v>
      </c>
      <c r="J103" s="55"/>
      <c r="K103" s="119">
        <f>IFERROR(VLOOKUP(B103,BD_CONTROL!$A$5:$M$4235,11,0),"")</f>
        <v>0</v>
      </c>
      <c r="L103" s="120">
        <f>IFERROR(VLOOKUP(B103,BD_CONTROL!$A$5:$M$4235,12,0),"")</f>
        <v>0</v>
      </c>
      <c r="M103" s="121">
        <f>IFERROR(VLOOKUP(B103,BD_CONTROL!$A$5:$M$4235,13,0),"")</f>
        <v>0</v>
      </c>
    </row>
    <row r="104" spans="1:13" ht="15" customHeight="1">
      <c r="A104" s="39">
        <v>99</v>
      </c>
      <c r="B104" s="39" t="s">
        <v>2065</v>
      </c>
      <c r="C104" s="40" t="s">
        <v>2066</v>
      </c>
      <c r="D104" s="39" t="s">
        <v>1530</v>
      </c>
      <c r="E104" s="40" t="s">
        <v>1710</v>
      </c>
      <c r="F104" s="40" t="s">
        <v>1710</v>
      </c>
      <c r="G104" s="39" t="s">
        <v>109</v>
      </c>
      <c r="H104" s="40" t="s">
        <v>1532</v>
      </c>
      <c r="I104" s="40" t="s">
        <v>104</v>
      </c>
      <c r="J104" s="50"/>
      <c r="K104" s="116">
        <f>IFERROR(VLOOKUP(B104,BD_CONTROL!$A$5:$M$4235,11,0),"")</f>
        <v>0</v>
      </c>
      <c r="L104" s="117">
        <f>IFERROR(VLOOKUP(B104,BD_CONTROL!$A$5:$M$4235,12,0),"")</f>
        <v>0</v>
      </c>
      <c r="M104" s="118">
        <f>IFERROR(VLOOKUP(B104,BD_CONTROL!$A$5:$M$4235,13,0),"")</f>
        <v>0</v>
      </c>
    </row>
    <row r="105" spans="1:13" ht="15" customHeight="1">
      <c r="A105" s="42">
        <v>100</v>
      </c>
      <c r="B105" s="42" t="s">
        <v>2067</v>
      </c>
      <c r="C105" s="43" t="s">
        <v>2068</v>
      </c>
      <c r="D105" s="42" t="s">
        <v>1530</v>
      </c>
      <c r="E105" s="43" t="s">
        <v>1731</v>
      </c>
      <c r="F105" s="43" t="s">
        <v>2069</v>
      </c>
      <c r="G105" s="42" t="s">
        <v>109</v>
      </c>
      <c r="H105" s="43" t="s">
        <v>1532</v>
      </c>
      <c r="I105" s="43" t="s">
        <v>104</v>
      </c>
      <c r="J105" s="55"/>
      <c r="K105" s="119">
        <f>IFERROR(VLOOKUP(B105,BD_CONTROL!$A$5:$M$4235,11,0),"")</f>
        <v>0</v>
      </c>
      <c r="L105" s="120">
        <f>IFERROR(VLOOKUP(B105,BD_CONTROL!$A$5:$M$4235,12,0),"")</f>
        <v>0</v>
      </c>
      <c r="M105" s="121">
        <f>IFERROR(VLOOKUP(B105,BD_CONTROL!$A$5:$M$4235,13,0),"")</f>
        <v>0</v>
      </c>
    </row>
    <row r="106" spans="1:13" ht="15" customHeight="1">
      <c r="A106" s="39">
        <v>101</v>
      </c>
      <c r="B106" s="39" t="s">
        <v>2070</v>
      </c>
      <c r="C106" s="40" t="s">
        <v>2071</v>
      </c>
      <c r="D106" s="39" t="s">
        <v>1530</v>
      </c>
      <c r="E106" s="40" t="s">
        <v>1731</v>
      </c>
      <c r="F106" s="40" t="s">
        <v>1731</v>
      </c>
      <c r="G106" s="39" t="s">
        <v>102</v>
      </c>
      <c r="H106" s="40" t="s">
        <v>1532</v>
      </c>
      <c r="I106" s="40" t="s">
        <v>104</v>
      </c>
      <c r="J106" s="50"/>
      <c r="K106" s="116" t="str">
        <f>IFERROR(VLOOKUP(B106,BD_CONTROL!$A$5:$M$4235,11,0),"")</f>
        <v>Instalado - Sin Señal</v>
      </c>
      <c r="L106" s="117">
        <f>IFERROR(VLOOKUP(B106,BD_CONTROL!$A$5:$M$4235,12,0),"")</f>
        <v>46142</v>
      </c>
      <c r="M106" s="118">
        <f>IFERROR(VLOOKUP(B106,BD_CONTROL!$A$5:$M$4235,13,0),"")</f>
        <v>0</v>
      </c>
    </row>
    <row r="107" spans="1:13" ht="15" customHeight="1">
      <c r="A107" s="42">
        <v>102</v>
      </c>
      <c r="B107" s="42" t="s">
        <v>2072</v>
      </c>
      <c r="C107" s="43" t="s">
        <v>2073</v>
      </c>
      <c r="D107" s="42" t="s">
        <v>1530</v>
      </c>
      <c r="E107" s="43" t="s">
        <v>1734</v>
      </c>
      <c r="F107" s="43" t="s">
        <v>2074</v>
      </c>
      <c r="G107" s="42" t="s">
        <v>109</v>
      </c>
      <c r="H107" s="43" t="s">
        <v>1532</v>
      </c>
      <c r="I107" s="43" t="s">
        <v>104</v>
      </c>
      <c r="J107" s="55"/>
      <c r="K107" s="119" t="str">
        <f>IFERROR(VLOOKUP(B107,BD_CONTROL!$A$5:$M$4235,11,0),"")</f>
        <v>Instalado - Sin Señal</v>
      </c>
      <c r="L107" s="120">
        <f>IFERROR(VLOOKUP(B107,BD_CONTROL!$A$5:$M$4235,12,0),"")</f>
        <v>46147</v>
      </c>
      <c r="M107" s="121" t="str">
        <f>IFERROR(VLOOKUP(B107,BD_CONTROL!$A$5:$M$4235,13,0),"")</f>
        <v>Instalado, no operando, con reporte a mesa de ayuda</v>
      </c>
    </row>
    <row r="108" spans="1:13" ht="15" customHeight="1">
      <c r="A108" s="39">
        <v>103</v>
      </c>
      <c r="B108" s="39" t="s">
        <v>2075</v>
      </c>
      <c r="C108" s="40" t="s">
        <v>2076</v>
      </c>
      <c r="D108" s="39" t="s">
        <v>1530</v>
      </c>
      <c r="E108" s="40" t="s">
        <v>1734</v>
      </c>
      <c r="F108" s="40" t="s">
        <v>2077</v>
      </c>
      <c r="G108" s="39" t="s">
        <v>109</v>
      </c>
      <c r="H108" s="40" t="s">
        <v>1532</v>
      </c>
      <c r="I108" s="40" t="s">
        <v>104</v>
      </c>
      <c r="J108" s="50"/>
      <c r="K108" s="116">
        <f>IFERROR(VLOOKUP(B108,BD_CONTROL!$A$5:$M$4235,11,0),"")</f>
        <v>0</v>
      </c>
      <c r="L108" s="117">
        <f>IFERROR(VLOOKUP(B108,BD_CONTROL!$A$5:$M$4235,12,0),"")</f>
        <v>0</v>
      </c>
      <c r="M108" s="118">
        <f>IFERROR(VLOOKUP(B108,BD_CONTROL!$A$5:$M$4235,13,0),"")</f>
        <v>0</v>
      </c>
    </row>
    <row r="109" spans="1:13" ht="15" customHeight="1">
      <c r="A109" s="42">
        <v>104</v>
      </c>
      <c r="B109" s="42" t="s">
        <v>2078</v>
      </c>
      <c r="C109" s="43" t="s">
        <v>2079</v>
      </c>
      <c r="D109" s="42" t="s">
        <v>1530</v>
      </c>
      <c r="E109" s="43" t="s">
        <v>1734</v>
      </c>
      <c r="F109" s="43" t="s">
        <v>2080</v>
      </c>
      <c r="G109" s="42" t="s">
        <v>109</v>
      </c>
      <c r="H109" s="43" t="s">
        <v>1532</v>
      </c>
      <c r="I109" s="43" t="s">
        <v>104</v>
      </c>
      <c r="J109" s="55"/>
      <c r="K109" s="119" t="str">
        <f>IFERROR(VLOOKUP(B109,BD_CONTROL!$A$5:$M$4235,11,0),"")</f>
        <v>Instalado - Sin Señal</v>
      </c>
      <c r="L109" s="120">
        <f>IFERROR(VLOOKUP(B109,BD_CONTROL!$A$5:$M$4235,12,0),"")</f>
        <v>46139</v>
      </c>
      <c r="M109" s="121">
        <f>IFERROR(VLOOKUP(B109,BD_CONTROL!$A$5:$M$4235,13,0),"")</f>
        <v>0</v>
      </c>
    </row>
    <row r="110" spans="1:13" ht="15" customHeight="1">
      <c r="A110" s="39">
        <v>105</v>
      </c>
      <c r="B110" s="39" t="s">
        <v>2081</v>
      </c>
      <c r="C110" s="40" t="s">
        <v>2082</v>
      </c>
      <c r="D110" s="39" t="s">
        <v>1530</v>
      </c>
      <c r="E110" s="40" t="s">
        <v>1734</v>
      </c>
      <c r="F110" s="40" t="s">
        <v>2083</v>
      </c>
      <c r="G110" s="39" t="s">
        <v>109</v>
      </c>
      <c r="H110" s="40" t="s">
        <v>1532</v>
      </c>
      <c r="I110" s="40" t="s">
        <v>104</v>
      </c>
      <c r="J110" s="50"/>
      <c r="K110" s="116">
        <f>IFERROR(VLOOKUP(B110,BD_CONTROL!$A$5:$M$4235,11,0),"")</f>
        <v>0</v>
      </c>
      <c r="L110" s="117">
        <f>IFERROR(VLOOKUP(B110,BD_CONTROL!$A$5:$M$4235,12,0),"")</f>
        <v>0</v>
      </c>
      <c r="M110" s="118">
        <f>IFERROR(VLOOKUP(B110,BD_CONTROL!$A$5:$M$4235,13,0),"")</f>
        <v>0</v>
      </c>
    </row>
    <row r="111" spans="1:13" ht="15" customHeight="1">
      <c r="A111" s="42">
        <v>106</v>
      </c>
      <c r="B111" s="42" t="s">
        <v>2084</v>
      </c>
      <c r="C111" s="43" t="s">
        <v>2085</v>
      </c>
      <c r="D111" s="42" t="s">
        <v>1530</v>
      </c>
      <c r="E111" s="43" t="s">
        <v>1549</v>
      </c>
      <c r="F111" s="43" t="s">
        <v>1549</v>
      </c>
      <c r="G111" s="42" t="s">
        <v>109</v>
      </c>
      <c r="H111" s="43" t="s">
        <v>1532</v>
      </c>
      <c r="I111" s="43" t="s">
        <v>104</v>
      </c>
      <c r="J111" s="55"/>
      <c r="K111" s="119">
        <f>IFERROR(VLOOKUP(B111,BD_CONTROL!$A$5:$M$4235,11,0),"")</f>
        <v>0</v>
      </c>
      <c r="L111" s="120">
        <f>IFERROR(VLOOKUP(B111,BD_CONTROL!$A$5:$M$4235,12,0),"")</f>
        <v>0</v>
      </c>
      <c r="M111" s="121">
        <f>IFERROR(VLOOKUP(B111,BD_CONTROL!$A$5:$M$4235,13,0),"")</f>
        <v>0</v>
      </c>
    </row>
    <row r="112" spans="1:13" ht="15" customHeight="1">
      <c r="A112" s="39">
        <v>107</v>
      </c>
      <c r="B112" s="39" t="s">
        <v>2092</v>
      </c>
      <c r="C112" s="40" t="s">
        <v>2093</v>
      </c>
      <c r="D112" s="39" t="s">
        <v>1530</v>
      </c>
      <c r="E112" s="40" t="s">
        <v>1549</v>
      </c>
      <c r="F112" s="40" t="s">
        <v>2094</v>
      </c>
      <c r="G112" s="39" t="s">
        <v>109</v>
      </c>
      <c r="H112" s="40" t="s">
        <v>1532</v>
      </c>
      <c r="I112" s="40" t="s">
        <v>104</v>
      </c>
      <c r="J112" s="50"/>
      <c r="K112" s="116" t="str">
        <f>IFERROR(VLOOKUP(B112,BD_CONTROL!$A$5:$M$4235,11,0),"")</f>
        <v>Instalado - Operando</v>
      </c>
      <c r="L112" s="117">
        <f>IFERROR(VLOOKUP(B112,BD_CONTROL!$A$5:$M$4235,12,0),"")</f>
        <v>46147</v>
      </c>
      <c r="M112" s="118">
        <f>IFERROR(VLOOKUP(B112,BD_CONTROL!$A$5:$M$4235,13,0),"")</f>
        <v>0</v>
      </c>
    </row>
    <row r="113" spans="1:13" ht="15" customHeight="1">
      <c r="A113" s="42">
        <v>108</v>
      </c>
      <c r="B113" s="42" t="s">
        <v>2095</v>
      </c>
      <c r="C113" s="43" t="s">
        <v>2096</v>
      </c>
      <c r="D113" s="42" t="s">
        <v>1530</v>
      </c>
      <c r="E113" s="43" t="s">
        <v>1549</v>
      </c>
      <c r="F113" s="43" t="s">
        <v>2097</v>
      </c>
      <c r="G113" s="42" t="s">
        <v>109</v>
      </c>
      <c r="H113" s="43" t="s">
        <v>1532</v>
      </c>
      <c r="I113" s="43" t="s">
        <v>104</v>
      </c>
      <c r="J113" s="55"/>
      <c r="K113" s="119">
        <f>IFERROR(VLOOKUP(B113,BD_CONTROL!$A$5:$M$4235,11,0),"")</f>
        <v>0</v>
      </c>
      <c r="L113" s="120">
        <f>IFERROR(VLOOKUP(B113,BD_CONTROL!$A$5:$M$4235,12,0),"")</f>
        <v>0</v>
      </c>
      <c r="M113" s="121">
        <f>IFERROR(VLOOKUP(B113,BD_CONTROL!$A$5:$M$4235,13,0),"")</f>
        <v>0</v>
      </c>
    </row>
    <row r="114" spans="1:13" ht="15" customHeight="1">
      <c r="A114" s="39">
        <v>109</v>
      </c>
      <c r="B114" s="39" t="s">
        <v>2098</v>
      </c>
      <c r="C114" s="40" t="s">
        <v>2099</v>
      </c>
      <c r="D114" s="39" t="s">
        <v>1530</v>
      </c>
      <c r="E114" s="40" t="s">
        <v>1549</v>
      </c>
      <c r="F114" s="40" t="s">
        <v>2100</v>
      </c>
      <c r="G114" s="39" t="s">
        <v>109</v>
      </c>
      <c r="H114" s="40" t="s">
        <v>1532</v>
      </c>
      <c r="I114" s="40" t="s">
        <v>104</v>
      </c>
      <c r="J114" s="50"/>
      <c r="K114" s="116">
        <f>IFERROR(VLOOKUP(B114,BD_CONTROL!$A$5:$M$4235,11,0),"")</f>
        <v>0</v>
      </c>
      <c r="L114" s="117">
        <f>IFERROR(VLOOKUP(B114,BD_CONTROL!$A$5:$M$4235,12,0),"")</f>
        <v>0</v>
      </c>
      <c r="M114" s="118">
        <f>IFERROR(VLOOKUP(B114,BD_CONTROL!$A$5:$M$4235,13,0),"")</f>
        <v>0</v>
      </c>
    </row>
    <row r="115" spans="1:13" ht="15" customHeight="1">
      <c r="A115" s="42">
        <v>110</v>
      </c>
      <c r="B115" s="42" t="s">
        <v>2101</v>
      </c>
      <c r="C115" s="43" t="s">
        <v>2102</v>
      </c>
      <c r="D115" s="42" t="s">
        <v>1530</v>
      </c>
      <c r="E115" s="43" t="s">
        <v>1549</v>
      </c>
      <c r="F115" s="43" t="s">
        <v>2103</v>
      </c>
      <c r="G115" s="42" t="s">
        <v>109</v>
      </c>
      <c r="H115" s="43" t="s">
        <v>1532</v>
      </c>
      <c r="I115" s="43" t="s">
        <v>104</v>
      </c>
      <c r="J115" s="55"/>
      <c r="K115" s="119">
        <f>IFERROR(VLOOKUP(B115,BD_CONTROL!$A$5:$M$4235,11,0),"")</f>
        <v>0</v>
      </c>
      <c r="L115" s="120">
        <f>IFERROR(VLOOKUP(B115,BD_CONTROL!$A$5:$M$4235,12,0),"")</f>
        <v>0</v>
      </c>
      <c r="M115" s="121">
        <f>IFERROR(VLOOKUP(B115,BD_CONTROL!$A$5:$M$4235,13,0),"")</f>
        <v>0</v>
      </c>
    </row>
    <row r="116" spans="1:13" ht="15" customHeight="1">
      <c r="A116" s="39">
        <v>111</v>
      </c>
      <c r="B116" s="39" t="s">
        <v>2104</v>
      </c>
      <c r="C116" s="40" t="s">
        <v>2105</v>
      </c>
      <c r="D116" s="39" t="s">
        <v>1530</v>
      </c>
      <c r="E116" s="40" t="s">
        <v>1549</v>
      </c>
      <c r="F116" s="40" t="s">
        <v>2106</v>
      </c>
      <c r="G116" s="39" t="s">
        <v>109</v>
      </c>
      <c r="H116" s="40" t="s">
        <v>1532</v>
      </c>
      <c r="I116" s="40" t="s">
        <v>104</v>
      </c>
      <c r="J116" s="50"/>
      <c r="K116" s="116">
        <f>IFERROR(VLOOKUP(B116,BD_CONTROL!$A$5:$M$4235,11,0),"")</f>
        <v>0</v>
      </c>
      <c r="L116" s="117">
        <f>IFERROR(VLOOKUP(B116,BD_CONTROL!$A$5:$M$4235,12,0),"")</f>
        <v>0</v>
      </c>
      <c r="M116" s="118">
        <f>IFERROR(VLOOKUP(B116,BD_CONTROL!$A$5:$M$4235,13,0),"")</f>
        <v>0</v>
      </c>
    </row>
    <row r="117" spans="1:13" ht="15" customHeight="1">
      <c r="A117" s="42">
        <v>112</v>
      </c>
      <c r="B117" s="42" t="s">
        <v>2107</v>
      </c>
      <c r="C117" s="43" t="s">
        <v>2108</v>
      </c>
      <c r="D117" s="42" t="s">
        <v>1530</v>
      </c>
      <c r="E117" s="43" t="s">
        <v>1531</v>
      </c>
      <c r="F117" s="43" t="s">
        <v>2109</v>
      </c>
      <c r="G117" s="42" t="s">
        <v>109</v>
      </c>
      <c r="H117" s="43" t="s">
        <v>1532</v>
      </c>
      <c r="I117" s="43" t="s">
        <v>104</v>
      </c>
      <c r="J117" s="55"/>
      <c r="K117" s="119">
        <f>IFERROR(VLOOKUP(B117,BD_CONTROL!$A$5:$M$4235,11,0),"")</f>
        <v>0</v>
      </c>
      <c r="L117" s="120">
        <f>IFERROR(VLOOKUP(B117,BD_CONTROL!$A$5:$M$4235,12,0),"")</f>
        <v>0</v>
      </c>
      <c r="M117" s="121">
        <f>IFERROR(VLOOKUP(B117,BD_CONTROL!$A$5:$M$4235,13,0),"")</f>
        <v>0</v>
      </c>
    </row>
    <row r="118" spans="1:13" ht="15" customHeight="1">
      <c r="A118" s="39">
        <v>113</v>
      </c>
      <c r="B118" s="39" t="s">
        <v>2110</v>
      </c>
      <c r="C118" s="40" t="s">
        <v>2111</v>
      </c>
      <c r="D118" s="39" t="s">
        <v>1530</v>
      </c>
      <c r="E118" s="40" t="s">
        <v>1531</v>
      </c>
      <c r="F118" s="40" t="s">
        <v>2112</v>
      </c>
      <c r="G118" s="39" t="s">
        <v>102</v>
      </c>
      <c r="H118" s="40" t="s">
        <v>1532</v>
      </c>
      <c r="I118" s="40" t="s">
        <v>104</v>
      </c>
      <c r="J118" s="50"/>
      <c r="K118" s="116" t="str">
        <f>IFERROR(VLOOKUP(B118,BD_CONTROL!$A$5:$M$4235,11,0),"")</f>
        <v>Instalado - Operando</v>
      </c>
      <c r="L118" s="117">
        <f>IFERROR(VLOOKUP(B118,BD_CONTROL!$A$5:$M$4235,12,0),"")</f>
        <v>46139</v>
      </c>
      <c r="M118" s="118">
        <f>IFERROR(VLOOKUP(B118,BD_CONTROL!$A$5:$M$4235,13,0),"")</f>
        <v>0</v>
      </c>
    </row>
    <row r="119" spans="1:13" ht="15" customHeight="1">
      <c r="A119" s="42">
        <v>114</v>
      </c>
      <c r="B119" s="42" t="s">
        <v>2113</v>
      </c>
      <c r="C119" s="43" t="s">
        <v>2114</v>
      </c>
      <c r="D119" s="42" t="s">
        <v>1530</v>
      </c>
      <c r="E119" s="43" t="s">
        <v>1531</v>
      </c>
      <c r="F119" s="43" t="s">
        <v>2115</v>
      </c>
      <c r="G119" s="42" t="s">
        <v>109</v>
      </c>
      <c r="H119" s="43" t="s">
        <v>1532</v>
      </c>
      <c r="I119" s="43" t="s">
        <v>104</v>
      </c>
      <c r="J119" s="55"/>
      <c r="K119" s="119">
        <f>IFERROR(VLOOKUP(B119,BD_CONTROL!$A$5:$M$4235,11,0),"")</f>
        <v>0</v>
      </c>
      <c r="L119" s="120">
        <f>IFERROR(VLOOKUP(B119,BD_CONTROL!$A$5:$M$4235,12,0),"")</f>
        <v>0</v>
      </c>
      <c r="M119" s="121">
        <f>IFERROR(VLOOKUP(B119,BD_CONTROL!$A$5:$M$4235,13,0),"")</f>
        <v>0</v>
      </c>
    </row>
    <row r="120" spans="1:13" ht="15" customHeight="1">
      <c r="A120" s="39">
        <v>115</v>
      </c>
      <c r="B120" s="39" t="s">
        <v>2116</v>
      </c>
      <c r="C120" s="40" t="s">
        <v>2117</v>
      </c>
      <c r="D120" s="39" t="s">
        <v>1530</v>
      </c>
      <c r="E120" s="40" t="s">
        <v>1531</v>
      </c>
      <c r="F120" s="40" t="s">
        <v>2118</v>
      </c>
      <c r="G120" s="39" t="s">
        <v>102</v>
      </c>
      <c r="H120" s="40" t="s">
        <v>1532</v>
      </c>
      <c r="I120" s="40" t="s">
        <v>104</v>
      </c>
      <c r="J120" s="50"/>
      <c r="K120" s="116" t="str">
        <f>IFERROR(VLOOKUP(B120,BD_CONTROL!$A$5:$M$4235,11,0),"")</f>
        <v>Instalado - Operando</v>
      </c>
      <c r="L120" s="117">
        <f>IFERROR(VLOOKUP(B120,BD_CONTROL!$A$5:$M$4235,12,0),"")</f>
        <v>46149</v>
      </c>
      <c r="M120" s="118">
        <f>IFERROR(VLOOKUP(B120,BD_CONTROL!$A$5:$M$4235,13,0),"")</f>
        <v>0</v>
      </c>
    </row>
    <row r="121" spans="1:13" ht="15" customHeight="1">
      <c r="A121" s="42">
        <v>116</v>
      </c>
      <c r="B121" s="42" t="s">
        <v>2119</v>
      </c>
      <c r="C121" s="43" t="s">
        <v>2120</v>
      </c>
      <c r="D121" s="42" t="s">
        <v>1530</v>
      </c>
      <c r="E121" s="43" t="s">
        <v>1531</v>
      </c>
      <c r="F121" s="43" t="s">
        <v>2121</v>
      </c>
      <c r="G121" s="42" t="s">
        <v>109</v>
      </c>
      <c r="H121" s="43" t="s">
        <v>1532</v>
      </c>
      <c r="I121" s="43" t="s">
        <v>104</v>
      </c>
      <c r="J121" s="55"/>
      <c r="K121" s="119" t="str">
        <f>IFERROR(VLOOKUP(B121,BD_CONTROL!$A$5:$M$4235,11,0),"")</f>
        <v>Instalado - Sin Señal</v>
      </c>
      <c r="L121" s="120">
        <f>IFERROR(VLOOKUP(B121,BD_CONTROL!$A$5:$M$4235,12,0),"")</f>
        <v>46147</v>
      </c>
      <c r="M121" s="121" t="str">
        <f>IFERROR(VLOOKUP(B121,BD_CONTROL!$A$5:$M$4235,13,0),"")</f>
        <v>Instalado, no operando, con reporte a mesa de ayuda</v>
      </c>
    </row>
    <row r="122" spans="1:13" ht="15" customHeight="1">
      <c r="A122" s="39">
        <v>117</v>
      </c>
      <c r="B122" s="39" t="s">
        <v>2166</v>
      </c>
      <c r="C122" s="40" t="s">
        <v>1141</v>
      </c>
      <c r="D122" s="39" t="s">
        <v>1530</v>
      </c>
      <c r="E122" s="40" t="s">
        <v>1756</v>
      </c>
      <c r="F122" s="40" t="s">
        <v>2167</v>
      </c>
      <c r="G122" s="39" t="s">
        <v>109</v>
      </c>
      <c r="H122" s="40" t="s">
        <v>1532</v>
      </c>
      <c r="I122" s="40" t="s">
        <v>104</v>
      </c>
      <c r="J122" s="50"/>
      <c r="K122" s="116" t="str">
        <f>IFERROR(VLOOKUP(B122,BD_CONTROL!$A$5:$M$4235,11,0),"")</f>
        <v>Instalado - Operando</v>
      </c>
      <c r="L122" s="117">
        <f>IFERROR(VLOOKUP(B122,BD_CONTROL!$A$5:$M$4235,12,0),"")</f>
        <v>46149</v>
      </c>
      <c r="M122" s="118">
        <f>IFERROR(VLOOKUP(B122,BD_CONTROL!$A$5:$M$4235,13,0),"")</f>
        <v>0</v>
      </c>
    </row>
    <row r="123" spans="1:13" ht="15" customHeight="1">
      <c r="A123" s="42">
        <v>118</v>
      </c>
      <c r="B123" s="42" t="s">
        <v>2168</v>
      </c>
      <c r="C123" s="43" t="s">
        <v>2169</v>
      </c>
      <c r="D123" s="42" t="s">
        <v>1530</v>
      </c>
      <c r="E123" s="43" t="s">
        <v>1639</v>
      </c>
      <c r="F123" s="43" t="s">
        <v>2047</v>
      </c>
      <c r="G123" s="42" t="s">
        <v>102</v>
      </c>
      <c r="H123" s="43" t="s">
        <v>1532</v>
      </c>
      <c r="I123" s="43" t="s">
        <v>104</v>
      </c>
      <c r="J123" s="55"/>
      <c r="K123" s="119">
        <f>IFERROR(VLOOKUP(B123,BD_CONTROL!$A$5:$M$4235,11,0),"")</f>
        <v>0</v>
      </c>
      <c r="L123" s="120">
        <f>IFERROR(VLOOKUP(B123,BD_CONTROL!$A$5:$M$4235,12,0),"")</f>
        <v>0</v>
      </c>
      <c r="M123" s="121">
        <f>IFERROR(VLOOKUP(B123,BD_CONTROL!$A$5:$M$4235,13,0),"")</f>
        <v>0</v>
      </c>
    </row>
    <row r="124" spans="1:13" ht="15" customHeight="1">
      <c r="A124" s="39">
        <v>119</v>
      </c>
      <c r="B124" s="39" t="s">
        <v>2170</v>
      </c>
      <c r="C124" s="40" t="s">
        <v>280</v>
      </c>
      <c r="D124" s="39" t="s">
        <v>1530</v>
      </c>
      <c r="E124" s="40" t="s">
        <v>1531</v>
      </c>
      <c r="F124" s="40" t="s">
        <v>2171</v>
      </c>
      <c r="G124" s="39" t="s">
        <v>109</v>
      </c>
      <c r="H124" s="40" t="s">
        <v>1532</v>
      </c>
      <c r="I124" s="40" t="s">
        <v>104</v>
      </c>
      <c r="J124" s="50"/>
      <c r="K124" s="116">
        <f>IFERROR(VLOOKUP(B124,BD_CONTROL!$A$5:$M$4235,11,0),"")</f>
        <v>0</v>
      </c>
      <c r="L124" s="117">
        <f>IFERROR(VLOOKUP(B124,BD_CONTROL!$A$5:$M$4235,12,0),"")</f>
        <v>0</v>
      </c>
      <c r="M124" s="118">
        <f>IFERROR(VLOOKUP(B124,BD_CONTROL!$A$5:$M$4235,13,0),"")</f>
        <v>0</v>
      </c>
    </row>
    <row r="125" spans="1:13" ht="15" customHeight="1">
      <c r="A125" s="42">
        <v>120</v>
      </c>
      <c r="B125" s="42" t="s">
        <v>2172</v>
      </c>
      <c r="C125" s="43" t="s">
        <v>2173</v>
      </c>
      <c r="D125" s="42" t="s">
        <v>1530</v>
      </c>
      <c r="E125" s="43" t="s">
        <v>1531</v>
      </c>
      <c r="F125" s="43" t="s">
        <v>2174</v>
      </c>
      <c r="G125" s="42" t="s">
        <v>109</v>
      </c>
      <c r="H125" s="43" t="s">
        <v>1532</v>
      </c>
      <c r="I125" s="43" t="s">
        <v>104</v>
      </c>
      <c r="J125" s="55"/>
      <c r="K125" s="119">
        <f>IFERROR(VLOOKUP(B125,BD_CONTROL!$A$5:$M$4235,11,0),"")</f>
        <v>0</v>
      </c>
      <c r="L125" s="120">
        <f>IFERROR(VLOOKUP(B125,BD_CONTROL!$A$5:$M$4235,12,0),"")</f>
        <v>0</v>
      </c>
      <c r="M125" s="121">
        <f>IFERROR(VLOOKUP(B125,BD_CONTROL!$A$5:$M$4235,13,0),"")</f>
        <v>0</v>
      </c>
    </row>
    <row r="126" spans="1:13" ht="15" customHeight="1">
      <c r="A126" s="39">
        <v>121</v>
      </c>
      <c r="B126" s="39" t="s">
        <v>2175</v>
      </c>
      <c r="C126" s="40" t="s">
        <v>2176</v>
      </c>
      <c r="D126" s="39" t="s">
        <v>1530</v>
      </c>
      <c r="E126" s="40" t="s">
        <v>1828</v>
      </c>
      <c r="F126" s="40" t="s">
        <v>2177</v>
      </c>
      <c r="G126" s="39" t="s">
        <v>109</v>
      </c>
      <c r="H126" s="40" t="s">
        <v>1532</v>
      </c>
      <c r="I126" s="40" t="s">
        <v>104</v>
      </c>
      <c r="J126" s="50"/>
      <c r="K126" s="116" t="str">
        <f>IFERROR(VLOOKUP(B126,BD_CONTROL!$A$5:$M$4235,11,0),"")</f>
        <v>Instalado - Operando</v>
      </c>
      <c r="L126" s="117">
        <f>IFERROR(VLOOKUP(B126,BD_CONTROL!$A$5:$M$4235,12,0),"")</f>
        <v>46147</v>
      </c>
      <c r="M126" s="118">
        <f>IFERROR(VLOOKUP(B126,BD_CONTROL!$A$5:$M$4235,13,0),"")</f>
        <v>0</v>
      </c>
    </row>
    <row r="127" spans="1:13" ht="15" customHeight="1">
      <c r="A127" s="42">
        <v>122</v>
      </c>
      <c r="B127" s="42" t="s">
        <v>2178</v>
      </c>
      <c r="C127" s="43" t="s">
        <v>2179</v>
      </c>
      <c r="D127" s="42" t="s">
        <v>1530</v>
      </c>
      <c r="E127" s="43" t="s">
        <v>1653</v>
      </c>
      <c r="F127" s="43" t="s">
        <v>2180</v>
      </c>
      <c r="G127" s="42" t="s">
        <v>102</v>
      </c>
      <c r="H127" s="43" t="s">
        <v>1532</v>
      </c>
      <c r="I127" s="43" t="s">
        <v>104</v>
      </c>
      <c r="J127" s="55"/>
      <c r="K127" s="119" t="str">
        <f>IFERROR(VLOOKUP(B127,BD_CONTROL!$A$5:$M$4235,11,0),"")</f>
        <v>Instalado - Operando</v>
      </c>
      <c r="L127" s="120">
        <f>IFERROR(VLOOKUP(B127,BD_CONTROL!$A$5:$M$4235,12,0),"")</f>
        <v>46149</v>
      </c>
      <c r="M127" s="121">
        <f>IFERROR(VLOOKUP(B127,BD_CONTROL!$A$5:$M$4235,13,0),"")</f>
        <v>0</v>
      </c>
    </row>
    <row r="128" spans="1:13" ht="15" customHeight="1">
      <c r="A128" s="39">
        <v>123</v>
      </c>
      <c r="B128" s="39" t="s">
        <v>2213</v>
      </c>
      <c r="C128" s="40" t="s">
        <v>2214</v>
      </c>
      <c r="D128" s="39" t="s">
        <v>1530</v>
      </c>
      <c r="E128" s="40" t="s">
        <v>1578</v>
      </c>
      <c r="F128" s="40" t="s">
        <v>2215</v>
      </c>
      <c r="G128" s="39" t="s">
        <v>109</v>
      </c>
      <c r="H128" s="40" t="s">
        <v>1532</v>
      </c>
      <c r="I128" s="40" t="s">
        <v>104</v>
      </c>
      <c r="J128" s="50"/>
      <c r="K128" s="116" t="str">
        <f>IFERROR(VLOOKUP(B128,BD_CONTROL!$A$5:$M$4235,11,0),"")</f>
        <v>Instalado - Operando</v>
      </c>
      <c r="L128" s="117">
        <f>IFERROR(VLOOKUP(B128,BD_CONTROL!$A$5:$M$4235,12,0),"")</f>
        <v>46147</v>
      </c>
      <c r="M128" s="118">
        <f>IFERROR(VLOOKUP(B128,BD_CONTROL!$A$5:$M$4235,13,0),"")</f>
        <v>0</v>
      </c>
    </row>
    <row r="129" spans="1:13" ht="15" customHeight="1">
      <c r="A129" s="42">
        <v>124</v>
      </c>
      <c r="B129" s="42" t="s">
        <v>2258</v>
      </c>
      <c r="C129" s="43" t="s">
        <v>2259</v>
      </c>
      <c r="D129" s="42" t="s">
        <v>1530</v>
      </c>
      <c r="E129" s="43" t="s">
        <v>1549</v>
      </c>
      <c r="F129" s="43" t="s">
        <v>2260</v>
      </c>
      <c r="G129" s="42" t="s">
        <v>109</v>
      </c>
      <c r="H129" s="43" t="s">
        <v>1532</v>
      </c>
      <c r="I129" s="43" t="s">
        <v>104</v>
      </c>
      <c r="J129" s="55"/>
      <c r="K129" s="119">
        <f>IFERROR(VLOOKUP(B129,BD_CONTROL!$A$5:$M$4235,11,0),"")</f>
        <v>0</v>
      </c>
      <c r="L129" s="120">
        <f>IFERROR(VLOOKUP(B129,BD_CONTROL!$A$5:$M$4235,12,0),"")</f>
        <v>0</v>
      </c>
      <c r="M129" s="121">
        <f>IFERROR(VLOOKUP(B129,BD_CONTROL!$A$5:$M$4235,13,0),"")</f>
        <v>0</v>
      </c>
    </row>
    <row r="130" spans="1:13" ht="15" customHeight="1">
      <c r="A130" s="39">
        <v>125</v>
      </c>
      <c r="B130" s="39" t="s">
        <v>2261</v>
      </c>
      <c r="C130" s="40" t="s">
        <v>2262</v>
      </c>
      <c r="D130" s="39" t="s">
        <v>1530</v>
      </c>
      <c r="E130" s="40" t="s">
        <v>1549</v>
      </c>
      <c r="F130" s="40" t="s">
        <v>2263</v>
      </c>
      <c r="G130" s="39" t="s">
        <v>109</v>
      </c>
      <c r="H130" s="40" t="s">
        <v>1532</v>
      </c>
      <c r="I130" s="40" t="s">
        <v>104</v>
      </c>
      <c r="J130" s="50"/>
      <c r="K130" s="116" t="str">
        <f>IFERROR(VLOOKUP(B130,BD_CONTROL!$A$5:$M$4235,11,0),"")</f>
        <v>Instalado - Operando</v>
      </c>
      <c r="L130" s="117">
        <f>IFERROR(VLOOKUP(B130,BD_CONTROL!$A$5:$M$4235,12,0),"")</f>
        <v>46150</v>
      </c>
      <c r="M130" s="118">
        <f>IFERROR(VLOOKUP(B130,BD_CONTROL!$A$5:$M$4235,13,0),"")</f>
        <v>0</v>
      </c>
    </row>
    <row r="131" spans="1:13" ht="15" customHeight="1">
      <c r="A131" s="42">
        <v>126</v>
      </c>
      <c r="B131" s="42" t="s">
        <v>2269</v>
      </c>
      <c r="C131" s="43" t="s">
        <v>2270</v>
      </c>
      <c r="D131" s="42" t="s">
        <v>1530</v>
      </c>
      <c r="E131" s="43" t="s">
        <v>1596</v>
      </c>
      <c r="F131" s="43" t="s">
        <v>2271</v>
      </c>
      <c r="G131" s="42" t="s">
        <v>109</v>
      </c>
      <c r="H131" s="43" t="s">
        <v>1532</v>
      </c>
      <c r="I131" s="43" t="s">
        <v>104</v>
      </c>
      <c r="J131" s="55"/>
      <c r="K131" s="119">
        <f>IFERROR(VLOOKUP(B131,BD_CONTROL!$A$5:$M$4235,11,0),"")</f>
        <v>0</v>
      </c>
      <c r="L131" s="120">
        <f>IFERROR(VLOOKUP(B131,BD_CONTROL!$A$5:$M$4235,12,0),"")</f>
        <v>0</v>
      </c>
      <c r="M131" s="121">
        <f>IFERROR(VLOOKUP(B131,BD_CONTROL!$A$5:$M$4235,13,0),"")</f>
        <v>0</v>
      </c>
    </row>
    <row r="132" spans="1:13" ht="15" customHeight="1">
      <c r="A132" s="39">
        <v>127</v>
      </c>
      <c r="B132" s="39" t="s">
        <v>2272</v>
      </c>
      <c r="C132" s="40" t="s">
        <v>2273</v>
      </c>
      <c r="D132" s="39" t="s">
        <v>1530</v>
      </c>
      <c r="E132" s="40" t="s">
        <v>1596</v>
      </c>
      <c r="F132" s="40" t="s">
        <v>2274</v>
      </c>
      <c r="G132" s="39" t="s">
        <v>109</v>
      </c>
      <c r="H132" s="40" t="s">
        <v>1532</v>
      </c>
      <c r="I132" s="40" t="s">
        <v>104</v>
      </c>
      <c r="J132" s="50"/>
      <c r="K132" s="116">
        <f>IFERROR(VLOOKUP(B132,BD_CONTROL!$A$5:$M$4235,11,0),"")</f>
        <v>0</v>
      </c>
      <c r="L132" s="117">
        <f>IFERROR(VLOOKUP(B132,BD_CONTROL!$A$5:$M$4235,12,0),"")</f>
        <v>0</v>
      </c>
      <c r="M132" s="118">
        <f>IFERROR(VLOOKUP(B132,BD_CONTROL!$A$5:$M$4235,13,0),"")</f>
        <v>0</v>
      </c>
    </row>
    <row r="133" spans="1:13" ht="15" customHeight="1">
      <c r="A133" s="42">
        <v>128</v>
      </c>
      <c r="B133" s="42" t="s">
        <v>2275</v>
      </c>
      <c r="C133" s="43" t="s">
        <v>2276</v>
      </c>
      <c r="D133" s="42" t="s">
        <v>1530</v>
      </c>
      <c r="E133" s="43" t="s">
        <v>1596</v>
      </c>
      <c r="F133" s="43" t="s">
        <v>403</v>
      </c>
      <c r="G133" s="42" t="s">
        <v>109</v>
      </c>
      <c r="H133" s="43" t="s">
        <v>1532</v>
      </c>
      <c r="I133" s="43" t="s">
        <v>104</v>
      </c>
      <c r="J133" s="55"/>
      <c r="K133" s="119">
        <f>IFERROR(VLOOKUP(B133,BD_CONTROL!$A$5:$M$4235,11,0),"")</f>
        <v>0</v>
      </c>
      <c r="L133" s="120">
        <f>IFERROR(VLOOKUP(B133,BD_CONTROL!$A$5:$M$4235,12,0),"")</f>
        <v>0</v>
      </c>
      <c r="M133" s="121">
        <f>IFERROR(VLOOKUP(B133,BD_CONTROL!$A$5:$M$4235,13,0),"")</f>
        <v>0</v>
      </c>
    </row>
    <row r="134" spans="1:13" ht="15" customHeight="1">
      <c r="A134" s="39">
        <v>129</v>
      </c>
      <c r="B134" s="39" t="s">
        <v>2277</v>
      </c>
      <c r="C134" s="40" t="s">
        <v>2278</v>
      </c>
      <c r="D134" s="39" t="s">
        <v>1530</v>
      </c>
      <c r="E134" s="40" t="s">
        <v>1707</v>
      </c>
      <c r="F134" s="40" t="s">
        <v>2279</v>
      </c>
      <c r="G134" s="39" t="s">
        <v>109</v>
      </c>
      <c r="H134" s="40" t="s">
        <v>1532</v>
      </c>
      <c r="I134" s="40" t="s">
        <v>104</v>
      </c>
      <c r="J134" s="50"/>
      <c r="K134" s="116">
        <f>IFERROR(VLOOKUP(B134,BD_CONTROL!$A$5:$M$4235,11,0),"")</f>
        <v>0</v>
      </c>
      <c r="L134" s="117">
        <f>IFERROR(VLOOKUP(B134,BD_CONTROL!$A$5:$M$4235,12,0),"")</f>
        <v>0</v>
      </c>
      <c r="M134" s="118">
        <f>IFERROR(VLOOKUP(B134,BD_CONTROL!$A$5:$M$4235,13,0),"")</f>
        <v>0</v>
      </c>
    </row>
    <row r="135" spans="1:13" ht="15" customHeight="1">
      <c r="A135" s="42">
        <v>130</v>
      </c>
      <c r="B135" s="42" t="s">
        <v>2280</v>
      </c>
      <c r="C135" s="43" t="s">
        <v>2281</v>
      </c>
      <c r="D135" s="42" t="s">
        <v>1530</v>
      </c>
      <c r="E135" s="43" t="s">
        <v>1719</v>
      </c>
      <c r="F135" s="43" t="s">
        <v>2282</v>
      </c>
      <c r="G135" s="42" t="s">
        <v>109</v>
      </c>
      <c r="H135" s="43" t="s">
        <v>1532</v>
      </c>
      <c r="I135" s="43" t="s">
        <v>104</v>
      </c>
      <c r="J135" s="55"/>
      <c r="K135" s="119" t="str">
        <f>IFERROR(VLOOKUP(B135,BD_CONTROL!$A$5:$M$4235,11,0),"")</f>
        <v>Instalado - Operando</v>
      </c>
      <c r="L135" s="120">
        <f>IFERROR(VLOOKUP(B135,BD_CONTROL!$A$5:$M$4235,12,0),"")</f>
        <v>46150</v>
      </c>
      <c r="M135" s="121">
        <f>IFERROR(VLOOKUP(B135,BD_CONTROL!$A$5:$M$4235,13,0),"")</f>
        <v>0</v>
      </c>
    </row>
    <row r="136" spans="1:13" ht="15" customHeight="1">
      <c r="A136" s="39">
        <v>131</v>
      </c>
      <c r="B136" s="39" t="s">
        <v>2289</v>
      </c>
      <c r="C136" s="40" t="s">
        <v>2290</v>
      </c>
      <c r="D136" s="39" t="s">
        <v>1530</v>
      </c>
      <c r="E136" s="40" t="s">
        <v>1966</v>
      </c>
      <c r="F136" s="40" t="s">
        <v>2291</v>
      </c>
      <c r="G136" s="39" t="s">
        <v>109</v>
      </c>
      <c r="H136" s="40" t="s">
        <v>1532</v>
      </c>
      <c r="I136" s="40" t="s">
        <v>104</v>
      </c>
      <c r="J136" s="50"/>
      <c r="K136" s="116" t="str">
        <f>IFERROR(VLOOKUP(B136,BD_CONTROL!$A$5:$M$4235,11,0),"")</f>
        <v>Instalado - Sin Señal</v>
      </c>
      <c r="L136" s="117">
        <f>IFERROR(VLOOKUP(B136,BD_CONTROL!$A$5:$M$4235,12,0),"")</f>
        <v>46142</v>
      </c>
      <c r="M136" s="118">
        <f>IFERROR(VLOOKUP(B136,BD_CONTROL!$A$5:$M$4235,13,0),"")</f>
        <v>0</v>
      </c>
    </row>
    <row r="137" spans="1:13" ht="15" customHeight="1">
      <c r="A137" s="42">
        <v>132</v>
      </c>
      <c r="B137" s="42" t="s">
        <v>2292</v>
      </c>
      <c r="C137" s="43" t="s">
        <v>2293</v>
      </c>
      <c r="D137" s="42" t="s">
        <v>1530</v>
      </c>
      <c r="E137" s="43" t="s">
        <v>1966</v>
      </c>
      <c r="F137" s="43" t="s">
        <v>1967</v>
      </c>
      <c r="G137" s="42" t="s">
        <v>109</v>
      </c>
      <c r="H137" s="43" t="s">
        <v>1532</v>
      </c>
      <c r="I137" s="43" t="s">
        <v>104</v>
      </c>
      <c r="J137" s="55"/>
      <c r="K137" s="119" t="str">
        <f>IFERROR(VLOOKUP(B137,BD_CONTROL!$A$5:$M$4235,11,0),"")</f>
        <v>Instalado - Sin Señal</v>
      </c>
      <c r="L137" s="120">
        <f>IFERROR(VLOOKUP(B137,BD_CONTROL!$A$5:$M$4235,12,0),"")</f>
        <v>46140</v>
      </c>
      <c r="M137" s="121" t="str">
        <f>IFERROR(VLOOKUP(B137,BD_CONTROL!$A$5:$M$4235,13,0),"")</f>
        <v>INSTALADO= Instalado, no operando, con reporte a mesa de ayuda</v>
      </c>
    </row>
    <row r="138" spans="1:13" ht="15" customHeight="1">
      <c r="A138" s="39">
        <v>133</v>
      </c>
      <c r="B138" s="39" t="s">
        <v>2294</v>
      </c>
      <c r="C138" s="40" t="s">
        <v>2295</v>
      </c>
      <c r="D138" s="39" t="s">
        <v>1530</v>
      </c>
      <c r="E138" s="40" t="s">
        <v>1731</v>
      </c>
      <c r="F138" s="40" t="s">
        <v>1730</v>
      </c>
      <c r="G138" s="39" t="s">
        <v>109</v>
      </c>
      <c r="H138" s="40" t="s">
        <v>1532</v>
      </c>
      <c r="I138" s="40" t="s">
        <v>104</v>
      </c>
      <c r="J138" s="50"/>
      <c r="K138" s="116" t="str">
        <f>IFERROR(VLOOKUP(B138,BD_CONTROL!$A$5:$M$4235,11,0),"")</f>
        <v>Instalado - Operando</v>
      </c>
      <c r="L138" s="117">
        <f>IFERROR(VLOOKUP(B138,BD_CONTROL!$A$5:$M$4235,12,0),"")</f>
        <v>46140</v>
      </c>
      <c r="M138" s="118">
        <f>IFERROR(VLOOKUP(B138,BD_CONTROL!$A$5:$M$4235,13,0),"")</f>
        <v>0</v>
      </c>
    </row>
    <row r="139" spans="1:13" ht="15" customHeight="1">
      <c r="A139" s="42">
        <v>134</v>
      </c>
      <c r="B139" s="42" t="s">
        <v>2296</v>
      </c>
      <c r="C139" s="43" t="s">
        <v>2297</v>
      </c>
      <c r="D139" s="42" t="s">
        <v>1530</v>
      </c>
      <c r="E139" s="43" t="s">
        <v>1734</v>
      </c>
      <c r="F139" s="43" t="s">
        <v>2298</v>
      </c>
      <c r="G139" s="42" t="s">
        <v>109</v>
      </c>
      <c r="H139" s="43" t="s">
        <v>1532</v>
      </c>
      <c r="I139" s="43" t="s">
        <v>104</v>
      </c>
      <c r="J139" s="55"/>
      <c r="K139" s="119" t="str">
        <f>IFERROR(VLOOKUP(B139,BD_CONTROL!$A$5:$M$4235,11,0),"")</f>
        <v>Instalado - Operando</v>
      </c>
      <c r="L139" s="120">
        <f>IFERROR(VLOOKUP(B139,BD_CONTROL!$A$5:$M$4235,12,0),"")</f>
        <v>46140</v>
      </c>
      <c r="M139" s="121">
        <f>IFERROR(VLOOKUP(B139,BD_CONTROL!$A$5:$M$4235,13,0),"")</f>
        <v>0</v>
      </c>
    </row>
    <row r="140" spans="1:13" ht="15" customHeight="1">
      <c r="A140" s="39">
        <v>135</v>
      </c>
      <c r="B140" s="39" t="s">
        <v>2299</v>
      </c>
      <c r="C140" s="40" t="s">
        <v>2300</v>
      </c>
      <c r="D140" s="39" t="s">
        <v>1530</v>
      </c>
      <c r="E140" s="40" t="s">
        <v>1734</v>
      </c>
      <c r="F140" s="40" t="s">
        <v>2301</v>
      </c>
      <c r="G140" s="39" t="s">
        <v>109</v>
      </c>
      <c r="H140" s="40" t="s">
        <v>1532</v>
      </c>
      <c r="I140" s="40" t="s">
        <v>104</v>
      </c>
      <c r="J140" s="50"/>
      <c r="K140" s="116" t="str">
        <f>IFERROR(VLOOKUP(B140,BD_CONTROL!$A$5:$M$4235,11,0),"")</f>
        <v>Instalado - Operando</v>
      </c>
      <c r="L140" s="117">
        <f>IFERROR(VLOOKUP(B140,BD_CONTROL!$A$5:$M$4235,12,0),"")</f>
        <v>46148</v>
      </c>
      <c r="M140" s="118">
        <f>IFERROR(VLOOKUP(B140,BD_CONTROL!$A$5:$M$4235,13,0),"")</f>
        <v>0</v>
      </c>
    </row>
    <row r="141" spans="1:13" ht="15" customHeight="1">
      <c r="A141" s="42">
        <v>136</v>
      </c>
      <c r="B141" s="42" t="s">
        <v>2302</v>
      </c>
      <c r="C141" s="43" t="s">
        <v>2303</v>
      </c>
      <c r="D141" s="42" t="s">
        <v>1530</v>
      </c>
      <c r="E141" s="43" t="s">
        <v>1734</v>
      </c>
      <c r="F141" s="43" t="s">
        <v>2304</v>
      </c>
      <c r="G141" s="42" t="s">
        <v>109</v>
      </c>
      <c r="H141" s="43" t="s">
        <v>1532</v>
      </c>
      <c r="I141" s="43" t="s">
        <v>104</v>
      </c>
      <c r="J141" s="55"/>
      <c r="K141" s="119">
        <f>IFERROR(VLOOKUP(B141,BD_CONTROL!$A$5:$M$4235,11,0),"")</f>
        <v>0</v>
      </c>
      <c r="L141" s="120">
        <f>IFERROR(VLOOKUP(B141,BD_CONTROL!$A$5:$M$4235,12,0),"")</f>
        <v>0</v>
      </c>
      <c r="M141" s="121">
        <f>IFERROR(VLOOKUP(B141,BD_CONTROL!$A$5:$M$4235,13,0),"")</f>
        <v>0</v>
      </c>
    </row>
    <row r="142" spans="1:13" ht="15" customHeight="1">
      <c r="A142" s="39">
        <v>137</v>
      </c>
      <c r="B142" s="39" t="s">
        <v>2305</v>
      </c>
      <c r="C142" s="40" t="s">
        <v>2306</v>
      </c>
      <c r="D142" s="39" t="s">
        <v>1530</v>
      </c>
      <c r="E142" s="40" t="s">
        <v>1734</v>
      </c>
      <c r="F142" s="40" t="s">
        <v>2307</v>
      </c>
      <c r="G142" s="39" t="s">
        <v>109</v>
      </c>
      <c r="H142" s="40" t="s">
        <v>1532</v>
      </c>
      <c r="I142" s="40" t="s">
        <v>104</v>
      </c>
      <c r="J142" s="50"/>
      <c r="K142" s="116" t="str">
        <f>IFERROR(VLOOKUP(B142,BD_CONTROL!$A$5:$M$4235,11,0),"")</f>
        <v>Instalado - Operando</v>
      </c>
      <c r="L142" s="117">
        <f>IFERROR(VLOOKUP(B142,BD_CONTROL!$A$5:$M$4235,12,0),"")</f>
        <v>46149</v>
      </c>
      <c r="M142" s="118">
        <f>IFERROR(VLOOKUP(B142,BD_CONTROL!$A$5:$M$4235,13,0),"")</f>
        <v>0</v>
      </c>
    </row>
    <row r="143" spans="1:13" ht="15" customHeight="1">
      <c r="A143" s="42">
        <v>138</v>
      </c>
      <c r="B143" s="42" t="s">
        <v>2308</v>
      </c>
      <c r="C143" s="43" t="s">
        <v>2309</v>
      </c>
      <c r="D143" s="42" t="s">
        <v>1530</v>
      </c>
      <c r="E143" s="43" t="s">
        <v>1734</v>
      </c>
      <c r="F143" s="43" t="s">
        <v>2310</v>
      </c>
      <c r="G143" s="42" t="s">
        <v>109</v>
      </c>
      <c r="H143" s="43" t="s">
        <v>1532</v>
      </c>
      <c r="I143" s="43" t="s">
        <v>104</v>
      </c>
      <c r="J143" s="55"/>
      <c r="K143" s="119" t="str">
        <f>IFERROR(VLOOKUP(B143,BD_CONTROL!$A$5:$M$4235,11,0),"")</f>
        <v>Instalado - Operando</v>
      </c>
      <c r="L143" s="120">
        <f>IFERROR(VLOOKUP(B143,BD_CONTROL!$A$5:$M$4235,12,0),"")</f>
        <v>46140</v>
      </c>
      <c r="M143" s="121">
        <f>IFERROR(VLOOKUP(B143,BD_CONTROL!$A$5:$M$4235,13,0),"")</f>
        <v>0</v>
      </c>
    </row>
    <row r="144" spans="1:13" ht="15" customHeight="1">
      <c r="A144" s="39">
        <v>139</v>
      </c>
      <c r="B144" s="39" t="s">
        <v>2311</v>
      </c>
      <c r="C144" s="40" t="s">
        <v>2312</v>
      </c>
      <c r="D144" s="39" t="s">
        <v>1530</v>
      </c>
      <c r="E144" s="40" t="s">
        <v>1734</v>
      </c>
      <c r="F144" s="40" t="s">
        <v>1973</v>
      </c>
      <c r="G144" s="39" t="s">
        <v>109</v>
      </c>
      <c r="H144" s="40" t="s">
        <v>1532</v>
      </c>
      <c r="I144" s="40" t="s">
        <v>104</v>
      </c>
      <c r="J144" s="50"/>
      <c r="K144" s="116" t="str">
        <f>IFERROR(VLOOKUP(B144,BD_CONTROL!$A$5:$M$4235,11,0),"")</f>
        <v>Instalado - Operando</v>
      </c>
      <c r="L144" s="117">
        <f>IFERROR(VLOOKUP(B144,BD_CONTROL!$A$5:$M$4235,12,0),"")</f>
        <v>46148</v>
      </c>
      <c r="M144" s="118">
        <f>IFERROR(VLOOKUP(B144,BD_CONTROL!$A$5:$M$4235,13,0),"")</f>
        <v>0</v>
      </c>
    </row>
    <row r="145" spans="1:13" ht="15" customHeight="1">
      <c r="A145" s="42">
        <v>140</v>
      </c>
      <c r="B145" s="42" t="s">
        <v>2313</v>
      </c>
      <c r="C145" s="43" t="s">
        <v>2314</v>
      </c>
      <c r="D145" s="42" t="s">
        <v>1530</v>
      </c>
      <c r="E145" s="43" t="s">
        <v>1734</v>
      </c>
      <c r="F145" s="43" t="s">
        <v>2315</v>
      </c>
      <c r="G145" s="42" t="s">
        <v>109</v>
      </c>
      <c r="H145" s="43" t="s">
        <v>1532</v>
      </c>
      <c r="I145" s="43" t="s">
        <v>104</v>
      </c>
      <c r="J145" s="55"/>
      <c r="K145" s="119" t="str">
        <f>IFERROR(VLOOKUP(B145,BD_CONTROL!$A$5:$M$4235,11,0),"")</f>
        <v>Instalado - Operando</v>
      </c>
      <c r="L145" s="120">
        <f>IFERROR(VLOOKUP(B145,BD_CONTROL!$A$5:$M$4235,12,0),"")</f>
        <v>46150</v>
      </c>
      <c r="M145" s="121">
        <f>IFERROR(VLOOKUP(B145,BD_CONTROL!$A$5:$M$4235,13,0),"")</f>
        <v>0</v>
      </c>
    </row>
    <row r="146" spans="1:13" ht="15" customHeight="1">
      <c r="A146" s="39">
        <v>141</v>
      </c>
      <c r="B146" s="39" t="s">
        <v>2316</v>
      </c>
      <c r="C146" s="40" t="s">
        <v>2317</v>
      </c>
      <c r="D146" s="39" t="s">
        <v>1530</v>
      </c>
      <c r="E146" s="40" t="s">
        <v>1734</v>
      </c>
      <c r="F146" s="40" t="s">
        <v>2318</v>
      </c>
      <c r="G146" s="39" t="s">
        <v>109</v>
      </c>
      <c r="H146" s="40" t="s">
        <v>1532</v>
      </c>
      <c r="I146" s="40" t="s">
        <v>104</v>
      </c>
      <c r="J146" s="50"/>
      <c r="K146" s="116" t="str">
        <f>IFERROR(VLOOKUP(B146,BD_CONTROL!$A$5:$M$4235,11,0),"")</f>
        <v>Instalado - Operando</v>
      </c>
      <c r="L146" s="117">
        <f>IFERROR(VLOOKUP(B146,BD_CONTROL!$A$5:$M$4235,12,0),"")</f>
        <v>46150</v>
      </c>
      <c r="M146" s="118">
        <f>IFERROR(VLOOKUP(B146,BD_CONTROL!$A$5:$M$4235,13,0),"")</f>
        <v>0</v>
      </c>
    </row>
    <row r="147" spans="1:13" ht="15" customHeight="1">
      <c r="A147" s="42">
        <v>142</v>
      </c>
      <c r="B147" s="42" t="s">
        <v>2319</v>
      </c>
      <c r="C147" s="43" t="s">
        <v>2320</v>
      </c>
      <c r="D147" s="42" t="s">
        <v>1530</v>
      </c>
      <c r="E147" s="43" t="s">
        <v>1979</v>
      </c>
      <c r="F147" s="43" t="s">
        <v>2321</v>
      </c>
      <c r="G147" s="42" t="s">
        <v>109</v>
      </c>
      <c r="H147" s="43" t="s">
        <v>1532</v>
      </c>
      <c r="I147" s="43" t="s">
        <v>104</v>
      </c>
      <c r="J147" s="55"/>
      <c r="K147" s="119" t="str">
        <f>IFERROR(VLOOKUP(B147,BD_CONTROL!$A$5:$M$4235,11,0),"")</f>
        <v>Instalado - Operando</v>
      </c>
      <c r="L147" s="120">
        <f>IFERROR(VLOOKUP(B147,BD_CONTROL!$A$5:$M$4235,12,0),"")</f>
        <v>46149</v>
      </c>
      <c r="M147" s="121">
        <f>IFERROR(VLOOKUP(B147,BD_CONTROL!$A$5:$M$4235,13,0),"")</f>
        <v>0</v>
      </c>
    </row>
    <row r="148" spans="1:13" ht="15" customHeight="1">
      <c r="A148" s="39">
        <v>143</v>
      </c>
      <c r="B148" s="39" t="s">
        <v>2322</v>
      </c>
      <c r="C148" s="40" t="s">
        <v>2323</v>
      </c>
      <c r="D148" s="39" t="s">
        <v>1530</v>
      </c>
      <c r="E148" s="40" t="s">
        <v>1979</v>
      </c>
      <c r="F148" s="40" t="s">
        <v>2324</v>
      </c>
      <c r="G148" s="39" t="s">
        <v>109</v>
      </c>
      <c r="H148" s="40" t="s">
        <v>1532</v>
      </c>
      <c r="I148" s="40" t="s">
        <v>104</v>
      </c>
      <c r="J148" s="50"/>
      <c r="K148" s="116">
        <f>IFERROR(VLOOKUP(B148,BD_CONTROL!$A$5:$M$4235,11,0),"")</f>
        <v>0</v>
      </c>
      <c r="L148" s="117">
        <f>IFERROR(VLOOKUP(B148,BD_CONTROL!$A$5:$M$4235,12,0),"")</f>
        <v>0</v>
      </c>
      <c r="M148" s="118">
        <f>IFERROR(VLOOKUP(B148,BD_CONTROL!$A$5:$M$4235,13,0),"")</f>
        <v>0</v>
      </c>
    </row>
    <row r="149" spans="1:13" ht="15" customHeight="1">
      <c r="A149" s="42">
        <v>144</v>
      </c>
      <c r="B149" s="42" t="s">
        <v>2325</v>
      </c>
      <c r="C149" s="43" t="s">
        <v>2326</v>
      </c>
      <c r="D149" s="42" t="s">
        <v>1530</v>
      </c>
      <c r="E149" s="43" t="s">
        <v>1628</v>
      </c>
      <c r="F149" s="43" t="s">
        <v>461</v>
      </c>
      <c r="G149" s="42" t="s">
        <v>109</v>
      </c>
      <c r="H149" s="43" t="s">
        <v>1532</v>
      </c>
      <c r="I149" s="43" t="s">
        <v>104</v>
      </c>
      <c r="J149" s="55"/>
      <c r="K149" s="119" t="str">
        <f>IFERROR(VLOOKUP(B149,BD_CONTROL!$A$5:$M$4235,11,0),"")</f>
        <v>Instalado - Operando</v>
      </c>
      <c r="L149" s="120">
        <f>IFERROR(VLOOKUP(B149,BD_CONTROL!$A$5:$M$4235,12,0),"")</f>
        <v>46141</v>
      </c>
      <c r="M149" s="121">
        <f>IFERROR(VLOOKUP(B149,BD_CONTROL!$A$5:$M$4235,13,0),"")</f>
        <v>0</v>
      </c>
    </row>
    <row r="150" spans="1:13" ht="15" customHeight="1">
      <c r="A150" s="39">
        <v>145</v>
      </c>
      <c r="B150" s="39" t="s">
        <v>2327</v>
      </c>
      <c r="C150" s="40" t="s">
        <v>2328</v>
      </c>
      <c r="D150" s="39" t="s">
        <v>1530</v>
      </c>
      <c r="E150" s="40" t="s">
        <v>1756</v>
      </c>
      <c r="F150" s="40" t="s">
        <v>1756</v>
      </c>
      <c r="G150" s="39" t="s">
        <v>109</v>
      </c>
      <c r="H150" s="40" t="s">
        <v>1532</v>
      </c>
      <c r="I150" s="40" t="s">
        <v>104</v>
      </c>
      <c r="J150" s="50"/>
      <c r="K150" s="116" t="str">
        <f>IFERROR(VLOOKUP(B150,BD_CONTROL!$A$5:$M$4235,11,0),"")</f>
        <v>Instalado - Sin Señal</v>
      </c>
      <c r="L150" s="117">
        <f>IFERROR(VLOOKUP(B150,BD_CONTROL!$A$5:$M$4235,12,0),"")</f>
        <v>46148</v>
      </c>
      <c r="M150" s="118" t="str">
        <f>IFERROR(VLOOKUP(B150,BD_CONTROL!$A$5:$M$4235,13,0),"")</f>
        <v>Instalado, no operando, con reporte a mesa de ayuda</v>
      </c>
    </row>
    <row r="151" spans="1:13" ht="15" customHeight="1">
      <c r="A151" s="42">
        <v>146</v>
      </c>
      <c r="B151" s="42" t="s">
        <v>2329</v>
      </c>
      <c r="C151" s="43" t="s">
        <v>2330</v>
      </c>
      <c r="D151" s="42" t="s">
        <v>1530</v>
      </c>
      <c r="E151" s="43" t="s">
        <v>1607</v>
      </c>
      <c r="F151" s="43" t="s">
        <v>2331</v>
      </c>
      <c r="G151" s="42" t="s">
        <v>109</v>
      </c>
      <c r="H151" s="43" t="s">
        <v>1532</v>
      </c>
      <c r="I151" s="43" t="s">
        <v>104</v>
      </c>
      <c r="J151" s="55"/>
      <c r="K151" s="119" t="str">
        <f>IFERROR(VLOOKUP(B151,BD_CONTROL!$A$5:$M$4235,11,0),"")</f>
        <v>Instalado - Operando</v>
      </c>
      <c r="L151" s="120">
        <f>IFERROR(VLOOKUP(B151,BD_CONTROL!$A$5:$M$4235,12,0),"")</f>
        <v>46150</v>
      </c>
      <c r="M151" s="121">
        <f>IFERROR(VLOOKUP(B151,BD_CONTROL!$A$5:$M$4235,13,0),"")</f>
        <v>0</v>
      </c>
    </row>
    <row r="152" spans="1:13" ht="15" customHeight="1">
      <c r="A152" s="39">
        <v>147</v>
      </c>
      <c r="B152" s="39" t="s">
        <v>2334</v>
      </c>
      <c r="C152" s="40" t="s">
        <v>2335</v>
      </c>
      <c r="D152" s="39" t="s">
        <v>1530</v>
      </c>
      <c r="E152" s="40" t="s">
        <v>1531</v>
      </c>
      <c r="F152" s="40" t="s">
        <v>2336</v>
      </c>
      <c r="G152" s="39" t="s">
        <v>109</v>
      </c>
      <c r="H152" s="40" t="s">
        <v>1532</v>
      </c>
      <c r="I152" s="40" t="s">
        <v>104</v>
      </c>
      <c r="J152" s="50"/>
      <c r="K152" s="116">
        <f>IFERROR(VLOOKUP(B152,BD_CONTROL!$A$5:$M$4235,11,0),"")</f>
        <v>0</v>
      </c>
      <c r="L152" s="117">
        <f>IFERROR(VLOOKUP(B152,BD_CONTROL!$A$5:$M$4235,12,0),"")</f>
        <v>0</v>
      </c>
      <c r="M152" s="118">
        <f>IFERROR(VLOOKUP(B152,BD_CONTROL!$A$5:$M$4235,13,0),"")</f>
        <v>0</v>
      </c>
    </row>
    <row r="153" spans="1:13" ht="15" customHeight="1">
      <c r="A153" s="42">
        <v>148</v>
      </c>
      <c r="B153" s="42" t="s">
        <v>2337</v>
      </c>
      <c r="C153" s="43" t="s">
        <v>2338</v>
      </c>
      <c r="D153" s="42" t="s">
        <v>1530</v>
      </c>
      <c r="E153" s="43" t="s">
        <v>1531</v>
      </c>
      <c r="F153" s="43" t="s">
        <v>1575</v>
      </c>
      <c r="G153" s="42" t="s">
        <v>109</v>
      </c>
      <c r="H153" s="43" t="s">
        <v>1532</v>
      </c>
      <c r="I153" s="43" t="s">
        <v>104</v>
      </c>
      <c r="J153" s="55"/>
      <c r="K153" s="119">
        <f>IFERROR(VLOOKUP(B153,BD_CONTROL!$A$5:$M$4235,11,0),"")</f>
        <v>0</v>
      </c>
      <c r="L153" s="120">
        <f>IFERROR(VLOOKUP(B153,BD_CONTROL!$A$5:$M$4235,12,0),"")</f>
        <v>0</v>
      </c>
      <c r="M153" s="121">
        <f>IFERROR(VLOOKUP(B153,BD_CONTROL!$A$5:$M$4235,13,0),"")</f>
        <v>0</v>
      </c>
    </row>
    <row r="154" spans="1:13" ht="15" customHeight="1">
      <c r="A154" s="39">
        <v>149</v>
      </c>
      <c r="B154" s="39" t="s">
        <v>2339</v>
      </c>
      <c r="C154" s="40" t="s">
        <v>2340</v>
      </c>
      <c r="D154" s="39" t="s">
        <v>1530</v>
      </c>
      <c r="E154" s="40" t="s">
        <v>2341</v>
      </c>
      <c r="F154" s="40" t="s">
        <v>2342</v>
      </c>
      <c r="G154" s="39" t="s">
        <v>109</v>
      </c>
      <c r="H154" s="40" t="s">
        <v>1532</v>
      </c>
      <c r="I154" s="40" t="s">
        <v>104</v>
      </c>
      <c r="J154" s="50"/>
      <c r="K154" s="116" t="str">
        <f>IFERROR(VLOOKUP(B154,BD_CONTROL!$A$5:$M$4235,11,0),"")</f>
        <v>Instalado - Operando</v>
      </c>
      <c r="L154" s="117">
        <f>IFERROR(VLOOKUP(B154,BD_CONTROL!$A$5:$M$4235,12,0),"")</f>
        <v>46142</v>
      </c>
      <c r="M154" s="118">
        <f>IFERROR(VLOOKUP(B154,BD_CONTROL!$A$5:$M$4235,13,0),"")</f>
        <v>0</v>
      </c>
    </row>
    <row r="155" spans="1:13" ht="15" customHeight="1">
      <c r="A155" s="42">
        <v>150</v>
      </c>
      <c r="B155" s="42" t="s">
        <v>2343</v>
      </c>
      <c r="C155" s="43" t="s">
        <v>2344</v>
      </c>
      <c r="D155" s="42" t="s">
        <v>1530</v>
      </c>
      <c r="E155" s="43" t="s">
        <v>1653</v>
      </c>
      <c r="F155" s="43" t="s">
        <v>2345</v>
      </c>
      <c r="G155" s="42" t="s">
        <v>109</v>
      </c>
      <c r="H155" s="43" t="s">
        <v>1532</v>
      </c>
      <c r="I155" s="43" t="s">
        <v>104</v>
      </c>
      <c r="J155" s="55"/>
      <c r="K155" s="119" t="str">
        <f>IFERROR(VLOOKUP(B155,BD_CONTROL!$A$5:$M$4235,11,0),"")</f>
        <v>Instalado - Operando</v>
      </c>
      <c r="L155" s="120">
        <f>IFERROR(VLOOKUP(B155,BD_CONTROL!$A$5:$M$4235,12,0),"")</f>
        <v>46150</v>
      </c>
      <c r="M155" s="121">
        <f>IFERROR(VLOOKUP(B155,BD_CONTROL!$A$5:$M$4235,13,0),"")</f>
        <v>0</v>
      </c>
    </row>
    <row r="156" spans="1:13" ht="15" customHeight="1">
      <c r="A156" s="39">
        <v>151</v>
      </c>
      <c r="B156" s="39" t="s">
        <v>2346</v>
      </c>
      <c r="C156" s="40" t="s">
        <v>2347</v>
      </c>
      <c r="D156" s="39" t="s">
        <v>1530</v>
      </c>
      <c r="E156" s="40" t="s">
        <v>1653</v>
      </c>
      <c r="F156" s="40" t="s">
        <v>2348</v>
      </c>
      <c r="G156" s="39" t="s">
        <v>109</v>
      </c>
      <c r="H156" s="40" t="s">
        <v>1532</v>
      </c>
      <c r="I156" s="40" t="s">
        <v>104</v>
      </c>
      <c r="J156" s="50"/>
      <c r="K156" s="116" t="str">
        <f>IFERROR(VLOOKUP(B156,BD_CONTROL!$A$5:$M$4235,11,0),"")</f>
        <v>Instalado - Sin Señal</v>
      </c>
      <c r="L156" s="117">
        <f>IFERROR(VLOOKUP(B156,BD_CONTROL!$A$5:$M$4235,12,0),"")</f>
        <v>46150</v>
      </c>
      <c r="M156" s="118" t="str">
        <f>IFERROR(VLOOKUP(B156,BD_CONTROL!$A$5:$M$4235,13,0),"")</f>
        <v>Instalado, no operando, con reporte a mesa de ayuda</v>
      </c>
    </row>
    <row r="157" spans="1:13" ht="15" customHeight="1">
      <c r="A157" s="42">
        <v>152</v>
      </c>
      <c r="B157" s="42" t="s">
        <v>2357</v>
      </c>
      <c r="C157" s="43" t="s">
        <v>2358</v>
      </c>
      <c r="D157" s="42" t="s">
        <v>1530</v>
      </c>
      <c r="E157" s="43" t="s">
        <v>1549</v>
      </c>
      <c r="F157" s="43" t="s">
        <v>2359</v>
      </c>
      <c r="G157" s="42" t="s">
        <v>109</v>
      </c>
      <c r="H157" s="43" t="s">
        <v>1532</v>
      </c>
      <c r="I157" s="43" t="s">
        <v>104</v>
      </c>
      <c r="J157" s="55"/>
      <c r="K157" s="119" t="str">
        <f>IFERROR(VLOOKUP(B157,BD_CONTROL!$A$5:$M$4235,11,0),"")</f>
        <v>Instalado - Sin Señal</v>
      </c>
      <c r="L157" s="120">
        <f>IFERROR(VLOOKUP(B157,BD_CONTROL!$A$5:$M$4235,12,0),"")</f>
        <v>46149</v>
      </c>
      <c r="M157" s="121" t="str">
        <f>IFERROR(VLOOKUP(B157,BD_CONTROL!$A$5:$M$4235,13,0),"")</f>
        <v xml:space="preserve">Instalado, no operando, con reporte a mesa de ayuda
</v>
      </c>
    </row>
    <row r="158" spans="1:13" ht="15" customHeight="1">
      <c r="A158" s="39">
        <v>153</v>
      </c>
      <c r="B158" s="39" t="s">
        <v>2372</v>
      </c>
      <c r="C158" s="40" t="s">
        <v>2373</v>
      </c>
      <c r="D158" s="39" t="s">
        <v>1530</v>
      </c>
      <c r="E158" s="40" t="s">
        <v>1966</v>
      </c>
      <c r="F158" s="40" t="s">
        <v>2374</v>
      </c>
      <c r="G158" s="39" t="s">
        <v>109</v>
      </c>
      <c r="H158" s="40" t="s">
        <v>1532</v>
      </c>
      <c r="I158" s="40" t="s">
        <v>104</v>
      </c>
      <c r="J158" s="50"/>
      <c r="K158" s="116">
        <f>IFERROR(VLOOKUP(B158,BD_CONTROL!$A$5:$M$4235,11,0),"")</f>
        <v>0</v>
      </c>
      <c r="L158" s="117">
        <f>IFERROR(VLOOKUP(B158,BD_CONTROL!$A$5:$M$4235,12,0),"")</f>
        <v>0</v>
      </c>
      <c r="M158" s="118">
        <f>IFERROR(VLOOKUP(B158,BD_CONTROL!$A$5:$M$4235,13,0),"")</f>
        <v>0</v>
      </c>
    </row>
    <row r="159" spans="1:13" ht="15" customHeight="1">
      <c r="A159" s="42">
        <v>154</v>
      </c>
      <c r="B159" s="42" t="s">
        <v>2375</v>
      </c>
      <c r="C159" s="43" t="s">
        <v>2376</v>
      </c>
      <c r="D159" s="42" t="s">
        <v>1530</v>
      </c>
      <c r="E159" s="43" t="s">
        <v>1966</v>
      </c>
      <c r="F159" s="43" t="s">
        <v>2377</v>
      </c>
      <c r="G159" s="42" t="s">
        <v>109</v>
      </c>
      <c r="H159" s="43" t="s">
        <v>1532</v>
      </c>
      <c r="I159" s="43" t="s">
        <v>104</v>
      </c>
      <c r="J159" s="55"/>
      <c r="K159" s="119">
        <f>IFERROR(VLOOKUP(B159,BD_CONTROL!$A$5:$M$4235,11,0),"")</f>
        <v>0</v>
      </c>
      <c r="L159" s="120">
        <f>IFERROR(VLOOKUP(B159,BD_CONTROL!$A$5:$M$4235,12,0),"")</f>
        <v>0</v>
      </c>
      <c r="M159" s="121">
        <f>IFERROR(VLOOKUP(B159,BD_CONTROL!$A$5:$M$4235,13,0),"")</f>
        <v>0</v>
      </c>
    </row>
    <row r="160" spans="1:13" ht="15" customHeight="1">
      <c r="A160" s="39">
        <v>155</v>
      </c>
      <c r="B160" s="39" t="s">
        <v>2378</v>
      </c>
      <c r="C160" s="40" t="s">
        <v>2379</v>
      </c>
      <c r="D160" s="39" t="s">
        <v>1530</v>
      </c>
      <c r="E160" s="40" t="s">
        <v>1731</v>
      </c>
      <c r="F160" s="40" t="s">
        <v>1970</v>
      </c>
      <c r="G160" s="39" t="s">
        <v>109</v>
      </c>
      <c r="H160" s="40" t="s">
        <v>1532</v>
      </c>
      <c r="I160" s="40" t="s">
        <v>104</v>
      </c>
      <c r="J160" s="50"/>
      <c r="K160" s="116" t="str">
        <f>IFERROR(VLOOKUP(B160,BD_CONTROL!$A$5:$M$4235,11,0),"")</f>
        <v>Instalado - Operando</v>
      </c>
      <c r="L160" s="117">
        <f>IFERROR(VLOOKUP(B160,BD_CONTROL!$A$5:$M$4235,12,0),"")</f>
        <v>46141</v>
      </c>
      <c r="M160" s="118">
        <f>IFERROR(VLOOKUP(B160,BD_CONTROL!$A$5:$M$4235,13,0),"")</f>
        <v>0</v>
      </c>
    </row>
    <row r="161" spans="1:13" ht="15" customHeight="1">
      <c r="A161" s="42">
        <v>156</v>
      </c>
      <c r="B161" s="42" t="s">
        <v>2380</v>
      </c>
      <c r="C161" s="43" t="s">
        <v>2381</v>
      </c>
      <c r="D161" s="42" t="s">
        <v>1530</v>
      </c>
      <c r="E161" s="43" t="s">
        <v>1734</v>
      </c>
      <c r="F161" s="43" t="s">
        <v>2080</v>
      </c>
      <c r="G161" s="42" t="s">
        <v>109</v>
      </c>
      <c r="H161" s="43" t="s">
        <v>1532</v>
      </c>
      <c r="I161" s="43" t="s">
        <v>104</v>
      </c>
      <c r="J161" s="55"/>
      <c r="K161" s="119" t="str">
        <f>IFERROR(VLOOKUP(B161,BD_CONTROL!$A$5:$M$4235,11,0),"")</f>
        <v>Instalado - Sin Señal</v>
      </c>
      <c r="L161" s="120">
        <f>IFERROR(VLOOKUP(B161,BD_CONTROL!$A$5:$M$4235,12,0),"")</f>
        <v>46146</v>
      </c>
      <c r="M161" s="121" t="str">
        <f>IFERROR(VLOOKUP(B161,BD_CONTROL!$A$5:$M$4235,13,0),"")</f>
        <v>Instalado, no operando, con reporte a mesa de ayuda</v>
      </c>
    </row>
    <row r="162" spans="1:13" ht="15" customHeight="1">
      <c r="A162" s="39">
        <v>157</v>
      </c>
      <c r="B162" s="39" t="s">
        <v>2382</v>
      </c>
      <c r="C162" s="40" t="s">
        <v>1146</v>
      </c>
      <c r="D162" s="39" t="s">
        <v>1530</v>
      </c>
      <c r="E162" s="40" t="s">
        <v>1639</v>
      </c>
      <c r="F162" s="40" t="s">
        <v>2383</v>
      </c>
      <c r="G162" s="39" t="s">
        <v>102</v>
      </c>
      <c r="H162" s="40" t="s">
        <v>1532</v>
      </c>
      <c r="I162" s="40" t="s">
        <v>104</v>
      </c>
      <c r="J162" s="50"/>
      <c r="K162" s="116">
        <f>IFERROR(VLOOKUP(B162,BD_CONTROL!$A$5:$M$4235,11,0),"")</f>
        <v>0</v>
      </c>
      <c r="L162" s="117">
        <f>IFERROR(VLOOKUP(B162,BD_CONTROL!$A$5:$M$4235,12,0),"")</f>
        <v>0</v>
      </c>
      <c r="M162" s="118">
        <f>IFERROR(VLOOKUP(B162,BD_CONTROL!$A$5:$M$4235,13,0),"")</f>
        <v>0</v>
      </c>
    </row>
    <row r="163" spans="1:13" ht="15" customHeight="1">
      <c r="A163" s="42">
        <v>158</v>
      </c>
      <c r="B163" s="42" t="s">
        <v>2387</v>
      </c>
      <c r="C163" s="43" t="s">
        <v>2388</v>
      </c>
      <c r="D163" s="42" t="s">
        <v>1530</v>
      </c>
      <c r="E163" s="43" t="s">
        <v>1828</v>
      </c>
      <c r="F163" s="43" t="s">
        <v>2389</v>
      </c>
      <c r="G163" s="42" t="s">
        <v>109</v>
      </c>
      <c r="H163" s="43" t="s">
        <v>1532</v>
      </c>
      <c r="I163" s="43" t="s">
        <v>104</v>
      </c>
      <c r="J163" s="55"/>
      <c r="K163" s="119" t="str">
        <f>IFERROR(VLOOKUP(B163,BD_CONTROL!$A$5:$M$4235,11,0),"")</f>
        <v>Instalado - Operando</v>
      </c>
      <c r="L163" s="120">
        <f>IFERROR(VLOOKUP(B163,BD_CONTROL!$A$5:$M$4235,12,0),"")</f>
        <v>46148</v>
      </c>
      <c r="M163" s="121">
        <f>IFERROR(VLOOKUP(B163,BD_CONTROL!$A$5:$M$4235,13,0),"")</f>
        <v>0</v>
      </c>
    </row>
    <row r="164" spans="1:13" ht="15" customHeight="1">
      <c r="A164" s="39">
        <v>159</v>
      </c>
      <c r="B164" s="39" t="s">
        <v>2397</v>
      </c>
      <c r="C164" s="40" t="s">
        <v>2398</v>
      </c>
      <c r="D164" s="39" t="s">
        <v>1530</v>
      </c>
      <c r="E164" s="40" t="s">
        <v>1707</v>
      </c>
      <c r="F164" s="40" t="s">
        <v>2399</v>
      </c>
      <c r="G164" s="39" t="s">
        <v>109</v>
      </c>
      <c r="H164" s="40" t="s">
        <v>1532</v>
      </c>
      <c r="I164" s="40" t="s">
        <v>104</v>
      </c>
      <c r="J164" s="50"/>
      <c r="K164" s="116">
        <f>IFERROR(VLOOKUP(B164,BD_CONTROL!$A$5:$M$4235,11,0),"")</f>
        <v>0</v>
      </c>
      <c r="L164" s="117">
        <f>IFERROR(VLOOKUP(B164,BD_CONTROL!$A$5:$M$4235,12,0),"")</f>
        <v>0</v>
      </c>
      <c r="M164" s="118">
        <f>IFERROR(VLOOKUP(B164,BD_CONTROL!$A$5:$M$4235,13,0),"")</f>
        <v>0</v>
      </c>
    </row>
    <row r="165" spans="1:13" ht="15" customHeight="1">
      <c r="A165" s="42">
        <v>160</v>
      </c>
      <c r="B165" s="42" t="s">
        <v>2400</v>
      </c>
      <c r="C165" s="43" t="s">
        <v>2401</v>
      </c>
      <c r="D165" s="42" t="s">
        <v>1530</v>
      </c>
      <c r="E165" s="43" t="s">
        <v>1734</v>
      </c>
      <c r="F165" s="43" t="s">
        <v>2402</v>
      </c>
      <c r="G165" s="42" t="s">
        <v>109</v>
      </c>
      <c r="H165" s="43" t="s">
        <v>1532</v>
      </c>
      <c r="I165" s="43" t="s">
        <v>104</v>
      </c>
      <c r="J165" s="55"/>
      <c r="K165" s="119" t="str">
        <f>IFERROR(VLOOKUP(B165,BD_CONTROL!$A$5:$M$4235,11,0),"")</f>
        <v>Instalado - Sin Señal</v>
      </c>
      <c r="L165" s="120">
        <f>IFERROR(VLOOKUP(B165,BD_CONTROL!$A$5:$M$4235,12,0),"")</f>
        <v>46147</v>
      </c>
      <c r="M165" s="121" t="str">
        <f>IFERROR(VLOOKUP(B165,BD_CONTROL!$A$5:$M$4235,13,0),"")</f>
        <v>Instalado, no operando, con reporte a mesa de ayuda</v>
      </c>
    </row>
    <row r="166" spans="1:13" ht="15" customHeight="1">
      <c r="A166" s="39">
        <v>161</v>
      </c>
      <c r="B166" s="39" t="s">
        <v>2403</v>
      </c>
      <c r="C166" s="40" t="s">
        <v>2404</v>
      </c>
      <c r="D166" s="39" t="s">
        <v>1530</v>
      </c>
      <c r="E166" s="40" t="s">
        <v>1734</v>
      </c>
      <c r="F166" s="40" t="s">
        <v>1734</v>
      </c>
      <c r="G166" s="39" t="s">
        <v>102</v>
      </c>
      <c r="H166" s="40" t="s">
        <v>1532</v>
      </c>
      <c r="I166" s="40" t="s">
        <v>104</v>
      </c>
      <c r="J166" s="50"/>
      <c r="K166" s="116" t="str">
        <f>IFERROR(VLOOKUP(B166,BD_CONTROL!$A$5:$M$4235,11,0),"")</f>
        <v>Instalado - Operando</v>
      </c>
      <c r="L166" s="117">
        <f>IFERROR(VLOOKUP(B166,BD_CONTROL!$A$5:$M$4235,12,0),"")</f>
        <v>46147</v>
      </c>
      <c r="M166" s="118">
        <f>IFERROR(VLOOKUP(B166,BD_CONTROL!$A$5:$M$4235,13,0),"")</f>
        <v>0</v>
      </c>
    </row>
    <row r="167" spans="1:13" ht="15" customHeight="1">
      <c r="A167" s="42">
        <v>162</v>
      </c>
      <c r="B167" s="42" t="s">
        <v>2405</v>
      </c>
      <c r="C167" s="43" t="s">
        <v>2406</v>
      </c>
      <c r="D167" s="42" t="s">
        <v>1530</v>
      </c>
      <c r="E167" s="43" t="s">
        <v>1628</v>
      </c>
      <c r="F167" s="43" t="s">
        <v>1986</v>
      </c>
      <c r="G167" s="42" t="s">
        <v>109</v>
      </c>
      <c r="H167" s="43" t="s">
        <v>1532</v>
      </c>
      <c r="I167" s="43" t="s">
        <v>104</v>
      </c>
      <c r="J167" s="55"/>
      <c r="K167" s="119" t="str">
        <f>IFERROR(VLOOKUP(B167,BD_CONTROL!$A$5:$M$4235,11,0),"")</f>
        <v>Instalado - Operando</v>
      </c>
      <c r="L167" s="120">
        <f>IFERROR(VLOOKUP(B167,BD_CONTROL!$A$5:$M$4235,12,0),"")</f>
        <v>46140</v>
      </c>
      <c r="M167" s="121">
        <f>IFERROR(VLOOKUP(B167,BD_CONTROL!$A$5:$M$4235,13,0),"")</f>
        <v>0</v>
      </c>
    </row>
    <row r="168" spans="1:13" ht="15" customHeight="1">
      <c r="A168" s="39">
        <v>163</v>
      </c>
      <c r="B168" s="39" t="s">
        <v>2407</v>
      </c>
      <c r="C168" s="40" t="s">
        <v>2408</v>
      </c>
      <c r="D168" s="39" t="s">
        <v>1530</v>
      </c>
      <c r="E168" s="40" t="s">
        <v>1979</v>
      </c>
      <c r="F168" s="40" t="s">
        <v>2002</v>
      </c>
      <c r="G168" s="39" t="s">
        <v>109</v>
      </c>
      <c r="H168" s="40" t="s">
        <v>1532</v>
      </c>
      <c r="I168" s="40" t="s">
        <v>104</v>
      </c>
      <c r="J168" s="50"/>
      <c r="K168" s="116" t="str">
        <f>IFERROR(VLOOKUP(B168,BD_CONTROL!$A$5:$M$4235,11,0),"")</f>
        <v>Instalado - Operando</v>
      </c>
      <c r="L168" s="117">
        <f>IFERROR(VLOOKUP(B168,BD_CONTROL!$A$5:$M$4235,12,0),"")</f>
        <v>46148</v>
      </c>
      <c r="M168" s="118">
        <f>IFERROR(VLOOKUP(B168,BD_CONTROL!$A$5:$M$4235,13,0),"")</f>
        <v>0</v>
      </c>
    </row>
    <row r="169" spans="1:13" ht="15" customHeight="1">
      <c r="A169" s="42">
        <v>164</v>
      </c>
      <c r="B169" s="42" t="s">
        <v>2419</v>
      </c>
      <c r="C169" s="43" t="s">
        <v>2420</v>
      </c>
      <c r="D169" s="42" t="s">
        <v>1530</v>
      </c>
      <c r="E169" s="43" t="s">
        <v>1710</v>
      </c>
      <c r="F169" s="43" t="s">
        <v>1710</v>
      </c>
      <c r="G169" s="42" t="s">
        <v>102</v>
      </c>
      <c r="H169" s="43" t="s">
        <v>1532</v>
      </c>
      <c r="I169" s="43" t="s">
        <v>104</v>
      </c>
      <c r="J169" s="55"/>
      <c r="K169" s="119">
        <f>IFERROR(VLOOKUP(B169,BD_CONTROL!$A$5:$M$4235,11,0),"")</f>
        <v>0</v>
      </c>
      <c r="L169" s="120">
        <f>IFERROR(VLOOKUP(B169,BD_CONTROL!$A$5:$M$4235,12,0),"")</f>
        <v>0</v>
      </c>
      <c r="M169" s="121">
        <f>IFERROR(VLOOKUP(B169,BD_CONTROL!$A$5:$M$4235,13,0),"")</f>
        <v>0</v>
      </c>
    </row>
    <row r="170" spans="1:13" ht="15" customHeight="1">
      <c r="A170" s="39">
        <v>165</v>
      </c>
      <c r="B170" s="39" t="s">
        <v>2421</v>
      </c>
      <c r="C170" s="40" t="s">
        <v>2422</v>
      </c>
      <c r="D170" s="39" t="s">
        <v>1530</v>
      </c>
      <c r="E170" s="40" t="s">
        <v>1639</v>
      </c>
      <c r="F170" s="40" t="s">
        <v>2423</v>
      </c>
      <c r="G170" s="39" t="s">
        <v>109</v>
      </c>
      <c r="H170" s="40" t="s">
        <v>1532</v>
      </c>
      <c r="I170" s="40" t="s">
        <v>104</v>
      </c>
      <c r="J170" s="50"/>
      <c r="K170" s="116">
        <f>IFERROR(VLOOKUP(B170,BD_CONTROL!$A$5:$M$4235,11,0),"")</f>
        <v>0</v>
      </c>
      <c r="L170" s="117">
        <f>IFERROR(VLOOKUP(B170,BD_CONTROL!$A$5:$M$4235,12,0),"")</f>
        <v>0</v>
      </c>
      <c r="M170" s="118">
        <f>IFERROR(VLOOKUP(B170,BD_CONTROL!$A$5:$M$4235,13,0),"")</f>
        <v>0</v>
      </c>
    </row>
    <row r="171" spans="1:13" ht="15" customHeight="1">
      <c r="A171" s="42">
        <v>166</v>
      </c>
      <c r="B171" s="42" t="s">
        <v>2426</v>
      </c>
      <c r="C171" s="43" t="s">
        <v>1439</v>
      </c>
      <c r="D171" s="42" t="s">
        <v>1530</v>
      </c>
      <c r="E171" s="43" t="s">
        <v>1756</v>
      </c>
      <c r="F171" s="43" t="s">
        <v>2427</v>
      </c>
      <c r="G171" s="42" t="s">
        <v>109</v>
      </c>
      <c r="H171" s="43" t="s">
        <v>1532</v>
      </c>
      <c r="I171" s="43" t="s">
        <v>104</v>
      </c>
      <c r="J171" s="55"/>
      <c r="K171" s="119">
        <f>IFERROR(VLOOKUP(B171,BD_CONTROL!$A$5:$M$4235,11,0),"")</f>
        <v>0</v>
      </c>
      <c r="L171" s="120">
        <f>IFERROR(VLOOKUP(B171,BD_CONTROL!$A$5:$M$4235,12,0),"")</f>
        <v>0</v>
      </c>
      <c r="M171" s="121">
        <f>IFERROR(VLOOKUP(B171,BD_CONTROL!$A$5:$M$4235,13,0),"")</f>
        <v>0</v>
      </c>
    </row>
    <row r="172" spans="1:13" ht="15" customHeight="1">
      <c r="A172" s="39">
        <v>167</v>
      </c>
      <c r="B172" s="39" t="s">
        <v>2438</v>
      </c>
      <c r="C172" s="40" t="s">
        <v>2439</v>
      </c>
      <c r="D172" s="39" t="s">
        <v>1530</v>
      </c>
      <c r="E172" s="40" t="s">
        <v>1756</v>
      </c>
      <c r="F172" s="40" t="s">
        <v>2440</v>
      </c>
      <c r="G172" s="39" t="s">
        <v>109</v>
      </c>
      <c r="H172" s="40" t="s">
        <v>1532</v>
      </c>
      <c r="I172" s="40" t="s">
        <v>104</v>
      </c>
      <c r="J172" s="50"/>
      <c r="K172" s="116">
        <f>IFERROR(VLOOKUP(B172,BD_CONTROL!$A$5:$M$4235,11,0),"")</f>
        <v>0</v>
      </c>
      <c r="L172" s="117">
        <f>IFERROR(VLOOKUP(B172,BD_CONTROL!$A$5:$M$4235,12,0),"")</f>
        <v>0</v>
      </c>
      <c r="M172" s="118">
        <f>IFERROR(VLOOKUP(B172,BD_CONTROL!$A$5:$M$4235,13,0),"")</f>
        <v>0</v>
      </c>
    </row>
    <row r="173" spans="1:13" ht="15" customHeight="1">
      <c r="A173" s="42">
        <v>168</v>
      </c>
      <c r="B173" s="42" t="s">
        <v>2444</v>
      </c>
      <c r="C173" s="43" t="s">
        <v>2445</v>
      </c>
      <c r="D173" s="42" t="s">
        <v>1530</v>
      </c>
      <c r="E173" s="43" t="s">
        <v>1549</v>
      </c>
      <c r="F173" s="43" t="s">
        <v>1787</v>
      </c>
      <c r="G173" s="42" t="s">
        <v>109</v>
      </c>
      <c r="H173" s="43" t="s">
        <v>1532</v>
      </c>
      <c r="I173" s="43" t="s">
        <v>104</v>
      </c>
      <c r="J173" s="55"/>
      <c r="K173" s="119">
        <f>IFERROR(VLOOKUP(B173,BD_CONTROL!$A$5:$M$4235,11,0),"")</f>
        <v>0</v>
      </c>
      <c r="L173" s="120">
        <f>IFERROR(VLOOKUP(B173,BD_CONTROL!$A$5:$M$4235,12,0),"")</f>
        <v>0</v>
      </c>
      <c r="M173" s="121">
        <f>IFERROR(VLOOKUP(B173,BD_CONTROL!$A$5:$M$4235,13,0),"")</f>
        <v>0</v>
      </c>
    </row>
    <row r="174" spans="1:13" ht="15" customHeight="1">
      <c r="A174" s="39">
        <v>169</v>
      </c>
      <c r="B174" s="39" t="s">
        <v>2446</v>
      </c>
      <c r="C174" s="40" t="s">
        <v>2447</v>
      </c>
      <c r="D174" s="39" t="s">
        <v>1530</v>
      </c>
      <c r="E174" s="40" t="s">
        <v>1683</v>
      </c>
      <c r="F174" s="40" t="s">
        <v>1684</v>
      </c>
      <c r="G174" s="39" t="s">
        <v>109</v>
      </c>
      <c r="H174" s="40" t="s">
        <v>1532</v>
      </c>
      <c r="I174" s="40" t="s">
        <v>104</v>
      </c>
      <c r="J174" s="50"/>
      <c r="K174" s="116" t="str">
        <f>IFERROR(VLOOKUP(B174,BD_CONTROL!$A$5:$M$4235,11,0),"")</f>
        <v>Instalado - Operando</v>
      </c>
      <c r="L174" s="117">
        <f>IFERROR(VLOOKUP(B174,BD_CONTROL!$A$5:$M$4235,12,0),"")</f>
        <v>46139</v>
      </c>
      <c r="M174" s="118">
        <f>IFERROR(VLOOKUP(B174,BD_CONTROL!$A$5:$M$4235,13,0),"")</f>
        <v>0</v>
      </c>
    </row>
    <row r="175" spans="1:13" ht="15" customHeight="1">
      <c r="A175" s="42">
        <v>170</v>
      </c>
      <c r="B175" s="42" t="s">
        <v>2448</v>
      </c>
      <c r="C175" s="43" t="s">
        <v>2449</v>
      </c>
      <c r="D175" s="42" t="s">
        <v>1530</v>
      </c>
      <c r="E175" s="43" t="s">
        <v>1683</v>
      </c>
      <c r="F175" s="43" t="s">
        <v>1455</v>
      </c>
      <c r="G175" s="42" t="s">
        <v>109</v>
      </c>
      <c r="H175" s="43" t="s">
        <v>1532</v>
      </c>
      <c r="I175" s="43" t="s">
        <v>104</v>
      </c>
      <c r="J175" s="55"/>
      <c r="K175" s="119" t="str">
        <f>IFERROR(VLOOKUP(B175,BD_CONTROL!$A$5:$M$4235,11,0),"")</f>
        <v>Instalado - Operando</v>
      </c>
      <c r="L175" s="120">
        <f>IFERROR(VLOOKUP(B175,BD_CONTROL!$A$5:$M$4235,12,0),"")</f>
        <v>46141</v>
      </c>
      <c r="M175" s="121">
        <f>IFERROR(VLOOKUP(B175,BD_CONTROL!$A$5:$M$4235,13,0),"")</f>
        <v>0</v>
      </c>
    </row>
    <row r="176" spans="1:13" ht="15" customHeight="1">
      <c r="A176" s="39">
        <v>171</v>
      </c>
      <c r="B176" s="39" t="s">
        <v>2450</v>
      </c>
      <c r="C176" s="40" t="s">
        <v>2451</v>
      </c>
      <c r="D176" s="39" t="s">
        <v>1530</v>
      </c>
      <c r="E176" s="40" t="s">
        <v>1687</v>
      </c>
      <c r="F176" s="40" t="s">
        <v>2452</v>
      </c>
      <c r="G176" s="39" t="s">
        <v>109</v>
      </c>
      <c r="H176" s="40" t="s">
        <v>1532</v>
      </c>
      <c r="I176" s="40" t="s">
        <v>104</v>
      </c>
      <c r="J176" s="50"/>
      <c r="K176" s="116" t="str">
        <f>IFERROR(VLOOKUP(B176,BD_CONTROL!$A$5:$M$4235,11,0),"")</f>
        <v>Instalado - Operando</v>
      </c>
      <c r="L176" s="117">
        <f>IFERROR(VLOOKUP(B176,BD_CONTROL!$A$5:$M$4235,12,0),"")</f>
        <v>46142</v>
      </c>
      <c r="M176" s="118">
        <f>IFERROR(VLOOKUP(B176,BD_CONTROL!$A$5:$M$4235,13,0),"")</f>
        <v>0</v>
      </c>
    </row>
    <row r="177" spans="1:13" ht="15" customHeight="1">
      <c r="A177" s="42">
        <v>172</v>
      </c>
      <c r="B177" s="42" t="s">
        <v>2453</v>
      </c>
      <c r="C177" s="43" t="s">
        <v>1323</v>
      </c>
      <c r="D177" s="42" t="s">
        <v>1530</v>
      </c>
      <c r="E177" s="43" t="s">
        <v>1719</v>
      </c>
      <c r="F177" s="43" t="s">
        <v>1323</v>
      </c>
      <c r="G177" s="42" t="s">
        <v>109</v>
      </c>
      <c r="H177" s="43" t="s">
        <v>1532</v>
      </c>
      <c r="I177" s="43" t="s">
        <v>104</v>
      </c>
      <c r="J177" s="55"/>
      <c r="K177" s="119">
        <f>IFERROR(VLOOKUP(B177,BD_CONTROL!$A$5:$M$4235,11,0),"")</f>
        <v>0</v>
      </c>
      <c r="L177" s="120">
        <f>IFERROR(VLOOKUP(B177,BD_CONTROL!$A$5:$M$4235,12,0),"")</f>
        <v>0</v>
      </c>
      <c r="M177" s="121">
        <f>IFERROR(VLOOKUP(B177,BD_CONTROL!$A$5:$M$4235,13,0),"")</f>
        <v>0</v>
      </c>
    </row>
    <row r="178" spans="1:13" ht="15" customHeight="1">
      <c r="A178" s="39">
        <v>173</v>
      </c>
      <c r="B178" s="39" t="s">
        <v>2454</v>
      </c>
      <c r="C178" s="40" t="s">
        <v>2455</v>
      </c>
      <c r="D178" s="39" t="s">
        <v>1530</v>
      </c>
      <c r="E178" s="40" t="s">
        <v>1549</v>
      </c>
      <c r="F178" s="40" t="s">
        <v>2456</v>
      </c>
      <c r="G178" s="39" t="s">
        <v>109</v>
      </c>
      <c r="H178" s="40" t="s">
        <v>1532</v>
      </c>
      <c r="I178" s="40" t="s">
        <v>104</v>
      </c>
      <c r="J178" s="50"/>
      <c r="K178" s="116">
        <f>IFERROR(VLOOKUP(B178,BD_CONTROL!$A$5:$M$4235,11,0),"")</f>
        <v>0</v>
      </c>
      <c r="L178" s="117">
        <f>IFERROR(VLOOKUP(B178,BD_CONTROL!$A$5:$M$4235,12,0),"")</f>
        <v>0</v>
      </c>
      <c r="M178" s="118">
        <f>IFERROR(VLOOKUP(B178,BD_CONTROL!$A$5:$M$4235,13,0),"")</f>
        <v>0</v>
      </c>
    </row>
    <row r="179" spans="1:13" ht="15" customHeight="1">
      <c r="A179" s="42">
        <v>174</v>
      </c>
      <c r="B179" s="42" t="s">
        <v>2457</v>
      </c>
      <c r="C179" s="43" t="s">
        <v>247</v>
      </c>
      <c r="D179" s="42" t="s">
        <v>1530</v>
      </c>
      <c r="E179" s="43" t="s">
        <v>1683</v>
      </c>
      <c r="F179" s="43" t="s">
        <v>1683</v>
      </c>
      <c r="G179" s="42" t="s">
        <v>109</v>
      </c>
      <c r="H179" s="43" t="s">
        <v>1532</v>
      </c>
      <c r="I179" s="43" t="s">
        <v>104</v>
      </c>
      <c r="J179" s="55"/>
      <c r="K179" s="119" t="str">
        <f>IFERROR(VLOOKUP(B179,BD_CONTROL!$A$5:$M$4235,11,0),"")</f>
        <v>Instalado - Operando</v>
      </c>
      <c r="L179" s="120">
        <f>IFERROR(VLOOKUP(B179,BD_CONTROL!$A$5:$M$4235,12,0),"")</f>
        <v>46141</v>
      </c>
      <c r="M179" s="121">
        <f>IFERROR(VLOOKUP(B179,BD_CONTROL!$A$5:$M$4235,13,0),"")</f>
        <v>0</v>
      </c>
    </row>
    <row r="180" spans="1:13" ht="15" customHeight="1">
      <c r="A180" s="39">
        <v>175</v>
      </c>
      <c r="B180" s="39" t="s">
        <v>2458</v>
      </c>
      <c r="C180" s="40" t="s">
        <v>2459</v>
      </c>
      <c r="D180" s="39" t="s">
        <v>1530</v>
      </c>
      <c r="E180" s="40" t="s">
        <v>1639</v>
      </c>
      <c r="F180" s="40" t="s">
        <v>2460</v>
      </c>
      <c r="G180" s="39" t="s">
        <v>109</v>
      </c>
      <c r="H180" s="40" t="s">
        <v>1532</v>
      </c>
      <c r="I180" s="40" t="s">
        <v>104</v>
      </c>
      <c r="J180" s="50"/>
      <c r="K180" s="116" t="str">
        <f>IFERROR(VLOOKUP(B180,BD_CONTROL!$A$5:$M$4235,11,0),"")</f>
        <v>Instalado - Operando</v>
      </c>
      <c r="L180" s="117">
        <f>IFERROR(VLOOKUP(B180,BD_CONTROL!$A$5:$M$4235,12,0),"")</f>
        <v>46148</v>
      </c>
      <c r="M180" s="118">
        <f>IFERROR(VLOOKUP(B180,BD_CONTROL!$A$5:$M$4235,13,0),"")</f>
        <v>0</v>
      </c>
    </row>
    <row r="181" spans="1:13" ht="15" customHeight="1">
      <c r="A181" s="42">
        <v>176</v>
      </c>
      <c r="B181" s="42" t="s">
        <v>2461</v>
      </c>
      <c r="C181" s="43" t="s">
        <v>2462</v>
      </c>
      <c r="D181" s="42" t="s">
        <v>1530</v>
      </c>
      <c r="E181" s="43" t="s">
        <v>1639</v>
      </c>
      <c r="F181" s="43" t="s">
        <v>2463</v>
      </c>
      <c r="G181" s="42" t="s">
        <v>109</v>
      </c>
      <c r="H181" s="43" t="s">
        <v>1532</v>
      </c>
      <c r="I181" s="43" t="s">
        <v>104</v>
      </c>
      <c r="J181" s="55"/>
      <c r="K181" s="119">
        <f>IFERROR(VLOOKUP(B181,BD_CONTROL!$A$5:$M$4235,11,0),"")</f>
        <v>0</v>
      </c>
      <c r="L181" s="120">
        <f>IFERROR(VLOOKUP(B181,BD_CONTROL!$A$5:$M$4235,12,0),"")</f>
        <v>0</v>
      </c>
      <c r="M181" s="121">
        <f>IFERROR(VLOOKUP(B181,BD_CONTROL!$A$5:$M$4235,13,0),"")</f>
        <v>0</v>
      </c>
    </row>
    <row r="182" spans="1:13" ht="15" customHeight="1">
      <c r="A182" s="39">
        <v>177</v>
      </c>
      <c r="B182" s="39" t="s">
        <v>2464</v>
      </c>
      <c r="C182" s="40" t="s">
        <v>2465</v>
      </c>
      <c r="D182" s="39" t="s">
        <v>1530</v>
      </c>
      <c r="E182" s="40" t="s">
        <v>1639</v>
      </c>
      <c r="F182" s="40" t="s">
        <v>2466</v>
      </c>
      <c r="G182" s="39" t="s">
        <v>109</v>
      </c>
      <c r="H182" s="40" t="s">
        <v>1532</v>
      </c>
      <c r="I182" s="40" t="s">
        <v>104</v>
      </c>
      <c r="J182" s="50"/>
      <c r="K182" s="116">
        <f>IFERROR(VLOOKUP(B182,BD_CONTROL!$A$5:$M$4235,11,0),"")</f>
        <v>0</v>
      </c>
      <c r="L182" s="117">
        <f>IFERROR(VLOOKUP(B182,BD_CONTROL!$A$5:$M$4235,12,0),"")</f>
        <v>0</v>
      </c>
      <c r="M182" s="118">
        <f>IFERROR(VLOOKUP(B182,BD_CONTROL!$A$5:$M$4235,13,0),"")</f>
        <v>0</v>
      </c>
    </row>
    <row r="183" spans="1:13" ht="15" customHeight="1">
      <c r="A183" s="42">
        <v>178</v>
      </c>
      <c r="B183" s="42" t="s">
        <v>2470</v>
      </c>
      <c r="C183" s="43" t="s">
        <v>2471</v>
      </c>
      <c r="D183" s="42" t="s">
        <v>1530</v>
      </c>
      <c r="E183" s="43" t="s">
        <v>1707</v>
      </c>
      <c r="F183" s="43" t="s">
        <v>2472</v>
      </c>
      <c r="G183" s="42" t="s">
        <v>109</v>
      </c>
      <c r="H183" s="43" t="s">
        <v>1532</v>
      </c>
      <c r="I183" s="43" t="s">
        <v>104</v>
      </c>
      <c r="J183" s="55"/>
      <c r="K183" s="119">
        <f>IFERROR(VLOOKUP(B183,BD_CONTROL!$A$5:$M$4235,11,0),"")</f>
        <v>0</v>
      </c>
      <c r="L183" s="120">
        <f>IFERROR(VLOOKUP(B183,BD_CONTROL!$A$5:$M$4235,12,0),"")</f>
        <v>0</v>
      </c>
      <c r="M183" s="121">
        <f>IFERROR(VLOOKUP(B183,BD_CONTROL!$A$5:$M$4235,13,0),"")</f>
        <v>0</v>
      </c>
    </row>
    <row r="184" spans="1:13" ht="15" customHeight="1">
      <c r="A184" s="39">
        <v>179</v>
      </c>
      <c r="B184" s="39" t="s">
        <v>2473</v>
      </c>
      <c r="C184" s="40" t="s">
        <v>2474</v>
      </c>
      <c r="D184" s="39" t="s">
        <v>1530</v>
      </c>
      <c r="E184" s="40" t="s">
        <v>1710</v>
      </c>
      <c r="F184" s="40" t="s">
        <v>1711</v>
      </c>
      <c r="G184" s="39" t="s">
        <v>109</v>
      </c>
      <c r="H184" s="40" t="s">
        <v>1532</v>
      </c>
      <c r="I184" s="40" t="s">
        <v>104</v>
      </c>
      <c r="J184" s="50"/>
      <c r="K184" s="116">
        <f>IFERROR(VLOOKUP(B184,BD_CONTROL!$A$5:$M$4235,11,0),"")</f>
        <v>0</v>
      </c>
      <c r="L184" s="117">
        <f>IFERROR(VLOOKUP(B184,BD_CONTROL!$A$5:$M$4235,12,0),"")</f>
        <v>0</v>
      </c>
      <c r="M184" s="118">
        <f>IFERROR(VLOOKUP(B184,BD_CONTROL!$A$5:$M$4235,13,0),"")</f>
        <v>0</v>
      </c>
    </row>
    <row r="185" spans="1:13" ht="15" customHeight="1">
      <c r="A185" s="42">
        <v>180</v>
      </c>
      <c r="B185" s="42" t="s">
        <v>2478</v>
      </c>
      <c r="C185" s="43" t="s">
        <v>2479</v>
      </c>
      <c r="D185" s="42" t="s">
        <v>1530</v>
      </c>
      <c r="E185" s="43" t="s">
        <v>1549</v>
      </c>
      <c r="F185" s="43" t="s">
        <v>1914</v>
      </c>
      <c r="G185" s="42" t="s">
        <v>109</v>
      </c>
      <c r="H185" s="43" t="s">
        <v>1532</v>
      </c>
      <c r="I185" s="43" t="s">
        <v>104</v>
      </c>
      <c r="J185" s="55"/>
      <c r="K185" s="119" t="str">
        <f>IFERROR(VLOOKUP(B185,BD_CONTROL!$A$5:$M$4235,11,0),"")</f>
        <v>Instalado - Operando</v>
      </c>
      <c r="L185" s="120">
        <f>IFERROR(VLOOKUP(B185,BD_CONTROL!$A$5:$M$4235,12,0),"")</f>
        <v>46148</v>
      </c>
      <c r="M185" s="121">
        <f>IFERROR(VLOOKUP(B185,BD_CONTROL!$A$5:$M$4235,13,0),"")</f>
        <v>0</v>
      </c>
    </row>
    <row r="186" spans="1:13" ht="15" customHeight="1">
      <c r="A186" s="39">
        <v>181</v>
      </c>
      <c r="B186" s="39" t="s">
        <v>2480</v>
      </c>
      <c r="C186" s="40" t="s">
        <v>2481</v>
      </c>
      <c r="D186" s="39" t="s">
        <v>1530</v>
      </c>
      <c r="E186" s="40" t="s">
        <v>1549</v>
      </c>
      <c r="F186" s="40" t="s">
        <v>2482</v>
      </c>
      <c r="G186" s="39" t="s">
        <v>109</v>
      </c>
      <c r="H186" s="40" t="s">
        <v>1532</v>
      </c>
      <c r="I186" s="40" t="s">
        <v>104</v>
      </c>
      <c r="J186" s="50"/>
      <c r="K186" s="116">
        <f>IFERROR(VLOOKUP(B186,BD_CONTROL!$A$5:$M$4235,11,0),"")</f>
        <v>0</v>
      </c>
      <c r="L186" s="117">
        <f>IFERROR(VLOOKUP(B186,BD_CONTROL!$A$5:$M$4235,12,0),"")</f>
        <v>0</v>
      </c>
      <c r="M186" s="118">
        <f>IFERROR(VLOOKUP(B186,BD_CONTROL!$A$5:$M$4235,13,0),"")</f>
        <v>0</v>
      </c>
    </row>
    <row r="187" spans="1:13" ht="15" customHeight="1">
      <c r="A187" s="42">
        <v>182</v>
      </c>
      <c r="B187" s="42" t="s">
        <v>2491</v>
      </c>
      <c r="C187" s="43" t="s">
        <v>1211</v>
      </c>
      <c r="D187" s="42" t="s">
        <v>1530</v>
      </c>
      <c r="E187" s="43" t="s">
        <v>1531</v>
      </c>
      <c r="F187" s="43" t="s">
        <v>1531</v>
      </c>
      <c r="G187" s="42" t="s">
        <v>102</v>
      </c>
      <c r="H187" s="43" t="s">
        <v>1532</v>
      </c>
      <c r="I187" s="43" t="s">
        <v>104</v>
      </c>
      <c r="J187" s="55"/>
      <c r="K187" s="119">
        <f>IFERROR(VLOOKUP(B187,BD_CONTROL!$A$5:$M$4235,11,0),"")</f>
        <v>0</v>
      </c>
      <c r="L187" s="120">
        <f>IFERROR(VLOOKUP(B187,BD_CONTROL!$A$5:$M$4235,12,0),"")</f>
        <v>0</v>
      </c>
      <c r="M187" s="121">
        <f>IFERROR(VLOOKUP(B187,BD_CONTROL!$A$5:$M$4235,13,0),"")</f>
        <v>0</v>
      </c>
    </row>
    <row r="188" spans="1:13" ht="15" customHeight="1">
      <c r="A188" s="39">
        <v>183</v>
      </c>
      <c r="B188" s="39" t="s">
        <v>2492</v>
      </c>
      <c r="C188" s="40" t="s">
        <v>2493</v>
      </c>
      <c r="D188" s="39" t="s">
        <v>1530</v>
      </c>
      <c r="E188" s="40" t="s">
        <v>1828</v>
      </c>
      <c r="F188" s="40" t="s">
        <v>2494</v>
      </c>
      <c r="G188" s="39" t="s">
        <v>109</v>
      </c>
      <c r="H188" s="40" t="s">
        <v>1532</v>
      </c>
      <c r="I188" s="40" t="s">
        <v>104</v>
      </c>
      <c r="J188" s="50"/>
      <c r="K188" s="116" t="str">
        <f>IFERROR(VLOOKUP(B188,BD_CONTROL!$A$5:$M$4235,11,0),"")</f>
        <v>Instalado - Operando</v>
      </c>
      <c r="L188" s="117">
        <f>IFERROR(VLOOKUP(B188,BD_CONTROL!$A$5:$M$4235,12,0),"")</f>
        <v>46149</v>
      </c>
      <c r="M188" s="118">
        <f>IFERROR(VLOOKUP(B188,BD_CONTROL!$A$5:$M$4235,13,0),"")</f>
        <v>0</v>
      </c>
    </row>
    <row r="189" spans="1:13" ht="15" customHeight="1">
      <c r="A189" s="42">
        <v>184</v>
      </c>
      <c r="B189" s="42" t="s">
        <v>2505</v>
      </c>
      <c r="C189" s="43" t="s">
        <v>2506</v>
      </c>
      <c r="D189" s="42" t="s">
        <v>1530</v>
      </c>
      <c r="E189" s="43" t="s">
        <v>1531</v>
      </c>
      <c r="F189" s="43" t="s">
        <v>1531</v>
      </c>
      <c r="G189" s="42" t="s">
        <v>102</v>
      </c>
      <c r="H189" s="43" t="s">
        <v>1532</v>
      </c>
      <c r="I189" s="43" t="s">
        <v>104</v>
      </c>
      <c r="J189" s="55"/>
      <c r="K189" s="119">
        <f>IFERROR(VLOOKUP(B189,BD_CONTROL!$A$5:$M$4235,11,0),"")</f>
        <v>0</v>
      </c>
      <c r="L189" s="120">
        <f>IFERROR(VLOOKUP(B189,BD_CONTROL!$A$5:$M$4235,12,0),"")</f>
        <v>0</v>
      </c>
      <c r="M189" s="121">
        <f>IFERROR(VLOOKUP(B189,BD_CONTROL!$A$5:$M$4235,13,0),"")</f>
        <v>0</v>
      </c>
    </row>
    <row r="190" spans="1:13" ht="15" customHeight="1">
      <c r="A190" s="39">
        <v>185</v>
      </c>
      <c r="B190" s="39" t="s">
        <v>2512</v>
      </c>
      <c r="C190" s="40" t="s">
        <v>2513</v>
      </c>
      <c r="D190" s="39" t="s">
        <v>1530</v>
      </c>
      <c r="E190" s="40" t="s">
        <v>1531</v>
      </c>
      <c r="F190" s="40" t="s">
        <v>2514</v>
      </c>
      <c r="G190" s="39" t="s">
        <v>109</v>
      </c>
      <c r="H190" s="40" t="s">
        <v>1532</v>
      </c>
      <c r="I190" s="40" t="s">
        <v>104</v>
      </c>
      <c r="J190" s="50"/>
      <c r="K190" s="116">
        <f>IFERROR(VLOOKUP(B190,BD_CONTROL!$A$5:$M$4235,11,0),"")</f>
        <v>0</v>
      </c>
      <c r="L190" s="117">
        <f>IFERROR(VLOOKUP(B190,BD_CONTROL!$A$5:$M$4235,12,0),"")</f>
        <v>0</v>
      </c>
      <c r="M190" s="118">
        <f>IFERROR(VLOOKUP(B190,BD_CONTROL!$A$5:$M$4235,13,0),"")</f>
        <v>0</v>
      </c>
    </row>
    <row r="191" spans="1:13" ht="15" customHeight="1">
      <c r="A191" s="42">
        <v>186</v>
      </c>
      <c r="B191" s="42" t="s">
        <v>2515</v>
      </c>
      <c r="C191" s="43" t="s">
        <v>2516</v>
      </c>
      <c r="D191" s="42" t="s">
        <v>1530</v>
      </c>
      <c r="E191" s="43" t="s">
        <v>1870</v>
      </c>
      <c r="F191" s="43" t="s">
        <v>1993</v>
      </c>
      <c r="G191" s="42" t="s">
        <v>109</v>
      </c>
      <c r="H191" s="43" t="s">
        <v>1532</v>
      </c>
      <c r="I191" s="43" t="s">
        <v>104</v>
      </c>
      <c r="J191" s="55"/>
      <c r="K191" s="119">
        <f>IFERROR(VLOOKUP(B191,BD_CONTROL!$A$5:$M$4235,11,0),"")</f>
        <v>0</v>
      </c>
      <c r="L191" s="120">
        <f>IFERROR(VLOOKUP(B191,BD_CONTROL!$A$5:$M$4235,12,0),"")</f>
        <v>0</v>
      </c>
      <c r="M191" s="121">
        <f>IFERROR(VLOOKUP(B191,BD_CONTROL!$A$5:$M$4235,13,0),"")</f>
        <v>0</v>
      </c>
    </row>
    <row r="192" spans="1:13" ht="15" customHeight="1">
      <c r="A192" s="39">
        <v>187</v>
      </c>
      <c r="B192" s="39" t="s">
        <v>2517</v>
      </c>
      <c r="C192" s="40" t="s">
        <v>2518</v>
      </c>
      <c r="D192" s="39" t="s">
        <v>1530</v>
      </c>
      <c r="E192" s="40" t="s">
        <v>1819</v>
      </c>
      <c r="F192" s="40" t="s">
        <v>2519</v>
      </c>
      <c r="G192" s="39" t="s">
        <v>109</v>
      </c>
      <c r="H192" s="40" t="s">
        <v>1532</v>
      </c>
      <c r="I192" s="40" t="s">
        <v>104</v>
      </c>
      <c r="J192" s="50"/>
      <c r="K192" s="116">
        <f>IFERROR(VLOOKUP(B192,BD_CONTROL!$A$5:$M$4235,11,0),"")</f>
        <v>0</v>
      </c>
      <c r="L192" s="117">
        <f>IFERROR(VLOOKUP(B192,BD_CONTROL!$A$5:$M$4235,12,0),"")</f>
        <v>0</v>
      </c>
      <c r="M192" s="118">
        <f>IFERROR(VLOOKUP(B192,BD_CONTROL!$A$5:$M$4235,13,0),"")</f>
        <v>0</v>
      </c>
    </row>
    <row r="193" spans="1:13" ht="15" customHeight="1">
      <c r="A193" s="42">
        <v>188</v>
      </c>
      <c r="B193" s="42" t="s">
        <v>2525</v>
      </c>
      <c r="C193" s="43" t="s">
        <v>2526</v>
      </c>
      <c r="D193" s="42" t="s">
        <v>1530</v>
      </c>
      <c r="E193" s="43" t="s">
        <v>1734</v>
      </c>
      <c r="F193" s="43" t="s">
        <v>2527</v>
      </c>
      <c r="G193" s="42" t="s">
        <v>109</v>
      </c>
      <c r="H193" s="43" t="s">
        <v>1532</v>
      </c>
      <c r="I193" s="43" t="s">
        <v>104</v>
      </c>
      <c r="J193" s="55"/>
      <c r="K193" s="119" t="str">
        <f>IFERROR(VLOOKUP(B193,BD_CONTROL!$A$5:$M$4235,11,0),"")</f>
        <v>Instalado - Operando</v>
      </c>
      <c r="L193" s="120">
        <f>IFERROR(VLOOKUP(B193,BD_CONTROL!$A$5:$M$4235,12,0),"")</f>
        <v>46141</v>
      </c>
      <c r="M193" s="121">
        <f>IFERROR(VLOOKUP(B193,BD_CONTROL!$A$5:$M$4235,13,0),"")</f>
        <v>0</v>
      </c>
    </row>
    <row r="194" spans="1:13" ht="15" customHeight="1">
      <c r="A194" s="39">
        <v>189</v>
      </c>
      <c r="B194" s="39" t="s">
        <v>2528</v>
      </c>
      <c r="C194" s="40" t="s">
        <v>2529</v>
      </c>
      <c r="D194" s="39" t="s">
        <v>1530</v>
      </c>
      <c r="E194" s="40" t="s">
        <v>1979</v>
      </c>
      <c r="F194" s="40" t="s">
        <v>1446</v>
      </c>
      <c r="G194" s="39" t="s">
        <v>109</v>
      </c>
      <c r="H194" s="40" t="s">
        <v>1532</v>
      </c>
      <c r="I194" s="40" t="s">
        <v>104</v>
      </c>
      <c r="J194" s="50"/>
      <c r="K194" s="116" t="str">
        <f>IFERROR(VLOOKUP(B194,BD_CONTROL!$A$5:$M$4235,11,0),"")</f>
        <v>Instalado - Sin Señal</v>
      </c>
      <c r="L194" s="117">
        <f>IFERROR(VLOOKUP(B194,BD_CONTROL!$A$5:$M$4235,12,0),"")</f>
        <v>46148</v>
      </c>
      <c r="M194" s="118" t="str">
        <f>IFERROR(VLOOKUP(B194,BD_CONTROL!$A$5:$M$4235,13,0),"")</f>
        <v>Instalado, no operando, con reporte a mesa de ayuda</v>
      </c>
    </row>
    <row r="195" spans="1:13" ht="15" customHeight="1">
      <c r="A195" s="42">
        <v>190</v>
      </c>
      <c r="B195" s="42" t="s">
        <v>2530</v>
      </c>
      <c r="C195" s="43" t="s">
        <v>2531</v>
      </c>
      <c r="D195" s="42" t="s">
        <v>1530</v>
      </c>
      <c r="E195" s="43" t="s">
        <v>1979</v>
      </c>
      <c r="F195" s="43" t="s">
        <v>1979</v>
      </c>
      <c r="G195" s="42" t="s">
        <v>102</v>
      </c>
      <c r="H195" s="43" t="s">
        <v>1532</v>
      </c>
      <c r="I195" s="43" t="s">
        <v>104</v>
      </c>
      <c r="J195" s="55"/>
      <c r="K195" s="119" t="str">
        <f>IFERROR(VLOOKUP(B195,BD_CONTROL!$A$5:$M$4235,11,0),"")</f>
        <v>Instalado - Operando</v>
      </c>
      <c r="L195" s="120">
        <f>IFERROR(VLOOKUP(B195,BD_CONTROL!$A$5:$M$4235,12,0),"")</f>
        <v>46149</v>
      </c>
      <c r="M195" s="121">
        <f>IFERROR(VLOOKUP(B195,BD_CONTROL!$A$5:$M$4235,13,0),"")</f>
        <v>0</v>
      </c>
    </row>
    <row r="196" spans="1:13" ht="15" customHeight="1">
      <c r="A196" s="39">
        <v>191</v>
      </c>
      <c r="B196" s="39" t="s">
        <v>2532</v>
      </c>
      <c r="C196" s="40" t="s">
        <v>2533</v>
      </c>
      <c r="D196" s="39" t="s">
        <v>1530</v>
      </c>
      <c r="E196" s="40" t="s">
        <v>1639</v>
      </c>
      <c r="F196" s="40" t="s">
        <v>2534</v>
      </c>
      <c r="G196" s="39" t="s">
        <v>109</v>
      </c>
      <c r="H196" s="40" t="s">
        <v>1532</v>
      </c>
      <c r="I196" s="40" t="s">
        <v>104</v>
      </c>
      <c r="J196" s="50"/>
      <c r="K196" s="116" t="str">
        <f>IFERROR(VLOOKUP(B196,BD_CONTROL!$A$5:$M$4235,11,0),"")</f>
        <v>Instalado - Operando</v>
      </c>
      <c r="L196" s="117">
        <f>IFERROR(VLOOKUP(B196,BD_CONTROL!$A$5:$M$4235,12,0),"")</f>
        <v>46150</v>
      </c>
      <c r="M196" s="118">
        <f>IFERROR(VLOOKUP(B196,BD_CONTROL!$A$5:$M$4235,13,0),"")</f>
        <v>0</v>
      </c>
    </row>
    <row r="197" spans="1:13" ht="15" customHeight="1">
      <c r="A197" s="42">
        <v>192</v>
      </c>
      <c r="B197" s="42" t="s">
        <v>2535</v>
      </c>
      <c r="C197" s="43" t="s">
        <v>2536</v>
      </c>
      <c r="D197" s="42" t="s">
        <v>1530</v>
      </c>
      <c r="E197" s="43" t="s">
        <v>1607</v>
      </c>
      <c r="F197" s="43" t="s">
        <v>1607</v>
      </c>
      <c r="G197" s="42" t="s">
        <v>102</v>
      </c>
      <c r="H197" s="43" t="s">
        <v>1532</v>
      </c>
      <c r="I197" s="43" t="s">
        <v>104</v>
      </c>
      <c r="J197" s="55"/>
      <c r="K197" s="119">
        <f>IFERROR(VLOOKUP(B197,BD_CONTROL!$A$5:$M$4235,11,0),"")</f>
        <v>0</v>
      </c>
      <c r="L197" s="120">
        <f>IFERROR(VLOOKUP(B197,BD_CONTROL!$A$5:$M$4235,12,0),"")</f>
        <v>0</v>
      </c>
      <c r="M197" s="121">
        <f>IFERROR(VLOOKUP(B197,BD_CONTROL!$A$5:$M$4235,13,0),"")</f>
        <v>0</v>
      </c>
    </row>
    <row r="198" spans="1:13" ht="15" customHeight="1">
      <c r="A198" s="39">
        <v>193</v>
      </c>
      <c r="B198" s="39" t="s">
        <v>2537</v>
      </c>
      <c r="C198" s="40" t="s">
        <v>2538</v>
      </c>
      <c r="D198" s="39" t="s">
        <v>1530</v>
      </c>
      <c r="E198" s="40" t="s">
        <v>1639</v>
      </c>
      <c r="F198" s="40" t="s">
        <v>2539</v>
      </c>
      <c r="G198" s="39" t="s">
        <v>109</v>
      </c>
      <c r="H198" s="40" t="s">
        <v>1532</v>
      </c>
      <c r="I198" s="40" t="s">
        <v>104</v>
      </c>
      <c r="J198" s="50"/>
      <c r="K198" s="116">
        <f>IFERROR(VLOOKUP(B198,BD_CONTROL!$A$5:$M$4235,11,0),"")</f>
        <v>0</v>
      </c>
      <c r="L198" s="117">
        <f>IFERROR(VLOOKUP(B198,BD_CONTROL!$A$5:$M$4235,12,0),"")</f>
        <v>0</v>
      </c>
      <c r="M198" s="118">
        <f>IFERROR(VLOOKUP(B198,BD_CONTROL!$A$5:$M$4235,13,0),"")</f>
        <v>0</v>
      </c>
    </row>
    <row r="199" spans="1:13" ht="15" customHeight="1">
      <c r="A199" s="42">
        <v>194</v>
      </c>
      <c r="B199" s="42" t="s">
        <v>2540</v>
      </c>
      <c r="C199" s="43" t="s">
        <v>2541</v>
      </c>
      <c r="D199" s="42" t="s">
        <v>1530</v>
      </c>
      <c r="E199" s="43" t="s">
        <v>1979</v>
      </c>
      <c r="F199" s="43" t="s">
        <v>1980</v>
      </c>
      <c r="G199" s="42" t="s">
        <v>109</v>
      </c>
      <c r="H199" s="43" t="s">
        <v>1532</v>
      </c>
      <c r="I199" s="43" t="s">
        <v>104</v>
      </c>
      <c r="J199" s="55"/>
      <c r="K199" s="119" t="str">
        <f>IFERROR(VLOOKUP(B199,BD_CONTROL!$A$5:$M$4235,11,0),"")</f>
        <v>Instalado - Sin Señal</v>
      </c>
      <c r="L199" s="120">
        <f>IFERROR(VLOOKUP(B199,BD_CONTROL!$A$5:$M$4235,12,0),"")</f>
        <v>46147</v>
      </c>
      <c r="M199" s="121" t="str">
        <f>IFERROR(VLOOKUP(B199,BD_CONTROL!$A$5:$M$4235,13,0),"")</f>
        <v>Instalado, no operando, con reporte a mesa de ayuda</v>
      </c>
    </row>
    <row r="200" spans="1:13" ht="15" customHeight="1">
      <c r="A200" s="39">
        <v>195</v>
      </c>
      <c r="B200" s="39" t="s">
        <v>2544</v>
      </c>
      <c r="C200" s="40" t="s">
        <v>2545</v>
      </c>
      <c r="D200" s="39" t="s">
        <v>1530</v>
      </c>
      <c r="E200" s="40" t="s">
        <v>1731</v>
      </c>
      <c r="F200" s="40" t="s">
        <v>1731</v>
      </c>
      <c r="G200" s="39" t="s">
        <v>109</v>
      </c>
      <c r="H200" s="40" t="s">
        <v>1532</v>
      </c>
      <c r="I200" s="40" t="s">
        <v>104</v>
      </c>
      <c r="J200" s="50"/>
      <c r="K200" s="116" t="str">
        <f>IFERROR(VLOOKUP(B200,BD_CONTROL!$A$5:$M$4235,11,0),"")</f>
        <v>Instalado - Operando</v>
      </c>
      <c r="L200" s="117">
        <f>IFERROR(VLOOKUP(B200,BD_CONTROL!$A$5:$M$4235,12,0),"")</f>
        <v>46141</v>
      </c>
      <c r="M200" s="118">
        <f>IFERROR(VLOOKUP(B200,BD_CONTROL!$A$5:$M$4235,13,0),"")</f>
        <v>0</v>
      </c>
    </row>
    <row r="201" spans="1:13" ht="15" customHeight="1">
      <c r="A201" s="42">
        <v>196</v>
      </c>
      <c r="B201" s="42" t="s">
        <v>2546</v>
      </c>
      <c r="C201" s="43" t="s">
        <v>2547</v>
      </c>
      <c r="D201" s="42" t="s">
        <v>1530</v>
      </c>
      <c r="E201" s="43" t="s">
        <v>1734</v>
      </c>
      <c r="F201" s="43" t="s">
        <v>1734</v>
      </c>
      <c r="G201" s="42" t="s">
        <v>102</v>
      </c>
      <c r="H201" s="43" t="s">
        <v>1532</v>
      </c>
      <c r="I201" s="43" t="s">
        <v>104</v>
      </c>
      <c r="J201" s="55"/>
      <c r="K201" s="119">
        <f>IFERROR(VLOOKUP(B201,BD_CONTROL!$A$5:$M$4235,11,0),"")</f>
        <v>0</v>
      </c>
      <c r="L201" s="120">
        <f>IFERROR(VLOOKUP(B201,BD_CONTROL!$A$5:$M$4235,12,0),"")</f>
        <v>0</v>
      </c>
      <c r="M201" s="121">
        <f>IFERROR(VLOOKUP(B201,BD_CONTROL!$A$5:$M$4235,13,0),"")</f>
        <v>0</v>
      </c>
    </row>
    <row r="202" spans="1:13" ht="15" customHeight="1">
      <c r="A202" s="39">
        <v>197</v>
      </c>
      <c r="B202" s="39" t="s">
        <v>2550</v>
      </c>
      <c r="C202" s="40" t="s">
        <v>2551</v>
      </c>
      <c r="D202" s="39" t="s">
        <v>1530</v>
      </c>
      <c r="E202" s="40" t="s">
        <v>1639</v>
      </c>
      <c r="F202" s="40" t="s">
        <v>2552</v>
      </c>
      <c r="G202" s="39" t="s">
        <v>102</v>
      </c>
      <c r="H202" s="40" t="s">
        <v>1532</v>
      </c>
      <c r="I202" s="40" t="s">
        <v>104</v>
      </c>
      <c r="J202" s="50"/>
      <c r="K202" s="116">
        <f>IFERROR(VLOOKUP(B202,BD_CONTROL!$A$5:$M$4235,11,0),"")</f>
        <v>0</v>
      </c>
      <c r="L202" s="117">
        <f>IFERROR(VLOOKUP(B202,BD_CONTROL!$A$5:$M$4235,12,0),"")</f>
        <v>0</v>
      </c>
      <c r="M202" s="118">
        <f>IFERROR(VLOOKUP(B202,BD_CONTROL!$A$5:$M$4235,13,0),"")</f>
        <v>0</v>
      </c>
    </row>
    <row r="203" spans="1:13" ht="15" customHeight="1">
      <c r="A203" s="42">
        <v>198</v>
      </c>
      <c r="B203" s="42" t="s">
        <v>2553</v>
      </c>
      <c r="C203" s="43" t="s">
        <v>2554</v>
      </c>
      <c r="D203" s="42" t="s">
        <v>1530</v>
      </c>
      <c r="E203" s="43" t="s">
        <v>1870</v>
      </c>
      <c r="F203" s="43" t="s">
        <v>2555</v>
      </c>
      <c r="G203" s="42" t="s">
        <v>109</v>
      </c>
      <c r="H203" s="43" t="s">
        <v>1532</v>
      </c>
      <c r="I203" s="43" t="s">
        <v>104</v>
      </c>
      <c r="J203" s="55"/>
      <c r="K203" s="119">
        <f>IFERROR(VLOOKUP(B203,BD_CONTROL!$A$5:$M$4235,11,0),"")</f>
        <v>0</v>
      </c>
      <c r="L203" s="120">
        <f>IFERROR(VLOOKUP(B203,BD_CONTROL!$A$5:$M$4235,12,0),"")</f>
        <v>0</v>
      </c>
      <c r="M203" s="121">
        <f>IFERROR(VLOOKUP(B203,BD_CONTROL!$A$5:$M$4235,13,0),"")</f>
        <v>0</v>
      </c>
    </row>
    <row r="204" spans="1:13" ht="15" customHeight="1">
      <c r="A204" s="39">
        <v>199</v>
      </c>
      <c r="B204" s="39" t="s">
        <v>2558</v>
      </c>
      <c r="C204" s="40" t="s">
        <v>2559</v>
      </c>
      <c r="D204" s="39" t="s">
        <v>1530</v>
      </c>
      <c r="E204" s="40" t="s">
        <v>1756</v>
      </c>
      <c r="F204" s="40" t="s">
        <v>2560</v>
      </c>
      <c r="G204" s="39" t="s">
        <v>109</v>
      </c>
      <c r="H204" s="40" t="s">
        <v>1532</v>
      </c>
      <c r="I204" s="40" t="s">
        <v>104</v>
      </c>
      <c r="J204" s="50"/>
      <c r="K204" s="116" t="str">
        <f>IFERROR(VLOOKUP(B204,BD_CONTROL!$A$5:$M$4235,11,0),"")</f>
        <v>Instalado - Sin Señal</v>
      </c>
      <c r="L204" s="117">
        <f>IFERROR(VLOOKUP(B204,BD_CONTROL!$A$5:$M$4235,12,0),"")</f>
        <v>46149</v>
      </c>
      <c r="M204" s="118" t="str">
        <f>IFERROR(VLOOKUP(B204,BD_CONTROL!$A$5:$M$4235,13,0),"")</f>
        <v xml:space="preserve">Instalado, no operando, con reporte a mesa de ayuda
</v>
      </c>
    </row>
    <row r="205" spans="1:13" ht="15" customHeight="1">
      <c r="A205" s="42">
        <v>200</v>
      </c>
      <c r="B205" s="42" t="s">
        <v>2561</v>
      </c>
      <c r="C205" s="43" t="s">
        <v>2562</v>
      </c>
      <c r="D205" s="42" t="s">
        <v>1530</v>
      </c>
      <c r="E205" s="43" t="s">
        <v>1710</v>
      </c>
      <c r="F205" s="43" t="s">
        <v>2563</v>
      </c>
      <c r="G205" s="42" t="s">
        <v>102</v>
      </c>
      <c r="H205" s="43" t="s">
        <v>1532</v>
      </c>
      <c r="I205" s="43" t="s">
        <v>104</v>
      </c>
      <c r="J205" s="55"/>
      <c r="K205" s="119">
        <f>IFERROR(VLOOKUP(B205,BD_CONTROL!$A$5:$M$4235,11,0),"")</f>
        <v>0</v>
      </c>
      <c r="L205" s="120">
        <f>IFERROR(VLOOKUP(B205,BD_CONTROL!$A$5:$M$4235,12,0),"")</f>
        <v>0</v>
      </c>
      <c r="M205" s="121">
        <f>IFERROR(VLOOKUP(B205,BD_CONTROL!$A$5:$M$4235,13,0),"")</f>
        <v>0</v>
      </c>
    </row>
    <row r="206" spans="1:13" ht="15" customHeight="1">
      <c r="A206" s="39">
        <v>201</v>
      </c>
      <c r="B206" s="39" t="s">
        <v>2566</v>
      </c>
      <c r="C206" s="40" t="s">
        <v>2567</v>
      </c>
      <c r="D206" s="39" t="s">
        <v>1530</v>
      </c>
      <c r="E206" s="40" t="s">
        <v>1549</v>
      </c>
      <c r="F206" s="40" t="s">
        <v>2568</v>
      </c>
      <c r="G206" s="39" t="s">
        <v>109</v>
      </c>
      <c r="H206" s="40" t="s">
        <v>1532</v>
      </c>
      <c r="I206" s="40" t="s">
        <v>104</v>
      </c>
      <c r="J206" s="50"/>
      <c r="K206" s="116">
        <f>IFERROR(VLOOKUP(B206,BD_CONTROL!$A$5:$M$4235,11,0),"")</f>
        <v>0</v>
      </c>
      <c r="L206" s="117">
        <f>IFERROR(VLOOKUP(B206,BD_CONTROL!$A$5:$M$4235,12,0),"")</f>
        <v>0</v>
      </c>
      <c r="M206" s="118">
        <f>IFERROR(VLOOKUP(B206,BD_CONTROL!$A$5:$M$4235,13,0),"")</f>
        <v>0</v>
      </c>
    </row>
    <row r="207" spans="1:13" ht="15" customHeight="1">
      <c r="A207" s="42">
        <v>202</v>
      </c>
      <c r="B207" s="42" t="s">
        <v>2569</v>
      </c>
      <c r="C207" s="43" t="s">
        <v>2570</v>
      </c>
      <c r="D207" s="42" t="s">
        <v>1530</v>
      </c>
      <c r="E207" s="43" t="s">
        <v>1719</v>
      </c>
      <c r="F207" s="43" t="s">
        <v>2571</v>
      </c>
      <c r="G207" s="42" t="s">
        <v>109</v>
      </c>
      <c r="H207" s="43" t="s">
        <v>1532</v>
      </c>
      <c r="I207" s="43" t="s">
        <v>104</v>
      </c>
      <c r="J207" s="55"/>
      <c r="K207" s="119">
        <f>IFERROR(VLOOKUP(B207,BD_CONTROL!$A$5:$M$4235,11,0),"")</f>
        <v>0</v>
      </c>
      <c r="L207" s="120">
        <f>IFERROR(VLOOKUP(B207,BD_CONTROL!$A$5:$M$4235,12,0),"")</f>
        <v>0</v>
      </c>
      <c r="M207" s="121">
        <f>IFERROR(VLOOKUP(B207,BD_CONTROL!$A$5:$M$4235,13,0),"")</f>
        <v>0</v>
      </c>
    </row>
    <row r="208" spans="1:13" ht="15" customHeight="1">
      <c r="A208" s="39">
        <v>203</v>
      </c>
      <c r="B208" s="39" t="s">
        <v>2572</v>
      </c>
      <c r="C208" s="40" t="s">
        <v>1057</v>
      </c>
      <c r="D208" s="39" t="s">
        <v>1530</v>
      </c>
      <c r="E208" s="40" t="s">
        <v>1719</v>
      </c>
      <c r="F208" s="40" t="s">
        <v>2573</v>
      </c>
      <c r="G208" s="39" t="s">
        <v>109</v>
      </c>
      <c r="H208" s="40" t="s">
        <v>1532</v>
      </c>
      <c r="I208" s="40" t="s">
        <v>104</v>
      </c>
      <c r="J208" s="50"/>
      <c r="K208" s="116">
        <f>IFERROR(VLOOKUP(B208,BD_CONTROL!$A$5:$M$4235,11,0),"")</f>
        <v>0</v>
      </c>
      <c r="L208" s="117">
        <f>IFERROR(VLOOKUP(B208,BD_CONTROL!$A$5:$M$4235,12,0),"")</f>
        <v>0</v>
      </c>
      <c r="M208" s="118">
        <f>IFERROR(VLOOKUP(B208,BD_CONTROL!$A$5:$M$4235,13,0),"")</f>
        <v>0</v>
      </c>
    </row>
    <row r="209" spans="1:13" ht="15" customHeight="1">
      <c r="A209" s="42">
        <v>204</v>
      </c>
      <c r="B209" s="42" t="s">
        <v>2576</v>
      </c>
      <c r="C209" s="43" t="s">
        <v>2577</v>
      </c>
      <c r="D209" s="42" t="s">
        <v>1530</v>
      </c>
      <c r="E209" s="43" t="s">
        <v>1756</v>
      </c>
      <c r="F209" s="43" t="s">
        <v>1265</v>
      </c>
      <c r="G209" s="42" t="s">
        <v>109</v>
      </c>
      <c r="H209" s="43" t="s">
        <v>1532</v>
      </c>
      <c r="I209" s="43" t="s">
        <v>104</v>
      </c>
      <c r="J209" s="55"/>
      <c r="K209" s="119">
        <f>IFERROR(VLOOKUP(B209,BD_CONTROL!$A$5:$M$4235,11,0),"")</f>
        <v>0</v>
      </c>
      <c r="L209" s="120">
        <f>IFERROR(VLOOKUP(B209,BD_CONTROL!$A$5:$M$4235,12,0),"")</f>
        <v>0</v>
      </c>
      <c r="M209" s="121">
        <f>IFERROR(VLOOKUP(B209,BD_CONTROL!$A$5:$M$4235,13,0),"")</f>
        <v>0</v>
      </c>
    </row>
    <row r="210" spans="1:13" ht="15" customHeight="1">
      <c r="A210" s="39">
        <v>205</v>
      </c>
      <c r="B210" s="39" t="s">
        <v>2578</v>
      </c>
      <c r="C210" s="40" t="s">
        <v>2579</v>
      </c>
      <c r="D210" s="39" t="s">
        <v>1530</v>
      </c>
      <c r="E210" s="40" t="s">
        <v>1607</v>
      </c>
      <c r="F210" s="40" t="s">
        <v>2580</v>
      </c>
      <c r="G210" s="39" t="s">
        <v>109</v>
      </c>
      <c r="H210" s="40" t="s">
        <v>1532</v>
      </c>
      <c r="I210" s="40" t="s">
        <v>104</v>
      </c>
      <c r="J210" s="50"/>
      <c r="K210" s="116">
        <f>IFERROR(VLOOKUP(B210,BD_CONTROL!$A$5:$M$4235,11,0),"")</f>
        <v>0</v>
      </c>
      <c r="L210" s="117">
        <f>IFERROR(VLOOKUP(B210,BD_CONTROL!$A$5:$M$4235,12,0),"")</f>
        <v>0</v>
      </c>
      <c r="M210" s="118">
        <f>IFERROR(VLOOKUP(B210,BD_CONTROL!$A$5:$M$4235,13,0),"")</f>
        <v>0</v>
      </c>
    </row>
    <row r="211" spans="1:13" ht="15" customHeight="1">
      <c r="A211" s="42">
        <v>206</v>
      </c>
      <c r="B211" s="42" t="s">
        <v>2581</v>
      </c>
      <c r="C211" s="43" t="s">
        <v>2582</v>
      </c>
      <c r="D211" s="42" t="s">
        <v>1530</v>
      </c>
      <c r="E211" s="43" t="s">
        <v>1653</v>
      </c>
      <c r="F211" s="43" t="s">
        <v>1653</v>
      </c>
      <c r="G211" s="42" t="s">
        <v>109</v>
      </c>
      <c r="H211" s="43" t="s">
        <v>1532</v>
      </c>
      <c r="I211" s="43" t="s">
        <v>104</v>
      </c>
      <c r="J211" s="55"/>
      <c r="K211" s="119" t="str">
        <f>IFERROR(VLOOKUP(B211,BD_CONTROL!$A$5:$M$4235,11,0),"")</f>
        <v>Instalado - Operando</v>
      </c>
      <c r="L211" s="120">
        <f>IFERROR(VLOOKUP(B211,BD_CONTROL!$A$5:$M$4235,12,0),"")</f>
        <v>46147</v>
      </c>
      <c r="M211" s="121">
        <f>IFERROR(VLOOKUP(B211,BD_CONTROL!$A$5:$M$4235,13,0),"")</f>
        <v>0</v>
      </c>
    </row>
    <row r="212" spans="1:13" ht="15" customHeight="1">
      <c r="A212" s="39">
        <v>207</v>
      </c>
      <c r="B212" s="39" t="s">
        <v>2588</v>
      </c>
      <c r="C212" s="40" t="s">
        <v>2589</v>
      </c>
      <c r="D212" s="39" t="s">
        <v>1530</v>
      </c>
      <c r="E212" s="40" t="s">
        <v>1687</v>
      </c>
      <c r="F212" s="40" t="s">
        <v>2590</v>
      </c>
      <c r="G212" s="39" t="s">
        <v>109</v>
      </c>
      <c r="H212" s="40" t="s">
        <v>1532</v>
      </c>
      <c r="I212" s="40" t="s">
        <v>104</v>
      </c>
      <c r="J212" s="50"/>
      <c r="K212" s="116" t="str">
        <f>IFERROR(VLOOKUP(B212,BD_CONTROL!$A$5:$M$4235,11,0),"")</f>
        <v>Instalado - Operando</v>
      </c>
      <c r="L212" s="117">
        <f>IFERROR(VLOOKUP(B212,BD_CONTROL!$A$5:$M$4235,12,0),"")</f>
        <v>46140</v>
      </c>
      <c r="M212" s="118">
        <f>IFERROR(VLOOKUP(B212,BD_CONTROL!$A$5:$M$4235,13,0),"")</f>
        <v>0</v>
      </c>
    </row>
    <row r="213" spans="1:13" ht="15" customHeight="1">
      <c r="A213" s="42">
        <v>208</v>
      </c>
      <c r="B213" s="42" t="s">
        <v>2591</v>
      </c>
      <c r="C213" s="43" t="s">
        <v>2592</v>
      </c>
      <c r="D213" s="42" t="s">
        <v>1530</v>
      </c>
      <c r="E213" s="43" t="s">
        <v>1734</v>
      </c>
      <c r="F213" s="43" t="s">
        <v>2593</v>
      </c>
      <c r="G213" s="42" t="s">
        <v>109</v>
      </c>
      <c r="H213" s="43" t="s">
        <v>1532</v>
      </c>
      <c r="I213" s="43" t="s">
        <v>104</v>
      </c>
      <c r="J213" s="55"/>
      <c r="K213" s="119" t="str">
        <f>IFERROR(VLOOKUP(B213,BD_CONTROL!$A$5:$M$4235,11,0),"")</f>
        <v>Instalado - Operando</v>
      </c>
      <c r="L213" s="120">
        <f>IFERROR(VLOOKUP(B213,BD_CONTROL!$A$5:$M$4235,12,0),"")</f>
        <v>46149</v>
      </c>
      <c r="M213" s="121">
        <f>IFERROR(VLOOKUP(B213,BD_CONTROL!$A$5:$M$4235,13,0),"")</f>
        <v>0</v>
      </c>
    </row>
    <row r="214" spans="1:13" ht="15" customHeight="1">
      <c r="A214" s="39">
        <v>209</v>
      </c>
      <c r="B214" s="39" t="s">
        <v>2594</v>
      </c>
      <c r="C214" s="40" t="s">
        <v>2595</v>
      </c>
      <c r="D214" s="39" t="s">
        <v>1530</v>
      </c>
      <c r="E214" s="40" t="s">
        <v>1734</v>
      </c>
      <c r="F214" s="40" t="s">
        <v>2596</v>
      </c>
      <c r="G214" s="39" t="s">
        <v>109</v>
      </c>
      <c r="H214" s="40" t="s">
        <v>1532</v>
      </c>
      <c r="I214" s="40" t="s">
        <v>104</v>
      </c>
      <c r="J214" s="50"/>
      <c r="K214" s="116">
        <f>IFERROR(VLOOKUP(B214,BD_CONTROL!$A$5:$M$4235,11,0),"")</f>
        <v>0</v>
      </c>
      <c r="L214" s="117">
        <f>IFERROR(VLOOKUP(B214,BD_CONTROL!$A$5:$M$4235,12,0),"")</f>
        <v>0</v>
      </c>
      <c r="M214" s="118">
        <f>IFERROR(VLOOKUP(B214,BD_CONTROL!$A$5:$M$4235,13,0),"")</f>
        <v>0</v>
      </c>
    </row>
    <row r="215" spans="1:13" ht="15" customHeight="1">
      <c r="A215" s="42">
        <v>210</v>
      </c>
      <c r="B215" s="42" t="s">
        <v>2597</v>
      </c>
      <c r="C215" s="43" t="s">
        <v>2598</v>
      </c>
      <c r="D215" s="42" t="s">
        <v>1530</v>
      </c>
      <c r="E215" s="43" t="s">
        <v>1979</v>
      </c>
      <c r="F215" s="43" t="s">
        <v>2599</v>
      </c>
      <c r="G215" s="42" t="s">
        <v>109</v>
      </c>
      <c r="H215" s="43" t="s">
        <v>1532</v>
      </c>
      <c r="I215" s="43" t="s">
        <v>104</v>
      </c>
      <c r="J215" s="55"/>
      <c r="K215" s="119" t="str">
        <f>IFERROR(VLOOKUP(B215,BD_CONTROL!$A$5:$M$4235,11,0),"")</f>
        <v>Instalado - Operando</v>
      </c>
      <c r="L215" s="120">
        <f>IFERROR(VLOOKUP(B215,BD_CONTROL!$A$5:$M$4235,12,0),"")</f>
        <v>46147</v>
      </c>
      <c r="M215" s="121">
        <f>IFERROR(VLOOKUP(B215,BD_CONTROL!$A$5:$M$4235,13,0),"")</f>
        <v>0</v>
      </c>
    </row>
    <row r="216" spans="1:13" ht="15" customHeight="1">
      <c r="A216" s="39">
        <v>211</v>
      </c>
      <c r="B216" s="39" t="s">
        <v>2600</v>
      </c>
      <c r="C216" s="40" t="s">
        <v>2601</v>
      </c>
      <c r="D216" s="39" t="s">
        <v>1530</v>
      </c>
      <c r="E216" s="40" t="s">
        <v>1607</v>
      </c>
      <c r="F216" s="40" t="s">
        <v>2602</v>
      </c>
      <c r="G216" s="39" t="s">
        <v>109</v>
      </c>
      <c r="H216" s="40" t="s">
        <v>1532</v>
      </c>
      <c r="I216" s="40" t="s">
        <v>104</v>
      </c>
      <c r="J216" s="50"/>
      <c r="K216" s="116">
        <f>IFERROR(VLOOKUP(B216,BD_CONTROL!$A$5:$M$4235,11,0),"")</f>
        <v>0</v>
      </c>
      <c r="L216" s="117">
        <f>IFERROR(VLOOKUP(B216,BD_CONTROL!$A$5:$M$4235,12,0),"")</f>
        <v>0</v>
      </c>
      <c r="M216" s="118">
        <f>IFERROR(VLOOKUP(B216,BD_CONTROL!$A$5:$M$4235,13,0),"")</f>
        <v>0</v>
      </c>
    </row>
    <row r="217" spans="1:13" ht="15" customHeight="1">
      <c r="A217" s="42">
        <v>212</v>
      </c>
      <c r="B217" s="42" t="s">
        <v>2603</v>
      </c>
      <c r="C217" s="43" t="s">
        <v>2604</v>
      </c>
      <c r="D217" s="42" t="s">
        <v>1530</v>
      </c>
      <c r="E217" s="43" t="s">
        <v>1639</v>
      </c>
      <c r="F217" s="43" t="s">
        <v>2605</v>
      </c>
      <c r="G217" s="42" t="s">
        <v>109</v>
      </c>
      <c r="H217" s="43" t="s">
        <v>1532</v>
      </c>
      <c r="I217" s="43" t="s">
        <v>104</v>
      </c>
      <c r="J217" s="55"/>
      <c r="K217" s="119">
        <f>IFERROR(VLOOKUP(B217,BD_CONTROL!$A$5:$M$4235,11,0),"")</f>
        <v>0</v>
      </c>
      <c r="L217" s="120">
        <f>IFERROR(VLOOKUP(B217,BD_CONTROL!$A$5:$M$4235,12,0),"")</f>
        <v>0</v>
      </c>
      <c r="M217" s="121">
        <f>IFERROR(VLOOKUP(B217,BD_CONTROL!$A$5:$M$4235,13,0),"")</f>
        <v>0</v>
      </c>
    </row>
    <row r="218" spans="1:13" ht="15" customHeight="1">
      <c r="A218" s="39">
        <v>213</v>
      </c>
      <c r="B218" s="39" t="s">
        <v>2606</v>
      </c>
      <c r="C218" s="40" t="s">
        <v>2607</v>
      </c>
      <c r="D218" s="39" t="s">
        <v>1530</v>
      </c>
      <c r="E218" s="40" t="s">
        <v>1639</v>
      </c>
      <c r="F218" s="40" t="s">
        <v>2608</v>
      </c>
      <c r="G218" s="39" t="s">
        <v>102</v>
      </c>
      <c r="H218" s="40" t="s">
        <v>1532</v>
      </c>
      <c r="I218" s="40" t="s">
        <v>104</v>
      </c>
      <c r="J218" s="50"/>
      <c r="K218" s="116" t="str">
        <f>IFERROR(VLOOKUP(B218,BD_CONTROL!$A$5:$M$4235,11,0),"")</f>
        <v>Instalado - Operando</v>
      </c>
      <c r="L218" s="117">
        <f>IFERROR(VLOOKUP(B218,BD_CONTROL!$A$5:$M$4235,12,0),"")</f>
        <v>46150</v>
      </c>
      <c r="M218" s="118">
        <f>IFERROR(VLOOKUP(B218,BD_CONTROL!$A$5:$M$4235,13,0),"")</f>
        <v>0</v>
      </c>
    </row>
    <row r="219" spans="1:13" ht="15" customHeight="1">
      <c r="A219" s="42">
        <v>214</v>
      </c>
      <c r="B219" s="42" t="s">
        <v>2609</v>
      </c>
      <c r="C219" s="43" t="s">
        <v>2610</v>
      </c>
      <c r="D219" s="42" t="s">
        <v>1530</v>
      </c>
      <c r="E219" s="43" t="s">
        <v>1828</v>
      </c>
      <c r="F219" s="43" t="s">
        <v>1828</v>
      </c>
      <c r="G219" s="42" t="s">
        <v>102</v>
      </c>
      <c r="H219" s="43" t="s">
        <v>1532</v>
      </c>
      <c r="I219" s="43" t="s">
        <v>104</v>
      </c>
      <c r="J219" s="55"/>
      <c r="K219" s="119" t="str">
        <f>IFERROR(VLOOKUP(B219,BD_CONTROL!$A$5:$M$4235,11,0),"")</f>
        <v>Instalado - Operando</v>
      </c>
      <c r="L219" s="120">
        <f>IFERROR(VLOOKUP(B219,BD_CONTROL!$A$5:$M$4235,12,0),"")</f>
        <v>46150</v>
      </c>
      <c r="M219" s="121">
        <f>IFERROR(VLOOKUP(B219,BD_CONTROL!$A$5:$M$4235,13,0),"")</f>
        <v>0</v>
      </c>
    </row>
    <row r="220" spans="1:13" ht="15" customHeight="1">
      <c r="A220" s="39">
        <v>215</v>
      </c>
      <c r="B220" s="39" t="s">
        <v>2611</v>
      </c>
      <c r="C220" s="40" t="s">
        <v>2612</v>
      </c>
      <c r="D220" s="39" t="s">
        <v>1530</v>
      </c>
      <c r="E220" s="40" t="s">
        <v>1653</v>
      </c>
      <c r="F220" s="40" t="s">
        <v>2613</v>
      </c>
      <c r="G220" s="39" t="s">
        <v>109</v>
      </c>
      <c r="H220" s="40" t="s">
        <v>1532</v>
      </c>
      <c r="I220" s="40" t="s">
        <v>104</v>
      </c>
      <c r="J220" s="50"/>
      <c r="K220" s="116" t="str">
        <f>IFERROR(VLOOKUP(B220,BD_CONTROL!$A$5:$M$4235,11,0),"")</f>
        <v>Instalado - Operando</v>
      </c>
      <c r="L220" s="117">
        <f>IFERROR(VLOOKUP(B220,BD_CONTROL!$A$5:$M$4235,12,0),"")</f>
        <v>46148</v>
      </c>
      <c r="M220" s="118">
        <f>IFERROR(VLOOKUP(B220,BD_CONTROL!$A$5:$M$4235,13,0),"")</f>
        <v>0</v>
      </c>
    </row>
    <row r="221" spans="1:13" ht="15" customHeight="1">
      <c r="A221" s="42">
        <v>216</v>
      </c>
      <c r="B221" s="42" t="s">
        <v>2614</v>
      </c>
      <c r="C221" s="43" t="s">
        <v>2615</v>
      </c>
      <c r="D221" s="42" t="s">
        <v>1530</v>
      </c>
      <c r="E221" s="43" t="s">
        <v>1653</v>
      </c>
      <c r="F221" s="43" t="s">
        <v>2616</v>
      </c>
      <c r="G221" s="42" t="s">
        <v>109</v>
      </c>
      <c r="H221" s="43" t="s">
        <v>1532</v>
      </c>
      <c r="I221" s="43" t="s">
        <v>104</v>
      </c>
      <c r="J221" s="55"/>
      <c r="K221" s="119" t="str">
        <f>IFERROR(VLOOKUP(B221,BD_CONTROL!$A$5:$M$4235,11,0),"")</f>
        <v>Instalado - Operando</v>
      </c>
      <c r="L221" s="120">
        <f>IFERROR(VLOOKUP(B221,BD_CONTROL!$A$5:$M$4235,12,0),"")</f>
        <v>46147</v>
      </c>
      <c r="M221" s="121">
        <f>IFERROR(VLOOKUP(B221,BD_CONTROL!$A$5:$M$4235,13,0),"")</f>
        <v>0</v>
      </c>
    </row>
    <row r="222" spans="1:13" ht="15" customHeight="1">
      <c r="A222" s="39">
        <v>217</v>
      </c>
      <c r="B222" s="39" t="s">
        <v>2625</v>
      </c>
      <c r="C222" s="40" t="s">
        <v>2626</v>
      </c>
      <c r="D222" s="39" t="s">
        <v>1530</v>
      </c>
      <c r="E222" s="40" t="s">
        <v>1549</v>
      </c>
      <c r="F222" s="40" t="s">
        <v>2627</v>
      </c>
      <c r="G222" s="39" t="s">
        <v>109</v>
      </c>
      <c r="H222" s="40" t="s">
        <v>1532</v>
      </c>
      <c r="I222" s="40" t="s">
        <v>104</v>
      </c>
      <c r="J222" s="50"/>
      <c r="K222" s="116">
        <f>IFERROR(VLOOKUP(B222,BD_CONTROL!$A$5:$M$4235,11,0),"")</f>
        <v>0</v>
      </c>
      <c r="L222" s="117">
        <f>IFERROR(VLOOKUP(B222,BD_CONTROL!$A$5:$M$4235,12,0),"")</f>
        <v>0</v>
      </c>
      <c r="M222" s="118">
        <f>IFERROR(VLOOKUP(B222,BD_CONTROL!$A$5:$M$4235,13,0),"")</f>
        <v>0</v>
      </c>
    </row>
    <row r="223" spans="1:13" ht="15" customHeight="1">
      <c r="A223" s="42">
        <v>218</v>
      </c>
      <c r="B223" s="42" t="s">
        <v>2633</v>
      </c>
      <c r="C223" s="43" t="s">
        <v>2634</v>
      </c>
      <c r="D223" s="42" t="s">
        <v>1530</v>
      </c>
      <c r="E223" s="43" t="s">
        <v>1749</v>
      </c>
      <c r="F223" s="43" t="s">
        <v>2635</v>
      </c>
      <c r="G223" s="42" t="s">
        <v>109</v>
      </c>
      <c r="H223" s="43" t="s">
        <v>1532</v>
      </c>
      <c r="I223" s="43" t="s">
        <v>104</v>
      </c>
      <c r="J223" s="55"/>
      <c r="K223" s="119" t="str">
        <f>IFERROR(VLOOKUP(B223,BD_CONTROL!$A$5:$M$4235,11,0),"")</f>
        <v>Instalado - Sin Señal</v>
      </c>
      <c r="L223" s="120">
        <f>IFERROR(VLOOKUP(B223,BD_CONTROL!$A$5:$M$4235,12,0),"")</f>
        <v>46148</v>
      </c>
      <c r="M223" s="121" t="str">
        <f>IFERROR(VLOOKUP(B223,BD_CONTROL!$A$5:$M$4235,13,0),"")</f>
        <v>Instalado, no operando, con reporte a mesa de ayuda</v>
      </c>
    </row>
    <row r="224" spans="1:13" ht="15" customHeight="1">
      <c r="A224" s="39">
        <v>219</v>
      </c>
      <c r="B224" s="39" t="s">
        <v>2636</v>
      </c>
      <c r="C224" s="40" t="s">
        <v>2637</v>
      </c>
      <c r="D224" s="39" t="s">
        <v>1530</v>
      </c>
      <c r="E224" s="40" t="s">
        <v>1628</v>
      </c>
      <c r="F224" s="40" t="s">
        <v>1628</v>
      </c>
      <c r="G224" s="39" t="s">
        <v>109</v>
      </c>
      <c r="H224" s="40" t="s">
        <v>1532</v>
      </c>
      <c r="I224" s="40" t="s">
        <v>104</v>
      </c>
      <c r="J224" s="50"/>
      <c r="K224" s="116">
        <f>IFERROR(VLOOKUP(B224,BD_CONTROL!$A$5:$M$4235,11,0),"")</f>
        <v>0</v>
      </c>
      <c r="L224" s="117">
        <f>IFERROR(VLOOKUP(B224,BD_CONTROL!$A$5:$M$4235,12,0),"")</f>
        <v>0</v>
      </c>
      <c r="M224" s="118">
        <f>IFERROR(VLOOKUP(B224,BD_CONTROL!$A$5:$M$4235,13,0),"")</f>
        <v>0</v>
      </c>
    </row>
    <row r="225" spans="1:13" ht="15" customHeight="1">
      <c r="A225" s="42">
        <v>220</v>
      </c>
      <c r="B225" s="42" t="s">
        <v>2638</v>
      </c>
      <c r="C225" s="43" t="s">
        <v>2639</v>
      </c>
      <c r="D225" s="42" t="s">
        <v>1530</v>
      </c>
      <c r="E225" s="43" t="s">
        <v>1628</v>
      </c>
      <c r="F225" s="43" t="s">
        <v>2640</v>
      </c>
      <c r="G225" s="42" t="s">
        <v>109</v>
      </c>
      <c r="H225" s="43" t="s">
        <v>1532</v>
      </c>
      <c r="I225" s="43" t="s">
        <v>104</v>
      </c>
      <c r="J225" s="55"/>
      <c r="K225" s="119" t="str">
        <f>IFERROR(VLOOKUP(B225,BD_CONTROL!$A$5:$M$4235,11,0),"")</f>
        <v>Instalado - Sin Señal</v>
      </c>
      <c r="L225" s="120">
        <f>IFERROR(VLOOKUP(B225,BD_CONTROL!$A$5:$M$4235,12,0),"")</f>
        <v>46142</v>
      </c>
      <c r="M225" s="121">
        <f>IFERROR(VLOOKUP(B225,BD_CONTROL!$A$5:$M$4235,13,0),"")</f>
        <v>0</v>
      </c>
    </row>
    <row r="226" spans="1:13" ht="15" customHeight="1">
      <c r="A226" s="39">
        <v>221</v>
      </c>
      <c r="B226" s="39" t="s">
        <v>2652</v>
      </c>
      <c r="C226" s="40" t="s">
        <v>2653</v>
      </c>
      <c r="D226" s="39" t="s">
        <v>1530</v>
      </c>
      <c r="E226" s="40" t="s">
        <v>1549</v>
      </c>
      <c r="F226" s="40" t="s">
        <v>2654</v>
      </c>
      <c r="G226" s="39" t="s">
        <v>109</v>
      </c>
      <c r="H226" s="40" t="s">
        <v>1532</v>
      </c>
      <c r="I226" s="40" t="s">
        <v>104</v>
      </c>
      <c r="J226" s="50"/>
      <c r="K226" s="116">
        <f>IFERROR(VLOOKUP(B226,BD_CONTROL!$A$5:$M$4235,11,0),"")</f>
        <v>0</v>
      </c>
      <c r="L226" s="117">
        <f>IFERROR(VLOOKUP(B226,BD_CONTROL!$A$5:$M$4235,12,0),"")</f>
        <v>0</v>
      </c>
      <c r="M226" s="118">
        <f>IFERROR(VLOOKUP(B226,BD_CONTROL!$A$5:$M$4235,13,0),"")</f>
        <v>0</v>
      </c>
    </row>
    <row r="227" spans="1:13" ht="15" customHeight="1">
      <c r="A227" s="42">
        <v>222</v>
      </c>
      <c r="B227" s="42" t="s">
        <v>2655</v>
      </c>
      <c r="C227" s="43" t="s">
        <v>2656</v>
      </c>
      <c r="D227" s="42" t="s">
        <v>1530</v>
      </c>
      <c r="E227" s="43" t="s">
        <v>1549</v>
      </c>
      <c r="F227" s="43" t="s">
        <v>2657</v>
      </c>
      <c r="G227" s="42" t="s">
        <v>109</v>
      </c>
      <c r="H227" s="43" t="s">
        <v>1532</v>
      </c>
      <c r="I227" s="43" t="s">
        <v>104</v>
      </c>
      <c r="J227" s="55"/>
      <c r="K227" s="119">
        <f>IFERROR(VLOOKUP(B227,BD_CONTROL!$A$5:$M$4235,11,0),"")</f>
        <v>0</v>
      </c>
      <c r="L227" s="120">
        <f>IFERROR(VLOOKUP(B227,BD_CONTROL!$A$5:$M$4235,12,0),"")</f>
        <v>0</v>
      </c>
      <c r="M227" s="121">
        <f>IFERROR(VLOOKUP(B227,BD_CONTROL!$A$5:$M$4235,13,0),"")</f>
        <v>0</v>
      </c>
    </row>
    <row r="228" spans="1:13" ht="15" customHeight="1">
      <c r="A228" s="39">
        <v>223</v>
      </c>
      <c r="B228" s="39" t="s">
        <v>2658</v>
      </c>
      <c r="C228" s="40" t="s">
        <v>2659</v>
      </c>
      <c r="D228" s="39" t="s">
        <v>1530</v>
      </c>
      <c r="E228" s="40" t="s">
        <v>1734</v>
      </c>
      <c r="F228" s="40" t="s">
        <v>2660</v>
      </c>
      <c r="G228" s="39" t="s">
        <v>109</v>
      </c>
      <c r="H228" s="40" t="s">
        <v>1532</v>
      </c>
      <c r="I228" s="40" t="s">
        <v>104</v>
      </c>
      <c r="J228" s="50"/>
      <c r="K228" s="116" t="str">
        <f>IFERROR(VLOOKUP(B228,BD_CONTROL!$A$5:$M$4235,11,0),"")</f>
        <v>Instalado - Operando</v>
      </c>
      <c r="L228" s="117">
        <f>IFERROR(VLOOKUP(B228,BD_CONTROL!$A$5:$M$4235,12,0),"")</f>
        <v>46142</v>
      </c>
      <c r="M228" s="118">
        <f>IFERROR(VLOOKUP(B228,BD_CONTROL!$A$5:$M$4235,13,0),"")</f>
        <v>0</v>
      </c>
    </row>
    <row r="229" spans="1:13" ht="15" customHeight="1">
      <c r="A229" s="42">
        <v>224</v>
      </c>
      <c r="B229" s="42" t="s">
        <v>2661</v>
      </c>
      <c r="C229" s="43" t="s">
        <v>2662</v>
      </c>
      <c r="D229" s="42" t="s">
        <v>1530</v>
      </c>
      <c r="E229" s="43" t="s">
        <v>1734</v>
      </c>
      <c r="F229" s="43" t="s">
        <v>1739</v>
      </c>
      <c r="G229" s="42" t="s">
        <v>109</v>
      </c>
      <c r="H229" s="43" t="s">
        <v>1532</v>
      </c>
      <c r="I229" s="43" t="s">
        <v>104</v>
      </c>
      <c r="J229" s="55"/>
      <c r="K229" s="119" t="str">
        <f>IFERROR(VLOOKUP(B229,BD_CONTROL!$A$5:$M$4235,11,0),"")</f>
        <v>Instalado - Operando</v>
      </c>
      <c r="L229" s="120">
        <f>IFERROR(VLOOKUP(B229,BD_CONTROL!$A$5:$M$4235,12,0),"")</f>
        <v>46141</v>
      </c>
      <c r="M229" s="121">
        <f>IFERROR(VLOOKUP(B229,BD_CONTROL!$A$5:$M$4235,13,0),"")</f>
        <v>0</v>
      </c>
    </row>
    <row r="230" spans="1:13" ht="15" customHeight="1">
      <c r="A230" s="39">
        <v>225</v>
      </c>
      <c r="B230" s="39" t="s">
        <v>2670</v>
      </c>
      <c r="C230" s="40" t="s">
        <v>2671</v>
      </c>
      <c r="D230" s="39" t="s">
        <v>1530</v>
      </c>
      <c r="E230" s="40" t="s">
        <v>1639</v>
      </c>
      <c r="F230" s="40" t="s">
        <v>2672</v>
      </c>
      <c r="G230" s="39" t="s">
        <v>109</v>
      </c>
      <c r="H230" s="40" t="s">
        <v>1532</v>
      </c>
      <c r="I230" s="40" t="s">
        <v>104</v>
      </c>
      <c r="J230" s="50"/>
      <c r="K230" s="116">
        <f>IFERROR(VLOOKUP(B230,BD_CONTROL!$A$5:$M$4235,11,0),"")</f>
        <v>0</v>
      </c>
      <c r="L230" s="117">
        <f>IFERROR(VLOOKUP(B230,BD_CONTROL!$A$5:$M$4235,12,0),"")</f>
        <v>0</v>
      </c>
      <c r="M230" s="118">
        <f>IFERROR(VLOOKUP(B230,BD_CONTROL!$A$5:$M$4235,13,0),"")</f>
        <v>0</v>
      </c>
    </row>
    <row r="231" spans="1:13" ht="15" customHeight="1">
      <c r="A231" s="42">
        <v>226</v>
      </c>
      <c r="B231" s="42" t="s">
        <v>2673</v>
      </c>
      <c r="C231" s="43" t="s">
        <v>2674</v>
      </c>
      <c r="D231" s="42" t="s">
        <v>1530</v>
      </c>
      <c r="E231" s="43" t="s">
        <v>1639</v>
      </c>
      <c r="F231" s="43" t="s">
        <v>2675</v>
      </c>
      <c r="G231" s="42" t="s">
        <v>109</v>
      </c>
      <c r="H231" s="43" t="s">
        <v>1532</v>
      </c>
      <c r="I231" s="43" t="s">
        <v>104</v>
      </c>
      <c r="J231" s="55"/>
      <c r="K231" s="119" t="str">
        <f>IFERROR(VLOOKUP(B231,BD_CONTROL!$A$5:$M$4235,11,0),"")</f>
        <v>Instalado - Sin Señal</v>
      </c>
      <c r="L231" s="120">
        <f>IFERROR(VLOOKUP(B231,BD_CONTROL!$A$5:$M$4235,12,0),"")</f>
        <v>46147</v>
      </c>
      <c r="M231" s="121" t="str">
        <f>IFERROR(VLOOKUP(B231,BD_CONTROL!$A$5:$M$4235,13,0),"")</f>
        <v>Instalado, no operando, con reporte a mesa de ayuda</v>
      </c>
    </row>
    <row r="232" spans="1:13" ht="15" customHeight="1">
      <c r="A232" s="39">
        <v>227</v>
      </c>
      <c r="B232" s="39" t="s">
        <v>2676</v>
      </c>
      <c r="C232" s="40" t="s">
        <v>2677</v>
      </c>
      <c r="D232" s="39" t="s">
        <v>1530</v>
      </c>
      <c r="E232" s="40" t="s">
        <v>1639</v>
      </c>
      <c r="F232" s="40" t="s">
        <v>2266</v>
      </c>
      <c r="G232" s="39" t="s">
        <v>109</v>
      </c>
      <c r="H232" s="40" t="s">
        <v>1532</v>
      </c>
      <c r="I232" s="40" t="s">
        <v>104</v>
      </c>
      <c r="J232" s="50"/>
      <c r="K232" s="116" t="str">
        <f>IFERROR(VLOOKUP(B232,BD_CONTROL!$A$5:$M$4235,11,0),"")</f>
        <v>Instalado - Operando</v>
      </c>
      <c r="L232" s="117">
        <f>IFERROR(VLOOKUP(B232,BD_CONTROL!$A$5:$M$4235,12,0),"")</f>
        <v>46148</v>
      </c>
      <c r="M232" s="118">
        <f>IFERROR(VLOOKUP(B232,BD_CONTROL!$A$5:$M$4235,13,0),"")</f>
        <v>0</v>
      </c>
    </row>
    <row r="233" spans="1:13" ht="15" customHeight="1">
      <c r="A233" s="42">
        <v>228</v>
      </c>
      <c r="B233" s="42" t="s">
        <v>2678</v>
      </c>
      <c r="C233" s="43" t="s">
        <v>2679</v>
      </c>
      <c r="D233" s="42" t="s">
        <v>1530</v>
      </c>
      <c r="E233" s="43" t="s">
        <v>1578</v>
      </c>
      <c r="F233" s="43" t="s">
        <v>2680</v>
      </c>
      <c r="G233" s="42" t="s">
        <v>109</v>
      </c>
      <c r="H233" s="43" t="s">
        <v>1532</v>
      </c>
      <c r="I233" s="43" t="s">
        <v>104</v>
      </c>
      <c r="J233" s="55"/>
      <c r="K233" s="119" t="str">
        <f>IFERROR(VLOOKUP(B233,BD_CONTROL!$A$5:$M$4235,11,0),"")</f>
        <v>Instalado - Operando</v>
      </c>
      <c r="L233" s="120">
        <f>IFERROR(VLOOKUP(B233,BD_CONTROL!$A$5:$M$4235,12,0),"")</f>
        <v>46139</v>
      </c>
      <c r="M233" s="121">
        <f>IFERROR(VLOOKUP(B233,BD_CONTROL!$A$5:$M$4235,13,0),"")</f>
        <v>0</v>
      </c>
    </row>
    <row r="234" spans="1:13" ht="15" customHeight="1">
      <c r="A234" s="39">
        <v>229</v>
      </c>
      <c r="B234" s="39" t="s">
        <v>2681</v>
      </c>
      <c r="C234" s="40" t="s">
        <v>2682</v>
      </c>
      <c r="D234" s="39" t="s">
        <v>1530</v>
      </c>
      <c r="E234" s="40" t="s">
        <v>1719</v>
      </c>
      <c r="F234" s="40" t="s">
        <v>2683</v>
      </c>
      <c r="G234" s="39" t="s">
        <v>109</v>
      </c>
      <c r="H234" s="40" t="s">
        <v>1532</v>
      </c>
      <c r="I234" s="40" t="s">
        <v>104</v>
      </c>
      <c r="J234" s="50"/>
      <c r="K234" s="116">
        <f>IFERROR(VLOOKUP(B234,BD_CONTROL!$A$5:$M$4235,11,0),"")</f>
        <v>0</v>
      </c>
      <c r="L234" s="117">
        <f>IFERROR(VLOOKUP(B234,BD_CONTROL!$A$5:$M$4235,12,0),"")</f>
        <v>0</v>
      </c>
      <c r="M234" s="118">
        <f>IFERROR(VLOOKUP(B234,BD_CONTROL!$A$5:$M$4235,13,0),"")</f>
        <v>0</v>
      </c>
    </row>
    <row r="235" spans="1:13" ht="15" customHeight="1">
      <c r="A235" s="42">
        <v>230</v>
      </c>
      <c r="B235" s="42" t="s">
        <v>2684</v>
      </c>
      <c r="C235" s="43" t="s">
        <v>2685</v>
      </c>
      <c r="D235" s="42" t="s">
        <v>1530</v>
      </c>
      <c r="E235" s="43" t="s">
        <v>1979</v>
      </c>
      <c r="F235" s="43" t="s">
        <v>2686</v>
      </c>
      <c r="G235" s="42" t="s">
        <v>109</v>
      </c>
      <c r="H235" s="43" t="s">
        <v>1532</v>
      </c>
      <c r="I235" s="43" t="s">
        <v>104</v>
      </c>
      <c r="J235" s="55"/>
      <c r="K235" s="119" t="str">
        <f>IFERROR(VLOOKUP(B235,BD_CONTROL!$A$5:$M$4235,11,0),"")</f>
        <v>Instalado - Operando</v>
      </c>
      <c r="L235" s="120">
        <f>IFERROR(VLOOKUP(B235,BD_CONTROL!$A$5:$M$4235,12,0),"")</f>
        <v>46149</v>
      </c>
      <c r="M235" s="121">
        <f>IFERROR(VLOOKUP(B235,BD_CONTROL!$A$5:$M$4235,13,0),"")</f>
        <v>0</v>
      </c>
    </row>
    <row r="236" spans="1:13" ht="15" customHeight="1">
      <c r="A236" s="39">
        <v>231</v>
      </c>
      <c r="B236" s="39" t="s">
        <v>2697</v>
      </c>
      <c r="C236" s="40" t="s">
        <v>2698</v>
      </c>
      <c r="D236" s="39" t="s">
        <v>1530</v>
      </c>
      <c r="E236" s="40" t="s">
        <v>1639</v>
      </c>
      <c r="F236" s="40" t="s">
        <v>2699</v>
      </c>
      <c r="G236" s="39" t="s">
        <v>109</v>
      </c>
      <c r="H236" s="40" t="s">
        <v>1532</v>
      </c>
      <c r="I236" s="40" t="s">
        <v>104</v>
      </c>
      <c r="J236" s="50"/>
      <c r="K236" s="116">
        <f>IFERROR(VLOOKUP(B236,BD_CONTROL!$A$5:$M$4235,11,0),"")</f>
        <v>0</v>
      </c>
      <c r="L236" s="117">
        <f>IFERROR(VLOOKUP(B236,BD_CONTROL!$A$5:$M$4235,12,0),"")</f>
        <v>0</v>
      </c>
      <c r="M236" s="118">
        <f>IFERROR(VLOOKUP(B236,BD_CONTROL!$A$5:$M$4235,13,0),"")</f>
        <v>0</v>
      </c>
    </row>
    <row r="237" spans="1:13" ht="15" customHeight="1">
      <c r="A237" s="42">
        <v>232</v>
      </c>
      <c r="B237" s="42" t="s">
        <v>2702</v>
      </c>
      <c r="C237" s="43" t="s">
        <v>2703</v>
      </c>
      <c r="D237" s="42" t="s">
        <v>1530</v>
      </c>
      <c r="E237" s="43" t="s">
        <v>2341</v>
      </c>
      <c r="F237" s="43" t="s">
        <v>2704</v>
      </c>
      <c r="G237" s="42" t="s">
        <v>109</v>
      </c>
      <c r="H237" s="43" t="s">
        <v>1532</v>
      </c>
      <c r="I237" s="43" t="s">
        <v>104</v>
      </c>
      <c r="J237" s="55"/>
      <c r="K237" s="119" t="str">
        <f>IFERROR(VLOOKUP(B237,BD_CONTROL!$A$5:$M$4235,11,0),"")</f>
        <v>Instalado - Operando</v>
      </c>
      <c r="L237" s="120">
        <f>IFERROR(VLOOKUP(B237,BD_CONTROL!$A$5:$M$4235,12,0),"")</f>
        <v>46142</v>
      </c>
      <c r="M237" s="121">
        <f>IFERROR(VLOOKUP(B237,BD_CONTROL!$A$5:$M$4235,13,0),"")</f>
        <v>0</v>
      </c>
    </row>
    <row r="238" spans="1:13" ht="15" customHeight="1">
      <c r="A238" s="39">
        <v>233</v>
      </c>
      <c r="B238" s="39" t="s">
        <v>2705</v>
      </c>
      <c r="C238" s="40" t="s">
        <v>2706</v>
      </c>
      <c r="D238" s="39" t="s">
        <v>1530</v>
      </c>
      <c r="E238" s="40" t="s">
        <v>1749</v>
      </c>
      <c r="F238" s="40" t="s">
        <v>1750</v>
      </c>
      <c r="G238" s="39" t="s">
        <v>109</v>
      </c>
      <c r="H238" s="40" t="s">
        <v>1532</v>
      </c>
      <c r="I238" s="40" t="s">
        <v>104</v>
      </c>
      <c r="J238" s="50"/>
      <c r="K238" s="116" t="str">
        <f>IFERROR(VLOOKUP(B238,BD_CONTROL!$A$5:$M$4235,11,0),"")</f>
        <v>Instalado - Sin Señal</v>
      </c>
      <c r="L238" s="117">
        <f>IFERROR(VLOOKUP(B238,BD_CONTROL!$A$5:$M$4235,12,0),"")</f>
        <v>46139</v>
      </c>
      <c r="M238" s="118">
        <f>IFERROR(VLOOKUP(B238,BD_CONTROL!$A$5:$M$4235,13,0),"")</f>
        <v>0</v>
      </c>
    </row>
    <row r="239" spans="1:13" ht="15" customHeight="1">
      <c r="A239" s="42">
        <v>234</v>
      </c>
      <c r="B239" s="42" t="s">
        <v>2734</v>
      </c>
      <c r="C239" s="43" t="s">
        <v>2735</v>
      </c>
      <c r="D239" s="42" t="s">
        <v>1530</v>
      </c>
      <c r="E239" s="43" t="s">
        <v>1549</v>
      </c>
      <c r="F239" s="43" t="s">
        <v>2736</v>
      </c>
      <c r="G239" s="42" t="s">
        <v>109</v>
      </c>
      <c r="H239" s="43" t="s">
        <v>1532</v>
      </c>
      <c r="I239" s="43" t="s">
        <v>104</v>
      </c>
      <c r="J239" s="55"/>
      <c r="K239" s="119">
        <f>IFERROR(VLOOKUP(B239,BD_CONTROL!$A$5:$M$4235,11,0),"")</f>
        <v>0</v>
      </c>
      <c r="L239" s="120">
        <f>IFERROR(VLOOKUP(B239,BD_CONTROL!$A$5:$M$4235,12,0),"")</f>
        <v>0</v>
      </c>
      <c r="M239" s="121">
        <f>IFERROR(VLOOKUP(B239,BD_CONTROL!$A$5:$M$4235,13,0),"")</f>
        <v>0</v>
      </c>
    </row>
    <row r="240" spans="1:13" ht="15" customHeight="1">
      <c r="A240" s="39">
        <v>235</v>
      </c>
      <c r="B240" s="39" t="s">
        <v>2737</v>
      </c>
      <c r="C240" s="40" t="s">
        <v>2738</v>
      </c>
      <c r="D240" s="39" t="s">
        <v>1530</v>
      </c>
      <c r="E240" s="40" t="s">
        <v>1549</v>
      </c>
      <c r="F240" s="40" t="s">
        <v>2739</v>
      </c>
      <c r="G240" s="39" t="s">
        <v>109</v>
      </c>
      <c r="H240" s="40" t="s">
        <v>1532</v>
      </c>
      <c r="I240" s="40" t="s">
        <v>104</v>
      </c>
      <c r="J240" s="50"/>
      <c r="K240" s="116">
        <f>IFERROR(VLOOKUP(B240,BD_CONTROL!$A$5:$M$4235,11,0),"")</f>
        <v>0</v>
      </c>
      <c r="L240" s="117">
        <f>IFERROR(VLOOKUP(B240,BD_CONTROL!$A$5:$M$4235,12,0),"")</f>
        <v>0</v>
      </c>
      <c r="M240" s="118">
        <f>IFERROR(VLOOKUP(B240,BD_CONTROL!$A$5:$M$4235,13,0),"")</f>
        <v>0</v>
      </c>
    </row>
    <row r="241" spans="1:13" ht="15" customHeight="1">
      <c r="A241" s="42">
        <v>236</v>
      </c>
      <c r="B241" s="42" t="s">
        <v>2740</v>
      </c>
      <c r="C241" s="43" t="s">
        <v>2741</v>
      </c>
      <c r="D241" s="42" t="s">
        <v>1530</v>
      </c>
      <c r="E241" s="43" t="s">
        <v>1549</v>
      </c>
      <c r="F241" s="43" t="s">
        <v>1455</v>
      </c>
      <c r="G241" s="42" t="s">
        <v>109</v>
      </c>
      <c r="H241" s="43" t="s">
        <v>1532</v>
      </c>
      <c r="I241" s="43" t="s">
        <v>104</v>
      </c>
      <c r="J241" s="55"/>
      <c r="K241" s="119">
        <f>IFERROR(VLOOKUP(B241,BD_CONTROL!$A$5:$M$4235,11,0),"")</f>
        <v>0</v>
      </c>
      <c r="L241" s="120">
        <f>IFERROR(VLOOKUP(B241,BD_CONTROL!$A$5:$M$4235,12,0),"")</f>
        <v>0</v>
      </c>
      <c r="M241" s="121">
        <f>IFERROR(VLOOKUP(B241,BD_CONTROL!$A$5:$M$4235,13,0),"")</f>
        <v>0</v>
      </c>
    </row>
    <row r="242" spans="1:13" ht="15" customHeight="1">
      <c r="A242" s="39">
        <v>237</v>
      </c>
      <c r="B242" s="39" t="s">
        <v>2742</v>
      </c>
      <c r="C242" s="40" t="s">
        <v>2743</v>
      </c>
      <c r="D242" s="39" t="s">
        <v>1530</v>
      </c>
      <c r="E242" s="40" t="s">
        <v>1549</v>
      </c>
      <c r="F242" s="40" t="s">
        <v>2744</v>
      </c>
      <c r="G242" s="39" t="s">
        <v>109</v>
      </c>
      <c r="H242" s="40" t="s">
        <v>1532</v>
      </c>
      <c r="I242" s="40" t="s">
        <v>104</v>
      </c>
      <c r="J242" s="50"/>
      <c r="K242" s="116" t="str">
        <f>IFERROR(VLOOKUP(B242,BD_CONTROL!$A$5:$M$4235,11,0),"")</f>
        <v>Instalado - Operando</v>
      </c>
      <c r="L242" s="117">
        <f>IFERROR(VLOOKUP(B242,BD_CONTROL!$A$5:$M$4235,12,0),"")</f>
        <v>46147</v>
      </c>
      <c r="M242" s="118">
        <f>IFERROR(VLOOKUP(B242,BD_CONTROL!$A$5:$M$4235,13,0),"")</f>
        <v>0</v>
      </c>
    </row>
    <row r="243" spans="1:13" ht="15" customHeight="1">
      <c r="A243" s="42">
        <v>238</v>
      </c>
      <c r="B243" s="42" t="s">
        <v>2757</v>
      </c>
      <c r="C243" s="43" t="s">
        <v>2758</v>
      </c>
      <c r="D243" s="42" t="s">
        <v>1530</v>
      </c>
      <c r="E243" s="43" t="s">
        <v>1710</v>
      </c>
      <c r="F243" s="43" t="s">
        <v>2759</v>
      </c>
      <c r="G243" s="42" t="s">
        <v>109</v>
      </c>
      <c r="H243" s="43" t="s">
        <v>1532</v>
      </c>
      <c r="I243" s="43" t="s">
        <v>104</v>
      </c>
      <c r="J243" s="55"/>
      <c r="K243" s="119">
        <f>IFERROR(VLOOKUP(B243,BD_CONTROL!$A$5:$M$4235,11,0),"")</f>
        <v>0</v>
      </c>
      <c r="L243" s="120">
        <f>IFERROR(VLOOKUP(B243,BD_CONTROL!$A$5:$M$4235,12,0),"")</f>
        <v>0</v>
      </c>
      <c r="M243" s="121">
        <f>IFERROR(VLOOKUP(B243,BD_CONTROL!$A$5:$M$4235,13,0),"")</f>
        <v>0</v>
      </c>
    </row>
    <row r="244" spans="1:13" ht="15" customHeight="1">
      <c r="A244" s="39">
        <v>239</v>
      </c>
      <c r="B244" s="39" t="s">
        <v>2763</v>
      </c>
      <c r="C244" s="40" t="s">
        <v>2764</v>
      </c>
      <c r="D244" s="39" t="s">
        <v>1530</v>
      </c>
      <c r="E244" s="40" t="s">
        <v>1596</v>
      </c>
      <c r="F244" s="40" t="s">
        <v>2619</v>
      </c>
      <c r="G244" s="39" t="s">
        <v>109</v>
      </c>
      <c r="H244" s="40" t="s">
        <v>1532</v>
      </c>
      <c r="I244" s="40" t="s">
        <v>104</v>
      </c>
      <c r="J244" s="50"/>
      <c r="K244" s="116">
        <f>IFERROR(VLOOKUP(B244,BD_CONTROL!$A$5:$M$4235,11,0),"")</f>
        <v>0</v>
      </c>
      <c r="L244" s="117">
        <f>IFERROR(VLOOKUP(B244,BD_CONTROL!$A$5:$M$4235,12,0),"")</f>
        <v>0</v>
      </c>
      <c r="M244" s="118">
        <f>IFERROR(VLOOKUP(B244,BD_CONTROL!$A$5:$M$4235,13,0),"")</f>
        <v>0</v>
      </c>
    </row>
    <row r="245" spans="1:13" ht="15" customHeight="1">
      <c r="A245" s="42">
        <v>240</v>
      </c>
      <c r="B245" s="42" t="s">
        <v>2765</v>
      </c>
      <c r="C245" s="43" t="s">
        <v>2766</v>
      </c>
      <c r="D245" s="42" t="s">
        <v>1530</v>
      </c>
      <c r="E245" s="43" t="s">
        <v>1707</v>
      </c>
      <c r="F245" s="43" t="s">
        <v>423</v>
      </c>
      <c r="G245" s="42" t="s">
        <v>109</v>
      </c>
      <c r="H245" s="43" t="s">
        <v>1532</v>
      </c>
      <c r="I245" s="43" t="s">
        <v>104</v>
      </c>
      <c r="J245" s="55"/>
      <c r="K245" s="119">
        <f>IFERROR(VLOOKUP(B245,BD_CONTROL!$A$5:$M$4235,11,0),"")</f>
        <v>0</v>
      </c>
      <c r="L245" s="120">
        <f>IFERROR(VLOOKUP(B245,BD_CONTROL!$A$5:$M$4235,12,0),"")</f>
        <v>0</v>
      </c>
      <c r="M245" s="121">
        <f>IFERROR(VLOOKUP(B245,BD_CONTROL!$A$5:$M$4235,13,0),"")</f>
        <v>0</v>
      </c>
    </row>
    <row r="246" spans="1:13" ht="15" customHeight="1">
      <c r="A246" s="39">
        <v>241</v>
      </c>
      <c r="B246" s="39" t="s">
        <v>2767</v>
      </c>
      <c r="C246" s="40" t="s">
        <v>2768</v>
      </c>
      <c r="D246" s="39" t="s">
        <v>1530</v>
      </c>
      <c r="E246" s="40" t="s">
        <v>1607</v>
      </c>
      <c r="F246" s="40" t="s">
        <v>2622</v>
      </c>
      <c r="G246" s="39" t="s">
        <v>109</v>
      </c>
      <c r="H246" s="40" t="s">
        <v>1532</v>
      </c>
      <c r="I246" s="40" t="s">
        <v>104</v>
      </c>
      <c r="J246" s="50"/>
      <c r="K246" s="116">
        <f>IFERROR(VLOOKUP(B246,BD_CONTROL!$A$5:$M$4235,11,0),"")</f>
        <v>0</v>
      </c>
      <c r="L246" s="117">
        <f>IFERROR(VLOOKUP(B246,BD_CONTROL!$A$5:$M$4235,12,0),"")</f>
        <v>0</v>
      </c>
      <c r="M246" s="118">
        <f>IFERROR(VLOOKUP(B246,BD_CONTROL!$A$5:$M$4235,13,0),"")</f>
        <v>0</v>
      </c>
    </row>
    <row r="247" spans="1:13" ht="15" customHeight="1">
      <c r="A247" s="42">
        <v>242</v>
      </c>
      <c r="B247" s="42" t="s">
        <v>2769</v>
      </c>
      <c r="C247" s="43" t="s">
        <v>2770</v>
      </c>
      <c r="D247" s="42" t="s">
        <v>1530</v>
      </c>
      <c r="E247" s="43" t="s">
        <v>1639</v>
      </c>
      <c r="F247" s="43" t="s">
        <v>1762</v>
      </c>
      <c r="G247" s="42" t="s">
        <v>109</v>
      </c>
      <c r="H247" s="43" t="s">
        <v>1532</v>
      </c>
      <c r="I247" s="43" t="s">
        <v>104</v>
      </c>
      <c r="J247" s="55"/>
      <c r="K247" s="119">
        <f>IFERROR(VLOOKUP(B247,BD_CONTROL!$A$5:$M$4235,11,0),"")</f>
        <v>0</v>
      </c>
      <c r="L247" s="120">
        <f>IFERROR(VLOOKUP(B247,BD_CONTROL!$A$5:$M$4235,12,0),"")</f>
        <v>0</v>
      </c>
      <c r="M247" s="121">
        <f>IFERROR(VLOOKUP(B247,BD_CONTROL!$A$5:$M$4235,13,0),"")</f>
        <v>0</v>
      </c>
    </row>
    <row r="248" spans="1:13" ht="15" customHeight="1">
      <c r="A248" s="39">
        <v>243</v>
      </c>
      <c r="B248" s="39" t="s">
        <v>2771</v>
      </c>
      <c r="C248" s="40" t="s">
        <v>2772</v>
      </c>
      <c r="D248" s="39" t="s">
        <v>1530</v>
      </c>
      <c r="E248" s="40" t="s">
        <v>1531</v>
      </c>
      <c r="F248" s="40" t="s">
        <v>2773</v>
      </c>
      <c r="G248" s="39" t="s">
        <v>109</v>
      </c>
      <c r="H248" s="40" t="s">
        <v>1532</v>
      </c>
      <c r="I248" s="40" t="s">
        <v>104</v>
      </c>
      <c r="J248" s="50"/>
      <c r="K248" s="116" t="str">
        <f>IFERROR(VLOOKUP(B248,BD_CONTROL!$A$5:$M$4235,11,0),"")</f>
        <v>Instalado - Operando</v>
      </c>
      <c r="L248" s="117">
        <f>IFERROR(VLOOKUP(B248,BD_CONTROL!$A$5:$M$4235,12,0),"")</f>
        <v>46149</v>
      </c>
      <c r="M248" s="118">
        <f>IFERROR(VLOOKUP(B248,BD_CONTROL!$A$5:$M$4235,13,0),"")</f>
        <v>0</v>
      </c>
    </row>
    <row r="249" spans="1:13" ht="15" customHeight="1">
      <c r="A249" s="42">
        <v>244</v>
      </c>
      <c r="B249" s="42" t="s">
        <v>2774</v>
      </c>
      <c r="C249" s="43" t="s">
        <v>2775</v>
      </c>
      <c r="D249" s="42" t="s">
        <v>1530</v>
      </c>
      <c r="E249" s="43" t="s">
        <v>1870</v>
      </c>
      <c r="F249" s="43" t="s">
        <v>2776</v>
      </c>
      <c r="G249" s="42" t="s">
        <v>109</v>
      </c>
      <c r="H249" s="43" t="s">
        <v>1532</v>
      </c>
      <c r="I249" s="43" t="s">
        <v>104</v>
      </c>
      <c r="J249" s="55"/>
      <c r="K249" s="119">
        <f>IFERROR(VLOOKUP(B249,BD_CONTROL!$A$5:$M$4235,11,0),"")</f>
        <v>0</v>
      </c>
      <c r="L249" s="120">
        <f>IFERROR(VLOOKUP(B249,BD_CONTROL!$A$5:$M$4235,12,0),"")</f>
        <v>0</v>
      </c>
      <c r="M249" s="121">
        <f>IFERROR(VLOOKUP(B249,BD_CONTROL!$A$5:$M$4235,13,0),"")</f>
        <v>0</v>
      </c>
    </row>
    <row r="250" spans="1:13" ht="15" customHeight="1">
      <c r="A250" s="39">
        <v>245</v>
      </c>
      <c r="B250" s="39" t="s">
        <v>2777</v>
      </c>
      <c r="C250" s="40" t="s">
        <v>2778</v>
      </c>
      <c r="D250" s="39" t="s">
        <v>1530</v>
      </c>
      <c r="E250" s="40" t="s">
        <v>1828</v>
      </c>
      <c r="F250" s="40" t="s">
        <v>2779</v>
      </c>
      <c r="G250" s="39" t="s">
        <v>109</v>
      </c>
      <c r="H250" s="40" t="s">
        <v>1532</v>
      </c>
      <c r="I250" s="40" t="s">
        <v>104</v>
      </c>
      <c r="J250" s="50"/>
      <c r="K250" s="116" t="str">
        <f>IFERROR(VLOOKUP(B250,BD_CONTROL!$A$5:$M$4235,11,0),"")</f>
        <v>Instalado - Sin Señal</v>
      </c>
      <c r="L250" s="117">
        <f>IFERROR(VLOOKUP(B250,BD_CONTROL!$A$5:$M$4235,12,0),"")</f>
        <v>46142</v>
      </c>
      <c r="M250" s="118">
        <f>IFERROR(VLOOKUP(B250,BD_CONTROL!$A$5:$M$4235,13,0),"")</f>
        <v>0</v>
      </c>
    </row>
    <row r="251" spans="1:13" ht="15" customHeight="1">
      <c r="A251" s="42">
        <v>246</v>
      </c>
      <c r="B251" s="42" t="s">
        <v>2780</v>
      </c>
      <c r="C251" s="43" t="s">
        <v>2781</v>
      </c>
      <c r="D251" s="42" t="s">
        <v>1530</v>
      </c>
      <c r="E251" s="43" t="s">
        <v>1819</v>
      </c>
      <c r="F251" s="43" t="s">
        <v>2782</v>
      </c>
      <c r="G251" s="42" t="s">
        <v>109</v>
      </c>
      <c r="H251" s="43" t="s">
        <v>1532</v>
      </c>
      <c r="I251" s="43" t="s">
        <v>104</v>
      </c>
      <c r="J251" s="55"/>
      <c r="K251" s="119" t="str">
        <f>IFERROR(VLOOKUP(B251,BD_CONTROL!$A$5:$M$4235,11,0),"")</f>
        <v>Instalado - Sin Señal</v>
      </c>
      <c r="L251" s="120">
        <f>IFERROR(VLOOKUP(B251,BD_CONTROL!$A$5:$M$4235,12,0),"")</f>
        <v>46147</v>
      </c>
      <c r="M251" s="121" t="str">
        <f>IFERROR(VLOOKUP(B251,BD_CONTROL!$A$5:$M$4235,13,0),"")</f>
        <v>Instalado, no operando, con reporte a mesa de ayuda</v>
      </c>
    </row>
    <row r="252" spans="1:13" ht="15" customHeight="1">
      <c r="A252" s="39">
        <v>247</v>
      </c>
      <c r="B252" s="39" t="s">
        <v>2793</v>
      </c>
      <c r="C252" s="40" t="s">
        <v>2794</v>
      </c>
      <c r="D252" s="39" t="s">
        <v>1530</v>
      </c>
      <c r="E252" s="40" t="s">
        <v>1886</v>
      </c>
      <c r="F252" s="40" t="s">
        <v>1886</v>
      </c>
      <c r="G252" s="39" t="s">
        <v>109</v>
      </c>
      <c r="H252" s="40" t="s">
        <v>1532</v>
      </c>
      <c r="I252" s="40" t="s">
        <v>104</v>
      </c>
      <c r="J252" s="50"/>
      <c r="K252" s="116" t="str">
        <f>IFERROR(VLOOKUP(B252,BD_CONTROL!$A$5:$M$4235,11,0),"")</f>
        <v>Instalado - Sin Señal</v>
      </c>
      <c r="L252" s="117">
        <f>IFERROR(VLOOKUP(B252,BD_CONTROL!$A$5:$M$4235,12,0),"")</f>
        <v>46141</v>
      </c>
      <c r="M252" s="118" t="str">
        <f>IFERROR(VLOOKUP(B252,BD_CONTROL!$A$5:$M$4235,13,0),"")</f>
        <v xml:space="preserve">Instalado, no operando, con reporte a mesa de ayuda
</v>
      </c>
    </row>
    <row r="253" spans="1:13" ht="15" customHeight="1">
      <c r="A253" s="42">
        <v>248</v>
      </c>
      <c r="B253" s="42" t="s">
        <v>2795</v>
      </c>
      <c r="C253" s="43" t="s">
        <v>2796</v>
      </c>
      <c r="D253" s="42" t="s">
        <v>1530</v>
      </c>
      <c r="E253" s="43" t="s">
        <v>1531</v>
      </c>
      <c r="F253" s="43" t="s">
        <v>2797</v>
      </c>
      <c r="G253" s="42" t="s">
        <v>109</v>
      </c>
      <c r="H253" s="43" t="s">
        <v>1532</v>
      </c>
      <c r="I253" s="43" t="s">
        <v>104</v>
      </c>
      <c r="J253" s="55"/>
      <c r="K253" s="119" t="str">
        <f>IFERROR(VLOOKUP(B253,BD_CONTROL!$A$5:$M$4235,11,0),"")</f>
        <v>Instalado - Operando</v>
      </c>
      <c r="L253" s="120">
        <f>IFERROR(VLOOKUP(B253,BD_CONTROL!$A$5:$M$4235,12,0),"")</f>
        <v>46149</v>
      </c>
      <c r="M253" s="121">
        <f>IFERROR(VLOOKUP(B253,BD_CONTROL!$A$5:$M$4235,13,0),"")</f>
        <v>0</v>
      </c>
    </row>
    <row r="254" spans="1:13" ht="15" customHeight="1">
      <c r="A254" s="39">
        <v>249</v>
      </c>
      <c r="B254" s="39" t="s">
        <v>2804</v>
      </c>
      <c r="C254" s="40" t="s">
        <v>2805</v>
      </c>
      <c r="D254" s="39" t="s">
        <v>1530</v>
      </c>
      <c r="E254" s="40" t="s">
        <v>1731</v>
      </c>
      <c r="F254" s="40" t="s">
        <v>1731</v>
      </c>
      <c r="G254" s="39" t="s">
        <v>109</v>
      </c>
      <c r="H254" s="40" t="s">
        <v>1532</v>
      </c>
      <c r="I254" s="40" t="s">
        <v>104</v>
      </c>
      <c r="J254" s="50"/>
      <c r="K254" s="116" t="str">
        <f>IFERROR(VLOOKUP(B254,BD_CONTROL!$A$5:$M$4235,11,0),"")</f>
        <v>Instalado - Operando</v>
      </c>
      <c r="L254" s="117">
        <f>IFERROR(VLOOKUP(B254,BD_CONTROL!$A$5:$M$4235,12,0),"")</f>
        <v>46142</v>
      </c>
      <c r="M254" s="118">
        <f>IFERROR(VLOOKUP(B254,BD_CONTROL!$A$5:$M$4235,13,0),"")</f>
        <v>0</v>
      </c>
    </row>
    <row r="255" spans="1:13" ht="15" customHeight="1">
      <c r="A255" s="42">
        <v>250</v>
      </c>
      <c r="B255" s="42" t="s">
        <v>2806</v>
      </c>
      <c r="C255" s="43" t="s">
        <v>2807</v>
      </c>
      <c r="D255" s="42" t="s">
        <v>1530</v>
      </c>
      <c r="E255" s="43" t="s">
        <v>1531</v>
      </c>
      <c r="F255" s="43" t="s">
        <v>1531</v>
      </c>
      <c r="G255" s="42" t="s">
        <v>102</v>
      </c>
      <c r="H255" s="43" t="s">
        <v>1532</v>
      </c>
      <c r="I255" s="43" t="s">
        <v>104</v>
      </c>
      <c r="J255" s="55"/>
      <c r="K255" s="119">
        <f>IFERROR(VLOOKUP(B255,BD_CONTROL!$A$5:$M$4235,11,0),"")</f>
        <v>0</v>
      </c>
      <c r="L255" s="120">
        <f>IFERROR(VLOOKUP(B255,BD_CONTROL!$A$5:$M$4235,12,0),"")</f>
        <v>0</v>
      </c>
      <c r="M255" s="121">
        <f>IFERROR(VLOOKUP(B255,BD_CONTROL!$A$5:$M$4235,13,0),"")</f>
        <v>0</v>
      </c>
    </row>
    <row r="256" spans="1:13" ht="15" customHeight="1">
      <c r="A256" s="39">
        <v>251</v>
      </c>
      <c r="B256" s="39" t="s">
        <v>2808</v>
      </c>
      <c r="C256" s="40" t="s">
        <v>2809</v>
      </c>
      <c r="D256" s="39" t="s">
        <v>1530</v>
      </c>
      <c r="E256" s="40" t="s">
        <v>1549</v>
      </c>
      <c r="F256" s="40" t="s">
        <v>2810</v>
      </c>
      <c r="G256" s="39" t="s">
        <v>109</v>
      </c>
      <c r="H256" s="40" t="s">
        <v>1532</v>
      </c>
      <c r="I256" s="40" t="s">
        <v>104</v>
      </c>
      <c r="J256" s="50"/>
      <c r="K256" s="116" t="str">
        <f>IFERROR(VLOOKUP(B256,BD_CONTROL!$A$5:$M$4235,11,0),"")</f>
        <v>Instalado - Operando</v>
      </c>
      <c r="L256" s="117">
        <f>IFERROR(VLOOKUP(B256,BD_CONTROL!$A$5:$M$4235,12,0),"")</f>
        <v>46150</v>
      </c>
      <c r="M256" s="118">
        <f>IFERROR(VLOOKUP(B256,BD_CONTROL!$A$5:$M$4235,13,0),"")</f>
        <v>0</v>
      </c>
    </row>
    <row r="257" spans="1:13" ht="15" customHeight="1">
      <c r="A257" s="42">
        <v>252</v>
      </c>
      <c r="B257" s="42" t="s">
        <v>2811</v>
      </c>
      <c r="C257" s="43" t="s">
        <v>2812</v>
      </c>
      <c r="D257" s="42" t="s">
        <v>1530</v>
      </c>
      <c r="E257" s="43" t="s">
        <v>1549</v>
      </c>
      <c r="F257" s="43" t="s">
        <v>2813</v>
      </c>
      <c r="G257" s="42" t="s">
        <v>109</v>
      </c>
      <c r="H257" s="43" t="s">
        <v>1532</v>
      </c>
      <c r="I257" s="43" t="s">
        <v>104</v>
      </c>
      <c r="J257" s="55"/>
      <c r="K257" s="119">
        <f>IFERROR(VLOOKUP(B257,BD_CONTROL!$A$5:$M$4235,11,0),"")</f>
        <v>0</v>
      </c>
      <c r="L257" s="120">
        <f>IFERROR(VLOOKUP(B257,BD_CONTROL!$A$5:$M$4235,12,0),"")</f>
        <v>0</v>
      </c>
      <c r="M257" s="121">
        <f>IFERROR(VLOOKUP(B257,BD_CONTROL!$A$5:$M$4235,13,0),"")</f>
        <v>0</v>
      </c>
    </row>
    <row r="258" spans="1:13" ht="15" customHeight="1">
      <c r="A258" s="39">
        <v>253</v>
      </c>
      <c r="B258" s="39" t="s">
        <v>2814</v>
      </c>
      <c r="C258" s="40" t="s">
        <v>2815</v>
      </c>
      <c r="D258" s="39" t="s">
        <v>1530</v>
      </c>
      <c r="E258" s="40" t="s">
        <v>1683</v>
      </c>
      <c r="F258" s="40" t="s">
        <v>2816</v>
      </c>
      <c r="G258" s="39" t="s">
        <v>109</v>
      </c>
      <c r="H258" s="40" t="s">
        <v>1532</v>
      </c>
      <c r="I258" s="40" t="s">
        <v>104</v>
      </c>
      <c r="J258" s="50"/>
      <c r="K258" s="116">
        <f>IFERROR(VLOOKUP(B258,BD_CONTROL!$A$5:$M$4235,11,0),"")</f>
        <v>0</v>
      </c>
      <c r="L258" s="117">
        <f>IFERROR(VLOOKUP(B258,BD_CONTROL!$A$5:$M$4235,12,0),"")</f>
        <v>0</v>
      </c>
      <c r="M258" s="118">
        <f>IFERROR(VLOOKUP(B258,BD_CONTROL!$A$5:$M$4235,13,0),"")</f>
        <v>0</v>
      </c>
    </row>
    <row r="259" spans="1:13" ht="15" customHeight="1">
      <c r="A259" s="42">
        <v>254</v>
      </c>
      <c r="B259" s="42" t="s">
        <v>2819</v>
      </c>
      <c r="C259" s="43" t="s">
        <v>2820</v>
      </c>
      <c r="D259" s="42" t="s">
        <v>1530</v>
      </c>
      <c r="E259" s="43" t="s">
        <v>1687</v>
      </c>
      <c r="F259" s="43" t="s">
        <v>1687</v>
      </c>
      <c r="G259" s="42" t="s">
        <v>102</v>
      </c>
      <c r="H259" s="43" t="s">
        <v>1532</v>
      </c>
      <c r="I259" s="43" t="s">
        <v>104</v>
      </c>
      <c r="J259" s="55"/>
      <c r="K259" s="119" t="str">
        <f>IFERROR(VLOOKUP(B259,BD_CONTROL!$A$5:$M$4235,11,0),"")</f>
        <v>Instalado - Operando</v>
      </c>
      <c r="L259" s="120">
        <f>IFERROR(VLOOKUP(B259,BD_CONTROL!$A$5:$M$4235,12,0),"")</f>
        <v>46140</v>
      </c>
      <c r="M259" s="121">
        <f>IFERROR(VLOOKUP(B259,BD_CONTROL!$A$5:$M$4235,13,0),"")</f>
        <v>0</v>
      </c>
    </row>
    <row r="260" spans="1:13" ht="15" customHeight="1">
      <c r="A260" s="39">
        <v>255</v>
      </c>
      <c r="B260" s="39" t="s">
        <v>2821</v>
      </c>
      <c r="C260" s="40" t="s">
        <v>2822</v>
      </c>
      <c r="D260" s="39" t="s">
        <v>1530</v>
      </c>
      <c r="E260" s="40" t="s">
        <v>1710</v>
      </c>
      <c r="F260" s="40" t="s">
        <v>2823</v>
      </c>
      <c r="G260" s="39" t="s">
        <v>109</v>
      </c>
      <c r="H260" s="40" t="s">
        <v>1532</v>
      </c>
      <c r="I260" s="40" t="s">
        <v>104</v>
      </c>
      <c r="J260" s="50"/>
      <c r="K260" s="116">
        <f>IFERROR(VLOOKUP(B260,BD_CONTROL!$A$5:$M$4235,11,0),"")</f>
        <v>0</v>
      </c>
      <c r="L260" s="117">
        <f>IFERROR(VLOOKUP(B260,BD_CONTROL!$A$5:$M$4235,12,0),"")</f>
        <v>0</v>
      </c>
      <c r="M260" s="118">
        <f>IFERROR(VLOOKUP(B260,BD_CONTROL!$A$5:$M$4235,13,0),"")</f>
        <v>0</v>
      </c>
    </row>
    <row r="261" spans="1:13" ht="15" customHeight="1">
      <c r="A261" s="42">
        <v>256</v>
      </c>
      <c r="B261" s="42" t="s">
        <v>2827</v>
      </c>
      <c r="C261" s="43" t="s">
        <v>2828</v>
      </c>
      <c r="D261" s="42" t="s">
        <v>1530</v>
      </c>
      <c r="E261" s="43" t="s">
        <v>1734</v>
      </c>
      <c r="F261" s="43" t="s">
        <v>1734</v>
      </c>
      <c r="G261" s="42" t="s">
        <v>109</v>
      </c>
      <c r="H261" s="43" t="s">
        <v>1532</v>
      </c>
      <c r="I261" s="43" t="s">
        <v>104</v>
      </c>
      <c r="J261" s="55"/>
      <c r="K261" s="119" t="str">
        <f>IFERROR(VLOOKUP(B261,BD_CONTROL!$A$5:$M$4235,11,0),"")</f>
        <v>Instalado - Operando</v>
      </c>
      <c r="L261" s="120">
        <f>IFERROR(VLOOKUP(B261,BD_CONTROL!$A$5:$M$4235,12,0),"")</f>
        <v>46139</v>
      </c>
      <c r="M261" s="121">
        <f>IFERROR(VLOOKUP(B261,BD_CONTROL!$A$5:$M$4235,13,0),"")</f>
        <v>0</v>
      </c>
    </row>
    <row r="262" spans="1:13" ht="15" customHeight="1">
      <c r="A262" s="39">
        <v>257</v>
      </c>
      <c r="B262" s="39" t="s">
        <v>2829</v>
      </c>
      <c r="C262" s="40" t="s">
        <v>2830</v>
      </c>
      <c r="D262" s="39" t="s">
        <v>1530</v>
      </c>
      <c r="E262" s="40" t="s">
        <v>1710</v>
      </c>
      <c r="F262" s="40" t="s">
        <v>1944</v>
      </c>
      <c r="G262" s="39" t="s">
        <v>109</v>
      </c>
      <c r="H262" s="40" t="s">
        <v>1532</v>
      </c>
      <c r="I262" s="40" t="s">
        <v>104</v>
      </c>
      <c r="J262" s="50"/>
      <c r="K262" s="116">
        <f>IFERROR(VLOOKUP(B262,BD_CONTROL!$A$5:$M$4235,11,0),"")</f>
        <v>0</v>
      </c>
      <c r="L262" s="117">
        <f>IFERROR(VLOOKUP(B262,BD_CONTROL!$A$5:$M$4235,12,0),"")</f>
        <v>0</v>
      </c>
      <c r="M262" s="118">
        <f>IFERROR(VLOOKUP(B262,BD_CONTROL!$A$5:$M$4235,13,0),"")</f>
        <v>0</v>
      </c>
    </row>
    <row r="263" spans="1:13" ht="15" customHeight="1">
      <c r="A263" s="42">
        <v>258</v>
      </c>
      <c r="B263" s="42" t="s">
        <v>2834</v>
      </c>
      <c r="C263" s="43" t="s">
        <v>2835</v>
      </c>
      <c r="D263" s="42" t="s">
        <v>1530</v>
      </c>
      <c r="E263" s="43" t="s">
        <v>1714</v>
      </c>
      <c r="F263" s="43" t="s">
        <v>1715</v>
      </c>
      <c r="G263" s="42" t="s">
        <v>109</v>
      </c>
      <c r="H263" s="43" t="s">
        <v>1532</v>
      </c>
      <c r="I263" s="43" t="s">
        <v>104</v>
      </c>
      <c r="J263" s="55"/>
      <c r="K263" s="119" t="str">
        <f>IFERROR(VLOOKUP(B263,BD_CONTROL!$A$5:$M$4235,11,0),"")</f>
        <v>Instalado - Operando</v>
      </c>
      <c r="L263" s="120">
        <f>IFERROR(VLOOKUP(B263,BD_CONTROL!$A$5:$M$4235,12,0),"")</f>
        <v>46147</v>
      </c>
      <c r="M263" s="121">
        <f>IFERROR(VLOOKUP(B263,BD_CONTROL!$A$5:$M$4235,13,0),"")</f>
        <v>0</v>
      </c>
    </row>
    <row r="264" spans="1:13" ht="15" customHeight="1">
      <c r="A264" s="39">
        <v>259</v>
      </c>
      <c r="B264" s="39" t="s">
        <v>2837</v>
      </c>
      <c r="C264" s="40" t="s">
        <v>2838</v>
      </c>
      <c r="D264" s="39" t="s">
        <v>1530</v>
      </c>
      <c r="E264" s="40" t="s">
        <v>1707</v>
      </c>
      <c r="F264" s="40" t="s">
        <v>2839</v>
      </c>
      <c r="G264" s="39" t="s">
        <v>109</v>
      </c>
      <c r="H264" s="40" t="s">
        <v>1532</v>
      </c>
      <c r="I264" s="40" t="s">
        <v>104</v>
      </c>
      <c r="J264" s="50"/>
      <c r="K264" s="116">
        <f>IFERROR(VLOOKUP(B264,BD_CONTROL!$A$5:$M$4235,11,0),"")</f>
        <v>0</v>
      </c>
      <c r="L264" s="117">
        <f>IFERROR(VLOOKUP(B264,BD_CONTROL!$A$5:$M$4235,12,0),"")</f>
        <v>0</v>
      </c>
      <c r="M264" s="118">
        <f>IFERROR(VLOOKUP(B264,BD_CONTROL!$A$5:$M$4235,13,0),"")</f>
        <v>0</v>
      </c>
    </row>
    <row r="265" spans="1:13" ht="15" customHeight="1">
      <c r="A265" s="42">
        <v>260</v>
      </c>
      <c r="B265" s="42" t="s">
        <v>2840</v>
      </c>
      <c r="C265" s="43" t="s">
        <v>2841</v>
      </c>
      <c r="D265" s="42" t="s">
        <v>1530</v>
      </c>
      <c r="E265" s="43" t="s">
        <v>1653</v>
      </c>
      <c r="F265" s="43" t="s">
        <v>1845</v>
      </c>
      <c r="G265" s="42" t="s">
        <v>109</v>
      </c>
      <c r="H265" s="43" t="s">
        <v>1532</v>
      </c>
      <c r="I265" s="43" t="s">
        <v>104</v>
      </c>
      <c r="J265" s="55"/>
      <c r="K265" s="119" t="str">
        <f>IFERROR(VLOOKUP(B265,BD_CONTROL!$A$5:$M$4235,11,0),"")</f>
        <v>Instalado - Sin Señal</v>
      </c>
      <c r="L265" s="120">
        <f>IFERROR(VLOOKUP(B265,BD_CONTROL!$A$5:$M$4235,12,0),"")</f>
        <v>46149</v>
      </c>
      <c r="M265" s="121" t="str">
        <f>IFERROR(VLOOKUP(B265,BD_CONTROL!$A$5:$M$4235,13,0),"")</f>
        <v>Instalado, no operando, con reporte a mesa de ayuda</v>
      </c>
    </row>
    <row r="266" spans="1:13" ht="15" customHeight="1">
      <c r="A266" s="39">
        <v>261</v>
      </c>
      <c r="B266" s="39" t="s">
        <v>2844</v>
      </c>
      <c r="C266" s="40" t="s">
        <v>2845</v>
      </c>
      <c r="D266" s="39" t="s">
        <v>1530</v>
      </c>
      <c r="E266" s="40" t="s">
        <v>1710</v>
      </c>
      <c r="F266" s="40" t="s">
        <v>2034</v>
      </c>
      <c r="G266" s="39" t="s">
        <v>109</v>
      </c>
      <c r="H266" s="40" t="s">
        <v>1532</v>
      </c>
      <c r="I266" s="40" t="s">
        <v>104</v>
      </c>
      <c r="J266" s="50"/>
      <c r="K266" s="116">
        <f>IFERROR(VLOOKUP(B266,BD_CONTROL!$A$5:$M$4235,11,0),"")</f>
        <v>0</v>
      </c>
      <c r="L266" s="117">
        <f>IFERROR(VLOOKUP(B266,BD_CONTROL!$A$5:$M$4235,12,0),"")</f>
        <v>0</v>
      </c>
      <c r="M266" s="118">
        <f>IFERROR(VLOOKUP(B266,BD_CONTROL!$A$5:$M$4235,13,0),"")</f>
        <v>0</v>
      </c>
    </row>
    <row r="267" spans="1:13" ht="15" customHeight="1">
      <c r="A267" s="42">
        <v>262</v>
      </c>
      <c r="B267" s="42" t="s">
        <v>2846</v>
      </c>
      <c r="C267" s="43" t="s">
        <v>2847</v>
      </c>
      <c r="D267" s="42" t="s">
        <v>1530</v>
      </c>
      <c r="E267" s="43" t="s">
        <v>1653</v>
      </c>
      <c r="F267" s="43" t="s">
        <v>2848</v>
      </c>
      <c r="G267" s="42" t="s">
        <v>109</v>
      </c>
      <c r="H267" s="43" t="s">
        <v>1532</v>
      </c>
      <c r="I267" s="43" t="s">
        <v>104</v>
      </c>
      <c r="J267" s="55"/>
      <c r="K267" s="119">
        <f>IFERROR(VLOOKUP(B267,BD_CONTROL!$A$5:$M$4235,11,0),"")</f>
        <v>0</v>
      </c>
      <c r="L267" s="120">
        <f>IFERROR(VLOOKUP(B267,BD_CONTROL!$A$5:$M$4235,12,0),"")</f>
        <v>0</v>
      </c>
      <c r="M267" s="121">
        <f>IFERROR(VLOOKUP(B267,BD_CONTROL!$A$5:$M$4235,13,0),"")</f>
        <v>0</v>
      </c>
    </row>
    <row r="268" spans="1:13" ht="15" customHeight="1">
      <c r="A268" s="39">
        <v>263</v>
      </c>
      <c r="B268" s="39" t="s">
        <v>2849</v>
      </c>
      <c r="C268" s="40" t="s">
        <v>2850</v>
      </c>
      <c r="D268" s="39" t="s">
        <v>1530</v>
      </c>
      <c r="E268" s="40" t="s">
        <v>1719</v>
      </c>
      <c r="F268" s="40" t="s">
        <v>1719</v>
      </c>
      <c r="G268" s="39" t="s">
        <v>109</v>
      </c>
      <c r="H268" s="40" t="s">
        <v>1532</v>
      </c>
      <c r="I268" s="40" t="s">
        <v>104</v>
      </c>
      <c r="J268" s="50"/>
      <c r="K268" s="116">
        <f>IFERROR(VLOOKUP(B268,BD_CONTROL!$A$5:$M$4235,11,0),"")</f>
        <v>0</v>
      </c>
      <c r="L268" s="117">
        <f>IFERROR(VLOOKUP(B268,BD_CONTROL!$A$5:$M$4235,12,0),"")</f>
        <v>0</v>
      </c>
      <c r="M268" s="118">
        <f>IFERROR(VLOOKUP(B268,BD_CONTROL!$A$5:$M$4235,13,0),"")</f>
        <v>0</v>
      </c>
    </row>
    <row r="269" spans="1:13" ht="15" customHeight="1">
      <c r="A269" s="42">
        <v>264</v>
      </c>
      <c r="B269" s="42" t="s">
        <v>2868</v>
      </c>
      <c r="C269" s="43" t="s">
        <v>2869</v>
      </c>
      <c r="D269" s="42" t="s">
        <v>1530</v>
      </c>
      <c r="E269" s="43" t="s">
        <v>1578</v>
      </c>
      <c r="F269" s="43" t="s">
        <v>2870</v>
      </c>
      <c r="G269" s="42" t="s">
        <v>109</v>
      </c>
      <c r="H269" s="43" t="s">
        <v>1532</v>
      </c>
      <c r="I269" s="43" t="s">
        <v>104</v>
      </c>
      <c r="J269" s="55"/>
      <c r="K269" s="119" t="str">
        <f>IFERROR(VLOOKUP(B269,BD_CONTROL!$A$5:$M$4235,11,0),"")</f>
        <v>Instalado - Operando</v>
      </c>
      <c r="L269" s="120">
        <f>IFERROR(VLOOKUP(B269,BD_CONTROL!$A$5:$M$4235,12,0),"")</f>
        <v>46139</v>
      </c>
      <c r="M269" s="121">
        <f>IFERROR(VLOOKUP(B269,BD_CONTROL!$A$5:$M$4235,13,0),"")</f>
        <v>0</v>
      </c>
    </row>
    <row r="270" spans="1:13" ht="15" customHeight="1">
      <c r="A270" s="39">
        <v>265</v>
      </c>
      <c r="B270" s="39" t="s">
        <v>2873</v>
      </c>
      <c r="C270" s="40" t="s">
        <v>2874</v>
      </c>
      <c r="D270" s="39" t="s">
        <v>1530</v>
      </c>
      <c r="E270" s="40" t="s">
        <v>1607</v>
      </c>
      <c r="F270" s="40" t="s">
        <v>2875</v>
      </c>
      <c r="G270" s="39" t="s">
        <v>109</v>
      </c>
      <c r="H270" s="40" t="s">
        <v>1532</v>
      </c>
      <c r="I270" s="40" t="s">
        <v>104</v>
      </c>
      <c r="J270" s="50"/>
      <c r="K270" s="116">
        <f>IFERROR(VLOOKUP(B270,BD_CONTROL!$A$5:$M$4235,11,0),"")</f>
        <v>0</v>
      </c>
      <c r="L270" s="117">
        <f>IFERROR(VLOOKUP(B270,BD_CONTROL!$A$5:$M$4235,12,0),"")</f>
        <v>0</v>
      </c>
      <c r="M270" s="118">
        <f>IFERROR(VLOOKUP(B270,BD_CONTROL!$A$5:$M$4235,13,0),"")</f>
        <v>0</v>
      </c>
    </row>
    <row r="271" spans="1:13" ht="15" customHeight="1">
      <c r="A271" s="42">
        <v>266</v>
      </c>
      <c r="B271" s="42" t="s">
        <v>2880</v>
      </c>
      <c r="C271" s="43" t="s">
        <v>2881</v>
      </c>
      <c r="D271" s="42" t="s">
        <v>1530</v>
      </c>
      <c r="E271" s="43" t="s">
        <v>1549</v>
      </c>
      <c r="F271" s="43" t="s">
        <v>2627</v>
      </c>
      <c r="G271" s="42" t="s">
        <v>109</v>
      </c>
      <c r="H271" s="43" t="s">
        <v>1532</v>
      </c>
      <c r="I271" s="43" t="s">
        <v>104</v>
      </c>
      <c r="J271" s="55"/>
      <c r="K271" s="119">
        <f>IFERROR(VLOOKUP(B271,BD_CONTROL!$A$5:$M$4235,11,0),"")</f>
        <v>0</v>
      </c>
      <c r="L271" s="120">
        <f>IFERROR(VLOOKUP(B271,BD_CONTROL!$A$5:$M$4235,12,0),"")</f>
        <v>0</v>
      </c>
      <c r="M271" s="121">
        <f>IFERROR(VLOOKUP(B271,BD_CONTROL!$A$5:$M$4235,13,0),"")</f>
        <v>0</v>
      </c>
    </row>
    <row r="272" spans="1:13" ht="15" customHeight="1">
      <c r="A272" s="39">
        <v>267</v>
      </c>
      <c r="B272" s="39" t="s">
        <v>2893</v>
      </c>
      <c r="C272" s="40" t="s">
        <v>2894</v>
      </c>
      <c r="D272" s="39" t="s">
        <v>1530</v>
      </c>
      <c r="E272" s="40" t="s">
        <v>1600</v>
      </c>
      <c r="F272" s="40" t="s">
        <v>2895</v>
      </c>
      <c r="G272" s="39" t="s">
        <v>109</v>
      </c>
      <c r="H272" s="40" t="s">
        <v>1532</v>
      </c>
      <c r="I272" s="40" t="s">
        <v>104</v>
      </c>
      <c r="J272" s="50"/>
      <c r="K272" s="116" t="str">
        <f>IFERROR(VLOOKUP(B272,BD_CONTROL!$A$5:$M$4235,11,0),"")</f>
        <v>Instalado - Sin Señal</v>
      </c>
      <c r="L272" s="117">
        <f>IFERROR(VLOOKUP(B272,BD_CONTROL!$A$5:$M$4235,12,0),"")</f>
        <v>46140</v>
      </c>
      <c r="M272" s="118" t="str">
        <f>IFERROR(VLOOKUP(B272,BD_CONTROL!$A$5:$M$4235,13,0),"")</f>
        <v>INSTALADO= Instalado, no operando, con reporte a mesa de ayuda</v>
      </c>
    </row>
    <row r="273" spans="1:13" ht="15" customHeight="1">
      <c r="A273" s="42">
        <v>268</v>
      </c>
      <c r="B273" s="42" t="s">
        <v>2904</v>
      </c>
      <c r="C273" s="43" t="s">
        <v>2905</v>
      </c>
      <c r="D273" s="42" t="s">
        <v>1530</v>
      </c>
      <c r="E273" s="43" t="s">
        <v>1719</v>
      </c>
      <c r="F273" s="43" t="s">
        <v>2571</v>
      </c>
      <c r="G273" s="42" t="s">
        <v>102</v>
      </c>
      <c r="H273" s="43" t="s">
        <v>1532</v>
      </c>
      <c r="I273" s="43" t="s">
        <v>104</v>
      </c>
      <c r="J273" s="55"/>
      <c r="K273" s="119">
        <f>IFERROR(VLOOKUP(B273,BD_CONTROL!$A$5:$M$4235,11,0),"")</f>
        <v>0</v>
      </c>
      <c r="L273" s="120">
        <f>IFERROR(VLOOKUP(B273,BD_CONTROL!$A$5:$M$4235,12,0),"")</f>
        <v>0</v>
      </c>
      <c r="M273" s="121">
        <f>IFERROR(VLOOKUP(B273,BD_CONTROL!$A$5:$M$4235,13,0),"")</f>
        <v>0</v>
      </c>
    </row>
    <row r="274" spans="1:13" ht="15" customHeight="1">
      <c r="A274" s="39">
        <v>269</v>
      </c>
      <c r="B274" s="39" t="s">
        <v>2914</v>
      </c>
      <c r="C274" s="40" t="s">
        <v>2915</v>
      </c>
      <c r="D274" s="39" t="s">
        <v>1530</v>
      </c>
      <c r="E274" s="40" t="s">
        <v>1653</v>
      </c>
      <c r="F274" s="40" t="s">
        <v>2916</v>
      </c>
      <c r="G274" s="39" t="s">
        <v>109</v>
      </c>
      <c r="H274" s="40" t="s">
        <v>1532</v>
      </c>
      <c r="I274" s="40" t="s">
        <v>104</v>
      </c>
      <c r="J274" s="50"/>
      <c r="K274" s="116" t="str">
        <f>IFERROR(VLOOKUP(B274,BD_CONTROL!$A$5:$M$4235,11,0),"")</f>
        <v>Instalado - Sin Señal</v>
      </c>
      <c r="L274" s="117">
        <f>IFERROR(VLOOKUP(B274,BD_CONTROL!$A$5:$M$4235,12,0),"")</f>
        <v>46148</v>
      </c>
      <c r="M274" s="118" t="str">
        <f>IFERROR(VLOOKUP(B274,BD_CONTROL!$A$5:$M$4235,13,0),"")</f>
        <v>Instalado, no operando, con reporte a mesa de ayuda</v>
      </c>
    </row>
    <row r="275" spans="1:13" ht="15" customHeight="1">
      <c r="A275" s="42">
        <v>270</v>
      </c>
      <c r="B275" s="42" t="s">
        <v>2920</v>
      </c>
      <c r="C275" s="43" t="s">
        <v>2921</v>
      </c>
      <c r="D275" s="42" t="s">
        <v>553</v>
      </c>
      <c r="E275" s="43" t="s">
        <v>2922</v>
      </c>
      <c r="F275" s="43" t="s">
        <v>2923</v>
      </c>
      <c r="G275" s="42" t="s">
        <v>109</v>
      </c>
      <c r="H275" s="43" t="s">
        <v>1532</v>
      </c>
      <c r="I275" s="43" t="s">
        <v>104</v>
      </c>
      <c r="J275" s="55"/>
      <c r="K275" s="119" t="str">
        <f>IFERROR(VLOOKUP(B275,BD_CONTROL!$A$5:$M$4235,11,0),"")</f>
        <v>Instalado - Operando</v>
      </c>
      <c r="L275" s="120">
        <f>IFERROR(VLOOKUP(B275,BD_CONTROL!$A$5:$M$4235,12,0),"")</f>
        <v>46149</v>
      </c>
      <c r="M275" s="121">
        <f>IFERROR(VLOOKUP(B275,BD_CONTROL!$A$5:$M$4235,13,0),"")</f>
        <v>0</v>
      </c>
    </row>
    <row r="276" spans="1:13" ht="15" customHeight="1">
      <c r="A276" s="39">
        <v>271</v>
      </c>
      <c r="B276" s="39" t="s">
        <v>2935</v>
      </c>
      <c r="C276" s="40" t="s">
        <v>2099</v>
      </c>
      <c r="D276" s="39" t="s">
        <v>553</v>
      </c>
      <c r="E276" s="40" t="s">
        <v>2936</v>
      </c>
      <c r="F276" s="40" t="s">
        <v>2937</v>
      </c>
      <c r="G276" s="39" t="s">
        <v>109</v>
      </c>
      <c r="H276" s="40" t="s">
        <v>1532</v>
      </c>
      <c r="I276" s="40" t="s">
        <v>104</v>
      </c>
      <c r="J276" s="50"/>
      <c r="K276" s="116">
        <f>IFERROR(VLOOKUP(B276,BD_CONTROL!$A$5:$M$4235,11,0),"")</f>
        <v>0</v>
      </c>
      <c r="L276" s="117">
        <f>IFERROR(VLOOKUP(B276,BD_CONTROL!$A$5:$M$4235,12,0),"")</f>
        <v>0</v>
      </c>
      <c r="M276" s="118">
        <f>IFERROR(VLOOKUP(B276,BD_CONTROL!$A$5:$M$4235,13,0),"")</f>
        <v>0</v>
      </c>
    </row>
    <row r="277" spans="1:13" ht="15" customHeight="1">
      <c r="A277" s="42">
        <v>272</v>
      </c>
      <c r="B277" s="42" t="s">
        <v>2938</v>
      </c>
      <c r="C277" s="43" t="s">
        <v>2939</v>
      </c>
      <c r="D277" s="42" t="s">
        <v>553</v>
      </c>
      <c r="E277" s="43" t="s">
        <v>2940</v>
      </c>
      <c r="F277" s="43" t="s">
        <v>2941</v>
      </c>
      <c r="G277" s="42" t="s">
        <v>109</v>
      </c>
      <c r="H277" s="43" t="s">
        <v>1532</v>
      </c>
      <c r="I277" s="43" t="s">
        <v>104</v>
      </c>
      <c r="J277" s="55"/>
      <c r="K277" s="119" t="str">
        <f>IFERROR(VLOOKUP(B277,BD_CONTROL!$A$5:$M$4235,11,0),"")</f>
        <v>Instalado - Operando</v>
      </c>
      <c r="L277" s="120">
        <f>IFERROR(VLOOKUP(B277,BD_CONTROL!$A$5:$M$4235,12,0),"")</f>
        <v>46149</v>
      </c>
      <c r="M277" s="121">
        <f>IFERROR(VLOOKUP(B277,BD_CONTROL!$A$5:$M$4235,13,0),"")</f>
        <v>0</v>
      </c>
    </row>
    <row r="278" spans="1:13" ht="15" customHeight="1">
      <c r="A278" s="39">
        <v>273</v>
      </c>
      <c r="B278" s="39" t="s">
        <v>2955</v>
      </c>
      <c r="C278" s="40" t="s">
        <v>2956</v>
      </c>
      <c r="D278" s="39" t="s">
        <v>553</v>
      </c>
      <c r="E278" s="40" t="s">
        <v>2936</v>
      </c>
      <c r="F278" s="40" t="s">
        <v>2957</v>
      </c>
      <c r="G278" s="39" t="s">
        <v>102</v>
      </c>
      <c r="H278" s="40" t="s">
        <v>1532</v>
      </c>
      <c r="I278" s="40" t="s">
        <v>104</v>
      </c>
      <c r="J278" s="50"/>
      <c r="K278" s="116" t="str">
        <f>IFERROR(VLOOKUP(B278,BD_CONTROL!$A$5:$M$4235,11,0),"")</f>
        <v>Instalado - Operando</v>
      </c>
      <c r="L278" s="117">
        <f>IFERROR(VLOOKUP(B278,BD_CONTROL!$A$5:$M$4235,12,0),"")</f>
        <v>46148</v>
      </c>
      <c r="M278" s="118">
        <f>IFERROR(VLOOKUP(B278,BD_CONTROL!$A$5:$M$4235,13,0),"")</f>
        <v>0</v>
      </c>
    </row>
    <row r="279" spans="1:13" ht="15" customHeight="1">
      <c r="A279" s="42">
        <v>274</v>
      </c>
      <c r="B279" s="42" t="s">
        <v>2973</v>
      </c>
      <c r="C279" s="43" t="s">
        <v>1152</v>
      </c>
      <c r="D279" s="42" t="s">
        <v>553</v>
      </c>
      <c r="E279" s="43" t="s">
        <v>2936</v>
      </c>
      <c r="F279" s="43" t="s">
        <v>2974</v>
      </c>
      <c r="G279" s="42" t="s">
        <v>109</v>
      </c>
      <c r="H279" s="43" t="s">
        <v>1532</v>
      </c>
      <c r="I279" s="43" t="s">
        <v>104</v>
      </c>
      <c r="J279" s="55"/>
      <c r="K279" s="119" t="str">
        <f>IFERROR(VLOOKUP(B279,BD_CONTROL!$A$5:$M$4235,11,0),"")</f>
        <v>Instalado - Operando</v>
      </c>
      <c r="L279" s="120">
        <f>IFERROR(VLOOKUP(B279,BD_CONTROL!$A$5:$M$4235,12,0),"")</f>
        <v>46148</v>
      </c>
      <c r="M279" s="121">
        <f>IFERROR(VLOOKUP(B279,BD_CONTROL!$A$5:$M$4235,13,0),"")</f>
        <v>0</v>
      </c>
    </row>
    <row r="280" spans="1:13" ht="15" customHeight="1">
      <c r="A280" s="39">
        <v>275</v>
      </c>
      <c r="B280" s="39" t="s">
        <v>2975</v>
      </c>
      <c r="C280" s="40" t="s">
        <v>2976</v>
      </c>
      <c r="D280" s="39" t="s">
        <v>553</v>
      </c>
      <c r="E280" s="40" t="s">
        <v>2977</v>
      </c>
      <c r="F280" s="40" t="s">
        <v>2978</v>
      </c>
      <c r="G280" s="39" t="s">
        <v>109</v>
      </c>
      <c r="H280" s="40" t="s">
        <v>1532</v>
      </c>
      <c r="I280" s="40" t="s">
        <v>104</v>
      </c>
      <c r="J280" s="50"/>
      <c r="K280" s="116" t="str">
        <f>IFERROR(VLOOKUP(B280,BD_CONTROL!$A$5:$M$4235,11,0),"")</f>
        <v>Instalado - Operando</v>
      </c>
      <c r="L280" s="117">
        <f>IFERROR(VLOOKUP(B280,BD_CONTROL!$A$5:$M$4235,12,0),"")</f>
        <v>46150</v>
      </c>
      <c r="M280" s="118">
        <f>IFERROR(VLOOKUP(B280,BD_CONTROL!$A$5:$M$4235,13,0),"")</f>
        <v>0</v>
      </c>
    </row>
    <row r="281" spans="1:13" ht="15" customHeight="1">
      <c r="A281" s="42">
        <v>276</v>
      </c>
      <c r="B281" s="42" t="s">
        <v>2981</v>
      </c>
      <c r="C281" s="43" t="s">
        <v>106</v>
      </c>
      <c r="D281" s="42" t="s">
        <v>553</v>
      </c>
      <c r="E281" s="43" t="s">
        <v>2982</v>
      </c>
      <c r="F281" s="43" t="s">
        <v>2721</v>
      </c>
      <c r="G281" s="42" t="s">
        <v>109</v>
      </c>
      <c r="H281" s="43" t="s">
        <v>1532</v>
      </c>
      <c r="I281" s="43" t="s">
        <v>104</v>
      </c>
      <c r="J281" s="55"/>
      <c r="K281" s="119" t="str">
        <f>IFERROR(VLOOKUP(B281,BD_CONTROL!$A$5:$M$4235,11,0),"")</f>
        <v>Instalado - Operando</v>
      </c>
      <c r="L281" s="120">
        <f>IFERROR(VLOOKUP(B281,BD_CONTROL!$A$5:$M$4235,12,0),"")</f>
        <v>46148</v>
      </c>
      <c r="M281" s="121">
        <f>IFERROR(VLOOKUP(B281,BD_CONTROL!$A$5:$M$4235,13,0),"")</f>
        <v>0</v>
      </c>
    </row>
    <row r="282" spans="1:13" ht="15" customHeight="1">
      <c r="A282" s="39">
        <v>277</v>
      </c>
      <c r="B282" s="39" t="s">
        <v>2985</v>
      </c>
      <c r="C282" s="40" t="s">
        <v>132</v>
      </c>
      <c r="D282" s="39" t="s">
        <v>553</v>
      </c>
      <c r="E282" s="40" t="s">
        <v>2936</v>
      </c>
      <c r="F282" s="40" t="s">
        <v>2986</v>
      </c>
      <c r="G282" s="39" t="s">
        <v>109</v>
      </c>
      <c r="H282" s="40" t="s">
        <v>1532</v>
      </c>
      <c r="I282" s="40" t="s">
        <v>104</v>
      </c>
      <c r="J282" s="50"/>
      <c r="K282" s="116">
        <f>IFERROR(VLOOKUP(B282,BD_CONTROL!$A$5:$M$4235,11,0),"")</f>
        <v>0</v>
      </c>
      <c r="L282" s="117">
        <f>IFERROR(VLOOKUP(B282,BD_CONTROL!$A$5:$M$4235,12,0),"")</f>
        <v>0</v>
      </c>
      <c r="M282" s="118">
        <f>IFERROR(VLOOKUP(B282,BD_CONTROL!$A$5:$M$4235,13,0),"")</f>
        <v>0</v>
      </c>
    </row>
    <row r="283" spans="1:13" ht="15" customHeight="1">
      <c r="A283" s="42">
        <v>278</v>
      </c>
      <c r="B283" s="42" t="s">
        <v>2994</v>
      </c>
      <c r="C283" s="43" t="s">
        <v>2995</v>
      </c>
      <c r="D283" s="42" t="s">
        <v>553</v>
      </c>
      <c r="E283" s="43" t="s">
        <v>2996</v>
      </c>
      <c r="F283" s="43" t="s">
        <v>2997</v>
      </c>
      <c r="G283" s="42" t="s">
        <v>109</v>
      </c>
      <c r="H283" s="43" t="s">
        <v>1532</v>
      </c>
      <c r="I283" s="43" t="s">
        <v>104</v>
      </c>
      <c r="J283" s="55"/>
      <c r="K283" s="119" t="str">
        <f>IFERROR(VLOOKUP(B283,BD_CONTROL!$A$5:$M$4235,11,0),"")</f>
        <v>Instalado - Operando</v>
      </c>
      <c r="L283" s="120">
        <f>IFERROR(VLOOKUP(B283,BD_CONTROL!$A$5:$M$4235,12,0),"")</f>
        <v>46148</v>
      </c>
      <c r="M283" s="121">
        <f>IFERROR(VLOOKUP(B283,BD_CONTROL!$A$5:$M$4235,13,0),"")</f>
        <v>0</v>
      </c>
    </row>
    <row r="284" spans="1:13" ht="15" customHeight="1">
      <c r="A284" s="39">
        <v>279</v>
      </c>
      <c r="B284" s="39" t="s">
        <v>3002</v>
      </c>
      <c r="C284" s="40" t="s">
        <v>3003</v>
      </c>
      <c r="D284" s="39" t="s">
        <v>553</v>
      </c>
      <c r="E284" s="40" t="s">
        <v>3004</v>
      </c>
      <c r="F284" s="40" t="s">
        <v>3004</v>
      </c>
      <c r="G284" s="39" t="s">
        <v>109</v>
      </c>
      <c r="H284" s="40" t="s">
        <v>1532</v>
      </c>
      <c r="I284" s="40" t="s">
        <v>104</v>
      </c>
      <c r="J284" s="50"/>
      <c r="K284" s="116" t="str">
        <f>IFERROR(VLOOKUP(B284,BD_CONTROL!$A$5:$M$4235,11,0),"")</f>
        <v>Instalado - Operando</v>
      </c>
      <c r="L284" s="117">
        <f>IFERROR(VLOOKUP(B284,BD_CONTROL!$A$5:$M$4235,12,0),"")</f>
        <v>46149</v>
      </c>
      <c r="M284" s="118">
        <f>IFERROR(VLOOKUP(B284,BD_CONTROL!$A$5:$M$4235,13,0),"")</f>
        <v>0</v>
      </c>
    </row>
    <row r="285" spans="1:13" ht="15" customHeight="1">
      <c r="A285" s="42">
        <v>280</v>
      </c>
      <c r="B285" s="42" t="s">
        <v>3005</v>
      </c>
      <c r="C285" s="43" t="s">
        <v>3006</v>
      </c>
      <c r="D285" s="42" t="s">
        <v>553</v>
      </c>
      <c r="E285" s="43" t="s">
        <v>3007</v>
      </c>
      <c r="F285" s="43" t="s">
        <v>3007</v>
      </c>
      <c r="G285" s="42" t="s">
        <v>102</v>
      </c>
      <c r="H285" s="43" t="s">
        <v>1532</v>
      </c>
      <c r="I285" s="43" t="s">
        <v>104</v>
      </c>
      <c r="J285" s="55"/>
      <c r="K285" s="119" t="str">
        <f>IFERROR(VLOOKUP(B285,BD_CONTROL!$A$5:$M$4235,11,0),"")</f>
        <v>Instalado - Operando</v>
      </c>
      <c r="L285" s="120">
        <f>IFERROR(VLOOKUP(B285,BD_CONTROL!$A$5:$M$4235,12,0),"")</f>
        <v>46153</v>
      </c>
      <c r="M285" s="121">
        <f>IFERROR(VLOOKUP(B285,BD_CONTROL!$A$5:$M$4235,13,0),"")</f>
        <v>0</v>
      </c>
    </row>
    <row r="286" spans="1:13" ht="15" customHeight="1">
      <c r="A286" s="39">
        <v>281</v>
      </c>
      <c r="B286" s="39" t="s">
        <v>3008</v>
      </c>
      <c r="C286" s="40" t="s">
        <v>3009</v>
      </c>
      <c r="D286" s="39" t="s">
        <v>553</v>
      </c>
      <c r="E286" s="40" t="s">
        <v>3010</v>
      </c>
      <c r="F286" s="40" t="s">
        <v>3011</v>
      </c>
      <c r="G286" s="39" t="s">
        <v>109</v>
      </c>
      <c r="H286" s="40" t="s">
        <v>1532</v>
      </c>
      <c r="I286" s="40" t="s">
        <v>104</v>
      </c>
      <c r="J286" s="50"/>
      <c r="K286" s="116">
        <f>IFERROR(VLOOKUP(B286,BD_CONTROL!$A$5:$M$4235,11,0),"")</f>
        <v>0</v>
      </c>
      <c r="L286" s="117">
        <f>IFERROR(VLOOKUP(B286,BD_CONTROL!$A$5:$M$4235,12,0),"")</f>
        <v>0</v>
      </c>
      <c r="M286" s="118">
        <f>IFERROR(VLOOKUP(B286,BD_CONTROL!$A$5:$M$4235,13,0),"")</f>
        <v>0</v>
      </c>
    </row>
    <row r="287" spans="1:13" ht="15" customHeight="1">
      <c r="A287" s="42">
        <v>282</v>
      </c>
      <c r="B287" s="42" t="s">
        <v>3026</v>
      </c>
      <c r="C287" s="43" t="s">
        <v>3027</v>
      </c>
      <c r="D287" s="42" t="s">
        <v>553</v>
      </c>
      <c r="E287" s="43" t="s">
        <v>3028</v>
      </c>
      <c r="F287" s="43" t="s">
        <v>3029</v>
      </c>
      <c r="G287" s="42" t="s">
        <v>109</v>
      </c>
      <c r="H287" s="43" t="s">
        <v>1532</v>
      </c>
      <c r="I287" s="43" t="s">
        <v>104</v>
      </c>
      <c r="J287" s="55"/>
      <c r="K287" s="119" t="str">
        <f>IFERROR(VLOOKUP(B287,BD_CONTROL!$A$5:$M$4235,11,0),"")</f>
        <v>Instalado - Operando</v>
      </c>
      <c r="L287" s="120">
        <f>IFERROR(VLOOKUP(B287,BD_CONTROL!$A$5:$M$4235,12,0),"")</f>
        <v>46143</v>
      </c>
      <c r="M287" s="121">
        <f>IFERROR(VLOOKUP(B287,BD_CONTROL!$A$5:$M$4235,13,0),"")</f>
        <v>0</v>
      </c>
    </row>
    <row r="288" spans="1:13" ht="15" customHeight="1">
      <c r="A288" s="39">
        <v>283</v>
      </c>
      <c r="B288" s="39" t="s">
        <v>3042</v>
      </c>
      <c r="C288" s="40" t="s">
        <v>3043</v>
      </c>
      <c r="D288" s="39" t="s">
        <v>553</v>
      </c>
      <c r="E288" s="40" t="s">
        <v>3044</v>
      </c>
      <c r="F288" s="40" t="s">
        <v>3045</v>
      </c>
      <c r="G288" s="39" t="s">
        <v>109</v>
      </c>
      <c r="H288" s="40" t="s">
        <v>1532</v>
      </c>
      <c r="I288" s="40" t="s">
        <v>104</v>
      </c>
      <c r="J288" s="50"/>
      <c r="K288" s="116" t="str">
        <f>IFERROR(VLOOKUP(B288,BD_CONTROL!$A$5:$M$4235,11,0),"")</f>
        <v>Instalado - Operando</v>
      </c>
      <c r="L288" s="117">
        <f>IFERROR(VLOOKUP(B288,BD_CONTROL!$A$5:$M$4235,12,0),"")</f>
        <v>46148</v>
      </c>
      <c r="M288" s="118">
        <f>IFERROR(VLOOKUP(B288,BD_CONTROL!$A$5:$M$4235,13,0),"")</f>
        <v>0</v>
      </c>
    </row>
    <row r="289" spans="1:13" ht="15" customHeight="1">
      <c r="A289" s="42">
        <v>284</v>
      </c>
      <c r="B289" s="42" t="s">
        <v>3046</v>
      </c>
      <c r="C289" s="43" t="s">
        <v>3047</v>
      </c>
      <c r="D289" s="42" t="s">
        <v>553</v>
      </c>
      <c r="E289" s="43" t="s">
        <v>3048</v>
      </c>
      <c r="F289" s="43" t="s">
        <v>3049</v>
      </c>
      <c r="G289" s="42" t="s">
        <v>109</v>
      </c>
      <c r="H289" s="43" t="s">
        <v>1532</v>
      </c>
      <c r="I289" s="43" t="s">
        <v>104</v>
      </c>
      <c r="J289" s="55"/>
      <c r="K289" s="119">
        <f>IFERROR(VLOOKUP(B289,BD_CONTROL!$A$5:$M$4235,11,0),"")</f>
        <v>0</v>
      </c>
      <c r="L289" s="120">
        <f>IFERROR(VLOOKUP(B289,BD_CONTROL!$A$5:$M$4235,12,0),"")</f>
        <v>0</v>
      </c>
      <c r="M289" s="121">
        <f>IFERROR(VLOOKUP(B289,BD_CONTROL!$A$5:$M$4235,13,0),"")</f>
        <v>0</v>
      </c>
    </row>
    <row r="290" spans="1:13" ht="15" customHeight="1">
      <c r="A290" s="39">
        <v>285</v>
      </c>
      <c r="B290" s="39" t="s">
        <v>3058</v>
      </c>
      <c r="C290" s="40" t="s">
        <v>3059</v>
      </c>
      <c r="D290" s="39" t="s">
        <v>553</v>
      </c>
      <c r="E290" s="40" t="s">
        <v>3060</v>
      </c>
      <c r="F290" s="40" t="s">
        <v>3061</v>
      </c>
      <c r="G290" s="39" t="s">
        <v>109</v>
      </c>
      <c r="H290" s="40" t="s">
        <v>1532</v>
      </c>
      <c r="I290" s="40" t="s">
        <v>104</v>
      </c>
      <c r="J290" s="50"/>
      <c r="K290" s="116" t="str">
        <f>IFERROR(VLOOKUP(B290,BD_CONTROL!$A$5:$M$4235,11,0),"")</f>
        <v>Instalado - Operando</v>
      </c>
      <c r="L290" s="117">
        <f>IFERROR(VLOOKUP(B290,BD_CONTROL!$A$5:$M$4235,12,0),"")</f>
        <v>46150</v>
      </c>
      <c r="M290" s="118">
        <f>IFERROR(VLOOKUP(B290,BD_CONTROL!$A$5:$M$4235,13,0),"")</f>
        <v>0</v>
      </c>
    </row>
    <row r="291" spans="1:13" ht="15" customHeight="1">
      <c r="A291" s="42">
        <v>286</v>
      </c>
      <c r="B291" s="42" t="s">
        <v>3062</v>
      </c>
      <c r="C291" s="43" t="s">
        <v>3063</v>
      </c>
      <c r="D291" s="42" t="s">
        <v>553</v>
      </c>
      <c r="E291" s="43" t="s">
        <v>3064</v>
      </c>
      <c r="F291" s="43" t="s">
        <v>3065</v>
      </c>
      <c r="G291" s="42" t="s">
        <v>109</v>
      </c>
      <c r="H291" s="43" t="s">
        <v>1532</v>
      </c>
      <c r="I291" s="43" t="s">
        <v>104</v>
      </c>
      <c r="J291" s="55"/>
      <c r="K291" s="119" t="str">
        <f>IFERROR(VLOOKUP(B291,BD_CONTROL!$A$5:$M$4235,11,0),"")</f>
        <v>Instalado - Operando</v>
      </c>
      <c r="L291" s="120">
        <f>IFERROR(VLOOKUP(B291,BD_CONTROL!$A$5:$M$4235,12,0),"")</f>
        <v>46153</v>
      </c>
      <c r="M291" s="121">
        <f>IFERROR(VLOOKUP(B291,BD_CONTROL!$A$5:$M$4235,13,0),"")</f>
        <v>0</v>
      </c>
    </row>
    <row r="292" spans="1:13" ht="15" customHeight="1">
      <c r="A292" s="39">
        <v>287</v>
      </c>
      <c r="B292" s="39" t="s">
        <v>3074</v>
      </c>
      <c r="C292" s="40" t="s">
        <v>3075</v>
      </c>
      <c r="D292" s="39" t="s">
        <v>553</v>
      </c>
      <c r="E292" s="40" t="s">
        <v>2996</v>
      </c>
      <c r="F292" s="40" t="s">
        <v>3076</v>
      </c>
      <c r="G292" s="39" t="s">
        <v>109</v>
      </c>
      <c r="H292" s="40" t="s">
        <v>1532</v>
      </c>
      <c r="I292" s="40" t="s">
        <v>104</v>
      </c>
      <c r="J292" s="50"/>
      <c r="K292" s="116">
        <f>IFERROR(VLOOKUP(B292,BD_CONTROL!$A$5:$M$4235,11,0),"")</f>
        <v>0</v>
      </c>
      <c r="L292" s="117">
        <f>IFERROR(VLOOKUP(B292,BD_CONTROL!$A$5:$M$4235,12,0),"")</f>
        <v>0</v>
      </c>
      <c r="M292" s="118">
        <f>IFERROR(VLOOKUP(B292,BD_CONTROL!$A$5:$M$4235,13,0),"")</f>
        <v>0</v>
      </c>
    </row>
    <row r="293" spans="1:13" ht="15" customHeight="1">
      <c r="A293" s="42">
        <v>288</v>
      </c>
      <c r="B293" s="42" t="s">
        <v>3077</v>
      </c>
      <c r="C293" s="43" t="s">
        <v>3078</v>
      </c>
      <c r="D293" s="42" t="s">
        <v>553</v>
      </c>
      <c r="E293" s="43" t="s">
        <v>3079</v>
      </c>
      <c r="F293" s="43" t="s">
        <v>3080</v>
      </c>
      <c r="G293" s="42" t="s">
        <v>109</v>
      </c>
      <c r="H293" s="43" t="s">
        <v>1532</v>
      </c>
      <c r="I293" s="43" t="s">
        <v>104</v>
      </c>
      <c r="J293" s="55"/>
      <c r="K293" s="119">
        <f>IFERROR(VLOOKUP(B293,BD_CONTROL!$A$5:$M$4235,11,0),"")</f>
        <v>0</v>
      </c>
      <c r="L293" s="120">
        <f>IFERROR(VLOOKUP(B293,BD_CONTROL!$A$5:$M$4235,12,0),"")</f>
        <v>0</v>
      </c>
      <c r="M293" s="121">
        <f>IFERROR(VLOOKUP(B293,BD_CONTROL!$A$5:$M$4235,13,0),"")</f>
        <v>0</v>
      </c>
    </row>
    <row r="294" spans="1:13" ht="15" customHeight="1">
      <c r="A294" s="39">
        <v>289</v>
      </c>
      <c r="B294" s="39" t="s">
        <v>3093</v>
      </c>
      <c r="C294" s="40" t="s">
        <v>3094</v>
      </c>
      <c r="D294" s="39" t="s">
        <v>553</v>
      </c>
      <c r="E294" s="40" t="s">
        <v>3004</v>
      </c>
      <c r="F294" s="40" t="s">
        <v>1232</v>
      </c>
      <c r="G294" s="39" t="s">
        <v>109</v>
      </c>
      <c r="H294" s="40" t="s">
        <v>1532</v>
      </c>
      <c r="I294" s="40" t="s">
        <v>104</v>
      </c>
      <c r="J294" s="50"/>
      <c r="K294" s="116" t="str">
        <f>IFERROR(VLOOKUP(B294,BD_CONTROL!$A$5:$M$4235,11,0),"")</f>
        <v>Instalado - Operando</v>
      </c>
      <c r="L294" s="117">
        <f>IFERROR(VLOOKUP(B294,BD_CONTROL!$A$5:$M$4235,12,0),"")</f>
        <v>46149</v>
      </c>
      <c r="M294" s="118">
        <f>IFERROR(VLOOKUP(B294,BD_CONTROL!$A$5:$M$4235,13,0),"")</f>
        <v>0</v>
      </c>
    </row>
    <row r="295" spans="1:13" ht="15" customHeight="1">
      <c r="A295" s="42">
        <v>290</v>
      </c>
      <c r="B295" s="42" t="s">
        <v>3099</v>
      </c>
      <c r="C295" s="43" t="s">
        <v>3100</v>
      </c>
      <c r="D295" s="42" t="s">
        <v>553</v>
      </c>
      <c r="E295" s="43" t="s">
        <v>3028</v>
      </c>
      <c r="F295" s="43" t="s">
        <v>3101</v>
      </c>
      <c r="G295" s="42" t="s">
        <v>109</v>
      </c>
      <c r="H295" s="43" t="s">
        <v>1532</v>
      </c>
      <c r="I295" s="43" t="s">
        <v>104</v>
      </c>
      <c r="J295" s="55"/>
      <c r="K295" s="119">
        <f>IFERROR(VLOOKUP(B295,BD_CONTROL!$A$5:$M$4235,11,0),"")</f>
        <v>0</v>
      </c>
      <c r="L295" s="120">
        <f>IFERROR(VLOOKUP(B295,BD_CONTROL!$A$5:$M$4235,12,0),"")</f>
        <v>0</v>
      </c>
      <c r="M295" s="121">
        <f>IFERROR(VLOOKUP(B295,BD_CONTROL!$A$5:$M$4235,13,0),"")</f>
        <v>0</v>
      </c>
    </row>
    <row r="296" spans="1:13" ht="15" customHeight="1">
      <c r="A296" s="39">
        <v>291</v>
      </c>
      <c r="B296" s="39" t="s">
        <v>3102</v>
      </c>
      <c r="C296" s="40" t="s">
        <v>3103</v>
      </c>
      <c r="D296" s="39" t="s">
        <v>553</v>
      </c>
      <c r="E296" s="40" t="s">
        <v>3104</v>
      </c>
      <c r="F296" s="40" t="s">
        <v>3105</v>
      </c>
      <c r="G296" s="39" t="s">
        <v>102</v>
      </c>
      <c r="H296" s="40" t="s">
        <v>1532</v>
      </c>
      <c r="I296" s="40" t="s">
        <v>104</v>
      </c>
      <c r="J296" s="50"/>
      <c r="K296" s="116" t="str">
        <f>IFERROR(VLOOKUP(B296,BD_CONTROL!$A$5:$M$4235,11,0),"")</f>
        <v>Instalado - Operando</v>
      </c>
      <c r="L296" s="117">
        <f>IFERROR(VLOOKUP(B296,BD_CONTROL!$A$5:$M$4235,12,0),"")</f>
        <v>46142</v>
      </c>
      <c r="M296" s="118">
        <f>IFERROR(VLOOKUP(B296,BD_CONTROL!$A$5:$M$4235,13,0),"")</f>
        <v>0</v>
      </c>
    </row>
    <row r="297" spans="1:13" ht="15" customHeight="1">
      <c r="A297" s="42">
        <v>292</v>
      </c>
      <c r="B297" s="42" t="s">
        <v>3106</v>
      </c>
      <c r="C297" s="43" t="s">
        <v>1391</v>
      </c>
      <c r="D297" s="42" t="s">
        <v>553</v>
      </c>
      <c r="E297" s="43" t="s">
        <v>3107</v>
      </c>
      <c r="F297" s="43" t="s">
        <v>645</v>
      </c>
      <c r="G297" s="42" t="s">
        <v>109</v>
      </c>
      <c r="H297" s="43" t="s">
        <v>1532</v>
      </c>
      <c r="I297" s="43" t="s">
        <v>104</v>
      </c>
      <c r="J297" s="55"/>
      <c r="K297" s="119">
        <f>IFERROR(VLOOKUP(B297,BD_CONTROL!$A$5:$M$4235,11,0),"")</f>
        <v>0</v>
      </c>
      <c r="L297" s="120">
        <f>IFERROR(VLOOKUP(B297,BD_CONTROL!$A$5:$M$4235,12,0),"")</f>
        <v>0</v>
      </c>
      <c r="M297" s="121">
        <f>IFERROR(VLOOKUP(B297,BD_CONTROL!$A$5:$M$4235,13,0),"")</f>
        <v>0</v>
      </c>
    </row>
    <row r="298" spans="1:13" ht="15" customHeight="1">
      <c r="A298" s="39">
        <v>293</v>
      </c>
      <c r="B298" s="39" t="s">
        <v>3108</v>
      </c>
      <c r="C298" s="40" t="s">
        <v>3109</v>
      </c>
      <c r="D298" s="39" t="s">
        <v>553</v>
      </c>
      <c r="E298" s="40" t="s">
        <v>3107</v>
      </c>
      <c r="F298" s="40" t="s">
        <v>1735</v>
      </c>
      <c r="G298" s="39" t="s">
        <v>109</v>
      </c>
      <c r="H298" s="40" t="s">
        <v>1532</v>
      </c>
      <c r="I298" s="40" t="s">
        <v>104</v>
      </c>
      <c r="J298" s="50"/>
      <c r="K298" s="116" t="str">
        <f>IFERROR(VLOOKUP(B298,BD_CONTROL!$A$5:$M$4235,11,0),"")</f>
        <v>Instalado - Operando</v>
      </c>
      <c r="L298" s="117">
        <f>IFERROR(VLOOKUP(B298,BD_CONTROL!$A$5:$M$4235,12,0),"")</f>
        <v>46153</v>
      </c>
      <c r="M298" s="118">
        <f>IFERROR(VLOOKUP(B298,BD_CONTROL!$A$5:$M$4235,13,0),"")</f>
        <v>0</v>
      </c>
    </row>
    <row r="299" spans="1:13" ht="15" customHeight="1">
      <c r="A299" s="42">
        <v>294</v>
      </c>
      <c r="B299" s="42" t="s">
        <v>3113</v>
      </c>
      <c r="C299" s="43" t="s">
        <v>3114</v>
      </c>
      <c r="D299" s="42" t="s">
        <v>553</v>
      </c>
      <c r="E299" s="43" t="s">
        <v>3115</v>
      </c>
      <c r="F299" s="43" t="s">
        <v>3116</v>
      </c>
      <c r="G299" s="42" t="s">
        <v>109</v>
      </c>
      <c r="H299" s="43" t="s">
        <v>1532</v>
      </c>
      <c r="I299" s="43" t="s">
        <v>104</v>
      </c>
      <c r="J299" s="55"/>
      <c r="K299" s="119" t="str">
        <f>IFERROR(VLOOKUP(B299,BD_CONTROL!$A$5:$M$4235,11,0),"")</f>
        <v>Instalado - Operando</v>
      </c>
      <c r="L299" s="120">
        <f>IFERROR(VLOOKUP(B299,BD_CONTROL!$A$5:$M$4235,12,0),"")</f>
        <v>46150</v>
      </c>
      <c r="M299" s="121">
        <f>IFERROR(VLOOKUP(B299,BD_CONTROL!$A$5:$M$4235,13,0),"")</f>
        <v>0</v>
      </c>
    </row>
    <row r="300" spans="1:13" ht="15" customHeight="1">
      <c r="A300" s="39">
        <v>295</v>
      </c>
      <c r="B300" s="39" t="s">
        <v>3117</v>
      </c>
      <c r="C300" s="40" t="s">
        <v>3118</v>
      </c>
      <c r="D300" s="39" t="s">
        <v>553</v>
      </c>
      <c r="E300" s="40" t="s">
        <v>3119</v>
      </c>
      <c r="F300" s="40" t="s">
        <v>3120</v>
      </c>
      <c r="G300" s="39" t="s">
        <v>109</v>
      </c>
      <c r="H300" s="40" t="s">
        <v>1532</v>
      </c>
      <c r="I300" s="40" t="s">
        <v>104</v>
      </c>
      <c r="J300" s="50"/>
      <c r="K300" s="116" t="str">
        <f>IFERROR(VLOOKUP(B300,BD_CONTROL!$A$5:$M$4235,11,0),"")</f>
        <v>Instalado - Operando</v>
      </c>
      <c r="L300" s="117">
        <f>IFERROR(VLOOKUP(B300,BD_CONTROL!$A$5:$M$4235,12,0),"")</f>
        <v>46141</v>
      </c>
      <c r="M300" s="118">
        <f>IFERROR(VLOOKUP(B300,BD_CONTROL!$A$5:$M$4235,13,0),"")</f>
        <v>0</v>
      </c>
    </row>
    <row r="301" spans="1:13" ht="15" customHeight="1">
      <c r="A301" s="42">
        <v>296</v>
      </c>
      <c r="B301" s="42" t="s">
        <v>3121</v>
      </c>
      <c r="C301" s="43" t="s">
        <v>3122</v>
      </c>
      <c r="D301" s="42" t="s">
        <v>553</v>
      </c>
      <c r="E301" s="43" t="s">
        <v>2996</v>
      </c>
      <c r="F301" s="43" t="s">
        <v>3123</v>
      </c>
      <c r="G301" s="42" t="s">
        <v>109</v>
      </c>
      <c r="H301" s="43" t="s">
        <v>1532</v>
      </c>
      <c r="I301" s="43" t="s">
        <v>104</v>
      </c>
      <c r="J301" s="55"/>
      <c r="K301" s="119">
        <f>IFERROR(VLOOKUP(B301,BD_CONTROL!$A$5:$M$4235,11,0),"")</f>
        <v>0</v>
      </c>
      <c r="L301" s="120">
        <f>IFERROR(VLOOKUP(B301,BD_CONTROL!$A$5:$M$4235,12,0),"")</f>
        <v>0</v>
      </c>
      <c r="M301" s="121">
        <f>IFERROR(VLOOKUP(B301,BD_CONTROL!$A$5:$M$4235,13,0),"")</f>
        <v>0</v>
      </c>
    </row>
    <row r="302" spans="1:13" ht="15" customHeight="1">
      <c r="A302" s="39">
        <v>297</v>
      </c>
      <c r="B302" s="39" t="s">
        <v>3124</v>
      </c>
      <c r="C302" s="40" t="s">
        <v>3125</v>
      </c>
      <c r="D302" s="39" t="s">
        <v>553</v>
      </c>
      <c r="E302" s="40" t="s">
        <v>3126</v>
      </c>
      <c r="F302" s="40" t="s">
        <v>3127</v>
      </c>
      <c r="G302" s="39" t="s">
        <v>102</v>
      </c>
      <c r="H302" s="40" t="s">
        <v>1532</v>
      </c>
      <c r="I302" s="40" t="s">
        <v>104</v>
      </c>
      <c r="J302" s="50"/>
      <c r="K302" s="116" t="str">
        <f>IFERROR(VLOOKUP(B302,BD_CONTROL!$A$5:$M$4235,11,0),"")</f>
        <v>Instalado - Operando</v>
      </c>
      <c r="L302" s="117">
        <f>IFERROR(VLOOKUP(B302,BD_CONTROL!$A$5:$M$4235,12,0),"")</f>
        <v>46153</v>
      </c>
      <c r="M302" s="118">
        <f>IFERROR(VLOOKUP(B302,BD_CONTROL!$A$5:$M$4235,13,0),"")</f>
        <v>0</v>
      </c>
    </row>
    <row r="303" spans="1:13" ht="15" customHeight="1">
      <c r="A303" s="42">
        <v>298</v>
      </c>
      <c r="B303" s="42" t="s">
        <v>3138</v>
      </c>
      <c r="C303" s="43" t="s">
        <v>3139</v>
      </c>
      <c r="D303" s="42" t="s">
        <v>553</v>
      </c>
      <c r="E303" s="43" t="s">
        <v>3010</v>
      </c>
      <c r="F303" s="43" t="s">
        <v>3140</v>
      </c>
      <c r="G303" s="42" t="s">
        <v>109</v>
      </c>
      <c r="H303" s="43" t="s">
        <v>1532</v>
      </c>
      <c r="I303" s="43" t="s">
        <v>104</v>
      </c>
      <c r="J303" s="55"/>
      <c r="K303" s="119" t="str">
        <f>IFERROR(VLOOKUP(B303,BD_CONTROL!$A$5:$M$4235,11,0),"")</f>
        <v>Instalado - Operando</v>
      </c>
      <c r="L303" s="120">
        <f>IFERROR(VLOOKUP(B303,BD_CONTROL!$A$5:$M$4235,12,0),"")</f>
        <v>46149</v>
      </c>
      <c r="M303" s="121">
        <f>IFERROR(VLOOKUP(B303,BD_CONTROL!$A$5:$M$4235,13,0),"")</f>
        <v>0</v>
      </c>
    </row>
    <row r="304" spans="1:13" ht="15" customHeight="1">
      <c r="A304" s="39">
        <v>299</v>
      </c>
      <c r="B304" s="39" t="s">
        <v>3143</v>
      </c>
      <c r="C304" s="40" t="s">
        <v>3144</v>
      </c>
      <c r="D304" s="39" t="s">
        <v>553</v>
      </c>
      <c r="E304" s="40" t="s">
        <v>3056</v>
      </c>
      <c r="F304" s="40" t="s">
        <v>3145</v>
      </c>
      <c r="G304" s="39" t="s">
        <v>109</v>
      </c>
      <c r="H304" s="40" t="s">
        <v>1532</v>
      </c>
      <c r="I304" s="40" t="s">
        <v>104</v>
      </c>
      <c r="J304" s="50"/>
      <c r="K304" s="116" t="str">
        <f>IFERROR(VLOOKUP(B304,BD_CONTROL!$A$5:$M$4235,11,0),"")</f>
        <v>Instalado - Operando</v>
      </c>
      <c r="L304" s="117">
        <f>IFERROR(VLOOKUP(B304,BD_CONTROL!$A$5:$M$4235,12,0),"")</f>
        <v>46150</v>
      </c>
      <c r="M304" s="118">
        <f>IFERROR(VLOOKUP(B304,BD_CONTROL!$A$5:$M$4235,13,0),"")</f>
        <v>0</v>
      </c>
    </row>
    <row r="305" spans="1:13" ht="15" customHeight="1">
      <c r="A305" s="42">
        <v>300</v>
      </c>
      <c r="B305" s="42" t="s">
        <v>3146</v>
      </c>
      <c r="C305" s="43" t="s">
        <v>3147</v>
      </c>
      <c r="D305" s="42" t="s">
        <v>553</v>
      </c>
      <c r="E305" s="43" t="s">
        <v>2936</v>
      </c>
      <c r="F305" s="43" t="s">
        <v>3148</v>
      </c>
      <c r="G305" s="42" t="s">
        <v>109</v>
      </c>
      <c r="H305" s="43" t="s">
        <v>1532</v>
      </c>
      <c r="I305" s="43" t="s">
        <v>104</v>
      </c>
      <c r="J305" s="55"/>
      <c r="K305" s="119">
        <f>IFERROR(VLOOKUP(B305,BD_CONTROL!$A$5:$M$4235,11,0),"")</f>
        <v>0</v>
      </c>
      <c r="L305" s="120">
        <f>IFERROR(VLOOKUP(B305,BD_CONTROL!$A$5:$M$4235,12,0),"")</f>
        <v>0</v>
      </c>
      <c r="M305" s="121">
        <f>IFERROR(VLOOKUP(B305,BD_CONTROL!$A$5:$M$4235,13,0),"")</f>
        <v>0</v>
      </c>
    </row>
    <row r="306" spans="1:13" ht="15" customHeight="1">
      <c r="A306" s="39">
        <v>301</v>
      </c>
      <c r="B306" s="39" t="s">
        <v>3161</v>
      </c>
      <c r="C306" s="40" t="s">
        <v>3162</v>
      </c>
      <c r="D306" s="39" t="s">
        <v>553</v>
      </c>
      <c r="E306" s="40" t="s">
        <v>3163</v>
      </c>
      <c r="F306" s="40" t="s">
        <v>3164</v>
      </c>
      <c r="G306" s="39" t="s">
        <v>109</v>
      </c>
      <c r="H306" s="40" t="s">
        <v>1532</v>
      </c>
      <c r="I306" s="40" t="s">
        <v>104</v>
      </c>
      <c r="J306" s="50"/>
      <c r="K306" s="116">
        <f>IFERROR(VLOOKUP(B306,BD_CONTROL!$A$5:$M$4235,11,0),"")</f>
        <v>0</v>
      </c>
      <c r="L306" s="117">
        <f>IFERROR(VLOOKUP(B306,BD_CONTROL!$A$5:$M$4235,12,0),"")</f>
        <v>0</v>
      </c>
      <c r="M306" s="118">
        <f>IFERROR(VLOOKUP(B306,BD_CONTROL!$A$5:$M$4235,13,0),"")</f>
        <v>0</v>
      </c>
    </row>
    <row r="307" spans="1:13" ht="15" customHeight="1">
      <c r="A307" s="42">
        <v>302</v>
      </c>
      <c r="B307" s="42" t="s">
        <v>3169</v>
      </c>
      <c r="C307" s="43" t="s">
        <v>1141</v>
      </c>
      <c r="D307" s="42" t="s">
        <v>553</v>
      </c>
      <c r="E307" s="43" t="s">
        <v>2977</v>
      </c>
      <c r="F307" s="43" t="s">
        <v>3170</v>
      </c>
      <c r="G307" s="42" t="s">
        <v>109</v>
      </c>
      <c r="H307" s="43" t="s">
        <v>1532</v>
      </c>
      <c r="I307" s="43" t="s">
        <v>104</v>
      </c>
      <c r="J307" s="55"/>
      <c r="K307" s="119" t="str">
        <f>IFERROR(VLOOKUP(B307,BD_CONTROL!$A$5:$M$4235,11,0),"")</f>
        <v>Instalado - Operando</v>
      </c>
      <c r="L307" s="120">
        <f>IFERROR(VLOOKUP(B307,BD_CONTROL!$A$5:$M$4235,12,0),"")</f>
        <v>46150</v>
      </c>
      <c r="M307" s="121">
        <f>IFERROR(VLOOKUP(B307,BD_CONTROL!$A$5:$M$4235,13,0),"")</f>
        <v>0</v>
      </c>
    </row>
    <row r="308" spans="1:13" ht="15" customHeight="1">
      <c r="A308" s="39">
        <v>303</v>
      </c>
      <c r="B308" s="39" t="s">
        <v>3175</v>
      </c>
      <c r="C308" s="40" t="s">
        <v>3176</v>
      </c>
      <c r="D308" s="39" t="s">
        <v>553</v>
      </c>
      <c r="E308" s="40" t="s">
        <v>3048</v>
      </c>
      <c r="F308" s="40" t="s">
        <v>3177</v>
      </c>
      <c r="G308" s="39" t="s">
        <v>109</v>
      </c>
      <c r="H308" s="40" t="s">
        <v>1532</v>
      </c>
      <c r="I308" s="40" t="s">
        <v>104</v>
      </c>
      <c r="J308" s="50"/>
      <c r="K308" s="116" t="str">
        <f>IFERROR(VLOOKUP(B308,BD_CONTROL!$A$5:$M$4235,11,0),"")</f>
        <v>Instalado - Operando</v>
      </c>
      <c r="L308" s="117">
        <f>IFERROR(VLOOKUP(B308,BD_CONTROL!$A$5:$M$4235,12,0),"")</f>
        <v>46149</v>
      </c>
      <c r="M308" s="118">
        <f>IFERROR(VLOOKUP(B308,BD_CONTROL!$A$5:$M$4235,13,0),"")</f>
        <v>0</v>
      </c>
    </row>
    <row r="309" spans="1:13" ht="15" customHeight="1">
      <c r="A309" s="42">
        <v>304</v>
      </c>
      <c r="B309" s="42" t="s">
        <v>3181</v>
      </c>
      <c r="C309" s="43" t="s">
        <v>1179</v>
      </c>
      <c r="D309" s="42" t="s">
        <v>553</v>
      </c>
      <c r="E309" s="43" t="s">
        <v>2936</v>
      </c>
      <c r="F309" s="43" t="s">
        <v>3182</v>
      </c>
      <c r="G309" s="42" t="s">
        <v>109</v>
      </c>
      <c r="H309" s="43" t="s">
        <v>1532</v>
      </c>
      <c r="I309" s="43" t="s">
        <v>104</v>
      </c>
      <c r="J309" s="55"/>
      <c r="K309" s="119" t="str">
        <f>IFERROR(VLOOKUP(B309,BD_CONTROL!$A$5:$M$4235,11,0),"")</f>
        <v>Instalado - Operando</v>
      </c>
      <c r="L309" s="120">
        <f>IFERROR(VLOOKUP(B309,BD_CONTROL!$A$5:$M$4235,12,0),"")</f>
        <v>46148</v>
      </c>
      <c r="M309" s="121">
        <f>IFERROR(VLOOKUP(B309,BD_CONTROL!$A$5:$M$4235,13,0),"")</f>
        <v>0</v>
      </c>
    </row>
    <row r="310" spans="1:13" ht="15" customHeight="1">
      <c r="A310" s="39">
        <v>305</v>
      </c>
      <c r="B310" s="39" t="s">
        <v>3202</v>
      </c>
      <c r="C310" s="40" t="s">
        <v>3203</v>
      </c>
      <c r="D310" s="39" t="s">
        <v>553</v>
      </c>
      <c r="E310" s="40" t="s">
        <v>2977</v>
      </c>
      <c r="F310" s="40" t="s">
        <v>3204</v>
      </c>
      <c r="G310" s="39" t="s">
        <v>109</v>
      </c>
      <c r="H310" s="40" t="s">
        <v>1532</v>
      </c>
      <c r="I310" s="40" t="s">
        <v>104</v>
      </c>
      <c r="J310" s="50"/>
      <c r="K310" s="116">
        <f>IFERROR(VLOOKUP(B310,BD_CONTROL!$A$5:$M$4235,11,0),"")</f>
        <v>0</v>
      </c>
      <c r="L310" s="117">
        <f>IFERROR(VLOOKUP(B310,BD_CONTROL!$A$5:$M$4235,12,0),"")</f>
        <v>0</v>
      </c>
      <c r="M310" s="118">
        <f>IFERROR(VLOOKUP(B310,BD_CONTROL!$A$5:$M$4235,13,0),"")</f>
        <v>0</v>
      </c>
    </row>
    <row r="311" spans="1:13" ht="15" customHeight="1">
      <c r="A311" s="42">
        <v>306</v>
      </c>
      <c r="B311" s="42" t="s">
        <v>3205</v>
      </c>
      <c r="C311" s="43" t="s">
        <v>3206</v>
      </c>
      <c r="D311" s="42" t="s">
        <v>553</v>
      </c>
      <c r="E311" s="43" t="s">
        <v>2940</v>
      </c>
      <c r="F311" s="43" t="s">
        <v>3207</v>
      </c>
      <c r="G311" s="42" t="s">
        <v>109</v>
      </c>
      <c r="H311" s="43" t="s">
        <v>1532</v>
      </c>
      <c r="I311" s="43" t="s">
        <v>104</v>
      </c>
      <c r="J311" s="55"/>
      <c r="K311" s="119" t="str">
        <f>IFERROR(VLOOKUP(B311,BD_CONTROL!$A$5:$M$4235,11,0),"")</f>
        <v>Instalado - Operando</v>
      </c>
      <c r="L311" s="120">
        <f>IFERROR(VLOOKUP(B311,BD_CONTROL!$A$5:$M$4235,12,0),"")</f>
        <v>46148</v>
      </c>
      <c r="M311" s="121">
        <f>IFERROR(VLOOKUP(B311,BD_CONTROL!$A$5:$M$4235,13,0),"")</f>
        <v>0</v>
      </c>
    </row>
    <row r="312" spans="1:13" ht="15" customHeight="1">
      <c r="A312" s="39">
        <v>307</v>
      </c>
      <c r="B312" s="39" t="s">
        <v>3211</v>
      </c>
      <c r="C312" s="40" t="s">
        <v>3212</v>
      </c>
      <c r="D312" s="39" t="s">
        <v>553</v>
      </c>
      <c r="E312" s="40" t="s">
        <v>2982</v>
      </c>
      <c r="F312" s="40" t="s">
        <v>3213</v>
      </c>
      <c r="G312" s="39" t="s">
        <v>109</v>
      </c>
      <c r="H312" s="40" t="s">
        <v>1532</v>
      </c>
      <c r="I312" s="40" t="s">
        <v>104</v>
      </c>
      <c r="J312" s="50"/>
      <c r="K312" s="116" t="str">
        <f>IFERROR(VLOOKUP(B312,BD_CONTROL!$A$5:$M$4235,11,0),"")</f>
        <v>Instalado - Operando</v>
      </c>
      <c r="L312" s="117">
        <f>IFERROR(VLOOKUP(B312,BD_CONTROL!$A$5:$M$4235,12,0),"")</f>
        <v>46148</v>
      </c>
      <c r="M312" s="118">
        <f>IFERROR(VLOOKUP(B312,BD_CONTROL!$A$5:$M$4235,13,0),"")</f>
        <v>0</v>
      </c>
    </row>
    <row r="313" spans="1:13" ht="15" customHeight="1">
      <c r="A313" s="42">
        <v>308</v>
      </c>
      <c r="B313" s="42" t="s">
        <v>3233</v>
      </c>
      <c r="C313" s="43" t="s">
        <v>3234</v>
      </c>
      <c r="D313" s="42" t="s">
        <v>553</v>
      </c>
      <c r="E313" s="43" t="s">
        <v>3064</v>
      </c>
      <c r="F313" s="43" t="s">
        <v>1790</v>
      </c>
      <c r="G313" s="42" t="s">
        <v>102</v>
      </c>
      <c r="H313" s="43" t="s">
        <v>1532</v>
      </c>
      <c r="I313" s="43" t="s">
        <v>104</v>
      </c>
      <c r="J313" s="55"/>
      <c r="K313" s="119" t="str">
        <f>IFERROR(VLOOKUP(B313,BD_CONTROL!$A$5:$M$4235,11,0),"")</f>
        <v>Instalado - Operando</v>
      </c>
      <c r="L313" s="120">
        <f>IFERROR(VLOOKUP(B313,BD_CONTROL!$A$5:$M$4235,12,0),"")</f>
        <v>46150</v>
      </c>
      <c r="M313" s="121">
        <f>IFERROR(VLOOKUP(B313,BD_CONTROL!$A$5:$M$4235,13,0),"")</f>
        <v>0</v>
      </c>
    </row>
    <row r="314" spans="1:13" ht="15" customHeight="1">
      <c r="A314" s="39">
        <v>309</v>
      </c>
      <c r="B314" s="39" t="s">
        <v>3235</v>
      </c>
      <c r="C314" s="40" t="s">
        <v>3236</v>
      </c>
      <c r="D314" s="39" t="s">
        <v>553</v>
      </c>
      <c r="E314" s="40" t="s">
        <v>2940</v>
      </c>
      <c r="F314" s="40" t="s">
        <v>3237</v>
      </c>
      <c r="G314" s="39" t="s">
        <v>109</v>
      </c>
      <c r="H314" s="40" t="s">
        <v>1532</v>
      </c>
      <c r="I314" s="40" t="s">
        <v>104</v>
      </c>
      <c r="J314" s="50"/>
      <c r="K314" s="116" t="str">
        <f>IFERROR(VLOOKUP(B314,BD_CONTROL!$A$5:$M$4235,11,0),"")</f>
        <v>Instalado - Operando</v>
      </c>
      <c r="L314" s="117">
        <f>IFERROR(VLOOKUP(B314,BD_CONTROL!$A$5:$M$4235,12,0),"")</f>
        <v>46148</v>
      </c>
      <c r="M314" s="118">
        <f>IFERROR(VLOOKUP(B314,BD_CONTROL!$A$5:$M$4235,13,0),"")</f>
        <v>0</v>
      </c>
    </row>
    <row r="315" spans="1:13" ht="15" customHeight="1">
      <c r="A315" s="42">
        <v>310</v>
      </c>
      <c r="B315" s="42" t="s">
        <v>3248</v>
      </c>
      <c r="C315" s="43" t="s">
        <v>3249</v>
      </c>
      <c r="D315" s="42" t="s">
        <v>553</v>
      </c>
      <c r="E315" s="43" t="s">
        <v>3104</v>
      </c>
      <c r="F315" s="43" t="s">
        <v>3250</v>
      </c>
      <c r="G315" s="42" t="s">
        <v>109</v>
      </c>
      <c r="H315" s="43" t="s">
        <v>1532</v>
      </c>
      <c r="I315" s="43" t="s">
        <v>104</v>
      </c>
      <c r="J315" s="55"/>
      <c r="K315" s="119">
        <f>IFERROR(VLOOKUP(B315,BD_CONTROL!$A$5:$M$4235,11,0),"")</f>
        <v>0</v>
      </c>
      <c r="L315" s="120">
        <f>IFERROR(VLOOKUP(B315,BD_CONTROL!$A$5:$M$4235,12,0),"")</f>
        <v>0</v>
      </c>
      <c r="M315" s="121">
        <f>IFERROR(VLOOKUP(B315,BD_CONTROL!$A$5:$M$4235,13,0),"")</f>
        <v>0</v>
      </c>
    </row>
    <row r="316" spans="1:13" ht="15" customHeight="1">
      <c r="A316" s="39">
        <v>311</v>
      </c>
      <c r="B316" s="39" t="s">
        <v>3251</v>
      </c>
      <c r="C316" s="40" t="s">
        <v>3252</v>
      </c>
      <c r="D316" s="39" t="s">
        <v>553</v>
      </c>
      <c r="E316" s="40" t="s">
        <v>3064</v>
      </c>
      <c r="F316" s="40" t="s">
        <v>3064</v>
      </c>
      <c r="G316" s="39" t="s">
        <v>102</v>
      </c>
      <c r="H316" s="40" t="s">
        <v>1532</v>
      </c>
      <c r="I316" s="40" t="s">
        <v>104</v>
      </c>
      <c r="J316" s="50"/>
      <c r="K316" s="116" t="str">
        <f>IFERROR(VLOOKUP(B316,BD_CONTROL!$A$5:$M$4235,11,0),"")</f>
        <v>Instalado - Operando</v>
      </c>
      <c r="L316" s="117">
        <f>IFERROR(VLOOKUP(B316,BD_CONTROL!$A$5:$M$4235,12,0),"")</f>
        <v>46147</v>
      </c>
      <c r="M316" s="118">
        <f>IFERROR(VLOOKUP(B316,BD_CONTROL!$A$5:$M$4235,13,0),"")</f>
        <v>0</v>
      </c>
    </row>
    <row r="317" spans="1:13" ht="15" customHeight="1">
      <c r="A317" s="42">
        <v>312</v>
      </c>
      <c r="B317" s="42" t="s">
        <v>3253</v>
      </c>
      <c r="C317" s="43" t="s">
        <v>3254</v>
      </c>
      <c r="D317" s="42" t="s">
        <v>553</v>
      </c>
      <c r="E317" s="43" t="s">
        <v>3104</v>
      </c>
      <c r="F317" s="43" t="s">
        <v>3255</v>
      </c>
      <c r="G317" s="42" t="s">
        <v>102</v>
      </c>
      <c r="H317" s="43" t="s">
        <v>1532</v>
      </c>
      <c r="I317" s="43" t="s">
        <v>104</v>
      </c>
      <c r="J317" s="55"/>
      <c r="K317" s="119" t="str">
        <f>IFERROR(VLOOKUP(B317,BD_CONTROL!$A$5:$M$4235,11,0),"")</f>
        <v>Instalado - Operando</v>
      </c>
      <c r="L317" s="120">
        <f>IFERROR(VLOOKUP(B317,BD_CONTROL!$A$5:$M$4235,12,0),"")</f>
        <v>46142</v>
      </c>
      <c r="M317" s="121">
        <f>IFERROR(VLOOKUP(B317,BD_CONTROL!$A$5:$M$4235,13,0),"")</f>
        <v>0</v>
      </c>
    </row>
    <row r="318" spans="1:13" ht="15" customHeight="1">
      <c r="A318" s="39">
        <v>313</v>
      </c>
      <c r="B318" s="39" t="s">
        <v>3256</v>
      </c>
      <c r="C318" s="40" t="s">
        <v>3257</v>
      </c>
      <c r="D318" s="39" t="s">
        <v>553</v>
      </c>
      <c r="E318" s="40" t="s">
        <v>3010</v>
      </c>
      <c r="F318" s="40" t="s">
        <v>1422</v>
      </c>
      <c r="G318" s="39" t="s">
        <v>109</v>
      </c>
      <c r="H318" s="40" t="s">
        <v>1532</v>
      </c>
      <c r="I318" s="40" t="s">
        <v>104</v>
      </c>
      <c r="J318" s="50"/>
      <c r="K318" s="116" t="str">
        <f>IFERROR(VLOOKUP(B318,BD_CONTROL!$A$5:$M$4235,11,0),"")</f>
        <v>Instalado - Operando</v>
      </c>
      <c r="L318" s="117">
        <f>IFERROR(VLOOKUP(B318,BD_CONTROL!$A$5:$M$4235,12,0),"")</f>
        <v>46150</v>
      </c>
      <c r="M318" s="118">
        <f>IFERROR(VLOOKUP(B318,BD_CONTROL!$A$5:$M$4235,13,0),"")</f>
        <v>0</v>
      </c>
    </row>
    <row r="319" spans="1:13" ht="15" customHeight="1">
      <c r="A319" s="42">
        <v>314</v>
      </c>
      <c r="B319" s="42" t="s">
        <v>3261</v>
      </c>
      <c r="C319" s="43" t="s">
        <v>3262</v>
      </c>
      <c r="D319" s="42" t="s">
        <v>553</v>
      </c>
      <c r="E319" s="43" t="s">
        <v>3154</v>
      </c>
      <c r="F319" s="43" t="s">
        <v>3263</v>
      </c>
      <c r="G319" s="42" t="s">
        <v>109</v>
      </c>
      <c r="H319" s="43" t="s">
        <v>1532</v>
      </c>
      <c r="I319" s="43" t="s">
        <v>104</v>
      </c>
      <c r="J319" s="55"/>
      <c r="K319" s="119" t="str">
        <f>IFERROR(VLOOKUP(B319,BD_CONTROL!$A$5:$M$4235,11,0),"")</f>
        <v>Instalado - Operando</v>
      </c>
      <c r="L319" s="120">
        <f>IFERROR(VLOOKUP(B319,BD_CONTROL!$A$5:$M$4235,12,0),"")</f>
        <v>46148</v>
      </c>
      <c r="M319" s="121">
        <f>IFERROR(VLOOKUP(B319,BD_CONTROL!$A$5:$M$4235,13,0),"")</f>
        <v>0</v>
      </c>
    </row>
    <row r="320" spans="1:13" ht="15" customHeight="1">
      <c r="A320" s="39">
        <v>315</v>
      </c>
      <c r="B320" s="39" t="s">
        <v>3267</v>
      </c>
      <c r="C320" s="40" t="s">
        <v>3268</v>
      </c>
      <c r="D320" s="39" t="s">
        <v>553</v>
      </c>
      <c r="E320" s="40" t="s">
        <v>3064</v>
      </c>
      <c r="F320" s="40" t="s">
        <v>3269</v>
      </c>
      <c r="G320" s="39" t="s">
        <v>102</v>
      </c>
      <c r="H320" s="40" t="s">
        <v>1532</v>
      </c>
      <c r="I320" s="40" t="s">
        <v>104</v>
      </c>
      <c r="J320" s="50"/>
      <c r="K320" s="116" t="str">
        <f>IFERROR(VLOOKUP(B320,BD_CONTROL!$A$5:$M$4235,11,0),"")</f>
        <v>Instalado - Operando</v>
      </c>
      <c r="L320" s="117">
        <f>IFERROR(VLOOKUP(B320,BD_CONTROL!$A$5:$M$4235,12,0),"")</f>
        <v>46149</v>
      </c>
      <c r="M320" s="118">
        <f>IFERROR(VLOOKUP(B320,BD_CONTROL!$A$5:$M$4235,13,0),"")</f>
        <v>0</v>
      </c>
    </row>
    <row r="321" spans="1:13" ht="15" customHeight="1">
      <c r="A321" s="42">
        <v>316</v>
      </c>
      <c r="B321" s="42" t="s">
        <v>3270</v>
      </c>
      <c r="C321" s="43" t="s">
        <v>3271</v>
      </c>
      <c r="D321" s="42" t="s">
        <v>553</v>
      </c>
      <c r="E321" s="43" t="s">
        <v>2936</v>
      </c>
      <c r="F321" s="43" t="s">
        <v>3272</v>
      </c>
      <c r="G321" s="42" t="s">
        <v>109</v>
      </c>
      <c r="H321" s="43" t="s">
        <v>1532</v>
      </c>
      <c r="I321" s="43" t="s">
        <v>104</v>
      </c>
      <c r="J321" s="55"/>
      <c r="K321" s="119" t="str">
        <f>IFERROR(VLOOKUP(B321,BD_CONTROL!$A$5:$M$4235,11,0),"")</f>
        <v>Instalado - Operando</v>
      </c>
      <c r="L321" s="120">
        <f>IFERROR(VLOOKUP(B321,BD_CONTROL!$A$5:$M$4235,12,0),"")</f>
        <v>46148</v>
      </c>
      <c r="M321" s="121">
        <f>IFERROR(VLOOKUP(B321,BD_CONTROL!$A$5:$M$4235,13,0),"")</f>
        <v>0</v>
      </c>
    </row>
    <row r="322" spans="1:13" ht="15" customHeight="1">
      <c r="A322" s="39">
        <v>317</v>
      </c>
      <c r="B322" s="39" t="s">
        <v>3284</v>
      </c>
      <c r="C322" s="40" t="s">
        <v>3285</v>
      </c>
      <c r="D322" s="39" t="s">
        <v>553</v>
      </c>
      <c r="E322" s="40" t="s">
        <v>3010</v>
      </c>
      <c r="F322" s="40" t="s">
        <v>527</v>
      </c>
      <c r="G322" s="39" t="s">
        <v>102</v>
      </c>
      <c r="H322" s="40" t="s">
        <v>1532</v>
      </c>
      <c r="I322" s="40" t="s">
        <v>104</v>
      </c>
      <c r="J322" s="50"/>
      <c r="K322" s="116" t="str">
        <f>IFERROR(VLOOKUP(B322,BD_CONTROL!$A$5:$M$4235,11,0),"")</f>
        <v>Instalado - Operando</v>
      </c>
      <c r="L322" s="117">
        <f>IFERROR(VLOOKUP(B322,BD_CONTROL!$A$5:$M$4235,12,0),"")</f>
        <v>46149</v>
      </c>
      <c r="M322" s="118">
        <f>IFERROR(VLOOKUP(B322,BD_CONTROL!$A$5:$M$4235,13,0),"")</f>
        <v>0</v>
      </c>
    </row>
    <row r="323" spans="1:13" ht="15" customHeight="1">
      <c r="A323" s="42">
        <v>318</v>
      </c>
      <c r="B323" s="42" t="s">
        <v>3302</v>
      </c>
      <c r="C323" s="43" t="s">
        <v>3303</v>
      </c>
      <c r="D323" s="42" t="s">
        <v>553</v>
      </c>
      <c r="E323" s="43" t="s">
        <v>2922</v>
      </c>
      <c r="F323" s="43" t="s">
        <v>3303</v>
      </c>
      <c r="G323" s="42" t="s">
        <v>109</v>
      </c>
      <c r="H323" s="43" t="s">
        <v>1532</v>
      </c>
      <c r="I323" s="43" t="s">
        <v>104</v>
      </c>
      <c r="J323" s="55"/>
      <c r="K323" s="119" t="str">
        <f>IFERROR(VLOOKUP(B323,BD_CONTROL!$A$5:$M$4235,11,0),"")</f>
        <v>Instalado - Operando</v>
      </c>
      <c r="L323" s="120">
        <f>IFERROR(VLOOKUP(B323,BD_CONTROL!$A$5:$M$4235,12,0),"")</f>
        <v>46149</v>
      </c>
      <c r="M323" s="121">
        <f>IFERROR(VLOOKUP(B323,BD_CONTROL!$A$5:$M$4235,13,0),"")</f>
        <v>0</v>
      </c>
    </row>
    <row r="324" spans="1:13" ht="15" customHeight="1">
      <c r="A324" s="39">
        <v>319</v>
      </c>
      <c r="B324" s="39" t="s">
        <v>3304</v>
      </c>
      <c r="C324" s="40" t="s">
        <v>3305</v>
      </c>
      <c r="D324" s="39" t="s">
        <v>553</v>
      </c>
      <c r="E324" s="40" t="s">
        <v>3163</v>
      </c>
      <c r="F324" s="40" t="s">
        <v>3306</v>
      </c>
      <c r="G324" s="39" t="s">
        <v>109</v>
      </c>
      <c r="H324" s="40" t="s">
        <v>1532</v>
      </c>
      <c r="I324" s="40" t="s">
        <v>104</v>
      </c>
      <c r="J324" s="50"/>
      <c r="K324" s="116" t="str">
        <f>IFERROR(VLOOKUP(B324,BD_CONTROL!$A$5:$M$4235,11,0),"")</f>
        <v>Instalado - Operando</v>
      </c>
      <c r="L324" s="117">
        <f>IFERROR(VLOOKUP(B324,BD_CONTROL!$A$5:$M$4235,12,0),"")</f>
        <v>46150</v>
      </c>
      <c r="M324" s="118">
        <f>IFERROR(VLOOKUP(B324,BD_CONTROL!$A$5:$M$4235,13,0),"")</f>
        <v>0</v>
      </c>
    </row>
    <row r="325" spans="1:13" ht="15" customHeight="1">
      <c r="A325" s="42">
        <v>320</v>
      </c>
      <c r="B325" s="42" t="s">
        <v>3316</v>
      </c>
      <c r="C325" s="43" t="s">
        <v>3317</v>
      </c>
      <c r="D325" s="42" t="s">
        <v>553</v>
      </c>
      <c r="E325" s="43" t="s">
        <v>2940</v>
      </c>
      <c r="F325" s="43" t="s">
        <v>3280</v>
      </c>
      <c r="G325" s="42" t="s">
        <v>109</v>
      </c>
      <c r="H325" s="43" t="s">
        <v>1532</v>
      </c>
      <c r="I325" s="43" t="s">
        <v>104</v>
      </c>
      <c r="J325" s="55"/>
      <c r="K325" s="119" t="str">
        <f>IFERROR(VLOOKUP(B325,BD_CONTROL!$A$5:$M$4235,11,0),"")</f>
        <v>Instalado - Operando</v>
      </c>
      <c r="L325" s="120">
        <f>IFERROR(VLOOKUP(B325,BD_CONTROL!$A$5:$M$4235,12,0),"")</f>
        <v>46148</v>
      </c>
      <c r="M325" s="121">
        <f>IFERROR(VLOOKUP(B325,BD_CONTROL!$A$5:$M$4235,13,0),"")</f>
        <v>0</v>
      </c>
    </row>
    <row r="326" spans="1:13" ht="15" customHeight="1">
      <c r="A326" s="39">
        <v>321</v>
      </c>
      <c r="B326" s="39" t="s">
        <v>3321</v>
      </c>
      <c r="C326" s="40" t="s">
        <v>3322</v>
      </c>
      <c r="D326" s="39" t="s">
        <v>553</v>
      </c>
      <c r="E326" s="40" t="s">
        <v>3323</v>
      </c>
      <c r="F326" s="40" t="s">
        <v>3322</v>
      </c>
      <c r="G326" s="39" t="s">
        <v>109</v>
      </c>
      <c r="H326" s="40" t="s">
        <v>1532</v>
      </c>
      <c r="I326" s="40" t="s">
        <v>104</v>
      </c>
      <c r="J326" s="50"/>
      <c r="K326" s="116">
        <f>IFERROR(VLOOKUP(B326,BD_CONTROL!$A$5:$M$4235,11,0),"")</f>
        <v>0</v>
      </c>
      <c r="L326" s="117">
        <f>IFERROR(VLOOKUP(B326,BD_CONTROL!$A$5:$M$4235,12,0),"")</f>
        <v>0</v>
      </c>
      <c r="M326" s="118">
        <f>IFERROR(VLOOKUP(B326,BD_CONTROL!$A$5:$M$4235,13,0),"")</f>
        <v>0</v>
      </c>
    </row>
    <row r="327" spans="1:13" ht="15" customHeight="1">
      <c r="A327" s="42">
        <v>322</v>
      </c>
      <c r="B327" s="42" t="s">
        <v>3326</v>
      </c>
      <c r="C327" s="43" t="s">
        <v>3327</v>
      </c>
      <c r="D327" s="42" t="s">
        <v>553</v>
      </c>
      <c r="E327" s="43" t="s">
        <v>3328</v>
      </c>
      <c r="F327" s="43" t="s">
        <v>3327</v>
      </c>
      <c r="G327" s="42" t="s">
        <v>109</v>
      </c>
      <c r="H327" s="43" t="s">
        <v>1532</v>
      </c>
      <c r="I327" s="43" t="s">
        <v>104</v>
      </c>
      <c r="J327" s="55"/>
      <c r="K327" s="119" t="str">
        <f>IFERROR(VLOOKUP(B327,BD_CONTROL!$A$5:$M$4235,11,0),"")</f>
        <v>Instalado - Operando</v>
      </c>
      <c r="L327" s="120">
        <f>IFERROR(VLOOKUP(B327,BD_CONTROL!$A$5:$M$4235,12,0),"")</f>
        <v>46149</v>
      </c>
      <c r="M327" s="121">
        <f>IFERROR(VLOOKUP(B327,BD_CONTROL!$A$5:$M$4235,13,0),"")</f>
        <v>0</v>
      </c>
    </row>
    <row r="328" spans="1:13" ht="15" customHeight="1">
      <c r="A328" s="39">
        <v>323</v>
      </c>
      <c r="B328" s="39" t="s">
        <v>3329</v>
      </c>
      <c r="C328" s="40" t="s">
        <v>3330</v>
      </c>
      <c r="D328" s="39" t="s">
        <v>553</v>
      </c>
      <c r="E328" s="40" t="s">
        <v>2982</v>
      </c>
      <c r="F328" s="40" t="s">
        <v>2721</v>
      </c>
      <c r="G328" s="39" t="s">
        <v>109</v>
      </c>
      <c r="H328" s="40" t="s">
        <v>1532</v>
      </c>
      <c r="I328" s="40" t="s">
        <v>104</v>
      </c>
      <c r="J328" s="50"/>
      <c r="K328" s="116" t="str">
        <f>IFERROR(VLOOKUP(B328,BD_CONTROL!$A$5:$M$4235,11,0),"")</f>
        <v>Instalado - Operando</v>
      </c>
      <c r="L328" s="117">
        <f>IFERROR(VLOOKUP(B328,BD_CONTROL!$A$5:$M$4235,12,0),"")</f>
        <v>46148</v>
      </c>
      <c r="M328" s="118">
        <f>IFERROR(VLOOKUP(B328,BD_CONTROL!$A$5:$M$4235,13,0),"")</f>
        <v>0</v>
      </c>
    </row>
    <row r="329" spans="1:13" ht="15" customHeight="1">
      <c r="A329" s="42">
        <v>324</v>
      </c>
      <c r="B329" s="42" t="s">
        <v>3331</v>
      </c>
      <c r="C329" s="43" t="s">
        <v>3332</v>
      </c>
      <c r="D329" s="42" t="s">
        <v>553</v>
      </c>
      <c r="E329" s="43" t="s">
        <v>3007</v>
      </c>
      <c r="F329" s="43" t="s">
        <v>3332</v>
      </c>
      <c r="G329" s="42" t="s">
        <v>102</v>
      </c>
      <c r="H329" s="43" t="s">
        <v>1532</v>
      </c>
      <c r="I329" s="43" t="s">
        <v>104</v>
      </c>
      <c r="J329" s="55"/>
      <c r="K329" s="119" t="str">
        <f>IFERROR(VLOOKUP(B329,BD_CONTROL!$A$5:$M$4235,11,0),"")</f>
        <v>Instalado - Operando</v>
      </c>
      <c r="L329" s="120">
        <f>IFERROR(VLOOKUP(B329,BD_CONTROL!$A$5:$M$4235,12,0),"")</f>
        <v>46153</v>
      </c>
      <c r="M329" s="121">
        <f>IFERROR(VLOOKUP(B329,BD_CONTROL!$A$5:$M$4235,13,0),"")</f>
        <v>0</v>
      </c>
    </row>
    <row r="330" spans="1:13" ht="15" customHeight="1">
      <c r="A330" s="39">
        <v>325</v>
      </c>
      <c r="B330" s="39" t="s">
        <v>3333</v>
      </c>
      <c r="C330" s="40" t="s">
        <v>3334</v>
      </c>
      <c r="D330" s="39" t="s">
        <v>553</v>
      </c>
      <c r="E330" s="40" t="s">
        <v>3335</v>
      </c>
      <c r="F330" s="40" t="s">
        <v>3336</v>
      </c>
      <c r="G330" s="39" t="s">
        <v>109</v>
      </c>
      <c r="H330" s="40" t="s">
        <v>1532</v>
      </c>
      <c r="I330" s="40" t="s">
        <v>104</v>
      </c>
      <c r="J330" s="50"/>
      <c r="K330" s="116">
        <f>IFERROR(VLOOKUP(B330,BD_CONTROL!$A$5:$M$4235,11,0),"")</f>
        <v>0</v>
      </c>
      <c r="L330" s="117">
        <f>IFERROR(VLOOKUP(B330,BD_CONTROL!$A$5:$M$4235,12,0),"")</f>
        <v>0</v>
      </c>
      <c r="M330" s="118">
        <f>IFERROR(VLOOKUP(B330,BD_CONTROL!$A$5:$M$4235,13,0),"")</f>
        <v>0</v>
      </c>
    </row>
    <row r="331" spans="1:13" ht="15" customHeight="1">
      <c r="A331" s="42">
        <v>326</v>
      </c>
      <c r="B331" s="42" t="s">
        <v>3337</v>
      </c>
      <c r="C331" s="43" t="s">
        <v>3338</v>
      </c>
      <c r="D331" s="42" t="s">
        <v>553</v>
      </c>
      <c r="E331" s="43" t="s">
        <v>3335</v>
      </c>
      <c r="F331" s="43" t="s">
        <v>3338</v>
      </c>
      <c r="G331" s="42" t="s">
        <v>109</v>
      </c>
      <c r="H331" s="43" t="s">
        <v>1532</v>
      </c>
      <c r="I331" s="43" t="s">
        <v>104</v>
      </c>
      <c r="J331" s="55"/>
      <c r="K331" s="119">
        <f>IFERROR(VLOOKUP(B331,BD_CONTROL!$A$5:$M$4235,11,0),"")</f>
        <v>0</v>
      </c>
      <c r="L331" s="120">
        <f>IFERROR(VLOOKUP(B331,BD_CONTROL!$A$5:$M$4235,12,0),"")</f>
        <v>0</v>
      </c>
      <c r="M331" s="121">
        <f>IFERROR(VLOOKUP(B331,BD_CONTROL!$A$5:$M$4235,13,0),"")</f>
        <v>0</v>
      </c>
    </row>
    <row r="332" spans="1:13" ht="15" customHeight="1">
      <c r="A332" s="39">
        <v>327</v>
      </c>
      <c r="B332" s="39" t="s">
        <v>3345</v>
      </c>
      <c r="C332" s="40" t="s">
        <v>3346</v>
      </c>
      <c r="D332" s="39" t="s">
        <v>553</v>
      </c>
      <c r="E332" s="40" t="s">
        <v>3028</v>
      </c>
      <c r="F332" s="40" t="s">
        <v>3346</v>
      </c>
      <c r="G332" s="39" t="s">
        <v>109</v>
      </c>
      <c r="H332" s="40" t="s">
        <v>1532</v>
      </c>
      <c r="I332" s="40" t="s">
        <v>104</v>
      </c>
      <c r="J332" s="50"/>
      <c r="K332" s="116" t="str">
        <f>IFERROR(VLOOKUP(B332,BD_CONTROL!$A$5:$M$4235,11,0),"")</f>
        <v>Instalado - Operando</v>
      </c>
      <c r="L332" s="117">
        <f>IFERROR(VLOOKUP(B332,BD_CONTROL!$A$5:$M$4235,12,0),"")</f>
        <v>46142</v>
      </c>
      <c r="M332" s="118">
        <f>IFERROR(VLOOKUP(B332,BD_CONTROL!$A$5:$M$4235,13,0),"")</f>
        <v>0</v>
      </c>
    </row>
    <row r="333" spans="1:13" ht="15" customHeight="1">
      <c r="A333" s="42">
        <v>328</v>
      </c>
      <c r="B333" s="42" t="s">
        <v>3366</v>
      </c>
      <c r="C333" s="43" t="s">
        <v>3367</v>
      </c>
      <c r="D333" s="42" t="s">
        <v>553</v>
      </c>
      <c r="E333" s="43" t="s">
        <v>3048</v>
      </c>
      <c r="F333" s="43" t="s">
        <v>3049</v>
      </c>
      <c r="G333" s="42" t="s">
        <v>109</v>
      </c>
      <c r="H333" s="43" t="s">
        <v>1532</v>
      </c>
      <c r="I333" s="43" t="s">
        <v>104</v>
      </c>
      <c r="J333" s="55"/>
      <c r="K333" s="119" t="str">
        <f>IFERROR(VLOOKUP(B333,BD_CONTROL!$A$5:$M$4235,11,0),"")</f>
        <v>Instalado - Operando</v>
      </c>
      <c r="L333" s="120">
        <f>IFERROR(VLOOKUP(B333,BD_CONTROL!$A$5:$M$4235,12,0),"")</f>
        <v>46148</v>
      </c>
      <c r="M333" s="121">
        <f>IFERROR(VLOOKUP(B333,BD_CONTROL!$A$5:$M$4235,13,0),"")</f>
        <v>0</v>
      </c>
    </row>
    <row r="334" spans="1:13" ht="15" customHeight="1">
      <c r="A334" s="39">
        <v>329</v>
      </c>
      <c r="B334" s="39" t="s">
        <v>3387</v>
      </c>
      <c r="C334" s="40" t="s">
        <v>3388</v>
      </c>
      <c r="D334" s="39" t="s">
        <v>3370</v>
      </c>
      <c r="E334" s="40" t="s">
        <v>3389</v>
      </c>
      <c r="F334" s="40" t="s">
        <v>3390</v>
      </c>
      <c r="G334" s="39" t="s">
        <v>109</v>
      </c>
      <c r="H334" s="40" t="s">
        <v>3391</v>
      </c>
      <c r="I334" s="40" t="s">
        <v>104</v>
      </c>
      <c r="J334" s="50"/>
      <c r="K334" s="129" t="str">
        <f>IFERROR(VLOOKUP(B334,BD_CONTROL!$A$5:$M$4235,11,0),"")</f>
        <v>INSTALADO - OPERANDO</v>
      </c>
      <c r="L334" s="117">
        <f>IFERROR(VLOOKUP(B334,BD_CONTROL!$A$5:$M$4235,12,0),"")</f>
        <v>46112</v>
      </c>
      <c r="M334" s="118" t="str">
        <f>IFERROR(VLOOKUP(B334,BD_CONTROL!$A$5:$M$4235,13,0),"")</f>
        <v>Cargado desde DB instalación 23/04/2026</v>
      </c>
    </row>
    <row r="335" spans="1:13" ht="15" customHeight="1">
      <c r="A335" s="42">
        <v>330</v>
      </c>
      <c r="B335" s="42" t="s">
        <v>3436</v>
      </c>
      <c r="C335" s="43" t="s">
        <v>3437</v>
      </c>
      <c r="D335" s="42" t="s">
        <v>3370</v>
      </c>
      <c r="E335" s="43" t="s">
        <v>3416</v>
      </c>
      <c r="F335" s="43" t="s">
        <v>3438</v>
      </c>
      <c r="G335" s="42" t="s">
        <v>102</v>
      </c>
      <c r="H335" s="43" t="s">
        <v>3391</v>
      </c>
      <c r="I335" s="43" t="s">
        <v>104</v>
      </c>
      <c r="J335" s="55"/>
      <c r="K335" s="119" t="str">
        <f>IFERROR(VLOOKUP(B335,BD_CONTROL!$A$5:$M$4235,11,0),"")</f>
        <v>Instalado - Operando</v>
      </c>
      <c r="L335" s="120">
        <f>IFERROR(VLOOKUP(B335,BD_CONTROL!$A$5:$M$4235,12,0),"")</f>
        <v>46140</v>
      </c>
      <c r="M335" s="121">
        <f>IFERROR(VLOOKUP(B335,BD_CONTROL!$A$5:$M$4235,13,0),"")</f>
        <v>0</v>
      </c>
    </row>
    <row r="336" spans="1:13" ht="15" customHeight="1">
      <c r="A336" s="39">
        <v>331</v>
      </c>
      <c r="B336" s="39" t="s">
        <v>3446</v>
      </c>
      <c r="C336" s="40" t="s">
        <v>437</v>
      </c>
      <c r="D336" s="39" t="s">
        <v>3370</v>
      </c>
      <c r="E336" s="40" t="s">
        <v>3447</v>
      </c>
      <c r="F336" s="40" t="s">
        <v>3448</v>
      </c>
      <c r="G336" s="39" t="s">
        <v>102</v>
      </c>
      <c r="H336" s="40" t="s">
        <v>3449</v>
      </c>
      <c r="I336" s="40" t="s">
        <v>104</v>
      </c>
      <c r="J336" s="50"/>
      <c r="K336" s="116" t="str">
        <f>IFERROR(VLOOKUP(B336,BD_CONTROL!$A$5:$M$4235,11,0),"")</f>
        <v>Instalado - Operando</v>
      </c>
      <c r="L336" s="117">
        <f>IFERROR(VLOOKUP(B336,BD_CONTROL!$A$5:$M$4235,12,0),"")</f>
        <v>46150</v>
      </c>
      <c r="M336" s="118">
        <f>IFERROR(VLOOKUP(B336,BD_CONTROL!$A$5:$M$4235,13,0),"")</f>
        <v>0</v>
      </c>
    </row>
    <row r="337" spans="1:13" ht="15" customHeight="1">
      <c r="A337" s="42">
        <v>332</v>
      </c>
      <c r="B337" s="42" t="s">
        <v>3450</v>
      </c>
      <c r="C337" s="43" t="s">
        <v>1057</v>
      </c>
      <c r="D337" s="42" t="s">
        <v>3370</v>
      </c>
      <c r="E337" s="43" t="s">
        <v>3451</v>
      </c>
      <c r="F337" s="43" t="s">
        <v>3452</v>
      </c>
      <c r="G337" s="42" t="s">
        <v>109</v>
      </c>
      <c r="H337" s="43" t="s">
        <v>3391</v>
      </c>
      <c r="I337" s="43" t="s">
        <v>104</v>
      </c>
      <c r="J337" s="55"/>
      <c r="K337" s="129" t="str">
        <f>IFERROR(VLOOKUP(B337,BD_CONTROL!$A$5:$M$4235,11,0),"")</f>
        <v>INSTALADO - OPERANDO</v>
      </c>
      <c r="L337" s="120">
        <f>IFERROR(VLOOKUP(B337,BD_CONTROL!$A$5:$M$4235,12,0),"")</f>
        <v>46098</v>
      </c>
      <c r="M337" s="121" t="str">
        <f>IFERROR(VLOOKUP(B337,BD_CONTROL!$A$5:$M$4235,13,0),"")</f>
        <v>Cargado desde DB instalación 23/04/2026</v>
      </c>
    </row>
    <row r="338" spans="1:13" ht="15" customHeight="1">
      <c r="A338" s="39">
        <v>333</v>
      </c>
      <c r="B338" s="39" t="s">
        <v>3464</v>
      </c>
      <c r="C338" s="40" t="s">
        <v>1123</v>
      </c>
      <c r="D338" s="39" t="s">
        <v>3370</v>
      </c>
      <c r="E338" s="40" t="s">
        <v>3465</v>
      </c>
      <c r="F338" s="40" t="s">
        <v>3466</v>
      </c>
      <c r="G338" s="39" t="s">
        <v>109</v>
      </c>
      <c r="H338" s="40" t="s">
        <v>3391</v>
      </c>
      <c r="I338" s="40" t="s">
        <v>104</v>
      </c>
      <c r="J338" s="50"/>
      <c r="K338" s="129" t="str">
        <f>IFERROR(VLOOKUP(B338,BD_CONTROL!$A$5:$M$4235,11,0),"")</f>
        <v>INSTALADO - OPERANDO</v>
      </c>
      <c r="L338" s="117">
        <f>IFERROR(VLOOKUP(B338,BD_CONTROL!$A$5:$M$4235,12,0),"")</f>
        <v>46134</v>
      </c>
      <c r="M338" s="118" t="str">
        <f>IFERROR(VLOOKUP(B338,BD_CONTROL!$A$5:$M$4235,13,0),"")</f>
        <v>Cargado desde DB instalación 23/04/2026</v>
      </c>
    </row>
    <row r="339" spans="1:13" ht="15" customHeight="1">
      <c r="A339" s="42">
        <v>334</v>
      </c>
      <c r="B339" s="42" t="s">
        <v>3489</v>
      </c>
      <c r="C339" s="43" t="s">
        <v>3415</v>
      </c>
      <c r="D339" s="42" t="s">
        <v>3370</v>
      </c>
      <c r="E339" s="43" t="s">
        <v>3490</v>
      </c>
      <c r="F339" s="43" t="s">
        <v>3491</v>
      </c>
      <c r="G339" s="42" t="s">
        <v>109</v>
      </c>
      <c r="H339" s="43" t="s">
        <v>3391</v>
      </c>
      <c r="I339" s="43" t="s">
        <v>104</v>
      </c>
      <c r="J339" s="55"/>
      <c r="K339" s="130" t="str">
        <f>IFERROR(VLOOKUP(B339,BD_CONTROL!$A$5:$M$4235,11,0),"")</f>
        <v>INSTALADO - SIN SEÑAL</v>
      </c>
      <c r="L339" s="120">
        <f>IFERROR(VLOOKUP(B339,BD_CONTROL!$A$5:$M$4235,12,0),"")</f>
        <v>46126</v>
      </c>
      <c r="M339" s="121" t="str">
        <f>IFERROR(VLOOKUP(B339,BD_CONTROL!$A$5:$M$4235,13,0),"")</f>
        <v>Cargado desde DB instalación 23/04/2026</v>
      </c>
    </row>
    <row r="340" spans="1:13" ht="15" customHeight="1">
      <c r="A340" s="39">
        <v>335</v>
      </c>
      <c r="B340" s="39" t="s">
        <v>3503</v>
      </c>
      <c r="C340" s="40" t="s">
        <v>3504</v>
      </c>
      <c r="D340" s="39" t="s">
        <v>3370</v>
      </c>
      <c r="E340" s="40" t="s">
        <v>3505</v>
      </c>
      <c r="F340" s="40" t="s">
        <v>3506</v>
      </c>
      <c r="G340" s="39" t="s">
        <v>109</v>
      </c>
      <c r="H340" s="40" t="s">
        <v>3449</v>
      </c>
      <c r="I340" s="40" t="s">
        <v>104</v>
      </c>
      <c r="J340" s="50"/>
      <c r="K340" s="116" t="str">
        <f>IFERROR(VLOOKUP(B340,BD_CONTROL!$A$5:$M$4235,11,0),"")</f>
        <v>Instalado - Operando</v>
      </c>
      <c r="L340" s="117">
        <f>IFERROR(VLOOKUP(B340,BD_CONTROL!$A$5:$M$4235,12,0),"")</f>
        <v>46142</v>
      </c>
      <c r="M340" s="118">
        <f>IFERROR(VLOOKUP(B340,BD_CONTROL!$A$5:$M$4235,13,0),"")</f>
        <v>0</v>
      </c>
    </row>
    <row r="341" spans="1:13" ht="15" customHeight="1">
      <c r="A341" s="42">
        <v>336</v>
      </c>
      <c r="B341" s="42" t="s">
        <v>3507</v>
      </c>
      <c r="C341" s="43" t="s">
        <v>3508</v>
      </c>
      <c r="D341" s="42" t="s">
        <v>3370</v>
      </c>
      <c r="E341" s="43" t="s">
        <v>3505</v>
      </c>
      <c r="F341" s="43" t="s">
        <v>3509</v>
      </c>
      <c r="G341" s="42" t="s">
        <v>109</v>
      </c>
      <c r="H341" s="43" t="s">
        <v>3449</v>
      </c>
      <c r="I341" s="43" t="s">
        <v>104</v>
      </c>
      <c r="J341" s="55"/>
      <c r="K341" s="119" t="str">
        <f>IFERROR(VLOOKUP(B341,BD_CONTROL!$A$5:$M$4235,11,0),"")</f>
        <v>Instalado - Operando</v>
      </c>
      <c r="L341" s="120">
        <f>IFERROR(VLOOKUP(B341,BD_CONTROL!$A$5:$M$4235,12,0),"")</f>
        <v>46148</v>
      </c>
      <c r="M341" s="121">
        <f>IFERROR(VLOOKUP(B341,BD_CONTROL!$A$5:$M$4235,13,0),"")</f>
        <v>0</v>
      </c>
    </row>
    <row r="342" spans="1:13" ht="15" customHeight="1">
      <c r="A342" s="39">
        <v>337</v>
      </c>
      <c r="B342" s="39" t="s">
        <v>3510</v>
      </c>
      <c r="C342" s="40" t="s">
        <v>3511</v>
      </c>
      <c r="D342" s="39" t="s">
        <v>3370</v>
      </c>
      <c r="E342" s="40" t="s">
        <v>3505</v>
      </c>
      <c r="F342" s="40" t="s">
        <v>3512</v>
      </c>
      <c r="G342" s="39" t="s">
        <v>109</v>
      </c>
      <c r="H342" s="40" t="s">
        <v>3449</v>
      </c>
      <c r="I342" s="40" t="s">
        <v>104</v>
      </c>
      <c r="J342" s="50"/>
      <c r="K342" s="116" t="str">
        <f>IFERROR(VLOOKUP(B342,BD_CONTROL!$A$5:$M$4235,11,0),"")</f>
        <v>Instalado - Operando</v>
      </c>
      <c r="L342" s="117">
        <f>IFERROR(VLOOKUP(B342,BD_CONTROL!$A$5:$M$4235,12,0),"")</f>
        <v>46148</v>
      </c>
      <c r="M342" s="118">
        <f>IFERROR(VLOOKUP(B342,BD_CONTROL!$A$5:$M$4235,13,0),"")</f>
        <v>0</v>
      </c>
    </row>
    <row r="343" spans="1:13" ht="15" customHeight="1">
      <c r="A343" s="42">
        <v>338</v>
      </c>
      <c r="B343" s="42" t="s">
        <v>3526</v>
      </c>
      <c r="C343" s="43" t="s">
        <v>3527</v>
      </c>
      <c r="D343" s="42" t="s">
        <v>3370</v>
      </c>
      <c r="E343" s="43" t="s">
        <v>3447</v>
      </c>
      <c r="F343" s="43" t="s">
        <v>3528</v>
      </c>
      <c r="G343" s="42" t="s">
        <v>109</v>
      </c>
      <c r="H343" s="43" t="s">
        <v>3449</v>
      </c>
      <c r="I343" s="43" t="s">
        <v>104</v>
      </c>
      <c r="J343" s="55"/>
      <c r="K343" s="119" t="str">
        <f>IFERROR(VLOOKUP(B343,BD_CONTROL!$A$5:$M$4235,11,0),"")</f>
        <v>Instalado - Operando</v>
      </c>
      <c r="L343" s="120">
        <f>IFERROR(VLOOKUP(B343,BD_CONTROL!$A$5:$M$4235,12,0),"")</f>
        <v>46150</v>
      </c>
      <c r="M343" s="121">
        <f>IFERROR(VLOOKUP(B343,BD_CONTROL!$A$5:$M$4235,13,0),"")</f>
        <v>0</v>
      </c>
    </row>
    <row r="344" spans="1:13" ht="15" customHeight="1">
      <c r="A344" s="39">
        <v>339</v>
      </c>
      <c r="B344" s="39" t="s">
        <v>3531</v>
      </c>
      <c r="C344" s="40" t="s">
        <v>437</v>
      </c>
      <c r="D344" s="39" t="s">
        <v>3370</v>
      </c>
      <c r="E344" s="40" t="s">
        <v>3505</v>
      </c>
      <c r="F344" s="40" t="s">
        <v>3532</v>
      </c>
      <c r="G344" s="39" t="s">
        <v>102</v>
      </c>
      <c r="H344" s="40" t="s">
        <v>3449</v>
      </c>
      <c r="I344" s="40" t="s">
        <v>104</v>
      </c>
      <c r="J344" s="50"/>
      <c r="K344" s="116" t="str">
        <f>IFERROR(VLOOKUP(B344,BD_CONTROL!$A$5:$M$4235,11,0),"")</f>
        <v>Instalado - Operando</v>
      </c>
      <c r="L344" s="117">
        <f>IFERROR(VLOOKUP(B344,BD_CONTROL!$A$5:$M$4235,12,0),"")</f>
        <v>46140</v>
      </c>
      <c r="M344" s="118">
        <f>IFERROR(VLOOKUP(B344,BD_CONTROL!$A$5:$M$4235,13,0),"")</f>
        <v>0</v>
      </c>
    </row>
    <row r="345" spans="1:13" ht="15" customHeight="1">
      <c r="A345" s="42">
        <v>340</v>
      </c>
      <c r="B345" s="42" t="s">
        <v>3537</v>
      </c>
      <c r="C345" s="43" t="s">
        <v>694</v>
      </c>
      <c r="D345" s="42" t="s">
        <v>3370</v>
      </c>
      <c r="E345" s="43" t="s">
        <v>3505</v>
      </c>
      <c r="F345" s="43" t="s">
        <v>3538</v>
      </c>
      <c r="G345" s="42" t="s">
        <v>109</v>
      </c>
      <c r="H345" s="43" t="s">
        <v>3449</v>
      </c>
      <c r="I345" s="43" t="s">
        <v>104</v>
      </c>
      <c r="J345" s="55"/>
      <c r="K345" s="119" t="str">
        <f>IFERROR(VLOOKUP(B345,BD_CONTROL!$A$5:$M$4235,11,0),"")</f>
        <v>Instalado - Operando</v>
      </c>
      <c r="L345" s="120">
        <f>IFERROR(VLOOKUP(B345,BD_CONTROL!$A$5:$M$4235,12,0),"")</f>
        <v>46140</v>
      </c>
      <c r="M345" s="121">
        <f>IFERROR(VLOOKUP(B345,BD_CONTROL!$A$5:$M$4235,13,0),"")</f>
        <v>0</v>
      </c>
    </row>
    <row r="346" spans="1:13" ht="15" customHeight="1">
      <c r="A346" s="39">
        <v>341</v>
      </c>
      <c r="B346" s="39" t="s">
        <v>3569</v>
      </c>
      <c r="C346" s="40" t="s">
        <v>3570</v>
      </c>
      <c r="D346" s="39" t="s">
        <v>3370</v>
      </c>
      <c r="E346" s="40" t="s">
        <v>3571</v>
      </c>
      <c r="F346" s="40" t="s">
        <v>3572</v>
      </c>
      <c r="G346" s="39" t="s">
        <v>102</v>
      </c>
      <c r="H346" s="40" t="s">
        <v>3449</v>
      </c>
      <c r="I346" s="40" t="s">
        <v>104</v>
      </c>
      <c r="J346" s="50"/>
      <c r="K346" s="116" t="str">
        <f>IFERROR(VLOOKUP(B346,BD_CONTROL!$A$5:$M$4235,11,0),"")</f>
        <v>Instalado - Operando</v>
      </c>
      <c r="L346" s="117">
        <f>IFERROR(VLOOKUP(B346,BD_CONTROL!$A$5:$M$4235,12,0),"")</f>
        <v>46148</v>
      </c>
      <c r="M346" s="118">
        <f>IFERROR(VLOOKUP(B346,BD_CONTROL!$A$5:$M$4235,13,0),"")</f>
        <v>0</v>
      </c>
    </row>
    <row r="347" spans="1:13" ht="15" customHeight="1">
      <c r="A347" s="42">
        <v>342</v>
      </c>
      <c r="B347" s="42" t="s">
        <v>3573</v>
      </c>
      <c r="C347" s="43" t="s">
        <v>1123</v>
      </c>
      <c r="D347" s="42" t="s">
        <v>3370</v>
      </c>
      <c r="E347" s="43" t="s">
        <v>3447</v>
      </c>
      <c r="F347" s="43" t="s">
        <v>3574</v>
      </c>
      <c r="G347" s="42" t="s">
        <v>109</v>
      </c>
      <c r="H347" s="43" t="s">
        <v>3449</v>
      </c>
      <c r="I347" s="43" t="s">
        <v>104</v>
      </c>
      <c r="J347" s="55"/>
      <c r="K347" s="119" t="str">
        <f>IFERROR(VLOOKUP(B347,BD_CONTROL!$A$5:$M$4235,11,0),"")</f>
        <v>Instalado - Operando</v>
      </c>
      <c r="L347" s="120">
        <f>IFERROR(VLOOKUP(B347,BD_CONTROL!$A$5:$M$4235,12,0),"")</f>
        <v>46142</v>
      </c>
      <c r="M347" s="121">
        <f>IFERROR(VLOOKUP(B347,BD_CONTROL!$A$5:$M$4235,13,0),"")</f>
        <v>0</v>
      </c>
    </row>
    <row r="348" spans="1:13" ht="15" customHeight="1">
      <c r="A348" s="39">
        <v>343</v>
      </c>
      <c r="B348" s="39" t="s">
        <v>3578</v>
      </c>
      <c r="C348" s="40" t="s">
        <v>3579</v>
      </c>
      <c r="D348" s="39" t="s">
        <v>3370</v>
      </c>
      <c r="E348" s="40" t="s">
        <v>3447</v>
      </c>
      <c r="F348" s="40" t="s">
        <v>1714</v>
      </c>
      <c r="G348" s="39" t="s">
        <v>102</v>
      </c>
      <c r="H348" s="40" t="s">
        <v>3449</v>
      </c>
      <c r="I348" s="40" t="s">
        <v>104</v>
      </c>
      <c r="J348" s="50"/>
      <c r="K348" s="116" t="str">
        <f>IFERROR(VLOOKUP(B348,BD_CONTROL!$A$5:$M$4235,11,0),"")</f>
        <v>Instalado - Operando</v>
      </c>
      <c r="L348" s="117">
        <f>IFERROR(VLOOKUP(B348,BD_CONTROL!$A$5:$M$4235,12,0),"")</f>
        <v>46140</v>
      </c>
      <c r="M348" s="118">
        <f>IFERROR(VLOOKUP(B348,BD_CONTROL!$A$5:$M$4235,13,0),"")</f>
        <v>0</v>
      </c>
    </row>
    <row r="349" spans="1:13" ht="15" customHeight="1">
      <c r="A349" s="42">
        <v>344</v>
      </c>
      <c r="B349" s="42" t="s">
        <v>3632</v>
      </c>
      <c r="C349" s="43" t="s">
        <v>1204</v>
      </c>
      <c r="D349" s="42" t="s">
        <v>3370</v>
      </c>
      <c r="E349" s="43" t="s">
        <v>3389</v>
      </c>
      <c r="F349" s="43" t="s">
        <v>3633</v>
      </c>
      <c r="G349" s="42" t="s">
        <v>109</v>
      </c>
      <c r="H349" s="43" t="s">
        <v>3391</v>
      </c>
      <c r="I349" s="43" t="s">
        <v>104</v>
      </c>
      <c r="J349" s="55"/>
      <c r="K349" s="129" t="str">
        <f>IFERROR(VLOOKUP(B349,BD_CONTROL!$A$5:$M$4235,11,0),"")</f>
        <v>INSTALADO - OPERANDO</v>
      </c>
      <c r="L349" s="120">
        <f>IFERROR(VLOOKUP(B349,BD_CONTROL!$A$5:$M$4235,12,0),"")</f>
        <v>46106</v>
      </c>
      <c r="M349" s="121" t="str">
        <f>IFERROR(VLOOKUP(B349,BD_CONTROL!$A$5:$M$4235,13,0),"")</f>
        <v>Cargado desde DB instalación 23/04/2026</v>
      </c>
    </row>
    <row r="350" spans="1:13" ht="15" customHeight="1">
      <c r="A350" s="39">
        <v>345</v>
      </c>
      <c r="B350" s="39" t="s">
        <v>3663</v>
      </c>
      <c r="C350" s="40" t="s">
        <v>1123</v>
      </c>
      <c r="D350" s="39" t="s">
        <v>3370</v>
      </c>
      <c r="E350" s="40" t="s">
        <v>3664</v>
      </c>
      <c r="F350" s="40" t="s">
        <v>2183</v>
      </c>
      <c r="G350" s="39" t="s">
        <v>109</v>
      </c>
      <c r="H350" s="40" t="s">
        <v>1532</v>
      </c>
      <c r="I350" s="40" t="s">
        <v>104</v>
      </c>
      <c r="J350" s="50"/>
      <c r="K350" s="116" t="str">
        <f>IFERROR(VLOOKUP(B350,BD_CONTROL!$A$5:$M$4235,11,0),"")</f>
        <v>Instalado - Operando</v>
      </c>
      <c r="L350" s="117">
        <f>IFERROR(VLOOKUP(B350,BD_CONTROL!$A$5:$M$4235,12,0),"")</f>
        <v>46150</v>
      </c>
      <c r="M350" s="118">
        <f>IFERROR(VLOOKUP(B350,BD_CONTROL!$A$5:$M$4235,13,0),"")</f>
        <v>0</v>
      </c>
    </row>
    <row r="351" spans="1:13" ht="15" customHeight="1">
      <c r="A351" s="42">
        <v>346</v>
      </c>
      <c r="B351" s="42" t="s">
        <v>3665</v>
      </c>
      <c r="C351" s="43" t="s">
        <v>3437</v>
      </c>
      <c r="D351" s="42" t="s">
        <v>3370</v>
      </c>
      <c r="E351" s="43" t="s">
        <v>3505</v>
      </c>
      <c r="F351" s="43" t="s">
        <v>3666</v>
      </c>
      <c r="G351" s="42" t="s">
        <v>102</v>
      </c>
      <c r="H351" s="43" t="s">
        <v>3449</v>
      </c>
      <c r="I351" s="43" t="s">
        <v>104</v>
      </c>
      <c r="J351" s="55"/>
      <c r="K351" s="119" t="str">
        <f>IFERROR(VLOOKUP(B351,BD_CONTROL!$A$5:$M$4235,11,0),"")</f>
        <v>Instalado - Operando</v>
      </c>
      <c r="L351" s="120">
        <f>IFERROR(VLOOKUP(B351,BD_CONTROL!$A$5:$M$4235,12,0),"")</f>
        <v>46142</v>
      </c>
      <c r="M351" s="121">
        <f>IFERROR(VLOOKUP(B351,BD_CONTROL!$A$5:$M$4235,13,0),"")</f>
        <v>0</v>
      </c>
    </row>
    <row r="352" spans="1:13" ht="15" customHeight="1">
      <c r="A352" s="39">
        <v>347</v>
      </c>
      <c r="B352" s="39" t="s">
        <v>3670</v>
      </c>
      <c r="C352" s="40" t="s">
        <v>3468</v>
      </c>
      <c r="D352" s="39" t="s">
        <v>3370</v>
      </c>
      <c r="E352" s="40" t="s">
        <v>3671</v>
      </c>
      <c r="F352" s="40" t="s">
        <v>3672</v>
      </c>
      <c r="G352" s="39" t="s">
        <v>109</v>
      </c>
      <c r="H352" s="40" t="s">
        <v>3391</v>
      </c>
      <c r="I352" s="40" t="s">
        <v>104</v>
      </c>
      <c r="J352" s="50"/>
      <c r="K352" s="116">
        <f>IFERROR(VLOOKUP(B352,BD_CONTROL!$A$5:$M$4235,11,0),"")</f>
        <v>0</v>
      </c>
      <c r="L352" s="117">
        <f>IFERROR(VLOOKUP(B352,BD_CONTROL!$A$5:$M$4235,12,0),"")</f>
        <v>0</v>
      </c>
      <c r="M352" s="118">
        <f>IFERROR(VLOOKUP(B352,BD_CONTROL!$A$5:$M$4235,13,0),"")</f>
        <v>0</v>
      </c>
    </row>
    <row r="353" spans="1:13" ht="15" customHeight="1">
      <c r="A353" s="42">
        <v>348</v>
      </c>
      <c r="B353" s="42" t="s">
        <v>3681</v>
      </c>
      <c r="C353" s="43" t="s">
        <v>254</v>
      </c>
      <c r="D353" s="42" t="s">
        <v>3370</v>
      </c>
      <c r="E353" s="43" t="s">
        <v>3451</v>
      </c>
      <c r="F353" s="43" t="s">
        <v>3682</v>
      </c>
      <c r="G353" s="42" t="s">
        <v>109</v>
      </c>
      <c r="H353" s="43" t="s">
        <v>3391</v>
      </c>
      <c r="I353" s="43" t="s">
        <v>104</v>
      </c>
      <c r="J353" s="55"/>
      <c r="K353" s="119" t="str">
        <f>IFERROR(VLOOKUP(B353,BD_CONTROL!$A$5:$M$4235,11,0),"")</f>
        <v>Instalado - Operando</v>
      </c>
      <c r="L353" s="120">
        <f>IFERROR(VLOOKUP(B353,BD_CONTROL!$A$5:$M$4235,12,0),"")</f>
        <v>46140</v>
      </c>
      <c r="M353" s="121">
        <f>IFERROR(VLOOKUP(B353,BD_CONTROL!$A$5:$M$4235,13,0),"")</f>
        <v>0</v>
      </c>
    </row>
    <row r="354" spans="1:13" ht="15" customHeight="1">
      <c r="A354" s="39">
        <v>349</v>
      </c>
      <c r="B354" s="39" t="s">
        <v>3694</v>
      </c>
      <c r="C354" s="40" t="s">
        <v>3695</v>
      </c>
      <c r="D354" s="39" t="s">
        <v>3370</v>
      </c>
      <c r="E354" s="40" t="s">
        <v>3696</v>
      </c>
      <c r="F354" s="40" t="s">
        <v>3697</v>
      </c>
      <c r="G354" s="39" t="s">
        <v>109</v>
      </c>
      <c r="H354" s="40" t="s">
        <v>3391</v>
      </c>
      <c r="I354" s="40" t="s">
        <v>104</v>
      </c>
      <c r="J354" s="50"/>
      <c r="K354" s="129" t="str">
        <f>IFERROR(VLOOKUP(B354,BD_CONTROL!$A$5:$M$4235,11,0),"")</f>
        <v>INSTALADO - OPERANDO</v>
      </c>
      <c r="L354" s="117">
        <f>IFERROR(VLOOKUP(B354,BD_CONTROL!$A$5:$M$4235,12,0),"")</f>
        <v>46127</v>
      </c>
      <c r="M354" s="118" t="str">
        <f>IFERROR(VLOOKUP(B354,BD_CONTROL!$A$5:$M$4235,13,0),"")</f>
        <v>Cargado desde DB instalación 23/04/2026</v>
      </c>
    </row>
    <row r="355" spans="1:13" ht="15" customHeight="1">
      <c r="A355" s="42">
        <v>350</v>
      </c>
      <c r="B355" s="42" t="s">
        <v>3698</v>
      </c>
      <c r="C355" s="43" t="s">
        <v>3524</v>
      </c>
      <c r="D355" s="42" t="s">
        <v>3370</v>
      </c>
      <c r="E355" s="43" t="s">
        <v>3699</v>
      </c>
      <c r="F355" s="43" t="s">
        <v>3700</v>
      </c>
      <c r="G355" s="42" t="s">
        <v>109</v>
      </c>
      <c r="H355" s="43" t="s">
        <v>3391</v>
      </c>
      <c r="I355" s="43" t="s">
        <v>104</v>
      </c>
      <c r="J355" s="55"/>
      <c r="K355" s="119" t="str">
        <f>IFERROR(VLOOKUP(B355,BD_CONTROL!$A$5:$M$4235,11,0),"")</f>
        <v>Instalado - Operando</v>
      </c>
      <c r="L355" s="120">
        <f>IFERROR(VLOOKUP(B355,BD_CONTROL!$A$5:$M$4235,12,0),"")</f>
        <v>46153</v>
      </c>
      <c r="M355" s="121">
        <f>IFERROR(VLOOKUP(B355,BD_CONTROL!$A$5:$M$4235,13,0),"")</f>
        <v>0</v>
      </c>
    </row>
    <row r="356" spans="1:13" ht="15" customHeight="1">
      <c r="A356" s="39">
        <v>351</v>
      </c>
      <c r="B356" s="39" t="s">
        <v>3710</v>
      </c>
      <c r="C356" s="40" t="s">
        <v>437</v>
      </c>
      <c r="D356" s="39" t="s">
        <v>3370</v>
      </c>
      <c r="E356" s="40" t="s">
        <v>3699</v>
      </c>
      <c r="F356" s="40" t="s">
        <v>3711</v>
      </c>
      <c r="G356" s="39" t="s">
        <v>109</v>
      </c>
      <c r="H356" s="40" t="s">
        <v>3391</v>
      </c>
      <c r="I356" s="40" t="s">
        <v>104</v>
      </c>
      <c r="J356" s="50"/>
      <c r="K356" s="116" t="str">
        <f>IFERROR(VLOOKUP(B356,BD_CONTROL!$A$5:$M$4235,11,0),"")</f>
        <v>Instalado - Operando</v>
      </c>
      <c r="L356" s="117">
        <f>IFERROR(VLOOKUP(B356,BD_CONTROL!$A$5:$M$4235,12,0),"")</f>
        <v>46153</v>
      </c>
      <c r="M356" s="118">
        <f>IFERROR(VLOOKUP(B356,BD_CONTROL!$A$5:$M$4235,13,0),"")</f>
        <v>0</v>
      </c>
    </row>
    <row r="357" spans="1:13" ht="15" customHeight="1">
      <c r="A357" s="42">
        <v>352</v>
      </c>
      <c r="B357" s="42" t="s">
        <v>3716</v>
      </c>
      <c r="C357" s="43" t="s">
        <v>3717</v>
      </c>
      <c r="D357" s="42" t="s">
        <v>3370</v>
      </c>
      <c r="E357" s="43" t="s">
        <v>3718</v>
      </c>
      <c r="F357" s="43" t="s">
        <v>3719</v>
      </c>
      <c r="G357" s="42" t="s">
        <v>109</v>
      </c>
      <c r="H357" s="43" t="s">
        <v>3391</v>
      </c>
      <c r="I357" s="43" t="s">
        <v>104</v>
      </c>
      <c r="J357" s="55"/>
      <c r="K357" s="119" t="str">
        <f>IFERROR(VLOOKUP(B357,BD_CONTROL!$A$5:$M$4235,11,0),"")</f>
        <v>Instalado - Operando</v>
      </c>
      <c r="L357" s="120">
        <f>IFERROR(VLOOKUP(B357,BD_CONTROL!$A$5:$M$4235,12,0),"")</f>
        <v>46153</v>
      </c>
      <c r="M357" s="121">
        <f>IFERROR(VLOOKUP(B357,BD_CONTROL!$A$5:$M$4235,13,0),"")</f>
        <v>0</v>
      </c>
    </row>
    <row r="358" spans="1:13" ht="15" customHeight="1">
      <c r="A358" s="39">
        <v>353</v>
      </c>
      <c r="B358" s="39" t="s">
        <v>3725</v>
      </c>
      <c r="C358" s="40" t="s">
        <v>2185</v>
      </c>
      <c r="D358" s="39" t="s">
        <v>3370</v>
      </c>
      <c r="E358" s="40" t="s">
        <v>3447</v>
      </c>
      <c r="F358" s="40" t="s">
        <v>3448</v>
      </c>
      <c r="G358" s="39" t="s">
        <v>109</v>
      </c>
      <c r="H358" s="40" t="s">
        <v>3449</v>
      </c>
      <c r="I358" s="40" t="s">
        <v>104</v>
      </c>
      <c r="J358" s="50"/>
      <c r="K358" s="116" t="str">
        <f>IFERROR(VLOOKUP(B358,BD_CONTROL!$A$5:$M$4235,11,0),"")</f>
        <v>Instalado - Operando</v>
      </c>
      <c r="L358" s="117">
        <f>IFERROR(VLOOKUP(B358,BD_CONTROL!$A$5:$M$4235,12,0),"")</f>
        <v>46148</v>
      </c>
      <c r="M358" s="118">
        <f>IFERROR(VLOOKUP(B358,BD_CONTROL!$A$5:$M$4235,13,0),"")</f>
        <v>0</v>
      </c>
    </row>
    <row r="359" spans="1:13" ht="15" customHeight="1">
      <c r="A359" s="42">
        <v>354</v>
      </c>
      <c r="B359" s="42" t="s">
        <v>3733</v>
      </c>
      <c r="C359" s="43" t="s">
        <v>3734</v>
      </c>
      <c r="D359" s="42" t="s">
        <v>3370</v>
      </c>
      <c r="E359" s="43" t="s">
        <v>3735</v>
      </c>
      <c r="F359" s="43" t="s">
        <v>3736</v>
      </c>
      <c r="G359" s="42" t="s">
        <v>109</v>
      </c>
      <c r="H359" s="43" t="s">
        <v>3391</v>
      </c>
      <c r="I359" s="43" t="s">
        <v>104</v>
      </c>
      <c r="J359" s="55"/>
      <c r="K359" s="119">
        <f>IFERROR(VLOOKUP(B359,BD_CONTROL!$A$5:$M$4235,11,0),"")</f>
        <v>0</v>
      </c>
      <c r="L359" s="120">
        <f>IFERROR(VLOOKUP(B359,BD_CONTROL!$A$5:$M$4235,12,0),"")</f>
        <v>0</v>
      </c>
      <c r="M359" s="121">
        <f>IFERROR(VLOOKUP(B359,BD_CONTROL!$A$5:$M$4235,13,0),"")</f>
        <v>0</v>
      </c>
    </row>
    <row r="360" spans="1:13" ht="15" customHeight="1">
      <c r="A360" s="39">
        <v>355</v>
      </c>
      <c r="B360" s="39" t="s">
        <v>3737</v>
      </c>
      <c r="C360" s="40" t="s">
        <v>3738</v>
      </c>
      <c r="D360" s="39" t="s">
        <v>3370</v>
      </c>
      <c r="E360" s="40" t="s">
        <v>3664</v>
      </c>
      <c r="F360" s="40" t="s">
        <v>645</v>
      </c>
      <c r="G360" s="39" t="s">
        <v>109</v>
      </c>
      <c r="H360" s="40" t="s">
        <v>1532</v>
      </c>
      <c r="I360" s="40" t="s">
        <v>104</v>
      </c>
      <c r="J360" s="50"/>
      <c r="K360" s="116">
        <f>IFERROR(VLOOKUP(B360,BD_CONTROL!$A$5:$M$4235,11,0),"")</f>
        <v>0</v>
      </c>
      <c r="L360" s="117">
        <f>IFERROR(VLOOKUP(B360,BD_CONTROL!$A$5:$M$4235,12,0),"")</f>
        <v>0</v>
      </c>
      <c r="M360" s="118">
        <f>IFERROR(VLOOKUP(B360,BD_CONTROL!$A$5:$M$4235,13,0),"")</f>
        <v>0</v>
      </c>
    </row>
    <row r="361" spans="1:13" ht="15" customHeight="1">
      <c r="A361" s="42">
        <v>356</v>
      </c>
      <c r="B361" s="42" t="s">
        <v>3751</v>
      </c>
      <c r="C361" s="43" t="s">
        <v>3752</v>
      </c>
      <c r="D361" s="42" t="s">
        <v>3370</v>
      </c>
      <c r="E361" s="43" t="s">
        <v>3753</v>
      </c>
      <c r="F361" s="43" t="s">
        <v>3754</v>
      </c>
      <c r="G361" s="42" t="s">
        <v>109</v>
      </c>
      <c r="H361" s="43" t="s">
        <v>3391</v>
      </c>
      <c r="I361" s="43" t="s">
        <v>104</v>
      </c>
      <c r="J361" s="55"/>
      <c r="K361" s="119">
        <f>IFERROR(VLOOKUP(B361,BD_CONTROL!$A$5:$M$4235,11,0),"")</f>
        <v>0</v>
      </c>
      <c r="L361" s="120">
        <f>IFERROR(VLOOKUP(B361,BD_CONTROL!$A$5:$M$4235,12,0),"")</f>
        <v>0</v>
      </c>
      <c r="M361" s="121">
        <f>IFERROR(VLOOKUP(B361,BD_CONTROL!$A$5:$M$4235,13,0),"")</f>
        <v>0</v>
      </c>
    </row>
    <row r="362" spans="1:13" ht="15" customHeight="1">
      <c r="A362" s="39">
        <v>357</v>
      </c>
      <c r="B362" s="39" t="s">
        <v>3776</v>
      </c>
      <c r="C362" s="40" t="s">
        <v>3777</v>
      </c>
      <c r="D362" s="39" t="s">
        <v>3370</v>
      </c>
      <c r="E362" s="40" t="s">
        <v>3778</v>
      </c>
      <c r="F362" s="40" t="s">
        <v>3779</v>
      </c>
      <c r="G362" s="39" t="s">
        <v>109</v>
      </c>
      <c r="H362" s="40" t="s">
        <v>3391</v>
      </c>
      <c r="I362" s="40" t="s">
        <v>104</v>
      </c>
      <c r="J362" s="50"/>
      <c r="K362" s="116" t="str">
        <f>IFERROR(VLOOKUP(B362,BD_CONTROL!$A$5:$M$4235,11,0),"")</f>
        <v>Instalado - Operando</v>
      </c>
      <c r="L362" s="117">
        <f>IFERROR(VLOOKUP(B362,BD_CONTROL!$A$5:$M$4235,12,0),"")</f>
        <v>46141</v>
      </c>
      <c r="M362" s="118">
        <f>IFERROR(VLOOKUP(B362,BD_CONTROL!$A$5:$M$4235,13,0),"")</f>
        <v>0</v>
      </c>
    </row>
    <row r="363" spans="1:13" ht="15" customHeight="1">
      <c r="A363" s="42">
        <v>358</v>
      </c>
      <c r="B363" s="42" t="s">
        <v>3783</v>
      </c>
      <c r="C363" s="43" t="s">
        <v>3784</v>
      </c>
      <c r="D363" s="42" t="s">
        <v>3370</v>
      </c>
      <c r="E363" s="43" t="s">
        <v>3696</v>
      </c>
      <c r="F363" s="43" t="s">
        <v>3785</v>
      </c>
      <c r="G363" s="42" t="s">
        <v>109</v>
      </c>
      <c r="H363" s="43" t="s">
        <v>3391</v>
      </c>
      <c r="I363" s="43" t="s">
        <v>104</v>
      </c>
      <c r="J363" s="55"/>
      <c r="K363" s="130" t="str">
        <f>IFERROR(VLOOKUP(B363,BD_CONTROL!$A$5:$M$4235,11,0),"")</f>
        <v>INSTALADO - SIN SEÑAL</v>
      </c>
      <c r="L363" s="120">
        <f>IFERROR(VLOOKUP(B363,BD_CONTROL!$A$5:$M$4235,12,0),"")</f>
        <v>46132</v>
      </c>
      <c r="M363" s="121" t="str">
        <f>IFERROR(VLOOKUP(B363,BD_CONTROL!$A$5:$M$4235,13,0),"")</f>
        <v>Cargado desde DB instalación 23/04/2026</v>
      </c>
    </row>
    <row r="364" spans="1:13" ht="15" customHeight="1">
      <c r="A364" s="39">
        <v>359</v>
      </c>
      <c r="B364" s="39" t="s">
        <v>3786</v>
      </c>
      <c r="C364" s="40" t="s">
        <v>3787</v>
      </c>
      <c r="D364" s="39" t="s">
        <v>3370</v>
      </c>
      <c r="E364" s="40" t="s">
        <v>3664</v>
      </c>
      <c r="F364" s="40" t="s">
        <v>3788</v>
      </c>
      <c r="G364" s="39" t="s">
        <v>109</v>
      </c>
      <c r="H364" s="40" t="s">
        <v>1532</v>
      </c>
      <c r="I364" s="40" t="s">
        <v>104</v>
      </c>
      <c r="J364" s="50"/>
      <c r="K364" s="116" t="str">
        <f>IFERROR(VLOOKUP(B364,BD_CONTROL!$A$5:$M$4235,11,0),"")</f>
        <v>Instalado - Operando</v>
      </c>
      <c r="L364" s="117">
        <f>IFERROR(VLOOKUP(B364,BD_CONTROL!$A$5:$M$4235,12,0),"")</f>
        <v>46150</v>
      </c>
      <c r="M364" s="118">
        <f>IFERROR(VLOOKUP(B364,BD_CONTROL!$A$5:$M$4235,13,0),"")</f>
        <v>0</v>
      </c>
    </row>
    <row r="365" spans="1:13" ht="15" customHeight="1">
      <c r="A365" s="42">
        <v>360</v>
      </c>
      <c r="B365" s="42" t="s">
        <v>3789</v>
      </c>
      <c r="C365" s="43" t="s">
        <v>3790</v>
      </c>
      <c r="D365" s="42" t="s">
        <v>3370</v>
      </c>
      <c r="E365" s="43" t="s">
        <v>3664</v>
      </c>
      <c r="F365" s="43" t="s">
        <v>3791</v>
      </c>
      <c r="G365" s="42" t="s">
        <v>109</v>
      </c>
      <c r="H365" s="43" t="s">
        <v>1532</v>
      </c>
      <c r="I365" s="43" t="s">
        <v>104</v>
      </c>
      <c r="J365" s="55"/>
      <c r="K365" s="119" t="str">
        <f>IFERROR(VLOOKUP(B365,BD_CONTROL!$A$5:$M$4235,11,0),"")</f>
        <v>Instalado - Operando</v>
      </c>
      <c r="L365" s="120">
        <f>IFERROR(VLOOKUP(B365,BD_CONTROL!$A$5:$M$4235,12,0),"")</f>
        <v>46149</v>
      </c>
      <c r="M365" s="121">
        <f>IFERROR(VLOOKUP(B365,BD_CONTROL!$A$5:$M$4235,13,0),"")</f>
        <v>0</v>
      </c>
    </row>
    <row r="366" spans="1:13" ht="15" customHeight="1">
      <c r="A366" s="39">
        <v>361</v>
      </c>
      <c r="B366" s="39" t="s">
        <v>3792</v>
      </c>
      <c r="C366" s="40" t="s">
        <v>3793</v>
      </c>
      <c r="D366" s="39" t="s">
        <v>3370</v>
      </c>
      <c r="E366" s="40" t="s">
        <v>3447</v>
      </c>
      <c r="F366" s="40" t="s">
        <v>3794</v>
      </c>
      <c r="G366" s="39" t="s">
        <v>109</v>
      </c>
      <c r="H366" s="40" t="s">
        <v>3449</v>
      </c>
      <c r="I366" s="40" t="s">
        <v>104</v>
      </c>
      <c r="J366" s="50"/>
      <c r="K366" s="116" t="str">
        <f>IFERROR(VLOOKUP(B366,BD_CONTROL!$A$5:$M$4235,11,0),"")</f>
        <v>Instalado - Operando</v>
      </c>
      <c r="L366" s="117">
        <f>IFERROR(VLOOKUP(B366,BD_CONTROL!$A$5:$M$4235,12,0),"")</f>
        <v>46141</v>
      </c>
      <c r="M366" s="118">
        <f>IFERROR(VLOOKUP(B366,BD_CONTROL!$A$5:$M$4235,13,0),"")</f>
        <v>0</v>
      </c>
    </row>
    <row r="367" spans="1:13" ht="15" customHeight="1">
      <c r="A367" s="42">
        <v>362</v>
      </c>
      <c r="B367" s="42" t="s">
        <v>3795</v>
      </c>
      <c r="C367" s="43" t="s">
        <v>3796</v>
      </c>
      <c r="D367" s="42" t="s">
        <v>3370</v>
      </c>
      <c r="E367" s="43" t="s">
        <v>3797</v>
      </c>
      <c r="F367" s="43" t="s">
        <v>3798</v>
      </c>
      <c r="G367" s="42" t="s">
        <v>109</v>
      </c>
      <c r="H367" s="43" t="s">
        <v>1532</v>
      </c>
      <c r="I367" s="43" t="s">
        <v>104</v>
      </c>
      <c r="J367" s="55"/>
      <c r="K367" s="119">
        <f>IFERROR(VLOOKUP(B367,BD_CONTROL!$A$5:$M$4235,11,0),"")</f>
        <v>0</v>
      </c>
      <c r="L367" s="120">
        <f>IFERROR(VLOOKUP(B367,BD_CONTROL!$A$5:$M$4235,12,0),"")</f>
        <v>0</v>
      </c>
      <c r="M367" s="121">
        <f>IFERROR(VLOOKUP(B367,BD_CONTROL!$A$5:$M$4235,13,0),"")</f>
        <v>0</v>
      </c>
    </row>
    <row r="368" spans="1:13" ht="15" customHeight="1">
      <c r="A368" s="39">
        <v>363</v>
      </c>
      <c r="B368" s="39" t="s">
        <v>3799</v>
      </c>
      <c r="C368" s="40" t="s">
        <v>3800</v>
      </c>
      <c r="D368" s="39" t="s">
        <v>3370</v>
      </c>
      <c r="E368" s="40" t="s">
        <v>3735</v>
      </c>
      <c r="F368" s="40" t="s">
        <v>3801</v>
      </c>
      <c r="G368" s="39" t="s">
        <v>109</v>
      </c>
      <c r="H368" s="40" t="s">
        <v>3391</v>
      </c>
      <c r="I368" s="40" t="s">
        <v>104</v>
      </c>
      <c r="J368" s="50"/>
      <c r="K368" s="116" t="str">
        <f>IFERROR(VLOOKUP(B368,BD_CONTROL!$A$5:$M$4235,11,0),"")</f>
        <v>Instalado - Operando</v>
      </c>
      <c r="L368" s="117">
        <f>IFERROR(VLOOKUP(B368,BD_CONTROL!$A$5:$M$4235,12,0),"")</f>
        <v>46150</v>
      </c>
      <c r="M368" s="118">
        <f>IFERROR(VLOOKUP(B368,BD_CONTROL!$A$5:$M$4235,13,0),"")</f>
        <v>0</v>
      </c>
    </row>
    <row r="369" spans="1:13" ht="15" customHeight="1">
      <c r="A369" s="42">
        <v>364</v>
      </c>
      <c r="B369" s="42" t="s">
        <v>3802</v>
      </c>
      <c r="C369" s="43" t="s">
        <v>3803</v>
      </c>
      <c r="D369" s="42" t="s">
        <v>3370</v>
      </c>
      <c r="E369" s="43" t="s">
        <v>3735</v>
      </c>
      <c r="F369" s="43" t="s">
        <v>3804</v>
      </c>
      <c r="G369" s="42" t="s">
        <v>109</v>
      </c>
      <c r="H369" s="43" t="s">
        <v>3391</v>
      </c>
      <c r="I369" s="43" t="s">
        <v>104</v>
      </c>
      <c r="J369" s="55"/>
      <c r="K369" s="119" t="str">
        <f>IFERROR(VLOOKUP(B369,BD_CONTROL!$A$5:$M$4235,11,0),"")</f>
        <v>Instalado - Operando</v>
      </c>
      <c r="L369" s="120">
        <f>IFERROR(VLOOKUP(B369,BD_CONTROL!$A$5:$M$4235,12,0),"")</f>
        <v>46150</v>
      </c>
      <c r="M369" s="121">
        <f>IFERROR(VLOOKUP(B369,BD_CONTROL!$A$5:$M$4235,13,0),"")</f>
        <v>0</v>
      </c>
    </row>
    <row r="370" spans="1:13" ht="15" customHeight="1">
      <c r="A370" s="39">
        <v>365</v>
      </c>
      <c r="B370" s="39" t="s">
        <v>3805</v>
      </c>
      <c r="C370" s="40" t="s">
        <v>3806</v>
      </c>
      <c r="D370" s="39" t="s">
        <v>3370</v>
      </c>
      <c r="E370" s="40" t="s">
        <v>3735</v>
      </c>
      <c r="F370" s="40" t="s">
        <v>3807</v>
      </c>
      <c r="G370" s="39" t="s">
        <v>109</v>
      </c>
      <c r="H370" s="40" t="s">
        <v>3391</v>
      </c>
      <c r="I370" s="40" t="s">
        <v>104</v>
      </c>
      <c r="J370" s="50"/>
      <c r="K370" s="116" t="str">
        <f>IFERROR(VLOOKUP(B370,BD_CONTROL!$A$5:$M$4235,11,0),"")</f>
        <v>Instalado - Operando</v>
      </c>
      <c r="L370" s="117">
        <f>IFERROR(VLOOKUP(B370,BD_CONTROL!$A$5:$M$4235,12,0),"")</f>
        <v>46149</v>
      </c>
      <c r="M370" s="118">
        <f>IFERROR(VLOOKUP(B370,BD_CONTROL!$A$5:$M$4235,13,0),"")</f>
        <v>0</v>
      </c>
    </row>
    <row r="371" spans="1:13" ht="15" customHeight="1">
      <c r="A371" s="42">
        <v>366</v>
      </c>
      <c r="B371" s="42" t="s">
        <v>3808</v>
      </c>
      <c r="C371" s="43" t="s">
        <v>3809</v>
      </c>
      <c r="D371" s="42" t="s">
        <v>3370</v>
      </c>
      <c r="E371" s="43" t="s">
        <v>3451</v>
      </c>
      <c r="F371" s="43" t="s">
        <v>3810</v>
      </c>
      <c r="G371" s="42" t="s">
        <v>109</v>
      </c>
      <c r="H371" s="43" t="s">
        <v>3391</v>
      </c>
      <c r="I371" s="43" t="s">
        <v>104</v>
      </c>
      <c r="J371" s="55"/>
      <c r="K371" s="129" t="str">
        <f>IFERROR(VLOOKUP(B371,BD_CONTROL!$A$5:$M$4235,11,0),"")</f>
        <v>INSTALADO - OPERANDO</v>
      </c>
      <c r="L371" s="120">
        <f>IFERROR(VLOOKUP(B371,BD_CONTROL!$A$5:$M$4235,12,0),"")</f>
        <v>46100</v>
      </c>
      <c r="M371" s="121" t="str">
        <f>IFERROR(VLOOKUP(B371,BD_CONTROL!$A$5:$M$4235,13,0),"")</f>
        <v>Cargado desde DB instalación 23/04/2026</v>
      </c>
    </row>
    <row r="372" spans="1:13" ht="15" customHeight="1">
      <c r="A372" s="39">
        <v>367</v>
      </c>
      <c r="B372" s="39" t="s">
        <v>3811</v>
      </c>
      <c r="C372" s="40" t="s">
        <v>3812</v>
      </c>
      <c r="D372" s="39" t="s">
        <v>3370</v>
      </c>
      <c r="E372" s="40" t="s">
        <v>3451</v>
      </c>
      <c r="F372" s="40" t="s">
        <v>3813</v>
      </c>
      <c r="G372" s="39" t="s">
        <v>109</v>
      </c>
      <c r="H372" s="40" t="s">
        <v>3391</v>
      </c>
      <c r="I372" s="40" t="s">
        <v>104</v>
      </c>
      <c r="J372" s="50"/>
      <c r="K372" s="129" t="str">
        <f>IFERROR(VLOOKUP(B372,BD_CONTROL!$A$5:$M$4235,11,0),"")</f>
        <v>INSTALADO - OPERANDO</v>
      </c>
      <c r="L372" s="117">
        <f>IFERROR(VLOOKUP(B372,BD_CONTROL!$A$5:$M$4235,12,0),"")</f>
        <v>46098</v>
      </c>
      <c r="M372" s="118" t="str">
        <f>IFERROR(VLOOKUP(B372,BD_CONTROL!$A$5:$M$4235,13,0),"")</f>
        <v>Cargado desde DB instalación 23/04/2026</v>
      </c>
    </row>
    <row r="373" spans="1:13" ht="15" customHeight="1">
      <c r="A373" s="42">
        <v>368</v>
      </c>
      <c r="B373" s="42" t="s">
        <v>3814</v>
      </c>
      <c r="C373" s="43" t="s">
        <v>3815</v>
      </c>
      <c r="D373" s="42" t="s">
        <v>3370</v>
      </c>
      <c r="E373" s="43" t="s">
        <v>3451</v>
      </c>
      <c r="F373" s="43" t="s">
        <v>3816</v>
      </c>
      <c r="G373" s="42" t="s">
        <v>109</v>
      </c>
      <c r="H373" s="43" t="s">
        <v>3391</v>
      </c>
      <c r="I373" s="43" t="s">
        <v>104</v>
      </c>
      <c r="J373" s="55"/>
      <c r="K373" s="129" t="str">
        <f>IFERROR(VLOOKUP(B373,BD_CONTROL!$A$5:$M$4235,11,0),"")</f>
        <v>INSTALADO - OPERANDO</v>
      </c>
      <c r="L373" s="120">
        <f>IFERROR(VLOOKUP(B373,BD_CONTROL!$A$5:$M$4235,12,0),"")</f>
        <v>46100</v>
      </c>
      <c r="M373" s="121" t="str">
        <f>IFERROR(VLOOKUP(B373,BD_CONTROL!$A$5:$M$4235,13,0),"")</f>
        <v>Cargado desde DB instalación 23/04/2026</v>
      </c>
    </row>
    <row r="374" spans="1:13" ht="15" customHeight="1">
      <c r="A374" s="39">
        <v>369</v>
      </c>
      <c r="B374" s="39" t="s">
        <v>3817</v>
      </c>
      <c r="C374" s="40" t="s">
        <v>3818</v>
      </c>
      <c r="D374" s="39" t="s">
        <v>3370</v>
      </c>
      <c r="E374" s="40" t="s">
        <v>3451</v>
      </c>
      <c r="F374" s="40" t="s">
        <v>3819</v>
      </c>
      <c r="G374" s="39" t="s">
        <v>109</v>
      </c>
      <c r="H374" s="40" t="s">
        <v>3391</v>
      </c>
      <c r="I374" s="40" t="s">
        <v>104</v>
      </c>
      <c r="J374" s="50"/>
      <c r="K374" s="129" t="str">
        <f>IFERROR(VLOOKUP(B374,BD_CONTROL!$A$5:$M$4235,11,0),"")</f>
        <v>INSTALADO - OPERANDO</v>
      </c>
      <c r="L374" s="117">
        <f>IFERROR(VLOOKUP(B374,BD_CONTROL!$A$5:$M$4235,12,0),"")</f>
        <v>46104</v>
      </c>
      <c r="M374" s="118" t="str">
        <f>IFERROR(VLOOKUP(B374,BD_CONTROL!$A$5:$M$4235,13,0),"")</f>
        <v>Cargado desde DB instalación 23/04/2026</v>
      </c>
    </row>
    <row r="375" spans="1:13" ht="15" customHeight="1">
      <c r="A375" s="42">
        <v>370</v>
      </c>
      <c r="B375" s="42" t="s">
        <v>3820</v>
      </c>
      <c r="C375" s="43" t="s">
        <v>3821</v>
      </c>
      <c r="D375" s="42" t="s">
        <v>3370</v>
      </c>
      <c r="E375" s="43" t="s">
        <v>3822</v>
      </c>
      <c r="F375" s="43" t="s">
        <v>3528</v>
      </c>
      <c r="G375" s="42" t="s">
        <v>109</v>
      </c>
      <c r="H375" s="43" t="s">
        <v>3391</v>
      </c>
      <c r="I375" s="43" t="s">
        <v>104</v>
      </c>
      <c r="J375" s="55"/>
      <c r="K375" s="129" t="str">
        <f>IFERROR(VLOOKUP(B375,BD_CONTROL!$A$5:$M$4235,11,0),"")</f>
        <v>INSTALADO - OPERANDO</v>
      </c>
      <c r="L375" s="120">
        <f>IFERROR(VLOOKUP(B375,BD_CONTROL!$A$5:$M$4235,12,0),"")</f>
        <v>46099</v>
      </c>
      <c r="M375" s="121" t="str">
        <f>IFERROR(VLOOKUP(B375,BD_CONTROL!$A$5:$M$4235,13,0),"")</f>
        <v>Cargado desde DB instalación 23/04/2026</v>
      </c>
    </row>
    <row r="376" spans="1:13" ht="15" customHeight="1">
      <c r="A376" s="39">
        <v>371</v>
      </c>
      <c r="B376" s="39" t="s">
        <v>3823</v>
      </c>
      <c r="C376" s="40" t="s">
        <v>3824</v>
      </c>
      <c r="D376" s="39" t="s">
        <v>3370</v>
      </c>
      <c r="E376" s="40" t="s">
        <v>3822</v>
      </c>
      <c r="F376" s="40" t="s">
        <v>3825</v>
      </c>
      <c r="G376" s="39" t="s">
        <v>109</v>
      </c>
      <c r="H376" s="40" t="s">
        <v>3391</v>
      </c>
      <c r="I376" s="40" t="s">
        <v>104</v>
      </c>
      <c r="J376" s="50"/>
      <c r="K376" s="129" t="str">
        <f>IFERROR(VLOOKUP(B376,BD_CONTROL!$A$5:$M$4235,11,0),"")</f>
        <v>INSTALADO - OPERANDO</v>
      </c>
      <c r="L376" s="117">
        <f>IFERROR(VLOOKUP(B376,BD_CONTROL!$A$5:$M$4235,12,0),"")</f>
        <v>46107</v>
      </c>
      <c r="M376" s="118" t="str">
        <f>IFERROR(VLOOKUP(B376,BD_CONTROL!$A$5:$M$4235,13,0),"")</f>
        <v>Cargado desde DB instalación 23/04/2026</v>
      </c>
    </row>
    <row r="377" spans="1:13" ht="15" customHeight="1">
      <c r="A377" s="42">
        <v>372</v>
      </c>
      <c r="B377" s="42" t="s">
        <v>3826</v>
      </c>
      <c r="C377" s="43" t="s">
        <v>3827</v>
      </c>
      <c r="D377" s="42" t="s">
        <v>3370</v>
      </c>
      <c r="E377" s="43" t="s">
        <v>3822</v>
      </c>
      <c r="F377" s="43" t="s">
        <v>3828</v>
      </c>
      <c r="G377" s="42" t="s">
        <v>109</v>
      </c>
      <c r="H377" s="43" t="s">
        <v>3391</v>
      </c>
      <c r="I377" s="43" t="s">
        <v>104</v>
      </c>
      <c r="J377" s="55"/>
      <c r="K377" s="129" t="str">
        <f>IFERROR(VLOOKUP(B377,BD_CONTROL!$A$5:$M$4235,11,0),"")</f>
        <v>INSTALADO - OPERANDO</v>
      </c>
      <c r="L377" s="120">
        <f>IFERROR(VLOOKUP(B377,BD_CONTROL!$A$5:$M$4235,12,0),"")</f>
        <v>46099</v>
      </c>
      <c r="M377" s="121" t="str">
        <f>IFERROR(VLOOKUP(B377,BD_CONTROL!$A$5:$M$4235,13,0),"")</f>
        <v>Cargado desde DB instalación 23/04/2026</v>
      </c>
    </row>
    <row r="378" spans="1:13" ht="15" customHeight="1">
      <c r="A378" s="39">
        <v>373</v>
      </c>
      <c r="B378" s="39" t="s">
        <v>3829</v>
      </c>
      <c r="C378" s="40" t="s">
        <v>408</v>
      </c>
      <c r="D378" s="39" t="s">
        <v>3370</v>
      </c>
      <c r="E378" s="40" t="s">
        <v>3822</v>
      </c>
      <c r="F378" s="40" t="s">
        <v>1238</v>
      </c>
      <c r="G378" s="39" t="s">
        <v>109</v>
      </c>
      <c r="H378" s="40" t="s">
        <v>3391</v>
      </c>
      <c r="I378" s="40" t="s">
        <v>104</v>
      </c>
      <c r="J378" s="50"/>
      <c r="K378" s="130" t="str">
        <f>IFERROR(VLOOKUP(B378,BD_CONTROL!$A$5:$M$4235,11,0),"")</f>
        <v>INSTALADO - SIN SEÑAL</v>
      </c>
      <c r="L378" s="117">
        <f>IFERROR(VLOOKUP(B378,BD_CONTROL!$A$5:$M$4235,12,0),"")</f>
        <v>46101</v>
      </c>
      <c r="M378" s="118" t="str">
        <f>IFERROR(VLOOKUP(B378,BD_CONTROL!$A$5:$M$4235,13,0),"")</f>
        <v>Cargado desde DB instalación 23/04/2026</v>
      </c>
    </row>
    <row r="379" spans="1:13" ht="15" customHeight="1">
      <c r="A379" s="42">
        <v>374</v>
      </c>
      <c r="B379" s="42" t="s">
        <v>3830</v>
      </c>
      <c r="C379" s="43" t="s">
        <v>3831</v>
      </c>
      <c r="D379" s="42" t="s">
        <v>3370</v>
      </c>
      <c r="E379" s="43" t="s">
        <v>3832</v>
      </c>
      <c r="F379" s="43" t="s">
        <v>3833</v>
      </c>
      <c r="G379" s="42" t="s">
        <v>109</v>
      </c>
      <c r="H379" s="43" t="s">
        <v>3391</v>
      </c>
      <c r="I379" s="43" t="s">
        <v>104</v>
      </c>
      <c r="J379" s="55"/>
      <c r="K379" s="129" t="str">
        <f>IFERROR(VLOOKUP(B379,BD_CONTROL!$A$5:$M$4235,11,0),"")</f>
        <v>INSTALADO - OPERANDO</v>
      </c>
      <c r="L379" s="120">
        <f>IFERROR(VLOOKUP(B379,BD_CONTROL!$A$5:$M$4235,12,0),"")</f>
        <v>46125</v>
      </c>
      <c r="M379" s="121" t="str">
        <f>IFERROR(VLOOKUP(B379,BD_CONTROL!$A$5:$M$4235,13,0),"")</f>
        <v>Cargado desde DB instalación 23/04/2026</v>
      </c>
    </row>
    <row r="380" spans="1:13" ht="15" customHeight="1">
      <c r="A380" s="39">
        <v>375</v>
      </c>
      <c r="B380" s="39" t="s">
        <v>3834</v>
      </c>
      <c r="C380" s="40" t="s">
        <v>3835</v>
      </c>
      <c r="D380" s="39" t="s">
        <v>3370</v>
      </c>
      <c r="E380" s="40" t="s">
        <v>3832</v>
      </c>
      <c r="F380" s="40" t="s">
        <v>3836</v>
      </c>
      <c r="G380" s="39" t="s">
        <v>109</v>
      </c>
      <c r="H380" s="40" t="s">
        <v>3391</v>
      </c>
      <c r="I380" s="40" t="s">
        <v>104</v>
      </c>
      <c r="J380" s="50"/>
      <c r="K380" s="129" t="str">
        <f>IFERROR(VLOOKUP(B380,BD_CONTROL!$A$5:$M$4235,11,0),"")</f>
        <v>INSTALADO - OPERANDO</v>
      </c>
      <c r="L380" s="117">
        <f>IFERROR(VLOOKUP(B380,BD_CONTROL!$A$5:$M$4235,12,0),"")</f>
        <v>46125</v>
      </c>
      <c r="M380" s="118" t="str">
        <f>IFERROR(VLOOKUP(B380,BD_CONTROL!$A$5:$M$4235,13,0),"")</f>
        <v>Cargado desde DB instalación 23/04/2026</v>
      </c>
    </row>
    <row r="381" spans="1:13" ht="15" customHeight="1">
      <c r="A381" s="42">
        <v>376</v>
      </c>
      <c r="B381" s="42" t="s">
        <v>3837</v>
      </c>
      <c r="C381" s="43" t="s">
        <v>3838</v>
      </c>
      <c r="D381" s="42" t="s">
        <v>3370</v>
      </c>
      <c r="E381" s="43" t="s">
        <v>3832</v>
      </c>
      <c r="F381" s="43" t="s">
        <v>3839</v>
      </c>
      <c r="G381" s="42" t="s">
        <v>109</v>
      </c>
      <c r="H381" s="43" t="s">
        <v>3391</v>
      </c>
      <c r="I381" s="43" t="s">
        <v>104</v>
      </c>
      <c r="J381" s="55"/>
      <c r="K381" s="129" t="str">
        <f>IFERROR(VLOOKUP(B381,BD_CONTROL!$A$5:$M$4235,11,0),"")</f>
        <v>INSTALADO - OPERANDO</v>
      </c>
      <c r="L381" s="120">
        <f>IFERROR(VLOOKUP(B381,BD_CONTROL!$A$5:$M$4235,12,0),"")</f>
        <v>46129</v>
      </c>
      <c r="M381" s="121" t="str">
        <f>IFERROR(VLOOKUP(B381,BD_CONTROL!$A$5:$M$4235,13,0),"")</f>
        <v>Cargado desde DB instalación 23/04/2026</v>
      </c>
    </row>
    <row r="382" spans="1:13" ht="15" customHeight="1">
      <c r="A382" s="39">
        <v>377</v>
      </c>
      <c r="B382" s="39" t="s">
        <v>3847</v>
      </c>
      <c r="C382" s="40" t="s">
        <v>3848</v>
      </c>
      <c r="D382" s="39" t="s">
        <v>3370</v>
      </c>
      <c r="E382" s="40" t="s">
        <v>3849</v>
      </c>
      <c r="F382" s="40" t="s">
        <v>3850</v>
      </c>
      <c r="G382" s="39" t="s">
        <v>109</v>
      </c>
      <c r="H382" s="40" t="s">
        <v>3449</v>
      </c>
      <c r="I382" s="40" t="s">
        <v>104</v>
      </c>
      <c r="J382" s="50"/>
      <c r="K382" s="116" t="str">
        <f>IFERROR(VLOOKUP(B382,BD_CONTROL!$A$5:$M$4235,11,0),"")</f>
        <v>Instalado - Operando</v>
      </c>
      <c r="L382" s="117">
        <f>IFERROR(VLOOKUP(B382,BD_CONTROL!$A$5:$M$4235,12,0),"")</f>
        <v>46149</v>
      </c>
      <c r="M382" s="118">
        <f>IFERROR(VLOOKUP(B382,BD_CONTROL!$A$5:$M$4235,13,0),"")</f>
        <v>0</v>
      </c>
    </row>
    <row r="383" spans="1:13" ht="15" customHeight="1">
      <c r="A383" s="42">
        <v>378</v>
      </c>
      <c r="B383" s="42" t="s">
        <v>3854</v>
      </c>
      <c r="C383" s="43" t="s">
        <v>3855</v>
      </c>
      <c r="D383" s="42" t="s">
        <v>3370</v>
      </c>
      <c r="E383" s="43" t="s">
        <v>3856</v>
      </c>
      <c r="F383" s="43" t="s">
        <v>3857</v>
      </c>
      <c r="G383" s="42" t="s">
        <v>109</v>
      </c>
      <c r="H383" s="43" t="s">
        <v>3391</v>
      </c>
      <c r="I383" s="43" t="s">
        <v>104</v>
      </c>
      <c r="J383" s="55"/>
      <c r="K383" s="119" t="str">
        <f>IFERROR(VLOOKUP(B383,BD_CONTROL!$A$5:$M$4235,11,0),"")</f>
        <v>Instalado - Operando</v>
      </c>
      <c r="L383" s="120">
        <f>IFERROR(VLOOKUP(B383,BD_CONTROL!$A$5:$M$4235,12,0),"")</f>
        <v>46142</v>
      </c>
      <c r="M383" s="121">
        <f>IFERROR(VLOOKUP(B383,BD_CONTROL!$A$5:$M$4235,13,0),"")</f>
        <v>0</v>
      </c>
    </row>
    <row r="384" spans="1:13" ht="15" customHeight="1">
      <c r="A384" s="39">
        <v>379</v>
      </c>
      <c r="B384" s="39" t="s">
        <v>3867</v>
      </c>
      <c r="C384" s="40" t="s">
        <v>3868</v>
      </c>
      <c r="D384" s="39" t="s">
        <v>3370</v>
      </c>
      <c r="E384" s="40" t="s">
        <v>3465</v>
      </c>
      <c r="F384" s="40" t="s">
        <v>3869</v>
      </c>
      <c r="G384" s="39" t="s">
        <v>109</v>
      </c>
      <c r="H384" s="40" t="s">
        <v>3391</v>
      </c>
      <c r="I384" s="40" t="s">
        <v>104</v>
      </c>
      <c r="J384" s="50"/>
      <c r="K384" s="129" t="str">
        <f>IFERROR(VLOOKUP(B384,BD_CONTROL!$A$5:$M$4235,11,0),"")</f>
        <v>INSTALADO - OPERANDO</v>
      </c>
      <c r="L384" s="117">
        <f>IFERROR(VLOOKUP(B384,BD_CONTROL!$A$5:$M$4235,12,0),"")</f>
        <v>46133</v>
      </c>
      <c r="M384" s="118" t="str">
        <f>IFERROR(VLOOKUP(B384,BD_CONTROL!$A$5:$M$4235,13,0),"")</f>
        <v>Cargado desde DB instalación 23/04/2026</v>
      </c>
    </row>
    <row r="385" spans="1:13" ht="15" customHeight="1">
      <c r="A385" s="42">
        <v>380</v>
      </c>
      <c r="B385" s="42" t="s">
        <v>3876</v>
      </c>
      <c r="C385" s="43" t="s">
        <v>3877</v>
      </c>
      <c r="D385" s="42" t="s">
        <v>3370</v>
      </c>
      <c r="E385" s="43" t="s">
        <v>3753</v>
      </c>
      <c r="F385" s="43" t="s">
        <v>880</v>
      </c>
      <c r="G385" s="42" t="s">
        <v>109</v>
      </c>
      <c r="H385" s="43" t="s">
        <v>3391</v>
      </c>
      <c r="I385" s="43" t="s">
        <v>104</v>
      </c>
      <c r="J385" s="55"/>
      <c r="K385" s="119">
        <f>IFERROR(VLOOKUP(B385,BD_CONTROL!$A$5:$M$4235,11,0),"")</f>
        <v>0</v>
      </c>
      <c r="L385" s="120">
        <f>IFERROR(VLOOKUP(B385,BD_CONTROL!$A$5:$M$4235,12,0),"")</f>
        <v>0</v>
      </c>
      <c r="M385" s="121">
        <f>IFERROR(VLOOKUP(B385,BD_CONTROL!$A$5:$M$4235,13,0),"")</f>
        <v>0</v>
      </c>
    </row>
    <row r="386" spans="1:13" ht="15" customHeight="1">
      <c r="A386" s="39">
        <v>381</v>
      </c>
      <c r="B386" s="39" t="s">
        <v>3878</v>
      </c>
      <c r="C386" s="40" t="s">
        <v>3879</v>
      </c>
      <c r="D386" s="39" t="s">
        <v>3370</v>
      </c>
      <c r="E386" s="40" t="s">
        <v>3753</v>
      </c>
      <c r="F386" s="40" t="s">
        <v>3880</v>
      </c>
      <c r="G386" s="39" t="s">
        <v>109</v>
      </c>
      <c r="H386" s="40" t="s">
        <v>3391</v>
      </c>
      <c r="I386" s="40" t="s">
        <v>104</v>
      </c>
      <c r="J386" s="50"/>
      <c r="K386" s="116" t="str">
        <f>IFERROR(VLOOKUP(B386,BD_CONTROL!$A$5:$M$4235,11,0),"")</f>
        <v>Instalado - Operando</v>
      </c>
      <c r="L386" s="117">
        <f>IFERROR(VLOOKUP(B386,BD_CONTROL!$A$5:$M$4235,12,0),"")</f>
        <v>46148</v>
      </c>
      <c r="M386" s="118">
        <f>IFERROR(VLOOKUP(B386,BD_CONTROL!$A$5:$M$4235,13,0),"")</f>
        <v>0</v>
      </c>
    </row>
    <row r="387" spans="1:13" ht="15" customHeight="1">
      <c r="A387" s="42">
        <v>382</v>
      </c>
      <c r="B387" s="42" t="s">
        <v>3884</v>
      </c>
      <c r="C387" s="43" t="s">
        <v>3885</v>
      </c>
      <c r="D387" s="42" t="s">
        <v>3370</v>
      </c>
      <c r="E387" s="43" t="s">
        <v>3753</v>
      </c>
      <c r="F387" s="43" t="s">
        <v>3886</v>
      </c>
      <c r="G387" s="42" t="s">
        <v>109</v>
      </c>
      <c r="H387" s="43" t="s">
        <v>3391</v>
      </c>
      <c r="I387" s="43" t="s">
        <v>104</v>
      </c>
      <c r="J387" s="55"/>
      <c r="K387" s="119" t="str">
        <f>IFERROR(VLOOKUP(B387,BD_CONTROL!$A$5:$M$4235,11,0),"")</f>
        <v>Instalado - Operando</v>
      </c>
      <c r="L387" s="120">
        <f>IFERROR(VLOOKUP(B387,BD_CONTROL!$A$5:$M$4235,12,0),"")</f>
        <v>46149</v>
      </c>
      <c r="M387" s="121">
        <f>IFERROR(VLOOKUP(B387,BD_CONTROL!$A$5:$M$4235,13,0),"")</f>
        <v>0</v>
      </c>
    </row>
    <row r="388" spans="1:13" ht="15" customHeight="1">
      <c r="A388" s="39">
        <v>383</v>
      </c>
      <c r="B388" s="39" t="s">
        <v>3887</v>
      </c>
      <c r="C388" s="40" t="s">
        <v>3888</v>
      </c>
      <c r="D388" s="39" t="s">
        <v>3370</v>
      </c>
      <c r="E388" s="40" t="s">
        <v>3889</v>
      </c>
      <c r="F388" s="40" t="s">
        <v>3890</v>
      </c>
      <c r="G388" s="39" t="s">
        <v>109</v>
      </c>
      <c r="H388" s="40" t="s">
        <v>3391</v>
      </c>
      <c r="I388" s="40" t="s">
        <v>104</v>
      </c>
      <c r="J388" s="50"/>
      <c r="K388" s="129" t="str">
        <f>IFERROR(VLOOKUP(B388,BD_CONTROL!$A$5:$M$4235,11,0),"")</f>
        <v>INSTALADO - OPERANDO</v>
      </c>
      <c r="L388" s="117">
        <f>IFERROR(VLOOKUP(B388,BD_CONTROL!$A$5:$M$4235,12,0),"")</f>
        <v>46104</v>
      </c>
      <c r="M388" s="118" t="str">
        <f>IFERROR(VLOOKUP(B388,BD_CONTROL!$A$5:$M$4235,13,0),"")</f>
        <v>Cargado desde DB instalación 23/04/2026</v>
      </c>
    </row>
    <row r="389" spans="1:13" ht="15" customHeight="1">
      <c r="A389" s="42">
        <v>384</v>
      </c>
      <c r="B389" s="42" t="s">
        <v>3891</v>
      </c>
      <c r="C389" s="43" t="s">
        <v>3892</v>
      </c>
      <c r="D389" s="42" t="s">
        <v>3370</v>
      </c>
      <c r="E389" s="43" t="s">
        <v>3889</v>
      </c>
      <c r="F389" s="43" t="s">
        <v>3893</v>
      </c>
      <c r="G389" s="42" t="s">
        <v>109</v>
      </c>
      <c r="H389" s="43" t="s">
        <v>3391</v>
      </c>
      <c r="I389" s="43" t="s">
        <v>104</v>
      </c>
      <c r="J389" s="55"/>
      <c r="K389" s="129" t="str">
        <f>IFERROR(VLOOKUP(B389,BD_CONTROL!$A$5:$M$4235,11,0),"")</f>
        <v>INSTALADO - OPERANDO</v>
      </c>
      <c r="L389" s="120">
        <f>IFERROR(VLOOKUP(B389,BD_CONTROL!$A$5:$M$4235,12,0),"")</f>
        <v>46105</v>
      </c>
      <c r="M389" s="121" t="str">
        <f>IFERROR(VLOOKUP(B389,BD_CONTROL!$A$5:$M$4235,13,0),"")</f>
        <v>Cargado desde DB instalación 23/04/2026</v>
      </c>
    </row>
    <row r="390" spans="1:13" ht="15" customHeight="1">
      <c r="A390" s="39">
        <v>385</v>
      </c>
      <c r="B390" s="39" t="s">
        <v>3913</v>
      </c>
      <c r="C390" s="40" t="s">
        <v>3914</v>
      </c>
      <c r="D390" s="39" t="s">
        <v>3370</v>
      </c>
      <c r="E390" s="40" t="s">
        <v>3696</v>
      </c>
      <c r="F390" s="40" t="s">
        <v>3915</v>
      </c>
      <c r="G390" s="39" t="s">
        <v>109</v>
      </c>
      <c r="H390" s="40" t="s">
        <v>3391</v>
      </c>
      <c r="I390" s="40" t="s">
        <v>104</v>
      </c>
      <c r="J390" s="50"/>
      <c r="K390" s="116" t="str">
        <f>IFERROR(VLOOKUP(B390,BD_CONTROL!$A$5:$M$4235,11,0),"")</f>
        <v>Instalado - Operando</v>
      </c>
      <c r="L390" s="117">
        <f>IFERROR(VLOOKUP(B390,BD_CONTROL!$A$5:$M$4235,12,0),"")</f>
        <v>46140</v>
      </c>
      <c r="M390" s="118">
        <f>IFERROR(VLOOKUP(B390,BD_CONTROL!$A$5:$M$4235,13,0),"")</f>
        <v>0</v>
      </c>
    </row>
    <row r="391" spans="1:13" ht="15" customHeight="1">
      <c r="A391" s="42">
        <v>386</v>
      </c>
      <c r="B391" s="42" t="s">
        <v>3916</v>
      </c>
      <c r="C391" s="43" t="s">
        <v>3917</v>
      </c>
      <c r="D391" s="42" t="s">
        <v>3370</v>
      </c>
      <c r="E391" s="43" t="s">
        <v>3696</v>
      </c>
      <c r="F391" s="43" t="s">
        <v>3918</v>
      </c>
      <c r="G391" s="42" t="s">
        <v>109</v>
      </c>
      <c r="H391" s="43" t="s">
        <v>3391</v>
      </c>
      <c r="I391" s="43" t="s">
        <v>104</v>
      </c>
      <c r="J391" s="55"/>
      <c r="K391" s="129" t="str">
        <f>IFERROR(VLOOKUP(B391,BD_CONTROL!$A$5:$M$4235,11,0),"")</f>
        <v>INSTALADO - OPERANDO</v>
      </c>
      <c r="L391" s="120">
        <f>IFERROR(VLOOKUP(B391,BD_CONTROL!$A$5:$M$4235,12,0),"")</f>
        <v>46134</v>
      </c>
      <c r="M391" s="121" t="str">
        <f>IFERROR(VLOOKUP(B391,BD_CONTROL!$A$5:$M$4235,13,0),"")</f>
        <v>Cargado desde DB instalación 23/04/2026</v>
      </c>
    </row>
    <row r="392" spans="1:13" ht="15" customHeight="1">
      <c r="A392" s="39">
        <v>387</v>
      </c>
      <c r="B392" s="39" t="s">
        <v>3919</v>
      </c>
      <c r="C392" s="40" t="s">
        <v>3920</v>
      </c>
      <c r="D392" s="39" t="s">
        <v>3370</v>
      </c>
      <c r="E392" s="40" t="s">
        <v>3921</v>
      </c>
      <c r="F392" s="40" t="s">
        <v>3922</v>
      </c>
      <c r="G392" s="39" t="s">
        <v>109</v>
      </c>
      <c r="H392" s="40" t="s">
        <v>1532</v>
      </c>
      <c r="I392" s="40" t="s">
        <v>104</v>
      </c>
      <c r="J392" s="50"/>
      <c r="K392" s="116" t="str">
        <f>IFERROR(VLOOKUP(B392,BD_CONTROL!$A$5:$M$4235,11,0),"")</f>
        <v>Instalado - Operando</v>
      </c>
      <c r="L392" s="117">
        <f>IFERROR(VLOOKUP(B392,BD_CONTROL!$A$5:$M$4235,12,0),"")</f>
        <v>46142</v>
      </c>
      <c r="M392" s="118">
        <f>IFERROR(VLOOKUP(B392,BD_CONTROL!$A$5:$M$4235,13,0),"")</f>
        <v>0</v>
      </c>
    </row>
    <row r="393" spans="1:13" ht="15" customHeight="1">
      <c r="A393" s="42">
        <v>388</v>
      </c>
      <c r="B393" s="42" t="s">
        <v>3923</v>
      </c>
      <c r="C393" s="43" t="s">
        <v>3924</v>
      </c>
      <c r="D393" s="42" t="s">
        <v>3370</v>
      </c>
      <c r="E393" s="43" t="s">
        <v>3921</v>
      </c>
      <c r="F393" s="43" t="s">
        <v>853</v>
      </c>
      <c r="G393" s="42" t="s">
        <v>109</v>
      </c>
      <c r="H393" s="43" t="s">
        <v>1532</v>
      </c>
      <c r="I393" s="43" t="s">
        <v>104</v>
      </c>
      <c r="J393" s="55"/>
      <c r="K393" s="119" t="str">
        <f>IFERROR(VLOOKUP(B393,BD_CONTROL!$A$5:$M$4235,11,0),"")</f>
        <v>Instalado - Operando</v>
      </c>
      <c r="L393" s="120">
        <f>IFERROR(VLOOKUP(B393,BD_CONTROL!$A$5:$M$4235,12,0),"")</f>
        <v>46142</v>
      </c>
      <c r="M393" s="121">
        <f>IFERROR(VLOOKUP(B393,BD_CONTROL!$A$5:$M$4235,13,0),"")</f>
        <v>0</v>
      </c>
    </row>
    <row r="394" spans="1:13" ht="15" customHeight="1">
      <c r="A394" s="39">
        <v>389</v>
      </c>
      <c r="B394" s="39" t="s">
        <v>3932</v>
      </c>
      <c r="C394" s="40" t="s">
        <v>3933</v>
      </c>
      <c r="D394" s="39" t="s">
        <v>3370</v>
      </c>
      <c r="E394" s="40" t="s">
        <v>3934</v>
      </c>
      <c r="F394" s="40" t="s">
        <v>3207</v>
      </c>
      <c r="G394" s="39" t="s">
        <v>109</v>
      </c>
      <c r="H394" s="40" t="s">
        <v>3391</v>
      </c>
      <c r="I394" s="40" t="s">
        <v>104</v>
      </c>
      <c r="J394" s="50"/>
      <c r="K394" s="129" t="str">
        <f>IFERROR(VLOOKUP(B394,BD_CONTROL!$A$5:$M$4235,11,0),"")</f>
        <v>INSTALADO - OPERANDO</v>
      </c>
      <c r="L394" s="117">
        <f>IFERROR(VLOOKUP(B394,BD_CONTROL!$A$5:$M$4235,12,0),"")</f>
        <v>46125</v>
      </c>
      <c r="M394" s="118" t="str">
        <f>IFERROR(VLOOKUP(B394,BD_CONTROL!$A$5:$M$4235,13,0),"")</f>
        <v>Cargado desde DB instalación 23/04/2026</v>
      </c>
    </row>
    <row r="395" spans="1:13" ht="15" customHeight="1">
      <c r="A395" s="42">
        <v>390</v>
      </c>
      <c r="B395" s="42" t="s">
        <v>3935</v>
      </c>
      <c r="C395" s="43" t="s">
        <v>3936</v>
      </c>
      <c r="D395" s="42" t="s">
        <v>3370</v>
      </c>
      <c r="E395" s="43" t="s">
        <v>3934</v>
      </c>
      <c r="F395" s="43" t="s">
        <v>3937</v>
      </c>
      <c r="G395" s="42" t="s">
        <v>109</v>
      </c>
      <c r="H395" s="43" t="s">
        <v>3391</v>
      </c>
      <c r="I395" s="43" t="s">
        <v>104</v>
      </c>
      <c r="J395" s="55"/>
      <c r="K395" s="129" t="str">
        <f>IFERROR(VLOOKUP(B395,BD_CONTROL!$A$5:$M$4235,11,0),"")</f>
        <v>INSTALADO - OPERANDO</v>
      </c>
      <c r="L395" s="120">
        <f>IFERROR(VLOOKUP(B395,BD_CONTROL!$A$5:$M$4235,12,0),"")</f>
        <v>46126</v>
      </c>
      <c r="M395" s="121" t="str">
        <f>IFERROR(VLOOKUP(B395,BD_CONTROL!$A$5:$M$4235,13,0),"")</f>
        <v>Cargado desde DB instalación 23/04/2026</v>
      </c>
    </row>
    <row r="396" spans="1:13" ht="15" customHeight="1">
      <c r="A396" s="39">
        <v>391</v>
      </c>
      <c r="B396" s="39" t="s">
        <v>3938</v>
      </c>
      <c r="C396" s="40" t="s">
        <v>3939</v>
      </c>
      <c r="D396" s="39" t="s">
        <v>3370</v>
      </c>
      <c r="E396" s="40" t="s">
        <v>3934</v>
      </c>
      <c r="F396" s="40" t="s">
        <v>2539</v>
      </c>
      <c r="G396" s="39" t="s">
        <v>109</v>
      </c>
      <c r="H396" s="40" t="s">
        <v>3391</v>
      </c>
      <c r="I396" s="40" t="s">
        <v>104</v>
      </c>
      <c r="J396" s="50"/>
      <c r="K396" s="129" t="str">
        <f>IFERROR(VLOOKUP(B396,BD_CONTROL!$A$5:$M$4235,11,0),"")</f>
        <v>INSTALADO - OPERANDO</v>
      </c>
      <c r="L396" s="117">
        <f>IFERROR(VLOOKUP(B396,BD_CONTROL!$A$5:$M$4235,12,0),"")</f>
        <v>46125</v>
      </c>
      <c r="M396" s="118" t="str">
        <f>IFERROR(VLOOKUP(B396,BD_CONTROL!$A$5:$M$4235,13,0),"")</f>
        <v>Cargado desde DB instalación 23/04/2026</v>
      </c>
    </row>
    <row r="397" spans="1:13" ht="15" customHeight="1">
      <c r="A397" s="42">
        <v>392</v>
      </c>
      <c r="B397" s="42" t="s">
        <v>3958</v>
      </c>
      <c r="C397" s="43" t="s">
        <v>3959</v>
      </c>
      <c r="D397" s="42" t="s">
        <v>3370</v>
      </c>
      <c r="E397" s="43" t="s">
        <v>3960</v>
      </c>
      <c r="F397" s="43" t="s">
        <v>3961</v>
      </c>
      <c r="G397" s="42" t="s">
        <v>109</v>
      </c>
      <c r="H397" s="43" t="s">
        <v>3391</v>
      </c>
      <c r="I397" s="43" t="s">
        <v>104</v>
      </c>
      <c r="J397" s="55"/>
      <c r="K397" s="129" t="str">
        <f>IFERROR(VLOOKUP(B397,BD_CONTROL!$A$5:$M$4235,11,0),"")</f>
        <v>INSTALADO - OPERANDO</v>
      </c>
      <c r="L397" s="120">
        <f>IFERROR(VLOOKUP(B397,BD_CONTROL!$A$5:$M$4235,12,0),"")</f>
        <v>46100</v>
      </c>
      <c r="M397" s="121" t="str">
        <f>IFERROR(VLOOKUP(B397,BD_CONTROL!$A$5:$M$4235,13,0),"")</f>
        <v>Cargado desde DB instalación 23/04/2026</v>
      </c>
    </row>
    <row r="398" spans="1:13" ht="15" customHeight="1">
      <c r="A398" s="39">
        <v>393</v>
      </c>
      <c r="B398" s="39" t="s">
        <v>3969</v>
      </c>
      <c r="C398" s="40" t="s">
        <v>3970</v>
      </c>
      <c r="D398" s="39" t="s">
        <v>3370</v>
      </c>
      <c r="E398" s="40" t="s">
        <v>3971</v>
      </c>
      <c r="F398" s="40" t="s">
        <v>3972</v>
      </c>
      <c r="G398" s="39" t="s">
        <v>109</v>
      </c>
      <c r="H398" s="40" t="s">
        <v>3391</v>
      </c>
      <c r="I398" s="40" t="s">
        <v>104</v>
      </c>
      <c r="J398" s="50"/>
      <c r="K398" s="116" t="str">
        <f>IFERROR(VLOOKUP(B398,BD_CONTROL!$A$5:$M$4235,11,0),"")</f>
        <v>Instalado - Operando</v>
      </c>
      <c r="L398" s="117">
        <f>IFERROR(VLOOKUP(B398,BD_CONTROL!$A$5:$M$4235,12,0),"")</f>
        <v>46142</v>
      </c>
      <c r="M398" s="118">
        <f>IFERROR(VLOOKUP(B398,BD_CONTROL!$A$5:$M$4235,13,0),"")</f>
        <v>0</v>
      </c>
    </row>
    <row r="399" spans="1:13" ht="15" customHeight="1">
      <c r="A399" s="42">
        <v>394</v>
      </c>
      <c r="B399" s="42" t="s">
        <v>3973</v>
      </c>
      <c r="C399" s="43" t="s">
        <v>3974</v>
      </c>
      <c r="D399" s="42" t="s">
        <v>3370</v>
      </c>
      <c r="E399" s="43" t="s">
        <v>3971</v>
      </c>
      <c r="F399" s="43" t="s">
        <v>3975</v>
      </c>
      <c r="G399" s="42" t="s">
        <v>109</v>
      </c>
      <c r="H399" s="43" t="s">
        <v>3391</v>
      </c>
      <c r="I399" s="43" t="s">
        <v>104</v>
      </c>
      <c r="J399" s="55"/>
      <c r="K399" s="119" t="str">
        <f>IFERROR(VLOOKUP(B399,BD_CONTROL!$A$5:$M$4235,11,0),"")</f>
        <v>Instalado - Operando</v>
      </c>
      <c r="L399" s="120">
        <f>IFERROR(VLOOKUP(B399,BD_CONTROL!$A$5:$M$4235,12,0),"")</f>
        <v>46141</v>
      </c>
      <c r="M399" s="121">
        <f>IFERROR(VLOOKUP(B399,BD_CONTROL!$A$5:$M$4235,13,0),"")</f>
        <v>0</v>
      </c>
    </row>
    <row r="400" spans="1:13" ht="15" customHeight="1">
      <c r="A400" s="39">
        <v>395</v>
      </c>
      <c r="B400" s="39" t="s">
        <v>3980</v>
      </c>
      <c r="C400" s="40" t="s">
        <v>3981</v>
      </c>
      <c r="D400" s="39" t="s">
        <v>3370</v>
      </c>
      <c r="E400" s="40" t="s">
        <v>3718</v>
      </c>
      <c r="F400" s="40" t="s">
        <v>2183</v>
      </c>
      <c r="G400" s="39" t="s">
        <v>109</v>
      </c>
      <c r="H400" s="40" t="s">
        <v>3391</v>
      </c>
      <c r="I400" s="40" t="s">
        <v>104</v>
      </c>
      <c r="J400" s="50"/>
      <c r="K400" s="116" t="str">
        <f>IFERROR(VLOOKUP(B400,BD_CONTROL!$A$5:$M$4235,11,0),"")</f>
        <v>Instalado - Operando</v>
      </c>
      <c r="L400" s="117">
        <f>IFERROR(VLOOKUP(B400,BD_CONTROL!$A$5:$M$4235,12,0),"")</f>
        <v>46149</v>
      </c>
      <c r="M400" s="118">
        <f>IFERROR(VLOOKUP(B400,BD_CONTROL!$A$5:$M$4235,13,0),"")</f>
        <v>0</v>
      </c>
    </row>
    <row r="401" spans="1:13" ht="15" customHeight="1">
      <c r="A401" s="42">
        <v>396</v>
      </c>
      <c r="B401" s="42" t="s">
        <v>3982</v>
      </c>
      <c r="C401" s="43" t="s">
        <v>3983</v>
      </c>
      <c r="D401" s="42" t="s">
        <v>3370</v>
      </c>
      <c r="E401" s="43" t="s">
        <v>3718</v>
      </c>
      <c r="F401" s="43" t="s">
        <v>3984</v>
      </c>
      <c r="G401" s="42" t="s">
        <v>109</v>
      </c>
      <c r="H401" s="43" t="s">
        <v>3391</v>
      </c>
      <c r="I401" s="43" t="s">
        <v>104</v>
      </c>
      <c r="J401" s="55"/>
      <c r="K401" s="119" t="str">
        <f>IFERROR(VLOOKUP(B401,BD_CONTROL!$A$5:$M$4235,11,0),"")</f>
        <v>Instalado - Operando</v>
      </c>
      <c r="L401" s="120">
        <f>IFERROR(VLOOKUP(B401,BD_CONTROL!$A$5:$M$4235,12,0),"")</f>
        <v>46150</v>
      </c>
      <c r="M401" s="121">
        <f>IFERROR(VLOOKUP(B401,BD_CONTROL!$A$5:$M$4235,13,0),"")</f>
        <v>0</v>
      </c>
    </row>
    <row r="402" spans="1:13" ht="15" customHeight="1">
      <c r="A402" s="39">
        <v>397</v>
      </c>
      <c r="B402" s="39" t="s">
        <v>3988</v>
      </c>
      <c r="C402" s="40" t="s">
        <v>3989</v>
      </c>
      <c r="D402" s="39" t="s">
        <v>3370</v>
      </c>
      <c r="E402" s="40" t="s">
        <v>3990</v>
      </c>
      <c r="F402" s="40" t="s">
        <v>3991</v>
      </c>
      <c r="G402" s="39" t="s">
        <v>109</v>
      </c>
      <c r="H402" s="40" t="s">
        <v>3391</v>
      </c>
      <c r="I402" s="40" t="s">
        <v>104</v>
      </c>
      <c r="J402" s="50"/>
      <c r="K402" s="129" t="str">
        <f>IFERROR(VLOOKUP(B402,BD_CONTROL!$A$5:$M$4235,11,0),"")</f>
        <v>INSTALADO - OPERANDO</v>
      </c>
      <c r="L402" s="117">
        <f>IFERROR(VLOOKUP(B402,BD_CONTROL!$A$5:$M$4235,12,0),"")</f>
        <v>46127</v>
      </c>
      <c r="M402" s="118" t="str">
        <f>IFERROR(VLOOKUP(B402,BD_CONTROL!$A$5:$M$4235,13,0),"")</f>
        <v>Cargado desde DB instalación 23/04/2026</v>
      </c>
    </row>
    <row r="403" spans="1:13" ht="15" customHeight="1">
      <c r="A403" s="42">
        <v>398</v>
      </c>
      <c r="B403" s="42" t="s">
        <v>3992</v>
      </c>
      <c r="C403" s="43" t="s">
        <v>3993</v>
      </c>
      <c r="D403" s="42" t="s">
        <v>3370</v>
      </c>
      <c r="E403" s="43" t="s">
        <v>3990</v>
      </c>
      <c r="F403" s="43" t="s">
        <v>3994</v>
      </c>
      <c r="G403" s="42" t="s">
        <v>109</v>
      </c>
      <c r="H403" s="43" t="s">
        <v>3391</v>
      </c>
      <c r="I403" s="43" t="s">
        <v>104</v>
      </c>
      <c r="J403" s="55"/>
      <c r="K403" s="129" t="str">
        <f>IFERROR(VLOOKUP(B403,BD_CONTROL!$A$5:$M$4235,11,0),"")</f>
        <v>INSTALADO - OPERANDO</v>
      </c>
      <c r="L403" s="120">
        <f>IFERROR(VLOOKUP(B403,BD_CONTROL!$A$5:$M$4235,12,0),"")</f>
        <v>46129</v>
      </c>
      <c r="M403" s="121" t="str">
        <f>IFERROR(VLOOKUP(B403,BD_CONTROL!$A$5:$M$4235,13,0),"")</f>
        <v>Cargado desde DB instalación 23/04/2026</v>
      </c>
    </row>
    <row r="404" spans="1:13" ht="15" customHeight="1">
      <c r="A404" s="39">
        <v>399</v>
      </c>
      <c r="B404" s="39" t="s">
        <v>3995</v>
      </c>
      <c r="C404" s="40" t="s">
        <v>3996</v>
      </c>
      <c r="D404" s="39" t="s">
        <v>3370</v>
      </c>
      <c r="E404" s="40" t="s">
        <v>3990</v>
      </c>
      <c r="F404" s="40" t="s">
        <v>880</v>
      </c>
      <c r="G404" s="39" t="s">
        <v>109</v>
      </c>
      <c r="H404" s="40" t="s">
        <v>3391</v>
      </c>
      <c r="I404" s="40" t="s">
        <v>104</v>
      </c>
      <c r="J404" s="50"/>
      <c r="K404" s="129" t="str">
        <f>IFERROR(VLOOKUP(B404,BD_CONTROL!$A$5:$M$4235,11,0),"")</f>
        <v>INSTALADO - OPERANDO</v>
      </c>
      <c r="L404" s="117">
        <f>IFERROR(VLOOKUP(B404,BD_CONTROL!$A$5:$M$4235,12,0),"")</f>
        <v>46127</v>
      </c>
      <c r="M404" s="118" t="str">
        <f>IFERROR(VLOOKUP(B404,BD_CONTROL!$A$5:$M$4235,13,0),"")</f>
        <v>Cargado desde DB instalación 23/04/2026</v>
      </c>
    </row>
    <row r="405" spans="1:13" ht="15" customHeight="1">
      <c r="A405" s="42">
        <v>400</v>
      </c>
      <c r="B405" s="42" t="s">
        <v>4015</v>
      </c>
      <c r="C405" s="43" t="s">
        <v>4016</v>
      </c>
      <c r="D405" s="42" t="s">
        <v>3370</v>
      </c>
      <c r="E405" s="43" t="s">
        <v>4017</v>
      </c>
      <c r="F405" s="43" t="s">
        <v>4018</v>
      </c>
      <c r="G405" s="42" t="s">
        <v>109</v>
      </c>
      <c r="H405" s="43" t="s">
        <v>3449</v>
      </c>
      <c r="I405" s="43" t="s">
        <v>104</v>
      </c>
      <c r="J405" s="55"/>
      <c r="K405" s="119" t="str">
        <f>IFERROR(VLOOKUP(B405,BD_CONTROL!$A$5:$M$4235,11,0),"")</f>
        <v>Instalado - Sin Señal</v>
      </c>
      <c r="L405" s="120">
        <f>IFERROR(VLOOKUP(B405,BD_CONTROL!$A$5:$M$4235,12,0),"")</f>
        <v>46140</v>
      </c>
      <c r="M405" s="121">
        <f>IFERROR(VLOOKUP(B405,BD_CONTROL!$A$5:$M$4235,13,0),"")</f>
        <v>0</v>
      </c>
    </row>
    <row r="406" spans="1:13" ht="15" customHeight="1">
      <c r="A406" s="39">
        <v>401</v>
      </c>
      <c r="B406" s="39" t="s">
        <v>4019</v>
      </c>
      <c r="C406" s="40" t="s">
        <v>4020</v>
      </c>
      <c r="D406" s="39" t="s">
        <v>3370</v>
      </c>
      <c r="E406" s="40" t="s">
        <v>3699</v>
      </c>
      <c r="F406" s="40" t="s">
        <v>4021</v>
      </c>
      <c r="G406" s="39" t="s">
        <v>109</v>
      </c>
      <c r="H406" s="40" t="s">
        <v>3391</v>
      </c>
      <c r="I406" s="40" t="s">
        <v>104</v>
      </c>
      <c r="J406" s="50"/>
      <c r="K406" s="116">
        <f>IFERROR(VLOOKUP(B406,BD_CONTROL!$A$5:$M$4235,11,0),"")</f>
        <v>0</v>
      </c>
      <c r="L406" s="117">
        <f>IFERROR(VLOOKUP(B406,BD_CONTROL!$A$5:$M$4235,12,0),"")</f>
        <v>0</v>
      </c>
      <c r="M406" s="118">
        <f>IFERROR(VLOOKUP(B406,BD_CONTROL!$A$5:$M$4235,13,0),"")</f>
        <v>0</v>
      </c>
    </row>
    <row r="407" spans="1:13" ht="15" customHeight="1">
      <c r="A407" s="42">
        <v>402</v>
      </c>
      <c r="B407" s="42" t="s">
        <v>4022</v>
      </c>
      <c r="C407" s="43" t="s">
        <v>4023</v>
      </c>
      <c r="D407" s="42" t="s">
        <v>3370</v>
      </c>
      <c r="E407" s="43" t="s">
        <v>3505</v>
      </c>
      <c r="F407" s="43" t="s">
        <v>4024</v>
      </c>
      <c r="G407" s="42" t="s">
        <v>109</v>
      </c>
      <c r="H407" s="43" t="s">
        <v>3449</v>
      </c>
      <c r="I407" s="43" t="s">
        <v>104</v>
      </c>
      <c r="J407" s="55"/>
      <c r="K407" s="119" t="str">
        <f>IFERROR(VLOOKUP(B407,BD_CONTROL!$A$5:$M$4235,11,0),"")</f>
        <v>Instalado - Operando</v>
      </c>
      <c r="L407" s="120">
        <f>IFERROR(VLOOKUP(B407,BD_CONTROL!$A$5:$M$4235,12,0),"")</f>
        <v>46149</v>
      </c>
      <c r="M407" s="121">
        <f>IFERROR(VLOOKUP(B407,BD_CONTROL!$A$5:$M$4235,13,0),"")</f>
        <v>0</v>
      </c>
    </row>
    <row r="408" spans="1:13" ht="15" customHeight="1">
      <c r="A408" s="39">
        <v>403</v>
      </c>
      <c r="B408" s="39" t="s">
        <v>4025</v>
      </c>
      <c r="C408" s="40" t="s">
        <v>4026</v>
      </c>
      <c r="D408" s="39" t="s">
        <v>3370</v>
      </c>
      <c r="E408" s="40" t="s">
        <v>3505</v>
      </c>
      <c r="F408" s="40" t="s">
        <v>4027</v>
      </c>
      <c r="G408" s="39" t="s">
        <v>109</v>
      </c>
      <c r="H408" s="40" t="s">
        <v>3449</v>
      </c>
      <c r="I408" s="40" t="s">
        <v>104</v>
      </c>
      <c r="J408" s="50"/>
      <c r="K408" s="116" t="str">
        <f>IFERROR(VLOOKUP(B408,BD_CONTROL!$A$5:$M$4235,11,0),"")</f>
        <v>Instalado - Operando</v>
      </c>
      <c r="L408" s="117">
        <f>IFERROR(VLOOKUP(B408,BD_CONTROL!$A$5:$M$4235,12,0),"")</f>
        <v>46142</v>
      </c>
      <c r="M408" s="118">
        <f>IFERROR(VLOOKUP(B408,BD_CONTROL!$A$5:$M$4235,13,0),"")</f>
        <v>0</v>
      </c>
    </row>
    <row r="409" spans="1:13" ht="15" customHeight="1">
      <c r="A409" s="42">
        <v>404</v>
      </c>
      <c r="B409" s="42" t="s">
        <v>4031</v>
      </c>
      <c r="C409" s="43" t="s">
        <v>4032</v>
      </c>
      <c r="D409" s="42" t="s">
        <v>3370</v>
      </c>
      <c r="E409" s="43" t="s">
        <v>4033</v>
      </c>
      <c r="F409" s="43" t="s">
        <v>4034</v>
      </c>
      <c r="G409" s="42" t="s">
        <v>109</v>
      </c>
      <c r="H409" s="43" t="s">
        <v>1532</v>
      </c>
      <c r="I409" s="43" t="s">
        <v>104</v>
      </c>
      <c r="J409" s="55"/>
      <c r="K409" s="119">
        <f>IFERROR(VLOOKUP(B409,BD_CONTROL!$A$5:$M$4235,11,0),"")</f>
        <v>0</v>
      </c>
      <c r="L409" s="120">
        <f>IFERROR(VLOOKUP(B409,BD_CONTROL!$A$5:$M$4235,12,0),"")</f>
        <v>0</v>
      </c>
      <c r="M409" s="121">
        <f>IFERROR(VLOOKUP(B409,BD_CONTROL!$A$5:$M$4235,13,0),"")</f>
        <v>0</v>
      </c>
    </row>
    <row r="410" spans="1:13" ht="15" customHeight="1">
      <c r="A410" s="39">
        <v>405</v>
      </c>
      <c r="B410" s="39" t="s">
        <v>4038</v>
      </c>
      <c r="C410" s="40" t="s">
        <v>4039</v>
      </c>
      <c r="D410" s="39" t="s">
        <v>3370</v>
      </c>
      <c r="E410" s="40" t="s">
        <v>4040</v>
      </c>
      <c r="F410" s="40" t="s">
        <v>4041</v>
      </c>
      <c r="G410" s="39" t="s">
        <v>109</v>
      </c>
      <c r="H410" s="40" t="s">
        <v>3391</v>
      </c>
      <c r="I410" s="40" t="s">
        <v>104</v>
      </c>
      <c r="J410" s="50"/>
      <c r="K410" s="129" t="str">
        <f>IFERROR(VLOOKUP(B410,BD_CONTROL!$A$5:$M$4235,11,0),"")</f>
        <v>INSTALADO - OPERANDO</v>
      </c>
      <c r="L410" s="117">
        <f>IFERROR(VLOOKUP(B410,BD_CONTROL!$A$5:$M$4235,12,0),"")</f>
        <v>46126</v>
      </c>
      <c r="M410" s="118" t="str">
        <f>IFERROR(VLOOKUP(B410,BD_CONTROL!$A$5:$M$4235,13,0),"")</f>
        <v>Cargado desde DB instalación 23/04/2026</v>
      </c>
    </row>
    <row r="411" spans="1:13" ht="15" customHeight="1">
      <c r="A411" s="42">
        <v>406</v>
      </c>
      <c r="B411" s="42" t="s">
        <v>4042</v>
      </c>
      <c r="C411" s="43" t="s">
        <v>4043</v>
      </c>
      <c r="D411" s="42" t="s">
        <v>3370</v>
      </c>
      <c r="E411" s="43" t="s">
        <v>4040</v>
      </c>
      <c r="F411" s="43" t="s">
        <v>4044</v>
      </c>
      <c r="G411" s="42" t="s">
        <v>109</v>
      </c>
      <c r="H411" s="43" t="s">
        <v>3391</v>
      </c>
      <c r="I411" s="43" t="s">
        <v>104</v>
      </c>
      <c r="J411" s="55"/>
      <c r="K411" s="129" t="str">
        <f>IFERROR(VLOOKUP(B411,BD_CONTROL!$A$5:$M$4235,11,0),"")</f>
        <v>INSTALADO - OPERANDO</v>
      </c>
      <c r="L411" s="120">
        <f>IFERROR(VLOOKUP(B411,BD_CONTROL!$A$5:$M$4235,12,0),"")</f>
        <v>46129</v>
      </c>
      <c r="M411" s="121" t="str">
        <f>IFERROR(VLOOKUP(B411,BD_CONTROL!$A$5:$M$4235,13,0),"")</f>
        <v>Cargado desde DB instalación 23/04/2026</v>
      </c>
    </row>
    <row r="412" spans="1:13" ht="15" customHeight="1">
      <c r="A412" s="39">
        <v>407</v>
      </c>
      <c r="B412" s="39" t="s">
        <v>4048</v>
      </c>
      <c r="C412" s="40" t="s">
        <v>4049</v>
      </c>
      <c r="D412" s="39" t="s">
        <v>3370</v>
      </c>
      <c r="E412" s="40" t="s">
        <v>4050</v>
      </c>
      <c r="F412" s="40" t="s">
        <v>4051</v>
      </c>
      <c r="G412" s="39" t="s">
        <v>109</v>
      </c>
      <c r="H412" s="40" t="s">
        <v>3391</v>
      </c>
      <c r="I412" s="40" t="s">
        <v>104</v>
      </c>
      <c r="J412" s="50"/>
      <c r="K412" s="129" t="str">
        <f>IFERROR(VLOOKUP(B412,BD_CONTROL!$A$5:$M$4235,11,0),"")</f>
        <v>INSTALADO - OPERANDO</v>
      </c>
      <c r="L412" s="117">
        <f>IFERROR(VLOOKUP(B412,BD_CONTROL!$A$5:$M$4235,12,0),"")</f>
        <v>46108</v>
      </c>
      <c r="M412" s="118" t="str">
        <f>IFERROR(VLOOKUP(B412,BD_CONTROL!$A$5:$M$4235,13,0),"")</f>
        <v>Cargado desde DB instalación 23/04/2026</v>
      </c>
    </row>
    <row r="413" spans="1:13" ht="15" customHeight="1">
      <c r="A413" s="42">
        <v>408</v>
      </c>
      <c r="B413" s="42" t="s">
        <v>4052</v>
      </c>
      <c r="C413" s="43" t="s">
        <v>4053</v>
      </c>
      <c r="D413" s="42" t="s">
        <v>3370</v>
      </c>
      <c r="E413" s="43" t="s">
        <v>4050</v>
      </c>
      <c r="F413" s="43" t="s">
        <v>4054</v>
      </c>
      <c r="G413" s="42" t="s">
        <v>109</v>
      </c>
      <c r="H413" s="43" t="s">
        <v>3391</v>
      </c>
      <c r="I413" s="43" t="s">
        <v>104</v>
      </c>
      <c r="J413" s="55"/>
      <c r="K413" s="119">
        <f>IFERROR(VLOOKUP(B413,BD_CONTROL!$A$5:$M$4235,11,0),"")</f>
        <v>0</v>
      </c>
      <c r="L413" s="120">
        <f>IFERROR(VLOOKUP(B413,BD_CONTROL!$A$5:$M$4235,12,0),"")</f>
        <v>0</v>
      </c>
      <c r="M413" s="121">
        <f>IFERROR(VLOOKUP(B413,BD_CONTROL!$A$5:$M$4235,13,0),"")</f>
        <v>0</v>
      </c>
    </row>
    <row r="414" spans="1:13" ht="15" customHeight="1">
      <c r="A414" s="39">
        <v>409</v>
      </c>
      <c r="B414" s="39" t="s">
        <v>4055</v>
      </c>
      <c r="C414" s="40" t="s">
        <v>4056</v>
      </c>
      <c r="D414" s="39" t="s">
        <v>3370</v>
      </c>
      <c r="E414" s="40" t="s">
        <v>4057</v>
      </c>
      <c r="F414" s="40" t="s">
        <v>4058</v>
      </c>
      <c r="G414" s="39" t="s">
        <v>109</v>
      </c>
      <c r="H414" s="40" t="s">
        <v>3391</v>
      </c>
      <c r="I414" s="40" t="s">
        <v>104</v>
      </c>
      <c r="J414" s="50"/>
      <c r="K414" s="116">
        <f>IFERROR(VLOOKUP(B414,BD_CONTROL!$A$5:$M$4235,11,0),"")</f>
        <v>0</v>
      </c>
      <c r="L414" s="117">
        <f>IFERROR(VLOOKUP(B414,BD_CONTROL!$A$5:$M$4235,12,0),"")</f>
        <v>0</v>
      </c>
      <c r="M414" s="118">
        <f>IFERROR(VLOOKUP(B414,BD_CONTROL!$A$5:$M$4235,13,0),"")</f>
        <v>0</v>
      </c>
    </row>
    <row r="415" spans="1:13" ht="15" customHeight="1">
      <c r="A415" s="42">
        <v>410</v>
      </c>
      <c r="B415" s="42" t="s">
        <v>4059</v>
      </c>
      <c r="C415" s="43" t="s">
        <v>4060</v>
      </c>
      <c r="D415" s="42" t="s">
        <v>3370</v>
      </c>
      <c r="E415" s="43" t="s">
        <v>4057</v>
      </c>
      <c r="F415" s="43" t="s">
        <v>4061</v>
      </c>
      <c r="G415" s="42" t="s">
        <v>109</v>
      </c>
      <c r="H415" s="43" t="s">
        <v>3391</v>
      </c>
      <c r="I415" s="43" t="s">
        <v>104</v>
      </c>
      <c r="J415" s="55"/>
      <c r="K415" s="119">
        <f>IFERROR(VLOOKUP(B415,BD_CONTROL!$A$5:$M$4235,11,0),"")</f>
        <v>0</v>
      </c>
      <c r="L415" s="120">
        <f>IFERROR(VLOOKUP(B415,BD_CONTROL!$A$5:$M$4235,12,0),"")</f>
        <v>0</v>
      </c>
      <c r="M415" s="121">
        <f>IFERROR(VLOOKUP(B415,BD_CONTROL!$A$5:$M$4235,13,0),"")</f>
        <v>0</v>
      </c>
    </row>
    <row r="416" spans="1:13" ht="15" customHeight="1">
      <c r="A416" s="39">
        <v>411</v>
      </c>
      <c r="B416" s="39" t="s">
        <v>4062</v>
      </c>
      <c r="C416" s="40" t="s">
        <v>4063</v>
      </c>
      <c r="D416" s="39" t="s">
        <v>3370</v>
      </c>
      <c r="E416" s="40" t="s">
        <v>4064</v>
      </c>
      <c r="F416" s="40" t="s">
        <v>4065</v>
      </c>
      <c r="G416" s="39" t="s">
        <v>109</v>
      </c>
      <c r="H416" s="40" t="s">
        <v>3391</v>
      </c>
      <c r="I416" s="40" t="s">
        <v>104</v>
      </c>
      <c r="J416" s="50"/>
      <c r="K416" s="116">
        <f>IFERROR(VLOOKUP(B416,BD_CONTROL!$A$5:$M$4235,11,0),"")</f>
        <v>0</v>
      </c>
      <c r="L416" s="117">
        <f>IFERROR(VLOOKUP(B416,BD_CONTROL!$A$5:$M$4235,12,0),"")</f>
        <v>0</v>
      </c>
      <c r="M416" s="118">
        <f>IFERROR(VLOOKUP(B416,BD_CONTROL!$A$5:$M$4235,13,0),"")</f>
        <v>0</v>
      </c>
    </row>
    <row r="417" spans="1:13" ht="15" customHeight="1">
      <c r="A417" s="42">
        <v>412</v>
      </c>
      <c r="B417" s="42" t="s">
        <v>4066</v>
      </c>
      <c r="C417" s="43" t="s">
        <v>4067</v>
      </c>
      <c r="D417" s="42" t="s">
        <v>3370</v>
      </c>
      <c r="E417" s="43" t="s">
        <v>4064</v>
      </c>
      <c r="F417" s="43" t="s">
        <v>4068</v>
      </c>
      <c r="G417" s="42" t="s">
        <v>109</v>
      </c>
      <c r="H417" s="43" t="s">
        <v>3391</v>
      </c>
      <c r="I417" s="43" t="s">
        <v>104</v>
      </c>
      <c r="J417" s="55"/>
      <c r="K417" s="119">
        <f>IFERROR(VLOOKUP(B417,BD_CONTROL!$A$5:$M$4235,11,0),"")</f>
        <v>0</v>
      </c>
      <c r="L417" s="120">
        <f>IFERROR(VLOOKUP(B417,BD_CONTROL!$A$5:$M$4235,12,0),"")</f>
        <v>0</v>
      </c>
      <c r="M417" s="121">
        <f>IFERROR(VLOOKUP(B417,BD_CONTROL!$A$5:$M$4235,13,0),"")</f>
        <v>0</v>
      </c>
    </row>
    <row r="418" spans="1:13" ht="15" customHeight="1">
      <c r="A418" s="39">
        <v>413</v>
      </c>
      <c r="B418" s="39" t="s">
        <v>4072</v>
      </c>
      <c r="C418" s="40" t="s">
        <v>4073</v>
      </c>
      <c r="D418" s="39" t="s">
        <v>3370</v>
      </c>
      <c r="E418" s="40" t="s">
        <v>4074</v>
      </c>
      <c r="F418" s="40" t="s">
        <v>4075</v>
      </c>
      <c r="G418" s="39" t="s">
        <v>109</v>
      </c>
      <c r="H418" s="40" t="s">
        <v>3391</v>
      </c>
      <c r="I418" s="40" t="s">
        <v>104</v>
      </c>
      <c r="J418" s="50"/>
      <c r="K418" s="116" t="str">
        <f>IFERROR(VLOOKUP(B418,BD_CONTROL!$A$5:$M$4235,11,0),"")</f>
        <v>Instalado - Operando</v>
      </c>
      <c r="L418" s="117">
        <f>IFERROR(VLOOKUP(B418,BD_CONTROL!$A$5:$M$4235,12,0),"")</f>
        <v>46150</v>
      </c>
      <c r="M418" s="118">
        <f>IFERROR(VLOOKUP(B418,BD_CONTROL!$A$5:$M$4235,13,0),"")</f>
        <v>0</v>
      </c>
    </row>
    <row r="419" spans="1:13" ht="15" customHeight="1">
      <c r="A419" s="42">
        <v>414</v>
      </c>
      <c r="B419" s="42" t="s">
        <v>4076</v>
      </c>
      <c r="C419" s="43" t="s">
        <v>4077</v>
      </c>
      <c r="D419" s="42" t="s">
        <v>3370</v>
      </c>
      <c r="E419" s="43" t="s">
        <v>3389</v>
      </c>
      <c r="F419" s="43" t="s">
        <v>2756</v>
      </c>
      <c r="G419" s="42" t="s">
        <v>109</v>
      </c>
      <c r="H419" s="43" t="s">
        <v>3391</v>
      </c>
      <c r="I419" s="43" t="s">
        <v>104</v>
      </c>
      <c r="J419" s="55"/>
      <c r="K419" s="119" t="str">
        <f>IFERROR(VLOOKUP(B419,BD_CONTROL!$A$5:$M$4235,11,0),"")</f>
        <v>Instalado - Operando</v>
      </c>
      <c r="L419" s="120">
        <f>IFERROR(VLOOKUP(B419,BD_CONTROL!$A$5:$M$4235,12,0),"")</f>
        <v>46140</v>
      </c>
      <c r="M419" s="121">
        <f>IFERROR(VLOOKUP(B419,BD_CONTROL!$A$5:$M$4235,13,0),"")</f>
        <v>0</v>
      </c>
    </row>
    <row r="420" spans="1:13" ht="15" customHeight="1">
      <c r="A420" s="39">
        <v>415</v>
      </c>
      <c r="B420" s="39" t="s">
        <v>4082</v>
      </c>
      <c r="C420" s="40" t="s">
        <v>4083</v>
      </c>
      <c r="D420" s="39" t="s">
        <v>3370</v>
      </c>
      <c r="E420" s="40" t="s">
        <v>3664</v>
      </c>
      <c r="F420" s="40" t="s">
        <v>4084</v>
      </c>
      <c r="G420" s="39" t="s">
        <v>109</v>
      </c>
      <c r="H420" s="40" t="s">
        <v>1532</v>
      </c>
      <c r="I420" s="40" t="s">
        <v>104</v>
      </c>
      <c r="J420" s="50"/>
      <c r="K420" s="116">
        <f>IFERROR(VLOOKUP(B420,BD_CONTROL!$A$5:$M$4235,11,0),"")</f>
        <v>0</v>
      </c>
      <c r="L420" s="117">
        <f>IFERROR(VLOOKUP(B420,BD_CONTROL!$A$5:$M$4235,12,0),"")</f>
        <v>0</v>
      </c>
      <c r="M420" s="118">
        <f>IFERROR(VLOOKUP(B420,BD_CONTROL!$A$5:$M$4235,13,0),"")</f>
        <v>0</v>
      </c>
    </row>
    <row r="421" spans="1:13" ht="15" customHeight="1">
      <c r="A421" s="42">
        <v>416</v>
      </c>
      <c r="B421" s="42" t="s">
        <v>4085</v>
      </c>
      <c r="C421" s="43" t="s">
        <v>4086</v>
      </c>
      <c r="D421" s="42" t="s">
        <v>3370</v>
      </c>
      <c r="E421" s="43" t="s">
        <v>3664</v>
      </c>
      <c r="F421" s="43" t="s">
        <v>4087</v>
      </c>
      <c r="G421" s="42" t="s">
        <v>109</v>
      </c>
      <c r="H421" s="43" t="s">
        <v>1532</v>
      </c>
      <c r="I421" s="43" t="s">
        <v>104</v>
      </c>
      <c r="J421" s="55"/>
      <c r="K421" s="119">
        <f>IFERROR(VLOOKUP(B421,BD_CONTROL!$A$5:$M$4235,11,0),"")</f>
        <v>0</v>
      </c>
      <c r="L421" s="120">
        <f>IFERROR(VLOOKUP(B421,BD_CONTROL!$A$5:$M$4235,12,0),"")</f>
        <v>0</v>
      </c>
      <c r="M421" s="121">
        <f>IFERROR(VLOOKUP(B421,BD_CONTROL!$A$5:$M$4235,13,0),"")</f>
        <v>0</v>
      </c>
    </row>
    <row r="422" spans="1:13" ht="15" customHeight="1">
      <c r="A422" s="39">
        <v>417</v>
      </c>
      <c r="B422" s="39" t="s">
        <v>4088</v>
      </c>
      <c r="C422" s="40" t="s">
        <v>4089</v>
      </c>
      <c r="D422" s="39" t="s">
        <v>3370</v>
      </c>
      <c r="E422" s="40" t="s">
        <v>3797</v>
      </c>
      <c r="F422" s="40" t="s">
        <v>4090</v>
      </c>
      <c r="G422" s="39" t="s">
        <v>109</v>
      </c>
      <c r="H422" s="40" t="s">
        <v>1532</v>
      </c>
      <c r="I422" s="40" t="s">
        <v>104</v>
      </c>
      <c r="J422" s="50"/>
      <c r="K422" s="116" t="str">
        <f>IFERROR(VLOOKUP(B422,BD_CONTROL!$A$5:$M$4235,11,0),"")</f>
        <v>Instalado - Operando</v>
      </c>
      <c r="L422" s="117">
        <f>IFERROR(VLOOKUP(B422,BD_CONTROL!$A$5:$M$4235,12,0),"")</f>
        <v>46142</v>
      </c>
      <c r="M422" s="118">
        <f>IFERROR(VLOOKUP(B422,BD_CONTROL!$A$5:$M$4235,13,0),"")</f>
        <v>0</v>
      </c>
    </row>
    <row r="423" spans="1:13" ht="15" customHeight="1">
      <c r="A423" s="42">
        <v>418</v>
      </c>
      <c r="B423" s="42" t="s">
        <v>4091</v>
      </c>
      <c r="C423" s="43" t="s">
        <v>4092</v>
      </c>
      <c r="D423" s="42" t="s">
        <v>3370</v>
      </c>
      <c r="E423" s="43" t="s">
        <v>3832</v>
      </c>
      <c r="F423" s="43" t="s">
        <v>4054</v>
      </c>
      <c r="G423" s="42" t="s">
        <v>109</v>
      </c>
      <c r="H423" s="43" t="s">
        <v>3391</v>
      </c>
      <c r="I423" s="43" t="s">
        <v>104</v>
      </c>
      <c r="J423" s="55"/>
      <c r="K423" s="130" t="str">
        <f>IFERROR(VLOOKUP(B423,BD_CONTROL!$A$5:$M$4235,11,0),"")</f>
        <v>INSTALADO - SIN SEÑAL</v>
      </c>
      <c r="L423" s="120">
        <f>IFERROR(VLOOKUP(B423,BD_CONTROL!$A$5:$M$4235,12,0),"")</f>
        <v>46127</v>
      </c>
      <c r="M423" s="121" t="str">
        <f>IFERROR(VLOOKUP(B423,BD_CONTROL!$A$5:$M$4235,13,0),"")</f>
        <v>Cargado desde DB instalación 23/04/2026</v>
      </c>
    </row>
    <row r="424" spans="1:13" ht="15" customHeight="1">
      <c r="A424" s="39">
        <v>419</v>
      </c>
      <c r="B424" s="39" t="s">
        <v>4093</v>
      </c>
      <c r="C424" s="40" t="s">
        <v>4094</v>
      </c>
      <c r="D424" s="39" t="s">
        <v>3370</v>
      </c>
      <c r="E424" s="40" t="s">
        <v>4095</v>
      </c>
      <c r="F424" s="40" t="s">
        <v>4096</v>
      </c>
      <c r="G424" s="39" t="s">
        <v>109</v>
      </c>
      <c r="H424" s="40" t="s">
        <v>1532</v>
      </c>
      <c r="I424" s="40" t="s">
        <v>104</v>
      </c>
      <c r="J424" s="50"/>
      <c r="K424" s="116" t="str">
        <f>IFERROR(VLOOKUP(B424,BD_CONTROL!$A$5:$M$4235,11,0),"")</f>
        <v>Instalado - Operando</v>
      </c>
      <c r="L424" s="117">
        <f>IFERROR(VLOOKUP(B424,BD_CONTROL!$A$5:$M$4235,12,0),"")</f>
        <v>46143</v>
      </c>
      <c r="M424" s="118">
        <f>IFERROR(VLOOKUP(B424,BD_CONTROL!$A$5:$M$4235,13,0),"")</f>
        <v>0</v>
      </c>
    </row>
    <row r="425" spans="1:13" ht="15" customHeight="1">
      <c r="A425" s="42">
        <v>420</v>
      </c>
      <c r="B425" s="42" t="s">
        <v>4107</v>
      </c>
      <c r="C425" s="43" t="s">
        <v>4108</v>
      </c>
      <c r="D425" s="42" t="s">
        <v>3370</v>
      </c>
      <c r="E425" s="43" t="s">
        <v>3753</v>
      </c>
      <c r="F425" s="43" t="s">
        <v>4109</v>
      </c>
      <c r="G425" s="42" t="s">
        <v>109</v>
      </c>
      <c r="H425" s="43" t="s">
        <v>3391</v>
      </c>
      <c r="I425" s="43" t="s">
        <v>104</v>
      </c>
      <c r="J425" s="55"/>
      <c r="K425" s="119" t="str">
        <f>IFERROR(VLOOKUP(B425,BD_CONTROL!$A$5:$M$4235,11,0),"")</f>
        <v>Instalado - Operando</v>
      </c>
      <c r="L425" s="120">
        <f>IFERROR(VLOOKUP(B425,BD_CONTROL!$A$5:$M$4235,12,0),"")</f>
        <v>46150</v>
      </c>
      <c r="M425" s="121">
        <f>IFERROR(VLOOKUP(B425,BD_CONTROL!$A$5:$M$4235,13,0),"")</f>
        <v>0</v>
      </c>
    </row>
    <row r="426" spans="1:13" ht="15" customHeight="1">
      <c r="A426" s="39">
        <v>421</v>
      </c>
      <c r="B426" s="39" t="s">
        <v>4110</v>
      </c>
      <c r="C426" s="40" t="s">
        <v>4111</v>
      </c>
      <c r="D426" s="39" t="s">
        <v>3370</v>
      </c>
      <c r="E426" s="40" t="s">
        <v>3753</v>
      </c>
      <c r="F426" s="40" t="s">
        <v>4112</v>
      </c>
      <c r="G426" s="39" t="s">
        <v>109</v>
      </c>
      <c r="H426" s="40" t="s">
        <v>3391</v>
      </c>
      <c r="I426" s="40" t="s">
        <v>104</v>
      </c>
      <c r="J426" s="50"/>
      <c r="K426" s="116" t="str">
        <f>IFERROR(VLOOKUP(B426,BD_CONTROL!$A$5:$M$4235,11,0),"")</f>
        <v>Instalado - Operando</v>
      </c>
      <c r="L426" s="117">
        <f>IFERROR(VLOOKUP(B426,BD_CONTROL!$A$5:$M$4235,12,0),"")</f>
        <v>46149</v>
      </c>
      <c r="M426" s="118">
        <f>IFERROR(VLOOKUP(B426,BD_CONTROL!$A$5:$M$4235,13,0),"")</f>
        <v>0</v>
      </c>
    </row>
    <row r="427" spans="1:13" ht="15" customHeight="1">
      <c r="A427" s="42">
        <v>422</v>
      </c>
      <c r="B427" s="42" t="s">
        <v>4126</v>
      </c>
      <c r="C427" s="43" t="s">
        <v>4127</v>
      </c>
      <c r="D427" s="42" t="s">
        <v>3370</v>
      </c>
      <c r="E427" s="43" t="s">
        <v>3921</v>
      </c>
      <c r="F427" s="43" t="s">
        <v>4128</v>
      </c>
      <c r="G427" s="42" t="s">
        <v>109</v>
      </c>
      <c r="H427" s="43" t="s">
        <v>1532</v>
      </c>
      <c r="I427" s="43" t="s">
        <v>104</v>
      </c>
      <c r="J427" s="55"/>
      <c r="K427" s="119" t="str">
        <f>IFERROR(VLOOKUP(B427,BD_CONTROL!$A$5:$M$4235,11,0),"")</f>
        <v>Instalado - Operando</v>
      </c>
      <c r="L427" s="120">
        <f>IFERROR(VLOOKUP(B427,BD_CONTROL!$A$5:$M$4235,12,0),"")</f>
        <v>46142</v>
      </c>
      <c r="M427" s="121">
        <f>IFERROR(VLOOKUP(B427,BD_CONTROL!$A$5:$M$4235,13,0),"")</f>
        <v>0</v>
      </c>
    </row>
    <row r="428" spans="1:13" ht="15" customHeight="1">
      <c r="A428" s="39">
        <v>423</v>
      </c>
      <c r="B428" s="39" t="s">
        <v>4132</v>
      </c>
      <c r="C428" s="40" t="s">
        <v>4133</v>
      </c>
      <c r="D428" s="39" t="s">
        <v>3370</v>
      </c>
      <c r="E428" s="40" t="s">
        <v>4134</v>
      </c>
      <c r="F428" s="40" t="s">
        <v>4135</v>
      </c>
      <c r="G428" s="39" t="s">
        <v>109</v>
      </c>
      <c r="H428" s="40" t="s">
        <v>3391</v>
      </c>
      <c r="I428" s="40" t="s">
        <v>104</v>
      </c>
      <c r="J428" s="50"/>
      <c r="K428" s="116" t="str">
        <f>IFERROR(VLOOKUP(B428,BD_CONTROL!$A$5:$M$4235,11,0),"")</f>
        <v>Instalado - Operando</v>
      </c>
      <c r="L428" s="117">
        <f>IFERROR(VLOOKUP(B428,BD_CONTROL!$A$5:$M$4235,12,0),"")</f>
        <v>46141</v>
      </c>
      <c r="M428" s="118">
        <f>IFERROR(VLOOKUP(B428,BD_CONTROL!$A$5:$M$4235,13,0),"")</f>
        <v>0</v>
      </c>
    </row>
    <row r="429" spans="1:13" ht="15" customHeight="1">
      <c r="A429" s="42">
        <v>424</v>
      </c>
      <c r="B429" s="42" t="s">
        <v>4139</v>
      </c>
      <c r="C429" s="43" t="s">
        <v>4140</v>
      </c>
      <c r="D429" s="42" t="s">
        <v>3370</v>
      </c>
      <c r="E429" s="43" t="s">
        <v>3934</v>
      </c>
      <c r="F429" s="43" t="s">
        <v>4141</v>
      </c>
      <c r="G429" s="42" t="s">
        <v>109</v>
      </c>
      <c r="H429" s="43" t="s">
        <v>3391</v>
      </c>
      <c r="I429" s="43" t="s">
        <v>104</v>
      </c>
      <c r="J429" s="55"/>
      <c r="K429" s="129" t="str">
        <f>IFERROR(VLOOKUP(B429,BD_CONTROL!$A$5:$M$4235,11,0),"")</f>
        <v>INSTALADO - OPERANDO</v>
      </c>
      <c r="L429" s="120">
        <f>IFERROR(VLOOKUP(B429,BD_CONTROL!$A$5:$M$4235,12,0),"")</f>
        <v>46126</v>
      </c>
      <c r="M429" s="121" t="str">
        <f>IFERROR(VLOOKUP(B429,BD_CONTROL!$A$5:$M$4235,13,0),"")</f>
        <v>Cargado desde DB instalación 23/04/2026</v>
      </c>
    </row>
    <row r="430" spans="1:13" ht="15" customHeight="1">
      <c r="A430" s="39">
        <v>425</v>
      </c>
      <c r="B430" s="39" t="s">
        <v>4161</v>
      </c>
      <c r="C430" s="40" t="s">
        <v>4162</v>
      </c>
      <c r="D430" s="39" t="s">
        <v>3370</v>
      </c>
      <c r="E430" s="40" t="s">
        <v>4163</v>
      </c>
      <c r="F430" s="40" t="s">
        <v>4164</v>
      </c>
      <c r="G430" s="39" t="s">
        <v>109</v>
      </c>
      <c r="H430" s="40" t="s">
        <v>3391</v>
      </c>
      <c r="I430" s="40" t="s">
        <v>104</v>
      </c>
      <c r="J430" s="50"/>
      <c r="K430" s="129" t="str">
        <f>IFERROR(VLOOKUP(B430,BD_CONTROL!$A$5:$M$4235,11,0),"")</f>
        <v>INSTALADO - OPERANDO</v>
      </c>
      <c r="L430" s="117">
        <f>IFERROR(VLOOKUP(B430,BD_CONTROL!$A$5:$M$4235,12,0),"")</f>
        <v>46135</v>
      </c>
      <c r="M430" s="118" t="str">
        <f>IFERROR(VLOOKUP(B430,BD_CONTROL!$A$5:$M$4235,13,0),"")</f>
        <v>Cargado desde DB instalación 23/04/2026</v>
      </c>
    </row>
    <row r="431" spans="1:13" ht="15" customHeight="1">
      <c r="A431" s="42">
        <v>426</v>
      </c>
      <c r="B431" s="42" t="s">
        <v>4165</v>
      </c>
      <c r="C431" s="43" t="s">
        <v>4166</v>
      </c>
      <c r="D431" s="42" t="s">
        <v>3370</v>
      </c>
      <c r="E431" s="43" t="s">
        <v>4163</v>
      </c>
      <c r="F431" s="43" t="s">
        <v>4167</v>
      </c>
      <c r="G431" s="42" t="s">
        <v>109</v>
      </c>
      <c r="H431" s="43" t="s">
        <v>3391</v>
      </c>
      <c r="I431" s="43" t="s">
        <v>104</v>
      </c>
      <c r="J431" s="55"/>
      <c r="K431" s="119">
        <f>IFERROR(VLOOKUP(B431,BD_CONTROL!$A$5:$M$4235,11,0),"")</f>
        <v>0</v>
      </c>
      <c r="L431" s="120">
        <f>IFERROR(VLOOKUP(B431,BD_CONTROL!$A$5:$M$4235,12,0),"")</f>
        <v>0</v>
      </c>
      <c r="M431" s="121">
        <f>IFERROR(VLOOKUP(B431,BD_CONTROL!$A$5:$M$4235,13,0),"")</f>
        <v>0</v>
      </c>
    </row>
    <row r="432" spans="1:13" ht="15" customHeight="1">
      <c r="A432" s="39">
        <v>427</v>
      </c>
      <c r="B432" s="39" t="s">
        <v>4173</v>
      </c>
      <c r="C432" s="40" t="s">
        <v>4174</v>
      </c>
      <c r="D432" s="39" t="s">
        <v>3370</v>
      </c>
      <c r="E432" s="40" t="s">
        <v>3718</v>
      </c>
      <c r="F432" s="40" t="s">
        <v>3718</v>
      </c>
      <c r="G432" s="39" t="s">
        <v>109</v>
      </c>
      <c r="H432" s="40" t="s">
        <v>3391</v>
      </c>
      <c r="I432" s="40" t="s">
        <v>104</v>
      </c>
      <c r="J432" s="50"/>
      <c r="K432" s="116" t="str">
        <f>IFERROR(VLOOKUP(B432,BD_CONTROL!$A$5:$M$4235,11,0),"")</f>
        <v>Instalado - Operando</v>
      </c>
      <c r="L432" s="117">
        <f>IFERROR(VLOOKUP(B432,BD_CONTROL!$A$5:$M$4235,12,0),"")</f>
        <v>46153</v>
      </c>
      <c r="M432" s="118">
        <f>IFERROR(VLOOKUP(B432,BD_CONTROL!$A$5:$M$4235,13,0),"")</f>
        <v>0</v>
      </c>
    </row>
    <row r="433" spans="1:13" ht="15" customHeight="1">
      <c r="A433" s="42">
        <v>428</v>
      </c>
      <c r="B433" s="42" t="s">
        <v>4175</v>
      </c>
      <c r="C433" s="43" t="s">
        <v>4176</v>
      </c>
      <c r="D433" s="42" t="s">
        <v>3370</v>
      </c>
      <c r="E433" s="43" t="s">
        <v>3718</v>
      </c>
      <c r="F433" s="43" t="s">
        <v>4177</v>
      </c>
      <c r="G433" s="42" t="s">
        <v>109</v>
      </c>
      <c r="H433" s="43" t="s">
        <v>3391</v>
      </c>
      <c r="I433" s="43" t="s">
        <v>104</v>
      </c>
      <c r="J433" s="55"/>
      <c r="K433" s="119" t="str">
        <f>IFERROR(VLOOKUP(B433,BD_CONTROL!$A$5:$M$4235,11,0),"")</f>
        <v>Instalado - Operando</v>
      </c>
      <c r="L433" s="120">
        <f>IFERROR(VLOOKUP(B433,BD_CONTROL!$A$5:$M$4235,12,0),"")</f>
        <v>46153</v>
      </c>
      <c r="M433" s="121">
        <f>IFERROR(VLOOKUP(B433,BD_CONTROL!$A$5:$M$4235,13,0),"")</f>
        <v>0</v>
      </c>
    </row>
    <row r="434" spans="1:13" ht="15" customHeight="1">
      <c r="A434" s="39">
        <v>429</v>
      </c>
      <c r="B434" s="39" t="s">
        <v>4178</v>
      </c>
      <c r="C434" s="40" t="s">
        <v>4179</v>
      </c>
      <c r="D434" s="39" t="s">
        <v>3370</v>
      </c>
      <c r="E434" s="40" t="s">
        <v>3718</v>
      </c>
      <c r="F434" s="40" t="s">
        <v>3718</v>
      </c>
      <c r="G434" s="39" t="s">
        <v>109</v>
      </c>
      <c r="H434" s="40" t="s">
        <v>3391</v>
      </c>
      <c r="I434" s="40" t="s">
        <v>104</v>
      </c>
      <c r="J434" s="50"/>
      <c r="K434" s="116" t="str">
        <f>IFERROR(VLOOKUP(B434,BD_CONTROL!$A$5:$M$4235,11,0),"")</f>
        <v>Instalado - Operando</v>
      </c>
      <c r="L434" s="117">
        <f>IFERROR(VLOOKUP(B434,BD_CONTROL!$A$5:$M$4235,12,0),"")</f>
        <v>46150</v>
      </c>
      <c r="M434" s="118">
        <f>IFERROR(VLOOKUP(B434,BD_CONTROL!$A$5:$M$4235,13,0),"")</f>
        <v>0</v>
      </c>
    </row>
    <row r="435" spans="1:13" ht="15" customHeight="1">
      <c r="A435" s="42">
        <v>430</v>
      </c>
      <c r="B435" s="42" t="s">
        <v>4180</v>
      </c>
      <c r="C435" s="43" t="s">
        <v>4181</v>
      </c>
      <c r="D435" s="42" t="s">
        <v>3370</v>
      </c>
      <c r="E435" s="43" t="s">
        <v>3990</v>
      </c>
      <c r="F435" s="43" t="s">
        <v>4182</v>
      </c>
      <c r="G435" s="42" t="s">
        <v>102</v>
      </c>
      <c r="H435" s="43" t="s">
        <v>3391</v>
      </c>
      <c r="I435" s="43" t="s">
        <v>104</v>
      </c>
      <c r="J435" s="55"/>
      <c r="K435" s="129" t="str">
        <f>IFERROR(VLOOKUP(B435,BD_CONTROL!$A$5:$M$4235,11,0),"")</f>
        <v>INSTALADO - OPERANDO</v>
      </c>
      <c r="L435" s="120">
        <f>IFERROR(VLOOKUP(B435,BD_CONTROL!$A$5:$M$4235,12,0),"")</f>
        <v>46126</v>
      </c>
      <c r="M435" s="121" t="str">
        <f>IFERROR(VLOOKUP(B435,BD_CONTROL!$A$5:$M$4235,13,0),"")</f>
        <v>Cargado desde DB instalación 23/04/2026</v>
      </c>
    </row>
    <row r="436" spans="1:13" ht="15" customHeight="1">
      <c r="A436" s="39">
        <v>431</v>
      </c>
      <c r="B436" s="39" t="s">
        <v>4183</v>
      </c>
      <c r="C436" s="40" t="s">
        <v>4184</v>
      </c>
      <c r="D436" s="39" t="s">
        <v>3370</v>
      </c>
      <c r="E436" s="40" t="s">
        <v>4185</v>
      </c>
      <c r="F436" s="40" t="s">
        <v>4186</v>
      </c>
      <c r="G436" s="39" t="s">
        <v>109</v>
      </c>
      <c r="H436" s="40" t="s">
        <v>3391</v>
      </c>
      <c r="I436" s="40" t="s">
        <v>104</v>
      </c>
      <c r="J436" s="50"/>
      <c r="K436" s="116">
        <f>IFERROR(VLOOKUP(B436,BD_CONTROL!$A$5:$M$4235,11,0),"")</f>
        <v>0</v>
      </c>
      <c r="L436" s="117">
        <f>IFERROR(VLOOKUP(B436,BD_CONTROL!$A$5:$M$4235,12,0),"")</f>
        <v>0</v>
      </c>
      <c r="M436" s="118">
        <f>IFERROR(VLOOKUP(B436,BD_CONTROL!$A$5:$M$4235,13,0),"")</f>
        <v>0</v>
      </c>
    </row>
    <row r="437" spans="1:13" ht="15" customHeight="1">
      <c r="A437" s="42">
        <v>432</v>
      </c>
      <c r="B437" s="42" t="s">
        <v>4187</v>
      </c>
      <c r="C437" s="43" t="s">
        <v>4188</v>
      </c>
      <c r="D437" s="42" t="s">
        <v>3370</v>
      </c>
      <c r="E437" s="43" t="s">
        <v>4185</v>
      </c>
      <c r="F437" s="43" t="s">
        <v>4189</v>
      </c>
      <c r="G437" s="42" t="s">
        <v>109</v>
      </c>
      <c r="H437" s="43" t="s">
        <v>3391</v>
      </c>
      <c r="I437" s="43" t="s">
        <v>104</v>
      </c>
      <c r="J437" s="55"/>
      <c r="K437" s="119">
        <f>IFERROR(VLOOKUP(B437,BD_CONTROL!$A$5:$M$4235,11,0),"")</f>
        <v>0</v>
      </c>
      <c r="L437" s="120">
        <f>IFERROR(VLOOKUP(B437,BD_CONTROL!$A$5:$M$4235,12,0),"")</f>
        <v>0</v>
      </c>
      <c r="M437" s="121">
        <f>IFERROR(VLOOKUP(B437,BD_CONTROL!$A$5:$M$4235,13,0),"")</f>
        <v>0</v>
      </c>
    </row>
    <row r="438" spans="1:13" ht="15" customHeight="1">
      <c r="A438" s="39">
        <v>433</v>
      </c>
      <c r="B438" s="39" t="s">
        <v>4190</v>
      </c>
      <c r="C438" s="40" t="s">
        <v>4191</v>
      </c>
      <c r="D438" s="39" t="s">
        <v>3370</v>
      </c>
      <c r="E438" s="40" t="s">
        <v>4185</v>
      </c>
      <c r="F438" s="40" t="s">
        <v>4192</v>
      </c>
      <c r="G438" s="39" t="s">
        <v>109</v>
      </c>
      <c r="H438" s="40" t="s">
        <v>3391</v>
      </c>
      <c r="I438" s="40" t="s">
        <v>104</v>
      </c>
      <c r="J438" s="50"/>
      <c r="K438" s="116">
        <f>IFERROR(VLOOKUP(B438,BD_CONTROL!$A$5:$M$4235,11,0),"")</f>
        <v>0</v>
      </c>
      <c r="L438" s="117">
        <f>IFERROR(VLOOKUP(B438,BD_CONTROL!$A$5:$M$4235,12,0),"")</f>
        <v>0</v>
      </c>
      <c r="M438" s="118">
        <f>IFERROR(VLOOKUP(B438,BD_CONTROL!$A$5:$M$4235,13,0),"")</f>
        <v>0</v>
      </c>
    </row>
    <row r="439" spans="1:13" ht="15" customHeight="1">
      <c r="A439" s="42">
        <v>434</v>
      </c>
      <c r="B439" s="42" t="s">
        <v>4193</v>
      </c>
      <c r="C439" s="43" t="s">
        <v>4194</v>
      </c>
      <c r="D439" s="42" t="s">
        <v>3370</v>
      </c>
      <c r="E439" s="43" t="s">
        <v>4195</v>
      </c>
      <c r="F439" s="43" t="s">
        <v>4196</v>
      </c>
      <c r="G439" s="42" t="s">
        <v>109</v>
      </c>
      <c r="H439" s="43" t="s">
        <v>3391</v>
      </c>
      <c r="I439" s="43" t="s">
        <v>104</v>
      </c>
      <c r="J439" s="55"/>
      <c r="K439" s="119">
        <f>IFERROR(VLOOKUP(B439,BD_CONTROL!$A$5:$M$4235,11,0),"")</f>
        <v>0</v>
      </c>
      <c r="L439" s="120">
        <f>IFERROR(VLOOKUP(B439,BD_CONTROL!$A$5:$M$4235,12,0),"")</f>
        <v>0</v>
      </c>
      <c r="M439" s="121">
        <f>IFERROR(VLOOKUP(B439,BD_CONTROL!$A$5:$M$4235,13,0),"")</f>
        <v>0</v>
      </c>
    </row>
    <row r="440" spans="1:13" ht="15" customHeight="1">
      <c r="A440" s="39">
        <v>435</v>
      </c>
      <c r="B440" s="39" t="s">
        <v>4208</v>
      </c>
      <c r="C440" s="40" t="s">
        <v>4209</v>
      </c>
      <c r="D440" s="39" t="s">
        <v>3370</v>
      </c>
      <c r="E440" s="40" t="s">
        <v>4017</v>
      </c>
      <c r="F440" s="40" t="s">
        <v>4210</v>
      </c>
      <c r="G440" s="39" t="s">
        <v>109</v>
      </c>
      <c r="H440" s="40" t="s">
        <v>3449</v>
      </c>
      <c r="I440" s="40" t="s">
        <v>104</v>
      </c>
      <c r="J440" s="50"/>
      <c r="K440" s="116" t="str">
        <f>IFERROR(VLOOKUP(B440,BD_CONTROL!$A$5:$M$4235,11,0),"")</f>
        <v>Instalado - Operando</v>
      </c>
      <c r="L440" s="117">
        <f>IFERROR(VLOOKUP(B440,BD_CONTROL!$A$5:$M$4235,12,0),"")</f>
        <v>46141</v>
      </c>
      <c r="M440" s="118">
        <f>IFERROR(VLOOKUP(B440,BD_CONTROL!$A$5:$M$4235,13,0),"")</f>
        <v>0</v>
      </c>
    </row>
    <row r="441" spans="1:13" ht="15" customHeight="1">
      <c r="A441" s="42">
        <v>436</v>
      </c>
      <c r="B441" s="42" t="s">
        <v>4211</v>
      </c>
      <c r="C441" s="43" t="s">
        <v>4212</v>
      </c>
      <c r="D441" s="42" t="s">
        <v>3370</v>
      </c>
      <c r="E441" s="43" t="s">
        <v>3699</v>
      </c>
      <c r="F441" s="43" t="s">
        <v>3711</v>
      </c>
      <c r="G441" s="42" t="s">
        <v>109</v>
      </c>
      <c r="H441" s="43" t="s">
        <v>3391</v>
      </c>
      <c r="I441" s="43" t="s">
        <v>104</v>
      </c>
      <c r="J441" s="55"/>
      <c r="K441" s="119" t="str">
        <f>IFERROR(VLOOKUP(B441,BD_CONTROL!$A$5:$M$4235,11,0),"")</f>
        <v>Instalado - Operando</v>
      </c>
      <c r="L441" s="120">
        <f>IFERROR(VLOOKUP(B441,BD_CONTROL!$A$5:$M$4235,12,0),"")</f>
        <v>46153</v>
      </c>
      <c r="M441" s="121">
        <f>IFERROR(VLOOKUP(B441,BD_CONTROL!$A$5:$M$4235,13,0),"")</f>
        <v>0</v>
      </c>
    </row>
    <row r="442" spans="1:13" ht="15" customHeight="1">
      <c r="A442" s="39">
        <v>437</v>
      </c>
      <c r="B442" s="39" t="s">
        <v>4213</v>
      </c>
      <c r="C442" s="40" t="s">
        <v>4214</v>
      </c>
      <c r="D442" s="39" t="s">
        <v>3370</v>
      </c>
      <c r="E442" s="40" t="s">
        <v>3699</v>
      </c>
      <c r="F442" s="40" t="s">
        <v>4215</v>
      </c>
      <c r="G442" s="39" t="s">
        <v>109</v>
      </c>
      <c r="H442" s="40" t="s">
        <v>3391</v>
      </c>
      <c r="I442" s="40" t="s">
        <v>104</v>
      </c>
      <c r="J442" s="50"/>
      <c r="K442" s="116" t="str">
        <f>IFERROR(VLOOKUP(B442,BD_CONTROL!$A$5:$M$4235,11,0),"")</f>
        <v>Instalado - Operando</v>
      </c>
      <c r="L442" s="117">
        <f>IFERROR(VLOOKUP(B442,BD_CONTROL!$A$5:$M$4235,12,0),"")</f>
        <v>46148</v>
      </c>
      <c r="M442" s="118">
        <f>IFERROR(VLOOKUP(B442,BD_CONTROL!$A$5:$M$4235,13,0),"")</f>
        <v>0</v>
      </c>
    </row>
    <row r="443" spans="1:13" ht="15" customHeight="1">
      <c r="A443" s="42">
        <v>438</v>
      </c>
      <c r="B443" s="42" t="s">
        <v>4216</v>
      </c>
      <c r="C443" s="43" t="s">
        <v>4217</v>
      </c>
      <c r="D443" s="42" t="s">
        <v>3370</v>
      </c>
      <c r="E443" s="43" t="s">
        <v>3699</v>
      </c>
      <c r="F443" s="43" t="s">
        <v>4218</v>
      </c>
      <c r="G443" s="42" t="s">
        <v>109</v>
      </c>
      <c r="H443" s="43" t="s">
        <v>3391</v>
      </c>
      <c r="I443" s="43" t="s">
        <v>104</v>
      </c>
      <c r="J443" s="55"/>
      <c r="K443" s="119">
        <f>IFERROR(VLOOKUP(B443,BD_CONTROL!$A$5:$M$4235,11,0),"")</f>
        <v>0</v>
      </c>
      <c r="L443" s="120">
        <f>IFERROR(VLOOKUP(B443,BD_CONTROL!$A$5:$M$4235,12,0),"")</f>
        <v>0</v>
      </c>
      <c r="M443" s="121">
        <f>IFERROR(VLOOKUP(B443,BD_CONTROL!$A$5:$M$4235,13,0),"")</f>
        <v>0</v>
      </c>
    </row>
    <row r="444" spans="1:13" ht="15" customHeight="1">
      <c r="A444" s="39">
        <v>439</v>
      </c>
      <c r="B444" s="39" t="s">
        <v>4219</v>
      </c>
      <c r="C444" s="40" t="s">
        <v>4220</v>
      </c>
      <c r="D444" s="39" t="s">
        <v>3370</v>
      </c>
      <c r="E444" s="40" t="s">
        <v>3699</v>
      </c>
      <c r="F444" s="40" t="s">
        <v>3875</v>
      </c>
      <c r="G444" s="39" t="s">
        <v>109</v>
      </c>
      <c r="H444" s="40" t="s">
        <v>3391</v>
      </c>
      <c r="I444" s="40" t="s">
        <v>104</v>
      </c>
      <c r="J444" s="50"/>
      <c r="K444" s="116" t="str">
        <f>IFERROR(VLOOKUP(B444,BD_CONTROL!$A$5:$M$4235,11,0),"")</f>
        <v>Instalado - Operando</v>
      </c>
      <c r="L444" s="117">
        <f>IFERROR(VLOOKUP(B444,BD_CONTROL!$A$5:$M$4235,12,0),"")</f>
        <v>46149</v>
      </c>
      <c r="M444" s="118">
        <f>IFERROR(VLOOKUP(B444,BD_CONTROL!$A$5:$M$4235,13,0),"")</f>
        <v>0</v>
      </c>
    </row>
    <row r="445" spans="1:13" ht="15" customHeight="1">
      <c r="A445" s="42">
        <v>440</v>
      </c>
      <c r="B445" s="42" t="s">
        <v>4224</v>
      </c>
      <c r="C445" s="43" t="s">
        <v>4225</v>
      </c>
      <c r="D445" s="42" t="s">
        <v>3370</v>
      </c>
      <c r="E445" s="43" t="s">
        <v>4040</v>
      </c>
      <c r="F445" s="43" t="s">
        <v>4199</v>
      </c>
      <c r="G445" s="42" t="s">
        <v>109</v>
      </c>
      <c r="H445" s="43" t="s">
        <v>3391</v>
      </c>
      <c r="I445" s="43" t="s">
        <v>104</v>
      </c>
      <c r="J445" s="55"/>
      <c r="K445" s="129" t="str">
        <f>IFERROR(VLOOKUP(B445,BD_CONTROL!$A$5:$M$4235,11,0),"")</f>
        <v>INSTALADO - OPERANDO</v>
      </c>
      <c r="L445" s="120">
        <f>IFERROR(VLOOKUP(B445,BD_CONTROL!$A$5:$M$4235,12,0),"")</f>
        <v>46126</v>
      </c>
      <c r="M445" s="121" t="str">
        <f>IFERROR(VLOOKUP(B445,BD_CONTROL!$A$5:$M$4235,13,0),"")</f>
        <v>Cargado desde DB instalación 23/04/2026</v>
      </c>
    </row>
    <row r="446" spans="1:13" ht="15" customHeight="1">
      <c r="A446" s="39">
        <v>441</v>
      </c>
      <c r="B446" s="39" t="s">
        <v>4226</v>
      </c>
      <c r="C446" s="40" t="s">
        <v>4227</v>
      </c>
      <c r="D446" s="39" t="s">
        <v>3370</v>
      </c>
      <c r="E446" s="40" t="s">
        <v>3416</v>
      </c>
      <c r="F446" s="40" t="s">
        <v>3438</v>
      </c>
      <c r="G446" s="39" t="s">
        <v>109</v>
      </c>
      <c r="H446" s="40" t="s">
        <v>3391</v>
      </c>
      <c r="I446" s="40" t="s">
        <v>104</v>
      </c>
      <c r="J446" s="50"/>
      <c r="K446" s="116" t="str">
        <f>IFERROR(VLOOKUP(B446,BD_CONTROL!$A$5:$M$4235,11,0),"")</f>
        <v>Instalado - Operando</v>
      </c>
      <c r="L446" s="117">
        <f>IFERROR(VLOOKUP(B446,BD_CONTROL!$A$5:$M$4235,12,0),"")</f>
        <v>46140</v>
      </c>
      <c r="M446" s="118">
        <f>IFERROR(VLOOKUP(B446,BD_CONTROL!$A$5:$M$4235,13,0),"")</f>
        <v>0</v>
      </c>
    </row>
    <row r="447" spans="1:13" ht="15" customHeight="1">
      <c r="A447" s="42">
        <v>442</v>
      </c>
      <c r="B447" s="42" t="s">
        <v>4236</v>
      </c>
      <c r="C447" s="43" t="s">
        <v>4237</v>
      </c>
      <c r="D447" s="42" t="s">
        <v>3370</v>
      </c>
      <c r="E447" s="43" t="s">
        <v>4238</v>
      </c>
      <c r="F447" s="43" t="s">
        <v>4239</v>
      </c>
      <c r="G447" s="42" t="s">
        <v>109</v>
      </c>
      <c r="H447" s="43" t="s">
        <v>3391</v>
      </c>
      <c r="I447" s="43" t="s">
        <v>104</v>
      </c>
      <c r="J447" s="55"/>
      <c r="K447" s="119">
        <f>IFERROR(VLOOKUP(B447,BD_CONTROL!$A$5:$M$4235,11,0),"")</f>
        <v>0</v>
      </c>
      <c r="L447" s="120">
        <f>IFERROR(VLOOKUP(B447,BD_CONTROL!$A$5:$M$4235,12,0),"")</f>
        <v>0</v>
      </c>
      <c r="M447" s="121">
        <f>IFERROR(VLOOKUP(B447,BD_CONTROL!$A$5:$M$4235,13,0),"")</f>
        <v>0</v>
      </c>
    </row>
    <row r="448" spans="1:13" ht="15" customHeight="1">
      <c r="A448" s="39">
        <v>443</v>
      </c>
      <c r="B448" s="39" t="s">
        <v>4240</v>
      </c>
      <c r="C448" s="40" t="s">
        <v>4241</v>
      </c>
      <c r="D448" s="39" t="s">
        <v>3370</v>
      </c>
      <c r="E448" s="40" t="s">
        <v>4064</v>
      </c>
      <c r="F448" s="40" t="s">
        <v>421</v>
      </c>
      <c r="G448" s="39" t="s">
        <v>109</v>
      </c>
      <c r="H448" s="40" t="s">
        <v>3391</v>
      </c>
      <c r="I448" s="40" t="s">
        <v>104</v>
      </c>
      <c r="J448" s="50"/>
      <c r="K448" s="116">
        <f>IFERROR(VLOOKUP(B448,BD_CONTROL!$A$5:$M$4235,11,0),"")</f>
        <v>0</v>
      </c>
      <c r="L448" s="117">
        <f>IFERROR(VLOOKUP(B448,BD_CONTROL!$A$5:$M$4235,12,0),"")</f>
        <v>0</v>
      </c>
      <c r="M448" s="118">
        <f>IFERROR(VLOOKUP(B448,BD_CONTROL!$A$5:$M$4235,13,0),"")</f>
        <v>0</v>
      </c>
    </row>
    <row r="449" spans="1:13" ht="15" customHeight="1">
      <c r="A449" s="42">
        <v>444</v>
      </c>
      <c r="B449" s="42" t="s">
        <v>4242</v>
      </c>
      <c r="C449" s="43" t="s">
        <v>4243</v>
      </c>
      <c r="D449" s="42" t="s">
        <v>3370</v>
      </c>
      <c r="E449" s="43" t="s">
        <v>4064</v>
      </c>
      <c r="F449" s="43" t="s">
        <v>4244</v>
      </c>
      <c r="G449" s="42" t="s">
        <v>109</v>
      </c>
      <c r="H449" s="43" t="s">
        <v>3391</v>
      </c>
      <c r="I449" s="43" t="s">
        <v>104</v>
      </c>
      <c r="J449" s="55"/>
      <c r="K449" s="119" t="str">
        <f>IFERROR(VLOOKUP(B449,BD_CONTROL!$A$5:$M$4235,11,0),"")</f>
        <v>Instalado - Operando</v>
      </c>
      <c r="L449" s="120">
        <f>IFERROR(VLOOKUP(B449,BD_CONTROL!$A$5:$M$4235,12,0),"")</f>
        <v>46150</v>
      </c>
      <c r="M449" s="121">
        <f>IFERROR(VLOOKUP(B449,BD_CONTROL!$A$5:$M$4235,13,0),"")</f>
        <v>0</v>
      </c>
    </row>
    <row r="450" spans="1:13" ht="15" customHeight="1">
      <c r="A450" s="39">
        <v>445</v>
      </c>
      <c r="B450" s="39" t="s">
        <v>4248</v>
      </c>
      <c r="C450" s="40" t="s">
        <v>4249</v>
      </c>
      <c r="D450" s="39" t="s">
        <v>3370</v>
      </c>
      <c r="E450" s="40" t="s">
        <v>3490</v>
      </c>
      <c r="F450" s="40" t="s">
        <v>3490</v>
      </c>
      <c r="G450" s="39" t="s">
        <v>109</v>
      </c>
      <c r="H450" s="40" t="s">
        <v>3391</v>
      </c>
      <c r="I450" s="40" t="s">
        <v>104</v>
      </c>
      <c r="J450" s="50"/>
      <c r="K450" s="129" t="str">
        <f>IFERROR(VLOOKUP(B450,BD_CONTROL!$A$5:$M$4235,11,0),"")</f>
        <v>INSTALADO - OPERANDO</v>
      </c>
      <c r="L450" s="117">
        <f>IFERROR(VLOOKUP(B450,BD_CONTROL!$A$5:$M$4235,12,0),"")</f>
        <v>46126</v>
      </c>
      <c r="M450" s="118" t="str">
        <f>IFERROR(VLOOKUP(B450,BD_CONTROL!$A$5:$M$4235,13,0),"")</f>
        <v>Cargado desde DB instalación 23/04/2026</v>
      </c>
    </row>
    <row r="451" spans="1:13" ht="15" customHeight="1">
      <c r="A451" s="42">
        <v>446</v>
      </c>
      <c r="B451" s="42" t="s">
        <v>4250</v>
      </c>
      <c r="C451" s="43" t="s">
        <v>4251</v>
      </c>
      <c r="D451" s="42" t="s">
        <v>3370</v>
      </c>
      <c r="E451" s="43" t="s">
        <v>3389</v>
      </c>
      <c r="F451" s="43" t="s">
        <v>1295</v>
      </c>
      <c r="G451" s="42" t="s">
        <v>109</v>
      </c>
      <c r="H451" s="43" t="s">
        <v>3391</v>
      </c>
      <c r="I451" s="43" t="s">
        <v>104</v>
      </c>
      <c r="J451" s="55"/>
      <c r="K451" s="129" t="str">
        <f>IFERROR(VLOOKUP(B451,BD_CONTROL!$A$5:$M$4235,11,0),"")</f>
        <v>INSTALADO - OPERANDO</v>
      </c>
      <c r="L451" s="120">
        <f>IFERROR(VLOOKUP(B451,BD_CONTROL!$A$5:$M$4235,12,0),"")</f>
        <v>46108</v>
      </c>
      <c r="M451" s="121" t="str">
        <f>IFERROR(VLOOKUP(B451,BD_CONTROL!$A$5:$M$4235,13,0),"")</f>
        <v>Cargado desde DB instalación 23/04/2026</v>
      </c>
    </row>
    <row r="452" spans="1:13" ht="15" customHeight="1">
      <c r="A452" s="39">
        <v>447</v>
      </c>
      <c r="B452" s="39" t="s">
        <v>4257</v>
      </c>
      <c r="C452" s="40" t="s">
        <v>4258</v>
      </c>
      <c r="D452" s="39" t="s">
        <v>3370</v>
      </c>
      <c r="E452" s="40" t="s">
        <v>3451</v>
      </c>
      <c r="F452" s="40" t="s">
        <v>4259</v>
      </c>
      <c r="G452" s="39" t="s">
        <v>109</v>
      </c>
      <c r="H452" s="40" t="s">
        <v>3391</v>
      </c>
      <c r="I452" s="40" t="s">
        <v>104</v>
      </c>
      <c r="J452" s="50"/>
      <c r="K452" s="129" t="str">
        <f>IFERROR(VLOOKUP(B452,BD_CONTROL!$A$5:$M$4235,11,0),"")</f>
        <v>INSTALADO - OPERANDO</v>
      </c>
      <c r="L452" s="117">
        <f>IFERROR(VLOOKUP(B452,BD_CONTROL!$A$5:$M$4235,12,0),"")</f>
        <v>46100</v>
      </c>
      <c r="M452" s="118" t="str">
        <f>IFERROR(VLOOKUP(B452,BD_CONTROL!$A$5:$M$4235,13,0),"")</f>
        <v>Cargado desde DB instalación 23/04/2026</v>
      </c>
    </row>
    <row r="453" spans="1:13" ht="15" customHeight="1">
      <c r="A453" s="42">
        <v>448</v>
      </c>
      <c r="B453" s="42" t="s">
        <v>4262</v>
      </c>
      <c r="C453" s="43" t="s">
        <v>4263</v>
      </c>
      <c r="D453" s="42" t="s">
        <v>3370</v>
      </c>
      <c r="E453" s="43" t="s">
        <v>4134</v>
      </c>
      <c r="F453" s="43" t="s">
        <v>4134</v>
      </c>
      <c r="G453" s="42" t="s">
        <v>109</v>
      </c>
      <c r="H453" s="43" t="s">
        <v>3391</v>
      </c>
      <c r="I453" s="43" t="s">
        <v>104</v>
      </c>
      <c r="J453" s="55"/>
      <c r="K453" s="119" t="str">
        <f>IFERROR(VLOOKUP(B453,BD_CONTROL!$A$5:$M$4235,11,0),"")</f>
        <v>Instalado - Sin Señal</v>
      </c>
      <c r="L453" s="120">
        <f>IFERROR(VLOOKUP(B453,BD_CONTROL!$A$5:$M$4235,12,0),"")</f>
        <v>46141</v>
      </c>
      <c r="M453" s="121" t="str">
        <f>IFERROR(VLOOKUP(B453,BD_CONTROL!$A$5:$M$4235,13,0),"")</f>
        <v>Instalado, no operando, con reporte a mesa de ayuda</v>
      </c>
    </row>
    <row r="454" spans="1:13" ht="15" customHeight="1">
      <c r="A454" s="39">
        <v>449</v>
      </c>
      <c r="B454" s="39" t="s">
        <v>4273</v>
      </c>
      <c r="C454" s="40" t="s">
        <v>4274</v>
      </c>
      <c r="D454" s="39" t="s">
        <v>3370</v>
      </c>
      <c r="E454" s="40" t="s">
        <v>4050</v>
      </c>
      <c r="F454" s="40" t="s">
        <v>4275</v>
      </c>
      <c r="G454" s="39" t="s">
        <v>109</v>
      </c>
      <c r="H454" s="40" t="s">
        <v>3391</v>
      </c>
      <c r="I454" s="40" t="s">
        <v>104</v>
      </c>
      <c r="J454" s="50"/>
      <c r="K454" s="130" t="str">
        <f>IFERROR(VLOOKUP(B454,BD_CONTROL!$A$5:$M$4235,11,0),"")</f>
        <v>INSTALADO - SIN SEÑAL</v>
      </c>
      <c r="L454" s="117">
        <f>IFERROR(VLOOKUP(B454,BD_CONTROL!$A$5:$M$4235,12,0),"")</f>
        <v>46133</v>
      </c>
      <c r="M454" s="118" t="str">
        <f>IFERROR(VLOOKUP(B454,BD_CONTROL!$A$5:$M$4235,13,0),"")</f>
        <v>Cargado desde DB instalación 23/04/2026</v>
      </c>
    </row>
    <row r="455" spans="1:13" ht="15" customHeight="1">
      <c r="A455" s="42">
        <v>450</v>
      </c>
      <c r="B455" s="42" t="s">
        <v>4296</v>
      </c>
      <c r="C455" s="43" t="s">
        <v>4297</v>
      </c>
      <c r="D455" s="42" t="s">
        <v>3370</v>
      </c>
      <c r="E455" s="43" t="s">
        <v>1338</v>
      </c>
      <c r="F455" s="43" t="s">
        <v>4298</v>
      </c>
      <c r="G455" s="42" t="s">
        <v>109</v>
      </c>
      <c r="H455" s="43" t="s">
        <v>3391</v>
      </c>
      <c r="I455" s="43" t="s">
        <v>104</v>
      </c>
      <c r="J455" s="55"/>
      <c r="K455" s="119" t="str">
        <f>IFERROR(VLOOKUP(B455,BD_CONTROL!$A$5:$M$4235,11,0),"")</f>
        <v>Instalado - Operando</v>
      </c>
      <c r="L455" s="120">
        <f>IFERROR(VLOOKUP(B455,BD_CONTROL!$A$5:$M$4235,12,0),"")</f>
        <v>46153</v>
      </c>
      <c r="M455" s="121">
        <f>IFERROR(VLOOKUP(B455,BD_CONTROL!$A$5:$M$4235,13,0),"")</f>
        <v>0</v>
      </c>
    </row>
    <row r="456" spans="1:13" ht="15" customHeight="1">
      <c r="A456" s="39">
        <v>451</v>
      </c>
      <c r="B456" s="39" t="s">
        <v>4299</v>
      </c>
      <c r="C456" s="40" t="s">
        <v>4300</v>
      </c>
      <c r="D456" s="39" t="s">
        <v>3370</v>
      </c>
      <c r="E456" s="40" t="s">
        <v>3735</v>
      </c>
      <c r="F456" s="40" t="s">
        <v>3801</v>
      </c>
      <c r="G456" s="39" t="s">
        <v>109</v>
      </c>
      <c r="H456" s="40" t="s">
        <v>3391</v>
      </c>
      <c r="I456" s="40" t="s">
        <v>104</v>
      </c>
      <c r="J456" s="50"/>
      <c r="K456" s="116" t="str">
        <f>IFERROR(VLOOKUP(B456,BD_CONTROL!$A$5:$M$4235,11,0),"")</f>
        <v>Instalado - Operando</v>
      </c>
      <c r="L456" s="117">
        <f>IFERROR(VLOOKUP(B456,BD_CONTROL!$A$5:$M$4235,12,0),"")</f>
        <v>46149</v>
      </c>
      <c r="M456" s="118">
        <f>IFERROR(VLOOKUP(B456,BD_CONTROL!$A$5:$M$4235,13,0),"")</f>
        <v>0</v>
      </c>
    </row>
    <row r="457" spans="1:13" ht="15" customHeight="1">
      <c r="A457" s="42">
        <v>452</v>
      </c>
      <c r="B457" s="42" t="s">
        <v>4301</v>
      </c>
      <c r="C457" s="43" t="s">
        <v>4302</v>
      </c>
      <c r="D457" s="42" t="s">
        <v>3370</v>
      </c>
      <c r="E457" s="43" t="s">
        <v>3699</v>
      </c>
      <c r="F457" s="43" t="s">
        <v>4215</v>
      </c>
      <c r="G457" s="42" t="s">
        <v>109</v>
      </c>
      <c r="H457" s="43" t="s">
        <v>3391</v>
      </c>
      <c r="I457" s="43" t="s">
        <v>104</v>
      </c>
      <c r="J457" s="55"/>
      <c r="K457" s="119" t="str">
        <f>IFERROR(VLOOKUP(B457,BD_CONTROL!$A$5:$M$4235,11,0),"")</f>
        <v>Instalado - Operando</v>
      </c>
      <c r="L457" s="120">
        <f>IFERROR(VLOOKUP(B457,BD_CONTROL!$A$5:$M$4235,12,0),"")</f>
        <v>46148</v>
      </c>
      <c r="M457" s="121">
        <f>IFERROR(VLOOKUP(B457,BD_CONTROL!$A$5:$M$4235,13,0),"")</f>
        <v>0</v>
      </c>
    </row>
    <row r="458" spans="1:13" ht="15" customHeight="1">
      <c r="A458" s="39">
        <v>453</v>
      </c>
      <c r="B458" s="39" t="s">
        <v>4318</v>
      </c>
      <c r="C458" s="40" t="s">
        <v>4319</v>
      </c>
      <c r="D458" s="39" t="s">
        <v>3370</v>
      </c>
      <c r="E458" s="40" t="s">
        <v>4017</v>
      </c>
      <c r="F458" s="40" t="s">
        <v>4018</v>
      </c>
      <c r="G458" s="39" t="s">
        <v>109</v>
      </c>
      <c r="H458" s="40" t="s">
        <v>3449</v>
      </c>
      <c r="I458" s="40" t="s">
        <v>104</v>
      </c>
      <c r="J458" s="50"/>
      <c r="K458" s="116" t="str">
        <f>IFERROR(VLOOKUP(B458,BD_CONTROL!$A$5:$M$4235,11,0),"")</f>
        <v>Instalado - Sin Señal</v>
      </c>
      <c r="L458" s="117">
        <f>IFERROR(VLOOKUP(B458,BD_CONTROL!$A$5:$M$4235,12,0),"")</f>
        <v>46140</v>
      </c>
      <c r="M458" s="118">
        <f>IFERROR(VLOOKUP(B458,BD_CONTROL!$A$5:$M$4235,13,0),"")</f>
        <v>0</v>
      </c>
    </row>
    <row r="459" spans="1:13" ht="15" customHeight="1">
      <c r="A459" s="42">
        <v>454</v>
      </c>
      <c r="B459" s="42" t="s">
        <v>4320</v>
      </c>
      <c r="C459" s="43" t="s">
        <v>4321</v>
      </c>
      <c r="D459" s="42" t="s">
        <v>3370</v>
      </c>
      <c r="E459" s="43" t="s">
        <v>3505</v>
      </c>
      <c r="F459" s="43" t="s">
        <v>4027</v>
      </c>
      <c r="G459" s="42" t="s">
        <v>109</v>
      </c>
      <c r="H459" s="43" t="s">
        <v>3449</v>
      </c>
      <c r="I459" s="43" t="s">
        <v>104</v>
      </c>
      <c r="J459" s="55"/>
      <c r="K459" s="119" t="str">
        <f>IFERROR(VLOOKUP(B459,BD_CONTROL!$A$5:$M$4235,11,0),"")</f>
        <v>Instalado - Operando</v>
      </c>
      <c r="L459" s="120">
        <f>IFERROR(VLOOKUP(B459,BD_CONTROL!$A$5:$M$4235,12,0),"")</f>
        <v>46143</v>
      </c>
      <c r="M459" s="121">
        <f>IFERROR(VLOOKUP(B459,BD_CONTROL!$A$5:$M$4235,13,0),"")</f>
        <v>0</v>
      </c>
    </row>
    <row r="460" spans="1:13" ht="15" customHeight="1">
      <c r="A460" s="39">
        <v>455</v>
      </c>
      <c r="B460" s="39" t="s">
        <v>4322</v>
      </c>
      <c r="C460" s="40" t="s">
        <v>4323</v>
      </c>
      <c r="D460" s="39" t="s">
        <v>3370</v>
      </c>
      <c r="E460" s="40" t="s">
        <v>3451</v>
      </c>
      <c r="F460" s="40" t="s">
        <v>3810</v>
      </c>
      <c r="G460" s="39" t="s">
        <v>109</v>
      </c>
      <c r="H460" s="40" t="s">
        <v>3391</v>
      </c>
      <c r="I460" s="40" t="s">
        <v>104</v>
      </c>
      <c r="J460" s="50"/>
      <c r="K460" s="129" t="str">
        <f>IFERROR(VLOOKUP(B460,BD_CONTROL!$A$5:$M$4235,11,0),"")</f>
        <v>INSTALADO - OPERANDO</v>
      </c>
      <c r="L460" s="117">
        <f>IFERROR(VLOOKUP(B460,BD_CONTROL!$A$5:$M$4235,12,0),"")</f>
        <v>46100</v>
      </c>
      <c r="M460" s="118" t="str">
        <f>IFERROR(VLOOKUP(B460,BD_CONTROL!$A$5:$M$4235,13,0),"")</f>
        <v>Cargado desde DB instalación 23/04/2026</v>
      </c>
    </row>
    <row r="461" spans="1:13" ht="15" customHeight="1">
      <c r="A461" s="42">
        <v>456</v>
      </c>
      <c r="B461" s="42" t="s">
        <v>4324</v>
      </c>
      <c r="C461" s="43" t="s">
        <v>4325</v>
      </c>
      <c r="D461" s="42" t="s">
        <v>3370</v>
      </c>
      <c r="E461" s="43" t="s">
        <v>3389</v>
      </c>
      <c r="F461" s="43" t="s">
        <v>3655</v>
      </c>
      <c r="G461" s="42" t="s">
        <v>109</v>
      </c>
      <c r="H461" s="43" t="s">
        <v>3391</v>
      </c>
      <c r="I461" s="43" t="s">
        <v>104</v>
      </c>
      <c r="J461" s="55"/>
      <c r="K461" s="129" t="str">
        <f>IFERROR(VLOOKUP(B461,BD_CONTROL!$A$5:$M$4235,11,0),"")</f>
        <v>INSTALADO - OPERANDO</v>
      </c>
      <c r="L461" s="120">
        <f>IFERROR(VLOOKUP(B461,BD_CONTROL!$A$5:$M$4235,12,0),"")</f>
        <v>46125</v>
      </c>
      <c r="M461" s="121" t="str">
        <f>IFERROR(VLOOKUP(B461,BD_CONTROL!$A$5:$M$4235,13,0),"")</f>
        <v>Cargado desde DB instalación 23/04/2026</v>
      </c>
    </row>
    <row r="462" spans="1:13" ht="15" customHeight="1">
      <c r="A462" s="39">
        <v>457</v>
      </c>
      <c r="B462" s="39" t="s">
        <v>4331</v>
      </c>
      <c r="C462" s="40" t="s">
        <v>4332</v>
      </c>
      <c r="D462" s="39" t="s">
        <v>3370</v>
      </c>
      <c r="E462" s="40" t="s">
        <v>4099</v>
      </c>
      <c r="F462" s="40" t="s">
        <v>4100</v>
      </c>
      <c r="G462" s="39" t="s">
        <v>109</v>
      </c>
      <c r="H462" s="40" t="s">
        <v>3449</v>
      </c>
      <c r="I462" s="40" t="s">
        <v>104</v>
      </c>
      <c r="J462" s="50"/>
      <c r="K462" s="116" t="str">
        <f>IFERROR(VLOOKUP(B462,BD_CONTROL!$A$5:$M$4235,11,0),"")</f>
        <v>Instalado - Operando</v>
      </c>
      <c r="L462" s="117">
        <f>IFERROR(VLOOKUP(B462,BD_CONTROL!$A$5:$M$4235,12,0),"")</f>
        <v>46148</v>
      </c>
      <c r="M462" s="118">
        <f>IFERROR(VLOOKUP(B462,BD_CONTROL!$A$5:$M$4235,13,0),"")</f>
        <v>0</v>
      </c>
    </row>
    <row r="463" spans="1:13" ht="15" customHeight="1">
      <c r="A463" s="42">
        <v>458</v>
      </c>
      <c r="B463" s="42" t="s">
        <v>4338</v>
      </c>
      <c r="C463" s="43" t="s">
        <v>4339</v>
      </c>
      <c r="D463" s="42" t="s">
        <v>3370</v>
      </c>
      <c r="E463" s="43" t="s">
        <v>4017</v>
      </c>
      <c r="F463" s="43" t="s">
        <v>4210</v>
      </c>
      <c r="G463" s="42" t="s">
        <v>109</v>
      </c>
      <c r="H463" s="43" t="s">
        <v>3449</v>
      </c>
      <c r="I463" s="43" t="s">
        <v>104</v>
      </c>
      <c r="J463" s="55"/>
      <c r="K463" s="119" t="str">
        <f>IFERROR(VLOOKUP(B463,BD_CONTROL!$A$5:$M$4235,11,0),"")</f>
        <v>Instalado - Operando</v>
      </c>
      <c r="L463" s="120">
        <f>IFERROR(VLOOKUP(B463,BD_CONTROL!$A$5:$M$4235,12,0),"")</f>
        <v>46141</v>
      </c>
      <c r="M463" s="121">
        <f>IFERROR(VLOOKUP(B463,BD_CONTROL!$A$5:$M$4235,13,0),"")</f>
        <v>0</v>
      </c>
    </row>
    <row r="464" spans="1:13" ht="15" customHeight="1">
      <c r="A464" s="39">
        <v>459</v>
      </c>
      <c r="B464" s="39" t="s">
        <v>4345</v>
      </c>
      <c r="C464" s="40" t="s">
        <v>4346</v>
      </c>
      <c r="D464" s="39" t="s">
        <v>3370</v>
      </c>
      <c r="E464" s="40" t="s">
        <v>3447</v>
      </c>
      <c r="F464" s="40" t="s">
        <v>3794</v>
      </c>
      <c r="G464" s="39" t="s">
        <v>109</v>
      </c>
      <c r="H464" s="40" t="s">
        <v>3449</v>
      </c>
      <c r="I464" s="40" t="s">
        <v>104</v>
      </c>
      <c r="J464" s="50"/>
      <c r="K464" s="116" t="str">
        <f>IFERROR(VLOOKUP(B464,BD_CONTROL!$A$5:$M$4235,11,0),"")</f>
        <v>Instalado - Operando</v>
      </c>
      <c r="L464" s="117">
        <f>IFERROR(VLOOKUP(B464,BD_CONTROL!$A$5:$M$4235,12,0),"")</f>
        <v>46141</v>
      </c>
      <c r="M464" s="118">
        <f>IFERROR(VLOOKUP(B464,BD_CONTROL!$A$5:$M$4235,13,0),"")</f>
        <v>0</v>
      </c>
    </row>
    <row r="465" spans="1:13" ht="15" customHeight="1">
      <c r="A465" s="42">
        <v>460</v>
      </c>
      <c r="B465" s="42" t="s">
        <v>4349</v>
      </c>
      <c r="C465" s="43" t="s">
        <v>1323</v>
      </c>
      <c r="D465" s="42" t="s">
        <v>3370</v>
      </c>
      <c r="E465" s="43" t="s">
        <v>3664</v>
      </c>
      <c r="F465" s="43" t="s">
        <v>1232</v>
      </c>
      <c r="G465" s="42" t="s">
        <v>109</v>
      </c>
      <c r="H465" s="43" t="s">
        <v>1532</v>
      </c>
      <c r="I465" s="43" t="s">
        <v>104</v>
      </c>
      <c r="J465" s="55"/>
      <c r="K465" s="119" t="str">
        <f>IFERROR(VLOOKUP(B465,BD_CONTROL!$A$5:$M$4235,11,0),"")</f>
        <v>Instalado - Operando</v>
      </c>
      <c r="L465" s="120">
        <f>IFERROR(VLOOKUP(B465,BD_CONTROL!$A$5:$M$4235,12,0),"")</f>
        <v>46147</v>
      </c>
      <c r="M465" s="121">
        <f>IFERROR(VLOOKUP(B465,BD_CONTROL!$A$5:$M$4235,13,0),"")</f>
        <v>0</v>
      </c>
    </row>
    <row r="466" spans="1:13" ht="15" customHeight="1">
      <c r="A466" s="39">
        <v>461</v>
      </c>
      <c r="B466" s="39" t="s">
        <v>4350</v>
      </c>
      <c r="C466" s="40" t="s">
        <v>4351</v>
      </c>
      <c r="D466" s="39" t="s">
        <v>3370</v>
      </c>
      <c r="E466" s="40" t="s">
        <v>3696</v>
      </c>
      <c r="F466" s="40" t="s">
        <v>3785</v>
      </c>
      <c r="G466" s="39" t="s">
        <v>109</v>
      </c>
      <c r="H466" s="40" t="s">
        <v>3391</v>
      </c>
      <c r="I466" s="40" t="s">
        <v>104</v>
      </c>
      <c r="J466" s="50"/>
      <c r="K466" s="129" t="str">
        <f>IFERROR(VLOOKUP(B466,BD_CONTROL!$A$5:$M$4235,11,0),"")</f>
        <v>INSTALADO - OPERANDO</v>
      </c>
      <c r="L466" s="117">
        <f>IFERROR(VLOOKUP(B466,BD_CONTROL!$A$5:$M$4235,12,0),"")</f>
        <v>46132</v>
      </c>
      <c r="M466" s="118" t="str">
        <f>IFERROR(VLOOKUP(B466,BD_CONTROL!$A$5:$M$4235,13,0),"")</f>
        <v>Cargado desde DB instalación 23/04/2026</v>
      </c>
    </row>
    <row r="467" spans="1:13" ht="15" customHeight="1">
      <c r="A467" s="42">
        <v>462</v>
      </c>
      <c r="B467" s="42" t="s">
        <v>4361</v>
      </c>
      <c r="C467" s="43" t="s">
        <v>4362</v>
      </c>
      <c r="D467" s="42" t="s">
        <v>3370</v>
      </c>
      <c r="E467" s="43" t="s">
        <v>3753</v>
      </c>
      <c r="F467" s="43" t="s">
        <v>3880</v>
      </c>
      <c r="G467" s="42" t="s">
        <v>109</v>
      </c>
      <c r="H467" s="43" t="s">
        <v>3391</v>
      </c>
      <c r="I467" s="43" t="s">
        <v>104</v>
      </c>
      <c r="J467" s="55"/>
      <c r="K467" s="119" t="str">
        <f>IFERROR(VLOOKUP(B467,BD_CONTROL!$A$5:$M$4235,11,0),"")</f>
        <v>Instalado - Operando</v>
      </c>
      <c r="L467" s="120">
        <f>IFERROR(VLOOKUP(B467,BD_CONTROL!$A$5:$M$4235,12,0),"")</f>
        <v>46149</v>
      </c>
      <c r="M467" s="121">
        <f>IFERROR(VLOOKUP(B467,BD_CONTROL!$A$5:$M$4235,13,0),"")</f>
        <v>0</v>
      </c>
    </row>
    <row r="468" spans="1:13" ht="15" customHeight="1">
      <c r="A468" s="39">
        <v>463</v>
      </c>
      <c r="B468" s="39" t="s">
        <v>4363</v>
      </c>
      <c r="C468" s="40" t="s">
        <v>4364</v>
      </c>
      <c r="D468" s="39" t="s">
        <v>3370</v>
      </c>
      <c r="E468" s="40" t="s">
        <v>3934</v>
      </c>
      <c r="F468" s="40" t="s">
        <v>4365</v>
      </c>
      <c r="G468" s="39" t="s">
        <v>109</v>
      </c>
      <c r="H468" s="40" t="s">
        <v>3391</v>
      </c>
      <c r="I468" s="40" t="s">
        <v>104</v>
      </c>
      <c r="J468" s="50"/>
      <c r="K468" s="129" t="str">
        <f>IFERROR(VLOOKUP(B468,BD_CONTROL!$A$5:$M$4235,11,0),"")</f>
        <v>INSTALADO - OPERANDO</v>
      </c>
      <c r="L468" s="117">
        <f>IFERROR(VLOOKUP(B468,BD_CONTROL!$A$5:$M$4235,12,0),"")</f>
        <v>46126</v>
      </c>
      <c r="M468" s="118" t="str">
        <f>IFERROR(VLOOKUP(B468,BD_CONTROL!$A$5:$M$4235,13,0),"")</f>
        <v>Cargado desde DB instalación 23/04/2026</v>
      </c>
    </row>
    <row r="469" spans="1:13" ht="15" customHeight="1">
      <c r="A469" s="42">
        <v>464</v>
      </c>
      <c r="B469" s="42" t="s">
        <v>4366</v>
      </c>
      <c r="C469" s="43" t="s">
        <v>4367</v>
      </c>
      <c r="D469" s="42" t="s">
        <v>3370</v>
      </c>
      <c r="E469" s="43" t="s">
        <v>3735</v>
      </c>
      <c r="F469" s="43" t="s">
        <v>3804</v>
      </c>
      <c r="G469" s="42" t="s">
        <v>109</v>
      </c>
      <c r="H469" s="43" t="s">
        <v>3391</v>
      </c>
      <c r="I469" s="43" t="s">
        <v>104</v>
      </c>
      <c r="J469" s="55"/>
      <c r="K469" s="119" t="str">
        <f>IFERROR(VLOOKUP(B469,BD_CONTROL!$A$5:$M$4235,11,0),"")</f>
        <v>Instalado - Operando</v>
      </c>
      <c r="L469" s="120">
        <f>IFERROR(VLOOKUP(B469,BD_CONTROL!$A$5:$M$4235,12,0),"")</f>
        <v>46150</v>
      </c>
      <c r="M469" s="121">
        <f>IFERROR(VLOOKUP(B469,BD_CONTROL!$A$5:$M$4235,13,0),"")</f>
        <v>0</v>
      </c>
    </row>
    <row r="470" spans="1:13" ht="15" customHeight="1">
      <c r="A470" s="39">
        <v>465</v>
      </c>
      <c r="B470" s="39" t="s">
        <v>4370</v>
      </c>
      <c r="C470" s="40" t="s">
        <v>4371</v>
      </c>
      <c r="D470" s="39" t="s">
        <v>3370</v>
      </c>
      <c r="E470" s="40" t="s">
        <v>3664</v>
      </c>
      <c r="F470" s="40" t="s">
        <v>4372</v>
      </c>
      <c r="G470" s="39" t="s">
        <v>109</v>
      </c>
      <c r="H470" s="40" t="s">
        <v>1532</v>
      </c>
      <c r="I470" s="40" t="s">
        <v>104</v>
      </c>
      <c r="J470" s="50"/>
      <c r="K470" s="116">
        <f>IFERROR(VLOOKUP(B470,BD_CONTROL!$A$5:$M$4235,11,0),"")</f>
        <v>0</v>
      </c>
      <c r="L470" s="117">
        <f>IFERROR(VLOOKUP(B470,BD_CONTROL!$A$5:$M$4235,12,0),"")</f>
        <v>0</v>
      </c>
      <c r="M470" s="118">
        <f>IFERROR(VLOOKUP(B470,BD_CONTROL!$A$5:$M$4235,13,0),"")</f>
        <v>0</v>
      </c>
    </row>
    <row r="471" spans="1:13" ht="15" customHeight="1">
      <c r="A471" s="42">
        <v>466</v>
      </c>
      <c r="B471" s="42" t="s">
        <v>4377</v>
      </c>
      <c r="C471" s="43" t="s">
        <v>4378</v>
      </c>
      <c r="D471" s="42" t="s">
        <v>3370</v>
      </c>
      <c r="E471" s="43" t="s">
        <v>3856</v>
      </c>
      <c r="F471" s="43" t="s">
        <v>4379</v>
      </c>
      <c r="G471" s="42" t="s">
        <v>109</v>
      </c>
      <c r="H471" s="43" t="s">
        <v>3391</v>
      </c>
      <c r="I471" s="43" t="s">
        <v>104</v>
      </c>
      <c r="J471" s="55"/>
      <c r="K471" s="119" t="str">
        <f>IFERROR(VLOOKUP(B471,BD_CONTROL!$A$5:$M$4235,11,0),"")</f>
        <v>Instalado - Operando</v>
      </c>
      <c r="L471" s="120">
        <f>IFERROR(VLOOKUP(B471,BD_CONTROL!$A$5:$M$4235,12,0),"")</f>
        <v>46142</v>
      </c>
      <c r="M471" s="121">
        <f>IFERROR(VLOOKUP(B471,BD_CONTROL!$A$5:$M$4235,13,0),"")</f>
        <v>0</v>
      </c>
    </row>
    <row r="472" spans="1:13" ht="15" customHeight="1">
      <c r="A472" s="39">
        <v>467</v>
      </c>
      <c r="B472" s="39" t="s">
        <v>4380</v>
      </c>
      <c r="C472" s="40" t="s">
        <v>4381</v>
      </c>
      <c r="D472" s="39" t="s">
        <v>3370</v>
      </c>
      <c r="E472" s="40" t="s">
        <v>3753</v>
      </c>
      <c r="F472" s="40" t="s">
        <v>4109</v>
      </c>
      <c r="G472" s="39" t="s">
        <v>109</v>
      </c>
      <c r="H472" s="40" t="s">
        <v>3391</v>
      </c>
      <c r="I472" s="40" t="s">
        <v>104</v>
      </c>
      <c r="J472" s="50"/>
      <c r="K472" s="116" t="str">
        <f>IFERROR(VLOOKUP(B472,BD_CONTROL!$A$5:$M$4235,11,0),"")</f>
        <v>Instalado - Operando</v>
      </c>
      <c r="L472" s="117">
        <f>IFERROR(VLOOKUP(B472,BD_CONTROL!$A$5:$M$4235,12,0),"")</f>
        <v>46150</v>
      </c>
      <c r="M472" s="118">
        <f>IFERROR(VLOOKUP(B472,BD_CONTROL!$A$5:$M$4235,13,0),"")</f>
        <v>0</v>
      </c>
    </row>
    <row r="473" spans="1:13" ht="15" customHeight="1">
      <c r="A473" s="42">
        <v>468</v>
      </c>
      <c r="B473" s="42" t="s">
        <v>4382</v>
      </c>
      <c r="C473" s="43" t="s">
        <v>4383</v>
      </c>
      <c r="D473" s="42" t="s">
        <v>3370</v>
      </c>
      <c r="E473" s="43" t="s">
        <v>3753</v>
      </c>
      <c r="F473" s="43" t="s">
        <v>4384</v>
      </c>
      <c r="G473" s="42" t="s">
        <v>109</v>
      </c>
      <c r="H473" s="43" t="s">
        <v>3391</v>
      </c>
      <c r="I473" s="43" t="s">
        <v>104</v>
      </c>
      <c r="J473" s="55"/>
      <c r="K473" s="119" t="str">
        <f>IFERROR(VLOOKUP(B473,BD_CONTROL!$A$5:$M$4235,11,0),"")</f>
        <v>Instalado - Operando</v>
      </c>
      <c r="L473" s="120">
        <f>IFERROR(VLOOKUP(B473,BD_CONTROL!$A$5:$M$4235,12,0),"")</f>
        <v>46149</v>
      </c>
      <c r="M473" s="121">
        <f>IFERROR(VLOOKUP(B473,BD_CONTROL!$A$5:$M$4235,13,0),"")</f>
        <v>0</v>
      </c>
    </row>
    <row r="474" spans="1:13" ht="15" customHeight="1">
      <c r="A474" s="39">
        <v>469</v>
      </c>
      <c r="B474" s="39" t="s">
        <v>4411</v>
      </c>
      <c r="C474" s="40" t="s">
        <v>4412</v>
      </c>
      <c r="D474" s="39" t="s">
        <v>3370</v>
      </c>
      <c r="E474" s="40" t="s">
        <v>4163</v>
      </c>
      <c r="F474" s="40" t="s">
        <v>4413</v>
      </c>
      <c r="G474" s="39" t="s">
        <v>109</v>
      </c>
      <c r="H474" s="40" t="s">
        <v>3391</v>
      </c>
      <c r="I474" s="40" t="s">
        <v>104</v>
      </c>
      <c r="J474" s="50"/>
      <c r="K474" s="129" t="str">
        <f>IFERROR(VLOOKUP(B474,BD_CONTROL!$A$5:$M$4235,11,0),"")</f>
        <v>INSTALADO - OPERANDO</v>
      </c>
      <c r="L474" s="117">
        <f>IFERROR(VLOOKUP(B474,BD_CONTROL!$A$5:$M$4235,12,0),"")</f>
        <v>46135</v>
      </c>
      <c r="M474" s="118" t="str">
        <f>IFERROR(VLOOKUP(B474,BD_CONTROL!$A$5:$M$4235,13,0),"")</f>
        <v>Cargado desde DB instalación 23/04/2026</v>
      </c>
    </row>
    <row r="475" spans="1:13" ht="15" customHeight="1">
      <c r="A475" s="42">
        <v>470</v>
      </c>
      <c r="B475" s="42" t="s">
        <v>4416</v>
      </c>
      <c r="C475" s="43" t="s">
        <v>4417</v>
      </c>
      <c r="D475" s="42" t="s">
        <v>3370</v>
      </c>
      <c r="E475" s="43" t="s">
        <v>3934</v>
      </c>
      <c r="F475" s="43" t="s">
        <v>4418</v>
      </c>
      <c r="G475" s="42" t="s">
        <v>109</v>
      </c>
      <c r="H475" s="43" t="s">
        <v>3391</v>
      </c>
      <c r="I475" s="43" t="s">
        <v>104</v>
      </c>
      <c r="J475" s="55"/>
      <c r="K475" s="129" t="str">
        <f>IFERROR(VLOOKUP(B475,BD_CONTROL!$A$5:$M$4235,11,0),"")</f>
        <v>INSTALADO - OPERANDO</v>
      </c>
      <c r="L475" s="120">
        <f>IFERROR(VLOOKUP(B475,BD_CONTROL!$A$5:$M$4235,12,0),"")</f>
        <v>46125</v>
      </c>
      <c r="M475" s="121" t="str">
        <f>IFERROR(VLOOKUP(B475,BD_CONTROL!$A$5:$M$4235,13,0),"")</f>
        <v>Cargado desde DB instalación 23/04/2026</v>
      </c>
    </row>
    <row r="476" spans="1:13" ht="15" customHeight="1">
      <c r="A476" s="39">
        <v>471</v>
      </c>
      <c r="B476" s="39" t="s">
        <v>4419</v>
      </c>
      <c r="C476" s="40" t="s">
        <v>4420</v>
      </c>
      <c r="D476" s="39" t="s">
        <v>3370</v>
      </c>
      <c r="E476" s="40" t="s">
        <v>4185</v>
      </c>
      <c r="F476" s="40" t="s">
        <v>4186</v>
      </c>
      <c r="G476" s="39" t="s">
        <v>109</v>
      </c>
      <c r="H476" s="40" t="s">
        <v>3391</v>
      </c>
      <c r="I476" s="40" t="s">
        <v>104</v>
      </c>
      <c r="J476" s="50"/>
      <c r="K476" s="116">
        <f>IFERROR(VLOOKUP(B476,BD_CONTROL!$A$5:$M$4235,11,0),"")</f>
        <v>0</v>
      </c>
      <c r="L476" s="117">
        <f>IFERROR(VLOOKUP(B476,BD_CONTROL!$A$5:$M$4235,12,0),"")</f>
        <v>0</v>
      </c>
      <c r="M476" s="118">
        <f>IFERROR(VLOOKUP(B476,BD_CONTROL!$A$5:$M$4235,13,0),"")</f>
        <v>0</v>
      </c>
    </row>
    <row r="477" spans="1:13" ht="15" customHeight="1">
      <c r="A477" s="42">
        <v>472</v>
      </c>
      <c r="B477" s="42" t="s">
        <v>4436</v>
      </c>
      <c r="C477" s="43" t="s">
        <v>4437</v>
      </c>
      <c r="D477" s="42" t="s">
        <v>3370</v>
      </c>
      <c r="E477" s="43" t="s">
        <v>4050</v>
      </c>
      <c r="F477" s="43" t="s">
        <v>4051</v>
      </c>
      <c r="G477" s="42" t="s">
        <v>109</v>
      </c>
      <c r="H477" s="43" t="s">
        <v>3391</v>
      </c>
      <c r="I477" s="43" t="s">
        <v>104</v>
      </c>
      <c r="J477" s="55"/>
      <c r="K477" s="129" t="str">
        <f>IFERROR(VLOOKUP(B477,BD_CONTROL!$A$5:$M$4235,11,0),"")</f>
        <v>INSTALADO - OPERANDO</v>
      </c>
      <c r="L477" s="120">
        <f>IFERROR(VLOOKUP(B477,BD_CONTROL!$A$5:$M$4235,12,0),"")</f>
        <v>46108</v>
      </c>
      <c r="M477" s="121" t="str">
        <f>IFERROR(VLOOKUP(B477,BD_CONTROL!$A$5:$M$4235,13,0),"")</f>
        <v>Cargado desde DB instalación 23/04/2026</v>
      </c>
    </row>
    <row r="478" spans="1:13" ht="15" customHeight="1">
      <c r="A478" s="39">
        <v>473</v>
      </c>
      <c r="B478" s="39" t="s">
        <v>4438</v>
      </c>
      <c r="C478" s="40" t="s">
        <v>4439</v>
      </c>
      <c r="D478" s="39" t="s">
        <v>3370</v>
      </c>
      <c r="E478" s="40" t="s">
        <v>4057</v>
      </c>
      <c r="F478" s="40" t="s">
        <v>4440</v>
      </c>
      <c r="G478" s="39" t="s">
        <v>109</v>
      </c>
      <c r="H478" s="40" t="s">
        <v>3391</v>
      </c>
      <c r="I478" s="40" t="s">
        <v>104</v>
      </c>
      <c r="J478" s="50"/>
      <c r="K478" s="116">
        <f>IFERROR(VLOOKUP(B478,BD_CONTROL!$A$5:$M$4235,11,0),"")</f>
        <v>0</v>
      </c>
      <c r="L478" s="117">
        <f>IFERROR(VLOOKUP(B478,BD_CONTROL!$A$5:$M$4235,12,0),"")</f>
        <v>0</v>
      </c>
      <c r="M478" s="118">
        <f>IFERROR(VLOOKUP(B478,BD_CONTROL!$A$5:$M$4235,13,0),"")</f>
        <v>0</v>
      </c>
    </row>
    <row r="479" spans="1:13" ht="15" customHeight="1">
      <c r="A479" s="42">
        <v>474</v>
      </c>
      <c r="B479" s="42" t="s">
        <v>4444</v>
      </c>
      <c r="C479" s="43" t="s">
        <v>4445</v>
      </c>
      <c r="D479" s="42" t="s">
        <v>3370</v>
      </c>
      <c r="E479" s="43" t="s">
        <v>3389</v>
      </c>
      <c r="F479" s="43" t="s">
        <v>4446</v>
      </c>
      <c r="G479" s="42" t="s">
        <v>109</v>
      </c>
      <c r="H479" s="43" t="s">
        <v>3391</v>
      </c>
      <c r="I479" s="43" t="s">
        <v>104</v>
      </c>
      <c r="J479" s="55"/>
      <c r="K479" s="129" t="str">
        <f>IFERROR(VLOOKUP(B479,BD_CONTROL!$A$5:$M$4235,11,0),"")</f>
        <v>INSTALADO - OPERANDO</v>
      </c>
      <c r="L479" s="120">
        <f>IFERROR(VLOOKUP(B479,BD_CONTROL!$A$5:$M$4235,12,0),"")</f>
        <v>46099</v>
      </c>
      <c r="M479" s="121" t="str">
        <f>IFERROR(VLOOKUP(B479,BD_CONTROL!$A$5:$M$4235,13,0),"")</f>
        <v>Cargado desde DB instalación 23/04/2026</v>
      </c>
    </row>
    <row r="480" spans="1:13" ht="15" customHeight="1">
      <c r="A480" s="39">
        <v>475</v>
      </c>
      <c r="B480" s="39" t="s">
        <v>4449</v>
      </c>
      <c r="C480" s="40" t="s">
        <v>4450</v>
      </c>
      <c r="D480" s="39" t="s">
        <v>3370</v>
      </c>
      <c r="E480" s="40" t="s">
        <v>3451</v>
      </c>
      <c r="F480" s="40" t="s">
        <v>4451</v>
      </c>
      <c r="G480" s="39" t="s">
        <v>109</v>
      </c>
      <c r="H480" s="40" t="s">
        <v>3391</v>
      </c>
      <c r="I480" s="40" t="s">
        <v>104</v>
      </c>
      <c r="J480" s="50"/>
      <c r="K480" s="116" t="str">
        <f>IFERROR(VLOOKUP(B480,BD_CONTROL!$A$5:$M$4235,11,0),"")</f>
        <v>Instalado - Operando</v>
      </c>
      <c r="L480" s="117">
        <f>IFERROR(VLOOKUP(B480,BD_CONTROL!$A$5:$M$4235,12,0),"")</f>
        <v>46142</v>
      </c>
      <c r="M480" s="118">
        <f>IFERROR(VLOOKUP(B480,BD_CONTROL!$A$5:$M$4235,13,0),"")</f>
        <v>0</v>
      </c>
    </row>
    <row r="481" spans="1:13" ht="15" customHeight="1">
      <c r="A481" s="42">
        <v>476</v>
      </c>
      <c r="B481" s="42" t="s">
        <v>4455</v>
      </c>
      <c r="C481" s="43" t="s">
        <v>4456</v>
      </c>
      <c r="D481" s="42" t="s">
        <v>3370</v>
      </c>
      <c r="E481" s="43" t="s">
        <v>3699</v>
      </c>
      <c r="F481" s="43" t="s">
        <v>4457</v>
      </c>
      <c r="G481" s="42" t="s">
        <v>109</v>
      </c>
      <c r="H481" s="43" t="s">
        <v>3391</v>
      </c>
      <c r="I481" s="43" t="s">
        <v>104</v>
      </c>
      <c r="J481" s="55"/>
      <c r="K481" s="119" t="str">
        <f>IFERROR(VLOOKUP(B481,BD_CONTROL!$A$5:$M$4235,11,0),"")</f>
        <v>Instalado - Operando</v>
      </c>
      <c r="L481" s="120">
        <f>IFERROR(VLOOKUP(B481,BD_CONTROL!$A$5:$M$4235,12,0),"")</f>
        <v>46148</v>
      </c>
      <c r="M481" s="121">
        <f>IFERROR(VLOOKUP(B481,BD_CONTROL!$A$5:$M$4235,13,0),"")</f>
        <v>0</v>
      </c>
    </row>
    <row r="482" spans="1:13" ht="15" customHeight="1">
      <c r="A482" s="39">
        <v>477</v>
      </c>
      <c r="B482" s="39" t="s">
        <v>4458</v>
      </c>
      <c r="C482" s="40" t="s">
        <v>4459</v>
      </c>
      <c r="D482" s="39" t="s">
        <v>3370</v>
      </c>
      <c r="E482" s="40" t="s">
        <v>3797</v>
      </c>
      <c r="F482" s="40" t="s">
        <v>3798</v>
      </c>
      <c r="G482" s="39" t="s">
        <v>109</v>
      </c>
      <c r="H482" s="40" t="s">
        <v>1532</v>
      </c>
      <c r="I482" s="40" t="s">
        <v>104</v>
      </c>
      <c r="J482" s="50"/>
      <c r="K482" s="116" t="str">
        <f>IFERROR(VLOOKUP(B482,BD_CONTROL!$A$5:$M$4235,11,0),"")</f>
        <v>Instalado - Operando</v>
      </c>
      <c r="L482" s="117">
        <f>IFERROR(VLOOKUP(B482,BD_CONTROL!$A$5:$M$4235,12,0),"")</f>
        <v>46142</v>
      </c>
      <c r="M482" s="118">
        <f>IFERROR(VLOOKUP(B482,BD_CONTROL!$A$5:$M$4235,13,0),"")</f>
        <v>0</v>
      </c>
    </row>
    <row r="483" spans="1:13" ht="15" customHeight="1">
      <c r="A483" s="42">
        <v>478</v>
      </c>
      <c r="B483" s="42" t="s">
        <v>4482</v>
      </c>
      <c r="C483" s="43" t="s">
        <v>4483</v>
      </c>
      <c r="D483" s="42" t="s">
        <v>3370</v>
      </c>
      <c r="E483" s="43" t="s">
        <v>3699</v>
      </c>
      <c r="F483" s="43" t="s">
        <v>3872</v>
      </c>
      <c r="G483" s="42" t="s">
        <v>109</v>
      </c>
      <c r="H483" s="43" t="s">
        <v>3391</v>
      </c>
      <c r="I483" s="43" t="s">
        <v>104</v>
      </c>
      <c r="J483" s="55"/>
      <c r="K483" s="119" t="str">
        <f>IFERROR(VLOOKUP(B483,BD_CONTROL!$A$5:$M$4235,11,0),"")</f>
        <v>Instalado - Operando</v>
      </c>
      <c r="L483" s="120">
        <f>IFERROR(VLOOKUP(B483,BD_CONTROL!$A$5:$M$4235,12,0),"")</f>
        <v>46148</v>
      </c>
      <c r="M483" s="121">
        <f>IFERROR(VLOOKUP(B483,BD_CONTROL!$A$5:$M$4235,13,0),"")</f>
        <v>0</v>
      </c>
    </row>
    <row r="484" spans="1:13" ht="15" customHeight="1">
      <c r="A484" s="39">
        <v>479</v>
      </c>
      <c r="B484" s="39" t="s">
        <v>4484</v>
      </c>
      <c r="C484" s="40" t="s">
        <v>4485</v>
      </c>
      <c r="D484" s="39" t="s">
        <v>3370</v>
      </c>
      <c r="E484" s="40" t="s">
        <v>3699</v>
      </c>
      <c r="F484" s="40" t="s">
        <v>3875</v>
      </c>
      <c r="G484" s="39" t="s">
        <v>109</v>
      </c>
      <c r="H484" s="40" t="s">
        <v>3391</v>
      </c>
      <c r="I484" s="40" t="s">
        <v>104</v>
      </c>
      <c r="J484" s="50"/>
      <c r="K484" s="116" t="str">
        <f>IFERROR(VLOOKUP(B484,BD_CONTROL!$A$5:$M$4235,11,0),"")</f>
        <v>Instalado - Operando</v>
      </c>
      <c r="L484" s="117">
        <f>IFERROR(VLOOKUP(B484,BD_CONTROL!$A$5:$M$4235,12,0),"")</f>
        <v>46148</v>
      </c>
      <c r="M484" s="118">
        <f>IFERROR(VLOOKUP(B484,BD_CONTROL!$A$5:$M$4235,13,0),"")</f>
        <v>0</v>
      </c>
    </row>
    <row r="485" spans="1:13" ht="15" customHeight="1">
      <c r="A485" s="42">
        <v>480</v>
      </c>
      <c r="B485" s="42" t="s">
        <v>4486</v>
      </c>
      <c r="C485" s="43" t="s">
        <v>4487</v>
      </c>
      <c r="D485" s="42" t="s">
        <v>3370</v>
      </c>
      <c r="E485" s="43" t="s">
        <v>4185</v>
      </c>
      <c r="F485" s="43" t="s">
        <v>4192</v>
      </c>
      <c r="G485" s="42" t="s">
        <v>109</v>
      </c>
      <c r="H485" s="43" t="s">
        <v>3391</v>
      </c>
      <c r="I485" s="43" t="s">
        <v>104</v>
      </c>
      <c r="J485" s="55"/>
      <c r="K485" s="119">
        <f>IFERROR(VLOOKUP(B485,BD_CONTROL!$A$5:$M$4235,11,0),"")</f>
        <v>0</v>
      </c>
      <c r="L485" s="120">
        <f>IFERROR(VLOOKUP(B485,BD_CONTROL!$A$5:$M$4235,12,0),"")</f>
        <v>0</v>
      </c>
      <c r="M485" s="121">
        <f>IFERROR(VLOOKUP(B485,BD_CONTROL!$A$5:$M$4235,13,0),"")</f>
        <v>0</v>
      </c>
    </row>
    <row r="486" spans="1:13" ht="15" customHeight="1">
      <c r="A486" s="39">
        <v>481</v>
      </c>
      <c r="B486" s="39" t="s">
        <v>4488</v>
      </c>
      <c r="C486" s="40" t="s">
        <v>4489</v>
      </c>
      <c r="D486" s="39" t="s">
        <v>3370</v>
      </c>
      <c r="E486" s="40" t="s">
        <v>3921</v>
      </c>
      <c r="F486" s="40" t="s">
        <v>853</v>
      </c>
      <c r="G486" s="39" t="s">
        <v>109</v>
      </c>
      <c r="H486" s="40" t="s">
        <v>1532</v>
      </c>
      <c r="I486" s="40" t="s">
        <v>104</v>
      </c>
      <c r="J486" s="50"/>
      <c r="K486" s="116">
        <f>IFERROR(VLOOKUP(B486,BD_CONTROL!$A$5:$M$4235,11,0),"")</f>
        <v>0</v>
      </c>
      <c r="L486" s="117">
        <f>IFERROR(VLOOKUP(B486,BD_CONTROL!$A$5:$M$4235,12,0),"")</f>
        <v>0</v>
      </c>
      <c r="M486" s="118">
        <f>IFERROR(VLOOKUP(B486,BD_CONTROL!$A$5:$M$4235,13,0),"")</f>
        <v>0</v>
      </c>
    </row>
    <row r="487" spans="1:13" ht="15" customHeight="1">
      <c r="A487" s="42">
        <v>482</v>
      </c>
      <c r="B487" s="42" t="s">
        <v>4496</v>
      </c>
      <c r="C487" s="43" t="s">
        <v>4497</v>
      </c>
      <c r="D487" s="42" t="s">
        <v>3370</v>
      </c>
      <c r="E487" s="43" t="s">
        <v>3465</v>
      </c>
      <c r="F487" s="43" t="s">
        <v>4498</v>
      </c>
      <c r="G487" s="42" t="s">
        <v>109</v>
      </c>
      <c r="H487" s="43" t="s">
        <v>3391</v>
      </c>
      <c r="I487" s="43" t="s">
        <v>104</v>
      </c>
      <c r="J487" s="55"/>
      <c r="K487" s="129" t="str">
        <f>IFERROR(VLOOKUP(B487,BD_CONTROL!$A$5:$M$4235,11,0),"")</f>
        <v>INSTALADO - OPERANDO</v>
      </c>
      <c r="L487" s="120">
        <f>IFERROR(VLOOKUP(B487,BD_CONTROL!$A$5:$M$4235,12,0),"")</f>
        <v>46133</v>
      </c>
      <c r="M487" s="121" t="str">
        <f>IFERROR(VLOOKUP(B487,BD_CONTROL!$A$5:$M$4235,13,0),"")</f>
        <v>Cargado desde DB instalación 23/04/2026</v>
      </c>
    </row>
    <row r="488" spans="1:13" ht="15" customHeight="1">
      <c r="A488" s="39">
        <v>483</v>
      </c>
      <c r="B488" s="39" t="s">
        <v>4518</v>
      </c>
      <c r="C488" s="40" t="s">
        <v>4519</v>
      </c>
      <c r="D488" s="39" t="s">
        <v>3370</v>
      </c>
      <c r="E488" s="40" t="s">
        <v>4017</v>
      </c>
      <c r="F488" s="40" t="s">
        <v>4520</v>
      </c>
      <c r="G488" s="39" t="s">
        <v>109</v>
      </c>
      <c r="H488" s="40" t="s">
        <v>3449</v>
      </c>
      <c r="I488" s="40" t="s">
        <v>104</v>
      </c>
      <c r="J488" s="50"/>
      <c r="K488" s="116" t="str">
        <f>IFERROR(VLOOKUP(B488,BD_CONTROL!$A$5:$M$4235,11,0),"")</f>
        <v>Instalado - Operando</v>
      </c>
      <c r="L488" s="117">
        <f>IFERROR(VLOOKUP(B488,BD_CONTROL!$A$5:$M$4235,12,0),"")</f>
        <v>46148</v>
      </c>
      <c r="M488" s="118">
        <f>IFERROR(VLOOKUP(B488,BD_CONTROL!$A$5:$M$4235,13,0),"")</f>
        <v>0</v>
      </c>
    </row>
    <row r="489" spans="1:13" ht="15" customHeight="1">
      <c r="A489" s="42">
        <v>484</v>
      </c>
      <c r="B489" s="42" t="s">
        <v>4529</v>
      </c>
      <c r="C489" s="43" t="s">
        <v>705</v>
      </c>
      <c r="D489" s="42" t="s">
        <v>3370</v>
      </c>
      <c r="E489" s="43" t="s">
        <v>3447</v>
      </c>
      <c r="F489" s="43" t="s">
        <v>4530</v>
      </c>
      <c r="G489" s="42" t="s">
        <v>109</v>
      </c>
      <c r="H489" s="43" t="s">
        <v>3449</v>
      </c>
      <c r="I489" s="43" t="s">
        <v>104</v>
      </c>
      <c r="J489" s="55"/>
      <c r="K489" s="119" t="str">
        <f>IFERROR(VLOOKUP(B489,BD_CONTROL!$A$5:$M$4235,11,0),"")</f>
        <v>Instalado - Operando</v>
      </c>
      <c r="L489" s="120">
        <f>IFERROR(VLOOKUP(B489,BD_CONTROL!$A$5:$M$4235,12,0),"")</f>
        <v>46150</v>
      </c>
      <c r="M489" s="121">
        <f>IFERROR(VLOOKUP(B489,BD_CONTROL!$A$5:$M$4235,13,0),"")</f>
        <v>0</v>
      </c>
    </row>
    <row r="490" spans="1:13" ht="15" customHeight="1">
      <c r="A490" s="39">
        <v>485</v>
      </c>
      <c r="B490" s="39" t="s">
        <v>4534</v>
      </c>
      <c r="C490" s="40" t="s">
        <v>4535</v>
      </c>
      <c r="D490" s="39" t="s">
        <v>3370</v>
      </c>
      <c r="E490" s="40" t="s">
        <v>3718</v>
      </c>
      <c r="F490" s="40" t="s">
        <v>4536</v>
      </c>
      <c r="G490" s="39" t="s">
        <v>109</v>
      </c>
      <c r="H490" s="40" t="s">
        <v>3391</v>
      </c>
      <c r="I490" s="40" t="s">
        <v>104</v>
      </c>
      <c r="J490" s="50"/>
      <c r="K490" s="116" t="str">
        <f>IFERROR(VLOOKUP(B490,BD_CONTROL!$A$5:$M$4235,11,0),"")</f>
        <v>Instalado - Operando</v>
      </c>
      <c r="L490" s="117">
        <f>IFERROR(VLOOKUP(B490,BD_CONTROL!$A$5:$M$4235,12,0),"")</f>
        <v>46149</v>
      </c>
      <c r="M490" s="118">
        <f>IFERROR(VLOOKUP(B490,BD_CONTROL!$A$5:$M$4235,13,0),"")</f>
        <v>0</v>
      </c>
    </row>
    <row r="491" spans="1:13" ht="15" customHeight="1">
      <c r="A491" s="42">
        <v>486</v>
      </c>
      <c r="B491" s="42" t="s">
        <v>4539</v>
      </c>
      <c r="C491" s="43" t="s">
        <v>4540</v>
      </c>
      <c r="D491" s="42" t="s">
        <v>3370</v>
      </c>
      <c r="E491" s="43" t="s">
        <v>3832</v>
      </c>
      <c r="F491" s="43" t="s">
        <v>4541</v>
      </c>
      <c r="G491" s="42" t="s">
        <v>109</v>
      </c>
      <c r="H491" s="43" t="s">
        <v>3391</v>
      </c>
      <c r="I491" s="43" t="s">
        <v>104</v>
      </c>
      <c r="J491" s="55"/>
      <c r="K491" s="129" t="str">
        <f>IFERROR(VLOOKUP(B491,BD_CONTROL!$A$5:$M$4235,11,0),"")</f>
        <v>INSTALADO - OPERANDO</v>
      </c>
      <c r="L491" s="120">
        <f>IFERROR(VLOOKUP(B491,BD_CONTROL!$A$5:$M$4235,12,0),"")</f>
        <v>46125</v>
      </c>
      <c r="M491" s="121" t="str">
        <f>IFERROR(VLOOKUP(B491,BD_CONTROL!$A$5:$M$4235,13,0),"")</f>
        <v>Cargado desde DB instalación 23/04/2026</v>
      </c>
    </row>
    <row r="492" spans="1:13" ht="15" customHeight="1">
      <c r="A492" s="39">
        <v>487</v>
      </c>
      <c r="B492" s="39" t="s">
        <v>4544</v>
      </c>
      <c r="C492" s="40" t="s">
        <v>4545</v>
      </c>
      <c r="D492" s="39" t="s">
        <v>3370</v>
      </c>
      <c r="E492" s="40" t="s">
        <v>4050</v>
      </c>
      <c r="F492" s="40" t="s">
        <v>2077</v>
      </c>
      <c r="G492" s="39" t="s">
        <v>109</v>
      </c>
      <c r="H492" s="40" t="s">
        <v>3391</v>
      </c>
      <c r="I492" s="40" t="s">
        <v>104</v>
      </c>
      <c r="J492" s="50"/>
      <c r="K492" s="116" t="str">
        <f>IFERROR(VLOOKUP(B492,BD_CONTROL!$A$5:$M$4235,11,0),"")</f>
        <v>Instalado - Operando</v>
      </c>
      <c r="L492" s="117">
        <f>IFERROR(VLOOKUP(B492,BD_CONTROL!$A$5:$M$4235,12,0),"")</f>
        <v>46140</v>
      </c>
      <c r="M492" s="118">
        <f>IFERROR(VLOOKUP(B492,BD_CONTROL!$A$5:$M$4235,13,0),"")</f>
        <v>0</v>
      </c>
    </row>
    <row r="493" spans="1:13" ht="15" customHeight="1">
      <c r="A493" s="42">
        <v>488</v>
      </c>
      <c r="B493" s="42" t="s">
        <v>4546</v>
      </c>
      <c r="C493" s="43" t="s">
        <v>4547</v>
      </c>
      <c r="D493" s="42" t="s">
        <v>3370</v>
      </c>
      <c r="E493" s="43" t="s">
        <v>4134</v>
      </c>
      <c r="F493" s="43" t="s">
        <v>4135</v>
      </c>
      <c r="G493" s="42" t="s">
        <v>109</v>
      </c>
      <c r="H493" s="43" t="s">
        <v>3391</v>
      </c>
      <c r="I493" s="43" t="s">
        <v>104</v>
      </c>
      <c r="J493" s="55"/>
      <c r="K493" s="119" t="str">
        <f>IFERROR(VLOOKUP(B493,BD_CONTROL!$A$5:$M$4235,11,0),"")</f>
        <v>Instalado - Operando</v>
      </c>
      <c r="L493" s="120">
        <f>IFERROR(VLOOKUP(B493,BD_CONTROL!$A$5:$M$4235,12,0),"")</f>
        <v>46141</v>
      </c>
      <c r="M493" s="121">
        <f>IFERROR(VLOOKUP(B493,BD_CONTROL!$A$5:$M$4235,13,0),"")</f>
        <v>0</v>
      </c>
    </row>
    <row r="494" spans="1:13" ht="15" customHeight="1">
      <c r="A494" s="39">
        <v>489</v>
      </c>
      <c r="B494" s="39" t="s">
        <v>4551</v>
      </c>
      <c r="C494" s="40" t="s">
        <v>4552</v>
      </c>
      <c r="D494" s="39" t="s">
        <v>3370</v>
      </c>
      <c r="E494" s="40" t="s">
        <v>3735</v>
      </c>
      <c r="F494" s="40" t="s">
        <v>3807</v>
      </c>
      <c r="G494" s="39" t="s">
        <v>109</v>
      </c>
      <c r="H494" s="40" t="s">
        <v>3391</v>
      </c>
      <c r="I494" s="40" t="s">
        <v>104</v>
      </c>
      <c r="J494" s="50"/>
      <c r="K494" s="116" t="str">
        <f>IFERROR(VLOOKUP(B494,BD_CONTROL!$A$5:$M$4235,11,0),"")</f>
        <v>Instalado - Operando</v>
      </c>
      <c r="L494" s="117">
        <f>IFERROR(VLOOKUP(B494,BD_CONTROL!$A$5:$M$4235,12,0),"")</f>
        <v>46149</v>
      </c>
      <c r="M494" s="118">
        <f>IFERROR(VLOOKUP(B494,BD_CONTROL!$A$5:$M$4235,13,0),"")</f>
        <v>0</v>
      </c>
    </row>
    <row r="495" spans="1:13" ht="15" customHeight="1">
      <c r="A495" s="42">
        <v>490</v>
      </c>
      <c r="B495" s="42" t="s">
        <v>4553</v>
      </c>
      <c r="C495" s="43" t="s">
        <v>4554</v>
      </c>
      <c r="D495" s="42" t="s">
        <v>3370</v>
      </c>
      <c r="E495" s="43" t="s">
        <v>3797</v>
      </c>
      <c r="F495" s="43" t="s">
        <v>4555</v>
      </c>
      <c r="G495" s="42" t="s">
        <v>109</v>
      </c>
      <c r="H495" s="43" t="s">
        <v>1532</v>
      </c>
      <c r="I495" s="43" t="s">
        <v>104</v>
      </c>
      <c r="J495" s="55"/>
      <c r="K495" s="119" t="str">
        <f>IFERROR(VLOOKUP(B495,BD_CONTROL!$A$5:$M$4235,11,0),"")</f>
        <v>Instalado - Operando</v>
      </c>
      <c r="L495" s="120">
        <f>IFERROR(VLOOKUP(B495,BD_CONTROL!$A$5:$M$4235,12,0),"")</f>
        <v>46143</v>
      </c>
      <c r="M495" s="121">
        <f>IFERROR(VLOOKUP(B495,BD_CONTROL!$A$5:$M$4235,13,0),"")</f>
        <v>0</v>
      </c>
    </row>
    <row r="496" spans="1:13" ht="15" customHeight="1">
      <c r="A496" s="39">
        <v>491</v>
      </c>
      <c r="B496" s="39" t="s">
        <v>4558</v>
      </c>
      <c r="C496" s="40" t="s">
        <v>4559</v>
      </c>
      <c r="D496" s="39" t="s">
        <v>3370</v>
      </c>
      <c r="E496" s="40" t="s">
        <v>4185</v>
      </c>
      <c r="F496" s="40" t="s">
        <v>4560</v>
      </c>
      <c r="G496" s="39" t="s">
        <v>109</v>
      </c>
      <c r="H496" s="40" t="s">
        <v>3391</v>
      </c>
      <c r="I496" s="40" t="s">
        <v>104</v>
      </c>
      <c r="J496" s="50"/>
      <c r="K496" s="116">
        <f>IFERROR(VLOOKUP(B496,BD_CONTROL!$A$5:$M$4235,11,0),"")</f>
        <v>0</v>
      </c>
      <c r="L496" s="117">
        <f>IFERROR(VLOOKUP(B496,BD_CONTROL!$A$5:$M$4235,12,0),"")</f>
        <v>0</v>
      </c>
      <c r="M496" s="118">
        <f>IFERROR(VLOOKUP(B496,BD_CONTROL!$A$5:$M$4235,13,0),"")</f>
        <v>0</v>
      </c>
    </row>
    <row r="497" spans="1:13" ht="15" customHeight="1">
      <c r="A497" s="42">
        <v>492</v>
      </c>
      <c r="B497" s="42" t="s">
        <v>4561</v>
      </c>
      <c r="C497" s="43" t="s">
        <v>4562</v>
      </c>
      <c r="D497" s="42" t="s">
        <v>3370</v>
      </c>
      <c r="E497" s="43" t="s">
        <v>3856</v>
      </c>
      <c r="F497" s="43" t="s">
        <v>4563</v>
      </c>
      <c r="G497" s="42" t="s">
        <v>109</v>
      </c>
      <c r="H497" s="43" t="s">
        <v>3391</v>
      </c>
      <c r="I497" s="43" t="s">
        <v>104</v>
      </c>
      <c r="J497" s="55"/>
      <c r="K497" s="129" t="str">
        <f>IFERROR(VLOOKUP(B497,BD_CONTROL!$A$5:$M$4235,11,0),"")</f>
        <v>INSTALADO - OPERANDO</v>
      </c>
      <c r="L497" s="120">
        <f>IFERROR(VLOOKUP(B497,BD_CONTROL!$A$5:$M$4235,12,0),"")</f>
        <v>46104</v>
      </c>
      <c r="M497" s="121" t="str">
        <f>IFERROR(VLOOKUP(B497,BD_CONTROL!$A$5:$M$4235,13,0),"")</f>
        <v>Cargado desde DB instalación 23/04/2026</v>
      </c>
    </row>
    <row r="498" spans="1:13" ht="15" customHeight="1">
      <c r="A498" s="39">
        <v>493</v>
      </c>
      <c r="B498" s="39" t="s">
        <v>4564</v>
      </c>
      <c r="C498" s="40" t="s">
        <v>4565</v>
      </c>
      <c r="D498" s="39" t="s">
        <v>3370</v>
      </c>
      <c r="E498" s="40" t="s">
        <v>3856</v>
      </c>
      <c r="F498" s="40" t="s">
        <v>4566</v>
      </c>
      <c r="G498" s="39" t="s">
        <v>109</v>
      </c>
      <c r="H498" s="40" t="s">
        <v>3391</v>
      </c>
      <c r="I498" s="40" t="s">
        <v>104</v>
      </c>
      <c r="J498" s="50"/>
      <c r="K498" s="129" t="str">
        <f>IFERROR(VLOOKUP(B498,BD_CONTROL!$A$5:$M$4235,11,0),"")</f>
        <v>INSTALADO - OPERANDO</v>
      </c>
      <c r="L498" s="117">
        <f>IFERROR(VLOOKUP(B498,BD_CONTROL!$A$5:$M$4235,12,0),"")</f>
        <v>46132</v>
      </c>
      <c r="M498" s="118" t="str">
        <f>IFERROR(VLOOKUP(B498,BD_CONTROL!$A$5:$M$4235,13,0),"")</f>
        <v>Cargado desde DB instalación 23/04/2026</v>
      </c>
    </row>
    <row r="499" spans="1:13" ht="15" customHeight="1">
      <c r="A499" s="42">
        <v>494</v>
      </c>
      <c r="B499" s="42" t="s">
        <v>4575</v>
      </c>
      <c r="C499" s="43" t="s">
        <v>4576</v>
      </c>
      <c r="D499" s="42" t="s">
        <v>3370</v>
      </c>
      <c r="E499" s="43" t="s">
        <v>4050</v>
      </c>
      <c r="F499" s="43" t="s">
        <v>4275</v>
      </c>
      <c r="G499" s="42" t="s">
        <v>109</v>
      </c>
      <c r="H499" s="43" t="s">
        <v>3391</v>
      </c>
      <c r="I499" s="43" t="s">
        <v>104</v>
      </c>
      <c r="J499" s="55"/>
      <c r="K499" s="129" t="str">
        <f>IFERROR(VLOOKUP(B499,BD_CONTROL!$A$5:$M$4235,11,0),"")</f>
        <v>INSTALADO - OPERANDO</v>
      </c>
      <c r="L499" s="120">
        <f>IFERROR(VLOOKUP(B499,BD_CONTROL!$A$5:$M$4235,12,0),"")</f>
        <v>46134</v>
      </c>
      <c r="M499" s="121" t="str">
        <f>IFERROR(VLOOKUP(B499,BD_CONTROL!$A$5:$M$4235,13,0),"")</f>
        <v>Cargado desde DB instalación 23/04/2026</v>
      </c>
    </row>
    <row r="500" spans="1:13" ht="15" customHeight="1">
      <c r="A500" s="39">
        <v>495</v>
      </c>
      <c r="B500" s="39" t="s">
        <v>4577</v>
      </c>
      <c r="C500" s="40" t="s">
        <v>4578</v>
      </c>
      <c r="D500" s="39" t="s">
        <v>3370</v>
      </c>
      <c r="E500" s="40" t="s">
        <v>3664</v>
      </c>
      <c r="F500" s="40" t="s">
        <v>4579</v>
      </c>
      <c r="G500" s="39" t="s">
        <v>109</v>
      </c>
      <c r="H500" s="40" t="s">
        <v>1532</v>
      </c>
      <c r="I500" s="40" t="s">
        <v>104</v>
      </c>
      <c r="J500" s="50"/>
      <c r="K500" s="116">
        <f>IFERROR(VLOOKUP(B500,BD_CONTROL!$A$5:$M$4235,11,0),"")</f>
        <v>0</v>
      </c>
      <c r="L500" s="117">
        <f>IFERROR(VLOOKUP(B500,BD_CONTROL!$A$5:$M$4235,12,0),"")</f>
        <v>0</v>
      </c>
      <c r="M500" s="118">
        <f>IFERROR(VLOOKUP(B500,BD_CONTROL!$A$5:$M$4235,13,0),"")</f>
        <v>0</v>
      </c>
    </row>
    <row r="501" spans="1:13" ht="15" customHeight="1">
      <c r="A501" s="42">
        <v>496</v>
      </c>
      <c r="B501" s="42" t="s">
        <v>4580</v>
      </c>
      <c r="C501" s="43" t="s">
        <v>4581</v>
      </c>
      <c r="D501" s="42" t="s">
        <v>3370</v>
      </c>
      <c r="E501" s="43" t="s">
        <v>3778</v>
      </c>
      <c r="F501" s="43" t="s">
        <v>4582</v>
      </c>
      <c r="G501" s="42" t="s">
        <v>109</v>
      </c>
      <c r="H501" s="43" t="s">
        <v>3391</v>
      </c>
      <c r="I501" s="43" t="s">
        <v>104</v>
      </c>
      <c r="J501" s="55"/>
      <c r="K501" s="129" t="str">
        <f>IFERROR(VLOOKUP(B501,BD_CONTROL!$A$5:$M$4235,11,0),"")</f>
        <v>INSTALADO - OPERANDO</v>
      </c>
      <c r="L501" s="120">
        <f>IFERROR(VLOOKUP(B501,BD_CONTROL!$A$5:$M$4235,12,0),"")</f>
        <v>46132</v>
      </c>
      <c r="M501" s="121" t="str">
        <f>IFERROR(VLOOKUP(B501,BD_CONTROL!$A$5:$M$4235,13,0),"")</f>
        <v>Cargado desde DB instalación 23/04/2026</v>
      </c>
    </row>
    <row r="502" spans="1:13" ht="15" customHeight="1">
      <c r="A502" s="39">
        <v>497</v>
      </c>
      <c r="B502" s="39" t="s">
        <v>4588</v>
      </c>
      <c r="C502" s="40" t="s">
        <v>4589</v>
      </c>
      <c r="D502" s="39" t="s">
        <v>3370</v>
      </c>
      <c r="E502" s="40" t="s">
        <v>4050</v>
      </c>
      <c r="F502" s="40" t="s">
        <v>4590</v>
      </c>
      <c r="G502" s="39" t="s">
        <v>109</v>
      </c>
      <c r="H502" s="40" t="s">
        <v>3391</v>
      </c>
      <c r="I502" s="40" t="s">
        <v>104</v>
      </c>
      <c r="J502" s="50"/>
      <c r="K502" s="116">
        <f>IFERROR(VLOOKUP(B502,BD_CONTROL!$A$5:$M$4235,11,0),"")</f>
        <v>0</v>
      </c>
      <c r="L502" s="117">
        <f>IFERROR(VLOOKUP(B502,BD_CONTROL!$A$5:$M$4235,12,0),"")</f>
        <v>0</v>
      </c>
      <c r="M502" s="118">
        <f>IFERROR(VLOOKUP(B502,BD_CONTROL!$A$5:$M$4235,13,0),"")</f>
        <v>0</v>
      </c>
    </row>
    <row r="503" spans="1:13" ht="15" customHeight="1">
      <c r="A503" s="42">
        <v>498</v>
      </c>
      <c r="B503" s="42" t="s">
        <v>4591</v>
      </c>
      <c r="C503" s="43" t="s">
        <v>4592</v>
      </c>
      <c r="D503" s="42" t="s">
        <v>3370</v>
      </c>
      <c r="E503" s="43" t="s">
        <v>3960</v>
      </c>
      <c r="F503" s="43" t="s">
        <v>3961</v>
      </c>
      <c r="G503" s="42" t="s">
        <v>109</v>
      </c>
      <c r="H503" s="43" t="s">
        <v>3391</v>
      </c>
      <c r="I503" s="43" t="s">
        <v>104</v>
      </c>
      <c r="J503" s="55"/>
      <c r="K503" s="129" t="str">
        <f>IFERROR(VLOOKUP(B503,BD_CONTROL!$A$5:$M$4235,11,0),"")</f>
        <v>INSTALADO - OPERANDO</v>
      </c>
      <c r="L503" s="120">
        <f>IFERROR(VLOOKUP(B503,BD_CONTROL!$A$5:$M$4235,12,0),"")</f>
        <v>46100</v>
      </c>
      <c r="M503" s="121" t="str">
        <f>IFERROR(VLOOKUP(B503,BD_CONTROL!$A$5:$M$4235,13,0),"")</f>
        <v>Cargado desde DB instalación 23/04/2026</v>
      </c>
    </row>
    <row r="504" spans="1:13" ht="15" customHeight="1">
      <c r="A504" s="39">
        <v>499</v>
      </c>
      <c r="B504" s="39" t="s">
        <v>4593</v>
      </c>
      <c r="C504" s="40" t="s">
        <v>4594</v>
      </c>
      <c r="D504" s="39" t="s">
        <v>3370</v>
      </c>
      <c r="E504" s="40" t="s">
        <v>4050</v>
      </c>
      <c r="F504" s="40" t="s">
        <v>4595</v>
      </c>
      <c r="G504" s="39" t="s">
        <v>109</v>
      </c>
      <c r="H504" s="40" t="s">
        <v>3391</v>
      </c>
      <c r="I504" s="40" t="s">
        <v>104</v>
      </c>
      <c r="J504" s="50"/>
      <c r="K504" s="116" t="str">
        <f>IFERROR(VLOOKUP(B504,BD_CONTROL!$A$5:$M$4235,11,0),"")</f>
        <v>Instalado - Operando</v>
      </c>
      <c r="L504" s="117">
        <f>IFERROR(VLOOKUP(B504,BD_CONTROL!$A$5:$M$4235,12,0),"")</f>
        <v>46140</v>
      </c>
      <c r="M504" s="118">
        <f>IFERROR(VLOOKUP(B504,BD_CONTROL!$A$5:$M$4235,13,0),"")</f>
        <v>0</v>
      </c>
    </row>
    <row r="505" spans="1:13" ht="15" customHeight="1">
      <c r="A505" s="42">
        <v>500</v>
      </c>
      <c r="B505" s="42" t="s">
        <v>4596</v>
      </c>
      <c r="C505" s="43" t="s">
        <v>4597</v>
      </c>
      <c r="D505" s="42" t="s">
        <v>3370</v>
      </c>
      <c r="E505" s="43" t="s">
        <v>3822</v>
      </c>
      <c r="F505" s="43" t="s">
        <v>421</v>
      </c>
      <c r="G505" s="42" t="s">
        <v>109</v>
      </c>
      <c r="H505" s="43" t="s">
        <v>3391</v>
      </c>
      <c r="I505" s="43" t="s">
        <v>104</v>
      </c>
      <c r="J505" s="55"/>
      <c r="K505" s="130" t="str">
        <f>IFERROR(VLOOKUP(B505,BD_CONTROL!$A$5:$M$4235,11,0),"")</f>
        <v>INSTALADO - SIN SEÑAL</v>
      </c>
      <c r="L505" s="120">
        <f>IFERROR(VLOOKUP(B505,BD_CONTROL!$A$5:$M$4235,12,0),"")</f>
        <v>46101</v>
      </c>
      <c r="M505" s="121" t="str">
        <f>IFERROR(VLOOKUP(B505,BD_CONTROL!$A$5:$M$4235,13,0),"")</f>
        <v>Cargado desde DB instalación 23/04/2026</v>
      </c>
    </row>
    <row r="506" spans="1:13" ht="15" customHeight="1">
      <c r="A506" s="39">
        <v>501</v>
      </c>
      <c r="B506" s="39" t="s">
        <v>4600</v>
      </c>
      <c r="C506" s="40" t="s">
        <v>4601</v>
      </c>
      <c r="D506" s="39" t="s">
        <v>3370</v>
      </c>
      <c r="E506" s="40" t="s">
        <v>4163</v>
      </c>
      <c r="F506" s="40" t="s">
        <v>4602</v>
      </c>
      <c r="G506" s="39" t="s">
        <v>109</v>
      </c>
      <c r="H506" s="40" t="s">
        <v>3391</v>
      </c>
      <c r="I506" s="40" t="s">
        <v>104</v>
      </c>
      <c r="J506" s="50"/>
      <c r="K506" s="116">
        <f>IFERROR(VLOOKUP(B506,BD_CONTROL!$A$5:$M$4235,11,0),"")</f>
        <v>0</v>
      </c>
      <c r="L506" s="117">
        <f>IFERROR(VLOOKUP(B506,BD_CONTROL!$A$5:$M$4235,12,0),"")</f>
        <v>0</v>
      </c>
      <c r="M506" s="118">
        <f>IFERROR(VLOOKUP(B506,BD_CONTROL!$A$5:$M$4235,13,0),"")</f>
        <v>0</v>
      </c>
    </row>
    <row r="507" spans="1:13" ht="15" customHeight="1">
      <c r="A507" s="42">
        <v>502</v>
      </c>
      <c r="B507" s="42" t="s">
        <v>4616</v>
      </c>
      <c r="C507" s="43" t="s">
        <v>4617</v>
      </c>
      <c r="D507" s="42" t="s">
        <v>3370</v>
      </c>
      <c r="E507" s="43" t="s">
        <v>4057</v>
      </c>
      <c r="F507" s="43" t="s">
        <v>2106</v>
      </c>
      <c r="G507" s="42" t="s">
        <v>109</v>
      </c>
      <c r="H507" s="43" t="s">
        <v>3391</v>
      </c>
      <c r="I507" s="43" t="s">
        <v>104</v>
      </c>
      <c r="J507" s="55"/>
      <c r="K507" s="119">
        <f>IFERROR(VLOOKUP(B507,BD_CONTROL!$A$5:$M$4235,11,0),"")</f>
        <v>0</v>
      </c>
      <c r="L507" s="120">
        <f>IFERROR(VLOOKUP(B507,BD_CONTROL!$A$5:$M$4235,12,0),"")</f>
        <v>0</v>
      </c>
      <c r="M507" s="121">
        <f>IFERROR(VLOOKUP(B507,BD_CONTROL!$A$5:$M$4235,13,0),"")</f>
        <v>0</v>
      </c>
    </row>
    <row r="508" spans="1:13" ht="15" customHeight="1">
      <c r="A508" s="39">
        <v>503</v>
      </c>
      <c r="B508" s="39" t="s">
        <v>4620</v>
      </c>
      <c r="C508" s="40" t="s">
        <v>4621</v>
      </c>
      <c r="D508" s="39" t="s">
        <v>3370</v>
      </c>
      <c r="E508" s="40" t="s">
        <v>3832</v>
      </c>
      <c r="F508" s="40" t="s">
        <v>3836</v>
      </c>
      <c r="G508" s="39" t="s">
        <v>109</v>
      </c>
      <c r="H508" s="40" t="s">
        <v>3391</v>
      </c>
      <c r="I508" s="40" t="s">
        <v>104</v>
      </c>
      <c r="J508" s="50"/>
      <c r="K508" s="129" t="str">
        <f>IFERROR(VLOOKUP(B508,BD_CONTROL!$A$5:$M$4235,11,0),"")</f>
        <v>INSTALADO - OPERANDO</v>
      </c>
      <c r="L508" s="117">
        <f>IFERROR(VLOOKUP(B508,BD_CONTROL!$A$5:$M$4235,12,0),"")</f>
        <v>46125</v>
      </c>
      <c r="M508" s="118" t="str">
        <f>IFERROR(VLOOKUP(B508,BD_CONTROL!$A$5:$M$4235,13,0),"")</f>
        <v>Cargado desde DB instalación 23/04/2026</v>
      </c>
    </row>
    <row r="509" spans="1:13" ht="15" customHeight="1">
      <c r="A509" s="42">
        <v>504</v>
      </c>
      <c r="B509" s="42" t="s">
        <v>4622</v>
      </c>
      <c r="C509" s="43" t="s">
        <v>4623</v>
      </c>
      <c r="D509" s="42" t="s">
        <v>3370</v>
      </c>
      <c r="E509" s="43" t="s">
        <v>3753</v>
      </c>
      <c r="F509" s="43" t="s">
        <v>3886</v>
      </c>
      <c r="G509" s="42" t="s">
        <v>109</v>
      </c>
      <c r="H509" s="43" t="s">
        <v>3391</v>
      </c>
      <c r="I509" s="43" t="s">
        <v>104</v>
      </c>
      <c r="J509" s="55"/>
      <c r="K509" s="119" t="str">
        <f>IFERROR(VLOOKUP(B509,BD_CONTROL!$A$5:$M$4235,11,0),"")</f>
        <v>Instalado - Operando</v>
      </c>
      <c r="L509" s="120">
        <f>IFERROR(VLOOKUP(B509,BD_CONTROL!$A$5:$M$4235,12,0),"")</f>
        <v>46149</v>
      </c>
      <c r="M509" s="121">
        <f>IFERROR(VLOOKUP(B509,BD_CONTROL!$A$5:$M$4235,13,0),"")</f>
        <v>0</v>
      </c>
    </row>
    <row r="510" spans="1:13" ht="15" customHeight="1">
      <c r="A510" s="39">
        <v>505</v>
      </c>
      <c r="B510" s="39" t="s">
        <v>4626</v>
      </c>
      <c r="C510" s="40" t="s">
        <v>4627</v>
      </c>
      <c r="D510" s="39" t="s">
        <v>3370</v>
      </c>
      <c r="E510" s="40" t="s">
        <v>3664</v>
      </c>
      <c r="F510" s="40" t="s">
        <v>3548</v>
      </c>
      <c r="G510" s="39" t="s">
        <v>109</v>
      </c>
      <c r="H510" s="40" t="s">
        <v>1532</v>
      </c>
      <c r="I510" s="40" t="s">
        <v>104</v>
      </c>
      <c r="J510" s="50"/>
      <c r="K510" s="116" t="str">
        <f>IFERROR(VLOOKUP(B510,BD_CONTROL!$A$5:$M$4235,11,0),"")</f>
        <v>Instalado - Operando</v>
      </c>
      <c r="L510" s="117">
        <f>IFERROR(VLOOKUP(B510,BD_CONTROL!$A$5:$M$4235,12,0),"")</f>
        <v>46147</v>
      </c>
      <c r="M510" s="118">
        <f>IFERROR(VLOOKUP(B510,BD_CONTROL!$A$5:$M$4235,13,0),"")</f>
        <v>0</v>
      </c>
    </row>
    <row r="511" spans="1:13" ht="15" customHeight="1">
      <c r="A511" s="42">
        <v>506</v>
      </c>
      <c r="B511" s="42" t="s">
        <v>4628</v>
      </c>
      <c r="C511" s="43" t="s">
        <v>4629</v>
      </c>
      <c r="D511" s="42" t="s">
        <v>3370</v>
      </c>
      <c r="E511" s="43" t="s">
        <v>4050</v>
      </c>
      <c r="F511" s="43" t="s">
        <v>2103</v>
      </c>
      <c r="G511" s="42" t="s">
        <v>109</v>
      </c>
      <c r="H511" s="43" t="s">
        <v>3391</v>
      </c>
      <c r="I511" s="43" t="s">
        <v>104</v>
      </c>
      <c r="J511" s="55"/>
      <c r="K511" s="119">
        <f>IFERROR(VLOOKUP(B511,BD_CONTROL!$A$5:$M$4235,11,0),"")</f>
        <v>0</v>
      </c>
      <c r="L511" s="120">
        <f>IFERROR(VLOOKUP(B511,BD_CONTROL!$A$5:$M$4235,12,0),"")</f>
        <v>0</v>
      </c>
      <c r="M511" s="121">
        <f>IFERROR(VLOOKUP(B511,BD_CONTROL!$A$5:$M$4235,13,0),"")</f>
        <v>0</v>
      </c>
    </row>
    <row r="512" spans="1:13" ht="15" customHeight="1">
      <c r="A512" s="39">
        <v>507</v>
      </c>
      <c r="B512" s="39" t="s">
        <v>4630</v>
      </c>
      <c r="C512" s="40" t="s">
        <v>4631</v>
      </c>
      <c r="D512" s="39" t="s">
        <v>3370</v>
      </c>
      <c r="E512" s="40" t="s">
        <v>3735</v>
      </c>
      <c r="F512" s="40" t="s">
        <v>4632</v>
      </c>
      <c r="G512" s="39" t="s">
        <v>109</v>
      </c>
      <c r="H512" s="40" t="s">
        <v>3391</v>
      </c>
      <c r="I512" s="40" t="s">
        <v>104</v>
      </c>
      <c r="J512" s="50"/>
      <c r="K512" s="116" t="str">
        <f>IFERROR(VLOOKUP(B512,BD_CONTROL!$A$5:$M$4235,11,0),"")</f>
        <v>Instalado - Operando</v>
      </c>
      <c r="L512" s="117">
        <f>IFERROR(VLOOKUP(B512,BD_CONTROL!$A$5:$M$4235,12,0),"")</f>
        <v>46149</v>
      </c>
      <c r="M512" s="118">
        <f>IFERROR(VLOOKUP(B512,BD_CONTROL!$A$5:$M$4235,13,0),"")</f>
        <v>0</v>
      </c>
    </row>
    <row r="513" spans="1:13" ht="15" customHeight="1">
      <c r="A513" s="42">
        <v>508</v>
      </c>
      <c r="B513" s="42" t="s">
        <v>4633</v>
      </c>
      <c r="C513" s="43" t="s">
        <v>4634</v>
      </c>
      <c r="D513" s="42" t="s">
        <v>3370</v>
      </c>
      <c r="E513" s="43" t="s">
        <v>3699</v>
      </c>
      <c r="F513" s="43" t="s">
        <v>4635</v>
      </c>
      <c r="G513" s="42" t="s">
        <v>109</v>
      </c>
      <c r="H513" s="43" t="s">
        <v>3391</v>
      </c>
      <c r="I513" s="43" t="s">
        <v>104</v>
      </c>
      <c r="J513" s="55"/>
      <c r="K513" s="119" t="str">
        <f>IFERROR(VLOOKUP(B513,BD_CONTROL!$A$5:$M$4235,11,0),"")</f>
        <v>Instalado - Operando</v>
      </c>
      <c r="L513" s="120">
        <f>IFERROR(VLOOKUP(B513,BD_CONTROL!$A$5:$M$4235,12,0),"")</f>
        <v>46148</v>
      </c>
      <c r="M513" s="121">
        <f>IFERROR(VLOOKUP(B513,BD_CONTROL!$A$5:$M$4235,13,0),"")</f>
        <v>0</v>
      </c>
    </row>
    <row r="514" spans="1:13" ht="15" customHeight="1">
      <c r="A514" s="39">
        <v>509</v>
      </c>
      <c r="B514" s="39" t="s">
        <v>4639</v>
      </c>
      <c r="C514" s="40" t="s">
        <v>4640</v>
      </c>
      <c r="D514" s="39" t="s">
        <v>3370</v>
      </c>
      <c r="E514" s="40" t="s">
        <v>3889</v>
      </c>
      <c r="F514" s="40" t="s">
        <v>4641</v>
      </c>
      <c r="G514" s="39" t="s">
        <v>109</v>
      </c>
      <c r="H514" s="40" t="s">
        <v>3391</v>
      </c>
      <c r="I514" s="40" t="s">
        <v>104</v>
      </c>
      <c r="J514" s="50"/>
      <c r="K514" s="129" t="str">
        <f>IFERROR(VLOOKUP(B514,BD_CONTROL!$A$5:$M$4235,11,0),"")</f>
        <v>INSTALADO - OPERANDO</v>
      </c>
      <c r="L514" s="117">
        <f>IFERROR(VLOOKUP(B514,BD_CONTROL!$A$5:$M$4235,12,0),"")</f>
        <v>46104</v>
      </c>
      <c r="M514" s="118" t="str">
        <f>IFERROR(VLOOKUP(B514,BD_CONTROL!$A$5:$M$4235,13,0),"")</f>
        <v>Cargado desde DB instalación 23/04/2026</v>
      </c>
    </row>
    <row r="515" spans="1:13" ht="15" customHeight="1">
      <c r="A515" s="42">
        <v>510</v>
      </c>
      <c r="B515" s="42" t="s">
        <v>4653</v>
      </c>
      <c r="C515" s="43" t="s">
        <v>4654</v>
      </c>
      <c r="D515" s="42" t="s">
        <v>3370</v>
      </c>
      <c r="E515" s="43" t="s">
        <v>3971</v>
      </c>
      <c r="F515" s="43" t="s">
        <v>3975</v>
      </c>
      <c r="G515" s="42" t="s">
        <v>109</v>
      </c>
      <c r="H515" s="43" t="s">
        <v>3391</v>
      </c>
      <c r="I515" s="43" t="s">
        <v>104</v>
      </c>
      <c r="J515" s="55"/>
      <c r="K515" s="119" t="str">
        <f>IFERROR(VLOOKUP(B515,BD_CONTROL!$A$5:$M$4235,11,0),"")</f>
        <v>Instalado - Operando</v>
      </c>
      <c r="L515" s="120">
        <f>IFERROR(VLOOKUP(B515,BD_CONTROL!$A$5:$M$4235,12,0),"")</f>
        <v>46141</v>
      </c>
      <c r="M515" s="121">
        <f>IFERROR(VLOOKUP(B515,BD_CONTROL!$A$5:$M$4235,13,0),"")</f>
        <v>0</v>
      </c>
    </row>
    <row r="516" spans="1:13" ht="15" customHeight="1">
      <c r="A516" s="39">
        <v>511</v>
      </c>
      <c r="B516" s="39" t="s">
        <v>4674</v>
      </c>
      <c r="C516" s="40" t="s">
        <v>4675</v>
      </c>
      <c r="D516" s="39" t="s">
        <v>3370</v>
      </c>
      <c r="E516" s="40" t="s">
        <v>3753</v>
      </c>
      <c r="F516" s="40" t="s">
        <v>4676</v>
      </c>
      <c r="G516" s="39" t="s">
        <v>109</v>
      </c>
      <c r="H516" s="40" t="s">
        <v>3391</v>
      </c>
      <c r="I516" s="40" t="s">
        <v>104</v>
      </c>
      <c r="J516" s="50"/>
      <c r="K516" s="116" t="str">
        <f>IFERROR(VLOOKUP(B516,BD_CONTROL!$A$5:$M$4235,11,0),"")</f>
        <v>Instalado - Operando</v>
      </c>
      <c r="L516" s="117">
        <f>IFERROR(VLOOKUP(B516,BD_CONTROL!$A$5:$M$4235,12,0),"")</f>
        <v>46150</v>
      </c>
      <c r="M516" s="118">
        <f>IFERROR(VLOOKUP(B516,BD_CONTROL!$A$5:$M$4235,13,0),"")</f>
        <v>0</v>
      </c>
    </row>
    <row r="517" spans="1:13" ht="15" customHeight="1">
      <c r="A517" s="42">
        <v>512</v>
      </c>
      <c r="B517" s="42" t="s">
        <v>4682</v>
      </c>
      <c r="C517" s="43" t="s">
        <v>4683</v>
      </c>
      <c r="D517" s="42" t="s">
        <v>3370</v>
      </c>
      <c r="E517" s="43" t="s">
        <v>3990</v>
      </c>
      <c r="F517" s="43" t="s">
        <v>4684</v>
      </c>
      <c r="G517" s="42" t="s">
        <v>109</v>
      </c>
      <c r="H517" s="43" t="s">
        <v>3391</v>
      </c>
      <c r="I517" s="43" t="s">
        <v>104</v>
      </c>
      <c r="J517" s="55"/>
      <c r="K517" s="129" t="str">
        <f>IFERROR(VLOOKUP(B517,BD_CONTROL!$A$5:$M$4235,11,0),"")</f>
        <v>INSTALADO - OPERANDO</v>
      </c>
      <c r="L517" s="120">
        <f>IFERROR(VLOOKUP(B517,BD_CONTROL!$A$5:$M$4235,12,0),"")</f>
        <v>46127</v>
      </c>
      <c r="M517" s="121" t="str">
        <f>IFERROR(VLOOKUP(B517,BD_CONTROL!$A$5:$M$4235,13,0),"")</f>
        <v>Cargado desde DB instalación 23/04/2026</v>
      </c>
    </row>
    <row r="518" spans="1:13" ht="15" customHeight="1">
      <c r="A518" s="39">
        <v>513</v>
      </c>
      <c r="B518" s="39" t="s">
        <v>4710</v>
      </c>
      <c r="C518" s="40" t="s">
        <v>4711</v>
      </c>
      <c r="D518" s="39" t="s">
        <v>4690</v>
      </c>
      <c r="E518" s="40" t="s">
        <v>4712</v>
      </c>
      <c r="F518" s="40" t="s">
        <v>438</v>
      </c>
      <c r="G518" s="39" t="s">
        <v>109</v>
      </c>
      <c r="H518" s="40" t="s">
        <v>1532</v>
      </c>
      <c r="I518" s="40" t="s">
        <v>104</v>
      </c>
      <c r="J518" s="50"/>
      <c r="K518" s="116" t="str">
        <f>IFERROR(VLOOKUP(B518,BD_CONTROL!$A$5:$M$4235,11,0),"")</f>
        <v>Instalado - Operando</v>
      </c>
      <c r="L518" s="117">
        <f>IFERROR(VLOOKUP(B518,BD_CONTROL!$A$5:$M$4235,12,0),"")</f>
        <v>46139</v>
      </c>
      <c r="M518" s="118">
        <f>IFERROR(VLOOKUP(B518,BD_CONTROL!$A$5:$M$4235,13,0),"")</f>
        <v>0</v>
      </c>
    </row>
    <row r="519" spans="1:13" ht="15" customHeight="1">
      <c r="A519" s="42">
        <v>514</v>
      </c>
      <c r="B519" s="42" t="s">
        <v>4780</v>
      </c>
      <c r="C519" s="43" t="s">
        <v>4781</v>
      </c>
      <c r="D519" s="42" t="s">
        <v>4690</v>
      </c>
      <c r="E519" s="43" t="s">
        <v>4782</v>
      </c>
      <c r="F519" s="43" t="s">
        <v>4783</v>
      </c>
      <c r="G519" s="42" t="s">
        <v>109</v>
      </c>
      <c r="H519" s="43" t="s">
        <v>3391</v>
      </c>
      <c r="I519" s="43" t="s">
        <v>104</v>
      </c>
      <c r="J519" s="55"/>
      <c r="K519" s="119">
        <f>IFERROR(VLOOKUP(B519,BD_CONTROL!$A$5:$M$4235,11,0),"")</f>
        <v>0</v>
      </c>
      <c r="L519" s="120">
        <f>IFERROR(VLOOKUP(B519,BD_CONTROL!$A$5:$M$4235,12,0),"")</f>
        <v>0</v>
      </c>
      <c r="M519" s="121">
        <f>IFERROR(VLOOKUP(B519,BD_CONTROL!$A$5:$M$4235,13,0),"")</f>
        <v>0</v>
      </c>
    </row>
    <row r="520" spans="1:13" ht="15" customHeight="1">
      <c r="A520" s="39">
        <v>515</v>
      </c>
      <c r="B520" s="39" t="s">
        <v>4795</v>
      </c>
      <c r="C520" s="40" t="s">
        <v>4796</v>
      </c>
      <c r="D520" s="39" t="s">
        <v>4690</v>
      </c>
      <c r="E520" s="40" t="s">
        <v>4797</v>
      </c>
      <c r="F520" s="40" t="s">
        <v>4798</v>
      </c>
      <c r="G520" s="39" t="s">
        <v>109</v>
      </c>
      <c r="H520" s="40" t="s">
        <v>3391</v>
      </c>
      <c r="I520" s="40" t="s">
        <v>104</v>
      </c>
      <c r="J520" s="50"/>
      <c r="K520" s="116">
        <f>IFERROR(VLOOKUP(B520,BD_CONTROL!$A$5:$M$4235,11,0),"")</f>
        <v>0</v>
      </c>
      <c r="L520" s="117">
        <f>IFERROR(VLOOKUP(B520,BD_CONTROL!$A$5:$M$4235,12,0),"")</f>
        <v>0</v>
      </c>
      <c r="M520" s="118">
        <f>IFERROR(VLOOKUP(B520,BD_CONTROL!$A$5:$M$4235,13,0),"")</f>
        <v>0</v>
      </c>
    </row>
    <row r="521" spans="1:13" ht="15" customHeight="1">
      <c r="A521" s="42">
        <v>516</v>
      </c>
      <c r="B521" s="42" t="s">
        <v>4849</v>
      </c>
      <c r="C521" s="43" t="s">
        <v>4850</v>
      </c>
      <c r="D521" s="42" t="s">
        <v>4690</v>
      </c>
      <c r="E521" s="43" t="s">
        <v>4797</v>
      </c>
      <c r="F521" s="43" t="s">
        <v>4851</v>
      </c>
      <c r="G521" s="42" t="s">
        <v>109</v>
      </c>
      <c r="H521" s="43" t="s">
        <v>3391</v>
      </c>
      <c r="I521" s="43" t="s">
        <v>104</v>
      </c>
      <c r="J521" s="55"/>
      <c r="K521" s="119">
        <f>IFERROR(VLOOKUP(B521,BD_CONTROL!$A$5:$M$4235,11,0),"")</f>
        <v>0</v>
      </c>
      <c r="L521" s="120">
        <f>IFERROR(VLOOKUP(B521,BD_CONTROL!$A$5:$M$4235,12,0),"")</f>
        <v>0</v>
      </c>
      <c r="M521" s="121">
        <f>IFERROR(VLOOKUP(B521,BD_CONTROL!$A$5:$M$4235,13,0),"")</f>
        <v>0</v>
      </c>
    </row>
    <row r="522" spans="1:13" ht="15" customHeight="1">
      <c r="A522" s="39">
        <v>517</v>
      </c>
      <c r="B522" s="39" t="s">
        <v>4909</v>
      </c>
      <c r="C522" s="40" t="s">
        <v>4910</v>
      </c>
      <c r="D522" s="39" t="s">
        <v>4690</v>
      </c>
      <c r="E522" s="40" t="s">
        <v>4712</v>
      </c>
      <c r="F522" s="40" t="s">
        <v>438</v>
      </c>
      <c r="G522" s="39" t="s">
        <v>109</v>
      </c>
      <c r="H522" s="40" t="s">
        <v>1532</v>
      </c>
      <c r="I522" s="40" t="s">
        <v>104</v>
      </c>
      <c r="J522" s="50"/>
      <c r="K522" s="116" t="str">
        <f>IFERROR(VLOOKUP(B522,BD_CONTROL!$A$5:$M$4235,11,0),"")</f>
        <v>Instalado - Sin Señal</v>
      </c>
      <c r="L522" s="117">
        <f>IFERROR(VLOOKUP(B522,BD_CONTROL!$A$5:$M$4235,12,0),"")</f>
        <v>46139</v>
      </c>
      <c r="M522" s="118">
        <f>IFERROR(VLOOKUP(B522,BD_CONTROL!$A$5:$M$4235,13,0),"")</f>
        <v>0</v>
      </c>
    </row>
    <row r="523" spans="1:13" ht="15" customHeight="1">
      <c r="A523" s="42">
        <v>518</v>
      </c>
      <c r="B523" s="42" t="s">
        <v>4919</v>
      </c>
      <c r="C523" s="43" t="s">
        <v>4920</v>
      </c>
      <c r="D523" s="42" t="s">
        <v>4690</v>
      </c>
      <c r="E523" s="43" t="s">
        <v>4921</v>
      </c>
      <c r="F523" s="43" t="s">
        <v>1238</v>
      </c>
      <c r="G523" s="42" t="s">
        <v>109</v>
      </c>
      <c r="H523" s="43" t="s">
        <v>3391</v>
      </c>
      <c r="I523" s="43" t="s">
        <v>104</v>
      </c>
      <c r="J523" s="55"/>
      <c r="K523" s="119">
        <f>IFERROR(VLOOKUP(B523,BD_CONTROL!$A$5:$M$4235,11,0),"")</f>
        <v>0</v>
      </c>
      <c r="L523" s="120">
        <f>IFERROR(VLOOKUP(B523,BD_CONTROL!$A$5:$M$4235,12,0),"")</f>
        <v>0</v>
      </c>
      <c r="M523" s="121">
        <f>IFERROR(VLOOKUP(B523,BD_CONTROL!$A$5:$M$4235,13,0),"")</f>
        <v>0</v>
      </c>
    </row>
    <row r="524" spans="1:13" ht="15" customHeight="1">
      <c r="A524" s="39">
        <v>519</v>
      </c>
      <c r="B524" s="39" t="s">
        <v>4997</v>
      </c>
      <c r="C524" s="40" t="s">
        <v>4998</v>
      </c>
      <c r="D524" s="39" t="s">
        <v>4690</v>
      </c>
      <c r="E524" s="40" t="s">
        <v>4712</v>
      </c>
      <c r="F524" s="40" t="s">
        <v>4751</v>
      </c>
      <c r="G524" s="39" t="s">
        <v>109</v>
      </c>
      <c r="H524" s="40" t="s">
        <v>1532</v>
      </c>
      <c r="I524" s="40" t="s">
        <v>104</v>
      </c>
      <c r="J524" s="50"/>
      <c r="K524" s="116" t="str">
        <f>IFERROR(VLOOKUP(B524,BD_CONTROL!$A$5:$M$4235,11,0),"")</f>
        <v>Instalado - Sin Señal</v>
      </c>
      <c r="L524" s="117">
        <f>IFERROR(VLOOKUP(B524,BD_CONTROL!$A$5:$M$4235,12,0),"")</f>
        <v>46140</v>
      </c>
      <c r="M524" s="118" t="str">
        <f>IFERROR(VLOOKUP(B524,BD_CONTROL!$A$5:$M$4235,13,0),"")</f>
        <v xml:space="preserve">INSTALADO= Instalado, no operando, con reporte a mesa de ayuda
</v>
      </c>
    </row>
    <row r="525" spans="1:13" ht="15" customHeight="1">
      <c r="A525" s="42">
        <v>520</v>
      </c>
      <c r="B525" s="42" t="s">
        <v>5068</v>
      </c>
      <c r="C525" s="43" t="s">
        <v>3597</v>
      </c>
      <c r="D525" s="42" t="s">
        <v>4690</v>
      </c>
      <c r="E525" s="43" t="s">
        <v>4797</v>
      </c>
      <c r="F525" s="43" t="s">
        <v>5069</v>
      </c>
      <c r="G525" s="42" t="s">
        <v>109</v>
      </c>
      <c r="H525" s="43" t="s">
        <v>3391</v>
      </c>
      <c r="I525" s="43" t="s">
        <v>104</v>
      </c>
      <c r="J525" s="55"/>
      <c r="K525" s="119">
        <f>IFERROR(VLOOKUP(B525,BD_CONTROL!$A$5:$M$4235,11,0),"")</f>
        <v>0</v>
      </c>
      <c r="L525" s="120">
        <f>IFERROR(VLOOKUP(B525,BD_CONTROL!$A$5:$M$4235,12,0),"")</f>
        <v>0</v>
      </c>
      <c r="M525" s="121">
        <f>IFERROR(VLOOKUP(B525,BD_CONTROL!$A$5:$M$4235,13,0),"")</f>
        <v>0</v>
      </c>
    </row>
    <row r="526" spans="1:13" ht="15" customHeight="1">
      <c r="A526" s="39">
        <v>521</v>
      </c>
      <c r="B526" s="39" t="s">
        <v>5078</v>
      </c>
      <c r="C526" s="40" t="s">
        <v>5079</v>
      </c>
      <c r="D526" s="39" t="s">
        <v>4690</v>
      </c>
      <c r="E526" s="40" t="s">
        <v>4921</v>
      </c>
      <c r="F526" s="40" t="s">
        <v>5080</v>
      </c>
      <c r="G526" s="39" t="s">
        <v>109</v>
      </c>
      <c r="H526" s="40" t="s">
        <v>3391</v>
      </c>
      <c r="I526" s="40" t="s">
        <v>104</v>
      </c>
      <c r="J526" s="50"/>
      <c r="K526" s="116">
        <f>IFERROR(VLOOKUP(B526,BD_CONTROL!$A$5:$M$4235,11,0),"")</f>
        <v>0</v>
      </c>
      <c r="L526" s="117">
        <f>IFERROR(VLOOKUP(B526,BD_CONTROL!$A$5:$M$4235,12,0),"")</f>
        <v>0</v>
      </c>
      <c r="M526" s="118">
        <f>IFERROR(VLOOKUP(B526,BD_CONTROL!$A$5:$M$4235,13,0),"")</f>
        <v>0</v>
      </c>
    </row>
    <row r="527" spans="1:13" ht="15" customHeight="1">
      <c r="A527" s="42">
        <v>522</v>
      </c>
      <c r="B527" s="42" t="s">
        <v>5100</v>
      </c>
      <c r="C527" s="43" t="s">
        <v>1204</v>
      </c>
      <c r="D527" s="42" t="s">
        <v>4690</v>
      </c>
      <c r="E527" s="43" t="s">
        <v>5101</v>
      </c>
      <c r="F527" s="43" t="s">
        <v>5102</v>
      </c>
      <c r="G527" s="42" t="s">
        <v>109</v>
      </c>
      <c r="H527" s="43" t="s">
        <v>1532</v>
      </c>
      <c r="I527" s="43" t="s">
        <v>104</v>
      </c>
      <c r="J527" s="55"/>
      <c r="K527" s="119" t="str">
        <f>IFERROR(VLOOKUP(B527,BD_CONTROL!$A$5:$M$4235,11,0),"")</f>
        <v>Instalado - Operando</v>
      </c>
      <c r="L527" s="120">
        <f>IFERROR(VLOOKUP(B527,BD_CONTROL!$A$5:$M$4235,12,0),"")</f>
        <v>46142</v>
      </c>
      <c r="M527" s="121">
        <f>IFERROR(VLOOKUP(B527,BD_CONTROL!$A$5:$M$4235,13,0),"")</f>
        <v>0</v>
      </c>
    </row>
    <row r="528" spans="1:13" ht="15" customHeight="1">
      <c r="A528" s="39">
        <v>523</v>
      </c>
      <c r="B528" s="39" t="s">
        <v>5170</v>
      </c>
      <c r="C528" s="40" t="s">
        <v>3581</v>
      </c>
      <c r="D528" s="39" t="s">
        <v>4690</v>
      </c>
      <c r="E528" s="40" t="s">
        <v>4712</v>
      </c>
      <c r="F528" s="40" t="s">
        <v>5171</v>
      </c>
      <c r="G528" s="39" t="s">
        <v>109</v>
      </c>
      <c r="H528" s="40" t="s">
        <v>1532</v>
      </c>
      <c r="I528" s="40" t="s">
        <v>104</v>
      </c>
      <c r="J528" s="50"/>
      <c r="K528" s="116" t="str">
        <f>IFERROR(VLOOKUP(B528,BD_CONTROL!$A$5:$M$4235,11,0),"")</f>
        <v>Instalado - Sin Señal</v>
      </c>
      <c r="L528" s="117">
        <f>IFERROR(VLOOKUP(B528,BD_CONTROL!$A$5:$M$4235,12,0),"")</f>
        <v>46146</v>
      </c>
      <c r="M528" s="118" t="str">
        <f>IFERROR(VLOOKUP(B528,BD_CONTROL!$A$5:$M$4235,13,0),"")</f>
        <v xml:space="preserve">Instalado, no operando, con reporte a mesa de ayuda
</v>
      </c>
    </row>
    <row r="529" spans="1:13" ht="15" customHeight="1">
      <c r="A529" s="42">
        <v>524</v>
      </c>
      <c r="B529" s="42" t="s">
        <v>5175</v>
      </c>
      <c r="C529" s="43" t="s">
        <v>2682</v>
      </c>
      <c r="D529" s="42" t="s">
        <v>4690</v>
      </c>
      <c r="E529" s="43" t="s">
        <v>5176</v>
      </c>
      <c r="F529" s="43" t="s">
        <v>5177</v>
      </c>
      <c r="G529" s="42" t="s">
        <v>109</v>
      </c>
      <c r="H529" s="43" t="s">
        <v>1532</v>
      </c>
      <c r="I529" s="43" t="s">
        <v>104</v>
      </c>
      <c r="J529" s="55"/>
      <c r="K529" s="119" t="str">
        <f>IFERROR(VLOOKUP(B529,BD_CONTROL!$A$5:$M$4235,11,0),"")</f>
        <v>Instalado - Operando</v>
      </c>
      <c r="L529" s="120">
        <f>IFERROR(VLOOKUP(B529,BD_CONTROL!$A$5:$M$4235,12,0),"")</f>
        <v>46141</v>
      </c>
      <c r="M529" s="121">
        <f>IFERROR(VLOOKUP(B529,BD_CONTROL!$A$5:$M$4235,13,0),"")</f>
        <v>0</v>
      </c>
    </row>
    <row r="530" spans="1:13" ht="15" customHeight="1">
      <c r="A530" s="39">
        <v>525</v>
      </c>
      <c r="B530" s="39" t="s">
        <v>5185</v>
      </c>
      <c r="C530" s="40" t="s">
        <v>2682</v>
      </c>
      <c r="D530" s="39" t="s">
        <v>4690</v>
      </c>
      <c r="E530" s="40" t="s">
        <v>5176</v>
      </c>
      <c r="F530" s="40" t="s">
        <v>5177</v>
      </c>
      <c r="G530" s="39" t="s">
        <v>109</v>
      </c>
      <c r="H530" s="40" t="s">
        <v>1532</v>
      </c>
      <c r="I530" s="40" t="s">
        <v>104</v>
      </c>
      <c r="J530" s="50"/>
      <c r="K530" s="116" t="str">
        <f>IFERROR(VLOOKUP(B530,BD_CONTROL!$A$5:$M$4235,11,0),"")</f>
        <v>Instalado - Operando</v>
      </c>
      <c r="L530" s="117">
        <f>IFERROR(VLOOKUP(B530,BD_CONTROL!$A$5:$M$4235,12,0),"")</f>
        <v>46148</v>
      </c>
      <c r="M530" s="118">
        <f>IFERROR(VLOOKUP(B530,BD_CONTROL!$A$5:$M$4235,13,0),"")</f>
        <v>0</v>
      </c>
    </row>
    <row r="531" spans="1:13" ht="15" customHeight="1">
      <c r="A531" s="42">
        <v>526</v>
      </c>
      <c r="B531" s="42" t="s">
        <v>5219</v>
      </c>
      <c r="C531" s="43" t="s">
        <v>5220</v>
      </c>
      <c r="D531" s="42" t="s">
        <v>4690</v>
      </c>
      <c r="E531" s="43" t="s">
        <v>5101</v>
      </c>
      <c r="F531" s="43" t="s">
        <v>4767</v>
      </c>
      <c r="G531" s="42" t="s">
        <v>109</v>
      </c>
      <c r="H531" s="43" t="s">
        <v>1532</v>
      </c>
      <c r="I531" s="43" t="s">
        <v>104</v>
      </c>
      <c r="J531" s="55"/>
      <c r="K531" s="119" t="str">
        <f>IFERROR(VLOOKUP(B531,BD_CONTROL!$A$5:$M$4235,11,0),"")</f>
        <v>Instalado - Operando</v>
      </c>
      <c r="L531" s="120">
        <f>IFERROR(VLOOKUP(B531,BD_CONTROL!$A$5:$M$4235,12,0),"")</f>
        <v>46142</v>
      </c>
      <c r="M531" s="121">
        <f>IFERROR(VLOOKUP(B531,BD_CONTROL!$A$5:$M$4235,13,0),"")</f>
        <v>0</v>
      </c>
    </row>
    <row r="532" spans="1:13" ht="15" customHeight="1">
      <c r="A532" s="39">
        <v>527</v>
      </c>
      <c r="B532" s="39" t="s">
        <v>5230</v>
      </c>
      <c r="C532" s="40" t="s">
        <v>5231</v>
      </c>
      <c r="D532" s="39" t="s">
        <v>4690</v>
      </c>
      <c r="E532" s="40" t="s">
        <v>4921</v>
      </c>
      <c r="F532" s="40" t="s">
        <v>5232</v>
      </c>
      <c r="G532" s="39" t="s">
        <v>109</v>
      </c>
      <c r="H532" s="40" t="s">
        <v>3391</v>
      </c>
      <c r="I532" s="40" t="s">
        <v>104</v>
      </c>
      <c r="J532" s="50"/>
      <c r="K532" s="116">
        <f>IFERROR(VLOOKUP(B532,BD_CONTROL!$A$5:$M$4235,11,0),"")</f>
        <v>0</v>
      </c>
      <c r="L532" s="117">
        <f>IFERROR(VLOOKUP(B532,BD_CONTROL!$A$5:$M$4235,12,0),"")</f>
        <v>0</v>
      </c>
      <c r="M532" s="118">
        <f>IFERROR(VLOOKUP(B532,BD_CONTROL!$A$5:$M$4235,13,0),"")</f>
        <v>0</v>
      </c>
    </row>
    <row r="533" spans="1:13" ht="15" customHeight="1">
      <c r="A533" s="42">
        <v>528</v>
      </c>
      <c r="B533" s="42" t="s">
        <v>5268</v>
      </c>
      <c r="C533" s="43" t="s">
        <v>5269</v>
      </c>
      <c r="D533" s="42" t="s">
        <v>4690</v>
      </c>
      <c r="E533" s="43" t="s">
        <v>4921</v>
      </c>
      <c r="F533" s="43" t="s">
        <v>5270</v>
      </c>
      <c r="G533" s="42" t="s">
        <v>109</v>
      </c>
      <c r="H533" s="43" t="s">
        <v>3391</v>
      </c>
      <c r="I533" s="43" t="s">
        <v>104</v>
      </c>
      <c r="J533" s="55"/>
      <c r="K533" s="119">
        <f>IFERROR(VLOOKUP(B533,BD_CONTROL!$A$5:$M$4235,11,0),"")</f>
        <v>0</v>
      </c>
      <c r="L533" s="120">
        <f>IFERROR(VLOOKUP(B533,BD_CONTROL!$A$5:$M$4235,12,0),"")</f>
        <v>0</v>
      </c>
      <c r="M533" s="121">
        <f>IFERROR(VLOOKUP(B533,BD_CONTROL!$A$5:$M$4235,13,0),"")</f>
        <v>0</v>
      </c>
    </row>
    <row r="534" spans="1:13" ht="15" customHeight="1">
      <c r="A534" s="39">
        <v>529</v>
      </c>
      <c r="B534" s="39" t="s">
        <v>5319</v>
      </c>
      <c r="C534" s="40" t="s">
        <v>5320</v>
      </c>
      <c r="D534" s="39" t="s">
        <v>4690</v>
      </c>
      <c r="E534" s="40" t="s">
        <v>4782</v>
      </c>
      <c r="F534" s="40" t="s">
        <v>4418</v>
      </c>
      <c r="G534" s="39" t="s">
        <v>109</v>
      </c>
      <c r="H534" s="40" t="s">
        <v>3391</v>
      </c>
      <c r="I534" s="40" t="s">
        <v>104</v>
      </c>
      <c r="J534" s="50"/>
      <c r="K534" s="116">
        <f>IFERROR(VLOOKUP(B534,BD_CONTROL!$A$5:$M$4235,11,0),"")</f>
        <v>0</v>
      </c>
      <c r="L534" s="117">
        <f>IFERROR(VLOOKUP(B534,BD_CONTROL!$A$5:$M$4235,12,0),"")</f>
        <v>0</v>
      </c>
      <c r="M534" s="118">
        <f>IFERROR(VLOOKUP(B534,BD_CONTROL!$A$5:$M$4235,13,0),"")</f>
        <v>0</v>
      </c>
    </row>
    <row r="535" spans="1:13" ht="15" customHeight="1">
      <c r="A535" s="42">
        <v>530</v>
      </c>
      <c r="B535" s="42" t="s">
        <v>5337</v>
      </c>
      <c r="C535" s="43" t="s">
        <v>5064</v>
      </c>
      <c r="D535" s="42" t="s">
        <v>4690</v>
      </c>
      <c r="E535" s="43" t="s">
        <v>5338</v>
      </c>
      <c r="F535" s="43" t="s">
        <v>5339</v>
      </c>
      <c r="G535" s="42" t="s">
        <v>109</v>
      </c>
      <c r="H535" s="43" t="s">
        <v>1532</v>
      </c>
      <c r="I535" s="43" t="s">
        <v>104</v>
      </c>
      <c r="J535" s="55"/>
      <c r="K535" s="119" t="str">
        <f>IFERROR(VLOOKUP(B535,BD_CONTROL!$A$5:$M$4235,11,0),"")</f>
        <v>Instalado - Operando</v>
      </c>
      <c r="L535" s="120">
        <f>IFERROR(VLOOKUP(B535,BD_CONTROL!$A$5:$M$4235,12,0),"")</f>
        <v>46141</v>
      </c>
      <c r="M535" s="121">
        <f>IFERROR(VLOOKUP(B535,BD_CONTROL!$A$5:$M$4235,13,0),"")</f>
        <v>0</v>
      </c>
    </row>
    <row r="536" spans="1:13" ht="15" customHeight="1">
      <c r="A536" s="39">
        <v>531</v>
      </c>
      <c r="B536" s="39" t="s">
        <v>5353</v>
      </c>
      <c r="C536" s="40" t="s">
        <v>3454</v>
      </c>
      <c r="D536" s="39" t="s">
        <v>4690</v>
      </c>
      <c r="E536" s="40" t="s">
        <v>4921</v>
      </c>
      <c r="F536" s="40" t="s">
        <v>5354</v>
      </c>
      <c r="G536" s="39" t="s">
        <v>109</v>
      </c>
      <c r="H536" s="40" t="s">
        <v>3391</v>
      </c>
      <c r="I536" s="40" t="s">
        <v>104</v>
      </c>
      <c r="J536" s="50"/>
      <c r="K536" s="116">
        <f>IFERROR(VLOOKUP(B536,BD_CONTROL!$A$5:$M$4235,11,0),"")</f>
        <v>0</v>
      </c>
      <c r="L536" s="117">
        <f>IFERROR(VLOOKUP(B536,BD_CONTROL!$A$5:$M$4235,12,0),"")</f>
        <v>0</v>
      </c>
      <c r="M536" s="118">
        <f>IFERROR(VLOOKUP(B536,BD_CONTROL!$A$5:$M$4235,13,0),"")</f>
        <v>0</v>
      </c>
    </row>
    <row r="537" spans="1:13" ht="15" customHeight="1">
      <c r="A537" s="42">
        <v>532</v>
      </c>
      <c r="B537" s="42" t="s">
        <v>5360</v>
      </c>
      <c r="C537" s="43" t="s">
        <v>4977</v>
      </c>
      <c r="D537" s="42" t="s">
        <v>4690</v>
      </c>
      <c r="E537" s="43" t="s">
        <v>5176</v>
      </c>
      <c r="F537" s="43" t="s">
        <v>5361</v>
      </c>
      <c r="G537" s="42" t="s">
        <v>109</v>
      </c>
      <c r="H537" s="43" t="s">
        <v>1532</v>
      </c>
      <c r="I537" s="43" t="s">
        <v>104</v>
      </c>
      <c r="J537" s="55"/>
      <c r="K537" s="119" t="str">
        <f>IFERROR(VLOOKUP(B537,BD_CONTROL!$A$5:$M$4235,11,0),"")</f>
        <v>Instalado - Operando</v>
      </c>
      <c r="L537" s="120">
        <f>IFERROR(VLOOKUP(B537,BD_CONTROL!$A$5:$M$4235,12,0),"")</f>
        <v>46141</v>
      </c>
      <c r="M537" s="121">
        <f>IFERROR(VLOOKUP(B537,BD_CONTROL!$A$5:$M$4235,13,0),"")</f>
        <v>0</v>
      </c>
    </row>
    <row r="538" spans="1:13" ht="15" customHeight="1">
      <c r="A538" s="39">
        <v>533</v>
      </c>
      <c r="B538" s="39" t="s">
        <v>5494</v>
      </c>
      <c r="C538" s="40" t="s">
        <v>5495</v>
      </c>
      <c r="D538" s="39" t="s">
        <v>4690</v>
      </c>
      <c r="E538" s="40" t="s">
        <v>5338</v>
      </c>
      <c r="F538" s="40" t="s">
        <v>5496</v>
      </c>
      <c r="G538" s="39" t="s">
        <v>109</v>
      </c>
      <c r="H538" s="40" t="s">
        <v>1532</v>
      </c>
      <c r="I538" s="40" t="s">
        <v>104</v>
      </c>
      <c r="J538" s="50"/>
      <c r="K538" s="116" t="str">
        <f>IFERROR(VLOOKUP(B538,BD_CONTROL!$A$5:$M$4235,11,0),"")</f>
        <v>Instalado - Sin Señal</v>
      </c>
      <c r="L538" s="117">
        <f>IFERROR(VLOOKUP(B538,BD_CONTROL!$A$5:$M$4235,12,0),"")</f>
        <v>46141</v>
      </c>
      <c r="M538" s="118" t="str">
        <f>IFERROR(VLOOKUP(B538,BD_CONTROL!$A$5:$M$4235,13,0),"")</f>
        <v xml:space="preserve">Instalado, no operando, con reporte a mesa de ayuda
</v>
      </c>
    </row>
    <row r="539" spans="1:13" ht="15" customHeight="1">
      <c r="A539" s="42">
        <v>534</v>
      </c>
      <c r="B539" s="42" t="s">
        <v>5639</v>
      </c>
      <c r="C539" s="43" t="s">
        <v>1123</v>
      </c>
      <c r="D539" s="42" t="s">
        <v>5640</v>
      </c>
      <c r="E539" s="43" t="s">
        <v>5641</v>
      </c>
      <c r="F539" s="43" t="s">
        <v>5641</v>
      </c>
      <c r="G539" s="42" t="s">
        <v>109</v>
      </c>
      <c r="H539" s="43" t="s">
        <v>3449</v>
      </c>
      <c r="I539" s="43" t="s">
        <v>104</v>
      </c>
      <c r="J539" s="55"/>
      <c r="K539" s="129" t="str">
        <f>IFERROR(VLOOKUP(B539,BD_CONTROL!$A$5:$M$4235,11,0),"")</f>
        <v>INSTALADO - OPERANDO</v>
      </c>
      <c r="L539" s="120">
        <f>IFERROR(VLOOKUP(B539,BD_CONTROL!$A$5:$M$4235,12,0),"")</f>
        <v>46125</v>
      </c>
      <c r="M539" s="121" t="str">
        <f>IFERROR(VLOOKUP(B539,BD_CONTROL!$A$5:$M$4235,13,0),"")</f>
        <v>Cargado desde DB instalación 23/04/2026</v>
      </c>
    </row>
    <row r="540" spans="1:13" ht="15" customHeight="1">
      <c r="A540" s="39">
        <v>535</v>
      </c>
      <c r="B540" s="39" t="s">
        <v>5642</v>
      </c>
      <c r="C540" s="40" t="s">
        <v>1337</v>
      </c>
      <c r="D540" s="39" t="s">
        <v>5640</v>
      </c>
      <c r="E540" s="40" t="s">
        <v>5643</v>
      </c>
      <c r="F540" s="40" t="s">
        <v>5644</v>
      </c>
      <c r="G540" s="39" t="s">
        <v>102</v>
      </c>
      <c r="H540" s="40" t="s">
        <v>3449</v>
      </c>
      <c r="I540" s="40" t="s">
        <v>104</v>
      </c>
      <c r="J540" s="50"/>
      <c r="K540" s="116" t="str">
        <f>IFERROR(VLOOKUP(B540,BD_CONTROL!$A$5:$M$4235,11,0),"")</f>
        <v>Instalado - Operando</v>
      </c>
      <c r="L540" s="117">
        <f>IFERROR(VLOOKUP(B540,BD_CONTROL!$A$5:$M$4235,12,0),"")</f>
        <v>46153</v>
      </c>
      <c r="M540" s="118">
        <f>IFERROR(VLOOKUP(B540,BD_CONTROL!$A$5:$M$4235,13,0),"")</f>
        <v>0</v>
      </c>
    </row>
    <row r="541" spans="1:13" ht="15" customHeight="1">
      <c r="A541" s="42">
        <v>536</v>
      </c>
      <c r="B541" s="42" t="s">
        <v>5645</v>
      </c>
      <c r="C541" s="43" t="s">
        <v>5646</v>
      </c>
      <c r="D541" s="42" t="s">
        <v>5640</v>
      </c>
      <c r="E541" s="43" t="s">
        <v>5640</v>
      </c>
      <c r="F541" s="43" t="s">
        <v>5647</v>
      </c>
      <c r="G541" s="42" t="s">
        <v>102</v>
      </c>
      <c r="H541" s="43" t="s">
        <v>3449</v>
      </c>
      <c r="I541" s="43" t="s">
        <v>104</v>
      </c>
      <c r="J541" s="55"/>
      <c r="K541" s="129" t="str">
        <f>IFERROR(VLOOKUP(B541,BD_CONTROL!$A$5:$M$4235,11,0),"")</f>
        <v>Instalado - Operando</v>
      </c>
      <c r="L541" s="120">
        <f>IFERROR(VLOOKUP(B541,BD_CONTROL!$A$5:$M$4235,12,0),"")</f>
        <v>46136</v>
      </c>
      <c r="M541" s="121">
        <f>IFERROR(VLOOKUP(B541,BD_CONTROL!$A$5:$M$4235,13,0),"")</f>
        <v>0</v>
      </c>
    </row>
    <row r="542" spans="1:13" ht="15" customHeight="1">
      <c r="A542" s="39">
        <v>537</v>
      </c>
      <c r="B542" s="39" t="s">
        <v>5648</v>
      </c>
      <c r="C542" s="40" t="s">
        <v>483</v>
      </c>
      <c r="D542" s="39" t="s">
        <v>5640</v>
      </c>
      <c r="E542" s="40" t="s">
        <v>5649</v>
      </c>
      <c r="F542" s="40" t="s">
        <v>5650</v>
      </c>
      <c r="G542" s="39" t="s">
        <v>109</v>
      </c>
      <c r="H542" s="40" t="s">
        <v>3449</v>
      </c>
      <c r="I542" s="40" t="s">
        <v>104</v>
      </c>
      <c r="J542" s="50"/>
      <c r="K542" s="116" t="str">
        <f>IFERROR(VLOOKUP(B542,BD_CONTROL!$A$5:$M$4235,11,0),"")</f>
        <v>Instalado - Operando</v>
      </c>
      <c r="L542" s="117">
        <f>IFERROR(VLOOKUP(B542,BD_CONTROL!$A$5:$M$4235,12,0),"")</f>
        <v>46139</v>
      </c>
      <c r="M542" s="118">
        <f>IFERROR(VLOOKUP(B542,BD_CONTROL!$A$5:$M$4235,13,0),"")</f>
        <v>0</v>
      </c>
    </row>
    <row r="543" spans="1:13" ht="15" customHeight="1">
      <c r="A543" s="42">
        <v>538</v>
      </c>
      <c r="B543" s="42" t="s">
        <v>5651</v>
      </c>
      <c r="C543" s="43" t="s">
        <v>3415</v>
      </c>
      <c r="D543" s="42" t="s">
        <v>5640</v>
      </c>
      <c r="E543" s="43" t="s">
        <v>5640</v>
      </c>
      <c r="F543" s="43" t="s">
        <v>5652</v>
      </c>
      <c r="G543" s="42" t="s">
        <v>109</v>
      </c>
      <c r="H543" s="43" t="s">
        <v>3449</v>
      </c>
      <c r="I543" s="43" t="s">
        <v>104</v>
      </c>
      <c r="J543" s="55"/>
      <c r="K543" s="129" t="str">
        <f>IFERROR(VLOOKUP(B543,BD_CONTROL!$A$5:$M$4235,11,0),"")</f>
        <v>INSTALADO - OPERANDO</v>
      </c>
      <c r="L543" s="120">
        <f>IFERROR(VLOOKUP(B543,BD_CONTROL!$A$5:$M$4235,12,0),"")</f>
        <v>46108</v>
      </c>
      <c r="M543" s="121" t="str">
        <f>IFERROR(VLOOKUP(B543,BD_CONTROL!$A$5:$M$4235,13,0),"")</f>
        <v>Cargado desde DB instalación 23/04/2026</v>
      </c>
    </row>
    <row r="544" spans="1:13" ht="15" customHeight="1">
      <c r="A544" s="39">
        <v>539</v>
      </c>
      <c r="B544" s="39" t="s">
        <v>5653</v>
      </c>
      <c r="C544" s="40" t="s">
        <v>1375</v>
      </c>
      <c r="D544" s="39" t="s">
        <v>5640</v>
      </c>
      <c r="E544" s="40" t="s">
        <v>5654</v>
      </c>
      <c r="F544" s="40" t="s">
        <v>5655</v>
      </c>
      <c r="G544" s="39" t="s">
        <v>102</v>
      </c>
      <c r="H544" s="40" t="s">
        <v>3449</v>
      </c>
      <c r="I544" s="40" t="s">
        <v>104</v>
      </c>
      <c r="J544" s="50"/>
      <c r="K544" s="116">
        <f>IFERROR(VLOOKUP(B544,BD_CONTROL!$A$5:$M$4235,11,0),"")</f>
        <v>0</v>
      </c>
      <c r="L544" s="117">
        <f>IFERROR(VLOOKUP(B544,BD_CONTROL!$A$5:$M$4235,12,0),"")</f>
        <v>0</v>
      </c>
      <c r="M544" s="118">
        <f>IFERROR(VLOOKUP(B544,BD_CONTROL!$A$5:$M$4235,13,0),"")</f>
        <v>0</v>
      </c>
    </row>
    <row r="545" spans="1:13" ht="15" customHeight="1">
      <c r="A545" s="42">
        <v>540</v>
      </c>
      <c r="B545" s="42" t="s">
        <v>5656</v>
      </c>
      <c r="C545" s="43" t="s">
        <v>5657</v>
      </c>
      <c r="D545" s="42" t="s">
        <v>5640</v>
      </c>
      <c r="E545" s="43" t="s">
        <v>5658</v>
      </c>
      <c r="F545" s="43" t="s">
        <v>5658</v>
      </c>
      <c r="G545" s="42" t="s">
        <v>109</v>
      </c>
      <c r="H545" s="43" t="s">
        <v>3449</v>
      </c>
      <c r="I545" s="43" t="s">
        <v>104</v>
      </c>
      <c r="J545" s="55"/>
      <c r="K545" s="129" t="str">
        <f>IFERROR(VLOOKUP(B545,BD_CONTROL!$A$5:$M$4235,11,0),"")</f>
        <v>INSTALADO - OPERANDO</v>
      </c>
      <c r="L545" s="120">
        <f>IFERROR(VLOOKUP(B545,BD_CONTROL!$A$5:$M$4235,12,0),"")</f>
        <v>46134</v>
      </c>
      <c r="M545" s="121" t="str">
        <f>IFERROR(VLOOKUP(B545,BD_CONTROL!$A$5:$M$4235,13,0),"")</f>
        <v>Cargado desde DB instalación 23/04/2026</v>
      </c>
    </row>
    <row r="546" spans="1:13" ht="15" customHeight="1">
      <c r="A546" s="39">
        <v>541</v>
      </c>
      <c r="B546" s="39" t="s">
        <v>5659</v>
      </c>
      <c r="C546" s="40" t="s">
        <v>5660</v>
      </c>
      <c r="D546" s="39" t="s">
        <v>5640</v>
      </c>
      <c r="E546" s="40" t="s">
        <v>5661</v>
      </c>
      <c r="F546" s="40" t="s">
        <v>5662</v>
      </c>
      <c r="G546" s="39" t="s">
        <v>102</v>
      </c>
      <c r="H546" s="40" t="s">
        <v>3449</v>
      </c>
      <c r="I546" s="40" t="s">
        <v>104</v>
      </c>
      <c r="J546" s="50"/>
      <c r="K546" s="116">
        <f>IFERROR(VLOOKUP(B546,BD_CONTROL!$A$5:$M$4235,11,0),"")</f>
        <v>0</v>
      </c>
      <c r="L546" s="117">
        <f>IFERROR(VLOOKUP(B546,BD_CONTROL!$A$5:$M$4235,12,0),"")</f>
        <v>0</v>
      </c>
      <c r="M546" s="118">
        <f>IFERROR(VLOOKUP(B546,BD_CONTROL!$A$5:$M$4235,13,0),"")</f>
        <v>0</v>
      </c>
    </row>
    <row r="547" spans="1:13" ht="15" customHeight="1">
      <c r="A547" s="42">
        <v>542</v>
      </c>
      <c r="B547" s="42" t="s">
        <v>5663</v>
      </c>
      <c r="C547" s="43" t="s">
        <v>483</v>
      </c>
      <c r="D547" s="42" t="s">
        <v>5640</v>
      </c>
      <c r="E547" s="43" t="s">
        <v>5654</v>
      </c>
      <c r="F547" s="43" t="s">
        <v>5654</v>
      </c>
      <c r="G547" s="42" t="s">
        <v>109</v>
      </c>
      <c r="H547" s="43" t="s">
        <v>3449</v>
      </c>
      <c r="I547" s="43" t="s">
        <v>104</v>
      </c>
      <c r="J547" s="55"/>
      <c r="K547" s="119">
        <f>IFERROR(VLOOKUP(B547,BD_CONTROL!$A$5:$M$4235,11,0),"")</f>
        <v>0</v>
      </c>
      <c r="L547" s="120">
        <f>IFERROR(VLOOKUP(B547,BD_CONTROL!$A$5:$M$4235,12,0),"")</f>
        <v>0</v>
      </c>
      <c r="M547" s="121">
        <f>IFERROR(VLOOKUP(B547,BD_CONTROL!$A$5:$M$4235,13,0),"")</f>
        <v>0</v>
      </c>
    </row>
    <row r="548" spans="1:13" ht="15" customHeight="1">
      <c r="A548" s="39">
        <v>543</v>
      </c>
      <c r="B548" s="39" t="s">
        <v>5664</v>
      </c>
      <c r="C548" s="40" t="s">
        <v>1323</v>
      </c>
      <c r="D548" s="39" t="s">
        <v>5640</v>
      </c>
      <c r="E548" s="40" t="s">
        <v>5665</v>
      </c>
      <c r="F548" s="40" t="s">
        <v>5665</v>
      </c>
      <c r="G548" s="39" t="s">
        <v>109</v>
      </c>
      <c r="H548" s="40" t="s">
        <v>3449</v>
      </c>
      <c r="I548" s="40" t="s">
        <v>104</v>
      </c>
      <c r="J548" s="50"/>
      <c r="K548" s="116" t="str">
        <f>IFERROR(VLOOKUP(B548,BD_CONTROL!$A$5:$M$4235,11,0),"")</f>
        <v>Instalado - Operando</v>
      </c>
      <c r="L548" s="117">
        <f>IFERROR(VLOOKUP(B548,BD_CONTROL!$A$5:$M$4235,12,0),"")</f>
        <v>46150</v>
      </c>
      <c r="M548" s="118">
        <f>IFERROR(VLOOKUP(B548,BD_CONTROL!$A$5:$M$4235,13,0),"")</f>
        <v>0</v>
      </c>
    </row>
    <row r="549" spans="1:13" ht="15" customHeight="1">
      <c r="A549" s="42">
        <v>544</v>
      </c>
      <c r="B549" s="42" t="s">
        <v>5666</v>
      </c>
      <c r="C549" s="43" t="s">
        <v>5667</v>
      </c>
      <c r="D549" s="42" t="s">
        <v>5640</v>
      </c>
      <c r="E549" s="43" t="s">
        <v>5668</v>
      </c>
      <c r="F549" s="43" t="s">
        <v>5668</v>
      </c>
      <c r="G549" s="42" t="s">
        <v>109</v>
      </c>
      <c r="H549" s="43" t="s">
        <v>3449</v>
      </c>
      <c r="I549" s="43" t="s">
        <v>104</v>
      </c>
      <c r="J549" s="55"/>
      <c r="K549" s="119">
        <f>IFERROR(VLOOKUP(B549,BD_CONTROL!$A$5:$M$4235,11,0),"")</f>
        <v>0</v>
      </c>
      <c r="L549" s="120">
        <f>IFERROR(VLOOKUP(B549,BD_CONTROL!$A$5:$M$4235,12,0),"")</f>
        <v>0</v>
      </c>
      <c r="M549" s="121">
        <f>IFERROR(VLOOKUP(B549,BD_CONTROL!$A$5:$M$4235,13,0),"")</f>
        <v>0</v>
      </c>
    </row>
    <row r="550" spans="1:13" ht="15" customHeight="1">
      <c r="A550" s="39">
        <v>545</v>
      </c>
      <c r="B550" s="39" t="s">
        <v>5669</v>
      </c>
      <c r="C550" s="40" t="s">
        <v>5670</v>
      </c>
      <c r="D550" s="39" t="s">
        <v>5640</v>
      </c>
      <c r="E550" s="40" t="s">
        <v>5671</v>
      </c>
      <c r="F550" s="40" t="s">
        <v>5671</v>
      </c>
      <c r="G550" s="39" t="s">
        <v>109</v>
      </c>
      <c r="H550" s="40" t="s">
        <v>3449</v>
      </c>
      <c r="I550" s="40" t="s">
        <v>104</v>
      </c>
      <c r="J550" s="50"/>
      <c r="K550" s="116" t="str">
        <f>IFERROR(VLOOKUP(B550,BD_CONTROL!$A$5:$M$4235,11,0),"")</f>
        <v>Instalado - Sin Señal</v>
      </c>
      <c r="L550" s="117">
        <f>IFERROR(VLOOKUP(B550,BD_CONTROL!$A$5:$M$4235,12,0),"")</f>
        <v>46140</v>
      </c>
      <c r="M550" s="118" t="str">
        <f>IFERROR(VLOOKUP(B550,BD_CONTROL!$A$5:$M$4235,13,0),"")</f>
        <v>INSTALADO= Instalado, no operando, con reporte a mesa de ayuda</v>
      </c>
    </row>
    <row r="551" spans="1:13" ht="15" customHeight="1">
      <c r="A551" s="42">
        <v>546</v>
      </c>
      <c r="B551" s="42" t="s">
        <v>5672</v>
      </c>
      <c r="C551" s="43" t="s">
        <v>4977</v>
      </c>
      <c r="D551" s="42" t="s">
        <v>5640</v>
      </c>
      <c r="E551" s="43" t="s">
        <v>5673</v>
      </c>
      <c r="F551" s="43" t="s">
        <v>5673</v>
      </c>
      <c r="G551" s="42" t="s">
        <v>109</v>
      </c>
      <c r="H551" s="43" t="s">
        <v>3449</v>
      </c>
      <c r="I551" s="43" t="s">
        <v>104</v>
      </c>
      <c r="J551" s="55"/>
      <c r="K551" s="129" t="str">
        <f>IFERROR(VLOOKUP(B551,BD_CONTROL!$A$5:$M$4235,11,0),"")</f>
        <v>INSTALADO - OPERANDO</v>
      </c>
      <c r="L551" s="120">
        <f>IFERROR(VLOOKUP(B551,BD_CONTROL!$A$5:$M$4235,12,0),"")</f>
        <v>46125</v>
      </c>
      <c r="M551" s="121" t="str">
        <f>IFERROR(VLOOKUP(B551,BD_CONTROL!$A$5:$M$4235,13,0),"")</f>
        <v>Cargado desde DB instalación 23/04/2026</v>
      </c>
    </row>
    <row r="552" spans="1:13" ht="15" customHeight="1">
      <c r="A552" s="39">
        <v>547</v>
      </c>
      <c r="B552" s="39" t="s">
        <v>5674</v>
      </c>
      <c r="C552" s="40" t="s">
        <v>5675</v>
      </c>
      <c r="D552" s="39" t="s">
        <v>5640</v>
      </c>
      <c r="E552" s="40" t="s">
        <v>5640</v>
      </c>
      <c r="F552" s="40" t="s">
        <v>5640</v>
      </c>
      <c r="G552" s="39" t="s">
        <v>102</v>
      </c>
      <c r="H552" s="40" t="s">
        <v>3449</v>
      </c>
      <c r="I552" s="40" t="s">
        <v>104</v>
      </c>
      <c r="J552" s="50"/>
      <c r="K552" s="129" t="str">
        <f>IFERROR(VLOOKUP(B552,BD_CONTROL!$A$5:$M$4235,11,0),"")</f>
        <v>INSTALADO - OPERANDO</v>
      </c>
      <c r="L552" s="117">
        <f>IFERROR(VLOOKUP(B552,BD_CONTROL!$A$5:$M$4235,12,0),"")</f>
        <v>46104</v>
      </c>
      <c r="M552" s="118" t="str">
        <f>IFERROR(VLOOKUP(B552,BD_CONTROL!$A$5:$M$4235,13,0),"")</f>
        <v>Cargado desde DB instalación 23/04/2026</v>
      </c>
    </row>
    <row r="553" spans="1:13" ht="15" customHeight="1">
      <c r="A553" s="42">
        <v>548</v>
      </c>
      <c r="B553" s="42" t="s">
        <v>5676</v>
      </c>
      <c r="C553" s="43" t="s">
        <v>2256</v>
      </c>
      <c r="D553" s="42" t="s">
        <v>5640</v>
      </c>
      <c r="E553" s="43" t="s">
        <v>5640</v>
      </c>
      <c r="F553" s="43" t="s">
        <v>5677</v>
      </c>
      <c r="G553" s="42" t="s">
        <v>109</v>
      </c>
      <c r="H553" s="43" t="s">
        <v>3449</v>
      </c>
      <c r="I553" s="43" t="s">
        <v>104</v>
      </c>
      <c r="J553" s="55"/>
      <c r="K553" s="129" t="str">
        <f>IFERROR(VLOOKUP(B553,BD_CONTROL!$A$5:$M$4235,11,0),"")</f>
        <v>INSTALADO - OPERANDO</v>
      </c>
      <c r="L553" s="120">
        <f>IFERROR(VLOOKUP(B553,BD_CONTROL!$A$5:$M$4235,12,0),"")</f>
        <v>46129</v>
      </c>
      <c r="M553" s="121" t="str">
        <f>IFERROR(VLOOKUP(B553,BD_CONTROL!$A$5:$M$4235,13,0),"")</f>
        <v>Cargado desde DB instalación 23/04/2026</v>
      </c>
    </row>
    <row r="554" spans="1:13" ht="15" customHeight="1">
      <c r="A554" s="39">
        <v>549</v>
      </c>
      <c r="B554" s="39" t="s">
        <v>5678</v>
      </c>
      <c r="C554" s="40" t="s">
        <v>5679</v>
      </c>
      <c r="D554" s="39" t="s">
        <v>5640</v>
      </c>
      <c r="E554" s="40" t="s">
        <v>5680</v>
      </c>
      <c r="F554" s="40" t="s">
        <v>5680</v>
      </c>
      <c r="G554" s="39" t="s">
        <v>109</v>
      </c>
      <c r="H554" s="40" t="s">
        <v>3449</v>
      </c>
      <c r="I554" s="40" t="s">
        <v>104</v>
      </c>
      <c r="J554" s="50"/>
      <c r="K554" s="129" t="str">
        <f>IFERROR(VLOOKUP(B554,BD_CONTROL!$A$5:$M$4235,11,0),"")</f>
        <v>INSTALADO - OPERANDO</v>
      </c>
      <c r="L554" s="117">
        <f>IFERROR(VLOOKUP(B554,BD_CONTROL!$A$5:$M$4235,12,0),"")</f>
        <v>46105</v>
      </c>
      <c r="M554" s="118" t="str">
        <f>IFERROR(VLOOKUP(B554,BD_CONTROL!$A$5:$M$4235,13,0),"")</f>
        <v>Cargado desde DB instalación 23/04/2026</v>
      </c>
    </row>
    <row r="555" spans="1:13" ht="15" customHeight="1">
      <c r="A555" s="42">
        <v>550</v>
      </c>
      <c r="B555" s="42" t="s">
        <v>5681</v>
      </c>
      <c r="C555" s="43" t="s">
        <v>5682</v>
      </c>
      <c r="D555" s="42" t="s">
        <v>5640</v>
      </c>
      <c r="E555" s="43" t="s">
        <v>5683</v>
      </c>
      <c r="F555" s="43" t="s">
        <v>5684</v>
      </c>
      <c r="G555" s="42" t="s">
        <v>109</v>
      </c>
      <c r="H555" s="43" t="s">
        <v>3449</v>
      </c>
      <c r="I555" s="43" t="s">
        <v>104</v>
      </c>
      <c r="J555" s="55"/>
      <c r="K555" s="129" t="str">
        <f>IFERROR(VLOOKUP(B555,BD_CONTROL!$A$5:$M$4235,11,0),"")</f>
        <v>INSTALADO - OPERANDO</v>
      </c>
      <c r="L555" s="120">
        <f>IFERROR(VLOOKUP(B555,BD_CONTROL!$A$5:$M$4235,12,0),"")</f>
        <v>46126</v>
      </c>
      <c r="M555" s="121" t="str">
        <f>IFERROR(VLOOKUP(B555,BD_CONTROL!$A$5:$M$4235,13,0),"")</f>
        <v>Cargado desde DB instalación 23/04/2026</v>
      </c>
    </row>
    <row r="556" spans="1:13" ht="15" customHeight="1">
      <c r="A556" s="39">
        <v>551</v>
      </c>
      <c r="B556" s="39" t="s">
        <v>5685</v>
      </c>
      <c r="C556" s="40" t="s">
        <v>5686</v>
      </c>
      <c r="D556" s="39" t="s">
        <v>5640</v>
      </c>
      <c r="E556" s="40" t="s">
        <v>5687</v>
      </c>
      <c r="F556" s="40" t="s">
        <v>5688</v>
      </c>
      <c r="G556" s="39" t="s">
        <v>102</v>
      </c>
      <c r="H556" s="40" t="s">
        <v>3449</v>
      </c>
      <c r="I556" s="40" t="s">
        <v>104</v>
      </c>
      <c r="J556" s="50"/>
      <c r="K556" s="129" t="str">
        <f>IFERROR(VLOOKUP(B556,BD_CONTROL!$A$5:$M$4235,11,0),"")</f>
        <v>INSTALADO - OPERANDO</v>
      </c>
      <c r="L556" s="117">
        <f>IFERROR(VLOOKUP(B556,BD_CONTROL!$A$5:$M$4235,12,0),"")</f>
        <v>46126</v>
      </c>
      <c r="M556" s="118" t="str">
        <f>IFERROR(VLOOKUP(B556,BD_CONTROL!$A$5:$M$4235,13,0),"")</f>
        <v>Cargado desde DB instalación 23/04/2026</v>
      </c>
    </row>
    <row r="557" spans="1:13" ht="15" customHeight="1">
      <c r="A557" s="42">
        <v>552</v>
      </c>
      <c r="B557" s="42" t="s">
        <v>5689</v>
      </c>
      <c r="C557" s="43" t="s">
        <v>5690</v>
      </c>
      <c r="D557" s="42" t="s">
        <v>5640</v>
      </c>
      <c r="E557" s="43" t="s">
        <v>5691</v>
      </c>
      <c r="F557" s="43" t="s">
        <v>5691</v>
      </c>
      <c r="G557" s="42" t="s">
        <v>109</v>
      </c>
      <c r="H557" s="43" t="s">
        <v>3449</v>
      </c>
      <c r="I557" s="43" t="s">
        <v>104</v>
      </c>
      <c r="J557" s="55"/>
      <c r="K557" s="129" t="str">
        <f>IFERROR(VLOOKUP(B557,BD_CONTROL!$A$5:$M$4235,11,0),"")</f>
        <v>INSTALADO - OPERANDO</v>
      </c>
      <c r="L557" s="120">
        <f>IFERROR(VLOOKUP(B557,BD_CONTROL!$A$5:$M$4235,12,0),"")</f>
        <v>46133</v>
      </c>
      <c r="M557" s="121" t="str">
        <f>IFERROR(VLOOKUP(B557,BD_CONTROL!$A$5:$M$4235,13,0),"")</f>
        <v>Cargado desde DB instalación 23/04/2026</v>
      </c>
    </row>
    <row r="558" spans="1:13" ht="15" customHeight="1">
      <c r="A558" s="39">
        <v>553</v>
      </c>
      <c r="B558" s="39" t="s">
        <v>5692</v>
      </c>
      <c r="C558" s="40" t="s">
        <v>5693</v>
      </c>
      <c r="D558" s="39" t="s">
        <v>5640</v>
      </c>
      <c r="E558" s="40" t="s">
        <v>5694</v>
      </c>
      <c r="F558" s="40" t="s">
        <v>5695</v>
      </c>
      <c r="G558" s="39" t="s">
        <v>109</v>
      </c>
      <c r="H558" s="40" t="s">
        <v>3449</v>
      </c>
      <c r="I558" s="40" t="s">
        <v>104</v>
      </c>
      <c r="J558" s="50"/>
      <c r="K558" s="116" t="str">
        <f>IFERROR(VLOOKUP(B558,BD_CONTROL!$A$5:$M$4235,11,0),"")</f>
        <v>Instalado - Operando</v>
      </c>
      <c r="L558" s="117">
        <f>IFERROR(VLOOKUP(B558,BD_CONTROL!$A$5:$M$4235,12,0),"")</f>
        <v>46148</v>
      </c>
      <c r="M558" s="118">
        <f>IFERROR(VLOOKUP(B558,BD_CONTROL!$A$5:$M$4235,13,0),"")</f>
        <v>0</v>
      </c>
    </row>
    <row r="559" spans="1:13" ht="15" customHeight="1">
      <c r="A559" s="42">
        <v>554</v>
      </c>
      <c r="B559" s="42" t="s">
        <v>5696</v>
      </c>
      <c r="C559" s="43" t="s">
        <v>5697</v>
      </c>
      <c r="D559" s="42" t="s">
        <v>5640</v>
      </c>
      <c r="E559" s="43" t="s">
        <v>5698</v>
      </c>
      <c r="F559" s="43" t="s">
        <v>1440</v>
      </c>
      <c r="G559" s="42" t="s">
        <v>109</v>
      </c>
      <c r="H559" s="43" t="s">
        <v>3449</v>
      </c>
      <c r="I559" s="43" t="s">
        <v>104</v>
      </c>
      <c r="J559" s="55"/>
      <c r="K559" s="119" t="str">
        <f>IFERROR(VLOOKUP(B559,BD_CONTROL!$A$5:$M$4235,11,0),"")</f>
        <v>Instalado - Operando</v>
      </c>
      <c r="L559" s="120">
        <f>IFERROR(VLOOKUP(B559,BD_CONTROL!$A$5:$M$4235,12,0),"")</f>
        <v>46142</v>
      </c>
      <c r="M559" s="121">
        <f>IFERROR(VLOOKUP(B559,BD_CONTROL!$A$5:$M$4235,13,0),"")</f>
        <v>0</v>
      </c>
    </row>
    <row r="560" spans="1:13" ht="15" customHeight="1">
      <c r="A560" s="39">
        <v>555</v>
      </c>
      <c r="B560" s="39" t="s">
        <v>5699</v>
      </c>
      <c r="C560" s="40" t="s">
        <v>4691</v>
      </c>
      <c r="D560" s="39" t="s">
        <v>5640</v>
      </c>
      <c r="E560" s="40" t="s">
        <v>5700</v>
      </c>
      <c r="F560" s="40" t="s">
        <v>5701</v>
      </c>
      <c r="G560" s="39" t="s">
        <v>109</v>
      </c>
      <c r="H560" s="40" t="s">
        <v>3449</v>
      </c>
      <c r="I560" s="40" t="s">
        <v>104</v>
      </c>
      <c r="J560" s="50"/>
      <c r="K560" s="129" t="str">
        <f>IFERROR(VLOOKUP(B560,BD_CONTROL!$A$5:$M$4235,11,0),"")</f>
        <v>INSTALADO - OPERANDO</v>
      </c>
      <c r="L560" s="117">
        <f>IFERROR(VLOOKUP(B560,BD_CONTROL!$A$5:$M$4235,12,0),"")</f>
        <v>46134</v>
      </c>
      <c r="M560" s="118" t="str">
        <f>IFERROR(VLOOKUP(B560,BD_CONTROL!$A$5:$M$4235,13,0),"")</f>
        <v>Cargado desde DB instalación 23/04/2026</v>
      </c>
    </row>
    <row r="561" spans="1:13" ht="15" customHeight="1">
      <c r="A561" s="42">
        <v>556</v>
      </c>
      <c r="B561" s="42" t="s">
        <v>5702</v>
      </c>
      <c r="C561" s="43" t="s">
        <v>483</v>
      </c>
      <c r="D561" s="42" t="s">
        <v>5640</v>
      </c>
      <c r="E561" s="43" t="s">
        <v>5703</v>
      </c>
      <c r="F561" s="43" t="s">
        <v>5703</v>
      </c>
      <c r="G561" s="42" t="s">
        <v>109</v>
      </c>
      <c r="H561" s="43" t="s">
        <v>3449</v>
      </c>
      <c r="I561" s="43" t="s">
        <v>104</v>
      </c>
      <c r="J561" s="55"/>
      <c r="K561" s="119" t="str">
        <f>IFERROR(VLOOKUP(B561,BD_CONTROL!$A$5:$M$4235,11,0),"")</f>
        <v>Instalado - Operando</v>
      </c>
      <c r="L561" s="120">
        <f>IFERROR(VLOOKUP(B561,BD_CONTROL!$A$5:$M$4235,12,0),"")</f>
        <v>46147</v>
      </c>
      <c r="M561" s="121">
        <f>IFERROR(VLOOKUP(B561,BD_CONTROL!$A$5:$M$4235,13,0),"")</f>
        <v>0</v>
      </c>
    </row>
    <row r="562" spans="1:13" ht="15" customHeight="1">
      <c r="A562" s="39">
        <v>557</v>
      </c>
      <c r="B562" s="39" t="s">
        <v>5704</v>
      </c>
      <c r="C562" s="40" t="s">
        <v>5705</v>
      </c>
      <c r="D562" s="39" t="s">
        <v>5640</v>
      </c>
      <c r="E562" s="40" t="s">
        <v>5698</v>
      </c>
      <c r="F562" s="40" t="s">
        <v>5706</v>
      </c>
      <c r="G562" s="39" t="s">
        <v>102</v>
      </c>
      <c r="H562" s="40" t="s">
        <v>3449</v>
      </c>
      <c r="I562" s="40" t="s">
        <v>104</v>
      </c>
      <c r="J562" s="50"/>
      <c r="K562" s="129" t="str">
        <f>IFERROR(VLOOKUP(B562,BD_CONTROL!$A$5:$M$4235,11,0),"")</f>
        <v>INSTALADO - OPERANDO</v>
      </c>
      <c r="L562" s="117">
        <f>IFERROR(VLOOKUP(B562,BD_CONTROL!$A$5:$M$4235,12,0),"")</f>
        <v>46106</v>
      </c>
      <c r="M562" s="118" t="str">
        <f>IFERROR(VLOOKUP(B562,BD_CONTROL!$A$5:$M$4235,13,0),"")</f>
        <v>Cargado desde DB instalación 23/04/2026</v>
      </c>
    </row>
    <row r="563" spans="1:13" ht="15" customHeight="1">
      <c r="A563" s="42">
        <v>558</v>
      </c>
      <c r="B563" s="42" t="s">
        <v>5707</v>
      </c>
      <c r="C563" s="43" t="s">
        <v>4969</v>
      </c>
      <c r="D563" s="42" t="s">
        <v>5640</v>
      </c>
      <c r="E563" s="43" t="s">
        <v>5691</v>
      </c>
      <c r="F563" s="43" t="s">
        <v>5708</v>
      </c>
      <c r="G563" s="42" t="s">
        <v>109</v>
      </c>
      <c r="H563" s="43" t="s">
        <v>3449</v>
      </c>
      <c r="I563" s="43" t="s">
        <v>104</v>
      </c>
      <c r="J563" s="55"/>
      <c r="K563" s="129" t="str">
        <f>IFERROR(VLOOKUP(B563,BD_CONTROL!$A$5:$M$4235,11,0),"")</f>
        <v>INSTALADO - OPERANDO</v>
      </c>
      <c r="L563" s="120">
        <f>IFERROR(VLOOKUP(B563,BD_CONTROL!$A$5:$M$4235,12,0),"")</f>
        <v>46128</v>
      </c>
      <c r="M563" s="121" t="str">
        <f>IFERROR(VLOOKUP(B563,BD_CONTROL!$A$5:$M$4235,13,0),"")</f>
        <v>Cargado desde DB instalación 23/04/2026</v>
      </c>
    </row>
    <row r="564" spans="1:13" ht="15" customHeight="1">
      <c r="A564" s="39">
        <v>559</v>
      </c>
      <c r="B564" s="39" t="s">
        <v>5709</v>
      </c>
      <c r="C564" s="40" t="s">
        <v>483</v>
      </c>
      <c r="D564" s="39" t="s">
        <v>5640</v>
      </c>
      <c r="E564" s="40" t="s">
        <v>5710</v>
      </c>
      <c r="F564" s="40" t="s">
        <v>5711</v>
      </c>
      <c r="G564" s="39" t="s">
        <v>109</v>
      </c>
      <c r="H564" s="40" t="s">
        <v>3449</v>
      </c>
      <c r="I564" s="40" t="s">
        <v>104</v>
      </c>
      <c r="J564" s="50"/>
      <c r="K564" s="116" t="str">
        <f>IFERROR(VLOOKUP(B564,BD_CONTROL!$A$5:$M$4235,11,0),"")</f>
        <v>Instalado - Operando</v>
      </c>
      <c r="L564" s="117">
        <f>IFERROR(VLOOKUP(B564,BD_CONTROL!$A$5:$M$4235,12,0),"")</f>
        <v>46142</v>
      </c>
      <c r="M564" s="118">
        <f>IFERROR(VLOOKUP(B564,BD_CONTROL!$A$5:$M$4235,13,0),"")</f>
        <v>0</v>
      </c>
    </row>
    <row r="565" spans="1:13" ht="15" customHeight="1">
      <c r="A565" s="42">
        <v>560</v>
      </c>
      <c r="B565" s="42" t="s">
        <v>5712</v>
      </c>
      <c r="C565" s="43" t="s">
        <v>694</v>
      </c>
      <c r="D565" s="42" t="s">
        <v>5640</v>
      </c>
      <c r="E565" s="43" t="s">
        <v>5713</v>
      </c>
      <c r="F565" s="43" t="s">
        <v>5714</v>
      </c>
      <c r="G565" s="42" t="s">
        <v>102</v>
      </c>
      <c r="H565" s="43" t="s">
        <v>3449</v>
      </c>
      <c r="I565" s="43" t="s">
        <v>104</v>
      </c>
      <c r="J565" s="55"/>
      <c r="K565" s="119" t="str">
        <f>IFERROR(VLOOKUP(B565,BD_CONTROL!$A$5:$M$4235,11,0),"")</f>
        <v>Instalado - Operando</v>
      </c>
      <c r="L565" s="120">
        <f>IFERROR(VLOOKUP(B565,BD_CONTROL!$A$5:$M$4235,12,0),"")</f>
        <v>46146</v>
      </c>
      <c r="M565" s="121">
        <f>IFERROR(VLOOKUP(B565,BD_CONTROL!$A$5:$M$4235,13,0),"")</f>
        <v>0</v>
      </c>
    </row>
    <row r="566" spans="1:13" ht="15" customHeight="1">
      <c r="A566" s="39">
        <v>561</v>
      </c>
      <c r="B566" s="39" t="s">
        <v>5715</v>
      </c>
      <c r="C566" s="40" t="s">
        <v>5716</v>
      </c>
      <c r="D566" s="39" t="s">
        <v>5640</v>
      </c>
      <c r="E566" s="40" t="s">
        <v>5717</v>
      </c>
      <c r="F566" s="40" t="s">
        <v>5717</v>
      </c>
      <c r="G566" s="39" t="s">
        <v>102</v>
      </c>
      <c r="H566" s="40" t="s">
        <v>3449</v>
      </c>
      <c r="I566" s="40" t="s">
        <v>104</v>
      </c>
      <c r="J566" s="50"/>
      <c r="K566" s="129" t="str">
        <f>IFERROR(VLOOKUP(B566,BD_CONTROL!$A$5:$M$4235,11,0),"")</f>
        <v>INSTALADO - OPERANDO</v>
      </c>
      <c r="L566" s="117">
        <f>IFERROR(VLOOKUP(B566,BD_CONTROL!$A$5:$M$4235,12,0),"")</f>
        <v>46129</v>
      </c>
      <c r="M566" s="118" t="str">
        <f>IFERROR(VLOOKUP(B566,BD_CONTROL!$A$5:$M$4235,13,0),"")</f>
        <v>Cargado desde DB instalación 23/04/2026</v>
      </c>
    </row>
    <row r="567" spans="1:13" ht="15" customHeight="1">
      <c r="A567" s="42">
        <v>562</v>
      </c>
      <c r="B567" s="42" t="s">
        <v>5718</v>
      </c>
      <c r="C567" s="43" t="s">
        <v>1323</v>
      </c>
      <c r="D567" s="42" t="s">
        <v>5640</v>
      </c>
      <c r="E567" s="43" t="s">
        <v>5719</v>
      </c>
      <c r="F567" s="43" t="s">
        <v>5719</v>
      </c>
      <c r="G567" s="42" t="s">
        <v>109</v>
      </c>
      <c r="H567" s="43" t="s">
        <v>3449</v>
      </c>
      <c r="I567" s="43" t="s">
        <v>104</v>
      </c>
      <c r="J567" s="55"/>
      <c r="K567" s="129" t="str">
        <f>IFERROR(VLOOKUP(B567,BD_CONTROL!$A$5:$M$4235,11,0),"")</f>
        <v>Instalado - Operando</v>
      </c>
      <c r="L567" s="120">
        <f>IFERROR(VLOOKUP(B567,BD_CONTROL!$A$5:$M$4235,12,0),"")</f>
        <v>46136</v>
      </c>
      <c r="M567" s="121">
        <f>IFERROR(VLOOKUP(B567,BD_CONTROL!$A$5:$M$4235,13,0),"")</f>
        <v>0</v>
      </c>
    </row>
    <row r="568" spans="1:13" ht="15" customHeight="1">
      <c r="A568" s="39">
        <v>563</v>
      </c>
      <c r="B568" s="39" t="s">
        <v>5720</v>
      </c>
      <c r="C568" s="40" t="s">
        <v>5721</v>
      </c>
      <c r="D568" s="39" t="s">
        <v>5640</v>
      </c>
      <c r="E568" s="40" t="s">
        <v>5640</v>
      </c>
      <c r="F568" s="40" t="s">
        <v>5647</v>
      </c>
      <c r="G568" s="39" t="s">
        <v>102</v>
      </c>
      <c r="H568" s="40" t="s">
        <v>3449</v>
      </c>
      <c r="I568" s="40" t="s">
        <v>104</v>
      </c>
      <c r="J568" s="50"/>
      <c r="K568" s="129" t="str">
        <f>IFERROR(VLOOKUP(B568,BD_CONTROL!$A$5:$M$4235,11,0),"")</f>
        <v>INSTALADO - OPERANDO</v>
      </c>
      <c r="L568" s="117">
        <f>IFERROR(VLOOKUP(B568,BD_CONTROL!$A$5:$M$4235,12,0),"")</f>
        <v>46104</v>
      </c>
      <c r="M568" s="118" t="str">
        <f>IFERROR(VLOOKUP(B568,BD_CONTROL!$A$5:$M$4235,13,0),"")</f>
        <v>Cargado desde DB instalación 23/04/2026</v>
      </c>
    </row>
    <row r="569" spans="1:13" ht="15" customHeight="1">
      <c r="A569" s="42">
        <v>564</v>
      </c>
      <c r="B569" s="42" t="s">
        <v>5722</v>
      </c>
      <c r="C569" s="43" t="s">
        <v>3381</v>
      </c>
      <c r="D569" s="42" t="s">
        <v>5640</v>
      </c>
      <c r="E569" s="43" t="s">
        <v>5723</v>
      </c>
      <c r="F569" s="43" t="s">
        <v>5724</v>
      </c>
      <c r="G569" s="42" t="s">
        <v>109</v>
      </c>
      <c r="H569" s="43" t="s">
        <v>3449</v>
      </c>
      <c r="I569" s="43" t="s">
        <v>104</v>
      </c>
      <c r="J569" s="55"/>
      <c r="K569" s="129" t="str">
        <f>IFERROR(VLOOKUP(B569,BD_CONTROL!$A$5:$M$4235,11,0),"")</f>
        <v>INSTALADO - OPERANDO</v>
      </c>
      <c r="L569" s="120">
        <f>IFERROR(VLOOKUP(B569,BD_CONTROL!$A$5:$M$4235,12,0),"")</f>
        <v>46107</v>
      </c>
      <c r="M569" s="121" t="str">
        <f>IFERROR(VLOOKUP(B569,BD_CONTROL!$A$5:$M$4235,13,0),"")</f>
        <v>Cargado desde DB instalación 23/04/2026</v>
      </c>
    </row>
    <row r="570" spans="1:13" ht="15" customHeight="1">
      <c r="A570" s="39">
        <v>565</v>
      </c>
      <c r="B570" s="39" t="s">
        <v>5725</v>
      </c>
      <c r="C570" s="40" t="s">
        <v>1337</v>
      </c>
      <c r="D570" s="39" t="s">
        <v>5640</v>
      </c>
      <c r="E570" s="40" t="s">
        <v>5640</v>
      </c>
      <c r="F570" s="40" t="s">
        <v>5726</v>
      </c>
      <c r="G570" s="39" t="s">
        <v>102</v>
      </c>
      <c r="H570" s="40" t="s">
        <v>3449</v>
      </c>
      <c r="I570" s="40" t="s">
        <v>104</v>
      </c>
      <c r="J570" s="50"/>
      <c r="K570" s="129" t="str">
        <f>IFERROR(VLOOKUP(B570,BD_CONTROL!$A$5:$M$4235,11,0),"")</f>
        <v>INSTALADO - OPERANDO</v>
      </c>
      <c r="L570" s="117">
        <f>IFERROR(VLOOKUP(B570,BD_CONTROL!$A$5:$M$4235,12,0),"")</f>
        <v>46129</v>
      </c>
      <c r="M570" s="118" t="str">
        <f>IFERROR(VLOOKUP(B570,BD_CONTROL!$A$5:$M$4235,13,0),"")</f>
        <v>Cargado desde DB instalación 23/04/2026</v>
      </c>
    </row>
    <row r="571" spans="1:13" ht="15" customHeight="1">
      <c r="A571" s="42">
        <v>566</v>
      </c>
      <c r="B571" s="42" t="s">
        <v>5727</v>
      </c>
      <c r="C571" s="43" t="s">
        <v>5728</v>
      </c>
      <c r="D571" s="42" t="s">
        <v>5640</v>
      </c>
      <c r="E571" s="43" t="s">
        <v>5729</v>
      </c>
      <c r="F571" s="43" t="s">
        <v>5729</v>
      </c>
      <c r="G571" s="42" t="s">
        <v>102</v>
      </c>
      <c r="H571" s="43" t="s">
        <v>3449</v>
      </c>
      <c r="I571" s="43" t="s">
        <v>104</v>
      </c>
      <c r="J571" s="55"/>
      <c r="K571" s="119" t="str">
        <f>IFERROR(VLOOKUP(B571,BD_CONTROL!$A$5:$M$4235,11,0),"")</f>
        <v>Instalado - Operando</v>
      </c>
      <c r="L571" s="120">
        <f>IFERROR(VLOOKUP(B571,BD_CONTROL!$A$5:$M$4235,12,0),"")</f>
        <v>46143</v>
      </c>
      <c r="M571" s="121">
        <f>IFERROR(VLOOKUP(B571,BD_CONTROL!$A$5:$M$4235,13,0),"")</f>
        <v>0</v>
      </c>
    </row>
    <row r="572" spans="1:13" ht="15" customHeight="1">
      <c r="A572" s="39">
        <v>567</v>
      </c>
      <c r="B572" s="39" t="s">
        <v>5730</v>
      </c>
      <c r="C572" s="40" t="s">
        <v>4568</v>
      </c>
      <c r="D572" s="39" t="s">
        <v>5640</v>
      </c>
      <c r="E572" s="40" t="s">
        <v>5731</v>
      </c>
      <c r="F572" s="40" t="s">
        <v>5732</v>
      </c>
      <c r="G572" s="39" t="s">
        <v>109</v>
      </c>
      <c r="H572" s="40" t="s">
        <v>3449</v>
      </c>
      <c r="I572" s="40" t="s">
        <v>104</v>
      </c>
      <c r="J572" s="50"/>
      <c r="K572" s="116" t="str">
        <f>IFERROR(VLOOKUP(B572,BD_CONTROL!$A$5:$M$4235,11,0),"")</f>
        <v>Instalado - Operando</v>
      </c>
      <c r="L572" s="117">
        <f>IFERROR(VLOOKUP(B572,BD_CONTROL!$A$5:$M$4235,12,0),"")</f>
        <v>46153</v>
      </c>
      <c r="M572" s="118">
        <f>IFERROR(VLOOKUP(B572,BD_CONTROL!$A$5:$M$4235,13,0),"")</f>
        <v>0</v>
      </c>
    </row>
    <row r="573" spans="1:13" ht="15" customHeight="1">
      <c r="A573" s="42">
        <v>568</v>
      </c>
      <c r="B573" s="42" t="s">
        <v>5733</v>
      </c>
      <c r="C573" s="43" t="s">
        <v>5734</v>
      </c>
      <c r="D573" s="42" t="s">
        <v>5640</v>
      </c>
      <c r="E573" s="43" t="s">
        <v>5735</v>
      </c>
      <c r="F573" s="43" t="s">
        <v>1123</v>
      </c>
      <c r="G573" s="42" t="s">
        <v>109</v>
      </c>
      <c r="H573" s="43" t="s">
        <v>3449</v>
      </c>
      <c r="I573" s="43" t="s">
        <v>104</v>
      </c>
      <c r="J573" s="55"/>
      <c r="K573" s="119" t="str">
        <f>IFERROR(VLOOKUP(B573,BD_CONTROL!$A$5:$M$4235,11,0),"")</f>
        <v>Instalado - Operando</v>
      </c>
      <c r="L573" s="120">
        <f>IFERROR(VLOOKUP(B573,BD_CONTROL!$A$5:$M$4235,12,0),"")</f>
        <v>46140</v>
      </c>
      <c r="M573" s="121">
        <f>IFERROR(VLOOKUP(B573,BD_CONTROL!$A$5:$M$4235,13,0),"")</f>
        <v>0</v>
      </c>
    </row>
    <row r="574" spans="1:13" ht="15" customHeight="1">
      <c r="A574" s="39">
        <v>569</v>
      </c>
      <c r="B574" s="39" t="s">
        <v>5736</v>
      </c>
      <c r="C574" s="40" t="s">
        <v>5737</v>
      </c>
      <c r="D574" s="39" t="s">
        <v>5640</v>
      </c>
      <c r="E574" s="40" t="s">
        <v>5738</v>
      </c>
      <c r="F574" s="40" t="s">
        <v>5738</v>
      </c>
      <c r="G574" s="39" t="s">
        <v>109</v>
      </c>
      <c r="H574" s="40" t="s">
        <v>3449</v>
      </c>
      <c r="I574" s="40" t="s">
        <v>104</v>
      </c>
      <c r="J574" s="50"/>
      <c r="K574" s="116" t="str">
        <f>IFERROR(VLOOKUP(B574,BD_CONTROL!$A$5:$M$4235,11,0),"")</f>
        <v>Instalado - Operando</v>
      </c>
      <c r="L574" s="117">
        <f>IFERROR(VLOOKUP(B574,BD_CONTROL!$A$5:$M$4235,12,0),"")</f>
        <v>46141</v>
      </c>
      <c r="M574" s="118">
        <f>IFERROR(VLOOKUP(B574,BD_CONTROL!$A$5:$M$4235,13,0),"")</f>
        <v>0</v>
      </c>
    </row>
    <row r="575" spans="1:13" ht="15" customHeight="1">
      <c r="A575" s="42">
        <v>570</v>
      </c>
      <c r="B575" s="42" t="s">
        <v>5739</v>
      </c>
      <c r="C575" s="43" t="s">
        <v>1354</v>
      </c>
      <c r="D575" s="42" t="s">
        <v>5640</v>
      </c>
      <c r="E575" s="43" t="s">
        <v>5710</v>
      </c>
      <c r="F575" s="43" t="s">
        <v>5740</v>
      </c>
      <c r="G575" s="42" t="s">
        <v>109</v>
      </c>
      <c r="H575" s="43" t="s">
        <v>3449</v>
      </c>
      <c r="I575" s="43" t="s">
        <v>104</v>
      </c>
      <c r="J575" s="55"/>
      <c r="K575" s="119" t="str">
        <f>IFERROR(VLOOKUP(B575,BD_CONTROL!$A$5:$M$4235,11,0),"")</f>
        <v>Instalado - Operando</v>
      </c>
      <c r="L575" s="120">
        <f>IFERROR(VLOOKUP(B575,BD_CONTROL!$A$5:$M$4235,12,0),"")</f>
        <v>46147</v>
      </c>
      <c r="M575" s="121">
        <f>IFERROR(VLOOKUP(B575,BD_CONTROL!$A$5:$M$4235,13,0),"")</f>
        <v>0</v>
      </c>
    </row>
    <row r="576" spans="1:13" ht="15" customHeight="1">
      <c r="A576" s="39">
        <v>571</v>
      </c>
      <c r="B576" s="39" t="s">
        <v>5741</v>
      </c>
      <c r="C576" s="40" t="s">
        <v>254</v>
      </c>
      <c r="D576" s="39" t="s">
        <v>5640</v>
      </c>
      <c r="E576" s="40" t="s">
        <v>5742</v>
      </c>
      <c r="F576" s="40" t="s">
        <v>5742</v>
      </c>
      <c r="G576" s="39" t="s">
        <v>102</v>
      </c>
      <c r="H576" s="40" t="s">
        <v>3449</v>
      </c>
      <c r="I576" s="40" t="s">
        <v>104</v>
      </c>
      <c r="J576" s="50"/>
      <c r="K576" s="129" t="str">
        <f>IFERROR(VLOOKUP(B576,BD_CONTROL!$A$5:$M$4235,11,0),"")</f>
        <v>INSTALADO - OPERANDO</v>
      </c>
      <c r="L576" s="117">
        <f>IFERROR(VLOOKUP(B576,BD_CONTROL!$A$5:$M$4235,12,0),"")</f>
        <v>46128</v>
      </c>
      <c r="M576" s="118" t="str">
        <f>IFERROR(VLOOKUP(B576,BD_CONTROL!$A$5:$M$4235,13,0),"")</f>
        <v>Cargado desde DB instalación 23/04/2026</v>
      </c>
    </row>
    <row r="577" spans="1:13" ht="15" customHeight="1">
      <c r="A577" s="42">
        <v>572</v>
      </c>
      <c r="B577" s="42" t="s">
        <v>5743</v>
      </c>
      <c r="C577" s="43" t="s">
        <v>1323</v>
      </c>
      <c r="D577" s="42" t="s">
        <v>5640</v>
      </c>
      <c r="E577" s="43" t="s">
        <v>5710</v>
      </c>
      <c r="F577" s="43" t="s">
        <v>5744</v>
      </c>
      <c r="G577" s="42" t="s">
        <v>109</v>
      </c>
      <c r="H577" s="43" t="s">
        <v>3449</v>
      </c>
      <c r="I577" s="43" t="s">
        <v>104</v>
      </c>
      <c r="J577" s="55"/>
      <c r="K577" s="119" t="str">
        <f>IFERROR(VLOOKUP(B577,BD_CONTROL!$A$5:$M$4235,11,0),"")</f>
        <v>Instalado - Operando</v>
      </c>
      <c r="L577" s="120">
        <f>IFERROR(VLOOKUP(B577,BD_CONTROL!$A$5:$M$4235,12,0),"")</f>
        <v>46141</v>
      </c>
      <c r="M577" s="121">
        <f>IFERROR(VLOOKUP(B577,BD_CONTROL!$A$5:$M$4235,13,0),"")</f>
        <v>0</v>
      </c>
    </row>
    <row r="578" spans="1:13" ht="15" customHeight="1">
      <c r="A578" s="39">
        <v>573</v>
      </c>
      <c r="B578" s="39" t="s">
        <v>5745</v>
      </c>
      <c r="C578" s="40" t="s">
        <v>483</v>
      </c>
      <c r="D578" s="39" t="s">
        <v>5640</v>
      </c>
      <c r="E578" s="40" t="s">
        <v>5746</v>
      </c>
      <c r="F578" s="40" t="s">
        <v>5747</v>
      </c>
      <c r="G578" s="39" t="s">
        <v>109</v>
      </c>
      <c r="H578" s="40" t="s">
        <v>3449</v>
      </c>
      <c r="I578" s="40" t="s">
        <v>104</v>
      </c>
      <c r="J578" s="50"/>
      <c r="K578" s="116" t="str">
        <f>IFERROR(VLOOKUP(B578,BD_CONTROL!$A$5:$M$4235,11,0),"")</f>
        <v>Instalado - Operando</v>
      </c>
      <c r="L578" s="117">
        <f>IFERROR(VLOOKUP(B578,BD_CONTROL!$A$5:$M$4235,12,0),"")</f>
        <v>46142</v>
      </c>
      <c r="M578" s="118">
        <f>IFERROR(VLOOKUP(B578,BD_CONTROL!$A$5:$M$4235,13,0),"")</f>
        <v>0</v>
      </c>
    </row>
    <row r="579" spans="1:13" ht="15" customHeight="1">
      <c r="A579" s="42">
        <v>574</v>
      </c>
      <c r="B579" s="42" t="s">
        <v>5748</v>
      </c>
      <c r="C579" s="43" t="s">
        <v>1002</v>
      </c>
      <c r="D579" s="42" t="s">
        <v>5640</v>
      </c>
      <c r="E579" s="43" t="s">
        <v>5698</v>
      </c>
      <c r="F579" s="43" t="s">
        <v>5749</v>
      </c>
      <c r="G579" s="42" t="s">
        <v>109</v>
      </c>
      <c r="H579" s="43" t="s">
        <v>3449</v>
      </c>
      <c r="I579" s="43" t="s">
        <v>104</v>
      </c>
      <c r="J579" s="55"/>
      <c r="K579" s="129" t="str">
        <f>IFERROR(VLOOKUP(B579,BD_CONTROL!$A$5:$M$4235,11,0),"")</f>
        <v>INSTALADO - OPERANDO</v>
      </c>
      <c r="L579" s="120">
        <f>IFERROR(VLOOKUP(B579,BD_CONTROL!$A$5:$M$4235,12,0),"")</f>
        <v>46106</v>
      </c>
      <c r="M579" s="121" t="str">
        <f>IFERROR(VLOOKUP(B579,BD_CONTROL!$A$5:$M$4235,13,0),"")</f>
        <v>Cargado desde DB instalación 23/04/2026</v>
      </c>
    </row>
    <row r="580" spans="1:13" ht="15" customHeight="1">
      <c r="A580" s="39">
        <v>575</v>
      </c>
      <c r="B580" s="39" t="s">
        <v>5750</v>
      </c>
      <c r="C580" s="40" t="s">
        <v>5751</v>
      </c>
      <c r="D580" s="39" t="s">
        <v>5640</v>
      </c>
      <c r="E580" s="40" t="s">
        <v>5742</v>
      </c>
      <c r="F580" s="40" t="s">
        <v>5751</v>
      </c>
      <c r="G580" s="39" t="s">
        <v>109</v>
      </c>
      <c r="H580" s="40" t="s">
        <v>3449</v>
      </c>
      <c r="I580" s="40" t="s">
        <v>104</v>
      </c>
      <c r="J580" s="50"/>
      <c r="K580" s="130" t="str">
        <f>IFERROR(VLOOKUP(B580,BD_CONTROL!$A$5:$M$4235,11,0),"")</f>
        <v>INSTALADO - SIN SEÑAL</v>
      </c>
      <c r="L580" s="117">
        <f>IFERROR(VLOOKUP(B580,BD_CONTROL!$A$5:$M$4235,12,0),"")</f>
        <v>46128</v>
      </c>
      <c r="M580" s="118" t="str">
        <f>IFERROR(VLOOKUP(B580,BD_CONTROL!$A$5:$M$4235,13,0),"")</f>
        <v>Cargado desde DB instalación 23/04/2026</v>
      </c>
    </row>
    <row r="581" spans="1:13" ht="15" customHeight="1">
      <c r="A581" s="42">
        <v>576</v>
      </c>
      <c r="B581" s="42" t="s">
        <v>5752</v>
      </c>
      <c r="C581" s="43" t="s">
        <v>5753</v>
      </c>
      <c r="D581" s="42" t="s">
        <v>5640</v>
      </c>
      <c r="E581" s="43" t="s">
        <v>5754</v>
      </c>
      <c r="F581" s="43" t="s">
        <v>5755</v>
      </c>
      <c r="G581" s="42" t="s">
        <v>109</v>
      </c>
      <c r="H581" s="43" t="s">
        <v>3449</v>
      </c>
      <c r="I581" s="43" t="s">
        <v>104</v>
      </c>
      <c r="J581" s="55"/>
      <c r="K581" s="119" t="str">
        <f>IFERROR(VLOOKUP(B581,BD_CONTROL!$A$5:$M$4235,11,0),"")</f>
        <v>Instalado - Operando</v>
      </c>
      <c r="L581" s="120">
        <f>IFERROR(VLOOKUP(B581,BD_CONTROL!$A$5:$M$4235,12,0),"")</f>
        <v>46140</v>
      </c>
      <c r="M581" s="121">
        <f>IFERROR(VLOOKUP(B581,BD_CONTROL!$A$5:$M$4235,13,0),"")</f>
        <v>0</v>
      </c>
    </row>
    <row r="582" spans="1:13" ht="15" customHeight="1">
      <c r="A582" s="39">
        <v>577</v>
      </c>
      <c r="B582" s="39" t="s">
        <v>5756</v>
      </c>
      <c r="C582" s="40" t="s">
        <v>3384</v>
      </c>
      <c r="D582" s="39" t="s">
        <v>5640</v>
      </c>
      <c r="E582" s="40" t="s">
        <v>5757</v>
      </c>
      <c r="F582" s="40" t="s">
        <v>5758</v>
      </c>
      <c r="G582" s="39" t="s">
        <v>109</v>
      </c>
      <c r="H582" s="40" t="s">
        <v>3449</v>
      </c>
      <c r="I582" s="40" t="s">
        <v>104</v>
      </c>
      <c r="J582" s="50"/>
      <c r="K582" s="116">
        <f>IFERROR(VLOOKUP(B582,BD_CONTROL!$A$5:$M$4235,11,0),"")</f>
        <v>0</v>
      </c>
      <c r="L582" s="117">
        <f>IFERROR(VLOOKUP(B582,BD_CONTROL!$A$5:$M$4235,12,0),"")</f>
        <v>0</v>
      </c>
      <c r="M582" s="118">
        <f>IFERROR(VLOOKUP(B582,BD_CONTROL!$A$5:$M$4235,13,0),"")</f>
        <v>0</v>
      </c>
    </row>
    <row r="583" spans="1:13" ht="15" customHeight="1">
      <c r="A583" s="42">
        <v>578</v>
      </c>
      <c r="B583" s="42" t="s">
        <v>5759</v>
      </c>
      <c r="C583" s="43" t="s">
        <v>5760</v>
      </c>
      <c r="D583" s="42" t="s">
        <v>5640</v>
      </c>
      <c r="E583" s="43" t="s">
        <v>5761</v>
      </c>
      <c r="F583" s="43" t="s">
        <v>5762</v>
      </c>
      <c r="G583" s="42" t="s">
        <v>109</v>
      </c>
      <c r="H583" s="43" t="s">
        <v>3449</v>
      </c>
      <c r="I583" s="43" t="s">
        <v>104</v>
      </c>
      <c r="J583" s="55"/>
      <c r="K583" s="119" t="str">
        <f>IFERROR(VLOOKUP(B583,BD_CONTROL!$A$5:$M$4235,11,0),"")</f>
        <v>Instalado - Operando</v>
      </c>
      <c r="L583" s="120">
        <f>IFERROR(VLOOKUP(B583,BD_CONTROL!$A$5:$M$4235,12,0),"")</f>
        <v>46148</v>
      </c>
      <c r="M583" s="121">
        <f>IFERROR(VLOOKUP(B583,BD_CONTROL!$A$5:$M$4235,13,0),"")</f>
        <v>0</v>
      </c>
    </row>
    <row r="584" spans="1:13" ht="15" customHeight="1">
      <c r="A584" s="39">
        <v>579</v>
      </c>
      <c r="B584" s="39" t="s">
        <v>5763</v>
      </c>
      <c r="C584" s="40" t="s">
        <v>3443</v>
      </c>
      <c r="D584" s="39" t="s">
        <v>5640</v>
      </c>
      <c r="E584" s="40" t="s">
        <v>5764</v>
      </c>
      <c r="F584" s="40" t="s">
        <v>5765</v>
      </c>
      <c r="G584" s="39" t="s">
        <v>109</v>
      </c>
      <c r="H584" s="40" t="s">
        <v>3449</v>
      </c>
      <c r="I584" s="40" t="s">
        <v>104</v>
      </c>
      <c r="J584" s="50"/>
      <c r="K584" s="116" t="str">
        <f>IFERROR(VLOOKUP(B584,BD_CONTROL!$A$5:$M$4235,11,0),"")</f>
        <v>Instalado - Operando</v>
      </c>
      <c r="L584" s="117">
        <f>IFERROR(VLOOKUP(B584,BD_CONTROL!$A$5:$M$4235,12,0),"")</f>
        <v>46142</v>
      </c>
      <c r="M584" s="118">
        <f>IFERROR(VLOOKUP(B584,BD_CONTROL!$A$5:$M$4235,13,0),"")</f>
        <v>0</v>
      </c>
    </row>
    <row r="585" spans="1:13" ht="15" customHeight="1">
      <c r="A585" s="42">
        <v>580</v>
      </c>
      <c r="B585" s="42" t="s">
        <v>5766</v>
      </c>
      <c r="C585" s="43" t="s">
        <v>483</v>
      </c>
      <c r="D585" s="42" t="s">
        <v>5640</v>
      </c>
      <c r="E585" s="43" t="s">
        <v>5640</v>
      </c>
      <c r="F585" s="43" t="s">
        <v>5640</v>
      </c>
      <c r="G585" s="42" t="s">
        <v>102</v>
      </c>
      <c r="H585" s="43" t="s">
        <v>3449</v>
      </c>
      <c r="I585" s="43" t="s">
        <v>104</v>
      </c>
      <c r="J585" s="55"/>
      <c r="K585" s="129" t="str">
        <f>IFERROR(VLOOKUP(B585,BD_CONTROL!$A$5:$M$4235,11,0),"")</f>
        <v>INSTALADO - OPERANDO</v>
      </c>
      <c r="L585" s="120">
        <f>IFERROR(VLOOKUP(B585,BD_CONTROL!$A$5:$M$4235,12,0),"")</f>
        <v>46125</v>
      </c>
      <c r="M585" s="121" t="str">
        <f>IFERROR(VLOOKUP(B585,BD_CONTROL!$A$5:$M$4235,13,0),"")</f>
        <v>Cargado desde DB instalación 23/04/2026</v>
      </c>
    </row>
    <row r="586" spans="1:13" ht="15" customHeight="1">
      <c r="A586" s="39">
        <v>581</v>
      </c>
      <c r="B586" s="39" t="s">
        <v>5767</v>
      </c>
      <c r="C586" s="40" t="s">
        <v>5555</v>
      </c>
      <c r="D586" s="39" t="s">
        <v>5640</v>
      </c>
      <c r="E586" s="40" t="s">
        <v>5543</v>
      </c>
      <c r="F586" s="40" t="s">
        <v>5768</v>
      </c>
      <c r="G586" s="39" t="s">
        <v>109</v>
      </c>
      <c r="H586" s="40" t="s">
        <v>3449</v>
      </c>
      <c r="I586" s="40" t="s">
        <v>104</v>
      </c>
      <c r="J586" s="50"/>
      <c r="K586" s="116" t="str">
        <f>IFERROR(VLOOKUP(B586,BD_CONTROL!$A$5:$M$4235,11,0),"")</f>
        <v>Instalado - Sin Señal</v>
      </c>
      <c r="L586" s="117">
        <f>IFERROR(VLOOKUP(B586,BD_CONTROL!$A$5:$M$4235,12,0),"")</f>
        <v>46142</v>
      </c>
      <c r="M586" s="118">
        <f>IFERROR(VLOOKUP(B586,BD_CONTROL!$A$5:$M$4235,13,0),"")</f>
        <v>0</v>
      </c>
    </row>
    <row r="587" spans="1:13" ht="15" customHeight="1">
      <c r="A587" s="42">
        <v>582</v>
      </c>
      <c r="B587" s="42" t="s">
        <v>5769</v>
      </c>
      <c r="C587" s="43" t="s">
        <v>2256</v>
      </c>
      <c r="D587" s="42" t="s">
        <v>5640</v>
      </c>
      <c r="E587" s="43" t="s">
        <v>5770</v>
      </c>
      <c r="F587" s="43" t="s">
        <v>5771</v>
      </c>
      <c r="G587" s="42" t="s">
        <v>109</v>
      </c>
      <c r="H587" s="43" t="s">
        <v>3449</v>
      </c>
      <c r="I587" s="43" t="s">
        <v>104</v>
      </c>
      <c r="J587" s="55"/>
      <c r="K587" s="129" t="str">
        <f>IFERROR(VLOOKUP(B587,BD_CONTROL!$A$5:$M$4235,11,0),"")</f>
        <v>INSTALADO - OPERANDO</v>
      </c>
      <c r="L587" s="120">
        <f>IFERROR(VLOOKUP(B587,BD_CONTROL!$A$5:$M$4235,12,0),"")</f>
        <v>46133</v>
      </c>
      <c r="M587" s="121" t="str">
        <f>IFERROR(VLOOKUP(B587,BD_CONTROL!$A$5:$M$4235,13,0),"")</f>
        <v>Cargado desde DB instalación 23/04/2026</v>
      </c>
    </row>
    <row r="588" spans="1:13" ht="15" customHeight="1">
      <c r="A588" s="39">
        <v>583</v>
      </c>
      <c r="B588" s="39" t="s">
        <v>5772</v>
      </c>
      <c r="C588" s="40" t="s">
        <v>2265</v>
      </c>
      <c r="D588" s="39" t="s">
        <v>5640</v>
      </c>
      <c r="E588" s="40" t="s">
        <v>5773</v>
      </c>
      <c r="F588" s="40" t="s">
        <v>5774</v>
      </c>
      <c r="G588" s="39" t="s">
        <v>109</v>
      </c>
      <c r="H588" s="40" t="s">
        <v>3449</v>
      </c>
      <c r="I588" s="40" t="s">
        <v>104</v>
      </c>
      <c r="J588" s="50"/>
      <c r="K588" s="129" t="str">
        <f>IFERROR(VLOOKUP(B588,BD_CONTROL!$A$5:$M$4235,11,0),"")</f>
        <v>INSTALADO - OPERANDO</v>
      </c>
      <c r="L588" s="117">
        <f>IFERROR(VLOOKUP(B588,BD_CONTROL!$A$5:$M$4235,12,0),"")</f>
        <v>46129</v>
      </c>
      <c r="M588" s="118" t="str">
        <f>IFERROR(VLOOKUP(B588,BD_CONTROL!$A$5:$M$4235,13,0),"")</f>
        <v>Cargado desde DB instalación 23/04/2026</v>
      </c>
    </row>
    <row r="589" spans="1:13" ht="15" customHeight="1">
      <c r="A589" s="42">
        <v>584</v>
      </c>
      <c r="B589" s="42" t="s">
        <v>5775</v>
      </c>
      <c r="C589" s="43" t="s">
        <v>3443</v>
      </c>
      <c r="D589" s="42" t="s">
        <v>5640</v>
      </c>
      <c r="E589" s="43" t="s">
        <v>5640</v>
      </c>
      <c r="F589" s="43" t="s">
        <v>5647</v>
      </c>
      <c r="G589" s="42" t="s">
        <v>102</v>
      </c>
      <c r="H589" s="43" t="s">
        <v>3449</v>
      </c>
      <c r="I589" s="43" t="s">
        <v>104</v>
      </c>
      <c r="J589" s="55"/>
      <c r="K589" s="129" t="str">
        <f>IFERROR(VLOOKUP(B589,BD_CONTROL!$A$5:$M$4235,11,0),"")</f>
        <v>INSTALADO - OPERANDO</v>
      </c>
      <c r="L589" s="120">
        <f>IFERROR(VLOOKUP(B589,BD_CONTROL!$A$5:$M$4235,12,0),"")</f>
        <v>46105</v>
      </c>
      <c r="M589" s="121" t="str">
        <f>IFERROR(VLOOKUP(B589,BD_CONTROL!$A$5:$M$4235,13,0),"")</f>
        <v>Cargado desde DB instalación 23/04/2026</v>
      </c>
    </row>
    <row r="590" spans="1:13" ht="15" customHeight="1">
      <c r="A590" s="39">
        <v>585</v>
      </c>
      <c r="B590" s="39" t="s">
        <v>5776</v>
      </c>
      <c r="C590" s="40" t="s">
        <v>5777</v>
      </c>
      <c r="D590" s="39" t="s">
        <v>5640</v>
      </c>
      <c r="E590" s="40" t="s">
        <v>5543</v>
      </c>
      <c r="F590" s="40" t="s">
        <v>5778</v>
      </c>
      <c r="G590" s="39" t="s">
        <v>102</v>
      </c>
      <c r="H590" s="40" t="s">
        <v>3449</v>
      </c>
      <c r="I590" s="40" t="s">
        <v>104</v>
      </c>
      <c r="J590" s="50"/>
      <c r="K590" s="129" t="str">
        <f>IFERROR(VLOOKUP(B590,BD_CONTROL!$A$5:$M$4235,11,0),"")</f>
        <v>Instalado - Operando</v>
      </c>
      <c r="L590" s="117">
        <f>IFERROR(VLOOKUP(B590,BD_CONTROL!$A$5:$M$4235,12,0),"")</f>
        <v>46136</v>
      </c>
      <c r="M590" s="118">
        <f>IFERROR(VLOOKUP(B590,BD_CONTROL!$A$5:$M$4235,13,0),"")</f>
        <v>0</v>
      </c>
    </row>
    <row r="591" spans="1:13" ht="15" customHeight="1">
      <c r="A591" s="42">
        <v>586</v>
      </c>
      <c r="B591" s="42" t="s">
        <v>5779</v>
      </c>
      <c r="C591" s="43" t="s">
        <v>3759</v>
      </c>
      <c r="D591" s="42" t="s">
        <v>5640</v>
      </c>
      <c r="E591" s="43" t="s">
        <v>5654</v>
      </c>
      <c r="F591" s="43" t="s">
        <v>5780</v>
      </c>
      <c r="G591" s="42" t="s">
        <v>109</v>
      </c>
      <c r="H591" s="43" t="s">
        <v>3449</v>
      </c>
      <c r="I591" s="43" t="s">
        <v>104</v>
      </c>
      <c r="J591" s="55"/>
      <c r="K591" s="119">
        <f>IFERROR(VLOOKUP(B591,BD_CONTROL!$A$5:$M$4235,11,0),"")</f>
        <v>0</v>
      </c>
      <c r="L591" s="120">
        <f>IFERROR(VLOOKUP(B591,BD_CONTROL!$A$5:$M$4235,12,0),"")</f>
        <v>0</v>
      </c>
      <c r="M591" s="121">
        <f>IFERROR(VLOOKUP(B591,BD_CONTROL!$A$5:$M$4235,13,0),"")</f>
        <v>0</v>
      </c>
    </row>
    <row r="592" spans="1:13" ht="15" customHeight="1">
      <c r="A592" s="39">
        <v>587</v>
      </c>
      <c r="B592" s="39" t="s">
        <v>5781</v>
      </c>
      <c r="C592" s="40" t="s">
        <v>1348</v>
      </c>
      <c r="D592" s="39" t="s">
        <v>5640</v>
      </c>
      <c r="E592" s="40" t="s">
        <v>5658</v>
      </c>
      <c r="F592" s="40" t="s">
        <v>5782</v>
      </c>
      <c r="G592" s="39" t="s">
        <v>109</v>
      </c>
      <c r="H592" s="40" t="s">
        <v>3449</v>
      </c>
      <c r="I592" s="40" t="s">
        <v>104</v>
      </c>
      <c r="J592" s="50"/>
      <c r="K592" s="129" t="str">
        <f>IFERROR(VLOOKUP(B592,BD_CONTROL!$A$5:$M$4235,11,0),"")</f>
        <v>INSTALADO - OPERANDO</v>
      </c>
      <c r="L592" s="117">
        <f>IFERROR(VLOOKUP(B592,BD_CONTROL!$A$5:$M$4235,12,0),"")</f>
        <v>46133</v>
      </c>
      <c r="M592" s="118" t="str">
        <f>IFERROR(VLOOKUP(B592,BD_CONTROL!$A$5:$M$4235,13,0),"")</f>
        <v>Cargado desde DB instalación 23/04/2026</v>
      </c>
    </row>
    <row r="593" spans="1:13" ht="15" customHeight="1">
      <c r="A593" s="42">
        <v>588</v>
      </c>
      <c r="B593" s="42" t="s">
        <v>5783</v>
      </c>
      <c r="C593" s="43" t="s">
        <v>437</v>
      </c>
      <c r="D593" s="42" t="s">
        <v>5640</v>
      </c>
      <c r="E593" s="43" t="s">
        <v>3018</v>
      </c>
      <c r="F593" s="43" t="s">
        <v>1735</v>
      </c>
      <c r="G593" s="42" t="s">
        <v>109</v>
      </c>
      <c r="H593" s="43" t="s">
        <v>3449</v>
      </c>
      <c r="I593" s="43" t="s">
        <v>104</v>
      </c>
      <c r="J593" s="55"/>
      <c r="K593" s="119">
        <f>IFERROR(VLOOKUP(B593,BD_CONTROL!$A$5:$M$4235,11,0),"")</f>
        <v>0</v>
      </c>
      <c r="L593" s="120">
        <f>IFERROR(VLOOKUP(B593,BD_CONTROL!$A$5:$M$4235,12,0),"")</f>
        <v>0</v>
      </c>
      <c r="M593" s="121">
        <f>IFERROR(VLOOKUP(B593,BD_CONTROL!$A$5:$M$4235,13,0),"")</f>
        <v>0</v>
      </c>
    </row>
    <row r="594" spans="1:13" ht="15" customHeight="1">
      <c r="A594" s="39">
        <v>589</v>
      </c>
      <c r="B594" s="39" t="s">
        <v>5784</v>
      </c>
      <c r="C594" s="40" t="s">
        <v>5785</v>
      </c>
      <c r="D594" s="39" t="s">
        <v>5640</v>
      </c>
      <c r="E594" s="40" t="s">
        <v>5786</v>
      </c>
      <c r="F594" s="40" t="s">
        <v>5787</v>
      </c>
      <c r="G594" s="39" t="s">
        <v>109</v>
      </c>
      <c r="H594" s="40" t="s">
        <v>3449</v>
      </c>
      <c r="I594" s="40" t="s">
        <v>104</v>
      </c>
      <c r="J594" s="50"/>
      <c r="K594" s="116" t="str">
        <f>IFERROR(VLOOKUP(B594,BD_CONTROL!$A$5:$M$4235,11,0),"")</f>
        <v>Instalado - Operando</v>
      </c>
      <c r="L594" s="117">
        <f>IFERROR(VLOOKUP(B594,BD_CONTROL!$A$5:$M$4235,12,0),"")</f>
        <v>46147</v>
      </c>
      <c r="M594" s="118">
        <f>IFERROR(VLOOKUP(B594,BD_CONTROL!$A$5:$M$4235,13,0),"")</f>
        <v>0</v>
      </c>
    </row>
    <row r="595" spans="1:13" ht="15" customHeight="1">
      <c r="A595" s="42">
        <v>590</v>
      </c>
      <c r="B595" s="42" t="s">
        <v>5788</v>
      </c>
      <c r="C595" s="43" t="s">
        <v>1002</v>
      </c>
      <c r="D595" s="42" t="s">
        <v>5640</v>
      </c>
      <c r="E595" s="43" t="s">
        <v>5691</v>
      </c>
      <c r="F595" s="43" t="s">
        <v>5789</v>
      </c>
      <c r="G595" s="42" t="s">
        <v>109</v>
      </c>
      <c r="H595" s="43" t="s">
        <v>3449</v>
      </c>
      <c r="I595" s="43" t="s">
        <v>104</v>
      </c>
      <c r="J595" s="55"/>
      <c r="K595" s="129" t="str">
        <f>IFERROR(VLOOKUP(B595,BD_CONTROL!$A$5:$M$4235,11,0),"")</f>
        <v>INSTALADO - OPERANDO</v>
      </c>
      <c r="L595" s="120">
        <f>IFERROR(VLOOKUP(B595,BD_CONTROL!$A$5:$M$4235,12,0),"")</f>
        <v>46133</v>
      </c>
      <c r="M595" s="121" t="str">
        <f>IFERROR(VLOOKUP(B595,BD_CONTROL!$A$5:$M$4235,13,0),"")</f>
        <v>Cargado desde DB instalación 23/04/2026</v>
      </c>
    </row>
    <row r="596" spans="1:13" ht="15" customHeight="1">
      <c r="A596" s="39">
        <v>591</v>
      </c>
      <c r="B596" s="39" t="s">
        <v>5790</v>
      </c>
      <c r="C596" s="40" t="s">
        <v>5555</v>
      </c>
      <c r="D596" s="39" t="s">
        <v>5640</v>
      </c>
      <c r="E596" s="40" t="s">
        <v>5729</v>
      </c>
      <c r="F596" s="40" t="s">
        <v>5791</v>
      </c>
      <c r="G596" s="39" t="s">
        <v>109</v>
      </c>
      <c r="H596" s="40" t="s">
        <v>3449</v>
      </c>
      <c r="I596" s="40" t="s">
        <v>104</v>
      </c>
      <c r="J596" s="50"/>
      <c r="K596" s="129" t="str">
        <f>IFERROR(VLOOKUP(B596,BD_CONTROL!$A$5:$M$4235,11,0),"")</f>
        <v>Instalado - Operando</v>
      </c>
      <c r="L596" s="117">
        <f>IFERROR(VLOOKUP(B596,BD_CONTROL!$A$5:$M$4235,12,0),"")</f>
        <v>46136</v>
      </c>
      <c r="M596" s="118">
        <f>IFERROR(VLOOKUP(B596,BD_CONTROL!$A$5:$M$4235,13,0),"")</f>
        <v>0</v>
      </c>
    </row>
    <row r="597" spans="1:13" ht="15" customHeight="1">
      <c r="A597" s="42">
        <v>592</v>
      </c>
      <c r="B597" s="42" t="s">
        <v>5792</v>
      </c>
      <c r="C597" s="43" t="s">
        <v>5793</v>
      </c>
      <c r="D597" s="42" t="s">
        <v>5640</v>
      </c>
      <c r="E597" s="43" t="s">
        <v>5731</v>
      </c>
      <c r="F597" s="43" t="s">
        <v>5794</v>
      </c>
      <c r="G597" s="42" t="s">
        <v>109</v>
      </c>
      <c r="H597" s="43" t="s">
        <v>3449</v>
      </c>
      <c r="I597" s="43" t="s">
        <v>104</v>
      </c>
      <c r="J597" s="55"/>
      <c r="K597" s="119" t="str">
        <f>IFERROR(VLOOKUP(B597,BD_CONTROL!$A$5:$M$4235,11,0),"")</f>
        <v>Instalado - Operando</v>
      </c>
      <c r="L597" s="120">
        <f>IFERROR(VLOOKUP(B597,BD_CONTROL!$A$5:$M$4235,12,0),"")</f>
        <v>46140</v>
      </c>
      <c r="M597" s="121">
        <f>IFERROR(VLOOKUP(B597,BD_CONTROL!$A$5:$M$4235,13,0),"")</f>
        <v>0</v>
      </c>
    </row>
    <row r="598" spans="1:13" ht="15" customHeight="1">
      <c r="A598" s="39">
        <v>593</v>
      </c>
      <c r="B598" s="39" t="s">
        <v>5795</v>
      </c>
      <c r="C598" s="40" t="s">
        <v>3597</v>
      </c>
      <c r="D598" s="39" t="s">
        <v>5640</v>
      </c>
      <c r="E598" s="40" t="s">
        <v>5796</v>
      </c>
      <c r="F598" s="40" t="s">
        <v>5797</v>
      </c>
      <c r="G598" s="39" t="s">
        <v>109</v>
      </c>
      <c r="H598" s="40" t="s">
        <v>3449</v>
      </c>
      <c r="I598" s="40" t="s">
        <v>104</v>
      </c>
      <c r="J598" s="50"/>
      <c r="K598" s="116" t="str">
        <f>IFERROR(VLOOKUP(B598,BD_CONTROL!$A$5:$M$4235,11,0),"")</f>
        <v>Instalado - Operando</v>
      </c>
      <c r="L598" s="117">
        <f>IFERROR(VLOOKUP(B598,BD_CONTROL!$A$5:$M$4235,12,0),"")</f>
        <v>46139</v>
      </c>
      <c r="M598" s="118">
        <f>IFERROR(VLOOKUP(B598,BD_CONTROL!$A$5:$M$4235,13,0),"")</f>
        <v>0</v>
      </c>
    </row>
    <row r="599" spans="1:13" ht="15" customHeight="1">
      <c r="A599" s="42">
        <v>594</v>
      </c>
      <c r="B599" s="42" t="s">
        <v>5798</v>
      </c>
      <c r="C599" s="43" t="s">
        <v>2682</v>
      </c>
      <c r="D599" s="42" t="s">
        <v>5640</v>
      </c>
      <c r="E599" s="43" t="s">
        <v>5799</v>
      </c>
      <c r="F599" s="43" t="s">
        <v>5799</v>
      </c>
      <c r="G599" s="42" t="s">
        <v>109</v>
      </c>
      <c r="H599" s="43" t="s">
        <v>3449</v>
      </c>
      <c r="I599" s="43" t="s">
        <v>104</v>
      </c>
      <c r="J599" s="55"/>
      <c r="K599" s="119" t="str">
        <f>IFERROR(VLOOKUP(B599,BD_CONTROL!$A$5:$M$4235,11,0),"")</f>
        <v>Instalado - Sin Señal</v>
      </c>
      <c r="L599" s="120">
        <f>IFERROR(VLOOKUP(B599,BD_CONTROL!$A$5:$M$4235,12,0),"")</f>
        <v>46150</v>
      </c>
      <c r="M599" s="121" t="str">
        <f>IFERROR(VLOOKUP(B599,BD_CONTROL!$A$5:$M$4235,13,0),"")</f>
        <v>Instalado, no operando, con reporte a mesa de ayuda</v>
      </c>
    </row>
    <row r="600" spans="1:13" ht="15" customHeight="1">
      <c r="A600" s="39">
        <v>595</v>
      </c>
      <c r="B600" s="39" t="s">
        <v>5800</v>
      </c>
      <c r="C600" s="40" t="s">
        <v>5667</v>
      </c>
      <c r="D600" s="39" t="s">
        <v>5640</v>
      </c>
      <c r="E600" s="40" t="s">
        <v>5691</v>
      </c>
      <c r="F600" s="40" t="s">
        <v>5801</v>
      </c>
      <c r="G600" s="39" t="s">
        <v>102</v>
      </c>
      <c r="H600" s="40" t="s">
        <v>3449</v>
      </c>
      <c r="I600" s="40" t="s">
        <v>104</v>
      </c>
      <c r="J600" s="50"/>
      <c r="K600" s="129" t="str">
        <f>IFERROR(VLOOKUP(B600,BD_CONTROL!$A$5:$M$4235,11,0),"")</f>
        <v>INSTALADO - OPERANDO</v>
      </c>
      <c r="L600" s="117">
        <f>IFERROR(VLOOKUP(B600,BD_CONTROL!$A$5:$M$4235,12,0),"")</f>
        <v>46132</v>
      </c>
      <c r="M600" s="118" t="str">
        <f>IFERROR(VLOOKUP(B600,BD_CONTROL!$A$5:$M$4235,13,0),"")</f>
        <v>Cargado desde DB instalación 23/04/2026</v>
      </c>
    </row>
    <row r="601" spans="1:13" ht="15" customHeight="1">
      <c r="A601" s="42">
        <v>596</v>
      </c>
      <c r="B601" s="42" t="s">
        <v>5802</v>
      </c>
      <c r="C601" s="43" t="s">
        <v>5001</v>
      </c>
      <c r="D601" s="42" t="s">
        <v>5640</v>
      </c>
      <c r="E601" s="43" t="s">
        <v>5803</v>
      </c>
      <c r="F601" s="43" t="s">
        <v>5804</v>
      </c>
      <c r="G601" s="42" t="s">
        <v>109</v>
      </c>
      <c r="H601" s="43" t="s">
        <v>3449</v>
      </c>
      <c r="I601" s="43" t="s">
        <v>104</v>
      </c>
      <c r="J601" s="55"/>
      <c r="K601" s="119" t="str">
        <f>IFERROR(VLOOKUP(B601,BD_CONTROL!$A$5:$M$4235,11,0),"")</f>
        <v>Instalado - Operando</v>
      </c>
      <c r="L601" s="120">
        <f>IFERROR(VLOOKUP(B601,BD_CONTROL!$A$5:$M$4235,12,0),"")</f>
        <v>46150</v>
      </c>
      <c r="M601" s="121">
        <f>IFERROR(VLOOKUP(B601,BD_CONTROL!$A$5:$M$4235,13,0),"")</f>
        <v>0</v>
      </c>
    </row>
    <row r="602" spans="1:13" ht="15" customHeight="1">
      <c r="A602" s="39">
        <v>597</v>
      </c>
      <c r="B602" s="39" t="s">
        <v>5805</v>
      </c>
      <c r="C602" s="40" t="s">
        <v>1323</v>
      </c>
      <c r="D602" s="39" t="s">
        <v>5640</v>
      </c>
      <c r="E602" s="40" t="s">
        <v>5803</v>
      </c>
      <c r="F602" s="40" t="s">
        <v>5806</v>
      </c>
      <c r="G602" s="39" t="s">
        <v>109</v>
      </c>
      <c r="H602" s="40" t="s">
        <v>3449</v>
      </c>
      <c r="I602" s="40" t="s">
        <v>104</v>
      </c>
      <c r="J602" s="50"/>
      <c r="K602" s="116" t="str">
        <f>IFERROR(VLOOKUP(B602,BD_CONTROL!$A$5:$M$4235,11,0),"")</f>
        <v>Instalado - Operando</v>
      </c>
      <c r="L602" s="117">
        <f>IFERROR(VLOOKUP(B602,BD_CONTROL!$A$5:$M$4235,12,0),"")</f>
        <v>46146</v>
      </c>
      <c r="M602" s="118">
        <f>IFERROR(VLOOKUP(B602,BD_CONTROL!$A$5:$M$4235,13,0),"")</f>
        <v>0</v>
      </c>
    </row>
    <row r="603" spans="1:13" ht="15" customHeight="1">
      <c r="A603" s="42">
        <v>598</v>
      </c>
      <c r="B603" s="42" t="s">
        <v>5807</v>
      </c>
      <c r="C603" s="43" t="s">
        <v>254</v>
      </c>
      <c r="D603" s="42" t="s">
        <v>5640</v>
      </c>
      <c r="E603" s="43" t="s">
        <v>5719</v>
      </c>
      <c r="F603" s="43" t="s">
        <v>5808</v>
      </c>
      <c r="G603" s="42" t="s">
        <v>109</v>
      </c>
      <c r="H603" s="43" t="s">
        <v>3449</v>
      </c>
      <c r="I603" s="43" t="s">
        <v>104</v>
      </c>
      <c r="J603" s="55"/>
      <c r="K603" s="129" t="str">
        <f>IFERROR(VLOOKUP(B603,BD_CONTROL!$A$5:$M$4235,11,0),"")</f>
        <v>INSTALADO - OPERANDO</v>
      </c>
      <c r="L603" s="120">
        <f>IFERROR(VLOOKUP(B603,BD_CONTROL!$A$5:$M$4235,12,0),"")</f>
        <v>46134</v>
      </c>
      <c r="M603" s="121" t="str">
        <f>IFERROR(VLOOKUP(B603,BD_CONTROL!$A$5:$M$4235,13,0),"")</f>
        <v>Cargado desde DB instalación 23/04/2026</v>
      </c>
    </row>
    <row r="604" spans="1:13" ht="15" customHeight="1">
      <c r="A604" s="39">
        <v>599</v>
      </c>
      <c r="B604" s="39" t="s">
        <v>5809</v>
      </c>
      <c r="C604" s="40" t="s">
        <v>1348</v>
      </c>
      <c r="D604" s="39" t="s">
        <v>5640</v>
      </c>
      <c r="E604" s="40" t="s">
        <v>5710</v>
      </c>
      <c r="F604" s="40" t="s">
        <v>5710</v>
      </c>
      <c r="G604" s="39" t="s">
        <v>102</v>
      </c>
      <c r="H604" s="40" t="s">
        <v>3449</v>
      </c>
      <c r="I604" s="40" t="s">
        <v>104</v>
      </c>
      <c r="J604" s="50"/>
      <c r="K604" s="116" t="str">
        <f>IFERROR(VLOOKUP(B604,BD_CONTROL!$A$5:$M$4235,11,0),"")</f>
        <v>Instalado - Operando</v>
      </c>
      <c r="L604" s="117">
        <f>IFERROR(VLOOKUP(B604,BD_CONTROL!$A$5:$M$4235,12,0),"")</f>
        <v>46146</v>
      </c>
      <c r="M604" s="118">
        <f>IFERROR(VLOOKUP(B604,BD_CONTROL!$A$5:$M$4235,13,0),"")</f>
        <v>0</v>
      </c>
    </row>
    <row r="605" spans="1:13" ht="15" customHeight="1">
      <c r="A605" s="42">
        <v>600</v>
      </c>
      <c r="B605" s="42" t="s">
        <v>5810</v>
      </c>
      <c r="C605" s="43" t="s">
        <v>5690</v>
      </c>
      <c r="D605" s="42" t="s">
        <v>5640</v>
      </c>
      <c r="E605" s="43" t="s">
        <v>5811</v>
      </c>
      <c r="F605" s="43" t="s">
        <v>5812</v>
      </c>
      <c r="G605" s="42" t="s">
        <v>109</v>
      </c>
      <c r="H605" s="43" t="s">
        <v>3449</v>
      </c>
      <c r="I605" s="43" t="s">
        <v>104</v>
      </c>
      <c r="J605" s="55"/>
      <c r="K605" s="129" t="str">
        <f>IFERROR(VLOOKUP(B605,BD_CONTROL!$A$5:$M$4235,11,0),"")</f>
        <v>INSTALADO - OPERANDO</v>
      </c>
      <c r="L605" s="120">
        <f>IFERROR(VLOOKUP(B605,BD_CONTROL!$A$5:$M$4235,12,0),"")</f>
        <v>46132</v>
      </c>
      <c r="M605" s="121" t="str">
        <f>IFERROR(VLOOKUP(B605,BD_CONTROL!$A$5:$M$4235,13,0),"")</f>
        <v>Cargado desde DB instalación 23/04/2026</v>
      </c>
    </row>
    <row r="606" spans="1:13" ht="15" customHeight="1">
      <c r="A606" s="39">
        <v>601</v>
      </c>
      <c r="B606" s="39" t="s">
        <v>5813</v>
      </c>
      <c r="C606" s="40" t="s">
        <v>5001</v>
      </c>
      <c r="D606" s="39" t="s">
        <v>5640</v>
      </c>
      <c r="E606" s="40" t="s">
        <v>5814</v>
      </c>
      <c r="F606" s="40" t="s">
        <v>5814</v>
      </c>
      <c r="G606" s="39" t="s">
        <v>102</v>
      </c>
      <c r="H606" s="40" t="s">
        <v>3449</v>
      </c>
      <c r="I606" s="40" t="s">
        <v>104</v>
      </c>
      <c r="J606" s="50"/>
      <c r="K606" s="116" t="str">
        <f>IFERROR(VLOOKUP(B606,BD_CONTROL!$A$5:$M$4235,11,0),"")</f>
        <v>Instalado - Operando</v>
      </c>
      <c r="L606" s="117">
        <f>IFERROR(VLOOKUP(B606,BD_CONTROL!$A$5:$M$4235,12,0),"")</f>
        <v>46148</v>
      </c>
      <c r="M606" s="118">
        <f>IFERROR(VLOOKUP(B606,BD_CONTROL!$A$5:$M$4235,13,0),"")</f>
        <v>0</v>
      </c>
    </row>
    <row r="607" spans="1:13" ht="15" customHeight="1">
      <c r="A607" s="42">
        <v>602</v>
      </c>
      <c r="B607" s="42" t="s">
        <v>5815</v>
      </c>
      <c r="C607" s="43" t="s">
        <v>1374</v>
      </c>
      <c r="D607" s="42" t="s">
        <v>5640</v>
      </c>
      <c r="E607" s="43" t="s">
        <v>5816</v>
      </c>
      <c r="F607" s="43" t="s">
        <v>5817</v>
      </c>
      <c r="G607" s="42" t="s">
        <v>109</v>
      </c>
      <c r="H607" s="43" t="s">
        <v>3449</v>
      </c>
      <c r="I607" s="43" t="s">
        <v>104</v>
      </c>
      <c r="J607" s="55"/>
      <c r="K607" s="119" t="str">
        <f>IFERROR(VLOOKUP(B607,BD_CONTROL!$A$5:$M$4235,11,0),"")</f>
        <v>Instalado - Operando</v>
      </c>
      <c r="L607" s="120">
        <f>IFERROR(VLOOKUP(B607,BD_CONTROL!$A$5:$M$4235,12,0),"")</f>
        <v>46139</v>
      </c>
      <c r="M607" s="121">
        <f>IFERROR(VLOOKUP(B607,BD_CONTROL!$A$5:$M$4235,13,0),"")</f>
        <v>0</v>
      </c>
    </row>
    <row r="608" spans="1:13" ht="15" customHeight="1">
      <c r="A608" s="39">
        <v>603</v>
      </c>
      <c r="B608" s="39" t="s">
        <v>5818</v>
      </c>
      <c r="C608" s="40" t="s">
        <v>3581</v>
      </c>
      <c r="D608" s="39" t="s">
        <v>5640</v>
      </c>
      <c r="E608" s="40" t="s">
        <v>5757</v>
      </c>
      <c r="F608" s="40" t="s">
        <v>5819</v>
      </c>
      <c r="G608" s="39" t="s">
        <v>109</v>
      </c>
      <c r="H608" s="40" t="s">
        <v>3449</v>
      </c>
      <c r="I608" s="40" t="s">
        <v>104</v>
      </c>
      <c r="J608" s="50"/>
      <c r="K608" s="116" t="str">
        <f>IFERROR(VLOOKUP(B608,BD_CONTROL!$A$5:$M$4235,11,0),"")</f>
        <v>Instalado - Operando</v>
      </c>
      <c r="L608" s="117">
        <f>IFERROR(VLOOKUP(B608,BD_CONTROL!$A$5:$M$4235,12,0),"")</f>
        <v>46150</v>
      </c>
      <c r="M608" s="118">
        <f>IFERROR(VLOOKUP(B608,BD_CONTROL!$A$5:$M$4235,13,0),"")</f>
        <v>0</v>
      </c>
    </row>
    <row r="609" spans="1:13" ht="15" customHeight="1">
      <c r="A609" s="42">
        <v>604</v>
      </c>
      <c r="B609" s="42" t="s">
        <v>5820</v>
      </c>
      <c r="C609" s="43" t="s">
        <v>1204</v>
      </c>
      <c r="D609" s="42" t="s">
        <v>5640</v>
      </c>
      <c r="E609" s="43" t="s">
        <v>5710</v>
      </c>
      <c r="F609" s="43" t="s">
        <v>5710</v>
      </c>
      <c r="G609" s="42" t="s">
        <v>102</v>
      </c>
      <c r="H609" s="43" t="s">
        <v>3449</v>
      </c>
      <c r="I609" s="43" t="s">
        <v>104</v>
      </c>
      <c r="J609" s="55"/>
      <c r="K609" s="119" t="str">
        <f>IFERROR(VLOOKUP(B609,BD_CONTROL!$A$5:$M$4235,11,0),"")</f>
        <v>Instalado - Operando</v>
      </c>
      <c r="L609" s="120">
        <f>IFERROR(VLOOKUP(B609,BD_CONTROL!$A$5:$M$4235,12,0),"")</f>
        <v>46143</v>
      </c>
      <c r="M609" s="121">
        <f>IFERROR(VLOOKUP(B609,BD_CONTROL!$A$5:$M$4235,13,0),"")</f>
        <v>0</v>
      </c>
    </row>
    <row r="610" spans="1:13" ht="15" customHeight="1">
      <c r="A610" s="39">
        <v>605</v>
      </c>
      <c r="B610" s="39" t="s">
        <v>5821</v>
      </c>
      <c r="C610" s="40" t="s">
        <v>1002</v>
      </c>
      <c r="D610" s="39" t="s">
        <v>5640</v>
      </c>
      <c r="E610" s="40" t="s">
        <v>3018</v>
      </c>
      <c r="F610" s="40" t="s">
        <v>5822</v>
      </c>
      <c r="G610" s="39" t="s">
        <v>109</v>
      </c>
      <c r="H610" s="40" t="s">
        <v>3449</v>
      </c>
      <c r="I610" s="40" t="s">
        <v>104</v>
      </c>
      <c r="J610" s="50"/>
      <c r="K610" s="129" t="str">
        <f>IFERROR(VLOOKUP(B610,BD_CONTROL!$A$5:$M$4235,11,0),"")</f>
        <v>INSTALADO - OPERANDO</v>
      </c>
      <c r="L610" s="117">
        <f>IFERROR(VLOOKUP(B610,BD_CONTROL!$A$5:$M$4235,12,0),"")</f>
        <v>46135</v>
      </c>
      <c r="M610" s="118" t="str">
        <f>IFERROR(VLOOKUP(B610,BD_CONTROL!$A$5:$M$4235,13,0),"")</f>
        <v>Cargado desde DB instalación 23/04/2026</v>
      </c>
    </row>
    <row r="611" spans="1:13" ht="15" customHeight="1">
      <c r="A611" s="42">
        <v>606</v>
      </c>
      <c r="B611" s="42" t="s">
        <v>5823</v>
      </c>
      <c r="C611" s="43" t="s">
        <v>1002</v>
      </c>
      <c r="D611" s="42" t="s">
        <v>5640</v>
      </c>
      <c r="E611" s="43" t="s">
        <v>5824</v>
      </c>
      <c r="F611" s="43" t="s">
        <v>5825</v>
      </c>
      <c r="G611" s="42" t="s">
        <v>109</v>
      </c>
      <c r="H611" s="43" t="s">
        <v>3449</v>
      </c>
      <c r="I611" s="43" t="s">
        <v>104</v>
      </c>
      <c r="J611" s="55"/>
      <c r="K611" s="119" t="str">
        <f>IFERROR(VLOOKUP(B611,BD_CONTROL!$A$5:$M$4235,11,0),"")</f>
        <v>Instalado - Sin Señal</v>
      </c>
      <c r="L611" s="120">
        <f>IFERROR(VLOOKUP(B611,BD_CONTROL!$A$5:$M$4235,12,0),"")</f>
        <v>46146</v>
      </c>
      <c r="M611" s="121" t="str">
        <f>IFERROR(VLOOKUP(B611,BD_CONTROL!$A$5:$M$4235,13,0),"")</f>
        <v xml:space="preserve">Instalado, no operando, con reporte a mesa de ayuda
</v>
      </c>
    </row>
    <row r="612" spans="1:13" ht="15" customHeight="1">
      <c r="A612" s="39">
        <v>607</v>
      </c>
      <c r="B612" s="39" t="s">
        <v>5826</v>
      </c>
      <c r="C612" s="40" t="s">
        <v>437</v>
      </c>
      <c r="D612" s="39" t="s">
        <v>5640</v>
      </c>
      <c r="E612" s="40" t="s">
        <v>5827</v>
      </c>
      <c r="F612" s="40" t="s">
        <v>5828</v>
      </c>
      <c r="G612" s="39" t="s">
        <v>109</v>
      </c>
      <c r="H612" s="40" t="s">
        <v>3449</v>
      </c>
      <c r="I612" s="40" t="s">
        <v>104</v>
      </c>
      <c r="J612" s="50"/>
      <c r="K612" s="116" t="str">
        <f>IFERROR(VLOOKUP(B612,BD_CONTROL!$A$5:$M$4235,11,0),"")</f>
        <v>Instalado - Sin Señal</v>
      </c>
      <c r="L612" s="117">
        <f>IFERROR(VLOOKUP(B612,BD_CONTROL!$A$5:$M$4235,12,0),"")</f>
        <v>46150</v>
      </c>
      <c r="M612" s="118" t="str">
        <f>IFERROR(VLOOKUP(B612,BD_CONTROL!$A$5:$M$4235,13,0),"")</f>
        <v>Instalado, no operando, con reporte a mesa de ayuda</v>
      </c>
    </row>
    <row r="613" spans="1:13" ht="15" customHeight="1">
      <c r="A613" s="42">
        <v>608</v>
      </c>
      <c r="B613" s="42" t="s">
        <v>5829</v>
      </c>
      <c r="C613" s="43" t="s">
        <v>5830</v>
      </c>
      <c r="D613" s="42" t="s">
        <v>5640</v>
      </c>
      <c r="E613" s="43" t="s">
        <v>5814</v>
      </c>
      <c r="F613" s="43" t="s">
        <v>5831</v>
      </c>
      <c r="G613" s="42" t="s">
        <v>109</v>
      </c>
      <c r="H613" s="43" t="s">
        <v>3449</v>
      </c>
      <c r="I613" s="43" t="s">
        <v>104</v>
      </c>
      <c r="J613" s="55"/>
      <c r="K613" s="119" t="str">
        <f>IFERROR(VLOOKUP(B613,BD_CONTROL!$A$5:$M$4235,11,0),"")</f>
        <v>Instalado - Operando</v>
      </c>
      <c r="L613" s="120">
        <f>IFERROR(VLOOKUP(B613,BD_CONTROL!$A$5:$M$4235,12,0),"")</f>
        <v>46149</v>
      </c>
      <c r="M613" s="121">
        <f>IFERROR(VLOOKUP(B613,BD_CONTROL!$A$5:$M$4235,13,0),"")</f>
        <v>0</v>
      </c>
    </row>
    <row r="614" spans="1:13" ht="15" customHeight="1">
      <c r="A614" s="39">
        <v>609</v>
      </c>
      <c r="B614" s="39" t="s">
        <v>5832</v>
      </c>
      <c r="C614" s="40" t="s">
        <v>5833</v>
      </c>
      <c r="D614" s="39" t="s">
        <v>5640</v>
      </c>
      <c r="E614" s="40" t="s">
        <v>3018</v>
      </c>
      <c r="F614" s="40" t="s">
        <v>5834</v>
      </c>
      <c r="G614" s="39" t="s">
        <v>109</v>
      </c>
      <c r="H614" s="40" t="s">
        <v>3449</v>
      </c>
      <c r="I614" s="40" t="s">
        <v>104</v>
      </c>
      <c r="J614" s="50"/>
      <c r="K614" s="129" t="str">
        <f>IFERROR(VLOOKUP(B614,BD_CONTROL!$A$5:$M$4235,11,0),"")</f>
        <v>INSTALADO - OPERANDO</v>
      </c>
      <c r="L614" s="117">
        <f>IFERROR(VLOOKUP(B614,BD_CONTROL!$A$5:$M$4235,12,0),"")</f>
        <v>46127</v>
      </c>
      <c r="M614" s="118" t="str">
        <f>IFERROR(VLOOKUP(B614,BD_CONTROL!$A$5:$M$4235,13,0),"")</f>
        <v>Cargado desde DB instalación 23/04/2026</v>
      </c>
    </row>
    <row r="615" spans="1:13" ht="15" customHeight="1">
      <c r="A615" s="42">
        <v>610</v>
      </c>
      <c r="B615" s="42" t="s">
        <v>5835</v>
      </c>
      <c r="C615" s="43" t="s">
        <v>5836</v>
      </c>
      <c r="D615" s="42" t="s">
        <v>5640</v>
      </c>
      <c r="E615" s="43" t="s">
        <v>5654</v>
      </c>
      <c r="F615" s="43" t="s">
        <v>5837</v>
      </c>
      <c r="G615" s="42" t="s">
        <v>109</v>
      </c>
      <c r="H615" s="43" t="s">
        <v>3449</v>
      </c>
      <c r="I615" s="43" t="s">
        <v>104</v>
      </c>
      <c r="J615" s="55"/>
      <c r="K615" s="119">
        <f>IFERROR(VLOOKUP(B615,BD_CONTROL!$A$5:$M$4235,11,0),"")</f>
        <v>0</v>
      </c>
      <c r="L615" s="120">
        <f>IFERROR(VLOOKUP(B615,BD_CONTROL!$A$5:$M$4235,12,0),"")</f>
        <v>0</v>
      </c>
      <c r="M615" s="121">
        <f>IFERROR(VLOOKUP(B615,BD_CONTROL!$A$5:$M$4235,13,0),"")</f>
        <v>0</v>
      </c>
    </row>
    <row r="616" spans="1:13" ht="15" customHeight="1">
      <c r="A616" s="39">
        <v>611</v>
      </c>
      <c r="B616" s="39" t="s">
        <v>5838</v>
      </c>
      <c r="C616" s="40" t="s">
        <v>2621</v>
      </c>
      <c r="D616" s="39" t="s">
        <v>5640</v>
      </c>
      <c r="E616" s="40" t="s">
        <v>5773</v>
      </c>
      <c r="F616" s="40" t="s">
        <v>5839</v>
      </c>
      <c r="G616" s="39" t="s">
        <v>109</v>
      </c>
      <c r="H616" s="40" t="s">
        <v>3449</v>
      </c>
      <c r="I616" s="40" t="s">
        <v>104</v>
      </c>
      <c r="J616" s="50"/>
      <c r="K616" s="129" t="str">
        <f>IFERROR(VLOOKUP(B616,BD_CONTROL!$A$5:$M$4235,11,0),"")</f>
        <v>INSTALADO - OPERANDO</v>
      </c>
      <c r="L616" s="117">
        <f>IFERROR(VLOOKUP(B616,BD_CONTROL!$A$5:$M$4235,12,0),"")</f>
        <v>46126</v>
      </c>
      <c r="M616" s="118" t="str">
        <f>IFERROR(VLOOKUP(B616,BD_CONTROL!$A$5:$M$4235,13,0),"")</f>
        <v>Cargado desde DB instalación 23/04/2026</v>
      </c>
    </row>
    <row r="617" spans="1:13" ht="15" customHeight="1">
      <c r="A617" s="42">
        <v>612</v>
      </c>
      <c r="B617" s="42" t="s">
        <v>5840</v>
      </c>
      <c r="C617" s="43" t="s">
        <v>1002</v>
      </c>
      <c r="D617" s="42" t="s">
        <v>5640</v>
      </c>
      <c r="E617" s="43" t="s">
        <v>5841</v>
      </c>
      <c r="F617" s="43" t="s">
        <v>5842</v>
      </c>
      <c r="G617" s="42" t="s">
        <v>109</v>
      </c>
      <c r="H617" s="43" t="s">
        <v>3449</v>
      </c>
      <c r="I617" s="43" t="s">
        <v>104</v>
      </c>
      <c r="J617" s="55"/>
      <c r="K617" s="119" t="str">
        <f>IFERROR(VLOOKUP(B617,BD_CONTROL!$A$5:$M$4235,11,0),"")</f>
        <v>Instalado - Operando</v>
      </c>
      <c r="L617" s="120">
        <f>IFERROR(VLOOKUP(B617,BD_CONTROL!$A$5:$M$4235,12,0),"")</f>
        <v>46147</v>
      </c>
      <c r="M617" s="121">
        <f>IFERROR(VLOOKUP(B617,BD_CONTROL!$A$5:$M$4235,13,0),"")</f>
        <v>0</v>
      </c>
    </row>
    <row r="618" spans="1:13" ht="15" customHeight="1">
      <c r="A618" s="39">
        <v>613</v>
      </c>
      <c r="B618" s="39" t="s">
        <v>5843</v>
      </c>
      <c r="C618" s="40" t="s">
        <v>2265</v>
      </c>
      <c r="D618" s="39" t="s">
        <v>5640</v>
      </c>
      <c r="E618" s="40" t="s">
        <v>5757</v>
      </c>
      <c r="F618" s="40" t="s">
        <v>5844</v>
      </c>
      <c r="G618" s="39" t="s">
        <v>109</v>
      </c>
      <c r="H618" s="40" t="s">
        <v>3449</v>
      </c>
      <c r="I618" s="40" t="s">
        <v>104</v>
      </c>
      <c r="J618" s="50"/>
      <c r="K618" s="116">
        <f>IFERROR(VLOOKUP(B618,BD_CONTROL!$A$5:$M$4235,11,0),"")</f>
        <v>0</v>
      </c>
      <c r="L618" s="117">
        <f>IFERROR(VLOOKUP(B618,BD_CONTROL!$A$5:$M$4235,12,0),"")</f>
        <v>0</v>
      </c>
      <c r="M618" s="118">
        <f>IFERROR(VLOOKUP(B618,BD_CONTROL!$A$5:$M$4235,13,0),"")</f>
        <v>0</v>
      </c>
    </row>
    <row r="619" spans="1:13" ht="15" customHeight="1">
      <c r="A619" s="42">
        <v>614</v>
      </c>
      <c r="B619" s="42" t="s">
        <v>5845</v>
      </c>
      <c r="C619" s="43" t="s">
        <v>5846</v>
      </c>
      <c r="D619" s="42" t="s">
        <v>5640</v>
      </c>
      <c r="E619" s="43" t="s">
        <v>5847</v>
      </c>
      <c r="F619" s="43" t="s">
        <v>5848</v>
      </c>
      <c r="G619" s="42" t="s">
        <v>109</v>
      </c>
      <c r="H619" s="43" t="s">
        <v>3449</v>
      </c>
      <c r="I619" s="43" t="s">
        <v>104</v>
      </c>
      <c r="J619" s="55"/>
      <c r="K619" s="129" t="str">
        <f>IFERROR(VLOOKUP(B619,BD_CONTROL!$A$5:$M$4235,11,0),"")</f>
        <v>INSTALADO - OPERANDO</v>
      </c>
      <c r="L619" s="120">
        <f>IFERROR(VLOOKUP(B619,BD_CONTROL!$A$5:$M$4235,12,0),"")</f>
        <v>46126</v>
      </c>
      <c r="M619" s="121" t="str">
        <f>IFERROR(VLOOKUP(B619,BD_CONTROL!$A$5:$M$4235,13,0),"")</f>
        <v>Cargado desde DB instalación 23/04/2026</v>
      </c>
    </row>
    <row r="620" spans="1:13" ht="15" customHeight="1">
      <c r="A620" s="39">
        <v>615</v>
      </c>
      <c r="B620" s="39" t="s">
        <v>5849</v>
      </c>
      <c r="C620" s="40" t="s">
        <v>5850</v>
      </c>
      <c r="D620" s="39" t="s">
        <v>5640</v>
      </c>
      <c r="E620" s="40" t="s">
        <v>5803</v>
      </c>
      <c r="F620" s="40" t="s">
        <v>5851</v>
      </c>
      <c r="G620" s="39" t="s">
        <v>109</v>
      </c>
      <c r="H620" s="40" t="s">
        <v>3449</v>
      </c>
      <c r="I620" s="40" t="s">
        <v>104</v>
      </c>
      <c r="J620" s="50"/>
      <c r="K620" s="116" t="str">
        <f>IFERROR(VLOOKUP(B620,BD_CONTROL!$A$5:$M$4235,11,0),"")</f>
        <v>Instalado - Operando</v>
      </c>
      <c r="L620" s="117">
        <f>IFERROR(VLOOKUP(B620,BD_CONTROL!$A$5:$M$4235,12,0),"")</f>
        <v>46148</v>
      </c>
      <c r="M620" s="118">
        <f>IFERROR(VLOOKUP(B620,BD_CONTROL!$A$5:$M$4235,13,0),"")</f>
        <v>0</v>
      </c>
    </row>
    <row r="621" spans="1:13" ht="15" customHeight="1">
      <c r="A621" s="42">
        <v>616</v>
      </c>
      <c r="B621" s="42" t="s">
        <v>5852</v>
      </c>
      <c r="C621" s="43" t="s">
        <v>3384</v>
      </c>
      <c r="D621" s="42" t="s">
        <v>5640</v>
      </c>
      <c r="E621" s="43" t="s">
        <v>5853</v>
      </c>
      <c r="F621" s="43" t="s">
        <v>5854</v>
      </c>
      <c r="G621" s="42" t="s">
        <v>109</v>
      </c>
      <c r="H621" s="43" t="s">
        <v>3449</v>
      </c>
      <c r="I621" s="43" t="s">
        <v>104</v>
      </c>
      <c r="J621" s="55"/>
      <c r="K621" s="119" t="str">
        <f>IFERROR(VLOOKUP(B621,BD_CONTROL!$A$5:$M$4235,11,0),"")</f>
        <v>Instalado - Operando</v>
      </c>
      <c r="L621" s="120">
        <f>IFERROR(VLOOKUP(B621,BD_CONTROL!$A$5:$M$4235,12,0),"")</f>
        <v>46150</v>
      </c>
      <c r="M621" s="121">
        <f>IFERROR(VLOOKUP(B621,BD_CONTROL!$A$5:$M$4235,13,0),"")</f>
        <v>0</v>
      </c>
    </row>
    <row r="622" spans="1:13" ht="15" customHeight="1">
      <c r="A622" s="39">
        <v>617</v>
      </c>
      <c r="B622" s="39" t="s">
        <v>5855</v>
      </c>
      <c r="C622" s="40" t="s">
        <v>5006</v>
      </c>
      <c r="D622" s="39" t="s">
        <v>5640</v>
      </c>
      <c r="E622" s="40" t="s">
        <v>5853</v>
      </c>
      <c r="F622" s="40" t="s">
        <v>5856</v>
      </c>
      <c r="G622" s="39" t="s">
        <v>109</v>
      </c>
      <c r="H622" s="40" t="s">
        <v>3449</v>
      </c>
      <c r="I622" s="40" t="s">
        <v>104</v>
      </c>
      <c r="J622" s="50"/>
      <c r="K622" s="116" t="str">
        <f>IFERROR(VLOOKUP(B622,BD_CONTROL!$A$5:$M$4235,11,0),"")</f>
        <v>Instalado - Sin Señal</v>
      </c>
      <c r="L622" s="117">
        <f>IFERROR(VLOOKUP(B622,BD_CONTROL!$A$5:$M$4235,12,0),"")</f>
        <v>46150</v>
      </c>
      <c r="M622" s="118" t="str">
        <f>IFERROR(VLOOKUP(B622,BD_CONTROL!$A$5:$M$4235,13,0),"")</f>
        <v>Instalado, no operando, con reporte a mesa de ayuda</v>
      </c>
    </row>
    <row r="623" spans="1:13" ht="15" customHeight="1">
      <c r="A623" s="42">
        <v>618</v>
      </c>
      <c r="B623" s="42" t="s">
        <v>5857</v>
      </c>
      <c r="C623" s="43" t="s">
        <v>5858</v>
      </c>
      <c r="D623" s="42" t="s">
        <v>5640</v>
      </c>
      <c r="E623" s="43" t="s">
        <v>5841</v>
      </c>
      <c r="F623" s="43" t="s">
        <v>5859</v>
      </c>
      <c r="G623" s="42" t="s">
        <v>109</v>
      </c>
      <c r="H623" s="43" t="s">
        <v>3449</v>
      </c>
      <c r="I623" s="43" t="s">
        <v>104</v>
      </c>
      <c r="J623" s="55"/>
      <c r="K623" s="119" t="str">
        <f>IFERROR(VLOOKUP(B623,BD_CONTROL!$A$5:$M$4235,11,0),"")</f>
        <v>Instalado - Sin Señal</v>
      </c>
      <c r="L623" s="120">
        <f>IFERROR(VLOOKUP(B623,BD_CONTROL!$A$5:$M$4235,12,0),"")</f>
        <v>46146</v>
      </c>
      <c r="M623" s="121" t="str">
        <f>IFERROR(VLOOKUP(B623,BD_CONTROL!$A$5:$M$4235,13,0),"")</f>
        <v xml:space="preserve">Instalado, no operando, con reporte a mesa de ayuda
</v>
      </c>
    </row>
    <row r="624" spans="1:13" ht="15" customHeight="1">
      <c r="A624" s="39">
        <v>619</v>
      </c>
      <c r="B624" s="39" t="s">
        <v>5860</v>
      </c>
      <c r="C624" s="40" t="s">
        <v>3468</v>
      </c>
      <c r="D624" s="39" t="s">
        <v>5640</v>
      </c>
      <c r="E624" s="40" t="s">
        <v>5861</v>
      </c>
      <c r="F624" s="40" t="s">
        <v>5862</v>
      </c>
      <c r="G624" s="39" t="s">
        <v>109</v>
      </c>
      <c r="H624" s="40" t="s">
        <v>3449</v>
      </c>
      <c r="I624" s="40" t="s">
        <v>104</v>
      </c>
      <c r="J624" s="50"/>
      <c r="K624" s="129" t="str">
        <f>IFERROR(VLOOKUP(B624,BD_CONTROL!$A$5:$M$4235,11,0),"")</f>
        <v>INSTALADO - OPERANDO</v>
      </c>
      <c r="L624" s="117">
        <f>IFERROR(VLOOKUP(B624,BD_CONTROL!$A$5:$M$4235,12,0),"")</f>
        <v>46105</v>
      </c>
      <c r="M624" s="118" t="str">
        <f>IFERROR(VLOOKUP(B624,BD_CONTROL!$A$5:$M$4235,13,0),"")</f>
        <v>Cargado desde DB instalación 23/04/2026</v>
      </c>
    </row>
    <row r="625" spans="1:13" ht="15" customHeight="1">
      <c r="A625" s="42">
        <v>620</v>
      </c>
      <c r="B625" s="42" t="s">
        <v>5863</v>
      </c>
      <c r="C625" s="43" t="s">
        <v>5864</v>
      </c>
      <c r="D625" s="42" t="s">
        <v>5640</v>
      </c>
      <c r="E625" s="43" t="s">
        <v>5814</v>
      </c>
      <c r="F625" s="43" t="s">
        <v>5865</v>
      </c>
      <c r="G625" s="42" t="s">
        <v>109</v>
      </c>
      <c r="H625" s="43" t="s">
        <v>3449</v>
      </c>
      <c r="I625" s="43" t="s">
        <v>104</v>
      </c>
      <c r="J625" s="55"/>
      <c r="K625" s="119" t="str">
        <f>IFERROR(VLOOKUP(B625,BD_CONTROL!$A$5:$M$4235,11,0),"")</f>
        <v>Instalado - Operando</v>
      </c>
      <c r="L625" s="120">
        <f>IFERROR(VLOOKUP(B625,BD_CONTROL!$A$5:$M$4235,12,0),"")</f>
        <v>46146</v>
      </c>
      <c r="M625" s="121">
        <f>IFERROR(VLOOKUP(B625,BD_CONTROL!$A$5:$M$4235,13,0),"")</f>
        <v>0</v>
      </c>
    </row>
    <row r="626" spans="1:13" ht="15" customHeight="1">
      <c r="A626" s="39">
        <v>621</v>
      </c>
      <c r="B626" s="39" t="s">
        <v>5866</v>
      </c>
      <c r="C626" s="40" t="s">
        <v>5867</v>
      </c>
      <c r="D626" s="39" t="s">
        <v>5640</v>
      </c>
      <c r="E626" s="40" t="s">
        <v>5868</v>
      </c>
      <c r="F626" s="40" t="s">
        <v>5869</v>
      </c>
      <c r="G626" s="39" t="s">
        <v>109</v>
      </c>
      <c r="H626" s="40" t="s">
        <v>3449</v>
      </c>
      <c r="I626" s="40" t="s">
        <v>104</v>
      </c>
      <c r="J626" s="50"/>
      <c r="K626" s="129" t="str">
        <f>IFERROR(VLOOKUP(B626,BD_CONTROL!$A$5:$M$4235,11,0),"")</f>
        <v>INSTALADO - OPERANDO</v>
      </c>
      <c r="L626" s="117">
        <f>IFERROR(VLOOKUP(B626,BD_CONTROL!$A$5:$M$4235,12,0),"")</f>
        <v>46125</v>
      </c>
      <c r="M626" s="118" t="str">
        <f>IFERROR(VLOOKUP(B626,BD_CONTROL!$A$5:$M$4235,13,0),"")</f>
        <v>Cargado desde DB instalación 23/04/2026</v>
      </c>
    </row>
    <row r="627" spans="1:13" ht="15" customHeight="1">
      <c r="A627" s="42">
        <v>622</v>
      </c>
      <c r="B627" s="42" t="s">
        <v>5870</v>
      </c>
      <c r="C627" s="43" t="s">
        <v>5871</v>
      </c>
      <c r="D627" s="42" t="s">
        <v>5640</v>
      </c>
      <c r="E627" s="43" t="s">
        <v>5811</v>
      </c>
      <c r="F627" s="43" t="s">
        <v>5872</v>
      </c>
      <c r="G627" s="42" t="s">
        <v>109</v>
      </c>
      <c r="H627" s="43" t="s">
        <v>3449</v>
      </c>
      <c r="I627" s="43" t="s">
        <v>104</v>
      </c>
      <c r="J627" s="55"/>
      <c r="K627" s="131" t="str">
        <f>IFERROR(VLOOKUP(B627,BD_CONTROL!$A$5:$M$4235,11,0),"")</f>
        <v>Visitado</v>
      </c>
      <c r="L627" s="120">
        <f>IFERROR(VLOOKUP(B627,BD_CONTROL!$A$5:$M$4235,12,0),"")</f>
        <v>46136</v>
      </c>
      <c r="M627" s="121" t="str">
        <f>IFERROR(VLOOKUP(B627,BD_CONTROL!$A$5:$M$4235,13,0),"")</f>
        <v>Sin suministro eléctrico</v>
      </c>
    </row>
    <row r="628" spans="1:13" ht="15" customHeight="1">
      <c r="A628" s="39">
        <v>623</v>
      </c>
      <c r="B628" s="39" t="s">
        <v>5874</v>
      </c>
      <c r="C628" s="40" t="s">
        <v>5875</v>
      </c>
      <c r="D628" s="39" t="s">
        <v>5640</v>
      </c>
      <c r="E628" s="40" t="s">
        <v>5713</v>
      </c>
      <c r="F628" s="40" t="s">
        <v>5876</v>
      </c>
      <c r="G628" s="39" t="s">
        <v>109</v>
      </c>
      <c r="H628" s="40" t="s">
        <v>3449</v>
      </c>
      <c r="I628" s="40" t="s">
        <v>104</v>
      </c>
      <c r="J628" s="50"/>
      <c r="K628" s="116" t="str">
        <f>IFERROR(VLOOKUP(B628,BD_CONTROL!$A$5:$M$4235,11,0),"")</f>
        <v>Instalado - Operando</v>
      </c>
      <c r="L628" s="117">
        <f>IFERROR(VLOOKUP(B628,BD_CONTROL!$A$5:$M$4235,12,0),"")</f>
        <v>46147</v>
      </c>
      <c r="M628" s="118">
        <f>IFERROR(VLOOKUP(B628,BD_CONTROL!$A$5:$M$4235,13,0),"")</f>
        <v>0</v>
      </c>
    </row>
    <row r="629" spans="1:13" ht="15" customHeight="1">
      <c r="A629" s="42">
        <v>624</v>
      </c>
      <c r="B629" s="42" t="s">
        <v>5877</v>
      </c>
      <c r="C629" s="43" t="s">
        <v>5878</v>
      </c>
      <c r="D629" s="42" t="s">
        <v>5640</v>
      </c>
      <c r="E629" s="43" t="s">
        <v>5824</v>
      </c>
      <c r="F629" s="43" t="s">
        <v>438</v>
      </c>
      <c r="G629" s="42" t="s">
        <v>109</v>
      </c>
      <c r="H629" s="43" t="s">
        <v>3449</v>
      </c>
      <c r="I629" s="43" t="s">
        <v>104</v>
      </c>
      <c r="J629" s="55"/>
      <c r="K629" s="119" t="str">
        <f>IFERROR(VLOOKUP(B629,BD_CONTROL!$A$5:$M$4235,11,0),"")</f>
        <v>Instalado - Sin Señal</v>
      </c>
      <c r="L629" s="120">
        <f>IFERROR(VLOOKUP(B629,BD_CONTROL!$A$5:$M$4235,12,0),"")</f>
        <v>46146</v>
      </c>
      <c r="M629" s="121" t="str">
        <f>IFERROR(VLOOKUP(B629,BD_CONTROL!$A$5:$M$4235,13,0),"")</f>
        <v xml:space="preserve">Instalado, no operando, con reporte a mesa de ayuda
</v>
      </c>
    </row>
    <row r="630" spans="1:13" ht="15" customHeight="1">
      <c r="A630" s="39">
        <v>625</v>
      </c>
      <c r="B630" s="39" t="s">
        <v>5879</v>
      </c>
      <c r="C630" s="40" t="s">
        <v>5880</v>
      </c>
      <c r="D630" s="39" t="s">
        <v>5640</v>
      </c>
      <c r="E630" s="40" t="s">
        <v>5814</v>
      </c>
      <c r="F630" s="40" t="s">
        <v>5881</v>
      </c>
      <c r="G630" s="39" t="s">
        <v>109</v>
      </c>
      <c r="H630" s="40" t="s">
        <v>3449</v>
      </c>
      <c r="I630" s="40" t="s">
        <v>104</v>
      </c>
      <c r="J630" s="50"/>
      <c r="K630" s="116" t="str">
        <f>IFERROR(VLOOKUP(B630,BD_CONTROL!$A$5:$M$4235,11,0),"")</f>
        <v>Instalado - Operando</v>
      </c>
      <c r="L630" s="117">
        <f>IFERROR(VLOOKUP(B630,BD_CONTROL!$A$5:$M$4235,12,0),"")</f>
        <v>46153</v>
      </c>
      <c r="M630" s="118">
        <f>IFERROR(VLOOKUP(B630,BD_CONTROL!$A$5:$M$4235,13,0),"")</f>
        <v>0</v>
      </c>
    </row>
    <row r="631" spans="1:13" ht="15" customHeight="1">
      <c r="A631" s="42">
        <v>626</v>
      </c>
      <c r="B631" s="42" t="s">
        <v>5882</v>
      </c>
      <c r="C631" s="43" t="s">
        <v>5883</v>
      </c>
      <c r="D631" s="42" t="s">
        <v>5640</v>
      </c>
      <c r="E631" s="43" t="s">
        <v>5884</v>
      </c>
      <c r="F631" s="43" t="s">
        <v>5885</v>
      </c>
      <c r="G631" s="42" t="s">
        <v>109</v>
      </c>
      <c r="H631" s="43" t="s">
        <v>3449</v>
      </c>
      <c r="I631" s="43" t="s">
        <v>104</v>
      </c>
      <c r="J631" s="55"/>
      <c r="K631" s="129" t="str">
        <f>IFERROR(VLOOKUP(B631,BD_CONTROL!$A$5:$M$4235,11,0),"")</f>
        <v>INSTALADO - OPERANDO</v>
      </c>
      <c r="L631" s="120">
        <f>IFERROR(VLOOKUP(B631,BD_CONTROL!$A$5:$M$4235,12,0),"")</f>
        <v>46129</v>
      </c>
      <c r="M631" s="121" t="str">
        <f>IFERROR(VLOOKUP(B631,BD_CONTROL!$A$5:$M$4235,13,0),"")</f>
        <v>Cargado desde DB instalación 23/04/2026</v>
      </c>
    </row>
    <row r="632" spans="1:13" ht="15" customHeight="1">
      <c r="A632" s="39">
        <v>627</v>
      </c>
      <c r="B632" s="39" t="s">
        <v>5886</v>
      </c>
      <c r="C632" s="40" t="s">
        <v>5887</v>
      </c>
      <c r="D632" s="39" t="s">
        <v>5640</v>
      </c>
      <c r="E632" s="40" t="s">
        <v>5888</v>
      </c>
      <c r="F632" s="40" t="s">
        <v>5889</v>
      </c>
      <c r="G632" s="39" t="s">
        <v>109</v>
      </c>
      <c r="H632" s="40" t="s">
        <v>3449</v>
      </c>
      <c r="I632" s="40" t="s">
        <v>104</v>
      </c>
      <c r="J632" s="50"/>
      <c r="K632" s="130" t="str">
        <f>IFERROR(VLOOKUP(B632,BD_CONTROL!$A$5:$M$4235,11,0),"")</f>
        <v>INSTALADO - SIN SEÑAL</v>
      </c>
      <c r="L632" s="117">
        <f>IFERROR(VLOOKUP(B632,BD_CONTROL!$A$5:$M$4235,12,0),"")</f>
        <v>46127</v>
      </c>
      <c r="M632" s="118" t="str">
        <f>IFERROR(VLOOKUP(B632,BD_CONTROL!$A$5:$M$4235,13,0),"")</f>
        <v>Cargado desde DB instalación 23/04/2026</v>
      </c>
    </row>
    <row r="633" spans="1:13" ht="15" customHeight="1">
      <c r="A633" s="42">
        <v>628</v>
      </c>
      <c r="B633" s="42" t="s">
        <v>5890</v>
      </c>
      <c r="C633" s="43" t="s">
        <v>5891</v>
      </c>
      <c r="D633" s="42" t="s">
        <v>5640</v>
      </c>
      <c r="E633" s="43" t="s">
        <v>5892</v>
      </c>
      <c r="F633" s="43" t="s">
        <v>5893</v>
      </c>
      <c r="G633" s="42" t="s">
        <v>109</v>
      </c>
      <c r="H633" s="43" t="s">
        <v>3449</v>
      </c>
      <c r="I633" s="43" t="s">
        <v>104</v>
      </c>
      <c r="J633" s="55"/>
      <c r="K633" s="119" t="str">
        <f>IFERROR(VLOOKUP(B633,BD_CONTROL!$A$5:$M$4235,11,0),"")</f>
        <v>Instalado - Operando</v>
      </c>
      <c r="L633" s="120">
        <f>IFERROR(VLOOKUP(B633,BD_CONTROL!$A$5:$M$4235,12,0),"")</f>
        <v>46147</v>
      </c>
      <c r="M633" s="121">
        <f>IFERROR(VLOOKUP(B633,BD_CONTROL!$A$5:$M$4235,13,0),"")</f>
        <v>0</v>
      </c>
    </row>
    <row r="634" spans="1:13" ht="15" customHeight="1">
      <c r="A634" s="39">
        <v>629</v>
      </c>
      <c r="B634" s="39" t="s">
        <v>5894</v>
      </c>
      <c r="C634" s="40" t="s">
        <v>5895</v>
      </c>
      <c r="D634" s="39" t="s">
        <v>5640</v>
      </c>
      <c r="E634" s="40" t="s">
        <v>5729</v>
      </c>
      <c r="F634" s="40" t="s">
        <v>5791</v>
      </c>
      <c r="G634" s="39" t="s">
        <v>109</v>
      </c>
      <c r="H634" s="40" t="s">
        <v>3449</v>
      </c>
      <c r="I634" s="40" t="s">
        <v>104</v>
      </c>
      <c r="J634" s="50"/>
      <c r="K634" s="129" t="str">
        <f>IFERROR(VLOOKUP(B634,BD_CONTROL!$A$5:$M$4235,11,0),"")</f>
        <v>Instalado - Operando</v>
      </c>
      <c r="L634" s="117">
        <f>IFERROR(VLOOKUP(B634,BD_CONTROL!$A$5:$M$4235,12,0),"")</f>
        <v>46136</v>
      </c>
      <c r="M634" s="118">
        <f>IFERROR(VLOOKUP(B634,BD_CONTROL!$A$5:$M$4235,13,0),"")</f>
        <v>0</v>
      </c>
    </row>
    <row r="635" spans="1:13" ht="15" customHeight="1">
      <c r="A635" s="42">
        <v>630</v>
      </c>
      <c r="B635" s="42" t="s">
        <v>5896</v>
      </c>
      <c r="C635" s="43" t="s">
        <v>5897</v>
      </c>
      <c r="D635" s="42" t="s">
        <v>5640</v>
      </c>
      <c r="E635" s="43" t="s">
        <v>5640</v>
      </c>
      <c r="F635" s="43" t="s">
        <v>5640</v>
      </c>
      <c r="G635" s="42" t="s">
        <v>102</v>
      </c>
      <c r="H635" s="43" t="s">
        <v>3449</v>
      </c>
      <c r="I635" s="43" t="s">
        <v>104</v>
      </c>
      <c r="J635" s="55"/>
      <c r="K635" s="129" t="str">
        <f>IFERROR(VLOOKUP(B635,BD_CONTROL!$A$5:$M$4235,11,0),"")</f>
        <v>INSTALADO - OPERANDO</v>
      </c>
      <c r="L635" s="120">
        <f>IFERROR(VLOOKUP(B635,BD_CONTROL!$A$5:$M$4235,12,0),"")</f>
        <v>46125</v>
      </c>
      <c r="M635" s="121" t="str">
        <f>IFERROR(VLOOKUP(B635,BD_CONTROL!$A$5:$M$4235,13,0),"")</f>
        <v>Cargado desde DB instalación 23/04/2026</v>
      </c>
    </row>
    <row r="636" spans="1:13" ht="15" customHeight="1">
      <c r="A636" s="39">
        <v>631</v>
      </c>
      <c r="B636" s="39" t="s">
        <v>5898</v>
      </c>
      <c r="C636" s="40" t="s">
        <v>5899</v>
      </c>
      <c r="D636" s="39" t="s">
        <v>5640</v>
      </c>
      <c r="E636" s="40" t="s">
        <v>5816</v>
      </c>
      <c r="F636" s="40" t="s">
        <v>5817</v>
      </c>
      <c r="G636" s="39" t="s">
        <v>109</v>
      </c>
      <c r="H636" s="40" t="s">
        <v>3449</v>
      </c>
      <c r="I636" s="40" t="s">
        <v>104</v>
      </c>
      <c r="J636" s="50"/>
      <c r="K636" s="116" t="str">
        <f>IFERROR(VLOOKUP(B636,BD_CONTROL!$A$5:$M$4235,11,0),"")</f>
        <v>Instalado - Operando</v>
      </c>
      <c r="L636" s="117">
        <f>IFERROR(VLOOKUP(B636,BD_CONTROL!$A$5:$M$4235,12,0),"")</f>
        <v>46139</v>
      </c>
      <c r="M636" s="118">
        <f>IFERROR(VLOOKUP(B636,BD_CONTROL!$A$5:$M$4235,13,0),"")</f>
        <v>0</v>
      </c>
    </row>
    <row r="637" spans="1:13" ht="15" customHeight="1">
      <c r="A637" s="42">
        <v>632</v>
      </c>
      <c r="B637" s="42" t="s">
        <v>5900</v>
      </c>
      <c r="C637" s="43" t="s">
        <v>5901</v>
      </c>
      <c r="D637" s="42" t="s">
        <v>5640</v>
      </c>
      <c r="E637" s="43" t="s">
        <v>5698</v>
      </c>
      <c r="F637" s="43" t="s">
        <v>5902</v>
      </c>
      <c r="G637" s="42" t="s">
        <v>109</v>
      </c>
      <c r="H637" s="43" t="s">
        <v>3449</v>
      </c>
      <c r="I637" s="43" t="s">
        <v>104</v>
      </c>
      <c r="J637" s="55"/>
      <c r="K637" s="129" t="str">
        <f>IFERROR(VLOOKUP(B637,BD_CONTROL!$A$5:$M$4235,11,0),"")</f>
        <v>INSTALADO - OPERANDO</v>
      </c>
      <c r="L637" s="120">
        <f>IFERROR(VLOOKUP(B637,BD_CONTROL!$A$5:$M$4235,12,0),"")</f>
        <v>46112</v>
      </c>
      <c r="M637" s="121" t="str">
        <f>IFERROR(VLOOKUP(B637,BD_CONTROL!$A$5:$M$4235,13,0),"")</f>
        <v>Cargado desde DB instalación 23/04/2026</v>
      </c>
    </row>
    <row r="638" spans="1:13" ht="15" customHeight="1">
      <c r="A638" s="39">
        <v>633</v>
      </c>
      <c r="B638" s="39" t="s">
        <v>5903</v>
      </c>
      <c r="C638" s="40" t="s">
        <v>5904</v>
      </c>
      <c r="D638" s="39" t="s">
        <v>5640</v>
      </c>
      <c r="E638" s="40" t="s">
        <v>5764</v>
      </c>
      <c r="F638" s="40" t="s">
        <v>5905</v>
      </c>
      <c r="G638" s="39" t="s">
        <v>109</v>
      </c>
      <c r="H638" s="40" t="s">
        <v>3449</v>
      </c>
      <c r="I638" s="40" t="s">
        <v>104</v>
      </c>
      <c r="J638" s="50"/>
      <c r="K638" s="116" t="str">
        <f>IFERROR(VLOOKUP(B638,BD_CONTROL!$A$5:$M$4235,11,0),"")</f>
        <v>Instalado - Sin Señal</v>
      </c>
      <c r="L638" s="117">
        <f>IFERROR(VLOOKUP(B638,BD_CONTROL!$A$5:$M$4235,12,0),"")</f>
        <v>46142</v>
      </c>
      <c r="M638" s="118">
        <f>IFERROR(VLOOKUP(B638,BD_CONTROL!$A$5:$M$4235,13,0),"")</f>
        <v>0</v>
      </c>
    </row>
    <row r="639" spans="1:13" ht="15" customHeight="1">
      <c r="A639" s="42">
        <v>634</v>
      </c>
      <c r="B639" s="42" t="s">
        <v>5906</v>
      </c>
      <c r="C639" s="43" t="s">
        <v>5907</v>
      </c>
      <c r="D639" s="42" t="s">
        <v>5640</v>
      </c>
      <c r="E639" s="43" t="s">
        <v>5908</v>
      </c>
      <c r="F639" s="43" t="s">
        <v>5909</v>
      </c>
      <c r="G639" s="42" t="s">
        <v>109</v>
      </c>
      <c r="H639" s="43" t="s">
        <v>3449</v>
      </c>
      <c r="I639" s="43" t="s">
        <v>104</v>
      </c>
      <c r="J639" s="55"/>
      <c r="K639" s="119" t="str">
        <f>IFERROR(VLOOKUP(B639,BD_CONTROL!$A$5:$M$4235,11,0),"")</f>
        <v>Instalado - Operando</v>
      </c>
      <c r="L639" s="120">
        <f>IFERROR(VLOOKUP(B639,BD_CONTROL!$A$5:$M$4235,12,0),"")</f>
        <v>46142</v>
      </c>
      <c r="M639" s="121">
        <f>IFERROR(VLOOKUP(B639,BD_CONTROL!$A$5:$M$4235,13,0),"")</f>
        <v>0</v>
      </c>
    </row>
    <row r="640" spans="1:13" ht="15" customHeight="1">
      <c r="A640" s="39">
        <v>635</v>
      </c>
      <c r="B640" s="39" t="s">
        <v>5910</v>
      </c>
      <c r="C640" s="40" t="s">
        <v>5911</v>
      </c>
      <c r="D640" s="39" t="s">
        <v>5640</v>
      </c>
      <c r="E640" s="40" t="s">
        <v>5687</v>
      </c>
      <c r="F640" s="40" t="s">
        <v>5912</v>
      </c>
      <c r="G640" s="39" t="s">
        <v>109</v>
      </c>
      <c r="H640" s="40" t="s">
        <v>3449</v>
      </c>
      <c r="I640" s="40" t="s">
        <v>104</v>
      </c>
      <c r="J640" s="50"/>
      <c r="K640" s="129" t="str">
        <f>IFERROR(VLOOKUP(B640,BD_CONTROL!$A$5:$M$4235,11,0),"")</f>
        <v>INSTALADO - OPERANDO</v>
      </c>
      <c r="L640" s="117">
        <f>IFERROR(VLOOKUP(B640,BD_CONTROL!$A$5:$M$4235,12,0),"")</f>
        <v>46129</v>
      </c>
      <c r="M640" s="118" t="str">
        <f>IFERROR(VLOOKUP(B640,BD_CONTROL!$A$5:$M$4235,13,0),"")</f>
        <v>Cargado desde DB instalación 23/04/2026</v>
      </c>
    </row>
    <row r="641" spans="1:13" ht="15" customHeight="1">
      <c r="A641" s="42">
        <v>636</v>
      </c>
      <c r="B641" s="42" t="s">
        <v>5913</v>
      </c>
      <c r="C641" s="43" t="s">
        <v>5914</v>
      </c>
      <c r="D641" s="42" t="s">
        <v>5640</v>
      </c>
      <c r="E641" s="43" t="s">
        <v>5673</v>
      </c>
      <c r="F641" s="43" t="s">
        <v>5915</v>
      </c>
      <c r="G641" s="42" t="s">
        <v>109</v>
      </c>
      <c r="H641" s="43" t="s">
        <v>3449</v>
      </c>
      <c r="I641" s="43" t="s">
        <v>104</v>
      </c>
      <c r="J641" s="55"/>
      <c r="K641" s="131" t="str">
        <f>IFERROR(VLOOKUP(B641,BD_CONTROL!$A$5:$M$4235,11,0),"")</f>
        <v>VISITADO</v>
      </c>
      <c r="L641" s="120">
        <f>IFERROR(VLOOKUP(B641,BD_CONTROL!$A$5:$M$4235,12,0),"")</f>
        <v>46128</v>
      </c>
      <c r="M641" s="121" t="str">
        <f>IFERROR(VLOOKUP(B641,BD_CONTROL!$A$5:$M$4235,13,0),"")</f>
        <v>Cargado desde DB instalación 23/04/2026</v>
      </c>
    </row>
    <row r="642" spans="1:13" ht="15" customHeight="1">
      <c r="A642" s="39">
        <v>637</v>
      </c>
      <c r="B642" s="39" t="s">
        <v>5916</v>
      </c>
      <c r="C642" s="40" t="s">
        <v>5917</v>
      </c>
      <c r="D642" s="39" t="s">
        <v>5640</v>
      </c>
      <c r="E642" s="40" t="s">
        <v>5853</v>
      </c>
      <c r="F642" s="40" t="s">
        <v>5918</v>
      </c>
      <c r="G642" s="39" t="s">
        <v>109</v>
      </c>
      <c r="H642" s="40" t="s">
        <v>3449</v>
      </c>
      <c r="I642" s="40" t="s">
        <v>104</v>
      </c>
      <c r="J642" s="50"/>
      <c r="K642" s="116" t="str">
        <f>IFERROR(VLOOKUP(B642,BD_CONTROL!$A$5:$M$4235,11,0),"")</f>
        <v>Instalado - Sin Señal</v>
      </c>
      <c r="L642" s="117">
        <f>IFERROR(VLOOKUP(B642,BD_CONTROL!$A$5:$M$4235,12,0),"")</f>
        <v>46153</v>
      </c>
      <c r="M642" s="118" t="str">
        <f>IFERROR(VLOOKUP(B642,BD_CONTROL!$A$5:$M$4235,13,0),"")</f>
        <v>Instalado, no operando, con reporte a mesa de ayuda</v>
      </c>
    </row>
    <row r="643" spans="1:13" ht="15" customHeight="1">
      <c r="A643" s="42">
        <v>638</v>
      </c>
      <c r="B643" s="42" t="s">
        <v>5919</v>
      </c>
      <c r="C643" s="43" t="s">
        <v>5920</v>
      </c>
      <c r="D643" s="42" t="s">
        <v>5640</v>
      </c>
      <c r="E643" s="43" t="s">
        <v>5921</v>
      </c>
      <c r="F643" s="43" t="s">
        <v>5922</v>
      </c>
      <c r="G643" s="42" t="s">
        <v>109</v>
      </c>
      <c r="H643" s="43" t="s">
        <v>3449</v>
      </c>
      <c r="I643" s="43" t="s">
        <v>104</v>
      </c>
      <c r="J643" s="55"/>
      <c r="K643" s="119" t="str">
        <f>IFERROR(VLOOKUP(B643,BD_CONTROL!$A$5:$M$4235,11,0),"")</f>
        <v>Instalado - Sin Señal</v>
      </c>
      <c r="L643" s="120">
        <f>IFERROR(VLOOKUP(B643,BD_CONTROL!$A$5:$M$4235,12,0),"")</f>
        <v>46146</v>
      </c>
      <c r="M643" s="121" t="str">
        <f>IFERROR(VLOOKUP(B643,BD_CONTROL!$A$5:$M$4235,13,0),"")</f>
        <v>Instalado, no operando, con reporte a mesa de ayuda</v>
      </c>
    </row>
    <row r="644" spans="1:13" ht="15" customHeight="1">
      <c r="A644" s="39">
        <v>639</v>
      </c>
      <c r="B644" s="39" t="s">
        <v>5923</v>
      </c>
      <c r="C644" s="40" t="s">
        <v>5924</v>
      </c>
      <c r="D644" s="39" t="s">
        <v>5640</v>
      </c>
      <c r="E644" s="40" t="s">
        <v>5868</v>
      </c>
      <c r="F644" s="40" t="s">
        <v>5925</v>
      </c>
      <c r="G644" s="39" t="s">
        <v>109</v>
      </c>
      <c r="H644" s="40" t="s">
        <v>3449</v>
      </c>
      <c r="I644" s="40" t="s">
        <v>104</v>
      </c>
      <c r="J644" s="50"/>
      <c r="K644" s="129" t="str">
        <f>IFERROR(VLOOKUP(B644,BD_CONTROL!$A$5:$M$4235,11,0),"")</f>
        <v>INSTALADO - OPERANDO</v>
      </c>
      <c r="L644" s="117">
        <f>IFERROR(VLOOKUP(B644,BD_CONTROL!$A$5:$M$4235,12,0),"")</f>
        <v>46127</v>
      </c>
      <c r="M644" s="118" t="str">
        <f>IFERROR(VLOOKUP(B644,BD_CONTROL!$A$5:$M$4235,13,0),"")</f>
        <v>Cargado desde DB instalación 23/04/2026</v>
      </c>
    </row>
    <row r="645" spans="1:13" ht="15" customHeight="1">
      <c r="A645" s="42">
        <v>640</v>
      </c>
      <c r="B645" s="42" t="s">
        <v>5926</v>
      </c>
      <c r="C645" s="43" t="s">
        <v>5927</v>
      </c>
      <c r="D645" s="42" t="s">
        <v>5640</v>
      </c>
      <c r="E645" s="43" t="s">
        <v>5814</v>
      </c>
      <c r="F645" s="43" t="s">
        <v>5928</v>
      </c>
      <c r="G645" s="42" t="s">
        <v>109</v>
      </c>
      <c r="H645" s="43" t="s">
        <v>3449</v>
      </c>
      <c r="I645" s="43" t="s">
        <v>104</v>
      </c>
      <c r="J645" s="55"/>
      <c r="K645" s="129" t="str">
        <f>IFERROR(VLOOKUP(B645,BD_CONTROL!$A$5:$M$4235,11,0),"")</f>
        <v>INSTALADO - OPERANDO</v>
      </c>
      <c r="L645" s="120">
        <f>IFERROR(VLOOKUP(B645,BD_CONTROL!$A$5:$M$4235,12,0),"")</f>
        <v>46120</v>
      </c>
      <c r="M645" s="121" t="str">
        <f>IFERROR(VLOOKUP(B645,BD_CONTROL!$A$5:$M$4235,13,0),"")</f>
        <v>Cargado desde DB instalación 23/04/2026</v>
      </c>
    </row>
    <row r="646" spans="1:13" ht="15" customHeight="1">
      <c r="A646" s="39">
        <v>641</v>
      </c>
      <c r="B646" s="39" t="s">
        <v>5929</v>
      </c>
      <c r="C646" s="40" t="s">
        <v>5930</v>
      </c>
      <c r="D646" s="39" t="s">
        <v>5640</v>
      </c>
      <c r="E646" s="40" t="s">
        <v>5640</v>
      </c>
      <c r="F646" s="40" t="s">
        <v>5640</v>
      </c>
      <c r="G646" s="39" t="s">
        <v>102</v>
      </c>
      <c r="H646" s="40" t="s">
        <v>3449</v>
      </c>
      <c r="I646" s="40" t="s">
        <v>104</v>
      </c>
      <c r="J646" s="50"/>
      <c r="K646" s="129" t="str">
        <f>IFERROR(VLOOKUP(B646,BD_CONTROL!$A$5:$M$4235,11,0),"")</f>
        <v>INSTALADO - OPERANDO</v>
      </c>
      <c r="L646" s="117">
        <f>IFERROR(VLOOKUP(B646,BD_CONTROL!$A$5:$M$4235,12,0),"")</f>
        <v>46128</v>
      </c>
      <c r="M646" s="118" t="str">
        <f>IFERROR(VLOOKUP(B646,BD_CONTROL!$A$5:$M$4235,13,0),"")</f>
        <v>Cargado desde DB instalación 23/04/2026</v>
      </c>
    </row>
    <row r="647" spans="1:13" ht="15" customHeight="1">
      <c r="A647" s="42">
        <v>642</v>
      </c>
      <c r="B647" s="42" t="s">
        <v>5931</v>
      </c>
      <c r="C647" s="43" t="s">
        <v>5932</v>
      </c>
      <c r="D647" s="42" t="s">
        <v>5640</v>
      </c>
      <c r="E647" s="43" t="s">
        <v>5888</v>
      </c>
      <c r="F647" s="43" t="s">
        <v>5933</v>
      </c>
      <c r="G647" s="42" t="s">
        <v>109</v>
      </c>
      <c r="H647" s="43" t="s">
        <v>3449</v>
      </c>
      <c r="I647" s="43" t="s">
        <v>104</v>
      </c>
      <c r="J647" s="55"/>
      <c r="K647" s="129" t="str">
        <f>IFERROR(VLOOKUP(B647,BD_CONTROL!$A$5:$M$4235,11,0),"")</f>
        <v>INSTALADO - OPERANDO</v>
      </c>
      <c r="L647" s="120">
        <f>IFERROR(VLOOKUP(B647,BD_CONTROL!$A$5:$M$4235,12,0),"")</f>
        <v>46128</v>
      </c>
      <c r="M647" s="121" t="str">
        <f>IFERROR(VLOOKUP(B647,BD_CONTROL!$A$5:$M$4235,13,0),"")</f>
        <v>Cargado desde DB instalación 23/04/2026</v>
      </c>
    </row>
    <row r="648" spans="1:13" ht="15" customHeight="1">
      <c r="A648" s="39">
        <v>643</v>
      </c>
      <c r="B648" s="39" t="s">
        <v>5934</v>
      </c>
      <c r="C648" s="40" t="s">
        <v>5935</v>
      </c>
      <c r="D648" s="39" t="s">
        <v>5640</v>
      </c>
      <c r="E648" s="40" t="s">
        <v>5773</v>
      </c>
      <c r="F648" s="40" t="s">
        <v>5773</v>
      </c>
      <c r="G648" s="39" t="s">
        <v>109</v>
      </c>
      <c r="H648" s="40" t="s">
        <v>3449</v>
      </c>
      <c r="I648" s="40" t="s">
        <v>104</v>
      </c>
      <c r="J648" s="50"/>
      <c r="K648" s="131" t="str">
        <f>IFERROR(VLOOKUP(B648,BD_CONTROL!$A$5:$M$4235,11,0),"")</f>
        <v>VISITADO</v>
      </c>
      <c r="L648" s="117">
        <f>IFERROR(VLOOKUP(B648,BD_CONTROL!$A$5:$M$4235,12,0),"")</f>
        <v>46134</v>
      </c>
      <c r="M648" s="118" t="str">
        <f>IFERROR(VLOOKUP(B648,BD_CONTROL!$A$5:$M$4235,13,0),"")</f>
        <v>Cargado desde DB instalación 23/04/2026</v>
      </c>
    </row>
    <row r="649" spans="1:13" ht="15" customHeight="1">
      <c r="A649" s="42">
        <v>644</v>
      </c>
      <c r="B649" s="42" t="s">
        <v>5936</v>
      </c>
      <c r="C649" s="43" t="s">
        <v>5937</v>
      </c>
      <c r="D649" s="42" t="s">
        <v>5640</v>
      </c>
      <c r="E649" s="43" t="s">
        <v>5938</v>
      </c>
      <c r="F649" s="43" t="s">
        <v>5939</v>
      </c>
      <c r="G649" s="42" t="s">
        <v>109</v>
      </c>
      <c r="H649" s="43" t="s">
        <v>3449</v>
      </c>
      <c r="I649" s="43" t="s">
        <v>104</v>
      </c>
      <c r="J649" s="55"/>
      <c r="K649" s="129" t="str">
        <f>IFERROR(VLOOKUP(B649,BD_CONTROL!$A$5:$M$4235,11,0),"")</f>
        <v>INSTALADO - OPERANDO</v>
      </c>
      <c r="L649" s="120">
        <f>IFERROR(VLOOKUP(B649,BD_CONTROL!$A$5:$M$4235,12,0),"")</f>
        <v>46119</v>
      </c>
      <c r="M649" s="121" t="str">
        <f>IFERROR(VLOOKUP(B649,BD_CONTROL!$A$5:$M$4235,13,0),"")</f>
        <v>Cargado desde DB instalación 23/04/2026</v>
      </c>
    </row>
    <row r="650" spans="1:13" ht="15" customHeight="1">
      <c r="A650" s="39">
        <v>645</v>
      </c>
      <c r="B650" s="39" t="s">
        <v>5940</v>
      </c>
      <c r="C650" s="40" t="s">
        <v>5941</v>
      </c>
      <c r="D650" s="39" t="s">
        <v>5640</v>
      </c>
      <c r="E650" s="40" t="s">
        <v>5868</v>
      </c>
      <c r="F650" s="40" t="s">
        <v>5869</v>
      </c>
      <c r="G650" s="39" t="s">
        <v>109</v>
      </c>
      <c r="H650" s="40" t="s">
        <v>3449</v>
      </c>
      <c r="I650" s="40" t="s">
        <v>104</v>
      </c>
      <c r="J650" s="50"/>
      <c r="K650" s="129" t="str">
        <f>IFERROR(VLOOKUP(B650,BD_CONTROL!$A$5:$M$4235,11,0),"")</f>
        <v>INSTALADO - OPERANDO</v>
      </c>
      <c r="L650" s="117">
        <f>IFERROR(VLOOKUP(B650,BD_CONTROL!$A$5:$M$4235,12,0),"")</f>
        <v>46125</v>
      </c>
      <c r="M650" s="118" t="str">
        <f>IFERROR(VLOOKUP(B650,BD_CONTROL!$A$5:$M$4235,13,0),"")</f>
        <v>Cargado desde DB instalación 23/04/2026</v>
      </c>
    </row>
    <row r="651" spans="1:13" ht="15" customHeight="1">
      <c r="A651" s="42">
        <v>646</v>
      </c>
      <c r="B651" s="42" t="s">
        <v>5942</v>
      </c>
      <c r="C651" s="43" t="s">
        <v>5943</v>
      </c>
      <c r="D651" s="42" t="s">
        <v>5640</v>
      </c>
      <c r="E651" s="43" t="s">
        <v>5944</v>
      </c>
      <c r="F651" s="43" t="s">
        <v>5944</v>
      </c>
      <c r="G651" s="42" t="s">
        <v>109</v>
      </c>
      <c r="H651" s="43" t="s">
        <v>3449</v>
      </c>
      <c r="I651" s="43" t="s">
        <v>104</v>
      </c>
      <c r="J651" s="55"/>
      <c r="K651" s="119" t="str">
        <f>IFERROR(VLOOKUP(B651,BD_CONTROL!$A$5:$M$4235,11,0),"")</f>
        <v>Instalado - Operando</v>
      </c>
      <c r="L651" s="120">
        <f>IFERROR(VLOOKUP(B651,BD_CONTROL!$A$5:$M$4235,12,0),"")</f>
        <v>46139</v>
      </c>
      <c r="M651" s="121">
        <f>IFERROR(VLOOKUP(B651,BD_CONTROL!$A$5:$M$4235,13,0),"")</f>
        <v>0</v>
      </c>
    </row>
    <row r="652" spans="1:13" ht="15" customHeight="1">
      <c r="A652" s="39">
        <v>647</v>
      </c>
      <c r="B652" s="39" t="s">
        <v>5945</v>
      </c>
      <c r="C652" s="40" t="s">
        <v>5946</v>
      </c>
      <c r="D652" s="39" t="s">
        <v>5640</v>
      </c>
      <c r="E652" s="40" t="s">
        <v>5698</v>
      </c>
      <c r="F652" s="40" t="s">
        <v>5947</v>
      </c>
      <c r="G652" s="39" t="s">
        <v>109</v>
      </c>
      <c r="H652" s="40" t="s">
        <v>3449</v>
      </c>
      <c r="I652" s="40" t="s">
        <v>104</v>
      </c>
      <c r="J652" s="50"/>
      <c r="K652" s="129" t="str">
        <f>IFERROR(VLOOKUP(B652,BD_CONTROL!$A$5:$M$4235,11,0),"")</f>
        <v>INSTALADO - OPERANDO</v>
      </c>
      <c r="L652" s="117">
        <f>IFERROR(VLOOKUP(B652,BD_CONTROL!$A$5:$M$4235,12,0),"")</f>
        <v>46108</v>
      </c>
      <c r="M652" s="118" t="str">
        <f>IFERROR(VLOOKUP(B652,BD_CONTROL!$A$5:$M$4235,13,0),"")</f>
        <v>Cargado desde DB instalación 23/04/2026</v>
      </c>
    </row>
    <row r="653" spans="1:13" ht="15" customHeight="1">
      <c r="A653" s="42">
        <v>648</v>
      </c>
      <c r="B653" s="42" t="s">
        <v>5948</v>
      </c>
      <c r="C653" s="43" t="s">
        <v>5949</v>
      </c>
      <c r="D653" s="42" t="s">
        <v>5640</v>
      </c>
      <c r="E653" s="43" t="s">
        <v>5814</v>
      </c>
      <c r="F653" s="43" t="s">
        <v>5950</v>
      </c>
      <c r="G653" s="42" t="s">
        <v>109</v>
      </c>
      <c r="H653" s="43" t="s">
        <v>3449</v>
      </c>
      <c r="I653" s="43" t="s">
        <v>104</v>
      </c>
      <c r="J653" s="55"/>
      <c r="K653" s="119">
        <f>IFERROR(VLOOKUP(B653,BD_CONTROL!$A$5:$M$4235,11,0),"")</f>
        <v>0</v>
      </c>
      <c r="L653" s="120">
        <f>IFERROR(VLOOKUP(B653,BD_CONTROL!$A$5:$M$4235,12,0),"")</f>
        <v>0</v>
      </c>
      <c r="M653" s="121">
        <f>IFERROR(VLOOKUP(B653,BD_CONTROL!$A$5:$M$4235,13,0),"")</f>
        <v>0</v>
      </c>
    </row>
    <row r="654" spans="1:13" ht="15" customHeight="1">
      <c r="A654" s="39">
        <v>649</v>
      </c>
      <c r="B654" s="39" t="s">
        <v>5951</v>
      </c>
      <c r="C654" s="40" t="s">
        <v>5952</v>
      </c>
      <c r="D654" s="39" t="s">
        <v>5640</v>
      </c>
      <c r="E654" s="40" t="s">
        <v>5773</v>
      </c>
      <c r="F654" s="40" t="s">
        <v>5953</v>
      </c>
      <c r="G654" s="39" t="s">
        <v>109</v>
      </c>
      <c r="H654" s="40" t="s">
        <v>3449</v>
      </c>
      <c r="I654" s="40" t="s">
        <v>104</v>
      </c>
      <c r="J654" s="50"/>
      <c r="K654" s="129" t="str">
        <f>IFERROR(VLOOKUP(B654,BD_CONTROL!$A$5:$M$4235,11,0),"")</f>
        <v>INSTALADO - OPERANDO</v>
      </c>
      <c r="L654" s="117">
        <f>IFERROR(VLOOKUP(B654,BD_CONTROL!$A$5:$M$4235,12,0),"")</f>
        <v>46125</v>
      </c>
      <c r="M654" s="118" t="str">
        <f>IFERROR(VLOOKUP(B654,BD_CONTROL!$A$5:$M$4235,13,0),"")</f>
        <v>Cargado desde DB instalación 23/04/2026</v>
      </c>
    </row>
    <row r="655" spans="1:13" ht="15" customHeight="1">
      <c r="A655" s="42">
        <v>650</v>
      </c>
      <c r="B655" s="42" t="s">
        <v>5954</v>
      </c>
      <c r="C655" s="43" t="s">
        <v>5955</v>
      </c>
      <c r="D655" s="42" t="s">
        <v>5640</v>
      </c>
      <c r="E655" s="43" t="s">
        <v>5773</v>
      </c>
      <c r="F655" s="43" t="s">
        <v>5956</v>
      </c>
      <c r="G655" s="42" t="s">
        <v>109</v>
      </c>
      <c r="H655" s="43" t="s">
        <v>3449</v>
      </c>
      <c r="I655" s="43" t="s">
        <v>104</v>
      </c>
      <c r="J655" s="55"/>
      <c r="K655" s="129" t="str">
        <f>IFERROR(VLOOKUP(B655,BD_CONTROL!$A$5:$M$4235,11,0),"")</f>
        <v>INSTALADO - OPERANDO</v>
      </c>
      <c r="L655" s="120">
        <f>IFERROR(VLOOKUP(B655,BD_CONTROL!$A$5:$M$4235,12,0),"")</f>
        <v>46127</v>
      </c>
      <c r="M655" s="121" t="str">
        <f>IFERROR(VLOOKUP(B655,BD_CONTROL!$A$5:$M$4235,13,0),"")</f>
        <v>Cargado desde DB instalación 23/04/2026</v>
      </c>
    </row>
    <row r="656" spans="1:13" ht="15" customHeight="1">
      <c r="A656" s="39">
        <v>651</v>
      </c>
      <c r="B656" s="39" t="s">
        <v>5957</v>
      </c>
      <c r="C656" s="40" t="s">
        <v>5958</v>
      </c>
      <c r="D656" s="39" t="s">
        <v>5640</v>
      </c>
      <c r="E656" s="40" t="s">
        <v>5773</v>
      </c>
      <c r="F656" s="40" t="s">
        <v>5959</v>
      </c>
      <c r="G656" s="39" t="s">
        <v>109</v>
      </c>
      <c r="H656" s="40" t="s">
        <v>3449</v>
      </c>
      <c r="I656" s="40" t="s">
        <v>104</v>
      </c>
      <c r="J656" s="50"/>
      <c r="K656" s="130" t="str">
        <f>IFERROR(VLOOKUP(B656,BD_CONTROL!$A$5:$M$4235,11,0),"")</f>
        <v>INSTALADO - SIN SEÑAL</v>
      </c>
      <c r="L656" s="117">
        <f>IFERROR(VLOOKUP(B656,BD_CONTROL!$A$5:$M$4235,12,0),"")</f>
        <v>46132</v>
      </c>
      <c r="M656" s="118" t="str">
        <f>IFERROR(VLOOKUP(B656,BD_CONTROL!$A$5:$M$4235,13,0),"")</f>
        <v>Cargado desde DB instalación 23/04/2026</v>
      </c>
    </row>
    <row r="657" spans="1:13" ht="15" customHeight="1">
      <c r="A657" s="42">
        <v>652</v>
      </c>
      <c r="B657" s="42" t="s">
        <v>5963</v>
      </c>
      <c r="C657" s="43" t="s">
        <v>5964</v>
      </c>
      <c r="D657" s="42" t="s">
        <v>5640</v>
      </c>
      <c r="E657" s="43" t="s">
        <v>5814</v>
      </c>
      <c r="F657" s="43" t="s">
        <v>5965</v>
      </c>
      <c r="G657" s="42" t="s">
        <v>102</v>
      </c>
      <c r="H657" s="43" t="s">
        <v>3449</v>
      </c>
      <c r="I657" s="43" t="s">
        <v>104</v>
      </c>
      <c r="J657" s="55"/>
      <c r="K657" s="119" t="str">
        <f>IFERROR(VLOOKUP(B657,BD_CONTROL!$A$5:$M$4235,11,0),"")</f>
        <v>Instalado - Operando</v>
      </c>
      <c r="L657" s="120">
        <f>IFERROR(VLOOKUP(B657,BD_CONTROL!$A$5:$M$4235,12,0),"")</f>
        <v>46148</v>
      </c>
      <c r="M657" s="121">
        <f>IFERROR(VLOOKUP(B657,BD_CONTROL!$A$5:$M$4235,13,0),"")</f>
        <v>0</v>
      </c>
    </row>
    <row r="658" spans="1:13" ht="15" customHeight="1">
      <c r="A658" s="39">
        <v>653</v>
      </c>
      <c r="B658" s="39" t="s">
        <v>5966</v>
      </c>
      <c r="C658" s="40" t="s">
        <v>5967</v>
      </c>
      <c r="D658" s="39" t="s">
        <v>5640</v>
      </c>
      <c r="E658" s="40" t="s">
        <v>5770</v>
      </c>
      <c r="F658" s="40" t="s">
        <v>5968</v>
      </c>
      <c r="G658" s="39" t="s">
        <v>109</v>
      </c>
      <c r="H658" s="40" t="s">
        <v>3449</v>
      </c>
      <c r="I658" s="40" t="s">
        <v>104</v>
      </c>
      <c r="J658" s="50"/>
      <c r="K658" s="129" t="str">
        <f>IFERROR(VLOOKUP(B658,BD_CONTROL!$A$5:$M$4235,11,0),"")</f>
        <v>INSTALADO - OPERANDO</v>
      </c>
      <c r="L658" s="117">
        <f>IFERROR(VLOOKUP(B658,BD_CONTROL!$A$5:$M$4235,12,0),"")</f>
        <v>46132</v>
      </c>
      <c r="M658" s="118" t="str">
        <f>IFERROR(VLOOKUP(B658,BD_CONTROL!$A$5:$M$4235,13,0),"")</f>
        <v>Cargado desde DB instalación 23/04/2026</v>
      </c>
    </row>
    <row r="659" spans="1:13" ht="15" customHeight="1">
      <c r="A659" s="42">
        <v>654</v>
      </c>
      <c r="B659" s="42" t="s">
        <v>5969</v>
      </c>
      <c r="C659" s="43" t="s">
        <v>5970</v>
      </c>
      <c r="D659" s="42" t="s">
        <v>5640</v>
      </c>
      <c r="E659" s="43" t="s">
        <v>5814</v>
      </c>
      <c r="F659" s="43" t="s">
        <v>5971</v>
      </c>
      <c r="G659" s="42" t="s">
        <v>109</v>
      </c>
      <c r="H659" s="43" t="s">
        <v>3449</v>
      </c>
      <c r="I659" s="43" t="s">
        <v>104</v>
      </c>
      <c r="J659" s="55"/>
      <c r="K659" s="119" t="str">
        <f>IFERROR(VLOOKUP(B659,BD_CONTROL!$A$5:$M$4235,11,0),"")</f>
        <v>Instalado - Operando</v>
      </c>
      <c r="L659" s="120">
        <f>IFERROR(VLOOKUP(B659,BD_CONTROL!$A$5:$M$4235,12,0),"")</f>
        <v>46153</v>
      </c>
      <c r="M659" s="121">
        <f>IFERROR(VLOOKUP(B659,BD_CONTROL!$A$5:$M$4235,13,0),"")</f>
        <v>0</v>
      </c>
    </row>
    <row r="660" spans="1:13" ht="15" customHeight="1">
      <c r="A660" s="39">
        <v>655</v>
      </c>
      <c r="B660" s="39" t="s">
        <v>5972</v>
      </c>
      <c r="C660" s="40" t="s">
        <v>5973</v>
      </c>
      <c r="D660" s="39" t="s">
        <v>5640</v>
      </c>
      <c r="E660" s="40" t="s">
        <v>5814</v>
      </c>
      <c r="F660" s="40" t="s">
        <v>5974</v>
      </c>
      <c r="G660" s="39" t="s">
        <v>109</v>
      </c>
      <c r="H660" s="40" t="s">
        <v>3449</v>
      </c>
      <c r="I660" s="40" t="s">
        <v>104</v>
      </c>
      <c r="J660" s="50"/>
      <c r="K660" s="116" t="str">
        <f>IFERROR(VLOOKUP(B660,BD_CONTROL!$A$5:$M$4235,11,0),"")</f>
        <v>Instalado - Operando</v>
      </c>
      <c r="L660" s="117">
        <f>IFERROR(VLOOKUP(B660,BD_CONTROL!$A$5:$M$4235,12,0),"")</f>
        <v>46150</v>
      </c>
      <c r="M660" s="118">
        <f>IFERROR(VLOOKUP(B660,BD_CONTROL!$A$5:$M$4235,13,0),"")</f>
        <v>0</v>
      </c>
    </row>
    <row r="661" spans="1:13" ht="15" customHeight="1">
      <c r="A661" s="42">
        <v>656</v>
      </c>
      <c r="B661" s="42" t="s">
        <v>5975</v>
      </c>
      <c r="C661" s="43" t="s">
        <v>5976</v>
      </c>
      <c r="D661" s="42" t="s">
        <v>5640</v>
      </c>
      <c r="E661" s="43" t="s">
        <v>5814</v>
      </c>
      <c r="F661" s="43" t="s">
        <v>5977</v>
      </c>
      <c r="G661" s="42" t="s">
        <v>109</v>
      </c>
      <c r="H661" s="43" t="s">
        <v>3449</v>
      </c>
      <c r="I661" s="43" t="s">
        <v>104</v>
      </c>
      <c r="J661" s="55"/>
      <c r="K661" s="119" t="str">
        <f>IFERROR(VLOOKUP(B661,BD_CONTROL!$A$5:$M$4235,11,0),"")</f>
        <v>Instalado - Operando</v>
      </c>
      <c r="L661" s="120">
        <f>IFERROR(VLOOKUP(B661,BD_CONTROL!$A$5:$M$4235,12,0),"")</f>
        <v>46146</v>
      </c>
      <c r="M661" s="121">
        <f>IFERROR(VLOOKUP(B661,BD_CONTROL!$A$5:$M$4235,13,0),"")</f>
        <v>0</v>
      </c>
    </row>
    <row r="662" spans="1:13" ht="15" customHeight="1">
      <c r="A662" s="39">
        <v>657</v>
      </c>
      <c r="B662" s="39" t="s">
        <v>5978</v>
      </c>
      <c r="C662" s="40" t="s">
        <v>5979</v>
      </c>
      <c r="D662" s="39" t="s">
        <v>5640</v>
      </c>
      <c r="E662" s="40" t="s">
        <v>5700</v>
      </c>
      <c r="F662" s="40" t="s">
        <v>5980</v>
      </c>
      <c r="G662" s="39" t="s">
        <v>102</v>
      </c>
      <c r="H662" s="40" t="s">
        <v>3449</v>
      </c>
      <c r="I662" s="40" t="s">
        <v>104</v>
      </c>
      <c r="J662" s="50"/>
      <c r="K662" s="129" t="str">
        <f>IFERROR(VLOOKUP(B662,BD_CONTROL!$A$5:$M$4235,11,0),"")</f>
        <v>INSTALADO - OPERANDO</v>
      </c>
      <c r="L662" s="117">
        <f>IFERROR(VLOOKUP(B662,BD_CONTROL!$A$5:$M$4235,12,0),"")</f>
        <v>46132</v>
      </c>
      <c r="M662" s="118" t="str">
        <f>IFERROR(VLOOKUP(B662,BD_CONTROL!$A$5:$M$4235,13,0),"")</f>
        <v>Cargado desde DB instalación 23/04/2026</v>
      </c>
    </row>
    <row r="663" spans="1:13" ht="15" customHeight="1">
      <c r="A663" s="42">
        <v>658</v>
      </c>
      <c r="B663" s="42" t="s">
        <v>5981</v>
      </c>
      <c r="C663" s="43" t="s">
        <v>5982</v>
      </c>
      <c r="D663" s="42" t="s">
        <v>5640</v>
      </c>
      <c r="E663" s="43" t="s">
        <v>5723</v>
      </c>
      <c r="F663" s="43" t="s">
        <v>5983</v>
      </c>
      <c r="G663" s="42" t="s">
        <v>109</v>
      </c>
      <c r="H663" s="43" t="s">
        <v>3449</v>
      </c>
      <c r="I663" s="43" t="s">
        <v>104</v>
      </c>
      <c r="J663" s="55"/>
      <c r="K663" s="119">
        <f>IFERROR(VLOOKUP(B663,BD_CONTROL!$A$5:$M$4235,11,0),"")</f>
        <v>0</v>
      </c>
      <c r="L663" s="120">
        <f>IFERROR(VLOOKUP(B663,BD_CONTROL!$A$5:$M$4235,12,0),"")</f>
        <v>0</v>
      </c>
      <c r="M663" s="121">
        <f>IFERROR(VLOOKUP(B663,BD_CONTROL!$A$5:$M$4235,13,0),"")</f>
        <v>0</v>
      </c>
    </row>
    <row r="664" spans="1:13" ht="15" customHeight="1">
      <c r="A664" s="39">
        <v>659</v>
      </c>
      <c r="B664" s="39" t="s">
        <v>5984</v>
      </c>
      <c r="C664" s="40" t="s">
        <v>5985</v>
      </c>
      <c r="D664" s="39" t="s">
        <v>5640</v>
      </c>
      <c r="E664" s="40" t="s">
        <v>5986</v>
      </c>
      <c r="F664" s="40" t="s">
        <v>5987</v>
      </c>
      <c r="G664" s="39" t="s">
        <v>102</v>
      </c>
      <c r="H664" s="40" t="s">
        <v>3449</v>
      </c>
      <c r="I664" s="40" t="s">
        <v>104</v>
      </c>
      <c r="J664" s="50"/>
      <c r="K664" s="129" t="str">
        <f>IFERROR(VLOOKUP(B664,BD_CONTROL!$A$5:$M$4235,11,0),"")</f>
        <v>Instalado - Operando</v>
      </c>
      <c r="L664" s="117">
        <f>IFERROR(VLOOKUP(B664,BD_CONTROL!$A$5:$M$4235,12,0),"")</f>
        <v>46136</v>
      </c>
      <c r="M664" s="118">
        <f>IFERROR(VLOOKUP(B664,BD_CONTROL!$A$5:$M$4235,13,0),"")</f>
        <v>0</v>
      </c>
    </row>
    <row r="665" spans="1:13" ht="15" customHeight="1">
      <c r="A665" s="42">
        <v>660</v>
      </c>
      <c r="B665" s="42" t="s">
        <v>5988</v>
      </c>
      <c r="C665" s="43" t="s">
        <v>5989</v>
      </c>
      <c r="D665" s="42" t="s">
        <v>5640</v>
      </c>
      <c r="E665" s="43" t="s">
        <v>5986</v>
      </c>
      <c r="F665" s="43" t="s">
        <v>5990</v>
      </c>
      <c r="G665" s="42" t="s">
        <v>109</v>
      </c>
      <c r="H665" s="43" t="s">
        <v>3449</v>
      </c>
      <c r="I665" s="43" t="s">
        <v>104</v>
      </c>
      <c r="J665" s="55"/>
      <c r="K665" s="129" t="str">
        <f>IFERROR(VLOOKUP(B665,BD_CONTROL!$A$5:$M$4235,11,0),"")</f>
        <v>INSTALADO - OPERANDO</v>
      </c>
      <c r="L665" s="120">
        <f>IFERROR(VLOOKUP(B665,BD_CONTROL!$A$5:$M$4235,12,0),"")</f>
        <v>46107</v>
      </c>
      <c r="M665" s="121" t="str">
        <f>IFERROR(VLOOKUP(B665,BD_CONTROL!$A$5:$M$4235,13,0),"")</f>
        <v>Cargado desde DB instalación 23/04/2026</v>
      </c>
    </row>
    <row r="666" spans="1:13" ht="15" customHeight="1">
      <c r="A666" s="39">
        <v>661</v>
      </c>
      <c r="B666" s="39" t="s">
        <v>5991</v>
      </c>
      <c r="C666" s="40" t="s">
        <v>5992</v>
      </c>
      <c r="D666" s="39" t="s">
        <v>5640</v>
      </c>
      <c r="E666" s="40" t="s">
        <v>5640</v>
      </c>
      <c r="F666" s="40" t="s">
        <v>5640</v>
      </c>
      <c r="G666" s="39" t="s">
        <v>102</v>
      </c>
      <c r="H666" s="40" t="s">
        <v>3449</v>
      </c>
      <c r="I666" s="40" t="s">
        <v>104</v>
      </c>
      <c r="J666" s="50"/>
      <c r="K666" s="116" t="str">
        <f>IFERROR(VLOOKUP(B666,BD_CONTROL!$A$5:$M$4235,11,0),"")</f>
        <v>Instalado - Operando</v>
      </c>
      <c r="L666" s="117">
        <f>IFERROR(VLOOKUP(B666,BD_CONTROL!$A$5:$M$4235,12,0),"")</f>
        <v>46142</v>
      </c>
      <c r="M666" s="118">
        <f>IFERROR(VLOOKUP(B666,BD_CONTROL!$A$5:$M$4235,13,0),"")</f>
        <v>0</v>
      </c>
    </row>
    <row r="667" spans="1:13" ht="15" customHeight="1">
      <c r="A667" s="42">
        <v>662</v>
      </c>
      <c r="B667" s="42" t="s">
        <v>5993</v>
      </c>
      <c r="C667" s="43" t="s">
        <v>3597</v>
      </c>
      <c r="D667" s="42" t="s">
        <v>5640</v>
      </c>
      <c r="E667" s="43" t="s">
        <v>5994</v>
      </c>
      <c r="F667" s="43" t="s">
        <v>5994</v>
      </c>
      <c r="G667" s="42" t="s">
        <v>109</v>
      </c>
      <c r="H667" s="43" t="s">
        <v>3449</v>
      </c>
      <c r="I667" s="43" t="s">
        <v>104</v>
      </c>
      <c r="J667" s="55"/>
      <c r="K667" s="129" t="str">
        <f>IFERROR(VLOOKUP(B667,BD_CONTROL!$A$5:$M$4235,11,0),"")</f>
        <v>INSTALADO - OPERANDO</v>
      </c>
      <c r="L667" s="120">
        <f>IFERROR(VLOOKUP(B667,BD_CONTROL!$A$5:$M$4235,12,0),"")</f>
        <v>46134</v>
      </c>
      <c r="M667" s="121" t="str">
        <f>IFERROR(VLOOKUP(B667,BD_CONTROL!$A$5:$M$4235,13,0),"")</f>
        <v>Cargado desde DB instalación 23/04/2026</v>
      </c>
    </row>
    <row r="668" spans="1:13" ht="15" customHeight="1">
      <c r="A668" s="39">
        <v>663</v>
      </c>
      <c r="B668" s="39" t="s">
        <v>5995</v>
      </c>
      <c r="C668" s="40" t="s">
        <v>5996</v>
      </c>
      <c r="D668" s="39" t="s">
        <v>5640</v>
      </c>
      <c r="E668" s="40" t="s">
        <v>5997</v>
      </c>
      <c r="F668" s="40" t="s">
        <v>5998</v>
      </c>
      <c r="G668" s="39" t="s">
        <v>109</v>
      </c>
      <c r="H668" s="40" t="s">
        <v>3449</v>
      </c>
      <c r="I668" s="40" t="s">
        <v>104</v>
      </c>
      <c r="J668" s="50"/>
      <c r="K668" s="116" t="str">
        <f>IFERROR(VLOOKUP(B668,BD_CONTROL!$A$5:$M$4235,11,0),"")</f>
        <v>Instalado - Operando</v>
      </c>
      <c r="L668" s="117">
        <f>IFERROR(VLOOKUP(B668,BD_CONTROL!$A$5:$M$4235,12,0),"")</f>
        <v>46149</v>
      </c>
      <c r="M668" s="118">
        <f>IFERROR(VLOOKUP(B668,BD_CONTROL!$A$5:$M$4235,13,0),"")</f>
        <v>0</v>
      </c>
    </row>
    <row r="669" spans="1:13" ht="15" customHeight="1">
      <c r="A669" s="42">
        <v>664</v>
      </c>
      <c r="B669" s="42" t="s">
        <v>5999</v>
      </c>
      <c r="C669" s="43" t="s">
        <v>6000</v>
      </c>
      <c r="D669" s="42" t="s">
        <v>5640</v>
      </c>
      <c r="E669" s="43" t="s">
        <v>5861</v>
      </c>
      <c r="F669" s="43" t="s">
        <v>6001</v>
      </c>
      <c r="G669" s="42" t="s">
        <v>109</v>
      </c>
      <c r="H669" s="43" t="s">
        <v>3449</v>
      </c>
      <c r="I669" s="43" t="s">
        <v>104</v>
      </c>
      <c r="J669" s="55"/>
      <c r="K669" s="129" t="str">
        <f>IFERROR(VLOOKUP(B669,BD_CONTROL!$A$5:$M$4235,11,0),"")</f>
        <v>INSTALADO - OPERANDO</v>
      </c>
      <c r="L669" s="120">
        <f>IFERROR(VLOOKUP(B669,BD_CONTROL!$A$5:$M$4235,12,0),"")</f>
        <v>46133</v>
      </c>
      <c r="M669" s="121" t="str">
        <f>IFERROR(VLOOKUP(B669,BD_CONTROL!$A$5:$M$4235,13,0),"")</f>
        <v>Cargado desde DB instalación 23/04/2026</v>
      </c>
    </row>
    <row r="670" spans="1:13" ht="15" customHeight="1">
      <c r="A670" s="39">
        <v>665</v>
      </c>
      <c r="B670" s="39" t="s">
        <v>6002</v>
      </c>
      <c r="C670" s="40" t="s">
        <v>6003</v>
      </c>
      <c r="D670" s="39" t="s">
        <v>5640</v>
      </c>
      <c r="E670" s="40" t="s">
        <v>5938</v>
      </c>
      <c r="F670" s="40" t="s">
        <v>6004</v>
      </c>
      <c r="G670" s="39" t="s">
        <v>102</v>
      </c>
      <c r="H670" s="40" t="s">
        <v>3449</v>
      </c>
      <c r="I670" s="40" t="s">
        <v>104</v>
      </c>
      <c r="J670" s="50"/>
      <c r="K670" s="116">
        <f>IFERROR(VLOOKUP(B670,BD_CONTROL!$A$5:$M$4235,11,0),"")</f>
        <v>0</v>
      </c>
      <c r="L670" s="117">
        <f>IFERROR(VLOOKUP(B670,BD_CONTROL!$A$5:$M$4235,12,0),"")</f>
        <v>0</v>
      </c>
      <c r="M670" s="118">
        <f>IFERROR(VLOOKUP(B670,BD_CONTROL!$A$5:$M$4235,13,0),"")</f>
        <v>0</v>
      </c>
    </row>
    <row r="671" spans="1:13" ht="15" customHeight="1">
      <c r="A671" s="42">
        <v>666</v>
      </c>
      <c r="B671" s="42" t="s">
        <v>6005</v>
      </c>
      <c r="C671" s="43" t="s">
        <v>6006</v>
      </c>
      <c r="D671" s="42" t="s">
        <v>5640</v>
      </c>
      <c r="E671" s="43" t="s">
        <v>5938</v>
      </c>
      <c r="F671" s="43" t="s">
        <v>6007</v>
      </c>
      <c r="G671" s="42" t="s">
        <v>109</v>
      </c>
      <c r="H671" s="43" t="s">
        <v>3449</v>
      </c>
      <c r="I671" s="43" t="s">
        <v>104</v>
      </c>
      <c r="J671" s="55"/>
      <c r="K671" s="119">
        <f>IFERROR(VLOOKUP(B671,BD_CONTROL!$A$5:$M$4235,11,0),"")</f>
        <v>0</v>
      </c>
      <c r="L671" s="120">
        <f>IFERROR(VLOOKUP(B671,BD_CONTROL!$A$5:$M$4235,12,0),"")</f>
        <v>0</v>
      </c>
      <c r="M671" s="121">
        <f>IFERROR(VLOOKUP(B671,BD_CONTROL!$A$5:$M$4235,13,0),"")</f>
        <v>0</v>
      </c>
    </row>
    <row r="672" spans="1:13" ht="15" customHeight="1">
      <c r="A672" s="39">
        <v>667</v>
      </c>
      <c r="B672" s="39" t="s">
        <v>6008</v>
      </c>
      <c r="C672" s="40" t="s">
        <v>6009</v>
      </c>
      <c r="D672" s="39" t="s">
        <v>5640</v>
      </c>
      <c r="E672" s="40" t="s">
        <v>5938</v>
      </c>
      <c r="F672" s="40" t="s">
        <v>6010</v>
      </c>
      <c r="G672" s="39" t="s">
        <v>109</v>
      </c>
      <c r="H672" s="40" t="s">
        <v>3449</v>
      </c>
      <c r="I672" s="40" t="s">
        <v>104</v>
      </c>
      <c r="J672" s="50"/>
      <c r="K672" s="129" t="str">
        <f>IFERROR(VLOOKUP(B672,BD_CONTROL!$A$5:$M$4235,11,0),"")</f>
        <v>INSTALADO - OPERANDO</v>
      </c>
      <c r="L672" s="117">
        <f>IFERROR(VLOOKUP(B672,BD_CONTROL!$A$5:$M$4235,12,0),"")</f>
        <v>46125</v>
      </c>
      <c r="M672" s="118" t="str">
        <f>IFERROR(VLOOKUP(B672,BD_CONTROL!$A$5:$M$4235,13,0),"")</f>
        <v>Cargado desde DB instalación 23/04/2026</v>
      </c>
    </row>
    <row r="673" spans="1:13" ht="15" customHeight="1">
      <c r="A673" s="42">
        <v>668</v>
      </c>
      <c r="B673" s="42" t="s">
        <v>6011</v>
      </c>
      <c r="C673" s="43" t="s">
        <v>6012</v>
      </c>
      <c r="D673" s="42" t="s">
        <v>5640</v>
      </c>
      <c r="E673" s="43" t="s">
        <v>5640</v>
      </c>
      <c r="F673" s="43" t="s">
        <v>5640</v>
      </c>
      <c r="G673" s="42" t="s">
        <v>102</v>
      </c>
      <c r="H673" s="43" t="s">
        <v>3449</v>
      </c>
      <c r="I673" s="43" t="s">
        <v>104</v>
      </c>
      <c r="J673" s="55"/>
      <c r="K673" s="129" t="str">
        <f>IFERROR(VLOOKUP(B673,BD_CONTROL!$A$5:$M$4235,11,0),"")</f>
        <v>INSTALADO - OPERANDO</v>
      </c>
      <c r="L673" s="120">
        <f>IFERROR(VLOOKUP(B673,BD_CONTROL!$A$5:$M$4235,12,0),"")</f>
        <v>46135</v>
      </c>
      <c r="M673" s="121" t="str">
        <f>IFERROR(VLOOKUP(B673,BD_CONTROL!$A$5:$M$4235,13,0),"")</f>
        <v>Cargado desde DB instalación 23/04/2026</v>
      </c>
    </row>
    <row r="674" spans="1:13" ht="15" customHeight="1">
      <c r="A674" s="39">
        <v>669</v>
      </c>
      <c r="B674" s="39" t="s">
        <v>6013</v>
      </c>
      <c r="C674" s="40" t="s">
        <v>6014</v>
      </c>
      <c r="D674" s="39" t="s">
        <v>5640</v>
      </c>
      <c r="E674" s="40" t="s">
        <v>5640</v>
      </c>
      <c r="F674" s="40" t="s">
        <v>6015</v>
      </c>
      <c r="G674" s="39" t="s">
        <v>102</v>
      </c>
      <c r="H674" s="40" t="s">
        <v>3449</v>
      </c>
      <c r="I674" s="40" t="s">
        <v>104</v>
      </c>
      <c r="J674" s="50"/>
      <c r="K674" s="129" t="str">
        <f>IFERROR(VLOOKUP(B674,BD_CONTROL!$A$5:$M$4235,11,0),"")</f>
        <v>INSTALADO - OPERANDO</v>
      </c>
      <c r="L674" s="117">
        <f>IFERROR(VLOOKUP(B674,BD_CONTROL!$A$5:$M$4235,12,0),"")</f>
        <v>46125</v>
      </c>
      <c r="M674" s="118" t="str">
        <f>IFERROR(VLOOKUP(B674,BD_CONTROL!$A$5:$M$4235,13,0),"")</f>
        <v>Cargado desde DB instalación 23/04/2026</v>
      </c>
    </row>
    <row r="675" spans="1:13" ht="15" customHeight="1">
      <c r="A675" s="42">
        <v>670</v>
      </c>
      <c r="B675" s="42" t="s">
        <v>6016</v>
      </c>
      <c r="C675" s="43" t="s">
        <v>6017</v>
      </c>
      <c r="D675" s="42" t="s">
        <v>5640</v>
      </c>
      <c r="E675" s="43" t="s">
        <v>5640</v>
      </c>
      <c r="F675" s="43" t="s">
        <v>6018</v>
      </c>
      <c r="G675" s="42" t="s">
        <v>102</v>
      </c>
      <c r="H675" s="43" t="s">
        <v>3449</v>
      </c>
      <c r="I675" s="43" t="s">
        <v>104</v>
      </c>
      <c r="J675" s="55"/>
      <c r="K675" s="129" t="str">
        <f>IFERROR(VLOOKUP(B675,BD_CONTROL!$A$5:$M$4235,11,0),"")</f>
        <v>INSTALADO - OPERANDO</v>
      </c>
      <c r="L675" s="120">
        <f>IFERROR(VLOOKUP(B675,BD_CONTROL!$A$5:$M$4235,12,0),"")</f>
        <v>46108</v>
      </c>
      <c r="M675" s="121" t="str">
        <f>IFERROR(VLOOKUP(B675,BD_CONTROL!$A$5:$M$4235,13,0),"")</f>
        <v>Cargado desde DB instalación 23/04/2026</v>
      </c>
    </row>
    <row r="676" spans="1:13" ht="15" customHeight="1">
      <c r="A676" s="39">
        <v>671</v>
      </c>
      <c r="B676" s="39" t="s">
        <v>6019</v>
      </c>
      <c r="C676" s="40" t="s">
        <v>6020</v>
      </c>
      <c r="D676" s="39" t="s">
        <v>5640</v>
      </c>
      <c r="E676" s="40" t="s">
        <v>5640</v>
      </c>
      <c r="F676" s="40" t="s">
        <v>6021</v>
      </c>
      <c r="G676" s="39" t="s">
        <v>109</v>
      </c>
      <c r="H676" s="40" t="s">
        <v>3449</v>
      </c>
      <c r="I676" s="40" t="s">
        <v>104</v>
      </c>
      <c r="J676" s="50"/>
      <c r="K676" s="129" t="str">
        <f>IFERROR(VLOOKUP(B676,BD_CONTROL!$A$5:$M$4235,11,0),"")</f>
        <v>INSTALADO - OPERANDO</v>
      </c>
      <c r="L676" s="117">
        <f>IFERROR(VLOOKUP(B676,BD_CONTROL!$A$5:$M$4235,12,0),"")</f>
        <v>46127</v>
      </c>
      <c r="M676" s="118" t="str">
        <f>IFERROR(VLOOKUP(B676,BD_CONTROL!$A$5:$M$4235,13,0),"")</f>
        <v>Cargado desde DB instalación 23/04/2026</v>
      </c>
    </row>
    <row r="677" spans="1:13" ht="15" customHeight="1">
      <c r="A677" s="42">
        <v>672</v>
      </c>
      <c r="B677" s="42" t="s">
        <v>6022</v>
      </c>
      <c r="C677" s="43" t="s">
        <v>6023</v>
      </c>
      <c r="D677" s="42" t="s">
        <v>5640</v>
      </c>
      <c r="E677" s="43" t="s">
        <v>5640</v>
      </c>
      <c r="F677" s="43" t="s">
        <v>6024</v>
      </c>
      <c r="G677" s="42" t="s">
        <v>102</v>
      </c>
      <c r="H677" s="43" t="s">
        <v>3449</v>
      </c>
      <c r="I677" s="43" t="s">
        <v>104</v>
      </c>
      <c r="J677" s="55"/>
      <c r="K677" s="130" t="str">
        <f>IFERROR(VLOOKUP(B677,BD_CONTROL!$A$5:$M$4235,11,0),"")</f>
        <v>INSTALADO - SIN SEÑAL</v>
      </c>
      <c r="L677" s="120">
        <f>IFERROR(VLOOKUP(B677,BD_CONTROL!$A$5:$M$4235,12,0),"")</f>
        <v>46128</v>
      </c>
      <c r="M677" s="121" t="str">
        <f>IFERROR(VLOOKUP(B677,BD_CONTROL!$A$5:$M$4235,13,0),"")</f>
        <v>Cargado desde DB instalación 23/04/2026</v>
      </c>
    </row>
    <row r="678" spans="1:13" ht="15" customHeight="1">
      <c r="A678" s="39">
        <v>673</v>
      </c>
      <c r="B678" s="39" t="s">
        <v>6025</v>
      </c>
      <c r="C678" s="40" t="s">
        <v>6026</v>
      </c>
      <c r="D678" s="39" t="s">
        <v>5640</v>
      </c>
      <c r="E678" s="40" t="s">
        <v>5717</v>
      </c>
      <c r="F678" s="40" t="s">
        <v>6027</v>
      </c>
      <c r="G678" s="39" t="s">
        <v>109</v>
      </c>
      <c r="H678" s="40" t="s">
        <v>3449</v>
      </c>
      <c r="I678" s="40" t="s">
        <v>104</v>
      </c>
      <c r="J678" s="50"/>
      <c r="K678" s="129" t="str">
        <f>IFERROR(VLOOKUP(B678,BD_CONTROL!$A$5:$M$4235,11,0),"")</f>
        <v>INSTALADO - OPERANDO</v>
      </c>
      <c r="L678" s="117">
        <f>IFERROR(VLOOKUP(B678,BD_CONTROL!$A$5:$M$4235,12,0),"")</f>
        <v>46108</v>
      </c>
      <c r="M678" s="118" t="str">
        <f>IFERROR(VLOOKUP(B678,BD_CONTROL!$A$5:$M$4235,13,0),"")</f>
        <v>Cargado desde DB instalación 23/04/2026</v>
      </c>
    </row>
    <row r="679" spans="1:13" ht="15" customHeight="1">
      <c r="A679" s="42">
        <v>674</v>
      </c>
      <c r="B679" s="42" t="s">
        <v>6028</v>
      </c>
      <c r="C679" s="43" t="s">
        <v>1431</v>
      </c>
      <c r="D679" s="42" t="s">
        <v>5640</v>
      </c>
      <c r="E679" s="43" t="s">
        <v>5944</v>
      </c>
      <c r="F679" s="43" t="s">
        <v>6029</v>
      </c>
      <c r="G679" s="42" t="s">
        <v>102</v>
      </c>
      <c r="H679" s="43" t="s">
        <v>3449</v>
      </c>
      <c r="I679" s="43" t="s">
        <v>104</v>
      </c>
      <c r="J679" s="55"/>
      <c r="K679" s="129" t="str">
        <f>IFERROR(VLOOKUP(B679,BD_CONTROL!$A$5:$M$4235,11,0),"")</f>
        <v>INSTALADO - OPERANDO</v>
      </c>
      <c r="L679" s="120">
        <f>IFERROR(VLOOKUP(B679,BD_CONTROL!$A$5:$M$4235,12,0),"")</f>
        <v>46108</v>
      </c>
      <c r="M679" s="121" t="str">
        <f>IFERROR(VLOOKUP(B679,BD_CONTROL!$A$5:$M$4235,13,0),"")</f>
        <v>Cargado desde DB instalación 23/04/2026</v>
      </c>
    </row>
    <row r="680" spans="1:13" ht="15" customHeight="1">
      <c r="A680" s="39">
        <v>675</v>
      </c>
      <c r="B680" s="39" t="s">
        <v>6030</v>
      </c>
      <c r="C680" s="40" t="s">
        <v>6031</v>
      </c>
      <c r="D680" s="39" t="s">
        <v>5640</v>
      </c>
      <c r="E680" s="40" t="s">
        <v>5717</v>
      </c>
      <c r="F680" s="40" t="s">
        <v>6032</v>
      </c>
      <c r="G680" s="39" t="s">
        <v>102</v>
      </c>
      <c r="H680" s="40" t="s">
        <v>3449</v>
      </c>
      <c r="I680" s="40" t="s">
        <v>104</v>
      </c>
      <c r="J680" s="50"/>
      <c r="K680" s="129" t="str">
        <f>IFERROR(VLOOKUP(B680,BD_CONTROL!$A$5:$M$4235,11,0),"")</f>
        <v>INSTALADO - OPERANDO</v>
      </c>
      <c r="L680" s="117">
        <f>IFERROR(VLOOKUP(B680,BD_CONTROL!$A$5:$M$4235,12,0),"")</f>
        <v>46107</v>
      </c>
      <c r="M680" s="118" t="str">
        <f>IFERROR(VLOOKUP(B680,BD_CONTROL!$A$5:$M$4235,13,0),"")</f>
        <v>Cargado desde DB instalación 23/04/2026</v>
      </c>
    </row>
    <row r="681" spans="1:13" ht="15" customHeight="1">
      <c r="A681" s="42">
        <v>676</v>
      </c>
      <c r="B681" s="42" t="s">
        <v>6033</v>
      </c>
      <c r="C681" s="43" t="s">
        <v>6034</v>
      </c>
      <c r="D681" s="42" t="s">
        <v>5640</v>
      </c>
      <c r="E681" s="43" t="s">
        <v>6035</v>
      </c>
      <c r="F681" s="43" t="s">
        <v>6035</v>
      </c>
      <c r="G681" s="42" t="s">
        <v>109</v>
      </c>
      <c r="H681" s="43" t="s">
        <v>3449</v>
      </c>
      <c r="I681" s="43" t="s">
        <v>104</v>
      </c>
      <c r="J681" s="55"/>
      <c r="K681" s="119" t="str">
        <f>IFERROR(VLOOKUP(B681,BD_CONTROL!$A$5:$M$4235,11,0),"")</f>
        <v>Instalado - Operando</v>
      </c>
      <c r="L681" s="120">
        <f>IFERROR(VLOOKUP(B681,BD_CONTROL!$A$5:$M$4235,12,0),"")</f>
        <v>46146</v>
      </c>
      <c r="M681" s="121">
        <f>IFERROR(VLOOKUP(B681,BD_CONTROL!$A$5:$M$4235,13,0),"")</f>
        <v>0</v>
      </c>
    </row>
    <row r="682" spans="1:13" ht="15" customHeight="1">
      <c r="A682" s="39">
        <v>677</v>
      </c>
      <c r="B682" s="39" t="s">
        <v>6036</v>
      </c>
      <c r="C682" s="40" t="s">
        <v>6037</v>
      </c>
      <c r="D682" s="39" t="s">
        <v>5640</v>
      </c>
      <c r="E682" s="40" t="s">
        <v>5661</v>
      </c>
      <c r="F682" s="40" t="s">
        <v>6038</v>
      </c>
      <c r="G682" s="39" t="s">
        <v>109</v>
      </c>
      <c r="H682" s="40" t="s">
        <v>3449</v>
      </c>
      <c r="I682" s="40" t="s">
        <v>104</v>
      </c>
      <c r="J682" s="50"/>
      <c r="K682" s="116" t="str">
        <f>IFERROR(VLOOKUP(B682,BD_CONTROL!$A$5:$M$4235,11,0),"")</f>
        <v>Instalado - Operando</v>
      </c>
      <c r="L682" s="117">
        <f>IFERROR(VLOOKUP(B682,BD_CONTROL!$A$5:$M$4235,12,0),"")</f>
        <v>46153</v>
      </c>
      <c r="M682" s="118">
        <f>IFERROR(VLOOKUP(B682,BD_CONTROL!$A$5:$M$4235,13,0),"")</f>
        <v>0</v>
      </c>
    </row>
    <row r="683" spans="1:13" ht="15" customHeight="1">
      <c r="A683" s="42">
        <v>678</v>
      </c>
      <c r="B683" s="42" t="s">
        <v>6039</v>
      </c>
      <c r="C683" s="43" t="s">
        <v>6040</v>
      </c>
      <c r="D683" s="42" t="s">
        <v>5640</v>
      </c>
      <c r="E683" s="43" t="s">
        <v>5796</v>
      </c>
      <c r="F683" s="43" t="s">
        <v>6041</v>
      </c>
      <c r="G683" s="42" t="s">
        <v>109</v>
      </c>
      <c r="H683" s="43" t="s">
        <v>3449</v>
      </c>
      <c r="I683" s="43" t="s">
        <v>104</v>
      </c>
      <c r="J683" s="55"/>
      <c r="K683" s="119" t="str">
        <f>IFERROR(VLOOKUP(B683,BD_CONTROL!$A$5:$M$4235,11,0),"")</f>
        <v>Instalado - Sin Señal</v>
      </c>
      <c r="L683" s="120">
        <f>IFERROR(VLOOKUP(B683,BD_CONTROL!$A$5:$M$4235,12,0),"")</f>
        <v>46140</v>
      </c>
      <c r="M683" s="121" t="str">
        <f>IFERROR(VLOOKUP(B683,BD_CONTROL!$A$5:$M$4235,13,0),"")</f>
        <v xml:space="preserve">INSTALADO= Instalado, no operando, con reporte a mesa de ayuda
</v>
      </c>
    </row>
    <row r="684" spans="1:13" ht="15" customHeight="1">
      <c r="A684" s="39">
        <v>679</v>
      </c>
      <c r="B684" s="39" t="s">
        <v>6042</v>
      </c>
      <c r="C684" s="40" t="s">
        <v>6043</v>
      </c>
      <c r="D684" s="39" t="s">
        <v>5640</v>
      </c>
      <c r="E684" s="40" t="s">
        <v>5698</v>
      </c>
      <c r="F684" s="40" t="s">
        <v>6044</v>
      </c>
      <c r="G684" s="39" t="s">
        <v>109</v>
      </c>
      <c r="H684" s="40" t="s">
        <v>3449</v>
      </c>
      <c r="I684" s="40" t="s">
        <v>104</v>
      </c>
      <c r="J684" s="50"/>
      <c r="K684" s="129" t="str">
        <f>IFERROR(VLOOKUP(B684,BD_CONTROL!$A$5:$M$4235,11,0),"")</f>
        <v>INSTALADO - OPERANDO</v>
      </c>
      <c r="L684" s="117">
        <f>IFERROR(VLOOKUP(B684,BD_CONTROL!$A$5:$M$4235,12,0),"")</f>
        <v>46108</v>
      </c>
      <c r="M684" s="118" t="str">
        <f>IFERROR(VLOOKUP(B684,BD_CONTROL!$A$5:$M$4235,13,0),"")</f>
        <v>Cargado desde DB instalación 23/04/2026</v>
      </c>
    </row>
    <row r="685" spans="1:13" ht="15" customHeight="1">
      <c r="A685" s="42">
        <v>680</v>
      </c>
      <c r="B685" s="42" t="s">
        <v>6045</v>
      </c>
      <c r="C685" s="43" t="s">
        <v>6046</v>
      </c>
      <c r="D685" s="42" t="s">
        <v>5640</v>
      </c>
      <c r="E685" s="43" t="s">
        <v>5796</v>
      </c>
      <c r="F685" s="43" t="s">
        <v>6047</v>
      </c>
      <c r="G685" s="42" t="s">
        <v>109</v>
      </c>
      <c r="H685" s="43" t="s">
        <v>3449</v>
      </c>
      <c r="I685" s="43" t="s">
        <v>104</v>
      </c>
      <c r="J685" s="55"/>
      <c r="K685" s="119" t="str">
        <f>IFERROR(VLOOKUP(B685,BD_CONTROL!$A$5:$M$4235,11,0),"")</f>
        <v>Instalado - Operando</v>
      </c>
      <c r="L685" s="120">
        <f>IFERROR(VLOOKUP(B685,BD_CONTROL!$A$5:$M$4235,12,0),"")</f>
        <v>46140</v>
      </c>
      <c r="M685" s="121">
        <f>IFERROR(VLOOKUP(B685,BD_CONTROL!$A$5:$M$4235,13,0),"")</f>
        <v>0</v>
      </c>
    </row>
    <row r="686" spans="1:13" ht="15" customHeight="1">
      <c r="A686" s="39">
        <v>681</v>
      </c>
      <c r="B686" s="39" t="s">
        <v>6048</v>
      </c>
      <c r="C686" s="40" t="s">
        <v>6049</v>
      </c>
      <c r="D686" s="39" t="s">
        <v>5640</v>
      </c>
      <c r="E686" s="40" t="s">
        <v>5698</v>
      </c>
      <c r="F686" s="40" t="s">
        <v>6050</v>
      </c>
      <c r="G686" s="39" t="s">
        <v>109</v>
      </c>
      <c r="H686" s="40" t="s">
        <v>3449</v>
      </c>
      <c r="I686" s="40" t="s">
        <v>104</v>
      </c>
      <c r="J686" s="50"/>
      <c r="K686" s="116">
        <f>IFERROR(VLOOKUP(B686,BD_CONTROL!$A$5:$M$4235,11,0),"")</f>
        <v>0</v>
      </c>
      <c r="L686" s="117">
        <f>IFERROR(VLOOKUP(B686,BD_CONTROL!$A$5:$M$4235,12,0),"")</f>
        <v>0</v>
      </c>
      <c r="M686" s="118">
        <f>IFERROR(VLOOKUP(B686,BD_CONTROL!$A$5:$M$4235,13,0),"")</f>
        <v>0</v>
      </c>
    </row>
    <row r="687" spans="1:13" ht="15" customHeight="1">
      <c r="A687" s="42">
        <v>682</v>
      </c>
      <c r="B687" s="42" t="s">
        <v>6051</v>
      </c>
      <c r="C687" s="43" t="s">
        <v>6052</v>
      </c>
      <c r="D687" s="42" t="s">
        <v>5640</v>
      </c>
      <c r="E687" s="43" t="s">
        <v>5698</v>
      </c>
      <c r="F687" s="43" t="s">
        <v>5902</v>
      </c>
      <c r="G687" s="42" t="s">
        <v>109</v>
      </c>
      <c r="H687" s="43" t="s">
        <v>3449</v>
      </c>
      <c r="I687" s="43" t="s">
        <v>104</v>
      </c>
      <c r="J687" s="55"/>
      <c r="K687" s="119" t="str">
        <f>IFERROR(VLOOKUP(B687,BD_CONTROL!$A$5:$M$4235,11,0),"")</f>
        <v>Instalado - Operando</v>
      </c>
      <c r="L687" s="120">
        <f>IFERROR(VLOOKUP(B687,BD_CONTROL!$A$5:$M$4235,12,0),"")</f>
        <v>46147</v>
      </c>
      <c r="M687" s="121">
        <f>IFERROR(VLOOKUP(B687,BD_CONTROL!$A$5:$M$4235,13,0),"")</f>
        <v>0</v>
      </c>
    </row>
    <row r="688" spans="1:13" ht="15" customHeight="1">
      <c r="A688" s="39">
        <v>683</v>
      </c>
      <c r="B688" s="39" t="s">
        <v>6053</v>
      </c>
      <c r="C688" s="40" t="s">
        <v>6054</v>
      </c>
      <c r="D688" s="39" t="s">
        <v>5640</v>
      </c>
      <c r="E688" s="40" t="s">
        <v>6055</v>
      </c>
      <c r="F688" s="40" t="s">
        <v>6055</v>
      </c>
      <c r="G688" s="39" t="s">
        <v>109</v>
      </c>
      <c r="H688" s="40" t="s">
        <v>3449</v>
      </c>
      <c r="I688" s="40" t="s">
        <v>104</v>
      </c>
      <c r="J688" s="50"/>
      <c r="K688" s="116" t="str">
        <f>IFERROR(VLOOKUP(B688,BD_CONTROL!$A$5:$M$4235,11,0),"")</f>
        <v>Instalado - Operando</v>
      </c>
      <c r="L688" s="117">
        <f>IFERROR(VLOOKUP(B688,BD_CONTROL!$A$5:$M$4235,12,0),"")</f>
        <v>46150</v>
      </c>
      <c r="M688" s="118">
        <f>IFERROR(VLOOKUP(B688,BD_CONTROL!$A$5:$M$4235,13,0),"")</f>
        <v>0</v>
      </c>
    </row>
    <row r="689" spans="1:13" ht="15" customHeight="1">
      <c r="A689" s="42">
        <v>684</v>
      </c>
      <c r="B689" s="42" t="s">
        <v>6056</v>
      </c>
      <c r="C689" s="43" t="s">
        <v>6057</v>
      </c>
      <c r="D689" s="42" t="s">
        <v>5640</v>
      </c>
      <c r="E689" s="43" t="s">
        <v>6055</v>
      </c>
      <c r="F689" s="43" t="s">
        <v>6058</v>
      </c>
      <c r="G689" s="42" t="s">
        <v>109</v>
      </c>
      <c r="H689" s="43" t="s">
        <v>3449</v>
      </c>
      <c r="I689" s="43" t="s">
        <v>104</v>
      </c>
      <c r="J689" s="55"/>
      <c r="K689" s="119" t="str">
        <f>IFERROR(VLOOKUP(B689,BD_CONTROL!$A$5:$M$4235,11,0),"")</f>
        <v>Instalado - Sin Señal</v>
      </c>
      <c r="L689" s="120">
        <f>IFERROR(VLOOKUP(B689,BD_CONTROL!$A$5:$M$4235,12,0),"")</f>
        <v>46141</v>
      </c>
      <c r="M689" s="121" t="str">
        <f>IFERROR(VLOOKUP(B689,BD_CONTROL!$A$5:$M$4235,13,0),"")</f>
        <v>Instalado, no operando, con reporte a mesa de ayuda</v>
      </c>
    </row>
    <row r="690" spans="1:13" ht="15" customHeight="1">
      <c r="A690" s="39">
        <v>685</v>
      </c>
      <c r="B690" s="39" t="s">
        <v>6059</v>
      </c>
      <c r="C690" s="40" t="s">
        <v>6060</v>
      </c>
      <c r="D690" s="39" t="s">
        <v>5640</v>
      </c>
      <c r="E690" s="40" t="s">
        <v>6055</v>
      </c>
      <c r="F690" s="40" t="s">
        <v>6061</v>
      </c>
      <c r="G690" s="39" t="s">
        <v>109</v>
      </c>
      <c r="H690" s="40" t="s">
        <v>3449</v>
      </c>
      <c r="I690" s="40" t="s">
        <v>104</v>
      </c>
      <c r="J690" s="50"/>
      <c r="K690" s="116" t="str">
        <f>IFERROR(VLOOKUP(B690,BD_CONTROL!$A$5:$M$4235,11,0),"")</f>
        <v>Instalado - Operando</v>
      </c>
      <c r="L690" s="117">
        <f>IFERROR(VLOOKUP(B690,BD_CONTROL!$A$5:$M$4235,12,0),"")</f>
        <v>46143</v>
      </c>
      <c r="M690" s="118">
        <f>IFERROR(VLOOKUP(B690,BD_CONTROL!$A$5:$M$4235,13,0),"")</f>
        <v>0</v>
      </c>
    </row>
    <row r="691" spans="1:13" ht="15" customHeight="1">
      <c r="A691" s="42">
        <v>686</v>
      </c>
      <c r="B691" s="42" t="s">
        <v>6062</v>
      </c>
      <c r="C691" s="43" t="s">
        <v>6063</v>
      </c>
      <c r="D691" s="42" t="s">
        <v>5640</v>
      </c>
      <c r="E691" s="43" t="s">
        <v>6064</v>
      </c>
      <c r="F691" s="43" t="s">
        <v>6064</v>
      </c>
      <c r="G691" s="42" t="s">
        <v>109</v>
      </c>
      <c r="H691" s="43" t="s">
        <v>3449</v>
      </c>
      <c r="I691" s="43" t="s">
        <v>104</v>
      </c>
      <c r="J691" s="55"/>
      <c r="K691" s="119" t="str">
        <f>IFERROR(VLOOKUP(B691,BD_CONTROL!$A$5:$M$4235,11,0),"")</f>
        <v>Instalado - Operando</v>
      </c>
      <c r="L691" s="120">
        <f>IFERROR(VLOOKUP(B691,BD_CONTROL!$A$5:$M$4235,12,0),"")</f>
        <v>46142</v>
      </c>
      <c r="M691" s="121">
        <f>IFERROR(VLOOKUP(B691,BD_CONTROL!$A$5:$M$4235,13,0),"")</f>
        <v>0</v>
      </c>
    </row>
    <row r="692" spans="1:13" ht="15" customHeight="1">
      <c r="A692" s="39">
        <v>687</v>
      </c>
      <c r="B692" s="39" t="s">
        <v>6065</v>
      </c>
      <c r="C692" s="40" t="s">
        <v>6066</v>
      </c>
      <c r="D692" s="39" t="s">
        <v>5640</v>
      </c>
      <c r="E692" s="40" t="s">
        <v>6067</v>
      </c>
      <c r="F692" s="40" t="s">
        <v>6068</v>
      </c>
      <c r="G692" s="39" t="s">
        <v>109</v>
      </c>
      <c r="H692" s="40" t="s">
        <v>3449</v>
      </c>
      <c r="I692" s="40" t="s">
        <v>104</v>
      </c>
      <c r="J692" s="50"/>
      <c r="K692" s="116" t="str">
        <f>IFERROR(VLOOKUP(B692,BD_CONTROL!$A$5:$M$4235,11,0),"")</f>
        <v>Instalado - Operando</v>
      </c>
      <c r="L692" s="117">
        <f>IFERROR(VLOOKUP(B692,BD_CONTROL!$A$5:$M$4235,12,0),"")</f>
        <v>46150</v>
      </c>
      <c r="M692" s="118">
        <f>IFERROR(VLOOKUP(B692,BD_CONTROL!$A$5:$M$4235,13,0),"")</f>
        <v>0</v>
      </c>
    </row>
    <row r="693" spans="1:13" ht="15" customHeight="1">
      <c r="A693" s="42">
        <v>688</v>
      </c>
      <c r="B693" s="42" t="s">
        <v>6069</v>
      </c>
      <c r="C693" s="43" t="s">
        <v>6070</v>
      </c>
      <c r="D693" s="42" t="s">
        <v>5640</v>
      </c>
      <c r="E693" s="43" t="s">
        <v>6067</v>
      </c>
      <c r="F693" s="43" t="s">
        <v>6071</v>
      </c>
      <c r="G693" s="42" t="s">
        <v>102</v>
      </c>
      <c r="H693" s="43" t="s">
        <v>3449</v>
      </c>
      <c r="I693" s="43" t="s">
        <v>104</v>
      </c>
      <c r="J693" s="55"/>
      <c r="K693" s="119">
        <f>IFERROR(VLOOKUP(B693,BD_CONTROL!$A$5:$M$4235,11,0),"")</f>
        <v>0</v>
      </c>
      <c r="L693" s="120">
        <f>IFERROR(VLOOKUP(B693,BD_CONTROL!$A$5:$M$4235,12,0),"")</f>
        <v>0</v>
      </c>
      <c r="M693" s="121">
        <f>IFERROR(VLOOKUP(B693,BD_CONTROL!$A$5:$M$4235,13,0),"")</f>
        <v>0</v>
      </c>
    </row>
    <row r="694" spans="1:13" ht="15" customHeight="1">
      <c r="A694" s="39">
        <v>689</v>
      </c>
      <c r="B694" s="39" t="s">
        <v>6072</v>
      </c>
      <c r="C694" s="40" t="s">
        <v>6073</v>
      </c>
      <c r="D694" s="39" t="s">
        <v>5640</v>
      </c>
      <c r="E694" s="40" t="s">
        <v>6067</v>
      </c>
      <c r="F694" s="40" t="s">
        <v>6074</v>
      </c>
      <c r="G694" s="39" t="s">
        <v>109</v>
      </c>
      <c r="H694" s="40" t="s">
        <v>3449</v>
      </c>
      <c r="I694" s="40" t="s">
        <v>104</v>
      </c>
      <c r="J694" s="50"/>
      <c r="K694" s="116">
        <f>IFERROR(VLOOKUP(B694,BD_CONTROL!$A$5:$M$4235,11,0),"")</f>
        <v>0</v>
      </c>
      <c r="L694" s="117">
        <f>IFERROR(VLOOKUP(B694,BD_CONTROL!$A$5:$M$4235,12,0),"")</f>
        <v>0</v>
      </c>
      <c r="M694" s="118">
        <f>IFERROR(VLOOKUP(B694,BD_CONTROL!$A$5:$M$4235,13,0),"")</f>
        <v>0</v>
      </c>
    </row>
    <row r="695" spans="1:13" ht="15" customHeight="1">
      <c r="A695" s="42">
        <v>690</v>
      </c>
      <c r="B695" s="42" t="s">
        <v>6075</v>
      </c>
      <c r="C695" s="43" t="s">
        <v>6076</v>
      </c>
      <c r="D695" s="42" t="s">
        <v>5640</v>
      </c>
      <c r="E695" s="43" t="s">
        <v>6067</v>
      </c>
      <c r="F695" s="43" t="s">
        <v>2816</v>
      </c>
      <c r="G695" s="42" t="s">
        <v>109</v>
      </c>
      <c r="H695" s="43" t="s">
        <v>3449</v>
      </c>
      <c r="I695" s="43" t="s">
        <v>104</v>
      </c>
      <c r="J695" s="55"/>
      <c r="K695" s="119" t="str">
        <f>IFERROR(VLOOKUP(B695,BD_CONTROL!$A$5:$M$4235,11,0),"")</f>
        <v>Instalado - Operando</v>
      </c>
      <c r="L695" s="120">
        <f>IFERROR(VLOOKUP(B695,BD_CONTROL!$A$5:$M$4235,12,0),"")</f>
        <v>46141</v>
      </c>
      <c r="M695" s="121">
        <f>IFERROR(VLOOKUP(B695,BD_CONTROL!$A$5:$M$4235,13,0),"")</f>
        <v>0</v>
      </c>
    </row>
    <row r="696" spans="1:13" ht="15" customHeight="1">
      <c r="A696" s="39">
        <v>691</v>
      </c>
      <c r="B696" s="39" t="s">
        <v>6077</v>
      </c>
      <c r="C696" s="40" t="s">
        <v>798</v>
      </c>
      <c r="D696" s="39" t="s">
        <v>5640</v>
      </c>
      <c r="E696" s="40" t="s">
        <v>6067</v>
      </c>
      <c r="F696" s="40" t="s">
        <v>6078</v>
      </c>
      <c r="G696" s="39" t="s">
        <v>109</v>
      </c>
      <c r="H696" s="40" t="s">
        <v>3449</v>
      </c>
      <c r="I696" s="40" t="s">
        <v>104</v>
      </c>
      <c r="J696" s="50"/>
      <c r="K696" s="116" t="str">
        <f>IFERROR(VLOOKUP(B696,BD_CONTROL!$A$5:$M$4235,11,0),"")</f>
        <v>Instalado - Operando</v>
      </c>
      <c r="L696" s="117">
        <f>IFERROR(VLOOKUP(B696,BD_CONTROL!$A$5:$M$4235,12,0),"")</f>
        <v>46153</v>
      </c>
      <c r="M696" s="118">
        <f>IFERROR(VLOOKUP(B696,BD_CONTROL!$A$5:$M$4235,13,0),"")</f>
        <v>0</v>
      </c>
    </row>
    <row r="697" spans="1:13" ht="15" customHeight="1">
      <c r="A697" s="42">
        <v>692</v>
      </c>
      <c r="B697" s="42" t="s">
        <v>6079</v>
      </c>
      <c r="C697" s="43" t="s">
        <v>6080</v>
      </c>
      <c r="D697" s="42" t="s">
        <v>5640</v>
      </c>
      <c r="E697" s="43" t="s">
        <v>5811</v>
      </c>
      <c r="F697" s="43" t="s">
        <v>5872</v>
      </c>
      <c r="G697" s="42" t="s">
        <v>109</v>
      </c>
      <c r="H697" s="43" t="s">
        <v>3449</v>
      </c>
      <c r="I697" s="43" t="s">
        <v>104</v>
      </c>
      <c r="J697" s="55"/>
      <c r="K697" s="129" t="str">
        <f>IFERROR(VLOOKUP(B697,BD_CONTROL!$A$5:$M$4235,11,0),"")</f>
        <v>INSTALADO - OPERANDO</v>
      </c>
      <c r="L697" s="120">
        <f>IFERROR(VLOOKUP(B697,BD_CONTROL!$A$5:$M$4235,12,0),"")</f>
        <v>46132</v>
      </c>
      <c r="M697" s="121" t="str">
        <f>IFERROR(VLOOKUP(B697,BD_CONTROL!$A$5:$M$4235,13,0),"")</f>
        <v>Cargado desde DB instalación 23/04/2026</v>
      </c>
    </row>
    <row r="698" spans="1:13" ht="15" customHeight="1">
      <c r="A698" s="39">
        <v>693</v>
      </c>
      <c r="B698" s="39" t="s">
        <v>6081</v>
      </c>
      <c r="C698" s="40" t="s">
        <v>6082</v>
      </c>
      <c r="D698" s="39" t="s">
        <v>5640</v>
      </c>
      <c r="E698" s="40" t="s">
        <v>5811</v>
      </c>
      <c r="F698" s="40" t="s">
        <v>1428</v>
      </c>
      <c r="G698" s="39" t="s">
        <v>109</v>
      </c>
      <c r="H698" s="40" t="s">
        <v>3449</v>
      </c>
      <c r="I698" s="40" t="s">
        <v>104</v>
      </c>
      <c r="J698" s="50"/>
      <c r="K698" s="129" t="str">
        <f>IFERROR(VLOOKUP(B698,BD_CONTROL!$A$5:$M$4235,11,0),"")</f>
        <v>INSTALADO - OPERANDO</v>
      </c>
      <c r="L698" s="117">
        <f>IFERROR(VLOOKUP(B698,BD_CONTROL!$A$5:$M$4235,12,0),"")</f>
        <v>46133</v>
      </c>
      <c r="M698" s="118" t="str">
        <f>IFERROR(VLOOKUP(B698,BD_CONTROL!$A$5:$M$4235,13,0),"")</f>
        <v>Cargado desde DB instalación 23/04/2026</v>
      </c>
    </row>
    <row r="699" spans="1:13" ht="15" customHeight="1">
      <c r="A699" s="42">
        <v>694</v>
      </c>
      <c r="B699" s="42" t="s">
        <v>6083</v>
      </c>
      <c r="C699" s="43" t="s">
        <v>1212</v>
      </c>
      <c r="D699" s="42" t="s">
        <v>5640</v>
      </c>
      <c r="E699" s="43" t="s">
        <v>5658</v>
      </c>
      <c r="F699" s="43" t="s">
        <v>6084</v>
      </c>
      <c r="G699" s="42" t="s">
        <v>102</v>
      </c>
      <c r="H699" s="43" t="s">
        <v>3449</v>
      </c>
      <c r="I699" s="43" t="s">
        <v>104</v>
      </c>
      <c r="J699" s="55"/>
      <c r="K699" s="129" t="str">
        <f>IFERROR(VLOOKUP(B699,BD_CONTROL!$A$5:$M$4235,11,0),"")</f>
        <v>INSTALADO - OPERANDO</v>
      </c>
      <c r="L699" s="120">
        <f>IFERROR(VLOOKUP(B699,BD_CONTROL!$A$5:$M$4235,12,0),"")</f>
        <v>46135</v>
      </c>
      <c r="M699" s="121" t="str">
        <f>IFERROR(VLOOKUP(B699,BD_CONTROL!$A$5:$M$4235,13,0),"")</f>
        <v>Cargado desde DB instalación 23/04/2026</v>
      </c>
    </row>
    <row r="700" spans="1:13" ht="15" customHeight="1">
      <c r="A700" s="39">
        <v>695</v>
      </c>
      <c r="B700" s="39" t="s">
        <v>6085</v>
      </c>
      <c r="C700" s="40" t="s">
        <v>6086</v>
      </c>
      <c r="D700" s="39" t="s">
        <v>5640</v>
      </c>
      <c r="E700" s="40" t="s">
        <v>5658</v>
      </c>
      <c r="F700" s="40" t="s">
        <v>6087</v>
      </c>
      <c r="G700" s="39" t="s">
        <v>109</v>
      </c>
      <c r="H700" s="40" t="s">
        <v>3449</v>
      </c>
      <c r="I700" s="40" t="s">
        <v>104</v>
      </c>
      <c r="J700" s="50"/>
      <c r="K700" s="129" t="str">
        <f>IFERROR(VLOOKUP(B700,BD_CONTROL!$A$5:$M$4235,11,0),"")</f>
        <v>INSTALADO - OPERANDO</v>
      </c>
      <c r="L700" s="117">
        <f>IFERROR(VLOOKUP(B700,BD_CONTROL!$A$5:$M$4235,12,0),"")</f>
        <v>46134</v>
      </c>
      <c r="M700" s="118" t="str">
        <f>IFERROR(VLOOKUP(B700,BD_CONTROL!$A$5:$M$4235,13,0),"")</f>
        <v>Cargado desde DB instalación 23/04/2026</v>
      </c>
    </row>
    <row r="701" spans="1:13" ht="15" customHeight="1">
      <c r="A701" s="42">
        <v>696</v>
      </c>
      <c r="B701" s="42" t="s">
        <v>6088</v>
      </c>
      <c r="C701" s="43" t="s">
        <v>6089</v>
      </c>
      <c r="D701" s="42" t="s">
        <v>5640</v>
      </c>
      <c r="E701" s="43" t="s">
        <v>6067</v>
      </c>
      <c r="F701" s="43" t="s">
        <v>6090</v>
      </c>
      <c r="G701" s="42" t="s">
        <v>109</v>
      </c>
      <c r="H701" s="43" t="s">
        <v>3449</v>
      </c>
      <c r="I701" s="43" t="s">
        <v>104</v>
      </c>
      <c r="J701" s="55"/>
      <c r="K701" s="119" t="str">
        <f>IFERROR(VLOOKUP(B701,BD_CONTROL!$A$5:$M$4235,11,0),"")</f>
        <v>Instalado - Operando</v>
      </c>
      <c r="L701" s="120">
        <f>IFERROR(VLOOKUP(B701,BD_CONTROL!$A$5:$M$4235,12,0),"")</f>
        <v>46147</v>
      </c>
      <c r="M701" s="121">
        <f>IFERROR(VLOOKUP(B701,BD_CONTROL!$A$5:$M$4235,13,0),"")</f>
        <v>0</v>
      </c>
    </row>
    <row r="702" spans="1:13" ht="15" customHeight="1">
      <c r="A702" s="39">
        <v>697</v>
      </c>
      <c r="B702" s="39" t="s">
        <v>6091</v>
      </c>
      <c r="C702" s="40" t="s">
        <v>6092</v>
      </c>
      <c r="D702" s="39" t="s">
        <v>5640</v>
      </c>
      <c r="E702" s="40" t="s">
        <v>6067</v>
      </c>
      <c r="F702" s="40" t="s">
        <v>1172</v>
      </c>
      <c r="G702" s="39" t="s">
        <v>109</v>
      </c>
      <c r="H702" s="40" t="s">
        <v>3449</v>
      </c>
      <c r="I702" s="40" t="s">
        <v>104</v>
      </c>
      <c r="J702" s="50"/>
      <c r="K702" s="116" t="str">
        <f>IFERROR(VLOOKUP(B702,BD_CONTROL!$A$5:$M$4235,11,0),"")</f>
        <v>Instalado - Operando</v>
      </c>
      <c r="L702" s="117">
        <f>IFERROR(VLOOKUP(B702,BD_CONTROL!$A$5:$M$4235,12,0),"")</f>
        <v>46147</v>
      </c>
      <c r="M702" s="118">
        <f>IFERROR(VLOOKUP(B702,BD_CONTROL!$A$5:$M$4235,13,0),"")</f>
        <v>0</v>
      </c>
    </row>
    <row r="703" spans="1:13" ht="15" customHeight="1">
      <c r="A703" s="42">
        <v>698</v>
      </c>
      <c r="B703" s="42" t="s">
        <v>6093</v>
      </c>
      <c r="C703" s="43" t="s">
        <v>6094</v>
      </c>
      <c r="D703" s="42" t="s">
        <v>5640</v>
      </c>
      <c r="E703" s="43" t="s">
        <v>5687</v>
      </c>
      <c r="F703" s="43" t="s">
        <v>5912</v>
      </c>
      <c r="G703" s="42" t="s">
        <v>102</v>
      </c>
      <c r="H703" s="43" t="s">
        <v>3449</v>
      </c>
      <c r="I703" s="43" t="s">
        <v>104</v>
      </c>
      <c r="J703" s="55"/>
      <c r="K703" s="129" t="str">
        <f>IFERROR(VLOOKUP(B703,BD_CONTROL!$A$5:$M$4235,11,0),"")</f>
        <v>INSTALADO - OPERANDO</v>
      </c>
      <c r="L703" s="120">
        <f>IFERROR(VLOOKUP(B703,BD_CONTROL!$A$5:$M$4235,12,0),"")</f>
        <v>46129</v>
      </c>
      <c r="M703" s="121" t="str">
        <f>IFERROR(VLOOKUP(B703,BD_CONTROL!$A$5:$M$4235,13,0),"")</f>
        <v>Cargado desde DB instalación 23/04/2026</v>
      </c>
    </row>
    <row r="704" spans="1:13" ht="15" customHeight="1">
      <c r="A704" s="39">
        <v>699</v>
      </c>
      <c r="B704" s="39" t="s">
        <v>6095</v>
      </c>
      <c r="C704" s="40" t="s">
        <v>6096</v>
      </c>
      <c r="D704" s="39" t="s">
        <v>5640</v>
      </c>
      <c r="E704" s="40" t="s">
        <v>5687</v>
      </c>
      <c r="F704" s="40" t="s">
        <v>6097</v>
      </c>
      <c r="G704" s="39" t="s">
        <v>109</v>
      </c>
      <c r="H704" s="40" t="s">
        <v>3449</v>
      </c>
      <c r="I704" s="40" t="s">
        <v>104</v>
      </c>
      <c r="J704" s="50"/>
      <c r="K704" s="129" t="str">
        <f>IFERROR(VLOOKUP(B704,BD_CONTROL!$A$5:$M$4235,11,0),"")</f>
        <v>INSTALADO - OPERANDO</v>
      </c>
      <c r="L704" s="117">
        <f>IFERROR(VLOOKUP(B704,BD_CONTROL!$A$5:$M$4235,12,0),"")</f>
        <v>46134</v>
      </c>
      <c r="M704" s="118" t="str">
        <f>IFERROR(VLOOKUP(B704,BD_CONTROL!$A$5:$M$4235,13,0),"")</f>
        <v>Cargado desde DB instalación 23/04/2026</v>
      </c>
    </row>
    <row r="705" spans="1:13" ht="15" customHeight="1">
      <c r="A705" s="42">
        <v>700</v>
      </c>
      <c r="B705" s="42" t="s">
        <v>6098</v>
      </c>
      <c r="C705" s="43" t="s">
        <v>6099</v>
      </c>
      <c r="D705" s="42" t="s">
        <v>5640</v>
      </c>
      <c r="E705" s="43" t="s">
        <v>5687</v>
      </c>
      <c r="F705" s="43" t="s">
        <v>5688</v>
      </c>
      <c r="G705" s="42" t="s">
        <v>102</v>
      </c>
      <c r="H705" s="43" t="s">
        <v>3449</v>
      </c>
      <c r="I705" s="43" t="s">
        <v>104</v>
      </c>
      <c r="J705" s="55"/>
      <c r="K705" s="129" t="str">
        <f>IFERROR(VLOOKUP(B705,BD_CONTROL!$A$5:$M$4235,11,0),"")</f>
        <v>INSTALADO - OPERANDO</v>
      </c>
      <c r="L705" s="120">
        <f>IFERROR(VLOOKUP(B705,BD_CONTROL!$A$5:$M$4235,12,0),"")</f>
        <v>46126</v>
      </c>
      <c r="M705" s="121" t="str">
        <f>IFERROR(VLOOKUP(B705,BD_CONTROL!$A$5:$M$4235,13,0),"")</f>
        <v>Cargado desde DB instalación 23/04/2026</v>
      </c>
    </row>
    <row r="706" spans="1:13" ht="15" customHeight="1">
      <c r="A706" s="39">
        <v>701</v>
      </c>
      <c r="B706" s="39" t="s">
        <v>6100</v>
      </c>
      <c r="C706" s="40" t="s">
        <v>6101</v>
      </c>
      <c r="D706" s="39" t="s">
        <v>5640</v>
      </c>
      <c r="E706" s="40" t="s">
        <v>5687</v>
      </c>
      <c r="F706" s="40" t="s">
        <v>6102</v>
      </c>
      <c r="G706" s="39" t="s">
        <v>102</v>
      </c>
      <c r="H706" s="40" t="s">
        <v>3449</v>
      </c>
      <c r="I706" s="40" t="s">
        <v>104</v>
      </c>
      <c r="J706" s="50"/>
      <c r="K706" s="129" t="str">
        <f>IFERROR(VLOOKUP(B706,BD_CONTROL!$A$5:$M$4235,11,0),"")</f>
        <v>INSTALADO - OPERANDO</v>
      </c>
      <c r="L706" s="117">
        <f>IFERROR(VLOOKUP(B706,BD_CONTROL!$A$5:$M$4235,12,0),"")</f>
        <v>46128</v>
      </c>
      <c r="M706" s="118" t="str">
        <f>IFERROR(VLOOKUP(B706,BD_CONTROL!$A$5:$M$4235,13,0),"")</f>
        <v>Cargado desde DB instalación 23/04/2026</v>
      </c>
    </row>
    <row r="707" spans="1:13" ht="15" customHeight="1">
      <c r="A707" s="42">
        <v>702</v>
      </c>
      <c r="B707" s="42" t="s">
        <v>6103</v>
      </c>
      <c r="C707" s="43" t="s">
        <v>6104</v>
      </c>
      <c r="D707" s="42" t="s">
        <v>5640</v>
      </c>
      <c r="E707" s="43" t="s">
        <v>5687</v>
      </c>
      <c r="F707" s="43" t="s">
        <v>6105</v>
      </c>
      <c r="G707" s="42" t="s">
        <v>109</v>
      </c>
      <c r="H707" s="43" t="s">
        <v>3449</v>
      </c>
      <c r="I707" s="43" t="s">
        <v>104</v>
      </c>
      <c r="J707" s="55"/>
      <c r="K707" s="119" t="str">
        <f>IFERROR(VLOOKUP(B707,BD_CONTROL!$A$5:$M$4235,11,0),"")</f>
        <v>Instalado - Operando</v>
      </c>
      <c r="L707" s="120">
        <f>IFERROR(VLOOKUP(B707,BD_CONTROL!$A$5:$M$4235,12,0),"")</f>
        <v>46139</v>
      </c>
      <c r="M707" s="121">
        <f>IFERROR(VLOOKUP(B707,BD_CONTROL!$A$5:$M$4235,13,0),"")</f>
        <v>0</v>
      </c>
    </row>
    <row r="708" spans="1:13" ht="15" customHeight="1">
      <c r="A708" s="39">
        <v>703</v>
      </c>
      <c r="B708" s="39" t="s">
        <v>6106</v>
      </c>
      <c r="C708" s="40" t="s">
        <v>6107</v>
      </c>
      <c r="D708" s="39" t="s">
        <v>5640</v>
      </c>
      <c r="E708" s="40" t="s">
        <v>5687</v>
      </c>
      <c r="F708" s="40" t="s">
        <v>6108</v>
      </c>
      <c r="G708" s="39" t="s">
        <v>109</v>
      </c>
      <c r="H708" s="40" t="s">
        <v>3449</v>
      </c>
      <c r="I708" s="40" t="s">
        <v>104</v>
      </c>
      <c r="J708" s="50"/>
      <c r="K708" s="116" t="str">
        <f>IFERROR(VLOOKUP(B708,BD_CONTROL!$A$5:$M$4235,11,0),"")</f>
        <v>Instalado - Operando</v>
      </c>
      <c r="L708" s="117">
        <f>IFERROR(VLOOKUP(B708,BD_CONTROL!$A$5:$M$4235,12,0),"")</f>
        <v>46142</v>
      </c>
      <c r="M708" s="118">
        <f>IFERROR(VLOOKUP(B708,BD_CONTROL!$A$5:$M$4235,13,0),"")</f>
        <v>0</v>
      </c>
    </row>
    <row r="709" spans="1:13" ht="15" customHeight="1">
      <c r="A709" s="42">
        <v>704</v>
      </c>
      <c r="B709" s="42" t="s">
        <v>6109</v>
      </c>
      <c r="C709" s="43" t="s">
        <v>6110</v>
      </c>
      <c r="D709" s="42" t="s">
        <v>5640</v>
      </c>
      <c r="E709" s="43" t="s">
        <v>5687</v>
      </c>
      <c r="F709" s="43" t="s">
        <v>5687</v>
      </c>
      <c r="G709" s="42" t="s">
        <v>102</v>
      </c>
      <c r="H709" s="43" t="s">
        <v>3449</v>
      </c>
      <c r="I709" s="43" t="s">
        <v>104</v>
      </c>
      <c r="J709" s="55"/>
      <c r="K709" s="129" t="str">
        <f>IFERROR(VLOOKUP(B709,BD_CONTROL!$A$5:$M$4235,11,0),"")</f>
        <v>INSTALADO - OPERANDO</v>
      </c>
      <c r="L709" s="120">
        <f>IFERROR(VLOOKUP(B709,BD_CONTROL!$A$5:$M$4235,12,0),"")</f>
        <v>46128</v>
      </c>
      <c r="M709" s="121" t="str">
        <f>IFERROR(VLOOKUP(B709,BD_CONTROL!$A$5:$M$4235,13,0),"")</f>
        <v>Cargado desde DB instalación 23/04/2026</v>
      </c>
    </row>
    <row r="710" spans="1:13" ht="15" customHeight="1">
      <c r="A710" s="39">
        <v>705</v>
      </c>
      <c r="B710" s="39" t="s">
        <v>6111</v>
      </c>
      <c r="C710" s="40" t="s">
        <v>6112</v>
      </c>
      <c r="D710" s="39" t="s">
        <v>5640</v>
      </c>
      <c r="E710" s="40" t="s">
        <v>5687</v>
      </c>
      <c r="F710" s="40" t="s">
        <v>6113</v>
      </c>
      <c r="G710" s="39" t="s">
        <v>102</v>
      </c>
      <c r="H710" s="40" t="s">
        <v>3449</v>
      </c>
      <c r="I710" s="40" t="s">
        <v>104</v>
      </c>
      <c r="J710" s="50"/>
      <c r="K710" s="129" t="str">
        <f>IFERROR(VLOOKUP(B710,BD_CONTROL!$A$5:$M$4235,11,0),"")</f>
        <v>INSTALADO - OPERANDO</v>
      </c>
      <c r="L710" s="117">
        <f>IFERROR(VLOOKUP(B710,BD_CONTROL!$A$5:$M$4235,12,0),"")</f>
        <v>46127</v>
      </c>
      <c r="M710" s="118" t="str">
        <f>IFERROR(VLOOKUP(B710,BD_CONTROL!$A$5:$M$4235,13,0),"")</f>
        <v>Cargado desde DB instalación 23/04/2026</v>
      </c>
    </row>
    <row r="711" spans="1:13" ht="15" customHeight="1">
      <c r="A711" s="42">
        <v>706</v>
      </c>
      <c r="B711" s="42" t="s">
        <v>6114</v>
      </c>
      <c r="C711" s="43" t="s">
        <v>6115</v>
      </c>
      <c r="D711" s="42" t="s">
        <v>5640</v>
      </c>
      <c r="E711" s="43" t="s">
        <v>6116</v>
      </c>
      <c r="F711" s="43" t="s">
        <v>6117</v>
      </c>
      <c r="G711" s="42" t="s">
        <v>109</v>
      </c>
      <c r="H711" s="43" t="s">
        <v>3449</v>
      </c>
      <c r="I711" s="43" t="s">
        <v>104</v>
      </c>
      <c r="J711" s="55"/>
      <c r="K711" s="129" t="str">
        <f>IFERROR(VLOOKUP(B711,BD_CONTROL!$A$5:$M$4235,11,0),"")</f>
        <v>INSTALADO - OPERANDO</v>
      </c>
      <c r="L711" s="120">
        <f>IFERROR(VLOOKUP(B711,BD_CONTROL!$A$5:$M$4235,12,0),"")</f>
        <v>46132</v>
      </c>
      <c r="M711" s="121" t="str">
        <f>IFERROR(VLOOKUP(B711,BD_CONTROL!$A$5:$M$4235,13,0),"")</f>
        <v>Cargado desde DB instalación 23/04/2026</v>
      </c>
    </row>
    <row r="712" spans="1:13" ht="15" customHeight="1">
      <c r="A712" s="39">
        <v>707</v>
      </c>
      <c r="B712" s="39" t="s">
        <v>6118</v>
      </c>
      <c r="C712" s="40" t="s">
        <v>6119</v>
      </c>
      <c r="D712" s="39" t="s">
        <v>5640</v>
      </c>
      <c r="E712" s="40" t="s">
        <v>6116</v>
      </c>
      <c r="F712" s="40" t="s">
        <v>6120</v>
      </c>
      <c r="G712" s="39" t="s">
        <v>109</v>
      </c>
      <c r="H712" s="40" t="s">
        <v>3449</v>
      </c>
      <c r="I712" s="40" t="s">
        <v>104</v>
      </c>
      <c r="J712" s="50"/>
      <c r="K712" s="129" t="str">
        <f>IFERROR(VLOOKUP(B712,BD_CONTROL!$A$5:$M$4235,11,0),"")</f>
        <v>INSTALADO - OPERANDO</v>
      </c>
      <c r="L712" s="117">
        <f>IFERROR(VLOOKUP(B712,BD_CONTROL!$A$5:$M$4235,12,0),"")</f>
        <v>46133</v>
      </c>
      <c r="M712" s="118" t="str">
        <f>IFERROR(VLOOKUP(B712,BD_CONTROL!$A$5:$M$4235,13,0),"")</f>
        <v>Cargado desde DB instalación 23/04/2026</v>
      </c>
    </row>
    <row r="713" spans="1:13" ht="15" customHeight="1">
      <c r="A713" s="42">
        <v>708</v>
      </c>
      <c r="B713" s="42" t="s">
        <v>6121</v>
      </c>
      <c r="C713" s="43" t="s">
        <v>6122</v>
      </c>
      <c r="D713" s="42" t="s">
        <v>5640</v>
      </c>
      <c r="E713" s="43" t="s">
        <v>6116</v>
      </c>
      <c r="F713" s="43" t="s">
        <v>6123</v>
      </c>
      <c r="G713" s="42" t="s">
        <v>102</v>
      </c>
      <c r="H713" s="43" t="s">
        <v>3449</v>
      </c>
      <c r="I713" s="43" t="s">
        <v>104</v>
      </c>
      <c r="J713" s="55"/>
      <c r="K713" s="129" t="str">
        <f>IFERROR(VLOOKUP(B713,BD_CONTROL!$A$5:$M$4235,11,0),"")</f>
        <v>INSTALADO - OPERANDO</v>
      </c>
      <c r="L713" s="120">
        <f>IFERROR(VLOOKUP(B713,BD_CONTROL!$A$5:$M$4235,12,0),"")</f>
        <v>46133</v>
      </c>
      <c r="M713" s="121" t="str">
        <f>IFERROR(VLOOKUP(B713,BD_CONTROL!$A$5:$M$4235,13,0),"")</f>
        <v>Cargado desde DB instalación 23/04/2026</v>
      </c>
    </row>
    <row r="714" spans="1:13" ht="15" customHeight="1">
      <c r="A714" s="39">
        <v>709</v>
      </c>
      <c r="B714" s="39" t="s">
        <v>6124</v>
      </c>
      <c r="C714" s="40" t="s">
        <v>3369</v>
      </c>
      <c r="D714" s="39" t="s">
        <v>5640</v>
      </c>
      <c r="E714" s="40" t="s">
        <v>6125</v>
      </c>
      <c r="F714" s="40" t="s">
        <v>6126</v>
      </c>
      <c r="G714" s="39" t="s">
        <v>109</v>
      </c>
      <c r="H714" s="40" t="s">
        <v>3449</v>
      </c>
      <c r="I714" s="40" t="s">
        <v>104</v>
      </c>
      <c r="J714" s="50"/>
      <c r="K714" s="129" t="str">
        <f>IFERROR(VLOOKUP(B714,BD_CONTROL!$A$5:$M$4235,11,0),"")</f>
        <v>INSTALADO - OPERANDO</v>
      </c>
      <c r="L714" s="117">
        <f>IFERROR(VLOOKUP(B714,BD_CONTROL!$A$5:$M$4235,12,0),"")</f>
        <v>46133</v>
      </c>
      <c r="M714" s="118" t="str">
        <f>IFERROR(VLOOKUP(B714,BD_CONTROL!$A$5:$M$4235,13,0),"")</f>
        <v>Cargado desde DB instalación 23/04/2026</v>
      </c>
    </row>
    <row r="715" spans="1:13" ht="15" customHeight="1">
      <c r="A715" s="42">
        <v>710</v>
      </c>
      <c r="B715" s="42" t="s">
        <v>6127</v>
      </c>
      <c r="C715" s="43" t="s">
        <v>6128</v>
      </c>
      <c r="D715" s="42" t="s">
        <v>5640</v>
      </c>
      <c r="E715" s="43" t="s">
        <v>5853</v>
      </c>
      <c r="F715" s="43" t="s">
        <v>6129</v>
      </c>
      <c r="G715" s="42" t="s">
        <v>109</v>
      </c>
      <c r="H715" s="43" t="s">
        <v>3449</v>
      </c>
      <c r="I715" s="43" t="s">
        <v>104</v>
      </c>
      <c r="J715" s="55"/>
      <c r="K715" s="119" t="str">
        <f>IFERROR(VLOOKUP(B715,BD_CONTROL!$A$5:$M$4235,11,0),"")</f>
        <v>Instalado - Operando</v>
      </c>
      <c r="L715" s="120">
        <f>IFERROR(VLOOKUP(B715,BD_CONTROL!$A$5:$M$4235,12,0),"")</f>
        <v>46150</v>
      </c>
      <c r="M715" s="121">
        <f>IFERROR(VLOOKUP(B715,BD_CONTROL!$A$5:$M$4235,13,0),"")</f>
        <v>0</v>
      </c>
    </row>
    <row r="716" spans="1:13" ht="15" customHeight="1">
      <c r="A716" s="39">
        <v>711</v>
      </c>
      <c r="B716" s="39" t="s">
        <v>6130</v>
      </c>
      <c r="C716" s="40" t="s">
        <v>6131</v>
      </c>
      <c r="D716" s="39" t="s">
        <v>5640</v>
      </c>
      <c r="E716" s="40" t="s">
        <v>6132</v>
      </c>
      <c r="F716" s="40" t="s">
        <v>6133</v>
      </c>
      <c r="G716" s="39" t="s">
        <v>109</v>
      </c>
      <c r="H716" s="40" t="s">
        <v>3449</v>
      </c>
      <c r="I716" s="40" t="s">
        <v>104</v>
      </c>
      <c r="J716" s="50"/>
      <c r="K716" s="129" t="str">
        <f>IFERROR(VLOOKUP(B716,BD_CONTROL!$A$5:$M$4235,11,0),"")</f>
        <v>INSTALADO - OPERANDO</v>
      </c>
      <c r="L716" s="117">
        <f>IFERROR(VLOOKUP(B716,BD_CONTROL!$A$5:$M$4235,12,0),"")</f>
        <v>46107</v>
      </c>
      <c r="M716" s="118" t="str">
        <f>IFERROR(VLOOKUP(B716,BD_CONTROL!$A$5:$M$4235,13,0),"")</f>
        <v>Cargado desde DB instalación 23/04/2026</v>
      </c>
    </row>
    <row r="717" spans="1:13" ht="15" customHeight="1">
      <c r="A717" s="42">
        <v>712</v>
      </c>
      <c r="B717" s="42" t="s">
        <v>6134</v>
      </c>
      <c r="C717" s="43" t="s">
        <v>6135</v>
      </c>
      <c r="D717" s="42" t="s">
        <v>5640</v>
      </c>
      <c r="E717" s="43" t="s">
        <v>6132</v>
      </c>
      <c r="F717" s="43" t="s">
        <v>6136</v>
      </c>
      <c r="G717" s="42" t="s">
        <v>109</v>
      </c>
      <c r="H717" s="43" t="s">
        <v>3449</v>
      </c>
      <c r="I717" s="43" t="s">
        <v>104</v>
      </c>
      <c r="J717" s="55"/>
      <c r="K717" s="119" t="str">
        <f>IFERROR(VLOOKUP(B717,BD_CONTROL!$A$5:$M$4235,11,0),"")</f>
        <v>Instalado - Operando</v>
      </c>
      <c r="L717" s="120">
        <f>IFERROR(VLOOKUP(B717,BD_CONTROL!$A$5:$M$4235,12,0),"")</f>
        <v>46141</v>
      </c>
      <c r="M717" s="121">
        <f>IFERROR(VLOOKUP(B717,BD_CONTROL!$A$5:$M$4235,13,0),"")</f>
        <v>0</v>
      </c>
    </row>
    <row r="718" spans="1:13" ht="15" customHeight="1">
      <c r="A718" s="39">
        <v>713</v>
      </c>
      <c r="B718" s="39" t="s">
        <v>6137</v>
      </c>
      <c r="C718" s="40" t="s">
        <v>6138</v>
      </c>
      <c r="D718" s="39" t="s">
        <v>5640</v>
      </c>
      <c r="E718" s="40" t="s">
        <v>6139</v>
      </c>
      <c r="F718" s="40" t="s">
        <v>6140</v>
      </c>
      <c r="G718" s="39" t="s">
        <v>102</v>
      </c>
      <c r="H718" s="40" t="s">
        <v>3449</v>
      </c>
      <c r="I718" s="40" t="s">
        <v>104</v>
      </c>
      <c r="J718" s="50"/>
      <c r="K718" s="116">
        <f>IFERROR(VLOOKUP(B718,BD_CONTROL!$A$5:$M$4235,11,0),"")</f>
        <v>0</v>
      </c>
      <c r="L718" s="117">
        <f>IFERROR(VLOOKUP(B718,BD_CONTROL!$A$5:$M$4235,12,0),"")</f>
        <v>0</v>
      </c>
      <c r="M718" s="118">
        <f>IFERROR(VLOOKUP(B718,BD_CONTROL!$A$5:$M$4235,13,0),"")</f>
        <v>0</v>
      </c>
    </row>
    <row r="719" spans="1:13" ht="15" customHeight="1">
      <c r="A719" s="42">
        <v>714</v>
      </c>
      <c r="B719" s="42" t="s">
        <v>6141</v>
      </c>
      <c r="C719" s="43" t="s">
        <v>6142</v>
      </c>
      <c r="D719" s="42" t="s">
        <v>5640</v>
      </c>
      <c r="E719" s="43" t="s">
        <v>6139</v>
      </c>
      <c r="F719" s="43" t="s">
        <v>6143</v>
      </c>
      <c r="G719" s="42" t="s">
        <v>102</v>
      </c>
      <c r="H719" s="43" t="s">
        <v>3449</v>
      </c>
      <c r="I719" s="43" t="s">
        <v>104</v>
      </c>
      <c r="J719" s="55"/>
      <c r="K719" s="119" t="str">
        <f>IFERROR(VLOOKUP(B719,BD_CONTROL!$A$5:$M$4235,11,0),"")</f>
        <v>Instalado - Operando</v>
      </c>
      <c r="L719" s="120">
        <f>IFERROR(VLOOKUP(B719,BD_CONTROL!$A$5:$M$4235,12,0),"")</f>
        <v>46149</v>
      </c>
      <c r="M719" s="121">
        <f>IFERROR(VLOOKUP(B719,BD_CONTROL!$A$5:$M$4235,13,0),"")</f>
        <v>0</v>
      </c>
    </row>
    <row r="720" spans="1:13" ht="15" customHeight="1">
      <c r="A720" s="39">
        <v>715</v>
      </c>
      <c r="B720" s="39" t="s">
        <v>6144</v>
      </c>
      <c r="C720" s="40" t="s">
        <v>6145</v>
      </c>
      <c r="D720" s="39" t="s">
        <v>5640</v>
      </c>
      <c r="E720" s="40" t="s">
        <v>6146</v>
      </c>
      <c r="F720" s="40" t="s">
        <v>6147</v>
      </c>
      <c r="G720" s="39" t="s">
        <v>109</v>
      </c>
      <c r="H720" s="40" t="s">
        <v>3449</v>
      </c>
      <c r="I720" s="40" t="s">
        <v>104</v>
      </c>
      <c r="J720" s="50"/>
      <c r="K720" s="116" t="str">
        <f>IFERROR(VLOOKUP(B720,BD_CONTROL!$A$5:$M$4235,11,0),"")</f>
        <v>Instalado - Sin Señal</v>
      </c>
      <c r="L720" s="117">
        <f>IFERROR(VLOOKUP(B720,BD_CONTROL!$A$5:$M$4235,12,0),"")</f>
        <v>46141</v>
      </c>
      <c r="M720" s="118" t="str">
        <f>IFERROR(VLOOKUP(B720,BD_CONTROL!$A$5:$M$4235,13,0),"")</f>
        <v xml:space="preserve">Instalado, no operando, con reporte a mesa de ayuda
</v>
      </c>
    </row>
    <row r="721" spans="1:13" ht="15" customHeight="1">
      <c r="A721" s="42">
        <v>716</v>
      </c>
      <c r="B721" s="42" t="s">
        <v>6148</v>
      </c>
      <c r="C721" s="43" t="s">
        <v>6149</v>
      </c>
      <c r="D721" s="42" t="s">
        <v>5640</v>
      </c>
      <c r="E721" s="43" t="s">
        <v>5944</v>
      </c>
      <c r="F721" s="43" t="s">
        <v>6150</v>
      </c>
      <c r="G721" s="42" t="s">
        <v>102</v>
      </c>
      <c r="H721" s="43" t="s">
        <v>3449</v>
      </c>
      <c r="I721" s="43" t="s">
        <v>104</v>
      </c>
      <c r="J721" s="55"/>
      <c r="K721" s="119" t="str">
        <f>IFERROR(VLOOKUP(B721,BD_CONTROL!$A$5:$M$4235,11,0),"")</f>
        <v>Instalado - Operando</v>
      </c>
      <c r="L721" s="120">
        <f>IFERROR(VLOOKUP(B721,BD_CONTROL!$A$5:$M$4235,12,0),"")</f>
        <v>46139</v>
      </c>
      <c r="M721" s="121">
        <f>IFERROR(VLOOKUP(B721,BD_CONTROL!$A$5:$M$4235,13,0),"")</f>
        <v>0</v>
      </c>
    </row>
    <row r="722" spans="1:13" ht="15" customHeight="1">
      <c r="A722" s="39">
        <v>717</v>
      </c>
      <c r="B722" s="39" t="s">
        <v>6151</v>
      </c>
      <c r="C722" s="40" t="s">
        <v>6152</v>
      </c>
      <c r="D722" s="39" t="s">
        <v>5640</v>
      </c>
      <c r="E722" s="40" t="s">
        <v>3463</v>
      </c>
      <c r="F722" s="40" t="s">
        <v>6153</v>
      </c>
      <c r="G722" s="39" t="s">
        <v>102</v>
      </c>
      <c r="H722" s="40" t="s">
        <v>3449</v>
      </c>
      <c r="I722" s="40" t="s">
        <v>104</v>
      </c>
      <c r="J722" s="50"/>
      <c r="K722" s="116" t="str">
        <f>IFERROR(VLOOKUP(B722,BD_CONTROL!$A$5:$M$4235,11,0),"")</f>
        <v>Instalado - Operando</v>
      </c>
      <c r="L722" s="117">
        <f>IFERROR(VLOOKUP(B722,BD_CONTROL!$A$5:$M$4235,12,0),"")</f>
        <v>46140</v>
      </c>
      <c r="M722" s="118">
        <f>IFERROR(VLOOKUP(B722,BD_CONTROL!$A$5:$M$4235,13,0),"")</f>
        <v>0</v>
      </c>
    </row>
    <row r="723" spans="1:13" ht="15" customHeight="1">
      <c r="A723" s="42">
        <v>718</v>
      </c>
      <c r="B723" s="42" t="s">
        <v>6154</v>
      </c>
      <c r="C723" s="43" t="s">
        <v>6155</v>
      </c>
      <c r="D723" s="42" t="s">
        <v>5640</v>
      </c>
      <c r="E723" s="43" t="s">
        <v>5683</v>
      </c>
      <c r="F723" s="43" t="s">
        <v>6156</v>
      </c>
      <c r="G723" s="42" t="s">
        <v>102</v>
      </c>
      <c r="H723" s="43" t="s">
        <v>3449</v>
      </c>
      <c r="I723" s="43" t="s">
        <v>104</v>
      </c>
      <c r="J723" s="55"/>
      <c r="K723" s="129" t="str">
        <f>IFERROR(VLOOKUP(B723,BD_CONTROL!$A$5:$M$4235,11,0),"")</f>
        <v>INSTALADO - OPERANDO</v>
      </c>
      <c r="L723" s="120">
        <f>IFERROR(VLOOKUP(B723,BD_CONTROL!$A$5:$M$4235,12,0),"")</f>
        <v>46128</v>
      </c>
      <c r="M723" s="121" t="str">
        <f>IFERROR(VLOOKUP(B723,BD_CONTROL!$A$5:$M$4235,13,0),"")</f>
        <v>Cargado desde DB instalación 23/04/2026</v>
      </c>
    </row>
    <row r="724" spans="1:13" ht="15" customHeight="1">
      <c r="A724" s="39">
        <v>719</v>
      </c>
      <c r="B724" s="39" t="s">
        <v>6157</v>
      </c>
      <c r="C724" s="40" t="s">
        <v>6158</v>
      </c>
      <c r="D724" s="39" t="s">
        <v>5640</v>
      </c>
      <c r="E724" s="40" t="s">
        <v>6159</v>
      </c>
      <c r="F724" s="40" t="s">
        <v>6159</v>
      </c>
      <c r="G724" s="39" t="s">
        <v>102</v>
      </c>
      <c r="H724" s="40" t="s">
        <v>3449</v>
      </c>
      <c r="I724" s="40" t="s">
        <v>104</v>
      </c>
      <c r="J724" s="50"/>
      <c r="K724" s="116" t="str">
        <f>IFERROR(VLOOKUP(B724,BD_CONTROL!$A$5:$M$4235,11,0),"")</f>
        <v>Instalado - Operando</v>
      </c>
      <c r="L724" s="117">
        <f>IFERROR(VLOOKUP(B724,BD_CONTROL!$A$5:$M$4235,12,0),"")</f>
        <v>46142</v>
      </c>
      <c r="M724" s="118">
        <f>IFERROR(VLOOKUP(B724,BD_CONTROL!$A$5:$M$4235,13,0),"")</f>
        <v>0</v>
      </c>
    </row>
    <row r="725" spans="1:13" ht="15" customHeight="1">
      <c r="A725" s="42">
        <v>720</v>
      </c>
      <c r="B725" s="42" t="s">
        <v>6160</v>
      </c>
      <c r="C725" s="43" t="s">
        <v>3554</v>
      </c>
      <c r="D725" s="42" t="s">
        <v>5640</v>
      </c>
      <c r="E725" s="43" t="s">
        <v>6159</v>
      </c>
      <c r="F725" s="43" t="s">
        <v>3554</v>
      </c>
      <c r="G725" s="42" t="s">
        <v>109</v>
      </c>
      <c r="H725" s="43" t="s">
        <v>3449</v>
      </c>
      <c r="I725" s="43" t="s">
        <v>104</v>
      </c>
      <c r="J725" s="55"/>
      <c r="K725" s="119" t="str">
        <f>IFERROR(VLOOKUP(B725,BD_CONTROL!$A$5:$M$4235,11,0),"")</f>
        <v>Instalado - Operando</v>
      </c>
      <c r="L725" s="120">
        <f>IFERROR(VLOOKUP(B725,BD_CONTROL!$A$5:$M$4235,12,0),"")</f>
        <v>46143</v>
      </c>
      <c r="M725" s="121">
        <f>IFERROR(VLOOKUP(B725,BD_CONTROL!$A$5:$M$4235,13,0),"")</f>
        <v>0</v>
      </c>
    </row>
    <row r="726" spans="1:13" ht="15" customHeight="1">
      <c r="A726" s="39">
        <v>721</v>
      </c>
      <c r="B726" s="39" t="s">
        <v>6161</v>
      </c>
      <c r="C726" s="40" t="s">
        <v>6162</v>
      </c>
      <c r="D726" s="39" t="s">
        <v>5640</v>
      </c>
      <c r="E726" s="40" t="s">
        <v>6125</v>
      </c>
      <c r="F726" s="40" t="s">
        <v>6125</v>
      </c>
      <c r="G726" s="39" t="s">
        <v>109</v>
      </c>
      <c r="H726" s="40" t="s">
        <v>3449</v>
      </c>
      <c r="I726" s="40" t="s">
        <v>104</v>
      </c>
      <c r="J726" s="50"/>
      <c r="K726" s="129" t="str">
        <f>IFERROR(VLOOKUP(B726,BD_CONTROL!$A$5:$M$4235,11,0),"")</f>
        <v>INSTALADO - OPERANDO</v>
      </c>
      <c r="L726" s="117">
        <f>IFERROR(VLOOKUP(B726,BD_CONTROL!$A$5:$M$4235,12,0),"")</f>
        <v>46133</v>
      </c>
      <c r="M726" s="118" t="str">
        <f>IFERROR(VLOOKUP(B726,BD_CONTROL!$A$5:$M$4235,13,0),"")</f>
        <v>Cargado desde DB instalación 23/04/2026</v>
      </c>
    </row>
    <row r="727" spans="1:13" ht="15" customHeight="1">
      <c r="A727" s="42">
        <v>722</v>
      </c>
      <c r="B727" s="42" t="s">
        <v>6163</v>
      </c>
      <c r="C727" s="43" t="s">
        <v>6164</v>
      </c>
      <c r="D727" s="42" t="s">
        <v>5640</v>
      </c>
      <c r="E727" s="43" t="s">
        <v>5888</v>
      </c>
      <c r="F727" s="43" t="s">
        <v>6165</v>
      </c>
      <c r="G727" s="42" t="s">
        <v>109</v>
      </c>
      <c r="H727" s="43" t="s">
        <v>3449</v>
      </c>
      <c r="I727" s="43" t="s">
        <v>104</v>
      </c>
      <c r="J727" s="55"/>
      <c r="K727" s="129" t="str">
        <f>IFERROR(VLOOKUP(B727,BD_CONTROL!$A$5:$M$4235,11,0),"")</f>
        <v>INSTALADO - OPERANDO</v>
      </c>
      <c r="L727" s="120">
        <f>IFERROR(VLOOKUP(B727,BD_CONTROL!$A$5:$M$4235,12,0),"")</f>
        <v>46135</v>
      </c>
      <c r="M727" s="121" t="str">
        <f>IFERROR(VLOOKUP(B727,BD_CONTROL!$A$5:$M$4235,13,0),"")</f>
        <v>Cargado desde DB instalación 23/04/2026</v>
      </c>
    </row>
    <row r="728" spans="1:13" ht="15" customHeight="1">
      <c r="A728" s="39">
        <v>723</v>
      </c>
      <c r="B728" s="39" t="s">
        <v>6166</v>
      </c>
      <c r="C728" s="40" t="s">
        <v>6167</v>
      </c>
      <c r="D728" s="39" t="s">
        <v>5640</v>
      </c>
      <c r="E728" s="40" t="s">
        <v>5888</v>
      </c>
      <c r="F728" s="40" t="s">
        <v>6168</v>
      </c>
      <c r="G728" s="39" t="s">
        <v>109</v>
      </c>
      <c r="H728" s="40" t="s">
        <v>3449</v>
      </c>
      <c r="I728" s="40" t="s">
        <v>104</v>
      </c>
      <c r="J728" s="50"/>
      <c r="K728" s="129" t="str">
        <f>IFERROR(VLOOKUP(B728,BD_CONTROL!$A$5:$M$4235,11,0),"")</f>
        <v>Instalado - Operando</v>
      </c>
      <c r="L728" s="117">
        <f>IFERROR(VLOOKUP(B728,BD_CONTROL!$A$5:$M$4235,12,0),"")</f>
        <v>46136</v>
      </c>
      <c r="M728" s="118">
        <f>IFERROR(VLOOKUP(B728,BD_CONTROL!$A$5:$M$4235,13,0),"")</f>
        <v>0</v>
      </c>
    </row>
    <row r="729" spans="1:13" ht="15" customHeight="1">
      <c r="A729" s="42">
        <v>724</v>
      </c>
      <c r="B729" s="42" t="s">
        <v>6169</v>
      </c>
      <c r="C729" s="43" t="s">
        <v>6170</v>
      </c>
      <c r="D729" s="42" t="s">
        <v>5640</v>
      </c>
      <c r="E729" s="43" t="s">
        <v>5888</v>
      </c>
      <c r="F729" s="43" t="s">
        <v>5933</v>
      </c>
      <c r="G729" s="42" t="s">
        <v>109</v>
      </c>
      <c r="H729" s="43" t="s">
        <v>3449</v>
      </c>
      <c r="I729" s="43" t="s">
        <v>104</v>
      </c>
      <c r="J729" s="55"/>
      <c r="K729" s="129" t="str">
        <f>IFERROR(VLOOKUP(B729,BD_CONTROL!$A$5:$M$4235,11,0),"")</f>
        <v>INSTALADO - OPERANDO</v>
      </c>
      <c r="L729" s="120">
        <f>IFERROR(VLOOKUP(B729,BD_CONTROL!$A$5:$M$4235,12,0),"")</f>
        <v>46126</v>
      </c>
      <c r="M729" s="121" t="str">
        <f>IFERROR(VLOOKUP(B729,BD_CONTROL!$A$5:$M$4235,13,0),"")</f>
        <v>Cargado desde DB instalación 23/04/2026</v>
      </c>
    </row>
    <row r="730" spans="1:13" ht="15" customHeight="1">
      <c r="A730" s="39">
        <v>725</v>
      </c>
      <c r="B730" s="39" t="s">
        <v>6171</v>
      </c>
      <c r="C730" s="40" t="s">
        <v>1177</v>
      </c>
      <c r="D730" s="39" t="s">
        <v>5640</v>
      </c>
      <c r="E730" s="40" t="s">
        <v>5888</v>
      </c>
      <c r="F730" s="40" t="s">
        <v>6172</v>
      </c>
      <c r="G730" s="39" t="s">
        <v>109</v>
      </c>
      <c r="H730" s="40" t="s">
        <v>3449</v>
      </c>
      <c r="I730" s="40" t="s">
        <v>104</v>
      </c>
      <c r="J730" s="50"/>
      <c r="K730" s="129" t="str">
        <f>IFERROR(VLOOKUP(B730,BD_CONTROL!$A$5:$M$4235,11,0),"")</f>
        <v>Instalado - Operando</v>
      </c>
      <c r="L730" s="117">
        <f>IFERROR(VLOOKUP(B730,BD_CONTROL!$A$5:$M$4235,12,0),"")</f>
        <v>46136</v>
      </c>
      <c r="M730" s="118">
        <f>IFERROR(VLOOKUP(B730,BD_CONTROL!$A$5:$M$4235,13,0),"")</f>
        <v>0</v>
      </c>
    </row>
    <row r="731" spans="1:13" ht="15" customHeight="1">
      <c r="A731" s="42">
        <v>726</v>
      </c>
      <c r="B731" s="42" t="s">
        <v>6173</v>
      </c>
      <c r="C731" s="43" t="s">
        <v>6174</v>
      </c>
      <c r="D731" s="42" t="s">
        <v>5640</v>
      </c>
      <c r="E731" s="43" t="s">
        <v>3001</v>
      </c>
      <c r="F731" s="43" t="s">
        <v>6175</v>
      </c>
      <c r="G731" s="42" t="s">
        <v>109</v>
      </c>
      <c r="H731" s="43" t="s">
        <v>3449</v>
      </c>
      <c r="I731" s="43" t="s">
        <v>104</v>
      </c>
      <c r="J731" s="55"/>
      <c r="K731" s="119" t="str">
        <f>IFERROR(VLOOKUP(B731,BD_CONTROL!$A$5:$M$4235,11,0),"")</f>
        <v>Instalado - Operando</v>
      </c>
      <c r="L731" s="120">
        <f>IFERROR(VLOOKUP(B731,BD_CONTROL!$A$5:$M$4235,12,0),"")</f>
        <v>46140</v>
      </c>
      <c r="M731" s="121">
        <f>IFERROR(VLOOKUP(B731,BD_CONTROL!$A$5:$M$4235,13,0),"")</f>
        <v>0</v>
      </c>
    </row>
    <row r="732" spans="1:13" ht="15" customHeight="1">
      <c r="A732" s="39">
        <v>727</v>
      </c>
      <c r="B732" s="39" t="s">
        <v>6176</v>
      </c>
      <c r="C732" s="40" t="s">
        <v>6177</v>
      </c>
      <c r="D732" s="39" t="s">
        <v>5640</v>
      </c>
      <c r="E732" s="40" t="s">
        <v>5729</v>
      </c>
      <c r="F732" s="40" t="s">
        <v>6178</v>
      </c>
      <c r="G732" s="39" t="s">
        <v>109</v>
      </c>
      <c r="H732" s="40" t="s">
        <v>3449</v>
      </c>
      <c r="I732" s="40" t="s">
        <v>104</v>
      </c>
      <c r="J732" s="50"/>
      <c r="K732" s="116" t="str">
        <f>IFERROR(VLOOKUP(B732,BD_CONTROL!$A$5:$M$4235,11,0),"")</f>
        <v>Instalado - Sin Señal</v>
      </c>
      <c r="L732" s="117">
        <f>IFERROR(VLOOKUP(B732,BD_CONTROL!$A$5:$M$4235,12,0),"")</f>
        <v>46142</v>
      </c>
      <c r="M732" s="118">
        <f>IFERROR(VLOOKUP(B732,BD_CONTROL!$A$5:$M$4235,13,0),"")</f>
        <v>0</v>
      </c>
    </row>
    <row r="733" spans="1:13" ht="15" customHeight="1">
      <c r="A733" s="42">
        <v>728</v>
      </c>
      <c r="B733" s="42" t="s">
        <v>6179</v>
      </c>
      <c r="C733" s="43" t="s">
        <v>6180</v>
      </c>
      <c r="D733" s="42" t="s">
        <v>5640</v>
      </c>
      <c r="E733" s="43" t="s">
        <v>6181</v>
      </c>
      <c r="F733" s="43" t="s">
        <v>6181</v>
      </c>
      <c r="G733" s="42" t="s">
        <v>102</v>
      </c>
      <c r="H733" s="43" t="s">
        <v>3449</v>
      </c>
      <c r="I733" s="43" t="s">
        <v>104</v>
      </c>
      <c r="J733" s="55"/>
      <c r="K733" s="119" t="str">
        <f>IFERROR(VLOOKUP(B733,BD_CONTROL!$A$5:$M$4235,11,0),"")</f>
        <v>Instalado - Operando</v>
      </c>
      <c r="L733" s="120">
        <f>IFERROR(VLOOKUP(B733,BD_CONTROL!$A$5:$M$4235,12,0),"")</f>
        <v>46140</v>
      </c>
      <c r="M733" s="121">
        <f>IFERROR(VLOOKUP(B733,BD_CONTROL!$A$5:$M$4235,13,0),"")</f>
        <v>0</v>
      </c>
    </row>
    <row r="734" spans="1:13" ht="15" customHeight="1">
      <c r="A734" s="39">
        <v>729</v>
      </c>
      <c r="B734" s="39" t="s">
        <v>6182</v>
      </c>
      <c r="C734" s="40" t="s">
        <v>6183</v>
      </c>
      <c r="D734" s="39" t="s">
        <v>5640</v>
      </c>
      <c r="E734" s="40" t="s">
        <v>5816</v>
      </c>
      <c r="F734" s="40" t="s">
        <v>5816</v>
      </c>
      <c r="G734" s="39" t="s">
        <v>102</v>
      </c>
      <c r="H734" s="40" t="s">
        <v>3449</v>
      </c>
      <c r="I734" s="40" t="s">
        <v>104</v>
      </c>
      <c r="J734" s="50"/>
      <c r="K734" s="116" t="str">
        <f>IFERROR(VLOOKUP(B734,BD_CONTROL!$A$5:$M$4235,11,0),"")</f>
        <v>Instalado - Operando</v>
      </c>
      <c r="L734" s="117">
        <f>IFERROR(VLOOKUP(B734,BD_CONTROL!$A$5:$M$4235,12,0),"")</f>
        <v>46139</v>
      </c>
      <c r="M734" s="118">
        <f>IFERROR(VLOOKUP(B734,BD_CONTROL!$A$5:$M$4235,13,0),"")</f>
        <v>0</v>
      </c>
    </row>
    <row r="735" spans="1:13" ht="15" customHeight="1">
      <c r="A735" s="42">
        <v>730</v>
      </c>
      <c r="B735" s="42" t="s">
        <v>6184</v>
      </c>
      <c r="C735" s="43" t="s">
        <v>1123</v>
      </c>
      <c r="D735" s="42" t="s">
        <v>5640</v>
      </c>
      <c r="E735" s="43" t="s">
        <v>6185</v>
      </c>
      <c r="F735" s="43" t="s">
        <v>6186</v>
      </c>
      <c r="G735" s="42" t="s">
        <v>102</v>
      </c>
      <c r="H735" s="43" t="s">
        <v>3449</v>
      </c>
      <c r="I735" s="43" t="s">
        <v>104</v>
      </c>
      <c r="J735" s="55"/>
      <c r="K735" s="119" t="str">
        <f>IFERROR(VLOOKUP(B735,BD_CONTROL!$A$5:$M$4235,11,0),"")</f>
        <v>Instalado - Operando</v>
      </c>
      <c r="L735" s="120">
        <f>IFERROR(VLOOKUP(B735,BD_CONTROL!$A$5:$M$4235,12,0),"")</f>
        <v>46146</v>
      </c>
      <c r="M735" s="121">
        <f>IFERROR(VLOOKUP(B735,BD_CONTROL!$A$5:$M$4235,13,0),"")</f>
        <v>0</v>
      </c>
    </row>
    <row r="736" spans="1:13" ht="15" customHeight="1">
      <c r="A736" s="39">
        <v>731</v>
      </c>
      <c r="B736" s="39" t="s">
        <v>6187</v>
      </c>
      <c r="C736" s="40" t="s">
        <v>6188</v>
      </c>
      <c r="D736" s="39" t="s">
        <v>5640</v>
      </c>
      <c r="E736" s="40" t="s">
        <v>5735</v>
      </c>
      <c r="F736" s="40" t="s">
        <v>5735</v>
      </c>
      <c r="G736" s="39" t="s">
        <v>109</v>
      </c>
      <c r="H736" s="40" t="s">
        <v>3449</v>
      </c>
      <c r="I736" s="40" t="s">
        <v>104</v>
      </c>
      <c r="J736" s="50"/>
      <c r="K736" s="116" t="str">
        <f>IFERROR(VLOOKUP(B736,BD_CONTROL!$A$5:$M$4235,11,0),"")</f>
        <v>Instalado - Operando</v>
      </c>
      <c r="L736" s="117">
        <f>IFERROR(VLOOKUP(B736,BD_CONTROL!$A$5:$M$4235,12,0),"")</f>
        <v>46142</v>
      </c>
      <c r="M736" s="118">
        <f>IFERROR(VLOOKUP(B736,BD_CONTROL!$A$5:$M$4235,13,0),"")</f>
        <v>0</v>
      </c>
    </row>
    <row r="737" spans="1:13" ht="15" customHeight="1">
      <c r="A737" s="42">
        <v>732</v>
      </c>
      <c r="B737" s="42" t="s">
        <v>6189</v>
      </c>
      <c r="C737" s="43" t="s">
        <v>6190</v>
      </c>
      <c r="D737" s="42" t="s">
        <v>5640</v>
      </c>
      <c r="E737" s="43" t="s">
        <v>5735</v>
      </c>
      <c r="F737" s="43" t="s">
        <v>6191</v>
      </c>
      <c r="G737" s="42" t="s">
        <v>109</v>
      </c>
      <c r="H737" s="43" t="s">
        <v>3449</v>
      </c>
      <c r="I737" s="43" t="s">
        <v>104</v>
      </c>
      <c r="J737" s="55"/>
      <c r="K737" s="119" t="str">
        <f>IFERROR(VLOOKUP(B737,BD_CONTROL!$A$5:$M$4235,11,0),"")</f>
        <v>Instalado - Operando</v>
      </c>
      <c r="L737" s="120">
        <f>IFERROR(VLOOKUP(B737,BD_CONTROL!$A$5:$M$4235,12,0),"")</f>
        <v>46142</v>
      </c>
      <c r="M737" s="121">
        <f>IFERROR(VLOOKUP(B737,BD_CONTROL!$A$5:$M$4235,13,0),"")</f>
        <v>0</v>
      </c>
    </row>
    <row r="738" spans="1:13" ht="15" customHeight="1">
      <c r="A738" s="39">
        <v>733</v>
      </c>
      <c r="B738" s="39" t="s">
        <v>6192</v>
      </c>
      <c r="C738" s="40" t="s">
        <v>6193</v>
      </c>
      <c r="D738" s="39" t="s">
        <v>5640</v>
      </c>
      <c r="E738" s="40" t="s">
        <v>6194</v>
      </c>
      <c r="F738" s="40" t="s">
        <v>6193</v>
      </c>
      <c r="G738" s="39" t="s">
        <v>109</v>
      </c>
      <c r="H738" s="40" t="s">
        <v>3449</v>
      </c>
      <c r="I738" s="40" t="s">
        <v>104</v>
      </c>
      <c r="J738" s="50"/>
      <c r="K738" s="116" t="str">
        <f>IFERROR(VLOOKUP(B738,BD_CONTROL!$A$5:$M$4235,11,0),"")</f>
        <v>Instalado - Operando</v>
      </c>
      <c r="L738" s="117">
        <f>IFERROR(VLOOKUP(B738,BD_CONTROL!$A$5:$M$4235,12,0),"")</f>
        <v>46139</v>
      </c>
      <c r="M738" s="118">
        <f>IFERROR(VLOOKUP(B738,BD_CONTROL!$A$5:$M$4235,13,0),"")</f>
        <v>0</v>
      </c>
    </row>
    <row r="739" spans="1:13" ht="15" customHeight="1">
      <c r="A739" s="42">
        <v>734</v>
      </c>
      <c r="B739" s="42" t="s">
        <v>6195</v>
      </c>
      <c r="C739" s="43" t="s">
        <v>6196</v>
      </c>
      <c r="D739" s="42" t="s">
        <v>5640</v>
      </c>
      <c r="E739" s="43" t="s">
        <v>5908</v>
      </c>
      <c r="F739" s="43" t="s">
        <v>5909</v>
      </c>
      <c r="G739" s="42" t="s">
        <v>109</v>
      </c>
      <c r="H739" s="43" t="s">
        <v>3449</v>
      </c>
      <c r="I739" s="43" t="s">
        <v>104</v>
      </c>
      <c r="J739" s="55"/>
      <c r="K739" s="119" t="str">
        <f>IFERROR(VLOOKUP(B739,BD_CONTROL!$A$5:$M$4235,11,0),"")</f>
        <v>Instalado - Operando</v>
      </c>
      <c r="L739" s="120">
        <f>IFERROR(VLOOKUP(B739,BD_CONTROL!$A$5:$M$4235,12,0),"")</f>
        <v>46141</v>
      </c>
      <c r="M739" s="121">
        <f>IFERROR(VLOOKUP(B739,BD_CONTROL!$A$5:$M$4235,13,0),"")</f>
        <v>0</v>
      </c>
    </row>
    <row r="740" spans="1:13" ht="15" customHeight="1">
      <c r="A740" s="39">
        <v>735</v>
      </c>
      <c r="B740" s="39" t="s">
        <v>6197</v>
      </c>
      <c r="C740" s="40" t="s">
        <v>763</v>
      </c>
      <c r="D740" s="39" t="s">
        <v>5640</v>
      </c>
      <c r="E740" s="40" t="s">
        <v>5731</v>
      </c>
      <c r="F740" s="40" t="s">
        <v>6198</v>
      </c>
      <c r="G740" s="39" t="s">
        <v>109</v>
      </c>
      <c r="H740" s="40" t="s">
        <v>3449</v>
      </c>
      <c r="I740" s="40" t="s">
        <v>104</v>
      </c>
      <c r="J740" s="50"/>
      <c r="K740" s="116" t="str">
        <f>IFERROR(VLOOKUP(B740,BD_CONTROL!$A$5:$M$4235,11,0),"")</f>
        <v>Instalado - Operando</v>
      </c>
      <c r="L740" s="117">
        <f>IFERROR(VLOOKUP(B740,BD_CONTROL!$A$5:$M$4235,12,0),"")</f>
        <v>46146</v>
      </c>
      <c r="M740" s="118">
        <f>IFERROR(VLOOKUP(B740,BD_CONTROL!$A$5:$M$4235,13,0),"")</f>
        <v>0</v>
      </c>
    </row>
    <row r="741" spans="1:13" ht="15" customHeight="1">
      <c r="A741" s="42">
        <v>736</v>
      </c>
      <c r="B741" s="42" t="s">
        <v>6199</v>
      </c>
      <c r="C741" s="43" t="s">
        <v>6183</v>
      </c>
      <c r="D741" s="42" t="s">
        <v>5640</v>
      </c>
      <c r="E741" s="43" t="s">
        <v>5649</v>
      </c>
      <c r="F741" s="43" t="s">
        <v>6200</v>
      </c>
      <c r="G741" s="42" t="s">
        <v>109</v>
      </c>
      <c r="H741" s="43" t="s">
        <v>3449</v>
      </c>
      <c r="I741" s="43" t="s">
        <v>104</v>
      </c>
      <c r="J741" s="55"/>
      <c r="K741" s="119" t="str">
        <f>IFERROR(VLOOKUP(B741,BD_CONTROL!$A$5:$M$4235,11,0),"")</f>
        <v>Instalado - Operando</v>
      </c>
      <c r="L741" s="120">
        <f>IFERROR(VLOOKUP(B741,BD_CONTROL!$A$5:$M$4235,12,0),"")</f>
        <v>46139</v>
      </c>
      <c r="M741" s="121">
        <f>IFERROR(VLOOKUP(B741,BD_CONTROL!$A$5:$M$4235,13,0),"")</f>
        <v>0</v>
      </c>
    </row>
    <row r="742" spans="1:13" ht="15" customHeight="1">
      <c r="A742" s="39">
        <v>737</v>
      </c>
      <c r="B742" s="39" t="s">
        <v>6201</v>
      </c>
      <c r="C742" s="40" t="s">
        <v>6202</v>
      </c>
      <c r="D742" s="39" t="s">
        <v>5640</v>
      </c>
      <c r="E742" s="40" t="s">
        <v>5640</v>
      </c>
      <c r="F742" s="40" t="s">
        <v>5640</v>
      </c>
      <c r="G742" s="39" t="s">
        <v>102</v>
      </c>
      <c r="H742" s="40" t="s">
        <v>3449</v>
      </c>
      <c r="I742" s="40" t="s">
        <v>104</v>
      </c>
      <c r="J742" s="50"/>
      <c r="K742" s="129" t="str">
        <f>IFERROR(VLOOKUP(B742,BD_CONTROL!$A$5:$M$4235,11,0),"")</f>
        <v>INSTALADO - OPERANDO</v>
      </c>
      <c r="L742" s="117">
        <f>IFERROR(VLOOKUP(B742,BD_CONTROL!$A$5:$M$4235,12,0),"")</f>
        <v>46105</v>
      </c>
      <c r="M742" s="118" t="str">
        <f>IFERROR(VLOOKUP(B742,BD_CONTROL!$A$5:$M$4235,13,0),"")</f>
        <v>Cargado desde DB instalación 23/04/2026</v>
      </c>
    </row>
    <row r="743" spans="1:13" ht="15" customHeight="1">
      <c r="A743" s="42">
        <v>738</v>
      </c>
      <c r="B743" s="42" t="s">
        <v>6203</v>
      </c>
      <c r="C743" s="43" t="s">
        <v>6204</v>
      </c>
      <c r="D743" s="42" t="s">
        <v>5640</v>
      </c>
      <c r="E743" s="43" t="s">
        <v>6205</v>
      </c>
      <c r="F743" s="43" t="s">
        <v>6206</v>
      </c>
      <c r="G743" s="42" t="s">
        <v>109</v>
      </c>
      <c r="H743" s="43" t="s">
        <v>3449</v>
      </c>
      <c r="I743" s="43" t="s">
        <v>104</v>
      </c>
      <c r="J743" s="55"/>
      <c r="K743" s="129" t="str">
        <f>IFERROR(VLOOKUP(B743,BD_CONTROL!$A$5:$M$4235,11,0),"")</f>
        <v>INSTALADO - OPERANDO</v>
      </c>
      <c r="L743" s="120">
        <f>IFERROR(VLOOKUP(B743,BD_CONTROL!$A$5:$M$4235,12,0),"")</f>
        <v>46132</v>
      </c>
      <c r="M743" s="121" t="str">
        <f>IFERROR(VLOOKUP(B743,BD_CONTROL!$A$5:$M$4235,13,0),"")</f>
        <v>Cargado desde DB instalación 23/04/2026</v>
      </c>
    </row>
    <row r="744" spans="1:13" ht="15" customHeight="1">
      <c r="A744" s="39">
        <v>739</v>
      </c>
      <c r="B744" s="39" t="s">
        <v>6207</v>
      </c>
      <c r="C744" s="40" t="s">
        <v>6208</v>
      </c>
      <c r="D744" s="39" t="s">
        <v>5640</v>
      </c>
      <c r="E744" s="40" t="s">
        <v>6205</v>
      </c>
      <c r="F744" s="40" t="s">
        <v>511</v>
      </c>
      <c r="G744" s="39" t="s">
        <v>109</v>
      </c>
      <c r="H744" s="40" t="s">
        <v>3449</v>
      </c>
      <c r="I744" s="40" t="s">
        <v>104</v>
      </c>
      <c r="J744" s="50"/>
      <c r="K744" s="129" t="str">
        <f>IFERROR(VLOOKUP(B744,BD_CONTROL!$A$5:$M$4235,11,0),"")</f>
        <v>INSTALADO - OPERANDO</v>
      </c>
      <c r="L744" s="117">
        <f>IFERROR(VLOOKUP(B744,BD_CONTROL!$A$5:$M$4235,12,0),"")</f>
        <v>46132</v>
      </c>
      <c r="M744" s="118" t="str">
        <f>IFERROR(VLOOKUP(B744,BD_CONTROL!$A$5:$M$4235,13,0),"")</f>
        <v>Cargado desde DB instalación 23/04/2026</v>
      </c>
    </row>
    <row r="745" spans="1:13" ht="15" customHeight="1">
      <c r="A745" s="42">
        <v>740</v>
      </c>
      <c r="B745" s="42" t="s">
        <v>6209</v>
      </c>
      <c r="C745" s="43" t="s">
        <v>6210</v>
      </c>
      <c r="D745" s="42" t="s">
        <v>5640</v>
      </c>
      <c r="E745" s="43" t="s">
        <v>5673</v>
      </c>
      <c r="F745" s="43" t="s">
        <v>1086</v>
      </c>
      <c r="G745" s="42" t="s">
        <v>109</v>
      </c>
      <c r="H745" s="43" t="s">
        <v>3449</v>
      </c>
      <c r="I745" s="43" t="s">
        <v>104</v>
      </c>
      <c r="J745" s="55"/>
      <c r="K745" s="129" t="str">
        <f>IFERROR(VLOOKUP(B745,BD_CONTROL!$A$5:$M$4235,11,0),"")</f>
        <v>INSTALADO - OPERANDO</v>
      </c>
      <c r="L745" s="120">
        <f>IFERROR(VLOOKUP(B745,BD_CONTROL!$A$5:$M$4235,12,0),"")</f>
        <v>46125</v>
      </c>
      <c r="M745" s="121" t="str">
        <f>IFERROR(VLOOKUP(B745,BD_CONTROL!$A$5:$M$4235,13,0),"")</f>
        <v>Cargado desde DB instalación 23/04/2026</v>
      </c>
    </row>
    <row r="746" spans="1:13" ht="15" customHeight="1">
      <c r="A746" s="39">
        <v>741</v>
      </c>
      <c r="B746" s="39" t="s">
        <v>6211</v>
      </c>
      <c r="C746" s="40" t="s">
        <v>6212</v>
      </c>
      <c r="D746" s="39" t="s">
        <v>5640</v>
      </c>
      <c r="E746" s="40" t="s">
        <v>4099</v>
      </c>
      <c r="F746" s="40" t="s">
        <v>6213</v>
      </c>
      <c r="G746" s="39" t="s">
        <v>109</v>
      </c>
      <c r="H746" s="40" t="s">
        <v>3449</v>
      </c>
      <c r="I746" s="40" t="s">
        <v>104</v>
      </c>
      <c r="J746" s="50"/>
      <c r="K746" s="129" t="str">
        <f>IFERROR(VLOOKUP(B746,BD_CONTROL!$A$5:$M$4235,11,0),"")</f>
        <v>INSTALADO - OPERANDO</v>
      </c>
      <c r="L746" s="117">
        <f>IFERROR(VLOOKUP(B746,BD_CONTROL!$A$5:$M$4235,12,0),"")</f>
        <v>46133</v>
      </c>
      <c r="M746" s="118" t="str">
        <f>IFERROR(VLOOKUP(B746,BD_CONTROL!$A$5:$M$4235,13,0),"")</f>
        <v>Cargado desde DB instalación 23/04/2026</v>
      </c>
    </row>
    <row r="747" spans="1:13" ht="15" customHeight="1">
      <c r="A747" s="42">
        <v>742</v>
      </c>
      <c r="B747" s="42" t="s">
        <v>6214</v>
      </c>
      <c r="C747" s="43" t="s">
        <v>6215</v>
      </c>
      <c r="D747" s="42" t="s">
        <v>5640</v>
      </c>
      <c r="E747" s="43" t="s">
        <v>4099</v>
      </c>
      <c r="F747" s="43" t="s">
        <v>6216</v>
      </c>
      <c r="G747" s="42" t="s">
        <v>109</v>
      </c>
      <c r="H747" s="43" t="s">
        <v>3449</v>
      </c>
      <c r="I747" s="43" t="s">
        <v>104</v>
      </c>
      <c r="J747" s="55"/>
      <c r="K747" s="129" t="str">
        <f>IFERROR(VLOOKUP(B747,BD_CONTROL!$A$5:$M$4235,11,0),"")</f>
        <v>INSTALADO - OPERANDO</v>
      </c>
      <c r="L747" s="120">
        <f>IFERROR(VLOOKUP(B747,BD_CONTROL!$A$5:$M$4235,12,0),"")</f>
        <v>46134</v>
      </c>
      <c r="M747" s="121" t="str">
        <f>IFERROR(VLOOKUP(B747,BD_CONTROL!$A$5:$M$4235,13,0),"")</f>
        <v>Cargado desde DB instalación 23/04/2026</v>
      </c>
    </row>
    <row r="748" spans="1:13" ht="15" customHeight="1">
      <c r="A748" s="39">
        <v>743</v>
      </c>
      <c r="B748" s="39" t="s">
        <v>6217</v>
      </c>
      <c r="C748" s="40" t="s">
        <v>1323</v>
      </c>
      <c r="D748" s="39" t="s">
        <v>5640</v>
      </c>
      <c r="E748" s="40" t="s">
        <v>5892</v>
      </c>
      <c r="F748" s="40" t="s">
        <v>2756</v>
      </c>
      <c r="G748" s="39" t="s">
        <v>109</v>
      </c>
      <c r="H748" s="40" t="s">
        <v>3449</v>
      </c>
      <c r="I748" s="40" t="s">
        <v>104</v>
      </c>
      <c r="J748" s="50"/>
      <c r="K748" s="116" t="str">
        <f>IFERROR(VLOOKUP(B748,BD_CONTROL!$A$5:$M$4235,11,0),"")</f>
        <v>Instalado - Operando</v>
      </c>
      <c r="L748" s="117">
        <f>IFERROR(VLOOKUP(B748,BD_CONTROL!$A$5:$M$4235,12,0),"")</f>
        <v>46147</v>
      </c>
      <c r="M748" s="118">
        <f>IFERROR(VLOOKUP(B748,BD_CONTROL!$A$5:$M$4235,13,0),"")</f>
        <v>0</v>
      </c>
    </row>
    <row r="749" spans="1:13" ht="15" customHeight="1">
      <c r="A749" s="42">
        <v>744</v>
      </c>
      <c r="B749" s="42" t="s">
        <v>6218</v>
      </c>
      <c r="C749" s="43" t="s">
        <v>6219</v>
      </c>
      <c r="D749" s="42" t="s">
        <v>5640</v>
      </c>
      <c r="E749" s="43" t="s">
        <v>4099</v>
      </c>
      <c r="F749" s="43" t="s">
        <v>6220</v>
      </c>
      <c r="G749" s="42" t="s">
        <v>109</v>
      </c>
      <c r="H749" s="43" t="s">
        <v>3449</v>
      </c>
      <c r="I749" s="43" t="s">
        <v>104</v>
      </c>
      <c r="J749" s="55"/>
      <c r="K749" s="129" t="str">
        <f>IFERROR(VLOOKUP(B749,BD_CONTROL!$A$5:$M$4235,11,0),"")</f>
        <v>INSTALADO - OPERANDO</v>
      </c>
      <c r="L749" s="120">
        <f>IFERROR(VLOOKUP(B749,BD_CONTROL!$A$5:$M$4235,12,0),"")</f>
        <v>46128</v>
      </c>
      <c r="M749" s="121" t="str">
        <f>IFERROR(VLOOKUP(B749,BD_CONTROL!$A$5:$M$4235,13,0),"")</f>
        <v>Cargado desde DB instalación 23/04/2026</v>
      </c>
    </row>
    <row r="750" spans="1:13" ht="15" customHeight="1">
      <c r="A750" s="39">
        <v>745</v>
      </c>
      <c r="B750" s="39" t="s">
        <v>6221</v>
      </c>
      <c r="C750" s="40" t="s">
        <v>6222</v>
      </c>
      <c r="D750" s="39" t="s">
        <v>5640</v>
      </c>
      <c r="E750" s="40" t="s">
        <v>5691</v>
      </c>
      <c r="F750" s="40" t="s">
        <v>6223</v>
      </c>
      <c r="G750" s="39" t="s">
        <v>109</v>
      </c>
      <c r="H750" s="40" t="s">
        <v>3449</v>
      </c>
      <c r="I750" s="40" t="s">
        <v>104</v>
      </c>
      <c r="J750" s="50"/>
      <c r="K750" s="129" t="str">
        <f>IFERROR(VLOOKUP(B750,BD_CONTROL!$A$5:$M$4235,11,0),"")</f>
        <v>INSTALADO - OPERANDO</v>
      </c>
      <c r="L750" s="117">
        <f>IFERROR(VLOOKUP(B750,BD_CONTROL!$A$5:$M$4235,12,0),"")</f>
        <v>46127</v>
      </c>
      <c r="M750" s="118" t="str">
        <f>IFERROR(VLOOKUP(B750,BD_CONTROL!$A$5:$M$4235,13,0),"")</f>
        <v>Cargado desde DB instalación 23/04/2026</v>
      </c>
    </row>
    <row r="751" spans="1:13" ht="15" customHeight="1">
      <c r="A751" s="42">
        <v>746</v>
      </c>
      <c r="B751" s="42" t="s">
        <v>6224</v>
      </c>
      <c r="C751" s="43" t="s">
        <v>6225</v>
      </c>
      <c r="D751" s="42" t="s">
        <v>5640</v>
      </c>
      <c r="E751" s="43" t="s">
        <v>5691</v>
      </c>
      <c r="F751" s="43" t="s">
        <v>5691</v>
      </c>
      <c r="G751" s="42" t="s">
        <v>109</v>
      </c>
      <c r="H751" s="43" t="s">
        <v>3449</v>
      </c>
      <c r="I751" s="43" t="s">
        <v>104</v>
      </c>
      <c r="J751" s="55"/>
      <c r="K751" s="129" t="str">
        <f>IFERROR(VLOOKUP(B751,BD_CONTROL!$A$5:$M$4235,11,0),"")</f>
        <v>INSTALADO - OPERANDO</v>
      </c>
      <c r="L751" s="120">
        <f>IFERROR(VLOOKUP(B751,BD_CONTROL!$A$5:$M$4235,12,0),"")</f>
        <v>46134</v>
      </c>
      <c r="M751" s="121" t="str">
        <f>IFERROR(VLOOKUP(B751,BD_CONTROL!$A$5:$M$4235,13,0),"")</f>
        <v>Cargado desde DB instalación 23/04/2026</v>
      </c>
    </row>
    <row r="752" spans="1:13" ht="15" customHeight="1">
      <c r="A752" s="39">
        <v>747</v>
      </c>
      <c r="B752" s="39" t="s">
        <v>6226</v>
      </c>
      <c r="C752" s="40" t="s">
        <v>6227</v>
      </c>
      <c r="D752" s="39" t="s">
        <v>5640</v>
      </c>
      <c r="E752" s="40" t="s">
        <v>5710</v>
      </c>
      <c r="F752" s="40" t="s">
        <v>6228</v>
      </c>
      <c r="G752" s="39" t="s">
        <v>109</v>
      </c>
      <c r="H752" s="40" t="s">
        <v>3449</v>
      </c>
      <c r="I752" s="40" t="s">
        <v>104</v>
      </c>
      <c r="J752" s="50"/>
      <c r="K752" s="116" t="str">
        <f>IFERROR(VLOOKUP(B752,BD_CONTROL!$A$5:$M$4235,11,0),"")</f>
        <v>Instalado - Operando</v>
      </c>
      <c r="L752" s="117">
        <f>IFERROR(VLOOKUP(B752,BD_CONTROL!$A$5:$M$4235,12,0),"")</f>
        <v>46141</v>
      </c>
      <c r="M752" s="118">
        <f>IFERROR(VLOOKUP(B752,BD_CONTROL!$A$5:$M$4235,13,0),"")</f>
        <v>0</v>
      </c>
    </row>
    <row r="753" spans="1:13" ht="15" customHeight="1">
      <c r="A753" s="42">
        <v>748</v>
      </c>
      <c r="B753" s="42" t="s">
        <v>6229</v>
      </c>
      <c r="C753" s="43" t="s">
        <v>6230</v>
      </c>
      <c r="D753" s="42" t="s">
        <v>5640</v>
      </c>
      <c r="E753" s="43" t="s">
        <v>5710</v>
      </c>
      <c r="F753" s="43" t="s">
        <v>6231</v>
      </c>
      <c r="G753" s="42" t="s">
        <v>109</v>
      </c>
      <c r="H753" s="43" t="s">
        <v>3449</v>
      </c>
      <c r="I753" s="43" t="s">
        <v>104</v>
      </c>
      <c r="J753" s="55"/>
      <c r="K753" s="119" t="str">
        <f>IFERROR(VLOOKUP(B753,BD_CONTROL!$A$5:$M$4235,11,0),"")</f>
        <v>Instalado - Operando</v>
      </c>
      <c r="L753" s="120">
        <f>IFERROR(VLOOKUP(B753,BD_CONTROL!$A$5:$M$4235,12,0),"")</f>
        <v>46142</v>
      </c>
      <c r="M753" s="121">
        <f>IFERROR(VLOOKUP(B753,BD_CONTROL!$A$5:$M$4235,13,0),"")</f>
        <v>0</v>
      </c>
    </row>
    <row r="754" spans="1:13" ht="15" customHeight="1">
      <c r="A754" s="39">
        <v>749</v>
      </c>
      <c r="B754" s="39" t="s">
        <v>6232</v>
      </c>
      <c r="C754" s="40" t="s">
        <v>6233</v>
      </c>
      <c r="D754" s="39" t="s">
        <v>5640</v>
      </c>
      <c r="E754" s="40" t="s">
        <v>6234</v>
      </c>
      <c r="F754" s="40" t="s">
        <v>6233</v>
      </c>
      <c r="G754" s="39" t="s">
        <v>109</v>
      </c>
      <c r="H754" s="40" t="s">
        <v>3449</v>
      </c>
      <c r="I754" s="40" t="s">
        <v>104</v>
      </c>
      <c r="J754" s="50"/>
      <c r="K754" s="129" t="str">
        <f>IFERROR(VLOOKUP(B754,BD_CONTROL!$A$5:$M$4235,11,0),"")</f>
        <v>INSTALADO - OPERANDO</v>
      </c>
      <c r="L754" s="117">
        <f>IFERROR(VLOOKUP(B754,BD_CONTROL!$A$5:$M$4235,12,0),"")</f>
        <v>46127</v>
      </c>
      <c r="M754" s="118" t="str">
        <f>IFERROR(VLOOKUP(B754,BD_CONTROL!$A$5:$M$4235,13,0),"")</f>
        <v>Cargado desde DB instalación 23/04/2026</v>
      </c>
    </row>
    <row r="755" spans="1:13" ht="15" customHeight="1">
      <c r="A755" s="42">
        <v>750</v>
      </c>
      <c r="B755" s="42" t="s">
        <v>6235</v>
      </c>
      <c r="C755" s="43" t="s">
        <v>4719</v>
      </c>
      <c r="D755" s="42" t="s">
        <v>5640</v>
      </c>
      <c r="E755" s="43" t="s">
        <v>6236</v>
      </c>
      <c r="F755" s="43" t="s">
        <v>6236</v>
      </c>
      <c r="G755" s="42" t="s">
        <v>109</v>
      </c>
      <c r="H755" s="43" t="s">
        <v>3449</v>
      </c>
      <c r="I755" s="43" t="s">
        <v>104</v>
      </c>
      <c r="J755" s="55"/>
      <c r="K755" s="119" t="str">
        <f>IFERROR(VLOOKUP(B755,BD_CONTROL!$A$5:$M$4235,11,0),"")</f>
        <v>Instalado - Operando</v>
      </c>
      <c r="L755" s="120">
        <f>IFERROR(VLOOKUP(B755,BD_CONTROL!$A$5:$M$4235,12,0),"")</f>
        <v>46146</v>
      </c>
      <c r="M755" s="121">
        <f>IFERROR(VLOOKUP(B755,BD_CONTROL!$A$5:$M$4235,13,0),"")</f>
        <v>0</v>
      </c>
    </row>
    <row r="756" spans="1:13" ht="15" customHeight="1">
      <c r="A756" s="39">
        <v>751</v>
      </c>
      <c r="B756" s="39" t="s">
        <v>6237</v>
      </c>
      <c r="C756" s="40" t="s">
        <v>6238</v>
      </c>
      <c r="D756" s="39" t="s">
        <v>5640</v>
      </c>
      <c r="E756" s="40" t="s">
        <v>6236</v>
      </c>
      <c r="F756" s="40" t="s">
        <v>6239</v>
      </c>
      <c r="G756" s="39" t="s">
        <v>109</v>
      </c>
      <c r="H756" s="40" t="s">
        <v>3449</v>
      </c>
      <c r="I756" s="40" t="s">
        <v>104</v>
      </c>
      <c r="J756" s="50"/>
      <c r="K756" s="116" t="str">
        <f>IFERROR(VLOOKUP(B756,BD_CONTROL!$A$5:$M$4235,11,0),"")</f>
        <v>Instalado - Operando</v>
      </c>
      <c r="L756" s="117">
        <f>IFERROR(VLOOKUP(B756,BD_CONTROL!$A$5:$M$4235,12,0),"")</f>
        <v>46146</v>
      </c>
      <c r="M756" s="118">
        <f>IFERROR(VLOOKUP(B756,BD_CONTROL!$A$5:$M$4235,13,0),"")</f>
        <v>0</v>
      </c>
    </row>
    <row r="757" spans="1:13" ht="15" customHeight="1">
      <c r="A757" s="42">
        <v>752</v>
      </c>
      <c r="B757" s="42" t="s">
        <v>6240</v>
      </c>
      <c r="C757" s="43" t="s">
        <v>6241</v>
      </c>
      <c r="D757" s="42" t="s">
        <v>5640</v>
      </c>
      <c r="E757" s="43" t="s">
        <v>6242</v>
      </c>
      <c r="F757" s="43" t="s">
        <v>2756</v>
      </c>
      <c r="G757" s="42" t="s">
        <v>109</v>
      </c>
      <c r="H757" s="43" t="s">
        <v>3449</v>
      </c>
      <c r="I757" s="43" t="s">
        <v>104</v>
      </c>
      <c r="J757" s="55"/>
      <c r="K757" s="119" t="str">
        <f>IFERROR(VLOOKUP(B757,BD_CONTROL!$A$5:$M$4235,11,0),"")</f>
        <v>Instalado - Operando</v>
      </c>
      <c r="L757" s="120">
        <f>IFERROR(VLOOKUP(B757,BD_CONTROL!$A$5:$M$4235,12,0),"")</f>
        <v>46146</v>
      </c>
      <c r="M757" s="121">
        <f>IFERROR(VLOOKUP(B757,BD_CONTROL!$A$5:$M$4235,13,0),"")</f>
        <v>0</v>
      </c>
    </row>
    <row r="758" spans="1:13" ht="15" customHeight="1">
      <c r="A758" s="39">
        <v>753</v>
      </c>
      <c r="B758" s="39" t="s">
        <v>6243</v>
      </c>
      <c r="C758" s="40" t="s">
        <v>6244</v>
      </c>
      <c r="D758" s="39" t="s">
        <v>5640</v>
      </c>
      <c r="E758" s="40" t="s">
        <v>5754</v>
      </c>
      <c r="F758" s="40" t="s">
        <v>6245</v>
      </c>
      <c r="G758" s="39" t="s">
        <v>109</v>
      </c>
      <c r="H758" s="40" t="s">
        <v>3449</v>
      </c>
      <c r="I758" s="40" t="s">
        <v>104</v>
      </c>
      <c r="J758" s="50"/>
      <c r="K758" s="116" t="str">
        <f>IFERROR(VLOOKUP(B758,BD_CONTROL!$A$5:$M$4235,11,0),"")</f>
        <v>Instalado - Operando</v>
      </c>
      <c r="L758" s="117">
        <f>IFERROR(VLOOKUP(B758,BD_CONTROL!$A$5:$M$4235,12,0),"")</f>
        <v>46140</v>
      </c>
      <c r="M758" s="118">
        <f>IFERROR(VLOOKUP(B758,BD_CONTROL!$A$5:$M$4235,13,0),"")</f>
        <v>0</v>
      </c>
    </row>
    <row r="759" spans="1:13" ht="15" customHeight="1">
      <c r="A759" s="42">
        <v>754</v>
      </c>
      <c r="B759" s="42" t="s">
        <v>6246</v>
      </c>
      <c r="C759" s="43" t="s">
        <v>6247</v>
      </c>
      <c r="D759" s="42" t="s">
        <v>5640</v>
      </c>
      <c r="E759" s="43" t="s">
        <v>6248</v>
      </c>
      <c r="F759" s="43" t="s">
        <v>6248</v>
      </c>
      <c r="G759" s="42" t="s">
        <v>109</v>
      </c>
      <c r="H759" s="43" t="s">
        <v>3449</v>
      </c>
      <c r="I759" s="43" t="s">
        <v>104</v>
      </c>
      <c r="J759" s="55"/>
      <c r="K759" s="119" t="str">
        <f>IFERROR(VLOOKUP(B759,BD_CONTROL!$A$5:$M$4235,11,0),"")</f>
        <v>Instalado - Operando</v>
      </c>
      <c r="L759" s="120">
        <f>IFERROR(VLOOKUP(B759,BD_CONTROL!$A$5:$M$4235,12,0),"")</f>
        <v>46141</v>
      </c>
      <c r="M759" s="121">
        <f>IFERROR(VLOOKUP(B759,BD_CONTROL!$A$5:$M$4235,13,0),"")</f>
        <v>0</v>
      </c>
    </row>
    <row r="760" spans="1:13" ht="15" customHeight="1">
      <c r="A760" s="39">
        <v>755</v>
      </c>
      <c r="B760" s="39" t="s">
        <v>6249</v>
      </c>
      <c r="C760" s="40" t="s">
        <v>6006</v>
      </c>
      <c r="D760" s="39" t="s">
        <v>5640</v>
      </c>
      <c r="E760" s="40" t="s">
        <v>6250</v>
      </c>
      <c r="F760" s="40" t="s">
        <v>6250</v>
      </c>
      <c r="G760" s="39" t="s">
        <v>109</v>
      </c>
      <c r="H760" s="40" t="s">
        <v>3449</v>
      </c>
      <c r="I760" s="40" t="s">
        <v>104</v>
      </c>
      <c r="J760" s="50"/>
      <c r="K760" s="129" t="str">
        <f>IFERROR(VLOOKUP(B760,BD_CONTROL!$A$5:$M$4235,11,0),"")</f>
        <v>INSTALADO - OPERANDO</v>
      </c>
      <c r="L760" s="117">
        <f>IFERROR(VLOOKUP(B760,BD_CONTROL!$A$5:$M$4235,12,0),"")</f>
        <v>46125</v>
      </c>
      <c r="M760" s="118" t="str">
        <f>IFERROR(VLOOKUP(B760,BD_CONTROL!$A$5:$M$4235,13,0),"")</f>
        <v>Cargado desde DB instalación 23/04/2026</v>
      </c>
    </row>
    <row r="761" spans="1:13" ht="15" customHeight="1">
      <c r="A761" s="42">
        <v>756</v>
      </c>
      <c r="B761" s="42" t="s">
        <v>6251</v>
      </c>
      <c r="C761" s="43" t="s">
        <v>6252</v>
      </c>
      <c r="D761" s="42" t="s">
        <v>5640</v>
      </c>
      <c r="E761" s="43" t="s">
        <v>5640</v>
      </c>
      <c r="F761" s="43" t="s">
        <v>6015</v>
      </c>
      <c r="G761" s="42" t="s">
        <v>102</v>
      </c>
      <c r="H761" s="43" t="s">
        <v>3449</v>
      </c>
      <c r="I761" s="43" t="s">
        <v>104</v>
      </c>
      <c r="J761" s="55"/>
      <c r="K761" s="130" t="str">
        <f>IFERROR(VLOOKUP(B761,BD_CONTROL!$A$5:$M$4235,11,0),"")</f>
        <v>INSTALADO - SIN SEÑAL</v>
      </c>
      <c r="L761" s="120">
        <f>IFERROR(VLOOKUP(B761,BD_CONTROL!$A$5:$M$4235,12,0),"")</f>
        <v>46106</v>
      </c>
      <c r="M761" s="121" t="str">
        <f>IFERROR(VLOOKUP(B761,BD_CONTROL!$A$5:$M$4235,13,0),"")</f>
        <v>Cargado desde DB instalación 23/04/2026</v>
      </c>
    </row>
    <row r="762" spans="1:13" ht="15" customHeight="1">
      <c r="A762" s="39">
        <v>757</v>
      </c>
      <c r="B762" s="39" t="s">
        <v>6253</v>
      </c>
      <c r="C762" s="40" t="s">
        <v>6254</v>
      </c>
      <c r="D762" s="39" t="s">
        <v>5640</v>
      </c>
      <c r="E762" s="40" t="s">
        <v>6255</v>
      </c>
      <c r="F762" s="40" t="s">
        <v>6256</v>
      </c>
      <c r="G762" s="39" t="s">
        <v>102</v>
      </c>
      <c r="H762" s="40" t="s">
        <v>3449</v>
      </c>
      <c r="I762" s="40" t="s">
        <v>104</v>
      </c>
      <c r="J762" s="50"/>
      <c r="K762" s="116" t="str">
        <f>IFERROR(VLOOKUP(B762,BD_CONTROL!$A$5:$M$4235,11,0),"")</f>
        <v>Instalado - Operando</v>
      </c>
      <c r="L762" s="117">
        <f>IFERROR(VLOOKUP(B762,BD_CONTROL!$A$5:$M$4235,12,0),"")</f>
        <v>46139</v>
      </c>
      <c r="M762" s="118">
        <f>IFERROR(VLOOKUP(B762,BD_CONTROL!$A$5:$M$4235,13,0),"")</f>
        <v>0</v>
      </c>
    </row>
    <row r="763" spans="1:13" ht="15" customHeight="1">
      <c r="A763" s="42">
        <v>758</v>
      </c>
      <c r="B763" s="42" t="s">
        <v>6257</v>
      </c>
      <c r="C763" s="43" t="s">
        <v>6258</v>
      </c>
      <c r="D763" s="42" t="s">
        <v>5640</v>
      </c>
      <c r="E763" s="43" t="s">
        <v>6259</v>
      </c>
      <c r="F763" s="43" t="s">
        <v>6260</v>
      </c>
      <c r="G763" s="42" t="s">
        <v>109</v>
      </c>
      <c r="H763" s="43" t="s">
        <v>3449</v>
      </c>
      <c r="I763" s="43" t="s">
        <v>104</v>
      </c>
      <c r="J763" s="55"/>
      <c r="K763" s="129" t="str">
        <f>IFERROR(VLOOKUP(B763,BD_CONTROL!$A$5:$M$4235,11,0),"")</f>
        <v>INSTALADO - OPERANDO</v>
      </c>
      <c r="L763" s="120">
        <f>IFERROR(VLOOKUP(B763,BD_CONTROL!$A$5:$M$4235,12,0),"")</f>
        <v>46107</v>
      </c>
      <c r="M763" s="121" t="str">
        <f>IFERROR(VLOOKUP(B763,BD_CONTROL!$A$5:$M$4235,13,0),"")</f>
        <v>Cargado desde DB instalación 23/04/2026</v>
      </c>
    </row>
    <row r="764" spans="1:13" ht="15" customHeight="1">
      <c r="A764" s="39">
        <v>759</v>
      </c>
      <c r="B764" s="39" t="s">
        <v>6261</v>
      </c>
      <c r="C764" s="40" t="s">
        <v>6262</v>
      </c>
      <c r="D764" s="39" t="s">
        <v>5640</v>
      </c>
      <c r="E764" s="40" t="s">
        <v>6263</v>
      </c>
      <c r="F764" s="40" t="s">
        <v>6264</v>
      </c>
      <c r="G764" s="39" t="s">
        <v>109</v>
      </c>
      <c r="H764" s="40" t="s">
        <v>3449</v>
      </c>
      <c r="I764" s="40" t="s">
        <v>104</v>
      </c>
      <c r="J764" s="50"/>
      <c r="K764" s="116" t="str">
        <f>IFERROR(VLOOKUP(B764,BD_CONTROL!$A$5:$M$4235,11,0),"")</f>
        <v>Instalado - Operando</v>
      </c>
      <c r="L764" s="117">
        <f>IFERROR(VLOOKUP(B764,BD_CONTROL!$A$5:$M$4235,12,0),"")</f>
        <v>46139</v>
      </c>
      <c r="M764" s="118">
        <f>IFERROR(VLOOKUP(B764,BD_CONTROL!$A$5:$M$4235,13,0),"")</f>
        <v>0</v>
      </c>
    </row>
    <row r="765" spans="1:13" ht="15" customHeight="1">
      <c r="A765" s="42">
        <v>760</v>
      </c>
      <c r="B765" s="42" t="s">
        <v>6265</v>
      </c>
      <c r="C765" s="43" t="s">
        <v>1374</v>
      </c>
      <c r="D765" s="42" t="s">
        <v>5640</v>
      </c>
      <c r="E765" s="43" t="s">
        <v>6266</v>
      </c>
      <c r="F765" s="43" t="s">
        <v>6267</v>
      </c>
      <c r="G765" s="42" t="s">
        <v>109</v>
      </c>
      <c r="H765" s="43" t="s">
        <v>3449</v>
      </c>
      <c r="I765" s="43" t="s">
        <v>104</v>
      </c>
      <c r="J765" s="55"/>
      <c r="K765" s="119" t="str">
        <f>IFERROR(VLOOKUP(B765,BD_CONTROL!$A$5:$M$4235,11,0),"")</f>
        <v>Instalado - Sin Señal</v>
      </c>
      <c r="L765" s="120">
        <f>IFERROR(VLOOKUP(B765,BD_CONTROL!$A$5:$M$4235,12,0),"")</f>
        <v>46153</v>
      </c>
      <c r="M765" s="121" t="str">
        <f>IFERROR(VLOOKUP(B765,BD_CONTROL!$A$5:$M$4235,13,0),"")</f>
        <v xml:space="preserve">Instalado, no operando, con reporte a mesa de ayuda
</v>
      </c>
    </row>
    <row r="766" spans="1:13" ht="15" customHeight="1">
      <c r="A766" s="39">
        <v>761</v>
      </c>
      <c r="B766" s="39" t="s">
        <v>6268</v>
      </c>
      <c r="C766" s="40" t="s">
        <v>6269</v>
      </c>
      <c r="D766" s="39" t="s">
        <v>5640</v>
      </c>
      <c r="E766" s="40" t="s">
        <v>6270</v>
      </c>
      <c r="F766" s="40" t="s">
        <v>6270</v>
      </c>
      <c r="G766" s="39" t="s">
        <v>109</v>
      </c>
      <c r="H766" s="40" t="s">
        <v>3449</v>
      </c>
      <c r="I766" s="40" t="s">
        <v>104</v>
      </c>
      <c r="J766" s="50"/>
      <c r="K766" s="129" t="str">
        <f>IFERROR(VLOOKUP(B766,BD_CONTROL!$A$5:$M$4235,11,0),"")</f>
        <v>INSTALADO - OPERANDO</v>
      </c>
      <c r="L766" s="117">
        <f>IFERROR(VLOOKUP(B766,BD_CONTROL!$A$5:$M$4235,12,0),"")</f>
        <v>46135</v>
      </c>
      <c r="M766" s="118" t="str">
        <f>IFERROR(VLOOKUP(B766,BD_CONTROL!$A$5:$M$4235,13,0),"")</f>
        <v>Cargado desde DB instalación 23/04/2026</v>
      </c>
    </row>
    <row r="767" spans="1:13" ht="15" customHeight="1">
      <c r="A767" s="42">
        <v>762</v>
      </c>
      <c r="B767" s="42" t="s">
        <v>6271</v>
      </c>
      <c r="C767" s="43" t="s">
        <v>6272</v>
      </c>
      <c r="D767" s="42" t="s">
        <v>5640</v>
      </c>
      <c r="E767" s="43" t="s">
        <v>6270</v>
      </c>
      <c r="F767" s="43" t="s">
        <v>6273</v>
      </c>
      <c r="G767" s="42" t="s">
        <v>109</v>
      </c>
      <c r="H767" s="43" t="s">
        <v>3449</v>
      </c>
      <c r="I767" s="43" t="s">
        <v>104</v>
      </c>
      <c r="J767" s="55"/>
      <c r="K767" s="129" t="str">
        <f>IFERROR(VLOOKUP(B767,BD_CONTROL!$A$5:$M$4235,11,0),"")</f>
        <v>INSTALADO - OPERANDO</v>
      </c>
      <c r="L767" s="120">
        <f>IFERROR(VLOOKUP(B767,BD_CONTROL!$A$5:$M$4235,12,0),"")</f>
        <v>46135</v>
      </c>
      <c r="M767" s="121" t="str">
        <f>IFERROR(VLOOKUP(B767,BD_CONTROL!$A$5:$M$4235,13,0),"")</f>
        <v>Cargado desde DB instalación 23/04/2026</v>
      </c>
    </row>
    <row r="768" spans="1:13" ht="15" customHeight="1">
      <c r="A768" s="39">
        <v>763</v>
      </c>
      <c r="B768" s="39" t="s">
        <v>6274</v>
      </c>
      <c r="C768" s="40" t="s">
        <v>6275</v>
      </c>
      <c r="D768" s="39" t="s">
        <v>5640</v>
      </c>
      <c r="E768" s="40" t="s">
        <v>6270</v>
      </c>
      <c r="F768" s="40" t="s">
        <v>6276</v>
      </c>
      <c r="G768" s="39" t="s">
        <v>109</v>
      </c>
      <c r="H768" s="40" t="s">
        <v>3449</v>
      </c>
      <c r="I768" s="40" t="s">
        <v>104</v>
      </c>
      <c r="J768" s="50"/>
      <c r="K768" s="129" t="str">
        <f>IFERROR(VLOOKUP(B768,BD_CONTROL!$A$5:$M$4235,11,0),"")</f>
        <v>INSTALADO - OPERANDO</v>
      </c>
      <c r="L768" s="117">
        <f>IFERROR(VLOOKUP(B768,BD_CONTROL!$A$5:$M$4235,12,0),"")</f>
        <v>46134</v>
      </c>
      <c r="M768" s="118" t="str">
        <f>IFERROR(VLOOKUP(B768,BD_CONTROL!$A$5:$M$4235,13,0),"")</f>
        <v>Cargado desde DB instalación 23/04/2026</v>
      </c>
    </row>
    <row r="769" spans="1:13" ht="15" customHeight="1">
      <c r="A769" s="42">
        <v>764</v>
      </c>
      <c r="B769" s="42" t="s">
        <v>6277</v>
      </c>
      <c r="C769" s="43" t="s">
        <v>6278</v>
      </c>
      <c r="D769" s="42" t="s">
        <v>5640</v>
      </c>
      <c r="E769" s="43" t="s">
        <v>6279</v>
      </c>
      <c r="F769" s="43" t="s">
        <v>6279</v>
      </c>
      <c r="G769" s="42" t="s">
        <v>102</v>
      </c>
      <c r="H769" s="43" t="s">
        <v>3449</v>
      </c>
      <c r="I769" s="43" t="s">
        <v>104</v>
      </c>
      <c r="J769" s="55"/>
      <c r="K769" s="119">
        <f>IFERROR(VLOOKUP(B769,BD_CONTROL!$A$5:$M$4235,11,0),"")</f>
        <v>0</v>
      </c>
      <c r="L769" s="120">
        <f>IFERROR(VLOOKUP(B769,BD_CONTROL!$A$5:$M$4235,12,0),"")</f>
        <v>0</v>
      </c>
      <c r="M769" s="121">
        <f>IFERROR(VLOOKUP(B769,BD_CONTROL!$A$5:$M$4235,13,0),"")</f>
        <v>0</v>
      </c>
    </row>
    <row r="770" spans="1:13" ht="15" customHeight="1">
      <c r="A770" s="39">
        <v>765</v>
      </c>
      <c r="B770" s="39" t="s">
        <v>6280</v>
      </c>
      <c r="C770" s="40" t="s">
        <v>6281</v>
      </c>
      <c r="D770" s="39" t="s">
        <v>5640</v>
      </c>
      <c r="E770" s="40" t="s">
        <v>6279</v>
      </c>
      <c r="F770" s="40" t="s">
        <v>6282</v>
      </c>
      <c r="G770" s="39" t="s">
        <v>109</v>
      </c>
      <c r="H770" s="40" t="s">
        <v>3449</v>
      </c>
      <c r="I770" s="40" t="s">
        <v>104</v>
      </c>
      <c r="J770" s="50"/>
      <c r="K770" s="116">
        <f>IFERROR(VLOOKUP(B770,BD_CONTROL!$A$5:$M$4235,11,0),"")</f>
        <v>0</v>
      </c>
      <c r="L770" s="117">
        <f>IFERROR(VLOOKUP(B770,BD_CONTROL!$A$5:$M$4235,12,0),"")</f>
        <v>0</v>
      </c>
      <c r="M770" s="118">
        <f>IFERROR(VLOOKUP(B770,BD_CONTROL!$A$5:$M$4235,13,0),"")</f>
        <v>0</v>
      </c>
    </row>
    <row r="771" spans="1:13" ht="15" customHeight="1">
      <c r="A771" s="42">
        <v>766</v>
      </c>
      <c r="B771" s="42" t="s">
        <v>6283</v>
      </c>
      <c r="C771" s="43" t="s">
        <v>6284</v>
      </c>
      <c r="D771" s="42" t="s">
        <v>5640</v>
      </c>
      <c r="E771" s="43" t="s">
        <v>5824</v>
      </c>
      <c r="F771" s="43" t="s">
        <v>6285</v>
      </c>
      <c r="G771" s="42" t="s">
        <v>109</v>
      </c>
      <c r="H771" s="43" t="s">
        <v>3449</v>
      </c>
      <c r="I771" s="43" t="s">
        <v>104</v>
      </c>
      <c r="J771" s="55"/>
      <c r="K771" s="119" t="str">
        <f>IFERROR(VLOOKUP(B771,BD_CONTROL!$A$5:$M$4235,11,0),"")</f>
        <v>Instalado - Sin Señal</v>
      </c>
      <c r="L771" s="120">
        <f>IFERROR(VLOOKUP(B771,BD_CONTROL!$A$5:$M$4235,12,0),"")</f>
        <v>46146</v>
      </c>
      <c r="M771" s="121" t="str">
        <f>IFERROR(VLOOKUP(B771,BD_CONTROL!$A$5:$M$4235,13,0),"")</f>
        <v>Instalado, no operando, con reporte a mesa de ayuda</v>
      </c>
    </row>
    <row r="772" spans="1:13" ht="15" customHeight="1">
      <c r="A772" s="39">
        <v>767</v>
      </c>
      <c r="B772" s="39" t="s">
        <v>6286</v>
      </c>
      <c r="C772" s="40" t="s">
        <v>2682</v>
      </c>
      <c r="D772" s="39" t="s">
        <v>5640</v>
      </c>
      <c r="E772" s="40" t="s">
        <v>6287</v>
      </c>
      <c r="F772" s="40" t="s">
        <v>6287</v>
      </c>
      <c r="G772" s="39" t="s">
        <v>109</v>
      </c>
      <c r="H772" s="40" t="s">
        <v>3449</v>
      </c>
      <c r="I772" s="40" t="s">
        <v>104</v>
      </c>
      <c r="J772" s="50"/>
      <c r="K772" s="116" t="str">
        <f>IFERROR(VLOOKUP(B772,BD_CONTROL!$A$5:$M$4235,11,0),"")</f>
        <v>Instalado - Operando</v>
      </c>
      <c r="L772" s="117">
        <f>IFERROR(VLOOKUP(B772,BD_CONTROL!$A$5:$M$4235,12,0),"")</f>
        <v>46146</v>
      </c>
      <c r="M772" s="118">
        <f>IFERROR(VLOOKUP(B772,BD_CONTROL!$A$5:$M$4235,13,0),"")</f>
        <v>0</v>
      </c>
    </row>
    <row r="773" spans="1:13" ht="15" customHeight="1">
      <c r="A773" s="42">
        <v>768</v>
      </c>
      <c r="B773" s="42" t="s">
        <v>6288</v>
      </c>
      <c r="C773" s="43" t="s">
        <v>254</v>
      </c>
      <c r="D773" s="42" t="s">
        <v>5640</v>
      </c>
      <c r="E773" s="43" t="s">
        <v>6287</v>
      </c>
      <c r="F773" s="43" t="s">
        <v>6289</v>
      </c>
      <c r="G773" s="42" t="s">
        <v>109</v>
      </c>
      <c r="H773" s="43" t="s">
        <v>3449</v>
      </c>
      <c r="I773" s="43" t="s">
        <v>104</v>
      </c>
      <c r="J773" s="55"/>
      <c r="K773" s="119" t="str">
        <f>IFERROR(VLOOKUP(B773,BD_CONTROL!$A$5:$M$4235,11,0),"")</f>
        <v>Instalado - Operando</v>
      </c>
      <c r="L773" s="120">
        <f>IFERROR(VLOOKUP(B773,BD_CONTROL!$A$5:$M$4235,12,0),"")</f>
        <v>46147</v>
      </c>
      <c r="M773" s="121">
        <f>IFERROR(VLOOKUP(B773,BD_CONTROL!$A$5:$M$4235,13,0),"")</f>
        <v>0</v>
      </c>
    </row>
    <row r="774" spans="1:13" ht="15" customHeight="1">
      <c r="A774" s="39">
        <v>769</v>
      </c>
      <c r="B774" s="39" t="s">
        <v>6290</v>
      </c>
      <c r="C774" s="40" t="s">
        <v>6291</v>
      </c>
      <c r="D774" s="39" t="s">
        <v>5640</v>
      </c>
      <c r="E774" s="40" t="s">
        <v>5641</v>
      </c>
      <c r="F774" s="40" t="s">
        <v>6292</v>
      </c>
      <c r="G774" s="39" t="s">
        <v>109</v>
      </c>
      <c r="H774" s="40" t="s">
        <v>3449</v>
      </c>
      <c r="I774" s="40" t="s">
        <v>104</v>
      </c>
      <c r="J774" s="50"/>
      <c r="K774" s="129" t="str">
        <f>IFERROR(VLOOKUP(B774,BD_CONTROL!$A$5:$M$4235,11,0),"")</f>
        <v>INSTALADO - OPERANDO</v>
      </c>
      <c r="L774" s="117">
        <f>IFERROR(VLOOKUP(B774,BD_CONTROL!$A$5:$M$4235,12,0),"")</f>
        <v>46126</v>
      </c>
      <c r="M774" s="118" t="str">
        <f>IFERROR(VLOOKUP(B774,BD_CONTROL!$A$5:$M$4235,13,0),"")</f>
        <v>Cargado desde DB instalación 23/04/2026</v>
      </c>
    </row>
    <row r="775" spans="1:13" ht="15" customHeight="1">
      <c r="A775" s="42">
        <v>770</v>
      </c>
      <c r="B775" s="42" t="s">
        <v>6293</v>
      </c>
      <c r="C775" s="43" t="s">
        <v>6294</v>
      </c>
      <c r="D775" s="42" t="s">
        <v>5640</v>
      </c>
      <c r="E775" s="43" t="s">
        <v>5892</v>
      </c>
      <c r="F775" s="43" t="s">
        <v>6295</v>
      </c>
      <c r="G775" s="42" t="s">
        <v>109</v>
      </c>
      <c r="H775" s="43" t="s">
        <v>3449</v>
      </c>
      <c r="I775" s="43" t="s">
        <v>104</v>
      </c>
      <c r="J775" s="55"/>
      <c r="K775" s="119" t="str">
        <f>IFERROR(VLOOKUP(B775,BD_CONTROL!$A$5:$M$4235,11,0),"")</f>
        <v>Instalado - Operando</v>
      </c>
      <c r="L775" s="120">
        <f>IFERROR(VLOOKUP(B775,BD_CONTROL!$A$5:$M$4235,12,0),"")</f>
        <v>46147</v>
      </c>
      <c r="M775" s="121">
        <f>IFERROR(VLOOKUP(B775,BD_CONTROL!$A$5:$M$4235,13,0),"")</f>
        <v>0</v>
      </c>
    </row>
    <row r="776" spans="1:13" ht="15" customHeight="1">
      <c r="A776" s="39">
        <v>771</v>
      </c>
      <c r="B776" s="39" t="s">
        <v>6296</v>
      </c>
      <c r="C776" s="40" t="s">
        <v>6297</v>
      </c>
      <c r="D776" s="39" t="s">
        <v>5640</v>
      </c>
      <c r="E776" s="40" t="s">
        <v>5892</v>
      </c>
      <c r="F776" s="40" t="s">
        <v>6298</v>
      </c>
      <c r="G776" s="39" t="s">
        <v>109</v>
      </c>
      <c r="H776" s="40" t="s">
        <v>3449</v>
      </c>
      <c r="I776" s="40" t="s">
        <v>104</v>
      </c>
      <c r="J776" s="50"/>
      <c r="K776" s="116">
        <f>IFERROR(VLOOKUP(B776,BD_CONTROL!$A$5:$M$4235,11,0),"")</f>
        <v>0</v>
      </c>
      <c r="L776" s="117">
        <f>IFERROR(VLOOKUP(B776,BD_CONTROL!$A$5:$M$4235,12,0),"")</f>
        <v>0</v>
      </c>
      <c r="M776" s="118">
        <f>IFERROR(VLOOKUP(B776,BD_CONTROL!$A$5:$M$4235,13,0),"")</f>
        <v>0</v>
      </c>
    </row>
    <row r="777" spans="1:13" ht="15" customHeight="1">
      <c r="A777" s="42">
        <v>772</v>
      </c>
      <c r="B777" s="42" t="s">
        <v>6299</v>
      </c>
      <c r="C777" s="43" t="s">
        <v>2787</v>
      </c>
      <c r="D777" s="42" t="s">
        <v>5640</v>
      </c>
      <c r="E777" s="43" t="s">
        <v>5654</v>
      </c>
      <c r="F777" s="43" t="s">
        <v>6300</v>
      </c>
      <c r="G777" s="42" t="s">
        <v>109</v>
      </c>
      <c r="H777" s="43" t="s">
        <v>3449</v>
      </c>
      <c r="I777" s="43" t="s">
        <v>104</v>
      </c>
      <c r="J777" s="55"/>
      <c r="K777" s="119" t="str">
        <f>IFERROR(VLOOKUP(B777,BD_CONTROL!$A$5:$M$4235,11,0),"")</f>
        <v>Instalado - Operando</v>
      </c>
      <c r="L777" s="120">
        <f>IFERROR(VLOOKUP(B777,BD_CONTROL!$A$5:$M$4235,12,0),"")</f>
        <v>46153</v>
      </c>
      <c r="M777" s="121">
        <f>IFERROR(VLOOKUP(B777,BD_CONTROL!$A$5:$M$4235,13,0),"")</f>
        <v>0</v>
      </c>
    </row>
    <row r="778" spans="1:13" ht="15" customHeight="1">
      <c r="A778" s="39">
        <v>773</v>
      </c>
      <c r="B778" s="39" t="s">
        <v>6301</v>
      </c>
      <c r="C778" s="40" t="s">
        <v>6302</v>
      </c>
      <c r="D778" s="39" t="s">
        <v>5640</v>
      </c>
      <c r="E778" s="40" t="s">
        <v>5938</v>
      </c>
      <c r="F778" s="40" t="s">
        <v>6303</v>
      </c>
      <c r="G778" s="39" t="s">
        <v>109</v>
      </c>
      <c r="H778" s="40" t="s">
        <v>3449</v>
      </c>
      <c r="I778" s="40" t="s">
        <v>104</v>
      </c>
      <c r="J778" s="50"/>
      <c r="K778" s="116" t="str">
        <f>IFERROR(VLOOKUP(B778,BD_CONTROL!$A$5:$M$4235,11,0),"")</f>
        <v>Instalado - Operando</v>
      </c>
      <c r="L778" s="117">
        <f>IFERROR(VLOOKUP(B778,BD_CONTROL!$A$5:$M$4235,12,0),"")</f>
        <v>46142</v>
      </c>
      <c r="M778" s="118">
        <f>IFERROR(VLOOKUP(B778,BD_CONTROL!$A$5:$M$4235,13,0),"")</f>
        <v>0</v>
      </c>
    </row>
    <row r="779" spans="1:13" ht="15" customHeight="1">
      <c r="A779" s="42">
        <v>774</v>
      </c>
      <c r="B779" s="42" t="s">
        <v>6304</v>
      </c>
      <c r="C779" s="43" t="s">
        <v>6305</v>
      </c>
      <c r="D779" s="42" t="s">
        <v>5640</v>
      </c>
      <c r="E779" s="43" t="s">
        <v>5683</v>
      </c>
      <c r="F779" s="43" t="s">
        <v>5683</v>
      </c>
      <c r="G779" s="42" t="s">
        <v>102</v>
      </c>
      <c r="H779" s="43" t="s">
        <v>3449</v>
      </c>
      <c r="I779" s="43" t="s">
        <v>104</v>
      </c>
      <c r="J779" s="55"/>
      <c r="K779" s="129" t="str">
        <f>IFERROR(VLOOKUP(B779,BD_CONTROL!$A$5:$M$4235,11,0),"")</f>
        <v>INSTALADO - OPERANDO</v>
      </c>
      <c r="L779" s="120">
        <f>IFERROR(VLOOKUP(B779,BD_CONTROL!$A$5:$M$4235,12,0),"")</f>
        <v>46128</v>
      </c>
      <c r="M779" s="121" t="str">
        <f>IFERROR(VLOOKUP(B779,BD_CONTROL!$A$5:$M$4235,13,0),"")</f>
        <v>Cargado desde DB instalación 23/04/2026</v>
      </c>
    </row>
    <row r="780" spans="1:13" ht="15" customHeight="1">
      <c r="A780" s="39">
        <v>775</v>
      </c>
      <c r="B780" s="39" t="s">
        <v>6306</v>
      </c>
      <c r="C780" s="40" t="s">
        <v>6307</v>
      </c>
      <c r="D780" s="39" t="s">
        <v>5640</v>
      </c>
      <c r="E780" s="40" t="s">
        <v>6307</v>
      </c>
      <c r="F780" s="40" t="s">
        <v>6308</v>
      </c>
      <c r="G780" s="39" t="s">
        <v>109</v>
      </c>
      <c r="H780" s="40" t="s">
        <v>3449</v>
      </c>
      <c r="I780" s="40" t="s">
        <v>104</v>
      </c>
      <c r="J780" s="50"/>
      <c r="K780" s="116">
        <f>IFERROR(VLOOKUP(B780,BD_CONTROL!$A$5:$M$4235,11,0),"")</f>
        <v>0</v>
      </c>
      <c r="L780" s="117">
        <f>IFERROR(VLOOKUP(B780,BD_CONTROL!$A$5:$M$4235,12,0),"")</f>
        <v>0</v>
      </c>
      <c r="M780" s="118">
        <f>IFERROR(VLOOKUP(B780,BD_CONTROL!$A$5:$M$4235,13,0),"")</f>
        <v>0</v>
      </c>
    </row>
    <row r="781" spans="1:13" ht="15" customHeight="1">
      <c r="A781" s="42">
        <v>776</v>
      </c>
      <c r="B781" s="42" t="s">
        <v>6309</v>
      </c>
      <c r="C781" s="43" t="s">
        <v>6310</v>
      </c>
      <c r="D781" s="42" t="s">
        <v>5640</v>
      </c>
      <c r="E781" s="43" t="s">
        <v>5640</v>
      </c>
      <c r="F781" s="43" t="s">
        <v>5640</v>
      </c>
      <c r="G781" s="42" t="s">
        <v>102</v>
      </c>
      <c r="H781" s="43" t="s">
        <v>3449</v>
      </c>
      <c r="I781" s="43" t="s">
        <v>104</v>
      </c>
      <c r="J781" s="55"/>
      <c r="K781" s="130" t="str">
        <f>IFERROR(VLOOKUP(B781,BD_CONTROL!$A$5:$M$4235,11,0),"")</f>
        <v>INSTALADO - SIN SEÑAL</v>
      </c>
      <c r="L781" s="120">
        <f>IFERROR(VLOOKUP(B781,BD_CONTROL!$A$5:$M$4235,12,0),"")</f>
        <v>46105</v>
      </c>
      <c r="M781" s="121" t="str">
        <f>IFERROR(VLOOKUP(B781,BD_CONTROL!$A$5:$M$4235,13,0),"")</f>
        <v>Cargado desde DB instalación 23/04/2026</v>
      </c>
    </row>
    <row r="782" spans="1:13" ht="15" customHeight="1">
      <c r="A782" s="39">
        <v>777</v>
      </c>
      <c r="B782" s="39" t="s">
        <v>6311</v>
      </c>
      <c r="C782" s="40" t="s">
        <v>6312</v>
      </c>
      <c r="D782" s="39" t="s">
        <v>5640</v>
      </c>
      <c r="E782" s="40" t="s">
        <v>5640</v>
      </c>
      <c r="F782" s="40" t="s">
        <v>5647</v>
      </c>
      <c r="G782" s="39" t="s">
        <v>102</v>
      </c>
      <c r="H782" s="40" t="s">
        <v>3449</v>
      </c>
      <c r="I782" s="40" t="s">
        <v>104</v>
      </c>
      <c r="J782" s="50"/>
      <c r="K782" s="129" t="str">
        <f>IFERROR(VLOOKUP(B782,BD_CONTROL!$A$5:$M$4235,11,0),"")</f>
        <v>INSTALADO - OPERANDO</v>
      </c>
      <c r="L782" s="117">
        <f>IFERROR(VLOOKUP(B782,BD_CONTROL!$A$5:$M$4235,12,0),"")</f>
        <v>46129</v>
      </c>
      <c r="M782" s="118" t="str">
        <f>IFERROR(VLOOKUP(B782,BD_CONTROL!$A$5:$M$4235,13,0),"")</f>
        <v>Cargado desde DB instalación 23/04/2026</v>
      </c>
    </row>
    <row r="783" spans="1:13" ht="15" customHeight="1">
      <c r="A783" s="42">
        <v>778</v>
      </c>
      <c r="B783" s="42" t="s">
        <v>6313</v>
      </c>
      <c r="C783" s="43" t="s">
        <v>6314</v>
      </c>
      <c r="D783" s="42" t="s">
        <v>5640</v>
      </c>
      <c r="E783" s="43" t="s">
        <v>5691</v>
      </c>
      <c r="F783" s="43" t="s">
        <v>6315</v>
      </c>
      <c r="G783" s="42" t="s">
        <v>109</v>
      </c>
      <c r="H783" s="43" t="s">
        <v>3449</v>
      </c>
      <c r="I783" s="43" t="s">
        <v>104</v>
      </c>
      <c r="J783" s="55"/>
      <c r="K783" s="129" t="str">
        <f>IFERROR(VLOOKUP(B783,BD_CONTROL!$A$5:$M$4235,11,0),"")</f>
        <v>INSTALADO - OPERANDO</v>
      </c>
      <c r="L783" s="120">
        <f>IFERROR(VLOOKUP(B783,BD_CONTROL!$A$5:$M$4235,12,0),"")</f>
        <v>46129</v>
      </c>
      <c r="M783" s="121" t="str">
        <f>IFERROR(VLOOKUP(B783,BD_CONTROL!$A$5:$M$4235,13,0),"")</f>
        <v>Cargado desde DB instalación 23/04/2026</v>
      </c>
    </row>
    <row r="784" spans="1:13" ht="15" customHeight="1">
      <c r="A784" s="39">
        <v>779</v>
      </c>
      <c r="B784" s="39" t="s">
        <v>6316</v>
      </c>
      <c r="C784" s="40" t="s">
        <v>1323</v>
      </c>
      <c r="D784" s="39" t="s">
        <v>5640</v>
      </c>
      <c r="E784" s="40" t="s">
        <v>6317</v>
      </c>
      <c r="F784" s="40" t="s">
        <v>6318</v>
      </c>
      <c r="G784" s="39" t="s">
        <v>109</v>
      </c>
      <c r="H784" s="40" t="s">
        <v>3449</v>
      </c>
      <c r="I784" s="40" t="s">
        <v>104</v>
      </c>
      <c r="J784" s="50"/>
      <c r="K784" s="129" t="str">
        <f>IFERROR(VLOOKUP(B784,BD_CONTROL!$A$5:$M$4235,11,0),"")</f>
        <v>INSTALADO - OPERANDO</v>
      </c>
      <c r="L784" s="117">
        <f>IFERROR(VLOOKUP(B784,BD_CONTROL!$A$5:$M$4235,12,0),"")</f>
        <v>46132</v>
      </c>
      <c r="M784" s="118" t="str">
        <f>IFERROR(VLOOKUP(B784,BD_CONTROL!$A$5:$M$4235,13,0),"")</f>
        <v>Cargado desde DB instalación 23/04/2026</v>
      </c>
    </row>
    <row r="785" spans="1:13" ht="15" customHeight="1">
      <c r="A785" s="42">
        <v>780</v>
      </c>
      <c r="B785" s="42" t="s">
        <v>6319</v>
      </c>
      <c r="C785" s="43" t="s">
        <v>6320</v>
      </c>
      <c r="D785" s="42" t="s">
        <v>5640</v>
      </c>
      <c r="E785" s="43" t="s">
        <v>5773</v>
      </c>
      <c r="F785" s="43" t="s">
        <v>6321</v>
      </c>
      <c r="G785" s="42" t="s">
        <v>109</v>
      </c>
      <c r="H785" s="43" t="s">
        <v>3449</v>
      </c>
      <c r="I785" s="43" t="s">
        <v>104</v>
      </c>
      <c r="J785" s="55"/>
      <c r="K785" s="129" t="str">
        <f>IFERROR(VLOOKUP(B785,BD_CONTROL!$A$5:$M$4235,11,0),"")</f>
        <v>INSTALADO - OPERANDO</v>
      </c>
      <c r="L785" s="120">
        <f>IFERROR(VLOOKUP(B785,BD_CONTROL!$A$5:$M$4235,12,0),"")</f>
        <v>46128</v>
      </c>
      <c r="M785" s="121" t="str">
        <f>IFERROR(VLOOKUP(B785,BD_CONTROL!$A$5:$M$4235,13,0),"")</f>
        <v>Cargado desde DB instalación 23/04/2026</v>
      </c>
    </row>
    <row r="786" spans="1:13" ht="15" customHeight="1">
      <c r="A786" s="39">
        <v>781</v>
      </c>
      <c r="B786" s="39" t="s">
        <v>6322</v>
      </c>
      <c r="C786" s="40" t="s">
        <v>6323</v>
      </c>
      <c r="D786" s="39" t="s">
        <v>5640</v>
      </c>
      <c r="E786" s="40" t="s">
        <v>5710</v>
      </c>
      <c r="F786" s="40" t="s">
        <v>6324</v>
      </c>
      <c r="G786" s="39" t="s">
        <v>102</v>
      </c>
      <c r="H786" s="40" t="s">
        <v>3449</v>
      </c>
      <c r="I786" s="40" t="s">
        <v>104</v>
      </c>
      <c r="J786" s="50"/>
      <c r="K786" s="116" t="str">
        <f>IFERROR(VLOOKUP(B786,BD_CONTROL!$A$5:$M$4235,11,0),"")</f>
        <v>Instalado - Operando</v>
      </c>
      <c r="L786" s="117">
        <f>IFERROR(VLOOKUP(B786,BD_CONTROL!$A$5:$M$4235,12,0),"")</f>
        <v>46146</v>
      </c>
      <c r="M786" s="118">
        <f>IFERROR(VLOOKUP(B786,BD_CONTROL!$A$5:$M$4235,13,0),"")</f>
        <v>0</v>
      </c>
    </row>
    <row r="787" spans="1:13" ht="15" customHeight="1">
      <c r="A787" s="42">
        <v>782</v>
      </c>
      <c r="B787" s="42" t="s">
        <v>6325</v>
      </c>
      <c r="C787" s="43" t="s">
        <v>5751</v>
      </c>
      <c r="D787" s="42" t="s">
        <v>5640</v>
      </c>
      <c r="E787" s="43" t="s">
        <v>5683</v>
      </c>
      <c r="F787" s="43" t="s">
        <v>6326</v>
      </c>
      <c r="G787" s="42" t="s">
        <v>102</v>
      </c>
      <c r="H787" s="43" t="s">
        <v>3449</v>
      </c>
      <c r="I787" s="43" t="s">
        <v>104</v>
      </c>
      <c r="J787" s="55"/>
      <c r="K787" s="129" t="str">
        <f>IFERROR(VLOOKUP(B787,BD_CONTROL!$A$5:$M$4235,11,0),"")</f>
        <v>INSTALADO - OPERANDO</v>
      </c>
      <c r="L787" s="120">
        <f>IFERROR(VLOOKUP(B787,BD_CONTROL!$A$5:$M$4235,12,0),"")</f>
        <v>46126</v>
      </c>
      <c r="M787" s="121" t="str">
        <f>IFERROR(VLOOKUP(B787,BD_CONTROL!$A$5:$M$4235,13,0),"")</f>
        <v>Cargado desde DB instalación 23/04/2026</v>
      </c>
    </row>
    <row r="788" spans="1:13" ht="15" customHeight="1">
      <c r="A788" s="39">
        <v>783</v>
      </c>
      <c r="B788" s="39" t="s">
        <v>6327</v>
      </c>
      <c r="C788" s="40" t="s">
        <v>6328</v>
      </c>
      <c r="D788" s="39" t="s">
        <v>5640</v>
      </c>
      <c r="E788" s="40" t="s">
        <v>3018</v>
      </c>
      <c r="F788" s="40" t="s">
        <v>5822</v>
      </c>
      <c r="G788" s="39" t="s">
        <v>109</v>
      </c>
      <c r="H788" s="40" t="s">
        <v>3449</v>
      </c>
      <c r="I788" s="40" t="s">
        <v>104</v>
      </c>
      <c r="J788" s="50"/>
      <c r="K788" s="130" t="str">
        <f>IFERROR(VLOOKUP(B788,BD_CONTROL!$A$5:$M$4235,11,0),"")</f>
        <v>Instalado - Sin Señal</v>
      </c>
      <c r="L788" s="117">
        <f>IFERROR(VLOOKUP(B788,BD_CONTROL!$A$5:$M$4235,12,0),"")</f>
        <v>46136</v>
      </c>
      <c r="M788" s="118">
        <f>IFERROR(VLOOKUP(B788,BD_CONTROL!$A$5:$M$4235,13,0),"")</f>
        <v>0</v>
      </c>
    </row>
    <row r="789" spans="1:13" ht="15" customHeight="1">
      <c r="A789" s="42">
        <v>784</v>
      </c>
      <c r="B789" s="42" t="s">
        <v>6329</v>
      </c>
      <c r="C789" s="43" t="s">
        <v>6330</v>
      </c>
      <c r="D789" s="42" t="s">
        <v>5640</v>
      </c>
      <c r="E789" s="43" t="s">
        <v>5673</v>
      </c>
      <c r="F789" s="43" t="s">
        <v>6331</v>
      </c>
      <c r="G789" s="42" t="s">
        <v>109</v>
      </c>
      <c r="H789" s="43" t="s">
        <v>3449</v>
      </c>
      <c r="I789" s="43" t="s">
        <v>104</v>
      </c>
      <c r="J789" s="55"/>
      <c r="K789" s="129" t="str">
        <f>IFERROR(VLOOKUP(B789,BD_CONTROL!$A$5:$M$4235,11,0),"")</f>
        <v>INSTALADO - OPERANDO</v>
      </c>
      <c r="L789" s="120">
        <f>IFERROR(VLOOKUP(B789,BD_CONTROL!$A$5:$M$4235,12,0),"")</f>
        <v>46129</v>
      </c>
      <c r="M789" s="121" t="str">
        <f>IFERROR(VLOOKUP(B789,BD_CONTROL!$A$5:$M$4235,13,0),"")</f>
        <v>Cargado desde DB instalación 23/04/2026</v>
      </c>
    </row>
    <row r="790" spans="1:13" ht="15" customHeight="1">
      <c r="A790" s="39">
        <v>785</v>
      </c>
      <c r="B790" s="39" t="s">
        <v>6332</v>
      </c>
      <c r="C790" s="40" t="s">
        <v>5555</v>
      </c>
      <c r="D790" s="39" t="s">
        <v>5640</v>
      </c>
      <c r="E790" s="40" t="s">
        <v>5757</v>
      </c>
      <c r="F790" s="40" t="s">
        <v>6333</v>
      </c>
      <c r="G790" s="39" t="s">
        <v>109</v>
      </c>
      <c r="H790" s="40" t="s">
        <v>3449</v>
      </c>
      <c r="I790" s="40" t="s">
        <v>104</v>
      </c>
      <c r="J790" s="50"/>
      <c r="K790" s="116">
        <f>IFERROR(VLOOKUP(B790,BD_CONTROL!$A$5:$M$4235,11,0),"")</f>
        <v>0</v>
      </c>
      <c r="L790" s="117">
        <f>IFERROR(VLOOKUP(B790,BD_CONTROL!$A$5:$M$4235,12,0),"")</f>
        <v>0</v>
      </c>
      <c r="M790" s="118">
        <f>IFERROR(VLOOKUP(B790,BD_CONTROL!$A$5:$M$4235,13,0),"")</f>
        <v>0</v>
      </c>
    </row>
    <row r="791" spans="1:13" ht="15" customHeight="1">
      <c r="A791" s="42">
        <v>786</v>
      </c>
      <c r="B791" s="42" t="s">
        <v>6334</v>
      </c>
      <c r="C791" s="43" t="s">
        <v>6335</v>
      </c>
      <c r="D791" s="42" t="s">
        <v>5640</v>
      </c>
      <c r="E791" s="43" t="s">
        <v>5710</v>
      </c>
      <c r="F791" s="43" t="s">
        <v>5650</v>
      </c>
      <c r="G791" s="42" t="s">
        <v>109</v>
      </c>
      <c r="H791" s="43" t="s">
        <v>3449</v>
      </c>
      <c r="I791" s="43" t="s">
        <v>104</v>
      </c>
      <c r="J791" s="55"/>
      <c r="K791" s="119" t="str">
        <f>IFERROR(VLOOKUP(B791,BD_CONTROL!$A$5:$M$4235,11,0),"")</f>
        <v>Instalado - Operando</v>
      </c>
      <c r="L791" s="120">
        <f>IFERROR(VLOOKUP(B791,BD_CONTROL!$A$5:$M$4235,12,0),"")</f>
        <v>46146</v>
      </c>
      <c r="M791" s="121">
        <f>IFERROR(VLOOKUP(B791,BD_CONTROL!$A$5:$M$4235,13,0),"")</f>
        <v>0</v>
      </c>
    </row>
    <row r="792" spans="1:13" ht="15" customHeight="1">
      <c r="A792" s="39">
        <v>787</v>
      </c>
      <c r="B792" s="39" t="s">
        <v>6336</v>
      </c>
      <c r="C792" s="40" t="s">
        <v>6337</v>
      </c>
      <c r="D792" s="39" t="s">
        <v>5640</v>
      </c>
      <c r="E792" s="40" t="s">
        <v>5773</v>
      </c>
      <c r="F792" s="40" t="s">
        <v>6338</v>
      </c>
      <c r="G792" s="39" t="s">
        <v>109</v>
      </c>
      <c r="H792" s="40" t="s">
        <v>3449</v>
      </c>
      <c r="I792" s="40" t="s">
        <v>104</v>
      </c>
      <c r="J792" s="50"/>
      <c r="K792" s="131" t="str">
        <f>IFERROR(VLOOKUP(B792,BD_CONTROL!$A$5:$M$4235,11,0),"")</f>
        <v>VISITADO</v>
      </c>
      <c r="L792" s="117">
        <f>IFERROR(VLOOKUP(B792,BD_CONTROL!$A$5:$M$4235,12,0),"")</f>
        <v>46133</v>
      </c>
      <c r="M792" s="118" t="str">
        <f>IFERROR(VLOOKUP(B792,BD_CONTROL!$A$5:$M$4235,13,0),"")</f>
        <v>Cargado desde DB instalación 23/04/2026</v>
      </c>
    </row>
    <row r="793" spans="1:13" ht="15" customHeight="1">
      <c r="A793" s="42">
        <v>788</v>
      </c>
      <c r="B793" s="42" t="s">
        <v>6339</v>
      </c>
      <c r="C793" s="43" t="s">
        <v>6340</v>
      </c>
      <c r="D793" s="42" t="s">
        <v>5640</v>
      </c>
      <c r="E793" s="43" t="s">
        <v>6341</v>
      </c>
      <c r="F793" s="43" t="s">
        <v>6342</v>
      </c>
      <c r="G793" s="42" t="s">
        <v>109</v>
      </c>
      <c r="H793" s="43" t="s">
        <v>3449</v>
      </c>
      <c r="I793" s="43" t="s">
        <v>104</v>
      </c>
      <c r="J793" s="55"/>
      <c r="K793" s="119" t="str">
        <f>IFERROR(VLOOKUP(B793,BD_CONTROL!$A$5:$M$4235,11,0),"")</f>
        <v>Instalado - Operando</v>
      </c>
      <c r="L793" s="120">
        <f>IFERROR(VLOOKUP(B793,BD_CONTROL!$A$5:$M$4235,12,0),"")</f>
        <v>46153</v>
      </c>
      <c r="M793" s="121">
        <f>IFERROR(VLOOKUP(B793,BD_CONTROL!$A$5:$M$4235,13,0),"")</f>
        <v>0</v>
      </c>
    </row>
    <row r="794" spans="1:13" ht="15" customHeight="1">
      <c r="A794" s="39">
        <v>789</v>
      </c>
      <c r="B794" s="39" t="s">
        <v>6343</v>
      </c>
      <c r="C794" s="40" t="s">
        <v>6344</v>
      </c>
      <c r="D794" s="39" t="s">
        <v>5640</v>
      </c>
      <c r="E794" s="40" t="s">
        <v>5661</v>
      </c>
      <c r="F794" s="40" t="s">
        <v>6345</v>
      </c>
      <c r="G794" s="39" t="s">
        <v>102</v>
      </c>
      <c r="H794" s="40" t="s">
        <v>3449</v>
      </c>
      <c r="I794" s="40" t="s">
        <v>104</v>
      </c>
      <c r="J794" s="50"/>
      <c r="K794" s="116">
        <f>IFERROR(VLOOKUP(B794,BD_CONTROL!$A$5:$M$4235,11,0),"")</f>
        <v>0</v>
      </c>
      <c r="L794" s="117">
        <f>IFERROR(VLOOKUP(B794,BD_CONTROL!$A$5:$M$4235,12,0),"")</f>
        <v>0</v>
      </c>
      <c r="M794" s="118">
        <f>IFERROR(VLOOKUP(B794,BD_CONTROL!$A$5:$M$4235,13,0),"")</f>
        <v>0</v>
      </c>
    </row>
    <row r="795" spans="1:13" ht="15" customHeight="1">
      <c r="A795" s="42">
        <v>790</v>
      </c>
      <c r="B795" s="42" t="s">
        <v>6346</v>
      </c>
      <c r="C795" s="43" t="s">
        <v>1354</v>
      </c>
      <c r="D795" s="42" t="s">
        <v>5640</v>
      </c>
      <c r="E795" s="43" t="s">
        <v>5717</v>
      </c>
      <c r="F795" s="43" t="s">
        <v>6347</v>
      </c>
      <c r="G795" s="42" t="s">
        <v>109</v>
      </c>
      <c r="H795" s="43" t="s">
        <v>3449</v>
      </c>
      <c r="I795" s="43" t="s">
        <v>104</v>
      </c>
      <c r="J795" s="55"/>
      <c r="K795" s="129" t="str">
        <f>IFERROR(VLOOKUP(B795,BD_CONTROL!$A$5:$M$4235,11,0),"")</f>
        <v>INSTALADO - OPERANDO</v>
      </c>
      <c r="L795" s="120">
        <f>IFERROR(VLOOKUP(B795,BD_CONTROL!$A$5:$M$4235,12,0),"")</f>
        <v>46107</v>
      </c>
      <c r="M795" s="121" t="str">
        <f>IFERROR(VLOOKUP(B795,BD_CONTROL!$A$5:$M$4235,13,0),"")</f>
        <v>Cargado desde DB instalación 23/04/2026</v>
      </c>
    </row>
    <row r="796" spans="1:13" ht="15" customHeight="1">
      <c r="A796" s="39">
        <v>791</v>
      </c>
      <c r="B796" s="39" t="s">
        <v>6348</v>
      </c>
      <c r="C796" s="40" t="s">
        <v>3480</v>
      </c>
      <c r="D796" s="39" t="s">
        <v>5640</v>
      </c>
      <c r="E796" s="40" t="s">
        <v>6270</v>
      </c>
      <c r="F796" s="40" t="s">
        <v>6349</v>
      </c>
      <c r="G796" s="39" t="s">
        <v>109</v>
      </c>
      <c r="H796" s="40" t="s">
        <v>3449</v>
      </c>
      <c r="I796" s="40" t="s">
        <v>104</v>
      </c>
      <c r="J796" s="50"/>
      <c r="K796" s="130" t="str">
        <f>IFERROR(VLOOKUP(B796,BD_CONTROL!$A$5:$M$4235,11,0),"")</f>
        <v>Instalado - Sin Señal</v>
      </c>
      <c r="L796" s="117">
        <f>IFERROR(VLOOKUP(B796,BD_CONTROL!$A$5:$M$4235,12,0),"")</f>
        <v>46139</v>
      </c>
      <c r="M796" s="118">
        <f>IFERROR(VLOOKUP(B796,BD_CONTROL!$A$5:$M$4235,13,0),"")</f>
        <v>0</v>
      </c>
    </row>
    <row r="797" spans="1:13" ht="15" customHeight="1">
      <c r="A797" s="42">
        <v>792</v>
      </c>
      <c r="B797" s="42" t="s">
        <v>6350</v>
      </c>
      <c r="C797" s="43" t="s">
        <v>752</v>
      </c>
      <c r="D797" s="42" t="s">
        <v>5640</v>
      </c>
      <c r="E797" s="43" t="s">
        <v>5770</v>
      </c>
      <c r="F797" s="43" t="s">
        <v>6351</v>
      </c>
      <c r="G797" s="42" t="s">
        <v>109</v>
      </c>
      <c r="H797" s="43" t="s">
        <v>3449</v>
      </c>
      <c r="I797" s="43" t="s">
        <v>104</v>
      </c>
      <c r="J797" s="55"/>
      <c r="K797" s="129" t="str">
        <f>IFERROR(VLOOKUP(B797,BD_CONTROL!$A$5:$M$4235,11,0),"")</f>
        <v>INSTALADO - OPERANDO</v>
      </c>
      <c r="L797" s="120">
        <f>IFERROR(VLOOKUP(B797,BD_CONTROL!$A$5:$M$4235,12,0),"")</f>
        <v>46134</v>
      </c>
      <c r="M797" s="121" t="str">
        <f>IFERROR(VLOOKUP(B797,BD_CONTROL!$A$5:$M$4235,13,0),"")</f>
        <v>Cargado desde DB instalación 23/04/2026</v>
      </c>
    </row>
    <row r="798" spans="1:13" ht="15" customHeight="1">
      <c r="A798" s="39">
        <v>793</v>
      </c>
      <c r="B798" s="39" t="s">
        <v>6352</v>
      </c>
      <c r="C798" s="40" t="s">
        <v>6128</v>
      </c>
      <c r="D798" s="39" t="s">
        <v>5640</v>
      </c>
      <c r="E798" s="40" t="s">
        <v>5640</v>
      </c>
      <c r="F798" s="40" t="s">
        <v>6353</v>
      </c>
      <c r="G798" s="39" t="s">
        <v>102</v>
      </c>
      <c r="H798" s="40" t="s">
        <v>3449</v>
      </c>
      <c r="I798" s="40" t="s">
        <v>104</v>
      </c>
      <c r="J798" s="50"/>
      <c r="K798" s="129" t="str">
        <f>IFERROR(VLOOKUP(B798,BD_CONTROL!$A$5:$M$4235,11,0),"")</f>
        <v>INSTALADO - OPERANDO</v>
      </c>
      <c r="L798" s="117">
        <f>IFERROR(VLOOKUP(B798,BD_CONTROL!$A$5:$M$4235,12,0),"")</f>
        <v>46125</v>
      </c>
      <c r="M798" s="118" t="str">
        <f>IFERROR(VLOOKUP(B798,BD_CONTROL!$A$5:$M$4235,13,0),"")</f>
        <v>Cargado desde DB instalación 23/04/2026</v>
      </c>
    </row>
    <row r="799" spans="1:13" ht="15" customHeight="1">
      <c r="A799" s="42">
        <v>794</v>
      </c>
      <c r="B799" s="42" t="s">
        <v>6354</v>
      </c>
      <c r="C799" s="43" t="s">
        <v>4568</v>
      </c>
      <c r="D799" s="42" t="s">
        <v>5640</v>
      </c>
      <c r="E799" s="43" t="s">
        <v>6355</v>
      </c>
      <c r="F799" s="43" t="s">
        <v>6356</v>
      </c>
      <c r="G799" s="42" t="s">
        <v>109</v>
      </c>
      <c r="H799" s="43" t="s">
        <v>3449</v>
      </c>
      <c r="I799" s="43" t="s">
        <v>104</v>
      </c>
      <c r="J799" s="55"/>
      <c r="K799" s="119">
        <f>IFERROR(VLOOKUP(B799,BD_CONTROL!$A$5:$M$4235,11,0),"")</f>
        <v>0</v>
      </c>
      <c r="L799" s="120">
        <f>IFERROR(VLOOKUP(B799,BD_CONTROL!$A$5:$M$4235,12,0),"")</f>
        <v>0</v>
      </c>
      <c r="M799" s="121">
        <f>IFERROR(VLOOKUP(B799,BD_CONTROL!$A$5:$M$4235,13,0),"")</f>
        <v>0</v>
      </c>
    </row>
    <row r="800" spans="1:13" ht="15" customHeight="1">
      <c r="A800" s="39">
        <v>795</v>
      </c>
      <c r="B800" s="39" t="s">
        <v>6357</v>
      </c>
      <c r="C800" s="40" t="s">
        <v>6358</v>
      </c>
      <c r="D800" s="39" t="s">
        <v>5640</v>
      </c>
      <c r="E800" s="40" t="s">
        <v>6359</v>
      </c>
      <c r="F800" s="40" t="s">
        <v>6360</v>
      </c>
      <c r="G800" s="39" t="s">
        <v>109</v>
      </c>
      <c r="H800" s="40" t="s">
        <v>3449</v>
      </c>
      <c r="I800" s="40" t="s">
        <v>104</v>
      </c>
      <c r="J800" s="50"/>
      <c r="K800" s="116" t="str">
        <f>IFERROR(VLOOKUP(B800,BD_CONTROL!$A$5:$M$4235,11,0),"")</f>
        <v>Instalado - Operando</v>
      </c>
      <c r="L800" s="117">
        <f>IFERROR(VLOOKUP(B800,BD_CONTROL!$A$5:$M$4235,12,0),"")</f>
        <v>46140</v>
      </c>
      <c r="M800" s="118">
        <f>IFERROR(VLOOKUP(B800,BD_CONTROL!$A$5:$M$4235,13,0),"")</f>
        <v>0</v>
      </c>
    </row>
    <row r="801" spans="1:13" ht="15" customHeight="1">
      <c r="A801" s="42">
        <v>796</v>
      </c>
      <c r="B801" s="42" t="s">
        <v>6361</v>
      </c>
      <c r="C801" s="43" t="s">
        <v>348</v>
      </c>
      <c r="D801" s="42" t="s">
        <v>5640</v>
      </c>
      <c r="E801" s="43" t="s">
        <v>5938</v>
      </c>
      <c r="F801" s="43" t="s">
        <v>5939</v>
      </c>
      <c r="G801" s="42" t="s">
        <v>109</v>
      </c>
      <c r="H801" s="43" t="s">
        <v>3449</v>
      </c>
      <c r="I801" s="43" t="s">
        <v>104</v>
      </c>
      <c r="J801" s="55"/>
      <c r="K801" s="129" t="str">
        <f>IFERROR(VLOOKUP(B801,BD_CONTROL!$A$5:$M$4235,11,0),"")</f>
        <v>INSTALADO - OPERANDO</v>
      </c>
      <c r="L801" s="120">
        <f>IFERROR(VLOOKUP(B801,BD_CONTROL!$A$5:$M$4235,12,0),"")</f>
        <v>46125</v>
      </c>
      <c r="M801" s="121" t="str">
        <f>IFERROR(VLOOKUP(B801,BD_CONTROL!$A$5:$M$4235,13,0),"")</f>
        <v>Cargado desde DB instalación 23/04/2026</v>
      </c>
    </row>
    <row r="802" spans="1:13" ht="15" customHeight="1">
      <c r="A802" s="39">
        <v>797</v>
      </c>
      <c r="B802" s="39" t="s">
        <v>6362</v>
      </c>
      <c r="C802" s="40" t="s">
        <v>2256</v>
      </c>
      <c r="D802" s="39" t="s">
        <v>5640</v>
      </c>
      <c r="E802" s="40" t="s">
        <v>5640</v>
      </c>
      <c r="F802" s="40" t="s">
        <v>5647</v>
      </c>
      <c r="G802" s="39" t="s">
        <v>102</v>
      </c>
      <c r="H802" s="40" t="s">
        <v>3449</v>
      </c>
      <c r="I802" s="40" t="s">
        <v>104</v>
      </c>
      <c r="J802" s="50"/>
      <c r="K802" s="116" t="str">
        <f>IFERROR(VLOOKUP(B802,BD_CONTROL!$A$5:$M$4235,11,0),"")</f>
        <v>Instalado - Operando</v>
      </c>
      <c r="L802" s="117">
        <f>IFERROR(VLOOKUP(B802,BD_CONTROL!$A$5:$M$4235,12,0),"")</f>
        <v>46140</v>
      </c>
      <c r="M802" s="118">
        <f>IFERROR(VLOOKUP(B802,BD_CONTROL!$A$5:$M$4235,13,0),"")</f>
        <v>0</v>
      </c>
    </row>
    <row r="803" spans="1:13" ht="15" customHeight="1">
      <c r="A803" s="42">
        <v>798</v>
      </c>
      <c r="B803" s="42" t="s">
        <v>6363</v>
      </c>
      <c r="C803" s="43" t="s">
        <v>6364</v>
      </c>
      <c r="D803" s="42" t="s">
        <v>5640</v>
      </c>
      <c r="E803" s="43" t="s">
        <v>5773</v>
      </c>
      <c r="F803" s="43" t="s">
        <v>6365</v>
      </c>
      <c r="G803" s="42" t="s">
        <v>109</v>
      </c>
      <c r="H803" s="43" t="s">
        <v>3449</v>
      </c>
      <c r="I803" s="43" t="s">
        <v>104</v>
      </c>
      <c r="J803" s="55"/>
      <c r="K803" s="129" t="str">
        <f>IFERROR(VLOOKUP(B803,BD_CONTROL!$A$5:$M$4235,11,0),"")</f>
        <v>INSTALADO - OPERANDO</v>
      </c>
      <c r="L803" s="120">
        <f>IFERROR(VLOOKUP(B803,BD_CONTROL!$A$5:$M$4235,12,0),"")</f>
        <v>46127</v>
      </c>
      <c r="M803" s="121" t="str">
        <f>IFERROR(VLOOKUP(B803,BD_CONTROL!$A$5:$M$4235,13,0),"")</f>
        <v>Cargado desde DB instalación 23/04/2026</v>
      </c>
    </row>
    <row r="804" spans="1:13" ht="15" customHeight="1">
      <c r="A804" s="39">
        <v>799</v>
      </c>
      <c r="B804" s="39" t="s">
        <v>6366</v>
      </c>
      <c r="C804" s="40" t="s">
        <v>5751</v>
      </c>
      <c r="D804" s="39" t="s">
        <v>5640</v>
      </c>
      <c r="E804" s="40" t="s">
        <v>4099</v>
      </c>
      <c r="F804" s="40" t="s">
        <v>6367</v>
      </c>
      <c r="G804" s="39" t="s">
        <v>102</v>
      </c>
      <c r="H804" s="40" t="s">
        <v>3449</v>
      </c>
      <c r="I804" s="40" t="s">
        <v>104</v>
      </c>
      <c r="J804" s="50"/>
      <c r="K804" s="129" t="str">
        <f>IFERROR(VLOOKUP(B804,BD_CONTROL!$A$5:$M$4235,11,0),"")</f>
        <v>INSTALADO - OPERANDO</v>
      </c>
      <c r="L804" s="117">
        <f>IFERROR(VLOOKUP(B804,BD_CONTROL!$A$5:$M$4235,12,0),"")</f>
        <v>46134</v>
      </c>
      <c r="M804" s="118" t="str">
        <f>IFERROR(VLOOKUP(B804,BD_CONTROL!$A$5:$M$4235,13,0),"")</f>
        <v>Cargado desde DB instalación 23/04/2026</v>
      </c>
    </row>
    <row r="805" spans="1:13" ht="15" customHeight="1">
      <c r="A805" s="42">
        <v>800</v>
      </c>
      <c r="B805" s="42" t="s">
        <v>6368</v>
      </c>
      <c r="C805" s="43" t="s">
        <v>2787</v>
      </c>
      <c r="D805" s="42" t="s">
        <v>5640</v>
      </c>
      <c r="E805" s="43" t="s">
        <v>5853</v>
      </c>
      <c r="F805" s="43" t="s">
        <v>6369</v>
      </c>
      <c r="G805" s="42" t="s">
        <v>109</v>
      </c>
      <c r="H805" s="43" t="s">
        <v>3449</v>
      </c>
      <c r="I805" s="43" t="s">
        <v>104</v>
      </c>
      <c r="J805" s="55"/>
      <c r="K805" s="119" t="str">
        <f>IFERROR(VLOOKUP(B805,BD_CONTROL!$A$5:$M$4235,11,0),"")</f>
        <v>Instalado - Sin Señal</v>
      </c>
      <c r="L805" s="120">
        <f>IFERROR(VLOOKUP(B805,BD_CONTROL!$A$5:$M$4235,12,0),"")</f>
        <v>46148</v>
      </c>
      <c r="M805" s="121" t="str">
        <f>IFERROR(VLOOKUP(B805,BD_CONTROL!$A$5:$M$4235,13,0),"")</f>
        <v>Instalado, no operando, con reporte a mesa de ayuda</v>
      </c>
    </row>
    <row r="806" spans="1:13" ht="15" customHeight="1">
      <c r="A806" s="39">
        <v>801</v>
      </c>
      <c r="B806" s="39" t="s">
        <v>6370</v>
      </c>
      <c r="C806" s="40" t="s">
        <v>1086</v>
      </c>
      <c r="D806" s="39" t="s">
        <v>5640</v>
      </c>
      <c r="E806" s="40" t="s">
        <v>5773</v>
      </c>
      <c r="F806" s="40" t="s">
        <v>6371</v>
      </c>
      <c r="G806" s="39" t="s">
        <v>109</v>
      </c>
      <c r="H806" s="40" t="s">
        <v>3449</v>
      </c>
      <c r="I806" s="40" t="s">
        <v>104</v>
      </c>
      <c r="J806" s="50"/>
      <c r="K806" s="129" t="str">
        <f>IFERROR(VLOOKUP(B806,BD_CONTROL!$A$5:$M$4235,11,0),"")</f>
        <v>INSTALADO - OPERANDO</v>
      </c>
      <c r="L806" s="117">
        <f>IFERROR(VLOOKUP(B806,BD_CONTROL!$A$5:$M$4235,12,0),"")</f>
        <v>46128</v>
      </c>
      <c r="M806" s="118" t="str">
        <f>IFERROR(VLOOKUP(B806,BD_CONTROL!$A$5:$M$4235,13,0),"")</f>
        <v>Cargado desde DB instalación 23/04/2026</v>
      </c>
    </row>
    <row r="807" spans="1:13" ht="15" customHeight="1">
      <c r="A807" s="42">
        <v>802</v>
      </c>
      <c r="B807" s="42" t="s">
        <v>6372</v>
      </c>
      <c r="C807" s="43" t="s">
        <v>6230</v>
      </c>
      <c r="D807" s="42" t="s">
        <v>5640</v>
      </c>
      <c r="E807" s="43" t="s">
        <v>6279</v>
      </c>
      <c r="F807" s="43" t="s">
        <v>6373</v>
      </c>
      <c r="G807" s="42" t="s">
        <v>109</v>
      </c>
      <c r="H807" s="43" t="s">
        <v>3449</v>
      </c>
      <c r="I807" s="43" t="s">
        <v>104</v>
      </c>
      <c r="J807" s="55"/>
      <c r="K807" s="119">
        <f>IFERROR(VLOOKUP(B807,BD_CONTROL!$A$5:$M$4235,11,0),"")</f>
        <v>0</v>
      </c>
      <c r="L807" s="120">
        <f>IFERROR(VLOOKUP(B807,BD_CONTROL!$A$5:$M$4235,12,0),"")</f>
        <v>0</v>
      </c>
      <c r="M807" s="121">
        <f>IFERROR(VLOOKUP(B807,BD_CONTROL!$A$5:$M$4235,13,0),"")</f>
        <v>0</v>
      </c>
    </row>
    <row r="808" spans="1:13" ht="15" customHeight="1">
      <c r="A808" s="39">
        <v>803</v>
      </c>
      <c r="B808" s="39" t="s">
        <v>6374</v>
      </c>
      <c r="C808" s="40" t="s">
        <v>6375</v>
      </c>
      <c r="D808" s="39" t="s">
        <v>5640</v>
      </c>
      <c r="E808" s="40" t="s">
        <v>6376</v>
      </c>
      <c r="F808" s="40" t="s">
        <v>6377</v>
      </c>
      <c r="G808" s="39" t="s">
        <v>109</v>
      </c>
      <c r="H808" s="40" t="s">
        <v>3449</v>
      </c>
      <c r="I808" s="40" t="s">
        <v>104</v>
      </c>
      <c r="J808" s="50"/>
      <c r="K808" s="130" t="str">
        <f>IFERROR(VLOOKUP(B808,BD_CONTROL!$A$5:$M$4235,11,0),"")</f>
        <v>INSTALADO - SIN SEÑAL</v>
      </c>
      <c r="L808" s="117">
        <f>IFERROR(VLOOKUP(B808,BD_CONTROL!$A$5:$M$4235,12,0),"")</f>
        <v>46129</v>
      </c>
      <c r="M808" s="118" t="str">
        <f>IFERROR(VLOOKUP(B808,BD_CONTROL!$A$5:$M$4235,13,0),"")</f>
        <v>Cargado desde DB instalación 23/04/2026</v>
      </c>
    </row>
    <row r="809" spans="1:13" ht="15" customHeight="1">
      <c r="A809" s="42">
        <v>804</v>
      </c>
      <c r="B809" s="42" t="s">
        <v>6378</v>
      </c>
      <c r="C809" s="43" t="s">
        <v>6379</v>
      </c>
      <c r="D809" s="42" t="s">
        <v>5640</v>
      </c>
      <c r="E809" s="43" t="s">
        <v>5640</v>
      </c>
      <c r="F809" s="43" t="s">
        <v>6380</v>
      </c>
      <c r="G809" s="42" t="s">
        <v>102</v>
      </c>
      <c r="H809" s="43" t="s">
        <v>3449</v>
      </c>
      <c r="I809" s="43" t="s">
        <v>104</v>
      </c>
      <c r="J809" s="55"/>
      <c r="K809" s="119" t="str">
        <f>IFERROR(VLOOKUP(B809,BD_CONTROL!$A$5:$M$4235,11,0),"")</f>
        <v>Instalado - Operando</v>
      </c>
      <c r="L809" s="120">
        <f>IFERROR(VLOOKUP(B809,BD_CONTROL!$A$5:$M$4235,12,0),"")</f>
        <v>46140</v>
      </c>
      <c r="M809" s="121">
        <f>IFERROR(VLOOKUP(B809,BD_CONTROL!$A$5:$M$4235,13,0),"")</f>
        <v>0</v>
      </c>
    </row>
    <row r="810" spans="1:13" ht="15" customHeight="1">
      <c r="A810" s="39">
        <v>805</v>
      </c>
      <c r="B810" s="39" t="s">
        <v>6381</v>
      </c>
      <c r="C810" s="40" t="s">
        <v>6382</v>
      </c>
      <c r="D810" s="39" t="s">
        <v>5640</v>
      </c>
      <c r="E810" s="40" t="s">
        <v>5773</v>
      </c>
      <c r="F810" s="40" t="s">
        <v>5773</v>
      </c>
      <c r="G810" s="39" t="s">
        <v>102</v>
      </c>
      <c r="H810" s="40" t="s">
        <v>3449</v>
      </c>
      <c r="I810" s="40" t="s">
        <v>104</v>
      </c>
      <c r="J810" s="50"/>
      <c r="K810" s="129" t="str">
        <f>IFERROR(VLOOKUP(B810,BD_CONTROL!$A$5:$M$4235,11,0),"")</f>
        <v>INSTALADO - OPERANDO</v>
      </c>
      <c r="L810" s="117">
        <f>IFERROR(VLOOKUP(B810,BD_CONTROL!$A$5:$M$4235,12,0),"")</f>
        <v>46133</v>
      </c>
      <c r="M810" s="118" t="str">
        <f>IFERROR(VLOOKUP(B810,BD_CONTROL!$A$5:$M$4235,13,0),"")</f>
        <v>Cargado desde DB instalación 23/04/2026</v>
      </c>
    </row>
    <row r="811" spans="1:13" ht="15" customHeight="1">
      <c r="A811" s="42">
        <v>806</v>
      </c>
      <c r="B811" s="42" t="s">
        <v>6383</v>
      </c>
      <c r="C811" s="43" t="s">
        <v>6384</v>
      </c>
      <c r="D811" s="42" t="s">
        <v>5640</v>
      </c>
      <c r="E811" s="43" t="s">
        <v>5997</v>
      </c>
      <c r="F811" s="43" t="s">
        <v>6385</v>
      </c>
      <c r="G811" s="42" t="s">
        <v>109</v>
      </c>
      <c r="H811" s="43" t="s">
        <v>3449</v>
      </c>
      <c r="I811" s="43" t="s">
        <v>104</v>
      </c>
      <c r="J811" s="55"/>
      <c r="K811" s="119">
        <f>IFERROR(VLOOKUP(B811,BD_CONTROL!$A$5:$M$4235,11,0),"")</f>
        <v>0</v>
      </c>
      <c r="L811" s="120">
        <f>IFERROR(VLOOKUP(B811,BD_CONTROL!$A$5:$M$4235,12,0),"")</f>
        <v>0</v>
      </c>
      <c r="M811" s="121">
        <f>IFERROR(VLOOKUP(B811,BD_CONTROL!$A$5:$M$4235,13,0),"")</f>
        <v>0</v>
      </c>
    </row>
    <row r="812" spans="1:13" ht="15" customHeight="1">
      <c r="A812" s="39">
        <v>807</v>
      </c>
      <c r="B812" s="39" t="s">
        <v>6386</v>
      </c>
      <c r="C812" s="40" t="s">
        <v>1323</v>
      </c>
      <c r="D812" s="39" t="s">
        <v>5640</v>
      </c>
      <c r="E812" s="40" t="s">
        <v>5691</v>
      </c>
      <c r="F812" s="40" t="s">
        <v>6387</v>
      </c>
      <c r="G812" s="39" t="s">
        <v>109</v>
      </c>
      <c r="H812" s="40" t="s">
        <v>3449</v>
      </c>
      <c r="I812" s="40" t="s">
        <v>104</v>
      </c>
      <c r="J812" s="50"/>
      <c r="K812" s="129" t="str">
        <f>IFERROR(VLOOKUP(B812,BD_CONTROL!$A$5:$M$4235,11,0),"")</f>
        <v>INSTALADO - OPERANDO</v>
      </c>
      <c r="L812" s="117">
        <f>IFERROR(VLOOKUP(B812,BD_CONTROL!$A$5:$M$4235,12,0),"")</f>
        <v>46132</v>
      </c>
      <c r="M812" s="118" t="str">
        <f>IFERROR(VLOOKUP(B812,BD_CONTROL!$A$5:$M$4235,13,0),"")</f>
        <v>Cargado desde DB instalación 23/04/2026</v>
      </c>
    </row>
    <row r="813" spans="1:13" ht="15" customHeight="1">
      <c r="A813" s="42">
        <v>808</v>
      </c>
      <c r="B813" s="42" t="s">
        <v>6388</v>
      </c>
      <c r="C813" s="43" t="s">
        <v>6389</v>
      </c>
      <c r="D813" s="42" t="s">
        <v>5640</v>
      </c>
      <c r="E813" s="43" t="s">
        <v>5700</v>
      </c>
      <c r="F813" s="43" t="s">
        <v>6390</v>
      </c>
      <c r="G813" s="42" t="s">
        <v>109</v>
      </c>
      <c r="H813" s="43" t="s">
        <v>3449</v>
      </c>
      <c r="I813" s="43" t="s">
        <v>104</v>
      </c>
      <c r="J813" s="55"/>
      <c r="K813" s="129" t="str">
        <f>IFERROR(VLOOKUP(B813,BD_CONTROL!$A$5:$M$4235,11,0),"")</f>
        <v>INSTALADO - OPERANDO</v>
      </c>
      <c r="L813" s="120">
        <f>IFERROR(VLOOKUP(B813,BD_CONTROL!$A$5:$M$4235,12,0),"")</f>
        <v>46132</v>
      </c>
      <c r="M813" s="121" t="str">
        <f>IFERROR(VLOOKUP(B813,BD_CONTROL!$A$5:$M$4235,13,0),"")</f>
        <v>Cargado desde DB instalación 23/04/2026</v>
      </c>
    </row>
    <row r="814" spans="1:13" ht="15" customHeight="1">
      <c r="A814" s="39">
        <v>809</v>
      </c>
      <c r="B814" s="39" t="s">
        <v>6391</v>
      </c>
      <c r="C814" s="40" t="s">
        <v>745</v>
      </c>
      <c r="D814" s="39" t="s">
        <v>5640</v>
      </c>
      <c r="E814" s="40" t="s">
        <v>5661</v>
      </c>
      <c r="F814" s="40" t="s">
        <v>6392</v>
      </c>
      <c r="G814" s="39" t="s">
        <v>109</v>
      </c>
      <c r="H814" s="40" t="s">
        <v>3449</v>
      </c>
      <c r="I814" s="40" t="s">
        <v>104</v>
      </c>
      <c r="J814" s="50"/>
      <c r="K814" s="129" t="str">
        <f>IFERROR(VLOOKUP(B814,BD_CONTROL!$A$5:$M$4235,11,0),"")</f>
        <v>INSTALADO - OPERANDO</v>
      </c>
      <c r="L814" s="117">
        <f>IFERROR(VLOOKUP(B814,BD_CONTROL!$A$5:$M$4235,12,0),"")</f>
        <v>46135</v>
      </c>
      <c r="M814" s="118" t="str">
        <f>IFERROR(VLOOKUP(B814,BD_CONTROL!$A$5:$M$4235,13,0),"")</f>
        <v>Cargado desde DB instalación 23/04/2026</v>
      </c>
    </row>
    <row r="815" spans="1:13" ht="15" customHeight="1">
      <c r="A815" s="42">
        <v>810</v>
      </c>
      <c r="B815" s="42" t="s">
        <v>6393</v>
      </c>
      <c r="C815" s="43" t="s">
        <v>6394</v>
      </c>
      <c r="D815" s="42" t="s">
        <v>5640</v>
      </c>
      <c r="E815" s="43" t="s">
        <v>5824</v>
      </c>
      <c r="F815" s="43" t="s">
        <v>1215</v>
      </c>
      <c r="G815" s="42" t="s">
        <v>109</v>
      </c>
      <c r="H815" s="43" t="s">
        <v>3449</v>
      </c>
      <c r="I815" s="43" t="s">
        <v>104</v>
      </c>
      <c r="J815" s="55"/>
      <c r="K815" s="119" t="str">
        <f>IFERROR(VLOOKUP(B815,BD_CONTROL!$A$5:$M$4235,11,0),"")</f>
        <v>Instalado - Operando</v>
      </c>
      <c r="L815" s="120">
        <f>IFERROR(VLOOKUP(B815,BD_CONTROL!$A$5:$M$4235,12,0),"")</f>
        <v>46141</v>
      </c>
      <c r="M815" s="121">
        <f>IFERROR(VLOOKUP(B815,BD_CONTROL!$A$5:$M$4235,13,0),"")</f>
        <v>0</v>
      </c>
    </row>
    <row r="816" spans="1:13" ht="15" customHeight="1">
      <c r="A816" s="39">
        <v>811</v>
      </c>
      <c r="B816" s="39" t="s">
        <v>6395</v>
      </c>
      <c r="C816" s="40" t="s">
        <v>6396</v>
      </c>
      <c r="D816" s="39" t="s">
        <v>5640</v>
      </c>
      <c r="E816" s="40" t="s">
        <v>5640</v>
      </c>
      <c r="F816" s="40" t="s">
        <v>6397</v>
      </c>
      <c r="G816" s="39" t="s">
        <v>102</v>
      </c>
      <c r="H816" s="40" t="s">
        <v>3449</v>
      </c>
      <c r="I816" s="40" t="s">
        <v>104</v>
      </c>
      <c r="J816" s="50"/>
      <c r="K816" s="116">
        <f>IFERROR(VLOOKUP(B816,BD_CONTROL!$A$5:$M$4235,11,0),"")</f>
        <v>0</v>
      </c>
      <c r="L816" s="117">
        <f>IFERROR(VLOOKUP(B816,BD_CONTROL!$A$5:$M$4235,12,0),"")</f>
        <v>0</v>
      </c>
      <c r="M816" s="118">
        <f>IFERROR(VLOOKUP(B816,BD_CONTROL!$A$5:$M$4235,13,0),"")</f>
        <v>0</v>
      </c>
    </row>
    <row r="817" spans="1:13" ht="15" customHeight="1">
      <c r="A817" s="42">
        <v>812</v>
      </c>
      <c r="B817" s="42" t="s">
        <v>6398</v>
      </c>
      <c r="C817" s="43" t="s">
        <v>6399</v>
      </c>
      <c r="D817" s="42" t="s">
        <v>5640</v>
      </c>
      <c r="E817" s="43" t="s">
        <v>5770</v>
      </c>
      <c r="F817" s="43" t="s">
        <v>6400</v>
      </c>
      <c r="G817" s="42" t="s">
        <v>109</v>
      </c>
      <c r="H817" s="43" t="s">
        <v>3449</v>
      </c>
      <c r="I817" s="43" t="s">
        <v>104</v>
      </c>
      <c r="J817" s="55"/>
      <c r="K817" s="129" t="str">
        <f>IFERROR(VLOOKUP(B817,BD_CONTROL!$A$5:$M$4235,11,0),"")</f>
        <v>INSTALADO - OPERANDO</v>
      </c>
      <c r="L817" s="120">
        <f>IFERROR(VLOOKUP(B817,BD_CONTROL!$A$5:$M$4235,12,0),"")</f>
        <v>46134</v>
      </c>
      <c r="M817" s="121" t="str">
        <f>IFERROR(VLOOKUP(B817,BD_CONTROL!$A$5:$M$4235,13,0),"")</f>
        <v>Cargado desde DB instalación 23/04/2026</v>
      </c>
    </row>
    <row r="818" spans="1:13" ht="15" customHeight="1">
      <c r="A818" s="39">
        <v>813</v>
      </c>
      <c r="B818" s="39" t="s">
        <v>6401</v>
      </c>
      <c r="C818" s="40" t="s">
        <v>5830</v>
      </c>
      <c r="D818" s="39" t="s">
        <v>5640</v>
      </c>
      <c r="E818" s="40" t="s">
        <v>5698</v>
      </c>
      <c r="F818" s="40" t="s">
        <v>6402</v>
      </c>
      <c r="G818" s="39" t="s">
        <v>109</v>
      </c>
      <c r="H818" s="40" t="s">
        <v>3449</v>
      </c>
      <c r="I818" s="40" t="s">
        <v>104</v>
      </c>
      <c r="J818" s="50"/>
      <c r="K818" s="116" t="str">
        <f>IFERROR(VLOOKUP(B818,BD_CONTROL!$A$5:$M$4235,11,0),"")</f>
        <v>Instalado - Operando</v>
      </c>
      <c r="L818" s="117">
        <f>IFERROR(VLOOKUP(B818,BD_CONTROL!$A$5:$M$4235,12,0),"")</f>
        <v>46141</v>
      </c>
      <c r="M818" s="118">
        <f>IFERROR(VLOOKUP(B818,BD_CONTROL!$A$5:$M$4235,13,0),"")</f>
        <v>0</v>
      </c>
    </row>
    <row r="819" spans="1:13" ht="15" customHeight="1">
      <c r="A819" s="42">
        <v>814</v>
      </c>
      <c r="B819" s="42" t="s">
        <v>6403</v>
      </c>
      <c r="C819" s="43" t="s">
        <v>725</v>
      </c>
      <c r="D819" s="42" t="s">
        <v>5640</v>
      </c>
      <c r="E819" s="43" t="s">
        <v>5710</v>
      </c>
      <c r="F819" s="43" t="s">
        <v>127</v>
      </c>
      <c r="G819" s="42" t="s">
        <v>109</v>
      </c>
      <c r="H819" s="43" t="s">
        <v>3449</v>
      </c>
      <c r="I819" s="43" t="s">
        <v>104</v>
      </c>
      <c r="J819" s="55"/>
      <c r="K819" s="119" t="str">
        <f>IFERROR(VLOOKUP(B819,BD_CONTROL!$A$5:$M$4235,11,0),"")</f>
        <v>Instalado - Sin Señal</v>
      </c>
      <c r="L819" s="120">
        <f>IFERROR(VLOOKUP(B819,BD_CONTROL!$A$5:$M$4235,12,0),"")</f>
        <v>46150</v>
      </c>
      <c r="M819" s="121" t="str">
        <f>IFERROR(VLOOKUP(B819,BD_CONTROL!$A$5:$M$4235,13,0),"")</f>
        <v>Instalado, no operando, con reporte a mesa de ayuda</v>
      </c>
    </row>
    <row r="820" spans="1:13" ht="15" customHeight="1">
      <c r="A820" s="39">
        <v>815</v>
      </c>
      <c r="B820" s="39" t="s">
        <v>6404</v>
      </c>
      <c r="C820" s="40" t="s">
        <v>254</v>
      </c>
      <c r="D820" s="39" t="s">
        <v>5640</v>
      </c>
      <c r="E820" s="40" t="s">
        <v>6405</v>
      </c>
      <c r="F820" s="40" t="s">
        <v>6406</v>
      </c>
      <c r="G820" s="39" t="s">
        <v>109</v>
      </c>
      <c r="H820" s="40" t="s">
        <v>3449</v>
      </c>
      <c r="I820" s="40" t="s">
        <v>104</v>
      </c>
      <c r="J820" s="50"/>
      <c r="K820" s="116">
        <f>IFERROR(VLOOKUP(B820,BD_CONTROL!$A$5:$M$4235,11,0),"")</f>
        <v>0</v>
      </c>
      <c r="L820" s="117">
        <f>IFERROR(VLOOKUP(B820,BD_CONTROL!$A$5:$M$4235,12,0),"")</f>
        <v>0</v>
      </c>
      <c r="M820" s="118">
        <f>IFERROR(VLOOKUP(B820,BD_CONTROL!$A$5:$M$4235,13,0),"")</f>
        <v>0</v>
      </c>
    </row>
    <row r="821" spans="1:13" ht="15" customHeight="1">
      <c r="A821" s="42">
        <v>816</v>
      </c>
      <c r="B821" s="42" t="s">
        <v>6407</v>
      </c>
      <c r="C821" s="43" t="s">
        <v>725</v>
      </c>
      <c r="D821" s="42" t="s">
        <v>5640</v>
      </c>
      <c r="E821" s="43" t="s">
        <v>6270</v>
      </c>
      <c r="F821" s="43" t="s">
        <v>6408</v>
      </c>
      <c r="G821" s="42" t="s">
        <v>109</v>
      </c>
      <c r="H821" s="43" t="s">
        <v>3449</v>
      </c>
      <c r="I821" s="43" t="s">
        <v>104</v>
      </c>
      <c r="J821" s="55"/>
      <c r="K821" s="129" t="str">
        <f>IFERROR(VLOOKUP(B821,BD_CONTROL!$A$5:$M$4235,11,0),"")</f>
        <v>Instalado - Operando</v>
      </c>
      <c r="L821" s="120">
        <f>IFERROR(VLOOKUP(B821,BD_CONTROL!$A$5:$M$4235,12,0),"")</f>
        <v>46136</v>
      </c>
      <c r="M821" s="121">
        <f>IFERROR(VLOOKUP(B821,BD_CONTROL!$A$5:$M$4235,13,0),"")</f>
        <v>0</v>
      </c>
    </row>
    <row r="822" spans="1:13" ht="15" customHeight="1">
      <c r="A822" s="39">
        <v>817</v>
      </c>
      <c r="B822" s="39" t="s">
        <v>6409</v>
      </c>
      <c r="C822" s="40" t="s">
        <v>1323</v>
      </c>
      <c r="D822" s="39" t="s">
        <v>5640</v>
      </c>
      <c r="E822" s="40" t="s">
        <v>5884</v>
      </c>
      <c r="F822" s="40" t="s">
        <v>5885</v>
      </c>
      <c r="G822" s="39" t="s">
        <v>109</v>
      </c>
      <c r="H822" s="40" t="s">
        <v>3449</v>
      </c>
      <c r="I822" s="40" t="s">
        <v>104</v>
      </c>
      <c r="J822" s="50"/>
      <c r="K822" s="130" t="str">
        <f>IFERROR(VLOOKUP(B822,BD_CONTROL!$A$5:$M$4235,11,0),"")</f>
        <v>INSTALADO - SIN SEÑAL</v>
      </c>
      <c r="L822" s="117">
        <f>IFERROR(VLOOKUP(B822,BD_CONTROL!$A$5:$M$4235,12,0),"")</f>
        <v>46127</v>
      </c>
      <c r="M822" s="118" t="str">
        <f>IFERROR(VLOOKUP(B822,BD_CONTROL!$A$5:$M$4235,13,0),"")</f>
        <v>Cargado desde DB instalación 23/04/2026</v>
      </c>
    </row>
    <row r="823" spans="1:13" ht="15" customHeight="1">
      <c r="A823" s="42">
        <v>818</v>
      </c>
      <c r="B823" s="42" t="s">
        <v>6410</v>
      </c>
      <c r="C823" s="43" t="s">
        <v>2256</v>
      </c>
      <c r="D823" s="42" t="s">
        <v>5640</v>
      </c>
      <c r="E823" s="43" t="s">
        <v>5997</v>
      </c>
      <c r="F823" s="43" t="s">
        <v>6411</v>
      </c>
      <c r="G823" s="42" t="s">
        <v>109</v>
      </c>
      <c r="H823" s="43" t="s">
        <v>3449</v>
      </c>
      <c r="I823" s="43" t="s">
        <v>104</v>
      </c>
      <c r="J823" s="55"/>
      <c r="K823" s="129" t="str">
        <f>IFERROR(VLOOKUP(B823,BD_CONTROL!$A$5:$M$4235,11,0),"")</f>
        <v>INSTALADO - OPERANDO</v>
      </c>
      <c r="L823" s="120">
        <f>IFERROR(VLOOKUP(B823,BD_CONTROL!$A$5:$M$4235,12,0),"")</f>
        <v>46133</v>
      </c>
      <c r="M823" s="121" t="str">
        <f>IFERROR(VLOOKUP(B823,BD_CONTROL!$A$5:$M$4235,13,0),"")</f>
        <v>Cargado desde DB instalación 23/04/2026</v>
      </c>
    </row>
    <row r="824" spans="1:13" ht="15" customHeight="1">
      <c r="A824" s="39">
        <v>819</v>
      </c>
      <c r="B824" s="39" t="s">
        <v>6412</v>
      </c>
      <c r="C824" s="40" t="s">
        <v>1374</v>
      </c>
      <c r="D824" s="39" t="s">
        <v>5640</v>
      </c>
      <c r="E824" s="40" t="s">
        <v>5773</v>
      </c>
      <c r="F824" s="40" t="s">
        <v>6413</v>
      </c>
      <c r="G824" s="39" t="s">
        <v>109</v>
      </c>
      <c r="H824" s="40" t="s">
        <v>3449</v>
      </c>
      <c r="I824" s="40" t="s">
        <v>104</v>
      </c>
      <c r="J824" s="50"/>
      <c r="K824" s="129" t="str">
        <f>IFERROR(VLOOKUP(B824,BD_CONTROL!$A$5:$M$4235,11,0),"")</f>
        <v>INSTALADO - OPERANDO</v>
      </c>
      <c r="L824" s="117">
        <f>IFERROR(VLOOKUP(B824,BD_CONTROL!$A$5:$M$4235,12,0),"")</f>
        <v>46129</v>
      </c>
      <c r="M824" s="118" t="str">
        <f>IFERROR(VLOOKUP(B824,BD_CONTROL!$A$5:$M$4235,13,0),"")</f>
        <v>Cargado desde DB instalación 23/04/2026</v>
      </c>
    </row>
    <row r="825" spans="1:13" ht="15" customHeight="1">
      <c r="A825" s="42">
        <v>820</v>
      </c>
      <c r="B825" s="42" t="s">
        <v>6414</v>
      </c>
      <c r="C825" s="43" t="s">
        <v>6415</v>
      </c>
      <c r="D825" s="42" t="s">
        <v>5640</v>
      </c>
      <c r="E825" s="43" t="s">
        <v>5814</v>
      </c>
      <c r="F825" s="43" t="s">
        <v>5814</v>
      </c>
      <c r="G825" s="42" t="s">
        <v>102</v>
      </c>
      <c r="H825" s="43" t="s">
        <v>3449</v>
      </c>
      <c r="I825" s="43" t="s">
        <v>104</v>
      </c>
      <c r="J825" s="55"/>
      <c r="K825" s="119" t="str">
        <f>IFERROR(VLOOKUP(B825,BD_CONTROL!$A$5:$M$4235,11,0),"")</f>
        <v>Instalado - Operando</v>
      </c>
      <c r="L825" s="120">
        <f>IFERROR(VLOOKUP(B825,BD_CONTROL!$A$5:$M$4235,12,0),"")</f>
        <v>46149</v>
      </c>
      <c r="M825" s="121">
        <f>IFERROR(VLOOKUP(B825,BD_CONTROL!$A$5:$M$4235,13,0),"")</f>
        <v>0</v>
      </c>
    </row>
    <row r="826" spans="1:13" ht="15" customHeight="1">
      <c r="A826" s="39">
        <v>821</v>
      </c>
      <c r="B826" s="39" t="s">
        <v>6416</v>
      </c>
      <c r="C826" s="40" t="s">
        <v>1123</v>
      </c>
      <c r="D826" s="39" t="s">
        <v>5640</v>
      </c>
      <c r="E826" s="40" t="s">
        <v>6263</v>
      </c>
      <c r="F826" s="40" t="s">
        <v>6417</v>
      </c>
      <c r="G826" s="39" t="s">
        <v>109</v>
      </c>
      <c r="H826" s="40" t="s">
        <v>3449</v>
      </c>
      <c r="I826" s="40" t="s">
        <v>104</v>
      </c>
      <c r="J826" s="50"/>
      <c r="K826" s="116" t="str">
        <f>IFERROR(VLOOKUP(B826,BD_CONTROL!$A$5:$M$4235,11,0),"")</f>
        <v>Instalado - Sin Señal</v>
      </c>
      <c r="L826" s="117">
        <f>IFERROR(VLOOKUP(B826,BD_CONTROL!$A$5:$M$4235,12,0),"")</f>
        <v>46146</v>
      </c>
      <c r="M826" s="118" t="str">
        <f>IFERROR(VLOOKUP(B826,BD_CONTROL!$A$5:$M$4235,13,0),"")</f>
        <v xml:space="preserve">Instalado, no operando, con reporte a mesa de ayuda
</v>
      </c>
    </row>
    <row r="827" spans="1:13" ht="15" customHeight="1">
      <c r="A827" s="42">
        <v>822</v>
      </c>
      <c r="B827" s="42" t="s">
        <v>6418</v>
      </c>
      <c r="C827" s="43" t="s">
        <v>6419</v>
      </c>
      <c r="D827" s="42" t="s">
        <v>5640</v>
      </c>
      <c r="E827" s="43" t="s">
        <v>5773</v>
      </c>
      <c r="F827" s="43" t="s">
        <v>6420</v>
      </c>
      <c r="G827" s="42" t="s">
        <v>109</v>
      </c>
      <c r="H827" s="43" t="s">
        <v>3449</v>
      </c>
      <c r="I827" s="43" t="s">
        <v>104</v>
      </c>
      <c r="J827" s="55"/>
      <c r="K827" s="129" t="str">
        <f>IFERROR(VLOOKUP(B827,BD_CONTROL!$A$5:$M$4235,11,0),"")</f>
        <v>INSTALADO - OPERANDO</v>
      </c>
      <c r="L827" s="120">
        <f>IFERROR(VLOOKUP(B827,BD_CONTROL!$A$5:$M$4235,12,0),"")</f>
        <v>46126</v>
      </c>
      <c r="M827" s="121" t="str">
        <f>IFERROR(VLOOKUP(B827,BD_CONTROL!$A$5:$M$4235,13,0),"")</f>
        <v>Cargado desde DB instalación 23/04/2026</v>
      </c>
    </row>
    <row r="828" spans="1:13" ht="15" customHeight="1">
      <c r="A828" s="39">
        <v>823</v>
      </c>
      <c r="B828" s="39" t="s">
        <v>6421</v>
      </c>
      <c r="C828" s="40" t="s">
        <v>6422</v>
      </c>
      <c r="D828" s="39" t="s">
        <v>5640</v>
      </c>
      <c r="E828" s="40" t="s">
        <v>5661</v>
      </c>
      <c r="F828" s="40" t="s">
        <v>6423</v>
      </c>
      <c r="G828" s="39" t="s">
        <v>102</v>
      </c>
      <c r="H828" s="40" t="s">
        <v>3449</v>
      </c>
      <c r="I828" s="40" t="s">
        <v>104</v>
      </c>
      <c r="J828" s="50"/>
      <c r="K828" s="129" t="str">
        <f>IFERROR(VLOOKUP(B828,BD_CONTROL!$A$5:$M$4235,11,0),"")</f>
        <v>INSTALADO - OPERANDO</v>
      </c>
      <c r="L828" s="117">
        <f>IFERROR(VLOOKUP(B828,BD_CONTROL!$A$5:$M$4235,12,0),"")</f>
        <v>46135</v>
      </c>
      <c r="M828" s="118" t="str">
        <f>IFERROR(VLOOKUP(B828,BD_CONTROL!$A$5:$M$4235,13,0),"")</f>
        <v>Cargado desde DB instalación 23/04/2026</v>
      </c>
    </row>
    <row r="829" spans="1:13" ht="15" customHeight="1">
      <c r="A829" s="42">
        <v>824</v>
      </c>
      <c r="B829" s="42" t="s">
        <v>6424</v>
      </c>
      <c r="C829" s="43" t="s">
        <v>1374</v>
      </c>
      <c r="D829" s="42" t="s">
        <v>5640</v>
      </c>
      <c r="E829" s="43" t="s">
        <v>5640</v>
      </c>
      <c r="F829" s="43" t="s">
        <v>5640</v>
      </c>
      <c r="G829" s="42" t="s">
        <v>102</v>
      </c>
      <c r="H829" s="43" t="s">
        <v>3449</v>
      </c>
      <c r="I829" s="43" t="s">
        <v>104</v>
      </c>
      <c r="J829" s="55"/>
      <c r="K829" s="129" t="str">
        <f>IFERROR(VLOOKUP(B829,BD_CONTROL!$A$5:$M$4235,11,0),"")</f>
        <v>INSTALADO - OPERANDO</v>
      </c>
      <c r="L829" s="120">
        <f>IFERROR(VLOOKUP(B829,BD_CONTROL!$A$5:$M$4235,12,0),"")</f>
        <v>46107</v>
      </c>
      <c r="M829" s="121" t="str">
        <f>IFERROR(VLOOKUP(B829,BD_CONTROL!$A$5:$M$4235,13,0),"")</f>
        <v>Cargado desde DB instalación 23/04/2026</v>
      </c>
    </row>
    <row r="830" spans="1:13" ht="15" customHeight="1">
      <c r="A830" s="39">
        <v>825</v>
      </c>
      <c r="B830" s="39" t="s">
        <v>6425</v>
      </c>
      <c r="C830" s="40" t="s">
        <v>5001</v>
      </c>
      <c r="D830" s="39" t="s">
        <v>5640</v>
      </c>
      <c r="E830" s="40" t="s">
        <v>5643</v>
      </c>
      <c r="F830" s="40" t="s">
        <v>6426</v>
      </c>
      <c r="G830" s="39" t="s">
        <v>109</v>
      </c>
      <c r="H830" s="40" t="s">
        <v>3449</v>
      </c>
      <c r="I830" s="40" t="s">
        <v>104</v>
      </c>
      <c r="J830" s="50"/>
      <c r="K830" s="116" t="str">
        <f>IFERROR(VLOOKUP(B830,BD_CONTROL!$A$5:$M$4235,11,0),"")</f>
        <v>Instalado - Operando</v>
      </c>
      <c r="L830" s="117">
        <f>IFERROR(VLOOKUP(B830,BD_CONTROL!$A$5:$M$4235,12,0),"")</f>
        <v>46153</v>
      </c>
      <c r="M830" s="118">
        <f>IFERROR(VLOOKUP(B830,BD_CONTROL!$A$5:$M$4235,13,0),"")</f>
        <v>0</v>
      </c>
    </row>
    <row r="831" spans="1:13" ht="15" customHeight="1">
      <c r="A831" s="42">
        <v>826</v>
      </c>
      <c r="B831" s="42" t="s">
        <v>6427</v>
      </c>
      <c r="C831" s="43" t="s">
        <v>5830</v>
      </c>
      <c r="D831" s="42" t="s">
        <v>5640</v>
      </c>
      <c r="E831" s="43" t="s">
        <v>5814</v>
      </c>
      <c r="F831" s="43" t="s">
        <v>5814</v>
      </c>
      <c r="G831" s="42" t="s">
        <v>109</v>
      </c>
      <c r="H831" s="43" t="s">
        <v>3449</v>
      </c>
      <c r="I831" s="43" t="s">
        <v>104</v>
      </c>
      <c r="J831" s="55"/>
      <c r="K831" s="119">
        <f>IFERROR(VLOOKUP(B831,BD_CONTROL!$A$5:$M$4235,11,0),"")</f>
        <v>0</v>
      </c>
      <c r="L831" s="120">
        <f>IFERROR(VLOOKUP(B831,BD_CONTROL!$A$5:$M$4235,12,0),"")</f>
        <v>0</v>
      </c>
      <c r="M831" s="121">
        <f>IFERROR(VLOOKUP(B831,BD_CONTROL!$A$5:$M$4235,13,0),"")</f>
        <v>0</v>
      </c>
    </row>
    <row r="832" spans="1:13" ht="15" customHeight="1">
      <c r="A832" s="39">
        <v>827</v>
      </c>
      <c r="B832" s="39" t="s">
        <v>6428</v>
      </c>
      <c r="C832" s="40" t="s">
        <v>6429</v>
      </c>
      <c r="D832" s="39" t="s">
        <v>5640</v>
      </c>
      <c r="E832" s="40" t="s">
        <v>5773</v>
      </c>
      <c r="F832" s="40" t="s">
        <v>6430</v>
      </c>
      <c r="G832" s="39" t="s">
        <v>109</v>
      </c>
      <c r="H832" s="40" t="s">
        <v>3449</v>
      </c>
      <c r="I832" s="40" t="s">
        <v>104</v>
      </c>
      <c r="J832" s="50"/>
      <c r="K832" s="129" t="str">
        <f>IFERROR(VLOOKUP(B832,BD_CONTROL!$A$5:$M$4235,11,0),"")</f>
        <v>INSTALADO - OPERANDO</v>
      </c>
      <c r="L832" s="117">
        <f>IFERROR(VLOOKUP(B832,BD_CONTROL!$A$5:$M$4235,12,0),"")</f>
        <v>46125</v>
      </c>
      <c r="M832" s="118" t="str">
        <f>IFERROR(VLOOKUP(B832,BD_CONTROL!$A$5:$M$4235,13,0),"")</f>
        <v>Cargado desde DB instalación 23/04/2026</v>
      </c>
    </row>
    <row r="833" spans="1:13" ht="15" customHeight="1">
      <c r="A833" s="42">
        <v>828</v>
      </c>
      <c r="B833" s="42" t="s">
        <v>6431</v>
      </c>
      <c r="C833" s="43" t="s">
        <v>5555</v>
      </c>
      <c r="D833" s="42" t="s">
        <v>5640</v>
      </c>
      <c r="E833" s="43" t="s">
        <v>5710</v>
      </c>
      <c r="F833" s="43" t="s">
        <v>5710</v>
      </c>
      <c r="G833" s="42" t="s">
        <v>102</v>
      </c>
      <c r="H833" s="43" t="s">
        <v>3449</v>
      </c>
      <c r="I833" s="43" t="s">
        <v>104</v>
      </c>
      <c r="J833" s="55"/>
      <c r="K833" s="119" t="str">
        <f>IFERROR(VLOOKUP(B833,BD_CONTROL!$A$5:$M$4235,11,0),"")</f>
        <v>Instalado - Sin Señal</v>
      </c>
      <c r="L833" s="120">
        <f>IFERROR(VLOOKUP(B833,BD_CONTROL!$A$5:$M$4235,12,0),"")</f>
        <v>46150</v>
      </c>
      <c r="M833" s="121" t="str">
        <f>IFERROR(VLOOKUP(B833,BD_CONTROL!$A$5:$M$4235,13,0),"")</f>
        <v>Instalado, no operando, con reporte a mesa de ayuda</v>
      </c>
    </row>
    <row r="834" spans="1:13" ht="15" customHeight="1">
      <c r="A834" s="39">
        <v>829</v>
      </c>
      <c r="B834" s="39" t="s">
        <v>6432</v>
      </c>
      <c r="C834" s="40" t="s">
        <v>6433</v>
      </c>
      <c r="D834" s="39" t="s">
        <v>5640</v>
      </c>
      <c r="E834" s="40" t="s">
        <v>5683</v>
      </c>
      <c r="F834" s="40" t="s">
        <v>6434</v>
      </c>
      <c r="G834" s="39" t="s">
        <v>109</v>
      </c>
      <c r="H834" s="40" t="s">
        <v>3449</v>
      </c>
      <c r="I834" s="40" t="s">
        <v>104</v>
      </c>
      <c r="J834" s="50"/>
      <c r="K834" s="129" t="str">
        <f>IFERROR(VLOOKUP(B834,BD_CONTROL!$A$5:$M$4235,11,0),"")</f>
        <v>INSTALADO - OPERANDO</v>
      </c>
      <c r="L834" s="117">
        <f>IFERROR(VLOOKUP(B834,BD_CONTROL!$A$5:$M$4235,12,0),"")</f>
        <v>46127</v>
      </c>
      <c r="M834" s="118" t="str">
        <f>IFERROR(VLOOKUP(B834,BD_CONTROL!$A$5:$M$4235,13,0),"")</f>
        <v>Cargado desde DB instalación 23/04/2026</v>
      </c>
    </row>
    <row r="835" spans="1:13" ht="15" customHeight="1">
      <c r="A835" s="42">
        <v>830</v>
      </c>
      <c r="B835" s="42" t="s">
        <v>6435</v>
      </c>
      <c r="C835" s="43" t="s">
        <v>2256</v>
      </c>
      <c r="D835" s="42" t="s">
        <v>5640</v>
      </c>
      <c r="E835" s="43" t="s">
        <v>5997</v>
      </c>
      <c r="F835" s="43" t="s">
        <v>6436</v>
      </c>
      <c r="G835" s="42" t="s">
        <v>109</v>
      </c>
      <c r="H835" s="43" t="s">
        <v>3449</v>
      </c>
      <c r="I835" s="43" t="s">
        <v>104</v>
      </c>
      <c r="J835" s="55"/>
      <c r="K835" s="119">
        <f>IFERROR(VLOOKUP(B835,BD_CONTROL!$A$5:$M$4235,11,0),"")</f>
        <v>0</v>
      </c>
      <c r="L835" s="120">
        <f>IFERROR(VLOOKUP(B835,BD_CONTROL!$A$5:$M$4235,12,0),"")</f>
        <v>0</v>
      </c>
      <c r="M835" s="121">
        <f>IFERROR(VLOOKUP(B835,BD_CONTROL!$A$5:$M$4235,13,0),"")</f>
        <v>0</v>
      </c>
    </row>
    <row r="836" spans="1:13" ht="15" customHeight="1">
      <c r="A836" s="39">
        <v>831</v>
      </c>
      <c r="B836" s="39" t="s">
        <v>6437</v>
      </c>
      <c r="C836" s="40" t="s">
        <v>6438</v>
      </c>
      <c r="D836" s="39" t="s">
        <v>5640</v>
      </c>
      <c r="E836" s="40" t="s">
        <v>5687</v>
      </c>
      <c r="F836" s="40" t="s">
        <v>5687</v>
      </c>
      <c r="G836" s="39" t="s">
        <v>102</v>
      </c>
      <c r="H836" s="40" t="s">
        <v>3449</v>
      </c>
      <c r="I836" s="40" t="s">
        <v>104</v>
      </c>
      <c r="J836" s="50"/>
      <c r="K836" s="129" t="str">
        <f>IFERROR(VLOOKUP(B836,BD_CONTROL!$A$5:$M$4235,11,0),"")</f>
        <v>INSTALADO - OPERANDO</v>
      </c>
      <c r="L836" s="117">
        <f>IFERROR(VLOOKUP(B836,BD_CONTROL!$A$5:$M$4235,12,0),"")</f>
        <v>46128</v>
      </c>
      <c r="M836" s="118" t="str">
        <f>IFERROR(VLOOKUP(B836,BD_CONTROL!$A$5:$M$4235,13,0),"")</f>
        <v>Cargado desde DB instalación 23/04/2026</v>
      </c>
    </row>
    <row r="837" spans="1:13" ht="15" customHeight="1">
      <c r="A837" s="42">
        <v>832</v>
      </c>
      <c r="B837" s="42" t="s">
        <v>6439</v>
      </c>
      <c r="C837" s="43" t="s">
        <v>6082</v>
      </c>
      <c r="D837" s="42" t="s">
        <v>5640</v>
      </c>
      <c r="E837" s="43" t="s">
        <v>5640</v>
      </c>
      <c r="F837" s="43" t="s">
        <v>6440</v>
      </c>
      <c r="G837" s="42" t="s">
        <v>102</v>
      </c>
      <c r="H837" s="43" t="s">
        <v>3449</v>
      </c>
      <c r="I837" s="43" t="s">
        <v>104</v>
      </c>
      <c r="J837" s="55"/>
      <c r="K837" s="129" t="str">
        <f>IFERROR(VLOOKUP(B837,BD_CONTROL!$A$5:$M$4235,11,0),"")</f>
        <v>INSTALADO - OPERANDO</v>
      </c>
      <c r="L837" s="120">
        <f>IFERROR(VLOOKUP(B837,BD_CONTROL!$A$5:$M$4235,12,0),"")</f>
        <v>46135</v>
      </c>
      <c r="M837" s="121" t="str">
        <f>IFERROR(VLOOKUP(B837,BD_CONTROL!$A$5:$M$4235,13,0),"")</f>
        <v>Cargado desde DB instalación 23/04/2026</v>
      </c>
    </row>
    <row r="838" spans="1:13" ht="15" customHeight="1">
      <c r="A838" s="39">
        <v>833</v>
      </c>
      <c r="B838" s="39" t="s">
        <v>6441</v>
      </c>
      <c r="C838" s="40" t="s">
        <v>2256</v>
      </c>
      <c r="D838" s="39" t="s">
        <v>5640</v>
      </c>
      <c r="E838" s="40" t="s">
        <v>5683</v>
      </c>
      <c r="F838" s="40" t="s">
        <v>6442</v>
      </c>
      <c r="G838" s="39" t="s">
        <v>102</v>
      </c>
      <c r="H838" s="40" t="s">
        <v>3449</v>
      </c>
      <c r="I838" s="40" t="s">
        <v>104</v>
      </c>
      <c r="J838" s="50"/>
      <c r="K838" s="116" t="str">
        <f>IFERROR(VLOOKUP(B838,BD_CONTROL!$A$5:$M$4235,11,0),"")</f>
        <v>Instalado - Operando</v>
      </c>
      <c r="L838" s="117">
        <f>IFERROR(VLOOKUP(B838,BD_CONTROL!$A$5:$M$4235,12,0),"")</f>
        <v>46146</v>
      </c>
      <c r="M838" s="118">
        <f>IFERROR(VLOOKUP(B838,BD_CONTROL!$A$5:$M$4235,13,0),"")</f>
        <v>0</v>
      </c>
    </row>
    <row r="839" spans="1:13" ht="15" customHeight="1">
      <c r="A839" s="42">
        <v>834</v>
      </c>
      <c r="B839" s="42" t="s">
        <v>6443</v>
      </c>
      <c r="C839" s="43" t="s">
        <v>1375</v>
      </c>
      <c r="D839" s="42" t="s">
        <v>5640</v>
      </c>
      <c r="E839" s="43" t="s">
        <v>6125</v>
      </c>
      <c r="F839" s="43" t="s">
        <v>6444</v>
      </c>
      <c r="G839" s="42" t="s">
        <v>109</v>
      </c>
      <c r="H839" s="43" t="s">
        <v>3449</v>
      </c>
      <c r="I839" s="43" t="s">
        <v>104</v>
      </c>
      <c r="J839" s="55"/>
      <c r="K839" s="129" t="str">
        <f>IFERROR(VLOOKUP(B839,BD_CONTROL!$A$5:$M$4235,11,0),"")</f>
        <v>INSTALADO - OPERANDO</v>
      </c>
      <c r="L839" s="120">
        <f>IFERROR(VLOOKUP(B839,BD_CONTROL!$A$5:$M$4235,12,0),"")</f>
        <v>46132</v>
      </c>
      <c r="M839" s="121" t="str">
        <f>IFERROR(VLOOKUP(B839,BD_CONTROL!$A$5:$M$4235,13,0),"")</f>
        <v>Cargado desde DB instalación 23/04/2026</v>
      </c>
    </row>
    <row r="840" spans="1:13" ht="15" customHeight="1">
      <c r="A840" s="39">
        <v>835</v>
      </c>
      <c r="B840" s="39" t="s">
        <v>6445</v>
      </c>
      <c r="C840" s="40" t="s">
        <v>459</v>
      </c>
      <c r="D840" s="39" t="s">
        <v>5640</v>
      </c>
      <c r="E840" s="40" t="s">
        <v>5640</v>
      </c>
      <c r="F840" s="40" t="s">
        <v>5640</v>
      </c>
      <c r="G840" s="39" t="s">
        <v>109</v>
      </c>
      <c r="H840" s="40" t="s">
        <v>3449</v>
      </c>
      <c r="I840" s="40" t="s">
        <v>104</v>
      </c>
      <c r="J840" s="50"/>
      <c r="K840" s="116" t="str">
        <f>IFERROR(VLOOKUP(B840,BD_CONTROL!$A$5:$M$4235,11,0),"")</f>
        <v>Instalado - Operando</v>
      </c>
      <c r="L840" s="117">
        <f>IFERROR(VLOOKUP(B840,BD_CONTROL!$A$5:$M$4235,12,0),"")</f>
        <v>46147</v>
      </c>
      <c r="M840" s="118">
        <f>IFERROR(VLOOKUP(B840,BD_CONTROL!$A$5:$M$4235,13,0),"")</f>
        <v>0</v>
      </c>
    </row>
    <row r="841" spans="1:13" ht="15" customHeight="1">
      <c r="A841" s="42">
        <v>836</v>
      </c>
      <c r="B841" s="42" t="s">
        <v>6446</v>
      </c>
      <c r="C841" s="43" t="s">
        <v>6447</v>
      </c>
      <c r="D841" s="42" t="s">
        <v>5640</v>
      </c>
      <c r="E841" s="43" t="s">
        <v>6266</v>
      </c>
      <c r="F841" s="43" t="s">
        <v>6267</v>
      </c>
      <c r="G841" s="42" t="s">
        <v>109</v>
      </c>
      <c r="H841" s="43" t="s">
        <v>3449</v>
      </c>
      <c r="I841" s="43" t="s">
        <v>104</v>
      </c>
      <c r="J841" s="55"/>
      <c r="K841" s="119" t="str">
        <f>IFERROR(VLOOKUP(B841,BD_CONTROL!$A$5:$M$4235,11,0),"")</f>
        <v>Instalado - Operando</v>
      </c>
      <c r="L841" s="120">
        <f>IFERROR(VLOOKUP(B841,BD_CONTROL!$A$5:$M$4235,12,0),"")</f>
        <v>46153</v>
      </c>
      <c r="M841" s="121">
        <f>IFERROR(VLOOKUP(B841,BD_CONTROL!$A$5:$M$4235,13,0),"")</f>
        <v>0</v>
      </c>
    </row>
    <row r="842" spans="1:13" ht="15" customHeight="1">
      <c r="A842" s="39">
        <v>837</v>
      </c>
      <c r="B842" s="39" t="s">
        <v>6448</v>
      </c>
      <c r="C842" s="40" t="s">
        <v>6449</v>
      </c>
      <c r="D842" s="39" t="s">
        <v>5640</v>
      </c>
      <c r="E842" s="40" t="s">
        <v>5853</v>
      </c>
      <c r="F842" s="40" t="s">
        <v>6450</v>
      </c>
      <c r="G842" s="39" t="s">
        <v>109</v>
      </c>
      <c r="H842" s="40" t="s">
        <v>3449</v>
      </c>
      <c r="I842" s="40" t="s">
        <v>104</v>
      </c>
      <c r="J842" s="50"/>
      <c r="K842" s="116" t="str">
        <f>IFERROR(VLOOKUP(B842,BD_CONTROL!$A$5:$M$4235,11,0),"")</f>
        <v>Instalado - Operando</v>
      </c>
      <c r="L842" s="117">
        <f>IFERROR(VLOOKUP(B842,BD_CONTROL!$A$5:$M$4235,12,0),"")</f>
        <v>46150</v>
      </c>
      <c r="M842" s="118">
        <f>IFERROR(VLOOKUP(B842,BD_CONTROL!$A$5:$M$4235,13,0),"")</f>
        <v>0</v>
      </c>
    </row>
    <row r="843" spans="1:13" ht="15" customHeight="1">
      <c r="A843" s="42">
        <v>838</v>
      </c>
      <c r="B843" s="42" t="s">
        <v>6451</v>
      </c>
      <c r="C843" s="43" t="s">
        <v>5001</v>
      </c>
      <c r="D843" s="42" t="s">
        <v>5640</v>
      </c>
      <c r="E843" s="43" t="s">
        <v>5673</v>
      </c>
      <c r="F843" s="43" t="s">
        <v>6452</v>
      </c>
      <c r="G843" s="42" t="s">
        <v>109</v>
      </c>
      <c r="H843" s="43" t="s">
        <v>3449</v>
      </c>
      <c r="I843" s="43" t="s">
        <v>104</v>
      </c>
      <c r="J843" s="55"/>
      <c r="K843" s="130" t="str">
        <f>IFERROR(VLOOKUP(B843,BD_CONTROL!$A$5:$M$4235,11,0),"")</f>
        <v>INSTALADO - SIN SEÑAL</v>
      </c>
      <c r="L843" s="120">
        <f>IFERROR(VLOOKUP(B843,BD_CONTROL!$A$5:$M$4235,12,0),"")</f>
        <v>46126</v>
      </c>
      <c r="M843" s="121" t="str">
        <f>IFERROR(VLOOKUP(B843,BD_CONTROL!$A$5:$M$4235,13,0),"")</f>
        <v>Cargado desde DB instalación 23/04/2026</v>
      </c>
    </row>
    <row r="844" spans="1:13" ht="15" customHeight="1">
      <c r="A844" s="39">
        <v>839</v>
      </c>
      <c r="B844" s="39" t="s">
        <v>6453</v>
      </c>
      <c r="C844" s="40" t="s">
        <v>6454</v>
      </c>
      <c r="D844" s="39" t="s">
        <v>5640</v>
      </c>
      <c r="E844" s="40" t="s">
        <v>6067</v>
      </c>
      <c r="F844" s="40" t="s">
        <v>6455</v>
      </c>
      <c r="G844" s="39" t="s">
        <v>109</v>
      </c>
      <c r="H844" s="40" t="s">
        <v>3449</v>
      </c>
      <c r="I844" s="40" t="s">
        <v>104</v>
      </c>
      <c r="J844" s="50"/>
      <c r="K844" s="116">
        <f>IFERROR(VLOOKUP(B844,BD_CONTROL!$A$5:$M$4235,11,0),"")</f>
        <v>0</v>
      </c>
      <c r="L844" s="117">
        <f>IFERROR(VLOOKUP(B844,BD_CONTROL!$A$5:$M$4235,12,0),"")</f>
        <v>0</v>
      </c>
      <c r="M844" s="118">
        <f>IFERROR(VLOOKUP(B844,BD_CONTROL!$A$5:$M$4235,13,0),"")</f>
        <v>0</v>
      </c>
    </row>
    <row r="845" spans="1:13" ht="15" customHeight="1">
      <c r="A845" s="42">
        <v>840</v>
      </c>
      <c r="B845" s="42" t="s">
        <v>7573</v>
      </c>
      <c r="C845" s="43" t="s">
        <v>6735</v>
      </c>
      <c r="D845" s="42" t="s">
        <v>553</v>
      </c>
      <c r="E845" s="43" t="s">
        <v>3107</v>
      </c>
      <c r="F845" s="43" t="s">
        <v>1735</v>
      </c>
      <c r="G845" s="42" t="s">
        <v>6739</v>
      </c>
      <c r="H845" s="43" t="s">
        <v>1532</v>
      </c>
      <c r="I845" s="43" t="s">
        <v>6741</v>
      </c>
      <c r="J845" s="55"/>
      <c r="K845" s="119" t="str">
        <f>IFERROR(VLOOKUP(B845,BD_CONTROL!$A$5:$M$4235,11,0),"")</f>
        <v>Instalado - Operando</v>
      </c>
      <c r="L845" s="120">
        <f>IFERROR(VLOOKUP(B845,BD_CONTROL!$A$5:$M$4235,12,0),"")</f>
        <v>46153</v>
      </c>
      <c r="M845" s="121">
        <f>IFERROR(VLOOKUP(B845,BD_CONTROL!$A$5:$M$4235,13,0),"")</f>
        <v>0</v>
      </c>
    </row>
    <row r="846" spans="1:13" ht="15" customHeight="1">
      <c r="A846" s="39">
        <v>841</v>
      </c>
      <c r="B846" s="39" t="s">
        <v>7576</v>
      </c>
      <c r="C846" s="40" t="s">
        <v>6735</v>
      </c>
      <c r="D846" s="39" t="s">
        <v>553</v>
      </c>
      <c r="E846" s="40" t="s">
        <v>2940</v>
      </c>
      <c r="F846" s="40" t="s">
        <v>3280</v>
      </c>
      <c r="G846" s="39" t="s">
        <v>6739</v>
      </c>
      <c r="H846" s="40" t="s">
        <v>1532</v>
      </c>
      <c r="I846" s="40" t="s">
        <v>6741</v>
      </c>
      <c r="J846" s="50"/>
      <c r="K846" s="116" t="str">
        <f>IFERROR(VLOOKUP(B846,BD_CONTROL!$A$5:$M$4235,11,0),"")</f>
        <v>Instalado - Operando</v>
      </c>
      <c r="L846" s="117">
        <f>IFERROR(VLOOKUP(B846,BD_CONTROL!$A$5:$M$4235,12,0),"")</f>
        <v>46148</v>
      </c>
      <c r="M846" s="118">
        <f>IFERROR(VLOOKUP(B846,BD_CONTROL!$A$5:$M$4235,13,0),"")</f>
        <v>0</v>
      </c>
    </row>
    <row r="847" spans="1:13" ht="15" customHeight="1">
      <c r="A847" s="42">
        <v>842</v>
      </c>
      <c r="B847" s="42" t="s">
        <v>7580</v>
      </c>
      <c r="C847" s="43" t="s">
        <v>6735</v>
      </c>
      <c r="D847" s="42" t="s">
        <v>553</v>
      </c>
      <c r="E847" s="43" t="s">
        <v>3060</v>
      </c>
      <c r="F847" s="43" t="s">
        <v>3061</v>
      </c>
      <c r="G847" s="42" t="s">
        <v>6739</v>
      </c>
      <c r="H847" s="43" t="s">
        <v>1532</v>
      </c>
      <c r="I847" s="43" t="s">
        <v>6741</v>
      </c>
      <c r="J847" s="55"/>
      <c r="K847" s="119">
        <f>IFERROR(VLOOKUP(B847,BD_CONTROL!$A$5:$M$4235,11,0),"")</f>
        <v>0</v>
      </c>
      <c r="L847" s="120">
        <f>IFERROR(VLOOKUP(B847,BD_CONTROL!$A$5:$M$4235,12,0),"")</f>
        <v>0</v>
      </c>
      <c r="M847" s="121">
        <f>IFERROR(VLOOKUP(B847,BD_CONTROL!$A$5:$M$4235,13,0),"")</f>
        <v>0</v>
      </c>
    </row>
    <row r="848" spans="1:13" ht="15" customHeight="1">
      <c r="A848" s="39">
        <v>843</v>
      </c>
      <c r="B848" s="39" t="s">
        <v>7581</v>
      </c>
      <c r="C848" s="40" t="s">
        <v>6735</v>
      </c>
      <c r="D848" s="39" t="s">
        <v>553</v>
      </c>
      <c r="E848" s="40" t="s">
        <v>2982</v>
      </c>
      <c r="F848" s="40" t="s">
        <v>7582</v>
      </c>
      <c r="G848" s="39" t="s">
        <v>6739</v>
      </c>
      <c r="H848" s="40" t="s">
        <v>1532</v>
      </c>
      <c r="I848" s="40" t="s">
        <v>6741</v>
      </c>
      <c r="J848" s="50"/>
      <c r="K848" s="116" t="str">
        <f>IFERROR(VLOOKUP(B848,BD_CONTROL!$A$5:$M$4235,11,0),"")</f>
        <v>Instalado - Operando</v>
      </c>
      <c r="L848" s="117">
        <f>IFERROR(VLOOKUP(B848,BD_CONTROL!$A$5:$M$4235,12,0),"")</f>
        <v>46147</v>
      </c>
      <c r="M848" s="118">
        <f>IFERROR(VLOOKUP(B848,BD_CONTROL!$A$5:$M$4235,13,0),"")</f>
        <v>0</v>
      </c>
    </row>
    <row r="849" spans="1:13" ht="15" customHeight="1">
      <c r="A849" s="42">
        <v>844</v>
      </c>
      <c r="B849" s="42" t="s">
        <v>7583</v>
      </c>
      <c r="C849" s="43" t="s">
        <v>6735</v>
      </c>
      <c r="D849" s="42" t="s">
        <v>553</v>
      </c>
      <c r="E849" s="43" t="s">
        <v>3064</v>
      </c>
      <c r="F849" s="43" t="s">
        <v>3064</v>
      </c>
      <c r="G849" s="42" t="s">
        <v>6739</v>
      </c>
      <c r="H849" s="43" t="s">
        <v>1532</v>
      </c>
      <c r="I849" s="43" t="s">
        <v>6741</v>
      </c>
      <c r="J849" s="55"/>
      <c r="K849" s="119">
        <f>IFERROR(VLOOKUP(B849,BD_CONTROL!$A$5:$M$4235,11,0),"")</f>
        <v>0</v>
      </c>
      <c r="L849" s="120">
        <f>IFERROR(VLOOKUP(B849,BD_CONTROL!$A$5:$M$4235,12,0),"")</f>
        <v>0</v>
      </c>
      <c r="M849" s="121">
        <f>IFERROR(VLOOKUP(B849,BD_CONTROL!$A$5:$M$4235,13,0),"")</f>
        <v>0</v>
      </c>
    </row>
    <row r="850" spans="1:13" ht="15" customHeight="1">
      <c r="A850" s="39">
        <v>845</v>
      </c>
      <c r="B850" s="39" t="s">
        <v>7584</v>
      </c>
      <c r="C850" s="40" t="s">
        <v>6735</v>
      </c>
      <c r="D850" s="39" t="s">
        <v>553</v>
      </c>
      <c r="E850" s="40" t="s">
        <v>3064</v>
      </c>
      <c r="F850" s="40" t="s">
        <v>3064</v>
      </c>
      <c r="G850" s="39" t="s">
        <v>6739</v>
      </c>
      <c r="H850" s="40" t="s">
        <v>1532</v>
      </c>
      <c r="I850" s="40" t="s">
        <v>6741</v>
      </c>
      <c r="J850" s="50"/>
      <c r="K850" s="116" t="str">
        <f>IFERROR(VLOOKUP(B850,BD_CONTROL!$A$5:$M$4235,11,0),"")</f>
        <v>Instalado - Operando</v>
      </c>
      <c r="L850" s="117">
        <f>IFERROR(VLOOKUP(B850,BD_CONTROL!$A$5:$M$4235,12,0),"")</f>
        <v>46146</v>
      </c>
      <c r="M850" s="118">
        <f>IFERROR(VLOOKUP(B850,BD_CONTROL!$A$5:$M$4235,13,0),"")</f>
        <v>0</v>
      </c>
    </row>
    <row r="851" spans="1:13" ht="15" customHeight="1">
      <c r="A851" s="42">
        <v>846</v>
      </c>
      <c r="B851" s="42" t="s">
        <v>7585</v>
      </c>
      <c r="C851" s="43" t="s">
        <v>6735</v>
      </c>
      <c r="D851" s="42" t="s">
        <v>553</v>
      </c>
      <c r="E851" s="43" t="s">
        <v>3064</v>
      </c>
      <c r="F851" s="43" t="s">
        <v>3064</v>
      </c>
      <c r="G851" s="42" t="s">
        <v>6739</v>
      </c>
      <c r="H851" s="43" t="s">
        <v>1532</v>
      </c>
      <c r="I851" s="43" t="s">
        <v>6741</v>
      </c>
      <c r="J851" s="55"/>
      <c r="K851" s="119" t="str">
        <f>IFERROR(VLOOKUP(B851,BD_CONTROL!$A$5:$M$4235,11,0),"")</f>
        <v>Instalado - Operando</v>
      </c>
      <c r="L851" s="120">
        <f>IFERROR(VLOOKUP(B851,BD_CONTROL!$A$5:$M$4235,12,0),"")</f>
        <v>46146</v>
      </c>
      <c r="M851" s="121">
        <f>IFERROR(VLOOKUP(B851,BD_CONTROL!$A$5:$M$4235,13,0),"")</f>
        <v>0</v>
      </c>
    </row>
    <row r="852" spans="1:13" ht="15" customHeight="1">
      <c r="A852" s="39">
        <v>847</v>
      </c>
      <c r="B852" s="39" t="s">
        <v>7586</v>
      </c>
      <c r="C852" s="40" t="s">
        <v>6735</v>
      </c>
      <c r="D852" s="39" t="s">
        <v>553</v>
      </c>
      <c r="E852" s="40" t="s">
        <v>3064</v>
      </c>
      <c r="F852" s="40" t="s">
        <v>3064</v>
      </c>
      <c r="G852" s="39" t="s">
        <v>6739</v>
      </c>
      <c r="H852" s="40" t="s">
        <v>1532</v>
      </c>
      <c r="I852" s="40" t="s">
        <v>6741</v>
      </c>
      <c r="J852" s="50"/>
      <c r="K852" s="116" t="str">
        <f>IFERROR(VLOOKUP(B852,BD_CONTROL!$A$5:$M$4235,11,0),"")</f>
        <v>Instalado - Operando</v>
      </c>
      <c r="L852" s="117">
        <f>IFERROR(VLOOKUP(B852,BD_CONTROL!$A$5:$M$4235,12,0),"")</f>
        <v>46149</v>
      </c>
      <c r="M852" s="118">
        <f>IFERROR(VLOOKUP(B852,BD_CONTROL!$A$5:$M$4235,13,0),"")</f>
        <v>0</v>
      </c>
    </row>
    <row r="853" spans="1:13" ht="15" customHeight="1">
      <c r="A853" s="42">
        <v>848</v>
      </c>
      <c r="B853" s="42" t="s">
        <v>7587</v>
      </c>
      <c r="C853" s="43" t="s">
        <v>6735</v>
      </c>
      <c r="D853" s="42" t="s">
        <v>553</v>
      </c>
      <c r="E853" s="43" t="s">
        <v>3064</v>
      </c>
      <c r="F853" s="43" t="s">
        <v>3064</v>
      </c>
      <c r="G853" s="42" t="s">
        <v>6739</v>
      </c>
      <c r="H853" s="43" t="s">
        <v>1532</v>
      </c>
      <c r="I853" s="43" t="s">
        <v>6741</v>
      </c>
      <c r="J853" s="55"/>
      <c r="K853" s="119" t="str">
        <f>IFERROR(VLOOKUP(B853,BD_CONTROL!$A$5:$M$4235,11,0),"")</f>
        <v>Instalado - Operando</v>
      </c>
      <c r="L853" s="120">
        <f>IFERROR(VLOOKUP(B853,BD_CONTROL!$A$5:$M$4235,12,0),"")</f>
        <v>46146</v>
      </c>
      <c r="M853" s="121">
        <f>IFERROR(VLOOKUP(B853,BD_CONTROL!$A$5:$M$4235,13,0),"")</f>
        <v>0</v>
      </c>
    </row>
    <row r="854" spans="1:13" ht="15" customHeight="1">
      <c r="A854" s="39">
        <v>849</v>
      </c>
      <c r="B854" s="39" t="s">
        <v>7588</v>
      </c>
      <c r="C854" s="40" t="s">
        <v>6735</v>
      </c>
      <c r="D854" s="39" t="s">
        <v>553</v>
      </c>
      <c r="E854" s="40" t="s">
        <v>3064</v>
      </c>
      <c r="F854" s="40" t="s">
        <v>3064</v>
      </c>
      <c r="G854" s="39" t="s">
        <v>6739</v>
      </c>
      <c r="H854" s="40" t="s">
        <v>1532</v>
      </c>
      <c r="I854" s="40" t="s">
        <v>6741</v>
      </c>
      <c r="J854" s="50"/>
      <c r="K854" s="116">
        <f>IFERROR(VLOOKUP(B854,BD_CONTROL!$A$5:$M$4235,11,0),"")</f>
        <v>0</v>
      </c>
      <c r="L854" s="117">
        <f>IFERROR(VLOOKUP(B854,BD_CONTROL!$A$5:$M$4235,12,0),"")</f>
        <v>0</v>
      </c>
      <c r="M854" s="118">
        <f>IFERROR(VLOOKUP(B854,BD_CONTROL!$A$5:$M$4235,13,0),"")</f>
        <v>0</v>
      </c>
    </row>
    <row r="855" spans="1:13" ht="15" customHeight="1">
      <c r="A855" s="42">
        <v>850</v>
      </c>
      <c r="B855" s="42" t="s">
        <v>7589</v>
      </c>
      <c r="C855" s="43" t="s">
        <v>6735</v>
      </c>
      <c r="D855" s="42" t="s">
        <v>553</v>
      </c>
      <c r="E855" s="43" t="s">
        <v>3064</v>
      </c>
      <c r="F855" s="43" t="s">
        <v>3064</v>
      </c>
      <c r="G855" s="42" t="s">
        <v>6739</v>
      </c>
      <c r="H855" s="43" t="s">
        <v>1532</v>
      </c>
      <c r="I855" s="43" t="s">
        <v>6741</v>
      </c>
      <c r="J855" s="55"/>
      <c r="K855" s="119" t="str">
        <f>IFERROR(VLOOKUP(B855,BD_CONTROL!$A$5:$M$4235,11,0),"")</f>
        <v>Instalado - Operando</v>
      </c>
      <c r="L855" s="120">
        <f>IFERROR(VLOOKUP(B855,BD_CONTROL!$A$5:$M$4235,12,0),"")</f>
        <v>46147</v>
      </c>
      <c r="M855" s="121">
        <f>IFERROR(VLOOKUP(B855,BD_CONTROL!$A$5:$M$4235,13,0),"")</f>
        <v>0</v>
      </c>
    </row>
    <row r="856" spans="1:13" ht="15" customHeight="1">
      <c r="A856" s="39">
        <v>851</v>
      </c>
      <c r="B856" s="39" t="s">
        <v>7590</v>
      </c>
      <c r="C856" s="40" t="s">
        <v>6735</v>
      </c>
      <c r="D856" s="39" t="s">
        <v>553</v>
      </c>
      <c r="E856" s="40" t="s">
        <v>3064</v>
      </c>
      <c r="F856" s="40" t="s">
        <v>3064</v>
      </c>
      <c r="G856" s="39" t="s">
        <v>6739</v>
      </c>
      <c r="H856" s="40" t="s">
        <v>1532</v>
      </c>
      <c r="I856" s="40" t="s">
        <v>6741</v>
      </c>
      <c r="J856" s="50"/>
      <c r="K856" s="116" t="str">
        <f>IFERROR(VLOOKUP(B856,BD_CONTROL!$A$5:$M$4235,11,0),"")</f>
        <v>Instalado - Operando</v>
      </c>
      <c r="L856" s="117">
        <f>IFERROR(VLOOKUP(B856,BD_CONTROL!$A$5:$M$4235,12,0),"")</f>
        <v>46146</v>
      </c>
      <c r="M856" s="118">
        <f>IFERROR(VLOOKUP(B856,BD_CONTROL!$A$5:$M$4235,13,0),"")</f>
        <v>0</v>
      </c>
    </row>
    <row r="857" spans="1:13" ht="15" customHeight="1">
      <c r="A857" s="42">
        <v>852</v>
      </c>
      <c r="B857" s="42" t="s">
        <v>7591</v>
      </c>
      <c r="C857" s="43" t="s">
        <v>6735</v>
      </c>
      <c r="D857" s="42" t="s">
        <v>553</v>
      </c>
      <c r="E857" s="43" t="s">
        <v>3064</v>
      </c>
      <c r="F857" s="43" t="s">
        <v>3064</v>
      </c>
      <c r="G857" s="42" t="s">
        <v>6739</v>
      </c>
      <c r="H857" s="43" t="s">
        <v>1532</v>
      </c>
      <c r="I857" s="43" t="s">
        <v>6741</v>
      </c>
      <c r="J857" s="55"/>
      <c r="K857" s="119" t="str">
        <f>IFERROR(VLOOKUP(B857,BD_CONTROL!$A$5:$M$4235,11,0),"")</f>
        <v>Instalado - Operando</v>
      </c>
      <c r="L857" s="120">
        <f>IFERROR(VLOOKUP(B857,BD_CONTROL!$A$5:$M$4235,12,0),"")</f>
        <v>46146</v>
      </c>
      <c r="M857" s="121">
        <f>IFERROR(VLOOKUP(B857,BD_CONTROL!$A$5:$M$4235,13,0),"")</f>
        <v>0</v>
      </c>
    </row>
    <row r="858" spans="1:13" ht="15" customHeight="1">
      <c r="A858" s="39">
        <v>853</v>
      </c>
      <c r="B858" s="39" t="s">
        <v>7592</v>
      </c>
      <c r="C858" s="40" t="s">
        <v>6735</v>
      </c>
      <c r="D858" s="39" t="s">
        <v>553</v>
      </c>
      <c r="E858" s="40" t="s">
        <v>3064</v>
      </c>
      <c r="F858" s="40" t="s">
        <v>3065</v>
      </c>
      <c r="G858" s="39" t="s">
        <v>6739</v>
      </c>
      <c r="H858" s="40" t="s">
        <v>1532</v>
      </c>
      <c r="I858" s="40" t="s">
        <v>6741</v>
      </c>
      <c r="J858" s="50"/>
      <c r="K858" s="116">
        <f>IFERROR(VLOOKUP(B858,BD_CONTROL!$A$5:$M$4235,11,0),"")</f>
        <v>0</v>
      </c>
      <c r="L858" s="117">
        <f>IFERROR(VLOOKUP(B858,BD_CONTROL!$A$5:$M$4235,12,0),"")</f>
        <v>0</v>
      </c>
      <c r="M858" s="118">
        <f>IFERROR(VLOOKUP(B858,BD_CONTROL!$A$5:$M$4235,13,0),"")</f>
        <v>0</v>
      </c>
    </row>
    <row r="859" spans="1:13" ht="15" customHeight="1">
      <c r="A859" s="42">
        <v>854</v>
      </c>
      <c r="B859" s="42" t="s">
        <v>7600</v>
      </c>
      <c r="C859" s="43" t="s">
        <v>6735</v>
      </c>
      <c r="D859" s="42" t="s">
        <v>553</v>
      </c>
      <c r="E859" s="43" t="s">
        <v>7601</v>
      </c>
      <c r="F859" s="43" t="s">
        <v>7602</v>
      </c>
      <c r="G859" s="42" t="s">
        <v>6739</v>
      </c>
      <c r="H859" s="43" t="s">
        <v>1532</v>
      </c>
      <c r="I859" s="43" t="s">
        <v>6741</v>
      </c>
      <c r="J859" s="55"/>
      <c r="K859" s="119" t="str">
        <f>IFERROR(VLOOKUP(B859,BD_CONTROL!$A$5:$M$4235,11,0),"")</f>
        <v>Instalado - Operando</v>
      </c>
      <c r="L859" s="120">
        <f>IFERROR(VLOOKUP(B859,BD_CONTROL!$A$5:$M$4235,12,0),"")</f>
        <v>46147</v>
      </c>
      <c r="M859" s="121">
        <f>IFERROR(VLOOKUP(B859,BD_CONTROL!$A$5:$M$4235,13,0),"")</f>
        <v>0</v>
      </c>
    </row>
    <row r="860" spans="1:13" ht="15" customHeight="1">
      <c r="A860" s="39">
        <v>855</v>
      </c>
      <c r="B860" s="39" t="s">
        <v>7610</v>
      </c>
      <c r="C860" s="40" t="s">
        <v>6735</v>
      </c>
      <c r="D860" s="39" t="s">
        <v>553</v>
      </c>
      <c r="E860" s="40" t="s">
        <v>3028</v>
      </c>
      <c r="F860" s="40" t="s">
        <v>3028</v>
      </c>
      <c r="G860" s="39" t="s">
        <v>6739</v>
      </c>
      <c r="H860" s="40" t="s">
        <v>1532</v>
      </c>
      <c r="I860" s="40" t="s">
        <v>6741</v>
      </c>
      <c r="J860" s="50"/>
      <c r="K860" s="116" t="str">
        <f>IFERROR(VLOOKUP(B860,BD_CONTROL!$A$5:$M$4235,11,0),"")</f>
        <v>Instalado - Operando</v>
      </c>
      <c r="L860" s="117">
        <f>IFERROR(VLOOKUP(B860,BD_CONTROL!$A$5:$M$4235,12,0),"")</f>
        <v>46143</v>
      </c>
      <c r="M860" s="118">
        <f>IFERROR(VLOOKUP(B860,BD_CONTROL!$A$5:$M$4235,13,0),"")</f>
        <v>0</v>
      </c>
    </row>
    <row r="861" spans="1:13" ht="15" customHeight="1">
      <c r="A861" s="42">
        <v>856</v>
      </c>
      <c r="B861" s="42" t="s">
        <v>7611</v>
      </c>
      <c r="C861" s="43" t="s">
        <v>6735</v>
      </c>
      <c r="D861" s="42" t="s">
        <v>553</v>
      </c>
      <c r="E861" s="43" t="s">
        <v>3028</v>
      </c>
      <c r="F861" s="43" t="s">
        <v>7612</v>
      </c>
      <c r="G861" s="42" t="s">
        <v>6739</v>
      </c>
      <c r="H861" s="43" t="s">
        <v>1532</v>
      </c>
      <c r="I861" s="43" t="s">
        <v>6741</v>
      </c>
      <c r="J861" s="55"/>
      <c r="K861" s="119" t="str">
        <f>IFERROR(VLOOKUP(B861,BD_CONTROL!$A$5:$M$4235,11,0),"")</f>
        <v>Instalado - Operando</v>
      </c>
      <c r="L861" s="120">
        <f>IFERROR(VLOOKUP(B861,BD_CONTROL!$A$5:$M$4235,12,0),"")</f>
        <v>46143</v>
      </c>
      <c r="M861" s="121">
        <f>IFERROR(VLOOKUP(B861,BD_CONTROL!$A$5:$M$4235,13,0),"")</f>
        <v>0</v>
      </c>
    </row>
    <row r="862" spans="1:13" ht="15" customHeight="1">
      <c r="A862" s="39">
        <v>857</v>
      </c>
      <c r="B862" s="39" t="s">
        <v>7613</v>
      </c>
      <c r="C862" s="40" t="s">
        <v>6735</v>
      </c>
      <c r="D862" s="39" t="s">
        <v>553</v>
      </c>
      <c r="E862" s="40" t="s">
        <v>3028</v>
      </c>
      <c r="F862" s="40" t="s">
        <v>3029</v>
      </c>
      <c r="G862" s="39" t="s">
        <v>6739</v>
      </c>
      <c r="H862" s="40" t="s">
        <v>1532</v>
      </c>
      <c r="I862" s="40" t="s">
        <v>6741</v>
      </c>
      <c r="J862" s="50"/>
      <c r="K862" s="116" t="str">
        <f>IFERROR(VLOOKUP(B862,BD_CONTROL!$A$5:$M$4235,11,0),"")</f>
        <v>Instalado - Operando</v>
      </c>
      <c r="L862" s="117">
        <f>IFERROR(VLOOKUP(B862,BD_CONTROL!$A$5:$M$4235,12,0),"")</f>
        <v>46143</v>
      </c>
      <c r="M862" s="118">
        <f>IFERROR(VLOOKUP(B862,BD_CONTROL!$A$5:$M$4235,13,0),"")</f>
        <v>0</v>
      </c>
    </row>
    <row r="863" spans="1:13" ht="15" customHeight="1">
      <c r="A863" s="42">
        <v>858</v>
      </c>
      <c r="B863" s="42" t="s">
        <v>7614</v>
      </c>
      <c r="C863" s="43" t="s">
        <v>6735</v>
      </c>
      <c r="D863" s="42" t="s">
        <v>553</v>
      </c>
      <c r="E863" s="43" t="s">
        <v>7615</v>
      </c>
      <c r="F863" s="43" t="s">
        <v>1123</v>
      </c>
      <c r="G863" s="42" t="s">
        <v>6739</v>
      </c>
      <c r="H863" s="43" t="s">
        <v>1532</v>
      </c>
      <c r="I863" s="43" t="s">
        <v>6741</v>
      </c>
      <c r="J863" s="55"/>
      <c r="K863" s="119" t="str">
        <f>IFERROR(VLOOKUP(B863,BD_CONTROL!$A$5:$M$4235,11,0),"")</f>
        <v>Instalado - Operando</v>
      </c>
      <c r="L863" s="120">
        <f>IFERROR(VLOOKUP(B863,BD_CONTROL!$A$5:$M$4235,12,0),"")</f>
        <v>46150</v>
      </c>
      <c r="M863" s="121">
        <f>IFERROR(VLOOKUP(B863,BD_CONTROL!$A$5:$M$4235,13,0),"")</f>
        <v>0</v>
      </c>
    </row>
    <row r="864" spans="1:13" ht="15" customHeight="1">
      <c r="A864" s="39">
        <v>859</v>
      </c>
      <c r="B864" s="39" t="s">
        <v>7628</v>
      </c>
      <c r="C864" s="40" t="s">
        <v>6735</v>
      </c>
      <c r="D864" s="39" t="s">
        <v>553</v>
      </c>
      <c r="E864" s="40" t="s">
        <v>3126</v>
      </c>
      <c r="F864" s="40" t="s">
        <v>6449</v>
      </c>
      <c r="G864" s="39" t="s">
        <v>6739</v>
      </c>
      <c r="H864" s="40" t="s">
        <v>1532</v>
      </c>
      <c r="I864" s="40" t="s">
        <v>6741</v>
      </c>
      <c r="J864" s="50"/>
      <c r="K864" s="116" t="str">
        <f>IFERROR(VLOOKUP(B864,BD_CONTROL!$A$5:$M$4235,11,0),"")</f>
        <v>Instalado - Operando</v>
      </c>
      <c r="L864" s="117">
        <f>IFERROR(VLOOKUP(B864,BD_CONTROL!$A$5:$M$4235,12,0),"")</f>
        <v>46146</v>
      </c>
      <c r="M864" s="118">
        <f>IFERROR(VLOOKUP(B864,BD_CONTROL!$A$5:$M$4235,13,0),"")</f>
        <v>0</v>
      </c>
    </row>
    <row r="865" spans="1:13" ht="15" customHeight="1">
      <c r="A865" s="42">
        <v>860</v>
      </c>
      <c r="B865" s="42" t="s">
        <v>7629</v>
      </c>
      <c r="C865" s="43" t="s">
        <v>6735</v>
      </c>
      <c r="D865" s="42" t="s">
        <v>553</v>
      </c>
      <c r="E865" s="43" t="s">
        <v>3010</v>
      </c>
      <c r="F865" s="43" t="s">
        <v>3140</v>
      </c>
      <c r="G865" s="42" t="s">
        <v>6739</v>
      </c>
      <c r="H865" s="43" t="s">
        <v>1532</v>
      </c>
      <c r="I865" s="43" t="s">
        <v>6741</v>
      </c>
      <c r="J865" s="55"/>
      <c r="K865" s="119" t="str">
        <f>IFERROR(VLOOKUP(B865,BD_CONTROL!$A$5:$M$4235,11,0),"")</f>
        <v>Instalado - Operando</v>
      </c>
      <c r="L865" s="120">
        <f>IFERROR(VLOOKUP(B865,BD_CONTROL!$A$5:$M$4235,12,0),"")</f>
        <v>46149</v>
      </c>
      <c r="M865" s="121">
        <f>IFERROR(VLOOKUP(B865,BD_CONTROL!$A$5:$M$4235,13,0),"")</f>
        <v>0</v>
      </c>
    </row>
    <row r="866" spans="1:13" ht="15" customHeight="1">
      <c r="A866" s="39">
        <v>861</v>
      </c>
      <c r="B866" s="39" t="s">
        <v>7630</v>
      </c>
      <c r="C866" s="40" t="s">
        <v>6735</v>
      </c>
      <c r="D866" s="39" t="s">
        <v>553</v>
      </c>
      <c r="E866" s="40" t="s">
        <v>3064</v>
      </c>
      <c r="F866" s="40" t="s">
        <v>3064</v>
      </c>
      <c r="G866" s="39" t="s">
        <v>6739</v>
      </c>
      <c r="H866" s="40" t="s">
        <v>1532</v>
      </c>
      <c r="I866" s="40" t="s">
        <v>6741</v>
      </c>
      <c r="J866" s="50"/>
      <c r="K866" s="116">
        <f>IFERROR(VLOOKUP(B866,BD_CONTROL!$A$5:$M$4235,11,0),"")</f>
        <v>0</v>
      </c>
      <c r="L866" s="117">
        <f>IFERROR(VLOOKUP(B866,BD_CONTROL!$A$5:$M$4235,12,0),"")</f>
        <v>0</v>
      </c>
      <c r="M866" s="118">
        <f>IFERROR(VLOOKUP(B866,BD_CONTROL!$A$5:$M$4235,13,0),"")</f>
        <v>0</v>
      </c>
    </row>
    <row r="867" spans="1:13" ht="15" customHeight="1">
      <c r="A867" s="42">
        <v>862</v>
      </c>
      <c r="B867" s="42" t="s">
        <v>7631</v>
      </c>
      <c r="C867" s="43" t="s">
        <v>6735</v>
      </c>
      <c r="D867" s="42" t="s">
        <v>553</v>
      </c>
      <c r="E867" s="43" t="s">
        <v>3064</v>
      </c>
      <c r="F867" s="43" t="s">
        <v>3064</v>
      </c>
      <c r="G867" s="42" t="s">
        <v>6739</v>
      </c>
      <c r="H867" s="43" t="s">
        <v>1532</v>
      </c>
      <c r="I867" s="43" t="s">
        <v>6741</v>
      </c>
      <c r="J867" s="55"/>
      <c r="K867" s="119">
        <f>IFERROR(VLOOKUP(B867,BD_CONTROL!$A$5:$M$4235,11,0),"")</f>
        <v>0</v>
      </c>
      <c r="L867" s="120">
        <f>IFERROR(VLOOKUP(B867,BD_CONTROL!$A$5:$M$4235,12,0),"")</f>
        <v>0</v>
      </c>
      <c r="M867" s="121">
        <f>IFERROR(VLOOKUP(B867,BD_CONTROL!$A$5:$M$4235,13,0),"")</f>
        <v>0</v>
      </c>
    </row>
    <row r="868" spans="1:13" ht="15" customHeight="1">
      <c r="A868" s="39">
        <v>863</v>
      </c>
      <c r="B868" s="39" t="s">
        <v>7632</v>
      </c>
      <c r="C868" s="40" t="s">
        <v>6735</v>
      </c>
      <c r="D868" s="39" t="s">
        <v>553</v>
      </c>
      <c r="E868" s="40" t="s">
        <v>3126</v>
      </c>
      <c r="F868" s="40" t="s">
        <v>7633</v>
      </c>
      <c r="G868" s="39" t="s">
        <v>6739</v>
      </c>
      <c r="H868" s="40" t="s">
        <v>1532</v>
      </c>
      <c r="I868" s="40" t="s">
        <v>6741</v>
      </c>
      <c r="J868" s="50"/>
      <c r="K868" s="116" t="str">
        <f>IFERROR(VLOOKUP(B868,BD_CONTROL!$A$5:$M$4235,11,0),"")</f>
        <v>Instalado - Operando</v>
      </c>
      <c r="L868" s="117">
        <f>IFERROR(VLOOKUP(B868,BD_CONTROL!$A$5:$M$4235,12,0),"")</f>
        <v>46149</v>
      </c>
      <c r="M868" s="118">
        <f>IFERROR(VLOOKUP(B868,BD_CONTROL!$A$5:$M$4235,13,0),"")</f>
        <v>0</v>
      </c>
    </row>
    <row r="869" spans="1:13" ht="15" customHeight="1">
      <c r="A869" s="42">
        <v>864</v>
      </c>
      <c r="B869" s="42" t="s">
        <v>7634</v>
      </c>
      <c r="C869" s="43" t="s">
        <v>6735</v>
      </c>
      <c r="D869" s="42" t="s">
        <v>553</v>
      </c>
      <c r="E869" s="43" t="s">
        <v>3328</v>
      </c>
      <c r="F869" s="43" t="s">
        <v>7635</v>
      </c>
      <c r="G869" s="42" t="s">
        <v>6739</v>
      </c>
      <c r="H869" s="43" t="s">
        <v>1532</v>
      </c>
      <c r="I869" s="43" t="s">
        <v>6741</v>
      </c>
      <c r="J869" s="55"/>
      <c r="K869" s="119">
        <f>IFERROR(VLOOKUP(B869,BD_CONTROL!$A$5:$M$4235,11,0),"")</f>
        <v>0</v>
      </c>
      <c r="L869" s="120">
        <f>IFERROR(VLOOKUP(B869,BD_CONTROL!$A$5:$M$4235,12,0),"")</f>
        <v>0</v>
      </c>
      <c r="M869" s="121">
        <f>IFERROR(VLOOKUP(B869,BD_CONTROL!$A$5:$M$4235,13,0),"")</f>
        <v>0</v>
      </c>
    </row>
    <row r="870" spans="1:13" ht="15" customHeight="1">
      <c r="A870" s="39">
        <v>865</v>
      </c>
      <c r="B870" s="39" t="s">
        <v>7637</v>
      </c>
      <c r="C870" s="40" t="s">
        <v>6735</v>
      </c>
      <c r="D870" s="39" t="s">
        <v>553</v>
      </c>
      <c r="E870" s="40" t="s">
        <v>3064</v>
      </c>
      <c r="F870" s="40" t="s">
        <v>3064</v>
      </c>
      <c r="G870" s="39" t="s">
        <v>6739</v>
      </c>
      <c r="H870" s="40" t="s">
        <v>1532</v>
      </c>
      <c r="I870" s="40" t="s">
        <v>6741</v>
      </c>
      <c r="J870" s="50"/>
      <c r="K870" s="116">
        <f>IFERROR(VLOOKUP(B870,BD_CONTROL!$A$5:$M$4235,11,0),"")</f>
        <v>0</v>
      </c>
      <c r="L870" s="117">
        <f>IFERROR(VLOOKUP(B870,BD_CONTROL!$A$5:$M$4235,12,0),"")</f>
        <v>0</v>
      </c>
      <c r="M870" s="118">
        <f>IFERROR(VLOOKUP(B870,BD_CONTROL!$A$5:$M$4235,13,0),"")</f>
        <v>0</v>
      </c>
    </row>
    <row r="871" spans="1:13" ht="15" customHeight="1">
      <c r="A871" s="42">
        <v>866</v>
      </c>
      <c r="B871" s="42" t="s">
        <v>7638</v>
      </c>
      <c r="C871" s="43" t="s">
        <v>6735</v>
      </c>
      <c r="D871" s="42" t="s">
        <v>553</v>
      </c>
      <c r="E871" s="43" t="s">
        <v>3064</v>
      </c>
      <c r="F871" s="43" t="s">
        <v>3064</v>
      </c>
      <c r="G871" s="42" t="s">
        <v>6739</v>
      </c>
      <c r="H871" s="43" t="s">
        <v>1532</v>
      </c>
      <c r="I871" s="43" t="s">
        <v>6741</v>
      </c>
      <c r="J871" s="55"/>
      <c r="K871" s="119" t="str">
        <f>IFERROR(VLOOKUP(B871,BD_CONTROL!$A$5:$M$4235,11,0),"")</f>
        <v>Instalado - Operando</v>
      </c>
      <c r="L871" s="120">
        <f>IFERROR(VLOOKUP(B871,BD_CONTROL!$A$5:$M$4235,12,0),"")</f>
        <v>46146</v>
      </c>
      <c r="M871" s="121">
        <f>IFERROR(VLOOKUP(B871,BD_CONTROL!$A$5:$M$4235,13,0),"")</f>
        <v>0</v>
      </c>
    </row>
    <row r="872" spans="1:13" ht="15" customHeight="1">
      <c r="A872" s="39">
        <v>867</v>
      </c>
      <c r="B872" s="39" t="s">
        <v>7639</v>
      </c>
      <c r="C872" s="40" t="s">
        <v>6735</v>
      </c>
      <c r="D872" s="39" t="s">
        <v>553</v>
      </c>
      <c r="E872" s="40" t="s">
        <v>3064</v>
      </c>
      <c r="F872" s="40" t="s">
        <v>3064</v>
      </c>
      <c r="G872" s="39" t="s">
        <v>6739</v>
      </c>
      <c r="H872" s="40" t="s">
        <v>1532</v>
      </c>
      <c r="I872" s="40" t="s">
        <v>6741</v>
      </c>
      <c r="J872" s="50"/>
      <c r="K872" s="116">
        <f>IFERROR(VLOOKUP(B872,BD_CONTROL!$A$5:$M$4235,11,0),"")</f>
        <v>0</v>
      </c>
      <c r="L872" s="117">
        <f>IFERROR(VLOOKUP(B872,BD_CONTROL!$A$5:$M$4235,12,0),"")</f>
        <v>0</v>
      </c>
      <c r="M872" s="118">
        <f>IFERROR(VLOOKUP(B872,BD_CONTROL!$A$5:$M$4235,13,0),"")</f>
        <v>0</v>
      </c>
    </row>
    <row r="873" spans="1:13" ht="15" customHeight="1">
      <c r="A873" s="42">
        <v>868</v>
      </c>
      <c r="B873" s="42" t="s">
        <v>7644</v>
      </c>
      <c r="C873" s="43" t="s">
        <v>6735</v>
      </c>
      <c r="D873" s="42" t="s">
        <v>553</v>
      </c>
      <c r="E873" s="43" t="s">
        <v>3328</v>
      </c>
      <c r="F873" s="43" t="s">
        <v>3328</v>
      </c>
      <c r="G873" s="42" t="s">
        <v>6739</v>
      </c>
      <c r="H873" s="43" t="s">
        <v>1532</v>
      </c>
      <c r="I873" s="43" t="s">
        <v>6741</v>
      </c>
      <c r="J873" s="55"/>
      <c r="K873" s="119">
        <f>IFERROR(VLOOKUP(B873,BD_CONTROL!$A$5:$M$4235,11,0),"")</f>
        <v>0</v>
      </c>
      <c r="L873" s="120">
        <f>IFERROR(VLOOKUP(B873,BD_CONTROL!$A$5:$M$4235,12,0),"")</f>
        <v>0</v>
      </c>
      <c r="M873" s="121">
        <f>IFERROR(VLOOKUP(B873,BD_CONTROL!$A$5:$M$4235,13,0),"")</f>
        <v>0</v>
      </c>
    </row>
    <row r="874" spans="1:13" ht="15" customHeight="1">
      <c r="A874" s="39">
        <v>869</v>
      </c>
      <c r="B874" s="39" t="s">
        <v>7649</v>
      </c>
      <c r="C874" s="40" t="s">
        <v>6735</v>
      </c>
      <c r="D874" s="39" t="s">
        <v>553</v>
      </c>
      <c r="E874" s="40" t="s">
        <v>3064</v>
      </c>
      <c r="F874" s="40" t="s">
        <v>3064</v>
      </c>
      <c r="G874" s="39" t="s">
        <v>6739</v>
      </c>
      <c r="H874" s="40" t="s">
        <v>1532</v>
      </c>
      <c r="I874" s="40" t="s">
        <v>6741</v>
      </c>
      <c r="J874" s="50"/>
      <c r="K874" s="116" t="str">
        <f>IFERROR(VLOOKUP(B874,BD_CONTROL!$A$5:$M$4235,11,0),"")</f>
        <v>Instalado - Operando</v>
      </c>
      <c r="L874" s="117">
        <f>IFERROR(VLOOKUP(B874,BD_CONTROL!$A$5:$M$4235,12,0),"")</f>
        <v>46146</v>
      </c>
      <c r="M874" s="118">
        <f>IFERROR(VLOOKUP(B874,BD_CONTROL!$A$5:$M$4235,13,0),"")</f>
        <v>0</v>
      </c>
    </row>
    <row r="875" spans="1:13" ht="15" customHeight="1">
      <c r="A875" s="42">
        <v>870</v>
      </c>
      <c r="B875" s="42" t="s">
        <v>7653</v>
      </c>
      <c r="C875" s="43" t="s">
        <v>6735</v>
      </c>
      <c r="D875" s="42" t="s">
        <v>3370</v>
      </c>
      <c r="E875" s="43" t="s">
        <v>3664</v>
      </c>
      <c r="F875" s="43" t="s">
        <v>7654</v>
      </c>
      <c r="G875" s="42" t="s">
        <v>6739</v>
      </c>
      <c r="H875" s="43" t="s">
        <v>1532</v>
      </c>
      <c r="I875" s="43" t="s">
        <v>6741</v>
      </c>
      <c r="J875" s="55"/>
      <c r="K875" s="119" t="str">
        <f>IFERROR(VLOOKUP(B875,BD_CONTROL!$A$5:$M$4235,11,0),"")</f>
        <v>Instalado - Operando</v>
      </c>
      <c r="L875" s="120">
        <f>IFERROR(VLOOKUP(B875,BD_CONTROL!$A$5:$M$4235,12,0),"")</f>
        <v>46143</v>
      </c>
      <c r="M875" s="121">
        <f>IFERROR(VLOOKUP(B875,BD_CONTROL!$A$5:$M$4235,13,0),"")</f>
        <v>0</v>
      </c>
    </row>
    <row r="876" spans="1:13" ht="15" customHeight="1">
      <c r="A876" s="39">
        <v>871</v>
      </c>
      <c r="B876" s="39" t="s">
        <v>7655</v>
      </c>
      <c r="C876" s="40" t="s">
        <v>6735</v>
      </c>
      <c r="D876" s="39" t="s">
        <v>3370</v>
      </c>
      <c r="E876" s="40" t="s">
        <v>3664</v>
      </c>
      <c r="F876" s="40" t="s">
        <v>1428</v>
      </c>
      <c r="G876" s="39" t="s">
        <v>6739</v>
      </c>
      <c r="H876" s="40" t="s">
        <v>1532</v>
      </c>
      <c r="I876" s="40" t="s">
        <v>6741</v>
      </c>
      <c r="J876" s="50"/>
      <c r="K876" s="116" t="str">
        <f>IFERROR(VLOOKUP(B876,BD_CONTROL!$A$5:$M$4235,11,0),"")</f>
        <v>Instalado - Operando</v>
      </c>
      <c r="L876" s="117">
        <f>IFERROR(VLOOKUP(B876,BD_CONTROL!$A$5:$M$4235,12,0),"")</f>
        <v>46149</v>
      </c>
      <c r="M876" s="118">
        <f>IFERROR(VLOOKUP(B876,BD_CONTROL!$A$5:$M$4235,13,0),"")</f>
        <v>0</v>
      </c>
    </row>
    <row r="877" spans="1:13" ht="15" customHeight="1">
      <c r="A877" s="42">
        <v>872</v>
      </c>
      <c r="B877" s="42" t="s">
        <v>7656</v>
      </c>
      <c r="C877" s="43" t="s">
        <v>6735</v>
      </c>
      <c r="D877" s="42" t="s">
        <v>3370</v>
      </c>
      <c r="E877" s="43" t="s">
        <v>3447</v>
      </c>
      <c r="F877" s="43" t="s">
        <v>7657</v>
      </c>
      <c r="G877" s="42" t="s">
        <v>6739</v>
      </c>
      <c r="H877" s="43" t="s">
        <v>3449</v>
      </c>
      <c r="I877" s="43" t="s">
        <v>6741</v>
      </c>
      <c r="J877" s="55"/>
      <c r="K877" s="119" t="str">
        <f>IFERROR(VLOOKUP(B877,BD_CONTROL!$A$5:$M$4235,11,0),"")</f>
        <v>Instalado - Operando</v>
      </c>
      <c r="L877" s="120">
        <f>IFERROR(VLOOKUP(B877,BD_CONTROL!$A$5:$M$4235,12,0),"")</f>
        <v>46146</v>
      </c>
      <c r="M877" s="121">
        <f>IFERROR(VLOOKUP(B877,BD_CONTROL!$A$5:$M$4235,13,0),"")</f>
        <v>0</v>
      </c>
    </row>
    <row r="878" spans="1:13" ht="15" customHeight="1">
      <c r="A878" s="39">
        <v>873</v>
      </c>
      <c r="B878" s="39" t="s">
        <v>7658</v>
      </c>
      <c r="C878" s="40" t="s">
        <v>6735</v>
      </c>
      <c r="D878" s="39" t="s">
        <v>3370</v>
      </c>
      <c r="E878" s="40" t="s">
        <v>3447</v>
      </c>
      <c r="F878" s="40" t="s">
        <v>3794</v>
      </c>
      <c r="G878" s="39" t="s">
        <v>6739</v>
      </c>
      <c r="H878" s="40" t="s">
        <v>3449</v>
      </c>
      <c r="I878" s="40" t="s">
        <v>6741</v>
      </c>
      <c r="J878" s="50"/>
      <c r="K878" s="116" t="str">
        <f>IFERROR(VLOOKUP(B878,BD_CONTROL!$A$5:$M$4235,11,0),"")</f>
        <v>Visitado</v>
      </c>
      <c r="L878" s="117">
        <f>IFERROR(VLOOKUP(B878,BD_CONTROL!$A$5:$M$4235,12,0),"")</f>
        <v>46150</v>
      </c>
      <c r="M878" s="118" t="str">
        <f>IFERROR(VLOOKUP(B878,BD_CONTROL!$A$5:$M$4235,13,0),"")</f>
        <v>NO CONCRETADO ***= YA CUENTA CON ANTENA INSTALADA Y SE GENERA TICKET DE MESA DE AYUDA</v>
      </c>
    </row>
    <row r="879" spans="1:13" ht="15" customHeight="1">
      <c r="A879" s="42">
        <v>874</v>
      </c>
      <c r="B879" s="42" t="s">
        <v>7660</v>
      </c>
      <c r="C879" s="43" t="s">
        <v>6735</v>
      </c>
      <c r="D879" s="42" t="s">
        <v>3370</v>
      </c>
      <c r="E879" s="43" t="s">
        <v>3447</v>
      </c>
      <c r="F879" s="43" t="s">
        <v>3574</v>
      </c>
      <c r="G879" s="42" t="s">
        <v>6739</v>
      </c>
      <c r="H879" s="43" t="s">
        <v>3449</v>
      </c>
      <c r="I879" s="43" t="s">
        <v>6741</v>
      </c>
      <c r="J879" s="55"/>
      <c r="K879" s="119" t="str">
        <f>IFERROR(VLOOKUP(B879,BD_CONTROL!$A$5:$M$4235,11,0),"")</f>
        <v>Instalado - Operando</v>
      </c>
      <c r="L879" s="120">
        <f>IFERROR(VLOOKUP(B879,BD_CONTROL!$A$5:$M$4235,12,0),"")</f>
        <v>46143</v>
      </c>
      <c r="M879" s="121">
        <f>IFERROR(VLOOKUP(B879,BD_CONTROL!$A$5:$M$4235,13,0),"")</f>
        <v>0</v>
      </c>
    </row>
    <row r="880" spans="1:13" ht="15" customHeight="1">
      <c r="A880" s="39">
        <v>875</v>
      </c>
      <c r="B880" s="39" t="s">
        <v>7661</v>
      </c>
      <c r="C880" s="40" t="s">
        <v>6735</v>
      </c>
      <c r="D880" s="39" t="s">
        <v>3370</v>
      </c>
      <c r="E880" s="40" t="s">
        <v>3797</v>
      </c>
      <c r="F880" s="40" t="s">
        <v>4555</v>
      </c>
      <c r="G880" s="39" t="s">
        <v>6739</v>
      </c>
      <c r="H880" s="40" t="s">
        <v>1532</v>
      </c>
      <c r="I880" s="40" t="s">
        <v>6741</v>
      </c>
      <c r="J880" s="50"/>
      <c r="K880" s="116" t="str">
        <f>IFERROR(VLOOKUP(B880,BD_CONTROL!$A$5:$M$4235,11,0),"")</f>
        <v>Instalado - Operando</v>
      </c>
      <c r="L880" s="117">
        <f>IFERROR(VLOOKUP(B880,BD_CONTROL!$A$5:$M$4235,12,0),"")</f>
        <v>46146</v>
      </c>
      <c r="M880" s="118">
        <f>IFERROR(VLOOKUP(B880,BD_CONTROL!$A$5:$M$4235,13,0),"")</f>
        <v>0</v>
      </c>
    </row>
    <row r="881" spans="1:13" ht="15" customHeight="1">
      <c r="A881" s="42">
        <v>876</v>
      </c>
      <c r="B881" s="42" t="s">
        <v>7662</v>
      </c>
      <c r="C881" s="43" t="s">
        <v>6735</v>
      </c>
      <c r="D881" s="42" t="s">
        <v>3370</v>
      </c>
      <c r="E881" s="43" t="s">
        <v>3735</v>
      </c>
      <c r="F881" s="43" t="s">
        <v>3801</v>
      </c>
      <c r="G881" s="42" t="s">
        <v>6739</v>
      </c>
      <c r="H881" s="43" t="s">
        <v>3391</v>
      </c>
      <c r="I881" s="43" t="s">
        <v>6741</v>
      </c>
      <c r="J881" s="55"/>
      <c r="K881" s="119" t="str">
        <f>IFERROR(VLOOKUP(B881,BD_CONTROL!$A$5:$M$4235,11,0),"")</f>
        <v>Instalado - Operando</v>
      </c>
      <c r="L881" s="120">
        <f>IFERROR(VLOOKUP(B881,BD_CONTROL!$A$5:$M$4235,12,0),"")</f>
        <v>46139</v>
      </c>
      <c r="M881" s="121">
        <f>IFERROR(VLOOKUP(B881,BD_CONTROL!$A$5:$M$4235,13,0),"")</f>
        <v>0</v>
      </c>
    </row>
    <row r="882" spans="1:13" ht="15" customHeight="1">
      <c r="A882" s="39">
        <v>877</v>
      </c>
      <c r="B882" s="39" t="s">
        <v>7663</v>
      </c>
      <c r="C882" s="40" t="s">
        <v>6735</v>
      </c>
      <c r="D882" s="39" t="s">
        <v>3370</v>
      </c>
      <c r="E882" s="40" t="s">
        <v>3451</v>
      </c>
      <c r="F882" s="40" t="s">
        <v>7664</v>
      </c>
      <c r="G882" s="39" t="s">
        <v>6739</v>
      </c>
      <c r="H882" s="40" t="s">
        <v>3391</v>
      </c>
      <c r="I882" s="40" t="s">
        <v>6741</v>
      </c>
      <c r="J882" s="50"/>
      <c r="K882" s="129" t="str">
        <f>IFERROR(VLOOKUP(B882,BD_CONTROL!$A$5:$M$4235,11,0),"")</f>
        <v>INSTALADO - OPERANDO</v>
      </c>
      <c r="L882" s="117">
        <f>IFERROR(VLOOKUP(B882,BD_CONTROL!$A$5:$M$4235,12,0),"")</f>
        <v>46120</v>
      </c>
      <c r="M882" s="118" t="str">
        <f>IFERROR(VLOOKUP(B882,BD_CONTROL!$A$5:$M$4235,13,0),"")</f>
        <v>Cargado desde DB instalación 23/04/2026</v>
      </c>
    </row>
    <row r="883" spans="1:13" ht="15" customHeight="1">
      <c r="A883" s="42">
        <v>878</v>
      </c>
      <c r="B883" s="42" t="s">
        <v>7665</v>
      </c>
      <c r="C883" s="43" t="s">
        <v>6735</v>
      </c>
      <c r="D883" s="42" t="s">
        <v>3370</v>
      </c>
      <c r="E883" s="43" t="s">
        <v>3451</v>
      </c>
      <c r="F883" s="43" t="s">
        <v>7666</v>
      </c>
      <c r="G883" s="42" t="s">
        <v>6739</v>
      </c>
      <c r="H883" s="43" t="s">
        <v>3391</v>
      </c>
      <c r="I883" s="43" t="s">
        <v>6741</v>
      </c>
      <c r="J883" s="55"/>
      <c r="K883" s="129" t="str">
        <f>IFERROR(VLOOKUP(B883,BD_CONTROL!$A$5:$M$4235,11,0),"")</f>
        <v>INSTALADO - OPERANDO</v>
      </c>
      <c r="L883" s="120">
        <f>IFERROR(VLOOKUP(B883,BD_CONTROL!$A$5:$M$4235,12,0),"")</f>
        <v>46120</v>
      </c>
      <c r="M883" s="121" t="str">
        <f>IFERROR(VLOOKUP(B883,BD_CONTROL!$A$5:$M$4235,13,0),"")</f>
        <v>Cargado desde DB instalación 23/04/2026</v>
      </c>
    </row>
    <row r="884" spans="1:13" ht="15" customHeight="1">
      <c r="A884" s="39">
        <v>879</v>
      </c>
      <c r="B884" s="39" t="s">
        <v>7667</v>
      </c>
      <c r="C884" s="40" t="s">
        <v>6735</v>
      </c>
      <c r="D884" s="39" t="s">
        <v>3370</v>
      </c>
      <c r="E884" s="40" t="s">
        <v>3451</v>
      </c>
      <c r="F884" s="40" t="s">
        <v>7668</v>
      </c>
      <c r="G884" s="39" t="s">
        <v>6739</v>
      </c>
      <c r="H884" s="40" t="s">
        <v>3391</v>
      </c>
      <c r="I884" s="40" t="s">
        <v>6741</v>
      </c>
      <c r="J884" s="50"/>
      <c r="K884" s="129" t="str">
        <f>IFERROR(VLOOKUP(B884,BD_CONTROL!$A$5:$M$4235,11,0),"")</f>
        <v>INSTALADO - OPERANDO</v>
      </c>
      <c r="L884" s="117">
        <f>IFERROR(VLOOKUP(B884,BD_CONTROL!$A$5:$M$4235,12,0),"")</f>
        <v>46120</v>
      </c>
      <c r="M884" s="118" t="str">
        <f>IFERROR(VLOOKUP(B884,BD_CONTROL!$A$5:$M$4235,13,0),"")</f>
        <v>Cargado desde DB instalación 23/04/2026</v>
      </c>
    </row>
    <row r="885" spans="1:13" ht="15" customHeight="1">
      <c r="A885" s="42">
        <v>880</v>
      </c>
      <c r="B885" s="42" t="s">
        <v>7669</v>
      </c>
      <c r="C885" s="43" t="s">
        <v>6735</v>
      </c>
      <c r="D885" s="42" t="s">
        <v>3370</v>
      </c>
      <c r="E885" s="43" t="s">
        <v>3451</v>
      </c>
      <c r="F885" s="43" t="s">
        <v>3813</v>
      </c>
      <c r="G885" s="42" t="s">
        <v>6739</v>
      </c>
      <c r="H885" s="43" t="s">
        <v>3391</v>
      </c>
      <c r="I885" s="43" t="s">
        <v>6741</v>
      </c>
      <c r="J885" s="55"/>
      <c r="K885" s="129" t="str">
        <f>IFERROR(VLOOKUP(B885,BD_CONTROL!$A$5:$M$4235,11,0),"")</f>
        <v>INSTALADO - OPERANDO</v>
      </c>
      <c r="L885" s="120">
        <f>IFERROR(VLOOKUP(B885,BD_CONTROL!$A$5:$M$4235,12,0),"")</f>
        <v>46120</v>
      </c>
      <c r="M885" s="121" t="str">
        <f>IFERROR(VLOOKUP(B885,BD_CONTROL!$A$5:$M$4235,13,0),"")</f>
        <v>Cargado desde DB instalación 23/04/2026</v>
      </c>
    </row>
    <row r="886" spans="1:13" ht="15" customHeight="1">
      <c r="A886" s="39">
        <v>881</v>
      </c>
      <c r="B886" s="39" t="s">
        <v>7670</v>
      </c>
      <c r="C886" s="40" t="s">
        <v>6735</v>
      </c>
      <c r="D886" s="39" t="s">
        <v>3370</v>
      </c>
      <c r="E886" s="40" t="s">
        <v>3832</v>
      </c>
      <c r="F886" s="40" t="s">
        <v>7671</v>
      </c>
      <c r="G886" s="39" t="s">
        <v>6739</v>
      </c>
      <c r="H886" s="40" t="s">
        <v>3391</v>
      </c>
      <c r="I886" s="40" t="s">
        <v>6741</v>
      </c>
      <c r="J886" s="50"/>
      <c r="K886" s="129" t="str">
        <f>IFERROR(VLOOKUP(B886,BD_CONTROL!$A$5:$M$4235,11,0),"")</f>
        <v>INSTALADO - OPERANDO</v>
      </c>
      <c r="L886" s="117">
        <f>IFERROR(VLOOKUP(B886,BD_CONTROL!$A$5:$M$4235,12,0),"")</f>
        <v>46125</v>
      </c>
      <c r="M886" s="118" t="str">
        <f>IFERROR(VLOOKUP(B886,BD_CONTROL!$A$5:$M$4235,13,0),"")</f>
        <v>Cargado desde DB instalación 23/04/2026</v>
      </c>
    </row>
    <row r="887" spans="1:13" ht="15" customHeight="1">
      <c r="A887" s="42">
        <v>882</v>
      </c>
      <c r="B887" s="42" t="s">
        <v>7672</v>
      </c>
      <c r="C887" s="43" t="s">
        <v>6735</v>
      </c>
      <c r="D887" s="42" t="s">
        <v>3370</v>
      </c>
      <c r="E887" s="43" t="s">
        <v>3832</v>
      </c>
      <c r="F887" s="43" t="s">
        <v>7673</v>
      </c>
      <c r="G887" s="42" t="s">
        <v>6739</v>
      </c>
      <c r="H887" s="43" t="s">
        <v>3391</v>
      </c>
      <c r="I887" s="43" t="s">
        <v>6741</v>
      </c>
      <c r="J887" s="55"/>
      <c r="K887" s="129" t="str">
        <f>IFERROR(VLOOKUP(B887,BD_CONTROL!$A$5:$M$4235,11,0),"")</f>
        <v>INSTALADO - OPERANDO</v>
      </c>
      <c r="L887" s="120">
        <f>IFERROR(VLOOKUP(B887,BD_CONTROL!$A$5:$M$4235,12,0),"")</f>
        <v>46127</v>
      </c>
      <c r="M887" s="121" t="str">
        <f>IFERROR(VLOOKUP(B887,BD_CONTROL!$A$5:$M$4235,13,0),"")</f>
        <v>Cargado desde DB instalación 23/04/2026</v>
      </c>
    </row>
    <row r="888" spans="1:13" ht="15" customHeight="1">
      <c r="A888" s="39">
        <v>883</v>
      </c>
      <c r="B888" s="39" t="s">
        <v>7674</v>
      </c>
      <c r="C888" s="40" t="s">
        <v>6735</v>
      </c>
      <c r="D888" s="39" t="s">
        <v>3370</v>
      </c>
      <c r="E888" s="40" t="s">
        <v>3832</v>
      </c>
      <c r="F888" s="40" t="s">
        <v>7671</v>
      </c>
      <c r="G888" s="39" t="s">
        <v>6739</v>
      </c>
      <c r="H888" s="40" t="s">
        <v>3391</v>
      </c>
      <c r="I888" s="40" t="s">
        <v>6741</v>
      </c>
      <c r="J888" s="50"/>
      <c r="K888" s="129" t="str">
        <f>IFERROR(VLOOKUP(B888,BD_CONTROL!$A$5:$M$4235,11,0),"")</f>
        <v>INSTALADO - OPERANDO</v>
      </c>
      <c r="L888" s="117">
        <f>IFERROR(VLOOKUP(B888,BD_CONTROL!$A$5:$M$4235,12,0),"")</f>
        <v>46125</v>
      </c>
      <c r="M888" s="118" t="str">
        <f>IFERROR(VLOOKUP(B888,BD_CONTROL!$A$5:$M$4235,13,0),"")</f>
        <v>Cargado desde DB instalación 23/04/2026</v>
      </c>
    </row>
    <row r="889" spans="1:13" ht="15" customHeight="1">
      <c r="A889" s="42">
        <v>884</v>
      </c>
      <c r="B889" s="42" t="s">
        <v>7677</v>
      </c>
      <c r="C889" s="43" t="s">
        <v>6735</v>
      </c>
      <c r="D889" s="42" t="s">
        <v>3370</v>
      </c>
      <c r="E889" s="43" t="s">
        <v>3849</v>
      </c>
      <c r="F889" s="43" t="s">
        <v>7678</v>
      </c>
      <c r="G889" s="42" t="s">
        <v>6739</v>
      </c>
      <c r="H889" s="43" t="s">
        <v>3449</v>
      </c>
      <c r="I889" s="43" t="s">
        <v>6741</v>
      </c>
      <c r="J889" s="55"/>
      <c r="K889" s="119" t="str">
        <f>IFERROR(VLOOKUP(B889,BD_CONTROL!$A$5:$M$4235,11,0),"")</f>
        <v>Instalado - Operando</v>
      </c>
      <c r="L889" s="120">
        <f>IFERROR(VLOOKUP(B889,BD_CONTROL!$A$5:$M$4235,12,0),"")</f>
        <v>46149</v>
      </c>
      <c r="M889" s="121">
        <f>IFERROR(VLOOKUP(B889,BD_CONTROL!$A$5:$M$4235,13,0),"")</f>
        <v>0</v>
      </c>
    </row>
    <row r="890" spans="1:13" ht="15" customHeight="1">
      <c r="A890" s="39">
        <v>885</v>
      </c>
      <c r="B890" s="39" t="s">
        <v>7686</v>
      </c>
      <c r="C890" s="40" t="s">
        <v>6735</v>
      </c>
      <c r="D890" s="39" t="s">
        <v>3370</v>
      </c>
      <c r="E890" s="40" t="s">
        <v>3856</v>
      </c>
      <c r="F890" s="40" t="s">
        <v>7687</v>
      </c>
      <c r="G890" s="39" t="s">
        <v>6739</v>
      </c>
      <c r="H890" s="40" t="s">
        <v>3391</v>
      </c>
      <c r="I890" s="40" t="s">
        <v>6741</v>
      </c>
      <c r="J890" s="50"/>
      <c r="K890" s="129" t="str">
        <f>IFERROR(VLOOKUP(B890,BD_CONTROL!$A$5:$M$4235,11,0),"")</f>
        <v>INSTALADO - OPERANDO</v>
      </c>
      <c r="L890" s="117">
        <f>IFERROR(VLOOKUP(B890,BD_CONTROL!$A$5:$M$4235,12,0),"")</f>
        <v>46129</v>
      </c>
      <c r="M890" s="118" t="str">
        <f>IFERROR(VLOOKUP(B890,BD_CONTROL!$A$5:$M$4235,13,0),"")</f>
        <v>Cargado desde DB instalación 23/04/2026</v>
      </c>
    </row>
    <row r="891" spans="1:13" ht="15" customHeight="1">
      <c r="A891" s="42">
        <v>886</v>
      </c>
      <c r="B891" s="42" t="s">
        <v>7691</v>
      </c>
      <c r="C891" s="43" t="s">
        <v>6735</v>
      </c>
      <c r="D891" s="42" t="s">
        <v>3370</v>
      </c>
      <c r="E891" s="43" t="s">
        <v>3465</v>
      </c>
      <c r="F891" s="43" t="s">
        <v>7692</v>
      </c>
      <c r="G891" s="42" t="s">
        <v>6739</v>
      </c>
      <c r="H891" s="43" t="s">
        <v>3391</v>
      </c>
      <c r="I891" s="43" t="s">
        <v>6741</v>
      </c>
      <c r="J891" s="55"/>
      <c r="K891" s="129" t="str">
        <f>IFERROR(VLOOKUP(B891,BD_CONTROL!$A$5:$M$4235,11,0),"")</f>
        <v>INSTALADO - OPERANDO</v>
      </c>
      <c r="L891" s="120">
        <f>IFERROR(VLOOKUP(B891,BD_CONTROL!$A$5:$M$4235,12,0),"")</f>
        <v>46120</v>
      </c>
      <c r="M891" s="121" t="str">
        <f>IFERROR(VLOOKUP(B891,BD_CONTROL!$A$5:$M$4235,13,0),"")</f>
        <v>Cargado desde DB instalación 23/04/2026</v>
      </c>
    </row>
    <row r="892" spans="1:13" ht="15" customHeight="1">
      <c r="A892" s="39">
        <v>887</v>
      </c>
      <c r="B892" s="39" t="s">
        <v>7693</v>
      </c>
      <c r="C892" s="40" t="s">
        <v>6735</v>
      </c>
      <c r="D892" s="39" t="s">
        <v>3370</v>
      </c>
      <c r="E892" s="40" t="s">
        <v>3465</v>
      </c>
      <c r="F892" s="40" t="s">
        <v>7694</v>
      </c>
      <c r="G892" s="39" t="s">
        <v>6739</v>
      </c>
      <c r="H892" s="40" t="s">
        <v>3391</v>
      </c>
      <c r="I892" s="40" t="s">
        <v>6741</v>
      </c>
      <c r="J892" s="50"/>
      <c r="K892" s="129" t="str">
        <f>IFERROR(VLOOKUP(B892,BD_CONTROL!$A$5:$M$4235,11,0),"")</f>
        <v>INSTALADO - OPERANDO</v>
      </c>
      <c r="L892" s="117">
        <f>IFERROR(VLOOKUP(B892,BD_CONTROL!$A$5:$M$4235,12,0),"")</f>
        <v>46120</v>
      </c>
      <c r="M892" s="118" t="str">
        <f>IFERROR(VLOOKUP(B892,BD_CONTROL!$A$5:$M$4235,13,0),"")</f>
        <v>Cargado desde DB instalación 23/04/2026</v>
      </c>
    </row>
    <row r="893" spans="1:13" ht="15" customHeight="1">
      <c r="A893" s="42">
        <v>888</v>
      </c>
      <c r="B893" s="42" t="s">
        <v>7695</v>
      </c>
      <c r="C893" s="43" t="s">
        <v>6735</v>
      </c>
      <c r="D893" s="42" t="s">
        <v>3370</v>
      </c>
      <c r="E893" s="43" t="s">
        <v>3465</v>
      </c>
      <c r="F893" s="43" t="s">
        <v>3466</v>
      </c>
      <c r="G893" s="42" t="s">
        <v>6739</v>
      </c>
      <c r="H893" s="43" t="s">
        <v>3391</v>
      </c>
      <c r="I893" s="43" t="s">
        <v>6741</v>
      </c>
      <c r="J893" s="55"/>
      <c r="K893" s="129" t="str">
        <f>IFERROR(VLOOKUP(B893,BD_CONTROL!$A$5:$M$4235,11,0),"")</f>
        <v>INSTALADO - OPERANDO</v>
      </c>
      <c r="L893" s="120">
        <f>IFERROR(VLOOKUP(B893,BD_CONTROL!$A$5:$M$4235,12,0),"")</f>
        <v>46119</v>
      </c>
      <c r="M893" s="121" t="str">
        <f>IFERROR(VLOOKUP(B893,BD_CONTROL!$A$5:$M$4235,13,0),"")</f>
        <v>Cargado desde DB instalación 23/04/2026</v>
      </c>
    </row>
    <row r="894" spans="1:13" ht="15" customHeight="1">
      <c r="A894" s="39">
        <v>889</v>
      </c>
      <c r="B894" s="39" t="s">
        <v>7696</v>
      </c>
      <c r="C894" s="40" t="s">
        <v>6735</v>
      </c>
      <c r="D894" s="39" t="s">
        <v>3370</v>
      </c>
      <c r="E894" s="40" t="s">
        <v>3465</v>
      </c>
      <c r="F894" s="40" t="s">
        <v>7697</v>
      </c>
      <c r="G894" s="39" t="s">
        <v>6739</v>
      </c>
      <c r="H894" s="40" t="s">
        <v>3391</v>
      </c>
      <c r="I894" s="40" t="s">
        <v>6741</v>
      </c>
      <c r="J894" s="50"/>
      <c r="K894" s="129" t="str">
        <f>IFERROR(VLOOKUP(B894,BD_CONTROL!$A$5:$M$4235,11,0),"")</f>
        <v>INSTALADO - OPERANDO</v>
      </c>
      <c r="L894" s="117">
        <f>IFERROR(VLOOKUP(B894,BD_CONTROL!$A$5:$M$4235,12,0),"")</f>
        <v>46119</v>
      </c>
      <c r="M894" s="118" t="str">
        <f>IFERROR(VLOOKUP(B894,BD_CONTROL!$A$5:$M$4235,13,0),"")</f>
        <v>Cargado desde DB instalación 23/04/2026</v>
      </c>
    </row>
    <row r="895" spans="1:13" ht="15" customHeight="1">
      <c r="A895" s="42">
        <v>890</v>
      </c>
      <c r="B895" s="42" t="s">
        <v>7698</v>
      </c>
      <c r="C895" s="43" t="s">
        <v>6735</v>
      </c>
      <c r="D895" s="42" t="s">
        <v>3370</v>
      </c>
      <c r="E895" s="43" t="s">
        <v>3465</v>
      </c>
      <c r="F895" s="43" t="s">
        <v>7699</v>
      </c>
      <c r="G895" s="42" t="s">
        <v>6739</v>
      </c>
      <c r="H895" s="43" t="s">
        <v>3391</v>
      </c>
      <c r="I895" s="43" t="s">
        <v>6741</v>
      </c>
      <c r="J895" s="55"/>
      <c r="K895" s="119">
        <f>IFERROR(VLOOKUP(B895,BD_CONTROL!$A$5:$M$4235,11,0),"")</f>
        <v>0</v>
      </c>
      <c r="L895" s="120">
        <f>IFERROR(VLOOKUP(B895,BD_CONTROL!$A$5:$M$4235,12,0),"")</f>
        <v>0</v>
      </c>
      <c r="M895" s="121">
        <f>IFERROR(VLOOKUP(B895,BD_CONTROL!$A$5:$M$4235,13,0),"")</f>
        <v>0</v>
      </c>
    </row>
    <row r="896" spans="1:13" ht="15" customHeight="1">
      <c r="A896" s="39">
        <v>891</v>
      </c>
      <c r="B896" s="39" t="s">
        <v>7704</v>
      </c>
      <c r="C896" s="40" t="s">
        <v>6735</v>
      </c>
      <c r="D896" s="39" t="s">
        <v>3370</v>
      </c>
      <c r="E896" s="40" t="s">
        <v>3753</v>
      </c>
      <c r="F896" s="40" t="s">
        <v>3880</v>
      </c>
      <c r="G896" s="39" t="s">
        <v>6739</v>
      </c>
      <c r="H896" s="40" t="s">
        <v>3391</v>
      </c>
      <c r="I896" s="40" t="s">
        <v>6741</v>
      </c>
      <c r="J896" s="50"/>
      <c r="K896" s="116" t="str">
        <f>IFERROR(VLOOKUP(B896,BD_CONTROL!$A$5:$M$4235,11,0),"")</f>
        <v>Instalado - Operando</v>
      </c>
      <c r="L896" s="117">
        <f>IFERROR(VLOOKUP(B896,BD_CONTROL!$A$5:$M$4235,12,0),"")</f>
        <v>46148</v>
      </c>
      <c r="M896" s="118">
        <f>IFERROR(VLOOKUP(B896,BD_CONTROL!$A$5:$M$4235,13,0),"")</f>
        <v>0</v>
      </c>
    </row>
    <row r="897" spans="1:13" ht="15" customHeight="1">
      <c r="A897" s="42">
        <v>892</v>
      </c>
      <c r="B897" s="42" t="s">
        <v>7705</v>
      </c>
      <c r="C897" s="43" t="s">
        <v>6735</v>
      </c>
      <c r="D897" s="42" t="s">
        <v>3370</v>
      </c>
      <c r="E897" s="43" t="s">
        <v>3753</v>
      </c>
      <c r="F897" s="43" t="s">
        <v>7706</v>
      </c>
      <c r="G897" s="42" t="s">
        <v>6739</v>
      </c>
      <c r="H897" s="43" t="s">
        <v>3391</v>
      </c>
      <c r="I897" s="43" t="s">
        <v>6741</v>
      </c>
      <c r="J897" s="55"/>
      <c r="K897" s="119" t="str">
        <f>IFERROR(VLOOKUP(B897,BD_CONTROL!$A$5:$M$4235,11,0),"")</f>
        <v>Instalado - Operando</v>
      </c>
      <c r="L897" s="120">
        <f>IFERROR(VLOOKUP(B897,BD_CONTROL!$A$5:$M$4235,12,0),"")</f>
        <v>46150</v>
      </c>
      <c r="M897" s="121">
        <f>IFERROR(VLOOKUP(B897,BD_CONTROL!$A$5:$M$4235,13,0),"")</f>
        <v>0</v>
      </c>
    </row>
    <row r="898" spans="1:13" ht="15" customHeight="1">
      <c r="A898" s="39">
        <v>893</v>
      </c>
      <c r="B898" s="39" t="s">
        <v>7714</v>
      </c>
      <c r="C898" s="40" t="s">
        <v>6735</v>
      </c>
      <c r="D898" s="39" t="s">
        <v>3370</v>
      </c>
      <c r="E898" s="40" t="s">
        <v>4099</v>
      </c>
      <c r="F898" s="40" t="s">
        <v>7715</v>
      </c>
      <c r="G898" s="39" t="s">
        <v>6739</v>
      </c>
      <c r="H898" s="40" t="s">
        <v>3449</v>
      </c>
      <c r="I898" s="40" t="s">
        <v>6741</v>
      </c>
      <c r="J898" s="50"/>
      <c r="K898" s="116" t="str">
        <f>IFERROR(VLOOKUP(B898,BD_CONTROL!$A$5:$M$4235,11,0),"")</f>
        <v>Instalado - Operando</v>
      </c>
      <c r="L898" s="117">
        <f>IFERROR(VLOOKUP(B898,BD_CONTROL!$A$5:$M$4235,12,0),"")</f>
        <v>46147</v>
      </c>
      <c r="M898" s="118">
        <f>IFERROR(VLOOKUP(B898,BD_CONTROL!$A$5:$M$4235,13,0),"")</f>
        <v>0</v>
      </c>
    </row>
    <row r="899" spans="1:13" ht="15" customHeight="1">
      <c r="A899" s="42">
        <v>894</v>
      </c>
      <c r="B899" s="42" t="s">
        <v>7716</v>
      </c>
      <c r="C899" s="43" t="s">
        <v>6735</v>
      </c>
      <c r="D899" s="42" t="s">
        <v>3370</v>
      </c>
      <c r="E899" s="43" t="s">
        <v>4099</v>
      </c>
      <c r="F899" s="43" t="s">
        <v>4099</v>
      </c>
      <c r="G899" s="42" t="s">
        <v>6739</v>
      </c>
      <c r="H899" s="43" t="s">
        <v>3449</v>
      </c>
      <c r="I899" s="43" t="s">
        <v>6741</v>
      </c>
      <c r="J899" s="55"/>
      <c r="K899" s="119" t="str">
        <f>IFERROR(VLOOKUP(B899,BD_CONTROL!$A$5:$M$4235,11,0),"")</f>
        <v>Instalado - Operando</v>
      </c>
      <c r="L899" s="120">
        <f>IFERROR(VLOOKUP(B899,BD_CONTROL!$A$5:$M$4235,12,0),"")</f>
        <v>46146</v>
      </c>
      <c r="M899" s="121">
        <f>IFERROR(VLOOKUP(B899,BD_CONTROL!$A$5:$M$4235,13,0),"")</f>
        <v>0</v>
      </c>
    </row>
    <row r="900" spans="1:13" ht="15" customHeight="1">
      <c r="A900" s="39">
        <v>895</v>
      </c>
      <c r="B900" s="39" t="s">
        <v>7719</v>
      </c>
      <c r="C900" s="40" t="s">
        <v>6735</v>
      </c>
      <c r="D900" s="39" t="s">
        <v>3370</v>
      </c>
      <c r="E900" s="40" t="s">
        <v>7621</v>
      </c>
      <c r="F900" s="40" t="s">
        <v>7720</v>
      </c>
      <c r="G900" s="39" t="s">
        <v>6739</v>
      </c>
      <c r="H900" s="40" t="s">
        <v>3449</v>
      </c>
      <c r="I900" s="40" t="s">
        <v>6741</v>
      </c>
      <c r="J900" s="50"/>
      <c r="K900" s="116" t="str">
        <f>IFERROR(VLOOKUP(B900,BD_CONTROL!$A$5:$M$4235,11,0),"")</f>
        <v>Instalado - Operando</v>
      </c>
      <c r="L900" s="117">
        <f>IFERROR(VLOOKUP(B900,BD_CONTROL!$A$5:$M$4235,12,0),"")</f>
        <v>46142</v>
      </c>
      <c r="M900" s="118">
        <f>IFERROR(VLOOKUP(B900,BD_CONTROL!$A$5:$M$4235,13,0),"")</f>
        <v>0</v>
      </c>
    </row>
    <row r="901" spans="1:13" ht="15" customHeight="1">
      <c r="A901" s="42">
        <v>896</v>
      </c>
      <c r="B901" s="42" t="s">
        <v>7747</v>
      </c>
      <c r="C901" s="43" t="s">
        <v>6735</v>
      </c>
      <c r="D901" s="42" t="s">
        <v>3370</v>
      </c>
      <c r="E901" s="43" t="s">
        <v>3561</v>
      </c>
      <c r="F901" s="43" t="s">
        <v>7748</v>
      </c>
      <c r="G901" s="42" t="s">
        <v>6739</v>
      </c>
      <c r="H901" s="43" t="s">
        <v>3449</v>
      </c>
      <c r="I901" s="43" t="s">
        <v>6741</v>
      </c>
      <c r="J901" s="55"/>
      <c r="K901" s="119" t="str">
        <f>IFERROR(VLOOKUP(B901,BD_CONTROL!$A$5:$M$4235,11,0),"")</f>
        <v>Instalado - Operando</v>
      </c>
      <c r="L901" s="120">
        <f>IFERROR(VLOOKUP(B901,BD_CONTROL!$A$5:$M$4235,12,0),"")</f>
        <v>46147</v>
      </c>
      <c r="M901" s="121">
        <f>IFERROR(VLOOKUP(B901,BD_CONTROL!$A$5:$M$4235,13,0),"")</f>
        <v>0</v>
      </c>
    </row>
    <row r="902" spans="1:13" ht="15" customHeight="1">
      <c r="A902" s="39">
        <v>897</v>
      </c>
      <c r="B902" s="39" t="s">
        <v>7749</v>
      </c>
      <c r="C902" s="40" t="s">
        <v>6735</v>
      </c>
      <c r="D902" s="39" t="s">
        <v>3370</v>
      </c>
      <c r="E902" s="40" t="s">
        <v>3696</v>
      </c>
      <c r="F902" s="40" t="s">
        <v>7750</v>
      </c>
      <c r="G902" s="39" t="s">
        <v>6739</v>
      </c>
      <c r="H902" s="40" t="s">
        <v>3391</v>
      </c>
      <c r="I902" s="40" t="s">
        <v>6741</v>
      </c>
      <c r="J902" s="50"/>
      <c r="K902" s="129" t="str">
        <f>IFERROR(VLOOKUP(B902,BD_CONTROL!$A$5:$M$4235,11,0),"")</f>
        <v>INSTALADO - OPERANDO</v>
      </c>
      <c r="L902" s="117">
        <f>IFERROR(VLOOKUP(B902,BD_CONTROL!$A$5:$M$4235,12,0),"")</f>
        <v>46121</v>
      </c>
      <c r="M902" s="118" t="str">
        <f>IFERROR(VLOOKUP(B902,BD_CONTROL!$A$5:$M$4235,13,0),"")</f>
        <v>Cargado desde DB instalación 23/04/2026</v>
      </c>
    </row>
    <row r="903" spans="1:13" ht="15" customHeight="1">
      <c r="A903" s="42">
        <v>898</v>
      </c>
      <c r="B903" s="42" t="s">
        <v>7751</v>
      </c>
      <c r="C903" s="43" t="s">
        <v>6735</v>
      </c>
      <c r="D903" s="42" t="s">
        <v>3370</v>
      </c>
      <c r="E903" s="43" t="s">
        <v>3696</v>
      </c>
      <c r="F903" s="43" t="s">
        <v>7752</v>
      </c>
      <c r="G903" s="42" t="s">
        <v>6739</v>
      </c>
      <c r="H903" s="43" t="s">
        <v>3391</v>
      </c>
      <c r="I903" s="43" t="s">
        <v>6741</v>
      </c>
      <c r="J903" s="55"/>
      <c r="K903" s="129" t="str">
        <f>IFERROR(VLOOKUP(B903,BD_CONTROL!$A$5:$M$4235,11,0),"")</f>
        <v>INSTALADO - OPERANDO</v>
      </c>
      <c r="L903" s="120">
        <f>IFERROR(VLOOKUP(B903,BD_CONTROL!$A$5:$M$4235,12,0),"")</f>
        <v>46121</v>
      </c>
      <c r="M903" s="121" t="str">
        <f>IFERROR(VLOOKUP(B903,BD_CONTROL!$A$5:$M$4235,13,0),"")</f>
        <v>Cargado desde DB instalación 23/04/2026</v>
      </c>
    </row>
    <row r="904" spans="1:13" ht="15" customHeight="1">
      <c r="A904" s="39">
        <v>899</v>
      </c>
      <c r="B904" s="39" t="s">
        <v>7753</v>
      </c>
      <c r="C904" s="40" t="s">
        <v>6735</v>
      </c>
      <c r="D904" s="39" t="s">
        <v>3370</v>
      </c>
      <c r="E904" s="40" t="s">
        <v>3696</v>
      </c>
      <c r="F904" s="40" t="s">
        <v>7752</v>
      </c>
      <c r="G904" s="39" t="s">
        <v>6739</v>
      </c>
      <c r="H904" s="40" t="s">
        <v>3391</v>
      </c>
      <c r="I904" s="40" t="s">
        <v>6741</v>
      </c>
      <c r="J904" s="50"/>
      <c r="K904" s="129" t="str">
        <f>IFERROR(VLOOKUP(B904,BD_CONTROL!$A$5:$M$4235,11,0),"")</f>
        <v>INSTALADO - OPERANDO</v>
      </c>
      <c r="L904" s="117">
        <f>IFERROR(VLOOKUP(B904,BD_CONTROL!$A$5:$M$4235,12,0),"")</f>
        <v>46121</v>
      </c>
      <c r="M904" s="118" t="str">
        <f>IFERROR(VLOOKUP(B904,BD_CONTROL!$A$5:$M$4235,13,0),"")</f>
        <v>Cargado desde DB instalación 23/04/2026</v>
      </c>
    </row>
    <row r="905" spans="1:13" ht="15" customHeight="1">
      <c r="A905" s="42">
        <v>900</v>
      </c>
      <c r="B905" s="42" t="s">
        <v>7758</v>
      </c>
      <c r="C905" s="43" t="s">
        <v>6735</v>
      </c>
      <c r="D905" s="42" t="s">
        <v>3370</v>
      </c>
      <c r="E905" s="43" t="s">
        <v>4134</v>
      </c>
      <c r="F905" s="43" t="s">
        <v>7759</v>
      </c>
      <c r="G905" s="42" t="s">
        <v>6739</v>
      </c>
      <c r="H905" s="43" t="s">
        <v>3391</v>
      </c>
      <c r="I905" s="43" t="s">
        <v>6741</v>
      </c>
      <c r="J905" s="55"/>
      <c r="K905" s="129" t="str">
        <f>IFERROR(VLOOKUP(B905,BD_CONTROL!$A$5:$M$4235,11,0),"")</f>
        <v>INSTALADO - OPERANDO</v>
      </c>
      <c r="L905" s="120">
        <f>IFERROR(VLOOKUP(B905,BD_CONTROL!$A$5:$M$4235,12,0),"")</f>
        <v>46122</v>
      </c>
      <c r="M905" s="121" t="str">
        <f>IFERROR(VLOOKUP(B905,BD_CONTROL!$A$5:$M$4235,13,0),"")</f>
        <v>Cargado desde DB instalación 23/04/2026</v>
      </c>
    </row>
    <row r="906" spans="1:13" ht="15" customHeight="1">
      <c r="A906" s="39">
        <v>901</v>
      </c>
      <c r="B906" s="39" t="s">
        <v>7760</v>
      </c>
      <c r="C906" s="40" t="s">
        <v>6735</v>
      </c>
      <c r="D906" s="39" t="s">
        <v>3370</v>
      </c>
      <c r="E906" s="40" t="s">
        <v>4134</v>
      </c>
      <c r="F906" s="40" t="s">
        <v>7761</v>
      </c>
      <c r="G906" s="39" t="s">
        <v>6739</v>
      </c>
      <c r="H906" s="40" t="s">
        <v>3391</v>
      </c>
      <c r="I906" s="40" t="s">
        <v>6741</v>
      </c>
      <c r="J906" s="50"/>
      <c r="K906" s="129" t="str">
        <f>IFERROR(VLOOKUP(B906,BD_CONTROL!$A$5:$M$4235,11,0),"")</f>
        <v>INSTALADO - OPERANDO</v>
      </c>
      <c r="L906" s="117">
        <f>IFERROR(VLOOKUP(B906,BD_CONTROL!$A$5:$M$4235,12,0),"")</f>
        <v>46122</v>
      </c>
      <c r="M906" s="118" t="str">
        <f>IFERROR(VLOOKUP(B906,BD_CONTROL!$A$5:$M$4235,13,0),"")</f>
        <v>Cargado desde DB instalación 23/04/2026</v>
      </c>
    </row>
    <row r="907" spans="1:13" ht="15" customHeight="1">
      <c r="A907" s="42">
        <v>902</v>
      </c>
      <c r="B907" s="42" t="s">
        <v>7762</v>
      </c>
      <c r="C907" s="43" t="s">
        <v>6735</v>
      </c>
      <c r="D907" s="42" t="s">
        <v>3370</v>
      </c>
      <c r="E907" s="43" t="s">
        <v>4134</v>
      </c>
      <c r="F907" s="43" t="s">
        <v>7763</v>
      </c>
      <c r="G907" s="42" t="s">
        <v>6739</v>
      </c>
      <c r="H907" s="43" t="s">
        <v>3391</v>
      </c>
      <c r="I907" s="43" t="s">
        <v>6741</v>
      </c>
      <c r="J907" s="55"/>
      <c r="K907" s="129" t="str">
        <f>IFERROR(VLOOKUP(B907,BD_CONTROL!$A$5:$M$4235,11,0),"")</f>
        <v>INSTALADO - OPERANDO</v>
      </c>
      <c r="L907" s="120">
        <f>IFERROR(VLOOKUP(B907,BD_CONTROL!$A$5:$M$4235,12,0),"")</f>
        <v>46126</v>
      </c>
      <c r="M907" s="121" t="str">
        <f>IFERROR(VLOOKUP(B907,BD_CONTROL!$A$5:$M$4235,13,0),"")</f>
        <v>Cargado desde DB instalación 23/04/2026</v>
      </c>
    </row>
    <row r="908" spans="1:13" ht="15" customHeight="1">
      <c r="A908" s="39">
        <v>903</v>
      </c>
      <c r="B908" s="39" t="s">
        <v>7764</v>
      </c>
      <c r="C908" s="40" t="s">
        <v>6735</v>
      </c>
      <c r="D908" s="39" t="s">
        <v>3370</v>
      </c>
      <c r="E908" s="40" t="s">
        <v>4134</v>
      </c>
      <c r="F908" s="40" t="s">
        <v>4135</v>
      </c>
      <c r="G908" s="39" t="s">
        <v>6739</v>
      </c>
      <c r="H908" s="40" t="s">
        <v>3391</v>
      </c>
      <c r="I908" s="40" t="s">
        <v>6741</v>
      </c>
      <c r="J908" s="50"/>
      <c r="K908" s="129" t="str">
        <f>IFERROR(VLOOKUP(B908,BD_CONTROL!$A$5:$M$4235,11,0),"")</f>
        <v>INSTALADO - OPERANDO</v>
      </c>
      <c r="L908" s="117">
        <f>IFERROR(VLOOKUP(B908,BD_CONTROL!$A$5:$M$4235,12,0),"")</f>
        <v>46122</v>
      </c>
      <c r="M908" s="118" t="str">
        <f>IFERROR(VLOOKUP(B908,BD_CONTROL!$A$5:$M$4235,13,0),"")</f>
        <v>Cargado desde DB instalación 23/04/2026</v>
      </c>
    </row>
    <row r="909" spans="1:13" ht="15" customHeight="1">
      <c r="A909" s="42">
        <v>904</v>
      </c>
      <c r="B909" s="42" t="s">
        <v>7818</v>
      </c>
      <c r="C909" s="43" t="s">
        <v>6735</v>
      </c>
      <c r="D909" s="42" t="s">
        <v>3370</v>
      </c>
      <c r="E909" s="43" t="s">
        <v>7819</v>
      </c>
      <c r="F909" s="43" t="s">
        <v>7819</v>
      </c>
      <c r="G909" s="42" t="s">
        <v>6739</v>
      </c>
      <c r="H909" s="43" t="s">
        <v>3449</v>
      </c>
      <c r="I909" s="43" t="s">
        <v>6741</v>
      </c>
      <c r="J909" s="55"/>
      <c r="K909" s="119" t="str">
        <f>IFERROR(VLOOKUP(B909,BD_CONTROL!$A$5:$M$4235,11,0),"")</f>
        <v>Instalado - Operando</v>
      </c>
      <c r="L909" s="120">
        <f>IFERROR(VLOOKUP(B909,BD_CONTROL!$A$5:$M$4235,12,0),"")</f>
        <v>46147</v>
      </c>
      <c r="M909" s="121">
        <f>IFERROR(VLOOKUP(B909,BD_CONTROL!$A$5:$M$4235,13,0),"")</f>
        <v>0</v>
      </c>
    </row>
    <row r="910" spans="1:13" ht="15" customHeight="1">
      <c r="A910" s="39">
        <v>905</v>
      </c>
      <c r="B910" s="39" t="s">
        <v>7826</v>
      </c>
      <c r="C910" s="40" t="s">
        <v>6735</v>
      </c>
      <c r="D910" s="39" t="s">
        <v>3370</v>
      </c>
      <c r="E910" s="40" t="s">
        <v>3971</v>
      </c>
      <c r="F910" s="40" t="s">
        <v>7827</v>
      </c>
      <c r="G910" s="39" t="s">
        <v>6739</v>
      </c>
      <c r="H910" s="40" t="s">
        <v>3391</v>
      </c>
      <c r="I910" s="40" t="s">
        <v>6741</v>
      </c>
      <c r="J910" s="50"/>
      <c r="K910" s="116" t="str">
        <f>IFERROR(VLOOKUP(B910,BD_CONTROL!$A$5:$M$4235,11,0),"")</f>
        <v>Instalado - Operando</v>
      </c>
      <c r="L910" s="117">
        <f>IFERROR(VLOOKUP(B910,BD_CONTROL!$A$5:$M$4235,12,0),"")</f>
        <v>46142</v>
      </c>
      <c r="M910" s="118">
        <f>IFERROR(VLOOKUP(B910,BD_CONTROL!$A$5:$M$4235,13,0),"")</f>
        <v>0</v>
      </c>
    </row>
    <row r="911" spans="1:13" ht="15" customHeight="1">
      <c r="A911" s="42">
        <v>906</v>
      </c>
      <c r="B911" s="42" t="s">
        <v>7830</v>
      </c>
      <c r="C911" s="43" t="s">
        <v>6735</v>
      </c>
      <c r="D911" s="42" t="s">
        <v>3370</v>
      </c>
      <c r="E911" s="43" t="s">
        <v>5462</v>
      </c>
      <c r="F911" s="43" t="s">
        <v>7831</v>
      </c>
      <c r="G911" s="42" t="s">
        <v>6739</v>
      </c>
      <c r="H911" s="43" t="s">
        <v>3391</v>
      </c>
      <c r="I911" s="43" t="s">
        <v>6741</v>
      </c>
      <c r="J911" s="55"/>
      <c r="K911" s="129" t="str">
        <f>IFERROR(VLOOKUP(B911,BD_CONTROL!$A$5:$M$4235,11,0),"")</f>
        <v>INSTALADO - OPERANDO</v>
      </c>
      <c r="L911" s="120">
        <f>IFERROR(VLOOKUP(B911,BD_CONTROL!$A$5:$M$4235,12,0),"")</f>
        <v>46099</v>
      </c>
      <c r="M911" s="121" t="str">
        <f>IFERROR(VLOOKUP(B911,BD_CONTROL!$A$5:$M$4235,13,0),"")</f>
        <v>Cargado desde DB instalación 23/04/2026</v>
      </c>
    </row>
    <row r="912" spans="1:13" ht="15" customHeight="1">
      <c r="A912" s="39">
        <v>907</v>
      </c>
      <c r="B912" s="39" t="s">
        <v>7832</v>
      </c>
      <c r="C912" s="40" t="s">
        <v>6735</v>
      </c>
      <c r="D912" s="39" t="s">
        <v>3370</v>
      </c>
      <c r="E912" s="40" t="s">
        <v>7833</v>
      </c>
      <c r="F912" s="40" t="s">
        <v>7834</v>
      </c>
      <c r="G912" s="39" t="s">
        <v>6739</v>
      </c>
      <c r="H912" s="40" t="s">
        <v>1532</v>
      </c>
      <c r="I912" s="40" t="s">
        <v>6741</v>
      </c>
      <c r="J912" s="50"/>
      <c r="K912" s="116" t="str">
        <f>IFERROR(VLOOKUP(B912,BD_CONTROL!$A$5:$M$4235,11,0),"")</f>
        <v>Instalado - Operando</v>
      </c>
      <c r="L912" s="117">
        <f>IFERROR(VLOOKUP(B912,BD_CONTROL!$A$5:$M$4235,12,0),"")</f>
        <v>46143</v>
      </c>
      <c r="M912" s="118">
        <f>IFERROR(VLOOKUP(B912,BD_CONTROL!$A$5:$M$4235,13,0),"")</f>
        <v>0</v>
      </c>
    </row>
    <row r="913" spans="1:13" ht="15" customHeight="1">
      <c r="A913" s="42">
        <v>908</v>
      </c>
      <c r="B913" s="42" t="s">
        <v>7835</v>
      </c>
      <c r="C913" s="43" t="s">
        <v>6735</v>
      </c>
      <c r="D913" s="42" t="s">
        <v>3370</v>
      </c>
      <c r="E913" s="43" t="s">
        <v>3718</v>
      </c>
      <c r="F913" s="43" t="s">
        <v>7836</v>
      </c>
      <c r="G913" s="42" t="s">
        <v>6739</v>
      </c>
      <c r="H913" s="43" t="s">
        <v>3391</v>
      </c>
      <c r="I913" s="43" t="s">
        <v>6741</v>
      </c>
      <c r="J913" s="55"/>
      <c r="K913" s="119" t="str">
        <f>IFERROR(VLOOKUP(B913,BD_CONTROL!$A$5:$M$4235,11,0),"")</f>
        <v>Instalado - Operando</v>
      </c>
      <c r="L913" s="120">
        <f>IFERROR(VLOOKUP(B913,BD_CONTROL!$A$5:$M$4235,12,0),"")</f>
        <v>46148</v>
      </c>
      <c r="M913" s="121">
        <f>IFERROR(VLOOKUP(B913,BD_CONTROL!$A$5:$M$4235,13,0),"")</f>
        <v>0</v>
      </c>
    </row>
    <row r="914" spans="1:13" ht="15" customHeight="1">
      <c r="A914" s="39">
        <v>909</v>
      </c>
      <c r="B914" s="39" t="s">
        <v>7842</v>
      </c>
      <c r="C914" s="40" t="s">
        <v>6735</v>
      </c>
      <c r="D914" s="39" t="s">
        <v>3370</v>
      </c>
      <c r="E914" s="40" t="s">
        <v>4185</v>
      </c>
      <c r="F914" s="40" t="s">
        <v>7843</v>
      </c>
      <c r="G914" s="39" t="s">
        <v>6739</v>
      </c>
      <c r="H914" s="40" t="s">
        <v>3391</v>
      </c>
      <c r="I914" s="40" t="s">
        <v>6741</v>
      </c>
      <c r="J914" s="50"/>
      <c r="K914" s="116" t="str">
        <f>IFERROR(VLOOKUP(B914,BD_CONTROL!$A$5:$M$4235,11,0),"")</f>
        <v>Instalado - Operando</v>
      </c>
      <c r="L914" s="117">
        <f>IFERROR(VLOOKUP(B914,BD_CONTROL!$A$5:$M$4235,12,0),"")</f>
        <v>46153</v>
      </c>
      <c r="M914" s="118">
        <f>IFERROR(VLOOKUP(B914,BD_CONTROL!$A$5:$M$4235,13,0),"")</f>
        <v>0</v>
      </c>
    </row>
    <row r="915" spans="1:13" ht="15" customHeight="1">
      <c r="A915" s="42">
        <v>910</v>
      </c>
      <c r="B915" s="42" t="s">
        <v>7844</v>
      </c>
      <c r="C915" s="43" t="s">
        <v>6735</v>
      </c>
      <c r="D915" s="42" t="s">
        <v>3370</v>
      </c>
      <c r="E915" s="43" t="s">
        <v>4195</v>
      </c>
      <c r="F915" s="43" t="s">
        <v>7845</v>
      </c>
      <c r="G915" s="42" t="s">
        <v>6739</v>
      </c>
      <c r="H915" s="43" t="s">
        <v>3391</v>
      </c>
      <c r="I915" s="43" t="s">
        <v>6741</v>
      </c>
      <c r="J915" s="55"/>
      <c r="K915" s="129" t="str">
        <f>IFERROR(VLOOKUP(B915,BD_CONTROL!$A$5:$M$4235,11,0),"")</f>
        <v>INSTALADO - OPERANDO</v>
      </c>
      <c r="L915" s="120">
        <f>IFERROR(VLOOKUP(B915,BD_CONTROL!$A$5:$M$4235,12,0),"")</f>
        <v>46111</v>
      </c>
      <c r="M915" s="121" t="str">
        <f>IFERROR(VLOOKUP(B915,BD_CONTROL!$A$5:$M$4235,13,0),"")</f>
        <v>Cargado desde DB instalación 23/04/2026</v>
      </c>
    </row>
    <row r="916" spans="1:13" ht="15" customHeight="1">
      <c r="A916" s="39">
        <v>911</v>
      </c>
      <c r="B916" s="39" t="s">
        <v>7846</v>
      </c>
      <c r="C916" s="40" t="s">
        <v>6735</v>
      </c>
      <c r="D916" s="39" t="s">
        <v>3370</v>
      </c>
      <c r="E916" s="40" t="s">
        <v>7847</v>
      </c>
      <c r="F916" s="40" t="s">
        <v>7848</v>
      </c>
      <c r="G916" s="39" t="s">
        <v>6739</v>
      </c>
      <c r="H916" s="40" t="s">
        <v>3391</v>
      </c>
      <c r="I916" s="40" t="s">
        <v>6741</v>
      </c>
      <c r="J916" s="50"/>
      <c r="K916" s="129" t="str">
        <f>IFERROR(VLOOKUP(B916,BD_CONTROL!$A$5:$M$4235,11,0),"")</f>
        <v>INSTALADO - OPERANDO</v>
      </c>
      <c r="L916" s="117">
        <f>IFERROR(VLOOKUP(B916,BD_CONTROL!$A$5:$M$4235,12,0),"")</f>
        <v>46125</v>
      </c>
      <c r="M916" s="118" t="str">
        <f>IFERROR(VLOOKUP(B916,BD_CONTROL!$A$5:$M$4235,13,0),"")</f>
        <v>Cargado desde DB instalación 23/04/2026</v>
      </c>
    </row>
    <row r="917" spans="1:13" ht="15" customHeight="1">
      <c r="A917" s="42">
        <v>912</v>
      </c>
      <c r="B917" s="42" t="s">
        <v>7849</v>
      </c>
      <c r="C917" s="43" t="s">
        <v>6735</v>
      </c>
      <c r="D917" s="42" t="s">
        <v>3370</v>
      </c>
      <c r="E917" s="43" t="s">
        <v>7847</v>
      </c>
      <c r="F917" s="43" t="s">
        <v>7850</v>
      </c>
      <c r="G917" s="42" t="s">
        <v>6739</v>
      </c>
      <c r="H917" s="43" t="s">
        <v>3391</v>
      </c>
      <c r="I917" s="43" t="s">
        <v>6741</v>
      </c>
      <c r="J917" s="55"/>
      <c r="K917" s="129" t="str">
        <f>IFERROR(VLOOKUP(B917,BD_CONTROL!$A$5:$M$4235,11,0),"")</f>
        <v>INSTALADO - OPERANDO</v>
      </c>
      <c r="L917" s="120">
        <f>IFERROR(VLOOKUP(B917,BD_CONTROL!$A$5:$M$4235,12,0),"")</f>
        <v>46125</v>
      </c>
      <c r="M917" s="121" t="str">
        <f>IFERROR(VLOOKUP(B917,BD_CONTROL!$A$5:$M$4235,13,0),"")</f>
        <v>Cargado desde DB instalación 23/04/2026</v>
      </c>
    </row>
    <row r="918" spans="1:13" ht="15" customHeight="1">
      <c r="A918" s="39">
        <v>913</v>
      </c>
      <c r="B918" s="39" t="s">
        <v>7873</v>
      </c>
      <c r="C918" s="40" t="s">
        <v>6735</v>
      </c>
      <c r="D918" s="39" t="s">
        <v>3370</v>
      </c>
      <c r="E918" s="40" t="s">
        <v>4017</v>
      </c>
      <c r="F918" s="40" t="s">
        <v>7874</v>
      </c>
      <c r="G918" s="39" t="s">
        <v>6739</v>
      </c>
      <c r="H918" s="40" t="s">
        <v>3449</v>
      </c>
      <c r="I918" s="40" t="s">
        <v>6741</v>
      </c>
      <c r="J918" s="50"/>
      <c r="K918" s="116" t="str">
        <f>IFERROR(VLOOKUP(B918,BD_CONTROL!$A$5:$M$4235,11,0),"")</f>
        <v>Instalado - Operando</v>
      </c>
      <c r="L918" s="117">
        <f>IFERROR(VLOOKUP(B918,BD_CONTROL!$A$5:$M$4235,12,0),"")</f>
        <v>46142</v>
      </c>
      <c r="M918" s="118">
        <f>IFERROR(VLOOKUP(B918,BD_CONTROL!$A$5:$M$4235,13,0),"")</f>
        <v>0</v>
      </c>
    </row>
    <row r="919" spans="1:13" ht="15" customHeight="1">
      <c r="A919" s="42">
        <v>914</v>
      </c>
      <c r="B919" s="42" t="s">
        <v>7875</v>
      </c>
      <c r="C919" s="43" t="s">
        <v>6735</v>
      </c>
      <c r="D919" s="42" t="s">
        <v>3370</v>
      </c>
      <c r="E919" s="43" t="s">
        <v>4017</v>
      </c>
      <c r="F919" s="43" t="s">
        <v>7876</v>
      </c>
      <c r="G919" s="42" t="s">
        <v>6739</v>
      </c>
      <c r="H919" s="43" t="s">
        <v>3449</v>
      </c>
      <c r="I919" s="43" t="s">
        <v>6741</v>
      </c>
      <c r="J919" s="55"/>
      <c r="K919" s="119" t="str">
        <f>IFERROR(VLOOKUP(B919,BD_CONTROL!$A$5:$M$4235,11,0),"")</f>
        <v>Instalado - Operando</v>
      </c>
      <c r="L919" s="120">
        <f>IFERROR(VLOOKUP(B919,BD_CONTROL!$A$5:$M$4235,12,0),"")</f>
        <v>46149</v>
      </c>
      <c r="M919" s="121">
        <f>IFERROR(VLOOKUP(B919,BD_CONTROL!$A$5:$M$4235,13,0),"")</f>
        <v>0</v>
      </c>
    </row>
    <row r="920" spans="1:13" ht="15" customHeight="1">
      <c r="A920" s="39">
        <v>915</v>
      </c>
      <c r="B920" s="39" t="s">
        <v>7877</v>
      </c>
      <c r="C920" s="40" t="s">
        <v>6735</v>
      </c>
      <c r="D920" s="39" t="s">
        <v>3370</v>
      </c>
      <c r="E920" s="40" t="s">
        <v>4017</v>
      </c>
      <c r="F920" s="40" t="s">
        <v>7878</v>
      </c>
      <c r="G920" s="39" t="s">
        <v>6739</v>
      </c>
      <c r="H920" s="40" t="s">
        <v>3449</v>
      </c>
      <c r="I920" s="40" t="s">
        <v>6741</v>
      </c>
      <c r="J920" s="50"/>
      <c r="K920" s="116" t="str">
        <f>IFERROR(VLOOKUP(B920,BD_CONTROL!$A$5:$M$4235,11,0),"")</f>
        <v>Instalado - Operando</v>
      </c>
      <c r="L920" s="117">
        <f>IFERROR(VLOOKUP(B920,BD_CONTROL!$A$5:$M$4235,12,0),"")</f>
        <v>46141</v>
      </c>
      <c r="M920" s="118">
        <f>IFERROR(VLOOKUP(B920,BD_CONTROL!$A$5:$M$4235,13,0),"")</f>
        <v>0</v>
      </c>
    </row>
    <row r="921" spans="1:13" ht="15" customHeight="1">
      <c r="A921" s="42">
        <v>916</v>
      </c>
      <c r="B921" s="42" t="s">
        <v>7879</v>
      </c>
      <c r="C921" s="43" t="s">
        <v>6735</v>
      </c>
      <c r="D921" s="42" t="s">
        <v>3370</v>
      </c>
      <c r="E921" s="43" t="s">
        <v>4017</v>
      </c>
      <c r="F921" s="43" t="s">
        <v>7880</v>
      </c>
      <c r="G921" s="42" t="s">
        <v>6739</v>
      </c>
      <c r="H921" s="43" t="s">
        <v>3449</v>
      </c>
      <c r="I921" s="43" t="s">
        <v>6741</v>
      </c>
      <c r="J921" s="55"/>
      <c r="K921" s="119" t="str">
        <f>IFERROR(VLOOKUP(B921,BD_CONTROL!$A$5:$M$4235,11,0),"")</f>
        <v>Instalado - Operando</v>
      </c>
      <c r="L921" s="120">
        <f>IFERROR(VLOOKUP(B921,BD_CONTROL!$A$5:$M$4235,12,0),"")</f>
        <v>46146</v>
      </c>
      <c r="M921" s="121">
        <f>IFERROR(VLOOKUP(B921,BD_CONTROL!$A$5:$M$4235,13,0),"")</f>
        <v>0</v>
      </c>
    </row>
    <row r="922" spans="1:13" ht="15" customHeight="1">
      <c r="A922" s="39">
        <v>917</v>
      </c>
      <c r="B922" s="39" t="s">
        <v>7886</v>
      </c>
      <c r="C922" s="40" t="s">
        <v>6735</v>
      </c>
      <c r="D922" s="39" t="s">
        <v>3370</v>
      </c>
      <c r="E922" s="40" t="s">
        <v>3699</v>
      </c>
      <c r="F922" s="40" t="s">
        <v>3699</v>
      </c>
      <c r="G922" s="39" t="s">
        <v>6739</v>
      </c>
      <c r="H922" s="40" t="s">
        <v>3391</v>
      </c>
      <c r="I922" s="40" t="s">
        <v>6741</v>
      </c>
      <c r="J922" s="50"/>
      <c r="K922" s="116" t="str">
        <f>IFERROR(VLOOKUP(B922,BD_CONTROL!$A$5:$M$4235,11,0),"")</f>
        <v>Instalado - Operando</v>
      </c>
      <c r="L922" s="117">
        <f>IFERROR(VLOOKUP(B922,BD_CONTROL!$A$5:$M$4235,12,0),"")</f>
        <v>46149</v>
      </c>
      <c r="M922" s="118">
        <f>IFERROR(VLOOKUP(B922,BD_CONTROL!$A$5:$M$4235,13,0),"")</f>
        <v>0</v>
      </c>
    </row>
    <row r="923" spans="1:13" ht="15" customHeight="1">
      <c r="A923" s="42">
        <v>918</v>
      </c>
      <c r="B923" s="42" t="s">
        <v>7887</v>
      </c>
      <c r="C923" s="43" t="s">
        <v>6735</v>
      </c>
      <c r="D923" s="42" t="s">
        <v>3370</v>
      </c>
      <c r="E923" s="43" t="s">
        <v>3699</v>
      </c>
      <c r="F923" s="43" t="s">
        <v>3872</v>
      </c>
      <c r="G923" s="42" t="s">
        <v>6739</v>
      </c>
      <c r="H923" s="43" t="s">
        <v>3391</v>
      </c>
      <c r="I923" s="43" t="s">
        <v>6741</v>
      </c>
      <c r="J923" s="55"/>
      <c r="K923" s="119" t="str">
        <f>IFERROR(VLOOKUP(B923,BD_CONTROL!$A$5:$M$4235,11,0),"")</f>
        <v>Instalado - Operando</v>
      </c>
      <c r="L923" s="120">
        <f>IFERROR(VLOOKUP(B923,BD_CONTROL!$A$5:$M$4235,12,0),"")</f>
        <v>46153</v>
      </c>
      <c r="M923" s="121">
        <f>IFERROR(VLOOKUP(B923,BD_CONTROL!$A$5:$M$4235,13,0),"")</f>
        <v>0</v>
      </c>
    </row>
    <row r="924" spans="1:13" ht="15" customHeight="1">
      <c r="A924" s="39">
        <v>919</v>
      </c>
      <c r="B924" s="39" t="s">
        <v>7888</v>
      </c>
      <c r="C924" s="40" t="s">
        <v>6735</v>
      </c>
      <c r="D924" s="39" t="s">
        <v>3370</v>
      </c>
      <c r="E924" s="40" t="s">
        <v>3505</v>
      </c>
      <c r="F924" s="40" t="s">
        <v>3506</v>
      </c>
      <c r="G924" s="39" t="s">
        <v>6739</v>
      </c>
      <c r="H924" s="40" t="s">
        <v>3449</v>
      </c>
      <c r="I924" s="40" t="s">
        <v>6741</v>
      </c>
      <c r="J924" s="50"/>
      <c r="K924" s="116" t="str">
        <f>IFERROR(VLOOKUP(B924,BD_CONTROL!$A$5:$M$4235,11,0),"")</f>
        <v>Instalado - Operando</v>
      </c>
      <c r="L924" s="117">
        <f>IFERROR(VLOOKUP(B924,BD_CONTROL!$A$5:$M$4235,12,0),"")</f>
        <v>46143</v>
      </c>
      <c r="M924" s="118">
        <f>IFERROR(VLOOKUP(B924,BD_CONTROL!$A$5:$M$4235,13,0),"")</f>
        <v>0</v>
      </c>
    </row>
    <row r="925" spans="1:13" ht="15" customHeight="1">
      <c r="A925" s="42">
        <v>920</v>
      </c>
      <c r="B925" s="42" t="s">
        <v>7889</v>
      </c>
      <c r="C925" s="43" t="s">
        <v>6735</v>
      </c>
      <c r="D925" s="42" t="s">
        <v>3370</v>
      </c>
      <c r="E925" s="43" t="s">
        <v>3505</v>
      </c>
      <c r="F925" s="43" t="s">
        <v>7890</v>
      </c>
      <c r="G925" s="42" t="s">
        <v>6739</v>
      </c>
      <c r="H925" s="43" t="s">
        <v>3449</v>
      </c>
      <c r="I925" s="43" t="s">
        <v>6741</v>
      </c>
      <c r="J925" s="55"/>
      <c r="K925" s="119" t="str">
        <f>IFERROR(VLOOKUP(B925,BD_CONTROL!$A$5:$M$4235,11,0),"")</f>
        <v>Instalado - Operando</v>
      </c>
      <c r="L925" s="120">
        <f>IFERROR(VLOOKUP(B925,BD_CONTROL!$A$5:$M$4235,12,0),"")</f>
        <v>46140</v>
      </c>
      <c r="M925" s="121">
        <f>IFERROR(VLOOKUP(B925,BD_CONTROL!$A$5:$M$4235,13,0),"")</f>
        <v>0</v>
      </c>
    </row>
    <row r="926" spans="1:13" ht="15" customHeight="1">
      <c r="A926" s="39">
        <v>921</v>
      </c>
      <c r="B926" s="39" t="s">
        <v>7891</v>
      </c>
      <c r="C926" s="40" t="s">
        <v>6735</v>
      </c>
      <c r="D926" s="39" t="s">
        <v>3370</v>
      </c>
      <c r="E926" s="40" t="s">
        <v>3505</v>
      </c>
      <c r="F926" s="40" t="s">
        <v>7892</v>
      </c>
      <c r="G926" s="39" t="s">
        <v>6739</v>
      </c>
      <c r="H926" s="40" t="s">
        <v>3449</v>
      </c>
      <c r="I926" s="40" t="s">
        <v>6741</v>
      </c>
      <c r="J926" s="50"/>
      <c r="K926" s="116" t="str">
        <f>IFERROR(VLOOKUP(B926,BD_CONTROL!$A$5:$M$4235,11,0),"")</f>
        <v>Instalado - Operando</v>
      </c>
      <c r="L926" s="117">
        <f>IFERROR(VLOOKUP(B926,BD_CONTROL!$A$5:$M$4235,12,0),"")</f>
        <v>46142</v>
      </c>
      <c r="M926" s="118">
        <f>IFERROR(VLOOKUP(B926,BD_CONTROL!$A$5:$M$4235,13,0),"")</f>
        <v>0</v>
      </c>
    </row>
    <row r="927" spans="1:13" ht="15" customHeight="1">
      <c r="A927" s="42">
        <v>922</v>
      </c>
      <c r="B927" s="42" t="s">
        <v>7893</v>
      </c>
      <c r="C927" s="43" t="s">
        <v>6735</v>
      </c>
      <c r="D927" s="42" t="s">
        <v>3370</v>
      </c>
      <c r="E927" s="43" t="s">
        <v>3505</v>
      </c>
      <c r="F927" s="43" t="s">
        <v>7894</v>
      </c>
      <c r="G927" s="42" t="s">
        <v>6739</v>
      </c>
      <c r="H927" s="43" t="s">
        <v>3449</v>
      </c>
      <c r="I927" s="43" t="s">
        <v>6741</v>
      </c>
      <c r="J927" s="55"/>
      <c r="K927" s="119" t="str">
        <f>IFERROR(VLOOKUP(B927,BD_CONTROL!$A$5:$M$4235,11,0),"")</f>
        <v>Instalado - Operando</v>
      </c>
      <c r="L927" s="120">
        <f>IFERROR(VLOOKUP(B927,BD_CONTROL!$A$5:$M$4235,12,0),"")</f>
        <v>46149</v>
      </c>
      <c r="M927" s="121">
        <f>IFERROR(VLOOKUP(B927,BD_CONTROL!$A$5:$M$4235,13,0),"")</f>
        <v>0</v>
      </c>
    </row>
    <row r="928" spans="1:13" ht="15" customHeight="1">
      <c r="A928" s="39">
        <v>923</v>
      </c>
      <c r="B928" s="39" t="s">
        <v>7895</v>
      </c>
      <c r="C928" s="40" t="s">
        <v>6735</v>
      </c>
      <c r="D928" s="39" t="s">
        <v>3370</v>
      </c>
      <c r="E928" s="40" t="s">
        <v>3505</v>
      </c>
      <c r="F928" s="40" t="s">
        <v>7896</v>
      </c>
      <c r="G928" s="39" t="s">
        <v>6739</v>
      </c>
      <c r="H928" s="40" t="s">
        <v>3449</v>
      </c>
      <c r="I928" s="40" t="s">
        <v>6741</v>
      </c>
      <c r="J928" s="50"/>
      <c r="K928" s="116" t="str">
        <f>IFERROR(VLOOKUP(B928,BD_CONTROL!$A$5:$M$4235,11,0),"")</f>
        <v>Instalado - Operando</v>
      </c>
      <c r="L928" s="117">
        <f>IFERROR(VLOOKUP(B928,BD_CONTROL!$A$5:$M$4235,12,0),"")</f>
        <v>46150</v>
      </c>
      <c r="M928" s="118">
        <f>IFERROR(VLOOKUP(B928,BD_CONTROL!$A$5:$M$4235,13,0),"")</f>
        <v>0</v>
      </c>
    </row>
    <row r="929" spans="1:13" ht="15" customHeight="1">
      <c r="A929" s="42">
        <v>924</v>
      </c>
      <c r="B929" s="42" t="s">
        <v>7897</v>
      </c>
      <c r="C929" s="43" t="s">
        <v>6735</v>
      </c>
      <c r="D929" s="42" t="s">
        <v>3370</v>
      </c>
      <c r="E929" s="43" t="s">
        <v>3505</v>
      </c>
      <c r="F929" s="43" t="s">
        <v>3538</v>
      </c>
      <c r="G929" s="42" t="s">
        <v>6739</v>
      </c>
      <c r="H929" s="43" t="s">
        <v>3449</v>
      </c>
      <c r="I929" s="43" t="s">
        <v>6741</v>
      </c>
      <c r="J929" s="55"/>
      <c r="K929" s="119" t="str">
        <f>IFERROR(VLOOKUP(B929,BD_CONTROL!$A$5:$M$4235,11,0),"")</f>
        <v>Instalado - Operando</v>
      </c>
      <c r="L929" s="120">
        <f>IFERROR(VLOOKUP(B929,BD_CONTROL!$A$5:$M$4235,12,0),"")</f>
        <v>46140</v>
      </c>
      <c r="M929" s="121">
        <f>IFERROR(VLOOKUP(B929,BD_CONTROL!$A$5:$M$4235,13,0),"")</f>
        <v>0</v>
      </c>
    </row>
    <row r="930" spans="1:13" ht="15" customHeight="1">
      <c r="A930" s="39">
        <v>925</v>
      </c>
      <c r="B930" s="39" t="s">
        <v>7898</v>
      </c>
      <c r="C930" s="40" t="s">
        <v>6735</v>
      </c>
      <c r="D930" s="39" t="s">
        <v>3370</v>
      </c>
      <c r="E930" s="40" t="s">
        <v>3505</v>
      </c>
      <c r="F930" s="40" t="s">
        <v>7899</v>
      </c>
      <c r="G930" s="39" t="s">
        <v>6739</v>
      </c>
      <c r="H930" s="40" t="s">
        <v>3449</v>
      </c>
      <c r="I930" s="40" t="s">
        <v>6741</v>
      </c>
      <c r="J930" s="50"/>
      <c r="K930" s="116" t="str">
        <f>IFERROR(VLOOKUP(B930,BD_CONTROL!$A$5:$M$4235,11,0),"")</f>
        <v>Instalado - Operando</v>
      </c>
      <c r="L930" s="117">
        <f>IFERROR(VLOOKUP(B930,BD_CONTROL!$A$5:$M$4235,12,0),"")</f>
        <v>46142</v>
      </c>
      <c r="M930" s="118">
        <f>IFERROR(VLOOKUP(B930,BD_CONTROL!$A$5:$M$4235,13,0),"")</f>
        <v>0</v>
      </c>
    </row>
    <row r="931" spans="1:13" ht="15" customHeight="1">
      <c r="A931" s="42">
        <v>926</v>
      </c>
      <c r="B931" s="42" t="s">
        <v>7907</v>
      </c>
      <c r="C931" s="43" t="s">
        <v>6735</v>
      </c>
      <c r="D931" s="42" t="s">
        <v>3370</v>
      </c>
      <c r="E931" s="43" t="s">
        <v>3416</v>
      </c>
      <c r="F931" s="43" t="s">
        <v>3438</v>
      </c>
      <c r="G931" s="42" t="s">
        <v>6739</v>
      </c>
      <c r="H931" s="43" t="s">
        <v>3391</v>
      </c>
      <c r="I931" s="43" t="s">
        <v>6741</v>
      </c>
      <c r="J931" s="55"/>
      <c r="K931" s="129" t="str">
        <f>IFERROR(VLOOKUP(B931,BD_CONTROL!$A$5:$M$4235,11,0),"")</f>
        <v>INSTALADO - OPERANDO</v>
      </c>
      <c r="L931" s="120">
        <f>IFERROR(VLOOKUP(B931,BD_CONTROL!$A$5:$M$4235,12,0),"")</f>
        <v>46134</v>
      </c>
      <c r="M931" s="121" t="str">
        <f>IFERROR(VLOOKUP(B931,BD_CONTROL!$A$5:$M$4235,13,0),"")</f>
        <v>Cargado desde DB instalación 23/04/2026</v>
      </c>
    </row>
    <row r="932" spans="1:13" ht="15" customHeight="1">
      <c r="A932" s="39">
        <v>927</v>
      </c>
      <c r="B932" s="39" t="s">
        <v>7916</v>
      </c>
      <c r="C932" s="40" t="s">
        <v>6735</v>
      </c>
      <c r="D932" s="39" t="s">
        <v>3370</v>
      </c>
      <c r="E932" s="40" t="s">
        <v>4050</v>
      </c>
      <c r="F932" s="40" t="s">
        <v>4050</v>
      </c>
      <c r="G932" s="39" t="s">
        <v>6739</v>
      </c>
      <c r="H932" s="40" t="s">
        <v>3391</v>
      </c>
      <c r="I932" s="40" t="s">
        <v>6741</v>
      </c>
      <c r="J932" s="50"/>
      <c r="K932" s="129" t="str">
        <f>IFERROR(VLOOKUP(B932,BD_CONTROL!$A$5:$M$4235,11,0),"")</f>
        <v>INSTALADO - OPERANDO</v>
      </c>
      <c r="L932" s="117">
        <f>IFERROR(VLOOKUP(B932,BD_CONTROL!$A$5:$M$4235,12,0),"")</f>
        <v>46111</v>
      </c>
      <c r="M932" s="118" t="str">
        <f>IFERROR(VLOOKUP(B932,BD_CONTROL!$A$5:$M$4235,13,0),"")</f>
        <v>Cargado desde DB instalación 23/04/2026</v>
      </c>
    </row>
    <row r="933" spans="1:13" ht="15" customHeight="1">
      <c r="A933" s="42">
        <v>928</v>
      </c>
      <c r="B933" s="42" t="s">
        <v>7917</v>
      </c>
      <c r="C933" s="43" t="s">
        <v>6735</v>
      </c>
      <c r="D933" s="42" t="s">
        <v>3370</v>
      </c>
      <c r="E933" s="43" t="s">
        <v>4057</v>
      </c>
      <c r="F933" s="43" t="s">
        <v>4057</v>
      </c>
      <c r="G933" s="42" t="s">
        <v>6739</v>
      </c>
      <c r="H933" s="43" t="s">
        <v>3391</v>
      </c>
      <c r="I933" s="43" t="s">
        <v>6741</v>
      </c>
      <c r="J933" s="55"/>
      <c r="K933" s="119">
        <f>IFERROR(VLOOKUP(B933,BD_CONTROL!$A$5:$M$4235,11,0),"")</f>
        <v>0</v>
      </c>
      <c r="L933" s="120">
        <f>IFERROR(VLOOKUP(B933,BD_CONTROL!$A$5:$M$4235,12,0),"")</f>
        <v>0</v>
      </c>
      <c r="M933" s="121">
        <f>IFERROR(VLOOKUP(B933,BD_CONTROL!$A$5:$M$4235,13,0),"")</f>
        <v>0</v>
      </c>
    </row>
    <row r="934" spans="1:13" ht="15" customHeight="1">
      <c r="A934" s="39">
        <v>929</v>
      </c>
      <c r="B934" s="39" t="s">
        <v>7918</v>
      </c>
      <c r="C934" s="40" t="s">
        <v>6735</v>
      </c>
      <c r="D934" s="39" t="s">
        <v>3370</v>
      </c>
      <c r="E934" s="40" t="s">
        <v>4064</v>
      </c>
      <c r="F934" s="40" t="s">
        <v>7919</v>
      </c>
      <c r="G934" s="39" t="s">
        <v>6739</v>
      </c>
      <c r="H934" s="40" t="s">
        <v>3391</v>
      </c>
      <c r="I934" s="40" t="s">
        <v>6741</v>
      </c>
      <c r="J934" s="50"/>
      <c r="K934" s="116" t="str">
        <f>IFERROR(VLOOKUP(B934,BD_CONTROL!$A$5:$M$4235,11,0),"")</f>
        <v>Instalado - Operando</v>
      </c>
      <c r="L934" s="117">
        <f>IFERROR(VLOOKUP(B934,BD_CONTROL!$A$5:$M$4235,12,0),"")</f>
        <v>46139</v>
      </c>
      <c r="M934" s="118">
        <f>IFERROR(VLOOKUP(B934,BD_CONTROL!$A$5:$M$4235,13,0),"")</f>
        <v>0</v>
      </c>
    </row>
    <row r="935" spans="1:13" ht="15" customHeight="1">
      <c r="A935" s="42">
        <v>930</v>
      </c>
      <c r="B935" s="42" t="s">
        <v>7920</v>
      </c>
      <c r="C935" s="43" t="s">
        <v>6735</v>
      </c>
      <c r="D935" s="42" t="s">
        <v>3370</v>
      </c>
      <c r="E935" s="43" t="s">
        <v>3490</v>
      </c>
      <c r="F935" s="43" t="s">
        <v>3491</v>
      </c>
      <c r="G935" s="42" t="s">
        <v>6739</v>
      </c>
      <c r="H935" s="43" t="s">
        <v>3391</v>
      </c>
      <c r="I935" s="43" t="s">
        <v>6741</v>
      </c>
      <c r="J935" s="55"/>
      <c r="K935" s="130" t="str">
        <f>IFERROR(VLOOKUP(B935,BD_CONTROL!$A$5:$M$4235,11,0),"")</f>
        <v>INSTALADO - SIN SEÑAL</v>
      </c>
      <c r="L935" s="120">
        <f>IFERROR(VLOOKUP(B935,BD_CONTROL!$A$5:$M$4235,12,0),"")</f>
        <v>46126</v>
      </c>
      <c r="M935" s="121" t="str">
        <f>IFERROR(VLOOKUP(B935,BD_CONTROL!$A$5:$M$4235,13,0),"")</f>
        <v>Cargado desde DB instalación 23/04/2026</v>
      </c>
    </row>
    <row r="936" spans="1:13" ht="15" customHeight="1">
      <c r="A936" s="39">
        <v>931</v>
      </c>
      <c r="B936" s="39" t="s">
        <v>7921</v>
      </c>
      <c r="C936" s="40" t="s">
        <v>6735</v>
      </c>
      <c r="D936" s="39" t="s">
        <v>3370</v>
      </c>
      <c r="E936" s="40" t="s">
        <v>3389</v>
      </c>
      <c r="F936" s="40" t="s">
        <v>7922</v>
      </c>
      <c r="G936" s="39" t="s">
        <v>6739</v>
      </c>
      <c r="H936" s="40" t="s">
        <v>3391</v>
      </c>
      <c r="I936" s="40" t="s">
        <v>6741</v>
      </c>
      <c r="J936" s="50"/>
      <c r="K936" s="129" t="str">
        <f>IFERROR(VLOOKUP(B936,BD_CONTROL!$A$5:$M$4235,11,0),"")</f>
        <v>INSTALADO - OPERANDO</v>
      </c>
      <c r="L936" s="117">
        <f>IFERROR(VLOOKUP(B936,BD_CONTROL!$A$5:$M$4235,12,0),"")</f>
        <v>46112</v>
      </c>
      <c r="M936" s="118" t="str">
        <f>IFERROR(VLOOKUP(B936,BD_CONTROL!$A$5:$M$4235,13,0),"")</f>
        <v>Cargado desde DB instalación 23/04/2026</v>
      </c>
    </row>
    <row r="937" spans="1:13" ht="15" customHeight="1">
      <c r="A937" s="42">
        <v>932</v>
      </c>
      <c r="B937" s="42" t="s">
        <v>7923</v>
      </c>
      <c r="C937" s="43" t="s">
        <v>6735</v>
      </c>
      <c r="D937" s="42" t="s">
        <v>3370</v>
      </c>
      <c r="E937" s="43" t="s">
        <v>3389</v>
      </c>
      <c r="F937" s="43" t="s">
        <v>7924</v>
      </c>
      <c r="G937" s="42" t="s">
        <v>6739</v>
      </c>
      <c r="H937" s="43" t="s">
        <v>3391</v>
      </c>
      <c r="I937" s="43" t="s">
        <v>6741</v>
      </c>
      <c r="J937" s="55"/>
      <c r="K937" s="129" t="str">
        <f>IFERROR(VLOOKUP(B937,BD_CONTROL!$A$5:$M$4235,11,0),"")</f>
        <v>INSTALADO - OPERANDO</v>
      </c>
      <c r="L937" s="120">
        <f>IFERROR(VLOOKUP(B937,BD_CONTROL!$A$5:$M$4235,12,0),"")</f>
        <v>46112</v>
      </c>
      <c r="M937" s="121" t="str">
        <f>IFERROR(VLOOKUP(B937,BD_CONTROL!$A$5:$M$4235,13,0),"")</f>
        <v>Cargado desde DB instalación 23/04/2026</v>
      </c>
    </row>
    <row r="938" spans="1:13" ht="15" customHeight="1">
      <c r="A938" s="39">
        <v>933</v>
      </c>
      <c r="B938" s="39" t="s">
        <v>7925</v>
      </c>
      <c r="C938" s="40" t="s">
        <v>6735</v>
      </c>
      <c r="D938" s="39" t="s">
        <v>3370</v>
      </c>
      <c r="E938" s="40" t="s">
        <v>3389</v>
      </c>
      <c r="F938" s="40" t="s">
        <v>7926</v>
      </c>
      <c r="G938" s="39" t="s">
        <v>6739</v>
      </c>
      <c r="H938" s="40" t="s">
        <v>3391</v>
      </c>
      <c r="I938" s="40" t="s">
        <v>6741</v>
      </c>
      <c r="J938" s="50"/>
      <c r="K938" s="129" t="str">
        <f>IFERROR(VLOOKUP(B938,BD_CONTROL!$A$5:$M$4235,11,0),"")</f>
        <v>INSTALADO - OPERANDO</v>
      </c>
      <c r="L938" s="117">
        <f>IFERROR(VLOOKUP(B938,BD_CONTROL!$A$5:$M$4235,12,0),"")</f>
        <v>46112</v>
      </c>
      <c r="M938" s="118" t="str">
        <f>IFERROR(VLOOKUP(B938,BD_CONTROL!$A$5:$M$4235,13,0),"")</f>
        <v>Cargado desde DB instalación 23/04/2026</v>
      </c>
    </row>
    <row r="939" spans="1:13" ht="15" customHeight="1">
      <c r="A939" s="42">
        <v>934</v>
      </c>
      <c r="B939" s="42" t="s">
        <v>7927</v>
      </c>
      <c r="C939" s="43" t="s">
        <v>6735</v>
      </c>
      <c r="D939" s="42" t="s">
        <v>3370</v>
      </c>
      <c r="E939" s="43" t="s">
        <v>3671</v>
      </c>
      <c r="F939" s="43" t="s">
        <v>3672</v>
      </c>
      <c r="G939" s="42" t="s">
        <v>6739</v>
      </c>
      <c r="H939" s="43" t="s">
        <v>3391</v>
      </c>
      <c r="I939" s="43" t="s">
        <v>6741</v>
      </c>
      <c r="J939" s="55"/>
      <c r="K939" s="119">
        <f>IFERROR(VLOOKUP(B939,BD_CONTROL!$A$5:$M$4235,11,0),"")</f>
        <v>0</v>
      </c>
      <c r="L939" s="120">
        <f>IFERROR(VLOOKUP(B939,BD_CONTROL!$A$5:$M$4235,12,0),"")</f>
        <v>0</v>
      </c>
      <c r="M939" s="121">
        <f>IFERROR(VLOOKUP(B939,BD_CONTROL!$A$5:$M$4235,13,0),"")</f>
        <v>0</v>
      </c>
    </row>
    <row r="940" spans="1:13" ht="15" customHeight="1">
      <c r="A940" s="39">
        <v>935</v>
      </c>
      <c r="B940" s="39" t="s">
        <v>7937</v>
      </c>
      <c r="C940" s="40" t="s">
        <v>6735</v>
      </c>
      <c r="D940" s="39" t="s">
        <v>3370</v>
      </c>
      <c r="E940" s="40" t="s">
        <v>4163</v>
      </c>
      <c r="F940" s="40" t="s">
        <v>7938</v>
      </c>
      <c r="G940" s="39" t="s">
        <v>6739</v>
      </c>
      <c r="H940" s="40" t="s">
        <v>3391</v>
      </c>
      <c r="I940" s="40" t="s">
        <v>6741</v>
      </c>
      <c r="J940" s="50"/>
      <c r="K940" s="129" t="str">
        <f>IFERROR(VLOOKUP(B940,BD_CONTROL!$A$5:$M$4235,11,0),"")</f>
        <v>INSTALADO - OPERANDO</v>
      </c>
      <c r="L940" s="117">
        <f>IFERROR(VLOOKUP(B940,BD_CONTROL!$A$5:$M$4235,12,0),"")</f>
        <v>46112</v>
      </c>
      <c r="M940" s="118" t="str">
        <f>IFERROR(VLOOKUP(B940,BD_CONTROL!$A$5:$M$4235,13,0),"")</f>
        <v>Cargado desde DB instalación 23/04/2026</v>
      </c>
    </row>
    <row r="941" spans="1:13" ht="15" customHeight="1">
      <c r="A941" s="42">
        <v>936</v>
      </c>
      <c r="B941" s="42" t="s">
        <v>7939</v>
      </c>
      <c r="C941" s="43" t="s">
        <v>6735</v>
      </c>
      <c r="D941" s="42" t="s">
        <v>3370</v>
      </c>
      <c r="E941" s="43" t="s">
        <v>4163</v>
      </c>
      <c r="F941" s="43" t="s">
        <v>7940</v>
      </c>
      <c r="G941" s="42" t="s">
        <v>6739</v>
      </c>
      <c r="H941" s="43" t="s">
        <v>3391</v>
      </c>
      <c r="I941" s="43" t="s">
        <v>6741</v>
      </c>
      <c r="J941" s="55"/>
      <c r="K941" s="129" t="str">
        <f>IFERROR(VLOOKUP(B941,BD_CONTROL!$A$5:$M$4235,11,0),"")</f>
        <v>INSTALADO - OPERANDO</v>
      </c>
      <c r="L941" s="120">
        <f>IFERROR(VLOOKUP(B941,BD_CONTROL!$A$5:$M$4235,12,0),"")</f>
        <v>46112</v>
      </c>
      <c r="M941" s="121" t="str">
        <f>IFERROR(VLOOKUP(B941,BD_CONTROL!$A$5:$M$4235,13,0),"")</f>
        <v>Cargado desde DB instalación 23/04/2026</v>
      </c>
    </row>
    <row r="942" spans="1:13" ht="15" customHeight="1">
      <c r="A942" s="39">
        <v>937</v>
      </c>
      <c r="B942" s="39" t="s">
        <v>7941</v>
      </c>
      <c r="C942" s="40" t="s">
        <v>6735</v>
      </c>
      <c r="D942" s="39" t="s">
        <v>3370</v>
      </c>
      <c r="E942" s="40" t="s">
        <v>4163</v>
      </c>
      <c r="F942" s="40" t="s">
        <v>4635</v>
      </c>
      <c r="G942" s="39" t="s">
        <v>6739</v>
      </c>
      <c r="H942" s="40" t="s">
        <v>3391</v>
      </c>
      <c r="I942" s="40" t="s">
        <v>6741</v>
      </c>
      <c r="J942" s="50"/>
      <c r="K942" s="129" t="str">
        <f>IFERROR(VLOOKUP(B942,BD_CONTROL!$A$5:$M$4235,11,0),"")</f>
        <v>INSTALADO - OPERANDO</v>
      </c>
      <c r="L942" s="117">
        <f>IFERROR(VLOOKUP(B942,BD_CONTROL!$A$5:$M$4235,12,0),"")</f>
        <v>46112</v>
      </c>
      <c r="M942" s="118" t="str">
        <f>IFERROR(VLOOKUP(B942,BD_CONTROL!$A$5:$M$4235,13,0),"")</f>
        <v>Cargado desde DB instalación 23/04/2026</v>
      </c>
    </row>
    <row r="943" spans="1:13" ht="15" customHeight="1">
      <c r="A943" s="42">
        <v>938</v>
      </c>
      <c r="B943" s="42" t="s">
        <v>7942</v>
      </c>
      <c r="C943" s="43" t="s">
        <v>6735</v>
      </c>
      <c r="D943" s="42" t="s">
        <v>3370</v>
      </c>
      <c r="E943" s="43" t="s">
        <v>4163</v>
      </c>
      <c r="F943" s="43" t="s">
        <v>4164</v>
      </c>
      <c r="G943" s="42" t="s">
        <v>6739</v>
      </c>
      <c r="H943" s="43" t="s">
        <v>3391</v>
      </c>
      <c r="I943" s="43" t="s">
        <v>6741</v>
      </c>
      <c r="J943" s="55"/>
      <c r="K943" s="129" t="str">
        <f>IFERROR(VLOOKUP(B943,BD_CONTROL!$A$5:$M$4235,11,0),"")</f>
        <v>INSTALADO - OPERANDO</v>
      </c>
      <c r="L943" s="120">
        <f>IFERROR(VLOOKUP(B943,BD_CONTROL!$A$5:$M$4235,12,0),"")</f>
        <v>46112</v>
      </c>
      <c r="M943" s="121" t="str">
        <f>IFERROR(VLOOKUP(B943,BD_CONTROL!$A$5:$M$4235,13,0),"")</f>
        <v>Cargado desde DB instalación 23/04/2026</v>
      </c>
    </row>
    <row r="944" spans="1:13" ht="15" customHeight="1">
      <c r="A944" s="39">
        <v>939</v>
      </c>
      <c r="B944" s="39" t="s">
        <v>7954</v>
      </c>
      <c r="C944" s="40" t="s">
        <v>6735</v>
      </c>
      <c r="D944" s="39" t="s">
        <v>3370</v>
      </c>
      <c r="E944" s="40" t="s">
        <v>3934</v>
      </c>
      <c r="F944" s="40" t="s">
        <v>7955</v>
      </c>
      <c r="G944" s="39" t="s">
        <v>6739</v>
      </c>
      <c r="H944" s="40" t="s">
        <v>3391</v>
      </c>
      <c r="I944" s="40" t="s">
        <v>6741</v>
      </c>
      <c r="J944" s="50"/>
      <c r="K944" s="129" t="str">
        <f>IFERROR(VLOOKUP(B944,BD_CONTROL!$A$5:$M$4235,11,0),"")</f>
        <v>INSTALADO - OPERANDO</v>
      </c>
      <c r="L944" s="117">
        <f>IFERROR(VLOOKUP(B944,BD_CONTROL!$A$5:$M$4235,12,0),"")</f>
        <v>46125</v>
      </c>
      <c r="M944" s="118" t="str">
        <f>IFERROR(VLOOKUP(B944,BD_CONTROL!$A$5:$M$4235,13,0),"")</f>
        <v>Cargado desde DB instalación 23/04/2026</v>
      </c>
    </row>
    <row r="945" spans="1:13" ht="15" customHeight="1">
      <c r="A945" s="42">
        <v>940</v>
      </c>
      <c r="B945" s="42" t="s">
        <v>7959</v>
      </c>
      <c r="C945" s="43" t="s">
        <v>6735</v>
      </c>
      <c r="D945" s="42" t="s">
        <v>3370</v>
      </c>
      <c r="E945" s="43" t="s">
        <v>3447</v>
      </c>
      <c r="F945" s="43" t="s">
        <v>3448</v>
      </c>
      <c r="G945" s="42" t="s">
        <v>6739</v>
      </c>
      <c r="H945" s="43" t="s">
        <v>3449</v>
      </c>
      <c r="I945" s="43" t="s">
        <v>6741</v>
      </c>
      <c r="J945" s="55"/>
      <c r="K945" s="119" t="str">
        <f>IFERROR(VLOOKUP(B945,BD_CONTROL!$A$5:$M$4235,11,0),"")</f>
        <v>Instalado - Operando</v>
      </c>
      <c r="L945" s="120">
        <f>IFERROR(VLOOKUP(B945,BD_CONTROL!$A$5:$M$4235,12,0),"")</f>
        <v>46147</v>
      </c>
      <c r="M945" s="121">
        <f>IFERROR(VLOOKUP(B945,BD_CONTROL!$A$5:$M$4235,13,0),"")</f>
        <v>0</v>
      </c>
    </row>
    <row r="946" spans="1:13" ht="15" customHeight="1">
      <c r="A946" s="39">
        <v>941</v>
      </c>
      <c r="B946" s="39" t="s">
        <v>7960</v>
      </c>
      <c r="C946" s="40" t="s">
        <v>6735</v>
      </c>
      <c r="D946" s="39" t="s">
        <v>3370</v>
      </c>
      <c r="E946" s="40" t="s">
        <v>3447</v>
      </c>
      <c r="F946" s="40" t="s">
        <v>3448</v>
      </c>
      <c r="G946" s="39" t="s">
        <v>6739</v>
      </c>
      <c r="H946" s="40" t="s">
        <v>3449</v>
      </c>
      <c r="I946" s="40" t="s">
        <v>6741</v>
      </c>
      <c r="J946" s="50"/>
      <c r="K946" s="116" t="str">
        <f>IFERROR(VLOOKUP(B946,BD_CONTROL!$A$5:$M$4235,11,0),"")</f>
        <v>Instalado - Operando</v>
      </c>
      <c r="L946" s="117">
        <f>IFERROR(VLOOKUP(B946,BD_CONTROL!$A$5:$M$4235,12,0),"")</f>
        <v>46147</v>
      </c>
      <c r="M946" s="118">
        <f>IFERROR(VLOOKUP(B946,BD_CONTROL!$A$5:$M$4235,13,0),"")</f>
        <v>0</v>
      </c>
    </row>
    <row r="947" spans="1:13" ht="15" customHeight="1">
      <c r="A947" s="42">
        <v>942</v>
      </c>
      <c r="B947" s="42" t="s">
        <v>7961</v>
      </c>
      <c r="C947" s="43" t="s">
        <v>6735</v>
      </c>
      <c r="D947" s="42" t="s">
        <v>553</v>
      </c>
      <c r="E947" s="43" t="s">
        <v>3028</v>
      </c>
      <c r="F947" s="43" t="s">
        <v>7962</v>
      </c>
      <c r="G947" s="42" t="s">
        <v>6739</v>
      </c>
      <c r="H947" s="43" t="s">
        <v>1532</v>
      </c>
      <c r="I947" s="43" t="s">
        <v>6741</v>
      </c>
      <c r="J947" s="55"/>
      <c r="K947" s="119" t="str">
        <f>IFERROR(VLOOKUP(B947,BD_CONTROL!$A$5:$M$4235,11,0),"")</f>
        <v>Instalado - Operando</v>
      </c>
      <c r="L947" s="120">
        <f>IFERROR(VLOOKUP(B947,BD_CONTROL!$A$5:$M$4235,12,0),"")</f>
        <v>46141</v>
      </c>
      <c r="M947" s="121">
        <f>IFERROR(VLOOKUP(B947,BD_CONTROL!$A$5:$M$4235,13,0),"")</f>
        <v>0</v>
      </c>
    </row>
    <row r="948" spans="1:13" ht="15" customHeight="1">
      <c r="A948" s="39">
        <v>943</v>
      </c>
      <c r="B948" s="39" t="s">
        <v>7970</v>
      </c>
      <c r="C948" s="40" t="s">
        <v>6735</v>
      </c>
      <c r="D948" s="39" t="s">
        <v>3370</v>
      </c>
      <c r="E948" s="40" t="s">
        <v>3505</v>
      </c>
      <c r="F948" s="40" t="s">
        <v>7971</v>
      </c>
      <c r="G948" s="39" t="s">
        <v>6739</v>
      </c>
      <c r="H948" s="40" t="s">
        <v>3449</v>
      </c>
      <c r="I948" s="40" t="s">
        <v>6741</v>
      </c>
      <c r="J948" s="50"/>
      <c r="K948" s="116" t="str">
        <f>IFERROR(VLOOKUP(B948,BD_CONTROL!$A$5:$M$4235,11,0),"")</f>
        <v>Instalado - Operando</v>
      </c>
      <c r="L948" s="117">
        <f>IFERROR(VLOOKUP(B948,BD_CONTROL!$A$5:$M$4235,12,0),"")</f>
        <v>46146</v>
      </c>
      <c r="M948" s="118">
        <f>IFERROR(VLOOKUP(B948,BD_CONTROL!$A$5:$M$4235,13,0),"")</f>
        <v>0</v>
      </c>
    </row>
    <row r="949" spans="1:13" ht="15" customHeight="1">
      <c r="A949" s="42">
        <v>944</v>
      </c>
      <c r="B949" s="42" t="s">
        <v>7972</v>
      </c>
      <c r="C949" s="43" t="s">
        <v>6735</v>
      </c>
      <c r="D949" s="42" t="s">
        <v>3370</v>
      </c>
      <c r="E949" s="43" t="s">
        <v>3505</v>
      </c>
      <c r="F949" s="43" t="s">
        <v>7697</v>
      </c>
      <c r="G949" s="42" t="s">
        <v>6739</v>
      </c>
      <c r="H949" s="43" t="s">
        <v>3449</v>
      </c>
      <c r="I949" s="43" t="s">
        <v>6741</v>
      </c>
      <c r="J949" s="55"/>
      <c r="K949" s="119" t="str">
        <f>IFERROR(VLOOKUP(B949,BD_CONTROL!$A$5:$M$4235,11,0),"")</f>
        <v>Instalado - Operando</v>
      </c>
      <c r="L949" s="120">
        <f>IFERROR(VLOOKUP(B949,BD_CONTROL!$A$5:$M$4235,12,0),"")</f>
        <v>46142</v>
      </c>
      <c r="M949" s="121">
        <f>IFERROR(VLOOKUP(B949,BD_CONTROL!$A$5:$M$4235,13,0),"")</f>
        <v>0</v>
      </c>
    </row>
    <row r="950" spans="1:13" ht="15" customHeight="1">
      <c r="A950" s="39">
        <v>945</v>
      </c>
      <c r="B950" s="39" t="s">
        <v>7973</v>
      </c>
      <c r="C950" s="40" t="s">
        <v>6735</v>
      </c>
      <c r="D950" s="39" t="s">
        <v>3370</v>
      </c>
      <c r="E950" s="40" t="s">
        <v>3505</v>
      </c>
      <c r="F950" s="40" t="s">
        <v>7974</v>
      </c>
      <c r="G950" s="39" t="s">
        <v>6739</v>
      </c>
      <c r="H950" s="40" t="s">
        <v>3449</v>
      </c>
      <c r="I950" s="40" t="s">
        <v>6741</v>
      </c>
      <c r="J950" s="50"/>
      <c r="K950" s="116" t="str">
        <f>IFERROR(VLOOKUP(B950,BD_CONTROL!$A$5:$M$4235,11,0),"")</f>
        <v>Instalado - Operando</v>
      </c>
      <c r="L950" s="117">
        <f>IFERROR(VLOOKUP(B950,BD_CONTROL!$A$5:$M$4235,12,0),"")</f>
        <v>46143</v>
      </c>
      <c r="M950" s="118">
        <f>IFERROR(VLOOKUP(B950,BD_CONTROL!$A$5:$M$4235,13,0),"")</f>
        <v>0</v>
      </c>
    </row>
    <row r="951" spans="1:13" ht="15" customHeight="1">
      <c r="A951" s="42">
        <v>946</v>
      </c>
      <c r="B951" s="42" t="s">
        <v>7975</v>
      </c>
      <c r="C951" s="43" t="s">
        <v>6735</v>
      </c>
      <c r="D951" s="42" t="s">
        <v>3370</v>
      </c>
      <c r="E951" s="43" t="s">
        <v>3505</v>
      </c>
      <c r="F951" s="43" t="s">
        <v>7976</v>
      </c>
      <c r="G951" s="42" t="s">
        <v>6739</v>
      </c>
      <c r="H951" s="43" t="s">
        <v>3449</v>
      </c>
      <c r="I951" s="43" t="s">
        <v>6741</v>
      </c>
      <c r="J951" s="55"/>
      <c r="K951" s="119" t="str">
        <f>IFERROR(VLOOKUP(B951,BD_CONTROL!$A$5:$M$4235,11,0),"")</f>
        <v>Instalado - Operando</v>
      </c>
      <c r="L951" s="120">
        <f>IFERROR(VLOOKUP(B951,BD_CONTROL!$A$5:$M$4235,12,0),"")</f>
        <v>46150</v>
      </c>
      <c r="M951" s="121">
        <f>IFERROR(VLOOKUP(B951,BD_CONTROL!$A$5:$M$4235,13,0),"")</f>
        <v>0</v>
      </c>
    </row>
    <row r="952" spans="1:13" ht="15" customHeight="1">
      <c r="A952" s="39">
        <v>947</v>
      </c>
      <c r="B952" s="39" t="s">
        <v>7977</v>
      </c>
      <c r="C952" s="40" t="s">
        <v>6735</v>
      </c>
      <c r="D952" s="39" t="s">
        <v>3370</v>
      </c>
      <c r="E952" s="40" t="s">
        <v>3664</v>
      </c>
      <c r="F952" s="40" t="s">
        <v>7978</v>
      </c>
      <c r="G952" s="39" t="s">
        <v>6739</v>
      </c>
      <c r="H952" s="40" t="s">
        <v>1532</v>
      </c>
      <c r="I952" s="40" t="s">
        <v>6741</v>
      </c>
      <c r="J952" s="50"/>
      <c r="K952" s="116" t="str">
        <f>IFERROR(VLOOKUP(B952,BD_CONTROL!$A$5:$M$4235,11,0),"")</f>
        <v>Instalado - Operando</v>
      </c>
      <c r="L952" s="117">
        <f>IFERROR(VLOOKUP(B952,BD_CONTROL!$A$5:$M$4235,12,0),"")</f>
        <v>46143</v>
      </c>
      <c r="M952" s="118">
        <f>IFERROR(VLOOKUP(B952,BD_CONTROL!$A$5:$M$4235,13,0),"")</f>
        <v>0</v>
      </c>
    </row>
    <row r="953" spans="1:13" ht="15" customHeight="1">
      <c r="A953" s="42">
        <v>948</v>
      </c>
      <c r="B953" s="42" t="s">
        <v>7981</v>
      </c>
      <c r="C953" s="43" t="s">
        <v>6735</v>
      </c>
      <c r="D953" s="42" t="s">
        <v>3370</v>
      </c>
      <c r="E953" s="43" t="s">
        <v>4134</v>
      </c>
      <c r="F953" s="43" t="s">
        <v>4767</v>
      </c>
      <c r="G953" s="42" t="s">
        <v>6739</v>
      </c>
      <c r="H953" s="43" t="s">
        <v>3391</v>
      </c>
      <c r="I953" s="43" t="s">
        <v>6741</v>
      </c>
      <c r="J953" s="55"/>
      <c r="K953" s="129" t="str">
        <f>IFERROR(VLOOKUP(B953,BD_CONTROL!$A$5:$M$4235,11,0),"")</f>
        <v>INSTALADO - OPERANDO</v>
      </c>
      <c r="L953" s="120">
        <f>IFERROR(VLOOKUP(B953,BD_CONTROL!$A$5:$M$4235,12,0),"")</f>
        <v>46122</v>
      </c>
      <c r="M953" s="121" t="str">
        <f>IFERROR(VLOOKUP(B953,BD_CONTROL!$A$5:$M$4235,13,0),"")</f>
        <v>Cargado desde DB instalación 23/04/2026</v>
      </c>
    </row>
    <row r="954" spans="1:13" ht="15" customHeight="1">
      <c r="A954" s="39">
        <v>949</v>
      </c>
      <c r="B954" s="39" t="s">
        <v>7983</v>
      </c>
      <c r="C954" s="40" t="s">
        <v>6735</v>
      </c>
      <c r="D954" s="39" t="s">
        <v>3370</v>
      </c>
      <c r="E954" s="40" t="s">
        <v>3664</v>
      </c>
      <c r="F954" s="40" t="s">
        <v>7984</v>
      </c>
      <c r="G954" s="39" t="s">
        <v>6739</v>
      </c>
      <c r="H954" s="40" t="s">
        <v>1532</v>
      </c>
      <c r="I954" s="40" t="s">
        <v>6741</v>
      </c>
      <c r="J954" s="50"/>
      <c r="K954" s="116">
        <f>IFERROR(VLOOKUP(B954,BD_CONTROL!$A$5:$M$4235,11,0),"")</f>
        <v>0</v>
      </c>
      <c r="L954" s="117">
        <f>IFERROR(VLOOKUP(B954,BD_CONTROL!$A$5:$M$4235,12,0),"")</f>
        <v>0</v>
      </c>
      <c r="M954" s="118">
        <f>IFERROR(VLOOKUP(B954,BD_CONTROL!$A$5:$M$4235,13,0),"")</f>
        <v>0</v>
      </c>
    </row>
    <row r="955" spans="1:13" ht="15" customHeight="1">
      <c r="A955" s="42">
        <v>950</v>
      </c>
      <c r="B955" s="42" t="s">
        <v>7986</v>
      </c>
      <c r="C955" s="43" t="s">
        <v>6735</v>
      </c>
      <c r="D955" s="42" t="s">
        <v>3370</v>
      </c>
      <c r="E955" s="43" t="s">
        <v>3505</v>
      </c>
      <c r="F955" s="43" t="s">
        <v>7892</v>
      </c>
      <c r="G955" s="42" t="s">
        <v>6739</v>
      </c>
      <c r="H955" s="43" t="s">
        <v>3449</v>
      </c>
      <c r="I955" s="43" t="s">
        <v>6741</v>
      </c>
      <c r="J955" s="55"/>
      <c r="K955" s="119" t="str">
        <f>IFERROR(VLOOKUP(B955,BD_CONTROL!$A$5:$M$4235,11,0),"")</f>
        <v>Instalado - Operando</v>
      </c>
      <c r="L955" s="120">
        <f>IFERROR(VLOOKUP(B955,BD_CONTROL!$A$5:$M$4235,12,0),"")</f>
        <v>46150</v>
      </c>
      <c r="M955" s="121">
        <f>IFERROR(VLOOKUP(B955,BD_CONTROL!$A$5:$M$4235,13,0),"")</f>
        <v>0</v>
      </c>
    </row>
    <row r="956" spans="1:13" ht="15" customHeight="1">
      <c r="A956" s="39">
        <v>951</v>
      </c>
      <c r="B956" s="39" t="s">
        <v>7990</v>
      </c>
      <c r="C956" s="40" t="s">
        <v>6735</v>
      </c>
      <c r="D956" s="39" t="s">
        <v>3370</v>
      </c>
      <c r="E956" s="40" t="s">
        <v>4057</v>
      </c>
      <c r="F956" s="40" t="s">
        <v>4057</v>
      </c>
      <c r="G956" s="39" t="s">
        <v>6739</v>
      </c>
      <c r="H956" s="40" t="s">
        <v>3391</v>
      </c>
      <c r="I956" s="40" t="s">
        <v>6741</v>
      </c>
      <c r="J956" s="50"/>
      <c r="K956" s="129" t="str">
        <f>IFERROR(VLOOKUP(B956,BD_CONTROL!$A$5:$M$4235,11,0),"")</f>
        <v>INSTALADO - OPERANDO</v>
      </c>
      <c r="L956" s="117">
        <f>IFERROR(VLOOKUP(B956,BD_CONTROL!$A$5:$M$4235,12,0),"")</f>
        <v>46133</v>
      </c>
      <c r="M956" s="118" t="str">
        <f>IFERROR(VLOOKUP(B956,BD_CONTROL!$A$5:$M$4235,13,0),"")</f>
        <v>Cargado desde DB instalación 23/04/2026</v>
      </c>
    </row>
    <row r="957" spans="1:13" ht="15" customHeight="1">
      <c r="A957" s="42">
        <v>952</v>
      </c>
      <c r="B957" s="42" t="s">
        <v>7993</v>
      </c>
      <c r="C957" s="43" t="s">
        <v>6735</v>
      </c>
      <c r="D957" s="42" t="s">
        <v>3370</v>
      </c>
      <c r="E957" s="43" t="s">
        <v>7994</v>
      </c>
      <c r="F957" s="43" t="s">
        <v>5282</v>
      </c>
      <c r="G957" s="42" t="s">
        <v>6739</v>
      </c>
      <c r="H957" s="43" t="s">
        <v>3391</v>
      </c>
      <c r="I957" s="43" t="s">
        <v>6741</v>
      </c>
      <c r="J957" s="55"/>
      <c r="K957" s="119" t="str">
        <f>IFERROR(VLOOKUP(B957,BD_CONTROL!$A$5:$M$4235,11,0),"")</f>
        <v>Instalado - Operando</v>
      </c>
      <c r="L957" s="120">
        <f>IFERROR(VLOOKUP(B957,BD_CONTROL!$A$5:$M$4235,12,0),"")</f>
        <v>46140</v>
      </c>
      <c r="M957" s="121">
        <f>IFERROR(VLOOKUP(B957,BD_CONTROL!$A$5:$M$4235,13,0),"")</f>
        <v>0</v>
      </c>
    </row>
    <row r="958" spans="1:13" ht="15" customHeight="1">
      <c r="A958" s="39">
        <v>953</v>
      </c>
      <c r="B958" s="39" t="s">
        <v>8010</v>
      </c>
      <c r="C958" s="40" t="s">
        <v>6735</v>
      </c>
      <c r="D958" s="39" t="s">
        <v>3370</v>
      </c>
      <c r="E958" s="40" t="s">
        <v>3699</v>
      </c>
      <c r="F958" s="40" t="s">
        <v>8011</v>
      </c>
      <c r="G958" s="39" t="s">
        <v>6739</v>
      </c>
      <c r="H958" s="40" t="s">
        <v>3391</v>
      </c>
      <c r="I958" s="40" t="s">
        <v>6741</v>
      </c>
      <c r="J958" s="50"/>
      <c r="K958" s="116" t="str">
        <f>IFERROR(VLOOKUP(B958,BD_CONTROL!$A$5:$M$4235,11,0),"")</f>
        <v>Instalado - Operando</v>
      </c>
      <c r="L958" s="117">
        <f>IFERROR(VLOOKUP(B958,BD_CONTROL!$A$5:$M$4235,12,0),"")</f>
        <v>46149</v>
      </c>
      <c r="M958" s="118">
        <f>IFERROR(VLOOKUP(B958,BD_CONTROL!$A$5:$M$4235,13,0),"")</f>
        <v>0</v>
      </c>
    </row>
    <row r="959" spans="1:13" ht="15" customHeight="1">
      <c r="A959" s="42">
        <v>954</v>
      </c>
      <c r="B959" s="42" t="s">
        <v>8012</v>
      </c>
      <c r="C959" s="43" t="s">
        <v>6735</v>
      </c>
      <c r="D959" s="42" t="s">
        <v>3370</v>
      </c>
      <c r="E959" s="43" t="s">
        <v>3389</v>
      </c>
      <c r="F959" s="43" t="s">
        <v>8013</v>
      </c>
      <c r="G959" s="42" t="s">
        <v>6739</v>
      </c>
      <c r="H959" s="43" t="s">
        <v>3391</v>
      </c>
      <c r="I959" s="43" t="s">
        <v>6741</v>
      </c>
      <c r="J959" s="55"/>
      <c r="K959" s="129" t="str">
        <f>IFERROR(VLOOKUP(B959,BD_CONTROL!$A$5:$M$4235,11,0),"")</f>
        <v>INSTALADO - OPERANDO</v>
      </c>
      <c r="L959" s="120">
        <f>IFERROR(VLOOKUP(B959,BD_CONTROL!$A$5:$M$4235,12,0),"")</f>
        <v>46112</v>
      </c>
      <c r="M959" s="121" t="str">
        <f>IFERROR(VLOOKUP(B959,BD_CONTROL!$A$5:$M$4235,13,0),"")</f>
        <v>Cargado desde DB instalación 23/04/2026</v>
      </c>
    </row>
    <row r="960" spans="1:13" ht="15" customHeight="1">
      <c r="A960" s="39">
        <v>955</v>
      </c>
      <c r="B960" s="39" t="s">
        <v>8015</v>
      </c>
      <c r="C960" s="40" t="s">
        <v>6735</v>
      </c>
      <c r="D960" s="39" t="s">
        <v>3370</v>
      </c>
      <c r="E960" s="40" t="s">
        <v>3832</v>
      </c>
      <c r="F960" s="40" t="s">
        <v>7671</v>
      </c>
      <c r="G960" s="39" t="s">
        <v>6739</v>
      </c>
      <c r="H960" s="40" t="s">
        <v>3391</v>
      </c>
      <c r="I960" s="40" t="s">
        <v>6741</v>
      </c>
      <c r="J960" s="50"/>
      <c r="K960" s="129" t="str">
        <f>IFERROR(VLOOKUP(B960,BD_CONTROL!$A$5:$M$4235,11,0),"")</f>
        <v>INSTALADO - OPERANDO</v>
      </c>
      <c r="L960" s="117">
        <f>IFERROR(VLOOKUP(B960,BD_CONTROL!$A$5:$M$4235,12,0),"")</f>
        <v>46125</v>
      </c>
      <c r="M960" s="118" t="str">
        <f>IFERROR(VLOOKUP(B960,BD_CONTROL!$A$5:$M$4235,13,0),"")</f>
        <v>Cargado desde DB instalación 23/04/2026</v>
      </c>
    </row>
    <row r="961" spans="1:13" ht="15" customHeight="1">
      <c r="A961" s="42">
        <v>956</v>
      </c>
      <c r="B961" s="42" t="s">
        <v>8030</v>
      </c>
      <c r="C961" s="43" t="s">
        <v>6735</v>
      </c>
      <c r="D961" s="42" t="s">
        <v>3370</v>
      </c>
      <c r="E961" s="43" t="s">
        <v>7994</v>
      </c>
      <c r="F961" s="43" t="s">
        <v>5282</v>
      </c>
      <c r="G961" s="42" t="s">
        <v>6739</v>
      </c>
      <c r="H961" s="43" t="s">
        <v>3391</v>
      </c>
      <c r="I961" s="43" t="s">
        <v>6741</v>
      </c>
      <c r="J961" s="55"/>
      <c r="K961" s="119" t="str">
        <f>IFERROR(VLOOKUP(B961,BD_CONTROL!$A$5:$M$4235,11,0),"")</f>
        <v>Instalado - Operando</v>
      </c>
      <c r="L961" s="120">
        <f>IFERROR(VLOOKUP(B961,BD_CONTROL!$A$5:$M$4235,12,0),"")</f>
        <v>46140</v>
      </c>
      <c r="M961" s="121">
        <f>IFERROR(VLOOKUP(B961,BD_CONTROL!$A$5:$M$4235,13,0),"")</f>
        <v>0</v>
      </c>
    </row>
    <row r="962" spans="1:13" ht="15" customHeight="1">
      <c r="A962" s="39">
        <v>957</v>
      </c>
      <c r="B962" s="39" t="s">
        <v>8032</v>
      </c>
      <c r="C962" s="40" t="s">
        <v>6735</v>
      </c>
      <c r="D962" s="39" t="s">
        <v>3370</v>
      </c>
      <c r="E962" s="40" t="s">
        <v>3696</v>
      </c>
      <c r="F962" s="40" t="s">
        <v>8033</v>
      </c>
      <c r="G962" s="39" t="s">
        <v>6739</v>
      </c>
      <c r="H962" s="40" t="s">
        <v>3391</v>
      </c>
      <c r="I962" s="40" t="s">
        <v>6741</v>
      </c>
      <c r="J962" s="50"/>
      <c r="K962" s="116" t="str">
        <f>IFERROR(VLOOKUP(B962,BD_CONTROL!$A$5:$M$4235,11,0),"")</f>
        <v>Instalado - Operando</v>
      </c>
      <c r="L962" s="117">
        <f>IFERROR(VLOOKUP(B962,BD_CONTROL!$A$5:$M$4235,12,0),"")</f>
        <v>46141</v>
      </c>
      <c r="M962" s="118">
        <f>IFERROR(VLOOKUP(B962,BD_CONTROL!$A$5:$M$4235,13,0),"")</f>
        <v>0</v>
      </c>
    </row>
    <row r="963" spans="1:13" ht="15" customHeight="1">
      <c r="A963" s="42">
        <v>958</v>
      </c>
      <c r="B963" s="42" t="s">
        <v>8034</v>
      </c>
      <c r="C963" s="43" t="s">
        <v>6735</v>
      </c>
      <c r="D963" s="42" t="s">
        <v>3370</v>
      </c>
      <c r="E963" s="43" t="s">
        <v>3696</v>
      </c>
      <c r="F963" s="43" t="s">
        <v>8035</v>
      </c>
      <c r="G963" s="42" t="s">
        <v>6739</v>
      </c>
      <c r="H963" s="43" t="s">
        <v>3391</v>
      </c>
      <c r="I963" s="43" t="s">
        <v>6741</v>
      </c>
      <c r="J963" s="55"/>
      <c r="K963" s="129" t="str">
        <f>IFERROR(VLOOKUP(B963,BD_CONTROL!$A$5:$M$4235,11,0),"")</f>
        <v>INSTALADO - OPERANDO</v>
      </c>
      <c r="L963" s="120">
        <f>IFERROR(VLOOKUP(B963,BD_CONTROL!$A$5:$M$4235,12,0),"")</f>
        <v>46121</v>
      </c>
      <c r="M963" s="121" t="str">
        <f>IFERROR(VLOOKUP(B963,BD_CONTROL!$A$5:$M$4235,13,0),"")</f>
        <v>Cargado desde DB instalación 23/04/2026</v>
      </c>
    </row>
    <row r="964" spans="1:13" ht="15" customHeight="1">
      <c r="A964" s="39">
        <v>959</v>
      </c>
      <c r="B964" s="39" t="s">
        <v>8040</v>
      </c>
      <c r="C964" s="40" t="s">
        <v>6735</v>
      </c>
      <c r="D964" s="39" t="s">
        <v>3370</v>
      </c>
      <c r="E964" s="40" t="s">
        <v>3797</v>
      </c>
      <c r="F964" s="40" t="s">
        <v>8041</v>
      </c>
      <c r="G964" s="39" t="s">
        <v>6739</v>
      </c>
      <c r="H964" s="40" t="s">
        <v>1532</v>
      </c>
      <c r="I964" s="40" t="s">
        <v>6741</v>
      </c>
      <c r="J964" s="50"/>
      <c r="K964" s="116" t="str">
        <f>IFERROR(VLOOKUP(B964,BD_CONTROL!$A$5:$M$4235,11,0),"")</f>
        <v>Instalado - Operando</v>
      </c>
      <c r="L964" s="117">
        <f>IFERROR(VLOOKUP(B964,BD_CONTROL!$A$5:$M$4235,12,0),"")</f>
        <v>46146</v>
      </c>
      <c r="M964" s="118">
        <f>IFERROR(VLOOKUP(B964,BD_CONTROL!$A$5:$M$4235,13,0),"")</f>
        <v>0</v>
      </c>
    </row>
    <row r="965" spans="1:13" ht="15" customHeight="1">
      <c r="A965" s="42">
        <v>960</v>
      </c>
      <c r="B965" s="42" t="s">
        <v>8044</v>
      </c>
      <c r="C965" s="43" t="s">
        <v>6735</v>
      </c>
      <c r="D965" s="42" t="s">
        <v>3370</v>
      </c>
      <c r="E965" s="43" t="s">
        <v>3856</v>
      </c>
      <c r="F965" s="43" t="s">
        <v>8045</v>
      </c>
      <c r="G965" s="42" t="s">
        <v>6739</v>
      </c>
      <c r="H965" s="43" t="s">
        <v>3391</v>
      </c>
      <c r="I965" s="43" t="s">
        <v>6741</v>
      </c>
      <c r="J965" s="55"/>
      <c r="K965" s="119" t="str">
        <f>IFERROR(VLOOKUP(B965,BD_CONTROL!$A$5:$M$4235,11,0),"")</f>
        <v>Instalado - Operando</v>
      </c>
      <c r="L965" s="120">
        <f>IFERROR(VLOOKUP(B965,BD_CONTROL!$A$5:$M$4235,12,0),"")</f>
        <v>46142</v>
      </c>
      <c r="M965" s="121">
        <f>IFERROR(VLOOKUP(B965,BD_CONTROL!$A$5:$M$4235,13,0),"")</f>
        <v>0</v>
      </c>
    </row>
    <row r="966" spans="1:13" ht="15" customHeight="1">
      <c r="A966" s="39">
        <v>961</v>
      </c>
      <c r="B966" s="39" t="s">
        <v>8051</v>
      </c>
      <c r="C966" s="40" t="s">
        <v>6735</v>
      </c>
      <c r="D966" s="39" t="s">
        <v>3370</v>
      </c>
      <c r="E966" s="40" t="s">
        <v>3753</v>
      </c>
      <c r="F966" s="40" t="s">
        <v>3753</v>
      </c>
      <c r="G966" s="39" t="s">
        <v>6739</v>
      </c>
      <c r="H966" s="40" t="s">
        <v>3391</v>
      </c>
      <c r="I966" s="40" t="s">
        <v>6741</v>
      </c>
      <c r="J966" s="50"/>
      <c r="K966" s="116" t="str">
        <f>IFERROR(VLOOKUP(B966,BD_CONTROL!$A$5:$M$4235,11,0),"")</f>
        <v>Instalado - Operando</v>
      </c>
      <c r="L966" s="117">
        <f>IFERROR(VLOOKUP(B966,BD_CONTROL!$A$5:$M$4235,12,0),"")</f>
        <v>46150</v>
      </c>
      <c r="M966" s="118">
        <f>IFERROR(VLOOKUP(B966,BD_CONTROL!$A$5:$M$4235,13,0),"")</f>
        <v>0</v>
      </c>
    </row>
    <row r="967" spans="1:13" ht="15" customHeight="1">
      <c r="A967" s="42">
        <v>962</v>
      </c>
      <c r="B967" s="42" t="s">
        <v>8052</v>
      </c>
      <c r="C967" s="43" t="s">
        <v>6735</v>
      </c>
      <c r="D967" s="42" t="s">
        <v>3370</v>
      </c>
      <c r="E967" s="43" t="s">
        <v>4057</v>
      </c>
      <c r="F967" s="43" t="s">
        <v>4057</v>
      </c>
      <c r="G967" s="42" t="s">
        <v>6739</v>
      </c>
      <c r="H967" s="43" t="s">
        <v>3391</v>
      </c>
      <c r="I967" s="43" t="s">
        <v>6741</v>
      </c>
      <c r="J967" s="55"/>
      <c r="K967" s="119">
        <f>IFERROR(VLOOKUP(B967,BD_CONTROL!$A$5:$M$4235,11,0),"")</f>
        <v>0</v>
      </c>
      <c r="L967" s="120">
        <f>IFERROR(VLOOKUP(B967,BD_CONTROL!$A$5:$M$4235,12,0),"")</f>
        <v>0</v>
      </c>
      <c r="M967" s="121">
        <f>IFERROR(VLOOKUP(B967,BD_CONTROL!$A$5:$M$4235,13,0),"")</f>
        <v>0</v>
      </c>
    </row>
    <row r="968" spans="1:13" ht="15" customHeight="1">
      <c r="A968" s="39">
        <v>963</v>
      </c>
      <c r="B968" s="39" t="s">
        <v>8070</v>
      </c>
      <c r="C968" s="40" t="s">
        <v>6735</v>
      </c>
      <c r="D968" s="39" t="s">
        <v>3370</v>
      </c>
      <c r="E968" s="40" t="s">
        <v>3447</v>
      </c>
      <c r="F968" s="40" t="s">
        <v>3448</v>
      </c>
      <c r="G968" s="39" t="s">
        <v>6739</v>
      </c>
      <c r="H968" s="40" t="s">
        <v>3449</v>
      </c>
      <c r="I968" s="40" t="s">
        <v>6741</v>
      </c>
      <c r="J968" s="50"/>
      <c r="K968" s="116" t="str">
        <f>IFERROR(VLOOKUP(B968,BD_CONTROL!$A$5:$M$4235,11,0),"")</f>
        <v>Instalado - Operando</v>
      </c>
      <c r="L968" s="117">
        <f>IFERROR(VLOOKUP(B968,BD_CONTROL!$A$5:$M$4235,12,0),"")</f>
        <v>46146</v>
      </c>
      <c r="M968" s="118">
        <f>IFERROR(VLOOKUP(B968,BD_CONTROL!$A$5:$M$4235,13,0),"")</f>
        <v>0</v>
      </c>
    </row>
    <row r="969" spans="1:13" ht="15" customHeight="1">
      <c r="A969" s="42">
        <v>964</v>
      </c>
      <c r="B969" s="42" t="s">
        <v>8072</v>
      </c>
      <c r="C969" s="43" t="s">
        <v>6735</v>
      </c>
      <c r="D969" s="42" t="s">
        <v>3370</v>
      </c>
      <c r="E969" s="43" t="s">
        <v>3856</v>
      </c>
      <c r="F969" s="43" t="s">
        <v>8073</v>
      </c>
      <c r="G969" s="42" t="s">
        <v>6739</v>
      </c>
      <c r="H969" s="43" t="s">
        <v>3391</v>
      </c>
      <c r="I969" s="43" t="s">
        <v>6741</v>
      </c>
      <c r="J969" s="55"/>
      <c r="K969" s="129" t="str">
        <f>IFERROR(VLOOKUP(B969,BD_CONTROL!$A$5:$M$4235,11,0),"")</f>
        <v>INSTALADO - OPERANDO</v>
      </c>
      <c r="L969" s="120">
        <f>IFERROR(VLOOKUP(B969,BD_CONTROL!$A$5:$M$4235,12,0),"")</f>
        <v>46132</v>
      </c>
      <c r="M969" s="121" t="str">
        <f>IFERROR(VLOOKUP(B969,BD_CONTROL!$A$5:$M$4235,13,0),"")</f>
        <v>Cargado desde DB instalación 23/04/2026</v>
      </c>
    </row>
    <row r="970" spans="1:13" ht="15" customHeight="1">
      <c r="A970" s="39">
        <v>965</v>
      </c>
      <c r="B970" s="39" t="s">
        <v>8074</v>
      </c>
      <c r="C970" s="40" t="s">
        <v>6735</v>
      </c>
      <c r="D970" s="39" t="s">
        <v>3370</v>
      </c>
      <c r="E970" s="40" t="s">
        <v>3856</v>
      </c>
      <c r="F970" s="40" t="s">
        <v>4563</v>
      </c>
      <c r="G970" s="39" t="s">
        <v>6739</v>
      </c>
      <c r="H970" s="40" t="s">
        <v>3391</v>
      </c>
      <c r="I970" s="40" t="s">
        <v>6741</v>
      </c>
      <c r="J970" s="50"/>
      <c r="K970" s="129" t="str">
        <f>IFERROR(VLOOKUP(B970,BD_CONTROL!$A$5:$M$4235,11,0),"")</f>
        <v>INSTALADO - OPERANDO</v>
      </c>
      <c r="L970" s="117">
        <f>IFERROR(VLOOKUP(B970,BD_CONTROL!$A$5:$M$4235,12,0),"")</f>
        <v>46127</v>
      </c>
      <c r="M970" s="118" t="str">
        <f>IFERROR(VLOOKUP(B970,BD_CONTROL!$A$5:$M$4235,13,0),"")</f>
        <v>Cargado desde DB instalación 23/04/2026</v>
      </c>
    </row>
    <row r="971" spans="1:13" ht="15" customHeight="1">
      <c r="A971" s="42">
        <v>966</v>
      </c>
      <c r="B971" s="42" t="s">
        <v>8075</v>
      </c>
      <c r="C971" s="43" t="s">
        <v>6735</v>
      </c>
      <c r="D971" s="42" t="s">
        <v>3370</v>
      </c>
      <c r="E971" s="43" t="s">
        <v>3856</v>
      </c>
      <c r="F971" s="43" t="s">
        <v>8076</v>
      </c>
      <c r="G971" s="42" t="s">
        <v>6739</v>
      </c>
      <c r="H971" s="43" t="s">
        <v>3391</v>
      </c>
      <c r="I971" s="43" t="s">
        <v>6741</v>
      </c>
      <c r="J971" s="55"/>
      <c r="K971" s="129" t="str">
        <f>IFERROR(VLOOKUP(B971,BD_CONTROL!$A$5:$M$4235,11,0),"")</f>
        <v>INSTALADO - OPERANDO</v>
      </c>
      <c r="L971" s="120">
        <f>IFERROR(VLOOKUP(B971,BD_CONTROL!$A$5:$M$4235,12,0),"")</f>
        <v>46129</v>
      </c>
      <c r="M971" s="121" t="str">
        <f>IFERROR(VLOOKUP(B971,BD_CONTROL!$A$5:$M$4235,13,0),"")</f>
        <v>Cargado desde DB instalación 23/04/2026</v>
      </c>
    </row>
    <row r="972" spans="1:13" ht="15" customHeight="1">
      <c r="A972" s="39">
        <v>967</v>
      </c>
      <c r="B972" s="39" t="s">
        <v>8077</v>
      </c>
      <c r="C972" s="40" t="s">
        <v>6735</v>
      </c>
      <c r="D972" s="39" t="s">
        <v>3370</v>
      </c>
      <c r="E972" s="40" t="s">
        <v>3416</v>
      </c>
      <c r="F972" s="40" t="s">
        <v>4511</v>
      </c>
      <c r="G972" s="39" t="s">
        <v>6739</v>
      </c>
      <c r="H972" s="40" t="s">
        <v>3391</v>
      </c>
      <c r="I972" s="40" t="s">
        <v>6741</v>
      </c>
      <c r="J972" s="50"/>
      <c r="K972" s="116">
        <f>IFERROR(VLOOKUP(B972,BD_CONTROL!$A$5:$M$4235,11,0),"")</f>
        <v>0</v>
      </c>
      <c r="L972" s="117">
        <f>IFERROR(VLOOKUP(B972,BD_CONTROL!$A$5:$M$4235,12,0),"")</f>
        <v>0</v>
      </c>
      <c r="M972" s="118">
        <f>IFERROR(VLOOKUP(B972,BD_CONTROL!$A$5:$M$4235,13,0),"")</f>
        <v>0</v>
      </c>
    </row>
    <row r="973" spans="1:13" ht="15" customHeight="1">
      <c r="A973" s="42">
        <v>968</v>
      </c>
      <c r="B973" s="42" t="s">
        <v>8078</v>
      </c>
      <c r="C973" s="43" t="s">
        <v>6735</v>
      </c>
      <c r="D973" s="42" t="s">
        <v>3370</v>
      </c>
      <c r="E973" s="43" t="s">
        <v>3832</v>
      </c>
      <c r="F973" s="43" t="s">
        <v>3839</v>
      </c>
      <c r="G973" s="42" t="s">
        <v>6739</v>
      </c>
      <c r="H973" s="43" t="s">
        <v>3391</v>
      </c>
      <c r="I973" s="43" t="s">
        <v>6741</v>
      </c>
      <c r="J973" s="55"/>
      <c r="K973" s="129" t="str">
        <f>IFERROR(VLOOKUP(B973,BD_CONTROL!$A$5:$M$4235,11,0),"")</f>
        <v>INSTALADO - OPERANDO</v>
      </c>
      <c r="L973" s="120">
        <f>IFERROR(VLOOKUP(B973,BD_CONTROL!$A$5:$M$4235,12,0),"")</f>
        <v>46127</v>
      </c>
      <c r="M973" s="121" t="str">
        <f>IFERROR(VLOOKUP(B973,BD_CONTROL!$A$5:$M$4235,13,0),"")</f>
        <v>Cargado desde DB instalación 23/04/2026</v>
      </c>
    </row>
    <row r="974" spans="1:13" ht="15" customHeight="1">
      <c r="A974" s="39">
        <v>969</v>
      </c>
      <c r="B974" s="39" t="s">
        <v>8079</v>
      </c>
      <c r="C974" s="40" t="s">
        <v>6735</v>
      </c>
      <c r="D974" s="39" t="s">
        <v>3370</v>
      </c>
      <c r="E974" s="40" t="s">
        <v>3505</v>
      </c>
      <c r="F974" s="40" t="s">
        <v>8080</v>
      </c>
      <c r="G974" s="39" t="s">
        <v>6739</v>
      </c>
      <c r="H974" s="40" t="s">
        <v>3449</v>
      </c>
      <c r="I974" s="40" t="s">
        <v>6741</v>
      </c>
      <c r="J974" s="50"/>
      <c r="K974" s="116" t="str">
        <f>IFERROR(VLOOKUP(B974,BD_CONTROL!$A$5:$M$4235,11,0),"")</f>
        <v>Instalado - Operando</v>
      </c>
      <c r="L974" s="117">
        <f>IFERROR(VLOOKUP(B974,BD_CONTROL!$A$5:$M$4235,12,0),"")</f>
        <v>46143</v>
      </c>
      <c r="M974" s="118">
        <f>IFERROR(VLOOKUP(B974,BD_CONTROL!$A$5:$M$4235,13,0),"")</f>
        <v>0</v>
      </c>
    </row>
    <row r="975" spans="1:13" ht="15" customHeight="1">
      <c r="A975" s="42">
        <v>970</v>
      </c>
      <c r="B975" s="42" t="s">
        <v>8095</v>
      </c>
      <c r="C975" s="43" t="s">
        <v>6735</v>
      </c>
      <c r="D975" s="42" t="s">
        <v>3370</v>
      </c>
      <c r="E975" s="43" t="s">
        <v>3571</v>
      </c>
      <c r="F975" s="43" t="s">
        <v>3571</v>
      </c>
      <c r="G975" s="42" t="s">
        <v>6739</v>
      </c>
      <c r="H975" s="43" t="s">
        <v>3449</v>
      </c>
      <c r="I975" s="43" t="s">
        <v>6741</v>
      </c>
      <c r="J975" s="55"/>
      <c r="K975" s="119" t="str">
        <f>IFERROR(VLOOKUP(B975,BD_CONTROL!$A$5:$M$4235,11,0),"")</f>
        <v>Instalado - Operando</v>
      </c>
      <c r="L975" s="120">
        <f>IFERROR(VLOOKUP(B975,BD_CONTROL!$A$5:$M$4235,12,0),"")</f>
        <v>46143</v>
      </c>
      <c r="M975" s="121">
        <f>IFERROR(VLOOKUP(B975,BD_CONTROL!$A$5:$M$4235,13,0),"")</f>
        <v>0</v>
      </c>
    </row>
    <row r="976" spans="1:13" ht="15" customHeight="1">
      <c r="A976" s="39">
        <v>971</v>
      </c>
      <c r="B976" s="39" t="s">
        <v>8122</v>
      </c>
      <c r="C976" s="40" t="s">
        <v>6735</v>
      </c>
      <c r="D976" s="39" t="s">
        <v>4690</v>
      </c>
      <c r="E976" s="40" t="s">
        <v>4712</v>
      </c>
      <c r="F976" s="40" t="s">
        <v>2756</v>
      </c>
      <c r="G976" s="39" t="s">
        <v>6739</v>
      </c>
      <c r="H976" s="40" t="s">
        <v>1532</v>
      </c>
      <c r="I976" s="40" t="s">
        <v>6741</v>
      </c>
      <c r="J976" s="50"/>
      <c r="K976" s="116" t="str">
        <f>IFERROR(VLOOKUP(B976,BD_CONTROL!$A$5:$M$4235,11,0),"")</f>
        <v>Instalado - Sin Señal</v>
      </c>
      <c r="L976" s="117">
        <f>IFERROR(VLOOKUP(B976,BD_CONTROL!$A$5:$M$4235,12,0),"")</f>
        <v>46146</v>
      </c>
      <c r="M976" s="118" t="str">
        <f>IFERROR(VLOOKUP(B976,BD_CONTROL!$A$5:$M$4235,13,0),"")</f>
        <v>Instalado, no operando, con reporte a mesa de ayuda</v>
      </c>
    </row>
    <row r="977" spans="1:13" ht="15" customHeight="1">
      <c r="A977" s="42">
        <v>972</v>
      </c>
      <c r="B977" s="42" t="s">
        <v>8168</v>
      </c>
      <c r="C977" s="43" t="s">
        <v>6735</v>
      </c>
      <c r="D977" s="42" t="s">
        <v>4690</v>
      </c>
      <c r="E977" s="43" t="s">
        <v>8169</v>
      </c>
      <c r="F977" s="43" t="s">
        <v>8169</v>
      </c>
      <c r="G977" s="42" t="s">
        <v>6739</v>
      </c>
      <c r="H977" s="43" t="s">
        <v>1532</v>
      </c>
      <c r="I977" s="43" t="s">
        <v>6741</v>
      </c>
      <c r="J977" s="55"/>
      <c r="K977" s="119" t="str">
        <f>IFERROR(VLOOKUP(B977,BD_CONTROL!$A$5:$M$4235,11,0),"")</f>
        <v>Instalado - Sin Señal</v>
      </c>
      <c r="L977" s="120">
        <f>IFERROR(VLOOKUP(B977,BD_CONTROL!$A$5:$M$4235,12,0),"")</f>
        <v>46141</v>
      </c>
      <c r="M977" s="121" t="str">
        <f>IFERROR(VLOOKUP(B977,BD_CONTROL!$A$5:$M$4235,13,0),"")</f>
        <v xml:space="preserve">Instalado, no operando, con reporte a mesa de ayuda
</v>
      </c>
    </row>
    <row r="978" spans="1:13" ht="15" customHeight="1">
      <c r="A978" s="39">
        <v>973</v>
      </c>
      <c r="B978" s="39" t="s">
        <v>8175</v>
      </c>
      <c r="C978" s="40" t="s">
        <v>6735</v>
      </c>
      <c r="D978" s="39" t="s">
        <v>4690</v>
      </c>
      <c r="E978" s="40" t="s">
        <v>4797</v>
      </c>
      <c r="F978" s="40" t="s">
        <v>8176</v>
      </c>
      <c r="G978" s="39" t="s">
        <v>6739</v>
      </c>
      <c r="H978" s="40" t="s">
        <v>3391</v>
      </c>
      <c r="I978" s="40" t="s">
        <v>6741</v>
      </c>
      <c r="J978" s="50"/>
      <c r="K978" s="116">
        <f>IFERROR(VLOOKUP(B978,BD_CONTROL!$A$5:$M$4235,11,0),"")</f>
        <v>0</v>
      </c>
      <c r="L978" s="117">
        <f>IFERROR(VLOOKUP(B978,BD_CONTROL!$A$5:$M$4235,12,0),"")</f>
        <v>0</v>
      </c>
      <c r="M978" s="118">
        <f>IFERROR(VLOOKUP(B978,BD_CONTROL!$A$5:$M$4235,13,0),"")</f>
        <v>0</v>
      </c>
    </row>
    <row r="979" spans="1:13" ht="15" customHeight="1">
      <c r="A979" s="42">
        <v>974</v>
      </c>
      <c r="B979" s="42" t="s">
        <v>8221</v>
      </c>
      <c r="C979" s="43" t="s">
        <v>6735</v>
      </c>
      <c r="D979" s="42" t="s">
        <v>4690</v>
      </c>
      <c r="E979" s="43" t="s">
        <v>4921</v>
      </c>
      <c r="F979" s="43" t="s">
        <v>8222</v>
      </c>
      <c r="G979" s="42" t="s">
        <v>6739</v>
      </c>
      <c r="H979" s="43" t="s">
        <v>3391</v>
      </c>
      <c r="I979" s="43" t="s">
        <v>6741</v>
      </c>
      <c r="J979" s="55"/>
      <c r="K979" s="119">
        <f>IFERROR(VLOOKUP(B979,BD_CONTROL!$A$5:$M$4235,11,0),"")</f>
        <v>0</v>
      </c>
      <c r="L979" s="120">
        <f>IFERROR(VLOOKUP(B979,BD_CONTROL!$A$5:$M$4235,12,0),"")</f>
        <v>0</v>
      </c>
      <c r="M979" s="121">
        <f>IFERROR(VLOOKUP(B979,BD_CONTROL!$A$5:$M$4235,13,0),"")</f>
        <v>0</v>
      </c>
    </row>
    <row r="980" spans="1:13" ht="15" customHeight="1">
      <c r="A980" s="39">
        <v>975</v>
      </c>
      <c r="B980" s="39" t="s">
        <v>8224</v>
      </c>
      <c r="C980" s="40" t="s">
        <v>6735</v>
      </c>
      <c r="D980" s="39" t="s">
        <v>4690</v>
      </c>
      <c r="E980" s="40" t="s">
        <v>4921</v>
      </c>
      <c r="F980" s="40" t="s">
        <v>8222</v>
      </c>
      <c r="G980" s="39" t="s">
        <v>6739</v>
      </c>
      <c r="H980" s="40" t="s">
        <v>3391</v>
      </c>
      <c r="I980" s="40" t="s">
        <v>6741</v>
      </c>
      <c r="J980" s="50"/>
      <c r="K980" s="116">
        <f>IFERROR(VLOOKUP(B980,BD_CONTROL!$A$5:$M$4235,11,0),"")</f>
        <v>0</v>
      </c>
      <c r="L980" s="117">
        <f>IFERROR(VLOOKUP(B980,BD_CONTROL!$A$5:$M$4235,12,0),"")</f>
        <v>0</v>
      </c>
      <c r="M980" s="118">
        <f>IFERROR(VLOOKUP(B980,BD_CONTROL!$A$5:$M$4235,13,0),"")</f>
        <v>0</v>
      </c>
    </row>
    <row r="981" spans="1:13" ht="15" customHeight="1">
      <c r="A981" s="42">
        <v>976</v>
      </c>
      <c r="B981" s="42" t="s">
        <v>8243</v>
      </c>
      <c r="C981" s="43" t="s">
        <v>6735</v>
      </c>
      <c r="D981" s="42" t="s">
        <v>4690</v>
      </c>
      <c r="E981" s="43" t="s">
        <v>4712</v>
      </c>
      <c r="F981" s="43" t="s">
        <v>4712</v>
      </c>
      <c r="G981" s="42" t="s">
        <v>6739</v>
      </c>
      <c r="H981" s="43" t="s">
        <v>1532</v>
      </c>
      <c r="I981" s="43" t="s">
        <v>6741</v>
      </c>
      <c r="J981" s="55"/>
      <c r="K981" s="119">
        <f>IFERROR(VLOOKUP(B981,BD_CONTROL!$A$5:$M$4235,11,0),"")</f>
        <v>0</v>
      </c>
      <c r="L981" s="120">
        <f>IFERROR(VLOOKUP(B981,BD_CONTROL!$A$5:$M$4235,12,0),"")</f>
        <v>0</v>
      </c>
      <c r="M981" s="121">
        <f>IFERROR(VLOOKUP(B981,BD_CONTROL!$A$5:$M$4235,13,0),"")</f>
        <v>0</v>
      </c>
    </row>
    <row r="982" spans="1:13" ht="15" customHeight="1">
      <c r="A982" s="39">
        <v>977</v>
      </c>
      <c r="B982" s="39" t="s">
        <v>8244</v>
      </c>
      <c r="C982" s="40" t="s">
        <v>6735</v>
      </c>
      <c r="D982" s="39" t="s">
        <v>4690</v>
      </c>
      <c r="E982" s="40" t="s">
        <v>4782</v>
      </c>
      <c r="F982" s="40" t="s">
        <v>8245</v>
      </c>
      <c r="G982" s="39" t="s">
        <v>6739</v>
      </c>
      <c r="H982" s="40" t="s">
        <v>3391</v>
      </c>
      <c r="I982" s="40" t="s">
        <v>6741</v>
      </c>
      <c r="J982" s="50"/>
      <c r="K982" s="116">
        <f>IFERROR(VLOOKUP(B982,BD_CONTROL!$A$5:$M$4235,11,0),"")</f>
        <v>0</v>
      </c>
      <c r="L982" s="117">
        <f>IFERROR(VLOOKUP(B982,BD_CONTROL!$A$5:$M$4235,12,0),"")</f>
        <v>0</v>
      </c>
      <c r="M982" s="118">
        <f>IFERROR(VLOOKUP(B982,BD_CONTROL!$A$5:$M$4235,13,0),"")</f>
        <v>0</v>
      </c>
    </row>
    <row r="983" spans="1:13" ht="15" customHeight="1">
      <c r="A983" s="42">
        <v>978</v>
      </c>
      <c r="B983" s="42" t="s">
        <v>8271</v>
      </c>
      <c r="C983" s="43" t="s">
        <v>6735</v>
      </c>
      <c r="D983" s="42" t="s">
        <v>4690</v>
      </c>
      <c r="E983" s="43" t="s">
        <v>4921</v>
      </c>
      <c r="F983" s="43" t="s">
        <v>8222</v>
      </c>
      <c r="G983" s="42" t="s">
        <v>6739</v>
      </c>
      <c r="H983" s="43" t="s">
        <v>3391</v>
      </c>
      <c r="I983" s="43" t="s">
        <v>6741</v>
      </c>
      <c r="J983" s="55"/>
      <c r="K983" s="119">
        <f>IFERROR(VLOOKUP(B983,BD_CONTROL!$A$5:$M$4235,11,0),"")</f>
        <v>0</v>
      </c>
      <c r="L983" s="120">
        <f>IFERROR(VLOOKUP(B983,BD_CONTROL!$A$5:$M$4235,12,0),"")</f>
        <v>0</v>
      </c>
      <c r="M983" s="121">
        <f>IFERROR(VLOOKUP(B983,BD_CONTROL!$A$5:$M$4235,13,0),"")</f>
        <v>0</v>
      </c>
    </row>
    <row r="984" spans="1:13" ht="15" customHeight="1">
      <c r="A984" s="39">
        <v>979</v>
      </c>
      <c r="B984" s="39" t="s">
        <v>8281</v>
      </c>
      <c r="C984" s="40" t="s">
        <v>6735</v>
      </c>
      <c r="D984" s="39" t="s">
        <v>5640</v>
      </c>
      <c r="E984" s="40" t="s">
        <v>5944</v>
      </c>
      <c r="F984" s="40" t="s">
        <v>8282</v>
      </c>
      <c r="G984" s="39" t="s">
        <v>6739</v>
      </c>
      <c r="H984" s="40" t="s">
        <v>3449</v>
      </c>
      <c r="I984" s="40" t="s">
        <v>6741</v>
      </c>
      <c r="J984" s="50"/>
      <c r="K984" s="129" t="str">
        <f>IFERROR(VLOOKUP(B984,BD_CONTROL!$A$5:$M$4235,11,0),"")</f>
        <v>INSTALADO - OPERANDO</v>
      </c>
      <c r="L984" s="117">
        <f>IFERROR(VLOOKUP(B984,BD_CONTROL!$A$5:$M$4235,12,0),"")</f>
        <v>46120</v>
      </c>
      <c r="M984" s="118" t="str">
        <f>IFERROR(VLOOKUP(B984,BD_CONTROL!$A$5:$M$4235,13,0),"")</f>
        <v>Cargado desde DB instalación 23/04/2026</v>
      </c>
    </row>
    <row r="985" spans="1:13" ht="15" customHeight="1">
      <c r="A985" s="42">
        <v>980</v>
      </c>
      <c r="B985" s="42" t="s">
        <v>8283</v>
      </c>
      <c r="C985" s="43" t="s">
        <v>6735</v>
      </c>
      <c r="D985" s="42" t="s">
        <v>5640</v>
      </c>
      <c r="E985" s="43" t="s">
        <v>8284</v>
      </c>
      <c r="F985" s="43" t="s">
        <v>8284</v>
      </c>
      <c r="G985" s="42" t="s">
        <v>6739</v>
      </c>
      <c r="H985" s="43" t="s">
        <v>3449</v>
      </c>
      <c r="I985" s="43" t="s">
        <v>6741</v>
      </c>
      <c r="J985" s="55"/>
      <c r="K985" s="119" t="str">
        <f>IFERROR(VLOOKUP(B985,BD_CONTROL!$A$5:$M$4235,11,0),"")</f>
        <v>Instalado - Operando</v>
      </c>
      <c r="L985" s="120">
        <f>IFERROR(VLOOKUP(B985,BD_CONTROL!$A$5:$M$4235,12,0),"")</f>
        <v>46147</v>
      </c>
      <c r="M985" s="121">
        <f>IFERROR(VLOOKUP(B985,BD_CONTROL!$A$5:$M$4235,13,0),"")</f>
        <v>0</v>
      </c>
    </row>
    <row r="986" spans="1:13" ht="15" customHeight="1">
      <c r="A986" s="39">
        <v>981</v>
      </c>
      <c r="B986" s="39" t="s">
        <v>8285</v>
      </c>
      <c r="C986" s="40" t="s">
        <v>6735</v>
      </c>
      <c r="D986" s="39" t="s">
        <v>5640</v>
      </c>
      <c r="E986" s="40" t="s">
        <v>5888</v>
      </c>
      <c r="F986" s="40" t="s">
        <v>8286</v>
      </c>
      <c r="G986" s="39" t="s">
        <v>6739</v>
      </c>
      <c r="H986" s="40" t="s">
        <v>3449</v>
      </c>
      <c r="I986" s="40" t="s">
        <v>6741</v>
      </c>
      <c r="J986" s="50"/>
      <c r="K986" s="116" t="str">
        <f>IFERROR(VLOOKUP(B986,BD_CONTROL!$A$5:$M$4235,11,0),"")</f>
        <v>Instalado - Operando</v>
      </c>
      <c r="L986" s="117">
        <f>IFERROR(VLOOKUP(B986,BD_CONTROL!$A$5:$M$4235,12,0),"")</f>
        <v>46140</v>
      </c>
      <c r="M986" s="118">
        <f>IFERROR(VLOOKUP(B986,BD_CONTROL!$A$5:$M$4235,13,0),"")</f>
        <v>0</v>
      </c>
    </row>
    <row r="987" spans="1:13" ht="15" customHeight="1">
      <c r="A987" s="42">
        <v>982</v>
      </c>
      <c r="B987" s="42" t="s">
        <v>8287</v>
      </c>
      <c r="C987" s="43" t="s">
        <v>6735</v>
      </c>
      <c r="D987" s="42" t="s">
        <v>5640</v>
      </c>
      <c r="E987" s="43" t="s">
        <v>4099</v>
      </c>
      <c r="F987" s="43" t="s">
        <v>8288</v>
      </c>
      <c r="G987" s="42" t="s">
        <v>6739</v>
      </c>
      <c r="H987" s="43" t="s">
        <v>3449</v>
      </c>
      <c r="I987" s="43" t="s">
        <v>6741</v>
      </c>
      <c r="J987" s="55"/>
      <c r="K987" s="130" t="str">
        <f>IFERROR(VLOOKUP(B987,BD_CONTROL!$A$5:$M$4235,11,0),"")</f>
        <v>INSTALADO - SIN SEÑAL</v>
      </c>
      <c r="L987" s="120">
        <f>IFERROR(VLOOKUP(B987,BD_CONTROL!$A$5:$M$4235,12,0),"")</f>
        <v>46133</v>
      </c>
      <c r="M987" s="121" t="str">
        <f>IFERROR(VLOOKUP(B987,BD_CONTROL!$A$5:$M$4235,13,0),"")</f>
        <v>Cargado desde DB instalación 23/04/2026</v>
      </c>
    </row>
    <row r="988" spans="1:13" ht="15" customHeight="1">
      <c r="A988" s="39">
        <v>983</v>
      </c>
      <c r="B988" s="39" t="s">
        <v>8289</v>
      </c>
      <c r="C988" s="40" t="s">
        <v>6735</v>
      </c>
      <c r="D988" s="39" t="s">
        <v>5640</v>
      </c>
      <c r="E988" s="40" t="s">
        <v>5691</v>
      </c>
      <c r="F988" s="40" t="s">
        <v>6387</v>
      </c>
      <c r="G988" s="39" t="s">
        <v>6739</v>
      </c>
      <c r="H988" s="40" t="s">
        <v>3449</v>
      </c>
      <c r="I988" s="40" t="s">
        <v>6741</v>
      </c>
      <c r="J988" s="50"/>
      <c r="K988" s="129" t="str">
        <f>IFERROR(VLOOKUP(B988,BD_CONTROL!$A$5:$M$4235,11,0),"")</f>
        <v>INSTALADO - OPERANDO</v>
      </c>
      <c r="L988" s="117">
        <f>IFERROR(VLOOKUP(B988,BD_CONTROL!$A$5:$M$4235,12,0),"")</f>
        <v>46127</v>
      </c>
      <c r="M988" s="118" t="str">
        <f>IFERROR(VLOOKUP(B988,BD_CONTROL!$A$5:$M$4235,13,0),"")</f>
        <v>Cargado desde DB instalación 23/04/2026</v>
      </c>
    </row>
    <row r="989" spans="1:13" ht="15" customHeight="1">
      <c r="A989" s="42">
        <v>984</v>
      </c>
      <c r="B989" s="42" t="s">
        <v>8290</v>
      </c>
      <c r="C989" s="43" t="s">
        <v>6735</v>
      </c>
      <c r="D989" s="42" t="s">
        <v>5640</v>
      </c>
      <c r="E989" s="43" t="s">
        <v>5691</v>
      </c>
      <c r="F989" s="43" t="s">
        <v>5708</v>
      </c>
      <c r="G989" s="42" t="s">
        <v>6739</v>
      </c>
      <c r="H989" s="43" t="s">
        <v>3449</v>
      </c>
      <c r="I989" s="43" t="s">
        <v>6741</v>
      </c>
      <c r="J989" s="55"/>
      <c r="K989" s="129" t="str">
        <f>IFERROR(VLOOKUP(B989,BD_CONTROL!$A$5:$M$4235,11,0),"")</f>
        <v>INSTALADO - OPERANDO</v>
      </c>
      <c r="L989" s="120">
        <f>IFERROR(VLOOKUP(B989,BD_CONTROL!$A$5:$M$4235,12,0),"")</f>
        <v>46129</v>
      </c>
      <c r="M989" s="121" t="str">
        <f>IFERROR(VLOOKUP(B989,BD_CONTROL!$A$5:$M$4235,13,0),"")</f>
        <v>Cargado desde DB instalación 23/04/2026</v>
      </c>
    </row>
    <row r="990" spans="1:13" ht="15" customHeight="1">
      <c r="A990" s="39">
        <v>985</v>
      </c>
      <c r="B990" s="39" t="s">
        <v>8291</v>
      </c>
      <c r="C990" s="40" t="s">
        <v>6735</v>
      </c>
      <c r="D990" s="39" t="s">
        <v>5640</v>
      </c>
      <c r="E990" s="40" t="s">
        <v>5761</v>
      </c>
      <c r="F990" s="40" t="s">
        <v>5762</v>
      </c>
      <c r="G990" s="39" t="s">
        <v>6739</v>
      </c>
      <c r="H990" s="40" t="s">
        <v>3449</v>
      </c>
      <c r="I990" s="40" t="s">
        <v>6741</v>
      </c>
      <c r="J990" s="50"/>
      <c r="K990" s="116" t="str">
        <f>IFERROR(VLOOKUP(B990,BD_CONTROL!$A$5:$M$4235,11,0),"")</f>
        <v>Instalado - Operando</v>
      </c>
      <c r="L990" s="117">
        <f>IFERROR(VLOOKUP(B990,BD_CONTROL!$A$5:$M$4235,12,0),"")</f>
        <v>46150</v>
      </c>
      <c r="M990" s="118">
        <f>IFERROR(VLOOKUP(B990,BD_CONTROL!$A$5:$M$4235,13,0),"")</f>
        <v>0</v>
      </c>
    </row>
    <row r="991" spans="1:13" ht="15" customHeight="1">
      <c r="A991" s="42">
        <v>986</v>
      </c>
      <c r="B991" s="42" t="s">
        <v>8292</v>
      </c>
      <c r="C991" s="43" t="s">
        <v>6735</v>
      </c>
      <c r="D991" s="42" t="s">
        <v>5640</v>
      </c>
      <c r="E991" s="43" t="s">
        <v>5710</v>
      </c>
      <c r="F991" s="43" t="s">
        <v>8293</v>
      </c>
      <c r="G991" s="42" t="s">
        <v>6739</v>
      </c>
      <c r="H991" s="43" t="s">
        <v>3449</v>
      </c>
      <c r="I991" s="43" t="s">
        <v>6741</v>
      </c>
      <c r="J991" s="55"/>
      <c r="K991" s="119" t="str">
        <f>IFERROR(VLOOKUP(B991,BD_CONTROL!$A$5:$M$4235,11,0),"")</f>
        <v>Instalado - Operando</v>
      </c>
      <c r="L991" s="120">
        <f>IFERROR(VLOOKUP(B991,BD_CONTROL!$A$5:$M$4235,12,0),"")</f>
        <v>46142</v>
      </c>
      <c r="M991" s="121">
        <f>IFERROR(VLOOKUP(B991,BD_CONTROL!$A$5:$M$4235,13,0),"")</f>
        <v>0</v>
      </c>
    </row>
    <row r="992" spans="1:13" ht="15" customHeight="1">
      <c r="A992" s="39">
        <v>987</v>
      </c>
      <c r="B992" s="39" t="s">
        <v>8294</v>
      </c>
      <c r="C992" s="40" t="s">
        <v>6735</v>
      </c>
      <c r="D992" s="39" t="s">
        <v>5640</v>
      </c>
      <c r="E992" s="40" t="s">
        <v>5710</v>
      </c>
      <c r="F992" s="40" t="s">
        <v>8295</v>
      </c>
      <c r="G992" s="39" t="s">
        <v>6739</v>
      </c>
      <c r="H992" s="40" t="s">
        <v>3449</v>
      </c>
      <c r="I992" s="40" t="s">
        <v>6741</v>
      </c>
      <c r="J992" s="50"/>
      <c r="K992" s="129" t="str">
        <f>IFERROR(VLOOKUP(B992,BD_CONTROL!$A$5:$M$4235,11,0),"")</f>
        <v>Instalado - Operando</v>
      </c>
      <c r="L992" s="117">
        <f>IFERROR(VLOOKUP(B992,BD_CONTROL!$A$5:$M$4235,12,0),"")</f>
        <v>46136</v>
      </c>
      <c r="M992" s="118">
        <f>IFERROR(VLOOKUP(B992,BD_CONTROL!$A$5:$M$4235,13,0),"")</f>
        <v>0</v>
      </c>
    </row>
    <row r="993" spans="1:13" ht="15" customHeight="1">
      <c r="A993" s="42">
        <v>988</v>
      </c>
      <c r="B993" s="42" t="s">
        <v>8296</v>
      </c>
      <c r="C993" s="43" t="s">
        <v>6735</v>
      </c>
      <c r="D993" s="42" t="s">
        <v>5640</v>
      </c>
      <c r="E993" s="43" t="s">
        <v>5710</v>
      </c>
      <c r="F993" s="43" t="s">
        <v>8297</v>
      </c>
      <c r="G993" s="42" t="s">
        <v>6739</v>
      </c>
      <c r="H993" s="43" t="s">
        <v>3449</v>
      </c>
      <c r="I993" s="43" t="s">
        <v>6741</v>
      </c>
      <c r="J993" s="55"/>
      <c r="K993" s="119" t="str">
        <f>IFERROR(VLOOKUP(B993,BD_CONTROL!$A$5:$M$4235,11,0),"")</f>
        <v>Instalado - Operando</v>
      </c>
      <c r="L993" s="120">
        <f>IFERROR(VLOOKUP(B993,BD_CONTROL!$A$5:$M$4235,12,0),"")</f>
        <v>46143</v>
      </c>
      <c r="M993" s="121">
        <f>IFERROR(VLOOKUP(B993,BD_CONTROL!$A$5:$M$4235,13,0),"")</f>
        <v>0</v>
      </c>
    </row>
    <row r="994" spans="1:13" ht="15" customHeight="1">
      <c r="A994" s="39">
        <v>989</v>
      </c>
      <c r="B994" s="39" t="s">
        <v>8298</v>
      </c>
      <c r="C994" s="40" t="s">
        <v>6735</v>
      </c>
      <c r="D994" s="39" t="s">
        <v>5640</v>
      </c>
      <c r="E994" s="40" t="s">
        <v>5710</v>
      </c>
      <c r="F994" s="40" t="s">
        <v>5711</v>
      </c>
      <c r="G994" s="39" t="s">
        <v>6739</v>
      </c>
      <c r="H994" s="40" t="s">
        <v>3449</v>
      </c>
      <c r="I994" s="40" t="s">
        <v>6741</v>
      </c>
      <c r="J994" s="50"/>
      <c r="K994" s="116" t="str">
        <f>IFERROR(VLOOKUP(B994,BD_CONTROL!$A$5:$M$4235,11,0),"")</f>
        <v>Instalado - Operando</v>
      </c>
      <c r="L994" s="117">
        <f>IFERROR(VLOOKUP(B994,BD_CONTROL!$A$5:$M$4235,12,0),"")</f>
        <v>46142</v>
      </c>
      <c r="M994" s="118">
        <f>IFERROR(VLOOKUP(B994,BD_CONTROL!$A$5:$M$4235,13,0),"")</f>
        <v>0</v>
      </c>
    </row>
    <row r="995" spans="1:13" ht="15" customHeight="1">
      <c r="A995" s="42">
        <v>990</v>
      </c>
      <c r="B995" s="42" t="s">
        <v>8299</v>
      </c>
      <c r="C995" s="43" t="s">
        <v>6735</v>
      </c>
      <c r="D995" s="42" t="s">
        <v>5640</v>
      </c>
      <c r="E995" s="43" t="s">
        <v>5861</v>
      </c>
      <c r="F995" s="43" t="s">
        <v>8300</v>
      </c>
      <c r="G995" s="42" t="s">
        <v>6739</v>
      </c>
      <c r="H995" s="43" t="s">
        <v>3449</v>
      </c>
      <c r="I995" s="43" t="s">
        <v>6741</v>
      </c>
      <c r="J995" s="55"/>
      <c r="K995" s="129" t="str">
        <f>IFERROR(VLOOKUP(B995,BD_CONTROL!$A$5:$M$4235,11,0),"")</f>
        <v>INSTALADO - OPERANDO</v>
      </c>
      <c r="L995" s="120">
        <f>IFERROR(VLOOKUP(B995,BD_CONTROL!$A$5:$M$4235,12,0),"")</f>
        <v>46113</v>
      </c>
      <c r="M995" s="121" t="str">
        <f>IFERROR(VLOOKUP(B995,BD_CONTROL!$A$5:$M$4235,13,0),"")</f>
        <v>Cargado desde DB instalación 23/04/2026</v>
      </c>
    </row>
    <row r="996" spans="1:13" ht="15" customHeight="1">
      <c r="A996" s="39">
        <v>991</v>
      </c>
      <c r="B996" s="39" t="s">
        <v>8301</v>
      </c>
      <c r="C996" s="40" t="s">
        <v>6735</v>
      </c>
      <c r="D996" s="39" t="s">
        <v>5640</v>
      </c>
      <c r="E996" s="40" t="s">
        <v>5729</v>
      </c>
      <c r="F996" s="40" t="s">
        <v>8302</v>
      </c>
      <c r="G996" s="39" t="s">
        <v>6739</v>
      </c>
      <c r="H996" s="40" t="s">
        <v>3449</v>
      </c>
      <c r="I996" s="40" t="s">
        <v>6741</v>
      </c>
      <c r="J996" s="50"/>
      <c r="K996" s="130" t="str">
        <f>IFERROR(VLOOKUP(B996,BD_CONTROL!$A$5:$M$4235,11,0),"")</f>
        <v>INSTALADO - SIN SEÑAL</v>
      </c>
      <c r="L996" s="117">
        <f>IFERROR(VLOOKUP(B996,BD_CONTROL!$A$5:$M$4235,12,0),"")</f>
        <v>46135</v>
      </c>
      <c r="M996" s="118" t="str">
        <f>IFERROR(VLOOKUP(B996,BD_CONTROL!$A$5:$M$4235,13,0),"")</f>
        <v>Cargado desde DB instalación 23/04/2026</v>
      </c>
    </row>
    <row r="997" spans="1:13" ht="15" customHeight="1">
      <c r="A997" s="42">
        <v>992</v>
      </c>
      <c r="B997" s="42" t="s">
        <v>8303</v>
      </c>
      <c r="C997" s="43" t="s">
        <v>6735</v>
      </c>
      <c r="D997" s="42" t="s">
        <v>5640</v>
      </c>
      <c r="E997" s="43" t="s">
        <v>5938</v>
      </c>
      <c r="F997" s="43" t="s">
        <v>6004</v>
      </c>
      <c r="G997" s="42" t="s">
        <v>6739</v>
      </c>
      <c r="H997" s="43" t="s">
        <v>3449</v>
      </c>
      <c r="I997" s="43" t="s">
        <v>6741</v>
      </c>
      <c r="J997" s="55"/>
      <c r="K997" s="129" t="str">
        <f>IFERROR(VLOOKUP(B997,BD_CONTROL!$A$5:$M$4235,11,0),"")</f>
        <v>INSTALADO - OPERANDO</v>
      </c>
      <c r="L997" s="120">
        <f>IFERROR(VLOOKUP(B997,BD_CONTROL!$A$5:$M$4235,12,0),"")</f>
        <v>46119</v>
      </c>
      <c r="M997" s="121" t="str">
        <f>IFERROR(VLOOKUP(B997,BD_CONTROL!$A$5:$M$4235,13,0),"")</f>
        <v>Cargado desde DB instalación 23/04/2026</v>
      </c>
    </row>
    <row r="998" spans="1:13" ht="15" customHeight="1">
      <c r="A998" s="39">
        <v>993</v>
      </c>
      <c r="B998" s="39" t="s">
        <v>8304</v>
      </c>
      <c r="C998" s="40" t="s">
        <v>6735</v>
      </c>
      <c r="D998" s="39" t="s">
        <v>5640</v>
      </c>
      <c r="E998" s="40" t="s">
        <v>5658</v>
      </c>
      <c r="F998" s="40" t="s">
        <v>8305</v>
      </c>
      <c r="G998" s="39" t="s">
        <v>6739</v>
      </c>
      <c r="H998" s="40" t="s">
        <v>3449</v>
      </c>
      <c r="I998" s="40" t="s">
        <v>6741</v>
      </c>
      <c r="J998" s="50"/>
      <c r="K998" s="129" t="str">
        <f>IFERROR(VLOOKUP(B998,BD_CONTROL!$A$5:$M$4235,11,0),"")</f>
        <v>INSTALADO - OPERANDO</v>
      </c>
      <c r="L998" s="117">
        <f>IFERROR(VLOOKUP(B998,BD_CONTROL!$A$5:$M$4235,12,0),"")</f>
        <v>46135</v>
      </c>
      <c r="M998" s="118" t="str">
        <f>IFERROR(VLOOKUP(B998,BD_CONTROL!$A$5:$M$4235,13,0),"")</f>
        <v>Cargado desde DB instalación 23/04/2026</v>
      </c>
    </row>
    <row r="999" spans="1:13" ht="15" customHeight="1">
      <c r="A999" s="42">
        <v>994</v>
      </c>
      <c r="B999" s="42" t="s">
        <v>8306</v>
      </c>
      <c r="C999" s="43" t="s">
        <v>6735</v>
      </c>
      <c r="D999" s="42" t="s">
        <v>5640</v>
      </c>
      <c r="E999" s="43" t="s">
        <v>5640</v>
      </c>
      <c r="F999" s="43" t="s">
        <v>5647</v>
      </c>
      <c r="G999" s="42" t="s">
        <v>6739</v>
      </c>
      <c r="H999" s="43" t="s">
        <v>3449</v>
      </c>
      <c r="I999" s="43" t="s">
        <v>6741</v>
      </c>
      <c r="J999" s="55"/>
      <c r="K999" s="129" t="str">
        <f>IFERROR(VLOOKUP(B999,BD_CONTROL!$A$5:$M$4235,11,0),"")</f>
        <v>INSTALADO - OPERANDO</v>
      </c>
      <c r="L999" s="120">
        <f>IFERROR(VLOOKUP(B999,BD_CONTROL!$A$5:$M$4235,12,0),"")</f>
        <v>46111</v>
      </c>
      <c r="M999" s="121" t="str">
        <f>IFERROR(VLOOKUP(B999,BD_CONTROL!$A$5:$M$4235,13,0),"")</f>
        <v>Cargado desde DB instalación 23/04/2026</v>
      </c>
    </row>
    <row r="1000" spans="1:13" ht="15" customHeight="1">
      <c r="A1000" s="39">
        <v>995</v>
      </c>
      <c r="B1000" s="39" t="s">
        <v>8307</v>
      </c>
      <c r="C1000" s="40" t="s">
        <v>6735</v>
      </c>
      <c r="D1000" s="39" t="s">
        <v>5640</v>
      </c>
      <c r="E1000" s="40" t="s">
        <v>5640</v>
      </c>
      <c r="F1000" s="40" t="s">
        <v>5647</v>
      </c>
      <c r="G1000" s="39" t="s">
        <v>6739</v>
      </c>
      <c r="H1000" s="40" t="s">
        <v>3449</v>
      </c>
      <c r="I1000" s="40" t="s">
        <v>6741</v>
      </c>
      <c r="J1000" s="50"/>
      <c r="K1000" s="129" t="str">
        <f>IFERROR(VLOOKUP(B1000,BD_CONTROL!$A$5:$M$4235,11,0),"")</f>
        <v>INSTALADO - OPERANDO</v>
      </c>
      <c r="L1000" s="117">
        <f>IFERROR(VLOOKUP(B1000,BD_CONTROL!$A$5:$M$4235,12,0),"")</f>
        <v>46111</v>
      </c>
      <c r="M1000" s="118" t="str">
        <f>IFERROR(VLOOKUP(B1000,BD_CONTROL!$A$5:$M$4235,13,0),"")</f>
        <v>Cargado desde DB instalación 23/04/2026</v>
      </c>
    </row>
    <row r="1001" spans="1:13" ht="15" customHeight="1">
      <c r="A1001" s="42">
        <v>996</v>
      </c>
      <c r="B1001" s="42" t="s">
        <v>8308</v>
      </c>
      <c r="C1001" s="43" t="s">
        <v>6735</v>
      </c>
      <c r="D1001" s="42" t="s">
        <v>5640</v>
      </c>
      <c r="E1001" s="43" t="s">
        <v>5640</v>
      </c>
      <c r="F1001" s="43" t="s">
        <v>5647</v>
      </c>
      <c r="G1001" s="42" t="s">
        <v>6739</v>
      </c>
      <c r="H1001" s="43" t="s">
        <v>3449</v>
      </c>
      <c r="I1001" s="43" t="s">
        <v>6741</v>
      </c>
      <c r="J1001" s="55"/>
      <c r="K1001" s="129" t="str">
        <f>IFERROR(VLOOKUP(B1001,BD_CONTROL!$A$5:$M$4235,11,0),"")</f>
        <v>INSTALADO - OPERANDO</v>
      </c>
      <c r="L1001" s="120">
        <f>IFERROR(VLOOKUP(B1001,BD_CONTROL!$A$5:$M$4235,12,0),"")</f>
        <v>46112</v>
      </c>
      <c r="M1001" s="121" t="str">
        <f>IFERROR(VLOOKUP(B1001,BD_CONTROL!$A$5:$M$4235,13,0),"")</f>
        <v>Cargado desde DB instalación 23/04/2026</v>
      </c>
    </row>
    <row r="1002" spans="1:13" ht="15" customHeight="1">
      <c r="A1002" s="39">
        <v>997</v>
      </c>
      <c r="B1002" s="39" t="s">
        <v>8309</v>
      </c>
      <c r="C1002" s="40" t="s">
        <v>6735</v>
      </c>
      <c r="D1002" s="39" t="s">
        <v>5640</v>
      </c>
      <c r="E1002" s="40" t="s">
        <v>5640</v>
      </c>
      <c r="F1002" s="40" t="s">
        <v>5647</v>
      </c>
      <c r="G1002" s="39" t="s">
        <v>6739</v>
      </c>
      <c r="H1002" s="40" t="s">
        <v>3449</v>
      </c>
      <c r="I1002" s="40" t="s">
        <v>6741</v>
      </c>
      <c r="J1002" s="50"/>
      <c r="K1002" s="129" t="str">
        <f>IFERROR(VLOOKUP(B1002,BD_CONTROL!$A$5:$M$4235,11,0),"")</f>
        <v>INSTALADO - OPERANDO</v>
      </c>
      <c r="L1002" s="117">
        <f>IFERROR(VLOOKUP(B1002,BD_CONTROL!$A$5:$M$4235,12,0),"")</f>
        <v>46107</v>
      </c>
      <c r="M1002" s="118" t="str">
        <f>IFERROR(VLOOKUP(B1002,BD_CONTROL!$A$5:$M$4235,13,0),"")</f>
        <v>Cargado desde DB instalación 23/04/2026</v>
      </c>
    </row>
    <row r="1003" spans="1:13" ht="15" customHeight="1">
      <c r="A1003" s="42">
        <v>998</v>
      </c>
      <c r="B1003" s="42" t="s">
        <v>8310</v>
      </c>
      <c r="C1003" s="43" t="s">
        <v>6735</v>
      </c>
      <c r="D1003" s="42" t="s">
        <v>5640</v>
      </c>
      <c r="E1003" s="43" t="s">
        <v>5640</v>
      </c>
      <c r="F1003" s="43" t="s">
        <v>5647</v>
      </c>
      <c r="G1003" s="42" t="s">
        <v>6739</v>
      </c>
      <c r="H1003" s="43" t="s">
        <v>3449</v>
      </c>
      <c r="I1003" s="43" t="s">
        <v>6741</v>
      </c>
      <c r="J1003" s="55"/>
      <c r="K1003" s="129" t="str">
        <f>IFERROR(VLOOKUP(B1003,BD_CONTROL!$A$5:$M$4235,11,0),"")</f>
        <v>INSTALADO - OPERANDO</v>
      </c>
      <c r="L1003" s="120">
        <f>IFERROR(VLOOKUP(B1003,BD_CONTROL!$A$5:$M$4235,12,0),"")</f>
        <v>46100</v>
      </c>
      <c r="M1003" s="121" t="str">
        <f>IFERROR(VLOOKUP(B1003,BD_CONTROL!$A$5:$M$4235,13,0),"")</f>
        <v>Cargado desde DB instalación 23/04/2026</v>
      </c>
    </row>
    <row r="1004" spans="1:13" ht="15" customHeight="1">
      <c r="A1004" s="39">
        <v>999</v>
      </c>
      <c r="B1004" s="39" t="s">
        <v>8311</v>
      </c>
      <c r="C1004" s="40" t="s">
        <v>6735</v>
      </c>
      <c r="D1004" s="39" t="s">
        <v>5640</v>
      </c>
      <c r="E1004" s="40" t="s">
        <v>5640</v>
      </c>
      <c r="F1004" s="40" t="s">
        <v>5647</v>
      </c>
      <c r="G1004" s="39" t="s">
        <v>6739</v>
      </c>
      <c r="H1004" s="40" t="s">
        <v>3449</v>
      </c>
      <c r="I1004" s="40" t="s">
        <v>6741</v>
      </c>
      <c r="J1004" s="50"/>
      <c r="K1004" s="129" t="str">
        <f>IFERROR(VLOOKUP(B1004,BD_CONTROL!$A$5:$M$4235,11,0),"")</f>
        <v>INSTALADO - OPERANDO</v>
      </c>
      <c r="L1004" s="117">
        <f>IFERROR(VLOOKUP(B1004,BD_CONTROL!$A$5:$M$4235,12,0),"")</f>
        <v>46111</v>
      </c>
      <c r="M1004" s="118" t="str">
        <f>IFERROR(VLOOKUP(B1004,BD_CONTROL!$A$5:$M$4235,13,0),"")</f>
        <v>Cargado desde DB instalación 23/04/2026</v>
      </c>
    </row>
    <row r="1005" spans="1:13" ht="15" customHeight="1">
      <c r="A1005" s="42">
        <v>1000</v>
      </c>
      <c r="B1005" s="42" t="s">
        <v>8312</v>
      </c>
      <c r="C1005" s="43" t="s">
        <v>6735</v>
      </c>
      <c r="D1005" s="42" t="s">
        <v>5640</v>
      </c>
      <c r="E1005" s="43" t="s">
        <v>5640</v>
      </c>
      <c r="F1005" s="43" t="s">
        <v>5647</v>
      </c>
      <c r="G1005" s="42" t="s">
        <v>6739</v>
      </c>
      <c r="H1005" s="43" t="s">
        <v>3449</v>
      </c>
      <c r="I1005" s="43" t="s">
        <v>6741</v>
      </c>
      <c r="J1005" s="55"/>
      <c r="K1005" s="129" t="str">
        <f>IFERROR(VLOOKUP(B1005,BD_CONTROL!$A$5:$M$4235,11,0),"")</f>
        <v>INSTALADO - OPERANDO</v>
      </c>
      <c r="L1005" s="120">
        <f>IFERROR(VLOOKUP(B1005,BD_CONTROL!$A$5:$M$4235,12,0),"")</f>
        <v>46107</v>
      </c>
      <c r="M1005" s="121" t="str">
        <f>IFERROR(VLOOKUP(B1005,BD_CONTROL!$A$5:$M$4235,13,0),"")</f>
        <v>Cargado desde DB instalación 23/04/2026</v>
      </c>
    </row>
    <row r="1006" spans="1:13" ht="15" customHeight="1">
      <c r="A1006" s="39">
        <v>1001</v>
      </c>
      <c r="B1006" s="39" t="s">
        <v>8313</v>
      </c>
      <c r="C1006" s="40" t="s">
        <v>6735</v>
      </c>
      <c r="D1006" s="39" t="s">
        <v>5640</v>
      </c>
      <c r="E1006" s="40" t="s">
        <v>5640</v>
      </c>
      <c r="F1006" s="40" t="s">
        <v>5647</v>
      </c>
      <c r="G1006" s="39" t="s">
        <v>6739</v>
      </c>
      <c r="H1006" s="40" t="s">
        <v>3449</v>
      </c>
      <c r="I1006" s="40" t="s">
        <v>6741</v>
      </c>
      <c r="J1006" s="50"/>
      <c r="K1006" s="129" t="str">
        <f>IFERROR(VLOOKUP(B1006,BD_CONTROL!$A$5:$M$4235,11,0),"")</f>
        <v>INSTALADO - OPERANDO</v>
      </c>
      <c r="L1006" s="117">
        <f>IFERROR(VLOOKUP(B1006,BD_CONTROL!$A$5:$M$4235,12,0),"")</f>
        <v>46105</v>
      </c>
      <c r="M1006" s="118" t="str">
        <f>IFERROR(VLOOKUP(B1006,BD_CONTROL!$A$5:$M$4235,13,0),"")</f>
        <v>Cargado desde DB instalación 23/04/2026</v>
      </c>
    </row>
    <row r="1007" spans="1:13" ht="15" customHeight="1">
      <c r="A1007" s="42">
        <v>1002</v>
      </c>
      <c r="B1007" s="42" t="s">
        <v>8314</v>
      </c>
      <c r="C1007" s="43" t="s">
        <v>6735</v>
      </c>
      <c r="D1007" s="42" t="s">
        <v>5640</v>
      </c>
      <c r="E1007" s="43" t="s">
        <v>5640</v>
      </c>
      <c r="F1007" s="43" t="s">
        <v>5647</v>
      </c>
      <c r="G1007" s="42" t="s">
        <v>6739</v>
      </c>
      <c r="H1007" s="43" t="s">
        <v>3449</v>
      </c>
      <c r="I1007" s="43" t="s">
        <v>6741</v>
      </c>
      <c r="J1007" s="55"/>
      <c r="K1007" s="129" t="str">
        <f>IFERROR(VLOOKUP(B1007,BD_CONTROL!$A$5:$M$4235,11,0),"")</f>
        <v>INSTALADO - OPERANDO</v>
      </c>
      <c r="L1007" s="120">
        <f>IFERROR(VLOOKUP(B1007,BD_CONTROL!$A$5:$M$4235,12,0),"")</f>
        <v>46108</v>
      </c>
      <c r="M1007" s="121" t="str">
        <f>IFERROR(VLOOKUP(B1007,BD_CONTROL!$A$5:$M$4235,13,0),"")</f>
        <v>Cargado desde DB instalación 23/04/2026</v>
      </c>
    </row>
    <row r="1008" spans="1:13" ht="15" customHeight="1">
      <c r="A1008" s="39">
        <v>1003</v>
      </c>
      <c r="B1008" s="39" t="s">
        <v>8315</v>
      </c>
      <c r="C1008" s="40" t="s">
        <v>6735</v>
      </c>
      <c r="D1008" s="39" t="s">
        <v>5640</v>
      </c>
      <c r="E1008" s="40" t="s">
        <v>5640</v>
      </c>
      <c r="F1008" s="40" t="s">
        <v>5647</v>
      </c>
      <c r="G1008" s="39" t="s">
        <v>6739</v>
      </c>
      <c r="H1008" s="40" t="s">
        <v>3449</v>
      </c>
      <c r="I1008" s="40" t="s">
        <v>6741</v>
      </c>
      <c r="J1008" s="50"/>
      <c r="K1008" s="129" t="str">
        <f>IFERROR(VLOOKUP(B1008,BD_CONTROL!$A$5:$M$4235,11,0),"")</f>
        <v>INSTALADO - OPERANDO</v>
      </c>
      <c r="L1008" s="117">
        <f>IFERROR(VLOOKUP(B1008,BD_CONTROL!$A$5:$M$4235,12,0),"")</f>
        <v>46112</v>
      </c>
      <c r="M1008" s="118" t="str">
        <f>IFERROR(VLOOKUP(B1008,BD_CONTROL!$A$5:$M$4235,13,0),"")</f>
        <v>Cargado desde DB instalación 23/04/2026</v>
      </c>
    </row>
    <row r="1009" spans="1:13" ht="15" customHeight="1">
      <c r="A1009" s="42">
        <v>1004</v>
      </c>
      <c r="B1009" s="42" t="s">
        <v>8316</v>
      </c>
      <c r="C1009" s="43" t="s">
        <v>6735</v>
      </c>
      <c r="D1009" s="42" t="s">
        <v>5640</v>
      </c>
      <c r="E1009" s="43" t="s">
        <v>5640</v>
      </c>
      <c r="F1009" s="43" t="s">
        <v>5647</v>
      </c>
      <c r="G1009" s="42" t="s">
        <v>6739</v>
      </c>
      <c r="H1009" s="43" t="s">
        <v>3449</v>
      </c>
      <c r="I1009" s="43" t="s">
        <v>6741</v>
      </c>
      <c r="J1009" s="55"/>
      <c r="K1009" s="129" t="str">
        <f>IFERROR(VLOOKUP(B1009,BD_CONTROL!$A$5:$M$4235,11,0),"")</f>
        <v>INSTALADO - OPERANDO</v>
      </c>
      <c r="L1009" s="120">
        <f>IFERROR(VLOOKUP(B1009,BD_CONTROL!$A$5:$M$4235,12,0),"")</f>
        <v>46111</v>
      </c>
      <c r="M1009" s="121" t="str">
        <f>IFERROR(VLOOKUP(B1009,BD_CONTROL!$A$5:$M$4235,13,0),"")</f>
        <v>Cargado desde DB instalación 23/04/2026</v>
      </c>
    </row>
    <row r="1010" spans="1:13" ht="15" customHeight="1">
      <c r="A1010" s="39">
        <v>1005</v>
      </c>
      <c r="B1010" s="39" t="s">
        <v>8317</v>
      </c>
      <c r="C1010" s="40" t="s">
        <v>6735</v>
      </c>
      <c r="D1010" s="39" t="s">
        <v>5640</v>
      </c>
      <c r="E1010" s="40" t="s">
        <v>5640</v>
      </c>
      <c r="F1010" s="40" t="s">
        <v>5677</v>
      </c>
      <c r="G1010" s="39" t="s">
        <v>6739</v>
      </c>
      <c r="H1010" s="40" t="s">
        <v>3449</v>
      </c>
      <c r="I1010" s="40" t="s">
        <v>6741</v>
      </c>
      <c r="J1010" s="50"/>
      <c r="K1010" s="129" t="str">
        <f>IFERROR(VLOOKUP(B1010,BD_CONTROL!$A$5:$M$4235,11,0),"")</f>
        <v>INSTALADO - OPERANDO</v>
      </c>
      <c r="L1010" s="117">
        <f>IFERROR(VLOOKUP(B1010,BD_CONTROL!$A$5:$M$4235,12,0),"")</f>
        <v>46112</v>
      </c>
      <c r="M1010" s="118" t="str">
        <f>IFERROR(VLOOKUP(B1010,BD_CONTROL!$A$5:$M$4235,13,0),"")</f>
        <v>Cargado desde DB instalación 23/04/2026</v>
      </c>
    </row>
    <row r="1011" spans="1:13" ht="15" customHeight="1">
      <c r="A1011" s="42">
        <v>1006</v>
      </c>
      <c r="B1011" s="42" t="s">
        <v>8318</v>
      </c>
      <c r="C1011" s="43" t="s">
        <v>6735</v>
      </c>
      <c r="D1011" s="42" t="s">
        <v>5640</v>
      </c>
      <c r="E1011" s="43" t="s">
        <v>5640</v>
      </c>
      <c r="F1011" s="43" t="s">
        <v>8319</v>
      </c>
      <c r="G1011" s="42" t="s">
        <v>6739</v>
      </c>
      <c r="H1011" s="43" t="s">
        <v>3449</v>
      </c>
      <c r="I1011" s="43" t="s">
        <v>6741</v>
      </c>
      <c r="J1011" s="55"/>
      <c r="K1011" s="129" t="str">
        <f>IFERROR(VLOOKUP(B1011,BD_CONTROL!$A$5:$M$4235,11,0),"")</f>
        <v>INSTALADO - OPERANDO</v>
      </c>
      <c r="L1011" s="120">
        <f>IFERROR(VLOOKUP(B1011,BD_CONTROL!$A$5:$M$4235,12,0),"")</f>
        <v>46112</v>
      </c>
      <c r="M1011" s="121" t="str">
        <f>IFERROR(VLOOKUP(B1011,BD_CONTROL!$A$5:$M$4235,13,0),"")</f>
        <v>Cargado desde DB instalación 23/04/2026</v>
      </c>
    </row>
    <row r="1012" spans="1:13" ht="15" customHeight="1">
      <c r="A1012" s="39">
        <v>1007</v>
      </c>
      <c r="B1012" s="39" t="s">
        <v>8320</v>
      </c>
      <c r="C1012" s="40" t="s">
        <v>6735</v>
      </c>
      <c r="D1012" s="39" t="s">
        <v>5640</v>
      </c>
      <c r="E1012" s="40" t="s">
        <v>6185</v>
      </c>
      <c r="F1012" s="40" t="s">
        <v>8321</v>
      </c>
      <c r="G1012" s="39" t="s">
        <v>6739</v>
      </c>
      <c r="H1012" s="40" t="s">
        <v>3449</v>
      </c>
      <c r="I1012" s="40" t="s">
        <v>6741</v>
      </c>
      <c r="J1012" s="50"/>
      <c r="K1012" s="116" t="str">
        <f>IFERROR(VLOOKUP(B1012,BD_CONTROL!$A$5:$M$4235,11,0),"")</f>
        <v>Instalado - Operando</v>
      </c>
      <c r="L1012" s="117">
        <f>IFERROR(VLOOKUP(B1012,BD_CONTROL!$A$5:$M$4235,12,0),"")</f>
        <v>46150</v>
      </c>
      <c r="M1012" s="118">
        <f>IFERROR(VLOOKUP(B1012,BD_CONTROL!$A$5:$M$4235,13,0),"")</f>
        <v>0</v>
      </c>
    </row>
    <row r="1013" spans="1:13" ht="15" customHeight="1">
      <c r="A1013" s="42">
        <v>1008</v>
      </c>
      <c r="B1013" s="42" t="s">
        <v>8322</v>
      </c>
      <c r="C1013" s="43" t="s">
        <v>6735</v>
      </c>
      <c r="D1013" s="42" t="s">
        <v>5640</v>
      </c>
      <c r="E1013" s="43" t="s">
        <v>6185</v>
      </c>
      <c r="F1013" s="43" t="s">
        <v>6186</v>
      </c>
      <c r="G1013" s="42" t="s">
        <v>6739</v>
      </c>
      <c r="H1013" s="43" t="s">
        <v>3449</v>
      </c>
      <c r="I1013" s="43" t="s">
        <v>6741</v>
      </c>
      <c r="J1013" s="55"/>
      <c r="K1013" s="119" t="str">
        <f>IFERROR(VLOOKUP(B1013,BD_CONTROL!$A$5:$M$4235,11,0),"")</f>
        <v>Instalado - Operando</v>
      </c>
      <c r="L1013" s="120">
        <f>IFERROR(VLOOKUP(B1013,BD_CONTROL!$A$5:$M$4235,12,0),"")</f>
        <v>46146</v>
      </c>
      <c r="M1013" s="121">
        <f>IFERROR(VLOOKUP(B1013,BD_CONTROL!$A$5:$M$4235,13,0),"")</f>
        <v>0</v>
      </c>
    </row>
    <row r="1014" spans="1:13" ht="15" customHeight="1">
      <c r="A1014" s="39">
        <v>1009</v>
      </c>
      <c r="B1014" s="39" t="s">
        <v>8323</v>
      </c>
      <c r="C1014" s="40" t="s">
        <v>6735</v>
      </c>
      <c r="D1014" s="39" t="s">
        <v>5640</v>
      </c>
      <c r="E1014" s="40" t="s">
        <v>5735</v>
      </c>
      <c r="F1014" s="40" t="s">
        <v>5735</v>
      </c>
      <c r="G1014" s="39" t="s">
        <v>6739</v>
      </c>
      <c r="H1014" s="40" t="s">
        <v>3449</v>
      </c>
      <c r="I1014" s="40" t="s">
        <v>6741</v>
      </c>
      <c r="J1014" s="50"/>
      <c r="K1014" s="129" t="str">
        <f>IFERROR(VLOOKUP(B1014,BD_CONTROL!$A$5:$M$4235,11,0),"")</f>
        <v>INSTALADO - OPERANDO</v>
      </c>
      <c r="L1014" s="117">
        <f>IFERROR(VLOOKUP(B1014,BD_CONTROL!$A$5:$M$4235,12,0),"")</f>
        <v>46121</v>
      </c>
      <c r="M1014" s="118" t="str">
        <f>IFERROR(VLOOKUP(B1014,BD_CONTROL!$A$5:$M$4235,13,0),"")</f>
        <v>Cargado desde DB instalación 23/04/2026</v>
      </c>
    </row>
    <row r="1015" spans="1:13" ht="15" customHeight="1">
      <c r="A1015" s="42">
        <v>1010</v>
      </c>
      <c r="B1015" s="42" t="s">
        <v>8324</v>
      </c>
      <c r="C1015" s="43" t="s">
        <v>6735</v>
      </c>
      <c r="D1015" s="42" t="s">
        <v>5640</v>
      </c>
      <c r="E1015" s="43" t="s">
        <v>5735</v>
      </c>
      <c r="F1015" s="43" t="s">
        <v>1123</v>
      </c>
      <c r="G1015" s="42" t="s">
        <v>6739</v>
      </c>
      <c r="H1015" s="43" t="s">
        <v>3449</v>
      </c>
      <c r="I1015" s="43" t="s">
        <v>6741</v>
      </c>
      <c r="J1015" s="55"/>
      <c r="K1015" s="129" t="str">
        <f>IFERROR(VLOOKUP(B1015,BD_CONTROL!$A$5:$M$4235,11,0),"")</f>
        <v>INSTALADO - OPERANDO</v>
      </c>
      <c r="L1015" s="120">
        <f>IFERROR(VLOOKUP(B1015,BD_CONTROL!$A$5:$M$4235,12,0),"")</f>
        <v>46121</v>
      </c>
      <c r="M1015" s="121" t="str">
        <f>IFERROR(VLOOKUP(B1015,BD_CONTROL!$A$5:$M$4235,13,0),"")</f>
        <v>Cargado desde DB instalación 23/04/2026</v>
      </c>
    </row>
    <row r="1016" spans="1:13" ht="15" customHeight="1">
      <c r="A1016" s="39">
        <v>1011</v>
      </c>
      <c r="B1016" s="39" t="s">
        <v>8325</v>
      </c>
      <c r="C1016" s="40" t="s">
        <v>6735</v>
      </c>
      <c r="D1016" s="39" t="s">
        <v>5640</v>
      </c>
      <c r="E1016" s="40" t="s">
        <v>5717</v>
      </c>
      <c r="F1016" s="40" t="s">
        <v>5717</v>
      </c>
      <c r="G1016" s="39" t="s">
        <v>6739</v>
      </c>
      <c r="H1016" s="40" t="s">
        <v>3449</v>
      </c>
      <c r="I1016" s="40" t="s">
        <v>6741</v>
      </c>
      <c r="J1016" s="50"/>
      <c r="K1016" s="129" t="str">
        <f>IFERROR(VLOOKUP(B1016,BD_CONTROL!$A$5:$M$4235,11,0),"")</f>
        <v>INSTALADO - OPERANDO</v>
      </c>
      <c r="L1016" s="117">
        <f>IFERROR(VLOOKUP(B1016,BD_CONTROL!$A$5:$M$4235,12,0),"")</f>
        <v>46107</v>
      </c>
      <c r="M1016" s="118" t="str">
        <f>IFERROR(VLOOKUP(B1016,BD_CONTROL!$A$5:$M$4235,13,0),"")</f>
        <v>Cargado desde DB instalación 23/04/2026</v>
      </c>
    </row>
    <row r="1017" spans="1:13" ht="15" customHeight="1">
      <c r="A1017" s="42">
        <v>1012</v>
      </c>
      <c r="B1017" s="42" t="s">
        <v>8326</v>
      </c>
      <c r="C1017" s="43" t="s">
        <v>6735</v>
      </c>
      <c r="D1017" s="42" t="s">
        <v>5640</v>
      </c>
      <c r="E1017" s="43" t="s">
        <v>5661</v>
      </c>
      <c r="F1017" s="43" t="s">
        <v>8327</v>
      </c>
      <c r="G1017" s="42" t="s">
        <v>6739</v>
      </c>
      <c r="H1017" s="43" t="s">
        <v>3449</v>
      </c>
      <c r="I1017" s="43" t="s">
        <v>6741</v>
      </c>
      <c r="J1017" s="55"/>
      <c r="K1017" s="129" t="str">
        <f>IFERROR(VLOOKUP(B1017,BD_CONTROL!$A$5:$M$4235,11,0),"")</f>
        <v>INSTALADO - OPERANDO</v>
      </c>
      <c r="L1017" s="120">
        <f>IFERROR(VLOOKUP(B1017,BD_CONTROL!$A$5:$M$4235,12,0),"")</f>
        <v>46118</v>
      </c>
      <c r="M1017" s="121" t="str">
        <f>IFERROR(VLOOKUP(B1017,BD_CONTROL!$A$5:$M$4235,13,0),"")</f>
        <v>Cargado desde DB instalación 23/04/2026</v>
      </c>
    </row>
    <row r="1018" spans="1:13" ht="15" customHeight="1">
      <c r="A1018" s="39">
        <v>1013</v>
      </c>
      <c r="B1018" s="39" t="s">
        <v>8328</v>
      </c>
      <c r="C1018" s="40" t="s">
        <v>6735</v>
      </c>
      <c r="D1018" s="39" t="s">
        <v>5640</v>
      </c>
      <c r="E1018" s="40" t="s">
        <v>5661</v>
      </c>
      <c r="F1018" s="40" t="s">
        <v>6345</v>
      </c>
      <c r="G1018" s="39" t="s">
        <v>6739</v>
      </c>
      <c r="H1018" s="40" t="s">
        <v>3449</v>
      </c>
      <c r="I1018" s="40" t="s">
        <v>6741</v>
      </c>
      <c r="J1018" s="50"/>
      <c r="K1018" s="129" t="str">
        <f>IFERROR(VLOOKUP(B1018,BD_CONTROL!$A$5:$M$4235,11,0),"")</f>
        <v>INSTALADO - OPERANDO</v>
      </c>
      <c r="L1018" s="117">
        <f>IFERROR(VLOOKUP(B1018,BD_CONTROL!$A$5:$M$4235,12,0),"")</f>
        <v>46119</v>
      </c>
      <c r="M1018" s="118" t="str">
        <f>IFERROR(VLOOKUP(B1018,BD_CONTROL!$A$5:$M$4235,13,0),"")</f>
        <v>Cargado desde DB instalación 23/04/2026</v>
      </c>
    </row>
    <row r="1019" spans="1:13" ht="15" customHeight="1">
      <c r="A1019" s="42">
        <v>1014</v>
      </c>
      <c r="B1019" s="42" t="s">
        <v>8329</v>
      </c>
      <c r="C1019" s="43" t="s">
        <v>6735</v>
      </c>
      <c r="D1019" s="42" t="s">
        <v>5640</v>
      </c>
      <c r="E1019" s="43" t="s">
        <v>5661</v>
      </c>
      <c r="F1019" s="43" t="s">
        <v>8330</v>
      </c>
      <c r="G1019" s="42" t="s">
        <v>6739</v>
      </c>
      <c r="H1019" s="43" t="s">
        <v>3449</v>
      </c>
      <c r="I1019" s="43" t="s">
        <v>6741</v>
      </c>
      <c r="J1019" s="55"/>
      <c r="K1019" s="129" t="str">
        <f>IFERROR(VLOOKUP(B1019,BD_CONTROL!$A$5:$M$4235,11,0),"")</f>
        <v>INSTALADO - OPERANDO</v>
      </c>
      <c r="L1019" s="120">
        <f>IFERROR(VLOOKUP(B1019,BD_CONTROL!$A$5:$M$4235,12,0),"")</f>
        <v>46121</v>
      </c>
      <c r="M1019" s="121" t="str">
        <f>IFERROR(VLOOKUP(B1019,BD_CONTROL!$A$5:$M$4235,13,0),"")</f>
        <v>Cargado desde DB instalación 23/04/2026</v>
      </c>
    </row>
    <row r="1020" spans="1:13" ht="15" customHeight="1">
      <c r="A1020" s="39">
        <v>1015</v>
      </c>
      <c r="B1020" s="39" t="s">
        <v>8331</v>
      </c>
      <c r="C1020" s="40" t="s">
        <v>6735</v>
      </c>
      <c r="D1020" s="39" t="s">
        <v>5640</v>
      </c>
      <c r="E1020" s="40" t="s">
        <v>5908</v>
      </c>
      <c r="F1020" s="40" t="s">
        <v>8332</v>
      </c>
      <c r="G1020" s="39" t="s">
        <v>6739</v>
      </c>
      <c r="H1020" s="40" t="s">
        <v>3449</v>
      </c>
      <c r="I1020" s="40" t="s">
        <v>6741</v>
      </c>
      <c r="J1020" s="50"/>
      <c r="K1020" s="116" t="str">
        <f>IFERROR(VLOOKUP(B1020,BD_CONTROL!$A$5:$M$4235,11,0),"")</f>
        <v>Instalado - Operando</v>
      </c>
      <c r="L1020" s="117">
        <f>IFERROR(VLOOKUP(B1020,BD_CONTROL!$A$5:$M$4235,12,0),"")</f>
        <v>46142</v>
      </c>
      <c r="M1020" s="118">
        <f>IFERROR(VLOOKUP(B1020,BD_CONTROL!$A$5:$M$4235,13,0),"")</f>
        <v>0</v>
      </c>
    </row>
    <row r="1021" spans="1:13" ht="15" customHeight="1">
      <c r="A1021" s="42">
        <v>1016</v>
      </c>
      <c r="B1021" s="42" t="s">
        <v>8333</v>
      </c>
      <c r="C1021" s="43" t="s">
        <v>6735</v>
      </c>
      <c r="D1021" s="42" t="s">
        <v>5640</v>
      </c>
      <c r="E1021" s="43" t="s">
        <v>5654</v>
      </c>
      <c r="F1021" s="43" t="s">
        <v>5655</v>
      </c>
      <c r="G1021" s="42" t="s">
        <v>6739</v>
      </c>
      <c r="H1021" s="43" t="s">
        <v>3449</v>
      </c>
      <c r="I1021" s="43" t="s">
        <v>6741</v>
      </c>
      <c r="J1021" s="55"/>
      <c r="K1021" s="129" t="str">
        <f>IFERROR(VLOOKUP(B1021,BD_CONTROL!$A$5:$M$4235,11,0),"")</f>
        <v>INSTALADO - OPERANDO</v>
      </c>
      <c r="L1021" s="120">
        <f>IFERROR(VLOOKUP(B1021,BD_CONTROL!$A$5:$M$4235,12,0),"")</f>
        <v>46113</v>
      </c>
      <c r="M1021" s="121" t="str">
        <f>IFERROR(VLOOKUP(B1021,BD_CONTROL!$A$5:$M$4235,13,0),"")</f>
        <v>Cargado desde DB instalación 23/04/2026</v>
      </c>
    </row>
    <row r="1022" spans="1:13" ht="15" customHeight="1">
      <c r="A1022" s="39">
        <v>1017</v>
      </c>
      <c r="B1022" s="39" t="s">
        <v>8334</v>
      </c>
      <c r="C1022" s="40" t="s">
        <v>6735</v>
      </c>
      <c r="D1022" s="39" t="s">
        <v>5640</v>
      </c>
      <c r="E1022" s="40" t="s">
        <v>6067</v>
      </c>
      <c r="F1022" s="40" t="s">
        <v>6067</v>
      </c>
      <c r="G1022" s="39" t="s">
        <v>6739</v>
      </c>
      <c r="H1022" s="40" t="s">
        <v>3449</v>
      </c>
      <c r="I1022" s="40" t="s">
        <v>6741</v>
      </c>
      <c r="J1022" s="50"/>
      <c r="K1022" s="129" t="str">
        <f>IFERROR(VLOOKUP(B1022,BD_CONTROL!$A$5:$M$4235,11,0),"")</f>
        <v>INSTALADO - OPERANDO</v>
      </c>
      <c r="L1022" s="117">
        <f>IFERROR(VLOOKUP(B1022,BD_CONTROL!$A$5:$M$4235,12,0),"")</f>
        <v>46121</v>
      </c>
      <c r="M1022" s="118" t="str">
        <f>IFERROR(VLOOKUP(B1022,BD_CONTROL!$A$5:$M$4235,13,0),"")</f>
        <v>Cargado desde DB instalación 23/04/2026</v>
      </c>
    </row>
    <row r="1023" spans="1:13" ht="15" customHeight="1">
      <c r="A1023" s="42">
        <v>1018</v>
      </c>
      <c r="B1023" s="42" t="s">
        <v>8335</v>
      </c>
      <c r="C1023" s="43" t="s">
        <v>6735</v>
      </c>
      <c r="D1023" s="42" t="s">
        <v>5640</v>
      </c>
      <c r="E1023" s="43" t="s">
        <v>6067</v>
      </c>
      <c r="F1023" s="43" t="s">
        <v>8336</v>
      </c>
      <c r="G1023" s="42" t="s">
        <v>6739</v>
      </c>
      <c r="H1023" s="43" t="s">
        <v>3449</v>
      </c>
      <c r="I1023" s="43" t="s">
        <v>6741</v>
      </c>
      <c r="J1023" s="55"/>
      <c r="K1023" s="129" t="str">
        <f>IFERROR(VLOOKUP(B1023,BD_CONTROL!$A$5:$M$4235,11,0),"")</f>
        <v>INSTALADO - OPERANDO</v>
      </c>
      <c r="L1023" s="120">
        <f>IFERROR(VLOOKUP(B1023,BD_CONTROL!$A$5:$M$4235,12,0),"")</f>
        <v>46121</v>
      </c>
      <c r="M1023" s="121" t="str">
        <f>IFERROR(VLOOKUP(B1023,BD_CONTROL!$A$5:$M$4235,13,0),"")</f>
        <v>Cargado desde DB instalación 23/04/2026</v>
      </c>
    </row>
    <row r="1024" spans="1:13" ht="15" customHeight="1">
      <c r="A1024" s="39">
        <v>1019</v>
      </c>
      <c r="B1024" s="39" t="s">
        <v>8337</v>
      </c>
      <c r="C1024" s="40" t="s">
        <v>6735</v>
      </c>
      <c r="D1024" s="39" t="s">
        <v>5640</v>
      </c>
      <c r="E1024" s="40" t="s">
        <v>8338</v>
      </c>
      <c r="F1024" s="40" t="s">
        <v>8338</v>
      </c>
      <c r="G1024" s="39" t="s">
        <v>6739</v>
      </c>
      <c r="H1024" s="40" t="s">
        <v>3449</v>
      </c>
      <c r="I1024" s="40" t="s">
        <v>6741</v>
      </c>
      <c r="J1024" s="50"/>
      <c r="K1024" s="129" t="str">
        <f>IFERROR(VLOOKUP(B1024,BD_CONTROL!$A$5:$M$4235,11,0),"")</f>
        <v>INSTALADO - OPERANDO</v>
      </c>
      <c r="L1024" s="117">
        <f>IFERROR(VLOOKUP(B1024,BD_CONTROL!$A$5:$M$4235,12,0),"")</f>
        <v>46126</v>
      </c>
      <c r="M1024" s="118" t="str">
        <f>IFERROR(VLOOKUP(B1024,BD_CONTROL!$A$5:$M$4235,13,0),"")</f>
        <v>Cargado desde DB instalación 23/04/2026</v>
      </c>
    </row>
    <row r="1025" spans="1:13" ht="15" customHeight="1">
      <c r="A1025" s="42">
        <v>1020</v>
      </c>
      <c r="B1025" s="42" t="s">
        <v>8339</v>
      </c>
      <c r="C1025" s="43" t="s">
        <v>6735</v>
      </c>
      <c r="D1025" s="42" t="s">
        <v>5640</v>
      </c>
      <c r="E1025" s="43" t="s">
        <v>5731</v>
      </c>
      <c r="F1025" s="43" t="s">
        <v>8340</v>
      </c>
      <c r="G1025" s="42" t="s">
        <v>6739</v>
      </c>
      <c r="H1025" s="43" t="s">
        <v>3449</v>
      </c>
      <c r="I1025" s="43" t="s">
        <v>6741</v>
      </c>
      <c r="J1025" s="55"/>
      <c r="K1025" s="129" t="str">
        <f>IFERROR(VLOOKUP(B1025,BD_CONTROL!$A$5:$M$4235,11,0),"")</f>
        <v>INSTALADO - OPERANDO</v>
      </c>
      <c r="L1025" s="120">
        <f>IFERROR(VLOOKUP(B1025,BD_CONTROL!$A$5:$M$4235,12,0),"")</f>
        <v>46120</v>
      </c>
      <c r="M1025" s="121" t="str">
        <f>IFERROR(VLOOKUP(B1025,BD_CONTROL!$A$5:$M$4235,13,0),"")</f>
        <v>Cargado desde DB instalación 23/04/2026</v>
      </c>
    </row>
    <row r="1026" spans="1:13" ht="15" customHeight="1">
      <c r="A1026" s="39">
        <v>1021</v>
      </c>
      <c r="B1026" s="39" t="s">
        <v>8341</v>
      </c>
      <c r="C1026" s="40" t="s">
        <v>6735</v>
      </c>
      <c r="D1026" s="39" t="s">
        <v>5640</v>
      </c>
      <c r="E1026" s="40" t="s">
        <v>6376</v>
      </c>
      <c r="F1026" s="40" t="s">
        <v>8342</v>
      </c>
      <c r="G1026" s="39" t="s">
        <v>6739</v>
      </c>
      <c r="H1026" s="40" t="s">
        <v>3449</v>
      </c>
      <c r="I1026" s="40" t="s">
        <v>6741</v>
      </c>
      <c r="J1026" s="50"/>
      <c r="K1026" s="129" t="str">
        <f>IFERROR(VLOOKUP(B1026,BD_CONTROL!$A$5:$M$4235,11,0),"")</f>
        <v>INSTALADO - OPERANDO</v>
      </c>
      <c r="L1026" s="117">
        <f>IFERROR(VLOOKUP(B1026,BD_CONTROL!$A$5:$M$4235,12,0),"")</f>
        <v>46129</v>
      </c>
      <c r="M1026" s="118" t="str">
        <f>IFERROR(VLOOKUP(B1026,BD_CONTROL!$A$5:$M$4235,13,0),"")</f>
        <v>Cargado desde DB instalación 23/04/2026</v>
      </c>
    </row>
    <row r="1027" spans="1:13" ht="15" customHeight="1">
      <c r="A1027" s="42">
        <v>1022</v>
      </c>
      <c r="B1027" s="42" t="s">
        <v>8343</v>
      </c>
      <c r="C1027" s="43" t="s">
        <v>6735</v>
      </c>
      <c r="D1027" s="42" t="s">
        <v>5640</v>
      </c>
      <c r="E1027" s="43" t="s">
        <v>8344</v>
      </c>
      <c r="F1027" s="43" t="s">
        <v>8344</v>
      </c>
      <c r="G1027" s="42" t="s">
        <v>6739</v>
      </c>
      <c r="H1027" s="43" t="s">
        <v>3449</v>
      </c>
      <c r="I1027" s="43" t="s">
        <v>6741</v>
      </c>
      <c r="J1027" s="55"/>
      <c r="K1027" s="129" t="str">
        <f>IFERROR(VLOOKUP(B1027,BD_CONTROL!$A$5:$M$4235,11,0),"")</f>
        <v>INSTALADO - OPERANDO</v>
      </c>
      <c r="L1027" s="120">
        <f>IFERROR(VLOOKUP(B1027,BD_CONTROL!$A$5:$M$4235,12,0),"")</f>
        <v>46122</v>
      </c>
      <c r="M1027" s="121" t="str">
        <f>IFERROR(VLOOKUP(B1027,BD_CONTROL!$A$5:$M$4235,13,0),"")</f>
        <v>Cargado desde DB instalación 23/04/2026</v>
      </c>
    </row>
    <row r="1028" spans="1:13" ht="15" customHeight="1">
      <c r="A1028" s="39">
        <v>1023</v>
      </c>
      <c r="B1028" s="39" t="s">
        <v>8345</v>
      </c>
      <c r="C1028" s="40" t="s">
        <v>6735</v>
      </c>
      <c r="D1028" s="39" t="s">
        <v>5640</v>
      </c>
      <c r="E1028" s="40" t="s">
        <v>6270</v>
      </c>
      <c r="F1028" s="40" t="s">
        <v>6270</v>
      </c>
      <c r="G1028" s="39" t="s">
        <v>6739</v>
      </c>
      <c r="H1028" s="40" t="s">
        <v>3449</v>
      </c>
      <c r="I1028" s="40" t="s">
        <v>6741</v>
      </c>
      <c r="J1028" s="50"/>
      <c r="K1028" s="129" t="str">
        <f>IFERROR(VLOOKUP(B1028,BD_CONTROL!$A$5:$M$4235,11,0),"")</f>
        <v>INSTALADO - OPERANDO</v>
      </c>
      <c r="L1028" s="117">
        <f>IFERROR(VLOOKUP(B1028,BD_CONTROL!$A$5:$M$4235,12,0),"")</f>
        <v>46135</v>
      </c>
      <c r="M1028" s="118" t="str">
        <f>IFERROR(VLOOKUP(B1028,BD_CONTROL!$A$5:$M$4235,13,0),"")</f>
        <v>Cargado desde DB instalación 23/04/2026</v>
      </c>
    </row>
    <row r="1029" spans="1:13" ht="15" customHeight="1">
      <c r="A1029" s="42">
        <v>1024</v>
      </c>
      <c r="B1029" s="42" t="s">
        <v>8346</v>
      </c>
      <c r="C1029" s="43" t="s">
        <v>6735</v>
      </c>
      <c r="D1029" s="42" t="s">
        <v>5640</v>
      </c>
      <c r="E1029" s="43" t="s">
        <v>6341</v>
      </c>
      <c r="F1029" s="43" t="s">
        <v>8347</v>
      </c>
      <c r="G1029" s="42" t="s">
        <v>6739</v>
      </c>
      <c r="H1029" s="43" t="s">
        <v>3449</v>
      </c>
      <c r="I1029" s="43" t="s">
        <v>6741</v>
      </c>
      <c r="J1029" s="55"/>
      <c r="K1029" s="129" t="str">
        <f>IFERROR(VLOOKUP(B1029,BD_CONTROL!$A$5:$M$4235,11,0),"")</f>
        <v>INSTALADO - OPERANDO</v>
      </c>
      <c r="L1029" s="120">
        <f>IFERROR(VLOOKUP(B1029,BD_CONTROL!$A$5:$M$4235,12,0),"")</f>
        <v>46119</v>
      </c>
      <c r="M1029" s="121" t="str">
        <f>IFERROR(VLOOKUP(B1029,BD_CONTROL!$A$5:$M$4235,13,0),"")</f>
        <v>Cargado desde DB instalación 23/04/2026</v>
      </c>
    </row>
    <row r="1030" spans="1:13" ht="15" customHeight="1">
      <c r="A1030" s="39">
        <v>1025</v>
      </c>
      <c r="B1030" s="39" t="s">
        <v>8348</v>
      </c>
      <c r="C1030" s="40" t="s">
        <v>6735</v>
      </c>
      <c r="D1030" s="39" t="s">
        <v>5640</v>
      </c>
      <c r="E1030" s="40" t="s">
        <v>6341</v>
      </c>
      <c r="F1030" s="40" t="s">
        <v>8349</v>
      </c>
      <c r="G1030" s="39" t="s">
        <v>6739</v>
      </c>
      <c r="H1030" s="40" t="s">
        <v>3449</v>
      </c>
      <c r="I1030" s="40" t="s">
        <v>6741</v>
      </c>
      <c r="J1030" s="50"/>
      <c r="K1030" s="129" t="str">
        <f>IFERROR(VLOOKUP(B1030,BD_CONTROL!$A$5:$M$4235,11,0),"")</f>
        <v>INSTALADO - OPERANDO</v>
      </c>
      <c r="L1030" s="117">
        <f>IFERROR(VLOOKUP(B1030,BD_CONTROL!$A$5:$M$4235,12,0),"")</f>
        <v>46119</v>
      </c>
      <c r="M1030" s="118" t="str">
        <f>IFERROR(VLOOKUP(B1030,BD_CONTROL!$A$5:$M$4235,13,0),"")</f>
        <v>Cargado desde DB instalación 23/04/2026</v>
      </c>
    </row>
    <row r="1031" spans="1:13" ht="15" customHeight="1">
      <c r="A1031" s="42">
        <v>1026</v>
      </c>
      <c r="B1031" s="42" t="s">
        <v>8350</v>
      </c>
      <c r="C1031" s="43" t="s">
        <v>6735</v>
      </c>
      <c r="D1031" s="42" t="s">
        <v>5640</v>
      </c>
      <c r="E1031" s="43" t="s">
        <v>5717</v>
      </c>
      <c r="F1031" s="43" t="s">
        <v>5717</v>
      </c>
      <c r="G1031" s="42" t="s">
        <v>6739</v>
      </c>
      <c r="H1031" s="43" t="s">
        <v>3449</v>
      </c>
      <c r="I1031" s="43" t="s">
        <v>6741</v>
      </c>
      <c r="J1031" s="55"/>
      <c r="K1031" s="129" t="str">
        <f>IFERROR(VLOOKUP(B1031,BD_CONTROL!$A$5:$M$4235,11,0),"")</f>
        <v>INSTALADO - OPERANDO</v>
      </c>
      <c r="L1031" s="120">
        <f>IFERROR(VLOOKUP(B1031,BD_CONTROL!$A$5:$M$4235,12,0),"")</f>
        <v>46108</v>
      </c>
      <c r="M1031" s="121" t="str">
        <f>IFERROR(VLOOKUP(B1031,BD_CONTROL!$A$5:$M$4235,13,0),"")</f>
        <v>Cargado desde DB instalación 23/04/2026</v>
      </c>
    </row>
    <row r="1032" spans="1:13" ht="15" customHeight="1">
      <c r="A1032" s="39">
        <v>1027</v>
      </c>
      <c r="B1032" s="39" t="s">
        <v>8351</v>
      </c>
      <c r="C1032" s="40" t="s">
        <v>6735</v>
      </c>
      <c r="D1032" s="39" t="s">
        <v>5640</v>
      </c>
      <c r="E1032" s="40" t="s">
        <v>5717</v>
      </c>
      <c r="F1032" s="40" t="s">
        <v>5717</v>
      </c>
      <c r="G1032" s="39" t="s">
        <v>6739</v>
      </c>
      <c r="H1032" s="40" t="s">
        <v>3449</v>
      </c>
      <c r="I1032" s="40" t="s">
        <v>6741</v>
      </c>
      <c r="J1032" s="50"/>
      <c r="K1032" s="129" t="str">
        <f>IFERROR(VLOOKUP(B1032,BD_CONTROL!$A$5:$M$4235,11,0),"")</f>
        <v>INSTALADO - OPERANDO</v>
      </c>
      <c r="L1032" s="117">
        <f>IFERROR(VLOOKUP(B1032,BD_CONTROL!$A$5:$M$4235,12,0),"")</f>
        <v>46107</v>
      </c>
      <c r="M1032" s="118" t="str">
        <f>IFERROR(VLOOKUP(B1032,BD_CONTROL!$A$5:$M$4235,13,0),"")</f>
        <v>Cargado desde DB instalación 23/04/2026</v>
      </c>
    </row>
    <row r="1033" spans="1:13" ht="15" customHeight="1">
      <c r="A1033" s="42">
        <v>1028</v>
      </c>
      <c r="B1033" s="42" t="s">
        <v>8352</v>
      </c>
      <c r="C1033" s="43" t="s">
        <v>6735</v>
      </c>
      <c r="D1033" s="42" t="s">
        <v>5640</v>
      </c>
      <c r="E1033" s="43" t="s">
        <v>5683</v>
      </c>
      <c r="F1033" s="43" t="s">
        <v>8353</v>
      </c>
      <c r="G1033" s="42" t="s">
        <v>6739</v>
      </c>
      <c r="H1033" s="43" t="s">
        <v>3449</v>
      </c>
      <c r="I1033" s="43" t="s">
        <v>6741</v>
      </c>
      <c r="J1033" s="55"/>
      <c r="K1033" s="129" t="str">
        <f>IFERROR(VLOOKUP(B1033,BD_CONTROL!$A$5:$M$4235,11,0),"")</f>
        <v>INSTALADO - OPERANDO</v>
      </c>
      <c r="L1033" s="120">
        <f>IFERROR(VLOOKUP(B1033,BD_CONTROL!$A$5:$M$4235,12,0),"")</f>
        <v>46111</v>
      </c>
      <c r="M1033" s="121" t="str">
        <f>IFERROR(VLOOKUP(B1033,BD_CONTROL!$A$5:$M$4235,13,0),"")</f>
        <v>Cargado desde DB instalación 23/04/2026</v>
      </c>
    </row>
    <row r="1034" spans="1:13" ht="15" customHeight="1">
      <c r="A1034" s="39">
        <v>1029</v>
      </c>
      <c r="B1034" s="39" t="s">
        <v>8354</v>
      </c>
      <c r="C1034" s="40" t="s">
        <v>6735</v>
      </c>
      <c r="D1034" s="39" t="s">
        <v>5640</v>
      </c>
      <c r="E1034" s="40" t="s">
        <v>5731</v>
      </c>
      <c r="F1034" s="40" t="s">
        <v>8355</v>
      </c>
      <c r="G1034" s="39" t="s">
        <v>6739</v>
      </c>
      <c r="H1034" s="40" t="s">
        <v>3449</v>
      </c>
      <c r="I1034" s="40" t="s">
        <v>6741</v>
      </c>
      <c r="J1034" s="50"/>
      <c r="K1034" s="129" t="str">
        <f>IFERROR(VLOOKUP(B1034,BD_CONTROL!$A$5:$M$4235,11,0),"")</f>
        <v>INSTALADO - OPERANDO</v>
      </c>
      <c r="L1034" s="117">
        <f>IFERROR(VLOOKUP(B1034,BD_CONTROL!$A$5:$M$4235,12,0),"")</f>
        <v>46120</v>
      </c>
      <c r="M1034" s="118" t="str">
        <f>IFERROR(VLOOKUP(B1034,BD_CONTROL!$A$5:$M$4235,13,0),"")</f>
        <v>Cargado desde DB instalación 23/04/2026</v>
      </c>
    </row>
    <row r="1035" spans="1:13" ht="15" customHeight="1">
      <c r="A1035" s="42">
        <v>1030</v>
      </c>
      <c r="B1035" s="42" t="s">
        <v>8356</v>
      </c>
      <c r="C1035" s="43" t="s">
        <v>6735</v>
      </c>
      <c r="D1035" s="42" t="s">
        <v>5640</v>
      </c>
      <c r="E1035" s="43" t="s">
        <v>5694</v>
      </c>
      <c r="F1035" s="43" t="s">
        <v>5694</v>
      </c>
      <c r="G1035" s="42" t="s">
        <v>6739</v>
      </c>
      <c r="H1035" s="43" t="s">
        <v>3449</v>
      </c>
      <c r="I1035" s="43" t="s">
        <v>6741</v>
      </c>
      <c r="J1035" s="55"/>
      <c r="K1035" s="119" t="str">
        <f>IFERROR(VLOOKUP(B1035,BD_CONTROL!$A$5:$M$4235,11,0),"")</f>
        <v>Instalado - Operando</v>
      </c>
      <c r="L1035" s="120">
        <f>IFERROR(VLOOKUP(B1035,BD_CONTROL!$A$5:$M$4235,12,0),"")</f>
        <v>46149</v>
      </c>
      <c r="M1035" s="121">
        <f>IFERROR(VLOOKUP(B1035,BD_CONTROL!$A$5:$M$4235,13,0),"")</f>
        <v>0</v>
      </c>
    </row>
    <row r="1036" spans="1:13" ht="15" customHeight="1">
      <c r="A1036" s="39">
        <v>1031</v>
      </c>
      <c r="B1036" s="39" t="s">
        <v>8357</v>
      </c>
      <c r="C1036" s="40" t="s">
        <v>6735</v>
      </c>
      <c r="D1036" s="39" t="s">
        <v>5640</v>
      </c>
      <c r="E1036" s="40" t="s">
        <v>5661</v>
      </c>
      <c r="F1036" s="40" t="s">
        <v>8327</v>
      </c>
      <c r="G1036" s="39" t="s">
        <v>6739</v>
      </c>
      <c r="H1036" s="40" t="s">
        <v>3449</v>
      </c>
      <c r="I1036" s="40" t="s">
        <v>6741</v>
      </c>
      <c r="J1036" s="50"/>
      <c r="K1036" s="129" t="str">
        <f>IFERROR(VLOOKUP(B1036,BD_CONTROL!$A$5:$M$4235,11,0),"")</f>
        <v>INSTALADO - OPERANDO</v>
      </c>
      <c r="L1036" s="117">
        <f>IFERROR(VLOOKUP(B1036,BD_CONTROL!$A$5:$M$4235,12,0),"")</f>
        <v>46113</v>
      </c>
      <c r="M1036" s="118" t="str">
        <f>IFERROR(VLOOKUP(B1036,BD_CONTROL!$A$5:$M$4235,13,0),"")</f>
        <v>Cargado desde DB instalación 23/04/2026</v>
      </c>
    </row>
    <row r="1037" spans="1:13" ht="15" customHeight="1">
      <c r="A1037" s="42">
        <v>1032</v>
      </c>
      <c r="B1037" s="42" t="s">
        <v>8358</v>
      </c>
      <c r="C1037" s="43" t="s">
        <v>6735</v>
      </c>
      <c r="D1037" s="42" t="s">
        <v>5640</v>
      </c>
      <c r="E1037" s="43" t="s">
        <v>3001</v>
      </c>
      <c r="F1037" s="43" t="s">
        <v>8359</v>
      </c>
      <c r="G1037" s="42" t="s">
        <v>6739</v>
      </c>
      <c r="H1037" s="43" t="s">
        <v>3449</v>
      </c>
      <c r="I1037" s="43" t="s">
        <v>6741</v>
      </c>
      <c r="J1037" s="55"/>
      <c r="K1037" s="119" t="str">
        <f>IFERROR(VLOOKUP(B1037,BD_CONTROL!$A$5:$M$4235,11,0),"")</f>
        <v>Instalado - Operando</v>
      </c>
      <c r="L1037" s="120">
        <f>IFERROR(VLOOKUP(B1037,BD_CONTROL!$A$5:$M$4235,12,0),"")</f>
        <v>46143</v>
      </c>
      <c r="M1037" s="121">
        <f>IFERROR(VLOOKUP(B1037,BD_CONTROL!$A$5:$M$4235,13,0),"")</f>
        <v>0</v>
      </c>
    </row>
    <row r="1038" spans="1:13" ht="15" customHeight="1">
      <c r="A1038" s="39">
        <v>1033</v>
      </c>
      <c r="B1038" s="39" t="s">
        <v>8360</v>
      </c>
      <c r="C1038" s="40" t="s">
        <v>6735</v>
      </c>
      <c r="D1038" s="39" t="s">
        <v>5640</v>
      </c>
      <c r="E1038" s="40" t="s">
        <v>5687</v>
      </c>
      <c r="F1038" s="40" t="s">
        <v>6108</v>
      </c>
      <c r="G1038" s="39" t="s">
        <v>6739</v>
      </c>
      <c r="H1038" s="40" t="s">
        <v>3449</v>
      </c>
      <c r="I1038" s="40" t="s">
        <v>6741</v>
      </c>
      <c r="J1038" s="50"/>
      <c r="K1038" s="116" t="str">
        <f>IFERROR(VLOOKUP(B1038,BD_CONTROL!$A$5:$M$4235,11,0),"")</f>
        <v>Instalado - Operando</v>
      </c>
      <c r="L1038" s="117">
        <f>IFERROR(VLOOKUP(B1038,BD_CONTROL!$A$5:$M$4235,12,0),"")</f>
        <v>46143</v>
      </c>
      <c r="M1038" s="118">
        <f>IFERROR(VLOOKUP(B1038,BD_CONTROL!$A$5:$M$4235,13,0),"")</f>
        <v>0</v>
      </c>
    </row>
    <row r="1039" spans="1:13" ht="15" customHeight="1">
      <c r="A1039" s="42">
        <v>1034</v>
      </c>
      <c r="B1039" s="42" t="s">
        <v>8361</v>
      </c>
      <c r="C1039" s="43" t="s">
        <v>6735</v>
      </c>
      <c r="D1039" s="42" t="s">
        <v>5640</v>
      </c>
      <c r="E1039" s="43" t="s">
        <v>8362</v>
      </c>
      <c r="F1039" s="43" t="s">
        <v>8363</v>
      </c>
      <c r="G1039" s="42" t="s">
        <v>6739</v>
      </c>
      <c r="H1039" s="43" t="s">
        <v>3449</v>
      </c>
      <c r="I1039" s="43" t="s">
        <v>6741</v>
      </c>
      <c r="J1039" s="55"/>
      <c r="K1039" s="129" t="str">
        <f>IFERROR(VLOOKUP(B1039,BD_CONTROL!$A$5:$M$4235,11,0),"")</f>
        <v>INSTALADO - OPERANDO</v>
      </c>
      <c r="L1039" s="120">
        <f>IFERROR(VLOOKUP(B1039,BD_CONTROL!$A$5:$M$4235,12,0),"")</f>
        <v>46119</v>
      </c>
      <c r="M1039" s="121" t="str">
        <f>IFERROR(VLOOKUP(B1039,BD_CONTROL!$A$5:$M$4235,13,0),"")</f>
        <v>Cargado desde DB instalación 23/04/2026</v>
      </c>
    </row>
    <row r="1040" spans="1:13" ht="15" customHeight="1">
      <c r="A1040" s="39">
        <v>1035</v>
      </c>
      <c r="B1040" s="39" t="s">
        <v>8364</v>
      </c>
      <c r="C1040" s="40" t="s">
        <v>6735</v>
      </c>
      <c r="D1040" s="39" t="s">
        <v>5640</v>
      </c>
      <c r="E1040" s="40" t="s">
        <v>5640</v>
      </c>
      <c r="F1040" s="40" t="s">
        <v>5647</v>
      </c>
      <c r="G1040" s="39" t="s">
        <v>6739</v>
      </c>
      <c r="H1040" s="40" t="s">
        <v>3449</v>
      </c>
      <c r="I1040" s="40" t="s">
        <v>6741</v>
      </c>
      <c r="J1040" s="50"/>
      <c r="K1040" s="129" t="str">
        <f>IFERROR(VLOOKUP(B1040,BD_CONTROL!$A$5:$M$4235,11,0),"")</f>
        <v>INSTALADO - OPERANDO</v>
      </c>
      <c r="L1040" s="117">
        <f>IFERROR(VLOOKUP(B1040,BD_CONTROL!$A$5:$M$4235,12,0),"")</f>
        <v>46111</v>
      </c>
      <c r="M1040" s="118" t="str">
        <f>IFERROR(VLOOKUP(B1040,BD_CONTROL!$A$5:$M$4235,13,0),"")</f>
        <v>Cargado desde DB instalación 23/04/2026</v>
      </c>
    </row>
    <row r="1041" spans="1:13" ht="15" customHeight="1">
      <c r="A1041" s="42">
        <v>1036</v>
      </c>
      <c r="B1041" s="42" t="s">
        <v>8365</v>
      </c>
      <c r="C1041" s="43" t="s">
        <v>6735</v>
      </c>
      <c r="D1041" s="42" t="s">
        <v>5640</v>
      </c>
      <c r="E1041" s="43" t="s">
        <v>5640</v>
      </c>
      <c r="F1041" s="43" t="s">
        <v>5647</v>
      </c>
      <c r="G1041" s="42" t="s">
        <v>6739</v>
      </c>
      <c r="H1041" s="43" t="s">
        <v>3449</v>
      </c>
      <c r="I1041" s="43" t="s">
        <v>6741</v>
      </c>
      <c r="J1041" s="55"/>
      <c r="K1041" s="129" t="str">
        <f>IFERROR(VLOOKUP(B1041,BD_CONTROL!$A$5:$M$4235,11,0),"")</f>
        <v>INSTALADO - OPERANDO</v>
      </c>
      <c r="L1041" s="120">
        <f>IFERROR(VLOOKUP(B1041,BD_CONTROL!$A$5:$M$4235,12,0),"")</f>
        <v>46111</v>
      </c>
      <c r="M1041" s="121" t="str">
        <f>IFERROR(VLOOKUP(B1041,BD_CONTROL!$A$5:$M$4235,13,0),"")</f>
        <v>Cargado desde DB instalación 23/04/2026</v>
      </c>
    </row>
    <row r="1042" spans="1:13" ht="15" customHeight="1">
      <c r="A1042" s="39">
        <v>1037</v>
      </c>
      <c r="B1042" s="39" t="s">
        <v>8366</v>
      </c>
      <c r="C1042" s="40" t="s">
        <v>6735</v>
      </c>
      <c r="D1042" s="39" t="s">
        <v>5640</v>
      </c>
      <c r="E1042" s="40" t="s">
        <v>5640</v>
      </c>
      <c r="F1042" s="40" t="s">
        <v>5647</v>
      </c>
      <c r="G1042" s="39" t="s">
        <v>6739</v>
      </c>
      <c r="H1042" s="40" t="s">
        <v>3449</v>
      </c>
      <c r="I1042" s="40" t="s">
        <v>6741</v>
      </c>
      <c r="J1042" s="50"/>
      <c r="K1042" s="129" t="str">
        <f>IFERROR(VLOOKUP(B1042,BD_CONTROL!$A$5:$M$4235,11,0),"")</f>
        <v>INSTALADO - OPERANDO</v>
      </c>
      <c r="L1042" s="117">
        <f>IFERROR(VLOOKUP(B1042,BD_CONTROL!$A$5:$M$4235,12,0),"")</f>
        <v>46111</v>
      </c>
      <c r="M1042" s="118" t="str">
        <f>IFERROR(VLOOKUP(B1042,BD_CONTROL!$A$5:$M$4235,13,0),"")</f>
        <v>Cargado desde DB instalación 23/04/2026</v>
      </c>
    </row>
    <row r="1043" spans="1:13" ht="15" customHeight="1">
      <c r="A1043" s="42">
        <v>1038</v>
      </c>
      <c r="B1043" s="42" t="s">
        <v>8367</v>
      </c>
      <c r="C1043" s="43" t="s">
        <v>6735</v>
      </c>
      <c r="D1043" s="42" t="s">
        <v>5640</v>
      </c>
      <c r="E1043" s="43" t="s">
        <v>5661</v>
      </c>
      <c r="F1043" s="43" t="s">
        <v>6392</v>
      </c>
      <c r="G1043" s="42" t="s">
        <v>6739</v>
      </c>
      <c r="H1043" s="43" t="s">
        <v>3449</v>
      </c>
      <c r="I1043" s="43" t="s">
        <v>6741</v>
      </c>
      <c r="J1043" s="55"/>
      <c r="K1043" s="129" t="str">
        <f>IFERROR(VLOOKUP(B1043,BD_CONTROL!$A$5:$M$4235,11,0),"")</f>
        <v>INSTALADO - OPERANDO</v>
      </c>
      <c r="L1043" s="120">
        <f>IFERROR(VLOOKUP(B1043,BD_CONTROL!$A$5:$M$4235,12,0),"")</f>
        <v>46121</v>
      </c>
      <c r="M1043" s="121" t="str">
        <f>IFERROR(VLOOKUP(B1043,BD_CONTROL!$A$5:$M$4235,13,0),"")</f>
        <v>Cargado desde DB instalación 23/04/2026</v>
      </c>
    </row>
    <row r="1044" spans="1:13" ht="15" customHeight="1">
      <c r="A1044" s="39">
        <v>1039</v>
      </c>
      <c r="B1044" s="39" t="s">
        <v>8368</v>
      </c>
      <c r="C1044" s="40" t="s">
        <v>6735</v>
      </c>
      <c r="D1044" s="39" t="s">
        <v>5640</v>
      </c>
      <c r="E1044" s="40" t="s">
        <v>5641</v>
      </c>
      <c r="F1044" s="40" t="s">
        <v>5641</v>
      </c>
      <c r="G1044" s="39" t="s">
        <v>6739</v>
      </c>
      <c r="H1044" s="40" t="s">
        <v>3449</v>
      </c>
      <c r="I1044" s="40" t="s">
        <v>6741</v>
      </c>
      <c r="J1044" s="50"/>
      <c r="K1044" s="129" t="str">
        <f>IFERROR(VLOOKUP(B1044,BD_CONTROL!$A$5:$M$4235,11,0),"")</f>
        <v>INSTALADO - OPERANDO</v>
      </c>
      <c r="L1044" s="117">
        <f>IFERROR(VLOOKUP(B1044,BD_CONTROL!$A$5:$M$4235,12,0),"")</f>
        <v>46125</v>
      </c>
      <c r="M1044" s="118" t="str">
        <f>IFERROR(VLOOKUP(B1044,BD_CONTROL!$A$5:$M$4235,13,0),"")</f>
        <v>Cargado desde DB instalación 23/04/2026</v>
      </c>
    </row>
    <row r="1045" spans="1:13" ht="15" customHeight="1">
      <c r="A1045" s="42">
        <v>1040</v>
      </c>
      <c r="B1045" s="42" t="s">
        <v>8369</v>
      </c>
      <c r="C1045" s="43" t="s">
        <v>6735</v>
      </c>
      <c r="D1045" s="42" t="s">
        <v>5640</v>
      </c>
      <c r="E1045" s="43" t="s">
        <v>5691</v>
      </c>
      <c r="F1045" s="43" t="s">
        <v>5801</v>
      </c>
      <c r="G1045" s="42" t="s">
        <v>6739</v>
      </c>
      <c r="H1045" s="43" t="s">
        <v>3449</v>
      </c>
      <c r="I1045" s="43" t="s">
        <v>6741</v>
      </c>
      <c r="J1045" s="55"/>
      <c r="K1045" s="129" t="str">
        <f>IFERROR(VLOOKUP(B1045,BD_CONTROL!$A$5:$M$4235,11,0),"")</f>
        <v>INSTALADO - OPERANDO</v>
      </c>
      <c r="L1045" s="120">
        <f>IFERROR(VLOOKUP(B1045,BD_CONTROL!$A$5:$M$4235,12,0),"")</f>
        <v>46132</v>
      </c>
      <c r="M1045" s="121" t="str">
        <f>IFERROR(VLOOKUP(B1045,BD_CONTROL!$A$5:$M$4235,13,0),"")</f>
        <v>Cargado desde DB instalación 23/04/2026</v>
      </c>
    </row>
    <row r="1046" spans="1:13" ht="15" customHeight="1">
      <c r="A1046" s="39">
        <v>1041</v>
      </c>
      <c r="B1046" s="39" t="s">
        <v>8370</v>
      </c>
      <c r="C1046" s="40" t="s">
        <v>6735</v>
      </c>
      <c r="D1046" s="39" t="s">
        <v>5640</v>
      </c>
      <c r="E1046" s="40" t="s">
        <v>3018</v>
      </c>
      <c r="F1046" s="40" t="s">
        <v>8371</v>
      </c>
      <c r="G1046" s="39" t="s">
        <v>6739</v>
      </c>
      <c r="H1046" s="40" t="s">
        <v>3449</v>
      </c>
      <c r="I1046" s="40" t="s">
        <v>6741</v>
      </c>
      <c r="J1046" s="50"/>
      <c r="K1046" s="116">
        <f>IFERROR(VLOOKUP(B1046,BD_CONTROL!$A$5:$M$4235,11,0),"")</f>
        <v>0</v>
      </c>
      <c r="L1046" s="117">
        <f>IFERROR(VLOOKUP(B1046,BD_CONTROL!$A$5:$M$4235,12,0),"")</f>
        <v>0</v>
      </c>
      <c r="M1046" s="118">
        <f>IFERROR(VLOOKUP(B1046,BD_CONTROL!$A$5:$M$4235,13,0),"")</f>
        <v>0</v>
      </c>
    </row>
    <row r="1047" spans="1:13" ht="15" customHeight="1">
      <c r="A1047" s="42">
        <v>1042</v>
      </c>
      <c r="B1047" s="42" t="s">
        <v>8372</v>
      </c>
      <c r="C1047" s="43" t="s">
        <v>6735</v>
      </c>
      <c r="D1047" s="42" t="s">
        <v>5640</v>
      </c>
      <c r="E1047" s="43" t="s">
        <v>5847</v>
      </c>
      <c r="F1047" s="43" t="s">
        <v>5847</v>
      </c>
      <c r="G1047" s="42" t="s">
        <v>6739</v>
      </c>
      <c r="H1047" s="43" t="s">
        <v>3449</v>
      </c>
      <c r="I1047" s="43" t="s">
        <v>6741</v>
      </c>
      <c r="J1047" s="55"/>
      <c r="K1047" s="129" t="str">
        <f>IFERROR(VLOOKUP(B1047,BD_CONTROL!$A$5:$M$4235,11,0),"")</f>
        <v>INSTALADO - OPERANDO</v>
      </c>
      <c r="L1047" s="120">
        <f>IFERROR(VLOOKUP(B1047,BD_CONTROL!$A$5:$M$4235,12,0),"")</f>
        <v>46126</v>
      </c>
      <c r="M1047" s="121" t="str">
        <f>IFERROR(VLOOKUP(B1047,BD_CONTROL!$A$5:$M$4235,13,0),"")</f>
        <v>Cargado desde DB instalación 23/04/2026</v>
      </c>
    </row>
    <row r="1048" spans="1:13" ht="15" customHeight="1">
      <c r="A1048" s="39">
        <v>1043</v>
      </c>
      <c r="B1048" s="39" t="s">
        <v>8373</v>
      </c>
      <c r="C1048" s="40" t="s">
        <v>6735</v>
      </c>
      <c r="D1048" s="39" t="s">
        <v>5640</v>
      </c>
      <c r="E1048" s="40" t="s">
        <v>5640</v>
      </c>
      <c r="F1048" s="40" t="s">
        <v>5647</v>
      </c>
      <c r="G1048" s="39" t="s">
        <v>6739</v>
      </c>
      <c r="H1048" s="40" t="s">
        <v>3449</v>
      </c>
      <c r="I1048" s="40" t="s">
        <v>6741</v>
      </c>
      <c r="J1048" s="50"/>
      <c r="K1048" s="129" t="str">
        <f>IFERROR(VLOOKUP(B1048,BD_CONTROL!$A$5:$M$4235,11,0),"")</f>
        <v>INSTALADO - OPERANDO</v>
      </c>
      <c r="L1048" s="117">
        <f>IFERROR(VLOOKUP(B1048,BD_CONTROL!$A$5:$M$4235,12,0),"")</f>
        <v>46104</v>
      </c>
      <c r="M1048" s="118" t="str">
        <f>IFERROR(VLOOKUP(B1048,BD_CONTROL!$A$5:$M$4235,13,0),"")</f>
        <v>Cargado desde DB instalación 23/04/2026</v>
      </c>
    </row>
    <row r="1049" spans="1:13" ht="15" customHeight="1">
      <c r="A1049" s="42">
        <v>1044</v>
      </c>
      <c r="B1049" s="42" t="s">
        <v>8374</v>
      </c>
      <c r="C1049" s="43" t="s">
        <v>6735</v>
      </c>
      <c r="D1049" s="42" t="s">
        <v>5640</v>
      </c>
      <c r="E1049" s="43" t="s">
        <v>5683</v>
      </c>
      <c r="F1049" s="43" t="s">
        <v>8353</v>
      </c>
      <c r="G1049" s="42" t="s">
        <v>6739</v>
      </c>
      <c r="H1049" s="43" t="s">
        <v>3449</v>
      </c>
      <c r="I1049" s="43" t="s">
        <v>6741</v>
      </c>
      <c r="J1049" s="55"/>
      <c r="K1049" s="129" t="str">
        <f>IFERROR(VLOOKUP(B1049,BD_CONTROL!$A$5:$M$4235,11,0),"")</f>
        <v>INSTALADO - OPERANDO</v>
      </c>
      <c r="L1049" s="120">
        <f>IFERROR(VLOOKUP(B1049,BD_CONTROL!$A$5:$M$4235,12,0),"")</f>
        <v>46111</v>
      </c>
      <c r="M1049" s="121" t="str">
        <f>IFERROR(VLOOKUP(B1049,BD_CONTROL!$A$5:$M$4235,13,0),"")</f>
        <v>Cargado desde DB instalación 23/04/2026</v>
      </c>
    </row>
    <row r="1050" spans="1:13" ht="15" customHeight="1">
      <c r="A1050" s="39">
        <v>1045</v>
      </c>
      <c r="B1050" s="39" t="s">
        <v>8375</v>
      </c>
      <c r="C1050" s="40" t="s">
        <v>6735</v>
      </c>
      <c r="D1050" s="39" t="s">
        <v>5640</v>
      </c>
      <c r="E1050" s="40" t="s">
        <v>5640</v>
      </c>
      <c r="F1050" s="40" t="s">
        <v>5647</v>
      </c>
      <c r="G1050" s="39" t="s">
        <v>6739</v>
      </c>
      <c r="H1050" s="40" t="s">
        <v>3449</v>
      </c>
      <c r="I1050" s="40" t="s">
        <v>6741</v>
      </c>
      <c r="J1050" s="50"/>
      <c r="K1050" s="129" t="str">
        <f>IFERROR(VLOOKUP(B1050,BD_CONTROL!$A$5:$M$4235,11,0),"")</f>
        <v>INSTALADO - OPERANDO</v>
      </c>
      <c r="L1050" s="117">
        <f>IFERROR(VLOOKUP(B1050,BD_CONTROL!$A$5:$M$4235,12,0),"")</f>
        <v>46106</v>
      </c>
      <c r="M1050" s="118" t="str">
        <f>IFERROR(VLOOKUP(B1050,BD_CONTROL!$A$5:$M$4235,13,0),"")</f>
        <v>Cargado desde DB instalación 23/04/2026</v>
      </c>
    </row>
    <row r="1051" spans="1:13" ht="15" customHeight="1">
      <c r="A1051" s="42">
        <v>1046</v>
      </c>
      <c r="B1051" s="42" t="s">
        <v>8376</v>
      </c>
      <c r="C1051" s="43" t="s">
        <v>6735</v>
      </c>
      <c r="D1051" s="42" t="s">
        <v>5640</v>
      </c>
      <c r="E1051" s="43" t="s">
        <v>5717</v>
      </c>
      <c r="F1051" s="43" t="s">
        <v>8377</v>
      </c>
      <c r="G1051" s="42" t="s">
        <v>6739</v>
      </c>
      <c r="H1051" s="43" t="s">
        <v>3449</v>
      </c>
      <c r="I1051" s="43" t="s">
        <v>6741</v>
      </c>
      <c r="J1051" s="55"/>
      <c r="K1051" s="129" t="str">
        <f>IFERROR(VLOOKUP(B1051,BD_CONTROL!$A$5:$M$4235,11,0),"")</f>
        <v>INSTALADO - OPERANDO</v>
      </c>
      <c r="L1051" s="120">
        <f>IFERROR(VLOOKUP(B1051,BD_CONTROL!$A$5:$M$4235,12,0),"")</f>
        <v>46107</v>
      </c>
      <c r="M1051" s="121" t="str">
        <f>IFERROR(VLOOKUP(B1051,BD_CONTROL!$A$5:$M$4235,13,0),"")</f>
        <v>Cargado desde DB instalación 23/04/2026</v>
      </c>
    </row>
    <row r="1052" spans="1:13" ht="15" customHeight="1">
      <c r="A1052" s="39">
        <v>1047</v>
      </c>
      <c r="B1052" s="39" t="s">
        <v>8378</v>
      </c>
      <c r="C1052" s="40" t="s">
        <v>6735</v>
      </c>
      <c r="D1052" s="39" t="s">
        <v>5640</v>
      </c>
      <c r="E1052" s="40" t="s">
        <v>5761</v>
      </c>
      <c r="F1052" s="40" t="s">
        <v>8379</v>
      </c>
      <c r="G1052" s="39" t="s">
        <v>6739</v>
      </c>
      <c r="H1052" s="40" t="s">
        <v>3449</v>
      </c>
      <c r="I1052" s="40" t="s">
        <v>6741</v>
      </c>
      <c r="J1052" s="50"/>
      <c r="K1052" s="116" t="str">
        <f>IFERROR(VLOOKUP(B1052,BD_CONTROL!$A$5:$M$4235,11,0),"")</f>
        <v>Instalado - Operando</v>
      </c>
      <c r="L1052" s="117">
        <f>IFERROR(VLOOKUP(B1052,BD_CONTROL!$A$5:$M$4235,12,0),"")</f>
        <v>46150</v>
      </c>
      <c r="M1052" s="118">
        <f>IFERROR(VLOOKUP(B1052,BD_CONTROL!$A$5:$M$4235,13,0),"")</f>
        <v>0</v>
      </c>
    </row>
    <row r="1053" spans="1:13" ht="15" customHeight="1">
      <c r="A1053" s="42">
        <v>1048</v>
      </c>
      <c r="B1053" s="42" t="s">
        <v>8380</v>
      </c>
      <c r="C1053" s="43" t="s">
        <v>6735</v>
      </c>
      <c r="D1053" s="42" t="s">
        <v>5640</v>
      </c>
      <c r="E1053" s="43" t="s">
        <v>5640</v>
      </c>
      <c r="F1053" s="43" t="s">
        <v>5647</v>
      </c>
      <c r="G1053" s="42" t="s">
        <v>6739</v>
      </c>
      <c r="H1053" s="43" t="s">
        <v>3449</v>
      </c>
      <c r="I1053" s="43" t="s">
        <v>6741</v>
      </c>
      <c r="J1053" s="55"/>
      <c r="K1053" s="129" t="str">
        <f>IFERROR(VLOOKUP(B1053,BD_CONTROL!$A$5:$M$4235,11,0),"")</f>
        <v>INSTALADO - OPERANDO</v>
      </c>
      <c r="L1053" s="120">
        <f>IFERROR(VLOOKUP(B1053,BD_CONTROL!$A$5:$M$4235,12,0),"")</f>
        <v>46112</v>
      </c>
      <c r="M1053" s="121" t="str">
        <f>IFERROR(VLOOKUP(B1053,BD_CONTROL!$A$5:$M$4235,13,0),"")</f>
        <v>Cargado desde DB instalación 23/04/2026</v>
      </c>
    </row>
    <row r="1054" spans="1:13" ht="15" customHeight="1">
      <c r="A1054" s="39">
        <v>1049</v>
      </c>
      <c r="B1054" s="39" t="s">
        <v>8381</v>
      </c>
      <c r="C1054" s="40" t="s">
        <v>6735</v>
      </c>
      <c r="D1054" s="39" t="s">
        <v>5640</v>
      </c>
      <c r="E1054" s="40" t="s">
        <v>5986</v>
      </c>
      <c r="F1054" s="40" t="s">
        <v>5990</v>
      </c>
      <c r="G1054" s="39" t="s">
        <v>6739</v>
      </c>
      <c r="H1054" s="40" t="s">
        <v>3449</v>
      </c>
      <c r="I1054" s="40" t="s">
        <v>6741</v>
      </c>
      <c r="J1054" s="50"/>
      <c r="K1054" s="129" t="str">
        <f>IFERROR(VLOOKUP(B1054,BD_CONTROL!$A$5:$M$4235,11,0),"")</f>
        <v>INSTALADO - OPERANDO</v>
      </c>
      <c r="L1054" s="117">
        <f>IFERROR(VLOOKUP(B1054,BD_CONTROL!$A$5:$M$4235,12,0),"")</f>
        <v>46111</v>
      </c>
      <c r="M1054" s="118" t="str">
        <f>IFERROR(VLOOKUP(B1054,BD_CONTROL!$A$5:$M$4235,13,0),"")</f>
        <v>Cargado desde DB instalación 23/04/2026</v>
      </c>
    </row>
    <row r="1055" spans="1:13" ht="15" customHeight="1">
      <c r="A1055" s="42">
        <v>1050</v>
      </c>
      <c r="B1055" s="42" t="s">
        <v>8382</v>
      </c>
      <c r="C1055" s="43" t="s">
        <v>6735</v>
      </c>
      <c r="D1055" s="42" t="s">
        <v>5640</v>
      </c>
      <c r="E1055" s="43" t="s">
        <v>5719</v>
      </c>
      <c r="F1055" s="43" t="s">
        <v>5719</v>
      </c>
      <c r="G1055" s="42" t="s">
        <v>6739</v>
      </c>
      <c r="H1055" s="43" t="s">
        <v>3449</v>
      </c>
      <c r="I1055" s="43" t="s">
        <v>6741</v>
      </c>
      <c r="J1055" s="55"/>
      <c r="K1055" s="129" t="str">
        <f>IFERROR(VLOOKUP(B1055,BD_CONTROL!$A$5:$M$4235,11,0),"")</f>
        <v>Instalado - Operando</v>
      </c>
      <c r="L1055" s="120">
        <f>IFERROR(VLOOKUP(B1055,BD_CONTROL!$A$5:$M$4235,12,0),"")</f>
        <v>46136</v>
      </c>
      <c r="M1055" s="121">
        <f>IFERROR(VLOOKUP(B1055,BD_CONTROL!$A$5:$M$4235,13,0),"")</f>
        <v>0</v>
      </c>
    </row>
    <row r="1056" spans="1:13" ht="15" customHeight="1">
      <c r="A1056" s="39">
        <v>1051</v>
      </c>
      <c r="B1056" s="39" t="s">
        <v>8383</v>
      </c>
      <c r="C1056" s="40" t="s">
        <v>6735</v>
      </c>
      <c r="D1056" s="39" t="s">
        <v>5640</v>
      </c>
      <c r="E1056" s="40" t="s">
        <v>5710</v>
      </c>
      <c r="F1056" s="40" t="s">
        <v>5710</v>
      </c>
      <c r="G1056" s="39" t="s">
        <v>6739</v>
      </c>
      <c r="H1056" s="40" t="s">
        <v>3449</v>
      </c>
      <c r="I1056" s="40" t="s">
        <v>6741</v>
      </c>
      <c r="J1056" s="50"/>
      <c r="K1056" s="116" t="str">
        <f>IFERROR(VLOOKUP(B1056,BD_CONTROL!$A$5:$M$4235,11,0),"")</f>
        <v>Instalado - Operando</v>
      </c>
      <c r="L1056" s="117">
        <f>IFERROR(VLOOKUP(B1056,BD_CONTROL!$A$5:$M$4235,12,0),"")</f>
        <v>46149</v>
      </c>
      <c r="M1056" s="118">
        <f>IFERROR(VLOOKUP(B1056,BD_CONTROL!$A$5:$M$4235,13,0),"")</f>
        <v>0</v>
      </c>
    </row>
    <row r="1057" spans="1:13" ht="15" customHeight="1">
      <c r="A1057" s="42">
        <v>1052</v>
      </c>
      <c r="B1057" s="42" t="s">
        <v>8384</v>
      </c>
      <c r="C1057" s="43" t="s">
        <v>6735</v>
      </c>
      <c r="D1057" s="42" t="s">
        <v>5640</v>
      </c>
      <c r="E1057" s="43" t="s">
        <v>5746</v>
      </c>
      <c r="F1057" s="43" t="s">
        <v>8385</v>
      </c>
      <c r="G1057" s="42" t="s">
        <v>6739</v>
      </c>
      <c r="H1057" s="43" t="s">
        <v>3449</v>
      </c>
      <c r="I1057" s="43" t="s">
        <v>6741</v>
      </c>
      <c r="J1057" s="55"/>
      <c r="K1057" s="129" t="str">
        <f>IFERROR(VLOOKUP(B1057,BD_CONTROL!$A$5:$M$4235,11,0),"")</f>
        <v>INSTALADO - OPERANDO</v>
      </c>
      <c r="L1057" s="120">
        <f>IFERROR(VLOOKUP(B1057,BD_CONTROL!$A$5:$M$4235,12,0),"")</f>
        <v>46118</v>
      </c>
      <c r="M1057" s="121" t="str">
        <f>IFERROR(VLOOKUP(B1057,BD_CONTROL!$A$5:$M$4235,13,0),"")</f>
        <v>Cargado desde DB instalación 23/04/2026</v>
      </c>
    </row>
    <row r="1058" spans="1:13" ht="15" customHeight="1">
      <c r="A1058" s="39">
        <v>1053</v>
      </c>
      <c r="B1058" s="39" t="s">
        <v>8386</v>
      </c>
      <c r="C1058" s="40" t="s">
        <v>6735</v>
      </c>
      <c r="D1058" s="39" t="s">
        <v>5640</v>
      </c>
      <c r="E1058" s="40" t="s">
        <v>3018</v>
      </c>
      <c r="F1058" s="40" t="s">
        <v>8371</v>
      </c>
      <c r="G1058" s="39" t="s">
        <v>6739</v>
      </c>
      <c r="H1058" s="40" t="s">
        <v>3449</v>
      </c>
      <c r="I1058" s="40" t="s">
        <v>6741</v>
      </c>
      <c r="J1058" s="50"/>
      <c r="K1058" s="116">
        <f>IFERROR(VLOOKUP(B1058,BD_CONTROL!$A$5:$M$4235,11,0),"")</f>
        <v>0</v>
      </c>
      <c r="L1058" s="117">
        <f>IFERROR(VLOOKUP(B1058,BD_CONTROL!$A$5:$M$4235,12,0),"")</f>
        <v>0</v>
      </c>
      <c r="M1058" s="118">
        <f>IFERROR(VLOOKUP(B1058,BD_CONTROL!$A$5:$M$4235,13,0),"")</f>
        <v>0</v>
      </c>
    </row>
    <row r="1059" spans="1:13" ht="15" customHeight="1">
      <c r="A1059" s="42">
        <v>1054</v>
      </c>
      <c r="B1059" s="42" t="s">
        <v>8387</v>
      </c>
      <c r="C1059" s="43" t="s">
        <v>6735</v>
      </c>
      <c r="D1059" s="42" t="s">
        <v>5640</v>
      </c>
      <c r="E1059" s="43" t="s">
        <v>5703</v>
      </c>
      <c r="F1059" s="43" t="s">
        <v>8388</v>
      </c>
      <c r="G1059" s="42" t="s">
        <v>6739</v>
      </c>
      <c r="H1059" s="43" t="s">
        <v>3449</v>
      </c>
      <c r="I1059" s="43" t="s">
        <v>6741</v>
      </c>
      <c r="J1059" s="55"/>
      <c r="K1059" s="119" t="str">
        <f>IFERROR(VLOOKUP(B1059,BD_CONTROL!$A$5:$M$4235,11,0),"")</f>
        <v>Instalado - Operando</v>
      </c>
      <c r="L1059" s="120">
        <f>IFERROR(VLOOKUP(B1059,BD_CONTROL!$A$5:$M$4235,12,0),"")</f>
        <v>46142</v>
      </c>
      <c r="M1059" s="121">
        <f>IFERROR(VLOOKUP(B1059,BD_CONTROL!$A$5:$M$4235,13,0),"")</f>
        <v>0</v>
      </c>
    </row>
    <row r="1060" spans="1:13" ht="15" customHeight="1">
      <c r="A1060" s="39">
        <v>1055</v>
      </c>
      <c r="B1060" s="39" t="s">
        <v>8389</v>
      </c>
      <c r="C1060" s="40" t="s">
        <v>6735</v>
      </c>
      <c r="D1060" s="39" t="s">
        <v>5640</v>
      </c>
      <c r="E1060" s="40" t="s">
        <v>5717</v>
      </c>
      <c r="F1060" s="40" t="s">
        <v>8377</v>
      </c>
      <c r="G1060" s="39" t="s">
        <v>6739</v>
      </c>
      <c r="H1060" s="40" t="s">
        <v>3449</v>
      </c>
      <c r="I1060" s="40" t="s">
        <v>6741</v>
      </c>
      <c r="J1060" s="50"/>
      <c r="K1060" s="129" t="str">
        <f>IFERROR(VLOOKUP(B1060,BD_CONTROL!$A$5:$M$4235,11,0),"")</f>
        <v>INSTALADO - OPERANDO</v>
      </c>
      <c r="L1060" s="117">
        <f>IFERROR(VLOOKUP(B1060,BD_CONTROL!$A$5:$M$4235,12,0),"")</f>
        <v>46111</v>
      </c>
      <c r="M1060" s="118" t="str">
        <f>IFERROR(VLOOKUP(B1060,BD_CONTROL!$A$5:$M$4235,13,0),"")</f>
        <v>Cargado desde DB instalación 23/04/2026</v>
      </c>
    </row>
    <row r="1061" spans="1:13" ht="15" customHeight="1">
      <c r="A1061" s="42">
        <v>1056</v>
      </c>
      <c r="B1061" s="42" t="s">
        <v>8390</v>
      </c>
      <c r="C1061" s="43" t="s">
        <v>6735</v>
      </c>
      <c r="D1061" s="42" t="s">
        <v>5640</v>
      </c>
      <c r="E1061" s="43" t="s">
        <v>5698</v>
      </c>
      <c r="F1061" s="43" t="s">
        <v>5902</v>
      </c>
      <c r="G1061" s="42" t="s">
        <v>6739</v>
      </c>
      <c r="H1061" s="43" t="s">
        <v>3449</v>
      </c>
      <c r="I1061" s="43" t="s">
        <v>6741</v>
      </c>
      <c r="J1061" s="55"/>
      <c r="K1061" s="129" t="str">
        <f>IFERROR(VLOOKUP(B1061,BD_CONTROL!$A$5:$M$4235,11,0),"")</f>
        <v>INSTALADO - OPERANDO</v>
      </c>
      <c r="L1061" s="120">
        <f>IFERROR(VLOOKUP(B1061,BD_CONTROL!$A$5:$M$4235,12,0),"")</f>
        <v>46112</v>
      </c>
      <c r="M1061" s="121" t="str">
        <f>IFERROR(VLOOKUP(B1061,BD_CONTROL!$A$5:$M$4235,13,0),"")</f>
        <v>Cargado desde DB instalación 23/04/2026</v>
      </c>
    </row>
    <row r="1062" spans="1:13" ht="15" customHeight="1">
      <c r="A1062" s="39">
        <v>1057</v>
      </c>
      <c r="B1062" s="39" t="s">
        <v>8391</v>
      </c>
      <c r="C1062" s="40" t="s">
        <v>6735</v>
      </c>
      <c r="D1062" s="39" t="s">
        <v>5640</v>
      </c>
      <c r="E1062" s="40" t="s">
        <v>5687</v>
      </c>
      <c r="F1062" s="40" t="s">
        <v>5687</v>
      </c>
      <c r="G1062" s="39" t="s">
        <v>6739</v>
      </c>
      <c r="H1062" s="40" t="s">
        <v>3449</v>
      </c>
      <c r="I1062" s="40" t="s">
        <v>6741</v>
      </c>
      <c r="J1062" s="50"/>
      <c r="K1062" s="129" t="str">
        <f>IFERROR(VLOOKUP(B1062,BD_CONTROL!$A$5:$M$4235,11,0),"")</f>
        <v>INSTALADO - OPERANDO</v>
      </c>
      <c r="L1062" s="117">
        <f>IFERROR(VLOOKUP(B1062,BD_CONTROL!$A$5:$M$4235,12,0),"")</f>
        <v>46132</v>
      </c>
      <c r="M1062" s="118" t="str">
        <f>IFERROR(VLOOKUP(B1062,BD_CONTROL!$A$5:$M$4235,13,0),"")</f>
        <v>Cargado desde DB instalación 23/04/2026</v>
      </c>
    </row>
    <row r="1063" spans="1:13" ht="15" customHeight="1">
      <c r="A1063" s="42">
        <v>1058</v>
      </c>
      <c r="B1063" s="42" t="s">
        <v>8392</v>
      </c>
      <c r="C1063" s="43" t="s">
        <v>6735</v>
      </c>
      <c r="D1063" s="42" t="s">
        <v>5640</v>
      </c>
      <c r="E1063" s="43" t="s">
        <v>5683</v>
      </c>
      <c r="F1063" s="43" t="s">
        <v>8353</v>
      </c>
      <c r="G1063" s="42" t="s">
        <v>6739</v>
      </c>
      <c r="H1063" s="43" t="s">
        <v>3449</v>
      </c>
      <c r="I1063" s="43" t="s">
        <v>6741</v>
      </c>
      <c r="J1063" s="55"/>
      <c r="K1063" s="129" t="str">
        <f>IFERROR(VLOOKUP(B1063,BD_CONTROL!$A$5:$M$4235,11,0),"")</f>
        <v>INSTALADO - OPERANDO</v>
      </c>
      <c r="L1063" s="120">
        <f>IFERROR(VLOOKUP(B1063,BD_CONTROL!$A$5:$M$4235,12,0),"")</f>
        <v>46113</v>
      </c>
      <c r="M1063" s="121" t="str">
        <f>IFERROR(VLOOKUP(B1063,BD_CONTROL!$A$5:$M$4235,13,0),"")</f>
        <v>Cargado desde DB instalación 23/04/2026</v>
      </c>
    </row>
    <row r="1064" spans="1:13" ht="15" customHeight="1">
      <c r="A1064" s="39">
        <v>1059</v>
      </c>
      <c r="B1064" s="39" t="s">
        <v>8393</v>
      </c>
      <c r="C1064" s="40" t="s">
        <v>6735</v>
      </c>
      <c r="D1064" s="39" t="s">
        <v>5640</v>
      </c>
      <c r="E1064" s="40" t="s">
        <v>3001</v>
      </c>
      <c r="F1064" s="40" t="s">
        <v>6175</v>
      </c>
      <c r="G1064" s="39" t="s">
        <v>6739</v>
      </c>
      <c r="H1064" s="40" t="s">
        <v>3449</v>
      </c>
      <c r="I1064" s="40" t="s">
        <v>6741</v>
      </c>
      <c r="J1064" s="50"/>
      <c r="K1064" s="116" t="str">
        <f>IFERROR(VLOOKUP(B1064,BD_CONTROL!$A$5:$M$4235,11,0),"")</f>
        <v>Instalado - Operando</v>
      </c>
      <c r="L1064" s="117">
        <f>IFERROR(VLOOKUP(B1064,BD_CONTROL!$A$5:$M$4235,12,0),"")</f>
        <v>46141</v>
      </c>
      <c r="M1064" s="118">
        <f>IFERROR(VLOOKUP(B1064,BD_CONTROL!$A$5:$M$4235,13,0),"")</f>
        <v>0</v>
      </c>
    </row>
    <row r="1065" spans="1:13" ht="15" customHeight="1">
      <c r="A1065" s="42">
        <v>1060</v>
      </c>
      <c r="B1065" s="42" t="s">
        <v>8394</v>
      </c>
      <c r="C1065" s="43" t="s">
        <v>6735</v>
      </c>
      <c r="D1065" s="42" t="s">
        <v>5640</v>
      </c>
      <c r="E1065" s="43" t="s">
        <v>5640</v>
      </c>
      <c r="F1065" s="43" t="s">
        <v>5647</v>
      </c>
      <c r="G1065" s="42" t="s">
        <v>6739</v>
      </c>
      <c r="H1065" s="43" t="s">
        <v>3449</v>
      </c>
      <c r="I1065" s="43" t="s">
        <v>6741</v>
      </c>
      <c r="J1065" s="55"/>
      <c r="K1065" s="129" t="str">
        <f>IFERROR(VLOOKUP(B1065,BD_CONTROL!$A$5:$M$4235,11,0),"")</f>
        <v>INSTALADO - OPERANDO</v>
      </c>
      <c r="L1065" s="120">
        <f>IFERROR(VLOOKUP(B1065,BD_CONTROL!$A$5:$M$4235,12,0),"")</f>
        <v>46111</v>
      </c>
      <c r="M1065" s="121" t="str">
        <f>IFERROR(VLOOKUP(B1065,BD_CONTROL!$A$5:$M$4235,13,0),"")</f>
        <v>Cargado desde DB instalación 23/04/2026</v>
      </c>
    </row>
    <row r="1066" spans="1:13" ht="15" customHeight="1">
      <c r="A1066" s="39">
        <v>1061</v>
      </c>
      <c r="B1066" s="39" t="s">
        <v>8395</v>
      </c>
      <c r="C1066" s="40" t="s">
        <v>6735</v>
      </c>
      <c r="D1066" s="39" t="s">
        <v>5640</v>
      </c>
      <c r="E1066" s="40" t="s">
        <v>5687</v>
      </c>
      <c r="F1066" s="40" t="s">
        <v>8396</v>
      </c>
      <c r="G1066" s="39" t="s">
        <v>6739</v>
      </c>
      <c r="H1066" s="40" t="s">
        <v>3449</v>
      </c>
      <c r="I1066" s="40" t="s">
        <v>6741</v>
      </c>
      <c r="J1066" s="50"/>
      <c r="K1066" s="116" t="str">
        <f>IFERROR(VLOOKUP(B1066,BD_CONTROL!$A$5:$M$4235,11,0),"")</f>
        <v>Instalado - Operando</v>
      </c>
      <c r="L1066" s="117">
        <f>IFERROR(VLOOKUP(B1066,BD_CONTROL!$A$5:$M$4235,12,0),"")</f>
        <v>46142</v>
      </c>
      <c r="M1066" s="118">
        <f>IFERROR(VLOOKUP(B1066,BD_CONTROL!$A$5:$M$4235,13,0),"")</f>
        <v>0</v>
      </c>
    </row>
    <row r="1067" spans="1:13" ht="15" customHeight="1">
      <c r="A1067" s="42">
        <v>1062</v>
      </c>
      <c r="B1067" s="42" t="s">
        <v>8397</v>
      </c>
      <c r="C1067" s="43" t="s">
        <v>6735</v>
      </c>
      <c r="D1067" s="42" t="s">
        <v>5640</v>
      </c>
      <c r="E1067" s="43" t="s">
        <v>5731</v>
      </c>
      <c r="F1067" s="43" t="s">
        <v>5731</v>
      </c>
      <c r="G1067" s="42" t="s">
        <v>6739</v>
      </c>
      <c r="H1067" s="43" t="s">
        <v>3449</v>
      </c>
      <c r="I1067" s="43" t="s">
        <v>6741</v>
      </c>
      <c r="J1067" s="55"/>
      <c r="K1067" s="129" t="str">
        <f>IFERROR(VLOOKUP(B1067,BD_CONTROL!$A$5:$M$4235,11,0),"")</f>
        <v>INSTALADO - OPERANDO</v>
      </c>
      <c r="L1067" s="120">
        <f>IFERROR(VLOOKUP(B1067,BD_CONTROL!$A$5:$M$4235,12,0),"")</f>
        <v>46120</v>
      </c>
      <c r="M1067" s="121" t="str">
        <f>IFERROR(VLOOKUP(B1067,BD_CONTROL!$A$5:$M$4235,13,0),"")</f>
        <v>Cargado desde DB instalación 23/04/2026</v>
      </c>
    </row>
    <row r="1068" spans="1:13" ht="15" customHeight="1">
      <c r="A1068" s="39">
        <v>1063</v>
      </c>
      <c r="B1068" s="39" t="s">
        <v>8398</v>
      </c>
      <c r="C1068" s="40" t="s">
        <v>6735</v>
      </c>
      <c r="D1068" s="39" t="s">
        <v>5640</v>
      </c>
      <c r="E1068" s="40" t="s">
        <v>5698</v>
      </c>
      <c r="F1068" s="40" t="s">
        <v>8399</v>
      </c>
      <c r="G1068" s="39" t="s">
        <v>6739</v>
      </c>
      <c r="H1068" s="40" t="s">
        <v>3449</v>
      </c>
      <c r="I1068" s="40" t="s">
        <v>6741</v>
      </c>
      <c r="J1068" s="50"/>
      <c r="K1068" s="129" t="str">
        <f>IFERROR(VLOOKUP(B1068,BD_CONTROL!$A$5:$M$4235,11,0),"")</f>
        <v>INSTALADO - OPERANDO</v>
      </c>
      <c r="L1068" s="117">
        <f>IFERROR(VLOOKUP(B1068,BD_CONTROL!$A$5:$M$4235,12,0),"")</f>
        <v>46113</v>
      </c>
      <c r="M1068" s="118" t="str">
        <f>IFERROR(VLOOKUP(B1068,BD_CONTROL!$A$5:$M$4235,13,0),"")</f>
        <v>Cargado desde DB instalación 23/04/2026</v>
      </c>
    </row>
    <row r="1069" spans="1:13" ht="15" customHeight="1">
      <c r="A1069" s="42">
        <v>1064</v>
      </c>
      <c r="B1069" s="42" t="s">
        <v>8400</v>
      </c>
      <c r="C1069" s="43" t="s">
        <v>6735</v>
      </c>
      <c r="D1069" s="42" t="s">
        <v>5640</v>
      </c>
      <c r="E1069" s="43" t="s">
        <v>5717</v>
      </c>
      <c r="F1069" s="43" t="s">
        <v>8377</v>
      </c>
      <c r="G1069" s="42" t="s">
        <v>6739</v>
      </c>
      <c r="H1069" s="43" t="s">
        <v>3449</v>
      </c>
      <c r="I1069" s="43" t="s">
        <v>6741</v>
      </c>
      <c r="J1069" s="55"/>
      <c r="K1069" s="129" t="str">
        <f>IFERROR(VLOOKUP(B1069,BD_CONTROL!$A$5:$M$4235,11,0),"")</f>
        <v>INSTALADO - OPERANDO</v>
      </c>
      <c r="L1069" s="120">
        <f>IFERROR(VLOOKUP(B1069,BD_CONTROL!$A$5:$M$4235,12,0),"")</f>
        <v>46111</v>
      </c>
      <c r="M1069" s="121" t="str">
        <f>IFERROR(VLOOKUP(B1069,BD_CONTROL!$A$5:$M$4235,13,0),"")</f>
        <v>Cargado desde DB instalación 23/04/2026</v>
      </c>
    </row>
    <row r="1070" spans="1:13" ht="15" customHeight="1">
      <c r="A1070" s="39">
        <v>1065</v>
      </c>
      <c r="B1070" s="39" t="s">
        <v>8401</v>
      </c>
      <c r="C1070" s="40" t="s">
        <v>6735</v>
      </c>
      <c r="D1070" s="39" t="s">
        <v>5640</v>
      </c>
      <c r="E1070" s="40" t="s">
        <v>5700</v>
      </c>
      <c r="F1070" s="40" t="s">
        <v>5701</v>
      </c>
      <c r="G1070" s="39" t="s">
        <v>6739</v>
      </c>
      <c r="H1070" s="40" t="s">
        <v>3449</v>
      </c>
      <c r="I1070" s="40" t="s">
        <v>6741</v>
      </c>
      <c r="J1070" s="50"/>
      <c r="K1070" s="129" t="str">
        <f>IFERROR(VLOOKUP(B1070,BD_CONTROL!$A$5:$M$4235,11,0),"")</f>
        <v>INSTALADO - OPERANDO</v>
      </c>
      <c r="L1070" s="117">
        <f>IFERROR(VLOOKUP(B1070,BD_CONTROL!$A$5:$M$4235,12,0),"")</f>
        <v>46118</v>
      </c>
      <c r="M1070" s="118" t="str">
        <f>IFERROR(VLOOKUP(B1070,BD_CONTROL!$A$5:$M$4235,13,0),"")</f>
        <v>Cargado desde DB instalación 23/04/2026</v>
      </c>
    </row>
    <row r="1071" spans="1:13" ht="15" customHeight="1">
      <c r="A1071" s="42">
        <v>1066</v>
      </c>
      <c r="B1071" s="42" t="s">
        <v>8402</v>
      </c>
      <c r="C1071" s="43" t="s">
        <v>6735</v>
      </c>
      <c r="D1071" s="42" t="s">
        <v>5640</v>
      </c>
      <c r="E1071" s="43" t="s">
        <v>5680</v>
      </c>
      <c r="F1071" s="43" t="s">
        <v>5680</v>
      </c>
      <c r="G1071" s="42" t="s">
        <v>6739</v>
      </c>
      <c r="H1071" s="43" t="s">
        <v>3449</v>
      </c>
      <c r="I1071" s="43" t="s">
        <v>6741</v>
      </c>
      <c r="J1071" s="55"/>
      <c r="K1071" s="129" t="str">
        <f>IFERROR(VLOOKUP(B1071,BD_CONTROL!$A$5:$M$4235,11,0),"")</f>
        <v>INSTALADO - OPERANDO</v>
      </c>
      <c r="L1071" s="120">
        <f>IFERROR(VLOOKUP(B1071,BD_CONTROL!$A$5:$M$4235,12,0),"")</f>
        <v>46113</v>
      </c>
      <c r="M1071" s="121" t="str">
        <f>IFERROR(VLOOKUP(B1071,BD_CONTROL!$A$5:$M$4235,13,0),"")</f>
        <v>Cargado desde DB instalación 23/04/2026</v>
      </c>
    </row>
    <row r="1072" spans="1:13" ht="15" customHeight="1">
      <c r="A1072" s="39">
        <v>1067</v>
      </c>
      <c r="B1072" s="39" t="s">
        <v>8403</v>
      </c>
      <c r="C1072" s="40" t="s">
        <v>6735</v>
      </c>
      <c r="D1072" s="39" t="s">
        <v>5640</v>
      </c>
      <c r="E1072" s="40" t="s">
        <v>5683</v>
      </c>
      <c r="F1072" s="40" t="s">
        <v>8353</v>
      </c>
      <c r="G1072" s="39" t="s">
        <v>6739</v>
      </c>
      <c r="H1072" s="40" t="s">
        <v>3449</v>
      </c>
      <c r="I1072" s="40" t="s">
        <v>6741</v>
      </c>
      <c r="J1072" s="50"/>
      <c r="K1072" s="129" t="str">
        <f>IFERROR(VLOOKUP(B1072,BD_CONTROL!$A$5:$M$4235,11,0),"")</f>
        <v>INSTALADO - OPERANDO</v>
      </c>
      <c r="L1072" s="117">
        <f>IFERROR(VLOOKUP(B1072,BD_CONTROL!$A$5:$M$4235,12,0),"")</f>
        <v>46113</v>
      </c>
      <c r="M1072" s="118" t="str">
        <f>IFERROR(VLOOKUP(B1072,BD_CONTROL!$A$5:$M$4235,13,0),"")</f>
        <v>Cargado desde DB instalación 23/04/2026</v>
      </c>
    </row>
    <row r="1073" spans="1:13" ht="15" customHeight="1">
      <c r="A1073" s="42">
        <v>1068</v>
      </c>
      <c r="B1073" s="42" t="s">
        <v>8404</v>
      </c>
      <c r="C1073" s="43" t="s">
        <v>6735</v>
      </c>
      <c r="D1073" s="42" t="s">
        <v>5640</v>
      </c>
      <c r="E1073" s="43" t="s">
        <v>5997</v>
      </c>
      <c r="F1073" s="43" t="s">
        <v>8405</v>
      </c>
      <c r="G1073" s="42" t="s">
        <v>6739</v>
      </c>
      <c r="H1073" s="43" t="s">
        <v>3449</v>
      </c>
      <c r="I1073" s="43" t="s">
        <v>6741</v>
      </c>
      <c r="J1073" s="55"/>
      <c r="K1073" s="129" t="str">
        <f>IFERROR(VLOOKUP(B1073,BD_CONTROL!$A$5:$M$4235,11,0),"")</f>
        <v>INSTALADO - OPERANDO</v>
      </c>
      <c r="L1073" s="120">
        <f>IFERROR(VLOOKUP(B1073,BD_CONTROL!$A$5:$M$4235,12,0),"")</f>
        <v>46118</v>
      </c>
      <c r="M1073" s="121" t="str">
        <f>IFERROR(VLOOKUP(B1073,BD_CONTROL!$A$5:$M$4235,13,0),"")</f>
        <v>Cargado desde DB instalación 23/04/2026</v>
      </c>
    </row>
    <row r="1074" spans="1:13" ht="15" customHeight="1">
      <c r="A1074" s="39">
        <v>1069</v>
      </c>
      <c r="B1074" s="39" t="s">
        <v>8406</v>
      </c>
      <c r="C1074" s="40" t="s">
        <v>6735</v>
      </c>
      <c r="D1074" s="39" t="s">
        <v>5640</v>
      </c>
      <c r="E1074" s="40" t="s">
        <v>4099</v>
      </c>
      <c r="F1074" s="40" t="s">
        <v>8407</v>
      </c>
      <c r="G1074" s="39" t="s">
        <v>6739</v>
      </c>
      <c r="H1074" s="40" t="s">
        <v>3449</v>
      </c>
      <c r="I1074" s="40" t="s">
        <v>6741</v>
      </c>
      <c r="J1074" s="50"/>
      <c r="K1074" s="129" t="str">
        <f>IFERROR(VLOOKUP(B1074,BD_CONTROL!$A$5:$M$4235,11,0),"")</f>
        <v>INSTALADO - OPERANDO</v>
      </c>
      <c r="L1074" s="117">
        <f>IFERROR(VLOOKUP(B1074,BD_CONTROL!$A$5:$M$4235,12,0),"")</f>
        <v>46134</v>
      </c>
      <c r="M1074" s="118" t="str">
        <f>IFERROR(VLOOKUP(B1074,BD_CONTROL!$A$5:$M$4235,13,0),"")</f>
        <v>Cargado desde DB instalación 23/04/2026</v>
      </c>
    </row>
    <row r="1075" spans="1:13" ht="15" customHeight="1">
      <c r="A1075" s="42">
        <v>1070</v>
      </c>
      <c r="B1075" s="42" t="s">
        <v>8408</v>
      </c>
      <c r="C1075" s="43" t="s">
        <v>6735</v>
      </c>
      <c r="D1075" s="42" t="s">
        <v>5640</v>
      </c>
      <c r="E1075" s="43" t="s">
        <v>5710</v>
      </c>
      <c r="F1075" s="43" t="s">
        <v>5710</v>
      </c>
      <c r="G1075" s="42" t="s">
        <v>6739</v>
      </c>
      <c r="H1075" s="43" t="s">
        <v>3449</v>
      </c>
      <c r="I1075" s="43" t="s">
        <v>6741</v>
      </c>
      <c r="J1075" s="55"/>
      <c r="K1075" s="119" t="str">
        <f>IFERROR(VLOOKUP(B1075,BD_CONTROL!$A$5:$M$4235,11,0),"")</f>
        <v>Instalado - Operando</v>
      </c>
      <c r="L1075" s="120">
        <f>IFERROR(VLOOKUP(B1075,BD_CONTROL!$A$5:$M$4235,12,0),"")</f>
        <v>46147</v>
      </c>
      <c r="M1075" s="121">
        <f>IFERROR(VLOOKUP(B1075,BD_CONTROL!$A$5:$M$4235,13,0),"")</f>
        <v>0</v>
      </c>
    </row>
    <row r="1076" spans="1:13" ht="15" customHeight="1">
      <c r="A1076" s="39">
        <v>1071</v>
      </c>
      <c r="B1076" s="39" t="s">
        <v>8409</v>
      </c>
      <c r="C1076" s="40" t="s">
        <v>6735</v>
      </c>
      <c r="D1076" s="39" t="s">
        <v>5640</v>
      </c>
      <c r="E1076" s="40" t="s">
        <v>5944</v>
      </c>
      <c r="F1076" s="40" t="s">
        <v>8410</v>
      </c>
      <c r="G1076" s="39" t="s">
        <v>6739</v>
      </c>
      <c r="H1076" s="40" t="s">
        <v>3449</v>
      </c>
      <c r="I1076" s="40" t="s">
        <v>6741</v>
      </c>
      <c r="J1076" s="50"/>
      <c r="K1076" s="129" t="str">
        <f>IFERROR(VLOOKUP(B1076,BD_CONTROL!$A$5:$M$4235,11,0),"")</f>
        <v>INSTALADO - OPERANDO</v>
      </c>
      <c r="L1076" s="117">
        <f>IFERROR(VLOOKUP(B1076,BD_CONTROL!$A$5:$M$4235,12,0),"")</f>
        <v>46111</v>
      </c>
      <c r="M1076" s="118" t="str">
        <f>IFERROR(VLOOKUP(B1076,BD_CONTROL!$A$5:$M$4235,13,0),"")</f>
        <v>Cargado desde DB instalación 23/04/2026</v>
      </c>
    </row>
    <row r="1077" spans="1:13" ht="15" customHeight="1">
      <c r="A1077" s="42">
        <v>1072</v>
      </c>
      <c r="B1077" s="42" t="s">
        <v>8411</v>
      </c>
      <c r="C1077" s="43" t="s">
        <v>6735</v>
      </c>
      <c r="D1077" s="42" t="s">
        <v>5640</v>
      </c>
      <c r="E1077" s="43" t="s">
        <v>6159</v>
      </c>
      <c r="F1077" s="43" t="s">
        <v>6159</v>
      </c>
      <c r="G1077" s="42" t="s">
        <v>6739</v>
      </c>
      <c r="H1077" s="43" t="s">
        <v>3449</v>
      </c>
      <c r="I1077" s="43" t="s">
        <v>6741</v>
      </c>
      <c r="J1077" s="55"/>
      <c r="K1077" s="129" t="str">
        <f>IFERROR(VLOOKUP(B1077,BD_CONTROL!$A$5:$M$4235,11,0),"")</f>
        <v>INSTALADO - OPERANDO</v>
      </c>
      <c r="L1077" s="120">
        <f>IFERROR(VLOOKUP(B1077,BD_CONTROL!$A$5:$M$4235,12,0),"")</f>
        <v>46122</v>
      </c>
      <c r="M1077" s="121" t="str">
        <f>IFERROR(VLOOKUP(B1077,BD_CONTROL!$A$5:$M$4235,13,0),"")</f>
        <v>Cargado desde DB instalación 23/04/2026</v>
      </c>
    </row>
    <row r="1078" spans="1:13" ht="15" customHeight="1">
      <c r="A1078" s="39">
        <v>1073</v>
      </c>
      <c r="B1078" s="39" t="s">
        <v>8412</v>
      </c>
      <c r="C1078" s="40" t="s">
        <v>6735</v>
      </c>
      <c r="D1078" s="39" t="s">
        <v>5640</v>
      </c>
      <c r="E1078" s="40" t="s">
        <v>5661</v>
      </c>
      <c r="F1078" s="40" t="s">
        <v>8327</v>
      </c>
      <c r="G1078" s="39" t="s">
        <v>6739</v>
      </c>
      <c r="H1078" s="40" t="s">
        <v>3449</v>
      </c>
      <c r="I1078" s="40" t="s">
        <v>6741</v>
      </c>
      <c r="J1078" s="50"/>
      <c r="K1078" s="129" t="str">
        <f>IFERROR(VLOOKUP(B1078,BD_CONTROL!$A$5:$M$4235,11,0),"")</f>
        <v>INSTALADO - OPERANDO</v>
      </c>
      <c r="L1078" s="117">
        <f>IFERROR(VLOOKUP(B1078,BD_CONTROL!$A$5:$M$4235,12,0),"")</f>
        <v>46119</v>
      </c>
      <c r="M1078" s="118" t="str">
        <f>IFERROR(VLOOKUP(B1078,BD_CONTROL!$A$5:$M$4235,13,0),"")</f>
        <v>Cargado desde DB instalación 23/04/2026</v>
      </c>
    </row>
    <row r="1079" spans="1:13" ht="15" customHeight="1">
      <c r="A1079" s="42">
        <v>1074</v>
      </c>
      <c r="B1079" s="42" t="s">
        <v>8413</v>
      </c>
      <c r="C1079" s="43" t="s">
        <v>6735</v>
      </c>
      <c r="D1079" s="42" t="s">
        <v>5640</v>
      </c>
      <c r="E1079" s="43" t="s">
        <v>5640</v>
      </c>
      <c r="F1079" s="43" t="s">
        <v>5647</v>
      </c>
      <c r="G1079" s="42" t="s">
        <v>6739</v>
      </c>
      <c r="H1079" s="43" t="s">
        <v>3449</v>
      </c>
      <c r="I1079" s="43" t="s">
        <v>6741</v>
      </c>
      <c r="J1079" s="55"/>
      <c r="K1079" s="129" t="str">
        <f>IFERROR(VLOOKUP(B1079,BD_CONTROL!$A$5:$M$4235,11,0),"")</f>
        <v>INSTALADO - OPERANDO</v>
      </c>
      <c r="L1079" s="120">
        <f>IFERROR(VLOOKUP(B1079,BD_CONTROL!$A$5:$M$4235,12,0),"")</f>
        <v>46108</v>
      </c>
      <c r="M1079" s="121" t="str">
        <f>IFERROR(VLOOKUP(B1079,BD_CONTROL!$A$5:$M$4235,13,0),"")</f>
        <v>Cargado desde DB instalación 23/04/2026</v>
      </c>
    </row>
    <row r="1080" spans="1:13" ht="15" customHeight="1">
      <c r="A1080" s="39">
        <v>1075</v>
      </c>
      <c r="B1080" s="39" t="s">
        <v>8414</v>
      </c>
      <c r="C1080" s="40" t="s">
        <v>6735</v>
      </c>
      <c r="D1080" s="39" t="s">
        <v>5640</v>
      </c>
      <c r="E1080" s="40" t="s">
        <v>5640</v>
      </c>
      <c r="F1080" s="40" t="s">
        <v>5647</v>
      </c>
      <c r="G1080" s="39" t="s">
        <v>6739</v>
      </c>
      <c r="H1080" s="40" t="s">
        <v>3449</v>
      </c>
      <c r="I1080" s="40" t="s">
        <v>6741</v>
      </c>
      <c r="J1080" s="50"/>
      <c r="K1080" s="129" t="str">
        <f>IFERROR(VLOOKUP(B1080,BD_CONTROL!$A$5:$M$4235,11,0),"")</f>
        <v>INSTALADO - OPERANDO</v>
      </c>
      <c r="L1080" s="117">
        <f>IFERROR(VLOOKUP(B1080,BD_CONTROL!$A$5:$M$4235,12,0),"")</f>
        <v>46112</v>
      </c>
      <c r="M1080" s="118" t="str">
        <f>IFERROR(VLOOKUP(B1080,BD_CONTROL!$A$5:$M$4235,13,0),"")</f>
        <v>Cargado desde DB instalación 23/04/2026</v>
      </c>
    </row>
    <row r="1081" spans="1:13" ht="15" customHeight="1">
      <c r="A1081" s="42">
        <v>1076</v>
      </c>
      <c r="B1081" s="42" t="s">
        <v>8415</v>
      </c>
      <c r="C1081" s="43" t="s">
        <v>6735</v>
      </c>
      <c r="D1081" s="42" t="s">
        <v>5640</v>
      </c>
      <c r="E1081" s="43" t="s">
        <v>5640</v>
      </c>
      <c r="F1081" s="43" t="s">
        <v>5647</v>
      </c>
      <c r="G1081" s="42" t="s">
        <v>6739</v>
      </c>
      <c r="H1081" s="43" t="s">
        <v>3449</v>
      </c>
      <c r="I1081" s="43" t="s">
        <v>6741</v>
      </c>
      <c r="J1081" s="55"/>
      <c r="K1081" s="129" t="str">
        <f>IFERROR(VLOOKUP(B1081,BD_CONTROL!$A$5:$M$4235,11,0),"")</f>
        <v>INSTALADO - OPERANDO</v>
      </c>
      <c r="L1081" s="120">
        <f>IFERROR(VLOOKUP(B1081,BD_CONTROL!$A$5:$M$4235,12,0),"")</f>
        <v>46112</v>
      </c>
      <c r="M1081" s="121" t="str">
        <f>IFERROR(VLOOKUP(B1081,BD_CONTROL!$A$5:$M$4235,13,0),"")</f>
        <v>Cargado desde DB instalación 23/04/2026</v>
      </c>
    </row>
    <row r="1082" spans="1:13" ht="15" customHeight="1">
      <c r="A1082" s="39">
        <v>1077</v>
      </c>
      <c r="B1082" s="39" t="s">
        <v>8416</v>
      </c>
      <c r="C1082" s="40" t="s">
        <v>6735</v>
      </c>
      <c r="D1082" s="39" t="s">
        <v>5640</v>
      </c>
      <c r="E1082" s="40" t="s">
        <v>5640</v>
      </c>
      <c r="F1082" s="40" t="s">
        <v>5647</v>
      </c>
      <c r="G1082" s="39" t="s">
        <v>6739</v>
      </c>
      <c r="H1082" s="40" t="s">
        <v>3449</v>
      </c>
      <c r="I1082" s="40" t="s">
        <v>6741</v>
      </c>
      <c r="J1082" s="50"/>
      <c r="K1082" s="129" t="str">
        <f>IFERROR(VLOOKUP(B1082,BD_CONTROL!$A$5:$M$4235,11,0),"")</f>
        <v>INSTALADO - OPERANDO</v>
      </c>
      <c r="L1082" s="117">
        <f>IFERROR(VLOOKUP(B1082,BD_CONTROL!$A$5:$M$4235,12,0),"")</f>
        <v>46113</v>
      </c>
      <c r="M1082" s="118" t="str">
        <f>IFERROR(VLOOKUP(B1082,BD_CONTROL!$A$5:$M$4235,13,0),"")</f>
        <v>Cargado desde DB instalación 23/04/2026</v>
      </c>
    </row>
    <row r="1083" spans="1:13" ht="15" customHeight="1">
      <c r="A1083" s="42">
        <v>1078</v>
      </c>
      <c r="B1083" s="42" t="s">
        <v>8417</v>
      </c>
      <c r="C1083" s="43" t="s">
        <v>6735</v>
      </c>
      <c r="D1083" s="42" t="s">
        <v>5640</v>
      </c>
      <c r="E1083" s="43" t="s">
        <v>6181</v>
      </c>
      <c r="F1083" s="43" t="s">
        <v>6181</v>
      </c>
      <c r="G1083" s="42" t="s">
        <v>6739</v>
      </c>
      <c r="H1083" s="43" t="s">
        <v>3449</v>
      </c>
      <c r="I1083" s="43" t="s">
        <v>6741</v>
      </c>
      <c r="J1083" s="55"/>
      <c r="K1083" s="119" t="str">
        <f>IFERROR(VLOOKUP(B1083,BD_CONTROL!$A$5:$M$4235,11,0),"")</f>
        <v>Instalado - Operando</v>
      </c>
      <c r="L1083" s="120">
        <f>IFERROR(VLOOKUP(B1083,BD_CONTROL!$A$5:$M$4235,12,0),"")</f>
        <v>46141</v>
      </c>
      <c r="M1083" s="121">
        <f>IFERROR(VLOOKUP(B1083,BD_CONTROL!$A$5:$M$4235,13,0),"")</f>
        <v>0</v>
      </c>
    </row>
    <row r="1084" spans="1:13" ht="15" customHeight="1">
      <c r="A1084" s="39">
        <v>1079</v>
      </c>
      <c r="B1084" s="39" t="s">
        <v>8418</v>
      </c>
      <c r="C1084" s="40" t="s">
        <v>6735</v>
      </c>
      <c r="D1084" s="39" t="s">
        <v>5640</v>
      </c>
      <c r="E1084" s="40" t="s">
        <v>5640</v>
      </c>
      <c r="F1084" s="40" t="s">
        <v>5647</v>
      </c>
      <c r="G1084" s="39" t="s">
        <v>6739</v>
      </c>
      <c r="H1084" s="40" t="s">
        <v>3449</v>
      </c>
      <c r="I1084" s="40" t="s">
        <v>6741</v>
      </c>
      <c r="J1084" s="50"/>
      <c r="K1084" s="129" t="str">
        <f>IFERROR(VLOOKUP(B1084,BD_CONTROL!$A$5:$M$4235,11,0),"")</f>
        <v>INSTALADO - OPERANDO</v>
      </c>
      <c r="L1084" s="117">
        <f>IFERROR(VLOOKUP(B1084,BD_CONTROL!$A$5:$M$4235,12,0),"")</f>
        <v>46112</v>
      </c>
      <c r="M1084" s="118" t="str">
        <f>IFERROR(VLOOKUP(B1084,BD_CONTROL!$A$5:$M$4235,13,0),"")</f>
        <v>Cargado desde DB instalación 23/04/2026</v>
      </c>
    </row>
    <row r="1085" spans="1:13" ht="15" customHeight="1">
      <c r="A1085" s="42">
        <v>1080</v>
      </c>
      <c r="B1085" s="42" t="s">
        <v>8419</v>
      </c>
      <c r="C1085" s="43" t="s">
        <v>6735</v>
      </c>
      <c r="D1085" s="42" t="s">
        <v>5640</v>
      </c>
      <c r="E1085" s="43" t="s">
        <v>6067</v>
      </c>
      <c r="F1085" s="43" t="s">
        <v>1172</v>
      </c>
      <c r="G1085" s="42" t="s">
        <v>6739</v>
      </c>
      <c r="H1085" s="43" t="s">
        <v>3449</v>
      </c>
      <c r="I1085" s="43" t="s">
        <v>6741</v>
      </c>
      <c r="J1085" s="55"/>
      <c r="K1085" s="129" t="str">
        <f>IFERROR(VLOOKUP(B1085,BD_CONTROL!$A$5:$M$4235,11,0),"")</f>
        <v>INSTALADO - OPERANDO</v>
      </c>
      <c r="L1085" s="120">
        <f>IFERROR(VLOOKUP(B1085,BD_CONTROL!$A$5:$M$4235,12,0),"")</f>
        <v>46121</v>
      </c>
      <c r="M1085" s="121" t="str">
        <f>IFERROR(VLOOKUP(B1085,BD_CONTROL!$A$5:$M$4235,13,0),"")</f>
        <v>Cargado desde DB instalación 23/04/2026</v>
      </c>
    </row>
    <row r="1086" spans="1:13" ht="15" customHeight="1">
      <c r="A1086" s="39">
        <v>1081</v>
      </c>
      <c r="B1086" s="39" t="s">
        <v>8420</v>
      </c>
      <c r="C1086" s="40" t="s">
        <v>6735</v>
      </c>
      <c r="D1086" s="39" t="s">
        <v>5640</v>
      </c>
      <c r="E1086" s="40" t="s">
        <v>5698</v>
      </c>
      <c r="F1086" s="40" t="s">
        <v>5902</v>
      </c>
      <c r="G1086" s="39" t="s">
        <v>6739</v>
      </c>
      <c r="H1086" s="40" t="s">
        <v>3449</v>
      </c>
      <c r="I1086" s="40" t="s">
        <v>6741</v>
      </c>
      <c r="J1086" s="50"/>
      <c r="K1086" s="129" t="str">
        <f>IFERROR(VLOOKUP(B1086,BD_CONTROL!$A$5:$M$4235,11,0),"")</f>
        <v>INSTALADO - OPERANDO</v>
      </c>
      <c r="L1086" s="117">
        <f>IFERROR(VLOOKUP(B1086,BD_CONTROL!$A$5:$M$4235,12,0),"")</f>
        <v>46122</v>
      </c>
      <c r="M1086" s="118" t="str">
        <f>IFERROR(VLOOKUP(B1086,BD_CONTROL!$A$5:$M$4235,13,0),"")</f>
        <v>Cargado desde DB instalación 23/04/2026</v>
      </c>
    </row>
    <row r="1087" spans="1:13" ht="15" customHeight="1">
      <c r="A1087" s="42">
        <v>1082</v>
      </c>
      <c r="B1087" s="42" t="s">
        <v>8421</v>
      </c>
      <c r="C1087" s="43" t="s">
        <v>6735</v>
      </c>
      <c r="D1087" s="42" t="s">
        <v>5640</v>
      </c>
      <c r="E1087" s="43" t="s">
        <v>5698</v>
      </c>
      <c r="F1087" s="43" t="s">
        <v>8422</v>
      </c>
      <c r="G1087" s="42" t="s">
        <v>6739</v>
      </c>
      <c r="H1087" s="43" t="s">
        <v>3449</v>
      </c>
      <c r="I1087" s="43" t="s">
        <v>6741</v>
      </c>
      <c r="J1087" s="55"/>
      <c r="K1087" s="129" t="str">
        <f>IFERROR(VLOOKUP(B1087,BD_CONTROL!$A$5:$M$4235,11,0),"")</f>
        <v>INSTALADO - OPERANDO</v>
      </c>
      <c r="L1087" s="120">
        <f>IFERROR(VLOOKUP(B1087,BD_CONTROL!$A$5:$M$4235,12,0),"")</f>
        <v>46118</v>
      </c>
      <c r="M1087" s="121" t="str">
        <f>IFERROR(VLOOKUP(B1087,BD_CONTROL!$A$5:$M$4235,13,0),"")</f>
        <v>Cargado desde DB instalación 23/04/2026</v>
      </c>
    </row>
    <row r="1088" spans="1:13" ht="15" customHeight="1">
      <c r="A1088" s="39">
        <v>1083</v>
      </c>
      <c r="B1088" s="39" t="s">
        <v>8423</v>
      </c>
      <c r="C1088" s="40" t="s">
        <v>6735</v>
      </c>
      <c r="D1088" s="39" t="s">
        <v>5640</v>
      </c>
      <c r="E1088" s="40" t="s">
        <v>5698</v>
      </c>
      <c r="F1088" s="40" t="s">
        <v>8399</v>
      </c>
      <c r="G1088" s="39" t="s">
        <v>6739</v>
      </c>
      <c r="H1088" s="40" t="s">
        <v>3449</v>
      </c>
      <c r="I1088" s="40" t="s">
        <v>6741</v>
      </c>
      <c r="J1088" s="50"/>
      <c r="K1088" s="129" t="str">
        <f>IFERROR(VLOOKUP(B1088,BD_CONTROL!$A$5:$M$4235,11,0),"")</f>
        <v>INSTALADO - OPERANDO</v>
      </c>
      <c r="L1088" s="117">
        <f>IFERROR(VLOOKUP(B1088,BD_CONTROL!$A$5:$M$4235,12,0),"")</f>
        <v>46113</v>
      </c>
      <c r="M1088" s="118" t="str">
        <f>IFERROR(VLOOKUP(B1088,BD_CONTROL!$A$5:$M$4235,13,0),"")</f>
        <v>Cargado desde DB instalación 23/04/2026</v>
      </c>
    </row>
    <row r="1089" spans="1:13" ht="15" customHeight="1">
      <c r="A1089" s="42">
        <v>1084</v>
      </c>
      <c r="B1089" s="42" t="s">
        <v>8424</v>
      </c>
      <c r="C1089" s="43" t="s">
        <v>6735</v>
      </c>
      <c r="D1089" s="42" t="s">
        <v>5640</v>
      </c>
      <c r="E1089" s="43" t="s">
        <v>5640</v>
      </c>
      <c r="F1089" s="43" t="s">
        <v>5647</v>
      </c>
      <c r="G1089" s="42" t="s">
        <v>6739</v>
      </c>
      <c r="H1089" s="43" t="s">
        <v>3449</v>
      </c>
      <c r="I1089" s="43" t="s">
        <v>6741</v>
      </c>
      <c r="J1089" s="55"/>
      <c r="K1089" s="129" t="str">
        <f>IFERROR(VLOOKUP(B1089,BD_CONTROL!$A$5:$M$4235,11,0),"")</f>
        <v>INSTALADO - OPERANDO</v>
      </c>
      <c r="L1089" s="120">
        <f>IFERROR(VLOOKUP(B1089,BD_CONTROL!$A$5:$M$4235,12,0),"")</f>
        <v>46101</v>
      </c>
      <c r="M1089" s="121" t="str">
        <f>IFERROR(VLOOKUP(B1089,BD_CONTROL!$A$5:$M$4235,13,0),"")</f>
        <v>Cargado desde DB instalación 23/04/2026</v>
      </c>
    </row>
    <row r="1090" spans="1:13" ht="15" customHeight="1">
      <c r="A1090" s="39">
        <v>1085</v>
      </c>
      <c r="B1090" s="39" t="s">
        <v>8425</v>
      </c>
      <c r="C1090" s="40" t="s">
        <v>6735</v>
      </c>
      <c r="D1090" s="39" t="s">
        <v>5640</v>
      </c>
      <c r="E1090" s="40" t="s">
        <v>5816</v>
      </c>
      <c r="F1090" s="40" t="s">
        <v>5816</v>
      </c>
      <c r="G1090" s="39" t="s">
        <v>6739</v>
      </c>
      <c r="H1090" s="40" t="s">
        <v>3449</v>
      </c>
      <c r="I1090" s="40" t="s">
        <v>6741</v>
      </c>
      <c r="J1090" s="50"/>
      <c r="K1090" s="116" t="str">
        <f>IFERROR(VLOOKUP(B1090,BD_CONTROL!$A$5:$M$4235,11,0),"")</f>
        <v>Instalado - Operando</v>
      </c>
      <c r="L1090" s="117">
        <f>IFERROR(VLOOKUP(B1090,BD_CONTROL!$A$5:$M$4235,12,0),"")</f>
        <v>46140</v>
      </c>
      <c r="M1090" s="118">
        <f>IFERROR(VLOOKUP(B1090,BD_CONTROL!$A$5:$M$4235,13,0),"")</f>
        <v>0</v>
      </c>
    </row>
    <row r="1091" spans="1:13" ht="15" customHeight="1">
      <c r="A1091" s="42">
        <v>1086</v>
      </c>
      <c r="B1091" s="42" t="s">
        <v>8426</v>
      </c>
      <c r="C1091" s="43" t="s">
        <v>6735</v>
      </c>
      <c r="D1091" s="42" t="s">
        <v>5640</v>
      </c>
      <c r="E1091" s="43" t="s">
        <v>5640</v>
      </c>
      <c r="F1091" s="43" t="s">
        <v>5647</v>
      </c>
      <c r="G1091" s="42" t="s">
        <v>6739</v>
      </c>
      <c r="H1091" s="43" t="s">
        <v>3449</v>
      </c>
      <c r="I1091" s="43" t="s">
        <v>6741</v>
      </c>
      <c r="J1091" s="55"/>
      <c r="K1091" s="129" t="str">
        <f>IFERROR(VLOOKUP(B1091,BD_CONTROL!$A$5:$M$4235,11,0),"")</f>
        <v>INSTALADO - OPERANDO</v>
      </c>
      <c r="L1091" s="120">
        <f>IFERROR(VLOOKUP(B1091,BD_CONTROL!$A$5:$M$4235,12,0),"")</f>
        <v>46111</v>
      </c>
      <c r="M1091" s="121" t="str">
        <f>IFERROR(VLOOKUP(B1091,BD_CONTROL!$A$5:$M$4235,13,0),"")</f>
        <v>Cargado desde DB instalación 23/04/2026</v>
      </c>
    </row>
    <row r="1092" spans="1:13" ht="15" customHeight="1">
      <c r="A1092" s="39">
        <v>1087</v>
      </c>
      <c r="B1092" s="39" t="s">
        <v>8427</v>
      </c>
      <c r="C1092" s="40" t="s">
        <v>6735</v>
      </c>
      <c r="D1092" s="39" t="s">
        <v>5640</v>
      </c>
      <c r="E1092" s="40" t="s">
        <v>5731</v>
      </c>
      <c r="F1092" s="40" t="s">
        <v>5731</v>
      </c>
      <c r="G1092" s="39" t="s">
        <v>6739</v>
      </c>
      <c r="H1092" s="40" t="s">
        <v>3449</v>
      </c>
      <c r="I1092" s="40" t="s">
        <v>6741</v>
      </c>
      <c r="J1092" s="50"/>
      <c r="K1092" s="129" t="str">
        <f>IFERROR(VLOOKUP(B1092,BD_CONTROL!$A$5:$M$4235,11,0),"")</f>
        <v>INSTALADO - OPERANDO</v>
      </c>
      <c r="L1092" s="117">
        <f>IFERROR(VLOOKUP(B1092,BD_CONTROL!$A$5:$M$4235,12,0),"")</f>
        <v>46121</v>
      </c>
      <c r="M1092" s="118" t="str">
        <f>IFERROR(VLOOKUP(B1092,BD_CONTROL!$A$5:$M$4235,13,0),"")</f>
        <v>Cargado desde DB instalación 23/04/2026</v>
      </c>
    </row>
    <row r="1093" spans="1:13" ht="15" customHeight="1">
      <c r="A1093" s="42">
        <v>1088</v>
      </c>
      <c r="B1093" s="42" t="s">
        <v>8428</v>
      </c>
      <c r="C1093" s="43" t="s">
        <v>6735</v>
      </c>
      <c r="D1093" s="42" t="s">
        <v>5640</v>
      </c>
      <c r="E1093" s="43" t="s">
        <v>5710</v>
      </c>
      <c r="F1093" s="43" t="s">
        <v>4287</v>
      </c>
      <c r="G1093" s="42" t="s">
        <v>6739</v>
      </c>
      <c r="H1093" s="43" t="s">
        <v>3449</v>
      </c>
      <c r="I1093" s="43" t="s">
        <v>6741</v>
      </c>
      <c r="J1093" s="55"/>
      <c r="K1093" s="119" t="str">
        <f>IFERROR(VLOOKUP(B1093,BD_CONTROL!$A$5:$M$4235,11,0),"")</f>
        <v>Instalado - Operando</v>
      </c>
      <c r="L1093" s="120">
        <f>IFERROR(VLOOKUP(B1093,BD_CONTROL!$A$5:$M$4235,12,0),"")</f>
        <v>46142</v>
      </c>
      <c r="M1093" s="121">
        <f>IFERROR(VLOOKUP(B1093,BD_CONTROL!$A$5:$M$4235,13,0),"")</f>
        <v>0</v>
      </c>
    </row>
    <row r="1094" spans="1:13" ht="15" customHeight="1">
      <c r="A1094" s="39">
        <v>1089</v>
      </c>
      <c r="B1094" s="39" t="s">
        <v>8429</v>
      </c>
      <c r="C1094" s="40" t="s">
        <v>6735</v>
      </c>
      <c r="D1094" s="39" t="s">
        <v>5640</v>
      </c>
      <c r="E1094" s="40" t="s">
        <v>5944</v>
      </c>
      <c r="F1094" s="40" t="s">
        <v>8430</v>
      </c>
      <c r="G1094" s="39" t="s">
        <v>6739</v>
      </c>
      <c r="H1094" s="40" t="s">
        <v>3449</v>
      </c>
      <c r="I1094" s="40" t="s">
        <v>6741</v>
      </c>
      <c r="J1094" s="50"/>
      <c r="K1094" s="129" t="str">
        <f>IFERROR(VLOOKUP(B1094,BD_CONTROL!$A$5:$M$4235,11,0),"")</f>
        <v>INSTALADO - OPERANDO</v>
      </c>
      <c r="L1094" s="117">
        <f>IFERROR(VLOOKUP(B1094,BD_CONTROL!$A$5:$M$4235,12,0),"")</f>
        <v>46120</v>
      </c>
      <c r="M1094" s="118" t="str">
        <f>IFERROR(VLOOKUP(B1094,BD_CONTROL!$A$5:$M$4235,13,0),"")</f>
        <v>Cargado desde DB instalación 23/04/2026</v>
      </c>
    </row>
    <row r="1095" spans="1:13" ht="15" customHeight="1">
      <c r="A1095" s="42">
        <v>1090</v>
      </c>
      <c r="B1095" s="42" t="s">
        <v>8431</v>
      </c>
      <c r="C1095" s="43" t="s">
        <v>6735</v>
      </c>
      <c r="D1095" s="42" t="s">
        <v>5640</v>
      </c>
      <c r="E1095" s="43" t="s">
        <v>6234</v>
      </c>
      <c r="F1095" s="43" t="s">
        <v>6234</v>
      </c>
      <c r="G1095" s="42" t="s">
        <v>6739</v>
      </c>
      <c r="H1095" s="43" t="s">
        <v>3449</v>
      </c>
      <c r="I1095" s="43" t="s">
        <v>6741</v>
      </c>
      <c r="J1095" s="55"/>
      <c r="K1095" s="129" t="str">
        <f>IFERROR(VLOOKUP(B1095,BD_CONTROL!$A$5:$M$4235,11,0),"")</f>
        <v>INSTALADO - OPERANDO</v>
      </c>
      <c r="L1095" s="120">
        <f>IFERROR(VLOOKUP(B1095,BD_CONTROL!$A$5:$M$4235,12,0),"")</f>
        <v>46125</v>
      </c>
      <c r="M1095" s="121" t="str">
        <f>IFERROR(VLOOKUP(B1095,BD_CONTROL!$A$5:$M$4235,13,0),"")</f>
        <v>Cargado desde DB instalación 23/04/2026</v>
      </c>
    </row>
    <row r="1096" spans="1:13" ht="15" customHeight="1">
      <c r="A1096" s="39">
        <v>1091</v>
      </c>
      <c r="B1096" s="39" t="s">
        <v>8432</v>
      </c>
      <c r="C1096" s="40" t="s">
        <v>6735</v>
      </c>
      <c r="D1096" s="39" t="s">
        <v>5640</v>
      </c>
      <c r="E1096" s="40" t="s">
        <v>5796</v>
      </c>
      <c r="F1096" s="40" t="s">
        <v>6041</v>
      </c>
      <c r="G1096" s="39" t="s">
        <v>6739</v>
      </c>
      <c r="H1096" s="40" t="s">
        <v>3449</v>
      </c>
      <c r="I1096" s="40" t="s">
        <v>6741</v>
      </c>
      <c r="J1096" s="50"/>
      <c r="K1096" s="116" t="str">
        <f>IFERROR(VLOOKUP(B1096,BD_CONTROL!$A$5:$M$4235,11,0),"")</f>
        <v>Instalado - Sin Señal</v>
      </c>
      <c r="L1096" s="117">
        <f>IFERROR(VLOOKUP(B1096,BD_CONTROL!$A$5:$M$4235,12,0),"")</f>
        <v>46143</v>
      </c>
      <c r="M1096" s="118" t="str">
        <f>IFERROR(VLOOKUP(B1096,BD_CONTROL!$A$5:$M$4235,13,0),"")</f>
        <v xml:space="preserve">Instalado, no operando, con reporte a mesa de ayuda
</v>
      </c>
    </row>
    <row r="1097" spans="1:13" ht="15" customHeight="1">
      <c r="A1097" s="42">
        <v>1092</v>
      </c>
      <c r="B1097" s="42" t="s">
        <v>8434</v>
      </c>
      <c r="C1097" s="43" t="s">
        <v>6735</v>
      </c>
      <c r="D1097" s="42" t="s">
        <v>5640</v>
      </c>
      <c r="E1097" s="43" t="s">
        <v>5803</v>
      </c>
      <c r="F1097" s="43" t="s">
        <v>5804</v>
      </c>
      <c r="G1097" s="42" t="s">
        <v>6739</v>
      </c>
      <c r="H1097" s="43" t="s">
        <v>3449</v>
      </c>
      <c r="I1097" s="43" t="s">
        <v>6741</v>
      </c>
      <c r="J1097" s="55"/>
      <c r="K1097" s="119" t="str">
        <f>IFERROR(VLOOKUP(B1097,BD_CONTROL!$A$5:$M$4235,11,0),"")</f>
        <v>Instalado - Operando</v>
      </c>
      <c r="L1097" s="120">
        <f>IFERROR(VLOOKUP(B1097,BD_CONTROL!$A$5:$M$4235,12,0),"")</f>
        <v>46149</v>
      </c>
      <c r="M1097" s="121">
        <f>IFERROR(VLOOKUP(B1097,BD_CONTROL!$A$5:$M$4235,13,0),"")</f>
        <v>0</v>
      </c>
    </row>
    <row r="1098" spans="1:13" ht="15" customHeight="1">
      <c r="A1098" s="39">
        <v>1093</v>
      </c>
      <c r="B1098" s="39" t="s">
        <v>8435</v>
      </c>
      <c r="C1098" s="40" t="s">
        <v>6735</v>
      </c>
      <c r="D1098" s="39" t="s">
        <v>5640</v>
      </c>
      <c r="E1098" s="40" t="s">
        <v>5640</v>
      </c>
      <c r="F1098" s="40" t="s">
        <v>5647</v>
      </c>
      <c r="G1098" s="39" t="s">
        <v>6739</v>
      </c>
      <c r="H1098" s="40" t="s">
        <v>3449</v>
      </c>
      <c r="I1098" s="40" t="s">
        <v>6741</v>
      </c>
      <c r="J1098" s="50"/>
      <c r="K1098" s="129" t="str">
        <f>IFERROR(VLOOKUP(B1098,BD_CONTROL!$A$5:$M$4235,11,0),"")</f>
        <v>INSTALADO - OPERANDO</v>
      </c>
      <c r="L1098" s="117">
        <f>IFERROR(VLOOKUP(B1098,BD_CONTROL!$A$5:$M$4235,12,0),"")</f>
        <v>46112</v>
      </c>
      <c r="M1098" s="118" t="str">
        <f>IFERROR(VLOOKUP(B1098,BD_CONTROL!$A$5:$M$4235,13,0),"")</f>
        <v>Cargado desde DB instalación 23/04/2026</v>
      </c>
    </row>
    <row r="1099" spans="1:13" ht="15" customHeight="1">
      <c r="A1099" s="42">
        <v>1094</v>
      </c>
      <c r="B1099" s="42" t="s">
        <v>8436</v>
      </c>
      <c r="C1099" s="43" t="s">
        <v>6735</v>
      </c>
      <c r="D1099" s="42" t="s">
        <v>5640</v>
      </c>
      <c r="E1099" s="43" t="s">
        <v>5640</v>
      </c>
      <c r="F1099" s="43" t="s">
        <v>5647</v>
      </c>
      <c r="G1099" s="42" t="s">
        <v>6739</v>
      </c>
      <c r="H1099" s="43" t="s">
        <v>3449</v>
      </c>
      <c r="I1099" s="43" t="s">
        <v>6741</v>
      </c>
      <c r="J1099" s="55"/>
      <c r="K1099" s="129" t="str">
        <f>IFERROR(VLOOKUP(B1099,BD_CONTROL!$A$5:$M$4235,11,0),"")</f>
        <v>INSTALADO - OPERANDO</v>
      </c>
      <c r="L1099" s="120">
        <f>IFERROR(VLOOKUP(B1099,BD_CONTROL!$A$5:$M$4235,12,0),"")</f>
        <v>46112</v>
      </c>
      <c r="M1099" s="121" t="str">
        <f>IFERROR(VLOOKUP(B1099,BD_CONTROL!$A$5:$M$4235,13,0),"")</f>
        <v>Cargado desde DB instalación 23/04/2026</v>
      </c>
    </row>
    <row r="1100" spans="1:13" ht="15" customHeight="1">
      <c r="A1100" s="39">
        <v>1095</v>
      </c>
      <c r="B1100" s="39" t="s">
        <v>8437</v>
      </c>
      <c r="C1100" s="40" t="s">
        <v>6735</v>
      </c>
      <c r="D1100" s="39" t="s">
        <v>5640</v>
      </c>
      <c r="E1100" s="40" t="s">
        <v>5729</v>
      </c>
      <c r="F1100" s="40" t="s">
        <v>8302</v>
      </c>
      <c r="G1100" s="39" t="s">
        <v>6739</v>
      </c>
      <c r="H1100" s="40" t="s">
        <v>3449</v>
      </c>
      <c r="I1100" s="40" t="s">
        <v>6741</v>
      </c>
      <c r="J1100" s="50"/>
      <c r="K1100" s="130" t="str">
        <f>IFERROR(VLOOKUP(B1100,BD_CONTROL!$A$5:$M$4235,11,0),"")</f>
        <v>INSTALADO - SIN SEÑAL</v>
      </c>
      <c r="L1100" s="117">
        <f>IFERROR(VLOOKUP(B1100,BD_CONTROL!$A$5:$M$4235,12,0),"")</f>
        <v>46135</v>
      </c>
      <c r="M1100" s="118" t="str">
        <f>IFERROR(VLOOKUP(B1100,BD_CONTROL!$A$5:$M$4235,13,0),"")</f>
        <v>Cargado desde DB instalación 23/04/2026</v>
      </c>
    </row>
    <row r="1101" spans="1:13" ht="15" customHeight="1">
      <c r="A1101" s="42">
        <v>1096</v>
      </c>
      <c r="B1101" s="42" t="s">
        <v>8438</v>
      </c>
      <c r="C1101" s="43" t="s">
        <v>6735</v>
      </c>
      <c r="D1101" s="42" t="s">
        <v>5640</v>
      </c>
      <c r="E1101" s="43" t="s">
        <v>5661</v>
      </c>
      <c r="F1101" s="43" t="s">
        <v>8327</v>
      </c>
      <c r="G1101" s="42" t="s">
        <v>6739</v>
      </c>
      <c r="H1101" s="43" t="s">
        <v>3449</v>
      </c>
      <c r="I1101" s="43" t="s">
        <v>6741</v>
      </c>
      <c r="J1101" s="55"/>
      <c r="K1101" s="129" t="str">
        <f>IFERROR(VLOOKUP(B1101,BD_CONTROL!$A$5:$M$4235,11,0),"")</f>
        <v>INSTALADO - OPERANDO</v>
      </c>
      <c r="L1101" s="120">
        <f>IFERROR(VLOOKUP(B1101,BD_CONTROL!$A$5:$M$4235,12,0),"")</f>
        <v>46118</v>
      </c>
      <c r="M1101" s="121" t="str">
        <f>IFERROR(VLOOKUP(B1101,BD_CONTROL!$A$5:$M$4235,13,0),"")</f>
        <v>Cargado desde DB instalación 23/04/2026</v>
      </c>
    </row>
    <row r="1102" spans="1:13" ht="15" customHeight="1">
      <c r="A1102" s="39">
        <v>1097</v>
      </c>
      <c r="B1102" s="39" t="s">
        <v>8439</v>
      </c>
      <c r="C1102" s="40" t="s">
        <v>6735</v>
      </c>
      <c r="D1102" s="39" t="s">
        <v>5640</v>
      </c>
      <c r="E1102" s="40" t="s">
        <v>5698</v>
      </c>
      <c r="F1102" s="40" t="s">
        <v>8399</v>
      </c>
      <c r="G1102" s="39" t="s">
        <v>6739</v>
      </c>
      <c r="H1102" s="40" t="s">
        <v>3449</v>
      </c>
      <c r="I1102" s="40" t="s">
        <v>6741</v>
      </c>
      <c r="J1102" s="50"/>
      <c r="K1102" s="129" t="str">
        <f>IFERROR(VLOOKUP(B1102,BD_CONTROL!$A$5:$M$4235,11,0),"")</f>
        <v>INSTALADO - OPERANDO</v>
      </c>
      <c r="L1102" s="117">
        <f>IFERROR(VLOOKUP(B1102,BD_CONTROL!$A$5:$M$4235,12,0),"")</f>
        <v>46113</v>
      </c>
      <c r="M1102" s="118" t="str">
        <f>IFERROR(VLOOKUP(B1102,BD_CONTROL!$A$5:$M$4235,13,0),"")</f>
        <v>Cargado desde DB instalación 23/04/2026</v>
      </c>
    </row>
    <row r="1103" spans="1:13" ht="15" customHeight="1">
      <c r="A1103" s="42">
        <v>1098</v>
      </c>
      <c r="B1103" s="42" t="s">
        <v>8440</v>
      </c>
      <c r="C1103" s="43" t="s">
        <v>6735</v>
      </c>
      <c r="D1103" s="42" t="s">
        <v>5640</v>
      </c>
      <c r="E1103" s="43" t="s">
        <v>5687</v>
      </c>
      <c r="F1103" s="43" t="s">
        <v>5687</v>
      </c>
      <c r="G1103" s="42" t="s">
        <v>6739</v>
      </c>
      <c r="H1103" s="43" t="s">
        <v>3449</v>
      </c>
      <c r="I1103" s="43" t="s">
        <v>6741</v>
      </c>
      <c r="J1103" s="55"/>
      <c r="K1103" s="129" t="str">
        <f>IFERROR(VLOOKUP(B1103,BD_CONTROL!$A$5:$M$4235,11,0),"")</f>
        <v>INSTALADO - OPERANDO</v>
      </c>
      <c r="L1103" s="120">
        <f>IFERROR(VLOOKUP(B1103,BD_CONTROL!$A$5:$M$4235,12,0),"")</f>
        <v>46135</v>
      </c>
      <c r="M1103" s="121" t="str">
        <f>IFERROR(VLOOKUP(B1103,BD_CONTROL!$A$5:$M$4235,13,0),"")</f>
        <v>Cargado desde DB instalación 23/04/2026</v>
      </c>
    </row>
    <row r="1104" spans="1:13" ht="15" customHeight="1">
      <c r="A1104" s="39">
        <v>1099</v>
      </c>
      <c r="B1104" s="39" t="s">
        <v>8441</v>
      </c>
      <c r="C1104" s="40" t="s">
        <v>6735</v>
      </c>
      <c r="D1104" s="39" t="s">
        <v>5640</v>
      </c>
      <c r="E1104" s="40" t="s">
        <v>5731</v>
      </c>
      <c r="F1104" s="40" t="s">
        <v>5731</v>
      </c>
      <c r="G1104" s="39" t="s">
        <v>6739</v>
      </c>
      <c r="H1104" s="40" t="s">
        <v>3449</v>
      </c>
      <c r="I1104" s="40" t="s">
        <v>6741</v>
      </c>
      <c r="J1104" s="50"/>
      <c r="K1104" s="129" t="str">
        <f>IFERROR(VLOOKUP(B1104,BD_CONTROL!$A$5:$M$4235,11,0),"")</f>
        <v>INSTALADO - OPERANDO</v>
      </c>
      <c r="L1104" s="117">
        <f>IFERROR(VLOOKUP(B1104,BD_CONTROL!$A$5:$M$4235,12,0),"")</f>
        <v>46121</v>
      </c>
      <c r="M1104" s="118" t="str">
        <f>IFERROR(VLOOKUP(B1104,BD_CONTROL!$A$5:$M$4235,13,0),"")</f>
        <v>Cargado desde DB instalación 23/04/2026</v>
      </c>
    </row>
    <row r="1105" spans="1:13" ht="15" customHeight="1">
      <c r="A1105" s="42">
        <v>1100</v>
      </c>
      <c r="B1105" s="42" t="s">
        <v>8442</v>
      </c>
      <c r="C1105" s="43" t="s">
        <v>6735</v>
      </c>
      <c r="D1105" s="42" t="s">
        <v>5640</v>
      </c>
      <c r="E1105" s="43" t="s">
        <v>5640</v>
      </c>
      <c r="F1105" s="43" t="s">
        <v>5647</v>
      </c>
      <c r="G1105" s="42" t="s">
        <v>6739</v>
      </c>
      <c r="H1105" s="43" t="s">
        <v>3449</v>
      </c>
      <c r="I1105" s="43" t="s">
        <v>6741</v>
      </c>
      <c r="J1105" s="55"/>
      <c r="K1105" s="129" t="str">
        <f>IFERROR(VLOOKUP(B1105,BD_CONTROL!$A$5:$M$4235,11,0),"")</f>
        <v>INSTALADO - OPERANDO</v>
      </c>
      <c r="L1105" s="120">
        <f>IFERROR(VLOOKUP(B1105,BD_CONTROL!$A$5:$M$4235,12,0),"")</f>
        <v>46105</v>
      </c>
      <c r="M1105" s="121" t="str">
        <f>IFERROR(VLOOKUP(B1105,BD_CONTROL!$A$5:$M$4235,13,0),"")</f>
        <v>Cargado desde DB instalación 23/04/2026</v>
      </c>
    </row>
    <row r="1106" spans="1:13" ht="15" customHeight="1">
      <c r="A1106" s="39">
        <v>1101</v>
      </c>
      <c r="B1106" s="39" t="s">
        <v>8443</v>
      </c>
      <c r="C1106" s="40" t="s">
        <v>6735</v>
      </c>
      <c r="D1106" s="39" t="s">
        <v>5640</v>
      </c>
      <c r="E1106" s="40" t="s">
        <v>5687</v>
      </c>
      <c r="F1106" s="40" t="s">
        <v>5687</v>
      </c>
      <c r="G1106" s="39" t="s">
        <v>6739</v>
      </c>
      <c r="H1106" s="40" t="s">
        <v>3449</v>
      </c>
      <c r="I1106" s="40" t="s">
        <v>6741</v>
      </c>
      <c r="J1106" s="50"/>
      <c r="K1106" s="129" t="str">
        <f>IFERROR(VLOOKUP(B1106,BD_CONTROL!$A$5:$M$4235,11,0),"")</f>
        <v>INSTALADO - OPERANDO</v>
      </c>
      <c r="L1106" s="117">
        <f>IFERROR(VLOOKUP(B1106,BD_CONTROL!$A$5:$M$4235,12,0),"")</f>
        <v>46135</v>
      </c>
      <c r="M1106" s="118" t="str">
        <f>IFERROR(VLOOKUP(B1106,BD_CONTROL!$A$5:$M$4235,13,0),"")</f>
        <v>Cargado desde DB instalación 23/04/2026</v>
      </c>
    </row>
    <row r="1107" spans="1:13" ht="15" customHeight="1">
      <c r="A1107" s="42">
        <v>1102</v>
      </c>
      <c r="B1107" s="42" t="s">
        <v>8444</v>
      </c>
      <c r="C1107" s="43" t="s">
        <v>6735</v>
      </c>
      <c r="D1107" s="42" t="s">
        <v>5640</v>
      </c>
      <c r="E1107" s="43" t="s">
        <v>5640</v>
      </c>
      <c r="F1107" s="43" t="s">
        <v>5647</v>
      </c>
      <c r="G1107" s="42" t="s">
        <v>6739</v>
      </c>
      <c r="H1107" s="43" t="s">
        <v>3449</v>
      </c>
      <c r="I1107" s="43" t="s">
        <v>6741</v>
      </c>
      <c r="J1107" s="55"/>
      <c r="K1107" s="129" t="str">
        <f>IFERROR(VLOOKUP(B1107,BD_CONTROL!$A$5:$M$4235,11,0),"")</f>
        <v>INSTALADO - OPERANDO</v>
      </c>
      <c r="L1107" s="120">
        <f>IFERROR(VLOOKUP(B1107,BD_CONTROL!$A$5:$M$4235,12,0),"")</f>
        <v>46112</v>
      </c>
      <c r="M1107" s="121" t="str">
        <f>IFERROR(VLOOKUP(B1107,BD_CONTROL!$A$5:$M$4235,13,0),"")</f>
        <v>Cargado desde DB instalación 23/04/2026</v>
      </c>
    </row>
    <row r="1108" spans="1:13" ht="15" customHeight="1">
      <c r="A1108" s="39">
        <v>1103</v>
      </c>
      <c r="B1108" s="39" t="s">
        <v>8445</v>
      </c>
      <c r="C1108" s="40" t="s">
        <v>6735</v>
      </c>
      <c r="D1108" s="39" t="s">
        <v>5640</v>
      </c>
      <c r="E1108" s="40" t="s">
        <v>5908</v>
      </c>
      <c r="F1108" s="40" t="s">
        <v>5908</v>
      </c>
      <c r="G1108" s="39" t="s">
        <v>6739</v>
      </c>
      <c r="H1108" s="40" t="s">
        <v>3449</v>
      </c>
      <c r="I1108" s="40" t="s">
        <v>6741</v>
      </c>
      <c r="J1108" s="50"/>
      <c r="K1108" s="116" t="str">
        <f>IFERROR(VLOOKUP(B1108,BD_CONTROL!$A$5:$M$4235,11,0),"")</f>
        <v>Visitado</v>
      </c>
      <c r="L1108" s="117">
        <f>IFERROR(VLOOKUP(B1108,BD_CONTROL!$A$5:$M$4235,12,0),"")</f>
        <v>46143</v>
      </c>
      <c r="M1108" s="118" t="str">
        <f>IFERROR(VLOOKUP(B1108,BD_CONTROL!$A$5:$M$4235,13,0),"")</f>
        <v>NO SE LOCALIZA UNIDAD MOVIL</v>
      </c>
    </row>
    <row r="1109" spans="1:13" ht="15" customHeight="1">
      <c r="A1109" s="42">
        <v>1104</v>
      </c>
      <c r="B1109" s="42" t="s">
        <v>8447</v>
      </c>
      <c r="C1109" s="43" t="s">
        <v>6735</v>
      </c>
      <c r="D1109" s="42" t="s">
        <v>5640</v>
      </c>
      <c r="E1109" s="43" t="s">
        <v>5888</v>
      </c>
      <c r="F1109" s="43" t="s">
        <v>8286</v>
      </c>
      <c r="G1109" s="42" t="s">
        <v>6739</v>
      </c>
      <c r="H1109" s="43" t="s">
        <v>3449</v>
      </c>
      <c r="I1109" s="43" t="s">
        <v>6741</v>
      </c>
      <c r="J1109" s="55"/>
      <c r="K1109" s="119" t="str">
        <f>IFERROR(VLOOKUP(B1109,BD_CONTROL!$A$5:$M$4235,11,0),"")</f>
        <v>Visitado</v>
      </c>
      <c r="L1109" s="120">
        <f>IFERROR(VLOOKUP(B1109,BD_CONTROL!$A$5:$M$4235,12,0),"")</f>
        <v>46143</v>
      </c>
      <c r="M1109" s="121" t="str">
        <f>IFERROR(VLOOKUP(B1109,BD_CONTROL!$A$5:$M$4235,13,0),"")</f>
        <v>NO SE LOCALIZA UNIDAD MOVIL</v>
      </c>
    </row>
    <row r="1110" spans="1:13" ht="15" customHeight="1">
      <c r="A1110" s="39">
        <v>1105</v>
      </c>
      <c r="B1110" s="39" t="s">
        <v>8448</v>
      </c>
      <c r="C1110" s="40" t="s">
        <v>6735</v>
      </c>
      <c r="D1110" s="39" t="s">
        <v>5640</v>
      </c>
      <c r="E1110" s="40" t="s">
        <v>5698</v>
      </c>
      <c r="F1110" s="40" t="s">
        <v>8399</v>
      </c>
      <c r="G1110" s="39" t="s">
        <v>6739</v>
      </c>
      <c r="H1110" s="40" t="s">
        <v>3449</v>
      </c>
      <c r="I1110" s="40" t="s">
        <v>6741</v>
      </c>
      <c r="J1110" s="50"/>
      <c r="K1110" s="116" t="str">
        <f>IFERROR(VLOOKUP(B1110,BD_CONTROL!$A$5:$M$4235,11,0),"")</f>
        <v>Visitado</v>
      </c>
      <c r="L1110" s="117">
        <f>IFERROR(VLOOKUP(B1110,BD_CONTROL!$A$5:$M$4235,12,0),"")</f>
        <v>46143</v>
      </c>
      <c r="M1110" s="118" t="str">
        <f>IFERROR(VLOOKUP(B1110,BD_CONTROL!$A$5:$M$4235,13,0),"")</f>
        <v>NO SE LOCALIZA UNIDAD MOVIL</v>
      </c>
    </row>
    <row r="1111" spans="1:13" ht="15" customHeight="1">
      <c r="A1111" s="42">
        <v>1106</v>
      </c>
      <c r="B1111" s="42" t="s">
        <v>8449</v>
      </c>
      <c r="C1111" s="43" t="s">
        <v>6735</v>
      </c>
      <c r="D1111" s="42" t="s">
        <v>5640</v>
      </c>
      <c r="E1111" s="43" t="s">
        <v>5640</v>
      </c>
      <c r="F1111" s="43" t="s">
        <v>5647</v>
      </c>
      <c r="G1111" s="42" t="s">
        <v>6739</v>
      </c>
      <c r="H1111" s="43" t="s">
        <v>3449</v>
      </c>
      <c r="I1111" s="43" t="s">
        <v>6741</v>
      </c>
      <c r="J1111" s="55"/>
      <c r="K1111" s="119" t="str">
        <f>IFERROR(VLOOKUP(B1111,BD_CONTROL!$A$5:$M$4235,11,0),"")</f>
        <v>Visitado</v>
      </c>
      <c r="L1111" s="120">
        <f>IFERROR(VLOOKUP(B1111,BD_CONTROL!$A$5:$M$4235,12,0),"")</f>
        <v>46142</v>
      </c>
      <c r="M1111" s="121" t="str">
        <f>IFERROR(VLOOKUP(B1111,BD_CONTROL!$A$5:$M$4235,13,0),"")</f>
        <v>NO SE LOCALIZA UNIDAD MOVIL</v>
      </c>
    </row>
    <row r="1112" spans="1:13" ht="15" customHeight="1">
      <c r="A1112" s="39">
        <v>1107</v>
      </c>
      <c r="B1112" s="39" t="s">
        <v>8450</v>
      </c>
      <c r="C1112" s="40" t="s">
        <v>6735</v>
      </c>
      <c r="D1112" s="39" t="s">
        <v>5640</v>
      </c>
      <c r="E1112" s="40" t="s">
        <v>5640</v>
      </c>
      <c r="F1112" s="40" t="s">
        <v>5647</v>
      </c>
      <c r="G1112" s="39" t="s">
        <v>6739</v>
      </c>
      <c r="H1112" s="40" t="s">
        <v>3449</v>
      </c>
      <c r="I1112" s="40" t="s">
        <v>6741</v>
      </c>
      <c r="J1112" s="50"/>
      <c r="K1112" s="119" t="str">
        <f>IFERROR(VLOOKUP(B1112,BD_CONTROL!$A$5:$M$4235,11,0),"")</f>
        <v>Visitado</v>
      </c>
      <c r="L1112" s="117">
        <f>IFERROR(VLOOKUP(B1112,BD_CONTROL!$A$5:$M$4235,12,0),"")</f>
        <v>46142</v>
      </c>
      <c r="M1112" s="118" t="str">
        <f>IFERROR(VLOOKUP(B1112,BD_CONTROL!$A$5:$M$4235,13,0),"")</f>
        <v>NO SE LOCALIZA UNIDAD MOVIL</v>
      </c>
    </row>
    <row r="1113" spans="1:13" ht="15" customHeight="1">
      <c r="A1113" s="42">
        <v>1108</v>
      </c>
      <c r="B1113" s="42" t="s">
        <v>8451</v>
      </c>
      <c r="C1113" s="43" t="s">
        <v>6735</v>
      </c>
      <c r="D1113" s="42" t="s">
        <v>5640</v>
      </c>
      <c r="E1113" s="43" t="s">
        <v>5640</v>
      </c>
      <c r="F1113" s="43" t="s">
        <v>5647</v>
      </c>
      <c r="G1113" s="42" t="s">
        <v>6739</v>
      </c>
      <c r="H1113" s="43" t="s">
        <v>3449</v>
      </c>
      <c r="I1113" s="43" t="s">
        <v>6741</v>
      </c>
      <c r="J1113" s="55"/>
      <c r="K1113" s="119" t="str">
        <f>IFERROR(VLOOKUP(B1113,BD_CONTROL!$A$5:$M$4235,11,0),"")</f>
        <v>Visitado</v>
      </c>
      <c r="L1113" s="120">
        <f>IFERROR(VLOOKUP(B1113,BD_CONTROL!$A$5:$M$4235,12,0),"")</f>
        <v>46142</v>
      </c>
      <c r="M1113" s="121" t="str">
        <f>IFERROR(VLOOKUP(B1113,BD_CONTROL!$A$5:$M$4235,13,0),"")</f>
        <v>NO SE LOCALIZA UNIDAD MOVIL</v>
      </c>
    </row>
    <row r="1114" spans="1:13" ht="15" customHeight="1">
      <c r="A1114" s="39">
        <v>1109</v>
      </c>
      <c r="B1114" s="39" t="s">
        <v>8452</v>
      </c>
      <c r="C1114" s="40" t="s">
        <v>6735</v>
      </c>
      <c r="D1114" s="39" t="s">
        <v>5640</v>
      </c>
      <c r="E1114" s="40" t="s">
        <v>5640</v>
      </c>
      <c r="F1114" s="40" t="s">
        <v>5647</v>
      </c>
      <c r="G1114" s="39" t="s">
        <v>6739</v>
      </c>
      <c r="H1114" s="40" t="s">
        <v>3449</v>
      </c>
      <c r="I1114" s="40" t="s">
        <v>6741</v>
      </c>
      <c r="J1114" s="50"/>
      <c r="K1114" s="116" t="str">
        <f>IFERROR(VLOOKUP(B1114,BD_CONTROL!$A$5:$M$4235,11,0),"")</f>
        <v>Visitado</v>
      </c>
      <c r="L1114" s="117">
        <f>IFERROR(VLOOKUP(B1114,BD_CONTROL!$A$5:$M$4235,12,0),"")</f>
        <v>46142</v>
      </c>
      <c r="M1114" s="118" t="str">
        <f>IFERROR(VLOOKUP(B1114,BD_CONTROL!$A$5:$M$4235,13,0),"")</f>
        <v>NO SE LOCALIZA UNIDAD MOVIL</v>
      </c>
    </row>
    <row r="1115" spans="1:13" ht="15" customHeight="1">
      <c r="A1115" s="42">
        <v>1110</v>
      </c>
      <c r="B1115" s="42" t="s">
        <v>8453</v>
      </c>
      <c r="C1115" s="43" t="s">
        <v>6735</v>
      </c>
      <c r="D1115" s="42" t="s">
        <v>5640</v>
      </c>
      <c r="E1115" s="43" t="s">
        <v>5640</v>
      </c>
      <c r="F1115" s="43" t="s">
        <v>5647</v>
      </c>
      <c r="G1115" s="42" t="s">
        <v>6739</v>
      </c>
      <c r="H1115" s="43" t="s">
        <v>3449</v>
      </c>
      <c r="I1115" s="43" t="s">
        <v>6741</v>
      </c>
      <c r="J1115" s="55"/>
      <c r="K1115" s="119" t="str">
        <f>IFERROR(VLOOKUP(B1115,BD_CONTROL!$A$5:$M$4235,11,0),"")</f>
        <v>Visitado</v>
      </c>
      <c r="L1115" s="120">
        <f>IFERROR(VLOOKUP(B1115,BD_CONTROL!$A$5:$M$4235,12,0),"")</f>
        <v>46142</v>
      </c>
      <c r="M1115" s="121" t="str">
        <f>IFERROR(VLOOKUP(B1115,BD_CONTROL!$A$5:$M$4235,13,0),"")</f>
        <v>NO SE LOCALIZA UNIDAD MOVIL</v>
      </c>
    </row>
    <row r="1116" spans="1:13" ht="15" customHeight="1">
      <c r="A1116" s="39">
        <v>1111</v>
      </c>
      <c r="B1116" s="39" t="s">
        <v>8454</v>
      </c>
      <c r="C1116" s="40" t="s">
        <v>6735</v>
      </c>
      <c r="D1116" s="39" t="s">
        <v>5640</v>
      </c>
      <c r="E1116" s="40" t="s">
        <v>5640</v>
      </c>
      <c r="F1116" s="40" t="s">
        <v>5647</v>
      </c>
      <c r="G1116" s="39" t="s">
        <v>6739</v>
      </c>
      <c r="H1116" s="40" t="s">
        <v>3449</v>
      </c>
      <c r="I1116" s="40" t="s">
        <v>6741</v>
      </c>
      <c r="J1116" s="50"/>
      <c r="K1116" s="116" t="str">
        <f>IFERROR(VLOOKUP(B1116,BD_CONTROL!$A$5:$M$4235,11,0),"")</f>
        <v>Visitado</v>
      </c>
      <c r="L1116" s="117">
        <f>IFERROR(VLOOKUP(B1116,BD_CONTROL!$A$5:$M$4235,12,0),"")</f>
        <v>46142</v>
      </c>
      <c r="M1116" s="118" t="str">
        <f>IFERROR(VLOOKUP(B1116,BD_CONTROL!$A$5:$M$4235,13,0),"")</f>
        <v>NO SE LOCALIZA UNIDAD MOVIL</v>
      </c>
    </row>
    <row r="1117" spans="1:13" ht="15" customHeight="1">
      <c r="A1117" s="42">
        <v>1112</v>
      </c>
      <c r="B1117" s="42" t="s">
        <v>8455</v>
      </c>
      <c r="C1117" s="43" t="s">
        <v>6735</v>
      </c>
      <c r="D1117" s="42" t="s">
        <v>5640</v>
      </c>
      <c r="E1117" s="43" t="s">
        <v>5640</v>
      </c>
      <c r="F1117" s="43" t="s">
        <v>5647</v>
      </c>
      <c r="G1117" s="42" t="s">
        <v>6739</v>
      </c>
      <c r="H1117" s="43" t="s">
        <v>3449</v>
      </c>
      <c r="I1117" s="43" t="s">
        <v>6741</v>
      </c>
      <c r="J1117" s="55"/>
      <c r="K1117" s="119" t="str">
        <f>IFERROR(VLOOKUP(B1117,BD_CONTROL!$A$5:$M$4235,11,0),"")</f>
        <v>Visitado</v>
      </c>
      <c r="L1117" s="120">
        <f>IFERROR(VLOOKUP(B1117,BD_CONTROL!$A$5:$M$4235,12,0),"")</f>
        <v>46142</v>
      </c>
      <c r="M1117" s="121" t="str">
        <f>IFERROR(VLOOKUP(B1117,BD_CONTROL!$A$5:$M$4235,13,0),"")</f>
        <v>NO SE LOCALIZA UNIDAD MOVIL</v>
      </c>
    </row>
    <row r="1118" spans="1:13" ht="15" customHeight="1">
      <c r="A1118" s="39">
        <v>1113</v>
      </c>
      <c r="B1118" s="39" t="s">
        <v>8456</v>
      </c>
      <c r="C1118" s="40" t="s">
        <v>6735</v>
      </c>
      <c r="D1118" s="39" t="s">
        <v>5640</v>
      </c>
      <c r="E1118" s="40" t="s">
        <v>5640</v>
      </c>
      <c r="F1118" s="40" t="s">
        <v>5647</v>
      </c>
      <c r="G1118" s="39" t="s">
        <v>6739</v>
      </c>
      <c r="H1118" s="40" t="s">
        <v>3449</v>
      </c>
      <c r="I1118" s="40" t="s">
        <v>6741</v>
      </c>
      <c r="J1118" s="50"/>
      <c r="K1118" s="116" t="str">
        <f>IFERROR(VLOOKUP(B1118,BD_CONTROL!$A$5:$M$4235,11,0),"")</f>
        <v>Visitado</v>
      </c>
      <c r="L1118" s="117">
        <f>IFERROR(VLOOKUP(B1118,BD_CONTROL!$A$5:$M$4235,12,0),"")</f>
        <v>46142</v>
      </c>
      <c r="M1118" s="118" t="str">
        <f>IFERROR(VLOOKUP(B1118,BD_CONTROL!$A$5:$M$4235,13,0),"")</f>
        <v>NO SE LOCALIZA UNIDAD MOVIL</v>
      </c>
    </row>
    <row r="1119" spans="1:13" ht="15" customHeight="1">
      <c r="A1119" s="42">
        <v>1114</v>
      </c>
      <c r="B1119" s="42" t="s">
        <v>8457</v>
      </c>
      <c r="C1119" s="43" t="s">
        <v>6735</v>
      </c>
      <c r="D1119" s="42" t="s">
        <v>5640</v>
      </c>
      <c r="E1119" s="43" t="s">
        <v>5640</v>
      </c>
      <c r="F1119" s="43" t="s">
        <v>5647</v>
      </c>
      <c r="G1119" s="42" t="s">
        <v>6739</v>
      </c>
      <c r="H1119" s="43" t="s">
        <v>3449</v>
      </c>
      <c r="I1119" s="43" t="s">
        <v>6741</v>
      </c>
      <c r="J1119" s="55"/>
      <c r="K1119" s="119" t="str">
        <f>IFERROR(VLOOKUP(B1119,BD_CONTROL!$A$5:$M$4235,11,0),"")</f>
        <v>Visitado</v>
      </c>
      <c r="L1119" s="120">
        <f>IFERROR(VLOOKUP(B1119,BD_CONTROL!$A$5:$M$4235,12,0),"")</f>
        <v>46142</v>
      </c>
      <c r="M1119" s="121" t="str">
        <f>IFERROR(VLOOKUP(B1119,BD_CONTROL!$A$5:$M$4235,13,0),"")</f>
        <v>NO SE LOCALIZA UNIDAD MOVIL</v>
      </c>
    </row>
    <row r="1120" spans="1:13" ht="15" customHeight="1">
      <c r="A1120" s="39">
        <v>1115</v>
      </c>
      <c r="B1120" s="39" t="s">
        <v>8458</v>
      </c>
      <c r="C1120" s="40" t="s">
        <v>6735</v>
      </c>
      <c r="D1120" s="39" t="s">
        <v>5640</v>
      </c>
      <c r="E1120" s="40" t="s">
        <v>5640</v>
      </c>
      <c r="F1120" s="40" t="s">
        <v>5647</v>
      </c>
      <c r="G1120" s="39" t="s">
        <v>6739</v>
      </c>
      <c r="H1120" s="40" t="s">
        <v>3449</v>
      </c>
      <c r="I1120" s="40" t="s">
        <v>6741</v>
      </c>
      <c r="J1120" s="50"/>
      <c r="K1120" s="116" t="str">
        <f>IFERROR(VLOOKUP(B1120,BD_CONTROL!$A$5:$M$4235,11,0),"")</f>
        <v>Visitado</v>
      </c>
      <c r="L1120" s="117">
        <f>IFERROR(VLOOKUP(B1120,BD_CONTROL!$A$5:$M$4235,12,0),"")</f>
        <v>46142</v>
      </c>
      <c r="M1120" s="118" t="str">
        <f>IFERROR(VLOOKUP(B1120,BD_CONTROL!$A$5:$M$4235,13,0),"")</f>
        <v>NO SE LOCALIZA UNIDAD MOVIL</v>
      </c>
    </row>
    <row r="1121" spans="1:13" ht="15" customHeight="1">
      <c r="A1121" s="42">
        <v>1116</v>
      </c>
      <c r="B1121" s="42" t="s">
        <v>8459</v>
      </c>
      <c r="C1121" s="43" t="s">
        <v>6735</v>
      </c>
      <c r="D1121" s="42" t="s">
        <v>5640</v>
      </c>
      <c r="E1121" s="43" t="s">
        <v>5640</v>
      </c>
      <c r="F1121" s="43" t="s">
        <v>5647</v>
      </c>
      <c r="G1121" s="42" t="s">
        <v>6739</v>
      </c>
      <c r="H1121" s="43" t="s">
        <v>3449</v>
      </c>
      <c r="I1121" s="43" t="s">
        <v>6741</v>
      </c>
      <c r="J1121" s="55"/>
      <c r="K1121" s="119" t="str">
        <f>IFERROR(VLOOKUP(B1121,BD_CONTROL!$A$5:$M$4235,11,0),"")</f>
        <v>Visitado</v>
      </c>
      <c r="L1121" s="120">
        <f>IFERROR(VLOOKUP(B1121,BD_CONTROL!$A$5:$M$4235,12,0),"")</f>
        <v>46142</v>
      </c>
      <c r="M1121" s="118" t="str">
        <f>IFERROR(VLOOKUP(B1121,BD_CONTROL!$A$5:$M$4235,13,0),"")</f>
        <v>NO SE LOCALIZA UNIDAD MOVIL</v>
      </c>
    </row>
    <row r="1122" spans="1:13" ht="15" customHeight="1">
      <c r="A1122" s="39">
        <v>1117</v>
      </c>
      <c r="B1122" s="39" t="s">
        <v>8460</v>
      </c>
      <c r="C1122" s="40" t="s">
        <v>6735</v>
      </c>
      <c r="D1122" s="39" t="s">
        <v>5640</v>
      </c>
      <c r="E1122" s="40" t="s">
        <v>5640</v>
      </c>
      <c r="F1122" s="40" t="s">
        <v>5647</v>
      </c>
      <c r="G1122" s="39" t="s">
        <v>6739</v>
      </c>
      <c r="H1122" s="40" t="s">
        <v>3449</v>
      </c>
      <c r="I1122" s="40" t="s">
        <v>6741</v>
      </c>
      <c r="J1122" s="50"/>
      <c r="K1122" s="116" t="str">
        <f>IFERROR(VLOOKUP(B1122,BD_CONTROL!$A$5:$M$4235,11,0),"")</f>
        <v>Visitado</v>
      </c>
      <c r="L1122" s="117">
        <f>IFERROR(VLOOKUP(B1122,BD_CONTROL!$A$5:$M$4235,12,0),"")</f>
        <v>46142</v>
      </c>
      <c r="M1122" s="118" t="str">
        <f>IFERROR(VLOOKUP(B1122,BD_CONTROL!$A$5:$M$4235,13,0),"")</f>
        <v>NO SE LOCALIZA UNIDAD MOVIL</v>
      </c>
    </row>
    <row r="1123" spans="1:13" ht="15" customHeight="1">
      <c r="A1123" s="42">
        <v>1118</v>
      </c>
      <c r="B1123" s="42" t="s">
        <v>8461</v>
      </c>
      <c r="C1123" s="43" t="s">
        <v>6735</v>
      </c>
      <c r="D1123" s="42" t="s">
        <v>5640</v>
      </c>
      <c r="E1123" s="43" t="s">
        <v>5710</v>
      </c>
      <c r="F1123" s="43" t="s">
        <v>5710</v>
      </c>
      <c r="G1123" s="42" t="s">
        <v>6739</v>
      </c>
      <c r="H1123" s="43" t="s">
        <v>3449</v>
      </c>
      <c r="I1123" s="43" t="s">
        <v>6741</v>
      </c>
      <c r="J1123" s="55"/>
      <c r="K1123" s="119">
        <f>IFERROR(VLOOKUP(B1123,BD_CONTROL!$A$5:$M$4235,11,0),"")</f>
        <v>0</v>
      </c>
      <c r="L1123" s="120">
        <f>IFERROR(VLOOKUP(B1123,BD_CONTROL!$A$5:$M$4235,12,0),"")</f>
        <v>0</v>
      </c>
      <c r="M1123" s="121">
        <f>IFERROR(VLOOKUP(B1123,BD_CONTROL!$A$5:$M$4235,13,0),"")</f>
        <v>0</v>
      </c>
    </row>
    <row r="1124" spans="1:13" ht="15" customHeight="1">
      <c r="A1124" s="39">
        <v>1119</v>
      </c>
      <c r="B1124" s="39" t="s">
        <v>8462</v>
      </c>
      <c r="C1124" s="40" t="s">
        <v>6735</v>
      </c>
      <c r="D1124" s="39" t="s">
        <v>5640</v>
      </c>
      <c r="E1124" s="40" t="s">
        <v>5710</v>
      </c>
      <c r="F1124" s="40" t="s">
        <v>5710</v>
      </c>
      <c r="G1124" s="39" t="s">
        <v>6739</v>
      </c>
      <c r="H1124" s="40" t="s">
        <v>3449</v>
      </c>
      <c r="I1124" s="40" t="s">
        <v>6741</v>
      </c>
      <c r="J1124" s="50"/>
      <c r="K1124" s="116">
        <f>IFERROR(VLOOKUP(B1124,BD_CONTROL!$A$5:$M$4235,11,0),"")</f>
        <v>0</v>
      </c>
      <c r="L1124" s="117">
        <f>IFERROR(VLOOKUP(B1124,BD_CONTROL!$A$5:$M$4235,12,0),"")</f>
        <v>0</v>
      </c>
      <c r="M1124" s="118">
        <f>IFERROR(VLOOKUP(B1124,BD_CONTROL!$A$5:$M$4235,13,0),"")</f>
        <v>0</v>
      </c>
    </row>
    <row r="1125" spans="1:13" ht="15" customHeight="1">
      <c r="A1125" s="42">
        <v>1120</v>
      </c>
      <c r="B1125" s="42" t="s">
        <v>8463</v>
      </c>
      <c r="C1125" s="43" t="s">
        <v>6735</v>
      </c>
      <c r="D1125" s="42" t="s">
        <v>5640</v>
      </c>
      <c r="E1125" s="43" t="s">
        <v>3018</v>
      </c>
      <c r="F1125" s="43" t="s">
        <v>8371</v>
      </c>
      <c r="G1125" s="42" t="s">
        <v>6739</v>
      </c>
      <c r="H1125" s="43" t="s">
        <v>3449</v>
      </c>
      <c r="I1125" s="43" t="s">
        <v>6741</v>
      </c>
      <c r="J1125" s="55"/>
      <c r="K1125" s="119">
        <f>IFERROR(VLOOKUP(B1125,BD_CONTROL!$A$5:$M$4235,11,0),"")</f>
        <v>0</v>
      </c>
      <c r="L1125" s="120">
        <f>IFERROR(VLOOKUP(B1125,BD_CONTROL!$A$5:$M$4235,12,0),"")</f>
        <v>0</v>
      </c>
      <c r="M1125" s="121">
        <f>IFERROR(VLOOKUP(B1125,BD_CONTROL!$A$5:$M$4235,13,0),"")</f>
        <v>0</v>
      </c>
    </row>
    <row r="1126" spans="1:13" ht="15" customHeight="1">
      <c r="A1126" s="39">
        <v>1121</v>
      </c>
      <c r="B1126" s="39" t="s">
        <v>8464</v>
      </c>
      <c r="C1126" s="40" t="s">
        <v>6735</v>
      </c>
      <c r="D1126" s="39" t="s">
        <v>5640</v>
      </c>
      <c r="E1126" s="40" t="s">
        <v>5640</v>
      </c>
      <c r="F1126" s="40" t="s">
        <v>1714</v>
      </c>
      <c r="G1126" s="39" t="s">
        <v>6739</v>
      </c>
      <c r="H1126" s="40" t="s">
        <v>3449</v>
      </c>
      <c r="I1126" s="40" t="s">
        <v>6741</v>
      </c>
      <c r="J1126" s="50"/>
      <c r="K1126" s="129" t="str">
        <f>IFERROR(VLOOKUP(B1126,BD_CONTROL!$A$5:$M$4235,11,0),"")</f>
        <v>INSTALADO - OPERANDO</v>
      </c>
      <c r="L1126" s="117">
        <f>IFERROR(VLOOKUP(B1126,BD_CONTROL!$A$5:$M$4235,12,0),"")</f>
        <v>46112</v>
      </c>
      <c r="M1126" s="118" t="str">
        <f>IFERROR(VLOOKUP(B1126,BD_CONTROL!$A$5:$M$4235,13,0),"")</f>
        <v>Cargado desde DB instalación 23/04/2026</v>
      </c>
    </row>
    <row r="1127" spans="1:13" ht="15" customHeight="1">
      <c r="A1127" s="42">
        <v>1122</v>
      </c>
      <c r="B1127" s="42" t="s">
        <v>8465</v>
      </c>
      <c r="C1127" s="43" t="s">
        <v>6735</v>
      </c>
      <c r="D1127" s="42" t="s">
        <v>5640</v>
      </c>
      <c r="E1127" s="43" t="s">
        <v>3463</v>
      </c>
      <c r="F1127" s="43" t="s">
        <v>6153</v>
      </c>
      <c r="G1127" s="42" t="s">
        <v>6739</v>
      </c>
      <c r="H1127" s="43" t="s">
        <v>3449</v>
      </c>
      <c r="I1127" s="43" t="s">
        <v>6741</v>
      </c>
      <c r="J1127" s="55"/>
      <c r="K1127" s="119" t="str">
        <f>IFERROR(VLOOKUP(B1127,BD_CONTROL!$A$5:$M$4235,11,0),"")</f>
        <v>Instalado - Operando</v>
      </c>
      <c r="L1127" s="120">
        <f>IFERROR(VLOOKUP(B1127,BD_CONTROL!$A$5:$M$4235,12,0),"")</f>
        <v>46141</v>
      </c>
      <c r="M1127" s="121">
        <f>IFERROR(VLOOKUP(B1127,BD_CONTROL!$A$5:$M$4235,13,0),"")</f>
        <v>0</v>
      </c>
    </row>
    <row r="1128" spans="1:13" ht="15" customHeight="1">
      <c r="A1128" s="39">
        <v>1123</v>
      </c>
      <c r="B1128" s="39" t="s">
        <v>8466</v>
      </c>
      <c r="C1128" s="40" t="s">
        <v>6735</v>
      </c>
      <c r="D1128" s="39" t="s">
        <v>5640</v>
      </c>
      <c r="E1128" s="40" t="s">
        <v>5643</v>
      </c>
      <c r="F1128" s="40" t="s">
        <v>7150</v>
      </c>
      <c r="G1128" s="39" t="s">
        <v>6739</v>
      </c>
      <c r="H1128" s="40" t="s">
        <v>3449</v>
      </c>
      <c r="I1128" s="40" t="s">
        <v>6741</v>
      </c>
      <c r="J1128" s="50"/>
      <c r="K1128" s="129" t="str">
        <f>IFERROR(VLOOKUP(B1128,BD_CONTROL!$A$5:$M$4235,11,0),"")</f>
        <v>INSTALADO - OPERANDO</v>
      </c>
      <c r="L1128" s="117">
        <f>IFERROR(VLOOKUP(B1128,BD_CONTROL!$A$5:$M$4235,12,0),"")</f>
        <v>46113</v>
      </c>
      <c r="M1128" s="118" t="str">
        <f>IFERROR(VLOOKUP(B1128,BD_CONTROL!$A$5:$M$4235,13,0),"")</f>
        <v>Cargado desde DB instalación 23/04/2026</v>
      </c>
    </row>
    <row r="1129" spans="1:13" ht="15" customHeight="1">
      <c r="A1129" s="42">
        <v>1124</v>
      </c>
      <c r="B1129" s="42" t="s">
        <v>8467</v>
      </c>
      <c r="C1129" s="43" t="s">
        <v>6735</v>
      </c>
      <c r="D1129" s="42" t="s">
        <v>5640</v>
      </c>
      <c r="E1129" s="43" t="s">
        <v>6067</v>
      </c>
      <c r="F1129" s="43" t="s">
        <v>6067</v>
      </c>
      <c r="G1129" s="42" t="s">
        <v>6739</v>
      </c>
      <c r="H1129" s="43" t="s">
        <v>3449</v>
      </c>
      <c r="I1129" s="43" t="s">
        <v>6741</v>
      </c>
      <c r="J1129" s="55"/>
      <c r="K1129" s="129" t="str">
        <f>IFERROR(VLOOKUP(B1129,BD_CONTROL!$A$5:$M$4235,11,0),"")</f>
        <v>INSTALADO - OPERANDO</v>
      </c>
      <c r="L1129" s="120">
        <f>IFERROR(VLOOKUP(B1129,BD_CONTROL!$A$5:$M$4235,12,0),"")</f>
        <v>46121</v>
      </c>
      <c r="M1129" s="121" t="str">
        <f>IFERROR(VLOOKUP(B1129,BD_CONTROL!$A$5:$M$4235,13,0),"")</f>
        <v>Cargado desde DB instalación 23/04/2026</v>
      </c>
    </row>
    <row r="1130" spans="1:13" ht="15" customHeight="1">
      <c r="A1130" s="39">
        <v>1125</v>
      </c>
      <c r="B1130" s="39" t="s">
        <v>8468</v>
      </c>
      <c r="C1130" s="40" t="s">
        <v>6735</v>
      </c>
      <c r="D1130" s="39" t="s">
        <v>5640</v>
      </c>
      <c r="E1130" s="40" t="s">
        <v>5944</v>
      </c>
      <c r="F1130" s="40" t="s">
        <v>8469</v>
      </c>
      <c r="G1130" s="39" t="s">
        <v>6739</v>
      </c>
      <c r="H1130" s="40" t="s">
        <v>3449</v>
      </c>
      <c r="I1130" s="40" t="s">
        <v>6741</v>
      </c>
      <c r="J1130" s="50"/>
      <c r="K1130" s="129" t="str">
        <f>IFERROR(VLOOKUP(B1130,BD_CONTROL!$A$5:$M$4235,11,0),"")</f>
        <v>INSTALADO - OPERANDO</v>
      </c>
      <c r="L1130" s="117">
        <f>IFERROR(VLOOKUP(B1130,BD_CONTROL!$A$5:$M$4235,12,0),"")</f>
        <v>46120</v>
      </c>
      <c r="M1130" s="118" t="str">
        <f>IFERROR(VLOOKUP(B1130,BD_CONTROL!$A$5:$M$4235,13,0),"")</f>
        <v>Cargado desde DB instalación 23/04/2026</v>
      </c>
    </row>
    <row r="1131" spans="1:13" ht="15" customHeight="1">
      <c r="A1131" s="42">
        <v>1126</v>
      </c>
      <c r="B1131" s="42" t="s">
        <v>8470</v>
      </c>
      <c r="C1131" s="43" t="s">
        <v>6735</v>
      </c>
      <c r="D1131" s="42" t="s">
        <v>5640</v>
      </c>
      <c r="E1131" s="43" t="s">
        <v>5986</v>
      </c>
      <c r="F1131" s="43" t="s">
        <v>5987</v>
      </c>
      <c r="G1131" s="42" t="s">
        <v>6739</v>
      </c>
      <c r="H1131" s="43" t="s">
        <v>3449</v>
      </c>
      <c r="I1131" s="43" t="s">
        <v>6741</v>
      </c>
      <c r="J1131" s="55"/>
      <c r="K1131" s="129" t="str">
        <f>IFERROR(VLOOKUP(B1131,BD_CONTROL!$A$5:$M$4235,11,0),"")</f>
        <v>INSTALADO - OPERANDO</v>
      </c>
      <c r="L1131" s="120">
        <f>IFERROR(VLOOKUP(B1131,BD_CONTROL!$A$5:$M$4235,12,0),"")</f>
        <v>46111</v>
      </c>
      <c r="M1131" s="121" t="str">
        <f>IFERROR(VLOOKUP(B1131,BD_CONTROL!$A$5:$M$4235,13,0),"")</f>
        <v>Cargado desde DB instalación 23/04/2026</v>
      </c>
    </row>
    <row r="1132" spans="1:13" ht="15" customHeight="1">
      <c r="A1132" s="39">
        <v>1127</v>
      </c>
      <c r="B1132" s="39" t="s">
        <v>8471</v>
      </c>
      <c r="C1132" s="40" t="s">
        <v>6735</v>
      </c>
      <c r="D1132" s="39" t="s">
        <v>5640</v>
      </c>
      <c r="E1132" s="40" t="s">
        <v>5654</v>
      </c>
      <c r="F1132" s="40" t="s">
        <v>6300</v>
      </c>
      <c r="G1132" s="39" t="s">
        <v>6739</v>
      </c>
      <c r="H1132" s="40" t="s">
        <v>3449</v>
      </c>
      <c r="I1132" s="40" t="s">
        <v>6741</v>
      </c>
      <c r="J1132" s="50"/>
      <c r="K1132" s="129" t="str">
        <f>IFERROR(VLOOKUP(B1132,BD_CONTROL!$A$5:$M$4235,11,0),"")</f>
        <v>INSTALADO - OPERANDO</v>
      </c>
      <c r="L1132" s="117">
        <f>IFERROR(VLOOKUP(B1132,BD_CONTROL!$A$5:$M$4235,12,0),"")</f>
        <v>46119</v>
      </c>
      <c r="M1132" s="118" t="str">
        <f>IFERROR(VLOOKUP(B1132,BD_CONTROL!$A$5:$M$4235,13,0),"")</f>
        <v>Cargado desde DB instalación 23/04/2026</v>
      </c>
    </row>
    <row r="1133" spans="1:13" ht="15" customHeight="1">
      <c r="A1133" s="42">
        <v>1128</v>
      </c>
      <c r="B1133" s="42" t="s">
        <v>8472</v>
      </c>
      <c r="C1133" s="43" t="s">
        <v>6735</v>
      </c>
      <c r="D1133" s="42" t="s">
        <v>5640</v>
      </c>
      <c r="E1133" s="43" t="s">
        <v>5757</v>
      </c>
      <c r="F1133" s="43" t="s">
        <v>5757</v>
      </c>
      <c r="G1133" s="42" t="s">
        <v>6739</v>
      </c>
      <c r="H1133" s="43" t="s">
        <v>3449</v>
      </c>
      <c r="I1133" s="43" t="s">
        <v>6741</v>
      </c>
      <c r="J1133" s="55"/>
      <c r="K1133" s="129" t="str">
        <f>IFERROR(VLOOKUP(B1133,BD_CONTROL!$A$5:$M$4235,11,0),"")</f>
        <v>INSTALADO - OPERANDO</v>
      </c>
      <c r="L1133" s="120">
        <f>IFERROR(VLOOKUP(B1133,BD_CONTROL!$A$5:$M$4235,12,0),"")</f>
        <v>46120</v>
      </c>
      <c r="M1133" s="121" t="str">
        <f>IFERROR(VLOOKUP(B1133,BD_CONTROL!$A$5:$M$4235,13,0),"")</f>
        <v>Cargado desde DB instalación 23/04/2026</v>
      </c>
    </row>
    <row r="1134" spans="1:13" ht="15" customHeight="1">
      <c r="A1134" s="39">
        <v>1129</v>
      </c>
      <c r="B1134" s="39" t="s">
        <v>8473</v>
      </c>
      <c r="C1134" s="40" t="s">
        <v>6735</v>
      </c>
      <c r="D1134" s="39" t="s">
        <v>5640</v>
      </c>
      <c r="E1134" s="40" t="s">
        <v>5938</v>
      </c>
      <c r="F1134" s="40" t="s">
        <v>6007</v>
      </c>
      <c r="G1134" s="39" t="s">
        <v>6739</v>
      </c>
      <c r="H1134" s="40" t="s">
        <v>3449</v>
      </c>
      <c r="I1134" s="40" t="s">
        <v>6741</v>
      </c>
      <c r="J1134" s="50"/>
      <c r="K1134" s="129" t="str">
        <f>IFERROR(VLOOKUP(B1134,BD_CONTROL!$A$5:$M$4235,11,0),"")</f>
        <v>INSTALADO - OPERANDO</v>
      </c>
      <c r="L1134" s="117">
        <f>IFERROR(VLOOKUP(B1134,BD_CONTROL!$A$5:$M$4235,12,0),"")</f>
        <v>46118</v>
      </c>
      <c r="M1134" s="118" t="str">
        <f>IFERROR(VLOOKUP(B1134,BD_CONTROL!$A$5:$M$4235,13,0),"")</f>
        <v>Cargado desde DB instalación 23/04/2026</v>
      </c>
    </row>
    <row r="1135" spans="1:13" ht="15" customHeight="1">
      <c r="A1135" s="42">
        <v>1130</v>
      </c>
      <c r="B1135" s="42" t="s">
        <v>8474</v>
      </c>
      <c r="C1135" s="43" t="s">
        <v>6735</v>
      </c>
      <c r="D1135" s="42" t="s">
        <v>5640</v>
      </c>
      <c r="E1135" s="43" t="s">
        <v>5640</v>
      </c>
      <c r="F1135" s="43" t="s">
        <v>5647</v>
      </c>
      <c r="G1135" s="42" t="s">
        <v>6739</v>
      </c>
      <c r="H1135" s="43" t="s">
        <v>3449</v>
      </c>
      <c r="I1135" s="43" t="s">
        <v>6741</v>
      </c>
      <c r="J1135" s="55"/>
      <c r="K1135" s="129" t="str">
        <f>IFERROR(VLOOKUP(B1135,BD_CONTROL!$A$5:$M$4235,11,0),"")</f>
        <v>INSTALADO - OPERANDO</v>
      </c>
      <c r="L1135" s="120">
        <f>IFERROR(VLOOKUP(B1135,BD_CONTROL!$A$5:$M$4235,12,0),"")</f>
        <v>46108</v>
      </c>
      <c r="M1135" s="121" t="str">
        <f>IFERROR(VLOOKUP(B1135,BD_CONTROL!$A$5:$M$4235,13,0),"")</f>
        <v>Cargado desde DB instalación 23/04/2026</v>
      </c>
    </row>
  </sheetData>
  <autoFilter ref="A5:M1135" xr:uid="{00000000-0009-0000-0000-000011000000}"/>
  <mergeCells count="3">
    <mergeCell ref="A1:M2"/>
    <mergeCell ref="A3:M3"/>
    <mergeCell ref="A4:M4"/>
  </mergeCells>
  <conditionalFormatting sqref="K6:K1135">
    <cfRule type="expression" dxfId="5" priority="2">
      <formula>EXACT($K6,"INSTALADO - OPERANDO")</formula>
    </cfRule>
    <cfRule type="expression" dxfId="4" priority="3">
      <formula>EXACT($K6,"INSTALADO - SIN SEÑAL")</formula>
    </cfRule>
    <cfRule type="expression" dxfId="3" priority="4">
      <formula>EXACT($K6,"EQUIPO EN ALMACÉN")</formula>
    </cfRule>
    <cfRule type="expression" dxfId="2" priority="5">
      <formula>EXACT($K6,"PROGRAMADO")</formula>
    </cfRule>
    <cfRule type="expression" dxfId="1" priority="6">
      <formula>EXACT($K6,"VISITADO")</formula>
    </cfRule>
    <cfRule type="expression" dxfId="0" priority="7">
      <formula>EXACT($K6,"SIN INMUEBLE")</formula>
    </cfRule>
  </conditionalFormatting>
  <dataValidations count="1">
    <dataValidation type="list" allowBlank="1" sqref="K6:K1135" xr:uid="{00000000-0002-0000-1100-000000000000}">
      <formula1>"INSTALADO - OPERANDO,INSTALADO - SIN SEÑAL,EQUIPO EN ALMACÉN,PROGRAMADO,VISITADO,SIN INMUEBLE"</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ANTONIO SEAÑEZ DE VILLA</cp:lastModifiedBy>
  <cp:revision>0</cp:revision>
  <dcterms:created xsi:type="dcterms:W3CDTF">2026-04-24T20:46:03Z</dcterms:created>
  <dcterms:modified xsi:type="dcterms:W3CDTF">2026-05-12T14:57:52Z</dcterms:modified>
  <cp:category/>
  <cp:contentStatus/>
</cp:coreProperties>
</file>